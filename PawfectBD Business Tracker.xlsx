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vestment" sheetId="2" r:id="rId6"/>
    <sheet state="visible" name="Expenses" sheetId="3" r:id="rId7"/>
    <sheet state="visible" name="Purchases" sheetId="4" r:id="rId8"/>
    <sheet state="visible" name="Inventory" sheetId="5" r:id="rId9"/>
    <sheet state="visible" name="Sales" sheetId="6" r:id="rId10"/>
    <sheet state="visible" name="Monthly Summary" sheetId="7" r:id="rId11"/>
    <sheet state="visible" name="Sales by Month" sheetId="8" r:id="rId12"/>
    <sheet state="visible" name="Notebook Check" sheetId="9" r:id="rId13"/>
    <sheet state="visible" name="Profit Share" sheetId="10" r:id="rId14"/>
    <sheet state="visible" name="Orders" sheetId="11" r:id="rId15"/>
    <sheet state="visible" name="My Shop Stock" sheetId="12" r:id="rId16"/>
    <sheet state="visible" name="Shop Ledger" sheetId="13" r:id="rId17"/>
    <sheet state="visible" name="Shop Collections" sheetId="14" r:id="rId18"/>
    <sheet state="visible" name="Shop Summary" sheetId="15" r:id="rId19"/>
    <sheet state="visible" name="Reconciliation" sheetId="16" r:id="rId20"/>
  </sheets>
  <definedNames>
    <definedName name="ItemCodeList">Inventory!$A$5:$A$604</definedName>
    <definedName name="VendorList">'Shop Summary'!$F$5:$F$35</definedName>
    <definedName hidden="1" localSheetId="1" name="Z_C021540F_3550_45E6_A2BF_5D4B4B680EFF_.wvu.FilterData">Investment!$A$4:$D$204</definedName>
    <definedName hidden="1" localSheetId="10" name="Z_484264CE_3176_4DE9_8F0D_71E4461C7B19_.wvu.FilterData">Orders!$A$4:$P$1004</definedName>
    <definedName hidden="1" localSheetId="5" name="Z_F309BC2B_FA57_4750_9E4D_F4002706CB96_.wvu.FilterData">Sales!$A$6:$Y$1506</definedName>
    <definedName hidden="1" localSheetId="12" name="Z_674B386A_196C_4093_ADF8_AAC931392881_.wvu.FilterData">'Shop Ledger'!$A$4:$N$1004</definedName>
    <definedName hidden="1" localSheetId="1" name="Z_D21FF5C7_4A0B_4A61_BF69_DACF981980EF_.wvu.FilterData">Investment!$A$208:$D$408</definedName>
    <definedName hidden="1" localSheetId="4" name="Z_1BB77F26_A232_4C2A_846B_1AFC72855611_.wvu.FilterData">Inventory!$A$4:$P$604</definedName>
    <definedName hidden="1" localSheetId="3" name="Z_07605512_F059_4DE5_B68C_A0143A89CB22_.wvu.FilterData">Purchases!$A$4:$L$1004</definedName>
    <definedName hidden="1" localSheetId="13" name="Z_608EF35B_14E0_41E7_BAD3_0E42E9659349_.wvu.FilterData">'Shop Collections'!$A$4:$D$220</definedName>
  </definedNames>
  <calcPr/>
  <customWorkbookViews>
    <customWorkbookView activeSheetId="0" maximized="1" windowHeight="0" windowWidth="0" guid="{C021540F-3550-45E6-A2BF-5D4B4B680EFF}" name="InvestmentLog filter view"/>
    <customWorkbookView activeSheetId="0" maximized="1" windowHeight="0" windowWidth="0" guid="{484264CE-3176-4DE9-8F0D-71E4461C7B19}" name="OrderLog filter view"/>
    <customWorkbookView activeSheetId="0" maximized="1" windowHeight="0" windowWidth="0" guid="{F309BC2B-FA57-4750-9E4D-F4002706CB96}" name="SalesLog filter view"/>
    <customWorkbookView activeSheetId="0" maximized="1" windowHeight="0" windowWidth="0" guid="{674B386A-196C-4093-ADF8-AAC931392881}" name="ShopLedger filter view"/>
    <customWorkbookView activeSheetId="0" maximized="1" windowHeight="0" windowWidth="0" guid="{D21FF5C7-4A0B-4A61-BF69-DACF981980EF}" name="WithdrawalLog filter view"/>
    <customWorkbookView activeSheetId="0" maximized="1" windowHeight="0" windowWidth="0" guid="{1BB77F26-A232-4C2A-846B-1AFC72855611}" name="InventoryList filter view"/>
    <customWorkbookView activeSheetId="0" maximized="1" windowHeight="0" windowWidth="0" guid="{07605512-F059-4DE5-B68C-A0143A89CB22}" name="PurchaseLog filter view"/>
    <customWorkbookView activeSheetId="0" maximized="1" windowHeight="0" windowWidth="0" guid="{608EF35B-14E0-41E7-BAD3-0E42E9659349}" name="ShopCollections filter view"/>
  </customWorkbookViews>
</workbook>
</file>

<file path=xl/sharedStrings.xml><?xml version="1.0" encoding="utf-8"?>
<sst xmlns="http://schemas.openxmlformats.org/spreadsheetml/2006/main" count="4224" uniqueCount="755">
  <si>
    <t>PAWFECT BD — BUSINESS TRACKER</t>
  </si>
  <si>
    <t>Overview of cash, stock and profit. All figures pull live from the other sheets.</t>
  </si>
  <si>
    <t>CASH POSITION</t>
  </si>
  <si>
    <t>Total Investment (Tk)</t>
  </si>
  <si>
    <t>Total Purchases / Cash Out (Tk)</t>
  </si>
  <si>
    <t>Total Expenses / Cash Out (Tk)</t>
  </si>
  <si>
    <t>Total Sales Revenue / Cash In (Tk)</t>
  </si>
  <si>
    <t>Less: Amount Due from Customers (Tk)</t>
  </si>
  <si>
    <t>Cash In: money collected from shops (Tk)</t>
  </si>
  <si>
    <t>CASH ON HAND (Tk)</t>
  </si>
  <si>
    <t>STOCK POSITION</t>
  </si>
  <si>
    <t>Units Purchased (total)</t>
  </si>
  <si>
    <t>Units Sold (total)</t>
  </si>
  <si>
    <t>Units Returned (total)</t>
  </si>
  <si>
    <t>Units given to shops (total)</t>
  </si>
  <si>
    <t>Current Stock (units)</t>
  </si>
  <si>
    <t>Current Stock Value (Tk)</t>
  </si>
  <si>
    <t>Money shops still owe you (Tk)</t>
  </si>
  <si>
    <t>PROFIT SNAPSHOT</t>
  </si>
  <si>
    <t>PURCHASES LOG</t>
  </si>
  <si>
    <t>Total Money In — customers + shops (Tk)</t>
  </si>
  <si>
    <t>Total Money Out — product cost + delivery + running costs (Tk)</t>
  </si>
  <si>
    <t>All product purchases from suppliers. Add new rows below as you buy more.</t>
  </si>
  <si>
    <t>EXPENSES — Business Cash Out</t>
  </si>
  <si>
    <t>INVESTMENT LOG</t>
  </si>
  <si>
    <t>TOTALS →</t>
  </si>
  <si>
    <t>PROFIT / LOSS (Tk)</t>
  </si>
  <si>
    <t>MONEY STILL IN THE BUSINESS</t>
  </si>
  <si>
    <t>Log every cash expense here (rent, utilities, transport, salaries, etc.). This reduces Cash on Hand on the Dashboard.</t>
  </si>
  <si>
    <t>Money customers still owe you (Tk)</t>
  </si>
  <si>
    <t>Total owed to you (Tk)</t>
  </si>
  <si>
    <t>PROFIT / LOSS TO SHARE (Tk)</t>
  </si>
  <si>
    <t>Invested minus withdrawn</t>
  </si>
  <si>
    <t>TOTAL INVESTED</t>
  </si>
  <si>
    <t>Mukta Mama (Investor) Share — 50% (Tk)</t>
  </si>
  <si>
    <t>Type on the first empty row — the list extends by itself</t>
  </si>
  <si>
    <t>Date</t>
  </si>
  <si>
    <t>Ratul Share (Tk)</t>
  </si>
  <si>
    <t>Samin Share (Tk)</t>
  </si>
  <si>
    <t>Investor</t>
  </si>
  <si>
    <t>Nawroz Share (Tk)</t>
  </si>
  <si>
    <t>Amount (Tk)</t>
  </si>
  <si>
    <t>Category</t>
  </si>
  <si>
    <t>Type</t>
  </si>
  <si>
    <t>Note</t>
  </si>
  <si>
    <t>FREE GIFTS &amp; DISCOUNTS GIVEN AWAY</t>
  </si>
  <si>
    <t>Helper - new investor no.</t>
  </si>
  <si>
    <t>Already counted in the profit above — shown so you can see it</t>
  </si>
  <si>
    <t>Description</t>
  </si>
  <si>
    <t>Free gifts — cost to you (Tk)</t>
  </si>
  <si>
    <t>Mukta Mama</t>
  </si>
  <si>
    <t>Free gifts — value at shop price (Tk)</t>
  </si>
  <si>
    <t>Supplier</t>
  </si>
  <si>
    <t>Discounts given on sales (Tk)</t>
  </si>
  <si>
    <t>Notes</t>
  </si>
  <si>
    <t>Capital investment - Tranche 1</t>
  </si>
  <si>
    <t>Item Code</t>
  </si>
  <si>
    <t>TOTAL GIVEN AWAY (Tk)</t>
  </si>
  <si>
    <t>Product Description</t>
  </si>
  <si>
    <t>Qty</t>
  </si>
  <si>
    <t>INVESTOR CASH POSITION</t>
  </si>
  <si>
    <t>Unit Cost (Tk)</t>
  </si>
  <si>
    <t>Invested (Tk)</t>
  </si>
  <si>
    <t>% of Capital</t>
  </si>
  <si>
    <t>Share of Purchases (Tk)</t>
  </si>
  <si>
    <t>Share of Expenses (Tk)</t>
  </si>
  <si>
    <t>Remaining Cash Share (Tk)</t>
  </si>
  <si>
    <t>Total Cost (Tk)</t>
  </si>
  <si>
    <t>Transport/Delivery</t>
  </si>
  <si>
    <t>Website Updated</t>
  </si>
  <si>
    <t>Mirpur 11 AT Int.</t>
  </si>
  <si>
    <t>Net Qty (stock calc)</t>
  </si>
  <si>
    <t>Capital investment - Tranche 2</t>
  </si>
  <si>
    <t>Helper - new item no.</t>
  </si>
  <si>
    <t>Capital investment - Tranche 3</t>
  </si>
  <si>
    <t>Bank/Mobile Transfer Fee</t>
  </si>
  <si>
    <t>Product Purchase</t>
  </si>
  <si>
    <t>Purchase</t>
  </si>
  <si>
    <t>Capital investment - Tranche 4</t>
  </si>
  <si>
    <t>M.S Trading</t>
  </si>
  <si>
    <t>AC-PNC-LR-002</t>
  </si>
  <si>
    <t>Other</t>
  </si>
  <si>
    <t>Pet Nail Clippers Large</t>
  </si>
  <si>
    <t>For SmartHeart Delivery Man</t>
  </si>
  <si>
    <t>Cat Accessories</t>
  </si>
  <si>
    <t>For Bonus</t>
  </si>
  <si>
    <t>For DODO Delivery Man</t>
  </si>
  <si>
    <t>Maintenance</t>
  </si>
  <si>
    <t>Balance Sheet Khata</t>
  </si>
  <si>
    <t>Money Box</t>
  </si>
  <si>
    <t>Marketing</t>
  </si>
  <si>
    <t>Facebook Boost</t>
  </si>
  <si>
    <t>AC-CTOY-004</t>
  </si>
  <si>
    <t>Cat Ball Robot Toy</t>
  </si>
  <si>
    <t>Product Delivery</t>
  </si>
  <si>
    <t xml:space="preserve">SmartHeart 2 Pc's </t>
  </si>
  <si>
    <t xml:space="preserve">Marketing cost </t>
  </si>
  <si>
    <t xml:space="preserve">Transport Cost </t>
  </si>
  <si>
    <t>AC-CB-001</t>
  </si>
  <si>
    <t>Cat Belt</t>
  </si>
  <si>
    <t>Banner</t>
  </si>
  <si>
    <t>-</t>
  </si>
  <si>
    <t>*</t>
  </si>
  <si>
    <t>Traveling Cost for Marketing Work</t>
  </si>
  <si>
    <t>PO-WET-NK-70G-001</t>
  </si>
  <si>
    <t>Nekko Pouch Tuna in Jelly</t>
  </si>
  <si>
    <t>Cat Pouch</t>
  </si>
  <si>
    <t>Facebook Ads</t>
  </si>
  <si>
    <t>AT International</t>
  </si>
  <si>
    <t>AC-CJ-AR-001</t>
  </si>
  <si>
    <t>Cat Jersey Argentina Medium</t>
  </si>
  <si>
    <t>Transport Cost for Product Purchase</t>
  </si>
  <si>
    <t>For Pathao Pickup Boy</t>
  </si>
  <si>
    <t>Packaging</t>
  </si>
  <si>
    <t>Scotch Tape</t>
  </si>
  <si>
    <t>AC-CJ-AR-002</t>
  </si>
  <si>
    <t>Cat Jersey Argentina Large</t>
  </si>
  <si>
    <t>Scotch Tape White</t>
  </si>
  <si>
    <t>FaceBook Marketing</t>
  </si>
  <si>
    <t>Seal / Weight Machine</t>
  </si>
  <si>
    <t>AC-CJ-BR-002</t>
  </si>
  <si>
    <t>Cat Jersey Brazil Large</t>
  </si>
  <si>
    <t>Tissue/Others Equipment</t>
  </si>
  <si>
    <t>INVENTORY / STOCK TRACKER</t>
  </si>
  <si>
    <t>Auto-populates from Purchases — just add new purchase rows in Purchases and the product appears here automatically. Fill in MRP (yellow) for any new product.</t>
  </si>
  <si>
    <t>Items with no MRP set:</t>
  </si>
  <si>
    <t>Miscellaneous Cost</t>
  </si>
  <si>
    <t>Bell Sign</t>
  </si>
  <si>
    <t>AC-CJ-BR-001</t>
  </si>
  <si>
    <t>Cat Jersey Brazil Medium</t>
  </si>
  <si>
    <t>Convence</t>
  </si>
  <si>
    <t>FB Boost</t>
  </si>
  <si>
    <t>AC-SHAMP-002</t>
  </si>
  <si>
    <t>Bengal Flea &amp; Tick Shampoo</t>
  </si>
  <si>
    <t>AC-SHAMP-003</t>
  </si>
  <si>
    <t>Price Machine</t>
  </si>
  <si>
    <t>Bengal Waterless Bath No-Rinse Shampoo</t>
  </si>
  <si>
    <t>Product Purchase Bill</t>
  </si>
  <si>
    <t>Codes fill in by themselves from Purchases — just type the price in any yellow cell.</t>
  </si>
  <si>
    <t>Facebooks Ads</t>
  </si>
  <si>
    <t>Purchased Qty</t>
  </si>
  <si>
    <t>Utilities</t>
  </si>
  <si>
    <t>Sold Qty</t>
  </si>
  <si>
    <t>AC-LB-001</t>
  </si>
  <si>
    <t>Electricity Setup</t>
  </si>
  <si>
    <t>Returned Qty</t>
  </si>
  <si>
    <t>Cat Litter Box Large</t>
  </si>
  <si>
    <t>Given to Shops (Qty)</t>
  </si>
  <si>
    <t>Current Stock</t>
  </si>
  <si>
    <t>Avg Unit Cost (Tk)</t>
  </si>
  <si>
    <t>Stock Value (Tk)</t>
  </si>
  <si>
    <t>Light</t>
  </si>
  <si>
    <t>MRP (Tk)</t>
  </si>
  <si>
    <t>Profit Margin % (of MRP)</t>
  </si>
  <si>
    <t>Profit Markup % (on Cost)</t>
  </si>
  <si>
    <t>(spacer)</t>
  </si>
  <si>
    <t>MRP Master — Item Code (auto-fills)</t>
  </si>
  <si>
    <t>MRP (Tk) — type price here</t>
  </si>
  <si>
    <t>Rat Killing</t>
  </si>
  <si>
    <t>AC-LB-002</t>
  </si>
  <si>
    <t>Cat Litter Box Medium</t>
  </si>
  <si>
    <t>Plastic Poly Wrapping</t>
  </si>
  <si>
    <t>Plastic Poly</t>
  </si>
  <si>
    <t>LT-LM-DD-5L-001</t>
  </si>
  <si>
    <t>Dodo Cat Litter 5L Lemon Flvor</t>
  </si>
  <si>
    <t>Cat Litter</t>
  </si>
  <si>
    <t>Bill Board + Liflet</t>
  </si>
  <si>
    <t>Nutrichemy Limited</t>
  </si>
  <si>
    <t>FD-DRY-CHNK-CHKN-1.5KG-001</t>
  </si>
  <si>
    <t>Chonk All ages Chicken</t>
  </si>
  <si>
    <t>Cat Food</t>
  </si>
  <si>
    <t>Ac Dc Light</t>
  </si>
  <si>
    <t>FD-DRY-CHNK-OCFCK-1.5KG-001</t>
  </si>
  <si>
    <t>Katabon Products Purchase</t>
  </si>
  <si>
    <t>Chonk All ages Ocean Fish with Chicken</t>
  </si>
  <si>
    <t xml:space="preserve">Bkash Cash Out </t>
  </si>
  <si>
    <t>FD-DRY-CHNK-TN-1.5KG-001</t>
  </si>
  <si>
    <t>Chonk All ages Tuna</t>
  </si>
  <si>
    <t>Wakia Trade International</t>
  </si>
  <si>
    <t>TR-CRMY-15G-001</t>
  </si>
  <si>
    <t>Creamy Treat 15G (Purry &amp; Hyper Paws)</t>
  </si>
  <si>
    <t>Cat Treat</t>
  </si>
  <si>
    <t>Creamy Treat 15G (Purry &amp; Hyper Paws)/Single Creamy Treat</t>
  </si>
  <si>
    <t>FD-DRY-SMHRT-450G-001</t>
  </si>
  <si>
    <t>Smart Heart Kitten Food Chicken, Fish, Egg &amp; Milk 450gm</t>
  </si>
  <si>
    <t>Kitten Food</t>
  </si>
  <si>
    <t>FD-DRY-SMHRT-15KG-001</t>
  </si>
  <si>
    <t>Smart Heart Adult Cat Food Chicken &amp; Tuna [15kg]</t>
  </si>
  <si>
    <t>FD-BRD-MLT-YLW-25KG</t>
  </si>
  <si>
    <t>Yellow Millet [25kg] + White Millet [25kg]</t>
  </si>
  <si>
    <t>Bird/Pet Feed</t>
  </si>
  <si>
    <t>3s Impex</t>
  </si>
  <si>
    <t>FD-DRY-KVF-MV-500G-001</t>
  </si>
  <si>
    <t>Kaniva Fusion Multiviamins Chicken &amp; Pumpkin 500gm</t>
  </si>
  <si>
    <t>FD-DRY-KVF-SKCO-500G-001</t>
  </si>
  <si>
    <t>Kaniva Fusion Beauty (Skin &amp; Coat) 500gm</t>
  </si>
  <si>
    <t>LT-LM-CZE-5L-001</t>
  </si>
  <si>
    <t>Cozie Cat Litter Lemon 5L</t>
  </si>
  <si>
    <t>LT-LM-CZE-10L-001</t>
  </si>
  <si>
    <t>Cozie Cat Litter Lemon 10L</t>
  </si>
  <si>
    <t>LT-LV-CZE-5L-001</t>
  </si>
  <si>
    <t>Cozie Cat Litter Lavender 5L</t>
  </si>
  <si>
    <t>LT-LV-CZE-10L-001</t>
  </si>
  <si>
    <t>Cozie Cat Litter Lavender 10L</t>
  </si>
  <si>
    <t>Nekko Pouch 70G Tuna in Jelly</t>
  </si>
  <si>
    <t>PO-WET-NK-70G-002</t>
  </si>
  <si>
    <t>Nekko Pouch 70G Tuna in Gravy</t>
  </si>
  <si>
    <t>PO-WET-NK-70G-003-KT</t>
  </si>
  <si>
    <t>Nekko Pouch 70G Tuna in Chicken Mousse For Kitten</t>
  </si>
  <si>
    <t>PO-WET-SMHRT-TJ-85G-001</t>
  </si>
  <si>
    <t>Smart Heart Pouch Tuna in Jelly Kitten</t>
  </si>
  <si>
    <t>PO-WET-SMHRT-TWC-85G-001</t>
  </si>
  <si>
    <t>Smart Heart Pouch  Tuna With Chicken in Jelly</t>
  </si>
  <si>
    <t>LT-CF-DD-25L-001</t>
  </si>
  <si>
    <t>L Favorite Cat Litter 25L Coffee Flvor</t>
  </si>
  <si>
    <t>LT-AP-DD-25L-002</t>
  </si>
  <si>
    <t>Dodo Cat Litter 25L Apple Flvor</t>
  </si>
  <si>
    <t>WITHDRAWALS  —  money taken back out of the business</t>
  </si>
  <si>
    <t>TOTAL WITHDRAWN</t>
  </si>
  <si>
    <t>Who took it</t>
  </si>
  <si>
    <t>LT-AP-DD-10L-001</t>
  </si>
  <si>
    <t>Dodo Cat Litter 10L Apple Flvor</t>
  </si>
  <si>
    <t>AC-SHAMP-001</t>
  </si>
  <si>
    <t>Bengal 4in1 Shampoo &amp; Conditioner</t>
  </si>
  <si>
    <t>AC-BOWL-001</t>
  </si>
  <si>
    <t>Sea Chinese Food Bowl</t>
  </si>
  <si>
    <t>AC-CTOY-001</t>
  </si>
  <si>
    <t>Wind up Mouse Toy</t>
  </si>
  <si>
    <t>AC-HM-MD-001</t>
  </si>
  <si>
    <t xml:space="preserve">Helminticide-L Deworming Tablet </t>
  </si>
  <si>
    <t>Smart Heart Tuna With Chicken in Jelly</t>
  </si>
  <si>
    <t>Nekko Pouch 70G Chicken Mousse For Kitten</t>
  </si>
  <si>
    <t>FD-DRY-SMHRT-480G-002</t>
  </si>
  <si>
    <t>Smart Heart Adult Cat Food Chicken &amp; Tuna [480G]</t>
  </si>
  <si>
    <t>PO-WET-WK-80G-001-KT</t>
  </si>
  <si>
    <t>Whiskas Junior Tuna Flavor</t>
  </si>
  <si>
    <t>AC-CTOY-002</t>
  </si>
  <si>
    <t>Cat Toy Rainbow Ball Spring</t>
  </si>
  <si>
    <t>AC-PNC-SM-001</t>
  </si>
  <si>
    <t>Pet Nail Clippers Small</t>
  </si>
  <si>
    <t>AC-CB-RD-001</t>
  </si>
  <si>
    <t>Cat Belt Radium</t>
  </si>
  <si>
    <t>AC-CB-BW-001</t>
  </si>
  <si>
    <t>Cat Belt Bow</t>
  </si>
  <si>
    <t xml:space="preserve">Cat Belt </t>
  </si>
  <si>
    <t>AC-CB-FC-001</t>
  </si>
  <si>
    <t>Cat Fancy Collar</t>
  </si>
  <si>
    <t>AC-CTOY-003</t>
  </si>
  <si>
    <t>Cat Toy Long Wire (Fish, Ball )</t>
  </si>
  <si>
    <t>LT-MX-DCLP-5L-002</t>
  </si>
  <si>
    <t>Cat Litter Mix Flavor 5L DR. Clump</t>
  </si>
  <si>
    <t>LT-MX-DCLP-10L-001</t>
  </si>
  <si>
    <t>Cat Litter Mix Flavor 10L DR. CLump</t>
  </si>
  <si>
    <t>TR-CKN-SMHRT-70G-001</t>
  </si>
  <si>
    <t>Smart Heart Chicken Treat</t>
  </si>
  <si>
    <t>Birds Palace</t>
  </si>
  <si>
    <t>FD-DRY-KTCN-400G-001</t>
  </si>
  <si>
    <t>Kitchen Flavor Grain Free Kitten 400G</t>
  </si>
  <si>
    <t>FD-DRY-KTCN-400G-002</t>
  </si>
  <si>
    <t>Kitchen Flavor Grain Free Adult 400G</t>
  </si>
  <si>
    <t>FD-DRY-KTCN-1.5G-001</t>
  </si>
  <si>
    <t>Kitchen Flavor Grain Free Adult 1.5KG</t>
  </si>
  <si>
    <t>FD-WET-KTCN-001</t>
  </si>
  <si>
    <t>Kitchen Flavor Pate Delight</t>
  </si>
  <si>
    <t>Cat Wet Food</t>
  </si>
  <si>
    <t>FD-DRY-KTCN-1.5G-002</t>
  </si>
  <si>
    <t>Kitchen Flavor Grain Free Kitten 1.5KG</t>
  </si>
  <si>
    <t>FD-DRY-SMHRT-1.2KG-002</t>
  </si>
  <si>
    <t>Smart Heart Adult Cat Food Chicken &amp; Tuna 1.2KG</t>
  </si>
  <si>
    <t>AC-CF-001</t>
  </si>
  <si>
    <t xml:space="preserve">China Flea </t>
  </si>
  <si>
    <t>AC-CS-002</t>
  </si>
  <si>
    <t>Cat litter scooper</t>
  </si>
  <si>
    <t>FD-DRY-ZOI-1KG-001</t>
  </si>
  <si>
    <t>Zoi Cat Food 1kg</t>
  </si>
  <si>
    <t>PO-WET-NK-70G-004</t>
  </si>
  <si>
    <t>Nekko Tuna Topping Chicken in Gravy 70g</t>
  </si>
  <si>
    <t>FD-DRY-TRL-1KG-001</t>
  </si>
  <si>
    <t>TRENDLINE Adult Chicken Cat Food 1-Kg</t>
  </si>
  <si>
    <t>FD-DRY-SMHRT-10KG-001</t>
  </si>
  <si>
    <t>Smart Heart 10KG Chicken &amp; Tuna</t>
  </si>
  <si>
    <t>SALES LOG</t>
  </si>
  <si>
    <t>SALES SUMMARY</t>
  </si>
  <si>
    <t>TEST 1 - typed list -&gt; click AD1</t>
  </si>
  <si>
    <t>ALPHA</t>
  </si>
  <si>
    <t>Enter each sale or return here. Type = "Sale" or "Return". Description, Unit Cost, Total Cost &amp; Profit auto-calculate.</t>
  </si>
  <si>
    <t>Total Sales</t>
  </si>
  <si>
    <t>Cost of Goods</t>
  </si>
  <si>
    <t>Product Profit</t>
  </si>
  <si>
    <t>AC-CB-HRNS-001</t>
  </si>
  <si>
    <t>TEST 2 - static range -&gt; click AD2</t>
  </si>
  <si>
    <t xml:space="preserve">Cat Belt Harness </t>
  </si>
  <si>
    <t>BRAVO</t>
  </si>
  <si>
    <t>Delivery Charged</t>
  </si>
  <si>
    <t>Delivery You Paid</t>
  </si>
  <si>
    <t>REAL Profit</t>
  </si>
  <si>
    <t>TEST 3 - formula range -&gt; click AD3</t>
  </si>
  <si>
    <t>CHARLIE</t>
  </si>
  <si>
    <t>Total Due</t>
  </si>
  <si>
    <t>AC-CB-HRNS-002</t>
  </si>
  <si>
    <t>Cat Belt Harness  Zinch</t>
  </si>
  <si>
    <t>Profit Collected</t>
  </si>
  <si>
    <t>Profit Pending</t>
  </si>
  <si>
    <t>Channel</t>
  </si>
  <si>
    <t>Customer</t>
  </si>
  <si>
    <t>Invoice Number</t>
  </si>
  <si>
    <t>AC-CMB-001</t>
  </si>
  <si>
    <t>Item Code (click here ↓ for dropdown)</t>
  </si>
  <si>
    <t>Product Description (auto-fills)</t>
  </si>
  <si>
    <t>Pet Comb One Side</t>
  </si>
  <si>
    <t>Unit Price (Tk)</t>
  </si>
  <si>
    <t>Discount (Tk)</t>
  </si>
  <si>
    <t>Total Amount (Tk)</t>
  </si>
  <si>
    <t>Payment Status</t>
  </si>
  <si>
    <t>Profit (Tk)</t>
  </si>
  <si>
    <t>Delivery Charged to Customer (auto from Orders)</t>
  </si>
  <si>
    <t>Delivery Cost You Paid (auto from Orders)</t>
  </si>
  <si>
    <t>REAL Profit incl. Delivery (Tk)</t>
  </si>
  <si>
    <t>Profit for WHOLE Invoice (Tk)</t>
  </si>
  <si>
    <t>Helper - online invoice order</t>
  </si>
  <si>
    <t>Helper - sorted position</t>
  </si>
  <si>
    <t>Helper - line no. within month</t>
  </si>
  <si>
    <t>Helper - month key</t>
  </si>
  <si>
    <t>Item code list (feeds the dropdown — do not type here)</t>
  </si>
  <si>
    <t>Sale</t>
  </si>
  <si>
    <t>Online</t>
  </si>
  <si>
    <t>Samreen islam</t>
  </si>
  <si>
    <t>PAWF-260715-04EAA</t>
  </si>
  <si>
    <t>FD-DRY-SMHRT-1.2KG-003</t>
  </si>
  <si>
    <t>Smart Heart Kitten Cat Food Chicken &amp; Tuna 1.2KG</t>
  </si>
  <si>
    <t>Paid</t>
  </si>
  <si>
    <t>FD-DRY-DR-DOG-3-0001</t>
  </si>
  <si>
    <t>Drools Puppy Dog Food Chicken &amp; Egg 3kg</t>
  </si>
  <si>
    <t>Dog Food</t>
  </si>
  <si>
    <t>AC-CS-BAG-001</t>
  </si>
  <si>
    <t>Cat Carried Bag</t>
  </si>
  <si>
    <t>PO-TP-70G-001</t>
  </si>
  <si>
    <t>Taipet Chicken Tuna in Jelly</t>
  </si>
  <si>
    <t>PO-TP-70G-002</t>
  </si>
  <si>
    <t>Taipet Chicken Pouch</t>
  </si>
  <si>
    <t>AC-BCR-001</t>
  </si>
  <si>
    <t>Body Carrier</t>
  </si>
  <si>
    <t>CN-WAN-375G-001</t>
  </si>
  <si>
    <t>Wanpy Cat Food Can Chicken</t>
  </si>
  <si>
    <t>Can Food</t>
  </si>
  <si>
    <t>Johura Hoque</t>
  </si>
  <si>
    <t>PAWF-260713-BAADD</t>
  </si>
  <si>
    <t>CN-WAN-375G-002</t>
  </si>
  <si>
    <t>Wanpy Cat Food Can Tuna</t>
  </si>
  <si>
    <t>CN-PAW-400G-001</t>
  </si>
  <si>
    <t>PAW Cat Food Kitten Can Fish</t>
  </si>
  <si>
    <t>Bkash</t>
  </si>
  <si>
    <t>CN-PAW-400G-002</t>
  </si>
  <si>
    <t>PAW Cat Food Adult Can Chicken</t>
  </si>
  <si>
    <t>AC-BOWL-002</t>
  </si>
  <si>
    <t>Cat Food Single Bowl Steel Small</t>
  </si>
  <si>
    <t>Nadim</t>
  </si>
  <si>
    <t>PAWF-260718-8CA86</t>
  </si>
  <si>
    <t>Pet Metro</t>
  </si>
  <si>
    <t>PO-PP-85G-001</t>
  </si>
  <si>
    <t>Petmetro Premium Pouch Chicken &amp; Tuna 85gm</t>
  </si>
  <si>
    <t>PO-PP-85G-002</t>
  </si>
  <si>
    <t>Petmetro Premium Pouch Chicken 85gm</t>
  </si>
  <si>
    <t>PO-PP-100G-001</t>
  </si>
  <si>
    <t>Petmetro Pouch Complite Balance - Chicken Receipe - 100g</t>
  </si>
  <si>
    <t>Shop</t>
  </si>
  <si>
    <t>PawfectBD Shop</t>
  </si>
  <si>
    <t>PAWF-260719-979C1</t>
  </si>
  <si>
    <t>PO-PP-100G-002</t>
  </si>
  <si>
    <t>Petmetro Gino Pouch - Chicken &amp; Cat Grass - 100g</t>
  </si>
  <si>
    <t>LT-AP-PM-5L-001</t>
  </si>
  <si>
    <t>PetMetro Cat Litter Apple 5L</t>
  </si>
  <si>
    <t>AC-CB-002</t>
  </si>
  <si>
    <t>Premium Pet Collar Multicolor</t>
  </si>
  <si>
    <t>AC-CN-001</t>
  </si>
  <si>
    <t>Cat Nip</t>
  </si>
  <si>
    <t>LT-AP-PM-5L-002</t>
  </si>
  <si>
    <t>PetMetro Cat Litter Coffee 5L</t>
  </si>
  <si>
    <t>FD-MX-0001</t>
  </si>
  <si>
    <t>Drools &amp; Purepet Mixe Cat Food 500gm</t>
  </si>
  <si>
    <t>PAWF-260719-FCE0C</t>
  </si>
  <si>
    <t>FD-DRY-JUN-KT-1.5KG-001</t>
  </si>
  <si>
    <t>Jungle Kitten Dry Food Chicken</t>
  </si>
  <si>
    <t>FD-DRY-KVF-1.5KG-001</t>
  </si>
  <si>
    <t>Kaniva Chicken, Tuna &amp; Rice Cat Food 1.5kg</t>
  </si>
  <si>
    <t>XA Trading</t>
  </si>
  <si>
    <t>LT-LM-LUM-5L-001</t>
  </si>
  <si>
    <t>LuminaCat Litter Lemon 5L</t>
  </si>
  <si>
    <t>LT-AP-LUM-5L-002</t>
  </si>
  <si>
    <t>LuminaCat Litter Apple 5L</t>
  </si>
  <si>
    <t>PAWF-260719-0FD1A</t>
  </si>
  <si>
    <t>LT-CF-LUM-5L-003</t>
  </si>
  <si>
    <t>LuminaCat Litter Coffee 5L</t>
  </si>
  <si>
    <t>LT-LV-LUM-5L-004</t>
  </si>
  <si>
    <t>Lumina Cat Litter Lavender 5L</t>
  </si>
  <si>
    <t>LT-LM-NT-10L-001</t>
  </si>
  <si>
    <t>Naughty Tail Cat Litter Lemon 10L</t>
  </si>
  <si>
    <t>PAWF-260719-25FF0</t>
  </si>
  <si>
    <t>LT-AP-LUM-10L-002</t>
  </si>
  <si>
    <t>Lumina Cat Litter Apple 10L</t>
  </si>
  <si>
    <t>LT-CF-FT-10L-003</t>
  </si>
  <si>
    <t>FrontTera Cat Litter Coffee 10L</t>
  </si>
  <si>
    <t>LT-LV-LUM-10L-004</t>
  </si>
  <si>
    <t>Lumina Cat Litter Lavender 10L</t>
  </si>
  <si>
    <t>PAWF-260719-74AA3</t>
  </si>
  <si>
    <t>LT-LM-LUM-25L-001</t>
  </si>
  <si>
    <t>LuminaCat Litter Lemon 25L</t>
  </si>
  <si>
    <t>LT-LV-LUM-25L-002</t>
  </si>
  <si>
    <t>LuminaCat Litter Lavender 25L</t>
  </si>
  <si>
    <t>LT-LV-FT-25L-002</t>
  </si>
  <si>
    <t>FrontTera Cat Litter Apple 25L</t>
  </si>
  <si>
    <t>LT-CF-NT-25L-001</t>
  </si>
  <si>
    <t>Naughty Tail Cat Litter Coffee 25L</t>
  </si>
  <si>
    <t>PO-KYF-100G-001</t>
  </si>
  <si>
    <t xml:space="preserve">Keyf Treat Pouch </t>
  </si>
  <si>
    <t>PO-Fuya-100G-001</t>
  </si>
  <si>
    <t>Fuya Pouch</t>
  </si>
  <si>
    <t>PAWF-260719-C4018</t>
  </si>
  <si>
    <t>FD-MX-0002</t>
  </si>
  <si>
    <t>Drools &amp; Purepet Mixe Cat Food 250gm</t>
  </si>
  <si>
    <t>FD-DRY-DR-CAT-0001</t>
  </si>
  <si>
    <t>Drools Adult Cat Food Ocean Fish 7kg</t>
  </si>
  <si>
    <t>TR-DR-BIS-110G-001</t>
  </si>
  <si>
    <t>Drools Cat Biscuit 110gm</t>
  </si>
  <si>
    <t>PAWF-260719-187F5</t>
  </si>
  <si>
    <t>Drools, Meo &amp; Cutie Mixed Food 250gm</t>
  </si>
  <si>
    <t>AC-PETME-001</t>
  </si>
  <si>
    <t>PetMe Jel 30gm</t>
  </si>
  <si>
    <t>Gift</t>
  </si>
  <si>
    <t>FD-DRY-Taipet-400G-001</t>
  </si>
  <si>
    <t>Taipet Adult Dry Cat Food Chicken &amp; Tuna 400gm</t>
  </si>
  <si>
    <t>Gift For Check Product Quality</t>
  </si>
  <si>
    <t>FD-DRY-Taipet-KT-400G-002</t>
  </si>
  <si>
    <t>Taipet Kitten Dry Cat Food Chicken Milk &amp; Fish 400gm</t>
  </si>
  <si>
    <t>FD-DRY-Taipet-1KG-001</t>
  </si>
  <si>
    <t>Taipet Adult Dry Cat Food Chicken &amp; Tuna 1KG</t>
  </si>
  <si>
    <t>PAWF-260718-9DC96</t>
  </si>
  <si>
    <t>FD-DRY-Taipet-1KG-002</t>
  </si>
  <si>
    <t>Taipet Kitten Dry Cat Food Chicken Milk &amp; Fish 1KG</t>
  </si>
  <si>
    <t>FD-DRY-ZOI-1KG-002</t>
  </si>
  <si>
    <t>FD-DRY-SMHRT-450G-002</t>
  </si>
  <si>
    <t>Smart Heart Kitten Chicken, Fish, Egg &amp; Milk 450gm</t>
  </si>
  <si>
    <t>Smart Heart Kitten Cat Food Chicken &amp; Tuna 1.1KG</t>
  </si>
  <si>
    <t>PO-TP-70G-003</t>
  </si>
  <si>
    <t>PO-WET-WK-80G-002-KT</t>
  </si>
  <si>
    <t>Smart Heart Tuna WIth Chicken in Jelly</t>
  </si>
  <si>
    <t>PO-WET-BL-85G-001</t>
  </si>
  <si>
    <t>Bellotta Adult Pouch Tuna 85gm</t>
  </si>
  <si>
    <t>PO-WET-BL-85G-002</t>
  </si>
  <si>
    <t>Bellotta Adult Pouch Tuna &amp; Chicken 85gm</t>
  </si>
  <si>
    <t>FD-DRY-JUN-1.5KG-001</t>
  </si>
  <si>
    <t>Jungle Adult Dry Food Chicken</t>
  </si>
  <si>
    <t>LT-LM-DR-10L-001</t>
  </si>
  <si>
    <t>Dr Clump Lemon Falvor 10L</t>
  </si>
  <si>
    <t>CN-SMR-375G-001</t>
  </si>
  <si>
    <t>Smart Heart Can Food</t>
  </si>
  <si>
    <t>PAWF-260719-0AD9E</t>
  </si>
  <si>
    <t>Cat Harness Zinch</t>
  </si>
  <si>
    <t>Drools, Meo &amp; Cutie Mixed Food 500gm</t>
  </si>
  <si>
    <t>AC-EC-0001</t>
  </si>
  <si>
    <t>Cat Elezabeth Collar</t>
  </si>
  <si>
    <t>AC-MT-0001</t>
  </si>
  <si>
    <t>Cat Toy Mouse Mini</t>
  </si>
  <si>
    <t>AC-RB-MS-0001</t>
  </si>
  <si>
    <t>Smart Cat Chirping Roller Ball with Motion Sensor</t>
  </si>
  <si>
    <t>PAWF-260718-0F82F</t>
  </si>
  <si>
    <t>AC-CSTOY-Feather-0001</t>
  </si>
  <si>
    <t>Cat Toy Feather String Cat Teaser Toy</t>
  </si>
  <si>
    <t>FD-MX-0003</t>
  </si>
  <si>
    <t>Drools, Meo &amp; Cutie Mixed Food 100gm</t>
  </si>
  <si>
    <t>FD-DRY-WP-1.5KG-001</t>
  </si>
  <si>
    <t>Wanpy Grain Free Cat Food</t>
  </si>
  <si>
    <t>FD-WET-WP-001</t>
  </si>
  <si>
    <t>Wanpy Cat Treat Likable Tuna Mousse with Chicken 40gm</t>
  </si>
  <si>
    <t>MONTHLY SALES SUMMARY</t>
  </si>
  <si>
    <t>FD-DRY-KTCN-All-400G-001</t>
  </si>
  <si>
    <t>Everything here calculates from the Sales sheet by itself. Nothing to type. New months fill in as you add sales.</t>
  </si>
  <si>
    <t>Kitchen Flavour Grain Free Dry Cat Food All Life Stage 400gm</t>
  </si>
  <si>
    <t>Month</t>
  </si>
  <si>
    <t>Gift from PawfectBD</t>
  </si>
  <si>
    <t>Sales (Tk)</t>
  </si>
  <si>
    <t>Cost of Goods (Tk)</t>
  </si>
  <si>
    <t>Product Profit (Tk)</t>
  </si>
  <si>
    <t>Delivery Charged (Tk)</t>
  </si>
  <si>
    <t>Delivery You Paid (Tk)</t>
  </si>
  <si>
    <t>Real Profit (Tk)</t>
  </si>
  <si>
    <t>Sale Lines</t>
  </si>
  <si>
    <t>Online Orders</t>
  </si>
  <si>
    <t>Profit Margin %</t>
  </si>
  <si>
    <t>PO-WET-KTCN-HS-001</t>
  </si>
  <si>
    <t>Kitchen Flavour Special Care Complete Cat Food Pouch Hair &amp; Skin Care 70gm</t>
  </si>
  <si>
    <t>PO-WET-KTCN-UR-001</t>
  </si>
  <si>
    <t>Kitchen Flavour Special Care Complete Cat Food Pouch Urinary Care 70gm</t>
  </si>
  <si>
    <t>PAWF-260729-77F7C</t>
  </si>
  <si>
    <t>PO-WET-KTCN-ID-001</t>
  </si>
  <si>
    <t>Kitchen Flavour Special Care Complete Cat Food Pouch Indoor &amp; Digestive Care 70gm</t>
  </si>
  <si>
    <t>PO-WET-NB-KD-001</t>
  </si>
  <si>
    <t>Nature Bridge Veterinary Exclusive Wet Cat Food for Kidney 190gm</t>
  </si>
  <si>
    <t>PO-WET-NB-UR-001</t>
  </si>
  <si>
    <t>Nature Bridge Veterinary Exclusive Wet Cat Food for Urinary Tract 190gm</t>
  </si>
  <si>
    <t>PAWF-260719-B6373</t>
  </si>
  <si>
    <t>FD-DRY-KT-H/P-1.5KG-001</t>
  </si>
  <si>
    <t>Haisenpet Premium Kitten Dry Cat Food Chicken, Fish, Egg &amp; Milk 1.2KG</t>
  </si>
  <si>
    <t>FD-DRY-H/P-1.5KG-001</t>
  </si>
  <si>
    <t>Haisenpet Premium Adult Dry Cat Food Chicken, Tuna &amp; Turkey 1.2KG</t>
  </si>
  <si>
    <t>FD-DRY-LR-0.95KG-001</t>
  </si>
  <si>
    <t>Lara Dry Cat Food Adult Poultry 950gm</t>
  </si>
  <si>
    <t>FD-DRY-PR-1KG-001</t>
  </si>
  <si>
    <t>Pramy Feline Solutions NutriBoost Dry Cat Food Urinary Care 1KG</t>
  </si>
  <si>
    <t>PAWF-260726-FD0E4</t>
  </si>
  <si>
    <t>FD-DRY-KTCN-HM-1.3KG-001</t>
  </si>
  <si>
    <t>Kitchen Flavor Hi Meat Complete Cat Food for Cat All Life Stages 1.3kg</t>
  </si>
  <si>
    <t>FD-DRY-KTCN-UC-1.5KG-001</t>
  </si>
  <si>
    <t>Kitchen Flavor Grain Free Special Care Urinary Care Complete Food for Adult Chicken &amp; Salmon 1.5 kg</t>
  </si>
  <si>
    <t>PO-WP-90G-001</t>
  </si>
  <si>
    <t>Wanpy Fresh Chicken &amp; Carrot Cat Meat Paste 90 gr</t>
  </si>
  <si>
    <t>PO-WP-90G-002</t>
  </si>
  <si>
    <t>Wanpy Fresh Tuna Fish Chicken &amp; Carrots Cat Meat Paste 90 gr</t>
  </si>
  <si>
    <t>FD-WET-WP-002</t>
  </si>
  <si>
    <t>Wanpy Aluminum Can Tuna Mousse with Shimp for Cat 40g</t>
  </si>
  <si>
    <t>PAWF-260726-18C42</t>
  </si>
  <si>
    <t>TR-WP-Lol-001</t>
  </si>
  <si>
    <t>Wanpy Freeze Dried Swirlpop Cat Treat Lollipop with Chicken, Goat Milk &amp; Cat Grass 1.4gm 1pcs</t>
  </si>
  <si>
    <t>TR-WP-Lol-002</t>
  </si>
  <si>
    <t>Wanpy Freeze Dried Swirlpop Cat Treat Lollipop with Chicken, Goat Milk &amp; Cranberry 1.4gm 1pcs</t>
  </si>
  <si>
    <t>TR-WP-ST-001</t>
  </si>
  <si>
    <t>Wanpy Meaty Sticks Cat Treat Cat Grass &amp; Chicken 21gm 3pc's</t>
  </si>
  <si>
    <t>TR-WP-ST-002</t>
  </si>
  <si>
    <t>Wanpy Meaty Sticks Cat Treat Chicken 21gm 3pc's</t>
  </si>
  <si>
    <t>TR-WP-ST-S-003</t>
  </si>
  <si>
    <t>Wanpy Meaty Sticks Cat Treat Cat Grass &amp; Chicken 21gm Single</t>
  </si>
  <si>
    <t>TR-WP-ST-S-004</t>
  </si>
  <si>
    <t>Wanpy Meaty Sticks Cat Treat Chicken 21gm Single</t>
  </si>
  <si>
    <t>PAWF-260726-65F27</t>
  </si>
  <si>
    <t>AC-SHAMP-H-001</t>
  </si>
  <si>
    <t>Himalayan Erina EP Tick &amp; Flea Shampoo 250ml</t>
  </si>
  <si>
    <t>AC-Grass-001</t>
  </si>
  <si>
    <t>Cat Grass Teething Stick 30gm</t>
  </si>
  <si>
    <t xml:space="preserve">Gift From PawfectBD </t>
  </si>
  <si>
    <t>LT-LM-Clean-5L-001</t>
  </si>
  <si>
    <t>Clean Step Litter Lemon 5L</t>
  </si>
  <si>
    <t>LT-LV-Clean-5L-001</t>
  </si>
  <si>
    <t>Clean Step Litter Lavender 5L</t>
  </si>
  <si>
    <t>Lumina Cat Litter Lavender10L</t>
  </si>
  <si>
    <t>LT-LM-LUM-10L-005</t>
  </si>
  <si>
    <t>Lumina Cat Litter Lemon 10L</t>
  </si>
  <si>
    <t>LT-CoF-LUM-25L-002</t>
  </si>
  <si>
    <t>LuminaCat Litter Coffee 25L</t>
  </si>
  <si>
    <t>Kyf Treat</t>
  </si>
  <si>
    <t>PAWF-260726-3B7D4</t>
  </si>
  <si>
    <t xml:space="preserve">Cat Toy Stick Feather </t>
  </si>
  <si>
    <t>Cat Toy Stick Ball Wire</t>
  </si>
  <si>
    <t>LT-LM-DC-25L-001</t>
  </si>
  <si>
    <t>Dr Clump Lemon Falvor 25L</t>
  </si>
  <si>
    <t>PAWF-260726-A9C27</t>
  </si>
  <si>
    <t>LT-Coffee-DC-25L-001</t>
  </si>
  <si>
    <t>Dr Clump Coffee Falvor 25L</t>
  </si>
  <si>
    <t>LT-LV-DC-25L-001</t>
  </si>
  <si>
    <t>Dr Clump Lavender Falvor 25L</t>
  </si>
  <si>
    <t>TR-TAI-MUL-15G-001</t>
  </si>
  <si>
    <t>Taipet Multivitamin Treat 15gm</t>
  </si>
  <si>
    <t>FD-DRY-BON-AD-0001</t>
  </si>
  <si>
    <t>Bonacibo Super Premium Cat (Chicken, Rice with Anchovy) 2KG</t>
  </si>
  <si>
    <t>FD-DRY-BON-KT-0001</t>
  </si>
  <si>
    <t>Bonacibo Super Premium Cat (Chicken, Rice with Anchovy) 1.5KG</t>
  </si>
  <si>
    <t>Original sale before July — exact date unknown, placeholder 30-Jun-2026. Customer later returned this and bought 1.2KG-003.</t>
  </si>
  <si>
    <t>Return</t>
  </si>
  <si>
    <t>PAWF-260729-5B3A8</t>
  </si>
  <si>
    <t>TOTAL</t>
  </si>
  <si>
    <t>READ ONLY — do not type in this sheet. Enter sales in the Sales sheet. Pick any month from the yellow dropdown in B3; new months appear there on their own.</t>
  </si>
  <si>
    <t>Month:</t>
  </si>
  <si>
    <t>Product Description (auto-fills, don't type)</t>
  </si>
  <si>
    <t>Helper - matched row</t>
  </si>
  <si>
    <t>From Facebook</t>
  </si>
  <si>
    <t>PAWF-260725-A2D5A</t>
  </si>
  <si>
    <t>PAWF-260723-EC10A</t>
  </si>
  <si>
    <t>PAWF-260725-A3949</t>
  </si>
  <si>
    <t>Tanvir Bhai</t>
  </si>
  <si>
    <t>Sabrina Karim</t>
  </si>
  <si>
    <t>PAWF-260729-ED44F</t>
  </si>
  <si>
    <t>Farhana Faruque</t>
  </si>
  <si>
    <t>PAWF-260731-EC093</t>
  </si>
  <si>
    <t>Monami Tariq</t>
  </si>
  <si>
    <t>PAWF-260730-9CAB6</t>
  </si>
  <si>
    <t>Ishrat Tabassum</t>
  </si>
  <si>
    <t>PAWF-260802-FFD57</t>
  </si>
  <si>
    <t>Amy</t>
  </si>
  <si>
    <t>PAWF-260802-D5CC2</t>
  </si>
  <si>
    <t>Abir</t>
  </si>
  <si>
    <t>PAWF-260801-E2E23</t>
  </si>
  <si>
    <t>PAWF-260806-86FCD</t>
  </si>
  <si>
    <t>সাইদুর রহমান</t>
  </si>
  <si>
    <t>PAWF-260809-FB6B6</t>
  </si>
  <si>
    <t>PAWF-260811-5149B</t>
  </si>
  <si>
    <t>PAWF-260814-40B5E</t>
  </si>
  <si>
    <t>Tanvir Ahmed Robbany</t>
  </si>
  <si>
    <t>Due</t>
  </si>
  <si>
    <t>PAWF-260816-083DB</t>
  </si>
  <si>
    <t>NOTEBOOK vs SALES SHEET — DAILY CHECK</t>
  </si>
  <si>
    <t>Blue cells are typed from your notebook. Everything else calculates by itself. Difference should be 0 (zero) on every row.</t>
  </si>
  <si>
    <t>Notebook Total (Tk)</t>
  </si>
  <si>
    <t>Less: Not a Product Sale (Tk)</t>
  </si>
  <si>
    <t>Less: Notebook Adding Error (Tk)</t>
  </si>
  <si>
    <t>Add: Notebook Logged Net Cash (Tk)</t>
  </si>
  <si>
    <t>Notebook, Adjusted (Tk)</t>
  </si>
  <si>
    <t>Sales Sheet Total (Tk)</t>
  </si>
  <si>
    <t>Difference (Tk)</t>
  </si>
  <si>
    <t>Why</t>
  </si>
  <si>
    <t>Matches line for line.</t>
  </si>
  <si>
    <t>Notebook includes 'From Pathao 46' (courier receipt, not a product sale). Notebook total = 1,856 + 575 across two pages.</t>
  </si>
  <si>
    <t>Notebook includes 3,500 collected from Kafrul Pet Shop - that sits in the Shop Collections sheet, not Sales.</t>
  </si>
  <si>
    <t>Notebook 700 for Cozie 10L = 620 product + 80 delivery charged to customer. Delivery is tracked in the Orders sheet.</t>
  </si>
  <si>
    <t>Notebook wrote the 747 Pathao remittance (after courier fees). The order itself was 817 of products.</t>
  </si>
  <si>
    <t>Fixed - Dr. Clump 10L corrected to 580.</t>
  </si>
  <si>
    <t>Fixed - Drools Biriyani 1kg corrected to 420. Notebook total = 1,160 + 1,070 across two pages.</t>
  </si>
  <si>
    <t>Fixed - missing Mixed Food 100gm (40) added. Notebook total = 3,530 + 2,227 across two pages.</t>
  </si>
  <si>
    <t>TOTAL 1-15 Aug</t>
  </si>
  <si>
    <t>WHY YOUR HAND TOTAL OF 90,833 DOES NOT MATCH THE SALES SHEET</t>
  </si>
  <si>
    <t>1. Your notebook mixes money received with products sold. The Sales sheet records only the value of products sold.</t>
  </si>
  <si>
    <t>2. Delivery charged to customers is in the notebook totals, but in this workbook delivery lives in the Orders sheet (columns O and P).</t>
  </si>
  <si>
    <t>3. Shop payments (Kafrul Pet Shop 3,500 and 10,000) are in the notebook, but belong in the Shop Collections sheet.</t>
  </si>
  <si>
    <t>4. Courier remittances (like the 747 and the 46 from Pathao) are cash received after fees, not sales figures.</t>
  </si>
  <si>
    <t>5. Where a day is written across two notebook pages, add both pages together before comparing.</t>
  </si>
  <si>
    <t>6. The Sales sheet also contains July sales, so its grand total covers more days than your August pages.</t>
  </si>
  <si>
    <t>Use the day-by-day check above instead of one grand total. If every Difference is 0, your records are correct.</t>
  </si>
  <si>
    <t>PROFIT SHARE</t>
  </si>
  <si>
    <t>THE ANSWER</t>
  </si>
  <si>
    <t>Money in</t>
  </si>
  <si>
    <t>Everything you sold — customers and shops</t>
  </si>
  <si>
    <t>Money out</t>
  </si>
  <si>
    <t>Cost of those goods + delivery + running costs</t>
  </si>
  <si>
    <t>PROFIT  /  LOSS</t>
  </si>
  <si>
    <t>Can we share money today?</t>
  </si>
  <si>
    <t>Money people still owe you</t>
  </si>
  <si>
    <t>Not in your hand yet</t>
  </si>
  <si>
    <t>MONEY IN</t>
  </si>
  <si>
    <t>Sales to my customers</t>
  </si>
  <si>
    <t>From the Sales sheet</t>
  </si>
  <si>
    <t>Sales to shops</t>
  </si>
  <si>
    <t>Counts when you hand the goods over, paid or not</t>
  </si>
  <si>
    <t>TOTAL MONEY IN</t>
  </si>
  <si>
    <t>MONEY OUT</t>
  </si>
  <si>
    <t>Cost of the products you sold — to customers</t>
  </si>
  <si>
    <t>Cost of the products you sold — to shops</t>
  </si>
  <si>
    <t>Delivery you paid, after what customers paid</t>
  </si>
  <si>
    <t>Running costs — marketing, bank fees, transport</t>
  </si>
  <si>
    <t>From the Expenses sheet</t>
  </si>
  <si>
    <t>TOTAL MONEY OUT</t>
  </si>
  <si>
    <t>STILL OWED TO YOU</t>
  </si>
  <si>
    <t>Customers owe you</t>
  </si>
  <si>
    <t>Unpaid customer bills</t>
  </si>
  <si>
    <t>Shops owe you</t>
  </si>
  <si>
    <t>Goods handed over, money not collected yet</t>
  </si>
  <si>
    <t>TOTAL OWED TO YOU</t>
  </si>
  <si>
    <t>HOW THE PROFIT IS SPLIT</t>
  </si>
  <si>
    <t>Mukta Mama's share (he gave the money)</t>
  </si>
  <si>
    <t>Change this cell if the deal changes</t>
  </si>
  <si>
    <t>You three partners together</t>
  </si>
  <si>
    <t>Mukta Mama gets</t>
  </si>
  <si>
    <t>You three get together</t>
  </si>
  <si>
    <t>Ratul gets</t>
  </si>
  <si>
    <t>Equal three-way split</t>
  </si>
  <si>
    <t>Samin gets</t>
  </si>
  <si>
    <t>Nawroz gets</t>
  </si>
  <si>
    <t>DETAILS — you do not need to read this</t>
  </si>
  <si>
    <t>Already counted above. Here just so you can see it.</t>
  </si>
  <si>
    <t>Free gifts — what they cost you</t>
  </si>
  <si>
    <t>Free gifts — value at shop price</t>
  </si>
  <si>
    <t>Discounts given on sales</t>
  </si>
  <si>
    <t>Total given away</t>
  </si>
  <si>
    <t>WHY IS IT A LOSS WHEN THE SALES SHEET SHOWS PROFIT?</t>
  </si>
  <si>
    <t>Profit from customer sales</t>
  </si>
  <si>
    <t>This is the number you see on the Sales sheet</t>
  </si>
  <si>
    <t>Plus profit from shop sales</t>
  </si>
  <si>
    <t>Shop side is not on the Sales sheet at all</t>
  </si>
  <si>
    <t>Minus running costs</t>
  </si>
  <si>
    <t>Rent, marketing, bank fees, transport — this is what eats it</t>
  </si>
  <si>
    <t>= PROFIT / LOSS</t>
  </si>
  <si>
    <t>Profit margin on shop sales</t>
  </si>
  <si>
    <t>Profit stuck inside unpaid shop dues</t>
  </si>
  <si>
    <t>Out of every Tk 100 sold, profit is</t>
  </si>
  <si>
    <t>ONLINE ORDERS — one line per invoice</t>
  </si>
  <si>
    <t>Online orders only, one line per invoice. Type the two delivery amounts in the blue columns — everything else fills in by itself.</t>
  </si>
  <si>
    <t>Invoice numbers fill in by themselves (green). Type only the two delivery amounts in the blue columns, on the line for that invoice.</t>
  </si>
  <si>
    <t>Items (Total Qty)</t>
  </si>
  <si>
    <t>Sales Total (Tk)</t>
  </si>
  <si>
    <t>Delivery Charged to Customer (Tk)</t>
  </si>
  <si>
    <t>Delivery Cost You Paid (Tk)</t>
  </si>
  <si>
    <t>Final Profit for this Order (Tk)</t>
  </si>
  <si>
    <t>Invoice Number2</t>
  </si>
  <si>
    <t>Delivery Charged to Customer (Tk)3</t>
  </si>
  <si>
    <t>Delivery Cost You Paid (Tk)4</t>
  </si>
  <si>
    <t>KH. Tahib</t>
  </si>
  <si>
    <t>PAWF-260818-FA891</t>
  </si>
  <si>
    <t>Free giveaway — was entered as a Sale with a Tk 40 discount on a Tk 40 line, which made revenue negative.</t>
  </si>
  <si>
    <t>Ayesa</t>
  </si>
  <si>
    <t>Tanvir</t>
  </si>
  <si>
    <t>PAWF-260823-AE44A</t>
  </si>
  <si>
    <t>PAWF-260825-4DFC3</t>
  </si>
  <si>
    <t>PAWF-260825-E6B34</t>
  </si>
  <si>
    <t>MY SHOP — STOCK &amp; PRICE LIST</t>
  </si>
  <si>
    <t>Live view of your shop's stock. Auto-pulls from Inventory — do not type over the formula cells.</t>
  </si>
  <si>
    <t>Product Name</t>
  </si>
  <si>
    <t>Qty in Stock</t>
  </si>
  <si>
    <t>TP / Cost (Tk)</t>
  </si>
  <si>
    <t>SHOP LEDGER — Products Given to Shops</t>
  </si>
  <si>
    <t>Log each batch of products supplied to a shop at TP price plus profit margin</t>
  </si>
  <si>
    <t>Shop Name</t>
  </si>
  <si>
    <t>Qty Given</t>
  </si>
  <si>
    <t>Our Avg Cost (Tk)</t>
  </si>
  <si>
    <t>TP Price (Tk)</t>
  </si>
  <si>
    <t>Profit %</t>
  </si>
  <si>
    <t>Shop TP Price (Tk)</t>
  </si>
  <si>
    <t>Total Value (Tk)</t>
  </si>
  <si>
    <t>Our Cost of Goods Given (Tk)</t>
  </si>
  <si>
    <t>Helper - new shop no.</t>
  </si>
  <si>
    <t>Kafrul Shop</t>
  </si>
  <si>
    <t>Invoice VO-66873229</t>
  </si>
  <si>
    <t>MONTH TOTAL</t>
  </si>
  <si>
    <t>SHOP COLLECTIONS — Week-wise</t>
  </si>
  <si>
    <t>Log amount collected from each shop per week</t>
  </si>
  <si>
    <t>Week Starting</t>
  </si>
  <si>
    <t>Amount Collected (Tk)</t>
  </si>
  <si>
    <t>SHOP SUMMARY — Due Amounts</t>
  </si>
  <si>
    <t>Auto-calculated from Shop Ledger and Shop Collections</t>
  </si>
  <si>
    <t>Total Goods Given (Tk)</t>
  </si>
  <si>
    <t>Total Collected (Tk)</t>
  </si>
  <si>
    <t>Due Amount (Tk)</t>
  </si>
  <si>
    <t>Shop List (for dropdown)</t>
  </si>
  <si>
    <t>KHATA vs EXCEL — FIND THE DIFFERENCE</t>
  </si>
  <si>
    <t>Type your khata numbers in the yellow boxes. Excel numbers pull in automatically.</t>
  </si>
  <si>
    <t>Count everything up to this date:</t>
  </si>
  <si>
    <t>WHAT EXCEL SAYS</t>
  </si>
  <si>
    <t>Excel (Tk)</t>
  </si>
  <si>
    <t>Your Khata (Tk)</t>
  </si>
  <si>
    <t>Khata minus Excel</t>
  </si>
  <si>
    <t>Online / website sales</t>
  </si>
  <si>
    <t>Shop counter sales</t>
  </si>
  <si>
    <t>Sales rows with NO channel filled in</t>
  </si>
  <si>
    <t>Returns (money given back)</t>
  </si>
  <si>
    <t>TOTAL SALES</t>
  </si>
  <si>
    <t>Cash collected from shop</t>
  </si>
  <si>
    <t>SALES + SHOP COLLECTION</t>
  </si>
  <si>
    <t>THINGS THAT COULD CAUSE THE GAP</t>
  </si>
  <si>
    <t>1. Fixed — every sales row now has Type, Channel and Customer filled in. The old Tk 2,457 of untagged rows is gone.</t>
  </si>
  <si>
    <t xml:space="preserve">    Every sale now falls into either the shop split or the website split.</t>
  </si>
  <si>
    <t>2. Only 2 collections are logged from Kafrul Shop: 3,500 and 10,000 = 13,500. If your khata</t>
  </si>
  <si>
    <t xml:space="preserve">    shows 16,100 collected, then one payment of 2,600 was never entered in Shop Collections.</t>
  </si>
  <si>
    <t>3. Fixed — the two rows priced at Tk 0 were free giveaways. They are now tagged "Gift" instead of "Sale".</t>
  </si>
  <si>
    <t>Fill the yellow boxes above and column D will show exactly which line the 2,600 sits in.</t>
  </si>
  <si>
    <t>WATCH OUT — possible mis-tagging</t>
  </si>
  <si>
    <t>Rows tagged Channel = "Online" but Customer = "From Shop"</t>
  </si>
  <si>
    <t>If these are really over-the-counter shop sales, move them to Channel = Shop:</t>
  </si>
  <si>
    <t xml:space="preserve">   Website would become</t>
  </si>
  <si>
    <t xml:space="preserve">   Shop would become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</si>
</sst>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Tk&quot;\ #,##0.00"/>
    <numFmt numFmtId="165" formatCode="dd\-mmm\-yyyy"/>
    <numFmt numFmtId="166" formatCode="&quot;Tk&quot;\ #,##0.00;\(&quot;Tk&quot;\ #,##0.00\);\-"/>
    <numFmt numFmtId="167" formatCode="0.0%"/>
    <numFmt numFmtId="168" formatCode="&quot;Tk&quot;\ #,##0.00;\-&quot;Tk&quot;\ #,##0.00;&quot;-&quot;"/>
    <numFmt numFmtId="169" formatCode="mmm\-yyyy"/>
    <numFmt numFmtId="170" formatCode="#,##0;\(#,##0\);\-"/>
    <numFmt numFmtId="171" formatCode="&quot;Tk&quot;\ #,##0;\-&quot;Tk&quot;\ #,##0;&quot;-&quot;"/>
    <numFmt numFmtId="172" formatCode="&quot;Tk&quot;\ #,##0.00;\(&quot;Tk&quot;\ #,##0.00\);&quot;-&quot;"/>
    <numFmt numFmtId="173" formatCode="d\-mmm\-yyyy"/>
  </numFmts>
  <fonts count="32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9.0"/>
      <color rgb="FF666666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8000"/>
      <name val="Calibri"/>
    </font>
    <font>
      <b/>
      <sz val="14.0"/>
      <color theme="1"/>
      <name val="Calibri"/>
    </font>
    <font>
      <b/>
      <sz val="11.0"/>
      <color rgb="FF008000"/>
      <name val="Calibri"/>
    </font>
    <font>
      <b/>
      <i/>
      <sz val="9.0"/>
      <color rgb="FF666666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i/>
      <sz val="11.0"/>
      <color rgb="FF555555"/>
      <name val="Calibri"/>
    </font>
    <font>
      <sz val="11.0"/>
      <color rgb="FF0000FF"/>
      <name val="Calibri"/>
    </font>
    <font>
      <b/>
      <strike/>
      <sz val="14.0"/>
      <color theme="1"/>
      <name val="Calibri"/>
    </font>
    <font>
      <sz val="11.0"/>
      <color rgb="FF000000"/>
      <name val="Calibri"/>
    </font>
    <font>
      <b/>
      <sz val="11.0"/>
      <color rgb="FF0000FF"/>
      <name val="Calibri"/>
    </font>
    <font>
      <sz val="11.0"/>
      <color rgb="FFFFFFFF"/>
      <name val="Calibri"/>
    </font>
    <font>
      <color theme="1"/>
      <name val="Calibri"/>
      <scheme val="minor"/>
    </font>
    <font>
      <i/>
      <sz val="11.0"/>
      <color rgb="FF666666"/>
      <name val="Calibri"/>
    </font>
    <font>
      <b/>
      <i/>
      <sz val="11.0"/>
      <color rgb="FFC00000"/>
      <name val="Calibri"/>
    </font>
    <font>
      <b/>
      <sz val="8.0"/>
      <color rgb="FFBFBFBF"/>
      <name val="Calibri"/>
    </font>
    <font>
      <sz val="8.0"/>
      <color rgb="FFBFBFBF"/>
      <name val="Calibri"/>
    </font>
    <font>
      <sz val="11.0"/>
      <color rgb="FF000000"/>
      <name val="-apple-system"/>
    </font>
    <font>
      <i/>
      <sz val="11.0"/>
      <color theme="1"/>
      <name val="Calibri"/>
    </font>
    <font>
      <b/>
      <sz val="16.0"/>
      <color theme="1"/>
      <name val="Calibri"/>
    </font>
    <font>
      <b/>
      <sz val="12.0"/>
      <color rgb="FFC00000"/>
      <name val="Calibri"/>
    </font>
    <font>
      <b/>
      <sz val="13.0"/>
      <color theme="1"/>
      <name val="Calibri"/>
    </font>
    <font>
      <i/>
      <sz val="11.0"/>
      <color rgb="FFC00000"/>
      <name val="Calibri"/>
    </font>
    <font>
      <i/>
      <sz val="11.0"/>
      <color rgb="FFFFFFFF"/>
      <name val="Calibri"/>
    </font>
    <font>
      <sz val="11.0"/>
      <color rgb="FF434343"/>
      <name val="Calibri"/>
    </font>
    <font>
      <color rgb="FF1B6EF3"/>
      <name val="Inconsolata"/>
    </font>
    <font>
      <sz val="11.0"/>
      <color rgb="FFC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AFBFF"/>
        <bgColor rgb="FFFAFBFF"/>
      </patternFill>
    </fill>
    <fill>
      <patternFill patternType="solid">
        <fgColor rgb="FFDDEBF7"/>
        <bgColor rgb="FFDDEBF7"/>
      </patternFill>
    </fill>
    <fill>
      <patternFill patternType="solid">
        <fgColor rgb="FF808080"/>
        <bgColor rgb="FF808080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</fills>
  <borders count="36">
    <border/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F4E78"/>
      </left>
      <right/>
      <top style="thin">
        <color rgb="FF1F4E78"/>
      </top>
      <bottom/>
    </border>
    <border>
      <left/>
      <right style="thin">
        <color rgb="FF1F4E78"/>
      </right>
      <top style="thin">
        <color rgb="FF1F4E78"/>
      </top>
      <bottom/>
    </border>
    <border>
      <left/>
      <right/>
      <top style="thin">
        <color rgb="FF1F4E78"/>
      </top>
      <bottom/>
    </border>
    <border>
      <left style="thin">
        <color rgb="FF1F4E78"/>
      </left>
      <right/>
      <top/>
      <bottom/>
    </border>
    <border>
      <left/>
      <right style="thin">
        <color rgb="FF1F4E78"/>
      </right>
      <top/>
      <bottom/>
    </border>
    <border>
      <left style="thin">
        <color rgb="FF1F4E78"/>
      </left>
      <right/>
      <top/>
      <bottom style="thin">
        <color rgb="FF1F4E78"/>
      </bottom>
    </border>
    <border>
      <left/>
      <right style="thin">
        <color rgb="FF1F4E78"/>
      </right>
      <top/>
      <bottom style="thin">
        <color rgb="FF1F4E78"/>
      </bottom>
    </border>
    <border>
      <left/>
      <right/>
      <top/>
      <bottom style="thin">
        <color rgb="FF1F4E78"/>
      </bottom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CCCCCC"/>
      </bottom>
    </border>
    <border>
      <left style="medium">
        <color rgb="FFD9D9D9"/>
      </left>
      <right style="medium">
        <color rgb="FFD9D9D9"/>
      </right>
      <top style="medium">
        <color rgb="FFCCCCCC"/>
      </top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8EAADB"/>
      </top>
      <bottom/>
    </border>
    <border>
      <top style="thin">
        <color rgb="FF8EAADB"/>
      </top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2" fillId="0" fontId="5" numFmtId="164" xfId="0" applyBorder="1" applyFont="1" applyNumberFormat="1"/>
    <xf borderId="1" fillId="3" fontId="3" numFmtId="0" xfId="0" applyBorder="1" applyFill="1" applyFont="1"/>
    <xf borderId="1" fillId="3" fontId="3" numFmtId="164" xfId="0" applyBorder="1" applyFill="1" applyFont="1" applyNumberFormat="1"/>
    <xf borderId="2" fillId="0" fontId="5" numFmtId="0" xfId="0" applyBorder="1" applyFont="1"/>
    <xf borderId="2" fillId="0" fontId="3" numFmtId="0" xfId="0" applyBorder="1" applyFont="1"/>
    <xf borderId="2" fillId="0" fontId="3" numFmtId="164" xfId="0" applyBorder="1" applyFont="1" applyNumberFormat="1"/>
    <xf borderId="0" fillId="0" fontId="6" numFmtId="0" xfId="0" applyFont="1"/>
    <xf borderId="2" fillId="0" fontId="7" numFmtId="164" xfId="0" applyBorder="1" applyFont="1" applyNumberFormat="1"/>
    <xf borderId="0" fillId="0" fontId="1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8" numFmtId="0" xfId="0" applyFont="1"/>
    <xf borderId="1" fillId="3" fontId="9" numFmtId="164" xfId="0" applyBorder="1" applyFill="1" applyFont="1" applyNumberFormat="1"/>
    <xf borderId="0" fillId="0" fontId="3" numFmtId="164" xfId="0" applyFont="1" applyNumberFormat="1"/>
    <xf borderId="0" fillId="0" fontId="4" numFmtId="0" xfId="0" applyFont="1"/>
    <xf borderId="3" fillId="4" fontId="3" numFmtId="0" xfId="0" applyBorder="1" applyFill="1" applyFont="1"/>
    <xf borderId="1" fillId="4" fontId="5" numFmtId="164" xfId="0" applyBorder="1" applyFill="1" applyFont="1" applyNumberFormat="1"/>
    <xf borderId="3" fillId="2" fontId="4" numFmtId="0" xfId="0" applyBorder="1" applyFill="1" applyFont="1"/>
    <xf borderId="4" fillId="5" fontId="10" numFmtId="0" xfId="0" applyAlignment="1" applyBorder="1" applyFill="1" applyFont="1">
      <alignment horizontal="left" readingOrder="0" shrinkToFit="0" vertical="center" wrapText="0"/>
    </xf>
    <xf borderId="3" fillId="5" fontId="10" numFmtId="0" xfId="0" applyAlignment="1" applyBorder="1" applyFill="1" applyFont="1">
      <alignment horizontal="left" readingOrder="0" shrinkToFit="0" vertical="center" wrapText="0"/>
    </xf>
    <xf borderId="3" fillId="2" fontId="3" numFmtId="0" xfId="0" applyBorder="1" applyFill="1" applyFont="1"/>
    <xf borderId="0" fillId="0" fontId="11" numFmtId="0" xfId="0" applyFont="1"/>
    <xf borderId="5" fillId="0" fontId="12" numFmtId="165" xfId="0" applyAlignment="1" applyBorder="1" applyFont="1" applyNumberFormat="1">
      <alignment shrinkToFit="0" vertical="center" wrapText="0"/>
    </xf>
    <xf borderId="0" fillId="0" fontId="5" numFmtId="164" xfId="0" applyFont="1" applyNumberFormat="1"/>
    <xf borderId="2" fillId="0" fontId="12" numFmtId="0" xfId="0" applyAlignment="1" applyBorder="1" applyFont="1">
      <alignment shrinkToFit="0" vertical="center" wrapText="0"/>
    </xf>
    <xf borderId="2" fillId="0" fontId="12" numFmtId="164" xfId="0" applyAlignment="1" applyBorder="1" applyFont="1" applyNumberFormat="1">
      <alignment shrinkToFit="0" vertical="center" wrapText="0"/>
    </xf>
    <xf borderId="6" fillId="0" fontId="12" numFmtId="0" xfId="0" applyAlignment="1" applyBorder="1" applyFont="1">
      <alignment shrinkToFit="0" vertical="center" wrapText="0"/>
    </xf>
    <xf borderId="3" fillId="3" fontId="3" numFmtId="0" xfId="0" applyBorder="1" applyFill="1" applyFont="1"/>
    <xf borderId="0" fillId="0" fontId="12" numFmtId="165" xfId="0" applyAlignment="1" applyFont="1" applyNumberFormat="1">
      <alignment shrinkToFit="0" vertical="center" wrapText="0"/>
    </xf>
    <xf borderId="3" fillId="3" fontId="3" numFmtId="164" xfId="0" applyBorder="1" applyFill="1" applyFont="1" applyNumberFormat="1"/>
    <xf borderId="3" fillId="3" fontId="11" numFmtId="0" xfId="0" applyBorder="1" applyFill="1" applyFont="1"/>
    <xf borderId="0" fillId="0" fontId="12" numFmtId="0" xfId="0" applyAlignment="1" applyFont="1">
      <alignment shrinkToFit="0" vertical="center" wrapText="0"/>
    </xf>
    <xf borderId="0" fillId="0" fontId="12" numFmtId="166" xfId="0" applyAlignment="1" applyFont="1" applyNumberFormat="1">
      <alignment shrinkToFit="0" vertical="center" wrapText="0"/>
    </xf>
    <xf borderId="2" fillId="0" fontId="12" numFmtId="165" xfId="0" applyAlignment="1" applyBorder="1" applyFont="1" applyNumberFormat="1">
      <alignment shrinkToFit="0" vertical="center" wrapText="0"/>
    </xf>
    <xf borderId="7" fillId="0" fontId="12" numFmtId="165" xfId="0" applyAlignment="1" applyBorder="1" applyFont="1" applyNumberFormat="1">
      <alignment shrinkToFit="0" vertical="center" wrapText="0"/>
    </xf>
    <xf borderId="8" fillId="0" fontId="12" numFmtId="0" xfId="0" applyAlignment="1" applyBorder="1" applyFont="1">
      <alignment shrinkToFit="0" vertical="center" wrapText="0"/>
    </xf>
    <xf borderId="8" fillId="0" fontId="12" numFmtId="164" xfId="0" applyAlignment="1" applyBorder="1" applyFont="1" applyNumberFormat="1">
      <alignment shrinkToFit="0" vertical="center" wrapText="0"/>
    </xf>
    <xf borderId="9" fillId="0" fontId="12" numFmtId="0" xfId="0" applyAlignment="1" applyBorder="1" applyFont="1">
      <alignment shrinkToFit="0" vertical="center" wrapText="0"/>
    </xf>
    <xf borderId="0" fillId="0" fontId="5" numFmtId="0" xfId="0" applyFont="1"/>
    <xf borderId="2" fillId="0" fontId="4" numFmtId="164" xfId="0" applyAlignment="1" applyBorder="1" applyFont="1" applyNumberFormat="1">
      <alignment shrinkToFit="0" vertical="center" wrapText="0"/>
    </xf>
    <xf borderId="0" fillId="0" fontId="4" numFmtId="167" xfId="0" applyFont="1" applyNumberFormat="1"/>
    <xf borderId="2" fillId="0" fontId="4" numFmtId="0" xfId="0" applyAlignment="1" applyBorder="1" applyFont="1">
      <alignment horizontal="center" shrinkToFit="0" vertical="center" wrapText="0"/>
    </xf>
    <xf borderId="0" fillId="0" fontId="4" numFmtId="164" xfId="0" applyFont="1" applyNumberFormat="1"/>
    <xf borderId="2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0" fillId="0" fontId="4" numFmtId="164" xfId="0" applyAlignment="1" applyBorder="1" applyFont="1" applyNumberFormat="1">
      <alignment shrinkToFit="0" vertical="center" wrapText="0"/>
    </xf>
    <xf borderId="0" fillId="0" fontId="13" numFmtId="0" xfId="0" applyAlignment="1" applyFont="1">
      <alignment horizontal="left" vertical="center"/>
    </xf>
    <xf borderId="0" fillId="0" fontId="12" numFmtId="164" xfId="0" applyAlignment="1" applyFont="1" applyNumberFormat="1">
      <alignment shrinkToFit="0" vertical="center" wrapText="0"/>
    </xf>
    <xf borderId="3" fillId="6" fontId="3" numFmtId="1" xfId="0" applyBorder="1" applyFill="1" applyFont="1" applyNumberFormat="1"/>
    <xf borderId="1" fillId="5" fontId="10" numFmtId="0" xfId="0" applyAlignment="1" applyBorder="1" applyFill="1" applyFont="1">
      <alignment horizontal="left" readingOrder="0" shrinkToFit="0" vertical="center" wrapText="0"/>
    </xf>
    <xf borderId="11" fillId="5" fontId="10" numFmtId="0" xfId="0" applyAlignment="1" applyBorder="1" applyFill="1" applyFont="1">
      <alignment horizontal="left" readingOrder="0" shrinkToFit="0" vertical="center" wrapText="0"/>
    </xf>
    <xf borderId="10" fillId="0" fontId="12" numFmtId="0" xfId="0" applyAlignment="1" applyBorder="1" applyFont="1">
      <alignment shrinkToFit="0" vertical="center" wrapText="0"/>
    </xf>
    <xf borderId="10" fillId="0" fontId="14" numFmtId="167" xfId="0" applyAlignment="1" applyBorder="1" applyFont="1" applyNumberFormat="1">
      <alignment shrinkToFit="0" vertical="center" wrapText="0"/>
    </xf>
    <xf borderId="2" fillId="0" fontId="14" numFmtId="167" xfId="0" applyAlignment="1" applyBorder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2" fillId="0" fontId="15" numFmtId="0" xfId="0" applyAlignment="1" applyBorder="1" applyFont="1">
      <alignment shrinkToFit="0" vertical="center" wrapText="0"/>
    </xf>
    <xf borderId="12" fillId="7" fontId="12" numFmtId="164" xfId="0" applyAlignment="1" applyBorder="1" applyFill="1" applyFont="1" applyNumberFormat="1">
      <alignment horizontal="right" shrinkToFit="0" vertical="center" wrapText="1"/>
    </xf>
    <xf borderId="12" fillId="4" fontId="12" numFmtId="164" xfId="0" applyAlignment="1" applyBorder="1" applyFill="1" applyFont="1" applyNumberFormat="1">
      <alignment horizontal="right" shrinkToFit="0" vertical="center" wrapText="1"/>
    </xf>
    <xf borderId="3" fillId="5" fontId="10" numFmtId="0" xfId="0" applyBorder="1" applyFill="1" applyFont="1"/>
    <xf borderId="13" fillId="5" fontId="10" numFmtId="0" xfId="0" applyAlignment="1" applyBorder="1" applyFill="1" applyFont="1">
      <alignment horizontal="left" readingOrder="0" shrinkToFit="0" vertical="center" wrapText="0"/>
    </xf>
    <xf borderId="14" fillId="5" fontId="10" numFmtId="0" xfId="0" applyAlignment="1" applyBorder="1" applyFill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2" numFmtId="168" xfId="0" applyAlignment="1" applyFont="1" applyNumberFormat="1">
      <alignment shrinkToFit="0" vertical="center" wrapText="0"/>
    </xf>
    <xf borderId="12" fillId="4" fontId="12" numFmtId="164" xfId="0" applyAlignment="1" applyBorder="1" applyFill="1" applyFont="1" applyNumberFormat="1">
      <alignment horizontal="right" readingOrder="0" shrinkToFit="0" vertical="center" wrapText="1"/>
    </xf>
    <xf borderId="2" fillId="0" fontId="12" numFmtId="0" xfId="0" applyAlignment="1" applyBorder="1" applyFont="1">
      <alignment readingOrder="0" shrinkToFit="0" vertical="center" wrapText="0"/>
    </xf>
    <xf borderId="15" fillId="5" fontId="10" numFmtId="0" xfId="0" applyBorder="1" applyFill="1" applyFont="1"/>
    <xf borderId="16" fillId="5" fontId="10" numFmtId="0" xfId="0" applyBorder="1" applyFill="1" applyFont="1"/>
    <xf borderId="17" fillId="5" fontId="10" numFmtId="0" xfId="0" applyBorder="1" applyFill="1" applyFont="1"/>
    <xf borderId="0" fillId="0" fontId="17" numFmtId="0" xfId="0" applyFont="1"/>
    <xf borderId="18" fillId="4" fontId="9" numFmtId="0" xfId="0" applyAlignment="1" applyBorder="1" applyFill="1" applyFont="1">
      <alignment horizontal="left"/>
    </xf>
    <xf borderId="19" fillId="4" fontId="14" numFmtId="164" xfId="0" applyAlignment="1" applyBorder="1" applyFill="1" applyFont="1" applyNumberFormat="1">
      <alignment horizontal="right"/>
    </xf>
    <xf borderId="3" fillId="4" fontId="9" numFmtId="0" xfId="0" applyAlignment="1" applyBorder="1" applyFill="1" applyFont="1">
      <alignment horizontal="left"/>
    </xf>
    <xf borderId="20" fillId="4" fontId="9" numFmtId="0" xfId="0" applyAlignment="1" applyBorder="1" applyFill="1" applyFont="1">
      <alignment horizontal="left"/>
    </xf>
    <xf borderId="21" fillId="4" fontId="14" numFmtId="164" xfId="0" applyAlignment="1" applyBorder="1" applyFill="1" applyFont="1" applyNumberFormat="1">
      <alignment horizontal="right"/>
    </xf>
    <xf borderId="22" fillId="4" fontId="9" numFmtId="0" xfId="0" applyAlignment="1" applyBorder="1" applyFill="1" applyFont="1">
      <alignment horizontal="left"/>
    </xf>
    <xf borderId="3" fillId="5" fontId="10" numFmtId="0" xfId="0" applyAlignment="1" applyBorder="1" applyFill="1" applyFont="1">
      <alignment horizontal="center" readingOrder="0" shrinkToFit="0" vertical="center" wrapText="0"/>
    </xf>
    <xf borderId="3" fillId="5" fontId="10" numFmtId="0" xfId="0" applyAlignment="1" applyBorder="1" applyFill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4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0" fontId="5" numFmtId="168" xfId="0" applyAlignment="1" applyFont="1" applyNumberForma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8" fillId="0" fontId="12" numFmtId="165" xfId="0" applyAlignment="1" applyBorder="1" applyFont="1" applyNumberFormat="1">
      <alignment shrinkToFit="0" vertical="center" wrapText="0"/>
    </xf>
    <xf borderId="8" fillId="0" fontId="4" numFmtId="164" xfId="0" applyAlignment="1" applyBorder="1" applyFont="1" applyNumberFormat="1">
      <alignment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shrinkToFit="0" vertical="center" wrapText="0"/>
    </xf>
    <xf borderId="0" fillId="0" fontId="18" numFmtId="0" xfId="0" applyFont="1"/>
    <xf borderId="3" fillId="5" fontId="10" numFmtId="0" xfId="0" applyAlignment="1" applyBorder="1" applyFill="1" applyFont="1">
      <alignment shrinkToFit="0" wrapText="1"/>
    </xf>
    <xf borderId="0" fillId="0" fontId="4" numFmtId="169" xfId="0" applyFont="1" applyNumberFormat="1"/>
    <xf borderId="0" fillId="0" fontId="4" numFmtId="170" xfId="0" applyFont="1" applyNumberFormat="1"/>
    <xf borderId="0" fillId="0" fontId="4" numFmtId="164" xfId="0" applyAlignment="1" applyFont="1" applyNumberFormat="1">
      <alignment horizontal="center" readingOrder="0" shrinkToFit="0" vertical="center" wrapText="0"/>
    </xf>
    <xf borderId="23" fillId="6" fontId="12" numFmtId="164" xfId="0" applyAlignment="1" applyBorder="1" applyFill="1" applyFont="1" applyNumberFormat="1">
      <alignment horizontal="right" shrinkToFit="0" vertical="center" wrapText="1"/>
    </xf>
    <xf borderId="12" fillId="6" fontId="12" numFmtId="164" xfId="0" applyAlignment="1" applyBorder="1" applyFill="1" applyFont="1" applyNumberFormat="1">
      <alignment horizontal="right" shrinkToFit="0" vertical="center" wrapText="1"/>
    </xf>
    <xf borderId="2" fillId="0" fontId="12" numFmtId="165" xfId="0" applyAlignment="1" applyBorder="1" applyFont="1" applyNumberFormat="1">
      <alignment readingOrder="0" shrinkToFit="0" vertical="center" wrapText="0"/>
    </xf>
    <xf borderId="8" fillId="0" fontId="12" numFmtId="0" xfId="0" applyAlignment="1" applyBorder="1" applyFont="1">
      <alignment readingOrder="0" shrinkToFit="0" vertical="center" wrapText="0"/>
    </xf>
    <xf borderId="2" fillId="0" fontId="12" numFmtId="164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3" fillId="2" fontId="3" numFmtId="169" xfId="0" applyBorder="1" applyFill="1" applyFont="1" applyNumberFormat="1"/>
    <xf borderId="3" fillId="2" fontId="3" numFmtId="170" xfId="0" applyBorder="1" applyFill="1" applyFont="1" applyNumberFormat="1"/>
    <xf borderId="3" fillId="2" fontId="3" numFmtId="167" xfId="0" applyBorder="1" applyFill="1" applyFont="1" applyNumberFormat="1"/>
    <xf borderId="0" fillId="0" fontId="19" numFmtId="0" xfId="0" applyFont="1"/>
    <xf borderId="3" fillId="6" fontId="12" numFmtId="169" xfId="0" applyBorder="1" applyFill="1" applyFont="1" applyNumberFormat="1"/>
    <xf borderId="3" fillId="5" fontId="20" numFmtId="0" xfId="0" applyAlignment="1" applyBorder="1" applyFill="1" applyFont="1">
      <alignment shrinkToFit="0" wrapText="1"/>
    </xf>
    <xf borderId="0" fillId="0" fontId="4" numFmtId="165" xfId="0" applyFont="1" applyNumberFormat="1"/>
    <xf borderId="0" fillId="0" fontId="21" numFmtId="0" xfId="0" applyFont="1"/>
    <xf borderId="24" fillId="4" fontId="12" numFmtId="164" xfId="0" applyAlignment="1" applyBorder="1" applyFill="1" applyFont="1" applyNumberFormat="1">
      <alignment horizontal="right" shrinkToFit="0" vertical="center" wrapText="1"/>
    </xf>
    <xf borderId="3" fillId="7" fontId="12" numFmtId="164" xfId="0" applyAlignment="1" applyBorder="1" applyFill="1" applyFont="1" applyNumberFormat="1">
      <alignment horizontal="right" shrinkToFit="0" vertical="center" wrapText="1"/>
    </xf>
    <xf borderId="0" fillId="0" fontId="12" numFmtId="164" xfId="0" applyAlignment="1" applyFont="1" applyNumberFormat="1">
      <alignment readingOrder="0" shrinkToFit="0" vertical="center" wrapText="0"/>
    </xf>
    <xf borderId="0" fillId="8" fontId="22" numFmtId="0" xfId="0" applyAlignment="1" applyFill="1" applyFont="1">
      <alignment readingOrder="0"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3" fillId="3" fontId="4" numFmtId="164" xfId="0" applyAlignment="1" applyBorder="1" applyFill="1" applyFont="1" applyNumberFormat="1">
      <alignment horizontal="center" shrinkToFit="0" vertical="center" wrapText="0"/>
    </xf>
    <xf borderId="0" fillId="0" fontId="4" numFmtId="168" xfId="0" applyAlignment="1" applyFont="1" applyNumberFormat="1">
      <alignment horizontal="center" shrinkToFit="0" vertical="center" wrapText="0"/>
    </xf>
    <xf borderId="0" fillId="0" fontId="12" numFmtId="170" xfId="0" applyFont="1" applyNumberFormat="1"/>
    <xf borderId="0" fillId="0" fontId="5" numFmtId="170" xfId="0" applyFont="1" applyNumberFormat="1"/>
    <xf borderId="0" fillId="0" fontId="4" numFmtId="0" xfId="0" applyAlignment="1" applyFont="1">
      <alignment shrinkToFit="0" wrapText="1"/>
    </xf>
    <xf borderId="0" fillId="0" fontId="23" numFmtId="0" xfId="0" applyFont="1"/>
    <xf borderId="0" fillId="0" fontId="24" numFmtId="0" xfId="0" applyFont="1"/>
    <xf borderId="0" fillId="0" fontId="25" numFmtId="0" xfId="0" applyFont="1"/>
    <xf borderId="3" fillId="5" fontId="4" numFmtId="0" xfId="0" applyBorder="1" applyFill="1" applyFont="1"/>
    <xf borderId="0" fillId="0" fontId="4" numFmtId="171" xfId="0" applyFont="1" applyNumberFormat="1"/>
    <xf borderId="3" fillId="3" fontId="26" numFmtId="0" xfId="0" applyBorder="1" applyFill="1" applyFont="1"/>
    <xf borderId="3" fillId="3" fontId="26" numFmtId="171" xfId="0" applyBorder="1" applyFill="1" applyFont="1" applyNumberFormat="1"/>
    <xf borderId="0" fillId="0" fontId="3" numFmtId="0" xfId="0" applyAlignment="1" applyFont="1">
      <alignment horizontal="center"/>
    </xf>
    <xf borderId="3" fillId="9" fontId="3" numFmtId="0" xfId="0" applyBorder="1" applyFill="1" applyFont="1"/>
    <xf borderId="3" fillId="9" fontId="3" numFmtId="171" xfId="0" applyBorder="1" applyFill="1" applyFont="1" applyNumberFormat="1"/>
    <xf borderId="3" fillId="9" fontId="4" numFmtId="0" xfId="0" applyBorder="1" applyFill="1" applyFont="1"/>
    <xf borderId="0" fillId="0" fontId="12" numFmtId="167" xfId="0" applyFont="1" applyNumberFormat="1"/>
    <xf borderId="0" fillId="0" fontId="3" numFmtId="171" xfId="0" applyFont="1" applyNumberFormat="1"/>
    <xf borderId="0" fillId="0" fontId="27" numFmtId="0" xfId="0" applyFont="1"/>
    <xf borderId="3" fillId="10" fontId="10" numFmtId="0" xfId="0" applyBorder="1" applyFill="1" applyFont="1"/>
    <xf borderId="3" fillId="10" fontId="4" numFmtId="0" xfId="0" applyBorder="1" applyFill="1" applyFont="1"/>
    <xf borderId="3" fillId="10" fontId="28" numFmtId="0" xfId="0" applyBorder="1" applyFill="1" applyFont="1"/>
    <xf quotePrefix="1" borderId="3" fillId="3" fontId="3" numFmtId="0" xfId="0" applyBorder="1" applyFill="1" applyFont="1"/>
    <xf borderId="3" fillId="3" fontId="3" numFmtId="171" xfId="0" applyBorder="1" applyFill="1" applyFont="1" applyNumberFormat="1"/>
    <xf borderId="25" fillId="7" fontId="4" numFmtId="165" xfId="0" applyAlignment="1" applyBorder="1" applyFill="1" applyFont="1" applyNumberFormat="1">
      <alignment horizontal="center" shrinkToFit="0" vertical="center" wrapText="0"/>
    </xf>
    <xf borderId="26" fillId="7" fontId="4" numFmtId="0" xfId="0" applyAlignment="1" applyBorder="1" applyFill="1" applyFont="1">
      <alignment horizontal="center" shrinkToFit="0" vertical="center" wrapText="0"/>
    </xf>
    <xf borderId="0" fillId="0" fontId="3" numFmtId="1" xfId="0" applyFont="1" applyNumberFormat="1"/>
    <xf borderId="27" fillId="5" fontId="10" numFmtId="0" xfId="0" applyAlignment="1" applyBorder="1" applyFill="1" applyFont="1">
      <alignment horizontal="center" readingOrder="0" shrinkToFit="0" vertical="center" wrapText="1"/>
    </xf>
    <xf borderId="28" fillId="5" fontId="10" numFmtId="0" xfId="0" applyAlignment="1" applyBorder="1" applyFill="1" applyFont="1">
      <alignment horizontal="center" readingOrder="0" shrinkToFit="0" vertical="center" wrapText="1"/>
    </xf>
    <xf borderId="28" fillId="11" fontId="10" numFmtId="0" xfId="0" applyAlignment="1" applyBorder="1" applyFill="1" applyFont="1">
      <alignment horizontal="center" readingOrder="0" shrinkToFit="0" vertical="center" wrapText="1"/>
    </xf>
    <xf borderId="29" fillId="5" fontId="10" numFmtId="0" xfId="0" applyAlignment="1" applyBorder="1" applyFill="1" applyFont="1">
      <alignment horizontal="center" readingOrder="0" shrinkToFit="0" vertical="center" wrapText="1"/>
    </xf>
    <xf borderId="30" fillId="5" fontId="10" numFmtId="0" xfId="0" applyAlignment="1" applyBorder="1" applyFill="1" applyFont="1">
      <alignment horizontal="center" readingOrder="0" shrinkToFit="0" vertical="center" wrapText="1"/>
    </xf>
    <xf borderId="3" fillId="11" fontId="10" numFmtId="0" xfId="0" applyAlignment="1" applyBorder="1" applyFill="1" applyFont="1">
      <alignment horizontal="center" readingOrder="0" shrinkToFit="0" vertical="center" wrapText="1"/>
    </xf>
    <xf borderId="3" fillId="11" fontId="10" numFmtId="0" xfId="0" applyAlignment="1" applyBorder="1" applyFill="1" applyFont="1">
      <alignment horizontal="center" readingOrder="0" shrinkToFit="0" vertical="center" wrapText="0"/>
    </xf>
    <xf borderId="6" fillId="0" fontId="4" numFmtId="0" xfId="0" applyAlignment="1" applyBorder="1" applyFont="1">
      <alignment shrinkToFit="0" vertical="center" wrapText="0"/>
    </xf>
    <xf borderId="31" fillId="0" fontId="4" numFmtId="165" xfId="0" applyAlignment="1" applyBorder="1" applyFont="1" applyNumberFormat="1">
      <alignment shrinkToFit="0" vertical="center" wrapText="0"/>
    </xf>
    <xf borderId="31" fillId="0" fontId="4" numFmtId="0" xfId="0" applyAlignment="1" applyBorder="1" applyFont="1">
      <alignment shrinkToFit="0" vertical="center" wrapText="0"/>
    </xf>
    <xf borderId="31" fillId="0" fontId="4" numFmtId="1" xfId="0" applyAlignment="1" applyBorder="1" applyFont="1" applyNumberFormat="1">
      <alignment shrinkToFit="0" vertical="center" wrapText="0"/>
    </xf>
    <xf borderId="31" fillId="0" fontId="4" numFmtId="168" xfId="0" applyAlignment="1" applyBorder="1" applyFont="1" applyNumberFormat="1">
      <alignment shrinkToFit="0" vertical="center" wrapText="0"/>
    </xf>
    <xf borderId="31" fillId="0" fontId="14" numFmtId="168" xfId="0" applyAlignment="1" applyBorder="1" applyFont="1" applyNumberFormat="1">
      <alignment shrinkToFit="0" vertical="center" wrapText="0"/>
    </xf>
    <xf borderId="31" fillId="0" fontId="3" numFmtId="168" xfId="0" applyAlignment="1" applyBorder="1" applyFont="1" applyNumberFormat="1">
      <alignment shrinkToFit="0" vertical="center" wrapText="0"/>
    </xf>
    <xf borderId="5" fillId="0" fontId="4" numFmtId="167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2" numFmtId="168" xfId="0" applyAlignment="1" applyFont="1" applyNumberFormat="1">
      <alignment readingOrder="0" shrinkToFit="0" vertical="center" wrapText="0"/>
    </xf>
    <xf borderId="25" fillId="7" fontId="4" numFmtId="165" xfId="0" applyAlignment="1" applyBorder="1" applyFill="1" applyFont="1" applyNumberFormat="1">
      <alignment horizontal="center" readingOrder="0" shrinkToFit="0" vertical="center" wrapText="0"/>
    </xf>
    <xf borderId="26" fillId="7" fontId="4" numFmtId="0" xfId="0" applyAlignment="1" applyBorder="1" applyFill="1" applyFont="1">
      <alignment horizontal="center" readingOrder="0" shrinkToFit="0" vertical="center" wrapText="0"/>
    </xf>
    <xf borderId="32" fillId="7" fontId="4" numFmtId="0" xfId="0" applyAlignment="1" applyBorder="1" applyFill="1" applyFont="1">
      <alignment horizontal="center" readingOrder="0" shrinkToFit="0" vertical="center" wrapText="0"/>
    </xf>
    <xf borderId="33" fillId="7" fontId="4" numFmtId="0" xfId="0" applyAlignment="1" applyBorder="1" applyFill="1" applyFont="1">
      <alignment horizontal="center" readingOrder="0" shrinkToFit="0" vertical="center" wrapText="0"/>
    </xf>
    <xf borderId="33" fillId="7" fontId="29" numFmtId="0" xfId="0" applyAlignment="1" applyBorder="1" applyFill="1" applyFont="1">
      <alignment horizontal="center" readingOrder="0" shrinkToFit="0" vertical="center" wrapText="0"/>
    </xf>
    <xf borderId="27" fillId="5" fontId="10" numFmtId="0" xfId="0" applyAlignment="1" applyBorder="1" applyFill="1" applyFont="1">
      <alignment horizontal="left" readingOrder="0" shrinkToFit="0" vertical="center" wrapText="0"/>
    </xf>
    <xf borderId="28" fillId="5" fontId="10" numFmtId="0" xfId="0" applyAlignment="1" applyBorder="1" applyFill="1" applyFont="1">
      <alignment horizontal="left" readingOrder="0" shrinkToFit="0" vertical="center" wrapText="0"/>
    </xf>
    <xf borderId="29" fillId="5" fontId="10" numFmtId="0" xfId="0" applyAlignment="1" applyBorder="1" applyFill="1" applyFont="1">
      <alignment horizontal="left" readingOrder="0" shrinkToFit="0" vertical="center" wrapText="0"/>
    </xf>
    <xf borderId="31" fillId="0" fontId="4" numFmtId="170" xfId="0" applyAlignment="1" applyBorder="1" applyFont="1" applyNumberFormat="1">
      <alignment shrinkToFit="0" vertical="center" wrapText="0"/>
    </xf>
    <xf borderId="31" fillId="0" fontId="4" numFmtId="164" xfId="0" applyAlignment="1" applyBorder="1" applyFont="1" applyNumberFormat="1">
      <alignment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10" fillId="0" fontId="12" numFmtId="0" xfId="0" applyAlignment="1" applyBorder="1" applyFont="1">
      <alignment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4" fontId="30" numFmtId="0" xfId="0" applyAlignment="1" applyFill="1" applyFont="1">
      <alignment readingOrder="0" shrinkToFit="0" vertical="center" wrapText="0"/>
    </xf>
    <xf borderId="34" fillId="7" fontId="12" numFmtId="165" xfId="0" applyAlignment="1" applyBorder="1" applyFill="1" applyFont="1" applyNumberFormat="1">
      <alignment shrinkToFit="0" vertical="center" wrapText="0"/>
    </xf>
    <xf borderId="34" fillId="7" fontId="12" numFmtId="0" xfId="0" applyAlignment="1" applyBorder="1" applyFill="1" applyFont="1">
      <alignment shrinkToFit="0" vertical="center" wrapText="0"/>
    </xf>
    <xf borderId="11" fillId="7" fontId="12" numFmtId="0" xfId="0" applyAlignment="1" applyBorder="1" applyFill="1" applyFont="1">
      <alignment shrinkToFit="0" vertical="center" wrapText="0"/>
    </xf>
    <xf borderId="34" fillId="7" fontId="5" numFmtId="0" xfId="0" applyAlignment="1" applyBorder="1" applyFill="1" applyFont="1">
      <alignment shrinkToFit="0" vertical="center" wrapText="0"/>
    </xf>
    <xf borderId="34" fillId="7" fontId="5" numFmtId="172" xfId="0" applyAlignment="1" applyBorder="1" applyFill="1" applyFont="1" applyNumberFormat="1">
      <alignment shrinkToFit="0" vertical="center" wrapText="0"/>
    </xf>
    <xf borderId="11" fillId="7" fontId="12" numFmtId="172" xfId="0" applyAlignment="1" applyBorder="1" applyFill="1" applyFont="1" applyNumberFormat="1">
      <alignment shrinkToFit="0" vertical="center" wrapText="0"/>
    </xf>
    <xf borderId="34" fillId="7" fontId="12" numFmtId="167" xfId="0" applyAlignment="1" applyBorder="1" applyFill="1" applyFont="1" applyNumberFormat="1">
      <alignment shrinkToFit="0" vertical="center" wrapText="0"/>
    </xf>
    <xf borderId="34" fillId="7" fontId="14" numFmtId="172" xfId="0" applyAlignment="1" applyBorder="1" applyFill="1" applyFont="1" applyNumberFormat="1">
      <alignment shrinkToFit="0" vertical="center" wrapText="0"/>
    </xf>
    <xf borderId="34" fillId="7" fontId="14" numFmtId="168" xfId="0" applyAlignment="1" applyBorder="1" applyFill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35" fillId="0" fontId="12" numFmtId="165" xfId="0" applyAlignment="1" applyBorder="1" applyFont="1" applyNumberFormat="1">
      <alignment shrinkToFit="0" vertical="center" wrapText="0"/>
    </xf>
    <xf borderId="35" fillId="0" fontId="12" numFmtId="0" xfId="0" applyAlignment="1" applyBorder="1" applyFont="1">
      <alignment shrinkToFit="0" vertical="center" wrapText="0"/>
    </xf>
    <xf borderId="35" fillId="0" fontId="5" numFmtId="0" xfId="0" applyAlignment="1" applyBorder="1" applyFont="1">
      <alignment shrinkToFit="0" vertical="center" wrapText="0"/>
    </xf>
    <xf borderId="35" fillId="0" fontId="12" numFmtId="172" xfId="0" applyAlignment="1" applyBorder="1" applyFont="1" applyNumberFormat="1">
      <alignment shrinkToFit="0" vertical="center" wrapText="0"/>
    </xf>
    <xf borderId="35" fillId="0" fontId="12" numFmtId="167" xfId="0" applyAlignment="1" applyBorder="1" applyFont="1" applyNumberFormat="1">
      <alignment shrinkToFit="0" vertical="center" wrapText="0"/>
    </xf>
    <xf borderId="35" fillId="0" fontId="14" numFmtId="172" xfId="0" applyAlignment="1" applyBorder="1" applyFont="1" applyNumberFormat="1">
      <alignment shrinkToFit="0" vertical="center" wrapText="0"/>
    </xf>
    <xf borderId="35" fillId="0" fontId="14" numFmtId="168" xfId="0" applyAlignment="1" applyBorder="1" applyFont="1" applyNumberFormat="1">
      <alignment shrinkToFit="0" vertical="center" wrapText="0"/>
    </xf>
    <xf borderId="34" fillId="7" fontId="12" numFmtId="172" xfId="0" applyAlignment="1" applyBorder="1" applyFill="1" applyFont="1" applyNumberFormat="1">
      <alignment shrinkToFit="0" vertical="center" wrapText="0"/>
    </xf>
    <xf borderId="8" fillId="0" fontId="12" numFmtId="172" xfId="0" applyAlignment="1" applyBorder="1" applyFont="1" applyNumberFormat="1">
      <alignment shrinkToFit="0" vertical="center" wrapText="0"/>
    </xf>
    <xf borderId="0" fillId="0" fontId="12" numFmtId="172" xfId="0" applyAlignment="1" applyFont="1" applyNumberFormat="1">
      <alignment shrinkToFit="0" vertical="center" wrapText="0"/>
    </xf>
    <xf borderId="8" fillId="0" fontId="5" numFmtId="0" xfId="0" applyBorder="1" applyFont="1"/>
    <xf borderId="8" fillId="0" fontId="5" numFmtId="172" xfId="0" applyBorder="1" applyFont="1" applyNumberFormat="1"/>
    <xf borderId="8" fillId="0" fontId="14" numFmtId="172" xfId="0" applyBorder="1" applyFont="1" applyNumberFormat="1"/>
    <xf borderId="0" fillId="0" fontId="12" numFmtId="0" xfId="0" applyFont="1"/>
    <xf borderId="0" fillId="0" fontId="5" numFmtId="172" xfId="0" applyFont="1" applyNumberFormat="1"/>
    <xf borderId="0" fillId="0" fontId="14" numFmtId="172" xfId="0" applyFont="1" applyNumberFormat="1"/>
    <xf borderId="2" fillId="0" fontId="3" numFmtId="172" xfId="0" applyBorder="1" applyFont="1" applyNumberFormat="1"/>
    <xf borderId="2" fillId="0" fontId="9" numFmtId="172" xfId="0" applyBorder="1" applyFont="1" applyNumberFormat="1"/>
    <xf borderId="3" fillId="6" fontId="12" numFmtId="173" xfId="0" applyAlignment="1" applyBorder="1" applyFill="1" applyFont="1" applyNumberFormat="1">
      <alignment horizontal="right"/>
    </xf>
    <xf borderId="4" fillId="2" fontId="3" numFmtId="0" xfId="0" applyBorder="1" applyFill="1" applyFont="1"/>
    <xf borderId="4" fillId="2" fontId="3" numFmtId="0" xfId="0" applyAlignment="1" applyBorder="1" applyFill="1" applyFont="1">
      <alignment horizontal="right"/>
    </xf>
    <xf borderId="3" fillId="6" fontId="12" numFmtId="170" xfId="0" applyBorder="1" applyFill="1" applyFont="1" applyNumberFormat="1"/>
    <xf borderId="0" fillId="0" fontId="31" numFmtId="0" xfId="0" applyFont="1"/>
    <xf borderId="0" fillId="0" fontId="31" numFmtId="170" xfId="0" applyFont="1" applyNumberFormat="1"/>
    <xf borderId="0" fillId="0" fontId="3" numFmtId="170" xfId="0" applyFont="1" applyNumberFormat="1"/>
    <xf borderId="3" fillId="12" fontId="3" numFmtId="0" xfId="0" applyBorder="1" applyFill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FFFFFF"/>
      </font>
      <fill>
        <patternFill patternType="solid">
          <fgColor rgb="FFE6002E"/>
          <bgColor rgb="FFE6002E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b/>
        <color rgb="FF9C0006"/>
      </font>
      <fill>
        <patternFill patternType="solid">
          <fgColor rgb="FFFFF2CC"/>
          <bgColor rgb="FFFFF2C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  <tableStyles count="10">
    <tableStyle count="4" pivot="0" name="Purch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s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Investmen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 Shop Stock-style">
      <tableStyleElement dxfId="1" type="headerRow"/>
      <tableStyleElement dxfId="9" type="firstRowStripe"/>
      <tableStyleElement dxfId="2" type="secondRowStripe"/>
      <tableStyleElement dxfId="5" size="0" type="wholeTable"/>
    </tableStyle>
    <tableStyle count="4" pivot="0" name="Shop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Colle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204" displayName="InvestmentLog" name="InvestmentLog" id="2">
  <tableColumns count="4">
    <tableColumn name="Date" id="1"/>
    <tableColumn name="Investor" id="2"/>
    <tableColumn name="Amount (Tk)" id="3"/>
    <tableColumn name="Note" id="4"/>
  </tableColumns>
  <tableStyleInfo name="Investment-style" showColumnStripes="0" showFirstColumn="1" showLastColumn="1" showRowStripes="1"/>
</table>
</file>

<file path=xl/tables/table2.xml><?xml version="1.0" encoding="utf-8"?>
<table xmlns="http://schemas.openxmlformats.org/spreadsheetml/2006/main" ref="A208:D408" displayName="WithdrawalLog" name="WithdrawalLog" id="4">
  <tableColumns count="4">
    <tableColumn name="Date" id="1"/>
    <tableColumn name="Who took it" id="2"/>
    <tableColumn name="Amount (Tk)" id="3"/>
    <tableColumn name="Note" id="4"/>
  </tableColumns>
  <tableStyleInfo name="Investment-style 2" showColumnStripes="0" showFirstColumn="1" showLastColumn="1" showRowStripes="1"/>
</table>
</file>

<file path=xl/tables/table3.xml><?xml version="1.0" encoding="utf-8"?>
<table xmlns="http://schemas.openxmlformats.org/spreadsheetml/2006/main" ref="A4:E1004" displayName="ExpenseLog" name="ExpenseLog" id="3">
  <tableColumns count="5">
    <tableColumn name="Date" id="1"/>
    <tableColumn name="Category" id="2"/>
    <tableColumn name="Description" id="3"/>
    <tableColumn name="Amount (Tk)" id="4"/>
    <tableColumn name="Notes" id="5"/>
  </tableColumns>
  <tableStyleInfo name="Expenses-style" showColumnStripes="0" showFirstColumn="1" showLastColumn="1" showRowStripes="1"/>
</table>
</file>

<file path=xl/tables/table4.xml><?xml version="1.0" encoding="utf-8"?>
<table xmlns="http://schemas.openxmlformats.org/spreadsheetml/2006/main" ref="A4:L1004" displayName="PurchaseLog" name="PurchaseLog" id="1">
  <tableColumns count="12">
    <tableColumn name="Date" id="1"/>
    <tableColumn name="Type" id="2"/>
    <tableColumn name="Supplier" id="3"/>
    <tableColumn name="Item Code" id="4"/>
    <tableColumn name="Product Description" id="5"/>
    <tableColumn name="Category" id="6"/>
    <tableColumn name="Qty" id="7"/>
    <tableColumn name="Unit Cost (Tk)" id="8"/>
    <tableColumn name="Total Cost (Tk)" id="9"/>
    <tableColumn name="Website Updated" id="10"/>
    <tableColumn name="Net Qty (stock calc)" id="11"/>
    <tableColumn name="Helper - new item no." id="12"/>
  </tableColumns>
  <tableStyleInfo name="Purchases-style" showColumnStripes="0" showFirstColumn="1" showLastColumn="1" showRowStripes="1"/>
</table>
</file>

<file path=xl/tables/table5.xml><?xml version="1.0" encoding="utf-8"?>
<table xmlns="http://schemas.openxmlformats.org/spreadsheetml/2006/main" ref="A4:P604" displayName="InventoryList" name="InventoryList" id="5">
  <tableColumns count="16">
    <tableColumn name="Item Code" id="1"/>
    <tableColumn name="Product Description" id="2"/>
    <tableColumn name="Category" id="3"/>
    <tableColumn name="Purchased Qty" id="4"/>
    <tableColumn name="Sold Qty" id="5"/>
    <tableColumn name="Returned Qty" id="6"/>
    <tableColumn name="Given to Shops (Qty)" id="7"/>
    <tableColumn name="Current Stock" id="8"/>
    <tableColumn name="Avg Unit Cost (Tk)" id="9"/>
    <tableColumn name="Stock Value (Tk)" id="10"/>
    <tableColumn name="MRP (Tk)" id="11"/>
    <tableColumn name="Profit Margin % (of MRP)" id="12"/>
    <tableColumn name="Profit Markup % (on Cost)" id="13"/>
    <tableColumn name="(spacer)" id="14"/>
    <tableColumn name="MRP Master — Item Code (auto-fills)" id="15"/>
    <tableColumn name="MRP (Tk) — type price here" id="16"/>
  </tableColumns>
  <tableStyleInfo name="Inventory-style" showColumnStripes="0" showFirstColumn="1" showLastColumn="1" showRowStripes="1"/>
</table>
</file>

<file path=xl/tables/table6.xml><?xml version="1.0" encoding="utf-8"?>
<table xmlns="http://schemas.openxmlformats.org/spreadsheetml/2006/main" ref="A6:Y1506" displayName="SalesLog" name="SalesLog" id="6">
  <tableColumns count="25">
    <tableColumn name="Date" id="1"/>
    <tableColumn name="Type" id="2"/>
    <tableColumn name="Channel" id="3"/>
    <tableColumn name="Customer" id="4"/>
    <tableColumn name="Invoice Number" id="5"/>
    <tableColumn name="Item Code (click here ↓ for dropdown)" id="6"/>
    <tableColumn name="Product Description (auto-fills)" id="7"/>
    <tableColumn name="Qty" id="8"/>
    <tableColumn name="Unit Price (Tk)" id="9"/>
    <tableColumn name="MRP (Tk)" id="10"/>
    <tableColumn name="Discount (Tk)" id="11"/>
    <tableColumn name="Total Amount (Tk)" id="12"/>
    <tableColumn name="Payment Status" id="13"/>
    <tableColumn name="Unit Cost (Tk)" id="14"/>
    <tableColumn name="Total Cost (Tk)" id="15"/>
    <tableColumn name="Profit (Tk)" id="16"/>
    <tableColumn name="Notes" id="17"/>
    <tableColumn name="Delivery Charged to Customer (auto from Orders)" id="18"/>
    <tableColumn name="Delivery Cost You Paid (auto from Orders)" id="19"/>
    <tableColumn name="REAL Profit incl. Delivery (Tk)" id="20"/>
    <tableColumn name="Profit for WHOLE Invoice (Tk)" id="21"/>
    <tableColumn name="Helper - online invoice order" id="22"/>
    <tableColumn name="Helper - sorted position" id="23"/>
    <tableColumn name="Helper - line no. within month" id="24"/>
    <tableColumn name="Helper - month key" id="25"/>
  </tableColumns>
  <tableStyleInfo name="Sales-style" showColumnStripes="0" showFirstColumn="1" showLastColumn="1" showRowStripes="1"/>
</table>
</file>

<file path=xl/tables/table7.xml><?xml version="1.0" encoding="utf-8"?>
<table xmlns="http://schemas.openxmlformats.org/spreadsheetml/2006/main" ref="A4:P1004" displayName="OrderLog" name="OrderLog" id="7">
  <tableColumns count="16">
    <tableColumn name="Invoice Number" id="1"/>
    <tableColumn name="Date" id="2"/>
    <tableColumn name="Customer" id="3"/>
    <tableColumn name="Channel" id="4"/>
    <tableColumn name="Items (Total Qty)" id="5"/>
    <tableColumn name="Sales Total (Tk)" id="6"/>
    <tableColumn name="Product Profit (Tk)" id="7"/>
    <tableColumn name="Delivery Charged to Customer (Tk)" id="8"/>
    <tableColumn name="Delivery Cost You Paid (Tk)" id="9"/>
    <tableColumn name="Final Profit for this Order (Tk)" id="10"/>
    <tableColumn name="Payment Status" id="11"/>
    <tableColumn name="Profit Margin %" id="12"/>
    <tableColumn name="(spacer)" id="13"/>
    <tableColumn name="Invoice Number2" id="14"/>
    <tableColumn name="Delivery Charged to Customer (Tk)3" id="15"/>
    <tableColumn name="Delivery Cost You Paid (Tk)4" id="16"/>
  </tableColumns>
  <tableStyleInfo name="Orders-style" showColumnStripes="0" showFirstColumn="1" showLastColumn="1" showRowStripes="1"/>
</table>
</file>

<file path=xl/tables/table8.xml><?xml version="1.0" encoding="utf-8"?>
<table xmlns="http://schemas.openxmlformats.org/spreadsheetml/2006/main" ref="A4:F604" displayName="MyShopStock" name="MyShopStock" id="8">
  <tableColumns count="6">
    <tableColumn name="Item Code" id="1"/>
    <tableColumn name="Product Name" id="2"/>
    <tableColumn name="Category" id="3"/>
    <tableColumn name="Qty in Stock" id="4"/>
    <tableColumn name="TP / Cost (Tk)" id="5"/>
    <tableColumn name="MRP (Tk)" id="6"/>
  </tableColumns>
  <tableStyleInfo name="My Shop Stock-style" showColumnStripes="0" showFirstColumn="1" showLastColumn="1" showRowStripes="1"/>
</table>
</file>

<file path=xl/tables/table9.xml><?xml version="1.0" encoding="utf-8"?>
<table xmlns="http://schemas.openxmlformats.org/spreadsheetml/2006/main" ref="A4:N1004" displayName="ShopLedger" name="ShopLedger" id="9">
  <tableColumns count="14">
    <tableColumn name="Date" id="1"/>
    <tableColumn name="Shop Name" id="2"/>
    <tableColumn name="Item Code" id="3"/>
    <tableColumn name="Product Description" id="4"/>
    <tableColumn name="Category" id="5"/>
    <tableColumn name="Qty Given" id="6"/>
    <tableColumn name="Our Avg Cost (Tk)" id="7"/>
    <tableColumn name="TP Price (Tk)" id="8"/>
    <tableColumn name="Profit %" id="9"/>
    <tableColumn name="Shop TP Price (Tk)" id="10"/>
    <tableColumn name="Total Value (Tk)" id="11"/>
    <tableColumn name="Notes" id="12"/>
    <tableColumn name="Our Cost of Goods Given (Tk)" id="13"/>
    <tableColumn name="Helper - new shop no." id="14"/>
  </tableColumns>
  <tableStyleInfo name="Shop Ledger-style" showColumnStripes="0" showFirstColumn="1" showLastColumn="1" showRowStripes="1"/>
</table>
</file>

<file path=xl/tables/table10.xml><?xml version="1.0" encoding="utf-8"?>
<table xmlns="http://schemas.openxmlformats.org/spreadsheetml/2006/main" ref="A4:D504" displayName="ShopCollections" name="ShopCollections" id="10">
  <tableColumns count="4">
    <tableColumn name="Week Starting" id="1"/>
    <tableColumn name="Shop Name" id="2"/>
    <tableColumn name="Amount Collected (Tk)" id="3"/>
    <tableColumn name="Notes" id="4"/>
  </tableColumns>
  <tableStyleInfo name="Shop Colle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2" width="24.14"/>
    <col customWidth="1" min="3" max="3" width="10.86"/>
    <col customWidth="1" min="4" max="4" width="20.86"/>
    <col customWidth="1" min="5" max="5" width="20.14"/>
    <col customWidth="1" min="6" max="6" width="23.71"/>
  </cols>
  <sheetData>
    <row r="1" ht="28.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2</v>
      </c>
      <c r="B4" s="4"/>
    </row>
    <row r="5" ht="14.25" customHeight="1">
      <c r="A5" s="4" t="s">
        <v>3</v>
      </c>
      <c r="B5" s="5">
        <f>SUM(Investment!$C$5:$C$204)</f>
        <v>345000</v>
      </c>
    </row>
    <row r="6" ht="14.25" customHeight="1">
      <c r="A6" s="4" t="s">
        <v>4</v>
      </c>
      <c r="B6" s="5">
        <f>SUM(Purchases!$I$5:$I$1004)</f>
        <v>370966.5496</v>
      </c>
    </row>
    <row r="7" ht="14.25" customHeight="1">
      <c r="A7" s="4" t="s">
        <v>5</v>
      </c>
      <c r="B7" s="5">
        <f>SUM(Expenses!$D$5:$D$1004)</f>
        <v>42722</v>
      </c>
    </row>
    <row r="8" ht="14.25" customHeight="1">
      <c r="A8" s="4" t="s">
        <v>6</v>
      </c>
      <c r="B8" s="5">
        <f>SUM(Sales!$L$7:$L$1506)</f>
        <v>147710.0106</v>
      </c>
    </row>
    <row r="9" ht="14.25" customHeight="1">
      <c r="A9" s="4" t="s">
        <v>7</v>
      </c>
      <c r="B9" s="5">
        <f>SUMIFS(Sales!$L$7:$L$1506,Sales!$M$7:$M$1506,"Due")</f>
        <v>6812.004</v>
      </c>
    </row>
    <row r="10" ht="14.25" customHeight="1">
      <c r="A10" s="4" t="s">
        <v>8</v>
      </c>
      <c r="B10" s="5">
        <f>SUM('Shop Collections'!$C$5:$C$504)</f>
        <v>13500</v>
      </c>
    </row>
    <row r="11" ht="14.25" customHeight="1">
      <c r="A11" s="6" t="s">
        <v>9</v>
      </c>
      <c r="B11" s="7">
        <f>B5-B6-B7+B8-B9+B10</f>
        <v>85709.45702</v>
      </c>
    </row>
    <row r="12" ht="14.25" customHeight="1"/>
    <row r="13" ht="14.25" customHeight="1">
      <c r="A13" s="3" t="s">
        <v>10</v>
      </c>
      <c r="B13" s="4"/>
    </row>
    <row r="14" ht="14.25" customHeight="1">
      <c r="A14" s="4" t="s">
        <v>11</v>
      </c>
      <c r="B14" s="8">
        <f>SUM(Inventory!$D$5:$D$604)</f>
        <v>3031</v>
      </c>
    </row>
    <row r="15" ht="14.25" customHeight="1">
      <c r="A15" s="4" t="s">
        <v>12</v>
      </c>
      <c r="B15" s="8">
        <f>SUM(Inventory!$E$5:$E$604)</f>
        <v>1005</v>
      </c>
    </row>
    <row r="16" ht="14.25" customHeight="1">
      <c r="A16" s="4" t="s">
        <v>13</v>
      </c>
      <c r="B16" s="8">
        <f>SUM(Inventory!$F$5:$F$604)</f>
        <v>1</v>
      </c>
    </row>
    <row r="17" ht="14.25" customHeight="1">
      <c r="A17" s="4" t="s">
        <v>14</v>
      </c>
      <c r="B17" s="8">
        <f>SUM(Inventory!$G$5:$G$604)</f>
        <v>458</v>
      </c>
    </row>
    <row r="18" ht="14.25" customHeight="1">
      <c r="A18" s="9" t="s">
        <v>15</v>
      </c>
      <c r="B18" s="9">
        <f>SUM(Inventory!$H$5:$H$604)</f>
        <v>1569</v>
      </c>
    </row>
    <row r="19" ht="14.25" customHeight="1">
      <c r="A19" s="9" t="s">
        <v>16</v>
      </c>
      <c r="B19" s="10">
        <f>SUM(Inventory!$J$5:$J$604)</f>
        <v>204214.0775</v>
      </c>
    </row>
    <row r="20" ht="14.25" customHeight="1">
      <c r="A20" s="9" t="s">
        <v>17</v>
      </c>
      <c r="B20" s="10">
        <f>'Shop Summary'!D35</f>
        <v>43713</v>
      </c>
    </row>
    <row r="21" ht="14.25" customHeight="1">
      <c r="A21" s="3" t="s">
        <v>18</v>
      </c>
      <c r="B21" s="4"/>
    </row>
    <row r="22" ht="14.25" customHeight="1">
      <c r="A22" s="9" t="s">
        <v>20</v>
      </c>
      <c r="B22" s="12">
        <f>'Profit Share'!B14</f>
        <v>204923.0106</v>
      </c>
    </row>
    <row r="23" ht="14.25" customHeight="1">
      <c r="A23" s="9" t="s">
        <v>21</v>
      </c>
      <c r="B23" s="5">
        <f>'Profit Share'!B21</f>
        <v>209579.4721</v>
      </c>
    </row>
    <row r="24" ht="14.25" customHeight="1">
      <c r="A24" s="6" t="s">
        <v>26</v>
      </c>
      <c r="B24" s="17">
        <f>'Profit Share'!B7</f>
        <v>-4656.461497</v>
      </c>
    </row>
    <row r="25" ht="14.25" customHeight="1">
      <c r="A25" s="9" t="s">
        <v>29</v>
      </c>
      <c r="B25" s="5">
        <f>'Profit Share'!B24</f>
        <v>6812.004</v>
      </c>
    </row>
    <row r="26" ht="14.25" customHeight="1">
      <c r="A26" s="9" t="s">
        <v>17</v>
      </c>
      <c r="B26" s="5">
        <f>'Profit Share'!B25</f>
        <v>43713</v>
      </c>
    </row>
    <row r="27" ht="14.25" customHeight="1">
      <c r="A27" s="9" t="s">
        <v>30</v>
      </c>
      <c r="B27" s="5">
        <f>'Profit Share'!B26</f>
        <v>50525.004</v>
      </c>
    </row>
    <row r="28" ht="14.25" customHeight="1">
      <c r="A28" s="9" t="s">
        <v>31</v>
      </c>
      <c r="B28" s="5">
        <f>'Profit Share'!B7</f>
        <v>-4656.461497</v>
      </c>
    </row>
    <row r="29" ht="14.25" customHeight="1">
      <c r="A29" s="15" t="s">
        <v>34</v>
      </c>
      <c r="B29" s="5" t="str">
        <f>IF('Profit Share'!B31="","",'Profit Share'!B31)</f>
        <v/>
      </c>
    </row>
    <row r="30" ht="14.25" customHeight="1">
      <c r="A30" s="20" t="s">
        <v>37</v>
      </c>
      <c r="B30" s="21" t="str">
        <f>IF('Profit Share'!B33="","",'Profit Share'!B33)</f>
        <v/>
      </c>
      <c r="C30" s="22"/>
      <c r="D30" s="22"/>
      <c r="E30" s="22"/>
      <c r="F30" s="22"/>
    </row>
    <row r="31" ht="14.25" customHeight="1">
      <c r="A31" s="20" t="s">
        <v>38</v>
      </c>
      <c r="B31" s="21" t="str">
        <f>IF('Profit Share'!B34="","",'Profit Share'!B34)</f>
        <v/>
      </c>
    </row>
    <row r="32" ht="14.25" customHeight="1">
      <c r="A32" s="20" t="s">
        <v>40</v>
      </c>
      <c r="B32" s="21" t="str">
        <f>IF('Profit Share'!B35="","",'Profit Share'!B35)</f>
        <v/>
      </c>
    </row>
    <row r="33" ht="14.25" customHeight="1"/>
    <row r="34" ht="14.25" customHeight="1">
      <c r="A34" s="25" t="s">
        <v>45</v>
      </c>
      <c r="C34" s="26" t="s">
        <v>47</v>
      </c>
    </row>
    <row r="35" ht="14.25" customHeight="1">
      <c r="A35" s="20" t="s">
        <v>49</v>
      </c>
      <c r="B35" s="28">
        <f>'Profit Share'!B38</f>
        <v>428.3267067</v>
      </c>
    </row>
    <row r="36" ht="14.25" customHeight="1">
      <c r="A36" s="20" t="s">
        <v>51</v>
      </c>
      <c r="B36" s="28">
        <f>'Profit Share'!B39</f>
        <v>880</v>
      </c>
    </row>
    <row r="37" ht="14.25" customHeight="1">
      <c r="A37" s="20" t="s">
        <v>53</v>
      </c>
      <c r="B37" s="28">
        <f>'Profit Share'!B40</f>
        <v>13504.98938</v>
      </c>
    </row>
    <row r="38" ht="14.25" customHeight="1">
      <c r="A38" s="32" t="s">
        <v>57</v>
      </c>
      <c r="B38" s="34">
        <f>'Profit Share'!B41</f>
        <v>13933.31609</v>
      </c>
      <c r="C38" s="35" t="str">
        <f>'Profit Share'!C41</f>
        <v>That is 6.8 out of every Tk 100 of sales</v>
      </c>
    </row>
    <row r="39" ht="14.25" customHeight="1"/>
    <row r="40" ht="14.25" customHeight="1"/>
    <row r="41" ht="14.25" customHeight="1">
      <c r="A41" s="3" t="s">
        <v>60</v>
      </c>
      <c r="B41" s="4"/>
    </row>
    <row r="42" ht="14.25" customHeight="1">
      <c r="A42" s="15" t="s">
        <v>39</v>
      </c>
      <c r="B42" s="15" t="s">
        <v>62</v>
      </c>
      <c r="C42" s="15" t="s">
        <v>63</v>
      </c>
      <c r="D42" s="15" t="s">
        <v>64</v>
      </c>
      <c r="E42" s="15" t="s">
        <v>65</v>
      </c>
      <c r="F42" s="15" t="s">
        <v>66</v>
      </c>
    </row>
    <row r="43" ht="14.25" customHeight="1">
      <c r="A43" s="43" t="str">
        <f t="array" ref="A43">IFERROR(INDEX(Investment!$B$5:$B$204,MATCH(ROW()-42,Investment!$F$5:$F$204,0)),"")</f>
        <v>Mukta Mama</v>
      </c>
      <c r="B43" s="28">
        <f>IF($A43="","",SUMIF(Investment!$B$5:$B$204,$A43,Investment!$C$5:$C$204))</f>
        <v>345000</v>
      </c>
      <c r="C43" s="45">
        <f t="shared" ref="C43:C47" si="1">IF($A43="","",B43/$B$5)</f>
        <v>1</v>
      </c>
      <c r="D43" s="47">
        <f t="shared" ref="D43:D47" si="2">IF($A43="","",C43*$B$6)</f>
        <v>370966.5496</v>
      </c>
      <c r="E43" s="47">
        <f t="shared" ref="E43:E47" si="3">IF($A43="","",C43*$B$7)</f>
        <v>42722</v>
      </c>
      <c r="F43" s="18">
        <f t="shared" ref="F43:F47" si="4">IF($A43="","",B43-D43-E43)</f>
        <v>-68688.5496</v>
      </c>
    </row>
    <row r="44" ht="14.25" customHeight="1">
      <c r="A44" s="43" t="str">
        <f t="array" ref="A44">IFERROR(INDEX(Investment!$B$5:$B$204,MATCH(ROW()-42,Investment!$F$5:$F$204,0)),"")</f>
        <v/>
      </c>
      <c r="B44" s="28" t="str">
        <f>IF($A44="","",SUMIF(Investment!$B$5:$B$204,$A44,Investment!$C$5:$C$204))</f>
        <v/>
      </c>
      <c r="C44" s="45" t="str">
        <f t="shared" si="1"/>
        <v/>
      </c>
      <c r="D44" s="47" t="str">
        <f t="shared" si="2"/>
        <v/>
      </c>
      <c r="E44" s="47" t="str">
        <f t="shared" si="3"/>
        <v/>
      </c>
      <c r="F44" s="18" t="str">
        <f t="shared" si="4"/>
        <v/>
      </c>
    </row>
    <row r="45" ht="14.25" customHeight="1">
      <c r="A45" s="43" t="str">
        <f t="array" ref="A45">IFERROR(INDEX(Investment!$B$5:$B$204,MATCH(ROW()-42,Investment!$F$5:$F$204,0)),"")</f>
        <v/>
      </c>
      <c r="B45" s="28" t="str">
        <f>IF($A45="","",SUMIF(Investment!$B$5:$B$204,$A45,Investment!$C$5:$C$204))</f>
        <v/>
      </c>
      <c r="C45" s="45" t="str">
        <f t="shared" si="1"/>
        <v/>
      </c>
      <c r="D45" s="47" t="str">
        <f t="shared" si="2"/>
        <v/>
      </c>
      <c r="E45" s="47" t="str">
        <f t="shared" si="3"/>
        <v/>
      </c>
      <c r="F45" s="18" t="str">
        <f t="shared" si="4"/>
        <v/>
      </c>
    </row>
    <row r="46" ht="14.25" customHeight="1">
      <c r="A46" s="43" t="str">
        <f t="array" ref="A46">IFERROR(INDEX(Investment!$B$5:$B$204,MATCH(ROW()-42,Investment!$F$5:$F$204,0)),"")</f>
        <v/>
      </c>
      <c r="B46" s="28" t="str">
        <f>IF($A46="","",SUMIF(Investment!$B$5:$B$204,$A46,Investment!$C$5:$C$204))</f>
        <v/>
      </c>
      <c r="C46" s="45" t="str">
        <f t="shared" si="1"/>
        <v/>
      </c>
      <c r="D46" s="47" t="str">
        <f t="shared" si="2"/>
        <v/>
      </c>
      <c r="E46" s="47" t="str">
        <f t="shared" si="3"/>
        <v/>
      </c>
      <c r="F46" s="18" t="str">
        <f t="shared" si="4"/>
        <v/>
      </c>
    </row>
    <row r="47" ht="14.25" customHeight="1">
      <c r="A47" s="43" t="str">
        <f t="array" ref="A47">IFERROR(INDEX(Investment!$B$5:$B$204,MATCH(ROW()-42,Investment!$F$5:$F$204,0)),"")</f>
        <v/>
      </c>
      <c r="B47" s="28" t="str">
        <f>IF($A47="","",SUMIF(Investment!$B$5:$B$204,$A47,Investment!$C$5:$C$204))</f>
        <v/>
      </c>
      <c r="C47" s="45" t="str">
        <f t="shared" si="1"/>
        <v/>
      </c>
      <c r="D47" s="47" t="str">
        <f t="shared" si="2"/>
        <v/>
      </c>
      <c r="E47" s="47" t="str">
        <f t="shared" si="3"/>
        <v/>
      </c>
      <c r="F47" s="18" t="str">
        <f t="shared" si="4"/>
        <v/>
      </c>
    </row>
    <row r="48" ht="14.25" customHeight="1"/>
    <row r="49" ht="14.25" customHeight="1"/>
    <row r="50" ht="14.25" customHeight="1">
      <c r="A50" s="19" t="s">
        <v>101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>
      <c r="A59" s="19" t="s">
        <v>102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12.71"/>
    <col customWidth="1" min="3" max="3" width="14.29"/>
    <col customWidth="1" min="4" max="4" width="26.86"/>
    <col customWidth="1" min="5" max="6" width="8.71"/>
  </cols>
  <sheetData>
    <row r="1" ht="14.25" customHeight="1">
      <c r="A1" s="11" t="s">
        <v>24</v>
      </c>
    </row>
    <row r="2" ht="14.25" customHeight="1">
      <c r="A2" s="16" t="s">
        <v>27</v>
      </c>
      <c r="B2" s="15"/>
      <c r="C2" s="18">
        <f>C3-C207</f>
        <v>345000</v>
      </c>
      <c r="D2" s="19" t="s">
        <v>32</v>
      </c>
    </row>
    <row r="3" ht="14.25" customHeight="1">
      <c r="A3" s="15" t="s">
        <v>33</v>
      </c>
      <c r="B3" s="15"/>
      <c r="C3" s="18">
        <f>SUM(Investment!$C$5:$C$204)</f>
        <v>345000</v>
      </c>
      <c r="D3" s="19" t="s">
        <v>35</v>
      </c>
    </row>
    <row r="4" ht="14.25" customHeight="1">
      <c r="A4" s="23" t="s">
        <v>36</v>
      </c>
      <c r="B4" s="23" t="s">
        <v>39</v>
      </c>
      <c r="C4" s="23" t="s">
        <v>41</v>
      </c>
      <c r="D4" s="23" t="s">
        <v>44</v>
      </c>
      <c r="F4" s="19" t="s">
        <v>46</v>
      </c>
    </row>
    <row r="5" ht="14.25" customHeight="1">
      <c r="A5" s="27">
        <v>46209.0</v>
      </c>
      <c r="B5" s="29" t="s">
        <v>50</v>
      </c>
      <c r="C5" s="30">
        <v>100000.0</v>
      </c>
      <c r="D5" s="31" t="s">
        <v>55</v>
      </c>
      <c r="F5" s="19">
        <f t="shared" ref="F5:F204" si="1">IF($B5="","",IF(COUNTIF($B$5:$B5,$B5)=1,MAX($F$4:F4)+1,""))</f>
        <v>1</v>
      </c>
    </row>
    <row r="6" ht="14.25" customHeight="1">
      <c r="A6" s="27">
        <v>46216.0</v>
      </c>
      <c r="B6" s="29" t="s">
        <v>50</v>
      </c>
      <c r="C6" s="30">
        <v>100000.0</v>
      </c>
      <c r="D6" s="31" t="s">
        <v>72</v>
      </c>
      <c r="F6" s="19" t="str">
        <f t="shared" si="1"/>
        <v/>
      </c>
    </row>
    <row r="7" ht="14.25" customHeight="1">
      <c r="A7" s="27">
        <v>46225.0</v>
      </c>
      <c r="B7" s="29" t="s">
        <v>50</v>
      </c>
      <c r="C7" s="30">
        <v>100000.0</v>
      </c>
      <c r="D7" s="31" t="s">
        <v>74</v>
      </c>
      <c r="F7" s="19" t="str">
        <f t="shared" si="1"/>
        <v/>
      </c>
    </row>
    <row r="8" ht="14.25" customHeight="1">
      <c r="A8" s="39">
        <v>46243.0</v>
      </c>
      <c r="B8" s="40" t="s">
        <v>50</v>
      </c>
      <c r="C8" s="41">
        <v>45000.0</v>
      </c>
      <c r="D8" s="42" t="s">
        <v>78</v>
      </c>
      <c r="F8" s="19" t="str">
        <f t="shared" si="1"/>
        <v/>
      </c>
    </row>
    <row r="9" ht="14.25" customHeight="1">
      <c r="A9" s="39"/>
      <c r="B9" s="40"/>
      <c r="C9" s="41"/>
      <c r="D9" s="42"/>
      <c r="F9" s="19" t="str">
        <f t="shared" si="1"/>
        <v/>
      </c>
    </row>
    <row r="10" ht="14.25" customHeight="1">
      <c r="A10" s="39"/>
      <c r="B10" s="40"/>
      <c r="C10" s="41"/>
      <c r="D10" s="42"/>
      <c r="F10" s="19" t="str">
        <f t="shared" si="1"/>
        <v/>
      </c>
    </row>
    <row r="11" ht="14.25" customHeight="1">
      <c r="A11" s="39"/>
      <c r="B11" s="40"/>
      <c r="C11" s="41"/>
      <c r="D11" s="42"/>
      <c r="F11" s="19" t="str">
        <f t="shared" si="1"/>
        <v/>
      </c>
    </row>
    <row r="12" ht="14.25" customHeight="1">
      <c r="A12" s="39"/>
      <c r="B12" s="40"/>
      <c r="C12" s="41"/>
      <c r="D12" s="42"/>
      <c r="F12" s="19" t="str">
        <f t="shared" si="1"/>
        <v/>
      </c>
    </row>
    <row r="13" ht="14.25" customHeight="1">
      <c r="A13" s="39"/>
      <c r="B13" s="40"/>
      <c r="C13" s="41"/>
      <c r="D13" s="42"/>
      <c r="F13" s="19" t="str">
        <f t="shared" si="1"/>
        <v/>
      </c>
    </row>
    <row r="14" ht="14.25" customHeight="1">
      <c r="A14" s="39"/>
      <c r="B14" s="40"/>
      <c r="C14" s="41"/>
      <c r="D14" s="42"/>
      <c r="F14" s="19" t="str">
        <f t="shared" si="1"/>
        <v/>
      </c>
    </row>
    <row r="15" ht="14.25" customHeight="1">
      <c r="A15" s="39"/>
      <c r="B15" s="40"/>
      <c r="C15" s="41"/>
      <c r="D15" s="42"/>
      <c r="F15" s="19" t="str">
        <f t="shared" si="1"/>
        <v/>
      </c>
    </row>
    <row r="16" ht="14.25" customHeight="1">
      <c r="A16" s="39"/>
      <c r="B16" s="40"/>
      <c r="C16" s="41"/>
      <c r="D16" s="42"/>
      <c r="F16" s="19" t="str">
        <f t="shared" si="1"/>
        <v/>
      </c>
    </row>
    <row r="17" ht="14.25" customHeight="1">
      <c r="A17" s="39"/>
      <c r="B17" s="40"/>
      <c r="C17" s="41"/>
      <c r="D17" s="42"/>
      <c r="F17" s="19" t="str">
        <f t="shared" si="1"/>
        <v/>
      </c>
    </row>
    <row r="18" ht="14.25" customHeight="1">
      <c r="A18" s="39"/>
      <c r="B18" s="40"/>
      <c r="C18" s="41"/>
      <c r="D18" s="42"/>
      <c r="F18" s="19" t="str">
        <f t="shared" si="1"/>
        <v/>
      </c>
    </row>
    <row r="19" ht="14.25" customHeight="1">
      <c r="A19" s="39"/>
      <c r="B19" s="40"/>
      <c r="C19" s="41"/>
      <c r="D19" s="42"/>
      <c r="F19" s="19" t="str">
        <f t="shared" si="1"/>
        <v/>
      </c>
    </row>
    <row r="20" ht="14.25" customHeight="1">
      <c r="A20" s="39"/>
      <c r="B20" s="40"/>
      <c r="C20" s="41"/>
      <c r="D20" s="42"/>
      <c r="F20" s="19" t="str">
        <f t="shared" si="1"/>
        <v/>
      </c>
    </row>
    <row r="21" ht="14.25" customHeight="1">
      <c r="A21" s="39"/>
      <c r="B21" s="40"/>
      <c r="C21" s="41"/>
      <c r="D21" s="42"/>
      <c r="F21" s="19" t="str">
        <f t="shared" si="1"/>
        <v/>
      </c>
    </row>
    <row r="22" ht="14.25" customHeight="1">
      <c r="A22" s="39"/>
      <c r="B22" s="40"/>
      <c r="C22" s="41"/>
      <c r="D22" s="42"/>
      <c r="F22" s="19" t="str">
        <f t="shared" si="1"/>
        <v/>
      </c>
    </row>
    <row r="23" ht="14.25" customHeight="1">
      <c r="A23" s="39"/>
      <c r="B23" s="40"/>
      <c r="C23" s="41"/>
      <c r="D23" s="42"/>
      <c r="F23" s="19" t="str">
        <f t="shared" si="1"/>
        <v/>
      </c>
    </row>
    <row r="24" ht="14.25" customHeight="1">
      <c r="A24" s="39"/>
      <c r="B24" s="40"/>
      <c r="C24" s="41"/>
      <c r="D24" s="42"/>
      <c r="F24" s="19" t="str">
        <f t="shared" si="1"/>
        <v/>
      </c>
    </row>
    <row r="25" ht="14.25" customHeight="1">
      <c r="A25" s="39"/>
      <c r="B25" s="40"/>
      <c r="C25" s="41"/>
      <c r="D25" s="42"/>
      <c r="F25" s="19" t="str">
        <f t="shared" si="1"/>
        <v/>
      </c>
    </row>
    <row r="26" ht="14.25" customHeight="1">
      <c r="A26" s="39"/>
      <c r="B26" s="40"/>
      <c r="C26" s="41"/>
      <c r="D26" s="42"/>
      <c r="F26" s="19" t="str">
        <f t="shared" si="1"/>
        <v/>
      </c>
    </row>
    <row r="27" ht="14.25" customHeight="1">
      <c r="A27" s="39"/>
      <c r="B27" s="40"/>
      <c r="C27" s="41"/>
      <c r="D27" s="42"/>
      <c r="F27" s="19" t="str">
        <f t="shared" si="1"/>
        <v/>
      </c>
    </row>
    <row r="28" ht="14.25" customHeight="1">
      <c r="A28" s="39"/>
      <c r="B28" s="40"/>
      <c r="C28" s="41"/>
      <c r="D28" s="42"/>
      <c r="F28" s="19" t="str">
        <f t="shared" si="1"/>
        <v/>
      </c>
    </row>
    <row r="29" ht="14.25" customHeight="1">
      <c r="A29" s="39"/>
      <c r="B29" s="40"/>
      <c r="C29" s="41"/>
      <c r="D29" s="42"/>
      <c r="F29" s="19" t="str">
        <f t="shared" si="1"/>
        <v/>
      </c>
    </row>
    <row r="30" ht="14.25" customHeight="1">
      <c r="A30" s="39"/>
      <c r="B30" s="40"/>
      <c r="C30" s="41"/>
      <c r="D30" s="42"/>
      <c r="F30" s="19" t="str">
        <f t="shared" si="1"/>
        <v/>
      </c>
    </row>
    <row r="31" ht="14.25" customHeight="1">
      <c r="A31" s="39"/>
      <c r="B31" s="40"/>
      <c r="C31" s="41"/>
      <c r="D31" s="42"/>
      <c r="F31" s="19" t="str">
        <f t="shared" si="1"/>
        <v/>
      </c>
    </row>
    <row r="32" ht="14.25" customHeight="1">
      <c r="A32" s="39"/>
      <c r="B32" s="40"/>
      <c r="C32" s="41"/>
      <c r="D32" s="42"/>
      <c r="F32" s="19" t="str">
        <f t="shared" si="1"/>
        <v/>
      </c>
    </row>
    <row r="33" ht="14.25" customHeight="1">
      <c r="A33" s="39"/>
      <c r="B33" s="40"/>
      <c r="C33" s="41"/>
      <c r="D33" s="42"/>
      <c r="F33" s="19" t="str">
        <f t="shared" si="1"/>
        <v/>
      </c>
    </row>
    <row r="34" ht="14.25" customHeight="1">
      <c r="A34" s="39"/>
      <c r="B34" s="40"/>
      <c r="C34" s="41"/>
      <c r="D34" s="42"/>
      <c r="F34" s="19" t="str">
        <f t="shared" si="1"/>
        <v/>
      </c>
    </row>
    <row r="35" ht="14.25" customHeight="1">
      <c r="A35" s="39"/>
      <c r="B35" s="40"/>
      <c r="C35" s="41"/>
      <c r="D35" s="42"/>
      <c r="F35" s="19" t="str">
        <f t="shared" si="1"/>
        <v/>
      </c>
    </row>
    <row r="36" ht="14.25" customHeight="1">
      <c r="A36" s="39"/>
      <c r="B36" s="40"/>
      <c r="C36" s="41"/>
      <c r="D36" s="42"/>
      <c r="F36" s="19" t="str">
        <f t="shared" si="1"/>
        <v/>
      </c>
    </row>
    <row r="37" ht="14.25" customHeight="1">
      <c r="A37" s="39"/>
      <c r="B37" s="40"/>
      <c r="C37" s="41"/>
      <c r="D37" s="42"/>
      <c r="F37" s="19" t="str">
        <f t="shared" si="1"/>
        <v/>
      </c>
    </row>
    <row r="38" ht="14.25" customHeight="1">
      <c r="A38" s="39"/>
      <c r="B38" s="40"/>
      <c r="C38" s="41"/>
      <c r="D38" s="42"/>
      <c r="F38" s="19" t="str">
        <f t="shared" si="1"/>
        <v/>
      </c>
    </row>
    <row r="39" ht="14.25" customHeight="1">
      <c r="A39" s="39"/>
      <c r="B39" s="40"/>
      <c r="C39" s="41"/>
      <c r="D39" s="42"/>
      <c r="F39" s="19" t="str">
        <f t="shared" si="1"/>
        <v/>
      </c>
    </row>
    <row r="40" ht="14.25" customHeight="1">
      <c r="A40" s="39"/>
      <c r="B40" s="40"/>
      <c r="C40" s="41"/>
      <c r="D40" s="42"/>
      <c r="F40" s="19" t="str">
        <f t="shared" si="1"/>
        <v/>
      </c>
    </row>
    <row r="41" ht="14.25" customHeight="1">
      <c r="A41" s="39"/>
      <c r="B41" s="40"/>
      <c r="C41" s="41"/>
      <c r="D41" s="42"/>
      <c r="F41" s="19" t="str">
        <f t="shared" si="1"/>
        <v/>
      </c>
    </row>
    <row r="42" ht="14.25" customHeight="1">
      <c r="A42" s="39"/>
      <c r="B42" s="40"/>
      <c r="C42" s="41"/>
      <c r="D42" s="42"/>
      <c r="F42" s="19" t="str">
        <f t="shared" si="1"/>
        <v/>
      </c>
    </row>
    <row r="43" ht="14.25" customHeight="1">
      <c r="A43" s="39"/>
      <c r="B43" s="40"/>
      <c r="C43" s="41"/>
      <c r="D43" s="42"/>
      <c r="F43" s="19" t="str">
        <f t="shared" si="1"/>
        <v/>
      </c>
    </row>
    <row r="44" ht="14.25" customHeight="1">
      <c r="A44" s="39"/>
      <c r="B44" s="40"/>
      <c r="C44" s="41"/>
      <c r="D44" s="42"/>
      <c r="F44" s="19" t="str">
        <f t="shared" si="1"/>
        <v/>
      </c>
    </row>
    <row r="45" ht="14.25" customHeight="1">
      <c r="A45" s="39"/>
      <c r="B45" s="40"/>
      <c r="C45" s="41"/>
      <c r="D45" s="42"/>
      <c r="F45" s="19" t="str">
        <f t="shared" si="1"/>
        <v/>
      </c>
    </row>
    <row r="46" ht="14.25" customHeight="1">
      <c r="A46" s="39"/>
      <c r="B46" s="40"/>
      <c r="C46" s="41"/>
      <c r="D46" s="42"/>
      <c r="F46" s="19" t="str">
        <f t="shared" si="1"/>
        <v/>
      </c>
    </row>
    <row r="47" ht="14.25" customHeight="1">
      <c r="A47" s="39"/>
      <c r="B47" s="40"/>
      <c r="C47" s="41"/>
      <c r="D47" s="42"/>
      <c r="F47" s="19" t="str">
        <f t="shared" si="1"/>
        <v/>
      </c>
    </row>
    <row r="48" ht="14.25" customHeight="1">
      <c r="A48" s="39"/>
      <c r="B48" s="40"/>
      <c r="C48" s="41"/>
      <c r="D48" s="42"/>
      <c r="F48" s="19" t="str">
        <f t="shared" si="1"/>
        <v/>
      </c>
    </row>
    <row r="49" ht="14.25" customHeight="1">
      <c r="A49" s="39"/>
      <c r="B49" s="40"/>
      <c r="C49" s="41"/>
      <c r="D49" s="42"/>
      <c r="F49" s="19" t="str">
        <f t="shared" si="1"/>
        <v/>
      </c>
    </row>
    <row r="50" ht="14.25" customHeight="1">
      <c r="A50" s="39"/>
      <c r="B50" s="40"/>
      <c r="C50" s="41"/>
      <c r="D50" s="42"/>
      <c r="F50" s="19" t="str">
        <f t="shared" si="1"/>
        <v/>
      </c>
    </row>
    <row r="51" ht="14.25" customHeight="1">
      <c r="A51" s="39"/>
      <c r="B51" s="40"/>
      <c r="C51" s="41"/>
      <c r="D51" s="42"/>
      <c r="F51" s="19" t="str">
        <f t="shared" si="1"/>
        <v/>
      </c>
    </row>
    <row r="52" ht="14.25" customHeight="1">
      <c r="A52" s="39"/>
      <c r="B52" s="40"/>
      <c r="C52" s="41"/>
      <c r="D52" s="42"/>
      <c r="F52" s="19" t="str">
        <f t="shared" si="1"/>
        <v/>
      </c>
    </row>
    <row r="53" ht="14.25" customHeight="1">
      <c r="A53" s="39"/>
      <c r="B53" s="40"/>
      <c r="C53" s="41"/>
      <c r="D53" s="42"/>
      <c r="F53" s="19" t="str">
        <f t="shared" si="1"/>
        <v/>
      </c>
    </row>
    <row r="54" ht="14.25" customHeight="1">
      <c r="A54" s="39"/>
      <c r="B54" s="40"/>
      <c r="C54" s="41"/>
      <c r="D54" s="42"/>
      <c r="F54" s="19" t="str">
        <f t="shared" si="1"/>
        <v/>
      </c>
    </row>
    <row r="55" ht="14.25" customHeight="1">
      <c r="A55" s="39"/>
      <c r="B55" s="40"/>
      <c r="C55" s="41"/>
      <c r="D55" s="42"/>
      <c r="F55" s="19" t="str">
        <f t="shared" si="1"/>
        <v/>
      </c>
    </row>
    <row r="56" ht="14.25" customHeight="1">
      <c r="A56" s="39"/>
      <c r="B56" s="40"/>
      <c r="C56" s="41"/>
      <c r="D56" s="42"/>
      <c r="F56" s="19" t="str">
        <f t="shared" si="1"/>
        <v/>
      </c>
    </row>
    <row r="57" ht="14.25" customHeight="1">
      <c r="A57" s="39"/>
      <c r="B57" s="40"/>
      <c r="C57" s="41"/>
      <c r="D57" s="42"/>
      <c r="F57" s="19" t="str">
        <f t="shared" si="1"/>
        <v/>
      </c>
    </row>
    <row r="58" ht="14.25" customHeight="1">
      <c r="A58" s="39"/>
      <c r="B58" s="40"/>
      <c r="C58" s="41"/>
      <c r="D58" s="42"/>
      <c r="F58" s="19" t="str">
        <f t="shared" si="1"/>
        <v/>
      </c>
    </row>
    <row r="59" ht="14.25" customHeight="1">
      <c r="A59" s="39"/>
      <c r="B59" s="40"/>
      <c r="C59" s="41"/>
      <c r="D59" s="42"/>
      <c r="F59" s="19" t="str">
        <f t="shared" si="1"/>
        <v/>
      </c>
    </row>
    <row r="60" ht="14.25" customHeight="1">
      <c r="A60" s="39"/>
      <c r="B60" s="40"/>
      <c r="C60" s="41"/>
      <c r="D60" s="42"/>
      <c r="F60" s="19" t="str">
        <f t="shared" si="1"/>
        <v/>
      </c>
    </row>
    <row r="61" ht="14.25" customHeight="1">
      <c r="A61" s="39"/>
      <c r="B61" s="40"/>
      <c r="C61" s="41"/>
      <c r="D61" s="42"/>
      <c r="F61" s="19" t="str">
        <f t="shared" si="1"/>
        <v/>
      </c>
    </row>
    <row r="62" ht="14.25" customHeight="1">
      <c r="A62" s="39"/>
      <c r="B62" s="40"/>
      <c r="C62" s="41"/>
      <c r="D62" s="42"/>
      <c r="F62" s="19" t="str">
        <f t="shared" si="1"/>
        <v/>
      </c>
    </row>
    <row r="63" ht="14.25" customHeight="1">
      <c r="A63" s="39"/>
      <c r="B63" s="40"/>
      <c r="C63" s="41"/>
      <c r="D63" s="42"/>
      <c r="F63" s="19" t="str">
        <f t="shared" si="1"/>
        <v/>
      </c>
    </row>
    <row r="64" ht="14.25" customHeight="1">
      <c r="A64" s="39"/>
      <c r="B64" s="40"/>
      <c r="C64" s="41"/>
      <c r="D64" s="42"/>
      <c r="F64" s="19" t="str">
        <f t="shared" si="1"/>
        <v/>
      </c>
    </row>
    <row r="65" ht="14.25" customHeight="1">
      <c r="A65" s="39"/>
      <c r="B65" s="40"/>
      <c r="C65" s="41"/>
      <c r="D65" s="42"/>
      <c r="F65" s="19" t="str">
        <f t="shared" si="1"/>
        <v/>
      </c>
    </row>
    <row r="66" ht="14.25" customHeight="1">
      <c r="A66" s="39"/>
      <c r="B66" s="40"/>
      <c r="C66" s="41"/>
      <c r="D66" s="42"/>
      <c r="F66" s="19" t="str">
        <f t="shared" si="1"/>
        <v/>
      </c>
    </row>
    <row r="67" ht="14.25" customHeight="1">
      <c r="A67" s="39"/>
      <c r="B67" s="40"/>
      <c r="C67" s="41"/>
      <c r="D67" s="42"/>
      <c r="F67" s="19" t="str">
        <f t="shared" si="1"/>
        <v/>
      </c>
    </row>
    <row r="68" ht="14.25" customHeight="1">
      <c r="A68" s="39"/>
      <c r="B68" s="40"/>
      <c r="C68" s="41"/>
      <c r="D68" s="42"/>
      <c r="F68" s="19" t="str">
        <f t="shared" si="1"/>
        <v/>
      </c>
    </row>
    <row r="69" ht="14.25" customHeight="1">
      <c r="A69" s="39"/>
      <c r="B69" s="40"/>
      <c r="C69" s="41"/>
      <c r="D69" s="42"/>
      <c r="F69" s="19" t="str">
        <f t="shared" si="1"/>
        <v/>
      </c>
    </row>
    <row r="70" ht="14.25" customHeight="1">
      <c r="A70" s="39"/>
      <c r="B70" s="40"/>
      <c r="C70" s="41"/>
      <c r="D70" s="42"/>
      <c r="F70" s="19" t="str">
        <f t="shared" si="1"/>
        <v/>
      </c>
    </row>
    <row r="71" ht="14.25" customHeight="1">
      <c r="A71" s="39"/>
      <c r="B71" s="40"/>
      <c r="C71" s="41"/>
      <c r="D71" s="42"/>
      <c r="F71" s="19" t="str">
        <f t="shared" si="1"/>
        <v/>
      </c>
    </row>
    <row r="72" ht="14.25" customHeight="1">
      <c r="A72" s="39"/>
      <c r="B72" s="40"/>
      <c r="C72" s="41"/>
      <c r="D72" s="42"/>
      <c r="F72" s="19" t="str">
        <f t="shared" si="1"/>
        <v/>
      </c>
    </row>
    <row r="73" ht="14.25" customHeight="1">
      <c r="A73" s="39"/>
      <c r="B73" s="40"/>
      <c r="C73" s="41"/>
      <c r="D73" s="42"/>
      <c r="F73" s="19" t="str">
        <f t="shared" si="1"/>
        <v/>
      </c>
    </row>
    <row r="74" ht="14.25" customHeight="1">
      <c r="A74" s="39"/>
      <c r="B74" s="40"/>
      <c r="C74" s="41"/>
      <c r="D74" s="42"/>
      <c r="F74" s="19" t="str">
        <f t="shared" si="1"/>
        <v/>
      </c>
    </row>
    <row r="75" ht="14.25" customHeight="1">
      <c r="A75" s="39"/>
      <c r="B75" s="40"/>
      <c r="C75" s="41"/>
      <c r="D75" s="42"/>
      <c r="F75" s="19" t="str">
        <f t="shared" si="1"/>
        <v/>
      </c>
    </row>
    <row r="76" ht="14.25" customHeight="1">
      <c r="A76" s="39"/>
      <c r="B76" s="40"/>
      <c r="C76" s="41"/>
      <c r="D76" s="42"/>
      <c r="F76" s="19" t="str">
        <f t="shared" si="1"/>
        <v/>
      </c>
    </row>
    <row r="77" ht="14.25" customHeight="1">
      <c r="A77" s="39"/>
      <c r="B77" s="40"/>
      <c r="C77" s="41"/>
      <c r="D77" s="42"/>
      <c r="F77" s="19" t="str">
        <f t="shared" si="1"/>
        <v/>
      </c>
    </row>
    <row r="78" ht="14.25" customHeight="1">
      <c r="A78" s="39"/>
      <c r="B78" s="40"/>
      <c r="C78" s="41"/>
      <c r="D78" s="42"/>
      <c r="F78" s="19" t="str">
        <f t="shared" si="1"/>
        <v/>
      </c>
    </row>
    <row r="79" ht="14.25" customHeight="1">
      <c r="A79" s="39"/>
      <c r="B79" s="40"/>
      <c r="C79" s="41"/>
      <c r="D79" s="42"/>
      <c r="F79" s="19" t="str">
        <f t="shared" si="1"/>
        <v/>
      </c>
    </row>
    <row r="80" ht="14.25" customHeight="1">
      <c r="A80" s="39"/>
      <c r="B80" s="40"/>
      <c r="C80" s="41"/>
      <c r="D80" s="42"/>
      <c r="F80" s="19" t="str">
        <f t="shared" si="1"/>
        <v/>
      </c>
    </row>
    <row r="81" ht="14.25" customHeight="1">
      <c r="A81" s="39"/>
      <c r="B81" s="40"/>
      <c r="C81" s="41"/>
      <c r="D81" s="42"/>
      <c r="F81" s="19" t="str">
        <f t="shared" si="1"/>
        <v/>
      </c>
    </row>
    <row r="82" ht="14.25" customHeight="1">
      <c r="A82" s="39"/>
      <c r="B82" s="40"/>
      <c r="C82" s="41"/>
      <c r="D82" s="42"/>
      <c r="F82" s="19" t="str">
        <f t="shared" si="1"/>
        <v/>
      </c>
    </row>
    <row r="83" ht="14.25" customHeight="1">
      <c r="A83" s="39"/>
      <c r="B83" s="40"/>
      <c r="C83" s="41"/>
      <c r="D83" s="42"/>
      <c r="F83" s="19" t="str">
        <f t="shared" si="1"/>
        <v/>
      </c>
    </row>
    <row r="84" ht="14.25" customHeight="1">
      <c r="A84" s="39"/>
      <c r="B84" s="40"/>
      <c r="C84" s="41"/>
      <c r="D84" s="42"/>
      <c r="F84" s="19" t="str">
        <f t="shared" si="1"/>
        <v/>
      </c>
    </row>
    <row r="85" ht="14.25" customHeight="1">
      <c r="A85" s="39"/>
      <c r="B85" s="40"/>
      <c r="C85" s="41"/>
      <c r="D85" s="42"/>
      <c r="F85" s="19" t="str">
        <f t="shared" si="1"/>
        <v/>
      </c>
    </row>
    <row r="86" ht="14.25" customHeight="1">
      <c r="A86" s="39"/>
      <c r="B86" s="40"/>
      <c r="C86" s="41"/>
      <c r="D86" s="42"/>
      <c r="F86" s="19" t="str">
        <f t="shared" si="1"/>
        <v/>
      </c>
    </row>
    <row r="87" ht="14.25" customHeight="1">
      <c r="A87" s="39"/>
      <c r="B87" s="40"/>
      <c r="C87" s="41"/>
      <c r="D87" s="42"/>
      <c r="F87" s="19" t="str">
        <f t="shared" si="1"/>
        <v/>
      </c>
    </row>
    <row r="88" ht="14.25" customHeight="1">
      <c r="A88" s="39"/>
      <c r="B88" s="40"/>
      <c r="C88" s="41"/>
      <c r="D88" s="42"/>
      <c r="F88" s="19" t="str">
        <f t="shared" si="1"/>
        <v/>
      </c>
    </row>
    <row r="89" ht="14.25" customHeight="1">
      <c r="A89" s="39"/>
      <c r="B89" s="40"/>
      <c r="C89" s="41"/>
      <c r="D89" s="42"/>
      <c r="F89" s="19" t="str">
        <f t="shared" si="1"/>
        <v/>
      </c>
    </row>
    <row r="90" ht="14.25" customHeight="1">
      <c r="A90" s="39"/>
      <c r="B90" s="40"/>
      <c r="C90" s="41"/>
      <c r="D90" s="42"/>
      <c r="F90" s="19" t="str">
        <f t="shared" si="1"/>
        <v/>
      </c>
    </row>
    <row r="91" ht="14.25" customHeight="1">
      <c r="A91" s="39"/>
      <c r="B91" s="40"/>
      <c r="C91" s="41"/>
      <c r="D91" s="42"/>
      <c r="F91" s="19" t="str">
        <f t="shared" si="1"/>
        <v/>
      </c>
    </row>
    <row r="92" ht="14.25" customHeight="1">
      <c r="A92" s="39"/>
      <c r="B92" s="40"/>
      <c r="C92" s="41"/>
      <c r="D92" s="42"/>
      <c r="F92" s="19" t="str">
        <f t="shared" si="1"/>
        <v/>
      </c>
    </row>
    <row r="93" ht="14.25" customHeight="1">
      <c r="A93" s="39"/>
      <c r="B93" s="40"/>
      <c r="C93" s="41"/>
      <c r="D93" s="42"/>
      <c r="F93" s="19" t="str">
        <f t="shared" si="1"/>
        <v/>
      </c>
    </row>
    <row r="94" ht="14.25" customHeight="1">
      <c r="A94" s="39"/>
      <c r="B94" s="40"/>
      <c r="C94" s="41"/>
      <c r="D94" s="42"/>
      <c r="F94" s="19" t="str">
        <f t="shared" si="1"/>
        <v/>
      </c>
    </row>
    <row r="95" ht="14.25" customHeight="1">
      <c r="A95" s="39"/>
      <c r="B95" s="40"/>
      <c r="C95" s="41"/>
      <c r="D95" s="42"/>
      <c r="F95" s="19" t="str">
        <f t="shared" si="1"/>
        <v/>
      </c>
    </row>
    <row r="96" ht="14.25" customHeight="1">
      <c r="A96" s="39"/>
      <c r="B96" s="40"/>
      <c r="C96" s="41"/>
      <c r="D96" s="42"/>
      <c r="F96" s="19" t="str">
        <f t="shared" si="1"/>
        <v/>
      </c>
    </row>
    <row r="97" ht="14.25" customHeight="1">
      <c r="A97" s="39"/>
      <c r="B97" s="40"/>
      <c r="C97" s="41"/>
      <c r="D97" s="42"/>
      <c r="F97" s="19" t="str">
        <f t="shared" si="1"/>
        <v/>
      </c>
    </row>
    <row r="98" ht="14.25" customHeight="1">
      <c r="A98" s="39"/>
      <c r="B98" s="40"/>
      <c r="C98" s="41"/>
      <c r="D98" s="42"/>
      <c r="F98" s="19" t="str">
        <f t="shared" si="1"/>
        <v/>
      </c>
    </row>
    <row r="99" ht="14.25" customHeight="1">
      <c r="A99" s="39"/>
      <c r="B99" s="40"/>
      <c r="C99" s="41"/>
      <c r="D99" s="42"/>
      <c r="F99" s="19" t="str">
        <f t="shared" si="1"/>
        <v/>
      </c>
    </row>
    <row r="100" ht="14.25" customHeight="1">
      <c r="A100" s="39"/>
      <c r="B100" s="40"/>
      <c r="C100" s="41"/>
      <c r="D100" s="42"/>
      <c r="F100" s="19" t="str">
        <f t="shared" si="1"/>
        <v/>
      </c>
    </row>
    <row r="101" ht="14.25" customHeight="1">
      <c r="A101" s="39"/>
      <c r="B101" s="40"/>
      <c r="C101" s="41"/>
      <c r="D101" s="42"/>
      <c r="F101" s="19" t="str">
        <f t="shared" si="1"/>
        <v/>
      </c>
    </row>
    <row r="102" ht="14.25" customHeight="1">
      <c r="A102" s="39"/>
      <c r="B102" s="40"/>
      <c r="C102" s="41"/>
      <c r="D102" s="42"/>
      <c r="F102" s="19" t="str">
        <f t="shared" si="1"/>
        <v/>
      </c>
    </row>
    <row r="103" ht="14.25" customHeight="1">
      <c r="A103" s="39"/>
      <c r="B103" s="40"/>
      <c r="C103" s="41"/>
      <c r="D103" s="42"/>
      <c r="F103" s="19" t="str">
        <f t="shared" si="1"/>
        <v/>
      </c>
    </row>
    <row r="104" ht="14.25" customHeight="1">
      <c r="A104" s="39"/>
      <c r="B104" s="40"/>
      <c r="C104" s="41"/>
      <c r="D104" s="42"/>
      <c r="F104" s="19" t="str">
        <f t="shared" si="1"/>
        <v/>
      </c>
    </row>
    <row r="105" ht="14.25" customHeight="1">
      <c r="A105" s="39"/>
      <c r="B105" s="40"/>
      <c r="C105" s="41"/>
      <c r="D105" s="42"/>
      <c r="F105" s="19" t="str">
        <f t="shared" si="1"/>
        <v/>
      </c>
    </row>
    <row r="106" ht="14.25" customHeight="1">
      <c r="A106" s="39"/>
      <c r="B106" s="40"/>
      <c r="C106" s="41"/>
      <c r="D106" s="42"/>
      <c r="F106" s="19" t="str">
        <f t="shared" si="1"/>
        <v/>
      </c>
    </row>
    <row r="107" ht="14.25" customHeight="1">
      <c r="A107" s="39"/>
      <c r="B107" s="40"/>
      <c r="C107" s="41"/>
      <c r="D107" s="42"/>
      <c r="F107" s="19" t="str">
        <f t="shared" si="1"/>
        <v/>
      </c>
    </row>
    <row r="108" ht="14.25" customHeight="1">
      <c r="A108" s="39"/>
      <c r="B108" s="40"/>
      <c r="C108" s="41"/>
      <c r="D108" s="42"/>
      <c r="F108" s="19" t="str">
        <f t="shared" si="1"/>
        <v/>
      </c>
    </row>
    <row r="109" ht="14.25" customHeight="1">
      <c r="A109" s="39"/>
      <c r="B109" s="40"/>
      <c r="C109" s="41"/>
      <c r="D109" s="42"/>
      <c r="F109" s="19" t="str">
        <f t="shared" si="1"/>
        <v/>
      </c>
    </row>
    <row r="110" ht="14.25" customHeight="1">
      <c r="A110" s="39"/>
      <c r="B110" s="40"/>
      <c r="C110" s="41"/>
      <c r="D110" s="42"/>
      <c r="F110" s="19" t="str">
        <f t="shared" si="1"/>
        <v/>
      </c>
    </row>
    <row r="111" ht="14.25" customHeight="1">
      <c r="A111" s="39"/>
      <c r="B111" s="40"/>
      <c r="C111" s="41"/>
      <c r="D111" s="42"/>
      <c r="F111" s="19" t="str">
        <f t="shared" si="1"/>
        <v/>
      </c>
    </row>
    <row r="112" ht="14.25" customHeight="1">
      <c r="A112" s="39"/>
      <c r="B112" s="40"/>
      <c r="C112" s="41"/>
      <c r="D112" s="42"/>
      <c r="F112" s="19" t="str">
        <f t="shared" si="1"/>
        <v/>
      </c>
    </row>
    <row r="113" ht="14.25" customHeight="1">
      <c r="A113" s="39"/>
      <c r="B113" s="40"/>
      <c r="C113" s="41"/>
      <c r="D113" s="42"/>
      <c r="F113" s="19" t="str">
        <f t="shared" si="1"/>
        <v/>
      </c>
    </row>
    <row r="114" ht="14.25" customHeight="1">
      <c r="A114" s="39"/>
      <c r="B114" s="40"/>
      <c r="C114" s="41"/>
      <c r="D114" s="42"/>
      <c r="F114" s="19" t="str">
        <f t="shared" si="1"/>
        <v/>
      </c>
    </row>
    <row r="115" ht="14.25" customHeight="1">
      <c r="A115" s="39"/>
      <c r="B115" s="40"/>
      <c r="C115" s="41"/>
      <c r="D115" s="42"/>
      <c r="F115" s="19" t="str">
        <f t="shared" si="1"/>
        <v/>
      </c>
    </row>
    <row r="116" ht="14.25" customHeight="1">
      <c r="A116" s="39"/>
      <c r="B116" s="40"/>
      <c r="C116" s="41"/>
      <c r="D116" s="42"/>
      <c r="F116" s="19" t="str">
        <f t="shared" si="1"/>
        <v/>
      </c>
    </row>
    <row r="117" ht="14.25" customHeight="1">
      <c r="A117" s="39"/>
      <c r="B117" s="40"/>
      <c r="C117" s="41"/>
      <c r="D117" s="42"/>
      <c r="F117" s="19" t="str">
        <f t="shared" si="1"/>
        <v/>
      </c>
    </row>
    <row r="118" ht="14.25" customHeight="1">
      <c r="A118" s="39"/>
      <c r="B118" s="40"/>
      <c r="C118" s="41"/>
      <c r="D118" s="42"/>
      <c r="F118" s="19" t="str">
        <f t="shared" si="1"/>
        <v/>
      </c>
    </row>
    <row r="119" ht="14.25" customHeight="1">
      <c r="A119" s="39"/>
      <c r="B119" s="40"/>
      <c r="C119" s="41"/>
      <c r="D119" s="42"/>
      <c r="F119" s="19" t="str">
        <f t="shared" si="1"/>
        <v/>
      </c>
    </row>
    <row r="120" ht="14.25" customHeight="1">
      <c r="A120" s="39"/>
      <c r="B120" s="40"/>
      <c r="C120" s="41"/>
      <c r="D120" s="42"/>
      <c r="F120" s="19" t="str">
        <f t="shared" si="1"/>
        <v/>
      </c>
    </row>
    <row r="121" ht="14.25" customHeight="1">
      <c r="A121" s="39"/>
      <c r="B121" s="40"/>
      <c r="C121" s="41"/>
      <c r="D121" s="42"/>
      <c r="F121" s="19" t="str">
        <f t="shared" si="1"/>
        <v/>
      </c>
    </row>
    <row r="122" ht="14.25" customHeight="1">
      <c r="A122" s="39"/>
      <c r="B122" s="40"/>
      <c r="C122" s="41"/>
      <c r="D122" s="42"/>
      <c r="F122" s="19" t="str">
        <f t="shared" si="1"/>
        <v/>
      </c>
    </row>
    <row r="123" ht="14.25" customHeight="1">
      <c r="A123" s="39"/>
      <c r="B123" s="40"/>
      <c r="C123" s="41"/>
      <c r="D123" s="42"/>
      <c r="F123" s="19" t="str">
        <f t="shared" si="1"/>
        <v/>
      </c>
    </row>
    <row r="124" ht="14.25" customHeight="1">
      <c r="A124" s="39"/>
      <c r="B124" s="40"/>
      <c r="C124" s="41"/>
      <c r="D124" s="42"/>
      <c r="F124" s="19" t="str">
        <f t="shared" si="1"/>
        <v/>
      </c>
    </row>
    <row r="125" ht="14.25" customHeight="1">
      <c r="A125" s="39"/>
      <c r="B125" s="40"/>
      <c r="C125" s="41"/>
      <c r="D125" s="42"/>
      <c r="F125" s="19" t="str">
        <f t="shared" si="1"/>
        <v/>
      </c>
    </row>
    <row r="126" ht="14.25" customHeight="1">
      <c r="A126" s="39"/>
      <c r="B126" s="40"/>
      <c r="C126" s="41"/>
      <c r="D126" s="42"/>
      <c r="F126" s="19" t="str">
        <f t="shared" si="1"/>
        <v/>
      </c>
    </row>
    <row r="127" ht="14.25" customHeight="1">
      <c r="A127" s="39"/>
      <c r="B127" s="40"/>
      <c r="C127" s="41"/>
      <c r="D127" s="42"/>
      <c r="F127" s="19" t="str">
        <f t="shared" si="1"/>
        <v/>
      </c>
    </row>
    <row r="128" ht="14.25" customHeight="1">
      <c r="A128" s="39"/>
      <c r="B128" s="40"/>
      <c r="C128" s="41"/>
      <c r="D128" s="42"/>
      <c r="F128" s="19" t="str">
        <f t="shared" si="1"/>
        <v/>
      </c>
    </row>
    <row r="129" ht="14.25" customHeight="1">
      <c r="A129" s="39"/>
      <c r="B129" s="40"/>
      <c r="C129" s="41"/>
      <c r="D129" s="42"/>
      <c r="F129" s="19" t="str">
        <f t="shared" si="1"/>
        <v/>
      </c>
    </row>
    <row r="130" ht="14.25" customHeight="1">
      <c r="A130" s="39"/>
      <c r="B130" s="40"/>
      <c r="C130" s="41"/>
      <c r="D130" s="42"/>
      <c r="F130" s="19" t="str">
        <f t="shared" si="1"/>
        <v/>
      </c>
    </row>
    <row r="131" ht="14.25" customHeight="1">
      <c r="A131" s="39"/>
      <c r="B131" s="40"/>
      <c r="C131" s="41"/>
      <c r="D131" s="42"/>
      <c r="F131" s="19" t="str">
        <f t="shared" si="1"/>
        <v/>
      </c>
    </row>
    <row r="132" ht="14.25" customHeight="1">
      <c r="A132" s="39"/>
      <c r="B132" s="40"/>
      <c r="C132" s="41"/>
      <c r="D132" s="42"/>
      <c r="F132" s="19" t="str">
        <f t="shared" si="1"/>
        <v/>
      </c>
    </row>
    <row r="133" ht="14.25" customHeight="1">
      <c r="A133" s="39"/>
      <c r="B133" s="40"/>
      <c r="C133" s="41"/>
      <c r="D133" s="42"/>
      <c r="F133" s="19" t="str">
        <f t="shared" si="1"/>
        <v/>
      </c>
    </row>
    <row r="134" ht="14.25" customHeight="1">
      <c r="A134" s="39"/>
      <c r="B134" s="40"/>
      <c r="C134" s="41"/>
      <c r="D134" s="42"/>
      <c r="F134" s="19" t="str">
        <f t="shared" si="1"/>
        <v/>
      </c>
    </row>
    <row r="135" ht="14.25" customHeight="1">
      <c r="A135" s="39"/>
      <c r="B135" s="40"/>
      <c r="C135" s="41"/>
      <c r="D135" s="42"/>
      <c r="F135" s="19" t="str">
        <f t="shared" si="1"/>
        <v/>
      </c>
    </row>
    <row r="136" ht="14.25" customHeight="1">
      <c r="A136" s="39"/>
      <c r="B136" s="40"/>
      <c r="C136" s="41"/>
      <c r="D136" s="42"/>
      <c r="F136" s="19" t="str">
        <f t="shared" si="1"/>
        <v/>
      </c>
    </row>
    <row r="137" ht="14.25" customHeight="1">
      <c r="A137" s="39"/>
      <c r="B137" s="40"/>
      <c r="C137" s="41"/>
      <c r="D137" s="42"/>
      <c r="F137" s="19" t="str">
        <f t="shared" si="1"/>
        <v/>
      </c>
    </row>
    <row r="138" ht="14.25" customHeight="1">
      <c r="A138" s="39"/>
      <c r="B138" s="40"/>
      <c r="C138" s="41"/>
      <c r="D138" s="42"/>
      <c r="F138" s="19" t="str">
        <f t="shared" si="1"/>
        <v/>
      </c>
    </row>
    <row r="139" ht="14.25" customHeight="1">
      <c r="A139" s="39"/>
      <c r="B139" s="40"/>
      <c r="C139" s="41"/>
      <c r="D139" s="42"/>
      <c r="F139" s="19" t="str">
        <f t="shared" si="1"/>
        <v/>
      </c>
    </row>
    <row r="140" ht="14.25" customHeight="1">
      <c r="A140" s="39"/>
      <c r="B140" s="40"/>
      <c r="C140" s="41"/>
      <c r="D140" s="42"/>
      <c r="F140" s="19" t="str">
        <f t="shared" si="1"/>
        <v/>
      </c>
    </row>
    <row r="141" ht="14.25" customHeight="1">
      <c r="A141" s="39"/>
      <c r="B141" s="40"/>
      <c r="C141" s="41"/>
      <c r="D141" s="42"/>
      <c r="F141" s="19" t="str">
        <f t="shared" si="1"/>
        <v/>
      </c>
    </row>
    <row r="142" ht="14.25" customHeight="1">
      <c r="A142" s="39"/>
      <c r="B142" s="40"/>
      <c r="C142" s="41"/>
      <c r="D142" s="42"/>
      <c r="F142" s="19" t="str">
        <f t="shared" si="1"/>
        <v/>
      </c>
    </row>
    <row r="143" ht="14.25" customHeight="1">
      <c r="A143" s="39"/>
      <c r="B143" s="40"/>
      <c r="C143" s="41"/>
      <c r="D143" s="42"/>
      <c r="F143" s="19" t="str">
        <f t="shared" si="1"/>
        <v/>
      </c>
    </row>
    <row r="144" ht="14.25" customHeight="1">
      <c r="A144" s="39"/>
      <c r="B144" s="40"/>
      <c r="C144" s="41"/>
      <c r="D144" s="42"/>
      <c r="F144" s="19" t="str">
        <f t="shared" si="1"/>
        <v/>
      </c>
    </row>
    <row r="145" ht="14.25" customHeight="1">
      <c r="A145" s="39"/>
      <c r="B145" s="40"/>
      <c r="C145" s="41"/>
      <c r="D145" s="42"/>
      <c r="F145" s="19" t="str">
        <f t="shared" si="1"/>
        <v/>
      </c>
    </row>
    <row r="146" ht="14.25" customHeight="1">
      <c r="A146" s="39"/>
      <c r="B146" s="40"/>
      <c r="C146" s="41"/>
      <c r="D146" s="42"/>
      <c r="F146" s="19" t="str">
        <f t="shared" si="1"/>
        <v/>
      </c>
    </row>
    <row r="147" ht="14.25" customHeight="1">
      <c r="A147" s="39"/>
      <c r="B147" s="40"/>
      <c r="C147" s="41"/>
      <c r="D147" s="42"/>
      <c r="F147" s="19" t="str">
        <f t="shared" si="1"/>
        <v/>
      </c>
    </row>
    <row r="148" ht="14.25" customHeight="1">
      <c r="A148" s="39"/>
      <c r="B148" s="40"/>
      <c r="C148" s="41"/>
      <c r="D148" s="42"/>
      <c r="F148" s="19" t="str">
        <f t="shared" si="1"/>
        <v/>
      </c>
    </row>
    <row r="149" ht="14.25" customHeight="1">
      <c r="A149" s="39"/>
      <c r="B149" s="40"/>
      <c r="C149" s="41"/>
      <c r="D149" s="42"/>
      <c r="F149" s="19" t="str">
        <f t="shared" si="1"/>
        <v/>
      </c>
    </row>
    <row r="150" ht="14.25" customHeight="1">
      <c r="A150" s="39"/>
      <c r="B150" s="40"/>
      <c r="C150" s="41"/>
      <c r="D150" s="42"/>
      <c r="F150" s="19" t="str">
        <f t="shared" si="1"/>
        <v/>
      </c>
    </row>
    <row r="151" ht="14.25" customHeight="1">
      <c r="A151" s="39"/>
      <c r="B151" s="40"/>
      <c r="C151" s="41"/>
      <c r="D151" s="42"/>
      <c r="F151" s="19" t="str">
        <f t="shared" si="1"/>
        <v/>
      </c>
    </row>
    <row r="152" ht="14.25" customHeight="1">
      <c r="A152" s="39"/>
      <c r="B152" s="40"/>
      <c r="C152" s="41"/>
      <c r="D152" s="42"/>
      <c r="F152" s="19" t="str">
        <f t="shared" si="1"/>
        <v/>
      </c>
    </row>
    <row r="153" ht="14.25" customHeight="1">
      <c r="A153" s="39"/>
      <c r="B153" s="40"/>
      <c r="C153" s="41"/>
      <c r="D153" s="42"/>
      <c r="F153" s="19" t="str">
        <f t="shared" si="1"/>
        <v/>
      </c>
    </row>
    <row r="154" ht="14.25" customHeight="1">
      <c r="A154" s="39"/>
      <c r="B154" s="40"/>
      <c r="C154" s="41"/>
      <c r="D154" s="42"/>
      <c r="F154" s="19" t="str">
        <f t="shared" si="1"/>
        <v/>
      </c>
    </row>
    <row r="155" ht="14.25" customHeight="1">
      <c r="A155" s="39"/>
      <c r="B155" s="40"/>
      <c r="C155" s="41"/>
      <c r="D155" s="42"/>
      <c r="F155" s="19" t="str">
        <f t="shared" si="1"/>
        <v/>
      </c>
    </row>
    <row r="156" ht="14.25" customHeight="1">
      <c r="A156" s="39"/>
      <c r="B156" s="40"/>
      <c r="C156" s="41"/>
      <c r="D156" s="42"/>
      <c r="F156" s="19" t="str">
        <f t="shared" si="1"/>
        <v/>
      </c>
    </row>
    <row r="157" ht="14.25" customHeight="1">
      <c r="A157" s="39"/>
      <c r="B157" s="40"/>
      <c r="C157" s="41"/>
      <c r="D157" s="42"/>
      <c r="F157" s="19" t="str">
        <f t="shared" si="1"/>
        <v/>
      </c>
    </row>
    <row r="158" ht="14.25" customHeight="1">
      <c r="A158" s="39"/>
      <c r="B158" s="40"/>
      <c r="C158" s="41"/>
      <c r="D158" s="42"/>
      <c r="F158" s="19" t="str">
        <f t="shared" si="1"/>
        <v/>
      </c>
    </row>
    <row r="159" ht="14.25" customHeight="1">
      <c r="A159" s="39"/>
      <c r="B159" s="40"/>
      <c r="C159" s="41"/>
      <c r="D159" s="42"/>
      <c r="F159" s="19" t="str">
        <f t="shared" si="1"/>
        <v/>
      </c>
    </row>
    <row r="160" ht="14.25" customHeight="1">
      <c r="A160" s="39"/>
      <c r="B160" s="40"/>
      <c r="C160" s="41"/>
      <c r="D160" s="42"/>
      <c r="F160" s="19" t="str">
        <f t="shared" si="1"/>
        <v/>
      </c>
    </row>
    <row r="161" ht="14.25" customHeight="1">
      <c r="A161" s="39"/>
      <c r="B161" s="40"/>
      <c r="C161" s="41"/>
      <c r="D161" s="42"/>
      <c r="F161" s="19" t="str">
        <f t="shared" si="1"/>
        <v/>
      </c>
    </row>
    <row r="162" ht="14.25" customHeight="1">
      <c r="A162" s="39"/>
      <c r="B162" s="40"/>
      <c r="C162" s="41"/>
      <c r="D162" s="42"/>
      <c r="F162" s="19" t="str">
        <f t="shared" si="1"/>
        <v/>
      </c>
    </row>
    <row r="163" ht="14.25" customHeight="1">
      <c r="A163" s="39"/>
      <c r="B163" s="40"/>
      <c r="C163" s="41"/>
      <c r="D163" s="42"/>
      <c r="F163" s="19" t="str">
        <f t="shared" si="1"/>
        <v/>
      </c>
    </row>
    <row r="164" ht="14.25" customHeight="1">
      <c r="A164" s="39"/>
      <c r="B164" s="40"/>
      <c r="C164" s="41"/>
      <c r="D164" s="42"/>
      <c r="F164" s="19" t="str">
        <f t="shared" si="1"/>
        <v/>
      </c>
    </row>
    <row r="165" ht="14.25" customHeight="1">
      <c r="A165" s="39"/>
      <c r="B165" s="40"/>
      <c r="C165" s="41"/>
      <c r="D165" s="42"/>
      <c r="F165" s="19" t="str">
        <f t="shared" si="1"/>
        <v/>
      </c>
    </row>
    <row r="166" ht="14.25" customHeight="1">
      <c r="A166" s="39"/>
      <c r="B166" s="40"/>
      <c r="C166" s="41"/>
      <c r="D166" s="42"/>
      <c r="F166" s="19" t="str">
        <f t="shared" si="1"/>
        <v/>
      </c>
    </row>
    <row r="167" ht="14.25" customHeight="1">
      <c r="A167" s="39"/>
      <c r="B167" s="40"/>
      <c r="C167" s="41"/>
      <c r="D167" s="42"/>
      <c r="F167" s="19" t="str">
        <f t="shared" si="1"/>
        <v/>
      </c>
    </row>
    <row r="168" ht="14.25" customHeight="1">
      <c r="A168" s="39"/>
      <c r="B168" s="40"/>
      <c r="C168" s="41"/>
      <c r="D168" s="42"/>
      <c r="F168" s="19" t="str">
        <f t="shared" si="1"/>
        <v/>
      </c>
    </row>
    <row r="169" ht="14.25" customHeight="1">
      <c r="A169" s="39"/>
      <c r="B169" s="40"/>
      <c r="C169" s="41"/>
      <c r="D169" s="42"/>
      <c r="F169" s="19" t="str">
        <f t="shared" si="1"/>
        <v/>
      </c>
    </row>
    <row r="170" ht="14.25" customHeight="1">
      <c r="A170" s="39"/>
      <c r="B170" s="40"/>
      <c r="C170" s="41"/>
      <c r="D170" s="42"/>
      <c r="F170" s="19" t="str">
        <f t="shared" si="1"/>
        <v/>
      </c>
    </row>
    <row r="171" ht="14.25" customHeight="1">
      <c r="A171" s="39"/>
      <c r="B171" s="40"/>
      <c r="C171" s="41"/>
      <c r="D171" s="42"/>
      <c r="F171" s="19" t="str">
        <f t="shared" si="1"/>
        <v/>
      </c>
    </row>
    <row r="172" ht="14.25" customHeight="1">
      <c r="A172" s="39"/>
      <c r="B172" s="40"/>
      <c r="C172" s="41"/>
      <c r="D172" s="42"/>
      <c r="F172" s="19" t="str">
        <f t="shared" si="1"/>
        <v/>
      </c>
    </row>
    <row r="173" ht="14.25" customHeight="1">
      <c r="A173" s="39"/>
      <c r="B173" s="40"/>
      <c r="C173" s="41"/>
      <c r="D173" s="42"/>
      <c r="F173" s="19" t="str">
        <f t="shared" si="1"/>
        <v/>
      </c>
    </row>
    <row r="174" ht="14.25" customHeight="1">
      <c r="A174" s="39"/>
      <c r="B174" s="40"/>
      <c r="C174" s="41"/>
      <c r="D174" s="42"/>
      <c r="F174" s="19" t="str">
        <f t="shared" si="1"/>
        <v/>
      </c>
    </row>
    <row r="175" ht="14.25" customHeight="1">
      <c r="A175" s="39"/>
      <c r="B175" s="40"/>
      <c r="C175" s="41"/>
      <c r="D175" s="42"/>
      <c r="F175" s="19" t="str">
        <f t="shared" si="1"/>
        <v/>
      </c>
    </row>
    <row r="176" ht="14.25" customHeight="1">
      <c r="A176" s="39"/>
      <c r="B176" s="40"/>
      <c r="C176" s="41"/>
      <c r="D176" s="42"/>
      <c r="F176" s="19" t="str">
        <f t="shared" si="1"/>
        <v/>
      </c>
    </row>
    <row r="177" ht="14.25" customHeight="1">
      <c r="A177" s="39"/>
      <c r="B177" s="40"/>
      <c r="C177" s="41"/>
      <c r="D177" s="42"/>
      <c r="F177" s="19" t="str">
        <f t="shared" si="1"/>
        <v/>
      </c>
    </row>
    <row r="178" ht="14.25" customHeight="1">
      <c r="A178" s="39"/>
      <c r="B178" s="40"/>
      <c r="C178" s="41"/>
      <c r="D178" s="42"/>
      <c r="F178" s="19" t="str">
        <f t="shared" si="1"/>
        <v/>
      </c>
    </row>
    <row r="179" ht="14.25" customHeight="1">
      <c r="A179" s="39"/>
      <c r="B179" s="40"/>
      <c r="C179" s="41"/>
      <c r="D179" s="42"/>
      <c r="F179" s="19" t="str">
        <f t="shared" si="1"/>
        <v/>
      </c>
    </row>
    <row r="180" ht="14.25" customHeight="1">
      <c r="A180" s="39"/>
      <c r="B180" s="40"/>
      <c r="C180" s="41"/>
      <c r="D180" s="42"/>
      <c r="F180" s="19" t="str">
        <f t="shared" si="1"/>
        <v/>
      </c>
    </row>
    <row r="181" ht="14.25" customHeight="1">
      <c r="A181" s="39"/>
      <c r="B181" s="40"/>
      <c r="C181" s="41"/>
      <c r="D181" s="42"/>
      <c r="F181" s="19" t="str">
        <f t="shared" si="1"/>
        <v/>
      </c>
    </row>
    <row r="182" ht="14.25" customHeight="1">
      <c r="A182" s="39"/>
      <c r="B182" s="40"/>
      <c r="C182" s="41"/>
      <c r="D182" s="42"/>
      <c r="F182" s="19" t="str">
        <f t="shared" si="1"/>
        <v/>
      </c>
    </row>
    <row r="183" ht="14.25" customHeight="1">
      <c r="A183" s="39"/>
      <c r="B183" s="40"/>
      <c r="C183" s="41"/>
      <c r="D183" s="42"/>
      <c r="F183" s="19" t="str">
        <f t="shared" si="1"/>
        <v/>
      </c>
    </row>
    <row r="184" ht="14.25" customHeight="1">
      <c r="A184" s="39"/>
      <c r="B184" s="40"/>
      <c r="C184" s="41"/>
      <c r="D184" s="42"/>
      <c r="F184" s="19" t="str">
        <f t="shared" si="1"/>
        <v/>
      </c>
    </row>
    <row r="185" ht="14.25" customHeight="1">
      <c r="A185" s="39"/>
      <c r="B185" s="40"/>
      <c r="C185" s="41"/>
      <c r="D185" s="42"/>
      <c r="F185" s="19" t="str">
        <f t="shared" si="1"/>
        <v/>
      </c>
    </row>
    <row r="186" ht="14.25" customHeight="1">
      <c r="A186" s="39"/>
      <c r="B186" s="40"/>
      <c r="C186" s="41"/>
      <c r="D186" s="42"/>
      <c r="F186" s="19" t="str">
        <f t="shared" si="1"/>
        <v/>
      </c>
    </row>
    <row r="187" ht="14.25" customHeight="1">
      <c r="A187" s="39"/>
      <c r="B187" s="40"/>
      <c r="C187" s="41"/>
      <c r="D187" s="42"/>
      <c r="F187" s="19" t="str">
        <f t="shared" si="1"/>
        <v/>
      </c>
    </row>
    <row r="188" ht="14.25" customHeight="1">
      <c r="A188" s="39"/>
      <c r="B188" s="40"/>
      <c r="C188" s="41"/>
      <c r="D188" s="42"/>
      <c r="F188" s="19" t="str">
        <f t="shared" si="1"/>
        <v/>
      </c>
    </row>
    <row r="189" ht="14.25" customHeight="1">
      <c r="A189" s="39"/>
      <c r="B189" s="40"/>
      <c r="C189" s="41"/>
      <c r="D189" s="42"/>
      <c r="F189" s="19" t="str">
        <f t="shared" si="1"/>
        <v/>
      </c>
    </row>
    <row r="190" ht="14.25" customHeight="1">
      <c r="A190" s="39"/>
      <c r="B190" s="40"/>
      <c r="C190" s="41"/>
      <c r="D190" s="42"/>
      <c r="F190" s="19" t="str">
        <f t="shared" si="1"/>
        <v/>
      </c>
    </row>
    <row r="191" ht="14.25" customHeight="1">
      <c r="A191" s="39"/>
      <c r="B191" s="40"/>
      <c r="C191" s="41"/>
      <c r="D191" s="42"/>
      <c r="F191" s="19" t="str">
        <f t="shared" si="1"/>
        <v/>
      </c>
    </row>
    <row r="192" ht="14.25" customHeight="1">
      <c r="A192" s="39"/>
      <c r="B192" s="40"/>
      <c r="C192" s="41"/>
      <c r="D192" s="42"/>
      <c r="F192" s="19" t="str">
        <f t="shared" si="1"/>
        <v/>
      </c>
    </row>
    <row r="193" ht="14.25" customHeight="1">
      <c r="A193" s="39"/>
      <c r="B193" s="40"/>
      <c r="C193" s="41"/>
      <c r="D193" s="42"/>
      <c r="F193" s="19" t="str">
        <f t="shared" si="1"/>
        <v/>
      </c>
    </row>
    <row r="194" ht="14.25" customHeight="1">
      <c r="A194" s="39"/>
      <c r="B194" s="40"/>
      <c r="C194" s="41"/>
      <c r="D194" s="42"/>
      <c r="F194" s="19" t="str">
        <f t="shared" si="1"/>
        <v/>
      </c>
    </row>
    <row r="195" ht="14.25" customHeight="1">
      <c r="A195" s="39"/>
      <c r="B195" s="40"/>
      <c r="C195" s="41"/>
      <c r="D195" s="42"/>
      <c r="F195" s="19" t="str">
        <f t="shared" si="1"/>
        <v/>
      </c>
    </row>
    <row r="196" ht="14.25" customHeight="1">
      <c r="A196" s="39"/>
      <c r="B196" s="40"/>
      <c r="C196" s="41"/>
      <c r="D196" s="42"/>
      <c r="F196" s="19" t="str">
        <f t="shared" si="1"/>
        <v/>
      </c>
    </row>
    <row r="197" ht="14.25" customHeight="1">
      <c r="A197" s="39"/>
      <c r="B197" s="40"/>
      <c r="C197" s="41"/>
      <c r="D197" s="42"/>
      <c r="F197" s="19" t="str">
        <f t="shared" si="1"/>
        <v/>
      </c>
    </row>
    <row r="198" ht="14.25" customHeight="1">
      <c r="A198" s="39"/>
      <c r="B198" s="40"/>
      <c r="C198" s="41"/>
      <c r="D198" s="42"/>
      <c r="F198" s="19" t="str">
        <f t="shared" si="1"/>
        <v/>
      </c>
    </row>
    <row r="199" ht="14.25" customHeight="1">
      <c r="A199" s="39"/>
      <c r="B199" s="40"/>
      <c r="C199" s="41"/>
      <c r="D199" s="42"/>
      <c r="F199" s="19" t="str">
        <f t="shared" si="1"/>
        <v/>
      </c>
    </row>
    <row r="200" ht="14.25" customHeight="1">
      <c r="A200" s="39"/>
      <c r="B200" s="40"/>
      <c r="C200" s="41"/>
      <c r="D200" s="42"/>
      <c r="F200" s="19" t="str">
        <f t="shared" si="1"/>
        <v/>
      </c>
    </row>
    <row r="201" ht="14.25" customHeight="1">
      <c r="A201" s="39"/>
      <c r="B201" s="40"/>
      <c r="C201" s="41"/>
      <c r="D201" s="42"/>
      <c r="F201" s="19" t="str">
        <f t="shared" si="1"/>
        <v/>
      </c>
    </row>
    <row r="202" ht="14.25" customHeight="1">
      <c r="A202" s="39"/>
      <c r="B202" s="40"/>
      <c r="C202" s="41"/>
      <c r="D202" s="42"/>
      <c r="F202" s="19" t="str">
        <f t="shared" si="1"/>
        <v/>
      </c>
    </row>
    <row r="203" ht="14.25" customHeight="1">
      <c r="A203" s="39"/>
      <c r="B203" s="40"/>
      <c r="C203" s="41"/>
      <c r="D203" s="42"/>
      <c r="F203" s="19" t="str">
        <f t="shared" si="1"/>
        <v/>
      </c>
    </row>
    <row r="204" ht="14.25" customHeight="1">
      <c r="A204" s="39"/>
      <c r="B204" s="40"/>
      <c r="C204" s="41"/>
      <c r="D204" s="42"/>
      <c r="F204" s="19" t="str">
        <f t="shared" si="1"/>
        <v/>
      </c>
    </row>
    <row r="205" ht="14.25" customHeight="1"/>
    <row r="206" ht="14.25" customHeight="1">
      <c r="A206" s="63" t="s">
        <v>217</v>
      </c>
      <c r="B206" s="63"/>
      <c r="C206" s="63"/>
      <c r="D206" s="63"/>
    </row>
    <row r="207" ht="14.25" customHeight="1">
      <c r="A207" s="15" t="s">
        <v>218</v>
      </c>
      <c r="B207" s="15"/>
      <c r="C207" s="18">
        <f>SUM(Investment!$C$209:$C$408)</f>
        <v>0</v>
      </c>
      <c r="D207" s="15"/>
    </row>
    <row r="208" ht="14.25" customHeight="1">
      <c r="A208" s="64" t="s">
        <v>36</v>
      </c>
      <c r="B208" s="54" t="s">
        <v>219</v>
      </c>
      <c r="C208" s="65" t="s">
        <v>41</v>
      </c>
      <c r="D208" s="66" t="s">
        <v>44</v>
      </c>
    </row>
    <row r="209" ht="14.25" customHeight="1">
      <c r="A209" s="33"/>
      <c r="B209" s="36"/>
      <c r="C209" s="67"/>
    </row>
    <row r="210" ht="14.25" customHeight="1">
      <c r="A210" s="33"/>
      <c r="B210" s="36"/>
      <c r="C210" s="67"/>
    </row>
    <row r="211" ht="14.25" customHeight="1">
      <c r="A211" s="33"/>
      <c r="B211" s="36"/>
      <c r="C211" s="67"/>
    </row>
    <row r="212" ht="14.25" customHeight="1">
      <c r="A212" s="33"/>
      <c r="B212" s="36"/>
      <c r="C212" s="67"/>
    </row>
    <row r="213" ht="14.25" customHeight="1">
      <c r="A213" s="33"/>
      <c r="B213" s="36"/>
      <c r="C213" s="67"/>
    </row>
    <row r="214" ht="14.25" customHeight="1">
      <c r="A214" s="33"/>
      <c r="B214" s="36"/>
      <c r="C214" s="67"/>
    </row>
    <row r="215" ht="14.25" customHeight="1">
      <c r="A215" s="33"/>
      <c r="B215" s="36"/>
      <c r="C215" s="67"/>
    </row>
    <row r="216" ht="14.25" customHeight="1">
      <c r="A216" s="33"/>
      <c r="B216" s="36"/>
      <c r="C216" s="67"/>
    </row>
    <row r="217" ht="14.25" customHeight="1">
      <c r="A217" s="33"/>
      <c r="B217" s="36"/>
      <c r="C217" s="67"/>
    </row>
    <row r="218" ht="14.25" customHeight="1">
      <c r="A218" s="33"/>
      <c r="B218" s="36"/>
      <c r="C218" s="67"/>
    </row>
    <row r="219" ht="14.25" customHeight="1">
      <c r="A219" s="33"/>
      <c r="B219" s="36"/>
      <c r="C219" s="67"/>
    </row>
    <row r="220" ht="14.25" customHeight="1">
      <c r="A220" s="33"/>
      <c r="B220" s="36"/>
      <c r="C220" s="67"/>
    </row>
    <row r="221" ht="14.25" customHeight="1">
      <c r="A221" s="33"/>
      <c r="B221" s="36"/>
      <c r="C221" s="67"/>
    </row>
    <row r="222" ht="14.25" customHeight="1">
      <c r="A222" s="33"/>
      <c r="B222" s="36"/>
      <c r="C222" s="67"/>
    </row>
    <row r="223" ht="14.25" customHeight="1">
      <c r="A223" s="33"/>
      <c r="B223" s="36"/>
      <c r="C223" s="67"/>
    </row>
    <row r="224" ht="14.25" customHeight="1">
      <c r="A224" s="33"/>
      <c r="B224" s="36"/>
      <c r="C224" s="67"/>
    </row>
    <row r="225" ht="14.25" customHeight="1">
      <c r="A225" s="33"/>
      <c r="B225" s="36"/>
      <c r="C225" s="67"/>
    </row>
    <row r="226" ht="14.25" customHeight="1">
      <c r="A226" s="33"/>
      <c r="B226" s="36"/>
      <c r="C226" s="67"/>
    </row>
    <row r="227" ht="14.25" customHeight="1">
      <c r="A227" s="33"/>
      <c r="B227" s="36"/>
      <c r="C227" s="67"/>
    </row>
    <row r="228" ht="14.25" customHeight="1">
      <c r="A228" s="33"/>
      <c r="B228" s="36"/>
      <c r="C228" s="67"/>
    </row>
    <row r="229" ht="14.25" customHeight="1">
      <c r="A229" s="33"/>
      <c r="B229" s="36"/>
      <c r="C229" s="67"/>
    </row>
    <row r="230" ht="14.25" customHeight="1">
      <c r="A230" s="33"/>
      <c r="B230" s="36"/>
      <c r="C230" s="67"/>
    </row>
    <row r="231" ht="14.25" customHeight="1">
      <c r="A231" s="33"/>
      <c r="B231" s="36"/>
      <c r="C231" s="67"/>
    </row>
    <row r="232" ht="14.25" customHeight="1">
      <c r="A232" s="33"/>
      <c r="B232" s="36"/>
      <c r="C232" s="67"/>
    </row>
    <row r="233" ht="14.25" customHeight="1">
      <c r="A233" s="33"/>
      <c r="B233" s="36"/>
      <c r="C233" s="67"/>
    </row>
    <row r="234" ht="14.25" customHeight="1">
      <c r="A234" s="33"/>
      <c r="B234" s="36"/>
      <c r="C234" s="67"/>
    </row>
    <row r="235" ht="14.25" customHeight="1">
      <c r="A235" s="33"/>
      <c r="B235" s="36"/>
      <c r="C235" s="67"/>
    </row>
    <row r="236" ht="14.25" customHeight="1">
      <c r="A236" s="33"/>
      <c r="B236" s="36"/>
      <c r="C236" s="67"/>
    </row>
    <row r="237" ht="14.25" customHeight="1">
      <c r="A237" s="33"/>
      <c r="B237" s="36"/>
      <c r="C237" s="67"/>
    </row>
    <row r="238" ht="14.25" customHeight="1">
      <c r="A238" s="33"/>
      <c r="B238" s="36"/>
      <c r="C238" s="67"/>
    </row>
    <row r="239" ht="14.25" customHeight="1">
      <c r="A239" s="33"/>
      <c r="B239" s="36"/>
      <c r="C239" s="67"/>
    </row>
    <row r="240" ht="14.25" customHeight="1">
      <c r="A240" s="33"/>
      <c r="B240" s="36"/>
      <c r="C240" s="67"/>
    </row>
    <row r="241" ht="14.25" customHeight="1">
      <c r="A241" s="33"/>
      <c r="B241" s="36"/>
      <c r="C241" s="67"/>
    </row>
    <row r="242" ht="14.25" customHeight="1">
      <c r="A242" s="33"/>
      <c r="B242" s="36"/>
      <c r="C242" s="67"/>
    </row>
    <row r="243" ht="14.25" customHeight="1">
      <c r="A243" s="33"/>
      <c r="B243" s="36"/>
      <c r="C243" s="67"/>
    </row>
    <row r="244" ht="14.25" customHeight="1">
      <c r="A244" s="33"/>
      <c r="B244" s="36"/>
      <c r="C244" s="67"/>
    </row>
    <row r="245" ht="14.25" customHeight="1">
      <c r="A245" s="33"/>
      <c r="B245" s="36"/>
      <c r="C245" s="67"/>
    </row>
    <row r="246" ht="14.25" customHeight="1">
      <c r="A246" s="33"/>
      <c r="B246" s="36"/>
      <c r="C246" s="67"/>
    </row>
    <row r="247" ht="14.25" customHeight="1">
      <c r="A247" s="33"/>
      <c r="B247" s="36"/>
      <c r="C247" s="67"/>
    </row>
    <row r="248" ht="14.25" customHeight="1">
      <c r="A248" s="33"/>
      <c r="B248" s="36"/>
      <c r="C248" s="67"/>
    </row>
    <row r="249" ht="14.25" customHeight="1">
      <c r="A249" s="33"/>
      <c r="B249" s="36"/>
      <c r="C249" s="67"/>
    </row>
    <row r="250" ht="14.25" customHeight="1">
      <c r="A250" s="33"/>
      <c r="B250" s="36"/>
      <c r="C250" s="67"/>
    </row>
    <row r="251" ht="14.25" customHeight="1">
      <c r="A251" s="33"/>
      <c r="B251" s="36"/>
      <c r="C251" s="67"/>
    </row>
    <row r="252" ht="14.25" customHeight="1">
      <c r="A252" s="33"/>
      <c r="B252" s="36"/>
      <c r="C252" s="67"/>
    </row>
    <row r="253" ht="14.25" customHeight="1">
      <c r="A253" s="33"/>
      <c r="B253" s="36"/>
      <c r="C253" s="67"/>
    </row>
    <row r="254" ht="14.25" customHeight="1">
      <c r="A254" s="33"/>
      <c r="B254" s="36"/>
      <c r="C254" s="67"/>
    </row>
    <row r="255" ht="14.25" customHeight="1">
      <c r="A255" s="33"/>
      <c r="B255" s="36"/>
      <c r="C255" s="67"/>
    </row>
    <row r="256" ht="14.25" customHeight="1">
      <c r="A256" s="33"/>
      <c r="B256" s="36"/>
      <c r="C256" s="67"/>
    </row>
    <row r="257" ht="14.25" customHeight="1">
      <c r="A257" s="33"/>
      <c r="B257" s="36"/>
      <c r="C257" s="67"/>
    </row>
    <row r="258" ht="14.25" customHeight="1">
      <c r="A258" s="33"/>
      <c r="B258" s="36"/>
      <c r="C258" s="67"/>
    </row>
    <row r="259" ht="14.25" customHeight="1">
      <c r="A259" s="33"/>
      <c r="B259" s="36"/>
      <c r="C259" s="67"/>
    </row>
    <row r="260" ht="14.25" customHeight="1">
      <c r="A260" s="33"/>
      <c r="B260" s="36"/>
      <c r="C260" s="67"/>
    </row>
    <row r="261" ht="14.25" customHeight="1">
      <c r="A261" s="33"/>
      <c r="B261" s="36"/>
      <c r="C261" s="67"/>
    </row>
    <row r="262" ht="14.25" customHeight="1">
      <c r="A262" s="33"/>
      <c r="B262" s="36"/>
      <c r="C262" s="67"/>
    </row>
    <row r="263" ht="14.25" customHeight="1">
      <c r="A263" s="33"/>
      <c r="B263" s="36"/>
      <c r="C263" s="67"/>
    </row>
    <row r="264" ht="14.25" customHeight="1">
      <c r="A264" s="33"/>
      <c r="B264" s="36"/>
      <c r="C264" s="67"/>
    </row>
    <row r="265" ht="14.25" customHeight="1">
      <c r="A265" s="33"/>
      <c r="B265" s="36"/>
      <c r="C265" s="67"/>
    </row>
    <row r="266" ht="14.25" customHeight="1">
      <c r="A266" s="33"/>
      <c r="B266" s="36"/>
      <c r="C266" s="67"/>
    </row>
    <row r="267" ht="14.25" customHeight="1">
      <c r="A267" s="33"/>
      <c r="B267" s="36"/>
      <c r="C267" s="67"/>
    </row>
    <row r="268" ht="14.25" customHeight="1">
      <c r="A268" s="33"/>
      <c r="B268" s="36"/>
      <c r="C268" s="67"/>
    </row>
    <row r="269" ht="14.25" customHeight="1">
      <c r="A269" s="33"/>
      <c r="B269" s="36"/>
      <c r="C269" s="67"/>
    </row>
    <row r="270" ht="14.25" customHeight="1">
      <c r="A270" s="33"/>
      <c r="B270" s="36"/>
      <c r="C270" s="67"/>
    </row>
    <row r="271" ht="14.25" customHeight="1">
      <c r="A271" s="33"/>
      <c r="B271" s="36"/>
      <c r="C271" s="67"/>
    </row>
    <row r="272" ht="14.25" customHeight="1">
      <c r="A272" s="33"/>
      <c r="B272" s="36"/>
      <c r="C272" s="67"/>
    </row>
    <row r="273" ht="14.25" customHeight="1">
      <c r="A273" s="33"/>
      <c r="B273" s="36"/>
      <c r="C273" s="67"/>
    </row>
    <row r="274" ht="14.25" customHeight="1">
      <c r="A274" s="33"/>
      <c r="B274" s="36"/>
      <c r="C274" s="67"/>
    </row>
    <row r="275" ht="14.25" customHeight="1">
      <c r="A275" s="33"/>
      <c r="B275" s="36"/>
      <c r="C275" s="67"/>
    </row>
    <row r="276" ht="14.25" customHeight="1">
      <c r="A276" s="33"/>
      <c r="B276" s="36"/>
      <c r="C276" s="67"/>
    </row>
    <row r="277" ht="14.25" customHeight="1">
      <c r="A277" s="33"/>
      <c r="B277" s="36"/>
      <c r="C277" s="67"/>
    </row>
    <row r="278" ht="14.25" customHeight="1">
      <c r="A278" s="33"/>
      <c r="B278" s="36"/>
      <c r="C278" s="67"/>
    </row>
    <row r="279" ht="14.25" customHeight="1">
      <c r="A279" s="33"/>
      <c r="B279" s="36"/>
      <c r="C279" s="67"/>
    </row>
    <row r="280" ht="14.25" customHeight="1">
      <c r="A280" s="33"/>
      <c r="B280" s="36"/>
      <c r="C280" s="67"/>
    </row>
    <row r="281" ht="14.25" customHeight="1">
      <c r="A281" s="33"/>
      <c r="B281" s="36"/>
      <c r="C281" s="67"/>
    </row>
    <row r="282" ht="14.25" customHeight="1">
      <c r="A282" s="33"/>
      <c r="B282" s="36"/>
      <c r="C282" s="67"/>
    </row>
    <row r="283" ht="14.25" customHeight="1">
      <c r="A283" s="33"/>
      <c r="B283" s="36"/>
      <c r="C283" s="67"/>
    </row>
    <row r="284" ht="14.25" customHeight="1">
      <c r="A284" s="33"/>
      <c r="B284" s="36"/>
      <c r="C284" s="67"/>
    </row>
    <row r="285" ht="14.25" customHeight="1">
      <c r="A285" s="33"/>
      <c r="B285" s="36"/>
      <c r="C285" s="67"/>
    </row>
    <row r="286" ht="14.25" customHeight="1">
      <c r="A286" s="33"/>
      <c r="B286" s="36"/>
      <c r="C286" s="67"/>
    </row>
    <row r="287" ht="14.25" customHeight="1">
      <c r="A287" s="33"/>
      <c r="B287" s="36"/>
      <c r="C287" s="67"/>
    </row>
    <row r="288" ht="14.25" customHeight="1">
      <c r="A288" s="33"/>
      <c r="B288" s="36"/>
      <c r="C288" s="67"/>
    </row>
    <row r="289" ht="14.25" customHeight="1">
      <c r="A289" s="33"/>
      <c r="B289" s="36"/>
      <c r="C289" s="67"/>
    </row>
    <row r="290" ht="14.25" customHeight="1">
      <c r="A290" s="33"/>
      <c r="B290" s="36"/>
      <c r="C290" s="67"/>
    </row>
    <row r="291" ht="14.25" customHeight="1">
      <c r="A291" s="33"/>
      <c r="B291" s="36"/>
      <c r="C291" s="67"/>
    </row>
    <row r="292" ht="14.25" customHeight="1">
      <c r="A292" s="33"/>
      <c r="B292" s="36"/>
      <c r="C292" s="67"/>
    </row>
    <row r="293" ht="14.25" customHeight="1">
      <c r="A293" s="33"/>
      <c r="B293" s="36"/>
      <c r="C293" s="67"/>
    </row>
    <row r="294" ht="14.25" customHeight="1">
      <c r="A294" s="33"/>
      <c r="B294" s="36"/>
      <c r="C294" s="67"/>
    </row>
    <row r="295" ht="14.25" customHeight="1">
      <c r="A295" s="33"/>
      <c r="B295" s="36"/>
      <c r="C295" s="67"/>
    </row>
    <row r="296" ht="14.25" customHeight="1">
      <c r="A296" s="33"/>
      <c r="B296" s="36"/>
      <c r="C296" s="67"/>
    </row>
    <row r="297" ht="14.25" customHeight="1">
      <c r="A297" s="33"/>
      <c r="B297" s="36"/>
      <c r="C297" s="67"/>
    </row>
    <row r="298" ht="14.25" customHeight="1">
      <c r="A298" s="33"/>
      <c r="B298" s="36"/>
      <c r="C298" s="67"/>
    </row>
    <row r="299" ht="14.25" customHeight="1">
      <c r="A299" s="33"/>
      <c r="B299" s="36"/>
      <c r="C299" s="67"/>
    </row>
    <row r="300" ht="14.25" customHeight="1">
      <c r="A300" s="33"/>
      <c r="B300" s="36"/>
      <c r="C300" s="67"/>
    </row>
    <row r="301" ht="14.25" customHeight="1">
      <c r="A301" s="33"/>
      <c r="B301" s="36"/>
      <c r="C301" s="67"/>
    </row>
    <row r="302" ht="14.25" customHeight="1">
      <c r="A302" s="33"/>
      <c r="B302" s="36"/>
      <c r="C302" s="67"/>
    </row>
    <row r="303" ht="14.25" customHeight="1">
      <c r="A303" s="33"/>
      <c r="B303" s="36"/>
      <c r="C303" s="67"/>
    </row>
    <row r="304" ht="14.25" customHeight="1">
      <c r="A304" s="33"/>
      <c r="B304" s="36"/>
      <c r="C304" s="67"/>
    </row>
    <row r="305" ht="14.25" customHeight="1">
      <c r="A305" s="33"/>
      <c r="B305" s="36"/>
      <c r="C305" s="67"/>
    </row>
    <row r="306" ht="14.25" customHeight="1">
      <c r="A306" s="33"/>
      <c r="B306" s="36"/>
      <c r="C306" s="67"/>
    </row>
    <row r="307" ht="14.25" customHeight="1">
      <c r="A307" s="33"/>
      <c r="B307" s="36"/>
      <c r="C307" s="67"/>
    </row>
    <row r="308" ht="14.25" customHeight="1">
      <c r="A308" s="33"/>
      <c r="B308" s="36"/>
      <c r="C308" s="67"/>
    </row>
    <row r="309" ht="14.25" customHeight="1">
      <c r="A309" s="33"/>
      <c r="B309" s="36"/>
      <c r="C309" s="67"/>
    </row>
    <row r="310" ht="14.25" customHeight="1">
      <c r="A310" s="33"/>
      <c r="B310" s="36"/>
      <c r="C310" s="67"/>
    </row>
    <row r="311" ht="14.25" customHeight="1">
      <c r="A311" s="33"/>
      <c r="B311" s="36"/>
      <c r="C311" s="67"/>
    </row>
    <row r="312" ht="14.25" customHeight="1">
      <c r="A312" s="33"/>
      <c r="B312" s="36"/>
      <c r="C312" s="67"/>
    </row>
    <row r="313" ht="14.25" customHeight="1">
      <c r="A313" s="33"/>
      <c r="B313" s="36"/>
      <c r="C313" s="67"/>
    </row>
    <row r="314" ht="14.25" customHeight="1">
      <c r="A314" s="33"/>
      <c r="B314" s="36"/>
      <c r="C314" s="67"/>
    </row>
    <row r="315" ht="14.25" customHeight="1">
      <c r="A315" s="33"/>
      <c r="B315" s="36"/>
      <c r="C315" s="67"/>
    </row>
    <row r="316" ht="14.25" customHeight="1">
      <c r="A316" s="33"/>
      <c r="B316" s="36"/>
      <c r="C316" s="67"/>
    </row>
    <row r="317" ht="14.25" customHeight="1">
      <c r="A317" s="33"/>
      <c r="B317" s="36"/>
      <c r="C317" s="67"/>
    </row>
    <row r="318" ht="14.25" customHeight="1">
      <c r="A318" s="33"/>
      <c r="B318" s="36"/>
      <c r="C318" s="67"/>
    </row>
    <row r="319" ht="14.25" customHeight="1">
      <c r="A319" s="33"/>
      <c r="B319" s="36"/>
      <c r="C319" s="67"/>
    </row>
    <row r="320" ht="14.25" customHeight="1">
      <c r="A320" s="33"/>
      <c r="B320" s="36"/>
      <c r="C320" s="67"/>
    </row>
    <row r="321" ht="14.25" customHeight="1">
      <c r="A321" s="33"/>
      <c r="B321" s="36"/>
      <c r="C321" s="67"/>
    </row>
    <row r="322" ht="14.25" customHeight="1">
      <c r="A322" s="33"/>
      <c r="B322" s="36"/>
      <c r="C322" s="67"/>
    </row>
    <row r="323" ht="14.25" customHeight="1">
      <c r="A323" s="33"/>
      <c r="B323" s="36"/>
      <c r="C323" s="67"/>
    </row>
    <row r="324" ht="14.25" customHeight="1">
      <c r="A324" s="33"/>
      <c r="B324" s="36"/>
      <c r="C324" s="67"/>
    </row>
    <row r="325" ht="14.25" customHeight="1">
      <c r="A325" s="33"/>
      <c r="B325" s="36"/>
      <c r="C325" s="67"/>
    </row>
    <row r="326" ht="14.25" customHeight="1">
      <c r="A326" s="33"/>
      <c r="B326" s="36"/>
      <c r="C326" s="67"/>
    </row>
    <row r="327" ht="14.25" customHeight="1">
      <c r="A327" s="33"/>
      <c r="B327" s="36"/>
      <c r="C327" s="67"/>
    </row>
    <row r="328" ht="14.25" customHeight="1">
      <c r="A328" s="33"/>
      <c r="B328" s="36"/>
      <c r="C328" s="67"/>
    </row>
    <row r="329" ht="14.25" customHeight="1">
      <c r="A329" s="33"/>
      <c r="B329" s="36"/>
      <c r="C329" s="67"/>
    </row>
    <row r="330" ht="14.25" customHeight="1">
      <c r="A330" s="33"/>
      <c r="B330" s="36"/>
      <c r="C330" s="67"/>
    </row>
    <row r="331" ht="14.25" customHeight="1">
      <c r="A331" s="33"/>
      <c r="B331" s="36"/>
      <c r="C331" s="67"/>
    </row>
    <row r="332" ht="14.25" customHeight="1">
      <c r="A332" s="33"/>
      <c r="B332" s="36"/>
      <c r="C332" s="67"/>
    </row>
    <row r="333" ht="14.25" customHeight="1">
      <c r="A333" s="33"/>
      <c r="B333" s="36"/>
      <c r="C333" s="67"/>
    </row>
    <row r="334" ht="14.25" customHeight="1">
      <c r="A334" s="33"/>
      <c r="B334" s="36"/>
      <c r="C334" s="67"/>
    </row>
    <row r="335" ht="14.25" customHeight="1">
      <c r="A335" s="33"/>
      <c r="B335" s="36"/>
      <c r="C335" s="67"/>
    </row>
    <row r="336" ht="14.25" customHeight="1">
      <c r="A336" s="33"/>
      <c r="B336" s="36"/>
      <c r="C336" s="67"/>
    </row>
    <row r="337" ht="14.25" customHeight="1">
      <c r="A337" s="33"/>
      <c r="B337" s="36"/>
      <c r="C337" s="67"/>
    </row>
    <row r="338" ht="14.25" customHeight="1">
      <c r="A338" s="33"/>
      <c r="B338" s="36"/>
      <c r="C338" s="67"/>
    </row>
    <row r="339" ht="14.25" customHeight="1">
      <c r="A339" s="33"/>
      <c r="B339" s="36"/>
      <c r="C339" s="67"/>
    </row>
    <row r="340" ht="14.25" customHeight="1">
      <c r="A340" s="33"/>
      <c r="B340" s="36"/>
      <c r="C340" s="67"/>
    </row>
    <row r="341" ht="14.25" customHeight="1">
      <c r="A341" s="33"/>
      <c r="B341" s="36"/>
      <c r="C341" s="67"/>
    </row>
    <row r="342" ht="14.25" customHeight="1">
      <c r="A342" s="33"/>
      <c r="B342" s="36"/>
      <c r="C342" s="67"/>
    </row>
    <row r="343" ht="14.25" customHeight="1">
      <c r="A343" s="33"/>
      <c r="B343" s="36"/>
      <c r="C343" s="67"/>
    </row>
    <row r="344" ht="14.25" customHeight="1">
      <c r="A344" s="33"/>
      <c r="B344" s="36"/>
      <c r="C344" s="67"/>
    </row>
    <row r="345" ht="14.25" customHeight="1">
      <c r="A345" s="33"/>
      <c r="B345" s="36"/>
      <c r="C345" s="67"/>
    </row>
    <row r="346" ht="14.25" customHeight="1">
      <c r="A346" s="33"/>
      <c r="B346" s="36"/>
      <c r="C346" s="67"/>
    </row>
    <row r="347" ht="14.25" customHeight="1">
      <c r="A347" s="33"/>
      <c r="B347" s="36"/>
      <c r="C347" s="67"/>
    </row>
    <row r="348" ht="14.25" customHeight="1">
      <c r="A348" s="33"/>
      <c r="B348" s="36"/>
      <c r="C348" s="67"/>
    </row>
    <row r="349" ht="14.25" customHeight="1">
      <c r="A349" s="33"/>
      <c r="B349" s="36"/>
      <c r="C349" s="67"/>
    </row>
    <row r="350" ht="14.25" customHeight="1">
      <c r="A350" s="33"/>
      <c r="B350" s="36"/>
      <c r="C350" s="67"/>
    </row>
    <row r="351" ht="14.25" customHeight="1">
      <c r="A351" s="33"/>
      <c r="B351" s="36"/>
      <c r="C351" s="67"/>
    </row>
    <row r="352" ht="14.25" customHeight="1">
      <c r="A352" s="33"/>
      <c r="B352" s="36"/>
      <c r="C352" s="67"/>
    </row>
    <row r="353" ht="14.25" customHeight="1">
      <c r="A353" s="33"/>
      <c r="B353" s="36"/>
      <c r="C353" s="67"/>
    </row>
    <row r="354" ht="14.25" customHeight="1">
      <c r="A354" s="33"/>
      <c r="B354" s="36"/>
      <c r="C354" s="67"/>
    </row>
    <row r="355" ht="14.25" customHeight="1">
      <c r="A355" s="33"/>
      <c r="B355" s="36"/>
      <c r="C355" s="67"/>
    </row>
    <row r="356" ht="14.25" customHeight="1">
      <c r="A356" s="33"/>
      <c r="B356" s="36"/>
      <c r="C356" s="67"/>
    </row>
    <row r="357" ht="14.25" customHeight="1">
      <c r="A357" s="33"/>
      <c r="B357" s="36"/>
      <c r="C357" s="67"/>
    </row>
    <row r="358" ht="14.25" customHeight="1">
      <c r="A358" s="33"/>
      <c r="B358" s="36"/>
      <c r="C358" s="67"/>
    </row>
    <row r="359" ht="14.25" customHeight="1">
      <c r="A359" s="33"/>
      <c r="B359" s="36"/>
      <c r="C359" s="67"/>
    </row>
    <row r="360" ht="14.25" customHeight="1">
      <c r="A360" s="33"/>
      <c r="B360" s="36"/>
      <c r="C360" s="67"/>
    </row>
    <row r="361" ht="14.25" customHeight="1">
      <c r="A361" s="33"/>
      <c r="B361" s="36"/>
      <c r="C361" s="67"/>
    </row>
    <row r="362" ht="14.25" customHeight="1">
      <c r="A362" s="33"/>
      <c r="B362" s="36"/>
      <c r="C362" s="67"/>
    </row>
    <row r="363" ht="14.25" customHeight="1">
      <c r="A363" s="33"/>
      <c r="B363" s="36"/>
      <c r="C363" s="67"/>
    </row>
    <row r="364" ht="14.25" customHeight="1">
      <c r="A364" s="33"/>
      <c r="B364" s="36"/>
      <c r="C364" s="67"/>
    </row>
    <row r="365" ht="14.25" customHeight="1">
      <c r="A365" s="33"/>
      <c r="B365" s="36"/>
      <c r="C365" s="67"/>
    </row>
    <row r="366" ht="14.25" customHeight="1">
      <c r="A366" s="33"/>
      <c r="B366" s="36"/>
      <c r="C366" s="67"/>
    </row>
    <row r="367" ht="14.25" customHeight="1">
      <c r="A367" s="33"/>
      <c r="B367" s="36"/>
      <c r="C367" s="67"/>
    </row>
    <row r="368" ht="14.25" customHeight="1">
      <c r="A368" s="33"/>
      <c r="B368" s="36"/>
      <c r="C368" s="67"/>
    </row>
    <row r="369" ht="14.25" customHeight="1">
      <c r="A369" s="33"/>
      <c r="B369" s="36"/>
      <c r="C369" s="67"/>
    </row>
    <row r="370" ht="14.25" customHeight="1">
      <c r="A370" s="33"/>
      <c r="B370" s="36"/>
      <c r="C370" s="67"/>
    </row>
    <row r="371" ht="14.25" customHeight="1">
      <c r="A371" s="33"/>
      <c r="B371" s="36"/>
      <c r="C371" s="67"/>
    </row>
    <row r="372" ht="14.25" customHeight="1">
      <c r="A372" s="33"/>
      <c r="B372" s="36"/>
      <c r="C372" s="67"/>
    </row>
    <row r="373" ht="14.25" customHeight="1">
      <c r="A373" s="33"/>
      <c r="B373" s="36"/>
      <c r="C373" s="67"/>
    </row>
    <row r="374" ht="14.25" customHeight="1">
      <c r="A374" s="33"/>
      <c r="B374" s="36"/>
      <c r="C374" s="67"/>
    </row>
    <row r="375" ht="14.25" customHeight="1">
      <c r="A375" s="33"/>
      <c r="B375" s="36"/>
      <c r="C375" s="67"/>
    </row>
    <row r="376" ht="14.25" customHeight="1">
      <c r="A376" s="33"/>
      <c r="B376" s="36"/>
      <c r="C376" s="67"/>
    </row>
    <row r="377" ht="14.25" customHeight="1">
      <c r="A377" s="33"/>
      <c r="B377" s="36"/>
      <c r="C377" s="67"/>
    </row>
    <row r="378" ht="14.25" customHeight="1">
      <c r="A378" s="33"/>
      <c r="B378" s="36"/>
      <c r="C378" s="67"/>
    </row>
    <row r="379" ht="14.25" customHeight="1">
      <c r="A379" s="33"/>
      <c r="B379" s="36"/>
      <c r="C379" s="67"/>
    </row>
    <row r="380" ht="14.25" customHeight="1">
      <c r="A380" s="33"/>
      <c r="B380" s="36"/>
      <c r="C380" s="67"/>
    </row>
    <row r="381" ht="14.25" customHeight="1">
      <c r="A381" s="33"/>
      <c r="B381" s="36"/>
      <c r="C381" s="67"/>
    </row>
    <row r="382" ht="14.25" customHeight="1">
      <c r="A382" s="33"/>
      <c r="B382" s="36"/>
      <c r="C382" s="67"/>
    </row>
    <row r="383" ht="14.25" customHeight="1">
      <c r="A383" s="33"/>
      <c r="B383" s="36"/>
      <c r="C383" s="67"/>
    </row>
    <row r="384" ht="14.25" customHeight="1">
      <c r="A384" s="33"/>
      <c r="B384" s="36"/>
      <c r="C384" s="67"/>
    </row>
    <row r="385" ht="14.25" customHeight="1">
      <c r="A385" s="33"/>
      <c r="B385" s="36"/>
      <c r="C385" s="67"/>
    </row>
    <row r="386" ht="14.25" customHeight="1">
      <c r="A386" s="33"/>
      <c r="B386" s="36"/>
      <c r="C386" s="67"/>
    </row>
    <row r="387" ht="14.25" customHeight="1">
      <c r="A387" s="33"/>
      <c r="B387" s="36"/>
      <c r="C387" s="67"/>
    </row>
    <row r="388" ht="14.25" customHeight="1">
      <c r="A388" s="33"/>
      <c r="B388" s="36"/>
      <c r="C388" s="67"/>
    </row>
    <row r="389" ht="14.25" customHeight="1">
      <c r="A389" s="33"/>
      <c r="B389" s="36"/>
      <c r="C389" s="67"/>
    </row>
    <row r="390" ht="14.25" customHeight="1">
      <c r="A390" s="33"/>
      <c r="B390" s="36"/>
      <c r="C390" s="67"/>
    </row>
    <row r="391" ht="14.25" customHeight="1">
      <c r="A391" s="33"/>
      <c r="B391" s="36"/>
      <c r="C391" s="67"/>
    </row>
    <row r="392" ht="14.25" customHeight="1">
      <c r="A392" s="33"/>
      <c r="B392" s="36"/>
      <c r="C392" s="67"/>
    </row>
    <row r="393" ht="14.25" customHeight="1">
      <c r="A393" s="33"/>
      <c r="B393" s="36"/>
      <c r="C393" s="67"/>
    </row>
    <row r="394" ht="14.25" customHeight="1">
      <c r="A394" s="33"/>
      <c r="B394" s="36"/>
      <c r="C394" s="67"/>
    </row>
    <row r="395" ht="14.25" customHeight="1">
      <c r="A395" s="33"/>
      <c r="B395" s="36"/>
      <c r="C395" s="67"/>
    </row>
    <row r="396" ht="14.25" customHeight="1">
      <c r="A396" s="33"/>
      <c r="B396" s="36"/>
      <c r="C396" s="67"/>
    </row>
    <row r="397" ht="15.75" customHeight="1">
      <c r="A397" s="33"/>
      <c r="B397" s="36"/>
      <c r="C397" s="67"/>
    </row>
    <row r="398" ht="15.75" customHeight="1">
      <c r="A398" s="33"/>
      <c r="B398" s="36"/>
      <c r="C398" s="67"/>
    </row>
    <row r="399" ht="15.75" customHeight="1">
      <c r="A399" s="33"/>
      <c r="B399" s="36"/>
      <c r="C399" s="67"/>
    </row>
    <row r="400" ht="15.75" customHeight="1">
      <c r="A400" s="33"/>
      <c r="B400" s="36"/>
      <c r="C400" s="67"/>
    </row>
    <row r="401" ht="15.75" customHeight="1">
      <c r="A401" s="33"/>
      <c r="B401" s="36"/>
      <c r="C401" s="67"/>
    </row>
    <row r="402" ht="15.75" customHeight="1">
      <c r="A402" s="33"/>
      <c r="B402" s="36"/>
      <c r="C402" s="67"/>
    </row>
    <row r="403" ht="15.75" customHeight="1">
      <c r="A403" s="33"/>
      <c r="B403" s="36"/>
      <c r="C403" s="67"/>
    </row>
    <row r="404" ht="15.75" customHeight="1">
      <c r="A404" s="33"/>
      <c r="B404" s="36"/>
      <c r="C404" s="67"/>
    </row>
    <row r="405" ht="15.75" customHeight="1">
      <c r="A405" s="33"/>
      <c r="B405" s="36"/>
      <c r="C405" s="67"/>
    </row>
    <row r="406" ht="15.75" customHeight="1">
      <c r="A406" s="33"/>
      <c r="B406" s="36"/>
      <c r="C406" s="67"/>
    </row>
    <row r="407" ht="15.75" customHeight="1">
      <c r="A407" s="33"/>
      <c r="B407" s="36"/>
      <c r="C407" s="67"/>
    </row>
    <row r="408" ht="15.75" customHeight="1">
      <c r="A408" s="33"/>
      <c r="B408" s="36"/>
      <c r="C408" s="67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1FF5C7-4A0B-4A61-BF69-DACF981980EF}" filter="1" showAutoFilter="1">
      <autoFilter ref="$A$208:$D$408"/>
    </customSheetView>
    <customSheetView guid="{C021540F-3550-45E6-A2BF-5D4B4B680EFF}" filter="1" showAutoFilter="1">
      <autoFilter ref="$A$4:$D$204"/>
    </customSheetView>
  </customSheetViews>
  <dataValidations>
    <dataValidation type="list" allowBlank="1" showInputMessage="1" showErrorMessage="1" prompt="Who took the money - Pick the person who withdrew it." sqref="B209:B408">
      <formula1>"Mukta Mama,Ratul,Samin,Nawroz"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71"/>
    <col customWidth="1" min="2" max="2" width="25.86"/>
    <col customWidth="1" min="3" max="3" width="40.71"/>
    <col customWidth="1" min="4" max="4" width="18.57"/>
    <col customWidth="1" min="5" max="5" width="37.0"/>
    <col customWidth="1" min="6" max="6" width="8.71"/>
  </cols>
  <sheetData>
    <row r="1" ht="14.25" customHeight="1">
      <c r="A1" s="13" t="s">
        <v>23</v>
      </c>
    </row>
    <row r="2" ht="14.25" customHeight="1">
      <c r="A2" s="2" t="s">
        <v>28</v>
      </c>
    </row>
    <row r="3" ht="14.25" customHeight="1">
      <c r="A3" s="14" t="s">
        <v>25</v>
      </c>
      <c r="B3" s="15"/>
      <c r="C3" s="15"/>
      <c r="D3" s="18">
        <f>SUM(Expenses!$D$5:$D$1004)</f>
        <v>42722</v>
      </c>
      <c r="E3" s="15"/>
    </row>
    <row r="4" ht="14.25" customHeight="1">
      <c r="A4" s="24" t="s">
        <v>36</v>
      </c>
      <c r="B4" s="24" t="s">
        <v>42</v>
      </c>
      <c r="C4" s="24" t="s">
        <v>48</v>
      </c>
      <c r="D4" s="24" t="s">
        <v>41</v>
      </c>
      <c r="E4" s="24" t="s">
        <v>54</v>
      </c>
    </row>
    <row r="5" ht="14.25" customHeight="1">
      <c r="A5" s="33">
        <v>46216.0</v>
      </c>
      <c r="B5" s="36" t="s">
        <v>68</v>
      </c>
      <c r="C5" s="36" t="s">
        <v>70</v>
      </c>
      <c r="D5" s="37">
        <v>180.0</v>
      </c>
      <c r="E5" s="36"/>
    </row>
    <row r="6" ht="14.25" customHeight="1">
      <c r="A6" s="33">
        <v>46220.0</v>
      </c>
      <c r="B6" s="36" t="s">
        <v>75</v>
      </c>
      <c r="C6" s="36" t="s">
        <v>76</v>
      </c>
      <c r="D6" s="37">
        <v>65.0</v>
      </c>
      <c r="E6" s="36"/>
    </row>
    <row r="7" ht="14.25" customHeight="1">
      <c r="A7" s="33">
        <v>46216.0</v>
      </c>
      <c r="B7" s="36" t="s">
        <v>81</v>
      </c>
      <c r="C7" s="36" t="s">
        <v>83</v>
      </c>
      <c r="D7" s="37">
        <v>100.0</v>
      </c>
      <c r="E7" s="36" t="s">
        <v>85</v>
      </c>
    </row>
    <row r="8" ht="14.25" customHeight="1">
      <c r="A8" s="33">
        <v>46216.0</v>
      </c>
      <c r="B8" s="36" t="s">
        <v>81</v>
      </c>
      <c r="C8" s="36" t="s">
        <v>86</v>
      </c>
      <c r="D8" s="37">
        <v>50.0</v>
      </c>
      <c r="E8" s="36" t="s">
        <v>85</v>
      </c>
    </row>
    <row r="9" ht="14.25" customHeight="1">
      <c r="A9" s="33">
        <v>46218.0</v>
      </c>
      <c r="B9" s="36" t="s">
        <v>68</v>
      </c>
      <c r="C9" s="36" t="s">
        <v>76</v>
      </c>
      <c r="D9" s="37">
        <v>350.0</v>
      </c>
      <c r="E9" s="36"/>
    </row>
    <row r="10" ht="14.25" customHeight="1">
      <c r="A10" s="33">
        <v>46219.0</v>
      </c>
      <c r="B10" s="36" t="s">
        <v>68</v>
      </c>
      <c r="C10" s="36" t="s">
        <v>76</v>
      </c>
      <c r="D10" s="37">
        <v>250.0</v>
      </c>
      <c r="E10" s="36"/>
    </row>
    <row r="11" ht="14.25" customHeight="1">
      <c r="A11" s="33">
        <v>46219.0</v>
      </c>
      <c r="B11" s="36" t="s">
        <v>87</v>
      </c>
      <c r="C11" s="36" t="s">
        <v>88</v>
      </c>
      <c r="D11" s="37">
        <v>250.0</v>
      </c>
      <c r="E11" s="36"/>
    </row>
    <row r="12" ht="14.25" customHeight="1">
      <c r="A12" s="33">
        <v>46219.0</v>
      </c>
      <c r="B12" s="36" t="s">
        <v>87</v>
      </c>
      <c r="C12" s="36" t="s">
        <v>89</v>
      </c>
      <c r="D12" s="37">
        <v>100.0</v>
      </c>
      <c r="E12" s="36"/>
    </row>
    <row r="13" ht="14.25" customHeight="1">
      <c r="A13" s="33">
        <v>46219.0</v>
      </c>
      <c r="B13" s="36" t="s">
        <v>90</v>
      </c>
      <c r="C13" s="36" t="s">
        <v>91</v>
      </c>
      <c r="D13" s="37">
        <v>178.0</v>
      </c>
      <c r="E13" s="36"/>
    </row>
    <row r="14" ht="14.25" customHeight="1">
      <c r="A14" s="33">
        <v>46222.0</v>
      </c>
      <c r="B14" s="36" t="s">
        <v>68</v>
      </c>
      <c r="C14" s="36" t="s">
        <v>94</v>
      </c>
      <c r="D14" s="37">
        <v>50.0</v>
      </c>
      <c r="E14" s="36" t="s">
        <v>95</v>
      </c>
    </row>
    <row r="15" ht="14.25" customHeight="1">
      <c r="A15" s="33">
        <v>46222.0</v>
      </c>
      <c r="B15" s="36" t="s">
        <v>90</v>
      </c>
      <c r="C15" s="36" t="s">
        <v>96</v>
      </c>
      <c r="D15" s="37">
        <v>3040.0</v>
      </c>
      <c r="E15" s="36"/>
    </row>
    <row r="16" ht="14.25" customHeight="1">
      <c r="A16" s="33">
        <v>46222.0</v>
      </c>
      <c r="B16" s="36" t="s">
        <v>68</v>
      </c>
      <c r="C16" s="36" t="s">
        <v>97</v>
      </c>
      <c r="D16" s="37">
        <v>60.0</v>
      </c>
      <c r="E16" s="36"/>
    </row>
    <row r="17" ht="14.25" customHeight="1">
      <c r="A17" s="33">
        <v>46223.0</v>
      </c>
      <c r="B17" s="36" t="s">
        <v>90</v>
      </c>
      <c r="C17" s="36" t="s">
        <v>100</v>
      </c>
      <c r="D17" s="37">
        <v>5000.0</v>
      </c>
      <c r="E17" s="36"/>
    </row>
    <row r="18" ht="14.25" customHeight="1">
      <c r="A18" s="33">
        <v>46223.0</v>
      </c>
      <c r="B18" s="36" t="s">
        <v>68</v>
      </c>
      <c r="C18" s="36" t="s">
        <v>103</v>
      </c>
      <c r="D18" s="37">
        <v>20.0</v>
      </c>
      <c r="E18" s="36"/>
    </row>
    <row r="19" ht="14.25" customHeight="1">
      <c r="A19" s="33">
        <v>46224.0</v>
      </c>
      <c r="B19" s="36" t="s">
        <v>68</v>
      </c>
      <c r="C19" s="36" t="s">
        <v>103</v>
      </c>
      <c r="D19" s="37">
        <v>40.0</v>
      </c>
      <c r="E19" s="36"/>
    </row>
    <row r="20" ht="14.25" customHeight="1">
      <c r="A20" s="33">
        <v>46224.0</v>
      </c>
      <c r="B20" s="36" t="s">
        <v>90</v>
      </c>
      <c r="C20" s="36" t="s">
        <v>107</v>
      </c>
      <c r="D20" s="37">
        <v>639.0</v>
      </c>
      <c r="E20" s="36"/>
    </row>
    <row r="21" ht="14.25" customHeight="1">
      <c r="A21" s="33">
        <v>46224.0</v>
      </c>
      <c r="B21" s="36" t="s">
        <v>90</v>
      </c>
      <c r="C21" s="36" t="s">
        <v>107</v>
      </c>
      <c r="D21" s="37">
        <v>724.0</v>
      </c>
      <c r="E21" s="36"/>
    </row>
    <row r="22" ht="14.25" customHeight="1">
      <c r="A22" s="33">
        <v>46229.0</v>
      </c>
      <c r="B22" s="36" t="s">
        <v>68</v>
      </c>
      <c r="C22" s="36" t="s">
        <v>111</v>
      </c>
      <c r="D22" s="37">
        <v>100.0</v>
      </c>
      <c r="E22" s="36"/>
    </row>
    <row r="23" ht="14.25" customHeight="1">
      <c r="A23" s="33">
        <v>46229.0</v>
      </c>
      <c r="B23" s="36" t="s">
        <v>81</v>
      </c>
      <c r="C23" s="36" t="s">
        <v>112</v>
      </c>
      <c r="D23" s="37">
        <v>100.0</v>
      </c>
      <c r="E23" s="36"/>
    </row>
    <row r="24" ht="14.25" customHeight="1">
      <c r="A24" s="33">
        <v>46229.0</v>
      </c>
      <c r="B24" s="36" t="s">
        <v>113</v>
      </c>
      <c r="C24" s="36" t="s">
        <v>114</v>
      </c>
      <c r="D24" s="37">
        <v>60.0</v>
      </c>
      <c r="E24" s="36"/>
    </row>
    <row r="25" ht="14.25" customHeight="1">
      <c r="A25" s="33">
        <v>46229.0</v>
      </c>
      <c r="B25" s="36" t="s">
        <v>87</v>
      </c>
      <c r="C25" s="36" t="s">
        <v>117</v>
      </c>
      <c r="D25" s="37">
        <v>65.0</v>
      </c>
      <c r="E25" s="36"/>
    </row>
    <row r="26" ht="14.25" customHeight="1">
      <c r="A26" s="33">
        <v>46229.0</v>
      </c>
      <c r="B26" s="36" t="s">
        <v>90</v>
      </c>
      <c r="C26" s="36" t="s">
        <v>118</v>
      </c>
      <c r="D26" s="37">
        <v>125.0</v>
      </c>
      <c r="E26" s="36"/>
    </row>
    <row r="27" ht="14.25" customHeight="1">
      <c r="A27" s="33">
        <v>46229.0</v>
      </c>
      <c r="B27" s="36" t="s">
        <v>90</v>
      </c>
      <c r="C27" s="36" t="s">
        <v>118</v>
      </c>
      <c r="D27" s="37">
        <v>727.0</v>
      </c>
      <c r="E27" s="36"/>
    </row>
    <row r="28" ht="14.25" customHeight="1">
      <c r="A28" s="33">
        <v>46230.0</v>
      </c>
      <c r="B28" s="36" t="s">
        <v>87</v>
      </c>
      <c r="C28" s="36" t="s">
        <v>119</v>
      </c>
      <c r="D28" s="37">
        <v>3000.0</v>
      </c>
      <c r="E28" s="36"/>
    </row>
    <row r="29" ht="14.25" customHeight="1">
      <c r="A29" s="33">
        <v>46230.0</v>
      </c>
      <c r="B29" s="36" t="s">
        <v>87</v>
      </c>
      <c r="C29" s="36" t="s">
        <v>122</v>
      </c>
      <c r="D29" s="37">
        <v>340.0</v>
      </c>
      <c r="E29" s="36"/>
    </row>
    <row r="30" ht="14.25" customHeight="1">
      <c r="A30" s="33">
        <v>46230.0</v>
      </c>
      <c r="B30" s="36" t="s">
        <v>87</v>
      </c>
      <c r="C30" s="36" t="s">
        <v>126</v>
      </c>
      <c r="D30" s="37">
        <v>120.0</v>
      </c>
      <c r="E30" s="36"/>
    </row>
    <row r="31" ht="14.25" customHeight="1">
      <c r="A31" s="33">
        <v>46233.0</v>
      </c>
      <c r="B31" s="36" t="s">
        <v>90</v>
      </c>
      <c r="C31" s="36" t="s">
        <v>127</v>
      </c>
      <c r="D31" s="37">
        <v>2400.0</v>
      </c>
      <c r="E31" s="36"/>
    </row>
    <row r="32" ht="14.25" customHeight="1">
      <c r="A32" s="33">
        <v>46233.0</v>
      </c>
      <c r="B32" s="36" t="s">
        <v>87</v>
      </c>
      <c r="C32" s="36" t="s">
        <v>130</v>
      </c>
      <c r="D32" s="37">
        <v>55.0</v>
      </c>
      <c r="E32" s="36"/>
    </row>
    <row r="33" ht="14.25" customHeight="1">
      <c r="A33" s="33">
        <v>46233.0</v>
      </c>
      <c r="B33" s="36" t="s">
        <v>90</v>
      </c>
      <c r="C33" s="36" t="s">
        <v>131</v>
      </c>
      <c r="D33" s="37">
        <v>724.0</v>
      </c>
      <c r="E33" s="36"/>
    </row>
    <row r="34" ht="14.25" customHeight="1">
      <c r="A34" s="33">
        <v>46233.0</v>
      </c>
      <c r="B34" s="36" t="s">
        <v>87</v>
      </c>
      <c r="C34" s="36" t="s">
        <v>130</v>
      </c>
      <c r="D34" s="37">
        <v>20.0</v>
      </c>
      <c r="E34" s="36"/>
    </row>
    <row r="35" ht="14.25" customHeight="1">
      <c r="A35" s="33">
        <v>46236.0</v>
      </c>
      <c r="B35" s="36" t="s">
        <v>90</v>
      </c>
      <c r="C35" s="36" t="s">
        <v>118</v>
      </c>
      <c r="D35" s="37">
        <v>1368.0</v>
      </c>
      <c r="E35" s="36"/>
    </row>
    <row r="36" ht="14.25" customHeight="1">
      <c r="A36" s="33">
        <v>46236.0</v>
      </c>
      <c r="B36" s="36" t="s">
        <v>87</v>
      </c>
      <c r="C36" s="36" t="s">
        <v>130</v>
      </c>
      <c r="D36" s="37">
        <v>50.0</v>
      </c>
      <c r="E36" s="36"/>
    </row>
    <row r="37" ht="14.25" customHeight="1">
      <c r="A37" s="33">
        <v>46236.0</v>
      </c>
      <c r="B37" s="36" t="s">
        <v>113</v>
      </c>
      <c r="C37" s="36" t="s">
        <v>135</v>
      </c>
      <c r="D37" s="37">
        <v>370.0</v>
      </c>
      <c r="E37" s="36"/>
    </row>
    <row r="38" ht="14.25" customHeight="1">
      <c r="A38" s="33">
        <v>46240.0</v>
      </c>
      <c r="B38" s="36" t="s">
        <v>75</v>
      </c>
      <c r="C38" s="36" t="s">
        <v>137</v>
      </c>
      <c r="D38" s="37">
        <v>10.0</v>
      </c>
      <c r="E38" s="36"/>
    </row>
    <row r="39" ht="14.25" customHeight="1">
      <c r="A39" s="33">
        <v>46246.0</v>
      </c>
      <c r="B39" s="36" t="s">
        <v>90</v>
      </c>
      <c r="C39" s="36" t="s">
        <v>139</v>
      </c>
      <c r="D39" s="37">
        <v>124.0</v>
      </c>
      <c r="E39" s="36"/>
    </row>
    <row r="40" ht="14.25" customHeight="1">
      <c r="A40" s="33">
        <v>46246.0</v>
      </c>
      <c r="B40" s="36" t="s">
        <v>141</v>
      </c>
      <c r="C40" s="36" t="s">
        <v>144</v>
      </c>
      <c r="D40" s="37">
        <v>1380.0</v>
      </c>
      <c r="E40" s="36"/>
    </row>
    <row r="41" ht="14.25" customHeight="1">
      <c r="A41" s="33">
        <v>46246.0</v>
      </c>
      <c r="B41" s="36" t="s">
        <v>141</v>
      </c>
      <c r="C41" s="36" t="s">
        <v>151</v>
      </c>
      <c r="D41" s="37">
        <v>200.0</v>
      </c>
      <c r="E41" s="36"/>
    </row>
    <row r="42" ht="14.25" customHeight="1">
      <c r="A42" s="33">
        <v>46249.0</v>
      </c>
      <c r="B42" s="36" t="s">
        <v>87</v>
      </c>
      <c r="C42" s="36" t="s">
        <v>158</v>
      </c>
      <c r="D42" s="37">
        <v>100.0</v>
      </c>
      <c r="E42" s="36"/>
    </row>
    <row r="43" ht="14.25" customHeight="1">
      <c r="A43" s="33">
        <v>46249.0</v>
      </c>
      <c r="B43" s="36" t="s">
        <v>87</v>
      </c>
      <c r="C43" s="36" t="s">
        <v>161</v>
      </c>
      <c r="D43" s="37">
        <v>100.0</v>
      </c>
      <c r="E43" s="36"/>
    </row>
    <row r="44" ht="14.25" customHeight="1">
      <c r="A44" s="33">
        <v>46251.0</v>
      </c>
      <c r="B44" s="36" t="s">
        <v>87</v>
      </c>
      <c r="C44" s="36" t="s">
        <v>162</v>
      </c>
      <c r="D44" s="37">
        <v>130.0</v>
      </c>
      <c r="E44" s="36"/>
    </row>
    <row r="45" ht="14.25" customHeight="1">
      <c r="A45" s="33">
        <v>46252.0</v>
      </c>
      <c r="B45" s="36" t="s">
        <v>90</v>
      </c>
      <c r="C45" s="36" t="s">
        <v>139</v>
      </c>
      <c r="D45" s="37">
        <v>124.0</v>
      </c>
      <c r="E45" s="36"/>
    </row>
    <row r="46" ht="14.25" customHeight="1">
      <c r="A46" s="33">
        <v>46252.0</v>
      </c>
      <c r="B46" s="36" t="s">
        <v>141</v>
      </c>
      <c r="C46" s="36" t="s">
        <v>166</v>
      </c>
      <c r="D46" s="37">
        <v>2000.0</v>
      </c>
      <c r="E46" s="36"/>
    </row>
    <row r="47" ht="14.25" customHeight="1">
      <c r="A47" s="33">
        <v>46252.0</v>
      </c>
      <c r="B47" s="36" t="s">
        <v>141</v>
      </c>
      <c r="C47" s="36" t="s">
        <v>166</v>
      </c>
      <c r="D47" s="37">
        <v>5000.0</v>
      </c>
      <c r="E47" s="36"/>
    </row>
    <row r="48" ht="14.25" customHeight="1">
      <c r="A48" s="33">
        <v>46252.0</v>
      </c>
      <c r="B48" s="36" t="s">
        <v>90</v>
      </c>
      <c r="C48" s="36" t="s">
        <v>139</v>
      </c>
      <c r="D48" s="37">
        <v>1555.0</v>
      </c>
      <c r="E48" s="36"/>
    </row>
    <row r="49" ht="14.25" customHeight="1">
      <c r="A49" s="33">
        <v>46257.0</v>
      </c>
      <c r="B49" s="36" t="s">
        <v>141</v>
      </c>
      <c r="C49" s="36" t="s">
        <v>166</v>
      </c>
      <c r="D49" s="37">
        <v>9300.0</v>
      </c>
      <c r="E49" s="36"/>
    </row>
    <row r="50" ht="14.25" customHeight="1">
      <c r="A50" s="33">
        <v>46257.0</v>
      </c>
      <c r="B50" s="36" t="s">
        <v>141</v>
      </c>
      <c r="C50" s="36" t="s">
        <v>171</v>
      </c>
      <c r="D50" s="37">
        <v>730.0</v>
      </c>
      <c r="E50" s="36"/>
    </row>
    <row r="51" ht="14.25" customHeight="1">
      <c r="A51" s="33">
        <v>46261.0</v>
      </c>
      <c r="B51" s="36" t="s">
        <v>68</v>
      </c>
      <c r="C51" s="36" t="s">
        <v>173</v>
      </c>
      <c r="D51" s="37">
        <v>900.0</v>
      </c>
      <c r="E51" s="36"/>
    </row>
    <row r="52" ht="14.25" customHeight="1">
      <c r="A52" s="33">
        <v>46261.0</v>
      </c>
      <c r="B52" s="36" t="s">
        <v>75</v>
      </c>
      <c r="C52" s="36" t="s">
        <v>175</v>
      </c>
      <c r="D52" s="37">
        <v>40.0</v>
      </c>
      <c r="E52" s="36"/>
    </row>
    <row r="53" ht="14.25" customHeight="1">
      <c r="A53" s="33">
        <v>46263.0</v>
      </c>
      <c r="B53" s="36" t="s">
        <v>75</v>
      </c>
      <c r="C53" s="36" t="s">
        <v>175</v>
      </c>
      <c r="D53" s="37">
        <v>20.0</v>
      </c>
      <c r="E53" s="36"/>
    </row>
    <row r="54" ht="14.25" customHeight="1">
      <c r="A54" s="33">
        <v>46263.0</v>
      </c>
      <c r="B54" s="36" t="s">
        <v>68</v>
      </c>
      <c r="C54" s="36" t="s">
        <v>173</v>
      </c>
      <c r="D54" s="37">
        <v>250.0</v>
      </c>
      <c r="E54" s="36"/>
    </row>
    <row r="55" ht="14.25" customHeight="1">
      <c r="A55" s="33">
        <v>46252.0</v>
      </c>
      <c r="B55" s="36" t="s">
        <v>75</v>
      </c>
      <c r="C55" s="36" t="s">
        <v>175</v>
      </c>
      <c r="D55" s="37">
        <v>39.0</v>
      </c>
      <c r="E55" s="36"/>
    </row>
    <row r="56" ht="14.25" customHeight="1">
      <c r="A56" s="33"/>
      <c r="B56" s="36"/>
      <c r="C56" s="36"/>
      <c r="D56" s="37"/>
      <c r="E56" s="36"/>
    </row>
    <row r="57" ht="14.25" customHeight="1">
      <c r="A57" s="33"/>
      <c r="B57" s="36"/>
      <c r="C57" s="36"/>
      <c r="D57" s="37"/>
      <c r="E57" s="36"/>
    </row>
    <row r="58" ht="14.25" customHeight="1">
      <c r="A58" s="33"/>
      <c r="B58" s="36"/>
      <c r="C58" s="36"/>
      <c r="D58" s="37"/>
      <c r="E58" s="36"/>
    </row>
    <row r="59" ht="14.25" customHeight="1">
      <c r="A59" s="33"/>
      <c r="B59" s="36"/>
      <c r="C59" s="36"/>
      <c r="D59" s="37"/>
      <c r="E59" s="36"/>
    </row>
    <row r="60" ht="14.25" customHeight="1">
      <c r="A60" s="33"/>
      <c r="B60" s="36"/>
      <c r="C60" s="36"/>
      <c r="D60" s="37"/>
      <c r="E60" s="36"/>
    </row>
    <row r="61" ht="14.25" customHeight="1">
      <c r="A61" s="33"/>
      <c r="B61" s="36"/>
      <c r="C61" s="36"/>
      <c r="D61" s="37"/>
      <c r="E61" s="36"/>
    </row>
    <row r="62" ht="14.25" customHeight="1">
      <c r="A62" s="33"/>
      <c r="B62" s="36"/>
      <c r="C62" s="36"/>
      <c r="D62" s="37"/>
      <c r="E62" s="36"/>
    </row>
    <row r="63" ht="14.25" customHeight="1">
      <c r="A63" s="33"/>
      <c r="B63" s="36"/>
      <c r="C63" s="36"/>
      <c r="D63" s="37"/>
      <c r="E63" s="36"/>
    </row>
    <row r="64" ht="14.25" customHeight="1">
      <c r="A64" s="33"/>
      <c r="B64" s="36"/>
      <c r="C64" s="36"/>
      <c r="D64" s="37"/>
      <c r="E64" s="36"/>
    </row>
    <row r="65" ht="14.25" customHeight="1">
      <c r="A65" s="33"/>
      <c r="B65" s="36"/>
      <c r="C65" s="36"/>
      <c r="D65" s="37"/>
      <c r="E65" s="36"/>
    </row>
    <row r="66" ht="14.25" customHeight="1">
      <c r="A66" s="33"/>
      <c r="B66" s="36"/>
      <c r="C66" s="36"/>
      <c r="D66" s="37"/>
      <c r="E66" s="36"/>
    </row>
    <row r="67" ht="14.25" customHeight="1">
      <c r="A67" s="33"/>
      <c r="B67" s="36"/>
      <c r="C67" s="36"/>
      <c r="D67" s="37"/>
      <c r="E67" s="36"/>
    </row>
    <row r="68" ht="14.25" customHeight="1">
      <c r="A68" s="33"/>
      <c r="B68" s="36"/>
      <c r="C68" s="36"/>
      <c r="D68" s="37"/>
      <c r="E68" s="36"/>
    </row>
    <row r="69" ht="14.25" customHeight="1">
      <c r="A69" s="33"/>
      <c r="B69" s="36"/>
      <c r="C69" s="36"/>
      <c r="D69" s="37"/>
      <c r="E69" s="36"/>
    </row>
    <row r="70" ht="14.25" customHeight="1">
      <c r="A70" s="33"/>
      <c r="B70" s="36"/>
      <c r="C70" s="36"/>
      <c r="D70" s="37"/>
      <c r="E70" s="36"/>
    </row>
    <row r="71" ht="14.25" customHeight="1">
      <c r="A71" s="33"/>
      <c r="B71" s="36"/>
      <c r="C71" s="36"/>
      <c r="D71" s="37"/>
      <c r="E71" s="36"/>
    </row>
    <row r="72" ht="14.25" customHeight="1">
      <c r="A72" s="33"/>
      <c r="B72" s="36"/>
      <c r="C72" s="36"/>
      <c r="D72" s="37"/>
      <c r="E72" s="36"/>
    </row>
    <row r="73" ht="14.25" customHeight="1">
      <c r="A73" s="33"/>
      <c r="B73" s="36"/>
      <c r="C73" s="36"/>
      <c r="D73" s="37"/>
      <c r="E73" s="36"/>
    </row>
    <row r="74" ht="14.25" customHeight="1">
      <c r="A74" s="33"/>
      <c r="B74" s="36"/>
      <c r="C74" s="36"/>
      <c r="D74" s="37"/>
      <c r="E74" s="36"/>
    </row>
    <row r="75" ht="14.25" customHeight="1">
      <c r="A75" s="33"/>
      <c r="B75" s="36"/>
      <c r="C75" s="36"/>
      <c r="D75" s="37"/>
      <c r="E75" s="36"/>
    </row>
    <row r="76" ht="14.25" customHeight="1">
      <c r="A76" s="33"/>
      <c r="B76" s="36"/>
      <c r="C76" s="36"/>
      <c r="D76" s="37"/>
      <c r="E76" s="36"/>
    </row>
    <row r="77" ht="14.25" customHeight="1">
      <c r="A77" s="33"/>
      <c r="B77" s="36"/>
      <c r="C77" s="36"/>
      <c r="D77" s="37"/>
      <c r="E77" s="36"/>
    </row>
    <row r="78" ht="14.25" customHeight="1">
      <c r="A78" s="33"/>
      <c r="B78" s="36"/>
      <c r="C78" s="36"/>
      <c r="D78" s="37"/>
      <c r="E78" s="36"/>
    </row>
    <row r="79" ht="14.25" customHeight="1">
      <c r="A79" s="33"/>
      <c r="B79" s="36"/>
      <c r="C79" s="36"/>
      <c r="D79" s="37"/>
      <c r="E79" s="36"/>
    </row>
    <row r="80" ht="14.25" customHeight="1">
      <c r="A80" s="33"/>
      <c r="B80" s="36"/>
      <c r="C80" s="36"/>
      <c r="D80" s="37"/>
      <c r="E80" s="36"/>
    </row>
    <row r="81" ht="14.25" customHeight="1">
      <c r="A81" s="33"/>
      <c r="B81" s="36"/>
      <c r="C81" s="36"/>
      <c r="D81" s="37"/>
      <c r="E81" s="36"/>
    </row>
    <row r="82" ht="14.25" customHeight="1">
      <c r="A82" s="33"/>
      <c r="B82" s="36"/>
      <c r="C82" s="36"/>
      <c r="D82" s="37"/>
      <c r="E82" s="36"/>
    </row>
    <row r="83" ht="14.25" customHeight="1">
      <c r="A83" s="33"/>
      <c r="B83" s="36"/>
      <c r="C83" s="36"/>
      <c r="D83" s="37"/>
      <c r="E83" s="36"/>
    </row>
    <row r="84" ht="14.25" customHeight="1">
      <c r="A84" s="33"/>
      <c r="B84" s="36"/>
      <c r="C84" s="36"/>
      <c r="D84" s="37"/>
      <c r="E84" s="36"/>
    </row>
    <row r="85" ht="14.25" customHeight="1">
      <c r="A85" s="33"/>
      <c r="B85" s="36"/>
      <c r="C85" s="36"/>
      <c r="D85" s="37"/>
      <c r="E85" s="36"/>
    </row>
    <row r="86" ht="14.25" customHeight="1">
      <c r="A86" s="33"/>
      <c r="B86" s="36"/>
      <c r="C86" s="36"/>
      <c r="D86" s="37"/>
      <c r="E86" s="36"/>
    </row>
    <row r="87" ht="14.25" customHeight="1">
      <c r="A87" s="33"/>
      <c r="B87" s="36"/>
      <c r="C87" s="36"/>
      <c r="D87" s="37"/>
      <c r="E87" s="36"/>
    </row>
    <row r="88" ht="14.25" customHeight="1">
      <c r="A88" s="33"/>
      <c r="B88" s="36"/>
      <c r="C88" s="36"/>
      <c r="D88" s="37"/>
      <c r="E88" s="36"/>
    </row>
    <row r="89" ht="14.25" customHeight="1">
      <c r="A89" s="33"/>
      <c r="B89" s="36"/>
      <c r="C89" s="36"/>
      <c r="D89" s="37"/>
      <c r="E89" s="36"/>
    </row>
    <row r="90" ht="14.25" customHeight="1">
      <c r="A90" s="33"/>
      <c r="B90" s="36"/>
      <c r="C90" s="36"/>
      <c r="D90" s="37"/>
      <c r="E90" s="36"/>
    </row>
    <row r="91" ht="14.25" customHeight="1">
      <c r="A91" s="33"/>
      <c r="B91" s="36"/>
      <c r="C91" s="36"/>
      <c r="D91" s="37"/>
      <c r="E91" s="36"/>
    </row>
    <row r="92" ht="14.25" customHeight="1">
      <c r="A92" s="33"/>
      <c r="B92" s="36"/>
      <c r="C92" s="36"/>
      <c r="D92" s="37"/>
      <c r="E92" s="36"/>
    </row>
    <row r="93" ht="14.25" customHeight="1">
      <c r="A93" s="33"/>
      <c r="B93" s="36"/>
      <c r="C93" s="36"/>
      <c r="D93" s="37"/>
      <c r="E93" s="36"/>
    </row>
    <row r="94" ht="14.25" customHeight="1">
      <c r="A94" s="33"/>
      <c r="B94" s="36"/>
      <c r="C94" s="36"/>
      <c r="D94" s="37"/>
      <c r="E94" s="36"/>
    </row>
    <row r="95" ht="14.25" customHeight="1">
      <c r="A95" s="33"/>
      <c r="B95" s="36"/>
      <c r="C95" s="36"/>
      <c r="D95" s="37"/>
      <c r="E95" s="36"/>
    </row>
    <row r="96" ht="14.25" customHeight="1">
      <c r="A96" s="33"/>
      <c r="B96" s="36"/>
      <c r="C96" s="36"/>
      <c r="D96" s="37"/>
      <c r="E96" s="36"/>
    </row>
    <row r="97" ht="14.25" customHeight="1">
      <c r="A97" s="33"/>
      <c r="B97" s="36"/>
      <c r="C97" s="36"/>
      <c r="D97" s="37"/>
      <c r="E97" s="36"/>
    </row>
    <row r="98" ht="14.25" customHeight="1">
      <c r="A98" s="33"/>
      <c r="B98" s="36"/>
      <c r="C98" s="36"/>
      <c r="D98" s="37"/>
      <c r="E98" s="36"/>
    </row>
    <row r="99" ht="14.25" customHeight="1">
      <c r="A99" s="33"/>
      <c r="B99" s="36"/>
      <c r="C99" s="36"/>
      <c r="D99" s="37"/>
      <c r="E99" s="36"/>
    </row>
    <row r="100" ht="14.25" customHeight="1">
      <c r="A100" s="33"/>
      <c r="B100" s="36"/>
      <c r="C100" s="36"/>
      <c r="D100" s="37"/>
      <c r="E100" s="36"/>
    </row>
    <row r="101" ht="14.25" customHeight="1">
      <c r="A101" s="33"/>
      <c r="B101" s="36"/>
      <c r="C101" s="36"/>
      <c r="D101" s="37"/>
      <c r="E101" s="36"/>
    </row>
    <row r="102" ht="14.25" customHeight="1">
      <c r="A102" s="33"/>
      <c r="B102" s="36"/>
      <c r="C102" s="36"/>
      <c r="D102" s="37"/>
      <c r="E102" s="36"/>
    </row>
    <row r="103" ht="14.25" customHeight="1">
      <c r="A103" s="33"/>
      <c r="B103" s="36"/>
      <c r="C103" s="36"/>
      <c r="D103" s="37"/>
      <c r="E103" s="36"/>
    </row>
    <row r="104" ht="14.25" customHeight="1">
      <c r="A104" s="33"/>
      <c r="B104" s="36"/>
      <c r="C104" s="36"/>
      <c r="D104" s="37"/>
      <c r="E104" s="36"/>
    </row>
    <row r="105" ht="14.25" customHeight="1">
      <c r="A105" s="33"/>
      <c r="B105" s="36"/>
      <c r="C105" s="36"/>
      <c r="D105" s="37"/>
      <c r="E105" s="36"/>
    </row>
    <row r="106" ht="14.25" customHeight="1">
      <c r="A106" s="33"/>
      <c r="B106" s="36"/>
      <c r="C106" s="36"/>
      <c r="D106" s="37"/>
      <c r="E106" s="36"/>
    </row>
    <row r="107" ht="14.25" customHeight="1">
      <c r="A107" s="33"/>
      <c r="B107" s="36"/>
      <c r="C107" s="36"/>
      <c r="D107" s="37"/>
      <c r="E107" s="36"/>
    </row>
    <row r="108" ht="14.25" customHeight="1">
      <c r="A108" s="33"/>
      <c r="B108" s="36"/>
      <c r="C108" s="36"/>
      <c r="D108" s="37"/>
      <c r="E108" s="36"/>
    </row>
    <row r="109" ht="14.25" customHeight="1">
      <c r="A109" s="33"/>
      <c r="B109" s="36"/>
      <c r="C109" s="36"/>
      <c r="D109" s="37"/>
      <c r="E109" s="36"/>
    </row>
    <row r="110" ht="14.25" customHeight="1">
      <c r="A110" s="33"/>
      <c r="B110" s="36"/>
      <c r="C110" s="36"/>
      <c r="D110" s="37"/>
      <c r="E110" s="36"/>
    </row>
    <row r="111" ht="14.25" customHeight="1">
      <c r="A111" s="33"/>
      <c r="B111" s="36"/>
      <c r="C111" s="36"/>
      <c r="D111" s="37"/>
      <c r="E111" s="36"/>
    </row>
    <row r="112" ht="14.25" customHeight="1">
      <c r="A112" s="33"/>
      <c r="B112" s="36"/>
      <c r="C112" s="36"/>
      <c r="D112" s="37"/>
      <c r="E112" s="36"/>
    </row>
    <row r="113" ht="14.25" customHeight="1">
      <c r="A113" s="33"/>
      <c r="B113" s="36"/>
      <c r="C113" s="36"/>
      <c r="D113" s="37"/>
      <c r="E113" s="36"/>
    </row>
    <row r="114" ht="14.25" customHeight="1">
      <c r="A114" s="33"/>
      <c r="B114" s="36"/>
      <c r="C114" s="36"/>
      <c r="D114" s="37"/>
      <c r="E114" s="36"/>
    </row>
    <row r="115" ht="14.25" customHeight="1">
      <c r="A115" s="33"/>
      <c r="B115" s="36"/>
      <c r="C115" s="36"/>
      <c r="D115" s="37"/>
      <c r="E115" s="36"/>
    </row>
    <row r="116" ht="14.25" customHeight="1">
      <c r="A116" s="33"/>
      <c r="B116" s="36"/>
      <c r="C116" s="36"/>
      <c r="D116" s="37"/>
      <c r="E116" s="36"/>
    </row>
    <row r="117" ht="14.25" customHeight="1">
      <c r="A117" s="33"/>
      <c r="B117" s="36"/>
      <c r="C117" s="36"/>
      <c r="D117" s="37"/>
      <c r="E117" s="36"/>
    </row>
    <row r="118" ht="14.25" customHeight="1">
      <c r="A118" s="33"/>
      <c r="B118" s="36"/>
      <c r="C118" s="36"/>
      <c r="D118" s="37"/>
      <c r="E118" s="36"/>
    </row>
    <row r="119" ht="14.25" customHeight="1">
      <c r="A119" s="33"/>
      <c r="B119" s="36"/>
      <c r="C119" s="36"/>
      <c r="D119" s="37"/>
      <c r="E119" s="36"/>
    </row>
    <row r="120" ht="14.25" customHeight="1">
      <c r="A120" s="33"/>
      <c r="B120" s="36"/>
      <c r="C120" s="36"/>
      <c r="D120" s="37"/>
      <c r="E120" s="36"/>
    </row>
    <row r="121" ht="14.25" customHeight="1">
      <c r="A121" s="33"/>
      <c r="B121" s="36"/>
      <c r="C121" s="36"/>
      <c r="D121" s="37"/>
      <c r="E121" s="36"/>
    </row>
    <row r="122" ht="14.25" customHeight="1">
      <c r="A122" s="33"/>
      <c r="B122" s="36"/>
      <c r="C122" s="36"/>
      <c r="D122" s="37"/>
      <c r="E122" s="36"/>
    </row>
    <row r="123" ht="14.25" customHeight="1">
      <c r="A123" s="33"/>
      <c r="B123" s="36"/>
      <c r="C123" s="36"/>
      <c r="D123" s="37"/>
      <c r="E123" s="36"/>
    </row>
    <row r="124" ht="14.25" customHeight="1">
      <c r="A124" s="33"/>
      <c r="B124" s="36"/>
      <c r="C124" s="36"/>
      <c r="D124" s="37"/>
      <c r="E124" s="36"/>
    </row>
    <row r="125" ht="14.25" customHeight="1">
      <c r="A125" s="33"/>
      <c r="B125" s="36"/>
      <c r="C125" s="36"/>
      <c r="D125" s="37"/>
      <c r="E125" s="36"/>
    </row>
    <row r="126" ht="14.25" customHeight="1">
      <c r="A126" s="33"/>
      <c r="B126" s="36"/>
      <c r="C126" s="36"/>
      <c r="D126" s="37"/>
      <c r="E126" s="36"/>
    </row>
    <row r="127" ht="14.25" customHeight="1">
      <c r="A127" s="33"/>
      <c r="B127" s="36"/>
      <c r="C127" s="36"/>
      <c r="D127" s="37"/>
      <c r="E127" s="36"/>
    </row>
    <row r="128" ht="14.25" customHeight="1">
      <c r="A128" s="33"/>
      <c r="B128" s="36"/>
      <c r="C128" s="36"/>
      <c r="D128" s="37"/>
      <c r="E128" s="36"/>
    </row>
    <row r="129" ht="14.25" customHeight="1">
      <c r="A129" s="33"/>
      <c r="B129" s="36"/>
      <c r="C129" s="36"/>
      <c r="D129" s="37"/>
      <c r="E129" s="36"/>
    </row>
    <row r="130" ht="14.25" customHeight="1">
      <c r="A130" s="33"/>
      <c r="B130" s="36"/>
      <c r="C130" s="36"/>
      <c r="D130" s="37"/>
      <c r="E130" s="36"/>
    </row>
    <row r="131" ht="14.25" customHeight="1">
      <c r="A131" s="33"/>
      <c r="B131" s="36"/>
      <c r="C131" s="36"/>
      <c r="D131" s="37"/>
      <c r="E131" s="36"/>
    </row>
    <row r="132" ht="14.25" customHeight="1">
      <c r="A132" s="33"/>
      <c r="B132" s="36"/>
      <c r="C132" s="36"/>
      <c r="D132" s="37"/>
      <c r="E132" s="36"/>
    </row>
    <row r="133" ht="14.25" customHeight="1">
      <c r="A133" s="33"/>
      <c r="B133" s="36"/>
      <c r="C133" s="36"/>
      <c r="D133" s="37"/>
      <c r="E133" s="36"/>
    </row>
    <row r="134" ht="14.25" customHeight="1">
      <c r="A134" s="33"/>
      <c r="B134" s="36"/>
      <c r="C134" s="36"/>
      <c r="D134" s="37"/>
      <c r="E134" s="36"/>
    </row>
    <row r="135" ht="14.25" customHeight="1">
      <c r="A135" s="33"/>
      <c r="B135" s="36"/>
      <c r="C135" s="36"/>
      <c r="D135" s="37"/>
      <c r="E135" s="36"/>
    </row>
    <row r="136" ht="14.25" customHeight="1">
      <c r="A136" s="33"/>
      <c r="B136" s="36"/>
      <c r="C136" s="36"/>
      <c r="D136" s="37"/>
      <c r="E136" s="36"/>
    </row>
    <row r="137" ht="14.25" customHeight="1">
      <c r="A137" s="33"/>
      <c r="B137" s="36"/>
      <c r="C137" s="36"/>
      <c r="D137" s="37"/>
      <c r="E137" s="36"/>
    </row>
    <row r="138" ht="14.25" customHeight="1">
      <c r="A138" s="33"/>
      <c r="B138" s="36"/>
      <c r="C138" s="36"/>
      <c r="D138" s="37"/>
      <c r="E138" s="36"/>
    </row>
    <row r="139" ht="14.25" customHeight="1">
      <c r="A139" s="33"/>
      <c r="B139" s="36"/>
      <c r="C139" s="36"/>
      <c r="D139" s="37"/>
      <c r="E139" s="36"/>
    </row>
    <row r="140" ht="14.25" customHeight="1">
      <c r="A140" s="33"/>
      <c r="B140" s="36"/>
      <c r="C140" s="36"/>
      <c r="D140" s="37"/>
      <c r="E140" s="36"/>
    </row>
    <row r="141" ht="14.25" customHeight="1">
      <c r="A141" s="33"/>
      <c r="B141" s="36"/>
      <c r="C141" s="36"/>
      <c r="D141" s="37"/>
      <c r="E141" s="36"/>
    </row>
    <row r="142" ht="14.25" customHeight="1">
      <c r="A142" s="33"/>
      <c r="B142" s="36"/>
      <c r="C142" s="36"/>
      <c r="D142" s="37"/>
      <c r="E142" s="36"/>
    </row>
    <row r="143" ht="14.25" customHeight="1">
      <c r="A143" s="33"/>
      <c r="B143" s="36"/>
      <c r="C143" s="36"/>
      <c r="D143" s="37"/>
      <c r="E143" s="36"/>
    </row>
    <row r="144" ht="14.25" customHeight="1">
      <c r="A144" s="33"/>
      <c r="B144" s="36"/>
      <c r="C144" s="36"/>
      <c r="D144" s="37"/>
      <c r="E144" s="36"/>
    </row>
    <row r="145" ht="14.25" customHeight="1">
      <c r="A145" s="33"/>
      <c r="B145" s="36"/>
      <c r="C145" s="36"/>
      <c r="D145" s="37"/>
      <c r="E145" s="36"/>
    </row>
    <row r="146" ht="14.25" customHeight="1">
      <c r="A146" s="33"/>
      <c r="B146" s="36"/>
      <c r="C146" s="36"/>
      <c r="D146" s="37"/>
      <c r="E146" s="36"/>
    </row>
    <row r="147" ht="14.25" customHeight="1">
      <c r="A147" s="33"/>
      <c r="B147" s="36"/>
      <c r="C147" s="36"/>
      <c r="D147" s="37"/>
      <c r="E147" s="36"/>
    </row>
    <row r="148" ht="14.25" customHeight="1">
      <c r="A148" s="33"/>
      <c r="B148" s="36"/>
      <c r="C148" s="36"/>
      <c r="D148" s="37"/>
      <c r="E148" s="36"/>
    </row>
    <row r="149" ht="14.25" customHeight="1">
      <c r="A149" s="33"/>
      <c r="B149" s="36"/>
      <c r="C149" s="36"/>
      <c r="D149" s="37"/>
      <c r="E149" s="36"/>
    </row>
    <row r="150" ht="14.25" customHeight="1">
      <c r="A150" s="33"/>
      <c r="B150" s="36"/>
      <c r="C150" s="36"/>
      <c r="D150" s="37"/>
      <c r="E150" s="36"/>
    </row>
    <row r="151" ht="14.25" customHeight="1">
      <c r="A151" s="33"/>
      <c r="B151" s="36"/>
      <c r="C151" s="36"/>
      <c r="D151" s="37"/>
      <c r="E151" s="36"/>
    </row>
    <row r="152" ht="14.25" customHeight="1">
      <c r="A152" s="33"/>
      <c r="B152" s="36"/>
      <c r="C152" s="36"/>
      <c r="D152" s="37"/>
      <c r="E152" s="36"/>
    </row>
    <row r="153" ht="14.25" customHeight="1">
      <c r="A153" s="33"/>
      <c r="B153" s="36"/>
      <c r="C153" s="36"/>
      <c r="D153" s="37"/>
      <c r="E153" s="36"/>
    </row>
    <row r="154" ht="14.25" customHeight="1">
      <c r="A154" s="33"/>
      <c r="B154" s="36"/>
      <c r="C154" s="36"/>
      <c r="D154" s="37"/>
      <c r="E154" s="36"/>
    </row>
    <row r="155" ht="14.25" customHeight="1">
      <c r="A155" s="33"/>
      <c r="B155" s="36"/>
      <c r="C155" s="36"/>
      <c r="D155" s="37"/>
      <c r="E155" s="36"/>
    </row>
    <row r="156" ht="14.25" customHeight="1">
      <c r="A156" s="33"/>
      <c r="B156" s="36"/>
      <c r="C156" s="36"/>
      <c r="D156" s="37"/>
      <c r="E156" s="36"/>
    </row>
    <row r="157" ht="14.25" customHeight="1">
      <c r="A157" s="33"/>
      <c r="B157" s="36"/>
      <c r="C157" s="36"/>
      <c r="D157" s="37"/>
      <c r="E157" s="36"/>
    </row>
    <row r="158" ht="14.25" customHeight="1">
      <c r="A158" s="33"/>
      <c r="B158" s="36"/>
      <c r="C158" s="36"/>
      <c r="D158" s="37"/>
      <c r="E158" s="36"/>
    </row>
    <row r="159" ht="14.25" customHeight="1">
      <c r="A159" s="33"/>
      <c r="B159" s="36"/>
      <c r="C159" s="36"/>
      <c r="D159" s="37"/>
      <c r="E159" s="36"/>
    </row>
    <row r="160" ht="14.25" customHeight="1">
      <c r="A160" s="33"/>
      <c r="B160" s="36"/>
      <c r="C160" s="36"/>
      <c r="D160" s="37"/>
      <c r="E160" s="36"/>
    </row>
    <row r="161" ht="14.25" customHeight="1">
      <c r="A161" s="33"/>
      <c r="B161" s="36"/>
      <c r="C161" s="36"/>
      <c r="D161" s="37"/>
      <c r="E161" s="36"/>
    </row>
    <row r="162" ht="14.25" customHeight="1">
      <c r="A162" s="33"/>
      <c r="B162" s="36"/>
      <c r="C162" s="36"/>
      <c r="D162" s="37"/>
      <c r="E162" s="36"/>
    </row>
    <row r="163" ht="14.25" customHeight="1">
      <c r="A163" s="33"/>
      <c r="B163" s="36"/>
      <c r="C163" s="36"/>
      <c r="D163" s="37"/>
      <c r="E163" s="36"/>
    </row>
    <row r="164" ht="14.25" customHeight="1">
      <c r="A164" s="33"/>
      <c r="B164" s="36"/>
      <c r="C164" s="36"/>
      <c r="D164" s="37"/>
      <c r="E164" s="36"/>
    </row>
    <row r="165" ht="14.25" customHeight="1">
      <c r="A165" s="33"/>
      <c r="B165" s="36"/>
      <c r="C165" s="36"/>
      <c r="D165" s="37"/>
      <c r="E165" s="36"/>
    </row>
    <row r="166" ht="14.25" customHeight="1">
      <c r="A166" s="33"/>
      <c r="B166" s="36"/>
      <c r="C166" s="36"/>
      <c r="D166" s="37"/>
      <c r="E166" s="36"/>
    </row>
    <row r="167" ht="14.25" customHeight="1">
      <c r="A167" s="33"/>
      <c r="B167" s="36"/>
      <c r="C167" s="36"/>
      <c r="D167" s="37"/>
      <c r="E167" s="36"/>
    </row>
    <row r="168" ht="14.25" customHeight="1">
      <c r="A168" s="33"/>
      <c r="B168" s="36"/>
      <c r="C168" s="36"/>
      <c r="D168" s="37"/>
      <c r="E168" s="36"/>
    </row>
    <row r="169" ht="14.25" customHeight="1">
      <c r="A169" s="33"/>
      <c r="B169" s="36"/>
      <c r="C169" s="36"/>
      <c r="D169" s="37"/>
      <c r="E169" s="36"/>
    </row>
    <row r="170" ht="14.25" customHeight="1">
      <c r="A170" s="33"/>
      <c r="B170" s="36"/>
      <c r="C170" s="36"/>
      <c r="D170" s="37"/>
      <c r="E170" s="36"/>
    </row>
    <row r="171" ht="14.25" customHeight="1">
      <c r="A171" s="33"/>
      <c r="B171" s="36"/>
      <c r="C171" s="36"/>
      <c r="D171" s="37"/>
      <c r="E171" s="36"/>
    </row>
    <row r="172" ht="14.25" customHeight="1">
      <c r="A172" s="33"/>
      <c r="B172" s="36"/>
      <c r="C172" s="36"/>
      <c r="D172" s="37"/>
      <c r="E172" s="36"/>
    </row>
    <row r="173" ht="14.25" customHeight="1">
      <c r="A173" s="33"/>
      <c r="B173" s="36"/>
      <c r="C173" s="36"/>
      <c r="D173" s="37"/>
      <c r="E173" s="36"/>
    </row>
    <row r="174" ht="14.25" customHeight="1">
      <c r="A174" s="33"/>
      <c r="B174" s="36"/>
      <c r="C174" s="36"/>
      <c r="D174" s="37"/>
      <c r="E174" s="36"/>
    </row>
    <row r="175" ht="14.25" customHeight="1">
      <c r="A175" s="33"/>
      <c r="B175" s="36"/>
      <c r="C175" s="36"/>
      <c r="D175" s="37"/>
      <c r="E175" s="36"/>
    </row>
    <row r="176" ht="14.25" customHeight="1">
      <c r="A176" s="33"/>
      <c r="B176" s="36"/>
      <c r="C176" s="36"/>
      <c r="D176" s="37"/>
      <c r="E176" s="36"/>
    </row>
    <row r="177" ht="14.25" customHeight="1">
      <c r="A177" s="33"/>
      <c r="B177" s="36"/>
      <c r="C177" s="36"/>
      <c r="D177" s="37"/>
      <c r="E177" s="36"/>
    </row>
    <row r="178" ht="14.25" customHeight="1">
      <c r="A178" s="33"/>
      <c r="B178" s="36"/>
      <c r="C178" s="36"/>
      <c r="D178" s="37"/>
      <c r="E178" s="36"/>
    </row>
    <row r="179" ht="14.25" customHeight="1">
      <c r="A179" s="33"/>
      <c r="B179" s="36"/>
      <c r="C179" s="36"/>
      <c r="D179" s="37"/>
      <c r="E179" s="36"/>
    </row>
    <row r="180" ht="14.25" customHeight="1">
      <c r="A180" s="33"/>
      <c r="B180" s="36"/>
      <c r="C180" s="36"/>
      <c r="D180" s="37"/>
      <c r="E180" s="36"/>
    </row>
    <row r="181" ht="14.25" customHeight="1">
      <c r="A181" s="33"/>
      <c r="B181" s="36"/>
      <c r="C181" s="36"/>
      <c r="D181" s="37"/>
      <c r="E181" s="36"/>
    </row>
    <row r="182" ht="14.25" customHeight="1">
      <c r="A182" s="33"/>
      <c r="B182" s="36"/>
      <c r="C182" s="36"/>
      <c r="D182" s="37"/>
      <c r="E182" s="36"/>
    </row>
    <row r="183" ht="14.25" customHeight="1">
      <c r="A183" s="33"/>
      <c r="B183" s="36"/>
      <c r="C183" s="36"/>
      <c r="D183" s="37"/>
      <c r="E183" s="36"/>
    </row>
    <row r="184" ht="14.25" customHeight="1">
      <c r="A184" s="33"/>
      <c r="B184" s="36"/>
      <c r="C184" s="36"/>
      <c r="D184" s="37"/>
      <c r="E184" s="36"/>
    </row>
    <row r="185" ht="14.25" customHeight="1">
      <c r="A185" s="33"/>
      <c r="B185" s="36"/>
      <c r="C185" s="36"/>
      <c r="D185" s="37"/>
      <c r="E185" s="36"/>
    </row>
    <row r="186" ht="14.25" customHeight="1">
      <c r="A186" s="33"/>
      <c r="B186" s="36"/>
      <c r="C186" s="36"/>
      <c r="D186" s="37"/>
      <c r="E186" s="36"/>
    </row>
    <row r="187" ht="14.25" customHeight="1">
      <c r="A187" s="33"/>
      <c r="B187" s="36"/>
      <c r="C187" s="36"/>
      <c r="D187" s="37"/>
      <c r="E187" s="36"/>
    </row>
    <row r="188" ht="14.25" customHeight="1">
      <c r="A188" s="33"/>
      <c r="B188" s="36"/>
      <c r="C188" s="36"/>
      <c r="D188" s="37"/>
      <c r="E188" s="36"/>
    </row>
    <row r="189" ht="14.25" customHeight="1">
      <c r="A189" s="33"/>
      <c r="B189" s="36"/>
      <c r="C189" s="36"/>
      <c r="D189" s="37"/>
      <c r="E189" s="36"/>
    </row>
    <row r="190" ht="14.25" customHeight="1">
      <c r="A190" s="33"/>
      <c r="B190" s="36"/>
      <c r="C190" s="36"/>
      <c r="D190" s="37"/>
      <c r="E190" s="36"/>
    </row>
    <row r="191" ht="14.25" customHeight="1">
      <c r="A191" s="33"/>
      <c r="B191" s="36"/>
      <c r="C191" s="36"/>
      <c r="D191" s="37"/>
      <c r="E191" s="36"/>
    </row>
    <row r="192" ht="14.25" customHeight="1">
      <c r="A192" s="33"/>
      <c r="B192" s="36"/>
      <c r="C192" s="36"/>
      <c r="D192" s="37"/>
      <c r="E192" s="36"/>
    </row>
    <row r="193" ht="14.25" customHeight="1">
      <c r="A193" s="33"/>
      <c r="B193" s="36"/>
      <c r="C193" s="36"/>
      <c r="D193" s="37"/>
      <c r="E193" s="36"/>
    </row>
    <row r="194" ht="14.25" customHeight="1">
      <c r="A194" s="33"/>
      <c r="B194" s="36"/>
      <c r="C194" s="36"/>
      <c r="D194" s="37"/>
      <c r="E194" s="36"/>
    </row>
    <row r="195" ht="14.25" customHeight="1">
      <c r="A195" s="33"/>
      <c r="B195" s="36"/>
      <c r="C195" s="36"/>
      <c r="D195" s="37"/>
      <c r="E195" s="36"/>
    </row>
    <row r="196" ht="14.25" customHeight="1">
      <c r="A196" s="33"/>
      <c r="B196" s="36"/>
      <c r="C196" s="36"/>
      <c r="D196" s="37"/>
      <c r="E196" s="36"/>
    </row>
    <row r="197" ht="14.25" customHeight="1">
      <c r="A197" s="33"/>
      <c r="B197" s="36"/>
      <c r="C197" s="36"/>
      <c r="D197" s="37"/>
      <c r="E197" s="36"/>
    </row>
    <row r="198" ht="14.25" customHeight="1">
      <c r="A198" s="33"/>
      <c r="B198" s="36"/>
      <c r="C198" s="36"/>
      <c r="D198" s="37"/>
      <c r="E198" s="36"/>
    </row>
    <row r="199" ht="14.25" customHeight="1">
      <c r="A199" s="33"/>
      <c r="B199" s="36"/>
      <c r="C199" s="36"/>
      <c r="D199" s="37"/>
      <c r="E199" s="36"/>
    </row>
    <row r="200" ht="14.25" customHeight="1">
      <c r="A200" s="33"/>
      <c r="B200" s="36"/>
      <c r="C200" s="36"/>
      <c r="D200" s="37"/>
      <c r="E200" s="36"/>
    </row>
    <row r="201" ht="14.25" customHeight="1">
      <c r="A201" s="33"/>
      <c r="B201" s="36"/>
      <c r="C201" s="36"/>
      <c r="D201" s="37"/>
      <c r="E201" s="36"/>
    </row>
    <row r="202" ht="14.25" customHeight="1">
      <c r="A202" s="33"/>
      <c r="B202" s="36"/>
      <c r="C202" s="36"/>
      <c r="D202" s="37"/>
      <c r="E202" s="36"/>
    </row>
    <row r="203" ht="14.25" customHeight="1">
      <c r="A203" s="33"/>
      <c r="B203" s="36"/>
      <c r="C203" s="36"/>
      <c r="D203" s="37"/>
      <c r="E203" s="36"/>
    </row>
    <row r="204" ht="14.25" customHeight="1">
      <c r="A204" s="33"/>
      <c r="B204" s="36"/>
      <c r="C204" s="36"/>
      <c r="D204" s="37"/>
      <c r="E204" s="36"/>
    </row>
    <row r="205" ht="14.25" customHeight="1">
      <c r="A205" s="33"/>
      <c r="B205" s="36"/>
      <c r="C205" s="36"/>
      <c r="D205" s="37"/>
      <c r="E205" s="36"/>
    </row>
    <row r="206" ht="14.25" customHeight="1">
      <c r="A206" s="33"/>
      <c r="B206" s="36"/>
      <c r="C206" s="36"/>
      <c r="D206" s="37"/>
      <c r="E206" s="36"/>
    </row>
    <row r="207" ht="14.25" customHeight="1">
      <c r="A207" s="33"/>
      <c r="B207" s="36"/>
      <c r="C207" s="36"/>
      <c r="D207" s="37"/>
      <c r="E207" s="36"/>
    </row>
    <row r="208" ht="14.25" customHeight="1">
      <c r="A208" s="33"/>
      <c r="B208" s="36"/>
      <c r="C208" s="36"/>
      <c r="D208" s="37"/>
      <c r="E208" s="36"/>
    </row>
    <row r="209" ht="14.25" customHeight="1">
      <c r="A209" s="33"/>
      <c r="B209" s="36"/>
      <c r="C209" s="36"/>
      <c r="D209" s="37"/>
      <c r="E209" s="36"/>
    </row>
    <row r="210" ht="14.25" customHeight="1">
      <c r="A210" s="33"/>
      <c r="B210" s="36"/>
      <c r="C210" s="36"/>
      <c r="D210" s="37"/>
      <c r="E210" s="36"/>
    </row>
    <row r="211" ht="14.25" customHeight="1">
      <c r="A211" s="33"/>
      <c r="B211" s="36"/>
      <c r="C211" s="36"/>
      <c r="D211" s="37"/>
      <c r="E211" s="36"/>
    </row>
    <row r="212" ht="14.25" customHeight="1">
      <c r="A212" s="33"/>
      <c r="B212" s="36"/>
      <c r="C212" s="36"/>
      <c r="D212" s="37"/>
      <c r="E212" s="36"/>
    </row>
    <row r="213" ht="14.25" customHeight="1">
      <c r="A213" s="33"/>
      <c r="B213" s="36"/>
      <c r="C213" s="36"/>
      <c r="D213" s="37"/>
      <c r="E213" s="36"/>
    </row>
    <row r="214" ht="14.25" customHeight="1">
      <c r="A214" s="33"/>
      <c r="B214" s="36"/>
      <c r="C214" s="36"/>
      <c r="D214" s="37"/>
      <c r="E214" s="36"/>
    </row>
    <row r="215" ht="14.25" customHeight="1">
      <c r="A215" s="33"/>
      <c r="B215" s="36"/>
      <c r="C215" s="36"/>
      <c r="D215" s="37"/>
      <c r="E215" s="36"/>
    </row>
    <row r="216" ht="14.25" customHeight="1">
      <c r="A216" s="33"/>
      <c r="B216" s="36"/>
      <c r="C216" s="36"/>
      <c r="D216" s="37"/>
      <c r="E216" s="36"/>
    </row>
    <row r="217" ht="14.25" customHeight="1">
      <c r="A217" s="33"/>
      <c r="B217" s="36"/>
      <c r="C217" s="36"/>
      <c r="D217" s="37"/>
      <c r="E217" s="36"/>
    </row>
    <row r="218" ht="14.25" customHeight="1">
      <c r="A218" s="33"/>
      <c r="B218" s="36"/>
      <c r="C218" s="36"/>
      <c r="D218" s="37"/>
      <c r="E218" s="36"/>
    </row>
    <row r="219" ht="14.25" customHeight="1">
      <c r="A219" s="33"/>
      <c r="B219" s="36"/>
      <c r="C219" s="36"/>
      <c r="D219" s="37"/>
      <c r="E219" s="36"/>
    </row>
    <row r="220" ht="14.25" customHeight="1">
      <c r="A220" s="33"/>
      <c r="B220" s="36"/>
      <c r="C220" s="36"/>
      <c r="D220" s="37"/>
      <c r="E220" s="36"/>
    </row>
    <row r="221" ht="14.25" customHeight="1">
      <c r="A221" s="33"/>
      <c r="B221" s="36"/>
      <c r="C221" s="36"/>
      <c r="D221" s="37"/>
      <c r="E221" s="36"/>
    </row>
    <row r="222" ht="14.25" customHeight="1">
      <c r="A222" s="33"/>
      <c r="B222" s="36"/>
      <c r="C222" s="36"/>
      <c r="D222" s="37"/>
      <c r="E222" s="36"/>
    </row>
    <row r="223" ht="14.25" customHeight="1">
      <c r="A223" s="33"/>
      <c r="B223" s="36"/>
      <c r="C223" s="36"/>
      <c r="D223" s="37"/>
      <c r="E223" s="36"/>
    </row>
    <row r="224" ht="14.25" customHeight="1">
      <c r="A224" s="33"/>
      <c r="B224" s="36"/>
      <c r="C224" s="36"/>
      <c r="D224" s="37"/>
      <c r="E224" s="36"/>
    </row>
    <row r="225" ht="14.25" customHeight="1">
      <c r="A225" s="33"/>
      <c r="B225" s="36"/>
      <c r="C225" s="36"/>
      <c r="D225" s="37"/>
      <c r="E225" s="36"/>
    </row>
    <row r="226" ht="14.25" customHeight="1">
      <c r="A226" s="33"/>
      <c r="B226" s="36"/>
      <c r="C226" s="36"/>
      <c r="D226" s="37"/>
      <c r="E226" s="36"/>
    </row>
    <row r="227" ht="14.25" customHeight="1">
      <c r="A227" s="33"/>
      <c r="B227" s="36"/>
      <c r="C227" s="36"/>
      <c r="D227" s="37"/>
      <c r="E227" s="36"/>
    </row>
    <row r="228" ht="14.25" customHeight="1">
      <c r="A228" s="33"/>
      <c r="B228" s="36"/>
      <c r="C228" s="36"/>
      <c r="D228" s="37"/>
      <c r="E228" s="36"/>
    </row>
    <row r="229" ht="14.25" customHeight="1">
      <c r="A229" s="33"/>
      <c r="B229" s="36"/>
      <c r="C229" s="36"/>
      <c r="D229" s="37"/>
      <c r="E229" s="36"/>
    </row>
    <row r="230" ht="14.25" customHeight="1">
      <c r="A230" s="33"/>
      <c r="B230" s="36"/>
      <c r="C230" s="36"/>
      <c r="D230" s="37"/>
      <c r="E230" s="36"/>
    </row>
    <row r="231" ht="14.25" customHeight="1">
      <c r="A231" s="33"/>
      <c r="B231" s="36"/>
      <c r="C231" s="36"/>
      <c r="D231" s="37"/>
      <c r="E231" s="36"/>
    </row>
    <row r="232" ht="14.25" customHeight="1">
      <c r="A232" s="33"/>
      <c r="B232" s="36"/>
      <c r="C232" s="36"/>
      <c r="D232" s="37"/>
      <c r="E232" s="36"/>
    </row>
    <row r="233" ht="14.25" customHeight="1">
      <c r="A233" s="33"/>
      <c r="B233" s="36"/>
      <c r="C233" s="36"/>
      <c r="D233" s="37"/>
      <c r="E233" s="36"/>
    </row>
    <row r="234" ht="14.25" customHeight="1">
      <c r="A234" s="33"/>
      <c r="B234" s="36"/>
      <c r="C234" s="36"/>
      <c r="D234" s="37"/>
      <c r="E234" s="36"/>
    </row>
    <row r="235" ht="14.25" customHeight="1">
      <c r="A235" s="33"/>
      <c r="B235" s="36"/>
      <c r="C235" s="36"/>
      <c r="D235" s="37"/>
      <c r="E235" s="36"/>
    </row>
    <row r="236" ht="14.25" customHeight="1">
      <c r="A236" s="33"/>
      <c r="B236" s="36"/>
      <c r="C236" s="36"/>
      <c r="D236" s="37"/>
      <c r="E236" s="36"/>
    </row>
    <row r="237" ht="14.25" customHeight="1">
      <c r="A237" s="33"/>
      <c r="B237" s="36"/>
      <c r="C237" s="36"/>
      <c r="D237" s="37"/>
      <c r="E237" s="36"/>
    </row>
    <row r="238" ht="14.25" customHeight="1">
      <c r="A238" s="33"/>
      <c r="B238" s="36"/>
      <c r="C238" s="36"/>
      <c r="D238" s="37"/>
      <c r="E238" s="36"/>
    </row>
    <row r="239" ht="14.25" customHeight="1">
      <c r="A239" s="33"/>
      <c r="B239" s="36"/>
      <c r="C239" s="36"/>
      <c r="D239" s="37"/>
      <c r="E239" s="36"/>
    </row>
    <row r="240" ht="14.25" customHeight="1">
      <c r="A240" s="33"/>
      <c r="B240" s="36"/>
      <c r="C240" s="36"/>
      <c r="D240" s="37"/>
      <c r="E240" s="36"/>
    </row>
    <row r="241" ht="14.25" customHeight="1">
      <c r="A241" s="33"/>
      <c r="B241" s="36"/>
      <c r="C241" s="36"/>
      <c r="D241" s="37"/>
      <c r="E241" s="36"/>
    </row>
    <row r="242" ht="14.25" customHeight="1">
      <c r="A242" s="33"/>
      <c r="B242" s="36"/>
      <c r="C242" s="36"/>
      <c r="D242" s="37"/>
      <c r="E242" s="36"/>
    </row>
    <row r="243" ht="14.25" customHeight="1">
      <c r="A243" s="33"/>
      <c r="B243" s="36"/>
      <c r="C243" s="36"/>
      <c r="D243" s="37"/>
      <c r="E243" s="36"/>
    </row>
    <row r="244" ht="14.25" customHeight="1">
      <c r="A244" s="33"/>
      <c r="B244" s="36"/>
      <c r="C244" s="36"/>
      <c r="D244" s="37"/>
      <c r="E244" s="36"/>
    </row>
    <row r="245" ht="14.25" customHeight="1">
      <c r="A245" s="33"/>
      <c r="B245" s="36"/>
      <c r="C245" s="36"/>
      <c r="D245" s="37"/>
      <c r="E245" s="36"/>
    </row>
    <row r="246" ht="14.25" customHeight="1">
      <c r="A246" s="33"/>
      <c r="B246" s="36"/>
      <c r="C246" s="36"/>
      <c r="D246" s="37"/>
      <c r="E246" s="36"/>
    </row>
    <row r="247" ht="14.25" customHeight="1">
      <c r="A247" s="33"/>
      <c r="B247" s="36"/>
      <c r="C247" s="36"/>
      <c r="D247" s="37"/>
      <c r="E247" s="36"/>
    </row>
    <row r="248" ht="14.25" customHeight="1">
      <c r="A248" s="33"/>
      <c r="B248" s="36"/>
      <c r="C248" s="36"/>
      <c r="D248" s="37"/>
      <c r="E248" s="36"/>
    </row>
    <row r="249" ht="14.25" customHeight="1">
      <c r="A249" s="33"/>
      <c r="B249" s="36"/>
      <c r="C249" s="36"/>
      <c r="D249" s="37"/>
      <c r="E249" s="36"/>
    </row>
    <row r="250" ht="14.25" customHeight="1">
      <c r="A250" s="33"/>
      <c r="B250" s="36"/>
      <c r="C250" s="36"/>
      <c r="D250" s="37"/>
      <c r="E250" s="36"/>
    </row>
    <row r="251" ht="15.75" customHeight="1">
      <c r="B251" s="49"/>
    </row>
    <row r="252" ht="15.75" customHeight="1">
      <c r="B252" s="49"/>
    </row>
    <row r="253" ht="15.75" customHeight="1">
      <c r="B253" s="49"/>
    </row>
    <row r="254" ht="15.75" customHeight="1">
      <c r="B254" s="49"/>
    </row>
    <row r="255" ht="15.75" customHeight="1">
      <c r="B255" s="49"/>
    </row>
    <row r="256" ht="15.75" customHeight="1">
      <c r="B256" s="86"/>
    </row>
    <row r="257" ht="15.75" customHeight="1">
      <c r="B257" s="86"/>
    </row>
    <row r="258" ht="15.75" customHeight="1">
      <c r="B258" s="86"/>
    </row>
    <row r="259" ht="15.75" customHeight="1">
      <c r="B259" s="86"/>
    </row>
    <row r="260" ht="15.75" customHeight="1">
      <c r="B260" s="86"/>
    </row>
    <row r="261" ht="15.75" customHeight="1">
      <c r="B261" s="86"/>
    </row>
    <row r="262" ht="15.75" customHeight="1">
      <c r="B262" s="86"/>
    </row>
    <row r="263" ht="15.75" customHeight="1">
      <c r="B263" s="86"/>
    </row>
    <row r="264" ht="15.75" customHeight="1">
      <c r="B264" s="86"/>
    </row>
    <row r="265" ht="15.75" customHeight="1">
      <c r="B265" s="86"/>
    </row>
    <row r="266" ht="15.75" customHeight="1">
      <c r="B266" s="86"/>
    </row>
    <row r="267" ht="15.75" customHeight="1">
      <c r="B267" s="86"/>
    </row>
    <row r="268" ht="15.75" customHeight="1">
      <c r="B268" s="86"/>
    </row>
    <row r="269" ht="15.75" customHeight="1">
      <c r="B269" s="86"/>
    </row>
    <row r="270" ht="15.75" customHeight="1">
      <c r="B270" s="86"/>
    </row>
    <row r="271" ht="15.75" customHeight="1">
      <c r="B271" s="86"/>
    </row>
    <row r="272" ht="15.75" customHeight="1">
      <c r="B272" s="86"/>
    </row>
    <row r="273" ht="15.75" customHeight="1">
      <c r="B273" s="86"/>
    </row>
    <row r="274" ht="15.75" customHeight="1">
      <c r="B274" s="86"/>
    </row>
    <row r="275" ht="15.75" customHeight="1">
      <c r="B275" s="86"/>
    </row>
    <row r="276" ht="15.75" customHeight="1">
      <c r="B276" s="86"/>
    </row>
    <row r="277" ht="15.75" customHeight="1">
      <c r="B277" s="86"/>
    </row>
    <row r="278" ht="15.75" customHeight="1">
      <c r="B278" s="86"/>
    </row>
    <row r="279" ht="15.75" customHeight="1">
      <c r="B279" s="86"/>
    </row>
    <row r="280" ht="15.75" customHeight="1">
      <c r="B280" s="86"/>
    </row>
    <row r="281" ht="15.75" customHeight="1">
      <c r="B281" s="86"/>
    </row>
    <row r="282" ht="15.75" customHeight="1">
      <c r="B282" s="86"/>
    </row>
    <row r="283" ht="15.75" customHeight="1">
      <c r="B283" s="86"/>
    </row>
    <row r="284" ht="15.75" customHeight="1">
      <c r="B284" s="86"/>
    </row>
    <row r="285" ht="15.75" customHeight="1">
      <c r="B285" s="86"/>
    </row>
    <row r="286" ht="15.75" customHeight="1">
      <c r="B286" s="86"/>
    </row>
    <row r="287" ht="15.75" customHeight="1">
      <c r="B287" s="86"/>
    </row>
    <row r="288" ht="15.75" customHeight="1">
      <c r="B288" s="86"/>
    </row>
    <row r="289" ht="15.75" customHeight="1">
      <c r="B289" s="86"/>
    </row>
    <row r="290" ht="15.75" customHeight="1">
      <c r="B290" s="86"/>
    </row>
    <row r="291" ht="15.75" customHeight="1">
      <c r="B291" s="86"/>
    </row>
    <row r="292" ht="15.75" customHeight="1">
      <c r="B292" s="86"/>
    </row>
    <row r="293" ht="15.75" customHeight="1">
      <c r="B293" s="86"/>
    </row>
    <row r="294" ht="15.75" customHeight="1">
      <c r="B294" s="86"/>
    </row>
    <row r="295" ht="15.75" customHeight="1">
      <c r="B295" s="86"/>
    </row>
    <row r="296" ht="15.75" customHeight="1">
      <c r="B296" s="86"/>
    </row>
    <row r="297" ht="15.75" customHeight="1">
      <c r="B297" s="86"/>
    </row>
    <row r="298" ht="15.75" customHeight="1">
      <c r="B298" s="86"/>
    </row>
    <row r="299" ht="15.75" customHeight="1">
      <c r="B299" s="86"/>
    </row>
    <row r="300" ht="15.75" customHeight="1">
      <c r="B300" s="86"/>
    </row>
    <row r="301" ht="15.75" customHeight="1">
      <c r="B301" s="86"/>
    </row>
    <row r="302" ht="15.75" customHeight="1">
      <c r="B302" s="86"/>
    </row>
    <row r="303" ht="15.75" customHeight="1">
      <c r="B303" s="86"/>
    </row>
    <row r="304" ht="15.75" customHeight="1">
      <c r="B304" s="86"/>
    </row>
    <row r="305" ht="15.75" customHeight="1">
      <c r="B305" s="86"/>
    </row>
    <row r="306" ht="15.75" customHeight="1">
      <c r="B306" s="86"/>
    </row>
    <row r="307" ht="15.75" customHeight="1">
      <c r="B307" s="86"/>
    </row>
    <row r="308" ht="15.75" customHeight="1">
      <c r="B308" s="86"/>
    </row>
    <row r="309" ht="15.75" customHeight="1">
      <c r="B309" s="86"/>
    </row>
    <row r="310" ht="15.75" customHeight="1">
      <c r="B310" s="86"/>
    </row>
    <row r="311" ht="15.75" customHeight="1">
      <c r="B311" s="86"/>
    </row>
    <row r="312" ht="15.75" customHeight="1">
      <c r="B312" s="86"/>
    </row>
    <row r="313" ht="15.75" customHeight="1">
      <c r="B313" s="86"/>
    </row>
    <row r="314" ht="15.75" customHeight="1">
      <c r="B314" s="86"/>
    </row>
    <row r="315" ht="15.75" customHeight="1">
      <c r="B315" s="86"/>
    </row>
    <row r="316" ht="15.75" customHeight="1">
      <c r="B316" s="86"/>
    </row>
    <row r="317" ht="15.75" customHeight="1">
      <c r="B317" s="86"/>
    </row>
    <row r="318" ht="15.75" customHeight="1">
      <c r="B318" s="86"/>
    </row>
    <row r="319" ht="15.75" customHeight="1">
      <c r="B319" s="86"/>
    </row>
    <row r="320" ht="15.75" customHeight="1">
      <c r="B320" s="86"/>
    </row>
    <row r="321" ht="15.75" customHeight="1">
      <c r="B321" s="86"/>
    </row>
    <row r="322" ht="15.75" customHeight="1">
      <c r="B322" s="86"/>
    </row>
    <row r="323" ht="15.75" customHeight="1">
      <c r="B323" s="86"/>
    </row>
    <row r="324" ht="15.75" customHeight="1">
      <c r="B324" s="86"/>
    </row>
    <row r="325" ht="15.75" customHeight="1">
      <c r="B325" s="86"/>
    </row>
    <row r="326" ht="15.75" customHeight="1">
      <c r="B326" s="86"/>
    </row>
    <row r="327" ht="15.75" customHeight="1">
      <c r="B327" s="86"/>
    </row>
    <row r="328" ht="15.75" customHeight="1">
      <c r="B328" s="86"/>
    </row>
    <row r="329" ht="15.75" customHeight="1">
      <c r="B329" s="86"/>
    </row>
    <row r="330" ht="15.75" customHeight="1">
      <c r="B330" s="86"/>
    </row>
    <row r="331" ht="15.75" customHeight="1">
      <c r="B331" s="86"/>
    </row>
    <row r="332" ht="15.75" customHeight="1">
      <c r="B332" s="86"/>
    </row>
    <row r="333" ht="15.75" customHeight="1">
      <c r="B333" s="86"/>
    </row>
    <row r="334" ht="15.75" customHeight="1">
      <c r="B334" s="86"/>
    </row>
    <row r="335" ht="15.75" customHeight="1">
      <c r="B335" s="86"/>
    </row>
    <row r="336" ht="15.75" customHeight="1">
      <c r="B336" s="86"/>
    </row>
    <row r="337" ht="15.75" customHeight="1">
      <c r="B337" s="86"/>
    </row>
    <row r="338" ht="15.75" customHeight="1">
      <c r="B338" s="86"/>
    </row>
    <row r="339" ht="15.75" customHeight="1">
      <c r="B339" s="86"/>
    </row>
    <row r="340" ht="15.75" customHeight="1">
      <c r="B340" s="86"/>
    </row>
    <row r="341" ht="15.75" customHeight="1">
      <c r="B341" s="86"/>
    </row>
    <row r="342" ht="15.75" customHeight="1">
      <c r="B342" s="86"/>
    </row>
    <row r="343" ht="15.75" customHeight="1">
      <c r="B343" s="86"/>
    </row>
    <row r="344" ht="15.75" customHeight="1">
      <c r="B344" s="86"/>
    </row>
    <row r="345" ht="15.75" customHeight="1">
      <c r="B345" s="86"/>
    </row>
    <row r="346" ht="15.75" customHeight="1">
      <c r="B346" s="86"/>
    </row>
    <row r="347" ht="15.75" customHeight="1">
      <c r="B347" s="86"/>
    </row>
    <row r="348" ht="15.75" customHeight="1">
      <c r="B348" s="86"/>
    </row>
    <row r="349" ht="15.75" customHeight="1">
      <c r="B349" s="86"/>
    </row>
    <row r="350" ht="15.75" customHeight="1">
      <c r="B350" s="86"/>
    </row>
    <row r="351" ht="15.75" customHeight="1">
      <c r="B351" s="86"/>
    </row>
    <row r="352" ht="15.75" customHeight="1">
      <c r="B352" s="86"/>
    </row>
    <row r="353" ht="15.75" customHeight="1">
      <c r="B353" s="86"/>
    </row>
    <row r="354" ht="15.75" customHeight="1">
      <c r="B354" s="86"/>
    </row>
    <row r="355" ht="15.75" customHeight="1">
      <c r="B355" s="86"/>
    </row>
    <row r="356" ht="15.75" customHeight="1">
      <c r="B356" s="86"/>
    </row>
    <row r="357" ht="15.75" customHeight="1">
      <c r="B357" s="86"/>
    </row>
    <row r="358" ht="15.75" customHeight="1">
      <c r="B358" s="86"/>
    </row>
    <row r="359" ht="15.75" customHeight="1">
      <c r="B359" s="86"/>
    </row>
    <row r="360" ht="15.75" customHeight="1">
      <c r="B360" s="86"/>
    </row>
    <row r="361" ht="15.75" customHeight="1">
      <c r="B361" s="86"/>
    </row>
    <row r="362" ht="15.75" customHeight="1">
      <c r="B362" s="86"/>
    </row>
    <row r="363" ht="15.75" customHeight="1">
      <c r="B363" s="86"/>
    </row>
    <row r="364" ht="15.75" customHeight="1">
      <c r="B364" s="86"/>
    </row>
    <row r="365" ht="15.75" customHeight="1">
      <c r="B365" s="86"/>
    </row>
    <row r="366" ht="15.75" customHeight="1">
      <c r="B366" s="86"/>
    </row>
    <row r="367" ht="15.75" customHeight="1">
      <c r="B367" s="86"/>
    </row>
    <row r="368" ht="15.75" customHeight="1">
      <c r="B368" s="86"/>
    </row>
    <row r="369" ht="15.75" customHeight="1">
      <c r="B369" s="86"/>
    </row>
    <row r="370" ht="15.75" customHeight="1">
      <c r="B370" s="86"/>
    </row>
    <row r="371" ht="15.75" customHeight="1">
      <c r="B371" s="86"/>
    </row>
    <row r="372" ht="15.75" customHeight="1">
      <c r="B372" s="86"/>
    </row>
    <row r="373" ht="15.75" customHeight="1">
      <c r="B373" s="86"/>
    </row>
    <row r="374" ht="15.75" customHeight="1">
      <c r="B374" s="86"/>
    </row>
    <row r="375" ht="15.75" customHeight="1">
      <c r="B375" s="86"/>
    </row>
    <row r="376" ht="15.75" customHeight="1">
      <c r="B376" s="86"/>
    </row>
    <row r="377" ht="15.75" customHeight="1">
      <c r="B377" s="86"/>
    </row>
    <row r="378" ht="15.75" customHeight="1">
      <c r="B378" s="86"/>
    </row>
    <row r="379" ht="15.75" customHeight="1">
      <c r="B379" s="86"/>
    </row>
    <row r="380" ht="15.75" customHeight="1">
      <c r="B380" s="86"/>
    </row>
    <row r="381" ht="15.75" customHeight="1">
      <c r="B381" s="86"/>
    </row>
    <row r="382" ht="15.75" customHeight="1">
      <c r="B382" s="86"/>
    </row>
    <row r="383" ht="15.75" customHeight="1">
      <c r="B383" s="86"/>
    </row>
    <row r="384" ht="15.75" customHeight="1">
      <c r="B384" s="86"/>
    </row>
    <row r="385" ht="15.75" customHeight="1">
      <c r="B385" s="86"/>
    </row>
    <row r="386" ht="15.75" customHeight="1">
      <c r="B386" s="86"/>
    </row>
    <row r="387" ht="15.75" customHeight="1">
      <c r="B387" s="86"/>
    </row>
    <row r="388" ht="15.75" customHeight="1">
      <c r="B388" s="86"/>
    </row>
    <row r="389" ht="15.75" customHeight="1">
      <c r="B389" s="86"/>
    </row>
    <row r="390" ht="15.75" customHeight="1">
      <c r="B390" s="86"/>
    </row>
    <row r="391" ht="15.75" customHeight="1">
      <c r="B391" s="86"/>
    </row>
    <row r="392" ht="15.75" customHeight="1">
      <c r="B392" s="86"/>
    </row>
    <row r="393" ht="15.75" customHeight="1">
      <c r="B393" s="86"/>
    </row>
    <row r="394" ht="15.75" customHeight="1">
      <c r="B394" s="86"/>
    </row>
    <row r="395" ht="15.75" customHeight="1">
      <c r="B395" s="86"/>
    </row>
    <row r="396" ht="15.75" customHeight="1">
      <c r="B396" s="86"/>
    </row>
    <row r="397" ht="15.75" customHeight="1">
      <c r="B397" s="86"/>
    </row>
    <row r="398" ht="15.75" customHeight="1">
      <c r="B398" s="86"/>
    </row>
    <row r="399" ht="15.75" customHeight="1">
      <c r="B399" s="86"/>
    </row>
    <row r="400" ht="15.75" customHeight="1">
      <c r="B400" s="86"/>
    </row>
    <row r="401" ht="15.75" customHeight="1">
      <c r="B401" s="86"/>
    </row>
    <row r="402" ht="15.75" customHeight="1">
      <c r="B402" s="86"/>
    </row>
    <row r="403" ht="15.75" customHeight="1">
      <c r="B403" s="86"/>
    </row>
    <row r="404" ht="15.75" customHeight="1">
      <c r="B404" s="86"/>
    </row>
    <row r="405" ht="15.75" customHeight="1">
      <c r="B405" s="86"/>
    </row>
    <row r="406" ht="15.75" customHeight="1">
      <c r="B406" s="86"/>
    </row>
    <row r="407" ht="15.75" customHeight="1">
      <c r="B407" s="86"/>
    </row>
    <row r="408" ht="15.75" customHeight="1">
      <c r="B408" s="86"/>
    </row>
    <row r="409" ht="15.75" customHeight="1">
      <c r="B409" s="86"/>
    </row>
    <row r="410" ht="15.75" customHeight="1">
      <c r="B410" s="86"/>
    </row>
    <row r="411" ht="15.75" customHeight="1">
      <c r="B411" s="86"/>
    </row>
    <row r="412" ht="15.75" customHeight="1">
      <c r="B412" s="86"/>
    </row>
    <row r="413" ht="15.75" customHeight="1">
      <c r="B413" s="86"/>
    </row>
    <row r="414" ht="15.75" customHeight="1">
      <c r="B414" s="86"/>
    </row>
    <row r="415" ht="15.75" customHeight="1">
      <c r="B415" s="86"/>
    </row>
    <row r="416" ht="15.75" customHeight="1">
      <c r="B416" s="86"/>
    </row>
    <row r="417" ht="15.75" customHeight="1">
      <c r="B417" s="86"/>
    </row>
    <row r="418" ht="15.75" customHeight="1">
      <c r="B418" s="86"/>
    </row>
    <row r="419" ht="15.75" customHeight="1">
      <c r="B419" s="86"/>
    </row>
    <row r="420" ht="15.75" customHeight="1">
      <c r="B420" s="86"/>
    </row>
    <row r="421" ht="15.75" customHeight="1">
      <c r="B421" s="86"/>
    </row>
    <row r="422" ht="15.75" customHeight="1">
      <c r="B422" s="86"/>
    </row>
    <row r="423" ht="15.75" customHeight="1">
      <c r="B423" s="86"/>
    </row>
    <row r="424" ht="15.75" customHeight="1">
      <c r="B424" s="86"/>
    </row>
    <row r="425" ht="15.75" customHeight="1">
      <c r="B425" s="86"/>
    </row>
    <row r="426" ht="15.75" customHeight="1">
      <c r="B426" s="86"/>
    </row>
    <row r="427" ht="15.75" customHeight="1">
      <c r="B427" s="86"/>
    </row>
    <row r="428" ht="15.75" customHeight="1">
      <c r="B428" s="86"/>
    </row>
    <row r="429" ht="15.75" customHeight="1">
      <c r="B429" s="86"/>
    </row>
    <row r="430" ht="15.75" customHeight="1">
      <c r="B430" s="86"/>
    </row>
    <row r="431" ht="15.75" customHeight="1">
      <c r="B431" s="86"/>
    </row>
    <row r="432" ht="15.75" customHeight="1">
      <c r="B432" s="86"/>
    </row>
    <row r="433" ht="15.75" customHeight="1">
      <c r="B433" s="86"/>
    </row>
    <row r="434" ht="15.75" customHeight="1">
      <c r="B434" s="86"/>
    </row>
    <row r="435" ht="15.75" customHeight="1">
      <c r="B435" s="86"/>
    </row>
    <row r="436" ht="15.75" customHeight="1">
      <c r="B436" s="86"/>
    </row>
    <row r="437" ht="15.75" customHeight="1">
      <c r="B437" s="86"/>
    </row>
    <row r="438" ht="15.75" customHeight="1">
      <c r="B438" s="86"/>
    </row>
    <row r="439" ht="15.75" customHeight="1">
      <c r="B439" s="86"/>
    </row>
    <row r="440" ht="15.75" customHeight="1">
      <c r="B440" s="86"/>
    </row>
    <row r="441" ht="15.75" customHeight="1">
      <c r="B441" s="86"/>
    </row>
    <row r="442" ht="15.75" customHeight="1">
      <c r="B442" s="86"/>
    </row>
    <row r="443" ht="15.75" customHeight="1">
      <c r="B443" s="86"/>
    </row>
    <row r="444" ht="15.75" customHeight="1">
      <c r="B444" s="86"/>
    </row>
    <row r="445" ht="15.75" customHeight="1">
      <c r="B445" s="86"/>
    </row>
    <row r="446" ht="15.75" customHeight="1">
      <c r="B446" s="86"/>
    </row>
    <row r="447" ht="15.75" customHeight="1">
      <c r="B447" s="86"/>
    </row>
    <row r="448" ht="15.75" customHeight="1">
      <c r="B448" s="86"/>
    </row>
    <row r="449" ht="15.75" customHeight="1">
      <c r="B449" s="86"/>
    </row>
    <row r="450" ht="15.75" customHeight="1">
      <c r="B450" s="86"/>
    </row>
    <row r="451" ht="15.75" customHeight="1">
      <c r="B451" s="86"/>
    </row>
    <row r="452" ht="15.75" customHeight="1">
      <c r="B452" s="86"/>
    </row>
    <row r="453" ht="15.75" customHeight="1">
      <c r="B453" s="86"/>
    </row>
    <row r="454" ht="15.75" customHeight="1">
      <c r="B454" s="86"/>
    </row>
    <row r="455" ht="15.75" customHeight="1">
      <c r="B455" s="86"/>
    </row>
    <row r="456" ht="15.75" customHeight="1">
      <c r="B456" s="86"/>
    </row>
    <row r="457" ht="15.75" customHeight="1">
      <c r="B457" s="86"/>
    </row>
    <row r="458" ht="15.75" customHeight="1">
      <c r="B458" s="86"/>
    </row>
    <row r="459" ht="15.75" customHeight="1">
      <c r="B459" s="86"/>
    </row>
    <row r="460" ht="15.75" customHeight="1">
      <c r="B460" s="86"/>
    </row>
    <row r="461" ht="15.75" customHeight="1">
      <c r="B461" s="86"/>
    </row>
    <row r="462" ht="15.75" customHeight="1">
      <c r="B462" s="86"/>
    </row>
    <row r="463" ht="15.75" customHeight="1">
      <c r="B463" s="86"/>
    </row>
    <row r="464" ht="15.75" customHeight="1">
      <c r="B464" s="86"/>
    </row>
    <row r="465" ht="15.75" customHeight="1">
      <c r="B465" s="86"/>
    </row>
    <row r="466" ht="15.75" customHeight="1">
      <c r="B466" s="86"/>
    </row>
    <row r="467" ht="15.75" customHeight="1">
      <c r="B467" s="86"/>
    </row>
    <row r="468" ht="15.75" customHeight="1">
      <c r="B468" s="86"/>
    </row>
    <row r="469" ht="15.75" customHeight="1">
      <c r="B469" s="86"/>
    </row>
    <row r="470" ht="15.75" customHeight="1">
      <c r="B470" s="86"/>
    </row>
    <row r="471" ht="15.75" customHeight="1">
      <c r="B471" s="86"/>
    </row>
    <row r="472" ht="15.75" customHeight="1">
      <c r="B472" s="86"/>
    </row>
    <row r="473" ht="15.75" customHeight="1">
      <c r="B473" s="86"/>
    </row>
    <row r="474" ht="15.75" customHeight="1">
      <c r="B474" s="86"/>
    </row>
    <row r="475" ht="15.75" customHeight="1">
      <c r="B475" s="86"/>
    </row>
    <row r="476" ht="15.75" customHeight="1">
      <c r="B476" s="86"/>
    </row>
    <row r="477" ht="15.75" customHeight="1">
      <c r="B477" s="86"/>
    </row>
    <row r="478" ht="15.75" customHeight="1">
      <c r="B478" s="86"/>
    </row>
    <row r="479" ht="15.75" customHeight="1">
      <c r="B479" s="86"/>
    </row>
    <row r="480" ht="15.75" customHeight="1">
      <c r="B480" s="86"/>
    </row>
    <row r="481" ht="15.75" customHeight="1">
      <c r="B481" s="86"/>
    </row>
    <row r="482" ht="15.75" customHeight="1">
      <c r="B482" s="86"/>
    </row>
    <row r="483" ht="15.75" customHeight="1">
      <c r="B483" s="86"/>
    </row>
    <row r="484" ht="15.75" customHeight="1">
      <c r="B484" s="86"/>
    </row>
    <row r="485" ht="15.75" customHeight="1">
      <c r="B485" s="86"/>
    </row>
    <row r="486" ht="15.75" customHeight="1">
      <c r="B486" s="86"/>
    </row>
    <row r="487" ht="15.75" customHeight="1">
      <c r="B487" s="86"/>
    </row>
    <row r="488" ht="15.75" customHeight="1">
      <c r="B488" s="86"/>
    </row>
    <row r="489" ht="15.75" customHeight="1">
      <c r="B489" s="86"/>
    </row>
    <row r="490" ht="15.75" customHeight="1">
      <c r="B490" s="86"/>
    </row>
    <row r="491" ht="15.75" customHeight="1">
      <c r="B491" s="86"/>
    </row>
    <row r="492" ht="15.75" customHeight="1">
      <c r="B492" s="86"/>
    </row>
    <row r="493" ht="15.75" customHeight="1">
      <c r="B493" s="86"/>
    </row>
    <row r="494" ht="15.75" customHeight="1">
      <c r="B494" s="86"/>
    </row>
    <row r="495" ht="15.75" customHeight="1">
      <c r="B495" s="86"/>
    </row>
    <row r="496" ht="15.75" customHeight="1">
      <c r="B496" s="86"/>
    </row>
    <row r="497" ht="15.75" customHeight="1">
      <c r="B497" s="86"/>
    </row>
    <row r="498" ht="15.75" customHeight="1">
      <c r="B498" s="86"/>
    </row>
    <row r="499" ht="15.75" customHeight="1">
      <c r="B499" s="86"/>
    </row>
    <row r="500" ht="15.75" customHeight="1">
      <c r="B500" s="86"/>
    </row>
    <row r="501" ht="15.75" customHeight="1">
      <c r="B501" s="86"/>
    </row>
    <row r="502" ht="15.75" customHeight="1">
      <c r="B502" s="86"/>
    </row>
    <row r="503" ht="15.75" customHeight="1">
      <c r="B503" s="86"/>
    </row>
    <row r="504" ht="15.75" customHeight="1">
      <c r="B504" s="86"/>
    </row>
    <row r="505" ht="15.75" customHeight="1">
      <c r="B505" s="86"/>
    </row>
    <row r="506" ht="15.75" customHeight="1">
      <c r="B506" s="86"/>
    </row>
    <row r="507" ht="15.75" customHeight="1">
      <c r="B507" s="86"/>
    </row>
    <row r="508" ht="15.75" customHeight="1">
      <c r="B508" s="86"/>
    </row>
    <row r="509" ht="15.75" customHeight="1">
      <c r="B509" s="86"/>
    </row>
    <row r="510" ht="15.75" customHeight="1">
      <c r="B510" s="86"/>
    </row>
    <row r="511" ht="15.75" customHeight="1">
      <c r="B511" s="86"/>
    </row>
    <row r="512" ht="15.75" customHeight="1">
      <c r="B512" s="86"/>
    </row>
    <row r="513" ht="15.75" customHeight="1">
      <c r="B513" s="86"/>
    </row>
    <row r="514" ht="15.75" customHeight="1">
      <c r="B514" s="86"/>
    </row>
    <row r="515" ht="15.75" customHeight="1">
      <c r="B515" s="86"/>
    </row>
    <row r="516" ht="15.75" customHeight="1">
      <c r="B516" s="86"/>
    </row>
    <row r="517" ht="15.75" customHeight="1">
      <c r="B517" s="86"/>
    </row>
    <row r="518" ht="15.75" customHeight="1">
      <c r="B518" s="86"/>
    </row>
    <row r="519" ht="15.75" customHeight="1">
      <c r="B519" s="86"/>
    </row>
    <row r="520" ht="15.75" customHeight="1">
      <c r="B520" s="86"/>
    </row>
    <row r="521" ht="15.75" customHeight="1">
      <c r="B521" s="86"/>
    </row>
    <row r="522" ht="15.75" customHeight="1">
      <c r="B522" s="86"/>
    </row>
    <row r="523" ht="15.75" customHeight="1">
      <c r="B523" s="86"/>
    </row>
    <row r="524" ht="15.75" customHeight="1">
      <c r="B524" s="86"/>
    </row>
    <row r="525" ht="15.75" customHeight="1">
      <c r="B525" s="86"/>
    </row>
    <row r="526" ht="15.75" customHeight="1">
      <c r="B526" s="86"/>
    </row>
    <row r="527" ht="15.75" customHeight="1">
      <c r="B527" s="86"/>
    </row>
    <row r="528" ht="15.75" customHeight="1">
      <c r="B528" s="86"/>
    </row>
    <row r="529" ht="15.75" customHeight="1">
      <c r="B529" s="86"/>
    </row>
    <row r="530" ht="15.75" customHeight="1">
      <c r="B530" s="86"/>
    </row>
    <row r="531" ht="15.75" customHeight="1">
      <c r="B531" s="86"/>
    </row>
    <row r="532" ht="15.75" customHeight="1">
      <c r="B532" s="86"/>
    </row>
    <row r="533" ht="15.75" customHeight="1">
      <c r="B533" s="86"/>
    </row>
    <row r="534" ht="15.75" customHeight="1">
      <c r="B534" s="86"/>
    </row>
    <row r="535" ht="15.75" customHeight="1">
      <c r="B535" s="86"/>
    </row>
    <row r="536" ht="15.75" customHeight="1">
      <c r="B536" s="86"/>
    </row>
    <row r="537" ht="15.75" customHeight="1">
      <c r="B537" s="86"/>
    </row>
    <row r="538" ht="15.75" customHeight="1">
      <c r="B538" s="86"/>
    </row>
    <row r="539" ht="15.75" customHeight="1">
      <c r="B539" s="86"/>
    </row>
    <row r="540" ht="15.75" customHeight="1">
      <c r="B540" s="86"/>
    </row>
    <row r="541" ht="15.75" customHeight="1">
      <c r="B541" s="86"/>
    </row>
    <row r="542" ht="15.75" customHeight="1">
      <c r="B542" s="86"/>
    </row>
    <row r="543" ht="15.75" customHeight="1">
      <c r="B543" s="86"/>
    </row>
    <row r="544" ht="15.75" customHeight="1">
      <c r="B544" s="86"/>
    </row>
    <row r="545" ht="15.75" customHeight="1">
      <c r="B545" s="86"/>
    </row>
    <row r="546" ht="15.75" customHeight="1">
      <c r="B546" s="86"/>
    </row>
    <row r="547" ht="15.75" customHeight="1">
      <c r="B547" s="86"/>
    </row>
    <row r="548" ht="15.75" customHeight="1">
      <c r="B548" s="86"/>
    </row>
    <row r="549" ht="15.75" customHeight="1">
      <c r="B549" s="86"/>
    </row>
    <row r="550" ht="15.75" customHeight="1">
      <c r="B550" s="86"/>
    </row>
    <row r="551" ht="15.75" customHeight="1">
      <c r="B551" s="86"/>
    </row>
    <row r="552" ht="15.75" customHeight="1">
      <c r="B552" s="86"/>
    </row>
    <row r="553" ht="15.75" customHeight="1">
      <c r="B553" s="86"/>
    </row>
    <row r="554" ht="15.75" customHeight="1">
      <c r="B554" s="86"/>
    </row>
    <row r="555" ht="15.75" customHeight="1">
      <c r="B555" s="86"/>
    </row>
    <row r="556" ht="15.75" customHeight="1">
      <c r="B556" s="86"/>
    </row>
    <row r="557" ht="15.75" customHeight="1">
      <c r="B557" s="86"/>
    </row>
    <row r="558" ht="15.75" customHeight="1">
      <c r="B558" s="86"/>
    </row>
    <row r="559" ht="15.75" customHeight="1">
      <c r="B559" s="86"/>
    </row>
    <row r="560" ht="15.75" customHeight="1">
      <c r="B560" s="86"/>
    </row>
    <row r="561" ht="15.75" customHeight="1">
      <c r="B561" s="86"/>
    </row>
    <row r="562" ht="15.75" customHeight="1">
      <c r="B562" s="86"/>
    </row>
    <row r="563" ht="15.75" customHeight="1">
      <c r="B563" s="86"/>
    </row>
    <row r="564" ht="15.75" customHeight="1">
      <c r="B564" s="86"/>
    </row>
    <row r="565" ht="15.75" customHeight="1">
      <c r="B565" s="86"/>
    </row>
    <row r="566" ht="15.75" customHeight="1">
      <c r="B566" s="86"/>
    </row>
    <row r="567" ht="15.75" customHeight="1">
      <c r="B567" s="86"/>
    </row>
    <row r="568" ht="15.75" customHeight="1">
      <c r="B568" s="86"/>
    </row>
    <row r="569" ht="15.75" customHeight="1">
      <c r="B569" s="86"/>
    </row>
    <row r="570" ht="15.75" customHeight="1">
      <c r="B570" s="86"/>
    </row>
    <row r="571" ht="15.75" customHeight="1">
      <c r="B571" s="86"/>
    </row>
    <row r="572" ht="15.75" customHeight="1">
      <c r="B572" s="86"/>
    </row>
    <row r="573" ht="15.75" customHeight="1">
      <c r="B573" s="86"/>
    </row>
    <row r="574" ht="15.75" customHeight="1">
      <c r="B574" s="86"/>
    </row>
    <row r="575" ht="15.75" customHeight="1">
      <c r="B575" s="86"/>
    </row>
    <row r="576" ht="15.75" customHeight="1">
      <c r="B576" s="86"/>
    </row>
    <row r="577" ht="15.75" customHeight="1">
      <c r="B577" s="86"/>
    </row>
    <row r="578" ht="15.75" customHeight="1">
      <c r="B578" s="86"/>
    </row>
    <row r="579" ht="15.75" customHeight="1">
      <c r="B579" s="86"/>
    </row>
    <row r="580" ht="15.75" customHeight="1">
      <c r="B580" s="86"/>
    </row>
    <row r="581" ht="15.75" customHeight="1">
      <c r="B581" s="86"/>
    </row>
    <row r="582" ht="15.75" customHeight="1">
      <c r="B582" s="86"/>
    </row>
    <row r="583" ht="15.75" customHeight="1">
      <c r="B583" s="86"/>
    </row>
    <row r="584" ht="15.75" customHeight="1">
      <c r="B584" s="86"/>
    </row>
    <row r="585" ht="15.75" customHeight="1">
      <c r="B585" s="86"/>
    </row>
    <row r="586" ht="15.75" customHeight="1">
      <c r="B586" s="86"/>
    </row>
    <row r="587" ht="15.75" customHeight="1">
      <c r="B587" s="86"/>
    </row>
    <row r="588" ht="15.75" customHeight="1">
      <c r="B588" s="86"/>
    </row>
    <row r="589" ht="15.75" customHeight="1">
      <c r="B589" s="86"/>
    </row>
    <row r="590" ht="15.75" customHeight="1">
      <c r="B590" s="86"/>
    </row>
    <row r="591" ht="15.75" customHeight="1">
      <c r="B591" s="86"/>
    </row>
    <row r="592" ht="15.75" customHeight="1">
      <c r="B592" s="86"/>
    </row>
    <row r="593" ht="15.75" customHeight="1">
      <c r="B593" s="86"/>
    </row>
    <row r="594" ht="15.75" customHeight="1">
      <c r="B594" s="86"/>
    </row>
    <row r="595" ht="15.75" customHeight="1">
      <c r="B595" s="86"/>
    </row>
    <row r="596" ht="15.75" customHeight="1">
      <c r="B596" s="86"/>
    </row>
    <row r="597" ht="15.75" customHeight="1">
      <c r="B597" s="86"/>
    </row>
    <row r="598" ht="15.75" customHeight="1">
      <c r="B598" s="86"/>
    </row>
    <row r="599" ht="15.75" customHeight="1">
      <c r="B599" s="86"/>
    </row>
    <row r="600" ht="15.75" customHeight="1">
      <c r="B600" s="86"/>
    </row>
    <row r="601" ht="15.75" customHeight="1">
      <c r="B601" s="86"/>
    </row>
    <row r="602" ht="15.75" customHeight="1">
      <c r="B602" s="86"/>
    </row>
    <row r="603" ht="15.75" customHeight="1">
      <c r="B603" s="86"/>
    </row>
    <row r="604" ht="15.75" customHeight="1">
      <c r="B604" s="86"/>
    </row>
    <row r="605" ht="15.75" customHeight="1">
      <c r="B605" s="86"/>
    </row>
    <row r="606" ht="15.75" customHeight="1">
      <c r="B606" s="86"/>
    </row>
    <row r="607" ht="15.75" customHeight="1">
      <c r="B607" s="86"/>
    </row>
    <row r="608" ht="15.75" customHeight="1">
      <c r="B608" s="86"/>
    </row>
    <row r="609" ht="15.75" customHeight="1">
      <c r="B609" s="86"/>
    </row>
    <row r="610" ht="15.75" customHeight="1">
      <c r="B610" s="86"/>
    </row>
    <row r="611" ht="15.75" customHeight="1">
      <c r="B611" s="86"/>
    </row>
    <row r="612" ht="15.75" customHeight="1">
      <c r="B612" s="86"/>
    </row>
    <row r="613" ht="15.75" customHeight="1">
      <c r="B613" s="86"/>
    </row>
    <row r="614" ht="15.75" customHeight="1">
      <c r="B614" s="86"/>
    </row>
    <row r="615" ht="15.75" customHeight="1">
      <c r="B615" s="86"/>
    </row>
    <row r="616" ht="15.75" customHeight="1">
      <c r="B616" s="86"/>
    </row>
    <row r="617" ht="15.75" customHeight="1">
      <c r="B617" s="86"/>
    </row>
    <row r="618" ht="15.75" customHeight="1">
      <c r="B618" s="86"/>
    </row>
    <row r="619" ht="15.75" customHeight="1">
      <c r="B619" s="86"/>
    </row>
    <row r="620" ht="15.75" customHeight="1">
      <c r="B620" s="86"/>
    </row>
    <row r="621" ht="15.75" customHeight="1">
      <c r="B621" s="86"/>
    </row>
    <row r="622" ht="15.75" customHeight="1">
      <c r="B622" s="86"/>
    </row>
    <row r="623" ht="15.75" customHeight="1">
      <c r="B623" s="86"/>
    </row>
    <row r="624" ht="15.75" customHeight="1">
      <c r="B624" s="86"/>
    </row>
    <row r="625" ht="15.75" customHeight="1">
      <c r="B625" s="86"/>
    </row>
    <row r="626" ht="15.75" customHeight="1">
      <c r="B626" s="86"/>
    </row>
    <row r="627" ht="15.75" customHeight="1">
      <c r="B627" s="86"/>
    </row>
    <row r="628" ht="15.75" customHeight="1">
      <c r="B628" s="86"/>
    </row>
    <row r="629" ht="15.75" customHeight="1">
      <c r="B629" s="86"/>
    </row>
    <row r="630" ht="15.75" customHeight="1">
      <c r="B630" s="86"/>
    </row>
    <row r="631" ht="15.75" customHeight="1">
      <c r="B631" s="86"/>
    </row>
    <row r="632" ht="15.75" customHeight="1">
      <c r="B632" s="86"/>
    </row>
    <row r="633" ht="15.75" customHeight="1">
      <c r="B633" s="86"/>
    </row>
    <row r="634" ht="15.75" customHeight="1">
      <c r="B634" s="86"/>
    </row>
    <row r="635" ht="15.75" customHeight="1">
      <c r="B635" s="86"/>
    </row>
    <row r="636" ht="15.75" customHeight="1">
      <c r="B636" s="86"/>
    </row>
    <row r="637" ht="15.75" customHeight="1">
      <c r="B637" s="86"/>
    </row>
    <row r="638" ht="15.75" customHeight="1">
      <c r="B638" s="86"/>
    </row>
    <row r="639" ht="15.75" customHeight="1">
      <c r="B639" s="86"/>
    </row>
    <row r="640" ht="15.75" customHeight="1">
      <c r="B640" s="86"/>
    </row>
    <row r="641" ht="15.75" customHeight="1">
      <c r="B641" s="86"/>
    </row>
    <row r="642" ht="15.75" customHeight="1">
      <c r="B642" s="86"/>
    </row>
    <row r="643" ht="15.75" customHeight="1">
      <c r="B643" s="86"/>
    </row>
    <row r="644" ht="15.75" customHeight="1">
      <c r="B644" s="86"/>
    </row>
    <row r="645" ht="15.75" customHeight="1">
      <c r="B645" s="86"/>
    </row>
    <row r="646" ht="15.75" customHeight="1">
      <c r="B646" s="86"/>
    </row>
    <row r="647" ht="15.75" customHeight="1">
      <c r="B647" s="86"/>
    </row>
    <row r="648" ht="15.75" customHeight="1">
      <c r="B648" s="86"/>
    </row>
    <row r="649" ht="15.75" customHeight="1">
      <c r="B649" s="86"/>
    </row>
    <row r="650" ht="15.75" customHeight="1">
      <c r="B650" s="86"/>
    </row>
    <row r="651" ht="15.75" customHeight="1">
      <c r="B651" s="86"/>
    </row>
    <row r="652" ht="15.75" customHeight="1">
      <c r="B652" s="86"/>
    </row>
    <row r="653" ht="15.75" customHeight="1">
      <c r="B653" s="86"/>
    </row>
    <row r="654" ht="15.75" customHeight="1">
      <c r="B654" s="86"/>
    </row>
    <row r="655" ht="15.75" customHeight="1">
      <c r="B655" s="86"/>
    </row>
    <row r="656" ht="15.75" customHeight="1">
      <c r="B656" s="86"/>
    </row>
    <row r="657" ht="15.75" customHeight="1">
      <c r="B657" s="86"/>
    </row>
    <row r="658" ht="15.75" customHeight="1">
      <c r="B658" s="86"/>
    </row>
    <row r="659" ht="15.75" customHeight="1">
      <c r="B659" s="86"/>
    </row>
    <row r="660" ht="15.75" customHeight="1">
      <c r="B660" s="86"/>
    </row>
    <row r="661" ht="15.75" customHeight="1">
      <c r="B661" s="86"/>
    </row>
    <row r="662" ht="15.75" customHeight="1">
      <c r="B662" s="86"/>
    </row>
    <row r="663" ht="15.75" customHeight="1">
      <c r="B663" s="86"/>
    </row>
    <row r="664" ht="15.75" customHeight="1">
      <c r="B664" s="86"/>
    </row>
    <row r="665" ht="15.75" customHeight="1">
      <c r="B665" s="86"/>
    </row>
    <row r="666" ht="15.75" customHeight="1">
      <c r="B666" s="86"/>
    </row>
    <row r="667" ht="15.75" customHeight="1">
      <c r="B667" s="86"/>
    </row>
    <row r="668" ht="15.75" customHeight="1">
      <c r="B668" s="86"/>
    </row>
    <row r="669" ht="15.75" customHeight="1">
      <c r="B669" s="86"/>
    </row>
    <row r="670" ht="15.75" customHeight="1">
      <c r="B670" s="86"/>
    </row>
    <row r="671" ht="15.75" customHeight="1">
      <c r="B671" s="86"/>
    </row>
    <row r="672" ht="15.75" customHeight="1">
      <c r="B672" s="86"/>
    </row>
    <row r="673" ht="15.75" customHeight="1">
      <c r="B673" s="86"/>
    </row>
    <row r="674" ht="15.75" customHeight="1">
      <c r="B674" s="86"/>
    </row>
    <row r="675" ht="15.75" customHeight="1">
      <c r="B675" s="86"/>
    </row>
    <row r="676" ht="15.75" customHeight="1">
      <c r="B676" s="86"/>
    </row>
    <row r="677" ht="15.75" customHeight="1">
      <c r="B677" s="86"/>
    </row>
    <row r="678" ht="15.75" customHeight="1">
      <c r="B678" s="86"/>
    </row>
    <row r="679" ht="15.75" customHeight="1">
      <c r="B679" s="86"/>
    </row>
    <row r="680" ht="15.75" customHeight="1">
      <c r="B680" s="86"/>
    </row>
    <row r="681" ht="15.75" customHeight="1">
      <c r="B681" s="86"/>
    </row>
    <row r="682" ht="15.75" customHeight="1">
      <c r="B682" s="86"/>
    </row>
    <row r="683" ht="15.75" customHeight="1">
      <c r="B683" s="86"/>
    </row>
    <row r="684" ht="15.75" customHeight="1">
      <c r="B684" s="86"/>
    </row>
    <row r="685" ht="15.75" customHeight="1">
      <c r="B685" s="86"/>
    </row>
    <row r="686" ht="15.75" customHeight="1">
      <c r="B686" s="86"/>
    </row>
    <row r="687" ht="15.75" customHeight="1">
      <c r="B687" s="86"/>
    </row>
    <row r="688" ht="15.75" customHeight="1">
      <c r="B688" s="86"/>
    </row>
    <row r="689" ht="15.75" customHeight="1">
      <c r="B689" s="86"/>
    </row>
    <row r="690" ht="15.75" customHeight="1">
      <c r="B690" s="86"/>
    </row>
    <row r="691" ht="15.75" customHeight="1">
      <c r="B691" s="86"/>
    </row>
    <row r="692" ht="15.75" customHeight="1">
      <c r="B692" s="86"/>
    </row>
    <row r="693" ht="15.75" customHeight="1">
      <c r="B693" s="86"/>
    </row>
    <row r="694" ht="15.75" customHeight="1">
      <c r="B694" s="86"/>
    </row>
    <row r="695" ht="15.75" customHeight="1">
      <c r="B695" s="86"/>
    </row>
    <row r="696" ht="15.75" customHeight="1">
      <c r="B696" s="86"/>
    </row>
    <row r="697" ht="15.75" customHeight="1">
      <c r="B697" s="86"/>
    </row>
    <row r="698" ht="15.75" customHeight="1">
      <c r="B698" s="86"/>
    </row>
    <row r="699" ht="15.75" customHeight="1">
      <c r="B699" s="86"/>
    </row>
    <row r="700" ht="15.75" customHeight="1">
      <c r="B700" s="86"/>
    </row>
    <row r="701" ht="15.75" customHeight="1">
      <c r="B701" s="86"/>
    </row>
    <row r="702" ht="15.75" customHeight="1">
      <c r="B702" s="86"/>
    </row>
    <row r="703" ht="15.75" customHeight="1">
      <c r="B703" s="86"/>
    </row>
    <row r="704" ht="15.75" customHeight="1">
      <c r="B704" s="86"/>
    </row>
    <row r="705" ht="15.75" customHeight="1">
      <c r="B705" s="86"/>
    </row>
    <row r="706" ht="15.75" customHeight="1">
      <c r="B706" s="86"/>
    </row>
    <row r="707" ht="15.75" customHeight="1">
      <c r="B707" s="86"/>
    </row>
    <row r="708" ht="15.75" customHeight="1">
      <c r="B708" s="86"/>
    </row>
    <row r="709" ht="15.75" customHeight="1">
      <c r="B709" s="86"/>
    </row>
    <row r="710" ht="15.75" customHeight="1">
      <c r="B710" s="86"/>
    </row>
    <row r="711" ht="15.75" customHeight="1">
      <c r="B711" s="86"/>
    </row>
    <row r="712" ht="15.75" customHeight="1">
      <c r="B712" s="86"/>
    </row>
    <row r="713" ht="15.75" customHeight="1">
      <c r="B713" s="86"/>
    </row>
    <row r="714" ht="15.75" customHeight="1">
      <c r="B714" s="86"/>
    </row>
    <row r="715" ht="15.75" customHeight="1">
      <c r="B715" s="86"/>
    </row>
    <row r="716" ht="15.75" customHeight="1">
      <c r="B716" s="86"/>
    </row>
    <row r="717" ht="15.75" customHeight="1">
      <c r="B717" s="86"/>
    </row>
    <row r="718" ht="15.75" customHeight="1">
      <c r="B718" s="86"/>
    </row>
    <row r="719" ht="15.75" customHeight="1">
      <c r="B719" s="86"/>
    </row>
    <row r="720" ht="15.75" customHeight="1">
      <c r="B720" s="86"/>
    </row>
    <row r="721" ht="15.75" customHeight="1">
      <c r="B721" s="86"/>
    </row>
    <row r="722" ht="15.75" customHeight="1">
      <c r="B722" s="86"/>
    </row>
    <row r="723" ht="15.75" customHeight="1">
      <c r="B723" s="86"/>
    </row>
    <row r="724" ht="15.75" customHeight="1">
      <c r="B724" s="86"/>
    </row>
    <row r="725" ht="15.75" customHeight="1">
      <c r="B725" s="86"/>
    </row>
    <row r="726" ht="15.75" customHeight="1">
      <c r="B726" s="86"/>
    </row>
    <row r="727" ht="15.75" customHeight="1">
      <c r="B727" s="86"/>
    </row>
    <row r="728" ht="15.75" customHeight="1">
      <c r="B728" s="86"/>
    </row>
    <row r="729" ht="15.75" customHeight="1">
      <c r="B729" s="86"/>
    </row>
    <row r="730" ht="15.75" customHeight="1">
      <c r="B730" s="86"/>
    </row>
    <row r="731" ht="15.75" customHeight="1">
      <c r="B731" s="86"/>
    </row>
    <row r="732" ht="15.75" customHeight="1">
      <c r="B732" s="86"/>
    </row>
    <row r="733" ht="15.75" customHeight="1">
      <c r="B733" s="86"/>
    </row>
    <row r="734" ht="15.75" customHeight="1">
      <c r="B734" s="86"/>
    </row>
    <row r="735" ht="15.75" customHeight="1">
      <c r="B735" s="86"/>
    </row>
    <row r="736" ht="15.75" customHeight="1">
      <c r="B736" s="86"/>
    </row>
    <row r="737" ht="15.75" customHeight="1">
      <c r="B737" s="86"/>
    </row>
    <row r="738" ht="15.75" customHeight="1">
      <c r="B738" s="86"/>
    </row>
    <row r="739" ht="15.75" customHeight="1">
      <c r="B739" s="86"/>
    </row>
    <row r="740" ht="15.75" customHeight="1">
      <c r="B740" s="86"/>
    </row>
    <row r="741" ht="15.75" customHeight="1">
      <c r="B741" s="86"/>
    </row>
    <row r="742" ht="15.75" customHeight="1">
      <c r="B742" s="86"/>
    </row>
    <row r="743" ht="15.75" customHeight="1">
      <c r="B743" s="86"/>
    </row>
    <row r="744" ht="15.75" customHeight="1">
      <c r="B744" s="86"/>
    </row>
    <row r="745" ht="15.75" customHeight="1">
      <c r="B745" s="86"/>
    </row>
    <row r="746" ht="15.75" customHeight="1">
      <c r="B746" s="86"/>
    </row>
    <row r="747" ht="15.75" customHeight="1">
      <c r="B747" s="86"/>
    </row>
    <row r="748" ht="15.75" customHeight="1">
      <c r="B748" s="86"/>
    </row>
    <row r="749" ht="15.75" customHeight="1">
      <c r="B749" s="86"/>
    </row>
    <row r="750" ht="15.75" customHeight="1">
      <c r="B750" s="86"/>
    </row>
    <row r="751" ht="15.75" customHeight="1">
      <c r="B751" s="86"/>
    </row>
    <row r="752" ht="15.75" customHeight="1">
      <c r="B752" s="86"/>
    </row>
    <row r="753" ht="15.75" customHeight="1">
      <c r="B753" s="86"/>
    </row>
    <row r="754" ht="15.75" customHeight="1">
      <c r="B754" s="86"/>
    </row>
    <row r="755" ht="15.75" customHeight="1">
      <c r="B755" s="86"/>
    </row>
    <row r="756" ht="15.75" customHeight="1">
      <c r="B756" s="86"/>
    </row>
    <row r="757" ht="15.75" customHeight="1">
      <c r="B757" s="86"/>
    </row>
    <row r="758" ht="15.75" customHeight="1">
      <c r="B758" s="86"/>
    </row>
    <row r="759" ht="15.75" customHeight="1">
      <c r="B759" s="86"/>
    </row>
    <row r="760" ht="15.75" customHeight="1">
      <c r="B760" s="86"/>
    </row>
    <row r="761" ht="15.75" customHeight="1">
      <c r="B761" s="86"/>
    </row>
    <row r="762" ht="15.75" customHeight="1">
      <c r="B762" s="86"/>
    </row>
    <row r="763" ht="15.75" customHeight="1">
      <c r="B763" s="86"/>
    </row>
    <row r="764" ht="15.75" customHeight="1">
      <c r="B764" s="86"/>
    </row>
    <row r="765" ht="15.75" customHeight="1">
      <c r="B765" s="86"/>
    </row>
    <row r="766" ht="15.75" customHeight="1">
      <c r="B766" s="86"/>
    </row>
    <row r="767" ht="15.75" customHeight="1">
      <c r="B767" s="86"/>
    </row>
    <row r="768" ht="15.75" customHeight="1">
      <c r="B768" s="86"/>
    </row>
    <row r="769" ht="15.75" customHeight="1">
      <c r="B769" s="86"/>
    </row>
    <row r="770" ht="15.75" customHeight="1">
      <c r="B770" s="86"/>
    </row>
    <row r="771" ht="15.75" customHeight="1">
      <c r="B771" s="86"/>
    </row>
    <row r="772" ht="15.75" customHeight="1">
      <c r="B772" s="86"/>
    </row>
    <row r="773" ht="15.75" customHeight="1">
      <c r="B773" s="86"/>
    </row>
    <row r="774" ht="15.75" customHeight="1">
      <c r="B774" s="86"/>
    </row>
    <row r="775" ht="15.75" customHeight="1">
      <c r="B775" s="86"/>
    </row>
    <row r="776" ht="15.75" customHeight="1">
      <c r="B776" s="86"/>
    </row>
    <row r="777" ht="15.75" customHeight="1">
      <c r="B777" s="86"/>
    </row>
    <row r="778" ht="15.75" customHeight="1">
      <c r="B778" s="86"/>
    </row>
    <row r="779" ht="15.75" customHeight="1">
      <c r="B779" s="86"/>
    </row>
    <row r="780" ht="15.75" customHeight="1">
      <c r="B780" s="86"/>
    </row>
    <row r="781" ht="15.75" customHeight="1">
      <c r="B781" s="86"/>
    </row>
    <row r="782" ht="15.75" customHeight="1">
      <c r="B782" s="86"/>
    </row>
    <row r="783" ht="15.75" customHeight="1">
      <c r="B783" s="86"/>
    </row>
    <row r="784" ht="15.75" customHeight="1">
      <c r="B784" s="86"/>
    </row>
    <row r="785" ht="15.75" customHeight="1">
      <c r="B785" s="86"/>
    </row>
    <row r="786" ht="15.75" customHeight="1">
      <c r="B786" s="86"/>
    </row>
    <row r="787" ht="15.75" customHeight="1">
      <c r="B787" s="86"/>
    </row>
    <row r="788" ht="15.75" customHeight="1">
      <c r="B788" s="86"/>
    </row>
    <row r="789" ht="15.75" customHeight="1">
      <c r="B789" s="86"/>
    </row>
    <row r="790" ht="15.75" customHeight="1">
      <c r="B790" s="86"/>
    </row>
    <row r="791" ht="15.75" customHeight="1">
      <c r="B791" s="86"/>
    </row>
    <row r="792" ht="15.75" customHeight="1">
      <c r="B792" s="86"/>
    </row>
    <row r="793" ht="15.75" customHeight="1">
      <c r="B793" s="86"/>
    </row>
    <row r="794" ht="15.75" customHeight="1">
      <c r="B794" s="86"/>
    </row>
    <row r="795" ht="15.75" customHeight="1">
      <c r="B795" s="86"/>
    </row>
    <row r="796" ht="15.75" customHeight="1">
      <c r="B796" s="86"/>
    </row>
    <row r="797" ht="15.75" customHeight="1">
      <c r="B797" s="86"/>
    </row>
    <row r="798" ht="15.75" customHeight="1">
      <c r="B798" s="86"/>
    </row>
    <row r="799" ht="15.75" customHeight="1">
      <c r="B799" s="86"/>
    </row>
    <row r="800" ht="15.75" customHeight="1">
      <c r="B800" s="86"/>
    </row>
    <row r="801" ht="15.75" customHeight="1">
      <c r="B801" s="86"/>
    </row>
    <row r="802" ht="15.75" customHeight="1">
      <c r="B802" s="86"/>
    </row>
    <row r="803" ht="15.75" customHeight="1">
      <c r="B803" s="86"/>
    </row>
    <row r="804" ht="15.75" customHeight="1">
      <c r="B804" s="86"/>
    </row>
    <row r="805" ht="15.75" customHeight="1">
      <c r="B805" s="86"/>
    </row>
    <row r="806" ht="15.75" customHeight="1">
      <c r="B806" s="86"/>
    </row>
    <row r="807" ht="15.75" customHeight="1">
      <c r="B807" s="86"/>
    </row>
    <row r="808" ht="15.75" customHeight="1">
      <c r="B808" s="86"/>
    </row>
    <row r="809" ht="15.75" customHeight="1">
      <c r="B809" s="86"/>
    </row>
    <row r="810" ht="15.75" customHeight="1">
      <c r="B810" s="86"/>
    </row>
    <row r="811" ht="15.75" customHeight="1">
      <c r="B811" s="86"/>
    </row>
    <row r="812" ht="15.75" customHeight="1">
      <c r="B812" s="86"/>
    </row>
    <row r="813" ht="15.75" customHeight="1">
      <c r="B813" s="86"/>
    </row>
    <row r="814" ht="15.75" customHeight="1">
      <c r="B814" s="86"/>
    </row>
    <row r="815" ht="15.75" customHeight="1">
      <c r="B815" s="86"/>
    </row>
    <row r="816" ht="15.75" customHeight="1">
      <c r="B816" s="86"/>
    </row>
    <row r="817" ht="15.75" customHeight="1">
      <c r="B817" s="86"/>
    </row>
    <row r="818" ht="15.75" customHeight="1">
      <c r="B818" s="86"/>
    </row>
    <row r="819" ht="15.75" customHeight="1">
      <c r="B819" s="86"/>
    </row>
    <row r="820" ht="15.75" customHeight="1">
      <c r="B820" s="86"/>
    </row>
    <row r="821" ht="15.75" customHeight="1">
      <c r="B821" s="86"/>
    </row>
    <row r="822" ht="15.75" customHeight="1">
      <c r="B822" s="86"/>
    </row>
    <row r="823" ht="15.75" customHeight="1">
      <c r="B823" s="86"/>
    </row>
    <row r="824" ht="15.75" customHeight="1">
      <c r="B824" s="86"/>
    </row>
    <row r="825" ht="15.75" customHeight="1">
      <c r="B825" s="86"/>
    </row>
    <row r="826" ht="15.75" customHeight="1">
      <c r="B826" s="86"/>
    </row>
    <row r="827" ht="15.75" customHeight="1">
      <c r="B827" s="86"/>
    </row>
    <row r="828" ht="15.75" customHeight="1">
      <c r="B828" s="86"/>
    </row>
    <row r="829" ht="15.75" customHeight="1">
      <c r="B829" s="86"/>
    </row>
    <row r="830" ht="15.75" customHeight="1">
      <c r="B830" s="86"/>
    </row>
    <row r="831" ht="15.75" customHeight="1">
      <c r="B831" s="86"/>
    </row>
    <row r="832" ht="15.75" customHeight="1">
      <c r="B832" s="86"/>
    </row>
    <row r="833" ht="15.75" customHeight="1">
      <c r="B833" s="86"/>
    </row>
    <row r="834" ht="15.75" customHeight="1">
      <c r="B834" s="86"/>
    </row>
    <row r="835" ht="15.75" customHeight="1">
      <c r="B835" s="86"/>
    </row>
    <row r="836" ht="15.75" customHeight="1">
      <c r="B836" s="86"/>
    </row>
    <row r="837" ht="15.75" customHeight="1">
      <c r="B837" s="86"/>
    </row>
    <row r="838" ht="15.75" customHeight="1">
      <c r="B838" s="86"/>
    </row>
    <row r="839" ht="15.75" customHeight="1">
      <c r="B839" s="86"/>
    </row>
    <row r="840" ht="15.75" customHeight="1">
      <c r="B840" s="86"/>
    </row>
    <row r="841" ht="15.75" customHeight="1">
      <c r="B841" s="86"/>
    </row>
    <row r="842" ht="15.75" customHeight="1">
      <c r="B842" s="86"/>
    </row>
    <row r="843" ht="15.75" customHeight="1">
      <c r="B843" s="86"/>
    </row>
    <row r="844" ht="15.75" customHeight="1">
      <c r="B844" s="86"/>
    </row>
    <row r="845" ht="15.75" customHeight="1">
      <c r="B845" s="86"/>
    </row>
    <row r="846" ht="15.75" customHeight="1">
      <c r="B846" s="86"/>
    </row>
    <row r="847" ht="15.75" customHeight="1">
      <c r="B847" s="86"/>
    </row>
    <row r="848" ht="15.75" customHeight="1">
      <c r="B848" s="86"/>
    </row>
    <row r="849" ht="15.75" customHeight="1">
      <c r="B849" s="86"/>
    </row>
    <row r="850" ht="15.75" customHeight="1">
      <c r="B850" s="86"/>
    </row>
    <row r="851" ht="15.75" customHeight="1">
      <c r="B851" s="86"/>
    </row>
    <row r="852" ht="15.75" customHeight="1">
      <c r="B852" s="86"/>
    </row>
    <row r="853" ht="15.75" customHeight="1">
      <c r="B853" s="86"/>
    </row>
    <row r="854" ht="15.75" customHeight="1">
      <c r="B854" s="86"/>
    </row>
    <row r="855" ht="15.75" customHeight="1">
      <c r="B855" s="86"/>
    </row>
    <row r="856" ht="15.75" customHeight="1">
      <c r="B856" s="86"/>
    </row>
    <row r="857" ht="15.75" customHeight="1">
      <c r="B857" s="86"/>
    </row>
    <row r="858" ht="15.75" customHeight="1">
      <c r="B858" s="86"/>
    </row>
    <row r="859" ht="15.75" customHeight="1">
      <c r="B859" s="86"/>
    </row>
    <row r="860" ht="15.75" customHeight="1">
      <c r="B860" s="86"/>
    </row>
    <row r="861" ht="15.75" customHeight="1">
      <c r="B861" s="86"/>
    </row>
    <row r="862" ht="15.75" customHeight="1">
      <c r="B862" s="86"/>
    </row>
    <row r="863" ht="15.75" customHeight="1">
      <c r="B863" s="86"/>
    </row>
    <row r="864" ht="15.75" customHeight="1">
      <c r="B864" s="86"/>
    </row>
    <row r="865" ht="15.75" customHeight="1">
      <c r="B865" s="86"/>
    </row>
    <row r="866" ht="15.75" customHeight="1">
      <c r="B866" s="86"/>
    </row>
    <row r="867" ht="15.75" customHeight="1">
      <c r="B867" s="86"/>
    </row>
    <row r="868" ht="15.75" customHeight="1">
      <c r="B868" s="86"/>
    </row>
    <row r="869" ht="15.75" customHeight="1">
      <c r="B869" s="86"/>
    </row>
    <row r="870" ht="15.75" customHeight="1">
      <c r="B870" s="86"/>
    </row>
    <row r="871" ht="15.75" customHeight="1">
      <c r="B871" s="86"/>
    </row>
    <row r="872" ht="15.75" customHeight="1">
      <c r="B872" s="86"/>
    </row>
    <row r="873" ht="15.75" customHeight="1">
      <c r="B873" s="86"/>
    </row>
    <row r="874" ht="15.75" customHeight="1">
      <c r="B874" s="86"/>
    </row>
    <row r="875" ht="15.75" customHeight="1">
      <c r="B875" s="86"/>
    </row>
    <row r="876" ht="15.75" customHeight="1">
      <c r="B876" s="86"/>
    </row>
    <row r="877" ht="15.75" customHeight="1">
      <c r="B877" s="86"/>
    </row>
    <row r="878" ht="15.75" customHeight="1">
      <c r="B878" s="86"/>
    </row>
    <row r="879" ht="15.75" customHeight="1">
      <c r="B879" s="86"/>
    </row>
    <row r="880" ht="15.75" customHeight="1">
      <c r="B880" s="86"/>
    </row>
    <row r="881" ht="15.75" customHeight="1">
      <c r="B881" s="86"/>
    </row>
    <row r="882" ht="15.75" customHeight="1">
      <c r="B882" s="86"/>
    </row>
    <row r="883" ht="15.75" customHeight="1">
      <c r="B883" s="86"/>
    </row>
    <row r="884" ht="15.75" customHeight="1">
      <c r="B884" s="86"/>
    </row>
    <row r="885" ht="15.75" customHeight="1">
      <c r="B885" s="86"/>
    </row>
    <row r="886" ht="15.75" customHeight="1">
      <c r="B886" s="86"/>
    </row>
    <row r="887" ht="15.75" customHeight="1">
      <c r="B887" s="86"/>
    </row>
    <row r="888" ht="15.75" customHeight="1">
      <c r="B888" s="86"/>
    </row>
    <row r="889" ht="15.75" customHeight="1">
      <c r="B889" s="86"/>
    </row>
    <row r="890" ht="15.75" customHeight="1">
      <c r="B890" s="86"/>
    </row>
    <row r="891" ht="15.75" customHeight="1">
      <c r="B891" s="86"/>
    </row>
    <row r="892" ht="15.75" customHeight="1">
      <c r="B892" s="86"/>
    </row>
    <row r="893" ht="15.75" customHeight="1">
      <c r="B893" s="86"/>
    </row>
    <row r="894" ht="15.75" customHeight="1">
      <c r="B894" s="86"/>
    </row>
    <row r="895" ht="15.75" customHeight="1">
      <c r="B895" s="86"/>
    </row>
    <row r="896" ht="15.75" customHeight="1">
      <c r="B896" s="86"/>
    </row>
    <row r="897" ht="15.75" customHeight="1">
      <c r="B897" s="86"/>
    </row>
    <row r="898" ht="15.75" customHeight="1">
      <c r="B898" s="86"/>
    </row>
    <row r="899" ht="15.75" customHeight="1">
      <c r="B899" s="86"/>
    </row>
    <row r="900" ht="15.75" customHeight="1">
      <c r="B900" s="86"/>
    </row>
    <row r="901" ht="15.75" customHeight="1">
      <c r="B901" s="86"/>
    </row>
    <row r="902" ht="15.75" customHeight="1">
      <c r="B902" s="86"/>
    </row>
    <row r="903" ht="15.75" customHeight="1">
      <c r="B903" s="86"/>
    </row>
    <row r="904" ht="15.75" customHeight="1">
      <c r="B904" s="86"/>
    </row>
    <row r="905" ht="15.75" customHeight="1">
      <c r="B905" s="86"/>
    </row>
    <row r="906" ht="15.75" customHeight="1">
      <c r="B906" s="86"/>
    </row>
    <row r="907" ht="15.75" customHeight="1">
      <c r="B907" s="86"/>
    </row>
    <row r="908" ht="15.75" customHeight="1">
      <c r="B908" s="86"/>
    </row>
    <row r="909" ht="15.75" customHeight="1">
      <c r="B909" s="86"/>
    </row>
    <row r="910" ht="15.75" customHeight="1">
      <c r="B910" s="86"/>
    </row>
    <row r="911" ht="15.75" customHeight="1">
      <c r="B911" s="86"/>
    </row>
    <row r="912" ht="15.75" customHeight="1">
      <c r="B912" s="86"/>
    </row>
    <row r="913" ht="15.75" customHeight="1">
      <c r="B913" s="86"/>
    </row>
    <row r="914" ht="15.75" customHeight="1">
      <c r="B914" s="86"/>
    </row>
    <row r="915" ht="15.75" customHeight="1">
      <c r="B915" s="86"/>
    </row>
    <row r="916" ht="15.75" customHeight="1">
      <c r="B916" s="86"/>
    </row>
    <row r="917" ht="15.75" customHeight="1">
      <c r="B917" s="86"/>
    </row>
    <row r="918" ht="15.75" customHeight="1">
      <c r="B918" s="86"/>
    </row>
    <row r="919" ht="15.75" customHeight="1">
      <c r="B919" s="86"/>
    </row>
    <row r="920" ht="15.75" customHeight="1">
      <c r="B920" s="86"/>
    </row>
    <row r="921" ht="15.75" customHeight="1">
      <c r="B921" s="86"/>
    </row>
    <row r="922" ht="15.75" customHeight="1">
      <c r="B922" s="86"/>
    </row>
    <row r="923" ht="15.75" customHeight="1">
      <c r="B923" s="86"/>
    </row>
    <row r="924" ht="15.75" customHeight="1">
      <c r="B924" s="86"/>
    </row>
    <row r="925" ht="15.75" customHeight="1">
      <c r="B925" s="86"/>
    </row>
    <row r="926" ht="15.75" customHeight="1">
      <c r="B926" s="86"/>
    </row>
    <row r="927" ht="15.75" customHeight="1">
      <c r="B927" s="86"/>
    </row>
    <row r="928" ht="15.75" customHeight="1">
      <c r="B928" s="86"/>
    </row>
    <row r="929" ht="15.75" customHeight="1">
      <c r="B929" s="86"/>
    </row>
    <row r="930" ht="15.75" customHeight="1">
      <c r="B930" s="86"/>
    </row>
    <row r="931" ht="15.75" customHeight="1">
      <c r="B931" s="86"/>
    </row>
    <row r="932" ht="15.75" customHeight="1">
      <c r="B932" s="86"/>
    </row>
    <row r="933" ht="15.75" customHeight="1">
      <c r="B933" s="86"/>
    </row>
    <row r="934" ht="15.75" customHeight="1">
      <c r="B934" s="86"/>
    </row>
    <row r="935" ht="15.75" customHeight="1">
      <c r="B935" s="86"/>
    </row>
    <row r="936" ht="15.75" customHeight="1">
      <c r="B936" s="86"/>
    </row>
    <row r="937" ht="15.75" customHeight="1">
      <c r="B937" s="86"/>
    </row>
    <row r="938" ht="15.75" customHeight="1">
      <c r="B938" s="86"/>
    </row>
    <row r="939" ht="15.75" customHeight="1">
      <c r="B939" s="86"/>
    </row>
    <row r="940" ht="15.75" customHeight="1">
      <c r="B940" s="86"/>
    </row>
    <row r="941" ht="15.75" customHeight="1">
      <c r="B941" s="86"/>
    </row>
    <row r="942" ht="15.75" customHeight="1">
      <c r="B942" s="86"/>
    </row>
    <row r="943" ht="15.75" customHeight="1">
      <c r="B943" s="86"/>
    </row>
    <row r="944" ht="15.75" customHeight="1">
      <c r="B944" s="86"/>
    </row>
    <row r="945" ht="15.75" customHeight="1">
      <c r="B945" s="86"/>
    </row>
    <row r="946" ht="15.75" customHeight="1">
      <c r="B946" s="86"/>
    </row>
    <row r="947" ht="15.75" customHeight="1">
      <c r="B947" s="86"/>
    </row>
    <row r="948" ht="15.75" customHeight="1">
      <c r="B948" s="86"/>
    </row>
    <row r="949" ht="15.75" customHeight="1">
      <c r="B949" s="86"/>
    </row>
    <row r="950" ht="15.75" customHeight="1">
      <c r="B950" s="86"/>
    </row>
    <row r="951" ht="15.75" customHeight="1">
      <c r="B951" s="86"/>
    </row>
    <row r="952" ht="15.75" customHeight="1">
      <c r="B952" s="86"/>
    </row>
    <row r="953" ht="15.75" customHeight="1">
      <c r="B953" s="86"/>
    </row>
    <row r="954" ht="15.75" customHeight="1">
      <c r="B954" s="86"/>
    </row>
    <row r="955" ht="15.75" customHeight="1">
      <c r="B955" s="86"/>
    </row>
    <row r="956" ht="15.75" customHeight="1">
      <c r="B956" s="86"/>
    </row>
    <row r="957" ht="15.75" customHeight="1">
      <c r="B957" s="86"/>
    </row>
    <row r="958" ht="15.75" customHeight="1">
      <c r="B958" s="86"/>
    </row>
    <row r="959" ht="15.75" customHeight="1">
      <c r="B959" s="86"/>
    </row>
    <row r="960" ht="15.75" customHeight="1">
      <c r="B960" s="86"/>
    </row>
    <row r="961" ht="15.75" customHeight="1">
      <c r="B961" s="86"/>
    </row>
    <row r="962" ht="15.75" customHeight="1">
      <c r="B962" s="86"/>
    </row>
    <row r="963" ht="15.75" customHeight="1">
      <c r="B963" s="86"/>
    </row>
    <row r="964" ht="15.75" customHeight="1">
      <c r="B964" s="86"/>
    </row>
    <row r="965" ht="15.75" customHeight="1">
      <c r="B965" s="86"/>
    </row>
    <row r="966" ht="15.75" customHeight="1">
      <c r="B966" s="86"/>
    </row>
    <row r="967" ht="15.75" customHeight="1">
      <c r="B967" s="86"/>
    </row>
    <row r="968" ht="15.75" customHeight="1">
      <c r="B968" s="86"/>
    </row>
    <row r="969" ht="15.75" customHeight="1">
      <c r="B969" s="86"/>
    </row>
    <row r="970" ht="15.75" customHeight="1">
      <c r="B970" s="86"/>
    </row>
    <row r="971" ht="15.75" customHeight="1">
      <c r="B971" s="86"/>
    </row>
    <row r="972" ht="15.75" customHeight="1">
      <c r="B972" s="86"/>
    </row>
    <row r="973" ht="15.75" customHeight="1">
      <c r="B973" s="86"/>
    </row>
    <row r="974" ht="15.75" customHeight="1">
      <c r="B974" s="86"/>
    </row>
    <row r="975" ht="15.75" customHeight="1">
      <c r="B975" s="86"/>
    </row>
    <row r="976" ht="15.75" customHeight="1">
      <c r="B976" s="86"/>
    </row>
    <row r="977" ht="15.75" customHeight="1">
      <c r="B977" s="86"/>
    </row>
    <row r="978" ht="15.75" customHeight="1">
      <c r="B978" s="86"/>
    </row>
    <row r="979" ht="15.75" customHeight="1">
      <c r="B979" s="86"/>
    </row>
    <row r="980" ht="15.75" customHeight="1">
      <c r="B980" s="86"/>
    </row>
    <row r="981" ht="15.75" customHeight="1">
      <c r="B981" s="86"/>
    </row>
    <row r="982" ht="15.75" customHeight="1">
      <c r="B982" s="86"/>
    </row>
    <row r="983" ht="15.75" customHeight="1">
      <c r="B983" s="86"/>
    </row>
    <row r="984" ht="15.75" customHeight="1">
      <c r="B984" s="86"/>
    </row>
    <row r="985" ht="15.75" customHeight="1">
      <c r="B985" s="86"/>
    </row>
    <row r="986" ht="15.75" customHeight="1">
      <c r="B986" s="86"/>
    </row>
    <row r="987" ht="15.75" customHeight="1">
      <c r="B987" s="86"/>
    </row>
    <row r="988" ht="15.75" customHeight="1">
      <c r="B988" s="86"/>
    </row>
    <row r="989" ht="15.75" customHeight="1">
      <c r="B989" s="86"/>
    </row>
    <row r="990" ht="15.75" customHeight="1">
      <c r="B990" s="86"/>
    </row>
    <row r="991" ht="15.75" customHeight="1">
      <c r="B991" s="86"/>
    </row>
    <row r="992" ht="15.75" customHeight="1">
      <c r="B992" s="86"/>
    </row>
    <row r="993" ht="15.75" customHeight="1">
      <c r="B993" s="86"/>
    </row>
    <row r="994" ht="15.75" customHeight="1">
      <c r="B994" s="86"/>
    </row>
    <row r="995" ht="15.75" customHeight="1">
      <c r="B995" s="86"/>
    </row>
    <row r="996" ht="15.75" customHeight="1">
      <c r="B996" s="86"/>
    </row>
    <row r="997" ht="15.75" customHeight="1">
      <c r="B997" s="86"/>
    </row>
    <row r="998" ht="15.75" customHeight="1">
      <c r="B998" s="86"/>
    </row>
    <row r="999" ht="15.75" customHeight="1">
      <c r="B999" s="86"/>
    </row>
    <row r="1000" ht="15.75" customHeight="1">
      <c r="B1000" s="86"/>
    </row>
    <row r="1001" ht="15.75" customHeight="1">
      <c r="B1001" s="86"/>
    </row>
    <row r="1002" ht="15.75" customHeight="1">
      <c r="B1002" s="86"/>
    </row>
    <row r="1003" ht="15.75" customHeight="1">
      <c r="B1003" s="86"/>
    </row>
    <row r="1004" ht="15.75" customHeight="1">
      <c r="B1004" s="86"/>
    </row>
  </sheetData>
  <dataValidations>
    <dataValidation type="list" allowBlank="1" showErrorMessage="1" sqref="B5:B1004">
      <formula1>"Rent,Utilities,Transport/Delivery,Bank/Mobile Transfer Fee,Salaries,Marketing,Maintenance,Packaging,Repairs,Other"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71"/>
    <col customWidth="1" min="2" max="2" width="24.14"/>
    <col customWidth="1" min="3" max="3" width="29.71"/>
    <col customWidth="1" min="4" max="4" width="28.14"/>
    <col customWidth="1" min="5" max="5" width="87.14"/>
    <col customWidth="1" min="6" max="6" width="16.71"/>
    <col customWidth="1" min="7" max="7" width="10.29"/>
    <col customWidth="1" min="8" max="8" width="16.71"/>
    <col customWidth="1" min="9" max="9" width="18.57"/>
    <col customWidth="1" min="10" max="10" width="31.0"/>
    <col customWidth="1" min="11" max="11" width="24.14"/>
  </cols>
  <sheetData>
    <row r="1" ht="14.25" customHeight="1">
      <c r="A1" s="11" t="s">
        <v>19</v>
      </c>
      <c r="B1" s="11"/>
    </row>
    <row r="2" ht="14.25" customHeight="1">
      <c r="A2" s="2" t="s">
        <v>22</v>
      </c>
      <c r="B2" s="2"/>
    </row>
    <row r="3" ht="14.25" customHeight="1">
      <c r="A3" s="14" t="s">
        <v>25</v>
      </c>
      <c r="B3" s="15"/>
      <c r="C3" s="15"/>
      <c r="D3" s="15"/>
      <c r="E3" s="15"/>
      <c r="F3" s="15"/>
      <c r="G3" s="15">
        <f>SUM(Purchases!$G$5:$G$1004)</f>
        <v>3031</v>
      </c>
      <c r="H3" s="15"/>
      <c r="I3" s="18">
        <f>SUM(Purchases!$I$5:$I$1004)</f>
        <v>370966.5496</v>
      </c>
      <c r="J3" s="15"/>
      <c r="K3" s="15">
        <f>SUM(Purchases!$K$5:$K$1004)</f>
        <v>3031</v>
      </c>
    </row>
    <row r="4" ht="14.25" customHeight="1">
      <c r="A4" s="23" t="s">
        <v>36</v>
      </c>
      <c r="B4" s="23" t="s">
        <v>43</v>
      </c>
      <c r="C4" s="23" t="s">
        <v>52</v>
      </c>
      <c r="D4" s="23" t="s">
        <v>56</v>
      </c>
      <c r="E4" s="23" t="s">
        <v>58</v>
      </c>
      <c r="F4" s="23" t="s">
        <v>42</v>
      </c>
      <c r="G4" s="23" t="s">
        <v>59</v>
      </c>
      <c r="H4" s="23" t="s">
        <v>61</v>
      </c>
      <c r="I4" s="23" t="s">
        <v>67</v>
      </c>
      <c r="J4" s="23" t="s">
        <v>69</v>
      </c>
      <c r="K4" s="23" t="s">
        <v>71</v>
      </c>
      <c r="L4" s="23" t="s">
        <v>73</v>
      </c>
    </row>
    <row r="5" ht="14.25" customHeight="1">
      <c r="A5" s="38">
        <v>46137.0</v>
      </c>
      <c r="B5" s="38" t="s">
        <v>77</v>
      </c>
      <c r="C5" s="29" t="s">
        <v>79</v>
      </c>
      <c r="D5" s="29" t="s">
        <v>80</v>
      </c>
      <c r="E5" s="29" t="s">
        <v>82</v>
      </c>
      <c r="F5" s="29" t="s">
        <v>84</v>
      </c>
      <c r="G5" s="29">
        <v>1.0</v>
      </c>
      <c r="H5" s="30">
        <v>190.0</v>
      </c>
      <c r="I5" s="44">
        <f t="shared" ref="I5:I1004" si="1">IF($B5="Return to Supplier",-G5*H5,G5*H5)</f>
        <v>190</v>
      </c>
      <c r="J5" s="46" t="b">
        <v>1</v>
      </c>
      <c r="K5" s="48">
        <f t="shared" ref="K5:K1004" si="2">IF($B5="Return to Supplier",-G5,G5)</f>
        <v>1</v>
      </c>
      <c r="L5" s="49">
        <f t="shared" ref="L5:L1004" si="3">IF($D5="","",IF(COUNTIF($D$5:$D5,$D5)=1,MAX($L$4:L4)+1,""))</f>
        <v>1</v>
      </c>
    </row>
    <row r="6" ht="14.25" customHeight="1">
      <c r="A6" s="38">
        <v>46137.0</v>
      </c>
      <c r="B6" s="38" t="s">
        <v>77</v>
      </c>
      <c r="C6" s="29" t="s">
        <v>79</v>
      </c>
      <c r="D6" s="29" t="s">
        <v>92</v>
      </c>
      <c r="E6" s="29" t="s">
        <v>93</v>
      </c>
      <c r="F6" s="29" t="s">
        <v>84</v>
      </c>
      <c r="G6" s="29">
        <v>1.0</v>
      </c>
      <c r="H6" s="30">
        <v>95.0</v>
      </c>
      <c r="I6" s="44">
        <f t="shared" si="1"/>
        <v>95</v>
      </c>
      <c r="J6" s="46" t="b">
        <v>1</v>
      </c>
      <c r="K6" s="48">
        <f t="shared" si="2"/>
        <v>1</v>
      </c>
      <c r="L6" s="49">
        <f t="shared" si="3"/>
        <v>2</v>
      </c>
    </row>
    <row r="7" ht="14.25" customHeight="1">
      <c r="A7" s="38">
        <v>46181.0</v>
      </c>
      <c r="B7" s="38" t="s">
        <v>77</v>
      </c>
      <c r="C7" s="29" t="s">
        <v>79</v>
      </c>
      <c r="D7" s="29" t="s">
        <v>98</v>
      </c>
      <c r="E7" s="29" t="s">
        <v>99</v>
      </c>
      <c r="F7" s="29" t="s">
        <v>84</v>
      </c>
      <c r="G7" s="29">
        <v>8.0</v>
      </c>
      <c r="H7" s="30">
        <v>27.0</v>
      </c>
      <c r="I7" s="44">
        <f t="shared" si="1"/>
        <v>216</v>
      </c>
      <c r="J7" s="46" t="b">
        <v>1</v>
      </c>
      <c r="K7" s="48">
        <f t="shared" si="2"/>
        <v>8</v>
      </c>
      <c r="L7" s="49">
        <f t="shared" si="3"/>
        <v>3</v>
      </c>
    </row>
    <row r="8" ht="14.25" customHeight="1">
      <c r="A8" s="38">
        <v>46190.0</v>
      </c>
      <c r="B8" s="38" t="s">
        <v>77</v>
      </c>
      <c r="C8" s="29" t="s">
        <v>79</v>
      </c>
      <c r="D8" s="29" t="s">
        <v>104</v>
      </c>
      <c r="E8" s="29" t="s">
        <v>105</v>
      </c>
      <c r="F8" s="29" t="s">
        <v>106</v>
      </c>
      <c r="G8" s="29">
        <v>10.0</v>
      </c>
      <c r="H8" s="30">
        <v>66.0</v>
      </c>
      <c r="I8" s="44">
        <f t="shared" si="1"/>
        <v>660</v>
      </c>
      <c r="J8" s="46" t="b">
        <v>1</v>
      </c>
      <c r="K8" s="48">
        <f t="shared" si="2"/>
        <v>10</v>
      </c>
      <c r="L8" s="49">
        <f t="shared" si="3"/>
        <v>4</v>
      </c>
    </row>
    <row r="9" ht="14.25" customHeight="1">
      <c r="A9" s="38">
        <v>46190.0</v>
      </c>
      <c r="B9" s="38" t="s">
        <v>77</v>
      </c>
      <c r="C9" s="29" t="s">
        <v>108</v>
      </c>
      <c r="D9" s="29" t="s">
        <v>109</v>
      </c>
      <c r="E9" s="29" t="s">
        <v>110</v>
      </c>
      <c r="F9" s="29" t="s">
        <v>84</v>
      </c>
      <c r="G9" s="29">
        <v>3.0</v>
      </c>
      <c r="H9" s="30">
        <v>140.0</v>
      </c>
      <c r="I9" s="50">
        <f t="shared" si="1"/>
        <v>420</v>
      </c>
      <c r="J9" s="46" t="b">
        <v>1</v>
      </c>
      <c r="K9" s="48">
        <f t="shared" si="2"/>
        <v>3</v>
      </c>
      <c r="L9" s="49">
        <f t="shared" si="3"/>
        <v>5</v>
      </c>
    </row>
    <row r="10" ht="14.25" customHeight="1">
      <c r="A10" s="38">
        <v>46190.0</v>
      </c>
      <c r="B10" s="38" t="s">
        <v>77</v>
      </c>
      <c r="C10" s="29" t="s">
        <v>108</v>
      </c>
      <c r="D10" s="29" t="s">
        <v>115</v>
      </c>
      <c r="E10" s="29" t="s">
        <v>116</v>
      </c>
      <c r="F10" s="29" t="s">
        <v>84</v>
      </c>
      <c r="G10" s="29">
        <v>1.0</v>
      </c>
      <c r="H10" s="30">
        <v>140.0</v>
      </c>
      <c r="I10" s="44">
        <f t="shared" si="1"/>
        <v>140</v>
      </c>
      <c r="J10" s="46" t="b">
        <v>1</v>
      </c>
      <c r="K10" s="48">
        <f t="shared" si="2"/>
        <v>1</v>
      </c>
      <c r="L10" s="49">
        <f t="shared" si="3"/>
        <v>6</v>
      </c>
    </row>
    <row r="11" ht="14.25" customHeight="1">
      <c r="A11" s="38">
        <v>46190.0</v>
      </c>
      <c r="B11" s="38" t="s">
        <v>77</v>
      </c>
      <c r="C11" s="29" t="s">
        <v>108</v>
      </c>
      <c r="D11" s="29" t="s">
        <v>120</v>
      </c>
      <c r="E11" s="29" t="s">
        <v>121</v>
      </c>
      <c r="F11" s="29" t="s">
        <v>84</v>
      </c>
      <c r="G11" s="36">
        <v>2.0</v>
      </c>
      <c r="H11" s="52">
        <v>140.0</v>
      </c>
      <c r="I11" s="44">
        <f t="shared" si="1"/>
        <v>280</v>
      </c>
      <c r="J11" s="46" t="b">
        <v>1</v>
      </c>
      <c r="K11" s="48">
        <f t="shared" si="2"/>
        <v>2</v>
      </c>
      <c r="L11" s="49">
        <f t="shared" si="3"/>
        <v>7</v>
      </c>
    </row>
    <row r="12" ht="14.25" customHeight="1">
      <c r="A12" s="38">
        <v>46190.0</v>
      </c>
      <c r="B12" s="38" t="s">
        <v>77</v>
      </c>
      <c r="C12" s="29" t="s">
        <v>108</v>
      </c>
      <c r="D12" s="29" t="s">
        <v>128</v>
      </c>
      <c r="E12" s="29" t="s">
        <v>129</v>
      </c>
      <c r="F12" s="29" t="s">
        <v>84</v>
      </c>
      <c r="G12" s="29">
        <v>3.0</v>
      </c>
      <c r="H12" s="30">
        <v>140.0</v>
      </c>
      <c r="I12" s="44">
        <f t="shared" si="1"/>
        <v>420</v>
      </c>
      <c r="J12" s="46" t="b">
        <v>1</v>
      </c>
      <c r="K12" s="48">
        <f t="shared" si="2"/>
        <v>3</v>
      </c>
      <c r="L12" s="49">
        <f t="shared" si="3"/>
        <v>8</v>
      </c>
    </row>
    <row r="13" ht="14.25" customHeight="1">
      <c r="A13" s="38">
        <v>46190.0</v>
      </c>
      <c r="B13" s="38" t="s">
        <v>77</v>
      </c>
      <c r="C13" s="29" t="s">
        <v>108</v>
      </c>
      <c r="D13" s="29" t="s">
        <v>132</v>
      </c>
      <c r="E13" s="29" t="s">
        <v>133</v>
      </c>
      <c r="F13" s="29" t="s">
        <v>84</v>
      </c>
      <c r="G13" s="29">
        <v>0.0</v>
      </c>
      <c r="H13" s="30">
        <v>240.0</v>
      </c>
      <c r="I13" s="44">
        <f t="shared" si="1"/>
        <v>0</v>
      </c>
      <c r="J13" s="46" t="b">
        <v>1</v>
      </c>
      <c r="K13" s="48">
        <f t="shared" si="2"/>
        <v>0</v>
      </c>
      <c r="L13" s="49">
        <f t="shared" si="3"/>
        <v>9</v>
      </c>
    </row>
    <row r="14" ht="14.25" customHeight="1">
      <c r="A14" s="38">
        <v>46190.0</v>
      </c>
      <c r="B14" s="38" t="s">
        <v>77</v>
      </c>
      <c r="C14" s="29" t="s">
        <v>108</v>
      </c>
      <c r="D14" s="29" t="s">
        <v>134</v>
      </c>
      <c r="E14" s="29" t="s">
        <v>136</v>
      </c>
      <c r="F14" s="29" t="s">
        <v>84</v>
      </c>
      <c r="G14" s="29">
        <v>1.0</v>
      </c>
      <c r="H14" s="30">
        <v>290.0</v>
      </c>
      <c r="I14" s="44">
        <f t="shared" si="1"/>
        <v>290</v>
      </c>
      <c r="J14" s="46" t="b">
        <v>1</v>
      </c>
      <c r="K14" s="48">
        <f t="shared" si="2"/>
        <v>1</v>
      </c>
      <c r="L14" s="49">
        <f t="shared" si="3"/>
        <v>10</v>
      </c>
    </row>
    <row r="15" ht="14.25" customHeight="1">
      <c r="A15" s="38">
        <v>46190.0</v>
      </c>
      <c r="B15" s="38" t="s">
        <v>77</v>
      </c>
      <c r="C15" s="29" t="s">
        <v>108</v>
      </c>
      <c r="D15" s="29" t="s">
        <v>143</v>
      </c>
      <c r="E15" s="29" t="s">
        <v>146</v>
      </c>
      <c r="F15" s="29" t="s">
        <v>84</v>
      </c>
      <c r="G15" s="29">
        <v>1.0</v>
      </c>
      <c r="H15" s="30">
        <v>400.0</v>
      </c>
      <c r="I15" s="44">
        <f t="shared" si="1"/>
        <v>400</v>
      </c>
      <c r="J15" s="46" t="b">
        <v>1</v>
      </c>
      <c r="K15" s="48">
        <f t="shared" si="2"/>
        <v>1</v>
      </c>
      <c r="L15" s="49">
        <f t="shared" si="3"/>
        <v>11</v>
      </c>
    </row>
    <row r="16" ht="14.25" customHeight="1">
      <c r="A16" s="38">
        <v>46191.0</v>
      </c>
      <c r="B16" s="38" t="s">
        <v>77</v>
      </c>
      <c r="C16" s="29" t="s">
        <v>108</v>
      </c>
      <c r="D16" s="29" t="s">
        <v>159</v>
      </c>
      <c r="E16" s="29" t="s">
        <v>160</v>
      </c>
      <c r="F16" s="29" t="s">
        <v>84</v>
      </c>
      <c r="G16" s="29">
        <v>1.0</v>
      </c>
      <c r="H16" s="30">
        <v>300.0</v>
      </c>
      <c r="I16" s="44">
        <f t="shared" si="1"/>
        <v>300</v>
      </c>
      <c r="J16" s="46" t="b">
        <v>1</v>
      </c>
      <c r="K16" s="48">
        <f t="shared" si="2"/>
        <v>1</v>
      </c>
      <c r="L16" s="49">
        <f t="shared" si="3"/>
        <v>12</v>
      </c>
    </row>
    <row r="17" ht="14.25" customHeight="1">
      <c r="A17" s="38">
        <v>46201.0</v>
      </c>
      <c r="B17" s="38" t="s">
        <v>77</v>
      </c>
      <c r="C17" s="56" t="s">
        <v>108</v>
      </c>
      <c r="D17" s="29" t="s">
        <v>163</v>
      </c>
      <c r="E17" s="29" t="s">
        <v>164</v>
      </c>
      <c r="F17" s="29" t="s">
        <v>165</v>
      </c>
      <c r="G17" s="29">
        <v>2.0</v>
      </c>
      <c r="H17" s="30">
        <v>180.0</v>
      </c>
      <c r="I17" s="44">
        <f t="shared" si="1"/>
        <v>360</v>
      </c>
      <c r="J17" s="46" t="b">
        <v>1</v>
      </c>
      <c r="K17" s="48">
        <f t="shared" si="2"/>
        <v>2</v>
      </c>
      <c r="L17" s="49">
        <f t="shared" si="3"/>
        <v>13</v>
      </c>
    </row>
    <row r="18" ht="14.25" customHeight="1">
      <c r="A18" s="38">
        <v>46202.0</v>
      </c>
      <c r="B18" s="38" t="s">
        <v>77</v>
      </c>
      <c r="C18" s="56" t="s">
        <v>167</v>
      </c>
      <c r="D18" s="29" t="s">
        <v>168</v>
      </c>
      <c r="E18" s="29" t="s">
        <v>169</v>
      </c>
      <c r="F18" s="29" t="s">
        <v>170</v>
      </c>
      <c r="G18" s="29">
        <v>6.0</v>
      </c>
      <c r="H18" s="30">
        <v>400.0</v>
      </c>
      <c r="I18" s="44">
        <f t="shared" si="1"/>
        <v>2400</v>
      </c>
      <c r="J18" s="46" t="b">
        <v>1</v>
      </c>
      <c r="K18" s="48">
        <f t="shared" si="2"/>
        <v>6</v>
      </c>
      <c r="L18" s="49">
        <f t="shared" si="3"/>
        <v>14</v>
      </c>
    </row>
    <row r="19" ht="14.25" customHeight="1">
      <c r="A19" s="38">
        <v>46202.0</v>
      </c>
      <c r="B19" s="38" t="s">
        <v>77</v>
      </c>
      <c r="C19" s="29" t="s">
        <v>167</v>
      </c>
      <c r="D19" s="29" t="s">
        <v>172</v>
      </c>
      <c r="E19" s="29" t="s">
        <v>174</v>
      </c>
      <c r="F19" s="29" t="s">
        <v>170</v>
      </c>
      <c r="G19" s="29">
        <v>2.0</v>
      </c>
      <c r="H19" s="30">
        <v>400.0</v>
      </c>
      <c r="I19" s="44">
        <f t="shared" si="1"/>
        <v>800</v>
      </c>
      <c r="J19" s="46" t="b">
        <v>1</v>
      </c>
      <c r="K19" s="48">
        <f t="shared" si="2"/>
        <v>2</v>
      </c>
      <c r="L19" s="49">
        <f t="shared" si="3"/>
        <v>15</v>
      </c>
    </row>
    <row r="20" ht="14.25" customHeight="1">
      <c r="A20" s="38">
        <v>46202.0</v>
      </c>
      <c r="B20" s="38" t="s">
        <v>77</v>
      </c>
      <c r="C20" s="29" t="s">
        <v>167</v>
      </c>
      <c r="D20" s="29" t="s">
        <v>176</v>
      </c>
      <c r="E20" s="29" t="s">
        <v>177</v>
      </c>
      <c r="F20" s="29" t="s">
        <v>170</v>
      </c>
      <c r="G20" s="29">
        <v>2.0</v>
      </c>
      <c r="H20" s="30">
        <v>400.0</v>
      </c>
      <c r="I20" s="44">
        <f t="shared" si="1"/>
        <v>800</v>
      </c>
      <c r="J20" s="46" t="b">
        <v>1</v>
      </c>
      <c r="K20" s="48">
        <f t="shared" si="2"/>
        <v>2</v>
      </c>
      <c r="L20" s="49">
        <f t="shared" si="3"/>
        <v>16</v>
      </c>
    </row>
    <row r="21" ht="14.25" customHeight="1">
      <c r="A21" s="38">
        <v>46203.0</v>
      </c>
      <c r="B21" s="38" t="s">
        <v>77</v>
      </c>
      <c r="C21" s="29" t="s">
        <v>178</v>
      </c>
      <c r="D21" s="29" t="s">
        <v>179</v>
      </c>
      <c r="E21" s="29" t="s">
        <v>180</v>
      </c>
      <c r="F21" s="29" t="s">
        <v>181</v>
      </c>
      <c r="G21" s="29">
        <v>95.0</v>
      </c>
      <c r="H21" s="30">
        <v>8.5</v>
      </c>
      <c r="I21" s="44">
        <f t="shared" si="1"/>
        <v>807.5</v>
      </c>
      <c r="J21" s="46" t="b">
        <v>1</v>
      </c>
      <c r="K21" s="48">
        <f t="shared" si="2"/>
        <v>95</v>
      </c>
      <c r="L21" s="49">
        <f t="shared" si="3"/>
        <v>17</v>
      </c>
    </row>
    <row r="22" ht="14.25" customHeight="1">
      <c r="A22" s="38">
        <v>46203.0</v>
      </c>
      <c r="B22" s="38" t="s">
        <v>77</v>
      </c>
      <c r="C22" s="29" t="s">
        <v>178</v>
      </c>
      <c r="D22" s="29" t="s">
        <v>179</v>
      </c>
      <c r="E22" s="29" t="s">
        <v>182</v>
      </c>
      <c r="F22" s="29" t="s">
        <v>181</v>
      </c>
      <c r="G22" s="29">
        <v>98.0</v>
      </c>
      <c r="H22" s="30">
        <v>8.5</v>
      </c>
      <c r="I22" s="44">
        <f t="shared" si="1"/>
        <v>833</v>
      </c>
      <c r="J22" s="46" t="b">
        <v>1</v>
      </c>
      <c r="K22" s="48">
        <f t="shared" si="2"/>
        <v>98</v>
      </c>
      <c r="L22" s="49" t="str">
        <f t="shared" si="3"/>
        <v/>
      </c>
    </row>
    <row r="23" ht="14.25" customHeight="1">
      <c r="A23" s="38">
        <v>46214.0</v>
      </c>
      <c r="B23" s="38" t="s">
        <v>77</v>
      </c>
      <c r="C23" s="29" t="s">
        <v>178</v>
      </c>
      <c r="D23" s="29" t="s">
        <v>183</v>
      </c>
      <c r="E23" s="29" t="s">
        <v>184</v>
      </c>
      <c r="F23" s="29" t="s">
        <v>185</v>
      </c>
      <c r="G23" s="29">
        <v>18.0</v>
      </c>
      <c r="H23" s="30">
        <v>290.0</v>
      </c>
      <c r="I23" s="44">
        <f t="shared" si="1"/>
        <v>5220</v>
      </c>
      <c r="J23" s="46" t="b">
        <v>1</v>
      </c>
      <c r="K23" s="48">
        <f t="shared" si="2"/>
        <v>18</v>
      </c>
      <c r="L23" s="49">
        <f t="shared" si="3"/>
        <v>18</v>
      </c>
    </row>
    <row r="24" ht="14.25" customHeight="1">
      <c r="A24" s="38">
        <v>46214.0</v>
      </c>
      <c r="B24" s="38" t="s">
        <v>77</v>
      </c>
      <c r="C24" s="29" t="s">
        <v>178</v>
      </c>
      <c r="D24" s="29" t="s">
        <v>186</v>
      </c>
      <c r="E24" s="29" t="s">
        <v>187</v>
      </c>
      <c r="F24" s="29" t="s">
        <v>170</v>
      </c>
      <c r="G24" s="29">
        <v>2.0</v>
      </c>
      <c r="H24" s="30">
        <v>5700.0</v>
      </c>
      <c r="I24" s="44">
        <f t="shared" si="1"/>
        <v>11400</v>
      </c>
      <c r="J24" s="46" t="b">
        <v>1</v>
      </c>
      <c r="K24" s="48">
        <f t="shared" si="2"/>
        <v>2</v>
      </c>
      <c r="L24" s="49">
        <f t="shared" si="3"/>
        <v>19</v>
      </c>
    </row>
    <row r="25" ht="14.25" customHeight="1">
      <c r="A25" s="38">
        <v>46214.0</v>
      </c>
      <c r="B25" s="38" t="s">
        <v>77</v>
      </c>
      <c r="C25" s="29" t="s">
        <v>178</v>
      </c>
      <c r="D25" s="29" t="s">
        <v>188</v>
      </c>
      <c r="E25" s="29" t="s">
        <v>189</v>
      </c>
      <c r="F25" s="29" t="s">
        <v>190</v>
      </c>
      <c r="G25" s="29">
        <v>50.0</v>
      </c>
      <c r="H25" s="30">
        <v>100.0</v>
      </c>
      <c r="I25" s="44">
        <f t="shared" si="1"/>
        <v>5000</v>
      </c>
      <c r="J25" s="46" t="b">
        <v>0</v>
      </c>
      <c r="K25" s="48">
        <f t="shared" si="2"/>
        <v>50</v>
      </c>
      <c r="L25" s="49">
        <f t="shared" si="3"/>
        <v>20</v>
      </c>
    </row>
    <row r="26" ht="14.25" customHeight="1">
      <c r="A26" s="38">
        <v>46214.0</v>
      </c>
      <c r="B26" s="38" t="s">
        <v>77</v>
      </c>
      <c r="C26" s="29" t="s">
        <v>167</v>
      </c>
      <c r="D26" s="29" t="s">
        <v>168</v>
      </c>
      <c r="E26" s="29" t="s">
        <v>169</v>
      </c>
      <c r="F26" s="29" t="s">
        <v>170</v>
      </c>
      <c r="G26" s="29">
        <v>6.0</v>
      </c>
      <c r="H26" s="30">
        <v>400.0</v>
      </c>
      <c r="I26" s="44">
        <f t="shared" si="1"/>
        <v>2400</v>
      </c>
      <c r="J26" s="46" t="b">
        <v>1</v>
      </c>
      <c r="K26" s="48">
        <f t="shared" si="2"/>
        <v>6</v>
      </c>
      <c r="L26" s="49" t="str">
        <f t="shared" si="3"/>
        <v/>
      </c>
    </row>
    <row r="27" ht="14.25" customHeight="1">
      <c r="A27" s="38">
        <v>46214.0</v>
      </c>
      <c r="B27" s="38" t="s">
        <v>77</v>
      </c>
      <c r="C27" s="29" t="s">
        <v>167</v>
      </c>
      <c r="D27" s="29" t="s">
        <v>172</v>
      </c>
      <c r="E27" s="29" t="s">
        <v>174</v>
      </c>
      <c r="F27" s="29" t="s">
        <v>170</v>
      </c>
      <c r="G27" s="29">
        <v>2.0</v>
      </c>
      <c r="H27" s="30">
        <v>400.0</v>
      </c>
      <c r="I27" s="44">
        <f t="shared" si="1"/>
        <v>800</v>
      </c>
      <c r="J27" s="46" t="b">
        <v>1</v>
      </c>
      <c r="K27" s="48">
        <f t="shared" si="2"/>
        <v>2</v>
      </c>
      <c r="L27" s="49" t="str">
        <f t="shared" si="3"/>
        <v/>
      </c>
    </row>
    <row r="28" ht="14.25" customHeight="1">
      <c r="A28" s="38">
        <v>46214.0</v>
      </c>
      <c r="B28" s="38" t="s">
        <v>77</v>
      </c>
      <c r="C28" s="29" t="s">
        <v>167</v>
      </c>
      <c r="D28" s="29" t="s">
        <v>176</v>
      </c>
      <c r="E28" s="29" t="s">
        <v>177</v>
      </c>
      <c r="F28" s="29" t="s">
        <v>170</v>
      </c>
      <c r="G28" s="29">
        <v>2.0</v>
      </c>
      <c r="H28" s="30">
        <v>400.0</v>
      </c>
      <c r="I28" s="44">
        <f t="shared" si="1"/>
        <v>800</v>
      </c>
      <c r="J28" s="46" t="b">
        <v>1</v>
      </c>
      <c r="K28" s="48">
        <f t="shared" si="2"/>
        <v>2</v>
      </c>
      <c r="L28" s="49" t="str">
        <f t="shared" si="3"/>
        <v/>
      </c>
    </row>
    <row r="29" ht="14.25" customHeight="1">
      <c r="A29" s="38">
        <v>46216.0</v>
      </c>
      <c r="B29" s="38" t="s">
        <v>77</v>
      </c>
      <c r="C29" s="29" t="s">
        <v>191</v>
      </c>
      <c r="D29" s="29" t="s">
        <v>192</v>
      </c>
      <c r="E29" s="29" t="s">
        <v>193</v>
      </c>
      <c r="F29" s="29" t="s">
        <v>170</v>
      </c>
      <c r="G29" s="29">
        <v>12.0</v>
      </c>
      <c r="H29" s="30">
        <v>507.0</v>
      </c>
      <c r="I29" s="44">
        <f t="shared" si="1"/>
        <v>6084</v>
      </c>
      <c r="J29" s="46" t="b">
        <v>1</v>
      </c>
      <c r="K29" s="48">
        <f t="shared" si="2"/>
        <v>12</v>
      </c>
      <c r="L29" s="49">
        <f t="shared" si="3"/>
        <v>21</v>
      </c>
    </row>
    <row r="30" ht="14.25" customHeight="1">
      <c r="A30" s="38">
        <v>46216.0</v>
      </c>
      <c r="B30" s="38" t="s">
        <v>77</v>
      </c>
      <c r="C30" s="29" t="s">
        <v>191</v>
      </c>
      <c r="D30" s="29" t="s">
        <v>194</v>
      </c>
      <c r="E30" s="29" t="s">
        <v>195</v>
      </c>
      <c r="F30" s="29" t="s">
        <v>170</v>
      </c>
      <c r="G30" s="29">
        <v>12.0</v>
      </c>
      <c r="H30" s="30">
        <v>507.0</v>
      </c>
      <c r="I30" s="44">
        <f t="shared" si="1"/>
        <v>6084</v>
      </c>
      <c r="J30" s="46" t="b">
        <v>1</v>
      </c>
      <c r="K30" s="48">
        <f t="shared" si="2"/>
        <v>12</v>
      </c>
      <c r="L30" s="49">
        <f t="shared" si="3"/>
        <v>22</v>
      </c>
    </row>
    <row r="31" ht="14.25" customHeight="1">
      <c r="A31" s="38">
        <v>46216.0</v>
      </c>
      <c r="B31" s="38" t="s">
        <v>77</v>
      </c>
      <c r="C31" s="29" t="s">
        <v>191</v>
      </c>
      <c r="D31" s="29" t="s">
        <v>196</v>
      </c>
      <c r="E31" s="29" t="s">
        <v>197</v>
      </c>
      <c r="F31" s="29" t="s">
        <v>165</v>
      </c>
      <c r="G31" s="29">
        <v>12.0</v>
      </c>
      <c r="H31" s="30">
        <v>230.0</v>
      </c>
      <c r="I31" s="44">
        <f t="shared" si="1"/>
        <v>2760</v>
      </c>
      <c r="J31" s="46" t="b">
        <v>1</v>
      </c>
      <c r="K31" s="48">
        <f t="shared" si="2"/>
        <v>12</v>
      </c>
      <c r="L31" s="49">
        <f t="shared" si="3"/>
        <v>23</v>
      </c>
    </row>
    <row r="32" ht="14.25" customHeight="1">
      <c r="A32" s="38">
        <v>46216.0</v>
      </c>
      <c r="B32" s="38" t="s">
        <v>77</v>
      </c>
      <c r="C32" s="29" t="s">
        <v>191</v>
      </c>
      <c r="D32" s="29" t="s">
        <v>198</v>
      </c>
      <c r="E32" s="29" t="s">
        <v>199</v>
      </c>
      <c r="F32" s="29" t="s">
        <v>165</v>
      </c>
      <c r="G32" s="29">
        <v>9.0</v>
      </c>
      <c r="H32" s="30">
        <v>450.0</v>
      </c>
      <c r="I32" s="44">
        <f t="shared" si="1"/>
        <v>4050</v>
      </c>
      <c r="J32" s="46" t="b">
        <v>1</v>
      </c>
      <c r="K32" s="48">
        <f t="shared" si="2"/>
        <v>9</v>
      </c>
      <c r="L32" s="49">
        <f t="shared" si="3"/>
        <v>24</v>
      </c>
    </row>
    <row r="33" ht="14.25" customHeight="1">
      <c r="A33" s="38">
        <v>46216.0</v>
      </c>
      <c r="B33" s="38" t="s">
        <v>77</v>
      </c>
      <c r="C33" s="29" t="s">
        <v>191</v>
      </c>
      <c r="D33" s="29" t="s">
        <v>200</v>
      </c>
      <c r="E33" s="29" t="s">
        <v>201</v>
      </c>
      <c r="F33" s="29" t="s">
        <v>165</v>
      </c>
      <c r="G33" s="29">
        <v>12.0</v>
      </c>
      <c r="H33" s="30">
        <v>230.0</v>
      </c>
      <c r="I33" s="44">
        <f t="shared" si="1"/>
        <v>2760</v>
      </c>
      <c r="J33" s="46" t="b">
        <v>1</v>
      </c>
      <c r="K33" s="48">
        <f t="shared" si="2"/>
        <v>12</v>
      </c>
      <c r="L33" s="49">
        <f t="shared" si="3"/>
        <v>25</v>
      </c>
    </row>
    <row r="34" ht="14.25" customHeight="1">
      <c r="A34" s="38">
        <v>46216.0</v>
      </c>
      <c r="B34" s="38" t="s">
        <v>77</v>
      </c>
      <c r="C34" s="29" t="s">
        <v>191</v>
      </c>
      <c r="D34" s="29" t="s">
        <v>202</v>
      </c>
      <c r="E34" s="29" t="s">
        <v>203</v>
      </c>
      <c r="F34" s="29" t="s">
        <v>165</v>
      </c>
      <c r="G34" s="29">
        <v>9.0</v>
      </c>
      <c r="H34" s="30">
        <v>450.0</v>
      </c>
      <c r="I34" s="44">
        <f t="shared" si="1"/>
        <v>4050</v>
      </c>
      <c r="J34" s="46" t="b">
        <v>1</v>
      </c>
      <c r="K34" s="48">
        <f t="shared" si="2"/>
        <v>9</v>
      </c>
      <c r="L34" s="49">
        <f t="shared" si="3"/>
        <v>26</v>
      </c>
    </row>
    <row r="35" ht="14.25" customHeight="1">
      <c r="A35" s="38">
        <v>46216.0</v>
      </c>
      <c r="B35" s="38" t="s">
        <v>77</v>
      </c>
      <c r="C35" s="29" t="s">
        <v>191</v>
      </c>
      <c r="D35" s="29" t="s">
        <v>104</v>
      </c>
      <c r="E35" s="29" t="s">
        <v>204</v>
      </c>
      <c r="F35" s="29" t="s">
        <v>106</v>
      </c>
      <c r="G35" s="29">
        <v>48.0</v>
      </c>
      <c r="H35" s="30">
        <v>65.0</v>
      </c>
      <c r="I35" s="44">
        <f t="shared" si="1"/>
        <v>3120</v>
      </c>
      <c r="J35" s="46" t="b">
        <v>1</v>
      </c>
      <c r="K35" s="48">
        <f t="shared" si="2"/>
        <v>48</v>
      </c>
      <c r="L35" s="49" t="str">
        <f t="shared" si="3"/>
        <v/>
      </c>
    </row>
    <row r="36" ht="14.25" customHeight="1">
      <c r="A36" s="38">
        <v>46216.0</v>
      </c>
      <c r="B36" s="38" t="s">
        <v>77</v>
      </c>
      <c r="C36" s="29" t="s">
        <v>191</v>
      </c>
      <c r="D36" s="29" t="s">
        <v>205</v>
      </c>
      <c r="E36" s="29" t="s">
        <v>206</v>
      </c>
      <c r="F36" s="29" t="s">
        <v>106</v>
      </c>
      <c r="G36" s="29">
        <v>48.0</v>
      </c>
      <c r="H36" s="30">
        <v>65.0</v>
      </c>
      <c r="I36" s="44">
        <f t="shared" si="1"/>
        <v>3120</v>
      </c>
      <c r="J36" s="46" t="b">
        <v>1</v>
      </c>
      <c r="K36" s="48">
        <f t="shared" si="2"/>
        <v>48</v>
      </c>
      <c r="L36" s="49">
        <f t="shared" si="3"/>
        <v>27</v>
      </c>
    </row>
    <row r="37" ht="14.25" customHeight="1">
      <c r="A37" s="38">
        <v>46216.0</v>
      </c>
      <c r="B37" s="38" t="s">
        <v>77</v>
      </c>
      <c r="C37" s="29" t="s">
        <v>191</v>
      </c>
      <c r="D37" s="29" t="s">
        <v>207</v>
      </c>
      <c r="E37" s="29" t="s">
        <v>208</v>
      </c>
      <c r="F37" s="29" t="s">
        <v>106</v>
      </c>
      <c r="G37" s="29">
        <v>48.0</v>
      </c>
      <c r="H37" s="30">
        <v>65.0</v>
      </c>
      <c r="I37" s="44">
        <f t="shared" si="1"/>
        <v>3120</v>
      </c>
      <c r="J37" s="46" t="b">
        <v>1</v>
      </c>
      <c r="K37" s="48">
        <f t="shared" si="2"/>
        <v>48</v>
      </c>
      <c r="L37" s="49">
        <f t="shared" si="3"/>
        <v>28</v>
      </c>
    </row>
    <row r="38" ht="14.25" customHeight="1">
      <c r="A38" s="38">
        <v>46216.0</v>
      </c>
      <c r="B38" s="38" t="s">
        <v>77</v>
      </c>
      <c r="C38" s="29" t="s">
        <v>79</v>
      </c>
      <c r="D38" s="29" t="s">
        <v>209</v>
      </c>
      <c r="E38" s="29" t="s">
        <v>210</v>
      </c>
      <c r="F38" s="29" t="s">
        <v>106</v>
      </c>
      <c r="G38" s="29">
        <v>48.0</v>
      </c>
      <c r="H38" s="30">
        <v>72.0</v>
      </c>
      <c r="I38" s="44">
        <f t="shared" si="1"/>
        <v>3456</v>
      </c>
      <c r="J38" s="46" t="b">
        <v>1</v>
      </c>
      <c r="K38" s="48">
        <f t="shared" si="2"/>
        <v>48</v>
      </c>
      <c r="L38" s="49">
        <f t="shared" si="3"/>
        <v>29</v>
      </c>
    </row>
    <row r="39" ht="14.25" customHeight="1">
      <c r="A39" s="38">
        <v>46216.0</v>
      </c>
      <c r="B39" s="38" t="s">
        <v>77</v>
      </c>
      <c r="C39" s="29" t="s">
        <v>79</v>
      </c>
      <c r="D39" s="29" t="s">
        <v>211</v>
      </c>
      <c r="E39" s="29" t="s">
        <v>212</v>
      </c>
      <c r="F39" s="29" t="s">
        <v>106</v>
      </c>
      <c r="G39" s="29">
        <v>48.0</v>
      </c>
      <c r="H39" s="30">
        <v>72.0</v>
      </c>
      <c r="I39" s="44">
        <f t="shared" si="1"/>
        <v>3456</v>
      </c>
      <c r="J39" s="46" t="b">
        <v>1</v>
      </c>
      <c r="K39" s="48">
        <f t="shared" si="2"/>
        <v>48</v>
      </c>
      <c r="L39" s="49">
        <f t="shared" si="3"/>
        <v>30</v>
      </c>
    </row>
    <row r="40" ht="14.25" customHeight="1">
      <c r="A40" s="38">
        <v>46216.0</v>
      </c>
      <c r="B40" s="38" t="s">
        <v>77</v>
      </c>
      <c r="C40" s="29" t="s">
        <v>108</v>
      </c>
      <c r="D40" s="29" t="s">
        <v>213</v>
      </c>
      <c r="E40" s="29" t="s">
        <v>214</v>
      </c>
      <c r="F40" s="29" t="s">
        <v>165</v>
      </c>
      <c r="G40" s="29">
        <v>1.0</v>
      </c>
      <c r="H40" s="30">
        <v>1000.0</v>
      </c>
      <c r="I40" s="44">
        <f t="shared" si="1"/>
        <v>1000</v>
      </c>
      <c r="J40" s="46" t="b">
        <v>1</v>
      </c>
      <c r="K40" s="48">
        <f t="shared" si="2"/>
        <v>1</v>
      </c>
      <c r="L40" s="49">
        <f t="shared" si="3"/>
        <v>31</v>
      </c>
    </row>
    <row r="41" ht="14.25" customHeight="1">
      <c r="A41" s="38">
        <v>46216.0</v>
      </c>
      <c r="B41" s="38" t="s">
        <v>77</v>
      </c>
      <c r="C41" s="29" t="s">
        <v>108</v>
      </c>
      <c r="D41" s="29" t="s">
        <v>215</v>
      </c>
      <c r="E41" s="29" t="s">
        <v>216</v>
      </c>
      <c r="F41" s="29" t="s">
        <v>165</v>
      </c>
      <c r="G41" s="29">
        <v>2.0</v>
      </c>
      <c r="H41" s="30">
        <v>850.0</v>
      </c>
      <c r="I41" s="44">
        <f t="shared" si="1"/>
        <v>1700</v>
      </c>
      <c r="J41" s="46" t="b">
        <v>1</v>
      </c>
      <c r="K41" s="48">
        <f t="shared" si="2"/>
        <v>2</v>
      </c>
      <c r="L41" s="49">
        <f t="shared" si="3"/>
        <v>32</v>
      </c>
    </row>
    <row r="42" ht="14.25" customHeight="1">
      <c r="A42" s="38">
        <v>46216.0</v>
      </c>
      <c r="B42" s="38" t="s">
        <v>77</v>
      </c>
      <c r="C42" s="29" t="s">
        <v>108</v>
      </c>
      <c r="D42" s="29" t="s">
        <v>220</v>
      </c>
      <c r="E42" s="29" t="s">
        <v>221</v>
      </c>
      <c r="F42" s="29" t="s">
        <v>165</v>
      </c>
      <c r="G42" s="29">
        <v>3.0</v>
      </c>
      <c r="H42" s="30">
        <v>360.0</v>
      </c>
      <c r="I42" s="44">
        <f t="shared" si="1"/>
        <v>1080</v>
      </c>
      <c r="J42" s="46" t="b">
        <v>1</v>
      </c>
      <c r="K42" s="48">
        <f t="shared" si="2"/>
        <v>3</v>
      </c>
      <c r="L42" s="49">
        <f t="shared" si="3"/>
        <v>33</v>
      </c>
    </row>
    <row r="43" ht="14.25" customHeight="1">
      <c r="A43" s="38">
        <v>46216.0</v>
      </c>
      <c r="B43" s="38" t="s">
        <v>77</v>
      </c>
      <c r="C43" s="29" t="s">
        <v>108</v>
      </c>
      <c r="D43" s="29" t="s">
        <v>222</v>
      </c>
      <c r="E43" s="29" t="s">
        <v>223</v>
      </c>
      <c r="F43" s="29" t="s">
        <v>84</v>
      </c>
      <c r="G43" s="29">
        <v>1.0</v>
      </c>
      <c r="H43" s="30">
        <v>240.0</v>
      </c>
      <c r="I43" s="44">
        <f t="shared" si="1"/>
        <v>240</v>
      </c>
      <c r="J43" s="46" t="b">
        <v>1</v>
      </c>
      <c r="K43" s="48">
        <f t="shared" si="2"/>
        <v>1</v>
      </c>
      <c r="L43" s="49">
        <f t="shared" si="3"/>
        <v>34</v>
      </c>
    </row>
    <row r="44" ht="14.25" customHeight="1">
      <c r="A44" s="38">
        <v>46216.0</v>
      </c>
      <c r="B44" s="38" t="s">
        <v>77</v>
      </c>
      <c r="C44" s="29" t="s">
        <v>108</v>
      </c>
      <c r="D44" s="29" t="s">
        <v>132</v>
      </c>
      <c r="E44" s="29" t="s">
        <v>133</v>
      </c>
      <c r="F44" s="29" t="s">
        <v>84</v>
      </c>
      <c r="G44" s="29">
        <v>3.0</v>
      </c>
      <c r="H44" s="30">
        <v>240.0</v>
      </c>
      <c r="I44" s="44">
        <f t="shared" si="1"/>
        <v>720</v>
      </c>
      <c r="J44" s="46" t="b">
        <v>1</v>
      </c>
      <c r="K44" s="48">
        <f t="shared" si="2"/>
        <v>3</v>
      </c>
      <c r="L44" s="49" t="str">
        <f t="shared" si="3"/>
        <v/>
      </c>
    </row>
    <row r="45" ht="14.25" customHeight="1">
      <c r="A45" s="38">
        <v>46216.0</v>
      </c>
      <c r="B45" s="38" t="s">
        <v>77</v>
      </c>
      <c r="C45" s="29" t="s">
        <v>108</v>
      </c>
      <c r="D45" s="29" t="s">
        <v>224</v>
      </c>
      <c r="E45" s="29" t="s">
        <v>225</v>
      </c>
      <c r="F45" s="29" t="s">
        <v>84</v>
      </c>
      <c r="G45" s="29">
        <v>5.0</v>
      </c>
      <c r="H45" s="30">
        <v>35.0</v>
      </c>
      <c r="I45" s="44">
        <f t="shared" si="1"/>
        <v>175</v>
      </c>
      <c r="J45" s="46" t="b">
        <v>1</v>
      </c>
      <c r="K45" s="48">
        <f t="shared" si="2"/>
        <v>5</v>
      </c>
      <c r="L45" s="49">
        <f t="shared" si="3"/>
        <v>35</v>
      </c>
    </row>
    <row r="46" ht="14.25" customHeight="1">
      <c r="A46" s="38">
        <v>46216.0</v>
      </c>
      <c r="B46" s="38" t="s">
        <v>77</v>
      </c>
      <c r="C46" s="29" t="s">
        <v>108</v>
      </c>
      <c r="D46" s="29" t="s">
        <v>226</v>
      </c>
      <c r="E46" s="29" t="s">
        <v>227</v>
      </c>
      <c r="F46" s="29" t="s">
        <v>84</v>
      </c>
      <c r="G46" s="29">
        <v>2.0</v>
      </c>
      <c r="H46" s="30">
        <v>160.0</v>
      </c>
      <c r="I46" s="44">
        <f t="shared" si="1"/>
        <v>320</v>
      </c>
      <c r="J46" s="46" t="b">
        <v>1</v>
      </c>
      <c r="K46" s="48">
        <f t="shared" si="2"/>
        <v>2</v>
      </c>
      <c r="L46" s="49">
        <f t="shared" si="3"/>
        <v>36</v>
      </c>
    </row>
    <row r="47" ht="14.25" customHeight="1">
      <c r="A47" s="38">
        <v>46216.0</v>
      </c>
      <c r="B47" s="38" t="s">
        <v>77</v>
      </c>
      <c r="C47" s="29" t="s">
        <v>108</v>
      </c>
      <c r="D47" s="29" t="s">
        <v>228</v>
      </c>
      <c r="E47" s="29" t="s">
        <v>229</v>
      </c>
      <c r="F47" s="29" t="s">
        <v>84</v>
      </c>
      <c r="G47" s="29">
        <v>50.0</v>
      </c>
      <c r="H47" s="30">
        <v>28.0</v>
      </c>
      <c r="I47" s="44">
        <f t="shared" si="1"/>
        <v>1400</v>
      </c>
      <c r="J47" s="46" t="b">
        <v>1</v>
      </c>
      <c r="K47" s="48">
        <f t="shared" si="2"/>
        <v>50</v>
      </c>
      <c r="L47" s="49">
        <f t="shared" si="3"/>
        <v>37</v>
      </c>
    </row>
    <row r="48" ht="14.25" customHeight="1">
      <c r="A48" s="38">
        <v>46216.0</v>
      </c>
      <c r="B48" s="38" t="s">
        <v>77</v>
      </c>
      <c r="C48" s="29" t="s">
        <v>79</v>
      </c>
      <c r="D48" s="29" t="s">
        <v>228</v>
      </c>
      <c r="E48" s="29" t="s">
        <v>229</v>
      </c>
      <c r="F48" s="29" t="s">
        <v>84</v>
      </c>
      <c r="G48" s="29">
        <v>5.0</v>
      </c>
      <c r="H48" s="30">
        <v>35.0</v>
      </c>
      <c r="I48" s="44">
        <f t="shared" si="1"/>
        <v>175</v>
      </c>
      <c r="J48" s="46" t="b">
        <v>1</v>
      </c>
      <c r="K48" s="48">
        <f t="shared" si="2"/>
        <v>5</v>
      </c>
      <c r="L48" s="49" t="str">
        <f t="shared" si="3"/>
        <v/>
      </c>
    </row>
    <row r="49" ht="14.25" customHeight="1">
      <c r="A49" s="38">
        <v>46216.0</v>
      </c>
      <c r="B49" s="38" t="s">
        <v>77</v>
      </c>
      <c r="C49" s="29" t="s">
        <v>79</v>
      </c>
      <c r="D49" s="29" t="s">
        <v>211</v>
      </c>
      <c r="E49" s="29" t="s">
        <v>230</v>
      </c>
      <c r="F49" s="29" t="s">
        <v>106</v>
      </c>
      <c r="G49" s="29">
        <v>3.0</v>
      </c>
      <c r="H49" s="30">
        <v>70.0</v>
      </c>
      <c r="I49" s="44">
        <f t="shared" si="1"/>
        <v>210</v>
      </c>
      <c r="J49" s="46" t="b">
        <v>1</v>
      </c>
      <c r="K49" s="48">
        <f t="shared" si="2"/>
        <v>3</v>
      </c>
      <c r="L49" s="49" t="str">
        <f t="shared" si="3"/>
        <v/>
      </c>
    </row>
    <row r="50" ht="14.25" customHeight="1">
      <c r="A50" s="38">
        <v>46216.0</v>
      </c>
      <c r="B50" s="38" t="s">
        <v>77</v>
      </c>
      <c r="C50" s="29" t="s">
        <v>79</v>
      </c>
      <c r="D50" s="29" t="s">
        <v>207</v>
      </c>
      <c r="E50" s="29" t="s">
        <v>231</v>
      </c>
      <c r="F50" s="29" t="s">
        <v>106</v>
      </c>
      <c r="G50" s="29">
        <v>10.0</v>
      </c>
      <c r="H50" s="30">
        <v>66.0</v>
      </c>
      <c r="I50" s="44">
        <f t="shared" si="1"/>
        <v>660</v>
      </c>
      <c r="J50" s="46" t="b">
        <v>1</v>
      </c>
      <c r="K50" s="48">
        <f t="shared" si="2"/>
        <v>10</v>
      </c>
      <c r="L50" s="49" t="str">
        <f t="shared" si="3"/>
        <v/>
      </c>
    </row>
    <row r="51" ht="14.25" customHeight="1">
      <c r="A51" s="38">
        <v>46216.0</v>
      </c>
      <c r="B51" s="38" t="s">
        <v>77</v>
      </c>
      <c r="C51" s="29" t="s">
        <v>79</v>
      </c>
      <c r="D51" s="29" t="s">
        <v>232</v>
      </c>
      <c r="E51" s="29" t="s">
        <v>233</v>
      </c>
      <c r="F51" s="29" t="s">
        <v>170</v>
      </c>
      <c r="G51" s="29">
        <v>1.0</v>
      </c>
      <c r="H51" s="30">
        <v>295.0</v>
      </c>
      <c r="I51" s="44">
        <f t="shared" si="1"/>
        <v>295</v>
      </c>
      <c r="J51" s="46" t="b">
        <v>1</v>
      </c>
      <c r="K51" s="48">
        <f t="shared" si="2"/>
        <v>1</v>
      </c>
      <c r="L51" s="49">
        <f t="shared" si="3"/>
        <v>38</v>
      </c>
    </row>
    <row r="52" ht="14.25" customHeight="1">
      <c r="A52" s="38">
        <v>46216.0</v>
      </c>
      <c r="B52" s="38" t="s">
        <v>77</v>
      </c>
      <c r="C52" s="29" t="s">
        <v>79</v>
      </c>
      <c r="D52" s="29" t="s">
        <v>234</v>
      </c>
      <c r="E52" s="29" t="s">
        <v>235</v>
      </c>
      <c r="F52" s="29" t="s">
        <v>106</v>
      </c>
      <c r="G52" s="29">
        <v>9.0</v>
      </c>
      <c r="H52" s="30">
        <v>74.0</v>
      </c>
      <c r="I52" s="44">
        <f t="shared" si="1"/>
        <v>666</v>
      </c>
      <c r="J52" s="46" t="b">
        <v>1</v>
      </c>
      <c r="K52" s="48">
        <f t="shared" si="2"/>
        <v>9</v>
      </c>
      <c r="L52" s="49">
        <f t="shared" si="3"/>
        <v>39</v>
      </c>
    </row>
    <row r="53" ht="14.25" customHeight="1">
      <c r="A53" s="38">
        <v>46216.0</v>
      </c>
      <c r="B53" s="38" t="s">
        <v>77</v>
      </c>
      <c r="C53" s="29" t="s">
        <v>79</v>
      </c>
      <c r="D53" s="29" t="s">
        <v>236</v>
      </c>
      <c r="E53" s="29" t="s">
        <v>237</v>
      </c>
      <c r="F53" s="29" t="s">
        <v>84</v>
      </c>
      <c r="G53" s="69">
        <v>5.0</v>
      </c>
      <c r="H53" s="30">
        <v>80.0</v>
      </c>
      <c r="I53" s="44">
        <f t="shared" si="1"/>
        <v>400</v>
      </c>
      <c r="J53" s="46" t="b">
        <v>1</v>
      </c>
      <c r="K53" s="48">
        <f t="shared" si="2"/>
        <v>5</v>
      </c>
      <c r="L53" s="49">
        <f t="shared" si="3"/>
        <v>40</v>
      </c>
    </row>
    <row r="54" ht="14.25" customHeight="1">
      <c r="A54" s="38">
        <v>46216.0</v>
      </c>
      <c r="B54" s="38" t="s">
        <v>77</v>
      </c>
      <c r="C54" s="29" t="s">
        <v>79</v>
      </c>
      <c r="D54" s="29" t="s">
        <v>238</v>
      </c>
      <c r="E54" s="29" t="s">
        <v>239</v>
      </c>
      <c r="F54" s="29" t="s">
        <v>84</v>
      </c>
      <c r="G54" s="29">
        <v>2.0</v>
      </c>
      <c r="H54" s="30">
        <v>120.0</v>
      </c>
      <c r="I54" s="44">
        <f t="shared" si="1"/>
        <v>240</v>
      </c>
      <c r="J54" s="46" t="b">
        <v>1</v>
      </c>
      <c r="K54" s="48">
        <f t="shared" si="2"/>
        <v>2</v>
      </c>
      <c r="L54" s="49">
        <f t="shared" si="3"/>
        <v>41</v>
      </c>
    </row>
    <row r="55" ht="14.25" customHeight="1">
      <c r="A55" s="38">
        <v>46216.0</v>
      </c>
      <c r="B55" s="38" t="s">
        <v>77</v>
      </c>
      <c r="C55" s="29" t="s">
        <v>79</v>
      </c>
      <c r="D55" s="29" t="s">
        <v>240</v>
      </c>
      <c r="E55" s="29" t="s">
        <v>241</v>
      </c>
      <c r="F55" s="29" t="s">
        <v>84</v>
      </c>
      <c r="G55" s="29">
        <v>4.0</v>
      </c>
      <c r="H55" s="30">
        <v>65.0</v>
      </c>
      <c r="I55" s="44">
        <f t="shared" si="1"/>
        <v>260</v>
      </c>
      <c r="J55" s="46" t="b">
        <v>1</v>
      </c>
      <c r="K55" s="48">
        <f t="shared" si="2"/>
        <v>4</v>
      </c>
      <c r="L55" s="49">
        <f t="shared" si="3"/>
        <v>42</v>
      </c>
    </row>
    <row r="56" ht="14.25" customHeight="1">
      <c r="A56" s="38">
        <v>46216.0</v>
      </c>
      <c r="B56" s="38" t="s">
        <v>77</v>
      </c>
      <c r="C56" s="29" t="s">
        <v>79</v>
      </c>
      <c r="D56" s="29" t="s">
        <v>242</v>
      </c>
      <c r="E56" s="29" t="s">
        <v>243</v>
      </c>
      <c r="F56" s="29" t="s">
        <v>84</v>
      </c>
      <c r="G56" s="29">
        <v>11.0</v>
      </c>
      <c r="H56" s="30">
        <v>35.0</v>
      </c>
      <c r="I56" s="44">
        <f t="shared" si="1"/>
        <v>385</v>
      </c>
      <c r="J56" s="46" t="b">
        <v>1</v>
      </c>
      <c r="K56" s="48">
        <f t="shared" si="2"/>
        <v>11</v>
      </c>
      <c r="L56" s="49">
        <f t="shared" si="3"/>
        <v>43</v>
      </c>
    </row>
    <row r="57" ht="14.25" customHeight="1">
      <c r="A57" s="38">
        <v>46216.0</v>
      </c>
      <c r="B57" s="38" t="s">
        <v>77</v>
      </c>
      <c r="C57" s="29" t="s">
        <v>79</v>
      </c>
      <c r="D57" s="29" t="s">
        <v>98</v>
      </c>
      <c r="E57" s="29" t="s">
        <v>244</v>
      </c>
      <c r="F57" s="29" t="s">
        <v>84</v>
      </c>
      <c r="G57" s="29">
        <v>29.0</v>
      </c>
      <c r="H57" s="30">
        <v>30.0</v>
      </c>
      <c r="I57" s="44">
        <f t="shared" si="1"/>
        <v>870</v>
      </c>
      <c r="J57" s="46" t="b">
        <v>1</v>
      </c>
      <c r="K57" s="48">
        <f t="shared" si="2"/>
        <v>29</v>
      </c>
      <c r="L57" s="49" t="str">
        <f t="shared" si="3"/>
        <v/>
      </c>
    </row>
    <row r="58" ht="14.25" customHeight="1">
      <c r="A58" s="38">
        <v>46216.0</v>
      </c>
      <c r="B58" s="38" t="s">
        <v>77</v>
      </c>
      <c r="C58" s="29" t="s">
        <v>79</v>
      </c>
      <c r="D58" s="29" t="s">
        <v>245</v>
      </c>
      <c r="E58" s="29" t="s">
        <v>246</v>
      </c>
      <c r="F58" s="29" t="s">
        <v>84</v>
      </c>
      <c r="G58" s="29">
        <v>4.0</v>
      </c>
      <c r="H58" s="30">
        <v>130.0</v>
      </c>
      <c r="I58" s="44">
        <f t="shared" si="1"/>
        <v>520</v>
      </c>
      <c r="J58" s="46" t="b">
        <v>1</v>
      </c>
      <c r="K58" s="48">
        <f t="shared" si="2"/>
        <v>4</v>
      </c>
      <c r="L58" s="49">
        <f t="shared" si="3"/>
        <v>44</v>
      </c>
    </row>
    <row r="59" ht="14.25" customHeight="1">
      <c r="A59" s="38">
        <v>46216.0</v>
      </c>
      <c r="B59" s="38" t="s">
        <v>77</v>
      </c>
      <c r="C59" s="29" t="s">
        <v>79</v>
      </c>
      <c r="D59" s="29" t="s">
        <v>247</v>
      </c>
      <c r="E59" s="29" t="s">
        <v>248</v>
      </c>
      <c r="F59" s="29" t="s">
        <v>84</v>
      </c>
      <c r="G59" s="29">
        <v>6.0</v>
      </c>
      <c r="H59" s="30">
        <v>80.0</v>
      </c>
      <c r="I59" s="44">
        <f t="shared" si="1"/>
        <v>480</v>
      </c>
      <c r="J59" s="46" t="b">
        <v>1</v>
      </c>
      <c r="K59" s="48">
        <f t="shared" si="2"/>
        <v>6</v>
      </c>
      <c r="L59" s="49">
        <f t="shared" si="3"/>
        <v>45</v>
      </c>
    </row>
    <row r="60" ht="14.25" customHeight="1">
      <c r="A60" s="38">
        <v>46216.0</v>
      </c>
      <c r="B60" s="38" t="s">
        <v>77</v>
      </c>
      <c r="C60" s="29" t="s">
        <v>79</v>
      </c>
      <c r="D60" s="29" t="s">
        <v>249</v>
      </c>
      <c r="E60" s="29" t="s">
        <v>250</v>
      </c>
      <c r="F60" s="29" t="s">
        <v>165</v>
      </c>
      <c r="G60" s="29">
        <v>6.0</v>
      </c>
      <c r="H60" s="30">
        <v>220.0</v>
      </c>
      <c r="I60" s="44">
        <f t="shared" si="1"/>
        <v>1320</v>
      </c>
      <c r="J60" s="46" t="b">
        <v>1</v>
      </c>
      <c r="K60" s="48">
        <f t="shared" si="2"/>
        <v>6</v>
      </c>
      <c r="L60" s="49">
        <f t="shared" si="3"/>
        <v>46</v>
      </c>
    </row>
    <row r="61" ht="14.25" customHeight="1">
      <c r="A61" s="38">
        <v>46216.0</v>
      </c>
      <c r="B61" s="38" t="s">
        <v>77</v>
      </c>
      <c r="C61" s="29" t="s">
        <v>79</v>
      </c>
      <c r="D61" s="29" t="s">
        <v>251</v>
      </c>
      <c r="E61" s="29" t="s">
        <v>252</v>
      </c>
      <c r="F61" s="29" t="s">
        <v>165</v>
      </c>
      <c r="G61" s="29">
        <v>1.0</v>
      </c>
      <c r="H61" s="30">
        <v>440.0</v>
      </c>
      <c r="I61" s="44">
        <f t="shared" si="1"/>
        <v>440</v>
      </c>
      <c r="J61" s="46" t="b">
        <v>1</v>
      </c>
      <c r="K61" s="48">
        <f t="shared" si="2"/>
        <v>1</v>
      </c>
      <c r="L61" s="49">
        <f t="shared" si="3"/>
        <v>47</v>
      </c>
    </row>
    <row r="62" ht="14.25" customHeight="1">
      <c r="A62" s="38">
        <v>46216.0</v>
      </c>
      <c r="B62" s="38" t="s">
        <v>77</v>
      </c>
      <c r="C62" s="29" t="s">
        <v>79</v>
      </c>
      <c r="D62" s="29" t="s">
        <v>253</v>
      </c>
      <c r="E62" s="29" t="s">
        <v>254</v>
      </c>
      <c r="F62" s="29" t="s">
        <v>181</v>
      </c>
      <c r="G62" s="29">
        <v>7.0</v>
      </c>
      <c r="H62" s="30">
        <v>47.5</v>
      </c>
      <c r="I62" s="44">
        <f t="shared" si="1"/>
        <v>332.5</v>
      </c>
      <c r="J62" s="46" t="b">
        <v>1</v>
      </c>
      <c r="K62" s="48">
        <f t="shared" si="2"/>
        <v>7</v>
      </c>
      <c r="L62" s="49">
        <f t="shared" si="3"/>
        <v>48</v>
      </c>
    </row>
    <row r="63" ht="14.25" customHeight="1">
      <c r="A63" s="38">
        <v>46218.0</v>
      </c>
      <c r="B63" s="38" t="s">
        <v>77</v>
      </c>
      <c r="C63" s="29" t="s">
        <v>255</v>
      </c>
      <c r="D63" s="29" t="s">
        <v>256</v>
      </c>
      <c r="E63" s="29" t="s">
        <v>257</v>
      </c>
      <c r="F63" s="29" t="s">
        <v>170</v>
      </c>
      <c r="G63" s="29">
        <v>32.0</v>
      </c>
      <c r="H63" s="30">
        <v>290.0</v>
      </c>
      <c r="I63" s="44">
        <f t="shared" si="1"/>
        <v>9280</v>
      </c>
      <c r="J63" s="46" t="b">
        <v>1</v>
      </c>
      <c r="K63" s="48">
        <f t="shared" si="2"/>
        <v>32</v>
      </c>
      <c r="L63" s="49">
        <f t="shared" si="3"/>
        <v>49</v>
      </c>
    </row>
    <row r="64" ht="14.25" customHeight="1">
      <c r="A64" s="38">
        <v>46218.0</v>
      </c>
      <c r="B64" s="38" t="s">
        <v>77</v>
      </c>
      <c r="C64" s="29" t="s">
        <v>255</v>
      </c>
      <c r="D64" s="29" t="s">
        <v>258</v>
      </c>
      <c r="E64" s="29" t="s">
        <v>259</v>
      </c>
      <c r="F64" s="29" t="s">
        <v>170</v>
      </c>
      <c r="G64" s="29">
        <v>32.0</v>
      </c>
      <c r="H64" s="30">
        <v>290.0</v>
      </c>
      <c r="I64" s="44">
        <f t="shared" si="1"/>
        <v>9280</v>
      </c>
      <c r="J64" s="46" t="b">
        <v>1</v>
      </c>
      <c r="K64" s="48">
        <f t="shared" si="2"/>
        <v>32</v>
      </c>
      <c r="L64" s="49">
        <f t="shared" si="3"/>
        <v>50</v>
      </c>
    </row>
    <row r="65" ht="14.25" customHeight="1">
      <c r="A65" s="38">
        <v>46218.0</v>
      </c>
      <c r="B65" s="38" t="s">
        <v>77</v>
      </c>
      <c r="C65" s="29" t="s">
        <v>255</v>
      </c>
      <c r="D65" s="29" t="s">
        <v>260</v>
      </c>
      <c r="E65" s="29" t="s">
        <v>261</v>
      </c>
      <c r="F65" s="29" t="s">
        <v>170</v>
      </c>
      <c r="G65" s="29">
        <v>12.0</v>
      </c>
      <c r="H65" s="30">
        <v>990.0</v>
      </c>
      <c r="I65" s="44">
        <f t="shared" si="1"/>
        <v>11880</v>
      </c>
      <c r="J65" s="46" t="b">
        <v>1</v>
      </c>
      <c r="K65" s="48">
        <f t="shared" si="2"/>
        <v>12</v>
      </c>
      <c r="L65" s="49">
        <f t="shared" si="3"/>
        <v>51</v>
      </c>
    </row>
    <row r="66" ht="14.25" customHeight="1">
      <c r="A66" s="38">
        <v>46218.0</v>
      </c>
      <c r="B66" s="38" t="s">
        <v>77</v>
      </c>
      <c r="C66" s="29" t="s">
        <v>255</v>
      </c>
      <c r="D66" s="29" t="s">
        <v>262</v>
      </c>
      <c r="E66" s="29" t="s">
        <v>263</v>
      </c>
      <c r="F66" s="29" t="s">
        <v>264</v>
      </c>
      <c r="G66" s="29">
        <v>48.0</v>
      </c>
      <c r="H66" s="30">
        <v>110.0</v>
      </c>
      <c r="I66" s="44">
        <f t="shared" si="1"/>
        <v>5280</v>
      </c>
      <c r="J66" s="46" t="b">
        <v>1</v>
      </c>
      <c r="K66" s="48">
        <f t="shared" si="2"/>
        <v>48</v>
      </c>
      <c r="L66" s="49">
        <f t="shared" si="3"/>
        <v>52</v>
      </c>
    </row>
    <row r="67" ht="14.25" customHeight="1">
      <c r="A67" s="38">
        <v>46219.0</v>
      </c>
      <c r="B67" s="38" t="s">
        <v>77</v>
      </c>
      <c r="C67" s="29" t="s">
        <v>255</v>
      </c>
      <c r="D67" s="29" t="s">
        <v>265</v>
      </c>
      <c r="E67" s="29" t="s">
        <v>266</v>
      </c>
      <c r="F67" s="29" t="s">
        <v>170</v>
      </c>
      <c r="G67" s="29">
        <v>12.0</v>
      </c>
      <c r="H67" s="30">
        <v>990.0</v>
      </c>
      <c r="I67" s="44">
        <f t="shared" si="1"/>
        <v>11880</v>
      </c>
      <c r="J67" s="46" t="b">
        <v>1</v>
      </c>
      <c r="K67" s="48">
        <f t="shared" si="2"/>
        <v>12</v>
      </c>
      <c r="L67" s="49">
        <f t="shared" si="3"/>
        <v>53</v>
      </c>
    </row>
    <row r="68" ht="14.25" customHeight="1">
      <c r="A68" s="38">
        <v>46153.0</v>
      </c>
      <c r="B68" s="38" t="s">
        <v>77</v>
      </c>
      <c r="C68" s="29" t="s">
        <v>178</v>
      </c>
      <c r="D68" s="29" t="s">
        <v>267</v>
      </c>
      <c r="E68" s="29" t="s">
        <v>268</v>
      </c>
      <c r="F68" s="29" t="s">
        <v>170</v>
      </c>
      <c r="G68" s="29">
        <v>5.0</v>
      </c>
      <c r="H68" s="30">
        <v>600.0</v>
      </c>
      <c r="I68" s="44">
        <f t="shared" si="1"/>
        <v>3000</v>
      </c>
      <c r="J68" s="46" t="b">
        <v>1</v>
      </c>
      <c r="K68" s="48">
        <f t="shared" si="2"/>
        <v>5</v>
      </c>
      <c r="L68" s="49">
        <f t="shared" si="3"/>
        <v>54</v>
      </c>
    </row>
    <row r="69" ht="14.25" customHeight="1">
      <c r="A69" s="38">
        <v>46216.0</v>
      </c>
      <c r="B69" s="38" t="s">
        <v>77</v>
      </c>
      <c r="C69" s="29" t="s">
        <v>79</v>
      </c>
      <c r="D69" s="29" t="s">
        <v>269</v>
      </c>
      <c r="E69" s="29" t="s">
        <v>270</v>
      </c>
      <c r="F69" s="29" t="s">
        <v>84</v>
      </c>
      <c r="G69" s="29">
        <v>5.0</v>
      </c>
      <c r="H69" s="30">
        <v>65.0</v>
      </c>
      <c r="I69" s="44">
        <f t="shared" si="1"/>
        <v>325</v>
      </c>
      <c r="J69" s="46" t="b">
        <v>1</v>
      </c>
      <c r="K69" s="48">
        <f t="shared" si="2"/>
        <v>5</v>
      </c>
      <c r="L69" s="49">
        <f t="shared" si="3"/>
        <v>55</v>
      </c>
    </row>
    <row r="70" ht="14.25" customHeight="1">
      <c r="A70" s="38">
        <v>46216.0</v>
      </c>
      <c r="B70" s="38" t="s">
        <v>77</v>
      </c>
      <c r="C70" s="29" t="s">
        <v>79</v>
      </c>
      <c r="D70" s="29" t="s">
        <v>271</v>
      </c>
      <c r="E70" s="29" t="s">
        <v>272</v>
      </c>
      <c r="F70" s="29" t="s">
        <v>84</v>
      </c>
      <c r="G70" s="29">
        <v>5.0</v>
      </c>
      <c r="H70" s="30">
        <v>35.0</v>
      </c>
      <c r="I70" s="44">
        <f t="shared" si="1"/>
        <v>175</v>
      </c>
      <c r="J70" s="46" t="b">
        <v>1</v>
      </c>
      <c r="K70" s="48">
        <f t="shared" si="2"/>
        <v>5</v>
      </c>
      <c r="L70" s="49">
        <f t="shared" si="3"/>
        <v>56</v>
      </c>
    </row>
    <row r="71" ht="14.25" customHeight="1">
      <c r="A71" s="38">
        <v>46216.0</v>
      </c>
      <c r="B71" s="38" t="s">
        <v>77</v>
      </c>
      <c r="C71" s="29" t="s">
        <v>79</v>
      </c>
      <c r="D71" s="29" t="s">
        <v>273</v>
      </c>
      <c r="E71" s="29" t="s">
        <v>274</v>
      </c>
      <c r="F71" s="29" t="s">
        <v>170</v>
      </c>
      <c r="G71" s="29">
        <v>2.0</v>
      </c>
      <c r="H71" s="30">
        <v>300.0</v>
      </c>
      <c r="I71" s="44">
        <f t="shared" si="1"/>
        <v>600</v>
      </c>
      <c r="J71" s="46" t="b">
        <v>1</v>
      </c>
      <c r="K71" s="48">
        <f t="shared" si="2"/>
        <v>2</v>
      </c>
      <c r="L71" s="49">
        <f t="shared" si="3"/>
        <v>57</v>
      </c>
    </row>
    <row r="72" ht="14.25" customHeight="1">
      <c r="A72" s="38">
        <v>46216.0</v>
      </c>
      <c r="B72" s="38" t="s">
        <v>77</v>
      </c>
      <c r="C72" s="29" t="s">
        <v>79</v>
      </c>
      <c r="D72" s="29" t="s">
        <v>275</v>
      </c>
      <c r="E72" s="29" t="s">
        <v>276</v>
      </c>
      <c r="F72" s="29" t="s">
        <v>106</v>
      </c>
      <c r="G72" s="29">
        <v>2.0</v>
      </c>
      <c r="H72" s="30">
        <v>65.0</v>
      </c>
      <c r="I72" s="44">
        <f t="shared" si="1"/>
        <v>130</v>
      </c>
      <c r="J72" s="46" t="b">
        <v>1</v>
      </c>
      <c r="K72" s="48">
        <f t="shared" si="2"/>
        <v>2</v>
      </c>
      <c r="L72" s="49">
        <f t="shared" si="3"/>
        <v>58</v>
      </c>
    </row>
    <row r="73" ht="14.25" customHeight="1">
      <c r="A73" s="38">
        <v>46217.0</v>
      </c>
      <c r="B73" s="38" t="s">
        <v>77</v>
      </c>
      <c r="C73" s="29" t="s">
        <v>79</v>
      </c>
      <c r="D73" s="29" t="s">
        <v>277</v>
      </c>
      <c r="E73" s="29" t="s">
        <v>278</v>
      </c>
      <c r="F73" s="29" t="s">
        <v>170</v>
      </c>
      <c r="G73" s="29">
        <v>1.0</v>
      </c>
      <c r="H73" s="30">
        <v>368.0</v>
      </c>
      <c r="I73" s="44">
        <f t="shared" si="1"/>
        <v>368</v>
      </c>
      <c r="J73" s="46" t="b">
        <v>1</v>
      </c>
      <c r="K73" s="48">
        <f t="shared" si="2"/>
        <v>1</v>
      </c>
      <c r="L73" s="49">
        <f t="shared" si="3"/>
        <v>59</v>
      </c>
    </row>
    <row r="74" ht="14.25" customHeight="1">
      <c r="A74" s="38">
        <v>46219.0</v>
      </c>
      <c r="B74" s="38" t="s">
        <v>77</v>
      </c>
      <c r="C74" s="29" t="s">
        <v>79</v>
      </c>
      <c r="D74" s="29" t="s">
        <v>279</v>
      </c>
      <c r="E74" s="29" t="s">
        <v>280</v>
      </c>
      <c r="F74" s="29" t="s">
        <v>170</v>
      </c>
      <c r="G74" s="29">
        <v>2.0</v>
      </c>
      <c r="H74" s="30">
        <v>4100.0</v>
      </c>
      <c r="I74" s="44">
        <f t="shared" si="1"/>
        <v>8200</v>
      </c>
      <c r="J74" s="46" t="b">
        <v>1</v>
      </c>
      <c r="K74" s="48">
        <f t="shared" si="2"/>
        <v>2</v>
      </c>
      <c r="L74" s="49">
        <f t="shared" si="3"/>
        <v>60</v>
      </c>
    </row>
    <row r="75" ht="14.25" customHeight="1">
      <c r="A75" s="38">
        <v>46216.0</v>
      </c>
      <c r="B75" s="38" t="s">
        <v>77</v>
      </c>
      <c r="C75" s="29" t="s">
        <v>79</v>
      </c>
      <c r="D75" s="29" t="s">
        <v>251</v>
      </c>
      <c r="E75" s="29" t="s">
        <v>252</v>
      </c>
      <c r="F75" s="29" t="s">
        <v>165</v>
      </c>
      <c r="G75" s="29">
        <v>1.0</v>
      </c>
      <c r="H75" s="30">
        <v>420.0</v>
      </c>
      <c r="I75" s="44">
        <f t="shared" si="1"/>
        <v>420</v>
      </c>
      <c r="J75" s="46" t="b">
        <v>1</v>
      </c>
      <c r="K75" s="48">
        <f t="shared" si="2"/>
        <v>1</v>
      </c>
      <c r="L75" s="49" t="str">
        <f t="shared" si="3"/>
        <v/>
      </c>
    </row>
    <row r="76" ht="14.25" customHeight="1">
      <c r="A76" s="38">
        <v>46221.0</v>
      </c>
      <c r="B76" s="29" t="s">
        <v>77</v>
      </c>
      <c r="C76" s="29" t="s">
        <v>79</v>
      </c>
      <c r="D76" s="29" t="s">
        <v>279</v>
      </c>
      <c r="E76" s="29" t="s">
        <v>280</v>
      </c>
      <c r="F76" s="29" t="s">
        <v>170</v>
      </c>
      <c r="G76" s="29">
        <v>2.0</v>
      </c>
      <c r="H76" s="30">
        <v>4100.0</v>
      </c>
      <c r="I76" s="44">
        <f t="shared" si="1"/>
        <v>8200</v>
      </c>
      <c r="J76" s="46" t="b">
        <v>1</v>
      </c>
      <c r="K76" s="48">
        <f t="shared" si="2"/>
        <v>2</v>
      </c>
      <c r="L76" s="49" t="str">
        <f t="shared" si="3"/>
        <v/>
      </c>
    </row>
    <row r="77" ht="14.25" customHeight="1">
      <c r="A77" s="38">
        <v>46221.0</v>
      </c>
      <c r="B77" s="29" t="s">
        <v>77</v>
      </c>
      <c r="C77" s="29" t="s">
        <v>79</v>
      </c>
      <c r="D77" s="29" t="s">
        <v>289</v>
      </c>
      <c r="E77" s="29" t="s">
        <v>291</v>
      </c>
      <c r="F77" s="29" t="s">
        <v>84</v>
      </c>
      <c r="G77" s="29">
        <v>3.0</v>
      </c>
      <c r="H77" s="30">
        <v>90.0</v>
      </c>
      <c r="I77" s="44">
        <f t="shared" si="1"/>
        <v>270</v>
      </c>
      <c r="J77" s="46" t="b">
        <v>1</v>
      </c>
      <c r="K77" s="48">
        <f t="shared" si="2"/>
        <v>3</v>
      </c>
      <c r="L77" s="49">
        <f t="shared" si="3"/>
        <v>61</v>
      </c>
    </row>
    <row r="78" ht="14.25" customHeight="1">
      <c r="A78" s="38">
        <v>46221.0</v>
      </c>
      <c r="B78" s="29" t="s">
        <v>77</v>
      </c>
      <c r="C78" s="29" t="s">
        <v>79</v>
      </c>
      <c r="D78" s="29" t="s">
        <v>299</v>
      </c>
      <c r="E78" s="29" t="s">
        <v>300</v>
      </c>
      <c r="F78" s="29" t="s">
        <v>84</v>
      </c>
      <c r="G78" s="29">
        <v>2.0</v>
      </c>
      <c r="H78" s="30">
        <v>230.0</v>
      </c>
      <c r="I78" s="44">
        <f t="shared" si="1"/>
        <v>460</v>
      </c>
      <c r="J78" s="46" t="b">
        <v>1</v>
      </c>
      <c r="K78" s="48">
        <f t="shared" si="2"/>
        <v>2</v>
      </c>
      <c r="L78" s="49">
        <f t="shared" si="3"/>
        <v>62</v>
      </c>
    </row>
    <row r="79" ht="14.25" customHeight="1">
      <c r="A79" s="38">
        <v>46221.0</v>
      </c>
      <c r="B79" s="29" t="s">
        <v>77</v>
      </c>
      <c r="C79" s="29" t="s">
        <v>79</v>
      </c>
      <c r="D79" s="29" t="s">
        <v>306</v>
      </c>
      <c r="E79" s="29" t="s">
        <v>309</v>
      </c>
      <c r="F79" s="29" t="s">
        <v>84</v>
      </c>
      <c r="G79" s="29">
        <v>2.0</v>
      </c>
      <c r="H79" s="30">
        <v>130.0</v>
      </c>
      <c r="I79" s="44">
        <f t="shared" si="1"/>
        <v>260</v>
      </c>
      <c r="J79" s="46" t="b">
        <v>1</v>
      </c>
      <c r="K79" s="48">
        <f t="shared" si="2"/>
        <v>2</v>
      </c>
      <c r="L79" s="49">
        <f t="shared" si="3"/>
        <v>63</v>
      </c>
    </row>
    <row r="80" ht="14.25" customHeight="1">
      <c r="A80" s="38">
        <v>46223.0</v>
      </c>
      <c r="B80" s="29" t="s">
        <v>77</v>
      </c>
      <c r="C80" s="29" t="s">
        <v>178</v>
      </c>
      <c r="D80" s="29" t="s">
        <v>232</v>
      </c>
      <c r="E80" s="29" t="s">
        <v>233</v>
      </c>
      <c r="F80" s="29" t="s">
        <v>170</v>
      </c>
      <c r="G80" s="29">
        <v>18.0</v>
      </c>
      <c r="H80" s="30">
        <v>290.0</v>
      </c>
      <c r="I80" s="44">
        <f t="shared" si="1"/>
        <v>5220</v>
      </c>
      <c r="J80" s="46" t="b">
        <v>1</v>
      </c>
      <c r="K80" s="48">
        <f t="shared" si="2"/>
        <v>18</v>
      </c>
      <c r="L80" s="49" t="str">
        <f t="shared" si="3"/>
        <v/>
      </c>
    </row>
    <row r="81" ht="14.25" customHeight="1">
      <c r="A81" s="38">
        <v>46223.0</v>
      </c>
      <c r="B81" s="29" t="s">
        <v>77</v>
      </c>
      <c r="C81" s="29" t="s">
        <v>178</v>
      </c>
      <c r="D81" s="29" t="s">
        <v>179</v>
      </c>
      <c r="E81" s="29" t="s">
        <v>182</v>
      </c>
      <c r="F81" s="29" t="s">
        <v>181</v>
      </c>
      <c r="G81" s="29">
        <v>790.0</v>
      </c>
      <c r="H81" s="30">
        <v>8.0</v>
      </c>
      <c r="I81" s="44">
        <f t="shared" si="1"/>
        <v>6320</v>
      </c>
      <c r="J81" s="46" t="b">
        <v>1</v>
      </c>
      <c r="K81" s="48">
        <f t="shared" si="2"/>
        <v>790</v>
      </c>
      <c r="L81" s="49" t="str">
        <f t="shared" si="3"/>
        <v/>
      </c>
    </row>
    <row r="82" ht="14.25" customHeight="1">
      <c r="A82" s="38">
        <v>46225.0</v>
      </c>
      <c r="B82" s="29" t="s">
        <v>77</v>
      </c>
      <c r="C82" s="29" t="s">
        <v>178</v>
      </c>
      <c r="D82" s="29" t="s">
        <v>328</v>
      </c>
      <c r="E82" s="29" t="s">
        <v>329</v>
      </c>
      <c r="F82" s="29" t="s">
        <v>170</v>
      </c>
      <c r="G82" s="29">
        <v>1.0</v>
      </c>
      <c r="H82" s="30">
        <v>635.0</v>
      </c>
      <c r="I82" s="44">
        <f t="shared" si="1"/>
        <v>635</v>
      </c>
      <c r="J82" s="46" t="b">
        <v>1</v>
      </c>
      <c r="K82" s="48">
        <f t="shared" si="2"/>
        <v>1</v>
      </c>
      <c r="L82" s="49">
        <f t="shared" si="3"/>
        <v>64</v>
      </c>
    </row>
    <row r="83" ht="14.25" customHeight="1">
      <c r="A83" s="38">
        <v>46229.0</v>
      </c>
      <c r="B83" s="29" t="s">
        <v>77</v>
      </c>
      <c r="C83" s="29" t="s">
        <v>191</v>
      </c>
      <c r="D83" s="29" t="s">
        <v>331</v>
      </c>
      <c r="E83" s="29" t="s">
        <v>332</v>
      </c>
      <c r="F83" s="29" t="s">
        <v>333</v>
      </c>
      <c r="G83" s="29">
        <v>1.0</v>
      </c>
      <c r="H83" s="30">
        <v>1050.0</v>
      </c>
      <c r="I83" s="44">
        <f t="shared" si="1"/>
        <v>1050</v>
      </c>
      <c r="J83" s="46" t="b">
        <v>1</v>
      </c>
      <c r="K83" s="48">
        <f t="shared" si="2"/>
        <v>1</v>
      </c>
      <c r="L83" s="49">
        <f t="shared" si="3"/>
        <v>65</v>
      </c>
    </row>
    <row r="84" ht="14.25" customHeight="1">
      <c r="A84" s="38">
        <v>46229.0</v>
      </c>
      <c r="B84" s="29" t="s">
        <v>77</v>
      </c>
      <c r="C84" s="29" t="s">
        <v>79</v>
      </c>
      <c r="D84" s="29" t="s">
        <v>334</v>
      </c>
      <c r="E84" s="29" t="s">
        <v>335</v>
      </c>
      <c r="F84" s="29" t="s">
        <v>84</v>
      </c>
      <c r="G84" s="29">
        <v>2.0</v>
      </c>
      <c r="H84" s="30">
        <v>980.0</v>
      </c>
      <c r="I84" s="44">
        <f t="shared" si="1"/>
        <v>1960</v>
      </c>
      <c r="J84" s="46" t="b">
        <v>1</v>
      </c>
      <c r="K84" s="48">
        <f t="shared" si="2"/>
        <v>2</v>
      </c>
      <c r="L84" s="49">
        <f t="shared" si="3"/>
        <v>66</v>
      </c>
    </row>
    <row r="85" ht="14.25" customHeight="1">
      <c r="A85" s="38">
        <v>46229.0</v>
      </c>
      <c r="B85" s="29" t="s">
        <v>77</v>
      </c>
      <c r="C85" s="29" t="s">
        <v>79</v>
      </c>
      <c r="D85" s="29" t="s">
        <v>159</v>
      </c>
      <c r="E85" s="29" t="s">
        <v>160</v>
      </c>
      <c r="F85" s="29" t="s">
        <v>84</v>
      </c>
      <c r="G85" s="29">
        <v>1.0</v>
      </c>
      <c r="H85" s="30">
        <v>300.0</v>
      </c>
      <c r="I85" s="44">
        <f t="shared" si="1"/>
        <v>300</v>
      </c>
      <c r="J85" s="46" t="b">
        <v>1</v>
      </c>
      <c r="K85" s="48">
        <f t="shared" si="2"/>
        <v>1</v>
      </c>
      <c r="L85" s="49" t="str">
        <f t="shared" si="3"/>
        <v/>
      </c>
    </row>
    <row r="86" ht="14.25" customHeight="1">
      <c r="A86" s="38">
        <v>46216.0</v>
      </c>
      <c r="B86" s="29" t="s">
        <v>77</v>
      </c>
      <c r="C86" s="29" t="s">
        <v>79</v>
      </c>
      <c r="D86" s="29" t="s">
        <v>336</v>
      </c>
      <c r="E86" s="29" t="s">
        <v>337</v>
      </c>
      <c r="F86" s="29" t="s">
        <v>106</v>
      </c>
      <c r="G86" s="29">
        <v>9.0</v>
      </c>
      <c r="H86" s="30">
        <v>52.0</v>
      </c>
      <c r="I86" s="44">
        <f t="shared" si="1"/>
        <v>468</v>
      </c>
      <c r="J86" s="46" t="b">
        <v>1</v>
      </c>
      <c r="K86" s="48">
        <f t="shared" si="2"/>
        <v>9</v>
      </c>
      <c r="L86" s="49">
        <f t="shared" si="3"/>
        <v>67</v>
      </c>
    </row>
    <row r="87" ht="14.25" customHeight="1">
      <c r="A87" s="38">
        <v>46231.0</v>
      </c>
      <c r="B87" s="29" t="s">
        <v>77</v>
      </c>
      <c r="C87" s="29" t="s">
        <v>108</v>
      </c>
      <c r="D87" s="29" t="s">
        <v>338</v>
      </c>
      <c r="E87" s="29" t="s">
        <v>339</v>
      </c>
      <c r="F87" s="29" t="s">
        <v>106</v>
      </c>
      <c r="G87" s="29">
        <v>24.0</v>
      </c>
      <c r="H87" s="30">
        <v>50.0</v>
      </c>
      <c r="I87" s="44">
        <f t="shared" si="1"/>
        <v>1200</v>
      </c>
      <c r="J87" s="46" t="b">
        <v>1</v>
      </c>
      <c r="K87" s="48">
        <f t="shared" si="2"/>
        <v>24</v>
      </c>
      <c r="L87" s="49">
        <f t="shared" si="3"/>
        <v>68</v>
      </c>
    </row>
    <row r="88" ht="14.25" customHeight="1">
      <c r="A88" s="38">
        <v>46231.0</v>
      </c>
      <c r="B88" s="29" t="s">
        <v>77</v>
      </c>
      <c r="C88" s="29" t="s">
        <v>108</v>
      </c>
      <c r="D88" s="29" t="s">
        <v>340</v>
      </c>
      <c r="E88" s="29" t="s">
        <v>341</v>
      </c>
      <c r="F88" s="29" t="s">
        <v>84</v>
      </c>
      <c r="G88" s="29">
        <v>2.0</v>
      </c>
      <c r="H88" s="30">
        <v>450.0</v>
      </c>
      <c r="I88" s="44">
        <f t="shared" si="1"/>
        <v>900</v>
      </c>
      <c r="J88" s="46" t="b">
        <v>1</v>
      </c>
      <c r="K88" s="48">
        <f t="shared" si="2"/>
        <v>2</v>
      </c>
      <c r="L88" s="49">
        <f t="shared" si="3"/>
        <v>69</v>
      </c>
    </row>
    <row r="89" ht="14.25" customHeight="1">
      <c r="A89" s="38">
        <v>46231.0</v>
      </c>
      <c r="B89" s="29" t="s">
        <v>77</v>
      </c>
      <c r="C89" s="29" t="s">
        <v>108</v>
      </c>
      <c r="D89" s="29" t="s">
        <v>132</v>
      </c>
      <c r="E89" s="29" t="s">
        <v>133</v>
      </c>
      <c r="F89" s="29" t="s">
        <v>84</v>
      </c>
      <c r="G89" s="29">
        <v>6.0</v>
      </c>
      <c r="H89" s="30">
        <v>240.0</v>
      </c>
      <c r="I89" s="44">
        <f t="shared" si="1"/>
        <v>1440</v>
      </c>
      <c r="J89" s="46" t="b">
        <v>1</v>
      </c>
      <c r="K89" s="48">
        <f t="shared" si="2"/>
        <v>6</v>
      </c>
      <c r="L89" s="49" t="str">
        <f t="shared" si="3"/>
        <v/>
      </c>
    </row>
    <row r="90" ht="14.25" customHeight="1">
      <c r="A90" s="38">
        <v>46231.0</v>
      </c>
      <c r="B90" s="29" t="s">
        <v>77</v>
      </c>
      <c r="C90" s="29" t="s">
        <v>79</v>
      </c>
      <c r="D90" s="29" t="s">
        <v>342</v>
      </c>
      <c r="E90" s="29" t="s">
        <v>343</v>
      </c>
      <c r="F90" s="29" t="s">
        <v>344</v>
      </c>
      <c r="G90" s="29">
        <v>12.0</v>
      </c>
      <c r="H90" s="30">
        <v>160.0</v>
      </c>
      <c r="I90" s="44">
        <f t="shared" si="1"/>
        <v>1920</v>
      </c>
      <c r="J90" s="46" t="b">
        <v>1</v>
      </c>
      <c r="K90" s="48">
        <f t="shared" si="2"/>
        <v>12</v>
      </c>
      <c r="L90" s="49">
        <f t="shared" si="3"/>
        <v>70</v>
      </c>
    </row>
    <row r="91" ht="14.25" customHeight="1">
      <c r="A91" s="38">
        <v>46231.0</v>
      </c>
      <c r="B91" s="29" t="s">
        <v>77</v>
      </c>
      <c r="C91" s="29" t="s">
        <v>79</v>
      </c>
      <c r="D91" s="29" t="s">
        <v>347</v>
      </c>
      <c r="E91" s="29" t="s">
        <v>348</v>
      </c>
      <c r="F91" s="29" t="s">
        <v>344</v>
      </c>
      <c r="G91" s="29">
        <v>12.0</v>
      </c>
      <c r="H91" s="30">
        <v>160.0</v>
      </c>
      <c r="I91" s="44">
        <f t="shared" si="1"/>
        <v>1920</v>
      </c>
      <c r="J91" s="46" t="b">
        <v>1</v>
      </c>
      <c r="K91" s="48">
        <f t="shared" si="2"/>
        <v>12</v>
      </c>
      <c r="L91" s="49">
        <f t="shared" si="3"/>
        <v>71</v>
      </c>
    </row>
    <row r="92" ht="14.25" customHeight="1">
      <c r="A92" s="38">
        <v>46231.0</v>
      </c>
      <c r="B92" s="29" t="s">
        <v>77</v>
      </c>
      <c r="C92" s="29" t="s">
        <v>79</v>
      </c>
      <c r="D92" s="29" t="s">
        <v>349</v>
      </c>
      <c r="E92" s="29" t="s">
        <v>350</v>
      </c>
      <c r="F92" s="29" t="s">
        <v>344</v>
      </c>
      <c r="G92" s="29">
        <v>12.0</v>
      </c>
      <c r="H92" s="30">
        <v>130.0</v>
      </c>
      <c r="I92" s="44">
        <f t="shared" si="1"/>
        <v>1560</v>
      </c>
      <c r="J92" s="46" t="b">
        <v>1</v>
      </c>
      <c r="K92" s="48">
        <f t="shared" si="2"/>
        <v>12</v>
      </c>
      <c r="L92" s="49">
        <f t="shared" si="3"/>
        <v>72</v>
      </c>
    </row>
    <row r="93" ht="14.25" customHeight="1">
      <c r="A93" s="38">
        <v>46231.0</v>
      </c>
      <c r="B93" s="29" t="s">
        <v>77</v>
      </c>
      <c r="C93" s="29" t="s">
        <v>79</v>
      </c>
      <c r="D93" s="29" t="s">
        <v>352</v>
      </c>
      <c r="E93" s="29" t="s">
        <v>353</v>
      </c>
      <c r="F93" s="29" t="s">
        <v>344</v>
      </c>
      <c r="G93" s="29">
        <v>12.0</v>
      </c>
      <c r="H93" s="30">
        <v>130.0</v>
      </c>
      <c r="I93" s="44">
        <f t="shared" si="1"/>
        <v>1560</v>
      </c>
      <c r="J93" s="46" t="b">
        <v>1</v>
      </c>
      <c r="K93" s="48">
        <f t="shared" si="2"/>
        <v>12</v>
      </c>
      <c r="L93" s="49">
        <f t="shared" si="3"/>
        <v>73</v>
      </c>
    </row>
    <row r="94" ht="14.25" customHeight="1">
      <c r="A94" s="38">
        <v>46231.0</v>
      </c>
      <c r="B94" s="29" t="s">
        <v>77</v>
      </c>
      <c r="C94" s="29" t="s">
        <v>79</v>
      </c>
      <c r="D94" s="29" t="s">
        <v>354</v>
      </c>
      <c r="E94" s="29" t="s">
        <v>355</v>
      </c>
      <c r="F94" s="29" t="s">
        <v>84</v>
      </c>
      <c r="G94" s="29">
        <v>2.0</v>
      </c>
      <c r="H94" s="30">
        <v>175.0</v>
      </c>
      <c r="I94" s="44">
        <f t="shared" si="1"/>
        <v>350</v>
      </c>
      <c r="J94" s="46" t="b">
        <v>1</v>
      </c>
      <c r="K94" s="48">
        <f t="shared" si="2"/>
        <v>2</v>
      </c>
      <c r="L94" s="49">
        <f t="shared" si="3"/>
        <v>74</v>
      </c>
    </row>
    <row r="95" ht="14.25" customHeight="1">
      <c r="A95" s="38">
        <v>46232.0</v>
      </c>
      <c r="B95" s="29" t="s">
        <v>77</v>
      </c>
      <c r="C95" s="29" t="s">
        <v>358</v>
      </c>
      <c r="D95" s="29" t="s">
        <v>359</v>
      </c>
      <c r="E95" s="29" t="s">
        <v>360</v>
      </c>
      <c r="F95" s="29" t="s">
        <v>106</v>
      </c>
      <c r="G95" s="29">
        <v>12.0</v>
      </c>
      <c r="H95" s="30">
        <v>60.0</v>
      </c>
      <c r="I95" s="44">
        <f t="shared" si="1"/>
        <v>720</v>
      </c>
      <c r="J95" s="46" t="b">
        <v>1</v>
      </c>
      <c r="K95" s="48">
        <f t="shared" si="2"/>
        <v>12</v>
      </c>
      <c r="L95" s="49">
        <f t="shared" si="3"/>
        <v>75</v>
      </c>
    </row>
    <row r="96" ht="14.25" customHeight="1">
      <c r="A96" s="38">
        <v>46232.0</v>
      </c>
      <c r="B96" s="29" t="s">
        <v>77</v>
      </c>
      <c r="C96" s="29" t="s">
        <v>358</v>
      </c>
      <c r="D96" s="29" t="s">
        <v>361</v>
      </c>
      <c r="E96" s="29" t="s">
        <v>362</v>
      </c>
      <c r="F96" s="29" t="s">
        <v>106</v>
      </c>
      <c r="G96" s="29">
        <v>12.0</v>
      </c>
      <c r="H96" s="30">
        <v>60.0</v>
      </c>
      <c r="I96" s="44">
        <f t="shared" si="1"/>
        <v>720</v>
      </c>
      <c r="J96" s="46" t="b">
        <v>1</v>
      </c>
      <c r="K96" s="48">
        <f t="shared" si="2"/>
        <v>12</v>
      </c>
      <c r="L96" s="49">
        <f t="shared" si="3"/>
        <v>76</v>
      </c>
    </row>
    <row r="97" ht="14.25" customHeight="1">
      <c r="A97" s="38">
        <v>46232.0</v>
      </c>
      <c r="B97" s="29" t="s">
        <v>77</v>
      </c>
      <c r="C97" s="29" t="s">
        <v>358</v>
      </c>
      <c r="D97" s="29" t="s">
        <v>363</v>
      </c>
      <c r="E97" s="29" t="s">
        <v>364</v>
      </c>
      <c r="F97" s="29" t="s">
        <v>106</v>
      </c>
      <c r="G97" s="29">
        <v>8.0</v>
      </c>
      <c r="H97" s="30">
        <v>70.0</v>
      </c>
      <c r="I97" s="44">
        <f t="shared" si="1"/>
        <v>560</v>
      </c>
      <c r="J97" s="46" t="b">
        <v>1</v>
      </c>
      <c r="K97" s="48">
        <f t="shared" si="2"/>
        <v>8</v>
      </c>
      <c r="L97" s="49">
        <f t="shared" si="3"/>
        <v>77</v>
      </c>
    </row>
    <row r="98" ht="14.25" customHeight="1">
      <c r="A98" s="38">
        <v>46232.0</v>
      </c>
      <c r="B98" s="29" t="s">
        <v>77</v>
      </c>
      <c r="C98" s="29" t="s">
        <v>358</v>
      </c>
      <c r="D98" s="29" t="s">
        <v>368</v>
      </c>
      <c r="E98" s="29" t="s">
        <v>369</v>
      </c>
      <c r="F98" s="29" t="s">
        <v>106</v>
      </c>
      <c r="G98" s="29">
        <v>12.0</v>
      </c>
      <c r="H98" s="30">
        <v>85.0</v>
      </c>
      <c r="I98" s="44">
        <f t="shared" si="1"/>
        <v>1020</v>
      </c>
      <c r="J98" s="46" t="b">
        <v>1</v>
      </c>
      <c r="K98" s="48">
        <f t="shared" si="2"/>
        <v>12</v>
      </c>
      <c r="L98" s="49">
        <f t="shared" si="3"/>
        <v>78</v>
      </c>
    </row>
    <row r="99" ht="14.25" customHeight="1">
      <c r="A99" s="38">
        <v>46232.0</v>
      </c>
      <c r="B99" s="29" t="s">
        <v>77</v>
      </c>
      <c r="C99" s="29" t="s">
        <v>358</v>
      </c>
      <c r="D99" s="29" t="s">
        <v>370</v>
      </c>
      <c r="E99" s="29" t="s">
        <v>371</v>
      </c>
      <c r="F99" s="29" t="s">
        <v>165</v>
      </c>
      <c r="G99" s="29">
        <v>6.0</v>
      </c>
      <c r="H99" s="30">
        <v>200.0</v>
      </c>
      <c r="I99" s="44">
        <f t="shared" si="1"/>
        <v>1200</v>
      </c>
      <c r="J99" s="46" t="b">
        <v>1</v>
      </c>
      <c r="K99" s="48">
        <f t="shared" si="2"/>
        <v>6</v>
      </c>
      <c r="L99" s="49">
        <f t="shared" si="3"/>
        <v>79</v>
      </c>
    </row>
    <row r="100" ht="14.25" customHeight="1">
      <c r="A100" s="38">
        <v>46232.0</v>
      </c>
      <c r="B100" s="29" t="s">
        <v>77</v>
      </c>
      <c r="C100" s="29" t="s">
        <v>358</v>
      </c>
      <c r="D100" s="29" t="s">
        <v>372</v>
      </c>
      <c r="E100" s="29" t="s">
        <v>373</v>
      </c>
      <c r="F100" s="29" t="s">
        <v>84</v>
      </c>
      <c r="G100" s="29">
        <v>12.0</v>
      </c>
      <c r="H100" s="30">
        <v>37.0</v>
      </c>
      <c r="I100" s="44">
        <f t="shared" si="1"/>
        <v>444</v>
      </c>
      <c r="J100" s="46" t="b">
        <v>1</v>
      </c>
      <c r="K100" s="48">
        <f t="shared" si="2"/>
        <v>12</v>
      </c>
      <c r="L100" s="49">
        <f t="shared" si="3"/>
        <v>80</v>
      </c>
    </row>
    <row r="101" ht="14.25" customHeight="1">
      <c r="A101" s="38">
        <v>46233.0</v>
      </c>
      <c r="B101" s="29" t="s">
        <v>77</v>
      </c>
      <c r="C101" s="29" t="s">
        <v>79</v>
      </c>
      <c r="D101" s="29" t="s">
        <v>374</v>
      </c>
      <c r="E101" s="29" t="s">
        <v>375</v>
      </c>
      <c r="F101" s="29" t="s">
        <v>84</v>
      </c>
      <c r="G101" s="29">
        <v>2.0</v>
      </c>
      <c r="H101" s="30">
        <v>120.0</v>
      </c>
      <c r="I101" s="44">
        <f t="shared" si="1"/>
        <v>240</v>
      </c>
      <c r="J101" s="46" t="b">
        <v>0</v>
      </c>
      <c r="K101" s="48">
        <f t="shared" si="2"/>
        <v>2</v>
      </c>
      <c r="L101" s="49">
        <f t="shared" si="3"/>
        <v>81</v>
      </c>
    </row>
    <row r="102" ht="14.25" customHeight="1">
      <c r="A102" s="38">
        <v>46232.0</v>
      </c>
      <c r="B102" s="29" t="s">
        <v>77</v>
      </c>
      <c r="C102" s="29" t="s">
        <v>358</v>
      </c>
      <c r="D102" s="29" t="s">
        <v>376</v>
      </c>
      <c r="E102" s="29" t="s">
        <v>377</v>
      </c>
      <c r="F102" s="29" t="s">
        <v>165</v>
      </c>
      <c r="G102" s="29">
        <v>6.0</v>
      </c>
      <c r="H102" s="30">
        <v>200.0</v>
      </c>
      <c r="I102" s="44">
        <f t="shared" si="1"/>
        <v>1200</v>
      </c>
      <c r="J102" s="46" t="b">
        <v>1</v>
      </c>
      <c r="K102" s="48">
        <f t="shared" si="2"/>
        <v>6</v>
      </c>
      <c r="L102" s="49">
        <f t="shared" si="3"/>
        <v>82</v>
      </c>
    </row>
    <row r="103" ht="14.25" customHeight="1">
      <c r="A103" s="38">
        <v>46232.0</v>
      </c>
      <c r="B103" s="29" t="s">
        <v>77</v>
      </c>
      <c r="C103" s="29" t="s">
        <v>191</v>
      </c>
      <c r="D103" s="29" t="s">
        <v>378</v>
      </c>
      <c r="E103" s="29" t="s">
        <v>379</v>
      </c>
      <c r="F103" s="29" t="s">
        <v>170</v>
      </c>
      <c r="G103" s="69">
        <v>24.0</v>
      </c>
      <c r="H103" s="30">
        <v>150.0</v>
      </c>
      <c r="I103" s="44">
        <f t="shared" si="1"/>
        <v>3600</v>
      </c>
      <c r="J103" s="46" t="b">
        <v>0</v>
      </c>
      <c r="K103" s="48">
        <f t="shared" si="2"/>
        <v>24</v>
      </c>
      <c r="L103" s="49">
        <f t="shared" si="3"/>
        <v>83</v>
      </c>
    </row>
    <row r="104" ht="14.25" customHeight="1">
      <c r="A104" s="38">
        <v>46237.0</v>
      </c>
      <c r="B104" s="29" t="s">
        <v>77</v>
      </c>
      <c r="C104" s="29" t="s">
        <v>79</v>
      </c>
      <c r="D104" s="29" t="s">
        <v>179</v>
      </c>
      <c r="E104" s="29" t="s">
        <v>182</v>
      </c>
      <c r="F104" s="29" t="s">
        <v>181</v>
      </c>
      <c r="G104" s="29">
        <v>50.0</v>
      </c>
      <c r="H104" s="30">
        <v>10.0</v>
      </c>
      <c r="I104" s="44">
        <f t="shared" si="1"/>
        <v>500</v>
      </c>
      <c r="J104" s="46" t="b">
        <v>0</v>
      </c>
      <c r="K104" s="48">
        <f t="shared" si="2"/>
        <v>50</v>
      </c>
      <c r="L104" s="49" t="str">
        <f t="shared" si="3"/>
        <v/>
      </c>
    </row>
    <row r="105" ht="14.25" customHeight="1">
      <c r="A105" s="38">
        <v>46237.0</v>
      </c>
      <c r="B105" s="29" t="s">
        <v>77</v>
      </c>
      <c r="C105" s="29" t="s">
        <v>79</v>
      </c>
      <c r="D105" s="29" t="s">
        <v>306</v>
      </c>
      <c r="E105" s="29" t="s">
        <v>309</v>
      </c>
      <c r="F105" s="29" t="s">
        <v>84</v>
      </c>
      <c r="G105" s="29">
        <v>3.0</v>
      </c>
      <c r="H105" s="30">
        <v>130.0</v>
      </c>
      <c r="I105" s="44">
        <f t="shared" si="1"/>
        <v>390</v>
      </c>
      <c r="J105" s="46" t="b">
        <v>0</v>
      </c>
      <c r="K105" s="48">
        <f t="shared" si="2"/>
        <v>3</v>
      </c>
      <c r="L105" s="49" t="str">
        <f t="shared" si="3"/>
        <v/>
      </c>
    </row>
    <row r="106" ht="14.25" customHeight="1">
      <c r="A106" s="38">
        <v>46237.0</v>
      </c>
      <c r="B106" s="29" t="s">
        <v>77</v>
      </c>
      <c r="C106" s="29" t="s">
        <v>79</v>
      </c>
      <c r="D106" s="29" t="s">
        <v>381</v>
      </c>
      <c r="E106" s="29" t="s">
        <v>382</v>
      </c>
      <c r="F106" s="29" t="s">
        <v>170</v>
      </c>
      <c r="G106" s="29">
        <v>2.0</v>
      </c>
      <c r="H106" s="30">
        <v>715.0</v>
      </c>
      <c r="I106" s="44">
        <f t="shared" si="1"/>
        <v>1430</v>
      </c>
      <c r="J106" s="46" t="b">
        <v>0</v>
      </c>
      <c r="K106" s="48">
        <f t="shared" si="2"/>
        <v>2</v>
      </c>
      <c r="L106" s="49">
        <f t="shared" si="3"/>
        <v>84</v>
      </c>
    </row>
    <row r="107" ht="14.25" customHeight="1">
      <c r="A107" s="38">
        <v>46238.0</v>
      </c>
      <c r="B107" s="29" t="s">
        <v>77</v>
      </c>
      <c r="C107" s="29" t="s">
        <v>191</v>
      </c>
      <c r="D107" s="29" t="s">
        <v>383</v>
      </c>
      <c r="E107" s="29" t="s">
        <v>384</v>
      </c>
      <c r="F107" s="29" t="s">
        <v>170</v>
      </c>
      <c r="G107" s="29">
        <v>6.0</v>
      </c>
      <c r="H107" s="30">
        <v>780.0</v>
      </c>
      <c r="I107" s="44">
        <f t="shared" si="1"/>
        <v>4680</v>
      </c>
      <c r="J107" s="46" t="b">
        <v>0</v>
      </c>
      <c r="K107" s="48">
        <f t="shared" si="2"/>
        <v>6</v>
      </c>
      <c r="L107" s="49">
        <f t="shared" si="3"/>
        <v>85</v>
      </c>
    </row>
    <row r="108" ht="14.25" customHeight="1">
      <c r="A108" s="38">
        <v>46243.0</v>
      </c>
      <c r="B108" s="29" t="s">
        <v>77</v>
      </c>
      <c r="C108" s="29" t="s">
        <v>385</v>
      </c>
      <c r="D108" s="29" t="s">
        <v>386</v>
      </c>
      <c r="E108" s="29" t="s">
        <v>387</v>
      </c>
      <c r="F108" s="29" t="s">
        <v>165</v>
      </c>
      <c r="G108" s="29">
        <v>6.0</v>
      </c>
      <c r="H108" s="30">
        <v>190.0</v>
      </c>
      <c r="I108" s="44">
        <f t="shared" si="1"/>
        <v>1140</v>
      </c>
      <c r="J108" s="46" t="b">
        <v>0</v>
      </c>
      <c r="K108" s="48">
        <f t="shared" si="2"/>
        <v>6</v>
      </c>
      <c r="L108" s="49">
        <f t="shared" si="3"/>
        <v>86</v>
      </c>
    </row>
    <row r="109" ht="14.25" customHeight="1">
      <c r="A109" s="38">
        <v>46243.0</v>
      </c>
      <c r="B109" s="29" t="s">
        <v>77</v>
      </c>
      <c r="C109" s="29" t="s">
        <v>385</v>
      </c>
      <c r="D109" s="29" t="s">
        <v>388</v>
      </c>
      <c r="E109" s="29" t="s">
        <v>389</v>
      </c>
      <c r="F109" s="29" t="s">
        <v>165</v>
      </c>
      <c r="G109" s="29">
        <v>6.0</v>
      </c>
      <c r="H109" s="30">
        <v>190.0</v>
      </c>
      <c r="I109" s="44">
        <f t="shared" si="1"/>
        <v>1140</v>
      </c>
      <c r="J109" s="46" t="b">
        <v>0</v>
      </c>
      <c r="K109" s="48">
        <f t="shared" si="2"/>
        <v>6</v>
      </c>
      <c r="L109" s="49">
        <f t="shared" si="3"/>
        <v>87</v>
      </c>
    </row>
    <row r="110" ht="14.25" customHeight="1">
      <c r="A110" s="38">
        <v>46243.0</v>
      </c>
      <c r="B110" s="29" t="s">
        <v>77</v>
      </c>
      <c r="C110" s="29" t="s">
        <v>385</v>
      </c>
      <c r="D110" s="29" t="s">
        <v>391</v>
      </c>
      <c r="E110" s="29" t="s">
        <v>392</v>
      </c>
      <c r="F110" s="29" t="s">
        <v>165</v>
      </c>
      <c r="G110" s="29">
        <v>6.0</v>
      </c>
      <c r="H110" s="30">
        <v>190.0</v>
      </c>
      <c r="I110" s="44">
        <f t="shared" si="1"/>
        <v>1140</v>
      </c>
      <c r="J110" s="46" t="b">
        <v>0</v>
      </c>
      <c r="K110" s="48">
        <f t="shared" si="2"/>
        <v>6</v>
      </c>
      <c r="L110" s="49">
        <f t="shared" si="3"/>
        <v>88</v>
      </c>
    </row>
    <row r="111" ht="14.25" customHeight="1">
      <c r="A111" s="38">
        <v>46243.0</v>
      </c>
      <c r="B111" s="29" t="s">
        <v>77</v>
      </c>
      <c r="C111" s="29" t="s">
        <v>385</v>
      </c>
      <c r="D111" s="29" t="s">
        <v>393</v>
      </c>
      <c r="E111" s="29" t="s">
        <v>394</v>
      </c>
      <c r="F111" s="29" t="s">
        <v>165</v>
      </c>
      <c r="G111" s="29">
        <v>6.0</v>
      </c>
      <c r="H111" s="30">
        <v>190.0</v>
      </c>
      <c r="I111" s="44">
        <f t="shared" si="1"/>
        <v>1140</v>
      </c>
      <c r="J111" s="46" t="b">
        <v>0</v>
      </c>
      <c r="K111" s="48">
        <f t="shared" si="2"/>
        <v>6</v>
      </c>
      <c r="L111" s="49">
        <f t="shared" si="3"/>
        <v>89</v>
      </c>
    </row>
    <row r="112" ht="14.25" customHeight="1">
      <c r="A112" s="38">
        <v>46243.0</v>
      </c>
      <c r="B112" s="29" t="s">
        <v>77</v>
      </c>
      <c r="C112" s="29" t="s">
        <v>385</v>
      </c>
      <c r="D112" s="29" t="s">
        <v>395</v>
      </c>
      <c r="E112" s="29" t="s">
        <v>396</v>
      </c>
      <c r="F112" s="29" t="s">
        <v>165</v>
      </c>
      <c r="G112" s="29">
        <v>3.0</v>
      </c>
      <c r="H112" s="30">
        <v>385.0</v>
      </c>
      <c r="I112" s="44">
        <f t="shared" si="1"/>
        <v>1155</v>
      </c>
      <c r="J112" s="46" t="b">
        <v>0</v>
      </c>
      <c r="K112" s="48">
        <f t="shared" si="2"/>
        <v>3</v>
      </c>
      <c r="L112" s="49">
        <f t="shared" si="3"/>
        <v>90</v>
      </c>
    </row>
    <row r="113" ht="14.25" customHeight="1">
      <c r="A113" s="38">
        <v>46243.0</v>
      </c>
      <c r="B113" s="29" t="s">
        <v>77</v>
      </c>
      <c r="C113" s="29" t="s">
        <v>385</v>
      </c>
      <c r="D113" s="29" t="s">
        <v>398</v>
      </c>
      <c r="E113" s="29" t="s">
        <v>399</v>
      </c>
      <c r="F113" s="29" t="s">
        <v>165</v>
      </c>
      <c r="G113" s="29">
        <v>3.0</v>
      </c>
      <c r="H113" s="30">
        <v>385.0</v>
      </c>
      <c r="I113" s="44">
        <f t="shared" si="1"/>
        <v>1155</v>
      </c>
      <c r="J113" s="46" t="b">
        <v>0</v>
      </c>
      <c r="K113" s="48">
        <f t="shared" si="2"/>
        <v>3</v>
      </c>
      <c r="L113" s="49">
        <f t="shared" si="3"/>
        <v>91</v>
      </c>
    </row>
    <row r="114" ht="14.25" customHeight="1">
      <c r="A114" s="38">
        <v>46243.0</v>
      </c>
      <c r="B114" s="29" t="s">
        <v>77</v>
      </c>
      <c r="C114" s="29" t="s">
        <v>385</v>
      </c>
      <c r="D114" s="29" t="s">
        <v>400</v>
      </c>
      <c r="E114" s="29" t="s">
        <v>401</v>
      </c>
      <c r="F114" s="29" t="s">
        <v>165</v>
      </c>
      <c r="G114" s="29">
        <v>3.0</v>
      </c>
      <c r="H114" s="30">
        <v>385.0</v>
      </c>
      <c r="I114" s="44">
        <f t="shared" si="1"/>
        <v>1155</v>
      </c>
      <c r="J114" s="46" t="b">
        <v>0</v>
      </c>
      <c r="K114" s="48">
        <f t="shared" si="2"/>
        <v>3</v>
      </c>
      <c r="L114" s="49">
        <f t="shared" si="3"/>
        <v>92</v>
      </c>
    </row>
    <row r="115" ht="14.25" customHeight="1">
      <c r="A115" s="38">
        <v>46243.0</v>
      </c>
      <c r="B115" s="29" t="s">
        <v>77</v>
      </c>
      <c r="C115" s="29" t="s">
        <v>385</v>
      </c>
      <c r="D115" s="29" t="s">
        <v>402</v>
      </c>
      <c r="E115" s="29" t="s">
        <v>403</v>
      </c>
      <c r="F115" s="29" t="s">
        <v>165</v>
      </c>
      <c r="G115" s="29">
        <v>3.0</v>
      </c>
      <c r="H115" s="30">
        <v>385.0</v>
      </c>
      <c r="I115" s="44">
        <f t="shared" si="1"/>
        <v>1155</v>
      </c>
      <c r="J115" s="46" t="b">
        <v>0</v>
      </c>
      <c r="K115" s="48">
        <f t="shared" si="2"/>
        <v>3</v>
      </c>
      <c r="L115" s="49">
        <f t="shared" si="3"/>
        <v>93</v>
      </c>
    </row>
    <row r="116" ht="14.25" customHeight="1">
      <c r="A116" s="38">
        <v>46243.0</v>
      </c>
      <c r="B116" s="29" t="s">
        <v>77</v>
      </c>
      <c r="C116" s="29" t="s">
        <v>385</v>
      </c>
      <c r="D116" s="29" t="s">
        <v>405</v>
      </c>
      <c r="E116" s="29" t="s">
        <v>406</v>
      </c>
      <c r="F116" s="29" t="s">
        <v>165</v>
      </c>
      <c r="G116" s="29">
        <v>1.0</v>
      </c>
      <c r="H116" s="30">
        <v>950.0</v>
      </c>
      <c r="I116" s="44">
        <f t="shared" si="1"/>
        <v>950</v>
      </c>
      <c r="J116" s="46" t="b">
        <v>0</v>
      </c>
      <c r="K116" s="48">
        <f t="shared" si="2"/>
        <v>1</v>
      </c>
      <c r="L116" s="49">
        <f t="shared" si="3"/>
        <v>94</v>
      </c>
    </row>
    <row r="117" ht="14.25" customHeight="1">
      <c r="A117" s="38">
        <v>46243.0</v>
      </c>
      <c r="B117" s="29" t="s">
        <v>77</v>
      </c>
      <c r="C117" s="29" t="s">
        <v>385</v>
      </c>
      <c r="D117" s="29" t="s">
        <v>407</v>
      </c>
      <c r="E117" s="29" t="s">
        <v>408</v>
      </c>
      <c r="F117" s="29" t="s">
        <v>165</v>
      </c>
      <c r="G117" s="29">
        <v>1.0</v>
      </c>
      <c r="H117" s="30">
        <v>950.0</v>
      </c>
      <c r="I117" s="44">
        <f t="shared" si="1"/>
        <v>950</v>
      </c>
      <c r="J117" s="46" t="b">
        <v>0</v>
      </c>
      <c r="K117" s="48">
        <f t="shared" si="2"/>
        <v>1</v>
      </c>
      <c r="L117" s="49">
        <f t="shared" si="3"/>
        <v>95</v>
      </c>
    </row>
    <row r="118" ht="14.25" customHeight="1">
      <c r="A118" s="38">
        <v>46243.0</v>
      </c>
      <c r="B118" s="29" t="s">
        <v>77</v>
      </c>
      <c r="C118" s="29" t="s">
        <v>385</v>
      </c>
      <c r="D118" s="29" t="s">
        <v>409</v>
      </c>
      <c r="E118" s="29" t="s">
        <v>410</v>
      </c>
      <c r="F118" s="29" t="s">
        <v>165</v>
      </c>
      <c r="G118" s="29">
        <v>1.0</v>
      </c>
      <c r="H118" s="30">
        <v>950.0</v>
      </c>
      <c r="I118" s="44">
        <f t="shared" si="1"/>
        <v>950</v>
      </c>
      <c r="J118" s="46" t="b">
        <v>0</v>
      </c>
      <c r="K118" s="48">
        <f t="shared" si="2"/>
        <v>1</v>
      </c>
      <c r="L118" s="49">
        <f t="shared" si="3"/>
        <v>96</v>
      </c>
    </row>
    <row r="119" ht="14.25" customHeight="1">
      <c r="A119" s="38">
        <v>46243.0</v>
      </c>
      <c r="B119" s="29" t="s">
        <v>77</v>
      </c>
      <c r="C119" s="29" t="s">
        <v>385</v>
      </c>
      <c r="D119" s="29" t="s">
        <v>411</v>
      </c>
      <c r="E119" s="29" t="s">
        <v>412</v>
      </c>
      <c r="F119" s="29" t="s">
        <v>165</v>
      </c>
      <c r="G119" s="29">
        <v>1.0</v>
      </c>
      <c r="H119" s="30">
        <v>950.0</v>
      </c>
      <c r="I119" s="44">
        <f t="shared" si="1"/>
        <v>950</v>
      </c>
      <c r="J119" s="46" t="b">
        <v>0</v>
      </c>
      <c r="K119" s="48">
        <f t="shared" si="2"/>
        <v>1</v>
      </c>
      <c r="L119" s="49">
        <f t="shared" si="3"/>
        <v>97</v>
      </c>
    </row>
    <row r="120" ht="14.25" customHeight="1">
      <c r="A120" s="38">
        <v>46243.0</v>
      </c>
      <c r="B120" s="29" t="s">
        <v>77</v>
      </c>
      <c r="C120" s="29" t="s">
        <v>385</v>
      </c>
      <c r="D120" s="29" t="s">
        <v>413</v>
      </c>
      <c r="E120" s="29" t="s">
        <v>414</v>
      </c>
      <c r="F120" s="29" t="s">
        <v>106</v>
      </c>
      <c r="G120" s="29">
        <v>24.0</v>
      </c>
      <c r="H120" s="30">
        <v>85.0</v>
      </c>
      <c r="I120" s="44">
        <f t="shared" si="1"/>
        <v>2040</v>
      </c>
      <c r="J120" s="46" t="b">
        <v>0</v>
      </c>
      <c r="K120" s="48">
        <f t="shared" si="2"/>
        <v>24</v>
      </c>
      <c r="L120" s="49">
        <f t="shared" si="3"/>
        <v>98</v>
      </c>
    </row>
    <row r="121" ht="14.25" customHeight="1">
      <c r="A121" s="38">
        <v>46243.0</v>
      </c>
      <c r="B121" s="29" t="s">
        <v>77</v>
      </c>
      <c r="C121" s="29" t="s">
        <v>385</v>
      </c>
      <c r="D121" s="29" t="s">
        <v>415</v>
      </c>
      <c r="E121" s="29" t="s">
        <v>416</v>
      </c>
      <c r="F121" s="29" t="s">
        <v>106</v>
      </c>
      <c r="G121" s="29">
        <v>12.0</v>
      </c>
      <c r="H121" s="30">
        <v>85.0</v>
      </c>
      <c r="I121" s="44">
        <f t="shared" si="1"/>
        <v>1020</v>
      </c>
      <c r="J121" s="46" t="b">
        <v>0</v>
      </c>
      <c r="K121" s="48">
        <f t="shared" si="2"/>
        <v>12</v>
      </c>
      <c r="L121" s="49">
        <f t="shared" si="3"/>
        <v>99</v>
      </c>
    </row>
    <row r="122" ht="14.25" customHeight="1">
      <c r="A122" s="38">
        <v>46243.0</v>
      </c>
      <c r="B122" s="29" t="s">
        <v>77</v>
      </c>
      <c r="C122" s="29" t="s">
        <v>385</v>
      </c>
      <c r="D122" s="29" t="s">
        <v>179</v>
      </c>
      <c r="E122" s="29" t="s">
        <v>182</v>
      </c>
      <c r="F122" s="29" t="s">
        <v>181</v>
      </c>
      <c r="G122" s="29">
        <v>100.0</v>
      </c>
      <c r="H122" s="30">
        <v>8.0</v>
      </c>
      <c r="I122" s="44">
        <f t="shared" si="1"/>
        <v>800</v>
      </c>
      <c r="J122" s="46" t="b">
        <v>0</v>
      </c>
      <c r="K122" s="48">
        <f t="shared" si="2"/>
        <v>100</v>
      </c>
      <c r="L122" s="49" t="str">
        <f t="shared" si="3"/>
        <v/>
      </c>
    </row>
    <row r="123" ht="14.25" customHeight="1">
      <c r="A123" s="38">
        <v>46232.0</v>
      </c>
      <c r="B123" s="29" t="s">
        <v>77</v>
      </c>
      <c r="C123" s="29" t="s">
        <v>191</v>
      </c>
      <c r="D123" s="29" t="s">
        <v>418</v>
      </c>
      <c r="E123" s="29" t="s">
        <v>419</v>
      </c>
      <c r="F123" s="29" t="s">
        <v>170</v>
      </c>
      <c r="G123" s="69">
        <v>8.0</v>
      </c>
      <c r="H123" s="30">
        <v>75.0</v>
      </c>
      <c r="I123" s="44">
        <f t="shared" si="1"/>
        <v>600</v>
      </c>
      <c r="J123" s="46" t="b">
        <v>0</v>
      </c>
      <c r="K123" s="48">
        <f t="shared" si="2"/>
        <v>8</v>
      </c>
      <c r="L123" s="49">
        <f t="shared" si="3"/>
        <v>100</v>
      </c>
    </row>
    <row r="124" ht="14.25" customHeight="1">
      <c r="A124" s="38">
        <v>46244.0</v>
      </c>
      <c r="B124" s="29" t="s">
        <v>77</v>
      </c>
      <c r="C124" s="29" t="s">
        <v>191</v>
      </c>
      <c r="D124" s="29" t="s">
        <v>420</v>
      </c>
      <c r="E124" s="29" t="s">
        <v>421</v>
      </c>
      <c r="F124" s="29" t="s">
        <v>170</v>
      </c>
      <c r="G124" s="29">
        <v>1.0</v>
      </c>
      <c r="H124" s="30">
        <v>2200.0</v>
      </c>
      <c r="I124" s="44">
        <f t="shared" si="1"/>
        <v>2200</v>
      </c>
      <c r="J124" s="46" t="b">
        <v>0</v>
      </c>
      <c r="K124" s="48">
        <f t="shared" si="2"/>
        <v>1</v>
      </c>
      <c r="L124" s="49">
        <f t="shared" si="3"/>
        <v>101</v>
      </c>
    </row>
    <row r="125" ht="14.25" customHeight="1">
      <c r="A125" s="38">
        <v>46244.0</v>
      </c>
      <c r="B125" s="29" t="s">
        <v>77</v>
      </c>
      <c r="C125" s="29" t="s">
        <v>191</v>
      </c>
      <c r="D125" s="29" t="s">
        <v>422</v>
      </c>
      <c r="E125" s="29" t="s">
        <v>423</v>
      </c>
      <c r="F125" s="29" t="s">
        <v>181</v>
      </c>
      <c r="G125" s="29">
        <v>2.0</v>
      </c>
      <c r="H125" s="30">
        <v>150.0</v>
      </c>
      <c r="I125" s="44">
        <f t="shared" si="1"/>
        <v>300</v>
      </c>
      <c r="J125" s="46" t="b">
        <v>0</v>
      </c>
      <c r="K125" s="48">
        <f t="shared" si="2"/>
        <v>2</v>
      </c>
      <c r="L125" s="49">
        <f t="shared" si="3"/>
        <v>102</v>
      </c>
    </row>
    <row r="126" ht="14.25" customHeight="1">
      <c r="A126" s="38">
        <v>46249.0</v>
      </c>
      <c r="B126" s="29" t="s">
        <v>77</v>
      </c>
      <c r="C126" s="29" t="s">
        <v>79</v>
      </c>
      <c r="D126" s="29" t="s">
        <v>418</v>
      </c>
      <c r="E126" s="29" t="s">
        <v>425</v>
      </c>
      <c r="F126" s="29" t="s">
        <v>170</v>
      </c>
      <c r="G126" s="69">
        <v>1.0</v>
      </c>
      <c r="H126" s="30">
        <v>77.55</v>
      </c>
      <c r="I126" s="44">
        <f t="shared" si="1"/>
        <v>77.55</v>
      </c>
      <c r="J126" s="46" t="b">
        <v>0</v>
      </c>
      <c r="K126" s="48">
        <f t="shared" si="2"/>
        <v>1</v>
      </c>
      <c r="L126" s="49" t="str">
        <f t="shared" si="3"/>
        <v/>
      </c>
    </row>
    <row r="127" ht="14.25" customHeight="1">
      <c r="A127" s="38">
        <v>46249.0</v>
      </c>
      <c r="B127" s="29" t="s">
        <v>77</v>
      </c>
      <c r="C127" s="29" t="s">
        <v>79</v>
      </c>
      <c r="D127" s="29" t="s">
        <v>426</v>
      </c>
      <c r="E127" s="29" t="s">
        <v>427</v>
      </c>
      <c r="F127" s="29" t="s">
        <v>84</v>
      </c>
      <c r="G127" s="29">
        <v>1.0</v>
      </c>
      <c r="H127" s="30">
        <v>370.0</v>
      </c>
      <c r="I127" s="44">
        <f t="shared" si="1"/>
        <v>370</v>
      </c>
      <c r="J127" s="46" t="b">
        <v>0</v>
      </c>
      <c r="K127" s="48">
        <f t="shared" si="2"/>
        <v>1</v>
      </c>
      <c r="L127" s="49">
        <f t="shared" si="3"/>
        <v>103</v>
      </c>
    </row>
    <row r="128" ht="14.25" customHeight="1">
      <c r="A128" s="38">
        <v>46249.0</v>
      </c>
      <c r="B128" s="29" t="s">
        <v>77</v>
      </c>
      <c r="C128" s="29" t="s">
        <v>79</v>
      </c>
      <c r="D128" s="29" t="s">
        <v>159</v>
      </c>
      <c r="E128" s="29" t="s">
        <v>160</v>
      </c>
      <c r="F128" s="29" t="s">
        <v>84</v>
      </c>
      <c r="G128" s="29">
        <v>2.0</v>
      </c>
      <c r="H128" s="30">
        <v>300.0</v>
      </c>
      <c r="I128" s="44">
        <f t="shared" si="1"/>
        <v>600</v>
      </c>
      <c r="J128" s="46" t="b">
        <v>0</v>
      </c>
      <c r="K128" s="48">
        <f t="shared" si="2"/>
        <v>2</v>
      </c>
      <c r="L128" s="49" t="str">
        <f t="shared" si="3"/>
        <v/>
      </c>
    </row>
    <row r="129" ht="14.25" customHeight="1">
      <c r="A129" s="38">
        <v>46250.0</v>
      </c>
      <c r="B129" s="29" t="s">
        <v>77</v>
      </c>
      <c r="C129" s="29" t="s">
        <v>79</v>
      </c>
      <c r="D129" s="29" t="s">
        <v>429</v>
      </c>
      <c r="E129" s="29" t="s">
        <v>430</v>
      </c>
      <c r="F129" s="29" t="s">
        <v>170</v>
      </c>
      <c r="G129" s="29">
        <v>3.0</v>
      </c>
      <c r="H129" s="30">
        <v>135.0</v>
      </c>
      <c r="I129" s="44">
        <f t="shared" si="1"/>
        <v>405</v>
      </c>
      <c r="J129" s="46" t="b">
        <v>0</v>
      </c>
      <c r="K129" s="48">
        <f t="shared" si="2"/>
        <v>3</v>
      </c>
      <c r="L129" s="49">
        <f t="shared" si="3"/>
        <v>104</v>
      </c>
    </row>
    <row r="130" ht="14.25" customHeight="1">
      <c r="A130" s="38">
        <v>46250.0</v>
      </c>
      <c r="B130" s="29" t="s">
        <v>77</v>
      </c>
      <c r="C130" s="29" t="s">
        <v>79</v>
      </c>
      <c r="D130" s="29" t="s">
        <v>432</v>
      </c>
      <c r="E130" s="29" t="s">
        <v>433</v>
      </c>
      <c r="F130" s="29" t="s">
        <v>170</v>
      </c>
      <c r="G130" s="29">
        <v>3.0</v>
      </c>
      <c r="H130" s="30">
        <v>135.0</v>
      </c>
      <c r="I130" s="44">
        <f t="shared" si="1"/>
        <v>405</v>
      </c>
      <c r="J130" s="46" t="b">
        <v>0</v>
      </c>
      <c r="K130" s="48">
        <f t="shared" si="2"/>
        <v>3</v>
      </c>
      <c r="L130" s="49">
        <f t="shared" si="3"/>
        <v>105</v>
      </c>
    </row>
    <row r="131" ht="14.25" customHeight="1">
      <c r="A131" s="38">
        <v>46250.0</v>
      </c>
      <c r="B131" s="29" t="s">
        <v>77</v>
      </c>
      <c r="C131" s="29" t="s">
        <v>79</v>
      </c>
      <c r="D131" s="29" t="s">
        <v>434</v>
      </c>
      <c r="E131" s="29" t="s">
        <v>435</v>
      </c>
      <c r="F131" s="29" t="s">
        <v>170</v>
      </c>
      <c r="G131" s="29">
        <v>2.0</v>
      </c>
      <c r="H131" s="30">
        <v>320.0</v>
      </c>
      <c r="I131" s="44">
        <f t="shared" si="1"/>
        <v>640</v>
      </c>
      <c r="J131" s="46" t="b">
        <v>0</v>
      </c>
      <c r="K131" s="48">
        <f t="shared" si="2"/>
        <v>2</v>
      </c>
      <c r="L131" s="49">
        <f t="shared" si="3"/>
        <v>106</v>
      </c>
    </row>
    <row r="132" ht="14.25" customHeight="1">
      <c r="A132" s="38">
        <v>46250.0</v>
      </c>
      <c r="B132" s="29" t="s">
        <v>77</v>
      </c>
      <c r="C132" s="29" t="s">
        <v>79</v>
      </c>
      <c r="D132" s="29" t="s">
        <v>437</v>
      </c>
      <c r="E132" s="69" t="s">
        <v>438</v>
      </c>
      <c r="F132" s="29" t="s">
        <v>170</v>
      </c>
      <c r="G132" s="29">
        <v>2.0</v>
      </c>
      <c r="H132" s="30">
        <v>320.0</v>
      </c>
      <c r="I132" s="44">
        <f t="shared" si="1"/>
        <v>640</v>
      </c>
      <c r="J132" s="46" t="b">
        <v>0</v>
      </c>
      <c r="K132" s="48">
        <f t="shared" si="2"/>
        <v>2</v>
      </c>
      <c r="L132" s="49">
        <f t="shared" si="3"/>
        <v>107</v>
      </c>
    </row>
    <row r="133" ht="14.25" customHeight="1">
      <c r="A133" s="38">
        <v>46250.0</v>
      </c>
      <c r="B133" s="29" t="s">
        <v>77</v>
      </c>
      <c r="C133" s="29" t="s">
        <v>79</v>
      </c>
      <c r="D133" s="29" t="s">
        <v>439</v>
      </c>
      <c r="E133" s="29" t="s">
        <v>274</v>
      </c>
      <c r="F133" s="29" t="s">
        <v>170</v>
      </c>
      <c r="G133" s="29">
        <v>3.0</v>
      </c>
      <c r="H133" s="30">
        <v>315.0</v>
      </c>
      <c r="I133" s="44">
        <f t="shared" si="1"/>
        <v>945</v>
      </c>
      <c r="J133" s="46" t="b">
        <v>0</v>
      </c>
      <c r="K133" s="48">
        <f t="shared" si="2"/>
        <v>3</v>
      </c>
      <c r="L133" s="49">
        <f t="shared" si="3"/>
        <v>108</v>
      </c>
    </row>
    <row r="134" ht="14.25" customHeight="1">
      <c r="A134" s="38">
        <v>46250.0</v>
      </c>
      <c r="B134" s="29" t="s">
        <v>77</v>
      </c>
      <c r="C134" s="29" t="s">
        <v>79</v>
      </c>
      <c r="D134" s="29" t="s">
        <v>440</v>
      </c>
      <c r="E134" s="29" t="s">
        <v>441</v>
      </c>
      <c r="F134" s="29" t="s">
        <v>170</v>
      </c>
      <c r="G134" s="29">
        <v>6.0</v>
      </c>
      <c r="H134" s="30">
        <v>308.0</v>
      </c>
      <c r="I134" s="44">
        <f t="shared" si="1"/>
        <v>1848</v>
      </c>
      <c r="J134" s="46" t="b">
        <v>0</v>
      </c>
      <c r="K134" s="48">
        <f t="shared" si="2"/>
        <v>6</v>
      </c>
      <c r="L134" s="49">
        <f t="shared" si="3"/>
        <v>109</v>
      </c>
    </row>
    <row r="135" ht="14.25" customHeight="1">
      <c r="A135" s="38">
        <v>46250.0</v>
      </c>
      <c r="B135" s="29" t="s">
        <v>77</v>
      </c>
      <c r="C135" s="29" t="s">
        <v>79</v>
      </c>
      <c r="D135" s="29" t="s">
        <v>328</v>
      </c>
      <c r="E135" s="29" t="s">
        <v>442</v>
      </c>
      <c r="F135" s="29" t="s">
        <v>170</v>
      </c>
      <c r="G135" s="29">
        <v>4.0</v>
      </c>
      <c r="H135" s="30">
        <v>635.0</v>
      </c>
      <c r="I135" s="44">
        <f t="shared" si="1"/>
        <v>2540</v>
      </c>
      <c r="J135" s="46" t="b">
        <v>0</v>
      </c>
      <c r="K135" s="48">
        <f t="shared" si="2"/>
        <v>4</v>
      </c>
      <c r="L135" s="49" t="str">
        <f t="shared" si="3"/>
        <v/>
      </c>
    </row>
    <row r="136" ht="14.25" customHeight="1">
      <c r="A136" s="38">
        <v>46250.0</v>
      </c>
      <c r="B136" s="29" t="s">
        <v>77</v>
      </c>
      <c r="C136" s="29" t="s">
        <v>79</v>
      </c>
      <c r="D136" s="29" t="s">
        <v>443</v>
      </c>
      <c r="E136" s="29" t="s">
        <v>339</v>
      </c>
      <c r="F136" s="29" t="s">
        <v>106</v>
      </c>
      <c r="G136" s="29">
        <v>12.0</v>
      </c>
      <c r="H136" s="30">
        <v>53.0</v>
      </c>
      <c r="I136" s="44">
        <f t="shared" si="1"/>
        <v>636</v>
      </c>
      <c r="J136" s="46" t="b">
        <v>0</v>
      </c>
      <c r="K136" s="48">
        <f t="shared" si="2"/>
        <v>12</v>
      </c>
      <c r="L136" s="49">
        <f t="shared" si="3"/>
        <v>110</v>
      </c>
    </row>
    <row r="137" ht="14.25" customHeight="1">
      <c r="A137" s="38">
        <v>46250.0</v>
      </c>
      <c r="B137" s="29" t="s">
        <v>77</v>
      </c>
      <c r="C137" s="29" t="s">
        <v>79</v>
      </c>
      <c r="D137" s="29" t="s">
        <v>444</v>
      </c>
      <c r="E137" s="29" t="s">
        <v>235</v>
      </c>
      <c r="F137" s="29" t="s">
        <v>106</v>
      </c>
      <c r="G137" s="29">
        <v>14.0</v>
      </c>
      <c r="H137" s="30">
        <v>76.0</v>
      </c>
      <c r="I137" s="44">
        <f t="shared" si="1"/>
        <v>1064</v>
      </c>
      <c r="J137" s="46" t="b">
        <v>0</v>
      </c>
      <c r="K137" s="48">
        <f t="shared" si="2"/>
        <v>14</v>
      </c>
      <c r="L137" s="49">
        <f t="shared" si="3"/>
        <v>111</v>
      </c>
    </row>
    <row r="138" ht="14.25" customHeight="1">
      <c r="A138" s="38">
        <v>46250.0</v>
      </c>
      <c r="B138" s="29" t="s">
        <v>77</v>
      </c>
      <c r="C138" s="29" t="s">
        <v>79</v>
      </c>
      <c r="D138" s="29" t="s">
        <v>211</v>
      </c>
      <c r="E138" s="29" t="s">
        <v>445</v>
      </c>
      <c r="F138" s="29" t="s">
        <v>106</v>
      </c>
      <c r="G138" s="29">
        <v>12.0</v>
      </c>
      <c r="H138" s="30">
        <v>72.0</v>
      </c>
      <c r="I138" s="44">
        <f t="shared" si="1"/>
        <v>864</v>
      </c>
      <c r="J138" s="46" t="b">
        <v>0</v>
      </c>
      <c r="K138" s="48">
        <f t="shared" si="2"/>
        <v>12</v>
      </c>
      <c r="L138" s="49" t="str">
        <f t="shared" si="3"/>
        <v/>
      </c>
    </row>
    <row r="139" ht="14.25" customHeight="1">
      <c r="A139" s="38">
        <v>46250.0</v>
      </c>
      <c r="B139" s="29" t="s">
        <v>77</v>
      </c>
      <c r="C139" s="29" t="s">
        <v>79</v>
      </c>
      <c r="D139" s="29" t="s">
        <v>446</v>
      </c>
      <c r="E139" s="29" t="s">
        <v>447</v>
      </c>
      <c r="F139" s="29" t="s">
        <v>106</v>
      </c>
      <c r="G139" s="29">
        <v>12.0</v>
      </c>
      <c r="H139" s="30">
        <v>64.0</v>
      </c>
      <c r="I139" s="44">
        <f t="shared" si="1"/>
        <v>768</v>
      </c>
      <c r="J139" s="46" t="b">
        <v>0</v>
      </c>
      <c r="K139" s="48">
        <f t="shared" si="2"/>
        <v>12</v>
      </c>
      <c r="L139" s="49">
        <f t="shared" si="3"/>
        <v>112</v>
      </c>
    </row>
    <row r="140" ht="14.25" customHeight="1">
      <c r="A140" s="38">
        <v>46250.0</v>
      </c>
      <c r="B140" s="29" t="s">
        <v>77</v>
      </c>
      <c r="C140" s="29" t="s">
        <v>79</v>
      </c>
      <c r="D140" s="29" t="s">
        <v>448</v>
      </c>
      <c r="E140" s="29" t="s">
        <v>449</v>
      </c>
      <c r="F140" s="29" t="s">
        <v>106</v>
      </c>
      <c r="G140" s="29">
        <v>12.0</v>
      </c>
      <c r="H140" s="30">
        <v>64.0</v>
      </c>
      <c r="I140" s="44">
        <f t="shared" si="1"/>
        <v>768</v>
      </c>
      <c r="J140" s="46" t="b">
        <v>0</v>
      </c>
      <c r="K140" s="48">
        <f t="shared" si="2"/>
        <v>12</v>
      </c>
      <c r="L140" s="49">
        <f t="shared" si="3"/>
        <v>113</v>
      </c>
    </row>
    <row r="141" ht="14.25" customHeight="1">
      <c r="A141" s="38">
        <v>46250.0</v>
      </c>
      <c r="B141" s="29" t="s">
        <v>77</v>
      </c>
      <c r="C141" s="29" t="s">
        <v>79</v>
      </c>
      <c r="D141" s="29" t="s">
        <v>450</v>
      </c>
      <c r="E141" s="29" t="s">
        <v>451</v>
      </c>
      <c r="F141" s="29" t="s">
        <v>170</v>
      </c>
      <c r="G141" s="29">
        <v>2.0</v>
      </c>
      <c r="H141" s="30">
        <v>715.0</v>
      </c>
      <c r="I141" s="44">
        <f t="shared" si="1"/>
        <v>1430</v>
      </c>
      <c r="J141" s="46" t="b">
        <v>0</v>
      </c>
      <c r="K141" s="48">
        <f t="shared" si="2"/>
        <v>2</v>
      </c>
      <c r="L141" s="49">
        <f t="shared" si="3"/>
        <v>114</v>
      </c>
    </row>
    <row r="142" ht="14.25" customHeight="1">
      <c r="A142" s="38">
        <v>46251.0</v>
      </c>
      <c r="B142" s="29" t="s">
        <v>77</v>
      </c>
      <c r="C142" s="29" t="s">
        <v>79</v>
      </c>
      <c r="D142" s="29" t="s">
        <v>452</v>
      </c>
      <c r="E142" s="29" t="s">
        <v>453</v>
      </c>
      <c r="F142" s="29" t="s">
        <v>165</v>
      </c>
      <c r="G142" s="29">
        <v>1.0</v>
      </c>
      <c r="H142" s="30">
        <v>435.0</v>
      </c>
      <c r="I142" s="44">
        <f t="shared" si="1"/>
        <v>435</v>
      </c>
      <c r="J142" s="46" t="b">
        <v>0</v>
      </c>
      <c r="K142" s="48">
        <f t="shared" si="2"/>
        <v>1</v>
      </c>
      <c r="L142" s="49">
        <f t="shared" si="3"/>
        <v>115</v>
      </c>
    </row>
    <row r="143" ht="14.25" customHeight="1">
      <c r="A143" s="38">
        <v>46251.0</v>
      </c>
      <c r="B143" s="29" t="s">
        <v>77</v>
      </c>
      <c r="C143" s="29" t="s">
        <v>79</v>
      </c>
      <c r="D143" s="29" t="s">
        <v>454</v>
      </c>
      <c r="E143" s="29" t="s">
        <v>455</v>
      </c>
      <c r="F143" s="29" t="s">
        <v>344</v>
      </c>
      <c r="G143" s="29">
        <v>4.0</v>
      </c>
      <c r="H143" s="30">
        <v>210.0</v>
      </c>
      <c r="I143" s="44">
        <f t="shared" si="1"/>
        <v>840</v>
      </c>
      <c r="J143" s="46" t="b">
        <v>0</v>
      </c>
      <c r="K143" s="48">
        <f t="shared" si="2"/>
        <v>4</v>
      </c>
      <c r="L143" s="49">
        <f t="shared" si="3"/>
        <v>116</v>
      </c>
    </row>
    <row r="144" ht="14.25" customHeight="1">
      <c r="A144" s="38">
        <v>46254.0</v>
      </c>
      <c r="B144" s="29" t="s">
        <v>77</v>
      </c>
      <c r="C144" s="29" t="s">
        <v>79</v>
      </c>
      <c r="D144" s="29" t="s">
        <v>299</v>
      </c>
      <c r="E144" s="29" t="s">
        <v>457</v>
      </c>
      <c r="F144" s="29" t="s">
        <v>84</v>
      </c>
      <c r="G144" s="29">
        <v>6.0</v>
      </c>
      <c r="H144" s="30">
        <v>230.0</v>
      </c>
      <c r="I144" s="44">
        <f t="shared" si="1"/>
        <v>1380</v>
      </c>
      <c r="J144" s="46" t="b">
        <v>0</v>
      </c>
      <c r="K144" s="48">
        <f t="shared" si="2"/>
        <v>6</v>
      </c>
      <c r="L144" s="49" t="str">
        <f t="shared" si="3"/>
        <v/>
      </c>
    </row>
    <row r="145" ht="14.25" customHeight="1">
      <c r="A145" s="38">
        <v>46254.0</v>
      </c>
      <c r="B145" s="29" t="s">
        <v>77</v>
      </c>
      <c r="C145" s="29" t="s">
        <v>79</v>
      </c>
      <c r="D145" s="29" t="s">
        <v>354</v>
      </c>
      <c r="E145" s="29" t="s">
        <v>355</v>
      </c>
      <c r="F145" s="29" t="s">
        <v>84</v>
      </c>
      <c r="G145" s="29">
        <v>5.0</v>
      </c>
      <c r="H145" s="30">
        <v>175.0</v>
      </c>
      <c r="I145" s="44">
        <f t="shared" si="1"/>
        <v>875</v>
      </c>
      <c r="J145" s="46" t="b">
        <v>0</v>
      </c>
      <c r="K145" s="48">
        <f t="shared" si="2"/>
        <v>5</v>
      </c>
      <c r="L145" s="49" t="str">
        <f t="shared" si="3"/>
        <v/>
      </c>
    </row>
    <row r="146" ht="14.25" customHeight="1">
      <c r="A146" s="38">
        <v>46249.0</v>
      </c>
      <c r="B146" s="29" t="s">
        <v>77</v>
      </c>
      <c r="C146" s="29" t="s">
        <v>79</v>
      </c>
      <c r="D146" s="29" t="s">
        <v>378</v>
      </c>
      <c r="E146" s="29" t="s">
        <v>458</v>
      </c>
      <c r="F146" s="29" t="s">
        <v>170</v>
      </c>
      <c r="G146" s="69">
        <v>34.0</v>
      </c>
      <c r="H146" s="30">
        <v>155.0</v>
      </c>
      <c r="I146" s="44">
        <f t="shared" si="1"/>
        <v>5270</v>
      </c>
      <c r="J146" s="46" t="b">
        <v>0</v>
      </c>
      <c r="K146" s="48">
        <f t="shared" si="2"/>
        <v>34</v>
      </c>
      <c r="L146" s="49" t="str">
        <f t="shared" si="3"/>
        <v/>
      </c>
    </row>
    <row r="147" ht="14.25" customHeight="1">
      <c r="A147" s="38">
        <v>46257.0</v>
      </c>
      <c r="B147" s="29" t="s">
        <v>77</v>
      </c>
      <c r="C147" s="29" t="s">
        <v>79</v>
      </c>
      <c r="D147" s="29" t="s">
        <v>459</v>
      </c>
      <c r="E147" s="29" t="s">
        <v>460</v>
      </c>
      <c r="F147" s="29" t="s">
        <v>84</v>
      </c>
      <c r="G147" s="29">
        <v>2.0</v>
      </c>
      <c r="H147" s="30">
        <v>100.0</v>
      </c>
      <c r="I147" s="44">
        <f t="shared" si="1"/>
        <v>200</v>
      </c>
      <c r="J147" s="46" t="b">
        <v>0</v>
      </c>
      <c r="K147" s="48">
        <f t="shared" si="2"/>
        <v>2</v>
      </c>
      <c r="L147" s="49">
        <f t="shared" si="3"/>
        <v>117</v>
      </c>
    </row>
    <row r="148" ht="14.25" customHeight="1">
      <c r="A148" s="38">
        <v>46258.0</v>
      </c>
      <c r="B148" s="29" t="s">
        <v>77</v>
      </c>
      <c r="C148" s="29" t="s">
        <v>79</v>
      </c>
      <c r="D148" s="29" t="s">
        <v>461</v>
      </c>
      <c r="E148" s="69" t="s">
        <v>462</v>
      </c>
      <c r="F148" s="29" t="s">
        <v>84</v>
      </c>
      <c r="G148" s="29">
        <v>4.0</v>
      </c>
      <c r="H148" s="30">
        <v>30.0</v>
      </c>
      <c r="I148" s="44">
        <f t="shared" si="1"/>
        <v>120</v>
      </c>
      <c r="J148" s="46" t="b">
        <v>0</v>
      </c>
      <c r="K148" s="48">
        <f t="shared" si="2"/>
        <v>4</v>
      </c>
      <c r="L148" s="49">
        <f t="shared" si="3"/>
        <v>118</v>
      </c>
    </row>
    <row r="149" ht="14.25" customHeight="1">
      <c r="A149" s="38">
        <v>46258.0</v>
      </c>
      <c r="B149" s="29" t="s">
        <v>77</v>
      </c>
      <c r="C149" s="29" t="s">
        <v>79</v>
      </c>
      <c r="D149" s="29" t="s">
        <v>463</v>
      </c>
      <c r="E149" s="29" t="s">
        <v>464</v>
      </c>
      <c r="F149" s="29" t="s">
        <v>84</v>
      </c>
      <c r="G149" s="29">
        <v>1.0</v>
      </c>
      <c r="H149" s="30">
        <v>300.0</v>
      </c>
      <c r="I149" s="44">
        <f t="shared" si="1"/>
        <v>300</v>
      </c>
      <c r="J149" s="46" t="b">
        <v>0</v>
      </c>
      <c r="K149" s="48">
        <f t="shared" si="2"/>
        <v>1</v>
      </c>
      <c r="L149" s="49">
        <f t="shared" si="3"/>
        <v>119</v>
      </c>
    </row>
    <row r="150" ht="14.25" customHeight="1">
      <c r="A150" s="38">
        <v>46258.0</v>
      </c>
      <c r="B150" s="29" t="s">
        <v>77</v>
      </c>
      <c r="C150" s="29" t="s">
        <v>79</v>
      </c>
      <c r="D150" s="29" t="s">
        <v>466</v>
      </c>
      <c r="E150" s="29" t="s">
        <v>467</v>
      </c>
      <c r="F150" s="29" t="s">
        <v>84</v>
      </c>
      <c r="G150" s="29">
        <v>2.0</v>
      </c>
      <c r="H150" s="30">
        <v>70.0</v>
      </c>
      <c r="I150" s="44">
        <f t="shared" si="1"/>
        <v>140</v>
      </c>
      <c r="J150" s="46" t="b">
        <v>0</v>
      </c>
      <c r="K150" s="48">
        <f t="shared" si="2"/>
        <v>2</v>
      </c>
      <c r="L150" s="49">
        <f t="shared" si="3"/>
        <v>120</v>
      </c>
    </row>
    <row r="151" ht="14.25" customHeight="1">
      <c r="A151" s="89">
        <v>46249.0</v>
      </c>
      <c r="B151" s="40" t="s">
        <v>77</v>
      </c>
      <c r="C151" s="40" t="s">
        <v>79</v>
      </c>
      <c r="D151" s="40" t="s">
        <v>468</v>
      </c>
      <c r="E151" s="40" t="s">
        <v>469</v>
      </c>
      <c r="F151" s="40" t="s">
        <v>170</v>
      </c>
      <c r="G151" s="40">
        <v>1.0</v>
      </c>
      <c r="H151" s="41">
        <v>31.0</v>
      </c>
      <c r="I151" s="90">
        <f t="shared" si="1"/>
        <v>31</v>
      </c>
      <c r="J151" s="91" t="b">
        <v>0</v>
      </c>
      <c r="K151" s="92">
        <f t="shared" si="2"/>
        <v>1</v>
      </c>
      <c r="L151" s="49">
        <f t="shared" si="3"/>
        <v>121</v>
      </c>
    </row>
    <row r="152" ht="14.25" customHeight="1">
      <c r="A152" s="38">
        <v>46258.0</v>
      </c>
      <c r="B152" s="40" t="s">
        <v>77</v>
      </c>
      <c r="C152" s="29" t="s">
        <v>167</v>
      </c>
      <c r="D152" s="29" t="s">
        <v>168</v>
      </c>
      <c r="E152" s="29" t="s">
        <v>177</v>
      </c>
      <c r="F152" s="40" t="s">
        <v>170</v>
      </c>
      <c r="G152" s="40">
        <v>6.0</v>
      </c>
      <c r="H152" s="41">
        <v>400.0</v>
      </c>
      <c r="I152" s="90">
        <f t="shared" si="1"/>
        <v>2400</v>
      </c>
      <c r="J152" s="91"/>
      <c r="K152" s="92">
        <f t="shared" si="2"/>
        <v>6</v>
      </c>
      <c r="L152" s="49" t="str">
        <f t="shared" si="3"/>
        <v/>
      </c>
    </row>
    <row r="153" ht="14.25" customHeight="1">
      <c r="A153" s="38">
        <v>46258.0</v>
      </c>
      <c r="B153" s="40" t="s">
        <v>77</v>
      </c>
      <c r="C153" s="29" t="s">
        <v>167</v>
      </c>
      <c r="D153" s="29" t="s">
        <v>172</v>
      </c>
      <c r="E153" s="29" t="s">
        <v>174</v>
      </c>
      <c r="F153" s="29" t="s">
        <v>170</v>
      </c>
      <c r="G153" s="29">
        <v>2.0</v>
      </c>
      <c r="H153" s="30">
        <v>400.0</v>
      </c>
      <c r="I153" s="90">
        <f t="shared" si="1"/>
        <v>800</v>
      </c>
      <c r="J153" s="91"/>
      <c r="K153" s="92">
        <f t="shared" si="2"/>
        <v>2</v>
      </c>
      <c r="L153" s="49" t="str">
        <f t="shared" si="3"/>
        <v/>
      </c>
    </row>
    <row r="154" ht="14.25" customHeight="1">
      <c r="A154" s="38">
        <v>46258.0</v>
      </c>
      <c r="B154" s="40" t="s">
        <v>77</v>
      </c>
      <c r="C154" s="29" t="s">
        <v>167</v>
      </c>
      <c r="D154" s="29" t="s">
        <v>176</v>
      </c>
      <c r="E154" s="29" t="s">
        <v>177</v>
      </c>
      <c r="F154" s="29" t="s">
        <v>170</v>
      </c>
      <c r="G154" s="29">
        <v>2.0</v>
      </c>
      <c r="H154" s="30">
        <v>400.0</v>
      </c>
      <c r="I154" s="90">
        <f t="shared" si="1"/>
        <v>800</v>
      </c>
      <c r="J154" s="91"/>
      <c r="K154" s="92">
        <f t="shared" si="2"/>
        <v>2</v>
      </c>
      <c r="L154" s="49" t="str">
        <f t="shared" si="3"/>
        <v/>
      </c>
    </row>
    <row r="155" ht="14.25" customHeight="1">
      <c r="A155" s="38">
        <v>46260.0</v>
      </c>
      <c r="B155" s="40" t="s">
        <v>77</v>
      </c>
      <c r="C155" s="40" t="s">
        <v>255</v>
      </c>
      <c r="D155" s="29" t="s">
        <v>470</v>
      </c>
      <c r="E155" s="40" t="s">
        <v>471</v>
      </c>
      <c r="F155" s="40" t="s">
        <v>170</v>
      </c>
      <c r="G155" s="40">
        <v>8.0</v>
      </c>
      <c r="H155" s="41">
        <v>990.0</v>
      </c>
      <c r="I155" s="90">
        <f t="shared" si="1"/>
        <v>7920</v>
      </c>
      <c r="J155" s="91"/>
      <c r="K155" s="92">
        <f t="shared" si="2"/>
        <v>8</v>
      </c>
      <c r="L155" s="49">
        <f t="shared" si="3"/>
        <v>122</v>
      </c>
    </row>
    <row r="156" ht="14.25" customHeight="1">
      <c r="A156" s="38">
        <v>46260.0</v>
      </c>
      <c r="B156" s="40" t="s">
        <v>77</v>
      </c>
      <c r="C156" s="40" t="s">
        <v>255</v>
      </c>
      <c r="D156" s="29" t="s">
        <v>472</v>
      </c>
      <c r="E156" s="40" t="s">
        <v>473</v>
      </c>
      <c r="F156" s="40" t="s">
        <v>264</v>
      </c>
      <c r="G156" s="40">
        <v>6.0</v>
      </c>
      <c r="H156" s="41">
        <v>80.0</v>
      </c>
      <c r="I156" s="90">
        <f t="shared" si="1"/>
        <v>480</v>
      </c>
      <c r="J156" s="91"/>
      <c r="K156" s="92">
        <f t="shared" si="2"/>
        <v>6</v>
      </c>
      <c r="L156" s="49">
        <f t="shared" si="3"/>
        <v>123</v>
      </c>
    </row>
    <row r="157" ht="14.25" customHeight="1">
      <c r="A157" s="38">
        <v>46260.0</v>
      </c>
      <c r="B157" s="40" t="s">
        <v>77</v>
      </c>
      <c r="C157" s="40" t="s">
        <v>255</v>
      </c>
      <c r="D157" s="40" t="s">
        <v>475</v>
      </c>
      <c r="E157" s="40" t="s">
        <v>477</v>
      </c>
      <c r="F157" s="29" t="s">
        <v>170</v>
      </c>
      <c r="G157" s="40">
        <v>16.0</v>
      </c>
      <c r="H157" s="41">
        <v>290.0</v>
      </c>
      <c r="I157" s="90">
        <f t="shared" si="1"/>
        <v>4640</v>
      </c>
      <c r="J157" s="91"/>
      <c r="K157" s="92">
        <f t="shared" si="2"/>
        <v>16</v>
      </c>
      <c r="L157" s="49">
        <f t="shared" si="3"/>
        <v>124</v>
      </c>
    </row>
    <row r="158" ht="14.25" customHeight="1">
      <c r="A158" s="38">
        <v>46260.0</v>
      </c>
      <c r="B158" s="40" t="s">
        <v>77</v>
      </c>
      <c r="C158" s="40" t="s">
        <v>255</v>
      </c>
      <c r="D158" s="40" t="s">
        <v>489</v>
      </c>
      <c r="E158" s="40" t="s">
        <v>490</v>
      </c>
      <c r="F158" s="29" t="s">
        <v>106</v>
      </c>
      <c r="G158" s="40">
        <v>48.0</v>
      </c>
      <c r="H158" s="41">
        <v>75.0</v>
      </c>
      <c r="I158" s="90">
        <f t="shared" si="1"/>
        <v>3600</v>
      </c>
      <c r="J158" s="91"/>
      <c r="K158" s="92">
        <f t="shared" si="2"/>
        <v>48</v>
      </c>
      <c r="L158" s="49">
        <f t="shared" si="3"/>
        <v>125</v>
      </c>
    </row>
    <row r="159" ht="14.25" customHeight="1">
      <c r="A159" s="38">
        <v>46260.0</v>
      </c>
      <c r="B159" s="40" t="s">
        <v>77</v>
      </c>
      <c r="C159" s="40" t="s">
        <v>255</v>
      </c>
      <c r="D159" s="40" t="s">
        <v>491</v>
      </c>
      <c r="E159" s="40" t="s">
        <v>492</v>
      </c>
      <c r="F159" s="29" t="s">
        <v>106</v>
      </c>
      <c r="G159" s="40">
        <v>48.0</v>
      </c>
      <c r="H159" s="41">
        <v>75.0</v>
      </c>
      <c r="I159" s="90">
        <f t="shared" si="1"/>
        <v>3600</v>
      </c>
      <c r="J159" s="91"/>
      <c r="K159" s="92">
        <f t="shared" si="2"/>
        <v>48</v>
      </c>
      <c r="L159" s="49">
        <f t="shared" si="3"/>
        <v>126</v>
      </c>
    </row>
    <row r="160" ht="14.25" customHeight="1">
      <c r="A160" s="38">
        <v>46260.0</v>
      </c>
      <c r="B160" s="40" t="s">
        <v>77</v>
      </c>
      <c r="C160" s="40" t="s">
        <v>255</v>
      </c>
      <c r="D160" s="40" t="s">
        <v>494</v>
      </c>
      <c r="E160" s="40" t="s">
        <v>495</v>
      </c>
      <c r="F160" s="29" t="s">
        <v>106</v>
      </c>
      <c r="G160" s="40">
        <v>48.0</v>
      </c>
      <c r="H160" s="41">
        <v>75.0</v>
      </c>
      <c r="I160" s="90">
        <f t="shared" si="1"/>
        <v>3600</v>
      </c>
      <c r="J160" s="91"/>
      <c r="K160" s="92">
        <f t="shared" si="2"/>
        <v>48</v>
      </c>
      <c r="L160" s="49">
        <f t="shared" si="3"/>
        <v>127</v>
      </c>
    </row>
    <row r="161" ht="14.25" customHeight="1">
      <c r="A161" s="38">
        <v>46260.0</v>
      </c>
      <c r="B161" s="40" t="s">
        <v>77</v>
      </c>
      <c r="C161" s="40" t="s">
        <v>255</v>
      </c>
      <c r="D161" s="40" t="s">
        <v>496</v>
      </c>
      <c r="E161" s="40" t="s">
        <v>497</v>
      </c>
      <c r="F161" s="29" t="s">
        <v>106</v>
      </c>
      <c r="G161" s="40">
        <v>24.0</v>
      </c>
      <c r="H161" s="41">
        <v>290.0</v>
      </c>
      <c r="I161" s="90">
        <f t="shared" si="1"/>
        <v>6960</v>
      </c>
      <c r="J161" s="91"/>
      <c r="K161" s="92">
        <f t="shared" si="2"/>
        <v>24</v>
      </c>
      <c r="L161" s="49">
        <f t="shared" si="3"/>
        <v>128</v>
      </c>
    </row>
    <row r="162" ht="14.25" customHeight="1">
      <c r="A162" s="38">
        <v>46260.0</v>
      </c>
      <c r="B162" s="40" t="s">
        <v>77</v>
      </c>
      <c r="C162" s="40" t="s">
        <v>255</v>
      </c>
      <c r="D162" s="40" t="s">
        <v>498</v>
      </c>
      <c r="E162" s="40" t="s">
        <v>499</v>
      </c>
      <c r="F162" s="29" t="s">
        <v>106</v>
      </c>
      <c r="G162" s="40">
        <v>24.0</v>
      </c>
      <c r="H162" s="41">
        <v>290.0</v>
      </c>
      <c r="I162" s="90">
        <f t="shared" si="1"/>
        <v>6960</v>
      </c>
      <c r="J162" s="91"/>
      <c r="K162" s="92">
        <f t="shared" si="2"/>
        <v>24</v>
      </c>
      <c r="L162" s="49">
        <f t="shared" si="3"/>
        <v>129</v>
      </c>
    </row>
    <row r="163" ht="14.25" customHeight="1">
      <c r="A163" s="38">
        <v>46260.0</v>
      </c>
      <c r="B163" s="40" t="s">
        <v>77</v>
      </c>
      <c r="C163" s="40" t="s">
        <v>255</v>
      </c>
      <c r="D163" s="29" t="s">
        <v>501</v>
      </c>
      <c r="E163" s="40" t="s">
        <v>502</v>
      </c>
      <c r="F163" s="29" t="s">
        <v>170</v>
      </c>
      <c r="G163" s="40">
        <v>3.0</v>
      </c>
      <c r="H163" s="41">
        <v>500.0</v>
      </c>
      <c r="I163" s="90">
        <f t="shared" si="1"/>
        <v>1500</v>
      </c>
      <c r="J163" s="91"/>
      <c r="K163" s="92">
        <f t="shared" si="2"/>
        <v>3</v>
      </c>
      <c r="L163" s="49">
        <f t="shared" si="3"/>
        <v>130</v>
      </c>
    </row>
    <row r="164" ht="14.25" customHeight="1">
      <c r="A164" s="38">
        <v>46260.0</v>
      </c>
      <c r="B164" s="40" t="s">
        <v>77</v>
      </c>
      <c r="C164" s="40" t="s">
        <v>255</v>
      </c>
      <c r="D164" s="29" t="s">
        <v>503</v>
      </c>
      <c r="E164" s="40" t="s">
        <v>504</v>
      </c>
      <c r="F164" s="29" t="s">
        <v>170</v>
      </c>
      <c r="G164" s="40">
        <v>3.0</v>
      </c>
      <c r="H164" s="41">
        <v>500.0</v>
      </c>
      <c r="I164" s="90">
        <f t="shared" si="1"/>
        <v>1500</v>
      </c>
      <c r="J164" s="91"/>
      <c r="K164" s="92">
        <f t="shared" si="2"/>
        <v>3</v>
      </c>
      <c r="L164" s="49">
        <f t="shared" si="3"/>
        <v>131</v>
      </c>
    </row>
    <row r="165" ht="14.25" customHeight="1">
      <c r="A165" s="38">
        <v>46260.0</v>
      </c>
      <c r="B165" s="40" t="s">
        <v>77</v>
      </c>
      <c r="C165" s="40" t="s">
        <v>255</v>
      </c>
      <c r="D165" s="29" t="s">
        <v>505</v>
      </c>
      <c r="E165" s="40" t="s">
        <v>506</v>
      </c>
      <c r="F165" s="29" t="s">
        <v>170</v>
      </c>
      <c r="G165" s="40">
        <v>4.0</v>
      </c>
      <c r="H165" s="41">
        <v>600.0</v>
      </c>
      <c r="I165" s="90">
        <f t="shared" si="1"/>
        <v>2400</v>
      </c>
      <c r="J165" s="91"/>
      <c r="K165" s="92">
        <f t="shared" si="2"/>
        <v>4</v>
      </c>
      <c r="L165" s="49">
        <f t="shared" si="3"/>
        <v>132</v>
      </c>
    </row>
    <row r="166" ht="14.25" customHeight="1">
      <c r="A166" s="38">
        <v>46260.0</v>
      </c>
      <c r="B166" s="40" t="s">
        <v>77</v>
      </c>
      <c r="C166" s="40" t="s">
        <v>255</v>
      </c>
      <c r="D166" s="29" t="s">
        <v>507</v>
      </c>
      <c r="E166" s="40" t="s">
        <v>508</v>
      </c>
      <c r="F166" s="29" t="s">
        <v>170</v>
      </c>
      <c r="G166" s="40">
        <v>4.0</v>
      </c>
      <c r="H166" s="41">
        <v>1450.0</v>
      </c>
      <c r="I166" s="90">
        <f t="shared" si="1"/>
        <v>5800</v>
      </c>
      <c r="J166" s="91"/>
      <c r="K166" s="92">
        <f t="shared" si="2"/>
        <v>4</v>
      </c>
      <c r="L166" s="49">
        <f t="shared" si="3"/>
        <v>133</v>
      </c>
    </row>
    <row r="167" ht="14.25" customHeight="1">
      <c r="A167" s="38">
        <v>46260.0</v>
      </c>
      <c r="B167" s="40" t="s">
        <v>77</v>
      </c>
      <c r="C167" s="40" t="s">
        <v>255</v>
      </c>
      <c r="D167" s="40" t="s">
        <v>510</v>
      </c>
      <c r="E167" s="40" t="s">
        <v>511</v>
      </c>
      <c r="F167" s="29" t="s">
        <v>170</v>
      </c>
      <c r="G167" s="40">
        <v>6.0</v>
      </c>
      <c r="H167" s="41">
        <v>1290.0</v>
      </c>
      <c r="I167" s="90">
        <f t="shared" si="1"/>
        <v>7740</v>
      </c>
      <c r="J167" s="91"/>
      <c r="K167" s="92">
        <f t="shared" si="2"/>
        <v>6</v>
      </c>
      <c r="L167" s="49">
        <f t="shared" si="3"/>
        <v>134</v>
      </c>
    </row>
    <row r="168" ht="14.25" customHeight="1">
      <c r="A168" s="38">
        <v>46260.0</v>
      </c>
      <c r="B168" s="40" t="s">
        <v>77</v>
      </c>
      <c r="C168" s="40" t="s">
        <v>255</v>
      </c>
      <c r="D168" s="40" t="s">
        <v>512</v>
      </c>
      <c r="E168" s="40" t="s">
        <v>513</v>
      </c>
      <c r="F168" s="29" t="s">
        <v>170</v>
      </c>
      <c r="G168" s="40">
        <v>6.0</v>
      </c>
      <c r="H168" s="41">
        <v>1050.0</v>
      </c>
      <c r="I168" s="90">
        <f t="shared" si="1"/>
        <v>6300</v>
      </c>
      <c r="J168" s="91"/>
      <c r="K168" s="92">
        <f t="shared" si="2"/>
        <v>6</v>
      </c>
      <c r="L168" s="49">
        <f t="shared" si="3"/>
        <v>135</v>
      </c>
    </row>
    <row r="169" ht="14.25" customHeight="1">
      <c r="A169" s="38">
        <v>46263.0</v>
      </c>
      <c r="B169" s="40" t="s">
        <v>77</v>
      </c>
      <c r="C169" s="40" t="s">
        <v>255</v>
      </c>
      <c r="D169" s="29" t="s">
        <v>514</v>
      </c>
      <c r="E169" s="40" t="s">
        <v>515</v>
      </c>
      <c r="F169" s="29" t="s">
        <v>106</v>
      </c>
      <c r="G169" s="40">
        <v>10.0</v>
      </c>
      <c r="H169" s="41">
        <v>100.0</v>
      </c>
      <c r="I169" s="90">
        <f t="shared" si="1"/>
        <v>1000</v>
      </c>
      <c r="J169" s="91"/>
      <c r="K169" s="92">
        <f t="shared" si="2"/>
        <v>10</v>
      </c>
      <c r="L169" s="49">
        <f t="shared" si="3"/>
        <v>136</v>
      </c>
    </row>
    <row r="170" ht="15.75" customHeight="1">
      <c r="A170" s="38">
        <v>46263.0</v>
      </c>
      <c r="B170" s="40" t="s">
        <v>77</v>
      </c>
      <c r="C170" s="40" t="s">
        <v>255</v>
      </c>
      <c r="D170" s="29" t="s">
        <v>516</v>
      </c>
      <c r="E170" s="40" t="s">
        <v>517</v>
      </c>
      <c r="F170" s="29" t="s">
        <v>106</v>
      </c>
      <c r="G170" s="40">
        <v>10.0</v>
      </c>
      <c r="H170" s="41">
        <v>100.0</v>
      </c>
      <c r="I170" s="90">
        <f t="shared" si="1"/>
        <v>1000</v>
      </c>
      <c r="J170" s="91"/>
      <c r="K170" s="92">
        <f t="shared" si="2"/>
        <v>10</v>
      </c>
      <c r="L170" s="49">
        <f t="shared" si="3"/>
        <v>137</v>
      </c>
    </row>
    <row r="171" ht="14.25" customHeight="1">
      <c r="A171" s="38">
        <v>46263.0</v>
      </c>
      <c r="B171" s="40" t="s">
        <v>77</v>
      </c>
      <c r="C171" s="40" t="s">
        <v>255</v>
      </c>
      <c r="D171" s="29" t="s">
        <v>518</v>
      </c>
      <c r="E171" s="40" t="s">
        <v>519</v>
      </c>
      <c r="F171" s="40" t="s">
        <v>264</v>
      </c>
      <c r="G171" s="40">
        <v>6.0</v>
      </c>
      <c r="H171" s="41">
        <v>80.0</v>
      </c>
      <c r="I171" s="90">
        <f t="shared" si="1"/>
        <v>480</v>
      </c>
      <c r="J171" s="91"/>
      <c r="K171" s="92">
        <f t="shared" si="2"/>
        <v>6</v>
      </c>
      <c r="L171" s="49">
        <f t="shared" si="3"/>
        <v>138</v>
      </c>
    </row>
    <row r="172" ht="14.25" customHeight="1">
      <c r="A172" s="38">
        <v>46260.0</v>
      </c>
      <c r="B172" s="40" t="s">
        <v>77</v>
      </c>
      <c r="C172" s="40" t="s">
        <v>255</v>
      </c>
      <c r="D172" s="29" t="s">
        <v>262</v>
      </c>
      <c r="E172" s="40" t="s">
        <v>263</v>
      </c>
      <c r="F172" s="40" t="s">
        <v>264</v>
      </c>
      <c r="G172" s="40">
        <v>48.0</v>
      </c>
      <c r="H172" s="41">
        <v>110.0</v>
      </c>
      <c r="I172" s="90">
        <f t="shared" si="1"/>
        <v>5280</v>
      </c>
      <c r="J172" s="91"/>
      <c r="K172" s="92">
        <f t="shared" si="2"/>
        <v>48</v>
      </c>
      <c r="L172" s="49" t="str">
        <f t="shared" si="3"/>
        <v/>
      </c>
    </row>
    <row r="173" ht="14.25" customHeight="1">
      <c r="A173" s="38">
        <v>46263.0</v>
      </c>
      <c r="B173" s="40" t="s">
        <v>77</v>
      </c>
      <c r="C173" s="40" t="s">
        <v>255</v>
      </c>
      <c r="D173" s="29" t="s">
        <v>521</v>
      </c>
      <c r="E173" s="40" t="s">
        <v>522</v>
      </c>
      <c r="F173" s="29" t="s">
        <v>181</v>
      </c>
      <c r="G173" s="40">
        <v>5.0</v>
      </c>
      <c r="H173" s="41">
        <v>40.0</v>
      </c>
      <c r="I173" s="90">
        <f t="shared" si="1"/>
        <v>200</v>
      </c>
      <c r="J173" s="91"/>
      <c r="K173" s="92">
        <f t="shared" si="2"/>
        <v>5</v>
      </c>
      <c r="L173" s="49">
        <f t="shared" si="3"/>
        <v>139</v>
      </c>
    </row>
    <row r="174" ht="14.25" customHeight="1">
      <c r="A174" s="38">
        <v>46263.0</v>
      </c>
      <c r="B174" s="40" t="s">
        <v>77</v>
      </c>
      <c r="C174" s="40" t="s">
        <v>255</v>
      </c>
      <c r="D174" s="29" t="s">
        <v>523</v>
      </c>
      <c r="E174" s="40" t="s">
        <v>524</v>
      </c>
      <c r="F174" s="29" t="s">
        <v>181</v>
      </c>
      <c r="G174" s="40">
        <v>5.0</v>
      </c>
      <c r="H174" s="41">
        <v>40.0</v>
      </c>
      <c r="I174" s="90">
        <f t="shared" si="1"/>
        <v>200</v>
      </c>
      <c r="J174" s="91"/>
      <c r="K174" s="92">
        <f t="shared" si="2"/>
        <v>5</v>
      </c>
      <c r="L174" s="49">
        <f t="shared" si="3"/>
        <v>140</v>
      </c>
    </row>
    <row r="175" ht="14.25" customHeight="1">
      <c r="A175" s="38">
        <v>46263.0</v>
      </c>
      <c r="B175" s="40" t="s">
        <v>77</v>
      </c>
      <c r="C175" s="40" t="s">
        <v>255</v>
      </c>
      <c r="D175" s="29" t="s">
        <v>525</v>
      </c>
      <c r="E175" s="40" t="s">
        <v>526</v>
      </c>
      <c r="F175" s="29" t="s">
        <v>181</v>
      </c>
      <c r="G175" s="40">
        <v>6.0</v>
      </c>
      <c r="H175" s="41">
        <v>200.0</v>
      </c>
      <c r="I175" s="90">
        <f t="shared" si="1"/>
        <v>1200</v>
      </c>
      <c r="J175" s="91"/>
      <c r="K175" s="92">
        <f t="shared" si="2"/>
        <v>6</v>
      </c>
      <c r="L175" s="49">
        <f t="shared" si="3"/>
        <v>141</v>
      </c>
    </row>
    <row r="176" ht="14.25" customHeight="1">
      <c r="A176" s="38">
        <v>46263.0</v>
      </c>
      <c r="B176" s="40" t="s">
        <v>77</v>
      </c>
      <c r="C176" s="40" t="s">
        <v>255</v>
      </c>
      <c r="D176" s="29" t="s">
        <v>527</v>
      </c>
      <c r="E176" s="40" t="s">
        <v>528</v>
      </c>
      <c r="F176" s="29" t="s">
        <v>181</v>
      </c>
      <c r="G176" s="40">
        <v>7.0</v>
      </c>
      <c r="H176" s="41">
        <v>200.0</v>
      </c>
      <c r="I176" s="90">
        <f t="shared" si="1"/>
        <v>1400</v>
      </c>
      <c r="J176" s="91"/>
      <c r="K176" s="92">
        <f t="shared" si="2"/>
        <v>7</v>
      </c>
      <c r="L176" s="49">
        <f t="shared" si="3"/>
        <v>142</v>
      </c>
    </row>
    <row r="177" ht="14.25" customHeight="1">
      <c r="A177" s="89">
        <v>46263.0</v>
      </c>
      <c r="B177" s="40" t="s">
        <v>77</v>
      </c>
      <c r="C177" s="40" t="s">
        <v>255</v>
      </c>
      <c r="D177" s="29" t="s">
        <v>529</v>
      </c>
      <c r="E177" s="40" t="s">
        <v>530</v>
      </c>
      <c r="F177" s="29" t="s">
        <v>181</v>
      </c>
      <c r="G177" s="40">
        <v>3.0</v>
      </c>
      <c r="H177" s="41">
        <v>66.6666</v>
      </c>
      <c r="I177" s="90">
        <f t="shared" si="1"/>
        <v>199.9998</v>
      </c>
      <c r="J177" s="91"/>
      <c r="K177" s="92">
        <f t="shared" si="2"/>
        <v>3</v>
      </c>
      <c r="L177" s="49">
        <f t="shared" si="3"/>
        <v>143</v>
      </c>
    </row>
    <row r="178" ht="14.25" customHeight="1">
      <c r="A178" s="38">
        <v>46263.0</v>
      </c>
      <c r="B178" s="40" t="s">
        <v>77</v>
      </c>
      <c r="C178" s="40" t="s">
        <v>255</v>
      </c>
      <c r="D178" s="29" t="s">
        <v>531</v>
      </c>
      <c r="E178" s="40" t="s">
        <v>532</v>
      </c>
      <c r="F178" s="29" t="s">
        <v>181</v>
      </c>
      <c r="G178" s="40">
        <v>3.0</v>
      </c>
      <c r="H178" s="41">
        <v>66.6666</v>
      </c>
      <c r="I178" s="90">
        <f t="shared" si="1"/>
        <v>199.9998</v>
      </c>
      <c r="J178" s="91"/>
      <c r="K178" s="92">
        <f t="shared" si="2"/>
        <v>3</v>
      </c>
      <c r="L178" s="49">
        <f t="shared" si="3"/>
        <v>144</v>
      </c>
    </row>
    <row r="179" ht="14.25" customHeight="1">
      <c r="A179" s="38">
        <v>46263.0</v>
      </c>
      <c r="B179" s="40" t="s">
        <v>77</v>
      </c>
      <c r="C179" s="40" t="s">
        <v>79</v>
      </c>
      <c r="D179" s="40" t="s">
        <v>534</v>
      </c>
      <c r="E179" s="40" t="s">
        <v>535</v>
      </c>
      <c r="F179" s="40" t="s">
        <v>84</v>
      </c>
      <c r="G179" s="40">
        <v>2.0</v>
      </c>
      <c r="H179" s="41">
        <v>450.0</v>
      </c>
      <c r="I179" s="90">
        <f t="shared" si="1"/>
        <v>900</v>
      </c>
      <c r="J179" s="91"/>
      <c r="K179" s="92">
        <f t="shared" si="2"/>
        <v>2</v>
      </c>
      <c r="L179" s="49">
        <f t="shared" si="3"/>
        <v>145</v>
      </c>
    </row>
    <row r="180" ht="14.25" customHeight="1">
      <c r="A180" s="38">
        <v>46263.0</v>
      </c>
      <c r="B180" s="40" t="s">
        <v>77</v>
      </c>
      <c r="C180" s="40" t="s">
        <v>79</v>
      </c>
      <c r="D180" s="40" t="s">
        <v>240</v>
      </c>
      <c r="E180" s="40" t="s">
        <v>241</v>
      </c>
      <c r="F180" s="40" t="s">
        <v>84</v>
      </c>
      <c r="G180" s="40">
        <v>4.0</v>
      </c>
      <c r="H180" s="41">
        <v>65.0</v>
      </c>
      <c r="I180" s="90">
        <f t="shared" si="1"/>
        <v>260</v>
      </c>
      <c r="J180" s="91"/>
      <c r="K180" s="92">
        <f t="shared" si="2"/>
        <v>4</v>
      </c>
      <c r="L180" s="49" t="str">
        <f t="shared" si="3"/>
        <v/>
      </c>
    </row>
    <row r="181" ht="14.25" customHeight="1">
      <c r="A181" s="38">
        <v>46263.0</v>
      </c>
      <c r="B181" s="40" t="s">
        <v>77</v>
      </c>
      <c r="C181" s="40" t="s">
        <v>79</v>
      </c>
      <c r="D181" s="40" t="s">
        <v>536</v>
      </c>
      <c r="E181" s="40" t="s">
        <v>537</v>
      </c>
      <c r="F181" s="40" t="s">
        <v>84</v>
      </c>
      <c r="G181" s="40">
        <v>2.0</v>
      </c>
      <c r="H181" s="41">
        <v>130.0</v>
      </c>
      <c r="I181" s="90">
        <f t="shared" si="1"/>
        <v>260</v>
      </c>
      <c r="J181" s="91"/>
      <c r="K181" s="92">
        <f t="shared" si="2"/>
        <v>2</v>
      </c>
      <c r="L181" s="49">
        <f t="shared" si="3"/>
        <v>146</v>
      </c>
    </row>
    <row r="182" ht="14.25" customHeight="1">
      <c r="A182" s="38">
        <v>46260.0</v>
      </c>
      <c r="B182" s="40" t="s">
        <v>77</v>
      </c>
      <c r="C182" s="29" t="s">
        <v>385</v>
      </c>
      <c r="D182" s="40" t="s">
        <v>386</v>
      </c>
      <c r="E182" s="40" t="s">
        <v>387</v>
      </c>
      <c r="F182" s="29" t="s">
        <v>165</v>
      </c>
      <c r="G182" s="29">
        <v>6.0</v>
      </c>
      <c r="H182" s="30">
        <v>190.0</v>
      </c>
      <c r="I182" s="90">
        <f t="shared" si="1"/>
        <v>1140</v>
      </c>
      <c r="J182" s="91"/>
      <c r="K182" s="92">
        <f t="shared" si="2"/>
        <v>6</v>
      </c>
      <c r="L182" s="49" t="str">
        <f t="shared" si="3"/>
        <v/>
      </c>
    </row>
    <row r="183" ht="14.25" customHeight="1">
      <c r="A183" s="38">
        <v>46260.0</v>
      </c>
      <c r="B183" s="40" t="s">
        <v>77</v>
      </c>
      <c r="C183" s="29" t="s">
        <v>385</v>
      </c>
      <c r="D183" s="29" t="s">
        <v>393</v>
      </c>
      <c r="E183" s="29" t="s">
        <v>394</v>
      </c>
      <c r="F183" s="29" t="s">
        <v>165</v>
      </c>
      <c r="G183" s="29">
        <v>6.0</v>
      </c>
      <c r="H183" s="30">
        <v>190.0</v>
      </c>
      <c r="I183" s="90">
        <f t="shared" si="1"/>
        <v>1140</v>
      </c>
      <c r="J183" s="91"/>
      <c r="K183" s="92">
        <f t="shared" si="2"/>
        <v>6</v>
      </c>
      <c r="L183" s="49" t="str">
        <f t="shared" si="3"/>
        <v/>
      </c>
    </row>
    <row r="184" ht="14.25" customHeight="1">
      <c r="A184" s="38">
        <v>46260.0</v>
      </c>
      <c r="B184" s="40" t="s">
        <v>77</v>
      </c>
      <c r="C184" s="29" t="s">
        <v>385</v>
      </c>
      <c r="D184" s="40" t="s">
        <v>539</v>
      </c>
      <c r="E184" s="40" t="s">
        <v>540</v>
      </c>
      <c r="F184" s="29" t="s">
        <v>165</v>
      </c>
      <c r="G184" s="29">
        <v>18.0</v>
      </c>
      <c r="H184" s="30">
        <v>200.0</v>
      </c>
      <c r="I184" s="90">
        <f t="shared" si="1"/>
        <v>3600</v>
      </c>
      <c r="J184" s="91"/>
      <c r="K184" s="92">
        <f t="shared" si="2"/>
        <v>18</v>
      </c>
      <c r="L184" s="49">
        <f t="shared" si="3"/>
        <v>147</v>
      </c>
    </row>
    <row r="185" ht="14.25" customHeight="1">
      <c r="A185" s="38">
        <v>46260.0</v>
      </c>
      <c r="B185" s="40" t="s">
        <v>77</v>
      </c>
      <c r="C185" s="29" t="s">
        <v>385</v>
      </c>
      <c r="D185" s="40" t="s">
        <v>541</v>
      </c>
      <c r="E185" s="40" t="s">
        <v>542</v>
      </c>
      <c r="F185" s="29" t="s">
        <v>165</v>
      </c>
      <c r="G185" s="29">
        <v>18.0</v>
      </c>
      <c r="H185" s="30">
        <v>200.0</v>
      </c>
      <c r="I185" s="90">
        <f t="shared" si="1"/>
        <v>3600</v>
      </c>
      <c r="J185" s="91"/>
      <c r="K185" s="92">
        <f t="shared" si="2"/>
        <v>18</v>
      </c>
      <c r="L185" s="49">
        <f t="shared" si="3"/>
        <v>148</v>
      </c>
    </row>
    <row r="186" ht="14.25" customHeight="1">
      <c r="A186" s="38">
        <v>46260.0</v>
      </c>
      <c r="B186" s="40" t="s">
        <v>77</v>
      </c>
      <c r="C186" s="29" t="s">
        <v>385</v>
      </c>
      <c r="D186" s="29" t="s">
        <v>402</v>
      </c>
      <c r="E186" s="29" t="s">
        <v>543</v>
      </c>
      <c r="F186" s="29" t="s">
        <v>165</v>
      </c>
      <c r="G186" s="29">
        <v>6.0</v>
      </c>
      <c r="H186" s="30">
        <v>385.0</v>
      </c>
      <c r="I186" s="90">
        <f t="shared" si="1"/>
        <v>2310</v>
      </c>
      <c r="J186" s="91"/>
      <c r="K186" s="92">
        <f t="shared" si="2"/>
        <v>6</v>
      </c>
      <c r="L186" s="49" t="str">
        <f t="shared" si="3"/>
        <v/>
      </c>
    </row>
    <row r="187" ht="14.25" customHeight="1">
      <c r="A187" s="38">
        <v>46260.0</v>
      </c>
      <c r="B187" s="40" t="s">
        <v>77</v>
      </c>
      <c r="C187" s="29" t="s">
        <v>385</v>
      </c>
      <c r="D187" s="29" t="s">
        <v>544</v>
      </c>
      <c r="E187" s="29" t="s">
        <v>545</v>
      </c>
      <c r="F187" s="29" t="s">
        <v>165</v>
      </c>
      <c r="G187" s="29">
        <v>6.0</v>
      </c>
      <c r="H187" s="30">
        <v>385.0</v>
      </c>
      <c r="I187" s="90">
        <f t="shared" si="1"/>
        <v>2310</v>
      </c>
      <c r="J187" s="91"/>
      <c r="K187" s="92">
        <f t="shared" si="2"/>
        <v>6</v>
      </c>
      <c r="L187" s="49">
        <f t="shared" si="3"/>
        <v>149</v>
      </c>
    </row>
    <row r="188" ht="14.25" customHeight="1">
      <c r="A188" s="38">
        <v>46260.0</v>
      </c>
      <c r="B188" s="40" t="s">
        <v>77</v>
      </c>
      <c r="C188" s="29" t="s">
        <v>385</v>
      </c>
      <c r="D188" s="29" t="s">
        <v>405</v>
      </c>
      <c r="E188" s="29" t="s">
        <v>406</v>
      </c>
      <c r="F188" s="29" t="s">
        <v>165</v>
      </c>
      <c r="G188" s="29">
        <v>1.0</v>
      </c>
      <c r="H188" s="30">
        <v>950.0</v>
      </c>
      <c r="I188" s="90">
        <f t="shared" si="1"/>
        <v>950</v>
      </c>
      <c r="J188" s="91"/>
      <c r="K188" s="92">
        <f t="shared" si="2"/>
        <v>1</v>
      </c>
      <c r="L188" s="49" t="str">
        <f t="shared" si="3"/>
        <v/>
      </c>
    </row>
    <row r="189" ht="14.25" customHeight="1">
      <c r="A189" s="38">
        <v>46260.0</v>
      </c>
      <c r="B189" s="40" t="s">
        <v>77</v>
      </c>
      <c r="C189" s="29" t="s">
        <v>385</v>
      </c>
      <c r="D189" s="29" t="s">
        <v>407</v>
      </c>
      <c r="E189" s="29" t="s">
        <v>408</v>
      </c>
      <c r="F189" s="29" t="s">
        <v>165</v>
      </c>
      <c r="G189" s="29">
        <v>1.0</v>
      </c>
      <c r="H189" s="30">
        <v>950.0</v>
      </c>
      <c r="I189" s="90">
        <f t="shared" si="1"/>
        <v>950</v>
      </c>
      <c r="J189" s="91"/>
      <c r="K189" s="92">
        <f t="shared" si="2"/>
        <v>1</v>
      </c>
      <c r="L189" s="49" t="str">
        <f t="shared" si="3"/>
        <v/>
      </c>
    </row>
    <row r="190" ht="14.25" customHeight="1">
      <c r="A190" s="38">
        <v>46260.0</v>
      </c>
      <c r="B190" s="40" t="s">
        <v>77</v>
      </c>
      <c r="C190" s="29" t="s">
        <v>385</v>
      </c>
      <c r="D190" s="29" t="s">
        <v>546</v>
      </c>
      <c r="E190" s="29" t="s">
        <v>547</v>
      </c>
      <c r="F190" s="29" t="s">
        <v>165</v>
      </c>
      <c r="G190" s="29">
        <v>2.0</v>
      </c>
      <c r="H190" s="30">
        <v>950.0</v>
      </c>
      <c r="I190" s="90">
        <f t="shared" si="1"/>
        <v>1900</v>
      </c>
      <c r="J190" s="91"/>
      <c r="K190" s="92">
        <f t="shared" si="2"/>
        <v>2</v>
      </c>
      <c r="L190" s="49">
        <f t="shared" si="3"/>
        <v>150</v>
      </c>
    </row>
    <row r="191" ht="14.25" customHeight="1">
      <c r="A191" s="38">
        <v>46260.0</v>
      </c>
      <c r="B191" s="40" t="s">
        <v>77</v>
      </c>
      <c r="C191" s="29" t="s">
        <v>385</v>
      </c>
      <c r="D191" s="29" t="s">
        <v>179</v>
      </c>
      <c r="E191" s="40" t="s">
        <v>548</v>
      </c>
      <c r="F191" s="40" t="s">
        <v>181</v>
      </c>
      <c r="G191" s="40">
        <v>200.0</v>
      </c>
      <c r="H191" s="41">
        <v>8.0</v>
      </c>
      <c r="I191" s="90">
        <f t="shared" si="1"/>
        <v>1600</v>
      </c>
      <c r="J191" s="91"/>
      <c r="K191" s="92">
        <f t="shared" si="2"/>
        <v>200</v>
      </c>
      <c r="L191" s="49" t="str">
        <f t="shared" si="3"/>
        <v/>
      </c>
    </row>
    <row r="192" ht="14.25" customHeight="1">
      <c r="A192" s="38">
        <v>46260.0</v>
      </c>
      <c r="B192" s="40" t="s">
        <v>77</v>
      </c>
      <c r="C192" s="40" t="s">
        <v>79</v>
      </c>
      <c r="D192" s="29" t="s">
        <v>466</v>
      </c>
      <c r="E192" s="40" t="s">
        <v>550</v>
      </c>
      <c r="F192" s="40" t="s">
        <v>84</v>
      </c>
      <c r="G192" s="40">
        <v>2.0</v>
      </c>
      <c r="H192" s="41">
        <v>70.0</v>
      </c>
      <c r="I192" s="90">
        <f t="shared" si="1"/>
        <v>140</v>
      </c>
      <c r="J192" s="91"/>
      <c r="K192" s="92">
        <f t="shared" si="2"/>
        <v>2</v>
      </c>
      <c r="L192" s="49" t="str">
        <f t="shared" si="3"/>
        <v/>
      </c>
    </row>
    <row r="193" ht="14.25" customHeight="1">
      <c r="A193" s="38">
        <v>46260.0</v>
      </c>
      <c r="B193" s="40" t="s">
        <v>77</v>
      </c>
      <c r="C193" s="40" t="s">
        <v>79</v>
      </c>
      <c r="D193" s="29" t="s">
        <v>466</v>
      </c>
      <c r="E193" s="40" t="s">
        <v>551</v>
      </c>
      <c r="F193" s="40" t="s">
        <v>84</v>
      </c>
      <c r="G193" s="40">
        <v>1.0</v>
      </c>
      <c r="H193" s="41">
        <v>70.0</v>
      </c>
      <c r="I193" s="90">
        <f t="shared" si="1"/>
        <v>70</v>
      </c>
      <c r="J193" s="91"/>
      <c r="K193" s="92">
        <f t="shared" si="2"/>
        <v>1</v>
      </c>
      <c r="L193" s="49" t="str">
        <f t="shared" si="3"/>
        <v/>
      </c>
    </row>
    <row r="194" ht="14.25" customHeight="1">
      <c r="A194" s="38">
        <v>46260.0</v>
      </c>
      <c r="B194" s="40" t="s">
        <v>77</v>
      </c>
      <c r="C194" s="40" t="s">
        <v>79</v>
      </c>
      <c r="D194" s="40" t="s">
        <v>552</v>
      </c>
      <c r="E194" s="40" t="s">
        <v>553</v>
      </c>
      <c r="F194" s="29" t="s">
        <v>165</v>
      </c>
      <c r="G194" s="40">
        <v>2.0</v>
      </c>
      <c r="H194" s="41">
        <v>950.0</v>
      </c>
      <c r="I194" s="90">
        <f t="shared" si="1"/>
        <v>1900</v>
      </c>
      <c r="J194" s="91"/>
      <c r="K194" s="92">
        <f t="shared" si="2"/>
        <v>2</v>
      </c>
      <c r="L194" s="49">
        <f t="shared" si="3"/>
        <v>151</v>
      </c>
    </row>
    <row r="195" ht="14.25" customHeight="1">
      <c r="A195" s="38">
        <v>46260.0</v>
      </c>
      <c r="B195" s="40" t="s">
        <v>77</v>
      </c>
      <c r="C195" s="40" t="s">
        <v>79</v>
      </c>
      <c r="D195" s="40" t="s">
        <v>555</v>
      </c>
      <c r="E195" s="40" t="s">
        <v>556</v>
      </c>
      <c r="F195" s="29" t="s">
        <v>165</v>
      </c>
      <c r="G195" s="40">
        <v>1.0</v>
      </c>
      <c r="H195" s="41">
        <v>950.0</v>
      </c>
      <c r="I195" s="90">
        <f t="shared" si="1"/>
        <v>950</v>
      </c>
      <c r="J195" s="91"/>
      <c r="K195" s="92">
        <f t="shared" si="2"/>
        <v>1</v>
      </c>
      <c r="L195" s="49">
        <f t="shared" si="3"/>
        <v>152</v>
      </c>
    </row>
    <row r="196" ht="14.25" customHeight="1">
      <c r="A196" s="38">
        <v>46260.0</v>
      </c>
      <c r="B196" s="40" t="s">
        <v>77</v>
      </c>
      <c r="C196" s="40" t="s">
        <v>79</v>
      </c>
      <c r="D196" s="40" t="s">
        <v>557</v>
      </c>
      <c r="E196" s="40" t="s">
        <v>558</v>
      </c>
      <c r="F196" s="29" t="s">
        <v>165</v>
      </c>
      <c r="G196" s="40">
        <v>1.0</v>
      </c>
      <c r="H196" s="41">
        <v>950.0</v>
      </c>
      <c r="I196" s="90">
        <f t="shared" si="1"/>
        <v>950</v>
      </c>
      <c r="J196" s="91"/>
      <c r="K196" s="92">
        <f t="shared" si="2"/>
        <v>1</v>
      </c>
      <c r="L196" s="49">
        <f t="shared" si="3"/>
        <v>153</v>
      </c>
    </row>
    <row r="197" ht="14.25" customHeight="1">
      <c r="A197" s="38">
        <v>46260.0</v>
      </c>
      <c r="B197" s="40" t="s">
        <v>77</v>
      </c>
      <c r="C197" s="40" t="s">
        <v>79</v>
      </c>
      <c r="D197" s="29" t="s">
        <v>159</v>
      </c>
      <c r="E197" s="40" t="s">
        <v>160</v>
      </c>
      <c r="F197" s="40" t="s">
        <v>84</v>
      </c>
      <c r="G197" s="40">
        <v>2.0</v>
      </c>
      <c r="H197" s="41">
        <v>300.0</v>
      </c>
      <c r="I197" s="90">
        <f t="shared" si="1"/>
        <v>600</v>
      </c>
      <c r="J197" s="91"/>
      <c r="K197" s="92">
        <f t="shared" si="2"/>
        <v>2</v>
      </c>
      <c r="L197" s="49" t="str">
        <f t="shared" si="3"/>
        <v/>
      </c>
    </row>
    <row r="198" ht="14.25" customHeight="1">
      <c r="A198" s="38">
        <v>46260.0</v>
      </c>
      <c r="B198" s="40" t="s">
        <v>77</v>
      </c>
      <c r="C198" s="40" t="s">
        <v>79</v>
      </c>
      <c r="D198" s="29" t="s">
        <v>559</v>
      </c>
      <c r="E198" s="40" t="s">
        <v>560</v>
      </c>
      <c r="F198" s="40" t="s">
        <v>181</v>
      </c>
      <c r="G198" s="40">
        <v>10.0</v>
      </c>
      <c r="H198" s="41">
        <v>20.0</v>
      </c>
      <c r="I198" s="90">
        <f t="shared" si="1"/>
        <v>200</v>
      </c>
      <c r="J198" s="91"/>
      <c r="K198" s="92">
        <f t="shared" si="2"/>
        <v>10</v>
      </c>
      <c r="L198" s="49">
        <f t="shared" si="3"/>
        <v>154</v>
      </c>
    </row>
    <row r="199" ht="14.25" customHeight="1">
      <c r="A199" s="38">
        <v>46260.0</v>
      </c>
      <c r="B199" s="40" t="s">
        <v>77</v>
      </c>
      <c r="C199" s="40" t="s">
        <v>79</v>
      </c>
      <c r="D199" s="40" t="s">
        <v>331</v>
      </c>
      <c r="E199" s="40" t="s">
        <v>332</v>
      </c>
      <c r="F199" s="40" t="s">
        <v>333</v>
      </c>
      <c r="G199" s="40">
        <v>1.0</v>
      </c>
      <c r="H199" s="30">
        <v>1050.0</v>
      </c>
      <c r="I199" s="90">
        <f t="shared" si="1"/>
        <v>1050</v>
      </c>
      <c r="J199" s="91"/>
      <c r="K199" s="92">
        <f t="shared" si="2"/>
        <v>1</v>
      </c>
      <c r="L199" s="49" t="str">
        <f t="shared" si="3"/>
        <v/>
      </c>
    </row>
    <row r="200" ht="14.25" customHeight="1">
      <c r="A200" s="100">
        <v>46267.0</v>
      </c>
      <c r="B200" s="40" t="s">
        <v>77</v>
      </c>
      <c r="C200" s="101" t="s">
        <v>191</v>
      </c>
      <c r="D200" s="101" t="s">
        <v>561</v>
      </c>
      <c r="E200" s="69" t="s">
        <v>562</v>
      </c>
      <c r="F200" s="69" t="s">
        <v>170</v>
      </c>
      <c r="G200" s="69">
        <v>10.0</v>
      </c>
      <c r="H200" s="102">
        <v>1000.0</v>
      </c>
      <c r="I200" s="90">
        <f t="shared" si="1"/>
        <v>10000</v>
      </c>
      <c r="J200" s="91"/>
      <c r="K200" s="92">
        <f t="shared" si="2"/>
        <v>10</v>
      </c>
      <c r="L200" s="49">
        <f t="shared" si="3"/>
        <v>155</v>
      </c>
    </row>
    <row r="201" ht="14.25" customHeight="1">
      <c r="A201" s="100">
        <v>46267.0</v>
      </c>
      <c r="B201" s="40" t="s">
        <v>77</v>
      </c>
      <c r="C201" s="101" t="s">
        <v>191</v>
      </c>
      <c r="D201" s="101" t="s">
        <v>563</v>
      </c>
      <c r="E201" s="69" t="s">
        <v>564</v>
      </c>
      <c r="F201" s="69" t="s">
        <v>170</v>
      </c>
      <c r="G201" s="69">
        <v>10.0</v>
      </c>
      <c r="H201" s="102">
        <v>800.0</v>
      </c>
      <c r="I201" s="90">
        <f t="shared" si="1"/>
        <v>8000</v>
      </c>
      <c r="J201" s="91"/>
      <c r="K201" s="92">
        <f t="shared" si="2"/>
        <v>10</v>
      </c>
      <c r="L201" s="49">
        <f t="shared" si="3"/>
        <v>156</v>
      </c>
    </row>
    <row r="202" ht="14.25" customHeight="1">
      <c r="A202" s="89"/>
      <c r="B202" s="40"/>
      <c r="C202" s="40"/>
      <c r="D202" s="40"/>
      <c r="E202" s="40"/>
      <c r="F202" s="40"/>
      <c r="G202" s="40"/>
      <c r="H202" s="41"/>
      <c r="I202" s="90">
        <f t="shared" si="1"/>
        <v>0</v>
      </c>
      <c r="J202" s="91"/>
      <c r="K202" s="92" t="str">
        <f t="shared" si="2"/>
        <v/>
      </c>
      <c r="L202" s="49" t="str">
        <f t="shared" si="3"/>
        <v/>
      </c>
    </row>
    <row r="203" ht="14.25" customHeight="1">
      <c r="A203" s="89"/>
      <c r="B203" s="40"/>
      <c r="C203" s="40"/>
      <c r="D203" s="40"/>
      <c r="E203" s="40"/>
      <c r="F203" s="40"/>
      <c r="G203" s="40"/>
      <c r="H203" s="41"/>
      <c r="I203" s="90">
        <f t="shared" si="1"/>
        <v>0</v>
      </c>
      <c r="J203" s="91"/>
      <c r="K203" s="92" t="str">
        <f t="shared" si="2"/>
        <v/>
      </c>
      <c r="L203" s="49" t="str">
        <f t="shared" si="3"/>
        <v/>
      </c>
    </row>
    <row r="204" ht="14.25" customHeight="1">
      <c r="A204" s="89"/>
      <c r="B204" s="40"/>
      <c r="C204" s="40"/>
      <c r="D204" s="40"/>
      <c r="E204" s="40"/>
      <c r="F204" s="40"/>
      <c r="G204" s="40"/>
      <c r="H204" s="41"/>
      <c r="I204" s="90">
        <f t="shared" si="1"/>
        <v>0</v>
      </c>
      <c r="J204" s="91"/>
      <c r="K204" s="92" t="str">
        <f t="shared" si="2"/>
        <v/>
      </c>
      <c r="L204" s="49" t="str">
        <f t="shared" si="3"/>
        <v/>
      </c>
    </row>
    <row r="205" ht="14.25" customHeight="1">
      <c r="A205" s="89"/>
      <c r="B205" s="40"/>
      <c r="C205" s="40"/>
      <c r="D205" s="40"/>
      <c r="E205" s="40"/>
      <c r="F205" s="40"/>
      <c r="G205" s="40"/>
      <c r="H205" s="41"/>
      <c r="I205" s="90">
        <f t="shared" si="1"/>
        <v>0</v>
      </c>
      <c r="J205" s="91"/>
      <c r="K205" s="92" t="str">
        <f t="shared" si="2"/>
        <v/>
      </c>
      <c r="L205" s="49" t="str">
        <f t="shared" si="3"/>
        <v/>
      </c>
    </row>
    <row r="206" ht="14.25" customHeight="1">
      <c r="A206" s="89"/>
      <c r="B206" s="40"/>
      <c r="C206" s="40"/>
      <c r="D206" s="40"/>
      <c r="E206" s="40"/>
      <c r="F206" s="40"/>
      <c r="G206" s="40"/>
      <c r="H206" s="41"/>
      <c r="I206" s="90">
        <f t="shared" si="1"/>
        <v>0</v>
      </c>
      <c r="J206" s="91"/>
      <c r="K206" s="92" t="str">
        <f t="shared" si="2"/>
        <v/>
      </c>
      <c r="L206" s="49" t="str">
        <f t="shared" si="3"/>
        <v/>
      </c>
    </row>
    <row r="207" ht="14.25" customHeight="1">
      <c r="A207" s="89"/>
      <c r="B207" s="40"/>
      <c r="C207" s="40"/>
      <c r="D207" s="40"/>
      <c r="E207" s="40"/>
      <c r="F207" s="40"/>
      <c r="G207" s="40"/>
      <c r="H207" s="41"/>
      <c r="I207" s="90">
        <f t="shared" si="1"/>
        <v>0</v>
      </c>
      <c r="J207" s="91"/>
      <c r="K207" s="92" t="str">
        <f t="shared" si="2"/>
        <v/>
      </c>
      <c r="L207" s="49" t="str">
        <f t="shared" si="3"/>
        <v/>
      </c>
    </row>
    <row r="208" ht="14.25" customHeight="1">
      <c r="A208" s="89"/>
      <c r="B208" s="40"/>
      <c r="C208" s="40"/>
      <c r="D208" s="40"/>
      <c r="E208" s="40"/>
      <c r="F208" s="40"/>
      <c r="G208" s="40"/>
      <c r="H208" s="41"/>
      <c r="I208" s="90">
        <f t="shared" si="1"/>
        <v>0</v>
      </c>
      <c r="J208" s="91"/>
      <c r="K208" s="92" t="str">
        <f t="shared" si="2"/>
        <v/>
      </c>
      <c r="L208" s="49" t="str">
        <f t="shared" si="3"/>
        <v/>
      </c>
    </row>
    <row r="209" ht="14.25" customHeight="1">
      <c r="A209" s="89"/>
      <c r="B209" s="40"/>
      <c r="C209" s="40"/>
      <c r="D209" s="40"/>
      <c r="E209" s="40"/>
      <c r="F209" s="40"/>
      <c r="G209" s="40"/>
      <c r="H209" s="41"/>
      <c r="I209" s="90">
        <f t="shared" si="1"/>
        <v>0</v>
      </c>
      <c r="J209" s="91"/>
      <c r="K209" s="92" t="str">
        <f t="shared" si="2"/>
        <v/>
      </c>
      <c r="L209" s="49" t="str">
        <f t="shared" si="3"/>
        <v/>
      </c>
    </row>
    <row r="210" ht="14.25" customHeight="1">
      <c r="A210" s="89"/>
      <c r="B210" s="40"/>
      <c r="C210" s="40"/>
      <c r="D210" s="40"/>
      <c r="E210" s="40"/>
      <c r="F210" s="40"/>
      <c r="G210" s="40"/>
      <c r="H210" s="41"/>
      <c r="I210" s="90">
        <f t="shared" si="1"/>
        <v>0</v>
      </c>
      <c r="J210" s="91"/>
      <c r="K210" s="92" t="str">
        <f t="shared" si="2"/>
        <v/>
      </c>
      <c r="L210" s="49" t="str">
        <f t="shared" si="3"/>
        <v/>
      </c>
    </row>
    <row r="211" ht="14.25" customHeight="1">
      <c r="A211" s="89"/>
      <c r="B211" s="40"/>
      <c r="C211" s="40"/>
      <c r="D211" s="40"/>
      <c r="E211" s="40"/>
      <c r="F211" s="40"/>
      <c r="G211" s="40"/>
      <c r="H211" s="41"/>
      <c r="I211" s="90">
        <f t="shared" si="1"/>
        <v>0</v>
      </c>
      <c r="J211" s="91"/>
      <c r="K211" s="92" t="str">
        <f t="shared" si="2"/>
        <v/>
      </c>
      <c r="L211" s="49" t="str">
        <f t="shared" si="3"/>
        <v/>
      </c>
    </row>
    <row r="212" ht="14.25" customHeight="1">
      <c r="A212" s="89"/>
      <c r="B212" s="40"/>
      <c r="C212" s="40"/>
      <c r="D212" s="40"/>
      <c r="E212" s="40"/>
      <c r="F212" s="40"/>
      <c r="G212" s="40"/>
      <c r="H212" s="41"/>
      <c r="I212" s="90">
        <f t="shared" si="1"/>
        <v>0</v>
      </c>
      <c r="J212" s="91"/>
      <c r="K212" s="92" t="str">
        <f t="shared" si="2"/>
        <v/>
      </c>
      <c r="L212" s="49" t="str">
        <f t="shared" si="3"/>
        <v/>
      </c>
    </row>
    <row r="213" ht="14.25" customHeight="1">
      <c r="A213" s="89"/>
      <c r="B213" s="40"/>
      <c r="C213" s="40"/>
      <c r="D213" s="40"/>
      <c r="E213" s="40"/>
      <c r="F213" s="40"/>
      <c r="G213" s="40"/>
      <c r="H213" s="41"/>
      <c r="I213" s="90">
        <f t="shared" si="1"/>
        <v>0</v>
      </c>
      <c r="J213" s="91"/>
      <c r="K213" s="92" t="str">
        <f t="shared" si="2"/>
        <v/>
      </c>
      <c r="L213" s="49" t="str">
        <f t="shared" si="3"/>
        <v/>
      </c>
    </row>
    <row r="214" ht="14.25" customHeight="1">
      <c r="A214" s="89"/>
      <c r="B214" s="40"/>
      <c r="C214" s="40"/>
      <c r="D214" s="40"/>
      <c r="E214" s="40"/>
      <c r="F214" s="40"/>
      <c r="G214" s="40"/>
      <c r="H214" s="41"/>
      <c r="I214" s="90">
        <f t="shared" si="1"/>
        <v>0</v>
      </c>
      <c r="J214" s="91"/>
      <c r="K214" s="92" t="str">
        <f t="shared" si="2"/>
        <v/>
      </c>
      <c r="L214" s="49" t="str">
        <f t="shared" si="3"/>
        <v/>
      </c>
    </row>
    <row r="215" ht="14.25" customHeight="1">
      <c r="A215" s="89"/>
      <c r="B215" s="40"/>
      <c r="C215" s="40"/>
      <c r="D215" s="40"/>
      <c r="E215" s="40"/>
      <c r="F215" s="40"/>
      <c r="G215" s="40"/>
      <c r="H215" s="41"/>
      <c r="I215" s="90">
        <f t="shared" si="1"/>
        <v>0</v>
      </c>
      <c r="J215" s="91"/>
      <c r="K215" s="92" t="str">
        <f t="shared" si="2"/>
        <v/>
      </c>
      <c r="L215" s="49" t="str">
        <f t="shared" si="3"/>
        <v/>
      </c>
    </row>
    <row r="216" ht="14.25" customHeight="1">
      <c r="A216" s="89"/>
      <c r="B216" s="40"/>
      <c r="C216" s="40"/>
      <c r="D216" s="40"/>
      <c r="E216" s="40"/>
      <c r="F216" s="40"/>
      <c r="G216" s="40"/>
      <c r="H216" s="41"/>
      <c r="I216" s="90">
        <f t="shared" si="1"/>
        <v>0</v>
      </c>
      <c r="J216" s="91"/>
      <c r="K216" s="92" t="str">
        <f t="shared" si="2"/>
        <v/>
      </c>
      <c r="L216" s="49" t="str">
        <f t="shared" si="3"/>
        <v/>
      </c>
    </row>
    <row r="217" ht="14.25" customHeight="1">
      <c r="A217" s="89"/>
      <c r="B217" s="40"/>
      <c r="C217" s="40"/>
      <c r="D217" s="40"/>
      <c r="E217" s="40"/>
      <c r="F217" s="40"/>
      <c r="G217" s="40"/>
      <c r="H217" s="41"/>
      <c r="I217" s="90">
        <f t="shared" si="1"/>
        <v>0</v>
      </c>
      <c r="J217" s="91"/>
      <c r="K217" s="92" t="str">
        <f t="shared" si="2"/>
        <v/>
      </c>
      <c r="L217" s="49" t="str">
        <f t="shared" si="3"/>
        <v/>
      </c>
    </row>
    <row r="218" ht="14.25" customHeight="1">
      <c r="A218" s="89"/>
      <c r="B218" s="40"/>
      <c r="C218" s="40"/>
      <c r="D218" s="40"/>
      <c r="E218" s="40"/>
      <c r="F218" s="40"/>
      <c r="G218" s="40"/>
      <c r="H218" s="41"/>
      <c r="I218" s="90">
        <f t="shared" si="1"/>
        <v>0</v>
      </c>
      <c r="J218" s="91"/>
      <c r="K218" s="92" t="str">
        <f t="shared" si="2"/>
        <v/>
      </c>
      <c r="L218" s="49" t="str">
        <f t="shared" si="3"/>
        <v/>
      </c>
    </row>
    <row r="219" ht="14.25" customHeight="1">
      <c r="A219" s="89"/>
      <c r="B219" s="40"/>
      <c r="C219" s="40"/>
      <c r="D219" s="40"/>
      <c r="E219" s="40"/>
      <c r="F219" s="40"/>
      <c r="G219" s="40"/>
      <c r="H219" s="41"/>
      <c r="I219" s="90">
        <f t="shared" si="1"/>
        <v>0</v>
      </c>
      <c r="J219" s="91"/>
      <c r="K219" s="92" t="str">
        <f t="shared" si="2"/>
        <v/>
      </c>
      <c r="L219" s="49" t="str">
        <f t="shared" si="3"/>
        <v/>
      </c>
    </row>
    <row r="220" ht="14.25" customHeight="1">
      <c r="A220" s="89"/>
      <c r="B220" s="40"/>
      <c r="C220" s="40"/>
      <c r="D220" s="40"/>
      <c r="E220" s="40"/>
      <c r="F220" s="40"/>
      <c r="G220" s="40"/>
      <c r="H220" s="41"/>
      <c r="I220" s="90">
        <f t="shared" si="1"/>
        <v>0</v>
      </c>
      <c r="J220" s="91"/>
      <c r="K220" s="92" t="str">
        <f t="shared" si="2"/>
        <v/>
      </c>
      <c r="L220" s="49" t="str">
        <f t="shared" si="3"/>
        <v/>
      </c>
    </row>
    <row r="221" ht="14.25" customHeight="1">
      <c r="A221" s="89"/>
      <c r="B221" s="40"/>
      <c r="C221" s="40"/>
      <c r="D221" s="40"/>
      <c r="E221" s="40"/>
      <c r="F221" s="40"/>
      <c r="G221" s="40"/>
      <c r="H221" s="41"/>
      <c r="I221" s="90">
        <f t="shared" si="1"/>
        <v>0</v>
      </c>
      <c r="J221" s="91"/>
      <c r="K221" s="92" t="str">
        <f t="shared" si="2"/>
        <v/>
      </c>
      <c r="L221" s="49" t="str">
        <f t="shared" si="3"/>
        <v/>
      </c>
    </row>
    <row r="222" ht="14.25" customHeight="1">
      <c r="A222" s="89"/>
      <c r="B222" s="40"/>
      <c r="C222" s="40"/>
      <c r="D222" s="40"/>
      <c r="E222" s="40"/>
      <c r="F222" s="40"/>
      <c r="G222" s="40"/>
      <c r="H222" s="41"/>
      <c r="I222" s="90">
        <f t="shared" si="1"/>
        <v>0</v>
      </c>
      <c r="J222" s="91"/>
      <c r="K222" s="92" t="str">
        <f t="shared" si="2"/>
        <v/>
      </c>
      <c r="L222" s="49" t="str">
        <f t="shared" si="3"/>
        <v/>
      </c>
    </row>
    <row r="223" ht="14.25" customHeight="1">
      <c r="A223" s="89"/>
      <c r="B223" s="40"/>
      <c r="C223" s="40"/>
      <c r="D223" s="40"/>
      <c r="E223" s="40"/>
      <c r="F223" s="40"/>
      <c r="G223" s="40"/>
      <c r="H223" s="41"/>
      <c r="I223" s="90">
        <f t="shared" si="1"/>
        <v>0</v>
      </c>
      <c r="J223" s="91"/>
      <c r="K223" s="92" t="str">
        <f t="shared" si="2"/>
        <v/>
      </c>
      <c r="L223" s="49" t="str">
        <f t="shared" si="3"/>
        <v/>
      </c>
    </row>
    <row r="224" ht="14.25" customHeight="1">
      <c r="A224" s="89"/>
      <c r="B224" s="40"/>
      <c r="C224" s="40"/>
      <c r="D224" s="40"/>
      <c r="E224" s="40"/>
      <c r="F224" s="40"/>
      <c r="G224" s="40"/>
      <c r="H224" s="41"/>
      <c r="I224" s="90">
        <f t="shared" si="1"/>
        <v>0</v>
      </c>
      <c r="J224" s="91"/>
      <c r="K224" s="92" t="str">
        <f t="shared" si="2"/>
        <v/>
      </c>
      <c r="L224" s="49" t="str">
        <f t="shared" si="3"/>
        <v/>
      </c>
    </row>
    <row r="225" ht="14.25" customHeight="1">
      <c r="A225" s="89"/>
      <c r="B225" s="40"/>
      <c r="C225" s="40"/>
      <c r="D225" s="40"/>
      <c r="E225" s="40"/>
      <c r="F225" s="40"/>
      <c r="G225" s="40"/>
      <c r="H225" s="41"/>
      <c r="I225" s="90">
        <f t="shared" si="1"/>
        <v>0</v>
      </c>
      <c r="J225" s="91"/>
      <c r="K225" s="92" t="str">
        <f t="shared" si="2"/>
        <v/>
      </c>
      <c r="L225" s="49" t="str">
        <f t="shared" si="3"/>
        <v/>
      </c>
    </row>
    <row r="226" ht="14.25" customHeight="1">
      <c r="A226" s="89"/>
      <c r="B226" s="40"/>
      <c r="C226" s="40"/>
      <c r="D226" s="40"/>
      <c r="E226" s="40"/>
      <c r="F226" s="40"/>
      <c r="G226" s="40"/>
      <c r="H226" s="41"/>
      <c r="I226" s="90">
        <f t="shared" si="1"/>
        <v>0</v>
      </c>
      <c r="J226" s="91"/>
      <c r="K226" s="92" t="str">
        <f t="shared" si="2"/>
        <v/>
      </c>
      <c r="L226" s="49" t="str">
        <f t="shared" si="3"/>
        <v/>
      </c>
    </row>
    <row r="227" ht="14.25" customHeight="1">
      <c r="A227" s="89"/>
      <c r="B227" s="40"/>
      <c r="C227" s="40"/>
      <c r="D227" s="40"/>
      <c r="E227" s="40"/>
      <c r="F227" s="40"/>
      <c r="G227" s="40"/>
      <c r="H227" s="41"/>
      <c r="I227" s="90">
        <f t="shared" si="1"/>
        <v>0</v>
      </c>
      <c r="J227" s="91"/>
      <c r="K227" s="92" t="str">
        <f t="shared" si="2"/>
        <v/>
      </c>
      <c r="L227" s="49" t="str">
        <f t="shared" si="3"/>
        <v/>
      </c>
    </row>
    <row r="228" ht="14.25" customHeight="1">
      <c r="A228" s="89"/>
      <c r="B228" s="40"/>
      <c r="C228" s="40"/>
      <c r="D228" s="40"/>
      <c r="E228" s="40"/>
      <c r="F228" s="40"/>
      <c r="G228" s="40"/>
      <c r="H228" s="41"/>
      <c r="I228" s="90">
        <f t="shared" si="1"/>
        <v>0</v>
      </c>
      <c r="J228" s="91"/>
      <c r="K228" s="92" t="str">
        <f t="shared" si="2"/>
        <v/>
      </c>
      <c r="L228" s="49" t="str">
        <f t="shared" si="3"/>
        <v/>
      </c>
    </row>
    <row r="229" ht="14.25" customHeight="1">
      <c r="A229" s="89"/>
      <c r="B229" s="40"/>
      <c r="C229" s="40"/>
      <c r="D229" s="40"/>
      <c r="E229" s="40"/>
      <c r="F229" s="40"/>
      <c r="G229" s="40"/>
      <c r="H229" s="41"/>
      <c r="I229" s="90">
        <f t="shared" si="1"/>
        <v>0</v>
      </c>
      <c r="J229" s="91"/>
      <c r="K229" s="92" t="str">
        <f t="shared" si="2"/>
        <v/>
      </c>
      <c r="L229" s="49" t="str">
        <f t="shared" si="3"/>
        <v/>
      </c>
    </row>
    <row r="230" ht="14.25" customHeight="1">
      <c r="A230" s="89"/>
      <c r="B230" s="40"/>
      <c r="C230" s="40"/>
      <c r="D230" s="40"/>
      <c r="E230" s="40"/>
      <c r="F230" s="40"/>
      <c r="G230" s="40"/>
      <c r="H230" s="41"/>
      <c r="I230" s="90">
        <f t="shared" si="1"/>
        <v>0</v>
      </c>
      <c r="J230" s="91"/>
      <c r="K230" s="92" t="str">
        <f t="shared" si="2"/>
        <v/>
      </c>
      <c r="L230" s="49" t="str">
        <f t="shared" si="3"/>
        <v/>
      </c>
    </row>
    <row r="231" ht="14.25" customHeight="1">
      <c r="A231" s="89"/>
      <c r="B231" s="40"/>
      <c r="C231" s="40"/>
      <c r="D231" s="40"/>
      <c r="E231" s="40"/>
      <c r="F231" s="40"/>
      <c r="G231" s="40"/>
      <c r="H231" s="41"/>
      <c r="I231" s="90">
        <f t="shared" si="1"/>
        <v>0</v>
      </c>
      <c r="J231" s="91"/>
      <c r="K231" s="92" t="str">
        <f t="shared" si="2"/>
        <v/>
      </c>
      <c r="L231" s="49" t="str">
        <f t="shared" si="3"/>
        <v/>
      </c>
    </row>
    <row r="232" ht="14.25" customHeight="1">
      <c r="A232" s="89"/>
      <c r="B232" s="40"/>
      <c r="C232" s="40"/>
      <c r="D232" s="40"/>
      <c r="E232" s="40"/>
      <c r="F232" s="40"/>
      <c r="G232" s="40"/>
      <c r="H232" s="41"/>
      <c r="I232" s="90">
        <f t="shared" si="1"/>
        <v>0</v>
      </c>
      <c r="J232" s="91"/>
      <c r="K232" s="92" t="str">
        <f t="shared" si="2"/>
        <v/>
      </c>
      <c r="L232" s="49" t="str">
        <f t="shared" si="3"/>
        <v/>
      </c>
    </row>
    <row r="233" ht="14.25" customHeight="1">
      <c r="A233" s="89"/>
      <c r="B233" s="40"/>
      <c r="C233" s="40"/>
      <c r="D233" s="40"/>
      <c r="E233" s="40"/>
      <c r="F233" s="40"/>
      <c r="G233" s="40"/>
      <c r="H233" s="41"/>
      <c r="I233" s="90">
        <f t="shared" si="1"/>
        <v>0</v>
      </c>
      <c r="J233" s="91"/>
      <c r="K233" s="92" t="str">
        <f t="shared" si="2"/>
        <v/>
      </c>
      <c r="L233" s="49" t="str">
        <f t="shared" si="3"/>
        <v/>
      </c>
    </row>
    <row r="234" ht="14.25" customHeight="1">
      <c r="A234" s="89"/>
      <c r="B234" s="40"/>
      <c r="C234" s="40"/>
      <c r="D234" s="40"/>
      <c r="E234" s="40"/>
      <c r="F234" s="40"/>
      <c r="G234" s="40"/>
      <c r="H234" s="41"/>
      <c r="I234" s="90">
        <f t="shared" si="1"/>
        <v>0</v>
      </c>
      <c r="J234" s="91"/>
      <c r="K234" s="92" t="str">
        <f t="shared" si="2"/>
        <v/>
      </c>
      <c r="L234" s="49" t="str">
        <f t="shared" si="3"/>
        <v/>
      </c>
    </row>
    <row r="235" ht="14.25" customHeight="1">
      <c r="A235" s="89"/>
      <c r="B235" s="40"/>
      <c r="C235" s="40"/>
      <c r="D235" s="40"/>
      <c r="E235" s="40"/>
      <c r="F235" s="40"/>
      <c r="G235" s="40"/>
      <c r="H235" s="41"/>
      <c r="I235" s="90">
        <f t="shared" si="1"/>
        <v>0</v>
      </c>
      <c r="J235" s="91"/>
      <c r="K235" s="92" t="str">
        <f t="shared" si="2"/>
        <v/>
      </c>
      <c r="L235" s="49" t="str">
        <f t="shared" si="3"/>
        <v/>
      </c>
    </row>
    <row r="236" ht="14.25" customHeight="1">
      <c r="A236" s="89"/>
      <c r="B236" s="40"/>
      <c r="C236" s="40"/>
      <c r="D236" s="40"/>
      <c r="E236" s="40"/>
      <c r="F236" s="40"/>
      <c r="G236" s="40"/>
      <c r="H236" s="41"/>
      <c r="I236" s="90">
        <f t="shared" si="1"/>
        <v>0</v>
      </c>
      <c r="J236" s="91"/>
      <c r="K236" s="92" t="str">
        <f t="shared" si="2"/>
        <v/>
      </c>
      <c r="L236" s="49" t="str">
        <f t="shared" si="3"/>
        <v/>
      </c>
    </row>
    <row r="237" ht="14.25" customHeight="1">
      <c r="A237" s="89"/>
      <c r="B237" s="40"/>
      <c r="C237" s="40"/>
      <c r="D237" s="40"/>
      <c r="E237" s="40"/>
      <c r="F237" s="40"/>
      <c r="G237" s="40"/>
      <c r="H237" s="41"/>
      <c r="I237" s="90">
        <f t="shared" si="1"/>
        <v>0</v>
      </c>
      <c r="J237" s="91"/>
      <c r="K237" s="92" t="str">
        <f t="shared" si="2"/>
        <v/>
      </c>
      <c r="L237" s="49" t="str">
        <f t="shared" si="3"/>
        <v/>
      </c>
    </row>
    <row r="238" ht="14.25" customHeight="1">
      <c r="A238" s="89"/>
      <c r="B238" s="40"/>
      <c r="C238" s="40"/>
      <c r="D238" s="40"/>
      <c r="E238" s="40"/>
      <c r="F238" s="40"/>
      <c r="G238" s="40"/>
      <c r="H238" s="41"/>
      <c r="I238" s="90">
        <f t="shared" si="1"/>
        <v>0</v>
      </c>
      <c r="J238" s="91"/>
      <c r="K238" s="92" t="str">
        <f t="shared" si="2"/>
        <v/>
      </c>
      <c r="L238" s="49" t="str">
        <f t="shared" si="3"/>
        <v/>
      </c>
    </row>
    <row r="239" ht="14.25" customHeight="1">
      <c r="A239" s="89"/>
      <c r="B239" s="40"/>
      <c r="C239" s="40"/>
      <c r="D239" s="40"/>
      <c r="E239" s="40"/>
      <c r="F239" s="40"/>
      <c r="G239" s="40"/>
      <c r="H239" s="41"/>
      <c r="I239" s="90">
        <f t="shared" si="1"/>
        <v>0</v>
      </c>
      <c r="J239" s="91"/>
      <c r="K239" s="92" t="str">
        <f t="shared" si="2"/>
        <v/>
      </c>
      <c r="L239" s="49" t="str">
        <f t="shared" si="3"/>
        <v/>
      </c>
    </row>
    <row r="240" ht="14.25" customHeight="1">
      <c r="A240" s="89"/>
      <c r="B240" s="40"/>
      <c r="C240" s="40"/>
      <c r="D240" s="40"/>
      <c r="E240" s="40"/>
      <c r="F240" s="40"/>
      <c r="G240" s="40"/>
      <c r="H240" s="41"/>
      <c r="I240" s="90">
        <f t="shared" si="1"/>
        <v>0</v>
      </c>
      <c r="J240" s="91"/>
      <c r="K240" s="92" t="str">
        <f t="shared" si="2"/>
        <v/>
      </c>
      <c r="L240" s="49" t="str">
        <f t="shared" si="3"/>
        <v/>
      </c>
    </row>
    <row r="241" ht="14.25" customHeight="1">
      <c r="A241" s="89"/>
      <c r="B241" s="40"/>
      <c r="C241" s="40"/>
      <c r="D241" s="40"/>
      <c r="E241" s="40"/>
      <c r="F241" s="40"/>
      <c r="G241" s="40"/>
      <c r="H241" s="41"/>
      <c r="I241" s="90">
        <f t="shared" si="1"/>
        <v>0</v>
      </c>
      <c r="J241" s="91"/>
      <c r="K241" s="92" t="str">
        <f t="shared" si="2"/>
        <v/>
      </c>
      <c r="L241" s="49" t="str">
        <f t="shared" si="3"/>
        <v/>
      </c>
    </row>
    <row r="242" ht="14.25" customHeight="1">
      <c r="A242" s="89"/>
      <c r="B242" s="40"/>
      <c r="C242" s="40"/>
      <c r="D242" s="40"/>
      <c r="E242" s="40"/>
      <c r="F242" s="40"/>
      <c r="G242" s="40"/>
      <c r="H242" s="41"/>
      <c r="I242" s="90">
        <f t="shared" si="1"/>
        <v>0</v>
      </c>
      <c r="J242" s="91"/>
      <c r="K242" s="92" t="str">
        <f t="shared" si="2"/>
        <v/>
      </c>
      <c r="L242" s="49" t="str">
        <f t="shared" si="3"/>
        <v/>
      </c>
    </row>
    <row r="243" ht="14.25" customHeight="1">
      <c r="A243" s="89"/>
      <c r="B243" s="40"/>
      <c r="C243" s="40"/>
      <c r="D243" s="40"/>
      <c r="E243" s="40"/>
      <c r="F243" s="40"/>
      <c r="G243" s="40"/>
      <c r="H243" s="41"/>
      <c r="I243" s="90">
        <f t="shared" si="1"/>
        <v>0</v>
      </c>
      <c r="J243" s="91"/>
      <c r="K243" s="92" t="str">
        <f t="shared" si="2"/>
        <v/>
      </c>
      <c r="L243" s="49" t="str">
        <f t="shared" si="3"/>
        <v/>
      </c>
    </row>
    <row r="244" ht="14.25" customHeight="1">
      <c r="A244" s="89"/>
      <c r="B244" s="40"/>
      <c r="C244" s="40"/>
      <c r="D244" s="40"/>
      <c r="E244" s="40"/>
      <c r="F244" s="40"/>
      <c r="G244" s="40"/>
      <c r="H244" s="41"/>
      <c r="I244" s="90">
        <f t="shared" si="1"/>
        <v>0</v>
      </c>
      <c r="J244" s="91"/>
      <c r="K244" s="92" t="str">
        <f t="shared" si="2"/>
        <v/>
      </c>
      <c r="L244" s="49" t="str">
        <f t="shared" si="3"/>
        <v/>
      </c>
    </row>
    <row r="245" ht="14.25" customHeight="1">
      <c r="A245" s="89"/>
      <c r="B245" s="40"/>
      <c r="C245" s="40"/>
      <c r="D245" s="40"/>
      <c r="E245" s="40"/>
      <c r="F245" s="40"/>
      <c r="G245" s="40"/>
      <c r="H245" s="41"/>
      <c r="I245" s="90">
        <f t="shared" si="1"/>
        <v>0</v>
      </c>
      <c r="J245" s="91"/>
      <c r="K245" s="92" t="str">
        <f t="shared" si="2"/>
        <v/>
      </c>
      <c r="L245" s="49" t="str">
        <f t="shared" si="3"/>
        <v/>
      </c>
    </row>
    <row r="246" ht="14.25" customHeight="1">
      <c r="A246" s="89"/>
      <c r="B246" s="40"/>
      <c r="C246" s="40"/>
      <c r="D246" s="40"/>
      <c r="E246" s="40"/>
      <c r="F246" s="40"/>
      <c r="G246" s="40"/>
      <c r="H246" s="41"/>
      <c r="I246" s="90">
        <f t="shared" si="1"/>
        <v>0</v>
      </c>
      <c r="J246" s="91"/>
      <c r="K246" s="92" t="str">
        <f t="shared" si="2"/>
        <v/>
      </c>
      <c r="L246" s="49" t="str">
        <f t="shared" si="3"/>
        <v/>
      </c>
    </row>
    <row r="247" ht="14.25" customHeight="1">
      <c r="A247" s="89"/>
      <c r="B247" s="40"/>
      <c r="C247" s="40"/>
      <c r="D247" s="40"/>
      <c r="E247" s="40"/>
      <c r="F247" s="40"/>
      <c r="G247" s="40"/>
      <c r="H247" s="41"/>
      <c r="I247" s="90">
        <f t="shared" si="1"/>
        <v>0</v>
      </c>
      <c r="J247" s="91"/>
      <c r="K247" s="92" t="str">
        <f t="shared" si="2"/>
        <v/>
      </c>
      <c r="L247" s="49" t="str">
        <f t="shared" si="3"/>
        <v/>
      </c>
    </row>
    <row r="248" ht="14.25" customHeight="1">
      <c r="A248" s="89"/>
      <c r="B248" s="40"/>
      <c r="C248" s="40"/>
      <c r="D248" s="40"/>
      <c r="E248" s="40"/>
      <c r="F248" s="40"/>
      <c r="G248" s="40"/>
      <c r="H248" s="41"/>
      <c r="I248" s="90">
        <f t="shared" si="1"/>
        <v>0</v>
      </c>
      <c r="J248" s="91"/>
      <c r="K248" s="92" t="str">
        <f t="shared" si="2"/>
        <v/>
      </c>
      <c r="L248" s="49" t="str">
        <f t="shared" si="3"/>
        <v/>
      </c>
    </row>
    <row r="249" ht="14.25" customHeight="1">
      <c r="A249" s="89"/>
      <c r="B249" s="40"/>
      <c r="C249" s="40"/>
      <c r="D249" s="40"/>
      <c r="E249" s="40"/>
      <c r="F249" s="40"/>
      <c r="G249" s="40"/>
      <c r="H249" s="41"/>
      <c r="I249" s="90">
        <f t="shared" si="1"/>
        <v>0</v>
      </c>
      <c r="J249" s="91"/>
      <c r="K249" s="92" t="str">
        <f t="shared" si="2"/>
        <v/>
      </c>
      <c r="L249" s="49" t="str">
        <f t="shared" si="3"/>
        <v/>
      </c>
    </row>
    <row r="250" ht="14.25" customHeight="1">
      <c r="A250" s="89"/>
      <c r="B250" s="40"/>
      <c r="C250" s="40"/>
      <c r="D250" s="40"/>
      <c r="E250" s="40"/>
      <c r="F250" s="40"/>
      <c r="G250" s="40"/>
      <c r="H250" s="41"/>
      <c r="I250" s="90">
        <f t="shared" si="1"/>
        <v>0</v>
      </c>
      <c r="J250" s="91"/>
      <c r="K250" s="92" t="str">
        <f t="shared" si="2"/>
        <v/>
      </c>
      <c r="L250" s="49" t="str">
        <f t="shared" si="3"/>
        <v/>
      </c>
    </row>
    <row r="251" ht="14.25" customHeight="1">
      <c r="A251" s="89"/>
      <c r="B251" s="40"/>
      <c r="C251" s="40"/>
      <c r="D251" s="40"/>
      <c r="E251" s="40"/>
      <c r="F251" s="40"/>
      <c r="G251" s="40"/>
      <c r="H251" s="41"/>
      <c r="I251" s="90">
        <f t="shared" si="1"/>
        <v>0</v>
      </c>
      <c r="J251" s="91"/>
      <c r="K251" s="92" t="str">
        <f t="shared" si="2"/>
        <v/>
      </c>
      <c r="L251" s="49" t="str">
        <f t="shared" si="3"/>
        <v/>
      </c>
    </row>
    <row r="252" ht="14.25" customHeight="1">
      <c r="A252" s="89"/>
      <c r="B252" s="40"/>
      <c r="C252" s="40"/>
      <c r="D252" s="40"/>
      <c r="E252" s="40"/>
      <c r="F252" s="40"/>
      <c r="G252" s="40"/>
      <c r="H252" s="41"/>
      <c r="I252" s="90">
        <f t="shared" si="1"/>
        <v>0</v>
      </c>
      <c r="J252" s="91"/>
      <c r="K252" s="92" t="str">
        <f t="shared" si="2"/>
        <v/>
      </c>
      <c r="L252" s="49" t="str">
        <f t="shared" si="3"/>
        <v/>
      </c>
    </row>
    <row r="253" ht="14.25" customHeight="1">
      <c r="A253" s="89"/>
      <c r="B253" s="40"/>
      <c r="C253" s="40"/>
      <c r="D253" s="40"/>
      <c r="E253" s="40"/>
      <c r="F253" s="40"/>
      <c r="G253" s="40"/>
      <c r="H253" s="41"/>
      <c r="I253" s="90">
        <f t="shared" si="1"/>
        <v>0</v>
      </c>
      <c r="J253" s="91"/>
      <c r="K253" s="92" t="str">
        <f t="shared" si="2"/>
        <v/>
      </c>
      <c r="L253" s="49" t="str">
        <f t="shared" si="3"/>
        <v/>
      </c>
    </row>
    <row r="254" ht="14.25" customHeight="1">
      <c r="A254" s="89"/>
      <c r="B254" s="40"/>
      <c r="C254" s="40"/>
      <c r="D254" s="40"/>
      <c r="E254" s="40"/>
      <c r="F254" s="40"/>
      <c r="G254" s="40"/>
      <c r="H254" s="41"/>
      <c r="I254" s="90">
        <f t="shared" si="1"/>
        <v>0</v>
      </c>
      <c r="J254" s="91"/>
      <c r="K254" s="92" t="str">
        <f t="shared" si="2"/>
        <v/>
      </c>
      <c r="L254" s="49" t="str">
        <f t="shared" si="3"/>
        <v/>
      </c>
    </row>
    <row r="255" ht="14.25" customHeight="1">
      <c r="A255" s="89"/>
      <c r="B255" s="40"/>
      <c r="C255" s="40"/>
      <c r="D255" s="40"/>
      <c r="E255" s="40"/>
      <c r="F255" s="40"/>
      <c r="G255" s="40"/>
      <c r="H255" s="41"/>
      <c r="I255" s="90">
        <f t="shared" si="1"/>
        <v>0</v>
      </c>
      <c r="J255" s="91"/>
      <c r="K255" s="92" t="str">
        <f t="shared" si="2"/>
        <v/>
      </c>
      <c r="L255" s="49" t="str">
        <f t="shared" si="3"/>
        <v/>
      </c>
    </row>
    <row r="256" ht="14.25" customHeight="1">
      <c r="A256" s="89"/>
      <c r="B256" s="40"/>
      <c r="C256" s="40"/>
      <c r="D256" s="40"/>
      <c r="E256" s="40"/>
      <c r="F256" s="40"/>
      <c r="G256" s="40"/>
      <c r="H256" s="41"/>
      <c r="I256" s="90">
        <f t="shared" si="1"/>
        <v>0</v>
      </c>
      <c r="J256" s="91"/>
      <c r="K256" s="92" t="str">
        <f t="shared" si="2"/>
        <v/>
      </c>
      <c r="L256" s="49" t="str">
        <f t="shared" si="3"/>
        <v/>
      </c>
    </row>
    <row r="257" ht="14.25" customHeight="1">
      <c r="A257" s="89"/>
      <c r="B257" s="40"/>
      <c r="C257" s="40"/>
      <c r="D257" s="40"/>
      <c r="E257" s="40"/>
      <c r="F257" s="40"/>
      <c r="G257" s="40"/>
      <c r="H257" s="41"/>
      <c r="I257" s="90">
        <f t="shared" si="1"/>
        <v>0</v>
      </c>
      <c r="J257" s="91"/>
      <c r="K257" s="92" t="str">
        <f t="shared" si="2"/>
        <v/>
      </c>
      <c r="L257" s="49" t="str">
        <f t="shared" si="3"/>
        <v/>
      </c>
    </row>
    <row r="258" ht="14.25" customHeight="1">
      <c r="A258" s="89"/>
      <c r="B258" s="40"/>
      <c r="C258" s="40"/>
      <c r="D258" s="40"/>
      <c r="E258" s="40"/>
      <c r="F258" s="40"/>
      <c r="G258" s="40"/>
      <c r="H258" s="41"/>
      <c r="I258" s="90">
        <f t="shared" si="1"/>
        <v>0</v>
      </c>
      <c r="J258" s="91"/>
      <c r="K258" s="92" t="str">
        <f t="shared" si="2"/>
        <v/>
      </c>
      <c r="L258" s="49" t="str">
        <f t="shared" si="3"/>
        <v/>
      </c>
    </row>
    <row r="259" ht="14.25" customHeight="1">
      <c r="A259" s="89"/>
      <c r="B259" s="40"/>
      <c r="C259" s="40"/>
      <c r="D259" s="40"/>
      <c r="E259" s="40"/>
      <c r="F259" s="40"/>
      <c r="G259" s="40"/>
      <c r="H259" s="41"/>
      <c r="I259" s="90">
        <f t="shared" si="1"/>
        <v>0</v>
      </c>
      <c r="J259" s="91"/>
      <c r="K259" s="92" t="str">
        <f t="shared" si="2"/>
        <v/>
      </c>
      <c r="L259" s="49" t="str">
        <f t="shared" si="3"/>
        <v/>
      </c>
    </row>
    <row r="260" ht="14.25" customHeight="1">
      <c r="A260" s="89"/>
      <c r="B260" s="40"/>
      <c r="C260" s="40"/>
      <c r="D260" s="40"/>
      <c r="E260" s="40"/>
      <c r="F260" s="40"/>
      <c r="G260" s="40"/>
      <c r="H260" s="41"/>
      <c r="I260" s="90">
        <f t="shared" si="1"/>
        <v>0</v>
      </c>
      <c r="J260" s="91"/>
      <c r="K260" s="92" t="str">
        <f t="shared" si="2"/>
        <v/>
      </c>
      <c r="L260" s="49" t="str">
        <f t="shared" si="3"/>
        <v/>
      </c>
    </row>
    <row r="261" ht="14.25" customHeight="1">
      <c r="A261" s="89"/>
      <c r="B261" s="40"/>
      <c r="C261" s="40"/>
      <c r="D261" s="40"/>
      <c r="E261" s="40"/>
      <c r="F261" s="40"/>
      <c r="G261" s="40"/>
      <c r="H261" s="41"/>
      <c r="I261" s="90">
        <f t="shared" si="1"/>
        <v>0</v>
      </c>
      <c r="J261" s="91"/>
      <c r="K261" s="92" t="str">
        <f t="shared" si="2"/>
        <v/>
      </c>
      <c r="L261" s="49" t="str">
        <f t="shared" si="3"/>
        <v/>
      </c>
    </row>
    <row r="262" ht="14.25" customHeight="1">
      <c r="A262" s="89"/>
      <c r="B262" s="40"/>
      <c r="C262" s="40"/>
      <c r="D262" s="40"/>
      <c r="E262" s="40"/>
      <c r="F262" s="40"/>
      <c r="G262" s="40"/>
      <c r="H262" s="41"/>
      <c r="I262" s="90">
        <f t="shared" si="1"/>
        <v>0</v>
      </c>
      <c r="J262" s="91"/>
      <c r="K262" s="92" t="str">
        <f t="shared" si="2"/>
        <v/>
      </c>
      <c r="L262" s="49" t="str">
        <f t="shared" si="3"/>
        <v/>
      </c>
    </row>
    <row r="263" ht="14.25" customHeight="1">
      <c r="A263" s="89"/>
      <c r="B263" s="40"/>
      <c r="C263" s="40"/>
      <c r="D263" s="40"/>
      <c r="E263" s="40"/>
      <c r="F263" s="40"/>
      <c r="G263" s="40"/>
      <c r="H263" s="41"/>
      <c r="I263" s="90">
        <f t="shared" si="1"/>
        <v>0</v>
      </c>
      <c r="J263" s="91"/>
      <c r="K263" s="92" t="str">
        <f t="shared" si="2"/>
        <v/>
      </c>
      <c r="L263" s="49" t="str">
        <f t="shared" si="3"/>
        <v/>
      </c>
    </row>
    <row r="264" ht="14.25" customHeight="1">
      <c r="A264" s="89"/>
      <c r="B264" s="40"/>
      <c r="C264" s="40"/>
      <c r="D264" s="40"/>
      <c r="E264" s="40"/>
      <c r="F264" s="40"/>
      <c r="G264" s="40"/>
      <c r="H264" s="41"/>
      <c r="I264" s="90">
        <f t="shared" si="1"/>
        <v>0</v>
      </c>
      <c r="J264" s="91"/>
      <c r="K264" s="92" t="str">
        <f t="shared" si="2"/>
        <v/>
      </c>
      <c r="L264" s="49" t="str">
        <f t="shared" si="3"/>
        <v/>
      </c>
    </row>
    <row r="265" ht="14.25" customHeight="1">
      <c r="A265" s="89"/>
      <c r="B265" s="40"/>
      <c r="C265" s="40"/>
      <c r="D265" s="40"/>
      <c r="E265" s="40"/>
      <c r="F265" s="40"/>
      <c r="G265" s="40"/>
      <c r="H265" s="41"/>
      <c r="I265" s="90">
        <f t="shared" si="1"/>
        <v>0</v>
      </c>
      <c r="J265" s="91"/>
      <c r="K265" s="92" t="str">
        <f t="shared" si="2"/>
        <v/>
      </c>
      <c r="L265" s="49" t="str">
        <f t="shared" si="3"/>
        <v/>
      </c>
    </row>
    <row r="266" ht="14.25" customHeight="1">
      <c r="A266" s="89"/>
      <c r="B266" s="40"/>
      <c r="C266" s="40"/>
      <c r="D266" s="40"/>
      <c r="E266" s="40"/>
      <c r="F266" s="40"/>
      <c r="G266" s="40"/>
      <c r="H266" s="41"/>
      <c r="I266" s="90">
        <f t="shared" si="1"/>
        <v>0</v>
      </c>
      <c r="J266" s="91"/>
      <c r="K266" s="92" t="str">
        <f t="shared" si="2"/>
        <v/>
      </c>
      <c r="L266" s="49" t="str">
        <f t="shared" si="3"/>
        <v/>
      </c>
    </row>
    <row r="267" ht="14.25" customHeight="1">
      <c r="A267" s="89"/>
      <c r="B267" s="40"/>
      <c r="C267" s="40"/>
      <c r="D267" s="40"/>
      <c r="E267" s="40"/>
      <c r="F267" s="40"/>
      <c r="G267" s="40"/>
      <c r="H267" s="41"/>
      <c r="I267" s="90">
        <f t="shared" si="1"/>
        <v>0</v>
      </c>
      <c r="J267" s="91"/>
      <c r="K267" s="92" t="str">
        <f t="shared" si="2"/>
        <v/>
      </c>
      <c r="L267" s="49" t="str">
        <f t="shared" si="3"/>
        <v/>
      </c>
    </row>
    <row r="268" ht="14.25" customHeight="1">
      <c r="A268" s="89"/>
      <c r="B268" s="40"/>
      <c r="C268" s="40"/>
      <c r="D268" s="40"/>
      <c r="E268" s="40"/>
      <c r="F268" s="40"/>
      <c r="G268" s="40"/>
      <c r="H268" s="41"/>
      <c r="I268" s="90">
        <f t="shared" si="1"/>
        <v>0</v>
      </c>
      <c r="J268" s="91"/>
      <c r="K268" s="92" t="str">
        <f t="shared" si="2"/>
        <v/>
      </c>
      <c r="L268" s="49" t="str">
        <f t="shared" si="3"/>
        <v/>
      </c>
    </row>
    <row r="269" ht="14.25" customHeight="1">
      <c r="A269" s="89"/>
      <c r="B269" s="40"/>
      <c r="C269" s="40"/>
      <c r="D269" s="40"/>
      <c r="E269" s="40"/>
      <c r="F269" s="40"/>
      <c r="G269" s="40"/>
      <c r="H269" s="41"/>
      <c r="I269" s="90">
        <f t="shared" si="1"/>
        <v>0</v>
      </c>
      <c r="J269" s="91"/>
      <c r="K269" s="92" t="str">
        <f t="shared" si="2"/>
        <v/>
      </c>
      <c r="L269" s="49" t="str">
        <f t="shared" si="3"/>
        <v/>
      </c>
    </row>
    <row r="270" ht="14.25" customHeight="1">
      <c r="A270" s="89"/>
      <c r="B270" s="40"/>
      <c r="C270" s="40"/>
      <c r="D270" s="40"/>
      <c r="E270" s="40"/>
      <c r="F270" s="40"/>
      <c r="G270" s="40"/>
      <c r="H270" s="41"/>
      <c r="I270" s="90">
        <f t="shared" si="1"/>
        <v>0</v>
      </c>
      <c r="J270" s="91"/>
      <c r="K270" s="92" t="str">
        <f t="shared" si="2"/>
        <v/>
      </c>
      <c r="L270" s="49" t="str">
        <f t="shared" si="3"/>
        <v/>
      </c>
    </row>
    <row r="271" ht="14.25" customHeight="1">
      <c r="A271" s="89"/>
      <c r="B271" s="40"/>
      <c r="C271" s="40"/>
      <c r="D271" s="40"/>
      <c r="E271" s="40"/>
      <c r="F271" s="40"/>
      <c r="G271" s="40"/>
      <c r="H271" s="41"/>
      <c r="I271" s="90">
        <f t="shared" si="1"/>
        <v>0</v>
      </c>
      <c r="J271" s="91"/>
      <c r="K271" s="92" t="str">
        <f t="shared" si="2"/>
        <v/>
      </c>
      <c r="L271" s="49" t="str">
        <f t="shared" si="3"/>
        <v/>
      </c>
    </row>
    <row r="272" ht="14.25" customHeight="1">
      <c r="A272" s="89"/>
      <c r="B272" s="40"/>
      <c r="C272" s="40"/>
      <c r="D272" s="40"/>
      <c r="E272" s="40"/>
      <c r="F272" s="40"/>
      <c r="G272" s="40"/>
      <c r="H272" s="41"/>
      <c r="I272" s="90">
        <f t="shared" si="1"/>
        <v>0</v>
      </c>
      <c r="J272" s="91"/>
      <c r="K272" s="92" t="str">
        <f t="shared" si="2"/>
        <v/>
      </c>
      <c r="L272" s="49" t="str">
        <f t="shared" si="3"/>
        <v/>
      </c>
    </row>
    <row r="273" ht="14.25" customHeight="1">
      <c r="A273" s="89"/>
      <c r="B273" s="40"/>
      <c r="C273" s="40"/>
      <c r="D273" s="40"/>
      <c r="E273" s="40"/>
      <c r="F273" s="40"/>
      <c r="G273" s="40"/>
      <c r="H273" s="41"/>
      <c r="I273" s="90">
        <f t="shared" si="1"/>
        <v>0</v>
      </c>
      <c r="J273" s="91"/>
      <c r="K273" s="92" t="str">
        <f t="shared" si="2"/>
        <v/>
      </c>
      <c r="L273" s="49" t="str">
        <f t="shared" si="3"/>
        <v/>
      </c>
    </row>
    <row r="274" ht="14.25" customHeight="1">
      <c r="A274" s="89"/>
      <c r="B274" s="40"/>
      <c r="C274" s="40"/>
      <c r="D274" s="40"/>
      <c r="E274" s="40"/>
      <c r="F274" s="40"/>
      <c r="G274" s="40"/>
      <c r="H274" s="41"/>
      <c r="I274" s="90">
        <f t="shared" si="1"/>
        <v>0</v>
      </c>
      <c r="J274" s="91"/>
      <c r="K274" s="92" t="str">
        <f t="shared" si="2"/>
        <v/>
      </c>
      <c r="L274" s="49" t="str">
        <f t="shared" si="3"/>
        <v/>
      </c>
    </row>
    <row r="275" ht="14.25" customHeight="1">
      <c r="A275" s="89"/>
      <c r="B275" s="40"/>
      <c r="C275" s="40"/>
      <c r="D275" s="40"/>
      <c r="E275" s="40"/>
      <c r="F275" s="40"/>
      <c r="G275" s="40"/>
      <c r="H275" s="41"/>
      <c r="I275" s="90">
        <f t="shared" si="1"/>
        <v>0</v>
      </c>
      <c r="J275" s="91"/>
      <c r="K275" s="92" t="str">
        <f t="shared" si="2"/>
        <v/>
      </c>
      <c r="L275" s="49" t="str">
        <f t="shared" si="3"/>
        <v/>
      </c>
    </row>
    <row r="276" ht="14.25" customHeight="1">
      <c r="A276" s="89"/>
      <c r="B276" s="40"/>
      <c r="C276" s="40"/>
      <c r="D276" s="40"/>
      <c r="E276" s="40"/>
      <c r="F276" s="40"/>
      <c r="G276" s="40"/>
      <c r="H276" s="41"/>
      <c r="I276" s="90">
        <f t="shared" si="1"/>
        <v>0</v>
      </c>
      <c r="J276" s="91"/>
      <c r="K276" s="92" t="str">
        <f t="shared" si="2"/>
        <v/>
      </c>
      <c r="L276" s="49" t="str">
        <f t="shared" si="3"/>
        <v/>
      </c>
    </row>
    <row r="277" ht="14.25" customHeight="1">
      <c r="A277" s="89"/>
      <c r="B277" s="40"/>
      <c r="C277" s="40"/>
      <c r="D277" s="40"/>
      <c r="E277" s="40"/>
      <c r="F277" s="40"/>
      <c r="G277" s="40"/>
      <c r="H277" s="41"/>
      <c r="I277" s="90">
        <f t="shared" si="1"/>
        <v>0</v>
      </c>
      <c r="J277" s="91"/>
      <c r="K277" s="92" t="str">
        <f t="shared" si="2"/>
        <v/>
      </c>
      <c r="L277" s="49" t="str">
        <f t="shared" si="3"/>
        <v/>
      </c>
    </row>
    <row r="278" ht="14.25" customHeight="1">
      <c r="A278" s="89"/>
      <c r="B278" s="40"/>
      <c r="C278" s="40"/>
      <c r="D278" s="40"/>
      <c r="E278" s="40"/>
      <c r="F278" s="40"/>
      <c r="G278" s="40"/>
      <c r="H278" s="41"/>
      <c r="I278" s="90">
        <f t="shared" si="1"/>
        <v>0</v>
      </c>
      <c r="J278" s="91"/>
      <c r="K278" s="92" t="str">
        <f t="shared" si="2"/>
        <v/>
      </c>
      <c r="L278" s="49" t="str">
        <f t="shared" si="3"/>
        <v/>
      </c>
    </row>
    <row r="279" ht="14.25" customHeight="1">
      <c r="A279" s="89"/>
      <c r="B279" s="40"/>
      <c r="C279" s="40"/>
      <c r="D279" s="40"/>
      <c r="E279" s="40"/>
      <c r="F279" s="40"/>
      <c r="G279" s="40"/>
      <c r="H279" s="41"/>
      <c r="I279" s="90">
        <f t="shared" si="1"/>
        <v>0</v>
      </c>
      <c r="J279" s="91"/>
      <c r="K279" s="92" t="str">
        <f t="shared" si="2"/>
        <v/>
      </c>
      <c r="L279" s="49" t="str">
        <f t="shared" si="3"/>
        <v/>
      </c>
    </row>
    <row r="280" ht="14.25" customHeight="1">
      <c r="A280" s="89"/>
      <c r="B280" s="40"/>
      <c r="C280" s="40"/>
      <c r="D280" s="40"/>
      <c r="E280" s="40"/>
      <c r="F280" s="40"/>
      <c r="G280" s="40"/>
      <c r="H280" s="41"/>
      <c r="I280" s="90">
        <f t="shared" si="1"/>
        <v>0</v>
      </c>
      <c r="J280" s="91"/>
      <c r="K280" s="92" t="str">
        <f t="shared" si="2"/>
        <v/>
      </c>
      <c r="L280" s="49" t="str">
        <f t="shared" si="3"/>
        <v/>
      </c>
    </row>
    <row r="281" ht="14.25" customHeight="1">
      <c r="A281" s="89"/>
      <c r="B281" s="40"/>
      <c r="C281" s="40"/>
      <c r="D281" s="40"/>
      <c r="E281" s="40"/>
      <c r="F281" s="40"/>
      <c r="G281" s="40"/>
      <c r="H281" s="41"/>
      <c r="I281" s="90">
        <f t="shared" si="1"/>
        <v>0</v>
      </c>
      <c r="J281" s="91"/>
      <c r="K281" s="92" t="str">
        <f t="shared" si="2"/>
        <v/>
      </c>
      <c r="L281" s="49" t="str">
        <f t="shared" si="3"/>
        <v/>
      </c>
    </row>
    <row r="282" ht="14.25" customHeight="1">
      <c r="A282" s="89"/>
      <c r="B282" s="40"/>
      <c r="C282" s="40"/>
      <c r="D282" s="40"/>
      <c r="E282" s="40"/>
      <c r="F282" s="40"/>
      <c r="G282" s="40"/>
      <c r="H282" s="41"/>
      <c r="I282" s="90">
        <f t="shared" si="1"/>
        <v>0</v>
      </c>
      <c r="J282" s="91"/>
      <c r="K282" s="92" t="str">
        <f t="shared" si="2"/>
        <v/>
      </c>
      <c r="L282" s="49" t="str">
        <f t="shared" si="3"/>
        <v/>
      </c>
    </row>
    <row r="283" ht="14.25" customHeight="1">
      <c r="A283" s="89"/>
      <c r="B283" s="40"/>
      <c r="C283" s="40"/>
      <c r="D283" s="40"/>
      <c r="E283" s="40"/>
      <c r="F283" s="40"/>
      <c r="G283" s="40"/>
      <c r="H283" s="41"/>
      <c r="I283" s="90">
        <f t="shared" si="1"/>
        <v>0</v>
      </c>
      <c r="J283" s="91"/>
      <c r="K283" s="92" t="str">
        <f t="shared" si="2"/>
        <v/>
      </c>
      <c r="L283" s="49" t="str">
        <f t="shared" si="3"/>
        <v/>
      </c>
    </row>
    <row r="284" ht="14.25" customHeight="1">
      <c r="A284" s="89"/>
      <c r="B284" s="40"/>
      <c r="C284" s="40"/>
      <c r="D284" s="40"/>
      <c r="E284" s="40"/>
      <c r="F284" s="40"/>
      <c r="G284" s="40"/>
      <c r="H284" s="41"/>
      <c r="I284" s="90">
        <f t="shared" si="1"/>
        <v>0</v>
      </c>
      <c r="J284" s="91"/>
      <c r="K284" s="92" t="str">
        <f t="shared" si="2"/>
        <v/>
      </c>
      <c r="L284" s="49" t="str">
        <f t="shared" si="3"/>
        <v/>
      </c>
    </row>
    <row r="285" ht="14.25" customHeight="1">
      <c r="A285" s="89"/>
      <c r="B285" s="40"/>
      <c r="C285" s="40"/>
      <c r="D285" s="40"/>
      <c r="E285" s="40"/>
      <c r="F285" s="40"/>
      <c r="G285" s="40"/>
      <c r="H285" s="41"/>
      <c r="I285" s="90">
        <f t="shared" si="1"/>
        <v>0</v>
      </c>
      <c r="J285" s="91"/>
      <c r="K285" s="92" t="str">
        <f t="shared" si="2"/>
        <v/>
      </c>
      <c r="L285" s="49" t="str">
        <f t="shared" si="3"/>
        <v/>
      </c>
    </row>
    <row r="286" ht="14.25" customHeight="1">
      <c r="A286" s="89"/>
      <c r="B286" s="40"/>
      <c r="C286" s="40"/>
      <c r="D286" s="40"/>
      <c r="E286" s="40"/>
      <c r="F286" s="40"/>
      <c r="G286" s="40"/>
      <c r="H286" s="41"/>
      <c r="I286" s="90">
        <f t="shared" si="1"/>
        <v>0</v>
      </c>
      <c r="J286" s="91"/>
      <c r="K286" s="92" t="str">
        <f t="shared" si="2"/>
        <v/>
      </c>
      <c r="L286" s="49" t="str">
        <f t="shared" si="3"/>
        <v/>
      </c>
    </row>
    <row r="287" ht="14.25" customHeight="1">
      <c r="A287" s="89"/>
      <c r="B287" s="40"/>
      <c r="C287" s="40"/>
      <c r="D287" s="40"/>
      <c r="E287" s="40"/>
      <c r="F287" s="40"/>
      <c r="G287" s="40"/>
      <c r="H287" s="41"/>
      <c r="I287" s="90">
        <f t="shared" si="1"/>
        <v>0</v>
      </c>
      <c r="J287" s="91"/>
      <c r="K287" s="92" t="str">
        <f t="shared" si="2"/>
        <v/>
      </c>
      <c r="L287" s="49" t="str">
        <f t="shared" si="3"/>
        <v/>
      </c>
    </row>
    <row r="288" ht="14.25" customHeight="1">
      <c r="A288" s="89"/>
      <c r="B288" s="40"/>
      <c r="C288" s="40"/>
      <c r="D288" s="40"/>
      <c r="E288" s="40"/>
      <c r="F288" s="40"/>
      <c r="G288" s="40"/>
      <c r="H288" s="41"/>
      <c r="I288" s="90">
        <f t="shared" si="1"/>
        <v>0</v>
      </c>
      <c r="J288" s="91"/>
      <c r="K288" s="92" t="str">
        <f t="shared" si="2"/>
        <v/>
      </c>
      <c r="L288" s="49" t="str">
        <f t="shared" si="3"/>
        <v/>
      </c>
    </row>
    <row r="289" ht="14.25" customHeight="1">
      <c r="A289" s="89"/>
      <c r="B289" s="40"/>
      <c r="C289" s="40"/>
      <c r="D289" s="40"/>
      <c r="E289" s="40"/>
      <c r="F289" s="40"/>
      <c r="G289" s="40"/>
      <c r="H289" s="41"/>
      <c r="I289" s="90">
        <f t="shared" si="1"/>
        <v>0</v>
      </c>
      <c r="J289" s="91"/>
      <c r="K289" s="92" t="str">
        <f t="shared" si="2"/>
        <v/>
      </c>
      <c r="L289" s="49" t="str">
        <f t="shared" si="3"/>
        <v/>
      </c>
    </row>
    <row r="290" ht="14.25" customHeight="1">
      <c r="A290" s="89"/>
      <c r="B290" s="40"/>
      <c r="C290" s="40"/>
      <c r="D290" s="40"/>
      <c r="E290" s="40"/>
      <c r="F290" s="40"/>
      <c r="G290" s="40"/>
      <c r="H290" s="41"/>
      <c r="I290" s="90">
        <f t="shared" si="1"/>
        <v>0</v>
      </c>
      <c r="J290" s="91"/>
      <c r="K290" s="92" t="str">
        <f t="shared" si="2"/>
        <v/>
      </c>
      <c r="L290" s="49" t="str">
        <f t="shared" si="3"/>
        <v/>
      </c>
    </row>
    <row r="291" ht="14.25" customHeight="1">
      <c r="A291" s="89"/>
      <c r="B291" s="40"/>
      <c r="C291" s="40"/>
      <c r="D291" s="40"/>
      <c r="E291" s="40"/>
      <c r="F291" s="40"/>
      <c r="G291" s="40"/>
      <c r="H291" s="41"/>
      <c r="I291" s="90">
        <f t="shared" si="1"/>
        <v>0</v>
      </c>
      <c r="J291" s="91"/>
      <c r="K291" s="92" t="str">
        <f t="shared" si="2"/>
        <v/>
      </c>
      <c r="L291" s="49" t="str">
        <f t="shared" si="3"/>
        <v/>
      </c>
    </row>
    <row r="292" ht="14.25" customHeight="1">
      <c r="A292" s="89"/>
      <c r="B292" s="40"/>
      <c r="C292" s="40"/>
      <c r="D292" s="40"/>
      <c r="E292" s="40"/>
      <c r="F292" s="40"/>
      <c r="G292" s="40"/>
      <c r="H292" s="41"/>
      <c r="I292" s="90">
        <f t="shared" si="1"/>
        <v>0</v>
      </c>
      <c r="J292" s="91"/>
      <c r="K292" s="92" t="str">
        <f t="shared" si="2"/>
        <v/>
      </c>
      <c r="L292" s="49" t="str">
        <f t="shared" si="3"/>
        <v/>
      </c>
    </row>
    <row r="293" ht="14.25" customHeight="1">
      <c r="A293" s="89"/>
      <c r="B293" s="40"/>
      <c r="C293" s="40"/>
      <c r="D293" s="40"/>
      <c r="E293" s="40"/>
      <c r="F293" s="40"/>
      <c r="G293" s="40"/>
      <c r="H293" s="41"/>
      <c r="I293" s="90">
        <f t="shared" si="1"/>
        <v>0</v>
      </c>
      <c r="J293" s="91"/>
      <c r="K293" s="92" t="str">
        <f t="shared" si="2"/>
        <v/>
      </c>
      <c r="L293" s="49" t="str">
        <f t="shared" si="3"/>
        <v/>
      </c>
    </row>
    <row r="294" ht="14.25" customHeight="1">
      <c r="A294" s="89"/>
      <c r="B294" s="40"/>
      <c r="C294" s="40"/>
      <c r="D294" s="40"/>
      <c r="E294" s="40"/>
      <c r="F294" s="40"/>
      <c r="G294" s="40"/>
      <c r="H294" s="41"/>
      <c r="I294" s="90">
        <f t="shared" si="1"/>
        <v>0</v>
      </c>
      <c r="J294" s="91"/>
      <c r="K294" s="92" t="str">
        <f t="shared" si="2"/>
        <v/>
      </c>
      <c r="L294" s="49" t="str">
        <f t="shared" si="3"/>
        <v/>
      </c>
    </row>
    <row r="295" ht="14.25" customHeight="1">
      <c r="A295" s="89"/>
      <c r="B295" s="40"/>
      <c r="C295" s="40"/>
      <c r="D295" s="40"/>
      <c r="E295" s="40"/>
      <c r="F295" s="40"/>
      <c r="G295" s="40"/>
      <c r="H295" s="41"/>
      <c r="I295" s="90">
        <f t="shared" si="1"/>
        <v>0</v>
      </c>
      <c r="J295" s="91"/>
      <c r="K295" s="92" t="str">
        <f t="shared" si="2"/>
        <v/>
      </c>
      <c r="L295" s="49" t="str">
        <f t="shared" si="3"/>
        <v/>
      </c>
    </row>
    <row r="296" ht="14.25" customHeight="1">
      <c r="A296" s="89"/>
      <c r="B296" s="40"/>
      <c r="C296" s="40"/>
      <c r="D296" s="40"/>
      <c r="E296" s="40"/>
      <c r="F296" s="40"/>
      <c r="G296" s="40"/>
      <c r="H296" s="41"/>
      <c r="I296" s="90">
        <f t="shared" si="1"/>
        <v>0</v>
      </c>
      <c r="J296" s="91"/>
      <c r="K296" s="92" t="str">
        <f t="shared" si="2"/>
        <v/>
      </c>
      <c r="L296" s="49" t="str">
        <f t="shared" si="3"/>
        <v/>
      </c>
    </row>
    <row r="297" ht="14.25" customHeight="1">
      <c r="A297" s="89"/>
      <c r="B297" s="40"/>
      <c r="C297" s="40"/>
      <c r="D297" s="40"/>
      <c r="E297" s="40"/>
      <c r="F297" s="40"/>
      <c r="G297" s="40"/>
      <c r="H297" s="41"/>
      <c r="I297" s="90">
        <f t="shared" si="1"/>
        <v>0</v>
      </c>
      <c r="J297" s="91"/>
      <c r="K297" s="92" t="str">
        <f t="shared" si="2"/>
        <v/>
      </c>
      <c r="L297" s="49" t="str">
        <f t="shared" si="3"/>
        <v/>
      </c>
    </row>
    <row r="298" ht="14.25" customHeight="1">
      <c r="A298" s="89"/>
      <c r="B298" s="40"/>
      <c r="C298" s="40"/>
      <c r="D298" s="40"/>
      <c r="E298" s="40"/>
      <c r="F298" s="40"/>
      <c r="G298" s="40"/>
      <c r="H298" s="41"/>
      <c r="I298" s="90">
        <f t="shared" si="1"/>
        <v>0</v>
      </c>
      <c r="J298" s="91"/>
      <c r="K298" s="92" t="str">
        <f t="shared" si="2"/>
        <v/>
      </c>
      <c r="L298" s="49" t="str">
        <f t="shared" si="3"/>
        <v/>
      </c>
    </row>
    <row r="299" ht="14.25" customHeight="1">
      <c r="A299" s="89"/>
      <c r="B299" s="40"/>
      <c r="C299" s="40"/>
      <c r="D299" s="40"/>
      <c r="E299" s="40"/>
      <c r="F299" s="40"/>
      <c r="G299" s="40"/>
      <c r="H299" s="41"/>
      <c r="I299" s="90">
        <f t="shared" si="1"/>
        <v>0</v>
      </c>
      <c r="J299" s="91"/>
      <c r="K299" s="92" t="str">
        <f t="shared" si="2"/>
        <v/>
      </c>
      <c r="L299" s="49" t="str">
        <f t="shared" si="3"/>
        <v/>
      </c>
    </row>
    <row r="300" ht="14.25" customHeight="1">
      <c r="A300" s="89"/>
      <c r="B300" s="40"/>
      <c r="C300" s="40"/>
      <c r="D300" s="40"/>
      <c r="E300" s="40"/>
      <c r="F300" s="40"/>
      <c r="G300" s="40"/>
      <c r="H300" s="41"/>
      <c r="I300" s="90">
        <f t="shared" si="1"/>
        <v>0</v>
      </c>
      <c r="J300" s="91"/>
      <c r="K300" s="92" t="str">
        <f t="shared" si="2"/>
        <v/>
      </c>
      <c r="L300" s="49" t="str">
        <f t="shared" si="3"/>
        <v/>
      </c>
    </row>
    <row r="301" ht="14.25" customHeight="1">
      <c r="A301" s="89"/>
      <c r="B301" s="40"/>
      <c r="C301" s="40"/>
      <c r="D301" s="40"/>
      <c r="E301" s="40"/>
      <c r="F301" s="40"/>
      <c r="G301" s="40"/>
      <c r="H301" s="41"/>
      <c r="I301" s="90">
        <f t="shared" si="1"/>
        <v>0</v>
      </c>
      <c r="J301" s="91"/>
      <c r="K301" s="92" t="str">
        <f t="shared" si="2"/>
        <v/>
      </c>
      <c r="L301" s="49" t="str">
        <f t="shared" si="3"/>
        <v/>
      </c>
    </row>
    <row r="302" ht="14.25" customHeight="1">
      <c r="A302" s="89"/>
      <c r="B302" s="40"/>
      <c r="C302" s="40"/>
      <c r="D302" s="40"/>
      <c r="E302" s="40"/>
      <c r="F302" s="40"/>
      <c r="G302" s="40"/>
      <c r="H302" s="41"/>
      <c r="I302" s="90">
        <f t="shared" si="1"/>
        <v>0</v>
      </c>
      <c r="J302" s="91"/>
      <c r="K302" s="92" t="str">
        <f t="shared" si="2"/>
        <v/>
      </c>
      <c r="L302" s="49" t="str">
        <f t="shared" si="3"/>
        <v/>
      </c>
    </row>
    <row r="303" ht="14.25" customHeight="1">
      <c r="A303" s="89"/>
      <c r="B303" s="40"/>
      <c r="C303" s="40"/>
      <c r="D303" s="40"/>
      <c r="E303" s="40"/>
      <c r="F303" s="40"/>
      <c r="G303" s="40"/>
      <c r="H303" s="41"/>
      <c r="I303" s="90">
        <f t="shared" si="1"/>
        <v>0</v>
      </c>
      <c r="J303" s="91"/>
      <c r="K303" s="92" t="str">
        <f t="shared" si="2"/>
        <v/>
      </c>
      <c r="L303" s="49" t="str">
        <f t="shared" si="3"/>
        <v/>
      </c>
    </row>
    <row r="304" ht="14.25" customHeight="1">
      <c r="A304" s="89"/>
      <c r="B304" s="40"/>
      <c r="C304" s="40"/>
      <c r="D304" s="40"/>
      <c r="E304" s="40"/>
      <c r="F304" s="40"/>
      <c r="G304" s="40"/>
      <c r="H304" s="41"/>
      <c r="I304" s="90">
        <f t="shared" si="1"/>
        <v>0</v>
      </c>
      <c r="J304" s="91"/>
      <c r="K304" s="92" t="str">
        <f t="shared" si="2"/>
        <v/>
      </c>
      <c r="L304" s="49" t="str">
        <f t="shared" si="3"/>
        <v/>
      </c>
    </row>
    <row r="305" ht="14.25" customHeight="1">
      <c r="A305" s="89"/>
      <c r="B305" s="40"/>
      <c r="C305" s="40"/>
      <c r="D305" s="40"/>
      <c r="E305" s="40"/>
      <c r="F305" s="40"/>
      <c r="G305" s="40"/>
      <c r="H305" s="41"/>
      <c r="I305" s="90">
        <f t="shared" si="1"/>
        <v>0</v>
      </c>
      <c r="J305" s="91"/>
      <c r="K305" s="92" t="str">
        <f t="shared" si="2"/>
        <v/>
      </c>
      <c r="L305" s="49" t="str">
        <f t="shared" si="3"/>
        <v/>
      </c>
    </row>
    <row r="306" ht="14.25" customHeight="1">
      <c r="A306" s="89"/>
      <c r="B306" s="40"/>
      <c r="C306" s="40"/>
      <c r="D306" s="40"/>
      <c r="E306" s="40"/>
      <c r="F306" s="40"/>
      <c r="G306" s="40"/>
      <c r="H306" s="41"/>
      <c r="I306" s="90">
        <f t="shared" si="1"/>
        <v>0</v>
      </c>
      <c r="J306" s="91"/>
      <c r="K306" s="92" t="str">
        <f t="shared" si="2"/>
        <v/>
      </c>
      <c r="L306" s="49" t="str">
        <f t="shared" si="3"/>
        <v/>
      </c>
    </row>
    <row r="307" ht="14.25" customHeight="1">
      <c r="A307" s="89"/>
      <c r="B307" s="40"/>
      <c r="C307" s="40"/>
      <c r="D307" s="40"/>
      <c r="E307" s="40"/>
      <c r="F307" s="40"/>
      <c r="G307" s="40"/>
      <c r="H307" s="41"/>
      <c r="I307" s="90">
        <f t="shared" si="1"/>
        <v>0</v>
      </c>
      <c r="J307" s="91"/>
      <c r="K307" s="92" t="str">
        <f t="shared" si="2"/>
        <v/>
      </c>
      <c r="L307" s="49" t="str">
        <f t="shared" si="3"/>
        <v/>
      </c>
    </row>
    <row r="308" ht="14.25" customHeight="1">
      <c r="A308" s="89"/>
      <c r="B308" s="40"/>
      <c r="C308" s="40"/>
      <c r="D308" s="40"/>
      <c r="E308" s="40"/>
      <c r="F308" s="40"/>
      <c r="G308" s="40"/>
      <c r="H308" s="41"/>
      <c r="I308" s="90">
        <f t="shared" si="1"/>
        <v>0</v>
      </c>
      <c r="J308" s="91"/>
      <c r="K308" s="92" t="str">
        <f t="shared" si="2"/>
        <v/>
      </c>
      <c r="L308" s="49" t="str">
        <f t="shared" si="3"/>
        <v/>
      </c>
    </row>
    <row r="309" ht="14.25" customHeight="1">
      <c r="A309" s="89"/>
      <c r="B309" s="40"/>
      <c r="C309" s="40"/>
      <c r="D309" s="40"/>
      <c r="E309" s="40"/>
      <c r="F309" s="40"/>
      <c r="G309" s="40"/>
      <c r="H309" s="41"/>
      <c r="I309" s="90">
        <f t="shared" si="1"/>
        <v>0</v>
      </c>
      <c r="J309" s="91"/>
      <c r="K309" s="92" t="str">
        <f t="shared" si="2"/>
        <v/>
      </c>
      <c r="L309" s="49" t="str">
        <f t="shared" si="3"/>
        <v/>
      </c>
    </row>
    <row r="310" ht="14.25" customHeight="1">
      <c r="A310" s="89"/>
      <c r="B310" s="40"/>
      <c r="C310" s="40"/>
      <c r="D310" s="40"/>
      <c r="E310" s="40"/>
      <c r="F310" s="40"/>
      <c r="G310" s="40"/>
      <c r="H310" s="41"/>
      <c r="I310" s="90">
        <f t="shared" si="1"/>
        <v>0</v>
      </c>
      <c r="J310" s="91"/>
      <c r="K310" s="92" t="str">
        <f t="shared" si="2"/>
        <v/>
      </c>
      <c r="L310" s="49" t="str">
        <f t="shared" si="3"/>
        <v/>
      </c>
    </row>
    <row r="311" ht="14.25" customHeight="1">
      <c r="A311" s="89"/>
      <c r="B311" s="40"/>
      <c r="C311" s="40"/>
      <c r="D311" s="40"/>
      <c r="E311" s="40"/>
      <c r="F311" s="40"/>
      <c r="G311" s="40"/>
      <c r="H311" s="41"/>
      <c r="I311" s="90">
        <f t="shared" si="1"/>
        <v>0</v>
      </c>
      <c r="J311" s="91"/>
      <c r="K311" s="92" t="str">
        <f t="shared" si="2"/>
        <v/>
      </c>
      <c r="L311" s="49" t="str">
        <f t="shared" si="3"/>
        <v/>
      </c>
    </row>
    <row r="312" ht="14.25" customHeight="1">
      <c r="A312" s="89"/>
      <c r="B312" s="40"/>
      <c r="C312" s="40"/>
      <c r="D312" s="40"/>
      <c r="E312" s="40"/>
      <c r="F312" s="40"/>
      <c r="G312" s="40"/>
      <c r="H312" s="41"/>
      <c r="I312" s="90">
        <f t="shared" si="1"/>
        <v>0</v>
      </c>
      <c r="J312" s="91"/>
      <c r="K312" s="92" t="str">
        <f t="shared" si="2"/>
        <v/>
      </c>
      <c r="L312" s="49" t="str">
        <f t="shared" si="3"/>
        <v/>
      </c>
    </row>
    <row r="313" ht="14.25" customHeight="1">
      <c r="A313" s="89"/>
      <c r="B313" s="40"/>
      <c r="C313" s="40"/>
      <c r="D313" s="40"/>
      <c r="E313" s="40"/>
      <c r="F313" s="40"/>
      <c r="G313" s="40"/>
      <c r="H313" s="41"/>
      <c r="I313" s="90">
        <f t="shared" si="1"/>
        <v>0</v>
      </c>
      <c r="J313" s="91"/>
      <c r="K313" s="92" t="str">
        <f t="shared" si="2"/>
        <v/>
      </c>
      <c r="L313" s="49" t="str">
        <f t="shared" si="3"/>
        <v/>
      </c>
    </row>
    <row r="314" ht="14.25" customHeight="1">
      <c r="A314" s="89"/>
      <c r="B314" s="40"/>
      <c r="C314" s="40"/>
      <c r="D314" s="40"/>
      <c r="E314" s="40"/>
      <c r="F314" s="40"/>
      <c r="G314" s="40"/>
      <c r="H314" s="41"/>
      <c r="I314" s="90">
        <f t="shared" si="1"/>
        <v>0</v>
      </c>
      <c r="J314" s="91"/>
      <c r="K314" s="92" t="str">
        <f t="shared" si="2"/>
        <v/>
      </c>
      <c r="L314" s="49" t="str">
        <f t="shared" si="3"/>
        <v/>
      </c>
    </row>
    <row r="315" ht="14.25" customHeight="1">
      <c r="A315" s="89"/>
      <c r="B315" s="40"/>
      <c r="C315" s="40"/>
      <c r="D315" s="40"/>
      <c r="E315" s="40"/>
      <c r="F315" s="40"/>
      <c r="G315" s="40"/>
      <c r="H315" s="41"/>
      <c r="I315" s="90">
        <f t="shared" si="1"/>
        <v>0</v>
      </c>
      <c r="J315" s="91"/>
      <c r="K315" s="92" t="str">
        <f t="shared" si="2"/>
        <v/>
      </c>
      <c r="L315" s="49" t="str">
        <f t="shared" si="3"/>
        <v/>
      </c>
    </row>
    <row r="316" ht="14.25" customHeight="1">
      <c r="A316" s="89"/>
      <c r="B316" s="40"/>
      <c r="C316" s="40"/>
      <c r="D316" s="40"/>
      <c r="E316" s="40"/>
      <c r="F316" s="40"/>
      <c r="G316" s="40"/>
      <c r="H316" s="41"/>
      <c r="I316" s="90">
        <f t="shared" si="1"/>
        <v>0</v>
      </c>
      <c r="J316" s="91"/>
      <c r="K316" s="92" t="str">
        <f t="shared" si="2"/>
        <v/>
      </c>
      <c r="L316" s="49" t="str">
        <f t="shared" si="3"/>
        <v/>
      </c>
    </row>
    <row r="317" ht="14.25" customHeight="1">
      <c r="A317" s="89"/>
      <c r="B317" s="40"/>
      <c r="C317" s="40"/>
      <c r="D317" s="40"/>
      <c r="E317" s="40"/>
      <c r="F317" s="40"/>
      <c r="G317" s="40"/>
      <c r="H317" s="41"/>
      <c r="I317" s="90">
        <f t="shared" si="1"/>
        <v>0</v>
      </c>
      <c r="J317" s="91"/>
      <c r="K317" s="92" t="str">
        <f t="shared" si="2"/>
        <v/>
      </c>
      <c r="L317" s="49" t="str">
        <f t="shared" si="3"/>
        <v/>
      </c>
    </row>
    <row r="318" ht="14.25" customHeight="1">
      <c r="A318" s="89"/>
      <c r="B318" s="40"/>
      <c r="C318" s="40"/>
      <c r="D318" s="40"/>
      <c r="E318" s="40"/>
      <c r="F318" s="40"/>
      <c r="G318" s="40"/>
      <c r="H318" s="41"/>
      <c r="I318" s="90">
        <f t="shared" si="1"/>
        <v>0</v>
      </c>
      <c r="J318" s="91"/>
      <c r="K318" s="92" t="str">
        <f t="shared" si="2"/>
        <v/>
      </c>
      <c r="L318" s="49" t="str">
        <f t="shared" si="3"/>
        <v/>
      </c>
    </row>
    <row r="319" ht="14.25" customHeight="1">
      <c r="A319" s="89"/>
      <c r="B319" s="40"/>
      <c r="C319" s="40"/>
      <c r="D319" s="40"/>
      <c r="E319" s="40"/>
      <c r="F319" s="40"/>
      <c r="G319" s="40"/>
      <c r="H319" s="41"/>
      <c r="I319" s="90">
        <f t="shared" si="1"/>
        <v>0</v>
      </c>
      <c r="J319" s="91"/>
      <c r="K319" s="92" t="str">
        <f t="shared" si="2"/>
        <v/>
      </c>
      <c r="L319" s="49" t="str">
        <f t="shared" si="3"/>
        <v/>
      </c>
    </row>
    <row r="320" ht="14.25" customHeight="1">
      <c r="A320" s="89"/>
      <c r="B320" s="40"/>
      <c r="C320" s="40"/>
      <c r="D320" s="40"/>
      <c r="E320" s="40"/>
      <c r="F320" s="40"/>
      <c r="G320" s="40"/>
      <c r="H320" s="41"/>
      <c r="I320" s="90">
        <f t="shared" si="1"/>
        <v>0</v>
      </c>
      <c r="J320" s="91"/>
      <c r="K320" s="92" t="str">
        <f t="shared" si="2"/>
        <v/>
      </c>
      <c r="L320" s="49" t="str">
        <f t="shared" si="3"/>
        <v/>
      </c>
    </row>
    <row r="321" ht="14.25" customHeight="1">
      <c r="A321" s="89"/>
      <c r="B321" s="40"/>
      <c r="C321" s="40"/>
      <c r="D321" s="40"/>
      <c r="E321" s="40"/>
      <c r="F321" s="40"/>
      <c r="G321" s="40"/>
      <c r="H321" s="41"/>
      <c r="I321" s="90">
        <f t="shared" si="1"/>
        <v>0</v>
      </c>
      <c r="J321" s="91"/>
      <c r="K321" s="92" t="str">
        <f t="shared" si="2"/>
        <v/>
      </c>
      <c r="L321" s="49" t="str">
        <f t="shared" si="3"/>
        <v/>
      </c>
    </row>
    <row r="322" ht="14.25" customHeight="1">
      <c r="A322" s="89"/>
      <c r="B322" s="40"/>
      <c r="C322" s="40"/>
      <c r="D322" s="40"/>
      <c r="E322" s="40"/>
      <c r="F322" s="40"/>
      <c r="G322" s="40"/>
      <c r="H322" s="41"/>
      <c r="I322" s="90">
        <f t="shared" si="1"/>
        <v>0</v>
      </c>
      <c r="J322" s="91"/>
      <c r="K322" s="92" t="str">
        <f t="shared" si="2"/>
        <v/>
      </c>
      <c r="L322" s="49" t="str">
        <f t="shared" si="3"/>
        <v/>
      </c>
    </row>
    <row r="323" ht="14.25" customHeight="1">
      <c r="A323" s="89"/>
      <c r="B323" s="40"/>
      <c r="C323" s="40"/>
      <c r="D323" s="40"/>
      <c r="E323" s="40"/>
      <c r="F323" s="40"/>
      <c r="G323" s="40"/>
      <c r="H323" s="41"/>
      <c r="I323" s="90">
        <f t="shared" si="1"/>
        <v>0</v>
      </c>
      <c r="J323" s="91"/>
      <c r="K323" s="92" t="str">
        <f t="shared" si="2"/>
        <v/>
      </c>
      <c r="L323" s="49" t="str">
        <f t="shared" si="3"/>
        <v/>
      </c>
    </row>
    <row r="324" ht="14.25" customHeight="1">
      <c r="A324" s="89"/>
      <c r="B324" s="40"/>
      <c r="C324" s="40"/>
      <c r="D324" s="40"/>
      <c r="E324" s="40"/>
      <c r="F324" s="40"/>
      <c r="G324" s="40"/>
      <c r="H324" s="41"/>
      <c r="I324" s="90">
        <f t="shared" si="1"/>
        <v>0</v>
      </c>
      <c r="J324" s="91"/>
      <c r="K324" s="92" t="str">
        <f t="shared" si="2"/>
        <v/>
      </c>
      <c r="L324" s="49" t="str">
        <f t="shared" si="3"/>
        <v/>
      </c>
    </row>
    <row r="325" ht="14.25" customHeight="1">
      <c r="A325" s="89"/>
      <c r="B325" s="40"/>
      <c r="C325" s="40"/>
      <c r="D325" s="40"/>
      <c r="E325" s="40"/>
      <c r="F325" s="40"/>
      <c r="G325" s="40"/>
      <c r="H325" s="41"/>
      <c r="I325" s="90">
        <f t="shared" si="1"/>
        <v>0</v>
      </c>
      <c r="J325" s="91"/>
      <c r="K325" s="92" t="str">
        <f t="shared" si="2"/>
        <v/>
      </c>
      <c r="L325" s="49" t="str">
        <f t="shared" si="3"/>
        <v/>
      </c>
    </row>
    <row r="326" ht="14.25" customHeight="1">
      <c r="A326" s="89"/>
      <c r="B326" s="40"/>
      <c r="C326" s="40"/>
      <c r="D326" s="40"/>
      <c r="E326" s="40"/>
      <c r="F326" s="40"/>
      <c r="G326" s="40"/>
      <c r="H326" s="41"/>
      <c r="I326" s="90">
        <f t="shared" si="1"/>
        <v>0</v>
      </c>
      <c r="J326" s="91"/>
      <c r="K326" s="92" t="str">
        <f t="shared" si="2"/>
        <v/>
      </c>
      <c r="L326" s="49" t="str">
        <f t="shared" si="3"/>
        <v/>
      </c>
    </row>
    <row r="327" ht="14.25" customHeight="1">
      <c r="A327" s="89"/>
      <c r="B327" s="40"/>
      <c r="C327" s="40"/>
      <c r="D327" s="40"/>
      <c r="E327" s="40"/>
      <c r="F327" s="40"/>
      <c r="G327" s="40"/>
      <c r="H327" s="41"/>
      <c r="I327" s="90">
        <f t="shared" si="1"/>
        <v>0</v>
      </c>
      <c r="J327" s="91"/>
      <c r="K327" s="92" t="str">
        <f t="shared" si="2"/>
        <v/>
      </c>
      <c r="L327" s="49" t="str">
        <f t="shared" si="3"/>
        <v/>
      </c>
    </row>
    <row r="328" ht="14.25" customHeight="1">
      <c r="A328" s="89"/>
      <c r="B328" s="40"/>
      <c r="C328" s="40"/>
      <c r="D328" s="40"/>
      <c r="E328" s="40"/>
      <c r="F328" s="40"/>
      <c r="G328" s="40"/>
      <c r="H328" s="41"/>
      <c r="I328" s="90">
        <f t="shared" si="1"/>
        <v>0</v>
      </c>
      <c r="J328" s="91"/>
      <c r="K328" s="92" t="str">
        <f t="shared" si="2"/>
        <v/>
      </c>
      <c r="L328" s="49" t="str">
        <f t="shared" si="3"/>
        <v/>
      </c>
    </row>
    <row r="329" ht="14.25" customHeight="1">
      <c r="A329" s="89"/>
      <c r="B329" s="40"/>
      <c r="C329" s="40"/>
      <c r="D329" s="40"/>
      <c r="E329" s="40"/>
      <c r="F329" s="40"/>
      <c r="G329" s="40"/>
      <c r="H329" s="41"/>
      <c r="I329" s="90">
        <f t="shared" si="1"/>
        <v>0</v>
      </c>
      <c r="J329" s="91"/>
      <c r="K329" s="92" t="str">
        <f t="shared" si="2"/>
        <v/>
      </c>
      <c r="L329" s="49" t="str">
        <f t="shared" si="3"/>
        <v/>
      </c>
    </row>
    <row r="330" ht="14.25" customHeight="1">
      <c r="A330" s="89"/>
      <c r="B330" s="40"/>
      <c r="C330" s="40"/>
      <c r="D330" s="40"/>
      <c r="E330" s="40"/>
      <c r="F330" s="40"/>
      <c r="G330" s="40"/>
      <c r="H330" s="41"/>
      <c r="I330" s="90">
        <f t="shared" si="1"/>
        <v>0</v>
      </c>
      <c r="J330" s="91"/>
      <c r="K330" s="92" t="str">
        <f t="shared" si="2"/>
        <v/>
      </c>
      <c r="L330" s="49" t="str">
        <f t="shared" si="3"/>
        <v/>
      </c>
    </row>
    <row r="331" ht="14.25" customHeight="1">
      <c r="A331" s="89"/>
      <c r="B331" s="40"/>
      <c r="C331" s="40"/>
      <c r="D331" s="40"/>
      <c r="E331" s="40"/>
      <c r="F331" s="40"/>
      <c r="G331" s="40"/>
      <c r="H331" s="41"/>
      <c r="I331" s="90">
        <f t="shared" si="1"/>
        <v>0</v>
      </c>
      <c r="J331" s="91"/>
      <c r="K331" s="92" t="str">
        <f t="shared" si="2"/>
        <v/>
      </c>
      <c r="L331" s="49" t="str">
        <f t="shared" si="3"/>
        <v/>
      </c>
    </row>
    <row r="332" ht="14.25" customHeight="1">
      <c r="A332" s="89"/>
      <c r="B332" s="40"/>
      <c r="C332" s="40"/>
      <c r="D332" s="40"/>
      <c r="E332" s="40"/>
      <c r="F332" s="40"/>
      <c r="G332" s="40"/>
      <c r="H332" s="41"/>
      <c r="I332" s="90">
        <f t="shared" si="1"/>
        <v>0</v>
      </c>
      <c r="J332" s="91"/>
      <c r="K332" s="92" t="str">
        <f t="shared" si="2"/>
        <v/>
      </c>
      <c r="L332" s="49" t="str">
        <f t="shared" si="3"/>
        <v/>
      </c>
    </row>
    <row r="333" ht="14.25" customHeight="1">
      <c r="A333" s="89"/>
      <c r="B333" s="40"/>
      <c r="C333" s="40"/>
      <c r="D333" s="40"/>
      <c r="E333" s="40"/>
      <c r="F333" s="40"/>
      <c r="G333" s="40"/>
      <c r="H333" s="41"/>
      <c r="I333" s="90">
        <f t="shared" si="1"/>
        <v>0</v>
      </c>
      <c r="J333" s="91"/>
      <c r="K333" s="92" t="str">
        <f t="shared" si="2"/>
        <v/>
      </c>
      <c r="L333" s="49" t="str">
        <f t="shared" si="3"/>
        <v/>
      </c>
    </row>
    <row r="334" ht="14.25" customHeight="1">
      <c r="A334" s="89"/>
      <c r="B334" s="40"/>
      <c r="C334" s="40"/>
      <c r="D334" s="40"/>
      <c r="E334" s="40"/>
      <c r="F334" s="40"/>
      <c r="G334" s="40"/>
      <c r="H334" s="41"/>
      <c r="I334" s="90">
        <f t="shared" si="1"/>
        <v>0</v>
      </c>
      <c r="J334" s="91"/>
      <c r="K334" s="92" t="str">
        <f t="shared" si="2"/>
        <v/>
      </c>
      <c r="L334" s="49" t="str">
        <f t="shared" si="3"/>
        <v/>
      </c>
    </row>
    <row r="335" ht="14.25" customHeight="1">
      <c r="A335" s="89"/>
      <c r="B335" s="40"/>
      <c r="C335" s="40"/>
      <c r="D335" s="40"/>
      <c r="E335" s="40"/>
      <c r="F335" s="40"/>
      <c r="G335" s="40"/>
      <c r="H335" s="41"/>
      <c r="I335" s="90">
        <f t="shared" si="1"/>
        <v>0</v>
      </c>
      <c r="J335" s="91"/>
      <c r="K335" s="92" t="str">
        <f t="shared" si="2"/>
        <v/>
      </c>
      <c r="L335" s="49" t="str">
        <f t="shared" si="3"/>
        <v/>
      </c>
    </row>
    <row r="336" ht="14.25" customHeight="1">
      <c r="A336" s="89"/>
      <c r="B336" s="40"/>
      <c r="C336" s="40"/>
      <c r="D336" s="40"/>
      <c r="E336" s="40"/>
      <c r="F336" s="40"/>
      <c r="G336" s="40"/>
      <c r="H336" s="41"/>
      <c r="I336" s="90">
        <f t="shared" si="1"/>
        <v>0</v>
      </c>
      <c r="J336" s="91"/>
      <c r="K336" s="92" t="str">
        <f t="shared" si="2"/>
        <v/>
      </c>
      <c r="L336" s="49" t="str">
        <f t="shared" si="3"/>
        <v/>
      </c>
    </row>
    <row r="337" ht="14.25" customHeight="1">
      <c r="A337" s="89"/>
      <c r="B337" s="40"/>
      <c r="C337" s="40"/>
      <c r="D337" s="40"/>
      <c r="E337" s="40"/>
      <c r="F337" s="40"/>
      <c r="G337" s="40"/>
      <c r="H337" s="41"/>
      <c r="I337" s="90">
        <f t="shared" si="1"/>
        <v>0</v>
      </c>
      <c r="J337" s="91"/>
      <c r="K337" s="92" t="str">
        <f t="shared" si="2"/>
        <v/>
      </c>
      <c r="L337" s="49" t="str">
        <f t="shared" si="3"/>
        <v/>
      </c>
    </row>
    <row r="338" ht="14.25" customHeight="1">
      <c r="A338" s="89"/>
      <c r="B338" s="40"/>
      <c r="C338" s="40"/>
      <c r="D338" s="40"/>
      <c r="E338" s="40"/>
      <c r="F338" s="40"/>
      <c r="G338" s="40"/>
      <c r="H338" s="41"/>
      <c r="I338" s="90">
        <f t="shared" si="1"/>
        <v>0</v>
      </c>
      <c r="J338" s="91"/>
      <c r="K338" s="92" t="str">
        <f t="shared" si="2"/>
        <v/>
      </c>
      <c r="L338" s="49" t="str">
        <f t="shared" si="3"/>
        <v/>
      </c>
    </row>
    <row r="339" ht="14.25" customHeight="1">
      <c r="A339" s="89"/>
      <c r="B339" s="40"/>
      <c r="C339" s="40"/>
      <c r="D339" s="40"/>
      <c r="E339" s="40"/>
      <c r="F339" s="40"/>
      <c r="G339" s="40"/>
      <c r="H339" s="41"/>
      <c r="I339" s="90">
        <f t="shared" si="1"/>
        <v>0</v>
      </c>
      <c r="J339" s="91"/>
      <c r="K339" s="92" t="str">
        <f t="shared" si="2"/>
        <v/>
      </c>
      <c r="L339" s="49" t="str">
        <f t="shared" si="3"/>
        <v/>
      </c>
    </row>
    <row r="340" ht="14.25" customHeight="1">
      <c r="A340" s="89"/>
      <c r="B340" s="40"/>
      <c r="C340" s="40"/>
      <c r="D340" s="40"/>
      <c r="E340" s="40"/>
      <c r="F340" s="40"/>
      <c r="G340" s="40"/>
      <c r="H340" s="41"/>
      <c r="I340" s="90">
        <f t="shared" si="1"/>
        <v>0</v>
      </c>
      <c r="J340" s="91"/>
      <c r="K340" s="92" t="str">
        <f t="shared" si="2"/>
        <v/>
      </c>
      <c r="L340" s="49" t="str">
        <f t="shared" si="3"/>
        <v/>
      </c>
    </row>
    <row r="341" ht="14.25" customHeight="1">
      <c r="A341" s="89"/>
      <c r="B341" s="40"/>
      <c r="C341" s="40"/>
      <c r="D341" s="40"/>
      <c r="E341" s="40"/>
      <c r="F341" s="40"/>
      <c r="G341" s="40"/>
      <c r="H341" s="41"/>
      <c r="I341" s="90">
        <f t="shared" si="1"/>
        <v>0</v>
      </c>
      <c r="J341" s="91"/>
      <c r="K341" s="92" t="str">
        <f t="shared" si="2"/>
        <v/>
      </c>
      <c r="L341" s="49" t="str">
        <f t="shared" si="3"/>
        <v/>
      </c>
    </row>
    <row r="342" ht="14.25" customHeight="1">
      <c r="A342" s="89"/>
      <c r="B342" s="40"/>
      <c r="C342" s="40"/>
      <c r="D342" s="40"/>
      <c r="E342" s="40"/>
      <c r="F342" s="40"/>
      <c r="G342" s="40"/>
      <c r="H342" s="41"/>
      <c r="I342" s="90">
        <f t="shared" si="1"/>
        <v>0</v>
      </c>
      <c r="J342" s="91"/>
      <c r="K342" s="92" t="str">
        <f t="shared" si="2"/>
        <v/>
      </c>
      <c r="L342" s="49" t="str">
        <f t="shared" si="3"/>
        <v/>
      </c>
    </row>
    <row r="343" ht="14.25" customHeight="1">
      <c r="A343" s="89"/>
      <c r="B343" s="40"/>
      <c r="C343" s="40"/>
      <c r="D343" s="40"/>
      <c r="E343" s="40"/>
      <c r="F343" s="40"/>
      <c r="G343" s="40"/>
      <c r="H343" s="41"/>
      <c r="I343" s="90">
        <f t="shared" si="1"/>
        <v>0</v>
      </c>
      <c r="J343" s="91"/>
      <c r="K343" s="92" t="str">
        <f t="shared" si="2"/>
        <v/>
      </c>
      <c r="L343" s="49" t="str">
        <f t="shared" si="3"/>
        <v/>
      </c>
    </row>
    <row r="344" ht="14.25" customHeight="1">
      <c r="A344" s="89"/>
      <c r="B344" s="40"/>
      <c r="C344" s="40"/>
      <c r="D344" s="40"/>
      <c r="E344" s="40"/>
      <c r="F344" s="40"/>
      <c r="G344" s="40"/>
      <c r="H344" s="41"/>
      <c r="I344" s="90">
        <f t="shared" si="1"/>
        <v>0</v>
      </c>
      <c r="J344" s="91"/>
      <c r="K344" s="92" t="str">
        <f t="shared" si="2"/>
        <v/>
      </c>
      <c r="L344" s="49" t="str">
        <f t="shared" si="3"/>
        <v/>
      </c>
    </row>
    <row r="345" ht="14.25" customHeight="1">
      <c r="A345" s="89"/>
      <c r="B345" s="40"/>
      <c r="C345" s="40"/>
      <c r="D345" s="40"/>
      <c r="E345" s="40"/>
      <c r="F345" s="40"/>
      <c r="G345" s="40"/>
      <c r="H345" s="41"/>
      <c r="I345" s="90">
        <f t="shared" si="1"/>
        <v>0</v>
      </c>
      <c r="J345" s="91"/>
      <c r="K345" s="92" t="str">
        <f t="shared" si="2"/>
        <v/>
      </c>
      <c r="L345" s="49" t="str">
        <f t="shared" si="3"/>
        <v/>
      </c>
    </row>
    <row r="346" ht="14.25" customHeight="1">
      <c r="A346" s="89"/>
      <c r="B346" s="40"/>
      <c r="C346" s="40"/>
      <c r="D346" s="40"/>
      <c r="E346" s="40"/>
      <c r="F346" s="40"/>
      <c r="G346" s="40"/>
      <c r="H346" s="41"/>
      <c r="I346" s="90">
        <f t="shared" si="1"/>
        <v>0</v>
      </c>
      <c r="J346" s="91"/>
      <c r="K346" s="92" t="str">
        <f t="shared" si="2"/>
        <v/>
      </c>
      <c r="L346" s="49" t="str">
        <f t="shared" si="3"/>
        <v/>
      </c>
    </row>
    <row r="347" ht="14.25" customHeight="1">
      <c r="A347" s="89"/>
      <c r="B347" s="40"/>
      <c r="C347" s="40"/>
      <c r="D347" s="40"/>
      <c r="E347" s="40"/>
      <c r="F347" s="40"/>
      <c r="G347" s="40"/>
      <c r="H347" s="41"/>
      <c r="I347" s="90">
        <f t="shared" si="1"/>
        <v>0</v>
      </c>
      <c r="J347" s="91"/>
      <c r="K347" s="92" t="str">
        <f t="shared" si="2"/>
        <v/>
      </c>
      <c r="L347" s="49" t="str">
        <f t="shared" si="3"/>
        <v/>
      </c>
    </row>
    <row r="348" ht="14.25" customHeight="1">
      <c r="A348" s="89"/>
      <c r="B348" s="40"/>
      <c r="C348" s="40"/>
      <c r="D348" s="40"/>
      <c r="E348" s="40"/>
      <c r="F348" s="40"/>
      <c r="G348" s="40"/>
      <c r="H348" s="41"/>
      <c r="I348" s="90">
        <f t="shared" si="1"/>
        <v>0</v>
      </c>
      <c r="J348" s="91"/>
      <c r="K348" s="92" t="str">
        <f t="shared" si="2"/>
        <v/>
      </c>
      <c r="L348" s="49" t="str">
        <f t="shared" si="3"/>
        <v/>
      </c>
    </row>
    <row r="349" ht="14.25" customHeight="1">
      <c r="A349" s="89"/>
      <c r="B349" s="40"/>
      <c r="C349" s="40"/>
      <c r="D349" s="40"/>
      <c r="E349" s="40"/>
      <c r="F349" s="40"/>
      <c r="G349" s="40"/>
      <c r="H349" s="41"/>
      <c r="I349" s="90">
        <f t="shared" si="1"/>
        <v>0</v>
      </c>
      <c r="J349" s="91"/>
      <c r="K349" s="92" t="str">
        <f t="shared" si="2"/>
        <v/>
      </c>
      <c r="L349" s="49" t="str">
        <f t="shared" si="3"/>
        <v/>
      </c>
    </row>
    <row r="350" ht="14.25" customHeight="1">
      <c r="A350" s="89"/>
      <c r="B350" s="40"/>
      <c r="C350" s="40"/>
      <c r="D350" s="40"/>
      <c r="E350" s="40"/>
      <c r="F350" s="40"/>
      <c r="G350" s="40"/>
      <c r="H350" s="41"/>
      <c r="I350" s="90">
        <f t="shared" si="1"/>
        <v>0</v>
      </c>
      <c r="J350" s="91"/>
      <c r="K350" s="92" t="str">
        <f t="shared" si="2"/>
        <v/>
      </c>
      <c r="L350" s="49" t="str">
        <f t="shared" si="3"/>
        <v/>
      </c>
    </row>
    <row r="351" ht="14.25" customHeight="1">
      <c r="A351" s="89"/>
      <c r="B351" s="40"/>
      <c r="C351" s="40"/>
      <c r="D351" s="40"/>
      <c r="E351" s="40"/>
      <c r="F351" s="40"/>
      <c r="G351" s="40"/>
      <c r="H351" s="41"/>
      <c r="I351" s="90">
        <f t="shared" si="1"/>
        <v>0</v>
      </c>
      <c r="J351" s="91"/>
      <c r="K351" s="92" t="str">
        <f t="shared" si="2"/>
        <v/>
      </c>
      <c r="L351" s="49" t="str">
        <f t="shared" si="3"/>
        <v/>
      </c>
    </row>
    <row r="352" ht="15.75" customHeight="1">
      <c r="A352" s="89"/>
      <c r="B352" s="40"/>
      <c r="C352" s="40"/>
      <c r="D352" s="40"/>
      <c r="E352" s="40"/>
      <c r="F352" s="40"/>
      <c r="G352" s="40"/>
      <c r="H352" s="41"/>
      <c r="I352" s="90">
        <f t="shared" si="1"/>
        <v>0</v>
      </c>
      <c r="J352" s="91"/>
      <c r="K352" s="92" t="str">
        <f t="shared" si="2"/>
        <v/>
      </c>
      <c r="L352" s="49" t="str">
        <f t="shared" si="3"/>
        <v/>
      </c>
    </row>
    <row r="353" ht="15.75" customHeight="1">
      <c r="A353" s="89"/>
      <c r="B353" s="40"/>
      <c r="C353" s="40"/>
      <c r="D353" s="40"/>
      <c r="E353" s="40"/>
      <c r="F353" s="40"/>
      <c r="G353" s="40"/>
      <c r="H353" s="41"/>
      <c r="I353" s="90">
        <f t="shared" si="1"/>
        <v>0</v>
      </c>
      <c r="J353" s="91"/>
      <c r="K353" s="92" t="str">
        <f t="shared" si="2"/>
        <v/>
      </c>
      <c r="L353" s="49" t="str">
        <f t="shared" si="3"/>
        <v/>
      </c>
    </row>
    <row r="354" ht="15.75" customHeight="1">
      <c r="A354" s="89"/>
      <c r="B354" s="40"/>
      <c r="C354" s="40"/>
      <c r="D354" s="40"/>
      <c r="E354" s="40"/>
      <c r="F354" s="40"/>
      <c r="G354" s="40"/>
      <c r="H354" s="41"/>
      <c r="I354" s="90">
        <f t="shared" si="1"/>
        <v>0</v>
      </c>
      <c r="J354" s="91"/>
      <c r="K354" s="92" t="str">
        <f t="shared" si="2"/>
        <v/>
      </c>
      <c r="L354" s="49" t="str">
        <f t="shared" si="3"/>
        <v/>
      </c>
    </row>
    <row r="355" ht="15.75" customHeight="1">
      <c r="A355" s="89"/>
      <c r="B355" s="40"/>
      <c r="C355" s="40"/>
      <c r="D355" s="40"/>
      <c r="E355" s="40"/>
      <c r="F355" s="40"/>
      <c r="G355" s="40"/>
      <c r="H355" s="41"/>
      <c r="I355" s="90">
        <f t="shared" si="1"/>
        <v>0</v>
      </c>
      <c r="J355" s="91"/>
      <c r="K355" s="92" t="str">
        <f t="shared" si="2"/>
        <v/>
      </c>
      <c r="L355" s="49" t="str">
        <f t="shared" si="3"/>
        <v/>
      </c>
    </row>
    <row r="356" ht="15.75" customHeight="1">
      <c r="A356" s="89"/>
      <c r="B356" s="40"/>
      <c r="C356" s="40"/>
      <c r="D356" s="40"/>
      <c r="E356" s="40"/>
      <c r="F356" s="40"/>
      <c r="G356" s="40"/>
      <c r="H356" s="41"/>
      <c r="I356" s="90">
        <f t="shared" si="1"/>
        <v>0</v>
      </c>
      <c r="J356" s="91"/>
      <c r="K356" s="92" t="str">
        <f t="shared" si="2"/>
        <v/>
      </c>
      <c r="L356" s="49" t="str">
        <f t="shared" si="3"/>
        <v/>
      </c>
    </row>
    <row r="357" ht="15.75" customHeight="1">
      <c r="A357" s="89"/>
      <c r="B357" s="40"/>
      <c r="C357" s="40"/>
      <c r="D357" s="40"/>
      <c r="E357" s="40"/>
      <c r="F357" s="40"/>
      <c r="G357" s="40"/>
      <c r="H357" s="41"/>
      <c r="I357" s="90">
        <f t="shared" si="1"/>
        <v>0</v>
      </c>
      <c r="J357" s="91"/>
      <c r="K357" s="92" t="str">
        <f t="shared" si="2"/>
        <v/>
      </c>
      <c r="L357" s="49" t="str">
        <f t="shared" si="3"/>
        <v/>
      </c>
    </row>
    <row r="358" ht="15.75" customHeight="1">
      <c r="A358" s="89"/>
      <c r="B358" s="40"/>
      <c r="C358" s="40"/>
      <c r="D358" s="40"/>
      <c r="E358" s="40"/>
      <c r="F358" s="40"/>
      <c r="G358" s="40"/>
      <c r="H358" s="41"/>
      <c r="I358" s="90">
        <f t="shared" si="1"/>
        <v>0</v>
      </c>
      <c r="J358" s="91"/>
      <c r="K358" s="92" t="str">
        <f t="shared" si="2"/>
        <v/>
      </c>
      <c r="L358" s="49" t="str">
        <f t="shared" si="3"/>
        <v/>
      </c>
    </row>
    <row r="359" ht="15.75" customHeight="1">
      <c r="A359" s="89"/>
      <c r="B359" s="40"/>
      <c r="C359" s="40"/>
      <c r="D359" s="40"/>
      <c r="E359" s="40"/>
      <c r="F359" s="40"/>
      <c r="G359" s="40"/>
      <c r="H359" s="41"/>
      <c r="I359" s="90">
        <f t="shared" si="1"/>
        <v>0</v>
      </c>
      <c r="J359" s="91"/>
      <c r="K359" s="92" t="str">
        <f t="shared" si="2"/>
        <v/>
      </c>
      <c r="L359" s="49" t="str">
        <f t="shared" si="3"/>
        <v/>
      </c>
    </row>
    <row r="360" ht="15.75" customHeight="1">
      <c r="A360" s="89"/>
      <c r="B360" s="40"/>
      <c r="C360" s="40"/>
      <c r="D360" s="40"/>
      <c r="E360" s="40"/>
      <c r="F360" s="40"/>
      <c r="G360" s="40"/>
      <c r="H360" s="41"/>
      <c r="I360" s="90">
        <f t="shared" si="1"/>
        <v>0</v>
      </c>
      <c r="J360" s="91"/>
      <c r="K360" s="92" t="str">
        <f t="shared" si="2"/>
        <v/>
      </c>
      <c r="L360" s="49" t="str">
        <f t="shared" si="3"/>
        <v/>
      </c>
    </row>
    <row r="361" ht="15.75" customHeight="1">
      <c r="A361" s="89"/>
      <c r="B361" s="40"/>
      <c r="C361" s="40"/>
      <c r="D361" s="40"/>
      <c r="E361" s="40"/>
      <c r="F361" s="40"/>
      <c r="G361" s="40"/>
      <c r="H361" s="41"/>
      <c r="I361" s="90">
        <f t="shared" si="1"/>
        <v>0</v>
      </c>
      <c r="J361" s="91"/>
      <c r="K361" s="92" t="str">
        <f t="shared" si="2"/>
        <v/>
      </c>
      <c r="L361" s="49" t="str">
        <f t="shared" si="3"/>
        <v/>
      </c>
    </row>
    <row r="362" ht="15.75" customHeight="1">
      <c r="A362" s="89"/>
      <c r="B362" s="40"/>
      <c r="C362" s="40"/>
      <c r="D362" s="40"/>
      <c r="E362" s="40"/>
      <c r="F362" s="40"/>
      <c r="G362" s="40"/>
      <c r="H362" s="41"/>
      <c r="I362" s="90">
        <f t="shared" si="1"/>
        <v>0</v>
      </c>
      <c r="J362" s="91"/>
      <c r="K362" s="92" t="str">
        <f t="shared" si="2"/>
        <v/>
      </c>
      <c r="L362" s="49" t="str">
        <f t="shared" si="3"/>
        <v/>
      </c>
    </row>
    <row r="363" ht="15.75" customHeight="1">
      <c r="A363" s="89"/>
      <c r="B363" s="40"/>
      <c r="C363" s="40"/>
      <c r="D363" s="40"/>
      <c r="E363" s="40"/>
      <c r="F363" s="40"/>
      <c r="G363" s="40"/>
      <c r="H363" s="41"/>
      <c r="I363" s="90">
        <f t="shared" si="1"/>
        <v>0</v>
      </c>
      <c r="J363" s="91"/>
      <c r="K363" s="92" t="str">
        <f t="shared" si="2"/>
        <v/>
      </c>
      <c r="L363" s="49" t="str">
        <f t="shared" si="3"/>
        <v/>
      </c>
    </row>
    <row r="364" ht="15.75" customHeight="1">
      <c r="A364" s="89"/>
      <c r="B364" s="40"/>
      <c r="C364" s="40"/>
      <c r="D364" s="40"/>
      <c r="E364" s="40"/>
      <c r="F364" s="40"/>
      <c r="G364" s="40"/>
      <c r="H364" s="41"/>
      <c r="I364" s="90">
        <f t="shared" si="1"/>
        <v>0</v>
      </c>
      <c r="J364" s="91"/>
      <c r="K364" s="92" t="str">
        <f t="shared" si="2"/>
        <v/>
      </c>
      <c r="L364" s="49" t="str">
        <f t="shared" si="3"/>
        <v/>
      </c>
    </row>
    <row r="365" ht="15.75" customHeight="1">
      <c r="A365" s="89"/>
      <c r="B365" s="40"/>
      <c r="C365" s="40"/>
      <c r="D365" s="40"/>
      <c r="E365" s="40"/>
      <c r="F365" s="40"/>
      <c r="G365" s="40"/>
      <c r="H365" s="41"/>
      <c r="I365" s="90">
        <f t="shared" si="1"/>
        <v>0</v>
      </c>
      <c r="J365" s="91"/>
      <c r="K365" s="92" t="str">
        <f t="shared" si="2"/>
        <v/>
      </c>
      <c r="L365" s="49" t="str">
        <f t="shared" si="3"/>
        <v/>
      </c>
    </row>
    <row r="366" ht="15.75" customHeight="1">
      <c r="A366" s="89"/>
      <c r="B366" s="40"/>
      <c r="C366" s="40"/>
      <c r="D366" s="40"/>
      <c r="E366" s="40"/>
      <c r="F366" s="40"/>
      <c r="G366" s="40"/>
      <c r="H366" s="41"/>
      <c r="I366" s="90">
        <f t="shared" si="1"/>
        <v>0</v>
      </c>
      <c r="J366" s="91"/>
      <c r="K366" s="92" t="str">
        <f t="shared" si="2"/>
        <v/>
      </c>
      <c r="L366" s="49" t="str">
        <f t="shared" si="3"/>
        <v/>
      </c>
    </row>
    <row r="367" ht="15.75" customHeight="1">
      <c r="A367" s="89"/>
      <c r="B367" s="40"/>
      <c r="C367" s="40"/>
      <c r="D367" s="40"/>
      <c r="E367" s="40"/>
      <c r="F367" s="40"/>
      <c r="G367" s="40"/>
      <c r="H367" s="41"/>
      <c r="I367" s="90">
        <f t="shared" si="1"/>
        <v>0</v>
      </c>
      <c r="J367" s="91"/>
      <c r="K367" s="92" t="str">
        <f t="shared" si="2"/>
        <v/>
      </c>
      <c r="L367" s="49" t="str">
        <f t="shared" si="3"/>
        <v/>
      </c>
    </row>
    <row r="368" ht="15.75" customHeight="1">
      <c r="A368" s="89"/>
      <c r="B368" s="40"/>
      <c r="C368" s="40"/>
      <c r="D368" s="40"/>
      <c r="E368" s="40"/>
      <c r="F368" s="40"/>
      <c r="G368" s="40"/>
      <c r="H368" s="41"/>
      <c r="I368" s="90">
        <f t="shared" si="1"/>
        <v>0</v>
      </c>
      <c r="J368" s="91"/>
      <c r="K368" s="92" t="str">
        <f t="shared" si="2"/>
        <v/>
      </c>
      <c r="L368" s="49" t="str">
        <f t="shared" si="3"/>
        <v/>
      </c>
    </row>
    <row r="369" ht="15.75" customHeight="1">
      <c r="A369" s="89"/>
      <c r="B369" s="40"/>
      <c r="C369" s="40"/>
      <c r="D369" s="40"/>
      <c r="E369" s="40"/>
      <c r="F369" s="40"/>
      <c r="G369" s="40"/>
      <c r="H369" s="41"/>
      <c r="I369" s="90">
        <f t="shared" si="1"/>
        <v>0</v>
      </c>
      <c r="J369" s="91"/>
      <c r="K369" s="92" t="str">
        <f t="shared" si="2"/>
        <v/>
      </c>
      <c r="L369" s="49" t="str">
        <f t="shared" si="3"/>
        <v/>
      </c>
    </row>
    <row r="370" ht="15.75" customHeight="1">
      <c r="A370" s="89"/>
      <c r="B370" s="40"/>
      <c r="C370" s="40"/>
      <c r="D370" s="40"/>
      <c r="E370" s="40"/>
      <c r="F370" s="40"/>
      <c r="G370" s="40"/>
      <c r="H370" s="41"/>
      <c r="I370" s="90">
        <f t="shared" si="1"/>
        <v>0</v>
      </c>
      <c r="J370" s="91"/>
      <c r="K370" s="92" t="str">
        <f t="shared" si="2"/>
        <v/>
      </c>
      <c r="L370" s="49" t="str">
        <f t="shared" si="3"/>
        <v/>
      </c>
    </row>
    <row r="371" ht="15.75" customHeight="1">
      <c r="A371" s="89"/>
      <c r="B371" s="40"/>
      <c r="C371" s="40"/>
      <c r="D371" s="40"/>
      <c r="E371" s="40"/>
      <c r="F371" s="40"/>
      <c r="G371" s="40"/>
      <c r="H371" s="41"/>
      <c r="I371" s="90">
        <f t="shared" si="1"/>
        <v>0</v>
      </c>
      <c r="J371" s="91"/>
      <c r="K371" s="92" t="str">
        <f t="shared" si="2"/>
        <v/>
      </c>
      <c r="L371" s="49" t="str">
        <f t="shared" si="3"/>
        <v/>
      </c>
    </row>
    <row r="372" ht="15.75" customHeight="1">
      <c r="A372" s="89"/>
      <c r="B372" s="40"/>
      <c r="C372" s="40"/>
      <c r="D372" s="40"/>
      <c r="E372" s="40"/>
      <c r="F372" s="40"/>
      <c r="G372" s="40"/>
      <c r="H372" s="41"/>
      <c r="I372" s="90">
        <f t="shared" si="1"/>
        <v>0</v>
      </c>
      <c r="J372" s="91"/>
      <c r="K372" s="92" t="str">
        <f t="shared" si="2"/>
        <v/>
      </c>
      <c r="L372" s="49" t="str">
        <f t="shared" si="3"/>
        <v/>
      </c>
    </row>
    <row r="373" ht="15.75" customHeight="1">
      <c r="A373" s="89"/>
      <c r="B373" s="40"/>
      <c r="C373" s="40"/>
      <c r="D373" s="40"/>
      <c r="E373" s="40"/>
      <c r="F373" s="40"/>
      <c r="G373" s="40"/>
      <c r="H373" s="41"/>
      <c r="I373" s="90">
        <f t="shared" si="1"/>
        <v>0</v>
      </c>
      <c r="J373" s="91"/>
      <c r="K373" s="92" t="str">
        <f t="shared" si="2"/>
        <v/>
      </c>
      <c r="L373" s="49" t="str">
        <f t="shared" si="3"/>
        <v/>
      </c>
    </row>
    <row r="374" ht="15.75" customHeight="1">
      <c r="A374" s="89"/>
      <c r="B374" s="40"/>
      <c r="C374" s="40"/>
      <c r="D374" s="40"/>
      <c r="E374" s="40"/>
      <c r="F374" s="40"/>
      <c r="G374" s="40"/>
      <c r="H374" s="41"/>
      <c r="I374" s="90">
        <f t="shared" si="1"/>
        <v>0</v>
      </c>
      <c r="J374" s="91"/>
      <c r="K374" s="92" t="str">
        <f t="shared" si="2"/>
        <v/>
      </c>
      <c r="L374" s="49" t="str">
        <f t="shared" si="3"/>
        <v/>
      </c>
    </row>
    <row r="375" ht="15.75" customHeight="1">
      <c r="A375" s="89"/>
      <c r="B375" s="40"/>
      <c r="C375" s="40"/>
      <c r="D375" s="40"/>
      <c r="E375" s="40"/>
      <c r="F375" s="40"/>
      <c r="G375" s="40"/>
      <c r="H375" s="41"/>
      <c r="I375" s="90">
        <f t="shared" si="1"/>
        <v>0</v>
      </c>
      <c r="J375" s="91"/>
      <c r="K375" s="92" t="str">
        <f t="shared" si="2"/>
        <v/>
      </c>
      <c r="L375" s="49" t="str">
        <f t="shared" si="3"/>
        <v/>
      </c>
    </row>
    <row r="376" ht="15.75" customHeight="1">
      <c r="A376" s="89"/>
      <c r="B376" s="40"/>
      <c r="C376" s="40"/>
      <c r="D376" s="40"/>
      <c r="E376" s="40"/>
      <c r="F376" s="40"/>
      <c r="G376" s="40"/>
      <c r="H376" s="41"/>
      <c r="I376" s="90">
        <f t="shared" si="1"/>
        <v>0</v>
      </c>
      <c r="J376" s="91"/>
      <c r="K376" s="92" t="str">
        <f t="shared" si="2"/>
        <v/>
      </c>
      <c r="L376" s="49" t="str">
        <f t="shared" si="3"/>
        <v/>
      </c>
    </row>
    <row r="377" ht="15.75" customHeight="1">
      <c r="A377" s="89"/>
      <c r="B377" s="40"/>
      <c r="C377" s="40"/>
      <c r="D377" s="40"/>
      <c r="E377" s="40"/>
      <c r="F377" s="40"/>
      <c r="G377" s="40"/>
      <c r="H377" s="41"/>
      <c r="I377" s="90">
        <f t="shared" si="1"/>
        <v>0</v>
      </c>
      <c r="J377" s="91"/>
      <c r="K377" s="92" t="str">
        <f t="shared" si="2"/>
        <v/>
      </c>
      <c r="L377" s="49" t="str">
        <f t="shared" si="3"/>
        <v/>
      </c>
    </row>
    <row r="378" ht="15.75" customHeight="1">
      <c r="A378" s="89"/>
      <c r="B378" s="40"/>
      <c r="C378" s="40"/>
      <c r="D378" s="40"/>
      <c r="E378" s="40"/>
      <c r="F378" s="40"/>
      <c r="G378" s="40"/>
      <c r="H378" s="41"/>
      <c r="I378" s="90">
        <f t="shared" si="1"/>
        <v>0</v>
      </c>
      <c r="J378" s="91"/>
      <c r="K378" s="92" t="str">
        <f t="shared" si="2"/>
        <v/>
      </c>
      <c r="L378" s="49" t="str">
        <f t="shared" si="3"/>
        <v/>
      </c>
    </row>
    <row r="379" ht="15.75" customHeight="1">
      <c r="A379" s="89"/>
      <c r="B379" s="40"/>
      <c r="C379" s="40"/>
      <c r="D379" s="40"/>
      <c r="E379" s="40"/>
      <c r="F379" s="40"/>
      <c r="G379" s="40"/>
      <c r="H379" s="41"/>
      <c r="I379" s="90">
        <f t="shared" si="1"/>
        <v>0</v>
      </c>
      <c r="J379" s="91"/>
      <c r="K379" s="92" t="str">
        <f t="shared" si="2"/>
        <v/>
      </c>
      <c r="L379" s="49" t="str">
        <f t="shared" si="3"/>
        <v/>
      </c>
    </row>
    <row r="380" ht="15.75" customHeight="1">
      <c r="A380" s="89"/>
      <c r="B380" s="40"/>
      <c r="C380" s="40"/>
      <c r="D380" s="40"/>
      <c r="E380" s="40"/>
      <c r="F380" s="40"/>
      <c r="G380" s="40"/>
      <c r="H380" s="41"/>
      <c r="I380" s="90">
        <f t="shared" si="1"/>
        <v>0</v>
      </c>
      <c r="J380" s="91"/>
      <c r="K380" s="92" t="str">
        <f t="shared" si="2"/>
        <v/>
      </c>
      <c r="L380" s="49" t="str">
        <f t="shared" si="3"/>
        <v/>
      </c>
    </row>
    <row r="381" ht="15.75" customHeight="1">
      <c r="A381" s="89"/>
      <c r="B381" s="40"/>
      <c r="C381" s="40"/>
      <c r="D381" s="40"/>
      <c r="E381" s="40"/>
      <c r="F381" s="40"/>
      <c r="G381" s="40"/>
      <c r="H381" s="41"/>
      <c r="I381" s="90">
        <f t="shared" si="1"/>
        <v>0</v>
      </c>
      <c r="J381" s="91"/>
      <c r="K381" s="92" t="str">
        <f t="shared" si="2"/>
        <v/>
      </c>
      <c r="L381" s="49" t="str">
        <f t="shared" si="3"/>
        <v/>
      </c>
    </row>
    <row r="382" ht="15.75" customHeight="1">
      <c r="A382" s="89"/>
      <c r="B382" s="40"/>
      <c r="C382" s="40"/>
      <c r="D382" s="40"/>
      <c r="E382" s="40"/>
      <c r="F382" s="40"/>
      <c r="G382" s="40"/>
      <c r="H382" s="41"/>
      <c r="I382" s="90">
        <f t="shared" si="1"/>
        <v>0</v>
      </c>
      <c r="J382" s="91"/>
      <c r="K382" s="92" t="str">
        <f t="shared" si="2"/>
        <v/>
      </c>
      <c r="L382" s="49" t="str">
        <f t="shared" si="3"/>
        <v/>
      </c>
    </row>
    <row r="383" ht="15.75" customHeight="1">
      <c r="A383" s="89"/>
      <c r="B383" s="40"/>
      <c r="C383" s="40"/>
      <c r="D383" s="40"/>
      <c r="E383" s="40"/>
      <c r="F383" s="40"/>
      <c r="G383" s="40"/>
      <c r="H383" s="41"/>
      <c r="I383" s="90">
        <f t="shared" si="1"/>
        <v>0</v>
      </c>
      <c r="J383" s="91"/>
      <c r="K383" s="92" t="str">
        <f t="shared" si="2"/>
        <v/>
      </c>
      <c r="L383" s="49" t="str">
        <f t="shared" si="3"/>
        <v/>
      </c>
    </row>
    <row r="384" ht="15.75" customHeight="1">
      <c r="A384" s="89"/>
      <c r="B384" s="40"/>
      <c r="C384" s="40"/>
      <c r="D384" s="40"/>
      <c r="E384" s="40"/>
      <c r="F384" s="40"/>
      <c r="G384" s="40"/>
      <c r="H384" s="41"/>
      <c r="I384" s="90">
        <f t="shared" si="1"/>
        <v>0</v>
      </c>
      <c r="J384" s="91"/>
      <c r="K384" s="92" t="str">
        <f t="shared" si="2"/>
        <v/>
      </c>
      <c r="L384" s="49" t="str">
        <f t="shared" si="3"/>
        <v/>
      </c>
    </row>
    <row r="385" ht="15.75" customHeight="1">
      <c r="A385" s="89"/>
      <c r="B385" s="40"/>
      <c r="C385" s="40"/>
      <c r="D385" s="40"/>
      <c r="E385" s="40"/>
      <c r="F385" s="40"/>
      <c r="G385" s="40"/>
      <c r="H385" s="41"/>
      <c r="I385" s="90">
        <f t="shared" si="1"/>
        <v>0</v>
      </c>
      <c r="J385" s="91"/>
      <c r="K385" s="92" t="str">
        <f t="shared" si="2"/>
        <v/>
      </c>
      <c r="L385" s="49" t="str">
        <f t="shared" si="3"/>
        <v/>
      </c>
    </row>
    <row r="386" ht="15.75" customHeight="1">
      <c r="A386" s="89"/>
      <c r="B386" s="40"/>
      <c r="C386" s="40"/>
      <c r="D386" s="40"/>
      <c r="E386" s="40"/>
      <c r="F386" s="40"/>
      <c r="G386" s="40"/>
      <c r="H386" s="41"/>
      <c r="I386" s="90">
        <f t="shared" si="1"/>
        <v>0</v>
      </c>
      <c r="J386" s="91"/>
      <c r="K386" s="92" t="str">
        <f t="shared" si="2"/>
        <v/>
      </c>
      <c r="L386" s="49" t="str">
        <f t="shared" si="3"/>
        <v/>
      </c>
    </row>
    <row r="387" ht="15.75" customHeight="1">
      <c r="A387" s="89"/>
      <c r="B387" s="40"/>
      <c r="C387" s="40"/>
      <c r="D387" s="40"/>
      <c r="E387" s="40"/>
      <c r="F387" s="40"/>
      <c r="G387" s="40"/>
      <c r="H387" s="41"/>
      <c r="I387" s="90">
        <f t="shared" si="1"/>
        <v>0</v>
      </c>
      <c r="J387" s="91"/>
      <c r="K387" s="92" t="str">
        <f t="shared" si="2"/>
        <v/>
      </c>
      <c r="L387" s="49" t="str">
        <f t="shared" si="3"/>
        <v/>
      </c>
    </row>
    <row r="388" ht="15.75" customHeight="1">
      <c r="A388" s="89"/>
      <c r="B388" s="40"/>
      <c r="C388" s="40"/>
      <c r="D388" s="40"/>
      <c r="E388" s="40"/>
      <c r="F388" s="40"/>
      <c r="G388" s="40"/>
      <c r="H388" s="41"/>
      <c r="I388" s="90">
        <f t="shared" si="1"/>
        <v>0</v>
      </c>
      <c r="J388" s="91"/>
      <c r="K388" s="92" t="str">
        <f t="shared" si="2"/>
        <v/>
      </c>
      <c r="L388" s="49" t="str">
        <f t="shared" si="3"/>
        <v/>
      </c>
    </row>
    <row r="389" ht="15.75" customHeight="1">
      <c r="A389" s="89"/>
      <c r="B389" s="40"/>
      <c r="C389" s="40"/>
      <c r="D389" s="40"/>
      <c r="E389" s="40"/>
      <c r="F389" s="40"/>
      <c r="G389" s="40"/>
      <c r="H389" s="41"/>
      <c r="I389" s="90">
        <f t="shared" si="1"/>
        <v>0</v>
      </c>
      <c r="J389" s="91"/>
      <c r="K389" s="92" t="str">
        <f t="shared" si="2"/>
        <v/>
      </c>
      <c r="L389" s="49" t="str">
        <f t="shared" si="3"/>
        <v/>
      </c>
    </row>
    <row r="390" ht="15.75" customHeight="1">
      <c r="A390" s="89"/>
      <c r="B390" s="40"/>
      <c r="C390" s="40"/>
      <c r="D390" s="40"/>
      <c r="E390" s="40"/>
      <c r="F390" s="40"/>
      <c r="G390" s="40"/>
      <c r="H390" s="41"/>
      <c r="I390" s="90">
        <f t="shared" si="1"/>
        <v>0</v>
      </c>
      <c r="J390" s="91"/>
      <c r="K390" s="92" t="str">
        <f t="shared" si="2"/>
        <v/>
      </c>
      <c r="L390" s="49" t="str">
        <f t="shared" si="3"/>
        <v/>
      </c>
    </row>
    <row r="391" ht="15.75" customHeight="1">
      <c r="A391" s="89"/>
      <c r="B391" s="40"/>
      <c r="C391" s="40"/>
      <c r="D391" s="40"/>
      <c r="E391" s="40"/>
      <c r="F391" s="40"/>
      <c r="G391" s="40"/>
      <c r="H391" s="41"/>
      <c r="I391" s="90">
        <f t="shared" si="1"/>
        <v>0</v>
      </c>
      <c r="J391" s="91"/>
      <c r="K391" s="92" t="str">
        <f t="shared" si="2"/>
        <v/>
      </c>
      <c r="L391" s="49" t="str">
        <f t="shared" si="3"/>
        <v/>
      </c>
    </row>
    <row r="392" ht="15.75" customHeight="1">
      <c r="A392" s="89"/>
      <c r="B392" s="40"/>
      <c r="C392" s="40"/>
      <c r="D392" s="40"/>
      <c r="E392" s="40"/>
      <c r="F392" s="40"/>
      <c r="G392" s="40"/>
      <c r="H392" s="41"/>
      <c r="I392" s="90">
        <f t="shared" si="1"/>
        <v>0</v>
      </c>
      <c r="J392" s="91"/>
      <c r="K392" s="92" t="str">
        <f t="shared" si="2"/>
        <v/>
      </c>
      <c r="L392" s="49" t="str">
        <f t="shared" si="3"/>
        <v/>
      </c>
    </row>
    <row r="393" ht="15.75" customHeight="1">
      <c r="A393" s="89"/>
      <c r="B393" s="40"/>
      <c r="C393" s="40"/>
      <c r="D393" s="40"/>
      <c r="E393" s="40"/>
      <c r="F393" s="40"/>
      <c r="G393" s="40"/>
      <c r="H393" s="41"/>
      <c r="I393" s="90">
        <f t="shared" si="1"/>
        <v>0</v>
      </c>
      <c r="J393" s="91"/>
      <c r="K393" s="92" t="str">
        <f t="shared" si="2"/>
        <v/>
      </c>
      <c r="L393" s="49" t="str">
        <f t="shared" si="3"/>
        <v/>
      </c>
    </row>
    <row r="394" ht="15.75" customHeight="1">
      <c r="A394" s="89"/>
      <c r="B394" s="40"/>
      <c r="C394" s="40"/>
      <c r="D394" s="40"/>
      <c r="E394" s="40"/>
      <c r="F394" s="40"/>
      <c r="G394" s="40"/>
      <c r="H394" s="41"/>
      <c r="I394" s="90">
        <f t="shared" si="1"/>
        <v>0</v>
      </c>
      <c r="J394" s="91"/>
      <c r="K394" s="92" t="str">
        <f t="shared" si="2"/>
        <v/>
      </c>
      <c r="L394" s="49" t="str">
        <f t="shared" si="3"/>
        <v/>
      </c>
    </row>
    <row r="395" ht="15.75" customHeight="1">
      <c r="A395" s="89"/>
      <c r="B395" s="40"/>
      <c r="C395" s="40"/>
      <c r="D395" s="40"/>
      <c r="E395" s="40"/>
      <c r="F395" s="40"/>
      <c r="G395" s="40"/>
      <c r="H395" s="41"/>
      <c r="I395" s="90">
        <f t="shared" si="1"/>
        <v>0</v>
      </c>
      <c r="J395" s="91"/>
      <c r="K395" s="92" t="str">
        <f t="shared" si="2"/>
        <v/>
      </c>
      <c r="L395" s="49" t="str">
        <f t="shared" si="3"/>
        <v/>
      </c>
    </row>
    <row r="396" ht="15.75" customHeight="1">
      <c r="A396" s="89"/>
      <c r="B396" s="40"/>
      <c r="C396" s="40"/>
      <c r="D396" s="40"/>
      <c r="E396" s="40"/>
      <c r="F396" s="40"/>
      <c r="G396" s="40"/>
      <c r="H396" s="41"/>
      <c r="I396" s="90">
        <f t="shared" si="1"/>
        <v>0</v>
      </c>
      <c r="J396" s="91"/>
      <c r="K396" s="92" t="str">
        <f t="shared" si="2"/>
        <v/>
      </c>
      <c r="L396" s="49" t="str">
        <f t="shared" si="3"/>
        <v/>
      </c>
    </row>
    <row r="397" ht="15.75" customHeight="1">
      <c r="A397" s="89"/>
      <c r="B397" s="40"/>
      <c r="C397" s="40"/>
      <c r="D397" s="40"/>
      <c r="E397" s="40"/>
      <c r="F397" s="40"/>
      <c r="G397" s="40"/>
      <c r="H397" s="41"/>
      <c r="I397" s="90">
        <f t="shared" si="1"/>
        <v>0</v>
      </c>
      <c r="J397" s="91"/>
      <c r="K397" s="92" t="str">
        <f t="shared" si="2"/>
        <v/>
      </c>
      <c r="L397" s="49" t="str">
        <f t="shared" si="3"/>
        <v/>
      </c>
    </row>
    <row r="398" ht="15.75" customHeight="1">
      <c r="A398" s="89"/>
      <c r="B398" s="40"/>
      <c r="C398" s="40"/>
      <c r="D398" s="40"/>
      <c r="E398" s="40"/>
      <c r="F398" s="40"/>
      <c r="G398" s="40"/>
      <c r="H398" s="41"/>
      <c r="I398" s="90">
        <f t="shared" si="1"/>
        <v>0</v>
      </c>
      <c r="J398" s="91"/>
      <c r="K398" s="92" t="str">
        <f t="shared" si="2"/>
        <v/>
      </c>
      <c r="L398" s="49" t="str">
        <f t="shared" si="3"/>
        <v/>
      </c>
    </row>
    <row r="399" ht="15.75" customHeight="1">
      <c r="A399" s="89"/>
      <c r="B399" s="40"/>
      <c r="C399" s="40"/>
      <c r="D399" s="40"/>
      <c r="E399" s="40"/>
      <c r="F399" s="40"/>
      <c r="G399" s="40"/>
      <c r="H399" s="41"/>
      <c r="I399" s="90">
        <f t="shared" si="1"/>
        <v>0</v>
      </c>
      <c r="J399" s="91"/>
      <c r="K399" s="92" t="str">
        <f t="shared" si="2"/>
        <v/>
      </c>
      <c r="L399" s="49" t="str">
        <f t="shared" si="3"/>
        <v/>
      </c>
    </row>
    <row r="400" ht="15.75" customHeight="1">
      <c r="A400" s="89"/>
      <c r="B400" s="40"/>
      <c r="C400" s="40"/>
      <c r="D400" s="40"/>
      <c r="E400" s="40"/>
      <c r="F400" s="40"/>
      <c r="G400" s="40"/>
      <c r="H400" s="41"/>
      <c r="I400" s="90">
        <f t="shared" si="1"/>
        <v>0</v>
      </c>
      <c r="J400" s="91"/>
      <c r="K400" s="92" t="str">
        <f t="shared" si="2"/>
        <v/>
      </c>
      <c r="L400" s="49" t="str">
        <f t="shared" si="3"/>
        <v/>
      </c>
    </row>
    <row r="401" ht="15.75" customHeight="1">
      <c r="A401" s="89"/>
      <c r="B401" s="40"/>
      <c r="C401" s="40"/>
      <c r="D401" s="40"/>
      <c r="E401" s="40"/>
      <c r="F401" s="40"/>
      <c r="G401" s="40"/>
      <c r="H401" s="41"/>
      <c r="I401" s="90">
        <f t="shared" si="1"/>
        <v>0</v>
      </c>
      <c r="J401" s="91"/>
      <c r="K401" s="92" t="str">
        <f t="shared" si="2"/>
        <v/>
      </c>
      <c r="L401" s="49" t="str">
        <f t="shared" si="3"/>
        <v/>
      </c>
    </row>
    <row r="402" ht="15.75" customHeight="1">
      <c r="A402" s="89"/>
      <c r="B402" s="40"/>
      <c r="C402" s="40"/>
      <c r="D402" s="40"/>
      <c r="E402" s="40"/>
      <c r="F402" s="40"/>
      <c r="G402" s="40"/>
      <c r="H402" s="41"/>
      <c r="I402" s="90">
        <f t="shared" si="1"/>
        <v>0</v>
      </c>
      <c r="J402" s="91"/>
      <c r="K402" s="92" t="str">
        <f t="shared" si="2"/>
        <v/>
      </c>
      <c r="L402" s="49" t="str">
        <f t="shared" si="3"/>
        <v/>
      </c>
    </row>
    <row r="403" ht="15.75" customHeight="1">
      <c r="A403" s="89"/>
      <c r="B403" s="40"/>
      <c r="C403" s="40"/>
      <c r="D403" s="40"/>
      <c r="E403" s="40"/>
      <c r="F403" s="40"/>
      <c r="G403" s="40"/>
      <c r="H403" s="41"/>
      <c r="I403" s="90">
        <f t="shared" si="1"/>
        <v>0</v>
      </c>
      <c r="J403" s="91"/>
      <c r="K403" s="92" t="str">
        <f t="shared" si="2"/>
        <v/>
      </c>
      <c r="L403" s="49" t="str">
        <f t="shared" si="3"/>
        <v/>
      </c>
    </row>
    <row r="404" ht="15.75" customHeight="1">
      <c r="A404" s="89"/>
      <c r="B404" s="40"/>
      <c r="C404" s="40"/>
      <c r="D404" s="40"/>
      <c r="E404" s="40"/>
      <c r="F404" s="40"/>
      <c r="G404" s="40"/>
      <c r="H404" s="41"/>
      <c r="I404" s="90">
        <f t="shared" si="1"/>
        <v>0</v>
      </c>
      <c r="J404" s="91"/>
      <c r="K404" s="92" t="str">
        <f t="shared" si="2"/>
        <v/>
      </c>
      <c r="L404" s="49" t="str">
        <f t="shared" si="3"/>
        <v/>
      </c>
    </row>
    <row r="405" ht="15.75" customHeight="1">
      <c r="A405" s="89"/>
      <c r="B405" s="40"/>
      <c r="C405" s="40"/>
      <c r="D405" s="40"/>
      <c r="E405" s="40"/>
      <c r="F405" s="40"/>
      <c r="G405" s="40"/>
      <c r="H405" s="41"/>
      <c r="I405" s="90">
        <f t="shared" si="1"/>
        <v>0</v>
      </c>
      <c r="J405" s="91"/>
      <c r="K405" s="92" t="str">
        <f t="shared" si="2"/>
        <v/>
      </c>
      <c r="L405" s="49" t="str">
        <f t="shared" si="3"/>
        <v/>
      </c>
    </row>
    <row r="406" ht="15.75" customHeight="1">
      <c r="A406" s="89"/>
      <c r="B406" s="40"/>
      <c r="C406" s="40"/>
      <c r="D406" s="40"/>
      <c r="E406" s="40"/>
      <c r="F406" s="40"/>
      <c r="G406" s="40"/>
      <c r="H406" s="41"/>
      <c r="I406" s="90">
        <f t="shared" si="1"/>
        <v>0</v>
      </c>
      <c r="J406" s="91"/>
      <c r="K406" s="92" t="str">
        <f t="shared" si="2"/>
        <v/>
      </c>
      <c r="L406" s="49" t="str">
        <f t="shared" si="3"/>
        <v/>
      </c>
    </row>
    <row r="407" ht="15.75" customHeight="1">
      <c r="A407" s="89"/>
      <c r="B407" s="40"/>
      <c r="C407" s="40"/>
      <c r="D407" s="40"/>
      <c r="E407" s="40"/>
      <c r="F407" s="40"/>
      <c r="G407" s="40"/>
      <c r="H407" s="41"/>
      <c r="I407" s="90">
        <f t="shared" si="1"/>
        <v>0</v>
      </c>
      <c r="J407" s="91"/>
      <c r="K407" s="92" t="str">
        <f t="shared" si="2"/>
        <v/>
      </c>
      <c r="L407" s="49" t="str">
        <f t="shared" si="3"/>
        <v/>
      </c>
    </row>
    <row r="408" ht="15.75" customHeight="1">
      <c r="A408" s="89"/>
      <c r="B408" s="40"/>
      <c r="C408" s="40"/>
      <c r="D408" s="40"/>
      <c r="E408" s="40"/>
      <c r="F408" s="40"/>
      <c r="G408" s="40"/>
      <c r="H408" s="41"/>
      <c r="I408" s="90">
        <f t="shared" si="1"/>
        <v>0</v>
      </c>
      <c r="J408" s="91"/>
      <c r="K408" s="92" t="str">
        <f t="shared" si="2"/>
        <v/>
      </c>
      <c r="L408" s="49" t="str">
        <f t="shared" si="3"/>
        <v/>
      </c>
    </row>
    <row r="409" ht="15.75" customHeight="1">
      <c r="A409" s="89"/>
      <c r="B409" s="40"/>
      <c r="C409" s="40"/>
      <c r="D409" s="40"/>
      <c r="E409" s="40"/>
      <c r="F409" s="40"/>
      <c r="G409" s="40"/>
      <c r="H409" s="41"/>
      <c r="I409" s="90">
        <f t="shared" si="1"/>
        <v>0</v>
      </c>
      <c r="J409" s="91"/>
      <c r="K409" s="92" t="str">
        <f t="shared" si="2"/>
        <v/>
      </c>
      <c r="L409" s="49" t="str">
        <f t="shared" si="3"/>
        <v/>
      </c>
    </row>
    <row r="410" ht="15.75" customHeight="1">
      <c r="A410" s="89"/>
      <c r="B410" s="40"/>
      <c r="C410" s="40"/>
      <c r="D410" s="40"/>
      <c r="E410" s="40"/>
      <c r="F410" s="40"/>
      <c r="G410" s="40"/>
      <c r="H410" s="41"/>
      <c r="I410" s="90">
        <f t="shared" si="1"/>
        <v>0</v>
      </c>
      <c r="J410" s="91"/>
      <c r="K410" s="92" t="str">
        <f t="shared" si="2"/>
        <v/>
      </c>
      <c r="L410" s="49" t="str">
        <f t="shared" si="3"/>
        <v/>
      </c>
    </row>
    <row r="411" ht="15.75" customHeight="1">
      <c r="A411" s="89"/>
      <c r="B411" s="40"/>
      <c r="C411" s="40"/>
      <c r="D411" s="40"/>
      <c r="E411" s="40"/>
      <c r="F411" s="40"/>
      <c r="G411" s="40"/>
      <c r="H411" s="41"/>
      <c r="I411" s="90">
        <f t="shared" si="1"/>
        <v>0</v>
      </c>
      <c r="J411" s="91"/>
      <c r="K411" s="92" t="str">
        <f t="shared" si="2"/>
        <v/>
      </c>
      <c r="L411" s="49" t="str">
        <f t="shared" si="3"/>
        <v/>
      </c>
    </row>
    <row r="412" ht="15.75" customHeight="1">
      <c r="A412" s="89"/>
      <c r="B412" s="40"/>
      <c r="C412" s="40"/>
      <c r="D412" s="40"/>
      <c r="E412" s="40"/>
      <c r="F412" s="40"/>
      <c r="G412" s="40"/>
      <c r="H412" s="41"/>
      <c r="I412" s="90">
        <f t="shared" si="1"/>
        <v>0</v>
      </c>
      <c r="J412" s="91"/>
      <c r="K412" s="92" t="str">
        <f t="shared" si="2"/>
        <v/>
      </c>
      <c r="L412" s="49" t="str">
        <f t="shared" si="3"/>
        <v/>
      </c>
    </row>
    <row r="413" ht="15.75" customHeight="1">
      <c r="A413" s="89"/>
      <c r="B413" s="40"/>
      <c r="C413" s="40"/>
      <c r="D413" s="40"/>
      <c r="E413" s="40"/>
      <c r="F413" s="40"/>
      <c r="G413" s="40"/>
      <c r="H413" s="41"/>
      <c r="I413" s="90">
        <f t="shared" si="1"/>
        <v>0</v>
      </c>
      <c r="J413" s="91"/>
      <c r="K413" s="92" t="str">
        <f t="shared" si="2"/>
        <v/>
      </c>
      <c r="L413" s="49" t="str">
        <f t="shared" si="3"/>
        <v/>
      </c>
    </row>
    <row r="414" ht="15.75" customHeight="1">
      <c r="A414" s="89"/>
      <c r="B414" s="40"/>
      <c r="C414" s="40"/>
      <c r="D414" s="40"/>
      <c r="E414" s="40"/>
      <c r="F414" s="40"/>
      <c r="G414" s="40"/>
      <c r="H414" s="41"/>
      <c r="I414" s="90">
        <f t="shared" si="1"/>
        <v>0</v>
      </c>
      <c r="J414" s="91"/>
      <c r="K414" s="92" t="str">
        <f t="shared" si="2"/>
        <v/>
      </c>
      <c r="L414" s="49" t="str">
        <f t="shared" si="3"/>
        <v/>
      </c>
    </row>
    <row r="415" ht="15.75" customHeight="1">
      <c r="A415" s="89"/>
      <c r="B415" s="40"/>
      <c r="C415" s="40"/>
      <c r="D415" s="40"/>
      <c r="E415" s="40"/>
      <c r="F415" s="40"/>
      <c r="G415" s="40"/>
      <c r="H415" s="41"/>
      <c r="I415" s="90">
        <f t="shared" si="1"/>
        <v>0</v>
      </c>
      <c r="J415" s="91"/>
      <c r="K415" s="92" t="str">
        <f t="shared" si="2"/>
        <v/>
      </c>
      <c r="L415" s="49" t="str">
        <f t="shared" si="3"/>
        <v/>
      </c>
    </row>
    <row r="416" ht="15.75" customHeight="1">
      <c r="A416" s="89"/>
      <c r="B416" s="40"/>
      <c r="C416" s="40"/>
      <c r="D416" s="40"/>
      <c r="E416" s="40"/>
      <c r="F416" s="40"/>
      <c r="G416" s="40"/>
      <c r="H416" s="41"/>
      <c r="I416" s="90">
        <f t="shared" si="1"/>
        <v>0</v>
      </c>
      <c r="J416" s="91"/>
      <c r="K416" s="92" t="str">
        <f t="shared" si="2"/>
        <v/>
      </c>
      <c r="L416" s="49" t="str">
        <f t="shared" si="3"/>
        <v/>
      </c>
    </row>
    <row r="417" ht="15.75" customHeight="1">
      <c r="A417" s="89"/>
      <c r="B417" s="40"/>
      <c r="C417" s="40"/>
      <c r="D417" s="40"/>
      <c r="E417" s="40"/>
      <c r="F417" s="40"/>
      <c r="G417" s="40"/>
      <c r="H417" s="41"/>
      <c r="I417" s="90">
        <f t="shared" si="1"/>
        <v>0</v>
      </c>
      <c r="J417" s="91"/>
      <c r="K417" s="92" t="str">
        <f t="shared" si="2"/>
        <v/>
      </c>
      <c r="L417" s="49" t="str">
        <f t="shared" si="3"/>
        <v/>
      </c>
    </row>
    <row r="418" ht="15.75" customHeight="1">
      <c r="A418" s="89"/>
      <c r="B418" s="40"/>
      <c r="C418" s="40"/>
      <c r="D418" s="40"/>
      <c r="E418" s="40"/>
      <c r="F418" s="40"/>
      <c r="G418" s="40"/>
      <c r="H418" s="41"/>
      <c r="I418" s="90">
        <f t="shared" si="1"/>
        <v>0</v>
      </c>
      <c r="J418" s="91"/>
      <c r="K418" s="92" t="str">
        <f t="shared" si="2"/>
        <v/>
      </c>
      <c r="L418" s="49" t="str">
        <f t="shared" si="3"/>
        <v/>
      </c>
    </row>
    <row r="419" ht="15.75" customHeight="1">
      <c r="A419" s="89"/>
      <c r="B419" s="40"/>
      <c r="C419" s="40"/>
      <c r="D419" s="40"/>
      <c r="E419" s="40"/>
      <c r="F419" s="40"/>
      <c r="G419" s="40"/>
      <c r="H419" s="41"/>
      <c r="I419" s="90">
        <f t="shared" si="1"/>
        <v>0</v>
      </c>
      <c r="J419" s="91"/>
      <c r="K419" s="92" t="str">
        <f t="shared" si="2"/>
        <v/>
      </c>
      <c r="L419" s="49" t="str">
        <f t="shared" si="3"/>
        <v/>
      </c>
    </row>
    <row r="420" ht="15.75" customHeight="1">
      <c r="A420" s="89"/>
      <c r="B420" s="40"/>
      <c r="C420" s="40"/>
      <c r="D420" s="40"/>
      <c r="E420" s="40"/>
      <c r="F420" s="40"/>
      <c r="G420" s="40"/>
      <c r="H420" s="41"/>
      <c r="I420" s="90">
        <f t="shared" si="1"/>
        <v>0</v>
      </c>
      <c r="J420" s="91"/>
      <c r="K420" s="92" t="str">
        <f t="shared" si="2"/>
        <v/>
      </c>
      <c r="L420" s="49" t="str">
        <f t="shared" si="3"/>
        <v/>
      </c>
    </row>
    <row r="421" ht="15.75" customHeight="1">
      <c r="A421" s="89"/>
      <c r="B421" s="40"/>
      <c r="C421" s="40"/>
      <c r="D421" s="40"/>
      <c r="E421" s="40"/>
      <c r="F421" s="40"/>
      <c r="G421" s="40"/>
      <c r="H421" s="41"/>
      <c r="I421" s="90">
        <f t="shared" si="1"/>
        <v>0</v>
      </c>
      <c r="J421" s="91"/>
      <c r="K421" s="92" t="str">
        <f t="shared" si="2"/>
        <v/>
      </c>
      <c r="L421" s="49" t="str">
        <f t="shared" si="3"/>
        <v/>
      </c>
    </row>
    <row r="422" ht="15.75" customHeight="1">
      <c r="A422" s="89"/>
      <c r="B422" s="40"/>
      <c r="C422" s="40"/>
      <c r="D422" s="40"/>
      <c r="E422" s="40"/>
      <c r="F422" s="40"/>
      <c r="G422" s="40"/>
      <c r="H422" s="41"/>
      <c r="I422" s="90">
        <f t="shared" si="1"/>
        <v>0</v>
      </c>
      <c r="J422" s="91"/>
      <c r="K422" s="92" t="str">
        <f t="shared" si="2"/>
        <v/>
      </c>
      <c r="L422" s="49" t="str">
        <f t="shared" si="3"/>
        <v/>
      </c>
    </row>
    <row r="423" ht="15.75" customHeight="1">
      <c r="A423" s="89"/>
      <c r="B423" s="40"/>
      <c r="C423" s="40"/>
      <c r="D423" s="40"/>
      <c r="E423" s="40"/>
      <c r="F423" s="40"/>
      <c r="G423" s="40"/>
      <c r="H423" s="41"/>
      <c r="I423" s="90">
        <f t="shared" si="1"/>
        <v>0</v>
      </c>
      <c r="J423" s="91"/>
      <c r="K423" s="92" t="str">
        <f t="shared" si="2"/>
        <v/>
      </c>
      <c r="L423" s="49" t="str">
        <f t="shared" si="3"/>
        <v/>
      </c>
    </row>
    <row r="424" ht="15.75" customHeight="1">
      <c r="A424" s="89"/>
      <c r="B424" s="40"/>
      <c r="C424" s="40"/>
      <c r="D424" s="40"/>
      <c r="E424" s="40"/>
      <c r="F424" s="40"/>
      <c r="G424" s="40"/>
      <c r="H424" s="41"/>
      <c r="I424" s="90">
        <f t="shared" si="1"/>
        <v>0</v>
      </c>
      <c r="J424" s="91"/>
      <c r="K424" s="92" t="str">
        <f t="shared" si="2"/>
        <v/>
      </c>
      <c r="L424" s="49" t="str">
        <f t="shared" si="3"/>
        <v/>
      </c>
    </row>
    <row r="425" ht="15.75" customHeight="1">
      <c r="A425" s="89"/>
      <c r="B425" s="40"/>
      <c r="C425" s="40"/>
      <c r="D425" s="40"/>
      <c r="E425" s="40"/>
      <c r="F425" s="40"/>
      <c r="G425" s="40"/>
      <c r="H425" s="41"/>
      <c r="I425" s="90">
        <f t="shared" si="1"/>
        <v>0</v>
      </c>
      <c r="J425" s="91"/>
      <c r="K425" s="92" t="str">
        <f t="shared" si="2"/>
        <v/>
      </c>
      <c r="L425" s="49" t="str">
        <f t="shared" si="3"/>
        <v/>
      </c>
    </row>
    <row r="426" ht="15.75" customHeight="1">
      <c r="A426" s="89"/>
      <c r="B426" s="40"/>
      <c r="C426" s="40"/>
      <c r="D426" s="40"/>
      <c r="E426" s="40"/>
      <c r="F426" s="40"/>
      <c r="G426" s="40"/>
      <c r="H426" s="41"/>
      <c r="I426" s="90">
        <f t="shared" si="1"/>
        <v>0</v>
      </c>
      <c r="J426" s="91"/>
      <c r="K426" s="92" t="str">
        <f t="shared" si="2"/>
        <v/>
      </c>
      <c r="L426" s="49" t="str">
        <f t="shared" si="3"/>
        <v/>
      </c>
    </row>
    <row r="427" ht="15.75" customHeight="1">
      <c r="A427" s="89"/>
      <c r="B427" s="40"/>
      <c r="C427" s="40"/>
      <c r="D427" s="40"/>
      <c r="E427" s="40"/>
      <c r="F427" s="40"/>
      <c r="G427" s="40"/>
      <c r="H427" s="41"/>
      <c r="I427" s="90">
        <f t="shared" si="1"/>
        <v>0</v>
      </c>
      <c r="J427" s="91"/>
      <c r="K427" s="92" t="str">
        <f t="shared" si="2"/>
        <v/>
      </c>
      <c r="L427" s="49" t="str">
        <f t="shared" si="3"/>
        <v/>
      </c>
    </row>
    <row r="428" ht="15.75" customHeight="1">
      <c r="A428" s="89"/>
      <c r="B428" s="40"/>
      <c r="C428" s="40"/>
      <c r="D428" s="40"/>
      <c r="E428" s="40"/>
      <c r="F428" s="40"/>
      <c r="G428" s="40"/>
      <c r="H428" s="41"/>
      <c r="I428" s="90">
        <f t="shared" si="1"/>
        <v>0</v>
      </c>
      <c r="J428" s="91"/>
      <c r="K428" s="92" t="str">
        <f t="shared" si="2"/>
        <v/>
      </c>
      <c r="L428" s="49" t="str">
        <f t="shared" si="3"/>
        <v/>
      </c>
    </row>
    <row r="429" ht="15.75" customHeight="1">
      <c r="A429" s="89"/>
      <c r="B429" s="40"/>
      <c r="C429" s="40"/>
      <c r="D429" s="40"/>
      <c r="E429" s="40"/>
      <c r="F429" s="40"/>
      <c r="G429" s="40"/>
      <c r="H429" s="41"/>
      <c r="I429" s="90">
        <f t="shared" si="1"/>
        <v>0</v>
      </c>
      <c r="J429" s="91"/>
      <c r="K429" s="92" t="str">
        <f t="shared" si="2"/>
        <v/>
      </c>
      <c r="L429" s="49" t="str">
        <f t="shared" si="3"/>
        <v/>
      </c>
    </row>
    <row r="430" ht="15.75" customHeight="1">
      <c r="A430" s="89"/>
      <c r="B430" s="40"/>
      <c r="C430" s="40"/>
      <c r="D430" s="40"/>
      <c r="E430" s="40"/>
      <c r="F430" s="40"/>
      <c r="G430" s="40"/>
      <c r="H430" s="41"/>
      <c r="I430" s="90">
        <f t="shared" si="1"/>
        <v>0</v>
      </c>
      <c r="J430" s="91"/>
      <c r="K430" s="92" t="str">
        <f t="shared" si="2"/>
        <v/>
      </c>
      <c r="L430" s="49" t="str">
        <f t="shared" si="3"/>
        <v/>
      </c>
    </row>
    <row r="431" ht="15.75" customHeight="1">
      <c r="A431" s="89"/>
      <c r="B431" s="40"/>
      <c r="C431" s="40"/>
      <c r="D431" s="40"/>
      <c r="E431" s="40"/>
      <c r="F431" s="40"/>
      <c r="G431" s="40"/>
      <c r="H431" s="41"/>
      <c r="I431" s="90">
        <f t="shared" si="1"/>
        <v>0</v>
      </c>
      <c r="J431" s="91"/>
      <c r="K431" s="92" t="str">
        <f t="shared" si="2"/>
        <v/>
      </c>
      <c r="L431" s="49" t="str">
        <f t="shared" si="3"/>
        <v/>
      </c>
    </row>
    <row r="432" ht="15.75" customHeight="1">
      <c r="A432" s="89"/>
      <c r="B432" s="40"/>
      <c r="C432" s="40"/>
      <c r="D432" s="40"/>
      <c r="E432" s="40"/>
      <c r="F432" s="40"/>
      <c r="G432" s="40"/>
      <c r="H432" s="41"/>
      <c r="I432" s="90">
        <f t="shared" si="1"/>
        <v>0</v>
      </c>
      <c r="J432" s="91"/>
      <c r="K432" s="92" t="str">
        <f t="shared" si="2"/>
        <v/>
      </c>
      <c r="L432" s="49" t="str">
        <f t="shared" si="3"/>
        <v/>
      </c>
    </row>
    <row r="433" ht="15.75" customHeight="1">
      <c r="A433" s="89"/>
      <c r="B433" s="40"/>
      <c r="C433" s="40"/>
      <c r="D433" s="40"/>
      <c r="E433" s="40"/>
      <c r="F433" s="40"/>
      <c r="G433" s="40"/>
      <c r="H433" s="41"/>
      <c r="I433" s="90">
        <f t="shared" si="1"/>
        <v>0</v>
      </c>
      <c r="J433" s="91"/>
      <c r="K433" s="92" t="str">
        <f t="shared" si="2"/>
        <v/>
      </c>
      <c r="L433" s="49" t="str">
        <f t="shared" si="3"/>
        <v/>
      </c>
    </row>
    <row r="434" ht="15.75" customHeight="1">
      <c r="A434" s="89"/>
      <c r="B434" s="40"/>
      <c r="C434" s="40"/>
      <c r="D434" s="40"/>
      <c r="E434" s="40"/>
      <c r="F434" s="40"/>
      <c r="G434" s="40"/>
      <c r="H434" s="41"/>
      <c r="I434" s="90">
        <f t="shared" si="1"/>
        <v>0</v>
      </c>
      <c r="J434" s="91"/>
      <c r="K434" s="92" t="str">
        <f t="shared" si="2"/>
        <v/>
      </c>
      <c r="L434" s="49" t="str">
        <f t="shared" si="3"/>
        <v/>
      </c>
    </row>
    <row r="435" ht="15.75" customHeight="1">
      <c r="A435" s="89"/>
      <c r="B435" s="40"/>
      <c r="C435" s="40"/>
      <c r="D435" s="40"/>
      <c r="E435" s="40"/>
      <c r="F435" s="40"/>
      <c r="G435" s="40"/>
      <c r="H435" s="41"/>
      <c r="I435" s="90">
        <f t="shared" si="1"/>
        <v>0</v>
      </c>
      <c r="J435" s="91"/>
      <c r="K435" s="92" t="str">
        <f t="shared" si="2"/>
        <v/>
      </c>
      <c r="L435" s="49" t="str">
        <f t="shared" si="3"/>
        <v/>
      </c>
    </row>
    <row r="436" ht="15.75" customHeight="1">
      <c r="A436" s="89"/>
      <c r="B436" s="40"/>
      <c r="C436" s="40"/>
      <c r="D436" s="40"/>
      <c r="E436" s="40"/>
      <c r="F436" s="40"/>
      <c r="G436" s="40"/>
      <c r="H436" s="41"/>
      <c r="I436" s="90">
        <f t="shared" si="1"/>
        <v>0</v>
      </c>
      <c r="J436" s="91"/>
      <c r="K436" s="92" t="str">
        <f t="shared" si="2"/>
        <v/>
      </c>
      <c r="L436" s="49" t="str">
        <f t="shared" si="3"/>
        <v/>
      </c>
    </row>
    <row r="437" ht="15.75" customHeight="1">
      <c r="A437" s="89"/>
      <c r="B437" s="40"/>
      <c r="C437" s="40"/>
      <c r="D437" s="40"/>
      <c r="E437" s="40"/>
      <c r="F437" s="40"/>
      <c r="G437" s="40"/>
      <c r="H437" s="41"/>
      <c r="I437" s="90">
        <f t="shared" si="1"/>
        <v>0</v>
      </c>
      <c r="J437" s="91"/>
      <c r="K437" s="92" t="str">
        <f t="shared" si="2"/>
        <v/>
      </c>
      <c r="L437" s="49" t="str">
        <f t="shared" si="3"/>
        <v/>
      </c>
    </row>
    <row r="438" ht="15.75" customHeight="1">
      <c r="A438" s="89"/>
      <c r="B438" s="40"/>
      <c r="C438" s="40"/>
      <c r="D438" s="40"/>
      <c r="E438" s="40"/>
      <c r="F438" s="40"/>
      <c r="G438" s="40"/>
      <c r="H438" s="41"/>
      <c r="I438" s="90">
        <f t="shared" si="1"/>
        <v>0</v>
      </c>
      <c r="J438" s="91"/>
      <c r="K438" s="92" t="str">
        <f t="shared" si="2"/>
        <v/>
      </c>
      <c r="L438" s="49" t="str">
        <f t="shared" si="3"/>
        <v/>
      </c>
    </row>
    <row r="439" ht="15.75" customHeight="1">
      <c r="A439" s="89"/>
      <c r="B439" s="40"/>
      <c r="C439" s="40"/>
      <c r="D439" s="40"/>
      <c r="E439" s="40"/>
      <c r="F439" s="40"/>
      <c r="G439" s="40"/>
      <c r="H439" s="41"/>
      <c r="I439" s="90">
        <f t="shared" si="1"/>
        <v>0</v>
      </c>
      <c r="J439" s="91"/>
      <c r="K439" s="92" t="str">
        <f t="shared" si="2"/>
        <v/>
      </c>
      <c r="L439" s="49" t="str">
        <f t="shared" si="3"/>
        <v/>
      </c>
    </row>
    <row r="440" ht="15.75" customHeight="1">
      <c r="A440" s="89"/>
      <c r="B440" s="40"/>
      <c r="C440" s="40"/>
      <c r="D440" s="40"/>
      <c r="E440" s="40"/>
      <c r="F440" s="40"/>
      <c r="G440" s="40"/>
      <c r="H440" s="41"/>
      <c r="I440" s="90">
        <f t="shared" si="1"/>
        <v>0</v>
      </c>
      <c r="J440" s="91"/>
      <c r="K440" s="92" t="str">
        <f t="shared" si="2"/>
        <v/>
      </c>
      <c r="L440" s="49" t="str">
        <f t="shared" si="3"/>
        <v/>
      </c>
    </row>
    <row r="441" ht="15.75" customHeight="1">
      <c r="A441" s="89"/>
      <c r="B441" s="40"/>
      <c r="C441" s="40"/>
      <c r="D441" s="40"/>
      <c r="E441" s="40"/>
      <c r="F441" s="40"/>
      <c r="G441" s="40"/>
      <c r="H441" s="41"/>
      <c r="I441" s="90">
        <f t="shared" si="1"/>
        <v>0</v>
      </c>
      <c r="J441" s="91"/>
      <c r="K441" s="92" t="str">
        <f t="shared" si="2"/>
        <v/>
      </c>
      <c r="L441" s="49" t="str">
        <f t="shared" si="3"/>
        <v/>
      </c>
    </row>
    <row r="442" ht="15.75" customHeight="1">
      <c r="A442" s="89"/>
      <c r="B442" s="40"/>
      <c r="C442" s="40"/>
      <c r="D442" s="40"/>
      <c r="E442" s="40"/>
      <c r="F442" s="40"/>
      <c r="G442" s="40"/>
      <c r="H442" s="41"/>
      <c r="I442" s="90">
        <f t="shared" si="1"/>
        <v>0</v>
      </c>
      <c r="J442" s="91"/>
      <c r="K442" s="92" t="str">
        <f t="shared" si="2"/>
        <v/>
      </c>
      <c r="L442" s="49" t="str">
        <f t="shared" si="3"/>
        <v/>
      </c>
    </row>
    <row r="443" ht="15.75" customHeight="1">
      <c r="A443" s="89"/>
      <c r="B443" s="40"/>
      <c r="C443" s="40"/>
      <c r="D443" s="40"/>
      <c r="E443" s="40"/>
      <c r="F443" s="40"/>
      <c r="G443" s="40"/>
      <c r="H443" s="41"/>
      <c r="I443" s="90">
        <f t="shared" si="1"/>
        <v>0</v>
      </c>
      <c r="J443" s="91"/>
      <c r="K443" s="92" t="str">
        <f t="shared" si="2"/>
        <v/>
      </c>
      <c r="L443" s="49" t="str">
        <f t="shared" si="3"/>
        <v/>
      </c>
    </row>
    <row r="444" ht="15.75" customHeight="1">
      <c r="A444" s="89"/>
      <c r="B444" s="40"/>
      <c r="C444" s="40"/>
      <c r="D444" s="40"/>
      <c r="E444" s="40"/>
      <c r="F444" s="40"/>
      <c r="G444" s="40"/>
      <c r="H444" s="41"/>
      <c r="I444" s="90">
        <f t="shared" si="1"/>
        <v>0</v>
      </c>
      <c r="J444" s="91"/>
      <c r="K444" s="92" t="str">
        <f t="shared" si="2"/>
        <v/>
      </c>
      <c r="L444" s="49" t="str">
        <f t="shared" si="3"/>
        <v/>
      </c>
    </row>
    <row r="445" ht="15.75" customHeight="1">
      <c r="A445" s="89"/>
      <c r="B445" s="40"/>
      <c r="C445" s="40"/>
      <c r="D445" s="40"/>
      <c r="E445" s="40"/>
      <c r="F445" s="40"/>
      <c r="G445" s="40"/>
      <c r="H445" s="41"/>
      <c r="I445" s="90">
        <f t="shared" si="1"/>
        <v>0</v>
      </c>
      <c r="J445" s="91"/>
      <c r="K445" s="92" t="str">
        <f t="shared" si="2"/>
        <v/>
      </c>
      <c r="L445" s="49" t="str">
        <f t="shared" si="3"/>
        <v/>
      </c>
    </row>
    <row r="446" ht="15.75" customHeight="1">
      <c r="A446" s="89"/>
      <c r="B446" s="40"/>
      <c r="C446" s="40"/>
      <c r="D446" s="40"/>
      <c r="E446" s="40"/>
      <c r="F446" s="40"/>
      <c r="G446" s="40"/>
      <c r="H446" s="41"/>
      <c r="I446" s="90">
        <f t="shared" si="1"/>
        <v>0</v>
      </c>
      <c r="J446" s="91"/>
      <c r="K446" s="92" t="str">
        <f t="shared" si="2"/>
        <v/>
      </c>
      <c r="L446" s="49" t="str">
        <f t="shared" si="3"/>
        <v/>
      </c>
    </row>
    <row r="447" ht="15.75" customHeight="1">
      <c r="A447" s="89"/>
      <c r="B447" s="40"/>
      <c r="C447" s="40"/>
      <c r="D447" s="40"/>
      <c r="E447" s="40"/>
      <c r="F447" s="40"/>
      <c r="G447" s="40"/>
      <c r="H447" s="41"/>
      <c r="I447" s="90">
        <f t="shared" si="1"/>
        <v>0</v>
      </c>
      <c r="J447" s="91"/>
      <c r="K447" s="92" t="str">
        <f t="shared" si="2"/>
        <v/>
      </c>
      <c r="L447" s="49" t="str">
        <f t="shared" si="3"/>
        <v/>
      </c>
    </row>
    <row r="448" ht="15.75" customHeight="1">
      <c r="A448" s="89"/>
      <c r="B448" s="40"/>
      <c r="C448" s="40"/>
      <c r="D448" s="40"/>
      <c r="E448" s="40"/>
      <c r="F448" s="40"/>
      <c r="G448" s="40"/>
      <c r="H448" s="41"/>
      <c r="I448" s="90">
        <f t="shared" si="1"/>
        <v>0</v>
      </c>
      <c r="J448" s="91"/>
      <c r="K448" s="92" t="str">
        <f t="shared" si="2"/>
        <v/>
      </c>
      <c r="L448" s="49" t="str">
        <f t="shared" si="3"/>
        <v/>
      </c>
    </row>
    <row r="449" ht="15.75" customHeight="1">
      <c r="A449" s="89"/>
      <c r="B449" s="40"/>
      <c r="C449" s="40"/>
      <c r="D449" s="40"/>
      <c r="E449" s="40"/>
      <c r="F449" s="40"/>
      <c r="G449" s="40"/>
      <c r="H449" s="41"/>
      <c r="I449" s="90">
        <f t="shared" si="1"/>
        <v>0</v>
      </c>
      <c r="J449" s="91"/>
      <c r="K449" s="92" t="str">
        <f t="shared" si="2"/>
        <v/>
      </c>
      <c r="L449" s="49" t="str">
        <f t="shared" si="3"/>
        <v/>
      </c>
    </row>
    <row r="450" ht="15.75" customHeight="1">
      <c r="A450" s="89"/>
      <c r="B450" s="40"/>
      <c r="C450" s="40"/>
      <c r="D450" s="40"/>
      <c r="E450" s="40"/>
      <c r="F450" s="40"/>
      <c r="G450" s="40"/>
      <c r="H450" s="41"/>
      <c r="I450" s="90">
        <f t="shared" si="1"/>
        <v>0</v>
      </c>
      <c r="J450" s="91"/>
      <c r="K450" s="92" t="str">
        <f t="shared" si="2"/>
        <v/>
      </c>
      <c r="L450" s="49" t="str">
        <f t="shared" si="3"/>
        <v/>
      </c>
    </row>
    <row r="451" ht="15.75" customHeight="1">
      <c r="A451" s="89"/>
      <c r="B451" s="40"/>
      <c r="C451" s="40"/>
      <c r="D451" s="40"/>
      <c r="E451" s="40"/>
      <c r="F451" s="40"/>
      <c r="G451" s="40"/>
      <c r="H451" s="41"/>
      <c r="I451" s="90">
        <f t="shared" si="1"/>
        <v>0</v>
      </c>
      <c r="J451" s="91"/>
      <c r="K451" s="92" t="str">
        <f t="shared" si="2"/>
        <v/>
      </c>
      <c r="L451" s="49" t="str">
        <f t="shared" si="3"/>
        <v/>
      </c>
    </row>
    <row r="452" ht="15.75" customHeight="1">
      <c r="A452" s="89"/>
      <c r="B452" s="40"/>
      <c r="C452" s="40"/>
      <c r="D452" s="40"/>
      <c r="E452" s="40"/>
      <c r="F452" s="40"/>
      <c r="G452" s="40"/>
      <c r="H452" s="41"/>
      <c r="I452" s="90">
        <f t="shared" si="1"/>
        <v>0</v>
      </c>
      <c r="J452" s="91"/>
      <c r="K452" s="92" t="str">
        <f t="shared" si="2"/>
        <v/>
      </c>
      <c r="L452" s="49" t="str">
        <f t="shared" si="3"/>
        <v/>
      </c>
    </row>
    <row r="453" ht="15.75" customHeight="1">
      <c r="A453" s="89"/>
      <c r="B453" s="40"/>
      <c r="C453" s="40"/>
      <c r="D453" s="40"/>
      <c r="E453" s="40"/>
      <c r="F453" s="40"/>
      <c r="G453" s="40"/>
      <c r="H453" s="41"/>
      <c r="I453" s="90">
        <f t="shared" si="1"/>
        <v>0</v>
      </c>
      <c r="J453" s="91"/>
      <c r="K453" s="92" t="str">
        <f t="shared" si="2"/>
        <v/>
      </c>
      <c r="L453" s="49" t="str">
        <f t="shared" si="3"/>
        <v/>
      </c>
    </row>
    <row r="454" ht="15.75" customHeight="1">
      <c r="A454" s="89"/>
      <c r="B454" s="40"/>
      <c r="C454" s="40"/>
      <c r="D454" s="40"/>
      <c r="E454" s="40"/>
      <c r="F454" s="40"/>
      <c r="G454" s="40"/>
      <c r="H454" s="41"/>
      <c r="I454" s="90">
        <f t="shared" si="1"/>
        <v>0</v>
      </c>
      <c r="J454" s="91"/>
      <c r="K454" s="92" t="str">
        <f t="shared" si="2"/>
        <v/>
      </c>
      <c r="L454" s="49" t="str">
        <f t="shared" si="3"/>
        <v/>
      </c>
    </row>
    <row r="455" ht="15.75" customHeight="1">
      <c r="A455" s="89"/>
      <c r="B455" s="40"/>
      <c r="C455" s="40"/>
      <c r="D455" s="40"/>
      <c r="E455" s="40"/>
      <c r="F455" s="40"/>
      <c r="G455" s="40"/>
      <c r="H455" s="41"/>
      <c r="I455" s="90">
        <f t="shared" si="1"/>
        <v>0</v>
      </c>
      <c r="J455" s="91"/>
      <c r="K455" s="92" t="str">
        <f t="shared" si="2"/>
        <v/>
      </c>
      <c r="L455" s="49" t="str">
        <f t="shared" si="3"/>
        <v/>
      </c>
    </row>
    <row r="456" ht="15.75" customHeight="1">
      <c r="A456" s="89"/>
      <c r="B456" s="40"/>
      <c r="C456" s="40"/>
      <c r="D456" s="40"/>
      <c r="E456" s="40"/>
      <c r="F456" s="40"/>
      <c r="G456" s="40"/>
      <c r="H456" s="41"/>
      <c r="I456" s="90">
        <f t="shared" si="1"/>
        <v>0</v>
      </c>
      <c r="J456" s="91"/>
      <c r="K456" s="92" t="str">
        <f t="shared" si="2"/>
        <v/>
      </c>
      <c r="L456" s="49" t="str">
        <f t="shared" si="3"/>
        <v/>
      </c>
    </row>
    <row r="457" ht="15.75" customHeight="1">
      <c r="A457" s="89"/>
      <c r="B457" s="40"/>
      <c r="C457" s="40"/>
      <c r="D457" s="40"/>
      <c r="E457" s="40"/>
      <c r="F457" s="40"/>
      <c r="G457" s="40"/>
      <c r="H457" s="41"/>
      <c r="I457" s="90">
        <f t="shared" si="1"/>
        <v>0</v>
      </c>
      <c r="J457" s="91"/>
      <c r="K457" s="92" t="str">
        <f t="shared" si="2"/>
        <v/>
      </c>
      <c r="L457" s="49" t="str">
        <f t="shared" si="3"/>
        <v/>
      </c>
    </row>
    <row r="458" ht="15.75" customHeight="1">
      <c r="A458" s="89"/>
      <c r="B458" s="40"/>
      <c r="C458" s="40"/>
      <c r="D458" s="40"/>
      <c r="E458" s="40"/>
      <c r="F458" s="40"/>
      <c r="G458" s="40"/>
      <c r="H458" s="41"/>
      <c r="I458" s="90">
        <f t="shared" si="1"/>
        <v>0</v>
      </c>
      <c r="J458" s="91"/>
      <c r="K458" s="92" t="str">
        <f t="shared" si="2"/>
        <v/>
      </c>
      <c r="L458" s="49" t="str">
        <f t="shared" si="3"/>
        <v/>
      </c>
    </row>
    <row r="459" ht="15.75" customHeight="1">
      <c r="A459" s="89"/>
      <c r="B459" s="40"/>
      <c r="C459" s="40"/>
      <c r="D459" s="40"/>
      <c r="E459" s="40"/>
      <c r="F459" s="40"/>
      <c r="G459" s="40"/>
      <c r="H459" s="41"/>
      <c r="I459" s="90">
        <f t="shared" si="1"/>
        <v>0</v>
      </c>
      <c r="J459" s="91"/>
      <c r="K459" s="92" t="str">
        <f t="shared" si="2"/>
        <v/>
      </c>
      <c r="L459" s="49" t="str">
        <f t="shared" si="3"/>
        <v/>
      </c>
    </row>
    <row r="460" ht="15.75" customHeight="1">
      <c r="A460" s="89"/>
      <c r="B460" s="40"/>
      <c r="C460" s="40"/>
      <c r="D460" s="40"/>
      <c r="E460" s="40"/>
      <c r="F460" s="40"/>
      <c r="G460" s="40"/>
      <c r="H460" s="41"/>
      <c r="I460" s="90">
        <f t="shared" si="1"/>
        <v>0</v>
      </c>
      <c r="J460" s="91"/>
      <c r="K460" s="92" t="str">
        <f t="shared" si="2"/>
        <v/>
      </c>
      <c r="L460" s="49" t="str">
        <f t="shared" si="3"/>
        <v/>
      </c>
    </row>
    <row r="461" ht="15.75" customHeight="1">
      <c r="A461" s="89"/>
      <c r="B461" s="40"/>
      <c r="C461" s="40"/>
      <c r="D461" s="40"/>
      <c r="E461" s="40"/>
      <c r="F461" s="40"/>
      <c r="G461" s="40"/>
      <c r="H461" s="41"/>
      <c r="I461" s="90">
        <f t="shared" si="1"/>
        <v>0</v>
      </c>
      <c r="J461" s="91"/>
      <c r="K461" s="92" t="str">
        <f t="shared" si="2"/>
        <v/>
      </c>
      <c r="L461" s="49" t="str">
        <f t="shared" si="3"/>
        <v/>
      </c>
    </row>
    <row r="462" ht="15.75" customHeight="1">
      <c r="A462" s="89"/>
      <c r="B462" s="40"/>
      <c r="C462" s="40"/>
      <c r="D462" s="40"/>
      <c r="E462" s="40"/>
      <c r="F462" s="40"/>
      <c r="G462" s="40"/>
      <c r="H462" s="41"/>
      <c r="I462" s="90">
        <f t="shared" si="1"/>
        <v>0</v>
      </c>
      <c r="J462" s="91"/>
      <c r="K462" s="92" t="str">
        <f t="shared" si="2"/>
        <v/>
      </c>
      <c r="L462" s="49" t="str">
        <f t="shared" si="3"/>
        <v/>
      </c>
    </row>
    <row r="463" ht="15.75" customHeight="1">
      <c r="A463" s="89"/>
      <c r="B463" s="40"/>
      <c r="C463" s="40"/>
      <c r="D463" s="40"/>
      <c r="E463" s="40"/>
      <c r="F463" s="40"/>
      <c r="G463" s="40"/>
      <c r="H463" s="41"/>
      <c r="I463" s="90">
        <f t="shared" si="1"/>
        <v>0</v>
      </c>
      <c r="J463" s="91"/>
      <c r="K463" s="92" t="str">
        <f t="shared" si="2"/>
        <v/>
      </c>
      <c r="L463" s="49" t="str">
        <f t="shared" si="3"/>
        <v/>
      </c>
    </row>
    <row r="464" ht="15.75" customHeight="1">
      <c r="A464" s="89"/>
      <c r="B464" s="40"/>
      <c r="C464" s="40"/>
      <c r="D464" s="40"/>
      <c r="E464" s="40"/>
      <c r="F464" s="40"/>
      <c r="G464" s="40"/>
      <c r="H464" s="41"/>
      <c r="I464" s="90">
        <f t="shared" si="1"/>
        <v>0</v>
      </c>
      <c r="J464" s="91"/>
      <c r="K464" s="92" t="str">
        <f t="shared" si="2"/>
        <v/>
      </c>
      <c r="L464" s="49" t="str">
        <f t="shared" si="3"/>
        <v/>
      </c>
    </row>
    <row r="465" ht="15.75" customHeight="1">
      <c r="A465" s="89"/>
      <c r="B465" s="40"/>
      <c r="C465" s="40"/>
      <c r="D465" s="40"/>
      <c r="E465" s="40"/>
      <c r="F465" s="40"/>
      <c r="G465" s="40"/>
      <c r="H465" s="41"/>
      <c r="I465" s="90">
        <f t="shared" si="1"/>
        <v>0</v>
      </c>
      <c r="J465" s="91"/>
      <c r="K465" s="92" t="str">
        <f t="shared" si="2"/>
        <v/>
      </c>
      <c r="L465" s="49" t="str">
        <f t="shared" si="3"/>
        <v/>
      </c>
    </row>
    <row r="466" ht="15.75" customHeight="1">
      <c r="A466" s="89"/>
      <c r="B466" s="40"/>
      <c r="C466" s="40"/>
      <c r="D466" s="40"/>
      <c r="E466" s="40"/>
      <c r="F466" s="40"/>
      <c r="G466" s="40"/>
      <c r="H466" s="41"/>
      <c r="I466" s="90">
        <f t="shared" si="1"/>
        <v>0</v>
      </c>
      <c r="J466" s="91"/>
      <c r="K466" s="92" t="str">
        <f t="shared" si="2"/>
        <v/>
      </c>
      <c r="L466" s="49" t="str">
        <f t="shared" si="3"/>
        <v/>
      </c>
    </row>
    <row r="467" ht="15.75" customHeight="1">
      <c r="A467" s="89"/>
      <c r="B467" s="40"/>
      <c r="C467" s="40"/>
      <c r="D467" s="40"/>
      <c r="E467" s="40"/>
      <c r="F467" s="40"/>
      <c r="G467" s="40"/>
      <c r="H467" s="41"/>
      <c r="I467" s="90">
        <f t="shared" si="1"/>
        <v>0</v>
      </c>
      <c r="J467" s="91"/>
      <c r="K467" s="92" t="str">
        <f t="shared" si="2"/>
        <v/>
      </c>
      <c r="L467" s="49" t="str">
        <f t="shared" si="3"/>
        <v/>
      </c>
    </row>
    <row r="468" ht="15.75" customHeight="1">
      <c r="A468" s="89"/>
      <c r="B468" s="40"/>
      <c r="C468" s="40"/>
      <c r="D468" s="40"/>
      <c r="E468" s="40"/>
      <c r="F468" s="40"/>
      <c r="G468" s="40"/>
      <c r="H468" s="41"/>
      <c r="I468" s="90">
        <f t="shared" si="1"/>
        <v>0</v>
      </c>
      <c r="J468" s="91"/>
      <c r="K468" s="92" t="str">
        <f t="shared" si="2"/>
        <v/>
      </c>
      <c r="L468" s="49" t="str">
        <f t="shared" si="3"/>
        <v/>
      </c>
    </row>
    <row r="469" ht="15.75" customHeight="1">
      <c r="A469" s="89"/>
      <c r="B469" s="40"/>
      <c r="C469" s="40"/>
      <c r="D469" s="40"/>
      <c r="E469" s="40"/>
      <c r="F469" s="40"/>
      <c r="G469" s="40"/>
      <c r="H469" s="41"/>
      <c r="I469" s="90">
        <f t="shared" si="1"/>
        <v>0</v>
      </c>
      <c r="J469" s="91"/>
      <c r="K469" s="92" t="str">
        <f t="shared" si="2"/>
        <v/>
      </c>
      <c r="L469" s="49" t="str">
        <f t="shared" si="3"/>
        <v/>
      </c>
    </row>
    <row r="470" ht="15.75" customHeight="1">
      <c r="A470" s="89"/>
      <c r="B470" s="40"/>
      <c r="C470" s="40"/>
      <c r="D470" s="40"/>
      <c r="E470" s="40"/>
      <c r="F470" s="40"/>
      <c r="G470" s="40"/>
      <c r="H470" s="41"/>
      <c r="I470" s="90">
        <f t="shared" si="1"/>
        <v>0</v>
      </c>
      <c r="J470" s="91"/>
      <c r="K470" s="92" t="str">
        <f t="shared" si="2"/>
        <v/>
      </c>
      <c r="L470" s="49" t="str">
        <f t="shared" si="3"/>
        <v/>
      </c>
    </row>
    <row r="471" ht="15.75" customHeight="1">
      <c r="A471" s="89"/>
      <c r="B471" s="40"/>
      <c r="C471" s="40"/>
      <c r="D471" s="40"/>
      <c r="E471" s="40"/>
      <c r="F471" s="40"/>
      <c r="G471" s="40"/>
      <c r="H471" s="41"/>
      <c r="I471" s="90">
        <f t="shared" si="1"/>
        <v>0</v>
      </c>
      <c r="J471" s="91"/>
      <c r="K471" s="92" t="str">
        <f t="shared" si="2"/>
        <v/>
      </c>
      <c r="L471" s="49" t="str">
        <f t="shared" si="3"/>
        <v/>
      </c>
    </row>
    <row r="472" ht="15.75" customHeight="1">
      <c r="A472" s="89"/>
      <c r="B472" s="40"/>
      <c r="C472" s="40"/>
      <c r="D472" s="40"/>
      <c r="E472" s="40"/>
      <c r="F472" s="40"/>
      <c r="G472" s="40"/>
      <c r="H472" s="41"/>
      <c r="I472" s="90">
        <f t="shared" si="1"/>
        <v>0</v>
      </c>
      <c r="J472" s="91"/>
      <c r="K472" s="92" t="str">
        <f t="shared" si="2"/>
        <v/>
      </c>
      <c r="L472" s="49" t="str">
        <f t="shared" si="3"/>
        <v/>
      </c>
    </row>
    <row r="473" ht="15.75" customHeight="1">
      <c r="A473" s="89"/>
      <c r="B473" s="40"/>
      <c r="C473" s="40"/>
      <c r="D473" s="40"/>
      <c r="E473" s="40"/>
      <c r="F473" s="40"/>
      <c r="G473" s="40"/>
      <c r="H473" s="41"/>
      <c r="I473" s="90">
        <f t="shared" si="1"/>
        <v>0</v>
      </c>
      <c r="J473" s="91"/>
      <c r="K473" s="92" t="str">
        <f t="shared" si="2"/>
        <v/>
      </c>
      <c r="L473" s="49" t="str">
        <f t="shared" si="3"/>
        <v/>
      </c>
    </row>
    <row r="474" ht="15.75" customHeight="1">
      <c r="A474" s="89"/>
      <c r="B474" s="40"/>
      <c r="C474" s="40"/>
      <c r="D474" s="40"/>
      <c r="E474" s="40"/>
      <c r="F474" s="40"/>
      <c r="G474" s="40"/>
      <c r="H474" s="41"/>
      <c r="I474" s="90">
        <f t="shared" si="1"/>
        <v>0</v>
      </c>
      <c r="J474" s="91"/>
      <c r="K474" s="92" t="str">
        <f t="shared" si="2"/>
        <v/>
      </c>
      <c r="L474" s="49" t="str">
        <f t="shared" si="3"/>
        <v/>
      </c>
    </row>
    <row r="475" ht="15.75" customHeight="1">
      <c r="A475" s="89"/>
      <c r="B475" s="40"/>
      <c r="C475" s="40"/>
      <c r="D475" s="40"/>
      <c r="E475" s="40"/>
      <c r="F475" s="40"/>
      <c r="G475" s="40"/>
      <c r="H475" s="41"/>
      <c r="I475" s="90">
        <f t="shared" si="1"/>
        <v>0</v>
      </c>
      <c r="J475" s="91"/>
      <c r="K475" s="92" t="str">
        <f t="shared" si="2"/>
        <v/>
      </c>
      <c r="L475" s="49" t="str">
        <f t="shared" si="3"/>
        <v/>
      </c>
    </row>
    <row r="476" ht="15.75" customHeight="1">
      <c r="A476" s="89"/>
      <c r="B476" s="40"/>
      <c r="C476" s="40"/>
      <c r="D476" s="40"/>
      <c r="E476" s="40"/>
      <c r="F476" s="40"/>
      <c r="G476" s="40"/>
      <c r="H476" s="41"/>
      <c r="I476" s="90">
        <f t="shared" si="1"/>
        <v>0</v>
      </c>
      <c r="J476" s="91"/>
      <c r="K476" s="92" t="str">
        <f t="shared" si="2"/>
        <v/>
      </c>
      <c r="L476" s="49" t="str">
        <f t="shared" si="3"/>
        <v/>
      </c>
    </row>
    <row r="477" ht="15.75" customHeight="1">
      <c r="A477" s="89"/>
      <c r="B477" s="40"/>
      <c r="C477" s="40"/>
      <c r="D477" s="40"/>
      <c r="E477" s="40"/>
      <c r="F477" s="40"/>
      <c r="G477" s="40"/>
      <c r="H477" s="41"/>
      <c r="I477" s="90">
        <f t="shared" si="1"/>
        <v>0</v>
      </c>
      <c r="J477" s="91"/>
      <c r="K477" s="92" t="str">
        <f t="shared" si="2"/>
        <v/>
      </c>
      <c r="L477" s="49" t="str">
        <f t="shared" si="3"/>
        <v/>
      </c>
    </row>
    <row r="478" ht="15.75" customHeight="1">
      <c r="A478" s="89"/>
      <c r="B478" s="40"/>
      <c r="C478" s="40"/>
      <c r="D478" s="40"/>
      <c r="E478" s="40"/>
      <c r="F478" s="40"/>
      <c r="G478" s="40"/>
      <c r="H478" s="41"/>
      <c r="I478" s="90">
        <f t="shared" si="1"/>
        <v>0</v>
      </c>
      <c r="J478" s="91"/>
      <c r="K478" s="92" t="str">
        <f t="shared" si="2"/>
        <v/>
      </c>
      <c r="L478" s="49" t="str">
        <f t="shared" si="3"/>
        <v/>
      </c>
    </row>
    <row r="479" ht="15.75" customHeight="1">
      <c r="A479" s="89"/>
      <c r="B479" s="40"/>
      <c r="C479" s="40"/>
      <c r="D479" s="40"/>
      <c r="E479" s="40"/>
      <c r="F479" s="40"/>
      <c r="G479" s="40"/>
      <c r="H479" s="41"/>
      <c r="I479" s="90">
        <f t="shared" si="1"/>
        <v>0</v>
      </c>
      <c r="J479" s="91"/>
      <c r="K479" s="92" t="str">
        <f t="shared" si="2"/>
        <v/>
      </c>
      <c r="L479" s="49" t="str">
        <f t="shared" si="3"/>
        <v/>
      </c>
    </row>
    <row r="480" ht="15.75" customHeight="1">
      <c r="A480" s="89"/>
      <c r="B480" s="40"/>
      <c r="C480" s="40"/>
      <c r="D480" s="40"/>
      <c r="E480" s="40"/>
      <c r="F480" s="40"/>
      <c r="G480" s="40"/>
      <c r="H480" s="41"/>
      <c r="I480" s="90">
        <f t="shared" si="1"/>
        <v>0</v>
      </c>
      <c r="J480" s="91"/>
      <c r="K480" s="92" t="str">
        <f t="shared" si="2"/>
        <v/>
      </c>
      <c r="L480" s="49" t="str">
        <f t="shared" si="3"/>
        <v/>
      </c>
    </row>
    <row r="481" ht="15.75" customHeight="1">
      <c r="A481" s="89"/>
      <c r="B481" s="40"/>
      <c r="C481" s="40"/>
      <c r="D481" s="40"/>
      <c r="E481" s="40"/>
      <c r="F481" s="40"/>
      <c r="G481" s="40"/>
      <c r="H481" s="41"/>
      <c r="I481" s="90">
        <f t="shared" si="1"/>
        <v>0</v>
      </c>
      <c r="J481" s="91"/>
      <c r="K481" s="92" t="str">
        <f t="shared" si="2"/>
        <v/>
      </c>
      <c r="L481" s="49" t="str">
        <f t="shared" si="3"/>
        <v/>
      </c>
    </row>
    <row r="482" ht="15.75" customHeight="1">
      <c r="A482" s="89"/>
      <c r="B482" s="40"/>
      <c r="C482" s="40"/>
      <c r="D482" s="40"/>
      <c r="E482" s="40"/>
      <c r="F482" s="40"/>
      <c r="G482" s="40"/>
      <c r="H482" s="41"/>
      <c r="I482" s="90">
        <f t="shared" si="1"/>
        <v>0</v>
      </c>
      <c r="J482" s="91"/>
      <c r="K482" s="92" t="str">
        <f t="shared" si="2"/>
        <v/>
      </c>
      <c r="L482" s="49" t="str">
        <f t="shared" si="3"/>
        <v/>
      </c>
    </row>
    <row r="483" ht="15.75" customHeight="1">
      <c r="A483" s="89"/>
      <c r="B483" s="40"/>
      <c r="C483" s="40"/>
      <c r="D483" s="40"/>
      <c r="E483" s="40"/>
      <c r="F483" s="40"/>
      <c r="G483" s="40"/>
      <c r="H483" s="41"/>
      <c r="I483" s="90">
        <f t="shared" si="1"/>
        <v>0</v>
      </c>
      <c r="J483" s="91"/>
      <c r="K483" s="92" t="str">
        <f t="shared" si="2"/>
        <v/>
      </c>
      <c r="L483" s="49" t="str">
        <f t="shared" si="3"/>
        <v/>
      </c>
    </row>
    <row r="484" ht="15.75" customHeight="1">
      <c r="A484" s="89"/>
      <c r="B484" s="40"/>
      <c r="C484" s="40"/>
      <c r="D484" s="40"/>
      <c r="E484" s="40"/>
      <c r="F484" s="40"/>
      <c r="G484" s="40"/>
      <c r="H484" s="41"/>
      <c r="I484" s="90">
        <f t="shared" si="1"/>
        <v>0</v>
      </c>
      <c r="J484" s="91"/>
      <c r="K484" s="92" t="str">
        <f t="shared" si="2"/>
        <v/>
      </c>
      <c r="L484" s="49" t="str">
        <f t="shared" si="3"/>
        <v/>
      </c>
    </row>
    <row r="485" ht="15.75" customHeight="1">
      <c r="A485" s="89"/>
      <c r="B485" s="40"/>
      <c r="C485" s="40"/>
      <c r="D485" s="40"/>
      <c r="E485" s="40"/>
      <c r="F485" s="40"/>
      <c r="G485" s="40"/>
      <c r="H485" s="41"/>
      <c r="I485" s="90">
        <f t="shared" si="1"/>
        <v>0</v>
      </c>
      <c r="J485" s="91"/>
      <c r="K485" s="92" t="str">
        <f t="shared" si="2"/>
        <v/>
      </c>
      <c r="L485" s="49" t="str">
        <f t="shared" si="3"/>
        <v/>
      </c>
    </row>
    <row r="486" ht="15.75" customHeight="1">
      <c r="A486" s="89"/>
      <c r="B486" s="40"/>
      <c r="C486" s="40"/>
      <c r="D486" s="40"/>
      <c r="E486" s="40"/>
      <c r="F486" s="40"/>
      <c r="G486" s="40"/>
      <c r="H486" s="41"/>
      <c r="I486" s="90">
        <f t="shared" si="1"/>
        <v>0</v>
      </c>
      <c r="J486" s="91"/>
      <c r="K486" s="92" t="str">
        <f t="shared" si="2"/>
        <v/>
      </c>
      <c r="L486" s="49" t="str">
        <f t="shared" si="3"/>
        <v/>
      </c>
    </row>
    <row r="487" ht="15.75" customHeight="1">
      <c r="A487" s="89"/>
      <c r="B487" s="40"/>
      <c r="C487" s="40"/>
      <c r="D487" s="40"/>
      <c r="E487" s="40"/>
      <c r="F487" s="40"/>
      <c r="G487" s="40"/>
      <c r="H487" s="41"/>
      <c r="I487" s="90">
        <f t="shared" si="1"/>
        <v>0</v>
      </c>
      <c r="J487" s="91"/>
      <c r="K487" s="92" t="str">
        <f t="shared" si="2"/>
        <v/>
      </c>
      <c r="L487" s="49" t="str">
        <f t="shared" si="3"/>
        <v/>
      </c>
    </row>
    <row r="488" ht="15.75" customHeight="1">
      <c r="A488" s="89"/>
      <c r="B488" s="40"/>
      <c r="C488" s="40"/>
      <c r="D488" s="40"/>
      <c r="E488" s="40"/>
      <c r="F488" s="40"/>
      <c r="G488" s="40"/>
      <c r="H488" s="41"/>
      <c r="I488" s="90">
        <f t="shared" si="1"/>
        <v>0</v>
      </c>
      <c r="J488" s="91"/>
      <c r="K488" s="92" t="str">
        <f t="shared" si="2"/>
        <v/>
      </c>
      <c r="L488" s="49" t="str">
        <f t="shared" si="3"/>
        <v/>
      </c>
    </row>
    <row r="489" ht="15.75" customHeight="1">
      <c r="A489" s="89"/>
      <c r="B489" s="40"/>
      <c r="C489" s="40"/>
      <c r="D489" s="40"/>
      <c r="E489" s="40"/>
      <c r="F489" s="40"/>
      <c r="G489" s="40"/>
      <c r="H489" s="41"/>
      <c r="I489" s="90">
        <f t="shared" si="1"/>
        <v>0</v>
      </c>
      <c r="J489" s="91"/>
      <c r="K489" s="92" t="str">
        <f t="shared" si="2"/>
        <v/>
      </c>
      <c r="L489" s="49" t="str">
        <f t="shared" si="3"/>
        <v/>
      </c>
    </row>
    <row r="490" ht="15.75" customHeight="1">
      <c r="A490" s="89"/>
      <c r="B490" s="40"/>
      <c r="C490" s="40"/>
      <c r="D490" s="40"/>
      <c r="E490" s="40"/>
      <c r="F490" s="40"/>
      <c r="G490" s="40"/>
      <c r="H490" s="41"/>
      <c r="I490" s="90">
        <f t="shared" si="1"/>
        <v>0</v>
      </c>
      <c r="J490" s="91"/>
      <c r="K490" s="92" t="str">
        <f t="shared" si="2"/>
        <v/>
      </c>
      <c r="L490" s="49" t="str">
        <f t="shared" si="3"/>
        <v/>
      </c>
    </row>
    <row r="491" ht="15.75" customHeight="1">
      <c r="A491" s="89"/>
      <c r="B491" s="40"/>
      <c r="C491" s="40"/>
      <c r="D491" s="40"/>
      <c r="E491" s="40"/>
      <c r="F491" s="40"/>
      <c r="G491" s="40"/>
      <c r="H491" s="41"/>
      <c r="I491" s="90">
        <f t="shared" si="1"/>
        <v>0</v>
      </c>
      <c r="J491" s="91"/>
      <c r="K491" s="92" t="str">
        <f t="shared" si="2"/>
        <v/>
      </c>
      <c r="L491" s="49" t="str">
        <f t="shared" si="3"/>
        <v/>
      </c>
    </row>
    <row r="492" ht="15.75" customHeight="1">
      <c r="A492" s="89"/>
      <c r="B492" s="40"/>
      <c r="C492" s="40"/>
      <c r="D492" s="40"/>
      <c r="E492" s="40"/>
      <c r="F492" s="40"/>
      <c r="G492" s="40"/>
      <c r="H492" s="41"/>
      <c r="I492" s="90">
        <f t="shared" si="1"/>
        <v>0</v>
      </c>
      <c r="J492" s="91"/>
      <c r="K492" s="92" t="str">
        <f t="shared" si="2"/>
        <v/>
      </c>
      <c r="L492" s="49" t="str">
        <f t="shared" si="3"/>
        <v/>
      </c>
    </row>
    <row r="493" ht="15.75" customHeight="1">
      <c r="A493" s="89"/>
      <c r="B493" s="40"/>
      <c r="C493" s="40"/>
      <c r="D493" s="40"/>
      <c r="E493" s="40"/>
      <c r="F493" s="40"/>
      <c r="G493" s="40"/>
      <c r="H493" s="41"/>
      <c r="I493" s="90">
        <f t="shared" si="1"/>
        <v>0</v>
      </c>
      <c r="J493" s="91"/>
      <c r="K493" s="92" t="str">
        <f t="shared" si="2"/>
        <v/>
      </c>
      <c r="L493" s="49" t="str">
        <f t="shared" si="3"/>
        <v/>
      </c>
    </row>
    <row r="494" ht="15.75" customHeight="1">
      <c r="A494" s="89"/>
      <c r="B494" s="40"/>
      <c r="C494" s="40"/>
      <c r="D494" s="40"/>
      <c r="E494" s="40"/>
      <c r="F494" s="40"/>
      <c r="G494" s="40"/>
      <c r="H494" s="41"/>
      <c r="I494" s="90">
        <f t="shared" si="1"/>
        <v>0</v>
      </c>
      <c r="J494" s="91"/>
      <c r="K494" s="92" t="str">
        <f t="shared" si="2"/>
        <v/>
      </c>
      <c r="L494" s="49" t="str">
        <f t="shared" si="3"/>
        <v/>
      </c>
    </row>
    <row r="495" ht="15.75" customHeight="1">
      <c r="A495" s="89"/>
      <c r="B495" s="40"/>
      <c r="C495" s="40"/>
      <c r="D495" s="40"/>
      <c r="E495" s="40"/>
      <c r="F495" s="40"/>
      <c r="G495" s="40"/>
      <c r="H495" s="41"/>
      <c r="I495" s="90">
        <f t="shared" si="1"/>
        <v>0</v>
      </c>
      <c r="J495" s="91"/>
      <c r="K495" s="92" t="str">
        <f t="shared" si="2"/>
        <v/>
      </c>
      <c r="L495" s="49" t="str">
        <f t="shared" si="3"/>
        <v/>
      </c>
    </row>
    <row r="496" ht="15.75" customHeight="1">
      <c r="A496" s="89"/>
      <c r="B496" s="40"/>
      <c r="C496" s="40"/>
      <c r="D496" s="40"/>
      <c r="E496" s="40"/>
      <c r="F496" s="40"/>
      <c r="G496" s="40"/>
      <c r="H496" s="41"/>
      <c r="I496" s="90">
        <f t="shared" si="1"/>
        <v>0</v>
      </c>
      <c r="J496" s="91"/>
      <c r="K496" s="92" t="str">
        <f t="shared" si="2"/>
        <v/>
      </c>
      <c r="L496" s="49" t="str">
        <f t="shared" si="3"/>
        <v/>
      </c>
    </row>
    <row r="497" ht="15.75" customHeight="1">
      <c r="A497" s="89"/>
      <c r="B497" s="40"/>
      <c r="C497" s="40"/>
      <c r="D497" s="40"/>
      <c r="E497" s="40"/>
      <c r="F497" s="40"/>
      <c r="G497" s="40"/>
      <c r="H497" s="41"/>
      <c r="I497" s="90">
        <f t="shared" si="1"/>
        <v>0</v>
      </c>
      <c r="J497" s="91"/>
      <c r="K497" s="92" t="str">
        <f t="shared" si="2"/>
        <v/>
      </c>
      <c r="L497" s="49" t="str">
        <f t="shared" si="3"/>
        <v/>
      </c>
    </row>
    <row r="498" ht="15.75" customHeight="1">
      <c r="A498" s="89"/>
      <c r="B498" s="40"/>
      <c r="C498" s="40"/>
      <c r="D498" s="40"/>
      <c r="E498" s="40"/>
      <c r="F498" s="40"/>
      <c r="G498" s="40"/>
      <c r="H498" s="41"/>
      <c r="I498" s="90">
        <f t="shared" si="1"/>
        <v>0</v>
      </c>
      <c r="J498" s="91"/>
      <c r="K498" s="92" t="str">
        <f t="shared" si="2"/>
        <v/>
      </c>
      <c r="L498" s="49" t="str">
        <f t="shared" si="3"/>
        <v/>
      </c>
    </row>
    <row r="499" ht="15.75" customHeight="1">
      <c r="A499" s="89"/>
      <c r="B499" s="40"/>
      <c r="C499" s="40"/>
      <c r="D499" s="40"/>
      <c r="E499" s="40"/>
      <c r="F499" s="40"/>
      <c r="G499" s="40"/>
      <c r="H499" s="41"/>
      <c r="I499" s="90">
        <f t="shared" si="1"/>
        <v>0</v>
      </c>
      <c r="J499" s="91"/>
      <c r="K499" s="92" t="str">
        <f t="shared" si="2"/>
        <v/>
      </c>
      <c r="L499" s="49" t="str">
        <f t="shared" si="3"/>
        <v/>
      </c>
    </row>
    <row r="500" ht="15.75" customHeight="1">
      <c r="A500" s="89"/>
      <c r="B500" s="40"/>
      <c r="C500" s="40"/>
      <c r="D500" s="40"/>
      <c r="E500" s="40"/>
      <c r="F500" s="40"/>
      <c r="G500" s="40"/>
      <c r="H500" s="41"/>
      <c r="I500" s="90">
        <f t="shared" si="1"/>
        <v>0</v>
      </c>
      <c r="J500" s="91"/>
      <c r="K500" s="92" t="str">
        <f t="shared" si="2"/>
        <v/>
      </c>
      <c r="L500" s="49" t="str">
        <f t="shared" si="3"/>
        <v/>
      </c>
    </row>
    <row r="501" ht="15.75" customHeight="1">
      <c r="A501" s="89"/>
      <c r="B501" s="40"/>
      <c r="C501" s="40"/>
      <c r="D501" s="40"/>
      <c r="E501" s="40"/>
      <c r="F501" s="40"/>
      <c r="G501" s="40"/>
      <c r="H501" s="41"/>
      <c r="I501" s="90">
        <f t="shared" si="1"/>
        <v>0</v>
      </c>
      <c r="J501" s="91"/>
      <c r="K501" s="92" t="str">
        <f t="shared" si="2"/>
        <v/>
      </c>
      <c r="L501" s="49" t="str">
        <f t="shared" si="3"/>
        <v/>
      </c>
    </row>
    <row r="502" ht="15.75" customHeight="1">
      <c r="A502" s="89"/>
      <c r="B502" s="40"/>
      <c r="C502" s="40"/>
      <c r="D502" s="40"/>
      <c r="E502" s="40"/>
      <c r="F502" s="40"/>
      <c r="G502" s="40"/>
      <c r="H502" s="41"/>
      <c r="I502" s="90">
        <f t="shared" si="1"/>
        <v>0</v>
      </c>
      <c r="J502" s="91"/>
      <c r="K502" s="92" t="str">
        <f t="shared" si="2"/>
        <v/>
      </c>
      <c r="L502" s="49" t="str">
        <f t="shared" si="3"/>
        <v/>
      </c>
    </row>
    <row r="503" ht="15.75" customHeight="1">
      <c r="A503" s="89"/>
      <c r="B503" s="40"/>
      <c r="C503" s="40"/>
      <c r="D503" s="40"/>
      <c r="E503" s="40"/>
      <c r="F503" s="40"/>
      <c r="G503" s="40"/>
      <c r="H503" s="41"/>
      <c r="I503" s="90">
        <f t="shared" si="1"/>
        <v>0</v>
      </c>
      <c r="J503" s="91"/>
      <c r="K503" s="92" t="str">
        <f t="shared" si="2"/>
        <v/>
      </c>
      <c r="L503" s="49" t="str">
        <f t="shared" si="3"/>
        <v/>
      </c>
    </row>
    <row r="504" ht="15.75" customHeight="1">
      <c r="A504" s="89"/>
      <c r="B504" s="40"/>
      <c r="C504" s="40"/>
      <c r="D504" s="40"/>
      <c r="E504" s="40"/>
      <c r="F504" s="40"/>
      <c r="G504" s="40"/>
      <c r="H504" s="41"/>
      <c r="I504" s="90">
        <f t="shared" si="1"/>
        <v>0</v>
      </c>
      <c r="J504" s="91"/>
      <c r="K504" s="92" t="str">
        <f t="shared" si="2"/>
        <v/>
      </c>
      <c r="L504" s="49" t="str">
        <f t="shared" si="3"/>
        <v/>
      </c>
    </row>
    <row r="505" ht="15.75" customHeight="1">
      <c r="A505" s="89"/>
      <c r="B505" s="40"/>
      <c r="C505" s="40"/>
      <c r="D505" s="40"/>
      <c r="E505" s="40"/>
      <c r="F505" s="40"/>
      <c r="G505" s="40"/>
      <c r="H505" s="41"/>
      <c r="I505" s="90">
        <f t="shared" si="1"/>
        <v>0</v>
      </c>
      <c r="J505" s="91"/>
      <c r="K505" s="92" t="str">
        <f t="shared" si="2"/>
        <v/>
      </c>
      <c r="L505" s="49" t="str">
        <f t="shared" si="3"/>
        <v/>
      </c>
    </row>
    <row r="506" ht="15.75" customHeight="1">
      <c r="A506" s="89"/>
      <c r="B506" s="40"/>
      <c r="C506" s="40"/>
      <c r="D506" s="40"/>
      <c r="E506" s="40"/>
      <c r="F506" s="40"/>
      <c r="G506" s="40"/>
      <c r="H506" s="41"/>
      <c r="I506" s="90">
        <f t="shared" si="1"/>
        <v>0</v>
      </c>
      <c r="J506" s="91"/>
      <c r="K506" s="92" t="str">
        <f t="shared" si="2"/>
        <v/>
      </c>
      <c r="L506" s="49" t="str">
        <f t="shared" si="3"/>
        <v/>
      </c>
    </row>
    <row r="507" ht="15.75" customHeight="1">
      <c r="A507" s="89"/>
      <c r="B507" s="40"/>
      <c r="C507" s="40"/>
      <c r="D507" s="40"/>
      <c r="E507" s="40"/>
      <c r="F507" s="40"/>
      <c r="G507" s="40"/>
      <c r="H507" s="41"/>
      <c r="I507" s="90">
        <f t="shared" si="1"/>
        <v>0</v>
      </c>
      <c r="J507" s="91"/>
      <c r="K507" s="92" t="str">
        <f t="shared" si="2"/>
        <v/>
      </c>
      <c r="L507" s="49" t="str">
        <f t="shared" si="3"/>
        <v/>
      </c>
    </row>
    <row r="508" ht="15.75" customHeight="1">
      <c r="A508" s="89"/>
      <c r="B508" s="40"/>
      <c r="C508" s="40"/>
      <c r="D508" s="40"/>
      <c r="E508" s="40"/>
      <c r="F508" s="40"/>
      <c r="G508" s="40"/>
      <c r="H508" s="41"/>
      <c r="I508" s="90">
        <f t="shared" si="1"/>
        <v>0</v>
      </c>
      <c r="J508" s="91"/>
      <c r="K508" s="92" t="str">
        <f t="shared" si="2"/>
        <v/>
      </c>
      <c r="L508" s="49" t="str">
        <f t="shared" si="3"/>
        <v/>
      </c>
    </row>
    <row r="509" ht="15.75" customHeight="1">
      <c r="A509" s="89"/>
      <c r="B509" s="40"/>
      <c r="C509" s="40"/>
      <c r="D509" s="40"/>
      <c r="E509" s="40"/>
      <c r="F509" s="40"/>
      <c r="G509" s="40"/>
      <c r="H509" s="41"/>
      <c r="I509" s="90">
        <f t="shared" si="1"/>
        <v>0</v>
      </c>
      <c r="J509" s="91"/>
      <c r="K509" s="92" t="str">
        <f t="shared" si="2"/>
        <v/>
      </c>
      <c r="L509" s="49" t="str">
        <f t="shared" si="3"/>
        <v/>
      </c>
    </row>
    <row r="510" ht="15.75" customHeight="1">
      <c r="A510" s="89"/>
      <c r="B510" s="40"/>
      <c r="C510" s="40"/>
      <c r="D510" s="40"/>
      <c r="E510" s="40"/>
      <c r="F510" s="40"/>
      <c r="G510" s="40"/>
      <c r="H510" s="41"/>
      <c r="I510" s="90">
        <f t="shared" si="1"/>
        <v>0</v>
      </c>
      <c r="J510" s="91"/>
      <c r="K510" s="92" t="str">
        <f t="shared" si="2"/>
        <v/>
      </c>
      <c r="L510" s="49" t="str">
        <f t="shared" si="3"/>
        <v/>
      </c>
    </row>
    <row r="511" ht="15.75" customHeight="1">
      <c r="A511" s="89"/>
      <c r="B511" s="40"/>
      <c r="C511" s="40"/>
      <c r="D511" s="40"/>
      <c r="E511" s="40"/>
      <c r="F511" s="40"/>
      <c r="G511" s="40"/>
      <c r="H511" s="41"/>
      <c r="I511" s="90">
        <f t="shared" si="1"/>
        <v>0</v>
      </c>
      <c r="J511" s="91"/>
      <c r="K511" s="92" t="str">
        <f t="shared" si="2"/>
        <v/>
      </c>
      <c r="L511" s="49" t="str">
        <f t="shared" si="3"/>
        <v/>
      </c>
    </row>
    <row r="512" ht="15.75" customHeight="1">
      <c r="A512" s="89"/>
      <c r="B512" s="40"/>
      <c r="C512" s="40"/>
      <c r="D512" s="40"/>
      <c r="E512" s="40"/>
      <c r="F512" s="40"/>
      <c r="G512" s="40"/>
      <c r="H512" s="41"/>
      <c r="I512" s="90">
        <f t="shared" si="1"/>
        <v>0</v>
      </c>
      <c r="J512" s="91"/>
      <c r="K512" s="92" t="str">
        <f t="shared" si="2"/>
        <v/>
      </c>
      <c r="L512" s="49" t="str">
        <f t="shared" si="3"/>
        <v/>
      </c>
    </row>
    <row r="513" ht="15.75" customHeight="1">
      <c r="A513" s="89"/>
      <c r="B513" s="40"/>
      <c r="C513" s="40"/>
      <c r="D513" s="40"/>
      <c r="E513" s="40"/>
      <c r="F513" s="40"/>
      <c r="G513" s="40"/>
      <c r="H513" s="41"/>
      <c r="I513" s="90">
        <f t="shared" si="1"/>
        <v>0</v>
      </c>
      <c r="J513" s="91"/>
      <c r="K513" s="92" t="str">
        <f t="shared" si="2"/>
        <v/>
      </c>
      <c r="L513" s="49" t="str">
        <f t="shared" si="3"/>
        <v/>
      </c>
    </row>
    <row r="514" ht="15.75" customHeight="1">
      <c r="A514" s="89"/>
      <c r="B514" s="40"/>
      <c r="C514" s="40"/>
      <c r="D514" s="40"/>
      <c r="E514" s="40"/>
      <c r="F514" s="40"/>
      <c r="G514" s="40"/>
      <c r="H514" s="41"/>
      <c r="I514" s="90">
        <f t="shared" si="1"/>
        <v>0</v>
      </c>
      <c r="J514" s="91"/>
      <c r="K514" s="92" t="str">
        <f t="shared" si="2"/>
        <v/>
      </c>
      <c r="L514" s="49" t="str">
        <f t="shared" si="3"/>
        <v/>
      </c>
    </row>
    <row r="515" ht="15.75" customHeight="1">
      <c r="A515" s="89"/>
      <c r="B515" s="40"/>
      <c r="C515" s="40"/>
      <c r="D515" s="40"/>
      <c r="E515" s="40"/>
      <c r="F515" s="40"/>
      <c r="G515" s="40"/>
      <c r="H515" s="41"/>
      <c r="I515" s="90">
        <f t="shared" si="1"/>
        <v>0</v>
      </c>
      <c r="J515" s="91"/>
      <c r="K515" s="92" t="str">
        <f t="shared" si="2"/>
        <v/>
      </c>
      <c r="L515" s="49" t="str">
        <f t="shared" si="3"/>
        <v/>
      </c>
    </row>
    <row r="516" ht="15.75" customHeight="1">
      <c r="A516" s="89"/>
      <c r="B516" s="40"/>
      <c r="C516" s="40"/>
      <c r="D516" s="40"/>
      <c r="E516" s="40"/>
      <c r="F516" s="40"/>
      <c r="G516" s="40"/>
      <c r="H516" s="41"/>
      <c r="I516" s="90">
        <f t="shared" si="1"/>
        <v>0</v>
      </c>
      <c r="J516" s="91"/>
      <c r="K516" s="92" t="str">
        <f t="shared" si="2"/>
        <v/>
      </c>
      <c r="L516" s="49" t="str">
        <f t="shared" si="3"/>
        <v/>
      </c>
    </row>
    <row r="517" ht="15.75" customHeight="1">
      <c r="A517" s="89"/>
      <c r="B517" s="40"/>
      <c r="C517" s="40"/>
      <c r="D517" s="40"/>
      <c r="E517" s="40"/>
      <c r="F517" s="40"/>
      <c r="G517" s="40"/>
      <c r="H517" s="41"/>
      <c r="I517" s="90">
        <f t="shared" si="1"/>
        <v>0</v>
      </c>
      <c r="J517" s="91"/>
      <c r="K517" s="92" t="str">
        <f t="shared" si="2"/>
        <v/>
      </c>
      <c r="L517" s="49" t="str">
        <f t="shared" si="3"/>
        <v/>
      </c>
    </row>
    <row r="518" ht="15.75" customHeight="1">
      <c r="A518" s="89"/>
      <c r="B518" s="40"/>
      <c r="C518" s="40"/>
      <c r="D518" s="40"/>
      <c r="E518" s="40"/>
      <c r="F518" s="40"/>
      <c r="G518" s="40"/>
      <c r="H518" s="41"/>
      <c r="I518" s="90">
        <f t="shared" si="1"/>
        <v>0</v>
      </c>
      <c r="J518" s="91"/>
      <c r="K518" s="92" t="str">
        <f t="shared" si="2"/>
        <v/>
      </c>
      <c r="L518" s="49" t="str">
        <f t="shared" si="3"/>
        <v/>
      </c>
    </row>
    <row r="519" ht="15.75" customHeight="1">
      <c r="A519" s="89"/>
      <c r="B519" s="40"/>
      <c r="C519" s="40"/>
      <c r="D519" s="40"/>
      <c r="E519" s="40"/>
      <c r="F519" s="40"/>
      <c r="G519" s="40"/>
      <c r="H519" s="41"/>
      <c r="I519" s="90">
        <f t="shared" si="1"/>
        <v>0</v>
      </c>
      <c r="J519" s="91"/>
      <c r="K519" s="92" t="str">
        <f t="shared" si="2"/>
        <v/>
      </c>
      <c r="L519" s="49" t="str">
        <f t="shared" si="3"/>
        <v/>
      </c>
    </row>
    <row r="520" ht="15.75" customHeight="1">
      <c r="A520" s="89"/>
      <c r="B520" s="40"/>
      <c r="C520" s="40"/>
      <c r="D520" s="40"/>
      <c r="E520" s="40"/>
      <c r="F520" s="40"/>
      <c r="G520" s="40"/>
      <c r="H520" s="41"/>
      <c r="I520" s="90">
        <f t="shared" si="1"/>
        <v>0</v>
      </c>
      <c r="J520" s="91"/>
      <c r="K520" s="92" t="str">
        <f t="shared" si="2"/>
        <v/>
      </c>
      <c r="L520" s="49" t="str">
        <f t="shared" si="3"/>
        <v/>
      </c>
    </row>
    <row r="521" ht="15.75" customHeight="1">
      <c r="A521" s="89"/>
      <c r="B521" s="40"/>
      <c r="C521" s="40"/>
      <c r="D521" s="40"/>
      <c r="E521" s="40"/>
      <c r="F521" s="40"/>
      <c r="G521" s="40"/>
      <c r="H521" s="41"/>
      <c r="I521" s="90">
        <f t="shared" si="1"/>
        <v>0</v>
      </c>
      <c r="J521" s="91"/>
      <c r="K521" s="92" t="str">
        <f t="shared" si="2"/>
        <v/>
      </c>
      <c r="L521" s="49" t="str">
        <f t="shared" si="3"/>
        <v/>
      </c>
    </row>
    <row r="522" ht="15.75" customHeight="1">
      <c r="A522" s="89"/>
      <c r="B522" s="40"/>
      <c r="C522" s="40"/>
      <c r="D522" s="40"/>
      <c r="E522" s="40"/>
      <c r="F522" s="40"/>
      <c r="G522" s="40"/>
      <c r="H522" s="41"/>
      <c r="I522" s="90">
        <f t="shared" si="1"/>
        <v>0</v>
      </c>
      <c r="J522" s="91"/>
      <c r="K522" s="92" t="str">
        <f t="shared" si="2"/>
        <v/>
      </c>
      <c r="L522" s="49" t="str">
        <f t="shared" si="3"/>
        <v/>
      </c>
    </row>
    <row r="523" ht="15.75" customHeight="1">
      <c r="A523" s="89"/>
      <c r="B523" s="40"/>
      <c r="C523" s="40"/>
      <c r="D523" s="40"/>
      <c r="E523" s="40"/>
      <c r="F523" s="40"/>
      <c r="G523" s="40"/>
      <c r="H523" s="41"/>
      <c r="I523" s="90">
        <f t="shared" si="1"/>
        <v>0</v>
      </c>
      <c r="J523" s="91"/>
      <c r="K523" s="92" t="str">
        <f t="shared" si="2"/>
        <v/>
      </c>
      <c r="L523" s="49" t="str">
        <f t="shared" si="3"/>
        <v/>
      </c>
    </row>
    <row r="524" ht="15.75" customHeight="1">
      <c r="A524" s="89"/>
      <c r="B524" s="40"/>
      <c r="C524" s="40"/>
      <c r="D524" s="40"/>
      <c r="E524" s="40"/>
      <c r="F524" s="40"/>
      <c r="G524" s="40"/>
      <c r="H524" s="41"/>
      <c r="I524" s="90">
        <f t="shared" si="1"/>
        <v>0</v>
      </c>
      <c r="J524" s="91"/>
      <c r="K524" s="92" t="str">
        <f t="shared" si="2"/>
        <v/>
      </c>
      <c r="L524" s="49" t="str">
        <f t="shared" si="3"/>
        <v/>
      </c>
    </row>
    <row r="525" ht="15.75" customHeight="1">
      <c r="A525" s="89"/>
      <c r="B525" s="40"/>
      <c r="C525" s="40"/>
      <c r="D525" s="40"/>
      <c r="E525" s="40"/>
      <c r="F525" s="40"/>
      <c r="G525" s="40"/>
      <c r="H525" s="41"/>
      <c r="I525" s="90">
        <f t="shared" si="1"/>
        <v>0</v>
      </c>
      <c r="J525" s="91"/>
      <c r="K525" s="92" t="str">
        <f t="shared" si="2"/>
        <v/>
      </c>
      <c r="L525" s="49" t="str">
        <f t="shared" si="3"/>
        <v/>
      </c>
    </row>
    <row r="526" ht="15.75" customHeight="1">
      <c r="A526" s="89"/>
      <c r="B526" s="40"/>
      <c r="C526" s="40"/>
      <c r="D526" s="40"/>
      <c r="E526" s="40"/>
      <c r="F526" s="40"/>
      <c r="G526" s="40"/>
      <c r="H526" s="41"/>
      <c r="I526" s="90">
        <f t="shared" si="1"/>
        <v>0</v>
      </c>
      <c r="J526" s="91"/>
      <c r="K526" s="92" t="str">
        <f t="shared" si="2"/>
        <v/>
      </c>
      <c r="L526" s="49" t="str">
        <f t="shared" si="3"/>
        <v/>
      </c>
    </row>
    <row r="527" ht="15.75" customHeight="1">
      <c r="A527" s="89"/>
      <c r="B527" s="40"/>
      <c r="C527" s="40"/>
      <c r="D527" s="40"/>
      <c r="E527" s="40"/>
      <c r="F527" s="40"/>
      <c r="G527" s="40"/>
      <c r="H527" s="41"/>
      <c r="I527" s="90">
        <f t="shared" si="1"/>
        <v>0</v>
      </c>
      <c r="J527" s="91"/>
      <c r="K527" s="92" t="str">
        <f t="shared" si="2"/>
        <v/>
      </c>
      <c r="L527" s="49" t="str">
        <f t="shared" si="3"/>
        <v/>
      </c>
    </row>
    <row r="528" ht="15.75" customHeight="1">
      <c r="A528" s="89"/>
      <c r="B528" s="40"/>
      <c r="C528" s="40"/>
      <c r="D528" s="40"/>
      <c r="E528" s="40"/>
      <c r="F528" s="40"/>
      <c r="G528" s="40"/>
      <c r="H528" s="41"/>
      <c r="I528" s="90">
        <f t="shared" si="1"/>
        <v>0</v>
      </c>
      <c r="J528" s="91"/>
      <c r="K528" s="92" t="str">
        <f t="shared" si="2"/>
        <v/>
      </c>
      <c r="L528" s="49" t="str">
        <f t="shared" si="3"/>
        <v/>
      </c>
    </row>
    <row r="529" ht="15.75" customHeight="1">
      <c r="A529" s="89"/>
      <c r="B529" s="40"/>
      <c r="C529" s="40"/>
      <c r="D529" s="40"/>
      <c r="E529" s="40"/>
      <c r="F529" s="40"/>
      <c r="G529" s="40"/>
      <c r="H529" s="41"/>
      <c r="I529" s="90">
        <f t="shared" si="1"/>
        <v>0</v>
      </c>
      <c r="J529" s="91"/>
      <c r="K529" s="92" t="str">
        <f t="shared" si="2"/>
        <v/>
      </c>
      <c r="L529" s="49" t="str">
        <f t="shared" si="3"/>
        <v/>
      </c>
    </row>
    <row r="530" ht="15.75" customHeight="1">
      <c r="A530" s="89"/>
      <c r="B530" s="40"/>
      <c r="C530" s="40"/>
      <c r="D530" s="40"/>
      <c r="E530" s="40"/>
      <c r="F530" s="40"/>
      <c r="G530" s="40"/>
      <c r="H530" s="41"/>
      <c r="I530" s="90">
        <f t="shared" si="1"/>
        <v>0</v>
      </c>
      <c r="J530" s="91"/>
      <c r="K530" s="92" t="str">
        <f t="shared" si="2"/>
        <v/>
      </c>
      <c r="L530" s="49" t="str">
        <f t="shared" si="3"/>
        <v/>
      </c>
    </row>
    <row r="531" ht="15.75" customHeight="1">
      <c r="A531" s="89"/>
      <c r="B531" s="40"/>
      <c r="C531" s="40"/>
      <c r="D531" s="40"/>
      <c r="E531" s="40"/>
      <c r="F531" s="40"/>
      <c r="G531" s="40"/>
      <c r="H531" s="41"/>
      <c r="I531" s="90">
        <f t="shared" si="1"/>
        <v>0</v>
      </c>
      <c r="J531" s="91"/>
      <c r="K531" s="92" t="str">
        <f t="shared" si="2"/>
        <v/>
      </c>
      <c r="L531" s="49" t="str">
        <f t="shared" si="3"/>
        <v/>
      </c>
    </row>
    <row r="532" ht="15.75" customHeight="1">
      <c r="A532" s="89"/>
      <c r="B532" s="40"/>
      <c r="C532" s="40"/>
      <c r="D532" s="40"/>
      <c r="E532" s="40"/>
      <c r="F532" s="40"/>
      <c r="G532" s="40"/>
      <c r="H532" s="41"/>
      <c r="I532" s="90">
        <f t="shared" si="1"/>
        <v>0</v>
      </c>
      <c r="J532" s="91"/>
      <c r="K532" s="92" t="str">
        <f t="shared" si="2"/>
        <v/>
      </c>
      <c r="L532" s="49" t="str">
        <f t="shared" si="3"/>
        <v/>
      </c>
    </row>
    <row r="533" ht="15.75" customHeight="1">
      <c r="A533" s="89"/>
      <c r="B533" s="40"/>
      <c r="C533" s="40"/>
      <c r="D533" s="40"/>
      <c r="E533" s="40"/>
      <c r="F533" s="40"/>
      <c r="G533" s="40"/>
      <c r="H533" s="41"/>
      <c r="I533" s="90">
        <f t="shared" si="1"/>
        <v>0</v>
      </c>
      <c r="J533" s="91"/>
      <c r="K533" s="92" t="str">
        <f t="shared" si="2"/>
        <v/>
      </c>
      <c r="L533" s="49" t="str">
        <f t="shared" si="3"/>
        <v/>
      </c>
    </row>
    <row r="534" ht="15.75" customHeight="1">
      <c r="A534" s="89"/>
      <c r="B534" s="40"/>
      <c r="C534" s="40"/>
      <c r="D534" s="40"/>
      <c r="E534" s="40"/>
      <c r="F534" s="40"/>
      <c r="G534" s="40"/>
      <c r="H534" s="41"/>
      <c r="I534" s="90">
        <f t="shared" si="1"/>
        <v>0</v>
      </c>
      <c r="J534" s="91"/>
      <c r="K534" s="92" t="str">
        <f t="shared" si="2"/>
        <v/>
      </c>
      <c r="L534" s="49" t="str">
        <f t="shared" si="3"/>
        <v/>
      </c>
    </row>
    <row r="535" ht="15.75" customHeight="1">
      <c r="A535" s="89"/>
      <c r="B535" s="40"/>
      <c r="C535" s="40"/>
      <c r="D535" s="40"/>
      <c r="E535" s="40"/>
      <c r="F535" s="40"/>
      <c r="G535" s="40"/>
      <c r="H535" s="41"/>
      <c r="I535" s="90">
        <f t="shared" si="1"/>
        <v>0</v>
      </c>
      <c r="J535" s="91"/>
      <c r="K535" s="92" t="str">
        <f t="shared" si="2"/>
        <v/>
      </c>
      <c r="L535" s="49" t="str">
        <f t="shared" si="3"/>
        <v/>
      </c>
    </row>
    <row r="536" ht="15.75" customHeight="1">
      <c r="A536" s="89"/>
      <c r="B536" s="40"/>
      <c r="C536" s="40"/>
      <c r="D536" s="40"/>
      <c r="E536" s="40"/>
      <c r="F536" s="40"/>
      <c r="G536" s="40"/>
      <c r="H536" s="41"/>
      <c r="I536" s="90">
        <f t="shared" si="1"/>
        <v>0</v>
      </c>
      <c r="J536" s="91"/>
      <c r="K536" s="92" t="str">
        <f t="shared" si="2"/>
        <v/>
      </c>
      <c r="L536" s="49" t="str">
        <f t="shared" si="3"/>
        <v/>
      </c>
    </row>
    <row r="537" ht="15.75" customHeight="1">
      <c r="A537" s="89"/>
      <c r="B537" s="40"/>
      <c r="C537" s="40"/>
      <c r="D537" s="40"/>
      <c r="E537" s="40"/>
      <c r="F537" s="40"/>
      <c r="G537" s="40"/>
      <c r="H537" s="41"/>
      <c r="I537" s="90">
        <f t="shared" si="1"/>
        <v>0</v>
      </c>
      <c r="J537" s="91"/>
      <c r="K537" s="92" t="str">
        <f t="shared" si="2"/>
        <v/>
      </c>
      <c r="L537" s="49" t="str">
        <f t="shared" si="3"/>
        <v/>
      </c>
    </row>
    <row r="538" ht="15.75" customHeight="1">
      <c r="A538" s="89"/>
      <c r="B538" s="40"/>
      <c r="C538" s="40"/>
      <c r="D538" s="40"/>
      <c r="E538" s="40"/>
      <c r="F538" s="40"/>
      <c r="G538" s="40"/>
      <c r="H538" s="41"/>
      <c r="I538" s="90">
        <f t="shared" si="1"/>
        <v>0</v>
      </c>
      <c r="J538" s="91"/>
      <c r="K538" s="92" t="str">
        <f t="shared" si="2"/>
        <v/>
      </c>
      <c r="L538" s="49" t="str">
        <f t="shared" si="3"/>
        <v/>
      </c>
    </row>
    <row r="539" ht="15.75" customHeight="1">
      <c r="A539" s="89"/>
      <c r="B539" s="40"/>
      <c r="C539" s="40"/>
      <c r="D539" s="40"/>
      <c r="E539" s="40"/>
      <c r="F539" s="40"/>
      <c r="G539" s="40"/>
      <c r="H539" s="41"/>
      <c r="I539" s="90">
        <f t="shared" si="1"/>
        <v>0</v>
      </c>
      <c r="J539" s="91"/>
      <c r="K539" s="92" t="str">
        <f t="shared" si="2"/>
        <v/>
      </c>
      <c r="L539" s="49" t="str">
        <f t="shared" si="3"/>
        <v/>
      </c>
    </row>
    <row r="540" ht="15.75" customHeight="1">
      <c r="A540" s="89"/>
      <c r="B540" s="40"/>
      <c r="C540" s="40"/>
      <c r="D540" s="40"/>
      <c r="E540" s="40"/>
      <c r="F540" s="40"/>
      <c r="G540" s="40"/>
      <c r="H540" s="41"/>
      <c r="I540" s="90">
        <f t="shared" si="1"/>
        <v>0</v>
      </c>
      <c r="J540" s="91"/>
      <c r="K540" s="92" t="str">
        <f t="shared" si="2"/>
        <v/>
      </c>
      <c r="L540" s="49" t="str">
        <f t="shared" si="3"/>
        <v/>
      </c>
    </row>
    <row r="541" ht="15.75" customHeight="1">
      <c r="A541" s="89"/>
      <c r="B541" s="40"/>
      <c r="C541" s="40"/>
      <c r="D541" s="40"/>
      <c r="E541" s="40"/>
      <c r="F541" s="40"/>
      <c r="G541" s="40"/>
      <c r="H541" s="41"/>
      <c r="I541" s="90">
        <f t="shared" si="1"/>
        <v>0</v>
      </c>
      <c r="J541" s="91"/>
      <c r="K541" s="92" t="str">
        <f t="shared" si="2"/>
        <v/>
      </c>
      <c r="L541" s="49" t="str">
        <f t="shared" si="3"/>
        <v/>
      </c>
    </row>
    <row r="542" ht="15.75" customHeight="1">
      <c r="A542" s="89"/>
      <c r="B542" s="40"/>
      <c r="C542" s="40"/>
      <c r="D542" s="40"/>
      <c r="E542" s="40"/>
      <c r="F542" s="40"/>
      <c r="G542" s="40"/>
      <c r="H542" s="41"/>
      <c r="I542" s="90">
        <f t="shared" si="1"/>
        <v>0</v>
      </c>
      <c r="J542" s="91"/>
      <c r="K542" s="92" t="str">
        <f t="shared" si="2"/>
        <v/>
      </c>
      <c r="L542" s="49" t="str">
        <f t="shared" si="3"/>
        <v/>
      </c>
    </row>
    <row r="543" ht="15.75" customHeight="1">
      <c r="A543" s="89"/>
      <c r="B543" s="40"/>
      <c r="C543" s="40"/>
      <c r="D543" s="40"/>
      <c r="E543" s="40"/>
      <c r="F543" s="40"/>
      <c r="G543" s="40"/>
      <c r="H543" s="41"/>
      <c r="I543" s="90">
        <f t="shared" si="1"/>
        <v>0</v>
      </c>
      <c r="J543" s="91"/>
      <c r="K543" s="92" t="str">
        <f t="shared" si="2"/>
        <v/>
      </c>
      <c r="L543" s="49" t="str">
        <f t="shared" si="3"/>
        <v/>
      </c>
    </row>
    <row r="544" ht="15.75" customHeight="1">
      <c r="A544" s="89"/>
      <c r="B544" s="40"/>
      <c r="C544" s="40"/>
      <c r="D544" s="40"/>
      <c r="E544" s="40"/>
      <c r="F544" s="40"/>
      <c r="G544" s="40"/>
      <c r="H544" s="41"/>
      <c r="I544" s="90">
        <f t="shared" si="1"/>
        <v>0</v>
      </c>
      <c r="J544" s="91"/>
      <c r="K544" s="92" t="str">
        <f t="shared" si="2"/>
        <v/>
      </c>
      <c r="L544" s="49" t="str">
        <f t="shared" si="3"/>
        <v/>
      </c>
    </row>
    <row r="545" ht="15.75" customHeight="1">
      <c r="A545" s="89"/>
      <c r="B545" s="40"/>
      <c r="C545" s="40"/>
      <c r="D545" s="40"/>
      <c r="E545" s="40"/>
      <c r="F545" s="40"/>
      <c r="G545" s="40"/>
      <c r="H545" s="41"/>
      <c r="I545" s="90">
        <f t="shared" si="1"/>
        <v>0</v>
      </c>
      <c r="J545" s="91"/>
      <c r="K545" s="92" t="str">
        <f t="shared" si="2"/>
        <v/>
      </c>
      <c r="L545" s="49" t="str">
        <f t="shared" si="3"/>
        <v/>
      </c>
    </row>
    <row r="546" ht="15.75" customHeight="1">
      <c r="A546" s="89"/>
      <c r="B546" s="40"/>
      <c r="C546" s="40"/>
      <c r="D546" s="40"/>
      <c r="E546" s="40"/>
      <c r="F546" s="40"/>
      <c r="G546" s="40"/>
      <c r="H546" s="41"/>
      <c r="I546" s="90">
        <f t="shared" si="1"/>
        <v>0</v>
      </c>
      <c r="J546" s="91"/>
      <c r="K546" s="92" t="str">
        <f t="shared" si="2"/>
        <v/>
      </c>
      <c r="L546" s="49" t="str">
        <f t="shared" si="3"/>
        <v/>
      </c>
    </row>
    <row r="547" ht="15.75" customHeight="1">
      <c r="A547" s="89"/>
      <c r="B547" s="40"/>
      <c r="C547" s="40"/>
      <c r="D547" s="40"/>
      <c r="E547" s="40"/>
      <c r="F547" s="40"/>
      <c r="G547" s="40"/>
      <c r="H547" s="41"/>
      <c r="I547" s="90">
        <f t="shared" si="1"/>
        <v>0</v>
      </c>
      <c r="J547" s="91"/>
      <c r="K547" s="92" t="str">
        <f t="shared" si="2"/>
        <v/>
      </c>
      <c r="L547" s="49" t="str">
        <f t="shared" si="3"/>
        <v/>
      </c>
    </row>
    <row r="548" ht="15.75" customHeight="1">
      <c r="A548" s="89"/>
      <c r="B548" s="40"/>
      <c r="C548" s="40"/>
      <c r="D548" s="40"/>
      <c r="E548" s="40"/>
      <c r="F548" s="40"/>
      <c r="G548" s="40"/>
      <c r="H548" s="41"/>
      <c r="I548" s="90">
        <f t="shared" si="1"/>
        <v>0</v>
      </c>
      <c r="J548" s="91"/>
      <c r="K548" s="92" t="str">
        <f t="shared" si="2"/>
        <v/>
      </c>
      <c r="L548" s="49" t="str">
        <f t="shared" si="3"/>
        <v/>
      </c>
    </row>
    <row r="549" ht="15.75" customHeight="1">
      <c r="A549" s="89"/>
      <c r="B549" s="40"/>
      <c r="C549" s="40"/>
      <c r="D549" s="40"/>
      <c r="E549" s="40"/>
      <c r="F549" s="40"/>
      <c r="G549" s="40"/>
      <c r="H549" s="41"/>
      <c r="I549" s="90">
        <f t="shared" si="1"/>
        <v>0</v>
      </c>
      <c r="J549" s="91"/>
      <c r="K549" s="92" t="str">
        <f t="shared" si="2"/>
        <v/>
      </c>
      <c r="L549" s="49" t="str">
        <f t="shared" si="3"/>
        <v/>
      </c>
    </row>
    <row r="550" ht="15.75" customHeight="1">
      <c r="A550" s="89"/>
      <c r="B550" s="40"/>
      <c r="C550" s="40"/>
      <c r="D550" s="40"/>
      <c r="E550" s="40"/>
      <c r="F550" s="40"/>
      <c r="G550" s="40"/>
      <c r="H550" s="41"/>
      <c r="I550" s="90">
        <f t="shared" si="1"/>
        <v>0</v>
      </c>
      <c r="J550" s="91"/>
      <c r="K550" s="92" t="str">
        <f t="shared" si="2"/>
        <v/>
      </c>
      <c r="L550" s="49" t="str">
        <f t="shared" si="3"/>
        <v/>
      </c>
    </row>
    <row r="551" ht="15.75" customHeight="1">
      <c r="A551" s="89"/>
      <c r="B551" s="40"/>
      <c r="C551" s="40"/>
      <c r="D551" s="40"/>
      <c r="E551" s="40"/>
      <c r="F551" s="40"/>
      <c r="G551" s="40"/>
      <c r="H551" s="41"/>
      <c r="I551" s="90">
        <f t="shared" si="1"/>
        <v>0</v>
      </c>
      <c r="J551" s="91"/>
      <c r="K551" s="92" t="str">
        <f t="shared" si="2"/>
        <v/>
      </c>
      <c r="L551" s="49" t="str">
        <f t="shared" si="3"/>
        <v/>
      </c>
    </row>
    <row r="552" ht="15.75" customHeight="1">
      <c r="A552" s="89"/>
      <c r="B552" s="40"/>
      <c r="C552" s="40"/>
      <c r="D552" s="40"/>
      <c r="E552" s="40"/>
      <c r="F552" s="40"/>
      <c r="G552" s="40"/>
      <c r="H552" s="41"/>
      <c r="I552" s="90">
        <f t="shared" si="1"/>
        <v>0</v>
      </c>
      <c r="J552" s="91"/>
      <c r="K552" s="92" t="str">
        <f t="shared" si="2"/>
        <v/>
      </c>
      <c r="L552" s="49" t="str">
        <f t="shared" si="3"/>
        <v/>
      </c>
    </row>
    <row r="553" ht="15.75" customHeight="1">
      <c r="A553" s="89"/>
      <c r="B553" s="40"/>
      <c r="C553" s="40"/>
      <c r="D553" s="40"/>
      <c r="E553" s="40"/>
      <c r="F553" s="40"/>
      <c r="G553" s="40"/>
      <c r="H553" s="41"/>
      <c r="I553" s="90">
        <f t="shared" si="1"/>
        <v>0</v>
      </c>
      <c r="J553" s="91"/>
      <c r="K553" s="92" t="str">
        <f t="shared" si="2"/>
        <v/>
      </c>
      <c r="L553" s="49" t="str">
        <f t="shared" si="3"/>
        <v/>
      </c>
    </row>
    <row r="554" ht="15.75" customHeight="1">
      <c r="A554" s="89"/>
      <c r="B554" s="40"/>
      <c r="C554" s="40"/>
      <c r="D554" s="40"/>
      <c r="E554" s="40"/>
      <c r="F554" s="40"/>
      <c r="G554" s="40"/>
      <c r="H554" s="41"/>
      <c r="I554" s="90">
        <f t="shared" si="1"/>
        <v>0</v>
      </c>
      <c r="J554" s="91"/>
      <c r="K554" s="92" t="str">
        <f t="shared" si="2"/>
        <v/>
      </c>
      <c r="L554" s="49" t="str">
        <f t="shared" si="3"/>
        <v/>
      </c>
    </row>
    <row r="555" ht="15.75" customHeight="1">
      <c r="A555" s="89"/>
      <c r="B555" s="40"/>
      <c r="C555" s="40"/>
      <c r="D555" s="40"/>
      <c r="E555" s="40"/>
      <c r="F555" s="40"/>
      <c r="G555" s="40"/>
      <c r="H555" s="41"/>
      <c r="I555" s="90">
        <f t="shared" si="1"/>
        <v>0</v>
      </c>
      <c r="J555" s="91"/>
      <c r="K555" s="92" t="str">
        <f t="shared" si="2"/>
        <v/>
      </c>
      <c r="L555" s="49" t="str">
        <f t="shared" si="3"/>
        <v/>
      </c>
    </row>
    <row r="556" ht="15.75" customHeight="1">
      <c r="A556" s="89"/>
      <c r="B556" s="40"/>
      <c r="C556" s="40"/>
      <c r="D556" s="40"/>
      <c r="E556" s="40"/>
      <c r="F556" s="40"/>
      <c r="G556" s="40"/>
      <c r="H556" s="41"/>
      <c r="I556" s="90">
        <f t="shared" si="1"/>
        <v>0</v>
      </c>
      <c r="J556" s="91"/>
      <c r="K556" s="92" t="str">
        <f t="shared" si="2"/>
        <v/>
      </c>
      <c r="L556" s="49" t="str">
        <f t="shared" si="3"/>
        <v/>
      </c>
    </row>
    <row r="557" ht="15.75" customHeight="1">
      <c r="A557" s="89"/>
      <c r="B557" s="40"/>
      <c r="C557" s="40"/>
      <c r="D557" s="40"/>
      <c r="E557" s="40"/>
      <c r="F557" s="40"/>
      <c r="G557" s="40"/>
      <c r="H557" s="41"/>
      <c r="I557" s="90">
        <f t="shared" si="1"/>
        <v>0</v>
      </c>
      <c r="J557" s="91"/>
      <c r="K557" s="92" t="str">
        <f t="shared" si="2"/>
        <v/>
      </c>
      <c r="L557" s="49" t="str">
        <f t="shared" si="3"/>
        <v/>
      </c>
    </row>
    <row r="558" ht="15.75" customHeight="1">
      <c r="A558" s="89"/>
      <c r="B558" s="40"/>
      <c r="C558" s="40"/>
      <c r="D558" s="40"/>
      <c r="E558" s="40"/>
      <c r="F558" s="40"/>
      <c r="G558" s="40"/>
      <c r="H558" s="41"/>
      <c r="I558" s="90">
        <f t="shared" si="1"/>
        <v>0</v>
      </c>
      <c r="J558" s="91"/>
      <c r="K558" s="92" t="str">
        <f t="shared" si="2"/>
        <v/>
      </c>
      <c r="L558" s="49" t="str">
        <f t="shared" si="3"/>
        <v/>
      </c>
    </row>
    <row r="559" ht="15.75" customHeight="1">
      <c r="A559" s="89"/>
      <c r="B559" s="40"/>
      <c r="C559" s="40"/>
      <c r="D559" s="40"/>
      <c r="E559" s="40"/>
      <c r="F559" s="40"/>
      <c r="G559" s="40"/>
      <c r="H559" s="41"/>
      <c r="I559" s="90">
        <f t="shared" si="1"/>
        <v>0</v>
      </c>
      <c r="J559" s="91"/>
      <c r="K559" s="92" t="str">
        <f t="shared" si="2"/>
        <v/>
      </c>
      <c r="L559" s="49" t="str">
        <f t="shared" si="3"/>
        <v/>
      </c>
    </row>
    <row r="560" ht="15.75" customHeight="1">
      <c r="A560" s="89"/>
      <c r="B560" s="40"/>
      <c r="C560" s="40"/>
      <c r="D560" s="40"/>
      <c r="E560" s="40"/>
      <c r="F560" s="40"/>
      <c r="G560" s="40"/>
      <c r="H560" s="41"/>
      <c r="I560" s="90">
        <f t="shared" si="1"/>
        <v>0</v>
      </c>
      <c r="J560" s="91"/>
      <c r="K560" s="92" t="str">
        <f t="shared" si="2"/>
        <v/>
      </c>
      <c r="L560" s="49" t="str">
        <f t="shared" si="3"/>
        <v/>
      </c>
    </row>
    <row r="561" ht="15.75" customHeight="1">
      <c r="A561" s="89"/>
      <c r="B561" s="40"/>
      <c r="C561" s="40"/>
      <c r="D561" s="40"/>
      <c r="E561" s="40"/>
      <c r="F561" s="40"/>
      <c r="G561" s="40"/>
      <c r="H561" s="41"/>
      <c r="I561" s="90">
        <f t="shared" si="1"/>
        <v>0</v>
      </c>
      <c r="J561" s="91"/>
      <c r="K561" s="92" t="str">
        <f t="shared" si="2"/>
        <v/>
      </c>
      <c r="L561" s="49" t="str">
        <f t="shared" si="3"/>
        <v/>
      </c>
    </row>
    <row r="562" ht="15.75" customHeight="1">
      <c r="A562" s="89"/>
      <c r="B562" s="40"/>
      <c r="C562" s="40"/>
      <c r="D562" s="40"/>
      <c r="E562" s="40"/>
      <c r="F562" s="40"/>
      <c r="G562" s="40"/>
      <c r="H562" s="41"/>
      <c r="I562" s="90">
        <f t="shared" si="1"/>
        <v>0</v>
      </c>
      <c r="J562" s="91"/>
      <c r="K562" s="92" t="str">
        <f t="shared" si="2"/>
        <v/>
      </c>
      <c r="L562" s="49" t="str">
        <f t="shared" si="3"/>
        <v/>
      </c>
    </row>
    <row r="563" ht="15.75" customHeight="1">
      <c r="A563" s="89"/>
      <c r="B563" s="40"/>
      <c r="C563" s="40"/>
      <c r="D563" s="40"/>
      <c r="E563" s="40"/>
      <c r="F563" s="40"/>
      <c r="G563" s="40"/>
      <c r="H563" s="41"/>
      <c r="I563" s="90">
        <f t="shared" si="1"/>
        <v>0</v>
      </c>
      <c r="J563" s="91"/>
      <c r="K563" s="92" t="str">
        <f t="shared" si="2"/>
        <v/>
      </c>
      <c r="L563" s="49" t="str">
        <f t="shared" si="3"/>
        <v/>
      </c>
    </row>
    <row r="564" ht="15.75" customHeight="1">
      <c r="A564" s="89"/>
      <c r="B564" s="40"/>
      <c r="C564" s="40"/>
      <c r="D564" s="40"/>
      <c r="E564" s="40"/>
      <c r="F564" s="40"/>
      <c r="G564" s="40"/>
      <c r="H564" s="41"/>
      <c r="I564" s="90">
        <f t="shared" si="1"/>
        <v>0</v>
      </c>
      <c r="J564" s="91"/>
      <c r="K564" s="92" t="str">
        <f t="shared" si="2"/>
        <v/>
      </c>
      <c r="L564" s="49" t="str">
        <f t="shared" si="3"/>
        <v/>
      </c>
    </row>
    <row r="565" ht="15.75" customHeight="1">
      <c r="A565" s="89"/>
      <c r="B565" s="40"/>
      <c r="C565" s="40"/>
      <c r="D565" s="40"/>
      <c r="E565" s="40"/>
      <c r="F565" s="40"/>
      <c r="G565" s="40"/>
      <c r="H565" s="41"/>
      <c r="I565" s="90">
        <f t="shared" si="1"/>
        <v>0</v>
      </c>
      <c r="J565" s="91"/>
      <c r="K565" s="92" t="str">
        <f t="shared" si="2"/>
        <v/>
      </c>
      <c r="L565" s="49" t="str">
        <f t="shared" si="3"/>
        <v/>
      </c>
    </row>
    <row r="566" ht="15.75" customHeight="1">
      <c r="A566" s="89"/>
      <c r="B566" s="40"/>
      <c r="C566" s="40"/>
      <c r="D566" s="40"/>
      <c r="E566" s="40"/>
      <c r="F566" s="40"/>
      <c r="G566" s="40"/>
      <c r="H566" s="41"/>
      <c r="I566" s="90">
        <f t="shared" si="1"/>
        <v>0</v>
      </c>
      <c r="J566" s="91"/>
      <c r="K566" s="92" t="str">
        <f t="shared" si="2"/>
        <v/>
      </c>
      <c r="L566" s="49" t="str">
        <f t="shared" si="3"/>
        <v/>
      </c>
    </row>
    <row r="567" ht="15.75" customHeight="1">
      <c r="A567" s="89"/>
      <c r="B567" s="40"/>
      <c r="C567" s="40"/>
      <c r="D567" s="40"/>
      <c r="E567" s="40"/>
      <c r="F567" s="40"/>
      <c r="G567" s="40"/>
      <c r="H567" s="41"/>
      <c r="I567" s="90">
        <f t="shared" si="1"/>
        <v>0</v>
      </c>
      <c r="J567" s="91"/>
      <c r="K567" s="92" t="str">
        <f t="shared" si="2"/>
        <v/>
      </c>
      <c r="L567" s="49" t="str">
        <f t="shared" si="3"/>
        <v/>
      </c>
    </row>
    <row r="568" ht="15.75" customHeight="1">
      <c r="A568" s="89"/>
      <c r="B568" s="40"/>
      <c r="C568" s="40"/>
      <c r="D568" s="40"/>
      <c r="E568" s="40"/>
      <c r="F568" s="40"/>
      <c r="G568" s="40"/>
      <c r="H568" s="41"/>
      <c r="I568" s="90">
        <f t="shared" si="1"/>
        <v>0</v>
      </c>
      <c r="J568" s="91"/>
      <c r="K568" s="92" t="str">
        <f t="shared" si="2"/>
        <v/>
      </c>
      <c r="L568" s="49" t="str">
        <f t="shared" si="3"/>
        <v/>
      </c>
    </row>
    <row r="569" ht="15.75" customHeight="1">
      <c r="A569" s="89"/>
      <c r="B569" s="40"/>
      <c r="C569" s="40"/>
      <c r="D569" s="40"/>
      <c r="E569" s="40"/>
      <c r="F569" s="40"/>
      <c r="G569" s="40"/>
      <c r="H569" s="41"/>
      <c r="I569" s="90">
        <f t="shared" si="1"/>
        <v>0</v>
      </c>
      <c r="J569" s="91"/>
      <c r="K569" s="92" t="str">
        <f t="shared" si="2"/>
        <v/>
      </c>
      <c r="L569" s="49" t="str">
        <f t="shared" si="3"/>
        <v/>
      </c>
    </row>
    <row r="570" ht="15.75" customHeight="1">
      <c r="A570" s="89"/>
      <c r="B570" s="40"/>
      <c r="C570" s="40"/>
      <c r="D570" s="40"/>
      <c r="E570" s="40"/>
      <c r="F570" s="40"/>
      <c r="G570" s="40"/>
      <c r="H570" s="41"/>
      <c r="I570" s="90">
        <f t="shared" si="1"/>
        <v>0</v>
      </c>
      <c r="J570" s="91"/>
      <c r="K570" s="92" t="str">
        <f t="shared" si="2"/>
        <v/>
      </c>
      <c r="L570" s="49" t="str">
        <f t="shared" si="3"/>
        <v/>
      </c>
    </row>
    <row r="571" ht="15.75" customHeight="1">
      <c r="A571" s="89"/>
      <c r="B571" s="40"/>
      <c r="C571" s="40"/>
      <c r="D571" s="40"/>
      <c r="E571" s="40"/>
      <c r="F571" s="40"/>
      <c r="G571" s="40"/>
      <c r="H571" s="41"/>
      <c r="I571" s="90">
        <f t="shared" si="1"/>
        <v>0</v>
      </c>
      <c r="J571" s="91"/>
      <c r="K571" s="92" t="str">
        <f t="shared" si="2"/>
        <v/>
      </c>
      <c r="L571" s="49" t="str">
        <f t="shared" si="3"/>
        <v/>
      </c>
    </row>
    <row r="572" ht="15.75" customHeight="1">
      <c r="A572" s="89"/>
      <c r="B572" s="40"/>
      <c r="C572" s="40"/>
      <c r="D572" s="40"/>
      <c r="E572" s="40"/>
      <c r="F572" s="40"/>
      <c r="G572" s="40"/>
      <c r="H572" s="41"/>
      <c r="I572" s="90">
        <f t="shared" si="1"/>
        <v>0</v>
      </c>
      <c r="J572" s="91"/>
      <c r="K572" s="92" t="str">
        <f t="shared" si="2"/>
        <v/>
      </c>
      <c r="L572" s="49" t="str">
        <f t="shared" si="3"/>
        <v/>
      </c>
    </row>
    <row r="573" ht="15.75" customHeight="1">
      <c r="A573" s="89"/>
      <c r="B573" s="40"/>
      <c r="C573" s="40"/>
      <c r="D573" s="40"/>
      <c r="E573" s="40"/>
      <c r="F573" s="40"/>
      <c r="G573" s="40"/>
      <c r="H573" s="41"/>
      <c r="I573" s="90">
        <f t="shared" si="1"/>
        <v>0</v>
      </c>
      <c r="J573" s="91"/>
      <c r="K573" s="92" t="str">
        <f t="shared" si="2"/>
        <v/>
      </c>
      <c r="L573" s="49" t="str">
        <f t="shared" si="3"/>
        <v/>
      </c>
    </row>
    <row r="574" ht="15.75" customHeight="1">
      <c r="A574" s="89"/>
      <c r="B574" s="40"/>
      <c r="C574" s="40"/>
      <c r="D574" s="40"/>
      <c r="E574" s="40"/>
      <c r="F574" s="40"/>
      <c r="G574" s="40"/>
      <c r="H574" s="41"/>
      <c r="I574" s="90">
        <f t="shared" si="1"/>
        <v>0</v>
      </c>
      <c r="J574" s="91"/>
      <c r="K574" s="92" t="str">
        <f t="shared" si="2"/>
        <v/>
      </c>
      <c r="L574" s="49" t="str">
        <f t="shared" si="3"/>
        <v/>
      </c>
    </row>
    <row r="575" ht="15.75" customHeight="1">
      <c r="A575" s="89"/>
      <c r="B575" s="40"/>
      <c r="C575" s="40"/>
      <c r="D575" s="40"/>
      <c r="E575" s="40"/>
      <c r="F575" s="40"/>
      <c r="G575" s="40"/>
      <c r="H575" s="41"/>
      <c r="I575" s="90">
        <f t="shared" si="1"/>
        <v>0</v>
      </c>
      <c r="J575" s="91"/>
      <c r="K575" s="92" t="str">
        <f t="shared" si="2"/>
        <v/>
      </c>
      <c r="L575" s="49" t="str">
        <f t="shared" si="3"/>
        <v/>
      </c>
    </row>
    <row r="576" ht="15.75" customHeight="1">
      <c r="A576" s="89"/>
      <c r="B576" s="40"/>
      <c r="C576" s="40"/>
      <c r="D576" s="40"/>
      <c r="E576" s="40"/>
      <c r="F576" s="40"/>
      <c r="G576" s="40"/>
      <c r="H576" s="41"/>
      <c r="I576" s="90">
        <f t="shared" si="1"/>
        <v>0</v>
      </c>
      <c r="J576" s="91"/>
      <c r="K576" s="92" t="str">
        <f t="shared" si="2"/>
        <v/>
      </c>
      <c r="L576" s="49" t="str">
        <f t="shared" si="3"/>
        <v/>
      </c>
    </row>
    <row r="577" ht="15.75" customHeight="1">
      <c r="A577" s="89"/>
      <c r="B577" s="40"/>
      <c r="C577" s="40"/>
      <c r="D577" s="40"/>
      <c r="E577" s="40"/>
      <c r="F577" s="40"/>
      <c r="G577" s="40"/>
      <c r="H577" s="41"/>
      <c r="I577" s="90">
        <f t="shared" si="1"/>
        <v>0</v>
      </c>
      <c r="J577" s="91"/>
      <c r="K577" s="92" t="str">
        <f t="shared" si="2"/>
        <v/>
      </c>
      <c r="L577" s="49" t="str">
        <f t="shared" si="3"/>
        <v/>
      </c>
    </row>
    <row r="578" ht="15.75" customHeight="1">
      <c r="A578" s="89"/>
      <c r="B578" s="40"/>
      <c r="C578" s="40"/>
      <c r="D578" s="40"/>
      <c r="E578" s="40"/>
      <c r="F578" s="40"/>
      <c r="G578" s="40"/>
      <c r="H578" s="41"/>
      <c r="I578" s="90">
        <f t="shared" si="1"/>
        <v>0</v>
      </c>
      <c r="J578" s="91"/>
      <c r="K578" s="92" t="str">
        <f t="shared" si="2"/>
        <v/>
      </c>
      <c r="L578" s="49" t="str">
        <f t="shared" si="3"/>
        <v/>
      </c>
    </row>
    <row r="579" ht="15.75" customHeight="1">
      <c r="A579" s="89"/>
      <c r="B579" s="40"/>
      <c r="C579" s="40"/>
      <c r="D579" s="40"/>
      <c r="E579" s="40"/>
      <c r="F579" s="40"/>
      <c r="G579" s="40"/>
      <c r="H579" s="41"/>
      <c r="I579" s="90">
        <f t="shared" si="1"/>
        <v>0</v>
      </c>
      <c r="J579" s="91"/>
      <c r="K579" s="92" t="str">
        <f t="shared" si="2"/>
        <v/>
      </c>
      <c r="L579" s="49" t="str">
        <f t="shared" si="3"/>
        <v/>
      </c>
    </row>
    <row r="580" ht="15.75" customHeight="1">
      <c r="A580" s="89"/>
      <c r="B580" s="40"/>
      <c r="C580" s="40"/>
      <c r="D580" s="40"/>
      <c r="E580" s="40"/>
      <c r="F580" s="40"/>
      <c r="G580" s="40"/>
      <c r="H580" s="41"/>
      <c r="I580" s="90">
        <f t="shared" si="1"/>
        <v>0</v>
      </c>
      <c r="J580" s="91"/>
      <c r="K580" s="92" t="str">
        <f t="shared" si="2"/>
        <v/>
      </c>
      <c r="L580" s="49" t="str">
        <f t="shared" si="3"/>
        <v/>
      </c>
    </row>
    <row r="581" ht="15.75" customHeight="1">
      <c r="A581" s="89"/>
      <c r="B581" s="40"/>
      <c r="C581" s="40"/>
      <c r="D581" s="40"/>
      <c r="E581" s="40"/>
      <c r="F581" s="40"/>
      <c r="G581" s="40"/>
      <c r="H581" s="41"/>
      <c r="I581" s="90">
        <f t="shared" si="1"/>
        <v>0</v>
      </c>
      <c r="J581" s="91"/>
      <c r="K581" s="92" t="str">
        <f t="shared" si="2"/>
        <v/>
      </c>
      <c r="L581" s="49" t="str">
        <f t="shared" si="3"/>
        <v/>
      </c>
    </row>
    <row r="582" ht="15.75" customHeight="1">
      <c r="A582" s="89"/>
      <c r="B582" s="40"/>
      <c r="C582" s="40"/>
      <c r="D582" s="40"/>
      <c r="E582" s="40"/>
      <c r="F582" s="40"/>
      <c r="G582" s="40"/>
      <c r="H582" s="41"/>
      <c r="I582" s="90">
        <f t="shared" si="1"/>
        <v>0</v>
      </c>
      <c r="J582" s="91"/>
      <c r="K582" s="92" t="str">
        <f t="shared" si="2"/>
        <v/>
      </c>
      <c r="L582" s="49" t="str">
        <f t="shared" si="3"/>
        <v/>
      </c>
    </row>
    <row r="583" ht="15.75" customHeight="1">
      <c r="A583" s="89"/>
      <c r="B583" s="40"/>
      <c r="C583" s="40"/>
      <c r="D583" s="40"/>
      <c r="E583" s="40"/>
      <c r="F583" s="40"/>
      <c r="G583" s="40"/>
      <c r="H583" s="41"/>
      <c r="I583" s="90">
        <f t="shared" si="1"/>
        <v>0</v>
      </c>
      <c r="J583" s="91"/>
      <c r="K583" s="92" t="str">
        <f t="shared" si="2"/>
        <v/>
      </c>
      <c r="L583" s="49" t="str">
        <f t="shared" si="3"/>
        <v/>
      </c>
    </row>
    <row r="584" ht="15.75" customHeight="1">
      <c r="A584" s="89"/>
      <c r="B584" s="40"/>
      <c r="C584" s="40"/>
      <c r="D584" s="40"/>
      <c r="E584" s="40"/>
      <c r="F584" s="40"/>
      <c r="G584" s="40"/>
      <c r="H584" s="41"/>
      <c r="I584" s="90">
        <f t="shared" si="1"/>
        <v>0</v>
      </c>
      <c r="J584" s="91"/>
      <c r="K584" s="92" t="str">
        <f t="shared" si="2"/>
        <v/>
      </c>
      <c r="L584" s="49" t="str">
        <f t="shared" si="3"/>
        <v/>
      </c>
    </row>
    <row r="585" ht="15.75" customHeight="1">
      <c r="A585" s="89"/>
      <c r="B585" s="40"/>
      <c r="C585" s="40"/>
      <c r="D585" s="40"/>
      <c r="E585" s="40"/>
      <c r="F585" s="40"/>
      <c r="G585" s="40"/>
      <c r="H585" s="41"/>
      <c r="I585" s="90">
        <f t="shared" si="1"/>
        <v>0</v>
      </c>
      <c r="J585" s="91"/>
      <c r="K585" s="92" t="str">
        <f t="shared" si="2"/>
        <v/>
      </c>
      <c r="L585" s="49" t="str">
        <f t="shared" si="3"/>
        <v/>
      </c>
    </row>
    <row r="586" ht="15.75" customHeight="1">
      <c r="A586" s="89"/>
      <c r="B586" s="40"/>
      <c r="C586" s="40"/>
      <c r="D586" s="40"/>
      <c r="E586" s="40"/>
      <c r="F586" s="40"/>
      <c r="G586" s="40"/>
      <c r="H586" s="41"/>
      <c r="I586" s="90">
        <f t="shared" si="1"/>
        <v>0</v>
      </c>
      <c r="J586" s="91"/>
      <c r="K586" s="92" t="str">
        <f t="shared" si="2"/>
        <v/>
      </c>
      <c r="L586" s="49" t="str">
        <f t="shared" si="3"/>
        <v/>
      </c>
    </row>
    <row r="587" ht="15.75" customHeight="1">
      <c r="A587" s="89"/>
      <c r="B587" s="40"/>
      <c r="C587" s="40"/>
      <c r="D587" s="40"/>
      <c r="E587" s="40"/>
      <c r="F587" s="40"/>
      <c r="G587" s="40"/>
      <c r="H587" s="41"/>
      <c r="I587" s="90">
        <f t="shared" si="1"/>
        <v>0</v>
      </c>
      <c r="J587" s="91"/>
      <c r="K587" s="92" t="str">
        <f t="shared" si="2"/>
        <v/>
      </c>
      <c r="L587" s="49" t="str">
        <f t="shared" si="3"/>
        <v/>
      </c>
    </row>
    <row r="588" ht="15.75" customHeight="1">
      <c r="A588" s="89"/>
      <c r="B588" s="40"/>
      <c r="C588" s="40"/>
      <c r="D588" s="40"/>
      <c r="E588" s="40"/>
      <c r="F588" s="40"/>
      <c r="G588" s="40"/>
      <c r="H588" s="41"/>
      <c r="I588" s="90">
        <f t="shared" si="1"/>
        <v>0</v>
      </c>
      <c r="J588" s="91"/>
      <c r="K588" s="92" t="str">
        <f t="shared" si="2"/>
        <v/>
      </c>
      <c r="L588" s="49" t="str">
        <f t="shared" si="3"/>
        <v/>
      </c>
    </row>
    <row r="589" ht="15.75" customHeight="1">
      <c r="A589" s="89"/>
      <c r="B589" s="40"/>
      <c r="C589" s="40"/>
      <c r="D589" s="40"/>
      <c r="E589" s="40"/>
      <c r="F589" s="40"/>
      <c r="G589" s="40"/>
      <c r="H589" s="41"/>
      <c r="I589" s="90">
        <f t="shared" si="1"/>
        <v>0</v>
      </c>
      <c r="J589" s="91"/>
      <c r="K589" s="92" t="str">
        <f t="shared" si="2"/>
        <v/>
      </c>
      <c r="L589" s="49" t="str">
        <f t="shared" si="3"/>
        <v/>
      </c>
    </row>
    <row r="590" ht="15.75" customHeight="1">
      <c r="A590" s="89"/>
      <c r="B590" s="40"/>
      <c r="C590" s="40"/>
      <c r="D590" s="40"/>
      <c r="E590" s="40"/>
      <c r="F590" s="40"/>
      <c r="G590" s="40"/>
      <c r="H590" s="41"/>
      <c r="I590" s="90">
        <f t="shared" si="1"/>
        <v>0</v>
      </c>
      <c r="J590" s="91"/>
      <c r="K590" s="92" t="str">
        <f t="shared" si="2"/>
        <v/>
      </c>
      <c r="L590" s="49" t="str">
        <f t="shared" si="3"/>
        <v/>
      </c>
    </row>
    <row r="591" ht="15.75" customHeight="1">
      <c r="A591" s="89"/>
      <c r="B591" s="40"/>
      <c r="C591" s="40"/>
      <c r="D591" s="40"/>
      <c r="E591" s="40"/>
      <c r="F591" s="40"/>
      <c r="G591" s="40"/>
      <c r="H591" s="41"/>
      <c r="I591" s="90">
        <f t="shared" si="1"/>
        <v>0</v>
      </c>
      <c r="J591" s="91"/>
      <c r="K591" s="92" t="str">
        <f t="shared" si="2"/>
        <v/>
      </c>
      <c r="L591" s="49" t="str">
        <f t="shared" si="3"/>
        <v/>
      </c>
    </row>
    <row r="592" ht="15.75" customHeight="1">
      <c r="A592" s="89"/>
      <c r="B592" s="40"/>
      <c r="C592" s="40"/>
      <c r="D592" s="40"/>
      <c r="E592" s="40"/>
      <c r="F592" s="40"/>
      <c r="G592" s="40"/>
      <c r="H592" s="41"/>
      <c r="I592" s="90">
        <f t="shared" si="1"/>
        <v>0</v>
      </c>
      <c r="J592" s="91"/>
      <c r="K592" s="92" t="str">
        <f t="shared" si="2"/>
        <v/>
      </c>
      <c r="L592" s="49" t="str">
        <f t="shared" si="3"/>
        <v/>
      </c>
    </row>
    <row r="593" ht="15.75" customHeight="1">
      <c r="A593" s="89"/>
      <c r="B593" s="40"/>
      <c r="C593" s="40"/>
      <c r="D593" s="40"/>
      <c r="E593" s="40"/>
      <c r="F593" s="40"/>
      <c r="G593" s="40"/>
      <c r="H593" s="41"/>
      <c r="I593" s="90">
        <f t="shared" si="1"/>
        <v>0</v>
      </c>
      <c r="J593" s="91"/>
      <c r="K593" s="92" t="str">
        <f t="shared" si="2"/>
        <v/>
      </c>
      <c r="L593" s="49" t="str">
        <f t="shared" si="3"/>
        <v/>
      </c>
    </row>
    <row r="594" ht="15.75" customHeight="1">
      <c r="A594" s="89"/>
      <c r="B594" s="40"/>
      <c r="C594" s="40"/>
      <c r="D594" s="40"/>
      <c r="E594" s="40"/>
      <c r="F594" s="40"/>
      <c r="G594" s="40"/>
      <c r="H594" s="41"/>
      <c r="I594" s="90">
        <f t="shared" si="1"/>
        <v>0</v>
      </c>
      <c r="J594" s="91"/>
      <c r="K594" s="92" t="str">
        <f t="shared" si="2"/>
        <v/>
      </c>
      <c r="L594" s="49" t="str">
        <f t="shared" si="3"/>
        <v/>
      </c>
    </row>
    <row r="595" ht="15.75" customHeight="1">
      <c r="A595" s="89"/>
      <c r="B595" s="40"/>
      <c r="C595" s="40"/>
      <c r="D595" s="40"/>
      <c r="E595" s="40"/>
      <c r="F595" s="40"/>
      <c r="G595" s="40"/>
      <c r="H595" s="41"/>
      <c r="I595" s="90">
        <f t="shared" si="1"/>
        <v>0</v>
      </c>
      <c r="J595" s="91"/>
      <c r="K595" s="92" t="str">
        <f t="shared" si="2"/>
        <v/>
      </c>
      <c r="L595" s="49" t="str">
        <f t="shared" si="3"/>
        <v/>
      </c>
    </row>
    <row r="596" ht="15.75" customHeight="1">
      <c r="A596" s="89"/>
      <c r="B596" s="40"/>
      <c r="C596" s="40"/>
      <c r="D596" s="40"/>
      <c r="E596" s="40"/>
      <c r="F596" s="40"/>
      <c r="G596" s="40"/>
      <c r="H596" s="41"/>
      <c r="I596" s="90">
        <f t="shared" si="1"/>
        <v>0</v>
      </c>
      <c r="J596" s="91"/>
      <c r="K596" s="92" t="str">
        <f t="shared" si="2"/>
        <v/>
      </c>
      <c r="L596" s="49" t="str">
        <f t="shared" si="3"/>
        <v/>
      </c>
    </row>
    <row r="597" ht="15.75" customHeight="1">
      <c r="A597" s="89"/>
      <c r="B597" s="40"/>
      <c r="C597" s="40"/>
      <c r="D597" s="40"/>
      <c r="E597" s="40"/>
      <c r="F597" s="40"/>
      <c r="G597" s="40"/>
      <c r="H597" s="41"/>
      <c r="I597" s="90">
        <f t="shared" si="1"/>
        <v>0</v>
      </c>
      <c r="J597" s="91"/>
      <c r="K597" s="92" t="str">
        <f t="shared" si="2"/>
        <v/>
      </c>
      <c r="L597" s="49" t="str">
        <f t="shared" si="3"/>
        <v/>
      </c>
    </row>
    <row r="598" ht="15.75" customHeight="1">
      <c r="A598" s="89"/>
      <c r="B598" s="40"/>
      <c r="C598" s="40"/>
      <c r="D598" s="40"/>
      <c r="E598" s="40"/>
      <c r="F598" s="40"/>
      <c r="G598" s="40"/>
      <c r="H598" s="41"/>
      <c r="I598" s="90">
        <f t="shared" si="1"/>
        <v>0</v>
      </c>
      <c r="J598" s="91"/>
      <c r="K598" s="92" t="str">
        <f t="shared" si="2"/>
        <v/>
      </c>
      <c r="L598" s="49" t="str">
        <f t="shared" si="3"/>
        <v/>
      </c>
    </row>
    <row r="599" ht="15.75" customHeight="1">
      <c r="A599" s="89"/>
      <c r="B599" s="40"/>
      <c r="C599" s="40"/>
      <c r="D599" s="40"/>
      <c r="E599" s="40"/>
      <c r="F599" s="40"/>
      <c r="G599" s="40"/>
      <c r="H599" s="41"/>
      <c r="I599" s="90">
        <f t="shared" si="1"/>
        <v>0</v>
      </c>
      <c r="J599" s="91"/>
      <c r="K599" s="92" t="str">
        <f t="shared" si="2"/>
        <v/>
      </c>
      <c r="L599" s="49" t="str">
        <f t="shared" si="3"/>
        <v/>
      </c>
    </row>
    <row r="600" ht="15.75" customHeight="1">
      <c r="A600" s="89"/>
      <c r="B600" s="40"/>
      <c r="C600" s="40"/>
      <c r="D600" s="40"/>
      <c r="E600" s="40"/>
      <c r="F600" s="40"/>
      <c r="G600" s="40"/>
      <c r="H600" s="41"/>
      <c r="I600" s="90">
        <f t="shared" si="1"/>
        <v>0</v>
      </c>
      <c r="J600" s="91"/>
      <c r="K600" s="92" t="str">
        <f t="shared" si="2"/>
        <v/>
      </c>
      <c r="L600" s="49" t="str">
        <f t="shared" si="3"/>
        <v/>
      </c>
    </row>
    <row r="601" ht="15.75" customHeight="1">
      <c r="A601" s="89"/>
      <c r="B601" s="40"/>
      <c r="C601" s="40"/>
      <c r="D601" s="40"/>
      <c r="E601" s="40"/>
      <c r="F601" s="40"/>
      <c r="G601" s="40"/>
      <c r="H601" s="41"/>
      <c r="I601" s="90">
        <f t="shared" si="1"/>
        <v>0</v>
      </c>
      <c r="J601" s="91"/>
      <c r="K601" s="92" t="str">
        <f t="shared" si="2"/>
        <v/>
      </c>
      <c r="L601" s="49" t="str">
        <f t="shared" si="3"/>
        <v/>
      </c>
    </row>
    <row r="602" ht="15.75" customHeight="1">
      <c r="A602" s="89"/>
      <c r="B602" s="40"/>
      <c r="C602" s="40"/>
      <c r="D602" s="40"/>
      <c r="E602" s="40"/>
      <c r="F602" s="40"/>
      <c r="G602" s="40"/>
      <c r="H602" s="41"/>
      <c r="I602" s="90">
        <f t="shared" si="1"/>
        <v>0</v>
      </c>
      <c r="J602" s="91"/>
      <c r="K602" s="92" t="str">
        <f t="shared" si="2"/>
        <v/>
      </c>
      <c r="L602" s="49" t="str">
        <f t="shared" si="3"/>
        <v/>
      </c>
    </row>
    <row r="603" ht="15.75" customHeight="1">
      <c r="A603" s="89"/>
      <c r="B603" s="40"/>
      <c r="C603" s="40"/>
      <c r="D603" s="40"/>
      <c r="E603" s="40"/>
      <c r="F603" s="40"/>
      <c r="G603" s="40"/>
      <c r="H603" s="41"/>
      <c r="I603" s="90">
        <f t="shared" si="1"/>
        <v>0</v>
      </c>
      <c r="J603" s="91"/>
      <c r="K603" s="92" t="str">
        <f t="shared" si="2"/>
        <v/>
      </c>
      <c r="L603" s="49" t="str">
        <f t="shared" si="3"/>
        <v/>
      </c>
    </row>
    <row r="604" ht="15.75" customHeight="1">
      <c r="A604" s="89"/>
      <c r="B604" s="40"/>
      <c r="C604" s="40"/>
      <c r="D604" s="40"/>
      <c r="E604" s="40"/>
      <c r="F604" s="40"/>
      <c r="G604" s="40"/>
      <c r="H604" s="41"/>
      <c r="I604" s="90">
        <f t="shared" si="1"/>
        <v>0</v>
      </c>
      <c r="J604" s="91"/>
      <c r="K604" s="92" t="str">
        <f t="shared" si="2"/>
        <v/>
      </c>
      <c r="L604" s="49" t="str">
        <f t="shared" si="3"/>
        <v/>
      </c>
    </row>
    <row r="605" ht="15.75" customHeight="1">
      <c r="A605" s="89"/>
      <c r="B605" s="40"/>
      <c r="C605" s="40"/>
      <c r="D605" s="40"/>
      <c r="E605" s="40"/>
      <c r="F605" s="40"/>
      <c r="G605" s="40"/>
      <c r="H605" s="41"/>
      <c r="I605" s="90">
        <f t="shared" si="1"/>
        <v>0</v>
      </c>
      <c r="J605" s="91"/>
      <c r="K605" s="92" t="str">
        <f t="shared" si="2"/>
        <v/>
      </c>
      <c r="L605" s="49" t="str">
        <f t="shared" si="3"/>
        <v/>
      </c>
    </row>
    <row r="606" ht="15.75" customHeight="1">
      <c r="A606" s="89"/>
      <c r="B606" s="40"/>
      <c r="C606" s="40"/>
      <c r="D606" s="40"/>
      <c r="E606" s="40"/>
      <c r="F606" s="40"/>
      <c r="G606" s="40"/>
      <c r="H606" s="41"/>
      <c r="I606" s="90">
        <f t="shared" si="1"/>
        <v>0</v>
      </c>
      <c r="J606" s="91"/>
      <c r="K606" s="92" t="str">
        <f t="shared" si="2"/>
        <v/>
      </c>
      <c r="L606" s="49" t="str">
        <f t="shared" si="3"/>
        <v/>
      </c>
    </row>
    <row r="607" ht="15.75" customHeight="1">
      <c r="A607" s="89"/>
      <c r="B607" s="40"/>
      <c r="C607" s="40"/>
      <c r="D607" s="40"/>
      <c r="E607" s="40"/>
      <c r="F607" s="40"/>
      <c r="G607" s="40"/>
      <c r="H607" s="41"/>
      <c r="I607" s="90">
        <f t="shared" si="1"/>
        <v>0</v>
      </c>
      <c r="J607" s="91"/>
      <c r="K607" s="92" t="str">
        <f t="shared" si="2"/>
        <v/>
      </c>
      <c r="L607" s="49" t="str">
        <f t="shared" si="3"/>
        <v/>
      </c>
    </row>
    <row r="608" ht="15.75" customHeight="1">
      <c r="A608" s="89"/>
      <c r="B608" s="40"/>
      <c r="C608" s="40"/>
      <c r="D608" s="40"/>
      <c r="E608" s="40"/>
      <c r="F608" s="40"/>
      <c r="G608" s="40"/>
      <c r="H608" s="41"/>
      <c r="I608" s="90">
        <f t="shared" si="1"/>
        <v>0</v>
      </c>
      <c r="J608" s="91"/>
      <c r="K608" s="92" t="str">
        <f t="shared" si="2"/>
        <v/>
      </c>
      <c r="L608" s="49" t="str">
        <f t="shared" si="3"/>
        <v/>
      </c>
    </row>
    <row r="609" ht="15.75" customHeight="1">
      <c r="A609" s="89"/>
      <c r="B609" s="40"/>
      <c r="C609" s="40"/>
      <c r="D609" s="40"/>
      <c r="E609" s="40"/>
      <c r="F609" s="40"/>
      <c r="G609" s="40"/>
      <c r="H609" s="41"/>
      <c r="I609" s="90">
        <f t="shared" si="1"/>
        <v>0</v>
      </c>
      <c r="J609" s="91"/>
      <c r="K609" s="92" t="str">
        <f t="shared" si="2"/>
        <v/>
      </c>
      <c r="L609" s="49" t="str">
        <f t="shared" si="3"/>
        <v/>
      </c>
    </row>
    <row r="610" ht="15.75" customHeight="1">
      <c r="A610" s="89"/>
      <c r="B610" s="40"/>
      <c r="C610" s="40"/>
      <c r="D610" s="40"/>
      <c r="E610" s="40"/>
      <c r="F610" s="40"/>
      <c r="G610" s="40"/>
      <c r="H610" s="41"/>
      <c r="I610" s="90">
        <f t="shared" si="1"/>
        <v>0</v>
      </c>
      <c r="J610" s="91"/>
      <c r="K610" s="92" t="str">
        <f t="shared" si="2"/>
        <v/>
      </c>
      <c r="L610" s="49" t="str">
        <f t="shared" si="3"/>
        <v/>
      </c>
    </row>
    <row r="611" ht="15.75" customHeight="1">
      <c r="A611" s="89"/>
      <c r="B611" s="40"/>
      <c r="C611" s="40"/>
      <c r="D611" s="40"/>
      <c r="E611" s="40"/>
      <c r="F611" s="40"/>
      <c r="G611" s="40"/>
      <c r="H611" s="41"/>
      <c r="I611" s="90">
        <f t="shared" si="1"/>
        <v>0</v>
      </c>
      <c r="J611" s="91"/>
      <c r="K611" s="92" t="str">
        <f t="shared" si="2"/>
        <v/>
      </c>
      <c r="L611" s="49" t="str">
        <f t="shared" si="3"/>
        <v/>
      </c>
    </row>
    <row r="612" ht="15.75" customHeight="1">
      <c r="A612" s="89"/>
      <c r="B612" s="40"/>
      <c r="C612" s="40"/>
      <c r="D612" s="40"/>
      <c r="E612" s="40"/>
      <c r="F612" s="40"/>
      <c r="G612" s="40"/>
      <c r="H612" s="41"/>
      <c r="I612" s="90">
        <f t="shared" si="1"/>
        <v>0</v>
      </c>
      <c r="J612" s="91"/>
      <c r="K612" s="92" t="str">
        <f t="shared" si="2"/>
        <v/>
      </c>
      <c r="L612" s="49" t="str">
        <f t="shared" si="3"/>
        <v/>
      </c>
    </row>
    <row r="613" ht="15.75" customHeight="1">
      <c r="A613" s="89"/>
      <c r="B613" s="40"/>
      <c r="C613" s="40"/>
      <c r="D613" s="40"/>
      <c r="E613" s="40"/>
      <c r="F613" s="40"/>
      <c r="G613" s="40"/>
      <c r="H613" s="41"/>
      <c r="I613" s="90">
        <f t="shared" si="1"/>
        <v>0</v>
      </c>
      <c r="J613" s="91"/>
      <c r="K613" s="92" t="str">
        <f t="shared" si="2"/>
        <v/>
      </c>
      <c r="L613" s="49" t="str">
        <f t="shared" si="3"/>
        <v/>
      </c>
    </row>
    <row r="614" ht="15.75" customHeight="1">
      <c r="A614" s="89"/>
      <c r="B614" s="40"/>
      <c r="C614" s="40"/>
      <c r="D614" s="40"/>
      <c r="E614" s="40"/>
      <c r="F614" s="40"/>
      <c r="G614" s="40"/>
      <c r="H614" s="41"/>
      <c r="I614" s="90">
        <f t="shared" si="1"/>
        <v>0</v>
      </c>
      <c r="J614" s="91"/>
      <c r="K614" s="92" t="str">
        <f t="shared" si="2"/>
        <v/>
      </c>
      <c r="L614" s="49" t="str">
        <f t="shared" si="3"/>
        <v/>
      </c>
    </row>
    <row r="615" ht="15.75" customHeight="1">
      <c r="A615" s="89"/>
      <c r="B615" s="40"/>
      <c r="C615" s="40"/>
      <c r="D615" s="40"/>
      <c r="E615" s="40"/>
      <c r="F615" s="40"/>
      <c r="G615" s="40"/>
      <c r="H615" s="41"/>
      <c r="I615" s="90">
        <f t="shared" si="1"/>
        <v>0</v>
      </c>
      <c r="J615" s="91"/>
      <c r="K615" s="92" t="str">
        <f t="shared" si="2"/>
        <v/>
      </c>
      <c r="L615" s="49" t="str">
        <f t="shared" si="3"/>
        <v/>
      </c>
    </row>
    <row r="616" ht="15.75" customHeight="1">
      <c r="A616" s="89"/>
      <c r="B616" s="40"/>
      <c r="C616" s="40"/>
      <c r="D616" s="40"/>
      <c r="E616" s="40"/>
      <c r="F616" s="40"/>
      <c r="G616" s="40"/>
      <c r="H616" s="41"/>
      <c r="I616" s="90">
        <f t="shared" si="1"/>
        <v>0</v>
      </c>
      <c r="J616" s="91"/>
      <c r="K616" s="92" t="str">
        <f t="shared" si="2"/>
        <v/>
      </c>
      <c r="L616" s="49" t="str">
        <f t="shared" si="3"/>
        <v/>
      </c>
    </row>
    <row r="617" ht="15.75" customHeight="1">
      <c r="A617" s="89"/>
      <c r="B617" s="40"/>
      <c r="C617" s="40"/>
      <c r="D617" s="40"/>
      <c r="E617" s="40"/>
      <c r="F617" s="40"/>
      <c r="G617" s="40"/>
      <c r="H617" s="41"/>
      <c r="I617" s="90">
        <f t="shared" si="1"/>
        <v>0</v>
      </c>
      <c r="J617" s="91"/>
      <c r="K617" s="92" t="str">
        <f t="shared" si="2"/>
        <v/>
      </c>
      <c r="L617" s="49" t="str">
        <f t="shared" si="3"/>
        <v/>
      </c>
    </row>
    <row r="618" ht="15.75" customHeight="1">
      <c r="A618" s="89"/>
      <c r="B618" s="40"/>
      <c r="C618" s="40"/>
      <c r="D618" s="40"/>
      <c r="E618" s="40"/>
      <c r="F618" s="40"/>
      <c r="G618" s="40"/>
      <c r="H618" s="41"/>
      <c r="I618" s="90">
        <f t="shared" si="1"/>
        <v>0</v>
      </c>
      <c r="J618" s="91"/>
      <c r="K618" s="92" t="str">
        <f t="shared" si="2"/>
        <v/>
      </c>
      <c r="L618" s="49" t="str">
        <f t="shared" si="3"/>
        <v/>
      </c>
    </row>
    <row r="619" ht="15.75" customHeight="1">
      <c r="A619" s="89"/>
      <c r="B619" s="40"/>
      <c r="C619" s="40"/>
      <c r="D619" s="40"/>
      <c r="E619" s="40"/>
      <c r="F619" s="40"/>
      <c r="G619" s="40"/>
      <c r="H619" s="41"/>
      <c r="I619" s="90">
        <f t="shared" si="1"/>
        <v>0</v>
      </c>
      <c r="J619" s="91"/>
      <c r="K619" s="92" t="str">
        <f t="shared" si="2"/>
        <v/>
      </c>
      <c r="L619" s="49" t="str">
        <f t="shared" si="3"/>
        <v/>
      </c>
    </row>
    <row r="620" ht="15.75" customHeight="1">
      <c r="A620" s="89"/>
      <c r="B620" s="40"/>
      <c r="C620" s="40"/>
      <c r="D620" s="40"/>
      <c r="E620" s="40"/>
      <c r="F620" s="40"/>
      <c r="G620" s="40"/>
      <c r="H620" s="41"/>
      <c r="I620" s="90">
        <f t="shared" si="1"/>
        <v>0</v>
      </c>
      <c r="J620" s="91"/>
      <c r="K620" s="92" t="str">
        <f t="shared" si="2"/>
        <v/>
      </c>
      <c r="L620" s="49" t="str">
        <f t="shared" si="3"/>
        <v/>
      </c>
    </row>
    <row r="621" ht="15.75" customHeight="1">
      <c r="A621" s="89"/>
      <c r="B621" s="40"/>
      <c r="C621" s="40"/>
      <c r="D621" s="40"/>
      <c r="E621" s="40"/>
      <c r="F621" s="40"/>
      <c r="G621" s="40"/>
      <c r="H621" s="41"/>
      <c r="I621" s="90">
        <f t="shared" si="1"/>
        <v>0</v>
      </c>
      <c r="J621" s="91"/>
      <c r="K621" s="92" t="str">
        <f t="shared" si="2"/>
        <v/>
      </c>
      <c r="L621" s="49" t="str">
        <f t="shared" si="3"/>
        <v/>
      </c>
    </row>
    <row r="622" ht="15.75" customHeight="1">
      <c r="A622" s="89"/>
      <c r="B622" s="40"/>
      <c r="C622" s="40"/>
      <c r="D622" s="40"/>
      <c r="E622" s="40"/>
      <c r="F622" s="40"/>
      <c r="G622" s="40"/>
      <c r="H622" s="41"/>
      <c r="I622" s="90">
        <f t="shared" si="1"/>
        <v>0</v>
      </c>
      <c r="J622" s="91"/>
      <c r="K622" s="92" t="str">
        <f t="shared" si="2"/>
        <v/>
      </c>
      <c r="L622" s="49" t="str">
        <f t="shared" si="3"/>
        <v/>
      </c>
    </row>
    <row r="623" ht="15.75" customHeight="1">
      <c r="A623" s="89"/>
      <c r="B623" s="40"/>
      <c r="C623" s="40"/>
      <c r="D623" s="40"/>
      <c r="E623" s="40"/>
      <c r="F623" s="40"/>
      <c r="G623" s="40"/>
      <c r="H623" s="41"/>
      <c r="I623" s="90">
        <f t="shared" si="1"/>
        <v>0</v>
      </c>
      <c r="J623" s="91"/>
      <c r="K623" s="92" t="str">
        <f t="shared" si="2"/>
        <v/>
      </c>
      <c r="L623" s="49" t="str">
        <f t="shared" si="3"/>
        <v/>
      </c>
    </row>
    <row r="624" ht="15.75" customHeight="1">
      <c r="A624" s="89"/>
      <c r="B624" s="40"/>
      <c r="C624" s="40"/>
      <c r="D624" s="40"/>
      <c r="E624" s="40"/>
      <c r="F624" s="40"/>
      <c r="G624" s="40"/>
      <c r="H624" s="41"/>
      <c r="I624" s="90">
        <f t="shared" si="1"/>
        <v>0</v>
      </c>
      <c r="J624" s="91"/>
      <c r="K624" s="92" t="str">
        <f t="shared" si="2"/>
        <v/>
      </c>
      <c r="L624" s="49" t="str">
        <f t="shared" si="3"/>
        <v/>
      </c>
    </row>
    <row r="625" ht="15.75" customHeight="1">
      <c r="A625" s="89"/>
      <c r="B625" s="40"/>
      <c r="C625" s="40"/>
      <c r="D625" s="40"/>
      <c r="E625" s="40"/>
      <c r="F625" s="40"/>
      <c r="G625" s="40"/>
      <c r="H625" s="41"/>
      <c r="I625" s="90">
        <f t="shared" si="1"/>
        <v>0</v>
      </c>
      <c r="J625" s="91"/>
      <c r="K625" s="92" t="str">
        <f t="shared" si="2"/>
        <v/>
      </c>
      <c r="L625" s="49" t="str">
        <f t="shared" si="3"/>
        <v/>
      </c>
    </row>
    <row r="626" ht="15.75" customHeight="1">
      <c r="A626" s="89"/>
      <c r="B626" s="40"/>
      <c r="C626" s="40"/>
      <c r="D626" s="40"/>
      <c r="E626" s="40"/>
      <c r="F626" s="40"/>
      <c r="G626" s="40"/>
      <c r="H626" s="41"/>
      <c r="I626" s="90">
        <f t="shared" si="1"/>
        <v>0</v>
      </c>
      <c r="J626" s="91"/>
      <c r="K626" s="92" t="str">
        <f t="shared" si="2"/>
        <v/>
      </c>
      <c r="L626" s="49" t="str">
        <f t="shared" si="3"/>
        <v/>
      </c>
    </row>
    <row r="627" ht="15.75" customHeight="1">
      <c r="A627" s="89"/>
      <c r="B627" s="40"/>
      <c r="C627" s="40"/>
      <c r="D627" s="40"/>
      <c r="E627" s="40"/>
      <c r="F627" s="40"/>
      <c r="G627" s="40"/>
      <c r="H627" s="41"/>
      <c r="I627" s="90">
        <f t="shared" si="1"/>
        <v>0</v>
      </c>
      <c r="J627" s="91"/>
      <c r="K627" s="92" t="str">
        <f t="shared" si="2"/>
        <v/>
      </c>
      <c r="L627" s="49" t="str">
        <f t="shared" si="3"/>
        <v/>
      </c>
    </row>
    <row r="628" ht="15.75" customHeight="1">
      <c r="A628" s="89"/>
      <c r="B628" s="40"/>
      <c r="C628" s="40"/>
      <c r="D628" s="40"/>
      <c r="E628" s="40"/>
      <c r="F628" s="40"/>
      <c r="G628" s="40"/>
      <c r="H628" s="41"/>
      <c r="I628" s="90">
        <f t="shared" si="1"/>
        <v>0</v>
      </c>
      <c r="J628" s="91"/>
      <c r="K628" s="92" t="str">
        <f t="shared" si="2"/>
        <v/>
      </c>
      <c r="L628" s="49" t="str">
        <f t="shared" si="3"/>
        <v/>
      </c>
    </row>
    <row r="629" ht="15.75" customHeight="1">
      <c r="A629" s="89"/>
      <c r="B629" s="40"/>
      <c r="C629" s="40"/>
      <c r="D629" s="40"/>
      <c r="E629" s="40"/>
      <c r="F629" s="40"/>
      <c r="G629" s="40"/>
      <c r="H629" s="41"/>
      <c r="I629" s="90">
        <f t="shared" si="1"/>
        <v>0</v>
      </c>
      <c r="J629" s="91"/>
      <c r="K629" s="92" t="str">
        <f t="shared" si="2"/>
        <v/>
      </c>
      <c r="L629" s="49" t="str">
        <f t="shared" si="3"/>
        <v/>
      </c>
    </row>
    <row r="630" ht="15.75" customHeight="1">
      <c r="A630" s="89"/>
      <c r="B630" s="40"/>
      <c r="C630" s="40"/>
      <c r="D630" s="40"/>
      <c r="E630" s="40"/>
      <c r="F630" s="40"/>
      <c r="G630" s="40"/>
      <c r="H630" s="41"/>
      <c r="I630" s="90">
        <f t="shared" si="1"/>
        <v>0</v>
      </c>
      <c r="J630" s="91"/>
      <c r="K630" s="92" t="str">
        <f t="shared" si="2"/>
        <v/>
      </c>
      <c r="L630" s="49" t="str">
        <f t="shared" si="3"/>
        <v/>
      </c>
    </row>
    <row r="631" ht="15.75" customHeight="1">
      <c r="A631" s="89"/>
      <c r="B631" s="40"/>
      <c r="C631" s="40"/>
      <c r="D631" s="40"/>
      <c r="E631" s="40"/>
      <c r="F631" s="40"/>
      <c r="G631" s="40"/>
      <c r="H631" s="41"/>
      <c r="I631" s="90">
        <f t="shared" si="1"/>
        <v>0</v>
      </c>
      <c r="J631" s="91"/>
      <c r="K631" s="92" t="str">
        <f t="shared" si="2"/>
        <v/>
      </c>
      <c r="L631" s="49" t="str">
        <f t="shared" si="3"/>
        <v/>
      </c>
    </row>
    <row r="632" ht="15.75" customHeight="1">
      <c r="A632" s="89"/>
      <c r="B632" s="40"/>
      <c r="C632" s="40"/>
      <c r="D632" s="40"/>
      <c r="E632" s="40"/>
      <c r="F632" s="40"/>
      <c r="G632" s="40"/>
      <c r="H632" s="41"/>
      <c r="I632" s="90">
        <f t="shared" si="1"/>
        <v>0</v>
      </c>
      <c r="J632" s="91"/>
      <c r="K632" s="92" t="str">
        <f t="shared" si="2"/>
        <v/>
      </c>
      <c r="L632" s="49" t="str">
        <f t="shared" si="3"/>
        <v/>
      </c>
    </row>
    <row r="633" ht="15.75" customHeight="1">
      <c r="A633" s="89"/>
      <c r="B633" s="40"/>
      <c r="C633" s="40"/>
      <c r="D633" s="40"/>
      <c r="E633" s="40"/>
      <c r="F633" s="40"/>
      <c r="G633" s="40"/>
      <c r="H633" s="41"/>
      <c r="I633" s="90">
        <f t="shared" si="1"/>
        <v>0</v>
      </c>
      <c r="J633" s="91"/>
      <c r="K633" s="92" t="str">
        <f t="shared" si="2"/>
        <v/>
      </c>
      <c r="L633" s="49" t="str">
        <f t="shared" si="3"/>
        <v/>
      </c>
    </row>
    <row r="634" ht="15.75" customHeight="1">
      <c r="A634" s="89"/>
      <c r="B634" s="40"/>
      <c r="C634" s="40"/>
      <c r="D634" s="40"/>
      <c r="E634" s="40"/>
      <c r="F634" s="40"/>
      <c r="G634" s="40"/>
      <c r="H634" s="41"/>
      <c r="I634" s="90">
        <f t="shared" si="1"/>
        <v>0</v>
      </c>
      <c r="J634" s="91"/>
      <c r="K634" s="92" t="str">
        <f t="shared" si="2"/>
        <v/>
      </c>
      <c r="L634" s="49" t="str">
        <f t="shared" si="3"/>
        <v/>
      </c>
    </row>
    <row r="635" ht="15.75" customHeight="1">
      <c r="A635" s="89"/>
      <c r="B635" s="40"/>
      <c r="C635" s="40"/>
      <c r="D635" s="40"/>
      <c r="E635" s="40"/>
      <c r="F635" s="40"/>
      <c r="G635" s="40"/>
      <c r="H635" s="41"/>
      <c r="I635" s="90">
        <f t="shared" si="1"/>
        <v>0</v>
      </c>
      <c r="J635" s="91"/>
      <c r="K635" s="92" t="str">
        <f t="shared" si="2"/>
        <v/>
      </c>
      <c r="L635" s="49" t="str">
        <f t="shared" si="3"/>
        <v/>
      </c>
    </row>
    <row r="636" ht="15.75" customHeight="1">
      <c r="A636" s="89"/>
      <c r="B636" s="40"/>
      <c r="C636" s="40"/>
      <c r="D636" s="40"/>
      <c r="E636" s="40"/>
      <c r="F636" s="40"/>
      <c r="G636" s="40"/>
      <c r="H636" s="41"/>
      <c r="I636" s="90">
        <f t="shared" si="1"/>
        <v>0</v>
      </c>
      <c r="J636" s="91"/>
      <c r="K636" s="92" t="str">
        <f t="shared" si="2"/>
        <v/>
      </c>
      <c r="L636" s="49" t="str">
        <f t="shared" si="3"/>
        <v/>
      </c>
    </row>
    <row r="637" ht="15.75" customHeight="1">
      <c r="A637" s="89"/>
      <c r="B637" s="40"/>
      <c r="C637" s="40"/>
      <c r="D637" s="40"/>
      <c r="E637" s="40"/>
      <c r="F637" s="40"/>
      <c r="G637" s="40"/>
      <c r="H637" s="41"/>
      <c r="I637" s="90">
        <f t="shared" si="1"/>
        <v>0</v>
      </c>
      <c r="J637" s="91"/>
      <c r="K637" s="92" t="str">
        <f t="shared" si="2"/>
        <v/>
      </c>
      <c r="L637" s="49" t="str">
        <f t="shared" si="3"/>
        <v/>
      </c>
    </row>
    <row r="638" ht="15.75" customHeight="1">
      <c r="A638" s="89"/>
      <c r="B638" s="40"/>
      <c r="C638" s="40"/>
      <c r="D638" s="40"/>
      <c r="E638" s="40"/>
      <c r="F638" s="40"/>
      <c r="G638" s="40"/>
      <c r="H638" s="41"/>
      <c r="I638" s="90">
        <f t="shared" si="1"/>
        <v>0</v>
      </c>
      <c r="J638" s="91"/>
      <c r="K638" s="92" t="str">
        <f t="shared" si="2"/>
        <v/>
      </c>
      <c r="L638" s="49" t="str">
        <f t="shared" si="3"/>
        <v/>
      </c>
    </row>
    <row r="639" ht="15.75" customHeight="1">
      <c r="A639" s="89"/>
      <c r="B639" s="40"/>
      <c r="C639" s="40"/>
      <c r="D639" s="40"/>
      <c r="E639" s="40"/>
      <c r="F639" s="40"/>
      <c r="G639" s="40"/>
      <c r="H639" s="41"/>
      <c r="I639" s="90">
        <f t="shared" si="1"/>
        <v>0</v>
      </c>
      <c r="J639" s="91"/>
      <c r="K639" s="92" t="str">
        <f t="shared" si="2"/>
        <v/>
      </c>
      <c r="L639" s="49" t="str">
        <f t="shared" si="3"/>
        <v/>
      </c>
    </row>
    <row r="640" ht="15.75" customHeight="1">
      <c r="A640" s="89"/>
      <c r="B640" s="40"/>
      <c r="C640" s="40"/>
      <c r="D640" s="40"/>
      <c r="E640" s="40"/>
      <c r="F640" s="40"/>
      <c r="G640" s="40"/>
      <c r="H640" s="41"/>
      <c r="I640" s="90">
        <f t="shared" si="1"/>
        <v>0</v>
      </c>
      <c r="J640" s="91"/>
      <c r="K640" s="92" t="str">
        <f t="shared" si="2"/>
        <v/>
      </c>
      <c r="L640" s="49" t="str">
        <f t="shared" si="3"/>
        <v/>
      </c>
    </row>
    <row r="641" ht="15.75" customHeight="1">
      <c r="A641" s="89"/>
      <c r="B641" s="40"/>
      <c r="C641" s="40"/>
      <c r="D641" s="40"/>
      <c r="E641" s="40"/>
      <c r="F641" s="40"/>
      <c r="G641" s="40"/>
      <c r="H641" s="41"/>
      <c r="I641" s="90">
        <f t="shared" si="1"/>
        <v>0</v>
      </c>
      <c r="J641" s="91"/>
      <c r="K641" s="92" t="str">
        <f t="shared" si="2"/>
        <v/>
      </c>
      <c r="L641" s="49" t="str">
        <f t="shared" si="3"/>
        <v/>
      </c>
    </row>
    <row r="642" ht="15.75" customHeight="1">
      <c r="A642" s="89"/>
      <c r="B642" s="40"/>
      <c r="C642" s="40"/>
      <c r="D642" s="40"/>
      <c r="E642" s="40"/>
      <c r="F642" s="40"/>
      <c r="G642" s="40"/>
      <c r="H642" s="41"/>
      <c r="I642" s="90">
        <f t="shared" si="1"/>
        <v>0</v>
      </c>
      <c r="J642" s="91"/>
      <c r="K642" s="92" t="str">
        <f t="shared" si="2"/>
        <v/>
      </c>
      <c r="L642" s="49" t="str">
        <f t="shared" si="3"/>
        <v/>
      </c>
    </row>
    <row r="643" ht="15.75" customHeight="1">
      <c r="A643" s="89"/>
      <c r="B643" s="40"/>
      <c r="C643" s="40"/>
      <c r="D643" s="40"/>
      <c r="E643" s="40"/>
      <c r="F643" s="40"/>
      <c r="G643" s="40"/>
      <c r="H643" s="41"/>
      <c r="I643" s="90">
        <f t="shared" si="1"/>
        <v>0</v>
      </c>
      <c r="J643" s="91"/>
      <c r="K643" s="92" t="str">
        <f t="shared" si="2"/>
        <v/>
      </c>
      <c r="L643" s="49" t="str">
        <f t="shared" si="3"/>
        <v/>
      </c>
    </row>
    <row r="644" ht="15.75" customHeight="1">
      <c r="A644" s="89"/>
      <c r="B644" s="40"/>
      <c r="C644" s="40"/>
      <c r="D644" s="40"/>
      <c r="E644" s="40"/>
      <c r="F644" s="40"/>
      <c r="G644" s="40"/>
      <c r="H644" s="41"/>
      <c r="I644" s="90">
        <f t="shared" si="1"/>
        <v>0</v>
      </c>
      <c r="J644" s="91"/>
      <c r="K644" s="92" t="str">
        <f t="shared" si="2"/>
        <v/>
      </c>
      <c r="L644" s="49" t="str">
        <f t="shared" si="3"/>
        <v/>
      </c>
    </row>
    <row r="645" ht="15.75" customHeight="1">
      <c r="A645" s="89"/>
      <c r="B645" s="40"/>
      <c r="C645" s="40"/>
      <c r="D645" s="40"/>
      <c r="E645" s="40"/>
      <c r="F645" s="40"/>
      <c r="G645" s="40"/>
      <c r="H645" s="41"/>
      <c r="I645" s="90">
        <f t="shared" si="1"/>
        <v>0</v>
      </c>
      <c r="J645" s="91"/>
      <c r="K645" s="92" t="str">
        <f t="shared" si="2"/>
        <v/>
      </c>
      <c r="L645" s="49" t="str">
        <f t="shared" si="3"/>
        <v/>
      </c>
    </row>
    <row r="646" ht="15.75" customHeight="1">
      <c r="A646" s="89"/>
      <c r="B646" s="40"/>
      <c r="C646" s="40"/>
      <c r="D646" s="40"/>
      <c r="E646" s="40"/>
      <c r="F646" s="40"/>
      <c r="G646" s="40"/>
      <c r="H646" s="41"/>
      <c r="I646" s="90">
        <f t="shared" si="1"/>
        <v>0</v>
      </c>
      <c r="J646" s="91"/>
      <c r="K646" s="92" t="str">
        <f t="shared" si="2"/>
        <v/>
      </c>
      <c r="L646" s="49" t="str">
        <f t="shared" si="3"/>
        <v/>
      </c>
    </row>
    <row r="647" ht="15.75" customHeight="1">
      <c r="A647" s="89"/>
      <c r="B647" s="40"/>
      <c r="C647" s="40"/>
      <c r="D647" s="40"/>
      <c r="E647" s="40"/>
      <c r="F647" s="40"/>
      <c r="G647" s="40"/>
      <c r="H647" s="41"/>
      <c r="I647" s="90">
        <f t="shared" si="1"/>
        <v>0</v>
      </c>
      <c r="J647" s="91"/>
      <c r="K647" s="92" t="str">
        <f t="shared" si="2"/>
        <v/>
      </c>
      <c r="L647" s="49" t="str">
        <f t="shared" si="3"/>
        <v/>
      </c>
    </row>
    <row r="648" ht="15.75" customHeight="1">
      <c r="A648" s="89"/>
      <c r="B648" s="40"/>
      <c r="C648" s="40"/>
      <c r="D648" s="40"/>
      <c r="E648" s="40"/>
      <c r="F648" s="40"/>
      <c r="G648" s="40"/>
      <c r="H648" s="41"/>
      <c r="I648" s="90">
        <f t="shared" si="1"/>
        <v>0</v>
      </c>
      <c r="J648" s="91"/>
      <c r="K648" s="92" t="str">
        <f t="shared" si="2"/>
        <v/>
      </c>
      <c r="L648" s="49" t="str">
        <f t="shared" si="3"/>
        <v/>
      </c>
    </row>
    <row r="649" ht="15.75" customHeight="1">
      <c r="A649" s="89"/>
      <c r="B649" s="40"/>
      <c r="C649" s="40"/>
      <c r="D649" s="40"/>
      <c r="E649" s="40"/>
      <c r="F649" s="40"/>
      <c r="G649" s="40"/>
      <c r="H649" s="41"/>
      <c r="I649" s="90">
        <f t="shared" si="1"/>
        <v>0</v>
      </c>
      <c r="J649" s="91"/>
      <c r="K649" s="92" t="str">
        <f t="shared" si="2"/>
        <v/>
      </c>
      <c r="L649" s="49" t="str">
        <f t="shared" si="3"/>
        <v/>
      </c>
    </row>
    <row r="650" ht="15.75" customHeight="1">
      <c r="A650" s="89"/>
      <c r="B650" s="40"/>
      <c r="C650" s="40"/>
      <c r="D650" s="40"/>
      <c r="E650" s="40"/>
      <c r="F650" s="40"/>
      <c r="G650" s="40"/>
      <c r="H650" s="41"/>
      <c r="I650" s="90">
        <f t="shared" si="1"/>
        <v>0</v>
      </c>
      <c r="J650" s="91"/>
      <c r="K650" s="92" t="str">
        <f t="shared" si="2"/>
        <v/>
      </c>
      <c r="L650" s="49" t="str">
        <f t="shared" si="3"/>
        <v/>
      </c>
    </row>
    <row r="651" ht="15.75" customHeight="1">
      <c r="A651" s="89"/>
      <c r="B651" s="40"/>
      <c r="C651" s="40"/>
      <c r="D651" s="40"/>
      <c r="E651" s="40"/>
      <c r="F651" s="40"/>
      <c r="G651" s="40"/>
      <c r="H651" s="41"/>
      <c r="I651" s="90">
        <f t="shared" si="1"/>
        <v>0</v>
      </c>
      <c r="J651" s="91"/>
      <c r="K651" s="92" t="str">
        <f t="shared" si="2"/>
        <v/>
      </c>
      <c r="L651" s="49" t="str">
        <f t="shared" si="3"/>
        <v/>
      </c>
    </row>
    <row r="652" ht="15.75" customHeight="1">
      <c r="A652" s="89"/>
      <c r="B652" s="40"/>
      <c r="C652" s="40"/>
      <c r="D652" s="40"/>
      <c r="E652" s="40"/>
      <c r="F652" s="40"/>
      <c r="G652" s="40"/>
      <c r="H652" s="41"/>
      <c r="I652" s="90">
        <f t="shared" si="1"/>
        <v>0</v>
      </c>
      <c r="J652" s="91"/>
      <c r="K652" s="92" t="str">
        <f t="shared" si="2"/>
        <v/>
      </c>
      <c r="L652" s="49" t="str">
        <f t="shared" si="3"/>
        <v/>
      </c>
    </row>
    <row r="653" ht="15.75" customHeight="1">
      <c r="A653" s="89"/>
      <c r="B653" s="40"/>
      <c r="C653" s="40"/>
      <c r="D653" s="40"/>
      <c r="E653" s="40"/>
      <c r="F653" s="40"/>
      <c r="G653" s="40"/>
      <c r="H653" s="41"/>
      <c r="I653" s="90">
        <f t="shared" si="1"/>
        <v>0</v>
      </c>
      <c r="J653" s="91"/>
      <c r="K653" s="92" t="str">
        <f t="shared" si="2"/>
        <v/>
      </c>
      <c r="L653" s="49" t="str">
        <f t="shared" si="3"/>
        <v/>
      </c>
    </row>
    <row r="654" ht="15.75" customHeight="1">
      <c r="A654" s="89"/>
      <c r="B654" s="40"/>
      <c r="C654" s="40"/>
      <c r="D654" s="40"/>
      <c r="E654" s="40"/>
      <c r="F654" s="40"/>
      <c r="G654" s="40"/>
      <c r="H654" s="41"/>
      <c r="I654" s="90">
        <f t="shared" si="1"/>
        <v>0</v>
      </c>
      <c r="J654" s="91"/>
      <c r="K654" s="92" t="str">
        <f t="shared" si="2"/>
        <v/>
      </c>
      <c r="L654" s="49" t="str">
        <f t="shared" si="3"/>
        <v/>
      </c>
    </row>
    <row r="655" ht="15.75" customHeight="1">
      <c r="A655" s="89"/>
      <c r="B655" s="40"/>
      <c r="C655" s="40"/>
      <c r="D655" s="40"/>
      <c r="E655" s="40"/>
      <c r="F655" s="40"/>
      <c r="G655" s="40"/>
      <c r="H655" s="41"/>
      <c r="I655" s="90">
        <f t="shared" si="1"/>
        <v>0</v>
      </c>
      <c r="J655" s="91"/>
      <c r="K655" s="92" t="str">
        <f t="shared" si="2"/>
        <v/>
      </c>
      <c r="L655" s="49" t="str">
        <f t="shared" si="3"/>
        <v/>
      </c>
    </row>
    <row r="656" ht="15.75" customHeight="1">
      <c r="A656" s="89"/>
      <c r="B656" s="40"/>
      <c r="C656" s="40"/>
      <c r="D656" s="40"/>
      <c r="E656" s="40"/>
      <c r="F656" s="40"/>
      <c r="G656" s="40"/>
      <c r="H656" s="41"/>
      <c r="I656" s="90">
        <f t="shared" si="1"/>
        <v>0</v>
      </c>
      <c r="J656" s="91"/>
      <c r="K656" s="92" t="str">
        <f t="shared" si="2"/>
        <v/>
      </c>
      <c r="L656" s="49" t="str">
        <f t="shared" si="3"/>
        <v/>
      </c>
    </row>
    <row r="657" ht="15.75" customHeight="1">
      <c r="A657" s="89"/>
      <c r="B657" s="40"/>
      <c r="C657" s="40"/>
      <c r="D657" s="40"/>
      <c r="E657" s="40"/>
      <c r="F657" s="40"/>
      <c r="G657" s="40"/>
      <c r="H657" s="41"/>
      <c r="I657" s="90">
        <f t="shared" si="1"/>
        <v>0</v>
      </c>
      <c r="J657" s="91"/>
      <c r="K657" s="92" t="str">
        <f t="shared" si="2"/>
        <v/>
      </c>
      <c r="L657" s="49" t="str">
        <f t="shared" si="3"/>
        <v/>
      </c>
    </row>
    <row r="658" ht="15.75" customHeight="1">
      <c r="A658" s="89"/>
      <c r="B658" s="40"/>
      <c r="C658" s="40"/>
      <c r="D658" s="40"/>
      <c r="E658" s="40"/>
      <c r="F658" s="40"/>
      <c r="G658" s="40"/>
      <c r="H658" s="41"/>
      <c r="I658" s="90">
        <f t="shared" si="1"/>
        <v>0</v>
      </c>
      <c r="J658" s="91"/>
      <c r="K658" s="92" t="str">
        <f t="shared" si="2"/>
        <v/>
      </c>
      <c r="L658" s="49" t="str">
        <f t="shared" si="3"/>
        <v/>
      </c>
    </row>
    <row r="659" ht="15.75" customHeight="1">
      <c r="A659" s="89"/>
      <c r="B659" s="40"/>
      <c r="C659" s="40"/>
      <c r="D659" s="40"/>
      <c r="E659" s="40"/>
      <c r="F659" s="40"/>
      <c r="G659" s="40"/>
      <c r="H659" s="41"/>
      <c r="I659" s="90">
        <f t="shared" si="1"/>
        <v>0</v>
      </c>
      <c r="J659" s="91"/>
      <c r="K659" s="92" t="str">
        <f t="shared" si="2"/>
        <v/>
      </c>
      <c r="L659" s="49" t="str">
        <f t="shared" si="3"/>
        <v/>
      </c>
    </row>
    <row r="660" ht="15.75" customHeight="1">
      <c r="A660" s="89"/>
      <c r="B660" s="40"/>
      <c r="C660" s="40"/>
      <c r="D660" s="40"/>
      <c r="E660" s="40"/>
      <c r="F660" s="40"/>
      <c r="G660" s="40"/>
      <c r="H660" s="41"/>
      <c r="I660" s="90">
        <f t="shared" si="1"/>
        <v>0</v>
      </c>
      <c r="J660" s="91"/>
      <c r="K660" s="92" t="str">
        <f t="shared" si="2"/>
        <v/>
      </c>
      <c r="L660" s="49" t="str">
        <f t="shared" si="3"/>
        <v/>
      </c>
    </row>
    <row r="661" ht="15.75" customHeight="1">
      <c r="A661" s="89"/>
      <c r="B661" s="40"/>
      <c r="C661" s="40"/>
      <c r="D661" s="40"/>
      <c r="E661" s="40"/>
      <c r="F661" s="40"/>
      <c r="G661" s="40"/>
      <c r="H661" s="41"/>
      <c r="I661" s="90">
        <f t="shared" si="1"/>
        <v>0</v>
      </c>
      <c r="J661" s="91"/>
      <c r="K661" s="92" t="str">
        <f t="shared" si="2"/>
        <v/>
      </c>
      <c r="L661" s="49" t="str">
        <f t="shared" si="3"/>
        <v/>
      </c>
    </row>
    <row r="662" ht="15.75" customHeight="1">
      <c r="A662" s="89"/>
      <c r="B662" s="40"/>
      <c r="C662" s="40"/>
      <c r="D662" s="40"/>
      <c r="E662" s="40"/>
      <c r="F662" s="40"/>
      <c r="G662" s="40"/>
      <c r="H662" s="41"/>
      <c r="I662" s="90">
        <f t="shared" si="1"/>
        <v>0</v>
      </c>
      <c r="J662" s="91"/>
      <c r="K662" s="92" t="str">
        <f t="shared" si="2"/>
        <v/>
      </c>
      <c r="L662" s="49" t="str">
        <f t="shared" si="3"/>
        <v/>
      </c>
    </row>
    <row r="663" ht="15.75" customHeight="1">
      <c r="A663" s="89"/>
      <c r="B663" s="40"/>
      <c r="C663" s="40"/>
      <c r="D663" s="40"/>
      <c r="E663" s="40"/>
      <c r="F663" s="40"/>
      <c r="G663" s="40"/>
      <c r="H663" s="41"/>
      <c r="I663" s="90">
        <f t="shared" si="1"/>
        <v>0</v>
      </c>
      <c r="J663" s="91"/>
      <c r="K663" s="92" t="str">
        <f t="shared" si="2"/>
        <v/>
      </c>
      <c r="L663" s="49" t="str">
        <f t="shared" si="3"/>
        <v/>
      </c>
    </row>
    <row r="664" ht="15.75" customHeight="1">
      <c r="A664" s="89"/>
      <c r="B664" s="40"/>
      <c r="C664" s="40"/>
      <c r="D664" s="40"/>
      <c r="E664" s="40"/>
      <c r="F664" s="40"/>
      <c r="G664" s="40"/>
      <c r="H664" s="41"/>
      <c r="I664" s="90">
        <f t="shared" si="1"/>
        <v>0</v>
      </c>
      <c r="J664" s="91"/>
      <c r="K664" s="92" t="str">
        <f t="shared" si="2"/>
        <v/>
      </c>
      <c r="L664" s="49" t="str">
        <f t="shared" si="3"/>
        <v/>
      </c>
    </row>
    <row r="665" ht="15.75" customHeight="1">
      <c r="A665" s="89"/>
      <c r="B665" s="40"/>
      <c r="C665" s="40"/>
      <c r="D665" s="40"/>
      <c r="E665" s="40"/>
      <c r="F665" s="40"/>
      <c r="G665" s="40"/>
      <c r="H665" s="41"/>
      <c r="I665" s="90">
        <f t="shared" si="1"/>
        <v>0</v>
      </c>
      <c r="J665" s="91"/>
      <c r="K665" s="92" t="str">
        <f t="shared" si="2"/>
        <v/>
      </c>
      <c r="L665" s="49" t="str">
        <f t="shared" si="3"/>
        <v/>
      </c>
    </row>
    <row r="666" ht="15.75" customHeight="1">
      <c r="A666" s="89"/>
      <c r="B666" s="40"/>
      <c r="C666" s="40"/>
      <c r="D666" s="40"/>
      <c r="E666" s="40"/>
      <c r="F666" s="40"/>
      <c r="G666" s="40"/>
      <c r="H666" s="41"/>
      <c r="I666" s="90">
        <f t="shared" si="1"/>
        <v>0</v>
      </c>
      <c r="J666" s="91"/>
      <c r="K666" s="92" t="str">
        <f t="shared" si="2"/>
        <v/>
      </c>
      <c r="L666" s="49" t="str">
        <f t="shared" si="3"/>
        <v/>
      </c>
    </row>
    <row r="667" ht="15.75" customHeight="1">
      <c r="A667" s="89"/>
      <c r="B667" s="40"/>
      <c r="C667" s="40"/>
      <c r="D667" s="40"/>
      <c r="E667" s="40"/>
      <c r="F667" s="40"/>
      <c r="G667" s="40"/>
      <c r="H667" s="41"/>
      <c r="I667" s="90">
        <f t="shared" si="1"/>
        <v>0</v>
      </c>
      <c r="J667" s="91"/>
      <c r="K667" s="92" t="str">
        <f t="shared" si="2"/>
        <v/>
      </c>
      <c r="L667" s="49" t="str">
        <f t="shared" si="3"/>
        <v/>
      </c>
    </row>
    <row r="668" ht="15.75" customHeight="1">
      <c r="A668" s="89"/>
      <c r="B668" s="40"/>
      <c r="C668" s="40"/>
      <c r="D668" s="40"/>
      <c r="E668" s="40"/>
      <c r="F668" s="40"/>
      <c r="G668" s="40"/>
      <c r="H668" s="41"/>
      <c r="I668" s="90">
        <f t="shared" si="1"/>
        <v>0</v>
      </c>
      <c r="J668" s="91"/>
      <c r="K668" s="92" t="str">
        <f t="shared" si="2"/>
        <v/>
      </c>
      <c r="L668" s="49" t="str">
        <f t="shared" si="3"/>
        <v/>
      </c>
    </row>
    <row r="669" ht="15.75" customHeight="1">
      <c r="A669" s="89"/>
      <c r="B669" s="40"/>
      <c r="C669" s="40"/>
      <c r="D669" s="40"/>
      <c r="E669" s="40"/>
      <c r="F669" s="40"/>
      <c r="G669" s="40"/>
      <c r="H669" s="41"/>
      <c r="I669" s="90">
        <f t="shared" si="1"/>
        <v>0</v>
      </c>
      <c r="J669" s="91"/>
      <c r="K669" s="92" t="str">
        <f t="shared" si="2"/>
        <v/>
      </c>
      <c r="L669" s="49" t="str">
        <f t="shared" si="3"/>
        <v/>
      </c>
    </row>
    <row r="670" ht="15.75" customHeight="1">
      <c r="A670" s="89"/>
      <c r="B670" s="40"/>
      <c r="C670" s="40"/>
      <c r="D670" s="40"/>
      <c r="E670" s="40"/>
      <c r="F670" s="40"/>
      <c r="G670" s="40"/>
      <c r="H670" s="41"/>
      <c r="I670" s="90">
        <f t="shared" si="1"/>
        <v>0</v>
      </c>
      <c r="J670" s="91"/>
      <c r="K670" s="92" t="str">
        <f t="shared" si="2"/>
        <v/>
      </c>
      <c r="L670" s="49" t="str">
        <f t="shared" si="3"/>
        <v/>
      </c>
    </row>
    <row r="671" ht="15.75" customHeight="1">
      <c r="A671" s="89"/>
      <c r="B671" s="40"/>
      <c r="C671" s="40"/>
      <c r="D671" s="40"/>
      <c r="E671" s="40"/>
      <c r="F671" s="40"/>
      <c r="G671" s="40"/>
      <c r="H671" s="41"/>
      <c r="I671" s="90">
        <f t="shared" si="1"/>
        <v>0</v>
      </c>
      <c r="J671" s="91"/>
      <c r="K671" s="92" t="str">
        <f t="shared" si="2"/>
        <v/>
      </c>
      <c r="L671" s="49" t="str">
        <f t="shared" si="3"/>
        <v/>
      </c>
    </row>
    <row r="672" ht="15.75" customHeight="1">
      <c r="A672" s="89"/>
      <c r="B672" s="40"/>
      <c r="C672" s="40"/>
      <c r="D672" s="40"/>
      <c r="E672" s="40"/>
      <c r="F672" s="40"/>
      <c r="G672" s="40"/>
      <c r="H672" s="41"/>
      <c r="I672" s="90">
        <f t="shared" si="1"/>
        <v>0</v>
      </c>
      <c r="J672" s="91"/>
      <c r="K672" s="92" t="str">
        <f t="shared" si="2"/>
        <v/>
      </c>
      <c r="L672" s="49" t="str">
        <f t="shared" si="3"/>
        <v/>
      </c>
    </row>
    <row r="673" ht="15.75" customHeight="1">
      <c r="A673" s="89"/>
      <c r="B673" s="40"/>
      <c r="C673" s="40"/>
      <c r="D673" s="40"/>
      <c r="E673" s="40"/>
      <c r="F673" s="40"/>
      <c r="G673" s="40"/>
      <c r="H673" s="41"/>
      <c r="I673" s="90">
        <f t="shared" si="1"/>
        <v>0</v>
      </c>
      <c r="J673" s="91"/>
      <c r="K673" s="92" t="str">
        <f t="shared" si="2"/>
        <v/>
      </c>
      <c r="L673" s="49" t="str">
        <f t="shared" si="3"/>
        <v/>
      </c>
    </row>
    <row r="674" ht="15.75" customHeight="1">
      <c r="A674" s="89"/>
      <c r="B674" s="40"/>
      <c r="C674" s="40"/>
      <c r="D674" s="40"/>
      <c r="E674" s="40"/>
      <c r="F674" s="40"/>
      <c r="G674" s="40"/>
      <c r="H674" s="41"/>
      <c r="I674" s="90">
        <f t="shared" si="1"/>
        <v>0</v>
      </c>
      <c r="J674" s="91"/>
      <c r="K674" s="92" t="str">
        <f t="shared" si="2"/>
        <v/>
      </c>
      <c r="L674" s="49" t="str">
        <f t="shared" si="3"/>
        <v/>
      </c>
    </row>
    <row r="675" ht="15.75" customHeight="1">
      <c r="A675" s="89"/>
      <c r="B675" s="40"/>
      <c r="C675" s="40"/>
      <c r="D675" s="40"/>
      <c r="E675" s="40"/>
      <c r="F675" s="40"/>
      <c r="G675" s="40"/>
      <c r="H675" s="41"/>
      <c r="I675" s="90">
        <f t="shared" si="1"/>
        <v>0</v>
      </c>
      <c r="J675" s="91"/>
      <c r="K675" s="92" t="str">
        <f t="shared" si="2"/>
        <v/>
      </c>
      <c r="L675" s="49" t="str">
        <f t="shared" si="3"/>
        <v/>
      </c>
    </row>
    <row r="676" ht="15.75" customHeight="1">
      <c r="A676" s="89"/>
      <c r="B676" s="40"/>
      <c r="C676" s="40"/>
      <c r="D676" s="40"/>
      <c r="E676" s="40"/>
      <c r="F676" s="40"/>
      <c r="G676" s="40"/>
      <c r="H676" s="41"/>
      <c r="I676" s="90">
        <f t="shared" si="1"/>
        <v>0</v>
      </c>
      <c r="J676" s="91"/>
      <c r="K676" s="92" t="str">
        <f t="shared" si="2"/>
        <v/>
      </c>
      <c r="L676" s="49" t="str">
        <f t="shared" si="3"/>
        <v/>
      </c>
    </row>
    <row r="677" ht="15.75" customHeight="1">
      <c r="A677" s="89"/>
      <c r="B677" s="40"/>
      <c r="C677" s="40"/>
      <c r="D677" s="40"/>
      <c r="E677" s="40"/>
      <c r="F677" s="40"/>
      <c r="G677" s="40"/>
      <c r="H677" s="41"/>
      <c r="I677" s="90">
        <f t="shared" si="1"/>
        <v>0</v>
      </c>
      <c r="J677" s="91"/>
      <c r="K677" s="92" t="str">
        <f t="shared" si="2"/>
        <v/>
      </c>
      <c r="L677" s="49" t="str">
        <f t="shared" si="3"/>
        <v/>
      </c>
    </row>
    <row r="678" ht="15.75" customHeight="1">
      <c r="A678" s="89"/>
      <c r="B678" s="40"/>
      <c r="C678" s="40"/>
      <c r="D678" s="40"/>
      <c r="E678" s="40"/>
      <c r="F678" s="40"/>
      <c r="G678" s="40"/>
      <c r="H678" s="41"/>
      <c r="I678" s="90">
        <f t="shared" si="1"/>
        <v>0</v>
      </c>
      <c r="J678" s="91"/>
      <c r="K678" s="92" t="str">
        <f t="shared" si="2"/>
        <v/>
      </c>
      <c r="L678" s="49" t="str">
        <f t="shared" si="3"/>
        <v/>
      </c>
    </row>
    <row r="679" ht="15.75" customHeight="1">
      <c r="A679" s="89"/>
      <c r="B679" s="40"/>
      <c r="C679" s="40"/>
      <c r="D679" s="40"/>
      <c r="E679" s="40"/>
      <c r="F679" s="40"/>
      <c r="G679" s="40"/>
      <c r="H679" s="41"/>
      <c r="I679" s="90">
        <f t="shared" si="1"/>
        <v>0</v>
      </c>
      <c r="J679" s="91"/>
      <c r="K679" s="92" t="str">
        <f t="shared" si="2"/>
        <v/>
      </c>
      <c r="L679" s="49" t="str">
        <f t="shared" si="3"/>
        <v/>
      </c>
    </row>
    <row r="680" ht="15.75" customHeight="1">
      <c r="A680" s="89"/>
      <c r="B680" s="40"/>
      <c r="C680" s="40"/>
      <c r="D680" s="40"/>
      <c r="E680" s="40"/>
      <c r="F680" s="40"/>
      <c r="G680" s="40"/>
      <c r="H680" s="41"/>
      <c r="I680" s="90">
        <f t="shared" si="1"/>
        <v>0</v>
      </c>
      <c r="J680" s="91"/>
      <c r="K680" s="92" t="str">
        <f t="shared" si="2"/>
        <v/>
      </c>
      <c r="L680" s="49" t="str">
        <f t="shared" si="3"/>
        <v/>
      </c>
    </row>
    <row r="681" ht="15.75" customHeight="1">
      <c r="A681" s="89"/>
      <c r="B681" s="40"/>
      <c r="C681" s="40"/>
      <c r="D681" s="40"/>
      <c r="E681" s="40"/>
      <c r="F681" s="40"/>
      <c r="G681" s="40"/>
      <c r="H681" s="41"/>
      <c r="I681" s="90">
        <f t="shared" si="1"/>
        <v>0</v>
      </c>
      <c r="J681" s="91"/>
      <c r="K681" s="92" t="str">
        <f t="shared" si="2"/>
        <v/>
      </c>
      <c r="L681" s="49" t="str">
        <f t="shared" si="3"/>
        <v/>
      </c>
    </row>
    <row r="682" ht="15.75" customHeight="1">
      <c r="A682" s="89"/>
      <c r="B682" s="40"/>
      <c r="C682" s="40"/>
      <c r="D682" s="40"/>
      <c r="E682" s="40"/>
      <c r="F682" s="40"/>
      <c r="G682" s="40"/>
      <c r="H682" s="41"/>
      <c r="I682" s="90">
        <f t="shared" si="1"/>
        <v>0</v>
      </c>
      <c r="J682" s="91"/>
      <c r="K682" s="92" t="str">
        <f t="shared" si="2"/>
        <v/>
      </c>
      <c r="L682" s="49" t="str">
        <f t="shared" si="3"/>
        <v/>
      </c>
    </row>
    <row r="683" ht="15.75" customHeight="1">
      <c r="A683" s="89"/>
      <c r="B683" s="40"/>
      <c r="C683" s="40"/>
      <c r="D683" s="40"/>
      <c r="E683" s="40"/>
      <c r="F683" s="40"/>
      <c r="G683" s="40"/>
      <c r="H683" s="41"/>
      <c r="I683" s="90">
        <f t="shared" si="1"/>
        <v>0</v>
      </c>
      <c r="J683" s="91"/>
      <c r="K683" s="92" t="str">
        <f t="shared" si="2"/>
        <v/>
      </c>
      <c r="L683" s="49" t="str">
        <f t="shared" si="3"/>
        <v/>
      </c>
    </row>
    <row r="684" ht="15.75" customHeight="1">
      <c r="A684" s="89"/>
      <c r="B684" s="40"/>
      <c r="C684" s="40"/>
      <c r="D684" s="40"/>
      <c r="E684" s="40"/>
      <c r="F684" s="40"/>
      <c r="G684" s="40"/>
      <c r="H684" s="41"/>
      <c r="I684" s="90">
        <f t="shared" si="1"/>
        <v>0</v>
      </c>
      <c r="J684" s="91"/>
      <c r="K684" s="92" t="str">
        <f t="shared" si="2"/>
        <v/>
      </c>
      <c r="L684" s="49" t="str">
        <f t="shared" si="3"/>
        <v/>
      </c>
    </row>
    <row r="685" ht="15.75" customHeight="1">
      <c r="A685" s="89"/>
      <c r="B685" s="40"/>
      <c r="C685" s="40"/>
      <c r="D685" s="40"/>
      <c r="E685" s="40"/>
      <c r="F685" s="40"/>
      <c r="G685" s="40"/>
      <c r="H685" s="41"/>
      <c r="I685" s="90">
        <f t="shared" si="1"/>
        <v>0</v>
      </c>
      <c r="J685" s="91"/>
      <c r="K685" s="92" t="str">
        <f t="shared" si="2"/>
        <v/>
      </c>
      <c r="L685" s="49" t="str">
        <f t="shared" si="3"/>
        <v/>
      </c>
    </row>
    <row r="686" ht="15.75" customHeight="1">
      <c r="A686" s="89"/>
      <c r="B686" s="40"/>
      <c r="C686" s="40"/>
      <c r="D686" s="40"/>
      <c r="E686" s="40"/>
      <c r="F686" s="40"/>
      <c r="G686" s="40"/>
      <c r="H686" s="41"/>
      <c r="I686" s="90">
        <f t="shared" si="1"/>
        <v>0</v>
      </c>
      <c r="J686" s="91"/>
      <c r="K686" s="92" t="str">
        <f t="shared" si="2"/>
        <v/>
      </c>
      <c r="L686" s="49" t="str">
        <f t="shared" si="3"/>
        <v/>
      </c>
    </row>
    <row r="687" ht="15.75" customHeight="1">
      <c r="A687" s="89"/>
      <c r="B687" s="40"/>
      <c r="C687" s="40"/>
      <c r="D687" s="40"/>
      <c r="E687" s="40"/>
      <c r="F687" s="40"/>
      <c r="G687" s="40"/>
      <c r="H687" s="41"/>
      <c r="I687" s="90">
        <f t="shared" si="1"/>
        <v>0</v>
      </c>
      <c r="J687" s="91"/>
      <c r="K687" s="92" t="str">
        <f t="shared" si="2"/>
        <v/>
      </c>
      <c r="L687" s="49" t="str">
        <f t="shared" si="3"/>
        <v/>
      </c>
    </row>
    <row r="688" ht="15.75" customHeight="1">
      <c r="A688" s="89"/>
      <c r="B688" s="40"/>
      <c r="C688" s="40"/>
      <c r="D688" s="40"/>
      <c r="E688" s="40"/>
      <c r="F688" s="40"/>
      <c r="G688" s="40"/>
      <c r="H688" s="41"/>
      <c r="I688" s="90">
        <f t="shared" si="1"/>
        <v>0</v>
      </c>
      <c r="J688" s="91"/>
      <c r="K688" s="92" t="str">
        <f t="shared" si="2"/>
        <v/>
      </c>
      <c r="L688" s="49" t="str">
        <f t="shared" si="3"/>
        <v/>
      </c>
    </row>
    <row r="689" ht="15.75" customHeight="1">
      <c r="A689" s="89"/>
      <c r="B689" s="40"/>
      <c r="C689" s="40"/>
      <c r="D689" s="40"/>
      <c r="E689" s="40"/>
      <c r="F689" s="40"/>
      <c r="G689" s="40"/>
      <c r="H689" s="41"/>
      <c r="I689" s="90">
        <f t="shared" si="1"/>
        <v>0</v>
      </c>
      <c r="J689" s="91"/>
      <c r="K689" s="92" t="str">
        <f t="shared" si="2"/>
        <v/>
      </c>
      <c r="L689" s="49" t="str">
        <f t="shared" si="3"/>
        <v/>
      </c>
    </row>
    <row r="690" ht="15.75" customHeight="1">
      <c r="A690" s="89"/>
      <c r="B690" s="40"/>
      <c r="C690" s="40"/>
      <c r="D690" s="40"/>
      <c r="E690" s="40"/>
      <c r="F690" s="40"/>
      <c r="G690" s="40"/>
      <c r="H690" s="41"/>
      <c r="I690" s="90">
        <f t="shared" si="1"/>
        <v>0</v>
      </c>
      <c r="J690" s="91"/>
      <c r="K690" s="92" t="str">
        <f t="shared" si="2"/>
        <v/>
      </c>
      <c r="L690" s="49" t="str">
        <f t="shared" si="3"/>
        <v/>
      </c>
    </row>
    <row r="691" ht="15.75" customHeight="1">
      <c r="A691" s="89"/>
      <c r="B691" s="40"/>
      <c r="C691" s="40"/>
      <c r="D691" s="40"/>
      <c r="E691" s="40"/>
      <c r="F691" s="40"/>
      <c r="G691" s="40"/>
      <c r="H691" s="41"/>
      <c r="I691" s="90">
        <f t="shared" si="1"/>
        <v>0</v>
      </c>
      <c r="J691" s="91"/>
      <c r="K691" s="92" t="str">
        <f t="shared" si="2"/>
        <v/>
      </c>
      <c r="L691" s="49" t="str">
        <f t="shared" si="3"/>
        <v/>
      </c>
    </row>
    <row r="692" ht="15.75" customHeight="1">
      <c r="A692" s="89"/>
      <c r="B692" s="40"/>
      <c r="C692" s="40"/>
      <c r="D692" s="40"/>
      <c r="E692" s="40"/>
      <c r="F692" s="40"/>
      <c r="G692" s="40"/>
      <c r="H692" s="41"/>
      <c r="I692" s="90">
        <f t="shared" si="1"/>
        <v>0</v>
      </c>
      <c r="J692" s="91"/>
      <c r="K692" s="92" t="str">
        <f t="shared" si="2"/>
        <v/>
      </c>
      <c r="L692" s="49" t="str">
        <f t="shared" si="3"/>
        <v/>
      </c>
    </row>
    <row r="693" ht="15.75" customHeight="1">
      <c r="A693" s="89"/>
      <c r="B693" s="40"/>
      <c r="C693" s="40"/>
      <c r="D693" s="40"/>
      <c r="E693" s="40"/>
      <c r="F693" s="40"/>
      <c r="G693" s="40"/>
      <c r="H693" s="41"/>
      <c r="I693" s="90">
        <f t="shared" si="1"/>
        <v>0</v>
      </c>
      <c r="J693" s="91"/>
      <c r="K693" s="92" t="str">
        <f t="shared" si="2"/>
        <v/>
      </c>
      <c r="L693" s="49" t="str">
        <f t="shared" si="3"/>
        <v/>
      </c>
    </row>
    <row r="694" ht="15.75" customHeight="1">
      <c r="A694" s="89"/>
      <c r="B694" s="40"/>
      <c r="C694" s="40"/>
      <c r="D694" s="40"/>
      <c r="E694" s="40"/>
      <c r="F694" s="40"/>
      <c r="G694" s="40"/>
      <c r="H694" s="41"/>
      <c r="I694" s="90">
        <f t="shared" si="1"/>
        <v>0</v>
      </c>
      <c r="J694" s="91"/>
      <c r="K694" s="92" t="str">
        <f t="shared" si="2"/>
        <v/>
      </c>
      <c r="L694" s="49" t="str">
        <f t="shared" si="3"/>
        <v/>
      </c>
    </row>
    <row r="695" ht="15.75" customHeight="1">
      <c r="A695" s="89"/>
      <c r="B695" s="40"/>
      <c r="C695" s="40"/>
      <c r="D695" s="40"/>
      <c r="E695" s="40"/>
      <c r="F695" s="40"/>
      <c r="G695" s="40"/>
      <c r="H695" s="41"/>
      <c r="I695" s="90">
        <f t="shared" si="1"/>
        <v>0</v>
      </c>
      <c r="J695" s="91"/>
      <c r="K695" s="92" t="str">
        <f t="shared" si="2"/>
        <v/>
      </c>
      <c r="L695" s="49" t="str">
        <f t="shared" si="3"/>
        <v/>
      </c>
    </row>
    <row r="696" ht="15.75" customHeight="1">
      <c r="A696" s="89"/>
      <c r="B696" s="40"/>
      <c r="C696" s="40"/>
      <c r="D696" s="40"/>
      <c r="E696" s="40"/>
      <c r="F696" s="40"/>
      <c r="G696" s="40"/>
      <c r="H696" s="41"/>
      <c r="I696" s="90">
        <f t="shared" si="1"/>
        <v>0</v>
      </c>
      <c r="J696" s="91"/>
      <c r="K696" s="92" t="str">
        <f t="shared" si="2"/>
        <v/>
      </c>
      <c r="L696" s="49" t="str">
        <f t="shared" si="3"/>
        <v/>
      </c>
    </row>
    <row r="697" ht="15.75" customHeight="1">
      <c r="A697" s="89"/>
      <c r="B697" s="40"/>
      <c r="C697" s="40"/>
      <c r="D697" s="40"/>
      <c r="E697" s="40"/>
      <c r="F697" s="40"/>
      <c r="G697" s="40"/>
      <c r="H697" s="41"/>
      <c r="I697" s="90">
        <f t="shared" si="1"/>
        <v>0</v>
      </c>
      <c r="J697" s="91"/>
      <c r="K697" s="92" t="str">
        <f t="shared" si="2"/>
        <v/>
      </c>
      <c r="L697" s="49" t="str">
        <f t="shared" si="3"/>
        <v/>
      </c>
    </row>
    <row r="698" ht="15.75" customHeight="1">
      <c r="A698" s="89"/>
      <c r="B698" s="40"/>
      <c r="C698" s="40"/>
      <c r="D698" s="40"/>
      <c r="E698" s="40"/>
      <c r="F698" s="40"/>
      <c r="G698" s="40"/>
      <c r="H698" s="41"/>
      <c r="I698" s="90">
        <f t="shared" si="1"/>
        <v>0</v>
      </c>
      <c r="J698" s="91"/>
      <c r="K698" s="92" t="str">
        <f t="shared" si="2"/>
        <v/>
      </c>
      <c r="L698" s="49" t="str">
        <f t="shared" si="3"/>
        <v/>
      </c>
    </row>
    <row r="699" ht="15.75" customHeight="1">
      <c r="A699" s="89"/>
      <c r="B699" s="40"/>
      <c r="C699" s="40"/>
      <c r="D699" s="40"/>
      <c r="E699" s="40"/>
      <c r="F699" s="40"/>
      <c r="G699" s="40"/>
      <c r="H699" s="41"/>
      <c r="I699" s="90">
        <f t="shared" si="1"/>
        <v>0</v>
      </c>
      <c r="J699" s="91"/>
      <c r="K699" s="92" t="str">
        <f t="shared" si="2"/>
        <v/>
      </c>
      <c r="L699" s="49" t="str">
        <f t="shared" si="3"/>
        <v/>
      </c>
    </row>
    <row r="700" ht="15.75" customHeight="1">
      <c r="A700" s="89"/>
      <c r="B700" s="40"/>
      <c r="C700" s="40"/>
      <c r="D700" s="40"/>
      <c r="E700" s="40"/>
      <c r="F700" s="40"/>
      <c r="G700" s="40"/>
      <c r="H700" s="41"/>
      <c r="I700" s="90">
        <f t="shared" si="1"/>
        <v>0</v>
      </c>
      <c r="J700" s="91"/>
      <c r="K700" s="92" t="str">
        <f t="shared" si="2"/>
        <v/>
      </c>
      <c r="L700" s="49" t="str">
        <f t="shared" si="3"/>
        <v/>
      </c>
    </row>
    <row r="701" ht="15.75" customHeight="1">
      <c r="A701" s="89"/>
      <c r="B701" s="40"/>
      <c r="C701" s="40"/>
      <c r="D701" s="40"/>
      <c r="E701" s="40"/>
      <c r="F701" s="40"/>
      <c r="G701" s="40"/>
      <c r="H701" s="41"/>
      <c r="I701" s="90">
        <f t="shared" si="1"/>
        <v>0</v>
      </c>
      <c r="J701" s="91"/>
      <c r="K701" s="92" t="str">
        <f t="shared" si="2"/>
        <v/>
      </c>
      <c r="L701" s="49" t="str">
        <f t="shared" si="3"/>
        <v/>
      </c>
    </row>
    <row r="702" ht="15.75" customHeight="1">
      <c r="A702" s="89"/>
      <c r="B702" s="40"/>
      <c r="C702" s="40"/>
      <c r="D702" s="40"/>
      <c r="E702" s="40"/>
      <c r="F702" s="40"/>
      <c r="G702" s="40"/>
      <c r="H702" s="41"/>
      <c r="I702" s="90">
        <f t="shared" si="1"/>
        <v>0</v>
      </c>
      <c r="J702" s="91"/>
      <c r="K702" s="92" t="str">
        <f t="shared" si="2"/>
        <v/>
      </c>
      <c r="L702" s="49" t="str">
        <f t="shared" si="3"/>
        <v/>
      </c>
    </row>
    <row r="703" ht="15.75" customHeight="1">
      <c r="A703" s="89"/>
      <c r="B703" s="40"/>
      <c r="C703" s="40"/>
      <c r="D703" s="40"/>
      <c r="E703" s="40"/>
      <c r="F703" s="40"/>
      <c r="G703" s="40"/>
      <c r="H703" s="41"/>
      <c r="I703" s="90">
        <f t="shared" si="1"/>
        <v>0</v>
      </c>
      <c r="J703" s="91"/>
      <c r="K703" s="92" t="str">
        <f t="shared" si="2"/>
        <v/>
      </c>
      <c r="L703" s="49" t="str">
        <f t="shared" si="3"/>
        <v/>
      </c>
    </row>
    <row r="704" ht="15.75" customHeight="1">
      <c r="A704" s="89"/>
      <c r="B704" s="40"/>
      <c r="C704" s="40"/>
      <c r="D704" s="40"/>
      <c r="E704" s="40"/>
      <c r="F704" s="40"/>
      <c r="G704" s="40"/>
      <c r="H704" s="41"/>
      <c r="I704" s="90">
        <f t="shared" si="1"/>
        <v>0</v>
      </c>
      <c r="J704" s="91"/>
      <c r="K704" s="92" t="str">
        <f t="shared" si="2"/>
        <v/>
      </c>
      <c r="L704" s="49" t="str">
        <f t="shared" si="3"/>
        <v/>
      </c>
    </row>
    <row r="705" ht="15.75" customHeight="1">
      <c r="A705" s="89"/>
      <c r="B705" s="40"/>
      <c r="C705" s="40"/>
      <c r="D705" s="40"/>
      <c r="E705" s="40"/>
      <c r="F705" s="40"/>
      <c r="G705" s="40"/>
      <c r="H705" s="41"/>
      <c r="I705" s="90">
        <f t="shared" si="1"/>
        <v>0</v>
      </c>
      <c r="J705" s="91"/>
      <c r="K705" s="92" t="str">
        <f t="shared" si="2"/>
        <v/>
      </c>
      <c r="L705" s="49" t="str">
        <f t="shared" si="3"/>
        <v/>
      </c>
    </row>
    <row r="706" ht="15.75" customHeight="1">
      <c r="A706" s="89"/>
      <c r="B706" s="40"/>
      <c r="C706" s="40"/>
      <c r="D706" s="40"/>
      <c r="E706" s="40"/>
      <c r="F706" s="40"/>
      <c r="G706" s="40"/>
      <c r="H706" s="41"/>
      <c r="I706" s="90">
        <f t="shared" si="1"/>
        <v>0</v>
      </c>
      <c r="J706" s="91"/>
      <c r="K706" s="92" t="str">
        <f t="shared" si="2"/>
        <v/>
      </c>
      <c r="L706" s="49" t="str">
        <f t="shared" si="3"/>
        <v/>
      </c>
    </row>
    <row r="707" ht="15.75" customHeight="1">
      <c r="A707" s="89"/>
      <c r="B707" s="40"/>
      <c r="C707" s="40"/>
      <c r="D707" s="40"/>
      <c r="E707" s="40"/>
      <c r="F707" s="40"/>
      <c r="G707" s="40"/>
      <c r="H707" s="41"/>
      <c r="I707" s="90">
        <f t="shared" si="1"/>
        <v>0</v>
      </c>
      <c r="J707" s="91"/>
      <c r="K707" s="92" t="str">
        <f t="shared" si="2"/>
        <v/>
      </c>
      <c r="L707" s="49" t="str">
        <f t="shared" si="3"/>
        <v/>
      </c>
    </row>
    <row r="708" ht="15.75" customHeight="1">
      <c r="A708" s="89"/>
      <c r="B708" s="40"/>
      <c r="C708" s="40"/>
      <c r="D708" s="40"/>
      <c r="E708" s="40"/>
      <c r="F708" s="40"/>
      <c r="G708" s="40"/>
      <c r="H708" s="41"/>
      <c r="I708" s="90">
        <f t="shared" si="1"/>
        <v>0</v>
      </c>
      <c r="J708" s="91"/>
      <c r="K708" s="92" t="str">
        <f t="shared" si="2"/>
        <v/>
      </c>
      <c r="L708" s="49" t="str">
        <f t="shared" si="3"/>
        <v/>
      </c>
    </row>
    <row r="709" ht="15.75" customHeight="1">
      <c r="A709" s="89"/>
      <c r="B709" s="40"/>
      <c r="C709" s="40"/>
      <c r="D709" s="40"/>
      <c r="E709" s="40"/>
      <c r="F709" s="40"/>
      <c r="G709" s="40"/>
      <c r="H709" s="41"/>
      <c r="I709" s="90">
        <f t="shared" si="1"/>
        <v>0</v>
      </c>
      <c r="J709" s="91"/>
      <c r="K709" s="92" t="str">
        <f t="shared" si="2"/>
        <v/>
      </c>
      <c r="L709" s="49" t="str">
        <f t="shared" si="3"/>
        <v/>
      </c>
    </row>
    <row r="710" ht="15.75" customHeight="1">
      <c r="A710" s="89"/>
      <c r="B710" s="40"/>
      <c r="C710" s="40"/>
      <c r="D710" s="40"/>
      <c r="E710" s="40"/>
      <c r="F710" s="40"/>
      <c r="G710" s="40"/>
      <c r="H710" s="41"/>
      <c r="I710" s="90">
        <f t="shared" si="1"/>
        <v>0</v>
      </c>
      <c r="J710" s="91"/>
      <c r="K710" s="92" t="str">
        <f t="shared" si="2"/>
        <v/>
      </c>
      <c r="L710" s="49" t="str">
        <f t="shared" si="3"/>
        <v/>
      </c>
    </row>
    <row r="711" ht="15.75" customHeight="1">
      <c r="A711" s="89"/>
      <c r="B711" s="40"/>
      <c r="C711" s="40"/>
      <c r="D711" s="40"/>
      <c r="E711" s="40"/>
      <c r="F711" s="40"/>
      <c r="G711" s="40"/>
      <c r="H711" s="41"/>
      <c r="I711" s="90">
        <f t="shared" si="1"/>
        <v>0</v>
      </c>
      <c r="J711" s="91"/>
      <c r="K711" s="92" t="str">
        <f t="shared" si="2"/>
        <v/>
      </c>
      <c r="L711" s="49" t="str">
        <f t="shared" si="3"/>
        <v/>
      </c>
    </row>
    <row r="712" ht="15.75" customHeight="1">
      <c r="A712" s="89"/>
      <c r="B712" s="40"/>
      <c r="C712" s="40"/>
      <c r="D712" s="40"/>
      <c r="E712" s="40"/>
      <c r="F712" s="40"/>
      <c r="G712" s="40"/>
      <c r="H712" s="41"/>
      <c r="I712" s="90">
        <f t="shared" si="1"/>
        <v>0</v>
      </c>
      <c r="J712" s="91"/>
      <c r="K712" s="92" t="str">
        <f t="shared" si="2"/>
        <v/>
      </c>
      <c r="L712" s="49" t="str">
        <f t="shared" si="3"/>
        <v/>
      </c>
    </row>
    <row r="713" ht="15.75" customHeight="1">
      <c r="A713" s="89"/>
      <c r="B713" s="40"/>
      <c r="C713" s="40"/>
      <c r="D713" s="40"/>
      <c r="E713" s="40"/>
      <c r="F713" s="40"/>
      <c r="G713" s="40"/>
      <c r="H713" s="41"/>
      <c r="I713" s="90">
        <f t="shared" si="1"/>
        <v>0</v>
      </c>
      <c r="J713" s="91"/>
      <c r="K713" s="92" t="str">
        <f t="shared" si="2"/>
        <v/>
      </c>
      <c r="L713" s="49" t="str">
        <f t="shared" si="3"/>
        <v/>
      </c>
    </row>
    <row r="714" ht="15.75" customHeight="1">
      <c r="A714" s="89"/>
      <c r="B714" s="40"/>
      <c r="C714" s="40"/>
      <c r="D714" s="40"/>
      <c r="E714" s="40"/>
      <c r="F714" s="40"/>
      <c r="G714" s="40"/>
      <c r="H714" s="41"/>
      <c r="I714" s="90">
        <f t="shared" si="1"/>
        <v>0</v>
      </c>
      <c r="J714" s="91"/>
      <c r="K714" s="92" t="str">
        <f t="shared" si="2"/>
        <v/>
      </c>
      <c r="L714" s="49" t="str">
        <f t="shared" si="3"/>
        <v/>
      </c>
    </row>
    <row r="715" ht="15.75" customHeight="1">
      <c r="A715" s="89"/>
      <c r="B715" s="40"/>
      <c r="C715" s="40"/>
      <c r="D715" s="40"/>
      <c r="E715" s="40"/>
      <c r="F715" s="40"/>
      <c r="G715" s="40"/>
      <c r="H715" s="41"/>
      <c r="I715" s="90">
        <f t="shared" si="1"/>
        <v>0</v>
      </c>
      <c r="J715" s="91"/>
      <c r="K715" s="92" t="str">
        <f t="shared" si="2"/>
        <v/>
      </c>
      <c r="L715" s="49" t="str">
        <f t="shared" si="3"/>
        <v/>
      </c>
    </row>
    <row r="716" ht="15.75" customHeight="1">
      <c r="A716" s="89"/>
      <c r="B716" s="40"/>
      <c r="C716" s="40"/>
      <c r="D716" s="40"/>
      <c r="E716" s="40"/>
      <c r="F716" s="40"/>
      <c r="G716" s="40"/>
      <c r="H716" s="41"/>
      <c r="I716" s="90">
        <f t="shared" si="1"/>
        <v>0</v>
      </c>
      <c r="J716" s="91"/>
      <c r="K716" s="92" t="str">
        <f t="shared" si="2"/>
        <v/>
      </c>
      <c r="L716" s="49" t="str">
        <f t="shared" si="3"/>
        <v/>
      </c>
    </row>
    <row r="717" ht="15.75" customHeight="1">
      <c r="A717" s="89"/>
      <c r="B717" s="40"/>
      <c r="C717" s="40"/>
      <c r="D717" s="40"/>
      <c r="E717" s="40"/>
      <c r="F717" s="40"/>
      <c r="G717" s="40"/>
      <c r="H717" s="41"/>
      <c r="I717" s="90">
        <f t="shared" si="1"/>
        <v>0</v>
      </c>
      <c r="J717" s="91"/>
      <c r="K717" s="92" t="str">
        <f t="shared" si="2"/>
        <v/>
      </c>
      <c r="L717" s="49" t="str">
        <f t="shared" si="3"/>
        <v/>
      </c>
    </row>
    <row r="718" ht="15.75" customHeight="1">
      <c r="A718" s="89"/>
      <c r="B718" s="40"/>
      <c r="C718" s="40"/>
      <c r="D718" s="40"/>
      <c r="E718" s="40"/>
      <c r="F718" s="40"/>
      <c r="G718" s="40"/>
      <c r="H718" s="41"/>
      <c r="I718" s="90">
        <f t="shared" si="1"/>
        <v>0</v>
      </c>
      <c r="J718" s="91"/>
      <c r="K718" s="92" t="str">
        <f t="shared" si="2"/>
        <v/>
      </c>
      <c r="L718" s="49" t="str">
        <f t="shared" si="3"/>
        <v/>
      </c>
    </row>
    <row r="719" ht="15.75" customHeight="1">
      <c r="A719" s="89"/>
      <c r="B719" s="40"/>
      <c r="C719" s="40"/>
      <c r="D719" s="40"/>
      <c r="E719" s="40"/>
      <c r="F719" s="40"/>
      <c r="G719" s="40"/>
      <c r="H719" s="41"/>
      <c r="I719" s="90">
        <f t="shared" si="1"/>
        <v>0</v>
      </c>
      <c r="J719" s="91"/>
      <c r="K719" s="92" t="str">
        <f t="shared" si="2"/>
        <v/>
      </c>
      <c r="L719" s="49" t="str">
        <f t="shared" si="3"/>
        <v/>
      </c>
    </row>
    <row r="720" ht="15.75" customHeight="1">
      <c r="A720" s="89"/>
      <c r="B720" s="40"/>
      <c r="C720" s="40"/>
      <c r="D720" s="40"/>
      <c r="E720" s="40"/>
      <c r="F720" s="40"/>
      <c r="G720" s="40"/>
      <c r="H720" s="41"/>
      <c r="I720" s="90">
        <f t="shared" si="1"/>
        <v>0</v>
      </c>
      <c r="J720" s="91"/>
      <c r="K720" s="92" t="str">
        <f t="shared" si="2"/>
        <v/>
      </c>
      <c r="L720" s="49" t="str">
        <f t="shared" si="3"/>
        <v/>
      </c>
    </row>
    <row r="721" ht="15.75" customHeight="1">
      <c r="A721" s="89"/>
      <c r="B721" s="40"/>
      <c r="C721" s="40"/>
      <c r="D721" s="40"/>
      <c r="E721" s="40"/>
      <c r="F721" s="40"/>
      <c r="G721" s="40"/>
      <c r="H721" s="41"/>
      <c r="I721" s="90">
        <f t="shared" si="1"/>
        <v>0</v>
      </c>
      <c r="J721" s="91"/>
      <c r="K721" s="92" t="str">
        <f t="shared" si="2"/>
        <v/>
      </c>
      <c r="L721" s="49" t="str">
        <f t="shared" si="3"/>
        <v/>
      </c>
    </row>
    <row r="722" ht="15.75" customHeight="1">
      <c r="A722" s="89"/>
      <c r="B722" s="40"/>
      <c r="C722" s="40"/>
      <c r="D722" s="40"/>
      <c r="E722" s="40"/>
      <c r="F722" s="40"/>
      <c r="G722" s="40"/>
      <c r="H722" s="41"/>
      <c r="I722" s="90">
        <f t="shared" si="1"/>
        <v>0</v>
      </c>
      <c r="J722" s="91"/>
      <c r="K722" s="92" t="str">
        <f t="shared" si="2"/>
        <v/>
      </c>
      <c r="L722" s="49" t="str">
        <f t="shared" si="3"/>
        <v/>
      </c>
    </row>
    <row r="723" ht="15.75" customHeight="1">
      <c r="A723" s="89"/>
      <c r="B723" s="40"/>
      <c r="C723" s="40"/>
      <c r="D723" s="40"/>
      <c r="E723" s="40"/>
      <c r="F723" s="40"/>
      <c r="G723" s="40"/>
      <c r="H723" s="41"/>
      <c r="I723" s="90">
        <f t="shared" si="1"/>
        <v>0</v>
      </c>
      <c r="J723" s="91"/>
      <c r="K723" s="92" t="str">
        <f t="shared" si="2"/>
        <v/>
      </c>
      <c r="L723" s="49" t="str">
        <f t="shared" si="3"/>
        <v/>
      </c>
    </row>
    <row r="724" ht="15.75" customHeight="1">
      <c r="A724" s="89"/>
      <c r="B724" s="40"/>
      <c r="C724" s="40"/>
      <c r="D724" s="40"/>
      <c r="E724" s="40"/>
      <c r="F724" s="40"/>
      <c r="G724" s="40"/>
      <c r="H724" s="41"/>
      <c r="I724" s="90">
        <f t="shared" si="1"/>
        <v>0</v>
      </c>
      <c r="J724" s="91"/>
      <c r="K724" s="92" t="str">
        <f t="shared" si="2"/>
        <v/>
      </c>
      <c r="L724" s="49" t="str">
        <f t="shared" si="3"/>
        <v/>
      </c>
    </row>
    <row r="725" ht="15.75" customHeight="1">
      <c r="A725" s="89"/>
      <c r="B725" s="40"/>
      <c r="C725" s="40"/>
      <c r="D725" s="40"/>
      <c r="E725" s="40"/>
      <c r="F725" s="40"/>
      <c r="G725" s="40"/>
      <c r="H725" s="41"/>
      <c r="I725" s="90">
        <f t="shared" si="1"/>
        <v>0</v>
      </c>
      <c r="J725" s="91"/>
      <c r="K725" s="92" t="str">
        <f t="shared" si="2"/>
        <v/>
      </c>
      <c r="L725" s="49" t="str">
        <f t="shared" si="3"/>
        <v/>
      </c>
    </row>
    <row r="726" ht="15.75" customHeight="1">
      <c r="A726" s="89"/>
      <c r="B726" s="40"/>
      <c r="C726" s="40"/>
      <c r="D726" s="40"/>
      <c r="E726" s="40"/>
      <c r="F726" s="40"/>
      <c r="G726" s="40"/>
      <c r="H726" s="41"/>
      <c r="I726" s="90">
        <f t="shared" si="1"/>
        <v>0</v>
      </c>
      <c r="J726" s="91"/>
      <c r="K726" s="92" t="str">
        <f t="shared" si="2"/>
        <v/>
      </c>
      <c r="L726" s="49" t="str">
        <f t="shared" si="3"/>
        <v/>
      </c>
    </row>
    <row r="727" ht="15.75" customHeight="1">
      <c r="A727" s="89"/>
      <c r="B727" s="40"/>
      <c r="C727" s="40"/>
      <c r="D727" s="40"/>
      <c r="E727" s="40"/>
      <c r="F727" s="40"/>
      <c r="G727" s="40"/>
      <c r="H727" s="41"/>
      <c r="I727" s="90">
        <f t="shared" si="1"/>
        <v>0</v>
      </c>
      <c r="J727" s="91"/>
      <c r="K727" s="92" t="str">
        <f t="shared" si="2"/>
        <v/>
      </c>
      <c r="L727" s="49" t="str">
        <f t="shared" si="3"/>
        <v/>
      </c>
    </row>
    <row r="728" ht="15.75" customHeight="1">
      <c r="A728" s="89"/>
      <c r="B728" s="40"/>
      <c r="C728" s="40"/>
      <c r="D728" s="40"/>
      <c r="E728" s="40"/>
      <c r="F728" s="40"/>
      <c r="G728" s="40"/>
      <c r="H728" s="41"/>
      <c r="I728" s="90">
        <f t="shared" si="1"/>
        <v>0</v>
      </c>
      <c r="J728" s="91"/>
      <c r="K728" s="92" t="str">
        <f t="shared" si="2"/>
        <v/>
      </c>
      <c r="L728" s="49" t="str">
        <f t="shared" si="3"/>
        <v/>
      </c>
    </row>
    <row r="729" ht="15.75" customHeight="1">
      <c r="A729" s="89"/>
      <c r="B729" s="40"/>
      <c r="C729" s="40"/>
      <c r="D729" s="40"/>
      <c r="E729" s="40"/>
      <c r="F729" s="40"/>
      <c r="G729" s="40"/>
      <c r="H729" s="41"/>
      <c r="I729" s="90">
        <f t="shared" si="1"/>
        <v>0</v>
      </c>
      <c r="J729" s="91"/>
      <c r="K729" s="92" t="str">
        <f t="shared" si="2"/>
        <v/>
      </c>
      <c r="L729" s="49" t="str">
        <f t="shared" si="3"/>
        <v/>
      </c>
    </row>
    <row r="730" ht="15.75" customHeight="1">
      <c r="A730" s="89"/>
      <c r="B730" s="40"/>
      <c r="C730" s="40"/>
      <c r="D730" s="40"/>
      <c r="E730" s="40"/>
      <c r="F730" s="40"/>
      <c r="G730" s="40"/>
      <c r="H730" s="41"/>
      <c r="I730" s="90">
        <f t="shared" si="1"/>
        <v>0</v>
      </c>
      <c r="J730" s="91"/>
      <c r="K730" s="92" t="str">
        <f t="shared" si="2"/>
        <v/>
      </c>
      <c r="L730" s="49" t="str">
        <f t="shared" si="3"/>
        <v/>
      </c>
    </row>
    <row r="731" ht="15.75" customHeight="1">
      <c r="A731" s="89"/>
      <c r="B731" s="40"/>
      <c r="C731" s="40"/>
      <c r="D731" s="40"/>
      <c r="E731" s="40"/>
      <c r="F731" s="40"/>
      <c r="G731" s="40"/>
      <c r="H731" s="41"/>
      <c r="I731" s="90">
        <f t="shared" si="1"/>
        <v>0</v>
      </c>
      <c r="J731" s="91"/>
      <c r="K731" s="92" t="str">
        <f t="shared" si="2"/>
        <v/>
      </c>
      <c r="L731" s="49" t="str">
        <f t="shared" si="3"/>
        <v/>
      </c>
    </row>
    <row r="732" ht="15.75" customHeight="1">
      <c r="A732" s="89"/>
      <c r="B732" s="40"/>
      <c r="C732" s="40"/>
      <c r="D732" s="40"/>
      <c r="E732" s="40"/>
      <c r="F732" s="40"/>
      <c r="G732" s="40"/>
      <c r="H732" s="41"/>
      <c r="I732" s="90">
        <f t="shared" si="1"/>
        <v>0</v>
      </c>
      <c r="J732" s="91"/>
      <c r="K732" s="92" t="str">
        <f t="shared" si="2"/>
        <v/>
      </c>
      <c r="L732" s="49" t="str">
        <f t="shared" si="3"/>
        <v/>
      </c>
    </row>
    <row r="733" ht="15.75" customHeight="1">
      <c r="A733" s="89"/>
      <c r="B733" s="40"/>
      <c r="C733" s="40"/>
      <c r="D733" s="40"/>
      <c r="E733" s="40"/>
      <c r="F733" s="40"/>
      <c r="G733" s="40"/>
      <c r="H733" s="41"/>
      <c r="I733" s="90">
        <f t="shared" si="1"/>
        <v>0</v>
      </c>
      <c r="J733" s="91"/>
      <c r="K733" s="92" t="str">
        <f t="shared" si="2"/>
        <v/>
      </c>
      <c r="L733" s="49" t="str">
        <f t="shared" si="3"/>
        <v/>
      </c>
    </row>
    <row r="734" ht="15.75" customHeight="1">
      <c r="A734" s="89"/>
      <c r="B734" s="40"/>
      <c r="C734" s="40"/>
      <c r="D734" s="40"/>
      <c r="E734" s="40"/>
      <c r="F734" s="40"/>
      <c r="G734" s="40"/>
      <c r="H734" s="41"/>
      <c r="I734" s="90">
        <f t="shared" si="1"/>
        <v>0</v>
      </c>
      <c r="J734" s="91"/>
      <c r="K734" s="92" t="str">
        <f t="shared" si="2"/>
        <v/>
      </c>
      <c r="L734" s="49" t="str">
        <f t="shared" si="3"/>
        <v/>
      </c>
    </row>
    <row r="735" ht="15.75" customHeight="1">
      <c r="A735" s="89"/>
      <c r="B735" s="40"/>
      <c r="C735" s="40"/>
      <c r="D735" s="40"/>
      <c r="E735" s="40"/>
      <c r="F735" s="40"/>
      <c r="G735" s="40"/>
      <c r="H735" s="41"/>
      <c r="I735" s="90">
        <f t="shared" si="1"/>
        <v>0</v>
      </c>
      <c r="J735" s="91"/>
      <c r="K735" s="92" t="str">
        <f t="shared" si="2"/>
        <v/>
      </c>
      <c r="L735" s="49" t="str">
        <f t="shared" si="3"/>
        <v/>
      </c>
    </row>
    <row r="736" ht="15.75" customHeight="1">
      <c r="A736" s="89"/>
      <c r="B736" s="40"/>
      <c r="C736" s="40"/>
      <c r="D736" s="40"/>
      <c r="E736" s="40"/>
      <c r="F736" s="40"/>
      <c r="G736" s="40"/>
      <c r="H736" s="41"/>
      <c r="I736" s="90">
        <f t="shared" si="1"/>
        <v>0</v>
      </c>
      <c r="J736" s="91"/>
      <c r="K736" s="92" t="str">
        <f t="shared" si="2"/>
        <v/>
      </c>
      <c r="L736" s="49" t="str">
        <f t="shared" si="3"/>
        <v/>
      </c>
    </row>
    <row r="737" ht="15.75" customHeight="1">
      <c r="A737" s="89"/>
      <c r="B737" s="40"/>
      <c r="C737" s="40"/>
      <c r="D737" s="40"/>
      <c r="E737" s="40"/>
      <c r="F737" s="40"/>
      <c r="G737" s="40"/>
      <c r="H737" s="41"/>
      <c r="I737" s="90">
        <f t="shared" si="1"/>
        <v>0</v>
      </c>
      <c r="J737" s="91"/>
      <c r="K737" s="92" t="str">
        <f t="shared" si="2"/>
        <v/>
      </c>
      <c r="L737" s="49" t="str">
        <f t="shared" si="3"/>
        <v/>
      </c>
    </row>
    <row r="738" ht="15.75" customHeight="1">
      <c r="A738" s="89"/>
      <c r="B738" s="40"/>
      <c r="C738" s="40"/>
      <c r="D738" s="40"/>
      <c r="E738" s="40"/>
      <c r="F738" s="40"/>
      <c r="G738" s="40"/>
      <c r="H738" s="41"/>
      <c r="I738" s="90">
        <f t="shared" si="1"/>
        <v>0</v>
      </c>
      <c r="J738" s="91"/>
      <c r="K738" s="92" t="str">
        <f t="shared" si="2"/>
        <v/>
      </c>
      <c r="L738" s="49" t="str">
        <f t="shared" si="3"/>
        <v/>
      </c>
    </row>
    <row r="739" ht="15.75" customHeight="1">
      <c r="A739" s="89"/>
      <c r="B739" s="40"/>
      <c r="C739" s="40"/>
      <c r="D739" s="40"/>
      <c r="E739" s="40"/>
      <c r="F739" s="40"/>
      <c r="G739" s="40"/>
      <c r="H739" s="41"/>
      <c r="I739" s="90">
        <f t="shared" si="1"/>
        <v>0</v>
      </c>
      <c r="J739" s="91"/>
      <c r="K739" s="92" t="str">
        <f t="shared" si="2"/>
        <v/>
      </c>
      <c r="L739" s="49" t="str">
        <f t="shared" si="3"/>
        <v/>
      </c>
    </row>
    <row r="740" ht="15.75" customHeight="1">
      <c r="A740" s="89"/>
      <c r="B740" s="40"/>
      <c r="C740" s="40"/>
      <c r="D740" s="40"/>
      <c r="E740" s="40"/>
      <c r="F740" s="40"/>
      <c r="G740" s="40"/>
      <c r="H740" s="41"/>
      <c r="I740" s="90">
        <f t="shared" si="1"/>
        <v>0</v>
      </c>
      <c r="J740" s="91"/>
      <c r="K740" s="92" t="str">
        <f t="shared" si="2"/>
        <v/>
      </c>
      <c r="L740" s="49" t="str">
        <f t="shared" si="3"/>
        <v/>
      </c>
    </row>
    <row r="741" ht="15.75" customHeight="1">
      <c r="A741" s="89"/>
      <c r="B741" s="40"/>
      <c r="C741" s="40"/>
      <c r="D741" s="40"/>
      <c r="E741" s="40"/>
      <c r="F741" s="40"/>
      <c r="G741" s="40"/>
      <c r="H741" s="41"/>
      <c r="I741" s="90">
        <f t="shared" si="1"/>
        <v>0</v>
      </c>
      <c r="J741" s="91"/>
      <c r="K741" s="92" t="str">
        <f t="shared" si="2"/>
        <v/>
      </c>
      <c r="L741" s="49" t="str">
        <f t="shared" si="3"/>
        <v/>
      </c>
    </row>
    <row r="742" ht="15.75" customHeight="1">
      <c r="A742" s="89"/>
      <c r="B742" s="40"/>
      <c r="C742" s="40"/>
      <c r="D742" s="40"/>
      <c r="E742" s="40"/>
      <c r="F742" s="40"/>
      <c r="G742" s="40"/>
      <c r="H742" s="41"/>
      <c r="I742" s="90">
        <f t="shared" si="1"/>
        <v>0</v>
      </c>
      <c r="J742" s="91"/>
      <c r="K742" s="92" t="str">
        <f t="shared" si="2"/>
        <v/>
      </c>
      <c r="L742" s="49" t="str">
        <f t="shared" si="3"/>
        <v/>
      </c>
    </row>
    <row r="743" ht="15.75" customHeight="1">
      <c r="A743" s="89"/>
      <c r="B743" s="40"/>
      <c r="C743" s="40"/>
      <c r="D743" s="40"/>
      <c r="E743" s="40"/>
      <c r="F743" s="40"/>
      <c r="G743" s="40"/>
      <c r="H743" s="41"/>
      <c r="I743" s="90">
        <f t="shared" si="1"/>
        <v>0</v>
      </c>
      <c r="J743" s="91"/>
      <c r="K743" s="92" t="str">
        <f t="shared" si="2"/>
        <v/>
      </c>
      <c r="L743" s="49" t="str">
        <f t="shared" si="3"/>
        <v/>
      </c>
    </row>
    <row r="744" ht="15.75" customHeight="1">
      <c r="A744" s="89"/>
      <c r="B744" s="40"/>
      <c r="C744" s="40"/>
      <c r="D744" s="40"/>
      <c r="E744" s="40"/>
      <c r="F744" s="40"/>
      <c r="G744" s="40"/>
      <c r="H744" s="41"/>
      <c r="I744" s="90">
        <f t="shared" si="1"/>
        <v>0</v>
      </c>
      <c r="J744" s="91"/>
      <c r="K744" s="92" t="str">
        <f t="shared" si="2"/>
        <v/>
      </c>
      <c r="L744" s="49" t="str">
        <f t="shared" si="3"/>
        <v/>
      </c>
    </row>
    <row r="745" ht="15.75" customHeight="1">
      <c r="A745" s="89"/>
      <c r="B745" s="40"/>
      <c r="C745" s="40"/>
      <c r="D745" s="40"/>
      <c r="E745" s="40"/>
      <c r="F745" s="40"/>
      <c r="G745" s="40"/>
      <c r="H745" s="41"/>
      <c r="I745" s="90">
        <f t="shared" si="1"/>
        <v>0</v>
      </c>
      <c r="J745" s="91"/>
      <c r="K745" s="92" t="str">
        <f t="shared" si="2"/>
        <v/>
      </c>
      <c r="L745" s="49" t="str">
        <f t="shared" si="3"/>
        <v/>
      </c>
    </row>
    <row r="746" ht="15.75" customHeight="1">
      <c r="A746" s="89"/>
      <c r="B746" s="40"/>
      <c r="C746" s="40"/>
      <c r="D746" s="40"/>
      <c r="E746" s="40"/>
      <c r="F746" s="40"/>
      <c r="G746" s="40"/>
      <c r="H746" s="41"/>
      <c r="I746" s="90">
        <f t="shared" si="1"/>
        <v>0</v>
      </c>
      <c r="J746" s="91"/>
      <c r="K746" s="92" t="str">
        <f t="shared" si="2"/>
        <v/>
      </c>
      <c r="L746" s="49" t="str">
        <f t="shared" si="3"/>
        <v/>
      </c>
    </row>
    <row r="747" ht="15.75" customHeight="1">
      <c r="A747" s="89"/>
      <c r="B747" s="40"/>
      <c r="C747" s="40"/>
      <c r="D747" s="40"/>
      <c r="E747" s="40"/>
      <c r="F747" s="40"/>
      <c r="G747" s="40"/>
      <c r="H747" s="41"/>
      <c r="I747" s="90">
        <f t="shared" si="1"/>
        <v>0</v>
      </c>
      <c r="J747" s="91"/>
      <c r="K747" s="92" t="str">
        <f t="shared" si="2"/>
        <v/>
      </c>
      <c r="L747" s="49" t="str">
        <f t="shared" si="3"/>
        <v/>
      </c>
    </row>
    <row r="748" ht="15.75" customHeight="1">
      <c r="A748" s="89"/>
      <c r="B748" s="40"/>
      <c r="C748" s="40"/>
      <c r="D748" s="40"/>
      <c r="E748" s="40"/>
      <c r="F748" s="40"/>
      <c r="G748" s="40"/>
      <c r="H748" s="41"/>
      <c r="I748" s="90">
        <f t="shared" si="1"/>
        <v>0</v>
      </c>
      <c r="J748" s="91"/>
      <c r="K748" s="92" t="str">
        <f t="shared" si="2"/>
        <v/>
      </c>
      <c r="L748" s="49" t="str">
        <f t="shared" si="3"/>
        <v/>
      </c>
    </row>
    <row r="749" ht="15.75" customHeight="1">
      <c r="A749" s="89"/>
      <c r="B749" s="40"/>
      <c r="C749" s="40"/>
      <c r="D749" s="40"/>
      <c r="E749" s="40"/>
      <c r="F749" s="40"/>
      <c r="G749" s="40"/>
      <c r="H749" s="41"/>
      <c r="I749" s="90">
        <f t="shared" si="1"/>
        <v>0</v>
      </c>
      <c r="J749" s="91"/>
      <c r="K749" s="92" t="str">
        <f t="shared" si="2"/>
        <v/>
      </c>
      <c r="L749" s="49" t="str">
        <f t="shared" si="3"/>
        <v/>
      </c>
    </row>
    <row r="750" ht="15.75" customHeight="1">
      <c r="A750" s="89"/>
      <c r="B750" s="40"/>
      <c r="C750" s="40"/>
      <c r="D750" s="40"/>
      <c r="E750" s="40"/>
      <c r="F750" s="40"/>
      <c r="G750" s="40"/>
      <c r="H750" s="41"/>
      <c r="I750" s="90">
        <f t="shared" si="1"/>
        <v>0</v>
      </c>
      <c r="J750" s="91"/>
      <c r="K750" s="92" t="str">
        <f t="shared" si="2"/>
        <v/>
      </c>
      <c r="L750" s="49" t="str">
        <f t="shared" si="3"/>
        <v/>
      </c>
    </row>
    <row r="751" ht="15.75" customHeight="1">
      <c r="A751" s="89"/>
      <c r="B751" s="40"/>
      <c r="C751" s="40"/>
      <c r="D751" s="40"/>
      <c r="E751" s="40"/>
      <c r="F751" s="40"/>
      <c r="G751" s="40"/>
      <c r="H751" s="41"/>
      <c r="I751" s="90">
        <f t="shared" si="1"/>
        <v>0</v>
      </c>
      <c r="J751" s="91"/>
      <c r="K751" s="92" t="str">
        <f t="shared" si="2"/>
        <v/>
      </c>
      <c r="L751" s="49" t="str">
        <f t="shared" si="3"/>
        <v/>
      </c>
    </row>
    <row r="752" ht="15.75" customHeight="1">
      <c r="A752" s="89"/>
      <c r="B752" s="40"/>
      <c r="C752" s="40"/>
      <c r="D752" s="40"/>
      <c r="E752" s="40"/>
      <c r="F752" s="40"/>
      <c r="G752" s="40"/>
      <c r="H752" s="41"/>
      <c r="I752" s="90">
        <f t="shared" si="1"/>
        <v>0</v>
      </c>
      <c r="J752" s="91"/>
      <c r="K752" s="92" t="str">
        <f t="shared" si="2"/>
        <v/>
      </c>
      <c r="L752" s="49" t="str">
        <f t="shared" si="3"/>
        <v/>
      </c>
    </row>
    <row r="753" ht="15.75" customHeight="1">
      <c r="A753" s="89"/>
      <c r="B753" s="40"/>
      <c r="C753" s="40"/>
      <c r="D753" s="40"/>
      <c r="E753" s="40"/>
      <c r="F753" s="40"/>
      <c r="G753" s="40"/>
      <c r="H753" s="41"/>
      <c r="I753" s="90">
        <f t="shared" si="1"/>
        <v>0</v>
      </c>
      <c r="J753" s="91"/>
      <c r="K753" s="92" t="str">
        <f t="shared" si="2"/>
        <v/>
      </c>
      <c r="L753" s="49" t="str">
        <f t="shared" si="3"/>
        <v/>
      </c>
    </row>
    <row r="754" ht="15.0" customHeight="1">
      <c r="A754" s="89"/>
      <c r="B754" s="40"/>
      <c r="C754" s="40"/>
      <c r="D754" s="40"/>
      <c r="E754" s="40"/>
      <c r="F754" s="40"/>
      <c r="G754" s="40"/>
      <c r="H754" s="41"/>
      <c r="I754" s="90">
        <f t="shared" si="1"/>
        <v>0</v>
      </c>
      <c r="J754" s="91"/>
      <c r="K754" s="92" t="str">
        <f t="shared" si="2"/>
        <v/>
      </c>
      <c r="L754" s="49" t="str">
        <f t="shared" si="3"/>
        <v/>
      </c>
    </row>
    <row r="755" ht="15.0" customHeight="1">
      <c r="A755" s="89"/>
      <c r="B755" s="40"/>
      <c r="C755" s="40"/>
      <c r="D755" s="40"/>
      <c r="E755" s="40"/>
      <c r="F755" s="40"/>
      <c r="G755" s="40"/>
      <c r="H755" s="41"/>
      <c r="I755" s="90">
        <f t="shared" si="1"/>
        <v>0</v>
      </c>
      <c r="J755" s="91"/>
      <c r="K755" s="92" t="str">
        <f t="shared" si="2"/>
        <v/>
      </c>
      <c r="L755" s="49" t="str">
        <f t="shared" si="3"/>
        <v/>
      </c>
    </row>
    <row r="756" ht="15.0" customHeight="1">
      <c r="A756" s="89"/>
      <c r="B756" s="40"/>
      <c r="C756" s="40"/>
      <c r="D756" s="40"/>
      <c r="E756" s="40"/>
      <c r="F756" s="40"/>
      <c r="G756" s="40"/>
      <c r="H756" s="41"/>
      <c r="I756" s="90">
        <f t="shared" si="1"/>
        <v>0</v>
      </c>
      <c r="J756" s="91"/>
      <c r="K756" s="92" t="str">
        <f t="shared" si="2"/>
        <v/>
      </c>
      <c r="L756" s="49" t="str">
        <f t="shared" si="3"/>
        <v/>
      </c>
    </row>
    <row r="757" ht="15.0" customHeight="1">
      <c r="A757" s="89"/>
      <c r="B757" s="40"/>
      <c r="C757" s="40"/>
      <c r="D757" s="40"/>
      <c r="E757" s="40"/>
      <c r="F757" s="40"/>
      <c r="G757" s="40"/>
      <c r="H757" s="41"/>
      <c r="I757" s="90">
        <f t="shared" si="1"/>
        <v>0</v>
      </c>
      <c r="J757" s="91"/>
      <c r="K757" s="92" t="str">
        <f t="shared" si="2"/>
        <v/>
      </c>
      <c r="L757" s="49" t="str">
        <f t="shared" si="3"/>
        <v/>
      </c>
    </row>
    <row r="758" ht="15.0" customHeight="1">
      <c r="A758" s="89"/>
      <c r="B758" s="40"/>
      <c r="C758" s="40"/>
      <c r="D758" s="40"/>
      <c r="E758" s="40"/>
      <c r="F758" s="40"/>
      <c r="G758" s="40"/>
      <c r="H758" s="41"/>
      <c r="I758" s="90">
        <f t="shared" si="1"/>
        <v>0</v>
      </c>
      <c r="J758" s="91"/>
      <c r="K758" s="92" t="str">
        <f t="shared" si="2"/>
        <v/>
      </c>
      <c r="L758" s="49" t="str">
        <f t="shared" si="3"/>
        <v/>
      </c>
    </row>
    <row r="759" ht="15.0" customHeight="1">
      <c r="A759" s="89"/>
      <c r="B759" s="40"/>
      <c r="C759" s="40"/>
      <c r="D759" s="40"/>
      <c r="E759" s="40"/>
      <c r="F759" s="40"/>
      <c r="G759" s="40"/>
      <c r="H759" s="41"/>
      <c r="I759" s="90">
        <f t="shared" si="1"/>
        <v>0</v>
      </c>
      <c r="J759" s="91"/>
      <c r="K759" s="92" t="str">
        <f t="shared" si="2"/>
        <v/>
      </c>
      <c r="L759" s="49" t="str">
        <f t="shared" si="3"/>
        <v/>
      </c>
    </row>
    <row r="760" ht="15.0" customHeight="1">
      <c r="A760" s="89"/>
      <c r="B760" s="40"/>
      <c r="C760" s="40"/>
      <c r="D760" s="40"/>
      <c r="E760" s="40"/>
      <c r="F760" s="40"/>
      <c r="G760" s="40"/>
      <c r="H760" s="41"/>
      <c r="I760" s="90">
        <f t="shared" si="1"/>
        <v>0</v>
      </c>
      <c r="J760" s="91"/>
      <c r="K760" s="92" t="str">
        <f t="shared" si="2"/>
        <v/>
      </c>
      <c r="L760" s="49" t="str">
        <f t="shared" si="3"/>
        <v/>
      </c>
    </row>
    <row r="761" ht="15.0" customHeight="1">
      <c r="A761" s="89"/>
      <c r="B761" s="40"/>
      <c r="C761" s="40"/>
      <c r="D761" s="40"/>
      <c r="E761" s="40"/>
      <c r="F761" s="40"/>
      <c r="G761" s="40"/>
      <c r="H761" s="41"/>
      <c r="I761" s="90">
        <f t="shared" si="1"/>
        <v>0</v>
      </c>
      <c r="J761" s="91"/>
      <c r="K761" s="92" t="str">
        <f t="shared" si="2"/>
        <v/>
      </c>
      <c r="L761" s="49" t="str">
        <f t="shared" si="3"/>
        <v/>
      </c>
    </row>
    <row r="762" ht="15.0" customHeight="1">
      <c r="A762" s="89"/>
      <c r="B762" s="40"/>
      <c r="C762" s="40"/>
      <c r="D762" s="40"/>
      <c r="E762" s="40"/>
      <c r="F762" s="40"/>
      <c r="G762" s="40"/>
      <c r="H762" s="41"/>
      <c r="I762" s="90">
        <f t="shared" si="1"/>
        <v>0</v>
      </c>
      <c r="J762" s="91"/>
      <c r="K762" s="92" t="str">
        <f t="shared" si="2"/>
        <v/>
      </c>
      <c r="L762" s="49" t="str">
        <f t="shared" si="3"/>
        <v/>
      </c>
    </row>
    <row r="763" ht="15.0" customHeight="1">
      <c r="A763" s="89"/>
      <c r="B763" s="40"/>
      <c r="C763" s="40"/>
      <c r="D763" s="40"/>
      <c r="E763" s="40"/>
      <c r="F763" s="40"/>
      <c r="G763" s="40"/>
      <c r="H763" s="41"/>
      <c r="I763" s="90">
        <f t="shared" si="1"/>
        <v>0</v>
      </c>
      <c r="J763" s="91"/>
      <c r="K763" s="92" t="str">
        <f t="shared" si="2"/>
        <v/>
      </c>
      <c r="L763" s="49" t="str">
        <f t="shared" si="3"/>
        <v/>
      </c>
    </row>
    <row r="764" ht="15.0" customHeight="1">
      <c r="A764" s="89"/>
      <c r="B764" s="40"/>
      <c r="C764" s="40"/>
      <c r="D764" s="40"/>
      <c r="E764" s="40"/>
      <c r="F764" s="40"/>
      <c r="G764" s="40"/>
      <c r="H764" s="41"/>
      <c r="I764" s="90">
        <f t="shared" si="1"/>
        <v>0</v>
      </c>
      <c r="J764" s="91"/>
      <c r="K764" s="92" t="str">
        <f t="shared" si="2"/>
        <v/>
      </c>
      <c r="L764" s="49" t="str">
        <f t="shared" si="3"/>
        <v/>
      </c>
    </row>
    <row r="765" ht="15.0" customHeight="1">
      <c r="A765" s="89"/>
      <c r="B765" s="40"/>
      <c r="C765" s="40"/>
      <c r="D765" s="40"/>
      <c r="E765" s="40"/>
      <c r="F765" s="40"/>
      <c r="G765" s="40"/>
      <c r="H765" s="41"/>
      <c r="I765" s="90">
        <f t="shared" si="1"/>
        <v>0</v>
      </c>
      <c r="J765" s="91"/>
      <c r="K765" s="92" t="str">
        <f t="shared" si="2"/>
        <v/>
      </c>
      <c r="L765" s="49" t="str">
        <f t="shared" si="3"/>
        <v/>
      </c>
    </row>
    <row r="766" ht="15.0" customHeight="1">
      <c r="A766" s="89"/>
      <c r="B766" s="40"/>
      <c r="C766" s="40"/>
      <c r="D766" s="40"/>
      <c r="E766" s="40"/>
      <c r="F766" s="40"/>
      <c r="G766" s="40"/>
      <c r="H766" s="41"/>
      <c r="I766" s="90">
        <f t="shared" si="1"/>
        <v>0</v>
      </c>
      <c r="J766" s="91"/>
      <c r="K766" s="92" t="str">
        <f t="shared" si="2"/>
        <v/>
      </c>
      <c r="L766" s="49" t="str">
        <f t="shared" si="3"/>
        <v/>
      </c>
    </row>
    <row r="767" ht="15.0" customHeight="1">
      <c r="A767" s="89"/>
      <c r="B767" s="40"/>
      <c r="C767" s="40"/>
      <c r="D767" s="40"/>
      <c r="E767" s="40"/>
      <c r="F767" s="40"/>
      <c r="G767" s="40"/>
      <c r="H767" s="41"/>
      <c r="I767" s="90">
        <f t="shared" si="1"/>
        <v>0</v>
      </c>
      <c r="J767" s="91"/>
      <c r="K767" s="92" t="str">
        <f t="shared" si="2"/>
        <v/>
      </c>
      <c r="L767" s="49" t="str">
        <f t="shared" si="3"/>
        <v/>
      </c>
    </row>
    <row r="768" ht="15.0" customHeight="1">
      <c r="A768" s="89"/>
      <c r="B768" s="40"/>
      <c r="C768" s="40"/>
      <c r="D768" s="40"/>
      <c r="E768" s="40"/>
      <c r="F768" s="40"/>
      <c r="G768" s="40"/>
      <c r="H768" s="41"/>
      <c r="I768" s="90">
        <f t="shared" si="1"/>
        <v>0</v>
      </c>
      <c r="J768" s="91"/>
      <c r="K768" s="92" t="str">
        <f t="shared" si="2"/>
        <v/>
      </c>
      <c r="L768" s="49" t="str">
        <f t="shared" si="3"/>
        <v/>
      </c>
    </row>
    <row r="769" ht="15.0" customHeight="1">
      <c r="A769" s="89"/>
      <c r="B769" s="40"/>
      <c r="C769" s="40"/>
      <c r="D769" s="40"/>
      <c r="E769" s="40"/>
      <c r="F769" s="40"/>
      <c r="G769" s="40"/>
      <c r="H769" s="41"/>
      <c r="I769" s="90">
        <f t="shared" si="1"/>
        <v>0</v>
      </c>
      <c r="J769" s="91"/>
      <c r="K769" s="92" t="str">
        <f t="shared" si="2"/>
        <v/>
      </c>
      <c r="L769" s="49" t="str">
        <f t="shared" si="3"/>
        <v/>
      </c>
    </row>
    <row r="770" ht="15.0" customHeight="1">
      <c r="A770" s="89"/>
      <c r="B770" s="40"/>
      <c r="C770" s="40"/>
      <c r="D770" s="40"/>
      <c r="E770" s="40"/>
      <c r="F770" s="40"/>
      <c r="G770" s="40"/>
      <c r="H770" s="41"/>
      <c r="I770" s="90">
        <f t="shared" si="1"/>
        <v>0</v>
      </c>
      <c r="J770" s="91"/>
      <c r="K770" s="92" t="str">
        <f t="shared" si="2"/>
        <v/>
      </c>
      <c r="L770" s="49" t="str">
        <f t="shared" si="3"/>
        <v/>
      </c>
    </row>
    <row r="771" ht="15.0" customHeight="1">
      <c r="A771" s="89"/>
      <c r="B771" s="40"/>
      <c r="C771" s="40"/>
      <c r="D771" s="40"/>
      <c r="E771" s="40"/>
      <c r="F771" s="40"/>
      <c r="G771" s="40"/>
      <c r="H771" s="41"/>
      <c r="I771" s="90">
        <f t="shared" si="1"/>
        <v>0</v>
      </c>
      <c r="J771" s="91"/>
      <c r="K771" s="92" t="str">
        <f t="shared" si="2"/>
        <v/>
      </c>
      <c r="L771" s="49" t="str">
        <f t="shared" si="3"/>
        <v/>
      </c>
    </row>
    <row r="772" ht="15.0" customHeight="1">
      <c r="A772" s="89"/>
      <c r="B772" s="40"/>
      <c r="C772" s="40"/>
      <c r="D772" s="40"/>
      <c r="E772" s="40"/>
      <c r="F772" s="40"/>
      <c r="G772" s="40"/>
      <c r="H772" s="41"/>
      <c r="I772" s="90">
        <f t="shared" si="1"/>
        <v>0</v>
      </c>
      <c r="J772" s="91"/>
      <c r="K772" s="92" t="str">
        <f t="shared" si="2"/>
        <v/>
      </c>
      <c r="L772" s="49" t="str">
        <f t="shared" si="3"/>
        <v/>
      </c>
    </row>
    <row r="773" ht="15.0" customHeight="1">
      <c r="A773" s="89"/>
      <c r="B773" s="40"/>
      <c r="C773" s="40"/>
      <c r="D773" s="40"/>
      <c r="E773" s="40"/>
      <c r="F773" s="40"/>
      <c r="G773" s="40"/>
      <c r="H773" s="41"/>
      <c r="I773" s="90">
        <f t="shared" si="1"/>
        <v>0</v>
      </c>
      <c r="J773" s="91"/>
      <c r="K773" s="92" t="str">
        <f t="shared" si="2"/>
        <v/>
      </c>
      <c r="L773" s="49" t="str">
        <f t="shared" si="3"/>
        <v/>
      </c>
    </row>
    <row r="774" ht="15.0" customHeight="1">
      <c r="A774" s="89"/>
      <c r="B774" s="40"/>
      <c r="C774" s="40"/>
      <c r="D774" s="40"/>
      <c r="E774" s="40"/>
      <c r="F774" s="40"/>
      <c r="G774" s="40"/>
      <c r="H774" s="41"/>
      <c r="I774" s="90">
        <f t="shared" si="1"/>
        <v>0</v>
      </c>
      <c r="J774" s="91"/>
      <c r="K774" s="92" t="str">
        <f t="shared" si="2"/>
        <v/>
      </c>
      <c r="L774" s="49" t="str">
        <f t="shared" si="3"/>
        <v/>
      </c>
    </row>
    <row r="775" ht="15.0" customHeight="1">
      <c r="A775" s="89"/>
      <c r="B775" s="40"/>
      <c r="C775" s="40"/>
      <c r="D775" s="40"/>
      <c r="E775" s="40"/>
      <c r="F775" s="40"/>
      <c r="G775" s="40"/>
      <c r="H775" s="41"/>
      <c r="I775" s="90">
        <f t="shared" si="1"/>
        <v>0</v>
      </c>
      <c r="J775" s="91"/>
      <c r="K775" s="92" t="str">
        <f t="shared" si="2"/>
        <v/>
      </c>
      <c r="L775" s="49" t="str">
        <f t="shared" si="3"/>
        <v/>
      </c>
    </row>
    <row r="776" ht="15.0" customHeight="1">
      <c r="A776" s="89"/>
      <c r="B776" s="40"/>
      <c r="C776" s="40"/>
      <c r="D776" s="40"/>
      <c r="E776" s="40"/>
      <c r="F776" s="40"/>
      <c r="G776" s="40"/>
      <c r="H776" s="41"/>
      <c r="I776" s="90">
        <f t="shared" si="1"/>
        <v>0</v>
      </c>
      <c r="J776" s="91"/>
      <c r="K776" s="92" t="str">
        <f t="shared" si="2"/>
        <v/>
      </c>
      <c r="L776" s="49" t="str">
        <f t="shared" si="3"/>
        <v/>
      </c>
    </row>
    <row r="777" ht="15.0" customHeight="1">
      <c r="A777" s="89"/>
      <c r="B777" s="40"/>
      <c r="C777" s="40"/>
      <c r="D777" s="40"/>
      <c r="E777" s="40"/>
      <c r="F777" s="40"/>
      <c r="G777" s="40"/>
      <c r="H777" s="41"/>
      <c r="I777" s="90">
        <f t="shared" si="1"/>
        <v>0</v>
      </c>
      <c r="J777" s="91"/>
      <c r="K777" s="92" t="str">
        <f t="shared" si="2"/>
        <v/>
      </c>
      <c r="L777" s="49" t="str">
        <f t="shared" si="3"/>
        <v/>
      </c>
    </row>
    <row r="778" ht="15.0" customHeight="1">
      <c r="A778" s="89"/>
      <c r="B778" s="40"/>
      <c r="C778" s="40"/>
      <c r="D778" s="40"/>
      <c r="E778" s="40"/>
      <c r="F778" s="40"/>
      <c r="G778" s="40"/>
      <c r="H778" s="41"/>
      <c r="I778" s="90">
        <f t="shared" si="1"/>
        <v>0</v>
      </c>
      <c r="J778" s="91"/>
      <c r="K778" s="92" t="str">
        <f t="shared" si="2"/>
        <v/>
      </c>
      <c r="L778" s="49" t="str">
        <f t="shared" si="3"/>
        <v/>
      </c>
    </row>
    <row r="779" ht="15.0" customHeight="1">
      <c r="A779" s="89"/>
      <c r="B779" s="40"/>
      <c r="C779" s="40"/>
      <c r="D779" s="40"/>
      <c r="E779" s="40"/>
      <c r="F779" s="40"/>
      <c r="G779" s="40"/>
      <c r="H779" s="41"/>
      <c r="I779" s="90">
        <f t="shared" si="1"/>
        <v>0</v>
      </c>
      <c r="J779" s="91"/>
      <c r="K779" s="92" t="str">
        <f t="shared" si="2"/>
        <v/>
      </c>
      <c r="L779" s="49" t="str">
        <f t="shared" si="3"/>
        <v/>
      </c>
    </row>
    <row r="780" ht="15.0" customHeight="1">
      <c r="A780" s="89"/>
      <c r="B780" s="40"/>
      <c r="C780" s="40"/>
      <c r="D780" s="40"/>
      <c r="E780" s="40"/>
      <c r="F780" s="40"/>
      <c r="G780" s="40"/>
      <c r="H780" s="41"/>
      <c r="I780" s="90">
        <f t="shared" si="1"/>
        <v>0</v>
      </c>
      <c r="J780" s="91"/>
      <c r="K780" s="92" t="str">
        <f t="shared" si="2"/>
        <v/>
      </c>
      <c r="L780" s="49" t="str">
        <f t="shared" si="3"/>
        <v/>
      </c>
    </row>
    <row r="781" ht="15.0" customHeight="1">
      <c r="A781" s="89"/>
      <c r="B781" s="40"/>
      <c r="C781" s="40"/>
      <c r="D781" s="40"/>
      <c r="E781" s="40"/>
      <c r="F781" s="40"/>
      <c r="G781" s="40"/>
      <c r="H781" s="41"/>
      <c r="I781" s="90">
        <f t="shared" si="1"/>
        <v>0</v>
      </c>
      <c r="J781" s="91"/>
      <c r="K781" s="92" t="str">
        <f t="shared" si="2"/>
        <v/>
      </c>
      <c r="L781" s="49" t="str">
        <f t="shared" si="3"/>
        <v/>
      </c>
    </row>
    <row r="782" ht="15.0" customHeight="1">
      <c r="A782" s="89"/>
      <c r="B782" s="40"/>
      <c r="C782" s="40"/>
      <c r="D782" s="40"/>
      <c r="E782" s="40"/>
      <c r="F782" s="40"/>
      <c r="G782" s="40"/>
      <c r="H782" s="41"/>
      <c r="I782" s="90">
        <f t="shared" si="1"/>
        <v>0</v>
      </c>
      <c r="J782" s="91"/>
      <c r="K782" s="92" t="str">
        <f t="shared" si="2"/>
        <v/>
      </c>
      <c r="L782" s="49" t="str">
        <f t="shared" si="3"/>
        <v/>
      </c>
    </row>
    <row r="783" ht="15.0" customHeight="1">
      <c r="A783" s="89"/>
      <c r="B783" s="40"/>
      <c r="C783" s="40"/>
      <c r="D783" s="40"/>
      <c r="E783" s="40"/>
      <c r="F783" s="40"/>
      <c r="G783" s="40"/>
      <c r="H783" s="41"/>
      <c r="I783" s="90">
        <f t="shared" si="1"/>
        <v>0</v>
      </c>
      <c r="J783" s="91"/>
      <c r="K783" s="92" t="str">
        <f t="shared" si="2"/>
        <v/>
      </c>
      <c r="L783" s="49" t="str">
        <f t="shared" si="3"/>
        <v/>
      </c>
    </row>
    <row r="784" ht="15.0" customHeight="1">
      <c r="A784" s="89"/>
      <c r="B784" s="40"/>
      <c r="C784" s="40"/>
      <c r="D784" s="40"/>
      <c r="E784" s="40"/>
      <c r="F784" s="40"/>
      <c r="G784" s="40"/>
      <c r="H784" s="41"/>
      <c r="I784" s="90">
        <f t="shared" si="1"/>
        <v>0</v>
      </c>
      <c r="J784" s="91"/>
      <c r="K784" s="92" t="str">
        <f t="shared" si="2"/>
        <v/>
      </c>
      <c r="L784" s="49" t="str">
        <f t="shared" si="3"/>
        <v/>
      </c>
    </row>
    <row r="785" ht="15.0" customHeight="1">
      <c r="A785" s="89"/>
      <c r="B785" s="40"/>
      <c r="C785" s="40"/>
      <c r="D785" s="40"/>
      <c r="E785" s="40"/>
      <c r="F785" s="40"/>
      <c r="G785" s="40"/>
      <c r="H785" s="41"/>
      <c r="I785" s="90">
        <f t="shared" si="1"/>
        <v>0</v>
      </c>
      <c r="J785" s="91"/>
      <c r="K785" s="92" t="str">
        <f t="shared" si="2"/>
        <v/>
      </c>
      <c r="L785" s="49" t="str">
        <f t="shared" si="3"/>
        <v/>
      </c>
    </row>
    <row r="786" ht="15.0" customHeight="1">
      <c r="A786" s="89"/>
      <c r="B786" s="40"/>
      <c r="C786" s="40"/>
      <c r="D786" s="40"/>
      <c r="E786" s="40"/>
      <c r="F786" s="40"/>
      <c r="G786" s="40"/>
      <c r="H786" s="41"/>
      <c r="I786" s="90">
        <f t="shared" si="1"/>
        <v>0</v>
      </c>
      <c r="J786" s="91"/>
      <c r="K786" s="92" t="str">
        <f t="shared" si="2"/>
        <v/>
      </c>
      <c r="L786" s="49" t="str">
        <f t="shared" si="3"/>
        <v/>
      </c>
    </row>
    <row r="787" ht="15.0" customHeight="1">
      <c r="A787" s="89"/>
      <c r="B787" s="40"/>
      <c r="C787" s="40"/>
      <c r="D787" s="40"/>
      <c r="E787" s="40"/>
      <c r="F787" s="40"/>
      <c r="G787" s="40"/>
      <c r="H787" s="41"/>
      <c r="I787" s="90">
        <f t="shared" si="1"/>
        <v>0</v>
      </c>
      <c r="J787" s="91"/>
      <c r="K787" s="92" t="str">
        <f t="shared" si="2"/>
        <v/>
      </c>
      <c r="L787" s="49" t="str">
        <f t="shared" si="3"/>
        <v/>
      </c>
    </row>
    <row r="788" ht="15.0" customHeight="1">
      <c r="A788" s="89"/>
      <c r="B788" s="40"/>
      <c r="C788" s="40"/>
      <c r="D788" s="40"/>
      <c r="E788" s="40"/>
      <c r="F788" s="40"/>
      <c r="G788" s="40"/>
      <c r="H788" s="41"/>
      <c r="I788" s="90">
        <f t="shared" si="1"/>
        <v>0</v>
      </c>
      <c r="J788" s="91"/>
      <c r="K788" s="92" t="str">
        <f t="shared" si="2"/>
        <v/>
      </c>
      <c r="L788" s="49" t="str">
        <f t="shared" si="3"/>
        <v/>
      </c>
    </row>
    <row r="789" ht="15.0" customHeight="1">
      <c r="A789" s="89"/>
      <c r="B789" s="40"/>
      <c r="C789" s="40"/>
      <c r="D789" s="40"/>
      <c r="E789" s="40"/>
      <c r="F789" s="40"/>
      <c r="G789" s="40"/>
      <c r="H789" s="41"/>
      <c r="I789" s="90">
        <f t="shared" si="1"/>
        <v>0</v>
      </c>
      <c r="J789" s="91"/>
      <c r="K789" s="92" t="str">
        <f t="shared" si="2"/>
        <v/>
      </c>
      <c r="L789" s="49" t="str">
        <f t="shared" si="3"/>
        <v/>
      </c>
    </row>
    <row r="790" ht="15.0" customHeight="1">
      <c r="A790" s="89"/>
      <c r="B790" s="40"/>
      <c r="C790" s="40"/>
      <c r="D790" s="40"/>
      <c r="E790" s="40"/>
      <c r="F790" s="40"/>
      <c r="G790" s="40"/>
      <c r="H790" s="41"/>
      <c r="I790" s="90">
        <f t="shared" si="1"/>
        <v>0</v>
      </c>
      <c r="J790" s="91"/>
      <c r="K790" s="92" t="str">
        <f t="shared" si="2"/>
        <v/>
      </c>
      <c r="L790" s="49" t="str">
        <f t="shared" si="3"/>
        <v/>
      </c>
    </row>
    <row r="791" ht="15.0" customHeight="1">
      <c r="A791" s="89"/>
      <c r="B791" s="40"/>
      <c r="C791" s="40"/>
      <c r="D791" s="40"/>
      <c r="E791" s="40"/>
      <c r="F791" s="40"/>
      <c r="G791" s="40"/>
      <c r="H791" s="41"/>
      <c r="I791" s="90">
        <f t="shared" si="1"/>
        <v>0</v>
      </c>
      <c r="J791" s="91"/>
      <c r="K791" s="92" t="str">
        <f t="shared" si="2"/>
        <v/>
      </c>
      <c r="L791" s="49" t="str">
        <f t="shared" si="3"/>
        <v/>
      </c>
    </row>
    <row r="792" ht="15.0" customHeight="1">
      <c r="A792" s="89"/>
      <c r="B792" s="40"/>
      <c r="C792" s="40"/>
      <c r="D792" s="40"/>
      <c r="E792" s="40"/>
      <c r="F792" s="40"/>
      <c r="G792" s="40"/>
      <c r="H792" s="41"/>
      <c r="I792" s="90">
        <f t="shared" si="1"/>
        <v>0</v>
      </c>
      <c r="J792" s="91"/>
      <c r="K792" s="92" t="str">
        <f t="shared" si="2"/>
        <v/>
      </c>
      <c r="L792" s="49" t="str">
        <f t="shared" si="3"/>
        <v/>
      </c>
    </row>
    <row r="793" ht="15.0" customHeight="1">
      <c r="A793" s="89"/>
      <c r="B793" s="40"/>
      <c r="C793" s="40"/>
      <c r="D793" s="40"/>
      <c r="E793" s="40"/>
      <c r="F793" s="40"/>
      <c r="G793" s="40"/>
      <c r="H793" s="41"/>
      <c r="I793" s="90">
        <f t="shared" si="1"/>
        <v>0</v>
      </c>
      <c r="J793" s="91"/>
      <c r="K793" s="92" t="str">
        <f t="shared" si="2"/>
        <v/>
      </c>
      <c r="L793" s="49" t="str">
        <f t="shared" si="3"/>
        <v/>
      </c>
    </row>
    <row r="794" ht="15.0" customHeight="1">
      <c r="A794" s="89"/>
      <c r="B794" s="40"/>
      <c r="C794" s="40"/>
      <c r="D794" s="40"/>
      <c r="E794" s="40"/>
      <c r="F794" s="40"/>
      <c r="G794" s="40"/>
      <c r="H794" s="41"/>
      <c r="I794" s="90">
        <f t="shared" si="1"/>
        <v>0</v>
      </c>
      <c r="J794" s="91"/>
      <c r="K794" s="92" t="str">
        <f t="shared" si="2"/>
        <v/>
      </c>
      <c r="L794" s="49" t="str">
        <f t="shared" si="3"/>
        <v/>
      </c>
    </row>
    <row r="795" ht="15.0" customHeight="1">
      <c r="A795" s="89"/>
      <c r="B795" s="40"/>
      <c r="C795" s="40"/>
      <c r="D795" s="40"/>
      <c r="E795" s="40"/>
      <c r="F795" s="40"/>
      <c r="G795" s="40"/>
      <c r="H795" s="41"/>
      <c r="I795" s="90">
        <f t="shared" si="1"/>
        <v>0</v>
      </c>
      <c r="J795" s="91"/>
      <c r="K795" s="92" t="str">
        <f t="shared" si="2"/>
        <v/>
      </c>
      <c r="L795" s="49" t="str">
        <f t="shared" si="3"/>
        <v/>
      </c>
    </row>
    <row r="796" ht="15.0" customHeight="1">
      <c r="A796" s="89"/>
      <c r="B796" s="40"/>
      <c r="C796" s="40"/>
      <c r="D796" s="40"/>
      <c r="E796" s="40"/>
      <c r="F796" s="40"/>
      <c r="G796" s="40"/>
      <c r="H796" s="41"/>
      <c r="I796" s="90">
        <f t="shared" si="1"/>
        <v>0</v>
      </c>
      <c r="J796" s="91"/>
      <c r="K796" s="92" t="str">
        <f t="shared" si="2"/>
        <v/>
      </c>
      <c r="L796" s="49" t="str">
        <f t="shared" si="3"/>
        <v/>
      </c>
    </row>
    <row r="797" ht="15.0" customHeight="1">
      <c r="A797" s="89"/>
      <c r="B797" s="40"/>
      <c r="C797" s="40"/>
      <c r="D797" s="40"/>
      <c r="E797" s="40"/>
      <c r="F797" s="40"/>
      <c r="G797" s="40"/>
      <c r="H797" s="41"/>
      <c r="I797" s="90">
        <f t="shared" si="1"/>
        <v>0</v>
      </c>
      <c r="J797" s="91"/>
      <c r="K797" s="92" t="str">
        <f t="shared" si="2"/>
        <v/>
      </c>
      <c r="L797" s="49" t="str">
        <f t="shared" si="3"/>
        <v/>
      </c>
    </row>
    <row r="798" ht="15.0" customHeight="1">
      <c r="A798" s="89"/>
      <c r="B798" s="40"/>
      <c r="C798" s="40"/>
      <c r="D798" s="40"/>
      <c r="E798" s="40"/>
      <c r="F798" s="40"/>
      <c r="G798" s="40"/>
      <c r="H798" s="41"/>
      <c r="I798" s="90">
        <f t="shared" si="1"/>
        <v>0</v>
      </c>
      <c r="J798" s="91"/>
      <c r="K798" s="92" t="str">
        <f t="shared" si="2"/>
        <v/>
      </c>
      <c r="L798" s="49" t="str">
        <f t="shared" si="3"/>
        <v/>
      </c>
    </row>
    <row r="799" ht="15.0" customHeight="1">
      <c r="A799" s="89"/>
      <c r="B799" s="40"/>
      <c r="C799" s="40"/>
      <c r="D799" s="40"/>
      <c r="E799" s="40"/>
      <c r="F799" s="40"/>
      <c r="G799" s="40"/>
      <c r="H799" s="41"/>
      <c r="I799" s="90">
        <f t="shared" si="1"/>
        <v>0</v>
      </c>
      <c r="J799" s="91"/>
      <c r="K799" s="92" t="str">
        <f t="shared" si="2"/>
        <v/>
      </c>
      <c r="L799" s="49" t="str">
        <f t="shared" si="3"/>
        <v/>
      </c>
    </row>
    <row r="800" ht="15.0" customHeight="1">
      <c r="A800" s="89"/>
      <c r="B800" s="40"/>
      <c r="C800" s="40"/>
      <c r="D800" s="40"/>
      <c r="E800" s="40"/>
      <c r="F800" s="40"/>
      <c r="G800" s="40"/>
      <c r="H800" s="41"/>
      <c r="I800" s="90">
        <f t="shared" si="1"/>
        <v>0</v>
      </c>
      <c r="J800" s="91"/>
      <c r="K800" s="92" t="str">
        <f t="shared" si="2"/>
        <v/>
      </c>
      <c r="L800" s="49" t="str">
        <f t="shared" si="3"/>
        <v/>
      </c>
    </row>
    <row r="801" ht="15.0" customHeight="1">
      <c r="A801" s="89"/>
      <c r="B801" s="40"/>
      <c r="C801" s="40"/>
      <c r="D801" s="40"/>
      <c r="E801" s="40"/>
      <c r="F801" s="40"/>
      <c r="G801" s="40"/>
      <c r="H801" s="41"/>
      <c r="I801" s="90">
        <f t="shared" si="1"/>
        <v>0</v>
      </c>
      <c r="J801" s="91"/>
      <c r="K801" s="92" t="str">
        <f t="shared" si="2"/>
        <v/>
      </c>
      <c r="L801" s="49" t="str">
        <f t="shared" si="3"/>
        <v/>
      </c>
    </row>
    <row r="802" ht="15.0" customHeight="1">
      <c r="A802" s="89"/>
      <c r="B802" s="40"/>
      <c r="C802" s="40"/>
      <c r="D802" s="40"/>
      <c r="E802" s="40"/>
      <c r="F802" s="40"/>
      <c r="G802" s="40"/>
      <c r="H802" s="41"/>
      <c r="I802" s="90">
        <f t="shared" si="1"/>
        <v>0</v>
      </c>
      <c r="J802" s="91"/>
      <c r="K802" s="92" t="str">
        <f t="shared" si="2"/>
        <v/>
      </c>
      <c r="L802" s="49" t="str">
        <f t="shared" si="3"/>
        <v/>
      </c>
    </row>
    <row r="803" ht="15.0" customHeight="1">
      <c r="A803" s="89"/>
      <c r="B803" s="40"/>
      <c r="C803" s="40"/>
      <c r="D803" s="40"/>
      <c r="E803" s="40"/>
      <c r="F803" s="40"/>
      <c r="G803" s="40"/>
      <c r="H803" s="41"/>
      <c r="I803" s="90">
        <f t="shared" si="1"/>
        <v>0</v>
      </c>
      <c r="J803" s="91"/>
      <c r="K803" s="92" t="str">
        <f t="shared" si="2"/>
        <v/>
      </c>
      <c r="L803" s="49" t="str">
        <f t="shared" si="3"/>
        <v/>
      </c>
    </row>
    <row r="804" ht="15.0" customHeight="1">
      <c r="A804" s="89"/>
      <c r="B804" s="40"/>
      <c r="C804" s="40"/>
      <c r="D804" s="40"/>
      <c r="E804" s="40"/>
      <c r="F804" s="40"/>
      <c r="G804" s="40"/>
      <c r="H804" s="41"/>
      <c r="I804" s="90">
        <f t="shared" si="1"/>
        <v>0</v>
      </c>
      <c r="J804" s="91"/>
      <c r="K804" s="92" t="str">
        <f t="shared" si="2"/>
        <v/>
      </c>
      <c r="L804" s="49" t="str">
        <f t="shared" si="3"/>
        <v/>
      </c>
    </row>
    <row r="805" ht="15.0" customHeight="1">
      <c r="A805" s="89"/>
      <c r="B805" s="40"/>
      <c r="C805" s="40"/>
      <c r="D805" s="40"/>
      <c r="E805" s="40"/>
      <c r="F805" s="40"/>
      <c r="G805" s="40"/>
      <c r="H805" s="41"/>
      <c r="I805" s="90">
        <f t="shared" si="1"/>
        <v>0</v>
      </c>
      <c r="J805" s="91"/>
      <c r="K805" s="92" t="str">
        <f t="shared" si="2"/>
        <v/>
      </c>
      <c r="L805" s="49" t="str">
        <f t="shared" si="3"/>
        <v/>
      </c>
    </row>
    <row r="806" ht="15.0" customHeight="1">
      <c r="A806" s="89"/>
      <c r="B806" s="40"/>
      <c r="C806" s="40"/>
      <c r="D806" s="40"/>
      <c r="E806" s="40"/>
      <c r="F806" s="40"/>
      <c r="G806" s="40"/>
      <c r="H806" s="41"/>
      <c r="I806" s="90">
        <f t="shared" si="1"/>
        <v>0</v>
      </c>
      <c r="J806" s="91"/>
      <c r="K806" s="92" t="str">
        <f t="shared" si="2"/>
        <v/>
      </c>
      <c r="L806" s="49" t="str">
        <f t="shared" si="3"/>
        <v/>
      </c>
    </row>
    <row r="807" ht="15.0" customHeight="1">
      <c r="A807" s="89"/>
      <c r="B807" s="40"/>
      <c r="C807" s="40"/>
      <c r="D807" s="40"/>
      <c r="E807" s="40"/>
      <c r="F807" s="40"/>
      <c r="G807" s="40"/>
      <c r="H807" s="41"/>
      <c r="I807" s="90">
        <f t="shared" si="1"/>
        <v>0</v>
      </c>
      <c r="J807" s="91"/>
      <c r="K807" s="92" t="str">
        <f t="shared" si="2"/>
        <v/>
      </c>
      <c r="L807" s="49" t="str">
        <f t="shared" si="3"/>
        <v/>
      </c>
    </row>
    <row r="808" ht="15.0" customHeight="1">
      <c r="A808" s="89"/>
      <c r="B808" s="40"/>
      <c r="C808" s="40"/>
      <c r="D808" s="40"/>
      <c r="E808" s="40"/>
      <c r="F808" s="40"/>
      <c r="G808" s="40"/>
      <c r="H808" s="41"/>
      <c r="I808" s="90">
        <f t="shared" si="1"/>
        <v>0</v>
      </c>
      <c r="J808" s="91"/>
      <c r="K808" s="92" t="str">
        <f t="shared" si="2"/>
        <v/>
      </c>
      <c r="L808" s="49" t="str">
        <f t="shared" si="3"/>
        <v/>
      </c>
    </row>
    <row r="809" ht="15.0" customHeight="1">
      <c r="A809" s="89"/>
      <c r="B809" s="40"/>
      <c r="C809" s="40"/>
      <c r="D809" s="40"/>
      <c r="E809" s="40"/>
      <c r="F809" s="40"/>
      <c r="G809" s="40"/>
      <c r="H809" s="41"/>
      <c r="I809" s="90">
        <f t="shared" si="1"/>
        <v>0</v>
      </c>
      <c r="J809" s="91"/>
      <c r="K809" s="92" t="str">
        <f t="shared" si="2"/>
        <v/>
      </c>
      <c r="L809" s="49" t="str">
        <f t="shared" si="3"/>
        <v/>
      </c>
    </row>
    <row r="810" ht="15.0" customHeight="1">
      <c r="A810" s="89"/>
      <c r="B810" s="40"/>
      <c r="C810" s="40"/>
      <c r="D810" s="40"/>
      <c r="E810" s="40"/>
      <c r="F810" s="40"/>
      <c r="G810" s="40"/>
      <c r="H810" s="41"/>
      <c r="I810" s="90">
        <f t="shared" si="1"/>
        <v>0</v>
      </c>
      <c r="J810" s="91"/>
      <c r="K810" s="92" t="str">
        <f t="shared" si="2"/>
        <v/>
      </c>
      <c r="L810" s="49" t="str">
        <f t="shared" si="3"/>
        <v/>
      </c>
    </row>
    <row r="811" ht="15.0" customHeight="1">
      <c r="A811" s="89"/>
      <c r="B811" s="40"/>
      <c r="C811" s="40"/>
      <c r="D811" s="40"/>
      <c r="E811" s="40"/>
      <c r="F811" s="40"/>
      <c r="G811" s="40"/>
      <c r="H811" s="41"/>
      <c r="I811" s="90">
        <f t="shared" si="1"/>
        <v>0</v>
      </c>
      <c r="J811" s="91"/>
      <c r="K811" s="92" t="str">
        <f t="shared" si="2"/>
        <v/>
      </c>
      <c r="L811" s="49" t="str">
        <f t="shared" si="3"/>
        <v/>
      </c>
    </row>
    <row r="812" ht="15.0" customHeight="1">
      <c r="A812" s="89"/>
      <c r="B812" s="40"/>
      <c r="C812" s="40"/>
      <c r="D812" s="40"/>
      <c r="E812" s="40"/>
      <c r="F812" s="40"/>
      <c r="G812" s="40"/>
      <c r="H812" s="41"/>
      <c r="I812" s="90">
        <f t="shared" si="1"/>
        <v>0</v>
      </c>
      <c r="J812" s="91"/>
      <c r="K812" s="92" t="str">
        <f t="shared" si="2"/>
        <v/>
      </c>
      <c r="L812" s="49" t="str">
        <f t="shared" si="3"/>
        <v/>
      </c>
    </row>
    <row r="813" ht="15.0" customHeight="1">
      <c r="A813" s="89"/>
      <c r="B813" s="40"/>
      <c r="C813" s="40"/>
      <c r="D813" s="40"/>
      <c r="E813" s="40"/>
      <c r="F813" s="40"/>
      <c r="G813" s="40"/>
      <c r="H813" s="41"/>
      <c r="I813" s="90">
        <f t="shared" si="1"/>
        <v>0</v>
      </c>
      <c r="J813" s="91"/>
      <c r="K813" s="92" t="str">
        <f t="shared" si="2"/>
        <v/>
      </c>
      <c r="L813" s="49" t="str">
        <f t="shared" si="3"/>
        <v/>
      </c>
    </row>
    <row r="814" ht="15.0" customHeight="1">
      <c r="A814" s="89"/>
      <c r="B814" s="40"/>
      <c r="C814" s="40"/>
      <c r="D814" s="40"/>
      <c r="E814" s="40"/>
      <c r="F814" s="40"/>
      <c r="G814" s="40"/>
      <c r="H814" s="41"/>
      <c r="I814" s="90">
        <f t="shared" si="1"/>
        <v>0</v>
      </c>
      <c r="J814" s="91"/>
      <c r="K814" s="92" t="str">
        <f t="shared" si="2"/>
        <v/>
      </c>
      <c r="L814" s="49" t="str">
        <f t="shared" si="3"/>
        <v/>
      </c>
    </row>
    <row r="815" ht="15.0" customHeight="1">
      <c r="A815" s="89"/>
      <c r="B815" s="40"/>
      <c r="C815" s="40"/>
      <c r="D815" s="40"/>
      <c r="E815" s="40"/>
      <c r="F815" s="40"/>
      <c r="G815" s="40"/>
      <c r="H815" s="41"/>
      <c r="I815" s="90">
        <f t="shared" si="1"/>
        <v>0</v>
      </c>
      <c r="J815" s="91"/>
      <c r="K815" s="92" t="str">
        <f t="shared" si="2"/>
        <v/>
      </c>
      <c r="L815" s="49" t="str">
        <f t="shared" si="3"/>
        <v/>
      </c>
    </row>
    <row r="816" ht="15.0" customHeight="1">
      <c r="A816" s="89"/>
      <c r="B816" s="40"/>
      <c r="C816" s="40"/>
      <c r="D816" s="40"/>
      <c r="E816" s="40"/>
      <c r="F816" s="40"/>
      <c r="G816" s="40"/>
      <c r="H816" s="41"/>
      <c r="I816" s="90">
        <f t="shared" si="1"/>
        <v>0</v>
      </c>
      <c r="J816" s="91"/>
      <c r="K816" s="92" t="str">
        <f t="shared" si="2"/>
        <v/>
      </c>
      <c r="L816" s="49" t="str">
        <f t="shared" si="3"/>
        <v/>
      </c>
    </row>
    <row r="817" ht="15.0" customHeight="1">
      <c r="A817" s="89"/>
      <c r="B817" s="40"/>
      <c r="C817" s="40"/>
      <c r="D817" s="40"/>
      <c r="E817" s="40"/>
      <c r="F817" s="40"/>
      <c r="G817" s="40"/>
      <c r="H817" s="41"/>
      <c r="I817" s="90">
        <f t="shared" si="1"/>
        <v>0</v>
      </c>
      <c r="J817" s="91"/>
      <c r="K817" s="92" t="str">
        <f t="shared" si="2"/>
        <v/>
      </c>
      <c r="L817" s="49" t="str">
        <f t="shared" si="3"/>
        <v/>
      </c>
    </row>
    <row r="818" ht="15.0" customHeight="1">
      <c r="A818" s="89"/>
      <c r="B818" s="40"/>
      <c r="C818" s="40"/>
      <c r="D818" s="40"/>
      <c r="E818" s="40"/>
      <c r="F818" s="40"/>
      <c r="G818" s="40"/>
      <c r="H818" s="41"/>
      <c r="I818" s="90">
        <f t="shared" si="1"/>
        <v>0</v>
      </c>
      <c r="J818" s="91"/>
      <c r="K818" s="92" t="str">
        <f t="shared" si="2"/>
        <v/>
      </c>
      <c r="L818" s="49" t="str">
        <f t="shared" si="3"/>
        <v/>
      </c>
    </row>
    <row r="819" ht="15.0" customHeight="1">
      <c r="A819" s="89"/>
      <c r="B819" s="40"/>
      <c r="C819" s="40"/>
      <c r="D819" s="40"/>
      <c r="E819" s="40"/>
      <c r="F819" s="40"/>
      <c r="G819" s="40"/>
      <c r="H819" s="41"/>
      <c r="I819" s="90">
        <f t="shared" si="1"/>
        <v>0</v>
      </c>
      <c r="J819" s="91"/>
      <c r="K819" s="92" t="str">
        <f t="shared" si="2"/>
        <v/>
      </c>
      <c r="L819" s="49" t="str">
        <f t="shared" si="3"/>
        <v/>
      </c>
    </row>
    <row r="820" ht="15.0" customHeight="1">
      <c r="A820" s="89"/>
      <c r="B820" s="40"/>
      <c r="C820" s="40"/>
      <c r="D820" s="40"/>
      <c r="E820" s="40"/>
      <c r="F820" s="40"/>
      <c r="G820" s="40"/>
      <c r="H820" s="41"/>
      <c r="I820" s="90">
        <f t="shared" si="1"/>
        <v>0</v>
      </c>
      <c r="J820" s="91"/>
      <c r="K820" s="92" t="str">
        <f t="shared" si="2"/>
        <v/>
      </c>
      <c r="L820" s="49" t="str">
        <f t="shared" si="3"/>
        <v/>
      </c>
    </row>
    <row r="821" ht="15.0" customHeight="1">
      <c r="A821" s="89"/>
      <c r="B821" s="40"/>
      <c r="C821" s="40"/>
      <c r="D821" s="40"/>
      <c r="E821" s="40"/>
      <c r="F821" s="40"/>
      <c r="G821" s="40"/>
      <c r="H821" s="41"/>
      <c r="I821" s="90">
        <f t="shared" si="1"/>
        <v>0</v>
      </c>
      <c r="J821" s="91"/>
      <c r="K821" s="92" t="str">
        <f t="shared" si="2"/>
        <v/>
      </c>
      <c r="L821" s="49" t="str">
        <f t="shared" si="3"/>
        <v/>
      </c>
    </row>
    <row r="822" ht="15.0" customHeight="1">
      <c r="A822" s="89"/>
      <c r="B822" s="40"/>
      <c r="C822" s="40"/>
      <c r="D822" s="40"/>
      <c r="E822" s="40"/>
      <c r="F822" s="40"/>
      <c r="G822" s="40"/>
      <c r="H822" s="41"/>
      <c r="I822" s="90">
        <f t="shared" si="1"/>
        <v>0</v>
      </c>
      <c r="J822" s="91"/>
      <c r="K822" s="92" t="str">
        <f t="shared" si="2"/>
        <v/>
      </c>
      <c r="L822" s="49" t="str">
        <f t="shared" si="3"/>
        <v/>
      </c>
    </row>
    <row r="823" ht="15.0" customHeight="1">
      <c r="A823" s="89"/>
      <c r="B823" s="40"/>
      <c r="C823" s="40"/>
      <c r="D823" s="40"/>
      <c r="E823" s="40"/>
      <c r="F823" s="40"/>
      <c r="G823" s="40"/>
      <c r="H823" s="41"/>
      <c r="I823" s="90">
        <f t="shared" si="1"/>
        <v>0</v>
      </c>
      <c r="J823" s="91"/>
      <c r="K823" s="92" t="str">
        <f t="shared" si="2"/>
        <v/>
      </c>
      <c r="L823" s="49" t="str">
        <f t="shared" si="3"/>
        <v/>
      </c>
    </row>
    <row r="824" ht="15.0" customHeight="1">
      <c r="A824" s="89"/>
      <c r="B824" s="40"/>
      <c r="C824" s="40"/>
      <c r="D824" s="40"/>
      <c r="E824" s="40"/>
      <c r="F824" s="40"/>
      <c r="G824" s="40"/>
      <c r="H824" s="41"/>
      <c r="I824" s="90">
        <f t="shared" si="1"/>
        <v>0</v>
      </c>
      <c r="J824" s="91"/>
      <c r="K824" s="92" t="str">
        <f t="shared" si="2"/>
        <v/>
      </c>
      <c r="L824" s="49" t="str">
        <f t="shared" si="3"/>
        <v/>
      </c>
    </row>
    <row r="825" ht="15.0" customHeight="1">
      <c r="A825" s="89"/>
      <c r="B825" s="40"/>
      <c r="C825" s="40"/>
      <c r="D825" s="40"/>
      <c r="E825" s="40"/>
      <c r="F825" s="40"/>
      <c r="G825" s="40"/>
      <c r="H825" s="41"/>
      <c r="I825" s="90">
        <f t="shared" si="1"/>
        <v>0</v>
      </c>
      <c r="J825" s="91"/>
      <c r="K825" s="92" t="str">
        <f t="shared" si="2"/>
        <v/>
      </c>
      <c r="L825" s="49" t="str">
        <f t="shared" si="3"/>
        <v/>
      </c>
    </row>
    <row r="826" ht="15.0" customHeight="1">
      <c r="A826" s="89"/>
      <c r="B826" s="40"/>
      <c r="C826" s="40"/>
      <c r="D826" s="40"/>
      <c r="E826" s="40"/>
      <c r="F826" s="40"/>
      <c r="G826" s="40"/>
      <c r="H826" s="41"/>
      <c r="I826" s="90">
        <f t="shared" si="1"/>
        <v>0</v>
      </c>
      <c r="J826" s="91"/>
      <c r="K826" s="92" t="str">
        <f t="shared" si="2"/>
        <v/>
      </c>
      <c r="L826" s="49" t="str">
        <f t="shared" si="3"/>
        <v/>
      </c>
    </row>
    <row r="827" ht="15.0" customHeight="1">
      <c r="A827" s="89"/>
      <c r="B827" s="40"/>
      <c r="C827" s="40"/>
      <c r="D827" s="40"/>
      <c r="E827" s="40"/>
      <c r="F827" s="40"/>
      <c r="G827" s="40"/>
      <c r="H827" s="41"/>
      <c r="I827" s="90">
        <f t="shared" si="1"/>
        <v>0</v>
      </c>
      <c r="J827" s="91"/>
      <c r="K827" s="92" t="str">
        <f t="shared" si="2"/>
        <v/>
      </c>
      <c r="L827" s="49" t="str">
        <f t="shared" si="3"/>
        <v/>
      </c>
    </row>
    <row r="828" ht="15.0" customHeight="1">
      <c r="A828" s="89"/>
      <c r="B828" s="40"/>
      <c r="C828" s="40"/>
      <c r="D828" s="40"/>
      <c r="E828" s="40"/>
      <c r="F828" s="40"/>
      <c r="G828" s="40"/>
      <c r="H828" s="41"/>
      <c r="I828" s="90">
        <f t="shared" si="1"/>
        <v>0</v>
      </c>
      <c r="J828" s="91"/>
      <c r="K828" s="92" t="str">
        <f t="shared" si="2"/>
        <v/>
      </c>
      <c r="L828" s="49" t="str">
        <f t="shared" si="3"/>
        <v/>
      </c>
    </row>
    <row r="829" ht="15.0" customHeight="1">
      <c r="A829" s="89"/>
      <c r="B829" s="40"/>
      <c r="C829" s="40"/>
      <c r="D829" s="40"/>
      <c r="E829" s="40"/>
      <c r="F829" s="40"/>
      <c r="G829" s="40"/>
      <c r="H829" s="41"/>
      <c r="I829" s="90">
        <f t="shared" si="1"/>
        <v>0</v>
      </c>
      <c r="J829" s="91"/>
      <c r="K829" s="92" t="str">
        <f t="shared" si="2"/>
        <v/>
      </c>
      <c r="L829" s="49" t="str">
        <f t="shared" si="3"/>
        <v/>
      </c>
    </row>
    <row r="830" ht="15.0" customHeight="1">
      <c r="A830" s="89"/>
      <c r="B830" s="40"/>
      <c r="C830" s="40"/>
      <c r="D830" s="40"/>
      <c r="E830" s="40"/>
      <c r="F830" s="40"/>
      <c r="G830" s="40"/>
      <c r="H830" s="41"/>
      <c r="I830" s="90">
        <f t="shared" si="1"/>
        <v>0</v>
      </c>
      <c r="J830" s="91"/>
      <c r="K830" s="92" t="str">
        <f t="shared" si="2"/>
        <v/>
      </c>
      <c r="L830" s="49" t="str">
        <f t="shared" si="3"/>
        <v/>
      </c>
    </row>
    <row r="831" ht="15.0" customHeight="1">
      <c r="A831" s="89"/>
      <c r="B831" s="40"/>
      <c r="C831" s="40"/>
      <c r="D831" s="40"/>
      <c r="E831" s="40"/>
      <c r="F831" s="40"/>
      <c r="G831" s="40"/>
      <c r="H831" s="41"/>
      <c r="I831" s="90">
        <f t="shared" si="1"/>
        <v>0</v>
      </c>
      <c r="J831" s="91"/>
      <c r="K831" s="92" t="str">
        <f t="shared" si="2"/>
        <v/>
      </c>
      <c r="L831" s="49" t="str">
        <f t="shared" si="3"/>
        <v/>
      </c>
    </row>
    <row r="832" ht="15.0" customHeight="1">
      <c r="A832" s="89"/>
      <c r="B832" s="40"/>
      <c r="C832" s="40"/>
      <c r="D832" s="40"/>
      <c r="E832" s="40"/>
      <c r="F832" s="40"/>
      <c r="G832" s="40"/>
      <c r="H832" s="41"/>
      <c r="I832" s="90">
        <f t="shared" si="1"/>
        <v>0</v>
      </c>
      <c r="J832" s="91"/>
      <c r="K832" s="92" t="str">
        <f t="shared" si="2"/>
        <v/>
      </c>
      <c r="L832" s="49" t="str">
        <f t="shared" si="3"/>
        <v/>
      </c>
    </row>
    <row r="833" ht="15.0" customHeight="1">
      <c r="A833" s="89"/>
      <c r="B833" s="40"/>
      <c r="C833" s="40"/>
      <c r="D833" s="40"/>
      <c r="E833" s="40"/>
      <c r="F833" s="40"/>
      <c r="G833" s="40"/>
      <c r="H833" s="41"/>
      <c r="I833" s="90">
        <f t="shared" si="1"/>
        <v>0</v>
      </c>
      <c r="J833" s="91"/>
      <c r="K833" s="92" t="str">
        <f t="shared" si="2"/>
        <v/>
      </c>
      <c r="L833" s="49" t="str">
        <f t="shared" si="3"/>
        <v/>
      </c>
    </row>
    <row r="834" ht="15.0" customHeight="1">
      <c r="A834" s="89"/>
      <c r="B834" s="40"/>
      <c r="C834" s="40"/>
      <c r="D834" s="40"/>
      <c r="E834" s="40"/>
      <c r="F834" s="40"/>
      <c r="G834" s="40"/>
      <c r="H834" s="41"/>
      <c r="I834" s="90">
        <f t="shared" si="1"/>
        <v>0</v>
      </c>
      <c r="J834" s="91"/>
      <c r="K834" s="92" t="str">
        <f t="shared" si="2"/>
        <v/>
      </c>
      <c r="L834" s="49" t="str">
        <f t="shared" si="3"/>
        <v/>
      </c>
    </row>
    <row r="835" ht="15.0" customHeight="1">
      <c r="A835" s="89"/>
      <c r="B835" s="40"/>
      <c r="C835" s="40"/>
      <c r="D835" s="40"/>
      <c r="E835" s="40"/>
      <c r="F835" s="40"/>
      <c r="G835" s="40"/>
      <c r="H835" s="41"/>
      <c r="I835" s="90">
        <f t="shared" si="1"/>
        <v>0</v>
      </c>
      <c r="J835" s="91"/>
      <c r="K835" s="92" t="str">
        <f t="shared" si="2"/>
        <v/>
      </c>
      <c r="L835" s="49" t="str">
        <f t="shared" si="3"/>
        <v/>
      </c>
    </row>
    <row r="836" ht="15.0" customHeight="1">
      <c r="A836" s="89"/>
      <c r="B836" s="40"/>
      <c r="C836" s="40"/>
      <c r="D836" s="40"/>
      <c r="E836" s="40"/>
      <c r="F836" s="40"/>
      <c r="G836" s="40"/>
      <c r="H836" s="41"/>
      <c r="I836" s="90">
        <f t="shared" si="1"/>
        <v>0</v>
      </c>
      <c r="J836" s="91"/>
      <c r="K836" s="92" t="str">
        <f t="shared" si="2"/>
        <v/>
      </c>
      <c r="L836" s="49" t="str">
        <f t="shared" si="3"/>
        <v/>
      </c>
    </row>
    <row r="837" ht="15.0" customHeight="1">
      <c r="A837" s="89"/>
      <c r="B837" s="40"/>
      <c r="C837" s="40"/>
      <c r="D837" s="40"/>
      <c r="E837" s="40"/>
      <c r="F837" s="40"/>
      <c r="G837" s="40"/>
      <c r="H837" s="41"/>
      <c r="I837" s="90">
        <f t="shared" si="1"/>
        <v>0</v>
      </c>
      <c r="J837" s="91"/>
      <c r="K837" s="92" t="str">
        <f t="shared" si="2"/>
        <v/>
      </c>
      <c r="L837" s="49" t="str">
        <f t="shared" si="3"/>
        <v/>
      </c>
    </row>
    <row r="838" ht="15.0" customHeight="1">
      <c r="A838" s="89"/>
      <c r="B838" s="40"/>
      <c r="C838" s="40"/>
      <c r="D838" s="40"/>
      <c r="E838" s="40"/>
      <c r="F838" s="40"/>
      <c r="G838" s="40"/>
      <c r="H838" s="41"/>
      <c r="I838" s="90">
        <f t="shared" si="1"/>
        <v>0</v>
      </c>
      <c r="J838" s="91"/>
      <c r="K838" s="92" t="str">
        <f t="shared" si="2"/>
        <v/>
      </c>
      <c r="L838" s="49" t="str">
        <f t="shared" si="3"/>
        <v/>
      </c>
    </row>
    <row r="839" ht="15.0" customHeight="1">
      <c r="A839" s="89"/>
      <c r="B839" s="40"/>
      <c r="C839" s="40"/>
      <c r="D839" s="40"/>
      <c r="E839" s="40"/>
      <c r="F839" s="40"/>
      <c r="G839" s="40"/>
      <c r="H839" s="41"/>
      <c r="I839" s="90">
        <f t="shared" si="1"/>
        <v>0</v>
      </c>
      <c r="J839" s="91"/>
      <c r="K839" s="92" t="str">
        <f t="shared" si="2"/>
        <v/>
      </c>
      <c r="L839" s="49" t="str">
        <f t="shared" si="3"/>
        <v/>
      </c>
    </row>
    <row r="840" ht="15.0" customHeight="1">
      <c r="A840" s="89"/>
      <c r="B840" s="40"/>
      <c r="C840" s="40"/>
      <c r="D840" s="40"/>
      <c r="E840" s="40"/>
      <c r="F840" s="40"/>
      <c r="G840" s="40"/>
      <c r="H840" s="41"/>
      <c r="I840" s="90">
        <f t="shared" si="1"/>
        <v>0</v>
      </c>
      <c r="J840" s="91"/>
      <c r="K840" s="92" t="str">
        <f t="shared" si="2"/>
        <v/>
      </c>
      <c r="L840" s="49" t="str">
        <f t="shared" si="3"/>
        <v/>
      </c>
    </row>
    <row r="841" ht="15.0" customHeight="1">
      <c r="A841" s="89"/>
      <c r="B841" s="40"/>
      <c r="C841" s="40"/>
      <c r="D841" s="40"/>
      <c r="E841" s="40"/>
      <c r="F841" s="40"/>
      <c r="G841" s="40"/>
      <c r="H841" s="41"/>
      <c r="I841" s="90">
        <f t="shared" si="1"/>
        <v>0</v>
      </c>
      <c r="J841" s="91"/>
      <c r="K841" s="92" t="str">
        <f t="shared" si="2"/>
        <v/>
      </c>
      <c r="L841" s="49" t="str">
        <f t="shared" si="3"/>
        <v/>
      </c>
    </row>
    <row r="842" ht="15.0" customHeight="1">
      <c r="A842" s="89"/>
      <c r="B842" s="40"/>
      <c r="C842" s="40"/>
      <c r="D842" s="40"/>
      <c r="E842" s="40"/>
      <c r="F842" s="40"/>
      <c r="G842" s="40"/>
      <c r="H842" s="41"/>
      <c r="I842" s="90">
        <f t="shared" si="1"/>
        <v>0</v>
      </c>
      <c r="J842" s="91"/>
      <c r="K842" s="92" t="str">
        <f t="shared" si="2"/>
        <v/>
      </c>
      <c r="L842" s="49" t="str">
        <f t="shared" si="3"/>
        <v/>
      </c>
    </row>
    <row r="843" ht="15.0" customHeight="1">
      <c r="A843" s="89"/>
      <c r="B843" s="40"/>
      <c r="C843" s="40"/>
      <c r="D843" s="40"/>
      <c r="E843" s="40"/>
      <c r="F843" s="40"/>
      <c r="G843" s="40"/>
      <c r="H843" s="41"/>
      <c r="I843" s="90">
        <f t="shared" si="1"/>
        <v>0</v>
      </c>
      <c r="J843" s="91"/>
      <c r="K843" s="92" t="str">
        <f t="shared" si="2"/>
        <v/>
      </c>
      <c r="L843" s="49" t="str">
        <f t="shared" si="3"/>
        <v/>
      </c>
    </row>
    <row r="844" ht="15.0" customHeight="1">
      <c r="A844" s="89"/>
      <c r="B844" s="40"/>
      <c r="C844" s="40"/>
      <c r="D844" s="40"/>
      <c r="E844" s="40"/>
      <c r="F844" s="40"/>
      <c r="G844" s="40"/>
      <c r="H844" s="41"/>
      <c r="I844" s="90">
        <f t="shared" si="1"/>
        <v>0</v>
      </c>
      <c r="J844" s="91"/>
      <c r="K844" s="92" t="str">
        <f t="shared" si="2"/>
        <v/>
      </c>
      <c r="L844" s="49" t="str">
        <f t="shared" si="3"/>
        <v/>
      </c>
    </row>
    <row r="845" ht="15.0" customHeight="1">
      <c r="A845" s="89"/>
      <c r="B845" s="40"/>
      <c r="C845" s="40"/>
      <c r="D845" s="40"/>
      <c r="E845" s="40"/>
      <c r="F845" s="40"/>
      <c r="G845" s="40"/>
      <c r="H845" s="41"/>
      <c r="I845" s="90">
        <f t="shared" si="1"/>
        <v>0</v>
      </c>
      <c r="J845" s="91"/>
      <c r="K845" s="92" t="str">
        <f t="shared" si="2"/>
        <v/>
      </c>
      <c r="L845" s="49" t="str">
        <f t="shared" si="3"/>
        <v/>
      </c>
    </row>
    <row r="846" ht="15.0" customHeight="1">
      <c r="A846" s="89"/>
      <c r="B846" s="40"/>
      <c r="C846" s="40"/>
      <c r="D846" s="40"/>
      <c r="E846" s="40"/>
      <c r="F846" s="40"/>
      <c r="G846" s="40"/>
      <c r="H846" s="41"/>
      <c r="I846" s="90">
        <f t="shared" si="1"/>
        <v>0</v>
      </c>
      <c r="J846" s="91"/>
      <c r="K846" s="92" t="str">
        <f t="shared" si="2"/>
        <v/>
      </c>
      <c r="L846" s="49" t="str">
        <f t="shared" si="3"/>
        <v/>
      </c>
    </row>
    <row r="847" ht="15.0" customHeight="1">
      <c r="A847" s="89"/>
      <c r="B847" s="40"/>
      <c r="C847" s="40"/>
      <c r="D847" s="40"/>
      <c r="E847" s="40"/>
      <c r="F847" s="40"/>
      <c r="G847" s="40"/>
      <c r="H847" s="41"/>
      <c r="I847" s="90">
        <f t="shared" si="1"/>
        <v>0</v>
      </c>
      <c r="J847" s="91"/>
      <c r="K847" s="92" t="str">
        <f t="shared" si="2"/>
        <v/>
      </c>
      <c r="L847" s="49" t="str">
        <f t="shared" si="3"/>
        <v/>
      </c>
    </row>
    <row r="848" ht="15.0" customHeight="1">
      <c r="A848" s="89"/>
      <c r="B848" s="40"/>
      <c r="C848" s="40"/>
      <c r="D848" s="40"/>
      <c r="E848" s="40"/>
      <c r="F848" s="40"/>
      <c r="G848" s="40"/>
      <c r="H848" s="41"/>
      <c r="I848" s="90">
        <f t="shared" si="1"/>
        <v>0</v>
      </c>
      <c r="J848" s="91"/>
      <c r="K848" s="92" t="str">
        <f t="shared" si="2"/>
        <v/>
      </c>
      <c r="L848" s="49" t="str">
        <f t="shared" si="3"/>
        <v/>
      </c>
    </row>
    <row r="849" ht="15.0" customHeight="1">
      <c r="A849" s="89"/>
      <c r="B849" s="40"/>
      <c r="C849" s="40"/>
      <c r="D849" s="40"/>
      <c r="E849" s="40"/>
      <c r="F849" s="40"/>
      <c r="G849" s="40"/>
      <c r="H849" s="41"/>
      <c r="I849" s="90">
        <f t="shared" si="1"/>
        <v>0</v>
      </c>
      <c r="J849" s="91"/>
      <c r="K849" s="92" t="str">
        <f t="shared" si="2"/>
        <v/>
      </c>
      <c r="L849" s="49" t="str">
        <f t="shared" si="3"/>
        <v/>
      </c>
    </row>
    <row r="850" ht="15.0" customHeight="1">
      <c r="A850" s="89"/>
      <c r="B850" s="40"/>
      <c r="C850" s="40"/>
      <c r="D850" s="40"/>
      <c r="E850" s="40"/>
      <c r="F850" s="40"/>
      <c r="G850" s="40"/>
      <c r="H850" s="41"/>
      <c r="I850" s="90">
        <f t="shared" si="1"/>
        <v>0</v>
      </c>
      <c r="J850" s="91"/>
      <c r="K850" s="92" t="str">
        <f t="shared" si="2"/>
        <v/>
      </c>
      <c r="L850" s="49" t="str">
        <f t="shared" si="3"/>
        <v/>
      </c>
    </row>
    <row r="851" ht="15.0" customHeight="1">
      <c r="A851" s="89"/>
      <c r="B851" s="40"/>
      <c r="C851" s="40"/>
      <c r="D851" s="40"/>
      <c r="E851" s="40"/>
      <c r="F851" s="40"/>
      <c r="G851" s="40"/>
      <c r="H851" s="41"/>
      <c r="I851" s="90">
        <f t="shared" si="1"/>
        <v>0</v>
      </c>
      <c r="J851" s="91"/>
      <c r="K851" s="92" t="str">
        <f t="shared" si="2"/>
        <v/>
      </c>
      <c r="L851" s="49" t="str">
        <f t="shared" si="3"/>
        <v/>
      </c>
    </row>
    <row r="852" ht="15.0" customHeight="1">
      <c r="A852" s="89"/>
      <c r="B852" s="40"/>
      <c r="C852" s="40"/>
      <c r="D852" s="40"/>
      <c r="E852" s="40"/>
      <c r="F852" s="40"/>
      <c r="G852" s="40"/>
      <c r="H852" s="41"/>
      <c r="I852" s="90">
        <f t="shared" si="1"/>
        <v>0</v>
      </c>
      <c r="J852" s="91"/>
      <c r="K852" s="92" t="str">
        <f t="shared" si="2"/>
        <v/>
      </c>
      <c r="L852" s="49" t="str">
        <f t="shared" si="3"/>
        <v/>
      </c>
    </row>
    <row r="853" ht="15.0" customHeight="1">
      <c r="A853" s="89"/>
      <c r="B853" s="40"/>
      <c r="C853" s="40"/>
      <c r="D853" s="40"/>
      <c r="E853" s="40"/>
      <c r="F853" s="40"/>
      <c r="G853" s="40"/>
      <c r="H853" s="41"/>
      <c r="I853" s="90">
        <f t="shared" si="1"/>
        <v>0</v>
      </c>
      <c r="J853" s="91"/>
      <c r="K853" s="92" t="str">
        <f t="shared" si="2"/>
        <v/>
      </c>
      <c r="L853" s="49" t="str">
        <f t="shared" si="3"/>
        <v/>
      </c>
    </row>
    <row r="854" ht="15.0" customHeight="1">
      <c r="A854" s="89"/>
      <c r="B854" s="40"/>
      <c r="C854" s="40"/>
      <c r="D854" s="40"/>
      <c r="E854" s="40"/>
      <c r="F854" s="40"/>
      <c r="G854" s="40"/>
      <c r="H854" s="41"/>
      <c r="I854" s="90">
        <f t="shared" si="1"/>
        <v>0</v>
      </c>
      <c r="J854" s="91"/>
      <c r="K854" s="92" t="str">
        <f t="shared" si="2"/>
        <v/>
      </c>
      <c r="L854" s="49" t="str">
        <f t="shared" si="3"/>
        <v/>
      </c>
    </row>
    <row r="855" ht="15.0" customHeight="1">
      <c r="A855" s="89"/>
      <c r="B855" s="40"/>
      <c r="C855" s="40"/>
      <c r="D855" s="40"/>
      <c r="E855" s="40"/>
      <c r="F855" s="40"/>
      <c r="G855" s="40"/>
      <c r="H855" s="41"/>
      <c r="I855" s="90">
        <f t="shared" si="1"/>
        <v>0</v>
      </c>
      <c r="J855" s="91"/>
      <c r="K855" s="92" t="str">
        <f t="shared" si="2"/>
        <v/>
      </c>
      <c r="L855" s="49" t="str">
        <f t="shared" si="3"/>
        <v/>
      </c>
    </row>
    <row r="856" ht="15.0" customHeight="1">
      <c r="A856" s="89"/>
      <c r="B856" s="40"/>
      <c r="C856" s="40"/>
      <c r="D856" s="40"/>
      <c r="E856" s="40"/>
      <c r="F856" s="40"/>
      <c r="G856" s="40"/>
      <c r="H856" s="41"/>
      <c r="I856" s="90">
        <f t="shared" si="1"/>
        <v>0</v>
      </c>
      <c r="J856" s="91"/>
      <c r="K856" s="92" t="str">
        <f t="shared" si="2"/>
        <v/>
      </c>
      <c r="L856" s="49" t="str">
        <f t="shared" si="3"/>
        <v/>
      </c>
    </row>
    <row r="857" ht="15.0" customHeight="1">
      <c r="A857" s="89"/>
      <c r="B857" s="40"/>
      <c r="C857" s="40"/>
      <c r="D857" s="40"/>
      <c r="E857" s="40"/>
      <c r="F857" s="40"/>
      <c r="G857" s="40"/>
      <c r="H857" s="41"/>
      <c r="I857" s="90">
        <f t="shared" si="1"/>
        <v>0</v>
      </c>
      <c r="J857" s="91"/>
      <c r="K857" s="92" t="str">
        <f t="shared" si="2"/>
        <v/>
      </c>
      <c r="L857" s="49" t="str">
        <f t="shared" si="3"/>
        <v/>
      </c>
    </row>
    <row r="858" ht="15.0" customHeight="1">
      <c r="A858" s="89"/>
      <c r="B858" s="40"/>
      <c r="C858" s="40"/>
      <c r="D858" s="40"/>
      <c r="E858" s="40"/>
      <c r="F858" s="40"/>
      <c r="G858" s="40"/>
      <c r="H858" s="41"/>
      <c r="I858" s="90">
        <f t="shared" si="1"/>
        <v>0</v>
      </c>
      <c r="J858" s="91"/>
      <c r="K858" s="92" t="str">
        <f t="shared" si="2"/>
        <v/>
      </c>
      <c r="L858" s="49" t="str">
        <f t="shared" si="3"/>
        <v/>
      </c>
    </row>
    <row r="859" ht="15.0" customHeight="1">
      <c r="A859" s="89"/>
      <c r="B859" s="40"/>
      <c r="C859" s="40"/>
      <c r="D859" s="40"/>
      <c r="E859" s="40"/>
      <c r="F859" s="40"/>
      <c r="G859" s="40"/>
      <c r="H859" s="41"/>
      <c r="I859" s="90">
        <f t="shared" si="1"/>
        <v>0</v>
      </c>
      <c r="J859" s="91"/>
      <c r="K859" s="92" t="str">
        <f t="shared" si="2"/>
        <v/>
      </c>
      <c r="L859" s="49" t="str">
        <f t="shared" si="3"/>
        <v/>
      </c>
    </row>
    <row r="860" ht="15.0" customHeight="1">
      <c r="A860" s="89"/>
      <c r="B860" s="40"/>
      <c r="C860" s="40"/>
      <c r="D860" s="40"/>
      <c r="E860" s="40"/>
      <c r="F860" s="40"/>
      <c r="G860" s="40"/>
      <c r="H860" s="41"/>
      <c r="I860" s="90">
        <f t="shared" si="1"/>
        <v>0</v>
      </c>
      <c r="J860" s="91"/>
      <c r="K860" s="92" t="str">
        <f t="shared" si="2"/>
        <v/>
      </c>
      <c r="L860" s="49" t="str">
        <f t="shared" si="3"/>
        <v/>
      </c>
    </row>
    <row r="861" ht="15.0" customHeight="1">
      <c r="A861" s="89"/>
      <c r="B861" s="40"/>
      <c r="C861" s="40"/>
      <c r="D861" s="40"/>
      <c r="E861" s="40"/>
      <c r="F861" s="40"/>
      <c r="G861" s="40"/>
      <c r="H861" s="41"/>
      <c r="I861" s="90">
        <f t="shared" si="1"/>
        <v>0</v>
      </c>
      <c r="J861" s="91"/>
      <c r="K861" s="92" t="str">
        <f t="shared" si="2"/>
        <v/>
      </c>
      <c r="L861" s="49" t="str">
        <f t="shared" si="3"/>
        <v/>
      </c>
    </row>
    <row r="862" ht="15.0" customHeight="1">
      <c r="A862" s="89"/>
      <c r="B862" s="40"/>
      <c r="C862" s="40"/>
      <c r="D862" s="40"/>
      <c r="E862" s="40"/>
      <c r="F862" s="40"/>
      <c r="G862" s="40"/>
      <c r="H862" s="41"/>
      <c r="I862" s="90">
        <f t="shared" si="1"/>
        <v>0</v>
      </c>
      <c r="J862" s="91"/>
      <c r="K862" s="92" t="str">
        <f t="shared" si="2"/>
        <v/>
      </c>
      <c r="L862" s="49" t="str">
        <f t="shared" si="3"/>
        <v/>
      </c>
    </row>
    <row r="863" ht="15.0" customHeight="1">
      <c r="A863" s="89"/>
      <c r="B863" s="40"/>
      <c r="C863" s="40"/>
      <c r="D863" s="40"/>
      <c r="E863" s="40"/>
      <c r="F863" s="40"/>
      <c r="G863" s="40"/>
      <c r="H863" s="41"/>
      <c r="I863" s="90">
        <f t="shared" si="1"/>
        <v>0</v>
      </c>
      <c r="J863" s="91"/>
      <c r="K863" s="92" t="str">
        <f t="shared" si="2"/>
        <v/>
      </c>
      <c r="L863" s="49" t="str">
        <f t="shared" si="3"/>
        <v/>
      </c>
    </row>
    <row r="864" ht="15.0" customHeight="1">
      <c r="A864" s="89"/>
      <c r="B864" s="40"/>
      <c r="C864" s="40"/>
      <c r="D864" s="40"/>
      <c r="E864" s="40"/>
      <c r="F864" s="40"/>
      <c r="G864" s="40"/>
      <c r="H864" s="41"/>
      <c r="I864" s="90">
        <f t="shared" si="1"/>
        <v>0</v>
      </c>
      <c r="J864" s="91"/>
      <c r="K864" s="92" t="str">
        <f t="shared" si="2"/>
        <v/>
      </c>
      <c r="L864" s="49" t="str">
        <f t="shared" si="3"/>
        <v/>
      </c>
    </row>
    <row r="865" ht="15.0" customHeight="1">
      <c r="A865" s="89"/>
      <c r="B865" s="40"/>
      <c r="C865" s="40"/>
      <c r="D865" s="40"/>
      <c r="E865" s="40"/>
      <c r="F865" s="40"/>
      <c r="G865" s="40"/>
      <c r="H865" s="41"/>
      <c r="I865" s="90">
        <f t="shared" si="1"/>
        <v>0</v>
      </c>
      <c r="J865" s="91"/>
      <c r="K865" s="92" t="str">
        <f t="shared" si="2"/>
        <v/>
      </c>
      <c r="L865" s="49" t="str">
        <f t="shared" si="3"/>
        <v/>
      </c>
    </row>
    <row r="866" ht="15.0" customHeight="1">
      <c r="A866" s="89"/>
      <c r="B866" s="40"/>
      <c r="C866" s="40"/>
      <c r="D866" s="40"/>
      <c r="E866" s="40"/>
      <c r="F866" s="40"/>
      <c r="G866" s="40"/>
      <c r="H866" s="41"/>
      <c r="I866" s="90">
        <f t="shared" si="1"/>
        <v>0</v>
      </c>
      <c r="J866" s="91"/>
      <c r="K866" s="92" t="str">
        <f t="shared" si="2"/>
        <v/>
      </c>
      <c r="L866" s="49" t="str">
        <f t="shared" si="3"/>
        <v/>
      </c>
    </row>
    <row r="867" ht="15.0" customHeight="1">
      <c r="A867" s="89"/>
      <c r="B867" s="40"/>
      <c r="C867" s="40"/>
      <c r="D867" s="40"/>
      <c r="E867" s="40"/>
      <c r="F867" s="40"/>
      <c r="G867" s="40"/>
      <c r="H867" s="41"/>
      <c r="I867" s="90">
        <f t="shared" si="1"/>
        <v>0</v>
      </c>
      <c r="J867" s="91"/>
      <c r="K867" s="92" t="str">
        <f t="shared" si="2"/>
        <v/>
      </c>
      <c r="L867" s="49" t="str">
        <f t="shared" si="3"/>
        <v/>
      </c>
    </row>
    <row r="868" ht="15.0" customHeight="1">
      <c r="A868" s="89"/>
      <c r="B868" s="40"/>
      <c r="C868" s="40"/>
      <c r="D868" s="40"/>
      <c r="E868" s="40"/>
      <c r="F868" s="40"/>
      <c r="G868" s="40"/>
      <c r="H868" s="41"/>
      <c r="I868" s="90">
        <f t="shared" si="1"/>
        <v>0</v>
      </c>
      <c r="J868" s="91"/>
      <c r="K868" s="92" t="str">
        <f t="shared" si="2"/>
        <v/>
      </c>
      <c r="L868" s="49" t="str">
        <f t="shared" si="3"/>
        <v/>
      </c>
    </row>
    <row r="869" ht="15.0" customHeight="1">
      <c r="A869" s="89"/>
      <c r="B869" s="40"/>
      <c r="C869" s="40"/>
      <c r="D869" s="40"/>
      <c r="E869" s="40"/>
      <c r="F869" s="40"/>
      <c r="G869" s="40"/>
      <c r="H869" s="41"/>
      <c r="I869" s="90">
        <f t="shared" si="1"/>
        <v>0</v>
      </c>
      <c r="J869" s="91"/>
      <c r="K869" s="92" t="str">
        <f t="shared" si="2"/>
        <v/>
      </c>
      <c r="L869" s="49" t="str">
        <f t="shared" si="3"/>
        <v/>
      </c>
    </row>
    <row r="870" ht="15.0" customHeight="1">
      <c r="A870" s="89"/>
      <c r="B870" s="40"/>
      <c r="C870" s="40"/>
      <c r="D870" s="40"/>
      <c r="E870" s="40"/>
      <c r="F870" s="40"/>
      <c r="G870" s="40"/>
      <c r="H870" s="41"/>
      <c r="I870" s="90">
        <f t="shared" si="1"/>
        <v>0</v>
      </c>
      <c r="J870" s="91"/>
      <c r="K870" s="92" t="str">
        <f t="shared" si="2"/>
        <v/>
      </c>
      <c r="L870" s="49" t="str">
        <f t="shared" si="3"/>
        <v/>
      </c>
    </row>
    <row r="871" ht="15.0" customHeight="1">
      <c r="A871" s="89"/>
      <c r="B871" s="40"/>
      <c r="C871" s="40"/>
      <c r="D871" s="40"/>
      <c r="E871" s="40"/>
      <c r="F871" s="40"/>
      <c r="G871" s="40"/>
      <c r="H871" s="41"/>
      <c r="I871" s="90">
        <f t="shared" si="1"/>
        <v>0</v>
      </c>
      <c r="J871" s="91"/>
      <c r="K871" s="92" t="str">
        <f t="shared" si="2"/>
        <v/>
      </c>
      <c r="L871" s="49" t="str">
        <f t="shared" si="3"/>
        <v/>
      </c>
    </row>
    <row r="872" ht="15.0" customHeight="1">
      <c r="A872" s="89"/>
      <c r="B872" s="40"/>
      <c r="C872" s="40"/>
      <c r="D872" s="40"/>
      <c r="E872" s="40"/>
      <c r="F872" s="40"/>
      <c r="G872" s="40"/>
      <c r="H872" s="41"/>
      <c r="I872" s="90">
        <f t="shared" si="1"/>
        <v>0</v>
      </c>
      <c r="J872" s="91"/>
      <c r="K872" s="92" t="str">
        <f t="shared" si="2"/>
        <v/>
      </c>
      <c r="L872" s="49" t="str">
        <f t="shared" si="3"/>
        <v/>
      </c>
    </row>
    <row r="873" ht="15.0" customHeight="1">
      <c r="A873" s="89"/>
      <c r="B873" s="40"/>
      <c r="C873" s="40"/>
      <c r="D873" s="40"/>
      <c r="E873" s="40"/>
      <c r="F873" s="40"/>
      <c r="G873" s="40"/>
      <c r="H873" s="41"/>
      <c r="I873" s="90">
        <f t="shared" si="1"/>
        <v>0</v>
      </c>
      <c r="J873" s="91"/>
      <c r="K873" s="92" t="str">
        <f t="shared" si="2"/>
        <v/>
      </c>
      <c r="L873" s="49" t="str">
        <f t="shared" si="3"/>
        <v/>
      </c>
    </row>
    <row r="874" ht="15.0" customHeight="1">
      <c r="A874" s="89"/>
      <c r="B874" s="40"/>
      <c r="C874" s="40"/>
      <c r="D874" s="40"/>
      <c r="E874" s="40"/>
      <c r="F874" s="40"/>
      <c r="G874" s="40"/>
      <c r="H874" s="41"/>
      <c r="I874" s="90">
        <f t="shared" si="1"/>
        <v>0</v>
      </c>
      <c r="J874" s="91"/>
      <c r="K874" s="92" t="str">
        <f t="shared" si="2"/>
        <v/>
      </c>
      <c r="L874" s="49" t="str">
        <f t="shared" si="3"/>
        <v/>
      </c>
    </row>
    <row r="875" ht="15.0" customHeight="1">
      <c r="A875" s="89"/>
      <c r="B875" s="40"/>
      <c r="C875" s="40"/>
      <c r="D875" s="40"/>
      <c r="E875" s="40"/>
      <c r="F875" s="40"/>
      <c r="G875" s="40"/>
      <c r="H875" s="41"/>
      <c r="I875" s="90">
        <f t="shared" si="1"/>
        <v>0</v>
      </c>
      <c r="J875" s="91"/>
      <c r="K875" s="92" t="str">
        <f t="shared" si="2"/>
        <v/>
      </c>
      <c r="L875" s="49" t="str">
        <f t="shared" si="3"/>
        <v/>
      </c>
    </row>
    <row r="876" ht="15.0" customHeight="1">
      <c r="A876" s="89"/>
      <c r="B876" s="40"/>
      <c r="C876" s="40"/>
      <c r="D876" s="40"/>
      <c r="E876" s="40"/>
      <c r="F876" s="40"/>
      <c r="G876" s="40"/>
      <c r="H876" s="41"/>
      <c r="I876" s="90">
        <f t="shared" si="1"/>
        <v>0</v>
      </c>
      <c r="J876" s="91"/>
      <c r="K876" s="92" t="str">
        <f t="shared" si="2"/>
        <v/>
      </c>
      <c r="L876" s="49" t="str">
        <f t="shared" si="3"/>
        <v/>
      </c>
    </row>
    <row r="877" ht="15.0" customHeight="1">
      <c r="A877" s="89"/>
      <c r="B877" s="40"/>
      <c r="C877" s="40"/>
      <c r="D877" s="40"/>
      <c r="E877" s="40"/>
      <c r="F877" s="40"/>
      <c r="G877" s="40"/>
      <c r="H877" s="41"/>
      <c r="I877" s="90">
        <f t="shared" si="1"/>
        <v>0</v>
      </c>
      <c r="J877" s="91"/>
      <c r="K877" s="92" t="str">
        <f t="shared" si="2"/>
        <v/>
      </c>
      <c r="L877" s="49" t="str">
        <f t="shared" si="3"/>
        <v/>
      </c>
    </row>
    <row r="878" ht="15.0" customHeight="1">
      <c r="A878" s="89"/>
      <c r="B878" s="40"/>
      <c r="C878" s="40"/>
      <c r="D878" s="40"/>
      <c r="E878" s="40"/>
      <c r="F878" s="40"/>
      <c r="G878" s="40"/>
      <c r="H878" s="41"/>
      <c r="I878" s="90">
        <f t="shared" si="1"/>
        <v>0</v>
      </c>
      <c r="J878" s="91"/>
      <c r="K878" s="92" t="str">
        <f t="shared" si="2"/>
        <v/>
      </c>
      <c r="L878" s="49" t="str">
        <f t="shared" si="3"/>
        <v/>
      </c>
    </row>
    <row r="879" ht="15.0" customHeight="1">
      <c r="A879" s="89"/>
      <c r="B879" s="40"/>
      <c r="C879" s="40"/>
      <c r="D879" s="40"/>
      <c r="E879" s="40"/>
      <c r="F879" s="40"/>
      <c r="G879" s="40"/>
      <c r="H879" s="41"/>
      <c r="I879" s="90">
        <f t="shared" si="1"/>
        <v>0</v>
      </c>
      <c r="J879" s="91"/>
      <c r="K879" s="92" t="str">
        <f t="shared" si="2"/>
        <v/>
      </c>
      <c r="L879" s="49" t="str">
        <f t="shared" si="3"/>
        <v/>
      </c>
    </row>
    <row r="880" ht="15.0" customHeight="1">
      <c r="A880" s="89"/>
      <c r="B880" s="40"/>
      <c r="C880" s="40"/>
      <c r="D880" s="40"/>
      <c r="E880" s="40"/>
      <c r="F880" s="40"/>
      <c r="G880" s="40"/>
      <c r="H880" s="41"/>
      <c r="I880" s="90">
        <f t="shared" si="1"/>
        <v>0</v>
      </c>
      <c r="J880" s="91"/>
      <c r="K880" s="92" t="str">
        <f t="shared" si="2"/>
        <v/>
      </c>
      <c r="L880" s="49" t="str">
        <f t="shared" si="3"/>
        <v/>
      </c>
    </row>
    <row r="881" ht="15.0" customHeight="1">
      <c r="A881" s="89"/>
      <c r="B881" s="40"/>
      <c r="C881" s="40"/>
      <c r="D881" s="40"/>
      <c r="E881" s="40"/>
      <c r="F881" s="40"/>
      <c r="G881" s="40"/>
      <c r="H881" s="41"/>
      <c r="I881" s="90">
        <f t="shared" si="1"/>
        <v>0</v>
      </c>
      <c r="J881" s="91"/>
      <c r="K881" s="92" t="str">
        <f t="shared" si="2"/>
        <v/>
      </c>
      <c r="L881" s="49" t="str">
        <f t="shared" si="3"/>
        <v/>
      </c>
    </row>
    <row r="882" ht="15.0" customHeight="1">
      <c r="A882" s="89"/>
      <c r="B882" s="40"/>
      <c r="C882" s="40"/>
      <c r="D882" s="40"/>
      <c r="E882" s="40"/>
      <c r="F882" s="40"/>
      <c r="G882" s="40"/>
      <c r="H882" s="41"/>
      <c r="I882" s="90">
        <f t="shared" si="1"/>
        <v>0</v>
      </c>
      <c r="J882" s="91"/>
      <c r="K882" s="92" t="str">
        <f t="shared" si="2"/>
        <v/>
      </c>
      <c r="L882" s="49" t="str">
        <f t="shared" si="3"/>
        <v/>
      </c>
    </row>
    <row r="883" ht="15.0" customHeight="1">
      <c r="A883" s="89"/>
      <c r="B883" s="40"/>
      <c r="C883" s="40"/>
      <c r="D883" s="40"/>
      <c r="E883" s="40"/>
      <c r="F883" s="40"/>
      <c r="G883" s="40"/>
      <c r="H883" s="41"/>
      <c r="I883" s="90">
        <f t="shared" si="1"/>
        <v>0</v>
      </c>
      <c r="J883" s="91"/>
      <c r="K883" s="92" t="str">
        <f t="shared" si="2"/>
        <v/>
      </c>
      <c r="L883" s="49" t="str">
        <f t="shared" si="3"/>
        <v/>
      </c>
    </row>
    <row r="884" ht="15.0" customHeight="1">
      <c r="A884" s="89"/>
      <c r="B884" s="40"/>
      <c r="C884" s="40"/>
      <c r="D884" s="40"/>
      <c r="E884" s="40"/>
      <c r="F884" s="40"/>
      <c r="G884" s="40"/>
      <c r="H884" s="41"/>
      <c r="I884" s="90">
        <f t="shared" si="1"/>
        <v>0</v>
      </c>
      <c r="J884" s="91"/>
      <c r="K884" s="92" t="str">
        <f t="shared" si="2"/>
        <v/>
      </c>
      <c r="L884" s="49" t="str">
        <f t="shared" si="3"/>
        <v/>
      </c>
    </row>
    <row r="885" ht="15.0" customHeight="1">
      <c r="A885" s="89"/>
      <c r="B885" s="40"/>
      <c r="C885" s="40"/>
      <c r="D885" s="40"/>
      <c r="E885" s="40"/>
      <c r="F885" s="40"/>
      <c r="G885" s="40"/>
      <c r="H885" s="41"/>
      <c r="I885" s="90">
        <f t="shared" si="1"/>
        <v>0</v>
      </c>
      <c r="J885" s="91"/>
      <c r="K885" s="92" t="str">
        <f t="shared" si="2"/>
        <v/>
      </c>
      <c r="L885" s="49" t="str">
        <f t="shared" si="3"/>
        <v/>
      </c>
    </row>
    <row r="886" ht="15.0" customHeight="1">
      <c r="A886" s="89"/>
      <c r="B886" s="40"/>
      <c r="C886" s="40"/>
      <c r="D886" s="40"/>
      <c r="E886" s="40"/>
      <c r="F886" s="40"/>
      <c r="G886" s="40"/>
      <c r="H886" s="41"/>
      <c r="I886" s="90">
        <f t="shared" si="1"/>
        <v>0</v>
      </c>
      <c r="J886" s="91"/>
      <c r="K886" s="92" t="str">
        <f t="shared" si="2"/>
        <v/>
      </c>
      <c r="L886" s="49" t="str">
        <f t="shared" si="3"/>
        <v/>
      </c>
    </row>
    <row r="887" ht="15.0" customHeight="1">
      <c r="A887" s="89"/>
      <c r="B887" s="40"/>
      <c r="C887" s="40"/>
      <c r="D887" s="40"/>
      <c r="E887" s="40"/>
      <c r="F887" s="40"/>
      <c r="G887" s="40"/>
      <c r="H887" s="41"/>
      <c r="I887" s="90">
        <f t="shared" si="1"/>
        <v>0</v>
      </c>
      <c r="J887" s="91"/>
      <c r="K887" s="92" t="str">
        <f t="shared" si="2"/>
        <v/>
      </c>
      <c r="L887" s="49" t="str">
        <f t="shared" si="3"/>
        <v/>
      </c>
    </row>
    <row r="888" ht="15.0" customHeight="1">
      <c r="A888" s="89"/>
      <c r="B888" s="40"/>
      <c r="C888" s="40"/>
      <c r="D888" s="40"/>
      <c r="E888" s="40"/>
      <c r="F888" s="40"/>
      <c r="G888" s="40"/>
      <c r="H888" s="41"/>
      <c r="I888" s="90">
        <f t="shared" si="1"/>
        <v>0</v>
      </c>
      <c r="J888" s="91"/>
      <c r="K888" s="92" t="str">
        <f t="shared" si="2"/>
        <v/>
      </c>
      <c r="L888" s="49" t="str">
        <f t="shared" si="3"/>
        <v/>
      </c>
    </row>
    <row r="889" ht="15.0" customHeight="1">
      <c r="A889" s="89"/>
      <c r="B889" s="40"/>
      <c r="C889" s="40"/>
      <c r="D889" s="40"/>
      <c r="E889" s="40"/>
      <c r="F889" s="40"/>
      <c r="G889" s="40"/>
      <c r="H889" s="41"/>
      <c r="I889" s="90">
        <f t="shared" si="1"/>
        <v>0</v>
      </c>
      <c r="J889" s="91"/>
      <c r="K889" s="92" t="str">
        <f t="shared" si="2"/>
        <v/>
      </c>
      <c r="L889" s="49" t="str">
        <f t="shared" si="3"/>
        <v/>
      </c>
    </row>
    <row r="890" ht="15.0" customHeight="1">
      <c r="A890" s="89"/>
      <c r="B890" s="40"/>
      <c r="C890" s="40"/>
      <c r="D890" s="40"/>
      <c r="E890" s="40"/>
      <c r="F890" s="40"/>
      <c r="G890" s="40"/>
      <c r="H890" s="41"/>
      <c r="I890" s="90">
        <f t="shared" si="1"/>
        <v>0</v>
      </c>
      <c r="J890" s="91"/>
      <c r="K890" s="92" t="str">
        <f t="shared" si="2"/>
        <v/>
      </c>
      <c r="L890" s="49" t="str">
        <f t="shared" si="3"/>
        <v/>
      </c>
    </row>
    <row r="891" ht="15.0" customHeight="1">
      <c r="A891" s="89"/>
      <c r="B891" s="40"/>
      <c r="C891" s="40"/>
      <c r="D891" s="40"/>
      <c r="E891" s="40"/>
      <c r="F891" s="40"/>
      <c r="G891" s="40"/>
      <c r="H891" s="41"/>
      <c r="I891" s="90">
        <f t="shared" si="1"/>
        <v>0</v>
      </c>
      <c r="J891" s="91"/>
      <c r="K891" s="92" t="str">
        <f t="shared" si="2"/>
        <v/>
      </c>
      <c r="L891" s="49" t="str">
        <f t="shared" si="3"/>
        <v/>
      </c>
    </row>
    <row r="892" ht="15.0" customHeight="1">
      <c r="A892" s="89"/>
      <c r="B892" s="40"/>
      <c r="C892" s="40"/>
      <c r="D892" s="40"/>
      <c r="E892" s="40"/>
      <c r="F892" s="40"/>
      <c r="G892" s="40"/>
      <c r="H892" s="41"/>
      <c r="I892" s="90">
        <f t="shared" si="1"/>
        <v>0</v>
      </c>
      <c r="J892" s="91"/>
      <c r="K892" s="92" t="str">
        <f t="shared" si="2"/>
        <v/>
      </c>
      <c r="L892" s="49" t="str">
        <f t="shared" si="3"/>
        <v/>
      </c>
    </row>
    <row r="893" ht="15.0" customHeight="1">
      <c r="A893" s="89"/>
      <c r="B893" s="40"/>
      <c r="C893" s="40"/>
      <c r="D893" s="40"/>
      <c r="E893" s="40"/>
      <c r="F893" s="40"/>
      <c r="G893" s="40"/>
      <c r="H893" s="41"/>
      <c r="I893" s="90">
        <f t="shared" si="1"/>
        <v>0</v>
      </c>
      <c r="J893" s="91"/>
      <c r="K893" s="92" t="str">
        <f t="shared" si="2"/>
        <v/>
      </c>
      <c r="L893" s="49" t="str">
        <f t="shared" si="3"/>
        <v/>
      </c>
    </row>
    <row r="894" ht="15.0" customHeight="1">
      <c r="A894" s="89"/>
      <c r="B894" s="40"/>
      <c r="C894" s="40"/>
      <c r="D894" s="40"/>
      <c r="E894" s="40"/>
      <c r="F894" s="40"/>
      <c r="G894" s="40"/>
      <c r="H894" s="41"/>
      <c r="I894" s="90">
        <f t="shared" si="1"/>
        <v>0</v>
      </c>
      <c r="J894" s="91"/>
      <c r="K894" s="92" t="str">
        <f t="shared" si="2"/>
        <v/>
      </c>
      <c r="L894" s="49" t="str">
        <f t="shared" si="3"/>
        <v/>
      </c>
    </row>
    <row r="895" ht="15.0" customHeight="1">
      <c r="A895" s="89"/>
      <c r="B895" s="40"/>
      <c r="C895" s="40"/>
      <c r="D895" s="40"/>
      <c r="E895" s="40"/>
      <c r="F895" s="40"/>
      <c r="G895" s="40"/>
      <c r="H895" s="41"/>
      <c r="I895" s="90">
        <f t="shared" si="1"/>
        <v>0</v>
      </c>
      <c r="J895" s="91"/>
      <c r="K895" s="92" t="str">
        <f t="shared" si="2"/>
        <v/>
      </c>
      <c r="L895" s="49" t="str">
        <f t="shared" si="3"/>
        <v/>
      </c>
    </row>
    <row r="896" ht="15.0" customHeight="1">
      <c r="A896" s="89"/>
      <c r="B896" s="40"/>
      <c r="C896" s="40"/>
      <c r="D896" s="40"/>
      <c r="E896" s="40"/>
      <c r="F896" s="40"/>
      <c r="G896" s="40"/>
      <c r="H896" s="41"/>
      <c r="I896" s="90">
        <f t="shared" si="1"/>
        <v>0</v>
      </c>
      <c r="J896" s="91"/>
      <c r="K896" s="92" t="str">
        <f t="shared" si="2"/>
        <v/>
      </c>
      <c r="L896" s="49" t="str">
        <f t="shared" si="3"/>
        <v/>
      </c>
    </row>
    <row r="897" ht="15.0" customHeight="1">
      <c r="A897" s="89"/>
      <c r="B897" s="40"/>
      <c r="C897" s="40"/>
      <c r="D897" s="40"/>
      <c r="E897" s="40"/>
      <c r="F897" s="40"/>
      <c r="G897" s="40"/>
      <c r="H897" s="41"/>
      <c r="I897" s="90">
        <f t="shared" si="1"/>
        <v>0</v>
      </c>
      <c r="J897" s="91"/>
      <c r="K897" s="92" t="str">
        <f t="shared" si="2"/>
        <v/>
      </c>
      <c r="L897" s="49" t="str">
        <f t="shared" si="3"/>
        <v/>
      </c>
    </row>
    <row r="898" ht="15.0" customHeight="1">
      <c r="A898" s="89"/>
      <c r="B898" s="40"/>
      <c r="C898" s="40"/>
      <c r="D898" s="40"/>
      <c r="E898" s="40"/>
      <c r="F898" s="40"/>
      <c r="G898" s="40"/>
      <c r="H898" s="41"/>
      <c r="I898" s="90">
        <f t="shared" si="1"/>
        <v>0</v>
      </c>
      <c r="J898" s="91"/>
      <c r="K898" s="92" t="str">
        <f t="shared" si="2"/>
        <v/>
      </c>
      <c r="L898" s="49" t="str">
        <f t="shared" si="3"/>
        <v/>
      </c>
    </row>
    <row r="899" ht="15.0" customHeight="1">
      <c r="A899" s="89"/>
      <c r="B899" s="40"/>
      <c r="C899" s="40"/>
      <c r="D899" s="40"/>
      <c r="E899" s="40"/>
      <c r="F899" s="40"/>
      <c r="G899" s="40"/>
      <c r="H899" s="41"/>
      <c r="I899" s="90">
        <f t="shared" si="1"/>
        <v>0</v>
      </c>
      <c r="J899" s="91"/>
      <c r="K899" s="92" t="str">
        <f t="shared" si="2"/>
        <v/>
      </c>
      <c r="L899" s="49" t="str">
        <f t="shared" si="3"/>
        <v/>
      </c>
    </row>
    <row r="900" ht="15.0" customHeight="1">
      <c r="A900" s="89"/>
      <c r="B900" s="40"/>
      <c r="C900" s="40"/>
      <c r="D900" s="40"/>
      <c r="E900" s="40"/>
      <c r="F900" s="40"/>
      <c r="G900" s="40"/>
      <c r="H900" s="41"/>
      <c r="I900" s="90">
        <f t="shared" si="1"/>
        <v>0</v>
      </c>
      <c r="J900" s="91"/>
      <c r="K900" s="92" t="str">
        <f t="shared" si="2"/>
        <v/>
      </c>
      <c r="L900" s="49" t="str">
        <f t="shared" si="3"/>
        <v/>
      </c>
    </row>
    <row r="901" ht="15.0" customHeight="1">
      <c r="A901" s="89"/>
      <c r="B901" s="40"/>
      <c r="C901" s="40"/>
      <c r="D901" s="40"/>
      <c r="E901" s="40"/>
      <c r="F901" s="40"/>
      <c r="G901" s="40"/>
      <c r="H901" s="41"/>
      <c r="I901" s="90">
        <f t="shared" si="1"/>
        <v>0</v>
      </c>
      <c r="J901" s="91"/>
      <c r="K901" s="92" t="str">
        <f t="shared" si="2"/>
        <v/>
      </c>
      <c r="L901" s="49" t="str">
        <f t="shared" si="3"/>
        <v/>
      </c>
    </row>
    <row r="902" ht="15.0" customHeight="1">
      <c r="A902" s="89"/>
      <c r="B902" s="40"/>
      <c r="C902" s="40"/>
      <c r="D902" s="40"/>
      <c r="E902" s="40"/>
      <c r="F902" s="40"/>
      <c r="G902" s="40"/>
      <c r="H902" s="41"/>
      <c r="I902" s="90">
        <f t="shared" si="1"/>
        <v>0</v>
      </c>
      <c r="J902" s="91"/>
      <c r="K902" s="92" t="str">
        <f t="shared" si="2"/>
        <v/>
      </c>
      <c r="L902" s="49" t="str">
        <f t="shared" si="3"/>
        <v/>
      </c>
    </row>
    <row r="903" ht="15.0" customHeight="1">
      <c r="A903" s="89"/>
      <c r="B903" s="40"/>
      <c r="C903" s="40"/>
      <c r="D903" s="40"/>
      <c r="E903" s="40"/>
      <c r="F903" s="40"/>
      <c r="G903" s="40"/>
      <c r="H903" s="41"/>
      <c r="I903" s="90">
        <f t="shared" si="1"/>
        <v>0</v>
      </c>
      <c r="J903" s="91"/>
      <c r="K903" s="92" t="str">
        <f t="shared" si="2"/>
        <v/>
      </c>
      <c r="L903" s="49" t="str">
        <f t="shared" si="3"/>
        <v/>
      </c>
    </row>
    <row r="904" ht="15.0" customHeight="1">
      <c r="A904" s="89"/>
      <c r="B904" s="40"/>
      <c r="C904" s="40"/>
      <c r="D904" s="40"/>
      <c r="E904" s="40"/>
      <c r="F904" s="40"/>
      <c r="G904" s="40"/>
      <c r="H904" s="41"/>
      <c r="I904" s="90">
        <f t="shared" si="1"/>
        <v>0</v>
      </c>
      <c r="J904" s="91"/>
      <c r="K904" s="92" t="str">
        <f t="shared" si="2"/>
        <v/>
      </c>
      <c r="L904" s="49" t="str">
        <f t="shared" si="3"/>
        <v/>
      </c>
    </row>
    <row r="905" ht="15.0" customHeight="1">
      <c r="A905" s="89"/>
      <c r="B905" s="40"/>
      <c r="C905" s="40"/>
      <c r="D905" s="40"/>
      <c r="E905" s="40"/>
      <c r="F905" s="40"/>
      <c r="G905" s="40"/>
      <c r="H905" s="41"/>
      <c r="I905" s="90">
        <f t="shared" si="1"/>
        <v>0</v>
      </c>
      <c r="J905" s="91"/>
      <c r="K905" s="92" t="str">
        <f t="shared" si="2"/>
        <v/>
      </c>
      <c r="L905" s="49" t="str">
        <f t="shared" si="3"/>
        <v/>
      </c>
    </row>
    <row r="906" ht="15.0" customHeight="1">
      <c r="A906" s="89"/>
      <c r="B906" s="40"/>
      <c r="C906" s="40"/>
      <c r="D906" s="40"/>
      <c r="E906" s="40"/>
      <c r="F906" s="40"/>
      <c r="G906" s="40"/>
      <c r="H906" s="41"/>
      <c r="I906" s="90">
        <f t="shared" si="1"/>
        <v>0</v>
      </c>
      <c r="J906" s="91"/>
      <c r="K906" s="92" t="str">
        <f t="shared" si="2"/>
        <v/>
      </c>
      <c r="L906" s="49" t="str">
        <f t="shared" si="3"/>
        <v/>
      </c>
    </row>
    <row r="907" ht="15.0" customHeight="1">
      <c r="A907" s="89"/>
      <c r="B907" s="40"/>
      <c r="C907" s="40"/>
      <c r="D907" s="40"/>
      <c r="E907" s="40"/>
      <c r="F907" s="40"/>
      <c r="G907" s="40"/>
      <c r="H907" s="41"/>
      <c r="I907" s="90">
        <f t="shared" si="1"/>
        <v>0</v>
      </c>
      <c r="J907" s="91"/>
      <c r="K907" s="92" t="str">
        <f t="shared" si="2"/>
        <v/>
      </c>
      <c r="L907" s="49" t="str">
        <f t="shared" si="3"/>
        <v/>
      </c>
    </row>
    <row r="908" ht="15.0" customHeight="1">
      <c r="A908" s="89"/>
      <c r="B908" s="40"/>
      <c r="C908" s="40"/>
      <c r="D908" s="40"/>
      <c r="E908" s="40"/>
      <c r="F908" s="40"/>
      <c r="G908" s="40"/>
      <c r="H908" s="41"/>
      <c r="I908" s="90">
        <f t="shared" si="1"/>
        <v>0</v>
      </c>
      <c r="J908" s="91"/>
      <c r="K908" s="92" t="str">
        <f t="shared" si="2"/>
        <v/>
      </c>
      <c r="L908" s="49" t="str">
        <f t="shared" si="3"/>
        <v/>
      </c>
    </row>
    <row r="909" ht="15.0" customHeight="1">
      <c r="A909" s="89"/>
      <c r="B909" s="40"/>
      <c r="C909" s="40"/>
      <c r="D909" s="40"/>
      <c r="E909" s="40"/>
      <c r="F909" s="40"/>
      <c r="G909" s="40"/>
      <c r="H909" s="41"/>
      <c r="I909" s="90">
        <f t="shared" si="1"/>
        <v>0</v>
      </c>
      <c r="J909" s="91"/>
      <c r="K909" s="92" t="str">
        <f t="shared" si="2"/>
        <v/>
      </c>
      <c r="L909" s="49" t="str">
        <f t="shared" si="3"/>
        <v/>
      </c>
    </row>
    <row r="910" ht="15.0" customHeight="1">
      <c r="A910" s="89"/>
      <c r="B910" s="40"/>
      <c r="C910" s="40"/>
      <c r="D910" s="40"/>
      <c r="E910" s="40"/>
      <c r="F910" s="40"/>
      <c r="G910" s="40"/>
      <c r="H910" s="41"/>
      <c r="I910" s="90">
        <f t="shared" si="1"/>
        <v>0</v>
      </c>
      <c r="J910" s="91"/>
      <c r="K910" s="92" t="str">
        <f t="shared" si="2"/>
        <v/>
      </c>
      <c r="L910" s="49" t="str">
        <f t="shared" si="3"/>
        <v/>
      </c>
    </row>
    <row r="911" ht="15.0" customHeight="1">
      <c r="A911" s="89"/>
      <c r="B911" s="40"/>
      <c r="C911" s="40"/>
      <c r="D911" s="40"/>
      <c r="E911" s="40"/>
      <c r="F911" s="40"/>
      <c r="G911" s="40"/>
      <c r="H911" s="41"/>
      <c r="I911" s="90">
        <f t="shared" si="1"/>
        <v>0</v>
      </c>
      <c r="J911" s="91"/>
      <c r="K911" s="92" t="str">
        <f t="shared" si="2"/>
        <v/>
      </c>
      <c r="L911" s="49" t="str">
        <f t="shared" si="3"/>
        <v/>
      </c>
    </row>
    <row r="912" ht="15.0" customHeight="1">
      <c r="A912" s="89"/>
      <c r="B912" s="40"/>
      <c r="C912" s="40"/>
      <c r="D912" s="40"/>
      <c r="E912" s="40"/>
      <c r="F912" s="40"/>
      <c r="G912" s="40"/>
      <c r="H912" s="41"/>
      <c r="I912" s="90">
        <f t="shared" si="1"/>
        <v>0</v>
      </c>
      <c r="J912" s="91"/>
      <c r="K912" s="92" t="str">
        <f t="shared" si="2"/>
        <v/>
      </c>
      <c r="L912" s="49" t="str">
        <f t="shared" si="3"/>
        <v/>
      </c>
    </row>
    <row r="913" ht="15.0" customHeight="1">
      <c r="A913" s="89"/>
      <c r="B913" s="40"/>
      <c r="C913" s="40"/>
      <c r="D913" s="40"/>
      <c r="E913" s="40"/>
      <c r="F913" s="40"/>
      <c r="G913" s="40"/>
      <c r="H913" s="41"/>
      <c r="I913" s="90">
        <f t="shared" si="1"/>
        <v>0</v>
      </c>
      <c r="J913" s="91"/>
      <c r="K913" s="92" t="str">
        <f t="shared" si="2"/>
        <v/>
      </c>
      <c r="L913" s="49" t="str">
        <f t="shared" si="3"/>
        <v/>
      </c>
    </row>
    <row r="914" ht="15.0" customHeight="1">
      <c r="A914" s="89"/>
      <c r="B914" s="40"/>
      <c r="C914" s="40"/>
      <c r="D914" s="40"/>
      <c r="E914" s="40"/>
      <c r="F914" s="40"/>
      <c r="G914" s="40"/>
      <c r="H914" s="41"/>
      <c r="I914" s="90">
        <f t="shared" si="1"/>
        <v>0</v>
      </c>
      <c r="J914" s="91"/>
      <c r="K914" s="92" t="str">
        <f t="shared" si="2"/>
        <v/>
      </c>
      <c r="L914" s="49" t="str">
        <f t="shared" si="3"/>
        <v/>
      </c>
    </row>
    <row r="915" ht="15.0" customHeight="1">
      <c r="A915" s="89"/>
      <c r="B915" s="40"/>
      <c r="C915" s="40"/>
      <c r="D915" s="40"/>
      <c r="E915" s="40"/>
      <c r="F915" s="40"/>
      <c r="G915" s="40"/>
      <c r="H915" s="41"/>
      <c r="I915" s="90">
        <f t="shared" si="1"/>
        <v>0</v>
      </c>
      <c r="J915" s="91"/>
      <c r="K915" s="92" t="str">
        <f t="shared" si="2"/>
        <v/>
      </c>
      <c r="L915" s="49" t="str">
        <f t="shared" si="3"/>
        <v/>
      </c>
    </row>
    <row r="916" ht="15.0" customHeight="1">
      <c r="A916" s="89"/>
      <c r="B916" s="40"/>
      <c r="C916" s="40"/>
      <c r="D916" s="40"/>
      <c r="E916" s="40"/>
      <c r="F916" s="40"/>
      <c r="G916" s="40"/>
      <c r="H916" s="41"/>
      <c r="I916" s="90">
        <f t="shared" si="1"/>
        <v>0</v>
      </c>
      <c r="J916" s="91"/>
      <c r="K916" s="92" t="str">
        <f t="shared" si="2"/>
        <v/>
      </c>
      <c r="L916" s="49" t="str">
        <f t="shared" si="3"/>
        <v/>
      </c>
    </row>
    <row r="917" ht="15.0" customHeight="1">
      <c r="A917" s="89"/>
      <c r="B917" s="40"/>
      <c r="C917" s="40"/>
      <c r="D917" s="40"/>
      <c r="E917" s="40"/>
      <c r="F917" s="40"/>
      <c r="G917" s="40"/>
      <c r="H917" s="41"/>
      <c r="I917" s="90">
        <f t="shared" si="1"/>
        <v>0</v>
      </c>
      <c r="J917" s="91"/>
      <c r="K917" s="92" t="str">
        <f t="shared" si="2"/>
        <v/>
      </c>
      <c r="L917" s="49" t="str">
        <f t="shared" si="3"/>
        <v/>
      </c>
    </row>
    <row r="918" ht="15.0" customHeight="1">
      <c r="A918" s="89"/>
      <c r="B918" s="40"/>
      <c r="C918" s="40"/>
      <c r="D918" s="40"/>
      <c r="E918" s="40"/>
      <c r="F918" s="40"/>
      <c r="G918" s="40"/>
      <c r="H918" s="41"/>
      <c r="I918" s="90">
        <f t="shared" si="1"/>
        <v>0</v>
      </c>
      <c r="J918" s="91"/>
      <c r="K918" s="92" t="str">
        <f t="shared" si="2"/>
        <v/>
      </c>
      <c r="L918" s="49" t="str">
        <f t="shared" si="3"/>
        <v/>
      </c>
    </row>
    <row r="919" ht="15.0" customHeight="1">
      <c r="A919" s="89"/>
      <c r="B919" s="40"/>
      <c r="C919" s="40"/>
      <c r="D919" s="40"/>
      <c r="E919" s="40"/>
      <c r="F919" s="40"/>
      <c r="G919" s="40"/>
      <c r="H919" s="41"/>
      <c r="I919" s="90">
        <f t="shared" si="1"/>
        <v>0</v>
      </c>
      <c r="J919" s="91"/>
      <c r="K919" s="92" t="str">
        <f t="shared" si="2"/>
        <v/>
      </c>
      <c r="L919" s="49" t="str">
        <f t="shared" si="3"/>
        <v/>
      </c>
    </row>
    <row r="920" ht="15.0" customHeight="1">
      <c r="A920" s="89"/>
      <c r="B920" s="40"/>
      <c r="C920" s="40"/>
      <c r="D920" s="40"/>
      <c r="E920" s="40"/>
      <c r="F920" s="40"/>
      <c r="G920" s="40"/>
      <c r="H920" s="41"/>
      <c r="I920" s="90">
        <f t="shared" si="1"/>
        <v>0</v>
      </c>
      <c r="J920" s="91"/>
      <c r="K920" s="92" t="str">
        <f t="shared" si="2"/>
        <v/>
      </c>
      <c r="L920" s="49" t="str">
        <f t="shared" si="3"/>
        <v/>
      </c>
    </row>
    <row r="921" ht="15.0" customHeight="1">
      <c r="A921" s="89"/>
      <c r="B921" s="40"/>
      <c r="C921" s="40"/>
      <c r="D921" s="40"/>
      <c r="E921" s="40"/>
      <c r="F921" s="40"/>
      <c r="G921" s="40"/>
      <c r="H921" s="41"/>
      <c r="I921" s="90">
        <f t="shared" si="1"/>
        <v>0</v>
      </c>
      <c r="J921" s="91"/>
      <c r="K921" s="92" t="str">
        <f t="shared" si="2"/>
        <v/>
      </c>
      <c r="L921" s="49" t="str">
        <f t="shared" si="3"/>
        <v/>
      </c>
    </row>
    <row r="922" ht="15.0" customHeight="1">
      <c r="A922" s="89"/>
      <c r="B922" s="40"/>
      <c r="C922" s="40"/>
      <c r="D922" s="40"/>
      <c r="E922" s="40"/>
      <c r="F922" s="40"/>
      <c r="G922" s="40"/>
      <c r="H922" s="41"/>
      <c r="I922" s="90">
        <f t="shared" si="1"/>
        <v>0</v>
      </c>
      <c r="J922" s="91"/>
      <c r="K922" s="92" t="str">
        <f t="shared" si="2"/>
        <v/>
      </c>
      <c r="L922" s="49" t="str">
        <f t="shared" si="3"/>
        <v/>
      </c>
    </row>
    <row r="923" ht="15.0" customHeight="1">
      <c r="A923" s="89"/>
      <c r="B923" s="40"/>
      <c r="C923" s="40"/>
      <c r="D923" s="40"/>
      <c r="E923" s="40"/>
      <c r="F923" s="40"/>
      <c r="G923" s="40"/>
      <c r="H923" s="41"/>
      <c r="I923" s="90">
        <f t="shared" si="1"/>
        <v>0</v>
      </c>
      <c r="J923" s="91"/>
      <c r="K923" s="92" t="str">
        <f t="shared" si="2"/>
        <v/>
      </c>
      <c r="L923" s="49" t="str">
        <f t="shared" si="3"/>
        <v/>
      </c>
    </row>
    <row r="924" ht="15.0" customHeight="1">
      <c r="A924" s="89"/>
      <c r="B924" s="40"/>
      <c r="C924" s="40"/>
      <c r="D924" s="40"/>
      <c r="E924" s="40"/>
      <c r="F924" s="40"/>
      <c r="G924" s="40"/>
      <c r="H924" s="41"/>
      <c r="I924" s="90">
        <f t="shared" si="1"/>
        <v>0</v>
      </c>
      <c r="J924" s="91"/>
      <c r="K924" s="92" t="str">
        <f t="shared" si="2"/>
        <v/>
      </c>
      <c r="L924" s="49" t="str">
        <f t="shared" si="3"/>
        <v/>
      </c>
    </row>
    <row r="925" ht="15.0" customHeight="1">
      <c r="A925" s="89"/>
      <c r="B925" s="40"/>
      <c r="C925" s="40"/>
      <c r="D925" s="40"/>
      <c r="E925" s="40"/>
      <c r="F925" s="40"/>
      <c r="G925" s="40"/>
      <c r="H925" s="41"/>
      <c r="I925" s="90">
        <f t="shared" si="1"/>
        <v>0</v>
      </c>
      <c r="J925" s="91"/>
      <c r="K925" s="92" t="str">
        <f t="shared" si="2"/>
        <v/>
      </c>
      <c r="L925" s="49" t="str">
        <f t="shared" si="3"/>
        <v/>
      </c>
    </row>
    <row r="926" ht="15.0" customHeight="1">
      <c r="A926" s="89"/>
      <c r="B926" s="40"/>
      <c r="C926" s="40"/>
      <c r="D926" s="40"/>
      <c r="E926" s="40"/>
      <c r="F926" s="40"/>
      <c r="G926" s="40"/>
      <c r="H926" s="41"/>
      <c r="I926" s="90">
        <f t="shared" si="1"/>
        <v>0</v>
      </c>
      <c r="J926" s="91"/>
      <c r="K926" s="92" t="str">
        <f t="shared" si="2"/>
        <v/>
      </c>
      <c r="L926" s="49" t="str">
        <f t="shared" si="3"/>
        <v/>
      </c>
    </row>
    <row r="927" ht="15.0" customHeight="1">
      <c r="A927" s="89"/>
      <c r="B927" s="40"/>
      <c r="C927" s="40"/>
      <c r="D927" s="40"/>
      <c r="E927" s="40"/>
      <c r="F927" s="40"/>
      <c r="G927" s="40"/>
      <c r="H927" s="41"/>
      <c r="I927" s="90">
        <f t="shared" si="1"/>
        <v>0</v>
      </c>
      <c r="J927" s="91"/>
      <c r="K927" s="92" t="str">
        <f t="shared" si="2"/>
        <v/>
      </c>
      <c r="L927" s="49" t="str">
        <f t="shared" si="3"/>
        <v/>
      </c>
    </row>
    <row r="928" ht="15.0" customHeight="1">
      <c r="A928" s="89"/>
      <c r="B928" s="40"/>
      <c r="C928" s="40"/>
      <c r="D928" s="40"/>
      <c r="E928" s="40"/>
      <c r="F928" s="40"/>
      <c r="G928" s="40"/>
      <c r="H928" s="41"/>
      <c r="I928" s="90">
        <f t="shared" si="1"/>
        <v>0</v>
      </c>
      <c r="J928" s="91"/>
      <c r="K928" s="92" t="str">
        <f t="shared" si="2"/>
        <v/>
      </c>
      <c r="L928" s="49" t="str">
        <f t="shared" si="3"/>
        <v/>
      </c>
    </row>
    <row r="929" ht="15.0" customHeight="1">
      <c r="A929" s="89"/>
      <c r="B929" s="40"/>
      <c r="C929" s="40"/>
      <c r="D929" s="40"/>
      <c r="E929" s="40"/>
      <c r="F929" s="40"/>
      <c r="G929" s="40"/>
      <c r="H929" s="41"/>
      <c r="I929" s="90">
        <f t="shared" si="1"/>
        <v>0</v>
      </c>
      <c r="J929" s="91"/>
      <c r="K929" s="92" t="str">
        <f t="shared" si="2"/>
        <v/>
      </c>
      <c r="L929" s="49" t="str">
        <f t="shared" si="3"/>
        <v/>
      </c>
    </row>
    <row r="930" ht="15.0" customHeight="1">
      <c r="A930" s="89"/>
      <c r="B930" s="40"/>
      <c r="C930" s="40"/>
      <c r="D930" s="40"/>
      <c r="E930" s="40"/>
      <c r="F930" s="40"/>
      <c r="G930" s="40"/>
      <c r="H930" s="41"/>
      <c r="I930" s="90">
        <f t="shared" si="1"/>
        <v>0</v>
      </c>
      <c r="J930" s="91"/>
      <c r="K930" s="92" t="str">
        <f t="shared" si="2"/>
        <v/>
      </c>
      <c r="L930" s="49" t="str">
        <f t="shared" si="3"/>
        <v/>
      </c>
    </row>
    <row r="931" ht="15.0" customHeight="1">
      <c r="A931" s="89"/>
      <c r="B931" s="40"/>
      <c r="C931" s="40"/>
      <c r="D931" s="40"/>
      <c r="E931" s="40"/>
      <c r="F931" s="40"/>
      <c r="G931" s="40"/>
      <c r="H931" s="41"/>
      <c r="I931" s="90">
        <f t="shared" si="1"/>
        <v>0</v>
      </c>
      <c r="J931" s="91"/>
      <c r="K931" s="92" t="str">
        <f t="shared" si="2"/>
        <v/>
      </c>
      <c r="L931" s="49" t="str">
        <f t="shared" si="3"/>
        <v/>
      </c>
    </row>
    <row r="932" ht="15.0" customHeight="1">
      <c r="A932" s="89"/>
      <c r="B932" s="40"/>
      <c r="C932" s="40"/>
      <c r="D932" s="40"/>
      <c r="E932" s="40"/>
      <c r="F932" s="40"/>
      <c r="G932" s="40"/>
      <c r="H932" s="41"/>
      <c r="I932" s="90">
        <f t="shared" si="1"/>
        <v>0</v>
      </c>
      <c r="J932" s="91"/>
      <c r="K932" s="92" t="str">
        <f t="shared" si="2"/>
        <v/>
      </c>
      <c r="L932" s="49" t="str">
        <f t="shared" si="3"/>
        <v/>
      </c>
    </row>
    <row r="933" ht="15.0" customHeight="1">
      <c r="A933" s="89"/>
      <c r="B933" s="40"/>
      <c r="C933" s="40"/>
      <c r="D933" s="40"/>
      <c r="E933" s="40"/>
      <c r="F933" s="40"/>
      <c r="G933" s="40"/>
      <c r="H933" s="41"/>
      <c r="I933" s="90">
        <f t="shared" si="1"/>
        <v>0</v>
      </c>
      <c r="J933" s="91"/>
      <c r="K933" s="92" t="str">
        <f t="shared" si="2"/>
        <v/>
      </c>
      <c r="L933" s="49" t="str">
        <f t="shared" si="3"/>
        <v/>
      </c>
    </row>
    <row r="934" ht="15.0" customHeight="1">
      <c r="A934" s="89"/>
      <c r="B934" s="40"/>
      <c r="C934" s="40"/>
      <c r="D934" s="40"/>
      <c r="E934" s="40"/>
      <c r="F934" s="40"/>
      <c r="G934" s="40"/>
      <c r="H934" s="41"/>
      <c r="I934" s="90">
        <f t="shared" si="1"/>
        <v>0</v>
      </c>
      <c r="J934" s="91"/>
      <c r="K934" s="92" t="str">
        <f t="shared" si="2"/>
        <v/>
      </c>
      <c r="L934" s="49" t="str">
        <f t="shared" si="3"/>
        <v/>
      </c>
    </row>
    <row r="935" ht="15.0" customHeight="1">
      <c r="A935" s="89"/>
      <c r="B935" s="40"/>
      <c r="C935" s="40"/>
      <c r="D935" s="40"/>
      <c r="E935" s="40"/>
      <c r="F935" s="40"/>
      <c r="G935" s="40"/>
      <c r="H935" s="41"/>
      <c r="I935" s="90">
        <f t="shared" si="1"/>
        <v>0</v>
      </c>
      <c r="J935" s="91"/>
      <c r="K935" s="92" t="str">
        <f t="shared" si="2"/>
        <v/>
      </c>
      <c r="L935" s="49" t="str">
        <f t="shared" si="3"/>
        <v/>
      </c>
    </row>
    <row r="936" ht="15.0" customHeight="1">
      <c r="A936" s="89"/>
      <c r="B936" s="40"/>
      <c r="C936" s="40"/>
      <c r="D936" s="40"/>
      <c r="E936" s="40"/>
      <c r="F936" s="40"/>
      <c r="G936" s="40"/>
      <c r="H936" s="41"/>
      <c r="I936" s="90">
        <f t="shared" si="1"/>
        <v>0</v>
      </c>
      <c r="J936" s="91"/>
      <c r="K936" s="92" t="str">
        <f t="shared" si="2"/>
        <v/>
      </c>
      <c r="L936" s="49" t="str">
        <f t="shared" si="3"/>
        <v/>
      </c>
    </row>
    <row r="937" ht="15.0" customHeight="1">
      <c r="A937" s="89"/>
      <c r="B937" s="40"/>
      <c r="C937" s="40"/>
      <c r="D937" s="40"/>
      <c r="E937" s="40"/>
      <c r="F937" s="40"/>
      <c r="G937" s="40"/>
      <c r="H937" s="41"/>
      <c r="I937" s="90">
        <f t="shared" si="1"/>
        <v>0</v>
      </c>
      <c r="J937" s="91"/>
      <c r="K937" s="92" t="str">
        <f t="shared" si="2"/>
        <v/>
      </c>
      <c r="L937" s="49" t="str">
        <f t="shared" si="3"/>
        <v/>
      </c>
    </row>
    <row r="938" ht="15.0" customHeight="1">
      <c r="A938" s="89"/>
      <c r="B938" s="40"/>
      <c r="C938" s="40"/>
      <c r="D938" s="40"/>
      <c r="E938" s="40"/>
      <c r="F938" s="40"/>
      <c r="G938" s="40"/>
      <c r="H938" s="41"/>
      <c r="I938" s="90">
        <f t="shared" si="1"/>
        <v>0</v>
      </c>
      <c r="J938" s="91"/>
      <c r="K938" s="92" t="str">
        <f t="shared" si="2"/>
        <v/>
      </c>
      <c r="L938" s="49" t="str">
        <f t="shared" si="3"/>
        <v/>
      </c>
    </row>
    <row r="939" ht="15.0" customHeight="1">
      <c r="A939" s="89"/>
      <c r="B939" s="40"/>
      <c r="C939" s="40"/>
      <c r="D939" s="40"/>
      <c r="E939" s="40"/>
      <c r="F939" s="40"/>
      <c r="G939" s="40"/>
      <c r="H939" s="41"/>
      <c r="I939" s="90">
        <f t="shared" si="1"/>
        <v>0</v>
      </c>
      <c r="J939" s="91"/>
      <c r="K939" s="92" t="str">
        <f t="shared" si="2"/>
        <v/>
      </c>
      <c r="L939" s="49" t="str">
        <f t="shared" si="3"/>
        <v/>
      </c>
    </row>
    <row r="940" ht="15.0" customHeight="1">
      <c r="A940" s="89"/>
      <c r="B940" s="40"/>
      <c r="C940" s="40"/>
      <c r="D940" s="40"/>
      <c r="E940" s="40"/>
      <c r="F940" s="40"/>
      <c r="G940" s="40"/>
      <c r="H940" s="41"/>
      <c r="I940" s="90">
        <f t="shared" si="1"/>
        <v>0</v>
      </c>
      <c r="J940" s="91"/>
      <c r="K940" s="92" t="str">
        <f t="shared" si="2"/>
        <v/>
      </c>
      <c r="L940" s="49" t="str">
        <f t="shared" si="3"/>
        <v/>
      </c>
    </row>
    <row r="941" ht="15.0" customHeight="1">
      <c r="A941" s="89"/>
      <c r="B941" s="40"/>
      <c r="C941" s="40"/>
      <c r="D941" s="40"/>
      <c r="E941" s="40"/>
      <c r="F941" s="40"/>
      <c r="G941" s="40"/>
      <c r="H941" s="41"/>
      <c r="I941" s="90">
        <f t="shared" si="1"/>
        <v>0</v>
      </c>
      <c r="J941" s="91"/>
      <c r="K941" s="92" t="str">
        <f t="shared" si="2"/>
        <v/>
      </c>
      <c r="L941" s="49" t="str">
        <f t="shared" si="3"/>
        <v/>
      </c>
    </row>
    <row r="942" ht="15.0" customHeight="1">
      <c r="A942" s="89"/>
      <c r="B942" s="40"/>
      <c r="C942" s="40"/>
      <c r="D942" s="40"/>
      <c r="E942" s="40"/>
      <c r="F942" s="40"/>
      <c r="G942" s="40"/>
      <c r="H942" s="41"/>
      <c r="I942" s="90">
        <f t="shared" si="1"/>
        <v>0</v>
      </c>
      <c r="J942" s="91"/>
      <c r="K942" s="92" t="str">
        <f t="shared" si="2"/>
        <v/>
      </c>
      <c r="L942" s="49" t="str">
        <f t="shared" si="3"/>
        <v/>
      </c>
    </row>
    <row r="943" ht="15.0" customHeight="1">
      <c r="A943" s="89"/>
      <c r="B943" s="40"/>
      <c r="C943" s="40"/>
      <c r="D943" s="40"/>
      <c r="E943" s="40"/>
      <c r="F943" s="40"/>
      <c r="G943" s="40"/>
      <c r="H943" s="41"/>
      <c r="I943" s="90">
        <f t="shared" si="1"/>
        <v>0</v>
      </c>
      <c r="J943" s="91"/>
      <c r="K943" s="92" t="str">
        <f t="shared" si="2"/>
        <v/>
      </c>
      <c r="L943" s="49" t="str">
        <f t="shared" si="3"/>
        <v/>
      </c>
    </row>
    <row r="944" ht="15.0" customHeight="1">
      <c r="A944" s="89"/>
      <c r="B944" s="40"/>
      <c r="C944" s="40"/>
      <c r="D944" s="40"/>
      <c r="E944" s="40"/>
      <c r="F944" s="40"/>
      <c r="G944" s="40"/>
      <c r="H944" s="41"/>
      <c r="I944" s="90">
        <f t="shared" si="1"/>
        <v>0</v>
      </c>
      <c r="J944" s="91"/>
      <c r="K944" s="92" t="str">
        <f t="shared" si="2"/>
        <v/>
      </c>
      <c r="L944" s="49" t="str">
        <f t="shared" si="3"/>
        <v/>
      </c>
    </row>
    <row r="945" ht="15.0" customHeight="1">
      <c r="A945" s="89"/>
      <c r="B945" s="40"/>
      <c r="C945" s="40"/>
      <c r="D945" s="40"/>
      <c r="E945" s="40"/>
      <c r="F945" s="40"/>
      <c r="G945" s="40"/>
      <c r="H945" s="41"/>
      <c r="I945" s="90">
        <f t="shared" si="1"/>
        <v>0</v>
      </c>
      <c r="J945" s="91"/>
      <c r="K945" s="92" t="str">
        <f t="shared" si="2"/>
        <v/>
      </c>
      <c r="L945" s="49" t="str">
        <f t="shared" si="3"/>
        <v/>
      </c>
    </row>
    <row r="946" ht="15.0" customHeight="1">
      <c r="A946" s="89"/>
      <c r="B946" s="40"/>
      <c r="C946" s="40"/>
      <c r="D946" s="40"/>
      <c r="E946" s="40"/>
      <c r="F946" s="40"/>
      <c r="G946" s="40"/>
      <c r="H946" s="41"/>
      <c r="I946" s="90">
        <f t="shared" si="1"/>
        <v>0</v>
      </c>
      <c r="J946" s="91"/>
      <c r="K946" s="92" t="str">
        <f t="shared" si="2"/>
        <v/>
      </c>
      <c r="L946" s="49" t="str">
        <f t="shared" si="3"/>
        <v/>
      </c>
    </row>
    <row r="947" ht="15.0" customHeight="1">
      <c r="A947" s="89"/>
      <c r="B947" s="40"/>
      <c r="C947" s="40"/>
      <c r="D947" s="40"/>
      <c r="E947" s="40"/>
      <c r="F947" s="40"/>
      <c r="G947" s="40"/>
      <c r="H947" s="41"/>
      <c r="I947" s="90">
        <f t="shared" si="1"/>
        <v>0</v>
      </c>
      <c r="J947" s="91"/>
      <c r="K947" s="92" t="str">
        <f t="shared" si="2"/>
        <v/>
      </c>
      <c r="L947" s="49" t="str">
        <f t="shared" si="3"/>
        <v/>
      </c>
    </row>
    <row r="948" ht="15.0" customHeight="1">
      <c r="A948" s="89"/>
      <c r="B948" s="40"/>
      <c r="C948" s="40"/>
      <c r="D948" s="40"/>
      <c r="E948" s="40"/>
      <c r="F948" s="40"/>
      <c r="G948" s="40"/>
      <c r="H948" s="41"/>
      <c r="I948" s="90">
        <f t="shared" si="1"/>
        <v>0</v>
      </c>
      <c r="J948" s="91"/>
      <c r="K948" s="92" t="str">
        <f t="shared" si="2"/>
        <v/>
      </c>
      <c r="L948" s="49" t="str">
        <f t="shared" si="3"/>
        <v/>
      </c>
    </row>
    <row r="949" ht="15.0" customHeight="1">
      <c r="A949" s="89"/>
      <c r="B949" s="40"/>
      <c r="C949" s="40"/>
      <c r="D949" s="40"/>
      <c r="E949" s="40"/>
      <c r="F949" s="40"/>
      <c r="G949" s="40"/>
      <c r="H949" s="41"/>
      <c r="I949" s="90">
        <f t="shared" si="1"/>
        <v>0</v>
      </c>
      <c r="J949" s="91"/>
      <c r="K949" s="92" t="str">
        <f t="shared" si="2"/>
        <v/>
      </c>
      <c r="L949" s="49" t="str">
        <f t="shared" si="3"/>
        <v/>
      </c>
    </row>
    <row r="950" ht="15.0" customHeight="1">
      <c r="A950" s="89"/>
      <c r="B950" s="40"/>
      <c r="C950" s="40"/>
      <c r="D950" s="40"/>
      <c r="E950" s="40"/>
      <c r="F950" s="40"/>
      <c r="G950" s="40"/>
      <c r="H950" s="41"/>
      <c r="I950" s="90">
        <f t="shared" si="1"/>
        <v>0</v>
      </c>
      <c r="J950" s="91"/>
      <c r="K950" s="92" t="str">
        <f t="shared" si="2"/>
        <v/>
      </c>
      <c r="L950" s="49" t="str">
        <f t="shared" si="3"/>
        <v/>
      </c>
    </row>
    <row r="951" ht="15.0" customHeight="1">
      <c r="A951" s="89"/>
      <c r="B951" s="40"/>
      <c r="C951" s="40"/>
      <c r="D951" s="40"/>
      <c r="E951" s="40"/>
      <c r="F951" s="40"/>
      <c r="G951" s="40"/>
      <c r="H951" s="41"/>
      <c r="I951" s="90">
        <f t="shared" si="1"/>
        <v>0</v>
      </c>
      <c r="J951" s="91"/>
      <c r="K951" s="92" t="str">
        <f t="shared" si="2"/>
        <v/>
      </c>
      <c r="L951" s="49" t="str">
        <f t="shared" si="3"/>
        <v/>
      </c>
    </row>
    <row r="952" ht="15.0" customHeight="1">
      <c r="A952" s="89"/>
      <c r="B952" s="40"/>
      <c r="C952" s="40"/>
      <c r="D952" s="40"/>
      <c r="E952" s="40"/>
      <c r="F952" s="40"/>
      <c r="G952" s="40"/>
      <c r="H952" s="41"/>
      <c r="I952" s="90">
        <f t="shared" si="1"/>
        <v>0</v>
      </c>
      <c r="J952" s="91"/>
      <c r="K952" s="92" t="str">
        <f t="shared" si="2"/>
        <v/>
      </c>
      <c r="L952" s="49" t="str">
        <f t="shared" si="3"/>
        <v/>
      </c>
    </row>
    <row r="953" ht="15.0" customHeight="1">
      <c r="A953" s="89"/>
      <c r="B953" s="40"/>
      <c r="C953" s="40"/>
      <c r="D953" s="40"/>
      <c r="E953" s="40"/>
      <c r="F953" s="40"/>
      <c r="G953" s="40"/>
      <c r="H953" s="41"/>
      <c r="I953" s="90">
        <f t="shared" si="1"/>
        <v>0</v>
      </c>
      <c r="J953" s="91"/>
      <c r="K953" s="92" t="str">
        <f t="shared" si="2"/>
        <v/>
      </c>
      <c r="L953" s="49" t="str">
        <f t="shared" si="3"/>
        <v/>
      </c>
    </row>
    <row r="954" ht="15.0" customHeight="1">
      <c r="A954" s="89"/>
      <c r="B954" s="40"/>
      <c r="C954" s="40"/>
      <c r="D954" s="40"/>
      <c r="E954" s="40"/>
      <c r="F954" s="40"/>
      <c r="G954" s="40"/>
      <c r="H954" s="41"/>
      <c r="I954" s="90">
        <f t="shared" si="1"/>
        <v>0</v>
      </c>
      <c r="J954" s="91"/>
      <c r="K954" s="92" t="str">
        <f t="shared" si="2"/>
        <v/>
      </c>
      <c r="L954" s="49" t="str">
        <f t="shared" si="3"/>
        <v/>
      </c>
    </row>
    <row r="955" ht="15.0" customHeight="1">
      <c r="A955" s="89"/>
      <c r="B955" s="40"/>
      <c r="C955" s="40"/>
      <c r="D955" s="40"/>
      <c r="E955" s="40"/>
      <c r="F955" s="40"/>
      <c r="G955" s="40"/>
      <c r="H955" s="41"/>
      <c r="I955" s="90">
        <f t="shared" si="1"/>
        <v>0</v>
      </c>
      <c r="J955" s="91"/>
      <c r="K955" s="92" t="str">
        <f t="shared" si="2"/>
        <v/>
      </c>
      <c r="L955" s="49" t="str">
        <f t="shared" si="3"/>
        <v/>
      </c>
    </row>
    <row r="956" ht="15.0" customHeight="1">
      <c r="A956" s="89"/>
      <c r="B956" s="40"/>
      <c r="C956" s="40"/>
      <c r="D956" s="40"/>
      <c r="E956" s="40"/>
      <c r="F956" s="40"/>
      <c r="G956" s="40"/>
      <c r="H956" s="41"/>
      <c r="I956" s="90">
        <f t="shared" si="1"/>
        <v>0</v>
      </c>
      <c r="J956" s="91"/>
      <c r="K956" s="92" t="str">
        <f t="shared" si="2"/>
        <v/>
      </c>
      <c r="L956" s="49" t="str">
        <f t="shared" si="3"/>
        <v/>
      </c>
    </row>
    <row r="957" ht="15.0" customHeight="1">
      <c r="A957" s="89"/>
      <c r="B957" s="40"/>
      <c r="C957" s="40"/>
      <c r="D957" s="40"/>
      <c r="E957" s="40"/>
      <c r="F957" s="40"/>
      <c r="G957" s="40"/>
      <c r="H957" s="41"/>
      <c r="I957" s="90">
        <f t="shared" si="1"/>
        <v>0</v>
      </c>
      <c r="J957" s="91"/>
      <c r="K957" s="92" t="str">
        <f t="shared" si="2"/>
        <v/>
      </c>
      <c r="L957" s="49" t="str">
        <f t="shared" si="3"/>
        <v/>
      </c>
    </row>
    <row r="958" ht="15.0" customHeight="1">
      <c r="A958" s="89"/>
      <c r="B958" s="40"/>
      <c r="C958" s="40"/>
      <c r="D958" s="40"/>
      <c r="E958" s="40"/>
      <c r="F958" s="40"/>
      <c r="G958" s="40"/>
      <c r="H958" s="41"/>
      <c r="I958" s="90">
        <f t="shared" si="1"/>
        <v>0</v>
      </c>
      <c r="J958" s="91"/>
      <c r="K958" s="92" t="str">
        <f t="shared" si="2"/>
        <v/>
      </c>
      <c r="L958" s="49" t="str">
        <f t="shared" si="3"/>
        <v/>
      </c>
    </row>
    <row r="959" ht="15.0" customHeight="1">
      <c r="A959" s="89"/>
      <c r="B959" s="40"/>
      <c r="C959" s="40"/>
      <c r="D959" s="40"/>
      <c r="E959" s="40"/>
      <c r="F959" s="40"/>
      <c r="G959" s="40"/>
      <c r="H959" s="41"/>
      <c r="I959" s="90">
        <f t="shared" si="1"/>
        <v>0</v>
      </c>
      <c r="J959" s="91"/>
      <c r="K959" s="92" t="str">
        <f t="shared" si="2"/>
        <v/>
      </c>
      <c r="L959" s="49" t="str">
        <f t="shared" si="3"/>
        <v/>
      </c>
    </row>
    <row r="960" ht="15.0" customHeight="1">
      <c r="A960" s="89"/>
      <c r="B960" s="40"/>
      <c r="C960" s="40"/>
      <c r="D960" s="40"/>
      <c r="E960" s="40"/>
      <c r="F960" s="40"/>
      <c r="G960" s="40"/>
      <c r="H960" s="41"/>
      <c r="I960" s="90">
        <f t="shared" si="1"/>
        <v>0</v>
      </c>
      <c r="J960" s="91"/>
      <c r="K960" s="92" t="str">
        <f t="shared" si="2"/>
        <v/>
      </c>
      <c r="L960" s="49" t="str">
        <f t="shared" si="3"/>
        <v/>
      </c>
    </row>
    <row r="961" ht="15.0" customHeight="1">
      <c r="A961" s="89"/>
      <c r="B961" s="40"/>
      <c r="C961" s="40"/>
      <c r="D961" s="40"/>
      <c r="E961" s="40"/>
      <c r="F961" s="40"/>
      <c r="G961" s="40"/>
      <c r="H961" s="41"/>
      <c r="I961" s="90">
        <f t="shared" si="1"/>
        <v>0</v>
      </c>
      <c r="J961" s="91"/>
      <c r="K961" s="92" t="str">
        <f t="shared" si="2"/>
        <v/>
      </c>
      <c r="L961" s="49" t="str">
        <f t="shared" si="3"/>
        <v/>
      </c>
    </row>
    <row r="962" ht="15.0" customHeight="1">
      <c r="A962" s="89"/>
      <c r="B962" s="40"/>
      <c r="C962" s="40"/>
      <c r="D962" s="40"/>
      <c r="E962" s="40"/>
      <c r="F962" s="40"/>
      <c r="G962" s="40"/>
      <c r="H962" s="41"/>
      <c r="I962" s="90">
        <f t="shared" si="1"/>
        <v>0</v>
      </c>
      <c r="J962" s="91"/>
      <c r="K962" s="92" t="str">
        <f t="shared" si="2"/>
        <v/>
      </c>
      <c r="L962" s="49" t="str">
        <f t="shared" si="3"/>
        <v/>
      </c>
    </row>
    <row r="963" ht="15.0" customHeight="1">
      <c r="A963" s="89"/>
      <c r="B963" s="40"/>
      <c r="C963" s="40"/>
      <c r="D963" s="40"/>
      <c r="E963" s="40"/>
      <c r="F963" s="40"/>
      <c r="G963" s="40"/>
      <c r="H963" s="41"/>
      <c r="I963" s="90">
        <f t="shared" si="1"/>
        <v>0</v>
      </c>
      <c r="J963" s="91"/>
      <c r="K963" s="92" t="str">
        <f t="shared" si="2"/>
        <v/>
      </c>
      <c r="L963" s="49" t="str">
        <f t="shared" si="3"/>
        <v/>
      </c>
    </row>
    <row r="964" ht="15.0" customHeight="1">
      <c r="A964" s="89"/>
      <c r="B964" s="40"/>
      <c r="C964" s="40"/>
      <c r="D964" s="40"/>
      <c r="E964" s="40"/>
      <c r="F964" s="40"/>
      <c r="G964" s="40"/>
      <c r="H964" s="41"/>
      <c r="I964" s="90">
        <f t="shared" si="1"/>
        <v>0</v>
      </c>
      <c r="J964" s="91"/>
      <c r="K964" s="92" t="str">
        <f t="shared" si="2"/>
        <v/>
      </c>
      <c r="L964" s="49" t="str">
        <f t="shared" si="3"/>
        <v/>
      </c>
    </row>
    <row r="965" ht="15.0" customHeight="1">
      <c r="A965" s="89"/>
      <c r="B965" s="40"/>
      <c r="C965" s="40"/>
      <c r="D965" s="40"/>
      <c r="E965" s="40"/>
      <c r="F965" s="40"/>
      <c r="G965" s="40"/>
      <c r="H965" s="41"/>
      <c r="I965" s="90">
        <f t="shared" si="1"/>
        <v>0</v>
      </c>
      <c r="J965" s="91"/>
      <c r="K965" s="92" t="str">
        <f t="shared" si="2"/>
        <v/>
      </c>
      <c r="L965" s="49" t="str">
        <f t="shared" si="3"/>
        <v/>
      </c>
    </row>
    <row r="966" ht="15.0" customHeight="1">
      <c r="A966" s="89"/>
      <c r="B966" s="40"/>
      <c r="C966" s="40"/>
      <c r="D966" s="40"/>
      <c r="E966" s="40"/>
      <c r="F966" s="40"/>
      <c r="G966" s="40"/>
      <c r="H966" s="41"/>
      <c r="I966" s="90">
        <f t="shared" si="1"/>
        <v>0</v>
      </c>
      <c r="J966" s="91"/>
      <c r="K966" s="92" t="str">
        <f t="shared" si="2"/>
        <v/>
      </c>
      <c r="L966" s="49" t="str">
        <f t="shared" si="3"/>
        <v/>
      </c>
    </row>
    <row r="967" ht="15.0" customHeight="1">
      <c r="A967" s="89"/>
      <c r="B967" s="40"/>
      <c r="C967" s="40"/>
      <c r="D967" s="40"/>
      <c r="E967" s="40"/>
      <c r="F967" s="40"/>
      <c r="G967" s="40"/>
      <c r="H967" s="41"/>
      <c r="I967" s="90">
        <f t="shared" si="1"/>
        <v>0</v>
      </c>
      <c r="J967" s="91"/>
      <c r="K967" s="92" t="str">
        <f t="shared" si="2"/>
        <v/>
      </c>
      <c r="L967" s="49" t="str">
        <f t="shared" si="3"/>
        <v/>
      </c>
    </row>
    <row r="968" ht="15.0" customHeight="1">
      <c r="A968" s="89"/>
      <c r="B968" s="40"/>
      <c r="C968" s="40"/>
      <c r="D968" s="40"/>
      <c r="E968" s="40"/>
      <c r="F968" s="40"/>
      <c r="G968" s="40"/>
      <c r="H968" s="41"/>
      <c r="I968" s="90">
        <f t="shared" si="1"/>
        <v>0</v>
      </c>
      <c r="J968" s="91"/>
      <c r="K968" s="92" t="str">
        <f t="shared" si="2"/>
        <v/>
      </c>
      <c r="L968" s="49" t="str">
        <f t="shared" si="3"/>
        <v/>
      </c>
    </row>
    <row r="969" ht="15.0" customHeight="1">
      <c r="A969" s="89"/>
      <c r="B969" s="40"/>
      <c r="C969" s="40"/>
      <c r="D969" s="40"/>
      <c r="E969" s="40"/>
      <c r="F969" s="40"/>
      <c r="G969" s="40"/>
      <c r="H969" s="41"/>
      <c r="I969" s="90">
        <f t="shared" si="1"/>
        <v>0</v>
      </c>
      <c r="J969" s="91"/>
      <c r="K969" s="92" t="str">
        <f t="shared" si="2"/>
        <v/>
      </c>
      <c r="L969" s="49" t="str">
        <f t="shared" si="3"/>
        <v/>
      </c>
    </row>
    <row r="970" ht="15.0" customHeight="1">
      <c r="A970" s="89"/>
      <c r="B970" s="40"/>
      <c r="C970" s="40"/>
      <c r="D970" s="40"/>
      <c r="E970" s="40"/>
      <c r="F970" s="40"/>
      <c r="G970" s="40"/>
      <c r="H970" s="41"/>
      <c r="I970" s="90">
        <f t="shared" si="1"/>
        <v>0</v>
      </c>
      <c r="J970" s="91"/>
      <c r="K970" s="92" t="str">
        <f t="shared" si="2"/>
        <v/>
      </c>
      <c r="L970" s="49" t="str">
        <f t="shared" si="3"/>
        <v/>
      </c>
    </row>
    <row r="971" ht="15.0" customHeight="1">
      <c r="A971" s="89"/>
      <c r="B971" s="40"/>
      <c r="C971" s="40"/>
      <c r="D971" s="40"/>
      <c r="E971" s="40"/>
      <c r="F971" s="40"/>
      <c r="G971" s="40"/>
      <c r="H971" s="41"/>
      <c r="I971" s="90">
        <f t="shared" si="1"/>
        <v>0</v>
      </c>
      <c r="J971" s="91"/>
      <c r="K971" s="92" t="str">
        <f t="shared" si="2"/>
        <v/>
      </c>
      <c r="L971" s="49" t="str">
        <f t="shared" si="3"/>
        <v/>
      </c>
    </row>
    <row r="972" ht="15.0" customHeight="1">
      <c r="A972" s="89"/>
      <c r="B972" s="40"/>
      <c r="C972" s="40"/>
      <c r="D972" s="40"/>
      <c r="E972" s="40"/>
      <c r="F972" s="40"/>
      <c r="G972" s="40"/>
      <c r="H972" s="41"/>
      <c r="I972" s="90">
        <f t="shared" si="1"/>
        <v>0</v>
      </c>
      <c r="J972" s="91"/>
      <c r="K972" s="92" t="str">
        <f t="shared" si="2"/>
        <v/>
      </c>
      <c r="L972" s="49" t="str">
        <f t="shared" si="3"/>
        <v/>
      </c>
    </row>
    <row r="973" ht="15.0" customHeight="1">
      <c r="A973" s="89"/>
      <c r="B973" s="40"/>
      <c r="C973" s="40"/>
      <c r="D973" s="40"/>
      <c r="E973" s="40"/>
      <c r="F973" s="40"/>
      <c r="G973" s="40"/>
      <c r="H973" s="41"/>
      <c r="I973" s="90">
        <f t="shared" si="1"/>
        <v>0</v>
      </c>
      <c r="J973" s="91"/>
      <c r="K973" s="92" t="str">
        <f t="shared" si="2"/>
        <v/>
      </c>
      <c r="L973" s="49" t="str">
        <f t="shared" si="3"/>
        <v/>
      </c>
    </row>
    <row r="974" ht="15.0" customHeight="1">
      <c r="A974" s="89"/>
      <c r="B974" s="40"/>
      <c r="C974" s="40"/>
      <c r="D974" s="40"/>
      <c r="E974" s="40"/>
      <c r="F974" s="40"/>
      <c r="G974" s="40"/>
      <c r="H974" s="41"/>
      <c r="I974" s="90">
        <f t="shared" si="1"/>
        <v>0</v>
      </c>
      <c r="J974" s="91"/>
      <c r="K974" s="92" t="str">
        <f t="shared" si="2"/>
        <v/>
      </c>
      <c r="L974" s="49" t="str">
        <f t="shared" si="3"/>
        <v/>
      </c>
    </row>
    <row r="975" ht="15.0" customHeight="1">
      <c r="A975" s="89"/>
      <c r="B975" s="40"/>
      <c r="C975" s="40"/>
      <c r="D975" s="40"/>
      <c r="E975" s="40"/>
      <c r="F975" s="40"/>
      <c r="G975" s="40"/>
      <c r="H975" s="41"/>
      <c r="I975" s="90">
        <f t="shared" si="1"/>
        <v>0</v>
      </c>
      <c r="J975" s="91"/>
      <c r="K975" s="92" t="str">
        <f t="shared" si="2"/>
        <v/>
      </c>
      <c r="L975" s="49" t="str">
        <f t="shared" si="3"/>
        <v/>
      </c>
    </row>
    <row r="976" ht="15.0" customHeight="1">
      <c r="A976" s="89"/>
      <c r="B976" s="40"/>
      <c r="C976" s="40"/>
      <c r="D976" s="40"/>
      <c r="E976" s="40"/>
      <c r="F976" s="40"/>
      <c r="G976" s="40"/>
      <c r="H976" s="41"/>
      <c r="I976" s="90">
        <f t="shared" si="1"/>
        <v>0</v>
      </c>
      <c r="J976" s="91"/>
      <c r="K976" s="92" t="str">
        <f t="shared" si="2"/>
        <v/>
      </c>
      <c r="L976" s="49" t="str">
        <f t="shared" si="3"/>
        <v/>
      </c>
    </row>
    <row r="977" ht="15.0" customHeight="1">
      <c r="A977" s="89"/>
      <c r="B977" s="40"/>
      <c r="C977" s="40"/>
      <c r="D977" s="40"/>
      <c r="E977" s="40"/>
      <c r="F977" s="40"/>
      <c r="G977" s="40"/>
      <c r="H977" s="41"/>
      <c r="I977" s="90">
        <f t="shared" si="1"/>
        <v>0</v>
      </c>
      <c r="J977" s="91"/>
      <c r="K977" s="92" t="str">
        <f t="shared" si="2"/>
        <v/>
      </c>
      <c r="L977" s="49" t="str">
        <f t="shared" si="3"/>
        <v/>
      </c>
    </row>
    <row r="978" ht="15.0" customHeight="1">
      <c r="A978" s="89"/>
      <c r="B978" s="40"/>
      <c r="C978" s="40"/>
      <c r="D978" s="40"/>
      <c r="E978" s="40"/>
      <c r="F978" s="40"/>
      <c r="G978" s="40"/>
      <c r="H978" s="41"/>
      <c r="I978" s="90">
        <f t="shared" si="1"/>
        <v>0</v>
      </c>
      <c r="J978" s="91"/>
      <c r="K978" s="92" t="str">
        <f t="shared" si="2"/>
        <v/>
      </c>
      <c r="L978" s="49" t="str">
        <f t="shared" si="3"/>
        <v/>
      </c>
    </row>
    <row r="979" ht="15.0" customHeight="1">
      <c r="A979" s="89"/>
      <c r="B979" s="40"/>
      <c r="C979" s="40"/>
      <c r="D979" s="40"/>
      <c r="E979" s="40"/>
      <c r="F979" s="40"/>
      <c r="G979" s="40"/>
      <c r="H979" s="41"/>
      <c r="I979" s="90">
        <f t="shared" si="1"/>
        <v>0</v>
      </c>
      <c r="J979" s="91"/>
      <c r="K979" s="92" t="str">
        <f t="shared" si="2"/>
        <v/>
      </c>
      <c r="L979" s="49" t="str">
        <f t="shared" si="3"/>
        <v/>
      </c>
    </row>
    <row r="980" ht="15.0" customHeight="1">
      <c r="A980" s="89"/>
      <c r="B980" s="40"/>
      <c r="C980" s="40"/>
      <c r="D980" s="40"/>
      <c r="E980" s="40"/>
      <c r="F980" s="40"/>
      <c r="G980" s="40"/>
      <c r="H980" s="41"/>
      <c r="I980" s="90">
        <f t="shared" si="1"/>
        <v>0</v>
      </c>
      <c r="J980" s="91"/>
      <c r="K980" s="92" t="str">
        <f t="shared" si="2"/>
        <v/>
      </c>
      <c r="L980" s="49" t="str">
        <f t="shared" si="3"/>
        <v/>
      </c>
    </row>
    <row r="981" ht="15.0" customHeight="1">
      <c r="A981" s="89"/>
      <c r="B981" s="40"/>
      <c r="C981" s="40"/>
      <c r="D981" s="40"/>
      <c r="E981" s="40"/>
      <c r="F981" s="40"/>
      <c r="G981" s="40"/>
      <c r="H981" s="41"/>
      <c r="I981" s="90">
        <f t="shared" si="1"/>
        <v>0</v>
      </c>
      <c r="J981" s="91"/>
      <c r="K981" s="92" t="str">
        <f t="shared" si="2"/>
        <v/>
      </c>
      <c r="L981" s="49" t="str">
        <f t="shared" si="3"/>
        <v/>
      </c>
    </row>
    <row r="982" ht="15.0" customHeight="1">
      <c r="A982" s="89"/>
      <c r="B982" s="40"/>
      <c r="C982" s="40"/>
      <c r="D982" s="40"/>
      <c r="E982" s="40"/>
      <c r="F982" s="40"/>
      <c r="G982" s="40"/>
      <c r="H982" s="41"/>
      <c r="I982" s="90">
        <f t="shared" si="1"/>
        <v>0</v>
      </c>
      <c r="J982" s="91"/>
      <c r="K982" s="92" t="str">
        <f t="shared" si="2"/>
        <v/>
      </c>
      <c r="L982" s="49" t="str">
        <f t="shared" si="3"/>
        <v/>
      </c>
    </row>
    <row r="983" ht="15.0" customHeight="1">
      <c r="A983" s="89"/>
      <c r="B983" s="40"/>
      <c r="C983" s="40"/>
      <c r="D983" s="40"/>
      <c r="E983" s="40"/>
      <c r="F983" s="40"/>
      <c r="G983" s="40"/>
      <c r="H983" s="41"/>
      <c r="I983" s="90">
        <f t="shared" si="1"/>
        <v>0</v>
      </c>
      <c r="J983" s="91"/>
      <c r="K983" s="92" t="str">
        <f t="shared" si="2"/>
        <v/>
      </c>
      <c r="L983" s="49" t="str">
        <f t="shared" si="3"/>
        <v/>
      </c>
    </row>
    <row r="984" ht="15.0" customHeight="1">
      <c r="A984" s="89"/>
      <c r="B984" s="40"/>
      <c r="C984" s="40"/>
      <c r="D984" s="40"/>
      <c r="E984" s="40"/>
      <c r="F984" s="40"/>
      <c r="G984" s="40"/>
      <c r="H984" s="41"/>
      <c r="I984" s="90">
        <f t="shared" si="1"/>
        <v>0</v>
      </c>
      <c r="J984" s="91"/>
      <c r="K984" s="92" t="str">
        <f t="shared" si="2"/>
        <v/>
      </c>
      <c r="L984" s="49" t="str">
        <f t="shared" si="3"/>
        <v/>
      </c>
    </row>
    <row r="985" ht="15.0" customHeight="1">
      <c r="A985" s="89"/>
      <c r="B985" s="40"/>
      <c r="C985" s="40"/>
      <c r="D985" s="40"/>
      <c r="E985" s="40"/>
      <c r="F985" s="40"/>
      <c r="G985" s="40"/>
      <c r="H985" s="41"/>
      <c r="I985" s="90">
        <f t="shared" si="1"/>
        <v>0</v>
      </c>
      <c r="J985" s="91"/>
      <c r="K985" s="92" t="str">
        <f t="shared" si="2"/>
        <v/>
      </c>
      <c r="L985" s="49" t="str">
        <f t="shared" si="3"/>
        <v/>
      </c>
    </row>
    <row r="986" ht="15.0" customHeight="1">
      <c r="A986" s="89"/>
      <c r="B986" s="40"/>
      <c r="C986" s="40"/>
      <c r="D986" s="40"/>
      <c r="E986" s="40"/>
      <c r="F986" s="40"/>
      <c r="G986" s="40"/>
      <c r="H986" s="41"/>
      <c r="I986" s="90">
        <f t="shared" si="1"/>
        <v>0</v>
      </c>
      <c r="J986" s="91"/>
      <c r="K986" s="92" t="str">
        <f t="shared" si="2"/>
        <v/>
      </c>
      <c r="L986" s="49" t="str">
        <f t="shared" si="3"/>
        <v/>
      </c>
    </row>
    <row r="987" ht="15.0" customHeight="1">
      <c r="A987" s="89"/>
      <c r="B987" s="40"/>
      <c r="C987" s="40"/>
      <c r="D987" s="40"/>
      <c r="E987" s="40"/>
      <c r="F987" s="40"/>
      <c r="G987" s="40"/>
      <c r="H987" s="41"/>
      <c r="I987" s="90">
        <f t="shared" si="1"/>
        <v>0</v>
      </c>
      <c r="J987" s="91"/>
      <c r="K987" s="92" t="str">
        <f t="shared" si="2"/>
        <v/>
      </c>
      <c r="L987" s="49" t="str">
        <f t="shared" si="3"/>
        <v/>
      </c>
    </row>
    <row r="988" ht="15.0" customHeight="1">
      <c r="A988" s="89"/>
      <c r="B988" s="40"/>
      <c r="C988" s="40"/>
      <c r="D988" s="40"/>
      <c r="E988" s="40"/>
      <c r="F988" s="40"/>
      <c r="G988" s="40"/>
      <c r="H988" s="41"/>
      <c r="I988" s="90">
        <f t="shared" si="1"/>
        <v>0</v>
      </c>
      <c r="J988" s="91"/>
      <c r="K988" s="92" t="str">
        <f t="shared" si="2"/>
        <v/>
      </c>
      <c r="L988" s="49" t="str">
        <f t="shared" si="3"/>
        <v/>
      </c>
    </row>
    <row r="989" ht="15.0" customHeight="1">
      <c r="A989" s="89"/>
      <c r="B989" s="40"/>
      <c r="C989" s="40"/>
      <c r="D989" s="40"/>
      <c r="E989" s="40"/>
      <c r="F989" s="40"/>
      <c r="G989" s="40"/>
      <c r="H989" s="41"/>
      <c r="I989" s="90">
        <f t="shared" si="1"/>
        <v>0</v>
      </c>
      <c r="J989" s="91"/>
      <c r="K989" s="92" t="str">
        <f t="shared" si="2"/>
        <v/>
      </c>
      <c r="L989" s="49" t="str">
        <f t="shared" si="3"/>
        <v/>
      </c>
    </row>
    <row r="990" ht="15.0" customHeight="1">
      <c r="A990" s="89"/>
      <c r="B990" s="40"/>
      <c r="C990" s="40"/>
      <c r="D990" s="40"/>
      <c r="E990" s="40"/>
      <c r="F990" s="40"/>
      <c r="G990" s="40"/>
      <c r="H990" s="41"/>
      <c r="I990" s="90">
        <f t="shared" si="1"/>
        <v>0</v>
      </c>
      <c r="J990" s="91"/>
      <c r="K990" s="92" t="str">
        <f t="shared" si="2"/>
        <v/>
      </c>
      <c r="L990" s="49" t="str">
        <f t="shared" si="3"/>
        <v/>
      </c>
    </row>
    <row r="991" ht="15.0" customHeight="1">
      <c r="A991" s="89"/>
      <c r="B991" s="40"/>
      <c r="C991" s="40"/>
      <c r="D991" s="40"/>
      <c r="E991" s="40"/>
      <c r="F991" s="40"/>
      <c r="G991" s="40"/>
      <c r="H991" s="41"/>
      <c r="I991" s="90">
        <f t="shared" si="1"/>
        <v>0</v>
      </c>
      <c r="J991" s="91"/>
      <c r="K991" s="92" t="str">
        <f t="shared" si="2"/>
        <v/>
      </c>
      <c r="L991" s="49" t="str">
        <f t="shared" si="3"/>
        <v/>
      </c>
    </row>
    <row r="992" ht="15.0" customHeight="1">
      <c r="A992" s="89"/>
      <c r="B992" s="40"/>
      <c r="C992" s="40"/>
      <c r="D992" s="40"/>
      <c r="E992" s="40"/>
      <c r="F992" s="40"/>
      <c r="G992" s="40"/>
      <c r="H992" s="41"/>
      <c r="I992" s="90">
        <f t="shared" si="1"/>
        <v>0</v>
      </c>
      <c r="J992" s="91"/>
      <c r="K992" s="92" t="str">
        <f t="shared" si="2"/>
        <v/>
      </c>
      <c r="L992" s="49" t="str">
        <f t="shared" si="3"/>
        <v/>
      </c>
    </row>
    <row r="993" ht="15.0" customHeight="1">
      <c r="A993" s="89"/>
      <c r="B993" s="40"/>
      <c r="C993" s="40"/>
      <c r="D993" s="40"/>
      <c r="E993" s="40"/>
      <c r="F993" s="40"/>
      <c r="G993" s="40"/>
      <c r="H993" s="41"/>
      <c r="I993" s="90">
        <f t="shared" si="1"/>
        <v>0</v>
      </c>
      <c r="J993" s="91"/>
      <c r="K993" s="92" t="str">
        <f t="shared" si="2"/>
        <v/>
      </c>
      <c r="L993" s="49" t="str">
        <f t="shared" si="3"/>
        <v/>
      </c>
    </row>
    <row r="994" ht="15.0" customHeight="1">
      <c r="A994" s="89"/>
      <c r="B994" s="40"/>
      <c r="C994" s="40"/>
      <c r="D994" s="40"/>
      <c r="E994" s="40"/>
      <c r="F994" s="40"/>
      <c r="G994" s="40"/>
      <c r="H994" s="41"/>
      <c r="I994" s="90">
        <f t="shared" si="1"/>
        <v>0</v>
      </c>
      <c r="J994" s="91"/>
      <c r="K994" s="92" t="str">
        <f t="shared" si="2"/>
        <v/>
      </c>
      <c r="L994" s="49" t="str">
        <f t="shared" si="3"/>
        <v/>
      </c>
    </row>
    <row r="995" ht="15.0" customHeight="1">
      <c r="A995" s="89"/>
      <c r="B995" s="40"/>
      <c r="C995" s="40"/>
      <c r="D995" s="40"/>
      <c r="E995" s="40"/>
      <c r="F995" s="40"/>
      <c r="G995" s="40"/>
      <c r="H995" s="41"/>
      <c r="I995" s="90">
        <f t="shared" si="1"/>
        <v>0</v>
      </c>
      <c r="J995" s="91"/>
      <c r="K995" s="92" t="str">
        <f t="shared" si="2"/>
        <v/>
      </c>
      <c r="L995" s="49" t="str">
        <f t="shared" si="3"/>
        <v/>
      </c>
    </row>
    <row r="996" ht="15.0" customHeight="1">
      <c r="A996" s="89"/>
      <c r="B996" s="40"/>
      <c r="C996" s="40"/>
      <c r="D996" s="40"/>
      <c r="E996" s="40"/>
      <c r="F996" s="40"/>
      <c r="G996" s="40"/>
      <c r="H996" s="41"/>
      <c r="I996" s="90">
        <f t="shared" si="1"/>
        <v>0</v>
      </c>
      <c r="J996" s="91"/>
      <c r="K996" s="92" t="str">
        <f t="shared" si="2"/>
        <v/>
      </c>
      <c r="L996" s="49" t="str">
        <f t="shared" si="3"/>
        <v/>
      </c>
    </row>
    <row r="997" ht="15.0" customHeight="1">
      <c r="A997" s="89"/>
      <c r="B997" s="40"/>
      <c r="C997" s="40"/>
      <c r="D997" s="40"/>
      <c r="E997" s="40"/>
      <c r="F997" s="40"/>
      <c r="G997" s="40"/>
      <c r="H997" s="41"/>
      <c r="I997" s="90">
        <f t="shared" si="1"/>
        <v>0</v>
      </c>
      <c r="J997" s="91"/>
      <c r="K997" s="92" t="str">
        <f t="shared" si="2"/>
        <v/>
      </c>
      <c r="L997" s="49" t="str">
        <f t="shared" si="3"/>
        <v/>
      </c>
    </row>
    <row r="998" ht="15.0" customHeight="1">
      <c r="A998" s="89"/>
      <c r="B998" s="40"/>
      <c r="C998" s="40"/>
      <c r="D998" s="40"/>
      <c r="E998" s="40"/>
      <c r="F998" s="40"/>
      <c r="G998" s="40"/>
      <c r="H998" s="41"/>
      <c r="I998" s="90">
        <f t="shared" si="1"/>
        <v>0</v>
      </c>
      <c r="J998" s="91"/>
      <c r="K998" s="92" t="str">
        <f t="shared" si="2"/>
        <v/>
      </c>
      <c r="L998" s="49" t="str">
        <f t="shared" si="3"/>
        <v/>
      </c>
    </row>
    <row r="999" ht="15.0" customHeight="1">
      <c r="A999" s="89"/>
      <c r="B999" s="40"/>
      <c r="C999" s="40"/>
      <c r="D999" s="40"/>
      <c r="E999" s="40"/>
      <c r="F999" s="40"/>
      <c r="G999" s="40"/>
      <c r="H999" s="41"/>
      <c r="I999" s="90">
        <f t="shared" si="1"/>
        <v>0</v>
      </c>
      <c r="J999" s="91"/>
      <c r="K999" s="92" t="str">
        <f t="shared" si="2"/>
        <v/>
      </c>
      <c r="L999" s="49" t="str">
        <f t="shared" si="3"/>
        <v/>
      </c>
    </row>
    <row r="1000" ht="15.0" customHeight="1">
      <c r="A1000" s="89"/>
      <c r="B1000" s="40"/>
      <c r="C1000" s="40"/>
      <c r="D1000" s="40"/>
      <c r="E1000" s="40"/>
      <c r="F1000" s="40"/>
      <c r="G1000" s="40"/>
      <c r="H1000" s="41"/>
      <c r="I1000" s="90">
        <f t="shared" si="1"/>
        <v>0</v>
      </c>
      <c r="J1000" s="91"/>
      <c r="K1000" s="92" t="str">
        <f t="shared" si="2"/>
        <v/>
      </c>
      <c r="L1000" s="49" t="str">
        <f t="shared" si="3"/>
        <v/>
      </c>
    </row>
    <row r="1001" ht="15.0" customHeight="1">
      <c r="A1001" s="89"/>
      <c r="B1001" s="40"/>
      <c r="C1001" s="40"/>
      <c r="D1001" s="40"/>
      <c r="E1001" s="40"/>
      <c r="F1001" s="40"/>
      <c r="G1001" s="40"/>
      <c r="H1001" s="41"/>
      <c r="I1001" s="90">
        <f t="shared" si="1"/>
        <v>0</v>
      </c>
      <c r="J1001" s="91"/>
      <c r="K1001" s="92" t="str">
        <f t="shared" si="2"/>
        <v/>
      </c>
      <c r="L1001" s="49" t="str">
        <f t="shared" si="3"/>
        <v/>
      </c>
    </row>
    <row r="1002" ht="15.0" customHeight="1">
      <c r="A1002" s="89"/>
      <c r="B1002" s="40"/>
      <c r="C1002" s="40"/>
      <c r="D1002" s="40"/>
      <c r="E1002" s="40"/>
      <c r="F1002" s="40"/>
      <c r="G1002" s="40"/>
      <c r="H1002" s="41"/>
      <c r="I1002" s="90">
        <f t="shared" si="1"/>
        <v>0</v>
      </c>
      <c r="J1002" s="91"/>
      <c r="K1002" s="92" t="str">
        <f t="shared" si="2"/>
        <v/>
      </c>
      <c r="L1002" s="49" t="str">
        <f t="shared" si="3"/>
        <v/>
      </c>
    </row>
    <row r="1003" ht="15.0" customHeight="1">
      <c r="A1003" s="89"/>
      <c r="B1003" s="40"/>
      <c r="C1003" s="40"/>
      <c r="D1003" s="40"/>
      <c r="E1003" s="40"/>
      <c r="F1003" s="40"/>
      <c r="G1003" s="40"/>
      <c r="H1003" s="41"/>
      <c r="I1003" s="90">
        <f t="shared" si="1"/>
        <v>0</v>
      </c>
      <c r="J1003" s="91"/>
      <c r="K1003" s="92" t="str">
        <f t="shared" si="2"/>
        <v/>
      </c>
      <c r="L1003" s="49" t="str">
        <f t="shared" si="3"/>
        <v/>
      </c>
    </row>
    <row r="1004" ht="15.0" customHeight="1">
      <c r="A1004" s="89"/>
      <c r="B1004" s="40"/>
      <c r="C1004" s="40"/>
      <c r="D1004" s="40"/>
      <c r="E1004" s="40"/>
      <c r="F1004" s="40"/>
      <c r="G1004" s="40"/>
      <c r="H1004" s="41"/>
      <c r="I1004" s="90">
        <f t="shared" si="1"/>
        <v>0</v>
      </c>
      <c r="J1004" s="91"/>
      <c r="K1004" s="92" t="str">
        <f t="shared" si="2"/>
        <v/>
      </c>
      <c r="L1004" s="49" t="str">
        <f t="shared" si="3"/>
        <v/>
      </c>
    </row>
  </sheetData>
  <customSheetViews>
    <customSheetView guid="{07605512-F059-4DE5-B68C-A0143A89CB22}" filter="1" showAutoFilter="1">
      <autoFilter ref="$A$4:$L$1004"/>
    </customSheetView>
  </customSheetViews>
  <conditionalFormatting sqref="J5:J101">
    <cfRule type="cellIs" dxfId="6" priority="1" operator="equal">
      <formula>"TRUE"</formula>
    </cfRule>
  </conditionalFormatting>
  <conditionalFormatting sqref="J5:J101">
    <cfRule type="cellIs" dxfId="7" priority="2" operator="equal">
      <formula>"FALSE"</formula>
    </cfRule>
  </conditionalFormatting>
  <conditionalFormatting sqref="J102:J151">
    <cfRule type="cellIs" dxfId="6" priority="3" operator="equal">
      <formula>"TRUE"</formula>
    </cfRule>
  </conditionalFormatting>
  <conditionalFormatting sqref="J102:J151">
    <cfRule type="cellIs" dxfId="7" priority="4" operator="equal">
      <formula>"FALSE"</formula>
    </cfRule>
  </conditionalFormatting>
  <conditionalFormatting sqref="J152:J1004">
    <cfRule type="cellIs" dxfId="6" priority="5" operator="equal">
      <formula>"TRUE"</formula>
    </cfRule>
  </conditionalFormatting>
  <conditionalFormatting sqref="J152:J1004">
    <cfRule type="cellIs" dxfId="7" priority="6" operator="equal">
      <formula>"FALSE"</formula>
    </cfRule>
  </conditionalFormatting>
  <dataValidations>
    <dataValidation type="list" allowBlank="1" showErrorMessage="1" sqref="J5:J1004">
      <formula1>"TRUE,FALSE"</formula1>
    </dataValidation>
    <dataValidation type="list" allowBlank="1" showErrorMessage="1" sqref="B5:B1004">
      <formula1>"Purchase,Return to Supplier"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3.71"/>
    <col customWidth="1" min="2" max="2" width="87.14"/>
    <col customWidth="1" min="3" max="4" width="16.71"/>
    <col customWidth="1" min="5" max="5" width="14.71"/>
    <col customWidth="1" min="6" max="6" width="16.71"/>
    <col customWidth="1" min="7" max="7" width="31.57"/>
    <col customWidth="1" min="8" max="8" width="16.71"/>
    <col customWidth="1" min="9" max="9" width="20.29"/>
    <col customWidth="1" min="10" max="11" width="18.57"/>
    <col customWidth="1" min="12" max="12" width="23.86"/>
    <col customWidth="1" min="13" max="13" width="24.71"/>
    <col customWidth="1" min="15" max="15" width="47.29"/>
    <col customWidth="1" min="16" max="16" width="25.86"/>
  </cols>
  <sheetData>
    <row r="1">
      <c r="A1" s="51" t="s">
        <v>123</v>
      </c>
    </row>
    <row r="2" ht="14.25" customHeight="1">
      <c r="A2" s="2" t="s">
        <v>124</v>
      </c>
      <c r="O2" s="15" t="s">
        <v>125</v>
      </c>
      <c r="P2" s="53">
        <f t="array" ref="P2">SUMPRODUCT(--($A$5:$A$604&lt;&gt;""),--(($K$5:$K$604="")+($K$5:$K$604=0)&gt;0))</f>
        <v>0</v>
      </c>
    </row>
    <row r="3" ht="14.25" customHeight="1">
      <c r="A3" s="14" t="s">
        <v>25</v>
      </c>
      <c r="B3" s="15"/>
      <c r="C3" s="15"/>
      <c r="D3" s="15">
        <f>SUM(Inventory!$D$5:$D$604)</f>
        <v>3031</v>
      </c>
      <c r="E3" s="15">
        <f>SUM(Inventory!$E$5:$E$604)</f>
        <v>1005</v>
      </c>
      <c r="F3" s="15">
        <f>SUM(Inventory!$F$5:$F$604)</f>
        <v>1</v>
      </c>
      <c r="G3" s="15"/>
      <c r="H3" s="15">
        <f>SUM(Inventory!$H$5:$H$604)</f>
        <v>1569</v>
      </c>
      <c r="I3" s="15"/>
      <c r="J3" s="18">
        <f>SUM(Inventory!$J$5:$J$604)</f>
        <v>204214.0775</v>
      </c>
      <c r="K3" s="15"/>
      <c r="L3" s="15"/>
      <c r="M3" s="15"/>
      <c r="N3" s="15"/>
      <c r="O3" s="16" t="s">
        <v>138</v>
      </c>
      <c r="P3" s="15"/>
    </row>
    <row r="4" ht="14.25" customHeight="1">
      <c r="A4" s="54" t="s">
        <v>56</v>
      </c>
      <c r="B4" s="54" t="s">
        <v>58</v>
      </c>
      <c r="C4" s="54" t="s">
        <v>42</v>
      </c>
      <c r="D4" s="54" t="s">
        <v>140</v>
      </c>
      <c r="E4" s="54" t="s">
        <v>142</v>
      </c>
      <c r="F4" s="54" t="s">
        <v>145</v>
      </c>
      <c r="G4" s="54" t="s">
        <v>147</v>
      </c>
      <c r="H4" s="54" t="s">
        <v>148</v>
      </c>
      <c r="I4" s="54" t="s">
        <v>149</v>
      </c>
      <c r="J4" s="54" t="s">
        <v>150</v>
      </c>
      <c r="K4" s="55" t="s">
        <v>152</v>
      </c>
      <c r="L4" s="54" t="s">
        <v>153</v>
      </c>
      <c r="M4" s="54" t="s">
        <v>154</v>
      </c>
      <c r="N4" s="24" t="s">
        <v>155</v>
      </c>
      <c r="O4" s="24" t="s">
        <v>156</v>
      </c>
      <c r="P4" s="24" t="s">
        <v>157</v>
      </c>
    </row>
    <row r="5" ht="14.25" customHeight="1">
      <c r="A5" s="29" t="str">
        <f t="array" ref="A5">IFERROR(INDEX(Purchases!$D$5:$D$1004,MATCH(ROW()-4,Purchases!$L$5:$L$1004,0)),"")</f>
        <v>AC-PNC-LR-002</v>
      </c>
      <c r="B5" s="48" t="str">
        <f>IFERROR(VLOOKUP(A5,Purchases!$D:$E,2,FALSE),"")</f>
        <v>Pet Nail Clippers Large</v>
      </c>
      <c r="C5" s="48" t="str">
        <f>IFERROR(VLOOKUP(A5,Purchases!$D:$F,3,FALSE),"")</f>
        <v>Cat Accessories</v>
      </c>
      <c r="D5" s="48">
        <f>IF(A5="","",SUMIF(Purchases!$D:$D,A5,Purchases!$K:$K))</f>
        <v>1</v>
      </c>
      <c r="E5" s="48">
        <f>IF(A5="","",SUMIFS(Sales!$H:$H,Sales!$F:$F,A5,Sales!$B:$B,"&lt;&gt;Return"))</f>
        <v>0</v>
      </c>
      <c r="F5" s="48">
        <f>IF(A5="","",SUMIFS(Sales!$H:$H,Sales!$F:$F,A5,Sales!$B:$B,"Return"))</f>
        <v>0</v>
      </c>
      <c r="G5" s="48">
        <f>IF($A5="","",SUMIF('Shop Ledger'!$C:$C,$A5,'Shop Ledger'!$F:$F))</f>
        <v>0</v>
      </c>
      <c r="H5" s="48">
        <f t="shared" ref="H5:H604" si="1">IF(A5="","",D5-E5+F5-G5)</f>
        <v>1</v>
      </c>
      <c r="I5" s="44">
        <f>IF(A5="","",IFERROR(SUMIF(Purchases!$D:$D,A5,Purchases!$I:$I)/D5,0))</f>
        <v>190</v>
      </c>
      <c r="J5" s="44">
        <f t="shared" ref="J5:J604" si="2">IF(A5="","",H5*I5)</f>
        <v>190</v>
      </c>
      <c r="K5" s="30">
        <f>IF($A5="","",IFERROR(VALUE(SUBSTITUTE(SUBSTITUTE(SUBSTITUTE(VLOOKUP($A5,Inventory!$O$5:$P$604,2,FALSE),"Tk","")," ",""),",","")),""))</f>
        <v>270</v>
      </c>
      <c r="L5" s="57">
        <f t="shared" ref="L5:L604" si="3">IF(OR(I5="",K5="",K5=0),"",(K5-I5)/K5)</f>
        <v>0.2962962963</v>
      </c>
      <c r="M5" s="58">
        <f t="shared" ref="M5:M604" si="4">IF(OR(I5="",K5="",K5=0,I5=0),"",(K5-I5)/I5)</f>
        <v>0.4210526316</v>
      </c>
      <c r="O5" s="59" t="str">
        <f t="shared" ref="O5:O604" si="5">IF($A5="","",$A5)</f>
        <v>AC-PNC-LR-002</v>
      </c>
      <c r="P5" s="52">
        <v>270.0</v>
      </c>
    </row>
    <row r="6" ht="14.25" customHeight="1">
      <c r="A6" s="60" t="str">
        <f t="array" ref="A6">IFERROR(INDEX(Purchases!$D$5:$D$1004,MATCH(ROW()-4,Purchases!$L$5:$L$1004,0)),"")</f>
        <v>AC-CTOY-004</v>
      </c>
      <c r="B6" s="48" t="str">
        <f>IFERROR(VLOOKUP(A6,Purchases!$D:$E,2,FALSE),"")</f>
        <v>Cat Ball Robot Toy</v>
      </c>
      <c r="C6" s="48" t="str">
        <f>IFERROR(VLOOKUP(A6,Purchases!$D:$F,3,FALSE),"")</f>
        <v>Cat Accessories</v>
      </c>
      <c r="D6" s="48">
        <f>IF(A6="","",SUMIF(Purchases!$D:$D,A6,Purchases!$K:$K))</f>
        <v>1</v>
      </c>
      <c r="E6" s="48">
        <f>IF(A6="","",SUMIFS(Sales!$H:$H,Sales!$F:$F,A6,Sales!$B:$B,"&lt;&gt;Return"))</f>
        <v>0</v>
      </c>
      <c r="F6" s="48">
        <f>IF(A6="","",SUMIFS(Sales!$H:$H,Sales!$F:$F,A6,Sales!$B:$B,"Return"))</f>
        <v>0</v>
      </c>
      <c r="G6" s="48">
        <f>IF($A6="","",SUMIF('Shop Ledger'!$C:$C,$A6,'Shop Ledger'!$F:$F))</f>
        <v>0</v>
      </c>
      <c r="H6" s="48">
        <f t="shared" si="1"/>
        <v>1</v>
      </c>
      <c r="I6" s="44">
        <f>IF(A6="","",IFERROR(SUMIF(Purchases!$D:$D,A6,Purchases!$I:$I)/D6,0))</f>
        <v>95</v>
      </c>
      <c r="J6" s="44">
        <f t="shared" si="2"/>
        <v>95</v>
      </c>
      <c r="K6" s="30">
        <f>IF($A6="","",IFERROR(VALUE(SUBSTITUTE(SUBSTITUTE(SUBSTITUTE(VLOOKUP($A6,Inventory!$O$5:$P$604,2,FALSE),"Tk","")," ",""),",","")),""))</f>
        <v>150</v>
      </c>
      <c r="L6" s="58">
        <f t="shared" si="3"/>
        <v>0.3666666667</v>
      </c>
      <c r="M6" s="58">
        <f t="shared" si="4"/>
        <v>0.5789473684</v>
      </c>
      <c r="N6" s="49"/>
      <c r="O6" s="59" t="str">
        <f t="shared" si="5"/>
        <v>AC-CTOY-004</v>
      </c>
      <c r="P6" s="52">
        <v>150.0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29" t="str">
        <f t="array" ref="A7">IFERROR(INDEX(Purchases!$D$5:$D$1004,MATCH(ROW()-4,Purchases!$L$5:$L$1004,0)),"")</f>
        <v>AC-CB-001</v>
      </c>
      <c r="B7" s="48" t="str">
        <f>IFERROR(VLOOKUP(A7,Purchases!$D:$E,2,FALSE),"")</f>
        <v>Cat Belt</v>
      </c>
      <c r="C7" s="48" t="str">
        <f>IFERROR(VLOOKUP(A7,Purchases!$D:$F,3,FALSE),"")</f>
        <v>Cat Accessories</v>
      </c>
      <c r="D7" s="48">
        <f>IF(A7="","",SUMIF(Purchases!$D:$D,A7,Purchases!$K:$K))</f>
        <v>37</v>
      </c>
      <c r="E7" s="48">
        <f>IF(A7="","",SUMIFS(Sales!$H:$H,Sales!$F:$F,A7,Sales!$B:$B,"&lt;&gt;Return"))</f>
        <v>11</v>
      </c>
      <c r="F7" s="48">
        <f>IF(A7="","",SUMIFS(Sales!$H:$H,Sales!$F:$F,A7,Sales!$B:$B,"Return"))</f>
        <v>0</v>
      </c>
      <c r="G7" s="48">
        <f>IF($A7="","",SUMIF('Shop Ledger'!$C:$C,$A7,'Shop Ledger'!$F:$F))</f>
        <v>0</v>
      </c>
      <c r="H7" s="48">
        <f t="shared" si="1"/>
        <v>26</v>
      </c>
      <c r="I7" s="44">
        <f>IF(A7="","",IFERROR(SUMIF(Purchases!$D:$D,A7,Purchases!$I:$I)/D7,0))</f>
        <v>29.35135135</v>
      </c>
      <c r="J7" s="44">
        <f t="shared" si="2"/>
        <v>763.1351351</v>
      </c>
      <c r="K7" s="30">
        <f>IF($A7="","",IFERROR(VALUE(SUBSTITUTE(SUBSTITUTE(SUBSTITUTE(VLOOKUP($A7,Inventory!$O$5:$P$604,2,FALSE),"Tk","")," ",""),",","")),""))</f>
        <v>60</v>
      </c>
      <c r="L7" s="58">
        <f t="shared" si="3"/>
        <v>0.5108108108</v>
      </c>
      <c r="M7" s="58">
        <f t="shared" si="4"/>
        <v>1.044198895</v>
      </c>
      <c r="O7" s="59" t="str">
        <f t="shared" si="5"/>
        <v>AC-CB-001</v>
      </c>
      <c r="P7" s="52">
        <v>60.0</v>
      </c>
    </row>
    <row r="8" ht="14.25" customHeight="1">
      <c r="A8" s="29" t="str">
        <f t="array" ref="A8">IFERROR(INDEX(Purchases!$D$5:$D$1004,MATCH(ROW()-4,Purchases!$L$5:$L$1004,0)),"")</f>
        <v>PO-WET-NK-70G-001</v>
      </c>
      <c r="B8" s="48" t="str">
        <f>IFERROR(VLOOKUP(A8,Purchases!$D:$E,2,FALSE),"")</f>
        <v>Nekko Pouch Tuna in Jelly</v>
      </c>
      <c r="C8" s="48" t="str">
        <f>IFERROR(VLOOKUP(A8,Purchases!$D:$F,3,FALSE),"")</f>
        <v>Cat Pouch</v>
      </c>
      <c r="D8" s="48">
        <f>IF(A8="","",SUMIF(Purchases!$D:$D,A8,Purchases!$K:$K))</f>
        <v>58</v>
      </c>
      <c r="E8" s="48">
        <f>IF(A8="","",SUMIFS(Sales!$H:$H,Sales!$F:$F,A8,Sales!$B:$B,"&lt;&gt;Return"))</f>
        <v>11</v>
      </c>
      <c r="F8" s="48">
        <f>IF(A8="","",SUMIFS(Sales!$H:$H,Sales!$F:$F,A8,Sales!$B:$B,"Return"))</f>
        <v>0</v>
      </c>
      <c r="G8" s="48">
        <f>IF($A8="","",SUMIF('Shop Ledger'!$C:$C,$A8,'Shop Ledger'!$F:$F))</f>
        <v>12</v>
      </c>
      <c r="H8" s="48">
        <f t="shared" si="1"/>
        <v>35</v>
      </c>
      <c r="I8" s="44">
        <f>IF(A8="","",IFERROR(SUMIF(Purchases!$D:$D,A8,Purchases!$I:$I)/D8,0))</f>
        <v>65.17241379</v>
      </c>
      <c r="J8" s="44">
        <f t="shared" si="2"/>
        <v>2281.034483</v>
      </c>
      <c r="K8" s="30">
        <f>IF($A8="","",IFERROR(VALUE(SUBSTITUTE(SUBSTITUTE(SUBSTITUTE(VLOOKUP($A8,Inventory!$O$5:$P$604,2,FALSE),"Tk","")," ",""),",","")),""))</f>
        <v>90</v>
      </c>
      <c r="L8" s="58">
        <f t="shared" si="3"/>
        <v>0.275862069</v>
      </c>
      <c r="M8" s="58">
        <f t="shared" si="4"/>
        <v>0.380952381</v>
      </c>
      <c r="O8" s="59" t="str">
        <f t="shared" si="5"/>
        <v>PO-WET-NK-70G-001</v>
      </c>
      <c r="P8" s="52">
        <v>90.0</v>
      </c>
    </row>
    <row r="9" ht="14.25" customHeight="1">
      <c r="A9" s="29" t="str">
        <f t="array" ref="A9">IFERROR(INDEX(Purchases!$D$5:$D$1004,MATCH(ROW()-4,Purchases!$L$5:$L$1004,0)),"")</f>
        <v>AC-CJ-AR-001</v>
      </c>
      <c r="B9" s="48" t="str">
        <f>IFERROR(VLOOKUP(A9,Purchases!$D:$E,2,FALSE),"")</f>
        <v>Cat Jersey Argentina Medium</v>
      </c>
      <c r="C9" s="48" t="str">
        <f>IFERROR(VLOOKUP(A9,Purchases!$D:$F,3,FALSE),"")</f>
        <v>Cat Accessories</v>
      </c>
      <c r="D9" s="48">
        <f>IF(A9="","",SUMIF(Purchases!$D:$D,A9,Purchases!$K:$K))</f>
        <v>3</v>
      </c>
      <c r="E9" s="48">
        <f>IF(A9="","",SUMIFS(Sales!$H:$H,Sales!$F:$F,A9,Sales!$B:$B,"&lt;&gt;Return"))</f>
        <v>2</v>
      </c>
      <c r="F9" s="48">
        <f>IF(A9="","",SUMIFS(Sales!$H:$H,Sales!$F:$F,A9,Sales!$B:$B,"Return"))</f>
        <v>0</v>
      </c>
      <c r="G9" s="48">
        <f>IF($A9="","",SUMIF('Shop Ledger'!$C:$C,$A9,'Shop Ledger'!$F:$F))</f>
        <v>0</v>
      </c>
      <c r="H9" s="48">
        <f t="shared" si="1"/>
        <v>1</v>
      </c>
      <c r="I9" s="44">
        <f>IF(A9="","",IFERROR(SUMIF(Purchases!$D:$D,A9,Purchases!$I:$I)/D9,0))</f>
        <v>140</v>
      </c>
      <c r="J9" s="44">
        <f t="shared" si="2"/>
        <v>140</v>
      </c>
      <c r="K9" s="30">
        <f>IF($A9="","",IFERROR(VALUE(SUBSTITUTE(SUBSTITUTE(SUBSTITUTE(VLOOKUP($A9,Inventory!$O$5:$P$604,2,FALSE),"Tk","")," ",""),",","")),""))</f>
        <v>300</v>
      </c>
      <c r="L9" s="58">
        <f t="shared" si="3"/>
        <v>0.5333333333</v>
      </c>
      <c r="M9" s="58">
        <f t="shared" si="4"/>
        <v>1.142857143</v>
      </c>
      <c r="O9" s="59" t="str">
        <f t="shared" si="5"/>
        <v>AC-CJ-AR-001</v>
      </c>
      <c r="P9" s="61">
        <v>300.0</v>
      </c>
    </row>
    <row r="10" ht="14.25" customHeight="1">
      <c r="A10" s="29" t="str">
        <f t="array" ref="A10">IFERROR(INDEX(Purchases!$D$5:$D$1004,MATCH(ROW()-4,Purchases!$L$5:$L$1004,0)),"")</f>
        <v>AC-CJ-AR-002</v>
      </c>
      <c r="B10" s="48" t="str">
        <f>IFERROR(VLOOKUP(A10,Purchases!$D:$E,2,FALSE),"")</f>
        <v>Cat Jersey Argentina Large</v>
      </c>
      <c r="C10" s="48" t="str">
        <f>IFERROR(VLOOKUP(A10,Purchases!$D:$F,3,FALSE),"")</f>
        <v>Cat Accessories</v>
      </c>
      <c r="D10" s="48">
        <f>IF(A10="","",SUMIF(Purchases!$D:$D,A10,Purchases!$K:$K))</f>
        <v>1</v>
      </c>
      <c r="E10" s="48">
        <f>IF(A10="","",SUMIFS(Sales!$H:$H,Sales!$F:$F,A10,Sales!$B:$B,"&lt;&gt;Return"))</f>
        <v>1</v>
      </c>
      <c r="F10" s="48">
        <f>IF(A10="","",SUMIFS(Sales!$H:$H,Sales!$F:$F,A10,Sales!$B:$B,"Return"))</f>
        <v>0</v>
      </c>
      <c r="G10" s="48">
        <f>IF($A10="","",SUMIF('Shop Ledger'!$C:$C,$A10,'Shop Ledger'!$F:$F))</f>
        <v>0</v>
      </c>
      <c r="H10" s="48">
        <f t="shared" si="1"/>
        <v>0</v>
      </c>
      <c r="I10" s="44">
        <f>IF(A10="","",IFERROR(SUMIF(Purchases!$D:$D,A10,Purchases!$I:$I)/D10,0))</f>
        <v>140</v>
      </c>
      <c r="J10" s="44">
        <f t="shared" si="2"/>
        <v>0</v>
      </c>
      <c r="K10" s="30">
        <f>IF($A10="","",IFERROR(VALUE(SUBSTITUTE(SUBSTITUTE(SUBSTITUTE(VLOOKUP($A10,Inventory!$O$5:$P$604,2,FALSE),"Tk","")," ",""),",","")),""))</f>
        <v>300</v>
      </c>
      <c r="L10" s="58">
        <f t="shared" si="3"/>
        <v>0.5333333333</v>
      </c>
      <c r="M10" s="58">
        <f t="shared" si="4"/>
        <v>1.142857143</v>
      </c>
      <c r="O10" s="59" t="str">
        <f t="shared" si="5"/>
        <v>AC-CJ-AR-002</v>
      </c>
      <c r="P10" s="62">
        <v>300.0</v>
      </c>
    </row>
    <row r="11" ht="14.25" customHeight="1">
      <c r="A11" s="29" t="str">
        <f t="array" ref="A11">IFERROR(INDEX(Purchases!$D$5:$D$1004,MATCH(ROW()-4,Purchases!$L$5:$L$1004,0)),"")</f>
        <v>AC-CJ-BR-002</v>
      </c>
      <c r="B11" s="48" t="str">
        <f>IFERROR(VLOOKUP(A11,Purchases!$D:$E,2,FALSE),"")</f>
        <v>Cat Jersey Brazil Large</v>
      </c>
      <c r="C11" s="48" t="str">
        <f>IFERROR(VLOOKUP(A11,Purchases!$D:$F,3,FALSE),"")</f>
        <v>Cat Accessories</v>
      </c>
      <c r="D11" s="48">
        <f>IF(A11="","",SUMIF(Purchases!$D:$D,A11,Purchases!$K:$K))</f>
        <v>2</v>
      </c>
      <c r="E11" s="48">
        <f>IF(A11="","",SUMIFS(Sales!$H:$H,Sales!$F:$F,A11,Sales!$B:$B,"&lt;&gt;Return"))</f>
        <v>0</v>
      </c>
      <c r="F11" s="48">
        <f>IF(A11="","",SUMIFS(Sales!$H:$H,Sales!$F:$F,A11,Sales!$B:$B,"Return"))</f>
        <v>0</v>
      </c>
      <c r="G11" s="48">
        <f>IF($A11="","",SUMIF('Shop Ledger'!$C:$C,$A11,'Shop Ledger'!$F:$F))</f>
        <v>0</v>
      </c>
      <c r="H11" s="48">
        <f t="shared" si="1"/>
        <v>2</v>
      </c>
      <c r="I11" s="44">
        <f>IF(A11="","",IFERROR(SUMIF(Purchases!$D:$D,A11,Purchases!$I:$I)/D11,0))</f>
        <v>140</v>
      </c>
      <c r="J11" s="44">
        <f t="shared" si="2"/>
        <v>280</v>
      </c>
      <c r="K11" s="30">
        <f>IF($A11="","",IFERROR(VALUE(SUBSTITUTE(SUBSTITUTE(SUBSTITUTE(VLOOKUP($A11,Inventory!$O$5:$P$604,2,FALSE),"Tk","")," ",""),",","")),""))</f>
        <v>300</v>
      </c>
      <c r="L11" s="58">
        <f t="shared" si="3"/>
        <v>0.5333333333</v>
      </c>
      <c r="M11" s="58">
        <f t="shared" si="4"/>
        <v>1.142857143</v>
      </c>
      <c r="O11" s="59" t="str">
        <f t="shared" si="5"/>
        <v>AC-CJ-BR-002</v>
      </c>
      <c r="P11" s="61">
        <v>300.0</v>
      </c>
    </row>
    <row r="12" ht="14.25" customHeight="1">
      <c r="A12" s="29" t="str">
        <f t="array" ref="A12">IFERROR(INDEX(Purchases!$D$5:$D$1004,MATCH(ROW()-4,Purchases!$L$5:$L$1004,0)),"")</f>
        <v>AC-CJ-BR-001</v>
      </c>
      <c r="B12" s="48" t="str">
        <f>IFERROR(VLOOKUP(A12,Purchases!$D:$E,2,FALSE),"")</f>
        <v>Cat Jersey Brazil Medium</v>
      </c>
      <c r="C12" s="48" t="str">
        <f>IFERROR(VLOOKUP(A12,Purchases!$D:$F,3,FALSE),"")</f>
        <v>Cat Accessories</v>
      </c>
      <c r="D12" s="48">
        <f>IF(A12="","",SUMIF(Purchases!$D:$D,A12,Purchases!$K:$K))</f>
        <v>3</v>
      </c>
      <c r="E12" s="48">
        <f>IF(A12="","",SUMIFS(Sales!$H:$H,Sales!$F:$F,A12,Sales!$B:$B,"&lt;&gt;Return"))</f>
        <v>0</v>
      </c>
      <c r="F12" s="48">
        <f>IF(A12="","",SUMIFS(Sales!$H:$H,Sales!$F:$F,A12,Sales!$B:$B,"Return"))</f>
        <v>0</v>
      </c>
      <c r="G12" s="48">
        <f>IF($A12="","",SUMIF('Shop Ledger'!$C:$C,$A12,'Shop Ledger'!$F:$F))</f>
        <v>0</v>
      </c>
      <c r="H12" s="48">
        <f t="shared" si="1"/>
        <v>3</v>
      </c>
      <c r="I12" s="44">
        <f>IF(A12="","",IFERROR(SUMIF(Purchases!$D:$D,A12,Purchases!$I:$I)/D12,0))</f>
        <v>140</v>
      </c>
      <c r="J12" s="44">
        <f t="shared" si="2"/>
        <v>420</v>
      </c>
      <c r="K12" s="30">
        <f>IF($A12="","",IFERROR(VALUE(SUBSTITUTE(SUBSTITUTE(SUBSTITUTE(VLOOKUP($A12,Inventory!$O$5:$P$604,2,FALSE),"Tk","")," ",""),",","")),""))</f>
        <v>300</v>
      </c>
      <c r="L12" s="58">
        <f t="shared" si="3"/>
        <v>0.5333333333</v>
      </c>
      <c r="M12" s="58">
        <f t="shared" si="4"/>
        <v>1.142857143</v>
      </c>
      <c r="O12" s="59" t="str">
        <f t="shared" si="5"/>
        <v>AC-CJ-BR-001</v>
      </c>
      <c r="P12" s="62">
        <v>300.0</v>
      </c>
    </row>
    <row r="13" ht="14.25" customHeight="1">
      <c r="A13" s="29" t="str">
        <f t="array" ref="A13">IFERROR(INDEX(Purchases!$D$5:$D$1004,MATCH(ROW()-4,Purchases!$L$5:$L$1004,0)),"")</f>
        <v>AC-SHAMP-002</v>
      </c>
      <c r="B13" s="48" t="str">
        <f>IFERROR(VLOOKUP(A13,Purchases!$D:$E,2,FALSE),"")</f>
        <v>Bengal Flea &amp; Tick Shampoo</v>
      </c>
      <c r="C13" s="48" t="str">
        <f>IFERROR(VLOOKUP(A13,Purchases!$D:$F,3,FALSE),"")</f>
        <v>Cat Accessories</v>
      </c>
      <c r="D13" s="48">
        <f>IF(A13="","",SUMIF(Purchases!$D:$D,A13,Purchases!$K:$K))</f>
        <v>9</v>
      </c>
      <c r="E13" s="48">
        <f>IF(A13="","",SUMIFS(Sales!$H:$H,Sales!$F:$F,A13,Sales!$B:$B,"&lt;&gt;Return"))</f>
        <v>6</v>
      </c>
      <c r="F13" s="48">
        <f>IF(A13="","",SUMIFS(Sales!$H:$H,Sales!$F:$F,A13,Sales!$B:$B,"Return"))</f>
        <v>0</v>
      </c>
      <c r="G13" s="48">
        <f>IF($A13="","",SUMIF('Shop Ledger'!$C:$C,$A13,'Shop Ledger'!$F:$F))</f>
        <v>1</v>
      </c>
      <c r="H13" s="48">
        <f t="shared" si="1"/>
        <v>2</v>
      </c>
      <c r="I13" s="44">
        <f>IF(A13="","",IFERROR(SUMIF(Purchases!$D:$D,A13,Purchases!$I:$I)/D13,0))</f>
        <v>240</v>
      </c>
      <c r="J13" s="44">
        <f t="shared" si="2"/>
        <v>480</v>
      </c>
      <c r="K13" s="30">
        <f>IF($A13="","",IFERROR(VALUE(SUBSTITUTE(SUBSTITUTE(SUBSTITUTE(VLOOKUP($A13,Inventory!$O$5:$P$604,2,FALSE),"Tk","")," ",""),",","")),""))</f>
        <v>400</v>
      </c>
      <c r="L13" s="58">
        <f t="shared" si="3"/>
        <v>0.4</v>
      </c>
      <c r="M13" s="58">
        <f t="shared" si="4"/>
        <v>0.6666666667</v>
      </c>
      <c r="O13" s="59" t="str">
        <f t="shared" si="5"/>
        <v>AC-SHAMP-002</v>
      </c>
      <c r="P13" s="61">
        <v>400.0</v>
      </c>
    </row>
    <row r="14" ht="14.25" customHeight="1">
      <c r="A14" s="29" t="str">
        <f t="array" ref="A14">IFERROR(INDEX(Purchases!$D$5:$D$1004,MATCH(ROW()-4,Purchases!$L$5:$L$1004,0)),"")</f>
        <v>AC-SHAMP-003</v>
      </c>
      <c r="B14" s="48" t="str">
        <f>IFERROR(VLOOKUP(A14,Purchases!$D:$E,2,FALSE),"")</f>
        <v>Bengal Waterless Bath No-Rinse Shampoo</v>
      </c>
      <c r="C14" s="48" t="str">
        <f>IFERROR(VLOOKUP(A14,Purchases!$D:$F,3,FALSE),"")</f>
        <v>Cat Accessories</v>
      </c>
      <c r="D14" s="48">
        <f>IF(A14="","",SUMIF(Purchases!$D:$D,A14,Purchases!$K:$K))</f>
        <v>1</v>
      </c>
      <c r="E14" s="48">
        <f>IF(A14="","",SUMIFS(Sales!$H:$H,Sales!$F:$F,A14,Sales!$B:$B,"&lt;&gt;Return"))</f>
        <v>0</v>
      </c>
      <c r="F14" s="48">
        <f>IF(A14="","",SUMIFS(Sales!$H:$H,Sales!$F:$F,A14,Sales!$B:$B,"Return"))</f>
        <v>0</v>
      </c>
      <c r="G14" s="48">
        <f>IF($A14="","",SUMIF('Shop Ledger'!$C:$C,$A14,'Shop Ledger'!$F:$F))</f>
        <v>0</v>
      </c>
      <c r="H14" s="48">
        <f t="shared" si="1"/>
        <v>1</v>
      </c>
      <c r="I14" s="44">
        <f>IF(A14="","",IFERROR(SUMIF(Purchases!$D:$D,A14,Purchases!$I:$I)/D14,0))</f>
        <v>290</v>
      </c>
      <c r="J14" s="44">
        <f t="shared" si="2"/>
        <v>290</v>
      </c>
      <c r="K14" s="30">
        <f>IF($A14="","",IFERROR(VALUE(SUBSTITUTE(SUBSTITUTE(SUBSTITUTE(VLOOKUP($A14,Inventory!$O$5:$P$604,2,FALSE),"Tk","")," ",""),",","")),""))</f>
        <v>450</v>
      </c>
      <c r="L14" s="58">
        <f t="shared" si="3"/>
        <v>0.3555555556</v>
      </c>
      <c r="M14" s="58">
        <f t="shared" si="4"/>
        <v>0.5517241379</v>
      </c>
      <c r="O14" s="59" t="str">
        <f t="shared" si="5"/>
        <v>AC-SHAMP-003</v>
      </c>
      <c r="P14" s="62">
        <v>450.0</v>
      </c>
    </row>
    <row r="15" ht="14.25" customHeight="1">
      <c r="A15" s="29" t="str">
        <f t="array" ref="A15">IFERROR(INDEX(Purchases!$D$5:$D$1004,MATCH(ROW()-4,Purchases!$L$5:$L$1004,0)),"")</f>
        <v>AC-LB-001</v>
      </c>
      <c r="B15" s="48" t="str">
        <f>IFERROR(VLOOKUP(A15,Purchases!$D:$E,2,FALSE),"")</f>
        <v>Cat Litter Box Large</v>
      </c>
      <c r="C15" s="48" t="str">
        <f>IFERROR(VLOOKUP(A15,Purchases!$D:$F,3,FALSE),"")</f>
        <v>Cat Accessories</v>
      </c>
      <c r="D15" s="48">
        <f>IF(A15="","",SUMIF(Purchases!$D:$D,A15,Purchases!$K:$K))</f>
        <v>1</v>
      </c>
      <c r="E15" s="48">
        <f>IF(A15="","",SUMIFS(Sales!$H:$H,Sales!$F:$F,A15,Sales!$B:$B,"&lt;&gt;Return"))</f>
        <v>1</v>
      </c>
      <c r="F15" s="48">
        <f>IF(A15="","",SUMIFS(Sales!$H:$H,Sales!$F:$F,A15,Sales!$B:$B,"Return"))</f>
        <v>0</v>
      </c>
      <c r="G15" s="48">
        <f>IF($A15="","",SUMIF('Shop Ledger'!$C:$C,$A15,'Shop Ledger'!$F:$F))</f>
        <v>0</v>
      </c>
      <c r="H15" s="48">
        <f t="shared" si="1"/>
        <v>0</v>
      </c>
      <c r="I15" s="44">
        <f>IF(A15="","",IFERROR(SUMIF(Purchases!$D:$D,A15,Purchases!$I:$I)/D15,0))</f>
        <v>400</v>
      </c>
      <c r="J15" s="44">
        <f t="shared" si="2"/>
        <v>0</v>
      </c>
      <c r="K15" s="30">
        <f>IF($A15="","",IFERROR(VALUE(SUBSTITUTE(SUBSTITUTE(SUBSTITUTE(VLOOKUP($A15,Inventory!$O$5:$P$604,2,FALSE),"Tk","")," ",""),",","")),""))</f>
        <v>600</v>
      </c>
      <c r="L15" s="58">
        <f t="shared" si="3"/>
        <v>0.3333333333</v>
      </c>
      <c r="M15" s="58">
        <f t="shared" si="4"/>
        <v>0.5</v>
      </c>
      <c r="O15" s="59" t="str">
        <f t="shared" si="5"/>
        <v>AC-LB-001</v>
      </c>
      <c r="P15" s="61">
        <v>600.0</v>
      </c>
    </row>
    <row r="16" ht="14.25" customHeight="1">
      <c r="A16" s="29" t="str">
        <f t="array" ref="A16">IFERROR(INDEX(Purchases!$D$5:$D$1004,MATCH(ROW()-4,Purchases!$L$5:$L$1004,0)),"")</f>
        <v>AC-LB-002</v>
      </c>
      <c r="B16" s="48" t="str">
        <f>IFERROR(VLOOKUP(A16,Purchases!$D:$E,2,FALSE),"")</f>
        <v>Cat Litter Box Medium</v>
      </c>
      <c r="C16" s="48" t="str">
        <f>IFERROR(VLOOKUP(A16,Purchases!$D:$F,3,FALSE),"")</f>
        <v>Cat Accessories</v>
      </c>
      <c r="D16" s="48">
        <f>IF(A16="","",SUMIF(Purchases!$D:$D,A16,Purchases!$K:$K))</f>
        <v>6</v>
      </c>
      <c r="E16" s="48">
        <f>IF(A16="","",SUMIFS(Sales!$H:$H,Sales!$F:$F,A16,Sales!$B:$B,"&lt;&gt;Return"))</f>
        <v>4</v>
      </c>
      <c r="F16" s="48">
        <f>IF(A16="","",SUMIFS(Sales!$H:$H,Sales!$F:$F,A16,Sales!$B:$B,"Return"))</f>
        <v>0</v>
      </c>
      <c r="G16" s="48">
        <f>IF($A16="","",SUMIF('Shop Ledger'!$C:$C,$A16,'Shop Ledger'!$F:$F))</f>
        <v>0</v>
      </c>
      <c r="H16" s="48">
        <f t="shared" si="1"/>
        <v>2</v>
      </c>
      <c r="I16" s="44">
        <f>IF(A16="","",IFERROR(SUMIF(Purchases!$D:$D,A16,Purchases!$I:$I)/D16,0))</f>
        <v>300</v>
      </c>
      <c r="J16" s="44">
        <f t="shared" si="2"/>
        <v>600</v>
      </c>
      <c r="K16" s="30">
        <f>IF($A16="","",IFERROR(VALUE(SUBSTITUTE(SUBSTITUTE(SUBSTITUTE(VLOOKUP($A16,Inventory!$O$5:$P$604,2,FALSE),"Tk","")," ",""),",","")),""))</f>
        <v>500</v>
      </c>
      <c r="L16" s="58">
        <f t="shared" si="3"/>
        <v>0.4</v>
      </c>
      <c r="M16" s="58">
        <f t="shared" si="4"/>
        <v>0.6666666667</v>
      </c>
      <c r="O16" s="59" t="str">
        <f t="shared" si="5"/>
        <v>AC-LB-002</v>
      </c>
      <c r="P16" s="68">
        <v>500.0</v>
      </c>
    </row>
    <row r="17" ht="14.25" customHeight="1">
      <c r="A17" s="29" t="str">
        <f t="array" ref="A17">IFERROR(INDEX(Purchases!$D$5:$D$1004,MATCH(ROW()-4,Purchases!$L$5:$L$1004,0)),"")</f>
        <v>LT-LM-DD-5L-001</v>
      </c>
      <c r="B17" s="48" t="str">
        <f>IFERROR(VLOOKUP(A17,Purchases!$D:$E,2,FALSE),"")</f>
        <v>Dodo Cat Litter 5L Lemon Flvor</v>
      </c>
      <c r="C17" s="48" t="str">
        <f>IFERROR(VLOOKUP(A17,Purchases!$D:$F,3,FALSE),"")</f>
        <v>Cat Litter</v>
      </c>
      <c r="D17" s="48">
        <f>IF(A17="","",SUMIF(Purchases!$D:$D,A17,Purchases!$K:$K))</f>
        <v>2</v>
      </c>
      <c r="E17" s="48">
        <f>IF(A17="","",SUMIFS(Sales!$H:$H,Sales!$F:$F,A17,Sales!$B:$B,"&lt;&gt;Return"))</f>
        <v>2</v>
      </c>
      <c r="F17" s="48">
        <f>IF(A17="","",SUMIFS(Sales!$H:$H,Sales!$F:$F,A17,Sales!$B:$B,"Return"))</f>
        <v>0</v>
      </c>
      <c r="G17" s="48">
        <f>IF($A17="","",SUMIF('Shop Ledger'!$C:$C,$A17,'Shop Ledger'!$F:$F))</f>
        <v>0</v>
      </c>
      <c r="H17" s="48">
        <f t="shared" si="1"/>
        <v>0</v>
      </c>
      <c r="I17" s="44">
        <f>IF(A17="","",IFERROR(SUMIF(Purchases!$D:$D,A17,Purchases!$I:$I)/D17,0))</f>
        <v>180</v>
      </c>
      <c r="J17" s="44">
        <f t="shared" si="2"/>
        <v>0</v>
      </c>
      <c r="K17" s="30">
        <f>IF($A17="","",IFERROR(VALUE(SUBSTITUTE(SUBSTITUTE(SUBSTITUTE(VLOOKUP($A17,Inventory!$O$5:$P$604,2,FALSE),"Tk","")," ",""),",","")),""))</f>
        <v>320</v>
      </c>
      <c r="L17" s="58">
        <f t="shared" si="3"/>
        <v>0.4375</v>
      </c>
      <c r="M17" s="58">
        <f t="shared" si="4"/>
        <v>0.7777777778</v>
      </c>
      <c r="O17" s="59" t="str">
        <f t="shared" si="5"/>
        <v>LT-LM-DD-5L-001</v>
      </c>
      <c r="P17" s="61">
        <v>320.0</v>
      </c>
    </row>
    <row r="18" ht="14.25" customHeight="1">
      <c r="A18" s="29" t="str">
        <f t="array" ref="A18">IFERROR(INDEX(Purchases!$D$5:$D$1004,MATCH(ROW()-4,Purchases!$L$5:$L$1004,0)),"")</f>
        <v>FD-DRY-CHNK-CHKN-1.5KG-001</v>
      </c>
      <c r="B18" s="48" t="str">
        <f>IFERROR(VLOOKUP(A18,Purchases!$D:$E,2,FALSE),"")</f>
        <v>Chonk All ages Chicken</v>
      </c>
      <c r="C18" s="48" t="str">
        <f>IFERROR(VLOOKUP(A18,Purchases!$D:$F,3,FALSE),"")</f>
        <v>Cat Food</v>
      </c>
      <c r="D18" s="48">
        <f>IF(A18="","",SUMIF(Purchases!$D:$D,A18,Purchases!$K:$K))</f>
        <v>18</v>
      </c>
      <c r="E18" s="48">
        <f>IF(A18="","",SUMIFS(Sales!$H:$H,Sales!$F:$F,A18,Sales!$B:$B,"&lt;&gt;Return"))</f>
        <v>8</v>
      </c>
      <c r="F18" s="48">
        <f>IF(A18="","",SUMIFS(Sales!$H:$H,Sales!$F:$F,A18,Sales!$B:$B,"Return"))</f>
        <v>0</v>
      </c>
      <c r="G18" s="48">
        <f>IF($A18="","",SUMIF('Shop Ledger'!$C:$C,$A18,'Shop Ledger'!$F:$F))</f>
        <v>2</v>
      </c>
      <c r="H18" s="48">
        <f t="shared" si="1"/>
        <v>8</v>
      </c>
      <c r="I18" s="44">
        <f>IF(A18="","",IFERROR(SUMIF(Purchases!$D:$D,A18,Purchases!$I:$I)/D18,0))</f>
        <v>400</v>
      </c>
      <c r="J18" s="44">
        <f t="shared" si="2"/>
        <v>3200</v>
      </c>
      <c r="K18" s="30">
        <f>IF($A18="","",IFERROR(VALUE(SUBSTITUTE(SUBSTITUTE(SUBSTITUTE(VLOOKUP($A18,Inventory!$O$5:$P$604,2,FALSE),"Tk","")," ",""),",","")),""))</f>
        <v>500</v>
      </c>
      <c r="L18" s="58">
        <f t="shared" si="3"/>
        <v>0.2</v>
      </c>
      <c r="M18" s="58">
        <f t="shared" si="4"/>
        <v>0.25</v>
      </c>
      <c r="O18" s="59" t="str">
        <f t="shared" si="5"/>
        <v>FD-DRY-CHNK-CHKN-1.5KG-001</v>
      </c>
      <c r="P18" s="62">
        <v>500.0</v>
      </c>
    </row>
    <row r="19" ht="14.25" customHeight="1">
      <c r="A19" s="29" t="str">
        <f t="array" ref="A19">IFERROR(INDEX(Purchases!$D$5:$D$1004,MATCH(ROW()-4,Purchases!$L$5:$L$1004,0)),"")</f>
        <v>FD-DRY-CHNK-OCFCK-1.5KG-001</v>
      </c>
      <c r="B19" s="48" t="str">
        <f>IFERROR(VLOOKUP(A19,Purchases!$D:$E,2,FALSE),"")</f>
        <v>Chonk All ages Ocean Fish with Chicken</v>
      </c>
      <c r="C19" s="48" t="str">
        <f>IFERROR(VLOOKUP(A19,Purchases!$D:$F,3,FALSE),"")</f>
        <v>Cat Food</v>
      </c>
      <c r="D19" s="48">
        <f>IF(A19="","",SUMIF(Purchases!$D:$D,A19,Purchases!$K:$K))</f>
        <v>6</v>
      </c>
      <c r="E19" s="48">
        <f>IF(A19="","",SUMIFS(Sales!$H:$H,Sales!$F:$F,A19,Sales!$B:$B,"&lt;&gt;Return"))</f>
        <v>2</v>
      </c>
      <c r="F19" s="48">
        <f>IF(A19="","",SUMIFS(Sales!$H:$H,Sales!$F:$F,A19,Sales!$B:$B,"Return"))</f>
        <v>0</v>
      </c>
      <c r="G19" s="48">
        <f>IF($A19="","",SUMIF('Shop Ledger'!$C:$C,$A19,'Shop Ledger'!$F:$F))</f>
        <v>2</v>
      </c>
      <c r="H19" s="48">
        <f t="shared" si="1"/>
        <v>2</v>
      </c>
      <c r="I19" s="44">
        <f>IF(A19="","",IFERROR(SUMIF(Purchases!$D:$D,A19,Purchases!$I:$I)/D19,0))</f>
        <v>400</v>
      </c>
      <c r="J19" s="44">
        <f t="shared" si="2"/>
        <v>800</v>
      </c>
      <c r="K19" s="30">
        <f>IF($A19="","",IFERROR(VALUE(SUBSTITUTE(SUBSTITUTE(SUBSTITUTE(VLOOKUP($A19,Inventory!$O$5:$P$604,2,FALSE),"Tk","")," ",""),",","")),""))</f>
        <v>500</v>
      </c>
      <c r="L19" s="58">
        <f t="shared" si="3"/>
        <v>0.2</v>
      </c>
      <c r="M19" s="58">
        <f t="shared" si="4"/>
        <v>0.25</v>
      </c>
      <c r="O19" s="59" t="str">
        <f t="shared" si="5"/>
        <v>FD-DRY-CHNK-OCFCK-1.5KG-001</v>
      </c>
      <c r="P19" s="61">
        <v>500.0</v>
      </c>
    </row>
    <row r="20" ht="13.5" customHeight="1">
      <c r="A20" s="29" t="str">
        <f t="array" ref="A20">IFERROR(INDEX(Purchases!$D$5:$D$1004,MATCH(ROW()-4,Purchases!$L$5:$L$1004,0)),"")</f>
        <v>FD-DRY-CHNK-TN-1.5KG-001</v>
      </c>
      <c r="B20" s="48" t="str">
        <f>IFERROR(VLOOKUP(A20,Purchases!$D:$E,2,FALSE),"")</f>
        <v>Chonk All ages Tuna</v>
      </c>
      <c r="C20" s="48" t="str">
        <f>IFERROR(VLOOKUP(A20,Purchases!$D:$F,3,FALSE),"")</f>
        <v>Cat Food</v>
      </c>
      <c r="D20" s="48">
        <f>IF(A20="","",SUMIF(Purchases!$D:$D,A20,Purchases!$K:$K))</f>
        <v>6</v>
      </c>
      <c r="E20" s="48">
        <f>IF(A20="","",SUMIFS(Sales!$H:$H,Sales!$F:$F,A20,Sales!$B:$B,"&lt;&gt;Return"))</f>
        <v>4</v>
      </c>
      <c r="F20" s="48">
        <f>IF(A20="","",SUMIFS(Sales!$H:$H,Sales!$F:$F,A20,Sales!$B:$B,"Return"))</f>
        <v>0</v>
      </c>
      <c r="G20" s="48">
        <f>IF($A20="","",SUMIF('Shop Ledger'!$C:$C,$A20,'Shop Ledger'!$F:$F))</f>
        <v>2</v>
      </c>
      <c r="H20" s="48">
        <f t="shared" si="1"/>
        <v>0</v>
      </c>
      <c r="I20" s="44">
        <f>IF(A20="","",IFERROR(SUMIF(Purchases!$D:$D,A20,Purchases!$I:$I)/D20,0))</f>
        <v>400</v>
      </c>
      <c r="J20" s="44">
        <f t="shared" si="2"/>
        <v>0</v>
      </c>
      <c r="K20" s="30">
        <f>IF($A20="","",IFERROR(VALUE(SUBSTITUTE(SUBSTITUTE(SUBSTITUTE(VLOOKUP($A20,Inventory!$O$5:$P$604,2,FALSE),"Tk","")," ",""),",","")),""))</f>
        <v>500</v>
      </c>
      <c r="L20" s="58">
        <f t="shared" si="3"/>
        <v>0.2</v>
      </c>
      <c r="M20" s="58">
        <f t="shared" si="4"/>
        <v>0.25</v>
      </c>
      <c r="O20" s="59" t="str">
        <f t="shared" si="5"/>
        <v>FD-DRY-CHNK-TN-1.5KG-001</v>
      </c>
      <c r="P20" s="62">
        <v>500.0</v>
      </c>
    </row>
    <row r="21" ht="12.75" customHeight="1">
      <c r="A21" s="29" t="str">
        <f t="array" ref="A21">IFERROR(INDEX(Purchases!$D$5:$D$1004,MATCH(ROW()-4,Purchases!$L$5:$L$1004,0)),"")</f>
        <v>TR-CRMY-15G-001</v>
      </c>
      <c r="B21" s="48" t="str">
        <f>IFERROR(VLOOKUP(A21,Purchases!$D:$E,2,FALSE),"")</f>
        <v>Creamy Treat 15G (Purry &amp; Hyper Paws)</v>
      </c>
      <c r="C21" s="48" t="str">
        <f>IFERROR(VLOOKUP(A21,Purchases!$D:$F,3,FALSE),"")</f>
        <v>Cat Treat</v>
      </c>
      <c r="D21" s="48">
        <f>IF(A21="","",SUMIF(Purchases!$D:$D,A21,Purchases!$K:$K))</f>
        <v>1333</v>
      </c>
      <c r="E21" s="48">
        <f>IF(A21="","",SUMIFS(Sales!$H:$H,Sales!$F:$F,A21,Sales!$B:$B,"&lt;&gt;Return"))</f>
        <v>535</v>
      </c>
      <c r="F21" s="48">
        <f>IF(A21="","",SUMIFS(Sales!$H:$H,Sales!$F:$F,A21,Sales!$B:$B,"Return"))</f>
        <v>0</v>
      </c>
      <c r="G21" s="48">
        <f>IF($A21="","",SUMIF('Shop Ledger'!$C:$C,$A21,'Shop Ledger'!$F:$F))</f>
        <v>200</v>
      </c>
      <c r="H21" s="48">
        <f t="shared" si="1"/>
        <v>598</v>
      </c>
      <c r="I21" s="44">
        <f>IF(A21="","",IFERROR(SUMIF(Purchases!$D:$D,A21,Purchases!$I:$I)/D21,0))</f>
        <v>8.147411853</v>
      </c>
      <c r="J21" s="44">
        <f t="shared" si="2"/>
        <v>4872.152288</v>
      </c>
      <c r="K21" s="30">
        <f>IF($A21="","",IFERROR(VALUE(SUBSTITUTE(SUBSTITUTE(SUBSTITUTE(VLOOKUP($A21,Inventory!$O$5:$P$604,2,FALSE),"Tk","")," ",""),",","")),""))</f>
        <v>20</v>
      </c>
      <c r="L21" s="58">
        <f t="shared" si="3"/>
        <v>0.5926294074</v>
      </c>
      <c r="M21" s="58">
        <f t="shared" si="4"/>
        <v>1.454767276</v>
      </c>
      <c r="O21" s="59" t="str">
        <f t="shared" si="5"/>
        <v>TR-CRMY-15G-001</v>
      </c>
      <c r="P21" s="61">
        <v>20.0</v>
      </c>
    </row>
    <row r="22" ht="14.25" customHeight="1">
      <c r="A22" s="29" t="str">
        <f t="array" ref="A22">IFERROR(INDEX(Purchases!$D$5:$D$1004,MATCH(ROW()-4,Purchases!$L$5:$L$1004,0)),"")</f>
        <v>FD-DRY-SMHRT-450G-001</v>
      </c>
      <c r="B22" s="48" t="str">
        <f>IFERROR(VLOOKUP(A22,Purchases!$D:$E,2,FALSE),"")</f>
        <v>Smart Heart Kitten Food Chicken, Fish, Egg &amp; Milk 450gm</v>
      </c>
      <c r="C22" s="48" t="str">
        <f>IFERROR(VLOOKUP(A22,Purchases!$D:$F,3,FALSE),"")</f>
        <v>Kitten Food</v>
      </c>
      <c r="D22" s="48">
        <f>IF(A22="","",SUMIF(Purchases!$D:$D,A22,Purchases!$K:$K))</f>
        <v>18</v>
      </c>
      <c r="E22" s="48">
        <f>IF(A22="","",SUMIFS(Sales!$H:$H,Sales!$F:$F,A22,Sales!$B:$B,"&lt;&gt;Return"))</f>
        <v>5</v>
      </c>
      <c r="F22" s="48">
        <f>IF(A22="","",SUMIFS(Sales!$H:$H,Sales!$F:$F,A22,Sales!$B:$B,"Return"))</f>
        <v>0</v>
      </c>
      <c r="G22" s="48">
        <f>IF($A22="","",SUMIF('Shop Ledger'!$C:$C,$A22,'Shop Ledger'!$F:$F))</f>
        <v>11</v>
      </c>
      <c r="H22" s="48">
        <f t="shared" si="1"/>
        <v>2</v>
      </c>
      <c r="I22" s="44">
        <f>IF(A22="","",IFERROR(SUMIF(Purchases!$D:$D,A22,Purchases!$I:$I)/D22,0))</f>
        <v>290</v>
      </c>
      <c r="J22" s="44">
        <f t="shared" si="2"/>
        <v>580</v>
      </c>
      <c r="K22" s="30">
        <f>IF($A22="","",IFERROR(VALUE(SUBSTITUTE(SUBSTITUTE(SUBSTITUTE(VLOOKUP($A22,Inventory!$O$5:$P$604,2,FALSE),"Tk","")," ",""),",","")),""))</f>
        <v>380</v>
      </c>
      <c r="L22" s="58">
        <f t="shared" si="3"/>
        <v>0.2368421053</v>
      </c>
      <c r="M22" s="58">
        <f t="shared" si="4"/>
        <v>0.3103448276</v>
      </c>
      <c r="O22" s="59" t="str">
        <f t="shared" si="5"/>
        <v>FD-DRY-SMHRT-450G-001</v>
      </c>
      <c r="P22" s="62">
        <v>380.0</v>
      </c>
    </row>
    <row r="23" ht="14.25" customHeight="1">
      <c r="A23" s="29" t="str">
        <f t="array" ref="A23">IFERROR(INDEX(Purchases!$D$5:$D$1004,MATCH(ROW()-4,Purchases!$L$5:$L$1004,0)),"")</f>
        <v>FD-DRY-SMHRT-15KG-001</v>
      </c>
      <c r="B23" s="48" t="str">
        <f>IFERROR(VLOOKUP(A23,Purchases!$D:$E,2,FALSE),"")</f>
        <v>Smart Heart Adult Cat Food Chicken &amp; Tuna [15kg]</v>
      </c>
      <c r="C23" s="48" t="str">
        <f>IFERROR(VLOOKUP(A23,Purchases!$D:$F,3,FALSE),"")</f>
        <v>Cat Food</v>
      </c>
      <c r="D23" s="48">
        <f>IF(A23="","",SUMIF(Purchases!$D:$D,A23,Purchases!$K:$K))</f>
        <v>2</v>
      </c>
      <c r="E23" s="48">
        <f>IF(A23="","",SUMIFS(Sales!$H:$H,Sales!$F:$F,A23,Sales!$B:$B,"&lt;&gt;Return"))</f>
        <v>2</v>
      </c>
      <c r="F23" s="48">
        <f>IF(A23="","",SUMIFS(Sales!$H:$H,Sales!$F:$F,A23,Sales!$B:$B,"Return"))</f>
        <v>0</v>
      </c>
      <c r="G23" s="48">
        <f>IF($A23="","",SUMIF('Shop Ledger'!$C:$C,$A23,'Shop Ledger'!$F:$F))</f>
        <v>0</v>
      </c>
      <c r="H23" s="48">
        <f t="shared" si="1"/>
        <v>0</v>
      </c>
      <c r="I23" s="44">
        <f>IF(A23="","",IFERROR(SUMIF(Purchases!$D:$D,A23,Purchases!$I:$I)/D23,0))</f>
        <v>5700</v>
      </c>
      <c r="J23" s="44">
        <f t="shared" si="2"/>
        <v>0</v>
      </c>
      <c r="K23" s="30">
        <f>IF($A23="","",IFERROR(VALUE(SUBSTITUTE(SUBSTITUTE(SUBSTITUTE(VLOOKUP($A23,Inventory!$O$5:$P$604,2,FALSE),"Tk","")," ",""),",","")),""))</f>
        <v>6700</v>
      </c>
      <c r="L23" s="58">
        <f t="shared" si="3"/>
        <v>0.1492537313</v>
      </c>
      <c r="M23" s="58">
        <f t="shared" si="4"/>
        <v>0.1754385965</v>
      </c>
      <c r="O23" s="59" t="str">
        <f t="shared" si="5"/>
        <v>FD-DRY-SMHRT-15KG-001</v>
      </c>
      <c r="P23" s="61">
        <v>6700.0</v>
      </c>
    </row>
    <row r="24" ht="14.25" customHeight="1">
      <c r="A24" s="29" t="str">
        <f t="array" ref="A24">IFERROR(INDEX(Purchases!$D$5:$D$1004,MATCH(ROW()-4,Purchases!$L$5:$L$1004,0)),"")</f>
        <v>FD-BRD-MLT-YLW-25KG</v>
      </c>
      <c r="B24" s="48" t="str">
        <f>IFERROR(VLOOKUP(A24,Purchases!$D:$E,2,FALSE),"")</f>
        <v>Yellow Millet [25kg] + White Millet [25kg]</v>
      </c>
      <c r="C24" s="48" t="str">
        <f>IFERROR(VLOOKUP(A24,Purchases!$D:$F,3,FALSE),"")</f>
        <v>Bird/Pet Feed</v>
      </c>
      <c r="D24" s="48">
        <f>IF(A24="","",SUMIF(Purchases!$D:$D,A24,Purchases!$K:$K))</f>
        <v>50</v>
      </c>
      <c r="E24" s="48">
        <f>IF(A24="","",SUMIFS(Sales!$H:$H,Sales!$F:$F,A24,Sales!$B:$B,"&lt;&gt;Return"))</f>
        <v>1</v>
      </c>
      <c r="F24" s="48">
        <f>IF(A24="","",SUMIFS(Sales!$H:$H,Sales!$F:$F,A24,Sales!$B:$B,"Return"))</f>
        <v>0</v>
      </c>
      <c r="G24" s="48">
        <f>IF($A24="","",SUMIF('Shop Ledger'!$C:$C,$A24,'Shop Ledger'!$F:$F))</f>
        <v>0</v>
      </c>
      <c r="H24" s="48">
        <f t="shared" si="1"/>
        <v>49</v>
      </c>
      <c r="I24" s="44">
        <f>IF(A24="","",IFERROR(SUMIF(Purchases!$D:$D,A24,Purchases!$I:$I)/D24,0))</f>
        <v>100</v>
      </c>
      <c r="J24" s="44">
        <f t="shared" si="2"/>
        <v>4900</v>
      </c>
      <c r="K24" s="30">
        <f>IF($A24="","",IFERROR(VALUE(SUBSTITUTE(SUBSTITUTE(SUBSTITUTE(VLOOKUP($A24,Inventory!$O$5:$P$604,2,FALSE),"Tk","")," ",""),",","")),""))</f>
        <v>130</v>
      </c>
      <c r="L24" s="58">
        <f t="shared" si="3"/>
        <v>0.2307692308</v>
      </c>
      <c r="M24" s="58">
        <f t="shared" si="4"/>
        <v>0.3</v>
      </c>
      <c r="O24" s="59" t="str">
        <f t="shared" si="5"/>
        <v>FD-BRD-MLT-YLW-25KG</v>
      </c>
      <c r="P24" s="62">
        <v>130.0</v>
      </c>
    </row>
    <row r="25" ht="14.25" customHeight="1">
      <c r="A25" s="29" t="str">
        <f t="array" ref="A25">IFERROR(INDEX(Purchases!$D$5:$D$1004,MATCH(ROW()-4,Purchases!$L$5:$L$1004,0)),"")</f>
        <v>FD-DRY-KVF-MV-500G-001</v>
      </c>
      <c r="B25" s="48" t="str">
        <f>IFERROR(VLOOKUP(A25,Purchases!$D:$E,2,FALSE),"")</f>
        <v>Kaniva Fusion Multiviamins Chicken &amp; Pumpkin 500gm</v>
      </c>
      <c r="C25" s="48" t="str">
        <f>IFERROR(VLOOKUP(A25,Purchases!$D:$F,3,FALSE),"")</f>
        <v>Cat Food</v>
      </c>
      <c r="D25" s="48">
        <f>IF(A25="","",SUMIF(Purchases!$D:$D,A25,Purchases!$K:$K))</f>
        <v>12</v>
      </c>
      <c r="E25" s="48">
        <f>IF(A25="","",SUMIFS(Sales!$H:$H,Sales!$F:$F,A25,Sales!$B:$B,"&lt;&gt;Return"))</f>
        <v>5</v>
      </c>
      <c r="F25" s="48">
        <f>IF(A25="","",SUMIFS(Sales!$H:$H,Sales!$F:$F,A25,Sales!$B:$B,"Return"))</f>
        <v>0</v>
      </c>
      <c r="G25" s="48">
        <f>IF($A25="","",SUMIF('Shop Ledger'!$C:$C,$A25,'Shop Ledger'!$F:$F))</f>
        <v>6</v>
      </c>
      <c r="H25" s="48">
        <f t="shared" si="1"/>
        <v>1</v>
      </c>
      <c r="I25" s="44">
        <f>IF(A25="","",IFERROR(SUMIF(Purchases!$D:$D,A25,Purchases!$I:$I)/D25,0))</f>
        <v>507</v>
      </c>
      <c r="J25" s="44">
        <f t="shared" si="2"/>
        <v>507</v>
      </c>
      <c r="K25" s="30">
        <f>IF($A25="","",IFERROR(VALUE(SUBSTITUTE(SUBSTITUTE(SUBSTITUTE(VLOOKUP($A25,Inventory!$O$5:$P$604,2,FALSE),"Tk","")," ",""),",","")),""))</f>
        <v>650</v>
      </c>
      <c r="L25" s="58">
        <f t="shared" si="3"/>
        <v>0.22</v>
      </c>
      <c r="M25" s="58">
        <f t="shared" si="4"/>
        <v>0.2820512821</v>
      </c>
      <c r="O25" s="59" t="str">
        <f t="shared" si="5"/>
        <v>FD-DRY-KVF-MV-500G-001</v>
      </c>
      <c r="P25" s="61">
        <v>650.0</v>
      </c>
    </row>
    <row r="26" ht="14.25" customHeight="1">
      <c r="A26" s="29" t="str">
        <f t="array" ref="A26">IFERROR(INDEX(Purchases!$D$5:$D$1004,MATCH(ROW()-4,Purchases!$L$5:$L$1004,0)),"")</f>
        <v>FD-DRY-KVF-SKCO-500G-001</v>
      </c>
      <c r="B26" s="48" t="str">
        <f>IFERROR(VLOOKUP(A26,Purchases!$D:$E,2,FALSE),"")</f>
        <v>Kaniva Fusion Beauty (Skin &amp; Coat) 500gm</v>
      </c>
      <c r="C26" s="48" t="str">
        <f>IFERROR(VLOOKUP(A26,Purchases!$D:$F,3,FALSE),"")</f>
        <v>Cat Food</v>
      </c>
      <c r="D26" s="48">
        <f>IF(A26="","",SUMIF(Purchases!$D:$D,A26,Purchases!$K:$K))</f>
        <v>12</v>
      </c>
      <c r="E26" s="48">
        <f>IF(A26="","",SUMIFS(Sales!$H:$H,Sales!$F:$F,A26,Sales!$B:$B,"&lt;&gt;Return"))</f>
        <v>0</v>
      </c>
      <c r="F26" s="48">
        <f>IF(A26="","",SUMIFS(Sales!$H:$H,Sales!$F:$F,A26,Sales!$B:$B,"Return"))</f>
        <v>0</v>
      </c>
      <c r="G26" s="48">
        <f>IF($A26="","",SUMIF('Shop Ledger'!$C:$C,$A26,'Shop Ledger'!$F:$F))</f>
        <v>4</v>
      </c>
      <c r="H26" s="48">
        <f t="shared" si="1"/>
        <v>8</v>
      </c>
      <c r="I26" s="44">
        <f>IF(A26="","",IFERROR(SUMIF(Purchases!$D:$D,A26,Purchases!$I:$I)/D26,0))</f>
        <v>507</v>
      </c>
      <c r="J26" s="44">
        <f t="shared" si="2"/>
        <v>4056</v>
      </c>
      <c r="K26" s="30">
        <f>IF($A26="","",IFERROR(VALUE(SUBSTITUTE(SUBSTITUTE(SUBSTITUTE(VLOOKUP($A26,Inventory!$O$5:$P$604,2,FALSE),"Tk","")," ",""),",","")),""))</f>
        <v>650</v>
      </c>
      <c r="L26" s="58">
        <f t="shared" si="3"/>
        <v>0.22</v>
      </c>
      <c r="M26" s="58">
        <f t="shared" si="4"/>
        <v>0.2820512821</v>
      </c>
      <c r="O26" s="59" t="str">
        <f t="shared" si="5"/>
        <v>FD-DRY-KVF-SKCO-500G-001</v>
      </c>
      <c r="P26" s="62">
        <v>650.0</v>
      </c>
    </row>
    <row r="27" ht="14.25" customHeight="1">
      <c r="A27" s="29" t="str">
        <f t="array" ref="A27">IFERROR(INDEX(Purchases!$D$5:$D$1004,MATCH(ROW()-4,Purchases!$L$5:$L$1004,0)),"")</f>
        <v>LT-LM-CZE-5L-001</v>
      </c>
      <c r="B27" s="48" t="str">
        <f>IFERROR(VLOOKUP(A27,Purchases!$D:$E,2,FALSE),"")</f>
        <v>Cozie Cat Litter Lemon 5L</v>
      </c>
      <c r="C27" s="48" t="str">
        <f>IFERROR(VLOOKUP(A27,Purchases!$D:$F,3,FALSE),"")</f>
        <v>Cat Litter</v>
      </c>
      <c r="D27" s="48">
        <f>IF(A27="","",SUMIF(Purchases!$D:$D,A27,Purchases!$K:$K))</f>
        <v>12</v>
      </c>
      <c r="E27" s="48">
        <f>IF(A27="","",SUMIFS(Sales!$H:$H,Sales!$F:$F,A27,Sales!$B:$B,"&lt;&gt;Return"))</f>
        <v>5</v>
      </c>
      <c r="F27" s="48">
        <f>IF(A27="","",SUMIFS(Sales!$H:$H,Sales!$F:$F,A27,Sales!$B:$B,"Return"))</f>
        <v>0</v>
      </c>
      <c r="G27" s="48">
        <f>IF($A27="","",SUMIF('Shop Ledger'!$C:$C,$A27,'Shop Ledger'!$F:$F))</f>
        <v>6</v>
      </c>
      <c r="H27" s="48">
        <f t="shared" si="1"/>
        <v>1</v>
      </c>
      <c r="I27" s="44">
        <f>IF(A27="","",IFERROR(SUMIF(Purchases!$D:$D,A27,Purchases!$I:$I)/D27,0))</f>
        <v>230</v>
      </c>
      <c r="J27" s="44">
        <f t="shared" si="2"/>
        <v>230</v>
      </c>
      <c r="K27" s="30">
        <f>IF($A27="","",IFERROR(VALUE(SUBSTITUTE(SUBSTITUTE(SUBSTITUTE(VLOOKUP($A27,Inventory!$O$5:$P$604,2,FALSE),"Tk","")," ",""),",","")),""))</f>
        <v>370</v>
      </c>
      <c r="L27" s="58">
        <f t="shared" si="3"/>
        <v>0.3783783784</v>
      </c>
      <c r="M27" s="58">
        <f t="shared" si="4"/>
        <v>0.6086956522</v>
      </c>
      <c r="O27" s="59" t="str">
        <f t="shared" si="5"/>
        <v>LT-LM-CZE-5L-001</v>
      </c>
      <c r="P27" s="61">
        <v>370.0</v>
      </c>
    </row>
    <row r="28" ht="13.5" customHeight="1">
      <c r="A28" s="29" t="str">
        <f t="array" ref="A28">IFERROR(INDEX(Purchases!$D$5:$D$1004,MATCH(ROW()-4,Purchases!$L$5:$L$1004,0)),"")</f>
        <v>LT-LM-CZE-10L-001</v>
      </c>
      <c r="B28" s="48" t="str">
        <f>IFERROR(VLOOKUP(A28,Purchases!$D:$E,2,FALSE),"")</f>
        <v>Cozie Cat Litter Lemon 10L</v>
      </c>
      <c r="C28" s="48" t="str">
        <f>IFERROR(VLOOKUP(A28,Purchases!$D:$F,3,FALSE),"")</f>
        <v>Cat Litter</v>
      </c>
      <c r="D28" s="48">
        <f>IF(A28="","",SUMIF(Purchases!$D:$D,A28,Purchases!$K:$K))</f>
        <v>9</v>
      </c>
      <c r="E28" s="48">
        <f>IF(A28="","",SUMIFS(Sales!$H:$H,Sales!$F:$F,A28,Sales!$B:$B,"&lt;&gt;Return"))</f>
        <v>0</v>
      </c>
      <c r="F28" s="48">
        <f>IF(A28="","",SUMIFS(Sales!$H:$H,Sales!$F:$F,A28,Sales!$B:$B,"Return"))</f>
        <v>0</v>
      </c>
      <c r="G28" s="48">
        <f>IF($A28="","",SUMIF('Shop Ledger'!$C:$C,$A28,'Shop Ledger'!$F:$F))</f>
        <v>2</v>
      </c>
      <c r="H28" s="48">
        <f t="shared" si="1"/>
        <v>7</v>
      </c>
      <c r="I28" s="44">
        <f>IF(A28="","",IFERROR(SUMIF(Purchases!$D:$D,A28,Purchases!$I:$I)/D28,0))</f>
        <v>450</v>
      </c>
      <c r="J28" s="44">
        <f t="shared" si="2"/>
        <v>3150</v>
      </c>
      <c r="K28" s="30">
        <f>IF($A28="","",IFERROR(VALUE(SUBSTITUTE(SUBSTITUTE(SUBSTITUTE(VLOOKUP($A28,Inventory!$O$5:$P$604,2,FALSE),"Tk","")," ",""),",","")),""))</f>
        <v>700</v>
      </c>
      <c r="L28" s="58">
        <f t="shared" si="3"/>
        <v>0.3571428571</v>
      </c>
      <c r="M28" s="58">
        <f t="shared" si="4"/>
        <v>0.5555555556</v>
      </c>
      <c r="O28" s="59" t="str">
        <f t="shared" si="5"/>
        <v>LT-LM-CZE-10L-001</v>
      </c>
      <c r="P28" s="62">
        <v>700.0</v>
      </c>
    </row>
    <row r="29" ht="13.5" customHeight="1">
      <c r="A29" s="29" t="str">
        <f t="array" ref="A29">IFERROR(INDEX(Purchases!$D$5:$D$1004,MATCH(ROW()-4,Purchases!$L$5:$L$1004,0)),"")</f>
        <v>LT-LV-CZE-5L-001</v>
      </c>
      <c r="B29" s="48" t="str">
        <f>IFERROR(VLOOKUP(A29,Purchases!$D:$E,2,FALSE),"")</f>
        <v>Cozie Cat Litter Lavender 5L</v>
      </c>
      <c r="C29" s="48" t="str">
        <f>IFERROR(VLOOKUP(A29,Purchases!$D:$F,3,FALSE),"")</f>
        <v>Cat Litter</v>
      </c>
      <c r="D29" s="48">
        <f>IF(A29="","",SUMIF(Purchases!$D:$D,A29,Purchases!$K:$K))</f>
        <v>12</v>
      </c>
      <c r="E29" s="48">
        <f>IF(A29="","",SUMIFS(Sales!$H:$H,Sales!$F:$F,A29,Sales!$B:$B,"&lt;&gt;Return"))</f>
        <v>8</v>
      </c>
      <c r="F29" s="48">
        <f>IF(A29="","",SUMIFS(Sales!$H:$H,Sales!$F:$F,A29,Sales!$B:$B,"Return"))</f>
        <v>0</v>
      </c>
      <c r="G29" s="48">
        <f>IF($A29="","",SUMIF('Shop Ledger'!$C:$C,$A29,'Shop Ledger'!$F:$F))</f>
        <v>4</v>
      </c>
      <c r="H29" s="48">
        <f t="shared" si="1"/>
        <v>0</v>
      </c>
      <c r="I29" s="44">
        <f>IF(A29="","",IFERROR(SUMIF(Purchases!$D:$D,A29,Purchases!$I:$I)/D29,0))</f>
        <v>230</v>
      </c>
      <c r="J29" s="44">
        <f t="shared" si="2"/>
        <v>0</v>
      </c>
      <c r="K29" s="30">
        <f>IF($A29="","",IFERROR(VALUE(SUBSTITUTE(SUBSTITUTE(SUBSTITUTE(VLOOKUP($A29,Inventory!$O$5:$P$604,2,FALSE),"Tk","")," ",""),",","")),""))</f>
        <v>370</v>
      </c>
      <c r="L29" s="58">
        <f t="shared" si="3"/>
        <v>0.3783783784</v>
      </c>
      <c r="M29" s="58">
        <f t="shared" si="4"/>
        <v>0.6086956522</v>
      </c>
      <c r="O29" s="59" t="str">
        <f t="shared" si="5"/>
        <v>LT-LV-CZE-5L-001</v>
      </c>
      <c r="P29" s="61">
        <v>370.0</v>
      </c>
    </row>
    <row r="30" ht="13.5" customHeight="1">
      <c r="A30" s="29" t="str">
        <f t="array" ref="A30">IFERROR(INDEX(Purchases!$D$5:$D$1004,MATCH(ROW()-4,Purchases!$L$5:$L$1004,0)),"")</f>
        <v>LT-LV-CZE-10L-001</v>
      </c>
      <c r="B30" s="48" t="str">
        <f>IFERROR(VLOOKUP(A30,Purchases!$D:$E,2,FALSE),"")</f>
        <v>Cozie Cat Litter Lavender 10L</v>
      </c>
      <c r="C30" s="48" t="str">
        <f>IFERROR(VLOOKUP(A30,Purchases!$D:$F,3,FALSE),"")</f>
        <v>Cat Litter</v>
      </c>
      <c r="D30" s="48">
        <f>IF(A30="","",SUMIF(Purchases!$D:$D,A30,Purchases!$K:$K))</f>
        <v>9</v>
      </c>
      <c r="E30" s="48">
        <f>IF(A30="","",SUMIFS(Sales!$H:$H,Sales!$F:$F,A30,Sales!$B:$B,"&lt;&gt;Return"))</f>
        <v>7</v>
      </c>
      <c r="F30" s="48">
        <f>IF(A30="","",SUMIFS(Sales!$H:$H,Sales!$F:$F,A30,Sales!$B:$B,"Return"))</f>
        <v>0</v>
      </c>
      <c r="G30" s="48">
        <f>IF($A30="","",SUMIF('Shop Ledger'!$C:$C,$A30,'Shop Ledger'!$F:$F))</f>
        <v>3</v>
      </c>
      <c r="H30" s="48">
        <f t="shared" si="1"/>
        <v>-1</v>
      </c>
      <c r="I30" s="44">
        <f>IF(A30="","",IFERROR(SUMIF(Purchases!$D:$D,A30,Purchases!$I:$I)/D30,0))</f>
        <v>450</v>
      </c>
      <c r="J30" s="44">
        <f t="shared" si="2"/>
        <v>-450</v>
      </c>
      <c r="K30" s="30">
        <f>IF($A30="","",IFERROR(VALUE(SUBSTITUTE(SUBSTITUTE(SUBSTITUTE(VLOOKUP($A30,Inventory!$O$5:$P$604,2,FALSE),"Tk","")," ",""),",","")),""))</f>
        <v>700</v>
      </c>
      <c r="L30" s="58">
        <f t="shared" si="3"/>
        <v>0.3571428571</v>
      </c>
      <c r="M30" s="58">
        <f t="shared" si="4"/>
        <v>0.5555555556</v>
      </c>
      <c r="O30" s="59" t="str">
        <f t="shared" si="5"/>
        <v>LT-LV-CZE-10L-001</v>
      </c>
      <c r="P30" s="62">
        <v>700.0</v>
      </c>
    </row>
    <row r="31" ht="13.5" customHeight="1">
      <c r="A31" s="29" t="str">
        <f t="array" ref="A31">IFERROR(INDEX(Purchases!$D$5:$D$1004,MATCH(ROW()-4,Purchases!$L$5:$L$1004,0)),"")</f>
        <v>PO-WET-NK-70G-002</v>
      </c>
      <c r="B31" s="48" t="str">
        <f>IFERROR(VLOOKUP(A31,Purchases!$D:$E,2,FALSE),"")</f>
        <v>Nekko Pouch 70G Tuna in Gravy</v>
      </c>
      <c r="C31" s="48" t="str">
        <f>IFERROR(VLOOKUP(A31,Purchases!$D:$F,3,FALSE),"")</f>
        <v>Cat Pouch</v>
      </c>
      <c r="D31" s="48">
        <f>IF(A31="","",SUMIF(Purchases!$D:$D,A31,Purchases!$K:$K))</f>
        <v>48</v>
      </c>
      <c r="E31" s="48">
        <f>IF(A31="","",SUMIFS(Sales!$H:$H,Sales!$F:$F,A31,Sales!$B:$B,"&lt;&gt;Return"))</f>
        <v>7</v>
      </c>
      <c r="F31" s="48">
        <f>IF(A31="","",SUMIFS(Sales!$H:$H,Sales!$F:$F,A31,Sales!$B:$B,"Return"))</f>
        <v>0</v>
      </c>
      <c r="G31" s="48">
        <f>IF($A31="","",SUMIF('Shop Ledger'!$C:$C,$A31,'Shop Ledger'!$F:$F))</f>
        <v>12</v>
      </c>
      <c r="H31" s="48">
        <f t="shared" si="1"/>
        <v>29</v>
      </c>
      <c r="I31" s="44">
        <f>IF(A31="","",IFERROR(SUMIF(Purchases!$D:$D,A31,Purchases!$I:$I)/D31,0))</f>
        <v>65</v>
      </c>
      <c r="J31" s="44">
        <f t="shared" si="2"/>
        <v>1885</v>
      </c>
      <c r="K31" s="30">
        <f>IF($A31="","",IFERROR(VALUE(SUBSTITUTE(SUBSTITUTE(SUBSTITUTE(VLOOKUP($A31,Inventory!$O$5:$P$604,2,FALSE),"Tk","")," ",""),",","")),""))</f>
        <v>85</v>
      </c>
      <c r="L31" s="58">
        <f t="shared" si="3"/>
        <v>0.2352941176</v>
      </c>
      <c r="M31" s="58">
        <f t="shared" si="4"/>
        <v>0.3076923077</v>
      </c>
      <c r="O31" s="59" t="str">
        <f t="shared" si="5"/>
        <v>PO-WET-NK-70G-002</v>
      </c>
      <c r="P31" s="61">
        <v>85.0</v>
      </c>
    </row>
    <row r="32" ht="14.25" customHeight="1">
      <c r="A32" s="29" t="str">
        <f t="array" ref="A32">IFERROR(INDEX(Purchases!$D$5:$D$1004,MATCH(ROW()-4,Purchases!$L$5:$L$1004,0)),"")</f>
        <v>PO-WET-NK-70G-003-KT</v>
      </c>
      <c r="B32" s="48" t="str">
        <f>IFERROR(VLOOKUP(A32,Purchases!$D:$E,2,FALSE),"")</f>
        <v>Nekko Pouch 70G Tuna in Chicken Mousse For Kitten</v>
      </c>
      <c r="C32" s="48" t="str">
        <f>IFERROR(VLOOKUP(A32,Purchases!$D:$F,3,FALSE),"")</f>
        <v>Cat Pouch</v>
      </c>
      <c r="D32" s="48">
        <f>IF(A32="","",SUMIF(Purchases!$D:$D,A32,Purchases!$K:$K))</f>
        <v>58</v>
      </c>
      <c r="E32" s="48">
        <f>IF(A32="","",SUMIFS(Sales!$H:$H,Sales!$F:$F,A32,Sales!$B:$B,"&lt;&gt;Return"))</f>
        <v>20</v>
      </c>
      <c r="F32" s="48">
        <f>IF(A32="","",SUMIFS(Sales!$H:$H,Sales!$F:$F,A32,Sales!$B:$B,"Return"))</f>
        <v>0</v>
      </c>
      <c r="G32" s="48">
        <f>IF($A32="","",SUMIF('Shop Ledger'!$C:$C,$A32,'Shop Ledger'!$F:$F))</f>
        <v>12</v>
      </c>
      <c r="H32" s="48">
        <f t="shared" si="1"/>
        <v>26</v>
      </c>
      <c r="I32" s="44">
        <f>IF(A32="","",IFERROR(SUMIF(Purchases!$D:$D,A32,Purchases!$I:$I)/D32,0))</f>
        <v>65.17241379</v>
      </c>
      <c r="J32" s="44">
        <f t="shared" si="2"/>
        <v>1694.482759</v>
      </c>
      <c r="K32" s="30">
        <f>IF($A32="","",IFERROR(VALUE(SUBSTITUTE(SUBSTITUTE(SUBSTITUTE(VLOOKUP($A32,Inventory!$O$5:$P$604,2,FALSE),"Tk","")," ",""),",","")),""))</f>
        <v>90</v>
      </c>
      <c r="L32" s="58">
        <f t="shared" si="3"/>
        <v>0.275862069</v>
      </c>
      <c r="M32" s="58">
        <f t="shared" si="4"/>
        <v>0.380952381</v>
      </c>
      <c r="O32" s="59" t="str">
        <f t="shared" si="5"/>
        <v>PO-WET-NK-70G-003-KT</v>
      </c>
      <c r="P32" s="62">
        <v>90.0</v>
      </c>
    </row>
    <row r="33" ht="14.25" customHeight="1">
      <c r="A33" s="29" t="str">
        <f t="array" ref="A33">IFERROR(INDEX(Purchases!$D$5:$D$1004,MATCH(ROW()-4,Purchases!$L$5:$L$1004,0)),"")</f>
        <v>PO-WET-SMHRT-TJ-85G-001</v>
      </c>
      <c r="B33" s="48" t="str">
        <f>IFERROR(VLOOKUP(A33,Purchases!$D:$E,2,FALSE),"")</f>
        <v>Smart Heart Pouch Tuna in Jelly Kitten</v>
      </c>
      <c r="C33" s="48" t="str">
        <f>IFERROR(VLOOKUP(A33,Purchases!$D:$F,3,FALSE),"")</f>
        <v>Cat Pouch</v>
      </c>
      <c r="D33" s="48">
        <f>IF(A33="","",SUMIF(Purchases!$D:$D,A33,Purchases!$K:$K))</f>
        <v>48</v>
      </c>
      <c r="E33" s="48">
        <f>IF(A33="","",SUMIFS(Sales!$H:$H,Sales!$F:$F,A33,Sales!$B:$B,"&lt;&gt;Return"))</f>
        <v>14</v>
      </c>
      <c r="F33" s="48">
        <f>IF(A33="","",SUMIFS(Sales!$H:$H,Sales!$F:$F,A33,Sales!$B:$B,"Return"))</f>
        <v>0</v>
      </c>
      <c r="G33" s="48">
        <f>IF($A33="","",SUMIF('Shop Ledger'!$C:$C,$A33,'Shop Ledger'!$F:$F))</f>
        <v>24</v>
      </c>
      <c r="H33" s="48">
        <f t="shared" si="1"/>
        <v>10</v>
      </c>
      <c r="I33" s="44">
        <f>IF(A33="","",IFERROR(SUMIF(Purchases!$D:$D,A33,Purchases!$I:$I)/D33,0))</f>
        <v>72</v>
      </c>
      <c r="J33" s="44">
        <f t="shared" si="2"/>
        <v>720</v>
      </c>
      <c r="K33" s="30">
        <f>IF($A33="","",IFERROR(VALUE(SUBSTITUTE(SUBSTITUTE(SUBSTITUTE(VLOOKUP($A33,Inventory!$O$5:$P$604,2,FALSE),"Tk","")," ",""),",","")),""))</f>
        <v>95</v>
      </c>
      <c r="L33" s="58">
        <f t="shared" si="3"/>
        <v>0.2421052632</v>
      </c>
      <c r="M33" s="58">
        <f t="shared" si="4"/>
        <v>0.3194444444</v>
      </c>
      <c r="O33" s="59" t="str">
        <f t="shared" si="5"/>
        <v>PO-WET-SMHRT-TJ-85G-001</v>
      </c>
      <c r="P33" s="61">
        <v>95.0</v>
      </c>
    </row>
    <row r="34" ht="13.5" customHeight="1">
      <c r="A34" s="29" t="str">
        <f t="array" ref="A34">IFERROR(INDEX(Purchases!$D$5:$D$1004,MATCH(ROW()-4,Purchases!$L$5:$L$1004,0)),"")</f>
        <v>PO-WET-SMHRT-TWC-85G-001</v>
      </c>
      <c r="B34" s="48" t="str">
        <f>IFERROR(VLOOKUP(A34,Purchases!$D:$E,2,FALSE),"")</f>
        <v>Smart Heart Pouch  Tuna With Chicken in Jelly</v>
      </c>
      <c r="C34" s="48" t="str">
        <f>IFERROR(VLOOKUP(A34,Purchases!$D:$F,3,FALSE),"")</f>
        <v>Cat Pouch</v>
      </c>
      <c r="D34" s="48">
        <f>IF(A34="","",SUMIF(Purchases!$D:$D,A34,Purchases!$K:$K))</f>
        <v>63</v>
      </c>
      <c r="E34" s="48">
        <f>IF(A34="","",SUMIFS(Sales!$H:$H,Sales!$F:$F,A34,Sales!$B:$B,"&lt;&gt;Return"))</f>
        <v>20</v>
      </c>
      <c r="F34" s="48">
        <f>IF(A34="","",SUMIFS(Sales!$H:$H,Sales!$F:$F,A34,Sales!$B:$B,"Return"))</f>
        <v>0</v>
      </c>
      <c r="G34" s="48">
        <f>IF($A34="","",SUMIF('Shop Ledger'!$C:$C,$A34,'Shop Ledger'!$F:$F))</f>
        <v>24</v>
      </c>
      <c r="H34" s="48">
        <f t="shared" si="1"/>
        <v>19</v>
      </c>
      <c r="I34" s="44">
        <f>IF(A34="","",IFERROR(SUMIF(Purchases!$D:$D,A34,Purchases!$I:$I)/D34,0))</f>
        <v>71.9047619</v>
      </c>
      <c r="J34" s="44">
        <f t="shared" si="2"/>
        <v>1366.190476</v>
      </c>
      <c r="K34" s="30">
        <f>IF($A34="","",IFERROR(VALUE(SUBSTITUTE(SUBSTITUTE(SUBSTITUTE(VLOOKUP($A34,Inventory!$O$5:$P$604,2,FALSE),"Tk","")," ",""),",","")),""))</f>
        <v>95</v>
      </c>
      <c r="L34" s="58">
        <f t="shared" si="3"/>
        <v>0.2431077694</v>
      </c>
      <c r="M34" s="58">
        <f t="shared" si="4"/>
        <v>0.321192053</v>
      </c>
      <c r="O34" s="59" t="str">
        <f t="shared" si="5"/>
        <v>PO-WET-SMHRT-TWC-85G-001</v>
      </c>
      <c r="P34" s="62">
        <v>95.0</v>
      </c>
    </row>
    <row r="35" ht="14.25" customHeight="1">
      <c r="A35" s="29" t="str">
        <f t="array" ref="A35">IFERROR(INDEX(Purchases!$D$5:$D$1004,MATCH(ROW()-4,Purchases!$L$5:$L$1004,0)),"")</f>
        <v>LT-CF-DD-25L-001</v>
      </c>
      <c r="B35" s="48" t="str">
        <f>IFERROR(VLOOKUP(A35,Purchases!$D:$E,2,FALSE),"")</f>
        <v>L Favorite Cat Litter 25L Coffee Flvor</v>
      </c>
      <c r="C35" s="48" t="str">
        <f>IFERROR(VLOOKUP(A35,Purchases!$D:$F,3,FALSE),"")</f>
        <v>Cat Litter</v>
      </c>
      <c r="D35" s="48">
        <f>IF(A35="","",SUMIF(Purchases!$D:$D,A35,Purchases!$K:$K))</f>
        <v>1</v>
      </c>
      <c r="E35" s="48">
        <f>IF(A35="","",SUMIFS(Sales!$H:$H,Sales!$F:$F,A35,Sales!$B:$B,"&lt;&gt;Return"))</f>
        <v>1</v>
      </c>
      <c r="F35" s="48">
        <f>IF(A35="","",SUMIFS(Sales!$H:$H,Sales!$F:$F,A35,Sales!$B:$B,"Return"))</f>
        <v>0</v>
      </c>
      <c r="G35" s="48">
        <f>IF($A35="","",SUMIF('Shop Ledger'!$C:$C,$A35,'Shop Ledger'!$F:$F))</f>
        <v>0</v>
      </c>
      <c r="H35" s="48">
        <f t="shared" si="1"/>
        <v>0</v>
      </c>
      <c r="I35" s="44">
        <f>IF(A35="","",IFERROR(SUMIF(Purchases!$D:$D,A35,Purchases!$I:$I)/D35,0))</f>
        <v>1000</v>
      </c>
      <c r="J35" s="44">
        <f t="shared" si="2"/>
        <v>0</v>
      </c>
      <c r="K35" s="30">
        <f>IF($A35="","",IFERROR(VALUE(SUBSTITUTE(SUBSTITUTE(SUBSTITUTE(VLOOKUP($A35,Inventory!$O$5:$P$604,2,FALSE),"Tk","")," ",""),",","")),""))</f>
        <v>1550</v>
      </c>
      <c r="L35" s="58">
        <f t="shared" si="3"/>
        <v>0.3548387097</v>
      </c>
      <c r="M35" s="58">
        <f t="shared" si="4"/>
        <v>0.55</v>
      </c>
      <c r="O35" s="59" t="str">
        <f t="shared" si="5"/>
        <v>LT-CF-DD-25L-001</v>
      </c>
      <c r="P35" s="61">
        <v>1550.0</v>
      </c>
    </row>
    <row r="36" ht="13.5" customHeight="1">
      <c r="A36" s="29" t="str">
        <f t="array" ref="A36">IFERROR(INDEX(Purchases!$D$5:$D$1004,MATCH(ROW()-4,Purchases!$L$5:$L$1004,0)),"")</f>
        <v>LT-AP-DD-25L-002</v>
      </c>
      <c r="B36" s="48" t="str">
        <f>IFERROR(VLOOKUP(A36,Purchases!$D:$E,2,FALSE),"")</f>
        <v>Dodo Cat Litter 25L Apple Flvor</v>
      </c>
      <c r="C36" s="48" t="str">
        <f>IFERROR(VLOOKUP(A36,Purchases!$D:$F,3,FALSE),"")</f>
        <v>Cat Litter</v>
      </c>
      <c r="D36" s="48">
        <f>IF(A36="","",SUMIF(Purchases!$D:$D,A36,Purchases!$K:$K))</f>
        <v>2</v>
      </c>
      <c r="E36" s="48">
        <f>IF(A36="","",SUMIFS(Sales!$H:$H,Sales!$F:$F,A36,Sales!$B:$B,"&lt;&gt;Return"))</f>
        <v>2</v>
      </c>
      <c r="F36" s="48">
        <f>IF(A36="","",SUMIFS(Sales!$H:$H,Sales!$F:$F,A36,Sales!$B:$B,"Return"))</f>
        <v>0</v>
      </c>
      <c r="G36" s="48">
        <f>IF($A36="","",SUMIF('Shop Ledger'!$C:$C,$A36,'Shop Ledger'!$F:$F))</f>
        <v>0</v>
      </c>
      <c r="H36" s="48">
        <f t="shared" si="1"/>
        <v>0</v>
      </c>
      <c r="I36" s="44">
        <f>IF(A36="","",IFERROR(SUMIF(Purchases!$D:$D,A36,Purchases!$I:$I)/D36,0))</f>
        <v>850</v>
      </c>
      <c r="J36" s="44">
        <f t="shared" si="2"/>
        <v>0</v>
      </c>
      <c r="K36" s="30">
        <f>IF($A36="","",IFERROR(VALUE(SUBSTITUTE(SUBSTITUTE(SUBSTITUTE(VLOOKUP($A36,Inventory!$O$5:$P$604,2,FALSE),"Tk","")," ",""),",","")),""))</f>
        <v>1450</v>
      </c>
      <c r="L36" s="58">
        <f t="shared" si="3"/>
        <v>0.4137931034</v>
      </c>
      <c r="M36" s="58">
        <f t="shared" si="4"/>
        <v>0.7058823529</v>
      </c>
      <c r="O36" s="59" t="str">
        <f t="shared" si="5"/>
        <v>LT-AP-DD-25L-002</v>
      </c>
      <c r="P36" s="62">
        <v>1450.0</v>
      </c>
    </row>
    <row r="37" ht="14.25" customHeight="1">
      <c r="A37" s="29" t="str">
        <f t="array" ref="A37">IFERROR(INDEX(Purchases!$D$5:$D$1004,MATCH(ROW()-4,Purchases!$L$5:$L$1004,0)),"")</f>
        <v>LT-AP-DD-10L-001</v>
      </c>
      <c r="B37" s="48" t="str">
        <f>IFERROR(VLOOKUP(A37,Purchases!$D:$E,2,FALSE),"")</f>
        <v>Dodo Cat Litter 10L Apple Flvor</v>
      </c>
      <c r="C37" s="48" t="str">
        <f>IFERROR(VLOOKUP(A37,Purchases!$D:$F,3,FALSE),"")</f>
        <v>Cat Litter</v>
      </c>
      <c r="D37" s="48">
        <f>IF(A37="","",SUMIF(Purchases!$D:$D,A37,Purchases!$K:$K))</f>
        <v>3</v>
      </c>
      <c r="E37" s="48">
        <f>IF(A37="","",SUMIFS(Sales!$H:$H,Sales!$F:$F,A37,Sales!$B:$B,"&lt;&gt;Return"))</f>
        <v>1</v>
      </c>
      <c r="F37" s="48">
        <f>IF(A37="","",SUMIFS(Sales!$H:$H,Sales!$F:$F,A37,Sales!$B:$B,"Return"))</f>
        <v>0</v>
      </c>
      <c r="G37" s="48">
        <f>IF($A37="","",SUMIF('Shop Ledger'!$C:$C,$A37,'Shop Ledger'!$F:$F))</f>
        <v>0</v>
      </c>
      <c r="H37" s="48">
        <f t="shared" si="1"/>
        <v>2</v>
      </c>
      <c r="I37" s="44">
        <f>IF(A37="","",IFERROR(SUMIF(Purchases!$D:$D,A37,Purchases!$I:$I)/D37,0))</f>
        <v>360</v>
      </c>
      <c r="J37" s="44">
        <f t="shared" si="2"/>
        <v>720</v>
      </c>
      <c r="K37" s="30">
        <f>IF($A37="","",IFERROR(VALUE(SUBSTITUTE(SUBSTITUTE(SUBSTITUTE(VLOOKUP($A37,Inventory!$O$5:$P$604,2,FALSE),"Tk","")," ",""),",","")),""))</f>
        <v>600</v>
      </c>
      <c r="L37" s="58">
        <f t="shared" si="3"/>
        <v>0.4</v>
      </c>
      <c r="M37" s="58">
        <f t="shared" si="4"/>
        <v>0.6666666667</v>
      </c>
      <c r="O37" s="59" t="str">
        <f t="shared" si="5"/>
        <v>LT-AP-DD-10L-001</v>
      </c>
      <c r="P37" s="61">
        <v>600.0</v>
      </c>
    </row>
    <row r="38" ht="14.25" customHeight="1">
      <c r="A38" s="29" t="str">
        <f t="array" ref="A38">IFERROR(INDEX(Purchases!$D$5:$D$1004,MATCH(ROW()-4,Purchases!$L$5:$L$1004,0)),"")</f>
        <v>AC-SHAMP-001</v>
      </c>
      <c r="B38" s="48" t="str">
        <f>IFERROR(VLOOKUP(A38,Purchases!$D:$E,2,FALSE),"")</f>
        <v>Bengal 4in1 Shampoo &amp; Conditioner</v>
      </c>
      <c r="C38" s="48" t="str">
        <f>IFERROR(VLOOKUP(A38,Purchases!$D:$F,3,FALSE),"")</f>
        <v>Cat Accessories</v>
      </c>
      <c r="D38" s="48">
        <f>IF(A38="","",SUMIF(Purchases!$D:$D,A38,Purchases!$K:$K))</f>
        <v>1</v>
      </c>
      <c r="E38" s="48">
        <f>IF(A38="","",SUMIFS(Sales!$H:$H,Sales!$F:$F,A38,Sales!$B:$B,"&lt;&gt;Return"))</f>
        <v>1</v>
      </c>
      <c r="F38" s="48">
        <f>IF(A38="","",SUMIFS(Sales!$H:$H,Sales!$F:$F,A38,Sales!$B:$B,"Return"))</f>
        <v>0</v>
      </c>
      <c r="G38" s="48">
        <f>IF($A38="","",SUMIF('Shop Ledger'!$C:$C,$A38,'Shop Ledger'!$F:$F))</f>
        <v>0</v>
      </c>
      <c r="H38" s="48">
        <f t="shared" si="1"/>
        <v>0</v>
      </c>
      <c r="I38" s="44">
        <f>IF(A38="","",IFERROR(SUMIF(Purchases!$D:$D,A38,Purchases!$I:$I)/D38,0))</f>
        <v>240</v>
      </c>
      <c r="J38" s="44">
        <f t="shared" si="2"/>
        <v>0</v>
      </c>
      <c r="K38" s="30">
        <f>IF($A38="","",IFERROR(VALUE(SUBSTITUTE(SUBSTITUTE(SUBSTITUTE(VLOOKUP($A38,Inventory!$O$5:$P$604,2,FALSE),"Tk","")," ",""),",","")),""))</f>
        <v>450</v>
      </c>
      <c r="L38" s="58">
        <f t="shared" si="3"/>
        <v>0.4666666667</v>
      </c>
      <c r="M38" s="58">
        <f t="shared" si="4"/>
        <v>0.875</v>
      </c>
      <c r="O38" s="59" t="str">
        <f t="shared" si="5"/>
        <v>AC-SHAMP-001</v>
      </c>
      <c r="P38" s="62">
        <v>450.0</v>
      </c>
    </row>
    <row r="39" ht="14.25" customHeight="1">
      <c r="A39" s="29" t="str">
        <f t="array" ref="A39">IFERROR(INDEX(Purchases!$D$5:$D$1004,MATCH(ROW()-4,Purchases!$L$5:$L$1004,0)),"")</f>
        <v>AC-BOWL-001</v>
      </c>
      <c r="B39" s="48" t="str">
        <f>IFERROR(VLOOKUP(A39,Purchases!$D:$E,2,FALSE),"")</f>
        <v>Sea Chinese Food Bowl</v>
      </c>
      <c r="C39" s="48" t="str">
        <f>IFERROR(VLOOKUP(A39,Purchases!$D:$F,3,FALSE),"")</f>
        <v>Cat Accessories</v>
      </c>
      <c r="D39" s="48">
        <f>IF(A39="","",SUMIF(Purchases!$D:$D,A39,Purchases!$K:$K))</f>
        <v>5</v>
      </c>
      <c r="E39" s="48">
        <f>IF(A39="","",SUMIFS(Sales!$H:$H,Sales!$F:$F,A39,Sales!$B:$B,"&lt;&gt;Return"))</f>
        <v>4</v>
      </c>
      <c r="F39" s="48">
        <f>IF(A39="","",SUMIFS(Sales!$H:$H,Sales!$F:$F,A39,Sales!$B:$B,"Return"))</f>
        <v>0</v>
      </c>
      <c r="G39" s="48">
        <f>IF($A39="","",SUMIF('Shop Ledger'!$C:$C,$A39,'Shop Ledger'!$F:$F))</f>
        <v>0</v>
      </c>
      <c r="H39" s="48">
        <f t="shared" si="1"/>
        <v>1</v>
      </c>
      <c r="I39" s="44">
        <f>IF(A39="","",IFERROR(SUMIF(Purchases!$D:$D,A39,Purchases!$I:$I)/D39,0))</f>
        <v>35</v>
      </c>
      <c r="J39" s="44">
        <f t="shared" si="2"/>
        <v>35</v>
      </c>
      <c r="K39" s="30">
        <f>IF($A39="","",IFERROR(VALUE(SUBSTITUTE(SUBSTITUTE(SUBSTITUTE(VLOOKUP($A39,Inventory!$O$5:$P$604,2,FALSE),"Tk","")," ",""),",","")),""))</f>
        <v>50</v>
      </c>
      <c r="L39" s="58">
        <f t="shared" si="3"/>
        <v>0.3</v>
      </c>
      <c r="M39" s="58">
        <f t="shared" si="4"/>
        <v>0.4285714286</v>
      </c>
      <c r="O39" s="59" t="str">
        <f t="shared" si="5"/>
        <v>AC-BOWL-001</v>
      </c>
      <c r="P39" s="61">
        <v>50.0</v>
      </c>
    </row>
    <row r="40" ht="14.25" customHeight="1">
      <c r="A40" s="29" t="str">
        <f t="array" ref="A40">IFERROR(INDEX(Purchases!$D$5:$D$1004,MATCH(ROW()-4,Purchases!$L$5:$L$1004,0)),"")</f>
        <v>AC-CTOY-001</v>
      </c>
      <c r="B40" s="48" t="str">
        <f>IFERROR(VLOOKUP(A40,Purchases!$D:$E,2,FALSE),"")</f>
        <v>Wind up Mouse Toy</v>
      </c>
      <c r="C40" s="48" t="str">
        <f>IFERROR(VLOOKUP(A40,Purchases!$D:$F,3,FALSE),"")</f>
        <v>Cat Accessories</v>
      </c>
      <c r="D40" s="48">
        <f>IF(A40="","",SUMIF(Purchases!$D:$D,A40,Purchases!$K:$K))</f>
        <v>2</v>
      </c>
      <c r="E40" s="48">
        <f>IF(A40="","",SUMIFS(Sales!$H:$H,Sales!$F:$F,A40,Sales!$B:$B,"&lt;&gt;Return"))</f>
        <v>1</v>
      </c>
      <c r="F40" s="48">
        <f>IF(A40="","",SUMIFS(Sales!$H:$H,Sales!$F:$F,A40,Sales!$B:$B,"Return"))</f>
        <v>0</v>
      </c>
      <c r="G40" s="48">
        <f>IF($A40="","",SUMIF('Shop Ledger'!$C:$C,$A40,'Shop Ledger'!$F:$F))</f>
        <v>0</v>
      </c>
      <c r="H40" s="48">
        <f t="shared" si="1"/>
        <v>1</v>
      </c>
      <c r="I40" s="44">
        <f>IF(A40="","",IFERROR(SUMIF(Purchases!$D:$D,A40,Purchases!$I:$I)/D40,0))</f>
        <v>160</v>
      </c>
      <c r="J40" s="44">
        <f t="shared" si="2"/>
        <v>160</v>
      </c>
      <c r="K40" s="30">
        <f>IF($A40="","",IFERROR(VALUE(SUBSTITUTE(SUBSTITUTE(SUBSTITUTE(VLOOKUP($A40,Inventory!$O$5:$P$604,2,FALSE),"Tk","")," ",""),",","")),""))</f>
        <v>250</v>
      </c>
      <c r="L40" s="58">
        <f t="shared" si="3"/>
        <v>0.36</v>
      </c>
      <c r="M40" s="58">
        <f t="shared" si="4"/>
        <v>0.5625</v>
      </c>
      <c r="O40" s="59" t="str">
        <f t="shared" si="5"/>
        <v>AC-CTOY-001</v>
      </c>
      <c r="P40" s="62">
        <v>250.0</v>
      </c>
    </row>
    <row r="41" ht="14.25" customHeight="1">
      <c r="A41" s="29" t="str">
        <f t="array" ref="A41">IFERROR(INDEX(Purchases!$D$5:$D$1004,MATCH(ROW()-4,Purchases!$L$5:$L$1004,0)),"")</f>
        <v>AC-HM-MD-001</v>
      </c>
      <c r="B41" s="48" t="str">
        <f>IFERROR(VLOOKUP(A41,Purchases!$D:$E,2,FALSE),"")</f>
        <v>Helminticide-L Deworming Tablet </v>
      </c>
      <c r="C41" s="48" t="str">
        <f>IFERROR(VLOOKUP(A41,Purchases!$D:$F,3,FALSE),"")</f>
        <v>Cat Accessories</v>
      </c>
      <c r="D41" s="48">
        <f>IF(A41="","",SUMIF(Purchases!$D:$D,A41,Purchases!$K:$K))</f>
        <v>55</v>
      </c>
      <c r="E41" s="48">
        <f>IF(A41="","",SUMIFS(Sales!$H:$H,Sales!$F:$F,A41,Sales!$B:$B,"&lt;&gt;Return"))</f>
        <v>15</v>
      </c>
      <c r="F41" s="48">
        <f>IF(A41="","",SUMIFS(Sales!$H:$H,Sales!$F:$F,A41,Sales!$B:$B,"Return"))</f>
        <v>0</v>
      </c>
      <c r="G41" s="48">
        <f>IF($A41="","",SUMIF('Shop Ledger'!$C:$C,$A41,'Shop Ledger'!$F:$F))</f>
        <v>10</v>
      </c>
      <c r="H41" s="48">
        <f t="shared" si="1"/>
        <v>30</v>
      </c>
      <c r="I41" s="44">
        <f>IF(A41="","",IFERROR(SUMIF(Purchases!$D:$D,A41,Purchases!$I:$I)/D41,0))</f>
        <v>28.63636364</v>
      </c>
      <c r="J41" s="44">
        <f t="shared" si="2"/>
        <v>859.0909091</v>
      </c>
      <c r="K41" s="30">
        <f>IF($A41="","",IFERROR(VALUE(SUBSTITUTE(SUBSTITUTE(SUBSTITUTE(VLOOKUP($A41,Inventory!$O$5:$P$604,2,FALSE),"Tk","")," ",""),",","")),""))</f>
        <v>50</v>
      </c>
      <c r="L41" s="58">
        <f t="shared" si="3"/>
        <v>0.4272727273</v>
      </c>
      <c r="M41" s="58">
        <f t="shared" si="4"/>
        <v>0.746031746</v>
      </c>
      <c r="O41" s="59" t="str">
        <f t="shared" si="5"/>
        <v>AC-HM-MD-001</v>
      </c>
      <c r="P41" s="61">
        <v>50.0</v>
      </c>
    </row>
    <row r="42" ht="14.25" customHeight="1">
      <c r="A42" s="29" t="str">
        <f t="array" ref="A42">IFERROR(INDEX(Purchases!$D$5:$D$1004,MATCH(ROW()-4,Purchases!$L$5:$L$1004,0)),"")</f>
        <v>FD-DRY-SMHRT-480G-002</v>
      </c>
      <c r="B42" s="48" t="str">
        <f>IFERROR(VLOOKUP(A42,Purchases!$D:$E,2,FALSE),"")</f>
        <v>Smart Heart Adult Cat Food Chicken &amp; Tuna [480G]</v>
      </c>
      <c r="C42" s="48" t="str">
        <f>IFERROR(VLOOKUP(A42,Purchases!$D:$F,3,FALSE),"")</f>
        <v>Cat Food</v>
      </c>
      <c r="D42" s="48">
        <f>IF(A42="","",SUMIF(Purchases!$D:$D,A42,Purchases!$K:$K))</f>
        <v>19</v>
      </c>
      <c r="E42" s="48">
        <f>IF(A42="","",SUMIFS(Sales!$H:$H,Sales!$F:$F,A42,Sales!$B:$B,"&lt;&gt;Return"))</f>
        <v>6</v>
      </c>
      <c r="F42" s="48">
        <f>IF(A42="","",SUMIFS(Sales!$H:$H,Sales!$F:$F,A42,Sales!$B:$B,"Return"))</f>
        <v>0</v>
      </c>
      <c r="G42" s="48">
        <f>IF($A42="","",SUMIF('Shop Ledger'!$C:$C,$A42,'Shop Ledger'!$F:$F))</f>
        <v>11</v>
      </c>
      <c r="H42" s="48">
        <f t="shared" si="1"/>
        <v>2</v>
      </c>
      <c r="I42" s="44">
        <f>IF(A42="","",IFERROR(SUMIF(Purchases!$D:$D,A42,Purchases!$I:$I)/D42,0))</f>
        <v>290.2631579</v>
      </c>
      <c r="J42" s="44">
        <f t="shared" si="2"/>
        <v>580.5263158</v>
      </c>
      <c r="K42" s="30">
        <f>IF($A42="","",IFERROR(VALUE(SUBSTITUTE(SUBSTITUTE(SUBSTITUTE(VLOOKUP($A42,Inventory!$O$5:$P$604,2,FALSE),"Tk","")," ",""),",","")),""))</f>
        <v>380</v>
      </c>
      <c r="L42" s="58">
        <f t="shared" si="3"/>
        <v>0.2361495845</v>
      </c>
      <c r="M42" s="58">
        <f t="shared" si="4"/>
        <v>0.309156845</v>
      </c>
      <c r="O42" s="59" t="str">
        <f t="shared" si="5"/>
        <v>FD-DRY-SMHRT-480G-002</v>
      </c>
      <c r="P42" s="62">
        <v>380.0</v>
      </c>
    </row>
    <row r="43" ht="13.5" customHeight="1">
      <c r="A43" s="29" t="str">
        <f t="array" ref="A43">IFERROR(INDEX(Purchases!$D$5:$D$1004,MATCH(ROW()-4,Purchases!$L$5:$L$1004,0)),"")</f>
        <v>PO-WET-WK-80G-001-KT</v>
      </c>
      <c r="B43" s="48" t="str">
        <f>IFERROR(VLOOKUP(A43,Purchases!$D:$E,2,FALSE),"")</f>
        <v>Whiskas Junior Tuna Flavor</v>
      </c>
      <c r="C43" s="48" t="str">
        <f>IFERROR(VLOOKUP(A43,Purchases!$D:$F,3,FALSE),"")</f>
        <v>Cat Pouch</v>
      </c>
      <c r="D43" s="48">
        <f>IF(A43="","",SUMIF(Purchases!$D:$D,A43,Purchases!$K:$K))</f>
        <v>9</v>
      </c>
      <c r="E43" s="48">
        <f>IF(A43="","",SUMIFS(Sales!$H:$H,Sales!$F:$F,A43,Sales!$B:$B,"&lt;&gt;Return"))</f>
        <v>11</v>
      </c>
      <c r="F43" s="48">
        <f>IF(A43="","",SUMIFS(Sales!$H:$H,Sales!$F:$F,A43,Sales!$B:$B,"Return"))</f>
        <v>0</v>
      </c>
      <c r="G43" s="48">
        <f>IF($A43="","",SUMIF('Shop Ledger'!$C:$C,$A43,'Shop Ledger'!$F:$F))</f>
        <v>0</v>
      </c>
      <c r="H43" s="48">
        <f t="shared" si="1"/>
        <v>-2</v>
      </c>
      <c r="I43" s="44">
        <f>IF(A43="","",IFERROR(SUMIF(Purchases!$D:$D,A43,Purchases!$I:$I)/D43,0))</f>
        <v>74</v>
      </c>
      <c r="J43" s="44">
        <f t="shared" si="2"/>
        <v>-148</v>
      </c>
      <c r="K43" s="30">
        <f>IF($A43="","",IFERROR(VALUE(SUBSTITUTE(SUBSTITUTE(SUBSTITUTE(VLOOKUP($A43,Inventory!$O$5:$P$604,2,FALSE),"Tk","")," ",""),",","")),""))</f>
        <v>95</v>
      </c>
      <c r="L43" s="58">
        <f t="shared" si="3"/>
        <v>0.2210526316</v>
      </c>
      <c r="M43" s="58">
        <f t="shared" si="4"/>
        <v>0.2837837838</v>
      </c>
      <c r="O43" s="59" t="str">
        <f t="shared" si="5"/>
        <v>PO-WET-WK-80G-001-KT</v>
      </c>
      <c r="P43" s="61">
        <v>95.0</v>
      </c>
    </row>
    <row r="44" ht="14.25" customHeight="1">
      <c r="A44" s="29" t="str">
        <f t="array" ref="A44">IFERROR(INDEX(Purchases!$D$5:$D$1004,MATCH(ROW()-4,Purchases!$L$5:$L$1004,0)),"")</f>
        <v>AC-CTOY-002</v>
      </c>
      <c r="B44" s="48" t="str">
        <f>IFERROR(VLOOKUP(A44,Purchases!$D:$E,2,FALSE),"")</f>
        <v>Cat Toy Rainbow Ball Spring</v>
      </c>
      <c r="C44" s="48" t="str">
        <f>IFERROR(VLOOKUP(A44,Purchases!$D:$F,3,FALSE),"")</f>
        <v>Cat Accessories</v>
      </c>
      <c r="D44" s="48">
        <f>IF(A44="","",SUMIF(Purchases!$D:$D,A44,Purchases!$K:$K))</f>
        <v>5</v>
      </c>
      <c r="E44" s="48">
        <f>IF(A44="","",SUMIFS(Sales!$H:$H,Sales!$F:$F,A44,Sales!$B:$B,"&lt;&gt;Return"))</f>
        <v>3</v>
      </c>
      <c r="F44" s="48">
        <f>IF(A44="","",SUMIFS(Sales!$H:$H,Sales!$F:$F,A44,Sales!$B:$B,"Return"))</f>
        <v>0</v>
      </c>
      <c r="G44" s="48">
        <f>IF($A44="","",SUMIF('Shop Ledger'!$C:$C,$A44,'Shop Ledger'!$F:$F))</f>
        <v>0</v>
      </c>
      <c r="H44" s="48">
        <f t="shared" si="1"/>
        <v>2</v>
      </c>
      <c r="I44" s="44">
        <f>IF(A44="","",IFERROR(SUMIF(Purchases!$D:$D,A44,Purchases!$I:$I)/D44,0))</f>
        <v>80</v>
      </c>
      <c r="J44" s="44">
        <f t="shared" si="2"/>
        <v>160</v>
      </c>
      <c r="K44" s="30">
        <f>IF($A44="","",IFERROR(VALUE(SUBSTITUTE(SUBSTITUTE(SUBSTITUTE(VLOOKUP($A44,Inventory!$O$5:$P$604,2,FALSE),"Tk","")," ",""),",","")),""))</f>
        <v>130</v>
      </c>
      <c r="L44" s="58">
        <f t="shared" si="3"/>
        <v>0.3846153846</v>
      </c>
      <c r="M44" s="58">
        <f t="shared" si="4"/>
        <v>0.625</v>
      </c>
      <c r="O44" s="59" t="str">
        <f t="shared" si="5"/>
        <v>AC-CTOY-002</v>
      </c>
      <c r="P44" s="62">
        <v>130.0</v>
      </c>
    </row>
    <row r="45" ht="14.25" customHeight="1">
      <c r="A45" s="29" t="str">
        <f t="array" ref="A45">IFERROR(INDEX(Purchases!$D$5:$D$1004,MATCH(ROW()-4,Purchases!$L$5:$L$1004,0)),"")</f>
        <v>AC-PNC-SM-001</v>
      </c>
      <c r="B45" s="48" t="str">
        <f>IFERROR(VLOOKUP(A45,Purchases!$D:$E,2,FALSE),"")</f>
        <v>Pet Nail Clippers Small</v>
      </c>
      <c r="C45" s="48" t="str">
        <f>IFERROR(VLOOKUP(A45,Purchases!$D:$F,3,FALSE),"")</f>
        <v>Cat Accessories</v>
      </c>
      <c r="D45" s="48">
        <f>IF(A45="","",SUMIF(Purchases!$D:$D,A45,Purchases!$K:$K))</f>
        <v>2</v>
      </c>
      <c r="E45" s="48">
        <f>IF(A45="","",SUMIFS(Sales!$H:$H,Sales!$F:$F,A45,Sales!$B:$B,"&lt;&gt;Return"))</f>
        <v>2</v>
      </c>
      <c r="F45" s="48">
        <f>IF(A45="","",SUMIFS(Sales!$H:$H,Sales!$F:$F,A45,Sales!$B:$B,"Return"))</f>
        <v>0</v>
      </c>
      <c r="G45" s="48">
        <f>IF($A45="","",SUMIF('Shop Ledger'!$C:$C,$A45,'Shop Ledger'!$F:$F))</f>
        <v>0</v>
      </c>
      <c r="H45" s="48">
        <f t="shared" si="1"/>
        <v>0</v>
      </c>
      <c r="I45" s="44">
        <f>IF(A45="","",IFERROR(SUMIF(Purchases!$D:$D,A45,Purchases!$I:$I)/D45,0))</f>
        <v>120</v>
      </c>
      <c r="J45" s="44">
        <f t="shared" si="2"/>
        <v>0</v>
      </c>
      <c r="K45" s="30">
        <f>IF($A45="","",IFERROR(VALUE(SUBSTITUTE(SUBSTITUTE(SUBSTITUTE(VLOOKUP($A45,Inventory!$O$5:$P$604,2,FALSE),"Tk","")," ",""),",","")),""))</f>
        <v>180</v>
      </c>
      <c r="L45" s="58">
        <f t="shared" si="3"/>
        <v>0.3333333333</v>
      </c>
      <c r="M45" s="58">
        <f t="shared" si="4"/>
        <v>0.5</v>
      </c>
      <c r="O45" s="59" t="str">
        <f t="shared" si="5"/>
        <v>AC-PNC-SM-001</v>
      </c>
      <c r="P45" s="61">
        <v>180.0</v>
      </c>
    </row>
    <row r="46" ht="14.25" customHeight="1">
      <c r="A46" s="29" t="str">
        <f t="array" ref="A46">IFERROR(INDEX(Purchases!$D$5:$D$1004,MATCH(ROW()-4,Purchases!$L$5:$L$1004,0)),"")</f>
        <v>AC-CB-RD-001</v>
      </c>
      <c r="B46" s="48" t="str">
        <f>IFERROR(VLOOKUP(A46,Purchases!$D:$E,2,FALSE),"")</f>
        <v>Cat Belt Radium</v>
      </c>
      <c r="C46" s="48" t="str">
        <f>IFERROR(VLOOKUP(A46,Purchases!$D:$F,3,FALSE),"")</f>
        <v>Cat Accessories</v>
      </c>
      <c r="D46" s="48">
        <f>IF(A46="","",SUMIF(Purchases!$D:$D,A46,Purchases!$K:$K))</f>
        <v>8</v>
      </c>
      <c r="E46" s="48">
        <f>IF(A46="","",SUMIFS(Sales!$H:$H,Sales!$F:$F,A46,Sales!$B:$B,"&lt;&gt;Return"))</f>
        <v>5</v>
      </c>
      <c r="F46" s="48">
        <f>IF(A46="","",SUMIFS(Sales!$H:$H,Sales!$F:$F,A46,Sales!$B:$B,"Return"))</f>
        <v>0</v>
      </c>
      <c r="G46" s="48">
        <f>IF($A46="","",SUMIF('Shop Ledger'!$C:$C,$A46,'Shop Ledger'!$F:$F))</f>
        <v>0</v>
      </c>
      <c r="H46" s="48">
        <f t="shared" si="1"/>
        <v>3</v>
      </c>
      <c r="I46" s="44">
        <f>IF(A46="","",IFERROR(SUMIF(Purchases!$D:$D,A46,Purchases!$I:$I)/D46,0))</f>
        <v>65</v>
      </c>
      <c r="J46" s="44">
        <f t="shared" si="2"/>
        <v>195</v>
      </c>
      <c r="K46" s="30">
        <f>IF($A46="","",IFERROR(VALUE(SUBSTITUTE(SUBSTITUTE(SUBSTITUTE(VLOOKUP($A46,Inventory!$O$5:$P$604,2,FALSE),"Tk","")," ",""),",","")),""))</f>
        <v>110</v>
      </c>
      <c r="L46" s="58">
        <f t="shared" si="3"/>
        <v>0.4090909091</v>
      </c>
      <c r="M46" s="58">
        <f t="shared" si="4"/>
        <v>0.6923076923</v>
      </c>
      <c r="O46" s="59" t="str">
        <f t="shared" si="5"/>
        <v>AC-CB-RD-001</v>
      </c>
      <c r="P46" s="62">
        <v>110.0</v>
      </c>
    </row>
    <row r="47" ht="14.25" customHeight="1">
      <c r="A47" s="29" t="str">
        <f t="array" ref="A47">IFERROR(INDEX(Purchases!$D$5:$D$1004,MATCH(ROW()-4,Purchases!$L$5:$L$1004,0)),"")</f>
        <v>AC-CB-BW-001</v>
      </c>
      <c r="B47" s="48" t="str">
        <f>IFERROR(VLOOKUP(A47,Purchases!$D:$E,2,FALSE),"")</f>
        <v>Cat Belt Bow</v>
      </c>
      <c r="C47" s="48" t="str">
        <f>IFERROR(VLOOKUP(A47,Purchases!$D:$F,3,FALSE),"")</f>
        <v>Cat Accessories</v>
      </c>
      <c r="D47" s="48">
        <f>IF(A47="","",SUMIF(Purchases!$D:$D,A47,Purchases!$K:$K))</f>
        <v>11</v>
      </c>
      <c r="E47" s="48">
        <f>IF(A47="","",SUMIFS(Sales!$H:$H,Sales!$F:$F,A47,Sales!$B:$B,"&lt;&gt;Return"))</f>
        <v>2</v>
      </c>
      <c r="F47" s="48">
        <f>IF(A47="","",SUMIFS(Sales!$H:$H,Sales!$F:$F,A47,Sales!$B:$B,"Return"))</f>
        <v>0</v>
      </c>
      <c r="G47" s="48">
        <f>IF($A47="","",SUMIF('Shop Ledger'!$C:$C,$A47,'Shop Ledger'!$F:$F))</f>
        <v>0</v>
      </c>
      <c r="H47" s="48">
        <f t="shared" si="1"/>
        <v>9</v>
      </c>
      <c r="I47" s="44">
        <f>IF(A47="","",IFERROR(SUMIF(Purchases!$D:$D,A47,Purchases!$I:$I)/D47,0))</f>
        <v>35</v>
      </c>
      <c r="J47" s="44">
        <f t="shared" si="2"/>
        <v>315</v>
      </c>
      <c r="K47" s="30">
        <f>IF($A47="","",IFERROR(VALUE(SUBSTITUTE(SUBSTITUTE(SUBSTITUTE(VLOOKUP($A47,Inventory!$O$5:$P$604,2,FALSE),"Tk","")," ",""),",","")),""))</f>
        <v>60</v>
      </c>
      <c r="L47" s="58">
        <f t="shared" si="3"/>
        <v>0.4166666667</v>
      </c>
      <c r="M47" s="58">
        <f t="shared" si="4"/>
        <v>0.7142857143</v>
      </c>
      <c r="O47" s="59" t="str">
        <f t="shared" si="5"/>
        <v>AC-CB-BW-001</v>
      </c>
      <c r="P47" s="61">
        <v>60.0</v>
      </c>
    </row>
    <row r="48" ht="14.25" customHeight="1">
      <c r="A48" s="29" t="str">
        <f t="array" ref="A48">IFERROR(INDEX(Purchases!$D$5:$D$1004,MATCH(ROW()-4,Purchases!$L$5:$L$1004,0)),"")</f>
        <v>AC-CB-FC-001</v>
      </c>
      <c r="B48" s="48" t="str">
        <f>IFERROR(VLOOKUP(A48,Purchases!$D:$E,2,FALSE),"")</f>
        <v>Cat Fancy Collar</v>
      </c>
      <c r="C48" s="48" t="str">
        <f>IFERROR(VLOOKUP(A48,Purchases!$D:$F,3,FALSE),"")</f>
        <v>Cat Accessories</v>
      </c>
      <c r="D48" s="48">
        <f>IF(A48="","",SUMIF(Purchases!$D:$D,A48,Purchases!$K:$K))</f>
        <v>4</v>
      </c>
      <c r="E48" s="48">
        <f>IF(A48="","",SUMIFS(Sales!$H:$H,Sales!$F:$F,A48,Sales!$B:$B,"&lt;&gt;Return"))</f>
        <v>0</v>
      </c>
      <c r="F48" s="48">
        <f>IF(A48="","",SUMIFS(Sales!$H:$H,Sales!$F:$F,A48,Sales!$B:$B,"Return"))</f>
        <v>0</v>
      </c>
      <c r="G48" s="48">
        <f>IF($A48="","",SUMIF('Shop Ledger'!$C:$C,$A48,'Shop Ledger'!$F:$F))</f>
        <v>0</v>
      </c>
      <c r="H48" s="48">
        <f t="shared" si="1"/>
        <v>4</v>
      </c>
      <c r="I48" s="44">
        <f>IF(A48="","",IFERROR(SUMIF(Purchases!$D:$D,A48,Purchases!$I:$I)/D48,0))</f>
        <v>130</v>
      </c>
      <c r="J48" s="44">
        <f t="shared" si="2"/>
        <v>520</v>
      </c>
      <c r="K48" s="30">
        <f>IF($A48="","",IFERROR(VALUE(SUBSTITUTE(SUBSTITUTE(SUBSTITUTE(VLOOKUP($A48,Inventory!$O$5:$P$604,2,FALSE),"Tk","")," ",""),",","")),""))</f>
        <v>180</v>
      </c>
      <c r="L48" s="58">
        <f t="shared" si="3"/>
        <v>0.2777777778</v>
      </c>
      <c r="M48" s="58">
        <f t="shared" si="4"/>
        <v>0.3846153846</v>
      </c>
      <c r="O48" s="59" t="str">
        <f t="shared" si="5"/>
        <v>AC-CB-FC-001</v>
      </c>
      <c r="P48" s="62">
        <v>180.0</v>
      </c>
    </row>
    <row r="49" ht="14.25" customHeight="1">
      <c r="A49" s="29" t="str">
        <f t="array" ref="A49">IFERROR(INDEX(Purchases!$D$5:$D$1004,MATCH(ROW()-4,Purchases!$L$5:$L$1004,0)),"")</f>
        <v>AC-CTOY-003</v>
      </c>
      <c r="B49" s="48" t="str">
        <f>IFERROR(VLOOKUP(A49,Purchases!$D:$E,2,FALSE),"")</f>
        <v>Cat Toy Long Wire (Fish, Ball )</v>
      </c>
      <c r="C49" s="48" t="str">
        <f>IFERROR(VLOOKUP(A49,Purchases!$D:$F,3,FALSE),"")</f>
        <v>Cat Accessories</v>
      </c>
      <c r="D49" s="48">
        <f>IF(A49="","",SUMIF(Purchases!$D:$D,A49,Purchases!$K:$K))</f>
        <v>6</v>
      </c>
      <c r="E49" s="48">
        <f>IF(A49="","",SUMIFS(Sales!$H:$H,Sales!$F:$F,A49,Sales!$B:$B,"&lt;&gt;Return"))</f>
        <v>5</v>
      </c>
      <c r="F49" s="48">
        <f>IF(A49="","",SUMIFS(Sales!$H:$H,Sales!$F:$F,A49,Sales!$B:$B,"Return"))</f>
        <v>0</v>
      </c>
      <c r="G49" s="48">
        <f>IF($A49="","",SUMIF('Shop Ledger'!$C:$C,$A49,'Shop Ledger'!$F:$F))</f>
        <v>0</v>
      </c>
      <c r="H49" s="48">
        <f t="shared" si="1"/>
        <v>1</v>
      </c>
      <c r="I49" s="44">
        <f>IF(A49="","",IFERROR(SUMIF(Purchases!$D:$D,A49,Purchases!$I:$I)/D49,0))</f>
        <v>80</v>
      </c>
      <c r="J49" s="44">
        <f t="shared" si="2"/>
        <v>80</v>
      </c>
      <c r="K49" s="30">
        <f>IF($A49="","",IFERROR(VALUE(SUBSTITUTE(SUBSTITUTE(SUBSTITUTE(VLOOKUP($A49,Inventory!$O$5:$P$604,2,FALSE),"Tk","")," ",""),",","")),""))</f>
        <v>130</v>
      </c>
      <c r="L49" s="58">
        <f t="shared" si="3"/>
        <v>0.3846153846</v>
      </c>
      <c r="M49" s="58">
        <f t="shared" si="4"/>
        <v>0.625</v>
      </c>
      <c r="O49" s="59" t="str">
        <f t="shared" si="5"/>
        <v>AC-CTOY-003</v>
      </c>
      <c r="P49" s="61">
        <v>130.0</v>
      </c>
    </row>
    <row r="50" ht="14.25" customHeight="1">
      <c r="A50" s="29" t="str">
        <f t="array" ref="A50">IFERROR(INDEX(Purchases!$D$5:$D$1004,MATCH(ROW()-4,Purchases!$L$5:$L$1004,0)),"")</f>
        <v>LT-MX-DCLP-5L-002</v>
      </c>
      <c r="B50" s="48" t="str">
        <f>IFERROR(VLOOKUP(A50,Purchases!$D:$E,2,FALSE),"")</f>
        <v>Cat Litter Mix Flavor 5L DR. Clump</v>
      </c>
      <c r="C50" s="48" t="str">
        <f>IFERROR(VLOOKUP(A50,Purchases!$D:$F,3,FALSE),"")</f>
        <v>Cat Litter</v>
      </c>
      <c r="D50" s="48">
        <f>IF(A50="","",SUMIF(Purchases!$D:$D,A50,Purchases!$K:$K))</f>
        <v>6</v>
      </c>
      <c r="E50" s="48">
        <f>IF(A50="","",SUMIFS(Sales!$H:$H,Sales!$F:$F,A50,Sales!$B:$B,"&lt;&gt;Return"))</f>
        <v>6</v>
      </c>
      <c r="F50" s="48">
        <f>IF(A50="","",SUMIFS(Sales!$H:$H,Sales!$F:$F,A50,Sales!$B:$B,"Return"))</f>
        <v>0</v>
      </c>
      <c r="G50" s="48">
        <f>IF($A50="","",SUMIF('Shop Ledger'!$C:$C,$A50,'Shop Ledger'!$F:$F))</f>
        <v>0</v>
      </c>
      <c r="H50" s="48">
        <f t="shared" si="1"/>
        <v>0</v>
      </c>
      <c r="I50" s="44">
        <f>IF(A50="","",IFERROR(SUMIF(Purchases!$D:$D,A50,Purchases!$I:$I)/D50,0))</f>
        <v>220</v>
      </c>
      <c r="J50" s="44">
        <f t="shared" si="2"/>
        <v>0</v>
      </c>
      <c r="K50" s="30">
        <f>IF($A50="","",IFERROR(VALUE(SUBSTITUTE(SUBSTITUTE(SUBSTITUTE(VLOOKUP($A50,Inventory!$O$5:$P$604,2,FALSE),"Tk","")," ",""),",","")),""))</f>
        <v>320</v>
      </c>
      <c r="L50" s="58">
        <f t="shared" si="3"/>
        <v>0.3125</v>
      </c>
      <c r="M50" s="58">
        <f t="shared" si="4"/>
        <v>0.4545454545</v>
      </c>
      <c r="O50" s="59" t="str">
        <f t="shared" si="5"/>
        <v>LT-MX-DCLP-5L-002</v>
      </c>
      <c r="P50" s="62">
        <v>320.0</v>
      </c>
    </row>
    <row r="51" ht="14.25" customHeight="1">
      <c r="A51" s="29" t="str">
        <f t="array" ref="A51">IFERROR(INDEX(Purchases!$D$5:$D$1004,MATCH(ROW()-4,Purchases!$L$5:$L$1004,0)),"")</f>
        <v>LT-MX-DCLP-10L-001</v>
      </c>
      <c r="B51" s="48" t="str">
        <f>IFERROR(VLOOKUP(A51,Purchases!$D:$E,2,FALSE),"")</f>
        <v>Cat Litter Mix Flavor 10L DR. CLump</v>
      </c>
      <c r="C51" s="48" t="str">
        <f>IFERROR(VLOOKUP(A51,Purchases!$D:$F,3,FALSE),"")</f>
        <v>Cat Litter</v>
      </c>
      <c r="D51" s="48">
        <f>IF(A51="","",SUMIF(Purchases!$D:$D,A51,Purchases!$K:$K))</f>
        <v>2</v>
      </c>
      <c r="E51" s="48">
        <f>IF(A51="","",SUMIFS(Sales!$H:$H,Sales!$F:$F,A51,Sales!$B:$B,"&lt;&gt;Return"))</f>
        <v>1</v>
      </c>
      <c r="F51" s="48">
        <f>IF(A51="","",SUMIFS(Sales!$H:$H,Sales!$F:$F,A51,Sales!$B:$B,"Return"))</f>
        <v>0</v>
      </c>
      <c r="G51" s="48">
        <f>IF($A51="","",SUMIF('Shop Ledger'!$C:$C,$A51,'Shop Ledger'!$F:$F))</f>
        <v>0</v>
      </c>
      <c r="H51" s="48">
        <f t="shared" si="1"/>
        <v>1</v>
      </c>
      <c r="I51" s="44">
        <f>IF(A51="","",IFERROR(SUMIF(Purchases!$D:$D,A51,Purchases!$I:$I)/D51,0))</f>
        <v>430</v>
      </c>
      <c r="J51" s="44">
        <f t="shared" si="2"/>
        <v>430</v>
      </c>
      <c r="K51" s="30">
        <f>IF($A51="","",IFERROR(VALUE(SUBSTITUTE(SUBSTITUTE(SUBSTITUTE(VLOOKUP($A51,Inventory!$O$5:$P$604,2,FALSE),"Tk","")," ",""),",","")),""))</f>
        <v>600</v>
      </c>
      <c r="L51" s="58">
        <f t="shared" si="3"/>
        <v>0.2833333333</v>
      </c>
      <c r="M51" s="58">
        <f t="shared" si="4"/>
        <v>0.3953488372</v>
      </c>
      <c r="O51" s="59" t="str">
        <f t="shared" si="5"/>
        <v>LT-MX-DCLP-10L-001</v>
      </c>
      <c r="P51" s="61">
        <v>600.0</v>
      </c>
    </row>
    <row r="52" ht="14.25" customHeight="1">
      <c r="A52" s="29" t="str">
        <f t="array" ref="A52">IFERROR(INDEX(Purchases!$D$5:$D$1004,MATCH(ROW()-4,Purchases!$L$5:$L$1004,0)),"")</f>
        <v>TR-CKN-SMHRT-70G-001</v>
      </c>
      <c r="B52" s="48" t="str">
        <f>IFERROR(VLOOKUP(A52,Purchases!$D:$E,2,FALSE),"")</f>
        <v>Smart Heart Chicken Treat</v>
      </c>
      <c r="C52" s="48" t="str">
        <f>IFERROR(VLOOKUP(A52,Purchases!$D:$F,3,FALSE),"")</f>
        <v>Cat Treat</v>
      </c>
      <c r="D52" s="48">
        <f>IF(A52="","",SUMIF(Purchases!$D:$D,A52,Purchases!$K:$K))</f>
        <v>7</v>
      </c>
      <c r="E52" s="48">
        <f>IF(A52="","",SUMIFS(Sales!$H:$H,Sales!$F:$F,A52,Sales!$B:$B,"&lt;&gt;Return"))</f>
        <v>2</v>
      </c>
      <c r="F52" s="48">
        <f>IF(A52="","",SUMIFS(Sales!$H:$H,Sales!$F:$F,A52,Sales!$B:$B,"Return"))</f>
        <v>0</v>
      </c>
      <c r="G52" s="48">
        <f>IF($A52="","",SUMIF('Shop Ledger'!$C:$C,$A52,'Shop Ledger'!$F:$F))</f>
        <v>4</v>
      </c>
      <c r="H52" s="48">
        <f t="shared" si="1"/>
        <v>1</v>
      </c>
      <c r="I52" s="44">
        <f>IF(A52="","",IFERROR(SUMIF(Purchases!$D:$D,A52,Purchases!$I:$I)/D52,0))</f>
        <v>47.5</v>
      </c>
      <c r="J52" s="44">
        <f t="shared" si="2"/>
        <v>47.5</v>
      </c>
      <c r="K52" s="30">
        <f>IF($A52="","",IFERROR(VALUE(SUBSTITUTE(SUBSTITUTE(SUBSTITUTE(VLOOKUP($A52,Inventory!$O$5:$P$604,2,FALSE),"Tk","")," ",""),",","")),""))</f>
        <v>65</v>
      </c>
      <c r="L52" s="58">
        <f t="shared" si="3"/>
        <v>0.2692307692</v>
      </c>
      <c r="M52" s="58">
        <f t="shared" si="4"/>
        <v>0.3684210526</v>
      </c>
      <c r="O52" s="59" t="str">
        <f t="shared" si="5"/>
        <v>TR-CKN-SMHRT-70G-001</v>
      </c>
      <c r="P52" s="62">
        <v>65.0</v>
      </c>
    </row>
    <row r="53" ht="14.25" customHeight="1">
      <c r="A53" s="29" t="str">
        <f t="array" ref="A53">IFERROR(INDEX(Purchases!$D$5:$D$1004,MATCH(ROW()-4,Purchases!$L$5:$L$1004,0)),"")</f>
        <v>FD-DRY-KTCN-400G-001</v>
      </c>
      <c r="B53" s="48" t="str">
        <f>IFERROR(VLOOKUP(A53,Purchases!$D:$E,2,FALSE),"")</f>
        <v>Kitchen Flavor Grain Free Kitten 400G</v>
      </c>
      <c r="C53" s="48" t="str">
        <f>IFERROR(VLOOKUP(A53,Purchases!$D:$F,3,FALSE),"")</f>
        <v>Cat Food</v>
      </c>
      <c r="D53" s="48">
        <f>IF(A53="","",SUMIF(Purchases!$D:$D,A53,Purchases!$K:$K))</f>
        <v>32</v>
      </c>
      <c r="E53" s="48">
        <f>IF(A53="","",SUMIFS(Sales!$H:$H,Sales!$F:$F,A53,Sales!$B:$B,"&lt;&gt;Return"))</f>
        <v>9</v>
      </c>
      <c r="F53" s="48">
        <f>IF(A53="","",SUMIFS(Sales!$H:$H,Sales!$F:$F,A53,Sales!$B:$B,"Return"))</f>
        <v>0</v>
      </c>
      <c r="G53" s="48">
        <f>IF($A53="","",SUMIF('Shop Ledger'!$C:$C,$A53,'Shop Ledger'!$F:$F))</f>
        <v>10</v>
      </c>
      <c r="H53" s="48">
        <f t="shared" si="1"/>
        <v>13</v>
      </c>
      <c r="I53" s="44">
        <f>IF(A53="","",IFERROR(SUMIF(Purchases!$D:$D,A53,Purchases!$I:$I)/D53,0))</f>
        <v>290</v>
      </c>
      <c r="J53" s="44">
        <f t="shared" si="2"/>
        <v>3770</v>
      </c>
      <c r="K53" s="30">
        <f>IF($A53="","",IFERROR(VALUE(SUBSTITUTE(SUBSTITUTE(SUBSTITUTE(VLOOKUP($A53,Inventory!$O$5:$P$604,2,FALSE),"Tk","")," ",""),",","")),""))</f>
        <v>380</v>
      </c>
      <c r="L53" s="58">
        <f t="shared" si="3"/>
        <v>0.2368421053</v>
      </c>
      <c r="M53" s="58">
        <f t="shared" si="4"/>
        <v>0.3103448276</v>
      </c>
      <c r="O53" s="59" t="str">
        <f t="shared" si="5"/>
        <v>FD-DRY-KTCN-400G-001</v>
      </c>
      <c r="P53" s="61">
        <v>380.0</v>
      </c>
    </row>
    <row r="54" ht="14.25" customHeight="1">
      <c r="A54" s="29" t="str">
        <f t="array" ref="A54">IFERROR(INDEX(Purchases!$D$5:$D$1004,MATCH(ROW()-4,Purchases!$L$5:$L$1004,0)),"")</f>
        <v>FD-DRY-KTCN-400G-002</v>
      </c>
      <c r="B54" s="48" t="str">
        <f>IFERROR(VLOOKUP(A54,Purchases!$D:$E,2,FALSE),"")</f>
        <v>Kitchen Flavor Grain Free Adult 400G</v>
      </c>
      <c r="C54" s="48" t="str">
        <f>IFERROR(VLOOKUP(A54,Purchases!$D:$F,3,FALSE),"")</f>
        <v>Cat Food</v>
      </c>
      <c r="D54" s="48">
        <f>IF(A54="","",SUMIF(Purchases!$D:$D,A54,Purchases!$K:$K))</f>
        <v>32</v>
      </c>
      <c r="E54" s="48">
        <f>IF(A54="","",SUMIFS(Sales!$H:$H,Sales!$F:$F,A54,Sales!$B:$B,"&lt;&gt;Return"))</f>
        <v>7</v>
      </c>
      <c r="F54" s="48">
        <f>IF(A54="","",SUMIFS(Sales!$H:$H,Sales!$F:$F,A54,Sales!$B:$B,"Return"))</f>
        <v>0</v>
      </c>
      <c r="G54" s="48">
        <f>IF($A54="","",SUMIF('Shop Ledger'!$C:$C,$A54,'Shop Ledger'!$F:$F))</f>
        <v>10</v>
      </c>
      <c r="H54" s="48">
        <f t="shared" si="1"/>
        <v>15</v>
      </c>
      <c r="I54" s="44">
        <f>IF(A54="","",IFERROR(SUMIF(Purchases!$D:$D,A54,Purchases!$I:$I)/D54,0))</f>
        <v>290</v>
      </c>
      <c r="J54" s="44">
        <f t="shared" si="2"/>
        <v>4350</v>
      </c>
      <c r="K54" s="30">
        <f>IF($A54="","",IFERROR(VALUE(SUBSTITUTE(SUBSTITUTE(SUBSTITUTE(VLOOKUP($A54,Inventory!$O$5:$P$604,2,FALSE),"Tk","")," ",""),",","")),""))</f>
        <v>380</v>
      </c>
      <c r="L54" s="58">
        <f t="shared" si="3"/>
        <v>0.2368421053</v>
      </c>
      <c r="M54" s="58">
        <f t="shared" si="4"/>
        <v>0.3103448276</v>
      </c>
      <c r="O54" s="59" t="str">
        <f t="shared" si="5"/>
        <v>FD-DRY-KTCN-400G-002</v>
      </c>
      <c r="P54" s="62">
        <v>380.0</v>
      </c>
    </row>
    <row r="55" ht="14.25" customHeight="1">
      <c r="A55" s="29" t="str">
        <f t="array" ref="A55">IFERROR(INDEX(Purchases!$D$5:$D$1004,MATCH(ROW()-4,Purchases!$L$5:$L$1004,0)),"")</f>
        <v>FD-DRY-KTCN-1.5G-001</v>
      </c>
      <c r="B55" s="48" t="str">
        <f>IFERROR(VLOOKUP(A55,Purchases!$D:$E,2,FALSE),"")</f>
        <v>Kitchen Flavor Grain Free Adult 1.5KG</v>
      </c>
      <c r="C55" s="48" t="str">
        <f>IFERROR(VLOOKUP(A55,Purchases!$D:$F,3,FALSE),"")</f>
        <v>Cat Food</v>
      </c>
      <c r="D55" s="48">
        <f>IF(A55="","",SUMIF(Purchases!$D:$D,A55,Purchases!$K:$K))</f>
        <v>12</v>
      </c>
      <c r="E55" s="48">
        <f>IF(A55="","",SUMIFS(Sales!$H:$H,Sales!$F:$F,A55,Sales!$B:$B,"&lt;&gt;Return"))</f>
        <v>8</v>
      </c>
      <c r="F55" s="48">
        <f>IF(A55="","",SUMIFS(Sales!$H:$H,Sales!$F:$F,A55,Sales!$B:$B,"Return"))</f>
        <v>0</v>
      </c>
      <c r="G55" s="48">
        <f>IF($A55="","",SUMIF('Shop Ledger'!$C:$C,$A55,'Shop Ledger'!$F:$F))</f>
        <v>4</v>
      </c>
      <c r="H55" s="48">
        <f t="shared" si="1"/>
        <v>0</v>
      </c>
      <c r="I55" s="44">
        <f>IF(A55="","",IFERROR(SUMIF(Purchases!$D:$D,A55,Purchases!$I:$I)/D55,0))</f>
        <v>990</v>
      </c>
      <c r="J55" s="44">
        <f t="shared" si="2"/>
        <v>0</v>
      </c>
      <c r="K55" s="30">
        <f>IF($A55="","",IFERROR(VALUE(SUBSTITUTE(SUBSTITUTE(SUBSTITUTE(VLOOKUP($A55,Inventory!$O$5:$P$604,2,FALSE),"Tk","")," ",""),",","")),""))</f>
        <v>1260</v>
      </c>
      <c r="L55" s="58">
        <f t="shared" si="3"/>
        <v>0.2142857143</v>
      </c>
      <c r="M55" s="58">
        <f t="shared" si="4"/>
        <v>0.2727272727</v>
      </c>
      <c r="O55" s="59" t="str">
        <f t="shared" si="5"/>
        <v>FD-DRY-KTCN-1.5G-001</v>
      </c>
      <c r="P55" s="61">
        <v>1260.0</v>
      </c>
    </row>
    <row r="56" ht="14.25" customHeight="1">
      <c r="A56" s="29" t="str">
        <f t="array" ref="A56">IFERROR(INDEX(Purchases!$D$5:$D$1004,MATCH(ROW()-4,Purchases!$L$5:$L$1004,0)),"")</f>
        <v>FD-WET-KTCN-001</v>
      </c>
      <c r="B56" s="48" t="str">
        <f>IFERROR(VLOOKUP(A56,Purchases!$D:$E,2,FALSE),"")</f>
        <v>Kitchen Flavor Pate Delight</v>
      </c>
      <c r="C56" s="48" t="str">
        <f>IFERROR(VLOOKUP(A56,Purchases!$D:$F,3,FALSE),"")</f>
        <v>Cat Wet Food</v>
      </c>
      <c r="D56" s="48">
        <f>IF(A56="","",SUMIF(Purchases!$D:$D,A56,Purchases!$K:$K))</f>
        <v>96</v>
      </c>
      <c r="E56" s="48">
        <f>IF(A56="","",SUMIFS(Sales!$H:$H,Sales!$F:$F,A56,Sales!$B:$B,"&lt;&gt;Return"))</f>
        <v>19</v>
      </c>
      <c r="F56" s="48">
        <f>IF(A56="","",SUMIFS(Sales!$H:$H,Sales!$F:$F,A56,Sales!$B:$B,"Return"))</f>
        <v>0</v>
      </c>
      <c r="G56" s="48">
        <f>IF($A56="","",SUMIF('Shop Ledger'!$C:$C,$A56,'Shop Ledger'!$F:$F))</f>
        <v>24</v>
      </c>
      <c r="H56" s="48">
        <f t="shared" si="1"/>
        <v>53</v>
      </c>
      <c r="I56" s="44">
        <f>IF(A56="","",IFERROR(SUMIF(Purchases!$D:$D,A56,Purchases!$I:$I)/D56,0))</f>
        <v>110</v>
      </c>
      <c r="J56" s="44">
        <f t="shared" si="2"/>
        <v>5830</v>
      </c>
      <c r="K56" s="30">
        <f>IF($A56="","",IFERROR(VALUE(SUBSTITUTE(SUBSTITUTE(SUBSTITUTE(VLOOKUP($A56,Inventory!$O$5:$P$604,2,FALSE),"Tk","")," ",""),",","")),""))</f>
        <v>150</v>
      </c>
      <c r="L56" s="58">
        <f t="shared" si="3"/>
        <v>0.2666666667</v>
      </c>
      <c r="M56" s="58">
        <f t="shared" si="4"/>
        <v>0.3636363636</v>
      </c>
      <c r="O56" s="59" t="str">
        <f t="shared" si="5"/>
        <v>FD-WET-KTCN-001</v>
      </c>
      <c r="P56" s="62">
        <v>150.0</v>
      </c>
    </row>
    <row r="57" ht="14.25" customHeight="1">
      <c r="A57" s="29" t="str">
        <f t="array" ref="A57">IFERROR(INDEX(Purchases!$D$5:$D$1004,MATCH(ROW()-4,Purchases!$L$5:$L$1004,0)),"")</f>
        <v>FD-DRY-KTCN-1.5G-002</v>
      </c>
      <c r="B57" s="48" t="str">
        <f>IFERROR(VLOOKUP(A57,Purchases!$D:$E,2,FALSE),"")</f>
        <v>Kitchen Flavor Grain Free Kitten 1.5KG</v>
      </c>
      <c r="C57" s="48" t="str">
        <f>IFERROR(VLOOKUP(A57,Purchases!$D:$F,3,FALSE),"")</f>
        <v>Cat Food</v>
      </c>
      <c r="D57" s="48">
        <f>IF(A57="","",SUMIF(Purchases!$D:$D,A57,Purchases!$K:$K))</f>
        <v>12</v>
      </c>
      <c r="E57" s="48">
        <f>IF(A57="","",SUMIFS(Sales!$H:$H,Sales!$F:$F,A57,Sales!$B:$B,"&lt;&gt;Return"))</f>
        <v>3</v>
      </c>
      <c r="F57" s="48">
        <f>IF(A57="","",SUMIFS(Sales!$H:$H,Sales!$F:$F,A57,Sales!$B:$B,"Return"))</f>
        <v>0</v>
      </c>
      <c r="G57" s="48">
        <f>IF($A57="","",SUMIF('Shop Ledger'!$C:$C,$A57,'Shop Ledger'!$F:$F))</f>
        <v>4</v>
      </c>
      <c r="H57" s="48">
        <f t="shared" si="1"/>
        <v>5</v>
      </c>
      <c r="I57" s="44">
        <f>IF(A57="","",IFERROR(SUMIF(Purchases!$D:$D,A57,Purchases!$I:$I)/D57,0))</f>
        <v>990</v>
      </c>
      <c r="J57" s="44">
        <f t="shared" si="2"/>
        <v>4950</v>
      </c>
      <c r="K57" s="30">
        <f>IF($A57="","",IFERROR(VALUE(SUBSTITUTE(SUBSTITUTE(SUBSTITUTE(VLOOKUP($A57,Inventory!$O$5:$P$604,2,FALSE),"Tk","")," ",""),",","")),""))</f>
        <v>1260</v>
      </c>
      <c r="L57" s="58">
        <f t="shared" si="3"/>
        <v>0.2142857143</v>
      </c>
      <c r="M57" s="58">
        <f t="shared" si="4"/>
        <v>0.2727272727</v>
      </c>
      <c r="O57" s="59" t="str">
        <f t="shared" si="5"/>
        <v>FD-DRY-KTCN-1.5G-002</v>
      </c>
      <c r="P57" s="61">
        <v>1260.0</v>
      </c>
    </row>
    <row r="58" ht="14.25" customHeight="1">
      <c r="A58" s="29" t="str">
        <f t="array" ref="A58">IFERROR(INDEX(Purchases!$D$5:$D$1004,MATCH(ROW()-4,Purchases!$L$5:$L$1004,0)),"")</f>
        <v>FD-DRY-SMHRT-1.2KG-002</v>
      </c>
      <c r="B58" s="48" t="str">
        <f>IFERROR(VLOOKUP(A58,Purchases!$D:$E,2,FALSE),"")</f>
        <v>Smart Heart Adult Cat Food Chicken &amp; Tuna 1.2KG</v>
      </c>
      <c r="C58" s="48" t="str">
        <f>IFERROR(VLOOKUP(A58,Purchases!$D:$F,3,FALSE),"")</f>
        <v>Cat Food</v>
      </c>
      <c r="D58" s="48">
        <f>IF(A58="","",SUMIF(Purchases!$D:$D,A58,Purchases!$K:$K))</f>
        <v>5</v>
      </c>
      <c r="E58" s="48">
        <f>IF(A58="","",SUMIFS(Sales!$H:$H,Sales!$F:$F,A58,Sales!$B:$B,"&lt;&gt;Return"))</f>
        <v>1</v>
      </c>
      <c r="F58" s="48">
        <f>IF(A58="","",SUMIFS(Sales!$H:$H,Sales!$F:$F,A58,Sales!$B:$B,"Return"))</f>
        <v>1</v>
      </c>
      <c r="G58" s="48">
        <f>IF($A58="","",SUMIF('Shop Ledger'!$C:$C,$A58,'Shop Ledger'!$F:$F))</f>
        <v>2</v>
      </c>
      <c r="H58" s="48">
        <f t="shared" si="1"/>
        <v>3</v>
      </c>
      <c r="I58" s="44">
        <f>IF(A58="","",IFERROR(SUMIF(Purchases!$D:$D,A58,Purchases!$I:$I)/D58,0))</f>
        <v>600</v>
      </c>
      <c r="J58" s="44">
        <f t="shared" si="2"/>
        <v>1800</v>
      </c>
      <c r="K58" s="30">
        <f>IF($A58="","",IFERROR(VALUE(SUBSTITUTE(SUBSTITUTE(SUBSTITUTE(VLOOKUP($A58,Inventory!$O$5:$P$604,2,FALSE),"Tk","")," ",""),",","")),""))</f>
        <v>770</v>
      </c>
      <c r="L58" s="58">
        <f t="shared" si="3"/>
        <v>0.2207792208</v>
      </c>
      <c r="M58" s="58">
        <f t="shared" si="4"/>
        <v>0.2833333333</v>
      </c>
      <c r="O58" s="59" t="str">
        <f t="shared" si="5"/>
        <v>FD-DRY-SMHRT-1.2KG-002</v>
      </c>
      <c r="P58" s="62">
        <v>770.0</v>
      </c>
    </row>
    <row r="59" ht="14.25" customHeight="1">
      <c r="A59" s="29" t="str">
        <f t="array" ref="A59">IFERROR(INDEX(Purchases!$D$5:$D$1004,MATCH(ROW()-4,Purchases!$L$5:$L$1004,0)),"")</f>
        <v>AC-CF-001</v>
      </c>
      <c r="B59" s="48" t="str">
        <f>IFERROR(VLOOKUP(A59,Purchases!$D:$E,2,FALSE),"")</f>
        <v>China Flea </v>
      </c>
      <c r="C59" s="48" t="str">
        <f>IFERROR(VLOOKUP(A59,Purchases!$D:$F,3,FALSE),"")</f>
        <v>Cat Accessories</v>
      </c>
      <c r="D59" s="48">
        <f>IF(A59="","",SUMIF(Purchases!$D:$D,A59,Purchases!$K:$K))</f>
        <v>5</v>
      </c>
      <c r="E59" s="48">
        <f>IF(A59="","",SUMIFS(Sales!$H:$H,Sales!$F:$F,A59,Sales!$B:$B,"&lt;&gt;Return"))</f>
        <v>4</v>
      </c>
      <c r="F59" s="48">
        <f>IF(A59="","",SUMIFS(Sales!$H:$H,Sales!$F:$F,A59,Sales!$B:$B,"Return"))</f>
        <v>0</v>
      </c>
      <c r="G59" s="48">
        <f>IF($A59="","",SUMIF('Shop Ledger'!$C:$C,$A59,'Shop Ledger'!$F:$F))</f>
        <v>0</v>
      </c>
      <c r="H59" s="48">
        <f t="shared" si="1"/>
        <v>1</v>
      </c>
      <c r="I59" s="44">
        <f>IF(A59="","",IFERROR(SUMIF(Purchases!$D:$D,A59,Purchases!$I:$I)/D59,0))</f>
        <v>65</v>
      </c>
      <c r="J59" s="44">
        <f t="shared" si="2"/>
        <v>65</v>
      </c>
      <c r="K59" s="30">
        <f>IF($A59="","",IFERROR(VALUE(SUBSTITUTE(SUBSTITUTE(SUBSTITUTE(VLOOKUP($A59,Inventory!$O$5:$P$604,2,FALSE),"Tk","")," ",""),",","")),""))</f>
        <v>120</v>
      </c>
      <c r="L59" s="58">
        <f t="shared" si="3"/>
        <v>0.4583333333</v>
      </c>
      <c r="M59" s="58">
        <f t="shared" si="4"/>
        <v>0.8461538462</v>
      </c>
      <c r="O59" s="59" t="str">
        <f t="shared" si="5"/>
        <v>AC-CF-001</v>
      </c>
      <c r="P59" s="61">
        <v>120.0</v>
      </c>
    </row>
    <row r="60" ht="13.5" customHeight="1">
      <c r="A60" s="29" t="str">
        <f t="array" ref="A60">IFERROR(INDEX(Purchases!$D$5:$D$1004,MATCH(ROW()-4,Purchases!$L$5:$L$1004,0)),"")</f>
        <v>AC-CS-002</v>
      </c>
      <c r="B60" s="48" t="str">
        <f>IFERROR(VLOOKUP(A60,Purchases!$D:$E,2,FALSE),"")</f>
        <v>Cat litter scooper</v>
      </c>
      <c r="C60" s="48" t="str">
        <f>IFERROR(VLOOKUP(A60,Purchases!$D:$F,3,FALSE),"")</f>
        <v>Cat Accessories</v>
      </c>
      <c r="D60" s="48">
        <f>IF(A60="","",SUMIF(Purchases!$D:$D,A60,Purchases!$K:$K))</f>
        <v>5</v>
      </c>
      <c r="E60" s="48">
        <f>IF(A60="","",SUMIFS(Sales!$H:$H,Sales!$F:$F,A60,Sales!$B:$B,"&lt;&gt;Return"))</f>
        <v>4</v>
      </c>
      <c r="F60" s="48">
        <f>IF(A60="","",SUMIFS(Sales!$H:$H,Sales!$F:$F,A60,Sales!$B:$B,"Return"))</f>
        <v>0</v>
      </c>
      <c r="G60" s="48">
        <f>IF($A60="","",SUMIF('Shop Ledger'!$C:$C,$A60,'Shop Ledger'!$F:$F))</f>
        <v>0</v>
      </c>
      <c r="H60" s="48">
        <f t="shared" si="1"/>
        <v>1</v>
      </c>
      <c r="I60" s="44">
        <f>IF(A60="","",IFERROR(SUMIF(Purchases!$D:$D,A60,Purchases!$I:$I)/D60,0))</f>
        <v>35</v>
      </c>
      <c r="J60" s="44">
        <f t="shared" si="2"/>
        <v>35</v>
      </c>
      <c r="K60" s="30">
        <f>IF($A60="","",IFERROR(VALUE(SUBSTITUTE(SUBSTITUTE(SUBSTITUTE(VLOOKUP($A60,Inventory!$O$5:$P$604,2,FALSE),"Tk","")," ",""),",","")),""))</f>
        <v>80</v>
      </c>
      <c r="L60" s="58">
        <f t="shared" si="3"/>
        <v>0.5625</v>
      </c>
      <c r="M60" s="58">
        <f t="shared" si="4"/>
        <v>1.285714286</v>
      </c>
      <c r="O60" s="59" t="str">
        <f t="shared" si="5"/>
        <v>AC-CS-002</v>
      </c>
      <c r="P60" s="62">
        <v>80.0</v>
      </c>
    </row>
    <row r="61" ht="14.25" customHeight="1">
      <c r="A61" s="29" t="str">
        <f t="array" ref="A61">IFERROR(INDEX(Purchases!$D$5:$D$1004,MATCH(ROW()-4,Purchases!$L$5:$L$1004,0)),"")</f>
        <v>FD-DRY-ZOI-1KG-001</v>
      </c>
      <c r="B61" s="48" t="str">
        <f>IFERROR(VLOOKUP(A61,Purchases!$D:$E,2,FALSE),"")</f>
        <v>Zoi Cat Food 1kg</v>
      </c>
      <c r="C61" s="48" t="str">
        <f>IFERROR(VLOOKUP(A61,Purchases!$D:$F,3,FALSE),"")</f>
        <v>Cat Food</v>
      </c>
      <c r="D61" s="48">
        <f>IF(A61="","",SUMIF(Purchases!$D:$D,A61,Purchases!$K:$K))</f>
        <v>2</v>
      </c>
      <c r="E61" s="48">
        <f>IF(A61="","",SUMIFS(Sales!$H:$H,Sales!$F:$F,A61,Sales!$B:$B,"&lt;&gt;Return"))</f>
        <v>2</v>
      </c>
      <c r="F61" s="48">
        <f>IF(A61="","",SUMIFS(Sales!$H:$H,Sales!$F:$F,A61,Sales!$B:$B,"Return"))</f>
        <v>0</v>
      </c>
      <c r="G61" s="48">
        <f>IF($A61="","",SUMIF('Shop Ledger'!$C:$C,$A61,'Shop Ledger'!$F:$F))</f>
        <v>0</v>
      </c>
      <c r="H61" s="48">
        <f t="shared" si="1"/>
        <v>0</v>
      </c>
      <c r="I61" s="44">
        <f>IF(A61="","",IFERROR(SUMIF(Purchases!$D:$D,A61,Purchases!$I:$I)/D61,0))</f>
        <v>300</v>
      </c>
      <c r="J61" s="44">
        <f t="shared" si="2"/>
        <v>0</v>
      </c>
      <c r="K61" s="30">
        <f>IF($A61="","",IFERROR(VALUE(SUBSTITUTE(SUBSTITUTE(SUBSTITUTE(VLOOKUP($A61,Inventory!$O$5:$P$604,2,FALSE),"Tk","")," ",""),",","")),""))</f>
        <v>380</v>
      </c>
      <c r="L61" s="58">
        <f t="shared" si="3"/>
        <v>0.2105263158</v>
      </c>
      <c r="M61" s="58">
        <f t="shared" si="4"/>
        <v>0.2666666667</v>
      </c>
      <c r="O61" s="59" t="str">
        <f t="shared" si="5"/>
        <v>FD-DRY-ZOI-1KG-001</v>
      </c>
      <c r="P61" s="61">
        <v>380.0</v>
      </c>
    </row>
    <row r="62" ht="14.25" customHeight="1">
      <c r="A62" s="29" t="str">
        <f t="array" ref="A62">IFERROR(INDEX(Purchases!$D$5:$D$1004,MATCH(ROW()-4,Purchases!$L$5:$L$1004,0)),"")</f>
        <v>PO-WET-NK-70G-004</v>
      </c>
      <c r="B62" s="48" t="str">
        <f>IFERROR(VLOOKUP(A62,Purchases!$D:$E,2,FALSE),"")</f>
        <v>Nekko Tuna Topping Chicken in Gravy 70g</v>
      </c>
      <c r="C62" s="48" t="str">
        <f>IFERROR(VLOOKUP(A62,Purchases!$D:$F,3,FALSE),"")</f>
        <v>Cat Pouch</v>
      </c>
      <c r="D62" s="48">
        <f>IF(A62="","",SUMIF(Purchases!$D:$D,A62,Purchases!$K:$K))</f>
        <v>2</v>
      </c>
      <c r="E62" s="48">
        <f>IF(A62="","",SUMIFS(Sales!$H:$H,Sales!$F:$F,A62,Sales!$B:$B,"&lt;&gt;Return"))</f>
        <v>0</v>
      </c>
      <c r="F62" s="48">
        <f>IF(A62="","",SUMIFS(Sales!$H:$H,Sales!$F:$F,A62,Sales!$B:$B,"Return"))</f>
        <v>0</v>
      </c>
      <c r="G62" s="48">
        <f>IF($A62="","",SUMIF('Shop Ledger'!$C:$C,$A62,'Shop Ledger'!$F:$F))</f>
        <v>0</v>
      </c>
      <c r="H62" s="48">
        <f t="shared" si="1"/>
        <v>2</v>
      </c>
      <c r="I62" s="44">
        <f>IF(A62="","",IFERROR(SUMIF(Purchases!$D:$D,A62,Purchases!$I:$I)/D62,0))</f>
        <v>65</v>
      </c>
      <c r="J62" s="44">
        <f t="shared" si="2"/>
        <v>130</v>
      </c>
      <c r="K62" s="30">
        <f>IF($A62="","",IFERROR(VALUE(SUBSTITUTE(SUBSTITUTE(SUBSTITUTE(VLOOKUP($A62,Inventory!$O$5:$P$604,2,FALSE),"Tk","")," ",""),",","")),""))</f>
        <v>90</v>
      </c>
      <c r="L62" s="58">
        <f t="shared" si="3"/>
        <v>0.2777777778</v>
      </c>
      <c r="M62" s="58">
        <f t="shared" si="4"/>
        <v>0.3846153846</v>
      </c>
      <c r="O62" s="59" t="str">
        <f t="shared" si="5"/>
        <v>PO-WET-NK-70G-004</v>
      </c>
      <c r="P62" s="62">
        <v>90.0</v>
      </c>
    </row>
    <row r="63" ht="14.25" customHeight="1">
      <c r="A63" s="29" t="str">
        <f t="array" ref="A63">IFERROR(INDEX(Purchases!$D$5:$D$1004,MATCH(ROW()-4,Purchases!$L$5:$L$1004,0)),"")</f>
        <v>FD-DRY-TRL-1KG-001</v>
      </c>
      <c r="B63" s="48" t="str">
        <f>IFERROR(VLOOKUP(A63,Purchases!$D:$E,2,FALSE),"")</f>
        <v>TRENDLINE Adult Chicken Cat Food 1-Kg</v>
      </c>
      <c r="C63" s="48" t="str">
        <f>IFERROR(VLOOKUP(A63,Purchases!$D:$F,3,FALSE),"")</f>
        <v>Cat Food</v>
      </c>
      <c r="D63" s="48">
        <f>IF(A63="","",SUMIF(Purchases!$D:$D,A63,Purchases!$K:$K))</f>
        <v>1</v>
      </c>
      <c r="E63" s="48">
        <f>IF(A63="","",SUMIFS(Sales!$H:$H,Sales!$F:$F,A63,Sales!$B:$B,"&lt;&gt;Return"))</f>
        <v>1</v>
      </c>
      <c r="F63" s="48">
        <f>IF(A63="","",SUMIFS(Sales!$H:$H,Sales!$F:$F,A63,Sales!$B:$B,"Return"))</f>
        <v>0</v>
      </c>
      <c r="G63" s="48">
        <f>IF($A63="","",SUMIF('Shop Ledger'!$C:$C,$A63,'Shop Ledger'!$F:$F))</f>
        <v>0</v>
      </c>
      <c r="H63" s="48">
        <f t="shared" si="1"/>
        <v>0</v>
      </c>
      <c r="I63" s="44">
        <f>IF(A63="","",IFERROR(SUMIF(Purchases!$D:$D,A63,Purchases!$I:$I)/D63,0))</f>
        <v>368</v>
      </c>
      <c r="J63" s="44">
        <f t="shared" si="2"/>
        <v>0</v>
      </c>
      <c r="K63" s="30">
        <f>IF($A63="","",IFERROR(VALUE(SUBSTITUTE(SUBSTITUTE(SUBSTITUTE(VLOOKUP($A63,Inventory!$O$5:$P$604,2,FALSE),"Tk","")," ",""),",","")),""))</f>
        <v>450</v>
      </c>
      <c r="L63" s="58">
        <f t="shared" si="3"/>
        <v>0.1822222222</v>
      </c>
      <c r="M63" s="58">
        <f t="shared" si="4"/>
        <v>0.222826087</v>
      </c>
      <c r="O63" s="59" t="str">
        <f t="shared" si="5"/>
        <v>FD-DRY-TRL-1KG-001</v>
      </c>
      <c r="P63" s="61">
        <v>450.0</v>
      </c>
    </row>
    <row r="64" ht="14.25" customHeight="1">
      <c r="A64" s="29" t="str">
        <f t="array" ref="A64">IFERROR(INDEX(Purchases!$D$5:$D$1004,MATCH(ROW()-4,Purchases!$L$5:$L$1004,0)),"")</f>
        <v>FD-DRY-SMHRT-10KG-001</v>
      </c>
      <c r="B64" s="48" t="str">
        <f>IFERROR(VLOOKUP(A64,Purchases!$D:$E,2,FALSE),"")</f>
        <v>Smart Heart 10KG Chicken &amp; Tuna</v>
      </c>
      <c r="C64" s="48" t="str">
        <f>IFERROR(VLOOKUP(A64,Purchases!$D:$F,3,FALSE),"")</f>
        <v>Cat Food</v>
      </c>
      <c r="D64" s="48">
        <f>IF(A64="","",SUMIF(Purchases!$D:$D,A64,Purchases!$K:$K))</f>
        <v>4</v>
      </c>
      <c r="E64" s="48">
        <f>IF(A64="","",SUMIFS(Sales!$H:$H,Sales!$F:$F,A64,Sales!$B:$B,"&lt;&gt;Return"))</f>
        <v>2</v>
      </c>
      <c r="F64" s="48">
        <f>IF(A64="","",SUMIFS(Sales!$H:$H,Sales!$F:$F,A64,Sales!$B:$B,"Return"))</f>
        <v>0</v>
      </c>
      <c r="G64" s="48">
        <f>IF($A64="","",SUMIF('Shop Ledger'!$C:$C,$A64,'Shop Ledger'!$F:$F))</f>
        <v>0</v>
      </c>
      <c r="H64" s="48">
        <f t="shared" si="1"/>
        <v>2</v>
      </c>
      <c r="I64" s="44">
        <f>IF(A64="","",IFERROR(SUMIF(Purchases!$D:$D,A64,Purchases!$I:$I)/D64,0))</f>
        <v>4100</v>
      </c>
      <c r="J64" s="44">
        <f t="shared" si="2"/>
        <v>8200</v>
      </c>
      <c r="K64" s="30">
        <f>IF($A64="","",IFERROR(VALUE(SUBSTITUTE(SUBSTITUTE(SUBSTITUTE(VLOOKUP($A64,Inventory!$O$5:$P$604,2,FALSE),"Tk","")," ",""),",","")),""))</f>
        <v>4700</v>
      </c>
      <c r="L64" s="58">
        <f t="shared" si="3"/>
        <v>0.1276595745</v>
      </c>
      <c r="M64" s="58">
        <f t="shared" si="4"/>
        <v>0.1463414634</v>
      </c>
      <c r="O64" s="59" t="str">
        <f t="shared" si="5"/>
        <v>FD-DRY-SMHRT-10KG-001</v>
      </c>
      <c r="P64" s="62">
        <v>4700.0</v>
      </c>
    </row>
    <row r="65" ht="13.5" customHeight="1">
      <c r="A65" s="29" t="str">
        <f t="array" ref="A65">IFERROR(INDEX(Purchases!$D$5:$D$1004,MATCH(ROW()-4,Purchases!$L$5:$L$1004,0)),"")</f>
        <v>AC-CB-HRNS-001</v>
      </c>
      <c r="B65" s="48" t="str">
        <f>IFERROR(VLOOKUP(A65,Purchases!$D:$E,2,FALSE),"")</f>
        <v>Cat Belt Harness </v>
      </c>
      <c r="C65" s="48" t="str">
        <f>IFERROR(VLOOKUP(A65,Purchases!$D:$F,3,FALSE),"")</f>
        <v>Cat Accessories</v>
      </c>
      <c r="D65" s="48">
        <f>IF(A65="","",SUMIF(Purchases!$D:$D,A65,Purchases!$K:$K))</f>
        <v>3</v>
      </c>
      <c r="E65" s="48">
        <f>IF(A65="","",SUMIFS(Sales!$H:$H,Sales!$F:$F,A65,Sales!$B:$B,"&lt;&gt;Return"))</f>
        <v>2</v>
      </c>
      <c r="F65" s="48">
        <f>IF(A65="","",SUMIFS(Sales!$H:$H,Sales!$F:$F,A65,Sales!$B:$B,"Return"))</f>
        <v>0</v>
      </c>
      <c r="G65" s="48">
        <f>IF($A65="","",SUMIF('Shop Ledger'!$C:$C,$A65,'Shop Ledger'!$F:$F))</f>
        <v>0</v>
      </c>
      <c r="H65" s="48">
        <f t="shared" si="1"/>
        <v>1</v>
      </c>
      <c r="I65" s="44">
        <f>IF(A65="","",IFERROR(SUMIF(Purchases!$D:$D,A65,Purchases!$I:$I)/D65,0))</f>
        <v>90</v>
      </c>
      <c r="J65" s="44">
        <f t="shared" si="2"/>
        <v>90</v>
      </c>
      <c r="K65" s="30">
        <f>IF($A65="","",IFERROR(VALUE(SUBSTITUTE(SUBSTITUTE(SUBSTITUTE(VLOOKUP($A65,Inventory!$O$5:$P$604,2,FALSE),"Tk","")," ",""),",","")),""))</f>
        <v>180</v>
      </c>
      <c r="L65" s="58">
        <f t="shared" si="3"/>
        <v>0.5</v>
      </c>
      <c r="M65" s="58">
        <f t="shared" si="4"/>
        <v>1</v>
      </c>
      <c r="O65" s="59" t="str">
        <f t="shared" si="5"/>
        <v>AC-CB-HRNS-001</v>
      </c>
      <c r="P65" s="61">
        <v>180.0</v>
      </c>
    </row>
    <row r="66" ht="14.25" customHeight="1">
      <c r="A66" s="29" t="str">
        <f t="array" ref="A66">IFERROR(INDEX(Purchases!$D$5:$D$1004,MATCH(ROW()-4,Purchases!$L$5:$L$1004,0)),"")</f>
        <v>AC-CB-HRNS-002</v>
      </c>
      <c r="B66" s="48" t="str">
        <f>IFERROR(VLOOKUP(A66,Purchases!$D:$E,2,FALSE),"")</f>
        <v>Cat Belt Harness  Zinch</v>
      </c>
      <c r="C66" s="48" t="str">
        <f>IFERROR(VLOOKUP(A66,Purchases!$D:$F,3,FALSE),"")</f>
        <v>Cat Accessories</v>
      </c>
      <c r="D66" s="48">
        <f>IF(A66="","",SUMIF(Purchases!$D:$D,A66,Purchases!$K:$K))</f>
        <v>8</v>
      </c>
      <c r="E66" s="48">
        <f>IF(A66="","",SUMIFS(Sales!$H:$H,Sales!$F:$F,A66,Sales!$B:$B,"&lt;&gt;Return"))</f>
        <v>2</v>
      </c>
      <c r="F66" s="48">
        <f>IF(A66="","",SUMIFS(Sales!$H:$H,Sales!$F:$F,A66,Sales!$B:$B,"Return"))</f>
        <v>0</v>
      </c>
      <c r="G66" s="48">
        <f>IF($A66="","",SUMIF('Shop Ledger'!$C:$C,$A66,'Shop Ledger'!$F:$F))</f>
        <v>0</v>
      </c>
      <c r="H66" s="48">
        <f t="shared" si="1"/>
        <v>6</v>
      </c>
      <c r="I66" s="44">
        <f>IF(A66="","",IFERROR(SUMIF(Purchases!$D:$D,A66,Purchases!$I:$I)/D66,0))</f>
        <v>230</v>
      </c>
      <c r="J66" s="44">
        <f t="shared" si="2"/>
        <v>1380</v>
      </c>
      <c r="K66" s="30">
        <f>IF($A66="","",IFERROR(VALUE(SUBSTITUTE(SUBSTITUTE(SUBSTITUTE(VLOOKUP($A66,Inventory!$O$5:$P$604,2,FALSE),"Tk","")," ",""),",","")),""))</f>
        <v>360</v>
      </c>
      <c r="L66" s="58">
        <f t="shared" si="3"/>
        <v>0.3611111111</v>
      </c>
      <c r="M66" s="58">
        <f t="shared" si="4"/>
        <v>0.5652173913</v>
      </c>
      <c r="O66" s="59" t="str">
        <f t="shared" si="5"/>
        <v>AC-CB-HRNS-002</v>
      </c>
      <c r="P66" s="62">
        <v>360.0</v>
      </c>
    </row>
    <row r="67" ht="14.25" customHeight="1">
      <c r="A67" s="29" t="str">
        <f t="array" ref="A67">IFERROR(INDEX(Purchases!$D$5:$D$1004,MATCH(ROW()-4,Purchases!$L$5:$L$1004,0)),"")</f>
        <v>AC-CMB-001</v>
      </c>
      <c r="B67" s="48" t="str">
        <f>IFERROR(VLOOKUP(A67,Purchases!$D:$E,2,FALSE),"")</f>
        <v>Pet Comb One Side</v>
      </c>
      <c r="C67" s="48" t="str">
        <f>IFERROR(VLOOKUP(A67,Purchases!$D:$F,3,FALSE),"")</f>
        <v>Cat Accessories</v>
      </c>
      <c r="D67" s="48">
        <f>IF(A67="","",SUMIF(Purchases!$D:$D,A67,Purchases!$K:$K))</f>
        <v>5</v>
      </c>
      <c r="E67" s="48">
        <f>IF(A67="","",SUMIFS(Sales!$H:$H,Sales!$F:$F,A67,Sales!$B:$B,"&lt;&gt;Return"))</f>
        <v>3</v>
      </c>
      <c r="F67" s="48">
        <f>IF(A67="","",SUMIFS(Sales!$H:$H,Sales!$F:$F,A67,Sales!$B:$B,"Return"))</f>
        <v>0</v>
      </c>
      <c r="G67" s="48">
        <f>IF($A67="","",SUMIF('Shop Ledger'!$C:$C,$A67,'Shop Ledger'!$F:$F))</f>
        <v>0</v>
      </c>
      <c r="H67" s="48">
        <f t="shared" si="1"/>
        <v>2</v>
      </c>
      <c r="I67" s="44">
        <f>IF(A67="","",IFERROR(SUMIF(Purchases!$D:$D,A67,Purchases!$I:$I)/D67,0))</f>
        <v>130</v>
      </c>
      <c r="J67" s="44">
        <f t="shared" si="2"/>
        <v>260</v>
      </c>
      <c r="K67" s="30">
        <f>IF($A67="","",IFERROR(VALUE(SUBSTITUTE(SUBSTITUTE(SUBSTITUTE(VLOOKUP($A67,Inventory!$O$5:$P$604,2,FALSE),"Tk","")," ",""),",","")),""))</f>
        <v>200</v>
      </c>
      <c r="L67" s="58">
        <f t="shared" si="3"/>
        <v>0.35</v>
      </c>
      <c r="M67" s="58">
        <f t="shared" si="4"/>
        <v>0.5384615385</v>
      </c>
      <c r="O67" s="59" t="str">
        <f t="shared" si="5"/>
        <v>AC-CMB-001</v>
      </c>
      <c r="P67" s="61">
        <v>200.0</v>
      </c>
    </row>
    <row r="68" ht="14.25" customHeight="1">
      <c r="A68" s="29" t="str">
        <f t="array" ref="A68">IFERROR(INDEX(Purchases!$D$5:$D$1004,MATCH(ROW()-4,Purchases!$L$5:$L$1004,0)),"")</f>
        <v>FD-DRY-SMHRT-1.2KG-003</v>
      </c>
      <c r="B68" s="48" t="str">
        <f>IFERROR(VLOOKUP(A68,Purchases!$D:$E,2,FALSE),"")</f>
        <v>Smart Heart Kitten Cat Food Chicken &amp; Tuna 1.2KG</v>
      </c>
      <c r="C68" s="48" t="str">
        <f>IFERROR(VLOOKUP(A68,Purchases!$D:$F,3,FALSE),"")</f>
        <v>Cat Food</v>
      </c>
      <c r="D68" s="48">
        <f>IF(A68="","",SUMIF(Purchases!$D:$D,A68,Purchases!$K:$K))</f>
        <v>5</v>
      </c>
      <c r="E68" s="48">
        <f>IF(A68="","",SUMIFS(Sales!$H:$H,Sales!$F:$F,A68,Sales!$B:$B,"&lt;&gt;Return"))</f>
        <v>2</v>
      </c>
      <c r="F68" s="48">
        <f>IF(A68="","",SUMIFS(Sales!$H:$H,Sales!$F:$F,A68,Sales!$B:$B,"Return"))</f>
        <v>0</v>
      </c>
      <c r="G68" s="48">
        <f>IF($A68="","",SUMIF('Shop Ledger'!$C:$C,$A68,'Shop Ledger'!$F:$F))</f>
        <v>3</v>
      </c>
      <c r="H68" s="48">
        <f t="shared" si="1"/>
        <v>0</v>
      </c>
      <c r="I68" s="44">
        <f>IF(A68="","",IFERROR(SUMIF(Purchases!$D:$D,A68,Purchases!$I:$I)/D68,0))</f>
        <v>635</v>
      </c>
      <c r="J68" s="44">
        <f t="shared" si="2"/>
        <v>0</v>
      </c>
      <c r="K68" s="30">
        <f>IF($A68="","",IFERROR(VALUE(SUBSTITUTE(SUBSTITUTE(SUBSTITUTE(VLOOKUP($A68,Inventory!$O$5:$P$604,2,FALSE),"Tk","")," ",""),",","")),""))</f>
        <v>820</v>
      </c>
      <c r="L68" s="58">
        <f t="shared" si="3"/>
        <v>0.2256097561</v>
      </c>
      <c r="M68" s="58">
        <f t="shared" si="4"/>
        <v>0.2913385827</v>
      </c>
      <c r="O68" s="59" t="str">
        <f t="shared" si="5"/>
        <v>FD-DRY-SMHRT-1.2KG-003</v>
      </c>
      <c r="P68" s="62">
        <v>820.0</v>
      </c>
    </row>
    <row r="69" ht="14.25" customHeight="1">
      <c r="A69" s="29" t="str">
        <f t="array" ref="A69">IFERROR(INDEX(Purchases!$D$5:$D$1004,MATCH(ROW()-4,Purchases!$L$5:$L$1004,0)),"")</f>
        <v>FD-DRY-DR-DOG-3-0001</v>
      </c>
      <c r="B69" s="48" t="str">
        <f>IFERROR(VLOOKUP(A69,Purchases!$D:$E,2,FALSE),"")</f>
        <v>Drools Puppy Dog Food Chicken &amp; Egg 3kg</v>
      </c>
      <c r="C69" s="48" t="str">
        <f>IFERROR(VLOOKUP(A69,Purchases!$D:$F,3,FALSE),"")</f>
        <v>Dog Food</v>
      </c>
      <c r="D69" s="48">
        <f>IF(A69="","",SUMIF(Purchases!$D:$D,A69,Purchases!$K:$K))</f>
        <v>2</v>
      </c>
      <c r="E69" s="48">
        <f>IF(A69="","",SUMIFS(Sales!$H:$H,Sales!$F:$F,A69,Sales!$B:$B,"&lt;&gt;Return"))</f>
        <v>2</v>
      </c>
      <c r="F69" s="48">
        <f>IF(A69="","",SUMIFS(Sales!$H:$H,Sales!$F:$F,A69,Sales!$B:$B,"Return"))</f>
        <v>0</v>
      </c>
      <c r="G69" s="48">
        <f>IF($A69="","",SUMIF('Shop Ledger'!$C:$C,$A69,'Shop Ledger'!$F:$F))</f>
        <v>0</v>
      </c>
      <c r="H69" s="48">
        <f t="shared" si="1"/>
        <v>0</v>
      </c>
      <c r="I69" s="44">
        <f>IF(A69="","",IFERROR(SUMIF(Purchases!$D:$D,A69,Purchases!$I:$I)/D69,0))</f>
        <v>1050</v>
      </c>
      <c r="J69" s="44">
        <f t="shared" si="2"/>
        <v>0</v>
      </c>
      <c r="K69" s="30">
        <f>IF($A69="","",IFERROR(VALUE(SUBSTITUTE(SUBSTITUTE(SUBSTITUTE(VLOOKUP($A69,Inventory!$O$5:$P$604,2,FALSE),"Tk","")," ",""),",","")),""))</f>
        <v>1450</v>
      </c>
      <c r="L69" s="58">
        <f t="shared" si="3"/>
        <v>0.275862069</v>
      </c>
      <c r="M69" s="58">
        <f t="shared" si="4"/>
        <v>0.380952381</v>
      </c>
      <c r="O69" s="59" t="str">
        <f t="shared" si="5"/>
        <v>FD-DRY-DR-DOG-3-0001</v>
      </c>
      <c r="P69" s="61">
        <v>1450.0</v>
      </c>
    </row>
    <row r="70" ht="13.5" customHeight="1">
      <c r="A70" s="29" t="str">
        <f t="array" ref="A70">IFERROR(INDEX(Purchases!$D$5:$D$1004,MATCH(ROW()-4,Purchases!$L$5:$L$1004,0)),"")</f>
        <v>AC-CS-BAG-001</v>
      </c>
      <c r="B70" s="48" t="str">
        <f>IFERROR(VLOOKUP(A70,Purchases!$D:$E,2,FALSE),"")</f>
        <v>Cat Carried Bag</v>
      </c>
      <c r="C70" s="48" t="str">
        <f>IFERROR(VLOOKUP(A70,Purchases!$D:$F,3,FALSE),"")</f>
        <v>Cat Accessories</v>
      </c>
      <c r="D70" s="48">
        <f>IF(A70="","",SUMIF(Purchases!$D:$D,A70,Purchases!$K:$K))</f>
        <v>2</v>
      </c>
      <c r="E70" s="48">
        <f>IF(A70="","",SUMIFS(Sales!$H:$H,Sales!$F:$F,A70,Sales!$B:$B,"&lt;&gt;Return"))</f>
        <v>1</v>
      </c>
      <c r="F70" s="48">
        <f>IF(A70="","",SUMIFS(Sales!$H:$H,Sales!$F:$F,A70,Sales!$B:$B,"Return"))</f>
        <v>0</v>
      </c>
      <c r="G70" s="48">
        <f>IF($A70="","",SUMIF('Shop Ledger'!$C:$C,$A70,'Shop Ledger'!$F:$F))</f>
        <v>0</v>
      </c>
      <c r="H70" s="48">
        <f t="shared" si="1"/>
        <v>1</v>
      </c>
      <c r="I70" s="44">
        <f>IF(A70="","",IFERROR(SUMIF(Purchases!$D:$D,A70,Purchases!$I:$I)/D70,0))</f>
        <v>980</v>
      </c>
      <c r="J70" s="44">
        <f t="shared" si="2"/>
        <v>980</v>
      </c>
      <c r="K70" s="30">
        <f>IF($A70="","",IFERROR(VALUE(SUBSTITUTE(SUBSTITUTE(SUBSTITUTE(VLOOKUP($A70,Inventory!$O$5:$P$604,2,FALSE),"Tk","")," ",""),",","")),""))</f>
        <v>1400</v>
      </c>
      <c r="L70" s="58">
        <f t="shared" si="3"/>
        <v>0.3</v>
      </c>
      <c r="M70" s="58">
        <f t="shared" si="4"/>
        <v>0.4285714286</v>
      </c>
      <c r="O70" s="59" t="str">
        <f t="shared" si="5"/>
        <v>AC-CS-BAG-001</v>
      </c>
      <c r="P70" s="98">
        <v>1400.0</v>
      </c>
    </row>
    <row r="71" ht="13.5" customHeight="1">
      <c r="A71" s="29" t="str">
        <f t="array" ref="A71">IFERROR(INDEX(Purchases!$D$5:$D$1004,MATCH(ROW()-4,Purchases!$L$5:$L$1004,0)),"")</f>
        <v>PO-TP-70G-001</v>
      </c>
      <c r="B71" s="48" t="str">
        <f>IFERROR(VLOOKUP(A71,Purchases!$D:$E,2,FALSE),"")</f>
        <v>Taipet Chicken Tuna in Jelly</v>
      </c>
      <c r="C71" s="48" t="str">
        <f>IFERROR(VLOOKUP(A71,Purchases!$D:$F,3,FALSE),"")</f>
        <v>Cat Pouch</v>
      </c>
      <c r="D71" s="48">
        <f>IF(A71="","",SUMIF(Purchases!$D:$D,A71,Purchases!$K:$K))</f>
        <v>9</v>
      </c>
      <c r="E71" s="48">
        <f>IF(A71="","",SUMIFS(Sales!$H:$H,Sales!$F:$F,A71,Sales!$B:$B,"&lt;&gt;Return"))</f>
        <v>3</v>
      </c>
      <c r="F71" s="48">
        <f>IF(A71="","",SUMIFS(Sales!$H:$H,Sales!$F:$F,A71,Sales!$B:$B,"Return"))</f>
        <v>0</v>
      </c>
      <c r="G71" s="48">
        <f>IF($A71="","",SUMIF('Shop Ledger'!$C:$C,$A71,'Shop Ledger'!$F:$F))</f>
        <v>0</v>
      </c>
      <c r="H71" s="48">
        <f t="shared" si="1"/>
        <v>6</v>
      </c>
      <c r="I71" s="44">
        <f>IF(A71="","",IFERROR(SUMIF(Purchases!$D:$D,A71,Purchases!$I:$I)/D71,0))</f>
        <v>52</v>
      </c>
      <c r="J71" s="44">
        <f t="shared" si="2"/>
        <v>312</v>
      </c>
      <c r="K71" s="30">
        <f>IF($A71="","",IFERROR(VALUE(SUBSTITUTE(SUBSTITUTE(SUBSTITUTE(VLOOKUP($A71,Inventory!$O$5:$P$604,2,FALSE),"Tk","")," ",""),",","")),""))</f>
        <v>75</v>
      </c>
      <c r="L71" s="58">
        <f t="shared" si="3"/>
        <v>0.3066666667</v>
      </c>
      <c r="M71" s="58">
        <f t="shared" si="4"/>
        <v>0.4423076923</v>
      </c>
      <c r="O71" s="59" t="str">
        <f t="shared" si="5"/>
        <v>PO-TP-70G-001</v>
      </c>
      <c r="P71" s="98">
        <v>75.0</v>
      </c>
    </row>
    <row r="72" ht="14.25" customHeight="1">
      <c r="A72" s="29" t="str">
        <f t="array" ref="A72">IFERROR(INDEX(Purchases!$D$5:$D$1004,MATCH(ROW()-4,Purchases!$L$5:$L$1004,0)),"")</f>
        <v>PO-TP-70G-002</v>
      </c>
      <c r="B72" s="48" t="str">
        <f>IFERROR(VLOOKUP(A72,Purchases!$D:$E,2,FALSE),"")</f>
        <v>Taipet Chicken Pouch</v>
      </c>
      <c r="C72" s="48" t="str">
        <f>IFERROR(VLOOKUP(A72,Purchases!$D:$F,3,FALSE),"")</f>
        <v>Cat Pouch</v>
      </c>
      <c r="D72" s="48">
        <f>IF(A72="","",SUMIF(Purchases!$D:$D,A72,Purchases!$K:$K))</f>
        <v>24</v>
      </c>
      <c r="E72" s="48">
        <f>IF(A72="","",SUMIFS(Sales!$H:$H,Sales!$F:$F,A72,Sales!$B:$B,"&lt;&gt;Return"))</f>
        <v>0</v>
      </c>
      <c r="F72" s="48">
        <f>IF(A72="","",SUMIFS(Sales!$H:$H,Sales!$F:$F,A72,Sales!$B:$B,"Return"))</f>
        <v>0</v>
      </c>
      <c r="G72" s="48">
        <f>IF($A72="","",SUMIF('Shop Ledger'!$C:$C,$A72,'Shop Ledger'!$F:$F))</f>
        <v>24</v>
      </c>
      <c r="H72" s="48">
        <f t="shared" si="1"/>
        <v>0</v>
      </c>
      <c r="I72" s="44">
        <f>IF(A72="","",IFERROR(SUMIF(Purchases!$D:$D,A72,Purchases!$I:$I)/D72,0))</f>
        <v>50</v>
      </c>
      <c r="J72" s="44">
        <f t="shared" si="2"/>
        <v>0</v>
      </c>
      <c r="K72" s="30">
        <f>IF($A72="","",IFERROR(VALUE(SUBSTITUTE(SUBSTITUTE(SUBSTITUTE(VLOOKUP($A72,Inventory!$O$5:$P$604,2,FALSE),"Tk","")," ",""),",","")),""))</f>
        <v>75</v>
      </c>
      <c r="L72" s="58">
        <f t="shared" si="3"/>
        <v>0.3333333333</v>
      </c>
      <c r="M72" s="58">
        <f t="shared" si="4"/>
        <v>0.5</v>
      </c>
      <c r="O72" s="59" t="str">
        <f t="shared" si="5"/>
        <v>PO-TP-70G-002</v>
      </c>
      <c r="P72" s="99">
        <v>75.0</v>
      </c>
    </row>
    <row r="73" ht="14.25" customHeight="1">
      <c r="A73" s="29" t="str">
        <f t="array" ref="A73">IFERROR(INDEX(Purchases!$D$5:$D$1004,MATCH(ROW()-4,Purchases!$L$5:$L$1004,0)),"")</f>
        <v>AC-BCR-001</v>
      </c>
      <c r="B73" s="48" t="str">
        <f>IFERROR(VLOOKUP(A73,Purchases!$D:$E,2,FALSE),"")</f>
        <v>Body Carrier</v>
      </c>
      <c r="C73" s="48" t="str">
        <f>IFERROR(VLOOKUP(A73,Purchases!$D:$F,3,FALSE),"")</f>
        <v>Cat Accessories</v>
      </c>
      <c r="D73" s="48">
        <f>IF(A73="","",SUMIF(Purchases!$D:$D,A73,Purchases!$K:$K))</f>
        <v>2</v>
      </c>
      <c r="E73" s="48">
        <f>IF(A73="","",SUMIFS(Sales!$H:$H,Sales!$F:$F,A73,Sales!$B:$B,"&lt;&gt;Return"))</f>
        <v>0</v>
      </c>
      <c r="F73" s="48">
        <f>IF(A73="","",SUMIFS(Sales!$H:$H,Sales!$F:$F,A73,Sales!$B:$B,"Return"))</f>
        <v>0</v>
      </c>
      <c r="G73" s="48">
        <f>IF($A73="","",SUMIF('Shop Ledger'!$C:$C,$A73,'Shop Ledger'!$F:$F))</f>
        <v>0</v>
      </c>
      <c r="H73" s="48">
        <f t="shared" si="1"/>
        <v>2</v>
      </c>
      <c r="I73" s="44">
        <f>IF(A73="","",IFERROR(SUMIF(Purchases!$D:$D,A73,Purchases!$I:$I)/D73,0))</f>
        <v>450</v>
      </c>
      <c r="J73" s="44">
        <f t="shared" si="2"/>
        <v>900</v>
      </c>
      <c r="K73" s="30">
        <f>IF($A73="","",IFERROR(VALUE(SUBSTITUTE(SUBSTITUTE(SUBSTITUTE(VLOOKUP($A73,Inventory!$O$5:$P$604,2,FALSE),"Tk","")," ",""),",","")),""))</f>
        <v>750</v>
      </c>
      <c r="L73" s="58">
        <f t="shared" si="3"/>
        <v>0.4</v>
      </c>
      <c r="M73" s="58">
        <f t="shared" si="4"/>
        <v>0.6666666667</v>
      </c>
      <c r="O73" s="59" t="str">
        <f t="shared" si="5"/>
        <v>AC-BCR-001</v>
      </c>
      <c r="P73" s="61">
        <v>750.0</v>
      </c>
    </row>
    <row r="74" ht="14.25" customHeight="1">
      <c r="A74" s="29" t="str">
        <f t="array" ref="A74">IFERROR(INDEX(Purchases!$D$5:$D$1004,MATCH(ROW()-4,Purchases!$L$5:$L$1004,0)),"")</f>
        <v>CN-WAN-375G-001</v>
      </c>
      <c r="B74" s="48" t="str">
        <f>IFERROR(VLOOKUP(A74,Purchases!$D:$E,2,FALSE),"")</f>
        <v>Wanpy Cat Food Can Chicken</v>
      </c>
      <c r="C74" s="48" t="str">
        <f>IFERROR(VLOOKUP(A74,Purchases!$D:$F,3,FALSE),"")</f>
        <v>Can Food</v>
      </c>
      <c r="D74" s="48">
        <f>IF(A74="","",SUMIF(Purchases!$D:$D,A74,Purchases!$K:$K))</f>
        <v>12</v>
      </c>
      <c r="E74" s="48">
        <f>IF(A74="","",SUMIFS(Sales!$H:$H,Sales!$F:$F,A74,Sales!$B:$B,"&lt;&gt;Return"))</f>
        <v>2</v>
      </c>
      <c r="F74" s="48">
        <f>IF(A74="","",SUMIFS(Sales!$H:$H,Sales!$F:$F,A74,Sales!$B:$B,"Return"))</f>
        <v>0</v>
      </c>
      <c r="G74" s="48">
        <f>IF($A74="","",SUMIF('Shop Ledger'!$C:$C,$A74,'Shop Ledger'!$F:$F))</f>
        <v>4</v>
      </c>
      <c r="H74" s="48">
        <f t="shared" si="1"/>
        <v>6</v>
      </c>
      <c r="I74" s="44">
        <f>IF(A74="","",IFERROR(SUMIF(Purchases!$D:$D,A74,Purchases!$I:$I)/D74,0))</f>
        <v>160</v>
      </c>
      <c r="J74" s="44">
        <f t="shared" si="2"/>
        <v>960</v>
      </c>
      <c r="K74" s="30">
        <f>IF($A74="","",IFERROR(VALUE(SUBSTITUTE(SUBSTITUTE(SUBSTITUTE(VLOOKUP($A74,Inventory!$O$5:$P$604,2,FALSE),"Tk","")," ",""),",","")),""))</f>
        <v>210</v>
      </c>
      <c r="L74" s="58">
        <f t="shared" si="3"/>
        <v>0.2380952381</v>
      </c>
      <c r="M74" s="58">
        <f t="shared" si="4"/>
        <v>0.3125</v>
      </c>
      <c r="O74" s="59" t="str">
        <f t="shared" si="5"/>
        <v>CN-WAN-375G-001</v>
      </c>
      <c r="P74" s="62">
        <v>210.0</v>
      </c>
    </row>
    <row r="75" ht="14.25" customHeight="1">
      <c r="A75" s="29" t="str">
        <f t="array" ref="A75">IFERROR(INDEX(Purchases!$D$5:$D$1004,MATCH(ROW()-4,Purchases!$L$5:$L$1004,0)),"")</f>
        <v>CN-WAN-375G-002</v>
      </c>
      <c r="B75" s="48" t="str">
        <f>IFERROR(VLOOKUP(A75,Purchases!$D:$E,2,FALSE),"")</f>
        <v>Wanpy Cat Food Can Tuna</v>
      </c>
      <c r="C75" s="48" t="str">
        <f>IFERROR(VLOOKUP(A75,Purchases!$D:$F,3,FALSE),"")</f>
        <v>Can Food</v>
      </c>
      <c r="D75" s="48">
        <f>IF(A75="","",SUMIF(Purchases!$D:$D,A75,Purchases!$K:$K))</f>
        <v>12</v>
      </c>
      <c r="E75" s="48">
        <f>IF(A75="","",SUMIFS(Sales!$H:$H,Sales!$F:$F,A75,Sales!$B:$B,"&lt;&gt;Return"))</f>
        <v>4</v>
      </c>
      <c r="F75" s="48">
        <f>IF(A75="","",SUMIFS(Sales!$H:$H,Sales!$F:$F,A75,Sales!$B:$B,"Return"))</f>
        <v>0</v>
      </c>
      <c r="G75" s="48">
        <f>IF($A75="","",SUMIF('Shop Ledger'!$C:$C,$A75,'Shop Ledger'!$F:$F))</f>
        <v>4</v>
      </c>
      <c r="H75" s="48">
        <f t="shared" si="1"/>
        <v>4</v>
      </c>
      <c r="I75" s="44">
        <f>IF(A75="","",IFERROR(SUMIF(Purchases!$D:$D,A75,Purchases!$I:$I)/D75,0))</f>
        <v>160</v>
      </c>
      <c r="J75" s="44">
        <f t="shared" si="2"/>
        <v>640</v>
      </c>
      <c r="K75" s="30">
        <f>IF($A75="","",IFERROR(VALUE(SUBSTITUTE(SUBSTITUTE(SUBSTITUTE(VLOOKUP($A75,Inventory!$O$5:$P$604,2,FALSE),"Tk","")," ",""),",","")),""))</f>
        <v>210</v>
      </c>
      <c r="L75" s="58">
        <f t="shared" si="3"/>
        <v>0.2380952381</v>
      </c>
      <c r="M75" s="58">
        <f t="shared" si="4"/>
        <v>0.3125</v>
      </c>
      <c r="O75" s="59" t="str">
        <f t="shared" si="5"/>
        <v>CN-WAN-375G-002</v>
      </c>
      <c r="P75" s="61">
        <v>210.0</v>
      </c>
    </row>
    <row r="76" ht="14.25" customHeight="1">
      <c r="A76" s="29" t="str">
        <f t="array" ref="A76">IFERROR(INDEX(Purchases!$D$5:$D$1004,MATCH(ROW()-4,Purchases!$L$5:$L$1004,0)),"")</f>
        <v>CN-PAW-400G-001</v>
      </c>
      <c r="B76" s="48" t="str">
        <f>IFERROR(VLOOKUP(A76,Purchases!$D:$E,2,FALSE),"")</f>
        <v>PAW Cat Food Kitten Can Fish</v>
      </c>
      <c r="C76" s="48" t="str">
        <f>IFERROR(VLOOKUP(A76,Purchases!$D:$F,3,FALSE),"")</f>
        <v>Can Food</v>
      </c>
      <c r="D76" s="48">
        <f>IF(A76="","",SUMIF(Purchases!$D:$D,A76,Purchases!$K:$K))</f>
        <v>12</v>
      </c>
      <c r="E76" s="48">
        <f>IF(A76="","",SUMIFS(Sales!$H:$H,Sales!$F:$F,A76,Sales!$B:$B,"&lt;&gt;Return"))</f>
        <v>4</v>
      </c>
      <c r="F76" s="48">
        <f>IF(A76="","",SUMIFS(Sales!$H:$H,Sales!$F:$F,A76,Sales!$B:$B,"Return"))</f>
        <v>0</v>
      </c>
      <c r="G76" s="48">
        <f>IF($A76="","",SUMIF('Shop Ledger'!$C:$C,$A76,'Shop Ledger'!$F:$F))</f>
        <v>8</v>
      </c>
      <c r="H76" s="48">
        <f t="shared" si="1"/>
        <v>0</v>
      </c>
      <c r="I76" s="44">
        <f>IF(A76="","",IFERROR(SUMIF(Purchases!$D:$D,A76,Purchases!$I:$I)/D76,0))</f>
        <v>130</v>
      </c>
      <c r="J76" s="44">
        <f t="shared" si="2"/>
        <v>0</v>
      </c>
      <c r="K76" s="30">
        <f>IF($A76="","",IFERROR(VALUE(SUBSTITUTE(SUBSTITUTE(SUBSTITUTE(VLOOKUP($A76,Inventory!$O$5:$P$604,2,FALSE),"Tk","")," ",""),",","")),""))</f>
        <v>190</v>
      </c>
      <c r="L76" s="58">
        <f t="shared" si="3"/>
        <v>0.3157894737</v>
      </c>
      <c r="M76" s="58">
        <f t="shared" si="4"/>
        <v>0.4615384615</v>
      </c>
      <c r="O76" s="59" t="str">
        <f t="shared" si="5"/>
        <v>CN-PAW-400G-001</v>
      </c>
      <c r="P76" s="62">
        <v>190.0</v>
      </c>
    </row>
    <row r="77" ht="12.75" customHeight="1">
      <c r="A77" s="29" t="str">
        <f t="array" ref="A77">IFERROR(INDEX(Purchases!$D$5:$D$1004,MATCH(ROW()-4,Purchases!$L$5:$L$1004,0)),"")</f>
        <v>CN-PAW-400G-002</v>
      </c>
      <c r="B77" s="48" t="str">
        <f>IFERROR(VLOOKUP(A77,Purchases!$D:$E,2,FALSE),"")</f>
        <v>PAW Cat Food Adult Can Chicken</v>
      </c>
      <c r="C77" s="48" t="str">
        <f>IFERROR(VLOOKUP(A77,Purchases!$D:$F,3,FALSE),"")</f>
        <v>Can Food</v>
      </c>
      <c r="D77" s="48">
        <f>IF(A77="","",SUMIF(Purchases!$D:$D,A77,Purchases!$K:$K))</f>
        <v>12</v>
      </c>
      <c r="E77" s="48">
        <f>IF(A77="","",SUMIFS(Sales!$H:$H,Sales!$F:$F,A77,Sales!$B:$B,"&lt;&gt;Return"))</f>
        <v>1</v>
      </c>
      <c r="F77" s="48">
        <f>IF(A77="","",SUMIFS(Sales!$H:$H,Sales!$F:$F,A77,Sales!$B:$B,"Return"))</f>
        <v>0</v>
      </c>
      <c r="G77" s="48">
        <f>IF($A77="","",SUMIF('Shop Ledger'!$C:$C,$A77,'Shop Ledger'!$F:$F))</f>
        <v>0</v>
      </c>
      <c r="H77" s="48">
        <f t="shared" si="1"/>
        <v>11</v>
      </c>
      <c r="I77" s="44">
        <f>IF(A77="","",IFERROR(SUMIF(Purchases!$D:$D,A77,Purchases!$I:$I)/D77,0))</f>
        <v>130</v>
      </c>
      <c r="J77" s="44">
        <f t="shared" si="2"/>
        <v>1430</v>
      </c>
      <c r="K77" s="30">
        <f>IF($A77="","",IFERROR(VALUE(SUBSTITUTE(SUBSTITUTE(SUBSTITUTE(VLOOKUP($A77,Inventory!$O$5:$P$604,2,FALSE),"Tk","")," ",""),",","")),""))</f>
        <v>190</v>
      </c>
      <c r="L77" s="58">
        <f t="shared" si="3"/>
        <v>0.3157894737</v>
      </c>
      <c r="M77" s="58">
        <f t="shared" si="4"/>
        <v>0.4615384615</v>
      </c>
      <c r="O77" s="59" t="str">
        <f t="shared" si="5"/>
        <v>CN-PAW-400G-002</v>
      </c>
      <c r="P77" s="61">
        <v>190.0</v>
      </c>
    </row>
    <row r="78" ht="14.25" customHeight="1">
      <c r="A78" s="29" t="str">
        <f t="array" ref="A78">IFERROR(INDEX(Purchases!$D$5:$D$1004,MATCH(ROW()-4,Purchases!$L$5:$L$1004,0)),"")</f>
        <v>AC-BOWL-002</v>
      </c>
      <c r="B78" s="48" t="str">
        <f>IFERROR(VLOOKUP(A78,Purchases!$D:$E,2,FALSE),"")</f>
        <v>Cat Food Single Bowl Steel Small</v>
      </c>
      <c r="C78" s="48" t="str">
        <f>IFERROR(VLOOKUP(A78,Purchases!$D:$F,3,FALSE),"")</f>
        <v>Cat Accessories</v>
      </c>
      <c r="D78" s="48">
        <f>IF(A78="","",SUMIF(Purchases!$D:$D,A78,Purchases!$K:$K))</f>
        <v>7</v>
      </c>
      <c r="E78" s="48">
        <f>IF(A78="","",SUMIFS(Sales!$H:$H,Sales!$F:$F,A78,Sales!$B:$B,"&lt;&gt;Return"))</f>
        <v>3</v>
      </c>
      <c r="F78" s="48">
        <f>IF(A78="","",SUMIFS(Sales!$H:$H,Sales!$F:$F,A78,Sales!$B:$B,"Return"))</f>
        <v>0</v>
      </c>
      <c r="G78" s="48">
        <f>IF($A78="","",SUMIF('Shop Ledger'!$C:$C,$A78,'Shop Ledger'!$F:$F))</f>
        <v>0</v>
      </c>
      <c r="H78" s="48">
        <f t="shared" si="1"/>
        <v>4</v>
      </c>
      <c r="I78" s="44">
        <f>IF(A78="","",IFERROR(SUMIF(Purchases!$D:$D,A78,Purchases!$I:$I)/D78,0))</f>
        <v>175</v>
      </c>
      <c r="J78" s="44">
        <f t="shared" si="2"/>
        <v>700</v>
      </c>
      <c r="K78" s="30">
        <f>IF($A78="","",IFERROR(VALUE(SUBSTITUTE(SUBSTITUTE(SUBSTITUTE(VLOOKUP($A78,Inventory!$O$5:$P$604,2,FALSE),"Tk","")," ",""),",","")),""))</f>
        <v>250</v>
      </c>
      <c r="L78" s="58">
        <f t="shared" si="3"/>
        <v>0.3</v>
      </c>
      <c r="M78" s="58">
        <f t="shared" si="4"/>
        <v>0.4285714286</v>
      </c>
      <c r="O78" s="59" t="str">
        <f t="shared" si="5"/>
        <v>AC-BOWL-002</v>
      </c>
      <c r="P78" s="62">
        <v>250.0</v>
      </c>
    </row>
    <row r="79" ht="14.25" customHeight="1">
      <c r="A79" s="29" t="str">
        <f t="array" ref="A79">IFERROR(INDEX(Purchases!$D$5:$D$1004,MATCH(ROW()-4,Purchases!$L$5:$L$1004,0)),"")</f>
        <v>PO-PP-85G-001</v>
      </c>
      <c r="B79" s="48" t="str">
        <f>IFERROR(VLOOKUP(A79,Purchases!$D:$E,2,FALSE),"")</f>
        <v>Petmetro Premium Pouch Chicken &amp; Tuna 85gm</v>
      </c>
      <c r="C79" s="48" t="str">
        <f>IFERROR(VLOOKUP(A79,Purchases!$D:$F,3,FALSE),"")</f>
        <v>Cat Pouch</v>
      </c>
      <c r="D79" s="48">
        <f>IF(A79="","",SUMIF(Purchases!$D:$D,A79,Purchases!$K:$K))</f>
        <v>12</v>
      </c>
      <c r="E79" s="48">
        <f>IF(A79="","",SUMIFS(Sales!$H:$H,Sales!$F:$F,A79,Sales!$B:$B,"&lt;&gt;Return"))</f>
        <v>3</v>
      </c>
      <c r="F79" s="48">
        <f>IF(A79="","",SUMIFS(Sales!$H:$H,Sales!$F:$F,A79,Sales!$B:$B,"Return"))</f>
        <v>0</v>
      </c>
      <c r="G79" s="48">
        <f>IF($A79="","",SUMIF('Shop Ledger'!$C:$C,$A79,'Shop Ledger'!$F:$F))</f>
        <v>0</v>
      </c>
      <c r="H79" s="48">
        <f t="shared" si="1"/>
        <v>9</v>
      </c>
      <c r="I79" s="44">
        <f>IF(A79="","",IFERROR(SUMIF(Purchases!$D:$D,A79,Purchases!$I:$I)/D79,0))</f>
        <v>60</v>
      </c>
      <c r="J79" s="44">
        <f t="shared" si="2"/>
        <v>540</v>
      </c>
      <c r="K79" s="30">
        <f>IF($A79="","",IFERROR(VALUE(SUBSTITUTE(SUBSTITUTE(SUBSTITUTE(VLOOKUP($A79,Inventory!$O$5:$P$604,2,FALSE),"Tk","")," ",""),",","")),""))</f>
        <v>80</v>
      </c>
      <c r="L79" s="58">
        <f t="shared" si="3"/>
        <v>0.25</v>
      </c>
      <c r="M79" s="58">
        <f t="shared" si="4"/>
        <v>0.3333333333</v>
      </c>
      <c r="O79" s="59" t="str">
        <f t="shared" si="5"/>
        <v>PO-PP-85G-001</v>
      </c>
      <c r="P79" s="61">
        <v>80.0</v>
      </c>
    </row>
    <row r="80" ht="13.5" customHeight="1">
      <c r="A80" s="29" t="str">
        <f t="array" ref="A80">IFERROR(INDEX(Purchases!$D$5:$D$1004,MATCH(ROW()-4,Purchases!$L$5:$L$1004,0)),"")</f>
        <v>PO-PP-85G-002</v>
      </c>
      <c r="B80" s="48" t="str">
        <f>IFERROR(VLOOKUP(A80,Purchases!$D:$E,2,FALSE),"")</f>
        <v>Petmetro Premium Pouch Chicken 85gm</v>
      </c>
      <c r="C80" s="48" t="str">
        <f>IFERROR(VLOOKUP(A80,Purchases!$D:$F,3,FALSE),"")</f>
        <v>Cat Pouch</v>
      </c>
      <c r="D80" s="48">
        <f>IF(A80="","",SUMIF(Purchases!$D:$D,A80,Purchases!$K:$K))</f>
        <v>12</v>
      </c>
      <c r="E80" s="48">
        <f>IF(A80="","",SUMIFS(Sales!$H:$H,Sales!$F:$F,A80,Sales!$B:$B,"&lt;&gt;Return"))</f>
        <v>2</v>
      </c>
      <c r="F80" s="48">
        <f>IF(A80="","",SUMIFS(Sales!$H:$H,Sales!$F:$F,A80,Sales!$B:$B,"Return"))</f>
        <v>0</v>
      </c>
      <c r="G80" s="48">
        <f>IF($A80="","",SUMIF('Shop Ledger'!$C:$C,$A80,'Shop Ledger'!$F:$F))</f>
        <v>0</v>
      </c>
      <c r="H80" s="48">
        <f t="shared" si="1"/>
        <v>10</v>
      </c>
      <c r="I80" s="44">
        <f>IF(A80="","",IFERROR(SUMIF(Purchases!$D:$D,A80,Purchases!$I:$I)/D80,0))</f>
        <v>60</v>
      </c>
      <c r="J80" s="44">
        <f t="shared" si="2"/>
        <v>600</v>
      </c>
      <c r="K80" s="30">
        <f>IF($A80="","",IFERROR(VALUE(SUBSTITUTE(SUBSTITUTE(SUBSTITUTE(VLOOKUP($A80,Inventory!$O$5:$P$604,2,FALSE),"Tk","")," ",""),",","")),""))</f>
        <v>80</v>
      </c>
      <c r="L80" s="58">
        <f t="shared" si="3"/>
        <v>0.25</v>
      </c>
      <c r="M80" s="58">
        <f t="shared" si="4"/>
        <v>0.3333333333</v>
      </c>
      <c r="O80" s="59" t="str">
        <f t="shared" si="5"/>
        <v>PO-PP-85G-002</v>
      </c>
      <c r="P80" s="62">
        <v>80.0</v>
      </c>
    </row>
    <row r="81" ht="14.25" customHeight="1">
      <c r="A81" s="29" t="str">
        <f t="array" ref="A81">IFERROR(INDEX(Purchases!$D$5:$D$1004,MATCH(ROW()-4,Purchases!$L$5:$L$1004,0)),"")</f>
        <v>PO-PP-100G-001</v>
      </c>
      <c r="B81" s="48" t="str">
        <f>IFERROR(VLOOKUP(A81,Purchases!$D:$E,2,FALSE),"")</f>
        <v>Petmetro Pouch Complite Balance - Chicken Receipe - 100g</v>
      </c>
      <c r="C81" s="48" t="str">
        <f>IFERROR(VLOOKUP(A81,Purchases!$D:$F,3,FALSE),"")</f>
        <v>Cat Pouch</v>
      </c>
      <c r="D81" s="48">
        <f>IF(A81="","",SUMIF(Purchases!$D:$D,A81,Purchases!$K:$K))</f>
        <v>8</v>
      </c>
      <c r="E81" s="48">
        <f>IF(A81="","",SUMIFS(Sales!$H:$H,Sales!$F:$F,A81,Sales!$B:$B,"&lt;&gt;Return"))</f>
        <v>6</v>
      </c>
      <c r="F81" s="48">
        <f>IF(A81="","",SUMIFS(Sales!$H:$H,Sales!$F:$F,A81,Sales!$B:$B,"Return"))</f>
        <v>0</v>
      </c>
      <c r="G81" s="48">
        <f>IF($A81="","",SUMIF('Shop Ledger'!$C:$C,$A81,'Shop Ledger'!$F:$F))</f>
        <v>0</v>
      </c>
      <c r="H81" s="48">
        <f t="shared" si="1"/>
        <v>2</v>
      </c>
      <c r="I81" s="44">
        <f>IF(A81="","",IFERROR(SUMIF(Purchases!$D:$D,A81,Purchases!$I:$I)/D81,0))</f>
        <v>70</v>
      </c>
      <c r="J81" s="44">
        <f t="shared" si="2"/>
        <v>140</v>
      </c>
      <c r="K81" s="30">
        <f>IF($A81="","",IFERROR(VALUE(SUBSTITUTE(SUBSTITUTE(SUBSTITUTE(VLOOKUP($A81,Inventory!$O$5:$P$604,2,FALSE),"Tk","")," ",""),",","")),""))</f>
        <v>100</v>
      </c>
      <c r="L81" s="58">
        <f t="shared" si="3"/>
        <v>0.3</v>
      </c>
      <c r="M81" s="58">
        <f t="shared" si="4"/>
        <v>0.4285714286</v>
      </c>
      <c r="O81" s="59" t="str">
        <f t="shared" si="5"/>
        <v>PO-PP-100G-001</v>
      </c>
      <c r="P81" s="61">
        <v>100.0</v>
      </c>
    </row>
    <row r="82" ht="13.5" customHeight="1">
      <c r="A82" s="29" t="str">
        <f t="array" ref="A82">IFERROR(INDEX(Purchases!$D$5:$D$1004,MATCH(ROW()-4,Purchases!$L$5:$L$1004,0)),"")</f>
        <v>PO-PP-100G-002</v>
      </c>
      <c r="B82" s="48" t="str">
        <f>IFERROR(VLOOKUP(A82,Purchases!$D:$E,2,FALSE),"")</f>
        <v>Petmetro Gino Pouch - Chicken &amp; Cat Grass - 100g</v>
      </c>
      <c r="C82" s="48" t="str">
        <f>IFERROR(VLOOKUP(A82,Purchases!$D:$F,3,FALSE),"")</f>
        <v>Cat Pouch</v>
      </c>
      <c r="D82" s="48">
        <f>IF(A82="","",SUMIF(Purchases!$D:$D,A82,Purchases!$K:$K))</f>
        <v>12</v>
      </c>
      <c r="E82" s="48">
        <f>IF(A82="","",SUMIFS(Sales!$H:$H,Sales!$F:$F,A82,Sales!$B:$B,"&lt;&gt;Return"))</f>
        <v>8</v>
      </c>
      <c r="F82" s="48">
        <f>IF(A82="","",SUMIFS(Sales!$H:$H,Sales!$F:$F,A82,Sales!$B:$B,"Return"))</f>
        <v>0</v>
      </c>
      <c r="G82" s="48">
        <f>IF($A82="","",SUMIF('Shop Ledger'!$C:$C,$A82,'Shop Ledger'!$F:$F))</f>
        <v>0</v>
      </c>
      <c r="H82" s="48">
        <f t="shared" si="1"/>
        <v>4</v>
      </c>
      <c r="I82" s="44">
        <f>IF(A82="","",IFERROR(SUMIF(Purchases!$D:$D,A82,Purchases!$I:$I)/D82,0))</f>
        <v>85</v>
      </c>
      <c r="J82" s="44">
        <f t="shared" si="2"/>
        <v>340</v>
      </c>
      <c r="K82" s="30">
        <f>IF($A82="","",IFERROR(VALUE(SUBSTITUTE(SUBSTITUTE(SUBSTITUTE(VLOOKUP($A82,Inventory!$O$5:$P$604,2,FALSE),"Tk","")," ",""),",","")),""))</f>
        <v>110</v>
      </c>
      <c r="L82" s="58">
        <f t="shared" si="3"/>
        <v>0.2272727273</v>
      </c>
      <c r="M82" s="58">
        <f t="shared" si="4"/>
        <v>0.2941176471</v>
      </c>
      <c r="O82" s="59" t="str">
        <f t="shared" si="5"/>
        <v>PO-PP-100G-002</v>
      </c>
      <c r="P82" s="62">
        <v>110.0</v>
      </c>
    </row>
    <row r="83" ht="13.5" customHeight="1">
      <c r="A83" s="29" t="str">
        <f t="array" ref="A83">IFERROR(INDEX(Purchases!$D$5:$D$1004,MATCH(ROW()-4,Purchases!$L$5:$L$1004,0)),"")</f>
        <v>LT-AP-PM-5L-001</v>
      </c>
      <c r="B83" s="48" t="str">
        <f>IFERROR(VLOOKUP(A83,Purchases!$D:$E,2,FALSE),"")</f>
        <v>PetMetro Cat Litter Apple 5L</v>
      </c>
      <c r="C83" s="48" t="str">
        <f>IFERROR(VLOOKUP(A83,Purchases!$D:$F,3,FALSE),"")</f>
        <v>Cat Litter</v>
      </c>
      <c r="D83" s="48">
        <f>IF(A83="","",SUMIF(Purchases!$D:$D,A83,Purchases!$K:$K))</f>
        <v>6</v>
      </c>
      <c r="E83" s="48">
        <f>IF(A83="","",SUMIFS(Sales!$H:$H,Sales!$F:$F,A83,Sales!$B:$B,"&lt;&gt;Return"))</f>
        <v>6</v>
      </c>
      <c r="F83" s="48">
        <f>IF(A83="","",SUMIFS(Sales!$H:$H,Sales!$F:$F,A83,Sales!$B:$B,"Return"))</f>
        <v>0</v>
      </c>
      <c r="G83" s="48">
        <f>IF($A83="","",SUMIF('Shop Ledger'!$C:$C,$A83,'Shop Ledger'!$F:$F))</f>
        <v>0</v>
      </c>
      <c r="H83" s="48">
        <f t="shared" si="1"/>
        <v>0</v>
      </c>
      <c r="I83" s="44">
        <f>IF(A83="","",IFERROR(SUMIF(Purchases!$D:$D,A83,Purchases!$I:$I)/D83,0))</f>
        <v>200</v>
      </c>
      <c r="J83" s="44">
        <f t="shared" si="2"/>
        <v>0</v>
      </c>
      <c r="K83" s="30">
        <f>IF($A83="","",IFERROR(VALUE(SUBSTITUTE(SUBSTITUTE(SUBSTITUTE(VLOOKUP($A83,Inventory!$O$5:$P$604,2,FALSE),"Tk","")," ",""),",","")),""))</f>
        <v>280</v>
      </c>
      <c r="L83" s="58">
        <f t="shared" si="3"/>
        <v>0.2857142857</v>
      </c>
      <c r="M83" s="58">
        <f t="shared" si="4"/>
        <v>0.4</v>
      </c>
      <c r="O83" s="59" t="str">
        <f t="shared" si="5"/>
        <v>LT-AP-PM-5L-001</v>
      </c>
      <c r="P83" s="61">
        <v>280.0</v>
      </c>
    </row>
    <row r="84" ht="14.25" customHeight="1">
      <c r="A84" s="29" t="str">
        <f t="array" ref="A84">IFERROR(INDEX(Purchases!$D$5:$D$1004,MATCH(ROW()-4,Purchases!$L$5:$L$1004,0)),"")</f>
        <v>AC-CB-002</v>
      </c>
      <c r="B84" s="48" t="str">
        <f>IFERROR(VLOOKUP(A84,Purchases!$D:$E,2,FALSE),"")</f>
        <v>Premium Pet Collar Multicolor</v>
      </c>
      <c r="C84" s="48" t="str">
        <f>IFERROR(VLOOKUP(A84,Purchases!$D:$F,3,FALSE),"")</f>
        <v>Cat Accessories</v>
      </c>
      <c r="D84" s="48">
        <f>IF(A84="","",SUMIF(Purchases!$D:$D,A84,Purchases!$K:$K))</f>
        <v>12</v>
      </c>
      <c r="E84" s="48">
        <f>IF(A84="","",SUMIFS(Sales!$H:$H,Sales!$F:$F,A84,Sales!$B:$B,"&lt;&gt;Return"))</f>
        <v>10</v>
      </c>
      <c r="F84" s="48">
        <f>IF(A84="","",SUMIFS(Sales!$H:$H,Sales!$F:$F,A84,Sales!$B:$B,"Return"))</f>
        <v>0</v>
      </c>
      <c r="G84" s="48">
        <f>IF($A84="","",SUMIF('Shop Ledger'!$C:$C,$A84,'Shop Ledger'!$F:$F))</f>
        <v>0</v>
      </c>
      <c r="H84" s="48">
        <f t="shared" si="1"/>
        <v>2</v>
      </c>
      <c r="I84" s="44">
        <f>IF(A84="","",IFERROR(SUMIF(Purchases!$D:$D,A84,Purchases!$I:$I)/D84,0))</f>
        <v>37</v>
      </c>
      <c r="J84" s="44">
        <f t="shared" si="2"/>
        <v>74</v>
      </c>
      <c r="K84" s="30">
        <f>IF($A84="","",IFERROR(VALUE(SUBSTITUTE(SUBSTITUTE(SUBSTITUTE(VLOOKUP($A84,Inventory!$O$5:$P$604,2,FALSE),"Tk","")," ",""),",","")),""))</f>
        <v>75</v>
      </c>
      <c r="L84" s="58">
        <f t="shared" si="3"/>
        <v>0.5066666667</v>
      </c>
      <c r="M84" s="58">
        <f t="shared" si="4"/>
        <v>1.027027027</v>
      </c>
      <c r="O84" s="59" t="str">
        <f t="shared" si="5"/>
        <v>AC-CB-002</v>
      </c>
      <c r="P84" s="62">
        <v>75.0</v>
      </c>
    </row>
    <row r="85" ht="14.25" customHeight="1">
      <c r="A85" s="29" t="str">
        <f t="array" ref="A85">IFERROR(INDEX(Purchases!$D$5:$D$1004,MATCH(ROW()-4,Purchases!$L$5:$L$1004,0)),"")</f>
        <v>AC-CN-001</v>
      </c>
      <c r="B85" s="48" t="str">
        <f>IFERROR(VLOOKUP(A85,Purchases!$D:$E,2,FALSE),"")</f>
        <v>Cat Nip</v>
      </c>
      <c r="C85" s="48" t="str">
        <f>IFERROR(VLOOKUP(A85,Purchases!$D:$F,3,FALSE),"")</f>
        <v>Cat Accessories</v>
      </c>
      <c r="D85" s="48">
        <f>IF(A85="","",SUMIF(Purchases!$D:$D,A85,Purchases!$K:$K))</f>
        <v>2</v>
      </c>
      <c r="E85" s="48">
        <f>IF(A85="","",SUMIFS(Sales!$H:$H,Sales!$F:$F,A85,Sales!$B:$B,"&lt;&gt;Return"))</f>
        <v>1</v>
      </c>
      <c r="F85" s="48">
        <f>IF(A85="","",SUMIFS(Sales!$H:$H,Sales!$F:$F,A85,Sales!$B:$B,"Return"))</f>
        <v>0</v>
      </c>
      <c r="G85" s="48">
        <f>IF($A85="","",SUMIF('Shop Ledger'!$C:$C,$A85,'Shop Ledger'!$F:$F))</f>
        <v>0</v>
      </c>
      <c r="H85" s="48">
        <f t="shared" si="1"/>
        <v>1</v>
      </c>
      <c r="I85" s="44">
        <f>IF(A85="","",IFERROR(SUMIF(Purchases!$D:$D,A85,Purchases!$I:$I)/D85,0))</f>
        <v>120</v>
      </c>
      <c r="J85" s="44">
        <f t="shared" si="2"/>
        <v>120</v>
      </c>
      <c r="K85" s="30">
        <f>IF($A85="","",IFERROR(VALUE(SUBSTITUTE(SUBSTITUTE(SUBSTITUTE(VLOOKUP($A85,Inventory!$O$5:$P$604,2,FALSE),"Tk","")," ",""),",","")),""))</f>
        <v>180</v>
      </c>
      <c r="L85" s="58">
        <f t="shared" si="3"/>
        <v>0.3333333333</v>
      </c>
      <c r="M85" s="58">
        <f t="shared" si="4"/>
        <v>0.5</v>
      </c>
      <c r="O85" s="59" t="str">
        <f t="shared" si="5"/>
        <v>AC-CN-001</v>
      </c>
      <c r="P85" s="61">
        <v>180.0</v>
      </c>
    </row>
    <row r="86" ht="14.25" customHeight="1">
      <c r="A86" s="29" t="str">
        <f t="array" ref="A86">IFERROR(INDEX(Purchases!$D$5:$D$1004,MATCH(ROW()-4,Purchases!$L$5:$L$1004,0)),"")</f>
        <v>LT-AP-PM-5L-002</v>
      </c>
      <c r="B86" s="48" t="str">
        <f>IFERROR(VLOOKUP(A86,Purchases!$D:$E,2,FALSE),"")</f>
        <v>PetMetro Cat Litter Coffee 5L</v>
      </c>
      <c r="C86" s="48" t="str">
        <f>IFERROR(VLOOKUP(A86,Purchases!$D:$F,3,FALSE),"")</f>
        <v>Cat Litter</v>
      </c>
      <c r="D86" s="48">
        <f>IF(A86="","",SUMIF(Purchases!$D:$D,A86,Purchases!$K:$K))</f>
        <v>6</v>
      </c>
      <c r="E86" s="48">
        <f>IF(A86="","",SUMIFS(Sales!$H:$H,Sales!$F:$F,A86,Sales!$B:$B,"&lt;&gt;Return"))</f>
        <v>6</v>
      </c>
      <c r="F86" s="48">
        <f>IF(A86="","",SUMIFS(Sales!$H:$H,Sales!$F:$F,A86,Sales!$B:$B,"Return"))</f>
        <v>0</v>
      </c>
      <c r="G86" s="48">
        <f>IF($A86="","",SUMIF('Shop Ledger'!$C:$C,$A86,'Shop Ledger'!$F:$F))</f>
        <v>0</v>
      </c>
      <c r="H86" s="48">
        <f t="shared" si="1"/>
        <v>0</v>
      </c>
      <c r="I86" s="44">
        <f>IF(A86="","",IFERROR(SUMIF(Purchases!$D:$D,A86,Purchases!$I:$I)/D86,0))</f>
        <v>200</v>
      </c>
      <c r="J86" s="44">
        <f t="shared" si="2"/>
        <v>0</v>
      </c>
      <c r="K86" s="30">
        <f>IF($A86="","",IFERROR(VALUE(SUBSTITUTE(SUBSTITUTE(SUBSTITUTE(VLOOKUP($A86,Inventory!$O$5:$P$604,2,FALSE),"Tk","")," ",""),",","")),""))</f>
        <v>280</v>
      </c>
      <c r="L86" s="58">
        <f t="shared" si="3"/>
        <v>0.2857142857</v>
      </c>
      <c r="M86" s="58">
        <f t="shared" si="4"/>
        <v>0.4</v>
      </c>
      <c r="O86" s="59" t="str">
        <f t="shared" si="5"/>
        <v>LT-AP-PM-5L-002</v>
      </c>
      <c r="P86" s="62">
        <v>280.0</v>
      </c>
    </row>
    <row r="87" ht="13.5" customHeight="1">
      <c r="A87" s="29" t="str">
        <f t="array" ref="A87">IFERROR(INDEX(Purchases!$D$5:$D$1004,MATCH(ROW()-4,Purchases!$L$5:$L$1004,0)),"")</f>
        <v>FD-MX-0001</v>
      </c>
      <c r="B87" s="48" t="str">
        <f>IFERROR(VLOOKUP(A87,Purchases!$D:$E,2,FALSE),"")</f>
        <v>Drools &amp; Purepet Mixe Cat Food 500gm</v>
      </c>
      <c r="C87" s="48" t="str">
        <f>IFERROR(VLOOKUP(A87,Purchases!$D:$F,3,FALSE),"")</f>
        <v>Cat Food</v>
      </c>
      <c r="D87" s="48">
        <f>IF(A87="","",SUMIF(Purchases!$D:$D,A87,Purchases!$K:$K))</f>
        <v>58</v>
      </c>
      <c r="E87" s="48">
        <f>IF(A87="","",SUMIFS(Sales!$H:$H,Sales!$F:$F,A87,Sales!$B:$B,"&lt;&gt;Return"))</f>
        <v>43</v>
      </c>
      <c r="F87" s="48">
        <f>IF(A87="","",SUMIFS(Sales!$H:$H,Sales!$F:$F,A87,Sales!$B:$B,"Return"))</f>
        <v>0</v>
      </c>
      <c r="G87" s="48">
        <f>IF($A87="","",SUMIF('Shop Ledger'!$C:$C,$A87,'Shop Ledger'!$F:$F))</f>
        <v>0</v>
      </c>
      <c r="H87" s="48">
        <f t="shared" si="1"/>
        <v>15</v>
      </c>
      <c r="I87" s="44">
        <f>IF(A87="","",IFERROR(SUMIF(Purchases!$D:$D,A87,Purchases!$I:$I)/D87,0))</f>
        <v>152.9310345</v>
      </c>
      <c r="J87" s="44">
        <f t="shared" si="2"/>
        <v>2293.965517</v>
      </c>
      <c r="K87" s="30">
        <f>IF($A87="","",IFERROR(VALUE(SUBSTITUTE(SUBSTITUTE(SUBSTITUTE(VLOOKUP($A87,Inventory!$O$5:$P$604,2,FALSE),"Tk","")," ",""),",","")),""))</f>
        <v>225</v>
      </c>
      <c r="L87" s="58">
        <f t="shared" si="3"/>
        <v>0.3203065134</v>
      </c>
      <c r="M87" s="58">
        <f t="shared" si="4"/>
        <v>0.4712514092</v>
      </c>
      <c r="O87" s="59" t="str">
        <f t="shared" si="5"/>
        <v>FD-MX-0001</v>
      </c>
      <c r="P87" s="61">
        <v>225.0</v>
      </c>
    </row>
    <row r="88" ht="14.25" customHeight="1">
      <c r="A88" s="29" t="str">
        <f t="array" ref="A88">IFERROR(INDEX(Purchases!$D$5:$D$1004,MATCH(ROW()-4,Purchases!$L$5:$L$1004,0)),"")</f>
        <v>FD-DRY-JUN-KT-1.5KG-001</v>
      </c>
      <c r="B88" s="48" t="str">
        <f>IFERROR(VLOOKUP(A88,Purchases!$D:$E,2,FALSE),"")</f>
        <v>Jungle Kitten Dry Food Chicken</v>
      </c>
      <c r="C88" s="48" t="str">
        <f>IFERROR(VLOOKUP(A88,Purchases!$D:$F,3,FALSE),"")</f>
        <v>Cat Food</v>
      </c>
      <c r="D88" s="48">
        <f>IF(A88="","",SUMIF(Purchases!$D:$D,A88,Purchases!$K:$K))</f>
        <v>2</v>
      </c>
      <c r="E88" s="48">
        <f>IF(A88="","",SUMIFS(Sales!$H:$H,Sales!$F:$F,A88,Sales!$B:$B,"&lt;&gt;Return"))</f>
        <v>0</v>
      </c>
      <c r="F88" s="48">
        <f>IF(A88="","",SUMIFS(Sales!$H:$H,Sales!$F:$F,A88,Sales!$B:$B,"Return"))</f>
        <v>0</v>
      </c>
      <c r="G88" s="48">
        <f>IF($A88="","",SUMIF('Shop Ledger'!$C:$C,$A88,'Shop Ledger'!$F:$F))</f>
        <v>0</v>
      </c>
      <c r="H88" s="48">
        <f t="shared" si="1"/>
        <v>2</v>
      </c>
      <c r="I88" s="44">
        <f>IF(A88="","",IFERROR(SUMIF(Purchases!$D:$D,A88,Purchases!$I:$I)/D88,0))</f>
        <v>715</v>
      </c>
      <c r="J88" s="44">
        <f t="shared" si="2"/>
        <v>1430</v>
      </c>
      <c r="K88" s="30">
        <f>IF($A88="","",IFERROR(VALUE(SUBSTITUTE(SUBSTITUTE(SUBSTITUTE(VLOOKUP($A88,Inventory!$O$5:$P$604,2,FALSE),"Tk","")," ",""),",","")),""))</f>
        <v>900</v>
      </c>
      <c r="L88" s="58">
        <f t="shared" si="3"/>
        <v>0.2055555556</v>
      </c>
      <c r="M88" s="58">
        <f t="shared" si="4"/>
        <v>0.2587412587</v>
      </c>
      <c r="O88" s="59" t="str">
        <f t="shared" si="5"/>
        <v>FD-DRY-JUN-KT-1.5KG-001</v>
      </c>
      <c r="P88" s="62">
        <v>900.0</v>
      </c>
    </row>
    <row r="89" ht="14.25" customHeight="1">
      <c r="A89" s="29" t="str">
        <f t="array" ref="A89">IFERROR(INDEX(Purchases!$D$5:$D$1004,MATCH(ROW()-4,Purchases!$L$5:$L$1004,0)),"")</f>
        <v>FD-DRY-KVF-1.5KG-001</v>
      </c>
      <c r="B89" s="48" t="str">
        <f>IFERROR(VLOOKUP(A89,Purchases!$D:$E,2,FALSE),"")</f>
        <v>Kaniva Chicken, Tuna &amp; Rice Cat Food 1.5kg</v>
      </c>
      <c r="C89" s="48" t="str">
        <f>IFERROR(VLOOKUP(A89,Purchases!$D:$F,3,FALSE),"")</f>
        <v>Cat Food</v>
      </c>
      <c r="D89" s="48">
        <f>IF(A89="","",SUMIF(Purchases!$D:$D,A89,Purchases!$K:$K))</f>
        <v>6</v>
      </c>
      <c r="E89" s="48">
        <f>IF(A89="","",SUMIFS(Sales!$H:$H,Sales!$F:$F,A89,Sales!$B:$B,"&lt;&gt;Return"))</f>
        <v>0</v>
      </c>
      <c r="F89" s="48">
        <f>IF(A89="","",SUMIFS(Sales!$H:$H,Sales!$F:$F,A89,Sales!$B:$B,"Return"))</f>
        <v>0</v>
      </c>
      <c r="G89" s="48">
        <f>IF($A89="","",SUMIF('Shop Ledger'!$C:$C,$A89,'Shop Ledger'!$F:$F))</f>
        <v>1</v>
      </c>
      <c r="H89" s="48">
        <f t="shared" si="1"/>
        <v>5</v>
      </c>
      <c r="I89" s="44">
        <f>IF(A89="","",IFERROR(SUMIF(Purchases!$D:$D,A89,Purchases!$I:$I)/D89,0))</f>
        <v>780</v>
      </c>
      <c r="J89" s="44">
        <f t="shared" si="2"/>
        <v>3900</v>
      </c>
      <c r="K89" s="30">
        <f>IF($A89="","",IFERROR(VALUE(SUBSTITUTE(SUBSTITUTE(SUBSTITUTE(VLOOKUP($A89,Inventory!$O$5:$P$604,2,FALSE),"Tk","")," ",""),",","")),""))</f>
        <v>1050</v>
      </c>
      <c r="L89" s="58">
        <f t="shared" si="3"/>
        <v>0.2571428571</v>
      </c>
      <c r="M89" s="58">
        <f t="shared" si="4"/>
        <v>0.3461538462</v>
      </c>
      <c r="O89" s="59" t="str">
        <f t="shared" si="5"/>
        <v>FD-DRY-KVF-1.5KG-001</v>
      </c>
      <c r="P89" s="61">
        <v>1050.0</v>
      </c>
    </row>
    <row r="90" ht="14.25" customHeight="1">
      <c r="A90" s="29" t="str">
        <f t="array" ref="A90">IFERROR(INDEX(Purchases!$D$5:$D$1004,MATCH(ROW()-4,Purchases!$L$5:$L$1004,0)),"")</f>
        <v>LT-LM-LUM-5L-001</v>
      </c>
      <c r="B90" s="48" t="str">
        <f>IFERROR(VLOOKUP(A90,Purchases!$D:$E,2,FALSE),"")</f>
        <v>LuminaCat Litter Lemon 5L</v>
      </c>
      <c r="C90" s="48" t="str">
        <f>IFERROR(VLOOKUP(A90,Purchases!$D:$F,3,FALSE),"")</f>
        <v>Cat Litter</v>
      </c>
      <c r="D90" s="48">
        <f>IF(A90="","",SUMIF(Purchases!$D:$D,A90,Purchases!$K:$K))</f>
        <v>12</v>
      </c>
      <c r="E90" s="48">
        <f>IF(A90="","",SUMIFS(Sales!$H:$H,Sales!$F:$F,A90,Sales!$B:$B,"&lt;&gt;Return"))</f>
        <v>5</v>
      </c>
      <c r="F90" s="48">
        <f>IF(A90="","",SUMIFS(Sales!$H:$H,Sales!$F:$F,A90,Sales!$B:$B,"Return"))</f>
        <v>0</v>
      </c>
      <c r="G90" s="48">
        <f>IF($A90="","",SUMIF('Shop Ledger'!$C:$C,$A90,'Shop Ledger'!$F:$F))</f>
        <v>2</v>
      </c>
      <c r="H90" s="48">
        <f t="shared" si="1"/>
        <v>5</v>
      </c>
      <c r="I90" s="44">
        <f>IF(A90="","",IFERROR(SUMIF(Purchases!$D:$D,A90,Purchases!$I:$I)/D90,0))</f>
        <v>190</v>
      </c>
      <c r="J90" s="44">
        <f t="shared" si="2"/>
        <v>950</v>
      </c>
      <c r="K90" s="30">
        <f>IF($A90="","",IFERROR(VALUE(SUBSTITUTE(SUBSTITUTE(SUBSTITUTE(VLOOKUP($A90,Inventory!$O$5:$P$604,2,FALSE),"Tk","")," ",""),",","")),""))</f>
        <v>280</v>
      </c>
      <c r="L90" s="58">
        <f t="shared" si="3"/>
        <v>0.3214285714</v>
      </c>
      <c r="M90" s="58">
        <f t="shared" si="4"/>
        <v>0.4736842105</v>
      </c>
      <c r="O90" s="59" t="str">
        <f t="shared" si="5"/>
        <v>LT-LM-LUM-5L-001</v>
      </c>
      <c r="P90" s="62">
        <v>280.0</v>
      </c>
    </row>
    <row r="91" ht="14.25" customHeight="1">
      <c r="A91" s="29" t="str">
        <f t="array" ref="A91">IFERROR(INDEX(Purchases!$D$5:$D$1004,MATCH(ROW()-4,Purchases!$L$5:$L$1004,0)),"")</f>
        <v>LT-AP-LUM-5L-002</v>
      </c>
      <c r="B91" s="48" t="str">
        <f>IFERROR(VLOOKUP(A91,Purchases!$D:$E,2,FALSE),"")</f>
        <v>LuminaCat Litter Apple 5L</v>
      </c>
      <c r="C91" s="48" t="str">
        <f>IFERROR(VLOOKUP(A91,Purchases!$D:$F,3,FALSE),"")</f>
        <v>Cat Litter</v>
      </c>
      <c r="D91" s="48">
        <f>IF(A91="","",SUMIF(Purchases!$D:$D,A91,Purchases!$K:$K))</f>
        <v>6</v>
      </c>
      <c r="E91" s="48">
        <f>IF(A91="","",SUMIFS(Sales!$H:$H,Sales!$F:$F,A91,Sales!$B:$B,"&lt;&gt;Return"))</f>
        <v>2</v>
      </c>
      <c r="F91" s="48">
        <f>IF(A91="","",SUMIFS(Sales!$H:$H,Sales!$F:$F,A91,Sales!$B:$B,"Return"))</f>
        <v>0</v>
      </c>
      <c r="G91" s="48">
        <f>IF($A91="","",SUMIF('Shop Ledger'!$C:$C,$A91,'Shop Ledger'!$F:$F))</f>
        <v>2</v>
      </c>
      <c r="H91" s="48">
        <f t="shared" si="1"/>
        <v>2</v>
      </c>
      <c r="I91" s="44">
        <f>IF(A91="","",IFERROR(SUMIF(Purchases!$D:$D,A91,Purchases!$I:$I)/D91,0))</f>
        <v>190</v>
      </c>
      <c r="J91" s="44">
        <f t="shared" si="2"/>
        <v>380</v>
      </c>
      <c r="K91" s="30">
        <f>IF($A91="","",IFERROR(VALUE(SUBSTITUTE(SUBSTITUTE(SUBSTITUTE(VLOOKUP($A91,Inventory!$O$5:$P$604,2,FALSE),"Tk","")," ",""),",","")),""))</f>
        <v>280</v>
      </c>
      <c r="L91" s="58">
        <f t="shared" si="3"/>
        <v>0.3214285714</v>
      </c>
      <c r="M91" s="58">
        <f t="shared" si="4"/>
        <v>0.4736842105</v>
      </c>
      <c r="O91" s="59" t="str">
        <f t="shared" si="5"/>
        <v>LT-AP-LUM-5L-002</v>
      </c>
      <c r="P91" s="61">
        <v>280.0</v>
      </c>
    </row>
    <row r="92" ht="14.25" customHeight="1">
      <c r="A92" s="29" t="str">
        <f t="array" ref="A92">IFERROR(INDEX(Purchases!$D$5:$D$1004,MATCH(ROW()-4,Purchases!$L$5:$L$1004,0)),"")</f>
        <v>LT-CF-LUM-5L-003</v>
      </c>
      <c r="B92" s="48" t="str">
        <f>IFERROR(VLOOKUP(A92,Purchases!$D:$E,2,FALSE),"")</f>
        <v>LuminaCat Litter Coffee 5L</v>
      </c>
      <c r="C92" s="48" t="str">
        <f>IFERROR(VLOOKUP(A92,Purchases!$D:$F,3,FALSE),"")</f>
        <v>Cat Litter</v>
      </c>
      <c r="D92" s="48">
        <f>IF(A92="","",SUMIF(Purchases!$D:$D,A92,Purchases!$K:$K))</f>
        <v>6</v>
      </c>
      <c r="E92" s="48">
        <f>IF(A92="","",SUMIFS(Sales!$H:$H,Sales!$F:$F,A92,Sales!$B:$B,"&lt;&gt;Return"))</f>
        <v>2</v>
      </c>
      <c r="F92" s="48">
        <f>IF(A92="","",SUMIFS(Sales!$H:$H,Sales!$F:$F,A92,Sales!$B:$B,"Return"))</f>
        <v>0</v>
      </c>
      <c r="G92" s="48">
        <f>IF($A92="","",SUMIF('Shop Ledger'!$C:$C,$A92,'Shop Ledger'!$F:$F))</f>
        <v>0</v>
      </c>
      <c r="H92" s="48">
        <f t="shared" si="1"/>
        <v>4</v>
      </c>
      <c r="I92" s="44">
        <f>IF(A92="","",IFERROR(SUMIF(Purchases!$D:$D,A92,Purchases!$I:$I)/D92,0))</f>
        <v>190</v>
      </c>
      <c r="J92" s="44">
        <f t="shared" si="2"/>
        <v>760</v>
      </c>
      <c r="K92" s="30">
        <f>IF($A92="","",IFERROR(VALUE(SUBSTITUTE(SUBSTITUTE(SUBSTITUTE(VLOOKUP($A92,Inventory!$O$5:$P$604,2,FALSE),"Tk","")," ",""),",","")),""))</f>
        <v>280</v>
      </c>
      <c r="L92" s="58">
        <f t="shared" si="3"/>
        <v>0.3214285714</v>
      </c>
      <c r="M92" s="58">
        <f t="shared" si="4"/>
        <v>0.4736842105</v>
      </c>
      <c r="O92" s="59" t="str">
        <f t="shared" si="5"/>
        <v>LT-CF-LUM-5L-003</v>
      </c>
      <c r="P92" s="62">
        <v>280.0</v>
      </c>
    </row>
    <row r="93" ht="14.25" customHeight="1">
      <c r="A93" s="29" t="str">
        <f t="array" ref="A93">IFERROR(INDEX(Purchases!$D$5:$D$1004,MATCH(ROW()-4,Purchases!$L$5:$L$1004,0)),"")</f>
        <v>LT-LV-LUM-5L-004</v>
      </c>
      <c r="B93" s="48" t="str">
        <f>IFERROR(VLOOKUP(A93,Purchases!$D:$E,2,FALSE),"")</f>
        <v>Lumina Cat Litter Lavender 5L</v>
      </c>
      <c r="C93" s="48" t="str">
        <f>IFERROR(VLOOKUP(A93,Purchases!$D:$F,3,FALSE),"")</f>
        <v>Cat Litter</v>
      </c>
      <c r="D93" s="48">
        <f>IF(A93="","",SUMIF(Purchases!$D:$D,A93,Purchases!$K:$K))</f>
        <v>12</v>
      </c>
      <c r="E93" s="48">
        <f>IF(A93="","",SUMIFS(Sales!$H:$H,Sales!$F:$F,A93,Sales!$B:$B,"&lt;&gt;Return"))</f>
        <v>7</v>
      </c>
      <c r="F93" s="48">
        <f>IF(A93="","",SUMIFS(Sales!$H:$H,Sales!$F:$F,A93,Sales!$B:$B,"Return"))</f>
        <v>0</v>
      </c>
      <c r="G93" s="48">
        <f>IF($A93="","",SUMIF('Shop Ledger'!$C:$C,$A93,'Shop Ledger'!$F:$F))</f>
        <v>3</v>
      </c>
      <c r="H93" s="48">
        <f t="shared" si="1"/>
        <v>2</v>
      </c>
      <c r="I93" s="44">
        <f>IF(A93="","",IFERROR(SUMIF(Purchases!$D:$D,A93,Purchases!$I:$I)/D93,0))</f>
        <v>190</v>
      </c>
      <c r="J93" s="44">
        <f t="shared" si="2"/>
        <v>380</v>
      </c>
      <c r="K93" s="30">
        <f>IF($A93="","",IFERROR(VALUE(SUBSTITUTE(SUBSTITUTE(SUBSTITUTE(VLOOKUP($A93,Inventory!$O$5:$P$604,2,FALSE),"Tk","")," ",""),",","")),""))</f>
        <v>280</v>
      </c>
      <c r="L93" s="58">
        <f t="shared" si="3"/>
        <v>0.3214285714</v>
      </c>
      <c r="M93" s="58">
        <f t="shared" si="4"/>
        <v>0.4736842105</v>
      </c>
      <c r="O93" s="59" t="str">
        <f t="shared" si="5"/>
        <v>LT-LV-LUM-5L-004</v>
      </c>
      <c r="P93" s="61">
        <v>280.0</v>
      </c>
    </row>
    <row r="94" ht="14.25" customHeight="1">
      <c r="A94" s="29" t="str">
        <f t="array" ref="A94">IFERROR(INDEX(Purchases!$D$5:$D$1004,MATCH(ROW()-4,Purchases!$L$5:$L$1004,0)),"")</f>
        <v>LT-LM-NT-10L-001</v>
      </c>
      <c r="B94" s="48" t="str">
        <f>IFERROR(VLOOKUP(A94,Purchases!$D:$E,2,FALSE),"")</f>
        <v>Naughty Tail Cat Litter Lemon 10L</v>
      </c>
      <c r="C94" s="48" t="str">
        <f>IFERROR(VLOOKUP(A94,Purchases!$D:$F,3,FALSE),"")</f>
        <v>Cat Litter</v>
      </c>
      <c r="D94" s="48">
        <f>IF(A94="","",SUMIF(Purchases!$D:$D,A94,Purchases!$K:$K))</f>
        <v>3</v>
      </c>
      <c r="E94" s="48">
        <f>IF(A94="","",SUMIFS(Sales!$H:$H,Sales!$F:$F,A94,Sales!$B:$B,"&lt;&gt;Return"))</f>
        <v>0</v>
      </c>
      <c r="F94" s="48">
        <f>IF(A94="","",SUMIFS(Sales!$H:$H,Sales!$F:$F,A94,Sales!$B:$B,"Return"))</f>
        <v>0</v>
      </c>
      <c r="G94" s="48">
        <f>IF($A94="","",SUMIF('Shop Ledger'!$C:$C,$A94,'Shop Ledger'!$F:$F))</f>
        <v>0</v>
      </c>
      <c r="H94" s="48">
        <f t="shared" si="1"/>
        <v>3</v>
      </c>
      <c r="I94" s="44">
        <f>IF(A94="","",IFERROR(SUMIF(Purchases!$D:$D,A94,Purchases!$I:$I)/D94,0))</f>
        <v>385</v>
      </c>
      <c r="J94" s="44">
        <f t="shared" si="2"/>
        <v>1155</v>
      </c>
      <c r="K94" s="30">
        <f>IF($A94="","",IFERROR(VALUE(SUBSTITUTE(SUBSTITUTE(SUBSTITUTE(VLOOKUP($A94,Inventory!$O$5:$P$604,2,FALSE),"Tk","")," ",""),",","")),""))</f>
        <v>550</v>
      </c>
      <c r="L94" s="58">
        <f t="shared" si="3"/>
        <v>0.3</v>
      </c>
      <c r="M94" s="58">
        <f t="shared" si="4"/>
        <v>0.4285714286</v>
      </c>
      <c r="O94" s="59" t="str">
        <f t="shared" si="5"/>
        <v>LT-LM-NT-10L-001</v>
      </c>
      <c r="P94" s="62">
        <v>550.0</v>
      </c>
    </row>
    <row r="95" ht="14.25" customHeight="1">
      <c r="A95" s="29" t="str">
        <f t="array" ref="A95">IFERROR(INDEX(Purchases!$D$5:$D$1004,MATCH(ROW()-4,Purchases!$L$5:$L$1004,0)),"")</f>
        <v>LT-AP-LUM-10L-002</v>
      </c>
      <c r="B95" s="48" t="str">
        <f>IFERROR(VLOOKUP(A95,Purchases!$D:$E,2,FALSE),"")</f>
        <v>Lumina Cat Litter Apple 10L</v>
      </c>
      <c r="C95" s="48" t="str">
        <f>IFERROR(VLOOKUP(A95,Purchases!$D:$F,3,FALSE),"")</f>
        <v>Cat Litter</v>
      </c>
      <c r="D95" s="48">
        <f>IF(A95="","",SUMIF(Purchases!$D:$D,A95,Purchases!$K:$K))</f>
        <v>3</v>
      </c>
      <c r="E95" s="48">
        <f>IF(A95="","",SUMIFS(Sales!$H:$H,Sales!$F:$F,A95,Sales!$B:$B,"&lt;&gt;Return"))</f>
        <v>0</v>
      </c>
      <c r="F95" s="48">
        <f>IF(A95="","",SUMIFS(Sales!$H:$H,Sales!$F:$F,A95,Sales!$B:$B,"Return"))</f>
        <v>0</v>
      </c>
      <c r="G95" s="48">
        <f>IF($A95="","",SUMIF('Shop Ledger'!$C:$C,$A95,'Shop Ledger'!$F:$F))</f>
        <v>1</v>
      </c>
      <c r="H95" s="48">
        <f t="shared" si="1"/>
        <v>2</v>
      </c>
      <c r="I95" s="44">
        <f>IF(A95="","",IFERROR(SUMIF(Purchases!$D:$D,A95,Purchases!$I:$I)/D95,0))</f>
        <v>385</v>
      </c>
      <c r="J95" s="44">
        <f t="shared" si="2"/>
        <v>770</v>
      </c>
      <c r="K95" s="30">
        <f>IF($A95="","",IFERROR(VALUE(SUBSTITUTE(SUBSTITUTE(SUBSTITUTE(VLOOKUP($A95,Inventory!$O$5:$P$604,2,FALSE),"Tk","")," ",""),",","")),""))</f>
        <v>550</v>
      </c>
      <c r="L95" s="58">
        <f t="shared" si="3"/>
        <v>0.3</v>
      </c>
      <c r="M95" s="58">
        <f t="shared" si="4"/>
        <v>0.4285714286</v>
      </c>
      <c r="O95" s="59" t="str">
        <f t="shared" si="5"/>
        <v>LT-AP-LUM-10L-002</v>
      </c>
      <c r="P95" s="61">
        <v>550.0</v>
      </c>
    </row>
    <row r="96" ht="14.25" customHeight="1">
      <c r="A96" s="29" t="str">
        <f t="array" ref="A96">IFERROR(INDEX(Purchases!$D$5:$D$1004,MATCH(ROW()-4,Purchases!$L$5:$L$1004,0)),"")</f>
        <v>LT-CF-FT-10L-003</v>
      </c>
      <c r="B96" s="48" t="str">
        <f>IFERROR(VLOOKUP(A96,Purchases!$D:$E,2,FALSE),"")</f>
        <v>FrontTera Cat Litter Coffee 10L</v>
      </c>
      <c r="C96" s="48" t="str">
        <f>IFERROR(VLOOKUP(A96,Purchases!$D:$F,3,FALSE),"")</f>
        <v>Cat Litter</v>
      </c>
      <c r="D96" s="48">
        <f>IF(A96="","",SUMIF(Purchases!$D:$D,A96,Purchases!$K:$K))</f>
        <v>3</v>
      </c>
      <c r="E96" s="48">
        <f>IF(A96="","",SUMIFS(Sales!$H:$H,Sales!$F:$F,A96,Sales!$B:$B,"&lt;&gt;Return"))</f>
        <v>0</v>
      </c>
      <c r="F96" s="48">
        <f>IF(A96="","",SUMIFS(Sales!$H:$H,Sales!$F:$F,A96,Sales!$B:$B,"Return"))</f>
        <v>0</v>
      </c>
      <c r="G96" s="48">
        <f>IF($A96="","",SUMIF('Shop Ledger'!$C:$C,$A96,'Shop Ledger'!$F:$F))</f>
        <v>0</v>
      </c>
      <c r="H96" s="48">
        <f t="shared" si="1"/>
        <v>3</v>
      </c>
      <c r="I96" s="44">
        <f>IF(A96="","",IFERROR(SUMIF(Purchases!$D:$D,A96,Purchases!$I:$I)/D96,0))</f>
        <v>385</v>
      </c>
      <c r="J96" s="44">
        <f t="shared" si="2"/>
        <v>1155</v>
      </c>
      <c r="K96" s="30">
        <f>IF($A96="","",IFERROR(VALUE(SUBSTITUTE(SUBSTITUTE(SUBSTITUTE(VLOOKUP($A96,Inventory!$O$5:$P$604,2,FALSE),"Tk","")," ",""),",","")),""))</f>
        <v>550</v>
      </c>
      <c r="L96" s="58">
        <f t="shared" si="3"/>
        <v>0.3</v>
      </c>
      <c r="M96" s="58">
        <f t="shared" si="4"/>
        <v>0.4285714286</v>
      </c>
      <c r="O96" s="59" t="str">
        <f t="shared" si="5"/>
        <v>LT-CF-FT-10L-003</v>
      </c>
      <c r="P96" s="62">
        <v>550.0</v>
      </c>
    </row>
    <row r="97" ht="14.25" customHeight="1">
      <c r="A97" s="29" t="str">
        <f t="array" ref="A97">IFERROR(INDEX(Purchases!$D$5:$D$1004,MATCH(ROW()-4,Purchases!$L$5:$L$1004,0)),"")</f>
        <v>LT-LV-LUM-10L-004</v>
      </c>
      <c r="B97" s="48" t="str">
        <f>IFERROR(VLOOKUP(A97,Purchases!$D:$E,2,FALSE),"")</f>
        <v>Lumina Cat Litter Lavender 10L</v>
      </c>
      <c r="C97" s="48" t="str">
        <f>IFERROR(VLOOKUP(A97,Purchases!$D:$F,3,FALSE),"")</f>
        <v>Cat Litter</v>
      </c>
      <c r="D97" s="48">
        <f>IF(A97="","",SUMIF(Purchases!$D:$D,A97,Purchases!$K:$K))</f>
        <v>9</v>
      </c>
      <c r="E97" s="48">
        <f>IF(A97="","",SUMIFS(Sales!$H:$H,Sales!$F:$F,A97,Sales!$B:$B,"&lt;&gt;Return"))</f>
        <v>3</v>
      </c>
      <c r="F97" s="48">
        <f>IF(A97="","",SUMIFS(Sales!$H:$H,Sales!$F:$F,A97,Sales!$B:$B,"Return"))</f>
        <v>0</v>
      </c>
      <c r="G97" s="48">
        <f>IF($A97="","",SUMIF('Shop Ledger'!$C:$C,$A97,'Shop Ledger'!$F:$F))</f>
        <v>0</v>
      </c>
      <c r="H97" s="48">
        <f t="shared" si="1"/>
        <v>6</v>
      </c>
      <c r="I97" s="44">
        <f>IF(A97="","",IFERROR(SUMIF(Purchases!$D:$D,A97,Purchases!$I:$I)/D97,0))</f>
        <v>385</v>
      </c>
      <c r="J97" s="44">
        <f t="shared" si="2"/>
        <v>2310</v>
      </c>
      <c r="K97" s="30">
        <f>IF($A97="","",IFERROR(VALUE(SUBSTITUTE(SUBSTITUTE(SUBSTITUTE(VLOOKUP($A97,Inventory!$O$5:$P$604,2,FALSE),"Tk","")," ",""),",","")),""))</f>
        <v>550</v>
      </c>
      <c r="L97" s="58">
        <f t="shared" si="3"/>
        <v>0.3</v>
      </c>
      <c r="M97" s="58">
        <f t="shared" si="4"/>
        <v>0.4285714286</v>
      </c>
      <c r="O97" s="59" t="str">
        <f t="shared" si="5"/>
        <v>LT-LV-LUM-10L-004</v>
      </c>
      <c r="P97" s="61">
        <v>550.0</v>
      </c>
    </row>
    <row r="98" ht="14.25" customHeight="1">
      <c r="A98" s="29" t="str">
        <f t="array" ref="A98">IFERROR(INDEX(Purchases!$D$5:$D$1004,MATCH(ROW()-4,Purchases!$L$5:$L$1004,0)),"")</f>
        <v>LT-LM-LUM-25L-001</v>
      </c>
      <c r="B98" s="48" t="str">
        <f>IFERROR(VLOOKUP(A98,Purchases!$D:$E,2,FALSE),"")</f>
        <v>LuminaCat Litter Lemon 25L</v>
      </c>
      <c r="C98" s="48" t="str">
        <f>IFERROR(VLOOKUP(A98,Purchases!$D:$F,3,FALSE),"")</f>
        <v>Cat Litter</v>
      </c>
      <c r="D98" s="48">
        <f>IF(A98="","",SUMIF(Purchases!$D:$D,A98,Purchases!$K:$K))</f>
        <v>2</v>
      </c>
      <c r="E98" s="48">
        <f>IF(A98="","",SUMIFS(Sales!$H:$H,Sales!$F:$F,A98,Sales!$B:$B,"&lt;&gt;Return"))</f>
        <v>1</v>
      </c>
      <c r="F98" s="48">
        <f>IF(A98="","",SUMIFS(Sales!$H:$H,Sales!$F:$F,A98,Sales!$B:$B,"Return"))</f>
        <v>0</v>
      </c>
      <c r="G98" s="48">
        <f>IF($A98="","",SUMIF('Shop Ledger'!$C:$C,$A98,'Shop Ledger'!$F:$F))</f>
        <v>0</v>
      </c>
      <c r="H98" s="48">
        <f t="shared" si="1"/>
        <v>1</v>
      </c>
      <c r="I98" s="44">
        <f>IF(A98="","",IFERROR(SUMIF(Purchases!$D:$D,A98,Purchases!$I:$I)/D98,0))</f>
        <v>950</v>
      </c>
      <c r="J98" s="44">
        <f t="shared" si="2"/>
        <v>950</v>
      </c>
      <c r="K98" s="30">
        <f>IF($A98="","",IFERROR(VALUE(SUBSTITUTE(SUBSTITUTE(SUBSTITUTE(VLOOKUP($A98,Inventory!$O$5:$P$604,2,FALSE),"Tk","")," ",""),",","")),""))</f>
        <v>1350</v>
      </c>
      <c r="L98" s="58">
        <f t="shared" si="3"/>
        <v>0.2962962963</v>
      </c>
      <c r="M98" s="58">
        <f t="shared" si="4"/>
        <v>0.4210526316</v>
      </c>
      <c r="O98" s="59" t="str">
        <f t="shared" si="5"/>
        <v>LT-LM-LUM-25L-001</v>
      </c>
      <c r="P98" s="62">
        <v>1350.0</v>
      </c>
    </row>
    <row r="99" ht="14.25" customHeight="1">
      <c r="A99" s="29" t="str">
        <f t="array" ref="A99">IFERROR(INDEX(Purchases!$D$5:$D$1004,MATCH(ROW()-4,Purchases!$L$5:$L$1004,0)),"")</f>
        <v>LT-LV-LUM-25L-002</v>
      </c>
      <c r="B99" s="48" t="str">
        <f>IFERROR(VLOOKUP(A99,Purchases!$D:$E,2,FALSE),"")</f>
        <v>LuminaCat Litter Lavender 25L</v>
      </c>
      <c r="C99" s="48" t="str">
        <f>IFERROR(VLOOKUP(A99,Purchases!$D:$F,3,FALSE),"")</f>
        <v>Cat Litter</v>
      </c>
      <c r="D99" s="48">
        <f>IF(A99="","",SUMIF(Purchases!$D:$D,A99,Purchases!$K:$K))</f>
        <v>2</v>
      </c>
      <c r="E99" s="48">
        <f>IF(A99="","",SUMIFS(Sales!$H:$H,Sales!$F:$F,A99,Sales!$B:$B,"&lt;&gt;Return"))</f>
        <v>2</v>
      </c>
      <c r="F99" s="48">
        <f>IF(A99="","",SUMIFS(Sales!$H:$H,Sales!$F:$F,A99,Sales!$B:$B,"Return"))</f>
        <v>0</v>
      </c>
      <c r="G99" s="48">
        <f>IF($A99="","",SUMIF('Shop Ledger'!$C:$C,$A99,'Shop Ledger'!$F:$F))</f>
        <v>0</v>
      </c>
      <c r="H99" s="48">
        <f t="shared" si="1"/>
        <v>0</v>
      </c>
      <c r="I99" s="44">
        <f>IF(A99="","",IFERROR(SUMIF(Purchases!$D:$D,A99,Purchases!$I:$I)/D99,0))</f>
        <v>950</v>
      </c>
      <c r="J99" s="44">
        <f t="shared" si="2"/>
        <v>0</v>
      </c>
      <c r="K99" s="30">
        <f>IF($A99="","",IFERROR(VALUE(SUBSTITUTE(SUBSTITUTE(SUBSTITUTE(VLOOKUP($A99,Inventory!$O$5:$P$604,2,FALSE),"Tk","")," ",""),",","")),""))</f>
        <v>1350</v>
      </c>
      <c r="L99" s="58">
        <f t="shared" si="3"/>
        <v>0.2962962963</v>
      </c>
      <c r="M99" s="58">
        <f t="shared" si="4"/>
        <v>0.4210526316</v>
      </c>
      <c r="O99" s="59" t="str">
        <f t="shared" si="5"/>
        <v>LT-LV-LUM-25L-002</v>
      </c>
      <c r="P99" s="61">
        <v>1350.0</v>
      </c>
    </row>
    <row r="100" ht="14.25" customHeight="1">
      <c r="A100" s="29" t="str">
        <f t="array" ref="A100">IFERROR(INDEX(Purchases!$D$5:$D$1004,MATCH(ROW()-4,Purchases!$L$5:$L$1004,0)),"")</f>
        <v>LT-LV-FT-25L-002</v>
      </c>
      <c r="B100" s="48" t="str">
        <f>IFERROR(VLOOKUP(A100,Purchases!$D:$E,2,FALSE),"")</f>
        <v>FrontTera Cat Litter Apple 25L</v>
      </c>
      <c r="C100" s="48" t="str">
        <f>IFERROR(VLOOKUP(A100,Purchases!$D:$F,3,FALSE),"")</f>
        <v>Cat Litter</v>
      </c>
      <c r="D100" s="48">
        <f>IF(A100="","",SUMIF(Purchases!$D:$D,A100,Purchases!$K:$K))</f>
        <v>1</v>
      </c>
      <c r="E100" s="48">
        <f>IF(A100="","",SUMIFS(Sales!$H:$H,Sales!$F:$F,A100,Sales!$B:$B,"&lt;&gt;Return"))</f>
        <v>0</v>
      </c>
      <c r="F100" s="48">
        <f>IF(A100="","",SUMIFS(Sales!$H:$H,Sales!$F:$F,A100,Sales!$B:$B,"Return"))</f>
        <v>0</v>
      </c>
      <c r="G100" s="48">
        <f>IF($A100="","",SUMIF('Shop Ledger'!$C:$C,$A100,'Shop Ledger'!$F:$F))</f>
        <v>0</v>
      </c>
      <c r="H100" s="48">
        <f t="shared" si="1"/>
        <v>1</v>
      </c>
      <c r="I100" s="44">
        <f>IF(A100="","",IFERROR(SUMIF(Purchases!$D:$D,A100,Purchases!$I:$I)/D100,0))</f>
        <v>950</v>
      </c>
      <c r="J100" s="44">
        <f t="shared" si="2"/>
        <v>950</v>
      </c>
      <c r="K100" s="30">
        <f>IF($A100="","",IFERROR(VALUE(SUBSTITUTE(SUBSTITUTE(SUBSTITUTE(VLOOKUP($A100,Inventory!$O$5:$P$604,2,FALSE),"Tk","")," ",""),",","")),""))</f>
        <v>1350</v>
      </c>
      <c r="L100" s="58">
        <f t="shared" si="3"/>
        <v>0.2962962963</v>
      </c>
      <c r="M100" s="58">
        <f t="shared" si="4"/>
        <v>0.4210526316</v>
      </c>
      <c r="O100" s="59" t="str">
        <f t="shared" si="5"/>
        <v>LT-LV-FT-25L-002</v>
      </c>
      <c r="P100" s="62">
        <v>1350.0</v>
      </c>
    </row>
    <row r="101" ht="14.25" customHeight="1">
      <c r="A101" s="29" t="str">
        <f t="array" ref="A101">IFERROR(INDEX(Purchases!$D$5:$D$1004,MATCH(ROW()-4,Purchases!$L$5:$L$1004,0)),"")</f>
        <v>LT-CF-NT-25L-001</v>
      </c>
      <c r="B101" s="48" t="str">
        <f>IFERROR(VLOOKUP(A101,Purchases!$D:$E,2,FALSE),"")</f>
        <v>Naughty Tail Cat Litter Coffee 25L</v>
      </c>
      <c r="C101" s="48" t="str">
        <f>IFERROR(VLOOKUP(A101,Purchases!$D:$F,3,FALSE),"")</f>
        <v>Cat Litter</v>
      </c>
      <c r="D101" s="48">
        <f>IF(A101="","",SUMIF(Purchases!$D:$D,A101,Purchases!$K:$K))</f>
        <v>1</v>
      </c>
      <c r="E101" s="48">
        <f>IF(A101="","",SUMIFS(Sales!$H:$H,Sales!$F:$F,A101,Sales!$B:$B,"&lt;&gt;Return"))</f>
        <v>1</v>
      </c>
      <c r="F101" s="48">
        <f>IF(A101="","",SUMIFS(Sales!$H:$H,Sales!$F:$F,A101,Sales!$B:$B,"Return"))</f>
        <v>0</v>
      </c>
      <c r="G101" s="48">
        <f>IF($A101="","",SUMIF('Shop Ledger'!$C:$C,$A101,'Shop Ledger'!$F:$F))</f>
        <v>0</v>
      </c>
      <c r="H101" s="48">
        <f t="shared" si="1"/>
        <v>0</v>
      </c>
      <c r="I101" s="44">
        <f>IF(A101="","",IFERROR(SUMIF(Purchases!$D:$D,A101,Purchases!$I:$I)/D101,0))</f>
        <v>950</v>
      </c>
      <c r="J101" s="44">
        <f t="shared" si="2"/>
        <v>0</v>
      </c>
      <c r="K101" s="30">
        <f>IF($A101="","",IFERROR(VALUE(SUBSTITUTE(SUBSTITUTE(SUBSTITUTE(VLOOKUP($A101,Inventory!$O$5:$P$604,2,FALSE),"Tk","")," ",""),",","")),""))</f>
        <v>1350</v>
      </c>
      <c r="L101" s="58">
        <f t="shared" si="3"/>
        <v>0.2962962963</v>
      </c>
      <c r="M101" s="58">
        <f t="shared" si="4"/>
        <v>0.4210526316</v>
      </c>
      <c r="O101" s="59" t="str">
        <f t="shared" si="5"/>
        <v>LT-CF-NT-25L-001</v>
      </c>
      <c r="P101" s="61">
        <v>1350.0</v>
      </c>
    </row>
    <row r="102" ht="14.25" customHeight="1">
      <c r="A102" s="29" t="str">
        <f t="array" ref="A102">IFERROR(INDEX(Purchases!$D$5:$D$1004,MATCH(ROW()-4,Purchases!$L$5:$L$1004,0)),"")</f>
        <v>PO-KYF-100G-001</v>
      </c>
      <c r="B102" s="48" t="str">
        <f>IFERROR(VLOOKUP(A102,Purchases!$D:$E,2,FALSE),"")</f>
        <v>Keyf Treat Pouch </v>
      </c>
      <c r="C102" s="48" t="str">
        <f>IFERROR(VLOOKUP(A102,Purchases!$D:$F,3,FALSE),"")</f>
        <v>Cat Pouch</v>
      </c>
      <c r="D102" s="48">
        <f>IF(A102="","",SUMIF(Purchases!$D:$D,A102,Purchases!$K:$K))</f>
        <v>24</v>
      </c>
      <c r="E102" s="48">
        <f>IF(A102="","",SUMIFS(Sales!$H:$H,Sales!$F:$F,A102,Sales!$B:$B,"&lt;&gt;Return"))</f>
        <v>0</v>
      </c>
      <c r="F102" s="48">
        <f>IF(A102="","",SUMIFS(Sales!$H:$H,Sales!$F:$F,A102,Sales!$B:$B,"Return"))</f>
        <v>0</v>
      </c>
      <c r="G102" s="48">
        <f>IF($A102="","",SUMIF('Shop Ledger'!$C:$C,$A102,'Shop Ledger'!$F:$F))</f>
        <v>0</v>
      </c>
      <c r="H102" s="48">
        <f t="shared" si="1"/>
        <v>24</v>
      </c>
      <c r="I102" s="44">
        <f>IF(A102="","",IFERROR(SUMIF(Purchases!$D:$D,A102,Purchases!$I:$I)/D102,0))</f>
        <v>85</v>
      </c>
      <c r="J102" s="44">
        <f t="shared" si="2"/>
        <v>2040</v>
      </c>
      <c r="K102" s="30">
        <f>IF($A102="","",IFERROR(VALUE(SUBSTITUTE(SUBSTITUTE(SUBSTITUTE(VLOOKUP($A102,Inventory!$O$5:$P$604,2,FALSE),"Tk","")," ",""),",","")),""))</f>
        <v>110</v>
      </c>
      <c r="L102" s="58">
        <f t="shared" si="3"/>
        <v>0.2272727273</v>
      </c>
      <c r="M102" s="58">
        <f t="shared" si="4"/>
        <v>0.2941176471</v>
      </c>
      <c r="O102" s="59" t="str">
        <f t="shared" si="5"/>
        <v>PO-KYF-100G-001</v>
      </c>
      <c r="P102" s="62">
        <v>110.0</v>
      </c>
    </row>
    <row r="103" ht="14.25" customHeight="1">
      <c r="A103" s="29" t="str">
        <f t="array" ref="A103">IFERROR(INDEX(Purchases!$D$5:$D$1004,MATCH(ROW()-4,Purchases!$L$5:$L$1004,0)),"")</f>
        <v>PO-Fuya-100G-001</v>
      </c>
      <c r="B103" s="48" t="str">
        <f>IFERROR(VLOOKUP(A103,Purchases!$D:$E,2,FALSE),"")</f>
        <v>Fuya Pouch</v>
      </c>
      <c r="C103" s="48" t="str">
        <f>IFERROR(VLOOKUP(A103,Purchases!$D:$F,3,FALSE),"")</f>
        <v>Cat Pouch</v>
      </c>
      <c r="D103" s="48">
        <f>IF(A103="","",SUMIF(Purchases!$D:$D,A103,Purchases!$K:$K))</f>
        <v>12</v>
      </c>
      <c r="E103" s="48">
        <f>IF(A103="","",SUMIFS(Sales!$H:$H,Sales!$F:$F,A103,Sales!$B:$B,"&lt;&gt;Return"))</f>
        <v>0</v>
      </c>
      <c r="F103" s="48">
        <f>IF(A103="","",SUMIFS(Sales!$H:$H,Sales!$F:$F,A103,Sales!$B:$B,"Return"))</f>
        <v>0</v>
      </c>
      <c r="G103" s="48">
        <f>IF($A103="","",SUMIF('Shop Ledger'!$C:$C,$A103,'Shop Ledger'!$F:$F))</f>
        <v>0</v>
      </c>
      <c r="H103" s="48">
        <f t="shared" si="1"/>
        <v>12</v>
      </c>
      <c r="I103" s="44">
        <f>IF(A103="","",IFERROR(SUMIF(Purchases!$D:$D,A103,Purchases!$I:$I)/D103,0))</f>
        <v>85</v>
      </c>
      <c r="J103" s="44">
        <f t="shared" si="2"/>
        <v>1020</v>
      </c>
      <c r="K103" s="30">
        <f>IF($A103="","",IFERROR(VALUE(SUBSTITUTE(SUBSTITUTE(SUBSTITUTE(VLOOKUP($A103,Inventory!$O$5:$P$604,2,FALSE),"Tk","")," ",""),",","")),""))</f>
        <v>110</v>
      </c>
      <c r="L103" s="58">
        <f t="shared" si="3"/>
        <v>0.2272727273</v>
      </c>
      <c r="M103" s="58">
        <f t="shared" si="4"/>
        <v>0.2941176471</v>
      </c>
      <c r="O103" s="59" t="str">
        <f t="shared" si="5"/>
        <v>PO-Fuya-100G-001</v>
      </c>
      <c r="P103" s="61">
        <v>110.0</v>
      </c>
    </row>
    <row r="104" ht="13.5" customHeight="1">
      <c r="A104" s="29" t="str">
        <f t="array" ref="A104">IFERROR(INDEX(Purchases!$D$5:$D$1004,MATCH(ROW()-4,Purchases!$L$5:$L$1004,0)),"")</f>
        <v>FD-MX-0002</v>
      </c>
      <c r="B104" s="48" t="str">
        <f>IFERROR(VLOOKUP(A104,Purchases!$D:$E,2,FALSE),"")</f>
        <v>Drools &amp; Purepet Mixe Cat Food 250gm</v>
      </c>
      <c r="C104" s="48" t="str">
        <f>IFERROR(VLOOKUP(A104,Purchases!$D:$F,3,FALSE),"")</f>
        <v>Cat Food</v>
      </c>
      <c r="D104" s="48">
        <f>IF(A104="","",SUMIF(Purchases!$D:$D,A104,Purchases!$K:$K))</f>
        <v>9</v>
      </c>
      <c r="E104" s="48">
        <f>IF(A104="","",SUMIFS(Sales!$H:$H,Sales!$F:$F,A104,Sales!$B:$B,"&lt;&gt;Return"))</f>
        <v>9</v>
      </c>
      <c r="F104" s="48">
        <f>IF(A104="","",SUMIFS(Sales!$H:$H,Sales!$F:$F,A104,Sales!$B:$B,"Return"))</f>
        <v>0</v>
      </c>
      <c r="G104" s="48">
        <f>IF($A104="","",SUMIF('Shop Ledger'!$C:$C,$A104,'Shop Ledger'!$F:$F))</f>
        <v>0</v>
      </c>
      <c r="H104" s="48">
        <f t="shared" si="1"/>
        <v>0</v>
      </c>
      <c r="I104" s="44">
        <f>IF(A104="","",IFERROR(SUMIF(Purchases!$D:$D,A104,Purchases!$I:$I)/D104,0))</f>
        <v>75.28333333</v>
      </c>
      <c r="J104" s="44">
        <f t="shared" si="2"/>
        <v>0</v>
      </c>
      <c r="K104" s="30">
        <f>IF($A104="","",IFERROR(VALUE(SUBSTITUTE(SUBSTITUTE(SUBSTITUTE(VLOOKUP($A104,Inventory!$O$5:$P$604,2,FALSE),"Tk","")," ",""),",","")),""))</f>
        <v>120</v>
      </c>
      <c r="L104" s="58">
        <f t="shared" si="3"/>
        <v>0.3726388889</v>
      </c>
      <c r="M104" s="58">
        <f t="shared" si="4"/>
        <v>0.5939783042</v>
      </c>
      <c r="O104" s="59" t="str">
        <f t="shared" si="5"/>
        <v>FD-MX-0002</v>
      </c>
      <c r="P104" s="62">
        <v>120.0</v>
      </c>
    </row>
    <row r="105" ht="14.25" customHeight="1">
      <c r="A105" s="29" t="str">
        <f t="array" ref="A105">IFERROR(INDEX(Purchases!$D$5:$D$1004,MATCH(ROW()-4,Purchases!$L$5:$L$1004,0)),"")</f>
        <v>FD-DRY-DR-CAT-0001</v>
      </c>
      <c r="B105" s="48" t="str">
        <f>IFERROR(VLOOKUP(A105,Purchases!$D:$E,2,FALSE),"")</f>
        <v>Drools Adult Cat Food Ocean Fish 7kg</v>
      </c>
      <c r="C105" s="48" t="str">
        <f>IFERROR(VLOOKUP(A105,Purchases!$D:$F,3,FALSE),"")</f>
        <v>Cat Food</v>
      </c>
      <c r="D105" s="48">
        <f>IF(A105="","",SUMIF(Purchases!$D:$D,A105,Purchases!$K:$K))</f>
        <v>1</v>
      </c>
      <c r="E105" s="48">
        <f>IF(A105="","",SUMIFS(Sales!$H:$H,Sales!$F:$F,A105,Sales!$B:$B,"&lt;&gt;Return"))</f>
        <v>0</v>
      </c>
      <c r="F105" s="48">
        <f>IF(A105="","",SUMIFS(Sales!$H:$H,Sales!$F:$F,A105,Sales!$B:$B,"Return"))</f>
        <v>0</v>
      </c>
      <c r="G105" s="48">
        <f>IF($A105="","",SUMIF('Shop Ledger'!$C:$C,$A105,'Shop Ledger'!$F:$F))</f>
        <v>0</v>
      </c>
      <c r="H105" s="48">
        <f t="shared" si="1"/>
        <v>1</v>
      </c>
      <c r="I105" s="44">
        <f>IF(A105="","",IFERROR(SUMIF(Purchases!$D:$D,A105,Purchases!$I:$I)/D105,0))</f>
        <v>2200</v>
      </c>
      <c r="J105" s="44">
        <f t="shared" si="2"/>
        <v>2200</v>
      </c>
      <c r="K105" s="30">
        <f>IF($A105="","",IFERROR(VALUE(SUBSTITUTE(SUBSTITUTE(SUBSTITUTE(VLOOKUP($A105,Inventory!$O$5:$P$604,2,FALSE),"Tk","")," ",""),",","")),""))</f>
        <v>2700</v>
      </c>
      <c r="L105" s="58">
        <f t="shared" si="3"/>
        <v>0.1851851852</v>
      </c>
      <c r="M105" s="58">
        <f t="shared" si="4"/>
        <v>0.2272727273</v>
      </c>
      <c r="O105" s="59" t="str">
        <f t="shared" si="5"/>
        <v>FD-DRY-DR-CAT-0001</v>
      </c>
      <c r="P105" s="61">
        <v>2700.0</v>
      </c>
    </row>
    <row r="106" ht="14.25" customHeight="1">
      <c r="A106" s="29" t="str">
        <f t="array" ref="A106">IFERROR(INDEX(Purchases!$D$5:$D$1004,MATCH(ROW()-4,Purchases!$L$5:$L$1004,0)),"")</f>
        <v>TR-DR-BIS-110G-001</v>
      </c>
      <c r="B106" s="48" t="str">
        <f>IFERROR(VLOOKUP(A106,Purchases!$D:$E,2,FALSE),"")</f>
        <v>Drools Cat Biscuit 110gm</v>
      </c>
      <c r="C106" s="48" t="str">
        <f>IFERROR(VLOOKUP(A106,Purchases!$D:$F,3,FALSE),"")</f>
        <v>Cat Treat</v>
      </c>
      <c r="D106" s="48">
        <f>IF(A106="","",SUMIF(Purchases!$D:$D,A106,Purchases!$K:$K))</f>
        <v>2</v>
      </c>
      <c r="E106" s="48">
        <f>IF(A106="","",SUMIFS(Sales!$H:$H,Sales!$F:$F,A106,Sales!$B:$B,"&lt;&gt;Return"))</f>
        <v>0</v>
      </c>
      <c r="F106" s="48">
        <f>IF(A106="","",SUMIFS(Sales!$H:$H,Sales!$F:$F,A106,Sales!$B:$B,"Return"))</f>
        <v>0</v>
      </c>
      <c r="G106" s="48">
        <f>IF($A106="","",SUMIF('Shop Ledger'!$C:$C,$A106,'Shop Ledger'!$F:$F))</f>
        <v>0</v>
      </c>
      <c r="H106" s="48">
        <f t="shared" si="1"/>
        <v>2</v>
      </c>
      <c r="I106" s="44">
        <f>IF(A106="","",IFERROR(SUMIF(Purchases!$D:$D,A106,Purchases!$I:$I)/D106,0))</f>
        <v>150</v>
      </c>
      <c r="J106" s="44">
        <f t="shared" si="2"/>
        <v>300</v>
      </c>
      <c r="K106" s="30">
        <f>IF($A106="","",IFERROR(VALUE(SUBSTITUTE(SUBSTITUTE(SUBSTITUTE(VLOOKUP($A106,Inventory!$O$5:$P$604,2,FALSE),"Tk","")," ",""),",","")),""))</f>
        <v>200</v>
      </c>
      <c r="L106" s="58">
        <f t="shared" si="3"/>
        <v>0.25</v>
      </c>
      <c r="M106" s="58">
        <f t="shared" si="4"/>
        <v>0.3333333333</v>
      </c>
      <c r="O106" s="59" t="str">
        <f t="shared" si="5"/>
        <v>TR-DR-BIS-110G-001</v>
      </c>
      <c r="P106" s="62">
        <v>200.0</v>
      </c>
    </row>
    <row r="107" ht="14.25" customHeight="1">
      <c r="A107" s="29" t="str">
        <f t="array" ref="A107">IFERROR(INDEX(Purchases!$D$5:$D$1004,MATCH(ROW()-4,Purchases!$L$5:$L$1004,0)),"")</f>
        <v>AC-PETME-001</v>
      </c>
      <c r="B107" s="48" t="str">
        <f>IFERROR(VLOOKUP(A107,Purchases!$D:$E,2,FALSE),"")</f>
        <v>PetMe Jel 30gm</v>
      </c>
      <c r="C107" s="48" t="str">
        <f>IFERROR(VLOOKUP(A107,Purchases!$D:$F,3,FALSE),"")</f>
        <v>Cat Accessories</v>
      </c>
      <c r="D107" s="48">
        <f>IF(A107="","",SUMIF(Purchases!$D:$D,A107,Purchases!$K:$K))</f>
        <v>1</v>
      </c>
      <c r="E107" s="48">
        <f>IF(A107="","",SUMIFS(Sales!$H:$H,Sales!$F:$F,A107,Sales!$B:$B,"&lt;&gt;Return"))</f>
        <v>1</v>
      </c>
      <c r="F107" s="48">
        <f>IF(A107="","",SUMIFS(Sales!$H:$H,Sales!$F:$F,A107,Sales!$B:$B,"Return"))</f>
        <v>0</v>
      </c>
      <c r="G107" s="48">
        <f>IF($A107="","",SUMIF('Shop Ledger'!$C:$C,$A107,'Shop Ledger'!$F:$F))</f>
        <v>0</v>
      </c>
      <c r="H107" s="48">
        <f t="shared" si="1"/>
        <v>0</v>
      </c>
      <c r="I107" s="44">
        <f>IF(A107="","",IFERROR(SUMIF(Purchases!$D:$D,A107,Purchases!$I:$I)/D107,0))</f>
        <v>370</v>
      </c>
      <c r="J107" s="44">
        <f t="shared" si="2"/>
        <v>0</v>
      </c>
      <c r="K107" s="30">
        <f>IF($A107="","",IFERROR(VALUE(SUBSTITUTE(SUBSTITUTE(SUBSTITUTE(VLOOKUP($A107,Inventory!$O$5:$P$604,2,FALSE),"Tk","")," ",""),",","")),""))</f>
        <v>430</v>
      </c>
      <c r="L107" s="58">
        <f t="shared" si="3"/>
        <v>0.1395348837</v>
      </c>
      <c r="M107" s="58">
        <f t="shared" si="4"/>
        <v>0.1621621622</v>
      </c>
      <c r="O107" s="59" t="str">
        <f t="shared" si="5"/>
        <v>AC-PETME-001</v>
      </c>
      <c r="P107" s="61">
        <v>430.0</v>
      </c>
    </row>
    <row r="108" ht="14.25" customHeight="1">
      <c r="A108" s="29" t="str">
        <f t="array" ref="A108">IFERROR(INDEX(Purchases!$D$5:$D$1004,MATCH(ROW()-4,Purchases!$L$5:$L$1004,0)),"")</f>
        <v>FD-DRY-Taipet-400G-001</v>
      </c>
      <c r="B108" s="48" t="str">
        <f>IFERROR(VLOOKUP(A108,Purchases!$D:$E,2,FALSE),"")</f>
        <v>Taipet Adult Dry Cat Food Chicken &amp; Tuna 400gm</v>
      </c>
      <c r="C108" s="48" t="str">
        <f>IFERROR(VLOOKUP(A108,Purchases!$D:$F,3,FALSE),"")</f>
        <v>Cat Food</v>
      </c>
      <c r="D108" s="48">
        <f>IF(A108="","",SUMIF(Purchases!$D:$D,A108,Purchases!$K:$K))</f>
        <v>3</v>
      </c>
      <c r="E108" s="48">
        <f>IF(A108="","",SUMIFS(Sales!$H:$H,Sales!$F:$F,A108,Sales!$B:$B,"&lt;&gt;Return"))</f>
        <v>1</v>
      </c>
      <c r="F108" s="48">
        <f>IF(A108="","",SUMIFS(Sales!$H:$H,Sales!$F:$F,A108,Sales!$B:$B,"Return"))</f>
        <v>0</v>
      </c>
      <c r="G108" s="48">
        <f>IF($A108="","",SUMIF('Shop Ledger'!$C:$C,$A108,'Shop Ledger'!$F:$F))</f>
        <v>0</v>
      </c>
      <c r="H108" s="48">
        <f t="shared" si="1"/>
        <v>2</v>
      </c>
      <c r="I108" s="44">
        <f>IF(A108="","",IFERROR(SUMIF(Purchases!$D:$D,A108,Purchases!$I:$I)/D108,0))</f>
        <v>135</v>
      </c>
      <c r="J108" s="44">
        <f t="shared" si="2"/>
        <v>270</v>
      </c>
      <c r="K108" s="30">
        <f>IF($A108="","",IFERROR(VALUE(SUBSTITUTE(SUBSTITUTE(SUBSTITUTE(VLOOKUP($A108,Inventory!$O$5:$P$604,2,FALSE),"Tk","")," ",""),",","")),""))</f>
        <v>175</v>
      </c>
      <c r="L108" s="58">
        <f t="shared" si="3"/>
        <v>0.2285714286</v>
      </c>
      <c r="M108" s="58">
        <f t="shared" si="4"/>
        <v>0.2962962963</v>
      </c>
      <c r="O108" s="59" t="str">
        <f t="shared" si="5"/>
        <v>FD-DRY-Taipet-400G-001</v>
      </c>
      <c r="P108" s="62">
        <v>175.0</v>
      </c>
    </row>
    <row r="109" ht="14.25" customHeight="1">
      <c r="A109" s="29" t="str">
        <f t="array" ref="A109">IFERROR(INDEX(Purchases!$D$5:$D$1004,MATCH(ROW()-4,Purchases!$L$5:$L$1004,0)),"")</f>
        <v>FD-DRY-Taipet-KT-400G-002</v>
      </c>
      <c r="B109" s="48" t="str">
        <f>IFERROR(VLOOKUP(A109,Purchases!$D:$E,2,FALSE),"")</f>
        <v>Taipet Kitten Dry Cat Food Chicken Milk &amp; Fish 400gm</v>
      </c>
      <c r="C109" s="48" t="str">
        <f>IFERROR(VLOOKUP(A109,Purchases!$D:$F,3,FALSE),"")</f>
        <v>Cat Food</v>
      </c>
      <c r="D109" s="48">
        <f>IF(A109="","",SUMIF(Purchases!$D:$D,A109,Purchases!$K:$K))</f>
        <v>3</v>
      </c>
      <c r="E109" s="48">
        <f>IF(A109="","",SUMIFS(Sales!$H:$H,Sales!$F:$F,A109,Sales!$B:$B,"&lt;&gt;Return"))</f>
        <v>2</v>
      </c>
      <c r="F109" s="48">
        <f>IF(A109="","",SUMIFS(Sales!$H:$H,Sales!$F:$F,A109,Sales!$B:$B,"Return"))</f>
        <v>0</v>
      </c>
      <c r="G109" s="48">
        <f>IF($A109="","",SUMIF('Shop Ledger'!$C:$C,$A109,'Shop Ledger'!$F:$F))</f>
        <v>0</v>
      </c>
      <c r="H109" s="48">
        <f t="shared" si="1"/>
        <v>1</v>
      </c>
      <c r="I109" s="44">
        <f>IF(A109="","",IFERROR(SUMIF(Purchases!$D:$D,A109,Purchases!$I:$I)/D109,0))</f>
        <v>135</v>
      </c>
      <c r="J109" s="44">
        <f t="shared" si="2"/>
        <v>135</v>
      </c>
      <c r="K109" s="30">
        <f>IF($A109="","",IFERROR(VALUE(SUBSTITUTE(SUBSTITUTE(SUBSTITUTE(VLOOKUP($A109,Inventory!$O$5:$P$604,2,FALSE),"Tk","")," ",""),",","")),""))</f>
        <v>175</v>
      </c>
      <c r="L109" s="58">
        <f t="shared" si="3"/>
        <v>0.2285714286</v>
      </c>
      <c r="M109" s="58">
        <f t="shared" si="4"/>
        <v>0.2962962963</v>
      </c>
      <c r="O109" s="59" t="str">
        <f t="shared" si="5"/>
        <v>FD-DRY-Taipet-KT-400G-002</v>
      </c>
      <c r="P109" s="61">
        <v>175.0</v>
      </c>
    </row>
    <row r="110" ht="14.25" customHeight="1">
      <c r="A110" s="29" t="str">
        <f t="array" ref="A110">IFERROR(INDEX(Purchases!$D$5:$D$1004,MATCH(ROW()-4,Purchases!$L$5:$L$1004,0)),"")</f>
        <v>FD-DRY-Taipet-1KG-001</v>
      </c>
      <c r="B110" s="48" t="str">
        <f>IFERROR(VLOOKUP(A110,Purchases!$D:$E,2,FALSE),"")</f>
        <v>Taipet Adult Dry Cat Food Chicken &amp; Tuna 1KG</v>
      </c>
      <c r="C110" s="48" t="str">
        <f>IFERROR(VLOOKUP(A110,Purchases!$D:$F,3,FALSE),"")</f>
        <v>Cat Food</v>
      </c>
      <c r="D110" s="48">
        <f>IF(A110="","",SUMIF(Purchases!$D:$D,A110,Purchases!$K:$K))</f>
        <v>2</v>
      </c>
      <c r="E110" s="48">
        <f>IF(A110="","",SUMIFS(Sales!$H:$H,Sales!$F:$F,A110,Sales!$B:$B,"&lt;&gt;Return"))</f>
        <v>0</v>
      </c>
      <c r="F110" s="48">
        <f>IF(A110="","",SUMIFS(Sales!$H:$H,Sales!$F:$F,A110,Sales!$B:$B,"Return"))</f>
        <v>0</v>
      </c>
      <c r="G110" s="48">
        <f>IF($A110="","",SUMIF('Shop Ledger'!$C:$C,$A110,'Shop Ledger'!$F:$F))</f>
        <v>0</v>
      </c>
      <c r="H110" s="48">
        <f t="shared" si="1"/>
        <v>2</v>
      </c>
      <c r="I110" s="44">
        <f>IF(A110="","",IFERROR(SUMIF(Purchases!$D:$D,A110,Purchases!$I:$I)/D110,0))</f>
        <v>320</v>
      </c>
      <c r="J110" s="44">
        <f t="shared" si="2"/>
        <v>640</v>
      </c>
      <c r="K110" s="30">
        <f>IF($A110="","",IFERROR(VALUE(SUBSTITUTE(SUBSTITUTE(SUBSTITUTE(VLOOKUP($A110,Inventory!$O$5:$P$604,2,FALSE),"Tk","")," ",""),",","")),""))</f>
        <v>420</v>
      </c>
      <c r="L110" s="58">
        <f t="shared" si="3"/>
        <v>0.2380952381</v>
      </c>
      <c r="M110" s="58">
        <f t="shared" si="4"/>
        <v>0.3125</v>
      </c>
      <c r="O110" s="59" t="str">
        <f t="shared" si="5"/>
        <v>FD-DRY-Taipet-1KG-001</v>
      </c>
      <c r="P110" s="62">
        <v>420.0</v>
      </c>
    </row>
    <row r="111" ht="14.25" customHeight="1">
      <c r="A111" s="29" t="str">
        <f t="array" ref="A111">IFERROR(INDEX(Purchases!$D$5:$D$1004,MATCH(ROW()-4,Purchases!$L$5:$L$1004,0)),"")</f>
        <v>FD-DRY-Taipet-1KG-002</v>
      </c>
      <c r="B111" s="48" t="str">
        <f>IFERROR(VLOOKUP(A111,Purchases!$D:$E,2,FALSE),"")</f>
        <v>Taipet Kitten Dry Cat Food Chicken Milk &amp; Fish 1KG</v>
      </c>
      <c r="C111" s="48" t="str">
        <f>IFERROR(VLOOKUP(A111,Purchases!$D:$F,3,FALSE),"")</f>
        <v>Cat Food</v>
      </c>
      <c r="D111" s="48">
        <f>IF(A111="","",SUMIF(Purchases!$D:$D,A111,Purchases!$K:$K))</f>
        <v>2</v>
      </c>
      <c r="E111" s="48">
        <f>IF(A111="","",SUMIFS(Sales!$H:$H,Sales!$F:$F,A111,Sales!$B:$B,"&lt;&gt;Return"))</f>
        <v>1</v>
      </c>
      <c r="F111" s="48">
        <f>IF(A111="","",SUMIFS(Sales!$H:$H,Sales!$F:$F,A111,Sales!$B:$B,"Return"))</f>
        <v>0</v>
      </c>
      <c r="G111" s="48">
        <f>IF($A111="","",SUMIF('Shop Ledger'!$C:$C,$A111,'Shop Ledger'!$F:$F))</f>
        <v>0</v>
      </c>
      <c r="H111" s="48">
        <f t="shared" si="1"/>
        <v>1</v>
      </c>
      <c r="I111" s="44">
        <f>IF(A111="","",IFERROR(SUMIF(Purchases!$D:$D,A111,Purchases!$I:$I)/D111,0))</f>
        <v>320</v>
      </c>
      <c r="J111" s="44">
        <f t="shared" si="2"/>
        <v>320</v>
      </c>
      <c r="K111" s="30">
        <f>IF($A111="","",IFERROR(VALUE(SUBSTITUTE(SUBSTITUTE(SUBSTITUTE(VLOOKUP($A111,Inventory!$O$5:$P$604,2,FALSE),"Tk","")," ",""),",","")),""))</f>
        <v>420</v>
      </c>
      <c r="L111" s="58">
        <f t="shared" si="3"/>
        <v>0.2380952381</v>
      </c>
      <c r="M111" s="58">
        <f t="shared" si="4"/>
        <v>0.3125</v>
      </c>
      <c r="O111" s="59" t="str">
        <f t="shared" si="5"/>
        <v>FD-DRY-Taipet-1KG-002</v>
      </c>
      <c r="P111" s="61">
        <v>420.0</v>
      </c>
    </row>
    <row r="112" ht="14.25" customHeight="1">
      <c r="A112" s="29" t="str">
        <f t="array" ref="A112">IFERROR(INDEX(Purchases!$D$5:$D$1004,MATCH(ROW()-4,Purchases!$L$5:$L$1004,0)),"")</f>
        <v>FD-DRY-ZOI-1KG-002</v>
      </c>
      <c r="B112" s="48" t="str">
        <f>IFERROR(VLOOKUP(A112,Purchases!$D:$E,2,FALSE),"")</f>
        <v>Zoi Cat Food 1kg</v>
      </c>
      <c r="C112" s="48" t="str">
        <f>IFERROR(VLOOKUP(A112,Purchases!$D:$F,3,FALSE),"")</f>
        <v>Cat Food</v>
      </c>
      <c r="D112" s="48">
        <f>IF(A112="","",SUMIF(Purchases!$D:$D,A112,Purchases!$K:$K))</f>
        <v>3</v>
      </c>
      <c r="E112" s="48">
        <f>IF(A112="","",SUMIFS(Sales!$H:$H,Sales!$F:$F,A112,Sales!$B:$B,"&lt;&gt;Return"))</f>
        <v>1</v>
      </c>
      <c r="F112" s="48">
        <f>IF(A112="","",SUMIFS(Sales!$H:$H,Sales!$F:$F,A112,Sales!$B:$B,"Return"))</f>
        <v>0</v>
      </c>
      <c r="G112" s="48">
        <f>IF($A112="","",SUMIF('Shop Ledger'!$C:$C,$A112,'Shop Ledger'!$F:$F))</f>
        <v>0</v>
      </c>
      <c r="H112" s="48">
        <f t="shared" si="1"/>
        <v>2</v>
      </c>
      <c r="I112" s="44">
        <f>IF(A112="","",IFERROR(SUMIF(Purchases!$D:$D,A112,Purchases!$I:$I)/D112,0))</f>
        <v>315</v>
      </c>
      <c r="J112" s="44">
        <f t="shared" si="2"/>
        <v>630</v>
      </c>
      <c r="K112" s="30">
        <f>IF($A112="","",IFERROR(VALUE(SUBSTITUTE(SUBSTITUTE(SUBSTITUTE(VLOOKUP($A112,Inventory!$O$5:$P$604,2,FALSE),"Tk","")," ",""),",","")),""))</f>
        <v>420</v>
      </c>
      <c r="L112" s="58">
        <f t="shared" si="3"/>
        <v>0.25</v>
      </c>
      <c r="M112" s="58">
        <f t="shared" si="4"/>
        <v>0.3333333333</v>
      </c>
      <c r="O112" s="59" t="str">
        <f t="shared" si="5"/>
        <v>FD-DRY-ZOI-1KG-002</v>
      </c>
      <c r="P112" s="62">
        <v>420.0</v>
      </c>
    </row>
    <row r="113" ht="13.5" customHeight="1">
      <c r="A113" s="29" t="str">
        <f t="array" ref="A113">IFERROR(INDEX(Purchases!$D$5:$D$1004,MATCH(ROW()-4,Purchases!$L$5:$L$1004,0)),"")</f>
        <v>FD-DRY-SMHRT-450G-002</v>
      </c>
      <c r="B113" s="48" t="str">
        <f>IFERROR(VLOOKUP(A113,Purchases!$D:$E,2,FALSE),"")</f>
        <v>Smart Heart Kitten Chicken, Fish, Egg &amp; Milk 450gm</v>
      </c>
      <c r="C113" s="48" t="str">
        <f>IFERROR(VLOOKUP(A113,Purchases!$D:$F,3,FALSE),"")</f>
        <v>Cat Food</v>
      </c>
      <c r="D113" s="48">
        <f>IF(A113="","",SUMIF(Purchases!$D:$D,A113,Purchases!$K:$K))</f>
        <v>6</v>
      </c>
      <c r="E113" s="48">
        <f>IF(A113="","",SUMIFS(Sales!$H:$H,Sales!$F:$F,A113,Sales!$B:$B,"&lt;&gt;Return"))</f>
        <v>4</v>
      </c>
      <c r="F113" s="48">
        <f>IF(A113="","",SUMIFS(Sales!$H:$H,Sales!$F:$F,A113,Sales!$B:$B,"Return"))</f>
        <v>0</v>
      </c>
      <c r="G113" s="48">
        <f>IF($A113="","",SUMIF('Shop Ledger'!$C:$C,$A113,'Shop Ledger'!$F:$F))</f>
        <v>0</v>
      </c>
      <c r="H113" s="48">
        <f t="shared" si="1"/>
        <v>2</v>
      </c>
      <c r="I113" s="44">
        <f>IF(A113="","",IFERROR(SUMIF(Purchases!$D:$D,A113,Purchases!$I:$I)/D113,0))</f>
        <v>308</v>
      </c>
      <c r="J113" s="44">
        <f t="shared" si="2"/>
        <v>616</v>
      </c>
      <c r="K113" s="30">
        <f>IF($A113="","",IFERROR(VALUE(SUBSTITUTE(SUBSTITUTE(SUBSTITUTE(VLOOKUP($A113,Inventory!$O$5:$P$604,2,FALSE),"Tk","")," ",""),",","")),""))</f>
        <v>380</v>
      </c>
      <c r="L113" s="58">
        <f t="shared" si="3"/>
        <v>0.1894736842</v>
      </c>
      <c r="M113" s="58">
        <f t="shared" si="4"/>
        <v>0.2337662338</v>
      </c>
      <c r="O113" s="59" t="str">
        <f t="shared" si="5"/>
        <v>FD-DRY-SMHRT-450G-002</v>
      </c>
      <c r="P113" s="61">
        <v>380.0</v>
      </c>
    </row>
    <row r="114" ht="14.25" customHeight="1">
      <c r="A114" s="29" t="str">
        <f t="array" ref="A114">IFERROR(INDEX(Purchases!$D$5:$D$1004,MATCH(ROW()-4,Purchases!$L$5:$L$1004,0)),"")</f>
        <v>PO-TP-70G-003</v>
      </c>
      <c r="B114" s="48" t="str">
        <f>IFERROR(VLOOKUP(A114,Purchases!$D:$E,2,FALSE),"")</f>
        <v>Taipet Chicken Pouch</v>
      </c>
      <c r="C114" s="48" t="str">
        <f>IFERROR(VLOOKUP(A114,Purchases!$D:$F,3,FALSE),"")</f>
        <v>Cat Pouch</v>
      </c>
      <c r="D114" s="48">
        <f>IF(A114="","",SUMIF(Purchases!$D:$D,A114,Purchases!$K:$K))</f>
        <v>12</v>
      </c>
      <c r="E114" s="48">
        <f>IF(A114="","",SUMIFS(Sales!$H:$H,Sales!$F:$F,A114,Sales!$B:$B,"&lt;&gt;Return"))</f>
        <v>4</v>
      </c>
      <c r="F114" s="48">
        <f>IF(A114="","",SUMIFS(Sales!$H:$H,Sales!$F:$F,A114,Sales!$B:$B,"Return"))</f>
        <v>0</v>
      </c>
      <c r="G114" s="48">
        <f>IF($A114="","",SUMIF('Shop Ledger'!$C:$C,$A114,'Shop Ledger'!$F:$F))</f>
        <v>0</v>
      </c>
      <c r="H114" s="48">
        <f t="shared" si="1"/>
        <v>8</v>
      </c>
      <c r="I114" s="44">
        <f>IF(A114="","",IFERROR(SUMIF(Purchases!$D:$D,A114,Purchases!$I:$I)/D114,0))</f>
        <v>53</v>
      </c>
      <c r="J114" s="44">
        <f t="shared" si="2"/>
        <v>424</v>
      </c>
      <c r="K114" s="30">
        <f>IF($A114="","",IFERROR(VALUE(SUBSTITUTE(SUBSTITUTE(SUBSTITUTE(VLOOKUP($A114,Inventory!$O$5:$P$604,2,FALSE),"Tk","")," ",""),",","")),""))</f>
        <v>75</v>
      </c>
      <c r="L114" s="58">
        <f t="shared" si="3"/>
        <v>0.2933333333</v>
      </c>
      <c r="M114" s="58">
        <f t="shared" si="4"/>
        <v>0.4150943396</v>
      </c>
      <c r="O114" s="59" t="str">
        <f t="shared" si="5"/>
        <v>PO-TP-70G-003</v>
      </c>
      <c r="P114" s="62">
        <v>75.0</v>
      </c>
    </row>
    <row r="115" ht="14.25" customHeight="1">
      <c r="A115" s="29" t="str">
        <f t="array" ref="A115">IFERROR(INDEX(Purchases!$D$5:$D$1004,MATCH(ROW()-4,Purchases!$L$5:$L$1004,0)),"")</f>
        <v>PO-WET-WK-80G-002-KT</v>
      </c>
      <c r="B115" s="48" t="str">
        <f>IFERROR(VLOOKUP(A115,Purchases!$D:$E,2,FALSE),"")</f>
        <v>Whiskas Junior Tuna Flavor</v>
      </c>
      <c r="C115" s="48" t="str">
        <f>IFERROR(VLOOKUP(A115,Purchases!$D:$F,3,FALSE),"")</f>
        <v>Cat Pouch</v>
      </c>
      <c r="D115" s="48">
        <f>IF(A115="","",SUMIF(Purchases!$D:$D,A115,Purchases!$K:$K))</f>
        <v>14</v>
      </c>
      <c r="E115" s="48">
        <f>IF(A115="","",SUMIFS(Sales!$H:$H,Sales!$F:$F,A115,Sales!$B:$B,"&lt;&gt;Return"))</f>
        <v>2</v>
      </c>
      <c r="F115" s="48">
        <f>IF(A115="","",SUMIFS(Sales!$H:$H,Sales!$F:$F,A115,Sales!$B:$B,"Return"))</f>
        <v>0</v>
      </c>
      <c r="G115" s="48">
        <f>IF($A115="","",SUMIF('Shop Ledger'!$C:$C,$A115,'Shop Ledger'!$F:$F))</f>
        <v>0</v>
      </c>
      <c r="H115" s="48">
        <f t="shared" si="1"/>
        <v>12</v>
      </c>
      <c r="I115" s="44">
        <f>IF(A115="","",IFERROR(SUMIF(Purchases!$D:$D,A115,Purchases!$I:$I)/D115,0))</f>
        <v>76</v>
      </c>
      <c r="J115" s="44">
        <f t="shared" si="2"/>
        <v>912</v>
      </c>
      <c r="K115" s="30">
        <f>IF($A115="","",IFERROR(VALUE(SUBSTITUTE(SUBSTITUTE(SUBSTITUTE(VLOOKUP($A115,Inventory!$O$5:$P$604,2,FALSE),"Tk","")," ",""),",","")),""))</f>
        <v>95</v>
      </c>
      <c r="L115" s="58">
        <f t="shared" si="3"/>
        <v>0.2</v>
      </c>
      <c r="M115" s="58">
        <f t="shared" si="4"/>
        <v>0.25</v>
      </c>
      <c r="O115" s="59" t="str">
        <f t="shared" si="5"/>
        <v>PO-WET-WK-80G-002-KT</v>
      </c>
      <c r="P115" s="61">
        <v>95.0</v>
      </c>
    </row>
    <row r="116" ht="14.25" customHeight="1">
      <c r="A116" s="29" t="str">
        <f t="array" ref="A116">IFERROR(INDEX(Purchases!$D$5:$D$1004,MATCH(ROW()-4,Purchases!$L$5:$L$1004,0)),"")</f>
        <v>PO-WET-BL-85G-001</v>
      </c>
      <c r="B116" s="48" t="str">
        <f>IFERROR(VLOOKUP(A116,Purchases!$D:$E,2,FALSE),"")</f>
        <v>Bellotta Adult Pouch Tuna 85gm</v>
      </c>
      <c r="C116" s="48" t="str">
        <f>IFERROR(VLOOKUP(A116,Purchases!$D:$F,3,FALSE),"")</f>
        <v>Cat Pouch</v>
      </c>
      <c r="D116" s="48">
        <f>IF(A116="","",SUMIF(Purchases!$D:$D,A116,Purchases!$K:$K))</f>
        <v>12</v>
      </c>
      <c r="E116" s="48">
        <f>IF(A116="","",SUMIFS(Sales!$H:$H,Sales!$F:$F,A116,Sales!$B:$B,"&lt;&gt;Return"))</f>
        <v>1</v>
      </c>
      <c r="F116" s="48">
        <f>IF(A116="","",SUMIFS(Sales!$H:$H,Sales!$F:$F,A116,Sales!$B:$B,"Return"))</f>
        <v>0</v>
      </c>
      <c r="G116" s="48">
        <f>IF($A116="","",SUMIF('Shop Ledger'!$C:$C,$A116,'Shop Ledger'!$F:$F))</f>
        <v>0</v>
      </c>
      <c r="H116" s="48">
        <f t="shared" si="1"/>
        <v>11</v>
      </c>
      <c r="I116" s="44">
        <f>IF(A116="","",IFERROR(SUMIF(Purchases!$D:$D,A116,Purchases!$I:$I)/D116,0))</f>
        <v>64</v>
      </c>
      <c r="J116" s="44">
        <f t="shared" si="2"/>
        <v>704</v>
      </c>
      <c r="K116" s="30">
        <f>IF($A116="","",IFERROR(VALUE(SUBSTITUTE(SUBSTITUTE(SUBSTITUTE(VLOOKUP($A116,Inventory!$O$5:$P$604,2,FALSE),"Tk","")," ",""),",","")),""))</f>
        <v>75</v>
      </c>
      <c r="L116" s="58">
        <f t="shared" si="3"/>
        <v>0.1466666667</v>
      </c>
      <c r="M116" s="58">
        <f t="shared" si="4"/>
        <v>0.171875</v>
      </c>
      <c r="O116" s="59" t="str">
        <f t="shared" si="5"/>
        <v>PO-WET-BL-85G-001</v>
      </c>
      <c r="P116" s="62">
        <v>75.0</v>
      </c>
    </row>
    <row r="117" ht="14.25" customHeight="1">
      <c r="A117" s="29" t="str">
        <f t="array" ref="A117">IFERROR(INDEX(Purchases!$D$5:$D$1004,MATCH(ROW()-4,Purchases!$L$5:$L$1004,0)),"")</f>
        <v>PO-WET-BL-85G-002</v>
      </c>
      <c r="B117" s="48" t="str">
        <f>IFERROR(VLOOKUP(A117,Purchases!$D:$E,2,FALSE),"")</f>
        <v>Bellotta Adult Pouch Tuna &amp; Chicken 85gm</v>
      </c>
      <c r="C117" s="48" t="str">
        <f>IFERROR(VLOOKUP(A117,Purchases!$D:$F,3,FALSE),"")</f>
        <v>Cat Pouch</v>
      </c>
      <c r="D117" s="48">
        <f>IF(A117="","",SUMIF(Purchases!$D:$D,A117,Purchases!$K:$K))</f>
        <v>12</v>
      </c>
      <c r="E117" s="48">
        <f>IF(A117="","",SUMIFS(Sales!$H:$H,Sales!$F:$F,A117,Sales!$B:$B,"&lt;&gt;Return"))</f>
        <v>1</v>
      </c>
      <c r="F117" s="48">
        <f>IF(A117="","",SUMIFS(Sales!$H:$H,Sales!$F:$F,A117,Sales!$B:$B,"Return"))</f>
        <v>0</v>
      </c>
      <c r="G117" s="48">
        <f>IF($A117="","",SUMIF('Shop Ledger'!$C:$C,$A117,'Shop Ledger'!$F:$F))</f>
        <v>0</v>
      </c>
      <c r="H117" s="48">
        <f t="shared" si="1"/>
        <v>11</v>
      </c>
      <c r="I117" s="44">
        <f>IF(A117="","",IFERROR(SUMIF(Purchases!$D:$D,A117,Purchases!$I:$I)/D117,0))</f>
        <v>64</v>
      </c>
      <c r="J117" s="44">
        <f t="shared" si="2"/>
        <v>704</v>
      </c>
      <c r="K117" s="30">
        <f>IF($A117="","",IFERROR(VALUE(SUBSTITUTE(SUBSTITUTE(SUBSTITUTE(VLOOKUP($A117,Inventory!$O$5:$P$604,2,FALSE),"Tk","")," ",""),",","")),""))</f>
        <v>75</v>
      </c>
      <c r="L117" s="58">
        <f t="shared" si="3"/>
        <v>0.1466666667</v>
      </c>
      <c r="M117" s="58">
        <f t="shared" si="4"/>
        <v>0.171875</v>
      </c>
      <c r="O117" s="59" t="str">
        <f t="shared" si="5"/>
        <v>PO-WET-BL-85G-002</v>
      </c>
      <c r="P117" s="61">
        <v>75.0</v>
      </c>
    </row>
    <row r="118" ht="14.25" customHeight="1">
      <c r="A118" s="29" t="str">
        <f t="array" ref="A118">IFERROR(INDEX(Purchases!$D$5:$D$1004,MATCH(ROW()-4,Purchases!$L$5:$L$1004,0)),"")</f>
        <v>FD-DRY-JUN-1.5KG-001</v>
      </c>
      <c r="B118" s="48" t="str">
        <f>IFERROR(VLOOKUP(A118,Purchases!$D:$E,2,FALSE),"")</f>
        <v>Jungle Adult Dry Food Chicken</v>
      </c>
      <c r="C118" s="48" t="str">
        <f>IFERROR(VLOOKUP(A118,Purchases!$D:$F,3,FALSE),"")</f>
        <v>Cat Food</v>
      </c>
      <c r="D118" s="48">
        <f>IF(A118="","",SUMIF(Purchases!$D:$D,A118,Purchases!$K:$K))</f>
        <v>2</v>
      </c>
      <c r="E118" s="48">
        <f>IF(A118="","",SUMIFS(Sales!$H:$H,Sales!$F:$F,A118,Sales!$B:$B,"&lt;&gt;Return"))</f>
        <v>1</v>
      </c>
      <c r="F118" s="48">
        <f>IF(A118="","",SUMIFS(Sales!$H:$H,Sales!$F:$F,A118,Sales!$B:$B,"Return"))</f>
        <v>0</v>
      </c>
      <c r="G118" s="48">
        <f>IF($A118="","",SUMIF('Shop Ledger'!$C:$C,$A118,'Shop Ledger'!$F:$F))</f>
        <v>0</v>
      </c>
      <c r="H118" s="48">
        <f t="shared" si="1"/>
        <v>1</v>
      </c>
      <c r="I118" s="44">
        <f>IF(A118="","",IFERROR(SUMIF(Purchases!$D:$D,A118,Purchases!$I:$I)/D118,0))</f>
        <v>715</v>
      </c>
      <c r="J118" s="44">
        <f t="shared" si="2"/>
        <v>715</v>
      </c>
      <c r="K118" s="30">
        <f>IF($A118="","",IFERROR(VALUE(SUBSTITUTE(SUBSTITUTE(SUBSTITUTE(VLOOKUP($A118,Inventory!$O$5:$P$604,2,FALSE),"Tk","")," ",""),",","")),""))</f>
        <v>900</v>
      </c>
      <c r="L118" s="58">
        <f t="shared" si="3"/>
        <v>0.2055555556</v>
      </c>
      <c r="M118" s="58">
        <f t="shared" si="4"/>
        <v>0.2587412587</v>
      </c>
      <c r="O118" s="59" t="str">
        <f t="shared" si="5"/>
        <v>FD-DRY-JUN-1.5KG-001</v>
      </c>
      <c r="P118" s="62">
        <v>900.0</v>
      </c>
    </row>
    <row r="119" ht="14.25" customHeight="1">
      <c r="A119" s="29" t="str">
        <f t="array" ref="A119">IFERROR(INDEX(Purchases!$D$5:$D$1004,MATCH(ROW()-4,Purchases!$L$5:$L$1004,0)),"")</f>
        <v>LT-LM-DR-10L-001</v>
      </c>
      <c r="B119" s="48" t="str">
        <f>IFERROR(VLOOKUP(A119,Purchases!$D:$E,2,FALSE),"")</f>
        <v>Dr Clump Lemon Falvor 10L</v>
      </c>
      <c r="C119" s="48" t="str">
        <f>IFERROR(VLOOKUP(A119,Purchases!$D:$F,3,FALSE),"")</f>
        <v>Cat Litter</v>
      </c>
      <c r="D119" s="48">
        <f>IF(A119="","",SUMIF(Purchases!$D:$D,A119,Purchases!$K:$K))</f>
        <v>1</v>
      </c>
      <c r="E119" s="48">
        <f>IF(A119="","",SUMIFS(Sales!$H:$H,Sales!$F:$F,A119,Sales!$B:$B,"&lt;&gt;Return"))</f>
        <v>1</v>
      </c>
      <c r="F119" s="48">
        <f>IF(A119="","",SUMIFS(Sales!$H:$H,Sales!$F:$F,A119,Sales!$B:$B,"Return"))</f>
        <v>0</v>
      </c>
      <c r="G119" s="48">
        <f>IF($A119="","",SUMIF('Shop Ledger'!$C:$C,$A119,'Shop Ledger'!$F:$F))</f>
        <v>0</v>
      </c>
      <c r="H119" s="48">
        <f t="shared" si="1"/>
        <v>0</v>
      </c>
      <c r="I119" s="44">
        <f>IF(A119="","",IFERROR(SUMIF(Purchases!$D:$D,A119,Purchases!$I:$I)/D119,0))</f>
        <v>435</v>
      </c>
      <c r="J119" s="44">
        <f t="shared" si="2"/>
        <v>0</v>
      </c>
      <c r="K119" s="30">
        <f>IF($A119="","",IFERROR(VALUE(SUBSTITUTE(SUBSTITUTE(SUBSTITUTE(VLOOKUP($A119,Inventory!$O$5:$P$604,2,FALSE),"Tk","")," ",""),",","")),""))</f>
        <v>600</v>
      </c>
      <c r="L119" s="58">
        <f t="shared" si="3"/>
        <v>0.275</v>
      </c>
      <c r="M119" s="58">
        <f t="shared" si="4"/>
        <v>0.3793103448</v>
      </c>
      <c r="O119" s="59" t="str">
        <f t="shared" si="5"/>
        <v>LT-LM-DR-10L-001</v>
      </c>
      <c r="P119" s="61">
        <v>600.0</v>
      </c>
    </row>
    <row r="120" ht="14.25" customHeight="1">
      <c r="A120" s="29" t="str">
        <f t="array" ref="A120">IFERROR(INDEX(Purchases!$D$5:$D$1004,MATCH(ROW()-4,Purchases!$L$5:$L$1004,0)),"")</f>
        <v>CN-SMR-375G-001</v>
      </c>
      <c r="B120" s="48" t="str">
        <f>IFERROR(VLOOKUP(A120,Purchases!$D:$E,2,FALSE),"")</f>
        <v>Smart Heart Can Food</v>
      </c>
      <c r="C120" s="48" t="str">
        <f>IFERROR(VLOOKUP(A120,Purchases!$D:$F,3,FALSE),"")</f>
        <v>Can Food</v>
      </c>
      <c r="D120" s="48">
        <f>IF(A120="","",SUMIF(Purchases!$D:$D,A120,Purchases!$K:$K))</f>
        <v>4</v>
      </c>
      <c r="E120" s="48">
        <f>IF(A120="","",SUMIFS(Sales!$H:$H,Sales!$F:$F,A120,Sales!$B:$B,"&lt;&gt;Return"))</f>
        <v>1</v>
      </c>
      <c r="F120" s="48">
        <f>IF(A120="","",SUMIFS(Sales!$H:$H,Sales!$F:$F,A120,Sales!$B:$B,"Return"))</f>
        <v>0</v>
      </c>
      <c r="G120" s="48">
        <f>IF($A120="","",SUMIF('Shop Ledger'!$C:$C,$A120,'Shop Ledger'!$F:$F))</f>
        <v>0</v>
      </c>
      <c r="H120" s="48">
        <f t="shared" si="1"/>
        <v>3</v>
      </c>
      <c r="I120" s="44">
        <f>IF(A120="","",IFERROR(SUMIF(Purchases!$D:$D,A120,Purchases!$I:$I)/D120,0))</f>
        <v>210</v>
      </c>
      <c r="J120" s="44">
        <f t="shared" si="2"/>
        <v>630</v>
      </c>
      <c r="K120" s="30">
        <f>IF($A120="","",IFERROR(VALUE(SUBSTITUTE(SUBSTITUTE(SUBSTITUTE(VLOOKUP($A120,Inventory!$O$5:$P$604,2,FALSE),"Tk","")," ",""),",","")),""))</f>
        <v>280</v>
      </c>
      <c r="L120" s="58">
        <f t="shared" si="3"/>
        <v>0.25</v>
      </c>
      <c r="M120" s="58">
        <f t="shared" si="4"/>
        <v>0.3333333333</v>
      </c>
      <c r="O120" s="59" t="str">
        <f t="shared" si="5"/>
        <v>CN-SMR-375G-001</v>
      </c>
      <c r="P120" s="62">
        <v>280.0</v>
      </c>
    </row>
    <row r="121" ht="14.25" customHeight="1">
      <c r="A121" s="29" t="str">
        <f t="array" ref="A121">IFERROR(INDEX(Purchases!$D$5:$D$1004,MATCH(ROW()-4,Purchases!$L$5:$L$1004,0)),"")</f>
        <v>AC-EC-0001</v>
      </c>
      <c r="B121" s="48" t="str">
        <f>IFERROR(VLOOKUP(A121,Purchases!$D:$E,2,FALSE),"")</f>
        <v>Cat Elezabeth Collar</v>
      </c>
      <c r="C121" s="48" t="str">
        <f>IFERROR(VLOOKUP(A121,Purchases!$D:$F,3,FALSE),"")</f>
        <v>Cat Accessories</v>
      </c>
      <c r="D121" s="48">
        <f>IF(A121="","",SUMIF(Purchases!$D:$D,A121,Purchases!$K:$K))</f>
        <v>2</v>
      </c>
      <c r="E121" s="48">
        <f>IF(A121="","",SUMIFS(Sales!$H:$H,Sales!$F:$F,A121,Sales!$B:$B,"&lt;&gt;Return"))</f>
        <v>1</v>
      </c>
      <c r="F121" s="48">
        <f>IF(A121="","",SUMIFS(Sales!$H:$H,Sales!$F:$F,A121,Sales!$B:$B,"Return"))</f>
        <v>0</v>
      </c>
      <c r="G121" s="48">
        <f>IF($A121="","",SUMIF('Shop Ledger'!$C:$C,$A121,'Shop Ledger'!$F:$F))</f>
        <v>0</v>
      </c>
      <c r="H121" s="48">
        <f t="shared" si="1"/>
        <v>1</v>
      </c>
      <c r="I121" s="44">
        <f>IF(A121="","",IFERROR(SUMIF(Purchases!$D:$D,A121,Purchases!$I:$I)/D121,0))</f>
        <v>100</v>
      </c>
      <c r="J121" s="44">
        <f t="shared" si="2"/>
        <v>100</v>
      </c>
      <c r="K121" s="30">
        <f>IF($A121="","",IFERROR(VALUE(SUBSTITUTE(SUBSTITUTE(SUBSTITUTE(VLOOKUP($A121,Inventory!$O$5:$P$604,2,FALSE),"Tk","")," ",""),",","")),""))</f>
        <v>250</v>
      </c>
      <c r="L121" s="58">
        <f t="shared" si="3"/>
        <v>0.6</v>
      </c>
      <c r="M121" s="58">
        <f t="shared" si="4"/>
        <v>1.5</v>
      </c>
      <c r="O121" s="59" t="str">
        <f t="shared" si="5"/>
        <v>AC-EC-0001</v>
      </c>
      <c r="P121" s="61">
        <v>250.0</v>
      </c>
    </row>
    <row r="122" ht="14.25" customHeight="1">
      <c r="A122" s="29" t="str">
        <f t="array" ref="A122">IFERROR(INDEX(Purchases!$D$5:$D$1004,MATCH(ROW()-4,Purchases!$L$5:$L$1004,0)),"")</f>
        <v>AC-MT-0001</v>
      </c>
      <c r="B122" s="48" t="str">
        <f>IFERROR(VLOOKUP(A122,Purchases!$D:$E,2,FALSE),"")</f>
        <v>Cat Toy Mouse Mini</v>
      </c>
      <c r="C122" s="48" t="str">
        <f>IFERROR(VLOOKUP(A122,Purchases!$D:$F,3,FALSE),"")</f>
        <v>Cat Accessories</v>
      </c>
      <c r="D122" s="48">
        <f>IF(A122="","",SUMIF(Purchases!$D:$D,A122,Purchases!$K:$K))</f>
        <v>4</v>
      </c>
      <c r="E122" s="48">
        <f>IF(A122="","",SUMIFS(Sales!$H:$H,Sales!$F:$F,A122,Sales!$B:$B,"&lt;&gt;Return"))</f>
        <v>2</v>
      </c>
      <c r="F122" s="48">
        <f>IF(A122="","",SUMIFS(Sales!$H:$H,Sales!$F:$F,A122,Sales!$B:$B,"Return"))</f>
        <v>0</v>
      </c>
      <c r="G122" s="48">
        <f>IF($A122="","",SUMIF('Shop Ledger'!$C:$C,$A122,'Shop Ledger'!$F:$F))</f>
        <v>0</v>
      </c>
      <c r="H122" s="48">
        <f t="shared" si="1"/>
        <v>2</v>
      </c>
      <c r="I122" s="44">
        <f>IF(A122="","",IFERROR(SUMIF(Purchases!$D:$D,A122,Purchases!$I:$I)/D122,0))</f>
        <v>30</v>
      </c>
      <c r="J122" s="44">
        <f t="shared" si="2"/>
        <v>60</v>
      </c>
      <c r="K122" s="30">
        <f>IF($A122="","",IFERROR(VALUE(SUBSTITUTE(SUBSTITUTE(SUBSTITUTE(VLOOKUP($A122,Inventory!$O$5:$P$604,2,FALSE),"Tk","")," ",""),",","")),""))</f>
        <v>60</v>
      </c>
      <c r="L122" s="58">
        <f t="shared" si="3"/>
        <v>0.5</v>
      </c>
      <c r="M122" s="58">
        <f t="shared" si="4"/>
        <v>1</v>
      </c>
      <c r="O122" s="59" t="str">
        <f t="shared" si="5"/>
        <v>AC-MT-0001</v>
      </c>
      <c r="P122" s="62">
        <v>60.0</v>
      </c>
    </row>
    <row r="123" ht="14.25" customHeight="1">
      <c r="A123" s="29" t="str">
        <f t="array" ref="A123">IFERROR(INDEX(Purchases!$D$5:$D$1004,MATCH(ROW()-4,Purchases!$L$5:$L$1004,0)),"")</f>
        <v>AC-RB-MS-0001</v>
      </c>
      <c r="B123" s="48" t="str">
        <f>IFERROR(VLOOKUP(A123,Purchases!$D:$E,2,FALSE),"")</f>
        <v>Smart Cat Chirping Roller Ball with Motion Sensor</v>
      </c>
      <c r="C123" s="48" t="str">
        <f>IFERROR(VLOOKUP(A123,Purchases!$D:$F,3,FALSE),"")</f>
        <v>Cat Accessories</v>
      </c>
      <c r="D123" s="48">
        <f>IF(A123="","",SUMIF(Purchases!$D:$D,A123,Purchases!$K:$K))</f>
        <v>1</v>
      </c>
      <c r="E123" s="48">
        <f>IF(A123="","",SUMIFS(Sales!$H:$H,Sales!$F:$F,A123,Sales!$B:$B,"&lt;&gt;Return"))</f>
        <v>0</v>
      </c>
      <c r="F123" s="48">
        <f>IF(A123="","",SUMIFS(Sales!$H:$H,Sales!$F:$F,A123,Sales!$B:$B,"Return"))</f>
        <v>0</v>
      </c>
      <c r="G123" s="48">
        <f>IF($A123="","",SUMIF('Shop Ledger'!$C:$C,$A123,'Shop Ledger'!$F:$F))</f>
        <v>0</v>
      </c>
      <c r="H123" s="48">
        <f t="shared" si="1"/>
        <v>1</v>
      </c>
      <c r="I123" s="44">
        <f>IF(A123="","",IFERROR(SUMIF(Purchases!$D:$D,A123,Purchases!$I:$I)/D123,0))</f>
        <v>300</v>
      </c>
      <c r="J123" s="44">
        <f t="shared" si="2"/>
        <v>300</v>
      </c>
      <c r="K123" s="30">
        <f>IF($A123="","",IFERROR(VALUE(SUBSTITUTE(SUBSTITUTE(SUBSTITUTE(VLOOKUP($A123,Inventory!$O$5:$P$604,2,FALSE),"Tk","")," ",""),",","")),""))</f>
        <v>500</v>
      </c>
      <c r="L123" s="58">
        <f t="shared" si="3"/>
        <v>0.4</v>
      </c>
      <c r="M123" s="58">
        <f t="shared" si="4"/>
        <v>0.6666666667</v>
      </c>
      <c r="O123" s="59" t="str">
        <f t="shared" si="5"/>
        <v>AC-RB-MS-0001</v>
      </c>
      <c r="P123" s="61">
        <v>500.0</v>
      </c>
    </row>
    <row r="124" ht="14.25" customHeight="1">
      <c r="A124" s="29" t="str">
        <f t="array" ref="A124">IFERROR(INDEX(Purchases!$D$5:$D$1004,MATCH(ROW()-4,Purchases!$L$5:$L$1004,0)),"")</f>
        <v>AC-CSTOY-Feather-0001</v>
      </c>
      <c r="B124" s="48" t="str">
        <f>IFERROR(VLOOKUP(A124,Purchases!$D:$E,2,FALSE),"")</f>
        <v>Cat Toy Feather String Cat Teaser Toy</v>
      </c>
      <c r="C124" s="48" t="str">
        <f>IFERROR(VLOOKUP(A124,Purchases!$D:$F,3,FALSE),"")</f>
        <v>Cat Accessories</v>
      </c>
      <c r="D124" s="48">
        <f>IF(A124="","",SUMIF(Purchases!$D:$D,A124,Purchases!$K:$K))</f>
        <v>5</v>
      </c>
      <c r="E124" s="48">
        <f>IF(A124="","",SUMIFS(Sales!$H:$H,Sales!$F:$F,A124,Sales!$B:$B,"&lt;&gt;Return"))</f>
        <v>1</v>
      </c>
      <c r="F124" s="48">
        <f>IF(A124="","",SUMIFS(Sales!$H:$H,Sales!$F:$F,A124,Sales!$B:$B,"Return"))</f>
        <v>0</v>
      </c>
      <c r="G124" s="48">
        <f>IF($A124="","",SUMIF('Shop Ledger'!$C:$C,$A124,'Shop Ledger'!$F:$F))</f>
        <v>0</v>
      </c>
      <c r="H124" s="48">
        <f t="shared" si="1"/>
        <v>4</v>
      </c>
      <c r="I124" s="44">
        <f>IF(A124="","",IFERROR(SUMIF(Purchases!$D:$D,A124,Purchases!$I:$I)/D124,0))</f>
        <v>70</v>
      </c>
      <c r="J124" s="44">
        <f t="shared" si="2"/>
        <v>280</v>
      </c>
      <c r="K124" s="30">
        <f>IF($A124="","",IFERROR(VALUE(SUBSTITUTE(SUBSTITUTE(SUBSTITUTE(VLOOKUP($A124,Inventory!$O$5:$P$604,2,FALSE),"Tk","")," ",""),",","")),""))</f>
        <v>130</v>
      </c>
      <c r="L124" s="58">
        <f t="shared" si="3"/>
        <v>0.4615384615</v>
      </c>
      <c r="M124" s="58">
        <f t="shared" si="4"/>
        <v>0.8571428571</v>
      </c>
      <c r="O124" s="59" t="str">
        <f t="shared" si="5"/>
        <v>AC-CSTOY-Feather-0001</v>
      </c>
      <c r="P124" s="112">
        <v>130.0</v>
      </c>
    </row>
    <row r="125" ht="14.25" customHeight="1">
      <c r="A125" s="29" t="str">
        <f t="array" ref="A125">IFERROR(INDEX(Purchases!$D$5:$D$1004,MATCH(ROW()-4,Purchases!$L$5:$L$1004,0)),"")</f>
        <v>FD-MX-0003</v>
      </c>
      <c r="B125" s="48" t="str">
        <f>IFERROR(VLOOKUP(A125,Purchases!$D:$E,2,FALSE),"")</f>
        <v>Drools, Meo &amp; Cutie Mixed Food 100gm</v>
      </c>
      <c r="C125" s="48" t="str">
        <f>IFERROR(VLOOKUP(A125,Purchases!$D:$F,3,FALSE),"")</f>
        <v>Cat Food</v>
      </c>
      <c r="D125" s="48">
        <f>IF(A125="","",SUMIF(Purchases!$D:$D,A125,Purchases!$K:$K))</f>
        <v>1</v>
      </c>
      <c r="E125" s="48">
        <f>IF(A125="","",SUMIFS(Sales!$H:$H,Sales!$F:$F,A125,Sales!$B:$B,"&lt;&gt;Return"))</f>
        <v>1</v>
      </c>
      <c r="F125" s="48">
        <f>IF(A125="","",SUMIFS(Sales!$H:$H,Sales!$F:$F,A125,Sales!$B:$B,"Return"))</f>
        <v>0</v>
      </c>
      <c r="G125" s="48">
        <f>IF($A125="","",SUMIF('Shop Ledger'!$C:$C,$A125,'Shop Ledger'!$F:$F))</f>
        <v>0</v>
      </c>
      <c r="H125" s="48">
        <f t="shared" si="1"/>
        <v>0</v>
      </c>
      <c r="I125" s="44">
        <f>IF(A125="","",IFERROR(SUMIF(Purchases!$D:$D,A125,Purchases!$I:$I)/D125,0))</f>
        <v>31</v>
      </c>
      <c r="J125" s="44">
        <f t="shared" si="2"/>
        <v>0</v>
      </c>
      <c r="K125" s="30">
        <f>IF($A125="","",IFERROR(VALUE(SUBSTITUTE(SUBSTITUTE(SUBSTITUTE(VLOOKUP($A125,Inventory!$O$5:$P$604,2,FALSE),"Tk","")," ",""),",","")),""))</f>
        <v>50</v>
      </c>
      <c r="L125" s="58">
        <f t="shared" si="3"/>
        <v>0.38</v>
      </c>
      <c r="M125" s="58">
        <f t="shared" si="4"/>
        <v>0.6129032258</v>
      </c>
      <c r="O125" s="59" t="str">
        <f t="shared" si="5"/>
        <v>FD-MX-0003</v>
      </c>
      <c r="P125" s="113">
        <v>50.0</v>
      </c>
    </row>
    <row r="126" ht="14.25" customHeight="1">
      <c r="A126" s="29" t="str">
        <f t="array" ref="A126">IFERROR(INDEX(Purchases!$D$5:$D$1004,MATCH(ROW()-4,Purchases!$L$5:$L$1004,0)),"")</f>
        <v>FD-DRY-WP-1.5KG-001</v>
      </c>
      <c r="B126" s="48" t="str">
        <f>IFERROR(VLOOKUP(A126,Purchases!$D:$E,2,FALSE),"")</f>
        <v>Wanpy Grain Free Cat Food</v>
      </c>
      <c r="C126" s="48" t="str">
        <f>IFERROR(VLOOKUP(A126,Purchases!$D:$F,3,FALSE),"")</f>
        <v>Cat Food</v>
      </c>
      <c r="D126" s="48">
        <f>IF(A126="","",SUMIF(Purchases!$D:$D,A126,Purchases!$K:$K))</f>
        <v>8</v>
      </c>
      <c r="E126" s="48">
        <f>IF(A126="","",SUMIFS(Sales!$H:$H,Sales!$F:$F,A126,Sales!$B:$B,"&lt;&gt;Return"))</f>
        <v>0</v>
      </c>
      <c r="F126" s="48">
        <f>IF(A126="","",SUMIFS(Sales!$H:$H,Sales!$F:$F,A126,Sales!$B:$B,"Return"))</f>
        <v>0</v>
      </c>
      <c r="G126" s="48">
        <f>IF($A126="","",SUMIF('Shop Ledger'!$C:$C,$A126,'Shop Ledger'!$F:$F))</f>
        <v>0</v>
      </c>
      <c r="H126" s="48">
        <f t="shared" si="1"/>
        <v>8</v>
      </c>
      <c r="I126" s="44">
        <f>IF(A126="","",IFERROR(SUMIF(Purchases!$D:$D,A126,Purchases!$I:$I)/D126,0))</f>
        <v>990</v>
      </c>
      <c r="J126" s="44">
        <f t="shared" si="2"/>
        <v>7920</v>
      </c>
      <c r="K126" s="30">
        <f>IF($A126="","",IFERROR(VALUE(SUBSTITUTE(SUBSTITUTE(SUBSTITUTE(VLOOKUP($A126,Inventory!$O$5:$P$604,2,FALSE),"Tk","")," ",""),",","")),""))</f>
        <v>1260</v>
      </c>
      <c r="L126" s="58">
        <f t="shared" si="3"/>
        <v>0.2142857143</v>
      </c>
      <c r="M126" s="58">
        <f t="shared" si="4"/>
        <v>0.2727272727</v>
      </c>
      <c r="O126" s="59" t="str">
        <f t="shared" si="5"/>
        <v>FD-DRY-WP-1.5KG-001</v>
      </c>
      <c r="P126" s="52">
        <v>1260.0</v>
      </c>
    </row>
    <row r="127" ht="14.25" customHeight="1">
      <c r="A127" s="29" t="str">
        <f t="array" ref="A127">IFERROR(INDEX(Purchases!$D$5:$D$1004,MATCH(ROW()-4,Purchases!$L$5:$L$1004,0)),"")</f>
        <v>FD-WET-WP-001</v>
      </c>
      <c r="B127" s="48" t="str">
        <f>IFERROR(VLOOKUP(A127,Purchases!$D:$E,2,FALSE),"")</f>
        <v>Wanpy Cat Treat Likable Tuna Mousse with Chicken 40gm</v>
      </c>
      <c r="C127" s="48" t="str">
        <f>IFERROR(VLOOKUP(A127,Purchases!$D:$F,3,FALSE),"")</f>
        <v>Cat Wet Food</v>
      </c>
      <c r="D127" s="48">
        <f>IF(A127="","",SUMIF(Purchases!$D:$D,A127,Purchases!$K:$K))</f>
        <v>6</v>
      </c>
      <c r="E127" s="48">
        <f>IF(A127="","",SUMIFS(Sales!$H:$H,Sales!$F:$F,A127,Sales!$B:$B,"&lt;&gt;Return"))</f>
        <v>0</v>
      </c>
      <c r="F127" s="48">
        <f>IF(A127="","",SUMIFS(Sales!$H:$H,Sales!$F:$F,A127,Sales!$B:$B,"Return"))</f>
        <v>0</v>
      </c>
      <c r="G127" s="48">
        <f>IF($A127="","",SUMIF('Shop Ledger'!$C:$C,$A127,'Shop Ledger'!$F:$F))</f>
        <v>0</v>
      </c>
      <c r="H127" s="48">
        <f t="shared" si="1"/>
        <v>6</v>
      </c>
      <c r="I127" s="44">
        <f>IF(A127="","",IFERROR(SUMIF(Purchases!$D:$D,A127,Purchases!$I:$I)/D127,0))</f>
        <v>80</v>
      </c>
      <c r="J127" s="44">
        <f t="shared" si="2"/>
        <v>480</v>
      </c>
      <c r="K127" s="30">
        <f>IF($A127="","",IFERROR(VALUE(SUBSTITUTE(SUBSTITUTE(SUBSTITUTE(VLOOKUP($A127,Inventory!$O$5:$P$604,2,FALSE),"Tk","")," ",""),",","")),""))</f>
        <v>120</v>
      </c>
      <c r="L127" s="58">
        <f t="shared" si="3"/>
        <v>0.3333333333</v>
      </c>
      <c r="M127" s="58">
        <f t="shared" si="4"/>
        <v>0.5</v>
      </c>
      <c r="O127" s="59" t="str">
        <f t="shared" si="5"/>
        <v>FD-WET-WP-001</v>
      </c>
      <c r="P127" s="52">
        <v>120.0</v>
      </c>
    </row>
    <row r="128" ht="14.25" customHeight="1">
      <c r="A128" s="29" t="str">
        <f t="array" ref="A128">IFERROR(INDEX(Purchases!$D$5:$D$1004,MATCH(ROW()-4,Purchases!$L$5:$L$1004,0)),"")</f>
        <v>FD-DRY-KTCN-All-400G-001</v>
      </c>
      <c r="B128" s="48" t="str">
        <f>IFERROR(VLOOKUP(A128,Purchases!$D:$E,2,FALSE),"")</f>
        <v>Kitchen Flavour Grain Free Dry Cat Food All Life Stage 400gm</v>
      </c>
      <c r="C128" s="48" t="str">
        <f>IFERROR(VLOOKUP(A128,Purchases!$D:$F,3,FALSE),"")</f>
        <v>Cat Food</v>
      </c>
      <c r="D128" s="48">
        <f>IF(A128="","",SUMIF(Purchases!$D:$D,A128,Purchases!$K:$K))</f>
        <v>16</v>
      </c>
      <c r="E128" s="48">
        <f>IF(A128="","",SUMIFS(Sales!$H:$H,Sales!$F:$F,A128,Sales!$B:$B,"&lt;&gt;Return"))</f>
        <v>3</v>
      </c>
      <c r="F128" s="48">
        <f>IF(A128="","",SUMIFS(Sales!$H:$H,Sales!$F:$F,A128,Sales!$B:$B,"Return"))</f>
        <v>0</v>
      </c>
      <c r="G128" s="48">
        <f>IF($A128="","",SUMIF('Shop Ledger'!$C:$C,$A128,'Shop Ledger'!$F:$F))</f>
        <v>0</v>
      </c>
      <c r="H128" s="48">
        <f t="shared" si="1"/>
        <v>13</v>
      </c>
      <c r="I128" s="44">
        <f>IF(A128="","",IFERROR(SUMIF(Purchases!$D:$D,A128,Purchases!$I:$I)/D128,0))</f>
        <v>290</v>
      </c>
      <c r="J128" s="44">
        <f t="shared" si="2"/>
        <v>3770</v>
      </c>
      <c r="K128" s="30">
        <f>IF($A128="","",IFERROR(VALUE(SUBSTITUTE(SUBSTITUTE(SUBSTITUTE(VLOOKUP($A128,Inventory!$O$5:$P$604,2,FALSE),"Tk","")," ",""),",","")),""))</f>
        <v>360</v>
      </c>
      <c r="L128" s="58">
        <f t="shared" si="3"/>
        <v>0.1944444444</v>
      </c>
      <c r="M128" s="58">
        <f t="shared" si="4"/>
        <v>0.2413793103</v>
      </c>
      <c r="O128" s="59" t="str">
        <f t="shared" si="5"/>
        <v>FD-DRY-KTCN-All-400G-001</v>
      </c>
      <c r="P128" s="52">
        <v>360.0</v>
      </c>
    </row>
    <row r="129" ht="14.25" customHeight="1">
      <c r="A129" s="29" t="str">
        <f t="array" ref="A129">IFERROR(INDEX(Purchases!$D$5:$D$1004,MATCH(ROW()-4,Purchases!$L$5:$L$1004,0)),"")</f>
        <v>PO-WET-KTCN-HS-001</v>
      </c>
      <c r="B129" s="48" t="str">
        <f>IFERROR(VLOOKUP(A129,Purchases!$D:$E,2,FALSE),"")</f>
        <v>Kitchen Flavour Special Care Complete Cat Food Pouch Hair &amp; Skin Care 70gm</v>
      </c>
      <c r="C129" s="48" t="str">
        <f>IFERROR(VLOOKUP(A129,Purchases!$D:$F,3,FALSE),"")</f>
        <v>Cat Pouch</v>
      </c>
      <c r="D129" s="48">
        <f>IF(A129="","",SUMIF(Purchases!$D:$D,A129,Purchases!$K:$K))</f>
        <v>48</v>
      </c>
      <c r="E129" s="48">
        <f>IF(A129="","",SUMIFS(Sales!$H:$H,Sales!$F:$F,A129,Sales!$B:$B,"&lt;&gt;Return"))</f>
        <v>1</v>
      </c>
      <c r="F129" s="48">
        <f>IF(A129="","",SUMIFS(Sales!$H:$H,Sales!$F:$F,A129,Sales!$B:$B,"Return"))</f>
        <v>0</v>
      </c>
      <c r="G129" s="48">
        <f>IF($A129="","",SUMIF('Shop Ledger'!$C:$C,$A129,'Shop Ledger'!$F:$F))</f>
        <v>0</v>
      </c>
      <c r="H129" s="48">
        <f t="shared" si="1"/>
        <v>47</v>
      </c>
      <c r="I129" s="44">
        <f>IF(A129="","",IFERROR(SUMIF(Purchases!$D:$D,A129,Purchases!$I:$I)/D129,0))</f>
        <v>75</v>
      </c>
      <c r="J129" s="44">
        <f t="shared" si="2"/>
        <v>3525</v>
      </c>
      <c r="K129" s="30">
        <f>IF($A129="","",IFERROR(VALUE(SUBSTITUTE(SUBSTITUTE(SUBSTITUTE(VLOOKUP($A129,Inventory!$O$5:$P$604,2,FALSE),"Tk","")," ",""),",","")),""))</f>
        <v>110</v>
      </c>
      <c r="L129" s="58">
        <f t="shared" si="3"/>
        <v>0.3181818182</v>
      </c>
      <c r="M129" s="58">
        <f t="shared" si="4"/>
        <v>0.4666666667</v>
      </c>
      <c r="O129" s="59" t="str">
        <f t="shared" si="5"/>
        <v>PO-WET-KTCN-HS-001</v>
      </c>
      <c r="P129" s="52">
        <v>110.0</v>
      </c>
    </row>
    <row r="130" ht="14.25" customHeight="1">
      <c r="A130" s="29" t="str">
        <f t="array" ref="A130">IFERROR(INDEX(Purchases!$D$5:$D$1004,MATCH(ROW()-4,Purchases!$L$5:$L$1004,0)),"")</f>
        <v>PO-WET-KTCN-UR-001</v>
      </c>
      <c r="B130" s="48" t="str">
        <f>IFERROR(VLOOKUP(A130,Purchases!$D:$E,2,FALSE),"")</f>
        <v>Kitchen Flavour Special Care Complete Cat Food Pouch Urinary Care 70gm</v>
      </c>
      <c r="C130" s="48" t="str">
        <f>IFERROR(VLOOKUP(A130,Purchases!$D:$F,3,FALSE),"")</f>
        <v>Cat Pouch</v>
      </c>
      <c r="D130" s="48">
        <f>IF(A130="","",SUMIF(Purchases!$D:$D,A130,Purchases!$K:$K))</f>
        <v>48</v>
      </c>
      <c r="E130" s="48">
        <f>IF(A130="","",SUMIFS(Sales!$H:$H,Sales!$F:$F,A130,Sales!$B:$B,"&lt;&gt;Return"))</f>
        <v>0</v>
      </c>
      <c r="F130" s="48">
        <f>IF(A130="","",SUMIFS(Sales!$H:$H,Sales!$F:$F,A130,Sales!$B:$B,"Return"))</f>
        <v>0</v>
      </c>
      <c r="G130" s="48">
        <f>IF($A130="","",SUMIF('Shop Ledger'!$C:$C,$A130,'Shop Ledger'!$F:$F))</f>
        <v>0</v>
      </c>
      <c r="H130" s="48">
        <f t="shared" si="1"/>
        <v>48</v>
      </c>
      <c r="I130" s="44">
        <f>IF(A130="","",IFERROR(SUMIF(Purchases!$D:$D,A130,Purchases!$I:$I)/D130,0))</f>
        <v>75</v>
      </c>
      <c r="J130" s="44">
        <f t="shared" si="2"/>
        <v>3600</v>
      </c>
      <c r="K130" s="30">
        <f>IF($A130="","",IFERROR(VALUE(SUBSTITUTE(SUBSTITUTE(SUBSTITUTE(VLOOKUP($A130,Inventory!$O$5:$P$604,2,FALSE),"Tk","")," ",""),",","")),""))</f>
        <v>110</v>
      </c>
      <c r="L130" s="58">
        <f t="shared" si="3"/>
        <v>0.3181818182</v>
      </c>
      <c r="M130" s="58">
        <f t="shared" si="4"/>
        <v>0.4666666667</v>
      </c>
      <c r="O130" s="59" t="str">
        <f t="shared" si="5"/>
        <v>PO-WET-KTCN-UR-001</v>
      </c>
      <c r="P130" s="52">
        <v>110.0</v>
      </c>
    </row>
    <row r="131" ht="14.25" customHeight="1">
      <c r="A131" s="29" t="str">
        <f t="array" ref="A131">IFERROR(INDEX(Purchases!$D$5:$D$1004,MATCH(ROW()-4,Purchases!$L$5:$L$1004,0)),"")</f>
        <v>PO-WET-KTCN-ID-001</v>
      </c>
      <c r="B131" s="48" t="str">
        <f>IFERROR(VLOOKUP(A131,Purchases!$D:$E,2,FALSE),"")</f>
        <v>Kitchen Flavour Special Care Complete Cat Food Pouch Indoor &amp; Digestive Care 70gm</v>
      </c>
      <c r="C131" s="48" t="str">
        <f>IFERROR(VLOOKUP(A131,Purchases!$D:$F,3,FALSE),"")</f>
        <v>Cat Pouch</v>
      </c>
      <c r="D131" s="48">
        <f>IF(A131="","",SUMIF(Purchases!$D:$D,A131,Purchases!$K:$K))</f>
        <v>48</v>
      </c>
      <c r="E131" s="48">
        <f>IF(A131="","",SUMIFS(Sales!$H:$H,Sales!$F:$F,A131,Sales!$B:$B,"&lt;&gt;Return"))</f>
        <v>1</v>
      </c>
      <c r="F131" s="48">
        <f>IF(A131="","",SUMIFS(Sales!$H:$H,Sales!$F:$F,A131,Sales!$B:$B,"Return"))</f>
        <v>0</v>
      </c>
      <c r="G131" s="48">
        <f>IF($A131="","",SUMIF('Shop Ledger'!$C:$C,$A131,'Shop Ledger'!$F:$F))</f>
        <v>0</v>
      </c>
      <c r="H131" s="48">
        <f t="shared" si="1"/>
        <v>47</v>
      </c>
      <c r="I131" s="44">
        <f>IF(A131="","",IFERROR(SUMIF(Purchases!$D:$D,A131,Purchases!$I:$I)/D131,0))</f>
        <v>75</v>
      </c>
      <c r="J131" s="44">
        <f t="shared" si="2"/>
        <v>3525</v>
      </c>
      <c r="K131" s="30">
        <f>IF($A131="","",IFERROR(VALUE(SUBSTITUTE(SUBSTITUTE(SUBSTITUTE(VLOOKUP($A131,Inventory!$O$5:$P$604,2,FALSE),"Tk","")," ",""),",","")),""))</f>
        <v>110</v>
      </c>
      <c r="L131" s="58">
        <f t="shared" si="3"/>
        <v>0.3181818182</v>
      </c>
      <c r="M131" s="58">
        <f t="shared" si="4"/>
        <v>0.4666666667</v>
      </c>
      <c r="O131" s="59" t="str">
        <f t="shared" si="5"/>
        <v>PO-WET-KTCN-ID-001</v>
      </c>
      <c r="P131" s="52">
        <v>110.0</v>
      </c>
    </row>
    <row r="132" ht="14.25" customHeight="1">
      <c r="A132" s="29" t="str">
        <f t="array" ref="A132">IFERROR(INDEX(Purchases!$D$5:$D$1004,MATCH(ROW()-4,Purchases!$L$5:$L$1004,0)),"")</f>
        <v>PO-WET-NB-KD-001</v>
      </c>
      <c r="B132" s="48" t="str">
        <f>IFERROR(VLOOKUP(A132,Purchases!$D:$E,2,FALSE),"")</f>
        <v>Nature Bridge Veterinary Exclusive Wet Cat Food for Kidney 190gm</v>
      </c>
      <c r="C132" s="48" t="str">
        <f>IFERROR(VLOOKUP(A132,Purchases!$D:$F,3,FALSE),"")</f>
        <v>Cat Pouch</v>
      </c>
      <c r="D132" s="48">
        <f>IF(A132="","",SUMIF(Purchases!$D:$D,A132,Purchases!$K:$K))</f>
        <v>24</v>
      </c>
      <c r="E132" s="48">
        <f>IF(A132="","",SUMIFS(Sales!$H:$H,Sales!$F:$F,A132,Sales!$B:$B,"&lt;&gt;Return"))</f>
        <v>0</v>
      </c>
      <c r="F132" s="48">
        <f>IF(A132="","",SUMIFS(Sales!$H:$H,Sales!$F:$F,A132,Sales!$B:$B,"Return"))</f>
        <v>0</v>
      </c>
      <c r="G132" s="48">
        <f>IF($A132="","",SUMIF('Shop Ledger'!$C:$C,$A132,'Shop Ledger'!$F:$F))</f>
        <v>0</v>
      </c>
      <c r="H132" s="48">
        <f t="shared" si="1"/>
        <v>24</v>
      </c>
      <c r="I132" s="44">
        <f>IF(A132="","",IFERROR(SUMIF(Purchases!$D:$D,A132,Purchases!$I:$I)/D132,0))</f>
        <v>290</v>
      </c>
      <c r="J132" s="44">
        <f t="shared" si="2"/>
        <v>6960</v>
      </c>
      <c r="K132" s="30">
        <f>IF($A132="","",IFERROR(VALUE(SUBSTITUTE(SUBSTITUTE(SUBSTITUTE(VLOOKUP($A132,Inventory!$O$5:$P$604,2,FALSE),"Tk","")," ",""),",","")),""))</f>
        <v>420</v>
      </c>
      <c r="L132" s="58">
        <f t="shared" si="3"/>
        <v>0.3095238095</v>
      </c>
      <c r="M132" s="58">
        <f t="shared" si="4"/>
        <v>0.4482758621</v>
      </c>
      <c r="O132" s="59" t="str">
        <f t="shared" si="5"/>
        <v>PO-WET-NB-KD-001</v>
      </c>
      <c r="P132" s="52">
        <v>420.0</v>
      </c>
    </row>
    <row r="133" ht="14.25" customHeight="1">
      <c r="A133" s="29" t="str">
        <f t="array" ref="A133">IFERROR(INDEX(Purchases!$D$5:$D$1004,MATCH(ROW()-4,Purchases!$L$5:$L$1004,0)),"")</f>
        <v>PO-WET-NB-UR-001</v>
      </c>
      <c r="B133" s="48" t="str">
        <f>IFERROR(VLOOKUP(A133,Purchases!$D:$E,2,FALSE),"")</f>
        <v>Nature Bridge Veterinary Exclusive Wet Cat Food for Urinary Tract 190gm</v>
      </c>
      <c r="C133" s="48" t="str">
        <f>IFERROR(VLOOKUP(A133,Purchases!$D:$F,3,FALSE),"")</f>
        <v>Cat Pouch</v>
      </c>
      <c r="D133" s="48">
        <f>IF(A133="","",SUMIF(Purchases!$D:$D,A133,Purchases!$K:$K))</f>
        <v>24</v>
      </c>
      <c r="E133" s="48">
        <f>IF(A133="","",SUMIFS(Sales!$H:$H,Sales!$F:$F,A133,Sales!$B:$B,"&lt;&gt;Return"))</f>
        <v>0</v>
      </c>
      <c r="F133" s="48">
        <f>IF(A133="","",SUMIFS(Sales!$H:$H,Sales!$F:$F,A133,Sales!$B:$B,"Return"))</f>
        <v>0</v>
      </c>
      <c r="G133" s="48">
        <f>IF($A133="","",SUMIF('Shop Ledger'!$C:$C,$A133,'Shop Ledger'!$F:$F))</f>
        <v>0</v>
      </c>
      <c r="H133" s="48">
        <f t="shared" si="1"/>
        <v>24</v>
      </c>
      <c r="I133" s="44">
        <f>IF(A133="","",IFERROR(SUMIF(Purchases!$D:$D,A133,Purchases!$I:$I)/D133,0))</f>
        <v>290</v>
      </c>
      <c r="J133" s="44">
        <f t="shared" si="2"/>
        <v>6960</v>
      </c>
      <c r="K133" s="30">
        <f>IF($A133="","",IFERROR(VALUE(SUBSTITUTE(SUBSTITUTE(SUBSTITUTE(VLOOKUP($A133,Inventory!$O$5:$P$604,2,FALSE),"Tk","")," ",""),",","")),""))</f>
        <v>420</v>
      </c>
      <c r="L133" s="58">
        <f t="shared" si="3"/>
        <v>0.3095238095</v>
      </c>
      <c r="M133" s="58">
        <f t="shared" si="4"/>
        <v>0.4482758621</v>
      </c>
      <c r="O133" s="59" t="str">
        <f t="shared" si="5"/>
        <v>PO-WET-NB-UR-001</v>
      </c>
      <c r="P133" s="52">
        <v>420.0</v>
      </c>
    </row>
    <row r="134" ht="14.25" customHeight="1">
      <c r="A134" s="29" t="str">
        <f t="array" ref="A134">IFERROR(INDEX(Purchases!$D$5:$D$1004,MATCH(ROW()-4,Purchases!$L$5:$L$1004,0)),"")</f>
        <v>FD-DRY-KT-H/P-1.5KG-001</v>
      </c>
      <c r="B134" s="48" t="str">
        <f>IFERROR(VLOOKUP(A134,Purchases!$D:$E,2,FALSE),"")</f>
        <v>Haisenpet Premium Kitten Dry Cat Food Chicken, Fish, Egg &amp; Milk 1.2KG</v>
      </c>
      <c r="C134" s="48" t="str">
        <f>IFERROR(VLOOKUP(A134,Purchases!$D:$F,3,FALSE),"")</f>
        <v>Cat Food</v>
      </c>
      <c r="D134" s="48">
        <f>IF(A134="","",SUMIF(Purchases!$D:$D,A134,Purchases!$K:$K))</f>
        <v>3</v>
      </c>
      <c r="E134" s="48">
        <f>IF(A134="","",SUMIFS(Sales!$H:$H,Sales!$F:$F,A134,Sales!$B:$B,"&lt;&gt;Return"))</f>
        <v>0</v>
      </c>
      <c r="F134" s="48">
        <f>IF(A134="","",SUMIFS(Sales!$H:$H,Sales!$F:$F,A134,Sales!$B:$B,"Return"))</f>
        <v>0</v>
      </c>
      <c r="G134" s="48">
        <f>IF($A134="","",SUMIF('Shop Ledger'!$C:$C,$A134,'Shop Ledger'!$F:$F))</f>
        <v>0</v>
      </c>
      <c r="H134" s="48">
        <f t="shared" si="1"/>
        <v>3</v>
      </c>
      <c r="I134" s="44">
        <f>IF(A134="","",IFERROR(SUMIF(Purchases!$D:$D,A134,Purchases!$I:$I)/D134,0))</f>
        <v>500</v>
      </c>
      <c r="J134" s="44">
        <f t="shared" si="2"/>
        <v>1500</v>
      </c>
      <c r="K134" s="30">
        <f>IF($A134="","",IFERROR(VALUE(SUBSTITUTE(SUBSTITUTE(SUBSTITUTE(VLOOKUP($A134,Inventory!$O$5:$P$604,2,FALSE),"Tk","")," ",""),",","")),""))</f>
        <v>650</v>
      </c>
      <c r="L134" s="58">
        <f t="shared" si="3"/>
        <v>0.2307692308</v>
      </c>
      <c r="M134" s="58">
        <f t="shared" si="4"/>
        <v>0.3</v>
      </c>
      <c r="O134" s="59" t="str">
        <f t="shared" si="5"/>
        <v>FD-DRY-KT-H/P-1.5KG-001</v>
      </c>
      <c r="P134" s="52">
        <v>650.0</v>
      </c>
    </row>
    <row r="135" ht="14.25" customHeight="1">
      <c r="A135" s="29" t="str">
        <f t="array" ref="A135">IFERROR(INDEX(Purchases!$D$5:$D$1004,MATCH(ROW()-4,Purchases!$L$5:$L$1004,0)),"")</f>
        <v>FD-DRY-H/P-1.5KG-001</v>
      </c>
      <c r="B135" s="48" t="str">
        <f>IFERROR(VLOOKUP(A135,Purchases!$D:$E,2,FALSE),"")</f>
        <v>Haisenpet Premium Adult Dry Cat Food Chicken, Tuna &amp; Turkey 1.2KG</v>
      </c>
      <c r="C135" s="48" t="str">
        <f>IFERROR(VLOOKUP(A135,Purchases!$D:$F,3,FALSE),"")</f>
        <v>Cat Food</v>
      </c>
      <c r="D135" s="48">
        <f>IF(A135="","",SUMIF(Purchases!$D:$D,A135,Purchases!$K:$K))</f>
        <v>3</v>
      </c>
      <c r="E135" s="48">
        <f>IF(A135="","",SUMIFS(Sales!$H:$H,Sales!$F:$F,A135,Sales!$B:$B,"&lt;&gt;Return"))</f>
        <v>0</v>
      </c>
      <c r="F135" s="48">
        <f>IF(A135="","",SUMIFS(Sales!$H:$H,Sales!$F:$F,A135,Sales!$B:$B,"Return"))</f>
        <v>0</v>
      </c>
      <c r="G135" s="48">
        <f>IF($A135="","",SUMIF('Shop Ledger'!$C:$C,$A135,'Shop Ledger'!$F:$F))</f>
        <v>0</v>
      </c>
      <c r="H135" s="48">
        <f t="shared" si="1"/>
        <v>3</v>
      </c>
      <c r="I135" s="44">
        <f>IF(A135="","",IFERROR(SUMIF(Purchases!$D:$D,A135,Purchases!$I:$I)/D135,0))</f>
        <v>500</v>
      </c>
      <c r="J135" s="44">
        <f t="shared" si="2"/>
        <v>1500</v>
      </c>
      <c r="K135" s="30">
        <f>IF($A135="","",IFERROR(VALUE(SUBSTITUTE(SUBSTITUTE(SUBSTITUTE(VLOOKUP($A135,Inventory!$O$5:$P$604,2,FALSE),"Tk","")," ",""),",","")),""))</f>
        <v>650</v>
      </c>
      <c r="L135" s="58">
        <f t="shared" si="3"/>
        <v>0.2307692308</v>
      </c>
      <c r="M135" s="58">
        <f t="shared" si="4"/>
        <v>0.3</v>
      </c>
      <c r="O135" s="59" t="str">
        <f t="shared" si="5"/>
        <v>FD-DRY-H/P-1.5KG-001</v>
      </c>
      <c r="P135" s="52">
        <v>650.0</v>
      </c>
    </row>
    <row r="136" ht="14.25" customHeight="1">
      <c r="A136" s="29" t="str">
        <f t="array" ref="A136">IFERROR(INDEX(Purchases!$D$5:$D$1004,MATCH(ROW()-4,Purchases!$L$5:$L$1004,0)),"")</f>
        <v>FD-DRY-LR-0.95KG-001</v>
      </c>
      <c r="B136" s="48" t="str">
        <f>IFERROR(VLOOKUP(A136,Purchases!$D:$E,2,FALSE),"")</f>
        <v>Lara Dry Cat Food Adult Poultry 950gm</v>
      </c>
      <c r="C136" s="48" t="str">
        <f>IFERROR(VLOOKUP(A136,Purchases!$D:$F,3,FALSE),"")</f>
        <v>Cat Food</v>
      </c>
      <c r="D136" s="48">
        <f>IF(A136="","",SUMIF(Purchases!$D:$D,A136,Purchases!$K:$K))</f>
        <v>4</v>
      </c>
      <c r="E136" s="48">
        <f>IF(A136="","",SUMIFS(Sales!$H:$H,Sales!$F:$F,A136,Sales!$B:$B,"&lt;&gt;Return"))</f>
        <v>0</v>
      </c>
      <c r="F136" s="48">
        <f>IF(A136="","",SUMIFS(Sales!$H:$H,Sales!$F:$F,A136,Sales!$B:$B,"Return"))</f>
        <v>0</v>
      </c>
      <c r="G136" s="48">
        <f>IF($A136="","",SUMIF('Shop Ledger'!$C:$C,$A136,'Shop Ledger'!$F:$F))</f>
        <v>0</v>
      </c>
      <c r="H136" s="48">
        <f t="shared" si="1"/>
        <v>4</v>
      </c>
      <c r="I136" s="44">
        <f>IF(A136="","",IFERROR(SUMIF(Purchases!$D:$D,A136,Purchases!$I:$I)/D136,0))</f>
        <v>600</v>
      </c>
      <c r="J136" s="44">
        <f t="shared" si="2"/>
        <v>2400</v>
      </c>
      <c r="K136" s="30">
        <f>IF($A136="","",IFERROR(VALUE(SUBSTITUTE(SUBSTITUTE(SUBSTITUTE(VLOOKUP($A136,Inventory!$O$5:$P$604,2,FALSE),"Tk","")," ",""),",","")),""))</f>
        <v>750</v>
      </c>
      <c r="L136" s="58">
        <f t="shared" si="3"/>
        <v>0.2</v>
      </c>
      <c r="M136" s="58">
        <f t="shared" si="4"/>
        <v>0.25</v>
      </c>
      <c r="O136" s="59" t="str">
        <f t="shared" si="5"/>
        <v>FD-DRY-LR-0.95KG-001</v>
      </c>
      <c r="P136" s="52">
        <v>750.0</v>
      </c>
    </row>
    <row r="137" ht="14.25" customHeight="1">
      <c r="A137" s="29" t="str">
        <f t="array" ref="A137">IFERROR(INDEX(Purchases!$D$5:$D$1004,MATCH(ROW()-4,Purchases!$L$5:$L$1004,0)),"")</f>
        <v>FD-DRY-PR-1KG-001</v>
      </c>
      <c r="B137" s="48" t="str">
        <f>IFERROR(VLOOKUP(A137,Purchases!$D:$E,2,FALSE),"")</f>
        <v>Pramy Feline Solutions NutriBoost Dry Cat Food Urinary Care 1KG</v>
      </c>
      <c r="C137" s="48" t="str">
        <f>IFERROR(VLOOKUP(A137,Purchases!$D:$F,3,FALSE),"")</f>
        <v>Cat Food</v>
      </c>
      <c r="D137" s="48">
        <f>IF(A137="","",SUMIF(Purchases!$D:$D,A137,Purchases!$K:$K))</f>
        <v>4</v>
      </c>
      <c r="E137" s="48">
        <f>IF(A137="","",SUMIFS(Sales!$H:$H,Sales!$F:$F,A137,Sales!$B:$B,"&lt;&gt;Return"))</f>
        <v>0</v>
      </c>
      <c r="F137" s="48">
        <f>IF(A137="","",SUMIFS(Sales!$H:$H,Sales!$F:$F,A137,Sales!$B:$B,"Return"))</f>
        <v>0</v>
      </c>
      <c r="G137" s="48">
        <f>IF($A137="","",SUMIF('Shop Ledger'!$C:$C,$A137,'Shop Ledger'!$F:$F))</f>
        <v>0</v>
      </c>
      <c r="H137" s="48">
        <f t="shared" si="1"/>
        <v>4</v>
      </c>
      <c r="I137" s="44">
        <f>IF(A137="","",IFERROR(SUMIF(Purchases!$D:$D,A137,Purchases!$I:$I)/D137,0))</f>
        <v>1450</v>
      </c>
      <c r="J137" s="44">
        <f t="shared" si="2"/>
        <v>5800</v>
      </c>
      <c r="K137" s="30">
        <f>IF($A137="","",IFERROR(VALUE(SUBSTITUTE(SUBSTITUTE(SUBSTITUTE(VLOOKUP($A137,Inventory!$O$5:$P$604,2,FALSE),"Tk","")," ",""),",","")),""))</f>
        <v>1800</v>
      </c>
      <c r="L137" s="58">
        <f t="shared" si="3"/>
        <v>0.1944444444</v>
      </c>
      <c r="M137" s="58">
        <f t="shared" si="4"/>
        <v>0.2413793103</v>
      </c>
      <c r="O137" s="59" t="str">
        <f t="shared" si="5"/>
        <v>FD-DRY-PR-1KG-001</v>
      </c>
      <c r="P137" s="52">
        <v>1800.0</v>
      </c>
    </row>
    <row r="138" ht="14.25" customHeight="1">
      <c r="A138" s="29" t="str">
        <f t="array" ref="A138">IFERROR(INDEX(Purchases!$D$5:$D$1004,MATCH(ROW()-4,Purchases!$L$5:$L$1004,0)),"")</f>
        <v>FD-DRY-KTCN-HM-1.3KG-001</v>
      </c>
      <c r="B138" s="48" t="str">
        <f>IFERROR(VLOOKUP(A138,Purchases!$D:$E,2,FALSE),"")</f>
        <v>Kitchen Flavor Hi Meat Complete Cat Food for Cat All Life Stages 1.3kg</v>
      </c>
      <c r="C138" s="48" t="str">
        <f>IFERROR(VLOOKUP(A138,Purchases!$D:$F,3,FALSE),"")</f>
        <v>Cat Food</v>
      </c>
      <c r="D138" s="48">
        <f>IF(A138="","",SUMIF(Purchases!$D:$D,A138,Purchases!$K:$K))</f>
        <v>6</v>
      </c>
      <c r="E138" s="48">
        <f>IF(A138="","",SUMIFS(Sales!$H:$H,Sales!$F:$F,A138,Sales!$B:$B,"&lt;&gt;Return"))</f>
        <v>0</v>
      </c>
      <c r="F138" s="48">
        <f>IF(A138="","",SUMIFS(Sales!$H:$H,Sales!$F:$F,A138,Sales!$B:$B,"Return"))</f>
        <v>0</v>
      </c>
      <c r="G138" s="48">
        <f>IF($A138="","",SUMIF('Shop Ledger'!$C:$C,$A138,'Shop Ledger'!$F:$F))</f>
        <v>0</v>
      </c>
      <c r="H138" s="48">
        <f t="shared" si="1"/>
        <v>6</v>
      </c>
      <c r="I138" s="44">
        <f>IF(A138="","",IFERROR(SUMIF(Purchases!$D:$D,A138,Purchases!$I:$I)/D138,0))</f>
        <v>1290</v>
      </c>
      <c r="J138" s="44">
        <f t="shared" si="2"/>
        <v>7740</v>
      </c>
      <c r="K138" s="30">
        <f>IF($A138="","",IFERROR(VALUE(SUBSTITUTE(SUBSTITUTE(SUBSTITUTE(VLOOKUP($A138,Inventory!$O$5:$P$604,2,FALSE),"Tk","")," ",""),",","")),""))</f>
        <v>1650</v>
      </c>
      <c r="L138" s="58">
        <f t="shared" si="3"/>
        <v>0.2181818182</v>
      </c>
      <c r="M138" s="58">
        <f t="shared" si="4"/>
        <v>0.2790697674</v>
      </c>
      <c r="O138" s="59" t="str">
        <f t="shared" si="5"/>
        <v>FD-DRY-KTCN-HM-1.3KG-001</v>
      </c>
      <c r="P138" s="52">
        <v>1650.0</v>
      </c>
    </row>
    <row r="139" ht="14.25" customHeight="1">
      <c r="A139" s="29" t="str">
        <f t="array" ref="A139">IFERROR(INDEX(Purchases!$D$5:$D$1004,MATCH(ROW()-4,Purchases!$L$5:$L$1004,0)),"")</f>
        <v>FD-DRY-KTCN-UC-1.5KG-001</v>
      </c>
      <c r="B139" s="48" t="str">
        <f>IFERROR(VLOOKUP(A139,Purchases!$D:$E,2,FALSE),"")</f>
        <v>Kitchen Flavor Grain Free Special Care Urinary Care Complete Food for Adult Chicken &amp; Salmon 1.5 kg</v>
      </c>
      <c r="C139" s="48" t="str">
        <f>IFERROR(VLOOKUP(A139,Purchases!$D:$F,3,FALSE),"")</f>
        <v>Cat Food</v>
      </c>
      <c r="D139" s="48">
        <f>IF(A139="","",SUMIF(Purchases!$D:$D,A139,Purchases!$K:$K))</f>
        <v>6</v>
      </c>
      <c r="E139" s="48">
        <f>IF(A139="","",SUMIFS(Sales!$H:$H,Sales!$F:$F,A139,Sales!$B:$B,"&lt;&gt;Return"))</f>
        <v>0</v>
      </c>
      <c r="F139" s="48">
        <f>IF(A139="","",SUMIFS(Sales!$H:$H,Sales!$F:$F,A139,Sales!$B:$B,"Return"))</f>
        <v>0</v>
      </c>
      <c r="G139" s="48">
        <f>IF($A139="","",SUMIF('Shop Ledger'!$C:$C,$A139,'Shop Ledger'!$F:$F))</f>
        <v>0</v>
      </c>
      <c r="H139" s="48">
        <f t="shared" si="1"/>
        <v>6</v>
      </c>
      <c r="I139" s="44">
        <f>IF(A139="","",IFERROR(SUMIF(Purchases!$D:$D,A139,Purchases!$I:$I)/D139,0))</f>
        <v>1050</v>
      </c>
      <c r="J139" s="44">
        <f t="shared" si="2"/>
        <v>6300</v>
      </c>
      <c r="K139" s="30">
        <f>IF($A139="","",IFERROR(VALUE(SUBSTITUTE(SUBSTITUTE(SUBSTITUTE(VLOOKUP($A139,Inventory!$O$5:$P$604,2,FALSE),"Tk","")," ",""),",","")),""))</f>
        <v>1380</v>
      </c>
      <c r="L139" s="58">
        <f t="shared" si="3"/>
        <v>0.2391304348</v>
      </c>
      <c r="M139" s="58">
        <f t="shared" si="4"/>
        <v>0.3142857143</v>
      </c>
      <c r="O139" s="59" t="str">
        <f t="shared" si="5"/>
        <v>FD-DRY-KTCN-UC-1.5KG-001</v>
      </c>
      <c r="P139" s="52">
        <v>1380.0</v>
      </c>
    </row>
    <row r="140" ht="14.25" customHeight="1">
      <c r="A140" s="29" t="str">
        <f t="array" ref="A140">IFERROR(INDEX(Purchases!$D$5:$D$1004,MATCH(ROW()-4,Purchases!$L$5:$L$1004,0)),"")</f>
        <v>PO-WP-90G-001</v>
      </c>
      <c r="B140" s="48" t="str">
        <f>IFERROR(VLOOKUP(A140,Purchases!$D:$E,2,FALSE),"")</f>
        <v>Wanpy Fresh Chicken &amp; Carrot Cat Meat Paste 90 gr</v>
      </c>
      <c r="C140" s="48" t="str">
        <f>IFERROR(VLOOKUP(A140,Purchases!$D:$F,3,FALSE),"")</f>
        <v>Cat Pouch</v>
      </c>
      <c r="D140" s="48">
        <f>IF(A140="","",SUMIF(Purchases!$D:$D,A140,Purchases!$K:$K))</f>
        <v>10</v>
      </c>
      <c r="E140" s="48">
        <f>IF(A140="","",SUMIFS(Sales!$H:$H,Sales!$F:$F,A140,Sales!$B:$B,"&lt;&gt;Return"))</f>
        <v>1</v>
      </c>
      <c r="F140" s="48">
        <f>IF(A140="","",SUMIFS(Sales!$H:$H,Sales!$F:$F,A140,Sales!$B:$B,"Return"))</f>
        <v>0</v>
      </c>
      <c r="G140" s="48">
        <f>IF($A140="","",SUMIF('Shop Ledger'!$C:$C,$A140,'Shop Ledger'!$F:$F))</f>
        <v>0</v>
      </c>
      <c r="H140" s="48">
        <f t="shared" si="1"/>
        <v>9</v>
      </c>
      <c r="I140" s="44">
        <f>IF(A140="","",IFERROR(SUMIF(Purchases!$D:$D,A140,Purchases!$I:$I)/D140,0))</f>
        <v>100</v>
      </c>
      <c r="J140" s="44">
        <f t="shared" si="2"/>
        <v>900</v>
      </c>
      <c r="K140" s="30">
        <f>IF($A140="","",IFERROR(VALUE(SUBSTITUTE(SUBSTITUTE(SUBSTITUTE(VLOOKUP($A140,Inventory!$O$5:$P$604,2,FALSE),"Tk","")," ",""),",","")),""))</f>
        <v>150</v>
      </c>
      <c r="L140" s="58">
        <f t="shared" si="3"/>
        <v>0.3333333333</v>
      </c>
      <c r="M140" s="58">
        <f t="shared" si="4"/>
        <v>0.5</v>
      </c>
      <c r="O140" s="59" t="str">
        <f t="shared" si="5"/>
        <v>PO-WP-90G-001</v>
      </c>
      <c r="P140" s="52">
        <v>150.0</v>
      </c>
    </row>
    <row r="141" ht="14.25" customHeight="1">
      <c r="A141" s="29" t="str">
        <f t="array" ref="A141">IFERROR(INDEX(Purchases!$D$5:$D$1004,MATCH(ROW()-4,Purchases!$L$5:$L$1004,0)),"")</f>
        <v>PO-WP-90G-002</v>
      </c>
      <c r="B141" s="48" t="str">
        <f>IFERROR(VLOOKUP(A141,Purchases!$D:$E,2,FALSE),"")</f>
        <v>Wanpy Fresh Tuna Fish Chicken &amp; Carrots Cat Meat Paste 90 gr</v>
      </c>
      <c r="C141" s="48" t="str">
        <f>IFERROR(VLOOKUP(A141,Purchases!$D:$F,3,FALSE),"")</f>
        <v>Cat Pouch</v>
      </c>
      <c r="D141" s="48">
        <f>IF(A141="","",SUMIF(Purchases!$D:$D,A141,Purchases!$K:$K))</f>
        <v>10</v>
      </c>
      <c r="E141" s="48">
        <f>IF(A141="","",SUMIFS(Sales!$H:$H,Sales!$F:$F,A141,Sales!$B:$B,"&lt;&gt;Return"))</f>
        <v>1</v>
      </c>
      <c r="F141" s="48">
        <f>IF(A141="","",SUMIFS(Sales!$H:$H,Sales!$F:$F,A141,Sales!$B:$B,"Return"))</f>
        <v>0</v>
      </c>
      <c r="G141" s="48">
        <f>IF($A141="","",SUMIF('Shop Ledger'!$C:$C,$A141,'Shop Ledger'!$F:$F))</f>
        <v>0</v>
      </c>
      <c r="H141" s="48">
        <f t="shared" si="1"/>
        <v>9</v>
      </c>
      <c r="I141" s="44">
        <f>IF(A141="","",IFERROR(SUMIF(Purchases!$D:$D,A141,Purchases!$I:$I)/D141,0))</f>
        <v>100</v>
      </c>
      <c r="J141" s="44">
        <f t="shared" si="2"/>
        <v>900</v>
      </c>
      <c r="K141" s="30">
        <f>IF($A141="","",IFERROR(VALUE(SUBSTITUTE(SUBSTITUTE(SUBSTITUTE(VLOOKUP($A141,Inventory!$O$5:$P$604,2,FALSE),"Tk","")," ",""),",","")),""))</f>
        <v>150</v>
      </c>
      <c r="L141" s="58">
        <f t="shared" si="3"/>
        <v>0.3333333333</v>
      </c>
      <c r="M141" s="58">
        <f t="shared" si="4"/>
        <v>0.5</v>
      </c>
      <c r="O141" s="59" t="str">
        <f t="shared" si="5"/>
        <v>PO-WP-90G-002</v>
      </c>
      <c r="P141" s="52">
        <v>150.0</v>
      </c>
    </row>
    <row r="142" ht="14.25" customHeight="1">
      <c r="A142" s="29" t="str">
        <f t="array" ref="A142">IFERROR(INDEX(Purchases!$D$5:$D$1004,MATCH(ROW()-4,Purchases!$L$5:$L$1004,0)),"")</f>
        <v>FD-WET-WP-002</v>
      </c>
      <c r="B142" s="48" t="str">
        <f>IFERROR(VLOOKUP(A142,Purchases!$D:$E,2,FALSE),"")</f>
        <v>Wanpy Aluminum Can Tuna Mousse with Shimp for Cat 40g</v>
      </c>
      <c r="C142" s="48" t="str">
        <f>IFERROR(VLOOKUP(A142,Purchases!$D:$F,3,FALSE),"")</f>
        <v>Cat Wet Food</v>
      </c>
      <c r="D142" s="48">
        <f>IF(A142="","",SUMIF(Purchases!$D:$D,A142,Purchases!$K:$K))</f>
        <v>6</v>
      </c>
      <c r="E142" s="48">
        <f>IF(A142="","",SUMIFS(Sales!$H:$H,Sales!$F:$F,A142,Sales!$B:$B,"&lt;&gt;Return"))</f>
        <v>0</v>
      </c>
      <c r="F142" s="48">
        <f>IF(A142="","",SUMIFS(Sales!$H:$H,Sales!$F:$F,A142,Sales!$B:$B,"Return"))</f>
        <v>0</v>
      </c>
      <c r="G142" s="48">
        <f>IF($A142="","",SUMIF('Shop Ledger'!$C:$C,$A142,'Shop Ledger'!$F:$F))</f>
        <v>0</v>
      </c>
      <c r="H142" s="48">
        <f t="shared" si="1"/>
        <v>6</v>
      </c>
      <c r="I142" s="44">
        <f>IF(A142="","",IFERROR(SUMIF(Purchases!$D:$D,A142,Purchases!$I:$I)/D142,0))</f>
        <v>80</v>
      </c>
      <c r="J142" s="44">
        <f t="shared" si="2"/>
        <v>480</v>
      </c>
      <c r="K142" s="30">
        <f>IF($A142="","",IFERROR(VALUE(SUBSTITUTE(SUBSTITUTE(SUBSTITUTE(VLOOKUP($A142,Inventory!$O$5:$P$604,2,FALSE),"Tk","")," ",""),",","")),""))</f>
        <v>120</v>
      </c>
      <c r="L142" s="58">
        <f t="shared" si="3"/>
        <v>0.3333333333</v>
      </c>
      <c r="M142" s="58">
        <f t="shared" si="4"/>
        <v>0.5</v>
      </c>
      <c r="O142" s="59" t="str">
        <f t="shared" si="5"/>
        <v>FD-WET-WP-002</v>
      </c>
      <c r="P142" s="52">
        <v>120.0</v>
      </c>
    </row>
    <row r="143" ht="14.25" customHeight="1">
      <c r="A143" s="29" t="str">
        <f t="array" ref="A143">IFERROR(INDEX(Purchases!$D$5:$D$1004,MATCH(ROW()-4,Purchases!$L$5:$L$1004,0)),"")</f>
        <v>TR-WP-Lol-001</v>
      </c>
      <c r="B143" s="48" t="str">
        <f>IFERROR(VLOOKUP(A143,Purchases!$D:$E,2,FALSE),"")</f>
        <v>Wanpy Freeze Dried Swirlpop Cat Treat Lollipop with Chicken, Goat Milk &amp; Cat Grass 1.4gm 1pcs</v>
      </c>
      <c r="C143" s="48" t="str">
        <f>IFERROR(VLOOKUP(A143,Purchases!$D:$F,3,FALSE),"")</f>
        <v>Cat Treat</v>
      </c>
      <c r="D143" s="48">
        <f>IF(A143="","",SUMIF(Purchases!$D:$D,A143,Purchases!$K:$K))</f>
        <v>5</v>
      </c>
      <c r="E143" s="48">
        <f>IF(A143="","",SUMIFS(Sales!$H:$H,Sales!$F:$F,A143,Sales!$B:$B,"&lt;&gt;Return"))</f>
        <v>0</v>
      </c>
      <c r="F143" s="48">
        <f>IF(A143="","",SUMIFS(Sales!$H:$H,Sales!$F:$F,A143,Sales!$B:$B,"Return"))</f>
        <v>0</v>
      </c>
      <c r="G143" s="48">
        <f>IF($A143="","",SUMIF('Shop Ledger'!$C:$C,$A143,'Shop Ledger'!$F:$F))</f>
        <v>0</v>
      </c>
      <c r="H143" s="48">
        <f t="shared" si="1"/>
        <v>5</v>
      </c>
      <c r="I143" s="44">
        <f>IF(A143="","",IFERROR(SUMIF(Purchases!$D:$D,A143,Purchases!$I:$I)/D143,0))</f>
        <v>40</v>
      </c>
      <c r="J143" s="44">
        <f t="shared" si="2"/>
        <v>200</v>
      </c>
      <c r="K143" s="30">
        <f>IF($A143="","",IFERROR(VALUE(SUBSTITUTE(SUBSTITUTE(SUBSTITUTE(VLOOKUP($A143,Inventory!$O$5:$P$604,2,FALSE),"Tk","")," ",""),",","")),""))</f>
        <v>65</v>
      </c>
      <c r="L143" s="58">
        <f t="shared" si="3"/>
        <v>0.3846153846</v>
      </c>
      <c r="M143" s="58">
        <f t="shared" si="4"/>
        <v>0.625</v>
      </c>
      <c r="O143" s="59" t="str">
        <f t="shared" si="5"/>
        <v>TR-WP-Lol-001</v>
      </c>
      <c r="P143" s="52">
        <v>65.0</v>
      </c>
    </row>
    <row r="144" ht="14.25" customHeight="1">
      <c r="A144" s="29" t="str">
        <f t="array" ref="A144">IFERROR(INDEX(Purchases!$D$5:$D$1004,MATCH(ROW()-4,Purchases!$L$5:$L$1004,0)),"")</f>
        <v>TR-WP-Lol-002</v>
      </c>
      <c r="B144" s="48" t="str">
        <f>IFERROR(VLOOKUP(A144,Purchases!$D:$E,2,FALSE),"")</f>
        <v>Wanpy Freeze Dried Swirlpop Cat Treat Lollipop with Chicken, Goat Milk &amp; Cranberry 1.4gm 1pcs</v>
      </c>
      <c r="C144" s="48" t="str">
        <f>IFERROR(VLOOKUP(A144,Purchases!$D:$F,3,FALSE),"")</f>
        <v>Cat Treat</v>
      </c>
      <c r="D144" s="48">
        <f>IF(A144="","",SUMIF(Purchases!$D:$D,A144,Purchases!$K:$K))</f>
        <v>5</v>
      </c>
      <c r="E144" s="48">
        <f>IF(A144="","",SUMIFS(Sales!$H:$H,Sales!$F:$F,A144,Sales!$B:$B,"&lt;&gt;Return"))</f>
        <v>0</v>
      </c>
      <c r="F144" s="48">
        <f>IF(A144="","",SUMIFS(Sales!$H:$H,Sales!$F:$F,A144,Sales!$B:$B,"Return"))</f>
        <v>0</v>
      </c>
      <c r="G144" s="48">
        <f>IF($A144="","",SUMIF('Shop Ledger'!$C:$C,$A144,'Shop Ledger'!$F:$F))</f>
        <v>0</v>
      </c>
      <c r="H144" s="48">
        <f t="shared" si="1"/>
        <v>5</v>
      </c>
      <c r="I144" s="44">
        <f>IF(A144="","",IFERROR(SUMIF(Purchases!$D:$D,A144,Purchases!$I:$I)/D144,0))</f>
        <v>40</v>
      </c>
      <c r="J144" s="44">
        <f t="shared" si="2"/>
        <v>200</v>
      </c>
      <c r="K144" s="30">
        <f>IF($A144="","",IFERROR(VALUE(SUBSTITUTE(SUBSTITUTE(SUBSTITUTE(VLOOKUP($A144,Inventory!$O$5:$P$604,2,FALSE),"Tk","")," ",""),",","")),""))</f>
        <v>65</v>
      </c>
      <c r="L144" s="58">
        <f t="shared" si="3"/>
        <v>0.3846153846</v>
      </c>
      <c r="M144" s="58">
        <f t="shared" si="4"/>
        <v>0.625</v>
      </c>
      <c r="O144" s="59" t="str">
        <f t="shared" si="5"/>
        <v>TR-WP-Lol-002</v>
      </c>
      <c r="P144" s="52">
        <v>65.0</v>
      </c>
    </row>
    <row r="145" ht="14.25" customHeight="1">
      <c r="A145" s="29" t="str">
        <f t="array" ref="A145">IFERROR(INDEX(Purchases!$D$5:$D$1004,MATCH(ROW()-4,Purchases!$L$5:$L$1004,0)),"")</f>
        <v>TR-WP-ST-001</v>
      </c>
      <c r="B145" s="48" t="str">
        <f>IFERROR(VLOOKUP(A145,Purchases!$D:$E,2,FALSE),"")</f>
        <v>Wanpy Meaty Sticks Cat Treat Cat Grass &amp; Chicken 21gm 3pc's</v>
      </c>
      <c r="C145" s="48" t="str">
        <f>IFERROR(VLOOKUP(A145,Purchases!$D:$F,3,FALSE),"")</f>
        <v>Cat Treat</v>
      </c>
      <c r="D145" s="48">
        <f>IF(A145="","",SUMIF(Purchases!$D:$D,A145,Purchases!$K:$K))</f>
        <v>6</v>
      </c>
      <c r="E145" s="48">
        <f>IF(A145="","",SUMIFS(Sales!$H:$H,Sales!$F:$F,A145,Sales!$B:$B,"&lt;&gt;Return"))</f>
        <v>0</v>
      </c>
      <c r="F145" s="48">
        <f>IF(A145="","",SUMIFS(Sales!$H:$H,Sales!$F:$F,A145,Sales!$B:$B,"Return"))</f>
        <v>0</v>
      </c>
      <c r="G145" s="48">
        <f>IF($A145="","",SUMIF('Shop Ledger'!$C:$C,$A145,'Shop Ledger'!$F:$F))</f>
        <v>0</v>
      </c>
      <c r="H145" s="48">
        <f t="shared" si="1"/>
        <v>6</v>
      </c>
      <c r="I145" s="44">
        <f>IF(A145="","",IFERROR(SUMIF(Purchases!$D:$D,A145,Purchases!$I:$I)/D145,0))</f>
        <v>200</v>
      </c>
      <c r="J145" s="44">
        <f t="shared" si="2"/>
        <v>1200</v>
      </c>
      <c r="K145" s="30">
        <f>IF($A145="","",IFERROR(VALUE(SUBSTITUTE(SUBSTITUTE(SUBSTITUTE(VLOOKUP($A145,Inventory!$O$5:$P$604,2,FALSE),"Tk","")," ",""),",","")),""))</f>
        <v>280</v>
      </c>
      <c r="L145" s="58">
        <f t="shared" si="3"/>
        <v>0.2857142857</v>
      </c>
      <c r="M145" s="58">
        <f t="shared" si="4"/>
        <v>0.4</v>
      </c>
      <c r="O145" s="59" t="str">
        <f t="shared" si="5"/>
        <v>TR-WP-ST-001</v>
      </c>
      <c r="P145" s="52">
        <v>280.0</v>
      </c>
    </row>
    <row r="146" ht="14.25" customHeight="1">
      <c r="A146" s="29" t="str">
        <f t="array" ref="A146">IFERROR(INDEX(Purchases!$D$5:$D$1004,MATCH(ROW()-4,Purchases!$L$5:$L$1004,0)),"")</f>
        <v>TR-WP-ST-002</v>
      </c>
      <c r="B146" s="48" t="str">
        <f>IFERROR(VLOOKUP(A146,Purchases!$D:$E,2,FALSE),"")</f>
        <v>Wanpy Meaty Sticks Cat Treat Chicken 21gm 3pc's</v>
      </c>
      <c r="C146" s="48" t="str">
        <f>IFERROR(VLOOKUP(A146,Purchases!$D:$F,3,FALSE),"")</f>
        <v>Cat Treat</v>
      </c>
      <c r="D146" s="48">
        <f>IF(A146="","",SUMIF(Purchases!$D:$D,A146,Purchases!$K:$K))</f>
        <v>7</v>
      </c>
      <c r="E146" s="48">
        <f>IF(A146="","",SUMIFS(Sales!$H:$H,Sales!$F:$F,A146,Sales!$B:$B,"&lt;&gt;Return"))</f>
        <v>0</v>
      </c>
      <c r="F146" s="48">
        <f>IF(A146="","",SUMIFS(Sales!$H:$H,Sales!$F:$F,A146,Sales!$B:$B,"Return"))</f>
        <v>0</v>
      </c>
      <c r="G146" s="48">
        <f>IF($A146="","",SUMIF('Shop Ledger'!$C:$C,$A146,'Shop Ledger'!$F:$F))</f>
        <v>0</v>
      </c>
      <c r="H146" s="48">
        <f t="shared" si="1"/>
        <v>7</v>
      </c>
      <c r="I146" s="44">
        <f>IF(A146="","",IFERROR(SUMIF(Purchases!$D:$D,A146,Purchases!$I:$I)/D146,0))</f>
        <v>200</v>
      </c>
      <c r="J146" s="44">
        <f t="shared" si="2"/>
        <v>1400</v>
      </c>
      <c r="K146" s="30">
        <f>IF($A146="","",IFERROR(VALUE(SUBSTITUTE(SUBSTITUTE(SUBSTITUTE(VLOOKUP($A146,Inventory!$O$5:$P$604,2,FALSE),"Tk","")," ",""),",","")),""))</f>
        <v>280</v>
      </c>
      <c r="L146" s="58">
        <f t="shared" si="3"/>
        <v>0.2857142857</v>
      </c>
      <c r="M146" s="58">
        <f t="shared" si="4"/>
        <v>0.4</v>
      </c>
      <c r="O146" s="59" t="str">
        <f t="shared" si="5"/>
        <v>TR-WP-ST-002</v>
      </c>
      <c r="P146" s="52">
        <v>280.0</v>
      </c>
    </row>
    <row r="147" ht="14.25" customHeight="1">
      <c r="A147" s="29" t="str">
        <f t="array" ref="A147">IFERROR(INDEX(Purchases!$D$5:$D$1004,MATCH(ROW()-4,Purchases!$L$5:$L$1004,0)),"")</f>
        <v>TR-WP-ST-S-003</v>
      </c>
      <c r="B147" s="48" t="str">
        <f>IFERROR(VLOOKUP(A147,Purchases!$D:$E,2,FALSE),"")</f>
        <v>Wanpy Meaty Sticks Cat Treat Cat Grass &amp; Chicken 21gm Single</v>
      </c>
      <c r="C147" s="48" t="str">
        <f>IFERROR(VLOOKUP(A147,Purchases!$D:$F,3,FALSE),"")</f>
        <v>Cat Treat</v>
      </c>
      <c r="D147" s="48">
        <f>IF(A147="","",SUMIF(Purchases!$D:$D,A147,Purchases!$K:$K))</f>
        <v>3</v>
      </c>
      <c r="E147" s="48">
        <f>IF(A147="","",SUMIFS(Sales!$H:$H,Sales!$F:$F,A147,Sales!$B:$B,"&lt;&gt;Return"))</f>
        <v>0</v>
      </c>
      <c r="F147" s="48">
        <f>IF(A147="","",SUMIFS(Sales!$H:$H,Sales!$F:$F,A147,Sales!$B:$B,"Return"))</f>
        <v>0</v>
      </c>
      <c r="G147" s="48">
        <f>IF($A147="","",SUMIF('Shop Ledger'!$C:$C,$A147,'Shop Ledger'!$F:$F))</f>
        <v>0</v>
      </c>
      <c r="H147" s="48">
        <f t="shared" si="1"/>
        <v>3</v>
      </c>
      <c r="I147" s="44">
        <f>IF(A147="","",IFERROR(SUMIF(Purchases!$D:$D,A147,Purchases!$I:$I)/D147,0))</f>
        <v>66.6666</v>
      </c>
      <c r="J147" s="44">
        <f t="shared" si="2"/>
        <v>199.9998</v>
      </c>
      <c r="K147" s="30">
        <f>IF($A147="","",IFERROR(VALUE(SUBSTITUTE(SUBSTITUTE(SUBSTITUTE(VLOOKUP($A147,Inventory!$O$5:$P$604,2,FALSE),"Tk","")," ",""),",","")),""))</f>
        <v>100</v>
      </c>
      <c r="L147" s="58">
        <f t="shared" si="3"/>
        <v>0.333334</v>
      </c>
      <c r="M147" s="58">
        <f t="shared" si="4"/>
        <v>0.5000015</v>
      </c>
      <c r="O147" s="59" t="str">
        <f t="shared" si="5"/>
        <v>TR-WP-ST-S-003</v>
      </c>
      <c r="P147" s="52">
        <v>100.0</v>
      </c>
    </row>
    <row r="148" ht="14.25" customHeight="1">
      <c r="A148" s="29" t="str">
        <f t="array" ref="A148">IFERROR(INDEX(Purchases!$D$5:$D$1004,MATCH(ROW()-4,Purchases!$L$5:$L$1004,0)),"")</f>
        <v>TR-WP-ST-S-004</v>
      </c>
      <c r="B148" s="48" t="str">
        <f>IFERROR(VLOOKUP(A148,Purchases!$D:$E,2,FALSE),"")</f>
        <v>Wanpy Meaty Sticks Cat Treat Chicken 21gm Single</v>
      </c>
      <c r="C148" s="48" t="str">
        <f>IFERROR(VLOOKUP(A148,Purchases!$D:$F,3,FALSE),"")</f>
        <v>Cat Treat</v>
      </c>
      <c r="D148" s="48">
        <f>IF(A148="","",SUMIF(Purchases!$D:$D,A148,Purchases!$K:$K))</f>
        <v>3</v>
      </c>
      <c r="E148" s="48">
        <f>IF(A148="","",SUMIFS(Sales!$H:$H,Sales!$F:$F,A148,Sales!$B:$B,"&lt;&gt;Return"))</f>
        <v>0</v>
      </c>
      <c r="F148" s="48">
        <f>IF(A148="","",SUMIFS(Sales!$H:$H,Sales!$F:$F,A148,Sales!$B:$B,"Return"))</f>
        <v>0</v>
      </c>
      <c r="G148" s="48">
        <f>IF($A148="","",SUMIF('Shop Ledger'!$C:$C,$A148,'Shop Ledger'!$F:$F))</f>
        <v>0</v>
      </c>
      <c r="H148" s="48">
        <f t="shared" si="1"/>
        <v>3</v>
      </c>
      <c r="I148" s="44">
        <f>IF(A148="","",IFERROR(SUMIF(Purchases!$D:$D,A148,Purchases!$I:$I)/D148,0))</f>
        <v>66.6666</v>
      </c>
      <c r="J148" s="44">
        <f t="shared" si="2"/>
        <v>199.9998</v>
      </c>
      <c r="K148" s="30">
        <f>IF($A148="","",IFERROR(VALUE(SUBSTITUTE(SUBSTITUTE(SUBSTITUTE(VLOOKUP($A148,Inventory!$O$5:$P$604,2,FALSE),"Tk","")," ",""),",","")),""))</f>
        <v>100</v>
      </c>
      <c r="L148" s="58">
        <f t="shared" si="3"/>
        <v>0.333334</v>
      </c>
      <c r="M148" s="58">
        <f t="shared" si="4"/>
        <v>0.5000015</v>
      </c>
      <c r="O148" s="59" t="str">
        <f t="shared" si="5"/>
        <v>TR-WP-ST-S-004</v>
      </c>
      <c r="P148" s="52">
        <v>100.0</v>
      </c>
    </row>
    <row r="149" ht="14.25" customHeight="1">
      <c r="A149" s="29" t="str">
        <f t="array" ref="A149">IFERROR(INDEX(Purchases!$D$5:$D$1004,MATCH(ROW()-4,Purchases!$L$5:$L$1004,0)),"")</f>
        <v>AC-SHAMP-H-001</v>
      </c>
      <c r="B149" s="48" t="str">
        <f>IFERROR(VLOOKUP(A149,Purchases!$D:$E,2,FALSE),"")</f>
        <v>Himalayan Erina EP Tick &amp; Flea Shampoo 250ml</v>
      </c>
      <c r="C149" s="48" t="str">
        <f>IFERROR(VLOOKUP(A149,Purchases!$D:$F,3,FALSE),"")</f>
        <v>Cat Accessories</v>
      </c>
      <c r="D149" s="48">
        <f>IF(A149="","",SUMIF(Purchases!$D:$D,A149,Purchases!$K:$K))</f>
        <v>2</v>
      </c>
      <c r="E149" s="48">
        <f>IF(A149="","",SUMIFS(Sales!$H:$H,Sales!$F:$F,A149,Sales!$B:$B,"&lt;&gt;Return"))</f>
        <v>0</v>
      </c>
      <c r="F149" s="48">
        <f>IF(A149="","",SUMIFS(Sales!$H:$H,Sales!$F:$F,A149,Sales!$B:$B,"Return"))</f>
        <v>0</v>
      </c>
      <c r="G149" s="48">
        <f>IF($A149="","",SUMIF('Shop Ledger'!$C:$C,$A149,'Shop Ledger'!$F:$F))</f>
        <v>0</v>
      </c>
      <c r="H149" s="48">
        <f t="shared" si="1"/>
        <v>2</v>
      </c>
      <c r="I149" s="44">
        <f>IF(A149="","",IFERROR(SUMIF(Purchases!$D:$D,A149,Purchases!$I:$I)/D149,0))</f>
        <v>450</v>
      </c>
      <c r="J149" s="44">
        <f t="shared" si="2"/>
        <v>900</v>
      </c>
      <c r="K149" s="30">
        <f>IF($A149="","",IFERROR(VALUE(SUBSTITUTE(SUBSTITUTE(SUBSTITUTE(VLOOKUP($A149,Inventory!$O$5:$P$604,2,FALSE),"Tk","")," ",""),",","")),""))</f>
        <v>620</v>
      </c>
      <c r="L149" s="58">
        <f t="shared" si="3"/>
        <v>0.2741935484</v>
      </c>
      <c r="M149" s="58">
        <f t="shared" si="4"/>
        <v>0.3777777778</v>
      </c>
      <c r="O149" s="59" t="str">
        <f t="shared" si="5"/>
        <v>AC-SHAMP-H-001</v>
      </c>
      <c r="P149" s="52">
        <v>620.0</v>
      </c>
    </row>
    <row r="150" ht="14.25" customHeight="1">
      <c r="A150" s="29" t="str">
        <f t="array" ref="A150">IFERROR(INDEX(Purchases!$D$5:$D$1004,MATCH(ROW()-4,Purchases!$L$5:$L$1004,0)),"")</f>
        <v>AC-Grass-001</v>
      </c>
      <c r="B150" s="48" t="str">
        <f>IFERROR(VLOOKUP(A150,Purchases!$D:$E,2,FALSE),"")</f>
        <v>Cat Grass Teething Stick 30gm</v>
      </c>
      <c r="C150" s="48" t="str">
        <f>IFERROR(VLOOKUP(A150,Purchases!$D:$F,3,FALSE),"")</f>
        <v>Cat Accessories</v>
      </c>
      <c r="D150" s="48">
        <f>IF(A150="","",SUMIF(Purchases!$D:$D,A150,Purchases!$K:$K))</f>
        <v>2</v>
      </c>
      <c r="E150" s="48">
        <f>IF(A150="","",SUMIFS(Sales!$H:$H,Sales!$F:$F,A150,Sales!$B:$B,"&lt;&gt;Return"))</f>
        <v>0</v>
      </c>
      <c r="F150" s="48">
        <f>IF(A150="","",SUMIFS(Sales!$H:$H,Sales!$F:$F,A150,Sales!$B:$B,"Return"))</f>
        <v>0</v>
      </c>
      <c r="G150" s="48">
        <f>IF($A150="","",SUMIF('Shop Ledger'!$C:$C,$A150,'Shop Ledger'!$F:$F))</f>
        <v>0</v>
      </c>
      <c r="H150" s="48">
        <f t="shared" si="1"/>
        <v>2</v>
      </c>
      <c r="I150" s="44">
        <f>IF(A150="","",IFERROR(SUMIF(Purchases!$D:$D,A150,Purchases!$I:$I)/D150,0))</f>
        <v>130</v>
      </c>
      <c r="J150" s="44">
        <f t="shared" si="2"/>
        <v>260</v>
      </c>
      <c r="K150" s="30">
        <f>IF($A150="","",IFERROR(VALUE(SUBSTITUTE(SUBSTITUTE(SUBSTITUTE(VLOOKUP($A150,Inventory!$O$5:$P$604,2,FALSE),"Tk","")," ",""),",","")),""))</f>
        <v>220</v>
      </c>
      <c r="L150" s="58">
        <f t="shared" si="3"/>
        <v>0.4090909091</v>
      </c>
      <c r="M150" s="58">
        <f t="shared" si="4"/>
        <v>0.6923076923</v>
      </c>
      <c r="O150" s="59" t="str">
        <f t="shared" si="5"/>
        <v>AC-Grass-001</v>
      </c>
      <c r="P150" s="52">
        <v>220.0</v>
      </c>
    </row>
    <row r="151" ht="14.25" customHeight="1">
      <c r="A151" s="29" t="str">
        <f t="array" ref="A151">IFERROR(INDEX(Purchases!$D$5:$D$1004,MATCH(ROW()-4,Purchases!$L$5:$L$1004,0)),"")</f>
        <v>LT-LM-Clean-5L-001</v>
      </c>
      <c r="B151" s="48" t="str">
        <f>IFERROR(VLOOKUP(A151,Purchases!$D:$E,2,FALSE),"")</f>
        <v>Clean Step Litter Lemon 5L</v>
      </c>
      <c r="C151" s="48" t="str">
        <f>IFERROR(VLOOKUP(A151,Purchases!$D:$F,3,FALSE),"")</f>
        <v>Cat Litter</v>
      </c>
      <c r="D151" s="48">
        <f>IF(A151="","",SUMIF(Purchases!$D:$D,A151,Purchases!$K:$K))</f>
        <v>18</v>
      </c>
      <c r="E151" s="48">
        <f>IF(A151="","",SUMIFS(Sales!$H:$H,Sales!$F:$F,A151,Sales!$B:$B,"&lt;&gt;Return"))</f>
        <v>2</v>
      </c>
      <c r="F151" s="48">
        <f>IF(A151="","",SUMIFS(Sales!$H:$H,Sales!$F:$F,A151,Sales!$B:$B,"Return"))</f>
        <v>0</v>
      </c>
      <c r="G151" s="48">
        <f>IF($A151="","",SUMIF('Shop Ledger'!$C:$C,$A151,'Shop Ledger'!$F:$F))</f>
        <v>0</v>
      </c>
      <c r="H151" s="48">
        <f t="shared" si="1"/>
        <v>16</v>
      </c>
      <c r="I151" s="44">
        <f>IF(A151="","",IFERROR(SUMIF(Purchases!$D:$D,A151,Purchases!$I:$I)/D151,0))</f>
        <v>200</v>
      </c>
      <c r="J151" s="44">
        <f t="shared" si="2"/>
        <v>3200</v>
      </c>
      <c r="K151" s="30">
        <f>IF($A151="","",IFERROR(VALUE(SUBSTITUTE(SUBSTITUTE(SUBSTITUTE(VLOOKUP($A151,Inventory!$O$5:$P$604,2,FALSE),"Tk","")," ",""),",","")),""))</f>
        <v>300</v>
      </c>
      <c r="L151" s="58">
        <f t="shared" si="3"/>
        <v>0.3333333333</v>
      </c>
      <c r="M151" s="58">
        <f t="shared" si="4"/>
        <v>0.5</v>
      </c>
      <c r="O151" s="59" t="str">
        <f t="shared" si="5"/>
        <v>LT-LM-Clean-5L-001</v>
      </c>
      <c r="P151" s="114">
        <v>300.0</v>
      </c>
    </row>
    <row r="152" ht="14.25" customHeight="1">
      <c r="A152" s="29" t="str">
        <f t="array" ref="A152">IFERROR(INDEX(Purchases!$D$5:$D$1004,MATCH(ROW()-4,Purchases!$L$5:$L$1004,0)),"")</f>
        <v>LT-LV-Clean-5L-001</v>
      </c>
      <c r="B152" s="48" t="str">
        <f>IFERROR(VLOOKUP(A152,Purchases!$D:$E,2,FALSE),"")</f>
        <v>Clean Step Litter Lavender 5L</v>
      </c>
      <c r="C152" s="48" t="str">
        <f>IFERROR(VLOOKUP(A152,Purchases!$D:$F,3,FALSE),"")</f>
        <v>Cat Litter</v>
      </c>
      <c r="D152" s="48">
        <f>IF(A152="","",SUMIF(Purchases!$D:$D,A152,Purchases!$K:$K))</f>
        <v>18</v>
      </c>
      <c r="E152" s="48">
        <f>IF(A152="","",SUMIFS(Sales!$H:$H,Sales!$F:$F,A152,Sales!$B:$B,"&lt;&gt;Return"))</f>
        <v>8</v>
      </c>
      <c r="F152" s="48">
        <f>IF(A152="","",SUMIFS(Sales!$H:$H,Sales!$F:$F,A152,Sales!$B:$B,"Return"))</f>
        <v>0</v>
      </c>
      <c r="G152" s="48">
        <f>IF($A152="","",SUMIF('Shop Ledger'!$C:$C,$A152,'Shop Ledger'!$F:$F))</f>
        <v>0</v>
      </c>
      <c r="H152" s="48">
        <f t="shared" si="1"/>
        <v>10</v>
      </c>
      <c r="I152" s="44">
        <f>IF(A152="","",IFERROR(SUMIF(Purchases!$D:$D,A152,Purchases!$I:$I)/D152,0))</f>
        <v>200</v>
      </c>
      <c r="J152" s="44">
        <f t="shared" si="2"/>
        <v>2000</v>
      </c>
      <c r="K152" s="30">
        <f>IF($A152="","",IFERROR(VALUE(SUBSTITUTE(SUBSTITUTE(SUBSTITUTE(VLOOKUP($A152,Inventory!$O$5:$P$604,2,FALSE),"Tk","")," ",""),",","")),""))</f>
        <v>300</v>
      </c>
      <c r="L152" s="58">
        <f t="shared" si="3"/>
        <v>0.3333333333</v>
      </c>
      <c r="M152" s="58">
        <f t="shared" si="4"/>
        <v>0.5</v>
      </c>
      <c r="O152" s="59" t="str">
        <f t="shared" si="5"/>
        <v>LT-LV-Clean-5L-001</v>
      </c>
      <c r="P152" s="114">
        <v>300.0</v>
      </c>
    </row>
    <row r="153" ht="14.25" customHeight="1">
      <c r="A153" s="29" t="str">
        <f t="array" ref="A153">IFERROR(INDEX(Purchases!$D$5:$D$1004,MATCH(ROW()-4,Purchases!$L$5:$L$1004,0)),"")</f>
        <v>LT-LM-LUM-10L-005</v>
      </c>
      <c r="B153" s="48" t="str">
        <f>IFERROR(VLOOKUP(A153,Purchases!$D:$E,2,FALSE),"")</f>
        <v>Lumina Cat Litter Lemon 10L</v>
      </c>
      <c r="C153" s="48" t="str">
        <f>IFERROR(VLOOKUP(A153,Purchases!$D:$F,3,FALSE),"")</f>
        <v>Cat Litter</v>
      </c>
      <c r="D153" s="48">
        <f>IF(A153="","",SUMIF(Purchases!$D:$D,A153,Purchases!$K:$K))</f>
        <v>6</v>
      </c>
      <c r="E153" s="48">
        <f>IF(A153="","",SUMIFS(Sales!$H:$H,Sales!$F:$F,A153,Sales!$B:$B,"&lt;&gt;Return"))</f>
        <v>0</v>
      </c>
      <c r="F153" s="48">
        <f>IF(A153="","",SUMIFS(Sales!$H:$H,Sales!$F:$F,A153,Sales!$B:$B,"Return"))</f>
        <v>0</v>
      </c>
      <c r="G153" s="48">
        <f>IF($A153="","",SUMIF('Shop Ledger'!$C:$C,$A153,'Shop Ledger'!$F:$F))</f>
        <v>0</v>
      </c>
      <c r="H153" s="48">
        <f t="shared" si="1"/>
        <v>6</v>
      </c>
      <c r="I153" s="44">
        <f>IF(A153="","",IFERROR(SUMIF(Purchases!$D:$D,A153,Purchases!$I:$I)/D153,0))</f>
        <v>385</v>
      </c>
      <c r="J153" s="44">
        <f t="shared" si="2"/>
        <v>2310</v>
      </c>
      <c r="K153" s="30">
        <f>IF($A153="","",IFERROR(VALUE(SUBSTITUTE(SUBSTITUTE(SUBSTITUTE(VLOOKUP($A153,Inventory!$O$5:$P$604,2,FALSE),"Tk","")," ",""),",","")),""))</f>
        <v>550</v>
      </c>
      <c r="L153" s="58">
        <f t="shared" si="3"/>
        <v>0.3</v>
      </c>
      <c r="M153" s="58">
        <f t="shared" si="4"/>
        <v>0.4285714286</v>
      </c>
      <c r="O153" s="59" t="str">
        <f t="shared" si="5"/>
        <v>LT-LM-LUM-10L-005</v>
      </c>
      <c r="P153" s="52">
        <v>550.0</v>
      </c>
    </row>
    <row r="154" ht="14.25" customHeight="1">
      <c r="A154" s="29" t="str">
        <f t="array" ref="A154">IFERROR(INDEX(Purchases!$D$5:$D$1004,MATCH(ROW()-4,Purchases!$L$5:$L$1004,0)),"")</f>
        <v>LT-CoF-LUM-25L-002</v>
      </c>
      <c r="B154" s="48" t="str">
        <f>IFERROR(VLOOKUP(A154,Purchases!$D:$E,2,FALSE),"")</f>
        <v>LuminaCat Litter Coffee 25L</v>
      </c>
      <c r="C154" s="48" t="str">
        <f>IFERROR(VLOOKUP(A154,Purchases!$D:$F,3,FALSE),"")</f>
        <v>Cat Litter</v>
      </c>
      <c r="D154" s="48">
        <f>IF(A154="","",SUMIF(Purchases!$D:$D,A154,Purchases!$K:$K))</f>
        <v>2</v>
      </c>
      <c r="E154" s="48">
        <f>IF(A154="","",SUMIFS(Sales!$H:$H,Sales!$F:$F,A154,Sales!$B:$B,"&lt;&gt;Return"))</f>
        <v>1</v>
      </c>
      <c r="F154" s="48">
        <f>IF(A154="","",SUMIFS(Sales!$H:$H,Sales!$F:$F,A154,Sales!$B:$B,"Return"))</f>
        <v>0</v>
      </c>
      <c r="G154" s="48">
        <f>IF($A154="","",SUMIF('Shop Ledger'!$C:$C,$A154,'Shop Ledger'!$F:$F))</f>
        <v>0</v>
      </c>
      <c r="H154" s="48">
        <f t="shared" si="1"/>
        <v>1</v>
      </c>
      <c r="I154" s="44">
        <f>IF(A154="","",IFERROR(SUMIF(Purchases!$D:$D,A154,Purchases!$I:$I)/D154,0))</f>
        <v>950</v>
      </c>
      <c r="J154" s="44">
        <f t="shared" si="2"/>
        <v>950</v>
      </c>
      <c r="K154" s="30">
        <f>IF($A154="","",IFERROR(VALUE(SUBSTITUTE(SUBSTITUTE(SUBSTITUTE(VLOOKUP($A154,Inventory!$O$5:$P$604,2,FALSE),"Tk","")," ",""),",","")),""))</f>
        <v>1450</v>
      </c>
      <c r="L154" s="58">
        <f t="shared" si="3"/>
        <v>0.3448275862</v>
      </c>
      <c r="M154" s="58">
        <f t="shared" si="4"/>
        <v>0.5263157895</v>
      </c>
      <c r="O154" s="59" t="str">
        <f t="shared" si="5"/>
        <v>LT-CoF-LUM-25L-002</v>
      </c>
      <c r="P154" s="52">
        <v>1450.0</v>
      </c>
    </row>
    <row r="155" ht="14.25" customHeight="1">
      <c r="A155" s="29" t="str">
        <f t="array" ref="A155">IFERROR(INDEX(Purchases!$D$5:$D$1004,MATCH(ROW()-4,Purchases!$L$5:$L$1004,0)),"")</f>
        <v>LT-LM-DC-25L-001</v>
      </c>
      <c r="B155" s="48" t="str">
        <f>IFERROR(VLOOKUP(A155,Purchases!$D:$E,2,FALSE),"")</f>
        <v>Dr Clump Lemon Falvor 25L</v>
      </c>
      <c r="C155" s="48" t="str">
        <f>IFERROR(VLOOKUP(A155,Purchases!$D:$F,3,FALSE),"")</f>
        <v>Cat Litter</v>
      </c>
      <c r="D155" s="48">
        <f>IF(A155="","",SUMIF(Purchases!$D:$D,A155,Purchases!$K:$K))</f>
        <v>2</v>
      </c>
      <c r="E155" s="48">
        <f>IF(A155="","",SUMIFS(Sales!$H:$H,Sales!$F:$F,A155,Sales!$B:$B,"&lt;&gt;Return"))</f>
        <v>0</v>
      </c>
      <c r="F155" s="48">
        <f>IF(A155="","",SUMIFS(Sales!$H:$H,Sales!$F:$F,A155,Sales!$B:$B,"Return"))</f>
        <v>0</v>
      </c>
      <c r="G155" s="48">
        <f>IF($A155="","",SUMIF('Shop Ledger'!$C:$C,$A155,'Shop Ledger'!$F:$F))</f>
        <v>0</v>
      </c>
      <c r="H155" s="48">
        <f t="shared" si="1"/>
        <v>2</v>
      </c>
      <c r="I155" s="44">
        <f>IF(A155="","",IFERROR(SUMIF(Purchases!$D:$D,A155,Purchases!$I:$I)/D155,0))</f>
        <v>950</v>
      </c>
      <c r="J155" s="44">
        <f t="shared" si="2"/>
        <v>1900</v>
      </c>
      <c r="K155" s="30">
        <f>IF($A155="","",IFERROR(VALUE(SUBSTITUTE(SUBSTITUTE(SUBSTITUTE(VLOOKUP($A155,Inventory!$O$5:$P$604,2,FALSE),"Tk","")," ",""),",","")),""))</f>
        <v>1450</v>
      </c>
      <c r="L155" s="58">
        <f t="shared" si="3"/>
        <v>0.3448275862</v>
      </c>
      <c r="M155" s="58">
        <f t="shared" si="4"/>
        <v>0.5263157895</v>
      </c>
      <c r="O155" s="59" t="str">
        <f t="shared" si="5"/>
        <v>LT-LM-DC-25L-001</v>
      </c>
      <c r="P155" s="52">
        <v>1450.0</v>
      </c>
    </row>
    <row r="156" ht="14.25" customHeight="1">
      <c r="A156" s="29" t="str">
        <f t="array" ref="A156">IFERROR(INDEX(Purchases!$D$5:$D$1004,MATCH(ROW()-4,Purchases!$L$5:$L$1004,0)),"")</f>
        <v>LT-Coffee-DC-25L-001</v>
      </c>
      <c r="B156" s="48" t="str">
        <f>IFERROR(VLOOKUP(A156,Purchases!$D:$E,2,FALSE),"")</f>
        <v>Dr Clump Coffee Falvor 25L</v>
      </c>
      <c r="C156" s="48" t="str">
        <f>IFERROR(VLOOKUP(A156,Purchases!$D:$F,3,FALSE),"")</f>
        <v>Cat Litter</v>
      </c>
      <c r="D156" s="48">
        <f>IF(A156="","",SUMIF(Purchases!$D:$D,A156,Purchases!$K:$K))</f>
        <v>1</v>
      </c>
      <c r="E156" s="48">
        <f>IF(A156="","",SUMIFS(Sales!$H:$H,Sales!$F:$F,A156,Sales!$B:$B,"&lt;&gt;Return"))</f>
        <v>1</v>
      </c>
      <c r="F156" s="48">
        <f>IF(A156="","",SUMIFS(Sales!$H:$H,Sales!$F:$F,A156,Sales!$B:$B,"Return"))</f>
        <v>0</v>
      </c>
      <c r="G156" s="48">
        <f>IF($A156="","",SUMIF('Shop Ledger'!$C:$C,$A156,'Shop Ledger'!$F:$F))</f>
        <v>0</v>
      </c>
      <c r="H156" s="48">
        <f t="shared" si="1"/>
        <v>0</v>
      </c>
      <c r="I156" s="44">
        <f>IF(A156="","",IFERROR(SUMIF(Purchases!$D:$D,A156,Purchases!$I:$I)/D156,0))</f>
        <v>950</v>
      </c>
      <c r="J156" s="44">
        <f t="shared" si="2"/>
        <v>0</v>
      </c>
      <c r="K156" s="30">
        <f>IF($A156="","",IFERROR(VALUE(SUBSTITUTE(SUBSTITUTE(SUBSTITUTE(VLOOKUP($A156,Inventory!$O$5:$P$604,2,FALSE),"Tk","")," ",""),",","")),""))</f>
        <v>1450</v>
      </c>
      <c r="L156" s="58">
        <f t="shared" si="3"/>
        <v>0.3448275862</v>
      </c>
      <c r="M156" s="58">
        <f t="shared" si="4"/>
        <v>0.5263157895</v>
      </c>
      <c r="O156" s="59" t="str">
        <f t="shared" si="5"/>
        <v>LT-Coffee-DC-25L-001</v>
      </c>
      <c r="P156" s="52">
        <v>1450.0</v>
      </c>
    </row>
    <row r="157" ht="14.25" customHeight="1">
      <c r="A157" s="29" t="str">
        <f t="array" ref="A157">IFERROR(INDEX(Purchases!$D$5:$D$1004,MATCH(ROW()-4,Purchases!$L$5:$L$1004,0)),"")</f>
        <v>LT-LV-DC-25L-001</v>
      </c>
      <c r="B157" s="48" t="str">
        <f>IFERROR(VLOOKUP(A157,Purchases!$D:$E,2,FALSE),"")</f>
        <v>Dr Clump Lavender Falvor 25L</v>
      </c>
      <c r="C157" s="48" t="str">
        <f>IFERROR(VLOOKUP(A157,Purchases!$D:$F,3,FALSE),"")</f>
        <v>Cat Litter</v>
      </c>
      <c r="D157" s="48">
        <f>IF(A157="","",SUMIF(Purchases!$D:$D,A157,Purchases!$K:$K))</f>
        <v>1</v>
      </c>
      <c r="E157" s="48">
        <f>IF(A157="","",SUMIFS(Sales!$H:$H,Sales!$F:$F,A157,Sales!$B:$B,"&lt;&gt;Return"))</f>
        <v>0</v>
      </c>
      <c r="F157" s="48">
        <f>IF(A157="","",SUMIFS(Sales!$H:$H,Sales!$F:$F,A157,Sales!$B:$B,"Return"))</f>
        <v>0</v>
      </c>
      <c r="G157" s="48">
        <f>IF($A157="","",SUMIF('Shop Ledger'!$C:$C,$A157,'Shop Ledger'!$F:$F))</f>
        <v>0</v>
      </c>
      <c r="H157" s="48">
        <f t="shared" si="1"/>
        <v>1</v>
      </c>
      <c r="I157" s="44">
        <f>IF(A157="","",IFERROR(SUMIF(Purchases!$D:$D,A157,Purchases!$I:$I)/D157,0))</f>
        <v>950</v>
      </c>
      <c r="J157" s="44">
        <f t="shared" si="2"/>
        <v>950</v>
      </c>
      <c r="K157" s="30">
        <f>IF($A157="","",IFERROR(VALUE(SUBSTITUTE(SUBSTITUTE(SUBSTITUTE(VLOOKUP($A157,Inventory!$O$5:$P$604,2,FALSE),"Tk","")," ",""),",","")),""))</f>
        <v>1450</v>
      </c>
      <c r="L157" s="58">
        <f t="shared" si="3"/>
        <v>0.3448275862</v>
      </c>
      <c r="M157" s="58">
        <f t="shared" si="4"/>
        <v>0.5263157895</v>
      </c>
      <c r="O157" s="59" t="str">
        <f t="shared" si="5"/>
        <v>LT-LV-DC-25L-001</v>
      </c>
      <c r="P157" s="52">
        <v>1450.0</v>
      </c>
    </row>
    <row r="158" ht="14.25" customHeight="1">
      <c r="A158" s="29" t="str">
        <f t="array" ref="A158">IFERROR(INDEX(Purchases!$D$5:$D$1004,MATCH(ROW()-4,Purchases!$L$5:$L$1004,0)),"")</f>
        <v>TR-TAI-MUL-15G-001</v>
      </c>
      <c r="B158" s="48" t="str">
        <f>IFERROR(VLOOKUP(A158,Purchases!$D:$E,2,FALSE),"")</f>
        <v>Taipet Multivitamin Treat 15gm</v>
      </c>
      <c r="C158" s="48" t="str">
        <f>IFERROR(VLOOKUP(A158,Purchases!$D:$F,3,FALSE),"")</f>
        <v>Cat Treat</v>
      </c>
      <c r="D158" s="48">
        <f>IF(A158="","",SUMIF(Purchases!$D:$D,A158,Purchases!$K:$K))</f>
        <v>10</v>
      </c>
      <c r="E158" s="48">
        <f>IF(A158="","",SUMIFS(Sales!$H:$H,Sales!$F:$F,A158,Sales!$B:$B,"&lt;&gt;Return"))</f>
        <v>5</v>
      </c>
      <c r="F158" s="48">
        <f>IF(A158="","",SUMIFS(Sales!$H:$H,Sales!$F:$F,A158,Sales!$B:$B,"Return"))</f>
        <v>0</v>
      </c>
      <c r="G158" s="48">
        <f>IF($A158="","",SUMIF('Shop Ledger'!$C:$C,$A158,'Shop Ledger'!$F:$F))</f>
        <v>0</v>
      </c>
      <c r="H158" s="48">
        <f t="shared" si="1"/>
        <v>5</v>
      </c>
      <c r="I158" s="44">
        <f>IF(A158="","",IFERROR(SUMIF(Purchases!$D:$D,A158,Purchases!$I:$I)/D158,0))</f>
        <v>20</v>
      </c>
      <c r="J158" s="44">
        <f t="shared" si="2"/>
        <v>100</v>
      </c>
      <c r="K158" s="30">
        <f>IF($A158="","",IFERROR(VALUE(SUBSTITUTE(SUBSTITUTE(SUBSTITUTE(VLOOKUP($A158,Inventory!$O$5:$P$604,2,FALSE),"Tk","")," ",""),",","")),""))</f>
        <v>40</v>
      </c>
      <c r="L158" s="58">
        <f t="shared" si="3"/>
        <v>0.5</v>
      </c>
      <c r="M158" s="58">
        <f t="shared" si="4"/>
        <v>1</v>
      </c>
      <c r="O158" s="59" t="str">
        <f t="shared" si="5"/>
        <v>TR-TAI-MUL-15G-001</v>
      </c>
      <c r="P158" s="52">
        <v>40.0</v>
      </c>
    </row>
    <row r="159" ht="14.25" customHeight="1">
      <c r="A159" s="29" t="str">
        <f t="array" ref="A159">IFERROR(INDEX(Purchases!$D$5:$D$1004,MATCH(ROW()-4,Purchases!$L$5:$L$1004,0)),"")</f>
        <v>FD-DRY-BON-AD-0001</v>
      </c>
      <c r="B159" s="48" t="str">
        <f>IFERROR(VLOOKUP(A159,Purchases!$D:$E,2,FALSE),"")</f>
        <v>Bonacibo Super Premium Cat (Chicken, Rice with Anchovy) 2KG</v>
      </c>
      <c r="C159" s="48" t="str">
        <f>IFERROR(VLOOKUP(A159,Purchases!$D:$F,3,FALSE),"")</f>
        <v>Cat Food</v>
      </c>
      <c r="D159" s="48">
        <f>IF(A159="","",SUMIF(Purchases!$D:$D,A159,Purchases!$K:$K))</f>
        <v>10</v>
      </c>
      <c r="E159" s="48">
        <f>IF(A159="","",SUMIFS(Sales!$H:$H,Sales!$F:$F,A159,Sales!$B:$B,"&lt;&gt;Return"))</f>
        <v>0</v>
      </c>
      <c r="F159" s="48">
        <f>IF(A159="","",SUMIFS(Sales!$H:$H,Sales!$F:$F,A159,Sales!$B:$B,"Return"))</f>
        <v>0</v>
      </c>
      <c r="G159" s="48">
        <f>IF($A159="","",SUMIF('Shop Ledger'!$C:$C,$A159,'Shop Ledger'!$F:$F))</f>
        <v>0</v>
      </c>
      <c r="H159" s="48">
        <f t="shared" si="1"/>
        <v>10</v>
      </c>
      <c r="I159" s="44">
        <f>IF(A159="","",IFERROR(SUMIF(Purchases!$D:$D,A159,Purchases!$I:$I)/D159,0))</f>
        <v>1000</v>
      </c>
      <c r="J159" s="44">
        <f t="shared" si="2"/>
        <v>10000</v>
      </c>
      <c r="K159" s="30">
        <f>IF($A159="","",IFERROR(VALUE(SUBSTITUTE(SUBSTITUTE(SUBSTITUTE(VLOOKUP($A159,Inventory!$O$5:$P$604,2,FALSE),"Tk","")," ",""),",","")),""))</f>
        <v>1250</v>
      </c>
      <c r="L159" s="58">
        <f t="shared" si="3"/>
        <v>0.2</v>
      </c>
      <c r="M159" s="58">
        <f t="shared" si="4"/>
        <v>0.25</v>
      </c>
      <c r="O159" s="59" t="str">
        <f t="shared" si="5"/>
        <v>FD-DRY-BON-AD-0001</v>
      </c>
      <c r="P159" s="114">
        <v>1250.0</v>
      </c>
    </row>
    <row r="160" ht="14.25" customHeight="1">
      <c r="A160" s="29" t="str">
        <f t="array" ref="A160">IFERROR(INDEX(Purchases!$D$5:$D$1004,MATCH(ROW()-4,Purchases!$L$5:$L$1004,0)),"")</f>
        <v>FD-DRY-BON-KT-0001</v>
      </c>
      <c r="B160" s="48" t="str">
        <f>IFERROR(VLOOKUP(A160,Purchases!$D:$E,2,FALSE),"")</f>
        <v>Bonacibo Super Premium Cat (Chicken, Rice with Anchovy) 1.5KG</v>
      </c>
      <c r="C160" s="48" t="str">
        <f>IFERROR(VLOOKUP(A160,Purchases!$D:$F,3,FALSE),"")</f>
        <v>Cat Food</v>
      </c>
      <c r="D160" s="48">
        <f>IF(A160="","",SUMIF(Purchases!$D:$D,A160,Purchases!$K:$K))</f>
        <v>10</v>
      </c>
      <c r="E160" s="48">
        <f>IF(A160="","",SUMIFS(Sales!$H:$H,Sales!$F:$F,A160,Sales!$B:$B,"&lt;&gt;Return"))</f>
        <v>0</v>
      </c>
      <c r="F160" s="48">
        <f>IF(A160="","",SUMIFS(Sales!$H:$H,Sales!$F:$F,A160,Sales!$B:$B,"Return"))</f>
        <v>0</v>
      </c>
      <c r="G160" s="48">
        <f>IF($A160="","",SUMIF('Shop Ledger'!$C:$C,$A160,'Shop Ledger'!$F:$F))</f>
        <v>0</v>
      </c>
      <c r="H160" s="48">
        <f t="shared" si="1"/>
        <v>10</v>
      </c>
      <c r="I160" s="44">
        <f>IF(A160="","",IFERROR(SUMIF(Purchases!$D:$D,A160,Purchases!$I:$I)/D160,0))</f>
        <v>800</v>
      </c>
      <c r="J160" s="44">
        <f t="shared" si="2"/>
        <v>8000</v>
      </c>
      <c r="K160" s="30">
        <f>IF($A160="","",IFERROR(VALUE(SUBSTITUTE(SUBSTITUTE(SUBSTITUTE(VLOOKUP($A160,Inventory!$O$5:$P$604,2,FALSE),"Tk","")," ",""),",","")),""))</f>
        <v>1050</v>
      </c>
      <c r="L160" s="58">
        <f t="shared" si="3"/>
        <v>0.2380952381</v>
      </c>
      <c r="M160" s="58">
        <f t="shared" si="4"/>
        <v>0.3125</v>
      </c>
      <c r="O160" s="59" t="str">
        <f t="shared" si="5"/>
        <v>FD-DRY-BON-KT-0001</v>
      </c>
      <c r="P160" s="114">
        <v>1050.0</v>
      </c>
    </row>
    <row r="161" ht="14.25" customHeight="1">
      <c r="A161" s="29" t="str">
        <f t="array" ref="A161">IFERROR(INDEX(Purchases!$D$5:$D$1004,MATCH(ROW()-4,Purchases!$L$5:$L$1004,0)),"")</f>
        <v/>
      </c>
      <c r="B161" s="48" t="str">
        <f>IFERROR(VLOOKUP(A161,Purchases!$D:$E,2,FALSE),"")</f>
        <v/>
      </c>
      <c r="C161" s="48" t="str">
        <f>IFERROR(VLOOKUP(A161,Purchases!$D:$F,3,FALSE),"")</f>
        <v/>
      </c>
      <c r="D161" s="48" t="str">
        <f>IF(A161="","",SUMIF(Purchases!$D:$D,A161,Purchases!$K:$K))</f>
        <v/>
      </c>
      <c r="E161" s="48" t="str">
        <f>IF(A161="","",SUMIFS(Sales!$H:$H,Sales!$F:$F,A161,Sales!$B:$B,"&lt;&gt;Return"))</f>
        <v/>
      </c>
      <c r="F161" s="48" t="str">
        <f>IF(A161="","",SUMIFS(Sales!$H:$H,Sales!$F:$F,A161,Sales!$B:$B,"Return"))</f>
        <v/>
      </c>
      <c r="G161" s="48" t="str">
        <f>IF($A161="","",SUMIF('Shop Ledger'!$C:$C,$A161,'Shop Ledger'!$F:$F))</f>
        <v/>
      </c>
      <c r="H161" s="48" t="str">
        <f t="shared" si="1"/>
        <v/>
      </c>
      <c r="I161" s="44" t="str">
        <f>IF(A161="","",IFERROR(SUMIF(Purchases!$D:$D,A161,Purchases!$I:$I)/D161,0))</f>
        <v/>
      </c>
      <c r="J161" s="44" t="str">
        <f t="shared" si="2"/>
        <v/>
      </c>
      <c r="K161" s="30" t="str">
        <f>IF($A161="","",IFERROR(VALUE(SUBSTITUTE(SUBSTITUTE(SUBSTITUTE(VLOOKUP($A161,Inventory!$O$5:$P$604,2,FALSE),"Tk","")," ",""),",","")),""))</f>
        <v/>
      </c>
      <c r="L161" s="58" t="str">
        <f t="shared" si="3"/>
        <v/>
      </c>
      <c r="M161" s="58" t="str">
        <f t="shared" si="4"/>
        <v/>
      </c>
      <c r="O161" s="59" t="str">
        <f t="shared" si="5"/>
        <v/>
      </c>
      <c r="P161" s="52"/>
    </row>
    <row r="162" ht="14.25" customHeight="1">
      <c r="A162" s="29" t="str">
        <f t="array" ref="A162">IFERROR(INDEX(Purchases!$D$5:$D$1004,MATCH(ROW()-4,Purchases!$L$5:$L$1004,0)),"")</f>
        <v/>
      </c>
      <c r="B162" s="48" t="str">
        <f>IFERROR(VLOOKUP(A162,Purchases!$D:$E,2,FALSE),"")</f>
        <v/>
      </c>
      <c r="C162" s="48" t="str">
        <f>IFERROR(VLOOKUP(A162,Purchases!$D:$F,3,FALSE),"")</f>
        <v/>
      </c>
      <c r="D162" s="48" t="str">
        <f>IF(A162="","",SUMIF(Purchases!$D:$D,A162,Purchases!$K:$K))</f>
        <v/>
      </c>
      <c r="E162" s="48" t="str">
        <f>IF(A162="","",SUMIFS(Sales!$H:$H,Sales!$F:$F,A162,Sales!$B:$B,"&lt;&gt;Return"))</f>
        <v/>
      </c>
      <c r="F162" s="48" t="str">
        <f>IF(A162="","",SUMIFS(Sales!$H:$H,Sales!$F:$F,A162,Sales!$B:$B,"Return"))</f>
        <v/>
      </c>
      <c r="G162" s="48" t="str">
        <f>IF($A162="","",SUMIF('Shop Ledger'!$C:$C,$A162,'Shop Ledger'!$F:$F))</f>
        <v/>
      </c>
      <c r="H162" s="48" t="str">
        <f t="shared" si="1"/>
        <v/>
      </c>
      <c r="I162" s="44" t="str">
        <f>IF(A162="","",IFERROR(SUMIF(Purchases!$D:$D,A162,Purchases!$I:$I)/D162,0))</f>
        <v/>
      </c>
      <c r="J162" s="44" t="str">
        <f t="shared" si="2"/>
        <v/>
      </c>
      <c r="K162" s="30" t="str">
        <f>IF($A162="","",IFERROR(VALUE(SUBSTITUTE(SUBSTITUTE(SUBSTITUTE(VLOOKUP($A162,Inventory!$O$5:$P$604,2,FALSE),"Tk","")," ",""),",","")),""))</f>
        <v/>
      </c>
      <c r="L162" s="58" t="str">
        <f t="shared" si="3"/>
        <v/>
      </c>
      <c r="M162" s="58" t="str">
        <f t="shared" si="4"/>
        <v/>
      </c>
      <c r="O162" s="59" t="str">
        <f t="shared" si="5"/>
        <v/>
      </c>
      <c r="P162" s="52"/>
    </row>
    <row r="163" ht="14.25" customHeight="1">
      <c r="A163" s="29" t="str">
        <f t="array" ref="A163">IFERROR(INDEX(Purchases!$D$5:$D$1004,MATCH(ROW()-4,Purchases!$L$5:$L$1004,0)),"")</f>
        <v/>
      </c>
      <c r="B163" s="48" t="str">
        <f>IFERROR(VLOOKUP(A163,Purchases!$D:$E,2,FALSE),"")</f>
        <v/>
      </c>
      <c r="C163" s="48" t="str">
        <f>IFERROR(VLOOKUP(A163,Purchases!$D:$F,3,FALSE),"")</f>
        <v/>
      </c>
      <c r="D163" s="48" t="str">
        <f>IF(A163="","",SUMIF(Purchases!$D:$D,A163,Purchases!$K:$K))</f>
        <v/>
      </c>
      <c r="E163" s="48" t="str">
        <f>IF(A163="","",SUMIFS(Sales!$H:$H,Sales!$F:$F,A163,Sales!$B:$B,"&lt;&gt;Return"))</f>
        <v/>
      </c>
      <c r="F163" s="48" t="str">
        <f>IF(A163="","",SUMIFS(Sales!$H:$H,Sales!$F:$F,A163,Sales!$B:$B,"Return"))</f>
        <v/>
      </c>
      <c r="G163" s="48" t="str">
        <f>IF($A163="","",SUMIF('Shop Ledger'!$C:$C,$A163,'Shop Ledger'!$F:$F))</f>
        <v/>
      </c>
      <c r="H163" s="48" t="str">
        <f t="shared" si="1"/>
        <v/>
      </c>
      <c r="I163" s="44" t="str">
        <f>IF(A163="","",IFERROR(SUMIF(Purchases!$D:$D,A163,Purchases!$I:$I)/D163,0))</f>
        <v/>
      </c>
      <c r="J163" s="44" t="str">
        <f t="shared" si="2"/>
        <v/>
      </c>
      <c r="K163" s="30" t="str">
        <f>IF($A163="","",IFERROR(VALUE(SUBSTITUTE(SUBSTITUTE(SUBSTITUTE(VLOOKUP($A163,Inventory!$O$5:$P$604,2,FALSE),"Tk","")," ",""),",","")),""))</f>
        <v/>
      </c>
      <c r="L163" s="58" t="str">
        <f t="shared" si="3"/>
        <v/>
      </c>
      <c r="M163" s="58" t="str">
        <f t="shared" si="4"/>
        <v/>
      </c>
      <c r="O163" s="59" t="str">
        <f t="shared" si="5"/>
        <v/>
      </c>
      <c r="P163" s="52"/>
    </row>
    <row r="164" ht="14.25" customHeight="1">
      <c r="A164" s="29" t="str">
        <f t="array" ref="A164">IFERROR(INDEX(Purchases!$D$5:$D$1004,MATCH(ROW()-4,Purchases!$L$5:$L$1004,0)),"")</f>
        <v/>
      </c>
      <c r="B164" s="48" t="str">
        <f>IFERROR(VLOOKUP(A164,Purchases!$D:$E,2,FALSE),"")</f>
        <v/>
      </c>
      <c r="C164" s="48" t="str">
        <f>IFERROR(VLOOKUP(A164,Purchases!$D:$F,3,FALSE),"")</f>
        <v/>
      </c>
      <c r="D164" s="48" t="str">
        <f>IF(A164="","",SUMIF(Purchases!$D:$D,A164,Purchases!$K:$K))</f>
        <v/>
      </c>
      <c r="E164" s="48" t="str">
        <f>IF(A164="","",SUMIFS(Sales!$H:$H,Sales!$F:$F,A164,Sales!$B:$B,"&lt;&gt;Return"))</f>
        <v/>
      </c>
      <c r="F164" s="48" t="str">
        <f>IF(A164="","",SUMIFS(Sales!$H:$H,Sales!$F:$F,A164,Sales!$B:$B,"Return"))</f>
        <v/>
      </c>
      <c r="G164" s="48" t="str">
        <f>IF($A164="","",SUMIF('Shop Ledger'!$C:$C,$A164,'Shop Ledger'!$F:$F))</f>
        <v/>
      </c>
      <c r="H164" s="48" t="str">
        <f t="shared" si="1"/>
        <v/>
      </c>
      <c r="I164" s="44" t="str">
        <f>IF(A164="","",IFERROR(SUMIF(Purchases!$D:$D,A164,Purchases!$I:$I)/D164,0))</f>
        <v/>
      </c>
      <c r="J164" s="44" t="str">
        <f t="shared" si="2"/>
        <v/>
      </c>
      <c r="K164" s="30" t="str">
        <f>IF($A164="","",IFERROR(VALUE(SUBSTITUTE(SUBSTITUTE(SUBSTITUTE(VLOOKUP($A164,Inventory!$O$5:$P$604,2,FALSE),"Tk","")," ",""),",","")),""))</f>
        <v/>
      </c>
      <c r="L164" s="58" t="str">
        <f t="shared" si="3"/>
        <v/>
      </c>
      <c r="M164" s="58" t="str">
        <f t="shared" si="4"/>
        <v/>
      </c>
      <c r="O164" s="59" t="str">
        <f t="shared" si="5"/>
        <v/>
      </c>
      <c r="P164" s="52"/>
    </row>
    <row r="165" ht="14.25" customHeight="1">
      <c r="A165" s="29" t="str">
        <f t="array" ref="A165">IFERROR(INDEX(Purchases!$D$5:$D$1004,MATCH(ROW()-4,Purchases!$L$5:$L$1004,0)),"")</f>
        <v/>
      </c>
      <c r="B165" s="48" t="str">
        <f>IFERROR(VLOOKUP(A165,Purchases!$D:$E,2,FALSE),"")</f>
        <v/>
      </c>
      <c r="C165" s="48" t="str">
        <f>IFERROR(VLOOKUP(A165,Purchases!$D:$F,3,FALSE),"")</f>
        <v/>
      </c>
      <c r="D165" s="48" t="str">
        <f>IF(A165="","",SUMIF(Purchases!$D:$D,A165,Purchases!$K:$K))</f>
        <v/>
      </c>
      <c r="E165" s="48" t="str">
        <f>IF(A165="","",SUMIFS(Sales!$H:$H,Sales!$F:$F,A165,Sales!$B:$B,"&lt;&gt;Return"))</f>
        <v/>
      </c>
      <c r="F165" s="48" t="str">
        <f>IF(A165="","",SUMIFS(Sales!$H:$H,Sales!$F:$F,A165,Sales!$B:$B,"Return"))</f>
        <v/>
      </c>
      <c r="G165" s="48" t="str">
        <f>IF($A165="","",SUMIF('Shop Ledger'!$C:$C,$A165,'Shop Ledger'!$F:$F))</f>
        <v/>
      </c>
      <c r="H165" s="48" t="str">
        <f t="shared" si="1"/>
        <v/>
      </c>
      <c r="I165" s="44" t="str">
        <f>IF(A165="","",IFERROR(SUMIF(Purchases!$D:$D,A165,Purchases!$I:$I)/D165,0))</f>
        <v/>
      </c>
      <c r="J165" s="44" t="str">
        <f t="shared" si="2"/>
        <v/>
      </c>
      <c r="K165" s="30" t="str">
        <f>IF($A165="","",IFERROR(VALUE(SUBSTITUTE(SUBSTITUTE(SUBSTITUTE(VLOOKUP($A165,Inventory!$O$5:$P$604,2,FALSE),"Tk","")," ",""),",","")),""))</f>
        <v/>
      </c>
      <c r="L165" s="58" t="str">
        <f t="shared" si="3"/>
        <v/>
      </c>
      <c r="M165" s="58" t="str">
        <f t="shared" si="4"/>
        <v/>
      </c>
      <c r="O165" s="59" t="str">
        <f t="shared" si="5"/>
        <v/>
      </c>
      <c r="P165" s="52"/>
    </row>
    <row r="166" ht="14.25" customHeight="1">
      <c r="A166" s="29" t="str">
        <f t="array" ref="A166">IFERROR(INDEX(Purchases!$D$5:$D$1004,MATCH(ROW()-4,Purchases!$L$5:$L$1004,0)),"")</f>
        <v/>
      </c>
      <c r="B166" s="48" t="str">
        <f>IFERROR(VLOOKUP(A166,Purchases!$D:$E,2,FALSE),"")</f>
        <v/>
      </c>
      <c r="C166" s="48" t="str">
        <f>IFERROR(VLOOKUP(A166,Purchases!$D:$F,3,FALSE),"")</f>
        <v/>
      </c>
      <c r="D166" s="48" t="str">
        <f>IF(A166="","",SUMIF(Purchases!$D:$D,A166,Purchases!$K:$K))</f>
        <v/>
      </c>
      <c r="E166" s="48" t="str">
        <f>IF(A166="","",SUMIFS(Sales!$H:$H,Sales!$F:$F,A166,Sales!$B:$B,"&lt;&gt;Return"))</f>
        <v/>
      </c>
      <c r="F166" s="48" t="str">
        <f>IF(A166="","",SUMIFS(Sales!$H:$H,Sales!$F:$F,A166,Sales!$B:$B,"Return"))</f>
        <v/>
      </c>
      <c r="G166" s="48" t="str">
        <f>IF($A166="","",SUMIF('Shop Ledger'!$C:$C,$A166,'Shop Ledger'!$F:$F))</f>
        <v/>
      </c>
      <c r="H166" s="48" t="str">
        <f t="shared" si="1"/>
        <v/>
      </c>
      <c r="I166" s="44" t="str">
        <f>IF(A166="","",IFERROR(SUMIF(Purchases!$D:$D,A166,Purchases!$I:$I)/D166,0))</f>
        <v/>
      </c>
      <c r="J166" s="44" t="str">
        <f t="shared" si="2"/>
        <v/>
      </c>
      <c r="K166" s="30" t="str">
        <f>IF($A166="","",IFERROR(VALUE(SUBSTITUTE(SUBSTITUTE(SUBSTITUTE(VLOOKUP($A166,Inventory!$O$5:$P$604,2,FALSE),"Tk","")," ",""),",","")),""))</f>
        <v/>
      </c>
      <c r="L166" s="58" t="str">
        <f t="shared" si="3"/>
        <v/>
      </c>
      <c r="M166" s="58" t="str">
        <f t="shared" si="4"/>
        <v/>
      </c>
      <c r="O166" s="59" t="str">
        <f t="shared" si="5"/>
        <v/>
      </c>
      <c r="P166" s="52"/>
    </row>
    <row r="167" ht="14.25" customHeight="1">
      <c r="A167" s="29" t="str">
        <f t="array" ref="A167">IFERROR(INDEX(Purchases!$D$5:$D$1004,MATCH(ROW()-4,Purchases!$L$5:$L$1004,0)),"")</f>
        <v/>
      </c>
      <c r="B167" s="48" t="str">
        <f>IFERROR(VLOOKUP(A167,Purchases!$D:$E,2,FALSE),"")</f>
        <v/>
      </c>
      <c r="C167" s="48" t="str">
        <f>IFERROR(VLOOKUP(A167,Purchases!$D:$F,3,FALSE),"")</f>
        <v/>
      </c>
      <c r="D167" s="48" t="str">
        <f>IF(A167="","",SUMIF(Purchases!$D:$D,A167,Purchases!$K:$K))</f>
        <v/>
      </c>
      <c r="E167" s="48" t="str">
        <f>IF(A167="","",SUMIFS(Sales!$H:$H,Sales!$F:$F,A167,Sales!$B:$B,"&lt;&gt;Return"))</f>
        <v/>
      </c>
      <c r="F167" s="48" t="str">
        <f>IF(A167="","",SUMIFS(Sales!$H:$H,Sales!$F:$F,A167,Sales!$B:$B,"Return"))</f>
        <v/>
      </c>
      <c r="G167" s="48" t="str">
        <f>IF($A167="","",SUMIF('Shop Ledger'!$C:$C,$A167,'Shop Ledger'!$F:$F))</f>
        <v/>
      </c>
      <c r="H167" s="48" t="str">
        <f t="shared" si="1"/>
        <v/>
      </c>
      <c r="I167" s="44" t="str">
        <f>IF(A167="","",IFERROR(SUMIF(Purchases!$D:$D,A167,Purchases!$I:$I)/D167,0))</f>
        <v/>
      </c>
      <c r="J167" s="44" t="str">
        <f t="shared" si="2"/>
        <v/>
      </c>
      <c r="K167" s="30" t="str">
        <f>IF($A167="","",IFERROR(VALUE(SUBSTITUTE(SUBSTITUTE(SUBSTITUTE(VLOOKUP($A167,Inventory!$O$5:$P$604,2,FALSE),"Tk","")," ",""),",","")),""))</f>
        <v/>
      </c>
      <c r="L167" s="58" t="str">
        <f t="shared" si="3"/>
        <v/>
      </c>
      <c r="M167" s="58" t="str">
        <f t="shared" si="4"/>
        <v/>
      </c>
      <c r="O167" s="59" t="str">
        <f t="shared" si="5"/>
        <v/>
      </c>
      <c r="P167" s="52"/>
    </row>
    <row r="168" ht="14.25" customHeight="1">
      <c r="A168" s="29" t="str">
        <f t="array" ref="A168">IFERROR(INDEX(Purchases!$D$5:$D$1004,MATCH(ROW()-4,Purchases!$L$5:$L$1004,0)),"")</f>
        <v/>
      </c>
      <c r="B168" s="48" t="str">
        <f>IFERROR(VLOOKUP(A168,Purchases!$D:$E,2,FALSE),"")</f>
        <v/>
      </c>
      <c r="C168" s="48" t="str">
        <f>IFERROR(VLOOKUP(A168,Purchases!$D:$F,3,FALSE),"")</f>
        <v/>
      </c>
      <c r="D168" s="48" t="str">
        <f>IF(A168="","",SUMIF(Purchases!$D:$D,A168,Purchases!$K:$K))</f>
        <v/>
      </c>
      <c r="E168" s="48" t="str">
        <f>IF(A168="","",SUMIFS(Sales!$H:$H,Sales!$F:$F,A168,Sales!$B:$B,"&lt;&gt;Return"))</f>
        <v/>
      </c>
      <c r="F168" s="48" t="str">
        <f>IF(A168="","",SUMIFS(Sales!$H:$H,Sales!$F:$F,A168,Sales!$B:$B,"Return"))</f>
        <v/>
      </c>
      <c r="G168" s="48" t="str">
        <f>IF($A168="","",SUMIF('Shop Ledger'!$C:$C,$A168,'Shop Ledger'!$F:$F))</f>
        <v/>
      </c>
      <c r="H168" s="48" t="str">
        <f t="shared" si="1"/>
        <v/>
      </c>
      <c r="I168" s="44" t="str">
        <f>IF(A168="","",IFERROR(SUMIF(Purchases!$D:$D,A168,Purchases!$I:$I)/D168,0))</f>
        <v/>
      </c>
      <c r="J168" s="44" t="str">
        <f t="shared" si="2"/>
        <v/>
      </c>
      <c r="K168" s="30" t="str">
        <f>IF($A168="","",IFERROR(VALUE(SUBSTITUTE(SUBSTITUTE(SUBSTITUTE(VLOOKUP($A168,Inventory!$O$5:$P$604,2,FALSE),"Tk","")," ",""),",","")),""))</f>
        <v/>
      </c>
      <c r="L168" s="58" t="str">
        <f t="shared" si="3"/>
        <v/>
      </c>
      <c r="M168" s="58" t="str">
        <f t="shared" si="4"/>
        <v/>
      </c>
      <c r="O168" s="59" t="str">
        <f t="shared" si="5"/>
        <v/>
      </c>
      <c r="P168" s="52"/>
    </row>
    <row r="169" ht="14.25" customHeight="1">
      <c r="A169" s="29" t="str">
        <f t="array" ref="A169">IFERROR(INDEX(Purchases!$D$5:$D$1004,MATCH(ROW()-4,Purchases!$L$5:$L$1004,0)),"")</f>
        <v/>
      </c>
      <c r="B169" s="48" t="str">
        <f>IFERROR(VLOOKUP(A169,Purchases!$D:$E,2,FALSE),"")</f>
        <v/>
      </c>
      <c r="C169" s="48" t="str">
        <f>IFERROR(VLOOKUP(A169,Purchases!$D:$F,3,FALSE),"")</f>
        <v/>
      </c>
      <c r="D169" s="48" t="str">
        <f>IF(A169="","",SUMIF(Purchases!$D:$D,A169,Purchases!$K:$K))</f>
        <v/>
      </c>
      <c r="E169" s="48" t="str">
        <f>IF(A169="","",SUMIFS(Sales!$H:$H,Sales!$F:$F,A169,Sales!$B:$B,"&lt;&gt;Return"))</f>
        <v/>
      </c>
      <c r="F169" s="48" t="str">
        <f>IF(A169="","",SUMIFS(Sales!$H:$H,Sales!$F:$F,A169,Sales!$B:$B,"Return"))</f>
        <v/>
      </c>
      <c r="G169" s="48" t="str">
        <f>IF($A169="","",SUMIF('Shop Ledger'!$C:$C,$A169,'Shop Ledger'!$F:$F))</f>
        <v/>
      </c>
      <c r="H169" s="48" t="str">
        <f t="shared" si="1"/>
        <v/>
      </c>
      <c r="I169" s="44" t="str">
        <f>IF(A169="","",IFERROR(SUMIF(Purchases!$D:$D,A169,Purchases!$I:$I)/D169,0))</f>
        <v/>
      </c>
      <c r="J169" s="44" t="str">
        <f t="shared" si="2"/>
        <v/>
      </c>
      <c r="K169" s="30" t="str">
        <f>IF($A169="","",IFERROR(VALUE(SUBSTITUTE(SUBSTITUTE(SUBSTITUTE(VLOOKUP($A169,Inventory!$O$5:$P$604,2,FALSE),"Tk","")," ",""),",","")),""))</f>
        <v/>
      </c>
      <c r="L169" s="58" t="str">
        <f t="shared" si="3"/>
        <v/>
      </c>
      <c r="M169" s="58" t="str">
        <f t="shared" si="4"/>
        <v/>
      </c>
      <c r="O169" s="59" t="str">
        <f t="shared" si="5"/>
        <v/>
      </c>
      <c r="P169" s="52"/>
    </row>
    <row r="170" ht="14.25" customHeight="1">
      <c r="A170" s="29" t="str">
        <f t="array" ref="A170">IFERROR(INDEX(Purchases!$D$5:$D$1004,MATCH(ROW()-4,Purchases!$L$5:$L$1004,0)),"")</f>
        <v/>
      </c>
      <c r="B170" s="48" t="str">
        <f>IFERROR(VLOOKUP(A170,Purchases!$D:$E,2,FALSE),"")</f>
        <v/>
      </c>
      <c r="C170" s="48" t="str">
        <f>IFERROR(VLOOKUP(A170,Purchases!$D:$F,3,FALSE),"")</f>
        <v/>
      </c>
      <c r="D170" s="48" t="str">
        <f>IF(A170="","",SUMIF(Purchases!$D:$D,A170,Purchases!$K:$K))</f>
        <v/>
      </c>
      <c r="E170" s="48" t="str">
        <f>IF(A170="","",SUMIFS(Sales!$H:$H,Sales!$F:$F,A170,Sales!$B:$B,"&lt;&gt;Return"))</f>
        <v/>
      </c>
      <c r="F170" s="48" t="str">
        <f>IF(A170="","",SUMIFS(Sales!$H:$H,Sales!$F:$F,A170,Sales!$B:$B,"Return"))</f>
        <v/>
      </c>
      <c r="G170" s="48" t="str">
        <f>IF($A170="","",SUMIF('Shop Ledger'!$C:$C,$A170,'Shop Ledger'!$F:$F))</f>
        <v/>
      </c>
      <c r="H170" s="48" t="str">
        <f t="shared" si="1"/>
        <v/>
      </c>
      <c r="I170" s="44" t="str">
        <f>IF(A170="","",IFERROR(SUMIF(Purchases!$D:$D,A170,Purchases!$I:$I)/D170,0))</f>
        <v/>
      </c>
      <c r="J170" s="44" t="str">
        <f t="shared" si="2"/>
        <v/>
      </c>
      <c r="K170" s="30" t="str">
        <f>IF($A170="","",IFERROR(VALUE(SUBSTITUTE(SUBSTITUTE(SUBSTITUTE(VLOOKUP($A170,Inventory!$O$5:$P$604,2,FALSE),"Tk","")," ",""),",","")),""))</f>
        <v/>
      </c>
      <c r="L170" s="58" t="str">
        <f t="shared" si="3"/>
        <v/>
      </c>
      <c r="M170" s="58" t="str">
        <f t="shared" si="4"/>
        <v/>
      </c>
      <c r="O170" s="59" t="str">
        <f t="shared" si="5"/>
        <v/>
      </c>
      <c r="P170" s="52"/>
    </row>
    <row r="171" ht="14.25" customHeight="1">
      <c r="A171" s="29" t="str">
        <f t="array" ref="A171">IFERROR(INDEX(Purchases!$D$5:$D$1004,MATCH(ROW()-4,Purchases!$L$5:$L$1004,0)),"")</f>
        <v/>
      </c>
      <c r="B171" s="48" t="str">
        <f>IFERROR(VLOOKUP(A171,Purchases!$D:$E,2,FALSE),"")</f>
        <v/>
      </c>
      <c r="C171" s="48" t="str">
        <f>IFERROR(VLOOKUP(A171,Purchases!$D:$F,3,FALSE),"")</f>
        <v/>
      </c>
      <c r="D171" s="48" t="str">
        <f>IF(A171="","",SUMIF(Purchases!$D:$D,A171,Purchases!$K:$K))</f>
        <v/>
      </c>
      <c r="E171" s="48" t="str">
        <f>IF(A171="","",SUMIFS(Sales!$H:$H,Sales!$F:$F,A171,Sales!$B:$B,"&lt;&gt;Return"))</f>
        <v/>
      </c>
      <c r="F171" s="48" t="str">
        <f>IF(A171="","",SUMIFS(Sales!$H:$H,Sales!$F:$F,A171,Sales!$B:$B,"Return"))</f>
        <v/>
      </c>
      <c r="G171" s="48" t="str">
        <f>IF($A171="","",SUMIF('Shop Ledger'!$C:$C,$A171,'Shop Ledger'!$F:$F))</f>
        <v/>
      </c>
      <c r="H171" s="48" t="str">
        <f t="shared" si="1"/>
        <v/>
      </c>
      <c r="I171" s="44" t="str">
        <f>IF(A171="","",IFERROR(SUMIF(Purchases!$D:$D,A171,Purchases!$I:$I)/D171,0))</f>
        <v/>
      </c>
      <c r="J171" s="44" t="str">
        <f t="shared" si="2"/>
        <v/>
      </c>
      <c r="K171" s="30" t="str">
        <f>IF($A171="","",IFERROR(VALUE(SUBSTITUTE(SUBSTITUTE(SUBSTITUTE(VLOOKUP($A171,Inventory!$O$5:$P$604,2,FALSE),"Tk","")," ",""),",","")),""))</f>
        <v/>
      </c>
      <c r="L171" s="58" t="str">
        <f t="shared" si="3"/>
        <v/>
      </c>
      <c r="M171" s="58" t="str">
        <f t="shared" si="4"/>
        <v/>
      </c>
      <c r="O171" s="59" t="str">
        <f t="shared" si="5"/>
        <v/>
      </c>
      <c r="P171" s="52"/>
    </row>
    <row r="172" ht="14.25" customHeight="1">
      <c r="A172" s="29" t="str">
        <f t="array" ref="A172">IFERROR(INDEX(Purchases!$D$5:$D$1004,MATCH(ROW()-4,Purchases!$L$5:$L$1004,0)),"")</f>
        <v/>
      </c>
      <c r="B172" s="48" t="str">
        <f>IFERROR(VLOOKUP(A172,Purchases!$D:$E,2,FALSE),"")</f>
        <v/>
      </c>
      <c r="C172" s="48" t="str">
        <f>IFERROR(VLOOKUP(A172,Purchases!$D:$F,3,FALSE),"")</f>
        <v/>
      </c>
      <c r="D172" s="48" t="str">
        <f>IF(A172="","",SUMIF(Purchases!$D:$D,A172,Purchases!$K:$K))</f>
        <v/>
      </c>
      <c r="E172" s="48" t="str">
        <f>IF(A172="","",SUMIFS(Sales!$H:$H,Sales!$F:$F,A172,Sales!$B:$B,"&lt;&gt;Return"))</f>
        <v/>
      </c>
      <c r="F172" s="48" t="str">
        <f>IF(A172="","",SUMIFS(Sales!$H:$H,Sales!$F:$F,A172,Sales!$B:$B,"Return"))</f>
        <v/>
      </c>
      <c r="G172" s="48" t="str">
        <f>IF($A172="","",SUMIF('Shop Ledger'!$C:$C,$A172,'Shop Ledger'!$F:$F))</f>
        <v/>
      </c>
      <c r="H172" s="48" t="str">
        <f t="shared" si="1"/>
        <v/>
      </c>
      <c r="I172" s="44" t="str">
        <f>IF(A172="","",IFERROR(SUMIF(Purchases!$D:$D,A172,Purchases!$I:$I)/D172,0))</f>
        <v/>
      </c>
      <c r="J172" s="44" t="str">
        <f t="shared" si="2"/>
        <v/>
      </c>
      <c r="K172" s="30" t="str">
        <f>IF($A172="","",IFERROR(VALUE(SUBSTITUTE(SUBSTITUTE(SUBSTITUTE(VLOOKUP($A172,Inventory!$O$5:$P$604,2,FALSE),"Tk","")," ",""),",","")),""))</f>
        <v/>
      </c>
      <c r="L172" s="58" t="str">
        <f t="shared" si="3"/>
        <v/>
      </c>
      <c r="M172" s="58" t="str">
        <f t="shared" si="4"/>
        <v/>
      </c>
      <c r="O172" s="59" t="str">
        <f t="shared" si="5"/>
        <v/>
      </c>
      <c r="P172" s="52"/>
    </row>
    <row r="173" ht="14.25" customHeight="1">
      <c r="A173" s="29" t="str">
        <f t="array" ref="A173">IFERROR(INDEX(Purchases!$D$5:$D$1004,MATCH(ROW()-4,Purchases!$L$5:$L$1004,0)),"")</f>
        <v/>
      </c>
      <c r="B173" s="48" t="str">
        <f>IFERROR(VLOOKUP(A173,Purchases!$D:$E,2,FALSE),"")</f>
        <v/>
      </c>
      <c r="C173" s="48" t="str">
        <f>IFERROR(VLOOKUP(A173,Purchases!$D:$F,3,FALSE),"")</f>
        <v/>
      </c>
      <c r="D173" s="48" t="str">
        <f>IF(A173="","",SUMIF(Purchases!$D:$D,A173,Purchases!$K:$K))</f>
        <v/>
      </c>
      <c r="E173" s="48" t="str">
        <f>IF(A173="","",SUMIFS(Sales!$H:$H,Sales!$F:$F,A173,Sales!$B:$B,"&lt;&gt;Return"))</f>
        <v/>
      </c>
      <c r="F173" s="48" t="str">
        <f>IF(A173="","",SUMIFS(Sales!$H:$H,Sales!$F:$F,A173,Sales!$B:$B,"Return"))</f>
        <v/>
      </c>
      <c r="G173" s="48" t="str">
        <f>IF($A173="","",SUMIF('Shop Ledger'!$C:$C,$A173,'Shop Ledger'!$F:$F))</f>
        <v/>
      </c>
      <c r="H173" s="48" t="str">
        <f t="shared" si="1"/>
        <v/>
      </c>
      <c r="I173" s="44" t="str">
        <f>IF(A173="","",IFERROR(SUMIF(Purchases!$D:$D,A173,Purchases!$I:$I)/D173,0))</f>
        <v/>
      </c>
      <c r="J173" s="44" t="str">
        <f t="shared" si="2"/>
        <v/>
      </c>
      <c r="K173" s="30" t="str">
        <f>IF($A173="","",IFERROR(VALUE(SUBSTITUTE(SUBSTITUTE(SUBSTITUTE(VLOOKUP($A173,Inventory!$O$5:$P$604,2,FALSE),"Tk","")," ",""),",","")),""))</f>
        <v/>
      </c>
      <c r="L173" s="58" t="str">
        <f t="shared" si="3"/>
        <v/>
      </c>
      <c r="M173" s="58" t="str">
        <f t="shared" si="4"/>
        <v/>
      </c>
      <c r="O173" s="59" t="str">
        <f t="shared" si="5"/>
        <v/>
      </c>
      <c r="P173" s="52"/>
    </row>
    <row r="174" ht="14.25" customHeight="1">
      <c r="A174" s="29" t="str">
        <f t="array" ref="A174">IFERROR(INDEX(Purchases!$D$5:$D$1004,MATCH(ROW()-4,Purchases!$L$5:$L$1004,0)),"")</f>
        <v/>
      </c>
      <c r="B174" s="48" t="str">
        <f>IFERROR(VLOOKUP(A174,Purchases!$D:$E,2,FALSE),"")</f>
        <v/>
      </c>
      <c r="C174" s="48" t="str">
        <f>IFERROR(VLOOKUP(A174,Purchases!$D:$F,3,FALSE),"")</f>
        <v/>
      </c>
      <c r="D174" s="48" t="str">
        <f>IF(A174="","",SUMIF(Purchases!$D:$D,A174,Purchases!$K:$K))</f>
        <v/>
      </c>
      <c r="E174" s="48" t="str">
        <f>IF(A174="","",SUMIFS(Sales!$H:$H,Sales!$F:$F,A174,Sales!$B:$B,"&lt;&gt;Return"))</f>
        <v/>
      </c>
      <c r="F174" s="48" t="str">
        <f>IF(A174="","",SUMIFS(Sales!$H:$H,Sales!$F:$F,A174,Sales!$B:$B,"Return"))</f>
        <v/>
      </c>
      <c r="G174" s="48" t="str">
        <f>IF($A174="","",SUMIF('Shop Ledger'!$C:$C,$A174,'Shop Ledger'!$F:$F))</f>
        <v/>
      </c>
      <c r="H174" s="48" t="str">
        <f t="shared" si="1"/>
        <v/>
      </c>
      <c r="I174" s="44" t="str">
        <f>IF(A174="","",IFERROR(SUMIF(Purchases!$D:$D,A174,Purchases!$I:$I)/D174,0))</f>
        <v/>
      </c>
      <c r="J174" s="44" t="str">
        <f t="shared" si="2"/>
        <v/>
      </c>
      <c r="K174" s="30" t="str">
        <f>IF($A174="","",IFERROR(VALUE(SUBSTITUTE(SUBSTITUTE(SUBSTITUTE(VLOOKUP($A174,Inventory!$O$5:$P$604,2,FALSE),"Tk","")," ",""),",","")),""))</f>
        <v/>
      </c>
      <c r="L174" s="58" t="str">
        <f t="shared" si="3"/>
        <v/>
      </c>
      <c r="M174" s="58" t="str">
        <f t="shared" si="4"/>
        <v/>
      </c>
      <c r="O174" s="59" t="str">
        <f t="shared" si="5"/>
        <v/>
      </c>
      <c r="P174" s="52"/>
    </row>
    <row r="175" ht="14.25" customHeight="1">
      <c r="A175" s="29" t="str">
        <f t="array" ref="A175">IFERROR(INDEX(Purchases!$D$5:$D$1004,MATCH(ROW()-4,Purchases!$L$5:$L$1004,0)),"")</f>
        <v/>
      </c>
      <c r="B175" s="48" t="str">
        <f>IFERROR(VLOOKUP(A175,Purchases!$D:$E,2,FALSE),"")</f>
        <v/>
      </c>
      <c r="C175" s="48" t="str">
        <f>IFERROR(VLOOKUP(A175,Purchases!$D:$F,3,FALSE),"")</f>
        <v/>
      </c>
      <c r="D175" s="48" t="str">
        <f>IF(A175="","",SUMIF(Purchases!$D:$D,A175,Purchases!$K:$K))</f>
        <v/>
      </c>
      <c r="E175" s="48" t="str">
        <f>IF(A175="","",SUMIFS(Sales!$H:$H,Sales!$F:$F,A175,Sales!$B:$B,"&lt;&gt;Return"))</f>
        <v/>
      </c>
      <c r="F175" s="48" t="str">
        <f>IF(A175="","",SUMIFS(Sales!$H:$H,Sales!$F:$F,A175,Sales!$B:$B,"Return"))</f>
        <v/>
      </c>
      <c r="G175" s="48" t="str">
        <f>IF($A175="","",SUMIF('Shop Ledger'!$C:$C,$A175,'Shop Ledger'!$F:$F))</f>
        <v/>
      </c>
      <c r="H175" s="48" t="str">
        <f t="shared" si="1"/>
        <v/>
      </c>
      <c r="I175" s="44" t="str">
        <f>IF(A175="","",IFERROR(SUMIF(Purchases!$D:$D,A175,Purchases!$I:$I)/D175,0))</f>
        <v/>
      </c>
      <c r="J175" s="44" t="str">
        <f t="shared" si="2"/>
        <v/>
      </c>
      <c r="K175" s="30" t="str">
        <f>IF($A175="","",IFERROR(VALUE(SUBSTITUTE(SUBSTITUTE(SUBSTITUTE(VLOOKUP($A175,Inventory!$O$5:$P$604,2,FALSE),"Tk","")," ",""),",","")),""))</f>
        <v/>
      </c>
      <c r="L175" s="58" t="str">
        <f t="shared" si="3"/>
        <v/>
      </c>
      <c r="M175" s="58" t="str">
        <f t="shared" si="4"/>
        <v/>
      </c>
      <c r="O175" s="59" t="str">
        <f t="shared" si="5"/>
        <v/>
      </c>
      <c r="P175" s="52"/>
    </row>
    <row r="176" ht="14.25" customHeight="1">
      <c r="A176" s="29" t="str">
        <f t="array" ref="A176">IFERROR(INDEX(Purchases!$D$5:$D$1004,MATCH(ROW()-4,Purchases!$L$5:$L$1004,0)),"")</f>
        <v/>
      </c>
      <c r="B176" s="48" t="str">
        <f>IFERROR(VLOOKUP(A176,Purchases!$D:$E,2,FALSE),"")</f>
        <v/>
      </c>
      <c r="C176" s="48" t="str">
        <f>IFERROR(VLOOKUP(A176,Purchases!$D:$F,3,FALSE),"")</f>
        <v/>
      </c>
      <c r="D176" s="48" t="str">
        <f>IF(A176="","",SUMIF(Purchases!$D:$D,A176,Purchases!$K:$K))</f>
        <v/>
      </c>
      <c r="E176" s="48" t="str">
        <f>IF(A176="","",SUMIFS(Sales!$H:$H,Sales!$F:$F,A176,Sales!$B:$B,"&lt;&gt;Return"))</f>
        <v/>
      </c>
      <c r="F176" s="48" t="str">
        <f>IF(A176="","",SUMIFS(Sales!$H:$H,Sales!$F:$F,A176,Sales!$B:$B,"Return"))</f>
        <v/>
      </c>
      <c r="G176" s="48" t="str">
        <f>IF($A176="","",SUMIF('Shop Ledger'!$C:$C,$A176,'Shop Ledger'!$F:$F))</f>
        <v/>
      </c>
      <c r="H176" s="48" t="str">
        <f t="shared" si="1"/>
        <v/>
      </c>
      <c r="I176" s="44" t="str">
        <f>IF(A176="","",IFERROR(SUMIF(Purchases!$D:$D,A176,Purchases!$I:$I)/D176,0))</f>
        <v/>
      </c>
      <c r="J176" s="44" t="str">
        <f t="shared" si="2"/>
        <v/>
      </c>
      <c r="K176" s="30" t="str">
        <f>IF($A176="","",IFERROR(VALUE(SUBSTITUTE(SUBSTITUTE(SUBSTITUTE(VLOOKUP($A176,Inventory!$O$5:$P$604,2,FALSE),"Tk","")," ",""),",","")),""))</f>
        <v/>
      </c>
      <c r="L176" s="58" t="str">
        <f t="shared" si="3"/>
        <v/>
      </c>
      <c r="M176" s="58" t="str">
        <f t="shared" si="4"/>
        <v/>
      </c>
      <c r="O176" s="59" t="str">
        <f t="shared" si="5"/>
        <v/>
      </c>
      <c r="P176" s="52"/>
    </row>
    <row r="177" ht="14.25" customHeight="1">
      <c r="A177" s="29" t="str">
        <f t="array" ref="A177">IFERROR(INDEX(Purchases!$D$5:$D$1004,MATCH(ROW()-4,Purchases!$L$5:$L$1004,0)),"")</f>
        <v/>
      </c>
      <c r="B177" s="48" t="str">
        <f>IFERROR(VLOOKUP(A177,Purchases!$D:$E,2,FALSE),"")</f>
        <v/>
      </c>
      <c r="C177" s="48" t="str">
        <f>IFERROR(VLOOKUP(A177,Purchases!$D:$F,3,FALSE),"")</f>
        <v/>
      </c>
      <c r="D177" s="48" t="str">
        <f>IF(A177="","",SUMIF(Purchases!$D:$D,A177,Purchases!$K:$K))</f>
        <v/>
      </c>
      <c r="E177" s="48" t="str">
        <f>IF(A177="","",SUMIFS(Sales!$H:$H,Sales!$F:$F,A177,Sales!$B:$B,"&lt;&gt;Return"))</f>
        <v/>
      </c>
      <c r="F177" s="48" t="str">
        <f>IF(A177="","",SUMIFS(Sales!$H:$H,Sales!$F:$F,A177,Sales!$B:$B,"Return"))</f>
        <v/>
      </c>
      <c r="G177" s="48" t="str">
        <f>IF($A177="","",SUMIF('Shop Ledger'!$C:$C,$A177,'Shop Ledger'!$F:$F))</f>
        <v/>
      </c>
      <c r="H177" s="48" t="str">
        <f t="shared" si="1"/>
        <v/>
      </c>
      <c r="I177" s="44" t="str">
        <f>IF(A177="","",IFERROR(SUMIF(Purchases!$D:$D,A177,Purchases!$I:$I)/D177,0))</f>
        <v/>
      </c>
      <c r="J177" s="44" t="str">
        <f t="shared" si="2"/>
        <v/>
      </c>
      <c r="K177" s="30" t="str">
        <f>IF($A177="","",IFERROR(VALUE(SUBSTITUTE(SUBSTITUTE(SUBSTITUTE(VLOOKUP($A177,Inventory!$O$5:$P$604,2,FALSE),"Tk","")," ",""),",","")),""))</f>
        <v/>
      </c>
      <c r="L177" s="58" t="str">
        <f t="shared" si="3"/>
        <v/>
      </c>
      <c r="M177" s="58" t="str">
        <f t="shared" si="4"/>
        <v/>
      </c>
      <c r="O177" s="59" t="str">
        <f t="shared" si="5"/>
        <v/>
      </c>
      <c r="P177" s="52"/>
    </row>
    <row r="178" ht="14.25" customHeight="1">
      <c r="A178" s="29" t="str">
        <f t="array" ref="A178">IFERROR(INDEX(Purchases!$D$5:$D$1004,MATCH(ROW()-4,Purchases!$L$5:$L$1004,0)),"")</f>
        <v/>
      </c>
      <c r="B178" s="48" t="str">
        <f>IFERROR(VLOOKUP(A178,Purchases!$D:$E,2,FALSE),"")</f>
        <v/>
      </c>
      <c r="C178" s="48" t="str">
        <f>IFERROR(VLOOKUP(A178,Purchases!$D:$F,3,FALSE),"")</f>
        <v/>
      </c>
      <c r="D178" s="48" t="str">
        <f>IF(A178="","",SUMIF(Purchases!$D:$D,A178,Purchases!$K:$K))</f>
        <v/>
      </c>
      <c r="E178" s="48" t="str">
        <f>IF(A178="","",SUMIFS(Sales!$H:$H,Sales!$F:$F,A178,Sales!$B:$B,"&lt;&gt;Return"))</f>
        <v/>
      </c>
      <c r="F178" s="48" t="str">
        <f>IF(A178="","",SUMIFS(Sales!$H:$H,Sales!$F:$F,A178,Sales!$B:$B,"Return"))</f>
        <v/>
      </c>
      <c r="G178" s="48" t="str">
        <f>IF($A178="","",SUMIF('Shop Ledger'!$C:$C,$A178,'Shop Ledger'!$F:$F))</f>
        <v/>
      </c>
      <c r="H178" s="48" t="str">
        <f t="shared" si="1"/>
        <v/>
      </c>
      <c r="I178" s="44" t="str">
        <f>IF(A178="","",IFERROR(SUMIF(Purchases!$D:$D,A178,Purchases!$I:$I)/D178,0))</f>
        <v/>
      </c>
      <c r="J178" s="44" t="str">
        <f t="shared" si="2"/>
        <v/>
      </c>
      <c r="K178" s="30" t="str">
        <f>IF($A178="","",IFERROR(VALUE(SUBSTITUTE(SUBSTITUTE(SUBSTITUTE(VLOOKUP($A178,Inventory!$O$5:$P$604,2,FALSE),"Tk","")," ",""),",","")),""))</f>
        <v/>
      </c>
      <c r="L178" s="58" t="str">
        <f t="shared" si="3"/>
        <v/>
      </c>
      <c r="M178" s="58" t="str">
        <f t="shared" si="4"/>
        <v/>
      </c>
      <c r="O178" s="59" t="str">
        <f t="shared" si="5"/>
        <v/>
      </c>
      <c r="P178" s="52"/>
    </row>
    <row r="179" ht="14.25" customHeight="1">
      <c r="A179" s="29" t="str">
        <f t="array" ref="A179">IFERROR(INDEX(Purchases!$D$5:$D$1004,MATCH(ROW()-4,Purchases!$L$5:$L$1004,0)),"")</f>
        <v/>
      </c>
      <c r="B179" s="48" t="str">
        <f>IFERROR(VLOOKUP(A179,Purchases!$D:$E,2,FALSE),"")</f>
        <v/>
      </c>
      <c r="C179" s="48" t="str">
        <f>IFERROR(VLOOKUP(A179,Purchases!$D:$F,3,FALSE),"")</f>
        <v/>
      </c>
      <c r="D179" s="48" t="str">
        <f>IF(A179="","",SUMIF(Purchases!$D:$D,A179,Purchases!$K:$K))</f>
        <v/>
      </c>
      <c r="E179" s="48" t="str">
        <f>IF(A179="","",SUMIFS(Sales!$H:$H,Sales!$F:$F,A179,Sales!$B:$B,"&lt;&gt;Return"))</f>
        <v/>
      </c>
      <c r="F179" s="48" t="str">
        <f>IF(A179="","",SUMIFS(Sales!$H:$H,Sales!$F:$F,A179,Sales!$B:$B,"Return"))</f>
        <v/>
      </c>
      <c r="G179" s="48" t="str">
        <f>IF($A179="","",SUMIF('Shop Ledger'!$C:$C,$A179,'Shop Ledger'!$F:$F))</f>
        <v/>
      </c>
      <c r="H179" s="48" t="str">
        <f t="shared" si="1"/>
        <v/>
      </c>
      <c r="I179" s="44" t="str">
        <f>IF(A179="","",IFERROR(SUMIF(Purchases!$D:$D,A179,Purchases!$I:$I)/D179,0))</f>
        <v/>
      </c>
      <c r="J179" s="44" t="str">
        <f t="shared" si="2"/>
        <v/>
      </c>
      <c r="K179" s="30" t="str">
        <f>IF($A179="","",IFERROR(VALUE(SUBSTITUTE(SUBSTITUTE(SUBSTITUTE(VLOOKUP($A179,Inventory!$O$5:$P$604,2,FALSE),"Tk","")," ",""),",","")),""))</f>
        <v/>
      </c>
      <c r="L179" s="58" t="str">
        <f t="shared" si="3"/>
        <v/>
      </c>
      <c r="M179" s="58" t="str">
        <f t="shared" si="4"/>
        <v/>
      </c>
      <c r="O179" s="59" t="str">
        <f t="shared" si="5"/>
        <v/>
      </c>
      <c r="P179" s="52"/>
    </row>
    <row r="180" ht="14.25" customHeight="1">
      <c r="A180" s="29" t="str">
        <f t="array" ref="A180">IFERROR(INDEX(Purchases!$D$5:$D$1004,MATCH(ROW()-4,Purchases!$L$5:$L$1004,0)),"")</f>
        <v/>
      </c>
      <c r="B180" s="48" t="str">
        <f>IFERROR(VLOOKUP(A180,Purchases!$D:$E,2,FALSE),"")</f>
        <v/>
      </c>
      <c r="C180" s="48" t="str">
        <f>IFERROR(VLOOKUP(A180,Purchases!$D:$F,3,FALSE),"")</f>
        <v/>
      </c>
      <c r="D180" s="48" t="str">
        <f>IF(A180="","",SUMIF(Purchases!$D:$D,A180,Purchases!$K:$K))</f>
        <v/>
      </c>
      <c r="E180" s="48" t="str">
        <f>IF(A180="","",SUMIFS(Sales!$H:$H,Sales!$F:$F,A180,Sales!$B:$B,"&lt;&gt;Return"))</f>
        <v/>
      </c>
      <c r="F180" s="48" t="str">
        <f>IF(A180="","",SUMIFS(Sales!$H:$H,Sales!$F:$F,A180,Sales!$B:$B,"Return"))</f>
        <v/>
      </c>
      <c r="G180" s="48" t="str">
        <f>IF($A180="","",SUMIF('Shop Ledger'!$C:$C,$A180,'Shop Ledger'!$F:$F))</f>
        <v/>
      </c>
      <c r="H180" s="48" t="str">
        <f t="shared" si="1"/>
        <v/>
      </c>
      <c r="I180" s="44" t="str">
        <f>IF(A180="","",IFERROR(SUMIF(Purchases!$D:$D,A180,Purchases!$I:$I)/D180,0))</f>
        <v/>
      </c>
      <c r="J180" s="44" t="str">
        <f t="shared" si="2"/>
        <v/>
      </c>
      <c r="K180" s="30" t="str">
        <f>IF($A180="","",IFERROR(VALUE(SUBSTITUTE(SUBSTITUTE(SUBSTITUTE(VLOOKUP($A180,Inventory!$O$5:$P$604,2,FALSE),"Tk","")," ",""),",","")),""))</f>
        <v/>
      </c>
      <c r="L180" s="58" t="str">
        <f t="shared" si="3"/>
        <v/>
      </c>
      <c r="M180" s="58" t="str">
        <f t="shared" si="4"/>
        <v/>
      </c>
      <c r="O180" s="59" t="str">
        <f t="shared" si="5"/>
        <v/>
      </c>
      <c r="P180" s="52"/>
    </row>
    <row r="181" ht="14.25" customHeight="1">
      <c r="A181" s="29" t="str">
        <f t="array" ref="A181">IFERROR(INDEX(Purchases!$D$5:$D$1004,MATCH(ROW()-4,Purchases!$L$5:$L$1004,0)),"")</f>
        <v/>
      </c>
      <c r="B181" s="48" t="str">
        <f>IFERROR(VLOOKUP(A181,Purchases!$D:$E,2,FALSE),"")</f>
        <v/>
      </c>
      <c r="C181" s="48" t="str">
        <f>IFERROR(VLOOKUP(A181,Purchases!$D:$F,3,FALSE),"")</f>
        <v/>
      </c>
      <c r="D181" s="48" t="str">
        <f>IF(A181="","",SUMIF(Purchases!$D:$D,A181,Purchases!$K:$K))</f>
        <v/>
      </c>
      <c r="E181" s="48" t="str">
        <f>IF(A181="","",SUMIFS(Sales!$H:$H,Sales!$F:$F,A181,Sales!$B:$B,"&lt;&gt;Return"))</f>
        <v/>
      </c>
      <c r="F181" s="48" t="str">
        <f>IF(A181="","",SUMIFS(Sales!$H:$H,Sales!$F:$F,A181,Sales!$B:$B,"Return"))</f>
        <v/>
      </c>
      <c r="G181" s="48" t="str">
        <f>IF($A181="","",SUMIF('Shop Ledger'!$C:$C,$A181,'Shop Ledger'!$F:$F))</f>
        <v/>
      </c>
      <c r="H181" s="48" t="str">
        <f t="shared" si="1"/>
        <v/>
      </c>
      <c r="I181" s="44" t="str">
        <f>IF(A181="","",IFERROR(SUMIF(Purchases!$D:$D,A181,Purchases!$I:$I)/D181,0))</f>
        <v/>
      </c>
      <c r="J181" s="44" t="str">
        <f t="shared" si="2"/>
        <v/>
      </c>
      <c r="K181" s="30" t="str">
        <f>IF($A181="","",IFERROR(VALUE(SUBSTITUTE(SUBSTITUTE(SUBSTITUTE(VLOOKUP($A181,Inventory!$O$5:$P$604,2,FALSE),"Tk","")," ",""),",","")),""))</f>
        <v/>
      </c>
      <c r="L181" s="58" t="str">
        <f t="shared" si="3"/>
        <v/>
      </c>
      <c r="M181" s="58" t="str">
        <f t="shared" si="4"/>
        <v/>
      </c>
      <c r="O181" s="59" t="str">
        <f t="shared" si="5"/>
        <v/>
      </c>
      <c r="P181" s="52"/>
    </row>
    <row r="182" ht="14.25" customHeight="1">
      <c r="A182" s="29" t="str">
        <f t="array" ref="A182">IFERROR(INDEX(Purchases!$D$5:$D$1004,MATCH(ROW()-4,Purchases!$L$5:$L$1004,0)),"")</f>
        <v/>
      </c>
      <c r="B182" s="48" t="str">
        <f>IFERROR(VLOOKUP(A182,Purchases!$D:$E,2,FALSE),"")</f>
        <v/>
      </c>
      <c r="C182" s="48" t="str">
        <f>IFERROR(VLOOKUP(A182,Purchases!$D:$F,3,FALSE),"")</f>
        <v/>
      </c>
      <c r="D182" s="48" t="str">
        <f>IF(A182="","",SUMIF(Purchases!$D:$D,A182,Purchases!$K:$K))</f>
        <v/>
      </c>
      <c r="E182" s="48" t="str">
        <f>IF(A182="","",SUMIFS(Sales!$H:$H,Sales!$F:$F,A182,Sales!$B:$B,"&lt;&gt;Return"))</f>
        <v/>
      </c>
      <c r="F182" s="48" t="str">
        <f>IF(A182="","",SUMIFS(Sales!$H:$H,Sales!$F:$F,A182,Sales!$B:$B,"Return"))</f>
        <v/>
      </c>
      <c r="G182" s="48" t="str">
        <f>IF($A182="","",SUMIF('Shop Ledger'!$C:$C,$A182,'Shop Ledger'!$F:$F))</f>
        <v/>
      </c>
      <c r="H182" s="48" t="str">
        <f t="shared" si="1"/>
        <v/>
      </c>
      <c r="I182" s="44" t="str">
        <f>IF(A182="","",IFERROR(SUMIF(Purchases!$D:$D,A182,Purchases!$I:$I)/D182,0))</f>
        <v/>
      </c>
      <c r="J182" s="44" t="str">
        <f t="shared" si="2"/>
        <v/>
      </c>
      <c r="K182" s="30" t="str">
        <f>IF($A182="","",IFERROR(VALUE(SUBSTITUTE(SUBSTITUTE(SUBSTITUTE(VLOOKUP($A182,Inventory!$O$5:$P$604,2,FALSE),"Tk","")," ",""),",","")),""))</f>
        <v/>
      </c>
      <c r="L182" s="58" t="str">
        <f t="shared" si="3"/>
        <v/>
      </c>
      <c r="M182" s="58" t="str">
        <f t="shared" si="4"/>
        <v/>
      </c>
      <c r="O182" s="59" t="str">
        <f t="shared" si="5"/>
        <v/>
      </c>
      <c r="P182" s="52"/>
    </row>
    <row r="183" ht="14.25" customHeight="1">
      <c r="A183" s="29" t="str">
        <f t="array" ref="A183">IFERROR(INDEX(Purchases!$D$5:$D$1004,MATCH(ROW()-4,Purchases!$L$5:$L$1004,0)),"")</f>
        <v/>
      </c>
      <c r="B183" s="48" t="str">
        <f>IFERROR(VLOOKUP(A183,Purchases!$D:$E,2,FALSE),"")</f>
        <v/>
      </c>
      <c r="C183" s="48" t="str">
        <f>IFERROR(VLOOKUP(A183,Purchases!$D:$F,3,FALSE),"")</f>
        <v/>
      </c>
      <c r="D183" s="48" t="str">
        <f>IF(A183="","",SUMIF(Purchases!$D:$D,A183,Purchases!$K:$K))</f>
        <v/>
      </c>
      <c r="E183" s="48" t="str">
        <f>IF(A183="","",SUMIFS(Sales!$H:$H,Sales!$F:$F,A183,Sales!$B:$B,"&lt;&gt;Return"))</f>
        <v/>
      </c>
      <c r="F183" s="48" t="str">
        <f>IF(A183="","",SUMIFS(Sales!$H:$H,Sales!$F:$F,A183,Sales!$B:$B,"Return"))</f>
        <v/>
      </c>
      <c r="G183" s="48" t="str">
        <f>IF($A183="","",SUMIF('Shop Ledger'!$C:$C,$A183,'Shop Ledger'!$F:$F))</f>
        <v/>
      </c>
      <c r="H183" s="48" t="str">
        <f t="shared" si="1"/>
        <v/>
      </c>
      <c r="I183" s="44" t="str">
        <f>IF(A183="","",IFERROR(SUMIF(Purchases!$D:$D,A183,Purchases!$I:$I)/D183,0))</f>
        <v/>
      </c>
      <c r="J183" s="44" t="str">
        <f t="shared" si="2"/>
        <v/>
      </c>
      <c r="K183" s="30" t="str">
        <f>IF($A183="","",IFERROR(VALUE(SUBSTITUTE(SUBSTITUTE(SUBSTITUTE(VLOOKUP($A183,Inventory!$O$5:$P$604,2,FALSE),"Tk","")," ",""),",","")),""))</f>
        <v/>
      </c>
      <c r="L183" s="58" t="str">
        <f t="shared" si="3"/>
        <v/>
      </c>
      <c r="M183" s="58" t="str">
        <f t="shared" si="4"/>
        <v/>
      </c>
      <c r="O183" s="59" t="str">
        <f t="shared" si="5"/>
        <v/>
      </c>
      <c r="P183" s="52"/>
    </row>
    <row r="184" ht="14.25" customHeight="1">
      <c r="A184" s="29" t="str">
        <f t="array" ref="A184">IFERROR(INDEX(Purchases!$D$5:$D$1004,MATCH(ROW()-4,Purchases!$L$5:$L$1004,0)),"")</f>
        <v/>
      </c>
      <c r="B184" s="48" t="str">
        <f>IFERROR(VLOOKUP(A184,Purchases!$D:$E,2,FALSE),"")</f>
        <v/>
      </c>
      <c r="C184" s="48" t="str">
        <f>IFERROR(VLOOKUP(A184,Purchases!$D:$F,3,FALSE),"")</f>
        <v/>
      </c>
      <c r="D184" s="48" t="str">
        <f>IF(A184="","",SUMIF(Purchases!$D:$D,A184,Purchases!$K:$K))</f>
        <v/>
      </c>
      <c r="E184" s="48" t="str">
        <f>IF(A184="","",SUMIFS(Sales!$H:$H,Sales!$F:$F,A184,Sales!$B:$B,"&lt;&gt;Return"))</f>
        <v/>
      </c>
      <c r="F184" s="48" t="str">
        <f>IF(A184="","",SUMIFS(Sales!$H:$H,Sales!$F:$F,A184,Sales!$B:$B,"Return"))</f>
        <v/>
      </c>
      <c r="G184" s="48" t="str">
        <f>IF($A184="","",SUMIF('Shop Ledger'!$C:$C,$A184,'Shop Ledger'!$F:$F))</f>
        <v/>
      </c>
      <c r="H184" s="48" t="str">
        <f t="shared" si="1"/>
        <v/>
      </c>
      <c r="I184" s="44" t="str">
        <f>IF(A184="","",IFERROR(SUMIF(Purchases!$D:$D,A184,Purchases!$I:$I)/D184,0))</f>
        <v/>
      </c>
      <c r="J184" s="44" t="str">
        <f t="shared" si="2"/>
        <v/>
      </c>
      <c r="K184" s="30" t="str">
        <f>IF($A184="","",IFERROR(VALUE(SUBSTITUTE(SUBSTITUTE(SUBSTITUTE(VLOOKUP($A184,Inventory!$O$5:$P$604,2,FALSE),"Tk","")," ",""),",","")),""))</f>
        <v/>
      </c>
      <c r="L184" s="58" t="str">
        <f t="shared" si="3"/>
        <v/>
      </c>
      <c r="M184" s="58" t="str">
        <f t="shared" si="4"/>
        <v/>
      </c>
      <c r="O184" s="59" t="str">
        <f t="shared" si="5"/>
        <v/>
      </c>
      <c r="P184" s="52"/>
    </row>
    <row r="185" ht="14.25" customHeight="1">
      <c r="A185" s="29" t="str">
        <f t="array" ref="A185">IFERROR(INDEX(Purchases!$D$5:$D$1004,MATCH(ROW()-4,Purchases!$L$5:$L$1004,0)),"")</f>
        <v/>
      </c>
      <c r="B185" s="48" t="str">
        <f>IFERROR(VLOOKUP(A185,Purchases!$D:$E,2,FALSE),"")</f>
        <v/>
      </c>
      <c r="C185" s="48" t="str">
        <f>IFERROR(VLOOKUP(A185,Purchases!$D:$F,3,FALSE),"")</f>
        <v/>
      </c>
      <c r="D185" s="48" t="str">
        <f>IF(A185="","",SUMIF(Purchases!$D:$D,A185,Purchases!$K:$K))</f>
        <v/>
      </c>
      <c r="E185" s="48" t="str">
        <f>IF(A185="","",SUMIFS(Sales!$H:$H,Sales!$F:$F,A185,Sales!$B:$B,"&lt;&gt;Return"))</f>
        <v/>
      </c>
      <c r="F185" s="48" t="str">
        <f>IF(A185="","",SUMIFS(Sales!$H:$H,Sales!$F:$F,A185,Sales!$B:$B,"Return"))</f>
        <v/>
      </c>
      <c r="G185" s="48" t="str">
        <f>IF($A185="","",SUMIF('Shop Ledger'!$C:$C,$A185,'Shop Ledger'!$F:$F))</f>
        <v/>
      </c>
      <c r="H185" s="48" t="str">
        <f t="shared" si="1"/>
        <v/>
      </c>
      <c r="I185" s="44" t="str">
        <f>IF(A185="","",IFERROR(SUMIF(Purchases!$D:$D,A185,Purchases!$I:$I)/D185,0))</f>
        <v/>
      </c>
      <c r="J185" s="44" t="str">
        <f t="shared" si="2"/>
        <v/>
      </c>
      <c r="K185" s="30" t="str">
        <f>IF($A185="","",IFERROR(VALUE(SUBSTITUTE(SUBSTITUTE(SUBSTITUTE(VLOOKUP($A185,Inventory!$O$5:$P$604,2,FALSE),"Tk","")," ",""),",","")),""))</f>
        <v/>
      </c>
      <c r="L185" s="58" t="str">
        <f t="shared" si="3"/>
        <v/>
      </c>
      <c r="M185" s="58" t="str">
        <f t="shared" si="4"/>
        <v/>
      </c>
      <c r="O185" s="59" t="str">
        <f t="shared" si="5"/>
        <v/>
      </c>
      <c r="P185" s="52"/>
    </row>
    <row r="186" ht="14.25" customHeight="1">
      <c r="A186" s="29" t="str">
        <f t="array" ref="A186">IFERROR(INDEX(Purchases!$D$5:$D$1004,MATCH(ROW()-4,Purchases!$L$5:$L$1004,0)),"")</f>
        <v/>
      </c>
      <c r="B186" s="48" t="str">
        <f>IFERROR(VLOOKUP(A186,Purchases!$D:$E,2,FALSE),"")</f>
        <v/>
      </c>
      <c r="C186" s="48" t="str">
        <f>IFERROR(VLOOKUP(A186,Purchases!$D:$F,3,FALSE),"")</f>
        <v/>
      </c>
      <c r="D186" s="48" t="str">
        <f>IF(A186="","",SUMIF(Purchases!$D:$D,A186,Purchases!$K:$K))</f>
        <v/>
      </c>
      <c r="E186" s="48" t="str">
        <f>IF(A186="","",SUMIFS(Sales!$H:$H,Sales!$F:$F,A186,Sales!$B:$B,"&lt;&gt;Return"))</f>
        <v/>
      </c>
      <c r="F186" s="48" t="str">
        <f>IF(A186="","",SUMIFS(Sales!$H:$H,Sales!$F:$F,A186,Sales!$B:$B,"Return"))</f>
        <v/>
      </c>
      <c r="G186" s="48" t="str">
        <f>IF($A186="","",SUMIF('Shop Ledger'!$C:$C,$A186,'Shop Ledger'!$F:$F))</f>
        <v/>
      </c>
      <c r="H186" s="48" t="str">
        <f t="shared" si="1"/>
        <v/>
      </c>
      <c r="I186" s="44" t="str">
        <f>IF(A186="","",IFERROR(SUMIF(Purchases!$D:$D,A186,Purchases!$I:$I)/D186,0))</f>
        <v/>
      </c>
      <c r="J186" s="44" t="str">
        <f t="shared" si="2"/>
        <v/>
      </c>
      <c r="K186" s="30" t="str">
        <f>IF($A186="","",IFERROR(VALUE(SUBSTITUTE(SUBSTITUTE(SUBSTITUTE(VLOOKUP($A186,Inventory!$O$5:$P$604,2,FALSE),"Tk","")," ",""),",","")),""))</f>
        <v/>
      </c>
      <c r="L186" s="58" t="str">
        <f t="shared" si="3"/>
        <v/>
      </c>
      <c r="M186" s="58" t="str">
        <f t="shared" si="4"/>
        <v/>
      </c>
      <c r="O186" s="59" t="str">
        <f t="shared" si="5"/>
        <v/>
      </c>
      <c r="P186" s="52"/>
    </row>
    <row r="187" ht="14.25" customHeight="1">
      <c r="A187" s="29" t="str">
        <f t="array" ref="A187">IFERROR(INDEX(Purchases!$D$5:$D$1004,MATCH(ROW()-4,Purchases!$L$5:$L$1004,0)),"")</f>
        <v/>
      </c>
      <c r="B187" s="48" t="str">
        <f>IFERROR(VLOOKUP(A187,Purchases!$D:$E,2,FALSE),"")</f>
        <v/>
      </c>
      <c r="C187" s="48" t="str">
        <f>IFERROR(VLOOKUP(A187,Purchases!$D:$F,3,FALSE),"")</f>
        <v/>
      </c>
      <c r="D187" s="48" t="str">
        <f>IF(A187="","",SUMIF(Purchases!$D:$D,A187,Purchases!$K:$K))</f>
        <v/>
      </c>
      <c r="E187" s="48" t="str">
        <f>IF(A187="","",SUMIFS(Sales!$H:$H,Sales!$F:$F,A187,Sales!$B:$B,"&lt;&gt;Return"))</f>
        <v/>
      </c>
      <c r="F187" s="48" t="str">
        <f>IF(A187="","",SUMIFS(Sales!$H:$H,Sales!$F:$F,A187,Sales!$B:$B,"Return"))</f>
        <v/>
      </c>
      <c r="G187" s="48" t="str">
        <f>IF($A187="","",SUMIF('Shop Ledger'!$C:$C,$A187,'Shop Ledger'!$F:$F))</f>
        <v/>
      </c>
      <c r="H187" s="48" t="str">
        <f t="shared" si="1"/>
        <v/>
      </c>
      <c r="I187" s="44" t="str">
        <f>IF(A187="","",IFERROR(SUMIF(Purchases!$D:$D,A187,Purchases!$I:$I)/D187,0))</f>
        <v/>
      </c>
      <c r="J187" s="44" t="str">
        <f t="shared" si="2"/>
        <v/>
      </c>
      <c r="K187" s="30" t="str">
        <f>IF($A187="","",IFERROR(VALUE(SUBSTITUTE(SUBSTITUTE(SUBSTITUTE(VLOOKUP($A187,Inventory!$O$5:$P$604,2,FALSE),"Tk","")," ",""),",","")),""))</f>
        <v/>
      </c>
      <c r="L187" s="58" t="str">
        <f t="shared" si="3"/>
        <v/>
      </c>
      <c r="M187" s="58" t="str">
        <f t="shared" si="4"/>
        <v/>
      </c>
      <c r="O187" s="59" t="str">
        <f t="shared" si="5"/>
        <v/>
      </c>
      <c r="P187" s="52"/>
    </row>
    <row r="188" ht="14.25" customHeight="1">
      <c r="A188" s="29" t="str">
        <f t="array" ref="A188">IFERROR(INDEX(Purchases!$D$5:$D$1004,MATCH(ROW()-4,Purchases!$L$5:$L$1004,0)),"")</f>
        <v/>
      </c>
      <c r="B188" s="48" t="str">
        <f>IFERROR(VLOOKUP(A188,Purchases!$D:$E,2,FALSE),"")</f>
        <v/>
      </c>
      <c r="C188" s="48" t="str">
        <f>IFERROR(VLOOKUP(A188,Purchases!$D:$F,3,FALSE),"")</f>
        <v/>
      </c>
      <c r="D188" s="48" t="str">
        <f>IF(A188="","",SUMIF(Purchases!$D:$D,A188,Purchases!$K:$K))</f>
        <v/>
      </c>
      <c r="E188" s="48" t="str">
        <f>IF(A188="","",SUMIFS(Sales!$H:$H,Sales!$F:$F,A188,Sales!$B:$B,"&lt;&gt;Return"))</f>
        <v/>
      </c>
      <c r="F188" s="48" t="str">
        <f>IF(A188="","",SUMIFS(Sales!$H:$H,Sales!$F:$F,A188,Sales!$B:$B,"Return"))</f>
        <v/>
      </c>
      <c r="G188" s="48" t="str">
        <f>IF($A188="","",SUMIF('Shop Ledger'!$C:$C,$A188,'Shop Ledger'!$F:$F))</f>
        <v/>
      </c>
      <c r="H188" s="48" t="str">
        <f t="shared" si="1"/>
        <v/>
      </c>
      <c r="I188" s="44" t="str">
        <f>IF(A188="","",IFERROR(SUMIF(Purchases!$D:$D,A188,Purchases!$I:$I)/D188,0))</f>
        <v/>
      </c>
      <c r="J188" s="44" t="str">
        <f t="shared" si="2"/>
        <v/>
      </c>
      <c r="K188" s="30" t="str">
        <f>IF($A188="","",IFERROR(VALUE(SUBSTITUTE(SUBSTITUTE(SUBSTITUTE(VLOOKUP($A188,Inventory!$O$5:$P$604,2,FALSE),"Tk","")," ",""),",","")),""))</f>
        <v/>
      </c>
      <c r="L188" s="58" t="str">
        <f t="shared" si="3"/>
        <v/>
      </c>
      <c r="M188" s="58" t="str">
        <f t="shared" si="4"/>
        <v/>
      </c>
      <c r="O188" s="59" t="str">
        <f t="shared" si="5"/>
        <v/>
      </c>
      <c r="P188" s="52"/>
    </row>
    <row r="189" ht="14.25" customHeight="1">
      <c r="A189" s="29" t="str">
        <f t="array" ref="A189">IFERROR(INDEX(Purchases!$D$5:$D$1004,MATCH(ROW()-4,Purchases!$L$5:$L$1004,0)),"")</f>
        <v/>
      </c>
      <c r="B189" s="48" t="str">
        <f>IFERROR(VLOOKUP(A189,Purchases!$D:$E,2,FALSE),"")</f>
        <v/>
      </c>
      <c r="C189" s="48" t="str">
        <f>IFERROR(VLOOKUP(A189,Purchases!$D:$F,3,FALSE),"")</f>
        <v/>
      </c>
      <c r="D189" s="48" t="str">
        <f>IF(A189="","",SUMIF(Purchases!$D:$D,A189,Purchases!$K:$K))</f>
        <v/>
      </c>
      <c r="E189" s="48" t="str">
        <f>IF(A189="","",SUMIFS(Sales!$H:$H,Sales!$F:$F,A189,Sales!$B:$B,"&lt;&gt;Return"))</f>
        <v/>
      </c>
      <c r="F189" s="48" t="str">
        <f>IF(A189="","",SUMIFS(Sales!$H:$H,Sales!$F:$F,A189,Sales!$B:$B,"Return"))</f>
        <v/>
      </c>
      <c r="G189" s="48" t="str">
        <f>IF($A189="","",SUMIF('Shop Ledger'!$C:$C,$A189,'Shop Ledger'!$F:$F))</f>
        <v/>
      </c>
      <c r="H189" s="48" t="str">
        <f t="shared" si="1"/>
        <v/>
      </c>
      <c r="I189" s="44" t="str">
        <f>IF(A189="","",IFERROR(SUMIF(Purchases!$D:$D,A189,Purchases!$I:$I)/D189,0))</f>
        <v/>
      </c>
      <c r="J189" s="44" t="str">
        <f t="shared" si="2"/>
        <v/>
      </c>
      <c r="K189" s="30" t="str">
        <f>IF($A189="","",IFERROR(VALUE(SUBSTITUTE(SUBSTITUTE(SUBSTITUTE(VLOOKUP($A189,Inventory!$O$5:$P$604,2,FALSE),"Tk","")," ",""),",","")),""))</f>
        <v/>
      </c>
      <c r="L189" s="58" t="str">
        <f t="shared" si="3"/>
        <v/>
      </c>
      <c r="M189" s="58" t="str">
        <f t="shared" si="4"/>
        <v/>
      </c>
      <c r="O189" s="59" t="str">
        <f t="shared" si="5"/>
        <v/>
      </c>
      <c r="P189" s="52"/>
    </row>
    <row r="190" ht="14.25" customHeight="1">
      <c r="A190" s="29" t="str">
        <f t="array" ref="A190">IFERROR(INDEX(Purchases!$D$5:$D$1004,MATCH(ROW()-4,Purchases!$L$5:$L$1004,0)),"")</f>
        <v/>
      </c>
      <c r="B190" s="48" t="str">
        <f>IFERROR(VLOOKUP(A190,Purchases!$D:$E,2,FALSE),"")</f>
        <v/>
      </c>
      <c r="C190" s="48" t="str">
        <f>IFERROR(VLOOKUP(A190,Purchases!$D:$F,3,FALSE),"")</f>
        <v/>
      </c>
      <c r="D190" s="48" t="str">
        <f>IF(A190="","",SUMIF(Purchases!$D:$D,A190,Purchases!$K:$K))</f>
        <v/>
      </c>
      <c r="E190" s="48" t="str">
        <f>IF(A190="","",SUMIFS(Sales!$H:$H,Sales!$F:$F,A190,Sales!$B:$B,"&lt;&gt;Return"))</f>
        <v/>
      </c>
      <c r="F190" s="48" t="str">
        <f>IF(A190="","",SUMIFS(Sales!$H:$H,Sales!$F:$F,A190,Sales!$B:$B,"Return"))</f>
        <v/>
      </c>
      <c r="G190" s="48" t="str">
        <f>IF($A190="","",SUMIF('Shop Ledger'!$C:$C,$A190,'Shop Ledger'!$F:$F))</f>
        <v/>
      </c>
      <c r="H190" s="48" t="str">
        <f t="shared" si="1"/>
        <v/>
      </c>
      <c r="I190" s="44" t="str">
        <f>IF(A190="","",IFERROR(SUMIF(Purchases!$D:$D,A190,Purchases!$I:$I)/D190,0))</f>
        <v/>
      </c>
      <c r="J190" s="44" t="str">
        <f t="shared" si="2"/>
        <v/>
      </c>
      <c r="K190" s="30" t="str">
        <f>IF($A190="","",IFERROR(VALUE(SUBSTITUTE(SUBSTITUTE(SUBSTITUTE(VLOOKUP($A190,Inventory!$O$5:$P$604,2,FALSE),"Tk","")," ",""),",","")),""))</f>
        <v/>
      </c>
      <c r="L190" s="58" t="str">
        <f t="shared" si="3"/>
        <v/>
      </c>
      <c r="M190" s="58" t="str">
        <f t="shared" si="4"/>
        <v/>
      </c>
      <c r="O190" s="59" t="str">
        <f t="shared" si="5"/>
        <v/>
      </c>
      <c r="P190" s="52"/>
    </row>
    <row r="191" ht="14.25" customHeight="1">
      <c r="A191" s="29" t="str">
        <f t="array" ref="A191">IFERROR(INDEX(Purchases!$D$5:$D$1004,MATCH(ROW()-4,Purchases!$L$5:$L$1004,0)),"")</f>
        <v/>
      </c>
      <c r="B191" s="48" t="str">
        <f>IFERROR(VLOOKUP(A191,Purchases!$D:$E,2,FALSE),"")</f>
        <v/>
      </c>
      <c r="C191" s="48" t="str">
        <f>IFERROR(VLOOKUP(A191,Purchases!$D:$F,3,FALSE),"")</f>
        <v/>
      </c>
      <c r="D191" s="48" t="str">
        <f>IF(A191="","",SUMIF(Purchases!$D:$D,A191,Purchases!$K:$K))</f>
        <v/>
      </c>
      <c r="E191" s="48" t="str">
        <f>IF(A191="","",SUMIFS(Sales!$H:$H,Sales!$F:$F,A191,Sales!$B:$B,"&lt;&gt;Return"))</f>
        <v/>
      </c>
      <c r="F191" s="48" t="str">
        <f>IF(A191="","",SUMIFS(Sales!$H:$H,Sales!$F:$F,A191,Sales!$B:$B,"Return"))</f>
        <v/>
      </c>
      <c r="G191" s="48" t="str">
        <f>IF($A191="","",SUMIF('Shop Ledger'!$C:$C,$A191,'Shop Ledger'!$F:$F))</f>
        <v/>
      </c>
      <c r="H191" s="48" t="str">
        <f t="shared" si="1"/>
        <v/>
      </c>
      <c r="I191" s="44" t="str">
        <f>IF(A191="","",IFERROR(SUMIF(Purchases!$D:$D,A191,Purchases!$I:$I)/D191,0))</f>
        <v/>
      </c>
      <c r="J191" s="44" t="str">
        <f t="shared" si="2"/>
        <v/>
      </c>
      <c r="K191" s="30" t="str">
        <f>IF($A191="","",IFERROR(VALUE(SUBSTITUTE(SUBSTITUTE(SUBSTITUTE(VLOOKUP($A191,Inventory!$O$5:$P$604,2,FALSE),"Tk","")," ",""),",","")),""))</f>
        <v/>
      </c>
      <c r="L191" s="58" t="str">
        <f t="shared" si="3"/>
        <v/>
      </c>
      <c r="M191" s="58" t="str">
        <f t="shared" si="4"/>
        <v/>
      </c>
      <c r="O191" s="59" t="str">
        <f t="shared" si="5"/>
        <v/>
      </c>
      <c r="P191" s="52"/>
    </row>
    <row r="192" ht="14.25" customHeight="1">
      <c r="A192" s="29" t="str">
        <f t="array" ref="A192">IFERROR(INDEX(Purchases!$D$5:$D$1004,MATCH(ROW()-4,Purchases!$L$5:$L$1004,0)),"")</f>
        <v/>
      </c>
      <c r="B192" s="48" t="str">
        <f>IFERROR(VLOOKUP(A192,Purchases!$D:$E,2,FALSE),"")</f>
        <v/>
      </c>
      <c r="C192" s="48" t="str">
        <f>IFERROR(VLOOKUP(A192,Purchases!$D:$F,3,FALSE),"")</f>
        <v/>
      </c>
      <c r="D192" s="48" t="str">
        <f>IF(A192="","",SUMIF(Purchases!$D:$D,A192,Purchases!$K:$K))</f>
        <v/>
      </c>
      <c r="E192" s="48" t="str">
        <f>IF(A192="","",SUMIFS(Sales!$H:$H,Sales!$F:$F,A192,Sales!$B:$B,"&lt;&gt;Return"))</f>
        <v/>
      </c>
      <c r="F192" s="48" t="str">
        <f>IF(A192="","",SUMIFS(Sales!$H:$H,Sales!$F:$F,A192,Sales!$B:$B,"Return"))</f>
        <v/>
      </c>
      <c r="G192" s="48" t="str">
        <f>IF($A192="","",SUMIF('Shop Ledger'!$C:$C,$A192,'Shop Ledger'!$F:$F))</f>
        <v/>
      </c>
      <c r="H192" s="48" t="str">
        <f t="shared" si="1"/>
        <v/>
      </c>
      <c r="I192" s="44" t="str">
        <f>IF(A192="","",IFERROR(SUMIF(Purchases!$D:$D,A192,Purchases!$I:$I)/D192,0))</f>
        <v/>
      </c>
      <c r="J192" s="44" t="str">
        <f t="shared" si="2"/>
        <v/>
      </c>
      <c r="K192" s="30" t="str">
        <f>IF($A192="","",IFERROR(VALUE(SUBSTITUTE(SUBSTITUTE(SUBSTITUTE(VLOOKUP($A192,Inventory!$O$5:$P$604,2,FALSE),"Tk","")," ",""),",","")),""))</f>
        <v/>
      </c>
      <c r="L192" s="58" t="str">
        <f t="shared" si="3"/>
        <v/>
      </c>
      <c r="M192" s="58" t="str">
        <f t="shared" si="4"/>
        <v/>
      </c>
      <c r="O192" s="59" t="str">
        <f t="shared" si="5"/>
        <v/>
      </c>
      <c r="P192" s="52"/>
    </row>
    <row r="193" ht="14.25" customHeight="1">
      <c r="A193" s="29" t="str">
        <f t="array" ref="A193">IFERROR(INDEX(Purchases!$D$5:$D$1004,MATCH(ROW()-4,Purchases!$L$5:$L$1004,0)),"")</f>
        <v/>
      </c>
      <c r="B193" s="48" t="str">
        <f>IFERROR(VLOOKUP(A193,Purchases!$D:$E,2,FALSE),"")</f>
        <v/>
      </c>
      <c r="C193" s="48" t="str">
        <f>IFERROR(VLOOKUP(A193,Purchases!$D:$F,3,FALSE),"")</f>
        <v/>
      </c>
      <c r="D193" s="48" t="str">
        <f>IF(A193="","",SUMIF(Purchases!$D:$D,A193,Purchases!$K:$K))</f>
        <v/>
      </c>
      <c r="E193" s="48" t="str">
        <f>IF(A193="","",SUMIFS(Sales!$H:$H,Sales!$F:$F,A193,Sales!$B:$B,"&lt;&gt;Return"))</f>
        <v/>
      </c>
      <c r="F193" s="48" t="str">
        <f>IF(A193="","",SUMIFS(Sales!$H:$H,Sales!$F:$F,A193,Sales!$B:$B,"Return"))</f>
        <v/>
      </c>
      <c r="G193" s="48" t="str">
        <f>IF($A193="","",SUMIF('Shop Ledger'!$C:$C,$A193,'Shop Ledger'!$F:$F))</f>
        <v/>
      </c>
      <c r="H193" s="48" t="str">
        <f t="shared" si="1"/>
        <v/>
      </c>
      <c r="I193" s="44" t="str">
        <f>IF(A193="","",IFERROR(SUMIF(Purchases!$D:$D,A193,Purchases!$I:$I)/D193,0))</f>
        <v/>
      </c>
      <c r="J193" s="44" t="str">
        <f t="shared" si="2"/>
        <v/>
      </c>
      <c r="K193" s="30" t="str">
        <f>IF($A193="","",IFERROR(VALUE(SUBSTITUTE(SUBSTITUTE(SUBSTITUTE(VLOOKUP($A193,Inventory!$O$5:$P$604,2,FALSE),"Tk","")," ",""),",","")),""))</f>
        <v/>
      </c>
      <c r="L193" s="58" t="str">
        <f t="shared" si="3"/>
        <v/>
      </c>
      <c r="M193" s="58" t="str">
        <f t="shared" si="4"/>
        <v/>
      </c>
      <c r="O193" s="59" t="str">
        <f t="shared" si="5"/>
        <v/>
      </c>
      <c r="P193" s="52"/>
    </row>
    <row r="194" ht="14.25" customHeight="1">
      <c r="A194" s="29" t="str">
        <f t="array" ref="A194">IFERROR(INDEX(Purchases!$D$5:$D$1004,MATCH(ROW()-4,Purchases!$L$5:$L$1004,0)),"")</f>
        <v/>
      </c>
      <c r="B194" s="48" t="str">
        <f>IFERROR(VLOOKUP(A194,Purchases!$D:$E,2,FALSE),"")</f>
        <v/>
      </c>
      <c r="C194" s="48" t="str">
        <f>IFERROR(VLOOKUP(A194,Purchases!$D:$F,3,FALSE),"")</f>
        <v/>
      </c>
      <c r="D194" s="48" t="str">
        <f>IF(A194="","",SUMIF(Purchases!$D:$D,A194,Purchases!$K:$K))</f>
        <v/>
      </c>
      <c r="E194" s="48" t="str">
        <f>IF(A194="","",SUMIFS(Sales!$H:$H,Sales!$F:$F,A194,Sales!$B:$B,"&lt;&gt;Return"))</f>
        <v/>
      </c>
      <c r="F194" s="48" t="str">
        <f>IF(A194="","",SUMIFS(Sales!$H:$H,Sales!$F:$F,A194,Sales!$B:$B,"Return"))</f>
        <v/>
      </c>
      <c r="G194" s="48" t="str">
        <f>IF($A194="","",SUMIF('Shop Ledger'!$C:$C,$A194,'Shop Ledger'!$F:$F))</f>
        <v/>
      </c>
      <c r="H194" s="48" t="str">
        <f t="shared" si="1"/>
        <v/>
      </c>
      <c r="I194" s="44" t="str">
        <f>IF(A194="","",IFERROR(SUMIF(Purchases!$D:$D,A194,Purchases!$I:$I)/D194,0))</f>
        <v/>
      </c>
      <c r="J194" s="44" t="str">
        <f t="shared" si="2"/>
        <v/>
      </c>
      <c r="K194" s="30" t="str">
        <f>IF($A194="","",IFERROR(VALUE(SUBSTITUTE(SUBSTITUTE(SUBSTITUTE(VLOOKUP($A194,Inventory!$O$5:$P$604,2,FALSE),"Tk","")," ",""),",","")),""))</f>
        <v/>
      </c>
      <c r="L194" s="58" t="str">
        <f t="shared" si="3"/>
        <v/>
      </c>
      <c r="M194" s="58" t="str">
        <f t="shared" si="4"/>
        <v/>
      </c>
      <c r="O194" s="59" t="str">
        <f t="shared" si="5"/>
        <v/>
      </c>
      <c r="P194" s="52"/>
    </row>
    <row r="195" ht="14.25" customHeight="1">
      <c r="A195" s="29" t="str">
        <f t="array" ref="A195">IFERROR(INDEX(Purchases!$D$5:$D$1004,MATCH(ROW()-4,Purchases!$L$5:$L$1004,0)),"")</f>
        <v/>
      </c>
      <c r="B195" s="48" t="str">
        <f>IFERROR(VLOOKUP(A195,Purchases!$D:$E,2,FALSE),"")</f>
        <v/>
      </c>
      <c r="C195" s="48" t="str">
        <f>IFERROR(VLOOKUP(A195,Purchases!$D:$F,3,FALSE),"")</f>
        <v/>
      </c>
      <c r="D195" s="48" t="str">
        <f>IF(A195="","",SUMIF(Purchases!$D:$D,A195,Purchases!$K:$K))</f>
        <v/>
      </c>
      <c r="E195" s="48" t="str">
        <f>IF(A195="","",SUMIFS(Sales!$H:$H,Sales!$F:$F,A195,Sales!$B:$B,"&lt;&gt;Return"))</f>
        <v/>
      </c>
      <c r="F195" s="48" t="str">
        <f>IF(A195="","",SUMIFS(Sales!$H:$H,Sales!$F:$F,A195,Sales!$B:$B,"Return"))</f>
        <v/>
      </c>
      <c r="G195" s="48" t="str">
        <f>IF($A195="","",SUMIF('Shop Ledger'!$C:$C,$A195,'Shop Ledger'!$F:$F))</f>
        <v/>
      </c>
      <c r="H195" s="48" t="str">
        <f t="shared" si="1"/>
        <v/>
      </c>
      <c r="I195" s="44" t="str">
        <f>IF(A195="","",IFERROR(SUMIF(Purchases!$D:$D,A195,Purchases!$I:$I)/D195,0))</f>
        <v/>
      </c>
      <c r="J195" s="44" t="str">
        <f t="shared" si="2"/>
        <v/>
      </c>
      <c r="K195" s="30" t="str">
        <f>IF($A195="","",IFERROR(VALUE(SUBSTITUTE(SUBSTITUTE(SUBSTITUTE(VLOOKUP($A195,Inventory!$O$5:$P$604,2,FALSE),"Tk","")," ",""),",","")),""))</f>
        <v/>
      </c>
      <c r="L195" s="58" t="str">
        <f t="shared" si="3"/>
        <v/>
      </c>
      <c r="M195" s="58" t="str">
        <f t="shared" si="4"/>
        <v/>
      </c>
      <c r="O195" s="59" t="str">
        <f t="shared" si="5"/>
        <v/>
      </c>
      <c r="P195" s="52"/>
    </row>
    <row r="196" ht="14.25" customHeight="1">
      <c r="A196" s="29" t="str">
        <f t="array" ref="A196">IFERROR(INDEX(Purchases!$D$5:$D$1004,MATCH(ROW()-4,Purchases!$L$5:$L$1004,0)),"")</f>
        <v/>
      </c>
      <c r="B196" s="48" t="str">
        <f>IFERROR(VLOOKUP(A196,Purchases!$D:$E,2,FALSE),"")</f>
        <v/>
      </c>
      <c r="C196" s="48" t="str">
        <f>IFERROR(VLOOKUP(A196,Purchases!$D:$F,3,FALSE),"")</f>
        <v/>
      </c>
      <c r="D196" s="48" t="str">
        <f>IF(A196="","",SUMIF(Purchases!$D:$D,A196,Purchases!$K:$K))</f>
        <v/>
      </c>
      <c r="E196" s="48" t="str">
        <f>IF(A196="","",SUMIFS(Sales!$H:$H,Sales!$F:$F,A196,Sales!$B:$B,"&lt;&gt;Return"))</f>
        <v/>
      </c>
      <c r="F196" s="48" t="str">
        <f>IF(A196="","",SUMIFS(Sales!$H:$H,Sales!$F:$F,A196,Sales!$B:$B,"Return"))</f>
        <v/>
      </c>
      <c r="G196" s="48" t="str">
        <f>IF($A196="","",SUMIF('Shop Ledger'!$C:$C,$A196,'Shop Ledger'!$F:$F))</f>
        <v/>
      </c>
      <c r="H196" s="48" t="str">
        <f t="shared" si="1"/>
        <v/>
      </c>
      <c r="I196" s="44" t="str">
        <f>IF(A196="","",IFERROR(SUMIF(Purchases!$D:$D,A196,Purchases!$I:$I)/D196,0))</f>
        <v/>
      </c>
      <c r="J196" s="44" t="str">
        <f t="shared" si="2"/>
        <v/>
      </c>
      <c r="K196" s="30" t="str">
        <f>IF($A196="","",IFERROR(VALUE(SUBSTITUTE(SUBSTITUTE(SUBSTITUTE(VLOOKUP($A196,Inventory!$O$5:$P$604,2,FALSE),"Tk","")," ",""),",","")),""))</f>
        <v/>
      </c>
      <c r="L196" s="58" t="str">
        <f t="shared" si="3"/>
        <v/>
      </c>
      <c r="M196" s="58" t="str">
        <f t="shared" si="4"/>
        <v/>
      </c>
      <c r="O196" s="59" t="str">
        <f t="shared" si="5"/>
        <v/>
      </c>
      <c r="P196" s="52"/>
    </row>
    <row r="197" ht="14.25" customHeight="1">
      <c r="A197" s="29" t="str">
        <f t="array" ref="A197">IFERROR(INDEX(Purchases!$D$5:$D$1004,MATCH(ROW()-4,Purchases!$L$5:$L$1004,0)),"")</f>
        <v/>
      </c>
      <c r="B197" s="48" t="str">
        <f>IFERROR(VLOOKUP(A197,Purchases!$D:$E,2,FALSE),"")</f>
        <v/>
      </c>
      <c r="C197" s="48" t="str">
        <f>IFERROR(VLOOKUP(A197,Purchases!$D:$F,3,FALSE),"")</f>
        <v/>
      </c>
      <c r="D197" s="48" t="str">
        <f>IF(A197="","",SUMIF(Purchases!$D:$D,A197,Purchases!$K:$K))</f>
        <v/>
      </c>
      <c r="E197" s="48" t="str">
        <f>IF(A197="","",SUMIFS(Sales!$H:$H,Sales!$F:$F,A197,Sales!$B:$B,"&lt;&gt;Return"))</f>
        <v/>
      </c>
      <c r="F197" s="48" t="str">
        <f>IF(A197="","",SUMIFS(Sales!$H:$H,Sales!$F:$F,A197,Sales!$B:$B,"Return"))</f>
        <v/>
      </c>
      <c r="G197" s="48" t="str">
        <f>IF($A197="","",SUMIF('Shop Ledger'!$C:$C,$A197,'Shop Ledger'!$F:$F))</f>
        <v/>
      </c>
      <c r="H197" s="48" t="str">
        <f t="shared" si="1"/>
        <v/>
      </c>
      <c r="I197" s="44" t="str">
        <f>IF(A197="","",IFERROR(SUMIF(Purchases!$D:$D,A197,Purchases!$I:$I)/D197,0))</f>
        <v/>
      </c>
      <c r="J197" s="44" t="str">
        <f t="shared" si="2"/>
        <v/>
      </c>
      <c r="K197" s="30" t="str">
        <f>IF($A197="","",IFERROR(VALUE(SUBSTITUTE(SUBSTITUTE(SUBSTITUTE(VLOOKUP($A197,Inventory!$O$5:$P$604,2,FALSE),"Tk","")," ",""),",","")),""))</f>
        <v/>
      </c>
      <c r="L197" s="58" t="str">
        <f t="shared" si="3"/>
        <v/>
      </c>
      <c r="M197" s="58" t="str">
        <f t="shared" si="4"/>
        <v/>
      </c>
      <c r="O197" s="59" t="str">
        <f t="shared" si="5"/>
        <v/>
      </c>
      <c r="P197" s="52"/>
    </row>
    <row r="198" ht="14.25" customHeight="1">
      <c r="A198" s="29" t="str">
        <f t="array" ref="A198">IFERROR(INDEX(Purchases!$D$5:$D$1004,MATCH(ROW()-4,Purchases!$L$5:$L$1004,0)),"")</f>
        <v/>
      </c>
      <c r="B198" s="48" t="str">
        <f>IFERROR(VLOOKUP(A198,Purchases!$D:$E,2,FALSE),"")</f>
        <v/>
      </c>
      <c r="C198" s="48" t="str">
        <f>IFERROR(VLOOKUP(A198,Purchases!$D:$F,3,FALSE),"")</f>
        <v/>
      </c>
      <c r="D198" s="48" t="str">
        <f>IF(A198="","",SUMIF(Purchases!$D:$D,A198,Purchases!$K:$K))</f>
        <v/>
      </c>
      <c r="E198" s="48" t="str">
        <f>IF(A198="","",SUMIFS(Sales!$H:$H,Sales!$F:$F,A198,Sales!$B:$B,"&lt;&gt;Return"))</f>
        <v/>
      </c>
      <c r="F198" s="48" t="str">
        <f>IF(A198="","",SUMIFS(Sales!$H:$H,Sales!$F:$F,A198,Sales!$B:$B,"Return"))</f>
        <v/>
      </c>
      <c r="G198" s="48" t="str">
        <f>IF($A198="","",SUMIF('Shop Ledger'!$C:$C,$A198,'Shop Ledger'!$F:$F))</f>
        <v/>
      </c>
      <c r="H198" s="48" t="str">
        <f t="shared" si="1"/>
        <v/>
      </c>
      <c r="I198" s="44" t="str">
        <f>IF(A198="","",IFERROR(SUMIF(Purchases!$D:$D,A198,Purchases!$I:$I)/D198,0))</f>
        <v/>
      </c>
      <c r="J198" s="44" t="str">
        <f t="shared" si="2"/>
        <v/>
      </c>
      <c r="K198" s="30" t="str">
        <f>IF($A198="","",IFERROR(VALUE(SUBSTITUTE(SUBSTITUTE(SUBSTITUTE(VLOOKUP($A198,Inventory!$O$5:$P$604,2,FALSE),"Tk","")," ",""),",","")),""))</f>
        <v/>
      </c>
      <c r="L198" s="58" t="str">
        <f t="shared" si="3"/>
        <v/>
      </c>
      <c r="M198" s="58" t="str">
        <f t="shared" si="4"/>
        <v/>
      </c>
      <c r="O198" s="59" t="str">
        <f t="shared" si="5"/>
        <v/>
      </c>
      <c r="P198" s="52"/>
    </row>
    <row r="199" ht="14.25" customHeight="1">
      <c r="A199" s="29" t="str">
        <f t="array" ref="A199">IFERROR(INDEX(Purchases!$D$5:$D$1004,MATCH(ROW()-4,Purchases!$L$5:$L$1004,0)),"")</f>
        <v/>
      </c>
      <c r="B199" s="48" t="str">
        <f>IFERROR(VLOOKUP(A199,Purchases!$D:$E,2,FALSE),"")</f>
        <v/>
      </c>
      <c r="C199" s="48" t="str">
        <f>IFERROR(VLOOKUP(A199,Purchases!$D:$F,3,FALSE),"")</f>
        <v/>
      </c>
      <c r="D199" s="48" t="str">
        <f>IF(A199="","",SUMIF(Purchases!$D:$D,A199,Purchases!$K:$K))</f>
        <v/>
      </c>
      <c r="E199" s="48" t="str">
        <f>IF(A199="","",SUMIFS(Sales!$H:$H,Sales!$F:$F,A199,Sales!$B:$B,"&lt;&gt;Return"))</f>
        <v/>
      </c>
      <c r="F199" s="48" t="str">
        <f>IF(A199="","",SUMIFS(Sales!$H:$H,Sales!$F:$F,A199,Sales!$B:$B,"Return"))</f>
        <v/>
      </c>
      <c r="G199" s="48" t="str">
        <f>IF($A199="","",SUMIF('Shop Ledger'!$C:$C,$A199,'Shop Ledger'!$F:$F))</f>
        <v/>
      </c>
      <c r="H199" s="48" t="str">
        <f t="shared" si="1"/>
        <v/>
      </c>
      <c r="I199" s="44" t="str">
        <f>IF(A199="","",IFERROR(SUMIF(Purchases!$D:$D,A199,Purchases!$I:$I)/D199,0))</f>
        <v/>
      </c>
      <c r="J199" s="44" t="str">
        <f t="shared" si="2"/>
        <v/>
      </c>
      <c r="K199" s="30" t="str">
        <f>IF($A199="","",IFERROR(VALUE(SUBSTITUTE(SUBSTITUTE(SUBSTITUTE(VLOOKUP($A199,Inventory!$O$5:$P$604,2,FALSE),"Tk","")," ",""),",","")),""))</f>
        <v/>
      </c>
      <c r="L199" s="58" t="str">
        <f t="shared" si="3"/>
        <v/>
      </c>
      <c r="M199" s="58" t="str">
        <f t="shared" si="4"/>
        <v/>
      </c>
      <c r="O199" s="59" t="str">
        <f t="shared" si="5"/>
        <v/>
      </c>
      <c r="P199" s="52"/>
    </row>
    <row r="200" ht="14.25" customHeight="1">
      <c r="A200" s="29" t="str">
        <f t="array" ref="A200">IFERROR(INDEX(Purchases!$D$5:$D$1004,MATCH(ROW()-4,Purchases!$L$5:$L$1004,0)),"")</f>
        <v/>
      </c>
      <c r="B200" s="48" t="str">
        <f>IFERROR(VLOOKUP(A200,Purchases!$D:$E,2,FALSE),"")</f>
        <v/>
      </c>
      <c r="C200" s="48" t="str">
        <f>IFERROR(VLOOKUP(A200,Purchases!$D:$F,3,FALSE),"")</f>
        <v/>
      </c>
      <c r="D200" s="48" t="str">
        <f>IF(A200="","",SUMIF(Purchases!$D:$D,A200,Purchases!$K:$K))</f>
        <v/>
      </c>
      <c r="E200" s="48" t="str">
        <f>IF(A200="","",SUMIFS(Sales!$H:$H,Sales!$F:$F,A200,Sales!$B:$B,"&lt;&gt;Return"))</f>
        <v/>
      </c>
      <c r="F200" s="48" t="str">
        <f>IF(A200="","",SUMIFS(Sales!$H:$H,Sales!$F:$F,A200,Sales!$B:$B,"Return"))</f>
        <v/>
      </c>
      <c r="G200" s="48" t="str">
        <f>IF($A200="","",SUMIF('Shop Ledger'!$C:$C,$A200,'Shop Ledger'!$F:$F))</f>
        <v/>
      </c>
      <c r="H200" s="48" t="str">
        <f t="shared" si="1"/>
        <v/>
      </c>
      <c r="I200" s="44" t="str">
        <f>IF(A200="","",IFERROR(SUMIF(Purchases!$D:$D,A200,Purchases!$I:$I)/D200,0))</f>
        <v/>
      </c>
      <c r="J200" s="44" t="str">
        <f t="shared" si="2"/>
        <v/>
      </c>
      <c r="K200" s="30" t="str">
        <f>IF($A200="","",IFERROR(VALUE(SUBSTITUTE(SUBSTITUTE(SUBSTITUTE(VLOOKUP($A200,Inventory!$O$5:$P$604,2,FALSE),"Tk","")," ",""),",","")),""))</f>
        <v/>
      </c>
      <c r="L200" s="58" t="str">
        <f t="shared" si="3"/>
        <v/>
      </c>
      <c r="M200" s="58" t="str">
        <f t="shared" si="4"/>
        <v/>
      </c>
      <c r="O200" s="59" t="str">
        <f t="shared" si="5"/>
        <v/>
      </c>
      <c r="P200" s="52"/>
    </row>
    <row r="201" ht="14.25" customHeight="1">
      <c r="A201" s="29" t="str">
        <f t="array" ref="A201">IFERROR(INDEX(Purchases!$D$5:$D$1004,MATCH(ROW()-4,Purchases!$L$5:$L$1004,0)),"")</f>
        <v/>
      </c>
      <c r="B201" s="48" t="str">
        <f>IFERROR(VLOOKUP(A201,Purchases!$D:$E,2,FALSE),"")</f>
        <v/>
      </c>
      <c r="C201" s="48" t="str">
        <f>IFERROR(VLOOKUP(A201,Purchases!$D:$F,3,FALSE),"")</f>
        <v/>
      </c>
      <c r="D201" s="48" t="str">
        <f>IF(A201="","",SUMIF(Purchases!$D:$D,A201,Purchases!$K:$K))</f>
        <v/>
      </c>
      <c r="E201" s="48" t="str">
        <f>IF(A201="","",SUMIFS(Sales!$H:$H,Sales!$F:$F,A201,Sales!$B:$B,"&lt;&gt;Return"))</f>
        <v/>
      </c>
      <c r="F201" s="48" t="str">
        <f>IF(A201="","",SUMIFS(Sales!$H:$H,Sales!$F:$F,A201,Sales!$B:$B,"Return"))</f>
        <v/>
      </c>
      <c r="G201" s="48" t="str">
        <f>IF($A201="","",SUMIF('Shop Ledger'!$C:$C,$A201,'Shop Ledger'!$F:$F))</f>
        <v/>
      </c>
      <c r="H201" s="48" t="str">
        <f t="shared" si="1"/>
        <v/>
      </c>
      <c r="I201" s="44" t="str">
        <f>IF(A201="","",IFERROR(SUMIF(Purchases!$D:$D,A201,Purchases!$I:$I)/D201,0))</f>
        <v/>
      </c>
      <c r="J201" s="44" t="str">
        <f t="shared" si="2"/>
        <v/>
      </c>
      <c r="K201" s="30" t="str">
        <f>IF($A201="","",IFERROR(VALUE(SUBSTITUTE(SUBSTITUTE(SUBSTITUTE(VLOOKUP($A201,Inventory!$O$5:$P$604,2,FALSE),"Tk","")," ",""),",","")),""))</f>
        <v/>
      </c>
      <c r="L201" s="58" t="str">
        <f t="shared" si="3"/>
        <v/>
      </c>
      <c r="M201" s="58" t="str">
        <f t="shared" si="4"/>
        <v/>
      </c>
      <c r="O201" s="59" t="str">
        <f t="shared" si="5"/>
        <v/>
      </c>
      <c r="P201" s="52"/>
    </row>
    <row r="202" ht="14.25" customHeight="1">
      <c r="A202" s="29" t="str">
        <f t="array" ref="A202">IFERROR(INDEX(Purchases!$D$5:$D$1004,MATCH(ROW()-4,Purchases!$L$5:$L$1004,0)),"")</f>
        <v/>
      </c>
      <c r="B202" s="48" t="str">
        <f>IFERROR(VLOOKUP(A202,Purchases!$D:$E,2,FALSE),"")</f>
        <v/>
      </c>
      <c r="C202" s="48" t="str">
        <f>IFERROR(VLOOKUP(A202,Purchases!$D:$F,3,FALSE),"")</f>
        <v/>
      </c>
      <c r="D202" s="48" t="str">
        <f>IF(A202="","",SUMIF(Purchases!$D:$D,A202,Purchases!$K:$K))</f>
        <v/>
      </c>
      <c r="E202" s="48" t="str">
        <f>IF(A202="","",SUMIFS(Sales!$H:$H,Sales!$F:$F,A202,Sales!$B:$B,"&lt;&gt;Return"))</f>
        <v/>
      </c>
      <c r="F202" s="48" t="str">
        <f>IF(A202="","",SUMIFS(Sales!$H:$H,Sales!$F:$F,A202,Sales!$B:$B,"Return"))</f>
        <v/>
      </c>
      <c r="G202" s="48" t="str">
        <f>IF($A202="","",SUMIF('Shop Ledger'!$C:$C,$A202,'Shop Ledger'!$F:$F))</f>
        <v/>
      </c>
      <c r="H202" s="48" t="str">
        <f t="shared" si="1"/>
        <v/>
      </c>
      <c r="I202" s="44" t="str">
        <f>IF(A202="","",IFERROR(SUMIF(Purchases!$D:$D,A202,Purchases!$I:$I)/D202,0))</f>
        <v/>
      </c>
      <c r="J202" s="44" t="str">
        <f t="shared" si="2"/>
        <v/>
      </c>
      <c r="K202" s="30" t="str">
        <f>IF($A202="","",IFERROR(VALUE(SUBSTITUTE(SUBSTITUTE(SUBSTITUTE(VLOOKUP($A202,Inventory!$O$5:$P$604,2,FALSE),"Tk","")," ",""),",","")),""))</f>
        <v/>
      </c>
      <c r="L202" s="58" t="str">
        <f t="shared" si="3"/>
        <v/>
      </c>
      <c r="M202" s="58" t="str">
        <f t="shared" si="4"/>
        <v/>
      </c>
      <c r="O202" s="59" t="str">
        <f t="shared" si="5"/>
        <v/>
      </c>
      <c r="P202" s="52"/>
    </row>
    <row r="203" ht="14.25" customHeight="1">
      <c r="A203" s="29" t="str">
        <f t="array" ref="A203">IFERROR(INDEX(Purchases!$D$5:$D$1004,MATCH(ROW()-4,Purchases!$L$5:$L$1004,0)),"")</f>
        <v/>
      </c>
      <c r="B203" s="48" t="str">
        <f>IFERROR(VLOOKUP(A203,Purchases!$D:$E,2,FALSE),"")</f>
        <v/>
      </c>
      <c r="C203" s="48" t="str">
        <f>IFERROR(VLOOKUP(A203,Purchases!$D:$F,3,FALSE),"")</f>
        <v/>
      </c>
      <c r="D203" s="48" t="str">
        <f>IF(A203="","",SUMIF(Purchases!$D:$D,A203,Purchases!$K:$K))</f>
        <v/>
      </c>
      <c r="E203" s="48" t="str">
        <f>IF(A203="","",SUMIFS(Sales!$H:$H,Sales!$F:$F,A203,Sales!$B:$B,"&lt;&gt;Return"))</f>
        <v/>
      </c>
      <c r="F203" s="48" t="str">
        <f>IF(A203="","",SUMIFS(Sales!$H:$H,Sales!$F:$F,A203,Sales!$B:$B,"Return"))</f>
        <v/>
      </c>
      <c r="G203" s="48" t="str">
        <f>IF($A203="","",SUMIF('Shop Ledger'!$C:$C,$A203,'Shop Ledger'!$F:$F))</f>
        <v/>
      </c>
      <c r="H203" s="48" t="str">
        <f t="shared" si="1"/>
        <v/>
      </c>
      <c r="I203" s="44" t="str">
        <f>IF(A203="","",IFERROR(SUMIF(Purchases!$D:$D,A203,Purchases!$I:$I)/D203,0))</f>
        <v/>
      </c>
      <c r="J203" s="44" t="str">
        <f t="shared" si="2"/>
        <v/>
      </c>
      <c r="K203" s="30" t="str">
        <f>IF($A203="","",IFERROR(VALUE(SUBSTITUTE(SUBSTITUTE(SUBSTITUTE(VLOOKUP($A203,Inventory!$O$5:$P$604,2,FALSE),"Tk","")," ",""),",","")),""))</f>
        <v/>
      </c>
      <c r="L203" s="58" t="str">
        <f t="shared" si="3"/>
        <v/>
      </c>
      <c r="M203" s="58" t="str">
        <f t="shared" si="4"/>
        <v/>
      </c>
      <c r="O203" s="59" t="str">
        <f t="shared" si="5"/>
        <v/>
      </c>
      <c r="P203" s="52"/>
    </row>
    <row r="204" ht="14.25" customHeight="1">
      <c r="A204" s="29" t="str">
        <f t="array" ref="A204">IFERROR(INDEX(Purchases!$D$5:$D$1004,MATCH(ROW()-4,Purchases!$L$5:$L$1004,0)),"")</f>
        <v/>
      </c>
      <c r="B204" s="48" t="str">
        <f>IFERROR(VLOOKUP(A204,Purchases!$D:$E,2,FALSE),"")</f>
        <v/>
      </c>
      <c r="C204" s="48" t="str">
        <f>IFERROR(VLOOKUP(A204,Purchases!$D:$F,3,FALSE),"")</f>
        <v/>
      </c>
      <c r="D204" s="48" t="str">
        <f>IF(A204="","",SUMIF(Purchases!$D:$D,A204,Purchases!$K:$K))</f>
        <v/>
      </c>
      <c r="E204" s="48" t="str">
        <f>IF(A204="","",SUMIFS(Sales!$H:$H,Sales!$F:$F,A204,Sales!$B:$B,"&lt;&gt;Return"))</f>
        <v/>
      </c>
      <c r="F204" s="48" t="str">
        <f>IF(A204="","",SUMIFS(Sales!$H:$H,Sales!$F:$F,A204,Sales!$B:$B,"Return"))</f>
        <v/>
      </c>
      <c r="G204" s="48" t="str">
        <f>IF($A204="","",SUMIF('Shop Ledger'!$C:$C,$A204,'Shop Ledger'!$F:$F))</f>
        <v/>
      </c>
      <c r="H204" s="48" t="str">
        <f t="shared" si="1"/>
        <v/>
      </c>
      <c r="I204" s="44" t="str">
        <f>IF(A204="","",IFERROR(SUMIF(Purchases!$D:$D,A204,Purchases!$I:$I)/D204,0))</f>
        <v/>
      </c>
      <c r="J204" s="44" t="str">
        <f t="shared" si="2"/>
        <v/>
      </c>
      <c r="K204" s="30" t="str">
        <f>IF($A204="","",IFERROR(VALUE(SUBSTITUTE(SUBSTITUTE(SUBSTITUTE(VLOOKUP($A204,Inventory!$O$5:$P$604,2,FALSE),"Tk","")," ",""),",","")),""))</f>
        <v/>
      </c>
      <c r="L204" s="58" t="str">
        <f t="shared" si="3"/>
        <v/>
      </c>
      <c r="M204" s="58" t="str">
        <f t="shared" si="4"/>
        <v/>
      </c>
      <c r="O204" s="59" t="str">
        <f t="shared" si="5"/>
        <v/>
      </c>
      <c r="P204" s="52"/>
    </row>
    <row r="205" ht="14.25" customHeight="1">
      <c r="A205" s="29" t="str">
        <f t="array" ref="A205">IFERROR(INDEX(Purchases!$D$5:$D$1004,MATCH(ROW()-4,Purchases!$L$5:$L$1004,0)),"")</f>
        <v/>
      </c>
      <c r="B205" s="48" t="str">
        <f>IFERROR(VLOOKUP(A205,Purchases!$D:$E,2,FALSE),"")</f>
        <v/>
      </c>
      <c r="C205" s="48" t="str">
        <f>IFERROR(VLOOKUP(A205,Purchases!$D:$F,3,FALSE),"")</f>
        <v/>
      </c>
      <c r="D205" s="48" t="str">
        <f>IF(A205="","",SUMIF(Purchases!$D:$D,A205,Purchases!$K:$K))</f>
        <v/>
      </c>
      <c r="E205" s="48" t="str">
        <f>IF(A205="","",SUMIFS(Sales!$H:$H,Sales!$F:$F,A205,Sales!$B:$B,"&lt;&gt;Return"))</f>
        <v/>
      </c>
      <c r="F205" s="48" t="str">
        <f>IF(A205="","",SUMIFS(Sales!$H:$H,Sales!$F:$F,A205,Sales!$B:$B,"Return"))</f>
        <v/>
      </c>
      <c r="G205" s="48" t="str">
        <f>IF($A205="","",SUMIF('Shop Ledger'!$C:$C,$A205,'Shop Ledger'!$F:$F))</f>
        <v/>
      </c>
      <c r="H205" s="48" t="str">
        <f t="shared" si="1"/>
        <v/>
      </c>
      <c r="I205" s="44" t="str">
        <f>IF(A205="","",IFERROR(SUMIF(Purchases!$D:$D,A205,Purchases!$I:$I)/D205,0))</f>
        <v/>
      </c>
      <c r="J205" s="44" t="str">
        <f t="shared" si="2"/>
        <v/>
      </c>
      <c r="K205" s="30" t="str">
        <f>IF($A205="","",IFERROR(VALUE(SUBSTITUTE(SUBSTITUTE(SUBSTITUTE(VLOOKUP($A205,Inventory!$O$5:$P$604,2,FALSE),"Tk","")," ",""),",","")),""))</f>
        <v/>
      </c>
      <c r="L205" s="58" t="str">
        <f t="shared" si="3"/>
        <v/>
      </c>
      <c r="M205" s="58" t="str">
        <f t="shared" si="4"/>
        <v/>
      </c>
      <c r="O205" s="59" t="str">
        <f t="shared" si="5"/>
        <v/>
      </c>
      <c r="P205" s="52"/>
    </row>
    <row r="206" ht="14.25" customHeight="1">
      <c r="A206" s="29" t="str">
        <f t="array" ref="A206">IFERROR(INDEX(Purchases!$D$5:$D$1004,MATCH(ROW()-4,Purchases!$L$5:$L$1004,0)),"")</f>
        <v/>
      </c>
      <c r="B206" s="48" t="str">
        <f>IFERROR(VLOOKUP(A206,Purchases!$D:$E,2,FALSE),"")</f>
        <v/>
      </c>
      <c r="C206" s="48" t="str">
        <f>IFERROR(VLOOKUP(A206,Purchases!$D:$F,3,FALSE),"")</f>
        <v/>
      </c>
      <c r="D206" s="48" t="str">
        <f>IF(A206="","",SUMIF(Purchases!$D:$D,A206,Purchases!$K:$K))</f>
        <v/>
      </c>
      <c r="E206" s="48" t="str">
        <f>IF(A206="","",SUMIFS(Sales!$H:$H,Sales!$F:$F,A206,Sales!$B:$B,"&lt;&gt;Return"))</f>
        <v/>
      </c>
      <c r="F206" s="48" t="str">
        <f>IF(A206="","",SUMIFS(Sales!$H:$H,Sales!$F:$F,A206,Sales!$B:$B,"Return"))</f>
        <v/>
      </c>
      <c r="G206" s="48" t="str">
        <f>IF($A206="","",SUMIF('Shop Ledger'!$C:$C,$A206,'Shop Ledger'!$F:$F))</f>
        <v/>
      </c>
      <c r="H206" s="48" t="str">
        <f t="shared" si="1"/>
        <v/>
      </c>
      <c r="I206" s="44" t="str">
        <f>IF(A206="","",IFERROR(SUMIF(Purchases!$D:$D,A206,Purchases!$I:$I)/D206,0))</f>
        <v/>
      </c>
      <c r="J206" s="44" t="str">
        <f t="shared" si="2"/>
        <v/>
      </c>
      <c r="K206" s="30" t="str">
        <f>IF($A206="","",IFERROR(VALUE(SUBSTITUTE(SUBSTITUTE(SUBSTITUTE(VLOOKUP($A206,Inventory!$O$5:$P$604,2,FALSE),"Tk","")," ",""),",","")),""))</f>
        <v/>
      </c>
      <c r="L206" s="58" t="str">
        <f t="shared" si="3"/>
        <v/>
      </c>
      <c r="M206" s="58" t="str">
        <f t="shared" si="4"/>
        <v/>
      </c>
      <c r="O206" s="59" t="str">
        <f t="shared" si="5"/>
        <v/>
      </c>
      <c r="P206" s="52"/>
    </row>
    <row r="207" ht="14.25" customHeight="1">
      <c r="A207" s="29" t="str">
        <f t="array" ref="A207">IFERROR(INDEX(Purchases!$D$5:$D$1004,MATCH(ROW()-4,Purchases!$L$5:$L$1004,0)),"")</f>
        <v/>
      </c>
      <c r="B207" s="48" t="str">
        <f>IFERROR(VLOOKUP(A207,Purchases!$D:$E,2,FALSE),"")</f>
        <v/>
      </c>
      <c r="C207" s="48" t="str">
        <f>IFERROR(VLOOKUP(A207,Purchases!$D:$F,3,FALSE),"")</f>
        <v/>
      </c>
      <c r="D207" s="48" t="str">
        <f>IF(A207="","",SUMIF(Purchases!$D:$D,A207,Purchases!$K:$K))</f>
        <v/>
      </c>
      <c r="E207" s="48" t="str">
        <f>IF(A207="","",SUMIFS(Sales!$H:$H,Sales!$F:$F,A207,Sales!$B:$B,"&lt;&gt;Return"))</f>
        <v/>
      </c>
      <c r="F207" s="48" t="str">
        <f>IF(A207="","",SUMIFS(Sales!$H:$H,Sales!$F:$F,A207,Sales!$B:$B,"Return"))</f>
        <v/>
      </c>
      <c r="G207" s="48" t="str">
        <f>IF($A207="","",SUMIF('Shop Ledger'!$C:$C,$A207,'Shop Ledger'!$F:$F))</f>
        <v/>
      </c>
      <c r="H207" s="48" t="str">
        <f t="shared" si="1"/>
        <v/>
      </c>
      <c r="I207" s="44" t="str">
        <f>IF(A207="","",IFERROR(SUMIF(Purchases!$D:$D,A207,Purchases!$I:$I)/D207,0))</f>
        <v/>
      </c>
      <c r="J207" s="44" t="str">
        <f t="shared" si="2"/>
        <v/>
      </c>
      <c r="K207" s="30" t="str">
        <f>IF($A207="","",IFERROR(VALUE(SUBSTITUTE(SUBSTITUTE(SUBSTITUTE(VLOOKUP($A207,Inventory!$O$5:$P$604,2,FALSE),"Tk","")," ",""),",","")),""))</f>
        <v/>
      </c>
      <c r="L207" s="58" t="str">
        <f t="shared" si="3"/>
        <v/>
      </c>
      <c r="M207" s="58" t="str">
        <f t="shared" si="4"/>
        <v/>
      </c>
      <c r="O207" s="59" t="str">
        <f t="shared" si="5"/>
        <v/>
      </c>
      <c r="P207" s="52"/>
    </row>
    <row r="208" ht="14.25" customHeight="1">
      <c r="A208" s="29" t="str">
        <f t="array" ref="A208">IFERROR(INDEX(Purchases!$D$5:$D$1004,MATCH(ROW()-4,Purchases!$L$5:$L$1004,0)),"")</f>
        <v/>
      </c>
      <c r="B208" s="48" t="str">
        <f>IFERROR(VLOOKUP(A208,Purchases!$D:$E,2,FALSE),"")</f>
        <v/>
      </c>
      <c r="C208" s="48" t="str">
        <f>IFERROR(VLOOKUP(A208,Purchases!$D:$F,3,FALSE),"")</f>
        <v/>
      </c>
      <c r="D208" s="48" t="str">
        <f>IF(A208="","",SUMIF(Purchases!$D:$D,A208,Purchases!$K:$K))</f>
        <v/>
      </c>
      <c r="E208" s="48" t="str">
        <f>IF(A208="","",SUMIFS(Sales!$H:$H,Sales!$F:$F,A208,Sales!$B:$B,"&lt;&gt;Return"))</f>
        <v/>
      </c>
      <c r="F208" s="48" t="str">
        <f>IF(A208="","",SUMIFS(Sales!$H:$H,Sales!$F:$F,A208,Sales!$B:$B,"Return"))</f>
        <v/>
      </c>
      <c r="G208" s="48" t="str">
        <f>IF($A208="","",SUMIF('Shop Ledger'!$C:$C,$A208,'Shop Ledger'!$F:$F))</f>
        <v/>
      </c>
      <c r="H208" s="48" t="str">
        <f t="shared" si="1"/>
        <v/>
      </c>
      <c r="I208" s="44" t="str">
        <f>IF(A208="","",IFERROR(SUMIF(Purchases!$D:$D,A208,Purchases!$I:$I)/D208,0))</f>
        <v/>
      </c>
      <c r="J208" s="44" t="str">
        <f t="shared" si="2"/>
        <v/>
      </c>
      <c r="K208" s="30" t="str">
        <f>IF($A208="","",IFERROR(VALUE(SUBSTITUTE(SUBSTITUTE(SUBSTITUTE(VLOOKUP($A208,Inventory!$O$5:$P$604,2,FALSE),"Tk","")," ",""),",","")),""))</f>
        <v/>
      </c>
      <c r="L208" s="58" t="str">
        <f t="shared" si="3"/>
        <v/>
      </c>
      <c r="M208" s="58" t="str">
        <f t="shared" si="4"/>
        <v/>
      </c>
      <c r="O208" s="59" t="str">
        <f t="shared" si="5"/>
        <v/>
      </c>
      <c r="P208" s="52"/>
    </row>
    <row r="209" ht="14.25" customHeight="1">
      <c r="A209" s="29" t="str">
        <f t="array" ref="A209">IFERROR(INDEX(Purchases!$D$5:$D$1004,MATCH(ROW()-4,Purchases!$L$5:$L$1004,0)),"")</f>
        <v/>
      </c>
      <c r="B209" s="48" t="str">
        <f>IFERROR(VLOOKUP(A209,Purchases!$D:$E,2,FALSE),"")</f>
        <v/>
      </c>
      <c r="C209" s="48" t="str">
        <f>IFERROR(VLOOKUP(A209,Purchases!$D:$F,3,FALSE),"")</f>
        <v/>
      </c>
      <c r="D209" s="48" t="str">
        <f>IF(A209="","",SUMIF(Purchases!$D:$D,A209,Purchases!$K:$K))</f>
        <v/>
      </c>
      <c r="E209" s="48" t="str">
        <f>IF(A209="","",SUMIFS(Sales!$H:$H,Sales!$F:$F,A209,Sales!$B:$B,"&lt;&gt;Return"))</f>
        <v/>
      </c>
      <c r="F209" s="48" t="str">
        <f>IF(A209="","",SUMIFS(Sales!$H:$H,Sales!$F:$F,A209,Sales!$B:$B,"Return"))</f>
        <v/>
      </c>
      <c r="G209" s="48" t="str">
        <f>IF($A209="","",SUMIF('Shop Ledger'!$C:$C,$A209,'Shop Ledger'!$F:$F))</f>
        <v/>
      </c>
      <c r="H209" s="48" t="str">
        <f t="shared" si="1"/>
        <v/>
      </c>
      <c r="I209" s="44" t="str">
        <f>IF(A209="","",IFERROR(SUMIF(Purchases!$D:$D,A209,Purchases!$I:$I)/D209,0))</f>
        <v/>
      </c>
      <c r="J209" s="44" t="str">
        <f t="shared" si="2"/>
        <v/>
      </c>
      <c r="K209" s="30" t="str">
        <f>IF($A209="","",IFERROR(VALUE(SUBSTITUTE(SUBSTITUTE(SUBSTITUTE(VLOOKUP($A209,Inventory!$O$5:$P$604,2,FALSE),"Tk","")," ",""),",","")),""))</f>
        <v/>
      </c>
      <c r="L209" s="58" t="str">
        <f t="shared" si="3"/>
        <v/>
      </c>
      <c r="M209" s="58" t="str">
        <f t="shared" si="4"/>
        <v/>
      </c>
      <c r="O209" s="59" t="str">
        <f t="shared" si="5"/>
        <v/>
      </c>
      <c r="P209" s="52"/>
    </row>
    <row r="210" ht="14.25" customHeight="1">
      <c r="A210" s="29" t="str">
        <f t="array" ref="A210">IFERROR(INDEX(Purchases!$D$5:$D$1004,MATCH(ROW()-4,Purchases!$L$5:$L$1004,0)),"")</f>
        <v/>
      </c>
      <c r="B210" s="48" t="str">
        <f>IFERROR(VLOOKUP(A210,Purchases!$D:$E,2,FALSE),"")</f>
        <v/>
      </c>
      <c r="C210" s="48" t="str">
        <f>IFERROR(VLOOKUP(A210,Purchases!$D:$F,3,FALSE),"")</f>
        <v/>
      </c>
      <c r="D210" s="48" t="str">
        <f>IF(A210="","",SUMIF(Purchases!$D:$D,A210,Purchases!$K:$K))</f>
        <v/>
      </c>
      <c r="E210" s="48" t="str">
        <f>IF(A210="","",SUMIFS(Sales!$H:$H,Sales!$F:$F,A210,Sales!$B:$B,"&lt;&gt;Return"))</f>
        <v/>
      </c>
      <c r="F210" s="48" t="str">
        <f>IF(A210="","",SUMIFS(Sales!$H:$H,Sales!$F:$F,A210,Sales!$B:$B,"Return"))</f>
        <v/>
      </c>
      <c r="G210" s="48" t="str">
        <f>IF($A210="","",SUMIF('Shop Ledger'!$C:$C,$A210,'Shop Ledger'!$F:$F))</f>
        <v/>
      </c>
      <c r="H210" s="48" t="str">
        <f t="shared" si="1"/>
        <v/>
      </c>
      <c r="I210" s="44" t="str">
        <f>IF(A210="","",IFERROR(SUMIF(Purchases!$D:$D,A210,Purchases!$I:$I)/D210,0))</f>
        <v/>
      </c>
      <c r="J210" s="44" t="str">
        <f t="shared" si="2"/>
        <v/>
      </c>
      <c r="K210" s="30" t="str">
        <f>IF($A210="","",IFERROR(VALUE(SUBSTITUTE(SUBSTITUTE(SUBSTITUTE(VLOOKUP($A210,Inventory!$O$5:$P$604,2,FALSE),"Tk","")," ",""),",","")),""))</f>
        <v/>
      </c>
      <c r="L210" s="58" t="str">
        <f t="shared" si="3"/>
        <v/>
      </c>
      <c r="M210" s="58" t="str">
        <f t="shared" si="4"/>
        <v/>
      </c>
      <c r="O210" s="59" t="str">
        <f t="shared" si="5"/>
        <v/>
      </c>
      <c r="P210" s="52"/>
    </row>
    <row r="211" ht="14.25" customHeight="1">
      <c r="A211" s="29" t="str">
        <f t="array" ref="A211">IFERROR(INDEX(Purchases!$D$5:$D$1004,MATCH(ROW()-4,Purchases!$L$5:$L$1004,0)),"")</f>
        <v/>
      </c>
      <c r="B211" s="48" t="str">
        <f>IFERROR(VLOOKUP(A211,Purchases!$D:$E,2,FALSE),"")</f>
        <v/>
      </c>
      <c r="C211" s="48" t="str">
        <f>IFERROR(VLOOKUP(A211,Purchases!$D:$F,3,FALSE),"")</f>
        <v/>
      </c>
      <c r="D211" s="48" t="str">
        <f>IF(A211="","",SUMIF(Purchases!$D:$D,A211,Purchases!$K:$K))</f>
        <v/>
      </c>
      <c r="E211" s="48" t="str">
        <f>IF(A211="","",SUMIFS(Sales!$H:$H,Sales!$F:$F,A211,Sales!$B:$B,"&lt;&gt;Return"))</f>
        <v/>
      </c>
      <c r="F211" s="48" t="str">
        <f>IF(A211="","",SUMIFS(Sales!$H:$H,Sales!$F:$F,A211,Sales!$B:$B,"Return"))</f>
        <v/>
      </c>
      <c r="G211" s="48" t="str">
        <f>IF($A211="","",SUMIF('Shop Ledger'!$C:$C,$A211,'Shop Ledger'!$F:$F))</f>
        <v/>
      </c>
      <c r="H211" s="48" t="str">
        <f t="shared" si="1"/>
        <v/>
      </c>
      <c r="I211" s="44" t="str">
        <f>IF(A211="","",IFERROR(SUMIF(Purchases!$D:$D,A211,Purchases!$I:$I)/D211,0))</f>
        <v/>
      </c>
      <c r="J211" s="44" t="str">
        <f t="shared" si="2"/>
        <v/>
      </c>
      <c r="K211" s="30" t="str">
        <f>IF($A211="","",IFERROR(VALUE(SUBSTITUTE(SUBSTITUTE(SUBSTITUTE(VLOOKUP($A211,Inventory!$O$5:$P$604,2,FALSE),"Tk","")," ",""),",","")),""))</f>
        <v/>
      </c>
      <c r="L211" s="58" t="str">
        <f t="shared" si="3"/>
        <v/>
      </c>
      <c r="M211" s="58" t="str">
        <f t="shared" si="4"/>
        <v/>
      </c>
      <c r="O211" s="59" t="str">
        <f t="shared" si="5"/>
        <v/>
      </c>
      <c r="P211" s="52"/>
    </row>
    <row r="212" ht="14.25" customHeight="1">
      <c r="A212" s="29" t="str">
        <f t="array" ref="A212">IFERROR(INDEX(Purchases!$D$5:$D$1004,MATCH(ROW()-4,Purchases!$L$5:$L$1004,0)),"")</f>
        <v/>
      </c>
      <c r="B212" s="48" t="str">
        <f>IFERROR(VLOOKUP(A212,Purchases!$D:$E,2,FALSE),"")</f>
        <v/>
      </c>
      <c r="C212" s="48" t="str">
        <f>IFERROR(VLOOKUP(A212,Purchases!$D:$F,3,FALSE),"")</f>
        <v/>
      </c>
      <c r="D212" s="48" t="str">
        <f>IF(A212="","",SUMIF(Purchases!$D:$D,A212,Purchases!$K:$K))</f>
        <v/>
      </c>
      <c r="E212" s="48" t="str">
        <f>IF(A212="","",SUMIFS(Sales!$H:$H,Sales!$F:$F,A212,Sales!$B:$B,"&lt;&gt;Return"))</f>
        <v/>
      </c>
      <c r="F212" s="48" t="str">
        <f>IF(A212="","",SUMIFS(Sales!$H:$H,Sales!$F:$F,A212,Sales!$B:$B,"Return"))</f>
        <v/>
      </c>
      <c r="G212" s="48" t="str">
        <f>IF($A212="","",SUMIF('Shop Ledger'!$C:$C,$A212,'Shop Ledger'!$F:$F))</f>
        <v/>
      </c>
      <c r="H212" s="48" t="str">
        <f t="shared" si="1"/>
        <v/>
      </c>
      <c r="I212" s="44" t="str">
        <f>IF(A212="","",IFERROR(SUMIF(Purchases!$D:$D,A212,Purchases!$I:$I)/D212,0))</f>
        <v/>
      </c>
      <c r="J212" s="44" t="str">
        <f t="shared" si="2"/>
        <v/>
      </c>
      <c r="K212" s="30" t="str">
        <f>IF($A212="","",IFERROR(VALUE(SUBSTITUTE(SUBSTITUTE(SUBSTITUTE(VLOOKUP($A212,Inventory!$O$5:$P$604,2,FALSE),"Tk","")," ",""),",","")),""))</f>
        <v/>
      </c>
      <c r="L212" s="58" t="str">
        <f t="shared" si="3"/>
        <v/>
      </c>
      <c r="M212" s="58" t="str">
        <f t="shared" si="4"/>
        <v/>
      </c>
      <c r="O212" s="59" t="str">
        <f t="shared" si="5"/>
        <v/>
      </c>
      <c r="P212" s="52"/>
    </row>
    <row r="213" ht="14.25" customHeight="1">
      <c r="A213" s="29" t="str">
        <f t="array" ref="A213">IFERROR(INDEX(Purchases!$D$5:$D$1004,MATCH(ROW()-4,Purchases!$L$5:$L$1004,0)),"")</f>
        <v/>
      </c>
      <c r="B213" s="48" t="str">
        <f>IFERROR(VLOOKUP(A213,Purchases!$D:$E,2,FALSE),"")</f>
        <v/>
      </c>
      <c r="C213" s="48" t="str">
        <f>IFERROR(VLOOKUP(A213,Purchases!$D:$F,3,FALSE),"")</f>
        <v/>
      </c>
      <c r="D213" s="48" t="str">
        <f>IF(A213="","",SUMIF(Purchases!$D:$D,A213,Purchases!$K:$K))</f>
        <v/>
      </c>
      <c r="E213" s="48" t="str">
        <f>IF(A213="","",SUMIFS(Sales!$H:$H,Sales!$F:$F,A213,Sales!$B:$B,"&lt;&gt;Return"))</f>
        <v/>
      </c>
      <c r="F213" s="48" t="str">
        <f>IF(A213="","",SUMIFS(Sales!$H:$H,Sales!$F:$F,A213,Sales!$B:$B,"Return"))</f>
        <v/>
      </c>
      <c r="G213" s="48" t="str">
        <f>IF($A213="","",SUMIF('Shop Ledger'!$C:$C,$A213,'Shop Ledger'!$F:$F))</f>
        <v/>
      </c>
      <c r="H213" s="48" t="str">
        <f t="shared" si="1"/>
        <v/>
      </c>
      <c r="I213" s="44" t="str">
        <f>IF(A213="","",IFERROR(SUMIF(Purchases!$D:$D,A213,Purchases!$I:$I)/D213,0))</f>
        <v/>
      </c>
      <c r="J213" s="44" t="str">
        <f t="shared" si="2"/>
        <v/>
      </c>
      <c r="K213" s="30" t="str">
        <f>IF($A213="","",IFERROR(VALUE(SUBSTITUTE(SUBSTITUTE(SUBSTITUTE(VLOOKUP($A213,Inventory!$O$5:$P$604,2,FALSE),"Tk","")," ",""),",","")),""))</f>
        <v/>
      </c>
      <c r="L213" s="58" t="str">
        <f t="shared" si="3"/>
        <v/>
      </c>
      <c r="M213" s="58" t="str">
        <f t="shared" si="4"/>
        <v/>
      </c>
      <c r="O213" s="59" t="str">
        <f t="shared" si="5"/>
        <v/>
      </c>
      <c r="P213" s="52"/>
    </row>
    <row r="214" ht="14.25" customHeight="1">
      <c r="A214" s="29" t="str">
        <f t="array" ref="A214">IFERROR(INDEX(Purchases!$D$5:$D$1004,MATCH(ROW()-4,Purchases!$L$5:$L$1004,0)),"")</f>
        <v/>
      </c>
      <c r="B214" s="48" t="str">
        <f>IFERROR(VLOOKUP(A214,Purchases!$D:$E,2,FALSE),"")</f>
        <v/>
      </c>
      <c r="C214" s="48" t="str">
        <f>IFERROR(VLOOKUP(A214,Purchases!$D:$F,3,FALSE),"")</f>
        <v/>
      </c>
      <c r="D214" s="48" t="str">
        <f>IF(A214="","",SUMIF(Purchases!$D:$D,A214,Purchases!$K:$K))</f>
        <v/>
      </c>
      <c r="E214" s="48" t="str">
        <f>IF(A214="","",SUMIFS(Sales!$H:$H,Sales!$F:$F,A214,Sales!$B:$B,"&lt;&gt;Return"))</f>
        <v/>
      </c>
      <c r="F214" s="48" t="str">
        <f>IF(A214="","",SUMIFS(Sales!$H:$H,Sales!$F:$F,A214,Sales!$B:$B,"Return"))</f>
        <v/>
      </c>
      <c r="G214" s="48" t="str">
        <f>IF($A214="","",SUMIF('Shop Ledger'!$C:$C,$A214,'Shop Ledger'!$F:$F))</f>
        <v/>
      </c>
      <c r="H214" s="48" t="str">
        <f t="shared" si="1"/>
        <v/>
      </c>
      <c r="I214" s="44" t="str">
        <f>IF(A214="","",IFERROR(SUMIF(Purchases!$D:$D,A214,Purchases!$I:$I)/D214,0))</f>
        <v/>
      </c>
      <c r="J214" s="44" t="str">
        <f t="shared" si="2"/>
        <v/>
      </c>
      <c r="K214" s="30" t="str">
        <f>IF($A214="","",IFERROR(VALUE(SUBSTITUTE(SUBSTITUTE(SUBSTITUTE(VLOOKUP($A214,Inventory!$O$5:$P$604,2,FALSE),"Tk","")," ",""),",","")),""))</f>
        <v/>
      </c>
      <c r="L214" s="58" t="str">
        <f t="shared" si="3"/>
        <v/>
      </c>
      <c r="M214" s="58" t="str">
        <f t="shared" si="4"/>
        <v/>
      </c>
      <c r="O214" s="59" t="str">
        <f t="shared" si="5"/>
        <v/>
      </c>
      <c r="P214" s="52"/>
    </row>
    <row r="215" ht="14.25" customHeight="1">
      <c r="A215" s="29" t="str">
        <f t="array" ref="A215">IFERROR(INDEX(Purchases!$D$5:$D$1004,MATCH(ROW()-4,Purchases!$L$5:$L$1004,0)),"")</f>
        <v/>
      </c>
      <c r="B215" s="48" t="str">
        <f>IFERROR(VLOOKUP(A215,Purchases!$D:$E,2,FALSE),"")</f>
        <v/>
      </c>
      <c r="C215" s="48" t="str">
        <f>IFERROR(VLOOKUP(A215,Purchases!$D:$F,3,FALSE),"")</f>
        <v/>
      </c>
      <c r="D215" s="48" t="str">
        <f>IF(A215="","",SUMIF(Purchases!$D:$D,A215,Purchases!$K:$K))</f>
        <v/>
      </c>
      <c r="E215" s="48" t="str">
        <f>IF(A215="","",SUMIFS(Sales!$H:$H,Sales!$F:$F,A215,Sales!$B:$B,"&lt;&gt;Return"))</f>
        <v/>
      </c>
      <c r="F215" s="48" t="str">
        <f>IF(A215="","",SUMIFS(Sales!$H:$H,Sales!$F:$F,A215,Sales!$B:$B,"Return"))</f>
        <v/>
      </c>
      <c r="G215" s="48" t="str">
        <f>IF($A215="","",SUMIF('Shop Ledger'!$C:$C,$A215,'Shop Ledger'!$F:$F))</f>
        <v/>
      </c>
      <c r="H215" s="48" t="str">
        <f t="shared" si="1"/>
        <v/>
      </c>
      <c r="I215" s="44" t="str">
        <f>IF(A215="","",IFERROR(SUMIF(Purchases!$D:$D,A215,Purchases!$I:$I)/D215,0))</f>
        <v/>
      </c>
      <c r="J215" s="44" t="str">
        <f t="shared" si="2"/>
        <v/>
      </c>
      <c r="K215" s="30" t="str">
        <f>IF($A215="","",IFERROR(VALUE(SUBSTITUTE(SUBSTITUTE(SUBSTITUTE(VLOOKUP($A215,Inventory!$O$5:$P$604,2,FALSE),"Tk","")," ",""),",","")),""))</f>
        <v/>
      </c>
      <c r="L215" s="58" t="str">
        <f t="shared" si="3"/>
        <v/>
      </c>
      <c r="M215" s="58" t="str">
        <f t="shared" si="4"/>
        <v/>
      </c>
      <c r="O215" s="59" t="str">
        <f t="shared" si="5"/>
        <v/>
      </c>
      <c r="P215" s="52"/>
    </row>
    <row r="216" ht="14.25" customHeight="1">
      <c r="A216" s="29" t="str">
        <f t="array" ref="A216">IFERROR(INDEX(Purchases!$D$5:$D$1004,MATCH(ROW()-4,Purchases!$L$5:$L$1004,0)),"")</f>
        <v/>
      </c>
      <c r="B216" s="48" t="str">
        <f>IFERROR(VLOOKUP(A216,Purchases!$D:$E,2,FALSE),"")</f>
        <v/>
      </c>
      <c r="C216" s="48" t="str">
        <f>IFERROR(VLOOKUP(A216,Purchases!$D:$F,3,FALSE),"")</f>
        <v/>
      </c>
      <c r="D216" s="48" t="str">
        <f>IF(A216="","",SUMIF(Purchases!$D:$D,A216,Purchases!$K:$K))</f>
        <v/>
      </c>
      <c r="E216" s="48" t="str">
        <f>IF(A216="","",SUMIFS(Sales!$H:$H,Sales!$F:$F,A216,Sales!$B:$B,"&lt;&gt;Return"))</f>
        <v/>
      </c>
      <c r="F216" s="48" t="str">
        <f>IF(A216="","",SUMIFS(Sales!$H:$H,Sales!$F:$F,A216,Sales!$B:$B,"Return"))</f>
        <v/>
      </c>
      <c r="G216" s="48" t="str">
        <f>IF($A216="","",SUMIF('Shop Ledger'!$C:$C,$A216,'Shop Ledger'!$F:$F))</f>
        <v/>
      </c>
      <c r="H216" s="48" t="str">
        <f t="shared" si="1"/>
        <v/>
      </c>
      <c r="I216" s="44" t="str">
        <f>IF(A216="","",IFERROR(SUMIF(Purchases!$D:$D,A216,Purchases!$I:$I)/D216,0))</f>
        <v/>
      </c>
      <c r="J216" s="44" t="str">
        <f t="shared" si="2"/>
        <v/>
      </c>
      <c r="K216" s="30" t="str">
        <f>IF($A216="","",IFERROR(VALUE(SUBSTITUTE(SUBSTITUTE(SUBSTITUTE(VLOOKUP($A216,Inventory!$O$5:$P$604,2,FALSE),"Tk","")," ",""),",","")),""))</f>
        <v/>
      </c>
      <c r="L216" s="58" t="str">
        <f t="shared" si="3"/>
        <v/>
      </c>
      <c r="M216" s="58" t="str">
        <f t="shared" si="4"/>
        <v/>
      </c>
      <c r="O216" s="59" t="str">
        <f t="shared" si="5"/>
        <v/>
      </c>
      <c r="P216" s="52"/>
    </row>
    <row r="217" ht="14.25" customHeight="1">
      <c r="A217" s="29" t="str">
        <f t="array" ref="A217">IFERROR(INDEX(Purchases!$D$5:$D$1004,MATCH(ROW()-4,Purchases!$L$5:$L$1004,0)),"")</f>
        <v/>
      </c>
      <c r="B217" s="48" t="str">
        <f>IFERROR(VLOOKUP(A217,Purchases!$D:$E,2,FALSE),"")</f>
        <v/>
      </c>
      <c r="C217" s="48" t="str">
        <f>IFERROR(VLOOKUP(A217,Purchases!$D:$F,3,FALSE),"")</f>
        <v/>
      </c>
      <c r="D217" s="48" t="str">
        <f>IF(A217="","",SUMIF(Purchases!$D:$D,A217,Purchases!$K:$K))</f>
        <v/>
      </c>
      <c r="E217" s="48" t="str">
        <f>IF(A217="","",SUMIFS(Sales!$H:$H,Sales!$F:$F,A217,Sales!$B:$B,"&lt;&gt;Return"))</f>
        <v/>
      </c>
      <c r="F217" s="48" t="str">
        <f>IF(A217="","",SUMIFS(Sales!$H:$H,Sales!$F:$F,A217,Sales!$B:$B,"Return"))</f>
        <v/>
      </c>
      <c r="G217" s="48" t="str">
        <f>IF($A217="","",SUMIF('Shop Ledger'!$C:$C,$A217,'Shop Ledger'!$F:$F))</f>
        <v/>
      </c>
      <c r="H217" s="48" t="str">
        <f t="shared" si="1"/>
        <v/>
      </c>
      <c r="I217" s="44" t="str">
        <f>IF(A217="","",IFERROR(SUMIF(Purchases!$D:$D,A217,Purchases!$I:$I)/D217,0))</f>
        <v/>
      </c>
      <c r="J217" s="44" t="str">
        <f t="shared" si="2"/>
        <v/>
      </c>
      <c r="K217" s="30" t="str">
        <f>IF($A217="","",IFERROR(VALUE(SUBSTITUTE(SUBSTITUTE(SUBSTITUTE(VLOOKUP($A217,Inventory!$O$5:$P$604,2,FALSE),"Tk","")," ",""),",","")),""))</f>
        <v/>
      </c>
      <c r="L217" s="58" t="str">
        <f t="shared" si="3"/>
        <v/>
      </c>
      <c r="M217" s="58" t="str">
        <f t="shared" si="4"/>
        <v/>
      </c>
      <c r="O217" s="59" t="str">
        <f t="shared" si="5"/>
        <v/>
      </c>
      <c r="P217" s="52"/>
    </row>
    <row r="218" ht="14.25" customHeight="1">
      <c r="A218" s="29" t="str">
        <f t="array" ref="A218">IFERROR(INDEX(Purchases!$D$5:$D$1004,MATCH(ROW()-4,Purchases!$L$5:$L$1004,0)),"")</f>
        <v/>
      </c>
      <c r="B218" s="48" t="str">
        <f>IFERROR(VLOOKUP(A218,Purchases!$D:$E,2,FALSE),"")</f>
        <v/>
      </c>
      <c r="C218" s="48" t="str">
        <f>IFERROR(VLOOKUP(A218,Purchases!$D:$F,3,FALSE),"")</f>
        <v/>
      </c>
      <c r="D218" s="48" t="str">
        <f>IF(A218="","",SUMIF(Purchases!$D:$D,A218,Purchases!$K:$K))</f>
        <v/>
      </c>
      <c r="E218" s="48" t="str">
        <f>IF(A218="","",SUMIFS(Sales!$H:$H,Sales!$F:$F,A218,Sales!$B:$B,"&lt;&gt;Return"))</f>
        <v/>
      </c>
      <c r="F218" s="48" t="str">
        <f>IF(A218="","",SUMIFS(Sales!$H:$H,Sales!$F:$F,A218,Sales!$B:$B,"Return"))</f>
        <v/>
      </c>
      <c r="G218" s="48" t="str">
        <f>IF($A218="","",SUMIF('Shop Ledger'!$C:$C,$A218,'Shop Ledger'!$F:$F))</f>
        <v/>
      </c>
      <c r="H218" s="48" t="str">
        <f t="shared" si="1"/>
        <v/>
      </c>
      <c r="I218" s="44" t="str">
        <f>IF(A218="","",IFERROR(SUMIF(Purchases!$D:$D,A218,Purchases!$I:$I)/D218,0))</f>
        <v/>
      </c>
      <c r="J218" s="44" t="str">
        <f t="shared" si="2"/>
        <v/>
      </c>
      <c r="K218" s="30" t="str">
        <f>IF($A218="","",IFERROR(VALUE(SUBSTITUTE(SUBSTITUTE(SUBSTITUTE(VLOOKUP($A218,Inventory!$O$5:$P$604,2,FALSE),"Tk","")," ",""),",","")),""))</f>
        <v/>
      </c>
      <c r="L218" s="58" t="str">
        <f t="shared" si="3"/>
        <v/>
      </c>
      <c r="M218" s="58" t="str">
        <f t="shared" si="4"/>
        <v/>
      </c>
      <c r="O218" s="59" t="str">
        <f t="shared" si="5"/>
        <v/>
      </c>
      <c r="P218" s="52"/>
    </row>
    <row r="219" ht="14.25" customHeight="1">
      <c r="A219" s="29" t="str">
        <f t="array" ref="A219">IFERROR(INDEX(Purchases!$D$5:$D$1004,MATCH(ROW()-4,Purchases!$L$5:$L$1004,0)),"")</f>
        <v/>
      </c>
      <c r="B219" s="48" t="str">
        <f>IFERROR(VLOOKUP(A219,Purchases!$D:$E,2,FALSE),"")</f>
        <v/>
      </c>
      <c r="C219" s="48" t="str">
        <f>IFERROR(VLOOKUP(A219,Purchases!$D:$F,3,FALSE),"")</f>
        <v/>
      </c>
      <c r="D219" s="48" t="str">
        <f>IF(A219="","",SUMIF(Purchases!$D:$D,A219,Purchases!$K:$K))</f>
        <v/>
      </c>
      <c r="E219" s="48" t="str">
        <f>IF(A219="","",SUMIFS(Sales!$H:$H,Sales!$F:$F,A219,Sales!$B:$B,"&lt;&gt;Return"))</f>
        <v/>
      </c>
      <c r="F219" s="48" t="str">
        <f>IF(A219="","",SUMIFS(Sales!$H:$H,Sales!$F:$F,A219,Sales!$B:$B,"Return"))</f>
        <v/>
      </c>
      <c r="G219" s="48" t="str">
        <f>IF($A219="","",SUMIF('Shop Ledger'!$C:$C,$A219,'Shop Ledger'!$F:$F))</f>
        <v/>
      </c>
      <c r="H219" s="48" t="str">
        <f t="shared" si="1"/>
        <v/>
      </c>
      <c r="I219" s="44" t="str">
        <f>IF(A219="","",IFERROR(SUMIF(Purchases!$D:$D,A219,Purchases!$I:$I)/D219,0))</f>
        <v/>
      </c>
      <c r="J219" s="44" t="str">
        <f t="shared" si="2"/>
        <v/>
      </c>
      <c r="K219" s="30" t="str">
        <f>IF($A219="","",IFERROR(VALUE(SUBSTITUTE(SUBSTITUTE(SUBSTITUTE(VLOOKUP($A219,Inventory!$O$5:$P$604,2,FALSE),"Tk","")," ",""),",","")),""))</f>
        <v/>
      </c>
      <c r="L219" s="58" t="str">
        <f t="shared" si="3"/>
        <v/>
      </c>
      <c r="M219" s="58" t="str">
        <f t="shared" si="4"/>
        <v/>
      </c>
      <c r="O219" s="59" t="str">
        <f t="shared" si="5"/>
        <v/>
      </c>
      <c r="P219" s="52"/>
    </row>
    <row r="220" ht="14.25" customHeight="1">
      <c r="A220" s="29" t="str">
        <f t="array" ref="A220">IFERROR(INDEX(Purchases!$D$5:$D$1004,MATCH(ROW()-4,Purchases!$L$5:$L$1004,0)),"")</f>
        <v/>
      </c>
      <c r="B220" s="48" t="str">
        <f>IFERROR(VLOOKUP(A220,Purchases!$D:$E,2,FALSE),"")</f>
        <v/>
      </c>
      <c r="C220" s="48" t="str">
        <f>IFERROR(VLOOKUP(A220,Purchases!$D:$F,3,FALSE),"")</f>
        <v/>
      </c>
      <c r="D220" s="48" t="str">
        <f>IF(A220="","",SUMIF(Purchases!$D:$D,A220,Purchases!$K:$K))</f>
        <v/>
      </c>
      <c r="E220" s="48" t="str">
        <f>IF(A220="","",SUMIFS(Sales!$H:$H,Sales!$F:$F,A220,Sales!$B:$B,"&lt;&gt;Return"))</f>
        <v/>
      </c>
      <c r="F220" s="48" t="str">
        <f>IF(A220="","",SUMIFS(Sales!$H:$H,Sales!$F:$F,A220,Sales!$B:$B,"Return"))</f>
        <v/>
      </c>
      <c r="G220" s="48" t="str">
        <f>IF($A220="","",SUMIF('Shop Ledger'!$C:$C,$A220,'Shop Ledger'!$F:$F))</f>
        <v/>
      </c>
      <c r="H220" s="48" t="str">
        <f t="shared" si="1"/>
        <v/>
      </c>
      <c r="I220" s="44" t="str">
        <f>IF(A220="","",IFERROR(SUMIF(Purchases!$D:$D,A220,Purchases!$I:$I)/D220,0))</f>
        <v/>
      </c>
      <c r="J220" s="44" t="str">
        <f t="shared" si="2"/>
        <v/>
      </c>
      <c r="K220" s="30" t="str">
        <f>IF($A220="","",IFERROR(VALUE(SUBSTITUTE(SUBSTITUTE(SUBSTITUTE(VLOOKUP($A220,Inventory!$O$5:$P$604,2,FALSE),"Tk","")," ",""),",","")),""))</f>
        <v/>
      </c>
      <c r="L220" s="58" t="str">
        <f t="shared" si="3"/>
        <v/>
      </c>
      <c r="M220" s="58" t="str">
        <f t="shared" si="4"/>
        <v/>
      </c>
      <c r="O220" s="59" t="str">
        <f t="shared" si="5"/>
        <v/>
      </c>
      <c r="P220" s="52"/>
    </row>
    <row r="221" ht="14.25" customHeight="1">
      <c r="A221" s="29" t="str">
        <f t="array" ref="A221">IFERROR(INDEX(Purchases!$D$5:$D$1004,MATCH(ROW()-4,Purchases!$L$5:$L$1004,0)),"")</f>
        <v/>
      </c>
      <c r="B221" s="48" t="str">
        <f>IFERROR(VLOOKUP(A221,Purchases!$D:$E,2,FALSE),"")</f>
        <v/>
      </c>
      <c r="C221" s="48" t="str">
        <f>IFERROR(VLOOKUP(A221,Purchases!$D:$F,3,FALSE),"")</f>
        <v/>
      </c>
      <c r="D221" s="48" t="str">
        <f>IF(A221="","",SUMIF(Purchases!$D:$D,A221,Purchases!$K:$K))</f>
        <v/>
      </c>
      <c r="E221" s="48" t="str">
        <f>IF(A221="","",SUMIFS(Sales!$H:$H,Sales!$F:$F,A221,Sales!$B:$B,"&lt;&gt;Return"))</f>
        <v/>
      </c>
      <c r="F221" s="48" t="str">
        <f>IF(A221="","",SUMIFS(Sales!$H:$H,Sales!$F:$F,A221,Sales!$B:$B,"Return"))</f>
        <v/>
      </c>
      <c r="G221" s="48" t="str">
        <f>IF($A221="","",SUMIF('Shop Ledger'!$C:$C,$A221,'Shop Ledger'!$F:$F))</f>
        <v/>
      </c>
      <c r="H221" s="48" t="str">
        <f t="shared" si="1"/>
        <v/>
      </c>
      <c r="I221" s="44" t="str">
        <f>IF(A221="","",IFERROR(SUMIF(Purchases!$D:$D,A221,Purchases!$I:$I)/D221,0))</f>
        <v/>
      </c>
      <c r="J221" s="44" t="str">
        <f t="shared" si="2"/>
        <v/>
      </c>
      <c r="K221" s="30" t="str">
        <f>IF($A221="","",IFERROR(VALUE(SUBSTITUTE(SUBSTITUTE(SUBSTITUTE(VLOOKUP($A221,Inventory!$O$5:$P$604,2,FALSE),"Tk","")," ",""),",","")),""))</f>
        <v/>
      </c>
      <c r="L221" s="58" t="str">
        <f t="shared" si="3"/>
        <v/>
      </c>
      <c r="M221" s="58" t="str">
        <f t="shared" si="4"/>
        <v/>
      </c>
      <c r="O221" s="59" t="str">
        <f t="shared" si="5"/>
        <v/>
      </c>
      <c r="P221" s="52"/>
    </row>
    <row r="222" ht="14.25" customHeight="1">
      <c r="A222" s="29" t="str">
        <f t="array" ref="A222">IFERROR(INDEX(Purchases!$D$5:$D$1004,MATCH(ROW()-4,Purchases!$L$5:$L$1004,0)),"")</f>
        <v/>
      </c>
      <c r="B222" s="48" t="str">
        <f>IFERROR(VLOOKUP(A222,Purchases!$D:$E,2,FALSE),"")</f>
        <v/>
      </c>
      <c r="C222" s="48" t="str">
        <f>IFERROR(VLOOKUP(A222,Purchases!$D:$F,3,FALSE),"")</f>
        <v/>
      </c>
      <c r="D222" s="48" t="str">
        <f>IF(A222="","",SUMIF(Purchases!$D:$D,A222,Purchases!$K:$K))</f>
        <v/>
      </c>
      <c r="E222" s="48" t="str">
        <f>IF(A222="","",SUMIFS(Sales!$H:$H,Sales!$F:$F,A222,Sales!$B:$B,"&lt;&gt;Return"))</f>
        <v/>
      </c>
      <c r="F222" s="48" t="str">
        <f>IF(A222="","",SUMIFS(Sales!$H:$H,Sales!$F:$F,A222,Sales!$B:$B,"Return"))</f>
        <v/>
      </c>
      <c r="G222" s="48" t="str">
        <f>IF($A222="","",SUMIF('Shop Ledger'!$C:$C,$A222,'Shop Ledger'!$F:$F))</f>
        <v/>
      </c>
      <c r="H222" s="48" t="str">
        <f t="shared" si="1"/>
        <v/>
      </c>
      <c r="I222" s="44" t="str">
        <f>IF(A222="","",IFERROR(SUMIF(Purchases!$D:$D,A222,Purchases!$I:$I)/D222,0))</f>
        <v/>
      </c>
      <c r="J222" s="44" t="str">
        <f t="shared" si="2"/>
        <v/>
      </c>
      <c r="K222" s="30" t="str">
        <f>IF($A222="","",IFERROR(VALUE(SUBSTITUTE(SUBSTITUTE(SUBSTITUTE(VLOOKUP($A222,Inventory!$O$5:$P$604,2,FALSE),"Tk","")," ",""),",","")),""))</f>
        <v/>
      </c>
      <c r="L222" s="58" t="str">
        <f t="shared" si="3"/>
        <v/>
      </c>
      <c r="M222" s="58" t="str">
        <f t="shared" si="4"/>
        <v/>
      </c>
      <c r="O222" s="59" t="str">
        <f t="shared" si="5"/>
        <v/>
      </c>
      <c r="P222" s="52"/>
    </row>
    <row r="223" ht="14.25" customHeight="1">
      <c r="A223" s="29" t="str">
        <f t="array" ref="A223">IFERROR(INDEX(Purchases!$D$5:$D$1004,MATCH(ROW()-4,Purchases!$L$5:$L$1004,0)),"")</f>
        <v/>
      </c>
      <c r="B223" s="48" t="str">
        <f>IFERROR(VLOOKUP(A223,Purchases!$D:$E,2,FALSE),"")</f>
        <v/>
      </c>
      <c r="C223" s="48" t="str">
        <f>IFERROR(VLOOKUP(A223,Purchases!$D:$F,3,FALSE),"")</f>
        <v/>
      </c>
      <c r="D223" s="48" t="str">
        <f>IF(A223="","",SUMIF(Purchases!$D:$D,A223,Purchases!$K:$K))</f>
        <v/>
      </c>
      <c r="E223" s="48" t="str">
        <f>IF(A223="","",SUMIFS(Sales!$H:$H,Sales!$F:$F,A223,Sales!$B:$B,"&lt;&gt;Return"))</f>
        <v/>
      </c>
      <c r="F223" s="48" t="str">
        <f>IF(A223="","",SUMIFS(Sales!$H:$H,Sales!$F:$F,A223,Sales!$B:$B,"Return"))</f>
        <v/>
      </c>
      <c r="G223" s="48" t="str">
        <f>IF($A223="","",SUMIF('Shop Ledger'!$C:$C,$A223,'Shop Ledger'!$F:$F))</f>
        <v/>
      </c>
      <c r="H223" s="48" t="str">
        <f t="shared" si="1"/>
        <v/>
      </c>
      <c r="I223" s="44" t="str">
        <f>IF(A223="","",IFERROR(SUMIF(Purchases!$D:$D,A223,Purchases!$I:$I)/D223,0))</f>
        <v/>
      </c>
      <c r="J223" s="44" t="str">
        <f t="shared" si="2"/>
        <v/>
      </c>
      <c r="K223" s="30" t="str">
        <f>IF($A223="","",IFERROR(VALUE(SUBSTITUTE(SUBSTITUTE(SUBSTITUTE(VLOOKUP($A223,Inventory!$O$5:$P$604,2,FALSE),"Tk","")," ",""),",","")),""))</f>
        <v/>
      </c>
      <c r="L223" s="58" t="str">
        <f t="shared" si="3"/>
        <v/>
      </c>
      <c r="M223" s="58" t="str">
        <f t="shared" si="4"/>
        <v/>
      </c>
      <c r="O223" s="59" t="str">
        <f t="shared" si="5"/>
        <v/>
      </c>
      <c r="P223" s="52"/>
    </row>
    <row r="224" ht="14.25" customHeight="1">
      <c r="A224" s="29" t="str">
        <f t="array" ref="A224">IFERROR(INDEX(Purchases!$D$5:$D$1004,MATCH(ROW()-4,Purchases!$L$5:$L$1004,0)),"")</f>
        <v/>
      </c>
      <c r="B224" s="48" t="str">
        <f>IFERROR(VLOOKUP(A224,Purchases!$D:$E,2,FALSE),"")</f>
        <v/>
      </c>
      <c r="C224" s="48" t="str">
        <f>IFERROR(VLOOKUP(A224,Purchases!$D:$F,3,FALSE),"")</f>
        <v/>
      </c>
      <c r="D224" s="48" t="str">
        <f>IF(A224="","",SUMIF(Purchases!$D:$D,A224,Purchases!$K:$K))</f>
        <v/>
      </c>
      <c r="E224" s="48" t="str">
        <f>IF(A224="","",SUMIFS(Sales!$H:$H,Sales!$F:$F,A224,Sales!$B:$B,"&lt;&gt;Return"))</f>
        <v/>
      </c>
      <c r="F224" s="48" t="str">
        <f>IF(A224="","",SUMIFS(Sales!$H:$H,Sales!$F:$F,A224,Sales!$B:$B,"Return"))</f>
        <v/>
      </c>
      <c r="G224" s="48" t="str">
        <f>IF($A224="","",SUMIF('Shop Ledger'!$C:$C,$A224,'Shop Ledger'!$F:$F))</f>
        <v/>
      </c>
      <c r="H224" s="48" t="str">
        <f t="shared" si="1"/>
        <v/>
      </c>
      <c r="I224" s="44" t="str">
        <f>IF(A224="","",IFERROR(SUMIF(Purchases!$D:$D,A224,Purchases!$I:$I)/D224,0))</f>
        <v/>
      </c>
      <c r="J224" s="44" t="str">
        <f t="shared" si="2"/>
        <v/>
      </c>
      <c r="K224" s="30" t="str">
        <f>IF($A224="","",IFERROR(VALUE(SUBSTITUTE(SUBSTITUTE(SUBSTITUTE(VLOOKUP($A224,Inventory!$O$5:$P$604,2,FALSE),"Tk","")," ",""),",","")),""))</f>
        <v/>
      </c>
      <c r="L224" s="58" t="str">
        <f t="shared" si="3"/>
        <v/>
      </c>
      <c r="M224" s="58" t="str">
        <f t="shared" si="4"/>
        <v/>
      </c>
      <c r="O224" s="59" t="str">
        <f t="shared" si="5"/>
        <v/>
      </c>
      <c r="P224" s="52"/>
    </row>
    <row r="225" ht="14.25" customHeight="1">
      <c r="A225" s="29" t="str">
        <f t="array" ref="A225">IFERROR(INDEX(Purchases!$D$5:$D$1004,MATCH(ROW()-4,Purchases!$L$5:$L$1004,0)),"")</f>
        <v/>
      </c>
      <c r="B225" s="48" t="str">
        <f>IFERROR(VLOOKUP(A225,Purchases!$D:$E,2,FALSE),"")</f>
        <v/>
      </c>
      <c r="C225" s="48" t="str">
        <f>IFERROR(VLOOKUP(A225,Purchases!$D:$F,3,FALSE),"")</f>
        <v/>
      </c>
      <c r="D225" s="48" t="str">
        <f>IF(A225="","",SUMIF(Purchases!$D:$D,A225,Purchases!$K:$K))</f>
        <v/>
      </c>
      <c r="E225" s="48" t="str">
        <f>IF(A225="","",SUMIFS(Sales!$H:$H,Sales!$F:$F,A225,Sales!$B:$B,"&lt;&gt;Return"))</f>
        <v/>
      </c>
      <c r="F225" s="48" t="str">
        <f>IF(A225="","",SUMIFS(Sales!$H:$H,Sales!$F:$F,A225,Sales!$B:$B,"Return"))</f>
        <v/>
      </c>
      <c r="G225" s="48" t="str">
        <f>IF($A225="","",SUMIF('Shop Ledger'!$C:$C,$A225,'Shop Ledger'!$F:$F))</f>
        <v/>
      </c>
      <c r="H225" s="48" t="str">
        <f t="shared" si="1"/>
        <v/>
      </c>
      <c r="I225" s="44" t="str">
        <f>IF(A225="","",IFERROR(SUMIF(Purchases!$D:$D,A225,Purchases!$I:$I)/D225,0))</f>
        <v/>
      </c>
      <c r="J225" s="44" t="str">
        <f t="shared" si="2"/>
        <v/>
      </c>
      <c r="K225" s="30" t="str">
        <f>IF($A225="","",IFERROR(VALUE(SUBSTITUTE(SUBSTITUTE(SUBSTITUTE(VLOOKUP($A225,Inventory!$O$5:$P$604,2,FALSE),"Tk","")," ",""),",","")),""))</f>
        <v/>
      </c>
      <c r="L225" s="58" t="str">
        <f t="shared" si="3"/>
        <v/>
      </c>
      <c r="M225" s="58" t="str">
        <f t="shared" si="4"/>
        <v/>
      </c>
      <c r="O225" s="59" t="str">
        <f t="shared" si="5"/>
        <v/>
      </c>
      <c r="P225" s="52"/>
    </row>
    <row r="226" ht="14.25" customHeight="1">
      <c r="A226" s="29" t="str">
        <f t="array" ref="A226">IFERROR(INDEX(Purchases!$D$5:$D$1004,MATCH(ROW()-4,Purchases!$L$5:$L$1004,0)),"")</f>
        <v/>
      </c>
      <c r="B226" s="48" t="str">
        <f>IFERROR(VLOOKUP(A226,Purchases!$D:$E,2,FALSE),"")</f>
        <v/>
      </c>
      <c r="C226" s="48" t="str">
        <f>IFERROR(VLOOKUP(A226,Purchases!$D:$F,3,FALSE),"")</f>
        <v/>
      </c>
      <c r="D226" s="48" t="str">
        <f>IF(A226="","",SUMIF(Purchases!$D:$D,A226,Purchases!$K:$K))</f>
        <v/>
      </c>
      <c r="E226" s="48" t="str">
        <f>IF(A226="","",SUMIFS(Sales!$H:$H,Sales!$F:$F,A226,Sales!$B:$B,"&lt;&gt;Return"))</f>
        <v/>
      </c>
      <c r="F226" s="48" t="str">
        <f>IF(A226="","",SUMIFS(Sales!$H:$H,Sales!$F:$F,A226,Sales!$B:$B,"Return"))</f>
        <v/>
      </c>
      <c r="G226" s="48" t="str">
        <f>IF($A226="","",SUMIF('Shop Ledger'!$C:$C,$A226,'Shop Ledger'!$F:$F))</f>
        <v/>
      </c>
      <c r="H226" s="48" t="str">
        <f t="shared" si="1"/>
        <v/>
      </c>
      <c r="I226" s="44" t="str">
        <f>IF(A226="","",IFERROR(SUMIF(Purchases!$D:$D,A226,Purchases!$I:$I)/D226,0))</f>
        <v/>
      </c>
      <c r="J226" s="44" t="str">
        <f t="shared" si="2"/>
        <v/>
      </c>
      <c r="K226" s="30" t="str">
        <f>IF($A226="","",IFERROR(VALUE(SUBSTITUTE(SUBSTITUTE(SUBSTITUTE(VLOOKUP($A226,Inventory!$O$5:$P$604,2,FALSE),"Tk","")," ",""),",","")),""))</f>
        <v/>
      </c>
      <c r="L226" s="58" t="str">
        <f t="shared" si="3"/>
        <v/>
      </c>
      <c r="M226" s="58" t="str">
        <f t="shared" si="4"/>
        <v/>
      </c>
      <c r="O226" s="59" t="str">
        <f t="shared" si="5"/>
        <v/>
      </c>
      <c r="P226" s="52"/>
    </row>
    <row r="227" ht="14.25" customHeight="1">
      <c r="A227" s="29" t="str">
        <f t="array" ref="A227">IFERROR(INDEX(Purchases!$D$5:$D$1004,MATCH(ROW()-4,Purchases!$L$5:$L$1004,0)),"")</f>
        <v/>
      </c>
      <c r="B227" s="48" t="str">
        <f>IFERROR(VLOOKUP(A227,Purchases!$D:$E,2,FALSE),"")</f>
        <v/>
      </c>
      <c r="C227" s="48" t="str">
        <f>IFERROR(VLOOKUP(A227,Purchases!$D:$F,3,FALSE),"")</f>
        <v/>
      </c>
      <c r="D227" s="48" t="str">
        <f>IF(A227="","",SUMIF(Purchases!$D:$D,A227,Purchases!$K:$K))</f>
        <v/>
      </c>
      <c r="E227" s="48" t="str">
        <f>IF(A227="","",SUMIFS(Sales!$H:$H,Sales!$F:$F,A227,Sales!$B:$B,"&lt;&gt;Return"))</f>
        <v/>
      </c>
      <c r="F227" s="48" t="str">
        <f>IF(A227="","",SUMIFS(Sales!$H:$H,Sales!$F:$F,A227,Sales!$B:$B,"Return"))</f>
        <v/>
      </c>
      <c r="G227" s="48" t="str">
        <f>IF($A227="","",SUMIF('Shop Ledger'!$C:$C,$A227,'Shop Ledger'!$F:$F))</f>
        <v/>
      </c>
      <c r="H227" s="48" t="str">
        <f t="shared" si="1"/>
        <v/>
      </c>
      <c r="I227" s="44" t="str">
        <f>IF(A227="","",IFERROR(SUMIF(Purchases!$D:$D,A227,Purchases!$I:$I)/D227,0))</f>
        <v/>
      </c>
      <c r="J227" s="44" t="str">
        <f t="shared" si="2"/>
        <v/>
      </c>
      <c r="K227" s="30" t="str">
        <f>IF($A227="","",IFERROR(VALUE(SUBSTITUTE(SUBSTITUTE(SUBSTITUTE(VLOOKUP($A227,Inventory!$O$5:$P$604,2,FALSE),"Tk","")," ",""),",","")),""))</f>
        <v/>
      </c>
      <c r="L227" s="58" t="str">
        <f t="shared" si="3"/>
        <v/>
      </c>
      <c r="M227" s="58" t="str">
        <f t="shared" si="4"/>
        <v/>
      </c>
      <c r="O227" s="59" t="str">
        <f t="shared" si="5"/>
        <v/>
      </c>
      <c r="P227" s="52"/>
    </row>
    <row r="228" ht="14.25" customHeight="1">
      <c r="A228" s="29" t="str">
        <f t="array" ref="A228">IFERROR(INDEX(Purchases!$D$5:$D$1004,MATCH(ROW()-4,Purchases!$L$5:$L$1004,0)),"")</f>
        <v/>
      </c>
      <c r="B228" s="48" t="str">
        <f>IFERROR(VLOOKUP(A228,Purchases!$D:$E,2,FALSE),"")</f>
        <v/>
      </c>
      <c r="C228" s="48" t="str">
        <f>IFERROR(VLOOKUP(A228,Purchases!$D:$F,3,FALSE),"")</f>
        <v/>
      </c>
      <c r="D228" s="48" t="str">
        <f>IF(A228="","",SUMIF(Purchases!$D:$D,A228,Purchases!$K:$K))</f>
        <v/>
      </c>
      <c r="E228" s="48" t="str">
        <f>IF(A228="","",SUMIFS(Sales!$H:$H,Sales!$F:$F,A228,Sales!$B:$B,"&lt;&gt;Return"))</f>
        <v/>
      </c>
      <c r="F228" s="48" t="str">
        <f>IF(A228="","",SUMIFS(Sales!$H:$H,Sales!$F:$F,A228,Sales!$B:$B,"Return"))</f>
        <v/>
      </c>
      <c r="G228" s="48" t="str">
        <f>IF($A228="","",SUMIF('Shop Ledger'!$C:$C,$A228,'Shop Ledger'!$F:$F))</f>
        <v/>
      </c>
      <c r="H228" s="48" t="str">
        <f t="shared" si="1"/>
        <v/>
      </c>
      <c r="I228" s="44" t="str">
        <f>IF(A228="","",IFERROR(SUMIF(Purchases!$D:$D,A228,Purchases!$I:$I)/D228,0))</f>
        <v/>
      </c>
      <c r="J228" s="44" t="str">
        <f t="shared" si="2"/>
        <v/>
      </c>
      <c r="K228" s="30" t="str">
        <f>IF($A228="","",IFERROR(VALUE(SUBSTITUTE(SUBSTITUTE(SUBSTITUTE(VLOOKUP($A228,Inventory!$O$5:$P$604,2,FALSE),"Tk","")," ",""),",","")),""))</f>
        <v/>
      </c>
      <c r="L228" s="58" t="str">
        <f t="shared" si="3"/>
        <v/>
      </c>
      <c r="M228" s="58" t="str">
        <f t="shared" si="4"/>
        <v/>
      </c>
      <c r="O228" s="59" t="str">
        <f t="shared" si="5"/>
        <v/>
      </c>
      <c r="P228" s="52"/>
    </row>
    <row r="229" ht="14.25" customHeight="1">
      <c r="A229" s="29" t="str">
        <f t="array" ref="A229">IFERROR(INDEX(Purchases!$D$5:$D$1004,MATCH(ROW()-4,Purchases!$L$5:$L$1004,0)),"")</f>
        <v/>
      </c>
      <c r="B229" s="48" t="str">
        <f>IFERROR(VLOOKUP(A229,Purchases!$D:$E,2,FALSE),"")</f>
        <v/>
      </c>
      <c r="C229" s="48" t="str">
        <f>IFERROR(VLOOKUP(A229,Purchases!$D:$F,3,FALSE),"")</f>
        <v/>
      </c>
      <c r="D229" s="48" t="str">
        <f>IF(A229="","",SUMIF(Purchases!$D:$D,A229,Purchases!$K:$K))</f>
        <v/>
      </c>
      <c r="E229" s="48" t="str">
        <f>IF(A229="","",SUMIFS(Sales!$H:$H,Sales!$F:$F,A229,Sales!$B:$B,"&lt;&gt;Return"))</f>
        <v/>
      </c>
      <c r="F229" s="48" t="str">
        <f>IF(A229="","",SUMIFS(Sales!$H:$H,Sales!$F:$F,A229,Sales!$B:$B,"Return"))</f>
        <v/>
      </c>
      <c r="G229" s="48" t="str">
        <f>IF($A229="","",SUMIF('Shop Ledger'!$C:$C,$A229,'Shop Ledger'!$F:$F))</f>
        <v/>
      </c>
      <c r="H229" s="48" t="str">
        <f t="shared" si="1"/>
        <v/>
      </c>
      <c r="I229" s="44" t="str">
        <f>IF(A229="","",IFERROR(SUMIF(Purchases!$D:$D,A229,Purchases!$I:$I)/D229,0))</f>
        <v/>
      </c>
      <c r="J229" s="44" t="str">
        <f t="shared" si="2"/>
        <v/>
      </c>
      <c r="K229" s="30" t="str">
        <f>IF($A229="","",IFERROR(VALUE(SUBSTITUTE(SUBSTITUTE(SUBSTITUTE(VLOOKUP($A229,Inventory!$O$5:$P$604,2,FALSE),"Tk","")," ",""),",","")),""))</f>
        <v/>
      </c>
      <c r="L229" s="58" t="str">
        <f t="shared" si="3"/>
        <v/>
      </c>
      <c r="M229" s="58" t="str">
        <f t="shared" si="4"/>
        <v/>
      </c>
      <c r="O229" s="59" t="str">
        <f t="shared" si="5"/>
        <v/>
      </c>
      <c r="P229" s="52"/>
    </row>
    <row r="230" ht="14.25" customHeight="1">
      <c r="A230" s="29" t="str">
        <f t="array" ref="A230">IFERROR(INDEX(Purchases!$D$5:$D$1004,MATCH(ROW()-4,Purchases!$L$5:$L$1004,0)),"")</f>
        <v/>
      </c>
      <c r="B230" s="48" t="str">
        <f>IFERROR(VLOOKUP(A230,Purchases!$D:$E,2,FALSE),"")</f>
        <v/>
      </c>
      <c r="C230" s="48" t="str">
        <f>IFERROR(VLOOKUP(A230,Purchases!$D:$F,3,FALSE),"")</f>
        <v/>
      </c>
      <c r="D230" s="48" t="str">
        <f>IF(A230="","",SUMIF(Purchases!$D:$D,A230,Purchases!$K:$K))</f>
        <v/>
      </c>
      <c r="E230" s="48" t="str">
        <f>IF(A230="","",SUMIFS(Sales!$H:$H,Sales!$F:$F,A230,Sales!$B:$B,"&lt;&gt;Return"))</f>
        <v/>
      </c>
      <c r="F230" s="48" t="str">
        <f>IF(A230="","",SUMIFS(Sales!$H:$H,Sales!$F:$F,A230,Sales!$B:$B,"Return"))</f>
        <v/>
      </c>
      <c r="G230" s="48" t="str">
        <f>IF($A230="","",SUMIF('Shop Ledger'!$C:$C,$A230,'Shop Ledger'!$F:$F))</f>
        <v/>
      </c>
      <c r="H230" s="48" t="str">
        <f t="shared" si="1"/>
        <v/>
      </c>
      <c r="I230" s="44" t="str">
        <f>IF(A230="","",IFERROR(SUMIF(Purchases!$D:$D,A230,Purchases!$I:$I)/D230,0))</f>
        <v/>
      </c>
      <c r="J230" s="44" t="str">
        <f t="shared" si="2"/>
        <v/>
      </c>
      <c r="K230" s="30" t="str">
        <f>IF($A230="","",IFERROR(VALUE(SUBSTITUTE(SUBSTITUTE(SUBSTITUTE(VLOOKUP($A230,Inventory!$O$5:$P$604,2,FALSE),"Tk","")," ",""),",","")),""))</f>
        <v/>
      </c>
      <c r="L230" s="58" t="str">
        <f t="shared" si="3"/>
        <v/>
      </c>
      <c r="M230" s="58" t="str">
        <f t="shared" si="4"/>
        <v/>
      </c>
      <c r="O230" s="59" t="str">
        <f t="shared" si="5"/>
        <v/>
      </c>
      <c r="P230" s="52"/>
    </row>
    <row r="231" ht="14.25" customHeight="1">
      <c r="A231" s="29" t="str">
        <f t="array" ref="A231">IFERROR(INDEX(Purchases!$D$5:$D$1004,MATCH(ROW()-4,Purchases!$L$5:$L$1004,0)),"")</f>
        <v/>
      </c>
      <c r="B231" s="48" t="str">
        <f>IFERROR(VLOOKUP(A231,Purchases!$D:$E,2,FALSE),"")</f>
        <v/>
      </c>
      <c r="C231" s="48" t="str">
        <f>IFERROR(VLOOKUP(A231,Purchases!$D:$F,3,FALSE),"")</f>
        <v/>
      </c>
      <c r="D231" s="48" t="str">
        <f>IF(A231="","",SUMIF(Purchases!$D:$D,A231,Purchases!$K:$K))</f>
        <v/>
      </c>
      <c r="E231" s="48" t="str">
        <f>IF(A231="","",SUMIFS(Sales!$H:$H,Sales!$F:$F,A231,Sales!$B:$B,"&lt;&gt;Return"))</f>
        <v/>
      </c>
      <c r="F231" s="48" t="str">
        <f>IF(A231="","",SUMIFS(Sales!$H:$H,Sales!$F:$F,A231,Sales!$B:$B,"Return"))</f>
        <v/>
      </c>
      <c r="G231" s="48" t="str">
        <f>IF($A231="","",SUMIF('Shop Ledger'!$C:$C,$A231,'Shop Ledger'!$F:$F))</f>
        <v/>
      </c>
      <c r="H231" s="48" t="str">
        <f t="shared" si="1"/>
        <v/>
      </c>
      <c r="I231" s="44" t="str">
        <f>IF(A231="","",IFERROR(SUMIF(Purchases!$D:$D,A231,Purchases!$I:$I)/D231,0))</f>
        <v/>
      </c>
      <c r="J231" s="44" t="str">
        <f t="shared" si="2"/>
        <v/>
      </c>
      <c r="K231" s="30" t="str">
        <f>IF($A231="","",IFERROR(VALUE(SUBSTITUTE(SUBSTITUTE(SUBSTITUTE(VLOOKUP($A231,Inventory!$O$5:$P$604,2,FALSE),"Tk","")," ",""),",","")),""))</f>
        <v/>
      </c>
      <c r="L231" s="58" t="str">
        <f t="shared" si="3"/>
        <v/>
      </c>
      <c r="M231" s="58" t="str">
        <f t="shared" si="4"/>
        <v/>
      </c>
      <c r="O231" s="59" t="str">
        <f t="shared" si="5"/>
        <v/>
      </c>
      <c r="P231" s="52"/>
    </row>
    <row r="232" ht="14.25" customHeight="1">
      <c r="A232" s="29" t="str">
        <f t="array" ref="A232">IFERROR(INDEX(Purchases!$D$5:$D$1004,MATCH(ROW()-4,Purchases!$L$5:$L$1004,0)),"")</f>
        <v/>
      </c>
      <c r="B232" s="48" t="str">
        <f>IFERROR(VLOOKUP(A232,Purchases!$D:$E,2,FALSE),"")</f>
        <v/>
      </c>
      <c r="C232" s="48" t="str">
        <f>IFERROR(VLOOKUP(A232,Purchases!$D:$F,3,FALSE),"")</f>
        <v/>
      </c>
      <c r="D232" s="48" t="str">
        <f>IF(A232="","",SUMIF(Purchases!$D:$D,A232,Purchases!$K:$K))</f>
        <v/>
      </c>
      <c r="E232" s="48" t="str">
        <f>IF(A232="","",SUMIFS(Sales!$H:$H,Sales!$F:$F,A232,Sales!$B:$B,"&lt;&gt;Return"))</f>
        <v/>
      </c>
      <c r="F232" s="48" t="str">
        <f>IF(A232="","",SUMIFS(Sales!$H:$H,Sales!$F:$F,A232,Sales!$B:$B,"Return"))</f>
        <v/>
      </c>
      <c r="G232" s="48" t="str">
        <f>IF($A232="","",SUMIF('Shop Ledger'!$C:$C,$A232,'Shop Ledger'!$F:$F))</f>
        <v/>
      </c>
      <c r="H232" s="48" t="str">
        <f t="shared" si="1"/>
        <v/>
      </c>
      <c r="I232" s="44" t="str">
        <f>IF(A232="","",IFERROR(SUMIF(Purchases!$D:$D,A232,Purchases!$I:$I)/D232,0))</f>
        <v/>
      </c>
      <c r="J232" s="44" t="str">
        <f t="shared" si="2"/>
        <v/>
      </c>
      <c r="K232" s="30" t="str">
        <f>IF($A232="","",IFERROR(VALUE(SUBSTITUTE(SUBSTITUTE(SUBSTITUTE(VLOOKUP($A232,Inventory!$O$5:$P$604,2,FALSE),"Tk","")," ",""),",","")),""))</f>
        <v/>
      </c>
      <c r="L232" s="58" t="str">
        <f t="shared" si="3"/>
        <v/>
      </c>
      <c r="M232" s="58" t="str">
        <f t="shared" si="4"/>
        <v/>
      </c>
      <c r="O232" s="59" t="str">
        <f t="shared" si="5"/>
        <v/>
      </c>
      <c r="P232" s="52"/>
    </row>
    <row r="233" ht="14.25" customHeight="1">
      <c r="A233" s="29" t="str">
        <f t="array" ref="A233">IFERROR(INDEX(Purchases!$D$5:$D$1004,MATCH(ROW()-4,Purchases!$L$5:$L$1004,0)),"")</f>
        <v/>
      </c>
      <c r="B233" s="48" t="str">
        <f>IFERROR(VLOOKUP(A233,Purchases!$D:$E,2,FALSE),"")</f>
        <v/>
      </c>
      <c r="C233" s="48" t="str">
        <f>IFERROR(VLOOKUP(A233,Purchases!$D:$F,3,FALSE),"")</f>
        <v/>
      </c>
      <c r="D233" s="48" t="str">
        <f>IF(A233="","",SUMIF(Purchases!$D:$D,A233,Purchases!$K:$K))</f>
        <v/>
      </c>
      <c r="E233" s="48" t="str">
        <f>IF(A233="","",SUMIFS(Sales!$H:$H,Sales!$F:$F,A233,Sales!$B:$B,"&lt;&gt;Return"))</f>
        <v/>
      </c>
      <c r="F233" s="48" t="str">
        <f>IF(A233="","",SUMIFS(Sales!$H:$H,Sales!$F:$F,A233,Sales!$B:$B,"Return"))</f>
        <v/>
      </c>
      <c r="G233" s="48" t="str">
        <f>IF($A233="","",SUMIF('Shop Ledger'!$C:$C,$A233,'Shop Ledger'!$F:$F))</f>
        <v/>
      </c>
      <c r="H233" s="48" t="str">
        <f t="shared" si="1"/>
        <v/>
      </c>
      <c r="I233" s="44" t="str">
        <f>IF(A233="","",IFERROR(SUMIF(Purchases!$D:$D,A233,Purchases!$I:$I)/D233,0))</f>
        <v/>
      </c>
      <c r="J233" s="44" t="str">
        <f t="shared" si="2"/>
        <v/>
      </c>
      <c r="K233" s="30" t="str">
        <f>IF($A233="","",IFERROR(VALUE(SUBSTITUTE(SUBSTITUTE(SUBSTITUTE(VLOOKUP($A233,Inventory!$O$5:$P$604,2,FALSE),"Tk","")," ",""),",","")),""))</f>
        <v/>
      </c>
      <c r="L233" s="58" t="str">
        <f t="shared" si="3"/>
        <v/>
      </c>
      <c r="M233" s="58" t="str">
        <f t="shared" si="4"/>
        <v/>
      </c>
      <c r="O233" s="59" t="str">
        <f t="shared" si="5"/>
        <v/>
      </c>
      <c r="P233" s="52"/>
    </row>
    <row r="234" ht="14.25" customHeight="1">
      <c r="A234" s="29" t="str">
        <f t="array" ref="A234">IFERROR(INDEX(Purchases!$D$5:$D$1004,MATCH(ROW()-4,Purchases!$L$5:$L$1004,0)),"")</f>
        <v/>
      </c>
      <c r="B234" s="48" t="str">
        <f>IFERROR(VLOOKUP(A234,Purchases!$D:$E,2,FALSE),"")</f>
        <v/>
      </c>
      <c r="C234" s="48" t="str">
        <f>IFERROR(VLOOKUP(A234,Purchases!$D:$F,3,FALSE),"")</f>
        <v/>
      </c>
      <c r="D234" s="48" t="str">
        <f>IF(A234="","",SUMIF(Purchases!$D:$D,A234,Purchases!$K:$K))</f>
        <v/>
      </c>
      <c r="E234" s="48" t="str">
        <f>IF(A234="","",SUMIFS(Sales!$H:$H,Sales!$F:$F,A234,Sales!$B:$B,"&lt;&gt;Return"))</f>
        <v/>
      </c>
      <c r="F234" s="48" t="str">
        <f>IF(A234="","",SUMIFS(Sales!$H:$H,Sales!$F:$F,A234,Sales!$B:$B,"Return"))</f>
        <v/>
      </c>
      <c r="G234" s="48" t="str">
        <f>IF($A234="","",SUMIF('Shop Ledger'!$C:$C,$A234,'Shop Ledger'!$F:$F))</f>
        <v/>
      </c>
      <c r="H234" s="48" t="str">
        <f t="shared" si="1"/>
        <v/>
      </c>
      <c r="I234" s="44" t="str">
        <f>IF(A234="","",IFERROR(SUMIF(Purchases!$D:$D,A234,Purchases!$I:$I)/D234,0))</f>
        <v/>
      </c>
      <c r="J234" s="44" t="str">
        <f t="shared" si="2"/>
        <v/>
      </c>
      <c r="K234" s="30" t="str">
        <f>IF($A234="","",IFERROR(VALUE(SUBSTITUTE(SUBSTITUTE(SUBSTITUTE(VLOOKUP($A234,Inventory!$O$5:$P$604,2,FALSE),"Tk","")," ",""),",","")),""))</f>
        <v/>
      </c>
      <c r="L234" s="58" t="str">
        <f t="shared" si="3"/>
        <v/>
      </c>
      <c r="M234" s="58" t="str">
        <f t="shared" si="4"/>
        <v/>
      </c>
      <c r="O234" s="59" t="str">
        <f t="shared" si="5"/>
        <v/>
      </c>
      <c r="P234" s="52"/>
    </row>
    <row r="235" ht="14.25" customHeight="1">
      <c r="A235" s="29" t="str">
        <f t="array" ref="A235">IFERROR(INDEX(Purchases!$D$5:$D$1004,MATCH(ROW()-4,Purchases!$L$5:$L$1004,0)),"")</f>
        <v/>
      </c>
      <c r="B235" s="48" t="str">
        <f>IFERROR(VLOOKUP(A235,Purchases!$D:$E,2,FALSE),"")</f>
        <v/>
      </c>
      <c r="C235" s="48" t="str">
        <f>IFERROR(VLOOKUP(A235,Purchases!$D:$F,3,FALSE),"")</f>
        <v/>
      </c>
      <c r="D235" s="48" t="str">
        <f>IF(A235="","",SUMIF(Purchases!$D:$D,A235,Purchases!$K:$K))</f>
        <v/>
      </c>
      <c r="E235" s="48" t="str">
        <f>IF(A235="","",SUMIFS(Sales!$H:$H,Sales!$F:$F,A235,Sales!$B:$B,"&lt;&gt;Return"))</f>
        <v/>
      </c>
      <c r="F235" s="48" t="str">
        <f>IF(A235="","",SUMIFS(Sales!$H:$H,Sales!$F:$F,A235,Sales!$B:$B,"Return"))</f>
        <v/>
      </c>
      <c r="G235" s="48" t="str">
        <f>IF($A235="","",SUMIF('Shop Ledger'!$C:$C,$A235,'Shop Ledger'!$F:$F))</f>
        <v/>
      </c>
      <c r="H235" s="48" t="str">
        <f t="shared" si="1"/>
        <v/>
      </c>
      <c r="I235" s="44" t="str">
        <f>IF(A235="","",IFERROR(SUMIF(Purchases!$D:$D,A235,Purchases!$I:$I)/D235,0))</f>
        <v/>
      </c>
      <c r="J235" s="44" t="str">
        <f t="shared" si="2"/>
        <v/>
      </c>
      <c r="K235" s="30" t="str">
        <f>IF($A235="","",IFERROR(VALUE(SUBSTITUTE(SUBSTITUTE(SUBSTITUTE(VLOOKUP($A235,Inventory!$O$5:$P$604,2,FALSE),"Tk","")," ",""),",","")),""))</f>
        <v/>
      </c>
      <c r="L235" s="58" t="str">
        <f t="shared" si="3"/>
        <v/>
      </c>
      <c r="M235" s="58" t="str">
        <f t="shared" si="4"/>
        <v/>
      </c>
      <c r="O235" s="59" t="str">
        <f t="shared" si="5"/>
        <v/>
      </c>
      <c r="P235" s="52"/>
    </row>
    <row r="236" ht="14.25" customHeight="1">
      <c r="A236" s="29" t="str">
        <f t="array" ref="A236">IFERROR(INDEX(Purchases!$D$5:$D$1004,MATCH(ROW()-4,Purchases!$L$5:$L$1004,0)),"")</f>
        <v/>
      </c>
      <c r="B236" s="48" t="str">
        <f>IFERROR(VLOOKUP(A236,Purchases!$D:$E,2,FALSE),"")</f>
        <v/>
      </c>
      <c r="C236" s="48" t="str">
        <f>IFERROR(VLOOKUP(A236,Purchases!$D:$F,3,FALSE),"")</f>
        <v/>
      </c>
      <c r="D236" s="48" t="str">
        <f>IF(A236="","",SUMIF(Purchases!$D:$D,A236,Purchases!$K:$K))</f>
        <v/>
      </c>
      <c r="E236" s="48" t="str">
        <f>IF(A236="","",SUMIFS(Sales!$H:$H,Sales!$F:$F,A236,Sales!$B:$B,"&lt;&gt;Return"))</f>
        <v/>
      </c>
      <c r="F236" s="48" t="str">
        <f>IF(A236="","",SUMIFS(Sales!$H:$H,Sales!$F:$F,A236,Sales!$B:$B,"Return"))</f>
        <v/>
      </c>
      <c r="G236" s="48" t="str">
        <f>IF($A236="","",SUMIF('Shop Ledger'!$C:$C,$A236,'Shop Ledger'!$F:$F))</f>
        <v/>
      </c>
      <c r="H236" s="48" t="str">
        <f t="shared" si="1"/>
        <v/>
      </c>
      <c r="I236" s="44" t="str">
        <f>IF(A236="","",IFERROR(SUMIF(Purchases!$D:$D,A236,Purchases!$I:$I)/D236,0))</f>
        <v/>
      </c>
      <c r="J236" s="44" t="str">
        <f t="shared" si="2"/>
        <v/>
      </c>
      <c r="K236" s="30" t="str">
        <f>IF($A236="","",IFERROR(VALUE(SUBSTITUTE(SUBSTITUTE(SUBSTITUTE(VLOOKUP($A236,Inventory!$O$5:$P$604,2,FALSE),"Tk","")," ",""),",","")),""))</f>
        <v/>
      </c>
      <c r="L236" s="58" t="str">
        <f t="shared" si="3"/>
        <v/>
      </c>
      <c r="M236" s="58" t="str">
        <f t="shared" si="4"/>
        <v/>
      </c>
      <c r="O236" s="59" t="str">
        <f t="shared" si="5"/>
        <v/>
      </c>
      <c r="P236" s="52"/>
    </row>
    <row r="237" ht="14.25" customHeight="1">
      <c r="A237" s="29" t="str">
        <f t="array" ref="A237">IFERROR(INDEX(Purchases!$D$5:$D$1004,MATCH(ROW()-4,Purchases!$L$5:$L$1004,0)),"")</f>
        <v/>
      </c>
      <c r="B237" s="48" t="str">
        <f>IFERROR(VLOOKUP(A237,Purchases!$D:$E,2,FALSE),"")</f>
        <v/>
      </c>
      <c r="C237" s="48" t="str">
        <f>IFERROR(VLOOKUP(A237,Purchases!$D:$F,3,FALSE),"")</f>
        <v/>
      </c>
      <c r="D237" s="48" t="str">
        <f>IF(A237="","",SUMIF(Purchases!$D:$D,A237,Purchases!$K:$K))</f>
        <v/>
      </c>
      <c r="E237" s="48" t="str">
        <f>IF(A237="","",SUMIFS(Sales!$H:$H,Sales!$F:$F,A237,Sales!$B:$B,"&lt;&gt;Return"))</f>
        <v/>
      </c>
      <c r="F237" s="48" t="str">
        <f>IF(A237="","",SUMIFS(Sales!$H:$H,Sales!$F:$F,A237,Sales!$B:$B,"Return"))</f>
        <v/>
      </c>
      <c r="G237" s="48" t="str">
        <f>IF($A237="","",SUMIF('Shop Ledger'!$C:$C,$A237,'Shop Ledger'!$F:$F))</f>
        <v/>
      </c>
      <c r="H237" s="48" t="str">
        <f t="shared" si="1"/>
        <v/>
      </c>
      <c r="I237" s="44" t="str">
        <f>IF(A237="","",IFERROR(SUMIF(Purchases!$D:$D,A237,Purchases!$I:$I)/D237,0))</f>
        <v/>
      </c>
      <c r="J237" s="44" t="str">
        <f t="shared" si="2"/>
        <v/>
      </c>
      <c r="K237" s="30" t="str">
        <f>IF($A237="","",IFERROR(VALUE(SUBSTITUTE(SUBSTITUTE(SUBSTITUTE(VLOOKUP($A237,Inventory!$O$5:$P$604,2,FALSE),"Tk","")," ",""),",","")),""))</f>
        <v/>
      </c>
      <c r="L237" s="58" t="str">
        <f t="shared" si="3"/>
        <v/>
      </c>
      <c r="M237" s="58" t="str">
        <f t="shared" si="4"/>
        <v/>
      </c>
      <c r="O237" s="59" t="str">
        <f t="shared" si="5"/>
        <v/>
      </c>
      <c r="P237" s="52"/>
    </row>
    <row r="238" ht="14.25" customHeight="1">
      <c r="A238" s="29" t="str">
        <f t="array" ref="A238">IFERROR(INDEX(Purchases!$D$5:$D$1004,MATCH(ROW()-4,Purchases!$L$5:$L$1004,0)),"")</f>
        <v/>
      </c>
      <c r="B238" s="48" t="str">
        <f>IFERROR(VLOOKUP(A238,Purchases!$D:$E,2,FALSE),"")</f>
        <v/>
      </c>
      <c r="C238" s="48" t="str">
        <f>IFERROR(VLOOKUP(A238,Purchases!$D:$F,3,FALSE),"")</f>
        <v/>
      </c>
      <c r="D238" s="48" t="str">
        <f>IF(A238="","",SUMIF(Purchases!$D:$D,A238,Purchases!$K:$K))</f>
        <v/>
      </c>
      <c r="E238" s="48" t="str">
        <f>IF(A238="","",SUMIFS(Sales!$H:$H,Sales!$F:$F,A238,Sales!$B:$B,"&lt;&gt;Return"))</f>
        <v/>
      </c>
      <c r="F238" s="48" t="str">
        <f>IF(A238="","",SUMIFS(Sales!$H:$H,Sales!$F:$F,A238,Sales!$B:$B,"Return"))</f>
        <v/>
      </c>
      <c r="G238" s="48" t="str">
        <f>IF($A238="","",SUMIF('Shop Ledger'!$C:$C,$A238,'Shop Ledger'!$F:$F))</f>
        <v/>
      </c>
      <c r="H238" s="48" t="str">
        <f t="shared" si="1"/>
        <v/>
      </c>
      <c r="I238" s="44" t="str">
        <f>IF(A238="","",IFERROR(SUMIF(Purchases!$D:$D,A238,Purchases!$I:$I)/D238,0))</f>
        <v/>
      </c>
      <c r="J238" s="44" t="str">
        <f t="shared" si="2"/>
        <v/>
      </c>
      <c r="K238" s="30" t="str">
        <f>IF($A238="","",IFERROR(VALUE(SUBSTITUTE(SUBSTITUTE(SUBSTITUTE(VLOOKUP($A238,Inventory!$O$5:$P$604,2,FALSE),"Tk","")," ",""),",","")),""))</f>
        <v/>
      </c>
      <c r="L238" s="58" t="str">
        <f t="shared" si="3"/>
        <v/>
      </c>
      <c r="M238" s="58" t="str">
        <f t="shared" si="4"/>
        <v/>
      </c>
      <c r="O238" s="59" t="str">
        <f t="shared" si="5"/>
        <v/>
      </c>
      <c r="P238" s="52"/>
    </row>
    <row r="239" ht="14.25" customHeight="1">
      <c r="A239" s="29" t="str">
        <f t="array" ref="A239">IFERROR(INDEX(Purchases!$D$5:$D$1004,MATCH(ROW()-4,Purchases!$L$5:$L$1004,0)),"")</f>
        <v/>
      </c>
      <c r="B239" s="48" t="str">
        <f>IFERROR(VLOOKUP(A239,Purchases!$D:$E,2,FALSE),"")</f>
        <v/>
      </c>
      <c r="C239" s="48" t="str">
        <f>IFERROR(VLOOKUP(A239,Purchases!$D:$F,3,FALSE),"")</f>
        <v/>
      </c>
      <c r="D239" s="48" t="str">
        <f>IF(A239="","",SUMIF(Purchases!$D:$D,A239,Purchases!$K:$K))</f>
        <v/>
      </c>
      <c r="E239" s="48" t="str">
        <f>IF(A239="","",SUMIFS(Sales!$H:$H,Sales!$F:$F,A239,Sales!$B:$B,"&lt;&gt;Return"))</f>
        <v/>
      </c>
      <c r="F239" s="48" t="str">
        <f>IF(A239="","",SUMIFS(Sales!$H:$H,Sales!$F:$F,A239,Sales!$B:$B,"Return"))</f>
        <v/>
      </c>
      <c r="G239" s="48" t="str">
        <f>IF($A239="","",SUMIF('Shop Ledger'!$C:$C,$A239,'Shop Ledger'!$F:$F))</f>
        <v/>
      </c>
      <c r="H239" s="48" t="str">
        <f t="shared" si="1"/>
        <v/>
      </c>
      <c r="I239" s="44" t="str">
        <f>IF(A239="","",IFERROR(SUMIF(Purchases!$D:$D,A239,Purchases!$I:$I)/D239,0))</f>
        <v/>
      </c>
      <c r="J239" s="44" t="str">
        <f t="shared" si="2"/>
        <v/>
      </c>
      <c r="K239" s="30" t="str">
        <f>IF($A239="","",IFERROR(VALUE(SUBSTITUTE(SUBSTITUTE(SUBSTITUTE(VLOOKUP($A239,Inventory!$O$5:$P$604,2,FALSE),"Tk","")," ",""),",","")),""))</f>
        <v/>
      </c>
      <c r="L239" s="58" t="str">
        <f t="shared" si="3"/>
        <v/>
      </c>
      <c r="M239" s="58" t="str">
        <f t="shared" si="4"/>
        <v/>
      </c>
      <c r="O239" s="59" t="str">
        <f t="shared" si="5"/>
        <v/>
      </c>
      <c r="P239" s="52"/>
    </row>
    <row r="240" ht="14.25" customHeight="1">
      <c r="A240" s="29" t="str">
        <f t="array" ref="A240">IFERROR(INDEX(Purchases!$D$5:$D$1004,MATCH(ROW()-4,Purchases!$L$5:$L$1004,0)),"")</f>
        <v/>
      </c>
      <c r="B240" s="48" t="str">
        <f>IFERROR(VLOOKUP(A240,Purchases!$D:$E,2,FALSE),"")</f>
        <v/>
      </c>
      <c r="C240" s="48" t="str">
        <f>IFERROR(VLOOKUP(A240,Purchases!$D:$F,3,FALSE),"")</f>
        <v/>
      </c>
      <c r="D240" s="48" t="str">
        <f>IF(A240="","",SUMIF(Purchases!$D:$D,A240,Purchases!$K:$K))</f>
        <v/>
      </c>
      <c r="E240" s="48" t="str">
        <f>IF(A240="","",SUMIFS(Sales!$H:$H,Sales!$F:$F,A240,Sales!$B:$B,"&lt;&gt;Return"))</f>
        <v/>
      </c>
      <c r="F240" s="48" t="str">
        <f>IF(A240="","",SUMIFS(Sales!$H:$H,Sales!$F:$F,A240,Sales!$B:$B,"Return"))</f>
        <v/>
      </c>
      <c r="G240" s="48" t="str">
        <f>IF($A240="","",SUMIF('Shop Ledger'!$C:$C,$A240,'Shop Ledger'!$F:$F))</f>
        <v/>
      </c>
      <c r="H240" s="48" t="str">
        <f t="shared" si="1"/>
        <v/>
      </c>
      <c r="I240" s="44" t="str">
        <f>IF(A240="","",IFERROR(SUMIF(Purchases!$D:$D,A240,Purchases!$I:$I)/D240,0))</f>
        <v/>
      </c>
      <c r="J240" s="44" t="str">
        <f t="shared" si="2"/>
        <v/>
      </c>
      <c r="K240" s="30" t="str">
        <f>IF($A240="","",IFERROR(VALUE(SUBSTITUTE(SUBSTITUTE(SUBSTITUTE(VLOOKUP($A240,Inventory!$O$5:$P$604,2,FALSE),"Tk","")," ",""),",","")),""))</f>
        <v/>
      </c>
      <c r="L240" s="58" t="str">
        <f t="shared" si="3"/>
        <v/>
      </c>
      <c r="M240" s="58" t="str">
        <f t="shared" si="4"/>
        <v/>
      </c>
      <c r="O240" s="59" t="str">
        <f t="shared" si="5"/>
        <v/>
      </c>
      <c r="P240" s="52"/>
    </row>
    <row r="241" ht="14.25" customHeight="1">
      <c r="A241" s="29" t="str">
        <f t="array" ref="A241">IFERROR(INDEX(Purchases!$D$5:$D$1004,MATCH(ROW()-4,Purchases!$L$5:$L$1004,0)),"")</f>
        <v/>
      </c>
      <c r="B241" s="48" t="str">
        <f>IFERROR(VLOOKUP(A241,Purchases!$D:$E,2,FALSE),"")</f>
        <v/>
      </c>
      <c r="C241" s="48" t="str">
        <f>IFERROR(VLOOKUP(A241,Purchases!$D:$F,3,FALSE),"")</f>
        <v/>
      </c>
      <c r="D241" s="48" t="str">
        <f>IF(A241="","",SUMIF(Purchases!$D:$D,A241,Purchases!$K:$K))</f>
        <v/>
      </c>
      <c r="E241" s="48" t="str">
        <f>IF(A241="","",SUMIFS(Sales!$H:$H,Sales!$F:$F,A241,Sales!$B:$B,"&lt;&gt;Return"))</f>
        <v/>
      </c>
      <c r="F241" s="48" t="str">
        <f>IF(A241="","",SUMIFS(Sales!$H:$H,Sales!$F:$F,A241,Sales!$B:$B,"Return"))</f>
        <v/>
      </c>
      <c r="G241" s="48" t="str">
        <f>IF($A241="","",SUMIF('Shop Ledger'!$C:$C,$A241,'Shop Ledger'!$F:$F))</f>
        <v/>
      </c>
      <c r="H241" s="48" t="str">
        <f t="shared" si="1"/>
        <v/>
      </c>
      <c r="I241" s="44" t="str">
        <f>IF(A241="","",IFERROR(SUMIF(Purchases!$D:$D,A241,Purchases!$I:$I)/D241,0))</f>
        <v/>
      </c>
      <c r="J241" s="44" t="str">
        <f t="shared" si="2"/>
        <v/>
      </c>
      <c r="K241" s="30" t="str">
        <f>IF($A241="","",IFERROR(VALUE(SUBSTITUTE(SUBSTITUTE(SUBSTITUTE(VLOOKUP($A241,Inventory!$O$5:$P$604,2,FALSE),"Tk","")," ",""),",","")),""))</f>
        <v/>
      </c>
      <c r="L241" s="58" t="str">
        <f t="shared" si="3"/>
        <v/>
      </c>
      <c r="M241" s="58" t="str">
        <f t="shared" si="4"/>
        <v/>
      </c>
      <c r="O241" s="59" t="str">
        <f t="shared" si="5"/>
        <v/>
      </c>
      <c r="P241" s="52"/>
    </row>
    <row r="242" ht="14.25" customHeight="1">
      <c r="A242" s="29" t="str">
        <f t="array" ref="A242">IFERROR(INDEX(Purchases!$D$5:$D$1004,MATCH(ROW()-4,Purchases!$L$5:$L$1004,0)),"")</f>
        <v/>
      </c>
      <c r="B242" s="48" t="str">
        <f>IFERROR(VLOOKUP(A242,Purchases!$D:$E,2,FALSE),"")</f>
        <v/>
      </c>
      <c r="C242" s="48" t="str">
        <f>IFERROR(VLOOKUP(A242,Purchases!$D:$F,3,FALSE),"")</f>
        <v/>
      </c>
      <c r="D242" s="48" t="str">
        <f>IF(A242="","",SUMIF(Purchases!$D:$D,A242,Purchases!$K:$K))</f>
        <v/>
      </c>
      <c r="E242" s="48" t="str">
        <f>IF(A242="","",SUMIFS(Sales!$H:$H,Sales!$F:$F,A242,Sales!$B:$B,"&lt;&gt;Return"))</f>
        <v/>
      </c>
      <c r="F242" s="48" t="str">
        <f>IF(A242="","",SUMIFS(Sales!$H:$H,Sales!$F:$F,A242,Sales!$B:$B,"Return"))</f>
        <v/>
      </c>
      <c r="G242" s="48" t="str">
        <f>IF($A242="","",SUMIF('Shop Ledger'!$C:$C,$A242,'Shop Ledger'!$F:$F))</f>
        <v/>
      </c>
      <c r="H242" s="48" t="str">
        <f t="shared" si="1"/>
        <v/>
      </c>
      <c r="I242" s="44" t="str">
        <f>IF(A242="","",IFERROR(SUMIF(Purchases!$D:$D,A242,Purchases!$I:$I)/D242,0))</f>
        <v/>
      </c>
      <c r="J242" s="44" t="str">
        <f t="shared" si="2"/>
        <v/>
      </c>
      <c r="K242" s="30" t="str">
        <f>IF($A242="","",IFERROR(VALUE(SUBSTITUTE(SUBSTITUTE(SUBSTITUTE(VLOOKUP($A242,Inventory!$O$5:$P$604,2,FALSE),"Tk","")," ",""),",","")),""))</f>
        <v/>
      </c>
      <c r="L242" s="58" t="str">
        <f t="shared" si="3"/>
        <v/>
      </c>
      <c r="M242" s="58" t="str">
        <f t="shared" si="4"/>
        <v/>
      </c>
      <c r="O242" s="59" t="str">
        <f t="shared" si="5"/>
        <v/>
      </c>
      <c r="P242" s="52"/>
    </row>
    <row r="243" ht="14.25" customHeight="1">
      <c r="A243" s="29" t="str">
        <f t="array" ref="A243">IFERROR(INDEX(Purchases!$D$5:$D$1004,MATCH(ROW()-4,Purchases!$L$5:$L$1004,0)),"")</f>
        <v/>
      </c>
      <c r="B243" s="48" t="str">
        <f>IFERROR(VLOOKUP(A243,Purchases!$D:$E,2,FALSE),"")</f>
        <v/>
      </c>
      <c r="C243" s="48" t="str">
        <f>IFERROR(VLOOKUP(A243,Purchases!$D:$F,3,FALSE),"")</f>
        <v/>
      </c>
      <c r="D243" s="48" t="str">
        <f>IF(A243="","",SUMIF(Purchases!$D:$D,A243,Purchases!$K:$K))</f>
        <v/>
      </c>
      <c r="E243" s="48" t="str">
        <f>IF(A243="","",SUMIFS(Sales!$H:$H,Sales!$F:$F,A243,Sales!$B:$B,"&lt;&gt;Return"))</f>
        <v/>
      </c>
      <c r="F243" s="48" t="str">
        <f>IF(A243="","",SUMIFS(Sales!$H:$H,Sales!$F:$F,A243,Sales!$B:$B,"Return"))</f>
        <v/>
      </c>
      <c r="G243" s="48" t="str">
        <f>IF($A243="","",SUMIF('Shop Ledger'!$C:$C,$A243,'Shop Ledger'!$F:$F))</f>
        <v/>
      </c>
      <c r="H243" s="48" t="str">
        <f t="shared" si="1"/>
        <v/>
      </c>
      <c r="I243" s="44" t="str">
        <f>IF(A243="","",IFERROR(SUMIF(Purchases!$D:$D,A243,Purchases!$I:$I)/D243,0))</f>
        <v/>
      </c>
      <c r="J243" s="44" t="str">
        <f t="shared" si="2"/>
        <v/>
      </c>
      <c r="K243" s="30" t="str">
        <f>IF($A243="","",IFERROR(VALUE(SUBSTITUTE(SUBSTITUTE(SUBSTITUTE(VLOOKUP($A243,Inventory!$O$5:$P$604,2,FALSE),"Tk","")," ",""),",","")),""))</f>
        <v/>
      </c>
      <c r="L243" s="58" t="str">
        <f t="shared" si="3"/>
        <v/>
      </c>
      <c r="M243" s="58" t="str">
        <f t="shared" si="4"/>
        <v/>
      </c>
      <c r="O243" s="59" t="str">
        <f t="shared" si="5"/>
        <v/>
      </c>
      <c r="P243" s="52"/>
    </row>
    <row r="244" ht="14.25" customHeight="1">
      <c r="A244" s="29" t="str">
        <f t="array" ref="A244">IFERROR(INDEX(Purchases!$D$5:$D$1004,MATCH(ROW()-4,Purchases!$L$5:$L$1004,0)),"")</f>
        <v/>
      </c>
      <c r="B244" s="48" t="str">
        <f>IFERROR(VLOOKUP(A244,Purchases!$D:$E,2,FALSE),"")</f>
        <v/>
      </c>
      <c r="C244" s="48" t="str">
        <f>IFERROR(VLOOKUP(A244,Purchases!$D:$F,3,FALSE),"")</f>
        <v/>
      </c>
      <c r="D244" s="48" t="str">
        <f>IF(A244="","",SUMIF(Purchases!$D:$D,A244,Purchases!$K:$K))</f>
        <v/>
      </c>
      <c r="E244" s="48" t="str">
        <f>IF(A244="","",SUMIFS(Sales!$H:$H,Sales!$F:$F,A244,Sales!$B:$B,"&lt;&gt;Return"))</f>
        <v/>
      </c>
      <c r="F244" s="48" t="str">
        <f>IF(A244="","",SUMIFS(Sales!$H:$H,Sales!$F:$F,A244,Sales!$B:$B,"Return"))</f>
        <v/>
      </c>
      <c r="G244" s="48" t="str">
        <f>IF($A244="","",SUMIF('Shop Ledger'!$C:$C,$A244,'Shop Ledger'!$F:$F))</f>
        <v/>
      </c>
      <c r="H244" s="48" t="str">
        <f t="shared" si="1"/>
        <v/>
      </c>
      <c r="I244" s="44" t="str">
        <f>IF(A244="","",IFERROR(SUMIF(Purchases!$D:$D,A244,Purchases!$I:$I)/D244,0))</f>
        <v/>
      </c>
      <c r="J244" s="44" t="str">
        <f t="shared" si="2"/>
        <v/>
      </c>
      <c r="K244" s="30" t="str">
        <f>IF($A244="","",IFERROR(VALUE(SUBSTITUTE(SUBSTITUTE(SUBSTITUTE(VLOOKUP($A244,Inventory!$O$5:$P$604,2,FALSE),"Tk","")," ",""),",","")),""))</f>
        <v/>
      </c>
      <c r="L244" s="58" t="str">
        <f t="shared" si="3"/>
        <v/>
      </c>
      <c r="M244" s="58" t="str">
        <f t="shared" si="4"/>
        <v/>
      </c>
      <c r="O244" s="59" t="str">
        <f t="shared" si="5"/>
        <v/>
      </c>
      <c r="P244" s="52"/>
    </row>
    <row r="245" ht="14.25" customHeight="1">
      <c r="A245" s="29" t="str">
        <f t="array" ref="A245">IFERROR(INDEX(Purchases!$D$5:$D$1004,MATCH(ROW()-4,Purchases!$L$5:$L$1004,0)),"")</f>
        <v/>
      </c>
      <c r="B245" s="48" t="str">
        <f>IFERROR(VLOOKUP(A245,Purchases!$D:$E,2,FALSE),"")</f>
        <v/>
      </c>
      <c r="C245" s="48" t="str">
        <f>IFERROR(VLOOKUP(A245,Purchases!$D:$F,3,FALSE),"")</f>
        <v/>
      </c>
      <c r="D245" s="48" t="str">
        <f>IF(A245="","",SUMIF(Purchases!$D:$D,A245,Purchases!$K:$K))</f>
        <v/>
      </c>
      <c r="E245" s="48" t="str">
        <f>IF(A245="","",SUMIFS(Sales!$H:$H,Sales!$F:$F,A245,Sales!$B:$B,"&lt;&gt;Return"))</f>
        <v/>
      </c>
      <c r="F245" s="48" t="str">
        <f>IF(A245="","",SUMIFS(Sales!$H:$H,Sales!$F:$F,A245,Sales!$B:$B,"Return"))</f>
        <v/>
      </c>
      <c r="G245" s="48" t="str">
        <f>IF($A245="","",SUMIF('Shop Ledger'!$C:$C,$A245,'Shop Ledger'!$F:$F))</f>
        <v/>
      </c>
      <c r="H245" s="48" t="str">
        <f t="shared" si="1"/>
        <v/>
      </c>
      <c r="I245" s="44" t="str">
        <f>IF(A245="","",IFERROR(SUMIF(Purchases!$D:$D,A245,Purchases!$I:$I)/D245,0))</f>
        <v/>
      </c>
      <c r="J245" s="44" t="str">
        <f t="shared" si="2"/>
        <v/>
      </c>
      <c r="K245" s="30" t="str">
        <f>IF($A245="","",IFERROR(VALUE(SUBSTITUTE(SUBSTITUTE(SUBSTITUTE(VLOOKUP($A245,Inventory!$O$5:$P$604,2,FALSE),"Tk","")," ",""),",","")),""))</f>
        <v/>
      </c>
      <c r="L245" s="58" t="str">
        <f t="shared" si="3"/>
        <v/>
      </c>
      <c r="M245" s="58" t="str">
        <f t="shared" si="4"/>
        <v/>
      </c>
      <c r="O245" s="59" t="str">
        <f t="shared" si="5"/>
        <v/>
      </c>
      <c r="P245" s="52"/>
    </row>
    <row r="246" ht="14.25" customHeight="1">
      <c r="A246" s="29" t="str">
        <f t="array" ref="A246">IFERROR(INDEX(Purchases!$D$5:$D$1004,MATCH(ROW()-4,Purchases!$L$5:$L$1004,0)),"")</f>
        <v/>
      </c>
      <c r="B246" s="48" t="str">
        <f>IFERROR(VLOOKUP(A246,Purchases!$D:$E,2,FALSE),"")</f>
        <v/>
      </c>
      <c r="C246" s="48" t="str">
        <f>IFERROR(VLOOKUP(A246,Purchases!$D:$F,3,FALSE),"")</f>
        <v/>
      </c>
      <c r="D246" s="48" t="str">
        <f>IF(A246="","",SUMIF(Purchases!$D:$D,A246,Purchases!$K:$K))</f>
        <v/>
      </c>
      <c r="E246" s="48" t="str">
        <f>IF(A246="","",SUMIFS(Sales!$H:$H,Sales!$F:$F,A246,Sales!$B:$B,"&lt;&gt;Return"))</f>
        <v/>
      </c>
      <c r="F246" s="48" t="str">
        <f>IF(A246="","",SUMIFS(Sales!$H:$H,Sales!$F:$F,A246,Sales!$B:$B,"Return"))</f>
        <v/>
      </c>
      <c r="G246" s="48" t="str">
        <f>IF($A246="","",SUMIF('Shop Ledger'!$C:$C,$A246,'Shop Ledger'!$F:$F))</f>
        <v/>
      </c>
      <c r="H246" s="48" t="str">
        <f t="shared" si="1"/>
        <v/>
      </c>
      <c r="I246" s="44" t="str">
        <f>IF(A246="","",IFERROR(SUMIF(Purchases!$D:$D,A246,Purchases!$I:$I)/D246,0))</f>
        <v/>
      </c>
      <c r="J246" s="44" t="str">
        <f t="shared" si="2"/>
        <v/>
      </c>
      <c r="K246" s="30" t="str">
        <f>IF($A246="","",IFERROR(VALUE(SUBSTITUTE(SUBSTITUTE(SUBSTITUTE(VLOOKUP($A246,Inventory!$O$5:$P$604,2,FALSE),"Tk","")," ",""),",","")),""))</f>
        <v/>
      </c>
      <c r="L246" s="58" t="str">
        <f t="shared" si="3"/>
        <v/>
      </c>
      <c r="M246" s="58" t="str">
        <f t="shared" si="4"/>
        <v/>
      </c>
      <c r="O246" s="59" t="str">
        <f t="shared" si="5"/>
        <v/>
      </c>
      <c r="P246" s="52"/>
    </row>
    <row r="247" ht="14.25" customHeight="1">
      <c r="A247" s="29" t="str">
        <f t="array" ref="A247">IFERROR(INDEX(Purchases!$D$5:$D$1004,MATCH(ROW()-4,Purchases!$L$5:$L$1004,0)),"")</f>
        <v/>
      </c>
      <c r="B247" s="48" t="str">
        <f>IFERROR(VLOOKUP(A247,Purchases!$D:$E,2,FALSE),"")</f>
        <v/>
      </c>
      <c r="C247" s="48" t="str">
        <f>IFERROR(VLOOKUP(A247,Purchases!$D:$F,3,FALSE),"")</f>
        <v/>
      </c>
      <c r="D247" s="48" t="str">
        <f>IF(A247="","",SUMIF(Purchases!$D:$D,A247,Purchases!$K:$K))</f>
        <v/>
      </c>
      <c r="E247" s="48" t="str">
        <f>IF(A247="","",SUMIFS(Sales!$H:$H,Sales!$F:$F,A247,Sales!$B:$B,"&lt;&gt;Return"))</f>
        <v/>
      </c>
      <c r="F247" s="48" t="str">
        <f>IF(A247="","",SUMIFS(Sales!$H:$H,Sales!$F:$F,A247,Sales!$B:$B,"Return"))</f>
        <v/>
      </c>
      <c r="G247" s="48" t="str">
        <f>IF($A247="","",SUMIF('Shop Ledger'!$C:$C,$A247,'Shop Ledger'!$F:$F))</f>
        <v/>
      </c>
      <c r="H247" s="48" t="str">
        <f t="shared" si="1"/>
        <v/>
      </c>
      <c r="I247" s="44" t="str">
        <f>IF(A247="","",IFERROR(SUMIF(Purchases!$D:$D,A247,Purchases!$I:$I)/D247,0))</f>
        <v/>
      </c>
      <c r="J247" s="44" t="str">
        <f t="shared" si="2"/>
        <v/>
      </c>
      <c r="K247" s="30" t="str">
        <f>IF($A247="","",IFERROR(VALUE(SUBSTITUTE(SUBSTITUTE(SUBSTITUTE(VLOOKUP($A247,Inventory!$O$5:$P$604,2,FALSE),"Tk","")," ",""),",","")),""))</f>
        <v/>
      </c>
      <c r="L247" s="58" t="str">
        <f t="shared" si="3"/>
        <v/>
      </c>
      <c r="M247" s="58" t="str">
        <f t="shared" si="4"/>
        <v/>
      </c>
      <c r="O247" s="59" t="str">
        <f t="shared" si="5"/>
        <v/>
      </c>
      <c r="P247" s="52"/>
    </row>
    <row r="248" ht="14.25" customHeight="1">
      <c r="A248" s="29" t="str">
        <f t="array" ref="A248">IFERROR(INDEX(Purchases!$D$5:$D$1004,MATCH(ROW()-4,Purchases!$L$5:$L$1004,0)),"")</f>
        <v/>
      </c>
      <c r="B248" s="48" t="str">
        <f>IFERROR(VLOOKUP(A248,Purchases!$D:$E,2,FALSE),"")</f>
        <v/>
      </c>
      <c r="C248" s="48" t="str">
        <f>IFERROR(VLOOKUP(A248,Purchases!$D:$F,3,FALSE),"")</f>
        <v/>
      </c>
      <c r="D248" s="48" t="str">
        <f>IF(A248="","",SUMIF(Purchases!$D:$D,A248,Purchases!$K:$K))</f>
        <v/>
      </c>
      <c r="E248" s="48" t="str">
        <f>IF(A248="","",SUMIFS(Sales!$H:$H,Sales!$F:$F,A248,Sales!$B:$B,"&lt;&gt;Return"))</f>
        <v/>
      </c>
      <c r="F248" s="48" t="str">
        <f>IF(A248="","",SUMIFS(Sales!$H:$H,Sales!$F:$F,A248,Sales!$B:$B,"Return"))</f>
        <v/>
      </c>
      <c r="G248" s="48" t="str">
        <f>IF($A248="","",SUMIF('Shop Ledger'!$C:$C,$A248,'Shop Ledger'!$F:$F))</f>
        <v/>
      </c>
      <c r="H248" s="48" t="str">
        <f t="shared" si="1"/>
        <v/>
      </c>
      <c r="I248" s="44" t="str">
        <f>IF(A248="","",IFERROR(SUMIF(Purchases!$D:$D,A248,Purchases!$I:$I)/D248,0))</f>
        <v/>
      </c>
      <c r="J248" s="44" t="str">
        <f t="shared" si="2"/>
        <v/>
      </c>
      <c r="K248" s="30" t="str">
        <f>IF($A248="","",IFERROR(VALUE(SUBSTITUTE(SUBSTITUTE(SUBSTITUTE(VLOOKUP($A248,Inventory!$O$5:$P$604,2,FALSE),"Tk","")," ",""),",","")),""))</f>
        <v/>
      </c>
      <c r="L248" s="58" t="str">
        <f t="shared" si="3"/>
        <v/>
      </c>
      <c r="M248" s="58" t="str">
        <f t="shared" si="4"/>
        <v/>
      </c>
      <c r="O248" s="59" t="str">
        <f t="shared" si="5"/>
        <v/>
      </c>
      <c r="P248" s="52"/>
    </row>
    <row r="249" ht="14.25" customHeight="1">
      <c r="A249" s="29" t="str">
        <f t="array" ref="A249">IFERROR(INDEX(Purchases!$D$5:$D$1004,MATCH(ROW()-4,Purchases!$L$5:$L$1004,0)),"")</f>
        <v/>
      </c>
      <c r="B249" s="48" t="str">
        <f>IFERROR(VLOOKUP(A249,Purchases!$D:$E,2,FALSE),"")</f>
        <v/>
      </c>
      <c r="C249" s="48" t="str">
        <f>IFERROR(VLOOKUP(A249,Purchases!$D:$F,3,FALSE),"")</f>
        <v/>
      </c>
      <c r="D249" s="48" t="str">
        <f>IF(A249="","",SUMIF(Purchases!$D:$D,A249,Purchases!$K:$K))</f>
        <v/>
      </c>
      <c r="E249" s="48" t="str">
        <f>IF(A249="","",SUMIFS(Sales!$H:$H,Sales!$F:$F,A249,Sales!$B:$B,"&lt;&gt;Return"))</f>
        <v/>
      </c>
      <c r="F249" s="48" t="str">
        <f>IF(A249="","",SUMIFS(Sales!$H:$H,Sales!$F:$F,A249,Sales!$B:$B,"Return"))</f>
        <v/>
      </c>
      <c r="G249" s="48" t="str">
        <f>IF($A249="","",SUMIF('Shop Ledger'!$C:$C,$A249,'Shop Ledger'!$F:$F))</f>
        <v/>
      </c>
      <c r="H249" s="48" t="str">
        <f t="shared" si="1"/>
        <v/>
      </c>
      <c r="I249" s="44" t="str">
        <f>IF(A249="","",IFERROR(SUMIF(Purchases!$D:$D,A249,Purchases!$I:$I)/D249,0))</f>
        <v/>
      </c>
      <c r="J249" s="44" t="str">
        <f t="shared" si="2"/>
        <v/>
      </c>
      <c r="K249" s="30" t="str">
        <f>IF($A249="","",IFERROR(VALUE(SUBSTITUTE(SUBSTITUTE(SUBSTITUTE(VLOOKUP($A249,Inventory!$O$5:$P$604,2,FALSE),"Tk","")," ",""),",","")),""))</f>
        <v/>
      </c>
      <c r="L249" s="58" t="str">
        <f t="shared" si="3"/>
        <v/>
      </c>
      <c r="M249" s="58" t="str">
        <f t="shared" si="4"/>
        <v/>
      </c>
      <c r="O249" s="59" t="str">
        <f t="shared" si="5"/>
        <v/>
      </c>
      <c r="P249" s="52"/>
    </row>
    <row r="250" ht="14.25" customHeight="1">
      <c r="A250" s="29" t="str">
        <f t="array" ref="A250">IFERROR(INDEX(Purchases!$D$5:$D$1004,MATCH(ROW()-4,Purchases!$L$5:$L$1004,0)),"")</f>
        <v/>
      </c>
      <c r="B250" s="48" t="str">
        <f>IFERROR(VLOOKUP(A250,Purchases!$D:$E,2,FALSE),"")</f>
        <v/>
      </c>
      <c r="C250" s="48" t="str">
        <f>IFERROR(VLOOKUP(A250,Purchases!$D:$F,3,FALSE),"")</f>
        <v/>
      </c>
      <c r="D250" s="48" t="str">
        <f>IF(A250="","",SUMIF(Purchases!$D:$D,A250,Purchases!$K:$K))</f>
        <v/>
      </c>
      <c r="E250" s="48" t="str">
        <f>IF(A250="","",SUMIFS(Sales!$H:$H,Sales!$F:$F,A250,Sales!$B:$B,"&lt;&gt;Return"))</f>
        <v/>
      </c>
      <c r="F250" s="48" t="str">
        <f>IF(A250="","",SUMIFS(Sales!$H:$H,Sales!$F:$F,A250,Sales!$B:$B,"Return"))</f>
        <v/>
      </c>
      <c r="G250" s="48" t="str">
        <f>IF($A250="","",SUMIF('Shop Ledger'!$C:$C,$A250,'Shop Ledger'!$F:$F))</f>
        <v/>
      </c>
      <c r="H250" s="48" t="str">
        <f t="shared" si="1"/>
        <v/>
      </c>
      <c r="I250" s="44" t="str">
        <f>IF(A250="","",IFERROR(SUMIF(Purchases!$D:$D,A250,Purchases!$I:$I)/D250,0))</f>
        <v/>
      </c>
      <c r="J250" s="44" t="str">
        <f t="shared" si="2"/>
        <v/>
      </c>
      <c r="K250" s="30" t="str">
        <f>IF($A250="","",IFERROR(VALUE(SUBSTITUTE(SUBSTITUTE(SUBSTITUTE(VLOOKUP($A250,Inventory!$O$5:$P$604,2,FALSE),"Tk","")," ",""),",","")),""))</f>
        <v/>
      </c>
      <c r="L250" s="58" t="str">
        <f t="shared" si="3"/>
        <v/>
      </c>
      <c r="M250" s="58" t="str">
        <f t="shared" si="4"/>
        <v/>
      </c>
      <c r="O250" s="59" t="str">
        <f t="shared" si="5"/>
        <v/>
      </c>
      <c r="P250" s="52"/>
    </row>
    <row r="251" ht="14.25" customHeight="1">
      <c r="A251" s="29" t="str">
        <f t="array" ref="A251">IFERROR(INDEX(Purchases!$D$5:$D$1004,MATCH(ROW()-4,Purchases!$L$5:$L$1004,0)),"")</f>
        <v/>
      </c>
      <c r="B251" s="48" t="str">
        <f>IFERROR(VLOOKUP(A251,Purchases!$D:$E,2,FALSE),"")</f>
        <v/>
      </c>
      <c r="C251" s="48" t="str">
        <f>IFERROR(VLOOKUP(A251,Purchases!$D:$F,3,FALSE),"")</f>
        <v/>
      </c>
      <c r="D251" s="48" t="str">
        <f>IF(A251="","",SUMIF(Purchases!$D:$D,A251,Purchases!$K:$K))</f>
        <v/>
      </c>
      <c r="E251" s="48" t="str">
        <f>IF(A251="","",SUMIFS(Sales!$H:$H,Sales!$F:$F,A251,Sales!$B:$B,"&lt;&gt;Return"))</f>
        <v/>
      </c>
      <c r="F251" s="48" t="str">
        <f>IF(A251="","",SUMIFS(Sales!$H:$H,Sales!$F:$F,A251,Sales!$B:$B,"Return"))</f>
        <v/>
      </c>
      <c r="G251" s="48" t="str">
        <f>IF($A251="","",SUMIF('Shop Ledger'!$C:$C,$A251,'Shop Ledger'!$F:$F))</f>
        <v/>
      </c>
      <c r="H251" s="48" t="str">
        <f t="shared" si="1"/>
        <v/>
      </c>
      <c r="I251" s="44" t="str">
        <f>IF(A251="","",IFERROR(SUMIF(Purchases!$D:$D,A251,Purchases!$I:$I)/D251,0))</f>
        <v/>
      </c>
      <c r="J251" s="44" t="str">
        <f t="shared" si="2"/>
        <v/>
      </c>
      <c r="K251" s="30" t="str">
        <f>IF($A251="","",IFERROR(VALUE(SUBSTITUTE(SUBSTITUTE(SUBSTITUTE(VLOOKUP($A251,Inventory!$O$5:$P$604,2,FALSE),"Tk","")," ",""),",","")),""))</f>
        <v/>
      </c>
      <c r="L251" s="58" t="str">
        <f t="shared" si="3"/>
        <v/>
      </c>
      <c r="M251" s="58" t="str">
        <f t="shared" si="4"/>
        <v/>
      </c>
      <c r="O251" s="59" t="str">
        <f t="shared" si="5"/>
        <v/>
      </c>
      <c r="P251" s="52"/>
    </row>
    <row r="252" ht="14.25" customHeight="1">
      <c r="A252" s="29" t="str">
        <f t="array" ref="A252">IFERROR(INDEX(Purchases!$D$5:$D$1004,MATCH(ROW()-4,Purchases!$L$5:$L$1004,0)),"")</f>
        <v/>
      </c>
      <c r="B252" s="48" t="str">
        <f>IFERROR(VLOOKUP(A252,Purchases!$D:$E,2,FALSE),"")</f>
        <v/>
      </c>
      <c r="C252" s="48" t="str">
        <f>IFERROR(VLOOKUP(A252,Purchases!$D:$F,3,FALSE),"")</f>
        <v/>
      </c>
      <c r="D252" s="48" t="str">
        <f>IF(A252="","",SUMIF(Purchases!$D:$D,A252,Purchases!$K:$K))</f>
        <v/>
      </c>
      <c r="E252" s="48" t="str">
        <f>IF(A252="","",SUMIFS(Sales!$H:$H,Sales!$F:$F,A252,Sales!$B:$B,"&lt;&gt;Return"))</f>
        <v/>
      </c>
      <c r="F252" s="48" t="str">
        <f>IF(A252="","",SUMIFS(Sales!$H:$H,Sales!$F:$F,A252,Sales!$B:$B,"Return"))</f>
        <v/>
      </c>
      <c r="G252" s="48" t="str">
        <f>IF($A252="","",SUMIF('Shop Ledger'!$C:$C,$A252,'Shop Ledger'!$F:$F))</f>
        <v/>
      </c>
      <c r="H252" s="48" t="str">
        <f t="shared" si="1"/>
        <v/>
      </c>
      <c r="I252" s="44" t="str">
        <f>IF(A252="","",IFERROR(SUMIF(Purchases!$D:$D,A252,Purchases!$I:$I)/D252,0))</f>
        <v/>
      </c>
      <c r="J252" s="44" t="str">
        <f t="shared" si="2"/>
        <v/>
      </c>
      <c r="K252" s="30" t="str">
        <f>IF($A252="","",IFERROR(VALUE(SUBSTITUTE(SUBSTITUTE(SUBSTITUTE(VLOOKUP($A252,Inventory!$O$5:$P$604,2,FALSE),"Tk","")," ",""),",","")),""))</f>
        <v/>
      </c>
      <c r="L252" s="58" t="str">
        <f t="shared" si="3"/>
        <v/>
      </c>
      <c r="M252" s="58" t="str">
        <f t="shared" si="4"/>
        <v/>
      </c>
      <c r="O252" s="59" t="str">
        <f t="shared" si="5"/>
        <v/>
      </c>
      <c r="P252" s="52"/>
    </row>
    <row r="253" ht="14.25" customHeight="1">
      <c r="A253" s="29" t="str">
        <f t="array" ref="A253">IFERROR(INDEX(Purchases!$D$5:$D$1004,MATCH(ROW()-4,Purchases!$L$5:$L$1004,0)),"")</f>
        <v/>
      </c>
      <c r="B253" s="48" t="str">
        <f>IFERROR(VLOOKUP(A253,Purchases!$D:$E,2,FALSE),"")</f>
        <v/>
      </c>
      <c r="C253" s="48" t="str">
        <f>IFERROR(VLOOKUP(A253,Purchases!$D:$F,3,FALSE),"")</f>
        <v/>
      </c>
      <c r="D253" s="48" t="str">
        <f>IF(A253="","",SUMIF(Purchases!$D:$D,A253,Purchases!$K:$K))</f>
        <v/>
      </c>
      <c r="E253" s="48" t="str">
        <f>IF(A253="","",SUMIFS(Sales!$H:$H,Sales!$F:$F,A253,Sales!$B:$B,"&lt;&gt;Return"))</f>
        <v/>
      </c>
      <c r="F253" s="48" t="str">
        <f>IF(A253="","",SUMIFS(Sales!$H:$H,Sales!$F:$F,A253,Sales!$B:$B,"Return"))</f>
        <v/>
      </c>
      <c r="G253" s="48" t="str">
        <f>IF($A253="","",SUMIF('Shop Ledger'!$C:$C,$A253,'Shop Ledger'!$F:$F))</f>
        <v/>
      </c>
      <c r="H253" s="48" t="str">
        <f t="shared" si="1"/>
        <v/>
      </c>
      <c r="I253" s="44" t="str">
        <f>IF(A253="","",IFERROR(SUMIF(Purchases!$D:$D,A253,Purchases!$I:$I)/D253,0))</f>
        <v/>
      </c>
      <c r="J253" s="44" t="str">
        <f t="shared" si="2"/>
        <v/>
      </c>
      <c r="K253" s="30" t="str">
        <f>IF($A253="","",IFERROR(VALUE(SUBSTITUTE(SUBSTITUTE(SUBSTITUTE(VLOOKUP($A253,Inventory!$O$5:$P$604,2,FALSE),"Tk","")," ",""),",","")),""))</f>
        <v/>
      </c>
      <c r="L253" s="58" t="str">
        <f t="shared" si="3"/>
        <v/>
      </c>
      <c r="M253" s="58" t="str">
        <f t="shared" si="4"/>
        <v/>
      </c>
      <c r="O253" s="59" t="str">
        <f t="shared" si="5"/>
        <v/>
      </c>
      <c r="P253" s="52"/>
    </row>
    <row r="254" ht="14.25" customHeight="1">
      <c r="A254" s="29" t="str">
        <f t="array" ref="A254">IFERROR(INDEX(Purchases!$D$5:$D$1004,MATCH(ROW()-4,Purchases!$L$5:$L$1004,0)),"")</f>
        <v/>
      </c>
      <c r="B254" s="48" t="str">
        <f>IFERROR(VLOOKUP(A254,Purchases!$D:$E,2,FALSE),"")</f>
        <v/>
      </c>
      <c r="C254" s="48" t="str">
        <f>IFERROR(VLOOKUP(A254,Purchases!$D:$F,3,FALSE),"")</f>
        <v/>
      </c>
      <c r="D254" s="48" t="str">
        <f>IF(A254="","",SUMIF(Purchases!$D:$D,A254,Purchases!$K:$K))</f>
        <v/>
      </c>
      <c r="E254" s="48" t="str">
        <f>IF(A254="","",SUMIFS(Sales!$H:$H,Sales!$F:$F,A254,Sales!$B:$B,"&lt;&gt;Return"))</f>
        <v/>
      </c>
      <c r="F254" s="48" t="str">
        <f>IF(A254="","",SUMIFS(Sales!$H:$H,Sales!$F:$F,A254,Sales!$B:$B,"Return"))</f>
        <v/>
      </c>
      <c r="G254" s="48" t="str">
        <f>IF($A254="","",SUMIF('Shop Ledger'!$C:$C,$A254,'Shop Ledger'!$F:$F))</f>
        <v/>
      </c>
      <c r="H254" s="48" t="str">
        <f t="shared" si="1"/>
        <v/>
      </c>
      <c r="I254" s="44" t="str">
        <f>IF(A254="","",IFERROR(SUMIF(Purchases!$D:$D,A254,Purchases!$I:$I)/D254,0))</f>
        <v/>
      </c>
      <c r="J254" s="44" t="str">
        <f t="shared" si="2"/>
        <v/>
      </c>
      <c r="K254" s="30" t="str">
        <f>IF($A254="","",IFERROR(VALUE(SUBSTITUTE(SUBSTITUTE(SUBSTITUTE(VLOOKUP($A254,Inventory!$O$5:$P$604,2,FALSE),"Tk","")," ",""),",","")),""))</f>
        <v/>
      </c>
      <c r="L254" s="58" t="str">
        <f t="shared" si="3"/>
        <v/>
      </c>
      <c r="M254" s="58" t="str">
        <f t="shared" si="4"/>
        <v/>
      </c>
      <c r="O254" s="59" t="str">
        <f t="shared" si="5"/>
        <v/>
      </c>
      <c r="P254" s="52"/>
    </row>
    <row r="255" ht="14.25" customHeight="1">
      <c r="A255" s="29" t="str">
        <f t="array" ref="A255">IFERROR(INDEX(Purchases!$D$5:$D$1004,MATCH(ROW()-4,Purchases!$L$5:$L$1004,0)),"")</f>
        <v/>
      </c>
      <c r="B255" s="48" t="str">
        <f>IFERROR(VLOOKUP(A255,Purchases!$D:$E,2,FALSE),"")</f>
        <v/>
      </c>
      <c r="C255" s="48" t="str">
        <f>IFERROR(VLOOKUP(A255,Purchases!$D:$F,3,FALSE),"")</f>
        <v/>
      </c>
      <c r="D255" s="48" t="str">
        <f>IF(A255="","",SUMIF(Purchases!$D:$D,A255,Purchases!$K:$K))</f>
        <v/>
      </c>
      <c r="E255" s="48" t="str">
        <f>IF(A255="","",SUMIFS(Sales!$H:$H,Sales!$F:$F,A255,Sales!$B:$B,"&lt;&gt;Return"))</f>
        <v/>
      </c>
      <c r="F255" s="48" t="str">
        <f>IF(A255="","",SUMIFS(Sales!$H:$H,Sales!$F:$F,A255,Sales!$B:$B,"Return"))</f>
        <v/>
      </c>
      <c r="G255" s="48" t="str">
        <f>IF($A255="","",SUMIF('Shop Ledger'!$C:$C,$A255,'Shop Ledger'!$F:$F))</f>
        <v/>
      </c>
      <c r="H255" s="48" t="str">
        <f t="shared" si="1"/>
        <v/>
      </c>
      <c r="I255" s="44" t="str">
        <f>IF(A255="","",IFERROR(SUMIF(Purchases!$D:$D,A255,Purchases!$I:$I)/D255,0))</f>
        <v/>
      </c>
      <c r="J255" s="44" t="str">
        <f t="shared" si="2"/>
        <v/>
      </c>
      <c r="K255" s="30" t="str">
        <f>IF($A255="","",IFERROR(VALUE(SUBSTITUTE(SUBSTITUTE(SUBSTITUTE(VLOOKUP($A255,Inventory!$O$5:$P$604,2,FALSE),"Tk","")," ",""),",","")),""))</f>
        <v/>
      </c>
      <c r="L255" s="58" t="str">
        <f t="shared" si="3"/>
        <v/>
      </c>
      <c r="M255" s="58" t="str">
        <f t="shared" si="4"/>
        <v/>
      </c>
      <c r="O255" s="59" t="str">
        <f t="shared" si="5"/>
        <v/>
      </c>
      <c r="P255" s="52"/>
    </row>
    <row r="256" ht="14.25" customHeight="1">
      <c r="A256" s="29" t="str">
        <f t="array" ref="A256">IFERROR(INDEX(Purchases!$D$5:$D$1004,MATCH(ROW()-4,Purchases!$L$5:$L$1004,0)),"")</f>
        <v/>
      </c>
      <c r="B256" s="48" t="str">
        <f>IFERROR(VLOOKUP(A256,Purchases!$D:$E,2,FALSE),"")</f>
        <v/>
      </c>
      <c r="C256" s="48" t="str">
        <f>IFERROR(VLOOKUP(A256,Purchases!$D:$F,3,FALSE),"")</f>
        <v/>
      </c>
      <c r="D256" s="48" t="str">
        <f>IF(A256="","",SUMIF(Purchases!$D:$D,A256,Purchases!$K:$K))</f>
        <v/>
      </c>
      <c r="E256" s="48" t="str">
        <f>IF(A256="","",SUMIFS(Sales!$H:$H,Sales!$F:$F,A256,Sales!$B:$B,"&lt;&gt;Return"))</f>
        <v/>
      </c>
      <c r="F256" s="48" t="str">
        <f>IF(A256="","",SUMIFS(Sales!$H:$H,Sales!$F:$F,A256,Sales!$B:$B,"Return"))</f>
        <v/>
      </c>
      <c r="G256" s="48" t="str">
        <f>IF($A256="","",SUMIF('Shop Ledger'!$C:$C,$A256,'Shop Ledger'!$F:$F))</f>
        <v/>
      </c>
      <c r="H256" s="48" t="str">
        <f t="shared" si="1"/>
        <v/>
      </c>
      <c r="I256" s="44" t="str">
        <f>IF(A256="","",IFERROR(SUMIF(Purchases!$D:$D,A256,Purchases!$I:$I)/D256,0))</f>
        <v/>
      </c>
      <c r="J256" s="44" t="str">
        <f t="shared" si="2"/>
        <v/>
      </c>
      <c r="K256" s="30" t="str">
        <f>IF($A256="","",IFERROR(VALUE(SUBSTITUTE(SUBSTITUTE(SUBSTITUTE(VLOOKUP($A256,Inventory!$O$5:$P$604,2,FALSE),"Tk","")," ",""),",","")),""))</f>
        <v/>
      </c>
      <c r="L256" s="58" t="str">
        <f t="shared" si="3"/>
        <v/>
      </c>
      <c r="M256" s="58" t="str">
        <f t="shared" si="4"/>
        <v/>
      </c>
      <c r="O256" s="59" t="str">
        <f t="shared" si="5"/>
        <v/>
      </c>
      <c r="P256" s="52"/>
    </row>
    <row r="257" ht="14.25" customHeight="1">
      <c r="A257" s="29" t="str">
        <f t="array" ref="A257">IFERROR(INDEX(Purchases!$D$5:$D$1004,MATCH(ROW()-4,Purchases!$L$5:$L$1004,0)),"")</f>
        <v/>
      </c>
      <c r="B257" s="48" t="str">
        <f>IFERROR(VLOOKUP(A257,Purchases!$D:$E,2,FALSE),"")</f>
        <v/>
      </c>
      <c r="C257" s="48" t="str">
        <f>IFERROR(VLOOKUP(A257,Purchases!$D:$F,3,FALSE),"")</f>
        <v/>
      </c>
      <c r="D257" s="48" t="str">
        <f>IF(A257="","",SUMIF(Purchases!$D:$D,A257,Purchases!$K:$K))</f>
        <v/>
      </c>
      <c r="E257" s="48" t="str">
        <f>IF(A257="","",SUMIFS(Sales!$H:$H,Sales!$F:$F,A257,Sales!$B:$B,"&lt;&gt;Return"))</f>
        <v/>
      </c>
      <c r="F257" s="48" t="str">
        <f>IF(A257="","",SUMIFS(Sales!$H:$H,Sales!$F:$F,A257,Sales!$B:$B,"Return"))</f>
        <v/>
      </c>
      <c r="G257" s="48" t="str">
        <f>IF($A257="","",SUMIF('Shop Ledger'!$C:$C,$A257,'Shop Ledger'!$F:$F))</f>
        <v/>
      </c>
      <c r="H257" s="48" t="str">
        <f t="shared" si="1"/>
        <v/>
      </c>
      <c r="I257" s="44" t="str">
        <f>IF(A257="","",IFERROR(SUMIF(Purchases!$D:$D,A257,Purchases!$I:$I)/D257,0))</f>
        <v/>
      </c>
      <c r="J257" s="44" t="str">
        <f t="shared" si="2"/>
        <v/>
      </c>
      <c r="K257" s="30" t="str">
        <f>IF($A257="","",IFERROR(VALUE(SUBSTITUTE(SUBSTITUTE(SUBSTITUTE(VLOOKUP($A257,Inventory!$O$5:$P$604,2,FALSE),"Tk","")," ",""),",","")),""))</f>
        <v/>
      </c>
      <c r="L257" s="58" t="str">
        <f t="shared" si="3"/>
        <v/>
      </c>
      <c r="M257" s="58" t="str">
        <f t="shared" si="4"/>
        <v/>
      </c>
      <c r="O257" s="59" t="str">
        <f t="shared" si="5"/>
        <v/>
      </c>
      <c r="P257" s="52"/>
    </row>
    <row r="258" ht="14.25" customHeight="1">
      <c r="A258" s="29" t="str">
        <f t="array" ref="A258">IFERROR(INDEX(Purchases!$D$5:$D$1004,MATCH(ROW()-4,Purchases!$L$5:$L$1004,0)),"")</f>
        <v/>
      </c>
      <c r="B258" s="48" t="str">
        <f>IFERROR(VLOOKUP(A258,Purchases!$D:$E,2,FALSE),"")</f>
        <v/>
      </c>
      <c r="C258" s="48" t="str">
        <f>IFERROR(VLOOKUP(A258,Purchases!$D:$F,3,FALSE),"")</f>
        <v/>
      </c>
      <c r="D258" s="48" t="str">
        <f>IF(A258="","",SUMIF(Purchases!$D:$D,A258,Purchases!$K:$K))</f>
        <v/>
      </c>
      <c r="E258" s="48" t="str">
        <f>IF(A258="","",SUMIFS(Sales!$H:$H,Sales!$F:$F,A258,Sales!$B:$B,"&lt;&gt;Return"))</f>
        <v/>
      </c>
      <c r="F258" s="48" t="str">
        <f>IF(A258="","",SUMIFS(Sales!$H:$H,Sales!$F:$F,A258,Sales!$B:$B,"Return"))</f>
        <v/>
      </c>
      <c r="G258" s="48" t="str">
        <f>IF($A258="","",SUMIF('Shop Ledger'!$C:$C,$A258,'Shop Ledger'!$F:$F))</f>
        <v/>
      </c>
      <c r="H258" s="48" t="str">
        <f t="shared" si="1"/>
        <v/>
      </c>
      <c r="I258" s="44" t="str">
        <f>IF(A258="","",IFERROR(SUMIF(Purchases!$D:$D,A258,Purchases!$I:$I)/D258,0))</f>
        <v/>
      </c>
      <c r="J258" s="44" t="str">
        <f t="shared" si="2"/>
        <v/>
      </c>
      <c r="K258" s="30" t="str">
        <f>IF($A258="","",IFERROR(VALUE(SUBSTITUTE(SUBSTITUTE(SUBSTITUTE(VLOOKUP($A258,Inventory!$O$5:$P$604,2,FALSE),"Tk","")," ",""),",","")),""))</f>
        <v/>
      </c>
      <c r="L258" s="58" t="str">
        <f t="shared" si="3"/>
        <v/>
      </c>
      <c r="M258" s="58" t="str">
        <f t="shared" si="4"/>
        <v/>
      </c>
      <c r="O258" s="59" t="str">
        <f t="shared" si="5"/>
        <v/>
      </c>
      <c r="P258" s="52"/>
    </row>
    <row r="259" ht="14.25" customHeight="1">
      <c r="A259" s="29" t="str">
        <f t="array" ref="A259">IFERROR(INDEX(Purchases!$D$5:$D$1004,MATCH(ROW()-4,Purchases!$L$5:$L$1004,0)),"")</f>
        <v/>
      </c>
      <c r="B259" s="48" t="str">
        <f>IFERROR(VLOOKUP(A259,Purchases!$D:$E,2,FALSE),"")</f>
        <v/>
      </c>
      <c r="C259" s="48" t="str">
        <f>IFERROR(VLOOKUP(A259,Purchases!$D:$F,3,FALSE),"")</f>
        <v/>
      </c>
      <c r="D259" s="48" t="str">
        <f>IF(A259="","",SUMIF(Purchases!$D:$D,A259,Purchases!$K:$K))</f>
        <v/>
      </c>
      <c r="E259" s="48" t="str">
        <f>IF(A259="","",SUMIFS(Sales!$H:$H,Sales!$F:$F,A259,Sales!$B:$B,"&lt;&gt;Return"))</f>
        <v/>
      </c>
      <c r="F259" s="48" t="str">
        <f>IF(A259="","",SUMIFS(Sales!$H:$H,Sales!$F:$F,A259,Sales!$B:$B,"Return"))</f>
        <v/>
      </c>
      <c r="G259" s="48" t="str">
        <f>IF($A259="","",SUMIF('Shop Ledger'!$C:$C,$A259,'Shop Ledger'!$F:$F))</f>
        <v/>
      </c>
      <c r="H259" s="48" t="str">
        <f t="shared" si="1"/>
        <v/>
      </c>
      <c r="I259" s="44" t="str">
        <f>IF(A259="","",IFERROR(SUMIF(Purchases!$D:$D,A259,Purchases!$I:$I)/D259,0))</f>
        <v/>
      </c>
      <c r="J259" s="44" t="str">
        <f t="shared" si="2"/>
        <v/>
      </c>
      <c r="K259" s="30" t="str">
        <f>IF($A259="","",IFERROR(VALUE(SUBSTITUTE(SUBSTITUTE(SUBSTITUTE(VLOOKUP($A259,Inventory!$O$5:$P$604,2,FALSE),"Tk","")," ",""),",","")),""))</f>
        <v/>
      </c>
      <c r="L259" s="58" t="str">
        <f t="shared" si="3"/>
        <v/>
      </c>
      <c r="M259" s="58" t="str">
        <f t="shared" si="4"/>
        <v/>
      </c>
      <c r="O259" s="59" t="str">
        <f t="shared" si="5"/>
        <v/>
      </c>
      <c r="P259" s="52"/>
    </row>
    <row r="260" ht="14.25" customHeight="1">
      <c r="A260" s="29" t="str">
        <f t="array" ref="A260">IFERROR(INDEX(Purchases!$D$5:$D$1004,MATCH(ROW()-4,Purchases!$L$5:$L$1004,0)),"")</f>
        <v/>
      </c>
      <c r="B260" s="48" t="str">
        <f>IFERROR(VLOOKUP(A260,Purchases!$D:$E,2,FALSE),"")</f>
        <v/>
      </c>
      <c r="C260" s="48" t="str">
        <f>IFERROR(VLOOKUP(A260,Purchases!$D:$F,3,FALSE),"")</f>
        <v/>
      </c>
      <c r="D260" s="48" t="str">
        <f>IF(A260="","",SUMIF(Purchases!$D:$D,A260,Purchases!$K:$K))</f>
        <v/>
      </c>
      <c r="E260" s="48" t="str">
        <f>IF(A260="","",SUMIFS(Sales!$H:$H,Sales!$F:$F,A260,Sales!$B:$B,"&lt;&gt;Return"))</f>
        <v/>
      </c>
      <c r="F260" s="48" t="str">
        <f>IF(A260="","",SUMIFS(Sales!$H:$H,Sales!$F:$F,A260,Sales!$B:$B,"Return"))</f>
        <v/>
      </c>
      <c r="G260" s="48" t="str">
        <f>IF($A260="","",SUMIF('Shop Ledger'!$C:$C,$A260,'Shop Ledger'!$F:$F))</f>
        <v/>
      </c>
      <c r="H260" s="48" t="str">
        <f t="shared" si="1"/>
        <v/>
      </c>
      <c r="I260" s="44" t="str">
        <f>IF(A260="","",IFERROR(SUMIF(Purchases!$D:$D,A260,Purchases!$I:$I)/D260,0))</f>
        <v/>
      </c>
      <c r="J260" s="44" t="str">
        <f t="shared" si="2"/>
        <v/>
      </c>
      <c r="K260" s="30" t="str">
        <f>IF($A260="","",IFERROR(VALUE(SUBSTITUTE(SUBSTITUTE(SUBSTITUTE(VLOOKUP($A260,Inventory!$O$5:$P$604,2,FALSE),"Tk","")," ",""),",","")),""))</f>
        <v/>
      </c>
      <c r="L260" s="58" t="str">
        <f t="shared" si="3"/>
        <v/>
      </c>
      <c r="M260" s="58" t="str">
        <f t="shared" si="4"/>
        <v/>
      </c>
      <c r="O260" s="59" t="str">
        <f t="shared" si="5"/>
        <v/>
      </c>
      <c r="P260" s="52"/>
    </row>
    <row r="261" ht="14.25" customHeight="1">
      <c r="A261" s="29" t="str">
        <f t="array" ref="A261">IFERROR(INDEX(Purchases!$D$5:$D$1004,MATCH(ROW()-4,Purchases!$L$5:$L$1004,0)),"")</f>
        <v/>
      </c>
      <c r="B261" s="48" t="str">
        <f>IFERROR(VLOOKUP(A261,Purchases!$D:$E,2,FALSE),"")</f>
        <v/>
      </c>
      <c r="C261" s="48" t="str">
        <f>IFERROR(VLOOKUP(A261,Purchases!$D:$F,3,FALSE),"")</f>
        <v/>
      </c>
      <c r="D261" s="48" t="str">
        <f>IF(A261="","",SUMIF(Purchases!$D:$D,A261,Purchases!$K:$K))</f>
        <v/>
      </c>
      <c r="E261" s="48" t="str">
        <f>IF(A261="","",SUMIFS(Sales!$H:$H,Sales!$F:$F,A261,Sales!$B:$B,"&lt;&gt;Return"))</f>
        <v/>
      </c>
      <c r="F261" s="48" t="str">
        <f>IF(A261="","",SUMIFS(Sales!$H:$H,Sales!$F:$F,A261,Sales!$B:$B,"Return"))</f>
        <v/>
      </c>
      <c r="G261" s="48" t="str">
        <f>IF($A261="","",SUMIF('Shop Ledger'!$C:$C,$A261,'Shop Ledger'!$F:$F))</f>
        <v/>
      </c>
      <c r="H261" s="48" t="str">
        <f t="shared" si="1"/>
        <v/>
      </c>
      <c r="I261" s="44" t="str">
        <f>IF(A261="","",IFERROR(SUMIF(Purchases!$D:$D,A261,Purchases!$I:$I)/D261,0))</f>
        <v/>
      </c>
      <c r="J261" s="44" t="str">
        <f t="shared" si="2"/>
        <v/>
      </c>
      <c r="K261" s="30" t="str">
        <f>IF($A261="","",IFERROR(VALUE(SUBSTITUTE(SUBSTITUTE(SUBSTITUTE(VLOOKUP($A261,Inventory!$O$5:$P$604,2,FALSE),"Tk","")," ",""),",","")),""))</f>
        <v/>
      </c>
      <c r="L261" s="58" t="str">
        <f t="shared" si="3"/>
        <v/>
      </c>
      <c r="M261" s="58" t="str">
        <f t="shared" si="4"/>
        <v/>
      </c>
      <c r="O261" s="59" t="str">
        <f t="shared" si="5"/>
        <v/>
      </c>
      <c r="P261" s="52"/>
    </row>
    <row r="262" ht="14.25" customHeight="1">
      <c r="A262" s="29" t="str">
        <f t="array" ref="A262">IFERROR(INDEX(Purchases!$D$5:$D$1004,MATCH(ROW()-4,Purchases!$L$5:$L$1004,0)),"")</f>
        <v/>
      </c>
      <c r="B262" s="48" t="str">
        <f>IFERROR(VLOOKUP(A262,Purchases!$D:$E,2,FALSE),"")</f>
        <v/>
      </c>
      <c r="C262" s="48" t="str">
        <f>IFERROR(VLOOKUP(A262,Purchases!$D:$F,3,FALSE),"")</f>
        <v/>
      </c>
      <c r="D262" s="48" t="str">
        <f>IF(A262="","",SUMIF(Purchases!$D:$D,A262,Purchases!$K:$K))</f>
        <v/>
      </c>
      <c r="E262" s="48" t="str">
        <f>IF(A262="","",SUMIFS(Sales!$H:$H,Sales!$F:$F,A262,Sales!$B:$B,"&lt;&gt;Return"))</f>
        <v/>
      </c>
      <c r="F262" s="48" t="str">
        <f>IF(A262="","",SUMIFS(Sales!$H:$H,Sales!$F:$F,A262,Sales!$B:$B,"Return"))</f>
        <v/>
      </c>
      <c r="G262" s="48" t="str">
        <f>IF($A262="","",SUMIF('Shop Ledger'!$C:$C,$A262,'Shop Ledger'!$F:$F))</f>
        <v/>
      </c>
      <c r="H262" s="48" t="str">
        <f t="shared" si="1"/>
        <v/>
      </c>
      <c r="I262" s="44" t="str">
        <f>IF(A262="","",IFERROR(SUMIF(Purchases!$D:$D,A262,Purchases!$I:$I)/D262,0))</f>
        <v/>
      </c>
      <c r="J262" s="44" t="str">
        <f t="shared" si="2"/>
        <v/>
      </c>
      <c r="K262" s="30" t="str">
        <f>IF($A262="","",IFERROR(VALUE(SUBSTITUTE(SUBSTITUTE(SUBSTITUTE(VLOOKUP($A262,Inventory!$O$5:$P$604,2,FALSE),"Tk","")," ",""),",","")),""))</f>
        <v/>
      </c>
      <c r="L262" s="58" t="str">
        <f t="shared" si="3"/>
        <v/>
      </c>
      <c r="M262" s="58" t="str">
        <f t="shared" si="4"/>
        <v/>
      </c>
      <c r="O262" s="59" t="str">
        <f t="shared" si="5"/>
        <v/>
      </c>
      <c r="P262" s="52"/>
    </row>
    <row r="263" ht="14.25" customHeight="1">
      <c r="A263" s="29" t="str">
        <f t="array" ref="A263">IFERROR(INDEX(Purchases!$D$5:$D$1004,MATCH(ROW()-4,Purchases!$L$5:$L$1004,0)),"")</f>
        <v/>
      </c>
      <c r="B263" s="48" t="str">
        <f>IFERROR(VLOOKUP(A263,Purchases!$D:$E,2,FALSE),"")</f>
        <v/>
      </c>
      <c r="C263" s="48" t="str">
        <f>IFERROR(VLOOKUP(A263,Purchases!$D:$F,3,FALSE),"")</f>
        <v/>
      </c>
      <c r="D263" s="48" t="str">
        <f>IF(A263="","",SUMIF(Purchases!$D:$D,A263,Purchases!$K:$K))</f>
        <v/>
      </c>
      <c r="E263" s="48" t="str">
        <f>IF(A263="","",SUMIFS(Sales!$H:$H,Sales!$F:$F,A263,Sales!$B:$B,"&lt;&gt;Return"))</f>
        <v/>
      </c>
      <c r="F263" s="48" t="str">
        <f>IF(A263="","",SUMIFS(Sales!$H:$H,Sales!$F:$F,A263,Sales!$B:$B,"Return"))</f>
        <v/>
      </c>
      <c r="G263" s="48" t="str">
        <f>IF($A263="","",SUMIF('Shop Ledger'!$C:$C,$A263,'Shop Ledger'!$F:$F))</f>
        <v/>
      </c>
      <c r="H263" s="48" t="str">
        <f t="shared" si="1"/>
        <v/>
      </c>
      <c r="I263" s="44" t="str">
        <f>IF(A263="","",IFERROR(SUMIF(Purchases!$D:$D,A263,Purchases!$I:$I)/D263,0))</f>
        <v/>
      </c>
      <c r="J263" s="44" t="str">
        <f t="shared" si="2"/>
        <v/>
      </c>
      <c r="K263" s="30" t="str">
        <f>IF($A263="","",IFERROR(VALUE(SUBSTITUTE(SUBSTITUTE(SUBSTITUTE(VLOOKUP($A263,Inventory!$O$5:$P$604,2,FALSE),"Tk","")," ",""),",","")),""))</f>
        <v/>
      </c>
      <c r="L263" s="58" t="str">
        <f t="shared" si="3"/>
        <v/>
      </c>
      <c r="M263" s="58" t="str">
        <f t="shared" si="4"/>
        <v/>
      </c>
      <c r="O263" s="59" t="str">
        <f t="shared" si="5"/>
        <v/>
      </c>
      <c r="P263" s="52"/>
    </row>
    <row r="264" ht="14.25" customHeight="1">
      <c r="A264" s="29" t="str">
        <f t="array" ref="A264">IFERROR(INDEX(Purchases!$D$5:$D$1004,MATCH(ROW()-4,Purchases!$L$5:$L$1004,0)),"")</f>
        <v/>
      </c>
      <c r="B264" s="48" t="str">
        <f>IFERROR(VLOOKUP(A264,Purchases!$D:$E,2,FALSE),"")</f>
        <v/>
      </c>
      <c r="C264" s="48" t="str">
        <f>IFERROR(VLOOKUP(A264,Purchases!$D:$F,3,FALSE),"")</f>
        <v/>
      </c>
      <c r="D264" s="48" t="str">
        <f>IF(A264="","",SUMIF(Purchases!$D:$D,A264,Purchases!$K:$K))</f>
        <v/>
      </c>
      <c r="E264" s="48" t="str">
        <f>IF(A264="","",SUMIFS(Sales!$H:$H,Sales!$F:$F,A264,Sales!$B:$B,"&lt;&gt;Return"))</f>
        <v/>
      </c>
      <c r="F264" s="48" t="str">
        <f>IF(A264="","",SUMIFS(Sales!$H:$H,Sales!$F:$F,A264,Sales!$B:$B,"Return"))</f>
        <v/>
      </c>
      <c r="G264" s="48" t="str">
        <f>IF($A264="","",SUMIF('Shop Ledger'!$C:$C,$A264,'Shop Ledger'!$F:$F))</f>
        <v/>
      </c>
      <c r="H264" s="48" t="str">
        <f t="shared" si="1"/>
        <v/>
      </c>
      <c r="I264" s="44" t="str">
        <f>IF(A264="","",IFERROR(SUMIF(Purchases!$D:$D,A264,Purchases!$I:$I)/D264,0))</f>
        <v/>
      </c>
      <c r="J264" s="44" t="str">
        <f t="shared" si="2"/>
        <v/>
      </c>
      <c r="K264" s="30" t="str">
        <f>IF($A264="","",IFERROR(VALUE(SUBSTITUTE(SUBSTITUTE(SUBSTITUTE(VLOOKUP($A264,Inventory!$O$5:$P$604,2,FALSE),"Tk","")," ",""),",","")),""))</f>
        <v/>
      </c>
      <c r="L264" s="58" t="str">
        <f t="shared" si="3"/>
        <v/>
      </c>
      <c r="M264" s="58" t="str">
        <f t="shared" si="4"/>
        <v/>
      </c>
      <c r="O264" s="59" t="str">
        <f t="shared" si="5"/>
        <v/>
      </c>
      <c r="P264" s="52"/>
    </row>
    <row r="265" ht="14.25" customHeight="1">
      <c r="A265" s="29" t="str">
        <f t="array" ref="A265">IFERROR(INDEX(Purchases!$D$5:$D$1004,MATCH(ROW()-4,Purchases!$L$5:$L$1004,0)),"")</f>
        <v/>
      </c>
      <c r="B265" s="48" t="str">
        <f>IFERROR(VLOOKUP(A265,Purchases!$D:$E,2,FALSE),"")</f>
        <v/>
      </c>
      <c r="C265" s="48" t="str">
        <f>IFERROR(VLOOKUP(A265,Purchases!$D:$F,3,FALSE),"")</f>
        <v/>
      </c>
      <c r="D265" s="48" t="str">
        <f>IF(A265="","",SUMIF(Purchases!$D:$D,A265,Purchases!$K:$K))</f>
        <v/>
      </c>
      <c r="E265" s="48" t="str">
        <f>IF(A265="","",SUMIFS(Sales!$H:$H,Sales!$F:$F,A265,Sales!$B:$B,"&lt;&gt;Return"))</f>
        <v/>
      </c>
      <c r="F265" s="48" t="str">
        <f>IF(A265="","",SUMIFS(Sales!$H:$H,Sales!$F:$F,A265,Sales!$B:$B,"Return"))</f>
        <v/>
      </c>
      <c r="G265" s="48" t="str">
        <f>IF($A265="","",SUMIF('Shop Ledger'!$C:$C,$A265,'Shop Ledger'!$F:$F))</f>
        <v/>
      </c>
      <c r="H265" s="48" t="str">
        <f t="shared" si="1"/>
        <v/>
      </c>
      <c r="I265" s="44" t="str">
        <f>IF(A265="","",IFERROR(SUMIF(Purchases!$D:$D,A265,Purchases!$I:$I)/D265,0))</f>
        <v/>
      </c>
      <c r="J265" s="44" t="str">
        <f t="shared" si="2"/>
        <v/>
      </c>
      <c r="K265" s="30" t="str">
        <f>IF($A265="","",IFERROR(VALUE(SUBSTITUTE(SUBSTITUTE(SUBSTITUTE(VLOOKUP($A265,Inventory!$O$5:$P$604,2,FALSE),"Tk","")," ",""),",","")),""))</f>
        <v/>
      </c>
      <c r="L265" s="58" t="str">
        <f t="shared" si="3"/>
        <v/>
      </c>
      <c r="M265" s="58" t="str">
        <f t="shared" si="4"/>
        <v/>
      </c>
      <c r="O265" s="59" t="str">
        <f t="shared" si="5"/>
        <v/>
      </c>
      <c r="P265" s="52"/>
    </row>
    <row r="266" ht="14.25" customHeight="1">
      <c r="A266" s="29" t="str">
        <f t="array" ref="A266">IFERROR(INDEX(Purchases!$D$5:$D$1004,MATCH(ROW()-4,Purchases!$L$5:$L$1004,0)),"")</f>
        <v/>
      </c>
      <c r="B266" s="48" t="str">
        <f>IFERROR(VLOOKUP(A266,Purchases!$D:$E,2,FALSE),"")</f>
        <v/>
      </c>
      <c r="C266" s="48" t="str">
        <f>IFERROR(VLOOKUP(A266,Purchases!$D:$F,3,FALSE),"")</f>
        <v/>
      </c>
      <c r="D266" s="48" t="str">
        <f>IF(A266="","",SUMIF(Purchases!$D:$D,A266,Purchases!$K:$K))</f>
        <v/>
      </c>
      <c r="E266" s="48" t="str">
        <f>IF(A266="","",SUMIFS(Sales!$H:$H,Sales!$F:$F,A266,Sales!$B:$B,"&lt;&gt;Return"))</f>
        <v/>
      </c>
      <c r="F266" s="48" t="str">
        <f>IF(A266="","",SUMIFS(Sales!$H:$H,Sales!$F:$F,A266,Sales!$B:$B,"Return"))</f>
        <v/>
      </c>
      <c r="G266" s="48" t="str">
        <f>IF($A266="","",SUMIF('Shop Ledger'!$C:$C,$A266,'Shop Ledger'!$F:$F))</f>
        <v/>
      </c>
      <c r="H266" s="48" t="str">
        <f t="shared" si="1"/>
        <v/>
      </c>
      <c r="I266" s="44" t="str">
        <f>IF(A266="","",IFERROR(SUMIF(Purchases!$D:$D,A266,Purchases!$I:$I)/D266,0))</f>
        <v/>
      </c>
      <c r="J266" s="44" t="str">
        <f t="shared" si="2"/>
        <v/>
      </c>
      <c r="K266" s="30" t="str">
        <f>IF($A266="","",IFERROR(VALUE(SUBSTITUTE(SUBSTITUTE(SUBSTITUTE(VLOOKUP($A266,Inventory!$O$5:$P$604,2,FALSE),"Tk","")," ",""),",","")),""))</f>
        <v/>
      </c>
      <c r="L266" s="58" t="str">
        <f t="shared" si="3"/>
        <v/>
      </c>
      <c r="M266" s="58" t="str">
        <f t="shared" si="4"/>
        <v/>
      </c>
      <c r="O266" s="59" t="str">
        <f t="shared" si="5"/>
        <v/>
      </c>
      <c r="P266" s="52"/>
    </row>
    <row r="267" ht="14.25" customHeight="1">
      <c r="A267" s="29" t="str">
        <f t="array" ref="A267">IFERROR(INDEX(Purchases!$D$5:$D$1004,MATCH(ROW()-4,Purchases!$L$5:$L$1004,0)),"")</f>
        <v/>
      </c>
      <c r="B267" s="48" t="str">
        <f>IFERROR(VLOOKUP(A267,Purchases!$D:$E,2,FALSE),"")</f>
        <v/>
      </c>
      <c r="C267" s="48" t="str">
        <f>IFERROR(VLOOKUP(A267,Purchases!$D:$F,3,FALSE),"")</f>
        <v/>
      </c>
      <c r="D267" s="48" t="str">
        <f>IF(A267="","",SUMIF(Purchases!$D:$D,A267,Purchases!$K:$K))</f>
        <v/>
      </c>
      <c r="E267" s="48" t="str">
        <f>IF(A267="","",SUMIFS(Sales!$H:$H,Sales!$F:$F,A267,Sales!$B:$B,"&lt;&gt;Return"))</f>
        <v/>
      </c>
      <c r="F267" s="48" t="str">
        <f>IF(A267="","",SUMIFS(Sales!$H:$H,Sales!$F:$F,A267,Sales!$B:$B,"Return"))</f>
        <v/>
      </c>
      <c r="G267" s="48" t="str">
        <f>IF($A267="","",SUMIF('Shop Ledger'!$C:$C,$A267,'Shop Ledger'!$F:$F))</f>
        <v/>
      </c>
      <c r="H267" s="48" t="str">
        <f t="shared" si="1"/>
        <v/>
      </c>
      <c r="I267" s="44" t="str">
        <f>IF(A267="","",IFERROR(SUMIF(Purchases!$D:$D,A267,Purchases!$I:$I)/D267,0))</f>
        <v/>
      </c>
      <c r="J267" s="44" t="str">
        <f t="shared" si="2"/>
        <v/>
      </c>
      <c r="K267" s="30" t="str">
        <f>IF($A267="","",IFERROR(VALUE(SUBSTITUTE(SUBSTITUTE(SUBSTITUTE(VLOOKUP($A267,Inventory!$O$5:$P$604,2,FALSE),"Tk","")," ",""),",","")),""))</f>
        <v/>
      </c>
      <c r="L267" s="58" t="str">
        <f t="shared" si="3"/>
        <v/>
      </c>
      <c r="M267" s="58" t="str">
        <f t="shared" si="4"/>
        <v/>
      </c>
      <c r="O267" s="59" t="str">
        <f t="shared" si="5"/>
        <v/>
      </c>
      <c r="P267" s="52"/>
    </row>
    <row r="268" ht="14.25" customHeight="1">
      <c r="A268" s="29" t="str">
        <f t="array" ref="A268">IFERROR(INDEX(Purchases!$D$5:$D$1004,MATCH(ROW()-4,Purchases!$L$5:$L$1004,0)),"")</f>
        <v/>
      </c>
      <c r="B268" s="48" t="str">
        <f>IFERROR(VLOOKUP(A268,Purchases!$D:$E,2,FALSE),"")</f>
        <v/>
      </c>
      <c r="C268" s="48" t="str">
        <f>IFERROR(VLOOKUP(A268,Purchases!$D:$F,3,FALSE),"")</f>
        <v/>
      </c>
      <c r="D268" s="48" t="str">
        <f>IF(A268="","",SUMIF(Purchases!$D:$D,A268,Purchases!$K:$K))</f>
        <v/>
      </c>
      <c r="E268" s="48" t="str">
        <f>IF(A268="","",SUMIFS(Sales!$H:$H,Sales!$F:$F,A268,Sales!$B:$B,"&lt;&gt;Return"))</f>
        <v/>
      </c>
      <c r="F268" s="48" t="str">
        <f>IF(A268="","",SUMIFS(Sales!$H:$H,Sales!$F:$F,A268,Sales!$B:$B,"Return"))</f>
        <v/>
      </c>
      <c r="G268" s="48" t="str">
        <f>IF($A268="","",SUMIF('Shop Ledger'!$C:$C,$A268,'Shop Ledger'!$F:$F))</f>
        <v/>
      </c>
      <c r="H268" s="48" t="str">
        <f t="shared" si="1"/>
        <v/>
      </c>
      <c r="I268" s="44" t="str">
        <f>IF(A268="","",IFERROR(SUMIF(Purchases!$D:$D,A268,Purchases!$I:$I)/D268,0))</f>
        <v/>
      </c>
      <c r="J268" s="44" t="str">
        <f t="shared" si="2"/>
        <v/>
      </c>
      <c r="K268" s="30" t="str">
        <f>IF($A268="","",IFERROR(VALUE(SUBSTITUTE(SUBSTITUTE(SUBSTITUTE(VLOOKUP($A268,Inventory!$O$5:$P$604,2,FALSE),"Tk","")," ",""),",","")),""))</f>
        <v/>
      </c>
      <c r="L268" s="58" t="str">
        <f t="shared" si="3"/>
        <v/>
      </c>
      <c r="M268" s="58" t="str">
        <f t="shared" si="4"/>
        <v/>
      </c>
      <c r="O268" s="59" t="str">
        <f t="shared" si="5"/>
        <v/>
      </c>
      <c r="P268" s="52"/>
    </row>
    <row r="269" ht="14.25" customHeight="1">
      <c r="A269" s="29" t="str">
        <f t="array" ref="A269">IFERROR(INDEX(Purchases!$D$5:$D$1004,MATCH(ROW()-4,Purchases!$L$5:$L$1004,0)),"")</f>
        <v/>
      </c>
      <c r="B269" s="48" t="str">
        <f>IFERROR(VLOOKUP(A269,Purchases!$D:$E,2,FALSE),"")</f>
        <v/>
      </c>
      <c r="C269" s="48" t="str">
        <f>IFERROR(VLOOKUP(A269,Purchases!$D:$F,3,FALSE),"")</f>
        <v/>
      </c>
      <c r="D269" s="48" t="str">
        <f>IF(A269="","",SUMIF(Purchases!$D:$D,A269,Purchases!$K:$K))</f>
        <v/>
      </c>
      <c r="E269" s="48" t="str">
        <f>IF(A269="","",SUMIFS(Sales!$H:$H,Sales!$F:$F,A269,Sales!$B:$B,"&lt;&gt;Return"))</f>
        <v/>
      </c>
      <c r="F269" s="48" t="str">
        <f>IF(A269="","",SUMIFS(Sales!$H:$H,Sales!$F:$F,A269,Sales!$B:$B,"Return"))</f>
        <v/>
      </c>
      <c r="G269" s="48" t="str">
        <f>IF($A269="","",SUMIF('Shop Ledger'!$C:$C,$A269,'Shop Ledger'!$F:$F))</f>
        <v/>
      </c>
      <c r="H269" s="48" t="str">
        <f t="shared" si="1"/>
        <v/>
      </c>
      <c r="I269" s="44" t="str">
        <f>IF(A269="","",IFERROR(SUMIF(Purchases!$D:$D,A269,Purchases!$I:$I)/D269,0))</f>
        <v/>
      </c>
      <c r="J269" s="44" t="str">
        <f t="shared" si="2"/>
        <v/>
      </c>
      <c r="K269" s="30" t="str">
        <f>IF($A269="","",IFERROR(VALUE(SUBSTITUTE(SUBSTITUTE(SUBSTITUTE(VLOOKUP($A269,Inventory!$O$5:$P$604,2,FALSE),"Tk","")," ",""),",","")),""))</f>
        <v/>
      </c>
      <c r="L269" s="58" t="str">
        <f t="shared" si="3"/>
        <v/>
      </c>
      <c r="M269" s="58" t="str">
        <f t="shared" si="4"/>
        <v/>
      </c>
      <c r="O269" s="59" t="str">
        <f t="shared" si="5"/>
        <v/>
      </c>
      <c r="P269" s="52"/>
    </row>
    <row r="270" ht="14.25" customHeight="1">
      <c r="A270" s="29" t="str">
        <f t="array" ref="A270">IFERROR(INDEX(Purchases!$D$5:$D$1004,MATCH(ROW()-4,Purchases!$L$5:$L$1004,0)),"")</f>
        <v/>
      </c>
      <c r="B270" s="48" t="str">
        <f>IFERROR(VLOOKUP(A270,Purchases!$D:$E,2,FALSE),"")</f>
        <v/>
      </c>
      <c r="C270" s="48" t="str">
        <f>IFERROR(VLOOKUP(A270,Purchases!$D:$F,3,FALSE),"")</f>
        <v/>
      </c>
      <c r="D270" s="48" t="str">
        <f>IF(A270="","",SUMIF(Purchases!$D:$D,A270,Purchases!$K:$K))</f>
        <v/>
      </c>
      <c r="E270" s="48" t="str">
        <f>IF(A270="","",SUMIFS(Sales!$H:$H,Sales!$F:$F,A270,Sales!$B:$B,"&lt;&gt;Return"))</f>
        <v/>
      </c>
      <c r="F270" s="48" t="str">
        <f>IF(A270="","",SUMIFS(Sales!$H:$H,Sales!$F:$F,A270,Sales!$B:$B,"Return"))</f>
        <v/>
      </c>
      <c r="G270" s="48" t="str">
        <f>IF($A270="","",SUMIF('Shop Ledger'!$C:$C,$A270,'Shop Ledger'!$F:$F))</f>
        <v/>
      </c>
      <c r="H270" s="48" t="str">
        <f t="shared" si="1"/>
        <v/>
      </c>
      <c r="I270" s="44" t="str">
        <f>IF(A270="","",IFERROR(SUMIF(Purchases!$D:$D,A270,Purchases!$I:$I)/D270,0))</f>
        <v/>
      </c>
      <c r="J270" s="44" t="str">
        <f t="shared" si="2"/>
        <v/>
      </c>
      <c r="K270" s="30" t="str">
        <f>IF($A270="","",IFERROR(VALUE(SUBSTITUTE(SUBSTITUTE(SUBSTITUTE(VLOOKUP($A270,Inventory!$O$5:$P$604,2,FALSE),"Tk","")," ",""),",","")),""))</f>
        <v/>
      </c>
      <c r="L270" s="58" t="str">
        <f t="shared" si="3"/>
        <v/>
      </c>
      <c r="M270" s="58" t="str">
        <f t="shared" si="4"/>
        <v/>
      </c>
      <c r="O270" s="59" t="str">
        <f t="shared" si="5"/>
        <v/>
      </c>
      <c r="P270" s="52"/>
    </row>
    <row r="271" ht="14.25" customHeight="1">
      <c r="A271" s="29" t="str">
        <f t="array" ref="A271">IFERROR(INDEX(Purchases!$D$5:$D$1004,MATCH(ROW()-4,Purchases!$L$5:$L$1004,0)),"")</f>
        <v/>
      </c>
      <c r="B271" s="48" t="str">
        <f>IFERROR(VLOOKUP(A271,Purchases!$D:$E,2,FALSE),"")</f>
        <v/>
      </c>
      <c r="C271" s="48" t="str">
        <f>IFERROR(VLOOKUP(A271,Purchases!$D:$F,3,FALSE),"")</f>
        <v/>
      </c>
      <c r="D271" s="48" t="str">
        <f>IF(A271="","",SUMIF(Purchases!$D:$D,A271,Purchases!$K:$K))</f>
        <v/>
      </c>
      <c r="E271" s="48" t="str">
        <f>IF(A271="","",SUMIFS(Sales!$H:$H,Sales!$F:$F,A271,Sales!$B:$B,"&lt;&gt;Return"))</f>
        <v/>
      </c>
      <c r="F271" s="48" t="str">
        <f>IF(A271="","",SUMIFS(Sales!$H:$H,Sales!$F:$F,A271,Sales!$B:$B,"Return"))</f>
        <v/>
      </c>
      <c r="G271" s="48" t="str">
        <f>IF($A271="","",SUMIF('Shop Ledger'!$C:$C,$A271,'Shop Ledger'!$F:$F))</f>
        <v/>
      </c>
      <c r="H271" s="48" t="str">
        <f t="shared" si="1"/>
        <v/>
      </c>
      <c r="I271" s="44" t="str">
        <f>IF(A271="","",IFERROR(SUMIF(Purchases!$D:$D,A271,Purchases!$I:$I)/D271,0))</f>
        <v/>
      </c>
      <c r="J271" s="44" t="str">
        <f t="shared" si="2"/>
        <v/>
      </c>
      <c r="K271" s="30" t="str">
        <f>IF($A271="","",IFERROR(VALUE(SUBSTITUTE(SUBSTITUTE(SUBSTITUTE(VLOOKUP($A271,Inventory!$O$5:$P$604,2,FALSE),"Tk","")," ",""),",","")),""))</f>
        <v/>
      </c>
      <c r="L271" s="58" t="str">
        <f t="shared" si="3"/>
        <v/>
      </c>
      <c r="M271" s="58" t="str">
        <f t="shared" si="4"/>
        <v/>
      </c>
      <c r="O271" s="59" t="str">
        <f t="shared" si="5"/>
        <v/>
      </c>
      <c r="P271" s="52"/>
    </row>
    <row r="272" ht="14.25" customHeight="1">
      <c r="A272" s="29" t="str">
        <f t="array" ref="A272">IFERROR(INDEX(Purchases!$D$5:$D$1004,MATCH(ROW()-4,Purchases!$L$5:$L$1004,0)),"")</f>
        <v/>
      </c>
      <c r="B272" s="48" t="str">
        <f>IFERROR(VLOOKUP(A272,Purchases!$D:$E,2,FALSE),"")</f>
        <v/>
      </c>
      <c r="C272" s="48" t="str">
        <f>IFERROR(VLOOKUP(A272,Purchases!$D:$F,3,FALSE),"")</f>
        <v/>
      </c>
      <c r="D272" s="48" t="str">
        <f>IF(A272="","",SUMIF(Purchases!$D:$D,A272,Purchases!$K:$K))</f>
        <v/>
      </c>
      <c r="E272" s="48" t="str">
        <f>IF(A272="","",SUMIFS(Sales!$H:$H,Sales!$F:$F,A272,Sales!$B:$B,"&lt;&gt;Return"))</f>
        <v/>
      </c>
      <c r="F272" s="48" t="str">
        <f>IF(A272="","",SUMIFS(Sales!$H:$H,Sales!$F:$F,A272,Sales!$B:$B,"Return"))</f>
        <v/>
      </c>
      <c r="G272" s="48" t="str">
        <f>IF($A272="","",SUMIF('Shop Ledger'!$C:$C,$A272,'Shop Ledger'!$F:$F))</f>
        <v/>
      </c>
      <c r="H272" s="48" t="str">
        <f t="shared" si="1"/>
        <v/>
      </c>
      <c r="I272" s="44" t="str">
        <f>IF(A272="","",IFERROR(SUMIF(Purchases!$D:$D,A272,Purchases!$I:$I)/D272,0))</f>
        <v/>
      </c>
      <c r="J272" s="44" t="str">
        <f t="shared" si="2"/>
        <v/>
      </c>
      <c r="K272" s="30" t="str">
        <f>IF($A272="","",IFERROR(VALUE(SUBSTITUTE(SUBSTITUTE(SUBSTITUTE(VLOOKUP($A272,Inventory!$O$5:$P$604,2,FALSE),"Tk","")," ",""),",","")),""))</f>
        <v/>
      </c>
      <c r="L272" s="58" t="str">
        <f t="shared" si="3"/>
        <v/>
      </c>
      <c r="M272" s="58" t="str">
        <f t="shared" si="4"/>
        <v/>
      </c>
      <c r="O272" s="59" t="str">
        <f t="shared" si="5"/>
        <v/>
      </c>
      <c r="P272" s="52"/>
    </row>
    <row r="273" ht="14.25" customHeight="1">
      <c r="A273" s="29" t="str">
        <f t="array" ref="A273">IFERROR(INDEX(Purchases!$D$5:$D$1004,MATCH(ROW()-4,Purchases!$L$5:$L$1004,0)),"")</f>
        <v/>
      </c>
      <c r="B273" s="48" t="str">
        <f>IFERROR(VLOOKUP(A273,Purchases!$D:$E,2,FALSE),"")</f>
        <v/>
      </c>
      <c r="C273" s="48" t="str">
        <f>IFERROR(VLOOKUP(A273,Purchases!$D:$F,3,FALSE),"")</f>
        <v/>
      </c>
      <c r="D273" s="48" t="str">
        <f>IF(A273="","",SUMIF(Purchases!$D:$D,A273,Purchases!$K:$K))</f>
        <v/>
      </c>
      <c r="E273" s="48" t="str">
        <f>IF(A273="","",SUMIFS(Sales!$H:$H,Sales!$F:$F,A273,Sales!$B:$B,"&lt;&gt;Return"))</f>
        <v/>
      </c>
      <c r="F273" s="48" t="str">
        <f>IF(A273="","",SUMIFS(Sales!$H:$H,Sales!$F:$F,A273,Sales!$B:$B,"Return"))</f>
        <v/>
      </c>
      <c r="G273" s="48" t="str">
        <f>IF($A273="","",SUMIF('Shop Ledger'!$C:$C,$A273,'Shop Ledger'!$F:$F))</f>
        <v/>
      </c>
      <c r="H273" s="48" t="str">
        <f t="shared" si="1"/>
        <v/>
      </c>
      <c r="I273" s="44" t="str">
        <f>IF(A273="","",IFERROR(SUMIF(Purchases!$D:$D,A273,Purchases!$I:$I)/D273,0))</f>
        <v/>
      </c>
      <c r="J273" s="44" t="str">
        <f t="shared" si="2"/>
        <v/>
      </c>
      <c r="K273" s="30" t="str">
        <f>IF($A273="","",IFERROR(VALUE(SUBSTITUTE(SUBSTITUTE(SUBSTITUTE(VLOOKUP($A273,Inventory!$O$5:$P$604,2,FALSE),"Tk","")," ",""),",","")),""))</f>
        <v/>
      </c>
      <c r="L273" s="58" t="str">
        <f t="shared" si="3"/>
        <v/>
      </c>
      <c r="M273" s="58" t="str">
        <f t="shared" si="4"/>
        <v/>
      </c>
      <c r="O273" s="59" t="str">
        <f t="shared" si="5"/>
        <v/>
      </c>
      <c r="P273" s="52"/>
    </row>
    <row r="274" ht="14.25" customHeight="1">
      <c r="A274" s="29" t="str">
        <f t="array" ref="A274">IFERROR(INDEX(Purchases!$D$5:$D$1004,MATCH(ROW()-4,Purchases!$L$5:$L$1004,0)),"")</f>
        <v/>
      </c>
      <c r="B274" s="48" t="str">
        <f>IFERROR(VLOOKUP(A274,Purchases!$D:$E,2,FALSE),"")</f>
        <v/>
      </c>
      <c r="C274" s="48" t="str">
        <f>IFERROR(VLOOKUP(A274,Purchases!$D:$F,3,FALSE),"")</f>
        <v/>
      </c>
      <c r="D274" s="48" t="str">
        <f>IF(A274="","",SUMIF(Purchases!$D:$D,A274,Purchases!$K:$K))</f>
        <v/>
      </c>
      <c r="E274" s="48" t="str">
        <f>IF(A274="","",SUMIFS(Sales!$H:$H,Sales!$F:$F,A274,Sales!$B:$B,"&lt;&gt;Return"))</f>
        <v/>
      </c>
      <c r="F274" s="48" t="str">
        <f>IF(A274="","",SUMIFS(Sales!$H:$H,Sales!$F:$F,A274,Sales!$B:$B,"Return"))</f>
        <v/>
      </c>
      <c r="G274" s="48" t="str">
        <f>IF($A274="","",SUMIF('Shop Ledger'!$C:$C,$A274,'Shop Ledger'!$F:$F))</f>
        <v/>
      </c>
      <c r="H274" s="48" t="str">
        <f t="shared" si="1"/>
        <v/>
      </c>
      <c r="I274" s="44" t="str">
        <f>IF(A274="","",IFERROR(SUMIF(Purchases!$D:$D,A274,Purchases!$I:$I)/D274,0))</f>
        <v/>
      </c>
      <c r="J274" s="44" t="str">
        <f t="shared" si="2"/>
        <v/>
      </c>
      <c r="K274" s="30" t="str">
        <f>IF($A274="","",IFERROR(VALUE(SUBSTITUTE(SUBSTITUTE(SUBSTITUTE(VLOOKUP($A274,Inventory!$O$5:$P$604,2,FALSE),"Tk","")," ",""),",","")),""))</f>
        <v/>
      </c>
      <c r="L274" s="58" t="str">
        <f t="shared" si="3"/>
        <v/>
      </c>
      <c r="M274" s="58" t="str">
        <f t="shared" si="4"/>
        <v/>
      </c>
      <c r="O274" s="59" t="str">
        <f t="shared" si="5"/>
        <v/>
      </c>
      <c r="P274" s="52"/>
    </row>
    <row r="275" ht="14.25" customHeight="1">
      <c r="A275" s="29" t="str">
        <f t="array" ref="A275">IFERROR(INDEX(Purchases!$D$5:$D$1004,MATCH(ROW()-4,Purchases!$L$5:$L$1004,0)),"")</f>
        <v/>
      </c>
      <c r="B275" s="48" t="str">
        <f>IFERROR(VLOOKUP(A275,Purchases!$D:$E,2,FALSE),"")</f>
        <v/>
      </c>
      <c r="C275" s="48" t="str">
        <f>IFERROR(VLOOKUP(A275,Purchases!$D:$F,3,FALSE),"")</f>
        <v/>
      </c>
      <c r="D275" s="48" t="str">
        <f>IF(A275="","",SUMIF(Purchases!$D:$D,A275,Purchases!$K:$K))</f>
        <v/>
      </c>
      <c r="E275" s="48" t="str">
        <f>IF(A275="","",SUMIFS(Sales!$H:$H,Sales!$F:$F,A275,Sales!$B:$B,"&lt;&gt;Return"))</f>
        <v/>
      </c>
      <c r="F275" s="48" t="str">
        <f>IF(A275="","",SUMIFS(Sales!$H:$H,Sales!$F:$F,A275,Sales!$B:$B,"Return"))</f>
        <v/>
      </c>
      <c r="G275" s="48" t="str">
        <f>IF($A275="","",SUMIF('Shop Ledger'!$C:$C,$A275,'Shop Ledger'!$F:$F))</f>
        <v/>
      </c>
      <c r="H275" s="48" t="str">
        <f t="shared" si="1"/>
        <v/>
      </c>
      <c r="I275" s="44" t="str">
        <f>IF(A275="","",IFERROR(SUMIF(Purchases!$D:$D,A275,Purchases!$I:$I)/D275,0))</f>
        <v/>
      </c>
      <c r="J275" s="44" t="str">
        <f t="shared" si="2"/>
        <v/>
      </c>
      <c r="K275" s="30" t="str">
        <f>IF($A275="","",IFERROR(VALUE(SUBSTITUTE(SUBSTITUTE(SUBSTITUTE(VLOOKUP($A275,Inventory!$O$5:$P$604,2,FALSE),"Tk","")," ",""),",","")),""))</f>
        <v/>
      </c>
      <c r="L275" s="58" t="str">
        <f t="shared" si="3"/>
        <v/>
      </c>
      <c r="M275" s="58" t="str">
        <f t="shared" si="4"/>
        <v/>
      </c>
      <c r="O275" s="59" t="str">
        <f t="shared" si="5"/>
        <v/>
      </c>
      <c r="P275" s="52"/>
    </row>
    <row r="276" ht="14.25" customHeight="1">
      <c r="A276" s="29" t="str">
        <f t="array" ref="A276">IFERROR(INDEX(Purchases!$D$5:$D$1004,MATCH(ROW()-4,Purchases!$L$5:$L$1004,0)),"")</f>
        <v/>
      </c>
      <c r="B276" s="48" t="str">
        <f>IFERROR(VLOOKUP(A276,Purchases!$D:$E,2,FALSE),"")</f>
        <v/>
      </c>
      <c r="C276" s="48" t="str">
        <f>IFERROR(VLOOKUP(A276,Purchases!$D:$F,3,FALSE),"")</f>
        <v/>
      </c>
      <c r="D276" s="48" t="str">
        <f>IF(A276="","",SUMIF(Purchases!$D:$D,A276,Purchases!$K:$K))</f>
        <v/>
      </c>
      <c r="E276" s="48" t="str">
        <f>IF(A276="","",SUMIFS(Sales!$H:$H,Sales!$F:$F,A276,Sales!$B:$B,"&lt;&gt;Return"))</f>
        <v/>
      </c>
      <c r="F276" s="48" t="str">
        <f>IF(A276="","",SUMIFS(Sales!$H:$H,Sales!$F:$F,A276,Sales!$B:$B,"Return"))</f>
        <v/>
      </c>
      <c r="G276" s="48" t="str">
        <f>IF($A276="","",SUMIF('Shop Ledger'!$C:$C,$A276,'Shop Ledger'!$F:$F))</f>
        <v/>
      </c>
      <c r="H276" s="48" t="str">
        <f t="shared" si="1"/>
        <v/>
      </c>
      <c r="I276" s="44" t="str">
        <f>IF(A276="","",IFERROR(SUMIF(Purchases!$D:$D,A276,Purchases!$I:$I)/D276,0))</f>
        <v/>
      </c>
      <c r="J276" s="44" t="str">
        <f t="shared" si="2"/>
        <v/>
      </c>
      <c r="K276" s="30" t="str">
        <f>IF($A276="","",IFERROR(VALUE(SUBSTITUTE(SUBSTITUTE(SUBSTITUTE(VLOOKUP($A276,Inventory!$O$5:$P$604,2,FALSE),"Tk","")," ",""),",","")),""))</f>
        <v/>
      </c>
      <c r="L276" s="58" t="str">
        <f t="shared" si="3"/>
        <v/>
      </c>
      <c r="M276" s="58" t="str">
        <f t="shared" si="4"/>
        <v/>
      </c>
      <c r="O276" s="59" t="str">
        <f t="shared" si="5"/>
        <v/>
      </c>
      <c r="P276" s="52"/>
    </row>
    <row r="277" ht="14.25" customHeight="1">
      <c r="A277" s="29" t="str">
        <f t="array" ref="A277">IFERROR(INDEX(Purchases!$D$5:$D$1004,MATCH(ROW()-4,Purchases!$L$5:$L$1004,0)),"")</f>
        <v/>
      </c>
      <c r="B277" s="48" t="str">
        <f>IFERROR(VLOOKUP(A277,Purchases!$D:$E,2,FALSE),"")</f>
        <v/>
      </c>
      <c r="C277" s="48" t="str">
        <f>IFERROR(VLOOKUP(A277,Purchases!$D:$F,3,FALSE),"")</f>
        <v/>
      </c>
      <c r="D277" s="48" t="str">
        <f>IF(A277="","",SUMIF(Purchases!$D:$D,A277,Purchases!$K:$K))</f>
        <v/>
      </c>
      <c r="E277" s="48" t="str">
        <f>IF(A277="","",SUMIFS(Sales!$H:$H,Sales!$F:$F,A277,Sales!$B:$B,"&lt;&gt;Return"))</f>
        <v/>
      </c>
      <c r="F277" s="48" t="str">
        <f>IF(A277="","",SUMIFS(Sales!$H:$H,Sales!$F:$F,A277,Sales!$B:$B,"Return"))</f>
        <v/>
      </c>
      <c r="G277" s="48" t="str">
        <f>IF($A277="","",SUMIF('Shop Ledger'!$C:$C,$A277,'Shop Ledger'!$F:$F))</f>
        <v/>
      </c>
      <c r="H277" s="48" t="str">
        <f t="shared" si="1"/>
        <v/>
      </c>
      <c r="I277" s="44" t="str">
        <f>IF(A277="","",IFERROR(SUMIF(Purchases!$D:$D,A277,Purchases!$I:$I)/D277,0))</f>
        <v/>
      </c>
      <c r="J277" s="44" t="str">
        <f t="shared" si="2"/>
        <v/>
      </c>
      <c r="K277" s="30" t="str">
        <f>IF($A277="","",IFERROR(VALUE(SUBSTITUTE(SUBSTITUTE(SUBSTITUTE(VLOOKUP($A277,Inventory!$O$5:$P$604,2,FALSE),"Tk","")," ",""),",","")),""))</f>
        <v/>
      </c>
      <c r="L277" s="58" t="str">
        <f t="shared" si="3"/>
        <v/>
      </c>
      <c r="M277" s="58" t="str">
        <f t="shared" si="4"/>
        <v/>
      </c>
      <c r="O277" s="59" t="str">
        <f t="shared" si="5"/>
        <v/>
      </c>
      <c r="P277" s="52"/>
    </row>
    <row r="278" ht="14.25" customHeight="1">
      <c r="A278" s="29" t="str">
        <f t="array" ref="A278">IFERROR(INDEX(Purchases!$D$5:$D$1004,MATCH(ROW()-4,Purchases!$L$5:$L$1004,0)),"")</f>
        <v/>
      </c>
      <c r="B278" s="48" t="str">
        <f>IFERROR(VLOOKUP(A278,Purchases!$D:$E,2,FALSE),"")</f>
        <v/>
      </c>
      <c r="C278" s="48" t="str">
        <f>IFERROR(VLOOKUP(A278,Purchases!$D:$F,3,FALSE),"")</f>
        <v/>
      </c>
      <c r="D278" s="48" t="str">
        <f>IF(A278="","",SUMIF(Purchases!$D:$D,A278,Purchases!$K:$K))</f>
        <v/>
      </c>
      <c r="E278" s="48" t="str">
        <f>IF(A278="","",SUMIFS(Sales!$H:$H,Sales!$F:$F,A278,Sales!$B:$B,"&lt;&gt;Return"))</f>
        <v/>
      </c>
      <c r="F278" s="48" t="str">
        <f>IF(A278="","",SUMIFS(Sales!$H:$H,Sales!$F:$F,A278,Sales!$B:$B,"Return"))</f>
        <v/>
      </c>
      <c r="G278" s="48" t="str">
        <f>IF($A278="","",SUMIF('Shop Ledger'!$C:$C,$A278,'Shop Ledger'!$F:$F))</f>
        <v/>
      </c>
      <c r="H278" s="48" t="str">
        <f t="shared" si="1"/>
        <v/>
      </c>
      <c r="I278" s="44" t="str">
        <f>IF(A278="","",IFERROR(SUMIF(Purchases!$D:$D,A278,Purchases!$I:$I)/D278,0))</f>
        <v/>
      </c>
      <c r="J278" s="44" t="str">
        <f t="shared" si="2"/>
        <v/>
      </c>
      <c r="K278" s="30" t="str">
        <f>IF($A278="","",IFERROR(VALUE(SUBSTITUTE(SUBSTITUTE(SUBSTITUTE(VLOOKUP($A278,Inventory!$O$5:$P$604,2,FALSE),"Tk","")," ",""),",","")),""))</f>
        <v/>
      </c>
      <c r="L278" s="58" t="str">
        <f t="shared" si="3"/>
        <v/>
      </c>
      <c r="M278" s="58" t="str">
        <f t="shared" si="4"/>
        <v/>
      </c>
      <c r="O278" s="59" t="str">
        <f t="shared" si="5"/>
        <v/>
      </c>
      <c r="P278" s="52"/>
    </row>
    <row r="279" ht="14.25" customHeight="1">
      <c r="A279" s="29" t="str">
        <f t="array" ref="A279">IFERROR(INDEX(Purchases!$D$5:$D$1004,MATCH(ROW()-4,Purchases!$L$5:$L$1004,0)),"")</f>
        <v/>
      </c>
      <c r="B279" s="48" t="str">
        <f>IFERROR(VLOOKUP(A279,Purchases!$D:$E,2,FALSE),"")</f>
        <v/>
      </c>
      <c r="C279" s="48" t="str">
        <f>IFERROR(VLOOKUP(A279,Purchases!$D:$F,3,FALSE),"")</f>
        <v/>
      </c>
      <c r="D279" s="48" t="str">
        <f>IF(A279="","",SUMIF(Purchases!$D:$D,A279,Purchases!$K:$K))</f>
        <v/>
      </c>
      <c r="E279" s="48" t="str">
        <f>IF(A279="","",SUMIFS(Sales!$H:$H,Sales!$F:$F,A279,Sales!$B:$B,"&lt;&gt;Return"))</f>
        <v/>
      </c>
      <c r="F279" s="48" t="str">
        <f>IF(A279="","",SUMIFS(Sales!$H:$H,Sales!$F:$F,A279,Sales!$B:$B,"Return"))</f>
        <v/>
      </c>
      <c r="G279" s="48" t="str">
        <f>IF($A279="","",SUMIF('Shop Ledger'!$C:$C,$A279,'Shop Ledger'!$F:$F))</f>
        <v/>
      </c>
      <c r="H279" s="48" t="str">
        <f t="shared" si="1"/>
        <v/>
      </c>
      <c r="I279" s="44" t="str">
        <f>IF(A279="","",IFERROR(SUMIF(Purchases!$D:$D,A279,Purchases!$I:$I)/D279,0))</f>
        <v/>
      </c>
      <c r="J279" s="44" t="str">
        <f t="shared" si="2"/>
        <v/>
      </c>
      <c r="K279" s="30" t="str">
        <f>IF($A279="","",IFERROR(VALUE(SUBSTITUTE(SUBSTITUTE(SUBSTITUTE(VLOOKUP($A279,Inventory!$O$5:$P$604,2,FALSE),"Tk","")," ",""),",","")),""))</f>
        <v/>
      </c>
      <c r="L279" s="58" t="str">
        <f t="shared" si="3"/>
        <v/>
      </c>
      <c r="M279" s="58" t="str">
        <f t="shared" si="4"/>
        <v/>
      </c>
      <c r="O279" s="59" t="str">
        <f t="shared" si="5"/>
        <v/>
      </c>
      <c r="P279" s="52"/>
    </row>
    <row r="280" ht="14.25" customHeight="1">
      <c r="A280" s="29" t="str">
        <f t="array" ref="A280">IFERROR(INDEX(Purchases!$D$5:$D$1004,MATCH(ROW()-4,Purchases!$L$5:$L$1004,0)),"")</f>
        <v/>
      </c>
      <c r="B280" s="48" t="str">
        <f>IFERROR(VLOOKUP(A280,Purchases!$D:$E,2,FALSE),"")</f>
        <v/>
      </c>
      <c r="C280" s="48" t="str">
        <f>IFERROR(VLOOKUP(A280,Purchases!$D:$F,3,FALSE),"")</f>
        <v/>
      </c>
      <c r="D280" s="48" t="str">
        <f>IF(A280="","",SUMIF(Purchases!$D:$D,A280,Purchases!$K:$K))</f>
        <v/>
      </c>
      <c r="E280" s="48" t="str">
        <f>IF(A280="","",SUMIFS(Sales!$H:$H,Sales!$F:$F,A280,Sales!$B:$B,"&lt;&gt;Return"))</f>
        <v/>
      </c>
      <c r="F280" s="48" t="str">
        <f>IF(A280="","",SUMIFS(Sales!$H:$H,Sales!$F:$F,A280,Sales!$B:$B,"Return"))</f>
        <v/>
      </c>
      <c r="G280" s="48" t="str">
        <f>IF($A280="","",SUMIF('Shop Ledger'!$C:$C,$A280,'Shop Ledger'!$F:$F))</f>
        <v/>
      </c>
      <c r="H280" s="48" t="str">
        <f t="shared" si="1"/>
        <v/>
      </c>
      <c r="I280" s="44" t="str">
        <f>IF(A280="","",IFERROR(SUMIF(Purchases!$D:$D,A280,Purchases!$I:$I)/D280,0))</f>
        <v/>
      </c>
      <c r="J280" s="44" t="str">
        <f t="shared" si="2"/>
        <v/>
      </c>
      <c r="K280" s="30" t="str">
        <f>IF($A280="","",IFERROR(VALUE(SUBSTITUTE(SUBSTITUTE(SUBSTITUTE(VLOOKUP($A280,Inventory!$O$5:$P$604,2,FALSE),"Tk","")," ",""),",","")),""))</f>
        <v/>
      </c>
      <c r="L280" s="58" t="str">
        <f t="shared" si="3"/>
        <v/>
      </c>
      <c r="M280" s="58" t="str">
        <f t="shared" si="4"/>
        <v/>
      </c>
      <c r="O280" s="59" t="str">
        <f t="shared" si="5"/>
        <v/>
      </c>
      <c r="P280" s="52"/>
    </row>
    <row r="281" ht="14.25" customHeight="1">
      <c r="A281" s="29" t="str">
        <f t="array" ref="A281">IFERROR(INDEX(Purchases!$D$5:$D$1004,MATCH(ROW()-4,Purchases!$L$5:$L$1004,0)),"")</f>
        <v/>
      </c>
      <c r="B281" s="48" t="str">
        <f>IFERROR(VLOOKUP(A281,Purchases!$D:$E,2,FALSE),"")</f>
        <v/>
      </c>
      <c r="C281" s="48" t="str">
        <f>IFERROR(VLOOKUP(A281,Purchases!$D:$F,3,FALSE),"")</f>
        <v/>
      </c>
      <c r="D281" s="48" t="str">
        <f>IF(A281="","",SUMIF(Purchases!$D:$D,A281,Purchases!$K:$K))</f>
        <v/>
      </c>
      <c r="E281" s="48" t="str">
        <f>IF(A281="","",SUMIFS(Sales!$H:$H,Sales!$F:$F,A281,Sales!$B:$B,"&lt;&gt;Return"))</f>
        <v/>
      </c>
      <c r="F281" s="48" t="str">
        <f>IF(A281="","",SUMIFS(Sales!$H:$H,Sales!$F:$F,A281,Sales!$B:$B,"Return"))</f>
        <v/>
      </c>
      <c r="G281" s="48" t="str">
        <f>IF($A281="","",SUMIF('Shop Ledger'!$C:$C,$A281,'Shop Ledger'!$F:$F))</f>
        <v/>
      </c>
      <c r="H281" s="48" t="str">
        <f t="shared" si="1"/>
        <v/>
      </c>
      <c r="I281" s="44" t="str">
        <f>IF(A281="","",IFERROR(SUMIF(Purchases!$D:$D,A281,Purchases!$I:$I)/D281,0))</f>
        <v/>
      </c>
      <c r="J281" s="44" t="str">
        <f t="shared" si="2"/>
        <v/>
      </c>
      <c r="K281" s="30" t="str">
        <f>IF($A281="","",IFERROR(VALUE(SUBSTITUTE(SUBSTITUTE(SUBSTITUTE(VLOOKUP($A281,Inventory!$O$5:$P$604,2,FALSE),"Tk","")," ",""),",","")),""))</f>
        <v/>
      </c>
      <c r="L281" s="58" t="str">
        <f t="shared" si="3"/>
        <v/>
      </c>
      <c r="M281" s="58" t="str">
        <f t="shared" si="4"/>
        <v/>
      </c>
      <c r="O281" s="59" t="str">
        <f t="shared" si="5"/>
        <v/>
      </c>
      <c r="P281" s="52"/>
    </row>
    <row r="282" ht="14.25" customHeight="1">
      <c r="A282" s="29" t="str">
        <f t="array" ref="A282">IFERROR(INDEX(Purchases!$D$5:$D$1004,MATCH(ROW()-4,Purchases!$L$5:$L$1004,0)),"")</f>
        <v/>
      </c>
      <c r="B282" s="48" t="str">
        <f>IFERROR(VLOOKUP(A282,Purchases!$D:$E,2,FALSE),"")</f>
        <v/>
      </c>
      <c r="C282" s="48" t="str">
        <f>IFERROR(VLOOKUP(A282,Purchases!$D:$F,3,FALSE),"")</f>
        <v/>
      </c>
      <c r="D282" s="48" t="str">
        <f>IF(A282="","",SUMIF(Purchases!$D:$D,A282,Purchases!$K:$K))</f>
        <v/>
      </c>
      <c r="E282" s="48" t="str">
        <f>IF(A282="","",SUMIFS(Sales!$H:$H,Sales!$F:$F,A282,Sales!$B:$B,"&lt;&gt;Return"))</f>
        <v/>
      </c>
      <c r="F282" s="48" t="str">
        <f>IF(A282="","",SUMIFS(Sales!$H:$H,Sales!$F:$F,A282,Sales!$B:$B,"Return"))</f>
        <v/>
      </c>
      <c r="G282" s="48" t="str">
        <f>IF($A282="","",SUMIF('Shop Ledger'!$C:$C,$A282,'Shop Ledger'!$F:$F))</f>
        <v/>
      </c>
      <c r="H282" s="48" t="str">
        <f t="shared" si="1"/>
        <v/>
      </c>
      <c r="I282" s="44" t="str">
        <f>IF(A282="","",IFERROR(SUMIF(Purchases!$D:$D,A282,Purchases!$I:$I)/D282,0))</f>
        <v/>
      </c>
      <c r="J282" s="44" t="str">
        <f t="shared" si="2"/>
        <v/>
      </c>
      <c r="K282" s="30" t="str">
        <f>IF($A282="","",IFERROR(VALUE(SUBSTITUTE(SUBSTITUTE(SUBSTITUTE(VLOOKUP($A282,Inventory!$O$5:$P$604,2,FALSE),"Tk","")," ",""),",","")),""))</f>
        <v/>
      </c>
      <c r="L282" s="58" t="str">
        <f t="shared" si="3"/>
        <v/>
      </c>
      <c r="M282" s="58" t="str">
        <f t="shared" si="4"/>
        <v/>
      </c>
      <c r="O282" s="59" t="str">
        <f t="shared" si="5"/>
        <v/>
      </c>
      <c r="P282" s="52"/>
    </row>
    <row r="283" ht="14.25" customHeight="1">
      <c r="A283" s="29" t="str">
        <f t="array" ref="A283">IFERROR(INDEX(Purchases!$D$5:$D$1004,MATCH(ROW()-4,Purchases!$L$5:$L$1004,0)),"")</f>
        <v/>
      </c>
      <c r="B283" s="48" t="str">
        <f>IFERROR(VLOOKUP(A283,Purchases!$D:$E,2,FALSE),"")</f>
        <v/>
      </c>
      <c r="C283" s="48" t="str">
        <f>IFERROR(VLOOKUP(A283,Purchases!$D:$F,3,FALSE),"")</f>
        <v/>
      </c>
      <c r="D283" s="48" t="str">
        <f>IF(A283="","",SUMIF(Purchases!$D:$D,A283,Purchases!$K:$K))</f>
        <v/>
      </c>
      <c r="E283" s="48" t="str">
        <f>IF(A283="","",SUMIFS(Sales!$H:$H,Sales!$F:$F,A283,Sales!$B:$B,"&lt;&gt;Return"))</f>
        <v/>
      </c>
      <c r="F283" s="48" t="str">
        <f>IF(A283="","",SUMIFS(Sales!$H:$H,Sales!$F:$F,A283,Sales!$B:$B,"Return"))</f>
        <v/>
      </c>
      <c r="G283" s="48" t="str">
        <f>IF($A283="","",SUMIF('Shop Ledger'!$C:$C,$A283,'Shop Ledger'!$F:$F))</f>
        <v/>
      </c>
      <c r="H283" s="48" t="str">
        <f t="shared" si="1"/>
        <v/>
      </c>
      <c r="I283" s="44" t="str">
        <f>IF(A283="","",IFERROR(SUMIF(Purchases!$D:$D,A283,Purchases!$I:$I)/D283,0))</f>
        <v/>
      </c>
      <c r="J283" s="44" t="str">
        <f t="shared" si="2"/>
        <v/>
      </c>
      <c r="K283" s="30" t="str">
        <f>IF($A283="","",IFERROR(VALUE(SUBSTITUTE(SUBSTITUTE(SUBSTITUTE(VLOOKUP($A283,Inventory!$O$5:$P$604,2,FALSE),"Tk","")," ",""),",","")),""))</f>
        <v/>
      </c>
      <c r="L283" s="58" t="str">
        <f t="shared" si="3"/>
        <v/>
      </c>
      <c r="M283" s="58" t="str">
        <f t="shared" si="4"/>
        <v/>
      </c>
      <c r="O283" s="59" t="str">
        <f t="shared" si="5"/>
        <v/>
      </c>
      <c r="P283" s="52"/>
    </row>
    <row r="284" ht="14.25" customHeight="1">
      <c r="A284" s="29" t="str">
        <f t="array" ref="A284">IFERROR(INDEX(Purchases!$D$5:$D$1004,MATCH(ROW()-4,Purchases!$L$5:$L$1004,0)),"")</f>
        <v/>
      </c>
      <c r="B284" s="48" t="str">
        <f>IFERROR(VLOOKUP(A284,Purchases!$D:$E,2,FALSE),"")</f>
        <v/>
      </c>
      <c r="C284" s="48" t="str">
        <f>IFERROR(VLOOKUP(A284,Purchases!$D:$F,3,FALSE),"")</f>
        <v/>
      </c>
      <c r="D284" s="48" t="str">
        <f>IF(A284="","",SUMIF(Purchases!$D:$D,A284,Purchases!$K:$K))</f>
        <v/>
      </c>
      <c r="E284" s="48" t="str">
        <f>IF(A284="","",SUMIFS(Sales!$H:$H,Sales!$F:$F,A284,Sales!$B:$B,"&lt;&gt;Return"))</f>
        <v/>
      </c>
      <c r="F284" s="48" t="str">
        <f>IF(A284="","",SUMIFS(Sales!$H:$H,Sales!$F:$F,A284,Sales!$B:$B,"Return"))</f>
        <v/>
      </c>
      <c r="G284" s="48" t="str">
        <f>IF($A284="","",SUMIF('Shop Ledger'!$C:$C,$A284,'Shop Ledger'!$F:$F))</f>
        <v/>
      </c>
      <c r="H284" s="48" t="str">
        <f t="shared" si="1"/>
        <v/>
      </c>
      <c r="I284" s="44" t="str">
        <f>IF(A284="","",IFERROR(SUMIF(Purchases!$D:$D,A284,Purchases!$I:$I)/D284,0))</f>
        <v/>
      </c>
      <c r="J284" s="44" t="str">
        <f t="shared" si="2"/>
        <v/>
      </c>
      <c r="K284" s="30" t="str">
        <f>IF($A284="","",IFERROR(VALUE(SUBSTITUTE(SUBSTITUTE(SUBSTITUTE(VLOOKUP($A284,Inventory!$O$5:$P$604,2,FALSE),"Tk","")," ",""),",","")),""))</f>
        <v/>
      </c>
      <c r="L284" s="58" t="str">
        <f t="shared" si="3"/>
        <v/>
      </c>
      <c r="M284" s="58" t="str">
        <f t="shared" si="4"/>
        <v/>
      </c>
      <c r="O284" s="59" t="str">
        <f t="shared" si="5"/>
        <v/>
      </c>
      <c r="P284" s="52"/>
    </row>
    <row r="285" ht="14.25" customHeight="1">
      <c r="A285" s="29" t="str">
        <f t="array" ref="A285">IFERROR(INDEX(Purchases!$D$5:$D$1004,MATCH(ROW()-4,Purchases!$L$5:$L$1004,0)),"")</f>
        <v/>
      </c>
      <c r="B285" s="48" t="str">
        <f>IFERROR(VLOOKUP(A285,Purchases!$D:$E,2,FALSE),"")</f>
        <v/>
      </c>
      <c r="C285" s="48" t="str">
        <f>IFERROR(VLOOKUP(A285,Purchases!$D:$F,3,FALSE),"")</f>
        <v/>
      </c>
      <c r="D285" s="48" t="str">
        <f>IF(A285="","",SUMIF(Purchases!$D:$D,A285,Purchases!$K:$K))</f>
        <v/>
      </c>
      <c r="E285" s="48" t="str">
        <f>IF(A285="","",SUMIFS(Sales!$H:$H,Sales!$F:$F,A285,Sales!$B:$B,"&lt;&gt;Return"))</f>
        <v/>
      </c>
      <c r="F285" s="48" t="str">
        <f>IF(A285="","",SUMIFS(Sales!$H:$H,Sales!$F:$F,A285,Sales!$B:$B,"Return"))</f>
        <v/>
      </c>
      <c r="G285" s="48" t="str">
        <f>IF($A285="","",SUMIF('Shop Ledger'!$C:$C,$A285,'Shop Ledger'!$F:$F))</f>
        <v/>
      </c>
      <c r="H285" s="48" t="str">
        <f t="shared" si="1"/>
        <v/>
      </c>
      <c r="I285" s="44" t="str">
        <f>IF(A285="","",IFERROR(SUMIF(Purchases!$D:$D,A285,Purchases!$I:$I)/D285,0))</f>
        <v/>
      </c>
      <c r="J285" s="44" t="str">
        <f t="shared" si="2"/>
        <v/>
      </c>
      <c r="K285" s="30" t="str">
        <f>IF($A285="","",IFERROR(VALUE(SUBSTITUTE(SUBSTITUTE(SUBSTITUTE(VLOOKUP($A285,Inventory!$O$5:$P$604,2,FALSE),"Tk","")," ",""),",","")),""))</f>
        <v/>
      </c>
      <c r="L285" s="58" t="str">
        <f t="shared" si="3"/>
        <v/>
      </c>
      <c r="M285" s="58" t="str">
        <f t="shared" si="4"/>
        <v/>
      </c>
      <c r="O285" s="59" t="str">
        <f t="shared" si="5"/>
        <v/>
      </c>
      <c r="P285" s="52"/>
    </row>
    <row r="286" ht="14.25" customHeight="1">
      <c r="A286" s="29" t="str">
        <f t="array" ref="A286">IFERROR(INDEX(Purchases!$D$5:$D$1004,MATCH(ROW()-4,Purchases!$L$5:$L$1004,0)),"")</f>
        <v/>
      </c>
      <c r="B286" s="48" t="str">
        <f>IFERROR(VLOOKUP(A286,Purchases!$D:$E,2,FALSE),"")</f>
        <v/>
      </c>
      <c r="C286" s="48" t="str">
        <f>IFERROR(VLOOKUP(A286,Purchases!$D:$F,3,FALSE),"")</f>
        <v/>
      </c>
      <c r="D286" s="48" t="str">
        <f>IF(A286="","",SUMIF(Purchases!$D:$D,A286,Purchases!$K:$K))</f>
        <v/>
      </c>
      <c r="E286" s="48" t="str">
        <f>IF(A286="","",SUMIFS(Sales!$H:$H,Sales!$F:$F,A286,Sales!$B:$B,"&lt;&gt;Return"))</f>
        <v/>
      </c>
      <c r="F286" s="48" t="str">
        <f>IF(A286="","",SUMIFS(Sales!$H:$H,Sales!$F:$F,A286,Sales!$B:$B,"Return"))</f>
        <v/>
      </c>
      <c r="G286" s="48" t="str">
        <f>IF($A286="","",SUMIF('Shop Ledger'!$C:$C,$A286,'Shop Ledger'!$F:$F))</f>
        <v/>
      </c>
      <c r="H286" s="48" t="str">
        <f t="shared" si="1"/>
        <v/>
      </c>
      <c r="I286" s="44" t="str">
        <f>IF(A286="","",IFERROR(SUMIF(Purchases!$D:$D,A286,Purchases!$I:$I)/D286,0))</f>
        <v/>
      </c>
      <c r="J286" s="44" t="str">
        <f t="shared" si="2"/>
        <v/>
      </c>
      <c r="K286" s="30" t="str">
        <f>IF($A286="","",IFERROR(VALUE(SUBSTITUTE(SUBSTITUTE(SUBSTITUTE(VLOOKUP($A286,Inventory!$O$5:$P$604,2,FALSE),"Tk","")," ",""),",","")),""))</f>
        <v/>
      </c>
      <c r="L286" s="58" t="str">
        <f t="shared" si="3"/>
        <v/>
      </c>
      <c r="M286" s="58" t="str">
        <f t="shared" si="4"/>
        <v/>
      </c>
      <c r="O286" s="59" t="str">
        <f t="shared" si="5"/>
        <v/>
      </c>
      <c r="P286" s="52"/>
    </row>
    <row r="287" ht="14.25" customHeight="1">
      <c r="A287" s="29" t="str">
        <f t="array" ref="A287">IFERROR(INDEX(Purchases!$D$5:$D$1004,MATCH(ROW()-4,Purchases!$L$5:$L$1004,0)),"")</f>
        <v/>
      </c>
      <c r="B287" s="48" t="str">
        <f>IFERROR(VLOOKUP(A287,Purchases!$D:$E,2,FALSE),"")</f>
        <v/>
      </c>
      <c r="C287" s="48" t="str">
        <f>IFERROR(VLOOKUP(A287,Purchases!$D:$F,3,FALSE),"")</f>
        <v/>
      </c>
      <c r="D287" s="48" t="str">
        <f>IF(A287="","",SUMIF(Purchases!$D:$D,A287,Purchases!$K:$K))</f>
        <v/>
      </c>
      <c r="E287" s="48" t="str">
        <f>IF(A287="","",SUMIFS(Sales!$H:$H,Sales!$F:$F,A287,Sales!$B:$B,"&lt;&gt;Return"))</f>
        <v/>
      </c>
      <c r="F287" s="48" t="str">
        <f>IF(A287="","",SUMIFS(Sales!$H:$H,Sales!$F:$F,A287,Sales!$B:$B,"Return"))</f>
        <v/>
      </c>
      <c r="G287" s="48" t="str">
        <f>IF($A287="","",SUMIF('Shop Ledger'!$C:$C,$A287,'Shop Ledger'!$F:$F))</f>
        <v/>
      </c>
      <c r="H287" s="48" t="str">
        <f t="shared" si="1"/>
        <v/>
      </c>
      <c r="I287" s="44" t="str">
        <f>IF(A287="","",IFERROR(SUMIF(Purchases!$D:$D,A287,Purchases!$I:$I)/D287,0))</f>
        <v/>
      </c>
      <c r="J287" s="44" t="str">
        <f t="shared" si="2"/>
        <v/>
      </c>
      <c r="K287" s="30" t="str">
        <f>IF($A287="","",IFERROR(VALUE(SUBSTITUTE(SUBSTITUTE(SUBSTITUTE(VLOOKUP($A287,Inventory!$O$5:$P$604,2,FALSE),"Tk","")," ",""),",","")),""))</f>
        <v/>
      </c>
      <c r="L287" s="58" t="str">
        <f t="shared" si="3"/>
        <v/>
      </c>
      <c r="M287" s="58" t="str">
        <f t="shared" si="4"/>
        <v/>
      </c>
      <c r="O287" s="59" t="str">
        <f t="shared" si="5"/>
        <v/>
      </c>
      <c r="P287" s="52"/>
    </row>
    <row r="288" ht="14.25" customHeight="1">
      <c r="A288" s="29" t="str">
        <f t="array" ref="A288">IFERROR(INDEX(Purchases!$D$5:$D$1004,MATCH(ROW()-4,Purchases!$L$5:$L$1004,0)),"")</f>
        <v/>
      </c>
      <c r="B288" s="48" t="str">
        <f>IFERROR(VLOOKUP(A288,Purchases!$D:$E,2,FALSE),"")</f>
        <v/>
      </c>
      <c r="C288" s="48" t="str">
        <f>IFERROR(VLOOKUP(A288,Purchases!$D:$F,3,FALSE),"")</f>
        <v/>
      </c>
      <c r="D288" s="48" t="str">
        <f>IF(A288="","",SUMIF(Purchases!$D:$D,A288,Purchases!$K:$K))</f>
        <v/>
      </c>
      <c r="E288" s="48" t="str">
        <f>IF(A288="","",SUMIFS(Sales!$H:$H,Sales!$F:$F,A288,Sales!$B:$B,"&lt;&gt;Return"))</f>
        <v/>
      </c>
      <c r="F288" s="48" t="str">
        <f>IF(A288="","",SUMIFS(Sales!$H:$H,Sales!$F:$F,A288,Sales!$B:$B,"Return"))</f>
        <v/>
      </c>
      <c r="G288" s="48" t="str">
        <f>IF($A288="","",SUMIF('Shop Ledger'!$C:$C,$A288,'Shop Ledger'!$F:$F))</f>
        <v/>
      </c>
      <c r="H288" s="48" t="str">
        <f t="shared" si="1"/>
        <v/>
      </c>
      <c r="I288" s="44" t="str">
        <f>IF(A288="","",IFERROR(SUMIF(Purchases!$D:$D,A288,Purchases!$I:$I)/D288,0))</f>
        <v/>
      </c>
      <c r="J288" s="44" t="str">
        <f t="shared" si="2"/>
        <v/>
      </c>
      <c r="K288" s="30" t="str">
        <f>IF($A288="","",IFERROR(VALUE(SUBSTITUTE(SUBSTITUTE(SUBSTITUTE(VLOOKUP($A288,Inventory!$O$5:$P$604,2,FALSE),"Tk","")," ",""),",","")),""))</f>
        <v/>
      </c>
      <c r="L288" s="58" t="str">
        <f t="shared" si="3"/>
        <v/>
      </c>
      <c r="M288" s="58" t="str">
        <f t="shared" si="4"/>
        <v/>
      </c>
      <c r="O288" s="59" t="str">
        <f t="shared" si="5"/>
        <v/>
      </c>
      <c r="P288" s="52"/>
    </row>
    <row r="289" ht="14.25" customHeight="1">
      <c r="A289" s="29" t="str">
        <f t="array" ref="A289">IFERROR(INDEX(Purchases!$D$5:$D$1004,MATCH(ROW()-4,Purchases!$L$5:$L$1004,0)),"")</f>
        <v/>
      </c>
      <c r="B289" s="48" t="str">
        <f>IFERROR(VLOOKUP(A289,Purchases!$D:$E,2,FALSE),"")</f>
        <v/>
      </c>
      <c r="C289" s="48" t="str">
        <f>IFERROR(VLOOKUP(A289,Purchases!$D:$F,3,FALSE),"")</f>
        <v/>
      </c>
      <c r="D289" s="48" t="str">
        <f>IF(A289="","",SUMIF(Purchases!$D:$D,A289,Purchases!$K:$K))</f>
        <v/>
      </c>
      <c r="E289" s="48" t="str">
        <f>IF(A289="","",SUMIFS(Sales!$H:$H,Sales!$F:$F,A289,Sales!$B:$B,"&lt;&gt;Return"))</f>
        <v/>
      </c>
      <c r="F289" s="48" t="str">
        <f>IF(A289="","",SUMIFS(Sales!$H:$H,Sales!$F:$F,A289,Sales!$B:$B,"Return"))</f>
        <v/>
      </c>
      <c r="G289" s="48" t="str">
        <f>IF($A289="","",SUMIF('Shop Ledger'!$C:$C,$A289,'Shop Ledger'!$F:$F))</f>
        <v/>
      </c>
      <c r="H289" s="48" t="str">
        <f t="shared" si="1"/>
        <v/>
      </c>
      <c r="I289" s="44" t="str">
        <f>IF(A289="","",IFERROR(SUMIF(Purchases!$D:$D,A289,Purchases!$I:$I)/D289,0))</f>
        <v/>
      </c>
      <c r="J289" s="44" t="str">
        <f t="shared" si="2"/>
        <v/>
      </c>
      <c r="K289" s="30" t="str">
        <f>IF($A289="","",IFERROR(VALUE(SUBSTITUTE(SUBSTITUTE(SUBSTITUTE(VLOOKUP($A289,Inventory!$O$5:$P$604,2,FALSE),"Tk","")," ",""),",","")),""))</f>
        <v/>
      </c>
      <c r="L289" s="58" t="str">
        <f t="shared" si="3"/>
        <v/>
      </c>
      <c r="M289" s="58" t="str">
        <f t="shared" si="4"/>
        <v/>
      </c>
      <c r="O289" s="59" t="str">
        <f t="shared" si="5"/>
        <v/>
      </c>
      <c r="P289" s="52"/>
    </row>
    <row r="290" ht="14.25" customHeight="1">
      <c r="A290" s="29" t="str">
        <f t="array" ref="A290">IFERROR(INDEX(Purchases!$D$5:$D$1004,MATCH(ROW()-4,Purchases!$L$5:$L$1004,0)),"")</f>
        <v/>
      </c>
      <c r="B290" s="48" t="str">
        <f>IFERROR(VLOOKUP(A290,Purchases!$D:$E,2,FALSE),"")</f>
        <v/>
      </c>
      <c r="C290" s="48" t="str">
        <f>IFERROR(VLOOKUP(A290,Purchases!$D:$F,3,FALSE),"")</f>
        <v/>
      </c>
      <c r="D290" s="48" t="str">
        <f>IF(A290="","",SUMIF(Purchases!$D:$D,A290,Purchases!$K:$K))</f>
        <v/>
      </c>
      <c r="E290" s="48" t="str">
        <f>IF(A290="","",SUMIFS(Sales!$H:$H,Sales!$F:$F,A290,Sales!$B:$B,"&lt;&gt;Return"))</f>
        <v/>
      </c>
      <c r="F290" s="48" t="str">
        <f>IF(A290="","",SUMIFS(Sales!$H:$H,Sales!$F:$F,A290,Sales!$B:$B,"Return"))</f>
        <v/>
      </c>
      <c r="G290" s="48" t="str">
        <f>IF($A290="","",SUMIF('Shop Ledger'!$C:$C,$A290,'Shop Ledger'!$F:$F))</f>
        <v/>
      </c>
      <c r="H290" s="48" t="str">
        <f t="shared" si="1"/>
        <v/>
      </c>
      <c r="I290" s="44" t="str">
        <f>IF(A290="","",IFERROR(SUMIF(Purchases!$D:$D,A290,Purchases!$I:$I)/D290,0))</f>
        <v/>
      </c>
      <c r="J290" s="44" t="str">
        <f t="shared" si="2"/>
        <v/>
      </c>
      <c r="K290" s="30" t="str">
        <f>IF($A290="","",IFERROR(VALUE(SUBSTITUTE(SUBSTITUTE(SUBSTITUTE(VLOOKUP($A290,Inventory!$O$5:$P$604,2,FALSE),"Tk","")," ",""),",","")),""))</f>
        <v/>
      </c>
      <c r="L290" s="58" t="str">
        <f t="shared" si="3"/>
        <v/>
      </c>
      <c r="M290" s="58" t="str">
        <f t="shared" si="4"/>
        <v/>
      </c>
      <c r="O290" s="59" t="str">
        <f t="shared" si="5"/>
        <v/>
      </c>
      <c r="P290" s="52"/>
    </row>
    <row r="291" ht="14.25" customHeight="1">
      <c r="A291" s="29" t="str">
        <f t="array" ref="A291">IFERROR(INDEX(Purchases!$D$5:$D$1004,MATCH(ROW()-4,Purchases!$L$5:$L$1004,0)),"")</f>
        <v/>
      </c>
      <c r="B291" s="48" t="str">
        <f>IFERROR(VLOOKUP(A291,Purchases!$D:$E,2,FALSE),"")</f>
        <v/>
      </c>
      <c r="C291" s="48" t="str">
        <f>IFERROR(VLOOKUP(A291,Purchases!$D:$F,3,FALSE),"")</f>
        <v/>
      </c>
      <c r="D291" s="48" t="str">
        <f>IF(A291="","",SUMIF(Purchases!$D:$D,A291,Purchases!$K:$K))</f>
        <v/>
      </c>
      <c r="E291" s="48" t="str">
        <f>IF(A291="","",SUMIFS(Sales!$H:$H,Sales!$F:$F,A291,Sales!$B:$B,"&lt;&gt;Return"))</f>
        <v/>
      </c>
      <c r="F291" s="48" t="str">
        <f>IF(A291="","",SUMIFS(Sales!$H:$H,Sales!$F:$F,A291,Sales!$B:$B,"Return"))</f>
        <v/>
      </c>
      <c r="G291" s="48" t="str">
        <f>IF($A291="","",SUMIF('Shop Ledger'!$C:$C,$A291,'Shop Ledger'!$F:$F))</f>
        <v/>
      </c>
      <c r="H291" s="48" t="str">
        <f t="shared" si="1"/>
        <v/>
      </c>
      <c r="I291" s="44" t="str">
        <f>IF(A291="","",IFERROR(SUMIF(Purchases!$D:$D,A291,Purchases!$I:$I)/D291,0))</f>
        <v/>
      </c>
      <c r="J291" s="44" t="str">
        <f t="shared" si="2"/>
        <v/>
      </c>
      <c r="K291" s="30" t="str">
        <f>IF($A291="","",IFERROR(VALUE(SUBSTITUTE(SUBSTITUTE(SUBSTITUTE(VLOOKUP($A291,Inventory!$O$5:$P$604,2,FALSE),"Tk","")," ",""),",","")),""))</f>
        <v/>
      </c>
      <c r="L291" s="58" t="str">
        <f t="shared" si="3"/>
        <v/>
      </c>
      <c r="M291" s="58" t="str">
        <f t="shared" si="4"/>
        <v/>
      </c>
      <c r="O291" s="59" t="str">
        <f t="shared" si="5"/>
        <v/>
      </c>
      <c r="P291" s="52"/>
    </row>
    <row r="292" ht="14.25" customHeight="1">
      <c r="A292" s="29" t="str">
        <f t="array" ref="A292">IFERROR(INDEX(Purchases!$D$5:$D$1004,MATCH(ROW()-4,Purchases!$L$5:$L$1004,0)),"")</f>
        <v/>
      </c>
      <c r="B292" s="48" t="str">
        <f>IFERROR(VLOOKUP(A292,Purchases!$D:$E,2,FALSE),"")</f>
        <v/>
      </c>
      <c r="C292" s="48" t="str">
        <f>IFERROR(VLOOKUP(A292,Purchases!$D:$F,3,FALSE),"")</f>
        <v/>
      </c>
      <c r="D292" s="48" t="str">
        <f>IF(A292="","",SUMIF(Purchases!$D:$D,A292,Purchases!$K:$K))</f>
        <v/>
      </c>
      <c r="E292" s="48" t="str">
        <f>IF(A292="","",SUMIFS(Sales!$H:$H,Sales!$F:$F,A292,Sales!$B:$B,"&lt;&gt;Return"))</f>
        <v/>
      </c>
      <c r="F292" s="48" t="str">
        <f>IF(A292="","",SUMIFS(Sales!$H:$H,Sales!$F:$F,A292,Sales!$B:$B,"Return"))</f>
        <v/>
      </c>
      <c r="G292" s="48" t="str">
        <f>IF($A292="","",SUMIF('Shop Ledger'!$C:$C,$A292,'Shop Ledger'!$F:$F))</f>
        <v/>
      </c>
      <c r="H292" s="48" t="str">
        <f t="shared" si="1"/>
        <v/>
      </c>
      <c r="I292" s="44" t="str">
        <f>IF(A292="","",IFERROR(SUMIF(Purchases!$D:$D,A292,Purchases!$I:$I)/D292,0))</f>
        <v/>
      </c>
      <c r="J292" s="44" t="str">
        <f t="shared" si="2"/>
        <v/>
      </c>
      <c r="K292" s="30" t="str">
        <f>IF($A292="","",IFERROR(VALUE(SUBSTITUTE(SUBSTITUTE(SUBSTITUTE(VLOOKUP($A292,Inventory!$O$5:$P$604,2,FALSE),"Tk","")," ",""),",","")),""))</f>
        <v/>
      </c>
      <c r="L292" s="58" t="str">
        <f t="shared" si="3"/>
        <v/>
      </c>
      <c r="M292" s="58" t="str">
        <f t="shared" si="4"/>
        <v/>
      </c>
      <c r="O292" s="59" t="str">
        <f t="shared" si="5"/>
        <v/>
      </c>
      <c r="P292" s="52"/>
    </row>
    <row r="293" ht="14.25" customHeight="1">
      <c r="A293" s="29" t="str">
        <f t="array" ref="A293">IFERROR(INDEX(Purchases!$D$5:$D$1004,MATCH(ROW()-4,Purchases!$L$5:$L$1004,0)),"")</f>
        <v/>
      </c>
      <c r="B293" s="48" t="str">
        <f>IFERROR(VLOOKUP(A293,Purchases!$D:$E,2,FALSE),"")</f>
        <v/>
      </c>
      <c r="C293" s="48" t="str">
        <f>IFERROR(VLOOKUP(A293,Purchases!$D:$F,3,FALSE),"")</f>
        <v/>
      </c>
      <c r="D293" s="48" t="str">
        <f>IF(A293="","",SUMIF(Purchases!$D:$D,A293,Purchases!$K:$K))</f>
        <v/>
      </c>
      <c r="E293" s="48" t="str">
        <f>IF(A293="","",SUMIFS(Sales!$H:$H,Sales!$F:$F,A293,Sales!$B:$B,"&lt;&gt;Return"))</f>
        <v/>
      </c>
      <c r="F293" s="48" t="str">
        <f>IF(A293="","",SUMIFS(Sales!$H:$H,Sales!$F:$F,A293,Sales!$B:$B,"Return"))</f>
        <v/>
      </c>
      <c r="G293" s="48" t="str">
        <f>IF($A293="","",SUMIF('Shop Ledger'!$C:$C,$A293,'Shop Ledger'!$F:$F))</f>
        <v/>
      </c>
      <c r="H293" s="48" t="str">
        <f t="shared" si="1"/>
        <v/>
      </c>
      <c r="I293" s="44" t="str">
        <f>IF(A293="","",IFERROR(SUMIF(Purchases!$D:$D,A293,Purchases!$I:$I)/D293,0))</f>
        <v/>
      </c>
      <c r="J293" s="44" t="str">
        <f t="shared" si="2"/>
        <v/>
      </c>
      <c r="K293" s="30" t="str">
        <f>IF($A293="","",IFERROR(VALUE(SUBSTITUTE(SUBSTITUTE(SUBSTITUTE(VLOOKUP($A293,Inventory!$O$5:$P$604,2,FALSE),"Tk","")," ",""),",","")),""))</f>
        <v/>
      </c>
      <c r="L293" s="58" t="str">
        <f t="shared" si="3"/>
        <v/>
      </c>
      <c r="M293" s="58" t="str">
        <f t="shared" si="4"/>
        <v/>
      </c>
      <c r="O293" s="59" t="str">
        <f t="shared" si="5"/>
        <v/>
      </c>
      <c r="P293" s="52"/>
    </row>
    <row r="294" ht="14.25" customHeight="1">
      <c r="A294" s="29" t="str">
        <f t="array" ref="A294">IFERROR(INDEX(Purchases!$D$5:$D$1004,MATCH(ROW()-4,Purchases!$L$5:$L$1004,0)),"")</f>
        <v/>
      </c>
      <c r="B294" s="48" t="str">
        <f>IFERROR(VLOOKUP(A294,Purchases!$D:$E,2,FALSE),"")</f>
        <v/>
      </c>
      <c r="C294" s="48" t="str">
        <f>IFERROR(VLOOKUP(A294,Purchases!$D:$F,3,FALSE),"")</f>
        <v/>
      </c>
      <c r="D294" s="48" t="str">
        <f>IF(A294="","",SUMIF(Purchases!$D:$D,A294,Purchases!$K:$K))</f>
        <v/>
      </c>
      <c r="E294" s="48" t="str">
        <f>IF(A294="","",SUMIFS(Sales!$H:$H,Sales!$F:$F,A294,Sales!$B:$B,"&lt;&gt;Return"))</f>
        <v/>
      </c>
      <c r="F294" s="48" t="str">
        <f>IF(A294="","",SUMIFS(Sales!$H:$H,Sales!$F:$F,A294,Sales!$B:$B,"Return"))</f>
        <v/>
      </c>
      <c r="G294" s="48" t="str">
        <f>IF($A294="","",SUMIF('Shop Ledger'!$C:$C,$A294,'Shop Ledger'!$F:$F))</f>
        <v/>
      </c>
      <c r="H294" s="48" t="str">
        <f t="shared" si="1"/>
        <v/>
      </c>
      <c r="I294" s="44" t="str">
        <f>IF(A294="","",IFERROR(SUMIF(Purchases!$D:$D,A294,Purchases!$I:$I)/D294,0))</f>
        <v/>
      </c>
      <c r="J294" s="44" t="str">
        <f t="shared" si="2"/>
        <v/>
      </c>
      <c r="K294" s="30" t="str">
        <f>IF($A294="","",IFERROR(VALUE(SUBSTITUTE(SUBSTITUTE(SUBSTITUTE(VLOOKUP($A294,Inventory!$O$5:$P$604,2,FALSE),"Tk","")," ",""),",","")),""))</f>
        <v/>
      </c>
      <c r="L294" s="58" t="str">
        <f t="shared" si="3"/>
        <v/>
      </c>
      <c r="M294" s="58" t="str">
        <f t="shared" si="4"/>
        <v/>
      </c>
      <c r="O294" s="59" t="str">
        <f t="shared" si="5"/>
        <v/>
      </c>
      <c r="P294" s="52"/>
    </row>
    <row r="295" ht="14.25" customHeight="1">
      <c r="A295" s="29" t="str">
        <f t="array" ref="A295">IFERROR(INDEX(Purchases!$D$5:$D$1004,MATCH(ROW()-4,Purchases!$L$5:$L$1004,0)),"")</f>
        <v/>
      </c>
      <c r="B295" s="48" t="str">
        <f>IFERROR(VLOOKUP(A295,Purchases!$D:$E,2,FALSE),"")</f>
        <v/>
      </c>
      <c r="C295" s="48" t="str">
        <f>IFERROR(VLOOKUP(A295,Purchases!$D:$F,3,FALSE),"")</f>
        <v/>
      </c>
      <c r="D295" s="48" t="str">
        <f>IF(A295="","",SUMIF(Purchases!$D:$D,A295,Purchases!$K:$K))</f>
        <v/>
      </c>
      <c r="E295" s="48" t="str">
        <f>IF(A295="","",SUMIFS(Sales!$H:$H,Sales!$F:$F,A295,Sales!$B:$B,"&lt;&gt;Return"))</f>
        <v/>
      </c>
      <c r="F295" s="48" t="str">
        <f>IF(A295="","",SUMIFS(Sales!$H:$H,Sales!$F:$F,A295,Sales!$B:$B,"Return"))</f>
        <v/>
      </c>
      <c r="G295" s="48" t="str">
        <f>IF($A295="","",SUMIF('Shop Ledger'!$C:$C,$A295,'Shop Ledger'!$F:$F))</f>
        <v/>
      </c>
      <c r="H295" s="48" t="str">
        <f t="shared" si="1"/>
        <v/>
      </c>
      <c r="I295" s="44" t="str">
        <f>IF(A295="","",IFERROR(SUMIF(Purchases!$D:$D,A295,Purchases!$I:$I)/D295,0))</f>
        <v/>
      </c>
      <c r="J295" s="44" t="str">
        <f t="shared" si="2"/>
        <v/>
      </c>
      <c r="K295" s="30" t="str">
        <f>IF($A295="","",IFERROR(VALUE(SUBSTITUTE(SUBSTITUTE(SUBSTITUTE(VLOOKUP($A295,Inventory!$O$5:$P$604,2,FALSE),"Tk","")," ",""),",","")),""))</f>
        <v/>
      </c>
      <c r="L295" s="58" t="str">
        <f t="shared" si="3"/>
        <v/>
      </c>
      <c r="M295" s="58" t="str">
        <f t="shared" si="4"/>
        <v/>
      </c>
      <c r="O295" s="59" t="str">
        <f t="shared" si="5"/>
        <v/>
      </c>
      <c r="P295" s="52"/>
    </row>
    <row r="296" ht="14.25" customHeight="1">
      <c r="A296" s="29" t="str">
        <f t="array" ref="A296">IFERROR(INDEX(Purchases!$D$5:$D$1004,MATCH(ROW()-4,Purchases!$L$5:$L$1004,0)),"")</f>
        <v/>
      </c>
      <c r="B296" s="48" t="str">
        <f>IFERROR(VLOOKUP(A296,Purchases!$D:$E,2,FALSE),"")</f>
        <v/>
      </c>
      <c r="C296" s="48" t="str">
        <f>IFERROR(VLOOKUP(A296,Purchases!$D:$F,3,FALSE),"")</f>
        <v/>
      </c>
      <c r="D296" s="48" t="str">
        <f>IF(A296="","",SUMIF(Purchases!$D:$D,A296,Purchases!$K:$K))</f>
        <v/>
      </c>
      <c r="E296" s="48" t="str">
        <f>IF(A296="","",SUMIFS(Sales!$H:$H,Sales!$F:$F,A296,Sales!$B:$B,"&lt;&gt;Return"))</f>
        <v/>
      </c>
      <c r="F296" s="48" t="str">
        <f>IF(A296="","",SUMIFS(Sales!$H:$H,Sales!$F:$F,A296,Sales!$B:$B,"Return"))</f>
        <v/>
      </c>
      <c r="G296" s="48" t="str">
        <f>IF($A296="","",SUMIF('Shop Ledger'!$C:$C,$A296,'Shop Ledger'!$F:$F))</f>
        <v/>
      </c>
      <c r="H296" s="48" t="str">
        <f t="shared" si="1"/>
        <v/>
      </c>
      <c r="I296" s="44" t="str">
        <f>IF(A296="","",IFERROR(SUMIF(Purchases!$D:$D,A296,Purchases!$I:$I)/D296,0))</f>
        <v/>
      </c>
      <c r="J296" s="44" t="str">
        <f t="shared" si="2"/>
        <v/>
      </c>
      <c r="K296" s="30" t="str">
        <f>IF($A296="","",IFERROR(VALUE(SUBSTITUTE(SUBSTITUTE(SUBSTITUTE(VLOOKUP($A296,Inventory!$O$5:$P$604,2,FALSE),"Tk","")," ",""),",","")),""))</f>
        <v/>
      </c>
      <c r="L296" s="58" t="str">
        <f t="shared" si="3"/>
        <v/>
      </c>
      <c r="M296" s="58" t="str">
        <f t="shared" si="4"/>
        <v/>
      </c>
      <c r="O296" s="59" t="str">
        <f t="shared" si="5"/>
        <v/>
      </c>
      <c r="P296" s="52"/>
    </row>
    <row r="297" ht="14.25" customHeight="1">
      <c r="A297" s="29" t="str">
        <f t="array" ref="A297">IFERROR(INDEX(Purchases!$D$5:$D$1004,MATCH(ROW()-4,Purchases!$L$5:$L$1004,0)),"")</f>
        <v/>
      </c>
      <c r="B297" s="48" t="str">
        <f>IFERROR(VLOOKUP(A297,Purchases!$D:$E,2,FALSE),"")</f>
        <v/>
      </c>
      <c r="C297" s="48" t="str">
        <f>IFERROR(VLOOKUP(A297,Purchases!$D:$F,3,FALSE),"")</f>
        <v/>
      </c>
      <c r="D297" s="48" t="str">
        <f>IF(A297="","",SUMIF(Purchases!$D:$D,A297,Purchases!$K:$K))</f>
        <v/>
      </c>
      <c r="E297" s="48" t="str">
        <f>IF(A297="","",SUMIFS(Sales!$H:$H,Sales!$F:$F,A297,Sales!$B:$B,"&lt;&gt;Return"))</f>
        <v/>
      </c>
      <c r="F297" s="48" t="str">
        <f>IF(A297="","",SUMIFS(Sales!$H:$H,Sales!$F:$F,A297,Sales!$B:$B,"Return"))</f>
        <v/>
      </c>
      <c r="G297" s="48" t="str">
        <f>IF($A297="","",SUMIF('Shop Ledger'!$C:$C,$A297,'Shop Ledger'!$F:$F))</f>
        <v/>
      </c>
      <c r="H297" s="48" t="str">
        <f t="shared" si="1"/>
        <v/>
      </c>
      <c r="I297" s="44" t="str">
        <f>IF(A297="","",IFERROR(SUMIF(Purchases!$D:$D,A297,Purchases!$I:$I)/D297,0))</f>
        <v/>
      </c>
      <c r="J297" s="44" t="str">
        <f t="shared" si="2"/>
        <v/>
      </c>
      <c r="K297" s="30" t="str">
        <f>IF($A297="","",IFERROR(VALUE(SUBSTITUTE(SUBSTITUTE(SUBSTITUTE(VLOOKUP($A297,Inventory!$O$5:$P$604,2,FALSE),"Tk","")," ",""),",","")),""))</f>
        <v/>
      </c>
      <c r="L297" s="58" t="str">
        <f t="shared" si="3"/>
        <v/>
      </c>
      <c r="M297" s="58" t="str">
        <f t="shared" si="4"/>
        <v/>
      </c>
      <c r="O297" s="59" t="str">
        <f t="shared" si="5"/>
        <v/>
      </c>
      <c r="P297" s="52"/>
    </row>
    <row r="298" ht="14.25" customHeight="1">
      <c r="A298" s="29" t="str">
        <f t="array" ref="A298">IFERROR(INDEX(Purchases!$D$5:$D$1004,MATCH(ROW()-4,Purchases!$L$5:$L$1004,0)),"")</f>
        <v/>
      </c>
      <c r="B298" s="48" t="str">
        <f>IFERROR(VLOOKUP(A298,Purchases!$D:$E,2,FALSE),"")</f>
        <v/>
      </c>
      <c r="C298" s="48" t="str">
        <f>IFERROR(VLOOKUP(A298,Purchases!$D:$F,3,FALSE),"")</f>
        <v/>
      </c>
      <c r="D298" s="48" t="str">
        <f>IF(A298="","",SUMIF(Purchases!$D:$D,A298,Purchases!$K:$K))</f>
        <v/>
      </c>
      <c r="E298" s="48" t="str">
        <f>IF(A298="","",SUMIFS(Sales!$H:$H,Sales!$F:$F,A298,Sales!$B:$B,"&lt;&gt;Return"))</f>
        <v/>
      </c>
      <c r="F298" s="48" t="str">
        <f>IF(A298="","",SUMIFS(Sales!$H:$H,Sales!$F:$F,A298,Sales!$B:$B,"Return"))</f>
        <v/>
      </c>
      <c r="G298" s="48" t="str">
        <f>IF($A298="","",SUMIF('Shop Ledger'!$C:$C,$A298,'Shop Ledger'!$F:$F))</f>
        <v/>
      </c>
      <c r="H298" s="48" t="str">
        <f t="shared" si="1"/>
        <v/>
      </c>
      <c r="I298" s="44" t="str">
        <f>IF(A298="","",IFERROR(SUMIF(Purchases!$D:$D,A298,Purchases!$I:$I)/D298,0))</f>
        <v/>
      </c>
      <c r="J298" s="44" t="str">
        <f t="shared" si="2"/>
        <v/>
      </c>
      <c r="K298" s="30" t="str">
        <f>IF($A298="","",IFERROR(VALUE(SUBSTITUTE(SUBSTITUTE(SUBSTITUTE(VLOOKUP($A298,Inventory!$O$5:$P$604,2,FALSE),"Tk","")," ",""),",","")),""))</f>
        <v/>
      </c>
      <c r="L298" s="58" t="str">
        <f t="shared" si="3"/>
        <v/>
      </c>
      <c r="M298" s="58" t="str">
        <f t="shared" si="4"/>
        <v/>
      </c>
      <c r="O298" s="59" t="str">
        <f t="shared" si="5"/>
        <v/>
      </c>
      <c r="P298" s="52"/>
    </row>
    <row r="299" ht="14.25" customHeight="1">
      <c r="A299" s="29" t="str">
        <f t="array" ref="A299">IFERROR(INDEX(Purchases!$D$5:$D$1004,MATCH(ROW()-4,Purchases!$L$5:$L$1004,0)),"")</f>
        <v/>
      </c>
      <c r="B299" s="48" t="str">
        <f>IFERROR(VLOOKUP(A299,Purchases!$D:$E,2,FALSE),"")</f>
        <v/>
      </c>
      <c r="C299" s="48" t="str">
        <f>IFERROR(VLOOKUP(A299,Purchases!$D:$F,3,FALSE),"")</f>
        <v/>
      </c>
      <c r="D299" s="48" t="str">
        <f>IF(A299="","",SUMIF(Purchases!$D:$D,A299,Purchases!$K:$K))</f>
        <v/>
      </c>
      <c r="E299" s="48" t="str">
        <f>IF(A299="","",SUMIFS(Sales!$H:$H,Sales!$F:$F,A299,Sales!$B:$B,"&lt;&gt;Return"))</f>
        <v/>
      </c>
      <c r="F299" s="48" t="str">
        <f>IF(A299="","",SUMIFS(Sales!$H:$H,Sales!$F:$F,A299,Sales!$B:$B,"Return"))</f>
        <v/>
      </c>
      <c r="G299" s="48" t="str">
        <f>IF($A299="","",SUMIF('Shop Ledger'!$C:$C,$A299,'Shop Ledger'!$F:$F))</f>
        <v/>
      </c>
      <c r="H299" s="48" t="str">
        <f t="shared" si="1"/>
        <v/>
      </c>
      <c r="I299" s="44" t="str">
        <f>IF(A299="","",IFERROR(SUMIF(Purchases!$D:$D,A299,Purchases!$I:$I)/D299,0))</f>
        <v/>
      </c>
      <c r="J299" s="44" t="str">
        <f t="shared" si="2"/>
        <v/>
      </c>
      <c r="K299" s="30" t="str">
        <f>IF($A299="","",IFERROR(VALUE(SUBSTITUTE(SUBSTITUTE(SUBSTITUTE(VLOOKUP($A299,Inventory!$O$5:$P$604,2,FALSE),"Tk","")," ",""),",","")),""))</f>
        <v/>
      </c>
      <c r="L299" s="58" t="str">
        <f t="shared" si="3"/>
        <v/>
      </c>
      <c r="M299" s="58" t="str">
        <f t="shared" si="4"/>
        <v/>
      </c>
      <c r="O299" s="59" t="str">
        <f t="shared" si="5"/>
        <v/>
      </c>
      <c r="P299" s="52"/>
    </row>
    <row r="300" ht="14.25" customHeight="1">
      <c r="A300" s="29" t="str">
        <f t="array" ref="A300">IFERROR(INDEX(Purchases!$D$5:$D$1004,MATCH(ROW()-4,Purchases!$L$5:$L$1004,0)),"")</f>
        <v/>
      </c>
      <c r="B300" s="48" t="str">
        <f>IFERROR(VLOOKUP(A300,Purchases!$D:$E,2,FALSE),"")</f>
        <v/>
      </c>
      <c r="C300" s="48" t="str">
        <f>IFERROR(VLOOKUP(A300,Purchases!$D:$F,3,FALSE),"")</f>
        <v/>
      </c>
      <c r="D300" s="48" t="str">
        <f>IF(A300="","",SUMIF(Purchases!$D:$D,A300,Purchases!$K:$K))</f>
        <v/>
      </c>
      <c r="E300" s="48" t="str">
        <f>IF(A300="","",SUMIFS(Sales!$H:$H,Sales!$F:$F,A300,Sales!$B:$B,"&lt;&gt;Return"))</f>
        <v/>
      </c>
      <c r="F300" s="48" t="str">
        <f>IF(A300="","",SUMIFS(Sales!$H:$H,Sales!$F:$F,A300,Sales!$B:$B,"Return"))</f>
        <v/>
      </c>
      <c r="G300" s="48" t="str">
        <f>IF($A300="","",SUMIF('Shop Ledger'!$C:$C,$A300,'Shop Ledger'!$F:$F))</f>
        <v/>
      </c>
      <c r="H300" s="48" t="str">
        <f t="shared" si="1"/>
        <v/>
      </c>
      <c r="I300" s="44" t="str">
        <f>IF(A300="","",IFERROR(SUMIF(Purchases!$D:$D,A300,Purchases!$I:$I)/D300,0))</f>
        <v/>
      </c>
      <c r="J300" s="44" t="str">
        <f t="shared" si="2"/>
        <v/>
      </c>
      <c r="K300" s="30" t="str">
        <f>IF($A300="","",IFERROR(VALUE(SUBSTITUTE(SUBSTITUTE(SUBSTITUTE(VLOOKUP($A300,Inventory!$O$5:$P$604,2,FALSE),"Tk","")," ",""),",","")),""))</f>
        <v/>
      </c>
      <c r="L300" s="58" t="str">
        <f t="shared" si="3"/>
        <v/>
      </c>
      <c r="M300" s="58" t="str">
        <f t="shared" si="4"/>
        <v/>
      </c>
      <c r="O300" s="59" t="str">
        <f t="shared" si="5"/>
        <v/>
      </c>
      <c r="P300" s="52"/>
    </row>
    <row r="301" ht="14.25" customHeight="1">
      <c r="A301" s="29" t="str">
        <f t="array" ref="A301">IFERROR(INDEX(Purchases!$D$5:$D$1004,MATCH(ROW()-4,Purchases!$L$5:$L$1004,0)),"")</f>
        <v/>
      </c>
      <c r="B301" s="48" t="str">
        <f>IFERROR(VLOOKUP(A301,Purchases!$D:$E,2,FALSE),"")</f>
        <v/>
      </c>
      <c r="C301" s="48" t="str">
        <f>IFERROR(VLOOKUP(A301,Purchases!$D:$F,3,FALSE),"")</f>
        <v/>
      </c>
      <c r="D301" s="48" t="str">
        <f>IF(A301="","",SUMIF(Purchases!$D:$D,A301,Purchases!$K:$K))</f>
        <v/>
      </c>
      <c r="E301" s="48" t="str">
        <f>IF(A301="","",SUMIFS(Sales!$H:$H,Sales!$F:$F,A301,Sales!$B:$B,"&lt;&gt;Return"))</f>
        <v/>
      </c>
      <c r="F301" s="48" t="str">
        <f>IF(A301="","",SUMIFS(Sales!$H:$H,Sales!$F:$F,A301,Sales!$B:$B,"Return"))</f>
        <v/>
      </c>
      <c r="G301" s="48" t="str">
        <f>IF($A301="","",SUMIF('Shop Ledger'!$C:$C,$A301,'Shop Ledger'!$F:$F))</f>
        <v/>
      </c>
      <c r="H301" s="48" t="str">
        <f t="shared" si="1"/>
        <v/>
      </c>
      <c r="I301" s="44" t="str">
        <f>IF(A301="","",IFERROR(SUMIF(Purchases!$D:$D,A301,Purchases!$I:$I)/D301,0))</f>
        <v/>
      </c>
      <c r="J301" s="44" t="str">
        <f t="shared" si="2"/>
        <v/>
      </c>
      <c r="K301" s="30" t="str">
        <f>IF($A301="","",IFERROR(VALUE(SUBSTITUTE(SUBSTITUTE(SUBSTITUTE(VLOOKUP($A301,Inventory!$O$5:$P$604,2,FALSE),"Tk","")," ",""),",","")),""))</f>
        <v/>
      </c>
      <c r="L301" s="58" t="str">
        <f t="shared" si="3"/>
        <v/>
      </c>
      <c r="M301" s="58" t="str">
        <f t="shared" si="4"/>
        <v/>
      </c>
      <c r="O301" s="59" t="str">
        <f t="shared" si="5"/>
        <v/>
      </c>
      <c r="P301" s="52"/>
    </row>
    <row r="302" ht="14.25" customHeight="1">
      <c r="A302" s="29" t="str">
        <f t="array" ref="A302">IFERROR(INDEX(Purchases!$D$5:$D$1004,MATCH(ROW()-4,Purchases!$L$5:$L$1004,0)),"")</f>
        <v/>
      </c>
      <c r="B302" s="48" t="str">
        <f>IFERROR(VLOOKUP(A302,Purchases!$D:$E,2,FALSE),"")</f>
        <v/>
      </c>
      <c r="C302" s="48" t="str">
        <f>IFERROR(VLOOKUP(A302,Purchases!$D:$F,3,FALSE),"")</f>
        <v/>
      </c>
      <c r="D302" s="48" t="str">
        <f>IF(A302="","",SUMIF(Purchases!$D:$D,A302,Purchases!$K:$K))</f>
        <v/>
      </c>
      <c r="E302" s="48" t="str">
        <f>IF(A302="","",SUMIFS(Sales!$H:$H,Sales!$F:$F,A302,Sales!$B:$B,"&lt;&gt;Return"))</f>
        <v/>
      </c>
      <c r="F302" s="48" t="str">
        <f>IF(A302="","",SUMIFS(Sales!$H:$H,Sales!$F:$F,A302,Sales!$B:$B,"Return"))</f>
        <v/>
      </c>
      <c r="G302" s="48" t="str">
        <f>IF($A302="","",SUMIF('Shop Ledger'!$C:$C,$A302,'Shop Ledger'!$F:$F))</f>
        <v/>
      </c>
      <c r="H302" s="48" t="str">
        <f t="shared" si="1"/>
        <v/>
      </c>
      <c r="I302" s="44" t="str">
        <f>IF(A302="","",IFERROR(SUMIF(Purchases!$D:$D,A302,Purchases!$I:$I)/D302,0))</f>
        <v/>
      </c>
      <c r="J302" s="44" t="str">
        <f t="shared" si="2"/>
        <v/>
      </c>
      <c r="K302" s="30" t="str">
        <f>IF($A302="","",IFERROR(VALUE(SUBSTITUTE(SUBSTITUTE(SUBSTITUTE(VLOOKUP($A302,Inventory!$O$5:$P$604,2,FALSE),"Tk","")," ",""),",","")),""))</f>
        <v/>
      </c>
      <c r="L302" s="58" t="str">
        <f t="shared" si="3"/>
        <v/>
      </c>
      <c r="M302" s="58" t="str">
        <f t="shared" si="4"/>
        <v/>
      </c>
      <c r="O302" s="59" t="str">
        <f t="shared" si="5"/>
        <v/>
      </c>
      <c r="P302" s="52"/>
    </row>
    <row r="303" ht="14.25" customHeight="1">
      <c r="A303" s="29" t="str">
        <f t="array" ref="A303">IFERROR(INDEX(Purchases!$D$5:$D$1004,MATCH(ROW()-4,Purchases!$L$5:$L$1004,0)),"")</f>
        <v/>
      </c>
      <c r="B303" s="48" t="str">
        <f>IFERROR(VLOOKUP(A303,Purchases!$D:$E,2,FALSE),"")</f>
        <v/>
      </c>
      <c r="C303" s="48" t="str">
        <f>IFERROR(VLOOKUP(A303,Purchases!$D:$F,3,FALSE),"")</f>
        <v/>
      </c>
      <c r="D303" s="48" t="str">
        <f>IF(A303="","",SUMIF(Purchases!$D:$D,A303,Purchases!$K:$K))</f>
        <v/>
      </c>
      <c r="E303" s="48" t="str">
        <f>IF(A303="","",SUMIFS(Sales!$H:$H,Sales!$F:$F,A303,Sales!$B:$B,"&lt;&gt;Return"))</f>
        <v/>
      </c>
      <c r="F303" s="48" t="str">
        <f>IF(A303="","",SUMIFS(Sales!$H:$H,Sales!$F:$F,A303,Sales!$B:$B,"Return"))</f>
        <v/>
      </c>
      <c r="G303" s="48" t="str">
        <f>IF($A303="","",SUMIF('Shop Ledger'!$C:$C,$A303,'Shop Ledger'!$F:$F))</f>
        <v/>
      </c>
      <c r="H303" s="48" t="str">
        <f t="shared" si="1"/>
        <v/>
      </c>
      <c r="I303" s="44" t="str">
        <f>IF(A303="","",IFERROR(SUMIF(Purchases!$D:$D,A303,Purchases!$I:$I)/D303,0))</f>
        <v/>
      </c>
      <c r="J303" s="44" t="str">
        <f t="shared" si="2"/>
        <v/>
      </c>
      <c r="K303" s="30" t="str">
        <f>IF($A303="","",IFERROR(VALUE(SUBSTITUTE(SUBSTITUTE(SUBSTITUTE(VLOOKUP($A303,Inventory!$O$5:$P$604,2,FALSE),"Tk","")," ",""),",","")),""))</f>
        <v/>
      </c>
      <c r="L303" s="58" t="str">
        <f t="shared" si="3"/>
        <v/>
      </c>
      <c r="M303" s="58" t="str">
        <f t="shared" si="4"/>
        <v/>
      </c>
      <c r="O303" s="59" t="str">
        <f t="shared" si="5"/>
        <v/>
      </c>
      <c r="P303" s="52"/>
    </row>
    <row r="304" ht="14.25" customHeight="1">
      <c r="A304" s="29" t="str">
        <f t="array" ref="A304">IFERROR(INDEX(Purchases!$D$5:$D$1004,MATCH(ROW()-4,Purchases!$L$5:$L$1004,0)),"")</f>
        <v/>
      </c>
      <c r="B304" s="48" t="str">
        <f>IFERROR(VLOOKUP(A304,Purchases!$D:$E,2,FALSE),"")</f>
        <v/>
      </c>
      <c r="C304" s="48" t="str">
        <f>IFERROR(VLOOKUP(A304,Purchases!$D:$F,3,FALSE),"")</f>
        <v/>
      </c>
      <c r="D304" s="48" t="str">
        <f>IF(A304="","",SUMIF(Purchases!$D:$D,A304,Purchases!$K:$K))</f>
        <v/>
      </c>
      <c r="E304" s="48" t="str">
        <f>IF(A304="","",SUMIFS(Sales!$H:$H,Sales!$F:$F,A304,Sales!$B:$B,"&lt;&gt;Return"))</f>
        <v/>
      </c>
      <c r="F304" s="48" t="str">
        <f>IF(A304="","",SUMIFS(Sales!$H:$H,Sales!$F:$F,A304,Sales!$B:$B,"Return"))</f>
        <v/>
      </c>
      <c r="G304" s="48" t="str">
        <f>IF($A304="","",SUMIF('Shop Ledger'!$C:$C,$A304,'Shop Ledger'!$F:$F))</f>
        <v/>
      </c>
      <c r="H304" s="48" t="str">
        <f t="shared" si="1"/>
        <v/>
      </c>
      <c r="I304" s="44" t="str">
        <f>IF(A304="","",IFERROR(SUMIF(Purchases!$D:$D,A304,Purchases!$I:$I)/D304,0))</f>
        <v/>
      </c>
      <c r="J304" s="44" t="str">
        <f t="shared" si="2"/>
        <v/>
      </c>
      <c r="K304" s="30" t="str">
        <f>IF($A304="","",IFERROR(VALUE(SUBSTITUTE(SUBSTITUTE(SUBSTITUTE(VLOOKUP($A304,Inventory!$O$5:$P$604,2,FALSE),"Tk","")," ",""),",","")),""))</f>
        <v/>
      </c>
      <c r="L304" s="58" t="str">
        <f t="shared" si="3"/>
        <v/>
      </c>
      <c r="M304" s="58" t="str">
        <f t="shared" si="4"/>
        <v/>
      </c>
      <c r="O304" s="59" t="str">
        <f t="shared" si="5"/>
        <v/>
      </c>
      <c r="P304" s="52"/>
    </row>
    <row r="305" ht="14.25" customHeight="1">
      <c r="A305" s="29" t="str">
        <f t="array" ref="A305">IFERROR(INDEX(Purchases!$D$5:$D$1004,MATCH(ROW()-4,Purchases!$L$5:$L$1004,0)),"")</f>
        <v/>
      </c>
      <c r="B305" s="48" t="str">
        <f>IFERROR(VLOOKUP(A305,Purchases!$D:$E,2,FALSE),"")</f>
        <v/>
      </c>
      <c r="C305" s="48" t="str">
        <f>IFERROR(VLOOKUP(A305,Purchases!$D:$F,3,FALSE),"")</f>
        <v/>
      </c>
      <c r="D305" s="48" t="str">
        <f>IF(A305="","",SUMIF(Purchases!$D:$D,A305,Purchases!$K:$K))</f>
        <v/>
      </c>
      <c r="E305" s="48" t="str">
        <f>IF(A305="","",SUMIFS(Sales!$H:$H,Sales!$F:$F,A305,Sales!$B:$B,"&lt;&gt;Return"))</f>
        <v/>
      </c>
      <c r="F305" s="48" t="str">
        <f>IF(A305="","",SUMIFS(Sales!$H:$H,Sales!$F:$F,A305,Sales!$B:$B,"Return"))</f>
        <v/>
      </c>
      <c r="G305" s="48" t="str">
        <f>IF($A305="","",SUMIF('Shop Ledger'!$C:$C,$A305,'Shop Ledger'!$F:$F))</f>
        <v/>
      </c>
      <c r="H305" s="48" t="str">
        <f t="shared" si="1"/>
        <v/>
      </c>
      <c r="I305" s="44" t="str">
        <f>IF(A305="","",IFERROR(SUMIF(Purchases!$D:$D,A305,Purchases!$I:$I)/D305,0))</f>
        <v/>
      </c>
      <c r="J305" s="44" t="str">
        <f t="shared" si="2"/>
        <v/>
      </c>
      <c r="K305" s="30" t="str">
        <f>IF($A305="","",IFERROR(VALUE(SUBSTITUTE(SUBSTITUTE(SUBSTITUTE(VLOOKUP($A305,Inventory!$O$5:$P$604,2,FALSE),"Tk","")," ",""),",","")),""))</f>
        <v/>
      </c>
      <c r="L305" s="58" t="str">
        <f t="shared" si="3"/>
        <v/>
      </c>
      <c r="M305" s="58" t="str">
        <f t="shared" si="4"/>
        <v/>
      </c>
      <c r="O305" s="59" t="str">
        <f t="shared" si="5"/>
        <v/>
      </c>
      <c r="P305" s="52"/>
    </row>
    <row r="306" ht="14.25" customHeight="1">
      <c r="A306" s="29" t="str">
        <f t="array" ref="A306">IFERROR(INDEX(Purchases!$D$5:$D$1004,MATCH(ROW()-4,Purchases!$L$5:$L$1004,0)),"")</f>
        <v/>
      </c>
      <c r="B306" s="48" t="str">
        <f>IFERROR(VLOOKUP(A306,Purchases!$D:$E,2,FALSE),"")</f>
        <v/>
      </c>
      <c r="C306" s="48" t="str">
        <f>IFERROR(VLOOKUP(A306,Purchases!$D:$F,3,FALSE),"")</f>
        <v/>
      </c>
      <c r="D306" s="48" t="str">
        <f>IF(A306="","",SUMIF(Purchases!$D:$D,A306,Purchases!$K:$K))</f>
        <v/>
      </c>
      <c r="E306" s="48" t="str">
        <f>IF(A306="","",SUMIFS(Sales!$H:$H,Sales!$F:$F,A306,Sales!$B:$B,"&lt;&gt;Return"))</f>
        <v/>
      </c>
      <c r="F306" s="48" t="str">
        <f>IF(A306="","",SUMIFS(Sales!$H:$H,Sales!$F:$F,A306,Sales!$B:$B,"Return"))</f>
        <v/>
      </c>
      <c r="G306" s="48" t="str">
        <f>IF($A306="","",SUMIF('Shop Ledger'!$C:$C,$A306,'Shop Ledger'!$F:$F))</f>
        <v/>
      </c>
      <c r="H306" s="48" t="str">
        <f t="shared" si="1"/>
        <v/>
      </c>
      <c r="I306" s="44" t="str">
        <f>IF(A306="","",IFERROR(SUMIF(Purchases!$D:$D,A306,Purchases!$I:$I)/D306,0))</f>
        <v/>
      </c>
      <c r="J306" s="44" t="str">
        <f t="shared" si="2"/>
        <v/>
      </c>
      <c r="K306" s="30" t="str">
        <f>IF($A306="","",IFERROR(VALUE(SUBSTITUTE(SUBSTITUTE(SUBSTITUTE(VLOOKUP($A306,Inventory!$O$5:$P$604,2,FALSE),"Tk","")," ",""),",","")),""))</f>
        <v/>
      </c>
      <c r="L306" s="58" t="str">
        <f t="shared" si="3"/>
        <v/>
      </c>
      <c r="M306" s="58" t="str">
        <f t="shared" si="4"/>
        <v/>
      </c>
      <c r="O306" s="59" t="str">
        <f t="shared" si="5"/>
        <v/>
      </c>
      <c r="P306" s="52"/>
    </row>
    <row r="307" ht="14.25" customHeight="1">
      <c r="A307" s="29" t="str">
        <f t="array" ref="A307">IFERROR(INDEX(Purchases!$D$5:$D$1004,MATCH(ROW()-4,Purchases!$L$5:$L$1004,0)),"")</f>
        <v/>
      </c>
      <c r="B307" s="48" t="str">
        <f>IFERROR(VLOOKUP(A307,Purchases!$D:$E,2,FALSE),"")</f>
        <v/>
      </c>
      <c r="C307" s="48" t="str">
        <f>IFERROR(VLOOKUP(A307,Purchases!$D:$F,3,FALSE),"")</f>
        <v/>
      </c>
      <c r="D307" s="48" t="str">
        <f>IF(A307="","",SUMIF(Purchases!$D:$D,A307,Purchases!$K:$K))</f>
        <v/>
      </c>
      <c r="E307" s="48" t="str">
        <f>IF(A307="","",SUMIFS(Sales!$H:$H,Sales!$F:$F,A307,Sales!$B:$B,"&lt;&gt;Return"))</f>
        <v/>
      </c>
      <c r="F307" s="48" t="str">
        <f>IF(A307="","",SUMIFS(Sales!$H:$H,Sales!$F:$F,A307,Sales!$B:$B,"Return"))</f>
        <v/>
      </c>
      <c r="G307" s="48" t="str">
        <f>IF($A307="","",SUMIF('Shop Ledger'!$C:$C,$A307,'Shop Ledger'!$F:$F))</f>
        <v/>
      </c>
      <c r="H307" s="48" t="str">
        <f t="shared" si="1"/>
        <v/>
      </c>
      <c r="I307" s="44" t="str">
        <f>IF(A307="","",IFERROR(SUMIF(Purchases!$D:$D,A307,Purchases!$I:$I)/D307,0))</f>
        <v/>
      </c>
      <c r="J307" s="44" t="str">
        <f t="shared" si="2"/>
        <v/>
      </c>
      <c r="K307" s="30" t="str">
        <f>IF($A307="","",IFERROR(VALUE(SUBSTITUTE(SUBSTITUTE(SUBSTITUTE(VLOOKUP($A307,Inventory!$O$5:$P$604,2,FALSE),"Tk","")," ",""),",","")),""))</f>
        <v/>
      </c>
      <c r="L307" s="58" t="str">
        <f t="shared" si="3"/>
        <v/>
      </c>
      <c r="M307" s="58" t="str">
        <f t="shared" si="4"/>
        <v/>
      </c>
      <c r="O307" s="59" t="str">
        <f t="shared" si="5"/>
        <v/>
      </c>
      <c r="P307" s="52"/>
    </row>
    <row r="308" ht="14.25" customHeight="1">
      <c r="A308" s="29" t="str">
        <f t="array" ref="A308">IFERROR(INDEX(Purchases!$D$5:$D$1004,MATCH(ROW()-4,Purchases!$L$5:$L$1004,0)),"")</f>
        <v/>
      </c>
      <c r="B308" s="48" t="str">
        <f>IFERROR(VLOOKUP(A308,Purchases!$D:$E,2,FALSE),"")</f>
        <v/>
      </c>
      <c r="C308" s="48" t="str">
        <f>IFERROR(VLOOKUP(A308,Purchases!$D:$F,3,FALSE),"")</f>
        <v/>
      </c>
      <c r="D308" s="48" t="str">
        <f>IF(A308="","",SUMIF(Purchases!$D:$D,A308,Purchases!$K:$K))</f>
        <v/>
      </c>
      <c r="E308" s="48" t="str">
        <f>IF(A308="","",SUMIFS(Sales!$H:$H,Sales!$F:$F,A308,Sales!$B:$B,"&lt;&gt;Return"))</f>
        <v/>
      </c>
      <c r="F308" s="48" t="str">
        <f>IF(A308="","",SUMIFS(Sales!$H:$H,Sales!$F:$F,A308,Sales!$B:$B,"Return"))</f>
        <v/>
      </c>
      <c r="G308" s="48" t="str">
        <f>IF($A308="","",SUMIF('Shop Ledger'!$C:$C,$A308,'Shop Ledger'!$F:$F))</f>
        <v/>
      </c>
      <c r="H308" s="48" t="str">
        <f t="shared" si="1"/>
        <v/>
      </c>
      <c r="I308" s="44" t="str">
        <f>IF(A308="","",IFERROR(SUMIF(Purchases!$D:$D,A308,Purchases!$I:$I)/D308,0))</f>
        <v/>
      </c>
      <c r="J308" s="44" t="str">
        <f t="shared" si="2"/>
        <v/>
      </c>
      <c r="K308" s="30" t="str">
        <f>IF($A308="","",IFERROR(VALUE(SUBSTITUTE(SUBSTITUTE(SUBSTITUTE(VLOOKUP($A308,Inventory!$O$5:$P$604,2,FALSE),"Tk","")," ",""),",","")),""))</f>
        <v/>
      </c>
      <c r="L308" s="58" t="str">
        <f t="shared" si="3"/>
        <v/>
      </c>
      <c r="M308" s="58" t="str">
        <f t="shared" si="4"/>
        <v/>
      </c>
      <c r="O308" s="59" t="str">
        <f t="shared" si="5"/>
        <v/>
      </c>
      <c r="P308" s="52"/>
    </row>
    <row r="309" ht="14.25" customHeight="1">
      <c r="A309" s="29" t="str">
        <f t="array" ref="A309">IFERROR(INDEX(Purchases!$D$5:$D$1004,MATCH(ROW()-4,Purchases!$L$5:$L$1004,0)),"")</f>
        <v/>
      </c>
      <c r="B309" s="48" t="str">
        <f>IFERROR(VLOOKUP(A309,Purchases!$D:$E,2,FALSE),"")</f>
        <v/>
      </c>
      <c r="C309" s="48" t="str">
        <f>IFERROR(VLOOKUP(A309,Purchases!$D:$F,3,FALSE),"")</f>
        <v/>
      </c>
      <c r="D309" s="48" t="str">
        <f>IF(A309="","",SUMIF(Purchases!$D:$D,A309,Purchases!$K:$K))</f>
        <v/>
      </c>
      <c r="E309" s="48" t="str">
        <f>IF(A309="","",SUMIFS(Sales!$H:$H,Sales!$F:$F,A309,Sales!$B:$B,"&lt;&gt;Return"))</f>
        <v/>
      </c>
      <c r="F309" s="48" t="str">
        <f>IF(A309="","",SUMIFS(Sales!$H:$H,Sales!$F:$F,A309,Sales!$B:$B,"Return"))</f>
        <v/>
      </c>
      <c r="G309" s="48" t="str">
        <f>IF($A309="","",SUMIF('Shop Ledger'!$C:$C,$A309,'Shop Ledger'!$F:$F))</f>
        <v/>
      </c>
      <c r="H309" s="48" t="str">
        <f t="shared" si="1"/>
        <v/>
      </c>
      <c r="I309" s="44" t="str">
        <f>IF(A309="","",IFERROR(SUMIF(Purchases!$D:$D,A309,Purchases!$I:$I)/D309,0))</f>
        <v/>
      </c>
      <c r="J309" s="44" t="str">
        <f t="shared" si="2"/>
        <v/>
      </c>
      <c r="K309" s="30" t="str">
        <f>IF($A309="","",IFERROR(VALUE(SUBSTITUTE(SUBSTITUTE(SUBSTITUTE(VLOOKUP($A309,Inventory!$O$5:$P$604,2,FALSE),"Tk","")," ",""),",","")),""))</f>
        <v/>
      </c>
      <c r="L309" s="58" t="str">
        <f t="shared" si="3"/>
        <v/>
      </c>
      <c r="M309" s="58" t="str">
        <f t="shared" si="4"/>
        <v/>
      </c>
      <c r="O309" s="59" t="str">
        <f t="shared" si="5"/>
        <v/>
      </c>
      <c r="P309" s="52"/>
    </row>
    <row r="310" ht="14.25" customHeight="1">
      <c r="A310" s="29" t="str">
        <f t="array" ref="A310">IFERROR(INDEX(Purchases!$D$5:$D$1004,MATCH(ROW()-4,Purchases!$L$5:$L$1004,0)),"")</f>
        <v/>
      </c>
      <c r="B310" s="48" t="str">
        <f>IFERROR(VLOOKUP(A310,Purchases!$D:$E,2,FALSE),"")</f>
        <v/>
      </c>
      <c r="C310" s="48" t="str">
        <f>IFERROR(VLOOKUP(A310,Purchases!$D:$F,3,FALSE),"")</f>
        <v/>
      </c>
      <c r="D310" s="48" t="str">
        <f>IF(A310="","",SUMIF(Purchases!$D:$D,A310,Purchases!$K:$K))</f>
        <v/>
      </c>
      <c r="E310" s="48" t="str">
        <f>IF(A310="","",SUMIFS(Sales!$H:$H,Sales!$F:$F,A310,Sales!$B:$B,"&lt;&gt;Return"))</f>
        <v/>
      </c>
      <c r="F310" s="48" t="str">
        <f>IF(A310="","",SUMIFS(Sales!$H:$H,Sales!$F:$F,A310,Sales!$B:$B,"Return"))</f>
        <v/>
      </c>
      <c r="G310" s="48" t="str">
        <f>IF($A310="","",SUMIF('Shop Ledger'!$C:$C,$A310,'Shop Ledger'!$F:$F))</f>
        <v/>
      </c>
      <c r="H310" s="48" t="str">
        <f t="shared" si="1"/>
        <v/>
      </c>
      <c r="I310" s="44" t="str">
        <f>IF(A310="","",IFERROR(SUMIF(Purchases!$D:$D,A310,Purchases!$I:$I)/D310,0))</f>
        <v/>
      </c>
      <c r="J310" s="44" t="str">
        <f t="shared" si="2"/>
        <v/>
      </c>
      <c r="K310" s="30" t="str">
        <f>IF($A310="","",IFERROR(VALUE(SUBSTITUTE(SUBSTITUTE(SUBSTITUTE(VLOOKUP($A310,Inventory!$O$5:$P$604,2,FALSE),"Tk","")," ",""),",","")),""))</f>
        <v/>
      </c>
      <c r="L310" s="58" t="str">
        <f t="shared" si="3"/>
        <v/>
      </c>
      <c r="M310" s="58" t="str">
        <f t="shared" si="4"/>
        <v/>
      </c>
      <c r="O310" s="59" t="str">
        <f t="shared" si="5"/>
        <v/>
      </c>
      <c r="P310" s="52"/>
    </row>
    <row r="311" ht="14.25" customHeight="1">
      <c r="A311" s="29" t="str">
        <f t="array" ref="A311">IFERROR(INDEX(Purchases!$D$5:$D$1004,MATCH(ROW()-4,Purchases!$L$5:$L$1004,0)),"")</f>
        <v/>
      </c>
      <c r="B311" s="48" t="str">
        <f>IFERROR(VLOOKUP(A311,Purchases!$D:$E,2,FALSE),"")</f>
        <v/>
      </c>
      <c r="C311" s="48" t="str">
        <f>IFERROR(VLOOKUP(A311,Purchases!$D:$F,3,FALSE),"")</f>
        <v/>
      </c>
      <c r="D311" s="48" t="str">
        <f>IF(A311="","",SUMIF(Purchases!$D:$D,A311,Purchases!$K:$K))</f>
        <v/>
      </c>
      <c r="E311" s="48" t="str">
        <f>IF(A311="","",SUMIFS(Sales!$H:$H,Sales!$F:$F,A311,Sales!$B:$B,"&lt;&gt;Return"))</f>
        <v/>
      </c>
      <c r="F311" s="48" t="str">
        <f>IF(A311="","",SUMIFS(Sales!$H:$H,Sales!$F:$F,A311,Sales!$B:$B,"Return"))</f>
        <v/>
      </c>
      <c r="G311" s="48" t="str">
        <f>IF($A311="","",SUMIF('Shop Ledger'!$C:$C,$A311,'Shop Ledger'!$F:$F))</f>
        <v/>
      </c>
      <c r="H311" s="48" t="str">
        <f t="shared" si="1"/>
        <v/>
      </c>
      <c r="I311" s="44" t="str">
        <f>IF(A311="","",IFERROR(SUMIF(Purchases!$D:$D,A311,Purchases!$I:$I)/D311,0))</f>
        <v/>
      </c>
      <c r="J311" s="44" t="str">
        <f t="shared" si="2"/>
        <v/>
      </c>
      <c r="K311" s="30" t="str">
        <f>IF($A311="","",IFERROR(VALUE(SUBSTITUTE(SUBSTITUTE(SUBSTITUTE(VLOOKUP($A311,Inventory!$O$5:$P$604,2,FALSE),"Tk","")," ",""),",","")),""))</f>
        <v/>
      </c>
      <c r="L311" s="58" t="str">
        <f t="shared" si="3"/>
        <v/>
      </c>
      <c r="M311" s="58" t="str">
        <f t="shared" si="4"/>
        <v/>
      </c>
      <c r="O311" s="59" t="str">
        <f t="shared" si="5"/>
        <v/>
      </c>
      <c r="P311" s="52"/>
    </row>
    <row r="312" ht="14.25" customHeight="1">
      <c r="A312" s="29" t="str">
        <f t="array" ref="A312">IFERROR(INDEX(Purchases!$D$5:$D$1004,MATCH(ROW()-4,Purchases!$L$5:$L$1004,0)),"")</f>
        <v/>
      </c>
      <c r="B312" s="48" t="str">
        <f>IFERROR(VLOOKUP(A312,Purchases!$D:$E,2,FALSE),"")</f>
        <v/>
      </c>
      <c r="C312" s="48" t="str">
        <f>IFERROR(VLOOKUP(A312,Purchases!$D:$F,3,FALSE),"")</f>
        <v/>
      </c>
      <c r="D312" s="48" t="str">
        <f>IF(A312="","",SUMIF(Purchases!$D:$D,A312,Purchases!$K:$K))</f>
        <v/>
      </c>
      <c r="E312" s="48" t="str">
        <f>IF(A312="","",SUMIFS(Sales!$H:$H,Sales!$F:$F,A312,Sales!$B:$B,"&lt;&gt;Return"))</f>
        <v/>
      </c>
      <c r="F312" s="48" t="str">
        <f>IF(A312="","",SUMIFS(Sales!$H:$H,Sales!$F:$F,A312,Sales!$B:$B,"Return"))</f>
        <v/>
      </c>
      <c r="G312" s="48" t="str">
        <f>IF($A312="","",SUMIF('Shop Ledger'!$C:$C,$A312,'Shop Ledger'!$F:$F))</f>
        <v/>
      </c>
      <c r="H312" s="48" t="str">
        <f t="shared" si="1"/>
        <v/>
      </c>
      <c r="I312" s="44" t="str">
        <f>IF(A312="","",IFERROR(SUMIF(Purchases!$D:$D,A312,Purchases!$I:$I)/D312,0))</f>
        <v/>
      </c>
      <c r="J312" s="44" t="str">
        <f t="shared" si="2"/>
        <v/>
      </c>
      <c r="K312" s="30" t="str">
        <f>IF($A312="","",IFERROR(VALUE(SUBSTITUTE(SUBSTITUTE(SUBSTITUTE(VLOOKUP($A312,Inventory!$O$5:$P$604,2,FALSE),"Tk","")," ",""),",","")),""))</f>
        <v/>
      </c>
      <c r="L312" s="58" t="str">
        <f t="shared" si="3"/>
        <v/>
      </c>
      <c r="M312" s="58" t="str">
        <f t="shared" si="4"/>
        <v/>
      </c>
      <c r="O312" s="59" t="str">
        <f t="shared" si="5"/>
        <v/>
      </c>
      <c r="P312" s="52"/>
    </row>
    <row r="313" ht="14.25" customHeight="1">
      <c r="A313" s="29" t="str">
        <f t="array" ref="A313">IFERROR(INDEX(Purchases!$D$5:$D$1004,MATCH(ROW()-4,Purchases!$L$5:$L$1004,0)),"")</f>
        <v/>
      </c>
      <c r="B313" s="48" t="str">
        <f>IFERROR(VLOOKUP(A313,Purchases!$D:$E,2,FALSE),"")</f>
        <v/>
      </c>
      <c r="C313" s="48" t="str">
        <f>IFERROR(VLOOKUP(A313,Purchases!$D:$F,3,FALSE),"")</f>
        <v/>
      </c>
      <c r="D313" s="48" t="str">
        <f>IF(A313="","",SUMIF(Purchases!$D:$D,A313,Purchases!$K:$K))</f>
        <v/>
      </c>
      <c r="E313" s="48" t="str">
        <f>IF(A313="","",SUMIFS(Sales!$H:$H,Sales!$F:$F,A313,Sales!$B:$B,"&lt;&gt;Return"))</f>
        <v/>
      </c>
      <c r="F313" s="48" t="str">
        <f>IF(A313="","",SUMIFS(Sales!$H:$H,Sales!$F:$F,A313,Sales!$B:$B,"Return"))</f>
        <v/>
      </c>
      <c r="G313" s="48" t="str">
        <f>IF($A313="","",SUMIF('Shop Ledger'!$C:$C,$A313,'Shop Ledger'!$F:$F))</f>
        <v/>
      </c>
      <c r="H313" s="48" t="str">
        <f t="shared" si="1"/>
        <v/>
      </c>
      <c r="I313" s="44" t="str">
        <f>IF(A313="","",IFERROR(SUMIF(Purchases!$D:$D,A313,Purchases!$I:$I)/D313,0))</f>
        <v/>
      </c>
      <c r="J313" s="44" t="str">
        <f t="shared" si="2"/>
        <v/>
      </c>
      <c r="K313" s="30" t="str">
        <f>IF($A313="","",IFERROR(VALUE(SUBSTITUTE(SUBSTITUTE(SUBSTITUTE(VLOOKUP($A313,Inventory!$O$5:$P$604,2,FALSE),"Tk","")," ",""),",","")),""))</f>
        <v/>
      </c>
      <c r="L313" s="58" t="str">
        <f t="shared" si="3"/>
        <v/>
      </c>
      <c r="M313" s="58" t="str">
        <f t="shared" si="4"/>
        <v/>
      </c>
      <c r="O313" s="59" t="str">
        <f t="shared" si="5"/>
        <v/>
      </c>
      <c r="P313" s="52"/>
    </row>
    <row r="314" ht="14.25" customHeight="1">
      <c r="A314" s="29" t="str">
        <f t="array" ref="A314">IFERROR(INDEX(Purchases!$D$5:$D$1004,MATCH(ROW()-4,Purchases!$L$5:$L$1004,0)),"")</f>
        <v/>
      </c>
      <c r="B314" s="48" t="str">
        <f>IFERROR(VLOOKUP(A314,Purchases!$D:$E,2,FALSE),"")</f>
        <v/>
      </c>
      <c r="C314" s="48" t="str">
        <f>IFERROR(VLOOKUP(A314,Purchases!$D:$F,3,FALSE),"")</f>
        <v/>
      </c>
      <c r="D314" s="48" t="str">
        <f>IF(A314="","",SUMIF(Purchases!$D:$D,A314,Purchases!$K:$K))</f>
        <v/>
      </c>
      <c r="E314" s="48" t="str">
        <f>IF(A314="","",SUMIFS(Sales!$H:$H,Sales!$F:$F,A314,Sales!$B:$B,"&lt;&gt;Return"))</f>
        <v/>
      </c>
      <c r="F314" s="48" t="str">
        <f>IF(A314="","",SUMIFS(Sales!$H:$H,Sales!$F:$F,A314,Sales!$B:$B,"Return"))</f>
        <v/>
      </c>
      <c r="G314" s="48" t="str">
        <f>IF($A314="","",SUMIF('Shop Ledger'!$C:$C,$A314,'Shop Ledger'!$F:$F))</f>
        <v/>
      </c>
      <c r="H314" s="48" t="str">
        <f t="shared" si="1"/>
        <v/>
      </c>
      <c r="I314" s="44" t="str">
        <f>IF(A314="","",IFERROR(SUMIF(Purchases!$D:$D,A314,Purchases!$I:$I)/D314,0))</f>
        <v/>
      </c>
      <c r="J314" s="44" t="str">
        <f t="shared" si="2"/>
        <v/>
      </c>
      <c r="K314" s="30" t="str">
        <f>IF($A314="","",IFERROR(VALUE(SUBSTITUTE(SUBSTITUTE(SUBSTITUTE(VLOOKUP($A314,Inventory!$O$5:$P$604,2,FALSE),"Tk","")," ",""),",","")),""))</f>
        <v/>
      </c>
      <c r="L314" s="58" t="str">
        <f t="shared" si="3"/>
        <v/>
      </c>
      <c r="M314" s="58" t="str">
        <f t="shared" si="4"/>
        <v/>
      </c>
      <c r="O314" s="59" t="str">
        <f t="shared" si="5"/>
        <v/>
      </c>
      <c r="P314" s="52"/>
    </row>
    <row r="315" ht="14.25" customHeight="1">
      <c r="A315" s="29" t="str">
        <f t="array" ref="A315">IFERROR(INDEX(Purchases!$D$5:$D$1004,MATCH(ROW()-4,Purchases!$L$5:$L$1004,0)),"")</f>
        <v/>
      </c>
      <c r="B315" s="48" t="str">
        <f>IFERROR(VLOOKUP(A315,Purchases!$D:$E,2,FALSE),"")</f>
        <v/>
      </c>
      <c r="C315" s="48" t="str">
        <f>IFERROR(VLOOKUP(A315,Purchases!$D:$F,3,FALSE),"")</f>
        <v/>
      </c>
      <c r="D315" s="48" t="str">
        <f>IF(A315="","",SUMIF(Purchases!$D:$D,A315,Purchases!$K:$K))</f>
        <v/>
      </c>
      <c r="E315" s="48" t="str">
        <f>IF(A315="","",SUMIFS(Sales!$H:$H,Sales!$F:$F,A315,Sales!$B:$B,"&lt;&gt;Return"))</f>
        <v/>
      </c>
      <c r="F315" s="48" t="str">
        <f>IF(A315="","",SUMIFS(Sales!$H:$H,Sales!$F:$F,A315,Sales!$B:$B,"Return"))</f>
        <v/>
      </c>
      <c r="G315" s="48" t="str">
        <f>IF($A315="","",SUMIF('Shop Ledger'!$C:$C,$A315,'Shop Ledger'!$F:$F))</f>
        <v/>
      </c>
      <c r="H315" s="48" t="str">
        <f t="shared" si="1"/>
        <v/>
      </c>
      <c r="I315" s="44" t="str">
        <f>IF(A315="","",IFERROR(SUMIF(Purchases!$D:$D,A315,Purchases!$I:$I)/D315,0))</f>
        <v/>
      </c>
      <c r="J315" s="44" t="str">
        <f t="shared" si="2"/>
        <v/>
      </c>
      <c r="K315" s="30" t="str">
        <f>IF($A315="","",IFERROR(VALUE(SUBSTITUTE(SUBSTITUTE(SUBSTITUTE(VLOOKUP($A315,Inventory!$O$5:$P$604,2,FALSE),"Tk","")," ",""),",","")),""))</f>
        <v/>
      </c>
      <c r="L315" s="58" t="str">
        <f t="shared" si="3"/>
        <v/>
      </c>
      <c r="M315" s="58" t="str">
        <f t="shared" si="4"/>
        <v/>
      </c>
      <c r="O315" s="59" t="str">
        <f t="shared" si="5"/>
        <v/>
      </c>
      <c r="P315" s="52"/>
    </row>
    <row r="316" ht="14.25" customHeight="1">
      <c r="A316" s="29" t="str">
        <f t="array" ref="A316">IFERROR(INDEX(Purchases!$D$5:$D$1004,MATCH(ROW()-4,Purchases!$L$5:$L$1004,0)),"")</f>
        <v/>
      </c>
      <c r="B316" s="48" t="str">
        <f>IFERROR(VLOOKUP(A316,Purchases!$D:$E,2,FALSE),"")</f>
        <v/>
      </c>
      <c r="C316" s="48" t="str">
        <f>IFERROR(VLOOKUP(A316,Purchases!$D:$F,3,FALSE),"")</f>
        <v/>
      </c>
      <c r="D316" s="48" t="str">
        <f>IF(A316="","",SUMIF(Purchases!$D:$D,A316,Purchases!$K:$K))</f>
        <v/>
      </c>
      <c r="E316" s="48" t="str">
        <f>IF(A316="","",SUMIFS(Sales!$H:$H,Sales!$F:$F,A316,Sales!$B:$B,"&lt;&gt;Return"))</f>
        <v/>
      </c>
      <c r="F316" s="48" t="str">
        <f>IF(A316="","",SUMIFS(Sales!$H:$H,Sales!$F:$F,A316,Sales!$B:$B,"Return"))</f>
        <v/>
      </c>
      <c r="G316" s="48" t="str">
        <f>IF($A316="","",SUMIF('Shop Ledger'!$C:$C,$A316,'Shop Ledger'!$F:$F))</f>
        <v/>
      </c>
      <c r="H316" s="48" t="str">
        <f t="shared" si="1"/>
        <v/>
      </c>
      <c r="I316" s="44" t="str">
        <f>IF(A316="","",IFERROR(SUMIF(Purchases!$D:$D,A316,Purchases!$I:$I)/D316,0))</f>
        <v/>
      </c>
      <c r="J316" s="44" t="str">
        <f t="shared" si="2"/>
        <v/>
      </c>
      <c r="K316" s="30" t="str">
        <f>IF($A316="","",IFERROR(VALUE(SUBSTITUTE(SUBSTITUTE(SUBSTITUTE(VLOOKUP($A316,Inventory!$O$5:$P$604,2,FALSE),"Tk","")," ",""),",","")),""))</f>
        <v/>
      </c>
      <c r="L316" s="58" t="str">
        <f t="shared" si="3"/>
        <v/>
      </c>
      <c r="M316" s="58" t="str">
        <f t="shared" si="4"/>
        <v/>
      </c>
      <c r="O316" s="59" t="str">
        <f t="shared" si="5"/>
        <v/>
      </c>
      <c r="P316" s="52"/>
    </row>
    <row r="317" ht="14.25" customHeight="1">
      <c r="A317" s="29" t="str">
        <f t="array" ref="A317">IFERROR(INDEX(Purchases!$D$5:$D$1004,MATCH(ROW()-4,Purchases!$L$5:$L$1004,0)),"")</f>
        <v/>
      </c>
      <c r="B317" s="48" t="str">
        <f>IFERROR(VLOOKUP(A317,Purchases!$D:$E,2,FALSE),"")</f>
        <v/>
      </c>
      <c r="C317" s="48" t="str">
        <f>IFERROR(VLOOKUP(A317,Purchases!$D:$F,3,FALSE),"")</f>
        <v/>
      </c>
      <c r="D317" s="48" t="str">
        <f>IF(A317="","",SUMIF(Purchases!$D:$D,A317,Purchases!$K:$K))</f>
        <v/>
      </c>
      <c r="E317" s="48" t="str">
        <f>IF(A317="","",SUMIFS(Sales!$H:$H,Sales!$F:$F,A317,Sales!$B:$B,"&lt;&gt;Return"))</f>
        <v/>
      </c>
      <c r="F317" s="48" t="str">
        <f>IF(A317="","",SUMIFS(Sales!$H:$H,Sales!$F:$F,A317,Sales!$B:$B,"Return"))</f>
        <v/>
      </c>
      <c r="G317" s="48" t="str">
        <f>IF($A317="","",SUMIF('Shop Ledger'!$C:$C,$A317,'Shop Ledger'!$F:$F))</f>
        <v/>
      </c>
      <c r="H317" s="48" t="str">
        <f t="shared" si="1"/>
        <v/>
      </c>
      <c r="I317" s="44" t="str">
        <f>IF(A317="","",IFERROR(SUMIF(Purchases!$D:$D,A317,Purchases!$I:$I)/D317,0))</f>
        <v/>
      </c>
      <c r="J317" s="44" t="str">
        <f t="shared" si="2"/>
        <v/>
      </c>
      <c r="K317" s="30" t="str">
        <f>IF($A317="","",IFERROR(VALUE(SUBSTITUTE(SUBSTITUTE(SUBSTITUTE(VLOOKUP($A317,Inventory!$O$5:$P$604,2,FALSE),"Tk","")," ",""),",","")),""))</f>
        <v/>
      </c>
      <c r="L317" s="58" t="str">
        <f t="shared" si="3"/>
        <v/>
      </c>
      <c r="M317" s="58" t="str">
        <f t="shared" si="4"/>
        <v/>
      </c>
      <c r="O317" s="59" t="str">
        <f t="shared" si="5"/>
        <v/>
      </c>
      <c r="P317" s="52"/>
    </row>
    <row r="318" ht="14.25" customHeight="1">
      <c r="A318" s="29" t="str">
        <f t="array" ref="A318">IFERROR(INDEX(Purchases!$D$5:$D$1004,MATCH(ROW()-4,Purchases!$L$5:$L$1004,0)),"")</f>
        <v/>
      </c>
      <c r="B318" s="48" t="str">
        <f>IFERROR(VLOOKUP(A318,Purchases!$D:$E,2,FALSE),"")</f>
        <v/>
      </c>
      <c r="C318" s="48" t="str">
        <f>IFERROR(VLOOKUP(A318,Purchases!$D:$F,3,FALSE),"")</f>
        <v/>
      </c>
      <c r="D318" s="48" t="str">
        <f>IF(A318="","",SUMIF(Purchases!$D:$D,A318,Purchases!$K:$K))</f>
        <v/>
      </c>
      <c r="E318" s="48" t="str">
        <f>IF(A318="","",SUMIFS(Sales!$H:$H,Sales!$F:$F,A318,Sales!$B:$B,"&lt;&gt;Return"))</f>
        <v/>
      </c>
      <c r="F318" s="48" t="str">
        <f>IF(A318="","",SUMIFS(Sales!$H:$H,Sales!$F:$F,A318,Sales!$B:$B,"Return"))</f>
        <v/>
      </c>
      <c r="G318" s="48" t="str">
        <f>IF($A318="","",SUMIF('Shop Ledger'!$C:$C,$A318,'Shop Ledger'!$F:$F))</f>
        <v/>
      </c>
      <c r="H318" s="48" t="str">
        <f t="shared" si="1"/>
        <v/>
      </c>
      <c r="I318" s="44" t="str">
        <f>IF(A318="","",IFERROR(SUMIF(Purchases!$D:$D,A318,Purchases!$I:$I)/D318,0))</f>
        <v/>
      </c>
      <c r="J318" s="44" t="str">
        <f t="shared" si="2"/>
        <v/>
      </c>
      <c r="K318" s="30" t="str">
        <f>IF($A318="","",IFERROR(VALUE(SUBSTITUTE(SUBSTITUTE(SUBSTITUTE(VLOOKUP($A318,Inventory!$O$5:$P$604,2,FALSE),"Tk","")," ",""),",","")),""))</f>
        <v/>
      </c>
      <c r="L318" s="58" t="str">
        <f t="shared" si="3"/>
        <v/>
      </c>
      <c r="M318" s="58" t="str">
        <f t="shared" si="4"/>
        <v/>
      </c>
      <c r="O318" s="59" t="str">
        <f t="shared" si="5"/>
        <v/>
      </c>
      <c r="P318" s="52"/>
    </row>
    <row r="319" ht="14.25" customHeight="1">
      <c r="A319" s="29" t="str">
        <f t="array" ref="A319">IFERROR(INDEX(Purchases!$D$5:$D$1004,MATCH(ROW()-4,Purchases!$L$5:$L$1004,0)),"")</f>
        <v/>
      </c>
      <c r="B319" s="48" t="str">
        <f>IFERROR(VLOOKUP(A319,Purchases!$D:$E,2,FALSE),"")</f>
        <v/>
      </c>
      <c r="C319" s="48" t="str">
        <f>IFERROR(VLOOKUP(A319,Purchases!$D:$F,3,FALSE),"")</f>
        <v/>
      </c>
      <c r="D319" s="48" t="str">
        <f>IF(A319="","",SUMIF(Purchases!$D:$D,A319,Purchases!$K:$K))</f>
        <v/>
      </c>
      <c r="E319" s="48" t="str">
        <f>IF(A319="","",SUMIFS(Sales!$H:$H,Sales!$F:$F,A319,Sales!$B:$B,"&lt;&gt;Return"))</f>
        <v/>
      </c>
      <c r="F319" s="48" t="str">
        <f>IF(A319="","",SUMIFS(Sales!$H:$H,Sales!$F:$F,A319,Sales!$B:$B,"Return"))</f>
        <v/>
      </c>
      <c r="G319" s="48" t="str">
        <f>IF($A319="","",SUMIF('Shop Ledger'!$C:$C,$A319,'Shop Ledger'!$F:$F))</f>
        <v/>
      </c>
      <c r="H319" s="48" t="str">
        <f t="shared" si="1"/>
        <v/>
      </c>
      <c r="I319" s="44" t="str">
        <f>IF(A319="","",IFERROR(SUMIF(Purchases!$D:$D,A319,Purchases!$I:$I)/D319,0))</f>
        <v/>
      </c>
      <c r="J319" s="44" t="str">
        <f t="shared" si="2"/>
        <v/>
      </c>
      <c r="K319" s="30" t="str">
        <f>IF($A319="","",IFERROR(VALUE(SUBSTITUTE(SUBSTITUTE(SUBSTITUTE(VLOOKUP($A319,Inventory!$O$5:$P$604,2,FALSE),"Tk","")," ",""),",","")),""))</f>
        <v/>
      </c>
      <c r="L319" s="58" t="str">
        <f t="shared" si="3"/>
        <v/>
      </c>
      <c r="M319" s="58" t="str">
        <f t="shared" si="4"/>
        <v/>
      </c>
      <c r="O319" s="59" t="str">
        <f t="shared" si="5"/>
        <v/>
      </c>
      <c r="P319" s="52"/>
    </row>
    <row r="320" ht="14.25" customHeight="1">
      <c r="A320" s="29" t="str">
        <f t="array" ref="A320">IFERROR(INDEX(Purchases!$D$5:$D$1004,MATCH(ROW()-4,Purchases!$L$5:$L$1004,0)),"")</f>
        <v/>
      </c>
      <c r="B320" s="48" t="str">
        <f>IFERROR(VLOOKUP(A320,Purchases!$D:$E,2,FALSE),"")</f>
        <v/>
      </c>
      <c r="C320" s="48" t="str">
        <f>IFERROR(VLOOKUP(A320,Purchases!$D:$F,3,FALSE),"")</f>
        <v/>
      </c>
      <c r="D320" s="48" t="str">
        <f>IF(A320="","",SUMIF(Purchases!$D:$D,A320,Purchases!$K:$K))</f>
        <v/>
      </c>
      <c r="E320" s="48" t="str">
        <f>IF(A320="","",SUMIFS(Sales!$H:$H,Sales!$F:$F,A320,Sales!$B:$B,"&lt;&gt;Return"))</f>
        <v/>
      </c>
      <c r="F320" s="48" t="str">
        <f>IF(A320="","",SUMIFS(Sales!$H:$H,Sales!$F:$F,A320,Sales!$B:$B,"Return"))</f>
        <v/>
      </c>
      <c r="G320" s="48" t="str">
        <f>IF($A320="","",SUMIF('Shop Ledger'!$C:$C,$A320,'Shop Ledger'!$F:$F))</f>
        <v/>
      </c>
      <c r="H320" s="48" t="str">
        <f t="shared" si="1"/>
        <v/>
      </c>
      <c r="I320" s="44" t="str">
        <f>IF(A320="","",IFERROR(SUMIF(Purchases!$D:$D,A320,Purchases!$I:$I)/D320,0))</f>
        <v/>
      </c>
      <c r="J320" s="44" t="str">
        <f t="shared" si="2"/>
        <v/>
      </c>
      <c r="K320" s="30" t="str">
        <f>IF($A320="","",IFERROR(VALUE(SUBSTITUTE(SUBSTITUTE(SUBSTITUTE(VLOOKUP($A320,Inventory!$O$5:$P$604,2,FALSE),"Tk","")," ",""),",","")),""))</f>
        <v/>
      </c>
      <c r="L320" s="58" t="str">
        <f t="shared" si="3"/>
        <v/>
      </c>
      <c r="M320" s="58" t="str">
        <f t="shared" si="4"/>
        <v/>
      </c>
      <c r="O320" s="59" t="str">
        <f t="shared" si="5"/>
        <v/>
      </c>
      <c r="P320" s="52"/>
    </row>
    <row r="321" ht="14.25" customHeight="1">
      <c r="A321" s="29" t="str">
        <f t="array" ref="A321">IFERROR(INDEX(Purchases!$D$5:$D$1004,MATCH(ROW()-4,Purchases!$L$5:$L$1004,0)),"")</f>
        <v/>
      </c>
      <c r="B321" s="48" t="str">
        <f>IFERROR(VLOOKUP(A321,Purchases!$D:$E,2,FALSE),"")</f>
        <v/>
      </c>
      <c r="C321" s="48" t="str">
        <f>IFERROR(VLOOKUP(A321,Purchases!$D:$F,3,FALSE),"")</f>
        <v/>
      </c>
      <c r="D321" s="48" t="str">
        <f>IF(A321="","",SUMIF(Purchases!$D:$D,A321,Purchases!$K:$K))</f>
        <v/>
      </c>
      <c r="E321" s="48" t="str">
        <f>IF(A321="","",SUMIFS(Sales!$H:$H,Sales!$F:$F,A321,Sales!$B:$B,"&lt;&gt;Return"))</f>
        <v/>
      </c>
      <c r="F321" s="48" t="str">
        <f>IF(A321="","",SUMIFS(Sales!$H:$H,Sales!$F:$F,A321,Sales!$B:$B,"Return"))</f>
        <v/>
      </c>
      <c r="G321" s="48" t="str">
        <f>IF($A321="","",SUMIF('Shop Ledger'!$C:$C,$A321,'Shop Ledger'!$F:$F))</f>
        <v/>
      </c>
      <c r="H321" s="48" t="str">
        <f t="shared" si="1"/>
        <v/>
      </c>
      <c r="I321" s="44" t="str">
        <f>IF(A321="","",IFERROR(SUMIF(Purchases!$D:$D,A321,Purchases!$I:$I)/D321,0))</f>
        <v/>
      </c>
      <c r="J321" s="44" t="str">
        <f t="shared" si="2"/>
        <v/>
      </c>
      <c r="K321" s="30" t="str">
        <f>IF($A321="","",IFERROR(VALUE(SUBSTITUTE(SUBSTITUTE(SUBSTITUTE(VLOOKUP($A321,Inventory!$O$5:$P$604,2,FALSE),"Tk","")," ",""),",","")),""))</f>
        <v/>
      </c>
      <c r="L321" s="58" t="str">
        <f t="shared" si="3"/>
        <v/>
      </c>
      <c r="M321" s="58" t="str">
        <f t="shared" si="4"/>
        <v/>
      </c>
      <c r="O321" s="59" t="str">
        <f t="shared" si="5"/>
        <v/>
      </c>
      <c r="P321" s="52"/>
    </row>
    <row r="322" ht="14.25" customHeight="1">
      <c r="A322" s="29" t="str">
        <f t="array" ref="A322">IFERROR(INDEX(Purchases!$D$5:$D$1004,MATCH(ROW()-4,Purchases!$L$5:$L$1004,0)),"")</f>
        <v/>
      </c>
      <c r="B322" s="48" t="str">
        <f>IFERROR(VLOOKUP(A322,Purchases!$D:$E,2,FALSE),"")</f>
        <v/>
      </c>
      <c r="C322" s="48" t="str">
        <f>IFERROR(VLOOKUP(A322,Purchases!$D:$F,3,FALSE),"")</f>
        <v/>
      </c>
      <c r="D322" s="48" t="str">
        <f>IF(A322="","",SUMIF(Purchases!$D:$D,A322,Purchases!$K:$K))</f>
        <v/>
      </c>
      <c r="E322" s="48" t="str">
        <f>IF(A322="","",SUMIFS(Sales!$H:$H,Sales!$F:$F,A322,Sales!$B:$B,"&lt;&gt;Return"))</f>
        <v/>
      </c>
      <c r="F322" s="48" t="str">
        <f>IF(A322="","",SUMIFS(Sales!$H:$H,Sales!$F:$F,A322,Sales!$B:$B,"Return"))</f>
        <v/>
      </c>
      <c r="G322" s="48" t="str">
        <f>IF($A322="","",SUMIF('Shop Ledger'!$C:$C,$A322,'Shop Ledger'!$F:$F))</f>
        <v/>
      </c>
      <c r="H322" s="48" t="str">
        <f t="shared" si="1"/>
        <v/>
      </c>
      <c r="I322" s="44" t="str">
        <f>IF(A322="","",IFERROR(SUMIF(Purchases!$D:$D,A322,Purchases!$I:$I)/D322,0))</f>
        <v/>
      </c>
      <c r="J322" s="44" t="str">
        <f t="shared" si="2"/>
        <v/>
      </c>
      <c r="K322" s="30" t="str">
        <f>IF($A322="","",IFERROR(VALUE(SUBSTITUTE(SUBSTITUTE(SUBSTITUTE(VLOOKUP($A322,Inventory!$O$5:$P$604,2,FALSE),"Tk","")," ",""),",","")),""))</f>
        <v/>
      </c>
      <c r="L322" s="58" t="str">
        <f t="shared" si="3"/>
        <v/>
      </c>
      <c r="M322" s="58" t="str">
        <f t="shared" si="4"/>
        <v/>
      </c>
      <c r="O322" s="59" t="str">
        <f t="shared" si="5"/>
        <v/>
      </c>
      <c r="P322" s="52"/>
    </row>
    <row r="323" ht="14.25" customHeight="1">
      <c r="A323" s="29" t="str">
        <f t="array" ref="A323">IFERROR(INDEX(Purchases!$D$5:$D$1004,MATCH(ROW()-4,Purchases!$L$5:$L$1004,0)),"")</f>
        <v/>
      </c>
      <c r="B323" s="48" t="str">
        <f>IFERROR(VLOOKUP(A323,Purchases!$D:$E,2,FALSE),"")</f>
        <v/>
      </c>
      <c r="C323" s="48" t="str">
        <f>IFERROR(VLOOKUP(A323,Purchases!$D:$F,3,FALSE),"")</f>
        <v/>
      </c>
      <c r="D323" s="48" t="str">
        <f>IF(A323="","",SUMIF(Purchases!$D:$D,A323,Purchases!$K:$K))</f>
        <v/>
      </c>
      <c r="E323" s="48" t="str">
        <f>IF(A323="","",SUMIFS(Sales!$H:$H,Sales!$F:$F,A323,Sales!$B:$B,"&lt;&gt;Return"))</f>
        <v/>
      </c>
      <c r="F323" s="48" t="str">
        <f>IF(A323="","",SUMIFS(Sales!$H:$H,Sales!$F:$F,A323,Sales!$B:$B,"Return"))</f>
        <v/>
      </c>
      <c r="G323" s="48" t="str">
        <f>IF($A323="","",SUMIF('Shop Ledger'!$C:$C,$A323,'Shop Ledger'!$F:$F))</f>
        <v/>
      </c>
      <c r="H323" s="48" t="str">
        <f t="shared" si="1"/>
        <v/>
      </c>
      <c r="I323" s="44" t="str">
        <f>IF(A323="","",IFERROR(SUMIF(Purchases!$D:$D,A323,Purchases!$I:$I)/D323,0))</f>
        <v/>
      </c>
      <c r="J323" s="44" t="str">
        <f t="shared" si="2"/>
        <v/>
      </c>
      <c r="K323" s="30" t="str">
        <f>IF($A323="","",IFERROR(VALUE(SUBSTITUTE(SUBSTITUTE(SUBSTITUTE(VLOOKUP($A323,Inventory!$O$5:$P$604,2,FALSE),"Tk","")," ",""),",","")),""))</f>
        <v/>
      </c>
      <c r="L323" s="58" t="str">
        <f t="shared" si="3"/>
        <v/>
      </c>
      <c r="M323" s="58" t="str">
        <f t="shared" si="4"/>
        <v/>
      </c>
      <c r="O323" s="59" t="str">
        <f t="shared" si="5"/>
        <v/>
      </c>
      <c r="P323" s="52"/>
    </row>
    <row r="324" ht="14.25" customHeight="1">
      <c r="A324" s="29" t="str">
        <f t="array" ref="A324">IFERROR(INDEX(Purchases!$D$5:$D$1004,MATCH(ROW()-4,Purchases!$L$5:$L$1004,0)),"")</f>
        <v/>
      </c>
      <c r="B324" s="48" t="str">
        <f>IFERROR(VLOOKUP(A324,Purchases!$D:$E,2,FALSE),"")</f>
        <v/>
      </c>
      <c r="C324" s="48" t="str">
        <f>IFERROR(VLOOKUP(A324,Purchases!$D:$F,3,FALSE),"")</f>
        <v/>
      </c>
      <c r="D324" s="48" t="str">
        <f>IF(A324="","",SUMIF(Purchases!$D:$D,A324,Purchases!$K:$K))</f>
        <v/>
      </c>
      <c r="E324" s="48" t="str">
        <f>IF(A324="","",SUMIFS(Sales!$H:$H,Sales!$F:$F,A324,Sales!$B:$B,"&lt;&gt;Return"))</f>
        <v/>
      </c>
      <c r="F324" s="48" t="str">
        <f>IF(A324="","",SUMIFS(Sales!$H:$H,Sales!$F:$F,A324,Sales!$B:$B,"Return"))</f>
        <v/>
      </c>
      <c r="G324" s="48" t="str">
        <f>IF($A324="","",SUMIF('Shop Ledger'!$C:$C,$A324,'Shop Ledger'!$F:$F))</f>
        <v/>
      </c>
      <c r="H324" s="48" t="str">
        <f t="shared" si="1"/>
        <v/>
      </c>
      <c r="I324" s="44" t="str">
        <f>IF(A324="","",IFERROR(SUMIF(Purchases!$D:$D,A324,Purchases!$I:$I)/D324,0))</f>
        <v/>
      </c>
      <c r="J324" s="44" t="str">
        <f t="shared" si="2"/>
        <v/>
      </c>
      <c r="K324" s="30" t="str">
        <f>IF($A324="","",IFERROR(VALUE(SUBSTITUTE(SUBSTITUTE(SUBSTITUTE(VLOOKUP($A324,Inventory!$O$5:$P$604,2,FALSE),"Tk","")," ",""),",","")),""))</f>
        <v/>
      </c>
      <c r="L324" s="58" t="str">
        <f t="shared" si="3"/>
        <v/>
      </c>
      <c r="M324" s="58" t="str">
        <f t="shared" si="4"/>
        <v/>
      </c>
      <c r="O324" s="59" t="str">
        <f t="shared" si="5"/>
        <v/>
      </c>
      <c r="P324" s="52"/>
    </row>
    <row r="325" ht="14.25" customHeight="1">
      <c r="A325" s="29" t="str">
        <f t="array" ref="A325">IFERROR(INDEX(Purchases!$D$5:$D$1004,MATCH(ROW()-4,Purchases!$L$5:$L$1004,0)),"")</f>
        <v/>
      </c>
      <c r="B325" s="48" t="str">
        <f>IFERROR(VLOOKUP(A325,Purchases!$D:$E,2,FALSE),"")</f>
        <v/>
      </c>
      <c r="C325" s="48" t="str">
        <f>IFERROR(VLOOKUP(A325,Purchases!$D:$F,3,FALSE),"")</f>
        <v/>
      </c>
      <c r="D325" s="48" t="str">
        <f>IF(A325="","",SUMIF(Purchases!$D:$D,A325,Purchases!$K:$K))</f>
        <v/>
      </c>
      <c r="E325" s="48" t="str">
        <f>IF(A325="","",SUMIFS(Sales!$H:$H,Sales!$F:$F,A325,Sales!$B:$B,"&lt;&gt;Return"))</f>
        <v/>
      </c>
      <c r="F325" s="48" t="str">
        <f>IF(A325="","",SUMIFS(Sales!$H:$H,Sales!$F:$F,A325,Sales!$B:$B,"Return"))</f>
        <v/>
      </c>
      <c r="G325" s="48" t="str">
        <f>IF($A325="","",SUMIF('Shop Ledger'!$C:$C,$A325,'Shop Ledger'!$F:$F))</f>
        <v/>
      </c>
      <c r="H325" s="48" t="str">
        <f t="shared" si="1"/>
        <v/>
      </c>
      <c r="I325" s="44" t="str">
        <f>IF(A325="","",IFERROR(SUMIF(Purchases!$D:$D,A325,Purchases!$I:$I)/D325,0))</f>
        <v/>
      </c>
      <c r="J325" s="44" t="str">
        <f t="shared" si="2"/>
        <v/>
      </c>
      <c r="K325" s="30" t="str">
        <f>IF($A325="","",IFERROR(VALUE(SUBSTITUTE(SUBSTITUTE(SUBSTITUTE(VLOOKUP($A325,Inventory!$O$5:$P$604,2,FALSE),"Tk","")," ",""),",","")),""))</f>
        <v/>
      </c>
      <c r="L325" s="58" t="str">
        <f t="shared" si="3"/>
        <v/>
      </c>
      <c r="M325" s="58" t="str">
        <f t="shared" si="4"/>
        <v/>
      </c>
      <c r="O325" s="59" t="str">
        <f t="shared" si="5"/>
        <v/>
      </c>
      <c r="P325" s="52"/>
    </row>
    <row r="326" ht="15.75" customHeight="1">
      <c r="A326" s="29" t="str">
        <f t="array" ref="A326">IFERROR(INDEX(Purchases!$D$5:$D$1004,MATCH(ROW()-4,Purchases!$L$5:$L$1004,0)),"")</f>
        <v/>
      </c>
      <c r="B326" s="48" t="str">
        <f>IFERROR(VLOOKUP(A326,Purchases!$D:$E,2,FALSE),"")</f>
        <v/>
      </c>
      <c r="C326" s="48" t="str">
        <f>IFERROR(VLOOKUP(A326,Purchases!$D:$F,3,FALSE),"")</f>
        <v/>
      </c>
      <c r="D326" s="48" t="str">
        <f>IF(A326="","",SUMIF(Purchases!$D:$D,A326,Purchases!$K:$K))</f>
        <v/>
      </c>
      <c r="E326" s="48" t="str">
        <f>IF(A326="","",SUMIFS(Sales!$H:$H,Sales!$F:$F,A326,Sales!$B:$B,"&lt;&gt;Return"))</f>
        <v/>
      </c>
      <c r="F326" s="48" t="str">
        <f>IF(A326="","",SUMIFS(Sales!$H:$H,Sales!$F:$F,A326,Sales!$B:$B,"Return"))</f>
        <v/>
      </c>
      <c r="G326" s="48" t="str">
        <f>IF($A326="","",SUMIF('Shop Ledger'!$C:$C,$A326,'Shop Ledger'!$F:$F))</f>
        <v/>
      </c>
      <c r="H326" s="48" t="str">
        <f t="shared" si="1"/>
        <v/>
      </c>
      <c r="I326" s="44" t="str">
        <f>IF(A326="","",IFERROR(SUMIF(Purchases!$D:$D,A326,Purchases!$I:$I)/D326,0))</f>
        <v/>
      </c>
      <c r="J326" s="44" t="str">
        <f t="shared" si="2"/>
        <v/>
      </c>
      <c r="K326" s="30" t="str">
        <f>IF($A326="","",IFERROR(VALUE(SUBSTITUTE(SUBSTITUTE(SUBSTITUTE(VLOOKUP($A326,Inventory!$O$5:$P$604,2,FALSE),"Tk","")," ",""),",","")),""))</f>
        <v/>
      </c>
      <c r="L326" s="58" t="str">
        <f t="shared" si="3"/>
        <v/>
      </c>
      <c r="M326" s="58" t="str">
        <f t="shared" si="4"/>
        <v/>
      </c>
      <c r="O326" s="59" t="str">
        <f t="shared" si="5"/>
        <v/>
      </c>
      <c r="P326" s="52"/>
    </row>
    <row r="327" ht="15.75" customHeight="1">
      <c r="A327" s="29" t="str">
        <f t="array" ref="A327">IFERROR(INDEX(Purchases!$D$5:$D$1004,MATCH(ROW()-4,Purchases!$L$5:$L$1004,0)),"")</f>
        <v/>
      </c>
      <c r="B327" s="48" t="str">
        <f>IFERROR(VLOOKUP(A327,Purchases!$D:$E,2,FALSE),"")</f>
        <v/>
      </c>
      <c r="C327" s="48" t="str">
        <f>IFERROR(VLOOKUP(A327,Purchases!$D:$F,3,FALSE),"")</f>
        <v/>
      </c>
      <c r="D327" s="48" t="str">
        <f>IF(A327="","",SUMIF(Purchases!$D:$D,A327,Purchases!$K:$K))</f>
        <v/>
      </c>
      <c r="E327" s="48" t="str">
        <f>IF(A327="","",SUMIFS(Sales!$H:$H,Sales!$F:$F,A327,Sales!$B:$B,"&lt;&gt;Return"))</f>
        <v/>
      </c>
      <c r="F327" s="48" t="str">
        <f>IF(A327="","",SUMIFS(Sales!$H:$H,Sales!$F:$F,A327,Sales!$B:$B,"Return"))</f>
        <v/>
      </c>
      <c r="G327" s="48" t="str">
        <f>IF($A327="","",SUMIF('Shop Ledger'!$C:$C,$A327,'Shop Ledger'!$F:$F))</f>
        <v/>
      </c>
      <c r="H327" s="48" t="str">
        <f t="shared" si="1"/>
        <v/>
      </c>
      <c r="I327" s="44" t="str">
        <f>IF(A327="","",IFERROR(SUMIF(Purchases!$D:$D,A327,Purchases!$I:$I)/D327,0))</f>
        <v/>
      </c>
      <c r="J327" s="44" t="str">
        <f t="shared" si="2"/>
        <v/>
      </c>
      <c r="K327" s="30" t="str">
        <f>IF($A327="","",IFERROR(VALUE(SUBSTITUTE(SUBSTITUTE(SUBSTITUTE(VLOOKUP($A327,Inventory!$O$5:$P$604,2,FALSE),"Tk","")," ",""),",","")),""))</f>
        <v/>
      </c>
      <c r="L327" s="58" t="str">
        <f t="shared" si="3"/>
        <v/>
      </c>
      <c r="M327" s="58" t="str">
        <f t="shared" si="4"/>
        <v/>
      </c>
      <c r="O327" s="59" t="str">
        <f t="shared" si="5"/>
        <v/>
      </c>
      <c r="P327" s="52"/>
    </row>
    <row r="328" ht="15.75" customHeight="1">
      <c r="A328" s="29" t="str">
        <f t="array" ref="A328">IFERROR(INDEX(Purchases!$D$5:$D$1004,MATCH(ROW()-4,Purchases!$L$5:$L$1004,0)),"")</f>
        <v/>
      </c>
      <c r="B328" s="48" t="str">
        <f>IFERROR(VLOOKUP(A328,Purchases!$D:$E,2,FALSE),"")</f>
        <v/>
      </c>
      <c r="C328" s="48" t="str">
        <f>IFERROR(VLOOKUP(A328,Purchases!$D:$F,3,FALSE),"")</f>
        <v/>
      </c>
      <c r="D328" s="48" t="str">
        <f>IF(A328="","",SUMIF(Purchases!$D:$D,A328,Purchases!$K:$K))</f>
        <v/>
      </c>
      <c r="E328" s="48" t="str">
        <f>IF(A328="","",SUMIFS(Sales!$H:$H,Sales!$F:$F,A328,Sales!$B:$B,"&lt;&gt;Return"))</f>
        <v/>
      </c>
      <c r="F328" s="48" t="str">
        <f>IF(A328="","",SUMIFS(Sales!$H:$H,Sales!$F:$F,A328,Sales!$B:$B,"Return"))</f>
        <v/>
      </c>
      <c r="G328" s="48" t="str">
        <f>IF($A328="","",SUMIF('Shop Ledger'!$C:$C,$A328,'Shop Ledger'!$F:$F))</f>
        <v/>
      </c>
      <c r="H328" s="48" t="str">
        <f t="shared" si="1"/>
        <v/>
      </c>
      <c r="I328" s="44" t="str">
        <f>IF(A328="","",IFERROR(SUMIF(Purchases!$D:$D,A328,Purchases!$I:$I)/D328,0))</f>
        <v/>
      </c>
      <c r="J328" s="44" t="str">
        <f t="shared" si="2"/>
        <v/>
      </c>
      <c r="K328" s="30" t="str">
        <f>IF($A328="","",IFERROR(VALUE(SUBSTITUTE(SUBSTITUTE(SUBSTITUTE(VLOOKUP($A328,Inventory!$O$5:$P$604,2,FALSE),"Tk","")," ",""),",","")),""))</f>
        <v/>
      </c>
      <c r="L328" s="58" t="str">
        <f t="shared" si="3"/>
        <v/>
      </c>
      <c r="M328" s="58" t="str">
        <f t="shared" si="4"/>
        <v/>
      </c>
      <c r="O328" s="59" t="str">
        <f t="shared" si="5"/>
        <v/>
      </c>
      <c r="P328" s="52"/>
    </row>
    <row r="329" ht="15.75" customHeight="1">
      <c r="A329" s="29" t="str">
        <f t="array" ref="A329">IFERROR(INDEX(Purchases!$D$5:$D$1004,MATCH(ROW()-4,Purchases!$L$5:$L$1004,0)),"")</f>
        <v/>
      </c>
      <c r="B329" s="48" t="str">
        <f>IFERROR(VLOOKUP(A329,Purchases!$D:$E,2,FALSE),"")</f>
        <v/>
      </c>
      <c r="C329" s="48" t="str">
        <f>IFERROR(VLOOKUP(A329,Purchases!$D:$F,3,FALSE),"")</f>
        <v/>
      </c>
      <c r="D329" s="48" t="str">
        <f>IF(A329="","",SUMIF(Purchases!$D:$D,A329,Purchases!$K:$K))</f>
        <v/>
      </c>
      <c r="E329" s="48" t="str">
        <f>IF(A329="","",SUMIFS(Sales!$H:$H,Sales!$F:$F,A329,Sales!$B:$B,"&lt;&gt;Return"))</f>
        <v/>
      </c>
      <c r="F329" s="48" t="str">
        <f>IF(A329="","",SUMIFS(Sales!$H:$H,Sales!$F:$F,A329,Sales!$B:$B,"Return"))</f>
        <v/>
      </c>
      <c r="G329" s="48" t="str">
        <f>IF($A329="","",SUMIF('Shop Ledger'!$C:$C,$A329,'Shop Ledger'!$F:$F))</f>
        <v/>
      </c>
      <c r="H329" s="48" t="str">
        <f t="shared" si="1"/>
        <v/>
      </c>
      <c r="I329" s="44" t="str">
        <f>IF(A329="","",IFERROR(SUMIF(Purchases!$D:$D,A329,Purchases!$I:$I)/D329,0))</f>
        <v/>
      </c>
      <c r="J329" s="44" t="str">
        <f t="shared" si="2"/>
        <v/>
      </c>
      <c r="K329" s="30" t="str">
        <f>IF($A329="","",IFERROR(VALUE(SUBSTITUTE(SUBSTITUTE(SUBSTITUTE(VLOOKUP($A329,Inventory!$O$5:$P$604,2,FALSE),"Tk","")," ",""),",","")),""))</f>
        <v/>
      </c>
      <c r="L329" s="58" t="str">
        <f t="shared" si="3"/>
        <v/>
      </c>
      <c r="M329" s="58" t="str">
        <f t="shared" si="4"/>
        <v/>
      </c>
      <c r="O329" s="59" t="str">
        <f t="shared" si="5"/>
        <v/>
      </c>
      <c r="P329" s="52"/>
    </row>
    <row r="330" ht="15.75" customHeight="1">
      <c r="A330" s="29" t="str">
        <f t="array" ref="A330">IFERROR(INDEX(Purchases!$D$5:$D$1004,MATCH(ROW()-4,Purchases!$L$5:$L$1004,0)),"")</f>
        <v/>
      </c>
      <c r="B330" s="48" t="str">
        <f>IFERROR(VLOOKUP(A330,Purchases!$D:$E,2,FALSE),"")</f>
        <v/>
      </c>
      <c r="C330" s="48" t="str">
        <f>IFERROR(VLOOKUP(A330,Purchases!$D:$F,3,FALSE),"")</f>
        <v/>
      </c>
      <c r="D330" s="48" t="str">
        <f>IF(A330="","",SUMIF(Purchases!$D:$D,A330,Purchases!$K:$K))</f>
        <v/>
      </c>
      <c r="E330" s="48" t="str">
        <f>IF(A330="","",SUMIFS(Sales!$H:$H,Sales!$F:$F,A330,Sales!$B:$B,"&lt;&gt;Return"))</f>
        <v/>
      </c>
      <c r="F330" s="48" t="str">
        <f>IF(A330="","",SUMIFS(Sales!$H:$H,Sales!$F:$F,A330,Sales!$B:$B,"Return"))</f>
        <v/>
      </c>
      <c r="G330" s="48" t="str">
        <f>IF($A330="","",SUMIF('Shop Ledger'!$C:$C,$A330,'Shop Ledger'!$F:$F))</f>
        <v/>
      </c>
      <c r="H330" s="48" t="str">
        <f t="shared" si="1"/>
        <v/>
      </c>
      <c r="I330" s="44" t="str">
        <f>IF(A330="","",IFERROR(SUMIF(Purchases!$D:$D,A330,Purchases!$I:$I)/D330,0))</f>
        <v/>
      </c>
      <c r="J330" s="44" t="str">
        <f t="shared" si="2"/>
        <v/>
      </c>
      <c r="K330" s="30" t="str">
        <f>IF($A330="","",IFERROR(VALUE(SUBSTITUTE(SUBSTITUTE(SUBSTITUTE(VLOOKUP($A330,Inventory!$O$5:$P$604,2,FALSE),"Tk","")," ",""),",","")),""))</f>
        <v/>
      </c>
      <c r="L330" s="58" t="str">
        <f t="shared" si="3"/>
        <v/>
      </c>
      <c r="M330" s="58" t="str">
        <f t="shared" si="4"/>
        <v/>
      </c>
      <c r="O330" s="59" t="str">
        <f t="shared" si="5"/>
        <v/>
      </c>
      <c r="P330" s="52"/>
    </row>
    <row r="331" ht="15.75" customHeight="1">
      <c r="A331" s="29" t="str">
        <f t="array" ref="A331">IFERROR(INDEX(Purchases!$D$5:$D$1004,MATCH(ROW()-4,Purchases!$L$5:$L$1004,0)),"")</f>
        <v/>
      </c>
      <c r="B331" s="48" t="str">
        <f>IFERROR(VLOOKUP(A331,Purchases!$D:$E,2,FALSE),"")</f>
        <v/>
      </c>
      <c r="C331" s="48" t="str">
        <f>IFERROR(VLOOKUP(A331,Purchases!$D:$F,3,FALSE),"")</f>
        <v/>
      </c>
      <c r="D331" s="48" t="str">
        <f>IF(A331="","",SUMIF(Purchases!$D:$D,A331,Purchases!$K:$K))</f>
        <v/>
      </c>
      <c r="E331" s="48" t="str">
        <f>IF(A331="","",SUMIFS(Sales!$H:$H,Sales!$F:$F,A331,Sales!$B:$B,"&lt;&gt;Return"))</f>
        <v/>
      </c>
      <c r="F331" s="48" t="str">
        <f>IF(A331="","",SUMIFS(Sales!$H:$H,Sales!$F:$F,A331,Sales!$B:$B,"Return"))</f>
        <v/>
      </c>
      <c r="G331" s="48" t="str">
        <f>IF($A331="","",SUMIF('Shop Ledger'!$C:$C,$A331,'Shop Ledger'!$F:$F))</f>
        <v/>
      </c>
      <c r="H331" s="48" t="str">
        <f t="shared" si="1"/>
        <v/>
      </c>
      <c r="I331" s="44" t="str">
        <f>IF(A331="","",IFERROR(SUMIF(Purchases!$D:$D,A331,Purchases!$I:$I)/D331,0))</f>
        <v/>
      </c>
      <c r="J331" s="44" t="str">
        <f t="shared" si="2"/>
        <v/>
      </c>
      <c r="K331" s="30" t="str">
        <f>IF($A331="","",IFERROR(VALUE(SUBSTITUTE(SUBSTITUTE(SUBSTITUTE(VLOOKUP($A331,Inventory!$O$5:$P$604,2,FALSE),"Tk","")," ",""),",","")),""))</f>
        <v/>
      </c>
      <c r="L331" s="58" t="str">
        <f t="shared" si="3"/>
        <v/>
      </c>
      <c r="M331" s="58" t="str">
        <f t="shared" si="4"/>
        <v/>
      </c>
      <c r="O331" s="59" t="str">
        <f t="shared" si="5"/>
        <v/>
      </c>
      <c r="P331" s="52"/>
    </row>
    <row r="332" ht="15.75" customHeight="1">
      <c r="A332" s="29" t="str">
        <f t="array" ref="A332">IFERROR(INDEX(Purchases!$D$5:$D$1004,MATCH(ROW()-4,Purchases!$L$5:$L$1004,0)),"")</f>
        <v/>
      </c>
      <c r="B332" s="48" t="str">
        <f>IFERROR(VLOOKUP(A332,Purchases!$D:$E,2,FALSE),"")</f>
        <v/>
      </c>
      <c r="C332" s="48" t="str">
        <f>IFERROR(VLOOKUP(A332,Purchases!$D:$F,3,FALSE),"")</f>
        <v/>
      </c>
      <c r="D332" s="48" t="str">
        <f>IF(A332="","",SUMIF(Purchases!$D:$D,A332,Purchases!$K:$K))</f>
        <v/>
      </c>
      <c r="E332" s="48" t="str">
        <f>IF(A332="","",SUMIFS(Sales!$H:$H,Sales!$F:$F,A332,Sales!$B:$B,"&lt;&gt;Return"))</f>
        <v/>
      </c>
      <c r="F332" s="48" t="str">
        <f>IF(A332="","",SUMIFS(Sales!$H:$H,Sales!$F:$F,A332,Sales!$B:$B,"Return"))</f>
        <v/>
      </c>
      <c r="G332" s="48" t="str">
        <f>IF($A332="","",SUMIF('Shop Ledger'!$C:$C,$A332,'Shop Ledger'!$F:$F))</f>
        <v/>
      </c>
      <c r="H332" s="48" t="str">
        <f t="shared" si="1"/>
        <v/>
      </c>
      <c r="I332" s="44" t="str">
        <f>IF(A332="","",IFERROR(SUMIF(Purchases!$D:$D,A332,Purchases!$I:$I)/D332,0))</f>
        <v/>
      </c>
      <c r="J332" s="44" t="str">
        <f t="shared" si="2"/>
        <v/>
      </c>
      <c r="K332" s="30" t="str">
        <f>IF($A332="","",IFERROR(VALUE(SUBSTITUTE(SUBSTITUTE(SUBSTITUTE(VLOOKUP($A332,Inventory!$O$5:$P$604,2,FALSE),"Tk","")," ",""),",","")),""))</f>
        <v/>
      </c>
      <c r="L332" s="58" t="str">
        <f t="shared" si="3"/>
        <v/>
      </c>
      <c r="M332" s="58" t="str">
        <f t="shared" si="4"/>
        <v/>
      </c>
      <c r="O332" s="59" t="str">
        <f t="shared" si="5"/>
        <v/>
      </c>
      <c r="P332" s="52"/>
    </row>
    <row r="333" ht="15.75" customHeight="1">
      <c r="A333" s="29" t="str">
        <f t="array" ref="A333">IFERROR(INDEX(Purchases!$D$5:$D$1004,MATCH(ROW()-4,Purchases!$L$5:$L$1004,0)),"")</f>
        <v/>
      </c>
      <c r="B333" s="48" t="str">
        <f>IFERROR(VLOOKUP(A333,Purchases!$D:$E,2,FALSE),"")</f>
        <v/>
      </c>
      <c r="C333" s="48" t="str">
        <f>IFERROR(VLOOKUP(A333,Purchases!$D:$F,3,FALSE),"")</f>
        <v/>
      </c>
      <c r="D333" s="48" t="str">
        <f>IF(A333="","",SUMIF(Purchases!$D:$D,A333,Purchases!$K:$K))</f>
        <v/>
      </c>
      <c r="E333" s="48" t="str">
        <f>IF(A333="","",SUMIFS(Sales!$H:$H,Sales!$F:$F,A333,Sales!$B:$B,"&lt;&gt;Return"))</f>
        <v/>
      </c>
      <c r="F333" s="48" t="str">
        <f>IF(A333="","",SUMIFS(Sales!$H:$H,Sales!$F:$F,A333,Sales!$B:$B,"Return"))</f>
        <v/>
      </c>
      <c r="G333" s="48" t="str">
        <f>IF($A333="","",SUMIF('Shop Ledger'!$C:$C,$A333,'Shop Ledger'!$F:$F))</f>
        <v/>
      </c>
      <c r="H333" s="48" t="str">
        <f t="shared" si="1"/>
        <v/>
      </c>
      <c r="I333" s="44" t="str">
        <f>IF(A333="","",IFERROR(SUMIF(Purchases!$D:$D,A333,Purchases!$I:$I)/D333,0))</f>
        <v/>
      </c>
      <c r="J333" s="44" t="str">
        <f t="shared" si="2"/>
        <v/>
      </c>
      <c r="K333" s="30" t="str">
        <f>IF($A333="","",IFERROR(VALUE(SUBSTITUTE(SUBSTITUTE(SUBSTITUTE(VLOOKUP($A333,Inventory!$O$5:$P$604,2,FALSE),"Tk","")," ",""),",","")),""))</f>
        <v/>
      </c>
      <c r="L333" s="58" t="str">
        <f t="shared" si="3"/>
        <v/>
      </c>
      <c r="M333" s="58" t="str">
        <f t="shared" si="4"/>
        <v/>
      </c>
      <c r="O333" s="59" t="str">
        <f t="shared" si="5"/>
        <v/>
      </c>
      <c r="P333" s="52"/>
    </row>
    <row r="334" ht="15.75" customHeight="1">
      <c r="A334" s="29" t="str">
        <f t="array" ref="A334">IFERROR(INDEX(Purchases!$D$5:$D$1004,MATCH(ROW()-4,Purchases!$L$5:$L$1004,0)),"")</f>
        <v/>
      </c>
      <c r="B334" s="48" t="str">
        <f>IFERROR(VLOOKUP(A334,Purchases!$D:$E,2,FALSE),"")</f>
        <v/>
      </c>
      <c r="C334" s="48" t="str">
        <f>IFERROR(VLOOKUP(A334,Purchases!$D:$F,3,FALSE),"")</f>
        <v/>
      </c>
      <c r="D334" s="48" t="str">
        <f>IF(A334="","",SUMIF(Purchases!$D:$D,A334,Purchases!$K:$K))</f>
        <v/>
      </c>
      <c r="E334" s="48" t="str">
        <f>IF(A334="","",SUMIFS(Sales!$H:$H,Sales!$F:$F,A334,Sales!$B:$B,"&lt;&gt;Return"))</f>
        <v/>
      </c>
      <c r="F334" s="48" t="str">
        <f>IF(A334="","",SUMIFS(Sales!$H:$H,Sales!$F:$F,A334,Sales!$B:$B,"Return"))</f>
        <v/>
      </c>
      <c r="G334" s="48" t="str">
        <f>IF($A334="","",SUMIF('Shop Ledger'!$C:$C,$A334,'Shop Ledger'!$F:$F))</f>
        <v/>
      </c>
      <c r="H334" s="48" t="str">
        <f t="shared" si="1"/>
        <v/>
      </c>
      <c r="I334" s="44" t="str">
        <f>IF(A334="","",IFERROR(SUMIF(Purchases!$D:$D,A334,Purchases!$I:$I)/D334,0))</f>
        <v/>
      </c>
      <c r="J334" s="44" t="str">
        <f t="shared" si="2"/>
        <v/>
      </c>
      <c r="K334" s="30" t="str">
        <f>IF($A334="","",IFERROR(VALUE(SUBSTITUTE(SUBSTITUTE(SUBSTITUTE(VLOOKUP($A334,Inventory!$O$5:$P$604,2,FALSE),"Tk","")," ",""),",","")),""))</f>
        <v/>
      </c>
      <c r="L334" s="58" t="str">
        <f t="shared" si="3"/>
        <v/>
      </c>
      <c r="M334" s="58" t="str">
        <f t="shared" si="4"/>
        <v/>
      </c>
      <c r="O334" s="59" t="str">
        <f t="shared" si="5"/>
        <v/>
      </c>
      <c r="P334" s="52"/>
    </row>
    <row r="335" ht="15.75" customHeight="1">
      <c r="A335" s="29" t="str">
        <f t="array" ref="A335">IFERROR(INDEX(Purchases!$D$5:$D$1004,MATCH(ROW()-4,Purchases!$L$5:$L$1004,0)),"")</f>
        <v/>
      </c>
      <c r="B335" s="48" t="str">
        <f>IFERROR(VLOOKUP(A335,Purchases!$D:$E,2,FALSE),"")</f>
        <v/>
      </c>
      <c r="C335" s="48" t="str">
        <f>IFERROR(VLOOKUP(A335,Purchases!$D:$F,3,FALSE),"")</f>
        <v/>
      </c>
      <c r="D335" s="48" t="str">
        <f>IF(A335="","",SUMIF(Purchases!$D:$D,A335,Purchases!$K:$K))</f>
        <v/>
      </c>
      <c r="E335" s="48" t="str">
        <f>IF(A335="","",SUMIFS(Sales!$H:$H,Sales!$F:$F,A335,Sales!$B:$B,"&lt;&gt;Return"))</f>
        <v/>
      </c>
      <c r="F335" s="48" t="str">
        <f>IF(A335="","",SUMIFS(Sales!$H:$H,Sales!$F:$F,A335,Sales!$B:$B,"Return"))</f>
        <v/>
      </c>
      <c r="G335" s="48" t="str">
        <f>IF($A335="","",SUMIF('Shop Ledger'!$C:$C,$A335,'Shop Ledger'!$F:$F))</f>
        <v/>
      </c>
      <c r="H335" s="48" t="str">
        <f t="shared" si="1"/>
        <v/>
      </c>
      <c r="I335" s="44" t="str">
        <f>IF(A335="","",IFERROR(SUMIF(Purchases!$D:$D,A335,Purchases!$I:$I)/D335,0))</f>
        <v/>
      </c>
      <c r="J335" s="44" t="str">
        <f t="shared" si="2"/>
        <v/>
      </c>
      <c r="K335" s="30" t="str">
        <f>IF($A335="","",IFERROR(VALUE(SUBSTITUTE(SUBSTITUTE(SUBSTITUTE(VLOOKUP($A335,Inventory!$O$5:$P$604,2,FALSE),"Tk","")," ",""),",","")),""))</f>
        <v/>
      </c>
      <c r="L335" s="58" t="str">
        <f t="shared" si="3"/>
        <v/>
      </c>
      <c r="M335" s="58" t="str">
        <f t="shared" si="4"/>
        <v/>
      </c>
      <c r="O335" s="59" t="str">
        <f t="shared" si="5"/>
        <v/>
      </c>
      <c r="P335" s="52"/>
    </row>
    <row r="336" ht="15.75" customHeight="1">
      <c r="A336" s="29" t="str">
        <f t="array" ref="A336">IFERROR(INDEX(Purchases!$D$5:$D$1004,MATCH(ROW()-4,Purchases!$L$5:$L$1004,0)),"")</f>
        <v/>
      </c>
      <c r="B336" s="48" t="str">
        <f>IFERROR(VLOOKUP(A336,Purchases!$D:$E,2,FALSE),"")</f>
        <v/>
      </c>
      <c r="C336" s="48" t="str">
        <f>IFERROR(VLOOKUP(A336,Purchases!$D:$F,3,FALSE),"")</f>
        <v/>
      </c>
      <c r="D336" s="48" t="str">
        <f>IF(A336="","",SUMIF(Purchases!$D:$D,A336,Purchases!$K:$K))</f>
        <v/>
      </c>
      <c r="E336" s="48" t="str">
        <f>IF(A336="","",SUMIFS(Sales!$H:$H,Sales!$F:$F,A336,Sales!$B:$B,"&lt;&gt;Return"))</f>
        <v/>
      </c>
      <c r="F336" s="48" t="str">
        <f>IF(A336="","",SUMIFS(Sales!$H:$H,Sales!$F:$F,A336,Sales!$B:$B,"Return"))</f>
        <v/>
      </c>
      <c r="G336" s="48" t="str">
        <f>IF($A336="","",SUMIF('Shop Ledger'!$C:$C,$A336,'Shop Ledger'!$F:$F))</f>
        <v/>
      </c>
      <c r="H336" s="48" t="str">
        <f t="shared" si="1"/>
        <v/>
      </c>
      <c r="I336" s="44" t="str">
        <f>IF(A336="","",IFERROR(SUMIF(Purchases!$D:$D,A336,Purchases!$I:$I)/D336,0))</f>
        <v/>
      </c>
      <c r="J336" s="44" t="str">
        <f t="shared" si="2"/>
        <v/>
      </c>
      <c r="K336" s="30" t="str">
        <f>IF($A336="","",IFERROR(VALUE(SUBSTITUTE(SUBSTITUTE(SUBSTITUTE(VLOOKUP($A336,Inventory!$O$5:$P$604,2,FALSE),"Tk","")," ",""),",","")),""))</f>
        <v/>
      </c>
      <c r="L336" s="58" t="str">
        <f t="shared" si="3"/>
        <v/>
      </c>
      <c r="M336" s="58" t="str">
        <f t="shared" si="4"/>
        <v/>
      </c>
      <c r="O336" s="59" t="str">
        <f t="shared" si="5"/>
        <v/>
      </c>
      <c r="P336" s="52"/>
    </row>
    <row r="337" ht="15.75" customHeight="1">
      <c r="A337" s="29" t="str">
        <f t="array" ref="A337">IFERROR(INDEX(Purchases!$D$5:$D$1004,MATCH(ROW()-4,Purchases!$L$5:$L$1004,0)),"")</f>
        <v/>
      </c>
      <c r="B337" s="48" t="str">
        <f>IFERROR(VLOOKUP(A337,Purchases!$D:$E,2,FALSE),"")</f>
        <v/>
      </c>
      <c r="C337" s="48" t="str">
        <f>IFERROR(VLOOKUP(A337,Purchases!$D:$F,3,FALSE),"")</f>
        <v/>
      </c>
      <c r="D337" s="48" t="str">
        <f>IF(A337="","",SUMIF(Purchases!$D:$D,A337,Purchases!$K:$K))</f>
        <v/>
      </c>
      <c r="E337" s="48" t="str">
        <f>IF(A337="","",SUMIFS(Sales!$H:$H,Sales!$F:$F,A337,Sales!$B:$B,"&lt;&gt;Return"))</f>
        <v/>
      </c>
      <c r="F337" s="48" t="str">
        <f>IF(A337="","",SUMIFS(Sales!$H:$H,Sales!$F:$F,A337,Sales!$B:$B,"Return"))</f>
        <v/>
      </c>
      <c r="G337" s="48" t="str">
        <f>IF($A337="","",SUMIF('Shop Ledger'!$C:$C,$A337,'Shop Ledger'!$F:$F))</f>
        <v/>
      </c>
      <c r="H337" s="48" t="str">
        <f t="shared" si="1"/>
        <v/>
      </c>
      <c r="I337" s="44" t="str">
        <f>IF(A337="","",IFERROR(SUMIF(Purchases!$D:$D,A337,Purchases!$I:$I)/D337,0))</f>
        <v/>
      </c>
      <c r="J337" s="44" t="str">
        <f t="shared" si="2"/>
        <v/>
      </c>
      <c r="K337" s="30" t="str">
        <f>IF($A337="","",IFERROR(VALUE(SUBSTITUTE(SUBSTITUTE(SUBSTITUTE(VLOOKUP($A337,Inventory!$O$5:$P$604,2,FALSE),"Tk","")," ",""),",","")),""))</f>
        <v/>
      </c>
      <c r="L337" s="58" t="str">
        <f t="shared" si="3"/>
        <v/>
      </c>
      <c r="M337" s="58" t="str">
        <f t="shared" si="4"/>
        <v/>
      </c>
      <c r="O337" s="59" t="str">
        <f t="shared" si="5"/>
        <v/>
      </c>
      <c r="P337" s="52"/>
    </row>
    <row r="338" ht="15.75" customHeight="1">
      <c r="A338" s="29" t="str">
        <f t="array" ref="A338">IFERROR(INDEX(Purchases!$D$5:$D$1004,MATCH(ROW()-4,Purchases!$L$5:$L$1004,0)),"")</f>
        <v/>
      </c>
      <c r="B338" s="48" t="str">
        <f>IFERROR(VLOOKUP(A338,Purchases!$D:$E,2,FALSE),"")</f>
        <v/>
      </c>
      <c r="C338" s="48" t="str">
        <f>IFERROR(VLOOKUP(A338,Purchases!$D:$F,3,FALSE),"")</f>
        <v/>
      </c>
      <c r="D338" s="48" t="str">
        <f>IF(A338="","",SUMIF(Purchases!$D:$D,A338,Purchases!$K:$K))</f>
        <v/>
      </c>
      <c r="E338" s="48" t="str">
        <f>IF(A338="","",SUMIFS(Sales!$H:$H,Sales!$F:$F,A338,Sales!$B:$B,"&lt;&gt;Return"))</f>
        <v/>
      </c>
      <c r="F338" s="48" t="str">
        <f>IF(A338="","",SUMIFS(Sales!$H:$H,Sales!$F:$F,A338,Sales!$B:$B,"Return"))</f>
        <v/>
      </c>
      <c r="G338" s="48" t="str">
        <f>IF($A338="","",SUMIF('Shop Ledger'!$C:$C,$A338,'Shop Ledger'!$F:$F))</f>
        <v/>
      </c>
      <c r="H338" s="48" t="str">
        <f t="shared" si="1"/>
        <v/>
      </c>
      <c r="I338" s="44" t="str">
        <f>IF(A338="","",IFERROR(SUMIF(Purchases!$D:$D,A338,Purchases!$I:$I)/D338,0))</f>
        <v/>
      </c>
      <c r="J338" s="44" t="str">
        <f t="shared" si="2"/>
        <v/>
      </c>
      <c r="K338" s="30" t="str">
        <f>IF($A338="","",IFERROR(VALUE(SUBSTITUTE(SUBSTITUTE(SUBSTITUTE(VLOOKUP($A338,Inventory!$O$5:$P$604,2,FALSE),"Tk","")," ",""),",","")),""))</f>
        <v/>
      </c>
      <c r="L338" s="58" t="str">
        <f t="shared" si="3"/>
        <v/>
      </c>
      <c r="M338" s="58" t="str">
        <f t="shared" si="4"/>
        <v/>
      </c>
      <c r="O338" s="59" t="str">
        <f t="shared" si="5"/>
        <v/>
      </c>
      <c r="P338" s="52"/>
    </row>
    <row r="339" ht="15.75" customHeight="1">
      <c r="A339" s="29" t="str">
        <f t="array" ref="A339">IFERROR(INDEX(Purchases!$D$5:$D$1004,MATCH(ROW()-4,Purchases!$L$5:$L$1004,0)),"")</f>
        <v/>
      </c>
      <c r="B339" s="48" t="str">
        <f>IFERROR(VLOOKUP(A339,Purchases!$D:$E,2,FALSE),"")</f>
        <v/>
      </c>
      <c r="C339" s="48" t="str">
        <f>IFERROR(VLOOKUP(A339,Purchases!$D:$F,3,FALSE),"")</f>
        <v/>
      </c>
      <c r="D339" s="48" t="str">
        <f>IF(A339="","",SUMIF(Purchases!$D:$D,A339,Purchases!$K:$K))</f>
        <v/>
      </c>
      <c r="E339" s="48" t="str">
        <f>IF(A339="","",SUMIFS(Sales!$H:$H,Sales!$F:$F,A339,Sales!$B:$B,"&lt;&gt;Return"))</f>
        <v/>
      </c>
      <c r="F339" s="48" t="str">
        <f>IF(A339="","",SUMIFS(Sales!$H:$H,Sales!$F:$F,A339,Sales!$B:$B,"Return"))</f>
        <v/>
      </c>
      <c r="G339" s="48" t="str">
        <f>IF($A339="","",SUMIF('Shop Ledger'!$C:$C,$A339,'Shop Ledger'!$F:$F))</f>
        <v/>
      </c>
      <c r="H339" s="48" t="str">
        <f t="shared" si="1"/>
        <v/>
      </c>
      <c r="I339" s="44" t="str">
        <f>IF(A339="","",IFERROR(SUMIF(Purchases!$D:$D,A339,Purchases!$I:$I)/D339,0))</f>
        <v/>
      </c>
      <c r="J339" s="44" t="str">
        <f t="shared" si="2"/>
        <v/>
      </c>
      <c r="K339" s="30" t="str">
        <f>IF($A339="","",IFERROR(VALUE(SUBSTITUTE(SUBSTITUTE(SUBSTITUTE(VLOOKUP($A339,Inventory!$O$5:$P$604,2,FALSE),"Tk","")," ",""),",","")),""))</f>
        <v/>
      </c>
      <c r="L339" s="58" t="str">
        <f t="shared" si="3"/>
        <v/>
      </c>
      <c r="M339" s="58" t="str">
        <f t="shared" si="4"/>
        <v/>
      </c>
      <c r="O339" s="59" t="str">
        <f t="shared" si="5"/>
        <v/>
      </c>
      <c r="P339" s="52"/>
    </row>
    <row r="340" ht="15.75" customHeight="1">
      <c r="A340" s="29" t="str">
        <f t="array" ref="A340">IFERROR(INDEX(Purchases!$D$5:$D$1004,MATCH(ROW()-4,Purchases!$L$5:$L$1004,0)),"")</f>
        <v/>
      </c>
      <c r="B340" s="48" t="str">
        <f>IFERROR(VLOOKUP(A340,Purchases!$D:$E,2,FALSE),"")</f>
        <v/>
      </c>
      <c r="C340" s="48" t="str">
        <f>IFERROR(VLOOKUP(A340,Purchases!$D:$F,3,FALSE),"")</f>
        <v/>
      </c>
      <c r="D340" s="48" t="str">
        <f>IF(A340="","",SUMIF(Purchases!$D:$D,A340,Purchases!$K:$K))</f>
        <v/>
      </c>
      <c r="E340" s="48" t="str">
        <f>IF(A340="","",SUMIFS(Sales!$H:$H,Sales!$F:$F,A340,Sales!$B:$B,"&lt;&gt;Return"))</f>
        <v/>
      </c>
      <c r="F340" s="48" t="str">
        <f>IF(A340="","",SUMIFS(Sales!$H:$H,Sales!$F:$F,A340,Sales!$B:$B,"Return"))</f>
        <v/>
      </c>
      <c r="G340" s="48" t="str">
        <f>IF($A340="","",SUMIF('Shop Ledger'!$C:$C,$A340,'Shop Ledger'!$F:$F))</f>
        <v/>
      </c>
      <c r="H340" s="48" t="str">
        <f t="shared" si="1"/>
        <v/>
      </c>
      <c r="I340" s="44" t="str">
        <f>IF(A340="","",IFERROR(SUMIF(Purchases!$D:$D,A340,Purchases!$I:$I)/D340,0))</f>
        <v/>
      </c>
      <c r="J340" s="44" t="str">
        <f t="shared" si="2"/>
        <v/>
      </c>
      <c r="K340" s="30" t="str">
        <f>IF($A340="","",IFERROR(VALUE(SUBSTITUTE(SUBSTITUTE(SUBSTITUTE(VLOOKUP($A340,Inventory!$O$5:$P$604,2,FALSE),"Tk","")," ",""),",","")),""))</f>
        <v/>
      </c>
      <c r="L340" s="58" t="str">
        <f t="shared" si="3"/>
        <v/>
      </c>
      <c r="M340" s="58" t="str">
        <f t="shared" si="4"/>
        <v/>
      </c>
      <c r="O340" s="59" t="str">
        <f t="shared" si="5"/>
        <v/>
      </c>
      <c r="P340" s="52"/>
    </row>
    <row r="341" ht="15.75" customHeight="1">
      <c r="A341" s="29" t="str">
        <f t="array" ref="A341">IFERROR(INDEX(Purchases!$D$5:$D$1004,MATCH(ROW()-4,Purchases!$L$5:$L$1004,0)),"")</f>
        <v/>
      </c>
      <c r="B341" s="48" t="str">
        <f>IFERROR(VLOOKUP(A341,Purchases!$D:$E,2,FALSE),"")</f>
        <v/>
      </c>
      <c r="C341" s="48" t="str">
        <f>IFERROR(VLOOKUP(A341,Purchases!$D:$F,3,FALSE),"")</f>
        <v/>
      </c>
      <c r="D341" s="48" t="str">
        <f>IF(A341="","",SUMIF(Purchases!$D:$D,A341,Purchases!$K:$K))</f>
        <v/>
      </c>
      <c r="E341" s="48" t="str">
        <f>IF(A341="","",SUMIFS(Sales!$H:$H,Sales!$F:$F,A341,Sales!$B:$B,"&lt;&gt;Return"))</f>
        <v/>
      </c>
      <c r="F341" s="48" t="str">
        <f>IF(A341="","",SUMIFS(Sales!$H:$H,Sales!$F:$F,A341,Sales!$B:$B,"Return"))</f>
        <v/>
      </c>
      <c r="G341" s="48" t="str">
        <f>IF($A341="","",SUMIF('Shop Ledger'!$C:$C,$A341,'Shop Ledger'!$F:$F))</f>
        <v/>
      </c>
      <c r="H341" s="48" t="str">
        <f t="shared" si="1"/>
        <v/>
      </c>
      <c r="I341" s="44" t="str">
        <f>IF(A341="","",IFERROR(SUMIF(Purchases!$D:$D,A341,Purchases!$I:$I)/D341,0))</f>
        <v/>
      </c>
      <c r="J341" s="44" t="str">
        <f t="shared" si="2"/>
        <v/>
      </c>
      <c r="K341" s="30" t="str">
        <f>IF($A341="","",IFERROR(VALUE(SUBSTITUTE(SUBSTITUTE(SUBSTITUTE(VLOOKUP($A341,Inventory!$O$5:$P$604,2,FALSE),"Tk","")," ",""),",","")),""))</f>
        <v/>
      </c>
      <c r="L341" s="58" t="str">
        <f t="shared" si="3"/>
        <v/>
      </c>
      <c r="M341" s="58" t="str">
        <f t="shared" si="4"/>
        <v/>
      </c>
      <c r="O341" s="59" t="str">
        <f t="shared" si="5"/>
        <v/>
      </c>
      <c r="P341" s="52"/>
    </row>
    <row r="342" ht="15.75" customHeight="1">
      <c r="A342" s="29" t="str">
        <f t="array" ref="A342">IFERROR(INDEX(Purchases!$D$5:$D$1004,MATCH(ROW()-4,Purchases!$L$5:$L$1004,0)),"")</f>
        <v/>
      </c>
      <c r="B342" s="48" t="str">
        <f>IFERROR(VLOOKUP(A342,Purchases!$D:$E,2,FALSE),"")</f>
        <v/>
      </c>
      <c r="C342" s="48" t="str">
        <f>IFERROR(VLOOKUP(A342,Purchases!$D:$F,3,FALSE),"")</f>
        <v/>
      </c>
      <c r="D342" s="48" t="str">
        <f>IF(A342="","",SUMIF(Purchases!$D:$D,A342,Purchases!$K:$K))</f>
        <v/>
      </c>
      <c r="E342" s="48" t="str">
        <f>IF(A342="","",SUMIFS(Sales!$H:$H,Sales!$F:$F,A342,Sales!$B:$B,"&lt;&gt;Return"))</f>
        <v/>
      </c>
      <c r="F342" s="48" t="str">
        <f>IF(A342="","",SUMIFS(Sales!$H:$H,Sales!$F:$F,A342,Sales!$B:$B,"Return"))</f>
        <v/>
      </c>
      <c r="G342" s="48" t="str">
        <f>IF($A342="","",SUMIF('Shop Ledger'!$C:$C,$A342,'Shop Ledger'!$F:$F))</f>
        <v/>
      </c>
      <c r="H342" s="48" t="str">
        <f t="shared" si="1"/>
        <v/>
      </c>
      <c r="I342" s="44" t="str">
        <f>IF(A342="","",IFERROR(SUMIF(Purchases!$D:$D,A342,Purchases!$I:$I)/D342,0))</f>
        <v/>
      </c>
      <c r="J342" s="44" t="str">
        <f t="shared" si="2"/>
        <v/>
      </c>
      <c r="K342" s="30" t="str">
        <f>IF($A342="","",IFERROR(VALUE(SUBSTITUTE(SUBSTITUTE(SUBSTITUTE(VLOOKUP($A342,Inventory!$O$5:$P$604,2,FALSE),"Tk","")," ",""),",","")),""))</f>
        <v/>
      </c>
      <c r="L342" s="58" t="str">
        <f t="shared" si="3"/>
        <v/>
      </c>
      <c r="M342" s="58" t="str">
        <f t="shared" si="4"/>
        <v/>
      </c>
      <c r="O342" s="59" t="str">
        <f t="shared" si="5"/>
        <v/>
      </c>
      <c r="P342" s="52"/>
    </row>
    <row r="343" ht="15.75" customHeight="1">
      <c r="A343" s="29" t="str">
        <f t="array" ref="A343">IFERROR(INDEX(Purchases!$D$5:$D$1004,MATCH(ROW()-4,Purchases!$L$5:$L$1004,0)),"")</f>
        <v/>
      </c>
      <c r="B343" s="48" t="str">
        <f>IFERROR(VLOOKUP(A343,Purchases!$D:$E,2,FALSE),"")</f>
        <v/>
      </c>
      <c r="C343" s="48" t="str">
        <f>IFERROR(VLOOKUP(A343,Purchases!$D:$F,3,FALSE),"")</f>
        <v/>
      </c>
      <c r="D343" s="48" t="str">
        <f>IF(A343="","",SUMIF(Purchases!$D:$D,A343,Purchases!$K:$K))</f>
        <v/>
      </c>
      <c r="E343" s="48" t="str">
        <f>IF(A343="","",SUMIFS(Sales!$H:$H,Sales!$F:$F,A343,Sales!$B:$B,"&lt;&gt;Return"))</f>
        <v/>
      </c>
      <c r="F343" s="48" t="str">
        <f>IF(A343="","",SUMIFS(Sales!$H:$H,Sales!$F:$F,A343,Sales!$B:$B,"Return"))</f>
        <v/>
      </c>
      <c r="G343" s="48" t="str">
        <f>IF($A343="","",SUMIF('Shop Ledger'!$C:$C,$A343,'Shop Ledger'!$F:$F))</f>
        <v/>
      </c>
      <c r="H343" s="48" t="str">
        <f t="shared" si="1"/>
        <v/>
      </c>
      <c r="I343" s="44" t="str">
        <f>IF(A343="","",IFERROR(SUMIF(Purchases!$D:$D,A343,Purchases!$I:$I)/D343,0))</f>
        <v/>
      </c>
      <c r="J343" s="44" t="str">
        <f t="shared" si="2"/>
        <v/>
      </c>
      <c r="K343" s="30" t="str">
        <f>IF($A343="","",IFERROR(VALUE(SUBSTITUTE(SUBSTITUTE(SUBSTITUTE(VLOOKUP($A343,Inventory!$O$5:$P$604,2,FALSE),"Tk","")," ",""),",","")),""))</f>
        <v/>
      </c>
      <c r="L343" s="58" t="str">
        <f t="shared" si="3"/>
        <v/>
      </c>
      <c r="M343" s="58" t="str">
        <f t="shared" si="4"/>
        <v/>
      </c>
      <c r="O343" s="59" t="str">
        <f t="shared" si="5"/>
        <v/>
      </c>
      <c r="P343" s="52"/>
    </row>
    <row r="344" ht="15.75" customHeight="1">
      <c r="A344" s="29" t="str">
        <f t="array" ref="A344">IFERROR(INDEX(Purchases!$D$5:$D$1004,MATCH(ROW()-4,Purchases!$L$5:$L$1004,0)),"")</f>
        <v/>
      </c>
      <c r="B344" s="48" t="str">
        <f>IFERROR(VLOOKUP(A344,Purchases!$D:$E,2,FALSE),"")</f>
        <v/>
      </c>
      <c r="C344" s="48" t="str">
        <f>IFERROR(VLOOKUP(A344,Purchases!$D:$F,3,FALSE),"")</f>
        <v/>
      </c>
      <c r="D344" s="48" t="str">
        <f>IF(A344="","",SUMIF(Purchases!$D:$D,A344,Purchases!$K:$K))</f>
        <v/>
      </c>
      <c r="E344" s="48" t="str">
        <f>IF(A344="","",SUMIFS(Sales!$H:$H,Sales!$F:$F,A344,Sales!$B:$B,"&lt;&gt;Return"))</f>
        <v/>
      </c>
      <c r="F344" s="48" t="str">
        <f>IF(A344="","",SUMIFS(Sales!$H:$H,Sales!$F:$F,A344,Sales!$B:$B,"Return"))</f>
        <v/>
      </c>
      <c r="G344" s="48" t="str">
        <f>IF($A344="","",SUMIF('Shop Ledger'!$C:$C,$A344,'Shop Ledger'!$F:$F))</f>
        <v/>
      </c>
      <c r="H344" s="48" t="str">
        <f t="shared" si="1"/>
        <v/>
      </c>
      <c r="I344" s="44" t="str">
        <f>IF(A344="","",IFERROR(SUMIF(Purchases!$D:$D,A344,Purchases!$I:$I)/D344,0))</f>
        <v/>
      </c>
      <c r="J344" s="44" t="str">
        <f t="shared" si="2"/>
        <v/>
      </c>
      <c r="K344" s="30" t="str">
        <f>IF($A344="","",IFERROR(VALUE(SUBSTITUTE(SUBSTITUTE(SUBSTITUTE(VLOOKUP($A344,Inventory!$O$5:$P$604,2,FALSE),"Tk","")," ",""),",","")),""))</f>
        <v/>
      </c>
      <c r="L344" s="58" t="str">
        <f t="shared" si="3"/>
        <v/>
      </c>
      <c r="M344" s="58" t="str">
        <f t="shared" si="4"/>
        <v/>
      </c>
      <c r="O344" s="59" t="str">
        <f t="shared" si="5"/>
        <v/>
      </c>
      <c r="P344" s="52"/>
    </row>
    <row r="345" ht="15.75" customHeight="1">
      <c r="A345" s="29" t="str">
        <f t="array" ref="A345">IFERROR(INDEX(Purchases!$D$5:$D$1004,MATCH(ROW()-4,Purchases!$L$5:$L$1004,0)),"")</f>
        <v/>
      </c>
      <c r="B345" s="48" t="str">
        <f>IFERROR(VLOOKUP(A345,Purchases!$D:$E,2,FALSE),"")</f>
        <v/>
      </c>
      <c r="C345" s="48" t="str">
        <f>IFERROR(VLOOKUP(A345,Purchases!$D:$F,3,FALSE),"")</f>
        <v/>
      </c>
      <c r="D345" s="48" t="str">
        <f>IF(A345="","",SUMIF(Purchases!$D:$D,A345,Purchases!$K:$K))</f>
        <v/>
      </c>
      <c r="E345" s="48" t="str">
        <f>IF(A345="","",SUMIFS(Sales!$H:$H,Sales!$F:$F,A345,Sales!$B:$B,"&lt;&gt;Return"))</f>
        <v/>
      </c>
      <c r="F345" s="48" t="str">
        <f>IF(A345="","",SUMIFS(Sales!$H:$H,Sales!$F:$F,A345,Sales!$B:$B,"Return"))</f>
        <v/>
      </c>
      <c r="G345" s="48" t="str">
        <f>IF($A345="","",SUMIF('Shop Ledger'!$C:$C,$A345,'Shop Ledger'!$F:$F))</f>
        <v/>
      </c>
      <c r="H345" s="48" t="str">
        <f t="shared" si="1"/>
        <v/>
      </c>
      <c r="I345" s="44" t="str">
        <f>IF(A345="","",IFERROR(SUMIF(Purchases!$D:$D,A345,Purchases!$I:$I)/D345,0))</f>
        <v/>
      </c>
      <c r="J345" s="44" t="str">
        <f t="shared" si="2"/>
        <v/>
      </c>
      <c r="K345" s="30" t="str">
        <f>IF($A345="","",IFERROR(VALUE(SUBSTITUTE(SUBSTITUTE(SUBSTITUTE(VLOOKUP($A345,Inventory!$O$5:$P$604,2,FALSE),"Tk","")," ",""),",","")),""))</f>
        <v/>
      </c>
      <c r="L345" s="58" t="str">
        <f t="shared" si="3"/>
        <v/>
      </c>
      <c r="M345" s="58" t="str">
        <f t="shared" si="4"/>
        <v/>
      </c>
      <c r="O345" s="59" t="str">
        <f t="shared" si="5"/>
        <v/>
      </c>
      <c r="P345" s="52"/>
    </row>
    <row r="346" ht="15.75" customHeight="1">
      <c r="A346" s="29" t="str">
        <f t="array" ref="A346">IFERROR(INDEX(Purchases!$D$5:$D$1004,MATCH(ROW()-4,Purchases!$L$5:$L$1004,0)),"")</f>
        <v/>
      </c>
      <c r="B346" s="48" t="str">
        <f>IFERROR(VLOOKUP(A346,Purchases!$D:$E,2,FALSE),"")</f>
        <v/>
      </c>
      <c r="C346" s="48" t="str">
        <f>IFERROR(VLOOKUP(A346,Purchases!$D:$F,3,FALSE),"")</f>
        <v/>
      </c>
      <c r="D346" s="48" t="str">
        <f>IF(A346="","",SUMIF(Purchases!$D:$D,A346,Purchases!$K:$K))</f>
        <v/>
      </c>
      <c r="E346" s="48" t="str">
        <f>IF(A346="","",SUMIFS(Sales!$H:$H,Sales!$F:$F,A346,Sales!$B:$B,"&lt;&gt;Return"))</f>
        <v/>
      </c>
      <c r="F346" s="48" t="str">
        <f>IF(A346="","",SUMIFS(Sales!$H:$H,Sales!$F:$F,A346,Sales!$B:$B,"Return"))</f>
        <v/>
      </c>
      <c r="G346" s="48" t="str">
        <f>IF($A346="","",SUMIF('Shop Ledger'!$C:$C,$A346,'Shop Ledger'!$F:$F))</f>
        <v/>
      </c>
      <c r="H346" s="48" t="str">
        <f t="shared" si="1"/>
        <v/>
      </c>
      <c r="I346" s="44" t="str">
        <f>IF(A346="","",IFERROR(SUMIF(Purchases!$D:$D,A346,Purchases!$I:$I)/D346,0))</f>
        <v/>
      </c>
      <c r="J346" s="44" t="str">
        <f t="shared" si="2"/>
        <v/>
      </c>
      <c r="K346" s="30" t="str">
        <f>IF($A346="","",IFERROR(VALUE(SUBSTITUTE(SUBSTITUTE(SUBSTITUTE(VLOOKUP($A346,Inventory!$O$5:$P$604,2,FALSE),"Tk","")," ",""),",","")),""))</f>
        <v/>
      </c>
      <c r="L346" s="58" t="str">
        <f t="shared" si="3"/>
        <v/>
      </c>
      <c r="M346" s="58" t="str">
        <f t="shared" si="4"/>
        <v/>
      </c>
      <c r="O346" s="59" t="str">
        <f t="shared" si="5"/>
        <v/>
      </c>
      <c r="P346" s="52"/>
    </row>
    <row r="347" ht="15.75" customHeight="1">
      <c r="A347" s="29" t="str">
        <f t="array" ref="A347">IFERROR(INDEX(Purchases!$D$5:$D$1004,MATCH(ROW()-4,Purchases!$L$5:$L$1004,0)),"")</f>
        <v/>
      </c>
      <c r="B347" s="48" t="str">
        <f>IFERROR(VLOOKUP(A347,Purchases!$D:$E,2,FALSE),"")</f>
        <v/>
      </c>
      <c r="C347" s="48" t="str">
        <f>IFERROR(VLOOKUP(A347,Purchases!$D:$F,3,FALSE),"")</f>
        <v/>
      </c>
      <c r="D347" s="48" t="str">
        <f>IF(A347="","",SUMIF(Purchases!$D:$D,A347,Purchases!$K:$K))</f>
        <v/>
      </c>
      <c r="E347" s="48" t="str">
        <f>IF(A347="","",SUMIFS(Sales!$H:$H,Sales!$F:$F,A347,Sales!$B:$B,"&lt;&gt;Return"))</f>
        <v/>
      </c>
      <c r="F347" s="48" t="str">
        <f>IF(A347="","",SUMIFS(Sales!$H:$H,Sales!$F:$F,A347,Sales!$B:$B,"Return"))</f>
        <v/>
      </c>
      <c r="G347" s="48" t="str">
        <f>IF($A347="","",SUMIF('Shop Ledger'!$C:$C,$A347,'Shop Ledger'!$F:$F))</f>
        <v/>
      </c>
      <c r="H347" s="48" t="str">
        <f t="shared" si="1"/>
        <v/>
      </c>
      <c r="I347" s="44" t="str">
        <f>IF(A347="","",IFERROR(SUMIF(Purchases!$D:$D,A347,Purchases!$I:$I)/D347,0))</f>
        <v/>
      </c>
      <c r="J347" s="44" t="str">
        <f t="shared" si="2"/>
        <v/>
      </c>
      <c r="K347" s="30" t="str">
        <f>IF($A347="","",IFERROR(VALUE(SUBSTITUTE(SUBSTITUTE(SUBSTITUTE(VLOOKUP($A347,Inventory!$O$5:$P$604,2,FALSE),"Tk","")," ",""),",","")),""))</f>
        <v/>
      </c>
      <c r="L347" s="58" t="str">
        <f t="shared" si="3"/>
        <v/>
      </c>
      <c r="M347" s="58" t="str">
        <f t="shared" si="4"/>
        <v/>
      </c>
      <c r="O347" s="59" t="str">
        <f t="shared" si="5"/>
        <v/>
      </c>
      <c r="P347" s="52"/>
    </row>
    <row r="348" ht="15.75" customHeight="1">
      <c r="A348" s="29" t="str">
        <f t="array" ref="A348">IFERROR(INDEX(Purchases!$D$5:$D$1004,MATCH(ROW()-4,Purchases!$L$5:$L$1004,0)),"")</f>
        <v/>
      </c>
      <c r="B348" s="48" t="str">
        <f>IFERROR(VLOOKUP(A348,Purchases!$D:$E,2,FALSE),"")</f>
        <v/>
      </c>
      <c r="C348" s="48" t="str">
        <f>IFERROR(VLOOKUP(A348,Purchases!$D:$F,3,FALSE),"")</f>
        <v/>
      </c>
      <c r="D348" s="48" t="str">
        <f>IF(A348="","",SUMIF(Purchases!$D:$D,A348,Purchases!$K:$K))</f>
        <v/>
      </c>
      <c r="E348" s="48" t="str">
        <f>IF(A348="","",SUMIFS(Sales!$H:$H,Sales!$F:$F,A348,Sales!$B:$B,"&lt;&gt;Return"))</f>
        <v/>
      </c>
      <c r="F348" s="48" t="str">
        <f>IF(A348="","",SUMIFS(Sales!$H:$H,Sales!$F:$F,A348,Sales!$B:$B,"Return"))</f>
        <v/>
      </c>
      <c r="G348" s="48" t="str">
        <f>IF($A348="","",SUMIF('Shop Ledger'!$C:$C,$A348,'Shop Ledger'!$F:$F))</f>
        <v/>
      </c>
      <c r="H348" s="48" t="str">
        <f t="shared" si="1"/>
        <v/>
      </c>
      <c r="I348" s="44" t="str">
        <f>IF(A348="","",IFERROR(SUMIF(Purchases!$D:$D,A348,Purchases!$I:$I)/D348,0))</f>
        <v/>
      </c>
      <c r="J348" s="44" t="str">
        <f t="shared" si="2"/>
        <v/>
      </c>
      <c r="K348" s="30" t="str">
        <f>IF($A348="","",IFERROR(VALUE(SUBSTITUTE(SUBSTITUTE(SUBSTITUTE(VLOOKUP($A348,Inventory!$O$5:$P$604,2,FALSE),"Tk","")," ",""),",","")),""))</f>
        <v/>
      </c>
      <c r="L348" s="58" t="str">
        <f t="shared" si="3"/>
        <v/>
      </c>
      <c r="M348" s="58" t="str">
        <f t="shared" si="4"/>
        <v/>
      </c>
      <c r="O348" s="59" t="str">
        <f t="shared" si="5"/>
        <v/>
      </c>
      <c r="P348" s="52"/>
    </row>
    <row r="349" ht="15.75" customHeight="1">
      <c r="A349" s="29" t="str">
        <f t="array" ref="A349">IFERROR(INDEX(Purchases!$D$5:$D$1004,MATCH(ROW()-4,Purchases!$L$5:$L$1004,0)),"")</f>
        <v/>
      </c>
      <c r="B349" s="48" t="str">
        <f>IFERROR(VLOOKUP(A349,Purchases!$D:$E,2,FALSE),"")</f>
        <v/>
      </c>
      <c r="C349" s="48" t="str">
        <f>IFERROR(VLOOKUP(A349,Purchases!$D:$F,3,FALSE),"")</f>
        <v/>
      </c>
      <c r="D349" s="48" t="str">
        <f>IF(A349="","",SUMIF(Purchases!$D:$D,A349,Purchases!$K:$K))</f>
        <v/>
      </c>
      <c r="E349" s="48" t="str">
        <f>IF(A349="","",SUMIFS(Sales!$H:$H,Sales!$F:$F,A349,Sales!$B:$B,"&lt;&gt;Return"))</f>
        <v/>
      </c>
      <c r="F349" s="48" t="str">
        <f>IF(A349="","",SUMIFS(Sales!$H:$H,Sales!$F:$F,A349,Sales!$B:$B,"Return"))</f>
        <v/>
      </c>
      <c r="G349" s="48" t="str">
        <f>IF($A349="","",SUMIF('Shop Ledger'!$C:$C,$A349,'Shop Ledger'!$F:$F))</f>
        <v/>
      </c>
      <c r="H349" s="48" t="str">
        <f t="shared" si="1"/>
        <v/>
      </c>
      <c r="I349" s="44" t="str">
        <f>IF(A349="","",IFERROR(SUMIF(Purchases!$D:$D,A349,Purchases!$I:$I)/D349,0))</f>
        <v/>
      </c>
      <c r="J349" s="44" t="str">
        <f t="shared" si="2"/>
        <v/>
      </c>
      <c r="K349" s="30" t="str">
        <f>IF($A349="","",IFERROR(VALUE(SUBSTITUTE(SUBSTITUTE(SUBSTITUTE(VLOOKUP($A349,Inventory!$O$5:$P$604,2,FALSE),"Tk","")," ",""),",","")),""))</f>
        <v/>
      </c>
      <c r="L349" s="58" t="str">
        <f t="shared" si="3"/>
        <v/>
      </c>
      <c r="M349" s="58" t="str">
        <f t="shared" si="4"/>
        <v/>
      </c>
      <c r="O349" s="59" t="str">
        <f t="shared" si="5"/>
        <v/>
      </c>
      <c r="P349" s="52"/>
    </row>
    <row r="350" ht="15.75" customHeight="1">
      <c r="A350" s="29" t="str">
        <f t="array" ref="A350">IFERROR(INDEX(Purchases!$D$5:$D$1004,MATCH(ROW()-4,Purchases!$L$5:$L$1004,0)),"")</f>
        <v/>
      </c>
      <c r="B350" s="48" t="str">
        <f>IFERROR(VLOOKUP(A350,Purchases!$D:$E,2,FALSE),"")</f>
        <v/>
      </c>
      <c r="C350" s="48" t="str">
        <f>IFERROR(VLOOKUP(A350,Purchases!$D:$F,3,FALSE),"")</f>
        <v/>
      </c>
      <c r="D350" s="48" t="str">
        <f>IF(A350="","",SUMIF(Purchases!$D:$D,A350,Purchases!$K:$K))</f>
        <v/>
      </c>
      <c r="E350" s="48" t="str">
        <f>IF(A350="","",SUMIFS(Sales!$H:$H,Sales!$F:$F,A350,Sales!$B:$B,"&lt;&gt;Return"))</f>
        <v/>
      </c>
      <c r="F350" s="48" t="str">
        <f>IF(A350="","",SUMIFS(Sales!$H:$H,Sales!$F:$F,A350,Sales!$B:$B,"Return"))</f>
        <v/>
      </c>
      <c r="G350" s="48" t="str">
        <f>IF($A350="","",SUMIF('Shop Ledger'!$C:$C,$A350,'Shop Ledger'!$F:$F))</f>
        <v/>
      </c>
      <c r="H350" s="48" t="str">
        <f t="shared" si="1"/>
        <v/>
      </c>
      <c r="I350" s="44" t="str">
        <f>IF(A350="","",IFERROR(SUMIF(Purchases!$D:$D,A350,Purchases!$I:$I)/D350,0))</f>
        <v/>
      </c>
      <c r="J350" s="44" t="str">
        <f t="shared" si="2"/>
        <v/>
      </c>
      <c r="K350" s="30" t="str">
        <f>IF($A350="","",IFERROR(VALUE(SUBSTITUTE(SUBSTITUTE(SUBSTITUTE(VLOOKUP($A350,Inventory!$O$5:$P$604,2,FALSE),"Tk","")," ",""),",","")),""))</f>
        <v/>
      </c>
      <c r="L350" s="58" t="str">
        <f t="shared" si="3"/>
        <v/>
      </c>
      <c r="M350" s="58" t="str">
        <f t="shared" si="4"/>
        <v/>
      </c>
      <c r="O350" s="59" t="str">
        <f t="shared" si="5"/>
        <v/>
      </c>
      <c r="P350" s="52"/>
    </row>
    <row r="351" ht="15.75" customHeight="1">
      <c r="A351" s="29" t="str">
        <f t="array" ref="A351">IFERROR(INDEX(Purchases!$D$5:$D$1004,MATCH(ROW()-4,Purchases!$L$5:$L$1004,0)),"")</f>
        <v/>
      </c>
      <c r="B351" s="48" t="str">
        <f>IFERROR(VLOOKUP(A351,Purchases!$D:$E,2,FALSE),"")</f>
        <v/>
      </c>
      <c r="C351" s="48" t="str">
        <f>IFERROR(VLOOKUP(A351,Purchases!$D:$F,3,FALSE),"")</f>
        <v/>
      </c>
      <c r="D351" s="48" t="str">
        <f>IF(A351="","",SUMIF(Purchases!$D:$D,A351,Purchases!$K:$K))</f>
        <v/>
      </c>
      <c r="E351" s="48" t="str">
        <f>IF(A351="","",SUMIFS(Sales!$H:$H,Sales!$F:$F,A351,Sales!$B:$B,"&lt;&gt;Return"))</f>
        <v/>
      </c>
      <c r="F351" s="48" t="str">
        <f>IF(A351="","",SUMIFS(Sales!$H:$H,Sales!$F:$F,A351,Sales!$B:$B,"Return"))</f>
        <v/>
      </c>
      <c r="G351" s="48" t="str">
        <f>IF($A351="","",SUMIF('Shop Ledger'!$C:$C,$A351,'Shop Ledger'!$F:$F))</f>
        <v/>
      </c>
      <c r="H351" s="48" t="str">
        <f t="shared" si="1"/>
        <v/>
      </c>
      <c r="I351" s="44" t="str">
        <f>IF(A351="","",IFERROR(SUMIF(Purchases!$D:$D,A351,Purchases!$I:$I)/D351,0))</f>
        <v/>
      </c>
      <c r="J351" s="44" t="str">
        <f t="shared" si="2"/>
        <v/>
      </c>
      <c r="K351" s="30" t="str">
        <f>IF($A351="","",IFERROR(VALUE(SUBSTITUTE(SUBSTITUTE(SUBSTITUTE(VLOOKUP($A351,Inventory!$O$5:$P$604,2,FALSE),"Tk","")," ",""),",","")),""))</f>
        <v/>
      </c>
      <c r="L351" s="58" t="str">
        <f t="shared" si="3"/>
        <v/>
      </c>
      <c r="M351" s="58" t="str">
        <f t="shared" si="4"/>
        <v/>
      </c>
      <c r="O351" s="59" t="str">
        <f t="shared" si="5"/>
        <v/>
      </c>
      <c r="P351" s="52"/>
    </row>
    <row r="352" ht="15.75" customHeight="1">
      <c r="A352" s="29" t="str">
        <f t="array" ref="A352">IFERROR(INDEX(Purchases!$D$5:$D$1004,MATCH(ROW()-4,Purchases!$L$5:$L$1004,0)),"")</f>
        <v/>
      </c>
      <c r="B352" s="48" t="str">
        <f>IFERROR(VLOOKUP(A352,Purchases!$D:$E,2,FALSE),"")</f>
        <v/>
      </c>
      <c r="C352" s="48" t="str">
        <f>IFERROR(VLOOKUP(A352,Purchases!$D:$F,3,FALSE),"")</f>
        <v/>
      </c>
      <c r="D352" s="48" t="str">
        <f>IF(A352="","",SUMIF(Purchases!$D:$D,A352,Purchases!$K:$K))</f>
        <v/>
      </c>
      <c r="E352" s="48" t="str">
        <f>IF(A352="","",SUMIFS(Sales!$H:$H,Sales!$F:$F,A352,Sales!$B:$B,"&lt;&gt;Return"))</f>
        <v/>
      </c>
      <c r="F352" s="48" t="str">
        <f>IF(A352="","",SUMIFS(Sales!$H:$H,Sales!$F:$F,A352,Sales!$B:$B,"Return"))</f>
        <v/>
      </c>
      <c r="G352" s="48" t="str">
        <f>IF($A352="","",SUMIF('Shop Ledger'!$C:$C,$A352,'Shop Ledger'!$F:$F))</f>
        <v/>
      </c>
      <c r="H352" s="48" t="str">
        <f t="shared" si="1"/>
        <v/>
      </c>
      <c r="I352" s="44" t="str">
        <f>IF(A352="","",IFERROR(SUMIF(Purchases!$D:$D,A352,Purchases!$I:$I)/D352,0))</f>
        <v/>
      </c>
      <c r="J352" s="44" t="str">
        <f t="shared" si="2"/>
        <v/>
      </c>
      <c r="K352" s="30" t="str">
        <f>IF($A352="","",IFERROR(VALUE(SUBSTITUTE(SUBSTITUTE(SUBSTITUTE(VLOOKUP($A352,Inventory!$O$5:$P$604,2,FALSE),"Tk","")," ",""),",","")),""))</f>
        <v/>
      </c>
      <c r="L352" s="58" t="str">
        <f t="shared" si="3"/>
        <v/>
      </c>
      <c r="M352" s="58" t="str">
        <f t="shared" si="4"/>
        <v/>
      </c>
      <c r="O352" s="59" t="str">
        <f t="shared" si="5"/>
        <v/>
      </c>
      <c r="P352" s="52"/>
    </row>
    <row r="353" ht="15.75" customHeight="1">
      <c r="A353" s="29" t="str">
        <f t="array" ref="A353">IFERROR(INDEX(Purchases!$D$5:$D$1004,MATCH(ROW()-4,Purchases!$L$5:$L$1004,0)),"")</f>
        <v/>
      </c>
      <c r="B353" s="48" t="str">
        <f>IFERROR(VLOOKUP(A353,Purchases!$D:$E,2,FALSE),"")</f>
        <v/>
      </c>
      <c r="C353" s="48" t="str">
        <f>IFERROR(VLOOKUP(A353,Purchases!$D:$F,3,FALSE),"")</f>
        <v/>
      </c>
      <c r="D353" s="48" t="str">
        <f>IF(A353="","",SUMIF(Purchases!$D:$D,A353,Purchases!$K:$K))</f>
        <v/>
      </c>
      <c r="E353" s="48" t="str">
        <f>IF(A353="","",SUMIFS(Sales!$H:$H,Sales!$F:$F,A353,Sales!$B:$B,"&lt;&gt;Return"))</f>
        <v/>
      </c>
      <c r="F353" s="48" t="str">
        <f>IF(A353="","",SUMIFS(Sales!$H:$H,Sales!$F:$F,A353,Sales!$B:$B,"Return"))</f>
        <v/>
      </c>
      <c r="G353" s="48" t="str">
        <f>IF($A353="","",SUMIF('Shop Ledger'!$C:$C,$A353,'Shop Ledger'!$F:$F))</f>
        <v/>
      </c>
      <c r="H353" s="48" t="str">
        <f t="shared" si="1"/>
        <v/>
      </c>
      <c r="I353" s="44" t="str">
        <f>IF(A353="","",IFERROR(SUMIF(Purchases!$D:$D,A353,Purchases!$I:$I)/D353,0))</f>
        <v/>
      </c>
      <c r="J353" s="44" t="str">
        <f t="shared" si="2"/>
        <v/>
      </c>
      <c r="K353" s="30" t="str">
        <f>IF($A353="","",IFERROR(VALUE(SUBSTITUTE(SUBSTITUTE(SUBSTITUTE(VLOOKUP($A353,Inventory!$O$5:$P$604,2,FALSE),"Tk","")," ",""),",","")),""))</f>
        <v/>
      </c>
      <c r="L353" s="58" t="str">
        <f t="shared" si="3"/>
        <v/>
      </c>
      <c r="M353" s="58" t="str">
        <f t="shared" si="4"/>
        <v/>
      </c>
      <c r="O353" s="59" t="str">
        <f t="shared" si="5"/>
        <v/>
      </c>
      <c r="P353" s="52"/>
    </row>
    <row r="354" ht="15.75" customHeight="1">
      <c r="A354" s="29" t="str">
        <f t="array" ref="A354">IFERROR(INDEX(Purchases!$D$5:$D$1004,MATCH(ROW()-4,Purchases!$L$5:$L$1004,0)),"")</f>
        <v/>
      </c>
      <c r="B354" s="48" t="str">
        <f>IFERROR(VLOOKUP(A354,Purchases!$D:$E,2,FALSE),"")</f>
        <v/>
      </c>
      <c r="C354" s="48" t="str">
        <f>IFERROR(VLOOKUP(A354,Purchases!$D:$F,3,FALSE),"")</f>
        <v/>
      </c>
      <c r="D354" s="48" t="str">
        <f>IF(A354="","",SUMIF(Purchases!$D:$D,A354,Purchases!$K:$K))</f>
        <v/>
      </c>
      <c r="E354" s="48" t="str">
        <f>IF(A354="","",SUMIFS(Sales!$H:$H,Sales!$F:$F,A354,Sales!$B:$B,"&lt;&gt;Return"))</f>
        <v/>
      </c>
      <c r="F354" s="48" t="str">
        <f>IF(A354="","",SUMIFS(Sales!$H:$H,Sales!$F:$F,A354,Sales!$B:$B,"Return"))</f>
        <v/>
      </c>
      <c r="G354" s="48" t="str">
        <f>IF($A354="","",SUMIF('Shop Ledger'!$C:$C,$A354,'Shop Ledger'!$F:$F))</f>
        <v/>
      </c>
      <c r="H354" s="48" t="str">
        <f t="shared" si="1"/>
        <v/>
      </c>
      <c r="I354" s="44" t="str">
        <f>IF(A354="","",IFERROR(SUMIF(Purchases!$D:$D,A354,Purchases!$I:$I)/D354,0))</f>
        <v/>
      </c>
      <c r="J354" s="44" t="str">
        <f t="shared" si="2"/>
        <v/>
      </c>
      <c r="K354" s="30" t="str">
        <f>IF($A354="","",IFERROR(VALUE(SUBSTITUTE(SUBSTITUTE(SUBSTITUTE(VLOOKUP($A354,Inventory!$O$5:$P$604,2,FALSE),"Tk","")," ",""),",","")),""))</f>
        <v/>
      </c>
      <c r="L354" s="58" t="str">
        <f t="shared" si="3"/>
        <v/>
      </c>
      <c r="M354" s="58" t="str">
        <f t="shared" si="4"/>
        <v/>
      </c>
      <c r="O354" s="59" t="str">
        <f t="shared" si="5"/>
        <v/>
      </c>
      <c r="P354" s="52"/>
    </row>
    <row r="355" ht="15.75" customHeight="1">
      <c r="A355" s="29" t="str">
        <f t="array" ref="A355">IFERROR(INDEX(Purchases!$D$5:$D$1004,MATCH(ROW()-4,Purchases!$L$5:$L$1004,0)),"")</f>
        <v/>
      </c>
      <c r="B355" s="48" t="str">
        <f>IFERROR(VLOOKUP(A355,Purchases!$D:$E,2,FALSE),"")</f>
        <v/>
      </c>
      <c r="C355" s="48" t="str">
        <f>IFERROR(VLOOKUP(A355,Purchases!$D:$F,3,FALSE),"")</f>
        <v/>
      </c>
      <c r="D355" s="48" t="str">
        <f>IF(A355="","",SUMIF(Purchases!$D:$D,A355,Purchases!$K:$K))</f>
        <v/>
      </c>
      <c r="E355" s="48" t="str">
        <f>IF(A355="","",SUMIFS(Sales!$H:$H,Sales!$F:$F,A355,Sales!$B:$B,"&lt;&gt;Return"))</f>
        <v/>
      </c>
      <c r="F355" s="48" t="str">
        <f>IF(A355="","",SUMIFS(Sales!$H:$H,Sales!$F:$F,A355,Sales!$B:$B,"Return"))</f>
        <v/>
      </c>
      <c r="G355" s="48" t="str">
        <f>IF($A355="","",SUMIF('Shop Ledger'!$C:$C,$A355,'Shop Ledger'!$F:$F))</f>
        <v/>
      </c>
      <c r="H355" s="48" t="str">
        <f t="shared" si="1"/>
        <v/>
      </c>
      <c r="I355" s="44" t="str">
        <f>IF(A355="","",IFERROR(SUMIF(Purchases!$D:$D,A355,Purchases!$I:$I)/D355,0))</f>
        <v/>
      </c>
      <c r="J355" s="44" t="str">
        <f t="shared" si="2"/>
        <v/>
      </c>
      <c r="K355" s="30" t="str">
        <f>IF($A355="","",IFERROR(VALUE(SUBSTITUTE(SUBSTITUTE(SUBSTITUTE(VLOOKUP($A355,Inventory!$O$5:$P$604,2,FALSE),"Tk","")," ",""),",","")),""))</f>
        <v/>
      </c>
      <c r="L355" s="58" t="str">
        <f t="shared" si="3"/>
        <v/>
      </c>
      <c r="M355" s="58" t="str">
        <f t="shared" si="4"/>
        <v/>
      </c>
      <c r="O355" s="59" t="str">
        <f t="shared" si="5"/>
        <v/>
      </c>
      <c r="P355" s="52"/>
    </row>
    <row r="356" ht="15.75" customHeight="1">
      <c r="A356" s="29" t="str">
        <f t="array" ref="A356">IFERROR(INDEX(Purchases!$D$5:$D$1004,MATCH(ROW()-4,Purchases!$L$5:$L$1004,0)),"")</f>
        <v/>
      </c>
      <c r="B356" s="48" t="str">
        <f>IFERROR(VLOOKUP(A356,Purchases!$D:$E,2,FALSE),"")</f>
        <v/>
      </c>
      <c r="C356" s="48" t="str">
        <f>IFERROR(VLOOKUP(A356,Purchases!$D:$F,3,FALSE),"")</f>
        <v/>
      </c>
      <c r="D356" s="48" t="str">
        <f>IF(A356="","",SUMIF(Purchases!$D:$D,A356,Purchases!$K:$K))</f>
        <v/>
      </c>
      <c r="E356" s="48" t="str">
        <f>IF(A356="","",SUMIFS(Sales!$H:$H,Sales!$F:$F,A356,Sales!$B:$B,"&lt;&gt;Return"))</f>
        <v/>
      </c>
      <c r="F356" s="48" t="str">
        <f>IF(A356="","",SUMIFS(Sales!$H:$H,Sales!$F:$F,A356,Sales!$B:$B,"Return"))</f>
        <v/>
      </c>
      <c r="G356" s="48" t="str">
        <f>IF($A356="","",SUMIF('Shop Ledger'!$C:$C,$A356,'Shop Ledger'!$F:$F))</f>
        <v/>
      </c>
      <c r="H356" s="48" t="str">
        <f t="shared" si="1"/>
        <v/>
      </c>
      <c r="I356" s="44" t="str">
        <f>IF(A356="","",IFERROR(SUMIF(Purchases!$D:$D,A356,Purchases!$I:$I)/D356,0))</f>
        <v/>
      </c>
      <c r="J356" s="44" t="str">
        <f t="shared" si="2"/>
        <v/>
      </c>
      <c r="K356" s="30" t="str">
        <f>IF($A356="","",IFERROR(VALUE(SUBSTITUTE(SUBSTITUTE(SUBSTITUTE(VLOOKUP($A356,Inventory!$O$5:$P$604,2,FALSE),"Tk","")," ",""),",","")),""))</f>
        <v/>
      </c>
      <c r="L356" s="58" t="str">
        <f t="shared" si="3"/>
        <v/>
      </c>
      <c r="M356" s="58" t="str">
        <f t="shared" si="4"/>
        <v/>
      </c>
      <c r="O356" s="59" t="str">
        <f t="shared" si="5"/>
        <v/>
      </c>
      <c r="P356" s="52"/>
    </row>
    <row r="357" ht="15.75" customHeight="1">
      <c r="A357" s="29" t="str">
        <f t="array" ref="A357">IFERROR(INDEX(Purchases!$D$5:$D$1004,MATCH(ROW()-4,Purchases!$L$5:$L$1004,0)),"")</f>
        <v/>
      </c>
      <c r="B357" s="48" t="str">
        <f>IFERROR(VLOOKUP(A357,Purchases!$D:$E,2,FALSE),"")</f>
        <v/>
      </c>
      <c r="C357" s="48" t="str">
        <f>IFERROR(VLOOKUP(A357,Purchases!$D:$F,3,FALSE),"")</f>
        <v/>
      </c>
      <c r="D357" s="48" t="str">
        <f>IF(A357="","",SUMIF(Purchases!$D:$D,A357,Purchases!$K:$K))</f>
        <v/>
      </c>
      <c r="E357" s="48" t="str">
        <f>IF(A357="","",SUMIFS(Sales!$H:$H,Sales!$F:$F,A357,Sales!$B:$B,"&lt;&gt;Return"))</f>
        <v/>
      </c>
      <c r="F357" s="48" t="str">
        <f>IF(A357="","",SUMIFS(Sales!$H:$H,Sales!$F:$F,A357,Sales!$B:$B,"Return"))</f>
        <v/>
      </c>
      <c r="G357" s="48" t="str">
        <f>IF($A357="","",SUMIF('Shop Ledger'!$C:$C,$A357,'Shop Ledger'!$F:$F))</f>
        <v/>
      </c>
      <c r="H357" s="48" t="str">
        <f t="shared" si="1"/>
        <v/>
      </c>
      <c r="I357" s="44" t="str">
        <f>IF(A357="","",IFERROR(SUMIF(Purchases!$D:$D,A357,Purchases!$I:$I)/D357,0))</f>
        <v/>
      </c>
      <c r="J357" s="44" t="str">
        <f t="shared" si="2"/>
        <v/>
      </c>
      <c r="K357" s="30" t="str">
        <f>IF($A357="","",IFERROR(VALUE(SUBSTITUTE(SUBSTITUTE(SUBSTITUTE(VLOOKUP($A357,Inventory!$O$5:$P$604,2,FALSE),"Tk","")," ",""),",","")),""))</f>
        <v/>
      </c>
      <c r="L357" s="58" t="str">
        <f t="shared" si="3"/>
        <v/>
      </c>
      <c r="M357" s="58" t="str">
        <f t="shared" si="4"/>
        <v/>
      </c>
      <c r="O357" s="59" t="str">
        <f t="shared" si="5"/>
        <v/>
      </c>
      <c r="P357" s="52"/>
    </row>
    <row r="358" ht="15.75" customHeight="1">
      <c r="A358" s="29" t="str">
        <f t="array" ref="A358">IFERROR(INDEX(Purchases!$D$5:$D$1004,MATCH(ROW()-4,Purchases!$L$5:$L$1004,0)),"")</f>
        <v/>
      </c>
      <c r="B358" s="48" t="str">
        <f>IFERROR(VLOOKUP(A358,Purchases!$D:$E,2,FALSE),"")</f>
        <v/>
      </c>
      <c r="C358" s="48" t="str">
        <f>IFERROR(VLOOKUP(A358,Purchases!$D:$F,3,FALSE),"")</f>
        <v/>
      </c>
      <c r="D358" s="48" t="str">
        <f>IF(A358="","",SUMIF(Purchases!$D:$D,A358,Purchases!$K:$K))</f>
        <v/>
      </c>
      <c r="E358" s="48" t="str">
        <f>IF(A358="","",SUMIFS(Sales!$H:$H,Sales!$F:$F,A358,Sales!$B:$B,"&lt;&gt;Return"))</f>
        <v/>
      </c>
      <c r="F358" s="48" t="str">
        <f>IF(A358="","",SUMIFS(Sales!$H:$H,Sales!$F:$F,A358,Sales!$B:$B,"Return"))</f>
        <v/>
      </c>
      <c r="G358" s="48" t="str">
        <f>IF($A358="","",SUMIF('Shop Ledger'!$C:$C,$A358,'Shop Ledger'!$F:$F))</f>
        <v/>
      </c>
      <c r="H358" s="48" t="str">
        <f t="shared" si="1"/>
        <v/>
      </c>
      <c r="I358" s="44" t="str">
        <f>IF(A358="","",IFERROR(SUMIF(Purchases!$D:$D,A358,Purchases!$I:$I)/D358,0))</f>
        <v/>
      </c>
      <c r="J358" s="44" t="str">
        <f t="shared" si="2"/>
        <v/>
      </c>
      <c r="K358" s="30" t="str">
        <f>IF($A358="","",IFERROR(VALUE(SUBSTITUTE(SUBSTITUTE(SUBSTITUTE(VLOOKUP($A358,Inventory!$O$5:$P$604,2,FALSE),"Tk","")," ",""),",","")),""))</f>
        <v/>
      </c>
      <c r="L358" s="58" t="str">
        <f t="shared" si="3"/>
        <v/>
      </c>
      <c r="M358" s="58" t="str">
        <f t="shared" si="4"/>
        <v/>
      </c>
      <c r="O358" s="59" t="str">
        <f t="shared" si="5"/>
        <v/>
      </c>
      <c r="P358" s="52"/>
    </row>
    <row r="359" ht="15.75" customHeight="1">
      <c r="A359" s="29" t="str">
        <f t="array" ref="A359">IFERROR(INDEX(Purchases!$D$5:$D$1004,MATCH(ROW()-4,Purchases!$L$5:$L$1004,0)),"")</f>
        <v/>
      </c>
      <c r="B359" s="48" t="str">
        <f>IFERROR(VLOOKUP(A359,Purchases!$D:$E,2,FALSE),"")</f>
        <v/>
      </c>
      <c r="C359" s="48" t="str">
        <f>IFERROR(VLOOKUP(A359,Purchases!$D:$F,3,FALSE),"")</f>
        <v/>
      </c>
      <c r="D359" s="48" t="str">
        <f>IF(A359="","",SUMIF(Purchases!$D:$D,A359,Purchases!$K:$K))</f>
        <v/>
      </c>
      <c r="E359" s="48" t="str">
        <f>IF(A359="","",SUMIFS(Sales!$H:$H,Sales!$F:$F,A359,Sales!$B:$B,"&lt;&gt;Return"))</f>
        <v/>
      </c>
      <c r="F359" s="48" t="str">
        <f>IF(A359="","",SUMIFS(Sales!$H:$H,Sales!$F:$F,A359,Sales!$B:$B,"Return"))</f>
        <v/>
      </c>
      <c r="G359" s="48" t="str">
        <f>IF($A359="","",SUMIF('Shop Ledger'!$C:$C,$A359,'Shop Ledger'!$F:$F))</f>
        <v/>
      </c>
      <c r="H359" s="48" t="str">
        <f t="shared" si="1"/>
        <v/>
      </c>
      <c r="I359" s="44" t="str">
        <f>IF(A359="","",IFERROR(SUMIF(Purchases!$D:$D,A359,Purchases!$I:$I)/D359,0))</f>
        <v/>
      </c>
      <c r="J359" s="44" t="str">
        <f t="shared" si="2"/>
        <v/>
      </c>
      <c r="K359" s="30" t="str">
        <f>IF($A359="","",IFERROR(VALUE(SUBSTITUTE(SUBSTITUTE(SUBSTITUTE(VLOOKUP($A359,Inventory!$O$5:$P$604,2,FALSE),"Tk","")," ",""),",","")),""))</f>
        <v/>
      </c>
      <c r="L359" s="58" t="str">
        <f t="shared" si="3"/>
        <v/>
      </c>
      <c r="M359" s="58" t="str">
        <f t="shared" si="4"/>
        <v/>
      </c>
      <c r="O359" s="59" t="str">
        <f t="shared" si="5"/>
        <v/>
      </c>
      <c r="P359" s="52"/>
    </row>
    <row r="360" ht="15.75" customHeight="1">
      <c r="A360" s="29" t="str">
        <f t="array" ref="A360">IFERROR(INDEX(Purchases!$D$5:$D$1004,MATCH(ROW()-4,Purchases!$L$5:$L$1004,0)),"")</f>
        <v/>
      </c>
      <c r="B360" s="48" t="str">
        <f>IFERROR(VLOOKUP(A360,Purchases!$D:$E,2,FALSE),"")</f>
        <v/>
      </c>
      <c r="C360" s="48" t="str">
        <f>IFERROR(VLOOKUP(A360,Purchases!$D:$F,3,FALSE),"")</f>
        <v/>
      </c>
      <c r="D360" s="48" t="str">
        <f>IF(A360="","",SUMIF(Purchases!$D:$D,A360,Purchases!$K:$K))</f>
        <v/>
      </c>
      <c r="E360" s="48" t="str">
        <f>IF(A360="","",SUMIFS(Sales!$H:$H,Sales!$F:$F,A360,Sales!$B:$B,"&lt;&gt;Return"))</f>
        <v/>
      </c>
      <c r="F360" s="48" t="str">
        <f>IF(A360="","",SUMIFS(Sales!$H:$H,Sales!$F:$F,A360,Sales!$B:$B,"Return"))</f>
        <v/>
      </c>
      <c r="G360" s="48" t="str">
        <f>IF($A360="","",SUMIF('Shop Ledger'!$C:$C,$A360,'Shop Ledger'!$F:$F))</f>
        <v/>
      </c>
      <c r="H360" s="48" t="str">
        <f t="shared" si="1"/>
        <v/>
      </c>
      <c r="I360" s="44" t="str">
        <f>IF(A360="","",IFERROR(SUMIF(Purchases!$D:$D,A360,Purchases!$I:$I)/D360,0))</f>
        <v/>
      </c>
      <c r="J360" s="44" t="str">
        <f t="shared" si="2"/>
        <v/>
      </c>
      <c r="K360" s="30" t="str">
        <f>IF($A360="","",IFERROR(VALUE(SUBSTITUTE(SUBSTITUTE(SUBSTITUTE(VLOOKUP($A360,Inventory!$O$5:$P$604,2,FALSE),"Tk","")," ",""),",","")),""))</f>
        <v/>
      </c>
      <c r="L360" s="58" t="str">
        <f t="shared" si="3"/>
        <v/>
      </c>
      <c r="M360" s="58" t="str">
        <f t="shared" si="4"/>
        <v/>
      </c>
      <c r="O360" s="59" t="str">
        <f t="shared" si="5"/>
        <v/>
      </c>
      <c r="P360" s="52"/>
    </row>
    <row r="361" ht="15.75" customHeight="1">
      <c r="A361" s="29" t="str">
        <f t="array" ref="A361">IFERROR(INDEX(Purchases!$D$5:$D$1004,MATCH(ROW()-4,Purchases!$L$5:$L$1004,0)),"")</f>
        <v/>
      </c>
      <c r="B361" s="48" t="str">
        <f>IFERROR(VLOOKUP(A361,Purchases!$D:$E,2,FALSE),"")</f>
        <v/>
      </c>
      <c r="C361" s="48" t="str">
        <f>IFERROR(VLOOKUP(A361,Purchases!$D:$F,3,FALSE),"")</f>
        <v/>
      </c>
      <c r="D361" s="48" t="str">
        <f>IF(A361="","",SUMIF(Purchases!$D:$D,A361,Purchases!$K:$K))</f>
        <v/>
      </c>
      <c r="E361" s="48" t="str">
        <f>IF(A361="","",SUMIFS(Sales!$H:$H,Sales!$F:$F,A361,Sales!$B:$B,"&lt;&gt;Return"))</f>
        <v/>
      </c>
      <c r="F361" s="48" t="str">
        <f>IF(A361="","",SUMIFS(Sales!$H:$H,Sales!$F:$F,A361,Sales!$B:$B,"Return"))</f>
        <v/>
      </c>
      <c r="G361" s="48" t="str">
        <f>IF($A361="","",SUMIF('Shop Ledger'!$C:$C,$A361,'Shop Ledger'!$F:$F))</f>
        <v/>
      </c>
      <c r="H361" s="48" t="str">
        <f t="shared" si="1"/>
        <v/>
      </c>
      <c r="I361" s="44" t="str">
        <f>IF(A361="","",IFERROR(SUMIF(Purchases!$D:$D,A361,Purchases!$I:$I)/D361,0))</f>
        <v/>
      </c>
      <c r="J361" s="44" t="str">
        <f t="shared" si="2"/>
        <v/>
      </c>
      <c r="K361" s="30" t="str">
        <f>IF($A361="","",IFERROR(VALUE(SUBSTITUTE(SUBSTITUTE(SUBSTITUTE(VLOOKUP($A361,Inventory!$O$5:$P$604,2,FALSE),"Tk","")," ",""),",","")),""))</f>
        <v/>
      </c>
      <c r="L361" s="58" t="str">
        <f t="shared" si="3"/>
        <v/>
      </c>
      <c r="M361" s="58" t="str">
        <f t="shared" si="4"/>
        <v/>
      </c>
      <c r="O361" s="59" t="str">
        <f t="shared" si="5"/>
        <v/>
      </c>
      <c r="P361" s="52"/>
    </row>
    <row r="362" ht="15.75" customHeight="1">
      <c r="A362" s="29" t="str">
        <f t="array" ref="A362">IFERROR(INDEX(Purchases!$D$5:$D$1004,MATCH(ROW()-4,Purchases!$L$5:$L$1004,0)),"")</f>
        <v/>
      </c>
      <c r="B362" s="48" t="str">
        <f>IFERROR(VLOOKUP(A362,Purchases!$D:$E,2,FALSE),"")</f>
        <v/>
      </c>
      <c r="C362" s="48" t="str">
        <f>IFERROR(VLOOKUP(A362,Purchases!$D:$F,3,FALSE),"")</f>
        <v/>
      </c>
      <c r="D362" s="48" t="str">
        <f>IF(A362="","",SUMIF(Purchases!$D:$D,A362,Purchases!$K:$K))</f>
        <v/>
      </c>
      <c r="E362" s="48" t="str">
        <f>IF(A362="","",SUMIFS(Sales!$H:$H,Sales!$F:$F,A362,Sales!$B:$B,"&lt;&gt;Return"))</f>
        <v/>
      </c>
      <c r="F362" s="48" t="str">
        <f>IF(A362="","",SUMIFS(Sales!$H:$H,Sales!$F:$F,A362,Sales!$B:$B,"Return"))</f>
        <v/>
      </c>
      <c r="G362" s="48" t="str">
        <f>IF($A362="","",SUMIF('Shop Ledger'!$C:$C,$A362,'Shop Ledger'!$F:$F))</f>
        <v/>
      </c>
      <c r="H362" s="48" t="str">
        <f t="shared" si="1"/>
        <v/>
      </c>
      <c r="I362" s="44" t="str">
        <f>IF(A362="","",IFERROR(SUMIF(Purchases!$D:$D,A362,Purchases!$I:$I)/D362,0))</f>
        <v/>
      </c>
      <c r="J362" s="44" t="str">
        <f t="shared" si="2"/>
        <v/>
      </c>
      <c r="K362" s="30" t="str">
        <f>IF($A362="","",IFERROR(VALUE(SUBSTITUTE(SUBSTITUTE(SUBSTITUTE(VLOOKUP($A362,Inventory!$O$5:$P$604,2,FALSE),"Tk","")," ",""),",","")),""))</f>
        <v/>
      </c>
      <c r="L362" s="58" t="str">
        <f t="shared" si="3"/>
        <v/>
      </c>
      <c r="M362" s="58" t="str">
        <f t="shared" si="4"/>
        <v/>
      </c>
      <c r="O362" s="59" t="str">
        <f t="shared" si="5"/>
        <v/>
      </c>
      <c r="P362" s="52"/>
    </row>
    <row r="363" ht="15.75" customHeight="1">
      <c r="A363" s="29" t="str">
        <f t="array" ref="A363">IFERROR(INDEX(Purchases!$D$5:$D$1004,MATCH(ROW()-4,Purchases!$L$5:$L$1004,0)),"")</f>
        <v/>
      </c>
      <c r="B363" s="48" t="str">
        <f>IFERROR(VLOOKUP(A363,Purchases!$D:$E,2,FALSE),"")</f>
        <v/>
      </c>
      <c r="C363" s="48" t="str">
        <f>IFERROR(VLOOKUP(A363,Purchases!$D:$F,3,FALSE),"")</f>
        <v/>
      </c>
      <c r="D363" s="48" t="str">
        <f>IF(A363="","",SUMIF(Purchases!$D:$D,A363,Purchases!$K:$K))</f>
        <v/>
      </c>
      <c r="E363" s="48" t="str">
        <f>IF(A363="","",SUMIFS(Sales!$H:$H,Sales!$F:$F,A363,Sales!$B:$B,"&lt;&gt;Return"))</f>
        <v/>
      </c>
      <c r="F363" s="48" t="str">
        <f>IF(A363="","",SUMIFS(Sales!$H:$H,Sales!$F:$F,A363,Sales!$B:$B,"Return"))</f>
        <v/>
      </c>
      <c r="G363" s="48" t="str">
        <f>IF($A363="","",SUMIF('Shop Ledger'!$C:$C,$A363,'Shop Ledger'!$F:$F))</f>
        <v/>
      </c>
      <c r="H363" s="48" t="str">
        <f t="shared" si="1"/>
        <v/>
      </c>
      <c r="I363" s="44" t="str">
        <f>IF(A363="","",IFERROR(SUMIF(Purchases!$D:$D,A363,Purchases!$I:$I)/D363,0))</f>
        <v/>
      </c>
      <c r="J363" s="44" t="str">
        <f t="shared" si="2"/>
        <v/>
      </c>
      <c r="K363" s="30" t="str">
        <f>IF($A363="","",IFERROR(VALUE(SUBSTITUTE(SUBSTITUTE(SUBSTITUTE(VLOOKUP($A363,Inventory!$O$5:$P$604,2,FALSE),"Tk","")," ",""),",","")),""))</f>
        <v/>
      </c>
      <c r="L363" s="58" t="str">
        <f t="shared" si="3"/>
        <v/>
      </c>
      <c r="M363" s="58" t="str">
        <f t="shared" si="4"/>
        <v/>
      </c>
      <c r="O363" s="59" t="str">
        <f t="shared" si="5"/>
        <v/>
      </c>
      <c r="P363" s="52"/>
    </row>
    <row r="364" ht="15.75" customHeight="1">
      <c r="A364" s="29" t="str">
        <f t="array" ref="A364">IFERROR(INDEX(Purchases!$D$5:$D$1004,MATCH(ROW()-4,Purchases!$L$5:$L$1004,0)),"")</f>
        <v/>
      </c>
      <c r="B364" s="48" t="str">
        <f>IFERROR(VLOOKUP(A364,Purchases!$D:$E,2,FALSE),"")</f>
        <v/>
      </c>
      <c r="C364" s="48" t="str">
        <f>IFERROR(VLOOKUP(A364,Purchases!$D:$F,3,FALSE),"")</f>
        <v/>
      </c>
      <c r="D364" s="48" t="str">
        <f>IF(A364="","",SUMIF(Purchases!$D:$D,A364,Purchases!$K:$K))</f>
        <v/>
      </c>
      <c r="E364" s="48" t="str">
        <f>IF(A364="","",SUMIFS(Sales!$H:$H,Sales!$F:$F,A364,Sales!$B:$B,"&lt;&gt;Return"))</f>
        <v/>
      </c>
      <c r="F364" s="48" t="str">
        <f>IF(A364="","",SUMIFS(Sales!$H:$H,Sales!$F:$F,A364,Sales!$B:$B,"Return"))</f>
        <v/>
      </c>
      <c r="G364" s="48" t="str">
        <f>IF($A364="","",SUMIF('Shop Ledger'!$C:$C,$A364,'Shop Ledger'!$F:$F))</f>
        <v/>
      </c>
      <c r="H364" s="48" t="str">
        <f t="shared" si="1"/>
        <v/>
      </c>
      <c r="I364" s="44" t="str">
        <f>IF(A364="","",IFERROR(SUMIF(Purchases!$D:$D,A364,Purchases!$I:$I)/D364,0))</f>
        <v/>
      </c>
      <c r="J364" s="44" t="str">
        <f t="shared" si="2"/>
        <v/>
      </c>
      <c r="K364" s="30" t="str">
        <f>IF($A364="","",IFERROR(VALUE(SUBSTITUTE(SUBSTITUTE(SUBSTITUTE(VLOOKUP($A364,Inventory!$O$5:$P$604,2,FALSE),"Tk","")," ",""),",","")),""))</f>
        <v/>
      </c>
      <c r="L364" s="58" t="str">
        <f t="shared" si="3"/>
        <v/>
      </c>
      <c r="M364" s="58" t="str">
        <f t="shared" si="4"/>
        <v/>
      </c>
      <c r="O364" s="59" t="str">
        <f t="shared" si="5"/>
        <v/>
      </c>
      <c r="P364" s="52"/>
    </row>
    <row r="365" ht="15.75" customHeight="1">
      <c r="A365" s="29" t="str">
        <f t="array" ref="A365">IFERROR(INDEX(Purchases!$D$5:$D$1004,MATCH(ROW()-4,Purchases!$L$5:$L$1004,0)),"")</f>
        <v/>
      </c>
      <c r="B365" s="48" t="str">
        <f>IFERROR(VLOOKUP(A365,Purchases!$D:$E,2,FALSE),"")</f>
        <v/>
      </c>
      <c r="C365" s="48" t="str">
        <f>IFERROR(VLOOKUP(A365,Purchases!$D:$F,3,FALSE),"")</f>
        <v/>
      </c>
      <c r="D365" s="48" t="str">
        <f>IF(A365="","",SUMIF(Purchases!$D:$D,A365,Purchases!$K:$K))</f>
        <v/>
      </c>
      <c r="E365" s="48" t="str">
        <f>IF(A365="","",SUMIFS(Sales!$H:$H,Sales!$F:$F,A365,Sales!$B:$B,"&lt;&gt;Return"))</f>
        <v/>
      </c>
      <c r="F365" s="48" t="str">
        <f>IF(A365="","",SUMIFS(Sales!$H:$H,Sales!$F:$F,A365,Sales!$B:$B,"Return"))</f>
        <v/>
      </c>
      <c r="G365" s="48" t="str">
        <f>IF($A365="","",SUMIF('Shop Ledger'!$C:$C,$A365,'Shop Ledger'!$F:$F))</f>
        <v/>
      </c>
      <c r="H365" s="48" t="str">
        <f t="shared" si="1"/>
        <v/>
      </c>
      <c r="I365" s="44" t="str">
        <f>IF(A365="","",IFERROR(SUMIF(Purchases!$D:$D,A365,Purchases!$I:$I)/D365,0))</f>
        <v/>
      </c>
      <c r="J365" s="44" t="str">
        <f t="shared" si="2"/>
        <v/>
      </c>
      <c r="K365" s="30" t="str">
        <f>IF($A365="","",IFERROR(VALUE(SUBSTITUTE(SUBSTITUTE(SUBSTITUTE(VLOOKUP($A365,Inventory!$O$5:$P$604,2,FALSE),"Tk","")," ",""),",","")),""))</f>
        <v/>
      </c>
      <c r="L365" s="58" t="str">
        <f t="shared" si="3"/>
        <v/>
      </c>
      <c r="M365" s="58" t="str">
        <f t="shared" si="4"/>
        <v/>
      </c>
      <c r="O365" s="59" t="str">
        <f t="shared" si="5"/>
        <v/>
      </c>
      <c r="P365" s="52"/>
    </row>
    <row r="366" ht="15.75" customHeight="1">
      <c r="A366" s="29" t="str">
        <f t="array" ref="A366">IFERROR(INDEX(Purchases!$D$5:$D$1004,MATCH(ROW()-4,Purchases!$L$5:$L$1004,0)),"")</f>
        <v/>
      </c>
      <c r="B366" s="48" t="str">
        <f>IFERROR(VLOOKUP(A366,Purchases!$D:$E,2,FALSE),"")</f>
        <v/>
      </c>
      <c r="C366" s="48" t="str">
        <f>IFERROR(VLOOKUP(A366,Purchases!$D:$F,3,FALSE),"")</f>
        <v/>
      </c>
      <c r="D366" s="48" t="str">
        <f>IF(A366="","",SUMIF(Purchases!$D:$D,A366,Purchases!$K:$K))</f>
        <v/>
      </c>
      <c r="E366" s="48" t="str">
        <f>IF(A366="","",SUMIFS(Sales!$H:$H,Sales!$F:$F,A366,Sales!$B:$B,"&lt;&gt;Return"))</f>
        <v/>
      </c>
      <c r="F366" s="48" t="str">
        <f>IF(A366="","",SUMIFS(Sales!$H:$H,Sales!$F:$F,A366,Sales!$B:$B,"Return"))</f>
        <v/>
      </c>
      <c r="G366" s="48" t="str">
        <f>IF($A366="","",SUMIF('Shop Ledger'!$C:$C,$A366,'Shop Ledger'!$F:$F))</f>
        <v/>
      </c>
      <c r="H366" s="48" t="str">
        <f t="shared" si="1"/>
        <v/>
      </c>
      <c r="I366" s="44" t="str">
        <f>IF(A366="","",IFERROR(SUMIF(Purchases!$D:$D,A366,Purchases!$I:$I)/D366,0))</f>
        <v/>
      </c>
      <c r="J366" s="44" t="str">
        <f t="shared" si="2"/>
        <v/>
      </c>
      <c r="K366" s="30" t="str">
        <f>IF($A366="","",IFERROR(VALUE(SUBSTITUTE(SUBSTITUTE(SUBSTITUTE(VLOOKUP($A366,Inventory!$O$5:$P$604,2,FALSE),"Tk","")," ",""),",","")),""))</f>
        <v/>
      </c>
      <c r="L366" s="58" t="str">
        <f t="shared" si="3"/>
        <v/>
      </c>
      <c r="M366" s="58" t="str">
        <f t="shared" si="4"/>
        <v/>
      </c>
      <c r="O366" s="59" t="str">
        <f t="shared" si="5"/>
        <v/>
      </c>
      <c r="P366" s="52"/>
    </row>
    <row r="367" ht="15.75" customHeight="1">
      <c r="A367" s="29" t="str">
        <f t="array" ref="A367">IFERROR(INDEX(Purchases!$D$5:$D$1004,MATCH(ROW()-4,Purchases!$L$5:$L$1004,0)),"")</f>
        <v/>
      </c>
      <c r="B367" s="48" t="str">
        <f>IFERROR(VLOOKUP(A367,Purchases!$D:$E,2,FALSE),"")</f>
        <v/>
      </c>
      <c r="C367" s="48" t="str">
        <f>IFERROR(VLOOKUP(A367,Purchases!$D:$F,3,FALSE),"")</f>
        <v/>
      </c>
      <c r="D367" s="48" t="str">
        <f>IF(A367="","",SUMIF(Purchases!$D:$D,A367,Purchases!$K:$K))</f>
        <v/>
      </c>
      <c r="E367" s="48" t="str">
        <f>IF(A367="","",SUMIFS(Sales!$H:$H,Sales!$F:$F,A367,Sales!$B:$B,"&lt;&gt;Return"))</f>
        <v/>
      </c>
      <c r="F367" s="48" t="str">
        <f>IF(A367="","",SUMIFS(Sales!$H:$H,Sales!$F:$F,A367,Sales!$B:$B,"Return"))</f>
        <v/>
      </c>
      <c r="G367" s="48" t="str">
        <f>IF($A367="","",SUMIF('Shop Ledger'!$C:$C,$A367,'Shop Ledger'!$F:$F))</f>
        <v/>
      </c>
      <c r="H367" s="48" t="str">
        <f t="shared" si="1"/>
        <v/>
      </c>
      <c r="I367" s="44" t="str">
        <f>IF(A367="","",IFERROR(SUMIF(Purchases!$D:$D,A367,Purchases!$I:$I)/D367,0))</f>
        <v/>
      </c>
      <c r="J367" s="44" t="str">
        <f t="shared" si="2"/>
        <v/>
      </c>
      <c r="K367" s="30" t="str">
        <f>IF($A367="","",IFERROR(VALUE(SUBSTITUTE(SUBSTITUTE(SUBSTITUTE(VLOOKUP($A367,Inventory!$O$5:$P$604,2,FALSE),"Tk","")," ",""),",","")),""))</f>
        <v/>
      </c>
      <c r="L367" s="58" t="str">
        <f t="shared" si="3"/>
        <v/>
      </c>
      <c r="M367" s="58" t="str">
        <f t="shared" si="4"/>
        <v/>
      </c>
      <c r="O367" s="59" t="str">
        <f t="shared" si="5"/>
        <v/>
      </c>
      <c r="P367" s="52"/>
    </row>
    <row r="368" ht="15.75" customHeight="1">
      <c r="A368" s="29" t="str">
        <f t="array" ref="A368">IFERROR(INDEX(Purchases!$D$5:$D$1004,MATCH(ROW()-4,Purchases!$L$5:$L$1004,0)),"")</f>
        <v/>
      </c>
      <c r="B368" s="48" t="str">
        <f>IFERROR(VLOOKUP(A368,Purchases!$D:$E,2,FALSE),"")</f>
        <v/>
      </c>
      <c r="C368" s="48" t="str">
        <f>IFERROR(VLOOKUP(A368,Purchases!$D:$F,3,FALSE),"")</f>
        <v/>
      </c>
      <c r="D368" s="48" t="str">
        <f>IF(A368="","",SUMIF(Purchases!$D:$D,A368,Purchases!$K:$K))</f>
        <v/>
      </c>
      <c r="E368" s="48" t="str">
        <f>IF(A368="","",SUMIFS(Sales!$H:$H,Sales!$F:$F,A368,Sales!$B:$B,"&lt;&gt;Return"))</f>
        <v/>
      </c>
      <c r="F368" s="48" t="str">
        <f>IF(A368="","",SUMIFS(Sales!$H:$H,Sales!$F:$F,A368,Sales!$B:$B,"Return"))</f>
        <v/>
      </c>
      <c r="G368" s="48" t="str">
        <f>IF($A368="","",SUMIF('Shop Ledger'!$C:$C,$A368,'Shop Ledger'!$F:$F))</f>
        <v/>
      </c>
      <c r="H368" s="48" t="str">
        <f t="shared" si="1"/>
        <v/>
      </c>
      <c r="I368" s="44" t="str">
        <f>IF(A368="","",IFERROR(SUMIF(Purchases!$D:$D,A368,Purchases!$I:$I)/D368,0))</f>
        <v/>
      </c>
      <c r="J368" s="44" t="str">
        <f t="shared" si="2"/>
        <v/>
      </c>
      <c r="K368" s="30" t="str">
        <f>IF($A368="","",IFERROR(VALUE(SUBSTITUTE(SUBSTITUTE(SUBSTITUTE(VLOOKUP($A368,Inventory!$O$5:$P$604,2,FALSE),"Tk","")," ",""),",","")),""))</f>
        <v/>
      </c>
      <c r="L368" s="58" t="str">
        <f t="shared" si="3"/>
        <v/>
      </c>
      <c r="M368" s="58" t="str">
        <f t="shared" si="4"/>
        <v/>
      </c>
      <c r="O368" s="59" t="str">
        <f t="shared" si="5"/>
        <v/>
      </c>
      <c r="P368" s="52"/>
    </row>
    <row r="369" ht="15.75" customHeight="1">
      <c r="A369" s="29" t="str">
        <f t="array" ref="A369">IFERROR(INDEX(Purchases!$D$5:$D$1004,MATCH(ROW()-4,Purchases!$L$5:$L$1004,0)),"")</f>
        <v/>
      </c>
      <c r="B369" s="48" t="str">
        <f>IFERROR(VLOOKUP(A369,Purchases!$D:$E,2,FALSE),"")</f>
        <v/>
      </c>
      <c r="C369" s="48" t="str">
        <f>IFERROR(VLOOKUP(A369,Purchases!$D:$F,3,FALSE),"")</f>
        <v/>
      </c>
      <c r="D369" s="48" t="str">
        <f>IF(A369="","",SUMIF(Purchases!$D:$D,A369,Purchases!$K:$K))</f>
        <v/>
      </c>
      <c r="E369" s="48" t="str">
        <f>IF(A369="","",SUMIFS(Sales!$H:$H,Sales!$F:$F,A369,Sales!$B:$B,"&lt;&gt;Return"))</f>
        <v/>
      </c>
      <c r="F369" s="48" t="str">
        <f>IF(A369="","",SUMIFS(Sales!$H:$H,Sales!$F:$F,A369,Sales!$B:$B,"Return"))</f>
        <v/>
      </c>
      <c r="G369" s="48" t="str">
        <f>IF($A369="","",SUMIF('Shop Ledger'!$C:$C,$A369,'Shop Ledger'!$F:$F))</f>
        <v/>
      </c>
      <c r="H369" s="48" t="str">
        <f t="shared" si="1"/>
        <v/>
      </c>
      <c r="I369" s="44" t="str">
        <f>IF(A369="","",IFERROR(SUMIF(Purchases!$D:$D,A369,Purchases!$I:$I)/D369,0))</f>
        <v/>
      </c>
      <c r="J369" s="44" t="str">
        <f t="shared" si="2"/>
        <v/>
      </c>
      <c r="K369" s="30" t="str">
        <f>IF($A369="","",IFERROR(VALUE(SUBSTITUTE(SUBSTITUTE(SUBSTITUTE(VLOOKUP($A369,Inventory!$O$5:$P$604,2,FALSE),"Tk","")," ",""),",","")),""))</f>
        <v/>
      </c>
      <c r="L369" s="58" t="str">
        <f t="shared" si="3"/>
        <v/>
      </c>
      <c r="M369" s="58" t="str">
        <f t="shared" si="4"/>
        <v/>
      </c>
      <c r="O369" s="59" t="str">
        <f t="shared" si="5"/>
        <v/>
      </c>
      <c r="P369" s="52"/>
    </row>
    <row r="370" ht="15.75" customHeight="1">
      <c r="A370" s="29" t="str">
        <f t="array" ref="A370">IFERROR(INDEX(Purchases!$D$5:$D$1004,MATCH(ROW()-4,Purchases!$L$5:$L$1004,0)),"")</f>
        <v/>
      </c>
      <c r="B370" s="48" t="str">
        <f>IFERROR(VLOOKUP(A370,Purchases!$D:$E,2,FALSE),"")</f>
        <v/>
      </c>
      <c r="C370" s="48" t="str">
        <f>IFERROR(VLOOKUP(A370,Purchases!$D:$F,3,FALSE),"")</f>
        <v/>
      </c>
      <c r="D370" s="48" t="str">
        <f>IF(A370="","",SUMIF(Purchases!$D:$D,A370,Purchases!$K:$K))</f>
        <v/>
      </c>
      <c r="E370" s="48" t="str">
        <f>IF(A370="","",SUMIFS(Sales!$H:$H,Sales!$F:$F,A370,Sales!$B:$B,"&lt;&gt;Return"))</f>
        <v/>
      </c>
      <c r="F370" s="48" t="str">
        <f>IF(A370="","",SUMIFS(Sales!$H:$H,Sales!$F:$F,A370,Sales!$B:$B,"Return"))</f>
        <v/>
      </c>
      <c r="G370" s="48" t="str">
        <f>IF($A370="","",SUMIF('Shop Ledger'!$C:$C,$A370,'Shop Ledger'!$F:$F))</f>
        <v/>
      </c>
      <c r="H370" s="48" t="str">
        <f t="shared" si="1"/>
        <v/>
      </c>
      <c r="I370" s="44" t="str">
        <f>IF(A370="","",IFERROR(SUMIF(Purchases!$D:$D,A370,Purchases!$I:$I)/D370,0))</f>
        <v/>
      </c>
      <c r="J370" s="44" t="str">
        <f t="shared" si="2"/>
        <v/>
      </c>
      <c r="K370" s="30" t="str">
        <f>IF($A370="","",IFERROR(VALUE(SUBSTITUTE(SUBSTITUTE(SUBSTITUTE(VLOOKUP($A370,Inventory!$O$5:$P$604,2,FALSE),"Tk","")," ",""),",","")),""))</f>
        <v/>
      </c>
      <c r="L370" s="58" t="str">
        <f t="shared" si="3"/>
        <v/>
      </c>
      <c r="M370" s="58" t="str">
        <f t="shared" si="4"/>
        <v/>
      </c>
      <c r="O370" s="59" t="str">
        <f t="shared" si="5"/>
        <v/>
      </c>
      <c r="P370" s="52"/>
    </row>
    <row r="371" ht="15.75" customHeight="1">
      <c r="A371" s="29" t="str">
        <f t="array" ref="A371">IFERROR(INDEX(Purchases!$D$5:$D$1004,MATCH(ROW()-4,Purchases!$L$5:$L$1004,0)),"")</f>
        <v/>
      </c>
      <c r="B371" s="48" t="str">
        <f>IFERROR(VLOOKUP(A371,Purchases!$D:$E,2,FALSE),"")</f>
        <v/>
      </c>
      <c r="C371" s="48" t="str">
        <f>IFERROR(VLOOKUP(A371,Purchases!$D:$F,3,FALSE),"")</f>
        <v/>
      </c>
      <c r="D371" s="48" t="str">
        <f>IF(A371="","",SUMIF(Purchases!$D:$D,A371,Purchases!$K:$K))</f>
        <v/>
      </c>
      <c r="E371" s="48" t="str">
        <f>IF(A371="","",SUMIFS(Sales!$H:$H,Sales!$F:$F,A371,Sales!$B:$B,"&lt;&gt;Return"))</f>
        <v/>
      </c>
      <c r="F371" s="48" t="str">
        <f>IF(A371="","",SUMIFS(Sales!$H:$H,Sales!$F:$F,A371,Sales!$B:$B,"Return"))</f>
        <v/>
      </c>
      <c r="G371" s="48" t="str">
        <f>IF($A371="","",SUMIF('Shop Ledger'!$C:$C,$A371,'Shop Ledger'!$F:$F))</f>
        <v/>
      </c>
      <c r="H371" s="48" t="str">
        <f t="shared" si="1"/>
        <v/>
      </c>
      <c r="I371" s="44" t="str">
        <f>IF(A371="","",IFERROR(SUMIF(Purchases!$D:$D,A371,Purchases!$I:$I)/D371,0))</f>
        <v/>
      </c>
      <c r="J371" s="44" t="str">
        <f t="shared" si="2"/>
        <v/>
      </c>
      <c r="K371" s="30" t="str">
        <f>IF($A371="","",IFERROR(VALUE(SUBSTITUTE(SUBSTITUTE(SUBSTITUTE(VLOOKUP($A371,Inventory!$O$5:$P$604,2,FALSE),"Tk","")," ",""),",","")),""))</f>
        <v/>
      </c>
      <c r="L371" s="58" t="str">
        <f t="shared" si="3"/>
        <v/>
      </c>
      <c r="M371" s="58" t="str">
        <f t="shared" si="4"/>
        <v/>
      </c>
      <c r="O371" s="59" t="str">
        <f t="shared" si="5"/>
        <v/>
      </c>
      <c r="P371" s="52"/>
    </row>
    <row r="372" ht="15.75" customHeight="1">
      <c r="A372" s="29" t="str">
        <f t="array" ref="A372">IFERROR(INDEX(Purchases!$D$5:$D$1004,MATCH(ROW()-4,Purchases!$L$5:$L$1004,0)),"")</f>
        <v/>
      </c>
      <c r="B372" s="48" t="str">
        <f>IFERROR(VLOOKUP(A372,Purchases!$D:$E,2,FALSE),"")</f>
        <v/>
      </c>
      <c r="C372" s="48" t="str">
        <f>IFERROR(VLOOKUP(A372,Purchases!$D:$F,3,FALSE),"")</f>
        <v/>
      </c>
      <c r="D372" s="48" t="str">
        <f>IF(A372="","",SUMIF(Purchases!$D:$D,A372,Purchases!$K:$K))</f>
        <v/>
      </c>
      <c r="E372" s="48" t="str">
        <f>IF(A372="","",SUMIFS(Sales!$H:$H,Sales!$F:$F,A372,Sales!$B:$B,"&lt;&gt;Return"))</f>
        <v/>
      </c>
      <c r="F372" s="48" t="str">
        <f>IF(A372="","",SUMIFS(Sales!$H:$H,Sales!$F:$F,A372,Sales!$B:$B,"Return"))</f>
        <v/>
      </c>
      <c r="G372" s="48" t="str">
        <f>IF($A372="","",SUMIF('Shop Ledger'!$C:$C,$A372,'Shop Ledger'!$F:$F))</f>
        <v/>
      </c>
      <c r="H372" s="48" t="str">
        <f t="shared" si="1"/>
        <v/>
      </c>
      <c r="I372" s="44" t="str">
        <f>IF(A372="","",IFERROR(SUMIF(Purchases!$D:$D,A372,Purchases!$I:$I)/D372,0))</f>
        <v/>
      </c>
      <c r="J372" s="44" t="str">
        <f t="shared" si="2"/>
        <v/>
      </c>
      <c r="K372" s="30" t="str">
        <f>IF($A372="","",IFERROR(VALUE(SUBSTITUTE(SUBSTITUTE(SUBSTITUTE(VLOOKUP($A372,Inventory!$O$5:$P$604,2,FALSE),"Tk","")," ",""),",","")),""))</f>
        <v/>
      </c>
      <c r="L372" s="58" t="str">
        <f t="shared" si="3"/>
        <v/>
      </c>
      <c r="M372" s="58" t="str">
        <f t="shared" si="4"/>
        <v/>
      </c>
      <c r="O372" s="59" t="str">
        <f t="shared" si="5"/>
        <v/>
      </c>
      <c r="P372" s="52"/>
    </row>
    <row r="373" ht="15.75" customHeight="1">
      <c r="A373" s="29" t="str">
        <f t="array" ref="A373">IFERROR(INDEX(Purchases!$D$5:$D$1004,MATCH(ROW()-4,Purchases!$L$5:$L$1004,0)),"")</f>
        <v/>
      </c>
      <c r="B373" s="48" t="str">
        <f>IFERROR(VLOOKUP(A373,Purchases!$D:$E,2,FALSE),"")</f>
        <v/>
      </c>
      <c r="C373" s="48" t="str">
        <f>IFERROR(VLOOKUP(A373,Purchases!$D:$F,3,FALSE),"")</f>
        <v/>
      </c>
      <c r="D373" s="48" t="str">
        <f>IF(A373="","",SUMIF(Purchases!$D:$D,A373,Purchases!$K:$K))</f>
        <v/>
      </c>
      <c r="E373" s="48" t="str">
        <f>IF(A373="","",SUMIFS(Sales!$H:$H,Sales!$F:$F,A373,Sales!$B:$B,"&lt;&gt;Return"))</f>
        <v/>
      </c>
      <c r="F373" s="48" t="str">
        <f>IF(A373="","",SUMIFS(Sales!$H:$H,Sales!$F:$F,A373,Sales!$B:$B,"Return"))</f>
        <v/>
      </c>
      <c r="G373" s="48" t="str">
        <f>IF($A373="","",SUMIF('Shop Ledger'!$C:$C,$A373,'Shop Ledger'!$F:$F))</f>
        <v/>
      </c>
      <c r="H373" s="48" t="str">
        <f t="shared" si="1"/>
        <v/>
      </c>
      <c r="I373" s="44" t="str">
        <f>IF(A373="","",IFERROR(SUMIF(Purchases!$D:$D,A373,Purchases!$I:$I)/D373,0))</f>
        <v/>
      </c>
      <c r="J373" s="44" t="str">
        <f t="shared" si="2"/>
        <v/>
      </c>
      <c r="K373" s="30" t="str">
        <f>IF($A373="","",IFERROR(VALUE(SUBSTITUTE(SUBSTITUTE(SUBSTITUTE(VLOOKUP($A373,Inventory!$O$5:$P$604,2,FALSE),"Tk","")," ",""),",","")),""))</f>
        <v/>
      </c>
      <c r="L373" s="58" t="str">
        <f t="shared" si="3"/>
        <v/>
      </c>
      <c r="M373" s="58" t="str">
        <f t="shared" si="4"/>
        <v/>
      </c>
      <c r="O373" s="59" t="str">
        <f t="shared" si="5"/>
        <v/>
      </c>
      <c r="P373" s="52"/>
    </row>
    <row r="374" ht="15.75" customHeight="1">
      <c r="A374" s="29" t="str">
        <f t="array" ref="A374">IFERROR(INDEX(Purchases!$D$5:$D$1004,MATCH(ROW()-4,Purchases!$L$5:$L$1004,0)),"")</f>
        <v/>
      </c>
      <c r="B374" s="48" t="str">
        <f>IFERROR(VLOOKUP(A374,Purchases!$D:$E,2,FALSE),"")</f>
        <v/>
      </c>
      <c r="C374" s="48" t="str">
        <f>IFERROR(VLOOKUP(A374,Purchases!$D:$F,3,FALSE),"")</f>
        <v/>
      </c>
      <c r="D374" s="48" t="str">
        <f>IF(A374="","",SUMIF(Purchases!$D:$D,A374,Purchases!$K:$K))</f>
        <v/>
      </c>
      <c r="E374" s="48" t="str">
        <f>IF(A374="","",SUMIFS(Sales!$H:$H,Sales!$F:$F,A374,Sales!$B:$B,"&lt;&gt;Return"))</f>
        <v/>
      </c>
      <c r="F374" s="48" t="str">
        <f>IF(A374="","",SUMIFS(Sales!$H:$H,Sales!$F:$F,A374,Sales!$B:$B,"Return"))</f>
        <v/>
      </c>
      <c r="G374" s="48" t="str">
        <f>IF($A374="","",SUMIF('Shop Ledger'!$C:$C,$A374,'Shop Ledger'!$F:$F))</f>
        <v/>
      </c>
      <c r="H374" s="48" t="str">
        <f t="shared" si="1"/>
        <v/>
      </c>
      <c r="I374" s="44" t="str">
        <f>IF(A374="","",IFERROR(SUMIF(Purchases!$D:$D,A374,Purchases!$I:$I)/D374,0))</f>
        <v/>
      </c>
      <c r="J374" s="44" t="str">
        <f t="shared" si="2"/>
        <v/>
      </c>
      <c r="K374" s="30" t="str">
        <f>IF($A374="","",IFERROR(VALUE(SUBSTITUTE(SUBSTITUTE(SUBSTITUTE(VLOOKUP($A374,Inventory!$O$5:$P$604,2,FALSE),"Tk","")," ",""),",","")),""))</f>
        <v/>
      </c>
      <c r="L374" s="58" t="str">
        <f t="shared" si="3"/>
        <v/>
      </c>
      <c r="M374" s="58" t="str">
        <f t="shared" si="4"/>
        <v/>
      </c>
      <c r="O374" s="59" t="str">
        <f t="shared" si="5"/>
        <v/>
      </c>
      <c r="P374" s="52"/>
    </row>
    <row r="375" ht="15.75" customHeight="1">
      <c r="A375" s="29" t="str">
        <f t="array" ref="A375">IFERROR(INDEX(Purchases!$D$5:$D$1004,MATCH(ROW()-4,Purchases!$L$5:$L$1004,0)),"")</f>
        <v/>
      </c>
      <c r="B375" s="48" t="str">
        <f>IFERROR(VLOOKUP(A375,Purchases!$D:$E,2,FALSE),"")</f>
        <v/>
      </c>
      <c r="C375" s="48" t="str">
        <f>IFERROR(VLOOKUP(A375,Purchases!$D:$F,3,FALSE),"")</f>
        <v/>
      </c>
      <c r="D375" s="48" t="str">
        <f>IF(A375="","",SUMIF(Purchases!$D:$D,A375,Purchases!$K:$K))</f>
        <v/>
      </c>
      <c r="E375" s="48" t="str">
        <f>IF(A375="","",SUMIFS(Sales!$H:$H,Sales!$F:$F,A375,Sales!$B:$B,"&lt;&gt;Return"))</f>
        <v/>
      </c>
      <c r="F375" s="48" t="str">
        <f>IF(A375="","",SUMIFS(Sales!$H:$H,Sales!$F:$F,A375,Sales!$B:$B,"Return"))</f>
        <v/>
      </c>
      <c r="G375" s="48" t="str">
        <f>IF($A375="","",SUMIF('Shop Ledger'!$C:$C,$A375,'Shop Ledger'!$F:$F))</f>
        <v/>
      </c>
      <c r="H375" s="48" t="str">
        <f t="shared" si="1"/>
        <v/>
      </c>
      <c r="I375" s="44" t="str">
        <f>IF(A375="","",IFERROR(SUMIF(Purchases!$D:$D,A375,Purchases!$I:$I)/D375,0))</f>
        <v/>
      </c>
      <c r="J375" s="44" t="str">
        <f t="shared" si="2"/>
        <v/>
      </c>
      <c r="K375" s="30" t="str">
        <f>IF($A375="","",IFERROR(VALUE(SUBSTITUTE(SUBSTITUTE(SUBSTITUTE(VLOOKUP($A375,Inventory!$O$5:$P$604,2,FALSE),"Tk","")," ",""),",","")),""))</f>
        <v/>
      </c>
      <c r="L375" s="58" t="str">
        <f t="shared" si="3"/>
        <v/>
      </c>
      <c r="M375" s="58" t="str">
        <f t="shared" si="4"/>
        <v/>
      </c>
      <c r="O375" s="59" t="str">
        <f t="shared" si="5"/>
        <v/>
      </c>
      <c r="P375" s="52"/>
    </row>
    <row r="376" ht="15.75" customHeight="1">
      <c r="A376" s="29" t="str">
        <f t="array" ref="A376">IFERROR(INDEX(Purchases!$D$5:$D$1004,MATCH(ROW()-4,Purchases!$L$5:$L$1004,0)),"")</f>
        <v/>
      </c>
      <c r="B376" s="48" t="str">
        <f>IFERROR(VLOOKUP(A376,Purchases!$D:$E,2,FALSE),"")</f>
        <v/>
      </c>
      <c r="C376" s="48" t="str">
        <f>IFERROR(VLOOKUP(A376,Purchases!$D:$F,3,FALSE),"")</f>
        <v/>
      </c>
      <c r="D376" s="48" t="str">
        <f>IF(A376="","",SUMIF(Purchases!$D:$D,A376,Purchases!$K:$K))</f>
        <v/>
      </c>
      <c r="E376" s="48" t="str">
        <f>IF(A376="","",SUMIFS(Sales!$H:$H,Sales!$F:$F,A376,Sales!$B:$B,"&lt;&gt;Return"))</f>
        <v/>
      </c>
      <c r="F376" s="48" t="str">
        <f>IF(A376="","",SUMIFS(Sales!$H:$H,Sales!$F:$F,A376,Sales!$B:$B,"Return"))</f>
        <v/>
      </c>
      <c r="G376" s="48" t="str">
        <f>IF($A376="","",SUMIF('Shop Ledger'!$C:$C,$A376,'Shop Ledger'!$F:$F))</f>
        <v/>
      </c>
      <c r="H376" s="48" t="str">
        <f t="shared" si="1"/>
        <v/>
      </c>
      <c r="I376" s="44" t="str">
        <f>IF(A376="","",IFERROR(SUMIF(Purchases!$D:$D,A376,Purchases!$I:$I)/D376,0))</f>
        <v/>
      </c>
      <c r="J376" s="44" t="str">
        <f t="shared" si="2"/>
        <v/>
      </c>
      <c r="K376" s="30" t="str">
        <f>IF($A376="","",IFERROR(VALUE(SUBSTITUTE(SUBSTITUTE(SUBSTITUTE(VLOOKUP($A376,Inventory!$O$5:$P$604,2,FALSE),"Tk","")," ",""),",","")),""))</f>
        <v/>
      </c>
      <c r="L376" s="58" t="str">
        <f t="shared" si="3"/>
        <v/>
      </c>
      <c r="M376" s="58" t="str">
        <f t="shared" si="4"/>
        <v/>
      </c>
      <c r="O376" s="59" t="str">
        <f t="shared" si="5"/>
        <v/>
      </c>
      <c r="P376" s="52"/>
    </row>
    <row r="377" ht="15.75" customHeight="1">
      <c r="A377" s="29" t="str">
        <f t="array" ref="A377">IFERROR(INDEX(Purchases!$D$5:$D$1004,MATCH(ROW()-4,Purchases!$L$5:$L$1004,0)),"")</f>
        <v/>
      </c>
      <c r="B377" s="48" t="str">
        <f>IFERROR(VLOOKUP(A377,Purchases!$D:$E,2,FALSE),"")</f>
        <v/>
      </c>
      <c r="C377" s="48" t="str">
        <f>IFERROR(VLOOKUP(A377,Purchases!$D:$F,3,FALSE),"")</f>
        <v/>
      </c>
      <c r="D377" s="48" t="str">
        <f>IF(A377="","",SUMIF(Purchases!$D:$D,A377,Purchases!$K:$K))</f>
        <v/>
      </c>
      <c r="E377" s="48" t="str">
        <f>IF(A377="","",SUMIFS(Sales!$H:$H,Sales!$F:$F,A377,Sales!$B:$B,"&lt;&gt;Return"))</f>
        <v/>
      </c>
      <c r="F377" s="48" t="str">
        <f>IF(A377="","",SUMIFS(Sales!$H:$H,Sales!$F:$F,A377,Sales!$B:$B,"Return"))</f>
        <v/>
      </c>
      <c r="G377" s="48" t="str">
        <f>IF($A377="","",SUMIF('Shop Ledger'!$C:$C,$A377,'Shop Ledger'!$F:$F))</f>
        <v/>
      </c>
      <c r="H377" s="48" t="str">
        <f t="shared" si="1"/>
        <v/>
      </c>
      <c r="I377" s="44" t="str">
        <f>IF(A377="","",IFERROR(SUMIF(Purchases!$D:$D,A377,Purchases!$I:$I)/D377,0))</f>
        <v/>
      </c>
      <c r="J377" s="44" t="str">
        <f t="shared" si="2"/>
        <v/>
      </c>
      <c r="K377" s="30" t="str">
        <f>IF($A377="","",IFERROR(VALUE(SUBSTITUTE(SUBSTITUTE(SUBSTITUTE(VLOOKUP($A377,Inventory!$O$5:$P$604,2,FALSE),"Tk","")," ",""),",","")),""))</f>
        <v/>
      </c>
      <c r="L377" s="58" t="str">
        <f t="shared" si="3"/>
        <v/>
      </c>
      <c r="M377" s="58" t="str">
        <f t="shared" si="4"/>
        <v/>
      </c>
      <c r="O377" s="59" t="str">
        <f t="shared" si="5"/>
        <v/>
      </c>
      <c r="P377" s="52"/>
    </row>
    <row r="378" ht="15.75" customHeight="1">
      <c r="A378" s="29" t="str">
        <f t="array" ref="A378">IFERROR(INDEX(Purchases!$D$5:$D$1004,MATCH(ROW()-4,Purchases!$L$5:$L$1004,0)),"")</f>
        <v/>
      </c>
      <c r="B378" s="48" t="str">
        <f>IFERROR(VLOOKUP(A378,Purchases!$D:$E,2,FALSE),"")</f>
        <v/>
      </c>
      <c r="C378" s="48" t="str">
        <f>IFERROR(VLOOKUP(A378,Purchases!$D:$F,3,FALSE),"")</f>
        <v/>
      </c>
      <c r="D378" s="48" t="str">
        <f>IF(A378="","",SUMIF(Purchases!$D:$D,A378,Purchases!$K:$K))</f>
        <v/>
      </c>
      <c r="E378" s="48" t="str">
        <f>IF(A378="","",SUMIFS(Sales!$H:$H,Sales!$F:$F,A378,Sales!$B:$B,"&lt;&gt;Return"))</f>
        <v/>
      </c>
      <c r="F378" s="48" t="str">
        <f>IF(A378="","",SUMIFS(Sales!$H:$H,Sales!$F:$F,A378,Sales!$B:$B,"Return"))</f>
        <v/>
      </c>
      <c r="G378" s="48" t="str">
        <f>IF($A378="","",SUMIF('Shop Ledger'!$C:$C,$A378,'Shop Ledger'!$F:$F))</f>
        <v/>
      </c>
      <c r="H378" s="48" t="str">
        <f t="shared" si="1"/>
        <v/>
      </c>
      <c r="I378" s="44" t="str">
        <f>IF(A378="","",IFERROR(SUMIF(Purchases!$D:$D,A378,Purchases!$I:$I)/D378,0))</f>
        <v/>
      </c>
      <c r="J378" s="44" t="str">
        <f t="shared" si="2"/>
        <v/>
      </c>
      <c r="K378" s="30" t="str">
        <f>IF($A378="","",IFERROR(VALUE(SUBSTITUTE(SUBSTITUTE(SUBSTITUTE(VLOOKUP($A378,Inventory!$O$5:$P$604,2,FALSE),"Tk","")," ",""),",","")),""))</f>
        <v/>
      </c>
      <c r="L378" s="58" t="str">
        <f t="shared" si="3"/>
        <v/>
      </c>
      <c r="M378" s="58" t="str">
        <f t="shared" si="4"/>
        <v/>
      </c>
      <c r="O378" s="59" t="str">
        <f t="shared" si="5"/>
        <v/>
      </c>
      <c r="P378" s="52"/>
    </row>
    <row r="379" ht="15.75" customHeight="1">
      <c r="A379" s="29" t="str">
        <f t="array" ref="A379">IFERROR(INDEX(Purchases!$D$5:$D$1004,MATCH(ROW()-4,Purchases!$L$5:$L$1004,0)),"")</f>
        <v/>
      </c>
      <c r="B379" s="48" t="str">
        <f>IFERROR(VLOOKUP(A379,Purchases!$D:$E,2,FALSE),"")</f>
        <v/>
      </c>
      <c r="C379" s="48" t="str">
        <f>IFERROR(VLOOKUP(A379,Purchases!$D:$F,3,FALSE),"")</f>
        <v/>
      </c>
      <c r="D379" s="48" t="str">
        <f>IF(A379="","",SUMIF(Purchases!$D:$D,A379,Purchases!$K:$K))</f>
        <v/>
      </c>
      <c r="E379" s="48" t="str">
        <f>IF(A379="","",SUMIFS(Sales!$H:$H,Sales!$F:$F,A379,Sales!$B:$B,"&lt;&gt;Return"))</f>
        <v/>
      </c>
      <c r="F379" s="48" t="str">
        <f>IF(A379="","",SUMIFS(Sales!$H:$H,Sales!$F:$F,A379,Sales!$B:$B,"Return"))</f>
        <v/>
      </c>
      <c r="G379" s="48" t="str">
        <f>IF($A379="","",SUMIF('Shop Ledger'!$C:$C,$A379,'Shop Ledger'!$F:$F))</f>
        <v/>
      </c>
      <c r="H379" s="48" t="str">
        <f t="shared" si="1"/>
        <v/>
      </c>
      <c r="I379" s="44" t="str">
        <f>IF(A379="","",IFERROR(SUMIF(Purchases!$D:$D,A379,Purchases!$I:$I)/D379,0))</f>
        <v/>
      </c>
      <c r="J379" s="44" t="str">
        <f t="shared" si="2"/>
        <v/>
      </c>
      <c r="K379" s="30" t="str">
        <f>IF($A379="","",IFERROR(VALUE(SUBSTITUTE(SUBSTITUTE(SUBSTITUTE(VLOOKUP($A379,Inventory!$O$5:$P$604,2,FALSE),"Tk","")," ",""),",","")),""))</f>
        <v/>
      </c>
      <c r="L379" s="58" t="str">
        <f t="shared" si="3"/>
        <v/>
      </c>
      <c r="M379" s="58" t="str">
        <f t="shared" si="4"/>
        <v/>
      </c>
      <c r="O379" s="59" t="str">
        <f t="shared" si="5"/>
        <v/>
      </c>
      <c r="P379" s="52"/>
    </row>
    <row r="380" ht="15.75" customHeight="1">
      <c r="A380" s="29" t="str">
        <f t="array" ref="A380">IFERROR(INDEX(Purchases!$D$5:$D$1004,MATCH(ROW()-4,Purchases!$L$5:$L$1004,0)),"")</f>
        <v/>
      </c>
      <c r="B380" s="48" t="str">
        <f>IFERROR(VLOOKUP(A380,Purchases!$D:$E,2,FALSE),"")</f>
        <v/>
      </c>
      <c r="C380" s="48" t="str">
        <f>IFERROR(VLOOKUP(A380,Purchases!$D:$F,3,FALSE),"")</f>
        <v/>
      </c>
      <c r="D380" s="48" t="str">
        <f>IF(A380="","",SUMIF(Purchases!$D:$D,A380,Purchases!$K:$K))</f>
        <v/>
      </c>
      <c r="E380" s="48" t="str">
        <f>IF(A380="","",SUMIFS(Sales!$H:$H,Sales!$F:$F,A380,Sales!$B:$B,"&lt;&gt;Return"))</f>
        <v/>
      </c>
      <c r="F380" s="48" t="str">
        <f>IF(A380="","",SUMIFS(Sales!$H:$H,Sales!$F:$F,A380,Sales!$B:$B,"Return"))</f>
        <v/>
      </c>
      <c r="G380" s="48" t="str">
        <f>IF($A380="","",SUMIF('Shop Ledger'!$C:$C,$A380,'Shop Ledger'!$F:$F))</f>
        <v/>
      </c>
      <c r="H380" s="48" t="str">
        <f t="shared" si="1"/>
        <v/>
      </c>
      <c r="I380" s="44" t="str">
        <f>IF(A380="","",IFERROR(SUMIF(Purchases!$D:$D,A380,Purchases!$I:$I)/D380,0))</f>
        <v/>
      </c>
      <c r="J380" s="44" t="str">
        <f t="shared" si="2"/>
        <v/>
      </c>
      <c r="K380" s="30" t="str">
        <f>IF($A380="","",IFERROR(VALUE(SUBSTITUTE(SUBSTITUTE(SUBSTITUTE(VLOOKUP($A380,Inventory!$O$5:$P$604,2,FALSE),"Tk","")," ",""),",","")),""))</f>
        <v/>
      </c>
      <c r="L380" s="58" t="str">
        <f t="shared" si="3"/>
        <v/>
      </c>
      <c r="M380" s="58" t="str">
        <f t="shared" si="4"/>
        <v/>
      </c>
      <c r="O380" s="59" t="str">
        <f t="shared" si="5"/>
        <v/>
      </c>
      <c r="P380" s="52"/>
    </row>
    <row r="381" ht="15.75" customHeight="1">
      <c r="A381" s="29" t="str">
        <f t="array" ref="A381">IFERROR(INDEX(Purchases!$D$5:$D$1004,MATCH(ROW()-4,Purchases!$L$5:$L$1004,0)),"")</f>
        <v/>
      </c>
      <c r="B381" s="48" t="str">
        <f>IFERROR(VLOOKUP(A381,Purchases!$D:$E,2,FALSE),"")</f>
        <v/>
      </c>
      <c r="C381" s="48" t="str">
        <f>IFERROR(VLOOKUP(A381,Purchases!$D:$F,3,FALSE),"")</f>
        <v/>
      </c>
      <c r="D381" s="48" t="str">
        <f>IF(A381="","",SUMIF(Purchases!$D:$D,A381,Purchases!$K:$K))</f>
        <v/>
      </c>
      <c r="E381" s="48" t="str">
        <f>IF(A381="","",SUMIFS(Sales!$H:$H,Sales!$F:$F,A381,Sales!$B:$B,"&lt;&gt;Return"))</f>
        <v/>
      </c>
      <c r="F381" s="48" t="str">
        <f>IF(A381="","",SUMIFS(Sales!$H:$H,Sales!$F:$F,A381,Sales!$B:$B,"Return"))</f>
        <v/>
      </c>
      <c r="G381" s="48" t="str">
        <f>IF($A381="","",SUMIF('Shop Ledger'!$C:$C,$A381,'Shop Ledger'!$F:$F))</f>
        <v/>
      </c>
      <c r="H381" s="48" t="str">
        <f t="shared" si="1"/>
        <v/>
      </c>
      <c r="I381" s="44" t="str">
        <f>IF(A381="","",IFERROR(SUMIF(Purchases!$D:$D,A381,Purchases!$I:$I)/D381,0))</f>
        <v/>
      </c>
      <c r="J381" s="44" t="str">
        <f t="shared" si="2"/>
        <v/>
      </c>
      <c r="K381" s="30" t="str">
        <f>IF($A381="","",IFERROR(VALUE(SUBSTITUTE(SUBSTITUTE(SUBSTITUTE(VLOOKUP($A381,Inventory!$O$5:$P$604,2,FALSE),"Tk","")," ",""),",","")),""))</f>
        <v/>
      </c>
      <c r="L381" s="58" t="str">
        <f t="shared" si="3"/>
        <v/>
      </c>
      <c r="M381" s="58" t="str">
        <f t="shared" si="4"/>
        <v/>
      </c>
      <c r="O381" s="59" t="str">
        <f t="shared" si="5"/>
        <v/>
      </c>
      <c r="P381" s="52"/>
    </row>
    <row r="382" ht="15.75" customHeight="1">
      <c r="A382" s="29" t="str">
        <f t="array" ref="A382">IFERROR(INDEX(Purchases!$D$5:$D$1004,MATCH(ROW()-4,Purchases!$L$5:$L$1004,0)),"")</f>
        <v/>
      </c>
      <c r="B382" s="48" t="str">
        <f>IFERROR(VLOOKUP(A382,Purchases!$D:$E,2,FALSE),"")</f>
        <v/>
      </c>
      <c r="C382" s="48" t="str">
        <f>IFERROR(VLOOKUP(A382,Purchases!$D:$F,3,FALSE),"")</f>
        <v/>
      </c>
      <c r="D382" s="48" t="str">
        <f>IF(A382="","",SUMIF(Purchases!$D:$D,A382,Purchases!$K:$K))</f>
        <v/>
      </c>
      <c r="E382" s="48" t="str">
        <f>IF(A382="","",SUMIFS(Sales!$H:$H,Sales!$F:$F,A382,Sales!$B:$B,"&lt;&gt;Return"))</f>
        <v/>
      </c>
      <c r="F382" s="48" t="str">
        <f>IF(A382="","",SUMIFS(Sales!$H:$H,Sales!$F:$F,A382,Sales!$B:$B,"Return"))</f>
        <v/>
      </c>
      <c r="G382" s="48" t="str">
        <f>IF($A382="","",SUMIF('Shop Ledger'!$C:$C,$A382,'Shop Ledger'!$F:$F))</f>
        <v/>
      </c>
      <c r="H382" s="48" t="str">
        <f t="shared" si="1"/>
        <v/>
      </c>
      <c r="I382" s="44" t="str">
        <f>IF(A382="","",IFERROR(SUMIF(Purchases!$D:$D,A382,Purchases!$I:$I)/D382,0))</f>
        <v/>
      </c>
      <c r="J382" s="44" t="str">
        <f t="shared" si="2"/>
        <v/>
      </c>
      <c r="K382" s="30" t="str">
        <f>IF($A382="","",IFERROR(VALUE(SUBSTITUTE(SUBSTITUTE(SUBSTITUTE(VLOOKUP($A382,Inventory!$O$5:$P$604,2,FALSE),"Tk","")," ",""),",","")),""))</f>
        <v/>
      </c>
      <c r="L382" s="58" t="str">
        <f t="shared" si="3"/>
        <v/>
      </c>
      <c r="M382" s="58" t="str">
        <f t="shared" si="4"/>
        <v/>
      </c>
      <c r="O382" s="59" t="str">
        <f t="shared" si="5"/>
        <v/>
      </c>
      <c r="P382" s="52"/>
    </row>
    <row r="383" ht="15.75" customHeight="1">
      <c r="A383" s="29" t="str">
        <f t="array" ref="A383">IFERROR(INDEX(Purchases!$D$5:$D$1004,MATCH(ROW()-4,Purchases!$L$5:$L$1004,0)),"")</f>
        <v/>
      </c>
      <c r="B383" s="48" t="str">
        <f>IFERROR(VLOOKUP(A383,Purchases!$D:$E,2,FALSE),"")</f>
        <v/>
      </c>
      <c r="C383" s="48" t="str">
        <f>IFERROR(VLOOKUP(A383,Purchases!$D:$F,3,FALSE),"")</f>
        <v/>
      </c>
      <c r="D383" s="48" t="str">
        <f>IF(A383="","",SUMIF(Purchases!$D:$D,A383,Purchases!$K:$K))</f>
        <v/>
      </c>
      <c r="E383" s="48" t="str">
        <f>IF(A383="","",SUMIFS(Sales!$H:$H,Sales!$F:$F,A383,Sales!$B:$B,"&lt;&gt;Return"))</f>
        <v/>
      </c>
      <c r="F383" s="48" t="str">
        <f>IF(A383="","",SUMIFS(Sales!$H:$H,Sales!$F:$F,A383,Sales!$B:$B,"Return"))</f>
        <v/>
      </c>
      <c r="G383" s="48" t="str">
        <f>IF($A383="","",SUMIF('Shop Ledger'!$C:$C,$A383,'Shop Ledger'!$F:$F))</f>
        <v/>
      </c>
      <c r="H383" s="48" t="str">
        <f t="shared" si="1"/>
        <v/>
      </c>
      <c r="I383" s="44" t="str">
        <f>IF(A383="","",IFERROR(SUMIF(Purchases!$D:$D,A383,Purchases!$I:$I)/D383,0))</f>
        <v/>
      </c>
      <c r="J383" s="44" t="str">
        <f t="shared" si="2"/>
        <v/>
      </c>
      <c r="K383" s="30" t="str">
        <f>IF($A383="","",IFERROR(VALUE(SUBSTITUTE(SUBSTITUTE(SUBSTITUTE(VLOOKUP($A383,Inventory!$O$5:$P$604,2,FALSE),"Tk","")," ",""),",","")),""))</f>
        <v/>
      </c>
      <c r="L383" s="58" t="str">
        <f t="shared" si="3"/>
        <v/>
      </c>
      <c r="M383" s="58" t="str">
        <f t="shared" si="4"/>
        <v/>
      </c>
      <c r="O383" s="59" t="str">
        <f t="shared" si="5"/>
        <v/>
      </c>
      <c r="P383" s="52"/>
    </row>
    <row r="384" ht="15.75" customHeight="1">
      <c r="A384" s="29" t="str">
        <f t="array" ref="A384">IFERROR(INDEX(Purchases!$D$5:$D$1004,MATCH(ROW()-4,Purchases!$L$5:$L$1004,0)),"")</f>
        <v/>
      </c>
      <c r="B384" s="48" t="str">
        <f>IFERROR(VLOOKUP(A384,Purchases!$D:$E,2,FALSE),"")</f>
        <v/>
      </c>
      <c r="C384" s="48" t="str">
        <f>IFERROR(VLOOKUP(A384,Purchases!$D:$F,3,FALSE),"")</f>
        <v/>
      </c>
      <c r="D384" s="48" t="str">
        <f>IF(A384="","",SUMIF(Purchases!$D:$D,A384,Purchases!$K:$K))</f>
        <v/>
      </c>
      <c r="E384" s="48" t="str">
        <f>IF(A384="","",SUMIFS(Sales!$H:$H,Sales!$F:$F,A384,Sales!$B:$B,"&lt;&gt;Return"))</f>
        <v/>
      </c>
      <c r="F384" s="48" t="str">
        <f>IF(A384="","",SUMIFS(Sales!$H:$H,Sales!$F:$F,A384,Sales!$B:$B,"Return"))</f>
        <v/>
      </c>
      <c r="G384" s="48" t="str">
        <f>IF($A384="","",SUMIF('Shop Ledger'!$C:$C,$A384,'Shop Ledger'!$F:$F))</f>
        <v/>
      </c>
      <c r="H384" s="48" t="str">
        <f t="shared" si="1"/>
        <v/>
      </c>
      <c r="I384" s="44" t="str">
        <f>IF(A384="","",IFERROR(SUMIF(Purchases!$D:$D,A384,Purchases!$I:$I)/D384,0))</f>
        <v/>
      </c>
      <c r="J384" s="44" t="str">
        <f t="shared" si="2"/>
        <v/>
      </c>
      <c r="K384" s="30" t="str">
        <f>IF($A384="","",IFERROR(VALUE(SUBSTITUTE(SUBSTITUTE(SUBSTITUTE(VLOOKUP($A384,Inventory!$O$5:$P$604,2,FALSE),"Tk","")," ",""),",","")),""))</f>
        <v/>
      </c>
      <c r="L384" s="58" t="str">
        <f t="shared" si="3"/>
        <v/>
      </c>
      <c r="M384" s="58" t="str">
        <f t="shared" si="4"/>
        <v/>
      </c>
      <c r="O384" s="59" t="str">
        <f t="shared" si="5"/>
        <v/>
      </c>
      <c r="P384" s="52"/>
    </row>
    <row r="385" ht="15.75" customHeight="1">
      <c r="A385" s="29" t="str">
        <f t="array" ref="A385">IFERROR(INDEX(Purchases!$D$5:$D$1004,MATCH(ROW()-4,Purchases!$L$5:$L$1004,0)),"")</f>
        <v/>
      </c>
      <c r="B385" s="48" t="str">
        <f>IFERROR(VLOOKUP(A385,Purchases!$D:$E,2,FALSE),"")</f>
        <v/>
      </c>
      <c r="C385" s="48" t="str">
        <f>IFERROR(VLOOKUP(A385,Purchases!$D:$F,3,FALSE),"")</f>
        <v/>
      </c>
      <c r="D385" s="48" t="str">
        <f>IF(A385="","",SUMIF(Purchases!$D:$D,A385,Purchases!$K:$K))</f>
        <v/>
      </c>
      <c r="E385" s="48" t="str">
        <f>IF(A385="","",SUMIFS(Sales!$H:$H,Sales!$F:$F,A385,Sales!$B:$B,"&lt;&gt;Return"))</f>
        <v/>
      </c>
      <c r="F385" s="48" t="str">
        <f>IF(A385="","",SUMIFS(Sales!$H:$H,Sales!$F:$F,A385,Sales!$B:$B,"Return"))</f>
        <v/>
      </c>
      <c r="G385" s="48" t="str">
        <f>IF($A385="","",SUMIF('Shop Ledger'!$C:$C,$A385,'Shop Ledger'!$F:$F))</f>
        <v/>
      </c>
      <c r="H385" s="48" t="str">
        <f t="shared" si="1"/>
        <v/>
      </c>
      <c r="I385" s="44" t="str">
        <f>IF(A385="","",IFERROR(SUMIF(Purchases!$D:$D,A385,Purchases!$I:$I)/D385,0))</f>
        <v/>
      </c>
      <c r="J385" s="44" t="str">
        <f t="shared" si="2"/>
        <v/>
      </c>
      <c r="K385" s="30" t="str">
        <f>IF($A385="","",IFERROR(VALUE(SUBSTITUTE(SUBSTITUTE(SUBSTITUTE(VLOOKUP($A385,Inventory!$O$5:$P$604,2,FALSE),"Tk","")," ",""),",","")),""))</f>
        <v/>
      </c>
      <c r="L385" s="58" t="str">
        <f t="shared" si="3"/>
        <v/>
      </c>
      <c r="M385" s="58" t="str">
        <f t="shared" si="4"/>
        <v/>
      </c>
      <c r="O385" s="59" t="str">
        <f t="shared" si="5"/>
        <v/>
      </c>
      <c r="P385" s="52"/>
    </row>
    <row r="386" ht="15.75" customHeight="1">
      <c r="A386" s="29" t="str">
        <f t="array" ref="A386">IFERROR(INDEX(Purchases!$D$5:$D$1004,MATCH(ROW()-4,Purchases!$L$5:$L$1004,0)),"")</f>
        <v/>
      </c>
      <c r="B386" s="48" t="str">
        <f>IFERROR(VLOOKUP(A386,Purchases!$D:$E,2,FALSE),"")</f>
        <v/>
      </c>
      <c r="C386" s="48" t="str">
        <f>IFERROR(VLOOKUP(A386,Purchases!$D:$F,3,FALSE),"")</f>
        <v/>
      </c>
      <c r="D386" s="48" t="str">
        <f>IF(A386="","",SUMIF(Purchases!$D:$D,A386,Purchases!$K:$K))</f>
        <v/>
      </c>
      <c r="E386" s="48" t="str">
        <f>IF(A386="","",SUMIFS(Sales!$H:$H,Sales!$F:$F,A386,Sales!$B:$B,"&lt;&gt;Return"))</f>
        <v/>
      </c>
      <c r="F386" s="48" t="str">
        <f>IF(A386="","",SUMIFS(Sales!$H:$H,Sales!$F:$F,A386,Sales!$B:$B,"Return"))</f>
        <v/>
      </c>
      <c r="G386" s="48" t="str">
        <f>IF($A386="","",SUMIF('Shop Ledger'!$C:$C,$A386,'Shop Ledger'!$F:$F))</f>
        <v/>
      </c>
      <c r="H386" s="48" t="str">
        <f t="shared" si="1"/>
        <v/>
      </c>
      <c r="I386" s="44" t="str">
        <f>IF(A386="","",IFERROR(SUMIF(Purchases!$D:$D,A386,Purchases!$I:$I)/D386,0))</f>
        <v/>
      </c>
      <c r="J386" s="44" t="str">
        <f t="shared" si="2"/>
        <v/>
      </c>
      <c r="K386" s="30" t="str">
        <f>IF($A386="","",IFERROR(VALUE(SUBSTITUTE(SUBSTITUTE(SUBSTITUTE(VLOOKUP($A386,Inventory!$O$5:$P$604,2,FALSE),"Tk","")," ",""),",","")),""))</f>
        <v/>
      </c>
      <c r="L386" s="58" t="str">
        <f t="shared" si="3"/>
        <v/>
      </c>
      <c r="M386" s="58" t="str">
        <f t="shared" si="4"/>
        <v/>
      </c>
      <c r="O386" s="59" t="str">
        <f t="shared" si="5"/>
        <v/>
      </c>
      <c r="P386" s="52"/>
    </row>
    <row r="387" ht="15.75" customHeight="1">
      <c r="A387" s="29" t="str">
        <f t="array" ref="A387">IFERROR(INDEX(Purchases!$D$5:$D$1004,MATCH(ROW()-4,Purchases!$L$5:$L$1004,0)),"")</f>
        <v/>
      </c>
      <c r="B387" s="48" t="str">
        <f>IFERROR(VLOOKUP(A387,Purchases!$D:$E,2,FALSE),"")</f>
        <v/>
      </c>
      <c r="C387" s="48" t="str">
        <f>IFERROR(VLOOKUP(A387,Purchases!$D:$F,3,FALSE),"")</f>
        <v/>
      </c>
      <c r="D387" s="48" t="str">
        <f>IF(A387="","",SUMIF(Purchases!$D:$D,A387,Purchases!$K:$K))</f>
        <v/>
      </c>
      <c r="E387" s="48" t="str">
        <f>IF(A387="","",SUMIFS(Sales!$H:$H,Sales!$F:$F,A387,Sales!$B:$B,"&lt;&gt;Return"))</f>
        <v/>
      </c>
      <c r="F387" s="48" t="str">
        <f>IF(A387="","",SUMIFS(Sales!$H:$H,Sales!$F:$F,A387,Sales!$B:$B,"Return"))</f>
        <v/>
      </c>
      <c r="G387" s="48" t="str">
        <f>IF($A387="","",SUMIF('Shop Ledger'!$C:$C,$A387,'Shop Ledger'!$F:$F))</f>
        <v/>
      </c>
      <c r="H387" s="48" t="str">
        <f t="shared" si="1"/>
        <v/>
      </c>
      <c r="I387" s="44" t="str">
        <f>IF(A387="","",IFERROR(SUMIF(Purchases!$D:$D,A387,Purchases!$I:$I)/D387,0))</f>
        <v/>
      </c>
      <c r="J387" s="44" t="str">
        <f t="shared" si="2"/>
        <v/>
      </c>
      <c r="K387" s="30" t="str">
        <f>IF($A387="","",IFERROR(VALUE(SUBSTITUTE(SUBSTITUTE(SUBSTITUTE(VLOOKUP($A387,Inventory!$O$5:$P$604,2,FALSE),"Tk","")," ",""),",","")),""))</f>
        <v/>
      </c>
      <c r="L387" s="58" t="str">
        <f t="shared" si="3"/>
        <v/>
      </c>
      <c r="M387" s="58" t="str">
        <f t="shared" si="4"/>
        <v/>
      </c>
      <c r="O387" s="59" t="str">
        <f t="shared" si="5"/>
        <v/>
      </c>
      <c r="P387" s="52"/>
    </row>
    <row r="388" ht="15.75" customHeight="1">
      <c r="A388" s="29" t="str">
        <f t="array" ref="A388">IFERROR(INDEX(Purchases!$D$5:$D$1004,MATCH(ROW()-4,Purchases!$L$5:$L$1004,0)),"")</f>
        <v/>
      </c>
      <c r="B388" s="48" t="str">
        <f>IFERROR(VLOOKUP(A388,Purchases!$D:$E,2,FALSE),"")</f>
        <v/>
      </c>
      <c r="C388" s="48" t="str">
        <f>IFERROR(VLOOKUP(A388,Purchases!$D:$F,3,FALSE),"")</f>
        <v/>
      </c>
      <c r="D388" s="48" t="str">
        <f>IF(A388="","",SUMIF(Purchases!$D:$D,A388,Purchases!$K:$K))</f>
        <v/>
      </c>
      <c r="E388" s="48" t="str">
        <f>IF(A388="","",SUMIFS(Sales!$H:$H,Sales!$F:$F,A388,Sales!$B:$B,"&lt;&gt;Return"))</f>
        <v/>
      </c>
      <c r="F388" s="48" t="str">
        <f>IF(A388="","",SUMIFS(Sales!$H:$H,Sales!$F:$F,A388,Sales!$B:$B,"Return"))</f>
        <v/>
      </c>
      <c r="G388" s="48" t="str">
        <f>IF($A388="","",SUMIF('Shop Ledger'!$C:$C,$A388,'Shop Ledger'!$F:$F))</f>
        <v/>
      </c>
      <c r="H388" s="48" t="str">
        <f t="shared" si="1"/>
        <v/>
      </c>
      <c r="I388" s="44" t="str">
        <f>IF(A388="","",IFERROR(SUMIF(Purchases!$D:$D,A388,Purchases!$I:$I)/D388,0))</f>
        <v/>
      </c>
      <c r="J388" s="44" t="str">
        <f t="shared" si="2"/>
        <v/>
      </c>
      <c r="K388" s="30" t="str">
        <f>IF($A388="","",IFERROR(VALUE(SUBSTITUTE(SUBSTITUTE(SUBSTITUTE(VLOOKUP($A388,Inventory!$O$5:$P$604,2,FALSE),"Tk","")," ",""),",","")),""))</f>
        <v/>
      </c>
      <c r="L388" s="58" t="str">
        <f t="shared" si="3"/>
        <v/>
      </c>
      <c r="M388" s="58" t="str">
        <f t="shared" si="4"/>
        <v/>
      </c>
      <c r="O388" s="59" t="str">
        <f t="shared" si="5"/>
        <v/>
      </c>
      <c r="P388" s="52"/>
    </row>
    <row r="389" ht="15.75" customHeight="1">
      <c r="A389" s="29" t="str">
        <f t="array" ref="A389">IFERROR(INDEX(Purchases!$D$5:$D$1004,MATCH(ROW()-4,Purchases!$L$5:$L$1004,0)),"")</f>
        <v/>
      </c>
      <c r="B389" s="48" t="str">
        <f>IFERROR(VLOOKUP(A389,Purchases!$D:$E,2,FALSE),"")</f>
        <v/>
      </c>
      <c r="C389" s="48" t="str">
        <f>IFERROR(VLOOKUP(A389,Purchases!$D:$F,3,FALSE),"")</f>
        <v/>
      </c>
      <c r="D389" s="48" t="str">
        <f>IF(A389="","",SUMIF(Purchases!$D:$D,A389,Purchases!$K:$K))</f>
        <v/>
      </c>
      <c r="E389" s="48" t="str">
        <f>IF(A389="","",SUMIFS(Sales!$H:$H,Sales!$F:$F,A389,Sales!$B:$B,"&lt;&gt;Return"))</f>
        <v/>
      </c>
      <c r="F389" s="48" t="str">
        <f>IF(A389="","",SUMIFS(Sales!$H:$H,Sales!$F:$F,A389,Sales!$B:$B,"Return"))</f>
        <v/>
      </c>
      <c r="G389" s="48" t="str">
        <f>IF($A389="","",SUMIF('Shop Ledger'!$C:$C,$A389,'Shop Ledger'!$F:$F))</f>
        <v/>
      </c>
      <c r="H389" s="48" t="str">
        <f t="shared" si="1"/>
        <v/>
      </c>
      <c r="I389" s="44" t="str">
        <f>IF(A389="","",IFERROR(SUMIF(Purchases!$D:$D,A389,Purchases!$I:$I)/D389,0))</f>
        <v/>
      </c>
      <c r="J389" s="44" t="str">
        <f t="shared" si="2"/>
        <v/>
      </c>
      <c r="K389" s="30" t="str">
        <f>IF($A389="","",IFERROR(VALUE(SUBSTITUTE(SUBSTITUTE(SUBSTITUTE(VLOOKUP($A389,Inventory!$O$5:$P$604,2,FALSE),"Tk","")," ",""),",","")),""))</f>
        <v/>
      </c>
      <c r="L389" s="58" t="str">
        <f t="shared" si="3"/>
        <v/>
      </c>
      <c r="M389" s="58" t="str">
        <f t="shared" si="4"/>
        <v/>
      </c>
      <c r="O389" s="59" t="str">
        <f t="shared" si="5"/>
        <v/>
      </c>
      <c r="P389" s="52"/>
    </row>
    <row r="390" ht="15.75" customHeight="1">
      <c r="A390" s="29" t="str">
        <f t="array" ref="A390">IFERROR(INDEX(Purchases!$D$5:$D$1004,MATCH(ROW()-4,Purchases!$L$5:$L$1004,0)),"")</f>
        <v/>
      </c>
      <c r="B390" s="48" t="str">
        <f>IFERROR(VLOOKUP(A390,Purchases!$D:$E,2,FALSE),"")</f>
        <v/>
      </c>
      <c r="C390" s="48" t="str">
        <f>IFERROR(VLOOKUP(A390,Purchases!$D:$F,3,FALSE),"")</f>
        <v/>
      </c>
      <c r="D390" s="48" t="str">
        <f>IF(A390="","",SUMIF(Purchases!$D:$D,A390,Purchases!$K:$K))</f>
        <v/>
      </c>
      <c r="E390" s="48" t="str">
        <f>IF(A390="","",SUMIFS(Sales!$H:$H,Sales!$F:$F,A390,Sales!$B:$B,"&lt;&gt;Return"))</f>
        <v/>
      </c>
      <c r="F390" s="48" t="str">
        <f>IF(A390="","",SUMIFS(Sales!$H:$H,Sales!$F:$F,A390,Sales!$B:$B,"Return"))</f>
        <v/>
      </c>
      <c r="G390" s="48" t="str">
        <f>IF($A390="","",SUMIF('Shop Ledger'!$C:$C,$A390,'Shop Ledger'!$F:$F))</f>
        <v/>
      </c>
      <c r="H390" s="48" t="str">
        <f t="shared" si="1"/>
        <v/>
      </c>
      <c r="I390" s="44" t="str">
        <f>IF(A390="","",IFERROR(SUMIF(Purchases!$D:$D,A390,Purchases!$I:$I)/D390,0))</f>
        <v/>
      </c>
      <c r="J390" s="44" t="str">
        <f t="shared" si="2"/>
        <v/>
      </c>
      <c r="K390" s="30" t="str">
        <f>IF($A390="","",IFERROR(VALUE(SUBSTITUTE(SUBSTITUTE(SUBSTITUTE(VLOOKUP($A390,Inventory!$O$5:$P$604,2,FALSE),"Tk","")," ",""),",","")),""))</f>
        <v/>
      </c>
      <c r="L390" s="58" t="str">
        <f t="shared" si="3"/>
        <v/>
      </c>
      <c r="M390" s="58" t="str">
        <f t="shared" si="4"/>
        <v/>
      </c>
      <c r="O390" s="59" t="str">
        <f t="shared" si="5"/>
        <v/>
      </c>
      <c r="P390" s="52"/>
    </row>
    <row r="391" ht="15.75" customHeight="1">
      <c r="A391" s="29" t="str">
        <f t="array" ref="A391">IFERROR(INDEX(Purchases!$D$5:$D$1004,MATCH(ROW()-4,Purchases!$L$5:$L$1004,0)),"")</f>
        <v/>
      </c>
      <c r="B391" s="48" t="str">
        <f>IFERROR(VLOOKUP(A391,Purchases!$D:$E,2,FALSE),"")</f>
        <v/>
      </c>
      <c r="C391" s="48" t="str">
        <f>IFERROR(VLOOKUP(A391,Purchases!$D:$F,3,FALSE),"")</f>
        <v/>
      </c>
      <c r="D391" s="48" t="str">
        <f>IF(A391="","",SUMIF(Purchases!$D:$D,A391,Purchases!$K:$K))</f>
        <v/>
      </c>
      <c r="E391" s="48" t="str">
        <f>IF(A391="","",SUMIFS(Sales!$H:$H,Sales!$F:$F,A391,Sales!$B:$B,"&lt;&gt;Return"))</f>
        <v/>
      </c>
      <c r="F391" s="48" t="str">
        <f>IF(A391="","",SUMIFS(Sales!$H:$H,Sales!$F:$F,A391,Sales!$B:$B,"Return"))</f>
        <v/>
      </c>
      <c r="G391" s="48" t="str">
        <f>IF($A391="","",SUMIF('Shop Ledger'!$C:$C,$A391,'Shop Ledger'!$F:$F))</f>
        <v/>
      </c>
      <c r="H391" s="48" t="str">
        <f t="shared" si="1"/>
        <v/>
      </c>
      <c r="I391" s="44" t="str">
        <f>IF(A391="","",IFERROR(SUMIF(Purchases!$D:$D,A391,Purchases!$I:$I)/D391,0))</f>
        <v/>
      </c>
      <c r="J391" s="44" t="str">
        <f t="shared" si="2"/>
        <v/>
      </c>
      <c r="K391" s="30" t="str">
        <f>IF($A391="","",IFERROR(VALUE(SUBSTITUTE(SUBSTITUTE(SUBSTITUTE(VLOOKUP($A391,Inventory!$O$5:$P$604,2,FALSE),"Tk","")," ",""),",","")),""))</f>
        <v/>
      </c>
      <c r="L391" s="58" t="str">
        <f t="shared" si="3"/>
        <v/>
      </c>
      <c r="M391" s="58" t="str">
        <f t="shared" si="4"/>
        <v/>
      </c>
      <c r="O391" s="59" t="str">
        <f t="shared" si="5"/>
        <v/>
      </c>
      <c r="P391" s="52"/>
    </row>
    <row r="392" ht="15.75" customHeight="1">
      <c r="A392" s="29" t="str">
        <f t="array" ref="A392">IFERROR(INDEX(Purchases!$D$5:$D$1004,MATCH(ROW()-4,Purchases!$L$5:$L$1004,0)),"")</f>
        <v/>
      </c>
      <c r="B392" s="48" t="str">
        <f>IFERROR(VLOOKUP(A392,Purchases!$D:$E,2,FALSE),"")</f>
        <v/>
      </c>
      <c r="C392" s="48" t="str">
        <f>IFERROR(VLOOKUP(A392,Purchases!$D:$F,3,FALSE),"")</f>
        <v/>
      </c>
      <c r="D392" s="48" t="str">
        <f>IF(A392="","",SUMIF(Purchases!$D:$D,A392,Purchases!$K:$K))</f>
        <v/>
      </c>
      <c r="E392" s="48" t="str">
        <f>IF(A392="","",SUMIFS(Sales!$H:$H,Sales!$F:$F,A392,Sales!$B:$B,"&lt;&gt;Return"))</f>
        <v/>
      </c>
      <c r="F392" s="48" t="str">
        <f>IF(A392="","",SUMIFS(Sales!$H:$H,Sales!$F:$F,A392,Sales!$B:$B,"Return"))</f>
        <v/>
      </c>
      <c r="G392" s="48" t="str">
        <f>IF($A392="","",SUMIF('Shop Ledger'!$C:$C,$A392,'Shop Ledger'!$F:$F))</f>
        <v/>
      </c>
      <c r="H392" s="48" t="str">
        <f t="shared" si="1"/>
        <v/>
      </c>
      <c r="I392" s="44" t="str">
        <f>IF(A392="","",IFERROR(SUMIF(Purchases!$D:$D,A392,Purchases!$I:$I)/D392,0))</f>
        <v/>
      </c>
      <c r="J392" s="44" t="str">
        <f t="shared" si="2"/>
        <v/>
      </c>
      <c r="K392" s="30" t="str">
        <f>IF($A392="","",IFERROR(VALUE(SUBSTITUTE(SUBSTITUTE(SUBSTITUTE(VLOOKUP($A392,Inventory!$O$5:$P$604,2,FALSE),"Tk","")," ",""),",","")),""))</f>
        <v/>
      </c>
      <c r="L392" s="58" t="str">
        <f t="shared" si="3"/>
        <v/>
      </c>
      <c r="M392" s="58" t="str">
        <f t="shared" si="4"/>
        <v/>
      </c>
      <c r="O392" s="59" t="str">
        <f t="shared" si="5"/>
        <v/>
      </c>
      <c r="P392" s="52"/>
    </row>
    <row r="393" ht="15.75" customHeight="1">
      <c r="A393" s="29" t="str">
        <f t="array" ref="A393">IFERROR(INDEX(Purchases!$D$5:$D$1004,MATCH(ROW()-4,Purchases!$L$5:$L$1004,0)),"")</f>
        <v/>
      </c>
      <c r="B393" s="48" t="str">
        <f>IFERROR(VLOOKUP(A393,Purchases!$D:$E,2,FALSE),"")</f>
        <v/>
      </c>
      <c r="C393" s="48" t="str">
        <f>IFERROR(VLOOKUP(A393,Purchases!$D:$F,3,FALSE),"")</f>
        <v/>
      </c>
      <c r="D393" s="48" t="str">
        <f>IF(A393="","",SUMIF(Purchases!$D:$D,A393,Purchases!$K:$K))</f>
        <v/>
      </c>
      <c r="E393" s="48" t="str">
        <f>IF(A393="","",SUMIFS(Sales!$H:$H,Sales!$F:$F,A393,Sales!$B:$B,"&lt;&gt;Return"))</f>
        <v/>
      </c>
      <c r="F393" s="48" t="str">
        <f>IF(A393="","",SUMIFS(Sales!$H:$H,Sales!$F:$F,A393,Sales!$B:$B,"Return"))</f>
        <v/>
      </c>
      <c r="G393" s="48" t="str">
        <f>IF($A393="","",SUMIF('Shop Ledger'!$C:$C,$A393,'Shop Ledger'!$F:$F))</f>
        <v/>
      </c>
      <c r="H393" s="48" t="str">
        <f t="shared" si="1"/>
        <v/>
      </c>
      <c r="I393" s="44" t="str">
        <f>IF(A393="","",IFERROR(SUMIF(Purchases!$D:$D,A393,Purchases!$I:$I)/D393,0))</f>
        <v/>
      </c>
      <c r="J393" s="44" t="str">
        <f t="shared" si="2"/>
        <v/>
      </c>
      <c r="K393" s="30" t="str">
        <f>IF($A393="","",IFERROR(VALUE(SUBSTITUTE(SUBSTITUTE(SUBSTITUTE(VLOOKUP($A393,Inventory!$O$5:$P$604,2,FALSE),"Tk","")," ",""),",","")),""))</f>
        <v/>
      </c>
      <c r="L393" s="58" t="str">
        <f t="shared" si="3"/>
        <v/>
      </c>
      <c r="M393" s="58" t="str">
        <f t="shared" si="4"/>
        <v/>
      </c>
      <c r="O393" s="59" t="str">
        <f t="shared" si="5"/>
        <v/>
      </c>
      <c r="P393" s="52"/>
    </row>
    <row r="394" ht="15.75" customHeight="1">
      <c r="A394" s="29" t="str">
        <f t="array" ref="A394">IFERROR(INDEX(Purchases!$D$5:$D$1004,MATCH(ROW()-4,Purchases!$L$5:$L$1004,0)),"")</f>
        <v/>
      </c>
      <c r="B394" s="48" t="str">
        <f>IFERROR(VLOOKUP(A394,Purchases!$D:$E,2,FALSE),"")</f>
        <v/>
      </c>
      <c r="C394" s="48" t="str">
        <f>IFERROR(VLOOKUP(A394,Purchases!$D:$F,3,FALSE),"")</f>
        <v/>
      </c>
      <c r="D394" s="48" t="str">
        <f>IF(A394="","",SUMIF(Purchases!$D:$D,A394,Purchases!$K:$K))</f>
        <v/>
      </c>
      <c r="E394" s="48" t="str">
        <f>IF(A394="","",SUMIFS(Sales!$H:$H,Sales!$F:$F,A394,Sales!$B:$B,"&lt;&gt;Return"))</f>
        <v/>
      </c>
      <c r="F394" s="48" t="str">
        <f>IF(A394="","",SUMIFS(Sales!$H:$H,Sales!$F:$F,A394,Sales!$B:$B,"Return"))</f>
        <v/>
      </c>
      <c r="G394" s="48" t="str">
        <f>IF($A394="","",SUMIF('Shop Ledger'!$C:$C,$A394,'Shop Ledger'!$F:$F))</f>
        <v/>
      </c>
      <c r="H394" s="48" t="str">
        <f t="shared" si="1"/>
        <v/>
      </c>
      <c r="I394" s="44" t="str">
        <f>IF(A394="","",IFERROR(SUMIF(Purchases!$D:$D,A394,Purchases!$I:$I)/D394,0))</f>
        <v/>
      </c>
      <c r="J394" s="44" t="str">
        <f t="shared" si="2"/>
        <v/>
      </c>
      <c r="K394" s="30" t="str">
        <f>IF($A394="","",IFERROR(VALUE(SUBSTITUTE(SUBSTITUTE(SUBSTITUTE(VLOOKUP($A394,Inventory!$O$5:$P$604,2,FALSE),"Tk","")," ",""),",","")),""))</f>
        <v/>
      </c>
      <c r="L394" s="58" t="str">
        <f t="shared" si="3"/>
        <v/>
      </c>
      <c r="M394" s="58" t="str">
        <f t="shared" si="4"/>
        <v/>
      </c>
      <c r="O394" s="59" t="str">
        <f t="shared" si="5"/>
        <v/>
      </c>
      <c r="P394" s="52"/>
    </row>
    <row r="395" ht="15.75" customHeight="1">
      <c r="A395" s="29" t="str">
        <f t="array" ref="A395">IFERROR(INDEX(Purchases!$D$5:$D$1004,MATCH(ROW()-4,Purchases!$L$5:$L$1004,0)),"")</f>
        <v/>
      </c>
      <c r="B395" s="48" t="str">
        <f>IFERROR(VLOOKUP(A395,Purchases!$D:$E,2,FALSE),"")</f>
        <v/>
      </c>
      <c r="C395" s="48" t="str">
        <f>IFERROR(VLOOKUP(A395,Purchases!$D:$F,3,FALSE),"")</f>
        <v/>
      </c>
      <c r="D395" s="48" t="str">
        <f>IF(A395="","",SUMIF(Purchases!$D:$D,A395,Purchases!$K:$K))</f>
        <v/>
      </c>
      <c r="E395" s="48" t="str">
        <f>IF(A395="","",SUMIFS(Sales!$H:$H,Sales!$F:$F,A395,Sales!$B:$B,"&lt;&gt;Return"))</f>
        <v/>
      </c>
      <c r="F395" s="48" t="str">
        <f>IF(A395="","",SUMIFS(Sales!$H:$H,Sales!$F:$F,A395,Sales!$B:$B,"Return"))</f>
        <v/>
      </c>
      <c r="G395" s="48" t="str">
        <f>IF($A395="","",SUMIF('Shop Ledger'!$C:$C,$A395,'Shop Ledger'!$F:$F))</f>
        <v/>
      </c>
      <c r="H395" s="48" t="str">
        <f t="shared" si="1"/>
        <v/>
      </c>
      <c r="I395" s="44" t="str">
        <f>IF(A395="","",IFERROR(SUMIF(Purchases!$D:$D,A395,Purchases!$I:$I)/D395,0))</f>
        <v/>
      </c>
      <c r="J395" s="44" t="str">
        <f t="shared" si="2"/>
        <v/>
      </c>
      <c r="K395" s="30" t="str">
        <f>IF($A395="","",IFERROR(VALUE(SUBSTITUTE(SUBSTITUTE(SUBSTITUTE(VLOOKUP($A395,Inventory!$O$5:$P$604,2,FALSE),"Tk","")," ",""),",","")),""))</f>
        <v/>
      </c>
      <c r="L395" s="58" t="str">
        <f t="shared" si="3"/>
        <v/>
      </c>
      <c r="M395" s="58" t="str">
        <f t="shared" si="4"/>
        <v/>
      </c>
      <c r="O395" s="59" t="str">
        <f t="shared" si="5"/>
        <v/>
      </c>
      <c r="P395" s="52"/>
    </row>
    <row r="396" ht="15.75" customHeight="1">
      <c r="A396" s="29" t="str">
        <f t="array" ref="A396">IFERROR(INDEX(Purchases!$D$5:$D$1004,MATCH(ROW()-4,Purchases!$L$5:$L$1004,0)),"")</f>
        <v/>
      </c>
      <c r="B396" s="48" t="str">
        <f>IFERROR(VLOOKUP(A396,Purchases!$D:$E,2,FALSE),"")</f>
        <v/>
      </c>
      <c r="C396" s="48" t="str">
        <f>IFERROR(VLOOKUP(A396,Purchases!$D:$F,3,FALSE),"")</f>
        <v/>
      </c>
      <c r="D396" s="48" t="str">
        <f>IF(A396="","",SUMIF(Purchases!$D:$D,A396,Purchases!$K:$K))</f>
        <v/>
      </c>
      <c r="E396" s="48" t="str">
        <f>IF(A396="","",SUMIFS(Sales!$H:$H,Sales!$F:$F,A396,Sales!$B:$B,"&lt;&gt;Return"))</f>
        <v/>
      </c>
      <c r="F396" s="48" t="str">
        <f>IF(A396="","",SUMIFS(Sales!$H:$H,Sales!$F:$F,A396,Sales!$B:$B,"Return"))</f>
        <v/>
      </c>
      <c r="G396" s="48" t="str">
        <f>IF($A396="","",SUMIF('Shop Ledger'!$C:$C,$A396,'Shop Ledger'!$F:$F))</f>
        <v/>
      </c>
      <c r="H396" s="48" t="str">
        <f t="shared" si="1"/>
        <v/>
      </c>
      <c r="I396" s="44" t="str">
        <f>IF(A396="","",IFERROR(SUMIF(Purchases!$D:$D,A396,Purchases!$I:$I)/D396,0))</f>
        <v/>
      </c>
      <c r="J396" s="44" t="str">
        <f t="shared" si="2"/>
        <v/>
      </c>
      <c r="K396" s="30" t="str">
        <f>IF($A396="","",IFERROR(VALUE(SUBSTITUTE(SUBSTITUTE(SUBSTITUTE(VLOOKUP($A396,Inventory!$O$5:$P$604,2,FALSE),"Tk","")," ",""),",","")),""))</f>
        <v/>
      </c>
      <c r="L396" s="58" t="str">
        <f t="shared" si="3"/>
        <v/>
      </c>
      <c r="M396" s="58" t="str">
        <f t="shared" si="4"/>
        <v/>
      </c>
      <c r="O396" s="59" t="str">
        <f t="shared" si="5"/>
        <v/>
      </c>
      <c r="P396" s="52"/>
    </row>
    <row r="397" ht="15.75" customHeight="1">
      <c r="A397" s="29" t="str">
        <f t="array" ref="A397">IFERROR(INDEX(Purchases!$D$5:$D$1004,MATCH(ROW()-4,Purchases!$L$5:$L$1004,0)),"")</f>
        <v/>
      </c>
      <c r="B397" s="48" t="str">
        <f>IFERROR(VLOOKUP(A397,Purchases!$D:$E,2,FALSE),"")</f>
        <v/>
      </c>
      <c r="C397" s="48" t="str">
        <f>IFERROR(VLOOKUP(A397,Purchases!$D:$F,3,FALSE),"")</f>
        <v/>
      </c>
      <c r="D397" s="48" t="str">
        <f>IF(A397="","",SUMIF(Purchases!$D:$D,A397,Purchases!$K:$K))</f>
        <v/>
      </c>
      <c r="E397" s="48" t="str">
        <f>IF(A397="","",SUMIFS(Sales!$H:$H,Sales!$F:$F,A397,Sales!$B:$B,"&lt;&gt;Return"))</f>
        <v/>
      </c>
      <c r="F397" s="48" t="str">
        <f>IF(A397="","",SUMIFS(Sales!$H:$H,Sales!$F:$F,A397,Sales!$B:$B,"Return"))</f>
        <v/>
      </c>
      <c r="G397" s="48" t="str">
        <f>IF($A397="","",SUMIF('Shop Ledger'!$C:$C,$A397,'Shop Ledger'!$F:$F))</f>
        <v/>
      </c>
      <c r="H397" s="48" t="str">
        <f t="shared" si="1"/>
        <v/>
      </c>
      <c r="I397" s="44" t="str">
        <f>IF(A397="","",IFERROR(SUMIF(Purchases!$D:$D,A397,Purchases!$I:$I)/D397,0))</f>
        <v/>
      </c>
      <c r="J397" s="44" t="str">
        <f t="shared" si="2"/>
        <v/>
      </c>
      <c r="K397" s="30" t="str">
        <f>IF($A397="","",IFERROR(VALUE(SUBSTITUTE(SUBSTITUTE(SUBSTITUTE(VLOOKUP($A397,Inventory!$O$5:$P$604,2,FALSE),"Tk","")," ",""),",","")),""))</f>
        <v/>
      </c>
      <c r="L397" s="58" t="str">
        <f t="shared" si="3"/>
        <v/>
      </c>
      <c r="M397" s="58" t="str">
        <f t="shared" si="4"/>
        <v/>
      </c>
      <c r="O397" s="59" t="str">
        <f t="shared" si="5"/>
        <v/>
      </c>
      <c r="P397" s="52"/>
    </row>
    <row r="398" ht="15.75" customHeight="1">
      <c r="A398" s="29" t="str">
        <f t="array" ref="A398">IFERROR(INDEX(Purchases!$D$5:$D$1004,MATCH(ROW()-4,Purchases!$L$5:$L$1004,0)),"")</f>
        <v/>
      </c>
      <c r="B398" s="48" t="str">
        <f>IFERROR(VLOOKUP(A398,Purchases!$D:$E,2,FALSE),"")</f>
        <v/>
      </c>
      <c r="C398" s="48" t="str">
        <f>IFERROR(VLOOKUP(A398,Purchases!$D:$F,3,FALSE),"")</f>
        <v/>
      </c>
      <c r="D398" s="48" t="str">
        <f>IF(A398="","",SUMIF(Purchases!$D:$D,A398,Purchases!$K:$K))</f>
        <v/>
      </c>
      <c r="E398" s="48" t="str">
        <f>IF(A398="","",SUMIFS(Sales!$H:$H,Sales!$F:$F,A398,Sales!$B:$B,"&lt;&gt;Return"))</f>
        <v/>
      </c>
      <c r="F398" s="48" t="str">
        <f>IF(A398="","",SUMIFS(Sales!$H:$H,Sales!$F:$F,A398,Sales!$B:$B,"Return"))</f>
        <v/>
      </c>
      <c r="G398" s="48" t="str">
        <f>IF($A398="","",SUMIF('Shop Ledger'!$C:$C,$A398,'Shop Ledger'!$F:$F))</f>
        <v/>
      </c>
      <c r="H398" s="48" t="str">
        <f t="shared" si="1"/>
        <v/>
      </c>
      <c r="I398" s="44" t="str">
        <f>IF(A398="","",IFERROR(SUMIF(Purchases!$D:$D,A398,Purchases!$I:$I)/D398,0))</f>
        <v/>
      </c>
      <c r="J398" s="44" t="str">
        <f t="shared" si="2"/>
        <v/>
      </c>
      <c r="K398" s="30" t="str">
        <f>IF($A398="","",IFERROR(VALUE(SUBSTITUTE(SUBSTITUTE(SUBSTITUTE(VLOOKUP($A398,Inventory!$O$5:$P$604,2,FALSE),"Tk","")," ",""),",","")),""))</f>
        <v/>
      </c>
      <c r="L398" s="58" t="str">
        <f t="shared" si="3"/>
        <v/>
      </c>
      <c r="M398" s="58" t="str">
        <f t="shared" si="4"/>
        <v/>
      </c>
      <c r="O398" s="59" t="str">
        <f t="shared" si="5"/>
        <v/>
      </c>
      <c r="P398" s="52"/>
    </row>
    <row r="399" ht="15.75" customHeight="1">
      <c r="A399" s="29" t="str">
        <f t="array" ref="A399">IFERROR(INDEX(Purchases!$D$5:$D$1004,MATCH(ROW()-4,Purchases!$L$5:$L$1004,0)),"")</f>
        <v/>
      </c>
      <c r="B399" s="48" t="str">
        <f>IFERROR(VLOOKUP(A399,Purchases!$D:$E,2,FALSE),"")</f>
        <v/>
      </c>
      <c r="C399" s="48" t="str">
        <f>IFERROR(VLOOKUP(A399,Purchases!$D:$F,3,FALSE),"")</f>
        <v/>
      </c>
      <c r="D399" s="48" t="str">
        <f>IF(A399="","",SUMIF(Purchases!$D:$D,A399,Purchases!$K:$K))</f>
        <v/>
      </c>
      <c r="E399" s="48" t="str">
        <f>IF(A399="","",SUMIFS(Sales!$H:$H,Sales!$F:$F,A399,Sales!$B:$B,"&lt;&gt;Return"))</f>
        <v/>
      </c>
      <c r="F399" s="48" t="str">
        <f>IF(A399="","",SUMIFS(Sales!$H:$H,Sales!$F:$F,A399,Sales!$B:$B,"Return"))</f>
        <v/>
      </c>
      <c r="G399" s="48" t="str">
        <f>IF($A399="","",SUMIF('Shop Ledger'!$C:$C,$A399,'Shop Ledger'!$F:$F))</f>
        <v/>
      </c>
      <c r="H399" s="48" t="str">
        <f t="shared" si="1"/>
        <v/>
      </c>
      <c r="I399" s="44" t="str">
        <f>IF(A399="","",IFERROR(SUMIF(Purchases!$D:$D,A399,Purchases!$I:$I)/D399,0))</f>
        <v/>
      </c>
      <c r="J399" s="44" t="str">
        <f t="shared" si="2"/>
        <v/>
      </c>
      <c r="K399" s="30" t="str">
        <f>IF($A399="","",IFERROR(VALUE(SUBSTITUTE(SUBSTITUTE(SUBSTITUTE(VLOOKUP($A399,Inventory!$O$5:$P$604,2,FALSE),"Tk","")," ",""),",","")),""))</f>
        <v/>
      </c>
      <c r="L399" s="58" t="str">
        <f t="shared" si="3"/>
        <v/>
      </c>
      <c r="M399" s="58" t="str">
        <f t="shared" si="4"/>
        <v/>
      </c>
      <c r="O399" s="59" t="str">
        <f t="shared" si="5"/>
        <v/>
      </c>
      <c r="P399" s="52"/>
    </row>
    <row r="400" ht="15.75" customHeight="1">
      <c r="A400" s="29" t="str">
        <f t="array" ref="A400">IFERROR(INDEX(Purchases!$D$5:$D$1004,MATCH(ROW()-4,Purchases!$L$5:$L$1004,0)),"")</f>
        <v/>
      </c>
      <c r="B400" s="48" t="str">
        <f>IFERROR(VLOOKUP(A400,Purchases!$D:$E,2,FALSE),"")</f>
        <v/>
      </c>
      <c r="C400" s="48" t="str">
        <f>IFERROR(VLOOKUP(A400,Purchases!$D:$F,3,FALSE),"")</f>
        <v/>
      </c>
      <c r="D400" s="48" t="str">
        <f>IF(A400="","",SUMIF(Purchases!$D:$D,A400,Purchases!$K:$K))</f>
        <v/>
      </c>
      <c r="E400" s="48" t="str">
        <f>IF(A400="","",SUMIFS(Sales!$H:$H,Sales!$F:$F,A400,Sales!$B:$B,"&lt;&gt;Return"))</f>
        <v/>
      </c>
      <c r="F400" s="48" t="str">
        <f>IF(A400="","",SUMIFS(Sales!$H:$H,Sales!$F:$F,A400,Sales!$B:$B,"Return"))</f>
        <v/>
      </c>
      <c r="G400" s="48" t="str">
        <f>IF($A400="","",SUMIF('Shop Ledger'!$C:$C,$A400,'Shop Ledger'!$F:$F))</f>
        <v/>
      </c>
      <c r="H400" s="48" t="str">
        <f t="shared" si="1"/>
        <v/>
      </c>
      <c r="I400" s="44" t="str">
        <f>IF(A400="","",IFERROR(SUMIF(Purchases!$D:$D,A400,Purchases!$I:$I)/D400,0))</f>
        <v/>
      </c>
      <c r="J400" s="44" t="str">
        <f t="shared" si="2"/>
        <v/>
      </c>
      <c r="K400" s="30" t="str">
        <f>IF($A400="","",IFERROR(VALUE(SUBSTITUTE(SUBSTITUTE(SUBSTITUTE(VLOOKUP($A400,Inventory!$O$5:$P$604,2,FALSE),"Tk","")," ",""),",","")),""))</f>
        <v/>
      </c>
      <c r="L400" s="58" t="str">
        <f t="shared" si="3"/>
        <v/>
      </c>
      <c r="M400" s="58" t="str">
        <f t="shared" si="4"/>
        <v/>
      </c>
      <c r="O400" s="59" t="str">
        <f t="shared" si="5"/>
        <v/>
      </c>
      <c r="P400" s="52"/>
    </row>
    <row r="401" ht="15.75" customHeight="1">
      <c r="A401" s="29" t="str">
        <f t="array" ref="A401">IFERROR(INDEX(Purchases!$D$5:$D$1004,MATCH(ROW()-4,Purchases!$L$5:$L$1004,0)),"")</f>
        <v/>
      </c>
      <c r="B401" s="48" t="str">
        <f>IFERROR(VLOOKUP(A401,Purchases!$D:$E,2,FALSE),"")</f>
        <v/>
      </c>
      <c r="C401" s="48" t="str">
        <f>IFERROR(VLOOKUP(A401,Purchases!$D:$F,3,FALSE),"")</f>
        <v/>
      </c>
      <c r="D401" s="48" t="str">
        <f>IF(A401="","",SUMIF(Purchases!$D:$D,A401,Purchases!$K:$K))</f>
        <v/>
      </c>
      <c r="E401" s="48" t="str">
        <f>IF(A401="","",SUMIFS(Sales!$H:$H,Sales!$F:$F,A401,Sales!$B:$B,"&lt;&gt;Return"))</f>
        <v/>
      </c>
      <c r="F401" s="48" t="str">
        <f>IF(A401="","",SUMIFS(Sales!$H:$H,Sales!$F:$F,A401,Sales!$B:$B,"Return"))</f>
        <v/>
      </c>
      <c r="G401" s="48" t="str">
        <f>IF($A401="","",SUMIF('Shop Ledger'!$C:$C,$A401,'Shop Ledger'!$F:$F))</f>
        <v/>
      </c>
      <c r="H401" s="48" t="str">
        <f t="shared" si="1"/>
        <v/>
      </c>
      <c r="I401" s="44" t="str">
        <f>IF(A401="","",IFERROR(SUMIF(Purchases!$D:$D,A401,Purchases!$I:$I)/D401,0))</f>
        <v/>
      </c>
      <c r="J401" s="44" t="str">
        <f t="shared" si="2"/>
        <v/>
      </c>
      <c r="K401" s="30" t="str">
        <f>IF($A401="","",IFERROR(VALUE(SUBSTITUTE(SUBSTITUTE(SUBSTITUTE(VLOOKUP($A401,Inventory!$O$5:$P$604,2,FALSE),"Tk","")," ",""),",","")),""))</f>
        <v/>
      </c>
      <c r="L401" s="58" t="str">
        <f t="shared" si="3"/>
        <v/>
      </c>
      <c r="M401" s="58" t="str">
        <f t="shared" si="4"/>
        <v/>
      </c>
      <c r="O401" s="59" t="str">
        <f t="shared" si="5"/>
        <v/>
      </c>
      <c r="P401" s="52"/>
    </row>
    <row r="402" ht="15.75" customHeight="1">
      <c r="A402" s="29" t="str">
        <f t="array" ref="A402">IFERROR(INDEX(Purchases!$D$5:$D$1004,MATCH(ROW()-4,Purchases!$L$5:$L$1004,0)),"")</f>
        <v/>
      </c>
      <c r="B402" s="48" t="str">
        <f>IFERROR(VLOOKUP(A402,Purchases!$D:$E,2,FALSE),"")</f>
        <v/>
      </c>
      <c r="C402" s="48" t="str">
        <f>IFERROR(VLOOKUP(A402,Purchases!$D:$F,3,FALSE),"")</f>
        <v/>
      </c>
      <c r="D402" s="48" t="str">
        <f>IF(A402="","",SUMIF(Purchases!$D:$D,A402,Purchases!$K:$K))</f>
        <v/>
      </c>
      <c r="E402" s="48" t="str">
        <f>IF(A402="","",SUMIFS(Sales!$H:$H,Sales!$F:$F,A402,Sales!$B:$B,"&lt;&gt;Return"))</f>
        <v/>
      </c>
      <c r="F402" s="48" t="str">
        <f>IF(A402="","",SUMIFS(Sales!$H:$H,Sales!$F:$F,A402,Sales!$B:$B,"Return"))</f>
        <v/>
      </c>
      <c r="G402" s="48" t="str">
        <f>IF($A402="","",SUMIF('Shop Ledger'!$C:$C,$A402,'Shop Ledger'!$F:$F))</f>
        <v/>
      </c>
      <c r="H402" s="48" t="str">
        <f t="shared" si="1"/>
        <v/>
      </c>
      <c r="I402" s="44" t="str">
        <f>IF(A402="","",IFERROR(SUMIF(Purchases!$D:$D,A402,Purchases!$I:$I)/D402,0))</f>
        <v/>
      </c>
      <c r="J402" s="44" t="str">
        <f t="shared" si="2"/>
        <v/>
      </c>
      <c r="K402" s="30" t="str">
        <f>IF($A402="","",IFERROR(VALUE(SUBSTITUTE(SUBSTITUTE(SUBSTITUTE(VLOOKUP($A402,Inventory!$O$5:$P$604,2,FALSE),"Tk","")," ",""),",","")),""))</f>
        <v/>
      </c>
      <c r="L402" s="58" t="str">
        <f t="shared" si="3"/>
        <v/>
      </c>
      <c r="M402" s="58" t="str">
        <f t="shared" si="4"/>
        <v/>
      </c>
      <c r="O402" s="59" t="str">
        <f t="shared" si="5"/>
        <v/>
      </c>
      <c r="P402" s="52"/>
    </row>
    <row r="403" ht="15.75" customHeight="1">
      <c r="A403" s="29" t="str">
        <f t="array" ref="A403">IFERROR(INDEX(Purchases!$D$5:$D$1004,MATCH(ROW()-4,Purchases!$L$5:$L$1004,0)),"")</f>
        <v/>
      </c>
      <c r="B403" s="48" t="str">
        <f>IFERROR(VLOOKUP(A403,Purchases!$D:$E,2,FALSE),"")</f>
        <v/>
      </c>
      <c r="C403" s="48" t="str">
        <f>IFERROR(VLOOKUP(A403,Purchases!$D:$F,3,FALSE),"")</f>
        <v/>
      </c>
      <c r="D403" s="48" t="str">
        <f>IF(A403="","",SUMIF(Purchases!$D:$D,A403,Purchases!$K:$K))</f>
        <v/>
      </c>
      <c r="E403" s="48" t="str">
        <f>IF(A403="","",SUMIFS(Sales!$H:$H,Sales!$F:$F,A403,Sales!$B:$B,"&lt;&gt;Return"))</f>
        <v/>
      </c>
      <c r="F403" s="48" t="str">
        <f>IF(A403="","",SUMIFS(Sales!$H:$H,Sales!$F:$F,A403,Sales!$B:$B,"Return"))</f>
        <v/>
      </c>
      <c r="G403" s="48" t="str">
        <f>IF($A403="","",SUMIF('Shop Ledger'!$C:$C,$A403,'Shop Ledger'!$F:$F))</f>
        <v/>
      </c>
      <c r="H403" s="48" t="str">
        <f t="shared" si="1"/>
        <v/>
      </c>
      <c r="I403" s="44" t="str">
        <f>IF(A403="","",IFERROR(SUMIF(Purchases!$D:$D,A403,Purchases!$I:$I)/D403,0))</f>
        <v/>
      </c>
      <c r="J403" s="44" t="str">
        <f t="shared" si="2"/>
        <v/>
      </c>
      <c r="K403" s="30" t="str">
        <f>IF($A403="","",IFERROR(VALUE(SUBSTITUTE(SUBSTITUTE(SUBSTITUTE(VLOOKUP($A403,Inventory!$O$5:$P$604,2,FALSE),"Tk","")," ",""),",","")),""))</f>
        <v/>
      </c>
      <c r="L403" s="58" t="str">
        <f t="shared" si="3"/>
        <v/>
      </c>
      <c r="M403" s="58" t="str">
        <f t="shared" si="4"/>
        <v/>
      </c>
      <c r="O403" s="59" t="str">
        <f t="shared" si="5"/>
        <v/>
      </c>
      <c r="P403" s="52"/>
    </row>
    <row r="404" ht="15.75" customHeight="1">
      <c r="A404" s="29" t="str">
        <f t="array" ref="A404">IFERROR(INDEX(Purchases!$D$5:$D$1004,MATCH(ROW()-4,Purchases!$L$5:$L$1004,0)),"")</f>
        <v/>
      </c>
      <c r="B404" s="48" t="str">
        <f>IFERROR(VLOOKUP(A404,Purchases!$D:$E,2,FALSE),"")</f>
        <v/>
      </c>
      <c r="C404" s="48" t="str">
        <f>IFERROR(VLOOKUP(A404,Purchases!$D:$F,3,FALSE),"")</f>
        <v/>
      </c>
      <c r="D404" s="48" t="str">
        <f>IF(A404="","",SUMIF(Purchases!$D:$D,A404,Purchases!$K:$K))</f>
        <v/>
      </c>
      <c r="E404" s="48" t="str">
        <f>IF(A404="","",SUMIFS(Sales!$H:$H,Sales!$F:$F,A404,Sales!$B:$B,"&lt;&gt;Return"))</f>
        <v/>
      </c>
      <c r="F404" s="48" t="str">
        <f>IF(A404="","",SUMIFS(Sales!$H:$H,Sales!$F:$F,A404,Sales!$B:$B,"Return"))</f>
        <v/>
      </c>
      <c r="G404" s="48" t="str">
        <f>IF($A404="","",SUMIF('Shop Ledger'!$C:$C,$A404,'Shop Ledger'!$F:$F))</f>
        <v/>
      </c>
      <c r="H404" s="48" t="str">
        <f t="shared" si="1"/>
        <v/>
      </c>
      <c r="I404" s="44" t="str">
        <f>IF(A404="","",IFERROR(SUMIF(Purchases!$D:$D,A404,Purchases!$I:$I)/D404,0))</f>
        <v/>
      </c>
      <c r="J404" s="44" t="str">
        <f t="shared" si="2"/>
        <v/>
      </c>
      <c r="K404" s="30" t="str">
        <f>IF($A404="","",IFERROR(VALUE(SUBSTITUTE(SUBSTITUTE(SUBSTITUTE(VLOOKUP($A404,Inventory!$O$5:$P$604,2,FALSE),"Tk","")," ",""),",","")),""))</f>
        <v/>
      </c>
      <c r="L404" s="58" t="str">
        <f t="shared" si="3"/>
        <v/>
      </c>
      <c r="M404" s="58" t="str">
        <f t="shared" si="4"/>
        <v/>
      </c>
      <c r="O404" s="59" t="str">
        <f t="shared" si="5"/>
        <v/>
      </c>
      <c r="P404" s="52"/>
    </row>
    <row r="405" ht="15.75" customHeight="1">
      <c r="A405" s="29" t="str">
        <f t="array" ref="A405">IFERROR(INDEX(Purchases!$D$5:$D$1004,MATCH(ROW()-4,Purchases!$L$5:$L$1004,0)),"")</f>
        <v/>
      </c>
      <c r="B405" s="48" t="str">
        <f>IFERROR(VLOOKUP(A405,Purchases!$D:$E,2,FALSE),"")</f>
        <v/>
      </c>
      <c r="C405" s="48" t="str">
        <f>IFERROR(VLOOKUP(A405,Purchases!$D:$F,3,FALSE),"")</f>
        <v/>
      </c>
      <c r="D405" s="48" t="str">
        <f>IF(A405="","",SUMIF(Purchases!$D:$D,A405,Purchases!$K:$K))</f>
        <v/>
      </c>
      <c r="E405" s="48" t="str">
        <f>IF(A405="","",SUMIFS(Sales!$H:$H,Sales!$F:$F,A405,Sales!$B:$B,"&lt;&gt;Return"))</f>
        <v/>
      </c>
      <c r="F405" s="48" t="str">
        <f>IF(A405="","",SUMIFS(Sales!$H:$H,Sales!$F:$F,A405,Sales!$B:$B,"Return"))</f>
        <v/>
      </c>
      <c r="G405" s="48" t="str">
        <f>IF($A405="","",SUMIF('Shop Ledger'!$C:$C,$A405,'Shop Ledger'!$F:$F))</f>
        <v/>
      </c>
      <c r="H405" s="48" t="str">
        <f t="shared" si="1"/>
        <v/>
      </c>
      <c r="I405" s="44" t="str">
        <f>IF(A405="","",IFERROR(SUMIF(Purchases!$D:$D,A405,Purchases!$I:$I)/D405,0))</f>
        <v/>
      </c>
      <c r="J405" s="44" t="str">
        <f t="shared" si="2"/>
        <v/>
      </c>
      <c r="K405" s="30" t="str">
        <f>IF($A405="","",IFERROR(VALUE(SUBSTITUTE(SUBSTITUTE(SUBSTITUTE(VLOOKUP($A405,Inventory!$O$5:$P$604,2,FALSE),"Tk","")," ",""),",","")),""))</f>
        <v/>
      </c>
      <c r="L405" s="58" t="str">
        <f t="shared" si="3"/>
        <v/>
      </c>
      <c r="M405" s="58" t="str">
        <f t="shared" si="4"/>
        <v/>
      </c>
      <c r="O405" s="59" t="str">
        <f t="shared" si="5"/>
        <v/>
      </c>
      <c r="P405" s="52"/>
    </row>
    <row r="406" ht="15.75" customHeight="1">
      <c r="A406" s="29" t="str">
        <f t="array" ref="A406">IFERROR(INDEX(Purchases!$D$5:$D$1004,MATCH(ROW()-4,Purchases!$L$5:$L$1004,0)),"")</f>
        <v/>
      </c>
      <c r="B406" s="48" t="str">
        <f>IFERROR(VLOOKUP(A406,Purchases!$D:$E,2,FALSE),"")</f>
        <v/>
      </c>
      <c r="C406" s="48" t="str">
        <f>IFERROR(VLOOKUP(A406,Purchases!$D:$F,3,FALSE),"")</f>
        <v/>
      </c>
      <c r="D406" s="48" t="str">
        <f>IF(A406="","",SUMIF(Purchases!$D:$D,A406,Purchases!$K:$K))</f>
        <v/>
      </c>
      <c r="E406" s="48" t="str">
        <f>IF(A406="","",SUMIFS(Sales!$H:$H,Sales!$F:$F,A406,Sales!$B:$B,"&lt;&gt;Return"))</f>
        <v/>
      </c>
      <c r="F406" s="48" t="str">
        <f>IF(A406="","",SUMIFS(Sales!$H:$H,Sales!$F:$F,A406,Sales!$B:$B,"Return"))</f>
        <v/>
      </c>
      <c r="G406" s="48" t="str">
        <f>IF($A406="","",SUMIF('Shop Ledger'!$C:$C,$A406,'Shop Ledger'!$F:$F))</f>
        <v/>
      </c>
      <c r="H406" s="48" t="str">
        <f t="shared" si="1"/>
        <v/>
      </c>
      <c r="I406" s="44" t="str">
        <f>IF(A406="","",IFERROR(SUMIF(Purchases!$D:$D,A406,Purchases!$I:$I)/D406,0))</f>
        <v/>
      </c>
      <c r="J406" s="44" t="str">
        <f t="shared" si="2"/>
        <v/>
      </c>
      <c r="K406" s="30" t="str">
        <f>IF($A406="","",IFERROR(VALUE(SUBSTITUTE(SUBSTITUTE(SUBSTITUTE(VLOOKUP($A406,Inventory!$O$5:$P$604,2,FALSE),"Tk","")," ",""),",","")),""))</f>
        <v/>
      </c>
      <c r="L406" s="58" t="str">
        <f t="shared" si="3"/>
        <v/>
      </c>
      <c r="M406" s="58" t="str">
        <f t="shared" si="4"/>
        <v/>
      </c>
      <c r="O406" s="59" t="str">
        <f t="shared" si="5"/>
        <v/>
      </c>
      <c r="P406" s="52"/>
    </row>
    <row r="407" ht="15.75" customHeight="1">
      <c r="A407" s="29" t="str">
        <f t="array" ref="A407">IFERROR(INDEX(Purchases!$D$5:$D$1004,MATCH(ROW()-4,Purchases!$L$5:$L$1004,0)),"")</f>
        <v/>
      </c>
      <c r="B407" s="48" t="str">
        <f>IFERROR(VLOOKUP(A407,Purchases!$D:$E,2,FALSE),"")</f>
        <v/>
      </c>
      <c r="C407" s="48" t="str">
        <f>IFERROR(VLOOKUP(A407,Purchases!$D:$F,3,FALSE),"")</f>
        <v/>
      </c>
      <c r="D407" s="48" t="str">
        <f>IF(A407="","",SUMIF(Purchases!$D:$D,A407,Purchases!$K:$K))</f>
        <v/>
      </c>
      <c r="E407" s="48" t="str">
        <f>IF(A407="","",SUMIFS(Sales!$H:$H,Sales!$F:$F,A407,Sales!$B:$B,"&lt;&gt;Return"))</f>
        <v/>
      </c>
      <c r="F407" s="48" t="str">
        <f>IF(A407="","",SUMIFS(Sales!$H:$H,Sales!$F:$F,A407,Sales!$B:$B,"Return"))</f>
        <v/>
      </c>
      <c r="G407" s="48" t="str">
        <f>IF($A407="","",SUMIF('Shop Ledger'!$C:$C,$A407,'Shop Ledger'!$F:$F))</f>
        <v/>
      </c>
      <c r="H407" s="48" t="str">
        <f t="shared" si="1"/>
        <v/>
      </c>
      <c r="I407" s="44" t="str">
        <f>IF(A407="","",IFERROR(SUMIF(Purchases!$D:$D,A407,Purchases!$I:$I)/D407,0))</f>
        <v/>
      </c>
      <c r="J407" s="44" t="str">
        <f t="shared" si="2"/>
        <v/>
      </c>
      <c r="K407" s="30" t="str">
        <f>IF($A407="","",IFERROR(VALUE(SUBSTITUTE(SUBSTITUTE(SUBSTITUTE(VLOOKUP($A407,Inventory!$O$5:$P$604,2,FALSE),"Tk","")," ",""),",","")),""))</f>
        <v/>
      </c>
      <c r="L407" s="58" t="str">
        <f t="shared" si="3"/>
        <v/>
      </c>
      <c r="M407" s="58" t="str">
        <f t="shared" si="4"/>
        <v/>
      </c>
      <c r="O407" s="59" t="str">
        <f t="shared" si="5"/>
        <v/>
      </c>
      <c r="P407" s="52"/>
    </row>
    <row r="408" ht="15.75" customHeight="1">
      <c r="A408" s="29" t="str">
        <f t="array" ref="A408">IFERROR(INDEX(Purchases!$D$5:$D$1004,MATCH(ROW()-4,Purchases!$L$5:$L$1004,0)),"")</f>
        <v/>
      </c>
      <c r="B408" s="48" t="str">
        <f>IFERROR(VLOOKUP(A408,Purchases!$D:$E,2,FALSE),"")</f>
        <v/>
      </c>
      <c r="C408" s="48" t="str">
        <f>IFERROR(VLOOKUP(A408,Purchases!$D:$F,3,FALSE),"")</f>
        <v/>
      </c>
      <c r="D408" s="48" t="str">
        <f>IF(A408="","",SUMIF(Purchases!$D:$D,A408,Purchases!$K:$K))</f>
        <v/>
      </c>
      <c r="E408" s="48" t="str">
        <f>IF(A408="","",SUMIFS(Sales!$H:$H,Sales!$F:$F,A408,Sales!$B:$B,"&lt;&gt;Return"))</f>
        <v/>
      </c>
      <c r="F408" s="48" t="str">
        <f>IF(A408="","",SUMIFS(Sales!$H:$H,Sales!$F:$F,A408,Sales!$B:$B,"Return"))</f>
        <v/>
      </c>
      <c r="G408" s="48" t="str">
        <f>IF($A408="","",SUMIF('Shop Ledger'!$C:$C,$A408,'Shop Ledger'!$F:$F))</f>
        <v/>
      </c>
      <c r="H408" s="48" t="str">
        <f t="shared" si="1"/>
        <v/>
      </c>
      <c r="I408" s="44" t="str">
        <f>IF(A408="","",IFERROR(SUMIF(Purchases!$D:$D,A408,Purchases!$I:$I)/D408,0))</f>
        <v/>
      </c>
      <c r="J408" s="44" t="str">
        <f t="shared" si="2"/>
        <v/>
      </c>
      <c r="K408" s="30" t="str">
        <f>IF($A408="","",IFERROR(VALUE(SUBSTITUTE(SUBSTITUTE(SUBSTITUTE(VLOOKUP($A408,Inventory!$O$5:$P$604,2,FALSE),"Tk","")," ",""),",","")),""))</f>
        <v/>
      </c>
      <c r="L408" s="58" t="str">
        <f t="shared" si="3"/>
        <v/>
      </c>
      <c r="M408" s="58" t="str">
        <f t="shared" si="4"/>
        <v/>
      </c>
      <c r="O408" s="59" t="str">
        <f t="shared" si="5"/>
        <v/>
      </c>
      <c r="P408" s="52"/>
    </row>
    <row r="409" ht="15.75" customHeight="1">
      <c r="A409" s="29" t="str">
        <f t="array" ref="A409">IFERROR(INDEX(Purchases!$D$5:$D$1004,MATCH(ROW()-4,Purchases!$L$5:$L$1004,0)),"")</f>
        <v/>
      </c>
      <c r="B409" s="48" t="str">
        <f>IFERROR(VLOOKUP(A409,Purchases!$D:$E,2,FALSE),"")</f>
        <v/>
      </c>
      <c r="C409" s="48" t="str">
        <f>IFERROR(VLOOKUP(A409,Purchases!$D:$F,3,FALSE),"")</f>
        <v/>
      </c>
      <c r="D409" s="48" t="str">
        <f>IF(A409="","",SUMIF(Purchases!$D:$D,A409,Purchases!$K:$K))</f>
        <v/>
      </c>
      <c r="E409" s="48" t="str">
        <f>IF(A409="","",SUMIFS(Sales!$H:$H,Sales!$F:$F,A409,Sales!$B:$B,"&lt;&gt;Return"))</f>
        <v/>
      </c>
      <c r="F409" s="48" t="str">
        <f>IF(A409="","",SUMIFS(Sales!$H:$H,Sales!$F:$F,A409,Sales!$B:$B,"Return"))</f>
        <v/>
      </c>
      <c r="G409" s="48" t="str">
        <f>IF($A409="","",SUMIF('Shop Ledger'!$C:$C,$A409,'Shop Ledger'!$F:$F))</f>
        <v/>
      </c>
      <c r="H409" s="48" t="str">
        <f t="shared" si="1"/>
        <v/>
      </c>
      <c r="I409" s="44" t="str">
        <f>IF(A409="","",IFERROR(SUMIF(Purchases!$D:$D,A409,Purchases!$I:$I)/D409,0))</f>
        <v/>
      </c>
      <c r="J409" s="44" t="str">
        <f t="shared" si="2"/>
        <v/>
      </c>
      <c r="K409" s="30" t="str">
        <f>IF($A409="","",IFERROR(VALUE(SUBSTITUTE(SUBSTITUTE(SUBSTITUTE(VLOOKUP($A409,Inventory!$O$5:$P$604,2,FALSE),"Tk","")," ",""),",","")),""))</f>
        <v/>
      </c>
      <c r="L409" s="58" t="str">
        <f t="shared" si="3"/>
        <v/>
      </c>
      <c r="M409" s="58" t="str">
        <f t="shared" si="4"/>
        <v/>
      </c>
      <c r="O409" s="59" t="str">
        <f t="shared" si="5"/>
        <v/>
      </c>
      <c r="P409" s="52"/>
    </row>
    <row r="410" ht="15.75" customHeight="1">
      <c r="A410" s="29" t="str">
        <f t="array" ref="A410">IFERROR(INDEX(Purchases!$D$5:$D$1004,MATCH(ROW()-4,Purchases!$L$5:$L$1004,0)),"")</f>
        <v/>
      </c>
      <c r="B410" s="48" t="str">
        <f>IFERROR(VLOOKUP(A410,Purchases!$D:$E,2,FALSE),"")</f>
        <v/>
      </c>
      <c r="C410" s="48" t="str">
        <f>IFERROR(VLOOKUP(A410,Purchases!$D:$F,3,FALSE),"")</f>
        <v/>
      </c>
      <c r="D410" s="48" t="str">
        <f>IF(A410="","",SUMIF(Purchases!$D:$D,A410,Purchases!$K:$K))</f>
        <v/>
      </c>
      <c r="E410" s="48" t="str">
        <f>IF(A410="","",SUMIFS(Sales!$H:$H,Sales!$F:$F,A410,Sales!$B:$B,"&lt;&gt;Return"))</f>
        <v/>
      </c>
      <c r="F410" s="48" t="str">
        <f>IF(A410="","",SUMIFS(Sales!$H:$H,Sales!$F:$F,A410,Sales!$B:$B,"Return"))</f>
        <v/>
      </c>
      <c r="G410" s="48" t="str">
        <f>IF($A410="","",SUMIF('Shop Ledger'!$C:$C,$A410,'Shop Ledger'!$F:$F))</f>
        <v/>
      </c>
      <c r="H410" s="48" t="str">
        <f t="shared" si="1"/>
        <v/>
      </c>
      <c r="I410" s="44" t="str">
        <f>IF(A410="","",IFERROR(SUMIF(Purchases!$D:$D,A410,Purchases!$I:$I)/D410,0))</f>
        <v/>
      </c>
      <c r="J410" s="44" t="str">
        <f t="shared" si="2"/>
        <v/>
      </c>
      <c r="K410" s="30" t="str">
        <f>IF($A410="","",IFERROR(VALUE(SUBSTITUTE(SUBSTITUTE(SUBSTITUTE(VLOOKUP($A410,Inventory!$O$5:$P$604,2,FALSE),"Tk","")," ",""),",","")),""))</f>
        <v/>
      </c>
      <c r="L410" s="58" t="str">
        <f t="shared" si="3"/>
        <v/>
      </c>
      <c r="M410" s="58" t="str">
        <f t="shared" si="4"/>
        <v/>
      </c>
      <c r="O410" s="59" t="str">
        <f t="shared" si="5"/>
        <v/>
      </c>
      <c r="P410" s="52"/>
    </row>
    <row r="411" ht="15.75" customHeight="1">
      <c r="A411" s="29" t="str">
        <f t="array" ref="A411">IFERROR(INDEX(Purchases!$D$5:$D$1004,MATCH(ROW()-4,Purchases!$L$5:$L$1004,0)),"")</f>
        <v/>
      </c>
      <c r="B411" s="48" t="str">
        <f>IFERROR(VLOOKUP(A411,Purchases!$D:$E,2,FALSE),"")</f>
        <v/>
      </c>
      <c r="C411" s="48" t="str">
        <f>IFERROR(VLOOKUP(A411,Purchases!$D:$F,3,FALSE),"")</f>
        <v/>
      </c>
      <c r="D411" s="48" t="str">
        <f>IF(A411="","",SUMIF(Purchases!$D:$D,A411,Purchases!$K:$K))</f>
        <v/>
      </c>
      <c r="E411" s="48" t="str">
        <f>IF(A411="","",SUMIFS(Sales!$H:$H,Sales!$F:$F,A411,Sales!$B:$B,"&lt;&gt;Return"))</f>
        <v/>
      </c>
      <c r="F411" s="48" t="str">
        <f>IF(A411="","",SUMIFS(Sales!$H:$H,Sales!$F:$F,A411,Sales!$B:$B,"Return"))</f>
        <v/>
      </c>
      <c r="G411" s="48" t="str">
        <f>IF($A411="","",SUMIF('Shop Ledger'!$C:$C,$A411,'Shop Ledger'!$F:$F))</f>
        <v/>
      </c>
      <c r="H411" s="48" t="str">
        <f t="shared" si="1"/>
        <v/>
      </c>
      <c r="I411" s="44" t="str">
        <f>IF(A411="","",IFERROR(SUMIF(Purchases!$D:$D,A411,Purchases!$I:$I)/D411,0))</f>
        <v/>
      </c>
      <c r="J411" s="44" t="str">
        <f t="shared" si="2"/>
        <v/>
      </c>
      <c r="K411" s="30" t="str">
        <f>IF($A411="","",IFERROR(VALUE(SUBSTITUTE(SUBSTITUTE(SUBSTITUTE(VLOOKUP($A411,Inventory!$O$5:$P$604,2,FALSE),"Tk","")," ",""),",","")),""))</f>
        <v/>
      </c>
      <c r="L411" s="58" t="str">
        <f t="shared" si="3"/>
        <v/>
      </c>
      <c r="M411" s="58" t="str">
        <f t="shared" si="4"/>
        <v/>
      </c>
      <c r="O411" s="59" t="str">
        <f t="shared" si="5"/>
        <v/>
      </c>
      <c r="P411" s="52"/>
    </row>
    <row r="412" ht="15.75" customHeight="1">
      <c r="A412" s="29" t="str">
        <f t="array" ref="A412">IFERROR(INDEX(Purchases!$D$5:$D$1004,MATCH(ROW()-4,Purchases!$L$5:$L$1004,0)),"")</f>
        <v/>
      </c>
      <c r="B412" s="48" t="str">
        <f>IFERROR(VLOOKUP(A412,Purchases!$D:$E,2,FALSE),"")</f>
        <v/>
      </c>
      <c r="C412" s="48" t="str">
        <f>IFERROR(VLOOKUP(A412,Purchases!$D:$F,3,FALSE),"")</f>
        <v/>
      </c>
      <c r="D412" s="48" t="str">
        <f>IF(A412="","",SUMIF(Purchases!$D:$D,A412,Purchases!$K:$K))</f>
        <v/>
      </c>
      <c r="E412" s="48" t="str">
        <f>IF(A412="","",SUMIFS(Sales!$H:$H,Sales!$F:$F,A412,Sales!$B:$B,"&lt;&gt;Return"))</f>
        <v/>
      </c>
      <c r="F412" s="48" t="str">
        <f>IF(A412="","",SUMIFS(Sales!$H:$H,Sales!$F:$F,A412,Sales!$B:$B,"Return"))</f>
        <v/>
      </c>
      <c r="G412" s="48" t="str">
        <f>IF($A412="","",SUMIF('Shop Ledger'!$C:$C,$A412,'Shop Ledger'!$F:$F))</f>
        <v/>
      </c>
      <c r="H412" s="48" t="str">
        <f t="shared" si="1"/>
        <v/>
      </c>
      <c r="I412" s="44" t="str">
        <f>IF(A412="","",IFERROR(SUMIF(Purchases!$D:$D,A412,Purchases!$I:$I)/D412,0))</f>
        <v/>
      </c>
      <c r="J412" s="44" t="str">
        <f t="shared" si="2"/>
        <v/>
      </c>
      <c r="K412" s="30" t="str">
        <f>IF($A412="","",IFERROR(VALUE(SUBSTITUTE(SUBSTITUTE(SUBSTITUTE(VLOOKUP($A412,Inventory!$O$5:$P$604,2,FALSE),"Tk","")," ",""),",","")),""))</f>
        <v/>
      </c>
      <c r="L412" s="58" t="str">
        <f t="shared" si="3"/>
        <v/>
      </c>
      <c r="M412" s="58" t="str">
        <f t="shared" si="4"/>
        <v/>
      </c>
      <c r="O412" s="59" t="str">
        <f t="shared" si="5"/>
        <v/>
      </c>
      <c r="P412" s="52"/>
    </row>
    <row r="413" ht="15.75" customHeight="1">
      <c r="A413" s="29" t="str">
        <f t="array" ref="A413">IFERROR(INDEX(Purchases!$D$5:$D$1004,MATCH(ROW()-4,Purchases!$L$5:$L$1004,0)),"")</f>
        <v/>
      </c>
      <c r="B413" s="48" t="str">
        <f>IFERROR(VLOOKUP(A413,Purchases!$D:$E,2,FALSE),"")</f>
        <v/>
      </c>
      <c r="C413" s="48" t="str">
        <f>IFERROR(VLOOKUP(A413,Purchases!$D:$F,3,FALSE),"")</f>
        <v/>
      </c>
      <c r="D413" s="48" t="str">
        <f>IF(A413="","",SUMIF(Purchases!$D:$D,A413,Purchases!$K:$K))</f>
        <v/>
      </c>
      <c r="E413" s="48" t="str">
        <f>IF(A413="","",SUMIFS(Sales!$H:$H,Sales!$F:$F,A413,Sales!$B:$B,"&lt;&gt;Return"))</f>
        <v/>
      </c>
      <c r="F413" s="48" t="str">
        <f>IF(A413="","",SUMIFS(Sales!$H:$H,Sales!$F:$F,A413,Sales!$B:$B,"Return"))</f>
        <v/>
      </c>
      <c r="G413" s="48" t="str">
        <f>IF($A413="","",SUMIF('Shop Ledger'!$C:$C,$A413,'Shop Ledger'!$F:$F))</f>
        <v/>
      </c>
      <c r="H413" s="48" t="str">
        <f t="shared" si="1"/>
        <v/>
      </c>
      <c r="I413" s="44" t="str">
        <f>IF(A413="","",IFERROR(SUMIF(Purchases!$D:$D,A413,Purchases!$I:$I)/D413,0))</f>
        <v/>
      </c>
      <c r="J413" s="44" t="str">
        <f t="shared" si="2"/>
        <v/>
      </c>
      <c r="K413" s="30" t="str">
        <f>IF($A413="","",IFERROR(VALUE(SUBSTITUTE(SUBSTITUTE(SUBSTITUTE(VLOOKUP($A413,Inventory!$O$5:$P$604,2,FALSE),"Tk","")," ",""),",","")),""))</f>
        <v/>
      </c>
      <c r="L413" s="58" t="str">
        <f t="shared" si="3"/>
        <v/>
      </c>
      <c r="M413" s="58" t="str">
        <f t="shared" si="4"/>
        <v/>
      </c>
      <c r="O413" s="59" t="str">
        <f t="shared" si="5"/>
        <v/>
      </c>
      <c r="P413" s="52"/>
    </row>
    <row r="414" ht="15.75" customHeight="1">
      <c r="A414" s="29" t="str">
        <f t="array" ref="A414">IFERROR(INDEX(Purchases!$D$5:$D$1004,MATCH(ROW()-4,Purchases!$L$5:$L$1004,0)),"")</f>
        <v/>
      </c>
      <c r="B414" s="48" t="str">
        <f>IFERROR(VLOOKUP(A414,Purchases!$D:$E,2,FALSE),"")</f>
        <v/>
      </c>
      <c r="C414" s="48" t="str">
        <f>IFERROR(VLOOKUP(A414,Purchases!$D:$F,3,FALSE),"")</f>
        <v/>
      </c>
      <c r="D414" s="48" t="str">
        <f>IF(A414="","",SUMIF(Purchases!$D:$D,A414,Purchases!$K:$K))</f>
        <v/>
      </c>
      <c r="E414" s="48" t="str">
        <f>IF(A414="","",SUMIFS(Sales!$H:$H,Sales!$F:$F,A414,Sales!$B:$B,"&lt;&gt;Return"))</f>
        <v/>
      </c>
      <c r="F414" s="48" t="str">
        <f>IF(A414="","",SUMIFS(Sales!$H:$H,Sales!$F:$F,A414,Sales!$B:$B,"Return"))</f>
        <v/>
      </c>
      <c r="G414" s="48" t="str">
        <f>IF($A414="","",SUMIF('Shop Ledger'!$C:$C,$A414,'Shop Ledger'!$F:$F))</f>
        <v/>
      </c>
      <c r="H414" s="48" t="str">
        <f t="shared" si="1"/>
        <v/>
      </c>
      <c r="I414" s="44" t="str">
        <f>IF(A414="","",IFERROR(SUMIF(Purchases!$D:$D,A414,Purchases!$I:$I)/D414,0))</f>
        <v/>
      </c>
      <c r="J414" s="44" t="str">
        <f t="shared" si="2"/>
        <v/>
      </c>
      <c r="K414" s="30" t="str">
        <f>IF($A414="","",IFERROR(VALUE(SUBSTITUTE(SUBSTITUTE(SUBSTITUTE(VLOOKUP($A414,Inventory!$O$5:$P$604,2,FALSE),"Tk","")," ",""),",","")),""))</f>
        <v/>
      </c>
      <c r="L414" s="58" t="str">
        <f t="shared" si="3"/>
        <v/>
      </c>
      <c r="M414" s="58" t="str">
        <f t="shared" si="4"/>
        <v/>
      </c>
      <c r="O414" s="59" t="str">
        <f t="shared" si="5"/>
        <v/>
      </c>
      <c r="P414" s="52"/>
    </row>
    <row r="415" ht="15.75" customHeight="1">
      <c r="A415" s="29" t="str">
        <f t="array" ref="A415">IFERROR(INDEX(Purchases!$D$5:$D$1004,MATCH(ROW()-4,Purchases!$L$5:$L$1004,0)),"")</f>
        <v/>
      </c>
      <c r="B415" s="48" t="str">
        <f>IFERROR(VLOOKUP(A415,Purchases!$D:$E,2,FALSE),"")</f>
        <v/>
      </c>
      <c r="C415" s="48" t="str">
        <f>IFERROR(VLOOKUP(A415,Purchases!$D:$F,3,FALSE),"")</f>
        <v/>
      </c>
      <c r="D415" s="48" t="str">
        <f>IF(A415="","",SUMIF(Purchases!$D:$D,A415,Purchases!$K:$K))</f>
        <v/>
      </c>
      <c r="E415" s="48" t="str">
        <f>IF(A415="","",SUMIFS(Sales!$H:$H,Sales!$F:$F,A415,Sales!$B:$B,"&lt;&gt;Return"))</f>
        <v/>
      </c>
      <c r="F415" s="48" t="str">
        <f>IF(A415="","",SUMIFS(Sales!$H:$H,Sales!$F:$F,A415,Sales!$B:$B,"Return"))</f>
        <v/>
      </c>
      <c r="G415" s="48" t="str">
        <f>IF($A415="","",SUMIF('Shop Ledger'!$C:$C,$A415,'Shop Ledger'!$F:$F))</f>
        <v/>
      </c>
      <c r="H415" s="48" t="str">
        <f t="shared" si="1"/>
        <v/>
      </c>
      <c r="I415" s="44" t="str">
        <f>IF(A415="","",IFERROR(SUMIF(Purchases!$D:$D,A415,Purchases!$I:$I)/D415,0))</f>
        <v/>
      </c>
      <c r="J415" s="44" t="str">
        <f t="shared" si="2"/>
        <v/>
      </c>
      <c r="K415" s="30" t="str">
        <f>IF($A415="","",IFERROR(VALUE(SUBSTITUTE(SUBSTITUTE(SUBSTITUTE(VLOOKUP($A415,Inventory!$O$5:$P$604,2,FALSE),"Tk","")," ",""),",","")),""))</f>
        <v/>
      </c>
      <c r="L415" s="58" t="str">
        <f t="shared" si="3"/>
        <v/>
      </c>
      <c r="M415" s="58" t="str">
        <f t="shared" si="4"/>
        <v/>
      </c>
      <c r="O415" s="59" t="str">
        <f t="shared" si="5"/>
        <v/>
      </c>
      <c r="P415" s="52"/>
    </row>
    <row r="416" ht="15.75" customHeight="1">
      <c r="A416" s="29" t="str">
        <f t="array" ref="A416">IFERROR(INDEX(Purchases!$D$5:$D$1004,MATCH(ROW()-4,Purchases!$L$5:$L$1004,0)),"")</f>
        <v/>
      </c>
      <c r="B416" s="48" t="str">
        <f>IFERROR(VLOOKUP(A416,Purchases!$D:$E,2,FALSE),"")</f>
        <v/>
      </c>
      <c r="C416" s="48" t="str">
        <f>IFERROR(VLOOKUP(A416,Purchases!$D:$F,3,FALSE),"")</f>
        <v/>
      </c>
      <c r="D416" s="48" t="str">
        <f>IF(A416="","",SUMIF(Purchases!$D:$D,A416,Purchases!$K:$K))</f>
        <v/>
      </c>
      <c r="E416" s="48" t="str">
        <f>IF(A416="","",SUMIFS(Sales!$H:$H,Sales!$F:$F,A416,Sales!$B:$B,"&lt;&gt;Return"))</f>
        <v/>
      </c>
      <c r="F416" s="48" t="str">
        <f>IF(A416="","",SUMIFS(Sales!$H:$H,Sales!$F:$F,A416,Sales!$B:$B,"Return"))</f>
        <v/>
      </c>
      <c r="G416" s="48" t="str">
        <f>IF($A416="","",SUMIF('Shop Ledger'!$C:$C,$A416,'Shop Ledger'!$F:$F))</f>
        <v/>
      </c>
      <c r="H416" s="48" t="str">
        <f t="shared" si="1"/>
        <v/>
      </c>
      <c r="I416" s="44" t="str">
        <f>IF(A416="","",IFERROR(SUMIF(Purchases!$D:$D,A416,Purchases!$I:$I)/D416,0))</f>
        <v/>
      </c>
      <c r="J416" s="44" t="str">
        <f t="shared" si="2"/>
        <v/>
      </c>
      <c r="K416" s="30" t="str">
        <f>IF($A416="","",IFERROR(VALUE(SUBSTITUTE(SUBSTITUTE(SUBSTITUTE(VLOOKUP($A416,Inventory!$O$5:$P$604,2,FALSE),"Tk","")," ",""),",","")),""))</f>
        <v/>
      </c>
      <c r="L416" s="58" t="str">
        <f t="shared" si="3"/>
        <v/>
      </c>
      <c r="M416" s="58" t="str">
        <f t="shared" si="4"/>
        <v/>
      </c>
      <c r="O416" s="59" t="str">
        <f t="shared" si="5"/>
        <v/>
      </c>
      <c r="P416" s="52"/>
    </row>
    <row r="417" ht="15.75" customHeight="1">
      <c r="A417" s="29" t="str">
        <f t="array" ref="A417">IFERROR(INDEX(Purchases!$D$5:$D$1004,MATCH(ROW()-4,Purchases!$L$5:$L$1004,0)),"")</f>
        <v/>
      </c>
      <c r="B417" s="48" t="str">
        <f>IFERROR(VLOOKUP(A417,Purchases!$D:$E,2,FALSE),"")</f>
        <v/>
      </c>
      <c r="C417" s="48" t="str">
        <f>IFERROR(VLOOKUP(A417,Purchases!$D:$F,3,FALSE),"")</f>
        <v/>
      </c>
      <c r="D417" s="48" t="str">
        <f>IF(A417="","",SUMIF(Purchases!$D:$D,A417,Purchases!$K:$K))</f>
        <v/>
      </c>
      <c r="E417" s="48" t="str">
        <f>IF(A417="","",SUMIFS(Sales!$H:$H,Sales!$F:$F,A417,Sales!$B:$B,"&lt;&gt;Return"))</f>
        <v/>
      </c>
      <c r="F417" s="48" t="str">
        <f>IF(A417="","",SUMIFS(Sales!$H:$H,Sales!$F:$F,A417,Sales!$B:$B,"Return"))</f>
        <v/>
      </c>
      <c r="G417" s="48" t="str">
        <f>IF($A417="","",SUMIF('Shop Ledger'!$C:$C,$A417,'Shop Ledger'!$F:$F))</f>
        <v/>
      </c>
      <c r="H417" s="48" t="str">
        <f t="shared" si="1"/>
        <v/>
      </c>
      <c r="I417" s="44" t="str">
        <f>IF(A417="","",IFERROR(SUMIF(Purchases!$D:$D,A417,Purchases!$I:$I)/D417,0))</f>
        <v/>
      </c>
      <c r="J417" s="44" t="str">
        <f t="shared" si="2"/>
        <v/>
      </c>
      <c r="K417" s="30" t="str">
        <f>IF($A417="","",IFERROR(VALUE(SUBSTITUTE(SUBSTITUTE(SUBSTITUTE(VLOOKUP($A417,Inventory!$O$5:$P$604,2,FALSE),"Tk","")," ",""),",","")),""))</f>
        <v/>
      </c>
      <c r="L417" s="58" t="str">
        <f t="shared" si="3"/>
        <v/>
      </c>
      <c r="M417" s="58" t="str">
        <f t="shared" si="4"/>
        <v/>
      </c>
      <c r="O417" s="59" t="str">
        <f t="shared" si="5"/>
        <v/>
      </c>
      <c r="P417" s="52"/>
    </row>
    <row r="418" ht="15.75" customHeight="1">
      <c r="A418" s="29" t="str">
        <f t="array" ref="A418">IFERROR(INDEX(Purchases!$D$5:$D$1004,MATCH(ROW()-4,Purchases!$L$5:$L$1004,0)),"")</f>
        <v/>
      </c>
      <c r="B418" s="48" t="str">
        <f>IFERROR(VLOOKUP(A418,Purchases!$D:$E,2,FALSE),"")</f>
        <v/>
      </c>
      <c r="C418" s="48" t="str">
        <f>IFERROR(VLOOKUP(A418,Purchases!$D:$F,3,FALSE),"")</f>
        <v/>
      </c>
      <c r="D418" s="48" t="str">
        <f>IF(A418="","",SUMIF(Purchases!$D:$D,A418,Purchases!$K:$K))</f>
        <v/>
      </c>
      <c r="E418" s="48" t="str">
        <f>IF(A418="","",SUMIFS(Sales!$H:$H,Sales!$F:$F,A418,Sales!$B:$B,"&lt;&gt;Return"))</f>
        <v/>
      </c>
      <c r="F418" s="48" t="str">
        <f>IF(A418="","",SUMIFS(Sales!$H:$H,Sales!$F:$F,A418,Sales!$B:$B,"Return"))</f>
        <v/>
      </c>
      <c r="G418" s="48" t="str">
        <f>IF($A418="","",SUMIF('Shop Ledger'!$C:$C,$A418,'Shop Ledger'!$F:$F))</f>
        <v/>
      </c>
      <c r="H418" s="48" t="str">
        <f t="shared" si="1"/>
        <v/>
      </c>
      <c r="I418" s="44" t="str">
        <f>IF(A418="","",IFERROR(SUMIF(Purchases!$D:$D,A418,Purchases!$I:$I)/D418,0))</f>
        <v/>
      </c>
      <c r="J418" s="44" t="str">
        <f t="shared" si="2"/>
        <v/>
      </c>
      <c r="K418" s="30" t="str">
        <f>IF($A418="","",IFERROR(VALUE(SUBSTITUTE(SUBSTITUTE(SUBSTITUTE(VLOOKUP($A418,Inventory!$O$5:$P$604,2,FALSE),"Tk","")," ",""),",","")),""))</f>
        <v/>
      </c>
      <c r="L418" s="58" t="str">
        <f t="shared" si="3"/>
        <v/>
      </c>
      <c r="M418" s="58" t="str">
        <f t="shared" si="4"/>
        <v/>
      </c>
      <c r="O418" s="59" t="str">
        <f t="shared" si="5"/>
        <v/>
      </c>
      <c r="P418" s="52"/>
    </row>
    <row r="419" ht="15.75" customHeight="1">
      <c r="A419" s="29" t="str">
        <f t="array" ref="A419">IFERROR(INDEX(Purchases!$D$5:$D$1004,MATCH(ROW()-4,Purchases!$L$5:$L$1004,0)),"")</f>
        <v/>
      </c>
      <c r="B419" s="48" t="str">
        <f>IFERROR(VLOOKUP(A419,Purchases!$D:$E,2,FALSE),"")</f>
        <v/>
      </c>
      <c r="C419" s="48" t="str">
        <f>IFERROR(VLOOKUP(A419,Purchases!$D:$F,3,FALSE),"")</f>
        <v/>
      </c>
      <c r="D419" s="48" t="str">
        <f>IF(A419="","",SUMIF(Purchases!$D:$D,A419,Purchases!$K:$K))</f>
        <v/>
      </c>
      <c r="E419" s="48" t="str">
        <f>IF(A419="","",SUMIFS(Sales!$H:$H,Sales!$F:$F,A419,Sales!$B:$B,"&lt;&gt;Return"))</f>
        <v/>
      </c>
      <c r="F419" s="48" t="str">
        <f>IF(A419="","",SUMIFS(Sales!$H:$H,Sales!$F:$F,A419,Sales!$B:$B,"Return"))</f>
        <v/>
      </c>
      <c r="G419" s="48" t="str">
        <f>IF($A419="","",SUMIF('Shop Ledger'!$C:$C,$A419,'Shop Ledger'!$F:$F))</f>
        <v/>
      </c>
      <c r="H419" s="48" t="str">
        <f t="shared" si="1"/>
        <v/>
      </c>
      <c r="I419" s="44" t="str">
        <f>IF(A419="","",IFERROR(SUMIF(Purchases!$D:$D,A419,Purchases!$I:$I)/D419,0))</f>
        <v/>
      </c>
      <c r="J419" s="44" t="str">
        <f t="shared" si="2"/>
        <v/>
      </c>
      <c r="K419" s="30" t="str">
        <f>IF($A419="","",IFERROR(VALUE(SUBSTITUTE(SUBSTITUTE(SUBSTITUTE(VLOOKUP($A419,Inventory!$O$5:$P$604,2,FALSE),"Tk","")," ",""),",","")),""))</f>
        <v/>
      </c>
      <c r="L419" s="58" t="str">
        <f t="shared" si="3"/>
        <v/>
      </c>
      <c r="M419" s="58" t="str">
        <f t="shared" si="4"/>
        <v/>
      </c>
      <c r="O419" s="59" t="str">
        <f t="shared" si="5"/>
        <v/>
      </c>
      <c r="P419" s="52"/>
    </row>
    <row r="420" ht="15.75" customHeight="1">
      <c r="A420" s="29" t="str">
        <f t="array" ref="A420">IFERROR(INDEX(Purchases!$D$5:$D$1004,MATCH(ROW()-4,Purchases!$L$5:$L$1004,0)),"")</f>
        <v/>
      </c>
      <c r="B420" s="48" t="str">
        <f>IFERROR(VLOOKUP(A420,Purchases!$D:$E,2,FALSE),"")</f>
        <v/>
      </c>
      <c r="C420" s="48" t="str">
        <f>IFERROR(VLOOKUP(A420,Purchases!$D:$F,3,FALSE),"")</f>
        <v/>
      </c>
      <c r="D420" s="48" t="str">
        <f>IF(A420="","",SUMIF(Purchases!$D:$D,A420,Purchases!$K:$K))</f>
        <v/>
      </c>
      <c r="E420" s="48" t="str">
        <f>IF(A420="","",SUMIFS(Sales!$H:$H,Sales!$F:$F,A420,Sales!$B:$B,"&lt;&gt;Return"))</f>
        <v/>
      </c>
      <c r="F420" s="48" t="str">
        <f>IF(A420="","",SUMIFS(Sales!$H:$H,Sales!$F:$F,A420,Sales!$B:$B,"Return"))</f>
        <v/>
      </c>
      <c r="G420" s="48" t="str">
        <f>IF($A420="","",SUMIF('Shop Ledger'!$C:$C,$A420,'Shop Ledger'!$F:$F))</f>
        <v/>
      </c>
      <c r="H420" s="48" t="str">
        <f t="shared" si="1"/>
        <v/>
      </c>
      <c r="I420" s="44" t="str">
        <f>IF(A420="","",IFERROR(SUMIF(Purchases!$D:$D,A420,Purchases!$I:$I)/D420,0))</f>
        <v/>
      </c>
      <c r="J420" s="44" t="str">
        <f t="shared" si="2"/>
        <v/>
      </c>
      <c r="K420" s="30" t="str">
        <f>IF($A420="","",IFERROR(VALUE(SUBSTITUTE(SUBSTITUTE(SUBSTITUTE(VLOOKUP($A420,Inventory!$O$5:$P$604,2,FALSE),"Tk","")," ",""),",","")),""))</f>
        <v/>
      </c>
      <c r="L420" s="58" t="str">
        <f t="shared" si="3"/>
        <v/>
      </c>
      <c r="M420" s="58" t="str">
        <f t="shared" si="4"/>
        <v/>
      </c>
      <c r="O420" s="59" t="str">
        <f t="shared" si="5"/>
        <v/>
      </c>
      <c r="P420" s="52"/>
    </row>
    <row r="421" ht="15.75" customHeight="1">
      <c r="A421" s="29" t="str">
        <f t="array" ref="A421">IFERROR(INDEX(Purchases!$D$5:$D$1004,MATCH(ROW()-4,Purchases!$L$5:$L$1004,0)),"")</f>
        <v/>
      </c>
      <c r="B421" s="48" t="str">
        <f>IFERROR(VLOOKUP(A421,Purchases!$D:$E,2,FALSE),"")</f>
        <v/>
      </c>
      <c r="C421" s="48" t="str">
        <f>IFERROR(VLOOKUP(A421,Purchases!$D:$F,3,FALSE),"")</f>
        <v/>
      </c>
      <c r="D421" s="48" t="str">
        <f>IF(A421="","",SUMIF(Purchases!$D:$D,A421,Purchases!$K:$K))</f>
        <v/>
      </c>
      <c r="E421" s="48" t="str">
        <f>IF(A421="","",SUMIFS(Sales!$H:$H,Sales!$F:$F,A421,Sales!$B:$B,"&lt;&gt;Return"))</f>
        <v/>
      </c>
      <c r="F421" s="48" t="str">
        <f>IF(A421="","",SUMIFS(Sales!$H:$H,Sales!$F:$F,A421,Sales!$B:$B,"Return"))</f>
        <v/>
      </c>
      <c r="G421" s="48" t="str">
        <f>IF($A421="","",SUMIF('Shop Ledger'!$C:$C,$A421,'Shop Ledger'!$F:$F))</f>
        <v/>
      </c>
      <c r="H421" s="48" t="str">
        <f t="shared" si="1"/>
        <v/>
      </c>
      <c r="I421" s="44" t="str">
        <f>IF(A421="","",IFERROR(SUMIF(Purchases!$D:$D,A421,Purchases!$I:$I)/D421,0))</f>
        <v/>
      </c>
      <c r="J421" s="44" t="str">
        <f t="shared" si="2"/>
        <v/>
      </c>
      <c r="K421" s="30" t="str">
        <f>IF($A421="","",IFERROR(VALUE(SUBSTITUTE(SUBSTITUTE(SUBSTITUTE(VLOOKUP($A421,Inventory!$O$5:$P$604,2,FALSE),"Tk","")," ",""),",","")),""))</f>
        <v/>
      </c>
      <c r="L421" s="58" t="str">
        <f t="shared" si="3"/>
        <v/>
      </c>
      <c r="M421" s="58" t="str">
        <f t="shared" si="4"/>
        <v/>
      </c>
      <c r="O421" s="59" t="str">
        <f t="shared" si="5"/>
        <v/>
      </c>
      <c r="P421" s="52"/>
    </row>
    <row r="422" ht="15.75" customHeight="1">
      <c r="A422" s="29" t="str">
        <f t="array" ref="A422">IFERROR(INDEX(Purchases!$D$5:$D$1004,MATCH(ROW()-4,Purchases!$L$5:$L$1004,0)),"")</f>
        <v/>
      </c>
      <c r="B422" s="48" t="str">
        <f>IFERROR(VLOOKUP(A422,Purchases!$D:$E,2,FALSE),"")</f>
        <v/>
      </c>
      <c r="C422" s="48" t="str">
        <f>IFERROR(VLOOKUP(A422,Purchases!$D:$F,3,FALSE),"")</f>
        <v/>
      </c>
      <c r="D422" s="48" t="str">
        <f>IF(A422="","",SUMIF(Purchases!$D:$D,A422,Purchases!$K:$K))</f>
        <v/>
      </c>
      <c r="E422" s="48" t="str">
        <f>IF(A422="","",SUMIFS(Sales!$H:$H,Sales!$F:$F,A422,Sales!$B:$B,"&lt;&gt;Return"))</f>
        <v/>
      </c>
      <c r="F422" s="48" t="str">
        <f>IF(A422="","",SUMIFS(Sales!$H:$H,Sales!$F:$F,A422,Sales!$B:$B,"Return"))</f>
        <v/>
      </c>
      <c r="G422" s="48" t="str">
        <f>IF($A422="","",SUMIF('Shop Ledger'!$C:$C,$A422,'Shop Ledger'!$F:$F))</f>
        <v/>
      </c>
      <c r="H422" s="48" t="str">
        <f t="shared" si="1"/>
        <v/>
      </c>
      <c r="I422" s="44" t="str">
        <f>IF(A422="","",IFERROR(SUMIF(Purchases!$D:$D,A422,Purchases!$I:$I)/D422,0))</f>
        <v/>
      </c>
      <c r="J422" s="44" t="str">
        <f t="shared" si="2"/>
        <v/>
      </c>
      <c r="K422" s="30" t="str">
        <f>IF($A422="","",IFERROR(VALUE(SUBSTITUTE(SUBSTITUTE(SUBSTITUTE(VLOOKUP($A422,Inventory!$O$5:$P$604,2,FALSE),"Tk","")," ",""),",","")),""))</f>
        <v/>
      </c>
      <c r="L422" s="58" t="str">
        <f t="shared" si="3"/>
        <v/>
      </c>
      <c r="M422" s="58" t="str">
        <f t="shared" si="4"/>
        <v/>
      </c>
      <c r="O422" s="59" t="str">
        <f t="shared" si="5"/>
        <v/>
      </c>
      <c r="P422" s="52"/>
    </row>
    <row r="423" ht="15.75" customHeight="1">
      <c r="A423" s="29" t="str">
        <f t="array" ref="A423">IFERROR(INDEX(Purchases!$D$5:$D$1004,MATCH(ROW()-4,Purchases!$L$5:$L$1004,0)),"")</f>
        <v/>
      </c>
      <c r="B423" s="48" t="str">
        <f>IFERROR(VLOOKUP(A423,Purchases!$D:$E,2,FALSE),"")</f>
        <v/>
      </c>
      <c r="C423" s="48" t="str">
        <f>IFERROR(VLOOKUP(A423,Purchases!$D:$F,3,FALSE),"")</f>
        <v/>
      </c>
      <c r="D423" s="48" t="str">
        <f>IF(A423="","",SUMIF(Purchases!$D:$D,A423,Purchases!$K:$K))</f>
        <v/>
      </c>
      <c r="E423" s="48" t="str">
        <f>IF(A423="","",SUMIFS(Sales!$H:$H,Sales!$F:$F,A423,Sales!$B:$B,"&lt;&gt;Return"))</f>
        <v/>
      </c>
      <c r="F423" s="48" t="str">
        <f>IF(A423="","",SUMIFS(Sales!$H:$H,Sales!$F:$F,A423,Sales!$B:$B,"Return"))</f>
        <v/>
      </c>
      <c r="G423" s="48" t="str">
        <f>IF($A423="","",SUMIF('Shop Ledger'!$C:$C,$A423,'Shop Ledger'!$F:$F))</f>
        <v/>
      </c>
      <c r="H423" s="48" t="str">
        <f t="shared" si="1"/>
        <v/>
      </c>
      <c r="I423" s="44" t="str">
        <f>IF(A423="","",IFERROR(SUMIF(Purchases!$D:$D,A423,Purchases!$I:$I)/D423,0))</f>
        <v/>
      </c>
      <c r="J423" s="44" t="str">
        <f t="shared" si="2"/>
        <v/>
      </c>
      <c r="K423" s="30" t="str">
        <f>IF($A423="","",IFERROR(VALUE(SUBSTITUTE(SUBSTITUTE(SUBSTITUTE(VLOOKUP($A423,Inventory!$O$5:$P$604,2,FALSE),"Tk","")," ",""),",","")),""))</f>
        <v/>
      </c>
      <c r="L423" s="58" t="str">
        <f t="shared" si="3"/>
        <v/>
      </c>
      <c r="M423" s="58" t="str">
        <f t="shared" si="4"/>
        <v/>
      </c>
      <c r="O423" s="59" t="str">
        <f t="shared" si="5"/>
        <v/>
      </c>
      <c r="P423" s="52"/>
    </row>
    <row r="424" ht="15.75" customHeight="1">
      <c r="A424" s="29" t="str">
        <f t="array" ref="A424">IFERROR(INDEX(Purchases!$D$5:$D$1004,MATCH(ROW()-4,Purchases!$L$5:$L$1004,0)),"")</f>
        <v/>
      </c>
      <c r="B424" s="48" t="str">
        <f>IFERROR(VLOOKUP(A424,Purchases!$D:$E,2,FALSE),"")</f>
        <v/>
      </c>
      <c r="C424" s="48" t="str">
        <f>IFERROR(VLOOKUP(A424,Purchases!$D:$F,3,FALSE),"")</f>
        <v/>
      </c>
      <c r="D424" s="48" t="str">
        <f>IF(A424="","",SUMIF(Purchases!$D:$D,A424,Purchases!$K:$K))</f>
        <v/>
      </c>
      <c r="E424" s="48" t="str">
        <f>IF(A424="","",SUMIFS(Sales!$H:$H,Sales!$F:$F,A424,Sales!$B:$B,"&lt;&gt;Return"))</f>
        <v/>
      </c>
      <c r="F424" s="48" t="str">
        <f>IF(A424="","",SUMIFS(Sales!$H:$H,Sales!$F:$F,A424,Sales!$B:$B,"Return"))</f>
        <v/>
      </c>
      <c r="G424" s="48" t="str">
        <f>IF($A424="","",SUMIF('Shop Ledger'!$C:$C,$A424,'Shop Ledger'!$F:$F))</f>
        <v/>
      </c>
      <c r="H424" s="48" t="str">
        <f t="shared" si="1"/>
        <v/>
      </c>
      <c r="I424" s="44" t="str">
        <f>IF(A424="","",IFERROR(SUMIF(Purchases!$D:$D,A424,Purchases!$I:$I)/D424,0))</f>
        <v/>
      </c>
      <c r="J424" s="44" t="str">
        <f t="shared" si="2"/>
        <v/>
      </c>
      <c r="K424" s="30" t="str">
        <f>IF($A424="","",IFERROR(VALUE(SUBSTITUTE(SUBSTITUTE(SUBSTITUTE(VLOOKUP($A424,Inventory!$O$5:$P$604,2,FALSE),"Tk","")," ",""),",","")),""))</f>
        <v/>
      </c>
      <c r="L424" s="58" t="str">
        <f t="shared" si="3"/>
        <v/>
      </c>
      <c r="M424" s="58" t="str">
        <f t="shared" si="4"/>
        <v/>
      </c>
      <c r="O424" s="59" t="str">
        <f t="shared" si="5"/>
        <v/>
      </c>
      <c r="P424" s="52"/>
    </row>
    <row r="425" ht="15.75" customHeight="1">
      <c r="A425" s="29" t="str">
        <f t="array" ref="A425">IFERROR(INDEX(Purchases!$D$5:$D$1004,MATCH(ROW()-4,Purchases!$L$5:$L$1004,0)),"")</f>
        <v/>
      </c>
      <c r="B425" s="48" t="str">
        <f>IFERROR(VLOOKUP(A425,Purchases!$D:$E,2,FALSE),"")</f>
        <v/>
      </c>
      <c r="C425" s="48" t="str">
        <f>IFERROR(VLOOKUP(A425,Purchases!$D:$F,3,FALSE),"")</f>
        <v/>
      </c>
      <c r="D425" s="48" t="str">
        <f>IF(A425="","",SUMIF(Purchases!$D:$D,A425,Purchases!$K:$K))</f>
        <v/>
      </c>
      <c r="E425" s="48" t="str">
        <f>IF(A425="","",SUMIFS(Sales!$H:$H,Sales!$F:$F,A425,Sales!$B:$B,"&lt;&gt;Return"))</f>
        <v/>
      </c>
      <c r="F425" s="48" t="str">
        <f>IF(A425="","",SUMIFS(Sales!$H:$H,Sales!$F:$F,A425,Sales!$B:$B,"Return"))</f>
        <v/>
      </c>
      <c r="G425" s="48" t="str">
        <f>IF($A425="","",SUMIF('Shop Ledger'!$C:$C,$A425,'Shop Ledger'!$F:$F))</f>
        <v/>
      </c>
      <c r="H425" s="48" t="str">
        <f t="shared" si="1"/>
        <v/>
      </c>
      <c r="I425" s="44" t="str">
        <f>IF(A425="","",IFERROR(SUMIF(Purchases!$D:$D,A425,Purchases!$I:$I)/D425,0))</f>
        <v/>
      </c>
      <c r="J425" s="44" t="str">
        <f t="shared" si="2"/>
        <v/>
      </c>
      <c r="K425" s="30" t="str">
        <f>IF($A425="","",IFERROR(VALUE(SUBSTITUTE(SUBSTITUTE(SUBSTITUTE(VLOOKUP($A425,Inventory!$O$5:$P$604,2,FALSE),"Tk","")," ",""),",","")),""))</f>
        <v/>
      </c>
      <c r="L425" s="58" t="str">
        <f t="shared" si="3"/>
        <v/>
      </c>
      <c r="M425" s="58" t="str">
        <f t="shared" si="4"/>
        <v/>
      </c>
      <c r="O425" s="59" t="str">
        <f t="shared" si="5"/>
        <v/>
      </c>
      <c r="P425" s="52"/>
    </row>
    <row r="426" ht="15.75" customHeight="1">
      <c r="A426" s="29" t="str">
        <f t="array" ref="A426">IFERROR(INDEX(Purchases!$D$5:$D$1004,MATCH(ROW()-4,Purchases!$L$5:$L$1004,0)),"")</f>
        <v/>
      </c>
      <c r="B426" s="48" t="str">
        <f>IFERROR(VLOOKUP(A426,Purchases!$D:$E,2,FALSE),"")</f>
        <v/>
      </c>
      <c r="C426" s="48" t="str">
        <f>IFERROR(VLOOKUP(A426,Purchases!$D:$F,3,FALSE),"")</f>
        <v/>
      </c>
      <c r="D426" s="48" t="str">
        <f>IF(A426="","",SUMIF(Purchases!$D:$D,A426,Purchases!$K:$K))</f>
        <v/>
      </c>
      <c r="E426" s="48" t="str">
        <f>IF(A426="","",SUMIFS(Sales!$H:$H,Sales!$F:$F,A426,Sales!$B:$B,"&lt;&gt;Return"))</f>
        <v/>
      </c>
      <c r="F426" s="48" t="str">
        <f>IF(A426="","",SUMIFS(Sales!$H:$H,Sales!$F:$F,A426,Sales!$B:$B,"Return"))</f>
        <v/>
      </c>
      <c r="G426" s="48" t="str">
        <f>IF($A426="","",SUMIF('Shop Ledger'!$C:$C,$A426,'Shop Ledger'!$F:$F))</f>
        <v/>
      </c>
      <c r="H426" s="48" t="str">
        <f t="shared" si="1"/>
        <v/>
      </c>
      <c r="I426" s="44" t="str">
        <f>IF(A426="","",IFERROR(SUMIF(Purchases!$D:$D,A426,Purchases!$I:$I)/D426,0))</f>
        <v/>
      </c>
      <c r="J426" s="44" t="str">
        <f t="shared" si="2"/>
        <v/>
      </c>
      <c r="K426" s="30" t="str">
        <f>IF($A426="","",IFERROR(VALUE(SUBSTITUTE(SUBSTITUTE(SUBSTITUTE(VLOOKUP($A426,Inventory!$O$5:$P$604,2,FALSE),"Tk","")," ",""),",","")),""))</f>
        <v/>
      </c>
      <c r="L426" s="58" t="str">
        <f t="shared" si="3"/>
        <v/>
      </c>
      <c r="M426" s="58" t="str">
        <f t="shared" si="4"/>
        <v/>
      </c>
      <c r="O426" s="59" t="str">
        <f t="shared" si="5"/>
        <v/>
      </c>
      <c r="P426" s="52"/>
    </row>
    <row r="427" ht="15.75" customHeight="1">
      <c r="A427" s="29" t="str">
        <f t="array" ref="A427">IFERROR(INDEX(Purchases!$D$5:$D$1004,MATCH(ROW()-4,Purchases!$L$5:$L$1004,0)),"")</f>
        <v/>
      </c>
      <c r="B427" s="48" t="str">
        <f>IFERROR(VLOOKUP(A427,Purchases!$D:$E,2,FALSE),"")</f>
        <v/>
      </c>
      <c r="C427" s="48" t="str">
        <f>IFERROR(VLOOKUP(A427,Purchases!$D:$F,3,FALSE),"")</f>
        <v/>
      </c>
      <c r="D427" s="48" t="str">
        <f>IF(A427="","",SUMIF(Purchases!$D:$D,A427,Purchases!$K:$K))</f>
        <v/>
      </c>
      <c r="E427" s="48" t="str">
        <f>IF(A427="","",SUMIFS(Sales!$H:$H,Sales!$F:$F,A427,Sales!$B:$B,"&lt;&gt;Return"))</f>
        <v/>
      </c>
      <c r="F427" s="48" t="str">
        <f>IF(A427="","",SUMIFS(Sales!$H:$H,Sales!$F:$F,A427,Sales!$B:$B,"Return"))</f>
        <v/>
      </c>
      <c r="G427" s="48" t="str">
        <f>IF($A427="","",SUMIF('Shop Ledger'!$C:$C,$A427,'Shop Ledger'!$F:$F))</f>
        <v/>
      </c>
      <c r="H427" s="48" t="str">
        <f t="shared" si="1"/>
        <v/>
      </c>
      <c r="I427" s="44" t="str">
        <f>IF(A427="","",IFERROR(SUMIF(Purchases!$D:$D,A427,Purchases!$I:$I)/D427,0))</f>
        <v/>
      </c>
      <c r="J427" s="44" t="str">
        <f t="shared" si="2"/>
        <v/>
      </c>
      <c r="K427" s="30" t="str">
        <f>IF($A427="","",IFERROR(VALUE(SUBSTITUTE(SUBSTITUTE(SUBSTITUTE(VLOOKUP($A427,Inventory!$O$5:$P$604,2,FALSE),"Tk","")," ",""),",","")),""))</f>
        <v/>
      </c>
      <c r="L427" s="58" t="str">
        <f t="shared" si="3"/>
        <v/>
      </c>
      <c r="M427" s="58" t="str">
        <f t="shared" si="4"/>
        <v/>
      </c>
      <c r="O427" s="59" t="str">
        <f t="shared" si="5"/>
        <v/>
      </c>
      <c r="P427" s="52"/>
    </row>
    <row r="428" ht="15.75" customHeight="1">
      <c r="A428" s="29" t="str">
        <f t="array" ref="A428">IFERROR(INDEX(Purchases!$D$5:$D$1004,MATCH(ROW()-4,Purchases!$L$5:$L$1004,0)),"")</f>
        <v/>
      </c>
      <c r="B428" s="48" t="str">
        <f>IFERROR(VLOOKUP(A428,Purchases!$D:$E,2,FALSE),"")</f>
        <v/>
      </c>
      <c r="C428" s="48" t="str">
        <f>IFERROR(VLOOKUP(A428,Purchases!$D:$F,3,FALSE),"")</f>
        <v/>
      </c>
      <c r="D428" s="48" t="str">
        <f>IF(A428="","",SUMIF(Purchases!$D:$D,A428,Purchases!$K:$K))</f>
        <v/>
      </c>
      <c r="E428" s="48" t="str">
        <f>IF(A428="","",SUMIFS(Sales!$H:$H,Sales!$F:$F,A428,Sales!$B:$B,"&lt;&gt;Return"))</f>
        <v/>
      </c>
      <c r="F428" s="48" t="str">
        <f>IF(A428="","",SUMIFS(Sales!$H:$H,Sales!$F:$F,A428,Sales!$B:$B,"Return"))</f>
        <v/>
      </c>
      <c r="G428" s="48" t="str">
        <f>IF($A428="","",SUMIF('Shop Ledger'!$C:$C,$A428,'Shop Ledger'!$F:$F))</f>
        <v/>
      </c>
      <c r="H428" s="48" t="str">
        <f t="shared" si="1"/>
        <v/>
      </c>
      <c r="I428" s="44" t="str">
        <f>IF(A428="","",IFERROR(SUMIF(Purchases!$D:$D,A428,Purchases!$I:$I)/D428,0))</f>
        <v/>
      </c>
      <c r="J428" s="44" t="str">
        <f t="shared" si="2"/>
        <v/>
      </c>
      <c r="K428" s="30" t="str">
        <f>IF($A428="","",IFERROR(VALUE(SUBSTITUTE(SUBSTITUTE(SUBSTITUTE(VLOOKUP($A428,Inventory!$O$5:$P$604,2,FALSE),"Tk","")," ",""),",","")),""))</f>
        <v/>
      </c>
      <c r="L428" s="58" t="str">
        <f t="shared" si="3"/>
        <v/>
      </c>
      <c r="M428" s="58" t="str">
        <f t="shared" si="4"/>
        <v/>
      </c>
      <c r="O428" s="59" t="str">
        <f t="shared" si="5"/>
        <v/>
      </c>
      <c r="P428" s="52"/>
    </row>
    <row r="429" ht="15.75" customHeight="1">
      <c r="A429" s="29" t="str">
        <f t="array" ref="A429">IFERROR(INDEX(Purchases!$D$5:$D$1004,MATCH(ROW()-4,Purchases!$L$5:$L$1004,0)),"")</f>
        <v/>
      </c>
      <c r="B429" s="48" t="str">
        <f>IFERROR(VLOOKUP(A429,Purchases!$D:$E,2,FALSE),"")</f>
        <v/>
      </c>
      <c r="C429" s="48" t="str">
        <f>IFERROR(VLOOKUP(A429,Purchases!$D:$F,3,FALSE),"")</f>
        <v/>
      </c>
      <c r="D429" s="48" t="str">
        <f>IF(A429="","",SUMIF(Purchases!$D:$D,A429,Purchases!$K:$K))</f>
        <v/>
      </c>
      <c r="E429" s="48" t="str">
        <f>IF(A429="","",SUMIFS(Sales!$H:$H,Sales!$F:$F,A429,Sales!$B:$B,"&lt;&gt;Return"))</f>
        <v/>
      </c>
      <c r="F429" s="48" t="str">
        <f>IF(A429="","",SUMIFS(Sales!$H:$H,Sales!$F:$F,A429,Sales!$B:$B,"Return"))</f>
        <v/>
      </c>
      <c r="G429" s="48" t="str">
        <f>IF($A429="","",SUMIF('Shop Ledger'!$C:$C,$A429,'Shop Ledger'!$F:$F))</f>
        <v/>
      </c>
      <c r="H429" s="48" t="str">
        <f t="shared" si="1"/>
        <v/>
      </c>
      <c r="I429" s="44" t="str">
        <f>IF(A429="","",IFERROR(SUMIF(Purchases!$D:$D,A429,Purchases!$I:$I)/D429,0))</f>
        <v/>
      </c>
      <c r="J429" s="44" t="str">
        <f t="shared" si="2"/>
        <v/>
      </c>
      <c r="K429" s="30" t="str">
        <f>IF($A429="","",IFERROR(VALUE(SUBSTITUTE(SUBSTITUTE(SUBSTITUTE(VLOOKUP($A429,Inventory!$O$5:$P$604,2,FALSE),"Tk","")," ",""),",","")),""))</f>
        <v/>
      </c>
      <c r="L429" s="58" t="str">
        <f t="shared" si="3"/>
        <v/>
      </c>
      <c r="M429" s="58" t="str">
        <f t="shared" si="4"/>
        <v/>
      </c>
      <c r="O429" s="59" t="str">
        <f t="shared" si="5"/>
        <v/>
      </c>
      <c r="P429" s="52"/>
    </row>
    <row r="430" ht="15.75" customHeight="1">
      <c r="A430" s="29" t="str">
        <f t="array" ref="A430">IFERROR(INDEX(Purchases!$D$5:$D$1004,MATCH(ROW()-4,Purchases!$L$5:$L$1004,0)),"")</f>
        <v/>
      </c>
      <c r="B430" s="48" t="str">
        <f>IFERROR(VLOOKUP(A430,Purchases!$D:$E,2,FALSE),"")</f>
        <v/>
      </c>
      <c r="C430" s="48" t="str">
        <f>IFERROR(VLOOKUP(A430,Purchases!$D:$F,3,FALSE),"")</f>
        <v/>
      </c>
      <c r="D430" s="48" t="str">
        <f>IF(A430="","",SUMIF(Purchases!$D:$D,A430,Purchases!$K:$K))</f>
        <v/>
      </c>
      <c r="E430" s="48" t="str">
        <f>IF(A430="","",SUMIFS(Sales!$H:$H,Sales!$F:$F,A430,Sales!$B:$B,"&lt;&gt;Return"))</f>
        <v/>
      </c>
      <c r="F430" s="48" t="str">
        <f>IF(A430="","",SUMIFS(Sales!$H:$H,Sales!$F:$F,A430,Sales!$B:$B,"Return"))</f>
        <v/>
      </c>
      <c r="G430" s="48" t="str">
        <f>IF($A430="","",SUMIF('Shop Ledger'!$C:$C,$A430,'Shop Ledger'!$F:$F))</f>
        <v/>
      </c>
      <c r="H430" s="48" t="str">
        <f t="shared" si="1"/>
        <v/>
      </c>
      <c r="I430" s="44" t="str">
        <f>IF(A430="","",IFERROR(SUMIF(Purchases!$D:$D,A430,Purchases!$I:$I)/D430,0))</f>
        <v/>
      </c>
      <c r="J430" s="44" t="str">
        <f t="shared" si="2"/>
        <v/>
      </c>
      <c r="K430" s="30" t="str">
        <f>IF($A430="","",IFERROR(VALUE(SUBSTITUTE(SUBSTITUTE(SUBSTITUTE(VLOOKUP($A430,Inventory!$O$5:$P$604,2,FALSE),"Tk","")," ",""),",","")),""))</f>
        <v/>
      </c>
      <c r="L430" s="58" t="str">
        <f t="shared" si="3"/>
        <v/>
      </c>
      <c r="M430" s="58" t="str">
        <f t="shared" si="4"/>
        <v/>
      </c>
      <c r="O430" s="59" t="str">
        <f t="shared" si="5"/>
        <v/>
      </c>
      <c r="P430" s="52"/>
    </row>
    <row r="431" ht="15.75" customHeight="1">
      <c r="A431" s="29" t="str">
        <f t="array" ref="A431">IFERROR(INDEX(Purchases!$D$5:$D$1004,MATCH(ROW()-4,Purchases!$L$5:$L$1004,0)),"")</f>
        <v/>
      </c>
      <c r="B431" s="48" t="str">
        <f>IFERROR(VLOOKUP(A431,Purchases!$D:$E,2,FALSE),"")</f>
        <v/>
      </c>
      <c r="C431" s="48" t="str">
        <f>IFERROR(VLOOKUP(A431,Purchases!$D:$F,3,FALSE),"")</f>
        <v/>
      </c>
      <c r="D431" s="48" t="str">
        <f>IF(A431="","",SUMIF(Purchases!$D:$D,A431,Purchases!$K:$K))</f>
        <v/>
      </c>
      <c r="E431" s="48" t="str">
        <f>IF(A431="","",SUMIFS(Sales!$H:$H,Sales!$F:$F,A431,Sales!$B:$B,"&lt;&gt;Return"))</f>
        <v/>
      </c>
      <c r="F431" s="48" t="str">
        <f>IF(A431="","",SUMIFS(Sales!$H:$H,Sales!$F:$F,A431,Sales!$B:$B,"Return"))</f>
        <v/>
      </c>
      <c r="G431" s="48" t="str">
        <f>IF($A431="","",SUMIF('Shop Ledger'!$C:$C,$A431,'Shop Ledger'!$F:$F))</f>
        <v/>
      </c>
      <c r="H431" s="48" t="str">
        <f t="shared" si="1"/>
        <v/>
      </c>
      <c r="I431" s="44" t="str">
        <f>IF(A431="","",IFERROR(SUMIF(Purchases!$D:$D,A431,Purchases!$I:$I)/D431,0))</f>
        <v/>
      </c>
      <c r="J431" s="44" t="str">
        <f t="shared" si="2"/>
        <v/>
      </c>
      <c r="K431" s="30" t="str">
        <f>IF($A431="","",IFERROR(VALUE(SUBSTITUTE(SUBSTITUTE(SUBSTITUTE(VLOOKUP($A431,Inventory!$O$5:$P$604,2,FALSE),"Tk","")," ",""),",","")),""))</f>
        <v/>
      </c>
      <c r="L431" s="58" t="str">
        <f t="shared" si="3"/>
        <v/>
      </c>
      <c r="M431" s="58" t="str">
        <f t="shared" si="4"/>
        <v/>
      </c>
      <c r="O431" s="59" t="str">
        <f t="shared" si="5"/>
        <v/>
      </c>
      <c r="P431" s="52"/>
    </row>
    <row r="432" ht="15.75" customHeight="1">
      <c r="A432" s="29" t="str">
        <f t="array" ref="A432">IFERROR(INDEX(Purchases!$D$5:$D$1004,MATCH(ROW()-4,Purchases!$L$5:$L$1004,0)),"")</f>
        <v/>
      </c>
      <c r="B432" s="48" t="str">
        <f>IFERROR(VLOOKUP(A432,Purchases!$D:$E,2,FALSE),"")</f>
        <v/>
      </c>
      <c r="C432" s="48" t="str">
        <f>IFERROR(VLOOKUP(A432,Purchases!$D:$F,3,FALSE),"")</f>
        <v/>
      </c>
      <c r="D432" s="48" t="str">
        <f>IF(A432="","",SUMIF(Purchases!$D:$D,A432,Purchases!$K:$K))</f>
        <v/>
      </c>
      <c r="E432" s="48" t="str">
        <f>IF(A432="","",SUMIFS(Sales!$H:$H,Sales!$F:$F,A432,Sales!$B:$B,"&lt;&gt;Return"))</f>
        <v/>
      </c>
      <c r="F432" s="48" t="str">
        <f>IF(A432="","",SUMIFS(Sales!$H:$H,Sales!$F:$F,A432,Sales!$B:$B,"Return"))</f>
        <v/>
      </c>
      <c r="G432" s="48" t="str">
        <f>IF($A432="","",SUMIF('Shop Ledger'!$C:$C,$A432,'Shop Ledger'!$F:$F))</f>
        <v/>
      </c>
      <c r="H432" s="48" t="str">
        <f t="shared" si="1"/>
        <v/>
      </c>
      <c r="I432" s="44" t="str">
        <f>IF(A432="","",IFERROR(SUMIF(Purchases!$D:$D,A432,Purchases!$I:$I)/D432,0))</f>
        <v/>
      </c>
      <c r="J432" s="44" t="str">
        <f t="shared" si="2"/>
        <v/>
      </c>
      <c r="K432" s="30" t="str">
        <f>IF($A432="","",IFERROR(VALUE(SUBSTITUTE(SUBSTITUTE(SUBSTITUTE(VLOOKUP($A432,Inventory!$O$5:$P$604,2,FALSE),"Tk","")," ",""),",","")),""))</f>
        <v/>
      </c>
      <c r="L432" s="58" t="str">
        <f t="shared" si="3"/>
        <v/>
      </c>
      <c r="M432" s="58" t="str">
        <f t="shared" si="4"/>
        <v/>
      </c>
      <c r="O432" s="59" t="str">
        <f t="shared" si="5"/>
        <v/>
      </c>
      <c r="P432" s="52"/>
    </row>
    <row r="433" ht="15.75" customHeight="1">
      <c r="A433" s="29" t="str">
        <f t="array" ref="A433">IFERROR(INDEX(Purchases!$D$5:$D$1004,MATCH(ROW()-4,Purchases!$L$5:$L$1004,0)),"")</f>
        <v/>
      </c>
      <c r="B433" s="48" t="str">
        <f>IFERROR(VLOOKUP(A433,Purchases!$D:$E,2,FALSE),"")</f>
        <v/>
      </c>
      <c r="C433" s="48" t="str">
        <f>IFERROR(VLOOKUP(A433,Purchases!$D:$F,3,FALSE),"")</f>
        <v/>
      </c>
      <c r="D433" s="48" t="str">
        <f>IF(A433="","",SUMIF(Purchases!$D:$D,A433,Purchases!$K:$K))</f>
        <v/>
      </c>
      <c r="E433" s="48" t="str">
        <f>IF(A433="","",SUMIFS(Sales!$H:$H,Sales!$F:$F,A433,Sales!$B:$B,"&lt;&gt;Return"))</f>
        <v/>
      </c>
      <c r="F433" s="48" t="str">
        <f>IF(A433="","",SUMIFS(Sales!$H:$H,Sales!$F:$F,A433,Sales!$B:$B,"Return"))</f>
        <v/>
      </c>
      <c r="G433" s="48" t="str">
        <f>IF($A433="","",SUMIF('Shop Ledger'!$C:$C,$A433,'Shop Ledger'!$F:$F))</f>
        <v/>
      </c>
      <c r="H433" s="48" t="str">
        <f t="shared" si="1"/>
        <v/>
      </c>
      <c r="I433" s="44" t="str">
        <f>IF(A433="","",IFERROR(SUMIF(Purchases!$D:$D,A433,Purchases!$I:$I)/D433,0))</f>
        <v/>
      </c>
      <c r="J433" s="44" t="str">
        <f t="shared" si="2"/>
        <v/>
      </c>
      <c r="K433" s="30" t="str">
        <f>IF($A433="","",IFERROR(VALUE(SUBSTITUTE(SUBSTITUTE(SUBSTITUTE(VLOOKUP($A433,Inventory!$O$5:$P$604,2,FALSE),"Tk","")," ",""),",","")),""))</f>
        <v/>
      </c>
      <c r="L433" s="58" t="str">
        <f t="shared" si="3"/>
        <v/>
      </c>
      <c r="M433" s="58" t="str">
        <f t="shared" si="4"/>
        <v/>
      </c>
      <c r="O433" s="59" t="str">
        <f t="shared" si="5"/>
        <v/>
      </c>
      <c r="P433" s="52"/>
    </row>
    <row r="434" ht="15.75" customHeight="1">
      <c r="A434" s="29" t="str">
        <f t="array" ref="A434">IFERROR(INDEX(Purchases!$D$5:$D$1004,MATCH(ROW()-4,Purchases!$L$5:$L$1004,0)),"")</f>
        <v/>
      </c>
      <c r="B434" s="48" t="str">
        <f>IFERROR(VLOOKUP(A434,Purchases!$D:$E,2,FALSE),"")</f>
        <v/>
      </c>
      <c r="C434" s="48" t="str">
        <f>IFERROR(VLOOKUP(A434,Purchases!$D:$F,3,FALSE),"")</f>
        <v/>
      </c>
      <c r="D434" s="48" t="str">
        <f>IF(A434="","",SUMIF(Purchases!$D:$D,A434,Purchases!$K:$K))</f>
        <v/>
      </c>
      <c r="E434" s="48" t="str">
        <f>IF(A434="","",SUMIFS(Sales!$H:$H,Sales!$F:$F,A434,Sales!$B:$B,"&lt;&gt;Return"))</f>
        <v/>
      </c>
      <c r="F434" s="48" t="str">
        <f>IF(A434="","",SUMIFS(Sales!$H:$H,Sales!$F:$F,A434,Sales!$B:$B,"Return"))</f>
        <v/>
      </c>
      <c r="G434" s="48" t="str">
        <f>IF($A434="","",SUMIF('Shop Ledger'!$C:$C,$A434,'Shop Ledger'!$F:$F))</f>
        <v/>
      </c>
      <c r="H434" s="48" t="str">
        <f t="shared" si="1"/>
        <v/>
      </c>
      <c r="I434" s="44" t="str">
        <f>IF(A434="","",IFERROR(SUMIF(Purchases!$D:$D,A434,Purchases!$I:$I)/D434,0))</f>
        <v/>
      </c>
      <c r="J434" s="44" t="str">
        <f t="shared" si="2"/>
        <v/>
      </c>
      <c r="K434" s="30" t="str">
        <f>IF($A434="","",IFERROR(VALUE(SUBSTITUTE(SUBSTITUTE(SUBSTITUTE(VLOOKUP($A434,Inventory!$O$5:$P$604,2,FALSE),"Tk","")," ",""),",","")),""))</f>
        <v/>
      </c>
      <c r="L434" s="58" t="str">
        <f t="shared" si="3"/>
        <v/>
      </c>
      <c r="M434" s="58" t="str">
        <f t="shared" si="4"/>
        <v/>
      </c>
      <c r="O434" s="59" t="str">
        <f t="shared" si="5"/>
        <v/>
      </c>
      <c r="P434" s="52"/>
    </row>
    <row r="435" ht="15.75" customHeight="1">
      <c r="A435" s="29" t="str">
        <f t="array" ref="A435">IFERROR(INDEX(Purchases!$D$5:$D$1004,MATCH(ROW()-4,Purchases!$L$5:$L$1004,0)),"")</f>
        <v/>
      </c>
      <c r="B435" s="48" t="str">
        <f>IFERROR(VLOOKUP(A435,Purchases!$D:$E,2,FALSE),"")</f>
        <v/>
      </c>
      <c r="C435" s="48" t="str">
        <f>IFERROR(VLOOKUP(A435,Purchases!$D:$F,3,FALSE),"")</f>
        <v/>
      </c>
      <c r="D435" s="48" t="str">
        <f>IF(A435="","",SUMIF(Purchases!$D:$D,A435,Purchases!$K:$K))</f>
        <v/>
      </c>
      <c r="E435" s="48" t="str">
        <f>IF(A435="","",SUMIFS(Sales!$H:$H,Sales!$F:$F,A435,Sales!$B:$B,"&lt;&gt;Return"))</f>
        <v/>
      </c>
      <c r="F435" s="48" t="str">
        <f>IF(A435="","",SUMIFS(Sales!$H:$H,Sales!$F:$F,A435,Sales!$B:$B,"Return"))</f>
        <v/>
      </c>
      <c r="G435" s="48" t="str">
        <f>IF($A435="","",SUMIF('Shop Ledger'!$C:$C,$A435,'Shop Ledger'!$F:$F))</f>
        <v/>
      </c>
      <c r="H435" s="48" t="str">
        <f t="shared" si="1"/>
        <v/>
      </c>
      <c r="I435" s="44" t="str">
        <f>IF(A435="","",IFERROR(SUMIF(Purchases!$D:$D,A435,Purchases!$I:$I)/D435,0))</f>
        <v/>
      </c>
      <c r="J435" s="44" t="str">
        <f t="shared" si="2"/>
        <v/>
      </c>
      <c r="K435" s="30" t="str">
        <f>IF($A435="","",IFERROR(VALUE(SUBSTITUTE(SUBSTITUTE(SUBSTITUTE(VLOOKUP($A435,Inventory!$O$5:$P$604,2,FALSE),"Tk","")," ",""),",","")),""))</f>
        <v/>
      </c>
      <c r="L435" s="58" t="str">
        <f t="shared" si="3"/>
        <v/>
      </c>
      <c r="M435" s="58" t="str">
        <f t="shared" si="4"/>
        <v/>
      </c>
      <c r="O435" s="59" t="str">
        <f t="shared" si="5"/>
        <v/>
      </c>
      <c r="P435" s="52"/>
    </row>
    <row r="436" ht="15.75" customHeight="1">
      <c r="A436" s="29" t="str">
        <f t="array" ref="A436">IFERROR(INDEX(Purchases!$D$5:$D$1004,MATCH(ROW()-4,Purchases!$L$5:$L$1004,0)),"")</f>
        <v/>
      </c>
      <c r="B436" s="48" t="str">
        <f>IFERROR(VLOOKUP(A436,Purchases!$D:$E,2,FALSE),"")</f>
        <v/>
      </c>
      <c r="C436" s="48" t="str">
        <f>IFERROR(VLOOKUP(A436,Purchases!$D:$F,3,FALSE),"")</f>
        <v/>
      </c>
      <c r="D436" s="48" t="str">
        <f>IF(A436="","",SUMIF(Purchases!$D:$D,A436,Purchases!$K:$K))</f>
        <v/>
      </c>
      <c r="E436" s="48" t="str">
        <f>IF(A436="","",SUMIFS(Sales!$H:$H,Sales!$F:$F,A436,Sales!$B:$B,"&lt;&gt;Return"))</f>
        <v/>
      </c>
      <c r="F436" s="48" t="str">
        <f>IF(A436="","",SUMIFS(Sales!$H:$H,Sales!$F:$F,A436,Sales!$B:$B,"Return"))</f>
        <v/>
      </c>
      <c r="G436" s="48" t="str">
        <f>IF($A436="","",SUMIF('Shop Ledger'!$C:$C,$A436,'Shop Ledger'!$F:$F))</f>
        <v/>
      </c>
      <c r="H436" s="48" t="str">
        <f t="shared" si="1"/>
        <v/>
      </c>
      <c r="I436" s="44" t="str">
        <f>IF(A436="","",IFERROR(SUMIF(Purchases!$D:$D,A436,Purchases!$I:$I)/D436,0))</f>
        <v/>
      </c>
      <c r="J436" s="44" t="str">
        <f t="shared" si="2"/>
        <v/>
      </c>
      <c r="K436" s="30" t="str">
        <f>IF($A436="","",IFERROR(VALUE(SUBSTITUTE(SUBSTITUTE(SUBSTITUTE(VLOOKUP($A436,Inventory!$O$5:$P$604,2,FALSE),"Tk","")," ",""),",","")),""))</f>
        <v/>
      </c>
      <c r="L436" s="58" t="str">
        <f t="shared" si="3"/>
        <v/>
      </c>
      <c r="M436" s="58" t="str">
        <f t="shared" si="4"/>
        <v/>
      </c>
      <c r="O436" s="59" t="str">
        <f t="shared" si="5"/>
        <v/>
      </c>
      <c r="P436" s="52"/>
    </row>
    <row r="437" ht="15.75" customHeight="1">
      <c r="A437" s="29" t="str">
        <f t="array" ref="A437">IFERROR(INDEX(Purchases!$D$5:$D$1004,MATCH(ROW()-4,Purchases!$L$5:$L$1004,0)),"")</f>
        <v/>
      </c>
      <c r="B437" s="48" t="str">
        <f>IFERROR(VLOOKUP(A437,Purchases!$D:$E,2,FALSE),"")</f>
        <v/>
      </c>
      <c r="C437" s="48" t="str">
        <f>IFERROR(VLOOKUP(A437,Purchases!$D:$F,3,FALSE),"")</f>
        <v/>
      </c>
      <c r="D437" s="48" t="str">
        <f>IF(A437="","",SUMIF(Purchases!$D:$D,A437,Purchases!$K:$K))</f>
        <v/>
      </c>
      <c r="E437" s="48" t="str">
        <f>IF(A437="","",SUMIFS(Sales!$H:$H,Sales!$F:$F,A437,Sales!$B:$B,"&lt;&gt;Return"))</f>
        <v/>
      </c>
      <c r="F437" s="48" t="str">
        <f>IF(A437="","",SUMIFS(Sales!$H:$H,Sales!$F:$F,A437,Sales!$B:$B,"Return"))</f>
        <v/>
      </c>
      <c r="G437" s="48" t="str">
        <f>IF($A437="","",SUMIF('Shop Ledger'!$C:$C,$A437,'Shop Ledger'!$F:$F))</f>
        <v/>
      </c>
      <c r="H437" s="48" t="str">
        <f t="shared" si="1"/>
        <v/>
      </c>
      <c r="I437" s="44" t="str">
        <f>IF(A437="","",IFERROR(SUMIF(Purchases!$D:$D,A437,Purchases!$I:$I)/D437,0))</f>
        <v/>
      </c>
      <c r="J437" s="44" t="str">
        <f t="shared" si="2"/>
        <v/>
      </c>
      <c r="K437" s="30" t="str">
        <f>IF($A437="","",IFERROR(VALUE(SUBSTITUTE(SUBSTITUTE(SUBSTITUTE(VLOOKUP($A437,Inventory!$O$5:$P$604,2,FALSE),"Tk","")," ",""),",","")),""))</f>
        <v/>
      </c>
      <c r="L437" s="58" t="str">
        <f t="shared" si="3"/>
        <v/>
      </c>
      <c r="M437" s="58" t="str">
        <f t="shared" si="4"/>
        <v/>
      </c>
      <c r="O437" s="59" t="str">
        <f t="shared" si="5"/>
        <v/>
      </c>
      <c r="P437" s="52"/>
    </row>
    <row r="438" ht="15.75" customHeight="1">
      <c r="A438" s="29" t="str">
        <f t="array" ref="A438">IFERROR(INDEX(Purchases!$D$5:$D$1004,MATCH(ROW()-4,Purchases!$L$5:$L$1004,0)),"")</f>
        <v/>
      </c>
      <c r="B438" s="48" t="str">
        <f>IFERROR(VLOOKUP(A438,Purchases!$D:$E,2,FALSE),"")</f>
        <v/>
      </c>
      <c r="C438" s="48" t="str">
        <f>IFERROR(VLOOKUP(A438,Purchases!$D:$F,3,FALSE),"")</f>
        <v/>
      </c>
      <c r="D438" s="48" t="str">
        <f>IF(A438="","",SUMIF(Purchases!$D:$D,A438,Purchases!$K:$K))</f>
        <v/>
      </c>
      <c r="E438" s="48" t="str">
        <f>IF(A438="","",SUMIFS(Sales!$H:$H,Sales!$F:$F,A438,Sales!$B:$B,"&lt;&gt;Return"))</f>
        <v/>
      </c>
      <c r="F438" s="48" t="str">
        <f>IF(A438="","",SUMIFS(Sales!$H:$H,Sales!$F:$F,A438,Sales!$B:$B,"Return"))</f>
        <v/>
      </c>
      <c r="G438" s="48" t="str">
        <f>IF($A438="","",SUMIF('Shop Ledger'!$C:$C,$A438,'Shop Ledger'!$F:$F))</f>
        <v/>
      </c>
      <c r="H438" s="48" t="str">
        <f t="shared" si="1"/>
        <v/>
      </c>
      <c r="I438" s="44" t="str">
        <f>IF(A438="","",IFERROR(SUMIF(Purchases!$D:$D,A438,Purchases!$I:$I)/D438,0))</f>
        <v/>
      </c>
      <c r="J438" s="44" t="str">
        <f t="shared" si="2"/>
        <v/>
      </c>
      <c r="K438" s="30" t="str">
        <f>IF($A438="","",IFERROR(VALUE(SUBSTITUTE(SUBSTITUTE(SUBSTITUTE(VLOOKUP($A438,Inventory!$O$5:$P$604,2,FALSE),"Tk","")," ",""),",","")),""))</f>
        <v/>
      </c>
      <c r="L438" s="58" t="str">
        <f t="shared" si="3"/>
        <v/>
      </c>
      <c r="M438" s="58" t="str">
        <f t="shared" si="4"/>
        <v/>
      </c>
      <c r="O438" s="59" t="str">
        <f t="shared" si="5"/>
        <v/>
      </c>
      <c r="P438" s="52"/>
    </row>
    <row r="439" ht="15.75" customHeight="1">
      <c r="A439" s="29" t="str">
        <f t="array" ref="A439">IFERROR(INDEX(Purchases!$D$5:$D$1004,MATCH(ROW()-4,Purchases!$L$5:$L$1004,0)),"")</f>
        <v/>
      </c>
      <c r="B439" s="48" t="str">
        <f>IFERROR(VLOOKUP(A439,Purchases!$D:$E,2,FALSE),"")</f>
        <v/>
      </c>
      <c r="C439" s="48" t="str">
        <f>IFERROR(VLOOKUP(A439,Purchases!$D:$F,3,FALSE),"")</f>
        <v/>
      </c>
      <c r="D439" s="48" t="str">
        <f>IF(A439="","",SUMIF(Purchases!$D:$D,A439,Purchases!$K:$K))</f>
        <v/>
      </c>
      <c r="E439" s="48" t="str">
        <f>IF(A439="","",SUMIFS(Sales!$H:$H,Sales!$F:$F,A439,Sales!$B:$B,"&lt;&gt;Return"))</f>
        <v/>
      </c>
      <c r="F439" s="48" t="str">
        <f>IF(A439="","",SUMIFS(Sales!$H:$H,Sales!$F:$F,A439,Sales!$B:$B,"Return"))</f>
        <v/>
      </c>
      <c r="G439" s="48" t="str">
        <f>IF($A439="","",SUMIF('Shop Ledger'!$C:$C,$A439,'Shop Ledger'!$F:$F))</f>
        <v/>
      </c>
      <c r="H439" s="48" t="str">
        <f t="shared" si="1"/>
        <v/>
      </c>
      <c r="I439" s="44" t="str">
        <f>IF(A439="","",IFERROR(SUMIF(Purchases!$D:$D,A439,Purchases!$I:$I)/D439,0))</f>
        <v/>
      </c>
      <c r="J439" s="44" t="str">
        <f t="shared" si="2"/>
        <v/>
      </c>
      <c r="K439" s="30" t="str">
        <f>IF($A439="","",IFERROR(VALUE(SUBSTITUTE(SUBSTITUTE(SUBSTITUTE(VLOOKUP($A439,Inventory!$O$5:$P$604,2,FALSE),"Tk","")," ",""),",","")),""))</f>
        <v/>
      </c>
      <c r="L439" s="58" t="str">
        <f t="shared" si="3"/>
        <v/>
      </c>
      <c r="M439" s="58" t="str">
        <f t="shared" si="4"/>
        <v/>
      </c>
      <c r="O439" s="59" t="str">
        <f t="shared" si="5"/>
        <v/>
      </c>
      <c r="P439" s="52"/>
    </row>
    <row r="440" ht="15.75" customHeight="1">
      <c r="A440" s="29" t="str">
        <f t="array" ref="A440">IFERROR(INDEX(Purchases!$D$5:$D$1004,MATCH(ROW()-4,Purchases!$L$5:$L$1004,0)),"")</f>
        <v/>
      </c>
      <c r="B440" s="48" t="str">
        <f>IFERROR(VLOOKUP(A440,Purchases!$D:$E,2,FALSE),"")</f>
        <v/>
      </c>
      <c r="C440" s="48" t="str">
        <f>IFERROR(VLOOKUP(A440,Purchases!$D:$F,3,FALSE),"")</f>
        <v/>
      </c>
      <c r="D440" s="48" t="str">
        <f>IF(A440="","",SUMIF(Purchases!$D:$D,A440,Purchases!$K:$K))</f>
        <v/>
      </c>
      <c r="E440" s="48" t="str">
        <f>IF(A440="","",SUMIFS(Sales!$H:$H,Sales!$F:$F,A440,Sales!$B:$B,"&lt;&gt;Return"))</f>
        <v/>
      </c>
      <c r="F440" s="48" t="str">
        <f>IF(A440="","",SUMIFS(Sales!$H:$H,Sales!$F:$F,A440,Sales!$B:$B,"Return"))</f>
        <v/>
      </c>
      <c r="G440" s="48" t="str">
        <f>IF($A440="","",SUMIF('Shop Ledger'!$C:$C,$A440,'Shop Ledger'!$F:$F))</f>
        <v/>
      </c>
      <c r="H440" s="48" t="str">
        <f t="shared" si="1"/>
        <v/>
      </c>
      <c r="I440" s="44" t="str">
        <f>IF(A440="","",IFERROR(SUMIF(Purchases!$D:$D,A440,Purchases!$I:$I)/D440,0))</f>
        <v/>
      </c>
      <c r="J440" s="44" t="str">
        <f t="shared" si="2"/>
        <v/>
      </c>
      <c r="K440" s="30" t="str">
        <f>IF($A440="","",IFERROR(VALUE(SUBSTITUTE(SUBSTITUTE(SUBSTITUTE(VLOOKUP($A440,Inventory!$O$5:$P$604,2,FALSE),"Tk","")," ",""),",","")),""))</f>
        <v/>
      </c>
      <c r="L440" s="58" t="str">
        <f t="shared" si="3"/>
        <v/>
      </c>
      <c r="M440" s="58" t="str">
        <f t="shared" si="4"/>
        <v/>
      </c>
      <c r="O440" s="59" t="str">
        <f t="shared" si="5"/>
        <v/>
      </c>
      <c r="P440" s="52"/>
    </row>
    <row r="441" ht="15.75" customHeight="1">
      <c r="A441" s="29" t="str">
        <f t="array" ref="A441">IFERROR(INDEX(Purchases!$D$5:$D$1004,MATCH(ROW()-4,Purchases!$L$5:$L$1004,0)),"")</f>
        <v/>
      </c>
      <c r="B441" s="48" t="str">
        <f>IFERROR(VLOOKUP(A441,Purchases!$D:$E,2,FALSE),"")</f>
        <v/>
      </c>
      <c r="C441" s="48" t="str">
        <f>IFERROR(VLOOKUP(A441,Purchases!$D:$F,3,FALSE),"")</f>
        <v/>
      </c>
      <c r="D441" s="48" t="str">
        <f>IF(A441="","",SUMIF(Purchases!$D:$D,A441,Purchases!$K:$K))</f>
        <v/>
      </c>
      <c r="E441" s="48" t="str">
        <f>IF(A441="","",SUMIFS(Sales!$H:$H,Sales!$F:$F,A441,Sales!$B:$B,"&lt;&gt;Return"))</f>
        <v/>
      </c>
      <c r="F441" s="48" t="str">
        <f>IF(A441="","",SUMIFS(Sales!$H:$H,Sales!$F:$F,A441,Sales!$B:$B,"Return"))</f>
        <v/>
      </c>
      <c r="G441" s="48" t="str">
        <f>IF($A441="","",SUMIF('Shop Ledger'!$C:$C,$A441,'Shop Ledger'!$F:$F))</f>
        <v/>
      </c>
      <c r="H441" s="48" t="str">
        <f t="shared" si="1"/>
        <v/>
      </c>
      <c r="I441" s="44" t="str">
        <f>IF(A441="","",IFERROR(SUMIF(Purchases!$D:$D,A441,Purchases!$I:$I)/D441,0))</f>
        <v/>
      </c>
      <c r="J441" s="44" t="str">
        <f t="shared" si="2"/>
        <v/>
      </c>
      <c r="K441" s="30" t="str">
        <f>IF($A441="","",IFERROR(VALUE(SUBSTITUTE(SUBSTITUTE(SUBSTITUTE(VLOOKUP($A441,Inventory!$O$5:$P$604,2,FALSE),"Tk","")," ",""),",","")),""))</f>
        <v/>
      </c>
      <c r="L441" s="58" t="str">
        <f t="shared" si="3"/>
        <v/>
      </c>
      <c r="M441" s="58" t="str">
        <f t="shared" si="4"/>
        <v/>
      </c>
      <c r="O441" s="59" t="str">
        <f t="shared" si="5"/>
        <v/>
      </c>
      <c r="P441" s="52"/>
    </row>
    <row r="442" ht="15.75" customHeight="1">
      <c r="A442" s="29" t="str">
        <f t="array" ref="A442">IFERROR(INDEX(Purchases!$D$5:$D$1004,MATCH(ROW()-4,Purchases!$L$5:$L$1004,0)),"")</f>
        <v/>
      </c>
      <c r="B442" s="48" t="str">
        <f>IFERROR(VLOOKUP(A442,Purchases!$D:$E,2,FALSE),"")</f>
        <v/>
      </c>
      <c r="C442" s="48" t="str">
        <f>IFERROR(VLOOKUP(A442,Purchases!$D:$F,3,FALSE),"")</f>
        <v/>
      </c>
      <c r="D442" s="48" t="str">
        <f>IF(A442="","",SUMIF(Purchases!$D:$D,A442,Purchases!$K:$K))</f>
        <v/>
      </c>
      <c r="E442" s="48" t="str">
        <f>IF(A442="","",SUMIFS(Sales!$H:$H,Sales!$F:$F,A442,Sales!$B:$B,"&lt;&gt;Return"))</f>
        <v/>
      </c>
      <c r="F442" s="48" t="str">
        <f>IF(A442="","",SUMIFS(Sales!$H:$H,Sales!$F:$F,A442,Sales!$B:$B,"Return"))</f>
        <v/>
      </c>
      <c r="G442" s="48" t="str">
        <f>IF($A442="","",SUMIF('Shop Ledger'!$C:$C,$A442,'Shop Ledger'!$F:$F))</f>
        <v/>
      </c>
      <c r="H442" s="48" t="str">
        <f t="shared" si="1"/>
        <v/>
      </c>
      <c r="I442" s="44" t="str">
        <f>IF(A442="","",IFERROR(SUMIF(Purchases!$D:$D,A442,Purchases!$I:$I)/D442,0))</f>
        <v/>
      </c>
      <c r="J442" s="44" t="str">
        <f t="shared" si="2"/>
        <v/>
      </c>
      <c r="K442" s="30" t="str">
        <f>IF($A442="","",IFERROR(VALUE(SUBSTITUTE(SUBSTITUTE(SUBSTITUTE(VLOOKUP($A442,Inventory!$O$5:$P$604,2,FALSE),"Tk","")," ",""),",","")),""))</f>
        <v/>
      </c>
      <c r="L442" s="58" t="str">
        <f t="shared" si="3"/>
        <v/>
      </c>
      <c r="M442" s="58" t="str">
        <f t="shared" si="4"/>
        <v/>
      </c>
      <c r="O442" s="59" t="str">
        <f t="shared" si="5"/>
        <v/>
      </c>
      <c r="P442" s="52"/>
    </row>
    <row r="443" ht="15.75" customHeight="1">
      <c r="A443" s="29" t="str">
        <f t="array" ref="A443">IFERROR(INDEX(Purchases!$D$5:$D$1004,MATCH(ROW()-4,Purchases!$L$5:$L$1004,0)),"")</f>
        <v/>
      </c>
      <c r="B443" s="48" t="str">
        <f>IFERROR(VLOOKUP(A443,Purchases!$D:$E,2,FALSE),"")</f>
        <v/>
      </c>
      <c r="C443" s="48" t="str">
        <f>IFERROR(VLOOKUP(A443,Purchases!$D:$F,3,FALSE),"")</f>
        <v/>
      </c>
      <c r="D443" s="48" t="str">
        <f>IF(A443="","",SUMIF(Purchases!$D:$D,A443,Purchases!$K:$K))</f>
        <v/>
      </c>
      <c r="E443" s="48" t="str">
        <f>IF(A443="","",SUMIFS(Sales!$H:$H,Sales!$F:$F,A443,Sales!$B:$B,"&lt;&gt;Return"))</f>
        <v/>
      </c>
      <c r="F443" s="48" t="str">
        <f>IF(A443="","",SUMIFS(Sales!$H:$H,Sales!$F:$F,A443,Sales!$B:$B,"Return"))</f>
        <v/>
      </c>
      <c r="G443" s="48" t="str">
        <f>IF($A443="","",SUMIF('Shop Ledger'!$C:$C,$A443,'Shop Ledger'!$F:$F))</f>
        <v/>
      </c>
      <c r="H443" s="48" t="str">
        <f t="shared" si="1"/>
        <v/>
      </c>
      <c r="I443" s="44" t="str">
        <f>IF(A443="","",IFERROR(SUMIF(Purchases!$D:$D,A443,Purchases!$I:$I)/D443,0))</f>
        <v/>
      </c>
      <c r="J443" s="44" t="str">
        <f t="shared" si="2"/>
        <v/>
      </c>
      <c r="K443" s="30" t="str">
        <f>IF($A443="","",IFERROR(VALUE(SUBSTITUTE(SUBSTITUTE(SUBSTITUTE(VLOOKUP($A443,Inventory!$O$5:$P$604,2,FALSE),"Tk","")," ",""),",","")),""))</f>
        <v/>
      </c>
      <c r="L443" s="58" t="str">
        <f t="shared" si="3"/>
        <v/>
      </c>
      <c r="M443" s="58" t="str">
        <f t="shared" si="4"/>
        <v/>
      </c>
      <c r="O443" s="59" t="str">
        <f t="shared" si="5"/>
        <v/>
      </c>
      <c r="P443" s="52"/>
    </row>
    <row r="444" ht="15.75" customHeight="1">
      <c r="A444" s="29" t="str">
        <f t="array" ref="A444">IFERROR(INDEX(Purchases!$D$5:$D$1004,MATCH(ROW()-4,Purchases!$L$5:$L$1004,0)),"")</f>
        <v/>
      </c>
      <c r="B444" s="48" t="str">
        <f>IFERROR(VLOOKUP(A444,Purchases!$D:$E,2,FALSE),"")</f>
        <v/>
      </c>
      <c r="C444" s="48" t="str">
        <f>IFERROR(VLOOKUP(A444,Purchases!$D:$F,3,FALSE),"")</f>
        <v/>
      </c>
      <c r="D444" s="48" t="str">
        <f>IF(A444="","",SUMIF(Purchases!$D:$D,A444,Purchases!$K:$K))</f>
        <v/>
      </c>
      <c r="E444" s="48" t="str">
        <f>IF(A444="","",SUMIFS(Sales!$H:$H,Sales!$F:$F,A444,Sales!$B:$B,"&lt;&gt;Return"))</f>
        <v/>
      </c>
      <c r="F444" s="48" t="str">
        <f>IF(A444="","",SUMIFS(Sales!$H:$H,Sales!$F:$F,A444,Sales!$B:$B,"Return"))</f>
        <v/>
      </c>
      <c r="G444" s="48" t="str">
        <f>IF($A444="","",SUMIF('Shop Ledger'!$C:$C,$A444,'Shop Ledger'!$F:$F))</f>
        <v/>
      </c>
      <c r="H444" s="48" t="str">
        <f t="shared" si="1"/>
        <v/>
      </c>
      <c r="I444" s="44" t="str">
        <f>IF(A444="","",IFERROR(SUMIF(Purchases!$D:$D,A444,Purchases!$I:$I)/D444,0))</f>
        <v/>
      </c>
      <c r="J444" s="44" t="str">
        <f t="shared" si="2"/>
        <v/>
      </c>
      <c r="K444" s="30" t="str">
        <f>IF($A444="","",IFERROR(VALUE(SUBSTITUTE(SUBSTITUTE(SUBSTITUTE(VLOOKUP($A444,Inventory!$O$5:$P$604,2,FALSE),"Tk","")," ",""),",","")),""))</f>
        <v/>
      </c>
      <c r="L444" s="58" t="str">
        <f t="shared" si="3"/>
        <v/>
      </c>
      <c r="M444" s="58" t="str">
        <f t="shared" si="4"/>
        <v/>
      </c>
      <c r="O444" s="59" t="str">
        <f t="shared" si="5"/>
        <v/>
      </c>
      <c r="P444" s="52"/>
    </row>
    <row r="445" ht="15.75" customHeight="1">
      <c r="A445" s="29" t="str">
        <f t="array" ref="A445">IFERROR(INDEX(Purchases!$D$5:$D$1004,MATCH(ROW()-4,Purchases!$L$5:$L$1004,0)),"")</f>
        <v/>
      </c>
      <c r="B445" s="48" t="str">
        <f>IFERROR(VLOOKUP(A445,Purchases!$D:$E,2,FALSE),"")</f>
        <v/>
      </c>
      <c r="C445" s="48" t="str">
        <f>IFERROR(VLOOKUP(A445,Purchases!$D:$F,3,FALSE),"")</f>
        <v/>
      </c>
      <c r="D445" s="48" t="str">
        <f>IF(A445="","",SUMIF(Purchases!$D:$D,A445,Purchases!$K:$K))</f>
        <v/>
      </c>
      <c r="E445" s="48" t="str">
        <f>IF(A445="","",SUMIFS(Sales!$H:$H,Sales!$F:$F,A445,Sales!$B:$B,"&lt;&gt;Return"))</f>
        <v/>
      </c>
      <c r="F445" s="48" t="str">
        <f>IF(A445="","",SUMIFS(Sales!$H:$H,Sales!$F:$F,A445,Sales!$B:$B,"Return"))</f>
        <v/>
      </c>
      <c r="G445" s="48" t="str">
        <f>IF($A445="","",SUMIF('Shop Ledger'!$C:$C,$A445,'Shop Ledger'!$F:$F))</f>
        <v/>
      </c>
      <c r="H445" s="48" t="str">
        <f t="shared" si="1"/>
        <v/>
      </c>
      <c r="I445" s="44" t="str">
        <f>IF(A445="","",IFERROR(SUMIF(Purchases!$D:$D,A445,Purchases!$I:$I)/D445,0))</f>
        <v/>
      </c>
      <c r="J445" s="44" t="str">
        <f t="shared" si="2"/>
        <v/>
      </c>
      <c r="K445" s="30" t="str">
        <f>IF($A445="","",IFERROR(VALUE(SUBSTITUTE(SUBSTITUTE(SUBSTITUTE(VLOOKUP($A445,Inventory!$O$5:$P$604,2,FALSE),"Tk","")," ",""),",","")),""))</f>
        <v/>
      </c>
      <c r="L445" s="58" t="str">
        <f t="shared" si="3"/>
        <v/>
      </c>
      <c r="M445" s="58" t="str">
        <f t="shared" si="4"/>
        <v/>
      </c>
      <c r="O445" s="59" t="str">
        <f t="shared" si="5"/>
        <v/>
      </c>
      <c r="P445" s="52"/>
    </row>
    <row r="446" ht="15.75" customHeight="1">
      <c r="A446" s="29" t="str">
        <f t="array" ref="A446">IFERROR(INDEX(Purchases!$D$5:$D$1004,MATCH(ROW()-4,Purchases!$L$5:$L$1004,0)),"")</f>
        <v/>
      </c>
      <c r="B446" s="48" t="str">
        <f>IFERROR(VLOOKUP(A446,Purchases!$D:$E,2,FALSE),"")</f>
        <v/>
      </c>
      <c r="C446" s="48" t="str">
        <f>IFERROR(VLOOKUP(A446,Purchases!$D:$F,3,FALSE),"")</f>
        <v/>
      </c>
      <c r="D446" s="48" t="str">
        <f>IF(A446="","",SUMIF(Purchases!$D:$D,A446,Purchases!$K:$K))</f>
        <v/>
      </c>
      <c r="E446" s="48" t="str">
        <f>IF(A446="","",SUMIFS(Sales!$H:$H,Sales!$F:$F,A446,Sales!$B:$B,"&lt;&gt;Return"))</f>
        <v/>
      </c>
      <c r="F446" s="48" t="str">
        <f>IF(A446="","",SUMIFS(Sales!$H:$H,Sales!$F:$F,A446,Sales!$B:$B,"Return"))</f>
        <v/>
      </c>
      <c r="G446" s="48" t="str">
        <f>IF($A446="","",SUMIF('Shop Ledger'!$C:$C,$A446,'Shop Ledger'!$F:$F))</f>
        <v/>
      </c>
      <c r="H446" s="48" t="str">
        <f t="shared" si="1"/>
        <v/>
      </c>
      <c r="I446" s="44" t="str">
        <f>IF(A446="","",IFERROR(SUMIF(Purchases!$D:$D,A446,Purchases!$I:$I)/D446,0))</f>
        <v/>
      </c>
      <c r="J446" s="44" t="str">
        <f t="shared" si="2"/>
        <v/>
      </c>
      <c r="K446" s="30" t="str">
        <f>IF($A446="","",IFERROR(VALUE(SUBSTITUTE(SUBSTITUTE(SUBSTITUTE(VLOOKUP($A446,Inventory!$O$5:$P$604,2,FALSE),"Tk","")," ",""),",","")),""))</f>
        <v/>
      </c>
      <c r="L446" s="58" t="str">
        <f t="shared" si="3"/>
        <v/>
      </c>
      <c r="M446" s="58" t="str">
        <f t="shared" si="4"/>
        <v/>
      </c>
      <c r="O446" s="59" t="str">
        <f t="shared" si="5"/>
        <v/>
      </c>
      <c r="P446" s="52"/>
    </row>
    <row r="447" ht="15.75" customHeight="1">
      <c r="A447" s="29" t="str">
        <f t="array" ref="A447">IFERROR(INDEX(Purchases!$D$5:$D$1004,MATCH(ROW()-4,Purchases!$L$5:$L$1004,0)),"")</f>
        <v/>
      </c>
      <c r="B447" s="48" t="str">
        <f>IFERROR(VLOOKUP(A447,Purchases!$D:$E,2,FALSE),"")</f>
        <v/>
      </c>
      <c r="C447" s="48" t="str">
        <f>IFERROR(VLOOKUP(A447,Purchases!$D:$F,3,FALSE),"")</f>
        <v/>
      </c>
      <c r="D447" s="48" t="str">
        <f>IF(A447="","",SUMIF(Purchases!$D:$D,A447,Purchases!$K:$K))</f>
        <v/>
      </c>
      <c r="E447" s="48" t="str">
        <f>IF(A447="","",SUMIFS(Sales!$H:$H,Sales!$F:$F,A447,Sales!$B:$B,"&lt;&gt;Return"))</f>
        <v/>
      </c>
      <c r="F447" s="48" t="str">
        <f>IF(A447="","",SUMIFS(Sales!$H:$H,Sales!$F:$F,A447,Sales!$B:$B,"Return"))</f>
        <v/>
      </c>
      <c r="G447" s="48" t="str">
        <f>IF($A447="","",SUMIF('Shop Ledger'!$C:$C,$A447,'Shop Ledger'!$F:$F))</f>
        <v/>
      </c>
      <c r="H447" s="48" t="str">
        <f t="shared" si="1"/>
        <v/>
      </c>
      <c r="I447" s="44" t="str">
        <f>IF(A447="","",IFERROR(SUMIF(Purchases!$D:$D,A447,Purchases!$I:$I)/D447,0))</f>
        <v/>
      </c>
      <c r="J447" s="44" t="str">
        <f t="shared" si="2"/>
        <v/>
      </c>
      <c r="K447" s="30" t="str">
        <f>IF($A447="","",IFERROR(VALUE(SUBSTITUTE(SUBSTITUTE(SUBSTITUTE(VLOOKUP($A447,Inventory!$O$5:$P$604,2,FALSE),"Tk","")," ",""),",","")),""))</f>
        <v/>
      </c>
      <c r="L447" s="58" t="str">
        <f t="shared" si="3"/>
        <v/>
      </c>
      <c r="M447" s="58" t="str">
        <f t="shared" si="4"/>
        <v/>
      </c>
      <c r="O447" s="59" t="str">
        <f t="shared" si="5"/>
        <v/>
      </c>
      <c r="P447" s="52"/>
    </row>
    <row r="448" ht="15.75" customHeight="1">
      <c r="A448" s="29" t="str">
        <f t="array" ref="A448">IFERROR(INDEX(Purchases!$D$5:$D$1004,MATCH(ROW()-4,Purchases!$L$5:$L$1004,0)),"")</f>
        <v/>
      </c>
      <c r="B448" s="48" t="str">
        <f>IFERROR(VLOOKUP(A448,Purchases!$D:$E,2,FALSE),"")</f>
        <v/>
      </c>
      <c r="C448" s="48" t="str">
        <f>IFERROR(VLOOKUP(A448,Purchases!$D:$F,3,FALSE),"")</f>
        <v/>
      </c>
      <c r="D448" s="48" t="str">
        <f>IF(A448="","",SUMIF(Purchases!$D:$D,A448,Purchases!$K:$K))</f>
        <v/>
      </c>
      <c r="E448" s="48" t="str">
        <f>IF(A448="","",SUMIFS(Sales!$H:$H,Sales!$F:$F,A448,Sales!$B:$B,"&lt;&gt;Return"))</f>
        <v/>
      </c>
      <c r="F448" s="48" t="str">
        <f>IF(A448="","",SUMIFS(Sales!$H:$H,Sales!$F:$F,A448,Sales!$B:$B,"Return"))</f>
        <v/>
      </c>
      <c r="G448" s="48" t="str">
        <f>IF($A448="","",SUMIF('Shop Ledger'!$C:$C,$A448,'Shop Ledger'!$F:$F))</f>
        <v/>
      </c>
      <c r="H448" s="48" t="str">
        <f t="shared" si="1"/>
        <v/>
      </c>
      <c r="I448" s="44" t="str">
        <f>IF(A448="","",IFERROR(SUMIF(Purchases!$D:$D,A448,Purchases!$I:$I)/D448,0))</f>
        <v/>
      </c>
      <c r="J448" s="44" t="str">
        <f t="shared" si="2"/>
        <v/>
      </c>
      <c r="K448" s="30" t="str">
        <f>IF($A448="","",IFERROR(VALUE(SUBSTITUTE(SUBSTITUTE(SUBSTITUTE(VLOOKUP($A448,Inventory!$O$5:$P$604,2,FALSE),"Tk","")," ",""),",","")),""))</f>
        <v/>
      </c>
      <c r="L448" s="58" t="str">
        <f t="shared" si="3"/>
        <v/>
      </c>
      <c r="M448" s="58" t="str">
        <f t="shared" si="4"/>
        <v/>
      </c>
      <c r="O448" s="59" t="str">
        <f t="shared" si="5"/>
        <v/>
      </c>
      <c r="P448" s="52"/>
    </row>
    <row r="449" ht="15.75" customHeight="1">
      <c r="A449" s="29" t="str">
        <f t="array" ref="A449">IFERROR(INDEX(Purchases!$D$5:$D$1004,MATCH(ROW()-4,Purchases!$L$5:$L$1004,0)),"")</f>
        <v/>
      </c>
      <c r="B449" s="48" t="str">
        <f>IFERROR(VLOOKUP(A449,Purchases!$D:$E,2,FALSE),"")</f>
        <v/>
      </c>
      <c r="C449" s="48" t="str">
        <f>IFERROR(VLOOKUP(A449,Purchases!$D:$F,3,FALSE),"")</f>
        <v/>
      </c>
      <c r="D449" s="48" t="str">
        <f>IF(A449="","",SUMIF(Purchases!$D:$D,A449,Purchases!$K:$K))</f>
        <v/>
      </c>
      <c r="E449" s="48" t="str">
        <f>IF(A449="","",SUMIFS(Sales!$H:$H,Sales!$F:$F,A449,Sales!$B:$B,"&lt;&gt;Return"))</f>
        <v/>
      </c>
      <c r="F449" s="48" t="str">
        <f>IF(A449="","",SUMIFS(Sales!$H:$H,Sales!$F:$F,A449,Sales!$B:$B,"Return"))</f>
        <v/>
      </c>
      <c r="G449" s="48" t="str">
        <f>IF($A449="","",SUMIF('Shop Ledger'!$C:$C,$A449,'Shop Ledger'!$F:$F))</f>
        <v/>
      </c>
      <c r="H449" s="48" t="str">
        <f t="shared" si="1"/>
        <v/>
      </c>
      <c r="I449" s="44" t="str">
        <f>IF(A449="","",IFERROR(SUMIF(Purchases!$D:$D,A449,Purchases!$I:$I)/D449,0))</f>
        <v/>
      </c>
      <c r="J449" s="44" t="str">
        <f t="shared" si="2"/>
        <v/>
      </c>
      <c r="K449" s="30" t="str">
        <f>IF($A449="","",IFERROR(VALUE(SUBSTITUTE(SUBSTITUTE(SUBSTITUTE(VLOOKUP($A449,Inventory!$O$5:$P$604,2,FALSE),"Tk","")," ",""),",","")),""))</f>
        <v/>
      </c>
      <c r="L449" s="58" t="str">
        <f t="shared" si="3"/>
        <v/>
      </c>
      <c r="M449" s="58" t="str">
        <f t="shared" si="4"/>
        <v/>
      </c>
      <c r="O449" s="59" t="str">
        <f t="shared" si="5"/>
        <v/>
      </c>
      <c r="P449" s="52"/>
    </row>
    <row r="450" ht="15.75" customHeight="1">
      <c r="A450" s="29" t="str">
        <f t="array" ref="A450">IFERROR(INDEX(Purchases!$D$5:$D$1004,MATCH(ROW()-4,Purchases!$L$5:$L$1004,0)),"")</f>
        <v/>
      </c>
      <c r="B450" s="48" t="str">
        <f>IFERROR(VLOOKUP(A450,Purchases!$D:$E,2,FALSE),"")</f>
        <v/>
      </c>
      <c r="C450" s="48" t="str">
        <f>IFERROR(VLOOKUP(A450,Purchases!$D:$F,3,FALSE),"")</f>
        <v/>
      </c>
      <c r="D450" s="48" t="str">
        <f>IF(A450="","",SUMIF(Purchases!$D:$D,A450,Purchases!$K:$K))</f>
        <v/>
      </c>
      <c r="E450" s="48" t="str">
        <f>IF(A450="","",SUMIFS(Sales!$H:$H,Sales!$F:$F,A450,Sales!$B:$B,"&lt;&gt;Return"))</f>
        <v/>
      </c>
      <c r="F450" s="48" t="str">
        <f>IF(A450="","",SUMIFS(Sales!$H:$H,Sales!$F:$F,A450,Sales!$B:$B,"Return"))</f>
        <v/>
      </c>
      <c r="G450" s="48" t="str">
        <f>IF($A450="","",SUMIF('Shop Ledger'!$C:$C,$A450,'Shop Ledger'!$F:$F))</f>
        <v/>
      </c>
      <c r="H450" s="48" t="str">
        <f t="shared" si="1"/>
        <v/>
      </c>
      <c r="I450" s="44" t="str">
        <f>IF(A450="","",IFERROR(SUMIF(Purchases!$D:$D,A450,Purchases!$I:$I)/D450,0))</f>
        <v/>
      </c>
      <c r="J450" s="44" t="str">
        <f t="shared" si="2"/>
        <v/>
      </c>
      <c r="K450" s="30" t="str">
        <f>IF($A450="","",IFERROR(VALUE(SUBSTITUTE(SUBSTITUTE(SUBSTITUTE(VLOOKUP($A450,Inventory!$O$5:$P$604,2,FALSE),"Tk","")," ",""),",","")),""))</f>
        <v/>
      </c>
      <c r="L450" s="58" t="str">
        <f t="shared" si="3"/>
        <v/>
      </c>
      <c r="M450" s="58" t="str">
        <f t="shared" si="4"/>
        <v/>
      </c>
      <c r="O450" s="59" t="str">
        <f t="shared" si="5"/>
        <v/>
      </c>
      <c r="P450" s="52"/>
    </row>
    <row r="451" ht="15.75" customHeight="1">
      <c r="A451" s="29" t="str">
        <f t="array" ref="A451">IFERROR(INDEX(Purchases!$D$5:$D$1004,MATCH(ROW()-4,Purchases!$L$5:$L$1004,0)),"")</f>
        <v/>
      </c>
      <c r="B451" s="48" t="str">
        <f>IFERROR(VLOOKUP(A451,Purchases!$D:$E,2,FALSE),"")</f>
        <v/>
      </c>
      <c r="C451" s="48" t="str">
        <f>IFERROR(VLOOKUP(A451,Purchases!$D:$F,3,FALSE),"")</f>
        <v/>
      </c>
      <c r="D451" s="48" t="str">
        <f>IF(A451="","",SUMIF(Purchases!$D:$D,A451,Purchases!$K:$K))</f>
        <v/>
      </c>
      <c r="E451" s="48" t="str">
        <f>IF(A451="","",SUMIFS(Sales!$H:$H,Sales!$F:$F,A451,Sales!$B:$B,"&lt;&gt;Return"))</f>
        <v/>
      </c>
      <c r="F451" s="48" t="str">
        <f>IF(A451="","",SUMIFS(Sales!$H:$H,Sales!$F:$F,A451,Sales!$B:$B,"Return"))</f>
        <v/>
      </c>
      <c r="G451" s="48" t="str">
        <f>IF($A451="","",SUMIF('Shop Ledger'!$C:$C,$A451,'Shop Ledger'!$F:$F))</f>
        <v/>
      </c>
      <c r="H451" s="48" t="str">
        <f t="shared" si="1"/>
        <v/>
      </c>
      <c r="I451" s="44" t="str">
        <f>IF(A451="","",IFERROR(SUMIF(Purchases!$D:$D,A451,Purchases!$I:$I)/D451,0))</f>
        <v/>
      </c>
      <c r="J451" s="44" t="str">
        <f t="shared" si="2"/>
        <v/>
      </c>
      <c r="K451" s="30" t="str">
        <f>IF($A451="","",IFERROR(VALUE(SUBSTITUTE(SUBSTITUTE(SUBSTITUTE(VLOOKUP($A451,Inventory!$O$5:$P$604,2,FALSE),"Tk","")," ",""),",","")),""))</f>
        <v/>
      </c>
      <c r="L451" s="58" t="str">
        <f t="shared" si="3"/>
        <v/>
      </c>
      <c r="M451" s="58" t="str">
        <f t="shared" si="4"/>
        <v/>
      </c>
      <c r="O451" s="59" t="str">
        <f t="shared" si="5"/>
        <v/>
      </c>
      <c r="P451" s="52"/>
    </row>
    <row r="452" ht="15.75" customHeight="1">
      <c r="A452" s="29" t="str">
        <f t="array" ref="A452">IFERROR(INDEX(Purchases!$D$5:$D$1004,MATCH(ROW()-4,Purchases!$L$5:$L$1004,0)),"")</f>
        <v/>
      </c>
      <c r="B452" s="48" t="str">
        <f>IFERROR(VLOOKUP(A452,Purchases!$D:$E,2,FALSE),"")</f>
        <v/>
      </c>
      <c r="C452" s="48" t="str">
        <f>IFERROR(VLOOKUP(A452,Purchases!$D:$F,3,FALSE),"")</f>
        <v/>
      </c>
      <c r="D452" s="48" t="str">
        <f>IF(A452="","",SUMIF(Purchases!$D:$D,A452,Purchases!$K:$K))</f>
        <v/>
      </c>
      <c r="E452" s="48" t="str">
        <f>IF(A452="","",SUMIFS(Sales!$H:$H,Sales!$F:$F,A452,Sales!$B:$B,"&lt;&gt;Return"))</f>
        <v/>
      </c>
      <c r="F452" s="48" t="str">
        <f>IF(A452="","",SUMIFS(Sales!$H:$H,Sales!$F:$F,A452,Sales!$B:$B,"Return"))</f>
        <v/>
      </c>
      <c r="G452" s="48" t="str">
        <f>IF($A452="","",SUMIF('Shop Ledger'!$C:$C,$A452,'Shop Ledger'!$F:$F))</f>
        <v/>
      </c>
      <c r="H452" s="48" t="str">
        <f t="shared" si="1"/>
        <v/>
      </c>
      <c r="I452" s="44" t="str">
        <f>IF(A452="","",IFERROR(SUMIF(Purchases!$D:$D,A452,Purchases!$I:$I)/D452,0))</f>
        <v/>
      </c>
      <c r="J452" s="44" t="str">
        <f t="shared" si="2"/>
        <v/>
      </c>
      <c r="K452" s="30" t="str">
        <f>IF($A452="","",IFERROR(VALUE(SUBSTITUTE(SUBSTITUTE(SUBSTITUTE(VLOOKUP($A452,Inventory!$O$5:$P$604,2,FALSE),"Tk","")," ",""),",","")),""))</f>
        <v/>
      </c>
      <c r="L452" s="58" t="str">
        <f t="shared" si="3"/>
        <v/>
      </c>
      <c r="M452" s="58" t="str">
        <f t="shared" si="4"/>
        <v/>
      </c>
      <c r="O452" s="59" t="str">
        <f t="shared" si="5"/>
        <v/>
      </c>
      <c r="P452" s="52"/>
    </row>
    <row r="453" ht="15.75" customHeight="1">
      <c r="A453" s="29" t="str">
        <f t="array" ref="A453">IFERROR(INDEX(Purchases!$D$5:$D$1004,MATCH(ROW()-4,Purchases!$L$5:$L$1004,0)),"")</f>
        <v/>
      </c>
      <c r="B453" s="48" t="str">
        <f>IFERROR(VLOOKUP(A453,Purchases!$D:$E,2,FALSE),"")</f>
        <v/>
      </c>
      <c r="C453" s="48" t="str">
        <f>IFERROR(VLOOKUP(A453,Purchases!$D:$F,3,FALSE),"")</f>
        <v/>
      </c>
      <c r="D453" s="48" t="str">
        <f>IF(A453="","",SUMIF(Purchases!$D:$D,A453,Purchases!$K:$K))</f>
        <v/>
      </c>
      <c r="E453" s="48" t="str">
        <f>IF(A453="","",SUMIFS(Sales!$H:$H,Sales!$F:$F,A453,Sales!$B:$B,"&lt;&gt;Return"))</f>
        <v/>
      </c>
      <c r="F453" s="48" t="str">
        <f>IF(A453="","",SUMIFS(Sales!$H:$H,Sales!$F:$F,A453,Sales!$B:$B,"Return"))</f>
        <v/>
      </c>
      <c r="G453" s="48" t="str">
        <f>IF($A453="","",SUMIF('Shop Ledger'!$C:$C,$A453,'Shop Ledger'!$F:$F))</f>
        <v/>
      </c>
      <c r="H453" s="48" t="str">
        <f t="shared" si="1"/>
        <v/>
      </c>
      <c r="I453" s="44" t="str">
        <f>IF(A453="","",IFERROR(SUMIF(Purchases!$D:$D,A453,Purchases!$I:$I)/D453,0))</f>
        <v/>
      </c>
      <c r="J453" s="44" t="str">
        <f t="shared" si="2"/>
        <v/>
      </c>
      <c r="K453" s="30" t="str">
        <f>IF($A453="","",IFERROR(VALUE(SUBSTITUTE(SUBSTITUTE(SUBSTITUTE(VLOOKUP($A453,Inventory!$O$5:$P$604,2,FALSE),"Tk","")," ",""),",","")),""))</f>
        <v/>
      </c>
      <c r="L453" s="58" t="str">
        <f t="shared" si="3"/>
        <v/>
      </c>
      <c r="M453" s="58" t="str">
        <f t="shared" si="4"/>
        <v/>
      </c>
      <c r="O453" s="59" t="str">
        <f t="shared" si="5"/>
        <v/>
      </c>
      <c r="P453" s="52"/>
    </row>
    <row r="454" ht="15.75" customHeight="1">
      <c r="A454" s="29" t="str">
        <f t="array" ref="A454">IFERROR(INDEX(Purchases!$D$5:$D$1004,MATCH(ROW()-4,Purchases!$L$5:$L$1004,0)),"")</f>
        <v/>
      </c>
      <c r="B454" s="48" t="str">
        <f>IFERROR(VLOOKUP(A454,Purchases!$D:$E,2,FALSE),"")</f>
        <v/>
      </c>
      <c r="C454" s="48" t="str">
        <f>IFERROR(VLOOKUP(A454,Purchases!$D:$F,3,FALSE),"")</f>
        <v/>
      </c>
      <c r="D454" s="48" t="str">
        <f>IF(A454="","",SUMIF(Purchases!$D:$D,A454,Purchases!$K:$K))</f>
        <v/>
      </c>
      <c r="E454" s="48" t="str">
        <f>IF(A454="","",SUMIFS(Sales!$H:$H,Sales!$F:$F,A454,Sales!$B:$B,"&lt;&gt;Return"))</f>
        <v/>
      </c>
      <c r="F454" s="48" t="str">
        <f>IF(A454="","",SUMIFS(Sales!$H:$H,Sales!$F:$F,A454,Sales!$B:$B,"Return"))</f>
        <v/>
      </c>
      <c r="G454" s="48" t="str">
        <f>IF($A454="","",SUMIF('Shop Ledger'!$C:$C,$A454,'Shop Ledger'!$F:$F))</f>
        <v/>
      </c>
      <c r="H454" s="48" t="str">
        <f t="shared" si="1"/>
        <v/>
      </c>
      <c r="I454" s="44" t="str">
        <f>IF(A454="","",IFERROR(SUMIF(Purchases!$D:$D,A454,Purchases!$I:$I)/D454,0))</f>
        <v/>
      </c>
      <c r="J454" s="44" t="str">
        <f t="shared" si="2"/>
        <v/>
      </c>
      <c r="K454" s="30" t="str">
        <f>IF($A454="","",IFERROR(VALUE(SUBSTITUTE(SUBSTITUTE(SUBSTITUTE(VLOOKUP($A454,Inventory!$O$5:$P$604,2,FALSE),"Tk","")," ",""),",","")),""))</f>
        <v/>
      </c>
      <c r="L454" s="58" t="str">
        <f t="shared" si="3"/>
        <v/>
      </c>
      <c r="M454" s="58" t="str">
        <f t="shared" si="4"/>
        <v/>
      </c>
      <c r="O454" s="59" t="str">
        <f t="shared" si="5"/>
        <v/>
      </c>
      <c r="P454" s="52"/>
    </row>
    <row r="455" ht="15.75" customHeight="1">
      <c r="A455" s="29" t="str">
        <f t="array" ref="A455">IFERROR(INDEX(Purchases!$D$5:$D$1004,MATCH(ROW()-4,Purchases!$L$5:$L$1004,0)),"")</f>
        <v/>
      </c>
      <c r="B455" s="48" t="str">
        <f>IFERROR(VLOOKUP(A455,Purchases!$D:$E,2,FALSE),"")</f>
        <v/>
      </c>
      <c r="C455" s="48" t="str">
        <f>IFERROR(VLOOKUP(A455,Purchases!$D:$F,3,FALSE),"")</f>
        <v/>
      </c>
      <c r="D455" s="48" t="str">
        <f>IF(A455="","",SUMIF(Purchases!$D:$D,A455,Purchases!$K:$K))</f>
        <v/>
      </c>
      <c r="E455" s="48" t="str">
        <f>IF(A455="","",SUMIFS(Sales!$H:$H,Sales!$F:$F,A455,Sales!$B:$B,"&lt;&gt;Return"))</f>
        <v/>
      </c>
      <c r="F455" s="48" t="str">
        <f>IF(A455="","",SUMIFS(Sales!$H:$H,Sales!$F:$F,A455,Sales!$B:$B,"Return"))</f>
        <v/>
      </c>
      <c r="G455" s="48" t="str">
        <f>IF($A455="","",SUMIF('Shop Ledger'!$C:$C,$A455,'Shop Ledger'!$F:$F))</f>
        <v/>
      </c>
      <c r="H455" s="48" t="str">
        <f t="shared" si="1"/>
        <v/>
      </c>
      <c r="I455" s="44" t="str">
        <f>IF(A455="","",IFERROR(SUMIF(Purchases!$D:$D,A455,Purchases!$I:$I)/D455,0))</f>
        <v/>
      </c>
      <c r="J455" s="44" t="str">
        <f t="shared" si="2"/>
        <v/>
      </c>
      <c r="K455" s="30" t="str">
        <f>IF($A455="","",IFERROR(VALUE(SUBSTITUTE(SUBSTITUTE(SUBSTITUTE(VLOOKUP($A455,Inventory!$O$5:$P$604,2,FALSE),"Tk","")," ",""),",","")),""))</f>
        <v/>
      </c>
      <c r="L455" s="58" t="str">
        <f t="shared" si="3"/>
        <v/>
      </c>
      <c r="M455" s="58" t="str">
        <f t="shared" si="4"/>
        <v/>
      </c>
      <c r="O455" s="59" t="str">
        <f t="shared" si="5"/>
        <v/>
      </c>
      <c r="P455" s="52"/>
    </row>
    <row r="456" ht="15.75" customHeight="1">
      <c r="A456" s="29" t="str">
        <f t="array" ref="A456">IFERROR(INDEX(Purchases!$D$5:$D$1004,MATCH(ROW()-4,Purchases!$L$5:$L$1004,0)),"")</f>
        <v/>
      </c>
      <c r="B456" s="48" t="str">
        <f>IFERROR(VLOOKUP(A456,Purchases!$D:$E,2,FALSE),"")</f>
        <v/>
      </c>
      <c r="C456" s="48" t="str">
        <f>IFERROR(VLOOKUP(A456,Purchases!$D:$F,3,FALSE),"")</f>
        <v/>
      </c>
      <c r="D456" s="48" t="str">
        <f>IF(A456="","",SUMIF(Purchases!$D:$D,A456,Purchases!$K:$K))</f>
        <v/>
      </c>
      <c r="E456" s="48" t="str">
        <f>IF(A456="","",SUMIFS(Sales!$H:$H,Sales!$F:$F,A456,Sales!$B:$B,"&lt;&gt;Return"))</f>
        <v/>
      </c>
      <c r="F456" s="48" t="str">
        <f>IF(A456="","",SUMIFS(Sales!$H:$H,Sales!$F:$F,A456,Sales!$B:$B,"Return"))</f>
        <v/>
      </c>
      <c r="G456" s="48" t="str">
        <f>IF($A456="","",SUMIF('Shop Ledger'!$C:$C,$A456,'Shop Ledger'!$F:$F))</f>
        <v/>
      </c>
      <c r="H456" s="48" t="str">
        <f t="shared" si="1"/>
        <v/>
      </c>
      <c r="I456" s="44" t="str">
        <f>IF(A456="","",IFERROR(SUMIF(Purchases!$D:$D,A456,Purchases!$I:$I)/D456,0))</f>
        <v/>
      </c>
      <c r="J456" s="44" t="str">
        <f t="shared" si="2"/>
        <v/>
      </c>
      <c r="K456" s="30" t="str">
        <f>IF($A456="","",IFERROR(VALUE(SUBSTITUTE(SUBSTITUTE(SUBSTITUTE(VLOOKUP($A456,Inventory!$O$5:$P$604,2,FALSE),"Tk","")," ",""),",","")),""))</f>
        <v/>
      </c>
      <c r="L456" s="58" t="str">
        <f t="shared" si="3"/>
        <v/>
      </c>
      <c r="M456" s="58" t="str">
        <f t="shared" si="4"/>
        <v/>
      </c>
      <c r="O456" s="59" t="str">
        <f t="shared" si="5"/>
        <v/>
      </c>
      <c r="P456" s="52"/>
    </row>
    <row r="457" ht="15.75" customHeight="1">
      <c r="A457" s="29" t="str">
        <f t="array" ref="A457">IFERROR(INDEX(Purchases!$D$5:$D$1004,MATCH(ROW()-4,Purchases!$L$5:$L$1004,0)),"")</f>
        <v/>
      </c>
      <c r="B457" s="48" t="str">
        <f>IFERROR(VLOOKUP(A457,Purchases!$D:$E,2,FALSE),"")</f>
        <v/>
      </c>
      <c r="C457" s="48" t="str">
        <f>IFERROR(VLOOKUP(A457,Purchases!$D:$F,3,FALSE),"")</f>
        <v/>
      </c>
      <c r="D457" s="48" t="str">
        <f>IF(A457="","",SUMIF(Purchases!$D:$D,A457,Purchases!$K:$K))</f>
        <v/>
      </c>
      <c r="E457" s="48" t="str">
        <f>IF(A457="","",SUMIFS(Sales!$H:$H,Sales!$F:$F,A457,Sales!$B:$B,"&lt;&gt;Return"))</f>
        <v/>
      </c>
      <c r="F457" s="48" t="str">
        <f>IF(A457="","",SUMIFS(Sales!$H:$H,Sales!$F:$F,A457,Sales!$B:$B,"Return"))</f>
        <v/>
      </c>
      <c r="G457" s="48" t="str">
        <f>IF($A457="","",SUMIF('Shop Ledger'!$C:$C,$A457,'Shop Ledger'!$F:$F))</f>
        <v/>
      </c>
      <c r="H457" s="48" t="str">
        <f t="shared" si="1"/>
        <v/>
      </c>
      <c r="I457" s="44" t="str">
        <f>IF(A457="","",IFERROR(SUMIF(Purchases!$D:$D,A457,Purchases!$I:$I)/D457,0))</f>
        <v/>
      </c>
      <c r="J457" s="44" t="str">
        <f t="shared" si="2"/>
        <v/>
      </c>
      <c r="K457" s="30" t="str">
        <f>IF($A457="","",IFERROR(VALUE(SUBSTITUTE(SUBSTITUTE(SUBSTITUTE(VLOOKUP($A457,Inventory!$O$5:$P$604,2,FALSE),"Tk","")," ",""),",","")),""))</f>
        <v/>
      </c>
      <c r="L457" s="58" t="str">
        <f t="shared" si="3"/>
        <v/>
      </c>
      <c r="M457" s="58" t="str">
        <f t="shared" si="4"/>
        <v/>
      </c>
      <c r="O457" s="59" t="str">
        <f t="shared" si="5"/>
        <v/>
      </c>
      <c r="P457" s="52"/>
    </row>
    <row r="458" ht="15.75" customHeight="1">
      <c r="A458" s="29" t="str">
        <f t="array" ref="A458">IFERROR(INDEX(Purchases!$D$5:$D$1004,MATCH(ROW()-4,Purchases!$L$5:$L$1004,0)),"")</f>
        <v/>
      </c>
      <c r="B458" s="48" t="str">
        <f>IFERROR(VLOOKUP(A458,Purchases!$D:$E,2,FALSE),"")</f>
        <v/>
      </c>
      <c r="C458" s="48" t="str">
        <f>IFERROR(VLOOKUP(A458,Purchases!$D:$F,3,FALSE),"")</f>
        <v/>
      </c>
      <c r="D458" s="48" t="str">
        <f>IF(A458="","",SUMIF(Purchases!$D:$D,A458,Purchases!$K:$K))</f>
        <v/>
      </c>
      <c r="E458" s="48" t="str">
        <f>IF(A458="","",SUMIFS(Sales!$H:$H,Sales!$F:$F,A458,Sales!$B:$B,"&lt;&gt;Return"))</f>
        <v/>
      </c>
      <c r="F458" s="48" t="str">
        <f>IF(A458="","",SUMIFS(Sales!$H:$H,Sales!$F:$F,A458,Sales!$B:$B,"Return"))</f>
        <v/>
      </c>
      <c r="G458" s="48" t="str">
        <f>IF($A458="","",SUMIF('Shop Ledger'!$C:$C,$A458,'Shop Ledger'!$F:$F))</f>
        <v/>
      </c>
      <c r="H458" s="48" t="str">
        <f t="shared" si="1"/>
        <v/>
      </c>
      <c r="I458" s="44" t="str">
        <f>IF(A458="","",IFERROR(SUMIF(Purchases!$D:$D,A458,Purchases!$I:$I)/D458,0))</f>
        <v/>
      </c>
      <c r="J458" s="44" t="str">
        <f t="shared" si="2"/>
        <v/>
      </c>
      <c r="K458" s="30" t="str">
        <f>IF($A458="","",IFERROR(VALUE(SUBSTITUTE(SUBSTITUTE(SUBSTITUTE(VLOOKUP($A458,Inventory!$O$5:$P$604,2,FALSE),"Tk","")," ",""),",","")),""))</f>
        <v/>
      </c>
      <c r="L458" s="58" t="str">
        <f t="shared" si="3"/>
        <v/>
      </c>
      <c r="M458" s="58" t="str">
        <f t="shared" si="4"/>
        <v/>
      </c>
      <c r="O458" s="59" t="str">
        <f t="shared" si="5"/>
        <v/>
      </c>
      <c r="P458" s="52"/>
    </row>
    <row r="459" ht="15.75" customHeight="1">
      <c r="A459" s="29" t="str">
        <f t="array" ref="A459">IFERROR(INDEX(Purchases!$D$5:$D$1004,MATCH(ROW()-4,Purchases!$L$5:$L$1004,0)),"")</f>
        <v/>
      </c>
      <c r="B459" s="48" t="str">
        <f>IFERROR(VLOOKUP(A459,Purchases!$D:$E,2,FALSE),"")</f>
        <v/>
      </c>
      <c r="C459" s="48" t="str">
        <f>IFERROR(VLOOKUP(A459,Purchases!$D:$F,3,FALSE),"")</f>
        <v/>
      </c>
      <c r="D459" s="48" t="str">
        <f>IF(A459="","",SUMIF(Purchases!$D:$D,A459,Purchases!$K:$K))</f>
        <v/>
      </c>
      <c r="E459" s="48" t="str">
        <f>IF(A459="","",SUMIFS(Sales!$H:$H,Sales!$F:$F,A459,Sales!$B:$B,"&lt;&gt;Return"))</f>
        <v/>
      </c>
      <c r="F459" s="48" t="str">
        <f>IF(A459="","",SUMIFS(Sales!$H:$H,Sales!$F:$F,A459,Sales!$B:$B,"Return"))</f>
        <v/>
      </c>
      <c r="G459" s="48" t="str">
        <f>IF($A459="","",SUMIF('Shop Ledger'!$C:$C,$A459,'Shop Ledger'!$F:$F))</f>
        <v/>
      </c>
      <c r="H459" s="48" t="str">
        <f t="shared" si="1"/>
        <v/>
      </c>
      <c r="I459" s="44" t="str">
        <f>IF(A459="","",IFERROR(SUMIF(Purchases!$D:$D,A459,Purchases!$I:$I)/D459,0))</f>
        <v/>
      </c>
      <c r="J459" s="44" t="str">
        <f t="shared" si="2"/>
        <v/>
      </c>
      <c r="K459" s="30" t="str">
        <f>IF($A459="","",IFERROR(VALUE(SUBSTITUTE(SUBSTITUTE(SUBSTITUTE(VLOOKUP($A459,Inventory!$O$5:$P$604,2,FALSE),"Tk","")," ",""),",","")),""))</f>
        <v/>
      </c>
      <c r="L459" s="58" t="str">
        <f t="shared" si="3"/>
        <v/>
      </c>
      <c r="M459" s="58" t="str">
        <f t="shared" si="4"/>
        <v/>
      </c>
      <c r="O459" s="59" t="str">
        <f t="shared" si="5"/>
        <v/>
      </c>
      <c r="P459" s="52"/>
    </row>
    <row r="460" ht="15.75" customHeight="1">
      <c r="A460" s="29" t="str">
        <f t="array" ref="A460">IFERROR(INDEX(Purchases!$D$5:$D$1004,MATCH(ROW()-4,Purchases!$L$5:$L$1004,0)),"")</f>
        <v/>
      </c>
      <c r="B460" s="48" t="str">
        <f>IFERROR(VLOOKUP(A460,Purchases!$D:$E,2,FALSE),"")</f>
        <v/>
      </c>
      <c r="C460" s="48" t="str">
        <f>IFERROR(VLOOKUP(A460,Purchases!$D:$F,3,FALSE),"")</f>
        <v/>
      </c>
      <c r="D460" s="48" t="str">
        <f>IF(A460="","",SUMIF(Purchases!$D:$D,A460,Purchases!$K:$K))</f>
        <v/>
      </c>
      <c r="E460" s="48" t="str">
        <f>IF(A460="","",SUMIFS(Sales!$H:$H,Sales!$F:$F,A460,Sales!$B:$B,"&lt;&gt;Return"))</f>
        <v/>
      </c>
      <c r="F460" s="48" t="str">
        <f>IF(A460="","",SUMIFS(Sales!$H:$H,Sales!$F:$F,A460,Sales!$B:$B,"Return"))</f>
        <v/>
      </c>
      <c r="G460" s="48" t="str">
        <f>IF($A460="","",SUMIF('Shop Ledger'!$C:$C,$A460,'Shop Ledger'!$F:$F))</f>
        <v/>
      </c>
      <c r="H460" s="48" t="str">
        <f t="shared" si="1"/>
        <v/>
      </c>
      <c r="I460" s="44" t="str">
        <f>IF(A460="","",IFERROR(SUMIF(Purchases!$D:$D,A460,Purchases!$I:$I)/D460,0))</f>
        <v/>
      </c>
      <c r="J460" s="44" t="str">
        <f t="shared" si="2"/>
        <v/>
      </c>
      <c r="K460" s="30" t="str">
        <f>IF($A460="","",IFERROR(VALUE(SUBSTITUTE(SUBSTITUTE(SUBSTITUTE(VLOOKUP($A460,Inventory!$O$5:$P$604,2,FALSE),"Tk","")," ",""),",","")),""))</f>
        <v/>
      </c>
      <c r="L460" s="58" t="str">
        <f t="shared" si="3"/>
        <v/>
      </c>
      <c r="M460" s="58" t="str">
        <f t="shared" si="4"/>
        <v/>
      </c>
      <c r="O460" s="59" t="str">
        <f t="shared" si="5"/>
        <v/>
      </c>
      <c r="P460" s="52"/>
    </row>
    <row r="461" ht="15.75" customHeight="1">
      <c r="A461" s="29" t="str">
        <f t="array" ref="A461">IFERROR(INDEX(Purchases!$D$5:$D$1004,MATCH(ROW()-4,Purchases!$L$5:$L$1004,0)),"")</f>
        <v/>
      </c>
      <c r="B461" s="48" t="str">
        <f>IFERROR(VLOOKUP(A461,Purchases!$D:$E,2,FALSE),"")</f>
        <v/>
      </c>
      <c r="C461" s="48" t="str">
        <f>IFERROR(VLOOKUP(A461,Purchases!$D:$F,3,FALSE),"")</f>
        <v/>
      </c>
      <c r="D461" s="48" t="str">
        <f>IF(A461="","",SUMIF(Purchases!$D:$D,A461,Purchases!$K:$K))</f>
        <v/>
      </c>
      <c r="E461" s="48" t="str">
        <f>IF(A461="","",SUMIFS(Sales!$H:$H,Sales!$F:$F,A461,Sales!$B:$B,"&lt;&gt;Return"))</f>
        <v/>
      </c>
      <c r="F461" s="48" t="str">
        <f>IF(A461="","",SUMIFS(Sales!$H:$H,Sales!$F:$F,A461,Sales!$B:$B,"Return"))</f>
        <v/>
      </c>
      <c r="G461" s="48" t="str">
        <f>IF($A461="","",SUMIF('Shop Ledger'!$C:$C,$A461,'Shop Ledger'!$F:$F))</f>
        <v/>
      </c>
      <c r="H461" s="48" t="str">
        <f t="shared" si="1"/>
        <v/>
      </c>
      <c r="I461" s="44" t="str">
        <f>IF(A461="","",IFERROR(SUMIF(Purchases!$D:$D,A461,Purchases!$I:$I)/D461,0))</f>
        <v/>
      </c>
      <c r="J461" s="44" t="str">
        <f t="shared" si="2"/>
        <v/>
      </c>
      <c r="K461" s="30" t="str">
        <f>IF($A461="","",IFERROR(VALUE(SUBSTITUTE(SUBSTITUTE(SUBSTITUTE(VLOOKUP($A461,Inventory!$O$5:$P$604,2,FALSE),"Tk","")," ",""),",","")),""))</f>
        <v/>
      </c>
      <c r="L461" s="58" t="str">
        <f t="shared" si="3"/>
        <v/>
      </c>
      <c r="M461" s="58" t="str">
        <f t="shared" si="4"/>
        <v/>
      </c>
      <c r="O461" s="59" t="str">
        <f t="shared" si="5"/>
        <v/>
      </c>
      <c r="P461" s="52"/>
    </row>
    <row r="462" ht="15.75" customHeight="1">
      <c r="A462" s="29" t="str">
        <f t="array" ref="A462">IFERROR(INDEX(Purchases!$D$5:$D$1004,MATCH(ROW()-4,Purchases!$L$5:$L$1004,0)),"")</f>
        <v/>
      </c>
      <c r="B462" s="48" t="str">
        <f>IFERROR(VLOOKUP(A462,Purchases!$D:$E,2,FALSE),"")</f>
        <v/>
      </c>
      <c r="C462" s="48" t="str">
        <f>IFERROR(VLOOKUP(A462,Purchases!$D:$F,3,FALSE),"")</f>
        <v/>
      </c>
      <c r="D462" s="48" t="str">
        <f>IF(A462="","",SUMIF(Purchases!$D:$D,A462,Purchases!$K:$K))</f>
        <v/>
      </c>
      <c r="E462" s="48" t="str">
        <f>IF(A462="","",SUMIFS(Sales!$H:$H,Sales!$F:$F,A462,Sales!$B:$B,"&lt;&gt;Return"))</f>
        <v/>
      </c>
      <c r="F462" s="48" t="str">
        <f>IF(A462="","",SUMIFS(Sales!$H:$H,Sales!$F:$F,A462,Sales!$B:$B,"Return"))</f>
        <v/>
      </c>
      <c r="G462" s="48" t="str">
        <f>IF($A462="","",SUMIF('Shop Ledger'!$C:$C,$A462,'Shop Ledger'!$F:$F))</f>
        <v/>
      </c>
      <c r="H462" s="48" t="str">
        <f t="shared" si="1"/>
        <v/>
      </c>
      <c r="I462" s="44" t="str">
        <f>IF(A462="","",IFERROR(SUMIF(Purchases!$D:$D,A462,Purchases!$I:$I)/D462,0))</f>
        <v/>
      </c>
      <c r="J462" s="44" t="str">
        <f t="shared" si="2"/>
        <v/>
      </c>
      <c r="K462" s="30" t="str">
        <f>IF($A462="","",IFERROR(VALUE(SUBSTITUTE(SUBSTITUTE(SUBSTITUTE(VLOOKUP($A462,Inventory!$O$5:$P$604,2,FALSE),"Tk","")," ",""),",","")),""))</f>
        <v/>
      </c>
      <c r="L462" s="58" t="str">
        <f t="shared" si="3"/>
        <v/>
      </c>
      <c r="M462" s="58" t="str">
        <f t="shared" si="4"/>
        <v/>
      </c>
      <c r="O462" s="59" t="str">
        <f t="shared" si="5"/>
        <v/>
      </c>
      <c r="P462" s="52"/>
    </row>
    <row r="463" ht="15.75" customHeight="1">
      <c r="A463" s="29" t="str">
        <f t="array" ref="A463">IFERROR(INDEX(Purchases!$D$5:$D$1004,MATCH(ROW()-4,Purchases!$L$5:$L$1004,0)),"")</f>
        <v/>
      </c>
      <c r="B463" s="48" t="str">
        <f>IFERROR(VLOOKUP(A463,Purchases!$D:$E,2,FALSE),"")</f>
        <v/>
      </c>
      <c r="C463" s="48" t="str">
        <f>IFERROR(VLOOKUP(A463,Purchases!$D:$F,3,FALSE),"")</f>
        <v/>
      </c>
      <c r="D463" s="48" t="str">
        <f>IF(A463="","",SUMIF(Purchases!$D:$D,A463,Purchases!$K:$K))</f>
        <v/>
      </c>
      <c r="E463" s="48" t="str">
        <f>IF(A463="","",SUMIFS(Sales!$H:$H,Sales!$F:$F,A463,Sales!$B:$B,"&lt;&gt;Return"))</f>
        <v/>
      </c>
      <c r="F463" s="48" t="str">
        <f>IF(A463="","",SUMIFS(Sales!$H:$H,Sales!$F:$F,A463,Sales!$B:$B,"Return"))</f>
        <v/>
      </c>
      <c r="G463" s="48" t="str">
        <f>IF($A463="","",SUMIF('Shop Ledger'!$C:$C,$A463,'Shop Ledger'!$F:$F))</f>
        <v/>
      </c>
      <c r="H463" s="48" t="str">
        <f t="shared" si="1"/>
        <v/>
      </c>
      <c r="I463" s="44" t="str">
        <f>IF(A463="","",IFERROR(SUMIF(Purchases!$D:$D,A463,Purchases!$I:$I)/D463,0))</f>
        <v/>
      </c>
      <c r="J463" s="44" t="str">
        <f t="shared" si="2"/>
        <v/>
      </c>
      <c r="K463" s="30" t="str">
        <f>IF($A463="","",IFERROR(VALUE(SUBSTITUTE(SUBSTITUTE(SUBSTITUTE(VLOOKUP($A463,Inventory!$O$5:$P$604,2,FALSE),"Tk","")," ",""),",","")),""))</f>
        <v/>
      </c>
      <c r="L463" s="58" t="str">
        <f t="shared" si="3"/>
        <v/>
      </c>
      <c r="M463" s="58" t="str">
        <f t="shared" si="4"/>
        <v/>
      </c>
      <c r="O463" s="59" t="str">
        <f t="shared" si="5"/>
        <v/>
      </c>
      <c r="P463" s="52"/>
    </row>
    <row r="464" ht="15.75" customHeight="1">
      <c r="A464" s="29" t="str">
        <f t="array" ref="A464">IFERROR(INDEX(Purchases!$D$5:$D$1004,MATCH(ROW()-4,Purchases!$L$5:$L$1004,0)),"")</f>
        <v/>
      </c>
      <c r="B464" s="48" t="str">
        <f>IFERROR(VLOOKUP(A464,Purchases!$D:$E,2,FALSE),"")</f>
        <v/>
      </c>
      <c r="C464" s="48" t="str">
        <f>IFERROR(VLOOKUP(A464,Purchases!$D:$F,3,FALSE),"")</f>
        <v/>
      </c>
      <c r="D464" s="48" t="str">
        <f>IF(A464="","",SUMIF(Purchases!$D:$D,A464,Purchases!$K:$K))</f>
        <v/>
      </c>
      <c r="E464" s="48" t="str">
        <f>IF(A464="","",SUMIFS(Sales!$H:$H,Sales!$F:$F,A464,Sales!$B:$B,"&lt;&gt;Return"))</f>
        <v/>
      </c>
      <c r="F464" s="48" t="str">
        <f>IF(A464="","",SUMIFS(Sales!$H:$H,Sales!$F:$F,A464,Sales!$B:$B,"Return"))</f>
        <v/>
      </c>
      <c r="G464" s="48" t="str">
        <f>IF($A464="","",SUMIF('Shop Ledger'!$C:$C,$A464,'Shop Ledger'!$F:$F))</f>
        <v/>
      </c>
      <c r="H464" s="48" t="str">
        <f t="shared" si="1"/>
        <v/>
      </c>
      <c r="I464" s="44" t="str">
        <f>IF(A464="","",IFERROR(SUMIF(Purchases!$D:$D,A464,Purchases!$I:$I)/D464,0))</f>
        <v/>
      </c>
      <c r="J464" s="44" t="str">
        <f t="shared" si="2"/>
        <v/>
      </c>
      <c r="K464" s="30" t="str">
        <f>IF($A464="","",IFERROR(VALUE(SUBSTITUTE(SUBSTITUTE(SUBSTITUTE(VLOOKUP($A464,Inventory!$O$5:$P$604,2,FALSE),"Tk","")," ",""),",","")),""))</f>
        <v/>
      </c>
      <c r="L464" s="58" t="str">
        <f t="shared" si="3"/>
        <v/>
      </c>
      <c r="M464" s="58" t="str">
        <f t="shared" si="4"/>
        <v/>
      </c>
      <c r="O464" s="59" t="str">
        <f t="shared" si="5"/>
        <v/>
      </c>
      <c r="P464" s="52"/>
    </row>
    <row r="465" ht="15.75" customHeight="1">
      <c r="A465" s="29" t="str">
        <f t="array" ref="A465">IFERROR(INDEX(Purchases!$D$5:$D$1004,MATCH(ROW()-4,Purchases!$L$5:$L$1004,0)),"")</f>
        <v/>
      </c>
      <c r="B465" s="48" t="str">
        <f>IFERROR(VLOOKUP(A465,Purchases!$D:$E,2,FALSE),"")</f>
        <v/>
      </c>
      <c r="C465" s="48" t="str">
        <f>IFERROR(VLOOKUP(A465,Purchases!$D:$F,3,FALSE),"")</f>
        <v/>
      </c>
      <c r="D465" s="48" t="str">
        <f>IF(A465="","",SUMIF(Purchases!$D:$D,A465,Purchases!$K:$K))</f>
        <v/>
      </c>
      <c r="E465" s="48" t="str">
        <f>IF(A465="","",SUMIFS(Sales!$H:$H,Sales!$F:$F,A465,Sales!$B:$B,"&lt;&gt;Return"))</f>
        <v/>
      </c>
      <c r="F465" s="48" t="str">
        <f>IF(A465="","",SUMIFS(Sales!$H:$H,Sales!$F:$F,A465,Sales!$B:$B,"Return"))</f>
        <v/>
      </c>
      <c r="G465" s="48" t="str">
        <f>IF($A465="","",SUMIF('Shop Ledger'!$C:$C,$A465,'Shop Ledger'!$F:$F))</f>
        <v/>
      </c>
      <c r="H465" s="48" t="str">
        <f t="shared" si="1"/>
        <v/>
      </c>
      <c r="I465" s="44" t="str">
        <f>IF(A465="","",IFERROR(SUMIF(Purchases!$D:$D,A465,Purchases!$I:$I)/D465,0))</f>
        <v/>
      </c>
      <c r="J465" s="44" t="str">
        <f t="shared" si="2"/>
        <v/>
      </c>
      <c r="K465" s="30" t="str">
        <f>IF($A465="","",IFERROR(VALUE(SUBSTITUTE(SUBSTITUTE(SUBSTITUTE(VLOOKUP($A465,Inventory!$O$5:$P$604,2,FALSE),"Tk","")," ",""),",","")),""))</f>
        <v/>
      </c>
      <c r="L465" s="58" t="str">
        <f t="shared" si="3"/>
        <v/>
      </c>
      <c r="M465" s="58" t="str">
        <f t="shared" si="4"/>
        <v/>
      </c>
      <c r="O465" s="59" t="str">
        <f t="shared" si="5"/>
        <v/>
      </c>
      <c r="P465" s="52"/>
    </row>
    <row r="466" ht="15.75" customHeight="1">
      <c r="A466" s="29" t="str">
        <f t="array" ref="A466">IFERROR(INDEX(Purchases!$D$5:$D$1004,MATCH(ROW()-4,Purchases!$L$5:$L$1004,0)),"")</f>
        <v/>
      </c>
      <c r="B466" s="48" t="str">
        <f>IFERROR(VLOOKUP(A466,Purchases!$D:$E,2,FALSE),"")</f>
        <v/>
      </c>
      <c r="C466" s="48" t="str">
        <f>IFERROR(VLOOKUP(A466,Purchases!$D:$F,3,FALSE),"")</f>
        <v/>
      </c>
      <c r="D466" s="48" t="str">
        <f>IF(A466="","",SUMIF(Purchases!$D:$D,A466,Purchases!$K:$K))</f>
        <v/>
      </c>
      <c r="E466" s="48" t="str">
        <f>IF(A466="","",SUMIFS(Sales!$H:$H,Sales!$F:$F,A466,Sales!$B:$B,"&lt;&gt;Return"))</f>
        <v/>
      </c>
      <c r="F466" s="48" t="str">
        <f>IF(A466="","",SUMIFS(Sales!$H:$H,Sales!$F:$F,A466,Sales!$B:$B,"Return"))</f>
        <v/>
      </c>
      <c r="G466" s="48" t="str">
        <f>IF($A466="","",SUMIF('Shop Ledger'!$C:$C,$A466,'Shop Ledger'!$F:$F))</f>
        <v/>
      </c>
      <c r="H466" s="48" t="str">
        <f t="shared" si="1"/>
        <v/>
      </c>
      <c r="I466" s="44" t="str">
        <f>IF(A466="","",IFERROR(SUMIF(Purchases!$D:$D,A466,Purchases!$I:$I)/D466,0))</f>
        <v/>
      </c>
      <c r="J466" s="44" t="str">
        <f t="shared" si="2"/>
        <v/>
      </c>
      <c r="K466" s="30" t="str">
        <f>IF($A466="","",IFERROR(VALUE(SUBSTITUTE(SUBSTITUTE(SUBSTITUTE(VLOOKUP($A466,Inventory!$O$5:$P$604,2,FALSE),"Tk","")," ",""),",","")),""))</f>
        <v/>
      </c>
      <c r="L466" s="58" t="str">
        <f t="shared" si="3"/>
        <v/>
      </c>
      <c r="M466" s="58" t="str">
        <f t="shared" si="4"/>
        <v/>
      </c>
      <c r="O466" s="59" t="str">
        <f t="shared" si="5"/>
        <v/>
      </c>
      <c r="P466" s="52"/>
    </row>
    <row r="467" ht="15.75" customHeight="1">
      <c r="A467" s="29" t="str">
        <f t="array" ref="A467">IFERROR(INDEX(Purchases!$D$5:$D$1004,MATCH(ROW()-4,Purchases!$L$5:$L$1004,0)),"")</f>
        <v/>
      </c>
      <c r="B467" s="48" t="str">
        <f>IFERROR(VLOOKUP(A467,Purchases!$D:$E,2,FALSE),"")</f>
        <v/>
      </c>
      <c r="C467" s="48" t="str">
        <f>IFERROR(VLOOKUP(A467,Purchases!$D:$F,3,FALSE),"")</f>
        <v/>
      </c>
      <c r="D467" s="48" t="str">
        <f>IF(A467="","",SUMIF(Purchases!$D:$D,A467,Purchases!$K:$K))</f>
        <v/>
      </c>
      <c r="E467" s="48" t="str">
        <f>IF(A467="","",SUMIFS(Sales!$H:$H,Sales!$F:$F,A467,Sales!$B:$B,"&lt;&gt;Return"))</f>
        <v/>
      </c>
      <c r="F467" s="48" t="str">
        <f>IF(A467="","",SUMIFS(Sales!$H:$H,Sales!$F:$F,A467,Sales!$B:$B,"Return"))</f>
        <v/>
      </c>
      <c r="G467" s="48" t="str">
        <f>IF($A467="","",SUMIF('Shop Ledger'!$C:$C,$A467,'Shop Ledger'!$F:$F))</f>
        <v/>
      </c>
      <c r="H467" s="48" t="str">
        <f t="shared" si="1"/>
        <v/>
      </c>
      <c r="I467" s="44" t="str">
        <f>IF(A467="","",IFERROR(SUMIF(Purchases!$D:$D,A467,Purchases!$I:$I)/D467,0))</f>
        <v/>
      </c>
      <c r="J467" s="44" t="str">
        <f t="shared" si="2"/>
        <v/>
      </c>
      <c r="K467" s="30" t="str">
        <f>IF($A467="","",IFERROR(VALUE(SUBSTITUTE(SUBSTITUTE(SUBSTITUTE(VLOOKUP($A467,Inventory!$O$5:$P$604,2,FALSE),"Tk","")," ",""),",","")),""))</f>
        <v/>
      </c>
      <c r="L467" s="58" t="str">
        <f t="shared" si="3"/>
        <v/>
      </c>
      <c r="M467" s="58" t="str">
        <f t="shared" si="4"/>
        <v/>
      </c>
      <c r="O467" s="59" t="str">
        <f t="shared" si="5"/>
        <v/>
      </c>
      <c r="P467" s="52"/>
    </row>
    <row r="468" ht="15.75" customHeight="1">
      <c r="A468" s="29" t="str">
        <f t="array" ref="A468">IFERROR(INDEX(Purchases!$D$5:$D$1004,MATCH(ROW()-4,Purchases!$L$5:$L$1004,0)),"")</f>
        <v/>
      </c>
      <c r="B468" s="48" t="str">
        <f>IFERROR(VLOOKUP(A468,Purchases!$D:$E,2,FALSE),"")</f>
        <v/>
      </c>
      <c r="C468" s="48" t="str">
        <f>IFERROR(VLOOKUP(A468,Purchases!$D:$F,3,FALSE),"")</f>
        <v/>
      </c>
      <c r="D468" s="48" t="str">
        <f>IF(A468="","",SUMIF(Purchases!$D:$D,A468,Purchases!$K:$K))</f>
        <v/>
      </c>
      <c r="E468" s="48" t="str">
        <f>IF(A468="","",SUMIFS(Sales!$H:$H,Sales!$F:$F,A468,Sales!$B:$B,"&lt;&gt;Return"))</f>
        <v/>
      </c>
      <c r="F468" s="48" t="str">
        <f>IF(A468="","",SUMIFS(Sales!$H:$H,Sales!$F:$F,A468,Sales!$B:$B,"Return"))</f>
        <v/>
      </c>
      <c r="G468" s="48" t="str">
        <f>IF($A468="","",SUMIF('Shop Ledger'!$C:$C,$A468,'Shop Ledger'!$F:$F))</f>
        <v/>
      </c>
      <c r="H468" s="48" t="str">
        <f t="shared" si="1"/>
        <v/>
      </c>
      <c r="I468" s="44" t="str">
        <f>IF(A468="","",IFERROR(SUMIF(Purchases!$D:$D,A468,Purchases!$I:$I)/D468,0))</f>
        <v/>
      </c>
      <c r="J468" s="44" t="str">
        <f t="shared" si="2"/>
        <v/>
      </c>
      <c r="K468" s="30" t="str">
        <f>IF($A468="","",IFERROR(VALUE(SUBSTITUTE(SUBSTITUTE(SUBSTITUTE(VLOOKUP($A468,Inventory!$O$5:$P$604,2,FALSE),"Tk","")," ",""),",","")),""))</f>
        <v/>
      </c>
      <c r="L468" s="58" t="str">
        <f t="shared" si="3"/>
        <v/>
      </c>
      <c r="M468" s="58" t="str">
        <f t="shared" si="4"/>
        <v/>
      </c>
      <c r="O468" s="59" t="str">
        <f t="shared" si="5"/>
        <v/>
      </c>
      <c r="P468" s="52"/>
    </row>
    <row r="469" ht="15.75" customHeight="1">
      <c r="A469" s="29" t="str">
        <f t="array" ref="A469">IFERROR(INDEX(Purchases!$D$5:$D$1004,MATCH(ROW()-4,Purchases!$L$5:$L$1004,0)),"")</f>
        <v/>
      </c>
      <c r="B469" s="48" t="str">
        <f>IFERROR(VLOOKUP(A469,Purchases!$D:$E,2,FALSE),"")</f>
        <v/>
      </c>
      <c r="C469" s="48" t="str">
        <f>IFERROR(VLOOKUP(A469,Purchases!$D:$F,3,FALSE),"")</f>
        <v/>
      </c>
      <c r="D469" s="48" t="str">
        <f>IF(A469="","",SUMIF(Purchases!$D:$D,A469,Purchases!$K:$K))</f>
        <v/>
      </c>
      <c r="E469" s="48" t="str">
        <f>IF(A469="","",SUMIFS(Sales!$H:$H,Sales!$F:$F,A469,Sales!$B:$B,"&lt;&gt;Return"))</f>
        <v/>
      </c>
      <c r="F469" s="48" t="str">
        <f>IF(A469="","",SUMIFS(Sales!$H:$H,Sales!$F:$F,A469,Sales!$B:$B,"Return"))</f>
        <v/>
      </c>
      <c r="G469" s="48" t="str">
        <f>IF($A469="","",SUMIF('Shop Ledger'!$C:$C,$A469,'Shop Ledger'!$F:$F))</f>
        <v/>
      </c>
      <c r="H469" s="48" t="str">
        <f t="shared" si="1"/>
        <v/>
      </c>
      <c r="I469" s="44" t="str">
        <f>IF(A469="","",IFERROR(SUMIF(Purchases!$D:$D,A469,Purchases!$I:$I)/D469,0))</f>
        <v/>
      </c>
      <c r="J469" s="44" t="str">
        <f t="shared" si="2"/>
        <v/>
      </c>
      <c r="K469" s="30" t="str">
        <f>IF($A469="","",IFERROR(VALUE(SUBSTITUTE(SUBSTITUTE(SUBSTITUTE(VLOOKUP($A469,Inventory!$O$5:$P$604,2,FALSE),"Tk","")," ",""),",","")),""))</f>
        <v/>
      </c>
      <c r="L469" s="58" t="str">
        <f t="shared" si="3"/>
        <v/>
      </c>
      <c r="M469" s="58" t="str">
        <f t="shared" si="4"/>
        <v/>
      </c>
      <c r="O469" s="59" t="str">
        <f t="shared" si="5"/>
        <v/>
      </c>
      <c r="P469" s="52"/>
    </row>
    <row r="470" ht="15.75" customHeight="1">
      <c r="A470" s="29" t="str">
        <f t="array" ref="A470">IFERROR(INDEX(Purchases!$D$5:$D$1004,MATCH(ROW()-4,Purchases!$L$5:$L$1004,0)),"")</f>
        <v/>
      </c>
      <c r="B470" s="48" t="str">
        <f>IFERROR(VLOOKUP(A470,Purchases!$D:$E,2,FALSE),"")</f>
        <v/>
      </c>
      <c r="C470" s="48" t="str">
        <f>IFERROR(VLOOKUP(A470,Purchases!$D:$F,3,FALSE),"")</f>
        <v/>
      </c>
      <c r="D470" s="48" t="str">
        <f>IF(A470="","",SUMIF(Purchases!$D:$D,A470,Purchases!$K:$K))</f>
        <v/>
      </c>
      <c r="E470" s="48" t="str">
        <f>IF(A470="","",SUMIFS(Sales!$H:$H,Sales!$F:$F,A470,Sales!$B:$B,"&lt;&gt;Return"))</f>
        <v/>
      </c>
      <c r="F470" s="48" t="str">
        <f>IF(A470="","",SUMIFS(Sales!$H:$H,Sales!$F:$F,A470,Sales!$B:$B,"Return"))</f>
        <v/>
      </c>
      <c r="G470" s="48" t="str">
        <f>IF($A470="","",SUMIF('Shop Ledger'!$C:$C,$A470,'Shop Ledger'!$F:$F))</f>
        <v/>
      </c>
      <c r="H470" s="48" t="str">
        <f t="shared" si="1"/>
        <v/>
      </c>
      <c r="I470" s="44" t="str">
        <f>IF(A470="","",IFERROR(SUMIF(Purchases!$D:$D,A470,Purchases!$I:$I)/D470,0))</f>
        <v/>
      </c>
      <c r="J470" s="44" t="str">
        <f t="shared" si="2"/>
        <v/>
      </c>
      <c r="K470" s="30" t="str">
        <f>IF($A470="","",IFERROR(VALUE(SUBSTITUTE(SUBSTITUTE(SUBSTITUTE(VLOOKUP($A470,Inventory!$O$5:$P$604,2,FALSE),"Tk","")," ",""),",","")),""))</f>
        <v/>
      </c>
      <c r="L470" s="58" t="str">
        <f t="shared" si="3"/>
        <v/>
      </c>
      <c r="M470" s="58" t="str">
        <f t="shared" si="4"/>
        <v/>
      </c>
      <c r="O470" s="59" t="str">
        <f t="shared" si="5"/>
        <v/>
      </c>
      <c r="P470" s="52"/>
    </row>
    <row r="471" ht="15.75" customHeight="1">
      <c r="A471" s="29" t="str">
        <f t="array" ref="A471">IFERROR(INDEX(Purchases!$D$5:$D$1004,MATCH(ROW()-4,Purchases!$L$5:$L$1004,0)),"")</f>
        <v/>
      </c>
      <c r="B471" s="48" t="str">
        <f>IFERROR(VLOOKUP(A471,Purchases!$D:$E,2,FALSE),"")</f>
        <v/>
      </c>
      <c r="C471" s="48" t="str">
        <f>IFERROR(VLOOKUP(A471,Purchases!$D:$F,3,FALSE),"")</f>
        <v/>
      </c>
      <c r="D471" s="48" t="str">
        <f>IF(A471="","",SUMIF(Purchases!$D:$D,A471,Purchases!$K:$K))</f>
        <v/>
      </c>
      <c r="E471" s="48" t="str">
        <f>IF(A471="","",SUMIFS(Sales!$H:$H,Sales!$F:$F,A471,Sales!$B:$B,"&lt;&gt;Return"))</f>
        <v/>
      </c>
      <c r="F471" s="48" t="str">
        <f>IF(A471="","",SUMIFS(Sales!$H:$H,Sales!$F:$F,A471,Sales!$B:$B,"Return"))</f>
        <v/>
      </c>
      <c r="G471" s="48" t="str">
        <f>IF($A471="","",SUMIF('Shop Ledger'!$C:$C,$A471,'Shop Ledger'!$F:$F))</f>
        <v/>
      </c>
      <c r="H471" s="48" t="str">
        <f t="shared" si="1"/>
        <v/>
      </c>
      <c r="I471" s="44" t="str">
        <f>IF(A471="","",IFERROR(SUMIF(Purchases!$D:$D,A471,Purchases!$I:$I)/D471,0))</f>
        <v/>
      </c>
      <c r="J471" s="44" t="str">
        <f t="shared" si="2"/>
        <v/>
      </c>
      <c r="K471" s="30" t="str">
        <f>IF($A471="","",IFERROR(VALUE(SUBSTITUTE(SUBSTITUTE(SUBSTITUTE(VLOOKUP($A471,Inventory!$O$5:$P$604,2,FALSE),"Tk","")," ",""),",","")),""))</f>
        <v/>
      </c>
      <c r="L471" s="58" t="str">
        <f t="shared" si="3"/>
        <v/>
      </c>
      <c r="M471" s="58" t="str">
        <f t="shared" si="4"/>
        <v/>
      </c>
      <c r="O471" s="59" t="str">
        <f t="shared" si="5"/>
        <v/>
      </c>
      <c r="P471" s="52"/>
    </row>
    <row r="472" ht="15.75" customHeight="1">
      <c r="A472" s="29" t="str">
        <f t="array" ref="A472">IFERROR(INDEX(Purchases!$D$5:$D$1004,MATCH(ROW()-4,Purchases!$L$5:$L$1004,0)),"")</f>
        <v/>
      </c>
      <c r="B472" s="48" t="str">
        <f>IFERROR(VLOOKUP(A472,Purchases!$D:$E,2,FALSE),"")</f>
        <v/>
      </c>
      <c r="C472" s="48" t="str">
        <f>IFERROR(VLOOKUP(A472,Purchases!$D:$F,3,FALSE),"")</f>
        <v/>
      </c>
      <c r="D472" s="48" t="str">
        <f>IF(A472="","",SUMIF(Purchases!$D:$D,A472,Purchases!$K:$K))</f>
        <v/>
      </c>
      <c r="E472" s="48" t="str">
        <f>IF(A472="","",SUMIFS(Sales!$H:$H,Sales!$F:$F,A472,Sales!$B:$B,"&lt;&gt;Return"))</f>
        <v/>
      </c>
      <c r="F472" s="48" t="str">
        <f>IF(A472="","",SUMIFS(Sales!$H:$H,Sales!$F:$F,A472,Sales!$B:$B,"Return"))</f>
        <v/>
      </c>
      <c r="G472" s="48" t="str">
        <f>IF($A472="","",SUMIF('Shop Ledger'!$C:$C,$A472,'Shop Ledger'!$F:$F))</f>
        <v/>
      </c>
      <c r="H472" s="48" t="str">
        <f t="shared" si="1"/>
        <v/>
      </c>
      <c r="I472" s="44" t="str">
        <f>IF(A472="","",IFERROR(SUMIF(Purchases!$D:$D,A472,Purchases!$I:$I)/D472,0))</f>
        <v/>
      </c>
      <c r="J472" s="44" t="str">
        <f t="shared" si="2"/>
        <v/>
      </c>
      <c r="K472" s="30" t="str">
        <f>IF($A472="","",IFERROR(VALUE(SUBSTITUTE(SUBSTITUTE(SUBSTITUTE(VLOOKUP($A472,Inventory!$O$5:$P$604,2,FALSE),"Tk","")," ",""),",","")),""))</f>
        <v/>
      </c>
      <c r="L472" s="58" t="str">
        <f t="shared" si="3"/>
        <v/>
      </c>
      <c r="M472" s="58" t="str">
        <f t="shared" si="4"/>
        <v/>
      </c>
      <c r="O472" s="59" t="str">
        <f t="shared" si="5"/>
        <v/>
      </c>
      <c r="P472" s="52"/>
    </row>
    <row r="473" ht="15.75" customHeight="1">
      <c r="A473" s="29" t="str">
        <f t="array" ref="A473">IFERROR(INDEX(Purchases!$D$5:$D$1004,MATCH(ROW()-4,Purchases!$L$5:$L$1004,0)),"")</f>
        <v/>
      </c>
      <c r="B473" s="48" t="str">
        <f>IFERROR(VLOOKUP(A473,Purchases!$D:$E,2,FALSE),"")</f>
        <v/>
      </c>
      <c r="C473" s="48" t="str">
        <f>IFERROR(VLOOKUP(A473,Purchases!$D:$F,3,FALSE),"")</f>
        <v/>
      </c>
      <c r="D473" s="48" t="str">
        <f>IF(A473="","",SUMIF(Purchases!$D:$D,A473,Purchases!$K:$K))</f>
        <v/>
      </c>
      <c r="E473" s="48" t="str">
        <f>IF(A473="","",SUMIFS(Sales!$H:$H,Sales!$F:$F,A473,Sales!$B:$B,"&lt;&gt;Return"))</f>
        <v/>
      </c>
      <c r="F473" s="48" t="str">
        <f>IF(A473="","",SUMIFS(Sales!$H:$H,Sales!$F:$F,A473,Sales!$B:$B,"Return"))</f>
        <v/>
      </c>
      <c r="G473" s="48" t="str">
        <f>IF($A473="","",SUMIF('Shop Ledger'!$C:$C,$A473,'Shop Ledger'!$F:$F))</f>
        <v/>
      </c>
      <c r="H473" s="48" t="str">
        <f t="shared" si="1"/>
        <v/>
      </c>
      <c r="I473" s="44" t="str">
        <f>IF(A473="","",IFERROR(SUMIF(Purchases!$D:$D,A473,Purchases!$I:$I)/D473,0))</f>
        <v/>
      </c>
      <c r="J473" s="44" t="str">
        <f t="shared" si="2"/>
        <v/>
      </c>
      <c r="K473" s="30" t="str">
        <f>IF($A473="","",IFERROR(VALUE(SUBSTITUTE(SUBSTITUTE(SUBSTITUTE(VLOOKUP($A473,Inventory!$O$5:$P$604,2,FALSE),"Tk","")," ",""),",","")),""))</f>
        <v/>
      </c>
      <c r="L473" s="58" t="str">
        <f t="shared" si="3"/>
        <v/>
      </c>
      <c r="M473" s="58" t="str">
        <f t="shared" si="4"/>
        <v/>
      </c>
      <c r="O473" s="59" t="str">
        <f t="shared" si="5"/>
        <v/>
      </c>
      <c r="P473" s="52"/>
    </row>
    <row r="474" ht="15.75" customHeight="1">
      <c r="A474" s="29" t="str">
        <f t="array" ref="A474">IFERROR(INDEX(Purchases!$D$5:$D$1004,MATCH(ROW()-4,Purchases!$L$5:$L$1004,0)),"")</f>
        <v/>
      </c>
      <c r="B474" s="48" t="str">
        <f>IFERROR(VLOOKUP(A474,Purchases!$D:$E,2,FALSE),"")</f>
        <v/>
      </c>
      <c r="C474" s="48" t="str">
        <f>IFERROR(VLOOKUP(A474,Purchases!$D:$F,3,FALSE),"")</f>
        <v/>
      </c>
      <c r="D474" s="48" t="str">
        <f>IF(A474="","",SUMIF(Purchases!$D:$D,A474,Purchases!$K:$K))</f>
        <v/>
      </c>
      <c r="E474" s="48" t="str">
        <f>IF(A474="","",SUMIFS(Sales!$H:$H,Sales!$F:$F,A474,Sales!$B:$B,"&lt;&gt;Return"))</f>
        <v/>
      </c>
      <c r="F474" s="48" t="str">
        <f>IF(A474="","",SUMIFS(Sales!$H:$H,Sales!$F:$F,A474,Sales!$B:$B,"Return"))</f>
        <v/>
      </c>
      <c r="G474" s="48" t="str">
        <f>IF($A474="","",SUMIF('Shop Ledger'!$C:$C,$A474,'Shop Ledger'!$F:$F))</f>
        <v/>
      </c>
      <c r="H474" s="48" t="str">
        <f t="shared" si="1"/>
        <v/>
      </c>
      <c r="I474" s="44" t="str">
        <f>IF(A474="","",IFERROR(SUMIF(Purchases!$D:$D,A474,Purchases!$I:$I)/D474,0))</f>
        <v/>
      </c>
      <c r="J474" s="44" t="str">
        <f t="shared" si="2"/>
        <v/>
      </c>
      <c r="K474" s="30" t="str">
        <f>IF($A474="","",IFERROR(VALUE(SUBSTITUTE(SUBSTITUTE(SUBSTITUTE(VLOOKUP($A474,Inventory!$O$5:$P$604,2,FALSE),"Tk","")," ",""),",","")),""))</f>
        <v/>
      </c>
      <c r="L474" s="58" t="str">
        <f t="shared" si="3"/>
        <v/>
      </c>
      <c r="M474" s="58" t="str">
        <f t="shared" si="4"/>
        <v/>
      </c>
      <c r="O474" s="59" t="str">
        <f t="shared" si="5"/>
        <v/>
      </c>
      <c r="P474" s="52"/>
    </row>
    <row r="475" ht="15.75" customHeight="1">
      <c r="A475" s="29" t="str">
        <f t="array" ref="A475">IFERROR(INDEX(Purchases!$D$5:$D$1004,MATCH(ROW()-4,Purchases!$L$5:$L$1004,0)),"")</f>
        <v/>
      </c>
      <c r="B475" s="48" t="str">
        <f>IFERROR(VLOOKUP(A475,Purchases!$D:$E,2,FALSE),"")</f>
        <v/>
      </c>
      <c r="C475" s="48" t="str">
        <f>IFERROR(VLOOKUP(A475,Purchases!$D:$F,3,FALSE),"")</f>
        <v/>
      </c>
      <c r="D475" s="48" t="str">
        <f>IF(A475="","",SUMIF(Purchases!$D:$D,A475,Purchases!$K:$K))</f>
        <v/>
      </c>
      <c r="E475" s="48" t="str">
        <f>IF(A475="","",SUMIFS(Sales!$H:$H,Sales!$F:$F,A475,Sales!$B:$B,"&lt;&gt;Return"))</f>
        <v/>
      </c>
      <c r="F475" s="48" t="str">
        <f>IF(A475="","",SUMIFS(Sales!$H:$H,Sales!$F:$F,A475,Sales!$B:$B,"Return"))</f>
        <v/>
      </c>
      <c r="G475" s="48" t="str">
        <f>IF($A475="","",SUMIF('Shop Ledger'!$C:$C,$A475,'Shop Ledger'!$F:$F))</f>
        <v/>
      </c>
      <c r="H475" s="48" t="str">
        <f t="shared" si="1"/>
        <v/>
      </c>
      <c r="I475" s="44" t="str">
        <f>IF(A475="","",IFERROR(SUMIF(Purchases!$D:$D,A475,Purchases!$I:$I)/D475,0))</f>
        <v/>
      </c>
      <c r="J475" s="44" t="str">
        <f t="shared" si="2"/>
        <v/>
      </c>
      <c r="K475" s="30" t="str">
        <f>IF($A475="","",IFERROR(VALUE(SUBSTITUTE(SUBSTITUTE(SUBSTITUTE(VLOOKUP($A475,Inventory!$O$5:$P$604,2,FALSE),"Tk","")," ",""),",","")),""))</f>
        <v/>
      </c>
      <c r="L475" s="58" t="str">
        <f t="shared" si="3"/>
        <v/>
      </c>
      <c r="M475" s="58" t="str">
        <f t="shared" si="4"/>
        <v/>
      </c>
      <c r="O475" s="59" t="str">
        <f t="shared" si="5"/>
        <v/>
      </c>
      <c r="P475" s="52"/>
    </row>
    <row r="476" ht="15.75" customHeight="1">
      <c r="A476" s="29" t="str">
        <f t="array" ref="A476">IFERROR(INDEX(Purchases!$D$5:$D$1004,MATCH(ROW()-4,Purchases!$L$5:$L$1004,0)),"")</f>
        <v/>
      </c>
      <c r="B476" s="48" t="str">
        <f>IFERROR(VLOOKUP(A476,Purchases!$D:$E,2,FALSE),"")</f>
        <v/>
      </c>
      <c r="C476" s="48" t="str">
        <f>IFERROR(VLOOKUP(A476,Purchases!$D:$F,3,FALSE),"")</f>
        <v/>
      </c>
      <c r="D476" s="48" t="str">
        <f>IF(A476="","",SUMIF(Purchases!$D:$D,A476,Purchases!$K:$K))</f>
        <v/>
      </c>
      <c r="E476" s="48" t="str">
        <f>IF(A476="","",SUMIFS(Sales!$H:$H,Sales!$F:$F,A476,Sales!$B:$B,"&lt;&gt;Return"))</f>
        <v/>
      </c>
      <c r="F476" s="48" t="str">
        <f>IF(A476="","",SUMIFS(Sales!$H:$H,Sales!$F:$F,A476,Sales!$B:$B,"Return"))</f>
        <v/>
      </c>
      <c r="G476" s="48" t="str">
        <f>IF($A476="","",SUMIF('Shop Ledger'!$C:$C,$A476,'Shop Ledger'!$F:$F))</f>
        <v/>
      </c>
      <c r="H476" s="48" t="str">
        <f t="shared" si="1"/>
        <v/>
      </c>
      <c r="I476" s="44" t="str">
        <f>IF(A476="","",IFERROR(SUMIF(Purchases!$D:$D,A476,Purchases!$I:$I)/D476,0))</f>
        <v/>
      </c>
      <c r="J476" s="44" t="str">
        <f t="shared" si="2"/>
        <v/>
      </c>
      <c r="K476" s="30" t="str">
        <f>IF($A476="","",IFERROR(VALUE(SUBSTITUTE(SUBSTITUTE(SUBSTITUTE(VLOOKUP($A476,Inventory!$O$5:$P$604,2,FALSE),"Tk","")," ",""),",","")),""))</f>
        <v/>
      </c>
      <c r="L476" s="58" t="str">
        <f t="shared" si="3"/>
        <v/>
      </c>
      <c r="M476" s="58" t="str">
        <f t="shared" si="4"/>
        <v/>
      </c>
      <c r="O476" s="59" t="str">
        <f t="shared" si="5"/>
        <v/>
      </c>
      <c r="P476" s="52"/>
    </row>
    <row r="477" ht="15.75" customHeight="1">
      <c r="A477" s="29" t="str">
        <f t="array" ref="A477">IFERROR(INDEX(Purchases!$D$5:$D$1004,MATCH(ROW()-4,Purchases!$L$5:$L$1004,0)),"")</f>
        <v/>
      </c>
      <c r="B477" s="48" t="str">
        <f>IFERROR(VLOOKUP(A477,Purchases!$D:$E,2,FALSE),"")</f>
        <v/>
      </c>
      <c r="C477" s="48" t="str">
        <f>IFERROR(VLOOKUP(A477,Purchases!$D:$F,3,FALSE),"")</f>
        <v/>
      </c>
      <c r="D477" s="48" t="str">
        <f>IF(A477="","",SUMIF(Purchases!$D:$D,A477,Purchases!$K:$K))</f>
        <v/>
      </c>
      <c r="E477" s="48" t="str">
        <f>IF(A477="","",SUMIFS(Sales!$H:$H,Sales!$F:$F,A477,Sales!$B:$B,"&lt;&gt;Return"))</f>
        <v/>
      </c>
      <c r="F477" s="48" t="str">
        <f>IF(A477="","",SUMIFS(Sales!$H:$H,Sales!$F:$F,A477,Sales!$B:$B,"Return"))</f>
        <v/>
      </c>
      <c r="G477" s="48" t="str">
        <f>IF($A477="","",SUMIF('Shop Ledger'!$C:$C,$A477,'Shop Ledger'!$F:$F))</f>
        <v/>
      </c>
      <c r="H477" s="48" t="str">
        <f t="shared" si="1"/>
        <v/>
      </c>
      <c r="I477" s="44" t="str">
        <f>IF(A477="","",IFERROR(SUMIF(Purchases!$D:$D,A477,Purchases!$I:$I)/D477,0))</f>
        <v/>
      </c>
      <c r="J477" s="44" t="str">
        <f t="shared" si="2"/>
        <v/>
      </c>
      <c r="K477" s="30" t="str">
        <f>IF($A477="","",IFERROR(VALUE(SUBSTITUTE(SUBSTITUTE(SUBSTITUTE(VLOOKUP($A477,Inventory!$O$5:$P$604,2,FALSE),"Tk","")," ",""),",","")),""))</f>
        <v/>
      </c>
      <c r="L477" s="58" t="str">
        <f t="shared" si="3"/>
        <v/>
      </c>
      <c r="M477" s="58" t="str">
        <f t="shared" si="4"/>
        <v/>
      </c>
      <c r="O477" s="59" t="str">
        <f t="shared" si="5"/>
        <v/>
      </c>
      <c r="P477" s="52"/>
    </row>
    <row r="478" ht="15.75" customHeight="1">
      <c r="A478" s="29" t="str">
        <f t="array" ref="A478">IFERROR(INDEX(Purchases!$D$5:$D$1004,MATCH(ROW()-4,Purchases!$L$5:$L$1004,0)),"")</f>
        <v/>
      </c>
      <c r="B478" s="48" t="str">
        <f>IFERROR(VLOOKUP(A478,Purchases!$D:$E,2,FALSE),"")</f>
        <v/>
      </c>
      <c r="C478" s="48" t="str">
        <f>IFERROR(VLOOKUP(A478,Purchases!$D:$F,3,FALSE),"")</f>
        <v/>
      </c>
      <c r="D478" s="48" t="str">
        <f>IF(A478="","",SUMIF(Purchases!$D:$D,A478,Purchases!$K:$K))</f>
        <v/>
      </c>
      <c r="E478" s="48" t="str">
        <f>IF(A478="","",SUMIFS(Sales!$H:$H,Sales!$F:$F,A478,Sales!$B:$B,"&lt;&gt;Return"))</f>
        <v/>
      </c>
      <c r="F478" s="48" t="str">
        <f>IF(A478="","",SUMIFS(Sales!$H:$H,Sales!$F:$F,A478,Sales!$B:$B,"Return"))</f>
        <v/>
      </c>
      <c r="G478" s="48" t="str">
        <f>IF($A478="","",SUMIF('Shop Ledger'!$C:$C,$A478,'Shop Ledger'!$F:$F))</f>
        <v/>
      </c>
      <c r="H478" s="48" t="str">
        <f t="shared" si="1"/>
        <v/>
      </c>
      <c r="I478" s="44" t="str">
        <f>IF(A478="","",IFERROR(SUMIF(Purchases!$D:$D,A478,Purchases!$I:$I)/D478,0))</f>
        <v/>
      </c>
      <c r="J478" s="44" t="str">
        <f t="shared" si="2"/>
        <v/>
      </c>
      <c r="K478" s="30" t="str">
        <f>IF($A478="","",IFERROR(VALUE(SUBSTITUTE(SUBSTITUTE(SUBSTITUTE(VLOOKUP($A478,Inventory!$O$5:$P$604,2,FALSE),"Tk","")," ",""),",","")),""))</f>
        <v/>
      </c>
      <c r="L478" s="58" t="str">
        <f t="shared" si="3"/>
        <v/>
      </c>
      <c r="M478" s="58" t="str">
        <f t="shared" si="4"/>
        <v/>
      </c>
      <c r="O478" s="59" t="str">
        <f t="shared" si="5"/>
        <v/>
      </c>
      <c r="P478" s="52"/>
    </row>
    <row r="479" ht="15.75" customHeight="1">
      <c r="A479" s="29" t="str">
        <f t="array" ref="A479">IFERROR(INDEX(Purchases!$D$5:$D$1004,MATCH(ROW()-4,Purchases!$L$5:$L$1004,0)),"")</f>
        <v/>
      </c>
      <c r="B479" s="48" t="str">
        <f>IFERROR(VLOOKUP(A479,Purchases!$D:$E,2,FALSE),"")</f>
        <v/>
      </c>
      <c r="C479" s="48" t="str">
        <f>IFERROR(VLOOKUP(A479,Purchases!$D:$F,3,FALSE),"")</f>
        <v/>
      </c>
      <c r="D479" s="48" t="str">
        <f>IF(A479="","",SUMIF(Purchases!$D:$D,A479,Purchases!$K:$K))</f>
        <v/>
      </c>
      <c r="E479" s="48" t="str">
        <f>IF(A479="","",SUMIFS(Sales!$H:$H,Sales!$F:$F,A479,Sales!$B:$B,"&lt;&gt;Return"))</f>
        <v/>
      </c>
      <c r="F479" s="48" t="str">
        <f>IF(A479="","",SUMIFS(Sales!$H:$H,Sales!$F:$F,A479,Sales!$B:$B,"Return"))</f>
        <v/>
      </c>
      <c r="G479" s="48" t="str">
        <f>IF($A479="","",SUMIF('Shop Ledger'!$C:$C,$A479,'Shop Ledger'!$F:$F))</f>
        <v/>
      </c>
      <c r="H479" s="48" t="str">
        <f t="shared" si="1"/>
        <v/>
      </c>
      <c r="I479" s="44" t="str">
        <f>IF(A479="","",IFERROR(SUMIF(Purchases!$D:$D,A479,Purchases!$I:$I)/D479,0))</f>
        <v/>
      </c>
      <c r="J479" s="44" t="str">
        <f t="shared" si="2"/>
        <v/>
      </c>
      <c r="K479" s="30" t="str">
        <f>IF($A479="","",IFERROR(VALUE(SUBSTITUTE(SUBSTITUTE(SUBSTITUTE(VLOOKUP($A479,Inventory!$O$5:$P$604,2,FALSE),"Tk","")," ",""),",","")),""))</f>
        <v/>
      </c>
      <c r="L479" s="58" t="str">
        <f t="shared" si="3"/>
        <v/>
      </c>
      <c r="M479" s="58" t="str">
        <f t="shared" si="4"/>
        <v/>
      </c>
      <c r="O479" s="59" t="str">
        <f t="shared" si="5"/>
        <v/>
      </c>
      <c r="P479" s="52"/>
    </row>
    <row r="480" ht="15.75" customHeight="1">
      <c r="A480" s="29" t="str">
        <f t="array" ref="A480">IFERROR(INDEX(Purchases!$D$5:$D$1004,MATCH(ROW()-4,Purchases!$L$5:$L$1004,0)),"")</f>
        <v/>
      </c>
      <c r="B480" s="48" t="str">
        <f>IFERROR(VLOOKUP(A480,Purchases!$D:$E,2,FALSE),"")</f>
        <v/>
      </c>
      <c r="C480" s="48" t="str">
        <f>IFERROR(VLOOKUP(A480,Purchases!$D:$F,3,FALSE),"")</f>
        <v/>
      </c>
      <c r="D480" s="48" t="str">
        <f>IF(A480="","",SUMIF(Purchases!$D:$D,A480,Purchases!$K:$K))</f>
        <v/>
      </c>
      <c r="E480" s="48" t="str">
        <f>IF(A480="","",SUMIFS(Sales!$H:$H,Sales!$F:$F,A480,Sales!$B:$B,"&lt;&gt;Return"))</f>
        <v/>
      </c>
      <c r="F480" s="48" t="str">
        <f>IF(A480="","",SUMIFS(Sales!$H:$H,Sales!$F:$F,A480,Sales!$B:$B,"Return"))</f>
        <v/>
      </c>
      <c r="G480" s="48" t="str">
        <f>IF($A480="","",SUMIF('Shop Ledger'!$C:$C,$A480,'Shop Ledger'!$F:$F))</f>
        <v/>
      </c>
      <c r="H480" s="48" t="str">
        <f t="shared" si="1"/>
        <v/>
      </c>
      <c r="I480" s="44" t="str">
        <f>IF(A480="","",IFERROR(SUMIF(Purchases!$D:$D,A480,Purchases!$I:$I)/D480,0))</f>
        <v/>
      </c>
      <c r="J480" s="44" t="str">
        <f t="shared" si="2"/>
        <v/>
      </c>
      <c r="K480" s="30" t="str">
        <f>IF($A480="","",IFERROR(VALUE(SUBSTITUTE(SUBSTITUTE(SUBSTITUTE(VLOOKUP($A480,Inventory!$O$5:$P$604,2,FALSE),"Tk","")," ",""),",","")),""))</f>
        <v/>
      </c>
      <c r="L480" s="58" t="str">
        <f t="shared" si="3"/>
        <v/>
      </c>
      <c r="M480" s="58" t="str">
        <f t="shared" si="4"/>
        <v/>
      </c>
      <c r="O480" s="59" t="str">
        <f t="shared" si="5"/>
        <v/>
      </c>
      <c r="P480" s="52"/>
    </row>
    <row r="481" ht="15.75" customHeight="1">
      <c r="A481" s="29" t="str">
        <f t="array" ref="A481">IFERROR(INDEX(Purchases!$D$5:$D$1004,MATCH(ROW()-4,Purchases!$L$5:$L$1004,0)),"")</f>
        <v/>
      </c>
      <c r="B481" s="48" t="str">
        <f>IFERROR(VLOOKUP(A481,Purchases!$D:$E,2,FALSE),"")</f>
        <v/>
      </c>
      <c r="C481" s="48" t="str">
        <f>IFERROR(VLOOKUP(A481,Purchases!$D:$F,3,FALSE),"")</f>
        <v/>
      </c>
      <c r="D481" s="48" t="str">
        <f>IF(A481="","",SUMIF(Purchases!$D:$D,A481,Purchases!$K:$K))</f>
        <v/>
      </c>
      <c r="E481" s="48" t="str">
        <f>IF(A481="","",SUMIFS(Sales!$H:$H,Sales!$F:$F,A481,Sales!$B:$B,"&lt;&gt;Return"))</f>
        <v/>
      </c>
      <c r="F481" s="48" t="str">
        <f>IF(A481="","",SUMIFS(Sales!$H:$H,Sales!$F:$F,A481,Sales!$B:$B,"Return"))</f>
        <v/>
      </c>
      <c r="G481" s="48" t="str">
        <f>IF($A481="","",SUMIF('Shop Ledger'!$C:$C,$A481,'Shop Ledger'!$F:$F))</f>
        <v/>
      </c>
      <c r="H481" s="48" t="str">
        <f t="shared" si="1"/>
        <v/>
      </c>
      <c r="I481" s="44" t="str">
        <f>IF(A481="","",IFERROR(SUMIF(Purchases!$D:$D,A481,Purchases!$I:$I)/D481,0))</f>
        <v/>
      </c>
      <c r="J481" s="44" t="str">
        <f t="shared" si="2"/>
        <v/>
      </c>
      <c r="K481" s="30" t="str">
        <f>IF($A481="","",IFERROR(VALUE(SUBSTITUTE(SUBSTITUTE(SUBSTITUTE(VLOOKUP($A481,Inventory!$O$5:$P$604,2,FALSE),"Tk","")," ",""),",","")),""))</f>
        <v/>
      </c>
      <c r="L481" s="58" t="str">
        <f t="shared" si="3"/>
        <v/>
      </c>
      <c r="M481" s="58" t="str">
        <f t="shared" si="4"/>
        <v/>
      </c>
      <c r="O481" s="59" t="str">
        <f t="shared" si="5"/>
        <v/>
      </c>
      <c r="P481" s="52"/>
    </row>
    <row r="482" ht="15.75" customHeight="1">
      <c r="A482" s="29" t="str">
        <f t="array" ref="A482">IFERROR(INDEX(Purchases!$D$5:$D$1004,MATCH(ROW()-4,Purchases!$L$5:$L$1004,0)),"")</f>
        <v/>
      </c>
      <c r="B482" s="48" t="str">
        <f>IFERROR(VLOOKUP(A482,Purchases!$D:$E,2,FALSE),"")</f>
        <v/>
      </c>
      <c r="C482" s="48" t="str">
        <f>IFERROR(VLOOKUP(A482,Purchases!$D:$F,3,FALSE),"")</f>
        <v/>
      </c>
      <c r="D482" s="48" t="str">
        <f>IF(A482="","",SUMIF(Purchases!$D:$D,A482,Purchases!$K:$K))</f>
        <v/>
      </c>
      <c r="E482" s="48" t="str">
        <f>IF(A482="","",SUMIFS(Sales!$H:$H,Sales!$F:$F,A482,Sales!$B:$B,"&lt;&gt;Return"))</f>
        <v/>
      </c>
      <c r="F482" s="48" t="str">
        <f>IF(A482="","",SUMIFS(Sales!$H:$H,Sales!$F:$F,A482,Sales!$B:$B,"Return"))</f>
        <v/>
      </c>
      <c r="G482" s="48" t="str">
        <f>IF($A482="","",SUMIF('Shop Ledger'!$C:$C,$A482,'Shop Ledger'!$F:$F))</f>
        <v/>
      </c>
      <c r="H482" s="48" t="str">
        <f t="shared" si="1"/>
        <v/>
      </c>
      <c r="I482" s="44" t="str">
        <f>IF(A482="","",IFERROR(SUMIF(Purchases!$D:$D,A482,Purchases!$I:$I)/D482,0))</f>
        <v/>
      </c>
      <c r="J482" s="44" t="str">
        <f t="shared" si="2"/>
        <v/>
      </c>
      <c r="K482" s="30" t="str">
        <f>IF($A482="","",IFERROR(VALUE(SUBSTITUTE(SUBSTITUTE(SUBSTITUTE(VLOOKUP($A482,Inventory!$O$5:$P$604,2,FALSE),"Tk","")," ",""),",","")),""))</f>
        <v/>
      </c>
      <c r="L482" s="58" t="str">
        <f t="shared" si="3"/>
        <v/>
      </c>
      <c r="M482" s="58" t="str">
        <f t="shared" si="4"/>
        <v/>
      </c>
      <c r="O482" s="59" t="str">
        <f t="shared" si="5"/>
        <v/>
      </c>
      <c r="P482" s="52"/>
    </row>
    <row r="483" ht="15.75" customHeight="1">
      <c r="A483" s="29" t="str">
        <f t="array" ref="A483">IFERROR(INDEX(Purchases!$D$5:$D$1004,MATCH(ROW()-4,Purchases!$L$5:$L$1004,0)),"")</f>
        <v/>
      </c>
      <c r="B483" s="48" t="str">
        <f>IFERROR(VLOOKUP(A483,Purchases!$D:$E,2,FALSE),"")</f>
        <v/>
      </c>
      <c r="C483" s="48" t="str">
        <f>IFERROR(VLOOKUP(A483,Purchases!$D:$F,3,FALSE),"")</f>
        <v/>
      </c>
      <c r="D483" s="48" t="str">
        <f>IF(A483="","",SUMIF(Purchases!$D:$D,A483,Purchases!$K:$K))</f>
        <v/>
      </c>
      <c r="E483" s="48" t="str">
        <f>IF(A483="","",SUMIFS(Sales!$H:$H,Sales!$F:$F,A483,Sales!$B:$B,"&lt;&gt;Return"))</f>
        <v/>
      </c>
      <c r="F483" s="48" t="str">
        <f>IF(A483="","",SUMIFS(Sales!$H:$H,Sales!$F:$F,A483,Sales!$B:$B,"Return"))</f>
        <v/>
      </c>
      <c r="G483" s="48" t="str">
        <f>IF($A483="","",SUMIF('Shop Ledger'!$C:$C,$A483,'Shop Ledger'!$F:$F))</f>
        <v/>
      </c>
      <c r="H483" s="48" t="str">
        <f t="shared" si="1"/>
        <v/>
      </c>
      <c r="I483" s="44" t="str">
        <f>IF(A483="","",IFERROR(SUMIF(Purchases!$D:$D,A483,Purchases!$I:$I)/D483,0))</f>
        <v/>
      </c>
      <c r="J483" s="44" t="str">
        <f t="shared" si="2"/>
        <v/>
      </c>
      <c r="K483" s="30" t="str">
        <f>IF($A483="","",IFERROR(VALUE(SUBSTITUTE(SUBSTITUTE(SUBSTITUTE(VLOOKUP($A483,Inventory!$O$5:$P$604,2,FALSE),"Tk","")," ",""),",","")),""))</f>
        <v/>
      </c>
      <c r="L483" s="58" t="str">
        <f t="shared" si="3"/>
        <v/>
      </c>
      <c r="M483" s="58" t="str">
        <f t="shared" si="4"/>
        <v/>
      </c>
      <c r="O483" s="59" t="str">
        <f t="shared" si="5"/>
        <v/>
      </c>
      <c r="P483" s="52"/>
    </row>
    <row r="484" ht="15.75" customHeight="1">
      <c r="A484" s="29" t="str">
        <f t="array" ref="A484">IFERROR(INDEX(Purchases!$D$5:$D$1004,MATCH(ROW()-4,Purchases!$L$5:$L$1004,0)),"")</f>
        <v/>
      </c>
      <c r="B484" s="48" t="str">
        <f>IFERROR(VLOOKUP(A484,Purchases!$D:$E,2,FALSE),"")</f>
        <v/>
      </c>
      <c r="C484" s="48" t="str">
        <f>IFERROR(VLOOKUP(A484,Purchases!$D:$F,3,FALSE),"")</f>
        <v/>
      </c>
      <c r="D484" s="48" t="str">
        <f>IF(A484="","",SUMIF(Purchases!$D:$D,A484,Purchases!$K:$K))</f>
        <v/>
      </c>
      <c r="E484" s="48" t="str">
        <f>IF(A484="","",SUMIFS(Sales!$H:$H,Sales!$F:$F,A484,Sales!$B:$B,"&lt;&gt;Return"))</f>
        <v/>
      </c>
      <c r="F484" s="48" t="str">
        <f>IF(A484="","",SUMIFS(Sales!$H:$H,Sales!$F:$F,A484,Sales!$B:$B,"Return"))</f>
        <v/>
      </c>
      <c r="G484" s="48" t="str">
        <f>IF($A484="","",SUMIF('Shop Ledger'!$C:$C,$A484,'Shop Ledger'!$F:$F))</f>
        <v/>
      </c>
      <c r="H484" s="48" t="str">
        <f t="shared" si="1"/>
        <v/>
      </c>
      <c r="I484" s="44" t="str">
        <f>IF(A484="","",IFERROR(SUMIF(Purchases!$D:$D,A484,Purchases!$I:$I)/D484,0))</f>
        <v/>
      </c>
      <c r="J484" s="44" t="str">
        <f t="shared" si="2"/>
        <v/>
      </c>
      <c r="K484" s="30" t="str">
        <f>IF($A484="","",IFERROR(VALUE(SUBSTITUTE(SUBSTITUTE(SUBSTITUTE(VLOOKUP($A484,Inventory!$O$5:$P$604,2,FALSE),"Tk","")," ",""),",","")),""))</f>
        <v/>
      </c>
      <c r="L484" s="58" t="str">
        <f t="shared" si="3"/>
        <v/>
      </c>
      <c r="M484" s="58" t="str">
        <f t="shared" si="4"/>
        <v/>
      </c>
      <c r="O484" s="59" t="str">
        <f t="shared" si="5"/>
        <v/>
      </c>
      <c r="P484" s="52"/>
    </row>
    <row r="485" ht="15.75" customHeight="1">
      <c r="A485" s="29" t="str">
        <f t="array" ref="A485">IFERROR(INDEX(Purchases!$D$5:$D$1004,MATCH(ROW()-4,Purchases!$L$5:$L$1004,0)),"")</f>
        <v/>
      </c>
      <c r="B485" s="48" t="str">
        <f>IFERROR(VLOOKUP(A485,Purchases!$D:$E,2,FALSE),"")</f>
        <v/>
      </c>
      <c r="C485" s="48" t="str">
        <f>IFERROR(VLOOKUP(A485,Purchases!$D:$F,3,FALSE),"")</f>
        <v/>
      </c>
      <c r="D485" s="48" t="str">
        <f>IF(A485="","",SUMIF(Purchases!$D:$D,A485,Purchases!$K:$K))</f>
        <v/>
      </c>
      <c r="E485" s="48" t="str">
        <f>IF(A485="","",SUMIFS(Sales!$H:$H,Sales!$F:$F,A485,Sales!$B:$B,"&lt;&gt;Return"))</f>
        <v/>
      </c>
      <c r="F485" s="48" t="str">
        <f>IF(A485="","",SUMIFS(Sales!$H:$H,Sales!$F:$F,A485,Sales!$B:$B,"Return"))</f>
        <v/>
      </c>
      <c r="G485" s="48" t="str">
        <f>IF($A485="","",SUMIF('Shop Ledger'!$C:$C,$A485,'Shop Ledger'!$F:$F))</f>
        <v/>
      </c>
      <c r="H485" s="48" t="str">
        <f t="shared" si="1"/>
        <v/>
      </c>
      <c r="I485" s="44" t="str">
        <f>IF(A485="","",IFERROR(SUMIF(Purchases!$D:$D,A485,Purchases!$I:$I)/D485,0))</f>
        <v/>
      </c>
      <c r="J485" s="44" t="str">
        <f t="shared" si="2"/>
        <v/>
      </c>
      <c r="K485" s="30" t="str">
        <f>IF($A485="","",IFERROR(VALUE(SUBSTITUTE(SUBSTITUTE(SUBSTITUTE(VLOOKUP($A485,Inventory!$O$5:$P$604,2,FALSE),"Tk","")," ",""),",","")),""))</f>
        <v/>
      </c>
      <c r="L485" s="58" t="str">
        <f t="shared" si="3"/>
        <v/>
      </c>
      <c r="M485" s="58" t="str">
        <f t="shared" si="4"/>
        <v/>
      </c>
      <c r="O485" s="59" t="str">
        <f t="shared" si="5"/>
        <v/>
      </c>
      <c r="P485" s="52"/>
    </row>
    <row r="486" ht="15.75" customHeight="1">
      <c r="A486" s="29" t="str">
        <f t="array" ref="A486">IFERROR(INDEX(Purchases!$D$5:$D$1004,MATCH(ROW()-4,Purchases!$L$5:$L$1004,0)),"")</f>
        <v/>
      </c>
      <c r="B486" s="48" t="str">
        <f>IFERROR(VLOOKUP(A486,Purchases!$D:$E,2,FALSE),"")</f>
        <v/>
      </c>
      <c r="C486" s="48" t="str">
        <f>IFERROR(VLOOKUP(A486,Purchases!$D:$F,3,FALSE),"")</f>
        <v/>
      </c>
      <c r="D486" s="48" t="str">
        <f>IF(A486="","",SUMIF(Purchases!$D:$D,A486,Purchases!$K:$K))</f>
        <v/>
      </c>
      <c r="E486" s="48" t="str">
        <f>IF(A486="","",SUMIFS(Sales!$H:$H,Sales!$F:$F,A486,Sales!$B:$B,"&lt;&gt;Return"))</f>
        <v/>
      </c>
      <c r="F486" s="48" t="str">
        <f>IF(A486="","",SUMIFS(Sales!$H:$H,Sales!$F:$F,A486,Sales!$B:$B,"Return"))</f>
        <v/>
      </c>
      <c r="G486" s="48" t="str">
        <f>IF($A486="","",SUMIF('Shop Ledger'!$C:$C,$A486,'Shop Ledger'!$F:$F))</f>
        <v/>
      </c>
      <c r="H486" s="48" t="str">
        <f t="shared" si="1"/>
        <v/>
      </c>
      <c r="I486" s="44" t="str">
        <f>IF(A486="","",IFERROR(SUMIF(Purchases!$D:$D,A486,Purchases!$I:$I)/D486,0))</f>
        <v/>
      </c>
      <c r="J486" s="44" t="str">
        <f t="shared" si="2"/>
        <v/>
      </c>
      <c r="K486" s="30" t="str">
        <f>IF($A486="","",IFERROR(VALUE(SUBSTITUTE(SUBSTITUTE(SUBSTITUTE(VLOOKUP($A486,Inventory!$O$5:$P$604,2,FALSE),"Tk","")," ",""),",","")),""))</f>
        <v/>
      </c>
      <c r="L486" s="58" t="str">
        <f t="shared" si="3"/>
        <v/>
      </c>
      <c r="M486" s="58" t="str">
        <f t="shared" si="4"/>
        <v/>
      </c>
      <c r="O486" s="59" t="str">
        <f t="shared" si="5"/>
        <v/>
      </c>
      <c r="P486" s="52"/>
    </row>
    <row r="487" ht="15.75" customHeight="1">
      <c r="A487" s="29" t="str">
        <f t="array" ref="A487">IFERROR(INDEX(Purchases!$D$5:$D$1004,MATCH(ROW()-4,Purchases!$L$5:$L$1004,0)),"")</f>
        <v/>
      </c>
      <c r="B487" s="48" t="str">
        <f>IFERROR(VLOOKUP(A487,Purchases!$D:$E,2,FALSE),"")</f>
        <v/>
      </c>
      <c r="C487" s="48" t="str">
        <f>IFERROR(VLOOKUP(A487,Purchases!$D:$F,3,FALSE),"")</f>
        <v/>
      </c>
      <c r="D487" s="48" t="str">
        <f>IF(A487="","",SUMIF(Purchases!$D:$D,A487,Purchases!$K:$K))</f>
        <v/>
      </c>
      <c r="E487" s="48" t="str">
        <f>IF(A487="","",SUMIFS(Sales!$H:$H,Sales!$F:$F,A487,Sales!$B:$B,"&lt;&gt;Return"))</f>
        <v/>
      </c>
      <c r="F487" s="48" t="str">
        <f>IF(A487="","",SUMIFS(Sales!$H:$H,Sales!$F:$F,A487,Sales!$B:$B,"Return"))</f>
        <v/>
      </c>
      <c r="G487" s="48" t="str">
        <f>IF($A487="","",SUMIF('Shop Ledger'!$C:$C,$A487,'Shop Ledger'!$F:$F))</f>
        <v/>
      </c>
      <c r="H487" s="48" t="str">
        <f t="shared" si="1"/>
        <v/>
      </c>
      <c r="I487" s="44" t="str">
        <f>IF(A487="","",IFERROR(SUMIF(Purchases!$D:$D,A487,Purchases!$I:$I)/D487,0))</f>
        <v/>
      </c>
      <c r="J487" s="44" t="str">
        <f t="shared" si="2"/>
        <v/>
      </c>
      <c r="K487" s="30" t="str">
        <f>IF($A487="","",IFERROR(VALUE(SUBSTITUTE(SUBSTITUTE(SUBSTITUTE(VLOOKUP($A487,Inventory!$O$5:$P$604,2,FALSE),"Tk","")," ",""),",","")),""))</f>
        <v/>
      </c>
      <c r="L487" s="58" t="str">
        <f t="shared" si="3"/>
        <v/>
      </c>
      <c r="M487" s="58" t="str">
        <f t="shared" si="4"/>
        <v/>
      </c>
      <c r="O487" s="59" t="str">
        <f t="shared" si="5"/>
        <v/>
      </c>
      <c r="P487" s="52"/>
    </row>
    <row r="488" ht="15.75" customHeight="1">
      <c r="A488" s="29" t="str">
        <f t="array" ref="A488">IFERROR(INDEX(Purchases!$D$5:$D$1004,MATCH(ROW()-4,Purchases!$L$5:$L$1004,0)),"")</f>
        <v/>
      </c>
      <c r="B488" s="48" t="str">
        <f>IFERROR(VLOOKUP(A488,Purchases!$D:$E,2,FALSE),"")</f>
        <v/>
      </c>
      <c r="C488" s="48" t="str">
        <f>IFERROR(VLOOKUP(A488,Purchases!$D:$F,3,FALSE),"")</f>
        <v/>
      </c>
      <c r="D488" s="48" t="str">
        <f>IF(A488="","",SUMIF(Purchases!$D:$D,A488,Purchases!$K:$K))</f>
        <v/>
      </c>
      <c r="E488" s="48" t="str">
        <f>IF(A488="","",SUMIFS(Sales!$H:$H,Sales!$F:$F,A488,Sales!$B:$B,"&lt;&gt;Return"))</f>
        <v/>
      </c>
      <c r="F488" s="48" t="str">
        <f>IF(A488="","",SUMIFS(Sales!$H:$H,Sales!$F:$F,A488,Sales!$B:$B,"Return"))</f>
        <v/>
      </c>
      <c r="G488" s="48" t="str">
        <f>IF($A488="","",SUMIF('Shop Ledger'!$C:$C,$A488,'Shop Ledger'!$F:$F))</f>
        <v/>
      </c>
      <c r="H488" s="48" t="str">
        <f t="shared" si="1"/>
        <v/>
      </c>
      <c r="I488" s="44" t="str">
        <f>IF(A488="","",IFERROR(SUMIF(Purchases!$D:$D,A488,Purchases!$I:$I)/D488,0))</f>
        <v/>
      </c>
      <c r="J488" s="44" t="str">
        <f t="shared" si="2"/>
        <v/>
      </c>
      <c r="K488" s="30" t="str">
        <f>IF($A488="","",IFERROR(VALUE(SUBSTITUTE(SUBSTITUTE(SUBSTITUTE(VLOOKUP($A488,Inventory!$O$5:$P$604,2,FALSE),"Tk","")," ",""),",","")),""))</f>
        <v/>
      </c>
      <c r="L488" s="58" t="str">
        <f t="shared" si="3"/>
        <v/>
      </c>
      <c r="M488" s="58" t="str">
        <f t="shared" si="4"/>
        <v/>
      </c>
      <c r="O488" s="59" t="str">
        <f t="shared" si="5"/>
        <v/>
      </c>
      <c r="P488" s="52"/>
    </row>
    <row r="489" ht="15.75" customHeight="1">
      <c r="A489" s="29" t="str">
        <f t="array" ref="A489">IFERROR(INDEX(Purchases!$D$5:$D$1004,MATCH(ROW()-4,Purchases!$L$5:$L$1004,0)),"")</f>
        <v/>
      </c>
      <c r="B489" s="48" t="str">
        <f>IFERROR(VLOOKUP(A489,Purchases!$D:$E,2,FALSE),"")</f>
        <v/>
      </c>
      <c r="C489" s="48" t="str">
        <f>IFERROR(VLOOKUP(A489,Purchases!$D:$F,3,FALSE),"")</f>
        <v/>
      </c>
      <c r="D489" s="48" t="str">
        <f>IF(A489="","",SUMIF(Purchases!$D:$D,A489,Purchases!$K:$K))</f>
        <v/>
      </c>
      <c r="E489" s="48" t="str">
        <f>IF(A489="","",SUMIFS(Sales!$H:$H,Sales!$F:$F,A489,Sales!$B:$B,"&lt;&gt;Return"))</f>
        <v/>
      </c>
      <c r="F489" s="48" t="str">
        <f>IF(A489="","",SUMIFS(Sales!$H:$H,Sales!$F:$F,A489,Sales!$B:$B,"Return"))</f>
        <v/>
      </c>
      <c r="G489" s="48" t="str">
        <f>IF($A489="","",SUMIF('Shop Ledger'!$C:$C,$A489,'Shop Ledger'!$F:$F))</f>
        <v/>
      </c>
      <c r="H489" s="48" t="str">
        <f t="shared" si="1"/>
        <v/>
      </c>
      <c r="I489" s="44" t="str">
        <f>IF(A489="","",IFERROR(SUMIF(Purchases!$D:$D,A489,Purchases!$I:$I)/D489,0))</f>
        <v/>
      </c>
      <c r="J489" s="44" t="str">
        <f t="shared" si="2"/>
        <v/>
      </c>
      <c r="K489" s="30" t="str">
        <f>IF($A489="","",IFERROR(VALUE(SUBSTITUTE(SUBSTITUTE(SUBSTITUTE(VLOOKUP($A489,Inventory!$O$5:$P$604,2,FALSE),"Tk","")," ",""),",","")),""))</f>
        <v/>
      </c>
      <c r="L489" s="58" t="str">
        <f t="shared" si="3"/>
        <v/>
      </c>
      <c r="M489" s="58" t="str">
        <f t="shared" si="4"/>
        <v/>
      </c>
      <c r="O489" s="59" t="str">
        <f t="shared" si="5"/>
        <v/>
      </c>
      <c r="P489" s="52"/>
    </row>
    <row r="490" ht="15.75" customHeight="1">
      <c r="A490" s="29" t="str">
        <f t="array" ref="A490">IFERROR(INDEX(Purchases!$D$5:$D$1004,MATCH(ROW()-4,Purchases!$L$5:$L$1004,0)),"")</f>
        <v/>
      </c>
      <c r="B490" s="48" t="str">
        <f>IFERROR(VLOOKUP(A490,Purchases!$D:$E,2,FALSE),"")</f>
        <v/>
      </c>
      <c r="C490" s="48" t="str">
        <f>IFERROR(VLOOKUP(A490,Purchases!$D:$F,3,FALSE),"")</f>
        <v/>
      </c>
      <c r="D490" s="48" t="str">
        <f>IF(A490="","",SUMIF(Purchases!$D:$D,A490,Purchases!$K:$K))</f>
        <v/>
      </c>
      <c r="E490" s="48" t="str">
        <f>IF(A490="","",SUMIFS(Sales!$H:$H,Sales!$F:$F,A490,Sales!$B:$B,"&lt;&gt;Return"))</f>
        <v/>
      </c>
      <c r="F490" s="48" t="str">
        <f>IF(A490="","",SUMIFS(Sales!$H:$H,Sales!$F:$F,A490,Sales!$B:$B,"Return"))</f>
        <v/>
      </c>
      <c r="G490" s="48" t="str">
        <f>IF($A490="","",SUMIF('Shop Ledger'!$C:$C,$A490,'Shop Ledger'!$F:$F))</f>
        <v/>
      </c>
      <c r="H490" s="48" t="str">
        <f t="shared" si="1"/>
        <v/>
      </c>
      <c r="I490" s="44" t="str">
        <f>IF(A490="","",IFERROR(SUMIF(Purchases!$D:$D,A490,Purchases!$I:$I)/D490,0))</f>
        <v/>
      </c>
      <c r="J490" s="44" t="str">
        <f t="shared" si="2"/>
        <v/>
      </c>
      <c r="K490" s="30" t="str">
        <f>IF($A490="","",IFERROR(VALUE(SUBSTITUTE(SUBSTITUTE(SUBSTITUTE(VLOOKUP($A490,Inventory!$O$5:$P$604,2,FALSE),"Tk","")," ",""),",","")),""))</f>
        <v/>
      </c>
      <c r="L490" s="58" t="str">
        <f t="shared" si="3"/>
        <v/>
      </c>
      <c r="M490" s="58" t="str">
        <f t="shared" si="4"/>
        <v/>
      </c>
      <c r="O490" s="59" t="str">
        <f t="shared" si="5"/>
        <v/>
      </c>
      <c r="P490" s="52"/>
    </row>
    <row r="491" ht="15.75" customHeight="1">
      <c r="A491" s="29" t="str">
        <f t="array" ref="A491">IFERROR(INDEX(Purchases!$D$5:$D$1004,MATCH(ROW()-4,Purchases!$L$5:$L$1004,0)),"")</f>
        <v/>
      </c>
      <c r="B491" s="48" t="str">
        <f>IFERROR(VLOOKUP(A491,Purchases!$D:$E,2,FALSE),"")</f>
        <v/>
      </c>
      <c r="C491" s="48" t="str">
        <f>IFERROR(VLOOKUP(A491,Purchases!$D:$F,3,FALSE),"")</f>
        <v/>
      </c>
      <c r="D491" s="48" t="str">
        <f>IF(A491="","",SUMIF(Purchases!$D:$D,A491,Purchases!$K:$K))</f>
        <v/>
      </c>
      <c r="E491" s="48" t="str">
        <f>IF(A491="","",SUMIFS(Sales!$H:$H,Sales!$F:$F,A491,Sales!$B:$B,"&lt;&gt;Return"))</f>
        <v/>
      </c>
      <c r="F491" s="48" t="str">
        <f>IF(A491="","",SUMIFS(Sales!$H:$H,Sales!$F:$F,A491,Sales!$B:$B,"Return"))</f>
        <v/>
      </c>
      <c r="G491" s="48" t="str">
        <f>IF($A491="","",SUMIF('Shop Ledger'!$C:$C,$A491,'Shop Ledger'!$F:$F))</f>
        <v/>
      </c>
      <c r="H491" s="48" t="str">
        <f t="shared" si="1"/>
        <v/>
      </c>
      <c r="I491" s="44" t="str">
        <f>IF(A491="","",IFERROR(SUMIF(Purchases!$D:$D,A491,Purchases!$I:$I)/D491,0))</f>
        <v/>
      </c>
      <c r="J491" s="44" t="str">
        <f t="shared" si="2"/>
        <v/>
      </c>
      <c r="K491" s="30" t="str">
        <f>IF($A491="","",IFERROR(VALUE(SUBSTITUTE(SUBSTITUTE(SUBSTITUTE(VLOOKUP($A491,Inventory!$O$5:$P$604,2,FALSE),"Tk","")," ",""),",","")),""))</f>
        <v/>
      </c>
      <c r="L491" s="58" t="str">
        <f t="shared" si="3"/>
        <v/>
      </c>
      <c r="M491" s="58" t="str">
        <f t="shared" si="4"/>
        <v/>
      </c>
      <c r="O491" s="59" t="str">
        <f t="shared" si="5"/>
        <v/>
      </c>
      <c r="P491" s="52"/>
    </row>
    <row r="492" ht="15.75" customHeight="1">
      <c r="A492" s="29" t="str">
        <f t="array" ref="A492">IFERROR(INDEX(Purchases!$D$5:$D$1004,MATCH(ROW()-4,Purchases!$L$5:$L$1004,0)),"")</f>
        <v/>
      </c>
      <c r="B492" s="48" t="str">
        <f>IFERROR(VLOOKUP(A492,Purchases!$D:$E,2,FALSE),"")</f>
        <v/>
      </c>
      <c r="C492" s="48" t="str">
        <f>IFERROR(VLOOKUP(A492,Purchases!$D:$F,3,FALSE),"")</f>
        <v/>
      </c>
      <c r="D492" s="48" t="str">
        <f>IF(A492="","",SUMIF(Purchases!$D:$D,A492,Purchases!$K:$K))</f>
        <v/>
      </c>
      <c r="E492" s="48" t="str">
        <f>IF(A492="","",SUMIFS(Sales!$H:$H,Sales!$F:$F,A492,Sales!$B:$B,"&lt;&gt;Return"))</f>
        <v/>
      </c>
      <c r="F492" s="48" t="str">
        <f>IF(A492="","",SUMIFS(Sales!$H:$H,Sales!$F:$F,A492,Sales!$B:$B,"Return"))</f>
        <v/>
      </c>
      <c r="G492" s="48" t="str">
        <f>IF($A492="","",SUMIF('Shop Ledger'!$C:$C,$A492,'Shop Ledger'!$F:$F))</f>
        <v/>
      </c>
      <c r="H492" s="48" t="str">
        <f t="shared" si="1"/>
        <v/>
      </c>
      <c r="I492" s="44" t="str">
        <f>IF(A492="","",IFERROR(SUMIF(Purchases!$D:$D,A492,Purchases!$I:$I)/D492,0))</f>
        <v/>
      </c>
      <c r="J492" s="44" t="str">
        <f t="shared" si="2"/>
        <v/>
      </c>
      <c r="K492" s="30" t="str">
        <f>IF($A492="","",IFERROR(VALUE(SUBSTITUTE(SUBSTITUTE(SUBSTITUTE(VLOOKUP($A492,Inventory!$O$5:$P$604,2,FALSE),"Tk","")," ",""),",","")),""))</f>
        <v/>
      </c>
      <c r="L492" s="58" t="str">
        <f t="shared" si="3"/>
        <v/>
      </c>
      <c r="M492" s="58" t="str">
        <f t="shared" si="4"/>
        <v/>
      </c>
      <c r="O492" s="59" t="str">
        <f t="shared" si="5"/>
        <v/>
      </c>
      <c r="P492" s="52"/>
    </row>
    <row r="493" ht="15.75" customHeight="1">
      <c r="A493" s="29" t="str">
        <f t="array" ref="A493">IFERROR(INDEX(Purchases!$D$5:$D$1004,MATCH(ROW()-4,Purchases!$L$5:$L$1004,0)),"")</f>
        <v/>
      </c>
      <c r="B493" s="48" t="str">
        <f>IFERROR(VLOOKUP(A493,Purchases!$D:$E,2,FALSE),"")</f>
        <v/>
      </c>
      <c r="C493" s="48" t="str">
        <f>IFERROR(VLOOKUP(A493,Purchases!$D:$F,3,FALSE),"")</f>
        <v/>
      </c>
      <c r="D493" s="48" t="str">
        <f>IF(A493="","",SUMIF(Purchases!$D:$D,A493,Purchases!$K:$K))</f>
        <v/>
      </c>
      <c r="E493" s="48" t="str">
        <f>IF(A493="","",SUMIFS(Sales!$H:$H,Sales!$F:$F,A493,Sales!$B:$B,"&lt;&gt;Return"))</f>
        <v/>
      </c>
      <c r="F493" s="48" t="str">
        <f>IF(A493="","",SUMIFS(Sales!$H:$H,Sales!$F:$F,A493,Sales!$B:$B,"Return"))</f>
        <v/>
      </c>
      <c r="G493" s="48" t="str">
        <f>IF($A493="","",SUMIF('Shop Ledger'!$C:$C,$A493,'Shop Ledger'!$F:$F))</f>
        <v/>
      </c>
      <c r="H493" s="48" t="str">
        <f t="shared" si="1"/>
        <v/>
      </c>
      <c r="I493" s="44" t="str">
        <f>IF(A493="","",IFERROR(SUMIF(Purchases!$D:$D,A493,Purchases!$I:$I)/D493,0))</f>
        <v/>
      </c>
      <c r="J493" s="44" t="str">
        <f t="shared" si="2"/>
        <v/>
      </c>
      <c r="K493" s="30" t="str">
        <f>IF($A493="","",IFERROR(VALUE(SUBSTITUTE(SUBSTITUTE(SUBSTITUTE(VLOOKUP($A493,Inventory!$O$5:$P$604,2,FALSE),"Tk","")," ",""),",","")),""))</f>
        <v/>
      </c>
      <c r="L493" s="58" t="str">
        <f t="shared" si="3"/>
        <v/>
      </c>
      <c r="M493" s="58" t="str">
        <f t="shared" si="4"/>
        <v/>
      </c>
      <c r="O493" s="59" t="str">
        <f t="shared" si="5"/>
        <v/>
      </c>
      <c r="P493" s="52"/>
    </row>
    <row r="494" ht="15.75" customHeight="1">
      <c r="A494" s="29" t="str">
        <f t="array" ref="A494">IFERROR(INDEX(Purchases!$D$5:$D$1004,MATCH(ROW()-4,Purchases!$L$5:$L$1004,0)),"")</f>
        <v/>
      </c>
      <c r="B494" s="48" t="str">
        <f>IFERROR(VLOOKUP(A494,Purchases!$D:$E,2,FALSE),"")</f>
        <v/>
      </c>
      <c r="C494" s="48" t="str">
        <f>IFERROR(VLOOKUP(A494,Purchases!$D:$F,3,FALSE),"")</f>
        <v/>
      </c>
      <c r="D494" s="48" t="str">
        <f>IF(A494="","",SUMIF(Purchases!$D:$D,A494,Purchases!$K:$K))</f>
        <v/>
      </c>
      <c r="E494" s="48" t="str">
        <f>IF(A494="","",SUMIFS(Sales!$H:$H,Sales!$F:$F,A494,Sales!$B:$B,"&lt;&gt;Return"))</f>
        <v/>
      </c>
      <c r="F494" s="48" t="str">
        <f>IF(A494="","",SUMIFS(Sales!$H:$H,Sales!$F:$F,A494,Sales!$B:$B,"Return"))</f>
        <v/>
      </c>
      <c r="G494" s="48" t="str">
        <f>IF($A494="","",SUMIF('Shop Ledger'!$C:$C,$A494,'Shop Ledger'!$F:$F))</f>
        <v/>
      </c>
      <c r="H494" s="48" t="str">
        <f t="shared" si="1"/>
        <v/>
      </c>
      <c r="I494" s="44" t="str">
        <f>IF(A494="","",IFERROR(SUMIF(Purchases!$D:$D,A494,Purchases!$I:$I)/D494,0))</f>
        <v/>
      </c>
      <c r="J494" s="44" t="str">
        <f t="shared" si="2"/>
        <v/>
      </c>
      <c r="K494" s="30" t="str">
        <f>IF($A494="","",IFERROR(VALUE(SUBSTITUTE(SUBSTITUTE(SUBSTITUTE(VLOOKUP($A494,Inventory!$O$5:$P$604,2,FALSE),"Tk","")," ",""),",","")),""))</f>
        <v/>
      </c>
      <c r="L494" s="58" t="str">
        <f t="shared" si="3"/>
        <v/>
      </c>
      <c r="M494" s="58" t="str">
        <f t="shared" si="4"/>
        <v/>
      </c>
      <c r="O494" s="59" t="str">
        <f t="shared" si="5"/>
        <v/>
      </c>
      <c r="P494" s="52"/>
    </row>
    <row r="495" ht="15.75" customHeight="1">
      <c r="A495" s="29" t="str">
        <f t="array" ref="A495">IFERROR(INDEX(Purchases!$D$5:$D$1004,MATCH(ROW()-4,Purchases!$L$5:$L$1004,0)),"")</f>
        <v/>
      </c>
      <c r="B495" s="48" t="str">
        <f>IFERROR(VLOOKUP(A495,Purchases!$D:$E,2,FALSE),"")</f>
        <v/>
      </c>
      <c r="C495" s="48" t="str">
        <f>IFERROR(VLOOKUP(A495,Purchases!$D:$F,3,FALSE),"")</f>
        <v/>
      </c>
      <c r="D495" s="48" t="str">
        <f>IF(A495="","",SUMIF(Purchases!$D:$D,A495,Purchases!$K:$K))</f>
        <v/>
      </c>
      <c r="E495" s="48" t="str">
        <f>IF(A495="","",SUMIFS(Sales!$H:$H,Sales!$F:$F,A495,Sales!$B:$B,"&lt;&gt;Return"))</f>
        <v/>
      </c>
      <c r="F495" s="48" t="str">
        <f>IF(A495="","",SUMIFS(Sales!$H:$H,Sales!$F:$F,A495,Sales!$B:$B,"Return"))</f>
        <v/>
      </c>
      <c r="G495" s="48" t="str">
        <f>IF($A495="","",SUMIF('Shop Ledger'!$C:$C,$A495,'Shop Ledger'!$F:$F))</f>
        <v/>
      </c>
      <c r="H495" s="48" t="str">
        <f t="shared" si="1"/>
        <v/>
      </c>
      <c r="I495" s="44" t="str">
        <f>IF(A495="","",IFERROR(SUMIF(Purchases!$D:$D,A495,Purchases!$I:$I)/D495,0))</f>
        <v/>
      </c>
      <c r="J495" s="44" t="str">
        <f t="shared" si="2"/>
        <v/>
      </c>
      <c r="K495" s="30" t="str">
        <f>IF($A495="","",IFERROR(VALUE(SUBSTITUTE(SUBSTITUTE(SUBSTITUTE(VLOOKUP($A495,Inventory!$O$5:$P$604,2,FALSE),"Tk","")," ",""),",","")),""))</f>
        <v/>
      </c>
      <c r="L495" s="58" t="str">
        <f t="shared" si="3"/>
        <v/>
      </c>
      <c r="M495" s="58" t="str">
        <f t="shared" si="4"/>
        <v/>
      </c>
      <c r="O495" s="59" t="str">
        <f t="shared" si="5"/>
        <v/>
      </c>
      <c r="P495" s="52"/>
    </row>
    <row r="496" ht="15.75" customHeight="1">
      <c r="A496" s="29" t="str">
        <f t="array" ref="A496">IFERROR(INDEX(Purchases!$D$5:$D$1004,MATCH(ROW()-4,Purchases!$L$5:$L$1004,0)),"")</f>
        <v/>
      </c>
      <c r="B496" s="48" t="str">
        <f>IFERROR(VLOOKUP(A496,Purchases!$D:$E,2,FALSE),"")</f>
        <v/>
      </c>
      <c r="C496" s="48" t="str">
        <f>IFERROR(VLOOKUP(A496,Purchases!$D:$F,3,FALSE),"")</f>
        <v/>
      </c>
      <c r="D496" s="48" t="str">
        <f>IF(A496="","",SUMIF(Purchases!$D:$D,A496,Purchases!$K:$K))</f>
        <v/>
      </c>
      <c r="E496" s="48" t="str">
        <f>IF(A496="","",SUMIFS(Sales!$H:$H,Sales!$F:$F,A496,Sales!$B:$B,"&lt;&gt;Return"))</f>
        <v/>
      </c>
      <c r="F496" s="48" t="str">
        <f>IF(A496="","",SUMIFS(Sales!$H:$H,Sales!$F:$F,A496,Sales!$B:$B,"Return"))</f>
        <v/>
      </c>
      <c r="G496" s="48" t="str">
        <f>IF($A496="","",SUMIF('Shop Ledger'!$C:$C,$A496,'Shop Ledger'!$F:$F))</f>
        <v/>
      </c>
      <c r="H496" s="48" t="str">
        <f t="shared" si="1"/>
        <v/>
      </c>
      <c r="I496" s="44" t="str">
        <f>IF(A496="","",IFERROR(SUMIF(Purchases!$D:$D,A496,Purchases!$I:$I)/D496,0))</f>
        <v/>
      </c>
      <c r="J496" s="44" t="str">
        <f t="shared" si="2"/>
        <v/>
      </c>
      <c r="K496" s="30" t="str">
        <f>IF($A496="","",IFERROR(VALUE(SUBSTITUTE(SUBSTITUTE(SUBSTITUTE(VLOOKUP($A496,Inventory!$O$5:$P$604,2,FALSE),"Tk","")," ",""),",","")),""))</f>
        <v/>
      </c>
      <c r="L496" s="58" t="str">
        <f t="shared" si="3"/>
        <v/>
      </c>
      <c r="M496" s="58" t="str">
        <f t="shared" si="4"/>
        <v/>
      </c>
      <c r="O496" s="59" t="str">
        <f t="shared" si="5"/>
        <v/>
      </c>
      <c r="P496" s="52"/>
    </row>
    <row r="497" ht="15.75" customHeight="1">
      <c r="A497" s="29" t="str">
        <f t="array" ref="A497">IFERROR(INDEX(Purchases!$D$5:$D$1004,MATCH(ROW()-4,Purchases!$L$5:$L$1004,0)),"")</f>
        <v/>
      </c>
      <c r="B497" s="48" t="str">
        <f>IFERROR(VLOOKUP(A497,Purchases!$D:$E,2,FALSE),"")</f>
        <v/>
      </c>
      <c r="C497" s="48" t="str">
        <f>IFERROR(VLOOKUP(A497,Purchases!$D:$F,3,FALSE),"")</f>
        <v/>
      </c>
      <c r="D497" s="48" t="str">
        <f>IF(A497="","",SUMIF(Purchases!$D:$D,A497,Purchases!$K:$K))</f>
        <v/>
      </c>
      <c r="E497" s="48" t="str">
        <f>IF(A497="","",SUMIFS(Sales!$H:$H,Sales!$F:$F,A497,Sales!$B:$B,"&lt;&gt;Return"))</f>
        <v/>
      </c>
      <c r="F497" s="48" t="str">
        <f>IF(A497="","",SUMIFS(Sales!$H:$H,Sales!$F:$F,A497,Sales!$B:$B,"Return"))</f>
        <v/>
      </c>
      <c r="G497" s="48" t="str">
        <f>IF($A497="","",SUMIF('Shop Ledger'!$C:$C,$A497,'Shop Ledger'!$F:$F))</f>
        <v/>
      </c>
      <c r="H497" s="48" t="str">
        <f t="shared" si="1"/>
        <v/>
      </c>
      <c r="I497" s="44" t="str">
        <f>IF(A497="","",IFERROR(SUMIF(Purchases!$D:$D,A497,Purchases!$I:$I)/D497,0))</f>
        <v/>
      </c>
      <c r="J497" s="44" t="str">
        <f t="shared" si="2"/>
        <v/>
      </c>
      <c r="K497" s="30" t="str">
        <f>IF($A497="","",IFERROR(VALUE(SUBSTITUTE(SUBSTITUTE(SUBSTITUTE(VLOOKUP($A497,Inventory!$O$5:$P$604,2,FALSE),"Tk","")," ",""),",","")),""))</f>
        <v/>
      </c>
      <c r="L497" s="58" t="str">
        <f t="shared" si="3"/>
        <v/>
      </c>
      <c r="M497" s="58" t="str">
        <f t="shared" si="4"/>
        <v/>
      </c>
      <c r="O497" s="59" t="str">
        <f t="shared" si="5"/>
        <v/>
      </c>
      <c r="P497" s="52"/>
    </row>
    <row r="498" ht="15.75" customHeight="1">
      <c r="A498" s="29" t="str">
        <f t="array" ref="A498">IFERROR(INDEX(Purchases!$D$5:$D$1004,MATCH(ROW()-4,Purchases!$L$5:$L$1004,0)),"")</f>
        <v/>
      </c>
      <c r="B498" s="48" t="str">
        <f>IFERROR(VLOOKUP(A498,Purchases!$D:$E,2,FALSE),"")</f>
        <v/>
      </c>
      <c r="C498" s="48" t="str">
        <f>IFERROR(VLOOKUP(A498,Purchases!$D:$F,3,FALSE),"")</f>
        <v/>
      </c>
      <c r="D498" s="48" t="str">
        <f>IF(A498="","",SUMIF(Purchases!$D:$D,A498,Purchases!$K:$K))</f>
        <v/>
      </c>
      <c r="E498" s="48" t="str">
        <f>IF(A498="","",SUMIFS(Sales!$H:$H,Sales!$F:$F,A498,Sales!$B:$B,"&lt;&gt;Return"))</f>
        <v/>
      </c>
      <c r="F498" s="48" t="str">
        <f>IF(A498="","",SUMIFS(Sales!$H:$H,Sales!$F:$F,A498,Sales!$B:$B,"Return"))</f>
        <v/>
      </c>
      <c r="G498" s="48" t="str">
        <f>IF($A498="","",SUMIF('Shop Ledger'!$C:$C,$A498,'Shop Ledger'!$F:$F))</f>
        <v/>
      </c>
      <c r="H498" s="48" t="str">
        <f t="shared" si="1"/>
        <v/>
      </c>
      <c r="I498" s="44" t="str">
        <f>IF(A498="","",IFERROR(SUMIF(Purchases!$D:$D,A498,Purchases!$I:$I)/D498,0))</f>
        <v/>
      </c>
      <c r="J498" s="44" t="str">
        <f t="shared" si="2"/>
        <v/>
      </c>
      <c r="K498" s="30" t="str">
        <f>IF($A498="","",IFERROR(VALUE(SUBSTITUTE(SUBSTITUTE(SUBSTITUTE(VLOOKUP($A498,Inventory!$O$5:$P$604,2,FALSE),"Tk","")," ",""),",","")),""))</f>
        <v/>
      </c>
      <c r="L498" s="58" t="str">
        <f t="shared" si="3"/>
        <v/>
      </c>
      <c r="M498" s="58" t="str">
        <f t="shared" si="4"/>
        <v/>
      </c>
      <c r="O498" s="59" t="str">
        <f t="shared" si="5"/>
        <v/>
      </c>
      <c r="P498" s="52"/>
    </row>
    <row r="499" ht="15.75" customHeight="1">
      <c r="A499" s="29" t="str">
        <f t="array" ref="A499">IFERROR(INDEX(Purchases!$D$5:$D$1004,MATCH(ROW()-4,Purchases!$L$5:$L$1004,0)),"")</f>
        <v/>
      </c>
      <c r="B499" s="48" t="str">
        <f>IFERROR(VLOOKUP(A499,Purchases!$D:$E,2,FALSE),"")</f>
        <v/>
      </c>
      <c r="C499" s="48" t="str">
        <f>IFERROR(VLOOKUP(A499,Purchases!$D:$F,3,FALSE),"")</f>
        <v/>
      </c>
      <c r="D499" s="48" t="str">
        <f>IF(A499="","",SUMIF(Purchases!$D:$D,A499,Purchases!$K:$K))</f>
        <v/>
      </c>
      <c r="E499" s="48" t="str">
        <f>IF(A499="","",SUMIFS(Sales!$H:$H,Sales!$F:$F,A499,Sales!$B:$B,"&lt;&gt;Return"))</f>
        <v/>
      </c>
      <c r="F499" s="48" t="str">
        <f>IF(A499="","",SUMIFS(Sales!$H:$H,Sales!$F:$F,A499,Sales!$B:$B,"Return"))</f>
        <v/>
      </c>
      <c r="G499" s="48" t="str">
        <f>IF($A499="","",SUMIF('Shop Ledger'!$C:$C,$A499,'Shop Ledger'!$F:$F))</f>
        <v/>
      </c>
      <c r="H499" s="48" t="str">
        <f t="shared" si="1"/>
        <v/>
      </c>
      <c r="I499" s="44" t="str">
        <f>IF(A499="","",IFERROR(SUMIF(Purchases!$D:$D,A499,Purchases!$I:$I)/D499,0))</f>
        <v/>
      </c>
      <c r="J499" s="44" t="str">
        <f t="shared" si="2"/>
        <v/>
      </c>
      <c r="K499" s="30" t="str">
        <f>IF($A499="","",IFERROR(VALUE(SUBSTITUTE(SUBSTITUTE(SUBSTITUTE(VLOOKUP($A499,Inventory!$O$5:$P$604,2,FALSE),"Tk","")," ",""),",","")),""))</f>
        <v/>
      </c>
      <c r="L499" s="58" t="str">
        <f t="shared" si="3"/>
        <v/>
      </c>
      <c r="M499" s="58" t="str">
        <f t="shared" si="4"/>
        <v/>
      </c>
      <c r="O499" s="59" t="str">
        <f t="shared" si="5"/>
        <v/>
      </c>
      <c r="P499" s="52"/>
    </row>
    <row r="500" ht="15.75" customHeight="1">
      <c r="A500" s="29" t="str">
        <f t="array" ref="A500">IFERROR(INDEX(Purchases!$D$5:$D$1004,MATCH(ROW()-4,Purchases!$L$5:$L$1004,0)),"")</f>
        <v/>
      </c>
      <c r="B500" s="48" t="str">
        <f>IFERROR(VLOOKUP(A500,Purchases!$D:$E,2,FALSE),"")</f>
        <v/>
      </c>
      <c r="C500" s="48" t="str">
        <f>IFERROR(VLOOKUP(A500,Purchases!$D:$F,3,FALSE),"")</f>
        <v/>
      </c>
      <c r="D500" s="48" t="str">
        <f>IF(A500="","",SUMIF(Purchases!$D:$D,A500,Purchases!$K:$K))</f>
        <v/>
      </c>
      <c r="E500" s="48" t="str">
        <f>IF(A500="","",SUMIFS(Sales!$H:$H,Sales!$F:$F,A500,Sales!$B:$B,"&lt;&gt;Return"))</f>
        <v/>
      </c>
      <c r="F500" s="48" t="str">
        <f>IF(A500="","",SUMIFS(Sales!$H:$H,Sales!$F:$F,A500,Sales!$B:$B,"Return"))</f>
        <v/>
      </c>
      <c r="G500" s="48" t="str">
        <f>IF($A500="","",SUMIF('Shop Ledger'!$C:$C,$A500,'Shop Ledger'!$F:$F))</f>
        <v/>
      </c>
      <c r="H500" s="48" t="str">
        <f t="shared" si="1"/>
        <v/>
      </c>
      <c r="I500" s="44" t="str">
        <f>IF(A500="","",IFERROR(SUMIF(Purchases!$D:$D,A500,Purchases!$I:$I)/D500,0))</f>
        <v/>
      </c>
      <c r="J500" s="44" t="str">
        <f t="shared" si="2"/>
        <v/>
      </c>
      <c r="K500" s="30" t="str">
        <f>IF($A500="","",IFERROR(VALUE(SUBSTITUTE(SUBSTITUTE(SUBSTITUTE(VLOOKUP($A500,Inventory!$O$5:$P$604,2,FALSE),"Tk","")," ",""),",","")),""))</f>
        <v/>
      </c>
      <c r="L500" s="58" t="str">
        <f t="shared" si="3"/>
        <v/>
      </c>
      <c r="M500" s="58" t="str">
        <f t="shared" si="4"/>
        <v/>
      </c>
      <c r="O500" s="59" t="str">
        <f t="shared" si="5"/>
        <v/>
      </c>
      <c r="P500" s="52"/>
    </row>
    <row r="501" ht="15.75" customHeight="1">
      <c r="A501" s="29" t="str">
        <f t="array" ref="A501">IFERROR(INDEX(Purchases!$D$5:$D$1004,MATCH(ROW()-4,Purchases!$L$5:$L$1004,0)),"")</f>
        <v/>
      </c>
      <c r="B501" s="48" t="str">
        <f>IFERROR(VLOOKUP(A501,Purchases!$D:$E,2,FALSE),"")</f>
        <v/>
      </c>
      <c r="C501" s="48" t="str">
        <f>IFERROR(VLOOKUP(A501,Purchases!$D:$F,3,FALSE),"")</f>
        <v/>
      </c>
      <c r="D501" s="48" t="str">
        <f>IF(A501="","",SUMIF(Purchases!$D:$D,A501,Purchases!$K:$K))</f>
        <v/>
      </c>
      <c r="E501" s="48" t="str">
        <f>IF(A501="","",SUMIFS(Sales!$H:$H,Sales!$F:$F,A501,Sales!$B:$B,"&lt;&gt;Return"))</f>
        <v/>
      </c>
      <c r="F501" s="48" t="str">
        <f>IF(A501="","",SUMIFS(Sales!$H:$H,Sales!$F:$F,A501,Sales!$B:$B,"Return"))</f>
        <v/>
      </c>
      <c r="G501" s="48" t="str">
        <f>IF($A501="","",SUMIF('Shop Ledger'!$C:$C,$A501,'Shop Ledger'!$F:$F))</f>
        <v/>
      </c>
      <c r="H501" s="48" t="str">
        <f t="shared" si="1"/>
        <v/>
      </c>
      <c r="I501" s="44" t="str">
        <f>IF(A501="","",IFERROR(SUMIF(Purchases!$D:$D,A501,Purchases!$I:$I)/D501,0))</f>
        <v/>
      </c>
      <c r="J501" s="44" t="str">
        <f t="shared" si="2"/>
        <v/>
      </c>
      <c r="K501" s="30" t="str">
        <f>IF($A501="","",IFERROR(VALUE(SUBSTITUTE(SUBSTITUTE(SUBSTITUTE(VLOOKUP($A501,Inventory!$O$5:$P$604,2,FALSE),"Tk","")," ",""),",","")),""))</f>
        <v/>
      </c>
      <c r="L501" s="58" t="str">
        <f t="shared" si="3"/>
        <v/>
      </c>
      <c r="M501" s="58" t="str">
        <f t="shared" si="4"/>
        <v/>
      </c>
      <c r="O501" s="59" t="str">
        <f t="shared" si="5"/>
        <v/>
      </c>
      <c r="P501" s="52"/>
    </row>
    <row r="502" ht="15.75" customHeight="1">
      <c r="A502" s="29" t="str">
        <f t="array" ref="A502">IFERROR(INDEX(Purchases!$D$5:$D$1004,MATCH(ROW()-4,Purchases!$L$5:$L$1004,0)),"")</f>
        <v/>
      </c>
      <c r="B502" s="48" t="str">
        <f>IFERROR(VLOOKUP(A502,Purchases!$D:$E,2,FALSE),"")</f>
        <v/>
      </c>
      <c r="C502" s="48" t="str">
        <f>IFERROR(VLOOKUP(A502,Purchases!$D:$F,3,FALSE),"")</f>
        <v/>
      </c>
      <c r="D502" s="48" t="str">
        <f>IF(A502="","",SUMIF(Purchases!$D:$D,A502,Purchases!$K:$K))</f>
        <v/>
      </c>
      <c r="E502" s="48" t="str">
        <f>IF(A502="","",SUMIFS(Sales!$H:$H,Sales!$F:$F,A502,Sales!$B:$B,"&lt;&gt;Return"))</f>
        <v/>
      </c>
      <c r="F502" s="48" t="str">
        <f>IF(A502="","",SUMIFS(Sales!$H:$H,Sales!$F:$F,A502,Sales!$B:$B,"Return"))</f>
        <v/>
      </c>
      <c r="G502" s="48" t="str">
        <f>IF($A502="","",SUMIF('Shop Ledger'!$C:$C,$A502,'Shop Ledger'!$F:$F))</f>
        <v/>
      </c>
      <c r="H502" s="48" t="str">
        <f t="shared" si="1"/>
        <v/>
      </c>
      <c r="I502" s="44" t="str">
        <f>IF(A502="","",IFERROR(SUMIF(Purchases!$D:$D,A502,Purchases!$I:$I)/D502,0))</f>
        <v/>
      </c>
      <c r="J502" s="44" t="str">
        <f t="shared" si="2"/>
        <v/>
      </c>
      <c r="K502" s="30" t="str">
        <f>IF($A502="","",IFERROR(VALUE(SUBSTITUTE(SUBSTITUTE(SUBSTITUTE(VLOOKUP($A502,Inventory!$O$5:$P$604,2,FALSE),"Tk","")," ",""),",","")),""))</f>
        <v/>
      </c>
      <c r="L502" s="58" t="str">
        <f t="shared" si="3"/>
        <v/>
      </c>
      <c r="M502" s="58" t="str">
        <f t="shared" si="4"/>
        <v/>
      </c>
      <c r="O502" s="59" t="str">
        <f t="shared" si="5"/>
        <v/>
      </c>
      <c r="P502" s="52"/>
    </row>
    <row r="503" ht="15.75" customHeight="1">
      <c r="A503" s="29" t="str">
        <f t="array" ref="A503">IFERROR(INDEX(Purchases!$D$5:$D$1004,MATCH(ROW()-4,Purchases!$L$5:$L$1004,0)),"")</f>
        <v/>
      </c>
      <c r="B503" s="48" t="str">
        <f>IFERROR(VLOOKUP(A503,Purchases!$D:$E,2,FALSE),"")</f>
        <v/>
      </c>
      <c r="C503" s="48" t="str">
        <f>IFERROR(VLOOKUP(A503,Purchases!$D:$F,3,FALSE),"")</f>
        <v/>
      </c>
      <c r="D503" s="48" t="str">
        <f>IF(A503="","",SUMIF(Purchases!$D:$D,A503,Purchases!$K:$K))</f>
        <v/>
      </c>
      <c r="E503" s="48" t="str">
        <f>IF(A503="","",SUMIFS(Sales!$H:$H,Sales!$F:$F,A503,Sales!$B:$B,"&lt;&gt;Return"))</f>
        <v/>
      </c>
      <c r="F503" s="48" t="str">
        <f>IF(A503="","",SUMIFS(Sales!$H:$H,Sales!$F:$F,A503,Sales!$B:$B,"Return"))</f>
        <v/>
      </c>
      <c r="G503" s="48" t="str">
        <f>IF($A503="","",SUMIF('Shop Ledger'!$C:$C,$A503,'Shop Ledger'!$F:$F))</f>
        <v/>
      </c>
      <c r="H503" s="48" t="str">
        <f t="shared" si="1"/>
        <v/>
      </c>
      <c r="I503" s="44" t="str">
        <f>IF(A503="","",IFERROR(SUMIF(Purchases!$D:$D,A503,Purchases!$I:$I)/D503,0))</f>
        <v/>
      </c>
      <c r="J503" s="44" t="str">
        <f t="shared" si="2"/>
        <v/>
      </c>
      <c r="K503" s="30" t="str">
        <f>IF($A503="","",IFERROR(VALUE(SUBSTITUTE(SUBSTITUTE(SUBSTITUTE(VLOOKUP($A503,Inventory!$O$5:$P$604,2,FALSE),"Tk","")," ",""),",","")),""))</f>
        <v/>
      </c>
      <c r="L503" s="58" t="str">
        <f t="shared" si="3"/>
        <v/>
      </c>
      <c r="M503" s="58" t="str">
        <f t="shared" si="4"/>
        <v/>
      </c>
      <c r="O503" s="59" t="str">
        <f t="shared" si="5"/>
        <v/>
      </c>
      <c r="P503" s="52"/>
    </row>
    <row r="504" ht="15.75" customHeight="1">
      <c r="A504" s="29" t="str">
        <f t="array" ref="A504">IFERROR(INDEX(Purchases!$D$5:$D$1004,MATCH(ROW()-4,Purchases!$L$5:$L$1004,0)),"")</f>
        <v/>
      </c>
      <c r="B504" s="48" t="str">
        <f>IFERROR(VLOOKUP(A504,Purchases!$D:$E,2,FALSE),"")</f>
        <v/>
      </c>
      <c r="C504" s="48" t="str">
        <f>IFERROR(VLOOKUP(A504,Purchases!$D:$F,3,FALSE),"")</f>
        <v/>
      </c>
      <c r="D504" s="48" t="str">
        <f>IF(A504="","",SUMIF(Purchases!$D:$D,A504,Purchases!$K:$K))</f>
        <v/>
      </c>
      <c r="E504" s="48" t="str">
        <f>IF(A504="","",SUMIFS(Sales!$H:$H,Sales!$F:$F,A504,Sales!$B:$B,"&lt;&gt;Return"))</f>
        <v/>
      </c>
      <c r="F504" s="48" t="str">
        <f>IF(A504="","",SUMIFS(Sales!$H:$H,Sales!$F:$F,A504,Sales!$B:$B,"Return"))</f>
        <v/>
      </c>
      <c r="G504" s="48" t="str">
        <f>IF($A504="","",SUMIF('Shop Ledger'!$C:$C,$A504,'Shop Ledger'!$F:$F))</f>
        <v/>
      </c>
      <c r="H504" s="48" t="str">
        <f t="shared" si="1"/>
        <v/>
      </c>
      <c r="I504" s="44" t="str">
        <f>IF(A504="","",IFERROR(SUMIF(Purchases!$D:$D,A504,Purchases!$I:$I)/D504,0))</f>
        <v/>
      </c>
      <c r="J504" s="44" t="str">
        <f t="shared" si="2"/>
        <v/>
      </c>
      <c r="K504" s="30" t="str">
        <f>IF($A504="","",IFERROR(VALUE(SUBSTITUTE(SUBSTITUTE(SUBSTITUTE(VLOOKUP($A504,Inventory!$O$5:$P$604,2,FALSE),"Tk","")," ",""),",","")),""))</f>
        <v/>
      </c>
      <c r="L504" s="58" t="str">
        <f t="shared" si="3"/>
        <v/>
      </c>
      <c r="M504" s="58" t="str">
        <f t="shared" si="4"/>
        <v/>
      </c>
      <c r="O504" s="59" t="str">
        <f t="shared" si="5"/>
        <v/>
      </c>
      <c r="P504" s="52"/>
    </row>
    <row r="505" ht="15.75" customHeight="1">
      <c r="A505" s="29" t="str">
        <f t="array" ref="A505">IFERROR(INDEX(Purchases!$D$5:$D$1004,MATCH(ROW()-4,Purchases!$L$5:$L$1004,0)),"")</f>
        <v/>
      </c>
      <c r="B505" s="48" t="str">
        <f>IFERROR(VLOOKUP(A505,Purchases!$D:$E,2,FALSE),"")</f>
        <v/>
      </c>
      <c r="C505" s="48" t="str">
        <f>IFERROR(VLOOKUP(A505,Purchases!$D:$F,3,FALSE),"")</f>
        <v/>
      </c>
      <c r="D505" s="48" t="str">
        <f>IF(A505="","",SUMIF(Purchases!$D:$D,A505,Purchases!$K:$K))</f>
        <v/>
      </c>
      <c r="E505" s="48" t="str">
        <f>IF(A505="","",SUMIFS(Sales!$H:$H,Sales!$F:$F,A505,Sales!$B:$B,"&lt;&gt;Return"))</f>
        <v/>
      </c>
      <c r="F505" s="48" t="str">
        <f>IF(A505="","",SUMIFS(Sales!$H:$H,Sales!$F:$F,A505,Sales!$B:$B,"Return"))</f>
        <v/>
      </c>
      <c r="G505" s="48" t="str">
        <f>IF($A505="","",SUMIF('Shop Ledger'!$C:$C,$A505,'Shop Ledger'!$F:$F))</f>
        <v/>
      </c>
      <c r="H505" s="48" t="str">
        <f t="shared" si="1"/>
        <v/>
      </c>
      <c r="I505" s="44" t="str">
        <f>IF(A505="","",IFERROR(SUMIF(Purchases!$D:$D,A505,Purchases!$I:$I)/D505,0))</f>
        <v/>
      </c>
      <c r="J505" s="44" t="str">
        <f t="shared" si="2"/>
        <v/>
      </c>
      <c r="K505" s="30" t="str">
        <f>IF($A505="","",IFERROR(VALUE(SUBSTITUTE(SUBSTITUTE(SUBSTITUTE(VLOOKUP($A505,Inventory!$O$5:$P$604,2,FALSE),"Tk","")," ",""),",","")),""))</f>
        <v/>
      </c>
      <c r="L505" s="58" t="str">
        <f t="shared" si="3"/>
        <v/>
      </c>
      <c r="M505" s="58" t="str">
        <f t="shared" si="4"/>
        <v/>
      </c>
      <c r="O505" s="59" t="str">
        <f t="shared" si="5"/>
        <v/>
      </c>
      <c r="P505" s="52"/>
    </row>
    <row r="506" ht="15.75" customHeight="1">
      <c r="A506" s="29" t="str">
        <f t="array" ref="A506">IFERROR(INDEX(Purchases!$D$5:$D$1004,MATCH(ROW()-4,Purchases!$L$5:$L$1004,0)),"")</f>
        <v/>
      </c>
      <c r="B506" s="48" t="str">
        <f>IFERROR(VLOOKUP(A506,Purchases!$D:$E,2,FALSE),"")</f>
        <v/>
      </c>
      <c r="C506" s="48" t="str">
        <f>IFERROR(VLOOKUP(A506,Purchases!$D:$F,3,FALSE),"")</f>
        <v/>
      </c>
      <c r="D506" s="48" t="str">
        <f>IF(A506="","",SUMIF(Purchases!$D:$D,A506,Purchases!$K:$K))</f>
        <v/>
      </c>
      <c r="E506" s="48" t="str">
        <f>IF(A506="","",SUMIFS(Sales!$H:$H,Sales!$F:$F,A506,Sales!$B:$B,"&lt;&gt;Return"))</f>
        <v/>
      </c>
      <c r="F506" s="48" t="str">
        <f>IF(A506="","",SUMIFS(Sales!$H:$H,Sales!$F:$F,A506,Sales!$B:$B,"Return"))</f>
        <v/>
      </c>
      <c r="G506" s="48" t="str">
        <f>IF($A506="","",SUMIF('Shop Ledger'!$C:$C,$A506,'Shop Ledger'!$F:$F))</f>
        <v/>
      </c>
      <c r="H506" s="48" t="str">
        <f t="shared" si="1"/>
        <v/>
      </c>
      <c r="I506" s="44" t="str">
        <f>IF(A506="","",IFERROR(SUMIF(Purchases!$D:$D,A506,Purchases!$I:$I)/D506,0))</f>
        <v/>
      </c>
      <c r="J506" s="44" t="str">
        <f t="shared" si="2"/>
        <v/>
      </c>
      <c r="K506" s="30" t="str">
        <f>IF($A506="","",IFERROR(VALUE(SUBSTITUTE(SUBSTITUTE(SUBSTITUTE(VLOOKUP($A506,Inventory!$O$5:$P$604,2,FALSE),"Tk","")," ",""),",","")),""))</f>
        <v/>
      </c>
      <c r="L506" s="58" t="str">
        <f t="shared" si="3"/>
        <v/>
      </c>
      <c r="M506" s="58" t="str">
        <f t="shared" si="4"/>
        <v/>
      </c>
      <c r="O506" s="59" t="str">
        <f t="shared" si="5"/>
        <v/>
      </c>
      <c r="P506" s="52"/>
    </row>
    <row r="507" ht="15.75" customHeight="1">
      <c r="A507" s="29" t="str">
        <f t="array" ref="A507">IFERROR(INDEX(Purchases!$D$5:$D$1004,MATCH(ROW()-4,Purchases!$L$5:$L$1004,0)),"")</f>
        <v/>
      </c>
      <c r="B507" s="48" t="str">
        <f>IFERROR(VLOOKUP(A507,Purchases!$D:$E,2,FALSE),"")</f>
        <v/>
      </c>
      <c r="C507" s="48" t="str">
        <f>IFERROR(VLOOKUP(A507,Purchases!$D:$F,3,FALSE),"")</f>
        <v/>
      </c>
      <c r="D507" s="48" t="str">
        <f>IF(A507="","",SUMIF(Purchases!$D:$D,A507,Purchases!$K:$K))</f>
        <v/>
      </c>
      <c r="E507" s="48" t="str">
        <f>IF(A507="","",SUMIFS(Sales!$H:$H,Sales!$F:$F,A507,Sales!$B:$B,"&lt;&gt;Return"))</f>
        <v/>
      </c>
      <c r="F507" s="48" t="str">
        <f>IF(A507="","",SUMIFS(Sales!$H:$H,Sales!$F:$F,A507,Sales!$B:$B,"Return"))</f>
        <v/>
      </c>
      <c r="G507" s="48" t="str">
        <f>IF($A507="","",SUMIF('Shop Ledger'!$C:$C,$A507,'Shop Ledger'!$F:$F))</f>
        <v/>
      </c>
      <c r="H507" s="48" t="str">
        <f t="shared" si="1"/>
        <v/>
      </c>
      <c r="I507" s="44" t="str">
        <f>IF(A507="","",IFERROR(SUMIF(Purchases!$D:$D,A507,Purchases!$I:$I)/D507,0))</f>
        <v/>
      </c>
      <c r="J507" s="44" t="str">
        <f t="shared" si="2"/>
        <v/>
      </c>
      <c r="K507" s="30" t="str">
        <f>IF($A507="","",IFERROR(VALUE(SUBSTITUTE(SUBSTITUTE(SUBSTITUTE(VLOOKUP($A507,Inventory!$O$5:$P$604,2,FALSE),"Tk","")," ",""),",","")),""))</f>
        <v/>
      </c>
      <c r="L507" s="58" t="str">
        <f t="shared" si="3"/>
        <v/>
      </c>
      <c r="M507" s="58" t="str">
        <f t="shared" si="4"/>
        <v/>
      </c>
      <c r="O507" s="59" t="str">
        <f t="shared" si="5"/>
        <v/>
      </c>
      <c r="P507" s="52"/>
    </row>
    <row r="508" ht="15.75" customHeight="1">
      <c r="A508" s="29" t="str">
        <f t="array" ref="A508">IFERROR(INDEX(Purchases!$D$5:$D$1004,MATCH(ROW()-4,Purchases!$L$5:$L$1004,0)),"")</f>
        <v/>
      </c>
      <c r="B508" s="48" t="str">
        <f>IFERROR(VLOOKUP(A508,Purchases!$D:$E,2,FALSE),"")</f>
        <v/>
      </c>
      <c r="C508" s="48" t="str">
        <f>IFERROR(VLOOKUP(A508,Purchases!$D:$F,3,FALSE),"")</f>
        <v/>
      </c>
      <c r="D508" s="48" t="str">
        <f>IF(A508="","",SUMIF(Purchases!$D:$D,A508,Purchases!$K:$K))</f>
        <v/>
      </c>
      <c r="E508" s="48" t="str">
        <f>IF(A508="","",SUMIFS(Sales!$H:$H,Sales!$F:$F,A508,Sales!$B:$B,"&lt;&gt;Return"))</f>
        <v/>
      </c>
      <c r="F508" s="48" t="str">
        <f>IF(A508="","",SUMIFS(Sales!$H:$H,Sales!$F:$F,A508,Sales!$B:$B,"Return"))</f>
        <v/>
      </c>
      <c r="G508" s="48" t="str">
        <f>IF($A508="","",SUMIF('Shop Ledger'!$C:$C,$A508,'Shop Ledger'!$F:$F))</f>
        <v/>
      </c>
      <c r="H508" s="48" t="str">
        <f t="shared" si="1"/>
        <v/>
      </c>
      <c r="I508" s="44" t="str">
        <f>IF(A508="","",IFERROR(SUMIF(Purchases!$D:$D,A508,Purchases!$I:$I)/D508,0))</f>
        <v/>
      </c>
      <c r="J508" s="44" t="str">
        <f t="shared" si="2"/>
        <v/>
      </c>
      <c r="K508" s="30" t="str">
        <f>IF($A508="","",IFERROR(VALUE(SUBSTITUTE(SUBSTITUTE(SUBSTITUTE(VLOOKUP($A508,Inventory!$O$5:$P$604,2,FALSE),"Tk","")," ",""),",","")),""))</f>
        <v/>
      </c>
      <c r="L508" s="58" t="str">
        <f t="shared" si="3"/>
        <v/>
      </c>
      <c r="M508" s="58" t="str">
        <f t="shared" si="4"/>
        <v/>
      </c>
      <c r="O508" s="59" t="str">
        <f t="shared" si="5"/>
        <v/>
      </c>
      <c r="P508" s="52"/>
    </row>
    <row r="509" ht="15.75" customHeight="1">
      <c r="A509" s="29" t="str">
        <f t="array" ref="A509">IFERROR(INDEX(Purchases!$D$5:$D$1004,MATCH(ROW()-4,Purchases!$L$5:$L$1004,0)),"")</f>
        <v/>
      </c>
      <c r="B509" s="48" t="str">
        <f>IFERROR(VLOOKUP(A509,Purchases!$D:$E,2,FALSE),"")</f>
        <v/>
      </c>
      <c r="C509" s="48" t="str">
        <f>IFERROR(VLOOKUP(A509,Purchases!$D:$F,3,FALSE),"")</f>
        <v/>
      </c>
      <c r="D509" s="48" t="str">
        <f>IF(A509="","",SUMIF(Purchases!$D:$D,A509,Purchases!$K:$K))</f>
        <v/>
      </c>
      <c r="E509" s="48" t="str">
        <f>IF(A509="","",SUMIFS(Sales!$H:$H,Sales!$F:$F,A509,Sales!$B:$B,"&lt;&gt;Return"))</f>
        <v/>
      </c>
      <c r="F509" s="48" t="str">
        <f>IF(A509="","",SUMIFS(Sales!$H:$H,Sales!$F:$F,A509,Sales!$B:$B,"Return"))</f>
        <v/>
      </c>
      <c r="G509" s="48" t="str">
        <f>IF($A509="","",SUMIF('Shop Ledger'!$C:$C,$A509,'Shop Ledger'!$F:$F))</f>
        <v/>
      </c>
      <c r="H509" s="48" t="str">
        <f t="shared" si="1"/>
        <v/>
      </c>
      <c r="I509" s="44" t="str">
        <f>IF(A509="","",IFERROR(SUMIF(Purchases!$D:$D,A509,Purchases!$I:$I)/D509,0))</f>
        <v/>
      </c>
      <c r="J509" s="44" t="str">
        <f t="shared" si="2"/>
        <v/>
      </c>
      <c r="K509" s="30" t="str">
        <f>IF($A509="","",IFERROR(VALUE(SUBSTITUTE(SUBSTITUTE(SUBSTITUTE(VLOOKUP($A509,Inventory!$O$5:$P$604,2,FALSE),"Tk","")," ",""),",","")),""))</f>
        <v/>
      </c>
      <c r="L509" s="58" t="str">
        <f t="shared" si="3"/>
        <v/>
      </c>
      <c r="M509" s="58" t="str">
        <f t="shared" si="4"/>
        <v/>
      </c>
      <c r="O509" s="59" t="str">
        <f t="shared" si="5"/>
        <v/>
      </c>
      <c r="P509" s="52"/>
    </row>
    <row r="510" ht="15.75" customHeight="1">
      <c r="A510" s="29" t="str">
        <f t="array" ref="A510">IFERROR(INDEX(Purchases!$D$5:$D$1004,MATCH(ROW()-4,Purchases!$L$5:$L$1004,0)),"")</f>
        <v/>
      </c>
      <c r="B510" s="48" t="str">
        <f>IFERROR(VLOOKUP(A510,Purchases!$D:$E,2,FALSE),"")</f>
        <v/>
      </c>
      <c r="C510" s="48" t="str">
        <f>IFERROR(VLOOKUP(A510,Purchases!$D:$F,3,FALSE),"")</f>
        <v/>
      </c>
      <c r="D510" s="48" t="str">
        <f>IF(A510="","",SUMIF(Purchases!$D:$D,A510,Purchases!$K:$K))</f>
        <v/>
      </c>
      <c r="E510" s="48" t="str">
        <f>IF(A510="","",SUMIFS(Sales!$H:$H,Sales!$F:$F,A510,Sales!$B:$B,"&lt;&gt;Return"))</f>
        <v/>
      </c>
      <c r="F510" s="48" t="str">
        <f>IF(A510="","",SUMIFS(Sales!$H:$H,Sales!$F:$F,A510,Sales!$B:$B,"Return"))</f>
        <v/>
      </c>
      <c r="G510" s="48" t="str">
        <f>IF($A510="","",SUMIF('Shop Ledger'!$C:$C,$A510,'Shop Ledger'!$F:$F))</f>
        <v/>
      </c>
      <c r="H510" s="48" t="str">
        <f t="shared" si="1"/>
        <v/>
      </c>
      <c r="I510" s="44" t="str">
        <f>IF(A510="","",IFERROR(SUMIF(Purchases!$D:$D,A510,Purchases!$I:$I)/D510,0))</f>
        <v/>
      </c>
      <c r="J510" s="44" t="str">
        <f t="shared" si="2"/>
        <v/>
      </c>
      <c r="K510" s="30" t="str">
        <f>IF($A510="","",IFERROR(VALUE(SUBSTITUTE(SUBSTITUTE(SUBSTITUTE(VLOOKUP($A510,Inventory!$O$5:$P$604,2,FALSE),"Tk","")," ",""),",","")),""))</f>
        <v/>
      </c>
      <c r="L510" s="58" t="str">
        <f t="shared" si="3"/>
        <v/>
      </c>
      <c r="M510" s="58" t="str">
        <f t="shared" si="4"/>
        <v/>
      </c>
      <c r="O510" s="59" t="str">
        <f t="shared" si="5"/>
        <v/>
      </c>
      <c r="P510" s="52"/>
    </row>
    <row r="511" ht="15.75" customHeight="1">
      <c r="A511" s="29" t="str">
        <f t="array" ref="A511">IFERROR(INDEX(Purchases!$D$5:$D$1004,MATCH(ROW()-4,Purchases!$L$5:$L$1004,0)),"")</f>
        <v/>
      </c>
      <c r="B511" s="48" t="str">
        <f>IFERROR(VLOOKUP(A511,Purchases!$D:$E,2,FALSE),"")</f>
        <v/>
      </c>
      <c r="C511" s="48" t="str">
        <f>IFERROR(VLOOKUP(A511,Purchases!$D:$F,3,FALSE),"")</f>
        <v/>
      </c>
      <c r="D511" s="48" t="str">
        <f>IF(A511="","",SUMIF(Purchases!$D:$D,A511,Purchases!$K:$K))</f>
        <v/>
      </c>
      <c r="E511" s="48" t="str">
        <f>IF(A511="","",SUMIFS(Sales!$H:$H,Sales!$F:$F,A511,Sales!$B:$B,"&lt;&gt;Return"))</f>
        <v/>
      </c>
      <c r="F511" s="48" t="str">
        <f>IF(A511="","",SUMIFS(Sales!$H:$H,Sales!$F:$F,A511,Sales!$B:$B,"Return"))</f>
        <v/>
      </c>
      <c r="G511" s="48" t="str">
        <f>IF($A511="","",SUMIF('Shop Ledger'!$C:$C,$A511,'Shop Ledger'!$F:$F))</f>
        <v/>
      </c>
      <c r="H511" s="48" t="str">
        <f t="shared" si="1"/>
        <v/>
      </c>
      <c r="I511" s="44" t="str">
        <f>IF(A511="","",IFERROR(SUMIF(Purchases!$D:$D,A511,Purchases!$I:$I)/D511,0))</f>
        <v/>
      </c>
      <c r="J511" s="44" t="str">
        <f t="shared" si="2"/>
        <v/>
      </c>
      <c r="K511" s="30" t="str">
        <f>IF($A511="","",IFERROR(VALUE(SUBSTITUTE(SUBSTITUTE(SUBSTITUTE(VLOOKUP($A511,Inventory!$O$5:$P$604,2,FALSE),"Tk","")," ",""),",","")),""))</f>
        <v/>
      </c>
      <c r="L511" s="58" t="str">
        <f t="shared" si="3"/>
        <v/>
      </c>
      <c r="M511" s="58" t="str">
        <f t="shared" si="4"/>
        <v/>
      </c>
      <c r="O511" s="59" t="str">
        <f t="shared" si="5"/>
        <v/>
      </c>
      <c r="P511" s="52"/>
    </row>
    <row r="512" ht="15.75" customHeight="1">
      <c r="A512" s="29" t="str">
        <f t="array" ref="A512">IFERROR(INDEX(Purchases!$D$5:$D$1004,MATCH(ROW()-4,Purchases!$L$5:$L$1004,0)),"")</f>
        <v/>
      </c>
      <c r="B512" s="48" t="str">
        <f>IFERROR(VLOOKUP(A512,Purchases!$D:$E,2,FALSE),"")</f>
        <v/>
      </c>
      <c r="C512" s="48" t="str">
        <f>IFERROR(VLOOKUP(A512,Purchases!$D:$F,3,FALSE),"")</f>
        <v/>
      </c>
      <c r="D512" s="48" t="str">
        <f>IF(A512="","",SUMIF(Purchases!$D:$D,A512,Purchases!$K:$K))</f>
        <v/>
      </c>
      <c r="E512" s="48" t="str">
        <f>IF(A512="","",SUMIFS(Sales!$H:$H,Sales!$F:$F,A512,Sales!$B:$B,"&lt;&gt;Return"))</f>
        <v/>
      </c>
      <c r="F512" s="48" t="str">
        <f>IF(A512="","",SUMIFS(Sales!$H:$H,Sales!$F:$F,A512,Sales!$B:$B,"Return"))</f>
        <v/>
      </c>
      <c r="G512" s="48" t="str">
        <f>IF($A512="","",SUMIF('Shop Ledger'!$C:$C,$A512,'Shop Ledger'!$F:$F))</f>
        <v/>
      </c>
      <c r="H512" s="48" t="str">
        <f t="shared" si="1"/>
        <v/>
      </c>
      <c r="I512" s="44" t="str">
        <f>IF(A512="","",IFERROR(SUMIF(Purchases!$D:$D,A512,Purchases!$I:$I)/D512,0))</f>
        <v/>
      </c>
      <c r="J512" s="44" t="str">
        <f t="shared" si="2"/>
        <v/>
      </c>
      <c r="K512" s="30" t="str">
        <f>IF($A512="","",IFERROR(VALUE(SUBSTITUTE(SUBSTITUTE(SUBSTITUTE(VLOOKUP($A512,Inventory!$O$5:$P$604,2,FALSE),"Tk","")," ",""),",","")),""))</f>
        <v/>
      </c>
      <c r="L512" s="58" t="str">
        <f t="shared" si="3"/>
        <v/>
      </c>
      <c r="M512" s="58" t="str">
        <f t="shared" si="4"/>
        <v/>
      </c>
      <c r="O512" s="59" t="str">
        <f t="shared" si="5"/>
        <v/>
      </c>
      <c r="P512" s="52"/>
    </row>
    <row r="513" ht="15.75" customHeight="1">
      <c r="A513" s="29" t="str">
        <f t="array" ref="A513">IFERROR(INDEX(Purchases!$D$5:$D$1004,MATCH(ROW()-4,Purchases!$L$5:$L$1004,0)),"")</f>
        <v/>
      </c>
      <c r="B513" s="48" t="str">
        <f>IFERROR(VLOOKUP(A513,Purchases!$D:$E,2,FALSE),"")</f>
        <v/>
      </c>
      <c r="C513" s="48" t="str">
        <f>IFERROR(VLOOKUP(A513,Purchases!$D:$F,3,FALSE),"")</f>
        <v/>
      </c>
      <c r="D513" s="48" t="str">
        <f>IF(A513="","",SUMIF(Purchases!$D:$D,A513,Purchases!$K:$K))</f>
        <v/>
      </c>
      <c r="E513" s="48" t="str">
        <f>IF(A513="","",SUMIFS(Sales!$H:$H,Sales!$F:$F,A513,Sales!$B:$B,"&lt;&gt;Return"))</f>
        <v/>
      </c>
      <c r="F513" s="48" t="str">
        <f>IF(A513="","",SUMIFS(Sales!$H:$H,Sales!$F:$F,A513,Sales!$B:$B,"Return"))</f>
        <v/>
      </c>
      <c r="G513" s="48" t="str">
        <f>IF($A513="","",SUMIF('Shop Ledger'!$C:$C,$A513,'Shop Ledger'!$F:$F))</f>
        <v/>
      </c>
      <c r="H513" s="48" t="str">
        <f t="shared" si="1"/>
        <v/>
      </c>
      <c r="I513" s="44" t="str">
        <f>IF(A513="","",IFERROR(SUMIF(Purchases!$D:$D,A513,Purchases!$I:$I)/D513,0))</f>
        <v/>
      </c>
      <c r="J513" s="44" t="str">
        <f t="shared" si="2"/>
        <v/>
      </c>
      <c r="K513" s="30" t="str">
        <f>IF($A513="","",IFERROR(VALUE(SUBSTITUTE(SUBSTITUTE(SUBSTITUTE(VLOOKUP($A513,Inventory!$O$5:$P$604,2,FALSE),"Tk","")," ",""),",","")),""))</f>
        <v/>
      </c>
      <c r="L513" s="58" t="str">
        <f t="shared" si="3"/>
        <v/>
      </c>
      <c r="M513" s="58" t="str">
        <f t="shared" si="4"/>
        <v/>
      </c>
      <c r="O513" s="59" t="str">
        <f t="shared" si="5"/>
        <v/>
      </c>
      <c r="P513" s="52"/>
    </row>
    <row r="514" ht="15.75" customHeight="1">
      <c r="A514" s="29" t="str">
        <f t="array" ref="A514">IFERROR(INDEX(Purchases!$D$5:$D$1004,MATCH(ROW()-4,Purchases!$L$5:$L$1004,0)),"")</f>
        <v/>
      </c>
      <c r="B514" s="48" t="str">
        <f>IFERROR(VLOOKUP(A514,Purchases!$D:$E,2,FALSE),"")</f>
        <v/>
      </c>
      <c r="C514" s="48" t="str">
        <f>IFERROR(VLOOKUP(A514,Purchases!$D:$F,3,FALSE),"")</f>
        <v/>
      </c>
      <c r="D514" s="48" t="str">
        <f>IF(A514="","",SUMIF(Purchases!$D:$D,A514,Purchases!$K:$K))</f>
        <v/>
      </c>
      <c r="E514" s="48" t="str">
        <f>IF(A514="","",SUMIFS(Sales!$H:$H,Sales!$F:$F,A514,Sales!$B:$B,"&lt;&gt;Return"))</f>
        <v/>
      </c>
      <c r="F514" s="48" t="str">
        <f>IF(A514="","",SUMIFS(Sales!$H:$H,Sales!$F:$F,A514,Sales!$B:$B,"Return"))</f>
        <v/>
      </c>
      <c r="G514" s="48" t="str">
        <f>IF($A514="","",SUMIF('Shop Ledger'!$C:$C,$A514,'Shop Ledger'!$F:$F))</f>
        <v/>
      </c>
      <c r="H514" s="48" t="str">
        <f t="shared" si="1"/>
        <v/>
      </c>
      <c r="I514" s="44" t="str">
        <f>IF(A514="","",IFERROR(SUMIF(Purchases!$D:$D,A514,Purchases!$I:$I)/D514,0))</f>
        <v/>
      </c>
      <c r="J514" s="44" t="str">
        <f t="shared" si="2"/>
        <v/>
      </c>
      <c r="K514" s="30" t="str">
        <f>IF($A514="","",IFERROR(VALUE(SUBSTITUTE(SUBSTITUTE(SUBSTITUTE(VLOOKUP($A514,Inventory!$O$5:$P$604,2,FALSE),"Tk","")," ",""),",","")),""))</f>
        <v/>
      </c>
      <c r="L514" s="58" t="str">
        <f t="shared" si="3"/>
        <v/>
      </c>
      <c r="M514" s="58" t="str">
        <f t="shared" si="4"/>
        <v/>
      </c>
      <c r="O514" s="59" t="str">
        <f t="shared" si="5"/>
        <v/>
      </c>
      <c r="P514" s="52"/>
    </row>
    <row r="515" ht="15.75" customHeight="1">
      <c r="A515" s="29" t="str">
        <f t="array" ref="A515">IFERROR(INDEX(Purchases!$D$5:$D$1004,MATCH(ROW()-4,Purchases!$L$5:$L$1004,0)),"")</f>
        <v/>
      </c>
      <c r="B515" s="48" t="str">
        <f>IFERROR(VLOOKUP(A515,Purchases!$D:$E,2,FALSE),"")</f>
        <v/>
      </c>
      <c r="C515" s="48" t="str">
        <f>IFERROR(VLOOKUP(A515,Purchases!$D:$F,3,FALSE),"")</f>
        <v/>
      </c>
      <c r="D515" s="48" t="str">
        <f>IF(A515="","",SUMIF(Purchases!$D:$D,A515,Purchases!$K:$K))</f>
        <v/>
      </c>
      <c r="E515" s="48" t="str">
        <f>IF(A515="","",SUMIFS(Sales!$H:$H,Sales!$F:$F,A515,Sales!$B:$B,"&lt;&gt;Return"))</f>
        <v/>
      </c>
      <c r="F515" s="48" t="str">
        <f>IF(A515="","",SUMIFS(Sales!$H:$H,Sales!$F:$F,A515,Sales!$B:$B,"Return"))</f>
        <v/>
      </c>
      <c r="G515" s="48" t="str">
        <f>IF($A515="","",SUMIF('Shop Ledger'!$C:$C,$A515,'Shop Ledger'!$F:$F))</f>
        <v/>
      </c>
      <c r="H515" s="48" t="str">
        <f t="shared" si="1"/>
        <v/>
      </c>
      <c r="I515" s="44" t="str">
        <f>IF(A515="","",IFERROR(SUMIF(Purchases!$D:$D,A515,Purchases!$I:$I)/D515,0))</f>
        <v/>
      </c>
      <c r="J515" s="44" t="str">
        <f t="shared" si="2"/>
        <v/>
      </c>
      <c r="K515" s="30" t="str">
        <f>IF($A515="","",IFERROR(VALUE(SUBSTITUTE(SUBSTITUTE(SUBSTITUTE(VLOOKUP($A515,Inventory!$O$5:$P$604,2,FALSE),"Tk","")," ",""),",","")),""))</f>
        <v/>
      </c>
      <c r="L515" s="58" t="str">
        <f t="shared" si="3"/>
        <v/>
      </c>
      <c r="M515" s="58" t="str">
        <f t="shared" si="4"/>
        <v/>
      </c>
      <c r="O515" s="59" t="str">
        <f t="shared" si="5"/>
        <v/>
      </c>
      <c r="P515" s="52"/>
    </row>
    <row r="516" ht="15.75" customHeight="1">
      <c r="A516" s="29" t="str">
        <f t="array" ref="A516">IFERROR(INDEX(Purchases!$D$5:$D$1004,MATCH(ROW()-4,Purchases!$L$5:$L$1004,0)),"")</f>
        <v/>
      </c>
      <c r="B516" s="48" t="str">
        <f>IFERROR(VLOOKUP(A516,Purchases!$D:$E,2,FALSE),"")</f>
        <v/>
      </c>
      <c r="C516" s="48" t="str">
        <f>IFERROR(VLOOKUP(A516,Purchases!$D:$F,3,FALSE),"")</f>
        <v/>
      </c>
      <c r="D516" s="48" t="str">
        <f>IF(A516="","",SUMIF(Purchases!$D:$D,A516,Purchases!$K:$K))</f>
        <v/>
      </c>
      <c r="E516" s="48" t="str">
        <f>IF(A516="","",SUMIFS(Sales!$H:$H,Sales!$F:$F,A516,Sales!$B:$B,"&lt;&gt;Return"))</f>
        <v/>
      </c>
      <c r="F516" s="48" t="str">
        <f>IF(A516="","",SUMIFS(Sales!$H:$H,Sales!$F:$F,A516,Sales!$B:$B,"Return"))</f>
        <v/>
      </c>
      <c r="G516" s="48" t="str">
        <f>IF($A516="","",SUMIF('Shop Ledger'!$C:$C,$A516,'Shop Ledger'!$F:$F))</f>
        <v/>
      </c>
      <c r="H516" s="48" t="str">
        <f t="shared" si="1"/>
        <v/>
      </c>
      <c r="I516" s="44" t="str">
        <f>IF(A516="","",IFERROR(SUMIF(Purchases!$D:$D,A516,Purchases!$I:$I)/D516,0))</f>
        <v/>
      </c>
      <c r="J516" s="44" t="str">
        <f t="shared" si="2"/>
        <v/>
      </c>
      <c r="K516" s="30" t="str">
        <f>IF($A516="","",IFERROR(VALUE(SUBSTITUTE(SUBSTITUTE(SUBSTITUTE(VLOOKUP($A516,Inventory!$O$5:$P$604,2,FALSE),"Tk","")," ",""),",","")),""))</f>
        <v/>
      </c>
      <c r="L516" s="58" t="str">
        <f t="shared" si="3"/>
        <v/>
      </c>
      <c r="M516" s="58" t="str">
        <f t="shared" si="4"/>
        <v/>
      </c>
      <c r="O516" s="59" t="str">
        <f t="shared" si="5"/>
        <v/>
      </c>
      <c r="P516" s="52"/>
    </row>
    <row r="517" ht="15.75" customHeight="1">
      <c r="A517" s="29" t="str">
        <f t="array" ref="A517">IFERROR(INDEX(Purchases!$D$5:$D$1004,MATCH(ROW()-4,Purchases!$L$5:$L$1004,0)),"")</f>
        <v/>
      </c>
      <c r="B517" s="48" t="str">
        <f>IFERROR(VLOOKUP(A517,Purchases!$D:$E,2,FALSE),"")</f>
        <v/>
      </c>
      <c r="C517" s="48" t="str">
        <f>IFERROR(VLOOKUP(A517,Purchases!$D:$F,3,FALSE),"")</f>
        <v/>
      </c>
      <c r="D517" s="48" t="str">
        <f>IF(A517="","",SUMIF(Purchases!$D:$D,A517,Purchases!$K:$K))</f>
        <v/>
      </c>
      <c r="E517" s="48" t="str">
        <f>IF(A517="","",SUMIFS(Sales!$H:$H,Sales!$F:$F,A517,Sales!$B:$B,"&lt;&gt;Return"))</f>
        <v/>
      </c>
      <c r="F517" s="48" t="str">
        <f>IF(A517="","",SUMIFS(Sales!$H:$H,Sales!$F:$F,A517,Sales!$B:$B,"Return"))</f>
        <v/>
      </c>
      <c r="G517" s="48" t="str">
        <f>IF($A517="","",SUMIF('Shop Ledger'!$C:$C,$A517,'Shop Ledger'!$F:$F))</f>
        <v/>
      </c>
      <c r="H517" s="48" t="str">
        <f t="shared" si="1"/>
        <v/>
      </c>
      <c r="I517" s="44" t="str">
        <f>IF(A517="","",IFERROR(SUMIF(Purchases!$D:$D,A517,Purchases!$I:$I)/D517,0))</f>
        <v/>
      </c>
      <c r="J517" s="44" t="str">
        <f t="shared" si="2"/>
        <v/>
      </c>
      <c r="K517" s="30" t="str">
        <f>IF($A517="","",IFERROR(VALUE(SUBSTITUTE(SUBSTITUTE(SUBSTITUTE(VLOOKUP($A517,Inventory!$O$5:$P$604,2,FALSE),"Tk","")," ",""),",","")),""))</f>
        <v/>
      </c>
      <c r="L517" s="58" t="str">
        <f t="shared" si="3"/>
        <v/>
      </c>
      <c r="M517" s="58" t="str">
        <f t="shared" si="4"/>
        <v/>
      </c>
      <c r="O517" s="59" t="str">
        <f t="shared" si="5"/>
        <v/>
      </c>
      <c r="P517" s="52"/>
    </row>
    <row r="518" ht="15.75" customHeight="1">
      <c r="A518" s="29" t="str">
        <f t="array" ref="A518">IFERROR(INDEX(Purchases!$D$5:$D$1004,MATCH(ROW()-4,Purchases!$L$5:$L$1004,0)),"")</f>
        <v/>
      </c>
      <c r="B518" s="48" t="str">
        <f>IFERROR(VLOOKUP(A518,Purchases!$D:$E,2,FALSE),"")</f>
        <v/>
      </c>
      <c r="C518" s="48" t="str">
        <f>IFERROR(VLOOKUP(A518,Purchases!$D:$F,3,FALSE),"")</f>
        <v/>
      </c>
      <c r="D518" s="48" t="str">
        <f>IF(A518="","",SUMIF(Purchases!$D:$D,A518,Purchases!$K:$K))</f>
        <v/>
      </c>
      <c r="E518" s="48" t="str">
        <f>IF(A518="","",SUMIFS(Sales!$H:$H,Sales!$F:$F,A518,Sales!$B:$B,"&lt;&gt;Return"))</f>
        <v/>
      </c>
      <c r="F518" s="48" t="str">
        <f>IF(A518="","",SUMIFS(Sales!$H:$H,Sales!$F:$F,A518,Sales!$B:$B,"Return"))</f>
        <v/>
      </c>
      <c r="G518" s="48" t="str">
        <f>IF($A518="","",SUMIF('Shop Ledger'!$C:$C,$A518,'Shop Ledger'!$F:$F))</f>
        <v/>
      </c>
      <c r="H518" s="48" t="str">
        <f t="shared" si="1"/>
        <v/>
      </c>
      <c r="I518" s="44" t="str">
        <f>IF(A518="","",IFERROR(SUMIF(Purchases!$D:$D,A518,Purchases!$I:$I)/D518,0))</f>
        <v/>
      </c>
      <c r="J518" s="44" t="str">
        <f t="shared" si="2"/>
        <v/>
      </c>
      <c r="K518" s="30" t="str">
        <f>IF($A518="","",IFERROR(VALUE(SUBSTITUTE(SUBSTITUTE(SUBSTITUTE(VLOOKUP($A518,Inventory!$O$5:$P$604,2,FALSE),"Tk","")," ",""),",","")),""))</f>
        <v/>
      </c>
      <c r="L518" s="58" t="str">
        <f t="shared" si="3"/>
        <v/>
      </c>
      <c r="M518" s="58" t="str">
        <f t="shared" si="4"/>
        <v/>
      </c>
      <c r="O518" s="59" t="str">
        <f t="shared" si="5"/>
        <v/>
      </c>
      <c r="P518" s="52"/>
    </row>
    <row r="519" ht="15.75" customHeight="1">
      <c r="A519" s="29" t="str">
        <f t="array" ref="A519">IFERROR(INDEX(Purchases!$D$5:$D$1004,MATCH(ROW()-4,Purchases!$L$5:$L$1004,0)),"")</f>
        <v/>
      </c>
      <c r="B519" s="48" t="str">
        <f>IFERROR(VLOOKUP(A519,Purchases!$D:$E,2,FALSE),"")</f>
        <v/>
      </c>
      <c r="C519" s="48" t="str">
        <f>IFERROR(VLOOKUP(A519,Purchases!$D:$F,3,FALSE),"")</f>
        <v/>
      </c>
      <c r="D519" s="48" t="str">
        <f>IF(A519="","",SUMIF(Purchases!$D:$D,A519,Purchases!$K:$K))</f>
        <v/>
      </c>
      <c r="E519" s="48" t="str">
        <f>IF(A519="","",SUMIFS(Sales!$H:$H,Sales!$F:$F,A519,Sales!$B:$B,"&lt;&gt;Return"))</f>
        <v/>
      </c>
      <c r="F519" s="48" t="str">
        <f>IF(A519="","",SUMIFS(Sales!$H:$H,Sales!$F:$F,A519,Sales!$B:$B,"Return"))</f>
        <v/>
      </c>
      <c r="G519" s="48" t="str">
        <f>IF($A519="","",SUMIF('Shop Ledger'!$C:$C,$A519,'Shop Ledger'!$F:$F))</f>
        <v/>
      </c>
      <c r="H519" s="48" t="str">
        <f t="shared" si="1"/>
        <v/>
      </c>
      <c r="I519" s="44" t="str">
        <f>IF(A519="","",IFERROR(SUMIF(Purchases!$D:$D,A519,Purchases!$I:$I)/D519,0))</f>
        <v/>
      </c>
      <c r="J519" s="44" t="str">
        <f t="shared" si="2"/>
        <v/>
      </c>
      <c r="K519" s="30" t="str">
        <f>IF($A519="","",IFERROR(VALUE(SUBSTITUTE(SUBSTITUTE(SUBSTITUTE(VLOOKUP($A519,Inventory!$O$5:$P$604,2,FALSE),"Tk","")," ",""),",","")),""))</f>
        <v/>
      </c>
      <c r="L519" s="58" t="str">
        <f t="shared" si="3"/>
        <v/>
      </c>
      <c r="M519" s="58" t="str">
        <f t="shared" si="4"/>
        <v/>
      </c>
      <c r="O519" s="59" t="str">
        <f t="shared" si="5"/>
        <v/>
      </c>
      <c r="P519" s="52"/>
    </row>
    <row r="520" ht="15.75" customHeight="1">
      <c r="A520" s="29" t="str">
        <f t="array" ref="A520">IFERROR(INDEX(Purchases!$D$5:$D$1004,MATCH(ROW()-4,Purchases!$L$5:$L$1004,0)),"")</f>
        <v/>
      </c>
      <c r="B520" s="48" t="str">
        <f>IFERROR(VLOOKUP(A520,Purchases!$D:$E,2,FALSE),"")</f>
        <v/>
      </c>
      <c r="C520" s="48" t="str">
        <f>IFERROR(VLOOKUP(A520,Purchases!$D:$F,3,FALSE),"")</f>
        <v/>
      </c>
      <c r="D520" s="48" t="str">
        <f>IF(A520="","",SUMIF(Purchases!$D:$D,A520,Purchases!$K:$K))</f>
        <v/>
      </c>
      <c r="E520" s="48" t="str">
        <f>IF(A520="","",SUMIFS(Sales!$H:$H,Sales!$F:$F,A520,Sales!$B:$B,"&lt;&gt;Return"))</f>
        <v/>
      </c>
      <c r="F520" s="48" t="str">
        <f>IF(A520="","",SUMIFS(Sales!$H:$H,Sales!$F:$F,A520,Sales!$B:$B,"Return"))</f>
        <v/>
      </c>
      <c r="G520" s="48" t="str">
        <f>IF($A520="","",SUMIF('Shop Ledger'!$C:$C,$A520,'Shop Ledger'!$F:$F))</f>
        <v/>
      </c>
      <c r="H520" s="48" t="str">
        <f t="shared" si="1"/>
        <v/>
      </c>
      <c r="I520" s="44" t="str">
        <f>IF(A520="","",IFERROR(SUMIF(Purchases!$D:$D,A520,Purchases!$I:$I)/D520,0))</f>
        <v/>
      </c>
      <c r="J520" s="44" t="str">
        <f t="shared" si="2"/>
        <v/>
      </c>
      <c r="K520" s="30" t="str">
        <f>IF($A520="","",IFERROR(VALUE(SUBSTITUTE(SUBSTITUTE(SUBSTITUTE(VLOOKUP($A520,Inventory!$O$5:$P$604,2,FALSE),"Tk","")," ",""),",","")),""))</f>
        <v/>
      </c>
      <c r="L520" s="58" t="str">
        <f t="shared" si="3"/>
        <v/>
      </c>
      <c r="M520" s="58" t="str">
        <f t="shared" si="4"/>
        <v/>
      </c>
      <c r="O520" s="59" t="str">
        <f t="shared" si="5"/>
        <v/>
      </c>
      <c r="P520" s="52"/>
    </row>
    <row r="521" ht="15.75" customHeight="1">
      <c r="A521" s="29" t="str">
        <f t="array" ref="A521">IFERROR(INDEX(Purchases!$D$5:$D$1004,MATCH(ROW()-4,Purchases!$L$5:$L$1004,0)),"")</f>
        <v/>
      </c>
      <c r="B521" s="48" t="str">
        <f>IFERROR(VLOOKUP(A521,Purchases!$D:$E,2,FALSE),"")</f>
        <v/>
      </c>
      <c r="C521" s="48" t="str">
        <f>IFERROR(VLOOKUP(A521,Purchases!$D:$F,3,FALSE),"")</f>
        <v/>
      </c>
      <c r="D521" s="48" t="str">
        <f>IF(A521="","",SUMIF(Purchases!$D:$D,A521,Purchases!$K:$K))</f>
        <v/>
      </c>
      <c r="E521" s="48" t="str">
        <f>IF(A521="","",SUMIFS(Sales!$H:$H,Sales!$F:$F,A521,Sales!$B:$B,"&lt;&gt;Return"))</f>
        <v/>
      </c>
      <c r="F521" s="48" t="str">
        <f>IF(A521="","",SUMIFS(Sales!$H:$H,Sales!$F:$F,A521,Sales!$B:$B,"Return"))</f>
        <v/>
      </c>
      <c r="G521" s="48" t="str">
        <f>IF($A521="","",SUMIF('Shop Ledger'!$C:$C,$A521,'Shop Ledger'!$F:$F))</f>
        <v/>
      </c>
      <c r="H521" s="48" t="str">
        <f t="shared" si="1"/>
        <v/>
      </c>
      <c r="I521" s="44" t="str">
        <f>IF(A521="","",IFERROR(SUMIF(Purchases!$D:$D,A521,Purchases!$I:$I)/D521,0))</f>
        <v/>
      </c>
      <c r="J521" s="44" t="str">
        <f t="shared" si="2"/>
        <v/>
      </c>
      <c r="K521" s="30" t="str">
        <f>IF($A521="","",IFERROR(VALUE(SUBSTITUTE(SUBSTITUTE(SUBSTITUTE(VLOOKUP($A521,Inventory!$O$5:$P$604,2,FALSE),"Tk","")," ",""),",","")),""))</f>
        <v/>
      </c>
      <c r="L521" s="58" t="str">
        <f t="shared" si="3"/>
        <v/>
      </c>
      <c r="M521" s="58" t="str">
        <f t="shared" si="4"/>
        <v/>
      </c>
      <c r="O521" s="59" t="str">
        <f t="shared" si="5"/>
        <v/>
      </c>
      <c r="P521" s="52"/>
    </row>
    <row r="522" ht="15.75" customHeight="1">
      <c r="A522" s="29" t="str">
        <f t="array" ref="A522">IFERROR(INDEX(Purchases!$D$5:$D$1004,MATCH(ROW()-4,Purchases!$L$5:$L$1004,0)),"")</f>
        <v/>
      </c>
      <c r="B522" s="48" t="str">
        <f>IFERROR(VLOOKUP(A522,Purchases!$D:$E,2,FALSE),"")</f>
        <v/>
      </c>
      <c r="C522" s="48" t="str">
        <f>IFERROR(VLOOKUP(A522,Purchases!$D:$F,3,FALSE),"")</f>
        <v/>
      </c>
      <c r="D522" s="48" t="str">
        <f>IF(A522="","",SUMIF(Purchases!$D:$D,A522,Purchases!$K:$K))</f>
        <v/>
      </c>
      <c r="E522" s="48" t="str">
        <f>IF(A522="","",SUMIFS(Sales!$H:$H,Sales!$F:$F,A522,Sales!$B:$B,"&lt;&gt;Return"))</f>
        <v/>
      </c>
      <c r="F522" s="48" t="str">
        <f>IF(A522="","",SUMIFS(Sales!$H:$H,Sales!$F:$F,A522,Sales!$B:$B,"Return"))</f>
        <v/>
      </c>
      <c r="G522" s="48" t="str">
        <f>IF($A522="","",SUMIF('Shop Ledger'!$C:$C,$A522,'Shop Ledger'!$F:$F))</f>
        <v/>
      </c>
      <c r="H522" s="48" t="str">
        <f t="shared" si="1"/>
        <v/>
      </c>
      <c r="I522" s="44" t="str">
        <f>IF(A522="","",IFERROR(SUMIF(Purchases!$D:$D,A522,Purchases!$I:$I)/D522,0))</f>
        <v/>
      </c>
      <c r="J522" s="44" t="str">
        <f t="shared" si="2"/>
        <v/>
      </c>
      <c r="K522" s="30" t="str">
        <f>IF($A522="","",IFERROR(VALUE(SUBSTITUTE(SUBSTITUTE(SUBSTITUTE(VLOOKUP($A522,Inventory!$O$5:$P$604,2,FALSE),"Tk","")," ",""),",","")),""))</f>
        <v/>
      </c>
      <c r="L522" s="58" t="str">
        <f t="shared" si="3"/>
        <v/>
      </c>
      <c r="M522" s="58" t="str">
        <f t="shared" si="4"/>
        <v/>
      </c>
      <c r="O522" s="59" t="str">
        <f t="shared" si="5"/>
        <v/>
      </c>
      <c r="P522" s="52"/>
    </row>
    <row r="523" ht="15.75" customHeight="1">
      <c r="A523" s="29" t="str">
        <f t="array" ref="A523">IFERROR(INDEX(Purchases!$D$5:$D$1004,MATCH(ROW()-4,Purchases!$L$5:$L$1004,0)),"")</f>
        <v/>
      </c>
      <c r="B523" s="48" t="str">
        <f>IFERROR(VLOOKUP(A523,Purchases!$D:$E,2,FALSE),"")</f>
        <v/>
      </c>
      <c r="C523" s="48" t="str">
        <f>IFERROR(VLOOKUP(A523,Purchases!$D:$F,3,FALSE),"")</f>
        <v/>
      </c>
      <c r="D523" s="48" t="str">
        <f>IF(A523="","",SUMIF(Purchases!$D:$D,A523,Purchases!$K:$K))</f>
        <v/>
      </c>
      <c r="E523" s="48" t="str">
        <f>IF(A523="","",SUMIFS(Sales!$H:$H,Sales!$F:$F,A523,Sales!$B:$B,"&lt;&gt;Return"))</f>
        <v/>
      </c>
      <c r="F523" s="48" t="str">
        <f>IF(A523="","",SUMIFS(Sales!$H:$H,Sales!$F:$F,A523,Sales!$B:$B,"Return"))</f>
        <v/>
      </c>
      <c r="G523" s="48" t="str">
        <f>IF($A523="","",SUMIF('Shop Ledger'!$C:$C,$A523,'Shop Ledger'!$F:$F))</f>
        <v/>
      </c>
      <c r="H523" s="48" t="str">
        <f t="shared" si="1"/>
        <v/>
      </c>
      <c r="I523" s="44" t="str">
        <f>IF(A523="","",IFERROR(SUMIF(Purchases!$D:$D,A523,Purchases!$I:$I)/D523,0))</f>
        <v/>
      </c>
      <c r="J523" s="44" t="str">
        <f t="shared" si="2"/>
        <v/>
      </c>
      <c r="K523" s="30" t="str">
        <f>IF($A523="","",IFERROR(VALUE(SUBSTITUTE(SUBSTITUTE(SUBSTITUTE(VLOOKUP($A523,Inventory!$O$5:$P$604,2,FALSE),"Tk","")," ",""),",","")),""))</f>
        <v/>
      </c>
      <c r="L523" s="58" t="str">
        <f t="shared" si="3"/>
        <v/>
      </c>
      <c r="M523" s="58" t="str">
        <f t="shared" si="4"/>
        <v/>
      </c>
      <c r="O523" s="59" t="str">
        <f t="shared" si="5"/>
        <v/>
      </c>
      <c r="P523" s="52"/>
    </row>
    <row r="524" ht="15.75" customHeight="1">
      <c r="A524" s="29" t="str">
        <f t="array" ref="A524">IFERROR(INDEX(Purchases!$D$5:$D$1004,MATCH(ROW()-4,Purchases!$L$5:$L$1004,0)),"")</f>
        <v/>
      </c>
      <c r="B524" s="48" t="str">
        <f>IFERROR(VLOOKUP(A524,Purchases!$D:$E,2,FALSE),"")</f>
        <v/>
      </c>
      <c r="C524" s="48" t="str">
        <f>IFERROR(VLOOKUP(A524,Purchases!$D:$F,3,FALSE),"")</f>
        <v/>
      </c>
      <c r="D524" s="48" t="str">
        <f>IF(A524="","",SUMIF(Purchases!$D:$D,A524,Purchases!$K:$K))</f>
        <v/>
      </c>
      <c r="E524" s="48" t="str">
        <f>IF(A524="","",SUMIFS(Sales!$H:$H,Sales!$F:$F,A524,Sales!$B:$B,"&lt;&gt;Return"))</f>
        <v/>
      </c>
      <c r="F524" s="48" t="str">
        <f>IF(A524="","",SUMIFS(Sales!$H:$H,Sales!$F:$F,A524,Sales!$B:$B,"Return"))</f>
        <v/>
      </c>
      <c r="G524" s="48" t="str">
        <f>IF($A524="","",SUMIF('Shop Ledger'!$C:$C,$A524,'Shop Ledger'!$F:$F))</f>
        <v/>
      </c>
      <c r="H524" s="48" t="str">
        <f t="shared" si="1"/>
        <v/>
      </c>
      <c r="I524" s="44" t="str">
        <f>IF(A524="","",IFERROR(SUMIF(Purchases!$D:$D,A524,Purchases!$I:$I)/D524,0))</f>
        <v/>
      </c>
      <c r="J524" s="44" t="str">
        <f t="shared" si="2"/>
        <v/>
      </c>
      <c r="K524" s="30" t="str">
        <f>IF($A524="","",IFERROR(VALUE(SUBSTITUTE(SUBSTITUTE(SUBSTITUTE(VLOOKUP($A524,Inventory!$O$5:$P$604,2,FALSE),"Tk","")," ",""),",","")),""))</f>
        <v/>
      </c>
      <c r="L524" s="58" t="str">
        <f t="shared" si="3"/>
        <v/>
      </c>
      <c r="M524" s="58" t="str">
        <f t="shared" si="4"/>
        <v/>
      </c>
      <c r="O524" s="59" t="str">
        <f t="shared" si="5"/>
        <v/>
      </c>
      <c r="P524" s="52"/>
    </row>
    <row r="525" ht="15.75" customHeight="1">
      <c r="A525" s="29" t="str">
        <f t="array" ref="A525">IFERROR(INDEX(Purchases!$D$5:$D$1004,MATCH(ROW()-4,Purchases!$L$5:$L$1004,0)),"")</f>
        <v/>
      </c>
      <c r="B525" s="48" t="str">
        <f>IFERROR(VLOOKUP(A525,Purchases!$D:$E,2,FALSE),"")</f>
        <v/>
      </c>
      <c r="C525" s="48" t="str">
        <f>IFERROR(VLOOKUP(A525,Purchases!$D:$F,3,FALSE),"")</f>
        <v/>
      </c>
      <c r="D525" s="48" t="str">
        <f>IF(A525="","",SUMIF(Purchases!$D:$D,A525,Purchases!$K:$K))</f>
        <v/>
      </c>
      <c r="E525" s="48" t="str">
        <f>IF(A525="","",SUMIFS(Sales!$H:$H,Sales!$F:$F,A525,Sales!$B:$B,"&lt;&gt;Return"))</f>
        <v/>
      </c>
      <c r="F525" s="48" t="str">
        <f>IF(A525="","",SUMIFS(Sales!$H:$H,Sales!$F:$F,A525,Sales!$B:$B,"Return"))</f>
        <v/>
      </c>
      <c r="G525" s="48" t="str">
        <f>IF($A525="","",SUMIF('Shop Ledger'!$C:$C,$A525,'Shop Ledger'!$F:$F))</f>
        <v/>
      </c>
      <c r="H525" s="48" t="str">
        <f t="shared" si="1"/>
        <v/>
      </c>
      <c r="I525" s="44" t="str">
        <f>IF(A525="","",IFERROR(SUMIF(Purchases!$D:$D,A525,Purchases!$I:$I)/D525,0))</f>
        <v/>
      </c>
      <c r="J525" s="44" t="str">
        <f t="shared" si="2"/>
        <v/>
      </c>
      <c r="K525" s="30" t="str">
        <f>IF($A525="","",IFERROR(VALUE(SUBSTITUTE(SUBSTITUTE(SUBSTITUTE(VLOOKUP($A525,Inventory!$O$5:$P$604,2,FALSE),"Tk","")," ",""),",","")),""))</f>
        <v/>
      </c>
      <c r="L525" s="58" t="str">
        <f t="shared" si="3"/>
        <v/>
      </c>
      <c r="M525" s="58" t="str">
        <f t="shared" si="4"/>
        <v/>
      </c>
      <c r="O525" s="59" t="str">
        <f t="shared" si="5"/>
        <v/>
      </c>
      <c r="P525" s="52"/>
    </row>
    <row r="526" ht="15.75" customHeight="1">
      <c r="A526" s="29" t="str">
        <f t="array" ref="A526">IFERROR(INDEX(Purchases!$D$5:$D$1004,MATCH(ROW()-4,Purchases!$L$5:$L$1004,0)),"")</f>
        <v/>
      </c>
      <c r="B526" s="48" t="str">
        <f>IFERROR(VLOOKUP(A526,Purchases!$D:$E,2,FALSE),"")</f>
        <v/>
      </c>
      <c r="C526" s="48" t="str">
        <f>IFERROR(VLOOKUP(A526,Purchases!$D:$F,3,FALSE),"")</f>
        <v/>
      </c>
      <c r="D526" s="48" t="str">
        <f>IF(A526="","",SUMIF(Purchases!$D:$D,A526,Purchases!$K:$K))</f>
        <v/>
      </c>
      <c r="E526" s="48" t="str">
        <f>IF(A526="","",SUMIFS(Sales!$H:$H,Sales!$F:$F,A526,Sales!$B:$B,"&lt;&gt;Return"))</f>
        <v/>
      </c>
      <c r="F526" s="48" t="str">
        <f>IF(A526="","",SUMIFS(Sales!$H:$H,Sales!$F:$F,A526,Sales!$B:$B,"Return"))</f>
        <v/>
      </c>
      <c r="G526" s="48" t="str">
        <f>IF($A526="","",SUMIF('Shop Ledger'!$C:$C,$A526,'Shop Ledger'!$F:$F))</f>
        <v/>
      </c>
      <c r="H526" s="48" t="str">
        <f t="shared" si="1"/>
        <v/>
      </c>
      <c r="I526" s="44" t="str">
        <f>IF(A526="","",IFERROR(SUMIF(Purchases!$D:$D,A526,Purchases!$I:$I)/D526,0))</f>
        <v/>
      </c>
      <c r="J526" s="44" t="str">
        <f t="shared" si="2"/>
        <v/>
      </c>
      <c r="K526" s="30" t="str">
        <f>IF($A526="","",IFERROR(VALUE(SUBSTITUTE(SUBSTITUTE(SUBSTITUTE(VLOOKUP($A526,Inventory!$O$5:$P$604,2,FALSE),"Tk","")," ",""),",","")),""))</f>
        <v/>
      </c>
      <c r="L526" s="58" t="str">
        <f t="shared" si="3"/>
        <v/>
      </c>
      <c r="M526" s="58" t="str">
        <f t="shared" si="4"/>
        <v/>
      </c>
      <c r="O526" s="59" t="str">
        <f t="shared" si="5"/>
        <v/>
      </c>
      <c r="P526" s="52"/>
    </row>
    <row r="527" ht="15.75" customHeight="1">
      <c r="A527" s="29" t="str">
        <f t="array" ref="A527">IFERROR(INDEX(Purchases!$D$5:$D$1004,MATCH(ROW()-4,Purchases!$L$5:$L$1004,0)),"")</f>
        <v/>
      </c>
      <c r="B527" s="48" t="str">
        <f>IFERROR(VLOOKUP(A527,Purchases!$D:$E,2,FALSE),"")</f>
        <v/>
      </c>
      <c r="C527" s="48" t="str">
        <f>IFERROR(VLOOKUP(A527,Purchases!$D:$F,3,FALSE),"")</f>
        <v/>
      </c>
      <c r="D527" s="48" t="str">
        <f>IF(A527="","",SUMIF(Purchases!$D:$D,A527,Purchases!$K:$K))</f>
        <v/>
      </c>
      <c r="E527" s="48" t="str">
        <f>IF(A527="","",SUMIFS(Sales!$H:$H,Sales!$F:$F,A527,Sales!$B:$B,"&lt;&gt;Return"))</f>
        <v/>
      </c>
      <c r="F527" s="48" t="str">
        <f>IF(A527="","",SUMIFS(Sales!$H:$H,Sales!$F:$F,A527,Sales!$B:$B,"Return"))</f>
        <v/>
      </c>
      <c r="G527" s="48" t="str">
        <f>IF($A527="","",SUMIF('Shop Ledger'!$C:$C,$A527,'Shop Ledger'!$F:$F))</f>
        <v/>
      </c>
      <c r="H527" s="48" t="str">
        <f t="shared" si="1"/>
        <v/>
      </c>
      <c r="I527" s="44" t="str">
        <f>IF(A527="","",IFERROR(SUMIF(Purchases!$D:$D,A527,Purchases!$I:$I)/D527,0))</f>
        <v/>
      </c>
      <c r="J527" s="44" t="str">
        <f t="shared" si="2"/>
        <v/>
      </c>
      <c r="K527" s="30" t="str">
        <f>IF($A527="","",IFERROR(VALUE(SUBSTITUTE(SUBSTITUTE(SUBSTITUTE(VLOOKUP($A527,Inventory!$O$5:$P$604,2,FALSE),"Tk","")," ",""),",","")),""))</f>
        <v/>
      </c>
      <c r="L527" s="58" t="str">
        <f t="shared" si="3"/>
        <v/>
      </c>
      <c r="M527" s="58" t="str">
        <f t="shared" si="4"/>
        <v/>
      </c>
      <c r="O527" s="59" t="str">
        <f t="shared" si="5"/>
        <v/>
      </c>
      <c r="P527" s="52"/>
    </row>
    <row r="528" ht="15.75" customHeight="1">
      <c r="A528" s="29" t="str">
        <f t="array" ref="A528">IFERROR(INDEX(Purchases!$D$5:$D$1004,MATCH(ROW()-4,Purchases!$L$5:$L$1004,0)),"")</f>
        <v/>
      </c>
      <c r="B528" s="48" t="str">
        <f>IFERROR(VLOOKUP(A528,Purchases!$D:$E,2,FALSE),"")</f>
        <v/>
      </c>
      <c r="C528" s="48" t="str">
        <f>IFERROR(VLOOKUP(A528,Purchases!$D:$F,3,FALSE),"")</f>
        <v/>
      </c>
      <c r="D528" s="48" t="str">
        <f>IF(A528="","",SUMIF(Purchases!$D:$D,A528,Purchases!$K:$K))</f>
        <v/>
      </c>
      <c r="E528" s="48" t="str">
        <f>IF(A528="","",SUMIFS(Sales!$H:$H,Sales!$F:$F,A528,Sales!$B:$B,"&lt;&gt;Return"))</f>
        <v/>
      </c>
      <c r="F528" s="48" t="str">
        <f>IF(A528="","",SUMIFS(Sales!$H:$H,Sales!$F:$F,A528,Sales!$B:$B,"Return"))</f>
        <v/>
      </c>
      <c r="G528" s="48" t="str">
        <f>IF($A528="","",SUMIF('Shop Ledger'!$C:$C,$A528,'Shop Ledger'!$F:$F))</f>
        <v/>
      </c>
      <c r="H528" s="48" t="str">
        <f t="shared" si="1"/>
        <v/>
      </c>
      <c r="I528" s="44" t="str">
        <f>IF(A528="","",IFERROR(SUMIF(Purchases!$D:$D,A528,Purchases!$I:$I)/D528,0))</f>
        <v/>
      </c>
      <c r="J528" s="44" t="str">
        <f t="shared" si="2"/>
        <v/>
      </c>
      <c r="K528" s="30" t="str">
        <f>IF($A528="","",IFERROR(VALUE(SUBSTITUTE(SUBSTITUTE(SUBSTITUTE(VLOOKUP($A528,Inventory!$O$5:$P$604,2,FALSE),"Tk","")," ",""),",","")),""))</f>
        <v/>
      </c>
      <c r="L528" s="58" t="str">
        <f t="shared" si="3"/>
        <v/>
      </c>
      <c r="M528" s="58" t="str">
        <f t="shared" si="4"/>
        <v/>
      </c>
      <c r="O528" s="59" t="str">
        <f t="shared" si="5"/>
        <v/>
      </c>
      <c r="P528" s="52"/>
    </row>
    <row r="529" ht="15.75" customHeight="1">
      <c r="A529" s="29" t="str">
        <f t="array" ref="A529">IFERROR(INDEX(Purchases!$D$5:$D$1004,MATCH(ROW()-4,Purchases!$L$5:$L$1004,0)),"")</f>
        <v/>
      </c>
      <c r="B529" s="48" t="str">
        <f>IFERROR(VLOOKUP(A529,Purchases!$D:$E,2,FALSE),"")</f>
        <v/>
      </c>
      <c r="C529" s="48" t="str">
        <f>IFERROR(VLOOKUP(A529,Purchases!$D:$F,3,FALSE),"")</f>
        <v/>
      </c>
      <c r="D529" s="48" t="str">
        <f>IF(A529="","",SUMIF(Purchases!$D:$D,A529,Purchases!$K:$K))</f>
        <v/>
      </c>
      <c r="E529" s="48" t="str">
        <f>IF(A529="","",SUMIFS(Sales!$H:$H,Sales!$F:$F,A529,Sales!$B:$B,"&lt;&gt;Return"))</f>
        <v/>
      </c>
      <c r="F529" s="48" t="str">
        <f>IF(A529="","",SUMIFS(Sales!$H:$H,Sales!$F:$F,A529,Sales!$B:$B,"Return"))</f>
        <v/>
      </c>
      <c r="G529" s="48" t="str">
        <f>IF($A529="","",SUMIF('Shop Ledger'!$C:$C,$A529,'Shop Ledger'!$F:$F))</f>
        <v/>
      </c>
      <c r="H529" s="48" t="str">
        <f t="shared" si="1"/>
        <v/>
      </c>
      <c r="I529" s="44" t="str">
        <f>IF(A529="","",IFERROR(SUMIF(Purchases!$D:$D,A529,Purchases!$I:$I)/D529,0))</f>
        <v/>
      </c>
      <c r="J529" s="44" t="str">
        <f t="shared" si="2"/>
        <v/>
      </c>
      <c r="K529" s="30" t="str">
        <f>IF($A529="","",IFERROR(VALUE(SUBSTITUTE(SUBSTITUTE(SUBSTITUTE(VLOOKUP($A529,Inventory!$O$5:$P$604,2,FALSE),"Tk","")," ",""),",","")),""))</f>
        <v/>
      </c>
      <c r="L529" s="58" t="str">
        <f t="shared" si="3"/>
        <v/>
      </c>
      <c r="M529" s="58" t="str">
        <f t="shared" si="4"/>
        <v/>
      </c>
      <c r="O529" s="59" t="str">
        <f t="shared" si="5"/>
        <v/>
      </c>
      <c r="P529" s="52"/>
    </row>
    <row r="530" ht="15.75" customHeight="1">
      <c r="A530" s="29" t="str">
        <f t="array" ref="A530">IFERROR(INDEX(Purchases!$D$5:$D$1004,MATCH(ROW()-4,Purchases!$L$5:$L$1004,0)),"")</f>
        <v/>
      </c>
      <c r="B530" s="48" t="str">
        <f>IFERROR(VLOOKUP(A530,Purchases!$D:$E,2,FALSE),"")</f>
        <v/>
      </c>
      <c r="C530" s="48" t="str">
        <f>IFERROR(VLOOKUP(A530,Purchases!$D:$F,3,FALSE),"")</f>
        <v/>
      </c>
      <c r="D530" s="48" t="str">
        <f>IF(A530="","",SUMIF(Purchases!$D:$D,A530,Purchases!$K:$K))</f>
        <v/>
      </c>
      <c r="E530" s="48" t="str">
        <f>IF(A530="","",SUMIFS(Sales!$H:$H,Sales!$F:$F,A530,Sales!$B:$B,"&lt;&gt;Return"))</f>
        <v/>
      </c>
      <c r="F530" s="48" t="str">
        <f>IF(A530="","",SUMIFS(Sales!$H:$H,Sales!$F:$F,A530,Sales!$B:$B,"Return"))</f>
        <v/>
      </c>
      <c r="G530" s="48" t="str">
        <f>IF($A530="","",SUMIF('Shop Ledger'!$C:$C,$A530,'Shop Ledger'!$F:$F))</f>
        <v/>
      </c>
      <c r="H530" s="48" t="str">
        <f t="shared" si="1"/>
        <v/>
      </c>
      <c r="I530" s="44" t="str">
        <f>IF(A530="","",IFERROR(SUMIF(Purchases!$D:$D,A530,Purchases!$I:$I)/D530,0))</f>
        <v/>
      </c>
      <c r="J530" s="44" t="str">
        <f t="shared" si="2"/>
        <v/>
      </c>
      <c r="K530" s="30" t="str">
        <f>IF($A530="","",IFERROR(VALUE(SUBSTITUTE(SUBSTITUTE(SUBSTITUTE(VLOOKUP($A530,Inventory!$O$5:$P$604,2,FALSE),"Tk","")," ",""),",","")),""))</f>
        <v/>
      </c>
      <c r="L530" s="58" t="str">
        <f t="shared" si="3"/>
        <v/>
      </c>
      <c r="M530" s="58" t="str">
        <f t="shared" si="4"/>
        <v/>
      </c>
      <c r="O530" s="59" t="str">
        <f t="shared" si="5"/>
        <v/>
      </c>
      <c r="P530" s="52"/>
    </row>
    <row r="531" ht="15.75" customHeight="1">
      <c r="A531" s="29" t="str">
        <f t="array" ref="A531">IFERROR(INDEX(Purchases!$D$5:$D$1004,MATCH(ROW()-4,Purchases!$L$5:$L$1004,0)),"")</f>
        <v/>
      </c>
      <c r="B531" s="48" t="str">
        <f>IFERROR(VLOOKUP(A531,Purchases!$D:$E,2,FALSE),"")</f>
        <v/>
      </c>
      <c r="C531" s="48" t="str">
        <f>IFERROR(VLOOKUP(A531,Purchases!$D:$F,3,FALSE),"")</f>
        <v/>
      </c>
      <c r="D531" s="48" t="str">
        <f>IF(A531="","",SUMIF(Purchases!$D:$D,A531,Purchases!$K:$K))</f>
        <v/>
      </c>
      <c r="E531" s="48" t="str">
        <f>IF(A531="","",SUMIFS(Sales!$H:$H,Sales!$F:$F,A531,Sales!$B:$B,"&lt;&gt;Return"))</f>
        <v/>
      </c>
      <c r="F531" s="48" t="str">
        <f>IF(A531="","",SUMIFS(Sales!$H:$H,Sales!$F:$F,A531,Sales!$B:$B,"Return"))</f>
        <v/>
      </c>
      <c r="G531" s="48" t="str">
        <f>IF($A531="","",SUMIF('Shop Ledger'!$C:$C,$A531,'Shop Ledger'!$F:$F))</f>
        <v/>
      </c>
      <c r="H531" s="48" t="str">
        <f t="shared" si="1"/>
        <v/>
      </c>
      <c r="I531" s="44" t="str">
        <f>IF(A531="","",IFERROR(SUMIF(Purchases!$D:$D,A531,Purchases!$I:$I)/D531,0))</f>
        <v/>
      </c>
      <c r="J531" s="44" t="str">
        <f t="shared" si="2"/>
        <v/>
      </c>
      <c r="K531" s="30" t="str">
        <f>IF($A531="","",IFERROR(VALUE(SUBSTITUTE(SUBSTITUTE(SUBSTITUTE(VLOOKUP($A531,Inventory!$O$5:$P$604,2,FALSE),"Tk","")," ",""),",","")),""))</f>
        <v/>
      </c>
      <c r="L531" s="58" t="str">
        <f t="shared" si="3"/>
        <v/>
      </c>
      <c r="M531" s="58" t="str">
        <f t="shared" si="4"/>
        <v/>
      </c>
      <c r="O531" s="59" t="str">
        <f t="shared" si="5"/>
        <v/>
      </c>
      <c r="P531" s="52"/>
    </row>
    <row r="532" ht="15.75" customHeight="1">
      <c r="A532" s="29" t="str">
        <f t="array" ref="A532">IFERROR(INDEX(Purchases!$D$5:$D$1004,MATCH(ROW()-4,Purchases!$L$5:$L$1004,0)),"")</f>
        <v/>
      </c>
      <c r="B532" s="48" t="str">
        <f>IFERROR(VLOOKUP(A532,Purchases!$D:$E,2,FALSE),"")</f>
        <v/>
      </c>
      <c r="C532" s="48" t="str">
        <f>IFERROR(VLOOKUP(A532,Purchases!$D:$F,3,FALSE),"")</f>
        <v/>
      </c>
      <c r="D532" s="48" t="str">
        <f>IF(A532="","",SUMIF(Purchases!$D:$D,A532,Purchases!$K:$K))</f>
        <v/>
      </c>
      <c r="E532" s="48" t="str">
        <f>IF(A532="","",SUMIFS(Sales!$H:$H,Sales!$F:$F,A532,Sales!$B:$B,"&lt;&gt;Return"))</f>
        <v/>
      </c>
      <c r="F532" s="48" t="str">
        <f>IF(A532="","",SUMIFS(Sales!$H:$H,Sales!$F:$F,A532,Sales!$B:$B,"Return"))</f>
        <v/>
      </c>
      <c r="G532" s="48" t="str">
        <f>IF($A532="","",SUMIF('Shop Ledger'!$C:$C,$A532,'Shop Ledger'!$F:$F))</f>
        <v/>
      </c>
      <c r="H532" s="48" t="str">
        <f t="shared" si="1"/>
        <v/>
      </c>
      <c r="I532" s="44" t="str">
        <f>IF(A532="","",IFERROR(SUMIF(Purchases!$D:$D,A532,Purchases!$I:$I)/D532,0))</f>
        <v/>
      </c>
      <c r="J532" s="44" t="str">
        <f t="shared" si="2"/>
        <v/>
      </c>
      <c r="K532" s="30" t="str">
        <f>IF($A532="","",IFERROR(VALUE(SUBSTITUTE(SUBSTITUTE(SUBSTITUTE(VLOOKUP($A532,Inventory!$O$5:$P$604,2,FALSE),"Tk","")," ",""),",","")),""))</f>
        <v/>
      </c>
      <c r="L532" s="58" t="str">
        <f t="shared" si="3"/>
        <v/>
      </c>
      <c r="M532" s="58" t="str">
        <f t="shared" si="4"/>
        <v/>
      </c>
      <c r="O532" s="59" t="str">
        <f t="shared" si="5"/>
        <v/>
      </c>
      <c r="P532" s="52"/>
    </row>
    <row r="533" ht="15.75" customHeight="1">
      <c r="A533" s="29" t="str">
        <f t="array" ref="A533">IFERROR(INDEX(Purchases!$D$5:$D$1004,MATCH(ROW()-4,Purchases!$L$5:$L$1004,0)),"")</f>
        <v/>
      </c>
      <c r="B533" s="48" t="str">
        <f>IFERROR(VLOOKUP(A533,Purchases!$D:$E,2,FALSE),"")</f>
        <v/>
      </c>
      <c r="C533" s="48" t="str">
        <f>IFERROR(VLOOKUP(A533,Purchases!$D:$F,3,FALSE),"")</f>
        <v/>
      </c>
      <c r="D533" s="48" t="str">
        <f>IF(A533="","",SUMIF(Purchases!$D:$D,A533,Purchases!$K:$K))</f>
        <v/>
      </c>
      <c r="E533" s="48" t="str">
        <f>IF(A533="","",SUMIFS(Sales!$H:$H,Sales!$F:$F,A533,Sales!$B:$B,"&lt;&gt;Return"))</f>
        <v/>
      </c>
      <c r="F533" s="48" t="str">
        <f>IF(A533="","",SUMIFS(Sales!$H:$H,Sales!$F:$F,A533,Sales!$B:$B,"Return"))</f>
        <v/>
      </c>
      <c r="G533" s="48" t="str">
        <f>IF($A533="","",SUMIF('Shop Ledger'!$C:$C,$A533,'Shop Ledger'!$F:$F))</f>
        <v/>
      </c>
      <c r="H533" s="48" t="str">
        <f t="shared" si="1"/>
        <v/>
      </c>
      <c r="I533" s="44" t="str">
        <f>IF(A533="","",IFERROR(SUMIF(Purchases!$D:$D,A533,Purchases!$I:$I)/D533,0))</f>
        <v/>
      </c>
      <c r="J533" s="44" t="str">
        <f t="shared" si="2"/>
        <v/>
      </c>
      <c r="K533" s="30" t="str">
        <f>IF($A533="","",IFERROR(VALUE(SUBSTITUTE(SUBSTITUTE(SUBSTITUTE(VLOOKUP($A533,Inventory!$O$5:$P$604,2,FALSE),"Tk","")," ",""),",","")),""))</f>
        <v/>
      </c>
      <c r="L533" s="58" t="str">
        <f t="shared" si="3"/>
        <v/>
      </c>
      <c r="M533" s="58" t="str">
        <f t="shared" si="4"/>
        <v/>
      </c>
      <c r="O533" s="59" t="str">
        <f t="shared" si="5"/>
        <v/>
      </c>
      <c r="P533" s="52"/>
    </row>
    <row r="534" ht="15.75" customHeight="1">
      <c r="A534" s="29" t="str">
        <f t="array" ref="A534">IFERROR(INDEX(Purchases!$D$5:$D$1004,MATCH(ROW()-4,Purchases!$L$5:$L$1004,0)),"")</f>
        <v/>
      </c>
      <c r="B534" s="48" t="str">
        <f>IFERROR(VLOOKUP(A534,Purchases!$D:$E,2,FALSE),"")</f>
        <v/>
      </c>
      <c r="C534" s="48" t="str">
        <f>IFERROR(VLOOKUP(A534,Purchases!$D:$F,3,FALSE),"")</f>
        <v/>
      </c>
      <c r="D534" s="48" t="str">
        <f>IF(A534="","",SUMIF(Purchases!$D:$D,A534,Purchases!$K:$K))</f>
        <v/>
      </c>
      <c r="E534" s="48" t="str">
        <f>IF(A534="","",SUMIFS(Sales!$H:$H,Sales!$F:$F,A534,Sales!$B:$B,"&lt;&gt;Return"))</f>
        <v/>
      </c>
      <c r="F534" s="48" t="str">
        <f>IF(A534="","",SUMIFS(Sales!$H:$H,Sales!$F:$F,A534,Sales!$B:$B,"Return"))</f>
        <v/>
      </c>
      <c r="G534" s="48" t="str">
        <f>IF($A534="","",SUMIF('Shop Ledger'!$C:$C,$A534,'Shop Ledger'!$F:$F))</f>
        <v/>
      </c>
      <c r="H534" s="48" t="str">
        <f t="shared" si="1"/>
        <v/>
      </c>
      <c r="I534" s="44" t="str">
        <f>IF(A534="","",IFERROR(SUMIF(Purchases!$D:$D,A534,Purchases!$I:$I)/D534,0))</f>
        <v/>
      </c>
      <c r="J534" s="44" t="str">
        <f t="shared" si="2"/>
        <v/>
      </c>
      <c r="K534" s="30" t="str">
        <f>IF($A534="","",IFERROR(VALUE(SUBSTITUTE(SUBSTITUTE(SUBSTITUTE(VLOOKUP($A534,Inventory!$O$5:$P$604,2,FALSE),"Tk","")," ",""),",","")),""))</f>
        <v/>
      </c>
      <c r="L534" s="58" t="str">
        <f t="shared" si="3"/>
        <v/>
      </c>
      <c r="M534" s="58" t="str">
        <f t="shared" si="4"/>
        <v/>
      </c>
      <c r="O534" s="59" t="str">
        <f t="shared" si="5"/>
        <v/>
      </c>
      <c r="P534" s="52"/>
    </row>
    <row r="535" ht="15.75" customHeight="1">
      <c r="A535" s="29" t="str">
        <f t="array" ref="A535">IFERROR(INDEX(Purchases!$D$5:$D$1004,MATCH(ROW()-4,Purchases!$L$5:$L$1004,0)),"")</f>
        <v/>
      </c>
      <c r="B535" s="48" t="str">
        <f>IFERROR(VLOOKUP(A535,Purchases!$D:$E,2,FALSE),"")</f>
        <v/>
      </c>
      <c r="C535" s="48" t="str">
        <f>IFERROR(VLOOKUP(A535,Purchases!$D:$F,3,FALSE),"")</f>
        <v/>
      </c>
      <c r="D535" s="48" t="str">
        <f>IF(A535="","",SUMIF(Purchases!$D:$D,A535,Purchases!$K:$K))</f>
        <v/>
      </c>
      <c r="E535" s="48" t="str">
        <f>IF(A535="","",SUMIFS(Sales!$H:$H,Sales!$F:$F,A535,Sales!$B:$B,"&lt;&gt;Return"))</f>
        <v/>
      </c>
      <c r="F535" s="48" t="str">
        <f>IF(A535="","",SUMIFS(Sales!$H:$H,Sales!$F:$F,A535,Sales!$B:$B,"Return"))</f>
        <v/>
      </c>
      <c r="G535" s="48" t="str">
        <f>IF($A535="","",SUMIF('Shop Ledger'!$C:$C,$A535,'Shop Ledger'!$F:$F))</f>
        <v/>
      </c>
      <c r="H535" s="48" t="str">
        <f t="shared" si="1"/>
        <v/>
      </c>
      <c r="I535" s="44" t="str">
        <f>IF(A535="","",IFERROR(SUMIF(Purchases!$D:$D,A535,Purchases!$I:$I)/D535,0))</f>
        <v/>
      </c>
      <c r="J535" s="44" t="str">
        <f t="shared" si="2"/>
        <v/>
      </c>
      <c r="K535" s="30" t="str">
        <f>IF($A535="","",IFERROR(VALUE(SUBSTITUTE(SUBSTITUTE(SUBSTITUTE(VLOOKUP($A535,Inventory!$O$5:$P$604,2,FALSE),"Tk","")," ",""),",","")),""))</f>
        <v/>
      </c>
      <c r="L535" s="58" t="str">
        <f t="shared" si="3"/>
        <v/>
      </c>
      <c r="M535" s="58" t="str">
        <f t="shared" si="4"/>
        <v/>
      </c>
      <c r="O535" s="59" t="str">
        <f t="shared" si="5"/>
        <v/>
      </c>
      <c r="P535" s="52"/>
    </row>
    <row r="536" ht="15.75" customHeight="1">
      <c r="A536" s="29" t="str">
        <f t="array" ref="A536">IFERROR(INDEX(Purchases!$D$5:$D$1004,MATCH(ROW()-4,Purchases!$L$5:$L$1004,0)),"")</f>
        <v/>
      </c>
      <c r="B536" s="48" t="str">
        <f>IFERROR(VLOOKUP(A536,Purchases!$D:$E,2,FALSE),"")</f>
        <v/>
      </c>
      <c r="C536" s="48" t="str">
        <f>IFERROR(VLOOKUP(A536,Purchases!$D:$F,3,FALSE),"")</f>
        <v/>
      </c>
      <c r="D536" s="48" t="str">
        <f>IF(A536="","",SUMIF(Purchases!$D:$D,A536,Purchases!$K:$K))</f>
        <v/>
      </c>
      <c r="E536" s="48" t="str">
        <f>IF(A536="","",SUMIFS(Sales!$H:$H,Sales!$F:$F,A536,Sales!$B:$B,"&lt;&gt;Return"))</f>
        <v/>
      </c>
      <c r="F536" s="48" t="str">
        <f>IF(A536="","",SUMIFS(Sales!$H:$H,Sales!$F:$F,A536,Sales!$B:$B,"Return"))</f>
        <v/>
      </c>
      <c r="G536" s="48" t="str">
        <f>IF($A536="","",SUMIF('Shop Ledger'!$C:$C,$A536,'Shop Ledger'!$F:$F))</f>
        <v/>
      </c>
      <c r="H536" s="48" t="str">
        <f t="shared" si="1"/>
        <v/>
      </c>
      <c r="I536" s="44" t="str">
        <f>IF(A536="","",IFERROR(SUMIF(Purchases!$D:$D,A536,Purchases!$I:$I)/D536,0))</f>
        <v/>
      </c>
      <c r="J536" s="44" t="str">
        <f t="shared" si="2"/>
        <v/>
      </c>
      <c r="K536" s="30" t="str">
        <f>IF($A536="","",IFERROR(VALUE(SUBSTITUTE(SUBSTITUTE(SUBSTITUTE(VLOOKUP($A536,Inventory!$O$5:$P$604,2,FALSE),"Tk","")," ",""),",","")),""))</f>
        <v/>
      </c>
      <c r="L536" s="58" t="str">
        <f t="shared" si="3"/>
        <v/>
      </c>
      <c r="M536" s="58" t="str">
        <f t="shared" si="4"/>
        <v/>
      </c>
      <c r="O536" s="59" t="str">
        <f t="shared" si="5"/>
        <v/>
      </c>
      <c r="P536" s="52"/>
    </row>
    <row r="537" ht="15.75" customHeight="1">
      <c r="A537" s="29" t="str">
        <f t="array" ref="A537">IFERROR(INDEX(Purchases!$D$5:$D$1004,MATCH(ROW()-4,Purchases!$L$5:$L$1004,0)),"")</f>
        <v/>
      </c>
      <c r="B537" s="48" t="str">
        <f>IFERROR(VLOOKUP(A537,Purchases!$D:$E,2,FALSE),"")</f>
        <v/>
      </c>
      <c r="C537" s="48" t="str">
        <f>IFERROR(VLOOKUP(A537,Purchases!$D:$F,3,FALSE),"")</f>
        <v/>
      </c>
      <c r="D537" s="48" t="str">
        <f>IF(A537="","",SUMIF(Purchases!$D:$D,A537,Purchases!$K:$K))</f>
        <v/>
      </c>
      <c r="E537" s="48" t="str">
        <f>IF(A537="","",SUMIFS(Sales!$H:$H,Sales!$F:$F,A537,Sales!$B:$B,"&lt;&gt;Return"))</f>
        <v/>
      </c>
      <c r="F537" s="48" t="str">
        <f>IF(A537="","",SUMIFS(Sales!$H:$H,Sales!$F:$F,A537,Sales!$B:$B,"Return"))</f>
        <v/>
      </c>
      <c r="G537" s="48" t="str">
        <f>IF($A537="","",SUMIF('Shop Ledger'!$C:$C,$A537,'Shop Ledger'!$F:$F))</f>
        <v/>
      </c>
      <c r="H537" s="48" t="str">
        <f t="shared" si="1"/>
        <v/>
      </c>
      <c r="I537" s="44" t="str">
        <f>IF(A537="","",IFERROR(SUMIF(Purchases!$D:$D,A537,Purchases!$I:$I)/D537,0))</f>
        <v/>
      </c>
      <c r="J537" s="44" t="str">
        <f t="shared" si="2"/>
        <v/>
      </c>
      <c r="K537" s="30" t="str">
        <f>IF($A537="","",IFERROR(VALUE(SUBSTITUTE(SUBSTITUTE(SUBSTITUTE(VLOOKUP($A537,Inventory!$O$5:$P$604,2,FALSE),"Tk","")," ",""),",","")),""))</f>
        <v/>
      </c>
      <c r="L537" s="58" t="str">
        <f t="shared" si="3"/>
        <v/>
      </c>
      <c r="M537" s="58" t="str">
        <f t="shared" si="4"/>
        <v/>
      </c>
      <c r="O537" s="59" t="str">
        <f t="shared" si="5"/>
        <v/>
      </c>
      <c r="P537" s="52"/>
    </row>
    <row r="538" ht="15.75" customHeight="1">
      <c r="A538" s="29" t="str">
        <f t="array" ref="A538">IFERROR(INDEX(Purchases!$D$5:$D$1004,MATCH(ROW()-4,Purchases!$L$5:$L$1004,0)),"")</f>
        <v/>
      </c>
      <c r="B538" s="48" t="str">
        <f>IFERROR(VLOOKUP(A538,Purchases!$D:$E,2,FALSE),"")</f>
        <v/>
      </c>
      <c r="C538" s="48" t="str">
        <f>IFERROR(VLOOKUP(A538,Purchases!$D:$F,3,FALSE),"")</f>
        <v/>
      </c>
      <c r="D538" s="48" t="str">
        <f>IF(A538="","",SUMIF(Purchases!$D:$D,A538,Purchases!$K:$K))</f>
        <v/>
      </c>
      <c r="E538" s="48" t="str">
        <f>IF(A538="","",SUMIFS(Sales!$H:$H,Sales!$F:$F,A538,Sales!$B:$B,"&lt;&gt;Return"))</f>
        <v/>
      </c>
      <c r="F538" s="48" t="str">
        <f>IF(A538="","",SUMIFS(Sales!$H:$H,Sales!$F:$F,A538,Sales!$B:$B,"Return"))</f>
        <v/>
      </c>
      <c r="G538" s="48" t="str">
        <f>IF($A538="","",SUMIF('Shop Ledger'!$C:$C,$A538,'Shop Ledger'!$F:$F))</f>
        <v/>
      </c>
      <c r="H538" s="48" t="str">
        <f t="shared" si="1"/>
        <v/>
      </c>
      <c r="I538" s="44" t="str">
        <f>IF(A538="","",IFERROR(SUMIF(Purchases!$D:$D,A538,Purchases!$I:$I)/D538,0))</f>
        <v/>
      </c>
      <c r="J538" s="44" t="str">
        <f t="shared" si="2"/>
        <v/>
      </c>
      <c r="K538" s="30" t="str">
        <f>IF($A538="","",IFERROR(VALUE(SUBSTITUTE(SUBSTITUTE(SUBSTITUTE(VLOOKUP($A538,Inventory!$O$5:$P$604,2,FALSE),"Tk","")," ",""),",","")),""))</f>
        <v/>
      </c>
      <c r="L538" s="58" t="str">
        <f t="shared" si="3"/>
        <v/>
      </c>
      <c r="M538" s="58" t="str">
        <f t="shared" si="4"/>
        <v/>
      </c>
      <c r="O538" s="59" t="str">
        <f t="shared" si="5"/>
        <v/>
      </c>
      <c r="P538" s="52"/>
    </row>
    <row r="539" ht="15.75" customHeight="1">
      <c r="A539" s="29" t="str">
        <f t="array" ref="A539">IFERROR(INDEX(Purchases!$D$5:$D$1004,MATCH(ROW()-4,Purchases!$L$5:$L$1004,0)),"")</f>
        <v/>
      </c>
      <c r="B539" s="48" t="str">
        <f>IFERROR(VLOOKUP(A539,Purchases!$D:$E,2,FALSE),"")</f>
        <v/>
      </c>
      <c r="C539" s="48" t="str">
        <f>IFERROR(VLOOKUP(A539,Purchases!$D:$F,3,FALSE),"")</f>
        <v/>
      </c>
      <c r="D539" s="48" t="str">
        <f>IF(A539="","",SUMIF(Purchases!$D:$D,A539,Purchases!$K:$K))</f>
        <v/>
      </c>
      <c r="E539" s="48" t="str">
        <f>IF(A539="","",SUMIFS(Sales!$H:$H,Sales!$F:$F,A539,Sales!$B:$B,"&lt;&gt;Return"))</f>
        <v/>
      </c>
      <c r="F539" s="48" t="str">
        <f>IF(A539="","",SUMIFS(Sales!$H:$H,Sales!$F:$F,A539,Sales!$B:$B,"Return"))</f>
        <v/>
      </c>
      <c r="G539" s="48" t="str">
        <f>IF($A539="","",SUMIF('Shop Ledger'!$C:$C,$A539,'Shop Ledger'!$F:$F))</f>
        <v/>
      </c>
      <c r="H539" s="48" t="str">
        <f t="shared" si="1"/>
        <v/>
      </c>
      <c r="I539" s="44" t="str">
        <f>IF(A539="","",IFERROR(SUMIF(Purchases!$D:$D,A539,Purchases!$I:$I)/D539,0))</f>
        <v/>
      </c>
      <c r="J539" s="44" t="str">
        <f t="shared" si="2"/>
        <v/>
      </c>
      <c r="K539" s="30" t="str">
        <f>IF($A539="","",IFERROR(VALUE(SUBSTITUTE(SUBSTITUTE(SUBSTITUTE(VLOOKUP($A539,Inventory!$O$5:$P$604,2,FALSE),"Tk","")," ",""),",","")),""))</f>
        <v/>
      </c>
      <c r="L539" s="58" t="str">
        <f t="shared" si="3"/>
        <v/>
      </c>
      <c r="M539" s="58" t="str">
        <f t="shared" si="4"/>
        <v/>
      </c>
      <c r="O539" s="59" t="str">
        <f t="shared" si="5"/>
        <v/>
      </c>
      <c r="P539" s="52"/>
    </row>
    <row r="540" ht="15.75" customHeight="1">
      <c r="A540" s="29" t="str">
        <f t="array" ref="A540">IFERROR(INDEX(Purchases!$D$5:$D$1004,MATCH(ROW()-4,Purchases!$L$5:$L$1004,0)),"")</f>
        <v/>
      </c>
      <c r="B540" s="48" t="str">
        <f>IFERROR(VLOOKUP(A540,Purchases!$D:$E,2,FALSE),"")</f>
        <v/>
      </c>
      <c r="C540" s="48" t="str">
        <f>IFERROR(VLOOKUP(A540,Purchases!$D:$F,3,FALSE),"")</f>
        <v/>
      </c>
      <c r="D540" s="48" t="str">
        <f>IF(A540="","",SUMIF(Purchases!$D:$D,A540,Purchases!$K:$K))</f>
        <v/>
      </c>
      <c r="E540" s="48" t="str">
        <f>IF(A540="","",SUMIFS(Sales!$H:$H,Sales!$F:$F,A540,Sales!$B:$B,"&lt;&gt;Return"))</f>
        <v/>
      </c>
      <c r="F540" s="48" t="str">
        <f>IF(A540="","",SUMIFS(Sales!$H:$H,Sales!$F:$F,A540,Sales!$B:$B,"Return"))</f>
        <v/>
      </c>
      <c r="G540" s="48" t="str">
        <f>IF($A540="","",SUMIF('Shop Ledger'!$C:$C,$A540,'Shop Ledger'!$F:$F))</f>
        <v/>
      </c>
      <c r="H540" s="48" t="str">
        <f t="shared" si="1"/>
        <v/>
      </c>
      <c r="I540" s="44" t="str">
        <f>IF(A540="","",IFERROR(SUMIF(Purchases!$D:$D,A540,Purchases!$I:$I)/D540,0))</f>
        <v/>
      </c>
      <c r="J540" s="44" t="str">
        <f t="shared" si="2"/>
        <v/>
      </c>
      <c r="K540" s="30" t="str">
        <f>IF($A540="","",IFERROR(VALUE(SUBSTITUTE(SUBSTITUTE(SUBSTITUTE(VLOOKUP($A540,Inventory!$O$5:$P$604,2,FALSE),"Tk","")," ",""),",","")),""))</f>
        <v/>
      </c>
      <c r="L540" s="58" t="str">
        <f t="shared" si="3"/>
        <v/>
      </c>
      <c r="M540" s="58" t="str">
        <f t="shared" si="4"/>
        <v/>
      </c>
      <c r="O540" s="59" t="str">
        <f t="shared" si="5"/>
        <v/>
      </c>
      <c r="P540" s="52"/>
    </row>
    <row r="541" ht="15.75" customHeight="1">
      <c r="A541" s="29" t="str">
        <f t="array" ref="A541">IFERROR(INDEX(Purchases!$D$5:$D$1004,MATCH(ROW()-4,Purchases!$L$5:$L$1004,0)),"")</f>
        <v/>
      </c>
      <c r="B541" s="48" t="str">
        <f>IFERROR(VLOOKUP(A541,Purchases!$D:$E,2,FALSE),"")</f>
        <v/>
      </c>
      <c r="C541" s="48" t="str">
        <f>IFERROR(VLOOKUP(A541,Purchases!$D:$F,3,FALSE),"")</f>
        <v/>
      </c>
      <c r="D541" s="48" t="str">
        <f>IF(A541="","",SUMIF(Purchases!$D:$D,A541,Purchases!$K:$K))</f>
        <v/>
      </c>
      <c r="E541" s="48" t="str">
        <f>IF(A541="","",SUMIFS(Sales!$H:$H,Sales!$F:$F,A541,Sales!$B:$B,"&lt;&gt;Return"))</f>
        <v/>
      </c>
      <c r="F541" s="48" t="str">
        <f>IF(A541="","",SUMIFS(Sales!$H:$H,Sales!$F:$F,A541,Sales!$B:$B,"Return"))</f>
        <v/>
      </c>
      <c r="G541" s="48" t="str">
        <f>IF($A541="","",SUMIF('Shop Ledger'!$C:$C,$A541,'Shop Ledger'!$F:$F))</f>
        <v/>
      </c>
      <c r="H541" s="48" t="str">
        <f t="shared" si="1"/>
        <v/>
      </c>
      <c r="I541" s="44" t="str">
        <f>IF(A541="","",IFERROR(SUMIF(Purchases!$D:$D,A541,Purchases!$I:$I)/D541,0))</f>
        <v/>
      </c>
      <c r="J541" s="44" t="str">
        <f t="shared" si="2"/>
        <v/>
      </c>
      <c r="K541" s="30" t="str">
        <f>IF($A541="","",IFERROR(VALUE(SUBSTITUTE(SUBSTITUTE(SUBSTITUTE(VLOOKUP($A541,Inventory!$O$5:$P$604,2,FALSE),"Tk","")," ",""),",","")),""))</f>
        <v/>
      </c>
      <c r="L541" s="58" t="str">
        <f t="shared" si="3"/>
        <v/>
      </c>
      <c r="M541" s="58" t="str">
        <f t="shared" si="4"/>
        <v/>
      </c>
      <c r="O541" s="59" t="str">
        <f t="shared" si="5"/>
        <v/>
      </c>
      <c r="P541" s="52"/>
    </row>
    <row r="542" ht="15.75" customHeight="1">
      <c r="A542" s="29" t="str">
        <f t="array" ref="A542">IFERROR(INDEX(Purchases!$D$5:$D$1004,MATCH(ROW()-4,Purchases!$L$5:$L$1004,0)),"")</f>
        <v/>
      </c>
      <c r="B542" s="48" t="str">
        <f>IFERROR(VLOOKUP(A542,Purchases!$D:$E,2,FALSE),"")</f>
        <v/>
      </c>
      <c r="C542" s="48" t="str">
        <f>IFERROR(VLOOKUP(A542,Purchases!$D:$F,3,FALSE),"")</f>
        <v/>
      </c>
      <c r="D542" s="48" t="str">
        <f>IF(A542="","",SUMIF(Purchases!$D:$D,A542,Purchases!$K:$K))</f>
        <v/>
      </c>
      <c r="E542" s="48" t="str">
        <f>IF(A542="","",SUMIFS(Sales!$H:$H,Sales!$F:$F,A542,Sales!$B:$B,"&lt;&gt;Return"))</f>
        <v/>
      </c>
      <c r="F542" s="48" t="str">
        <f>IF(A542="","",SUMIFS(Sales!$H:$H,Sales!$F:$F,A542,Sales!$B:$B,"Return"))</f>
        <v/>
      </c>
      <c r="G542" s="48" t="str">
        <f>IF($A542="","",SUMIF('Shop Ledger'!$C:$C,$A542,'Shop Ledger'!$F:$F))</f>
        <v/>
      </c>
      <c r="H542" s="48" t="str">
        <f t="shared" si="1"/>
        <v/>
      </c>
      <c r="I542" s="44" t="str">
        <f>IF(A542="","",IFERROR(SUMIF(Purchases!$D:$D,A542,Purchases!$I:$I)/D542,0))</f>
        <v/>
      </c>
      <c r="J542" s="44" t="str">
        <f t="shared" si="2"/>
        <v/>
      </c>
      <c r="K542" s="30" t="str">
        <f>IF($A542="","",IFERROR(VALUE(SUBSTITUTE(SUBSTITUTE(SUBSTITUTE(VLOOKUP($A542,Inventory!$O$5:$P$604,2,FALSE),"Tk","")," ",""),",","")),""))</f>
        <v/>
      </c>
      <c r="L542" s="58" t="str">
        <f t="shared" si="3"/>
        <v/>
      </c>
      <c r="M542" s="58" t="str">
        <f t="shared" si="4"/>
        <v/>
      </c>
      <c r="O542" s="59" t="str">
        <f t="shared" si="5"/>
        <v/>
      </c>
      <c r="P542" s="52"/>
    </row>
    <row r="543" ht="15.75" customHeight="1">
      <c r="A543" s="29" t="str">
        <f t="array" ref="A543">IFERROR(INDEX(Purchases!$D$5:$D$1004,MATCH(ROW()-4,Purchases!$L$5:$L$1004,0)),"")</f>
        <v/>
      </c>
      <c r="B543" s="48" t="str">
        <f>IFERROR(VLOOKUP(A543,Purchases!$D:$E,2,FALSE),"")</f>
        <v/>
      </c>
      <c r="C543" s="48" t="str">
        <f>IFERROR(VLOOKUP(A543,Purchases!$D:$F,3,FALSE),"")</f>
        <v/>
      </c>
      <c r="D543" s="48" t="str">
        <f>IF(A543="","",SUMIF(Purchases!$D:$D,A543,Purchases!$K:$K))</f>
        <v/>
      </c>
      <c r="E543" s="48" t="str">
        <f>IF(A543="","",SUMIFS(Sales!$H:$H,Sales!$F:$F,A543,Sales!$B:$B,"&lt;&gt;Return"))</f>
        <v/>
      </c>
      <c r="F543" s="48" t="str">
        <f>IF(A543="","",SUMIFS(Sales!$H:$H,Sales!$F:$F,A543,Sales!$B:$B,"Return"))</f>
        <v/>
      </c>
      <c r="G543" s="48" t="str">
        <f>IF($A543="","",SUMIF('Shop Ledger'!$C:$C,$A543,'Shop Ledger'!$F:$F))</f>
        <v/>
      </c>
      <c r="H543" s="48" t="str">
        <f t="shared" si="1"/>
        <v/>
      </c>
      <c r="I543" s="44" t="str">
        <f>IF(A543="","",IFERROR(SUMIF(Purchases!$D:$D,A543,Purchases!$I:$I)/D543,0))</f>
        <v/>
      </c>
      <c r="J543" s="44" t="str">
        <f t="shared" si="2"/>
        <v/>
      </c>
      <c r="K543" s="30" t="str">
        <f>IF($A543="","",IFERROR(VALUE(SUBSTITUTE(SUBSTITUTE(SUBSTITUTE(VLOOKUP($A543,Inventory!$O$5:$P$604,2,FALSE),"Tk","")," ",""),",","")),""))</f>
        <v/>
      </c>
      <c r="L543" s="58" t="str">
        <f t="shared" si="3"/>
        <v/>
      </c>
      <c r="M543" s="58" t="str">
        <f t="shared" si="4"/>
        <v/>
      </c>
      <c r="O543" s="59" t="str">
        <f t="shared" si="5"/>
        <v/>
      </c>
      <c r="P543" s="52"/>
    </row>
    <row r="544" ht="15.75" customHeight="1">
      <c r="A544" s="29" t="str">
        <f t="array" ref="A544">IFERROR(INDEX(Purchases!$D$5:$D$1004,MATCH(ROW()-4,Purchases!$L$5:$L$1004,0)),"")</f>
        <v/>
      </c>
      <c r="B544" s="48" t="str">
        <f>IFERROR(VLOOKUP(A544,Purchases!$D:$E,2,FALSE),"")</f>
        <v/>
      </c>
      <c r="C544" s="48" t="str">
        <f>IFERROR(VLOOKUP(A544,Purchases!$D:$F,3,FALSE),"")</f>
        <v/>
      </c>
      <c r="D544" s="48" t="str">
        <f>IF(A544="","",SUMIF(Purchases!$D:$D,A544,Purchases!$K:$K))</f>
        <v/>
      </c>
      <c r="E544" s="48" t="str">
        <f>IF(A544="","",SUMIFS(Sales!$H:$H,Sales!$F:$F,A544,Sales!$B:$B,"&lt;&gt;Return"))</f>
        <v/>
      </c>
      <c r="F544" s="48" t="str">
        <f>IF(A544="","",SUMIFS(Sales!$H:$H,Sales!$F:$F,A544,Sales!$B:$B,"Return"))</f>
        <v/>
      </c>
      <c r="G544" s="48" t="str">
        <f>IF($A544="","",SUMIF('Shop Ledger'!$C:$C,$A544,'Shop Ledger'!$F:$F))</f>
        <v/>
      </c>
      <c r="H544" s="48" t="str">
        <f t="shared" si="1"/>
        <v/>
      </c>
      <c r="I544" s="44" t="str">
        <f>IF(A544="","",IFERROR(SUMIF(Purchases!$D:$D,A544,Purchases!$I:$I)/D544,0))</f>
        <v/>
      </c>
      <c r="J544" s="44" t="str">
        <f t="shared" si="2"/>
        <v/>
      </c>
      <c r="K544" s="30" t="str">
        <f>IF($A544="","",IFERROR(VALUE(SUBSTITUTE(SUBSTITUTE(SUBSTITUTE(VLOOKUP($A544,Inventory!$O$5:$P$604,2,FALSE),"Tk","")," ",""),",","")),""))</f>
        <v/>
      </c>
      <c r="L544" s="58" t="str">
        <f t="shared" si="3"/>
        <v/>
      </c>
      <c r="M544" s="58" t="str">
        <f t="shared" si="4"/>
        <v/>
      </c>
      <c r="O544" s="59" t="str">
        <f t="shared" si="5"/>
        <v/>
      </c>
      <c r="P544" s="52"/>
    </row>
    <row r="545" ht="15.75" customHeight="1">
      <c r="A545" s="29" t="str">
        <f t="array" ref="A545">IFERROR(INDEX(Purchases!$D$5:$D$1004,MATCH(ROW()-4,Purchases!$L$5:$L$1004,0)),"")</f>
        <v/>
      </c>
      <c r="B545" s="48" t="str">
        <f>IFERROR(VLOOKUP(A545,Purchases!$D:$E,2,FALSE),"")</f>
        <v/>
      </c>
      <c r="C545" s="48" t="str">
        <f>IFERROR(VLOOKUP(A545,Purchases!$D:$F,3,FALSE),"")</f>
        <v/>
      </c>
      <c r="D545" s="48" t="str">
        <f>IF(A545="","",SUMIF(Purchases!$D:$D,A545,Purchases!$K:$K))</f>
        <v/>
      </c>
      <c r="E545" s="48" t="str">
        <f>IF(A545="","",SUMIFS(Sales!$H:$H,Sales!$F:$F,A545,Sales!$B:$B,"&lt;&gt;Return"))</f>
        <v/>
      </c>
      <c r="F545" s="48" t="str">
        <f>IF(A545="","",SUMIFS(Sales!$H:$H,Sales!$F:$F,A545,Sales!$B:$B,"Return"))</f>
        <v/>
      </c>
      <c r="G545" s="48" t="str">
        <f>IF($A545="","",SUMIF('Shop Ledger'!$C:$C,$A545,'Shop Ledger'!$F:$F))</f>
        <v/>
      </c>
      <c r="H545" s="48" t="str">
        <f t="shared" si="1"/>
        <v/>
      </c>
      <c r="I545" s="44" t="str">
        <f>IF(A545="","",IFERROR(SUMIF(Purchases!$D:$D,A545,Purchases!$I:$I)/D545,0))</f>
        <v/>
      </c>
      <c r="J545" s="44" t="str">
        <f t="shared" si="2"/>
        <v/>
      </c>
      <c r="K545" s="30" t="str">
        <f>IF($A545="","",IFERROR(VALUE(SUBSTITUTE(SUBSTITUTE(SUBSTITUTE(VLOOKUP($A545,Inventory!$O$5:$P$604,2,FALSE),"Tk","")," ",""),",","")),""))</f>
        <v/>
      </c>
      <c r="L545" s="58" t="str">
        <f t="shared" si="3"/>
        <v/>
      </c>
      <c r="M545" s="58" t="str">
        <f t="shared" si="4"/>
        <v/>
      </c>
      <c r="O545" s="59" t="str">
        <f t="shared" si="5"/>
        <v/>
      </c>
      <c r="P545" s="52"/>
    </row>
    <row r="546" ht="15.75" customHeight="1">
      <c r="A546" s="29" t="str">
        <f t="array" ref="A546">IFERROR(INDEX(Purchases!$D$5:$D$1004,MATCH(ROW()-4,Purchases!$L$5:$L$1004,0)),"")</f>
        <v/>
      </c>
      <c r="B546" s="48" t="str">
        <f>IFERROR(VLOOKUP(A546,Purchases!$D:$E,2,FALSE),"")</f>
        <v/>
      </c>
      <c r="C546" s="48" t="str">
        <f>IFERROR(VLOOKUP(A546,Purchases!$D:$F,3,FALSE),"")</f>
        <v/>
      </c>
      <c r="D546" s="48" t="str">
        <f>IF(A546="","",SUMIF(Purchases!$D:$D,A546,Purchases!$K:$K))</f>
        <v/>
      </c>
      <c r="E546" s="48" t="str">
        <f>IF(A546="","",SUMIFS(Sales!$H:$H,Sales!$F:$F,A546,Sales!$B:$B,"&lt;&gt;Return"))</f>
        <v/>
      </c>
      <c r="F546" s="48" t="str">
        <f>IF(A546="","",SUMIFS(Sales!$H:$H,Sales!$F:$F,A546,Sales!$B:$B,"Return"))</f>
        <v/>
      </c>
      <c r="G546" s="48" t="str">
        <f>IF($A546="","",SUMIF('Shop Ledger'!$C:$C,$A546,'Shop Ledger'!$F:$F))</f>
        <v/>
      </c>
      <c r="H546" s="48" t="str">
        <f t="shared" si="1"/>
        <v/>
      </c>
      <c r="I546" s="44" t="str">
        <f>IF(A546="","",IFERROR(SUMIF(Purchases!$D:$D,A546,Purchases!$I:$I)/D546,0))</f>
        <v/>
      </c>
      <c r="J546" s="44" t="str">
        <f t="shared" si="2"/>
        <v/>
      </c>
      <c r="K546" s="30" t="str">
        <f>IF($A546="","",IFERROR(VALUE(SUBSTITUTE(SUBSTITUTE(SUBSTITUTE(VLOOKUP($A546,Inventory!$O$5:$P$604,2,FALSE),"Tk","")," ",""),",","")),""))</f>
        <v/>
      </c>
      <c r="L546" s="58" t="str">
        <f t="shared" si="3"/>
        <v/>
      </c>
      <c r="M546" s="58" t="str">
        <f t="shared" si="4"/>
        <v/>
      </c>
      <c r="O546" s="59" t="str">
        <f t="shared" si="5"/>
        <v/>
      </c>
      <c r="P546" s="52"/>
    </row>
    <row r="547" ht="15.75" customHeight="1">
      <c r="A547" s="29" t="str">
        <f t="array" ref="A547">IFERROR(INDEX(Purchases!$D$5:$D$1004,MATCH(ROW()-4,Purchases!$L$5:$L$1004,0)),"")</f>
        <v/>
      </c>
      <c r="B547" s="48" t="str">
        <f>IFERROR(VLOOKUP(A547,Purchases!$D:$E,2,FALSE),"")</f>
        <v/>
      </c>
      <c r="C547" s="48" t="str">
        <f>IFERROR(VLOOKUP(A547,Purchases!$D:$F,3,FALSE),"")</f>
        <v/>
      </c>
      <c r="D547" s="48" t="str">
        <f>IF(A547="","",SUMIF(Purchases!$D:$D,A547,Purchases!$K:$K))</f>
        <v/>
      </c>
      <c r="E547" s="48" t="str">
        <f>IF(A547="","",SUMIFS(Sales!$H:$H,Sales!$F:$F,A547,Sales!$B:$B,"&lt;&gt;Return"))</f>
        <v/>
      </c>
      <c r="F547" s="48" t="str">
        <f>IF(A547="","",SUMIFS(Sales!$H:$H,Sales!$F:$F,A547,Sales!$B:$B,"Return"))</f>
        <v/>
      </c>
      <c r="G547" s="48" t="str">
        <f>IF($A547="","",SUMIF('Shop Ledger'!$C:$C,$A547,'Shop Ledger'!$F:$F))</f>
        <v/>
      </c>
      <c r="H547" s="48" t="str">
        <f t="shared" si="1"/>
        <v/>
      </c>
      <c r="I547" s="44" t="str">
        <f>IF(A547="","",IFERROR(SUMIF(Purchases!$D:$D,A547,Purchases!$I:$I)/D547,0))</f>
        <v/>
      </c>
      <c r="J547" s="44" t="str">
        <f t="shared" si="2"/>
        <v/>
      </c>
      <c r="K547" s="30" t="str">
        <f>IF($A547="","",IFERROR(VALUE(SUBSTITUTE(SUBSTITUTE(SUBSTITUTE(VLOOKUP($A547,Inventory!$O$5:$P$604,2,FALSE),"Tk","")," ",""),",","")),""))</f>
        <v/>
      </c>
      <c r="L547" s="58" t="str">
        <f t="shared" si="3"/>
        <v/>
      </c>
      <c r="M547" s="58" t="str">
        <f t="shared" si="4"/>
        <v/>
      </c>
      <c r="O547" s="59" t="str">
        <f t="shared" si="5"/>
        <v/>
      </c>
      <c r="P547" s="52"/>
    </row>
    <row r="548" ht="15.75" customHeight="1">
      <c r="A548" s="29" t="str">
        <f t="array" ref="A548">IFERROR(INDEX(Purchases!$D$5:$D$1004,MATCH(ROW()-4,Purchases!$L$5:$L$1004,0)),"")</f>
        <v/>
      </c>
      <c r="B548" s="48" t="str">
        <f>IFERROR(VLOOKUP(A548,Purchases!$D:$E,2,FALSE),"")</f>
        <v/>
      </c>
      <c r="C548" s="48" t="str">
        <f>IFERROR(VLOOKUP(A548,Purchases!$D:$F,3,FALSE),"")</f>
        <v/>
      </c>
      <c r="D548" s="48" t="str">
        <f>IF(A548="","",SUMIF(Purchases!$D:$D,A548,Purchases!$K:$K))</f>
        <v/>
      </c>
      <c r="E548" s="48" t="str">
        <f>IF(A548="","",SUMIFS(Sales!$H:$H,Sales!$F:$F,A548,Sales!$B:$B,"&lt;&gt;Return"))</f>
        <v/>
      </c>
      <c r="F548" s="48" t="str">
        <f>IF(A548="","",SUMIFS(Sales!$H:$H,Sales!$F:$F,A548,Sales!$B:$B,"Return"))</f>
        <v/>
      </c>
      <c r="G548" s="48" t="str">
        <f>IF($A548="","",SUMIF('Shop Ledger'!$C:$C,$A548,'Shop Ledger'!$F:$F))</f>
        <v/>
      </c>
      <c r="H548" s="48" t="str">
        <f t="shared" si="1"/>
        <v/>
      </c>
      <c r="I548" s="44" t="str">
        <f>IF(A548="","",IFERROR(SUMIF(Purchases!$D:$D,A548,Purchases!$I:$I)/D548,0))</f>
        <v/>
      </c>
      <c r="J548" s="44" t="str">
        <f t="shared" si="2"/>
        <v/>
      </c>
      <c r="K548" s="30" t="str">
        <f>IF($A548="","",IFERROR(VALUE(SUBSTITUTE(SUBSTITUTE(SUBSTITUTE(VLOOKUP($A548,Inventory!$O$5:$P$604,2,FALSE),"Tk","")," ",""),",","")),""))</f>
        <v/>
      </c>
      <c r="L548" s="58" t="str">
        <f t="shared" si="3"/>
        <v/>
      </c>
      <c r="M548" s="58" t="str">
        <f t="shared" si="4"/>
        <v/>
      </c>
      <c r="O548" s="59" t="str">
        <f t="shared" si="5"/>
        <v/>
      </c>
      <c r="P548" s="52"/>
    </row>
    <row r="549" ht="15.75" customHeight="1">
      <c r="A549" s="29" t="str">
        <f t="array" ref="A549">IFERROR(INDEX(Purchases!$D$5:$D$1004,MATCH(ROW()-4,Purchases!$L$5:$L$1004,0)),"")</f>
        <v/>
      </c>
      <c r="B549" s="48" t="str">
        <f>IFERROR(VLOOKUP(A549,Purchases!$D:$E,2,FALSE),"")</f>
        <v/>
      </c>
      <c r="C549" s="48" t="str">
        <f>IFERROR(VLOOKUP(A549,Purchases!$D:$F,3,FALSE),"")</f>
        <v/>
      </c>
      <c r="D549" s="48" t="str">
        <f>IF(A549="","",SUMIF(Purchases!$D:$D,A549,Purchases!$K:$K))</f>
        <v/>
      </c>
      <c r="E549" s="48" t="str">
        <f>IF(A549="","",SUMIFS(Sales!$H:$H,Sales!$F:$F,A549,Sales!$B:$B,"&lt;&gt;Return"))</f>
        <v/>
      </c>
      <c r="F549" s="48" t="str">
        <f>IF(A549="","",SUMIFS(Sales!$H:$H,Sales!$F:$F,A549,Sales!$B:$B,"Return"))</f>
        <v/>
      </c>
      <c r="G549" s="48" t="str">
        <f>IF($A549="","",SUMIF('Shop Ledger'!$C:$C,$A549,'Shop Ledger'!$F:$F))</f>
        <v/>
      </c>
      <c r="H549" s="48" t="str">
        <f t="shared" si="1"/>
        <v/>
      </c>
      <c r="I549" s="44" t="str">
        <f>IF(A549="","",IFERROR(SUMIF(Purchases!$D:$D,A549,Purchases!$I:$I)/D549,0))</f>
        <v/>
      </c>
      <c r="J549" s="44" t="str">
        <f t="shared" si="2"/>
        <v/>
      </c>
      <c r="K549" s="30" t="str">
        <f>IF($A549="","",IFERROR(VALUE(SUBSTITUTE(SUBSTITUTE(SUBSTITUTE(VLOOKUP($A549,Inventory!$O$5:$P$604,2,FALSE),"Tk","")," ",""),",","")),""))</f>
        <v/>
      </c>
      <c r="L549" s="58" t="str">
        <f t="shared" si="3"/>
        <v/>
      </c>
      <c r="M549" s="58" t="str">
        <f t="shared" si="4"/>
        <v/>
      </c>
      <c r="O549" s="59" t="str">
        <f t="shared" si="5"/>
        <v/>
      </c>
      <c r="P549" s="52"/>
    </row>
    <row r="550" ht="15.75" customHeight="1">
      <c r="A550" s="29" t="str">
        <f t="array" ref="A550">IFERROR(INDEX(Purchases!$D$5:$D$1004,MATCH(ROW()-4,Purchases!$L$5:$L$1004,0)),"")</f>
        <v/>
      </c>
      <c r="B550" s="48" t="str">
        <f>IFERROR(VLOOKUP(A550,Purchases!$D:$E,2,FALSE),"")</f>
        <v/>
      </c>
      <c r="C550" s="48" t="str">
        <f>IFERROR(VLOOKUP(A550,Purchases!$D:$F,3,FALSE),"")</f>
        <v/>
      </c>
      <c r="D550" s="48" t="str">
        <f>IF(A550="","",SUMIF(Purchases!$D:$D,A550,Purchases!$K:$K))</f>
        <v/>
      </c>
      <c r="E550" s="48" t="str">
        <f>IF(A550="","",SUMIFS(Sales!$H:$H,Sales!$F:$F,A550,Sales!$B:$B,"&lt;&gt;Return"))</f>
        <v/>
      </c>
      <c r="F550" s="48" t="str">
        <f>IF(A550="","",SUMIFS(Sales!$H:$H,Sales!$F:$F,A550,Sales!$B:$B,"Return"))</f>
        <v/>
      </c>
      <c r="G550" s="48" t="str">
        <f>IF($A550="","",SUMIF('Shop Ledger'!$C:$C,$A550,'Shop Ledger'!$F:$F))</f>
        <v/>
      </c>
      <c r="H550" s="48" t="str">
        <f t="shared" si="1"/>
        <v/>
      </c>
      <c r="I550" s="44" t="str">
        <f>IF(A550="","",IFERROR(SUMIF(Purchases!$D:$D,A550,Purchases!$I:$I)/D550,0))</f>
        <v/>
      </c>
      <c r="J550" s="44" t="str">
        <f t="shared" si="2"/>
        <v/>
      </c>
      <c r="K550" s="30" t="str">
        <f>IF($A550="","",IFERROR(VALUE(SUBSTITUTE(SUBSTITUTE(SUBSTITUTE(VLOOKUP($A550,Inventory!$O$5:$P$604,2,FALSE),"Tk","")," ",""),",","")),""))</f>
        <v/>
      </c>
      <c r="L550" s="58" t="str">
        <f t="shared" si="3"/>
        <v/>
      </c>
      <c r="M550" s="58" t="str">
        <f t="shared" si="4"/>
        <v/>
      </c>
      <c r="O550" s="59" t="str">
        <f t="shared" si="5"/>
        <v/>
      </c>
      <c r="P550" s="52"/>
    </row>
    <row r="551" ht="15.75" customHeight="1">
      <c r="A551" s="29" t="str">
        <f t="array" ref="A551">IFERROR(INDEX(Purchases!$D$5:$D$1004,MATCH(ROW()-4,Purchases!$L$5:$L$1004,0)),"")</f>
        <v/>
      </c>
      <c r="B551" s="48" t="str">
        <f>IFERROR(VLOOKUP(A551,Purchases!$D:$E,2,FALSE),"")</f>
        <v/>
      </c>
      <c r="C551" s="48" t="str">
        <f>IFERROR(VLOOKUP(A551,Purchases!$D:$F,3,FALSE),"")</f>
        <v/>
      </c>
      <c r="D551" s="48" t="str">
        <f>IF(A551="","",SUMIF(Purchases!$D:$D,A551,Purchases!$K:$K))</f>
        <v/>
      </c>
      <c r="E551" s="48" t="str">
        <f>IF(A551="","",SUMIFS(Sales!$H:$H,Sales!$F:$F,A551,Sales!$B:$B,"&lt;&gt;Return"))</f>
        <v/>
      </c>
      <c r="F551" s="48" t="str">
        <f>IF(A551="","",SUMIFS(Sales!$H:$H,Sales!$F:$F,A551,Sales!$B:$B,"Return"))</f>
        <v/>
      </c>
      <c r="G551" s="48" t="str">
        <f>IF($A551="","",SUMIF('Shop Ledger'!$C:$C,$A551,'Shop Ledger'!$F:$F))</f>
        <v/>
      </c>
      <c r="H551" s="48" t="str">
        <f t="shared" si="1"/>
        <v/>
      </c>
      <c r="I551" s="44" t="str">
        <f>IF(A551="","",IFERROR(SUMIF(Purchases!$D:$D,A551,Purchases!$I:$I)/D551,0))</f>
        <v/>
      </c>
      <c r="J551" s="44" t="str">
        <f t="shared" si="2"/>
        <v/>
      </c>
      <c r="K551" s="30" t="str">
        <f>IF($A551="","",IFERROR(VALUE(SUBSTITUTE(SUBSTITUTE(SUBSTITUTE(VLOOKUP($A551,Inventory!$O$5:$P$604,2,FALSE),"Tk","")," ",""),",","")),""))</f>
        <v/>
      </c>
      <c r="L551" s="58" t="str">
        <f t="shared" si="3"/>
        <v/>
      </c>
      <c r="M551" s="58" t="str">
        <f t="shared" si="4"/>
        <v/>
      </c>
      <c r="O551" s="59" t="str">
        <f t="shared" si="5"/>
        <v/>
      </c>
      <c r="P551" s="52"/>
    </row>
    <row r="552" ht="15.75" customHeight="1">
      <c r="A552" s="29" t="str">
        <f t="array" ref="A552">IFERROR(INDEX(Purchases!$D$5:$D$1004,MATCH(ROW()-4,Purchases!$L$5:$L$1004,0)),"")</f>
        <v/>
      </c>
      <c r="B552" s="48" t="str">
        <f>IFERROR(VLOOKUP(A552,Purchases!$D:$E,2,FALSE),"")</f>
        <v/>
      </c>
      <c r="C552" s="48" t="str">
        <f>IFERROR(VLOOKUP(A552,Purchases!$D:$F,3,FALSE),"")</f>
        <v/>
      </c>
      <c r="D552" s="48" t="str">
        <f>IF(A552="","",SUMIF(Purchases!$D:$D,A552,Purchases!$K:$K))</f>
        <v/>
      </c>
      <c r="E552" s="48" t="str">
        <f>IF(A552="","",SUMIFS(Sales!$H:$H,Sales!$F:$F,A552,Sales!$B:$B,"&lt;&gt;Return"))</f>
        <v/>
      </c>
      <c r="F552" s="48" t="str">
        <f>IF(A552="","",SUMIFS(Sales!$H:$H,Sales!$F:$F,A552,Sales!$B:$B,"Return"))</f>
        <v/>
      </c>
      <c r="G552" s="48" t="str">
        <f>IF($A552="","",SUMIF('Shop Ledger'!$C:$C,$A552,'Shop Ledger'!$F:$F))</f>
        <v/>
      </c>
      <c r="H552" s="48" t="str">
        <f t="shared" si="1"/>
        <v/>
      </c>
      <c r="I552" s="44" t="str">
        <f>IF(A552="","",IFERROR(SUMIF(Purchases!$D:$D,A552,Purchases!$I:$I)/D552,0))</f>
        <v/>
      </c>
      <c r="J552" s="44" t="str">
        <f t="shared" si="2"/>
        <v/>
      </c>
      <c r="K552" s="30" t="str">
        <f>IF($A552="","",IFERROR(VALUE(SUBSTITUTE(SUBSTITUTE(SUBSTITUTE(VLOOKUP($A552,Inventory!$O$5:$P$604,2,FALSE),"Tk","")," ",""),",","")),""))</f>
        <v/>
      </c>
      <c r="L552" s="58" t="str">
        <f t="shared" si="3"/>
        <v/>
      </c>
      <c r="M552" s="58" t="str">
        <f t="shared" si="4"/>
        <v/>
      </c>
      <c r="O552" s="59" t="str">
        <f t="shared" si="5"/>
        <v/>
      </c>
      <c r="P552" s="52"/>
    </row>
    <row r="553" ht="15.75" customHeight="1">
      <c r="A553" s="29" t="str">
        <f t="array" ref="A553">IFERROR(INDEX(Purchases!$D$5:$D$1004,MATCH(ROW()-4,Purchases!$L$5:$L$1004,0)),"")</f>
        <v/>
      </c>
      <c r="B553" s="48" t="str">
        <f>IFERROR(VLOOKUP(A553,Purchases!$D:$E,2,FALSE),"")</f>
        <v/>
      </c>
      <c r="C553" s="48" t="str">
        <f>IFERROR(VLOOKUP(A553,Purchases!$D:$F,3,FALSE),"")</f>
        <v/>
      </c>
      <c r="D553" s="48" t="str">
        <f>IF(A553="","",SUMIF(Purchases!$D:$D,A553,Purchases!$K:$K))</f>
        <v/>
      </c>
      <c r="E553" s="48" t="str">
        <f>IF(A553="","",SUMIFS(Sales!$H:$H,Sales!$F:$F,A553,Sales!$B:$B,"&lt;&gt;Return"))</f>
        <v/>
      </c>
      <c r="F553" s="48" t="str">
        <f>IF(A553="","",SUMIFS(Sales!$H:$H,Sales!$F:$F,A553,Sales!$B:$B,"Return"))</f>
        <v/>
      </c>
      <c r="G553" s="48" t="str">
        <f>IF($A553="","",SUMIF('Shop Ledger'!$C:$C,$A553,'Shop Ledger'!$F:$F))</f>
        <v/>
      </c>
      <c r="H553" s="48" t="str">
        <f t="shared" si="1"/>
        <v/>
      </c>
      <c r="I553" s="44" t="str">
        <f>IF(A553="","",IFERROR(SUMIF(Purchases!$D:$D,A553,Purchases!$I:$I)/D553,0))</f>
        <v/>
      </c>
      <c r="J553" s="44" t="str">
        <f t="shared" si="2"/>
        <v/>
      </c>
      <c r="K553" s="30" t="str">
        <f>IF($A553="","",IFERROR(VALUE(SUBSTITUTE(SUBSTITUTE(SUBSTITUTE(VLOOKUP($A553,Inventory!$O$5:$P$604,2,FALSE),"Tk","")," ",""),",","")),""))</f>
        <v/>
      </c>
      <c r="L553" s="58" t="str">
        <f t="shared" si="3"/>
        <v/>
      </c>
      <c r="M553" s="58" t="str">
        <f t="shared" si="4"/>
        <v/>
      </c>
      <c r="O553" s="59" t="str">
        <f t="shared" si="5"/>
        <v/>
      </c>
      <c r="P553" s="52"/>
    </row>
    <row r="554" ht="15.75" customHeight="1">
      <c r="A554" s="29" t="str">
        <f t="array" ref="A554">IFERROR(INDEX(Purchases!$D$5:$D$1004,MATCH(ROW()-4,Purchases!$L$5:$L$1004,0)),"")</f>
        <v/>
      </c>
      <c r="B554" s="48" t="str">
        <f>IFERROR(VLOOKUP(A554,Purchases!$D:$E,2,FALSE),"")</f>
        <v/>
      </c>
      <c r="C554" s="48" t="str">
        <f>IFERROR(VLOOKUP(A554,Purchases!$D:$F,3,FALSE),"")</f>
        <v/>
      </c>
      <c r="D554" s="48" t="str">
        <f>IF(A554="","",SUMIF(Purchases!$D:$D,A554,Purchases!$K:$K))</f>
        <v/>
      </c>
      <c r="E554" s="48" t="str">
        <f>IF(A554="","",SUMIFS(Sales!$H:$H,Sales!$F:$F,A554,Sales!$B:$B,"&lt;&gt;Return"))</f>
        <v/>
      </c>
      <c r="F554" s="48" t="str">
        <f>IF(A554="","",SUMIFS(Sales!$H:$H,Sales!$F:$F,A554,Sales!$B:$B,"Return"))</f>
        <v/>
      </c>
      <c r="G554" s="48" t="str">
        <f>IF($A554="","",SUMIF('Shop Ledger'!$C:$C,$A554,'Shop Ledger'!$F:$F))</f>
        <v/>
      </c>
      <c r="H554" s="48" t="str">
        <f t="shared" si="1"/>
        <v/>
      </c>
      <c r="I554" s="44" t="str">
        <f>IF(A554="","",IFERROR(SUMIF(Purchases!$D:$D,A554,Purchases!$I:$I)/D554,0))</f>
        <v/>
      </c>
      <c r="J554" s="44" t="str">
        <f t="shared" si="2"/>
        <v/>
      </c>
      <c r="K554" s="30" t="str">
        <f>IF($A554="","",IFERROR(VALUE(SUBSTITUTE(SUBSTITUTE(SUBSTITUTE(VLOOKUP($A554,Inventory!$O$5:$P$604,2,FALSE),"Tk","")," ",""),",","")),""))</f>
        <v/>
      </c>
      <c r="L554" s="58" t="str">
        <f t="shared" si="3"/>
        <v/>
      </c>
      <c r="M554" s="58" t="str">
        <f t="shared" si="4"/>
        <v/>
      </c>
      <c r="O554" s="59" t="str">
        <f t="shared" si="5"/>
        <v/>
      </c>
      <c r="P554" s="52"/>
    </row>
    <row r="555" ht="15.75" customHeight="1">
      <c r="A555" s="29" t="str">
        <f t="array" ref="A555">IFERROR(INDEX(Purchases!$D$5:$D$1004,MATCH(ROW()-4,Purchases!$L$5:$L$1004,0)),"")</f>
        <v/>
      </c>
      <c r="B555" s="48" t="str">
        <f>IFERROR(VLOOKUP(A555,Purchases!$D:$E,2,FALSE),"")</f>
        <v/>
      </c>
      <c r="C555" s="48" t="str">
        <f>IFERROR(VLOOKUP(A555,Purchases!$D:$F,3,FALSE),"")</f>
        <v/>
      </c>
      <c r="D555" s="48" t="str">
        <f>IF(A555="","",SUMIF(Purchases!$D:$D,A555,Purchases!$K:$K))</f>
        <v/>
      </c>
      <c r="E555" s="48" t="str">
        <f>IF(A555="","",SUMIFS(Sales!$H:$H,Sales!$F:$F,A555,Sales!$B:$B,"&lt;&gt;Return"))</f>
        <v/>
      </c>
      <c r="F555" s="48" t="str">
        <f>IF(A555="","",SUMIFS(Sales!$H:$H,Sales!$F:$F,A555,Sales!$B:$B,"Return"))</f>
        <v/>
      </c>
      <c r="G555" s="48" t="str">
        <f>IF($A555="","",SUMIF('Shop Ledger'!$C:$C,$A555,'Shop Ledger'!$F:$F))</f>
        <v/>
      </c>
      <c r="H555" s="48" t="str">
        <f t="shared" si="1"/>
        <v/>
      </c>
      <c r="I555" s="44" t="str">
        <f>IF(A555="","",IFERROR(SUMIF(Purchases!$D:$D,A555,Purchases!$I:$I)/D555,0))</f>
        <v/>
      </c>
      <c r="J555" s="44" t="str">
        <f t="shared" si="2"/>
        <v/>
      </c>
      <c r="K555" s="30" t="str">
        <f>IF($A555="","",IFERROR(VALUE(SUBSTITUTE(SUBSTITUTE(SUBSTITUTE(VLOOKUP($A555,Inventory!$O$5:$P$604,2,FALSE),"Tk","")," ",""),",","")),""))</f>
        <v/>
      </c>
      <c r="L555" s="58" t="str">
        <f t="shared" si="3"/>
        <v/>
      </c>
      <c r="M555" s="58" t="str">
        <f t="shared" si="4"/>
        <v/>
      </c>
      <c r="O555" s="59" t="str">
        <f t="shared" si="5"/>
        <v/>
      </c>
      <c r="P555" s="52"/>
    </row>
    <row r="556" ht="15.75" customHeight="1">
      <c r="A556" s="29" t="str">
        <f t="array" ref="A556">IFERROR(INDEX(Purchases!$D$5:$D$1004,MATCH(ROW()-4,Purchases!$L$5:$L$1004,0)),"")</f>
        <v/>
      </c>
      <c r="B556" s="48" t="str">
        <f>IFERROR(VLOOKUP(A556,Purchases!$D:$E,2,FALSE),"")</f>
        <v/>
      </c>
      <c r="C556" s="48" t="str">
        <f>IFERROR(VLOOKUP(A556,Purchases!$D:$F,3,FALSE),"")</f>
        <v/>
      </c>
      <c r="D556" s="48" t="str">
        <f>IF(A556="","",SUMIF(Purchases!$D:$D,A556,Purchases!$K:$K))</f>
        <v/>
      </c>
      <c r="E556" s="48" t="str">
        <f>IF(A556="","",SUMIFS(Sales!$H:$H,Sales!$F:$F,A556,Sales!$B:$B,"&lt;&gt;Return"))</f>
        <v/>
      </c>
      <c r="F556" s="48" t="str">
        <f>IF(A556="","",SUMIFS(Sales!$H:$H,Sales!$F:$F,A556,Sales!$B:$B,"Return"))</f>
        <v/>
      </c>
      <c r="G556" s="48" t="str">
        <f>IF($A556="","",SUMIF('Shop Ledger'!$C:$C,$A556,'Shop Ledger'!$F:$F))</f>
        <v/>
      </c>
      <c r="H556" s="48" t="str">
        <f t="shared" si="1"/>
        <v/>
      </c>
      <c r="I556" s="44" t="str">
        <f>IF(A556="","",IFERROR(SUMIF(Purchases!$D:$D,A556,Purchases!$I:$I)/D556,0))</f>
        <v/>
      </c>
      <c r="J556" s="44" t="str">
        <f t="shared" si="2"/>
        <v/>
      </c>
      <c r="K556" s="30" t="str">
        <f>IF($A556="","",IFERROR(VALUE(SUBSTITUTE(SUBSTITUTE(SUBSTITUTE(VLOOKUP($A556,Inventory!$O$5:$P$604,2,FALSE),"Tk","")," ",""),",","")),""))</f>
        <v/>
      </c>
      <c r="L556" s="58" t="str">
        <f t="shared" si="3"/>
        <v/>
      </c>
      <c r="M556" s="58" t="str">
        <f t="shared" si="4"/>
        <v/>
      </c>
      <c r="O556" s="59" t="str">
        <f t="shared" si="5"/>
        <v/>
      </c>
      <c r="P556" s="52"/>
    </row>
    <row r="557" ht="15.75" customHeight="1">
      <c r="A557" s="29" t="str">
        <f t="array" ref="A557">IFERROR(INDEX(Purchases!$D$5:$D$1004,MATCH(ROW()-4,Purchases!$L$5:$L$1004,0)),"")</f>
        <v/>
      </c>
      <c r="B557" s="48" t="str">
        <f>IFERROR(VLOOKUP(A557,Purchases!$D:$E,2,FALSE),"")</f>
        <v/>
      </c>
      <c r="C557" s="48" t="str">
        <f>IFERROR(VLOOKUP(A557,Purchases!$D:$F,3,FALSE),"")</f>
        <v/>
      </c>
      <c r="D557" s="48" t="str">
        <f>IF(A557="","",SUMIF(Purchases!$D:$D,A557,Purchases!$K:$K))</f>
        <v/>
      </c>
      <c r="E557" s="48" t="str">
        <f>IF(A557="","",SUMIFS(Sales!$H:$H,Sales!$F:$F,A557,Sales!$B:$B,"&lt;&gt;Return"))</f>
        <v/>
      </c>
      <c r="F557" s="48" t="str">
        <f>IF(A557="","",SUMIFS(Sales!$H:$H,Sales!$F:$F,A557,Sales!$B:$B,"Return"))</f>
        <v/>
      </c>
      <c r="G557" s="48" t="str">
        <f>IF($A557="","",SUMIF('Shop Ledger'!$C:$C,$A557,'Shop Ledger'!$F:$F))</f>
        <v/>
      </c>
      <c r="H557" s="48" t="str">
        <f t="shared" si="1"/>
        <v/>
      </c>
      <c r="I557" s="44" t="str">
        <f>IF(A557="","",IFERROR(SUMIF(Purchases!$D:$D,A557,Purchases!$I:$I)/D557,0))</f>
        <v/>
      </c>
      <c r="J557" s="44" t="str">
        <f t="shared" si="2"/>
        <v/>
      </c>
      <c r="K557" s="30" t="str">
        <f>IF($A557="","",IFERROR(VALUE(SUBSTITUTE(SUBSTITUTE(SUBSTITUTE(VLOOKUP($A557,Inventory!$O$5:$P$604,2,FALSE),"Tk","")," ",""),",","")),""))</f>
        <v/>
      </c>
      <c r="L557" s="58" t="str">
        <f t="shared" si="3"/>
        <v/>
      </c>
      <c r="M557" s="58" t="str">
        <f t="shared" si="4"/>
        <v/>
      </c>
      <c r="O557" s="59" t="str">
        <f t="shared" si="5"/>
        <v/>
      </c>
      <c r="P557" s="52"/>
    </row>
    <row r="558" ht="15.75" customHeight="1">
      <c r="A558" s="29" t="str">
        <f t="array" ref="A558">IFERROR(INDEX(Purchases!$D$5:$D$1004,MATCH(ROW()-4,Purchases!$L$5:$L$1004,0)),"")</f>
        <v/>
      </c>
      <c r="B558" s="48" t="str">
        <f>IFERROR(VLOOKUP(A558,Purchases!$D:$E,2,FALSE),"")</f>
        <v/>
      </c>
      <c r="C558" s="48" t="str">
        <f>IFERROR(VLOOKUP(A558,Purchases!$D:$F,3,FALSE),"")</f>
        <v/>
      </c>
      <c r="D558" s="48" t="str">
        <f>IF(A558="","",SUMIF(Purchases!$D:$D,A558,Purchases!$K:$K))</f>
        <v/>
      </c>
      <c r="E558" s="48" t="str">
        <f>IF(A558="","",SUMIFS(Sales!$H:$H,Sales!$F:$F,A558,Sales!$B:$B,"&lt;&gt;Return"))</f>
        <v/>
      </c>
      <c r="F558" s="48" t="str">
        <f>IF(A558="","",SUMIFS(Sales!$H:$H,Sales!$F:$F,A558,Sales!$B:$B,"Return"))</f>
        <v/>
      </c>
      <c r="G558" s="48" t="str">
        <f>IF($A558="","",SUMIF('Shop Ledger'!$C:$C,$A558,'Shop Ledger'!$F:$F))</f>
        <v/>
      </c>
      <c r="H558" s="48" t="str">
        <f t="shared" si="1"/>
        <v/>
      </c>
      <c r="I558" s="44" t="str">
        <f>IF(A558="","",IFERROR(SUMIF(Purchases!$D:$D,A558,Purchases!$I:$I)/D558,0))</f>
        <v/>
      </c>
      <c r="J558" s="44" t="str">
        <f t="shared" si="2"/>
        <v/>
      </c>
      <c r="K558" s="30" t="str">
        <f>IF($A558="","",IFERROR(VALUE(SUBSTITUTE(SUBSTITUTE(SUBSTITUTE(VLOOKUP($A558,Inventory!$O$5:$P$604,2,FALSE),"Tk","")," ",""),",","")),""))</f>
        <v/>
      </c>
      <c r="L558" s="58" t="str">
        <f t="shared" si="3"/>
        <v/>
      </c>
      <c r="M558" s="58" t="str">
        <f t="shared" si="4"/>
        <v/>
      </c>
      <c r="O558" s="59" t="str">
        <f t="shared" si="5"/>
        <v/>
      </c>
      <c r="P558" s="52"/>
    </row>
    <row r="559" ht="15.75" customHeight="1">
      <c r="A559" s="29" t="str">
        <f t="array" ref="A559">IFERROR(INDEX(Purchases!$D$5:$D$1004,MATCH(ROW()-4,Purchases!$L$5:$L$1004,0)),"")</f>
        <v/>
      </c>
      <c r="B559" s="48" t="str">
        <f>IFERROR(VLOOKUP(A559,Purchases!$D:$E,2,FALSE),"")</f>
        <v/>
      </c>
      <c r="C559" s="48" t="str">
        <f>IFERROR(VLOOKUP(A559,Purchases!$D:$F,3,FALSE),"")</f>
        <v/>
      </c>
      <c r="D559" s="48" t="str">
        <f>IF(A559="","",SUMIF(Purchases!$D:$D,A559,Purchases!$K:$K))</f>
        <v/>
      </c>
      <c r="E559" s="48" t="str">
        <f>IF(A559="","",SUMIFS(Sales!$H:$H,Sales!$F:$F,A559,Sales!$B:$B,"&lt;&gt;Return"))</f>
        <v/>
      </c>
      <c r="F559" s="48" t="str">
        <f>IF(A559="","",SUMIFS(Sales!$H:$H,Sales!$F:$F,A559,Sales!$B:$B,"Return"))</f>
        <v/>
      </c>
      <c r="G559" s="48" t="str">
        <f>IF($A559="","",SUMIF('Shop Ledger'!$C:$C,$A559,'Shop Ledger'!$F:$F))</f>
        <v/>
      </c>
      <c r="H559" s="48" t="str">
        <f t="shared" si="1"/>
        <v/>
      </c>
      <c r="I559" s="44" t="str">
        <f>IF(A559="","",IFERROR(SUMIF(Purchases!$D:$D,A559,Purchases!$I:$I)/D559,0))</f>
        <v/>
      </c>
      <c r="J559" s="44" t="str">
        <f t="shared" si="2"/>
        <v/>
      </c>
      <c r="K559" s="30" t="str">
        <f>IF($A559="","",IFERROR(VALUE(SUBSTITUTE(SUBSTITUTE(SUBSTITUTE(VLOOKUP($A559,Inventory!$O$5:$P$604,2,FALSE),"Tk","")," ",""),",","")),""))</f>
        <v/>
      </c>
      <c r="L559" s="58" t="str">
        <f t="shared" si="3"/>
        <v/>
      </c>
      <c r="M559" s="58" t="str">
        <f t="shared" si="4"/>
        <v/>
      </c>
      <c r="O559" s="59" t="str">
        <f t="shared" si="5"/>
        <v/>
      </c>
      <c r="P559" s="52"/>
    </row>
    <row r="560" ht="15.75" customHeight="1">
      <c r="A560" s="29" t="str">
        <f t="array" ref="A560">IFERROR(INDEX(Purchases!$D$5:$D$1004,MATCH(ROW()-4,Purchases!$L$5:$L$1004,0)),"")</f>
        <v/>
      </c>
      <c r="B560" s="48" t="str">
        <f>IFERROR(VLOOKUP(A560,Purchases!$D:$E,2,FALSE),"")</f>
        <v/>
      </c>
      <c r="C560" s="48" t="str">
        <f>IFERROR(VLOOKUP(A560,Purchases!$D:$F,3,FALSE),"")</f>
        <v/>
      </c>
      <c r="D560" s="48" t="str">
        <f>IF(A560="","",SUMIF(Purchases!$D:$D,A560,Purchases!$K:$K))</f>
        <v/>
      </c>
      <c r="E560" s="48" t="str">
        <f>IF(A560="","",SUMIFS(Sales!$H:$H,Sales!$F:$F,A560,Sales!$B:$B,"&lt;&gt;Return"))</f>
        <v/>
      </c>
      <c r="F560" s="48" t="str">
        <f>IF(A560="","",SUMIFS(Sales!$H:$H,Sales!$F:$F,A560,Sales!$B:$B,"Return"))</f>
        <v/>
      </c>
      <c r="G560" s="48" t="str">
        <f>IF($A560="","",SUMIF('Shop Ledger'!$C:$C,$A560,'Shop Ledger'!$F:$F))</f>
        <v/>
      </c>
      <c r="H560" s="48" t="str">
        <f t="shared" si="1"/>
        <v/>
      </c>
      <c r="I560" s="44" t="str">
        <f>IF(A560="","",IFERROR(SUMIF(Purchases!$D:$D,A560,Purchases!$I:$I)/D560,0))</f>
        <v/>
      </c>
      <c r="J560" s="44" t="str">
        <f t="shared" si="2"/>
        <v/>
      </c>
      <c r="K560" s="30" t="str">
        <f>IF($A560="","",IFERROR(VALUE(SUBSTITUTE(SUBSTITUTE(SUBSTITUTE(VLOOKUP($A560,Inventory!$O$5:$P$604,2,FALSE),"Tk","")," ",""),",","")),""))</f>
        <v/>
      </c>
      <c r="L560" s="58" t="str">
        <f t="shared" si="3"/>
        <v/>
      </c>
      <c r="M560" s="58" t="str">
        <f t="shared" si="4"/>
        <v/>
      </c>
      <c r="O560" s="59" t="str">
        <f t="shared" si="5"/>
        <v/>
      </c>
      <c r="P560" s="52"/>
    </row>
    <row r="561" ht="15.75" customHeight="1">
      <c r="A561" s="29" t="str">
        <f t="array" ref="A561">IFERROR(INDEX(Purchases!$D$5:$D$1004,MATCH(ROW()-4,Purchases!$L$5:$L$1004,0)),"")</f>
        <v/>
      </c>
      <c r="B561" s="48" t="str">
        <f>IFERROR(VLOOKUP(A561,Purchases!$D:$E,2,FALSE),"")</f>
        <v/>
      </c>
      <c r="C561" s="48" t="str">
        <f>IFERROR(VLOOKUP(A561,Purchases!$D:$F,3,FALSE),"")</f>
        <v/>
      </c>
      <c r="D561" s="48" t="str">
        <f>IF(A561="","",SUMIF(Purchases!$D:$D,A561,Purchases!$K:$K))</f>
        <v/>
      </c>
      <c r="E561" s="48" t="str">
        <f>IF(A561="","",SUMIFS(Sales!$H:$H,Sales!$F:$F,A561,Sales!$B:$B,"&lt;&gt;Return"))</f>
        <v/>
      </c>
      <c r="F561" s="48" t="str">
        <f>IF(A561="","",SUMIFS(Sales!$H:$H,Sales!$F:$F,A561,Sales!$B:$B,"Return"))</f>
        <v/>
      </c>
      <c r="G561" s="48" t="str">
        <f>IF($A561="","",SUMIF('Shop Ledger'!$C:$C,$A561,'Shop Ledger'!$F:$F))</f>
        <v/>
      </c>
      <c r="H561" s="48" t="str">
        <f t="shared" si="1"/>
        <v/>
      </c>
      <c r="I561" s="44" t="str">
        <f>IF(A561="","",IFERROR(SUMIF(Purchases!$D:$D,A561,Purchases!$I:$I)/D561,0))</f>
        <v/>
      </c>
      <c r="J561" s="44" t="str">
        <f t="shared" si="2"/>
        <v/>
      </c>
      <c r="K561" s="30" t="str">
        <f>IF($A561="","",IFERROR(VALUE(SUBSTITUTE(SUBSTITUTE(SUBSTITUTE(VLOOKUP($A561,Inventory!$O$5:$P$604,2,FALSE),"Tk","")," ",""),",","")),""))</f>
        <v/>
      </c>
      <c r="L561" s="58" t="str">
        <f t="shared" si="3"/>
        <v/>
      </c>
      <c r="M561" s="58" t="str">
        <f t="shared" si="4"/>
        <v/>
      </c>
      <c r="O561" s="59" t="str">
        <f t="shared" si="5"/>
        <v/>
      </c>
      <c r="P561" s="52"/>
    </row>
    <row r="562" ht="15.75" customHeight="1">
      <c r="A562" s="29" t="str">
        <f t="array" ref="A562">IFERROR(INDEX(Purchases!$D$5:$D$1004,MATCH(ROW()-4,Purchases!$L$5:$L$1004,0)),"")</f>
        <v/>
      </c>
      <c r="B562" s="48" t="str">
        <f>IFERROR(VLOOKUP(A562,Purchases!$D:$E,2,FALSE),"")</f>
        <v/>
      </c>
      <c r="C562" s="48" t="str">
        <f>IFERROR(VLOOKUP(A562,Purchases!$D:$F,3,FALSE),"")</f>
        <v/>
      </c>
      <c r="D562" s="48" t="str">
        <f>IF(A562="","",SUMIF(Purchases!$D:$D,A562,Purchases!$K:$K))</f>
        <v/>
      </c>
      <c r="E562" s="48" t="str">
        <f>IF(A562="","",SUMIFS(Sales!$H:$H,Sales!$F:$F,A562,Sales!$B:$B,"&lt;&gt;Return"))</f>
        <v/>
      </c>
      <c r="F562" s="48" t="str">
        <f>IF(A562="","",SUMIFS(Sales!$H:$H,Sales!$F:$F,A562,Sales!$B:$B,"Return"))</f>
        <v/>
      </c>
      <c r="G562" s="48" t="str">
        <f>IF($A562="","",SUMIF('Shop Ledger'!$C:$C,$A562,'Shop Ledger'!$F:$F))</f>
        <v/>
      </c>
      <c r="H562" s="48" t="str">
        <f t="shared" si="1"/>
        <v/>
      </c>
      <c r="I562" s="44" t="str">
        <f>IF(A562="","",IFERROR(SUMIF(Purchases!$D:$D,A562,Purchases!$I:$I)/D562,0))</f>
        <v/>
      </c>
      <c r="J562" s="44" t="str">
        <f t="shared" si="2"/>
        <v/>
      </c>
      <c r="K562" s="30" t="str">
        <f>IF($A562="","",IFERROR(VALUE(SUBSTITUTE(SUBSTITUTE(SUBSTITUTE(VLOOKUP($A562,Inventory!$O$5:$P$604,2,FALSE),"Tk","")," ",""),",","")),""))</f>
        <v/>
      </c>
      <c r="L562" s="58" t="str">
        <f t="shared" si="3"/>
        <v/>
      </c>
      <c r="M562" s="58" t="str">
        <f t="shared" si="4"/>
        <v/>
      </c>
      <c r="O562" s="59" t="str">
        <f t="shared" si="5"/>
        <v/>
      </c>
      <c r="P562" s="52"/>
    </row>
    <row r="563" ht="15.75" customHeight="1">
      <c r="A563" s="29" t="str">
        <f t="array" ref="A563">IFERROR(INDEX(Purchases!$D$5:$D$1004,MATCH(ROW()-4,Purchases!$L$5:$L$1004,0)),"")</f>
        <v/>
      </c>
      <c r="B563" s="48" t="str">
        <f>IFERROR(VLOOKUP(A563,Purchases!$D:$E,2,FALSE),"")</f>
        <v/>
      </c>
      <c r="C563" s="48" t="str">
        <f>IFERROR(VLOOKUP(A563,Purchases!$D:$F,3,FALSE),"")</f>
        <v/>
      </c>
      <c r="D563" s="48" t="str">
        <f>IF(A563="","",SUMIF(Purchases!$D:$D,A563,Purchases!$K:$K))</f>
        <v/>
      </c>
      <c r="E563" s="48" t="str">
        <f>IF(A563="","",SUMIFS(Sales!$H:$H,Sales!$F:$F,A563,Sales!$B:$B,"&lt;&gt;Return"))</f>
        <v/>
      </c>
      <c r="F563" s="48" t="str">
        <f>IF(A563="","",SUMIFS(Sales!$H:$H,Sales!$F:$F,A563,Sales!$B:$B,"Return"))</f>
        <v/>
      </c>
      <c r="G563" s="48" t="str">
        <f>IF($A563="","",SUMIF('Shop Ledger'!$C:$C,$A563,'Shop Ledger'!$F:$F))</f>
        <v/>
      </c>
      <c r="H563" s="48" t="str">
        <f t="shared" si="1"/>
        <v/>
      </c>
      <c r="I563" s="44" t="str">
        <f>IF(A563="","",IFERROR(SUMIF(Purchases!$D:$D,A563,Purchases!$I:$I)/D563,0))</f>
        <v/>
      </c>
      <c r="J563" s="44" t="str">
        <f t="shared" si="2"/>
        <v/>
      </c>
      <c r="K563" s="30" t="str">
        <f>IF($A563="","",IFERROR(VALUE(SUBSTITUTE(SUBSTITUTE(SUBSTITUTE(VLOOKUP($A563,Inventory!$O$5:$P$604,2,FALSE),"Tk","")," ",""),",","")),""))</f>
        <v/>
      </c>
      <c r="L563" s="58" t="str">
        <f t="shared" si="3"/>
        <v/>
      </c>
      <c r="M563" s="58" t="str">
        <f t="shared" si="4"/>
        <v/>
      </c>
      <c r="O563" s="59" t="str">
        <f t="shared" si="5"/>
        <v/>
      </c>
      <c r="P563" s="52"/>
    </row>
    <row r="564" ht="15.75" customHeight="1">
      <c r="A564" s="29" t="str">
        <f t="array" ref="A564">IFERROR(INDEX(Purchases!$D$5:$D$1004,MATCH(ROW()-4,Purchases!$L$5:$L$1004,0)),"")</f>
        <v/>
      </c>
      <c r="B564" s="48" t="str">
        <f>IFERROR(VLOOKUP(A564,Purchases!$D:$E,2,FALSE),"")</f>
        <v/>
      </c>
      <c r="C564" s="48" t="str">
        <f>IFERROR(VLOOKUP(A564,Purchases!$D:$F,3,FALSE),"")</f>
        <v/>
      </c>
      <c r="D564" s="48" t="str">
        <f>IF(A564="","",SUMIF(Purchases!$D:$D,A564,Purchases!$K:$K))</f>
        <v/>
      </c>
      <c r="E564" s="48" t="str">
        <f>IF(A564="","",SUMIFS(Sales!$H:$H,Sales!$F:$F,A564,Sales!$B:$B,"&lt;&gt;Return"))</f>
        <v/>
      </c>
      <c r="F564" s="48" t="str">
        <f>IF(A564="","",SUMIFS(Sales!$H:$H,Sales!$F:$F,A564,Sales!$B:$B,"Return"))</f>
        <v/>
      </c>
      <c r="G564" s="48" t="str">
        <f>IF($A564="","",SUMIF('Shop Ledger'!$C:$C,$A564,'Shop Ledger'!$F:$F))</f>
        <v/>
      </c>
      <c r="H564" s="48" t="str">
        <f t="shared" si="1"/>
        <v/>
      </c>
      <c r="I564" s="44" t="str">
        <f>IF(A564="","",IFERROR(SUMIF(Purchases!$D:$D,A564,Purchases!$I:$I)/D564,0))</f>
        <v/>
      </c>
      <c r="J564" s="44" t="str">
        <f t="shared" si="2"/>
        <v/>
      </c>
      <c r="K564" s="30" t="str">
        <f>IF($A564="","",IFERROR(VALUE(SUBSTITUTE(SUBSTITUTE(SUBSTITUTE(VLOOKUP($A564,Inventory!$O$5:$P$604,2,FALSE),"Tk","")," ",""),",","")),""))</f>
        <v/>
      </c>
      <c r="L564" s="58" t="str">
        <f t="shared" si="3"/>
        <v/>
      </c>
      <c r="M564" s="58" t="str">
        <f t="shared" si="4"/>
        <v/>
      </c>
      <c r="O564" s="59" t="str">
        <f t="shared" si="5"/>
        <v/>
      </c>
      <c r="P564" s="52"/>
    </row>
    <row r="565" ht="15.75" customHeight="1">
      <c r="A565" s="29" t="str">
        <f t="array" ref="A565">IFERROR(INDEX(Purchases!$D$5:$D$1004,MATCH(ROW()-4,Purchases!$L$5:$L$1004,0)),"")</f>
        <v/>
      </c>
      <c r="B565" s="48" t="str">
        <f>IFERROR(VLOOKUP(A565,Purchases!$D:$E,2,FALSE),"")</f>
        <v/>
      </c>
      <c r="C565" s="48" t="str">
        <f>IFERROR(VLOOKUP(A565,Purchases!$D:$F,3,FALSE),"")</f>
        <v/>
      </c>
      <c r="D565" s="48" t="str">
        <f>IF(A565="","",SUMIF(Purchases!$D:$D,A565,Purchases!$K:$K))</f>
        <v/>
      </c>
      <c r="E565" s="48" t="str">
        <f>IF(A565="","",SUMIFS(Sales!$H:$H,Sales!$F:$F,A565,Sales!$B:$B,"&lt;&gt;Return"))</f>
        <v/>
      </c>
      <c r="F565" s="48" t="str">
        <f>IF(A565="","",SUMIFS(Sales!$H:$H,Sales!$F:$F,A565,Sales!$B:$B,"Return"))</f>
        <v/>
      </c>
      <c r="G565" s="48" t="str">
        <f>IF($A565="","",SUMIF('Shop Ledger'!$C:$C,$A565,'Shop Ledger'!$F:$F))</f>
        <v/>
      </c>
      <c r="H565" s="48" t="str">
        <f t="shared" si="1"/>
        <v/>
      </c>
      <c r="I565" s="44" t="str">
        <f>IF(A565="","",IFERROR(SUMIF(Purchases!$D:$D,A565,Purchases!$I:$I)/D565,0))</f>
        <v/>
      </c>
      <c r="J565" s="44" t="str">
        <f t="shared" si="2"/>
        <v/>
      </c>
      <c r="K565" s="30" t="str">
        <f>IF($A565="","",IFERROR(VALUE(SUBSTITUTE(SUBSTITUTE(SUBSTITUTE(VLOOKUP($A565,Inventory!$O$5:$P$604,2,FALSE),"Tk","")," ",""),",","")),""))</f>
        <v/>
      </c>
      <c r="L565" s="58" t="str">
        <f t="shared" si="3"/>
        <v/>
      </c>
      <c r="M565" s="58" t="str">
        <f t="shared" si="4"/>
        <v/>
      </c>
      <c r="O565" s="59" t="str">
        <f t="shared" si="5"/>
        <v/>
      </c>
      <c r="P565" s="52"/>
    </row>
    <row r="566" ht="15.75" customHeight="1">
      <c r="A566" s="29" t="str">
        <f t="array" ref="A566">IFERROR(INDEX(Purchases!$D$5:$D$1004,MATCH(ROW()-4,Purchases!$L$5:$L$1004,0)),"")</f>
        <v/>
      </c>
      <c r="B566" s="48" t="str">
        <f>IFERROR(VLOOKUP(A566,Purchases!$D:$E,2,FALSE),"")</f>
        <v/>
      </c>
      <c r="C566" s="48" t="str">
        <f>IFERROR(VLOOKUP(A566,Purchases!$D:$F,3,FALSE),"")</f>
        <v/>
      </c>
      <c r="D566" s="48" t="str">
        <f>IF(A566="","",SUMIF(Purchases!$D:$D,A566,Purchases!$K:$K))</f>
        <v/>
      </c>
      <c r="E566" s="48" t="str">
        <f>IF(A566="","",SUMIFS(Sales!$H:$H,Sales!$F:$F,A566,Sales!$B:$B,"&lt;&gt;Return"))</f>
        <v/>
      </c>
      <c r="F566" s="48" t="str">
        <f>IF(A566="","",SUMIFS(Sales!$H:$H,Sales!$F:$F,A566,Sales!$B:$B,"Return"))</f>
        <v/>
      </c>
      <c r="G566" s="48" t="str">
        <f>IF($A566="","",SUMIF('Shop Ledger'!$C:$C,$A566,'Shop Ledger'!$F:$F))</f>
        <v/>
      </c>
      <c r="H566" s="48" t="str">
        <f t="shared" si="1"/>
        <v/>
      </c>
      <c r="I566" s="44" t="str">
        <f>IF(A566="","",IFERROR(SUMIF(Purchases!$D:$D,A566,Purchases!$I:$I)/D566,0))</f>
        <v/>
      </c>
      <c r="J566" s="44" t="str">
        <f t="shared" si="2"/>
        <v/>
      </c>
      <c r="K566" s="30" t="str">
        <f>IF($A566="","",IFERROR(VALUE(SUBSTITUTE(SUBSTITUTE(SUBSTITUTE(VLOOKUP($A566,Inventory!$O$5:$P$604,2,FALSE),"Tk","")," ",""),",","")),""))</f>
        <v/>
      </c>
      <c r="L566" s="58" t="str">
        <f t="shared" si="3"/>
        <v/>
      </c>
      <c r="M566" s="58" t="str">
        <f t="shared" si="4"/>
        <v/>
      </c>
      <c r="O566" s="59" t="str">
        <f t="shared" si="5"/>
        <v/>
      </c>
      <c r="P566" s="52"/>
    </row>
    <row r="567" ht="15.75" customHeight="1">
      <c r="A567" s="29" t="str">
        <f t="array" ref="A567">IFERROR(INDEX(Purchases!$D$5:$D$1004,MATCH(ROW()-4,Purchases!$L$5:$L$1004,0)),"")</f>
        <v/>
      </c>
      <c r="B567" s="48" t="str">
        <f>IFERROR(VLOOKUP(A567,Purchases!$D:$E,2,FALSE),"")</f>
        <v/>
      </c>
      <c r="C567" s="48" t="str">
        <f>IFERROR(VLOOKUP(A567,Purchases!$D:$F,3,FALSE),"")</f>
        <v/>
      </c>
      <c r="D567" s="48" t="str">
        <f>IF(A567="","",SUMIF(Purchases!$D:$D,A567,Purchases!$K:$K))</f>
        <v/>
      </c>
      <c r="E567" s="48" t="str">
        <f>IF(A567="","",SUMIFS(Sales!$H:$H,Sales!$F:$F,A567,Sales!$B:$B,"&lt;&gt;Return"))</f>
        <v/>
      </c>
      <c r="F567" s="48" t="str">
        <f>IF(A567="","",SUMIFS(Sales!$H:$H,Sales!$F:$F,A567,Sales!$B:$B,"Return"))</f>
        <v/>
      </c>
      <c r="G567" s="48" t="str">
        <f>IF($A567="","",SUMIF('Shop Ledger'!$C:$C,$A567,'Shop Ledger'!$F:$F))</f>
        <v/>
      </c>
      <c r="H567" s="48" t="str">
        <f t="shared" si="1"/>
        <v/>
      </c>
      <c r="I567" s="44" t="str">
        <f>IF(A567="","",IFERROR(SUMIF(Purchases!$D:$D,A567,Purchases!$I:$I)/D567,0))</f>
        <v/>
      </c>
      <c r="J567" s="44" t="str">
        <f t="shared" si="2"/>
        <v/>
      </c>
      <c r="K567" s="30" t="str">
        <f>IF($A567="","",IFERROR(VALUE(SUBSTITUTE(SUBSTITUTE(SUBSTITUTE(VLOOKUP($A567,Inventory!$O$5:$P$604,2,FALSE),"Tk","")," ",""),",","")),""))</f>
        <v/>
      </c>
      <c r="L567" s="58" t="str">
        <f t="shared" si="3"/>
        <v/>
      </c>
      <c r="M567" s="58" t="str">
        <f t="shared" si="4"/>
        <v/>
      </c>
      <c r="O567" s="59" t="str">
        <f t="shared" si="5"/>
        <v/>
      </c>
      <c r="P567" s="52"/>
    </row>
    <row r="568" ht="15.75" customHeight="1">
      <c r="A568" s="29" t="str">
        <f t="array" ref="A568">IFERROR(INDEX(Purchases!$D$5:$D$1004,MATCH(ROW()-4,Purchases!$L$5:$L$1004,0)),"")</f>
        <v/>
      </c>
      <c r="B568" s="48" t="str">
        <f>IFERROR(VLOOKUP(A568,Purchases!$D:$E,2,FALSE),"")</f>
        <v/>
      </c>
      <c r="C568" s="48" t="str">
        <f>IFERROR(VLOOKUP(A568,Purchases!$D:$F,3,FALSE),"")</f>
        <v/>
      </c>
      <c r="D568" s="48" t="str">
        <f>IF(A568="","",SUMIF(Purchases!$D:$D,A568,Purchases!$K:$K))</f>
        <v/>
      </c>
      <c r="E568" s="48" t="str">
        <f>IF(A568="","",SUMIFS(Sales!$H:$H,Sales!$F:$F,A568,Sales!$B:$B,"&lt;&gt;Return"))</f>
        <v/>
      </c>
      <c r="F568" s="48" t="str">
        <f>IF(A568="","",SUMIFS(Sales!$H:$H,Sales!$F:$F,A568,Sales!$B:$B,"Return"))</f>
        <v/>
      </c>
      <c r="G568" s="48" t="str">
        <f>IF($A568="","",SUMIF('Shop Ledger'!$C:$C,$A568,'Shop Ledger'!$F:$F))</f>
        <v/>
      </c>
      <c r="H568" s="48" t="str">
        <f t="shared" si="1"/>
        <v/>
      </c>
      <c r="I568" s="44" t="str">
        <f>IF(A568="","",IFERROR(SUMIF(Purchases!$D:$D,A568,Purchases!$I:$I)/D568,0))</f>
        <v/>
      </c>
      <c r="J568" s="44" t="str">
        <f t="shared" si="2"/>
        <v/>
      </c>
      <c r="K568" s="30" t="str">
        <f>IF($A568="","",IFERROR(VALUE(SUBSTITUTE(SUBSTITUTE(SUBSTITUTE(VLOOKUP($A568,Inventory!$O$5:$P$604,2,FALSE),"Tk","")," ",""),",","")),""))</f>
        <v/>
      </c>
      <c r="L568" s="58" t="str">
        <f t="shared" si="3"/>
        <v/>
      </c>
      <c r="M568" s="58" t="str">
        <f t="shared" si="4"/>
        <v/>
      </c>
      <c r="O568" s="59" t="str">
        <f t="shared" si="5"/>
        <v/>
      </c>
      <c r="P568" s="52"/>
    </row>
    <row r="569" ht="15.75" customHeight="1">
      <c r="A569" s="29" t="str">
        <f t="array" ref="A569">IFERROR(INDEX(Purchases!$D$5:$D$1004,MATCH(ROW()-4,Purchases!$L$5:$L$1004,0)),"")</f>
        <v/>
      </c>
      <c r="B569" s="48" t="str">
        <f>IFERROR(VLOOKUP(A569,Purchases!$D:$E,2,FALSE),"")</f>
        <v/>
      </c>
      <c r="C569" s="48" t="str">
        <f>IFERROR(VLOOKUP(A569,Purchases!$D:$F,3,FALSE),"")</f>
        <v/>
      </c>
      <c r="D569" s="48" t="str">
        <f>IF(A569="","",SUMIF(Purchases!$D:$D,A569,Purchases!$K:$K))</f>
        <v/>
      </c>
      <c r="E569" s="48" t="str">
        <f>IF(A569="","",SUMIFS(Sales!$H:$H,Sales!$F:$F,A569,Sales!$B:$B,"&lt;&gt;Return"))</f>
        <v/>
      </c>
      <c r="F569" s="48" t="str">
        <f>IF(A569="","",SUMIFS(Sales!$H:$H,Sales!$F:$F,A569,Sales!$B:$B,"Return"))</f>
        <v/>
      </c>
      <c r="G569" s="48" t="str">
        <f>IF($A569="","",SUMIF('Shop Ledger'!$C:$C,$A569,'Shop Ledger'!$F:$F))</f>
        <v/>
      </c>
      <c r="H569" s="48" t="str">
        <f t="shared" si="1"/>
        <v/>
      </c>
      <c r="I569" s="44" t="str">
        <f>IF(A569="","",IFERROR(SUMIF(Purchases!$D:$D,A569,Purchases!$I:$I)/D569,0))</f>
        <v/>
      </c>
      <c r="J569" s="44" t="str">
        <f t="shared" si="2"/>
        <v/>
      </c>
      <c r="K569" s="30" t="str">
        <f>IF($A569="","",IFERROR(VALUE(SUBSTITUTE(SUBSTITUTE(SUBSTITUTE(VLOOKUP($A569,Inventory!$O$5:$P$604,2,FALSE),"Tk","")," ",""),",","")),""))</f>
        <v/>
      </c>
      <c r="L569" s="58" t="str">
        <f t="shared" si="3"/>
        <v/>
      </c>
      <c r="M569" s="58" t="str">
        <f t="shared" si="4"/>
        <v/>
      </c>
      <c r="O569" s="59" t="str">
        <f t="shared" si="5"/>
        <v/>
      </c>
      <c r="P569" s="52"/>
    </row>
    <row r="570" ht="15.75" customHeight="1">
      <c r="A570" s="29" t="str">
        <f t="array" ref="A570">IFERROR(INDEX(Purchases!$D$5:$D$1004,MATCH(ROW()-4,Purchases!$L$5:$L$1004,0)),"")</f>
        <v/>
      </c>
      <c r="B570" s="48" t="str">
        <f>IFERROR(VLOOKUP(A570,Purchases!$D:$E,2,FALSE),"")</f>
        <v/>
      </c>
      <c r="C570" s="48" t="str">
        <f>IFERROR(VLOOKUP(A570,Purchases!$D:$F,3,FALSE),"")</f>
        <v/>
      </c>
      <c r="D570" s="48" t="str">
        <f>IF(A570="","",SUMIF(Purchases!$D:$D,A570,Purchases!$K:$K))</f>
        <v/>
      </c>
      <c r="E570" s="48" t="str">
        <f>IF(A570="","",SUMIFS(Sales!$H:$H,Sales!$F:$F,A570,Sales!$B:$B,"&lt;&gt;Return"))</f>
        <v/>
      </c>
      <c r="F570" s="48" t="str">
        <f>IF(A570="","",SUMIFS(Sales!$H:$H,Sales!$F:$F,A570,Sales!$B:$B,"Return"))</f>
        <v/>
      </c>
      <c r="G570" s="48" t="str">
        <f>IF($A570="","",SUMIF('Shop Ledger'!$C:$C,$A570,'Shop Ledger'!$F:$F))</f>
        <v/>
      </c>
      <c r="H570" s="48" t="str">
        <f t="shared" si="1"/>
        <v/>
      </c>
      <c r="I570" s="44" t="str">
        <f>IF(A570="","",IFERROR(SUMIF(Purchases!$D:$D,A570,Purchases!$I:$I)/D570,0))</f>
        <v/>
      </c>
      <c r="J570" s="44" t="str">
        <f t="shared" si="2"/>
        <v/>
      </c>
      <c r="K570" s="30" t="str">
        <f>IF($A570="","",IFERROR(VALUE(SUBSTITUTE(SUBSTITUTE(SUBSTITUTE(VLOOKUP($A570,Inventory!$O$5:$P$604,2,FALSE),"Tk","")," ",""),",","")),""))</f>
        <v/>
      </c>
      <c r="L570" s="58" t="str">
        <f t="shared" si="3"/>
        <v/>
      </c>
      <c r="M570" s="58" t="str">
        <f t="shared" si="4"/>
        <v/>
      </c>
      <c r="O570" s="59" t="str">
        <f t="shared" si="5"/>
        <v/>
      </c>
      <c r="P570" s="52"/>
    </row>
    <row r="571" ht="15.75" customHeight="1">
      <c r="A571" s="29" t="str">
        <f t="array" ref="A571">IFERROR(INDEX(Purchases!$D$5:$D$1004,MATCH(ROW()-4,Purchases!$L$5:$L$1004,0)),"")</f>
        <v/>
      </c>
      <c r="B571" s="48" t="str">
        <f>IFERROR(VLOOKUP(A571,Purchases!$D:$E,2,FALSE),"")</f>
        <v/>
      </c>
      <c r="C571" s="48" t="str">
        <f>IFERROR(VLOOKUP(A571,Purchases!$D:$F,3,FALSE),"")</f>
        <v/>
      </c>
      <c r="D571" s="48" t="str">
        <f>IF(A571="","",SUMIF(Purchases!$D:$D,A571,Purchases!$K:$K))</f>
        <v/>
      </c>
      <c r="E571" s="48" t="str">
        <f>IF(A571="","",SUMIFS(Sales!$H:$H,Sales!$F:$F,A571,Sales!$B:$B,"&lt;&gt;Return"))</f>
        <v/>
      </c>
      <c r="F571" s="48" t="str">
        <f>IF(A571="","",SUMIFS(Sales!$H:$H,Sales!$F:$F,A571,Sales!$B:$B,"Return"))</f>
        <v/>
      </c>
      <c r="G571" s="48" t="str">
        <f>IF($A571="","",SUMIF('Shop Ledger'!$C:$C,$A571,'Shop Ledger'!$F:$F))</f>
        <v/>
      </c>
      <c r="H571" s="48" t="str">
        <f t="shared" si="1"/>
        <v/>
      </c>
      <c r="I571" s="44" t="str">
        <f>IF(A571="","",IFERROR(SUMIF(Purchases!$D:$D,A571,Purchases!$I:$I)/D571,0))</f>
        <v/>
      </c>
      <c r="J571" s="44" t="str">
        <f t="shared" si="2"/>
        <v/>
      </c>
      <c r="K571" s="30" t="str">
        <f>IF($A571="","",IFERROR(VALUE(SUBSTITUTE(SUBSTITUTE(SUBSTITUTE(VLOOKUP($A571,Inventory!$O$5:$P$604,2,FALSE),"Tk","")," ",""),",","")),""))</f>
        <v/>
      </c>
      <c r="L571" s="58" t="str">
        <f t="shared" si="3"/>
        <v/>
      </c>
      <c r="M571" s="58" t="str">
        <f t="shared" si="4"/>
        <v/>
      </c>
      <c r="O571" s="59" t="str">
        <f t="shared" si="5"/>
        <v/>
      </c>
      <c r="P571" s="52"/>
    </row>
    <row r="572" ht="15.75" customHeight="1">
      <c r="A572" s="29" t="str">
        <f t="array" ref="A572">IFERROR(INDEX(Purchases!$D$5:$D$1004,MATCH(ROW()-4,Purchases!$L$5:$L$1004,0)),"")</f>
        <v/>
      </c>
      <c r="B572" s="48" t="str">
        <f>IFERROR(VLOOKUP(A572,Purchases!$D:$E,2,FALSE),"")</f>
        <v/>
      </c>
      <c r="C572" s="48" t="str">
        <f>IFERROR(VLOOKUP(A572,Purchases!$D:$F,3,FALSE),"")</f>
        <v/>
      </c>
      <c r="D572" s="48" t="str">
        <f>IF(A572="","",SUMIF(Purchases!$D:$D,A572,Purchases!$K:$K))</f>
        <v/>
      </c>
      <c r="E572" s="48" t="str">
        <f>IF(A572="","",SUMIFS(Sales!$H:$H,Sales!$F:$F,A572,Sales!$B:$B,"&lt;&gt;Return"))</f>
        <v/>
      </c>
      <c r="F572" s="48" t="str">
        <f>IF(A572="","",SUMIFS(Sales!$H:$H,Sales!$F:$F,A572,Sales!$B:$B,"Return"))</f>
        <v/>
      </c>
      <c r="G572" s="48" t="str">
        <f>IF($A572="","",SUMIF('Shop Ledger'!$C:$C,$A572,'Shop Ledger'!$F:$F))</f>
        <v/>
      </c>
      <c r="H572" s="48" t="str">
        <f t="shared" si="1"/>
        <v/>
      </c>
      <c r="I572" s="44" t="str">
        <f>IF(A572="","",IFERROR(SUMIF(Purchases!$D:$D,A572,Purchases!$I:$I)/D572,0))</f>
        <v/>
      </c>
      <c r="J572" s="44" t="str">
        <f t="shared" si="2"/>
        <v/>
      </c>
      <c r="K572" s="30" t="str">
        <f>IF($A572="","",IFERROR(VALUE(SUBSTITUTE(SUBSTITUTE(SUBSTITUTE(VLOOKUP($A572,Inventory!$O$5:$P$604,2,FALSE),"Tk","")," ",""),",","")),""))</f>
        <v/>
      </c>
      <c r="L572" s="58" t="str">
        <f t="shared" si="3"/>
        <v/>
      </c>
      <c r="M572" s="58" t="str">
        <f t="shared" si="4"/>
        <v/>
      </c>
      <c r="O572" s="59" t="str">
        <f t="shared" si="5"/>
        <v/>
      </c>
      <c r="P572" s="52"/>
    </row>
    <row r="573" ht="15.75" customHeight="1">
      <c r="A573" s="29" t="str">
        <f t="array" ref="A573">IFERROR(INDEX(Purchases!$D$5:$D$1004,MATCH(ROW()-4,Purchases!$L$5:$L$1004,0)),"")</f>
        <v/>
      </c>
      <c r="B573" s="48" t="str">
        <f>IFERROR(VLOOKUP(A573,Purchases!$D:$E,2,FALSE),"")</f>
        <v/>
      </c>
      <c r="C573" s="48" t="str">
        <f>IFERROR(VLOOKUP(A573,Purchases!$D:$F,3,FALSE),"")</f>
        <v/>
      </c>
      <c r="D573" s="48" t="str">
        <f>IF(A573="","",SUMIF(Purchases!$D:$D,A573,Purchases!$K:$K))</f>
        <v/>
      </c>
      <c r="E573" s="48" t="str">
        <f>IF(A573="","",SUMIFS(Sales!$H:$H,Sales!$F:$F,A573,Sales!$B:$B,"&lt;&gt;Return"))</f>
        <v/>
      </c>
      <c r="F573" s="48" t="str">
        <f>IF(A573="","",SUMIFS(Sales!$H:$H,Sales!$F:$F,A573,Sales!$B:$B,"Return"))</f>
        <v/>
      </c>
      <c r="G573" s="48" t="str">
        <f>IF($A573="","",SUMIF('Shop Ledger'!$C:$C,$A573,'Shop Ledger'!$F:$F))</f>
        <v/>
      </c>
      <c r="H573" s="48" t="str">
        <f t="shared" si="1"/>
        <v/>
      </c>
      <c r="I573" s="44" t="str">
        <f>IF(A573="","",IFERROR(SUMIF(Purchases!$D:$D,A573,Purchases!$I:$I)/D573,0))</f>
        <v/>
      </c>
      <c r="J573" s="44" t="str">
        <f t="shared" si="2"/>
        <v/>
      </c>
      <c r="K573" s="30" t="str">
        <f>IF($A573="","",IFERROR(VALUE(SUBSTITUTE(SUBSTITUTE(SUBSTITUTE(VLOOKUP($A573,Inventory!$O$5:$P$604,2,FALSE),"Tk","")," ",""),",","")),""))</f>
        <v/>
      </c>
      <c r="L573" s="58" t="str">
        <f t="shared" si="3"/>
        <v/>
      </c>
      <c r="M573" s="58" t="str">
        <f t="shared" si="4"/>
        <v/>
      </c>
      <c r="O573" s="59" t="str">
        <f t="shared" si="5"/>
        <v/>
      </c>
      <c r="P573" s="52"/>
    </row>
    <row r="574" ht="15.75" customHeight="1">
      <c r="A574" s="29" t="str">
        <f t="array" ref="A574">IFERROR(INDEX(Purchases!$D$5:$D$1004,MATCH(ROW()-4,Purchases!$L$5:$L$1004,0)),"")</f>
        <v/>
      </c>
      <c r="B574" s="48" t="str">
        <f>IFERROR(VLOOKUP(A574,Purchases!$D:$E,2,FALSE),"")</f>
        <v/>
      </c>
      <c r="C574" s="48" t="str">
        <f>IFERROR(VLOOKUP(A574,Purchases!$D:$F,3,FALSE),"")</f>
        <v/>
      </c>
      <c r="D574" s="48" t="str">
        <f>IF(A574="","",SUMIF(Purchases!$D:$D,A574,Purchases!$K:$K))</f>
        <v/>
      </c>
      <c r="E574" s="48" t="str">
        <f>IF(A574="","",SUMIFS(Sales!$H:$H,Sales!$F:$F,A574,Sales!$B:$B,"&lt;&gt;Return"))</f>
        <v/>
      </c>
      <c r="F574" s="48" t="str">
        <f>IF(A574="","",SUMIFS(Sales!$H:$H,Sales!$F:$F,A574,Sales!$B:$B,"Return"))</f>
        <v/>
      </c>
      <c r="G574" s="48" t="str">
        <f>IF($A574="","",SUMIF('Shop Ledger'!$C:$C,$A574,'Shop Ledger'!$F:$F))</f>
        <v/>
      </c>
      <c r="H574" s="48" t="str">
        <f t="shared" si="1"/>
        <v/>
      </c>
      <c r="I574" s="44" t="str">
        <f>IF(A574="","",IFERROR(SUMIF(Purchases!$D:$D,A574,Purchases!$I:$I)/D574,0))</f>
        <v/>
      </c>
      <c r="J574" s="44" t="str">
        <f t="shared" si="2"/>
        <v/>
      </c>
      <c r="K574" s="30" t="str">
        <f>IF($A574="","",IFERROR(VALUE(SUBSTITUTE(SUBSTITUTE(SUBSTITUTE(VLOOKUP($A574,Inventory!$O$5:$P$604,2,FALSE),"Tk","")," ",""),",","")),""))</f>
        <v/>
      </c>
      <c r="L574" s="58" t="str">
        <f t="shared" si="3"/>
        <v/>
      </c>
      <c r="M574" s="58" t="str">
        <f t="shared" si="4"/>
        <v/>
      </c>
      <c r="O574" s="59" t="str">
        <f t="shared" si="5"/>
        <v/>
      </c>
      <c r="P574" s="52"/>
    </row>
    <row r="575" ht="15.75" customHeight="1">
      <c r="A575" s="29" t="str">
        <f t="array" ref="A575">IFERROR(INDEX(Purchases!$D$5:$D$1004,MATCH(ROW()-4,Purchases!$L$5:$L$1004,0)),"")</f>
        <v/>
      </c>
      <c r="B575" s="48" t="str">
        <f>IFERROR(VLOOKUP(A575,Purchases!$D:$E,2,FALSE),"")</f>
        <v/>
      </c>
      <c r="C575" s="48" t="str">
        <f>IFERROR(VLOOKUP(A575,Purchases!$D:$F,3,FALSE),"")</f>
        <v/>
      </c>
      <c r="D575" s="48" t="str">
        <f>IF(A575="","",SUMIF(Purchases!$D:$D,A575,Purchases!$K:$K))</f>
        <v/>
      </c>
      <c r="E575" s="48" t="str">
        <f>IF(A575="","",SUMIFS(Sales!$H:$H,Sales!$F:$F,A575,Sales!$B:$B,"&lt;&gt;Return"))</f>
        <v/>
      </c>
      <c r="F575" s="48" t="str">
        <f>IF(A575="","",SUMIFS(Sales!$H:$H,Sales!$F:$F,A575,Sales!$B:$B,"Return"))</f>
        <v/>
      </c>
      <c r="G575" s="48" t="str">
        <f>IF($A575="","",SUMIF('Shop Ledger'!$C:$C,$A575,'Shop Ledger'!$F:$F))</f>
        <v/>
      </c>
      <c r="H575" s="48" t="str">
        <f t="shared" si="1"/>
        <v/>
      </c>
      <c r="I575" s="44" t="str">
        <f>IF(A575="","",IFERROR(SUMIF(Purchases!$D:$D,A575,Purchases!$I:$I)/D575,0))</f>
        <v/>
      </c>
      <c r="J575" s="44" t="str">
        <f t="shared" si="2"/>
        <v/>
      </c>
      <c r="K575" s="30" t="str">
        <f>IF($A575="","",IFERROR(VALUE(SUBSTITUTE(SUBSTITUTE(SUBSTITUTE(VLOOKUP($A575,Inventory!$O$5:$P$604,2,FALSE),"Tk","")," ",""),",","")),""))</f>
        <v/>
      </c>
      <c r="L575" s="58" t="str">
        <f t="shared" si="3"/>
        <v/>
      </c>
      <c r="M575" s="58" t="str">
        <f t="shared" si="4"/>
        <v/>
      </c>
      <c r="O575" s="59" t="str">
        <f t="shared" si="5"/>
        <v/>
      </c>
      <c r="P575" s="52"/>
    </row>
    <row r="576" ht="15.75" customHeight="1">
      <c r="A576" s="29" t="str">
        <f t="array" ref="A576">IFERROR(INDEX(Purchases!$D$5:$D$1004,MATCH(ROW()-4,Purchases!$L$5:$L$1004,0)),"")</f>
        <v/>
      </c>
      <c r="B576" s="48" t="str">
        <f>IFERROR(VLOOKUP(A576,Purchases!$D:$E,2,FALSE),"")</f>
        <v/>
      </c>
      <c r="C576" s="48" t="str">
        <f>IFERROR(VLOOKUP(A576,Purchases!$D:$F,3,FALSE),"")</f>
        <v/>
      </c>
      <c r="D576" s="48" t="str">
        <f>IF(A576="","",SUMIF(Purchases!$D:$D,A576,Purchases!$K:$K))</f>
        <v/>
      </c>
      <c r="E576" s="48" t="str">
        <f>IF(A576="","",SUMIFS(Sales!$H:$H,Sales!$F:$F,A576,Sales!$B:$B,"&lt;&gt;Return"))</f>
        <v/>
      </c>
      <c r="F576" s="48" t="str">
        <f>IF(A576="","",SUMIFS(Sales!$H:$H,Sales!$F:$F,A576,Sales!$B:$B,"Return"))</f>
        <v/>
      </c>
      <c r="G576" s="48" t="str">
        <f>IF($A576="","",SUMIF('Shop Ledger'!$C:$C,$A576,'Shop Ledger'!$F:$F))</f>
        <v/>
      </c>
      <c r="H576" s="48" t="str">
        <f t="shared" si="1"/>
        <v/>
      </c>
      <c r="I576" s="44" t="str">
        <f>IF(A576="","",IFERROR(SUMIF(Purchases!$D:$D,A576,Purchases!$I:$I)/D576,0))</f>
        <v/>
      </c>
      <c r="J576" s="44" t="str">
        <f t="shared" si="2"/>
        <v/>
      </c>
      <c r="K576" s="30" t="str">
        <f>IF($A576="","",IFERROR(VALUE(SUBSTITUTE(SUBSTITUTE(SUBSTITUTE(VLOOKUP($A576,Inventory!$O$5:$P$604,2,FALSE),"Tk","")," ",""),",","")),""))</f>
        <v/>
      </c>
      <c r="L576" s="58" t="str">
        <f t="shared" si="3"/>
        <v/>
      </c>
      <c r="M576" s="58" t="str">
        <f t="shared" si="4"/>
        <v/>
      </c>
      <c r="O576" s="59" t="str">
        <f t="shared" si="5"/>
        <v/>
      </c>
      <c r="P576" s="52"/>
    </row>
    <row r="577" ht="15.75" customHeight="1">
      <c r="A577" s="29" t="str">
        <f t="array" ref="A577">IFERROR(INDEX(Purchases!$D$5:$D$1004,MATCH(ROW()-4,Purchases!$L$5:$L$1004,0)),"")</f>
        <v/>
      </c>
      <c r="B577" s="48" t="str">
        <f>IFERROR(VLOOKUP(A577,Purchases!$D:$E,2,FALSE),"")</f>
        <v/>
      </c>
      <c r="C577" s="48" t="str">
        <f>IFERROR(VLOOKUP(A577,Purchases!$D:$F,3,FALSE),"")</f>
        <v/>
      </c>
      <c r="D577" s="48" t="str">
        <f>IF(A577="","",SUMIF(Purchases!$D:$D,A577,Purchases!$K:$K))</f>
        <v/>
      </c>
      <c r="E577" s="48" t="str">
        <f>IF(A577="","",SUMIFS(Sales!$H:$H,Sales!$F:$F,A577,Sales!$B:$B,"&lt;&gt;Return"))</f>
        <v/>
      </c>
      <c r="F577" s="48" t="str">
        <f>IF(A577="","",SUMIFS(Sales!$H:$H,Sales!$F:$F,A577,Sales!$B:$B,"Return"))</f>
        <v/>
      </c>
      <c r="G577" s="48" t="str">
        <f>IF($A577="","",SUMIF('Shop Ledger'!$C:$C,$A577,'Shop Ledger'!$F:$F))</f>
        <v/>
      </c>
      <c r="H577" s="48" t="str">
        <f t="shared" si="1"/>
        <v/>
      </c>
      <c r="I577" s="44" t="str">
        <f>IF(A577="","",IFERROR(SUMIF(Purchases!$D:$D,A577,Purchases!$I:$I)/D577,0))</f>
        <v/>
      </c>
      <c r="J577" s="44" t="str">
        <f t="shared" si="2"/>
        <v/>
      </c>
      <c r="K577" s="30" t="str">
        <f>IF($A577="","",IFERROR(VALUE(SUBSTITUTE(SUBSTITUTE(SUBSTITUTE(VLOOKUP($A577,Inventory!$O$5:$P$604,2,FALSE),"Tk","")," ",""),",","")),""))</f>
        <v/>
      </c>
      <c r="L577" s="58" t="str">
        <f t="shared" si="3"/>
        <v/>
      </c>
      <c r="M577" s="58" t="str">
        <f t="shared" si="4"/>
        <v/>
      </c>
      <c r="O577" s="59" t="str">
        <f t="shared" si="5"/>
        <v/>
      </c>
      <c r="P577" s="52"/>
    </row>
    <row r="578" ht="15.75" customHeight="1">
      <c r="A578" s="29" t="str">
        <f t="array" ref="A578">IFERROR(INDEX(Purchases!$D$5:$D$1004,MATCH(ROW()-4,Purchases!$L$5:$L$1004,0)),"")</f>
        <v/>
      </c>
      <c r="B578" s="48" t="str">
        <f>IFERROR(VLOOKUP(A578,Purchases!$D:$E,2,FALSE),"")</f>
        <v/>
      </c>
      <c r="C578" s="48" t="str">
        <f>IFERROR(VLOOKUP(A578,Purchases!$D:$F,3,FALSE),"")</f>
        <v/>
      </c>
      <c r="D578" s="48" t="str">
        <f>IF(A578="","",SUMIF(Purchases!$D:$D,A578,Purchases!$K:$K))</f>
        <v/>
      </c>
      <c r="E578" s="48" t="str">
        <f>IF(A578="","",SUMIFS(Sales!$H:$H,Sales!$F:$F,A578,Sales!$B:$B,"&lt;&gt;Return"))</f>
        <v/>
      </c>
      <c r="F578" s="48" t="str">
        <f>IF(A578="","",SUMIFS(Sales!$H:$H,Sales!$F:$F,A578,Sales!$B:$B,"Return"))</f>
        <v/>
      </c>
      <c r="G578" s="48" t="str">
        <f>IF($A578="","",SUMIF('Shop Ledger'!$C:$C,$A578,'Shop Ledger'!$F:$F))</f>
        <v/>
      </c>
      <c r="H578" s="48" t="str">
        <f t="shared" si="1"/>
        <v/>
      </c>
      <c r="I578" s="44" t="str">
        <f>IF(A578="","",IFERROR(SUMIF(Purchases!$D:$D,A578,Purchases!$I:$I)/D578,0))</f>
        <v/>
      </c>
      <c r="J578" s="44" t="str">
        <f t="shared" si="2"/>
        <v/>
      </c>
      <c r="K578" s="30" t="str">
        <f>IF($A578="","",IFERROR(VALUE(SUBSTITUTE(SUBSTITUTE(SUBSTITUTE(VLOOKUP($A578,Inventory!$O$5:$P$604,2,FALSE),"Tk","")," ",""),",","")),""))</f>
        <v/>
      </c>
      <c r="L578" s="58" t="str">
        <f t="shared" si="3"/>
        <v/>
      </c>
      <c r="M578" s="58" t="str">
        <f t="shared" si="4"/>
        <v/>
      </c>
      <c r="O578" s="59" t="str">
        <f t="shared" si="5"/>
        <v/>
      </c>
      <c r="P578" s="52"/>
    </row>
    <row r="579" ht="15.75" customHeight="1">
      <c r="A579" s="29" t="str">
        <f t="array" ref="A579">IFERROR(INDEX(Purchases!$D$5:$D$1004,MATCH(ROW()-4,Purchases!$L$5:$L$1004,0)),"")</f>
        <v/>
      </c>
      <c r="B579" s="48" t="str">
        <f>IFERROR(VLOOKUP(A579,Purchases!$D:$E,2,FALSE),"")</f>
        <v/>
      </c>
      <c r="C579" s="48" t="str">
        <f>IFERROR(VLOOKUP(A579,Purchases!$D:$F,3,FALSE),"")</f>
        <v/>
      </c>
      <c r="D579" s="48" t="str">
        <f>IF(A579="","",SUMIF(Purchases!$D:$D,A579,Purchases!$K:$K))</f>
        <v/>
      </c>
      <c r="E579" s="48" t="str">
        <f>IF(A579="","",SUMIFS(Sales!$H:$H,Sales!$F:$F,A579,Sales!$B:$B,"&lt;&gt;Return"))</f>
        <v/>
      </c>
      <c r="F579" s="48" t="str">
        <f>IF(A579="","",SUMIFS(Sales!$H:$H,Sales!$F:$F,A579,Sales!$B:$B,"Return"))</f>
        <v/>
      </c>
      <c r="G579" s="48" t="str">
        <f>IF($A579="","",SUMIF('Shop Ledger'!$C:$C,$A579,'Shop Ledger'!$F:$F))</f>
        <v/>
      </c>
      <c r="H579" s="48" t="str">
        <f t="shared" si="1"/>
        <v/>
      </c>
      <c r="I579" s="44" t="str">
        <f>IF(A579="","",IFERROR(SUMIF(Purchases!$D:$D,A579,Purchases!$I:$I)/D579,0))</f>
        <v/>
      </c>
      <c r="J579" s="44" t="str">
        <f t="shared" si="2"/>
        <v/>
      </c>
      <c r="K579" s="30" t="str">
        <f>IF($A579="","",IFERROR(VALUE(SUBSTITUTE(SUBSTITUTE(SUBSTITUTE(VLOOKUP($A579,Inventory!$O$5:$P$604,2,FALSE),"Tk","")," ",""),",","")),""))</f>
        <v/>
      </c>
      <c r="L579" s="58" t="str">
        <f t="shared" si="3"/>
        <v/>
      </c>
      <c r="M579" s="58" t="str">
        <f t="shared" si="4"/>
        <v/>
      </c>
      <c r="O579" s="59" t="str">
        <f t="shared" si="5"/>
        <v/>
      </c>
      <c r="P579" s="52"/>
    </row>
    <row r="580" ht="15.75" customHeight="1">
      <c r="A580" s="29" t="str">
        <f t="array" ref="A580">IFERROR(INDEX(Purchases!$D$5:$D$1004,MATCH(ROW()-4,Purchases!$L$5:$L$1004,0)),"")</f>
        <v/>
      </c>
      <c r="B580" s="48" t="str">
        <f>IFERROR(VLOOKUP(A580,Purchases!$D:$E,2,FALSE),"")</f>
        <v/>
      </c>
      <c r="C580" s="48" t="str">
        <f>IFERROR(VLOOKUP(A580,Purchases!$D:$F,3,FALSE),"")</f>
        <v/>
      </c>
      <c r="D580" s="48" t="str">
        <f>IF(A580="","",SUMIF(Purchases!$D:$D,A580,Purchases!$K:$K))</f>
        <v/>
      </c>
      <c r="E580" s="48" t="str">
        <f>IF(A580="","",SUMIFS(Sales!$H:$H,Sales!$F:$F,A580,Sales!$B:$B,"&lt;&gt;Return"))</f>
        <v/>
      </c>
      <c r="F580" s="48" t="str">
        <f>IF(A580="","",SUMIFS(Sales!$H:$H,Sales!$F:$F,A580,Sales!$B:$B,"Return"))</f>
        <v/>
      </c>
      <c r="G580" s="48" t="str">
        <f>IF($A580="","",SUMIF('Shop Ledger'!$C:$C,$A580,'Shop Ledger'!$F:$F))</f>
        <v/>
      </c>
      <c r="H580" s="48" t="str">
        <f t="shared" si="1"/>
        <v/>
      </c>
      <c r="I580" s="44" t="str">
        <f>IF(A580="","",IFERROR(SUMIF(Purchases!$D:$D,A580,Purchases!$I:$I)/D580,0))</f>
        <v/>
      </c>
      <c r="J580" s="44" t="str">
        <f t="shared" si="2"/>
        <v/>
      </c>
      <c r="K580" s="30" t="str">
        <f>IF($A580="","",IFERROR(VALUE(SUBSTITUTE(SUBSTITUTE(SUBSTITUTE(VLOOKUP($A580,Inventory!$O$5:$P$604,2,FALSE),"Tk","")," ",""),",","")),""))</f>
        <v/>
      </c>
      <c r="L580" s="58" t="str">
        <f t="shared" si="3"/>
        <v/>
      </c>
      <c r="M580" s="58" t="str">
        <f t="shared" si="4"/>
        <v/>
      </c>
      <c r="O580" s="59" t="str">
        <f t="shared" si="5"/>
        <v/>
      </c>
      <c r="P580" s="52"/>
    </row>
    <row r="581" ht="15.75" customHeight="1">
      <c r="A581" s="29" t="str">
        <f t="array" ref="A581">IFERROR(INDEX(Purchases!$D$5:$D$1004,MATCH(ROW()-4,Purchases!$L$5:$L$1004,0)),"")</f>
        <v/>
      </c>
      <c r="B581" s="48" t="str">
        <f>IFERROR(VLOOKUP(A581,Purchases!$D:$E,2,FALSE),"")</f>
        <v/>
      </c>
      <c r="C581" s="48" t="str">
        <f>IFERROR(VLOOKUP(A581,Purchases!$D:$F,3,FALSE),"")</f>
        <v/>
      </c>
      <c r="D581" s="48" t="str">
        <f>IF(A581="","",SUMIF(Purchases!$D:$D,A581,Purchases!$K:$K))</f>
        <v/>
      </c>
      <c r="E581" s="48" t="str">
        <f>IF(A581="","",SUMIFS(Sales!$H:$H,Sales!$F:$F,A581,Sales!$B:$B,"&lt;&gt;Return"))</f>
        <v/>
      </c>
      <c r="F581" s="48" t="str">
        <f>IF(A581="","",SUMIFS(Sales!$H:$H,Sales!$F:$F,A581,Sales!$B:$B,"Return"))</f>
        <v/>
      </c>
      <c r="G581" s="48" t="str">
        <f>IF($A581="","",SUMIF('Shop Ledger'!$C:$C,$A581,'Shop Ledger'!$F:$F))</f>
        <v/>
      </c>
      <c r="H581" s="48" t="str">
        <f t="shared" si="1"/>
        <v/>
      </c>
      <c r="I581" s="44" t="str">
        <f>IF(A581="","",IFERROR(SUMIF(Purchases!$D:$D,A581,Purchases!$I:$I)/D581,0))</f>
        <v/>
      </c>
      <c r="J581" s="44" t="str">
        <f t="shared" si="2"/>
        <v/>
      </c>
      <c r="K581" s="30" t="str">
        <f>IF($A581="","",IFERROR(VALUE(SUBSTITUTE(SUBSTITUTE(SUBSTITUTE(VLOOKUP($A581,Inventory!$O$5:$P$604,2,FALSE),"Tk","")," ",""),",","")),""))</f>
        <v/>
      </c>
      <c r="L581" s="58" t="str">
        <f t="shared" si="3"/>
        <v/>
      </c>
      <c r="M581" s="58" t="str">
        <f t="shared" si="4"/>
        <v/>
      </c>
      <c r="O581" s="59" t="str">
        <f t="shared" si="5"/>
        <v/>
      </c>
      <c r="P581" s="52"/>
    </row>
    <row r="582" ht="15.75" customHeight="1">
      <c r="A582" s="29" t="str">
        <f t="array" ref="A582">IFERROR(INDEX(Purchases!$D$5:$D$1004,MATCH(ROW()-4,Purchases!$L$5:$L$1004,0)),"")</f>
        <v/>
      </c>
      <c r="B582" s="48" t="str">
        <f>IFERROR(VLOOKUP(A582,Purchases!$D:$E,2,FALSE),"")</f>
        <v/>
      </c>
      <c r="C582" s="48" t="str">
        <f>IFERROR(VLOOKUP(A582,Purchases!$D:$F,3,FALSE),"")</f>
        <v/>
      </c>
      <c r="D582" s="48" t="str">
        <f>IF(A582="","",SUMIF(Purchases!$D:$D,A582,Purchases!$K:$K))</f>
        <v/>
      </c>
      <c r="E582" s="48" t="str">
        <f>IF(A582="","",SUMIFS(Sales!$H:$H,Sales!$F:$F,A582,Sales!$B:$B,"&lt;&gt;Return"))</f>
        <v/>
      </c>
      <c r="F582" s="48" t="str">
        <f>IF(A582="","",SUMIFS(Sales!$H:$H,Sales!$F:$F,A582,Sales!$B:$B,"Return"))</f>
        <v/>
      </c>
      <c r="G582" s="48" t="str">
        <f>IF($A582="","",SUMIF('Shop Ledger'!$C:$C,$A582,'Shop Ledger'!$F:$F))</f>
        <v/>
      </c>
      <c r="H582" s="48" t="str">
        <f t="shared" si="1"/>
        <v/>
      </c>
      <c r="I582" s="44" t="str">
        <f>IF(A582="","",IFERROR(SUMIF(Purchases!$D:$D,A582,Purchases!$I:$I)/D582,0))</f>
        <v/>
      </c>
      <c r="J582" s="44" t="str">
        <f t="shared" si="2"/>
        <v/>
      </c>
      <c r="K582" s="30" t="str">
        <f>IF($A582="","",IFERROR(VALUE(SUBSTITUTE(SUBSTITUTE(SUBSTITUTE(VLOOKUP($A582,Inventory!$O$5:$P$604,2,FALSE),"Tk","")," ",""),",","")),""))</f>
        <v/>
      </c>
      <c r="L582" s="58" t="str">
        <f t="shared" si="3"/>
        <v/>
      </c>
      <c r="M582" s="58" t="str">
        <f t="shared" si="4"/>
        <v/>
      </c>
      <c r="O582" s="59" t="str">
        <f t="shared" si="5"/>
        <v/>
      </c>
      <c r="P582" s="52"/>
    </row>
    <row r="583" ht="15.75" customHeight="1">
      <c r="A583" s="29" t="str">
        <f t="array" ref="A583">IFERROR(INDEX(Purchases!$D$5:$D$1004,MATCH(ROW()-4,Purchases!$L$5:$L$1004,0)),"")</f>
        <v/>
      </c>
      <c r="B583" s="48" t="str">
        <f>IFERROR(VLOOKUP(A583,Purchases!$D:$E,2,FALSE),"")</f>
        <v/>
      </c>
      <c r="C583" s="48" t="str">
        <f>IFERROR(VLOOKUP(A583,Purchases!$D:$F,3,FALSE),"")</f>
        <v/>
      </c>
      <c r="D583" s="48" t="str">
        <f>IF(A583="","",SUMIF(Purchases!$D:$D,A583,Purchases!$K:$K))</f>
        <v/>
      </c>
      <c r="E583" s="48" t="str">
        <f>IF(A583="","",SUMIFS(Sales!$H:$H,Sales!$F:$F,A583,Sales!$B:$B,"&lt;&gt;Return"))</f>
        <v/>
      </c>
      <c r="F583" s="48" t="str">
        <f>IF(A583="","",SUMIFS(Sales!$H:$H,Sales!$F:$F,A583,Sales!$B:$B,"Return"))</f>
        <v/>
      </c>
      <c r="G583" s="48" t="str">
        <f>IF($A583="","",SUMIF('Shop Ledger'!$C:$C,$A583,'Shop Ledger'!$F:$F))</f>
        <v/>
      </c>
      <c r="H583" s="48" t="str">
        <f t="shared" si="1"/>
        <v/>
      </c>
      <c r="I583" s="44" t="str">
        <f>IF(A583="","",IFERROR(SUMIF(Purchases!$D:$D,A583,Purchases!$I:$I)/D583,0))</f>
        <v/>
      </c>
      <c r="J583" s="44" t="str">
        <f t="shared" si="2"/>
        <v/>
      </c>
      <c r="K583" s="30" t="str">
        <f>IF($A583="","",IFERROR(VALUE(SUBSTITUTE(SUBSTITUTE(SUBSTITUTE(VLOOKUP($A583,Inventory!$O$5:$P$604,2,FALSE),"Tk","")," ",""),",","")),""))</f>
        <v/>
      </c>
      <c r="L583" s="58" t="str">
        <f t="shared" si="3"/>
        <v/>
      </c>
      <c r="M583" s="58" t="str">
        <f t="shared" si="4"/>
        <v/>
      </c>
      <c r="O583" s="59" t="str">
        <f t="shared" si="5"/>
        <v/>
      </c>
      <c r="P583" s="52"/>
    </row>
    <row r="584" ht="15.75" customHeight="1">
      <c r="A584" s="29" t="str">
        <f t="array" ref="A584">IFERROR(INDEX(Purchases!$D$5:$D$1004,MATCH(ROW()-4,Purchases!$L$5:$L$1004,0)),"")</f>
        <v/>
      </c>
      <c r="B584" s="48" t="str">
        <f>IFERROR(VLOOKUP(A584,Purchases!$D:$E,2,FALSE),"")</f>
        <v/>
      </c>
      <c r="C584" s="48" t="str">
        <f>IFERROR(VLOOKUP(A584,Purchases!$D:$F,3,FALSE),"")</f>
        <v/>
      </c>
      <c r="D584" s="48" t="str">
        <f>IF(A584="","",SUMIF(Purchases!$D:$D,A584,Purchases!$K:$K))</f>
        <v/>
      </c>
      <c r="E584" s="48" t="str">
        <f>IF(A584="","",SUMIFS(Sales!$H:$H,Sales!$F:$F,A584,Sales!$B:$B,"&lt;&gt;Return"))</f>
        <v/>
      </c>
      <c r="F584" s="48" t="str">
        <f>IF(A584="","",SUMIFS(Sales!$H:$H,Sales!$F:$F,A584,Sales!$B:$B,"Return"))</f>
        <v/>
      </c>
      <c r="G584" s="48" t="str">
        <f>IF($A584="","",SUMIF('Shop Ledger'!$C:$C,$A584,'Shop Ledger'!$F:$F))</f>
        <v/>
      </c>
      <c r="H584" s="48" t="str">
        <f t="shared" si="1"/>
        <v/>
      </c>
      <c r="I584" s="44" t="str">
        <f>IF(A584="","",IFERROR(SUMIF(Purchases!$D:$D,A584,Purchases!$I:$I)/D584,0))</f>
        <v/>
      </c>
      <c r="J584" s="44" t="str">
        <f t="shared" si="2"/>
        <v/>
      </c>
      <c r="K584" s="30" t="str">
        <f>IF($A584="","",IFERROR(VALUE(SUBSTITUTE(SUBSTITUTE(SUBSTITUTE(VLOOKUP($A584,Inventory!$O$5:$P$604,2,FALSE),"Tk","")," ",""),",","")),""))</f>
        <v/>
      </c>
      <c r="L584" s="58" t="str">
        <f t="shared" si="3"/>
        <v/>
      </c>
      <c r="M584" s="58" t="str">
        <f t="shared" si="4"/>
        <v/>
      </c>
      <c r="O584" s="59" t="str">
        <f t="shared" si="5"/>
        <v/>
      </c>
      <c r="P584" s="52"/>
    </row>
    <row r="585" ht="15.75" customHeight="1">
      <c r="A585" s="29" t="str">
        <f t="array" ref="A585">IFERROR(INDEX(Purchases!$D$5:$D$1004,MATCH(ROW()-4,Purchases!$L$5:$L$1004,0)),"")</f>
        <v/>
      </c>
      <c r="B585" s="48" t="str">
        <f>IFERROR(VLOOKUP(A585,Purchases!$D:$E,2,FALSE),"")</f>
        <v/>
      </c>
      <c r="C585" s="48" t="str">
        <f>IFERROR(VLOOKUP(A585,Purchases!$D:$F,3,FALSE),"")</f>
        <v/>
      </c>
      <c r="D585" s="48" t="str">
        <f>IF(A585="","",SUMIF(Purchases!$D:$D,A585,Purchases!$K:$K))</f>
        <v/>
      </c>
      <c r="E585" s="48" t="str">
        <f>IF(A585="","",SUMIFS(Sales!$H:$H,Sales!$F:$F,A585,Sales!$B:$B,"&lt;&gt;Return"))</f>
        <v/>
      </c>
      <c r="F585" s="48" t="str">
        <f>IF(A585="","",SUMIFS(Sales!$H:$H,Sales!$F:$F,A585,Sales!$B:$B,"Return"))</f>
        <v/>
      </c>
      <c r="G585" s="48" t="str">
        <f>IF($A585="","",SUMIF('Shop Ledger'!$C:$C,$A585,'Shop Ledger'!$F:$F))</f>
        <v/>
      </c>
      <c r="H585" s="48" t="str">
        <f t="shared" si="1"/>
        <v/>
      </c>
      <c r="I585" s="44" t="str">
        <f>IF(A585="","",IFERROR(SUMIF(Purchases!$D:$D,A585,Purchases!$I:$I)/D585,0))</f>
        <v/>
      </c>
      <c r="J585" s="44" t="str">
        <f t="shared" si="2"/>
        <v/>
      </c>
      <c r="K585" s="30" t="str">
        <f>IF($A585="","",IFERROR(VALUE(SUBSTITUTE(SUBSTITUTE(SUBSTITUTE(VLOOKUP($A585,Inventory!$O$5:$P$604,2,FALSE),"Tk","")," ",""),",","")),""))</f>
        <v/>
      </c>
      <c r="L585" s="58" t="str">
        <f t="shared" si="3"/>
        <v/>
      </c>
      <c r="M585" s="58" t="str">
        <f t="shared" si="4"/>
        <v/>
      </c>
      <c r="O585" s="59" t="str">
        <f t="shared" si="5"/>
        <v/>
      </c>
      <c r="P585" s="52"/>
    </row>
    <row r="586" ht="15.75" customHeight="1">
      <c r="A586" s="29" t="str">
        <f t="array" ref="A586">IFERROR(INDEX(Purchases!$D$5:$D$1004,MATCH(ROW()-4,Purchases!$L$5:$L$1004,0)),"")</f>
        <v/>
      </c>
      <c r="B586" s="48" t="str">
        <f>IFERROR(VLOOKUP(A586,Purchases!$D:$E,2,FALSE),"")</f>
        <v/>
      </c>
      <c r="C586" s="48" t="str">
        <f>IFERROR(VLOOKUP(A586,Purchases!$D:$F,3,FALSE),"")</f>
        <v/>
      </c>
      <c r="D586" s="48" t="str">
        <f>IF(A586="","",SUMIF(Purchases!$D:$D,A586,Purchases!$K:$K))</f>
        <v/>
      </c>
      <c r="E586" s="48" t="str">
        <f>IF(A586="","",SUMIFS(Sales!$H:$H,Sales!$F:$F,A586,Sales!$B:$B,"&lt;&gt;Return"))</f>
        <v/>
      </c>
      <c r="F586" s="48" t="str">
        <f>IF(A586="","",SUMIFS(Sales!$H:$H,Sales!$F:$F,A586,Sales!$B:$B,"Return"))</f>
        <v/>
      </c>
      <c r="G586" s="48" t="str">
        <f>IF($A586="","",SUMIF('Shop Ledger'!$C:$C,$A586,'Shop Ledger'!$F:$F))</f>
        <v/>
      </c>
      <c r="H586" s="48" t="str">
        <f t="shared" si="1"/>
        <v/>
      </c>
      <c r="I586" s="44" t="str">
        <f>IF(A586="","",IFERROR(SUMIF(Purchases!$D:$D,A586,Purchases!$I:$I)/D586,0))</f>
        <v/>
      </c>
      <c r="J586" s="44" t="str">
        <f t="shared" si="2"/>
        <v/>
      </c>
      <c r="K586" s="30" t="str">
        <f>IF($A586="","",IFERROR(VALUE(SUBSTITUTE(SUBSTITUTE(SUBSTITUTE(VLOOKUP($A586,Inventory!$O$5:$P$604,2,FALSE),"Tk","")," ",""),",","")),""))</f>
        <v/>
      </c>
      <c r="L586" s="58" t="str">
        <f t="shared" si="3"/>
        <v/>
      </c>
      <c r="M586" s="58" t="str">
        <f t="shared" si="4"/>
        <v/>
      </c>
      <c r="O586" s="59" t="str">
        <f t="shared" si="5"/>
        <v/>
      </c>
      <c r="P586" s="52"/>
    </row>
    <row r="587" ht="15.75" customHeight="1">
      <c r="A587" s="29" t="str">
        <f t="array" ref="A587">IFERROR(INDEX(Purchases!$D$5:$D$1004,MATCH(ROW()-4,Purchases!$L$5:$L$1004,0)),"")</f>
        <v/>
      </c>
      <c r="B587" s="48" t="str">
        <f>IFERROR(VLOOKUP(A587,Purchases!$D:$E,2,FALSE),"")</f>
        <v/>
      </c>
      <c r="C587" s="48" t="str">
        <f>IFERROR(VLOOKUP(A587,Purchases!$D:$F,3,FALSE),"")</f>
        <v/>
      </c>
      <c r="D587" s="48" t="str">
        <f>IF(A587="","",SUMIF(Purchases!$D:$D,A587,Purchases!$K:$K))</f>
        <v/>
      </c>
      <c r="E587" s="48" t="str">
        <f>IF(A587="","",SUMIFS(Sales!$H:$H,Sales!$F:$F,A587,Sales!$B:$B,"&lt;&gt;Return"))</f>
        <v/>
      </c>
      <c r="F587" s="48" t="str">
        <f>IF(A587="","",SUMIFS(Sales!$H:$H,Sales!$F:$F,A587,Sales!$B:$B,"Return"))</f>
        <v/>
      </c>
      <c r="G587" s="48" t="str">
        <f>IF($A587="","",SUMIF('Shop Ledger'!$C:$C,$A587,'Shop Ledger'!$F:$F))</f>
        <v/>
      </c>
      <c r="H587" s="48" t="str">
        <f t="shared" si="1"/>
        <v/>
      </c>
      <c r="I587" s="44" t="str">
        <f>IF(A587="","",IFERROR(SUMIF(Purchases!$D:$D,A587,Purchases!$I:$I)/D587,0))</f>
        <v/>
      </c>
      <c r="J587" s="44" t="str">
        <f t="shared" si="2"/>
        <v/>
      </c>
      <c r="K587" s="30" t="str">
        <f>IF($A587="","",IFERROR(VALUE(SUBSTITUTE(SUBSTITUTE(SUBSTITUTE(VLOOKUP($A587,Inventory!$O$5:$P$604,2,FALSE),"Tk","")," ",""),",","")),""))</f>
        <v/>
      </c>
      <c r="L587" s="58" t="str">
        <f t="shared" si="3"/>
        <v/>
      </c>
      <c r="M587" s="58" t="str">
        <f t="shared" si="4"/>
        <v/>
      </c>
      <c r="O587" s="59" t="str">
        <f t="shared" si="5"/>
        <v/>
      </c>
      <c r="P587" s="52"/>
    </row>
    <row r="588" ht="15.75" customHeight="1">
      <c r="A588" s="29" t="str">
        <f t="array" ref="A588">IFERROR(INDEX(Purchases!$D$5:$D$1004,MATCH(ROW()-4,Purchases!$L$5:$L$1004,0)),"")</f>
        <v/>
      </c>
      <c r="B588" s="48" t="str">
        <f>IFERROR(VLOOKUP(A588,Purchases!$D:$E,2,FALSE),"")</f>
        <v/>
      </c>
      <c r="C588" s="48" t="str">
        <f>IFERROR(VLOOKUP(A588,Purchases!$D:$F,3,FALSE),"")</f>
        <v/>
      </c>
      <c r="D588" s="48" t="str">
        <f>IF(A588="","",SUMIF(Purchases!$D:$D,A588,Purchases!$K:$K))</f>
        <v/>
      </c>
      <c r="E588" s="48" t="str">
        <f>IF(A588="","",SUMIFS(Sales!$H:$H,Sales!$F:$F,A588,Sales!$B:$B,"&lt;&gt;Return"))</f>
        <v/>
      </c>
      <c r="F588" s="48" t="str">
        <f>IF(A588="","",SUMIFS(Sales!$H:$H,Sales!$F:$F,A588,Sales!$B:$B,"Return"))</f>
        <v/>
      </c>
      <c r="G588" s="48" t="str">
        <f>IF($A588="","",SUMIF('Shop Ledger'!$C:$C,$A588,'Shop Ledger'!$F:$F))</f>
        <v/>
      </c>
      <c r="H588" s="48" t="str">
        <f t="shared" si="1"/>
        <v/>
      </c>
      <c r="I588" s="44" t="str">
        <f>IF(A588="","",IFERROR(SUMIF(Purchases!$D:$D,A588,Purchases!$I:$I)/D588,0))</f>
        <v/>
      </c>
      <c r="J588" s="44" t="str">
        <f t="shared" si="2"/>
        <v/>
      </c>
      <c r="K588" s="30" t="str">
        <f>IF($A588="","",IFERROR(VALUE(SUBSTITUTE(SUBSTITUTE(SUBSTITUTE(VLOOKUP($A588,Inventory!$O$5:$P$604,2,FALSE),"Tk","")," ",""),",","")),""))</f>
        <v/>
      </c>
      <c r="L588" s="58" t="str">
        <f t="shared" si="3"/>
        <v/>
      </c>
      <c r="M588" s="58" t="str">
        <f t="shared" si="4"/>
        <v/>
      </c>
      <c r="O588" s="59" t="str">
        <f t="shared" si="5"/>
        <v/>
      </c>
      <c r="P588" s="52"/>
    </row>
    <row r="589" ht="15.75" customHeight="1">
      <c r="A589" s="29" t="str">
        <f t="array" ref="A589">IFERROR(INDEX(Purchases!$D$5:$D$1004,MATCH(ROW()-4,Purchases!$L$5:$L$1004,0)),"")</f>
        <v/>
      </c>
      <c r="B589" s="48" t="str">
        <f>IFERROR(VLOOKUP(A589,Purchases!$D:$E,2,FALSE),"")</f>
        <v/>
      </c>
      <c r="C589" s="48" t="str">
        <f>IFERROR(VLOOKUP(A589,Purchases!$D:$F,3,FALSE),"")</f>
        <v/>
      </c>
      <c r="D589" s="48" t="str">
        <f>IF(A589="","",SUMIF(Purchases!$D:$D,A589,Purchases!$K:$K))</f>
        <v/>
      </c>
      <c r="E589" s="48" t="str">
        <f>IF(A589="","",SUMIFS(Sales!$H:$H,Sales!$F:$F,A589,Sales!$B:$B,"&lt;&gt;Return"))</f>
        <v/>
      </c>
      <c r="F589" s="48" t="str">
        <f>IF(A589="","",SUMIFS(Sales!$H:$H,Sales!$F:$F,A589,Sales!$B:$B,"Return"))</f>
        <v/>
      </c>
      <c r="G589" s="48" t="str">
        <f>IF($A589="","",SUMIF('Shop Ledger'!$C:$C,$A589,'Shop Ledger'!$F:$F))</f>
        <v/>
      </c>
      <c r="H589" s="48" t="str">
        <f t="shared" si="1"/>
        <v/>
      </c>
      <c r="I589" s="44" t="str">
        <f>IF(A589="","",IFERROR(SUMIF(Purchases!$D:$D,A589,Purchases!$I:$I)/D589,0))</f>
        <v/>
      </c>
      <c r="J589" s="44" t="str">
        <f t="shared" si="2"/>
        <v/>
      </c>
      <c r="K589" s="30" t="str">
        <f>IF($A589="","",IFERROR(VALUE(SUBSTITUTE(SUBSTITUTE(SUBSTITUTE(VLOOKUP($A589,Inventory!$O$5:$P$604,2,FALSE),"Tk","")," ",""),",","")),""))</f>
        <v/>
      </c>
      <c r="L589" s="58" t="str">
        <f t="shared" si="3"/>
        <v/>
      </c>
      <c r="M589" s="58" t="str">
        <f t="shared" si="4"/>
        <v/>
      </c>
      <c r="O589" s="59" t="str">
        <f t="shared" si="5"/>
        <v/>
      </c>
      <c r="P589" s="52"/>
    </row>
    <row r="590" ht="15.75" customHeight="1">
      <c r="A590" s="29" t="str">
        <f t="array" ref="A590">IFERROR(INDEX(Purchases!$D$5:$D$1004,MATCH(ROW()-4,Purchases!$L$5:$L$1004,0)),"")</f>
        <v/>
      </c>
      <c r="B590" s="48" t="str">
        <f>IFERROR(VLOOKUP(A590,Purchases!$D:$E,2,FALSE),"")</f>
        <v/>
      </c>
      <c r="C590" s="48" t="str">
        <f>IFERROR(VLOOKUP(A590,Purchases!$D:$F,3,FALSE),"")</f>
        <v/>
      </c>
      <c r="D590" s="48" t="str">
        <f>IF(A590="","",SUMIF(Purchases!$D:$D,A590,Purchases!$K:$K))</f>
        <v/>
      </c>
      <c r="E590" s="48" t="str">
        <f>IF(A590="","",SUMIFS(Sales!$H:$H,Sales!$F:$F,A590,Sales!$B:$B,"&lt;&gt;Return"))</f>
        <v/>
      </c>
      <c r="F590" s="48" t="str">
        <f>IF(A590="","",SUMIFS(Sales!$H:$H,Sales!$F:$F,A590,Sales!$B:$B,"Return"))</f>
        <v/>
      </c>
      <c r="G590" s="48" t="str">
        <f>IF($A590="","",SUMIF('Shop Ledger'!$C:$C,$A590,'Shop Ledger'!$F:$F))</f>
        <v/>
      </c>
      <c r="H590" s="48" t="str">
        <f t="shared" si="1"/>
        <v/>
      </c>
      <c r="I590" s="44" t="str">
        <f>IF(A590="","",IFERROR(SUMIF(Purchases!$D:$D,A590,Purchases!$I:$I)/D590,0))</f>
        <v/>
      </c>
      <c r="J590" s="44" t="str">
        <f t="shared" si="2"/>
        <v/>
      </c>
      <c r="K590" s="30" t="str">
        <f>IF($A590="","",IFERROR(VALUE(SUBSTITUTE(SUBSTITUTE(SUBSTITUTE(VLOOKUP($A590,Inventory!$O$5:$P$604,2,FALSE),"Tk","")," ",""),",","")),""))</f>
        <v/>
      </c>
      <c r="L590" s="58" t="str">
        <f t="shared" si="3"/>
        <v/>
      </c>
      <c r="M590" s="58" t="str">
        <f t="shared" si="4"/>
        <v/>
      </c>
      <c r="O590" s="59" t="str">
        <f t="shared" si="5"/>
        <v/>
      </c>
      <c r="P590" s="52"/>
    </row>
    <row r="591" ht="15.75" customHeight="1">
      <c r="A591" s="29" t="str">
        <f t="array" ref="A591">IFERROR(INDEX(Purchases!$D$5:$D$1004,MATCH(ROW()-4,Purchases!$L$5:$L$1004,0)),"")</f>
        <v/>
      </c>
      <c r="B591" s="48" t="str">
        <f>IFERROR(VLOOKUP(A591,Purchases!$D:$E,2,FALSE),"")</f>
        <v/>
      </c>
      <c r="C591" s="48" t="str">
        <f>IFERROR(VLOOKUP(A591,Purchases!$D:$F,3,FALSE),"")</f>
        <v/>
      </c>
      <c r="D591" s="48" t="str">
        <f>IF(A591="","",SUMIF(Purchases!$D:$D,A591,Purchases!$K:$K))</f>
        <v/>
      </c>
      <c r="E591" s="48" t="str">
        <f>IF(A591="","",SUMIFS(Sales!$H:$H,Sales!$F:$F,A591,Sales!$B:$B,"&lt;&gt;Return"))</f>
        <v/>
      </c>
      <c r="F591" s="48" t="str">
        <f>IF(A591="","",SUMIFS(Sales!$H:$H,Sales!$F:$F,A591,Sales!$B:$B,"Return"))</f>
        <v/>
      </c>
      <c r="G591" s="48" t="str">
        <f>IF($A591="","",SUMIF('Shop Ledger'!$C:$C,$A591,'Shop Ledger'!$F:$F))</f>
        <v/>
      </c>
      <c r="H591" s="48" t="str">
        <f t="shared" si="1"/>
        <v/>
      </c>
      <c r="I591" s="44" t="str">
        <f>IF(A591="","",IFERROR(SUMIF(Purchases!$D:$D,A591,Purchases!$I:$I)/D591,0))</f>
        <v/>
      </c>
      <c r="J591" s="44" t="str">
        <f t="shared" si="2"/>
        <v/>
      </c>
      <c r="K591" s="30" t="str">
        <f>IF($A591="","",IFERROR(VALUE(SUBSTITUTE(SUBSTITUTE(SUBSTITUTE(VLOOKUP($A591,Inventory!$O$5:$P$604,2,FALSE),"Tk","")," ",""),",","")),""))</f>
        <v/>
      </c>
      <c r="L591" s="58" t="str">
        <f t="shared" si="3"/>
        <v/>
      </c>
      <c r="M591" s="58" t="str">
        <f t="shared" si="4"/>
        <v/>
      </c>
      <c r="O591" s="59" t="str">
        <f t="shared" si="5"/>
        <v/>
      </c>
      <c r="P591" s="52"/>
    </row>
    <row r="592" ht="15.75" customHeight="1">
      <c r="A592" s="29" t="str">
        <f t="array" ref="A592">IFERROR(INDEX(Purchases!$D$5:$D$1004,MATCH(ROW()-4,Purchases!$L$5:$L$1004,0)),"")</f>
        <v/>
      </c>
      <c r="B592" s="48" t="str">
        <f>IFERROR(VLOOKUP(A592,Purchases!$D:$E,2,FALSE),"")</f>
        <v/>
      </c>
      <c r="C592" s="48" t="str">
        <f>IFERROR(VLOOKUP(A592,Purchases!$D:$F,3,FALSE),"")</f>
        <v/>
      </c>
      <c r="D592" s="48" t="str">
        <f>IF(A592="","",SUMIF(Purchases!$D:$D,A592,Purchases!$K:$K))</f>
        <v/>
      </c>
      <c r="E592" s="48" t="str">
        <f>IF(A592="","",SUMIFS(Sales!$H:$H,Sales!$F:$F,A592,Sales!$B:$B,"&lt;&gt;Return"))</f>
        <v/>
      </c>
      <c r="F592" s="48" t="str">
        <f>IF(A592="","",SUMIFS(Sales!$H:$H,Sales!$F:$F,A592,Sales!$B:$B,"Return"))</f>
        <v/>
      </c>
      <c r="G592" s="48" t="str">
        <f>IF($A592="","",SUMIF('Shop Ledger'!$C:$C,$A592,'Shop Ledger'!$F:$F))</f>
        <v/>
      </c>
      <c r="H592" s="48" t="str">
        <f t="shared" si="1"/>
        <v/>
      </c>
      <c r="I592" s="44" t="str">
        <f>IF(A592="","",IFERROR(SUMIF(Purchases!$D:$D,A592,Purchases!$I:$I)/D592,0))</f>
        <v/>
      </c>
      <c r="J592" s="44" t="str">
        <f t="shared" si="2"/>
        <v/>
      </c>
      <c r="K592" s="30" t="str">
        <f>IF($A592="","",IFERROR(VALUE(SUBSTITUTE(SUBSTITUTE(SUBSTITUTE(VLOOKUP($A592,Inventory!$O$5:$P$604,2,FALSE),"Tk","")," ",""),",","")),""))</f>
        <v/>
      </c>
      <c r="L592" s="58" t="str">
        <f t="shared" si="3"/>
        <v/>
      </c>
      <c r="M592" s="58" t="str">
        <f t="shared" si="4"/>
        <v/>
      </c>
      <c r="O592" s="59" t="str">
        <f t="shared" si="5"/>
        <v/>
      </c>
      <c r="P592" s="52"/>
    </row>
    <row r="593" ht="15.75" customHeight="1">
      <c r="A593" s="29" t="str">
        <f t="array" ref="A593">IFERROR(INDEX(Purchases!$D$5:$D$1004,MATCH(ROW()-4,Purchases!$L$5:$L$1004,0)),"")</f>
        <v/>
      </c>
      <c r="B593" s="48" t="str">
        <f>IFERROR(VLOOKUP(A593,Purchases!$D:$E,2,FALSE),"")</f>
        <v/>
      </c>
      <c r="C593" s="48" t="str">
        <f>IFERROR(VLOOKUP(A593,Purchases!$D:$F,3,FALSE),"")</f>
        <v/>
      </c>
      <c r="D593" s="48" t="str">
        <f>IF(A593="","",SUMIF(Purchases!$D:$D,A593,Purchases!$K:$K))</f>
        <v/>
      </c>
      <c r="E593" s="48" t="str">
        <f>IF(A593="","",SUMIFS(Sales!$H:$H,Sales!$F:$F,A593,Sales!$B:$B,"&lt;&gt;Return"))</f>
        <v/>
      </c>
      <c r="F593" s="48" t="str">
        <f>IF(A593="","",SUMIFS(Sales!$H:$H,Sales!$F:$F,A593,Sales!$B:$B,"Return"))</f>
        <v/>
      </c>
      <c r="G593" s="48" t="str">
        <f>IF($A593="","",SUMIF('Shop Ledger'!$C:$C,$A593,'Shop Ledger'!$F:$F))</f>
        <v/>
      </c>
      <c r="H593" s="48" t="str">
        <f t="shared" si="1"/>
        <v/>
      </c>
      <c r="I593" s="44" t="str">
        <f>IF(A593="","",IFERROR(SUMIF(Purchases!$D:$D,A593,Purchases!$I:$I)/D593,0))</f>
        <v/>
      </c>
      <c r="J593" s="44" t="str">
        <f t="shared" si="2"/>
        <v/>
      </c>
      <c r="K593" s="30" t="str">
        <f>IF($A593="","",IFERROR(VALUE(SUBSTITUTE(SUBSTITUTE(SUBSTITUTE(VLOOKUP($A593,Inventory!$O$5:$P$604,2,FALSE),"Tk","")," ",""),",","")),""))</f>
        <v/>
      </c>
      <c r="L593" s="58" t="str">
        <f t="shared" si="3"/>
        <v/>
      </c>
      <c r="M593" s="58" t="str">
        <f t="shared" si="4"/>
        <v/>
      </c>
      <c r="O593" s="59" t="str">
        <f t="shared" si="5"/>
        <v/>
      </c>
      <c r="P593" s="52"/>
    </row>
    <row r="594" ht="15.75" customHeight="1">
      <c r="A594" s="29" t="str">
        <f t="array" ref="A594">IFERROR(INDEX(Purchases!$D$5:$D$1004,MATCH(ROW()-4,Purchases!$L$5:$L$1004,0)),"")</f>
        <v/>
      </c>
      <c r="B594" s="48" t="str">
        <f>IFERROR(VLOOKUP(A594,Purchases!$D:$E,2,FALSE),"")</f>
        <v/>
      </c>
      <c r="C594" s="48" t="str">
        <f>IFERROR(VLOOKUP(A594,Purchases!$D:$F,3,FALSE),"")</f>
        <v/>
      </c>
      <c r="D594" s="48" t="str">
        <f>IF(A594="","",SUMIF(Purchases!$D:$D,A594,Purchases!$K:$K))</f>
        <v/>
      </c>
      <c r="E594" s="48" t="str">
        <f>IF(A594="","",SUMIFS(Sales!$H:$H,Sales!$F:$F,A594,Sales!$B:$B,"&lt;&gt;Return"))</f>
        <v/>
      </c>
      <c r="F594" s="48" t="str">
        <f>IF(A594="","",SUMIFS(Sales!$H:$H,Sales!$F:$F,A594,Sales!$B:$B,"Return"))</f>
        <v/>
      </c>
      <c r="G594" s="48" t="str">
        <f>IF($A594="","",SUMIF('Shop Ledger'!$C:$C,$A594,'Shop Ledger'!$F:$F))</f>
        <v/>
      </c>
      <c r="H594" s="48" t="str">
        <f t="shared" si="1"/>
        <v/>
      </c>
      <c r="I594" s="44" t="str">
        <f>IF(A594="","",IFERROR(SUMIF(Purchases!$D:$D,A594,Purchases!$I:$I)/D594,0))</f>
        <v/>
      </c>
      <c r="J594" s="44" t="str">
        <f t="shared" si="2"/>
        <v/>
      </c>
      <c r="K594" s="30" t="str">
        <f>IF($A594="","",IFERROR(VALUE(SUBSTITUTE(SUBSTITUTE(SUBSTITUTE(VLOOKUP($A594,Inventory!$O$5:$P$604,2,FALSE),"Tk","")," ",""),",","")),""))</f>
        <v/>
      </c>
      <c r="L594" s="58" t="str">
        <f t="shared" si="3"/>
        <v/>
      </c>
      <c r="M594" s="58" t="str">
        <f t="shared" si="4"/>
        <v/>
      </c>
      <c r="O594" s="59" t="str">
        <f t="shared" si="5"/>
        <v/>
      </c>
      <c r="P594" s="52"/>
    </row>
    <row r="595" ht="15.75" customHeight="1">
      <c r="A595" s="29" t="str">
        <f t="array" ref="A595">IFERROR(INDEX(Purchases!$D$5:$D$1004,MATCH(ROW()-4,Purchases!$L$5:$L$1004,0)),"")</f>
        <v/>
      </c>
      <c r="B595" s="48" t="str">
        <f>IFERROR(VLOOKUP(A595,Purchases!$D:$E,2,FALSE),"")</f>
        <v/>
      </c>
      <c r="C595" s="48" t="str">
        <f>IFERROR(VLOOKUP(A595,Purchases!$D:$F,3,FALSE),"")</f>
        <v/>
      </c>
      <c r="D595" s="48" t="str">
        <f>IF(A595="","",SUMIF(Purchases!$D:$D,A595,Purchases!$K:$K))</f>
        <v/>
      </c>
      <c r="E595" s="48" t="str">
        <f>IF(A595="","",SUMIFS(Sales!$H:$H,Sales!$F:$F,A595,Sales!$B:$B,"&lt;&gt;Return"))</f>
        <v/>
      </c>
      <c r="F595" s="48" t="str">
        <f>IF(A595="","",SUMIFS(Sales!$H:$H,Sales!$F:$F,A595,Sales!$B:$B,"Return"))</f>
        <v/>
      </c>
      <c r="G595" s="48" t="str">
        <f>IF($A595="","",SUMIF('Shop Ledger'!$C:$C,$A595,'Shop Ledger'!$F:$F))</f>
        <v/>
      </c>
      <c r="H595" s="48" t="str">
        <f t="shared" si="1"/>
        <v/>
      </c>
      <c r="I595" s="44" t="str">
        <f>IF(A595="","",IFERROR(SUMIF(Purchases!$D:$D,A595,Purchases!$I:$I)/D595,0))</f>
        <v/>
      </c>
      <c r="J595" s="44" t="str">
        <f t="shared" si="2"/>
        <v/>
      </c>
      <c r="K595" s="30" t="str">
        <f>IF($A595="","",IFERROR(VALUE(SUBSTITUTE(SUBSTITUTE(SUBSTITUTE(VLOOKUP($A595,Inventory!$O$5:$P$604,2,FALSE),"Tk","")," ",""),",","")),""))</f>
        <v/>
      </c>
      <c r="L595" s="58" t="str">
        <f t="shared" si="3"/>
        <v/>
      </c>
      <c r="M595" s="58" t="str">
        <f t="shared" si="4"/>
        <v/>
      </c>
      <c r="O595" s="59" t="str">
        <f t="shared" si="5"/>
        <v/>
      </c>
      <c r="P595" s="52"/>
    </row>
    <row r="596" ht="15.75" customHeight="1">
      <c r="A596" s="29" t="str">
        <f t="array" ref="A596">IFERROR(INDEX(Purchases!$D$5:$D$1004,MATCH(ROW()-4,Purchases!$L$5:$L$1004,0)),"")</f>
        <v/>
      </c>
      <c r="B596" s="48" t="str">
        <f>IFERROR(VLOOKUP(A596,Purchases!$D:$E,2,FALSE),"")</f>
        <v/>
      </c>
      <c r="C596" s="48" t="str">
        <f>IFERROR(VLOOKUP(A596,Purchases!$D:$F,3,FALSE),"")</f>
        <v/>
      </c>
      <c r="D596" s="48" t="str">
        <f>IF(A596="","",SUMIF(Purchases!$D:$D,A596,Purchases!$K:$K))</f>
        <v/>
      </c>
      <c r="E596" s="48" t="str">
        <f>IF(A596="","",SUMIFS(Sales!$H:$H,Sales!$F:$F,A596,Sales!$B:$B,"&lt;&gt;Return"))</f>
        <v/>
      </c>
      <c r="F596" s="48" t="str">
        <f>IF(A596="","",SUMIFS(Sales!$H:$H,Sales!$F:$F,A596,Sales!$B:$B,"Return"))</f>
        <v/>
      </c>
      <c r="G596" s="48" t="str">
        <f>IF($A596="","",SUMIF('Shop Ledger'!$C:$C,$A596,'Shop Ledger'!$F:$F))</f>
        <v/>
      </c>
      <c r="H596" s="48" t="str">
        <f t="shared" si="1"/>
        <v/>
      </c>
      <c r="I596" s="44" t="str">
        <f>IF(A596="","",IFERROR(SUMIF(Purchases!$D:$D,A596,Purchases!$I:$I)/D596,0))</f>
        <v/>
      </c>
      <c r="J596" s="44" t="str">
        <f t="shared" si="2"/>
        <v/>
      </c>
      <c r="K596" s="30" t="str">
        <f>IF($A596="","",IFERROR(VALUE(SUBSTITUTE(SUBSTITUTE(SUBSTITUTE(VLOOKUP($A596,Inventory!$O$5:$P$604,2,FALSE),"Tk","")," ",""),",","")),""))</f>
        <v/>
      </c>
      <c r="L596" s="58" t="str">
        <f t="shared" si="3"/>
        <v/>
      </c>
      <c r="M596" s="58" t="str">
        <f t="shared" si="4"/>
        <v/>
      </c>
      <c r="O596" s="59" t="str">
        <f t="shared" si="5"/>
        <v/>
      </c>
      <c r="P596" s="52"/>
    </row>
    <row r="597" ht="15.75" customHeight="1">
      <c r="A597" s="29" t="str">
        <f t="array" ref="A597">IFERROR(INDEX(Purchases!$D$5:$D$1004,MATCH(ROW()-4,Purchases!$L$5:$L$1004,0)),"")</f>
        <v/>
      </c>
      <c r="B597" s="48" t="str">
        <f>IFERROR(VLOOKUP(A597,Purchases!$D:$E,2,FALSE),"")</f>
        <v/>
      </c>
      <c r="C597" s="48" t="str">
        <f>IFERROR(VLOOKUP(A597,Purchases!$D:$F,3,FALSE),"")</f>
        <v/>
      </c>
      <c r="D597" s="48" t="str">
        <f>IF(A597="","",SUMIF(Purchases!$D:$D,A597,Purchases!$K:$K))</f>
        <v/>
      </c>
      <c r="E597" s="48" t="str">
        <f>IF(A597="","",SUMIFS(Sales!$H:$H,Sales!$F:$F,A597,Sales!$B:$B,"&lt;&gt;Return"))</f>
        <v/>
      </c>
      <c r="F597" s="48" t="str">
        <f>IF(A597="","",SUMIFS(Sales!$H:$H,Sales!$F:$F,A597,Sales!$B:$B,"Return"))</f>
        <v/>
      </c>
      <c r="G597" s="48" t="str">
        <f>IF($A597="","",SUMIF('Shop Ledger'!$C:$C,$A597,'Shop Ledger'!$F:$F))</f>
        <v/>
      </c>
      <c r="H597" s="48" t="str">
        <f t="shared" si="1"/>
        <v/>
      </c>
      <c r="I597" s="44" t="str">
        <f>IF(A597="","",IFERROR(SUMIF(Purchases!$D:$D,A597,Purchases!$I:$I)/D597,0))</f>
        <v/>
      </c>
      <c r="J597" s="44" t="str">
        <f t="shared" si="2"/>
        <v/>
      </c>
      <c r="K597" s="30" t="str">
        <f>IF($A597="","",IFERROR(VALUE(SUBSTITUTE(SUBSTITUTE(SUBSTITUTE(VLOOKUP($A597,Inventory!$O$5:$P$604,2,FALSE),"Tk","")," ",""),",","")),""))</f>
        <v/>
      </c>
      <c r="L597" s="58" t="str">
        <f t="shared" si="3"/>
        <v/>
      </c>
      <c r="M597" s="58" t="str">
        <f t="shared" si="4"/>
        <v/>
      </c>
      <c r="O597" s="59" t="str">
        <f t="shared" si="5"/>
        <v/>
      </c>
      <c r="P597" s="52"/>
    </row>
    <row r="598" ht="15.75" customHeight="1">
      <c r="A598" s="29" t="str">
        <f t="array" ref="A598">IFERROR(INDEX(Purchases!$D$5:$D$1004,MATCH(ROW()-4,Purchases!$L$5:$L$1004,0)),"")</f>
        <v/>
      </c>
      <c r="B598" s="48" t="str">
        <f>IFERROR(VLOOKUP(A598,Purchases!$D:$E,2,FALSE),"")</f>
        <v/>
      </c>
      <c r="C598" s="48" t="str">
        <f>IFERROR(VLOOKUP(A598,Purchases!$D:$F,3,FALSE),"")</f>
        <v/>
      </c>
      <c r="D598" s="48" t="str">
        <f>IF(A598="","",SUMIF(Purchases!$D:$D,A598,Purchases!$K:$K))</f>
        <v/>
      </c>
      <c r="E598" s="48" t="str">
        <f>IF(A598="","",SUMIFS(Sales!$H:$H,Sales!$F:$F,A598,Sales!$B:$B,"&lt;&gt;Return"))</f>
        <v/>
      </c>
      <c r="F598" s="48" t="str">
        <f>IF(A598="","",SUMIFS(Sales!$H:$H,Sales!$F:$F,A598,Sales!$B:$B,"Return"))</f>
        <v/>
      </c>
      <c r="G598" s="48" t="str">
        <f>IF($A598="","",SUMIF('Shop Ledger'!$C:$C,$A598,'Shop Ledger'!$F:$F))</f>
        <v/>
      </c>
      <c r="H598" s="48" t="str">
        <f t="shared" si="1"/>
        <v/>
      </c>
      <c r="I598" s="44" t="str">
        <f>IF(A598="","",IFERROR(SUMIF(Purchases!$D:$D,A598,Purchases!$I:$I)/D598,0))</f>
        <v/>
      </c>
      <c r="J598" s="44" t="str">
        <f t="shared" si="2"/>
        <v/>
      </c>
      <c r="K598" s="30" t="str">
        <f>IF($A598="","",IFERROR(VALUE(SUBSTITUTE(SUBSTITUTE(SUBSTITUTE(VLOOKUP($A598,Inventory!$O$5:$P$604,2,FALSE),"Tk","")," ",""),",","")),""))</f>
        <v/>
      </c>
      <c r="L598" s="58" t="str">
        <f t="shared" si="3"/>
        <v/>
      </c>
      <c r="M598" s="58" t="str">
        <f t="shared" si="4"/>
        <v/>
      </c>
      <c r="O598" s="59" t="str">
        <f t="shared" si="5"/>
        <v/>
      </c>
      <c r="P598" s="52"/>
    </row>
    <row r="599" ht="15.75" customHeight="1">
      <c r="A599" s="29" t="str">
        <f t="array" ref="A599">IFERROR(INDEX(Purchases!$D$5:$D$1004,MATCH(ROW()-4,Purchases!$L$5:$L$1004,0)),"")</f>
        <v/>
      </c>
      <c r="B599" s="48" t="str">
        <f>IFERROR(VLOOKUP(A599,Purchases!$D:$E,2,FALSE),"")</f>
        <v/>
      </c>
      <c r="C599" s="48" t="str">
        <f>IFERROR(VLOOKUP(A599,Purchases!$D:$F,3,FALSE),"")</f>
        <v/>
      </c>
      <c r="D599" s="48" t="str">
        <f>IF(A599="","",SUMIF(Purchases!$D:$D,A599,Purchases!$K:$K))</f>
        <v/>
      </c>
      <c r="E599" s="48" t="str">
        <f>IF(A599="","",SUMIFS(Sales!$H:$H,Sales!$F:$F,A599,Sales!$B:$B,"&lt;&gt;Return"))</f>
        <v/>
      </c>
      <c r="F599" s="48" t="str">
        <f>IF(A599="","",SUMIFS(Sales!$H:$H,Sales!$F:$F,A599,Sales!$B:$B,"Return"))</f>
        <v/>
      </c>
      <c r="G599" s="48" t="str">
        <f>IF($A599="","",SUMIF('Shop Ledger'!$C:$C,$A599,'Shop Ledger'!$F:$F))</f>
        <v/>
      </c>
      <c r="H599" s="48" t="str">
        <f t="shared" si="1"/>
        <v/>
      </c>
      <c r="I599" s="44" t="str">
        <f>IF(A599="","",IFERROR(SUMIF(Purchases!$D:$D,A599,Purchases!$I:$I)/D599,0))</f>
        <v/>
      </c>
      <c r="J599" s="44" t="str">
        <f t="shared" si="2"/>
        <v/>
      </c>
      <c r="K599" s="30" t="str">
        <f>IF($A599="","",IFERROR(VALUE(SUBSTITUTE(SUBSTITUTE(SUBSTITUTE(VLOOKUP($A599,Inventory!$O$5:$P$604,2,FALSE),"Tk","")," ",""),",","")),""))</f>
        <v/>
      </c>
      <c r="L599" s="58" t="str">
        <f t="shared" si="3"/>
        <v/>
      </c>
      <c r="M599" s="58" t="str">
        <f t="shared" si="4"/>
        <v/>
      </c>
      <c r="O599" s="59" t="str">
        <f t="shared" si="5"/>
        <v/>
      </c>
      <c r="P599" s="52"/>
    </row>
    <row r="600" ht="15.75" customHeight="1">
      <c r="A600" s="29" t="str">
        <f t="array" ref="A600">IFERROR(INDEX(Purchases!$D$5:$D$1004,MATCH(ROW()-4,Purchases!$L$5:$L$1004,0)),"")</f>
        <v/>
      </c>
      <c r="B600" s="48" t="str">
        <f>IFERROR(VLOOKUP(A600,Purchases!$D:$E,2,FALSE),"")</f>
        <v/>
      </c>
      <c r="C600" s="48" t="str">
        <f>IFERROR(VLOOKUP(A600,Purchases!$D:$F,3,FALSE),"")</f>
        <v/>
      </c>
      <c r="D600" s="48" t="str">
        <f>IF(A600="","",SUMIF(Purchases!$D:$D,A600,Purchases!$K:$K))</f>
        <v/>
      </c>
      <c r="E600" s="48" t="str">
        <f>IF(A600="","",SUMIFS(Sales!$H:$H,Sales!$F:$F,A600,Sales!$B:$B,"&lt;&gt;Return"))</f>
        <v/>
      </c>
      <c r="F600" s="48" t="str">
        <f>IF(A600="","",SUMIFS(Sales!$H:$H,Sales!$F:$F,A600,Sales!$B:$B,"Return"))</f>
        <v/>
      </c>
      <c r="G600" s="48" t="str">
        <f>IF($A600="","",SUMIF('Shop Ledger'!$C:$C,$A600,'Shop Ledger'!$F:$F))</f>
        <v/>
      </c>
      <c r="H600" s="48" t="str">
        <f t="shared" si="1"/>
        <v/>
      </c>
      <c r="I600" s="44" t="str">
        <f>IF(A600="","",IFERROR(SUMIF(Purchases!$D:$D,A600,Purchases!$I:$I)/D600,0))</f>
        <v/>
      </c>
      <c r="J600" s="44" t="str">
        <f t="shared" si="2"/>
        <v/>
      </c>
      <c r="K600" s="30" t="str">
        <f>IF($A600="","",IFERROR(VALUE(SUBSTITUTE(SUBSTITUTE(SUBSTITUTE(VLOOKUP($A600,Inventory!$O$5:$P$604,2,FALSE),"Tk","")," ",""),",","")),""))</f>
        <v/>
      </c>
      <c r="L600" s="58" t="str">
        <f t="shared" si="3"/>
        <v/>
      </c>
      <c r="M600" s="58" t="str">
        <f t="shared" si="4"/>
        <v/>
      </c>
      <c r="O600" s="59" t="str">
        <f t="shared" si="5"/>
        <v/>
      </c>
      <c r="P600" s="52"/>
    </row>
    <row r="601" ht="15.75" customHeight="1">
      <c r="A601" s="29" t="str">
        <f t="array" ref="A601">IFERROR(INDEX(Purchases!$D$5:$D$1004,MATCH(ROW()-4,Purchases!$L$5:$L$1004,0)),"")</f>
        <v/>
      </c>
      <c r="B601" s="48" t="str">
        <f>IFERROR(VLOOKUP(A601,Purchases!$D:$E,2,FALSE),"")</f>
        <v/>
      </c>
      <c r="C601" s="48" t="str">
        <f>IFERROR(VLOOKUP(A601,Purchases!$D:$F,3,FALSE),"")</f>
        <v/>
      </c>
      <c r="D601" s="48" t="str">
        <f>IF(A601="","",SUMIF(Purchases!$D:$D,A601,Purchases!$K:$K))</f>
        <v/>
      </c>
      <c r="E601" s="48" t="str">
        <f>IF(A601="","",SUMIFS(Sales!$H:$H,Sales!$F:$F,A601,Sales!$B:$B,"&lt;&gt;Return"))</f>
        <v/>
      </c>
      <c r="F601" s="48" t="str">
        <f>IF(A601="","",SUMIFS(Sales!$H:$H,Sales!$F:$F,A601,Sales!$B:$B,"Return"))</f>
        <v/>
      </c>
      <c r="G601" s="48" t="str">
        <f>IF($A601="","",SUMIF('Shop Ledger'!$C:$C,$A601,'Shop Ledger'!$F:$F))</f>
        <v/>
      </c>
      <c r="H601" s="48" t="str">
        <f t="shared" si="1"/>
        <v/>
      </c>
      <c r="I601" s="44" t="str">
        <f>IF(A601="","",IFERROR(SUMIF(Purchases!$D:$D,A601,Purchases!$I:$I)/D601,0))</f>
        <v/>
      </c>
      <c r="J601" s="44" t="str">
        <f t="shared" si="2"/>
        <v/>
      </c>
      <c r="K601" s="30" t="str">
        <f>IF($A601="","",IFERROR(VALUE(SUBSTITUTE(SUBSTITUTE(SUBSTITUTE(VLOOKUP($A601,Inventory!$O$5:$P$604,2,FALSE),"Tk","")," ",""),",","")),""))</f>
        <v/>
      </c>
      <c r="L601" s="58" t="str">
        <f t="shared" si="3"/>
        <v/>
      </c>
      <c r="M601" s="58" t="str">
        <f t="shared" si="4"/>
        <v/>
      </c>
      <c r="O601" s="59" t="str">
        <f t="shared" si="5"/>
        <v/>
      </c>
      <c r="P601" s="52"/>
    </row>
    <row r="602" ht="15.75" customHeight="1">
      <c r="A602" s="29" t="str">
        <f t="array" ref="A602">IFERROR(INDEX(Purchases!$D$5:$D$1004,MATCH(ROW()-4,Purchases!$L$5:$L$1004,0)),"")</f>
        <v/>
      </c>
      <c r="B602" s="48" t="str">
        <f>IFERROR(VLOOKUP(A602,Purchases!$D:$E,2,FALSE),"")</f>
        <v/>
      </c>
      <c r="C602" s="48" t="str">
        <f>IFERROR(VLOOKUP(A602,Purchases!$D:$F,3,FALSE),"")</f>
        <v/>
      </c>
      <c r="D602" s="48" t="str">
        <f>IF(A602="","",SUMIF(Purchases!$D:$D,A602,Purchases!$K:$K))</f>
        <v/>
      </c>
      <c r="E602" s="48" t="str">
        <f>IF(A602="","",SUMIFS(Sales!$H:$H,Sales!$F:$F,A602,Sales!$B:$B,"&lt;&gt;Return"))</f>
        <v/>
      </c>
      <c r="F602" s="48" t="str">
        <f>IF(A602="","",SUMIFS(Sales!$H:$H,Sales!$F:$F,A602,Sales!$B:$B,"Return"))</f>
        <v/>
      </c>
      <c r="G602" s="48" t="str">
        <f>IF($A602="","",SUMIF('Shop Ledger'!$C:$C,$A602,'Shop Ledger'!$F:$F))</f>
        <v/>
      </c>
      <c r="H602" s="48" t="str">
        <f t="shared" si="1"/>
        <v/>
      </c>
      <c r="I602" s="44" t="str">
        <f>IF(A602="","",IFERROR(SUMIF(Purchases!$D:$D,A602,Purchases!$I:$I)/D602,0))</f>
        <v/>
      </c>
      <c r="J602" s="44" t="str">
        <f t="shared" si="2"/>
        <v/>
      </c>
      <c r="K602" s="30" t="str">
        <f>IF($A602="","",IFERROR(VALUE(SUBSTITUTE(SUBSTITUTE(SUBSTITUTE(VLOOKUP($A602,Inventory!$O$5:$P$604,2,FALSE),"Tk","")," ",""),",","")),""))</f>
        <v/>
      </c>
      <c r="L602" s="58" t="str">
        <f t="shared" si="3"/>
        <v/>
      </c>
      <c r="M602" s="58" t="str">
        <f t="shared" si="4"/>
        <v/>
      </c>
      <c r="O602" s="59" t="str">
        <f t="shared" si="5"/>
        <v/>
      </c>
      <c r="P602" s="52"/>
    </row>
    <row r="603" ht="15.75" customHeight="1">
      <c r="A603" s="29" t="str">
        <f t="array" ref="A603">IFERROR(INDEX(Purchases!$D$5:$D$1004,MATCH(ROW()-4,Purchases!$L$5:$L$1004,0)),"")</f>
        <v/>
      </c>
      <c r="B603" s="48" t="str">
        <f>IFERROR(VLOOKUP(A603,Purchases!$D:$E,2,FALSE),"")</f>
        <v/>
      </c>
      <c r="C603" s="48" t="str">
        <f>IFERROR(VLOOKUP(A603,Purchases!$D:$F,3,FALSE),"")</f>
        <v/>
      </c>
      <c r="D603" s="48" t="str">
        <f>IF(A603="","",SUMIF(Purchases!$D:$D,A603,Purchases!$K:$K))</f>
        <v/>
      </c>
      <c r="E603" s="48" t="str">
        <f>IF(A603="","",SUMIFS(Sales!$H:$H,Sales!$F:$F,A603,Sales!$B:$B,"&lt;&gt;Return"))</f>
        <v/>
      </c>
      <c r="F603" s="48" t="str">
        <f>IF(A603="","",SUMIFS(Sales!$H:$H,Sales!$F:$F,A603,Sales!$B:$B,"Return"))</f>
        <v/>
      </c>
      <c r="G603" s="48" t="str">
        <f>IF($A603="","",SUMIF('Shop Ledger'!$C:$C,$A603,'Shop Ledger'!$F:$F))</f>
        <v/>
      </c>
      <c r="H603" s="48" t="str">
        <f t="shared" si="1"/>
        <v/>
      </c>
      <c r="I603" s="44" t="str">
        <f>IF(A603="","",IFERROR(SUMIF(Purchases!$D:$D,A603,Purchases!$I:$I)/D603,0))</f>
        <v/>
      </c>
      <c r="J603" s="44" t="str">
        <f t="shared" si="2"/>
        <v/>
      </c>
      <c r="K603" s="30" t="str">
        <f>IF($A603="","",IFERROR(VALUE(SUBSTITUTE(SUBSTITUTE(SUBSTITUTE(VLOOKUP($A603,Inventory!$O$5:$P$604,2,FALSE),"Tk","")," ",""),",","")),""))</f>
        <v/>
      </c>
      <c r="L603" s="58" t="str">
        <f t="shared" si="3"/>
        <v/>
      </c>
      <c r="M603" s="58" t="str">
        <f t="shared" si="4"/>
        <v/>
      </c>
      <c r="O603" s="59" t="str">
        <f t="shared" si="5"/>
        <v/>
      </c>
      <c r="P603" s="52"/>
    </row>
    <row r="604" ht="15.75" customHeight="1">
      <c r="A604" s="29" t="str">
        <f t="array" ref="A604">IFERROR(INDEX(Purchases!$D$5:$D$1004,MATCH(ROW()-4,Purchases!$L$5:$L$1004,0)),"")</f>
        <v/>
      </c>
      <c r="B604" s="48" t="str">
        <f>IFERROR(VLOOKUP(A604,Purchases!$D:$E,2,FALSE),"")</f>
        <v/>
      </c>
      <c r="C604" s="48" t="str">
        <f>IFERROR(VLOOKUP(A604,Purchases!$D:$F,3,FALSE),"")</f>
        <v/>
      </c>
      <c r="D604" s="48" t="str">
        <f>IF(A604="","",SUMIF(Purchases!$D:$D,A604,Purchases!$K:$K))</f>
        <v/>
      </c>
      <c r="E604" s="48" t="str">
        <f>IF(A604="","",SUMIFS(Sales!$H:$H,Sales!$F:$F,A604,Sales!$B:$B,"&lt;&gt;Return"))</f>
        <v/>
      </c>
      <c r="F604" s="48" t="str">
        <f>IF(A604="","",SUMIFS(Sales!$H:$H,Sales!$F:$F,A604,Sales!$B:$B,"Return"))</f>
        <v/>
      </c>
      <c r="G604" s="48" t="str">
        <f>IF($A604="","",SUMIF('Shop Ledger'!$C:$C,$A604,'Shop Ledger'!$F:$F))</f>
        <v/>
      </c>
      <c r="H604" s="48" t="str">
        <f t="shared" si="1"/>
        <v/>
      </c>
      <c r="I604" s="44" t="str">
        <f>IF(A604="","",IFERROR(SUMIF(Purchases!$D:$D,A604,Purchases!$I:$I)/D604,0))</f>
        <v/>
      </c>
      <c r="J604" s="44" t="str">
        <f t="shared" si="2"/>
        <v/>
      </c>
      <c r="K604" s="30" t="str">
        <f>IF($A604="","",IFERROR(VALUE(SUBSTITUTE(SUBSTITUTE(SUBSTITUTE(VLOOKUP($A604,Inventory!$O$5:$P$604,2,FALSE),"Tk","")," ",""),",","")),""))</f>
        <v/>
      </c>
      <c r="L604" s="58" t="str">
        <f t="shared" si="3"/>
        <v/>
      </c>
      <c r="M604" s="58" t="str">
        <f t="shared" si="4"/>
        <v/>
      </c>
      <c r="O604" s="59" t="str">
        <f t="shared" si="5"/>
        <v/>
      </c>
      <c r="P604" s="52"/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B77F26-A232-4C2A-846B-1AFC72855611}" filter="1" showAutoFilter="1">
      <autoFilter ref="$A$4:$P$604"/>
    </customSheetView>
  </customSheetViews>
  <conditionalFormatting sqref="A5:M604">
    <cfRule type="expression" dxfId="7" priority="1">
      <formula>AND($A5&lt;&gt;"",$H5=0)</formula>
    </cfRule>
  </conditionalFormatting>
  <conditionalFormatting sqref="A5:M604">
    <cfRule type="expression" dxfId="8" priority="2">
      <formula>AND($A5&lt;&gt;"",$H5&lt;0)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8.57"/>
    <col customWidth="1" min="2" max="2" width="13.0"/>
    <col customWidth="1" min="3" max="3" width="9.71"/>
    <col customWidth="1" min="4" max="5" width="25.86"/>
    <col customWidth="1" min="6" max="6" width="35.57"/>
    <col customWidth="1" min="7" max="7" width="73.29"/>
    <col customWidth="1" min="8" max="8" width="10.29"/>
    <col customWidth="1" min="9" max="11" width="18.57"/>
    <col customWidth="1" min="12" max="13" width="20.29"/>
    <col customWidth="1" min="14" max="16" width="18.57"/>
    <col customWidth="1" min="17" max="17" width="27.71"/>
    <col customWidth="1" min="18" max="18" width="44.14"/>
    <col customWidth="1" min="19" max="19" width="37.71"/>
    <col customWidth="1" min="20" max="20" width="27.14"/>
    <col customWidth="1" min="21" max="21" width="27.43"/>
    <col customWidth="1" min="22" max="22" width="38.14"/>
    <col customWidth="1" min="23" max="23" width="34.0"/>
    <col customWidth="1" min="24" max="24" width="39.43"/>
    <col customWidth="1" min="25" max="25" width="30.57"/>
  </cols>
  <sheetData>
    <row r="1" ht="14.25" customHeight="1">
      <c r="A1" s="11" t="s">
        <v>281</v>
      </c>
      <c r="K1" s="70" t="s">
        <v>282</v>
      </c>
      <c r="L1" s="71"/>
      <c r="M1" s="72"/>
      <c r="N1" s="71"/>
      <c r="O1" s="72"/>
      <c r="P1" s="71"/>
      <c r="AC1" s="73" t="s">
        <v>283</v>
      </c>
      <c r="AD1" s="73"/>
      <c r="AF1" s="73" t="s">
        <v>284</v>
      </c>
      <c r="AG1" s="73" t="str">
        <f t="shared" ref="AG1:AG3" si="1">IF(AF1="","",AF1)</f>
        <v>ALPHA</v>
      </c>
    </row>
    <row r="2" ht="14.25" customHeight="1">
      <c r="A2" s="2" t="s">
        <v>285</v>
      </c>
      <c r="K2" s="74" t="s">
        <v>286</v>
      </c>
      <c r="L2" s="75">
        <f>SUM(Sales!$L$7:$L$1506)</f>
        <v>147710.0106</v>
      </c>
      <c r="M2" s="76" t="s">
        <v>287</v>
      </c>
      <c r="N2" s="75">
        <f>SUM(Sales!$O$7:$O$1506)</f>
        <v>114725.8792</v>
      </c>
      <c r="O2" s="76" t="s">
        <v>288</v>
      </c>
      <c r="P2" s="75">
        <f>SUM(Sales!$P$7:$P$1506)</f>
        <v>32984.13146</v>
      </c>
      <c r="AC2" s="73" t="s">
        <v>290</v>
      </c>
      <c r="AD2" s="73"/>
      <c r="AF2" s="73" t="s">
        <v>292</v>
      </c>
      <c r="AG2" s="73" t="str">
        <f t="shared" si="1"/>
        <v>BRAVO</v>
      </c>
    </row>
    <row r="3" ht="14.25" customHeight="1">
      <c r="K3" s="74" t="s">
        <v>293</v>
      </c>
      <c r="L3" s="75">
        <f>SUM(Sales!$R$7:$R$1506)</f>
        <v>1890</v>
      </c>
      <c r="M3" s="76" t="s">
        <v>294</v>
      </c>
      <c r="N3" s="75">
        <f>SUM(Sales!$S$7:$S$1506)</f>
        <v>1995</v>
      </c>
      <c r="O3" s="76" t="s">
        <v>295</v>
      </c>
      <c r="P3" s="75">
        <f>SUM(Sales!$T$7:$T$1506)</f>
        <v>32731.09453</v>
      </c>
      <c r="AC3" s="73" t="s">
        <v>296</v>
      </c>
      <c r="AD3" s="73"/>
      <c r="AF3" s="73" t="s">
        <v>297</v>
      </c>
      <c r="AG3" s="73" t="str">
        <f t="shared" si="1"/>
        <v>CHARLIE</v>
      </c>
    </row>
    <row r="4" ht="14.25" customHeight="1">
      <c r="K4" s="77" t="s">
        <v>298</v>
      </c>
      <c r="L4" s="78">
        <f>SUMIFS(Sales!$L$7:$L$1506,Sales!$M$7:$M$1506,"Due")</f>
        <v>6812.004</v>
      </c>
      <c r="M4" s="79" t="s">
        <v>301</v>
      </c>
      <c r="N4" s="78">
        <f>SUMIFS(Sales!$T$7:$T$1506,Sales!$M$7:$M$1506,"Paid")</f>
        <v>30785.75687</v>
      </c>
      <c r="O4" s="79" t="s">
        <v>302</v>
      </c>
      <c r="P4" s="78">
        <f>SUMIFS(Sales!$T$7:$T$1506,Sales!$M$7:$M$1506,"Due")</f>
        <v>1544.846267</v>
      </c>
    </row>
    <row r="5" ht="7.5" customHeight="1"/>
    <row r="6" ht="14.25" customHeight="1">
      <c r="A6" s="80" t="s">
        <v>36</v>
      </c>
      <c r="B6" s="80" t="s">
        <v>43</v>
      </c>
      <c r="C6" s="80" t="s">
        <v>303</v>
      </c>
      <c r="D6" s="80" t="s">
        <v>304</v>
      </c>
      <c r="E6" s="80" t="s">
        <v>305</v>
      </c>
      <c r="F6" s="80" t="s">
        <v>307</v>
      </c>
      <c r="G6" s="80" t="s">
        <v>308</v>
      </c>
      <c r="H6" s="80" t="s">
        <v>59</v>
      </c>
      <c r="I6" s="80" t="s">
        <v>310</v>
      </c>
      <c r="J6" s="80" t="s">
        <v>152</v>
      </c>
      <c r="K6" s="80" t="s">
        <v>311</v>
      </c>
      <c r="L6" s="80" t="s">
        <v>312</v>
      </c>
      <c r="M6" s="80" t="s">
        <v>313</v>
      </c>
      <c r="N6" s="80" t="s">
        <v>61</v>
      </c>
      <c r="O6" s="80" t="s">
        <v>67</v>
      </c>
      <c r="P6" s="80" t="s">
        <v>314</v>
      </c>
      <c r="Q6" s="80" t="s">
        <v>54</v>
      </c>
      <c r="R6" s="80" t="s">
        <v>315</v>
      </c>
      <c r="S6" s="80" t="s">
        <v>316</v>
      </c>
      <c r="T6" s="80" t="s">
        <v>317</v>
      </c>
      <c r="U6" s="81" t="s">
        <v>318</v>
      </c>
      <c r="V6" s="80" t="s">
        <v>319</v>
      </c>
      <c r="W6" s="80" t="s">
        <v>320</v>
      </c>
      <c r="X6" s="80" t="s">
        <v>321</v>
      </c>
      <c r="Y6" s="80" t="s">
        <v>322</v>
      </c>
      <c r="AA6" s="73" t="s">
        <v>323</v>
      </c>
    </row>
    <row r="7" ht="14.25" customHeight="1">
      <c r="A7" s="82">
        <v>46219.0</v>
      </c>
      <c r="B7" s="83" t="s">
        <v>324</v>
      </c>
      <c r="C7" s="83" t="s">
        <v>325</v>
      </c>
      <c r="D7" s="83" t="s">
        <v>326</v>
      </c>
      <c r="E7" s="83" t="s">
        <v>327</v>
      </c>
      <c r="F7" s="83" t="s">
        <v>186</v>
      </c>
      <c r="G7" s="83" t="str">
        <f>IF($F7="","",IFERROR(VLOOKUP($F7,Inventory!$A:$B,2,FALSE),""))</f>
        <v>Smart Heart Adult Cat Food Chicken &amp; Tuna [15kg]</v>
      </c>
      <c r="H7" s="83">
        <v>1.0</v>
      </c>
      <c r="I7" s="84">
        <f t="shared" ref="I7:I1506" si="2">IF($F7="","",IF($B7="Gift",0,J7-IF(K7="",0,K7)))</f>
        <v>6400</v>
      </c>
      <c r="J7" s="85">
        <f>IF($F7="","",IFERROR(VLOOKUP($F7,Inventory!$A:$K,11,FALSE),0))</f>
        <v>6700</v>
      </c>
      <c r="K7" s="85">
        <v>300.0</v>
      </c>
      <c r="L7" s="85">
        <f t="shared" ref="L7:L533" si="3">IF($F7="","",IF($B7="Return",-H7*I7,H7*I7))</f>
        <v>6400</v>
      </c>
      <c r="M7" s="83" t="s">
        <v>330</v>
      </c>
      <c r="N7" s="85">
        <f>IF($F7="","",IFERROR(VLOOKUP($F7,Inventory!$A:$I,9,FALSE),0))</f>
        <v>5700</v>
      </c>
      <c r="O7" s="85">
        <f t="shared" ref="O7:O532" si="4">IF($F7="","",IF($B7="Return",-H7*N7,H7*N7))</f>
        <v>5700</v>
      </c>
      <c r="P7" s="85">
        <f t="shared" ref="P7:P1506" si="5">IF($F7="","",L7-O7)</f>
        <v>700</v>
      </c>
      <c r="Q7" s="83"/>
      <c r="R7" s="87">
        <f>IF($E7="","",IF(COUNTIF($E$7:$E7,$E7)&gt;1,"",IFERROR(VLOOKUP($E7,Orders!$A:$I,8,FALSE),"")))</f>
        <v>200</v>
      </c>
      <c r="S7" s="87">
        <f>IF($E7="","",IF(COUNTIF($E$7:$E7,$E7)&gt;1,"",IFERROR(VLOOKUP($E7,Orders!$A:$I,9,FALSE),"")))</f>
        <v>200</v>
      </c>
      <c r="T7" s="88">
        <f t="shared" ref="T7:T513" si="6">IF($F7="","",P7+IF(R7="",0,R7)-IF(S7="",0,S7))</f>
        <v>700</v>
      </c>
      <c r="U7" s="88">
        <f>IF($F7="","",IF($E7="",T7,SUMIF(Sales!$E$7:$E$1506,$E7,Sales!$T$7:$T$1506)))</f>
        <v>1100</v>
      </c>
      <c r="V7" s="49">
        <f t="shared" ref="V7:V308" si="7">IF(OR($C7&lt;&gt;"Online",$E7=""),"",IF(COUNTIF($E$7:$E7,$E7)&gt;1,"",COUNT($V$6:V6)+1))</f>
        <v>1</v>
      </c>
      <c r="W7" s="49">
        <f t="array" ref="W7">IF($V7="","",SUMPRODUCT((Sales!$V$7:$V$1506&lt;&gt;"")*(Sales!$E$7:$E$1506&lt;$E7))+1)</f>
        <v>2</v>
      </c>
      <c r="X7" s="49">
        <f t="shared" ref="X7:X308" si="8">IF($A7="","",COUNTIFS($A$7:$A7,"&gt;="&amp;EOMONTH($A7,-1)+1,$A$7:$A7,"&lt;="&amp;EOMONTH($A7,0)))</f>
        <v>1</v>
      </c>
      <c r="Y7" s="49" t="str">
        <f t="shared" ref="Y7:Y513" si="9">IF($A7="","",TEXT($A7,"yyyymm")&amp;"-"&amp;$X7)</f>
        <v>202607-1</v>
      </c>
      <c r="AA7" s="73" t="str">
        <f>IF(Inventory!A5="","",Inventory!A5)</f>
        <v>AC-PNC-LR-002</v>
      </c>
    </row>
    <row r="8" ht="14.25" customHeight="1">
      <c r="A8" s="82">
        <v>46219.0</v>
      </c>
      <c r="B8" s="83" t="s">
        <v>324</v>
      </c>
      <c r="C8" s="83" t="s">
        <v>325</v>
      </c>
      <c r="D8" s="83" t="s">
        <v>326</v>
      </c>
      <c r="E8" s="83" t="s">
        <v>327</v>
      </c>
      <c r="F8" s="83" t="s">
        <v>279</v>
      </c>
      <c r="G8" s="83" t="str">
        <f>IF($F8="","",IFERROR(VLOOKUP($F8,Inventory!$A:$B,2,FALSE),""))</f>
        <v>Smart Heart 10KG Chicken &amp; Tuna</v>
      </c>
      <c r="H8" s="83">
        <v>2.0</v>
      </c>
      <c r="I8" s="84">
        <f t="shared" si="2"/>
        <v>4300</v>
      </c>
      <c r="J8" s="85">
        <f>IF($F8="","",IFERROR(VLOOKUP($F8,Inventory!$A:$K,11,FALSE),0))</f>
        <v>4700</v>
      </c>
      <c r="K8" s="85">
        <v>400.0</v>
      </c>
      <c r="L8" s="85">
        <f t="shared" si="3"/>
        <v>8600</v>
      </c>
      <c r="M8" s="83" t="s">
        <v>330</v>
      </c>
      <c r="N8" s="85">
        <f>IF($F8="","",IFERROR(VLOOKUP($F8,Inventory!$A:$I,9,FALSE),0))</f>
        <v>4100</v>
      </c>
      <c r="O8" s="85">
        <f t="shared" si="4"/>
        <v>8200</v>
      </c>
      <c r="P8" s="85">
        <f t="shared" si="5"/>
        <v>400</v>
      </c>
      <c r="Q8" s="83"/>
      <c r="R8" s="87" t="str">
        <f>IF($E8="","",IF(COUNTIF($E$7:$E8,$E8)&gt;1,"",IFERROR(VLOOKUP($E8,Orders!$A:$I,8,FALSE),"")))</f>
        <v/>
      </c>
      <c r="S8" s="87" t="str">
        <f>IF($E8="","",IF(COUNTIF($E$7:$E8,$E8)&gt;1,"",IFERROR(VLOOKUP($E8,Orders!$A:$I,9,FALSE),"")))</f>
        <v/>
      </c>
      <c r="T8" s="88">
        <f t="shared" si="6"/>
        <v>400</v>
      </c>
      <c r="U8" s="88">
        <f>IF($F8="","",IF($E8="",T8,SUMIF(Sales!$E$7:$E$1506,$E8,Sales!$T$7:$T$1506)))</f>
        <v>1100</v>
      </c>
      <c r="V8" s="49" t="str">
        <f t="shared" si="7"/>
        <v/>
      </c>
      <c r="W8" s="49" t="str">
        <f t="array" ref="W8">IF($V8="","",SUMPRODUCT((Sales!$V$7:$V$1506&lt;&gt;"")*(Sales!$E$7:$E$1506&lt;$E8))+1)</f>
        <v/>
      </c>
      <c r="X8" s="49">
        <f t="shared" si="8"/>
        <v>2</v>
      </c>
      <c r="Y8" s="49" t="str">
        <f t="shared" si="9"/>
        <v>202607-2</v>
      </c>
      <c r="AA8" s="73" t="str">
        <f>IF(Inventory!A6="","",Inventory!A6)</f>
        <v>AC-CTOY-004</v>
      </c>
    </row>
    <row r="9" ht="14.25" customHeight="1">
      <c r="A9" s="82">
        <v>46216.0</v>
      </c>
      <c r="B9" s="83" t="s">
        <v>324</v>
      </c>
      <c r="C9" s="83" t="s">
        <v>325</v>
      </c>
      <c r="D9" s="83" t="s">
        <v>345</v>
      </c>
      <c r="E9" s="83" t="s">
        <v>346</v>
      </c>
      <c r="F9" s="83" t="s">
        <v>109</v>
      </c>
      <c r="G9" s="83" t="str">
        <f>IF($F9="","",IFERROR(VLOOKUP($F9,Inventory!$A:$B,2,FALSE),""))</f>
        <v>Cat Jersey Argentina Medium</v>
      </c>
      <c r="H9" s="83">
        <v>2.0</v>
      </c>
      <c r="I9" s="84">
        <f t="shared" si="2"/>
        <v>282</v>
      </c>
      <c r="J9" s="85">
        <f>IF($F9="","",IFERROR(VLOOKUP($F9,Inventory!$A:$K,11,FALSE),0))</f>
        <v>300</v>
      </c>
      <c r="K9" s="85">
        <v>18.0</v>
      </c>
      <c r="L9" s="85">
        <f t="shared" si="3"/>
        <v>564</v>
      </c>
      <c r="M9" s="83" t="s">
        <v>330</v>
      </c>
      <c r="N9" s="85">
        <f>IF($F9="","",IFERROR(VLOOKUP($F9,Inventory!$A:$I,9,FALSE),0))</f>
        <v>140</v>
      </c>
      <c r="O9" s="85">
        <f t="shared" si="4"/>
        <v>280</v>
      </c>
      <c r="P9" s="85">
        <f t="shared" si="5"/>
        <v>284</v>
      </c>
      <c r="Q9" s="83" t="s">
        <v>351</v>
      </c>
      <c r="R9" s="87">
        <f>IF($E9="","",IF(COUNTIF($E$7:$E9,$E9)&gt;1,"",IFERROR(VLOOKUP($E9,Orders!$A:$I,8,FALSE),"")))</f>
        <v>80</v>
      </c>
      <c r="S9" s="87">
        <f>IF($E9="","",IF(COUNTIF($E$7:$E9,$E9)&gt;1,"",IFERROR(VLOOKUP($E9,Orders!$A:$I,9,FALSE),"")))</f>
        <v>36</v>
      </c>
      <c r="T9" s="88">
        <f t="shared" si="6"/>
        <v>328</v>
      </c>
      <c r="U9" s="88">
        <f>IF($F9="","",IF($E9="",T9,SUMIF(Sales!$E$7:$E$1506,$E9,Sales!$T$7:$T$1506)))</f>
        <v>328</v>
      </c>
      <c r="V9" s="49">
        <f t="shared" si="7"/>
        <v>2</v>
      </c>
      <c r="W9" s="49">
        <f t="array" ref="W9">IF($V9="","",SUMPRODUCT((Sales!$V$7:$V$1506&lt;&gt;"")*(Sales!$E$7:$E$1506&lt;$E9))+1)</f>
        <v>1</v>
      </c>
      <c r="X9" s="49">
        <f t="shared" si="8"/>
        <v>3</v>
      </c>
      <c r="Y9" s="49" t="str">
        <f t="shared" si="9"/>
        <v>202607-3</v>
      </c>
      <c r="AA9" s="73" t="str">
        <f>IF(Inventory!A7="","",Inventory!A7)</f>
        <v>AC-CB-001</v>
      </c>
    </row>
    <row r="10" ht="14.25" customHeight="1">
      <c r="A10" s="82">
        <v>46221.0</v>
      </c>
      <c r="B10" s="83" t="s">
        <v>324</v>
      </c>
      <c r="C10" s="83" t="s">
        <v>325</v>
      </c>
      <c r="D10" s="83" t="s">
        <v>356</v>
      </c>
      <c r="E10" s="83" t="s">
        <v>357</v>
      </c>
      <c r="F10" s="83" t="s">
        <v>186</v>
      </c>
      <c r="G10" s="83" t="str">
        <f>IF($F10="","",IFERROR(VLOOKUP($F10,Inventory!$A:$B,2,FALSE),""))</f>
        <v>Smart Heart Adult Cat Food Chicken &amp; Tuna [15kg]</v>
      </c>
      <c r="H10" s="83">
        <v>1.0</v>
      </c>
      <c r="I10" s="84">
        <f t="shared" si="2"/>
        <v>6100</v>
      </c>
      <c r="J10" s="85">
        <f>IF($F10="","",IFERROR(VLOOKUP($F10,Inventory!$A:$K,11,FALSE),0))</f>
        <v>6700</v>
      </c>
      <c r="K10" s="85">
        <v>600.0</v>
      </c>
      <c r="L10" s="85">
        <f t="shared" si="3"/>
        <v>6100</v>
      </c>
      <c r="M10" s="83" t="s">
        <v>330</v>
      </c>
      <c r="N10" s="85">
        <f>IF($F10="","",IFERROR(VLOOKUP($F10,Inventory!$A:$I,9,FALSE),0))</f>
        <v>5700</v>
      </c>
      <c r="O10" s="85">
        <f t="shared" si="4"/>
        <v>5700</v>
      </c>
      <c r="P10" s="85">
        <f t="shared" si="5"/>
        <v>400</v>
      </c>
      <c r="Q10" s="83"/>
      <c r="R10" s="87">
        <f>IF($E10="","",IF(COUNTIF($E$7:$E10,$E10)&gt;1,"",IFERROR(VLOOKUP($E10,Orders!$A:$I,8,FALSE),"")))</f>
        <v>0</v>
      </c>
      <c r="S10" s="87">
        <f>IF($E10="","",IF(COUNTIF($E$7:$E10,$E10)&gt;1,"",IFERROR(VLOOKUP($E10,Orders!$A:$I,9,FALSE),"")))</f>
        <v>0</v>
      </c>
      <c r="T10" s="88">
        <f t="shared" si="6"/>
        <v>400</v>
      </c>
      <c r="U10" s="88">
        <f>IF($F10="","",IF($E10="",T10,SUMIF(Sales!$E$7:$E$1506,$E10,Sales!$T$7:$T$1506)))</f>
        <v>220</v>
      </c>
      <c r="V10" s="49">
        <f t="shared" si="7"/>
        <v>3</v>
      </c>
      <c r="W10" s="49">
        <f t="array" ref="W10">IF($V10="","",SUMPRODUCT((Sales!$V$7:$V$1506&lt;&gt;"")*(Sales!$E$7:$E$1506&lt;$E10))+1)</f>
        <v>3</v>
      </c>
      <c r="X10" s="49">
        <f t="shared" si="8"/>
        <v>4</v>
      </c>
      <c r="Y10" s="49" t="str">
        <f t="shared" si="9"/>
        <v>202607-4</v>
      </c>
      <c r="AA10" s="73" t="str">
        <f>IF(Inventory!A8="","",Inventory!A8)</f>
        <v>PO-WET-NK-70G-001</v>
      </c>
    </row>
    <row r="11" ht="14.25" customHeight="1">
      <c r="A11" s="82">
        <v>46210.0</v>
      </c>
      <c r="B11" s="83" t="s">
        <v>324</v>
      </c>
      <c r="C11" s="83" t="s">
        <v>365</v>
      </c>
      <c r="D11" s="83" t="s">
        <v>366</v>
      </c>
      <c r="E11" s="83" t="s">
        <v>367</v>
      </c>
      <c r="F11" s="83" t="s">
        <v>179</v>
      </c>
      <c r="G11" s="83" t="str">
        <f>IF($F11="","",IFERROR(VLOOKUP($F11,Inventory!$A:$B,2,FALSE),""))</f>
        <v>Creamy Treat 15G (Purry &amp; Hyper Paws)</v>
      </c>
      <c r="H11" s="83">
        <v>40.0</v>
      </c>
      <c r="I11" s="84">
        <f t="shared" si="2"/>
        <v>19.5</v>
      </c>
      <c r="J11" s="85">
        <f>IF($F11="","",IFERROR(VLOOKUP($F11,Inventory!$A:$K,11,FALSE),0))</f>
        <v>20</v>
      </c>
      <c r="K11" s="85">
        <v>0.5</v>
      </c>
      <c r="L11" s="85">
        <f t="shared" si="3"/>
        <v>780</v>
      </c>
      <c r="M11" s="83" t="s">
        <v>330</v>
      </c>
      <c r="N11" s="85">
        <f>IF($F11="","",IFERROR(VLOOKUP($F11,Inventory!$A:$I,9,FALSE),0))</f>
        <v>8.147411853</v>
      </c>
      <c r="O11" s="85">
        <f t="shared" si="4"/>
        <v>325.8964741</v>
      </c>
      <c r="P11" s="85">
        <f t="shared" si="5"/>
        <v>454.1035259</v>
      </c>
      <c r="Q11" s="83"/>
      <c r="R11" s="87" t="str">
        <f>IF($E11="","",IF(COUNTIF($E$7:$E11,$E11)&gt;1,"",IFERROR(VLOOKUP($E11,Orders!$A:$I,8,FALSE),"")))</f>
        <v/>
      </c>
      <c r="S11" s="87" t="str">
        <f>IF($E11="","",IF(COUNTIF($E$7:$E11,$E11)&gt;1,"",IFERROR(VLOOKUP($E11,Orders!$A:$I,9,FALSE),"")))</f>
        <v/>
      </c>
      <c r="T11" s="88">
        <f t="shared" si="6"/>
        <v>454.1035259</v>
      </c>
      <c r="U11" s="88">
        <f>IF($F11="","",IF($E11="",T11,SUMIF(Sales!$E$7:$E$1506,$E11,Sales!$T$7:$T$1506)))</f>
        <v>908.2070518</v>
      </c>
      <c r="V11" s="49" t="str">
        <f t="shared" si="7"/>
        <v/>
      </c>
      <c r="W11" s="49" t="str">
        <f t="array" ref="W11">IF($V11="","",SUMPRODUCT((Sales!$V$7:$V$1506&lt;&gt;"")*(Sales!$E$7:$E$1506&lt;$E11))+1)</f>
        <v/>
      </c>
      <c r="X11" s="49">
        <f t="shared" si="8"/>
        <v>5</v>
      </c>
      <c r="Y11" s="49" t="str">
        <f t="shared" si="9"/>
        <v>202607-5</v>
      </c>
      <c r="AA11" s="73" t="str">
        <f>IF(Inventory!A9="","",Inventory!A9)</f>
        <v>AC-CJ-AR-001</v>
      </c>
    </row>
    <row r="12" ht="14.25" customHeight="1">
      <c r="A12" s="82">
        <v>46211.0</v>
      </c>
      <c r="B12" s="83" t="s">
        <v>324</v>
      </c>
      <c r="C12" s="83" t="s">
        <v>365</v>
      </c>
      <c r="D12" s="83" t="s">
        <v>366</v>
      </c>
      <c r="E12" s="83" t="s">
        <v>367</v>
      </c>
      <c r="F12" s="83" t="s">
        <v>179</v>
      </c>
      <c r="G12" s="83" t="str">
        <f>IF($F12="","",IFERROR(VLOOKUP($F12,Inventory!$A:$B,2,FALSE),""))</f>
        <v>Creamy Treat 15G (Purry &amp; Hyper Paws)</v>
      </c>
      <c r="H12" s="83">
        <v>40.0</v>
      </c>
      <c r="I12" s="84">
        <f t="shared" si="2"/>
        <v>19.5</v>
      </c>
      <c r="J12" s="85">
        <f>IF($F12="","",IFERROR(VLOOKUP($F12,Inventory!$A:$K,11,FALSE),0))</f>
        <v>20</v>
      </c>
      <c r="K12" s="85">
        <v>0.5</v>
      </c>
      <c r="L12" s="85">
        <f t="shared" si="3"/>
        <v>780</v>
      </c>
      <c r="M12" s="83" t="s">
        <v>330</v>
      </c>
      <c r="N12" s="85">
        <f>IF($F12="","",IFERROR(VLOOKUP($F12,Inventory!$A:$I,9,FALSE),0))</f>
        <v>8.147411853</v>
      </c>
      <c r="O12" s="85">
        <f t="shared" si="4"/>
        <v>325.8964741</v>
      </c>
      <c r="P12" s="85">
        <f t="shared" si="5"/>
        <v>454.1035259</v>
      </c>
      <c r="Q12" s="83"/>
      <c r="R12" s="87" t="str">
        <f>IF($E12="","",IF(COUNTIF($E$7:$E12,$E12)&gt;1,"",IFERROR(VLOOKUP($E12,Orders!$A:$I,8,FALSE),"")))</f>
        <v/>
      </c>
      <c r="S12" s="87" t="str">
        <f>IF($E12="","",IF(COUNTIF($E$7:$E12,$E12)&gt;1,"",IFERROR(VLOOKUP($E12,Orders!$A:$I,9,FALSE),"")))</f>
        <v/>
      </c>
      <c r="T12" s="88">
        <f t="shared" si="6"/>
        <v>454.1035259</v>
      </c>
      <c r="U12" s="88">
        <f>IF($F12="","",IF($E12="",T12,SUMIF(Sales!$E$7:$E$1506,$E12,Sales!$T$7:$T$1506)))</f>
        <v>908.2070518</v>
      </c>
      <c r="V12" s="49" t="str">
        <f t="shared" si="7"/>
        <v/>
      </c>
      <c r="W12" s="49" t="str">
        <f t="array" ref="W12">IF($V12="","",SUMPRODUCT((Sales!$V$7:$V$1506&lt;&gt;"")*(Sales!$E$7:$E$1506&lt;$E12))+1)</f>
        <v/>
      </c>
      <c r="X12" s="49">
        <f t="shared" si="8"/>
        <v>6</v>
      </c>
      <c r="Y12" s="49" t="str">
        <f t="shared" si="9"/>
        <v>202607-6</v>
      </c>
      <c r="AA12" s="73" t="str">
        <f>IF(Inventory!A10="","",Inventory!A10)</f>
        <v>AC-CJ-AR-002</v>
      </c>
    </row>
    <row r="13" ht="14.25" customHeight="1">
      <c r="A13" s="82">
        <v>46212.0</v>
      </c>
      <c r="B13" s="83" t="s">
        <v>324</v>
      </c>
      <c r="C13" s="83" t="s">
        <v>365</v>
      </c>
      <c r="D13" s="83" t="s">
        <v>366</v>
      </c>
      <c r="E13" s="83" t="s">
        <v>380</v>
      </c>
      <c r="F13" s="83" t="s">
        <v>172</v>
      </c>
      <c r="G13" s="83" t="str">
        <f>IF($F13="","",IFERROR(VLOOKUP($F13,Inventory!$A:$B,2,FALSE),""))</f>
        <v>Chonk All ages Ocean Fish with Chicken</v>
      </c>
      <c r="H13" s="83">
        <v>1.0</v>
      </c>
      <c r="I13" s="84">
        <f t="shared" si="2"/>
        <v>500</v>
      </c>
      <c r="J13" s="85">
        <f>IF($F13="","",IFERROR(VLOOKUP($F13,Inventory!$A:$K,11,FALSE),0))</f>
        <v>500</v>
      </c>
      <c r="K13" s="85"/>
      <c r="L13" s="85">
        <f t="shared" si="3"/>
        <v>500</v>
      </c>
      <c r="M13" s="83" t="s">
        <v>330</v>
      </c>
      <c r="N13" s="85">
        <f>IF($F13="","",IFERROR(VLOOKUP($F13,Inventory!$A:$I,9,FALSE),0))</f>
        <v>400</v>
      </c>
      <c r="O13" s="85">
        <f t="shared" si="4"/>
        <v>400</v>
      </c>
      <c r="P13" s="85">
        <f t="shared" si="5"/>
        <v>100</v>
      </c>
      <c r="Q13" s="83"/>
      <c r="R13" s="87" t="str">
        <f>IF($E13="","",IF(COUNTIF($E$7:$E13,$E13)&gt;1,"",IFERROR(VLOOKUP($E13,Orders!$A:$I,8,FALSE),"")))</f>
        <v/>
      </c>
      <c r="S13" s="87" t="str">
        <f>IF($E13="","",IF(COUNTIF($E$7:$E13,$E13)&gt;1,"",IFERROR(VLOOKUP($E13,Orders!$A:$I,9,FALSE),"")))</f>
        <v/>
      </c>
      <c r="T13" s="88">
        <f t="shared" si="6"/>
        <v>100</v>
      </c>
      <c r="U13" s="88">
        <f>IF($F13="","",IF($E13="",T13,SUMIF(Sales!$E$7:$E$1506,$E13,Sales!$T$7:$T$1506)))</f>
        <v>300</v>
      </c>
      <c r="V13" s="49" t="str">
        <f t="shared" si="7"/>
        <v/>
      </c>
      <c r="W13" s="49" t="str">
        <f t="array" ref="W13">IF($V13="","",SUMPRODUCT((Sales!$V$7:$V$1506&lt;&gt;"")*(Sales!$E$7:$E$1506&lt;$E13))+1)</f>
        <v/>
      </c>
      <c r="X13" s="49">
        <f t="shared" si="8"/>
        <v>7</v>
      </c>
      <c r="Y13" s="49" t="str">
        <f t="shared" si="9"/>
        <v>202607-7</v>
      </c>
      <c r="AA13" s="73" t="str">
        <f>IF(Inventory!A11="","",Inventory!A11)</f>
        <v>AC-CJ-BR-002</v>
      </c>
    </row>
    <row r="14" ht="14.25" customHeight="1">
      <c r="A14" s="82">
        <v>46213.0</v>
      </c>
      <c r="B14" s="83" t="s">
        <v>324</v>
      </c>
      <c r="C14" s="83" t="s">
        <v>365</v>
      </c>
      <c r="D14" s="83" t="s">
        <v>366</v>
      </c>
      <c r="E14" s="83" t="s">
        <v>380</v>
      </c>
      <c r="F14" s="83" t="s">
        <v>176</v>
      </c>
      <c r="G14" s="83" t="str">
        <f>IF($F14="","",IFERROR(VLOOKUP($F14,Inventory!$A:$B,2,FALSE),""))</f>
        <v>Chonk All ages Tuna</v>
      </c>
      <c r="H14" s="83">
        <v>2.0</v>
      </c>
      <c r="I14" s="84">
        <f t="shared" si="2"/>
        <v>500</v>
      </c>
      <c r="J14" s="85">
        <f>IF($F14="","",IFERROR(VLOOKUP($F14,Inventory!$A:$K,11,FALSE),0))</f>
        <v>500</v>
      </c>
      <c r="K14" s="85"/>
      <c r="L14" s="85">
        <f t="shared" si="3"/>
        <v>1000</v>
      </c>
      <c r="M14" s="83" t="s">
        <v>330</v>
      </c>
      <c r="N14" s="85">
        <f>IF($F14="","",IFERROR(VLOOKUP($F14,Inventory!$A:$I,9,FALSE),0))</f>
        <v>400</v>
      </c>
      <c r="O14" s="85">
        <f t="shared" si="4"/>
        <v>800</v>
      </c>
      <c r="P14" s="85">
        <f t="shared" si="5"/>
        <v>200</v>
      </c>
      <c r="Q14" s="83"/>
      <c r="R14" s="87" t="str">
        <f>IF($E14="","",IF(COUNTIF($E$7:$E14,$E14)&gt;1,"",IFERROR(VLOOKUP($E14,Orders!$A:$I,8,FALSE),"")))</f>
        <v/>
      </c>
      <c r="S14" s="87" t="str">
        <f>IF($E14="","",IF(COUNTIF($E$7:$E14,$E14)&gt;1,"",IFERROR(VLOOKUP($E14,Orders!$A:$I,9,FALSE),"")))</f>
        <v/>
      </c>
      <c r="T14" s="88">
        <f t="shared" si="6"/>
        <v>200</v>
      </c>
      <c r="U14" s="88">
        <f>IF($F14="","",IF($E14="",T14,SUMIF(Sales!$E$7:$E$1506,$E14,Sales!$T$7:$T$1506)))</f>
        <v>300</v>
      </c>
      <c r="V14" s="49" t="str">
        <f t="shared" si="7"/>
        <v/>
      </c>
      <c r="W14" s="49" t="str">
        <f t="array" ref="W14">IF($V14="","",SUMPRODUCT((Sales!$V$7:$V$1506&lt;&gt;"")*(Sales!$E$7:$E$1506&lt;$E14))+1)</f>
        <v/>
      </c>
      <c r="X14" s="49">
        <f t="shared" si="8"/>
        <v>8</v>
      </c>
      <c r="Y14" s="49" t="str">
        <f t="shared" si="9"/>
        <v>202607-8</v>
      </c>
      <c r="AA14" s="73" t="str">
        <f>IF(Inventory!A12="","",Inventory!A12)</f>
        <v>AC-CJ-BR-001</v>
      </c>
    </row>
    <row r="15" ht="14.25" customHeight="1">
      <c r="A15" s="82">
        <v>46214.0</v>
      </c>
      <c r="B15" s="83" t="s">
        <v>324</v>
      </c>
      <c r="C15" s="83" t="s">
        <v>365</v>
      </c>
      <c r="D15" s="83" t="s">
        <v>366</v>
      </c>
      <c r="E15" s="83" t="s">
        <v>390</v>
      </c>
      <c r="F15" s="83" t="s">
        <v>277</v>
      </c>
      <c r="G15" s="83" t="str">
        <f>IF($F15="","",IFERROR(VLOOKUP($F15,Inventory!$A:$B,2,FALSE),""))</f>
        <v>TRENDLINE Adult Chicken Cat Food 1-Kg</v>
      </c>
      <c r="H15" s="83">
        <v>1.0</v>
      </c>
      <c r="I15" s="84">
        <f t="shared" si="2"/>
        <v>450</v>
      </c>
      <c r="J15" s="85">
        <f>IF($F15="","",IFERROR(VLOOKUP($F15,Inventory!$A:$K,11,FALSE),0))</f>
        <v>450</v>
      </c>
      <c r="K15" s="85"/>
      <c r="L15" s="85">
        <f t="shared" si="3"/>
        <v>450</v>
      </c>
      <c r="M15" s="83" t="s">
        <v>330</v>
      </c>
      <c r="N15" s="85">
        <f>IF($F15="","",IFERROR(VLOOKUP($F15,Inventory!$A:$I,9,FALSE),0))</f>
        <v>368</v>
      </c>
      <c r="O15" s="85">
        <f t="shared" si="4"/>
        <v>368</v>
      </c>
      <c r="P15" s="85">
        <f t="shared" si="5"/>
        <v>82</v>
      </c>
      <c r="Q15" s="83"/>
      <c r="R15" s="87" t="str">
        <f>IF($E15="","",IF(COUNTIF($E$7:$E15,$E15)&gt;1,"",IFERROR(VLOOKUP($E15,Orders!$A:$I,8,FALSE),"")))</f>
        <v/>
      </c>
      <c r="S15" s="87" t="str">
        <f>IF($E15="","",IF(COUNTIF($E$7:$E15,$E15)&gt;1,"",IFERROR(VLOOKUP($E15,Orders!$A:$I,9,FALSE),"")))</f>
        <v/>
      </c>
      <c r="T15" s="88">
        <f t="shared" si="6"/>
        <v>82</v>
      </c>
      <c r="U15" s="88">
        <f>IF($F15="","",IF($E15="",T15,SUMIF(Sales!$E$7:$E$1506,$E15,Sales!$T$7:$T$1506)))</f>
        <v>82</v>
      </c>
      <c r="V15" s="49" t="str">
        <f t="shared" si="7"/>
        <v/>
      </c>
      <c r="W15" s="49" t="str">
        <f t="array" ref="W15">IF($V15="","",SUMPRODUCT((Sales!$V$7:$V$1506&lt;&gt;"")*(Sales!$E$7:$E$1506&lt;$E15))+1)</f>
        <v/>
      </c>
      <c r="X15" s="49">
        <f t="shared" si="8"/>
        <v>9</v>
      </c>
      <c r="Y15" s="49" t="str">
        <f t="shared" si="9"/>
        <v>202607-9</v>
      </c>
      <c r="AA15" s="73" t="str">
        <f>IF(Inventory!A13="","",Inventory!A13)</f>
        <v>AC-SHAMP-002</v>
      </c>
    </row>
    <row r="16" ht="14.25" customHeight="1">
      <c r="A16" s="82">
        <v>46215.0</v>
      </c>
      <c r="B16" s="83" t="s">
        <v>324</v>
      </c>
      <c r="C16" s="83" t="s">
        <v>365</v>
      </c>
      <c r="D16" s="83" t="s">
        <v>366</v>
      </c>
      <c r="E16" s="83" t="s">
        <v>397</v>
      </c>
      <c r="F16" s="83" t="s">
        <v>163</v>
      </c>
      <c r="G16" s="83" t="str">
        <f>IF($F16="","",IFERROR(VLOOKUP($F16,Inventory!$A:$B,2,FALSE),""))</f>
        <v>Dodo Cat Litter 5L Lemon Flvor</v>
      </c>
      <c r="H16" s="83">
        <v>1.0</v>
      </c>
      <c r="I16" s="84">
        <f t="shared" si="2"/>
        <v>280</v>
      </c>
      <c r="J16" s="85">
        <f>IF($F16="","",IFERROR(VLOOKUP($F16,Inventory!$A:$K,11,FALSE),0))</f>
        <v>320</v>
      </c>
      <c r="K16" s="85">
        <v>40.0</v>
      </c>
      <c r="L16" s="85">
        <f t="shared" si="3"/>
        <v>280</v>
      </c>
      <c r="M16" s="83" t="s">
        <v>330</v>
      </c>
      <c r="N16" s="85">
        <f>IF($F16="","",IFERROR(VLOOKUP($F16,Inventory!$A:$I,9,FALSE),0))</f>
        <v>180</v>
      </c>
      <c r="O16" s="85">
        <f t="shared" si="4"/>
        <v>180</v>
      </c>
      <c r="P16" s="85">
        <f t="shared" si="5"/>
        <v>100</v>
      </c>
      <c r="Q16" s="83"/>
      <c r="R16" s="87" t="str">
        <f>IF($E16="","",IF(COUNTIF($E$7:$E16,$E16)&gt;1,"",IFERROR(VLOOKUP($E16,Orders!$A:$I,8,FALSE),"")))</f>
        <v/>
      </c>
      <c r="S16" s="87" t="str">
        <f>IF($E16="","",IF(COUNTIF($E$7:$E16,$E16)&gt;1,"",IFERROR(VLOOKUP($E16,Orders!$A:$I,9,FALSE),"")))</f>
        <v/>
      </c>
      <c r="T16" s="88">
        <f t="shared" si="6"/>
        <v>100</v>
      </c>
      <c r="U16" s="88">
        <f>IF($F16="","",IF($E16="",T16,SUMIF(Sales!$E$7:$E$1506,$E16,Sales!$T$7:$T$1506)))</f>
        <v>100</v>
      </c>
      <c r="V16" s="49" t="str">
        <f t="shared" si="7"/>
        <v/>
      </c>
      <c r="W16" s="49" t="str">
        <f t="array" ref="W16">IF($V16="","",SUMPRODUCT((Sales!$V$7:$V$1506&lt;&gt;"")*(Sales!$E$7:$E$1506&lt;$E16))+1)</f>
        <v/>
      </c>
      <c r="X16" s="49">
        <f t="shared" si="8"/>
        <v>10</v>
      </c>
      <c r="Y16" s="49" t="str">
        <f t="shared" si="9"/>
        <v>202607-10</v>
      </c>
      <c r="AA16" s="73" t="str">
        <f>IF(Inventory!A14="","",Inventory!A14)</f>
        <v>AC-SHAMP-003</v>
      </c>
    </row>
    <row r="17" ht="14.25" customHeight="1">
      <c r="A17" s="82">
        <v>46216.0</v>
      </c>
      <c r="B17" s="83" t="s">
        <v>324</v>
      </c>
      <c r="C17" s="83" t="s">
        <v>365</v>
      </c>
      <c r="D17" s="83" t="s">
        <v>366</v>
      </c>
      <c r="E17" s="83" t="s">
        <v>404</v>
      </c>
      <c r="F17" s="83" t="s">
        <v>273</v>
      </c>
      <c r="G17" s="83" t="str">
        <f>IF($F17="","",IFERROR(VLOOKUP($F17,Inventory!$A:$B,2,FALSE),""))</f>
        <v>Zoi Cat Food 1kg</v>
      </c>
      <c r="H17" s="83">
        <v>1.0</v>
      </c>
      <c r="I17" s="84">
        <f t="shared" si="2"/>
        <v>315</v>
      </c>
      <c r="J17" s="85">
        <f>IF($F17="","",IFERROR(VLOOKUP($F17,Inventory!$A:$K,11,FALSE),0))</f>
        <v>380</v>
      </c>
      <c r="K17" s="85">
        <v>65.0</v>
      </c>
      <c r="L17" s="85">
        <f t="shared" si="3"/>
        <v>315</v>
      </c>
      <c r="M17" s="83" t="s">
        <v>330</v>
      </c>
      <c r="N17" s="85">
        <f>IF($F17="","",IFERROR(VLOOKUP($F17,Inventory!$A:$I,9,FALSE),0))</f>
        <v>300</v>
      </c>
      <c r="O17" s="85">
        <f t="shared" si="4"/>
        <v>300</v>
      </c>
      <c r="P17" s="85">
        <f t="shared" si="5"/>
        <v>15</v>
      </c>
      <c r="Q17" s="83"/>
      <c r="R17" s="87" t="str">
        <f>IF($E17="","",IF(COUNTIF($E$7:$E17,$E17)&gt;1,"",IFERROR(VLOOKUP($E17,Orders!$A:$I,8,FALSE),"")))</f>
        <v/>
      </c>
      <c r="S17" s="87" t="str">
        <f>IF($E17="","",IF(COUNTIF($E$7:$E17,$E17)&gt;1,"",IFERROR(VLOOKUP($E17,Orders!$A:$I,9,FALSE),"")))</f>
        <v/>
      </c>
      <c r="T17" s="88">
        <f t="shared" si="6"/>
        <v>15</v>
      </c>
      <c r="U17" s="88">
        <f>IF($F17="","",IF($E17="",T17,SUMIF(Sales!$E$7:$E$1506,$E17,Sales!$T$7:$T$1506)))</f>
        <v>8</v>
      </c>
      <c r="V17" s="49" t="str">
        <f t="shared" si="7"/>
        <v/>
      </c>
      <c r="W17" s="49" t="str">
        <f t="array" ref="W17">IF($V17="","",SUMPRODUCT((Sales!$V$7:$V$1506&lt;&gt;"")*(Sales!$E$7:$E$1506&lt;$E17))+1)</f>
        <v/>
      </c>
      <c r="X17" s="49">
        <f t="shared" si="8"/>
        <v>11</v>
      </c>
      <c r="Y17" s="49" t="str">
        <f t="shared" si="9"/>
        <v>202607-11</v>
      </c>
      <c r="AA17" s="73" t="str">
        <f>IF(Inventory!A15="","",Inventory!A15)</f>
        <v>AC-LB-001</v>
      </c>
    </row>
    <row r="18" ht="14.25" customHeight="1">
      <c r="A18" s="82">
        <v>46217.0</v>
      </c>
      <c r="B18" s="83" t="s">
        <v>324</v>
      </c>
      <c r="C18" s="83" t="s">
        <v>365</v>
      </c>
      <c r="D18" s="83" t="s">
        <v>366</v>
      </c>
      <c r="E18" s="83" t="s">
        <v>404</v>
      </c>
      <c r="F18" s="83" t="s">
        <v>192</v>
      </c>
      <c r="G18" s="83" t="str">
        <f>IF($F18="","",IFERROR(VLOOKUP($F18,Inventory!$A:$B,2,FALSE),""))</f>
        <v>Kaniva Fusion Multiviamins Chicken &amp; Pumpkin 500gm</v>
      </c>
      <c r="H18" s="83">
        <v>1.0</v>
      </c>
      <c r="I18" s="84">
        <f t="shared" si="2"/>
        <v>500</v>
      </c>
      <c r="J18" s="85">
        <f>IF($F18="","",IFERROR(VLOOKUP($F18,Inventory!$A:$K,11,FALSE),0))</f>
        <v>650</v>
      </c>
      <c r="K18" s="85">
        <v>150.0</v>
      </c>
      <c r="L18" s="85">
        <f t="shared" si="3"/>
        <v>500</v>
      </c>
      <c r="M18" s="83" t="s">
        <v>330</v>
      </c>
      <c r="N18" s="85">
        <f>IF($F18="","",IFERROR(VLOOKUP($F18,Inventory!$A:$I,9,FALSE),0))</f>
        <v>507</v>
      </c>
      <c r="O18" s="85">
        <f t="shared" si="4"/>
        <v>507</v>
      </c>
      <c r="P18" s="85">
        <f t="shared" si="5"/>
        <v>-7</v>
      </c>
      <c r="Q18" s="83"/>
      <c r="R18" s="87" t="str">
        <f>IF($E18="","",IF(COUNTIF($E$7:$E18,$E18)&gt;1,"",IFERROR(VLOOKUP($E18,Orders!$A:$I,8,FALSE),"")))</f>
        <v/>
      </c>
      <c r="S18" s="87" t="str">
        <f>IF($E18="","",IF(COUNTIF($E$7:$E18,$E18)&gt;1,"",IFERROR(VLOOKUP($E18,Orders!$A:$I,9,FALSE),"")))</f>
        <v/>
      </c>
      <c r="T18" s="88">
        <f t="shared" si="6"/>
        <v>-7</v>
      </c>
      <c r="U18" s="88">
        <f>IF($F18="","",IF($E18="",T18,SUMIF(Sales!$E$7:$E$1506,$E18,Sales!$T$7:$T$1506)))</f>
        <v>8</v>
      </c>
      <c r="V18" s="49" t="str">
        <f t="shared" si="7"/>
        <v/>
      </c>
      <c r="W18" s="49" t="str">
        <f t="array" ref="W18">IF($V18="","",SUMPRODUCT((Sales!$V$7:$V$1506&lt;&gt;"")*(Sales!$E$7:$E$1506&lt;$E18))+1)</f>
        <v/>
      </c>
      <c r="X18" s="49">
        <f t="shared" si="8"/>
        <v>12</v>
      </c>
      <c r="Y18" s="49" t="str">
        <f t="shared" si="9"/>
        <v>202607-12</v>
      </c>
      <c r="AA18" s="73" t="str">
        <f>IF(Inventory!A16="","",Inventory!A16)</f>
        <v>AC-LB-002</v>
      </c>
    </row>
    <row r="19" ht="14.25" customHeight="1">
      <c r="A19" s="82">
        <v>46218.0</v>
      </c>
      <c r="B19" s="83" t="s">
        <v>324</v>
      </c>
      <c r="C19" s="83" t="s">
        <v>365</v>
      </c>
      <c r="D19" s="83" t="s">
        <v>366</v>
      </c>
      <c r="E19" s="83" t="s">
        <v>417</v>
      </c>
      <c r="F19" s="83" t="s">
        <v>232</v>
      </c>
      <c r="G19" s="83" t="str">
        <f>IF($F19="","",IFERROR(VLOOKUP($F19,Inventory!$A:$B,2,FALSE),""))</f>
        <v>Smart Heart Adult Cat Food Chicken &amp; Tuna [480G]</v>
      </c>
      <c r="H19" s="83">
        <v>1.0</v>
      </c>
      <c r="I19" s="84">
        <f t="shared" si="2"/>
        <v>370</v>
      </c>
      <c r="J19" s="85">
        <f>IF($F19="","",IFERROR(VLOOKUP($F19,Inventory!$A:$K,11,FALSE),0))</f>
        <v>380</v>
      </c>
      <c r="K19" s="85">
        <v>10.0</v>
      </c>
      <c r="L19" s="85">
        <f t="shared" si="3"/>
        <v>370</v>
      </c>
      <c r="M19" s="83" t="s">
        <v>330</v>
      </c>
      <c r="N19" s="85">
        <f>IF($F19="","",IFERROR(VLOOKUP($F19,Inventory!$A:$I,9,FALSE),0))</f>
        <v>290.2631579</v>
      </c>
      <c r="O19" s="85">
        <f t="shared" si="4"/>
        <v>290.2631579</v>
      </c>
      <c r="P19" s="85">
        <f t="shared" si="5"/>
        <v>79.73684211</v>
      </c>
      <c r="Q19" s="83"/>
      <c r="R19" s="87" t="str">
        <f>IF($E19="","",IF(COUNTIF($E$7:$E19,$E19)&gt;1,"",IFERROR(VLOOKUP($E19,Orders!$A:$I,8,FALSE),"")))</f>
        <v/>
      </c>
      <c r="S19" s="87" t="str">
        <f>IF($E19="","",IF(COUNTIF($E$7:$E19,$E19)&gt;1,"",IFERROR(VLOOKUP($E19,Orders!$A:$I,9,FALSE),"")))</f>
        <v/>
      </c>
      <c r="T19" s="88">
        <f t="shared" si="6"/>
        <v>79.73684211</v>
      </c>
      <c r="U19" s="88">
        <f>IF($F19="","",IF($E19="",T19,SUMIF(Sales!$E$7:$E$1506,$E19,Sales!$T$7:$T$1506)))</f>
        <v>79.73684211</v>
      </c>
      <c r="V19" s="49" t="str">
        <f t="shared" si="7"/>
        <v/>
      </c>
      <c r="W19" s="49" t="str">
        <f t="array" ref="W19">IF($V19="","",SUMPRODUCT((Sales!$V$7:$V$1506&lt;&gt;"")*(Sales!$E$7:$E$1506&lt;$E19))+1)</f>
        <v/>
      </c>
      <c r="X19" s="49">
        <f t="shared" si="8"/>
        <v>13</v>
      </c>
      <c r="Y19" s="49" t="str">
        <f t="shared" si="9"/>
        <v>202607-13</v>
      </c>
      <c r="AA19" s="73" t="str">
        <f>IF(Inventory!A17="","",Inventory!A17)</f>
        <v>LT-LM-DD-5L-001</v>
      </c>
    </row>
    <row r="20" ht="14.25" customHeight="1">
      <c r="A20" s="82">
        <v>46219.0</v>
      </c>
      <c r="B20" s="83" t="s">
        <v>324</v>
      </c>
      <c r="C20" s="83" t="s">
        <v>365</v>
      </c>
      <c r="D20" s="83" t="s">
        <v>366</v>
      </c>
      <c r="E20" s="83" t="s">
        <v>424</v>
      </c>
      <c r="F20" s="83" t="s">
        <v>98</v>
      </c>
      <c r="G20" s="83" t="str">
        <f>IF($F20="","",IFERROR(VLOOKUP($F20,Inventory!$A:$B,2,FALSE),""))</f>
        <v>Cat Belt</v>
      </c>
      <c r="H20" s="83">
        <v>2.0</v>
      </c>
      <c r="I20" s="84">
        <f t="shared" si="2"/>
        <v>55</v>
      </c>
      <c r="J20" s="85">
        <f>IF($F20="","",IFERROR(VLOOKUP($F20,Inventory!$A:$K,11,FALSE),0))</f>
        <v>60</v>
      </c>
      <c r="K20" s="85">
        <v>5.0</v>
      </c>
      <c r="L20" s="85">
        <f t="shared" si="3"/>
        <v>110</v>
      </c>
      <c r="M20" s="83" t="s">
        <v>330</v>
      </c>
      <c r="N20" s="85">
        <f>IF($F20="","",IFERROR(VLOOKUP($F20,Inventory!$A:$I,9,FALSE),0))</f>
        <v>29.35135135</v>
      </c>
      <c r="O20" s="85">
        <f t="shared" si="4"/>
        <v>58.7027027</v>
      </c>
      <c r="P20" s="85">
        <f t="shared" si="5"/>
        <v>51.2972973</v>
      </c>
      <c r="Q20" s="83"/>
      <c r="R20" s="87" t="str">
        <f>IF($E20="","",IF(COUNTIF($E$7:$E20,$E20)&gt;1,"",IFERROR(VLOOKUP($E20,Orders!$A:$I,8,FALSE),"")))</f>
        <v/>
      </c>
      <c r="S20" s="87" t="str">
        <f>IF($E20="","",IF(COUNTIF($E$7:$E20,$E20)&gt;1,"",IFERROR(VLOOKUP($E20,Orders!$A:$I,9,FALSE),"")))</f>
        <v/>
      </c>
      <c r="T20" s="88">
        <f t="shared" si="6"/>
        <v>51.2972973</v>
      </c>
      <c r="U20" s="88">
        <f>IF($F20="","",IF($E20="",T20,SUMIF(Sales!$E$7:$E$1506,$E20,Sales!$T$7:$T$1506)))</f>
        <v>51.2972973</v>
      </c>
      <c r="V20" s="49" t="str">
        <f t="shared" si="7"/>
        <v/>
      </c>
      <c r="W20" s="49" t="str">
        <f t="array" ref="W20">IF($V20="","",SUMPRODUCT((Sales!$V$7:$V$1506&lt;&gt;"")*(Sales!$E$7:$E$1506&lt;$E20))+1)</f>
        <v/>
      </c>
      <c r="X20" s="49">
        <f t="shared" si="8"/>
        <v>14</v>
      </c>
      <c r="Y20" s="49" t="str">
        <f t="shared" si="9"/>
        <v>202607-14</v>
      </c>
      <c r="AA20" s="73" t="str">
        <f>IF(Inventory!A18="","",Inventory!A18)</f>
        <v>FD-DRY-CHNK-CHKN-1.5KG-001</v>
      </c>
    </row>
    <row r="21" ht="14.25" customHeight="1">
      <c r="A21" s="82">
        <v>46219.0</v>
      </c>
      <c r="B21" s="83" t="s">
        <v>428</v>
      </c>
      <c r="C21" s="83" t="s">
        <v>365</v>
      </c>
      <c r="D21" s="83" t="s">
        <v>356</v>
      </c>
      <c r="E21" s="83" t="s">
        <v>357</v>
      </c>
      <c r="F21" s="83" t="s">
        <v>163</v>
      </c>
      <c r="G21" s="83" t="str">
        <f>IF($F21="","",IFERROR(VLOOKUP($F21,Inventory!$A:$B,2,FALSE),""))</f>
        <v>Dodo Cat Litter 5L Lemon Flvor</v>
      </c>
      <c r="H21" s="83">
        <v>1.0</v>
      </c>
      <c r="I21" s="84">
        <f t="shared" si="2"/>
        <v>0</v>
      </c>
      <c r="J21" s="85">
        <f>IF($F21="","",IFERROR(VLOOKUP($F21,Inventory!$A:$K,11,FALSE),0))</f>
        <v>320</v>
      </c>
      <c r="K21" s="85">
        <v>320.0</v>
      </c>
      <c r="L21" s="85">
        <f t="shared" si="3"/>
        <v>0</v>
      </c>
      <c r="M21" s="83" t="s">
        <v>330</v>
      </c>
      <c r="N21" s="85">
        <f>IF($F21="","",IFERROR(VLOOKUP($F21,Inventory!$A:$I,9,FALSE),0))</f>
        <v>180</v>
      </c>
      <c r="O21" s="85">
        <f t="shared" si="4"/>
        <v>180</v>
      </c>
      <c r="P21" s="85">
        <f t="shared" si="5"/>
        <v>-180</v>
      </c>
      <c r="Q21" s="83" t="s">
        <v>431</v>
      </c>
      <c r="R21" s="87" t="str">
        <f>IF($E21="","",IF(COUNTIF($E$7:$E21,$E21)&gt;1,"",IFERROR(VLOOKUP($E21,Orders!$A:$I,8,FALSE),"")))</f>
        <v/>
      </c>
      <c r="S21" s="87" t="str">
        <f>IF($E21="","",IF(COUNTIF($E$7:$E21,$E21)&gt;1,"",IFERROR(VLOOKUP($E21,Orders!$A:$I,9,FALSE),"")))</f>
        <v/>
      </c>
      <c r="T21" s="88">
        <f t="shared" si="6"/>
        <v>-180</v>
      </c>
      <c r="U21" s="88">
        <f>IF($F21="","",IF($E21="",T21,SUMIF(Sales!$E$7:$E$1506,$E21,Sales!$T$7:$T$1506)))</f>
        <v>220</v>
      </c>
      <c r="V21" s="49" t="str">
        <f t="shared" si="7"/>
        <v/>
      </c>
      <c r="W21" s="49" t="str">
        <f t="array" ref="W21">IF($V21="","",SUMPRODUCT((Sales!$V$7:$V$1506&lt;&gt;"")*(Sales!$E$7:$E$1506&lt;$E21))+1)</f>
        <v/>
      </c>
      <c r="X21" s="49">
        <f t="shared" si="8"/>
        <v>15</v>
      </c>
      <c r="Y21" s="49" t="str">
        <f t="shared" si="9"/>
        <v>202607-15</v>
      </c>
      <c r="AA21" s="73" t="str">
        <f>IF(Inventory!A19="","",Inventory!A19)</f>
        <v>FD-DRY-CHNK-OCFCK-1.5KG-001</v>
      </c>
    </row>
    <row r="22" ht="14.25" customHeight="1">
      <c r="A22" s="82">
        <v>46220.0</v>
      </c>
      <c r="B22" s="83" t="s">
        <v>324</v>
      </c>
      <c r="C22" s="83" t="s">
        <v>365</v>
      </c>
      <c r="D22" s="83" t="s">
        <v>366</v>
      </c>
      <c r="E22" s="83" t="s">
        <v>436</v>
      </c>
      <c r="F22" s="83" t="s">
        <v>256</v>
      </c>
      <c r="G22" s="83" t="str">
        <f>IF($F22="","",IFERROR(VLOOKUP($F22,Inventory!$A:$B,2,FALSE),""))</f>
        <v>Kitchen Flavor Grain Free Kitten 400G</v>
      </c>
      <c r="H22" s="83">
        <v>1.0</v>
      </c>
      <c r="I22" s="84">
        <f t="shared" si="2"/>
        <v>350</v>
      </c>
      <c r="J22" s="85">
        <f>IF($F22="","",IFERROR(VLOOKUP($F22,Inventory!$A:$K,11,FALSE),0))</f>
        <v>380</v>
      </c>
      <c r="K22" s="85">
        <v>30.0</v>
      </c>
      <c r="L22" s="85">
        <f t="shared" si="3"/>
        <v>350</v>
      </c>
      <c r="M22" s="83" t="s">
        <v>330</v>
      </c>
      <c r="N22" s="85">
        <f>IF($F22="","",IFERROR(VLOOKUP($F22,Inventory!$A:$I,9,FALSE),0))</f>
        <v>290</v>
      </c>
      <c r="O22" s="85">
        <f t="shared" si="4"/>
        <v>290</v>
      </c>
      <c r="P22" s="85">
        <f t="shared" si="5"/>
        <v>60</v>
      </c>
      <c r="Q22" s="83"/>
      <c r="R22" s="87" t="str">
        <f>IF($E22="","",IF(COUNTIF($E$7:$E22,$E22)&gt;1,"",IFERROR(VLOOKUP($E22,Orders!$A:$I,8,FALSE),"")))</f>
        <v/>
      </c>
      <c r="S22" s="87" t="str">
        <f>IF($E22="","",IF(COUNTIF($E$7:$E22,$E22)&gt;1,"",IFERROR(VLOOKUP($E22,Orders!$A:$I,9,FALSE),"")))</f>
        <v/>
      </c>
      <c r="T22" s="88">
        <f t="shared" si="6"/>
        <v>60</v>
      </c>
      <c r="U22" s="88">
        <f>IF($F22="","",IF($E22="",T22,SUMIF(Sales!$E$7:$E$1506,$E22,Sales!$T$7:$T$1506)))</f>
        <v>347.7888222</v>
      </c>
      <c r="V22" s="49" t="str">
        <f t="shared" si="7"/>
        <v/>
      </c>
      <c r="W22" s="49" t="str">
        <f t="array" ref="W22">IF($V22="","",SUMPRODUCT((Sales!$V$7:$V$1506&lt;&gt;"")*(Sales!$E$7:$E$1506&lt;$E22))+1)</f>
        <v/>
      </c>
      <c r="X22" s="49">
        <f t="shared" si="8"/>
        <v>16</v>
      </c>
      <c r="Y22" s="49" t="str">
        <f t="shared" si="9"/>
        <v>202607-16</v>
      </c>
      <c r="AA22" s="73" t="str">
        <f>IF(Inventory!A20="","",Inventory!A20)</f>
        <v>FD-DRY-CHNK-TN-1.5KG-001</v>
      </c>
    </row>
    <row r="23" ht="14.25" customHeight="1">
      <c r="A23" s="82">
        <v>46220.0</v>
      </c>
      <c r="B23" s="83" t="s">
        <v>324</v>
      </c>
      <c r="C23" s="83" t="s">
        <v>365</v>
      </c>
      <c r="D23" s="83" t="s">
        <v>366</v>
      </c>
      <c r="E23" s="83" t="s">
        <v>436</v>
      </c>
      <c r="F23" s="83" t="s">
        <v>179</v>
      </c>
      <c r="G23" s="83" t="str">
        <f>IF($F23="","",IFERROR(VLOOKUP($F23,Inventory!$A:$B,2,FALSE),""))</f>
        <v>Creamy Treat 15G (Purry &amp; Hyper Paws)</v>
      </c>
      <c r="H23" s="83">
        <v>7.0</v>
      </c>
      <c r="I23" s="84">
        <f t="shared" si="2"/>
        <v>20</v>
      </c>
      <c r="J23" s="85">
        <f>IF($F23="","",IFERROR(VLOOKUP($F23,Inventory!$A:$K,11,FALSE),0))</f>
        <v>20</v>
      </c>
      <c r="K23" s="85"/>
      <c r="L23" s="85">
        <f t="shared" si="3"/>
        <v>140</v>
      </c>
      <c r="M23" s="83" t="s">
        <v>330</v>
      </c>
      <c r="N23" s="85">
        <f>IF($F23="","",IFERROR(VLOOKUP($F23,Inventory!$A:$I,9,FALSE),0))</f>
        <v>8.147411853</v>
      </c>
      <c r="O23" s="85">
        <f t="shared" si="4"/>
        <v>57.03188297</v>
      </c>
      <c r="P23" s="85">
        <f t="shared" si="5"/>
        <v>82.96811703</v>
      </c>
      <c r="Q23" s="83"/>
      <c r="R23" s="87" t="str">
        <f>IF($E23="","",IF(COUNTIF($E$7:$E23,$E23)&gt;1,"",IFERROR(VLOOKUP($E23,Orders!$A:$I,8,FALSE),"")))</f>
        <v/>
      </c>
      <c r="S23" s="87" t="str">
        <f>IF($E23="","",IF(COUNTIF($E$7:$E23,$E23)&gt;1,"",IFERROR(VLOOKUP($E23,Orders!$A:$I,9,FALSE),"")))</f>
        <v/>
      </c>
      <c r="T23" s="88">
        <f t="shared" si="6"/>
        <v>82.96811703</v>
      </c>
      <c r="U23" s="88">
        <f>IF($F23="","",IF($E23="",T23,SUMIF(Sales!$E$7:$E$1506,$E23,Sales!$T$7:$T$1506)))</f>
        <v>347.7888222</v>
      </c>
      <c r="V23" s="49" t="str">
        <f t="shared" si="7"/>
        <v/>
      </c>
      <c r="W23" s="49" t="str">
        <f t="array" ref="W23">IF($V23="","",SUMPRODUCT((Sales!$V$7:$V$1506&lt;&gt;"")*(Sales!$E$7:$E$1506&lt;$E23))+1)</f>
        <v/>
      </c>
      <c r="X23" s="49">
        <f t="shared" si="8"/>
        <v>17</v>
      </c>
      <c r="Y23" s="49" t="str">
        <f t="shared" si="9"/>
        <v>202607-17</v>
      </c>
      <c r="AA23" s="73" t="str">
        <f>IF(Inventory!A21="","",Inventory!A21)</f>
        <v>TR-CRMY-15G-001</v>
      </c>
    </row>
    <row r="24" ht="14.25" customHeight="1">
      <c r="A24" s="82">
        <v>46220.0</v>
      </c>
      <c r="B24" s="83" t="s">
        <v>324</v>
      </c>
      <c r="C24" s="83" t="s">
        <v>365</v>
      </c>
      <c r="D24" s="83" t="s">
        <v>366</v>
      </c>
      <c r="E24" s="83" t="s">
        <v>436</v>
      </c>
      <c r="F24" s="83" t="s">
        <v>179</v>
      </c>
      <c r="G24" s="83" t="str">
        <f>IF($F24="","",IFERROR(VLOOKUP($F24,Inventory!$A:$B,2,FALSE),""))</f>
        <v>Creamy Treat 15G (Purry &amp; Hyper Paws)</v>
      </c>
      <c r="H24" s="83">
        <v>8.0</v>
      </c>
      <c r="I24" s="84">
        <f t="shared" si="2"/>
        <v>20</v>
      </c>
      <c r="J24" s="85">
        <f>IF($F24="","",IFERROR(VLOOKUP($F24,Inventory!$A:$K,11,FALSE),0))</f>
        <v>20</v>
      </c>
      <c r="K24" s="85"/>
      <c r="L24" s="85">
        <f t="shared" si="3"/>
        <v>160</v>
      </c>
      <c r="M24" s="83" t="s">
        <v>330</v>
      </c>
      <c r="N24" s="85">
        <f>IF($F24="","",IFERROR(VLOOKUP($F24,Inventory!$A:$I,9,FALSE),0))</f>
        <v>8.147411853</v>
      </c>
      <c r="O24" s="85">
        <f t="shared" si="4"/>
        <v>65.17929482</v>
      </c>
      <c r="P24" s="85">
        <f t="shared" si="5"/>
        <v>94.82070518</v>
      </c>
      <c r="Q24" s="83"/>
      <c r="R24" s="87" t="str">
        <f>IF($E24="","",IF(COUNTIF($E$7:$E24,$E24)&gt;1,"",IFERROR(VLOOKUP($E24,Orders!$A:$I,8,FALSE),"")))</f>
        <v/>
      </c>
      <c r="S24" s="87" t="str">
        <f>IF($E24="","",IF(COUNTIF($E$7:$E24,$E24)&gt;1,"",IFERROR(VLOOKUP($E24,Orders!$A:$I,9,FALSE),"")))</f>
        <v/>
      </c>
      <c r="T24" s="88">
        <f t="shared" si="6"/>
        <v>94.82070518</v>
      </c>
      <c r="U24" s="88">
        <f>IF($F24="","",IF($E24="",T24,SUMIF(Sales!$E$7:$E$1506,$E24,Sales!$T$7:$T$1506)))</f>
        <v>347.7888222</v>
      </c>
      <c r="V24" s="49" t="str">
        <f t="shared" si="7"/>
        <v/>
      </c>
      <c r="W24" s="49" t="str">
        <f t="array" ref="W24">IF($V24="","",SUMPRODUCT((Sales!$V$7:$V$1506&lt;&gt;"")*(Sales!$E$7:$E$1506&lt;$E24))+1)</f>
        <v/>
      </c>
      <c r="X24" s="49">
        <f t="shared" si="8"/>
        <v>18</v>
      </c>
      <c r="Y24" s="49" t="str">
        <f t="shared" si="9"/>
        <v>202607-18</v>
      </c>
      <c r="AA24" s="73" t="str">
        <f>IF(Inventory!A22="","",Inventory!A22)</f>
        <v>FD-DRY-SMHRT-450G-001</v>
      </c>
    </row>
    <row r="25" ht="14.25" customHeight="1">
      <c r="A25" s="82">
        <v>46220.0</v>
      </c>
      <c r="B25" s="83" t="s">
        <v>324</v>
      </c>
      <c r="C25" s="83" t="s">
        <v>365</v>
      </c>
      <c r="D25" s="83" t="s">
        <v>366</v>
      </c>
      <c r="E25" s="83" t="s">
        <v>436</v>
      </c>
      <c r="F25" s="83" t="s">
        <v>196</v>
      </c>
      <c r="G25" s="83" t="str">
        <f>IF($F25="","",IFERROR(VLOOKUP($F25,Inventory!$A:$B,2,FALSE),""))</f>
        <v>Cozie Cat Litter Lemon 5L</v>
      </c>
      <c r="H25" s="83">
        <v>1.0</v>
      </c>
      <c r="I25" s="84">
        <f t="shared" si="2"/>
        <v>340</v>
      </c>
      <c r="J25" s="85">
        <f>IF($F25="","",IFERROR(VLOOKUP($F25,Inventory!$A:$K,11,FALSE),0))</f>
        <v>370</v>
      </c>
      <c r="K25" s="85">
        <v>30.0</v>
      </c>
      <c r="L25" s="85">
        <f t="shared" si="3"/>
        <v>340</v>
      </c>
      <c r="M25" s="83" t="s">
        <v>330</v>
      </c>
      <c r="N25" s="85">
        <f>IF($F25="","",IFERROR(VLOOKUP($F25,Inventory!$A:$I,9,FALSE),0))</f>
        <v>230</v>
      </c>
      <c r="O25" s="85">
        <f t="shared" si="4"/>
        <v>230</v>
      </c>
      <c r="P25" s="85">
        <f t="shared" si="5"/>
        <v>110</v>
      </c>
      <c r="Q25" s="83"/>
      <c r="R25" s="87" t="str">
        <f>IF($E25="","",IF(COUNTIF($E$7:$E25,$E25)&gt;1,"",IFERROR(VLOOKUP($E25,Orders!$A:$I,8,FALSE),"")))</f>
        <v/>
      </c>
      <c r="S25" s="87" t="str">
        <f>IF($E25="","",IF(COUNTIF($E$7:$E25,$E25)&gt;1,"",IFERROR(VLOOKUP($E25,Orders!$A:$I,9,FALSE),"")))</f>
        <v/>
      </c>
      <c r="T25" s="88">
        <f t="shared" si="6"/>
        <v>110</v>
      </c>
      <c r="U25" s="88">
        <f>IF($F25="","",IF($E25="",T25,SUMIF(Sales!$E$7:$E$1506,$E25,Sales!$T$7:$T$1506)))</f>
        <v>347.7888222</v>
      </c>
      <c r="V25" s="49" t="str">
        <f t="shared" si="7"/>
        <v/>
      </c>
      <c r="W25" s="49" t="str">
        <f t="array" ref="W25">IF($V25="","",SUMPRODUCT((Sales!$V$7:$V$1506&lt;&gt;"")*(Sales!$E$7:$E$1506&lt;$E25))+1)</f>
        <v/>
      </c>
      <c r="X25" s="49">
        <f t="shared" si="8"/>
        <v>19</v>
      </c>
      <c r="Y25" s="49" t="str">
        <f t="shared" si="9"/>
        <v>202607-19</v>
      </c>
      <c r="AA25" s="73" t="str">
        <f>IF(Inventory!A23="","",Inventory!A23)</f>
        <v>FD-DRY-SMHRT-15KG-001</v>
      </c>
    </row>
    <row r="26" ht="14.25" customHeight="1">
      <c r="A26" s="82">
        <v>46221.0</v>
      </c>
      <c r="B26" s="83" t="s">
        <v>324</v>
      </c>
      <c r="C26" s="83" t="s">
        <v>365</v>
      </c>
      <c r="D26" s="83" t="s">
        <v>366</v>
      </c>
      <c r="E26" s="83" t="s">
        <v>456</v>
      </c>
      <c r="F26" s="83" t="s">
        <v>228</v>
      </c>
      <c r="G26" s="83" t="str">
        <f>IF($F26="","",IFERROR(VLOOKUP($F26,Inventory!$A:$B,2,FALSE),""))</f>
        <v>Helminticide-L Deworming Tablet </v>
      </c>
      <c r="H26" s="83">
        <v>1.0</v>
      </c>
      <c r="I26" s="84">
        <f t="shared" si="2"/>
        <v>50</v>
      </c>
      <c r="J26" s="85">
        <f>IF($F26="","",IFERROR(VLOOKUP($F26,Inventory!$A:$K,11,FALSE),0))</f>
        <v>50</v>
      </c>
      <c r="K26" s="85"/>
      <c r="L26" s="85">
        <f t="shared" si="3"/>
        <v>50</v>
      </c>
      <c r="M26" s="83" t="s">
        <v>330</v>
      </c>
      <c r="N26" s="85">
        <f>IF($F26="","",IFERROR(VLOOKUP($F26,Inventory!$A:$I,9,FALSE),0))</f>
        <v>28.63636364</v>
      </c>
      <c r="O26" s="85">
        <f t="shared" si="4"/>
        <v>28.63636364</v>
      </c>
      <c r="P26" s="85">
        <f t="shared" si="5"/>
        <v>21.36363636</v>
      </c>
      <c r="Q26" s="83"/>
      <c r="R26" s="87" t="str">
        <f>IF($E26="","",IF(COUNTIF($E$7:$E26,$E26)&gt;1,"",IFERROR(VLOOKUP($E26,Orders!$A:$I,8,FALSE),"")))</f>
        <v/>
      </c>
      <c r="S26" s="87" t="str">
        <f>IF($E26="","",IF(COUNTIF($E$7:$E26,$E26)&gt;1,"",IFERROR(VLOOKUP($E26,Orders!$A:$I,9,FALSE),"")))</f>
        <v/>
      </c>
      <c r="T26" s="88">
        <f t="shared" si="6"/>
        <v>21.36363636</v>
      </c>
      <c r="U26" s="88">
        <f>IF($F26="","",IF($E26="",T26,SUMIF(Sales!$E$7:$E$1506,$E26,Sales!$T$7:$T$1506)))</f>
        <v>80.6265771</v>
      </c>
      <c r="V26" s="49" t="str">
        <f t="shared" si="7"/>
        <v/>
      </c>
      <c r="W26" s="49" t="str">
        <f t="array" ref="W26">IF($V26="","",SUMPRODUCT((Sales!$V$7:$V$1506&lt;&gt;"")*(Sales!$E$7:$E$1506&lt;$E26))+1)</f>
        <v/>
      </c>
      <c r="X26" s="49">
        <f t="shared" si="8"/>
        <v>20</v>
      </c>
      <c r="Y26" s="49" t="str">
        <f t="shared" si="9"/>
        <v>202607-20</v>
      </c>
      <c r="AA26" s="73" t="str">
        <f>IF(Inventory!A24="","",Inventory!A24)</f>
        <v>FD-BRD-MLT-YLW-25KG</v>
      </c>
    </row>
    <row r="27" ht="14.25" customHeight="1">
      <c r="A27" s="82">
        <v>46221.0</v>
      </c>
      <c r="B27" s="83" t="s">
        <v>324</v>
      </c>
      <c r="C27" s="83" t="s">
        <v>365</v>
      </c>
      <c r="D27" s="83" t="s">
        <v>366</v>
      </c>
      <c r="E27" s="83" t="s">
        <v>456</v>
      </c>
      <c r="F27" s="83" t="s">
        <v>179</v>
      </c>
      <c r="G27" s="83" t="str">
        <f>IF($F27="","",IFERROR(VLOOKUP($F27,Inventory!$A:$B,2,FALSE),""))</f>
        <v>Creamy Treat 15G (Purry &amp; Hyper Paws)</v>
      </c>
      <c r="H27" s="83">
        <v>5.0</v>
      </c>
      <c r="I27" s="84">
        <f t="shared" si="2"/>
        <v>20</v>
      </c>
      <c r="J27" s="85">
        <f>IF($F27="","",IFERROR(VLOOKUP($F27,Inventory!$A:$K,11,FALSE),0))</f>
        <v>20</v>
      </c>
      <c r="K27" s="85"/>
      <c r="L27" s="85">
        <f t="shared" si="3"/>
        <v>100</v>
      </c>
      <c r="M27" s="83" t="s">
        <v>330</v>
      </c>
      <c r="N27" s="85">
        <f>IF($F27="","",IFERROR(VLOOKUP($F27,Inventory!$A:$I,9,FALSE),0))</f>
        <v>8.147411853</v>
      </c>
      <c r="O27" s="85">
        <f t="shared" si="4"/>
        <v>40.73705926</v>
      </c>
      <c r="P27" s="85">
        <f t="shared" si="5"/>
        <v>59.26294074</v>
      </c>
      <c r="Q27" s="83"/>
      <c r="R27" s="87" t="str">
        <f>IF($E27="","",IF(COUNTIF($E$7:$E27,$E27)&gt;1,"",IFERROR(VLOOKUP($E27,Orders!$A:$I,8,FALSE),"")))</f>
        <v/>
      </c>
      <c r="S27" s="87" t="str">
        <f>IF($E27="","",IF(COUNTIF($E$7:$E27,$E27)&gt;1,"",IFERROR(VLOOKUP($E27,Orders!$A:$I,9,FALSE),"")))</f>
        <v/>
      </c>
      <c r="T27" s="88">
        <f t="shared" si="6"/>
        <v>59.26294074</v>
      </c>
      <c r="U27" s="88">
        <f>IF($F27="","",IF($E27="",T27,SUMIF(Sales!$E$7:$E$1506,$E27,Sales!$T$7:$T$1506)))</f>
        <v>80.6265771</v>
      </c>
      <c r="V27" s="49" t="str">
        <f t="shared" si="7"/>
        <v/>
      </c>
      <c r="W27" s="49" t="str">
        <f t="array" ref="W27">IF($V27="","",SUMPRODUCT((Sales!$V$7:$V$1506&lt;&gt;"")*(Sales!$E$7:$E$1506&lt;$E27))+1)</f>
        <v/>
      </c>
      <c r="X27" s="49">
        <f t="shared" si="8"/>
        <v>21</v>
      </c>
      <c r="Y27" s="49" t="str">
        <f t="shared" si="9"/>
        <v>202607-21</v>
      </c>
      <c r="AA27" s="73" t="str">
        <f>IF(Inventory!A25="","",Inventory!A25)</f>
        <v>FD-DRY-KVF-MV-500G-001</v>
      </c>
    </row>
    <row r="28" ht="14.25" customHeight="1">
      <c r="A28" s="82">
        <v>46221.0</v>
      </c>
      <c r="B28" s="83" t="s">
        <v>324</v>
      </c>
      <c r="C28" s="83" t="s">
        <v>365</v>
      </c>
      <c r="D28" s="83" t="s">
        <v>366</v>
      </c>
      <c r="E28" s="83" t="s">
        <v>465</v>
      </c>
      <c r="F28" s="83" t="s">
        <v>215</v>
      </c>
      <c r="G28" s="83" t="str">
        <f>IF($F28="","",IFERROR(VLOOKUP($F28,Inventory!$A:$B,2,FALSE),""))</f>
        <v>Dodo Cat Litter 25L Apple Flvor</v>
      </c>
      <c r="H28" s="83">
        <v>1.0</v>
      </c>
      <c r="I28" s="84">
        <f t="shared" si="2"/>
        <v>1230</v>
      </c>
      <c r="J28" s="85">
        <f>IF($F28="","",IFERROR(VLOOKUP($F28,Inventory!$A:$K,11,FALSE),0))</f>
        <v>1450</v>
      </c>
      <c r="K28" s="85">
        <v>220.0</v>
      </c>
      <c r="L28" s="85">
        <f t="shared" si="3"/>
        <v>1230</v>
      </c>
      <c r="M28" s="83" t="s">
        <v>330</v>
      </c>
      <c r="N28" s="85">
        <f>IF($F28="","",IFERROR(VLOOKUP($F28,Inventory!$A:$I,9,FALSE),0))</f>
        <v>850</v>
      </c>
      <c r="O28" s="85">
        <f t="shared" si="4"/>
        <v>850</v>
      </c>
      <c r="P28" s="85">
        <f t="shared" si="5"/>
        <v>380</v>
      </c>
      <c r="Q28" s="83"/>
      <c r="R28" s="87" t="str">
        <f>IF($E28="","",IF(COUNTIF($E$7:$E28,$E28)&gt;1,"",IFERROR(VLOOKUP($E28,Orders!$A:$I,8,FALSE),"")))</f>
        <v/>
      </c>
      <c r="S28" s="87" t="str">
        <f>IF($E28="","",IF(COUNTIF($E$7:$E28,$E28)&gt;1,"",IFERROR(VLOOKUP($E28,Orders!$A:$I,9,FALSE),"")))</f>
        <v/>
      </c>
      <c r="T28" s="88">
        <f t="shared" si="6"/>
        <v>380</v>
      </c>
      <c r="U28" s="88">
        <f>IF($F28="","",IF($E28="",T28,SUMIF(Sales!$E$7:$E$1506,$E28,Sales!$T$7:$T$1506)))</f>
        <v>310</v>
      </c>
      <c r="V28" s="49" t="str">
        <f t="shared" si="7"/>
        <v/>
      </c>
      <c r="W28" s="49" t="str">
        <f t="array" ref="W28">IF($V28="","",SUMPRODUCT((Sales!$V$7:$V$1506&lt;&gt;"")*(Sales!$E$7:$E$1506&lt;$E28))+1)</f>
        <v/>
      </c>
      <c r="X28" s="49">
        <f t="shared" si="8"/>
        <v>22</v>
      </c>
      <c r="Y28" s="49" t="str">
        <f t="shared" si="9"/>
        <v>202607-22</v>
      </c>
      <c r="AA28" s="73" t="str">
        <f>IF(Inventory!A26="","",Inventory!A26)</f>
        <v>FD-DRY-KVF-SKCO-500G-001</v>
      </c>
    </row>
    <row r="29" ht="14.25" customHeight="1">
      <c r="A29" s="82">
        <v>46221.0</v>
      </c>
      <c r="B29" s="83" t="s">
        <v>324</v>
      </c>
      <c r="C29" s="83" t="s">
        <v>365</v>
      </c>
      <c r="D29" s="83" t="s">
        <v>366</v>
      </c>
      <c r="E29" s="83" t="s">
        <v>465</v>
      </c>
      <c r="F29" s="83" t="s">
        <v>262</v>
      </c>
      <c r="G29" s="83" t="str">
        <f>IF($F29="","",IFERROR(VLOOKUP($F29,Inventory!$A:$B,2,FALSE),""))</f>
        <v>Kitchen Flavor Pate Delight</v>
      </c>
      <c r="H29" s="83">
        <v>2.0</v>
      </c>
      <c r="I29" s="84">
        <f t="shared" si="2"/>
        <v>145</v>
      </c>
      <c r="J29" s="85">
        <f>IF($F29="","",IFERROR(VLOOKUP($F29,Inventory!$A:$K,11,FALSE),0))</f>
        <v>150</v>
      </c>
      <c r="K29" s="85">
        <v>5.0</v>
      </c>
      <c r="L29" s="85">
        <f t="shared" si="3"/>
        <v>290</v>
      </c>
      <c r="M29" s="83" t="s">
        <v>330</v>
      </c>
      <c r="N29" s="85">
        <f>IF($F29="","",IFERROR(VLOOKUP($F29,Inventory!$A:$I,9,FALSE),0))</f>
        <v>110</v>
      </c>
      <c r="O29" s="85">
        <f t="shared" si="4"/>
        <v>220</v>
      </c>
      <c r="P29" s="85">
        <f t="shared" si="5"/>
        <v>70</v>
      </c>
      <c r="Q29" s="83"/>
      <c r="R29" s="87" t="str">
        <f>IF($E29="","",IF(COUNTIF($E$7:$E29,$E29)&gt;1,"",IFERROR(VLOOKUP($E29,Orders!$A:$I,8,FALSE),"")))</f>
        <v/>
      </c>
      <c r="S29" s="87" t="str">
        <f>IF($E29="","",IF(COUNTIF($E$7:$E29,$E29)&gt;1,"",IFERROR(VLOOKUP($E29,Orders!$A:$I,9,FALSE),"")))</f>
        <v/>
      </c>
      <c r="T29" s="88">
        <f t="shared" si="6"/>
        <v>70</v>
      </c>
      <c r="U29" s="88">
        <f>IF($F29="","",IF($E29="",T29,SUMIF(Sales!$E$7:$E$1506,$E29,Sales!$T$7:$T$1506)))</f>
        <v>310</v>
      </c>
      <c r="V29" s="49" t="str">
        <f t="shared" si="7"/>
        <v/>
      </c>
      <c r="W29" s="49" t="str">
        <f t="array" ref="W29">IF($V29="","",SUMPRODUCT((Sales!$V$7:$V$1506&lt;&gt;"")*(Sales!$E$7:$E$1506&lt;$E29))+1)</f>
        <v/>
      </c>
      <c r="X29" s="49">
        <f t="shared" si="8"/>
        <v>23</v>
      </c>
      <c r="Y29" s="49" t="str">
        <f t="shared" si="9"/>
        <v>202607-23</v>
      </c>
      <c r="AA29" s="73" t="str">
        <f>IF(Inventory!A27="","",Inventory!A27)</f>
        <v>LT-LM-CZE-5L-001</v>
      </c>
    </row>
    <row r="30" ht="14.25" customHeight="1">
      <c r="A30" s="82">
        <v>46221.0</v>
      </c>
      <c r="B30" s="83" t="s">
        <v>428</v>
      </c>
      <c r="C30" s="83" t="s">
        <v>365</v>
      </c>
      <c r="D30" s="83" t="s">
        <v>366</v>
      </c>
      <c r="E30" s="83" t="s">
        <v>465</v>
      </c>
      <c r="F30" s="83" t="s">
        <v>115</v>
      </c>
      <c r="G30" s="83" t="str">
        <f>IF($F30="","",IFERROR(VLOOKUP($F30,Inventory!$A:$B,2,FALSE),""))</f>
        <v>Cat Jersey Argentina Large</v>
      </c>
      <c r="H30" s="83">
        <v>1.0</v>
      </c>
      <c r="I30" s="84">
        <f t="shared" si="2"/>
        <v>0</v>
      </c>
      <c r="J30" s="85">
        <f>IF($F30="","",IFERROR(VLOOKUP($F30,Inventory!$A:$K,11,FALSE),0))</f>
        <v>300</v>
      </c>
      <c r="K30" s="85">
        <v>300.0</v>
      </c>
      <c r="L30" s="85">
        <f t="shared" si="3"/>
        <v>0</v>
      </c>
      <c r="M30" s="83" t="s">
        <v>330</v>
      </c>
      <c r="N30" s="85">
        <f>IF($F30="","",IFERROR(VLOOKUP($F30,Inventory!$A:$I,9,FALSE),0))</f>
        <v>140</v>
      </c>
      <c r="O30" s="85">
        <f t="shared" si="4"/>
        <v>140</v>
      </c>
      <c r="P30" s="85">
        <f t="shared" si="5"/>
        <v>-140</v>
      </c>
      <c r="Q30" s="83" t="s">
        <v>479</v>
      </c>
      <c r="R30" s="87" t="str">
        <f>IF($E30="","",IF(COUNTIF($E$7:$E30,$E30)&gt;1,"",IFERROR(VLOOKUP($E30,Orders!$A:$I,8,FALSE),"")))</f>
        <v/>
      </c>
      <c r="S30" s="87" t="str">
        <f>IF($E30="","",IF(COUNTIF($E$7:$E30,$E30)&gt;1,"",IFERROR(VLOOKUP($E30,Orders!$A:$I,9,FALSE),"")))</f>
        <v/>
      </c>
      <c r="T30" s="88">
        <f t="shared" si="6"/>
        <v>-140</v>
      </c>
      <c r="U30" s="88">
        <f>IF($F30="","",IF($E30="",T30,SUMIF(Sales!$E$7:$E$1506,$E30,Sales!$T$7:$T$1506)))</f>
        <v>310</v>
      </c>
      <c r="V30" s="49" t="str">
        <f t="shared" si="7"/>
        <v/>
      </c>
      <c r="W30" s="49" t="str">
        <f t="array" ref="W30">IF($V30="","",SUMPRODUCT((Sales!$V$7:$V$1506&lt;&gt;"")*(Sales!$E$7:$E$1506&lt;$E30))+1)</f>
        <v/>
      </c>
      <c r="X30" s="49">
        <f t="shared" si="8"/>
        <v>24</v>
      </c>
      <c r="Y30" s="49" t="str">
        <f t="shared" si="9"/>
        <v>202607-24</v>
      </c>
      <c r="AA30" s="73" t="str">
        <f>IF(Inventory!A28="","",Inventory!A28)</f>
        <v>LT-LM-CZE-10L-001</v>
      </c>
    </row>
    <row r="31" ht="14.25" customHeight="1">
      <c r="A31" s="82">
        <v>46221.0</v>
      </c>
      <c r="B31" s="83" t="s">
        <v>324</v>
      </c>
      <c r="C31" s="83" t="s">
        <v>365</v>
      </c>
      <c r="D31" s="83" t="s">
        <v>366</v>
      </c>
      <c r="E31" s="83" t="s">
        <v>493</v>
      </c>
      <c r="F31" s="83" t="s">
        <v>213</v>
      </c>
      <c r="G31" s="83" t="str">
        <f>IF($F31="","",IFERROR(VLOOKUP($F31,Inventory!$A:$B,2,FALSE),""))</f>
        <v>L Favorite Cat Litter 25L Coffee Flvor</v>
      </c>
      <c r="H31" s="83">
        <v>1.0</v>
      </c>
      <c r="I31" s="84">
        <f t="shared" si="2"/>
        <v>1445</v>
      </c>
      <c r="J31" s="85">
        <f>IF($F31="","",IFERROR(VLOOKUP($F31,Inventory!$A:$K,11,FALSE),0))</f>
        <v>1550</v>
      </c>
      <c r="K31" s="85">
        <v>105.0</v>
      </c>
      <c r="L31" s="85">
        <f t="shared" si="3"/>
        <v>1445</v>
      </c>
      <c r="M31" s="83" t="s">
        <v>330</v>
      </c>
      <c r="N31" s="85">
        <f>IF($F31="","",IFERROR(VLOOKUP($F31,Inventory!$A:$I,9,FALSE),0))</f>
        <v>1000</v>
      </c>
      <c r="O31" s="85">
        <f t="shared" si="4"/>
        <v>1000</v>
      </c>
      <c r="P31" s="85">
        <f t="shared" si="5"/>
        <v>445</v>
      </c>
      <c r="Q31" s="83" t="s">
        <v>351</v>
      </c>
      <c r="R31" s="87" t="str">
        <f>IF($E31="","",IF(COUNTIF($E$7:$E31,$E31)&gt;1,"",IFERROR(VLOOKUP($E31,Orders!$A:$I,8,FALSE),"")))</f>
        <v/>
      </c>
      <c r="S31" s="87" t="str">
        <f>IF($E31="","",IF(COUNTIF($E$7:$E31,$E31)&gt;1,"",IFERROR(VLOOKUP($E31,Orders!$A:$I,9,FALSE),"")))</f>
        <v/>
      </c>
      <c r="T31" s="88">
        <f t="shared" si="6"/>
        <v>445</v>
      </c>
      <c r="U31" s="88">
        <f>IF($F31="","",IF($E31="",T31,SUMIF(Sales!$E$7:$E$1506,$E31,Sales!$T$7:$T$1506)))</f>
        <v>445</v>
      </c>
      <c r="V31" s="49" t="str">
        <f t="shared" si="7"/>
        <v/>
      </c>
      <c r="W31" s="49" t="str">
        <f t="array" ref="W31">IF($V31="","",SUMPRODUCT((Sales!$V$7:$V$1506&lt;&gt;"")*(Sales!$E$7:$E$1506&lt;$E31))+1)</f>
        <v/>
      </c>
      <c r="X31" s="49">
        <f t="shared" si="8"/>
        <v>25</v>
      </c>
      <c r="Y31" s="49" t="str">
        <f t="shared" si="9"/>
        <v>202607-25</v>
      </c>
      <c r="AA31" s="73" t="str">
        <f>IF(Inventory!A29="","",Inventory!A29)</f>
        <v>LT-LV-CZE-5L-001</v>
      </c>
    </row>
    <row r="32" ht="14.25" customHeight="1">
      <c r="A32" s="82">
        <v>46219.0</v>
      </c>
      <c r="B32" s="83" t="s">
        <v>324</v>
      </c>
      <c r="C32" s="83" t="s">
        <v>365</v>
      </c>
      <c r="D32" s="83" t="s">
        <v>366</v>
      </c>
      <c r="E32" s="83" t="s">
        <v>500</v>
      </c>
      <c r="F32" s="83" t="s">
        <v>159</v>
      </c>
      <c r="G32" s="83" t="str">
        <f>IF($F32="","",IFERROR(VLOOKUP($F32,Inventory!$A:$B,2,FALSE),""))</f>
        <v>Cat Litter Box Medium</v>
      </c>
      <c r="H32" s="83">
        <v>1.0</v>
      </c>
      <c r="I32" s="84">
        <f t="shared" si="2"/>
        <v>400</v>
      </c>
      <c r="J32" s="85">
        <f>IF($F32="","",IFERROR(VLOOKUP($F32,Inventory!$A:$K,11,FALSE),0))</f>
        <v>500</v>
      </c>
      <c r="K32" s="97">
        <v>100.0</v>
      </c>
      <c r="L32" s="85">
        <f t="shared" si="3"/>
        <v>400</v>
      </c>
      <c r="M32" s="83" t="s">
        <v>330</v>
      </c>
      <c r="N32" s="85">
        <f>IF($F32="","",IFERROR(VLOOKUP($F32,Inventory!$A:$I,9,FALSE),0))</f>
        <v>300</v>
      </c>
      <c r="O32" s="85">
        <f t="shared" si="4"/>
        <v>300</v>
      </c>
      <c r="P32" s="85">
        <f t="shared" si="5"/>
        <v>100</v>
      </c>
      <c r="Q32" s="83"/>
      <c r="R32" s="87" t="str">
        <f>IF($E32="","",IF(COUNTIF($E$7:$E32,$E32)&gt;1,"",IFERROR(VLOOKUP($E32,Orders!$A:$I,8,FALSE),"")))</f>
        <v/>
      </c>
      <c r="S32" s="87" t="str">
        <f>IF($E32="","",IF(COUNTIF($E$7:$E32,$E32)&gt;1,"",IFERROR(VLOOKUP($E32,Orders!$A:$I,9,FALSE),"")))</f>
        <v/>
      </c>
      <c r="T32" s="88">
        <f t="shared" si="6"/>
        <v>100</v>
      </c>
      <c r="U32" s="88">
        <f>IF($F32="","",IF($E32="",T32,SUMIF(Sales!$E$7:$E$1506,$E32,Sales!$T$7:$T$1506)))</f>
        <v>100</v>
      </c>
      <c r="V32" s="49" t="str">
        <f t="shared" si="7"/>
        <v/>
      </c>
      <c r="W32" s="49" t="str">
        <f t="array" ref="W32">IF($V32="","",SUMPRODUCT((Sales!$V$7:$V$1506&lt;&gt;"")*(Sales!$E$7:$E$1506&lt;$E32))+1)</f>
        <v/>
      </c>
      <c r="X32" s="49">
        <f t="shared" si="8"/>
        <v>26</v>
      </c>
      <c r="Y32" s="49" t="str">
        <f t="shared" si="9"/>
        <v>202607-26</v>
      </c>
      <c r="AA32" s="73" t="str">
        <f>IF(Inventory!A30="","",Inventory!A30)</f>
        <v>LT-LV-CZE-10L-001</v>
      </c>
    </row>
    <row r="33" ht="14.25" customHeight="1">
      <c r="A33" s="82">
        <v>46222.0</v>
      </c>
      <c r="B33" s="83" t="s">
        <v>324</v>
      </c>
      <c r="C33" s="83" t="s">
        <v>365</v>
      </c>
      <c r="D33" s="83" t="s">
        <v>366</v>
      </c>
      <c r="E33" s="83" t="s">
        <v>509</v>
      </c>
      <c r="F33" s="83" t="s">
        <v>209</v>
      </c>
      <c r="G33" s="83" t="str">
        <f>IF($F33="","",IFERROR(VLOOKUP($F33,Inventory!$A:$B,2,FALSE),""))</f>
        <v>Smart Heart Pouch Tuna in Jelly Kitten</v>
      </c>
      <c r="H33" s="83">
        <v>2.0</v>
      </c>
      <c r="I33" s="84">
        <f t="shared" si="2"/>
        <v>90</v>
      </c>
      <c r="J33" s="85">
        <f>IF($F33="","",IFERROR(VLOOKUP($F33,Inventory!$A:$K,11,FALSE),0))</f>
        <v>95</v>
      </c>
      <c r="K33" s="85">
        <v>5.0</v>
      </c>
      <c r="L33" s="85">
        <f t="shared" si="3"/>
        <v>180</v>
      </c>
      <c r="M33" s="83" t="s">
        <v>330</v>
      </c>
      <c r="N33" s="85">
        <f>IF($F33="","",IFERROR(VLOOKUP($F33,Inventory!$A:$I,9,FALSE),0))</f>
        <v>72</v>
      </c>
      <c r="O33" s="85">
        <f t="shared" si="4"/>
        <v>144</v>
      </c>
      <c r="P33" s="85">
        <f t="shared" si="5"/>
        <v>36</v>
      </c>
      <c r="Q33" s="83"/>
      <c r="R33" s="87" t="str">
        <f>IF($E33="","",IF(COUNTIF($E$7:$E33,$E33)&gt;1,"",IFERROR(VLOOKUP($E33,Orders!$A:$I,8,FALSE),"")))</f>
        <v/>
      </c>
      <c r="S33" s="87" t="str">
        <f>IF($E33="","",IF(COUNTIF($E$7:$E33,$E33)&gt;1,"",IFERROR(VLOOKUP($E33,Orders!$A:$I,9,FALSE),"")))</f>
        <v/>
      </c>
      <c r="T33" s="88">
        <f t="shared" si="6"/>
        <v>36</v>
      </c>
      <c r="U33" s="88">
        <f>IF($F33="","",IF($E33="",T33,SUMIF(Sales!$E$7:$E$1506,$E33,Sales!$T$7:$T$1506)))</f>
        <v>52</v>
      </c>
      <c r="V33" s="49" t="str">
        <f t="shared" si="7"/>
        <v/>
      </c>
      <c r="W33" s="49" t="str">
        <f t="array" ref="W33">IF($V33="","",SUMPRODUCT((Sales!$V$7:$V$1506&lt;&gt;"")*(Sales!$E$7:$E$1506&lt;$E33))+1)</f>
        <v/>
      </c>
      <c r="X33" s="49">
        <f t="shared" si="8"/>
        <v>27</v>
      </c>
      <c r="Y33" s="49" t="str">
        <f t="shared" si="9"/>
        <v>202607-27</v>
      </c>
      <c r="AA33" s="73" t="str">
        <f>IF(Inventory!A31="","",Inventory!A31)</f>
        <v>PO-WET-NK-70G-002</v>
      </c>
    </row>
    <row r="34" ht="14.25" customHeight="1">
      <c r="A34" s="82">
        <v>46222.0</v>
      </c>
      <c r="B34" s="83" t="s">
        <v>324</v>
      </c>
      <c r="C34" s="83" t="s">
        <v>365</v>
      </c>
      <c r="D34" s="83" t="s">
        <v>366</v>
      </c>
      <c r="E34" s="83" t="s">
        <v>509</v>
      </c>
      <c r="F34" s="83" t="s">
        <v>234</v>
      </c>
      <c r="G34" s="83" t="str">
        <f>IF($F34="","",IFERROR(VLOOKUP($F34,Inventory!$A:$B,2,FALSE),""))</f>
        <v>Whiskas Junior Tuna Flavor</v>
      </c>
      <c r="H34" s="83">
        <v>1.0</v>
      </c>
      <c r="I34" s="84">
        <f t="shared" si="2"/>
        <v>90</v>
      </c>
      <c r="J34" s="85">
        <f>IF($F34="","",IFERROR(VLOOKUP($F34,Inventory!$A:$K,11,FALSE),0))</f>
        <v>95</v>
      </c>
      <c r="K34" s="85">
        <v>5.0</v>
      </c>
      <c r="L34" s="85">
        <f t="shared" si="3"/>
        <v>90</v>
      </c>
      <c r="M34" s="83" t="s">
        <v>330</v>
      </c>
      <c r="N34" s="85">
        <f>IF($F34="","",IFERROR(VLOOKUP($F34,Inventory!$A:$I,9,FALSE),0))</f>
        <v>74</v>
      </c>
      <c r="O34" s="85">
        <f t="shared" si="4"/>
        <v>74</v>
      </c>
      <c r="P34" s="85">
        <f t="shared" si="5"/>
        <v>16</v>
      </c>
      <c r="Q34" s="83"/>
      <c r="R34" s="87" t="str">
        <f>IF($E34="","",IF(COUNTIF($E$7:$E34,$E34)&gt;1,"",IFERROR(VLOOKUP($E34,Orders!$A:$I,8,FALSE),"")))</f>
        <v/>
      </c>
      <c r="S34" s="87" t="str">
        <f>IF($E34="","",IF(COUNTIF($E$7:$E34,$E34)&gt;1,"",IFERROR(VLOOKUP($E34,Orders!$A:$I,9,FALSE),"")))</f>
        <v/>
      </c>
      <c r="T34" s="88">
        <f t="shared" si="6"/>
        <v>16</v>
      </c>
      <c r="U34" s="88">
        <f>IF($F34="","",IF($E34="",T34,SUMIF(Sales!$E$7:$E$1506,$E34,Sales!$T$7:$T$1506)))</f>
        <v>52</v>
      </c>
      <c r="V34" s="49" t="str">
        <f t="shared" si="7"/>
        <v/>
      </c>
      <c r="W34" s="49" t="str">
        <f t="array" ref="W34">IF($V34="","",SUMPRODUCT((Sales!$V$7:$V$1506&lt;&gt;"")*(Sales!$E$7:$E$1506&lt;$E34))+1)</f>
        <v/>
      </c>
      <c r="X34" s="49">
        <f t="shared" si="8"/>
        <v>28</v>
      </c>
      <c r="Y34" s="49" t="str">
        <f t="shared" si="9"/>
        <v>202607-28</v>
      </c>
      <c r="AA34" s="73" t="str">
        <f>IF(Inventory!A32="","",Inventory!A32)</f>
        <v>PO-WET-NK-70G-003-KT</v>
      </c>
    </row>
    <row r="35" ht="14.25" customHeight="1">
      <c r="A35" s="82">
        <v>46222.0</v>
      </c>
      <c r="B35" s="83" t="s">
        <v>324</v>
      </c>
      <c r="C35" s="83" t="s">
        <v>365</v>
      </c>
      <c r="D35" s="83" t="s">
        <v>366</v>
      </c>
      <c r="E35" s="83" t="s">
        <v>520</v>
      </c>
      <c r="F35" s="83" t="s">
        <v>179</v>
      </c>
      <c r="G35" s="83" t="str">
        <f>IF($F35="","",IFERROR(VLOOKUP($F35,Inventory!$A:$B,2,FALSE),""))</f>
        <v>Creamy Treat 15G (Purry &amp; Hyper Paws)</v>
      </c>
      <c r="H35" s="83">
        <v>2.0</v>
      </c>
      <c r="I35" s="84">
        <f t="shared" si="2"/>
        <v>20</v>
      </c>
      <c r="J35" s="85">
        <f>IF($F35="","",IFERROR(VLOOKUP($F35,Inventory!$A:$K,11,FALSE),0))</f>
        <v>20</v>
      </c>
      <c r="K35" s="85"/>
      <c r="L35" s="85">
        <f t="shared" si="3"/>
        <v>40</v>
      </c>
      <c r="M35" s="83" t="s">
        <v>330</v>
      </c>
      <c r="N35" s="85">
        <f>IF($F35="","",IFERROR(VLOOKUP($F35,Inventory!$A:$I,9,FALSE),0))</f>
        <v>8.147411853</v>
      </c>
      <c r="O35" s="85">
        <f t="shared" si="4"/>
        <v>16.29482371</v>
      </c>
      <c r="P35" s="85">
        <f t="shared" si="5"/>
        <v>23.70517629</v>
      </c>
      <c r="Q35" s="83"/>
      <c r="R35" s="87" t="str">
        <f>IF($E35="","",IF(COUNTIF($E$7:$E35,$E35)&gt;1,"",IFERROR(VLOOKUP($E35,Orders!$A:$I,8,FALSE),"")))</f>
        <v/>
      </c>
      <c r="S35" s="87" t="str">
        <f>IF($E35="","",IF(COUNTIF($E$7:$E35,$E35)&gt;1,"",IFERROR(VLOOKUP($E35,Orders!$A:$I,9,FALSE),"")))</f>
        <v/>
      </c>
      <c r="T35" s="88">
        <f t="shared" si="6"/>
        <v>23.70517629</v>
      </c>
      <c r="U35" s="88">
        <f>IF($F35="","",IF($E35="",T35,SUMIF(Sales!$E$7:$E$1506,$E35,Sales!$T$7:$T$1506)))</f>
        <v>15.55776444</v>
      </c>
      <c r="V35" s="49" t="str">
        <f t="shared" si="7"/>
        <v/>
      </c>
      <c r="W35" s="49" t="str">
        <f t="array" ref="W35">IF($V35="","",SUMPRODUCT((Sales!$V$7:$V$1506&lt;&gt;"")*(Sales!$E$7:$E$1506&lt;$E35))+1)</f>
        <v/>
      </c>
      <c r="X35" s="49">
        <f t="shared" si="8"/>
        <v>29</v>
      </c>
      <c r="Y35" s="49" t="str">
        <f t="shared" si="9"/>
        <v>202607-29</v>
      </c>
      <c r="AA35" s="73" t="str">
        <f>IF(Inventory!A33="","",Inventory!A33)</f>
        <v>PO-WET-SMHRT-TJ-85G-001</v>
      </c>
    </row>
    <row r="36" ht="14.25" customHeight="1">
      <c r="A36" s="82">
        <v>46222.0</v>
      </c>
      <c r="B36" s="83" t="s">
        <v>428</v>
      </c>
      <c r="C36" s="83" t="s">
        <v>365</v>
      </c>
      <c r="D36" s="83" t="s">
        <v>366</v>
      </c>
      <c r="E36" s="83" t="s">
        <v>520</v>
      </c>
      <c r="F36" s="83" t="s">
        <v>179</v>
      </c>
      <c r="G36" s="83" t="str">
        <f>IF($F36="","",IFERROR(VLOOKUP($F36,Inventory!$A:$B,2,FALSE),""))</f>
        <v>Creamy Treat 15G (Purry &amp; Hyper Paws)</v>
      </c>
      <c r="H36" s="83">
        <v>1.0</v>
      </c>
      <c r="I36" s="84">
        <f t="shared" si="2"/>
        <v>0</v>
      </c>
      <c r="J36" s="85">
        <f>IF($F36="","",IFERROR(VLOOKUP($F36,Inventory!$A:$K,11,FALSE),0))</f>
        <v>20</v>
      </c>
      <c r="K36" s="85">
        <v>20.0</v>
      </c>
      <c r="L36" s="85">
        <f t="shared" si="3"/>
        <v>0</v>
      </c>
      <c r="M36" s="83" t="s">
        <v>330</v>
      </c>
      <c r="N36" s="85">
        <f>IF($F36="","",IFERROR(VLOOKUP($F36,Inventory!$A:$I,9,FALSE),0))</f>
        <v>8.147411853</v>
      </c>
      <c r="O36" s="85">
        <f t="shared" si="4"/>
        <v>8.147411853</v>
      </c>
      <c r="P36" s="85">
        <f t="shared" si="5"/>
        <v>-8.147411853</v>
      </c>
      <c r="Q36" s="83" t="s">
        <v>479</v>
      </c>
      <c r="R36" s="87" t="str">
        <f>IF($E36="","",IF(COUNTIF($E$7:$E36,$E36)&gt;1,"",IFERROR(VLOOKUP($E36,Orders!$A:$I,8,FALSE),"")))</f>
        <v/>
      </c>
      <c r="S36" s="87" t="str">
        <f>IF($E36="","",IF(COUNTIF($E$7:$E36,$E36)&gt;1,"",IFERROR(VLOOKUP($E36,Orders!$A:$I,9,FALSE),"")))</f>
        <v/>
      </c>
      <c r="T36" s="88">
        <f t="shared" si="6"/>
        <v>-8.147411853</v>
      </c>
      <c r="U36" s="88">
        <f>IF($F36="","",IF($E36="",T36,SUMIF(Sales!$E$7:$E$1506,$E36,Sales!$T$7:$T$1506)))</f>
        <v>15.55776444</v>
      </c>
      <c r="V36" s="49" t="str">
        <f t="shared" si="7"/>
        <v/>
      </c>
      <c r="W36" s="49" t="str">
        <f t="array" ref="W36">IF($V36="","",SUMPRODUCT((Sales!$V$7:$V$1506&lt;&gt;"")*(Sales!$E$7:$E$1506&lt;$E36))+1)</f>
        <v/>
      </c>
      <c r="X36" s="49">
        <f t="shared" si="8"/>
        <v>30</v>
      </c>
      <c r="Y36" s="49" t="str">
        <f t="shared" si="9"/>
        <v>202607-30</v>
      </c>
      <c r="AA36" s="73" t="str">
        <f>IF(Inventory!A34="","",Inventory!A34)</f>
        <v>PO-WET-SMHRT-TWC-85G-001</v>
      </c>
    </row>
    <row r="37" ht="14.25" customHeight="1">
      <c r="A37" s="82">
        <v>46222.0</v>
      </c>
      <c r="B37" s="83" t="s">
        <v>324</v>
      </c>
      <c r="C37" s="83" t="s">
        <v>365</v>
      </c>
      <c r="D37" s="83" t="s">
        <v>366</v>
      </c>
      <c r="E37" s="83" t="s">
        <v>533</v>
      </c>
      <c r="F37" s="83" t="s">
        <v>196</v>
      </c>
      <c r="G37" s="83" t="str">
        <f>IF($F37="","",IFERROR(VLOOKUP($F37,Inventory!$A:$B,2,FALSE),""))</f>
        <v>Cozie Cat Litter Lemon 5L</v>
      </c>
      <c r="H37" s="83">
        <v>1.0</v>
      </c>
      <c r="I37" s="84">
        <f t="shared" si="2"/>
        <v>350</v>
      </c>
      <c r="J37" s="85">
        <f>IF($F37="","",IFERROR(VLOOKUP($F37,Inventory!$A:$K,11,FALSE),0))</f>
        <v>370</v>
      </c>
      <c r="K37" s="85">
        <v>20.0</v>
      </c>
      <c r="L37" s="85">
        <f t="shared" si="3"/>
        <v>350</v>
      </c>
      <c r="M37" s="83" t="s">
        <v>330</v>
      </c>
      <c r="N37" s="85">
        <f>IF($F37="","",IFERROR(VLOOKUP($F37,Inventory!$A:$I,9,FALSE),0))</f>
        <v>230</v>
      </c>
      <c r="O37" s="85">
        <f t="shared" si="4"/>
        <v>230</v>
      </c>
      <c r="P37" s="85">
        <f t="shared" si="5"/>
        <v>120</v>
      </c>
      <c r="Q37" s="83"/>
      <c r="R37" s="87" t="str">
        <f>IF($E37="","",IF(COUNTIF($E$7:$E37,$E37)&gt;1,"",IFERROR(VLOOKUP($E37,Orders!$A:$I,8,FALSE),"")))</f>
        <v/>
      </c>
      <c r="S37" s="87" t="str">
        <f>IF($E37="","",IF(COUNTIF($E$7:$E37,$E37)&gt;1,"",IFERROR(VLOOKUP($E37,Orders!$A:$I,9,FALSE),"")))</f>
        <v/>
      </c>
      <c r="T37" s="88">
        <f t="shared" si="6"/>
        <v>120</v>
      </c>
      <c r="U37" s="88">
        <f>IF($F37="","",IF($E37="",T37,SUMIF(Sales!$E$7:$E$1506,$E37,Sales!$T$7:$T$1506)))</f>
        <v>170</v>
      </c>
      <c r="V37" s="49" t="str">
        <f t="shared" si="7"/>
        <v/>
      </c>
      <c r="W37" s="49" t="str">
        <f t="array" ref="W37">IF($V37="","",SUMPRODUCT((Sales!$V$7:$V$1506&lt;&gt;"")*(Sales!$E$7:$E$1506&lt;$E37))+1)</f>
        <v/>
      </c>
      <c r="X37" s="49">
        <f t="shared" si="8"/>
        <v>31</v>
      </c>
      <c r="Y37" s="49" t="str">
        <f t="shared" si="9"/>
        <v>202607-31</v>
      </c>
      <c r="AA37" s="73" t="str">
        <f>IF(Inventory!A35="","",Inventory!A35)</f>
        <v>LT-CF-DD-25L-001</v>
      </c>
    </row>
    <row r="38" ht="14.25" customHeight="1">
      <c r="A38" s="82">
        <v>46222.0</v>
      </c>
      <c r="B38" s="83" t="s">
        <v>428</v>
      </c>
      <c r="C38" s="83" t="s">
        <v>365</v>
      </c>
      <c r="D38" s="83" t="s">
        <v>366</v>
      </c>
      <c r="E38" s="83" t="s">
        <v>533</v>
      </c>
      <c r="F38" s="83" t="s">
        <v>271</v>
      </c>
      <c r="G38" s="83" t="str">
        <f>IF($F38="","",IFERROR(VLOOKUP($F38,Inventory!$A:$B,2,FALSE),""))</f>
        <v>Cat litter scooper</v>
      </c>
      <c r="H38" s="83">
        <v>1.0</v>
      </c>
      <c r="I38" s="84">
        <f t="shared" si="2"/>
        <v>0</v>
      </c>
      <c r="J38" s="85">
        <f>IF($F38="","",IFERROR(VLOOKUP($F38,Inventory!$A:$K,11,FALSE),0))</f>
        <v>80</v>
      </c>
      <c r="K38" s="85">
        <v>80.0</v>
      </c>
      <c r="L38" s="85">
        <f t="shared" si="3"/>
        <v>0</v>
      </c>
      <c r="M38" s="83" t="s">
        <v>330</v>
      </c>
      <c r="N38" s="85">
        <f>IF($F38="","",IFERROR(VLOOKUP($F38,Inventory!$A:$I,9,FALSE),0))</f>
        <v>35</v>
      </c>
      <c r="O38" s="85">
        <f t="shared" si="4"/>
        <v>35</v>
      </c>
      <c r="P38" s="85">
        <f t="shared" si="5"/>
        <v>-35</v>
      </c>
      <c r="Q38" s="83" t="s">
        <v>538</v>
      </c>
      <c r="R38" s="87" t="str">
        <f>IF($E38="","",IF(COUNTIF($E$7:$E38,$E38)&gt;1,"",IFERROR(VLOOKUP($E38,Orders!$A:$I,8,FALSE),"")))</f>
        <v/>
      </c>
      <c r="S38" s="87" t="str">
        <f>IF($E38="","",IF(COUNTIF($E$7:$E38,$E38)&gt;1,"",IFERROR(VLOOKUP($E38,Orders!$A:$I,9,FALSE),"")))</f>
        <v/>
      </c>
      <c r="T38" s="88">
        <f t="shared" si="6"/>
        <v>-35</v>
      </c>
      <c r="U38" s="88">
        <f>IF($F38="","",IF($E38="",T38,SUMIF(Sales!$E$7:$E$1506,$E38,Sales!$T$7:$T$1506)))</f>
        <v>170</v>
      </c>
      <c r="V38" s="49" t="str">
        <f t="shared" si="7"/>
        <v/>
      </c>
      <c r="W38" s="49" t="str">
        <f t="array" ref="W38">IF($V38="","",SUMPRODUCT((Sales!$V$7:$V$1506&lt;&gt;"")*(Sales!$E$7:$E$1506&lt;$E38))+1)</f>
        <v/>
      </c>
      <c r="X38" s="49">
        <f t="shared" si="8"/>
        <v>32</v>
      </c>
      <c r="Y38" s="49" t="str">
        <f t="shared" si="9"/>
        <v>202607-32</v>
      </c>
      <c r="AA38" s="73" t="str">
        <f>IF(Inventory!A36="","",Inventory!A36)</f>
        <v>LT-AP-DD-25L-002</v>
      </c>
    </row>
    <row r="39" ht="14.25" customHeight="1">
      <c r="A39" s="82">
        <v>46222.0</v>
      </c>
      <c r="B39" s="83" t="s">
        <v>324</v>
      </c>
      <c r="C39" s="83" t="s">
        <v>365</v>
      </c>
      <c r="D39" s="83" t="s">
        <v>366</v>
      </c>
      <c r="E39" s="83" t="s">
        <v>533</v>
      </c>
      <c r="F39" s="83" t="s">
        <v>269</v>
      </c>
      <c r="G39" s="83" t="str">
        <f>IF($F39="","",IFERROR(VLOOKUP($F39,Inventory!$A:$B,2,FALSE),""))</f>
        <v>China Flea </v>
      </c>
      <c r="H39" s="83">
        <v>1.0</v>
      </c>
      <c r="I39" s="84">
        <f t="shared" si="2"/>
        <v>120</v>
      </c>
      <c r="J39" s="85">
        <f>IF($F39="","",IFERROR(VLOOKUP($F39,Inventory!$A:$K,11,FALSE),0))</f>
        <v>120</v>
      </c>
      <c r="K39" s="85"/>
      <c r="L39" s="85">
        <f t="shared" si="3"/>
        <v>120</v>
      </c>
      <c r="M39" s="83" t="s">
        <v>330</v>
      </c>
      <c r="N39" s="85">
        <f>IF($F39="","",IFERROR(VLOOKUP($F39,Inventory!$A:$I,9,FALSE),0))</f>
        <v>65</v>
      </c>
      <c r="O39" s="85">
        <f t="shared" si="4"/>
        <v>65</v>
      </c>
      <c r="P39" s="85">
        <f t="shared" si="5"/>
        <v>55</v>
      </c>
      <c r="Q39" s="83"/>
      <c r="R39" s="87" t="str">
        <f>IF($E39="","",IF(COUNTIF($E$7:$E39,$E39)&gt;1,"",IFERROR(VLOOKUP($E39,Orders!$A:$I,8,FALSE),"")))</f>
        <v/>
      </c>
      <c r="S39" s="87" t="str">
        <f>IF($E39="","",IF(COUNTIF($E$7:$E39,$E39)&gt;1,"",IFERROR(VLOOKUP($E39,Orders!$A:$I,9,FALSE),"")))</f>
        <v/>
      </c>
      <c r="T39" s="88">
        <f t="shared" si="6"/>
        <v>55</v>
      </c>
      <c r="U39" s="88">
        <f>IF($F39="","",IF($E39="",T39,SUMIF(Sales!$E$7:$E$1506,$E39,Sales!$T$7:$T$1506)))</f>
        <v>170</v>
      </c>
      <c r="V39" s="49" t="str">
        <f t="shared" si="7"/>
        <v/>
      </c>
      <c r="W39" s="49" t="str">
        <f t="array" ref="W39">IF($V39="","",SUMPRODUCT((Sales!$V$7:$V$1506&lt;&gt;"")*(Sales!$E$7:$E$1506&lt;$E39))+1)</f>
        <v/>
      </c>
      <c r="X39" s="49">
        <f t="shared" si="8"/>
        <v>33</v>
      </c>
      <c r="Y39" s="49" t="str">
        <f t="shared" si="9"/>
        <v>202607-33</v>
      </c>
      <c r="AA39" s="73" t="str">
        <f>IF(Inventory!A37="","",Inventory!A37)</f>
        <v>LT-AP-DD-10L-001</v>
      </c>
    </row>
    <row r="40" ht="14.25" customHeight="1">
      <c r="A40" s="82">
        <v>46222.0</v>
      </c>
      <c r="B40" s="83" t="s">
        <v>324</v>
      </c>
      <c r="C40" s="83" t="s">
        <v>365</v>
      </c>
      <c r="D40" s="83" t="s">
        <v>366</v>
      </c>
      <c r="E40" s="83" t="s">
        <v>533</v>
      </c>
      <c r="F40" s="83" t="s">
        <v>183</v>
      </c>
      <c r="G40" s="83" t="str">
        <f>IF($F40="","",IFERROR(VLOOKUP($F40,Inventory!$A:$B,2,FALSE),""))</f>
        <v>Smart Heart Kitten Food Chicken, Fish, Egg &amp; Milk 450gm</v>
      </c>
      <c r="H40" s="83">
        <v>1.0</v>
      </c>
      <c r="I40" s="84">
        <f t="shared" si="2"/>
        <v>320</v>
      </c>
      <c r="J40" s="85">
        <f>IF($F40="","",IFERROR(VLOOKUP($F40,Inventory!$A:$K,11,FALSE),0))</f>
        <v>380</v>
      </c>
      <c r="K40" s="85">
        <v>60.0</v>
      </c>
      <c r="L40" s="85">
        <f t="shared" si="3"/>
        <v>320</v>
      </c>
      <c r="M40" s="83" t="s">
        <v>330</v>
      </c>
      <c r="N40" s="85">
        <f>IF($F40="","",IFERROR(VLOOKUP($F40,Inventory!$A:$I,9,FALSE),0))</f>
        <v>290</v>
      </c>
      <c r="O40" s="85">
        <f t="shared" si="4"/>
        <v>290</v>
      </c>
      <c r="P40" s="85">
        <f t="shared" si="5"/>
        <v>30</v>
      </c>
      <c r="Q40" s="83"/>
      <c r="R40" s="87" t="str">
        <f>IF($E40="","",IF(COUNTIF($E$7:$E40,$E40)&gt;1,"",IFERROR(VLOOKUP($E40,Orders!$A:$I,8,FALSE),"")))</f>
        <v/>
      </c>
      <c r="S40" s="87" t="str">
        <f>IF($E40="","",IF(COUNTIF($E$7:$E40,$E40)&gt;1,"",IFERROR(VLOOKUP($E40,Orders!$A:$I,9,FALSE),"")))</f>
        <v/>
      </c>
      <c r="T40" s="88">
        <f t="shared" si="6"/>
        <v>30</v>
      </c>
      <c r="U40" s="88">
        <f>IF($F40="","",IF($E40="",T40,SUMIF(Sales!$E$7:$E$1506,$E40,Sales!$T$7:$T$1506)))</f>
        <v>170</v>
      </c>
      <c r="V40" s="49" t="str">
        <f t="shared" si="7"/>
        <v/>
      </c>
      <c r="W40" s="49" t="str">
        <f t="array" ref="W40">IF($V40="","",SUMPRODUCT((Sales!$V$7:$V$1506&lt;&gt;"")*(Sales!$E$7:$E$1506&lt;$E40))+1)</f>
        <v/>
      </c>
      <c r="X40" s="49">
        <f t="shared" si="8"/>
        <v>34</v>
      </c>
      <c r="Y40" s="49" t="str">
        <f t="shared" si="9"/>
        <v>202607-34</v>
      </c>
      <c r="AA40" s="73" t="str">
        <f>IF(Inventory!A38="","",Inventory!A38)</f>
        <v>AC-SHAMP-001</v>
      </c>
    </row>
    <row r="41" ht="14.25" customHeight="1">
      <c r="A41" s="82">
        <v>46223.0</v>
      </c>
      <c r="B41" s="83" t="s">
        <v>324</v>
      </c>
      <c r="C41" s="83" t="s">
        <v>365</v>
      </c>
      <c r="D41" s="83" t="s">
        <v>366</v>
      </c>
      <c r="E41" s="83" t="s">
        <v>549</v>
      </c>
      <c r="F41" s="83" t="s">
        <v>179</v>
      </c>
      <c r="G41" s="83" t="str">
        <f>IF($F41="","",IFERROR(VLOOKUP($F41,Inventory!$A:$B,2,FALSE),""))</f>
        <v>Creamy Treat 15G (Purry &amp; Hyper Paws)</v>
      </c>
      <c r="H41" s="83">
        <v>5.0</v>
      </c>
      <c r="I41" s="84">
        <f t="shared" si="2"/>
        <v>20</v>
      </c>
      <c r="J41" s="85">
        <f>IF($F41="","",IFERROR(VLOOKUP($F41,Inventory!$A:$K,11,FALSE),0))</f>
        <v>20</v>
      </c>
      <c r="K41" s="85"/>
      <c r="L41" s="85">
        <f t="shared" si="3"/>
        <v>100</v>
      </c>
      <c r="M41" s="83" t="s">
        <v>330</v>
      </c>
      <c r="N41" s="85">
        <f>IF($F41="","",IFERROR(VLOOKUP($F41,Inventory!$A:$I,9,FALSE),0))</f>
        <v>8.147411853</v>
      </c>
      <c r="O41" s="85">
        <f t="shared" si="4"/>
        <v>40.73705926</v>
      </c>
      <c r="P41" s="85">
        <f t="shared" si="5"/>
        <v>59.26294074</v>
      </c>
      <c r="Q41" s="83"/>
      <c r="R41" s="87" t="str">
        <f>IF($E41="","",IF(COUNTIF($E$7:$E41,$E41)&gt;1,"",IFERROR(VLOOKUP($E41,Orders!$A:$I,8,FALSE),"")))</f>
        <v/>
      </c>
      <c r="S41" s="87" t="str">
        <f>IF($E41="","",IF(COUNTIF($E$7:$E41,$E41)&gt;1,"",IFERROR(VLOOKUP($E41,Orders!$A:$I,9,FALSE),"")))</f>
        <v/>
      </c>
      <c r="T41" s="88">
        <f t="shared" si="6"/>
        <v>59.26294074</v>
      </c>
      <c r="U41" s="88">
        <f>IF($F41="","",IF($E41="",T41,SUMIF(Sales!$E$7:$E$1506,$E41,Sales!$T$7:$T$1506)))</f>
        <v>59.26294074</v>
      </c>
      <c r="V41" s="49" t="str">
        <f t="shared" si="7"/>
        <v/>
      </c>
      <c r="W41" s="49" t="str">
        <f t="array" ref="W41">IF($V41="","",SUMPRODUCT((Sales!$V$7:$V$1506&lt;&gt;"")*(Sales!$E$7:$E$1506&lt;$E41))+1)</f>
        <v/>
      </c>
      <c r="X41" s="49">
        <f t="shared" si="8"/>
        <v>35</v>
      </c>
      <c r="Y41" s="49" t="str">
        <f t="shared" si="9"/>
        <v>202607-35</v>
      </c>
      <c r="AA41" s="73" t="str">
        <f>IF(Inventory!A39="","",Inventory!A39)</f>
        <v>AC-BOWL-001</v>
      </c>
    </row>
    <row r="42" ht="14.25" customHeight="1">
      <c r="A42" s="82">
        <v>46224.0</v>
      </c>
      <c r="B42" s="83" t="s">
        <v>324</v>
      </c>
      <c r="C42" s="83" t="s">
        <v>365</v>
      </c>
      <c r="D42" s="83" t="s">
        <v>366</v>
      </c>
      <c r="E42" s="83" t="s">
        <v>554</v>
      </c>
      <c r="F42" s="83" t="s">
        <v>258</v>
      </c>
      <c r="G42" s="83" t="str">
        <f>IF($F42="","",IFERROR(VLOOKUP($F42,Inventory!$A:$B,2,FALSE),""))</f>
        <v>Kitchen Flavor Grain Free Adult 400G</v>
      </c>
      <c r="H42" s="83">
        <v>1.0</v>
      </c>
      <c r="I42" s="84">
        <f t="shared" si="2"/>
        <v>380</v>
      </c>
      <c r="J42" s="85">
        <f>IF($F42="","",IFERROR(VLOOKUP($F42,Inventory!$A:$K,11,FALSE),0))</f>
        <v>380</v>
      </c>
      <c r="K42" s="85"/>
      <c r="L42" s="85">
        <f t="shared" si="3"/>
        <v>380</v>
      </c>
      <c r="M42" s="83" t="s">
        <v>330</v>
      </c>
      <c r="N42" s="85">
        <f>IF($F42="","",IFERROR(VLOOKUP($F42,Inventory!$A:$I,9,FALSE),0))</f>
        <v>290</v>
      </c>
      <c r="O42" s="85">
        <f t="shared" si="4"/>
        <v>290</v>
      </c>
      <c r="P42" s="85">
        <f t="shared" si="5"/>
        <v>90</v>
      </c>
      <c r="Q42" s="83" t="s">
        <v>351</v>
      </c>
      <c r="R42" s="87" t="str">
        <f>IF($E42="","",IF(COUNTIF($E$7:$E42,$E42)&gt;1,"",IFERROR(VLOOKUP($E42,Orders!$A:$I,8,FALSE),"")))</f>
        <v/>
      </c>
      <c r="S42" s="87" t="str">
        <f>IF($E42="","",IF(COUNTIF($E$7:$E42,$E42)&gt;1,"",IFERROR(VLOOKUP($E42,Orders!$A:$I,9,FALSE),"")))</f>
        <v/>
      </c>
      <c r="T42" s="88">
        <f t="shared" si="6"/>
        <v>90</v>
      </c>
      <c r="U42" s="88">
        <f>IF($F42="","",IF($E42="",T42,SUMIF(Sales!$E$7:$E$1506,$E42,Sales!$T$7:$T$1506)))</f>
        <v>124.8525881</v>
      </c>
      <c r="V42" s="49" t="str">
        <f t="shared" si="7"/>
        <v/>
      </c>
      <c r="W42" s="49" t="str">
        <f t="array" ref="W42">IF($V42="","",SUMPRODUCT((Sales!$V$7:$V$1506&lt;&gt;"")*(Sales!$E$7:$E$1506&lt;$E42))+1)</f>
        <v/>
      </c>
      <c r="X42" s="49">
        <f t="shared" si="8"/>
        <v>36</v>
      </c>
      <c r="Y42" s="49" t="str">
        <f t="shared" si="9"/>
        <v>202607-36</v>
      </c>
      <c r="AA42" s="73" t="str">
        <f>IF(Inventory!A40="","",Inventory!A40)</f>
        <v>AC-CTOY-001</v>
      </c>
    </row>
    <row r="43" ht="14.25" customHeight="1">
      <c r="A43" s="82">
        <v>46224.0</v>
      </c>
      <c r="B43" s="83" t="s">
        <v>324</v>
      </c>
      <c r="C43" s="83" t="s">
        <v>365</v>
      </c>
      <c r="D43" s="83" t="s">
        <v>366</v>
      </c>
      <c r="E43" s="83" t="s">
        <v>554</v>
      </c>
      <c r="F43" s="83" t="s">
        <v>179</v>
      </c>
      <c r="G43" s="83" t="str">
        <f>IF($F43="","",IFERROR(VLOOKUP($F43,Inventory!$A:$B,2,FALSE),""))</f>
        <v>Creamy Treat 15G (Purry &amp; Hyper Paws)</v>
      </c>
      <c r="H43" s="83">
        <v>1.0</v>
      </c>
      <c r="I43" s="84">
        <f t="shared" si="2"/>
        <v>20</v>
      </c>
      <c r="J43" s="85">
        <f>IF($F43="","",IFERROR(VLOOKUP($F43,Inventory!$A:$K,11,FALSE),0))</f>
        <v>20</v>
      </c>
      <c r="K43" s="85"/>
      <c r="L43" s="85">
        <f t="shared" si="3"/>
        <v>20</v>
      </c>
      <c r="M43" s="83" t="s">
        <v>330</v>
      </c>
      <c r="N43" s="85">
        <f>IF($F43="","",IFERROR(VLOOKUP($F43,Inventory!$A:$I,9,FALSE),0))</f>
        <v>8.147411853</v>
      </c>
      <c r="O43" s="85">
        <f t="shared" si="4"/>
        <v>8.147411853</v>
      </c>
      <c r="P43" s="85">
        <f t="shared" si="5"/>
        <v>11.85258815</v>
      </c>
      <c r="Q43" s="83" t="s">
        <v>351</v>
      </c>
      <c r="R43" s="87" t="str">
        <f>IF($E43="","",IF(COUNTIF($E$7:$E43,$E43)&gt;1,"",IFERROR(VLOOKUP($E43,Orders!$A:$I,8,FALSE),"")))</f>
        <v/>
      </c>
      <c r="S43" s="87" t="str">
        <f>IF($E43="","",IF(COUNTIF($E$7:$E43,$E43)&gt;1,"",IFERROR(VLOOKUP($E43,Orders!$A:$I,9,FALSE),"")))</f>
        <v/>
      </c>
      <c r="T43" s="88">
        <f t="shared" si="6"/>
        <v>11.85258815</v>
      </c>
      <c r="U43" s="88">
        <f>IF($F43="","",IF($E43="",T43,SUMIF(Sales!$E$7:$E$1506,$E43,Sales!$T$7:$T$1506)))</f>
        <v>124.8525881</v>
      </c>
      <c r="V43" s="49" t="str">
        <f t="shared" si="7"/>
        <v/>
      </c>
      <c r="W43" s="49" t="str">
        <f t="array" ref="W43">IF($V43="","",SUMPRODUCT((Sales!$V$7:$V$1506&lt;&gt;"")*(Sales!$E$7:$E$1506&lt;$E43))+1)</f>
        <v/>
      </c>
      <c r="X43" s="49">
        <f t="shared" si="8"/>
        <v>37</v>
      </c>
      <c r="Y43" s="49" t="str">
        <f t="shared" si="9"/>
        <v>202607-37</v>
      </c>
      <c r="AA43" s="73" t="str">
        <f>IF(Inventory!A41="","",Inventory!A41)</f>
        <v>AC-HM-MD-001</v>
      </c>
    </row>
    <row r="44" ht="14.25" customHeight="1">
      <c r="A44" s="82">
        <v>46224.0</v>
      </c>
      <c r="B44" s="83" t="s">
        <v>324</v>
      </c>
      <c r="C44" s="83" t="s">
        <v>365</v>
      </c>
      <c r="D44" s="83" t="s">
        <v>366</v>
      </c>
      <c r="E44" s="83" t="s">
        <v>554</v>
      </c>
      <c r="F44" s="83" t="s">
        <v>209</v>
      </c>
      <c r="G44" s="83" t="str">
        <f>IF($F44="","",IFERROR(VLOOKUP($F44,Inventory!$A:$B,2,FALSE),""))</f>
        <v>Smart Heart Pouch Tuna in Jelly Kitten</v>
      </c>
      <c r="H44" s="83">
        <v>1.0</v>
      </c>
      <c r="I44" s="84">
        <f t="shared" si="2"/>
        <v>95</v>
      </c>
      <c r="J44" s="85">
        <f>IF($F44="","",IFERROR(VLOOKUP($F44,Inventory!$A:$K,11,FALSE),0))</f>
        <v>95</v>
      </c>
      <c r="K44" s="85"/>
      <c r="L44" s="85">
        <f t="shared" si="3"/>
        <v>95</v>
      </c>
      <c r="M44" s="83" t="s">
        <v>330</v>
      </c>
      <c r="N44" s="85">
        <f>IF($F44="","",IFERROR(VLOOKUP($F44,Inventory!$A:$I,9,FALSE),0))</f>
        <v>72</v>
      </c>
      <c r="O44" s="85">
        <f t="shared" si="4"/>
        <v>72</v>
      </c>
      <c r="P44" s="85">
        <f t="shared" si="5"/>
        <v>23</v>
      </c>
      <c r="Q44" s="83"/>
      <c r="R44" s="87" t="str">
        <f>IF($E44="","",IF(COUNTIF($E$7:$E44,$E44)&gt;1,"",IFERROR(VLOOKUP($E44,Orders!$A:$I,8,FALSE),"")))</f>
        <v/>
      </c>
      <c r="S44" s="87" t="str">
        <f>IF($E44="","",IF(COUNTIF($E$7:$E44,$E44)&gt;1,"",IFERROR(VLOOKUP($E44,Orders!$A:$I,9,FALSE),"")))</f>
        <v/>
      </c>
      <c r="T44" s="88">
        <f t="shared" si="6"/>
        <v>23</v>
      </c>
      <c r="U44" s="88">
        <f>IF($F44="","",IF($E44="",T44,SUMIF(Sales!$E$7:$E$1506,$E44,Sales!$T$7:$T$1506)))</f>
        <v>124.8525881</v>
      </c>
      <c r="V44" s="49" t="str">
        <f t="shared" si="7"/>
        <v/>
      </c>
      <c r="W44" s="49" t="str">
        <f t="array" ref="W44">IF($V44="","",SUMPRODUCT((Sales!$V$7:$V$1506&lt;&gt;"")*(Sales!$E$7:$E$1506&lt;$E44))+1)</f>
        <v/>
      </c>
      <c r="X44" s="49">
        <f t="shared" si="8"/>
        <v>38</v>
      </c>
      <c r="Y44" s="49" t="str">
        <f t="shared" si="9"/>
        <v>202607-38</v>
      </c>
      <c r="AA44" s="73" t="str">
        <f>IF(Inventory!A42="","",Inventory!A42)</f>
        <v>FD-DRY-SMHRT-480G-002</v>
      </c>
    </row>
    <row r="45" ht="15.75" customHeight="1">
      <c r="A45" s="82">
        <v>46203.0</v>
      </c>
      <c r="B45" s="83" t="s">
        <v>324</v>
      </c>
      <c r="C45" s="83" t="s">
        <v>365</v>
      </c>
      <c r="D45" s="83" t="s">
        <v>366</v>
      </c>
      <c r="E45" s="83"/>
      <c r="F45" s="83" t="s">
        <v>267</v>
      </c>
      <c r="G45" s="83" t="str">
        <f>IF($F45="","",IFERROR(VLOOKUP($F45,Inventory!$A:$B,2,FALSE),""))</f>
        <v>Smart Heart Adult Cat Food Chicken &amp; Tuna 1.2KG</v>
      </c>
      <c r="H45" s="83">
        <v>1.0</v>
      </c>
      <c r="I45" s="84">
        <f t="shared" si="2"/>
        <v>770</v>
      </c>
      <c r="J45" s="85">
        <f>IF($F45="","",IFERROR(VLOOKUP($F45,Inventory!$A:$K,11,FALSE),0))</f>
        <v>770</v>
      </c>
      <c r="K45" s="85"/>
      <c r="L45" s="85">
        <f t="shared" si="3"/>
        <v>770</v>
      </c>
      <c r="M45" s="83" t="s">
        <v>330</v>
      </c>
      <c r="N45" s="85">
        <f>IF($F45="","",IFERROR(VLOOKUP($F45,Inventory!$A:$I,9,FALSE),0))</f>
        <v>600</v>
      </c>
      <c r="O45" s="85">
        <f t="shared" si="4"/>
        <v>600</v>
      </c>
      <c r="P45" s="85">
        <f t="shared" si="5"/>
        <v>170</v>
      </c>
      <c r="Q45" s="103" t="s">
        <v>565</v>
      </c>
      <c r="R45" s="87" t="str">
        <f>IF($E45="","",IF(COUNTIF($E$7:$E45,$E45)&gt;1,"",IFERROR(VLOOKUP($E45,Orders!$A:$I,8,FALSE),"")))</f>
        <v/>
      </c>
      <c r="S45" s="87" t="str">
        <f>IF($E45="","",IF(COUNTIF($E$7:$E45,$E45)&gt;1,"",IFERROR(VLOOKUP($E45,Orders!$A:$I,9,FALSE),"")))</f>
        <v/>
      </c>
      <c r="T45" s="88">
        <f t="shared" si="6"/>
        <v>170</v>
      </c>
      <c r="U45" s="88">
        <f>IF($F45="","",IF($E45="",T45,SUMIF(Sales!$E$7:$E$1506,$E45,Sales!$T$7:$T$1506)))</f>
        <v>170</v>
      </c>
      <c r="V45" s="49" t="str">
        <f t="shared" si="7"/>
        <v/>
      </c>
      <c r="W45" s="49" t="str">
        <f t="array" ref="W45">IF($V45="","",SUMPRODUCT((Sales!$V$7:$V$1506&lt;&gt;"")*(Sales!$E$7:$E$1506&lt;$E45))+1)</f>
        <v/>
      </c>
      <c r="X45" s="49">
        <f t="shared" si="8"/>
        <v>1</v>
      </c>
      <c r="Y45" s="49" t="str">
        <f t="shared" si="9"/>
        <v>202606-1</v>
      </c>
      <c r="AA45" s="73" t="str">
        <f>IF(Inventory!A43="","",Inventory!A43)</f>
        <v>PO-WET-WK-80G-001-KT</v>
      </c>
    </row>
    <row r="46" ht="14.25" customHeight="1">
      <c r="A46" s="82">
        <v>46225.0</v>
      </c>
      <c r="B46" s="83" t="s">
        <v>566</v>
      </c>
      <c r="C46" s="83" t="s">
        <v>365</v>
      </c>
      <c r="D46" s="83" t="s">
        <v>366</v>
      </c>
      <c r="E46" s="83"/>
      <c r="F46" s="83" t="s">
        <v>267</v>
      </c>
      <c r="G46" s="83" t="str">
        <f>IF($F46="","",IFERROR(VLOOKUP($F46,Inventory!$A:$B,2,FALSE),""))</f>
        <v>Smart Heart Adult Cat Food Chicken &amp; Tuna 1.2KG</v>
      </c>
      <c r="H46" s="83">
        <v>1.0</v>
      </c>
      <c r="I46" s="84">
        <f t="shared" si="2"/>
        <v>770</v>
      </c>
      <c r="J46" s="85">
        <f>IF($F46="","",IFERROR(VLOOKUP($F46,Inventory!$A:$K,11,FALSE),0))</f>
        <v>770</v>
      </c>
      <c r="K46" s="85"/>
      <c r="L46" s="85">
        <f t="shared" si="3"/>
        <v>-770</v>
      </c>
      <c r="M46" s="83" t="s">
        <v>330</v>
      </c>
      <c r="N46" s="85">
        <f>IF($F46="","",IFERROR(VLOOKUP($F46,Inventory!$A:$I,9,FALSE),0))</f>
        <v>600</v>
      </c>
      <c r="O46" s="85">
        <f t="shared" si="4"/>
        <v>-600</v>
      </c>
      <c r="P46" s="85">
        <f t="shared" si="5"/>
        <v>-170</v>
      </c>
      <c r="Q46" s="83"/>
      <c r="R46" s="87" t="str">
        <f>IF($E46="","",IF(COUNTIF($E$7:$E46,$E46)&gt;1,"",IFERROR(VLOOKUP($E46,Orders!$A:$I,8,FALSE),"")))</f>
        <v/>
      </c>
      <c r="S46" s="87" t="str">
        <f>IF($E46="","",IF(COUNTIF($E$7:$E46,$E46)&gt;1,"",IFERROR(VLOOKUP($E46,Orders!$A:$I,9,FALSE),"")))</f>
        <v/>
      </c>
      <c r="T46" s="88">
        <f t="shared" si="6"/>
        <v>-170</v>
      </c>
      <c r="U46" s="88">
        <f>IF($F46="","",IF($E46="",T46,SUMIF(Sales!$E$7:$E$1506,$E46,Sales!$T$7:$T$1506)))</f>
        <v>-170</v>
      </c>
      <c r="V46" s="49" t="str">
        <f t="shared" si="7"/>
        <v/>
      </c>
      <c r="W46" s="49" t="str">
        <f t="array" ref="W46">IF($V46="","",SUMPRODUCT((Sales!$V$7:$V$1506&lt;&gt;"")*(Sales!$E$7:$E$1506&lt;$E46))+1)</f>
        <v/>
      </c>
      <c r="X46" s="49">
        <f t="shared" si="8"/>
        <v>39</v>
      </c>
      <c r="Y46" s="49" t="str">
        <f t="shared" si="9"/>
        <v>202607-39</v>
      </c>
      <c r="AA46" s="73" t="str">
        <f>IF(Inventory!A44="","",Inventory!A44)</f>
        <v>AC-CTOY-002</v>
      </c>
    </row>
    <row r="47" ht="14.25" customHeight="1">
      <c r="A47" s="82">
        <v>46225.0</v>
      </c>
      <c r="B47" s="83" t="s">
        <v>324</v>
      </c>
      <c r="C47" s="83" t="s">
        <v>365</v>
      </c>
      <c r="D47" s="83" t="s">
        <v>366</v>
      </c>
      <c r="E47" s="83"/>
      <c r="F47" s="83" t="s">
        <v>328</v>
      </c>
      <c r="G47" s="83" t="str">
        <f>IF($F47="","",IFERROR(VLOOKUP($F47,Inventory!$A:$B,2,FALSE),""))</f>
        <v>Smart Heart Kitten Cat Food Chicken &amp; Tuna 1.2KG</v>
      </c>
      <c r="H47" s="83">
        <v>1.0</v>
      </c>
      <c r="I47" s="84">
        <f t="shared" si="2"/>
        <v>820</v>
      </c>
      <c r="J47" s="85">
        <f>IF($F47="","",IFERROR(VLOOKUP($F47,Inventory!$A:$K,11,FALSE),0))</f>
        <v>820</v>
      </c>
      <c r="K47" s="85"/>
      <c r="L47" s="85">
        <f t="shared" si="3"/>
        <v>820</v>
      </c>
      <c r="M47" s="83" t="s">
        <v>330</v>
      </c>
      <c r="N47" s="85">
        <f>IF($F47="","",IFERROR(VLOOKUP($F47,Inventory!$A:$I,9,FALSE),0))</f>
        <v>635</v>
      </c>
      <c r="O47" s="85">
        <f t="shared" si="4"/>
        <v>635</v>
      </c>
      <c r="P47" s="85">
        <f t="shared" si="5"/>
        <v>185</v>
      </c>
      <c r="Q47" s="83"/>
      <c r="R47" s="87" t="str">
        <f>IF($E47="","",IF(COUNTIF($E$7:$E47,$E47)&gt;1,"",IFERROR(VLOOKUP($E47,Orders!$A:$I,8,FALSE),"")))</f>
        <v/>
      </c>
      <c r="S47" s="87" t="str">
        <f>IF($E47="","",IF(COUNTIF($E$7:$E47,$E47)&gt;1,"",IFERROR(VLOOKUP($E47,Orders!$A:$I,9,FALSE),"")))</f>
        <v/>
      </c>
      <c r="T47" s="88">
        <f t="shared" si="6"/>
        <v>185</v>
      </c>
      <c r="U47" s="88">
        <f>IF($F47="","",IF($E47="",T47,SUMIF(Sales!$E$7:$E$1506,$E47,Sales!$T$7:$T$1506)))</f>
        <v>185</v>
      </c>
      <c r="V47" s="49" t="str">
        <f t="shared" si="7"/>
        <v/>
      </c>
      <c r="W47" s="49" t="str">
        <f t="array" ref="W47">IF($V47="","",SUMPRODUCT((Sales!$V$7:$V$1506&lt;&gt;"")*(Sales!$E$7:$E$1506&lt;$E47))+1)</f>
        <v/>
      </c>
      <c r="X47" s="49">
        <f t="shared" si="8"/>
        <v>40</v>
      </c>
      <c r="Y47" s="49" t="str">
        <f t="shared" si="9"/>
        <v>202607-40</v>
      </c>
      <c r="AA47" s="73" t="str">
        <f>IF(Inventory!A45="","",Inventory!A45)</f>
        <v>AC-PNC-SM-001</v>
      </c>
    </row>
    <row r="48" ht="14.25" customHeight="1">
      <c r="A48" s="82">
        <v>46225.0</v>
      </c>
      <c r="B48" s="83" t="s">
        <v>324</v>
      </c>
      <c r="C48" s="83" t="s">
        <v>365</v>
      </c>
      <c r="D48" s="83" t="s">
        <v>366</v>
      </c>
      <c r="E48" s="83"/>
      <c r="F48" s="83" t="s">
        <v>269</v>
      </c>
      <c r="G48" s="83" t="str">
        <f>IF($F48="","",IFERROR(VLOOKUP($F48,Inventory!$A:$B,2,FALSE),""))</f>
        <v>China Flea </v>
      </c>
      <c r="H48" s="83">
        <v>1.0</v>
      </c>
      <c r="I48" s="84">
        <f t="shared" si="2"/>
        <v>90</v>
      </c>
      <c r="J48" s="85">
        <f>IF($F48="","",IFERROR(VLOOKUP($F48,Inventory!$A:$K,11,FALSE),0))</f>
        <v>120</v>
      </c>
      <c r="K48" s="85">
        <v>30.0</v>
      </c>
      <c r="L48" s="85">
        <f t="shared" si="3"/>
        <v>90</v>
      </c>
      <c r="M48" s="83" t="s">
        <v>330</v>
      </c>
      <c r="N48" s="85">
        <f>IF($F48="","",IFERROR(VLOOKUP($F48,Inventory!$A:$I,9,FALSE),0))</f>
        <v>65</v>
      </c>
      <c r="O48" s="85">
        <f t="shared" si="4"/>
        <v>65</v>
      </c>
      <c r="P48" s="85">
        <f t="shared" si="5"/>
        <v>25</v>
      </c>
      <c r="Q48" s="83"/>
      <c r="R48" s="87" t="str">
        <f>IF($E48="","",IF(COUNTIF($E$7:$E48,$E48)&gt;1,"",IFERROR(VLOOKUP($E48,Orders!$A:$I,8,FALSE),"")))</f>
        <v/>
      </c>
      <c r="S48" s="87" t="str">
        <f>IF($E48="","",IF(COUNTIF($E$7:$E48,$E48)&gt;1,"",IFERROR(VLOOKUP($E48,Orders!$A:$I,9,FALSE),"")))</f>
        <v/>
      </c>
      <c r="T48" s="88">
        <f t="shared" si="6"/>
        <v>25</v>
      </c>
      <c r="U48" s="88">
        <f>IF($F48="","",IF($E48="",T48,SUMIF(Sales!$E$7:$E$1506,$E48,Sales!$T$7:$T$1506)))</f>
        <v>25</v>
      </c>
      <c r="V48" s="49" t="str">
        <f t="shared" si="7"/>
        <v/>
      </c>
      <c r="W48" s="49" t="str">
        <f t="array" ref="W48">IF($V48="","",SUMPRODUCT((Sales!$V$7:$V$1506&lt;&gt;"")*(Sales!$E$7:$E$1506&lt;$E48))+1)</f>
        <v/>
      </c>
      <c r="X48" s="49">
        <f t="shared" si="8"/>
        <v>41</v>
      </c>
      <c r="Y48" s="49" t="str">
        <f t="shared" si="9"/>
        <v>202607-41</v>
      </c>
      <c r="AA48" s="73" t="str">
        <f>IF(Inventory!A46="","",Inventory!A46)</f>
        <v>AC-CB-RD-001</v>
      </c>
    </row>
    <row r="49" ht="14.25" customHeight="1">
      <c r="A49" s="82">
        <v>46226.0</v>
      </c>
      <c r="B49" s="83" t="s">
        <v>324</v>
      </c>
      <c r="C49" s="83" t="s">
        <v>365</v>
      </c>
      <c r="D49" s="83" t="s">
        <v>366</v>
      </c>
      <c r="E49" s="83" t="s">
        <v>567</v>
      </c>
      <c r="F49" s="83" t="s">
        <v>179</v>
      </c>
      <c r="G49" s="83" t="str">
        <f>IF($F49="","",IFERROR(VLOOKUP($F49,Inventory!$A:$B,2,FALSE),""))</f>
        <v>Creamy Treat 15G (Purry &amp; Hyper Paws)</v>
      </c>
      <c r="H49" s="83">
        <v>2.0</v>
      </c>
      <c r="I49" s="84">
        <f t="shared" si="2"/>
        <v>20</v>
      </c>
      <c r="J49" s="85">
        <f>IF($F49="","",IFERROR(VLOOKUP($F49,Inventory!$A:$K,11,FALSE),0))</f>
        <v>20</v>
      </c>
      <c r="K49" s="85"/>
      <c r="L49" s="85">
        <f t="shared" si="3"/>
        <v>40</v>
      </c>
      <c r="M49" s="83" t="s">
        <v>330</v>
      </c>
      <c r="N49" s="85">
        <f>IF($F49="","",IFERROR(VLOOKUP($F49,Inventory!$A:$I,9,FALSE),0))</f>
        <v>8.147411853</v>
      </c>
      <c r="O49" s="85">
        <f t="shared" si="4"/>
        <v>16.29482371</v>
      </c>
      <c r="P49" s="85">
        <f t="shared" si="5"/>
        <v>23.70517629</v>
      </c>
      <c r="Q49" s="83"/>
      <c r="R49" s="87" t="str">
        <f>IF($E49="","",IF(COUNTIF($E$7:$E49,$E49)&gt;1,"",IFERROR(VLOOKUP($E49,Orders!$A:$I,8,FALSE),"")))</f>
        <v/>
      </c>
      <c r="S49" s="87" t="str">
        <f>IF($E49="","",IF(COUNTIF($E$7:$E49,$E49)&gt;1,"",IFERROR(VLOOKUP($E49,Orders!$A:$I,9,FALSE),"")))</f>
        <v/>
      </c>
      <c r="T49" s="88">
        <f t="shared" si="6"/>
        <v>23.70517629</v>
      </c>
      <c r="U49" s="88">
        <f>IF($F49="","",IF($E49="",T49,SUMIF(Sales!$E$7:$E$1506,$E49,Sales!$T$7:$T$1506)))</f>
        <v>519.1610668</v>
      </c>
      <c r="V49" s="49" t="str">
        <f t="shared" si="7"/>
        <v/>
      </c>
      <c r="W49" s="49" t="str">
        <f t="array" ref="W49">IF($V49="","",SUMPRODUCT((Sales!$V$7:$V$1506&lt;&gt;"")*(Sales!$E$7:$E$1506&lt;$E49))+1)</f>
        <v/>
      </c>
      <c r="X49" s="49">
        <f t="shared" si="8"/>
        <v>42</v>
      </c>
      <c r="Y49" s="49" t="str">
        <f t="shared" si="9"/>
        <v>202607-42</v>
      </c>
      <c r="AA49" s="73" t="str">
        <f>IF(Inventory!A47="","",Inventory!A47)</f>
        <v>AC-CB-BW-001</v>
      </c>
    </row>
    <row r="50" ht="14.25" customHeight="1">
      <c r="A50" s="82">
        <v>46226.0</v>
      </c>
      <c r="B50" s="83" t="s">
        <v>324</v>
      </c>
      <c r="C50" s="83" t="s">
        <v>365</v>
      </c>
      <c r="D50" s="83" t="s">
        <v>366</v>
      </c>
      <c r="E50" s="83" t="s">
        <v>567</v>
      </c>
      <c r="F50" s="83" t="s">
        <v>249</v>
      </c>
      <c r="G50" s="83" t="str">
        <f>IF($F50="","",IFERROR(VLOOKUP($F50,Inventory!$A:$B,2,FALSE),""))</f>
        <v>Cat Litter Mix Flavor 5L DR. Clump</v>
      </c>
      <c r="H50" s="83">
        <v>1.0</v>
      </c>
      <c r="I50" s="84">
        <f t="shared" si="2"/>
        <v>300</v>
      </c>
      <c r="J50" s="85">
        <f>IF($F50="","",IFERROR(VLOOKUP($F50,Inventory!$A:$K,11,FALSE),0))</f>
        <v>320</v>
      </c>
      <c r="K50" s="85">
        <v>20.0</v>
      </c>
      <c r="L50" s="85">
        <f t="shared" si="3"/>
        <v>300</v>
      </c>
      <c r="M50" s="83" t="s">
        <v>330</v>
      </c>
      <c r="N50" s="85">
        <f>IF($F50="","",IFERROR(VLOOKUP($F50,Inventory!$A:$I,9,FALSE),0))</f>
        <v>220</v>
      </c>
      <c r="O50" s="85">
        <f t="shared" si="4"/>
        <v>220</v>
      </c>
      <c r="P50" s="85">
        <f t="shared" si="5"/>
        <v>80</v>
      </c>
      <c r="Q50" s="83"/>
      <c r="R50" s="87" t="str">
        <f>IF($E50="","",IF(COUNTIF($E$7:$E50,$E50)&gt;1,"",IFERROR(VLOOKUP($E50,Orders!$A:$I,8,FALSE),"")))</f>
        <v/>
      </c>
      <c r="S50" s="87" t="str">
        <f>IF($E50="","",IF(COUNTIF($E$7:$E50,$E50)&gt;1,"",IFERROR(VLOOKUP($E50,Orders!$A:$I,9,FALSE),"")))</f>
        <v/>
      </c>
      <c r="T50" s="88">
        <f t="shared" si="6"/>
        <v>80</v>
      </c>
      <c r="U50" s="88">
        <f>IF($F50="","",IF($E50="",T50,SUMIF(Sales!$E$7:$E$1506,$E50,Sales!$T$7:$T$1506)))</f>
        <v>519.1610668</v>
      </c>
      <c r="V50" s="49" t="str">
        <f t="shared" si="7"/>
        <v/>
      </c>
      <c r="W50" s="49" t="str">
        <f t="array" ref="W50">IF($V50="","",SUMPRODUCT((Sales!$V$7:$V$1506&lt;&gt;"")*(Sales!$E$7:$E$1506&lt;$E50))+1)</f>
        <v/>
      </c>
      <c r="X50" s="49">
        <f t="shared" si="8"/>
        <v>43</v>
      </c>
      <c r="Y50" s="49" t="str">
        <f t="shared" si="9"/>
        <v>202607-43</v>
      </c>
      <c r="AA50" s="73" t="str">
        <f>IF(Inventory!A48="","",Inventory!A48)</f>
        <v>AC-CB-FC-001</v>
      </c>
    </row>
    <row r="51" ht="14.25" customHeight="1">
      <c r="A51" s="82">
        <v>46226.0</v>
      </c>
      <c r="B51" s="83" t="s">
        <v>324</v>
      </c>
      <c r="C51" s="83" t="s">
        <v>365</v>
      </c>
      <c r="D51" s="83" t="s">
        <v>366</v>
      </c>
      <c r="E51" s="83" t="s">
        <v>567</v>
      </c>
      <c r="F51" s="83" t="s">
        <v>211</v>
      </c>
      <c r="G51" s="83" t="str">
        <f>IF($F51="","",IFERROR(VLOOKUP($F51,Inventory!$A:$B,2,FALSE),""))</f>
        <v>Smart Heart Pouch  Tuna With Chicken in Jelly</v>
      </c>
      <c r="H51" s="83">
        <v>2.0</v>
      </c>
      <c r="I51" s="84">
        <f t="shared" si="2"/>
        <v>95</v>
      </c>
      <c r="J51" s="85">
        <f>IF($F51="","",IFERROR(VLOOKUP($F51,Inventory!$A:$K,11,FALSE),0))</f>
        <v>95</v>
      </c>
      <c r="K51" s="85"/>
      <c r="L51" s="85">
        <f t="shared" si="3"/>
        <v>190</v>
      </c>
      <c r="M51" s="83" t="s">
        <v>330</v>
      </c>
      <c r="N51" s="85">
        <f>IF($F51="","",IFERROR(VLOOKUP($F51,Inventory!$A:$I,9,FALSE),0))</f>
        <v>71.9047619</v>
      </c>
      <c r="O51" s="85">
        <f t="shared" si="4"/>
        <v>143.8095238</v>
      </c>
      <c r="P51" s="85">
        <f t="shared" si="5"/>
        <v>46.19047619</v>
      </c>
      <c r="Q51" s="83"/>
      <c r="R51" s="87" t="str">
        <f>IF($E51="","",IF(COUNTIF($E$7:$E51,$E51)&gt;1,"",IFERROR(VLOOKUP($E51,Orders!$A:$I,8,FALSE),"")))</f>
        <v/>
      </c>
      <c r="S51" s="87" t="str">
        <f>IF($E51="","",IF(COUNTIF($E$7:$E51,$E51)&gt;1,"",IFERROR(VLOOKUP($E51,Orders!$A:$I,9,FALSE),"")))</f>
        <v/>
      </c>
      <c r="T51" s="88">
        <f t="shared" si="6"/>
        <v>46.19047619</v>
      </c>
      <c r="U51" s="88">
        <f>IF($F51="","",IF($E51="",T51,SUMIF(Sales!$E$7:$E$1506,$E51,Sales!$T$7:$T$1506)))</f>
        <v>519.1610668</v>
      </c>
      <c r="V51" s="49" t="str">
        <f t="shared" si="7"/>
        <v/>
      </c>
      <c r="W51" s="49" t="str">
        <f t="array" ref="W51">IF($V51="","",SUMPRODUCT((Sales!$V$7:$V$1506&lt;&gt;"")*(Sales!$E$7:$E$1506&lt;$E51))+1)</f>
        <v/>
      </c>
      <c r="X51" s="49">
        <f t="shared" si="8"/>
        <v>44</v>
      </c>
      <c r="Y51" s="49" t="str">
        <f t="shared" si="9"/>
        <v>202607-44</v>
      </c>
      <c r="AA51" s="73" t="str">
        <f>IF(Inventory!A49="","",Inventory!A49)</f>
        <v>AC-CTOY-003</v>
      </c>
    </row>
    <row r="52" ht="14.25" customHeight="1">
      <c r="A52" s="82">
        <v>46226.0</v>
      </c>
      <c r="B52" s="83" t="s">
        <v>324</v>
      </c>
      <c r="C52" s="83" t="s">
        <v>365</v>
      </c>
      <c r="D52" s="83" t="s">
        <v>366</v>
      </c>
      <c r="E52" s="83" t="s">
        <v>567</v>
      </c>
      <c r="F52" s="83" t="s">
        <v>179</v>
      </c>
      <c r="G52" s="83" t="str">
        <f>IF($F52="","",IFERROR(VLOOKUP($F52,Inventory!$A:$B,2,FALSE),""))</f>
        <v>Creamy Treat 15G (Purry &amp; Hyper Paws)</v>
      </c>
      <c r="H52" s="83">
        <v>1.0</v>
      </c>
      <c r="I52" s="84">
        <f t="shared" si="2"/>
        <v>20</v>
      </c>
      <c r="J52" s="85">
        <f>IF($F52="","",IFERROR(VLOOKUP($F52,Inventory!$A:$K,11,FALSE),0))</f>
        <v>20</v>
      </c>
      <c r="K52" s="85"/>
      <c r="L52" s="85">
        <f t="shared" si="3"/>
        <v>20</v>
      </c>
      <c r="M52" s="83" t="s">
        <v>330</v>
      </c>
      <c r="N52" s="85">
        <f>IF($F52="","",IFERROR(VLOOKUP($F52,Inventory!$A:$I,9,FALSE),0))</f>
        <v>8.147411853</v>
      </c>
      <c r="O52" s="85">
        <f t="shared" si="4"/>
        <v>8.147411853</v>
      </c>
      <c r="P52" s="85">
        <f t="shared" si="5"/>
        <v>11.85258815</v>
      </c>
      <c r="Q52" s="83"/>
      <c r="R52" s="87" t="str">
        <f>IF($E52="","",IF(COUNTIF($E$7:$E52,$E52)&gt;1,"",IFERROR(VLOOKUP($E52,Orders!$A:$I,8,FALSE),"")))</f>
        <v/>
      </c>
      <c r="S52" s="87" t="str">
        <f>IF($E52="","",IF(COUNTIF($E$7:$E52,$E52)&gt;1,"",IFERROR(VLOOKUP($E52,Orders!$A:$I,9,FALSE),"")))</f>
        <v/>
      </c>
      <c r="T52" s="88">
        <f t="shared" si="6"/>
        <v>11.85258815</v>
      </c>
      <c r="U52" s="88">
        <f>IF($F52="","",IF($E52="",T52,SUMIF(Sales!$E$7:$E$1506,$E52,Sales!$T$7:$T$1506)))</f>
        <v>519.1610668</v>
      </c>
      <c r="V52" s="49" t="str">
        <f t="shared" si="7"/>
        <v/>
      </c>
      <c r="W52" s="49" t="str">
        <f t="array" ref="W52">IF($V52="","",SUMPRODUCT((Sales!$V$7:$V$1506&lt;&gt;"")*(Sales!$E$7:$E$1506&lt;$E52))+1)</f>
        <v/>
      </c>
      <c r="X52" s="49">
        <f t="shared" si="8"/>
        <v>45</v>
      </c>
      <c r="Y52" s="49" t="str">
        <f t="shared" si="9"/>
        <v>202607-45</v>
      </c>
      <c r="AA52" s="73" t="str">
        <f>IF(Inventory!A50="","",Inventory!A50)</f>
        <v>LT-MX-DCLP-5L-002</v>
      </c>
    </row>
    <row r="53" ht="14.25" customHeight="1">
      <c r="A53" s="82">
        <v>46226.0</v>
      </c>
      <c r="B53" s="83" t="s">
        <v>324</v>
      </c>
      <c r="C53" s="83" t="s">
        <v>365</v>
      </c>
      <c r="D53" s="83" t="s">
        <v>366</v>
      </c>
      <c r="E53" s="83" t="s">
        <v>567</v>
      </c>
      <c r="F53" s="83" t="s">
        <v>98</v>
      </c>
      <c r="G53" s="83" t="str">
        <f>IF($F53="","",IFERROR(VLOOKUP($F53,Inventory!$A:$B,2,FALSE),""))</f>
        <v>Cat Belt</v>
      </c>
      <c r="H53" s="83">
        <v>2.0</v>
      </c>
      <c r="I53" s="84">
        <f t="shared" si="2"/>
        <v>50</v>
      </c>
      <c r="J53" s="85">
        <f>IF($F53="","",IFERROR(VLOOKUP($F53,Inventory!$A:$K,11,FALSE),0))</f>
        <v>60</v>
      </c>
      <c r="K53" s="85">
        <v>10.0</v>
      </c>
      <c r="L53" s="85">
        <f t="shared" si="3"/>
        <v>100</v>
      </c>
      <c r="M53" s="83" t="s">
        <v>330</v>
      </c>
      <c r="N53" s="85">
        <f>IF($F53="","",IFERROR(VLOOKUP($F53,Inventory!$A:$I,9,FALSE),0))</f>
        <v>29.35135135</v>
      </c>
      <c r="O53" s="85">
        <f t="shared" si="4"/>
        <v>58.7027027</v>
      </c>
      <c r="P53" s="85">
        <f t="shared" si="5"/>
        <v>41.2972973</v>
      </c>
      <c r="Q53" s="83"/>
      <c r="R53" s="87" t="str">
        <f>IF($E53="","",IF(COUNTIF($E$7:$E53,$E53)&gt;1,"",IFERROR(VLOOKUP($E53,Orders!$A:$I,8,FALSE),"")))</f>
        <v/>
      </c>
      <c r="S53" s="87" t="str">
        <f>IF($E53="","",IF(COUNTIF($E$7:$E53,$E53)&gt;1,"",IFERROR(VLOOKUP($E53,Orders!$A:$I,9,FALSE),"")))</f>
        <v/>
      </c>
      <c r="T53" s="88">
        <f t="shared" si="6"/>
        <v>41.2972973</v>
      </c>
      <c r="U53" s="88">
        <f>IF($F53="","",IF($E53="",T53,SUMIF(Sales!$E$7:$E$1506,$E53,Sales!$T$7:$T$1506)))</f>
        <v>519.1610668</v>
      </c>
      <c r="V53" s="49" t="str">
        <f t="shared" si="7"/>
        <v/>
      </c>
      <c r="W53" s="49" t="str">
        <f t="array" ref="W53">IF($V53="","",SUMPRODUCT((Sales!$V$7:$V$1506&lt;&gt;"")*(Sales!$E$7:$E$1506&lt;$E53))+1)</f>
        <v/>
      </c>
      <c r="X53" s="49">
        <f t="shared" si="8"/>
        <v>46</v>
      </c>
      <c r="Y53" s="49" t="str">
        <f t="shared" si="9"/>
        <v>202607-46</v>
      </c>
      <c r="AA53" s="73" t="str">
        <f>IF(Inventory!A51="","",Inventory!A51)</f>
        <v>LT-MX-DCLP-10L-001</v>
      </c>
    </row>
    <row r="54" ht="14.25" customHeight="1">
      <c r="A54" s="82">
        <v>46226.0</v>
      </c>
      <c r="B54" s="83" t="s">
        <v>324</v>
      </c>
      <c r="C54" s="83" t="s">
        <v>365</v>
      </c>
      <c r="D54" s="83" t="s">
        <v>366</v>
      </c>
      <c r="E54" s="83" t="s">
        <v>567</v>
      </c>
      <c r="F54" s="83" t="s">
        <v>179</v>
      </c>
      <c r="G54" s="83" t="str">
        <f>IF($F54="","",IFERROR(VLOOKUP($F54,Inventory!$A:$B,2,FALSE),""))</f>
        <v>Creamy Treat 15G (Purry &amp; Hyper Paws)</v>
      </c>
      <c r="H54" s="83">
        <v>5.0</v>
      </c>
      <c r="I54" s="84">
        <f t="shared" si="2"/>
        <v>20</v>
      </c>
      <c r="J54" s="85">
        <f>IF($F54="","",IFERROR(VLOOKUP($F54,Inventory!$A:$K,11,FALSE),0))</f>
        <v>20</v>
      </c>
      <c r="K54" s="85"/>
      <c r="L54" s="85">
        <f t="shared" si="3"/>
        <v>100</v>
      </c>
      <c r="M54" s="83" t="s">
        <v>330</v>
      </c>
      <c r="N54" s="85">
        <f>IF($F54="","",IFERROR(VLOOKUP($F54,Inventory!$A:$I,9,FALSE),0))</f>
        <v>8.147411853</v>
      </c>
      <c r="O54" s="85">
        <f t="shared" si="4"/>
        <v>40.73705926</v>
      </c>
      <c r="P54" s="85">
        <f t="shared" si="5"/>
        <v>59.26294074</v>
      </c>
      <c r="Q54" s="83"/>
      <c r="R54" s="87" t="str">
        <f>IF($E54="","",IF(COUNTIF($E$7:$E54,$E54)&gt;1,"",IFERROR(VLOOKUP($E54,Orders!$A:$I,8,FALSE),"")))</f>
        <v/>
      </c>
      <c r="S54" s="87" t="str">
        <f>IF($E54="","",IF(COUNTIF($E$7:$E54,$E54)&gt;1,"",IFERROR(VLOOKUP($E54,Orders!$A:$I,9,FALSE),"")))</f>
        <v/>
      </c>
      <c r="T54" s="88">
        <f t="shared" si="6"/>
        <v>59.26294074</v>
      </c>
      <c r="U54" s="88">
        <f>IF($F54="","",IF($E54="",T54,SUMIF(Sales!$E$7:$E$1506,$E54,Sales!$T$7:$T$1506)))</f>
        <v>519.1610668</v>
      </c>
      <c r="V54" s="49" t="str">
        <f t="shared" si="7"/>
        <v/>
      </c>
      <c r="W54" s="49" t="str">
        <f t="array" ref="W54">IF($V54="","",SUMPRODUCT((Sales!$V$7:$V$1506&lt;&gt;"")*(Sales!$E$7:$E$1506&lt;$E54))+1)</f>
        <v/>
      </c>
      <c r="X54" s="49">
        <f t="shared" si="8"/>
        <v>47</v>
      </c>
      <c r="Y54" s="49" t="str">
        <f t="shared" si="9"/>
        <v>202607-47</v>
      </c>
      <c r="AA54" s="73" t="str">
        <f>IF(Inventory!A52="","",Inventory!A52)</f>
        <v>TR-CKN-SMHRT-70G-001</v>
      </c>
    </row>
    <row r="55" ht="14.25" customHeight="1">
      <c r="A55" s="82">
        <v>46226.0</v>
      </c>
      <c r="B55" s="83" t="s">
        <v>324</v>
      </c>
      <c r="C55" s="83" t="s">
        <v>365</v>
      </c>
      <c r="D55" s="83" t="s">
        <v>366</v>
      </c>
      <c r="E55" s="83" t="s">
        <v>567</v>
      </c>
      <c r="F55" s="83" t="s">
        <v>273</v>
      </c>
      <c r="G55" s="83" t="str">
        <f>IF($F55="","",IFERROR(VLOOKUP($F55,Inventory!$A:$B,2,FALSE),""))</f>
        <v>Zoi Cat Food 1kg</v>
      </c>
      <c r="H55" s="83">
        <v>1.0</v>
      </c>
      <c r="I55" s="84">
        <f t="shared" si="2"/>
        <v>360</v>
      </c>
      <c r="J55" s="85">
        <f>IF($F55="","",IFERROR(VLOOKUP($F55,Inventory!$A:$K,11,FALSE),0))</f>
        <v>380</v>
      </c>
      <c r="K55" s="85">
        <v>20.0</v>
      </c>
      <c r="L55" s="85">
        <f t="shared" si="3"/>
        <v>360</v>
      </c>
      <c r="M55" s="83" t="s">
        <v>330</v>
      </c>
      <c r="N55" s="85">
        <f>IF($F55="","",IFERROR(VLOOKUP($F55,Inventory!$A:$I,9,FALSE),0))</f>
        <v>300</v>
      </c>
      <c r="O55" s="85">
        <f t="shared" si="4"/>
        <v>300</v>
      </c>
      <c r="P55" s="85">
        <f t="shared" si="5"/>
        <v>60</v>
      </c>
      <c r="Q55" s="83"/>
      <c r="R55" s="87" t="str">
        <f>IF($E55="","",IF(COUNTIF($E$7:$E55,$E55)&gt;1,"",IFERROR(VLOOKUP($E55,Orders!$A:$I,8,FALSE),"")))</f>
        <v/>
      </c>
      <c r="S55" s="87" t="str">
        <f>IF($E55="","",IF(COUNTIF($E$7:$E55,$E55)&gt;1,"",IFERROR(VLOOKUP($E55,Orders!$A:$I,9,FALSE),"")))</f>
        <v/>
      </c>
      <c r="T55" s="88">
        <f t="shared" si="6"/>
        <v>60</v>
      </c>
      <c r="U55" s="88">
        <f>IF($F55="","",IF($E55="",T55,SUMIF(Sales!$E$7:$E$1506,$E55,Sales!$T$7:$T$1506)))</f>
        <v>519.1610668</v>
      </c>
      <c r="V55" s="49" t="str">
        <f t="shared" si="7"/>
        <v/>
      </c>
      <c r="W55" s="49" t="str">
        <f t="array" ref="W55">IF($V55="","",SUMPRODUCT((Sales!$V$7:$V$1506&lt;&gt;"")*(Sales!$E$7:$E$1506&lt;$E55))+1)</f>
        <v/>
      </c>
      <c r="X55" s="49">
        <f t="shared" si="8"/>
        <v>48</v>
      </c>
      <c r="Y55" s="49" t="str">
        <f t="shared" si="9"/>
        <v>202607-48</v>
      </c>
      <c r="AA55" s="73" t="str">
        <f>IF(Inventory!A53="","",Inventory!A53)</f>
        <v>FD-DRY-KTCN-400G-001</v>
      </c>
    </row>
    <row r="56" ht="14.25" customHeight="1">
      <c r="A56" s="82">
        <v>46226.0</v>
      </c>
      <c r="B56" s="83" t="s">
        <v>324</v>
      </c>
      <c r="C56" s="83" t="s">
        <v>365</v>
      </c>
      <c r="D56" s="83" t="s">
        <v>366</v>
      </c>
      <c r="E56" s="83" t="s">
        <v>567</v>
      </c>
      <c r="F56" s="83" t="s">
        <v>258</v>
      </c>
      <c r="G56" s="83" t="str">
        <f>IF($F56="","",IFERROR(VLOOKUP($F56,Inventory!$A:$B,2,FALSE),""))</f>
        <v>Kitchen Flavor Grain Free Adult 400G</v>
      </c>
      <c r="H56" s="83">
        <v>1.0</v>
      </c>
      <c r="I56" s="84">
        <f t="shared" si="2"/>
        <v>360</v>
      </c>
      <c r="J56" s="85">
        <f>IF($F56="","",IFERROR(VLOOKUP($F56,Inventory!$A:$K,11,FALSE),0))</f>
        <v>380</v>
      </c>
      <c r="K56" s="85">
        <v>20.0</v>
      </c>
      <c r="L56" s="85">
        <f t="shared" si="3"/>
        <v>360</v>
      </c>
      <c r="M56" s="83" t="s">
        <v>330</v>
      </c>
      <c r="N56" s="85">
        <f>IF($F56="","",IFERROR(VLOOKUP($F56,Inventory!$A:$I,9,FALSE),0))</f>
        <v>290</v>
      </c>
      <c r="O56" s="85">
        <f t="shared" si="4"/>
        <v>290</v>
      </c>
      <c r="P56" s="85">
        <f t="shared" si="5"/>
        <v>70</v>
      </c>
      <c r="Q56" s="83"/>
      <c r="R56" s="87" t="str">
        <f>IF($E56="","",IF(COUNTIF($E$7:$E56,$E56)&gt;1,"",IFERROR(VLOOKUP($E56,Orders!$A:$I,8,FALSE),"")))</f>
        <v/>
      </c>
      <c r="S56" s="87" t="str">
        <f>IF($E56="","",IF(COUNTIF($E$7:$E56,$E56)&gt;1,"",IFERROR(VLOOKUP($E56,Orders!$A:$I,9,FALSE),"")))</f>
        <v/>
      </c>
      <c r="T56" s="88">
        <f t="shared" si="6"/>
        <v>70</v>
      </c>
      <c r="U56" s="88">
        <f>IF($F56="","",IF($E56="",T56,SUMIF(Sales!$E$7:$E$1506,$E56,Sales!$T$7:$T$1506)))</f>
        <v>519.1610668</v>
      </c>
      <c r="V56" s="49" t="str">
        <f t="shared" si="7"/>
        <v/>
      </c>
      <c r="W56" s="49" t="str">
        <f t="array" ref="W56">IF($V56="","",SUMPRODUCT((Sales!$V$7:$V$1506&lt;&gt;"")*(Sales!$E$7:$E$1506&lt;$E56))+1)</f>
        <v/>
      </c>
      <c r="X56" s="49">
        <f t="shared" si="8"/>
        <v>49</v>
      </c>
      <c r="Y56" s="49" t="str">
        <f t="shared" si="9"/>
        <v>202607-49</v>
      </c>
      <c r="AA56" s="73" t="str">
        <f>IF(Inventory!A54="","",Inventory!A54)</f>
        <v>FD-DRY-KTCN-400G-002</v>
      </c>
    </row>
    <row r="57" ht="14.25" customHeight="1">
      <c r="A57" s="82">
        <v>46226.0</v>
      </c>
      <c r="B57" s="83" t="s">
        <v>324</v>
      </c>
      <c r="C57" s="83" t="s">
        <v>365</v>
      </c>
      <c r="D57" s="83" t="s">
        <v>366</v>
      </c>
      <c r="E57" s="83" t="s">
        <v>567</v>
      </c>
      <c r="F57" s="83" t="s">
        <v>236</v>
      </c>
      <c r="G57" s="83" t="str">
        <f>IF($F57="","",IFERROR(VLOOKUP($F57,Inventory!$A:$B,2,FALSE),""))</f>
        <v>Cat Toy Rainbow Ball Spring</v>
      </c>
      <c r="H57" s="83">
        <v>1.0</v>
      </c>
      <c r="I57" s="84">
        <f t="shared" si="2"/>
        <v>110</v>
      </c>
      <c r="J57" s="85">
        <f>IF($F57="","",IFERROR(VLOOKUP($F57,Inventory!$A:$K,11,FALSE),0))</f>
        <v>130</v>
      </c>
      <c r="K57" s="85">
        <v>20.0</v>
      </c>
      <c r="L57" s="85">
        <f t="shared" si="3"/>
        <v>110</v>
      </c>
      <c r="M57" s="83" t="s">
        <v>330</v>
      </c>
      <c r="N57" s="85">
        <f>IF($F57="","",IFERROR(VLOOKUP($F57,Inventory!$A:$I,9,FALSE),0))</f>
        <v>80</v>
      </c>
      <c r="O57" s="85">
        <f t="shared" si="4"/>
        <v>80</v>
      </c>
      <c r="P57" s="85">
        <f t="shared" si="5"/>
        <v>30</v>
      </c>
      <c r="Q57" s="83"/>
      <c r="R57" s="87" t="str">
        <f>IF($E57="","",IF(COUNTIF($E$7:$E57,$E57)&gt;1,"",IFERROR(VLOOKUP($E57,Orders!$A:$I,8,FALSE),"")))</f>
        <v/>
      </c>
      <c r="S57" s="87" t="str">
        <f>IF($E57="","",IF(COUNTIF($E$7:$E57,$E57)&gt;1,"",IFERROR(VLOOKUP($E57,Orders!$A:$I,9,FALSE),"")))</f>
        <v/>
      </c>
      <c r="T57" s="88">
        <f t="shared" si="6"/>
        <v>30</v>
      </c>
      <c r="U57" s="88">
        <f>IF($F57="","",IF($E57="",T57,SUMIF(Sales!$E$7:$E$1506,$E57,Sales!$T$7:$T$1506)))</f>
        <v>519.1610668</v>
      </c>
      <c r="V57" s="49" t="str">
        <f t="shared" si="7"/>
        <v/>
      </c>
      <c r="W57" s="49" t="str">
        <f t="array" ref="W57">IF($V57="","",SUMPRODUCT((Sales!$V$7:$V$1506&lt;&gt;"")*(Sales!$E$7:$E$1506&lt;$E57))+1)</f>
        <v/>
      </c>
      <c r="X57" s="49">
        <f t="shared" si="8"/>
        <v>50</v>
      </c>
      <c r="Y57" s="49" t="str">
        <f t="shared" si="9"/>
        <v>202607-50</v>
      </c>
      <c r="AA57" s="73" t="str">
        <f>IF(Inventory!A55="","",Inventory!A55)</f>
        <v>FD-DRY-KTCN-1.5G-001</v>
      </c>
    </row>
    <row r="58" ht="14.25" customHeight="1">
      <c r="A58" s="82">
        <v>46226.0</v>
      </c>
      <c r="B58" s="83" t="s">
        <v>324</v>
      </c>
      <c r="C58" s="83" t="s">
        <v>365</v>
      </c>
      <c r="D58" s="83" t="s">
        <v>366</v>
      </c>
      <c r="E58" s="83" t="s">
        <v>567</v>
      </c>
      <c r="F58" s="83" t="s">
        <v>253</v>
      </c>
      <c r="G58" s="83" t="str">
        <f>IF($F58="","",IFERROR(VLOOKUP($F58,Inventory!$A:$B,2,FALSE),""))</f>
        <v>Smart Heart Chicken Treat</v>
      </c>
      <c r="H58" s="83">
        <v>2.0</v>
      </c>
      <c r="I58" s="84">
        <f t="shared" si="2"/>
        <v>60</v>
      </c>
      <c r="J58" s="85">
        <f>IF($F58="","",IFERROR(VLOOKUP($F58,Inventory!$A:$K,11,FALSE),0))</f>
        <v>65</v>
      </c>
      <c r="K58" s="85">
        <v>5.0</v>
      </c>
      <c r="L58" s="85">
        <f t="shared" si="3"/>
        <v>120</v>
      </c>
      <c r="M58" s="83" t="s">
        <v>330</v>
      </c>
      <c r="N58" s="85">
        <f>IF($F58="","",IFERROR(VLOOKUP($F58,Inventory!$A:$I,9,FALSE),0))</f>
        <v>47.5</v>
      </c>
      <c r="O58" s="85">
        <f t="shared" si="4"/>
        <v>95</v>
      </c>
      <c r="P58" s="85">
        <f t="shared" si="5"/>
        <v>25</v>
      </c>
      <c r="Q58" s="83"/>
      <c r="R58" s="87" t="str">
        <f>IF($E58="","",IF(COUNTIF($E$7:$E58,$E58)&gt;1,"",IFERROR(VLOOKUP($E58,Orders!$A:$I,8,FALSE),"")))</f>
        <v/>
      </c>
      <c r="S58" s="87" t="str">
        <f>IF($E58="","",IF(COUNTIF($E$7:$E58,$E58)&gt;1,"",IFERROR(VLOOKUP($E58,Orders!$A:$I,9,FALSE),"")))</f>
        <v/>
      </c>
      <c r="T58" s="88">
        <f t="shared" si="6"/>
        <v>25</v>
      </c>
      <c r="U58" s="88">
        <f>IF($F58="","",IF($E58="",T58,SUMIF(Sales!$E$7:$E$1506,$E58,Sales!$T$7:$T$1506)))</f>
        <v>519.1610668</v>
      </c>
      <c r="V58" s="49" t="str">
        <f t="shared" si="7"/>
        <v/>
      </c>
      <c r="W58" s="49" t="str">
        <f t="array" ref="W58">IF($V58="","",SUMPRODUCT((Sales!$V$7:$V$1506&lt;&gt;"")*(Sales!$E$7:$E$1506&lt;$E58))+1)</f>
        <v/>
      </c>
      <c r="X58" s="49">
        <f t="shared" si="8"/>
        <v>51</v>
      </c>
      <c r="Y58" s="49" t="str">
        <f t="shared" si="9"/>
        <v>202607-51</v>
      </c>
      <c r="AA58" s="73" t="str">
        <f>IF(Inventory!A56="","",Inventory!A56)</f>
        <v>FD-WET-KTCN-001</v>
      </c>
    </row>
    <row r="59" ht="14.25" customHeight="1">
      <c r="A59" s="82">
        <v>46226.0</v>
      </c>
      <c r="B59" s="83" t="s">
        <v>324</v>
      </c>
      <c r="C59" s="83" t="s">
        <v>365</v>
      </c>
      <c r="D59" s="83" t="s">
        <v>366</v>
      </c>
      <c r="E59" s="83" t="s">
        <v>567</v>
      </c>
      <c r="F59" s="83" t="s">
        <v>179</v>
      </c>
      <c r="G59" s="83" t="str">
        <f>IF($F59="","",IFERROR(VLOOKUP($F59,Inventory!$A:$B,2,FALSE),""))</f>
        <v>Creamy Treat 15G (Purry &amp; Hyper Paws)</v>
      </c>
      <c r="H59" s="83">
        <v>1.0</v>
      </c>
      <c r="I59" s="84">
        <f t="shared" si="2"/>
        <v>20</v>
      </c>
      <c r="J59" s="85">
        <f>IF($F59="","",IFERROR(VLOOKUP($F59,Inventory!$A:$K,11,FALSE),0))</f>
        <v>20</v>
      </c>
      <c r="K59" s="85"/>
      <c r="L59" s="85">
        <f t="shared" si="3"/>
        <v>20</v>
      </c>
      <c r="M59" s="83" t="s">
        <v>330</v>
      </c>
      <c r="N59" s="85">
        <f>IF($F59="","",IFERROR(VLOOKUP($F59,Inventory!$A:$I,9,FALSE),0))</f>
        <v>8.147411853</v>
      </c>
      <c r="O59" s="85">
        <f t="shared" si="4"/>
        <v>8.147411853</v>
      </c>
      <c r="P59" s="85">
        <f t="shared" si="5"/>
        <v>11.85258815</v>
      </c>
      <c r="Q59" s="83"/>
      <c r="R59" s="87" t="str">
        <f>IF($E59="","",IF(COUNTIF($E$7:$E59,$E59)&gt;1,"",IFERROR(VLOOKUP($E59,Orders!$A:$I,8,FALSE),"")))</f>
        <v/>
      </c>
      <c r="S59" s="87" t="str">
        <f>IF($E59="","",IF(COUNTIF($E$7:$E59,$E59)&gt;1,"",IFERROR(VLOOKUP($E59,Orders!$A:$I,9,FALSE),"")))</f>
        <v/>
      </c>
      <c r="T59" s="88">
        <f t="shared" si="6"/>
        <v>11.85258815</v>
      </c>
      <c r="U59" s="88">
        <f>IF($F59="","",IF($E59="",T59,SUMIF(Sales!$E$7:$E$1506,$E59,Sales!$T$7:$T$1506)))</f>
        <v>519.1610668</v>
      </c>
      <c r="V59" s="49" t="str">
        <f t="shared" si="7"/>
        <v/>
      </c>
      <c r="W59" s="49" t="str">
        <f t="array" ref="W59">IF($V59="","",SUMPRODUCT((Sales!$V$7:$V$1506&lt;&gt;"")*(Sales!$E$7:$E$1506&lt;$E59))+1)</f>
        <v/>
      </c>
      <c r="X59" s="49">
        <f t="shared" si="8"/>
        <v>52</v>
      </c>
      <c r="Y59" s="49" t="str">
        <f t="shared" si="9"/>
        <v>202607-52</v>
      </c>
      <c r="AA59" s="73" t="str">
        <f>IF(Inventory!A57="","",Inventory!A57)</f>
        <v>FD-DRY-KTCN-1.5G-002</v>
      </c>
    </row>
    <row r="60" ht="14.25" customHeight="1">
      <c r="A60" s="82">
        <v>46226.0</v>
      </c>
      <c r="B60" s="83" t="s">
        <v>324</v>
      </c>
      <c r="C60" s="83" t="s">
        <v>365</v>
      </c>
      <c r="D60" s="83" t="s">
        <v>366</v>
      </c>
      <c r="E60" s="83" t="s">
        <v>567</v>
      </c>
      <c r="F60" s="83" t="s">
        <v>249</v>
      </c>
      <c r="G60" s="83" t="str">
        <f>IF($F60="","",IFERROR(VLOOKUP($F60,Inventory!$A:$B,2,FALSE),""))</f>
        <v>Cat Litter Mix Flavor 5L DR. Clump</v>
      </c>
      <c r="H60" s="83">
        <v>1.0</v>
      </c>
      <c r="I60" s="84">
        <f t="shared" si="2"/>
        <v>280</v>
      </c>
      <c r="J60" s="85">
        <f>IF($F60="","",IFERROR(VLOOKUP($F60,Inventory!$A:$K,11,FALSE),0))</f>
        <v>320</v>
      </c>
      <c r="K60" s="85">
        <v>40.0</v>
      </c>
      <c r="L60" s="85">
        <f t="shared" si="3"/>
        <v>280</v>
      </c>
      <c r="M60" s="83" t="s">
        <v>330</v>
      </c>
      <c r="N60" s="85">
        <f>IF($F60="","",IFERROR(VLOOKUP($F60,Inventory!$A:$I,9,FALSE),0))</f>
        <v>220</v>
      </c>
      <c r="O60" s="85">
        <f t="shared" si="4"/>
        <v>220</v>
      </c>
      <c r="P60" s="85">
        <f t="shared" si="5"/>
        <v>60</v>
      </c>
      <c r="Q60" s="83"/>
      <c r="R60" s="87" t="str">
        <f>IF($E60="","",IF(COUNTIF($E$7:$E60,$E60)&gt;1,"",IFERROR(VLOOKUP($E60,Orders!$A:$I,8,FALSE),"")))</f>
        <v/>
      </c>
      <c r="S60" s="87" t="str">
        <f>IF($E60="","",IF(COUNTIF($E$7:$E60,$E60)&gt;1,"",IFERROR(VLOOKUP($E60,Orders!$A:$I,9,FALSE),"")))</f>
        <v/>
      </c>
      <c r="T60" s="88">
        <f t="shared" si="6"/>
        <v>60</v>
      </c>
      <c r="U60" s="88">
        <f>IF($F60="","",IF($E60="",T60,SUMIF(Sales!$E$7:$E$1506,$E60,Sales!$T$7:$T$1506)))</f>
        <v>519.1610668</v>
      </c>
      <c r="V60" s="49" t="str">
        <f t="shared" si="7"/>
        <v/>
      </c>
      <c r="W60" s="49" t="str">
        <f t="array" ref="W60">IF($V60="","",SUMPRODUCT((Sales!$V$7:$V$1506&lt;&gt;"")*(Sales!$E$7:$E$1506&lt;$E60))+1)</f>
        <v/>
      </c>
      <c r="X60" s="49">
        <f t="shared" si="8"/>
        <v>53</v>
      </c>
      <c r="Y60" s="49" t="str">
        <f t="shared" si="9"/>
        <v>202607-53</v>
      </c>
      <c r="AA60" s="73" t="str">
        <f>IF(Inventory!A58="","",Inventory!A58)</f>
        <v>FD-DRY-SMHRT-1.2KG-002</v>
      </c>
    </row>
    <row r="61" ht="14.25" customHeight="1">
      <c r="A61" s="82">
        <v>46227.0</v>
      </c>
      <c r="B61" s="83" t="s">
        <v>324</v>
      </c>
      <c r="C61" s="83" t="s">
        <v>365</v>
      </c>
      <c r="D61" s="83" t="s">
        <v>366</v>
      </c>
      <c r="E61" s="83"/>
      <c r="F61" s="83" t="s">
        <v>306</v>
      </c>
      <c r="G61" s="83" t="str">
        <f>IF($F61="","",IFERROR(VLOOKUP($F61,Inventory!$A:$B,2,FALSE),""))</f>
        <v>Pet Comb One Side</v>
      </c>
      <c r="H61" s="83">
        <v>1.0</v>
      </c>
      <c r="I61" s="84">
        <f t="shared" si="2"/>
        <v>180</v>
      </c>
      <c r="J61" s="85">
        <f>IF($F61="","",IFERROR(VLOOKUP($F61,Inventory!$A:$K,11,FALSE),0))</f>
        <v>200</v>
      </c>
      <c r="K61" s="85">
        <v>20.0</v>
      </c>
      <c r="L61" s="85">
        <f t="shared" si="3"/>
        <v>180</v>
      </c>
      <c r="M61" s="83" t="s">
        <v>330</v>
      </c>
      <c r="N61" s="85">
        <f>IF($F61="","",IFERROR(VLOOKUP($F61,Inventory!$A:$I,9,FALSE),0))</f>
        <v>130</v>
      </c>
      <c r="O61" s="85">
        <f t="shared" si="4"/>
        <v>130</v>
      </c>
      <c r="P61" s="85">
        <f t="shared" si="5"/>
        <v>50</v>
      </c>
      <c r="Q61" s="83"/>
      <c r="R61" s="87" t="str">
        <f>IF($E61="","",IF(COUNTIF($E$7:$E61,$E61)&gt;1,"",IFERROR(VLOOKUP($E61,Orders!$A:$I,8,FALSE),"")))</f>
        <v/>
      </c>
      <c r="S61" s="87" t="str">
        <f>IF($E61="","",IF(COUNTIF($E$7:$E61,$E61)&gt;1,"",IFERROR(VLOOKUP($E61,Orders!$A:$I,9,FALSE),"")))</f>
        <v/>
      </c>
      <c r="T61" s="88">
        <f t="shared" si="6"/>
        <v>50</v>
      </c>
      <c r="U61" s="88">
        <f>IF($F61="","",IF($E61="",T61,SUMIF(Sales!$E$7:$E$1506,$E61,Sales!$T$7:$T$1506)))</f>
        <v>50</v>
      </c>
      <c r="V61" s="49" t="str">
        <f t="shared" si="7"/>
        <v/>
      </c>
      <c r="W61" s="49" t="str">
        <f t="array" ref="W61">IF($V61="","",SUMPRODUCT((Sales!$V$7:$V$1506&lt;&gt;"")*(Sales!$E$7:$E$1506&lt;$E61))+1)</f>
        <v/>
      </c>
      <c r="X61" s="49">
        <f t="shared" si="8"/>
        <v>54</v>
      </c>
      <c r="Y61" s="49" t="str">
        <f t="shared" si="9"/>
        <v>202607-54</v>
      </c>
      <c r="AA61" s="73" t="str">
        <f>IF(Inventory!A59="","",Inventory!A59)</f>
        <v>AC-CF-001</v>
      </c>
    </row>
    <row r="62" ht="14.25" customHeight="1">
      <c r="A62" s="82">
        <v>46227.0</v>
      </c>
      <c r="B62" s="83" t="s">
        <v>324</v>
      </c>
      <c r="C62" s="83" t="s">
        <v>365</v>
      </c>
      <c r="D62" s="83" t="s">
        <v>366</v>
      </c>
      <c r="E62" s="83"/>
      <c r="F62" s="83" t="s">
        <v>179</v>
      </c>
      <c r="G62" s="83" t="str">
        <f>IF($F62="","",IFERROR(VLOOKUP($F62,Inventory!$A:$B,2,FALSE),""))</f>
        <v>Creamy Treat 15G (Purry &amp; Hyper Paws)</v>
      </c>
      <c r="H62" s="83">
        <v>1.0</v>
      </c>
      <c r="I62" s="84">
        <f t="shared" si="2"/>
        <v>20</v>
      </c>
      <c r="J62" s="85">
        <f>IF($F62="","",IFERROR(VLOOKUP($F62,Inventory!$A:$K,11,FALSE),0))</f>
        <v>20</v>
      </c>
      <c r="K62" s="85"/>
      <c r="L62" s="85">
        <f t="shared" si="3"/>
        <v>20</v>
      </c>
      <c r="M62" s="83" t="s">
        <v>330</v>
      </c>
      <c r="N62" s="85">
        <f>IF($F62="","",IFERROR(VLOOKUP($F62,Inventory!$A:$I,9,FALSE),0))</f>
        <v>8.147411853</v>
      </c>
      <c r="O62" s="85">
        <f t="shared" si="4"/>
        <v>8.147411853</v>
      </c>
      <c r="P62" s="85">
        <f t="shared" si="5"/>
        <v>11.85258815</v>
      </c>
      <c r="Q62" s="83"/>
      <c r="R62" s="87" t="str">
        <f>IF($E62="","",IF(COUNTIF($E$7:$E62,$E62)&gt;1,"",IFERROR(VLOOKUP($E62,Orders!$A:$I,8,FALSE),"")))</f>
        <v/>
      </c>
      <c r="S62" s="87" t="str">
        <f>IF($E62="","",IF(COUNTIF($E$7:$E62,$E62)&gt;1,"",IFERROR(VLOOKUP($E62,Orders!$A:$I,9,FALSE),"")))</f>
        <v/>
      </c>
      <c r="T62" s="88">
        <f t="shared" si="6"/>
        <v>11.85258815</v>
      </c>
      <c r="U62" s="88">
        <f>IF($F62="","",IF($E62="",T62,SUMIF(Sales!$E$7:$E$1506,$E62,Sales!$T$7:$T$1506)))</f>
        <v>11.85258815</v>
      </c>
      <c r="V62" s="49" t="str">
        <f t="shared" si="7"/>
        <v/>
      </c>
      <c r="W62" s="49" t="str">
        <f t="array" ref="W62">IF($V62="","",SUMPRODUCT((Sales!$V$7:$V$1506&lt;&gt;"")*(Sales!$E$7:$E$1506&lt;$E62))+1)</f>
        <v/>
      </c>
      <c r="X62" s="49">
        <f t="shared" si="8"/>
        <v>55</v>
      </c>
      <c r="Y62" s="49" t="str">
        <f t="shared" si="9"/>
        <v>202607-55</v>
      </c>
      <c r="AA62" s="73" t="str">
        <f>IF(Inventory!A60="","",Inventory!A60)</f>
        <v>AC-CS-002</v>
      </c>
    </row>
    <row r="63" ht="14.25" customHeight="1">
      <c r="A63" s="82">
        <v>46227.0</v>
      </c>
      <c r="B63" s="83" t="s">
        <v>428</v>
      </c>
      <c r="C63" s="83" t="s">
        <v>365</v>
      </c>
      <c r="D63" s="83" t="s">
        <v>366</v>
      </c>
      <c r="E63" s="83"/>
      <c r="F63" s="83" t="s">
        <v>179</v>
      </c>
      <c r="G63" s="83" t="str">
        <f>IF($F63="","",IFERROR(VLOOKUP($F63,Inventory!$A:$B,2,FALSE),""))</f>
        <v>Creamy Treat 15G (Purry &amp; Hyper Paws)</v>
      </c>
      <c r="H63" s="83">
        <v>2.0</v>
      </c>
      <c r="I63" s="84">
        <f t="shared" si="2"/>
        <v>0</v>
      </c>
      <c r="J63" s="85">
        <f>IF($F63="","",IFERROR(VLOOKUP($F63,Inventory!$A:$K,11,FALSE),0))</f>
        <v>20</v>
      </c>
      <c r="K63" s="85">
        <v>20.0</v>
      </c>
      <c r="L63" s="85">
        <f t="shared" si="3"/>
        <v>0</v>
      </c>
      <c r="M63" s="83" t="s">
        <v>330</v>
      </c>
      <c r="N63" s="85">
        <f>IF($F63="","",IFERROR(VLOOKUP($F63,Inventory!$A:$I,9,FALSE),0))</f>
        <v>8.147411853</v>
      </c>
      <c r="O63" s="85">
        <f t="shared" si="4"/>
        <v>16.29482371</v>
      </c>
      <c r="P63" s="85">
        <f t="shared" si="5"/>
        <v>-16.29482371</v>
      </c>
      <c r="Q63" s="83"/>
      <c r="R63" s="87" t="str">
        <f>IF($E63="","",IF(COUNTIF($E$7:$E63,$E63)&gt;1,"",IFERROR(VLOOKUP($E63,Orders!$A:$I,8,FALSE),"")))</f>
        <v/>
      </c>
      <c r="S63" s="87" t="str">
        <f>IF($E63="","",IF(COUNTIF($E$7:$E63,$E63)&gt;1,"",IFERROR(VLOOKUP($E63,Orders!$A:$I,9,FALSE),"")))</f>
        <v/>
      </c>
      <c r="T63" s="88">
        <f t="shared" si="6"/>
        <v>-16.29482371</v>
      </c>
      <c r="U63" s="88">
        <f>IF($F63="","",IF($E63="",T63,SUMIF(Sales!$E$7:$E$1506,$E63,Sales!$T$7:$T$1506)))</f>
        <v>-16.29482371</v>
      </c>
      <c r="V63" s="49" t="str">
        <f t="shared" si="7"/>
        <v/>
      </c>
      <c r="W63" s="49" t="str">
        <f t="array" ref="W63">IF($V63="","",SUMPRODUCT((Sales!$V$7:$V$1506&lt;&gt;"")*(Sales!$E$7:$E$1506&lt;$E63))+1)</f>
        <v/>
      </c>
      <c r="X63" s="49">
        <f t="shared" si="8"/>
        <v>56</v>
      </c>
      <c r="Y63" s="49" t="str">
        <f t="shared" si="9"/>
        <v>202607-56</v>
      </c>
      <c r="AA63" s="73" t="str">
        <f>IF(Inventory!A61="","",Inventory!A61)</f>
        <v>FD-DRY-ZOI-1KG-001</v>
      </c>
    </row>
    <row r="64" ht="14.25" customHeight="1">
      <c r="A64" s="82">
        <v>46227.0</v>
      </c>
      <c r="B64" s="83" t="s">
        <v>324</v>
      </c>
      <c r="C64" s="83" t="s">
        <v>365</v>
      </c>
      <c r="D64" s="83" t="s">
        <v>366</v>
      </c>
      <c r="E64" s="83"/>
      <c r="F64" s="83" t="s">
        <v>232</v>
      </c>
      <c r="G64" s="83" t="str">
        <f>IF($F64="","",IFERROR(VLOOKUP($F64,Inventory!$A:$B,2,FALSE),""))</f>
        <v>Smart Heart Adult Cat Food Chicken &amp; Tuna [480G]</v>
      </c>
      <c r="H64" s="83">
        <v>1.0</v>
      </c>
      <c r="I64" s="84">
        <f t="shared" si="2"/>
        <v>350</v>
      </c>
      <c r="J64" s="85">
        <f>IF($F64="","",IFERROR(VLOOKUP($F64,Inventory!$A:$K,11,FALSE),0))</f>
        <v>380</v>
      </c>
      <c r="K64" s="85">
        <v>30.0</v>
      </c>
      <c r="L64" s="85">
        <f t="shared" si="3"/>
        <v>350</v>
      </c>
      <c r="M64" s="83" t="s">
        <v>330</v>
      </c>
      <c r="N64" s="85">
        <f>IF($F64="","",IFERROR(VLOOKUP($F64,Inventory!$A:$I,9,FALSE),0))</f>
        <v>290.2631579</v>
      </c>
      <c r="O64" s="85">
        <f t="shared" si="4"/>
        <v>290.2631579</v>
      </c>
      <c r="P64" s="85">
        <f t="shared" si="5"/>
        <v>59.73684211</v>
      </c>
      <c r="Q64" s="83"/>
      <c r="R64" s="87" t="str">
        <f>IF($E64="","",IF(COUNTIF($E$7:$E64,$E64)&gt;1,"",IFERROR(VLOOKUP($E64,Orders!$A:$I,8,FALSE),"")))</f>
        <v/>
      </c>
      <c r="S64" s="87" t="str">
        <f>IF($E64="","",IF(COUNTIF($E$7:$E64,$E64)&gt;1,"",IFERROR(VLOOKUP($E64,Orders!$A:$I,9,FALSE),"")))</f>
        <v/>
      </c>
      <c r="T64" s="88">
        <f t="shared" si="6"/>
        <v>59.73684211</v>
      </c>
      <c r="U64" s="88">
        <f>IF($F64="","",IF($E64="",T64,SUMIF(Sales!$E$7:$E$1506,$E64,Sales!$T$7:$T$1506)))</f>
        <v>59.73684211</v>
      </c>
      <c r="V64" s="49" t="str">
        <f t="shared" si="7"/>
        <v/>
      </c>
      <c r="W64" s="49" t="str">
        <f t="array" ref="W64">IF($V64="","",SUMPRODUCT((Sales!$V$7:$V$1506&lt;&gt;"")*(Sales!$E$7:$E$1506&lt;$E64))+1)</f>
        <v/>
      </c>
      <c r="X64" s="49">
        <f t="shared" si="8"/>
        <v>57</v>
      </c>
      <c r="Y64" s="49" t="str">
        <f t="shared" si="9"/>
        <v>202607-57</v>
      </c>
      <c r="AA64" s="73" t="str">
        <f>IF(Inventory!A62="","",Inventory!A62)</f>
        <v>PO-WET-NK-70G-004</v>
      </c>
    </row>
    <row r="65" ht="14.25" customHeight="1">
      <c r="A65" s="82">
        <v>46227.0</v>
      </c>
      <c r="B65" s="83" t="s">
        <v>324</v>
      </c>
      <c r="C65" s="83" t="s">
        <v>365</v>
      </c>
      <c r="D65" s="83" t="s">
        <v>366</v>
      </c>
      <c r="E65" s="83"/>
      <c r="F65" s="83" t="s">
        <v>211</v>
      </c>
      <c r="G65" s="83" t="str">
        <f>IF($F65="","",IFERROR(VLOOKUP($F65,Inventory!$A:$B,2,FALSE),""))</f>
        <v>Smart Heart Pouch  Tuna With Chicken in Jelly</v>
      </c>
      <c r="H65" s="83">
        <v>5.0</v>
      </c>
      <c r="I65" s="84">
        <f t="shared" si="2"/>
        <v>90</v>
      </c>
      <c r="J65" s="85">
        <f>IF($F65="","",IFERROR(VLOOKUP($F65,Inventory!$A:$K,11,FALSE),0))</f>
        <v>95</v>
      </c>
      <c r="K65" s="85">
        <v>5.0</v>
      </c>
      <c r="L65" s="85">
        <f t="shared" si="3"/>
        <v>450</v>
      </c>
      <c r="M65" s="83" t="s">
        <v>330</v>
      </c>
      <c r="N65" s="85">
        <f>IF($F65="","",IFERROR(VLOOKUP($F65,Inventory!$A:$I,9,FALSE),0))</f>
        <v>71.9047619</v>
      </c>
      <c r="O65" s="85">
        <f t="shared" si="4"/>
        <v>359.5238095</v>
      </c>
      <c r="P65" s="85">
        <f t="shared" si="5"/>
        <v>90.47619048</v>
      </c>
      <c r="Q65" s="83"/>
      <c r="R65" s="87" t="str">
        <f>IF($E65="","",IF(COUNTIF($E$7:$E65,$E65)&gt;1,"",IFERROR(VLOOKUP($E65,Orders!$A:$I,8,FALSE),"")))</f>
        <v/>
      </c>
      <c r="S65" s="87" t="str">
        <f>IF($E65="","",IF(COUNTIF($E$7:$E65,$E65)&gt;1,"",IFERROR(VLOOKUP($E65,Orders!$A:$I,9,FALSE),"")))</f>
        <v/>
      </c>
      <c r="T65" s="88">
        <f t="shared" si="6"/>
        <v>90.47619048</v>
      </c>
      <c r="U65" s="88">
        <f>IF($F65="","",IF($E65="",T65,SUMIF(Sales!$E$7:$E$1506,$E65,Sales!$T$7:$T$1506)))</f>
        <v>90.47619048</v>
      </c>
      <c r="V65" s="49" t="str">
        <f t="shared" si="7"/>
        <v/>
      </c>
      <c r="W65" s="49" t="str">
        <f t="array" ref="W65">IF($V65="","",SUMPRODUCT((Sales!$V$7:$V$1506&lt;&gt;"")*(Sales!$E$7:$E$1506&lt;$E65))+1)</f>
        <v/>
      </c>
      <c r="X65" s="49">
        <f t="shared" si="8"/>
        <v>58</v>
      </c>
      <c r="Y65" s="49" t="str">
        <f t="shared" si="9"/>
        <v>202607-58</v>
      </c>
      <c r="AA65" s="73" t="str">
        <f>IF(Inventory!A63="","",Inventory!A63)</f>
        <v>FD-DRY-TRL-1KG-001</v>
      </c>
    </row>
    <row r="66" ht="14.25" customHeight="1">
      <c r="A66" s="82">
        <v>46227.0</v>
      </c>
      <c r="B66" s="83" t="s">
        <v>324</v>
      </c>
      <c r="C66" s="83" t="s">
        <v>365</v>
      </c>
      <c r="D66" s="83" t="s">
        <v>366</v>
      </c>
      <c r="E66" s="83"/>
      <c r="F66" s="83" t="s">
        <v>336</v>
      </c>
      <c r="G66" s="83" t="str">
        <f>IF($F66="","",IFERROR(VLOOKUP($F66,Inventory!$A:$B,2,FALSE),""))</f>
        <v>Taipet Chicken Tuna in Jelly</v>
      </c>
      <c r="H66" s="83">
        <v>1.0</v>
      </c>
      <c r="I66" s="84">
        <f t="shared" si="2"/>
        <v>75</v>
      </c>
      <c r="J66" s="85">
        <f>IF($F66="","",IFERROR(VLOOKUP($F66,Inventory!$A:$K,11,FALSE),0))</f>
        <v>75</v>
      </c>
      <c r="K66" s="85"/>
      <c r="L66" s="85">
        <f t="shared" si="3"/>
        <v>75</v>
      </c>
      <c r="M66" s="83" t="s">
        <v>330</v>
      </c>
      <c r="N66" s="85">
        <f>IF($F66="","",IFERROR(VLOOKUP($F66,Inventory!$A:$I,9,FALSE),0))</f>
        <v>52</v>
      </c>
      <c r="O66" s="85">
        <f t="shared" si="4"/>
        <v>52</v>
      </c>
      <c r="P66" s="85">
        <f t="shared" si="5"/>
        <v>23</v>
      </c>
      <c r="Q66" s="83"/>
      <c r="R66" s="87" t="str">
        <f>IF($E66="","",IF(COUNTIF($E$7:$E66,$E66)&gt;1,"",IFERROR(VLOOKUP($E66,Orders!$A:$I,8,FALSE),"")))</f>
        <v/>
      </c>
      <c r="S66" s="87" t="str">
        <f>IF($E66="","",IF(COUNTIF($E$7:$E66,$E66)&gt;1,"",IFERROR(VLOOKUP($E66,Orders!$A:$I,9,FALSE),"")))</f>
        <v/>
      </c>
      <c r="T66" s="88">
        <f t="shared" si="6"/>
        <v>23</v>
      </c>
      <c r="U66" s="88">
        <f>IF($F66="","",IF($E66="",T66,SUMIF(Sales!$E$7:$E$1506,$E66,Sales!$T$7:$T$1506)))</f>
        <v>23</v>
      </c>
      <c r="V66" s="49" t="str">
        <f t="shared" si="7"/>
        <v/>
      </c>
      <c r="W66" s="49" t="str">
        <f t="array" ref="W66">IF($V66="","",SUMPRODUCT((Sales!$V$7:$V$1506&lt;&gt;"")*(Sales!$E$7:$E$1506&lt;$E66))+1)</f>
        <v/>
      </c>
      <c r="X66" s="49">
        <f t="shared" si="8"/>
        <v>59</v>
      </c>
      <c r="Y66" s="49" t="str">
        <f t="shared" si="9"/>
        <v>202607-59</v>
      </c>
      <c r="AA66" s="73" t="str">
        <f>IF(Inventory!A64="","",Inventory!A64)</f>
        <v>FD-DRY-SMHRT-10KG-001</v>
      </c>
    </row>
    <row r="67" ht="14.25" customHeight="1">
      <c r="A67" s="82">
        <v>46227.0</v>
      </c>
      <c r="B67" s="83" t="s">
        <v>324</v>
      </c>
      <c r="C67" s="83" t="s">
        <v>365</v>
      </c>
      <c r="D67" s="83" t="s">
        <v>366</v>
      </c>
      <c r="E67" s="83"/>
      <c r="F67" s="83" t="s">
        <v>98</v>
      </c>
      <c r="G67" s="83" t="str">
        <f>IF($F67="","",IFERROR(VLOOKUP($F67,Inventory!$A:$B,2,FALSE),""))</f>
        <v>Cat Belt</v>
      </c>
      <c r="H67" s="83">
        <v>1.0</v>
      </c>
      <c r="I67" s="84">
        <f t="shared" si="2"/>
        <v>60</v>
      </c>
      <c r="J67" s="85">
        <f>IF($F67="","",IFERROR(VLOOKUP($F67,Inventory!$A:$K,11,FALSE),0))</f>
        <v>60</v>
      </c>
      <c r="K67" s="85"/>
      <c r="L67" s="85">
        <f t="shared" si="3"/>
        <v>60</v>
      </c>
      <c r="M67" s="83" t="s">
        <v>330</v>
      </c>
      <c r="N67" s="85">
        <f>IF($F67="","",IFERROR(VLOOKUP($F67,Inventory!$A:$I,9,FALSE),0))</f>
        <v>29.35135135</v>
      </c>
      <c r="O67" s="85">
        <f t="shared" si="4"/>
        <v>29.35135135</v>
      </c>
      <c r="P67" s="85">
        <f t="shared" si="5"/>
        <v>30.64864865</v>
      </c>
      <c r="Q67" s="83"/>
      <c r="R67" s="87" t="str">
        <f>IF($E67="","",IF(COUNTIF($E$7:$E67,$E67)&gt;1,"",IFERROR(VLOOKUP($E67,Orders!$A:$I,8,FALSE),"")))</f>
        <v/>
      </c>
      <c r="S67" s="87" t="str">
        <f>IF($E67="","",IF(COUNTIF($E$7:$E67,$E67)&gt;1,"",IFERROR(VLOOKUP($E67,Orders!$A:$I,9,FALSE),"")))</f>
        <v/>
      </c>
      <c r="T67" s="88">
        <f t="shared" si="6"/>
        <v>30.64864865</v>
      </c>
      <c r="U67" s="88">
        <f>IF($F67="","",IF($E67="",T67,SUMIF(Sales!$E$7:$E$1506,$E67,Sales!$T$7:$T$1506)))</f>
        <v>30.64864865</v>
      </c>
      <c r="V67" s="49" t="str">
        <f t="shared" si="7"/>
        <v/>
      </c>
      <c r="W67" s="49" t="str">
        <f t="array" ref="W67">IF($V67="","",SUMPRODUCT((Sales!$V$7:$V$1506&lt;&gt;"")*(Sales!$E$7:$E$1506&lt;$E67))+1)</f>
        <v/>
      </c>
      <c r="X67" s="49">
        <f t="shared" si="8"/>
        <v>60</v>
      </c>
      <c r="Y67" s="49" t="str">
        <f t="shared" si="9"/>
        <v>202607-60</v>
      </c>
      <c r="AA67" s="73" t="str">
        <f>IF(Inventory!A65="","",Inventory!A65)</f>
        <v>AC-CB-HRNS-001</v>
      </c>
    </row>
    <row r="68" ht="14.25" customHeight="1">
      <c r="A68" s="82">
        <v>46227.0</v>
      </c>
      <c r="B68" s="83" t="s">
        <v>324</v>
      </c>
      <c r="C68" s="83" t="s">
        <v>365</v>
      </c>
      <c r="D68" s="83" t="s">
        <v>366</v>
      </c>
      <c r="E68" s="83"/>
      <c r="F68" s="83" t="s">
        <v>192</v>
      </c>
      <c r="G68" s="83" t="str">
        <f>IF($F68="","",IFERROR(VLOOKUP($F68,Inventory!$A:$B,2,FALSE),""))</f>
        <v>Kaniva Fusion Multiviamins Chicken &amp; Pumpkin 500gm</v>
      </c>
      <c r="H68" s="83">
        <v>1.0</v>
      </c>
      <c r="I68" s="84">
        <f t="shared" si="2"/>
        <v>620</v>
      </c>
      <c r="J68" s="85">
        <f>IF($F68="","",IFERROR(VLOOKUP($F68,Inventory!$A:$K,11,FALSE),0))</f>
        <v>650</v>
      </c>
      <c r="K68" s="85">
        <v>30.0</v>
      </c>
      <c r="L68" s="85">
        <f t="shared" si="3"/>
        <v>620</v>
      </c>
      <c r="M68" s="83" t="s">
        <v>330</v>
      </c>
      <c r="N68" s="85">
        <f>IF($F68="","",IFERROR(VLOOKUP($F68,Inventory!$A:$I,9,FALSE),0))</f>
        <v>507</v>
      </c>
      <c r="O68" s="85">
        <f t="shared" si="4"/>
        <v>507</v>
      </c>
      <c r="P68" s="85">
        <f t="shared" si="5"/>
        <v>113</v>
      </c>
      <c r="Q68" s="83"/>
      <c r="R68" s="87" t="str">
        <f>IF($E68="","",IF(COUNTIF($E$7:$E68,$E68)&gt;1,"",IFERROR(VLOOKUP($E68,Orders!$A:$I,8,FALSE),"")))</f>
        <v/>
      </c>
      <c r="S68" s="87" t="str">
        <f>IF($E68="","",IF(COUNTIF($E$7:$E68,$E68)&gt;1,"",IFERROR(VLOOKUP($E68,Orders!$A:$I,9,FALSE),"")))</f>
        <v/>
      </c>
      <c r="T68" s="88">
        <f t="shared" si="6"/>
        <v>113</v>
      </c>
      <c r="U68" s="88">
        <f>IF($F68="","",IF($E68="",T68,SUMIF(Sales!$E$7:$E$1506,$E68,Sales!$T$7:$T$1506)))</f>
        <v>113</v>
      </c>
      <c r="V68" s="49" t="str">
        <f t="shared" si="7"/>
        <v/>
      </c>
      <c r="W68" s="49" t="str">
        <f t="array" ref="W68">IF($V68="","",SUMPRODUCT((Sales!$V$7:$V$1506&lt;&gt;"")*(Sales!$E$7:$E$1506&lt;$E68))+1)</f>
        <v/>
      </c>
      <c r="X68" s="49">
        <f t="shared" si="8"/>
        <v>61</v>
      </c>
      <c r="Y68" s="49" t="str">
        <f t="shared" si="9"/>
        <v>202607-61</v>
      </c>
      <c r="AA68" s="73" t="str">
        <f>IF(Inventory!A66="","",Inventory!A66)</f>
        <v>AC-CB-HRNS-002</v>
      </c>
    </row>
    <row r="69" ht="14.25" customHeight="1">
      <c r="A69" s="82">
        <v>46227.0</v>
      </c>
      <c r="B69" s="83" t="s">
        <v>324</v>
      </c>
      <c r="C69" s="83" t="s">
        <v>365</v>
      </c>
      <c r="D69" s="83" t="s">
        <v>366</v>
      </c>
      <c r="E69" s="83"/>
      <c r="F69" s="83" t="s">
        <v>249</v>
      </c>
      <c r="G69" s="83" t="str">
        <f>IF($F69="","",IFERROR(VLOOKUP($F69,Inventory!$A:$B,2,FALSE),""))</f>
        <v>Cat Litter Mix Flavor 5L DR. Clump</v>
      </c>
      <c r="H69" s="83">
        <v>1.0</v>
      </c>
      <c r="I69" s="84">
        <f t="shared" si="2"/>
        <v>300</v>
      </c>
      <c r="J69" s="85">
        <f>IF($F69="","",IFERROR(VLOOKUP($F69,Inventory!$A:$K,11,FALSE),0))</f>
        <v>320</v>
      </c>
      <c r="K69" s="85">
        <v>20.0</v>
      </c>
      <c r="L69" s="85">
        <f t="shared" si="3"/>
        <v>300</v>
      </c>
      <c r="M69" s="83" t="s">
        <v>330</v>
      </c>
      <c r="N69" s="85">
        <f>IF($F69="","",IFERROR(VLOOKUP($F69,Inventory!$A:$I,9,FALSE),0))</f>
        <v>220</v>
      </c>
      <c r="O69" s="85">
        <f t="shared" si="4"/>
        <v>220</v>
      </c>
      <c r="P69" s="85">
        <f t="shared" si="5"/>
        <v>80</v>
      </c>
      <c r="Q69" s="83"/>
      <c r="R69" s="87" t="str">
        <f>IF($E69="","",IF(COUNTIF($E$7:$E69,$E69)&gt;1,"",IFERROR(VLOOKUP($E69,Orders!$A:$I,8,FALSE),"")))</f>
        <v/>
      </c>
      <c r="S69" s="87" t="str">
        <f>IF($E69="","",IF(COUNTIF($E$7:$E69,$E69)&gt;1,"",IFERROR(VLOOKUP($E69,Orders!$A:$I,9,FALSE),"")))</f>
        <v/>
      </c>
      <c r="T69" s="88">
        <f t="shared" si="6"/>
        <v>80</v>
      </c>
      <c r="U69" s="88">
        <f>IF($F69="","",IF($E69="",T69,SUMIF(Sales!$E$7:$E$1506,$E69,Sales!$T$7:$T$1506)))</f>
        <v>80</v>
      </c>
      <c r="V69" s="49" t="str">
        <f t="shared" si="7"/>
        <v/>
      </c>
      <c r="W69" s="49" t="str">
        <f t="array" ref="W69">IF($V69="","",SUMPRODUCT((Sales!$V$7:$V$1506&lt;&gt;"")*(Sales!$E$7:$E$1506&lt;$E69))+1)</f>
        <v/>
      </c>
      <c r="X69" s="49">
        <f t="shared" si="8"/>
        <v>62</v>
      </c>
      <c r="Y69" s="49" t="str">
        <f t="shared" si="9"/>
        <v>202607-62</v>
      </c>
      <c r="AA69" s="73" t="str">
        <f>IF(Inventory!A67="","",Inventory!A67)</f>
        <v>AC-CMB-001</v>
      </c>
    </row>
    <row r="70" ht="14.25" customHeight="1">
      <c r="A70" s="82">
        <v>46227.0</v>
      </c>
      <c r="B70" s="83" t="s">
        <v>324</v>
      </c>
      <c r="C70" s="83" t="s">
        <v>365</v>
      </c>
      <c r="D70" s="83" t="s">
        <v>366</v>
      </c>
      <c r="E70" s="83"/>
      <c r="F70" s="83" t="s">
        <v>104</v>
      </c>
      <c r="G70" s="83" t="str">
        <f>IF($F70="","",IFERROR(VLOOKUP($F70,Inventory!$A:$B,2,FALSE),""))</f>
        <v>Nekko Pouch Tuna in Jelly</v>
      </c>
      <c r="H70" s="83">
        <v>2.0</v>
      </c>
      <c r="I70" s="84">
        <f t="shared" si="2"/>
        <v>82.5</v>
      </c>
      <c r="J70" s="85">
        <f>IF($F70="","",IFERROR(VLOOKUP($F70,Inventory!$A:$K,11,FALSE),0))</f>
        <v>90</v>
      </c>
      <c r="K70" s="85">
        <v>7.5</v>
      </c>
      <c r="L70" s="85">
        <f t="shared" si="3"/>
        <v>165</v>
      </c>
      <c r="M70" s="83" t="s">
        <v>330</v>
      </c>
      <c r="N70" s="85">
        <f>IF($F70="","",IFERROR(VLOOKUP($F70,Inventory!$A:$I,9,FALSE),0))</f>
        <v>65.17241379</v>
      </c>
      <c r="O70" s="85">
        <f t="shared" si="4"/>
        <v>130.3448276</v>
      </c>
      <c r="P70" s="85">
        <f t="shared" si="5"/>
        <v>34.65517241</v>
      </c>
      <c r="Q70" s="83"/>
      <c r="R70" s="87" t="str">
        <f>IF($E70="","",IF(COUNTIF($E$7:$E70,$E70)&gt;1,"",IFERROR(VLOOKUP($E70,Orders!$A:$I,8,FALSE),"")))</f>
        <v/>
      </c>
      <c r="S70" s="87" t="str">
        <f>IF($E70="","",IF(COUNTIF($E$7:$E70,$E70)&gt;1,"",IFERROR(VLOOKUP($E70,Orders!$A:$I,9,FALSE),"")))</f>
        <v/>
      </c>
      <c r="T70" s="88">
        <f t="shared" si="6"/>
        <v>34.65517241</v>
      </c>
      <c r="U70" s="88">
        <f>IF($F70="","",IF($E70="",T70,SUMIF(Sales!$E$7:$E$1506,$E70,Sales!$T$7:$T$1506)))</f>
        <v>34.65517241</v>
      </c>
      <c r="V70" s="49" t="str">
        <f t="shared" si="7"/>
        <v/>
      </c>
      <c r="W70" s="49" t="str">
        <f t="array" ref="W70">IF($V70="","",SUMPRODUCT((Sales!$V$7:$V$1506&lt;&gt;"")*(Sales!$E$7:$E$1506&lt;$E70))+1)</f>
        <v/>
      </c>
      <c r="X70" s="49">
        <f t="shared" si="8"/>
        <v>63</v>
      </c>
      <c r="Y70" s="49" t="str">
        <f t="shared" si="9"/>
        <v>202607-63</v>
      </c>
      <c r="AA70" s="73" t="str">
        <f>IF(Inventory!A68="","",Inventory!A68)</f>
        <v>FD-DRY-SMHRT-1.2KG-003</v>
      </c>
    </row>
    <row r="71" ht="14.25" customHeight="1">
      <c r="A71" s="82">
        <v>46228.0</v>
      </c>
      <c r="B71" s="83" t="s">
        <v>324</v>
      </c>
      <c r="C71" s="83" t="s">
        <v>325</v>
      </c>
      <c r="D71" s="83" t="s">
        <v>573</v>
      </c>
      <c r="E71" s="83" t="s">
        <v>574</v>
      </c>
      <c r="F71" s="83" t="s">
        <v>172</v>
      </c>
      <c r="G71" s="83" t="str">
        <f>IF($F71="","",IFERROR(VLOOKUP($F71,Inventory!$A:$B,2,FALSE),""))</f>
        <v>Chonk All ages Ocean Fish with Chicken</v>
      </c>
      <c r="H71" s="83">
        <v>1.0</v>
      </c>
      <c r="I71" s="84">
        <f t="shared" si="2"/>
        <v>493</v>
      </c>
      <c r="J71" s="85">
        <f>IF($F71="","",IFERROR(VLOOKUP($F71,Inventory!$A:$K,11,FALSE),0))</f>
        <v>500</v>
      </c>
      <c r="K71" s="85">
        <v>7.0</v>
      </c>
      <c r="L71" s="85">
        <f t="shared" si="3"/>
        <v>493</v>
      </c>
      <c r="M71" s="83" t="s">
        <v>330</v>
      </c>
      <c r="N71" s="85">
        <f>IF($F71="","",IFERROR(VLOOKUP($F71,Inventory!$A:$I,9,FALSE),0))</f>
        <v>400</v>
      </c>
      <c r="O71" s="85">
        <f t="shared" si="4"/>
        <v>400</v>
      </c>
      <c r="P71" s="85">
        <f t="shared" si="5"/>
        <v>93</v>
      </c>
      <c r="Q71" s="83"/>
      <c r="R71" s="87">
        <f>IF($E71="","",IF(COUNTIF($E$7:$E71,$E71)&gt;1,"",IFERROR(VLOOKUP($E71,Orders!$A:$I,8,FALSE),"")))</f>
        <v>120</v>
      </c>
      <c r="S71" s="87">
        <f>IF($E71="","",IF(COUNTIF($E$7:$E71,$E71)&gt;1,"",IFERROR(VLOOKUP($E71,Orders!$A:$I,9,FALSE),"")))</f>
        <v>125</v>
      </c>
      <c r="T71" s="88">
        <f t="shared" si="6"/>
        <v>88</v>
      </c>
      <c r="U71" s="88">
        <f>IF($F71="","",IF($E71="",T71,SUMIF(Sales!$E$7:$E$1506,$E71,Sales!$T$7:$T$1506)))</f>
        <v>435</v>
      </c>
      <c r="V71" s="49">
        <f t="shared" si="7"/>
        <v>4</v>
      </c>
      <c r="W71" s="49">
        <f t="array" ref="W71">IF($V71="","",SUMPRODUCT((Sales!$V$7:$V$1506&lt;&gt;"")*(Sales!$E$7:$E$1506&lt;$E71))+1)</f>
        <v>5</v>
      </c>
      <c r="X71" s="49">
        <f t="shared" si="8"/>
        <v>64</v>
      </c>
      <c r="Y71" s="49" t="str">
        <f t="shared" si="9"/>
        <v>202607-64</v>
      </c>
      <c r="AA71" s="73" t="str">
        <f>IF(Inventory!A69="","",Inventory!A69)</f>
        <v>FD-DRY-DR-DOG-3-0001</v>
      </c>
    </row>
    <row r="72" ht="14.25" customHeight="1">
      <c r="A72" s="82">
        <v>46228.0</v>
      </c>
      <c r="B72" s="83" t="s">
        <v>324</v>
      </c>
      <c r="C72" s="83" t="s">
        <v>325</v>
      </c>
      <c r="D72" s="83" t="s">
        <v>573</v>
      </c>
      <c r="E72" s="83" t="s">
        <v>574</v>
      </c>
      <c r="F72" s="83" t="s">
        <v>168</v>
      </c>
      <c r="G72" s="83" t="str">
        <f>IF($F72="","",IFERROR(VLOOKUP($F72,Inventory!$A:$B,2,FALSE),""))</f>
        <v>Chonk All ages Chicken</v>
      </c>
      <c r="H72" s="83">
        <v>2.0</v>
      </c>
      <c r="I72" s="84">
        <f t="shared" si="2"/>
        <v>496.5</v>
      </c>
      <c r="J72" s="85">
        <f>IF($F72="","",IFERROR(VLOOKUP($F72,Inventory!$A:$K,11,FALSE),0))</f>
        <v>500</v>
      </c>
      <c r="K72" s="85">
        <v>3.5</v>
      </c>
      <c r="L72" s="85">
        <f t="shared" si="3"/>
        <v>993</v>
      </c>
      <c r="M72" s="83" t="s">
        <v>330</v>
      </c>
      <c r="N72" s="85">
        <f>IF($F72="","",IFERROR(VLOOKUP($F72,Inventory!$A:$I,9,FALSE),0))</f>
        <v>400</v>
      </c>
      <c r="O72" s="85">
        <f t="shared" si="4"/>
        <v>800</v>
      </c>
      <c r="P72" s="85">
        <f t="shared" si="5"/>
        <v>193</v>
      </c>
      <c r="Q72" s="83"/>
      <c r="R72" s="87" t="str">
        <f>IF($E72="","",IF(COUNTIF($E$7:$E72,$E72)&gt;1,"",IFERROR(VLOOKUP($E72,Orders!$A:$I,8,FALSE),"")))</f>
        <v/>
      </c>
      <c r="S72" s="87" t="str">
        <f>IF($E72="","",IF(COUNTIF($E$7:$E72,$E72)&gt;1,"",IFERROR(VLOOKUP($E72,Orders!$A:$I,9,FALSE),"")))</f>
        <v/>
      </c>
      <c r="T72" s="88">
        <f t="shared" si="6"/>
        <v>193</v>
      </c>
      <c r="U72" s="88">
        <f>IF($F72="","",IF($E72="",T72,SUMIF(Sales!$E$7:$E$1506,$E72,Sales!$T$7:$T$1506)))</f>
        <v>435</v>
      </c>
      <c r="V72" s="49" t="str">
        <f t="shared" si="7"/>
        <v/>
      </c>
      <c r="W72" s="49" t="str">
        <f t="array" ref="W72">IF($V72="","",SUMPRODUCT((Sales!$V$7:$V$1506&lt;&gt;"")*(Sales!$E$7:$E$1506&lt;$E72))+1)</f>
        <v/>
      </c>
      <c r="X72" s="49">
        <f t="shared" si="8"/>
        <v>65</v>
      </c>
      <c r="Y72" s="49" t="str">
        <f t="shared" si="9"/>
        <v>202607-65</v>
      </c>
      <c r="AA72" s="73" t="str">
        <f>IF(Inventory!A70="","",Inventory!A70)</f>
        <v>AC-CS-BAG-001</v>
      </c>
    </row>
    <row r="73" ht="14.25" customHeight="1">
      <c r="A73" s="82">
        <v>46228.0</v>
      </c>
      <c r="B73" s="83" t="s">
        <v>324</v>
      </c>
      <c r="C73" s="83" t="s">
        <v>325</v>
      </c>
      <c r="D73" s="83" t="s">
        <v>573</v>
      </c>
      <c r="E73" s="83" t="s">
        <v>574</v>
      </c>
      <c r="F73" s="83" t="s">
        <v>132</v>
      </c>
      <c r="G73" s="83" t="str">
        <f>IF($F73="","",IFERROR(VLOOKUP($F73,Inventory!$A:$B,2,FALSE),""))</f>
        <v>Bengal Flea &amp; Tick Shampoo</v>
      </c>
      <c r="H73" s="83">
        <v>1.0</v>
      </c>
      <c r="I73" s="84">
        <f t="shared" si="2"/>
        <v>394</v>
      </c>
      <c r="J73" s="85">
        <f>IF($F73="","",IFERROR(VLOOKUP($F73,Inventory!$A:$K,11,FALSE),0))</f>
        <v>400</v>
      </c>
      <c r="K73" s="85">
        <v>6.0</v>
      </c>
      <c r="L73" s="85">
        <f t="shared" si="3"/>
        <v>394</v>
      </c>
      <c r="M73" s="83" t="s">
        <v>330</v>
      </c>
      <c r="N73" s="85">
        <f>IF($F73="","",IFERROR(VLOOKUP($F73,Inventory!$A:$I,9,FALSE),0))</f>
        <v>240</v>
      </c>
      <c r="O73" s="85">
        <f t="shared" si="4"/>
        <v>240</v>
      </c>
      <c r="P73" s="85">
        <f t="shared" si="5"/>
        <v>154</v>
      </c>
      <c r="Q73" s="83"/>
      <c r="R73" s="87" t="str">
        <f>IF($E73="","",IF(COUNTIF($E$7:$E73,$E73)&gt;1,"",IFERROR(VLOOKUP($E73,Orders!$A:$I,8,FALSE),"")))</f>
        <v/>
      </c>
      <c r="S73" s="87" t="str">
        <f>IF($E73="","",IF(COUNTIF($E$7:$E73,$E73)&gt;1,"",IFERROR(VLOOKUP($E73,Orders!$A:$I,9,FALSE),"")))</f>
        <v/>
      </c>
      <c r="T73" s="88">
        <f t="shared" si="6"/>
        <v>154</v>
      </c>
      <c r="U73" s="88">
        <f>IF($F73="","",IF($E73="",T73,SUMIF(Sales!$E$7:$E$1506,$E73,Sales!$T$7:$T$1506)))</f>
        <v>435</v>
      </c>
      <c r="V73" s="49" t="str">
        <f t="shared" si="7"/>
        <v/>
      </c>
      <c r="W73" s="49" t="str">
        <f t="array" ref="W73">IF($V73="","",SUMPRODUCT((Sales!$V$7:$V$1506&lt;&gt;"")*(Sales!$E$7:$E$1506&lt;$E73))+1)</f>
        <v/>
      </c>
      <c r="X73" s="49">
        <f t="shared" si="8"/>
        <v>66</v>
      </c>
      <c r="Y73" s="49" t="str">
        <f t="shared" si="9"/>
        <v>202607-66</v>
      </c>
      <c r="AA73" s="73" t="str">
        <f>IF(Inventory!A71="","",Inventory!A71)</f>
        <v>PO-TP-70G-001</v>
      </c>
    </row>
    <row r="74" ht="14.25" customHeight="1">
      <c r="A74" s="82">
        <v>46228.0</v>
      </c>
      <c r="B74" s="83" t="s">
        <v>324</v>
      </c>
      <c r="C74" s="83" t="s">
        <v>325</v>
      </c>
      <c r="D74" s="83" t="s">
        <v>573</v>
      </c>
      <c r="E74" s="83" t="s">
        <v>575</v>
      </c>
      <c r="F74" s="83" t="s">
        <v>168</v>
      </c>
      <c r="G74" s="83" t="str">
        <f>IF($F74="","",IFERROR(VLOOKUP($F74,Inventory!$A:$B,2,FALSE),""))</f>
        <v>Chonk All ages Chicken</v>
      </c>
      <c r="H74" s="83">
        <v>1.0</v>
      </c>
      <c r="I74" s="84">
        <f t="shared" si="2"/>
        <v>499</v>
      </c>
      <c r="J74" s="85">
        <f>IF($F74="","",IFERROR(VLOOKUP($F74,Inventory!$A:$K,11,FALSE),0))</f>
        <v>500</v>
      </c>
      <c r="K74" s="85">
        <v>1.0</v>
      </c>
      <c r="L74" s="85">
        <f t="shared" si="3"/>
        <v>499</v>
      </c>
      <c r="M74" s="83" t="s">
        <v>330</v>
      </c>
      <c r="N74" s="85">
        <f>IF($F74="","",IFERROR(VLOOKUP($F74,Inventory!$A:$I,9,FALSE),0))</f>
        <v>400</v>
      </c>
      <c r="O74" s="85">
        <f t="shared" si="4"/>
        <v>400</v>
      </c>
      <c r="P74" s="85">
        <f t="shared" si="5"/>
        <v>99</v>
      </c>
      <c r="Q74" s="83"/>
      <c r="R74" s="87">
        <f>IF($E74="","",IF(COUNTIF($E$7:$E74,$E74)&gt;1,"",IFERROR(VLOOKUP($E74,Orders!$A:$I,8,FALSE),"")))</f>
        <v>150</v>
      </c>
      <c r="S74" s="87">
        <f>IF($E74="","",IF(COUNTIF($E$7:$E74,$E74)&gt;1,"",IFERROR(VLOOKUP($E74,Orders!$A:$I,9,FALSE),"")))</f>
        <v>310</v>
      </c>
      <c r="T74" s="88">
        <f t="shared" si="6"/>
        <v>-61</v>
      </c>
      <c r="U74" s="88">
        <f>IF($F74="","",IF($E74="",T74,SUMIF(Sales!$E$7:$E$1506,$E74,Sales!$T$7:$T$1506)))</f>
        <v>208</v>
      </c>
      <c r="V74" s="49">
        <f t="shared" si="7"/>
        <v>5</v>
      </c>
      <c r="W74" s="49">
        <f t="array" ref="W74">IF($V74="","",SUMPRODUCT((Sales!$V$7:$V$1506&lt;&gt;"")*(Sales!$E$7:$E$1506&lt;$E74))+1)</f>
        <v>4</v>
      </c>
      <c r="X74" s="49">
        <f t="shared" si="8"/>
        <v>67</v>
      </c>
      <c r="Y74" s="49" t="str">
        <f t="shared" si="9"/>
        <v>202607-67</v>
      </c>
      <c r="AA74" s="73" t="str">
        <f>IF(Inventory!A72="","",Inventory!A72)</f>
        <v>PO-TP-70G-002</v>
      </c>
    </row>
    <row r="75" ht="14.25" customHeight="1">
      <c r="A75" s="82">
        <v>46228.0</v>
      </c>
      <c r="B75" s="83" t="s">
        <v>324</v>
      </c>
      <c r="C75" s="83" t="s">
        <v>325</v>
      </c>
      <c r="D75" s="83" t="s">
        <v>573</v>
      </c>
      <c r="E75" s="83" t="s">
        <v>575</v>
      </c>
      <c r="F75" s="83" t="s">
        <v>238</v>
      </c>
      <c r="G75" s="83" t="str">
        <f>IF($F75="","",IFERROR(VLOOKUP($F75,Inventory!$A:$B,2,FALSE),""))</f>
        <v>Pet Nail Clippers Small</v>
      </c>
      <c r="H75" s="83">
        <v>1.0</v>
      </c>
      <c r="I75" s="84">
        <f t="shared" si="2"/>
        <v>160</v>
      </c>
      <c r="J75" s="85">
        <f>IF($F75="","",IFERROR(VLOOKUP($F75,Inventory!$A:$K,11,FALSE),0))</f>
        <v>180</v>
      </c>
      <c r="K75" s="85">
        <v>20.0</v>
      </c>
      <c r="L75" s="85">
        <f t="shared" si="3"/>
        <v>160</v>
      </c>
      <c r="M75" s="83" t="s">
        <v>330</v>
      </c>
      <c r="N75" s="85">
        <f>IF($F75="","",IFERROR(VLOOKUP($F75,Inventory!$A:$I,9,FALSE),0))</f>
        <v>120</v>
      </c>
      <c r="O75" s="85">
        <f t="shared" si="4"/>
        <v>120</v>
      </c>
      <c r="P75" s="85">
        <f t="shared" si="5"/>
        <v>40</v>
      </c>
      <c r="Q75" s="83"/>
      <c r="R75" s="87" t="str">
        <f>IF($E75="","",IF(COUNTIF($E$7:$E75,$E75)&gt;1,"",IFERROR(VLOOKUP($E75,Orders!$A:$I,8,FALSE),"")))</f>
        <v/>
      </c>
      <c r="S75" s="87" t="str">
        <f>IF($E75="","",IF(COUNTIF($E$7:$E75,$E75)&gt;1,"",IFERROR(VLOOKUP($E75,Orders!$A:$I,9,FALSE),"")))</f>
        <v/>
      </c>
      <c r="T75" s="88">
        <f t="shared" si="6"/>
        <v>40</v>
      </c>
      <c r="U75" s="88">
        <f>IF($F75="","",IF($E75="",T75,SUMIF(Sales!$E$7:$E$1506,$E75,Sales!$T$7:$T$1506)))</f>
        <v>208</v>
      </c>
      <c r="V75" s="49" t="str">
        <f t="shared" si="7"/>
        <v/>
      </c>
      <c r="W75" s="49" t="str">
        <f t="array" ref="W75">IF($V75="","",SUMPRODUCT((Sales!$V$7:$V$1506&lt;&gt;"")*(Sales!$E$7:$E$1506&lt;$E75))+1)</f>
        <v/>
      </c>
      <c r="X75" s="49">
        <f t="shared" si="8"/>
        <v>68</v>
      </c>
      <c r="Y75" s="49" t="str">
        <f t="shared" si="9"/>
        <v>202607-68</v>
      </c>
      <c r="AA75" s="73" t="str">
        <f>IF(Inventory!A73="","",Inventory!A73)</f>
        <v>AC-BCR-001</v>
      </c>
    </row>
    <row r="76" ht="14.25" customHeight="1">
      <c r="A76" s="82">
        <v>46228.0</v>
      </c>
      <c r="B76" s="83" t="s">
        <v>324</v>
      </c>
      <c r="C76" s="83" t="s">
        <v>325</v>
      </c>
      <c r="D76" s="83" t="s">
        <v>573</v>
      </c>
      <c r="E76" s="83" t="s">
        <v>575</v>
      </c>
      <c r="F76" s="83" t="s">
        <v>202</v>
      </c>
      <c r="G76" s="83" t="str">
        <f>IF($F76="","",IFERROR(VLOOKUP($F76,Inventory!$A:$B,2,FALSE),""))</f>
        <v>Cozie Cat Litter Lavender 10L</v>
      </c>
      <c r="H76" s="83">
        <v>1.0</v>
      </c>
      <c r="I76" s="84">
        <f t="shared" si="2"/>
        <v>679</v>
      </c>
      <c r="J76" s="85">
        <f>IF($F76="","",IFERROR(VLOOKUP($F76,Inventory!$A:$K,11,FALSE),0))</f>
        <v>700</v>
      </c>
      <c r="K76" s="85">
        <v>21.0</v>
      </c>
      <c r="L76" s="85">
        <f t="shared" si="3"/>
        <v>679</v>
      </c>
      <c r="M76" s="83" t="s">
        <v>330</v>
      </c>
      <c r="N76" s="85">
        <f>IF($F76="","",IFERROR(VLOOKUP($F76,Inventory!$A:$I,9,FALSE),0))</f>
        <v>450</v>
      </c>
      <c r="O76" s="85">
        <f t="shared" si="4"/>
        <v>450</v>
      </c>
      <c r="P76" s="85">
        <f t="shared" si="5"/>
        <v>229</v>
      </c>
      <c r="Q76" s="83"/>
      <c r="R76" s="87" t="str">
        <f>IF($E76="","",IF(COUNTIF($E$7:$E76,$E76)&gt;1,"",IFERROR(VLOOKUP($E76,Orders!$A:$I,8,FALSE),"")))</f>
        <v/>
      </c>
      <c r="S76" s="87" t="str">
        <f>IF($E76="","",IF(COUNTIF($E$7:$E76,$E76)&gt;1,"",IFERROR(VLOOKUP($E76,Orders!$A:$I,9,FALSE),"")))</f>
        <v/>
      </c>
      <c r="T76" s="88">
        <f t="shared" si="6"/>
        <v>229</v>
      </c>
      <c r="U76" s="88">
        <f>IF($F76="","",IF($E76="",T76,SUMIF(Sales!$E$7:$E$1506,$E76,Sales!$T$7:$T$1506)))</f>
        <v>208</v>
      </c>
      <c r="V76" s="49" t="str">
        <f t="shared" si="7"/>
        <v/>
      </c>
      <c r="W76" s="49" t="str">
        <f t="array" ref="W76">IF($V76="","",SUMPRODUCT((Sales!$V$7:$V$1506&lt;&gt;"")*(Sales!$E$7:$E$1506&lt;$E76))+1)</f>
        <v/>
      </c>
      <c r="X76" s="49">
        <f t="shared" si="8"/>
        <v>69</v>
      </c>
      <c r="Y76" s="49" t="str">
        <f t="shared" si="9"/>
        <v>202607-69</v>
      </c>
      <c r="AA76" s="73" t="str">
        <f>IF(Inventory!A74="","",Inventory!A74)</f>
        <v>CN-WAN-375G-001</v>
      </c>
    </row>
    <row r="77" ht="14.25" customHeight="1">
      <c r="A77" s="82">
        <v>46228.0</v>
      </c>
      <c r="B77" s="83" t="s">
        <v>324</v>
      </c>
      <c r="C77" s="83" t="s">
        <v>325</v>
      </c>
      <c r="D77" s="83" t="s">
        <v>573</v>
      </c>
      <c r="E77" s="83"/>
      <c r="F77" s="83" t="s">
        <v>183</v>
      </c>
      <c r="G77" s="83" t="str">
        <f>IF($F77="","",IFERROR(VLOOKUP($F77,Inventory!$A:$B,2,FALSE),""))</f>
        <v>Smart Heart Kitten Food Chicken, Fish, Egg &amp; Milk 450gm</v>
      </c>
      <c r="H77" s="83">
        <v>1.0</v>
      </c>
      <c r="I77" s="84">
        <f t="shared" si="2"/>
        <v>360</v>
      </c>
      <c r="J77" s="85">
        <f>IF($F77="","",IFERROR(VLOOKUP($F77,Inventory!$A:$K,11,FALSE),0))</f>
        <v>380</v>
      </c>
      <c r="K77" s="85">
        <v>20.0</v>
      </c>
      <c r="L77" s="85">
        <f t="shared" si="3"/>
        <v>360</v>
      </c>
      <c r="M77" s="83" t="s">
        <v>330</v>
      </c>
      <c r="N77" s="85">
        <f>IF($F77="","",IFERROR(VLOOKUP($F77,Inventory!$A:$I,9,FALSE),0))</f>
        <v>290</v>
      </c>
      <c r="O77" s="85">
        <f t="shared" si="4"/>
        <v>290</v>
      </c>
      <c r="P77" s="85">
        <f t="shared" si="5"/>
        <v>70</v>
      </c>
      <c r="Q77" s="83"/>
      <c r="R77" s="87" t="str">
        <f>IF($E77="","",IF(COUNTIF($E$7:$E77,$E77)&gt;1,"",IFERROR(VLOOKUP($E77,Orders!$A:$I,8,FALSE),"")))</f>
        <v/>
      </c>
      <c r="S77" s="87" t="str">
        <f>IF($E77="","",IF(COUNTIF($E$7:$E77,$E77)&gt;1,"",IFERROR(VLOOKUP($E77,Orders!$A:$I,9,FALSE),"")))</f>
        <v/>
      </c>
      <c r="T77" s="88">
        <f t="shared" si="6"/>
        <v>70</v>
      </c>
      <c r="U77" s="88">
        <f>IF($F77="","",IF($E77="",T77,SUMIF(Sales!$E$7:$E$1506,$E77,Sales!$T$7:$T$1506)))</f>
        <v>70</v>
      </c>
      <c r="V77" s="49" t="str">
        <f t="shared" si="7"/>
        <v/>
      </c>
      <c r="W77" s="49" t="str">
        <f t="array" ref="W77">IF($V77="","",SUMPRODUCT((Sales!$V$7:$V$1506&lt;&gt;"")*(Sales!$E$7:$E$1506&lt;$E77))+1)</f>
        <v/>
      </c>
      <c r="X77" s="49">
        <f t="shared" si="8"/>
        <v>70</v>
      </c>
      <c r="Y77" s="49" t="str">
        <f t="shared" si="9"/>
        <v>202607-70</v>
      </c>
      <c r="AA77" s="73" t="str">
        <f>IF(Inventory!A75="","",Inventory!A75)</f>
        <v>CN-WAN-375G-002</v>
      </c>
    </row>
    <row r="78" ht="14.25" customHeight="1">
      <c r="A78" s="82">
        <v>46228.0</v>
      </c>
      <c r="B78" s="83" t="s">
        <v>324</v>
      </c>
      <c r="C78" s="83" t="s">
        <v>325</v>
      </c>
      <c r="D78" s="83" t="s">
        <v>573</v>
      </c>
      <c r="E78" s="83"/>
      <c r="F78" s="83" t="s">
        <v>179</v>
      </c>
      <c r="G78" s="83" t="str">
        <f>IF($F78="","",IFERROR(VLOOKUP($F78,Inventory!$A:$B,2,FALSE),""))</f>
        <v>Creamy Treat 15G (Purry &amp; Hyper Paws)</v>
      </c>
      <c r="H78" s="83">
        <v>3.0</v>
      </c>
      <c r="I78" s="84">
        <f t="shared" si="2"/>
        <v>20</v>
      </c>
      <c r="J78" s="85">
        <f>IF($F78="","",IFERROR(VLOOKUP($F78,Inventory!$A:$K,11,FALSE),0))</f>
        <v>20</v>
      </c>
      <c r="K78" s="85"/>
      <c r="L78" s="85">
        <f t="shared" si="3"/>
        <v>60</v>
      </c>
      <c r="M78" s="83" t="s">
        <v>330</v>
      </c>
      <c r="N78" s="85">
        <f>IF($F78="","",IFERROR(VLOOKUP($F78,Inventory!$A:$I,9,FALSE),0))</f>
        <v>8.147411853</v>
      </c>
      <c r="O78" s="85">
        <f t="shared" si="4"/>
        <v>24.44223556</v>
      </c>
      <c r="P78" s="85">
        <f t="shared" si="5"/>
        <v>35.55776444</v>
      </c>
      <c r="Q78" s="83"/>
      <c r="R78" s="87" t="str">
        <f>IF($E78="","",IF(COUNTIF($E$7:$E78,$E78)&gt;1,"",IFERROR(VLOOKUP($E78,Orders!$A:$I,8,FALSE),"")))</f>
        <v/>
      </c>
      <c r="S78" s="87" t="str">
        <f>IF($E78="","",IF(COUNTIF($E$7:$E78,$E78)&gt;1,"",IFERROR(VLOOKUP($E78,Orders!$A:$I,9,FALSE),"")))</f>
        <v/>
      </c>
      <c r="T78" s="88">
        <f t="shared" si="6"/>
        <v>35.55776444</v>
      </c>
      <c r="U78" s="88">
        <f>IF($F78="","",IF($E78="",T78,SUMIF(Sales!$E$7:$E$1506,$E78,Sales!$T$7:$T$1506)))</f>
        <v>35.55776444</v>
      </c>
      <c r="V78" s="49" t="str">
        <f t="shared" si="7"/>
        <v/>
      </c>
      <c r="W78" s="49" t="str">
        <f t="array" ref="W78">IF($V78="","",SUMPRODUCT((Sales!$V$7:$V$1506&lt;&gt;"")*(Sales!$E$7:$E$1506&lt;$E78))+1)</f>
        <v/>
      </c>
      <c r="X78" s="49">
        <f t="shared" si="8"/>
        <v>71</v>
      </c>
      <c r="Y78" s="49" t="str">
        <f t="shared" si="9"/>
        <v>202607-71</v>
      </c>
      <c r="AA78" s="73" t="str">
        <f>IF(Inventory!A76="","",Inventory!A76)</f>
        <v>CN-PAW-400G-001</v>
      </c>
    </row>
    <row r="79" ht="14.25" customHeight="1">
      <c r="A79" s="82">
        <v>46228.0</v>
      </c>
      <c r="B79" s="83" t="s">
        <v>324</v>
      </c>
      <c r="C79" s="83" t="s">
        <v>365</v>
      </c>
      <c r="D79" s="83" t="s">
        <v>366</v>
      </c>
      <c r="E79" s="83"/>
      <c r="F79" s="83" t="s">
        <v>179</v>
      </c>
      <c r="G79" s="83" t="str">
        <f>IF($F79="","",IFERROR(VLOOKUP($F79,Inventory!$A:$B,2,FALSE),""))</f>
        <v>Creamy Treat 15G (Purry &amp; Hyper Paws)</v>
      </c>
      <c r="H79" s="83">
        <v>5.0</v>
      </c>
      <c r="I79" s="84">
        <f t="shared" si="2"/>
        <v>20</v>
      </c>
      <c r="J79" s="85">
        <f>IF($F79="","",IFERROR(VLOOKUP($F79,Inventory!$A:$K,11,FALSE),0))</f>
        <v>20</v>
      </c>
      <c r="K79" s="85"/>
      <c r="L79" s="85">
        <f t="shared" si="3"/>
        <v>100</v>
      </c>
      <c r="M79" s="83" t="s">
        <v>330</v>
      </c>
      <c r="N79" s="85">
        <f>IF($F79="","",IFERROR(VLOOKUP($F79,Inventory!$A:$I,9,FALSE),0))</f>
        <v>8.147411853</v>
      </c>
      <c r="O79" s="85">
        <f t="shared" si="4"/>
        <v>40.73705926</v>
      </c>
      <c r="P79" s="85">
        <f t="shared" si="5"/>
        <v>59.26294074</v>
      </c>
      <c r="Q79" s="83"/>
      <c r="R79" s="87" t="str">
        <f>IF($E79="","",IF(COUNTIF($E$7:$E79,$E79)&gt;1,"",IFERROR(VLOOKUP($E79,Orders!$A:$I,8,FALSE),"")))</f>
        <v/>
      </c>
      <c r="S79" s="87" t="str">
        <f>IF($E79="","",IF(COUNTIF($E$7:$E79,$E79)&gt;1,"",IFERROR(VLOOKUP($E79,Orders!$A:$I,9,FALSE),"")))</f>
        <v/>
      </c>
      <c r="T79" s="88">
        <f t="shared" si="6"/>
        <v>59.26294074</v>
      </c>
      <c r="U79" s="88">
        <f>IF($F79="","",IF($E79="",T79,SUMIF(Sales!$E$7:$E$1506,$E79,Sales!$T$7:$T$1506)))</f>
        <v>59.26294074</v>
      </c>
      <c r="V79" s="49" t="str">
        <f t="shared" si="7"/>
        <v/>
      </c>
      <c r="W79" s="49" t="str">
        <f t="array" ref="W79">IF($V79="","",SUMPRODUCT((Sales!$V$7:$V$1506&lt;&gt;"")*(Sales!$E$7:$E$1506&lt;$E79))+1)</f>
        <v/>
      </c>
      <c r="X79" s="49">
        <f t="shared" si="8"/>
        <v>72</v>
      </c>
      <c r="Y79" s="49" t="str">
        <f t="shared" si="9"/>
        <v>202607-72</v>
      </c>
      <c r="AA79" s="73" t="str">
        <f>IF(Inventory!A77="","",Inventory!A77)</f>
        <v>CN-PAW-400G-002</v>
      </c>
    </row>
    <row r="80" ht="14.25" customHeight="1">
      <c r="A80" s="82">
        <v>46228.0</v>
      </c>
      <c r="B80" s="83" t="s">
        <v>324</v>
      </c>
      <c r="C80" s="83" t="s">
        <v>325</v>
      </c>
      <c r="D80" s="83" t="s">
        <v>573</v>
      </c>
      <c r="E80" s="83" t="s">
        <v>576</v>
      </c>
      <c r="F80" s="83" t="s">
        <v>331</v>
      </c>
      <c r="G80" s="83" t="str">
        <f>IF($F80="","",IFERROR(VLOOKUP($F80,Inventory!$A:$B,2,FALSE),""))</f>
        <v>Drools Puppy Dog Food Chicken &amp; Egg 3kg</v>
      </c>
      <c r="H80" s="83">
        <v>1.0</v>
      </c>
      <c r="I80" s="84">
        <f t="shared" si="2"/>
        <v>1400</v>
      </c>
      <c r="J80" s="85">
        <f>IF($F80="","",IFERROR(VLOOKUP($F80,Inventory!$A:$K,11,FALSE),0))</f>
        <v>1450</v>
      </c>
      <c r="K80" s="85">
        <v>50.0</v>
      </c>
      <c r="L80" s="85">
        <f t="shared" si="3"/>
        <v>1400</v>
      </c>
      <c r="M80" s="83" t="s">
        <v>330</v>
      </c>
      <c r="N80" s="85">
        <f>IF($F80="","",IFERROR(VLOOKUP($F80,Inventory!$A:$I,9,FALSE),0))</f>
        <v>1050</v>
      </c>
      <c r="O80" s="85">
        <f t="shared" si="4"/>
        <v>1050</v>
      </c>
      <c r="P80" s="85">
        <f t="shared" si="5"/>
        <v>350</v>
      </c>
      <c r="Q80" s="83"/>
      <c r="R80" s="87">
        <f>IF($E80="","",IF(COUNTIF($E$7:$E80,$E80)&gt;1,"",IFERROR(VLOOKUP($E80,Orders!$A:$I,8,FALSE),"")))</f>
        <v>150</v>
      </c>
      <c r="S80" s="87">
        <f>IF($E80="","",IF(COUNTIF($E$7:$E80,$E80)&gt;1,"",IFERROR(VLOOKUP($E80,Orders!$A:$I,9,FALSE),"")))</f>
        <v>94</v>
      </c>
      <c r="T80" s="88">
        <f t="shared" si="6"/>
        <v>406</v>
      </c>
      <c r="U80" s="88">
        <f>IF($F80="","",IF($E80="",T80,SUMIF(Sales!$E$7:$E$1506,$E80,Sales!$T$7:$T$1506)))</f>
        <v>406</v>
      </c>
      <c r="V80" s="49">
        <f t="shared" si="7"/>
        <v>6</v>
      </c>
      <c r="W80" s="49">
        <f t="array" ref="W80">IF($V80="","",SUMPRODUCT((Sales!$V$7:$V$1506&lt;&gt;"")*(Sales!$E$7:$E$1506&lt;$E80))+1)</f>
        <v>6</v>
      </c>
      <c r="X80" s="49">
        <f t="shared" si="8"/>
        <v>73</v>
      </c>
      <c r="Y80" s="49" t="str">
        <f t="shared" si="9"/>
        <v>202607-73</v>
      </c>
      <c r="AA80" s="73" t="str">
        <f>IF(Inventory!A78="","",Inventory!A78)</f>
        <v>AC-BOWL-002</v>
      </c>
    </row>
    <row r="81" ht="14.25" customHeight="1">
      <c r="A81" s="82">
        <v>46228.0</v>
      </c>
      <c r="B81" s="83" t="s">
        <v>324</v>
      </c>
      <c r="C81" s="83" t="s">
        <v>365</v>
      </c>
      <c r="D81" s="83" t="s">
        <v>366</v>
      </c>
      <c r="E81" s="83"/>
      <c r="F81" s="83" t="s">
        <v>179</v>
      </c>
      <c r="G81" s="83" t="str">
        <f>IF($F81="","",IFERROR(VLOOKUP($F81,Inventory!$A:$B,2,FALSE),""))</f>
        <v>Creamy Treat 15G (Purry &amp; Hyper Paws)</v>
      </c>
      <c r="H81" s="83">
        <v>8.0</v>
      </c>
      <c r="I81" s="84">
        <f t="shared" si="2"/>
        <v>18.75</v>
      </c>
      <c r="J81" s="85">
        <f>IF($F81="","",IFERROR(VLOOKUP($F81,Inventory!$A:$K,11,FALSE),0))</f>
        <v>20</v>
      </c>
      <c r="K81" s="85">
        <v>1.25</v>
      </c>
      <c r="L81" s="85">
        <f t="shared" si="3"/>
        <v>150</v>
      </c>
      <c r="M81" s="83" t="s">
        <v>330</v>
      </c>
      <c r="N81" s="85">
        <f>IF($F81="","",IFERROR(VLOOKUP($F81,Inventory!$A:$I,9,FALSE),0))</f>
        <v>8.147411853</v>
      </c>
      <c r="O81" s="85">
        <f t="shared" si="4"/>
        <v>65.17929482</v>
      </c>
      <c r="P81" s="85">
        <f t="shared" si="5"/>
        <v>84.82070518</v>
      </c>
      <c r="Q81" s="83"/>
      <c r="R81" s="87" t="str">
        <f>IF($E81="","",IF(COUNTIF($E$7:$E81,$E81)&gt;1,"",IFERROR(VLOOKUP($E81,Orders!$A:$I,8,FALSE),"")))</f>
        <v/>
      </c>
      <c r="S81" s="87" t="str">
        <f>IF($E81="","",IF(COUNTIF($E$7:$E81,$E81)&gt;1,"",IFERROR(VLOOKUP($E81,Orders!$A:$I,9,FALSE),"")))</f>
        <v/>
      </c>
      <c r="T81" s="88">
        <f t="shared" si="6"/>
        <v>84.82070518</v>
      </c>
      <c r="U81" s="88">
        <f>IF($F81="","",IF($E81="",T81,SUMIF(Sales!$E$7:$E$1506,$E81,Sales!$T$7:$T$1506)))</f>
        <v>84.82070518</v>
      </c>
      <c r="V81" s="49" t="str">
        <f t="shared" si="7"/>
        <v/>
      </c>
      <c r="W81" s="49" t="str">
        <f t="array" ref="W81">IF($V81="","",SUMPRODUCT((Sales!$V$7:$V$1506&lt;&gt;"")*(Sales!$E$7:$E$1506&lt;$E81))+1)</f>
        <v/>
      </c>
      <c r="X81" s="49">
        <f t="shared" si="8"/>
        <v>74</v>
      </c>
      <c r="Y81" s="49" t="str">
        <f t="shared" si="9"/>
        <v>202607-74</v>
      </c>
      <c r="AA81" s="73" t="str">
        <f>IF(Inventory!A79="","",Inventory!A79)</f>
        <v>PO-PP-85G-001</v>
      </c>
    </row>
    <row r="82" ht="14.25" customHeight="1">
      <c r="A82" s="82">
        <v>46228.0</v>
      </c>
      <c r="B82" s="83" t="s">
        <v>324</v>
      </c>
      <c r="C82" s="83" t="s">
        <v>365</v>
      </c>
      <c r="D82" s="83" t="s">
        <v>366</v>
      </c>
      <c r="E82" s="83"/>
      <c r="F82" s="83" t="s">
        <v>289</v>
      </c>
      <c r="G82" s="83" t="str">
        <f>IF($F82="","",IFERROR(VLOOKUP($F82,Inventory!$A:$B,2,FALSE),""))</f>
        <v>Cat Belt Harness </v>
      </c>
      <c r="H82" s="83">
        <v>1.0</v>
      </c>
      <c r="I82" s="84">
        <f t="shared" si="2"/>
        <v>150</v>
      </c>
      <c r="J82" s="85">
        <f>IF($F82="","",IFERROR(VLOOKUP($F82,Inventory!$A:$K,11,FALSE),0))</f>
        <v>180</v>
      </c>
      <c r="K82" s="85">
        <v>30.0</v>
      </c>
      <c r="L82" s="85">
        <f t="shared" si="3"/>
        <v>150</v>
      </c>
      <c r="M82" s="83" t="s">
        <v>330</v>
      </c>
      <c r="N82" s="85">
        <f>IF($F82="","",IFERROR(VLOOKUP($F82,Inventory!$A:$I,9,FALSE),0))</f>
        <v>90</v>
      </c>
      <c r="O82" s="85">
        <f t="shared" si="4"/>
        <v>90</v>
      </c>
      <c r="P82" s="85">
        <f t="shared" si="5"/>
        <v>60</v>
      </c>
      <c r="Q82" s="83"/>
      <c r="R82" s="87" t="str">
        <f>IF($E82="","",IF(COUNTIF($E$7:$E82,$E82)&gt;1,"",IFERROR(VLOOKUP($E82,Orders!$A:$I,8,FALSE),"")))</f>
        <v/>
      </c>
      <c r="S82" s="87" t="str">
        <f>IF($E82="","",IF(COUNTIF($E$7:$E82,$E82)&gt;1,"",IFERROR(VLOOKUP($E82,Orders!$A:$I,9,FALSE),"")))</f>
        <v/>
      </c>
      <c r="T82" s="88">
        <f t="shared" si="6"/>
        <v>60</v>
      </c>
      <c r="U82" s="88">
        <f>IF($F82="","",IF($E82="",T82,SUMIF(Sales!$E$7:$E$1506,$E82,Sales!$T$7:$T$1506)))</f>
        <v>60</v>
      </c>
      <c r="V82" s="49" t="str">
        <f t="shared" si="7"/>
        <v/>
      </c>
      <c r="W82" s="49" t="str">
        <f t="array" ref="W82">IF($V82="","",SUMPRODUCT((Sales!$V$7:$V$1506&lt;&gt;"")*(Sales!$E$7:$E$1506&lt;$E82))+1)</f>
        <v/>
      </c>
      <c r="X82" s="49">
        <f t="shared" si="8"/>
        <v>75</v>
      </c>
      <c r="Y82" s="49" t="str">
        <f t="shared" si="9"/>
        <v>202607-75</v>
      </c>
      <c r="AA82" s="73" t="str">
        <f>IF(Inventory!A80="","",Inventory!A80)</f>
        <v>PO-PP-85G-002</v>
      </c>
    </row>
    <row r="83" ht="14.25" customHeight="1">
      <c r="A83" s="82">
        <v>46228.0</v>
      </c>
      <c r="B83" s="83" t="s">
        <v>324</v>
      </c>
      <c r="C83" s="83" t="s">
        <v>365</v>
      </c>
      <c r="D83" s="83" t="s">
        <v>366</v>
      </c>
      <c r="E83" s="83"/>
      <c r="F83" s="83" t="s">
        <v>226</v>
      </c>
      <c r="G83" s="83" t="str">
        <f>IF($F83="","",IFERROR(VLOOKUP($F83,Inventory!$A:$B,2,FALSE),""))</f>
        <v>Wind up Mouse Toy</v>
      </c>
      <c r="H83" s="83">
        <v>1.0</v>
      </c>
      <c r="I83" s="84">
        <f t="shared" si="2"/>
        <v>250</v>
      </c>
      <c r="J83" s="85">
        <f>IF($F83="","",IFERROR(VLOOKUP($F83,Inventory!$A:$K,11,FALSE),0))</f>
        <v>250</v>
      </c>
      <c r="K83" s="85"/>
      <c r="L83" s="85">
        <f t="shared" si="3"/>
        <v>250</v>
      </c>
      <c r="M83" s="83" t="s">
        <v>330</v>
      </c>
      <c r="N83" s="85">
        <f>IF($F83="","",IFERROR(VLOOKUP($F83,Inventory!$A:$I,9,FALSE),0))</f>
        <v>160</v>
      </c>
      <c r="O83" s="85">
        <f t="shared" si="4"/>
        <v>160</v>
      </c>
      <c r="P83" s="85">
        <f t="shared" si="5"/>
        <v>90</v>
      </c>
      <c r="Q83" s="83"/>
      <c r="R83" s="87" t="str">
        <f>IF($E83="","",IF(COUNTIF($E$7:$E83,$E83)&gt;1,"",IFERROR(VLOOKUP($E83,Orders!$A:$I,8,FALSE),"")))</f>
        <v/>
      </c>
      <c r="S83" s="87" t="str">
        <f>IF($E83="","",IF(COUNTIF($E$7:$E83,$E83)&gt;1,"",IFERROR(VLOOKUP($E83,Orders!$A:$I,9,FALSE),"")))</f>
        <v/>
      </c>
      <c r="T83" s="88">
        <f t="shared" si="6"/>
        <v>90</v>
      </c>
      <c r="U83" s="88">
        <f>IF($F83="","",IF($E83="",T83,SUMIF(Sales!$E$7:$E$1506,$E83,Sales!$T$7:$T$1506)))</f>
        <v>90</v>
      </c>
      <c r="V83" s="49" t="str">
        <f t="shared" si="7"/>
        <v/>
      </c>
      <c r="W83" s="49" t="str">
        <f t="array" ref="W83">IF($V83="","",SUMPRODUCT((Sales!$V$7:$V$1506&lt;&gt;"")*(Sales!$E$7:$E$1506&lt;$E83))+1)</f>
        <v/>
      </c>
      <c r="X83" s="49">
        <f t="shared" si="8"/>
        <v>76</v>
      </c>
      <c r="Y83" s="49" t="str">
        <f t="shared" si="9"/>
        <v>202607-76</v>
      </c>
      <c r="AA83" s="73" t="str">
        <f>IF(Inventory!A81="","",Inventory!A81)</f>
        <v>PO-PP-100G-001</v>
      </c>
    </row>
    <row r="84" ht="14.25" customHeight="1">
      <c r="A84" s="82">
        <v>46228.0</v>
      </c>
      <c r="B84" s="83" t="s">
        <v>324</v>
      </c>
      <c r="C84" s="83" t="s">
        <v>365</v>
      </c>
      <c r="D84" s="83" t="s">
        <v>366</v>
      </c>
      <c r="E84" s="83"/>
      <c r="F84" s="83" t="s">
        <v>196</v>
      </c>
      <c r="G84" s="83" t="str">
        <f>IF($F84="","",IFERROR(VLOOKUP($F84,Inventory!$A:$B,2,FALSE),""))</f>
        <v>Cozie Cat Litter Lemon 5L</v>
      </c>
      <c r="H84" s="83">
        <v>1.0</v>
      </c>
      <c r="I84" s="84">
        <f t="shared" si="2"/>
        <v>330</v>
      </c>
      <c r="J84" s="85">
        <f>IF($F84="","",IFERROR(VLOOKUP($F84,Inventory!$A:$K,11,FALSE),0))</f>
        <v>370</v>
      </c>
      <c r="K84" s="85">
        <v>40.0</v>
      </c>
      <c r="L84" s="85">
        <f t="shared" si="3"/>
        <v>330</v>
      </c>
      <c r="M84" s="83" t="s">
        <v>330</v>
      </c>
      <c r="N84" s="85">
        <f>IF($F84="","",IFERROR(VLOOKUP($F84,Inventory!$A:$I,9,FALSE),0))</f>
        <v>230</v>
      </c>
      <c r="O84" s="85">
        <f t="shared" si="4"/>
        <v>230</v>
      </c>
      <c r="P84" s="85">
        <f t="shared" si="5"/>
        <v>100</v>
      </c>
      <c r="Q84" s="83"/>
      <c r="R84" s="87" t="str">
        <f>IF($E84="","",IF(COUNTIF($E$7:$E84,$E84)&gt;1,"",IFERROR(VLOOKUP($E84,Orders!$A:$I,8,FALSE),"")))</f>
        <v/>
      </c>
      <c r="S84" s="87" t="str">
        <f>IF($E84="","",IF(COUNTIF($E$7:$E84,$E84)&gt;1,"",IFERROR(VLOOKUP($E84,Orders!$A:$I,9,FALSE),"")))</f>
        <v/>
      </c>
      <c r="T84" s="88">
        <f t="shared" si="6"/>
        <v>100</v>
      </c>
      <c r="U84" s="88">
        <f>IF($F84="","",IF($E84="",T84,SUMIF(Sales!$E$7:$E$1506,$E84,Sales!$T$7:$T$1506)))</f>
        <v>100</v>
      </c>
      <c r="V84" s="49" t="str">
        <f t="shared" si="7"/>
        <v/>
      </c>
      <c r="W84" s="49" t="str">
        <f t="array" ref="W84">IF($V84="","",SUMPRODUCT((Sales!$V$7:$V$1506&lt;&gt;"")*(Sales!$E$7:$E$1506&lt;$E84))+1)</f>
        <v/>
      </c>
      <c r="X84" s="49">
        <f t="shared" si="8"/>
        <v>77</v>
      </c>
      <c r="Y84" s="49" t="str">
        <f t="shared" si="9"/>
        <v>202607-77</v>
      </c>
      <c r="AA84" s="73" t="str">
        <f>IF(Inventory!A82="","",Inventory!A82)</f>
        <v>PO-PP-100G-002</v>
      </c>
    </row>
    <row r="85" ht="14.25" customHeight="1">
      <c r="A85" s="82">
        <v>46229.0</v>
      </c>
      <c r="B85" s="83" t="s">
        <v>324</v>
      </c>
      <c r="C85" s="83" t="s">
        <v>365</v>
      </c>
      <c r="D85" s="83" t="s">
        <v>366</v>
      </c>
      <c r="E85" s="83"/>
      <c r="F85" s="83" t="s">
        <v>98</v>
      </c>
      <c r="G85" s="83" t="str">
        <f>IF($F85="","",IFERROR(VLOOKUP($F85,Inventory!$A:$B,2,FALSE),""))</f>
        <v>Cat Belt</v>
      </c>
      <c r="H85" s="83">
        <v>1.0</v>
      </c>
      <c r="I85" s="84">
        <f t="shared" si="2"/>
        <v>50</v>
      </c>
      <c r="J85" s="85">
        <f>IF($F85="","",IFERROR(VLOOKUP($F85,Inventory!$A:$K,11,FALSE),0))</f>
        <v>60</v>
      </c>
      <c r="K85" s="85">
        <v>10.0</v>
      </c>
      <c r="L85" s="85">
        <f t="shared" si="3"/>
        <v>50</v>
      </c>
      <c r="M85" s="83" t="s">
        <v>330</v>
      </c>
      <c r="N85" s="85">
        <f>IF($F85="","",IFERROR(VLOOKUP($F85,Inventory!$A:$I,9,FALSE),0))</f>
        <v>29.35135135</v>
      </c>
      <c r="O85" s="85">
        <f t="shared" si="4"/>
        <v>29.35135135</v>
      </c>
      <c r="P85" s="85">
        <f t="shared" si="5"/>
        <v>20.64864865</v>
      </c>
      <c r="Q85" s="83"/>
      <c r="R85" s="87" t="str">
        <f>IF($E85="","",IF(COUNTIF($E$7:$E85,$E85)&gt;1,"",IFERROR(VLOOKUP($E85,Orders!$A:$I,8,FALSE),"")))</f>
        <v/>
      </c>
      <c r="S85" s="87" t="str">
        <f>IF($E85="","",IF(COUNTIF($E$7:$E85,$E85)&gt;1,"",IFERROR(VLOOKUP($E85,Orders!$A:$I,9,FALSE),"")))</f>
        <v/>
      </c>
      <c r="T85" s="88">
        <f t="shared" si="6"/>
        <v>20.64864865</v>
      </c>
      <c r="U85" s="88">
        <f>IF($F85="","",IF($E85="",T85,SUMIF(Sales!$E$7:$E$1506,$E85,Sales!$T$7:$T$1506)))</f>
        <v>20.64864865</v>
      </c>
      <c r="V85" s="49" t="str">
        <f t="shared" si="7"/>
        <v/>
      </c>
      <c r="W85" s="49" t="str">
        <f t="array" ref="W85">IF($V85="","",SUMPRODUCT((Sales!$V$7:$V$1506&lt;&gt;"")*(Sales!$E$7:$E$1506&lt;$E85))+1)</f>
        <v/>
      </c>
      <c r="X85" s="49">
        <f t="shared" si="8"/>
        <v>78</v>
      </c>
      <c r="Y85" s="49" t="str">
        <f t="shared" si="9"/>
        <v>202607-78</v>
      </c>
      <c r="AA85" s="73" t="str">
        <f>IF(Inventory!A83="","",Inventory!A83)</f>
        <v>LT-AP-PM-5L-001</v>
      </c>
    </row>
    <row r="86" ht="14.25" customHeight="1">
      <c r="A86" s="82">
        <v>46229.0</v>
      </c>
      <c r="B86" s="83" t="s">
        <v>324</v>
      </c>
      <c r="C86" s="83" t="s">
        <v>365</v>
      </c>
      <c r="D86" s="83" t="s">
        <v>366</v>
      </c>
      <c r="E86" s="83"/>
      <c r="F86" s="83" t="s">
        <v>179</v>
      </c>
      <c r="G86" s="83" t="str">
        <f>IF($F86="","",IFERROR(VLOOKUP($F86,Inventory!$A:$B,2,FALSE),""))</f>
        <v>Creamy Treat 15G (Purry &amp; Hyper Paws)</v>
      </c>
      <c r="H86" s="83">
        <v>5.0</v>
      </c>
      <c r="I86" s="84">
        <f t="shared" si="2"/>
        <v>20</v>
      </c>
      <c r="J86" s="85">
        <f>IF($F86="","",IFERROR(VLOOKUP($F86,Inventory!$A:$K,11,FALSE),0))</f>
        <v>20</v>
      </c>
      <c r="K86" s="85"/>
      <c r="L86" s="85">
        <f t="shared" si="3"/>
        <v>100</v>
      </c>
      <c r="M86" s="83" t="s">
        <v>330</v>
      </c>
      <c r="N86" s="85">
        <f>IF($F86="","",IFERROR(VLOOKUP($F86,Inventory!$A:$I,9,FALSE),0))</f>
        <v>8.147411853</v>
      </c>
      <c r="O86" s="85">
        <f t="shared" si="4"/>
        <v>40.73705926</v>
      </c>
      <c r="P86" s="85">
        <f t="shared" si="5"/>
        <v>59.26294074</v>
      </c>
      <c r="Q86" s="83"/>
      <c r="R86" s="87" t="str">
        <f>IF($E86="","",IF(COUNTIF($E$7:$E86,$E86)&gt;1,"",IFERROR(VLOOKUP($E86,Orders!$A:$I,8,FALSE),"")))</f>
        <v/>
      </c>
      <c r="S86" s="87" t="str">
        <f>IF($E86="","",IF(COUNTIF($E$7:$E86,$E86)&gt;1,"",IFERROR(VLOOKUP($E86,Orders!$A:$I,9,FALSE),"")))</f>
        <v/>
      </c>
      <c r="T86" s="88">
        <f t="shared" si="6"/>
        <v>59.26294074</v>
      </c>
      <c r="U86" s="88">
        <f>IF($F86="","",IF($E86="",T86,SUMIF(Sales!$E$7:$E$1506,$E86,Sales!$T$7:$T$1506)))</f>
        <v>59.26294074</v>
      </c>
      <c r="V86" s="49" t="str">
        <f t="shared" si="7"/>
        <v/>
      </c>
      <c r="W86" s="49" t="str">
        <f t="array" ref="W86">IF($V86="","",SUMPRODUCT((Sales!$V$7:$V$1506&lt;&gt;"")*(Sales!$E$7:$E$1506&lt;$E86))+1)</f>
        <v/>
      </c>
      <c r="X86" s="49">
        <f t="shared" si="8"/>
        <v>79</v>
      </c>
      <c r="Y86" s="49" t="str">
        <f t="shared" si="9"/>
        <v>202607-79</v>
      </c>
      <c r="AA86" s="73" t="str">
        <f>IF(Inventory!A84="","",Inventory!A84)</f>
        <v>AC-CB-002</v>
      </c>
    </row>
    <row r="87" ht="14.25" customHeight="1">
      <c r="A87" s="82">
        <v>46229.0</v>
      </c>
      <c r="B87" s="83" t="s">
        <v>324</v>
      </c>
      <c r="C87" s="83" t="s">
        <v>365</v>
      </c>
      <c r="D87" s="83" t="s">
        <v>366</v>
      </c>
      <c r="E87" s="83"/>
      <c r="F87" s="83" t="s">
        <v>336</v>
      </c>
      <c r="G87" s="83" t="str">
        <f>IF($F87="","",IFERROR(VLOOKUP($F87,Inventory!$A:$B,2,FALSE),""))</f>
        <v>Taipet Chicken Tuna in Jelly</v>
      </c>
      <c r="H87" s="83">
        <v>1.0</v>
      </c>
      <c r="I87" s="84">
        <f t="shared" si="2"/>
        <v>70</v>
      </c>
      <c r="J87" s="85">
        <f>IF($F87="","",IFERROR(VLOOKUP($F87,Inventory!$A:$K,11,FALSE),0))</f>
        <v>75</v>
      </c>
      <c r="K87" s="85">
        <v>5.0</v>
      </c>
      <c r="L87" s="85">
        <f t="shared" si="3"/>
        <v>70</v>
      </c>
      <c r="M87" s="83" t="s">
        <v>330</v>
      </c>
      <c r="N87" s="85">
        <f>IF($F87="","",IFERROR(VLOOKUP($F87,Inventory!$A:$I,9,FALSE),0))</f>
        <v>52</v>
      </c>
      <c r="O87" s="85">
        <f t="shared" si="4"/>
        <v>52</v>
      </c>
      <c r="P87" s="85">
        <f t="shared" si="5"/>
        <v>18</v>
      </c>
      <c r="Q87" s="83"/>
      <c r="R87" s="87" t="str">
        <f>IF($E87="","",IF(COUNTIF($E$7:$E87,$E87)&gt;1,"",IFERROR(VLOOKUP($E87,Orders!$A:$I,8,FALSE),"")))</f>
        <v/>
      </c>
      <c r="S87" s="87" t="str">
        <f>IF($E87="","",IF(COUNTIF($E$7:$E87,$E87)&gt;1,"",IFERROR(VLOOKUP($E87,Orders!$A:$I,9,FALSE),"")))</f>
        <v/>
      </c>
      <c r="T87" s="88">
        <f t="shared" si="6"/>
        <v>18</v>
      </c>
      <c r="U87" s="88">
        <f>IF($F87="","",IF($E87="",T87,SUMIF(Sales!$E$7:$E$1506,$E87,Sales!$T$7:$T$1506)))</f>
        <v>18</v>
      </c>
      <c r="V87" s="49" t="str">
        <f t="shared" si="7"/>
        <v/>
      </c>
      <c r="W87" s="49" t="str">
        <f t="array" ref="W87">IF($V87="","",SUMPRODUCT((Sales!$V$7:$V$1506&lt;&gt;"")*(Sales!$E$7:$E$1506&lt;$E87))+1)</f>
        <v/>
      </c>
      <c r="X87" s="49">
        <f t="shared" si="8"/>
        <v>80</v>
      </c>
      <c r="Y87" s="49" t="str">
        <f t="shared" si="9"/>
        <v>202607-80</v>
      </c>
      <c r="AA87" s="73" t="str">
        <f>IF(Inventory!A85="","",Inventory!A85)</f>
        <v>AC-CN-001</v>
      </c>
    </row>
    <row r="88" ht="14.25" customHeight="1">
      <c r="A88" s="82">
        <v>46229.0</v>
      </c>
      <c r="B88" s="83" t="s">
        <v>324</v>
      </c>
      <c r="C88" s="83" t="s">
        <v>365</v>
      </c>
      <c r="D88" s="83" t="s">
        <v>366</v>
      </c>
      <c r="E88" s="83"/>
      <c r="F88" s="83" t="s">
        <v>179</v>
      </c>
      <c r="G88" s="83" t="str">
        <f>IF($F88="","",IFERROR(VLOOKUP($F88,Inventory!$A:$B,2,FALSE),""))</f>
        <v>Creamy Treat 15G (Purry &amp; Hyper Paws)</v>
      </c>
      <c r="H88" s="83">
        <v>5.0</v>
      </c>
      <c r="I88" s="84">
        <f t="shared" si="2"/>
        <v>20</v>
      </c>
      <c r="J88" s="85">
        <f>IF($F88="","",IFERROR(VLOOKUP($F88,Inventory!$A:$K,11,FALSE),0))</f>
        <v>20</v>
      </c>
      <c r="K88" s="85"/>
      <c r="L88" s="85">
        <f t="shared" si="3"/>
        <v>100</v>
      </c>
      <c r="M88" s="83" t="s">
        <v>330</v>
      </c>
      <c r="N88" s="85">
        <f>IF($F88="","",IFERROR(VLOOKUP($F88,Inventory!$A:$I,9,FALSE),0))</f>
        <v>8.147411853</v>
      </c>
      <c r="O88" s="85">
        <f t="shared" si="4"/>
        <v>40.73705926</v>
      </c>
      <c r="P88" s="85">
        <f t="shared" si="5"/>
        <v>59.26294074</v>
      </c>
      <c r="Q88" s="83"/>
      <c r="R88" s="87" t="str">
        <f>IF($E88="","",IF(COUNTIF($E$7:$E88,$E88)&gt;1,"",IFERROR(VLOOKUP($E88,Orders!$A:$I,8,FALSE),"")))</f>
        <v/>
      </c>
      <c r="S88" s="87" t="str">
        <f>IF($E88="","",IF(COUNTIF($E$7:$E88,$E88)&gt;1,"",IFERROR(VLOOKUP($E88,Orders!$A:$I,9,FALSE),"")))</f>
        <v/>
      </c>
      <c r="T88" s="88">
        <f t="shared" si="6"/>
        <v>59.26294074</v>
      </c>
      <c r="U88" s="88">
        <f>IF($F88="","",IF($E88="",T88,SUMIF(Sales!$E$7:$E$1506,$E88,Sales!$T$7:$T$1506)))</f>
        <v>59.26294074</v>
      </c>
      <c r="V88" s="49" t="str">
        <f t="shared" si="7"/>
        <v/>
      </c>
      <c r="W88" s="49" t="str">
        <f t="array" ref="W88">IF($V88="","",SUMPRODUCT((Sales!$V$7:$V$1506&lt;&gt;"")*(Sales!$E$7:$E$1506&lt;$E88))+1)</f>
        <v/>
      </c>
      <c r="X88" s="49">
        <f t="shared" si="8"/>
        <v>81</v>
      </c>
      <c r="Y88" s="49" t="str">
        <f t="shared" si="9"/>
        <v>202607-81</v>
      </c>
      <c r="AA88" s="73" t="str">
        <f>IF(Inventory!A86="","",Inventory!A86)</f>
        <v>LT-AP-PM-5L-002</v>
      </c>
    </row>
    <row r="89" ht="14.25" customHeight="1">
      <c r="A89" s="82">
        <v>46229.0</v>
      </c>
      <c r="B89" s="83" t="s">
        <v>324</v>
      </c>
      <c r="C89" s="83" t="s">
        <v>365</v>
      </c>
      <c r="D89" s="83" t="s">
        <v>366</v>
      </c>
      <c r="E89" s="83"/>
      <c r="F89" s="83" t="s">
        <v>179</v>
      </c>
      <c r="G89" s="83" t="str">
        <f>IF($F89="","",IFERROR(VLOOKUP($F89,Inventory!$A:$B,2,FALSE),""))</f>
        <v>Creamy Treat 15G (Purry &amp; Hyper Paws)</v>
      </c>
      <c r="H89" s="83">
        <v>3.0</v>
      </c>
      <c r="I89" s="84">
        <f t="shared" si="2"/>
        <v>20</v>
      </c>
      <c r="J89" s="85">
        <f>IF($F89="","",IFERROR(VLOOKUP($F89,Inventory!$A:$K,11,FALSE),0))</f>
        <v>20</v>
      </c>
      <c r="K89" s="85"/>
      <c r="L89" s="85">
        <f t="shared" si="3"/>
        <v>60</v>
      </c>
      <c r="M89" s="83" t="s">
        <v>330</v>
      </c>
      <c r="N89" s="85">
        <f>IF($F89="","",IFERROR(VLOOKUP($F89,Inventory!$A:$I,9,FALSE),0))</f>
        <v>8.147411853</v>
      </c>
      <c r="O89" s="85">
        <f t="shared" si="4"/>
        <v>24.44223556</v>
      </c>
      <c r="P89" s="85">
        <f t="shared" si="5"/>
        <v>35.55776444</v>
      </c>
      <c r="Q89" s="83"/>
      <c r="R89" s="87" t="str">
        <f>IF($E89="","",IF(COUNTIF($E$7:$E89,$E89)&gt;1,"",IFERROR(VLOOKUP($E89,Orders!$A:$I,8,FALSE),"")))</f>
        <v/>
      </c>
      <c r="S89" s="87" t="str">
        <f>IF($E89="","",IF(COUNTIF($E$7:$E89,$E89)&gt;1,"",IFERROR(VLOOKUP($E89,Orders!$A:$I,9,FALSE),"")))</f>
        <v/>
      </c>
      <c r="T89" s="88">
        <f t="shared" si="6"/>
        <v>35.55776444</v>
      </c>
      <c r="U89" s="88">
        <f>IF($F89="","",IF($E89="",T89,SUMIF(Sales!$E$7:$E$1506,$E89,Sales!$T$7:$T$1506)))</f>
        <v>35.55776444</v>
      </c>
      <c r="V89" s="49" t="str">
        <f t="shared" si="7"/>
        <v/>
      </c>
      <c r="W89" s="49" t="str">
        <f t="array" ref="W89">IF($V89="","",SUMPRODUCT((Sales!$V$7:$V$1506&lt;&gt;"")*(Sales!$E$7:$E$1506&lt;$E89))+1)</f>
        <v/>
      </c>
      <c r="X89" s="49">
        <f t="shared" si="8"/>
        <v>82</v>
      </c>
      <c r="Y89" s="49" t="str">
        <f t="shared" si="9"/>
        <v>202607-82</v>
      </c>
      <c r="AA89" s="73" t="str">
        <f>IF(Inventory!A87="","",Inventory!A87)</f>
        <v>FD-MX-0001</v>
      </c>
    </row>
    <row r="90" ht="14.25" customHeight="1">
      <c r="A90" s="82">
        <v>46229.0</v>
      </c>
      <c r="B90" s="83" t="s">
        <v>324</v>
      </c>
      <c r="C90" s="83" t="s">
        <v>365</v>
      </c>
      <c r="D90" s="83" t="s">
        <v>577</v>
      </c>
      <c r="E90" s="83"/>
      <c r="F90" s="83" t="s">
        <v>260</v>
      </c>
      <c r="G90" s="83" t="str">
        <f>IF($F90="","",IFERROR(VLOOKUP($F90,Inventory!$A:$B,2,FALSE),""))</f>
        <v>Kitchen Flavor Grain Free Adult 1.5KG</v>
      </c>
      <c r="H90" s="83">
        <v>1.0</v>
      </c>
      <c r="I90" s="84">
        <f t="shared" si="2"/>
        <v>1210</v>
      </c>
      <c r="J90" s="85">
        <f>IF($F90="","",IFERROR(VLOOKUP($F90,Inventory!$A:$K,11,FALSE),0))</f>
        <v>1260</v>
      </c>
      <c r="K90" s="85">
        <v>50.0</v>
      </c>
      <c r="L90" s="85">
        <f t="shared" si="3"/>
        <v>1210</v>
      </c>
      <c r="M90" s="83" t="s">
        <v>330</v>
      </c>
      <c r="N90" s="85">
        <f>IF($F90="","",IFERROR(VLOOKUP($F90,Inventory!$A:$I,9,FALSE),0))</f>
        <v>990</v>
      </c>
      <c r="O90" s="85">
        <f t="shared" si="4"/>
        <v>990</v>
      </c>
      <c r="P90" s="85">
        <f t="shared" si="5"/>
        <v>220</v>
      </c>
      <c r="Q90" s="83"/>
      <c r="R90" s="87" t="str">
        <f>IF($E90="","",IF(COUNTIF($E$7:$E90,$E90)&gt;1,"",IFERROR(VLOOKUP($E90,Orders!$A:$I,8,FALSE),"")))</f>
        <v/>
      </c>
      <c r="S90" s="87" t="str">
        <f>IF($E90="","",IF(COUNTIF($E$7:$E90,$E90)&gt;1,"",IFERROR(VLOOKUP($E90,Orders!$A:$I,9,FALSE),"")))</f>
        <v/>
      </c>
      <c r="T90" s="88">
        <f t="shared" si="6"/>
        <v>220</v>
      </c>
      <c r="U90" s="88">
        <f>IF($F90="","",IF($E90="",T90,SUMIF(Sales!$E$7:$E$1506,$E90,Sales!$T$7:$T$1506)))</f>
        <v>220</v>
      </c>
      <c r="V90" s="49" t="str">
        <f t="shared" si="7"/>
        <v/>
      </c>
      <c r="W90" s="49" t="str">
        <f t="array" ref="W90">IF($V90="","",SUMPRODUCT((Sales!$V$7:$V$1506&lt;&gt;"")*(Sales!$E$7:$E$1506&lt;$E90))+1)</f>
        <v/>
      </c>
      <c r="X90" s="49">
        <f t="shared" si="8"/>
        <v>83</v>
      </c>
      <c r="Y90" s="49" t="str">
        <f t="shared" si="9"/>
        <v>202607-83</v>
      </c>
      <c r="AA90" s="73" t="str">
        <f>IF(Inventory!A88="","",Inventory!A88)</f>
        <v>FD-DRY-JUN-KT-1.5KG-001</v>
      </c>
    </row>
    <row r="91" ht="14.25" customHeight="1">
      <c r="A91" s="82">
        <v>46229.0</v>
      </c>
      <c r="B91" s="83" t="s">
        <v>324</v>
      </c>
      <c r="C91" s="83" t="s">
        <v>365</v>
      </c>
      <c r="D91" s="83" t="s">
        <v>577</v>
      </c>
      <c r="E91" s="83"/>
      <c r="F91" s="83" t="s">
        <v>179</v>
      </c>
      <c r="G91" s="83" t="str">
        <f>IF($F91="","",IFERROR(VLOOKUP($F91,Inventory!$A:$B,2,FALSE),""))</f>
        <v>Creamy Treat 15G (Purry &amp; Hyper Paws)</v>
      </c>
      <c r="H91" s="83">
        <v>2.0</v>
      </c>
      <c r="I91" s="84">
        <f t="shared" si="2"/>
        <v>20</v>
      </c>
      <c r="J91" s="85">
        <f>IF($F91="","",IFERROR(VLOOKUP($F91,Inventory!$A:$K,11,FALSE),0))</f>
        <v>20</v>
      </c>
      <c r="K91" s="85"/>
      <c r="L91" s="85">
        <f t="shared" si="3"/>
        <v>40</v>
      </c>
      <c r="M91" s="83" t="s">
        <v>330</v>
      </c>
      <c r="N91" s="85">
        <f>IF($F91="","",IFERROR(VLOOKUP($F91,Inventory!$A:$I,9,FALSE),0))</f>
        <v>8.147411853</v>
      </c>
      <c r="O91" s="85">
        <f t="shared" si="4"/>
        <v>16.29482371</v>
      </c>
      <c r="P91" s="85">
        <f t="shared" si="5"/>
        <v>23.70517629</v>
      </c>
      <c r="Q91" s="83"/>
      <c r="R91" s="87" t="str">
        <f>IF($E91="","",IF(COUNTIF($E$7:$E91,$E91)&gt;1,"",IFERROR(VLOOKUP($E91,Orders!$A:$I,8,FALSE),"")))</f>
        <v/>
      </c>
      <c r="S91" s="87" t="str">
        <f>IF($E91="","",IF(COUNTIF($E$7:$E91,$E91)&gt;1,"",IFERROR(VLOOKUP($E91,Orders!$A:$I,9,FALSE),"")))</f>
        <v/>
      </c>
      <c r="T91" s="88">
        <f t="shared" si="6"/>
        <v>23.70517629</v>
      </c>
      <c r="U91" s="88">
        <f>IF($F91="","",IF($E91="",T91,SUMIF(Sales!$E$7:$E$1506,$E91,Sales!$T$7:$T$1506)))</f>
        <v>23.70517629</v>
      </c>
      <c r="V91" s="49" t="str">
        <f t="shared" si="7"/>
        <v/>
      </c>
      <c r="W91" s="49" t="str">
        <f t="array" ref="W91">IF($V91="","",SUMPRODUCT((Sales!$V$7:$V$1506&lt;&gt;"")*(Sales!$E$7:$E$1506&lt;$E91))+1)</f>
        <v/>
      </c>
      <c r="X91" s="49">
        <f t="shared" si="8"/>
        <v>84</v>
      </c>
      <c r="Y91" s="49" t="str">
        <f t="shared" si="9"/>
        <v>202607-84</v>
      </c>
      <c r="AA91" s="73" t="str">
        <f>IF(Inventory!A89="","",Inventory!A89)</f>
        <v>FD-DRY-KVF-1.5KG-001</v>
      </c>
    </row>
    <row r="92" ht="14.25" customHeight="1">
      <c r="A92" s="82">
        <v>46230.0</v>
      </c>
      <c r="B92" s="83" t="s">
        <v>324</v>
      </c>
      <c r="C92" s="83" t="s">
        <v>365</v>
      </c>
      <c r="D92" s="83" t="s">
        <v>366</v>
      </c>
      <c r="E92" s="83"/>
      <c r="F92" s="83" t="s">
        <v>132</v>
      </c>
      <c r="G92" s="83" t="str">
        <f>IF($F92="","",IFERROR(VLOOKUP($F92,Inventory!$A:$B,2,FALSE),""))</f>
        <v>Bengal Flea &amp; Tick Shampoo</v>
      </c>
      <c r="H92" s="83">
        <v>1.0</v>
      </c>
      <c r="I92" s="84">
        <f t="shared" si="2"/>
        <v>380</v>
      </c>
      <c r="J92" s="85">
        <f>IF($F92="","",IFERROR(VLOOKUP($F92,Inventory!$A:$K,11,FALSE),0))</f>
        <v>400</v>
      </c>
      <c r="K92" s="85">
        <v>20.0</v>
      </c>
      <c r="L92" s="85">
        <f t="shared" si="3"/>
        <v>380</v>
      </c>
      <c r="M92" s="83" t="s">
        <v>330</v>
      </c>
      <c r="N92" s="85">
        <f>IF($F92="","",IFERROR(VLOOKUP($F92,Inventory!$A:$I,9,FALSE),0))</f>
        <v>240</v>
      </c>
      <c r="O92" s="85">
        <f t="shared" si="4"/>
        <v>240</v>
      </c>
      <c r="P92" s="85">
        <f t="shared" si="5"/>
        <v>140</v>
      </c>
      <c r="Q92" s="83"/>
      <c r="R92" s="87" t="str">
        <f>IF($E92="","",IF(COUNTIF($E$7:$E92,$E92)&gt;1,"",IFERROR(VLOOKUP($E92,Orders!$A:$I,8,FALSE),"")))</f>
        <v/>
      </c>
      <c r="S92" s="87" t="str">
        <f>IF($E92="","",IF(COUNTIF($E$7:$E92,$E92)&gt;1,"",IFERROR(VLOOKUP($E92,Orders!$A:$I,9,FALSE),"")))</f>
        <v/>
      </c>
      <c r="T92" s="88">
        <f t="shared" si="6"/>
        <v>140</v>
      </c>
      <c r="U92" s="88">
        <f>IF($F92="","",IF($E92="",T92,SUMIF(Sales!$E$7:$E$1506,$E92,Sales!$T$7:$T$1506)))</f>
        <v>140</v>
      </c>
      <c r="V92" s="49" t="str">
        <f t="shared" si="7"/>
        <v/>
      </c>
      <c r="W92" s="49" t="str">
        <f t="array" ref="W92">IF($V92="","",SUMPRODUCT((Sales!$V$7:$V$1506&lt;&gt;"")*(Sales!$E$7:$E$1506&lt;$E92))+1)</f>
        <v/>
      </c>
      <c r="X92" s="49">
        <f t="shared" si="8"/>
        <v>85</v>
      </c>
      <c r="Y92" s="49" t="str">
        <f t="shared" si="9"/>
        <v>202607-85</v>
      </c>
      <c r="AA92" s="73" t="str">
        <f>IF(Inventory!A90="","",Inventory!A90)</f>
        <v>LT-LM-LUM-5L-001</v>
      </c>
    </row>
    <row r="93" ht="14.25" customHeight="1">
      <c r="A93" s="82">
        <v>46230.0</v>
      </c>
      <c r="B93" s="83" t="s">
        <v>324</v>
      </c>
      <c r="C93" s="83" t="s">
        <v>365</v>
      </c>
      <c r="D93" s="83" t="s">
        <v>366</v>
      </c>
      <c r="E93" s="83"/>
      <c r="F93" s="83" t="s">
        <v>183</v>
      </c>
      <c r="G93" s="83" t="str">
        <f>IF($F93="","",IFERROR(VLOOKUP($F93,Inventory!$A:$B,2,FALSE),""))</f>
        <v>Smart Heart Kitten Food Chicken, Fish, Egg &amp; Milk 450gm</v>
      </c>
      <c r="H93" s="83">
        <v>1.0</v>
      </c>
      <c r="I93" s="84">
        <f t="shared" si="2"/>
        <v>350</v>
      </c>
      <c r="J93" s="85">
        <f>IF($F93="","",IFERROR(VLOOKUP($F93,Inventory!$A:$K,11,FALSE),0))</f>
        <v>380</v>
      </c>
      <c r="K93" s="85">
        <v>30.0</v>
      </c>
      <c r="L93" s="85">
        <f t="shared" si="3"/>
        <v>350</v>
      </c>
      <c r="M93" s="83" t="s">
        <v>330</v>
      </c>
      <c r="N93" s="85">
        <f>IF($F93="","",IFERROR(VLOOKUP($F93,Inventory!$A:$I,9,FALSE),0))</f>
        <v>290</v>
      </c>
      <c r="O93" s="85">
        <f t="shared" si="4"/>
        <v>290</v>
      </c>
      <c r="P93" s="85">
        <f t="shared" si="5"/>
        <v>60</v>
      </c>
      <c r="Q93" s="83"/>
      <c r="R93" s="87" t="str">
        <f>IF($E93="","",IF(COUNTIF($E$7:$E93,$E93)&gt;1,"",IFERROR(VLOOKUP($E93,Orders!$A:$I,8,FALSE),"")))</f>
        <v/>
      </c>
      <c r="S93" s="87" t="str">
        <f>IF($E93="","",IF(COUNTIF($E$7:$E93,$E93)&gt;1,"",IFERROR(VLOOKUP($E93,Orders!$A:$I,9,FALSE),"")))</f>
        <v/>
      </c>
      <c r="T93" s="88">
        <f t="shared" si="6"/>
        <v>60</v>
      </c>
      <c r="U93" s="88">
        <f>IF($F93="","",IF($E93="",T93,SUMIF(Sales!$E$7:$E$1506,$E93,Sales!$T$7:$T$1506)))</f>
        <v>60</v>
      </c>
      <c r="V93" s="49" t="str">
        <f t="shared" si="7"/>
        <v/>
      </c>
      <c r="W93" s="49" t="str">
        <f t="array" ref="W93">IF($V93="","",SUMPRODUCT((Sales!$V$7:$V$1506&lt;&gt;"")*(Sales!$E$7:$E$1506&lt;$E93))+1)</f>
        <v/>
      </c>
      <c r="X93" s="49">
        <f t="shared" si="8"/>
        <v>86</v>
      </c>
      <c r="Y93" s="49" t="str">
        <f t="shared" si="9"/>
        <v>202607-86</v>
      </c>
      <c r="AA93" s="73" t="str">
        <f>IF(Inventory!A91="","",Inventory!A91)</f>
        <v>LT-AP-LUM-5L-002</v>
      </c>
    </row>
    <row r="94" ht="14.25" customHeight="1">
      <c r="A94" s="82">
        <v>46230.0</v>
      </c>
      <c r="B94" s="83" t="s">
        <v>324</v>
      </c>
      <c r="C94" s="83" t="s">
        <v>365</v>
      </c>
      <c r="D94" s="83" t="s">
        <v>366</v>
      </c>
      <c r="E94" s="83"/>
      <c r="F94" s="83" t="s">
        <v>179</v>
      </c>
      <c r="G94" s="83" t="str">
        <f>IF($F94="","",IFERROR(VLOOKUP($F94,Inventory!$A:$B,2,FALSE),""))</f>
        <v>Creamy Treat 15G (Purry &amp; Hyper Paws)</v>
      </c>
      <c r="H94" s="83">
        <v>5.0</v>
      </c>
      <c r="I94" s="84">
        <f t="shared" si="2"/>
        <v>20</v>
      </c>
      <c r="J94" s="85">
        <f>IF($F94="","",IFERROR(VLOOKUP($F94,Inventory!$A:$K,11,FALSE),0))</f>
        <v>20</v>
      </c>
      <c r="K94" s="85"/>
      <c r="L94" s="85">
        <f t="shared" si="3"/>
        <v>100</v>
      </c>
      <c r="M94" s="83" t="s">
        <v>330</v>
      </c>
      <c r="N94" s="85">
        <f>IF($F94="","",IFERROR(VLOOKUP($F94,Inventory!$A:$I,9,FALSE),0))</f>
        <v>8.147411853</v>
      </c>
      <c r="O94" s="85">
        <f t="shared" si="4"/>
        <v>40.73705926</v>
      </c>
      <c r="P94" s="85">
        <f t="shared" si="5"/>
        <v>59.26294074</v>
      </c>
      <c r="Q94" s="83"/>
      <c r="R94" s="87" t="str">
        <f>IF($E94="","",IF(COUNTIF($E$7:$E94,$E94)&gt;1,"",IFERROR(VLOOKUP($E94,Orders!$A:$I,8,FALSE),"")))</f>
        <v/>
      </c>
      <c r="S94" s="87" t="str">
        <f>IF($E94="","",IF(COUNTIF($E$7:$E94,$E94)&gt;1,"",IFERROR(VLOOKUP($E94,Orders!$A:$I,9,FALSE),"")))</f>
        <v/>
      </c>
      <c r="T94" s="88">
        <f t="shared" si="6"/>
        <v>59.26294074</v>
      </c>
      <c r="U94" s="88">
        <f>IF($F94="","",IF($E94="",T94,SUMIF(Sales!$E$7:$E$1506,$E94,Sales!$T$7:$T$1506)))</f>
        <v>59.26294074</v>
      </c>
      <c r="V94" s="49" t="str">
        <f t="shared" si="7"/>
        <v/>
      </c>
      <c r="W94" s="49" t="str">
        <f t="array" ref="W94">IF($V94="","",SUMPRODUCT((Sales!$V$7:$V$1506&lt;&gt;"")*(Sales!$E$7:$E$1506&lt;$E94))+1)</f>
        <v/>
      </c>
      <c r="X94" s="49">
        <f t="shared" si="8"/>
        <v>87</v>
      </c>
      <c r="Y94" s="49" t="str">
        <f t="shared" si="9"/>
        <v>202607-87</v>
      </c>
      <c r="AA94" s="73" t="str">
        <f>IF(Inventory!A92="","",Inventory!A92)</f>
        <v>LT-CF-LUM-5L-003</v>
      </c>
    </row>
    <row r="95" ht="14.25" customHeight="1">
      <c r="A95" s="82">
        <v>46231.0</v>
      </c>
      <c r="B95" s="83" t="s">
        <v>324</v>
      </c>
      <c r="C95" s="83" t="s">
        <v>365</v>
      </c>
      <c r="D95" s="83" t="s">
        <v>366</v>
      </c>
      <c r="E95" s="83"/>
      <c r="F95" s="83" t="s">
        <v>179</v>
      </c>
      <c r="G95" s="83" t="str">
        <f>IF($F95="","",IFERROR(VLOOKUP($F95,Inventory!$A:$B,2,FALSE),""))</f>
        <v>Creamy Treat 15G (Purry &amp; Hyper Paws)</v>
      </c>
      <c r="H95" s="83">
        <v>4.0</v>
      </c>
      <c r="I95" s="84">
        <f t="shared" si="2"/>
        <v>12.5</v>
      </c>
      <c r="J95" s="85">
        <f>IF($F95="","",IFERROR(VLOOKUP($F95,Inventory!$A:$K,11,FALSE),0))</f>
        <v>20</v>
      </c>
      <c r="K95" s="85">
        <v>7.5</v>
      </c>
      <c r="L95" s="85">
        <f t="shared" si="3"/>
        <v>50</v>
      </c>
      <c r="M95" s="83" t="s">
        <v>330</v>
      </c>
      <c r="N95" s="85">
        <f>IF($F95="","",IFERROR(VLOOKUP($F95,Inventory!$A:$I,9,FALSE),0))</f>
        <v>8.147411853</v>
      </c>
      <c r="O95" s="85">
        <f t="shared" si="4"/>
        <v>32.58964741</v>
      </c>
      <c r="P95" s="85">
        <f t="shared" si="5"/>
        <v>17.41035259</v>
      </c>
      <c r="Q95" s="83"/>
      <c r="R95" s="87" t="str">
        <f>IF($E95="","",IF(COUNTIF($E$7:$E95,$E95)&gt;1,"",IFERROR(VLOOKUP($E95,Orders!$A:$I,8,FALSE),"")))</f>
        <v/>
      </c>
      <c r="S95" s="87" t="str">
        <f>IF($E95="","",IF(COUNTIF($E$7:$E95,$E95)&gt;1,"",IFERROR(VLOOKUP($E95,Orders!$A:$I,9,FALSE),"")))</f>
        <v/>
      </c>
      <c r="T95" s="88">
        <f t="shared" si="6"/>
        <v>17.41035259</v>
      </c>
      <c r="U95" s="88">
        <f>IF($F95="","",IF($E95="",T95,SUMIF(Sales!$E$7:$E$1506,$E95,Sales!$T$7:$T$1506)))</f>
        <v>17.41035259</v>
      </c>
      <c r="V95" s="49" t="str">
        <f t="shared" si="7"/>
        <v/>
      </c>
      <c r="W95" s="49" t="str">
        <f t="array" ref="W95">IF($V95="","",SUMPRODUCT((Sales!$V$7:$V$1506&lt;&gt;"")*(Sales!$E$7:$E$1506&lt;$E95))+1)</f>
        <v/>
      </c>
      <c r="X95" s="49">
        <f t="shared" si="8"/>
        <v>88</v>
      </c>
      <c r="Y95" s="49" t="str">
        <f t="shared" si="9"/>
        <v>202607-88</v>
      </c>
      <c r="AA95" s="73" t="str">
        <f>IF(Inventory!A93="","",Inventory!A93)</f>
        <v>LT-LV-LUM-5L-004</v>
      </c>
    </row>
    <row r="96" ht="14.25" customHeight="1">
      <c r="A96" s="82">
        <v>46231.0</v>
      </c>
      <c r="B96" s="83" t="s">
        <v>324</v>
      </c>
      <c r="C96" s="83" t="s">
        <v>365</v>
      </c>
      <c r="D96" s="83" t="s">
        <v>366</v>
      </c>
      <c r="E96" s="83"/>
      <c r="F96" s="83" t="s">
        <v>179</v>
      </c>
      <c r="G96" s="83" t="str">
        <f>IF($F96="","",IFERROR(VLOOKUP($F96,Inventory!$A:$B,2,FALSE),""))</f>
        <v>Creamy Treat 15G (Purry &amp; Hyper Paws)</v>
      </c>
      <c r="H96" s="83">
        <v>3.0</v>
      </c>
      <c r="I96" s="84">
        <f t="shared" si="2"/>
        <v>20</v>
      </c>
      <c r="J96" s="85">
        <f>IF($F96="","",IFERROR(VLOOKUP($F96,Inventory!$A:$K,11,FALSE),0))</f>
        <v>20</v>
      </c>
      <c r="K96" s="85"/>
      <c r="L96" s="85">
        <f t="shared" si="3"/>
        <v>60</v>
      </c>
      <c r="M96" s="83" t="s">
        <v>330</v>
      </c>
      <c r="N96" s="85">
        <f>IF($F96="","",IFERROR(VLOOKUP($F96,Inventory!$A:$I,9,FALSE),0))</f>
        <v>8.147411853</v>
      </c>
      <c r="O96" s="85">
        <f t="shared" si="4"/>
        <v>24.44223556</v>
      </c>
      <c r="P96" s="85">
        <f t="shared" si="5"/>
        <v>35.55776444</v>
      </c>
      <c r="Q96" s="83"/>
      <c r="R96" s="87" t="str">
        <f>IF($E96="","",IF(COUNTIF($E$7:$E96,$E96)&gt;1,"",IFERROR(VLOOKUP($E96,Orders!$A:$I,8,FALSE),"")))</f>
        <v/>
      </c>
      <c r="S96" s="87" t="str">
        <f>IF($E96="","",IF(COUNTIF($E$7:$E96,$E96)&gt;1,"",IFERROR(VLOOKUP($E96,Orders!$A:$I,9,FALSE),"")))</f>
        <v/>
      </c>
      <c r="T96" s="88">
        <f t="shared" si="6"/>
        <v>35.55776444</v>
      </c>
      <c r="U96" s="88">
        <f>IF($F96="","",IF($E96="",T96,SUMIF(Sales!$E$7:$E$1506,$E96,Sales!$T$7:$T$1506)))</f>
        <v>35.55776444</v>
      </c>
      <c r="V96" s="49" t="str">
        <f t="shared" si="7"/>
        <v/>
      </c>
      <c r="W96" s="49" t="str">
        <f t="array" ref="W96">IF($V96="","",SUMPRODUCT((Sales!$V$7:$V$1506&lt;&gt;"")*(Sales!$E$7:$E$1506&lt;$E96))+1)</f>
        <v/>
      </c>
      <c r="X96" s="49">
        <f t="shared" si="8"/>
        <v>89</v>
      </c>
      <c r="Y96" s="49" t="str">
        <f t="shared" si="9"/>
        <v>202607-89</v>
      </c>
      <c r="AA96" s="73" t="str">
        <f>IF(Inventory!A94="","",Inventory!A94)</f>
        <v>LT-LM-NT-10L-001</v>
      </c>
    </row>
    <row r="97" ht="14.25" customHeight="1">
      <c r="A97" s="82">
        <v>46231.0</v>
      </c>
      <c r="B97" s="83" t="s">
        <v>324</v>
      </c>
      <c r="C97" s="83" t="s">
        <v>365</v>
      </c>
      <c r="D97" s="83" t="s">
        <v>366</v>
      </c>
      <c r="E97" s="83"/>
      <c r="F97" s="83" t="s">
        <v>179</v>
      </c>
      <c r="G97" s="83" t="str">
        <f>IF($F97="","",IFERROR(VLOOKUP($F97,Inventory!$A:$B,2,FALSE),""))</f>
        <v>Creamy Treat 15G (Purry &amp; Hyper Paws)</v>
      </c>
      <c r="H97" s="83">
        <v>1.0</v>
      </c>
      <c r="I97" s="84">
        <f t="shared" si="2"/>
        <v>20</v>
      </c>
      <c r="J97" s="85">
        <f>IF($F97="","",IFERROR(VLOOKUP($F97,Inventory!$A:$K,11,FALSE),0))</f>
        <v>20</v>
      </c>
      <c r="K97" s="85"/>
      <c r="L97" s="85">
        <f t="shared" si="3"/>
        <v>20</v>
      </c>
      <c r="M97" s="83" t="s">
        <v>330</v>
      </c>
      <c r="N97" s="85">
        <f>IF($F97="","",IFERROR(VLOOKUP($F97,Inventory!$A:$I,9,FALSE),0))</f>
        <v>8.147411853</v>
      </c>
      <c r="O97" s="85">
        <f t="shared" si="4"/>
        <v>8.147411853</v>
      </c>
      <c r="P97" s="85">
        <f t="shared" si="5"/>
        <v>11.85258815</v>
      </c>
      <c r="Q97" s="83"/>
      <c r="R97" s="87" t="str">
        <f>IF($E97="","",IF(COUNTIF($E$7:$E97,$E97)&gt;1,"",IFERROR(VLOOKUP($E97,Orders!$A:$I,8,FALSE),"")))</f>
        <v/>
      </c>
      <c r="S97" s="87" t="str">
        <f>IF($E97="","",IF(COUNTIF($E$7:$E97,$E97)&gt;1,"",IFERROR(VLOOKUP($E97,Orders!$A:$I,9,FALSE),"")))</f>
        <v/>
      </c>
      <c r="T97" s="88">
        <f t="shared" si="6"/>
        <v>11.85258815</v>
      </c>
      <c r="U97" s="88">
        <f>IF($F97="","",IF($E97="",T97,SUMIF(Sales!$E$7:$E$1506,$E97,Sales!$T$7:$T$1506)))</f>
        <v>11.85258815</v>
      </c>
      <c r="V97" s="49" t="str">
        <f t="shared" si="7"/>
        <v/>
      </c>
      <c r="W97" s="49" t="str">
        <f t="array" ref="W97">IF($V97="","",SUMPRODUCT((Sales!$V$7:$V$1506&lt;&gt;"")*(Sales!$E$7:$E$1506&lt;$E97))+1)</f>
        <v/>
      </c>
      <c r="X97" s="49">
        <f t="shared" si="8"/>
        <v>90</v>
      </c>
      <c r="Y97" s="49" t="str">
        <f t="shared" si="9"/>
        <v>202607-90</v>
      </c>
      <c r="AA97" s="73" t="str">
        <f>IF(Inventory!A95="","",Inventory!A95)</f>
        <v>LT-AP-LUM-10L-002</v>
      </c>
    </row>
    <row r="98" ht="14.25" customHeight="1">
      <c r="A98" s="82">
        <v>46231.0</v>
      </c>
      <c r="B98" s="83" t="s">
        <v>324</v>
      </c>
      <c r="C98" s="83" t="s">
        <v>365</v>
      </c>
      <c r="D98" s="83" t="s">
        <v>356</v>
      </c>
      <c r="E98" s="83"/>
      <c r="F98" s="83" t="s">
        <v>179</v>
      </c>
      <c r="G98" s="83" t="str">
        <f>IF($F98="","",IFERROR(VLOOKUP($F98,Inventory!$A:$B,2,FALSE),""))</f>
        <v>Creamy Treat 15G (Purry &amp; Hyper Paws)</v>
      </c>
      <c r="H98" s="83">
        <v>1.0</v>
      </c>
      <c r="I98" s="84">
        <f t="shared" si="2"/>
        <v>10</v>
      </c>
      <c r="J98" s="85">
        <f>IF($F98="","",IFERROR(VLOOKUP($F98,Inventory!$A:$K,11,FALSE),0))</f>
        <v>20</v>
      </c>
      <c r="K98" s="85">
        <v>10.0</v>
      </c>
      <c r="L98" s="85">
        <f t="shared" si="3"/>
        <v>10</v>
      </c>
      <c r="M98" s="83" t="s">
        <v>330</v>
      </c>
      <c r="N98" s="85">
        <f>IF($F98="","",IFERROR(VLOOKUP($F98,Inventory!$A:$I,9,FALSE),0))</f>
        <v>8.147411853</v>
      </c>
      <c r="O98" s="85">
        <f t="shared" si="4"/>
        <v>8.147411853</v>
      </c>
      <c r="P98" s="85">
        <f t="shared" si="5"/>
        <v>1.852588147</v>
      </c>
      <c r="Q98" s="83"/>
      <c r="R98" s="87" t="str">
        <f>IF($E98="","",IF(COUNTIF($E$7:$E98,$E98)&gt;1,"",IFERROR(VLOOKUP($E98,Orders!$A:$I,8,FALSE),"")))</f>
        <v/>
      </c>
      <c r="S98" s="87" t="str">
        <f>IF($E98="","",IF(COUNTIF($E$7:$E98,$E98)&gt;1,"",IFERROR(VLOOKUP($E98,Orders!$A:$I,9,FALSE),"")))</f>
        <v/>
      </c>
      <c r="T98" s="88">
        <f t="shared" si="6"/>
        <v>1.852588147</v>
      </c>
      <c r="U98" s="88">
        <f>IF($F98="","",IF($E98="",T98,SUMIF(Sales!$E$7:$E$1506,$E98,Sales!$T$7:$T$1506)))</f>
        <v>1.852588147</v>
      </c>
      <c r="V98" s="49" t="str">
        <f t="shared" si="7"/>
        <v/>
      </c>
      <c r="W98" s="49" t="str">
        <f t="array" ref="W98">IF($V98="","",SUMPRODUCT((Sales!$V$7:$V$1506&lt;&gt;"")*(Sales!$E$7:$E$1506&lt;$E98))+1)</f>
        <v/>
      </c>
      <c r="X98" s="49">
        <f t="shared" si="8"/>
        <v>91</v>
      </c>
      <c r="Y98" s="49" t="str">
        <f t="shared" si="9"/>
        <v>202607-91</v>
      </c>
      <c r="AA98" s="73" t="str">
        <f>IF(Inventory!A96="","",Inventory!A96)</f>
        <v>LT-CF-FT-10L-003</v>
      </c>
    </row>
    <row r="99" ht="14.25" customHeight="1">
      <c r="A99" s="82">
        <v>46231.0</v>
      </c>
      <c r="B99" s="83" t="s">
        <v>324</v>
      </c>
      <c r="C99" s="83" t="s">
        <v>365</v>
      </c>
      <c r="D99" s="83" t="s">
        <v>356</v>
      </c>
      <c r="E99" s="83"/>
      <c r="F99" s="83" t="s">
        <v>211</v>
      </c>
      <c r="G99" s="83" t="str">
        <f>IF($F99="","",IFERROR(VLOOKUP($F99,Inventory!$A:$B,2,FALSE),""))</f>
        <v>Smart Heart Pouch  Tuna With Chicken in Jelly</v>
      </c>
      <c r="H99" s="83">
        <v>1.0</v>
      </c>
      <c r="I99" s="84">
        <f t="shared" si="2"/>
        <v>90</v>
      </c>
      <c r="J99" s="85">
        <f>IF($F99="","",IFERROR(VLOOKUP($F99,Inventory!$A:$K,11,FALSE),0))</f>
        <v>95</v>
      </c>
      <c r="K99" s="85">
        <v>5.0</v>
      </c>
      <c r="L99" s="85">
        <f t="shared" si="3"/>
        <v>90</v>
      </c>
      <c r="M99" s="83" t="s">
        <v>330</v>
      </c>
      <c r="N99" s="85">
        <f>IF($F99="","",IFERROR(VLOOKUP($F99,Inventory!$A:$I,9,FALSE),0))</f>
        <v>71.9047619</v>
      </c>
      <c r="O99" s="85">
        <f t="shared" si="4"/>
        <v>71.9047619</v>
      </c>
      <c r="P99" s="85">
        <f t="shared" si="5"/>
        <v>18.0952381</v>
      </c>
      <c r="Q99" s="83"/>
      <c r="R99" s="87" t="str">
        <f>IF($E99="","",IF(COUNTIF($E$7:$E99,$E99)&gt;1,"",IFERROR(VLOOKUP($E99,Orders!$A:$I,8,FALSE),"")))</f>
        <v/>
      </c>
      <c r="S99" s="87" t="str">
        <f>IF($E99="","",IF(COUNTIF($E$7:$E99,$E99)&gt;1,"",IFERROR(VLOOKUP($E99,Orders!$A:$I,9,FALSE),"")))</f>
        <v/>
      </c>
      <c r="T99" s="88">
        <f t="shared" si="6"/>
        <v>18.0952381</v>
      </c>
      <c r="U99" s="88">
        <f>IF($F99="","",IF($E99="",T99,SUMIF(Sales!$E$7:$E$1506,$E99,Sales!$T$7:$T$1506)))</f>
        <v>18.0952381</v>
      </c>
      <c r="V99" s="49" t="str">
        <f t="shared" si="7"/>
        <v/>
      </c>
      <c r="W99" s="49" t="str">
        <f t="array" ref="W99">IF($V99="","",SUMPRODUCT((Sales!$V$7:$V$1506&lt;&gt;"")*(Sales!$E$7:$E$1506&lt;$E99))+1)</f>
        <v/>
      </c>
      <c r="X99" s="49">
        <f t="shared" si="8"/>
        <v>92</v>
      </c>
      <c r="Y99" s="49" t="str">
        <f t="shared" si="9"/>
        <v>202607-92</v>
      </c>
      <c r="AA99" s="73" t="str">
        <f>IF(Inventory!A97="","",Inventory!A97)</f>
        <v>LT-LV-LUM-10L-004</v>
      </c>
    </row>
    <row r="100" ht="14.25" customHeight="1">
      <c r="A100" s="82">
        <v>46219.0</v>
      </c>
      <c r="B100" s="83" t="s">
        <v>324</v>
      </c>
      <c r="C100" s="83" t="s">
        <v>365</v>
      </c>
      <c r="D100" s="83" t="s">
        <v>366</v>
      </c>
      <c r="E100" s="83"/>
      <c r="F100" s="83" t="s">
        <v>249</v>
      </c>
      <c r="G100" s="83" t="str">
        <f>IF($F100="","",IFERROR(VLOOKUP($F100,Inventory!$A:$B,2,FALSE),""))</f>
        <v>Cat Litter Mix Flavor 5L DR. Clump</v>
      </c>
      <c r="H100" s="83">
        <v>1.0</v>
      </c>
      <c r="I100" s="84">
        <f t="shared" si="2"/>
        <v>300</v>
      </c>
      <c r="J100" s="85">
        <f>IF($F100="","",IFERROR(VLOOKUP($F100,Inventory!$A:$K,11,FALSE),0))</f>
        <v>320</v>
      </c>
      <c r="K100" s="85">
        <v>20.0</v>
      </c>
      <c r="L100" s="85">
        <f t="shared" si="3"/>
        <v>300</v>
      </c>
      <c r="M100" s="83" t="s">
        <v>330</v>
      </c>
      <c r="N100" s="85">
        <f>IF($F100="","",IFERROR(VLOOKUP($F100,Inventory!$A:$I,9,FALSE),0))</f>
        <v>220</v>
      </c>
      <c r="O100" s="85">
        <f t="shared" si="4"/>
        <v>220</v>
      </c>
      <c r="P100" s="85">
        <f t="shared" si="5"/>
        <v>80</v>
      </c>
      <c r="Q100" s="83"/>
      <c r="R100" s="87" t="str">
        <f>IF($E100="","",IF(COUNTIF($E$7:$E100,$E100)&gt;1,"",IFERROR(VLOOKUP($E100,Orders!$A:$I,8,FALSE),"")))</f>
        <v/>
      </c>
      <c r="S100" s="87" t="str">
        <f>IF($E100="","",IF(COUNTIF($E$7:$E100,$E100)&gt;1,"",IFERROR(VLOOKUP($E100,Orders!$A:$I,9,FALSE),"")))</f>
        <v/>
      </c>
      <c r="T100" s="88">
        <f t="shared" si="6"/>
        <v>80</v>
      </c>
      <c r="U100" s="88">
        <f>IF($F100="","",IF($E100="",T100,SUMIF(Sales!$E$7:$E$1506,$E100,Sales!$T$7:$T$1506)))</f>
        <v>80</v>
      </c>
      <c r="V100" s="49" t="str">
        <f t="shared" si="7"/>
        <v/>
      </c>
      <c r="W100" s="49" t="str">
        <f t="array" ref="W100">IF($V100="","",SUMPRODUCT((Sales!$V$7:$V$1506&lt;&gt;"")*(Sales!$E$7:$E$1506&lt;$E100))+1)</f>
        <v/>
      </c>
      <c r="X100" s="49">
        <f t="shared" si="8"/>
        <v>93</v>
      </c>
      <c r="Y100" s="49" t="str">
        <f t="shared" si="9"/>
        <v>202607-93</v>
      </c>
      <c r="AA100" s="73" t="str">
        <f>IF(Inventory!A98="","",Inventory!A98)</f>
        <v>LT-LM-LUM-25L-001</v>
      </c>
    </row>
    <row r="101" ht="14.25" customHeight="1">
      <c r="A101" s="82">
        <v>46221.0</v>
      </c>
      <c r="B101" s="83" t="s">
        <v>324</v>
      </c>
      <c r="C101" s="83" t="s">
        <v>365</v>
      </c>
      <c r="D101" s="83" t="s">
        <v>366</v>
      </c>
      <c r="E101" s="83"/>
      <c r="F101" s="83" t="s">
        <v>249</v>
      </c>
      <c r="G101" s="83" t="str">
        <f>IF($F101="","",IFERROR(VLOOKUP($F101,Inventory!$A:$B,2,FALSE),""))</f>
        <v>Cat Litter Mix Flavor 5L DR. Clump</v>
      </c>
      <c r="H101" s="83">
        <v>1.0</v>
      </c>
      <c r="I101" s="84">
        <f t="shared" si="2"/>
        <v>300</v>
      </c>
      <c r="J101" s="85">
        <f>IF($F101="","",IFERROR(VLOOKUP($F101,Inventory!$A:$K,11,FALSE),0))</f>
        <v>320</v>
      </c>
      <c r="K101" s="85">
        <v>20.0</v>
      </c>
      <c r="L101" s="85">
        <f t="shared" si="3"/>
        <v>300</v>
      </c>
      <c r="M101" s="83" t="s">
        <v>330</v>
      </c>
      <c r="N101" s="85">
        <f>IF($F101="","",IFERROR(VLOOKUP($F101,Inventory!$A:$I,9,FALSE),0))</f>
        <v>220</v>
      </c>
      <c r="O101" s="85">
        <f t="shared" si="4"/>
        <v>220</v>
      </c>
      <c r="P101" s="85">
        <f t="shared" si="5"/>
        <v>80</v>
      </c>
      <c r="Q101" s="83"/>
      <c r="R101" s="87" t="str">
        <f>IF($E101="","",IF(COUNTIF($E$7:$E101,$E101)&gt;1,"",IFERROR(VLOOKUP($E101,Orders!$A:$I,8,FALSE),"")))</f>
        <v/>
      </c>
      <c r="S101" s="87" t="str">
        <f>IF($E101="","",IF(COUNTIF($E$7:$E101,$E101)&gt;1,"",IFERROR(VLOOKUP($E101,Orders!$A:$I,9,FALSE),"")))</f>
        <v/>
      </c>
      <c r="T101" s="88">
        <f t="shared" si="6"/>
        <v>80</v>
      </c>
      <c r="U101" s="88">
        <f>IF($F101="","",IF($E101="",T101,SUMIF(Sales!$E$7:$E$1506,$E101,Sales!$T$7:$T$1506)))</f>
        <v>80</v>
      </c>
      <c r="V101" s="49" t="str">
        <f t="shared" si="7"/>
        <v/>
      </c>
      <c r="W101" s="49" t="str">
        <f t="array" ref="W101">IF($V101="","",SUMPRODUCT((Sales!$V$7:$V$1506&lt;&gt;"")*(Sales!$E$7:$E$1506&lt;$E101))+1)</f>
        <v/>
      </c>
      <c r="X101" s="49">
        <f t="shared" si="8"/>
        <v>94</v>
      </c>
      <c r="Y101" s="49" t="str">
        <f t="shared" si="9"/>
        <v>202607-94</v>
      </c>
      <c r="AA101" s="73" t="str">
        <f>IF(Inventory!A99="","",Inventory!A99)</f>
        <v>LT-LV-LUM-25L-002</v>
      </c>
    </row>
    <row r="102" ht="14.25" customHeight="1">
      <c r="A102" s="82">
        <v>46232.0</v>
      </c>
      <c r="B102" s="83" t="s">
        <v>324</v>
      </c>
      <c r="C102" s="83" t="s">
        <v>365</v>
      </c>
      <c r="D102" s="83" t="s">
        <v>366</v>
      </c>
      <c r="E102" s="83"/>
      <c r="F102" s="83" t="s">
        <v>179</v>
      </c>
      <c r="G102" s="83" t="str">
        <f>IF($F102="","",IFERROR(VLOOKUP($F102,Inventory!$A:$B,2,FALSE),""))</f>
        <v>Creamy Treat 15G (Purry &amp; Hyper Paws)</v>
      </c>
      <c r="H102" s="83">
        <v>2.0</v>
      </c>
      <c r="I102" s="84">
        <f t="shared" si="2"/>
        <v>20</v>
      </c>
      <c r="J102" s="85">
        <f>IF($F102="","",IFERROR(VLOOKUP($F102,Inventory!$A:$K,11,FALSE),0))</f>
        <v>20</v>
      </c>
      <c r="K102" s="85"/>
      <c r="L102" s="85">
        <f t="shared" si="3"/>
        <v>40</v>
      </c>
      <c r="M102" s="83" t="s">
        <v>330</v>
      </c>
      <c r="N102" s="85">
        <f>IF($F102="","",IFERROR(VLOOKUP($F102,Inventory!$A:$I,9,FALSE),0))</f>
        <v>8.147411853</v>
      </c>
      <c r="O102" s="85">
        <f t="shared" si="4"/>
        <v>16.29482371</v>
      </c>
      <c r="P102" s="85">
        <f t="shared" si="5"/>
        <v>23.70517629</v>
      </c>
      <c r="Q102" s="83"/>
      <c r="R102" s="87" t="str">
        <f>IF($E102="","",IF(COUNTIF($E$7:$E102,$E102)&gt;1,"",IFERROR(VLOOKUP($E102,Orders!$A:$I,8,FALSE),"")))</f>
        <v/>
      </c>
      <c r="S102" s="87" t="str">
        <f>IF($E102="","",IF(COUNTIF($E$7:$E102,$E102)&gt;1,"",IFERROR(VLOOKUP($E102,Orders!$A:$I,9,FALSE),"")))</f>
        <v/>
      </c>
      <c r="T102" s="88">
        <f t="shared" si="6"/>
        <v>23.70517629</v>
      </c>
      <c r="U102" s="88">
        <f>IF($F102="","",IF($E102="",T102,SUMIF(Sales!$E$7:$E$1506,$E102,Sales!$T$7:$T$1506)))</f>
        <v>23.70517629</v>
      </c>
      <c r="V102" s="49" t="str">
        <f t="shared" si="7"/>
        <v/>
      </c>
      <c r="W102" s="49" t="str">
        <f t="array" ref="W102">IF($V102="","",SUMPRODUCT((Sales!$V$7:$V$1506&lt;&gt;"")*(Sales!$E$7:$E$1506&lt;$E102))+1)</f>
        <v/>
      </c>
      <c r="X102" s="49">
        <f t="shared" si="8"/>
        <v>95</v>
      </c>
      <c r="Y102" s="49" t="str">
        <f t="shared" si="9"/>
        <v>202607-95</v>
      </c>
      <c r="AA102" s="73" t="str">
        <f>IF(Inventory!A100="","",Inventory!A100)</f>
        <v>LT-LV-FT-25L-002</v>
      </c>
    </row>
    <row r="103" ht="14.25" customHeight="1">
      <c r="A103" s="82">
        <v>46232.0</v>
      </c>
      <c r="B103" s="83" t="s">
        <v>324</v>
      </c>
      <c r="C103" s="83" t="s">
        <v>365</v>
      </c>
      <c r="D103" s="83" t="s">
        <v>366</v>
      </c>
      <c r="E103" s="83"/>
      <c r="F103" s="83" t="s">
        <v>179</v>
      </c>
      <c r="G103" s="83" t="str">
        <f>IF($F103="","",IFERROR(VLOOKUP($F103,Inventory!$A:$B,2,FALSE),""))</f>
        <v>Creamy Treat 15G (Purry &amp; Hyper Paws)</v>
      </c>
      <c r="H103" s="83">
        <v>2.0</v>
      </c>
      <c r="I103" s="84">
        <f t="shared" si="2"/>
        <v>20</v>
      </c>
      <c r="J103" s="85">
        <f>IF($F103="","",IFERROR(VLOOKUP($F103,Inventory!$A:$K,11,FALSE),0))</f>
        <v>20</v>
      </c>
      <c r="K103" s="85"/>
      <c r="L103" s="85">
        <f t="shared" si="3"/>
        <v>40</v>
      </c>
      <c r="M103" s="83" t="s">
        <v>330</v>
      </c>
      <c r="N103" s="85">
        <f>IF($F103="","",IFERROR(VLOOKUP($F103,Inventory!$A:$I,9,FALSE),0))</f>
        <v>8.147411853</v>
      </c>
      <c r="O103" s="85">
        <f t="shared" si="4"/>
        <v>16.29482371</v>
      </c>
      <c r="P103" s="85">
        <f t="shared" si="5"/>
        <v>23.70517629</v>
      </c>
      <c r="Q103" s="83"/>
      <c r="R103" s="87" t="str">
        <f>IF($E103="","",IF(COUNTIF($E$7:$E103,$E103)&gt;1,"",IFERROR(VLOOKUP($E103,Orders!$A:$I,8,FALSE),"")))</f>
        <v/>
      </c>
      <c r="S103" s="87" t="str">
        <f>IF($E103="","",IF(COUNTIF($E$7:$E103,$E103)&gt;1,"",IFERROR(VLOOKUP($E103,Orders!$A:$I,9,FALSE),"")))</f>
        <v/>
      </c>
      <c r="T103" s="88">
        <f t="shared" si="6"/>
        <v>23.70517629</v>
      </c>
      <c r="U103" s="88">
        <f>IF($F103="","",IF($E103="",T103,SUMIF(Sales!$E$7:$E$1506,$E103,Sales!$T$7:$T$1506)))</f>
        <v>23.70517629</v>
      </c>
      <c r="V103" s="49" t="str">
        <f t="shared" si="7"/>
        <v/>
      </c>
      <c r="W103" s="49" t="str">
        <f t="array" ref="W103">IF($V103="","",SUMPRODUCT((Sales!$V$7:$V$1506&lt;&gt;"")*(Sales!$E$7:$E$1506&lt;$E103))+1)</f>
        <v/>
      </c>
      <c r="X103" s="49">
        <f t="shared" si="8"/>
        <v>96</v>
      </c>
      <c r="Y103" s="49" t="str">
        <f t="shared" si="9"/>
        <v>202607-96</v>
      </c>
      <c r="AA103" s="73" t="str">
        <f>IF(Inventory!A101="","",Inventory!A101)</f>
        <v>LT-CF-NT-25L-001</v>
      </c>
    </row>
    <row r="104" ht="14.25" customHeight="1">
      <c r="A104" s="82">
        <v>46232.0</v>
      </c>
      <c r="B104" s="83" t="s">
        <v>324</v>
      </c>
      <c r="C104" s="83" t="s">
        <v>365</v>
      </c>
      <c r="D104" s="83" t="s">
        <v>366</v>
      </c>
      <c r="E104" s="83"/>
      <c r="F104" s="83" t="s">
        <v>179</v>
      </c>
      <c r="G104" s="83" t="str">
        <f>IF($F104="","",IFERROR(VLOOKUP($F104,Inventory!$A:$B,2,FALSE),""))</f>
        <v>Creamy Treat 15G (Purry &amp; Hyper Paws)</v>
      </c>
      <c r="H104" s="83">
        <v>2.0</v>
      </c>
      <c r="I104" s="84">
        <f t="shared" si="2"/>
        <v>20</v>
      </c>
      <c r="J104" s="85">
        <f>IF($F104="","",IFERROR(VLOOKUP($F104,Inventory!$A:$K,11,FALSE),0))</f>
        <v>20</v>
      </c>
      <c r="K104" s="85"/>
      <c r="L104" s="85">
        <f t="shared" si="3"/>
        <v>40</v>
      </c>
      <c r="M104" s="83" t="s">
        <v>330</v>
      </c>
      <c r="N104" s="85">
        <f>IF($F104="","",IFERROR(VLOOKUP($F104,Inventory!$A:$I,9,FALSE),0))</f>
        <v>8.147411853</v>
      </c>
      <c r="O104" s="85">
        <f t="shared" si="4"/>
        <v>16.29482371</v>
      </c>
      <c r="P104" s="85">
        <f t="shared" si="5"/>
        <v>23.70517629</v>
      </c>
      <c r="Q104" s="83"/>
      <c r="R104" s="87" t="str">
        <f>IF($E104="","",IF(COUNTIF($E$7:$E104,$E104)&gt;1,"",IFERROR(VLOOKUP($E104,Orders!$A:$I,8,FALSE),"")))</f>
        <v/>
      </c>
      <c r="S104" s="87" t="str">
        <f>IF($E104="","",IF(COUNTIF($E$7:$E104,$E104)&gt;1,"",IFERROR(VLOOKUP($E104,Orders!$A:$I,9,FALSE),"")))</f>
        <v/>
      </c>
      <c r="T104" s="88">
        <f t="shared" si="6"/>
        <v>23.70517629</v>
      </c>
      <c r="U104" s="88">
        <f>IF($F104="","",IF($E104="",T104,SUMIF(Sales!$E$7:$E$1506,$E104,Sales!$T$7:$T$1506)))</f>
        <v>23.70517629</v>
      </c>
      <c r="V104" s="49" t="str">
        <f t="shared" si="7"/>
        <v/>
      </c>
      <c r="W104" s="49" t="str">
        <f t="array" ref="W104">IF($V104="","",SUMPRODUCT((Sales!$V$7:$V$1506&lt;&gt;"")*(Sales!$E$7:$E$1506&lt;$E104))+1)</f>
        <v/>
      </c>
      <c r="X104" s="49">
        <f t="shared" si="8"/>
        <v>97</v>
      </c>
      <c r="Y104" s="49" t="str">
        <f t="shared" si="9"/>
        <v>202607-97</v>
      </c>
      <c r="AA104" s="73" t="str">
        <f>IF(Inventory!A102="","",Inventory!A102)</f>
        <v>PO-KYF-100G-001</v>
      </c>
    </row>
    <row r="105" ht="14.25" customHeight="1">
      <c r="A105" s="82">
        <v>46232.0</v>
      </c>
      <c r="B105" s="83" t="s">
        <v>324</v>
      </c>
      <c r="C105" s="83" t="s">
        <v>365</v>
      </c>
      <c r="D105" s="83" t="s">
        <v>577</v>
      </c>
      <c r="E105" s="83"/>
      <c r="F105" s="83" t="s">
        <v>363</v>
      </c>
      <c r="G105" s="83" t="str">
        <f>IF($F105="","",IFERROR(VLOOKUP($F105,Inventory!$A:$B,2,FALSE),""))</f>
        <v>Petmetro Pouch Complite Balance - Chicken Receipe - 100g</v>
      </c>
      <c r="H105" s="83">
        <v>1.0</v>
      </c>
      <c r="I105" s="84">
        <f t="shared" si="2"/>
        <v>100</v>
      </c>
      <c r="J105" s="85">
        <f>IF($F105="","",IFERROR(VLOOKUP($F105,Inventory!$A:$K,11,FALSE),0))</f>
        <v>100</v>
      </c>
      <c r="K105" s="85"/>
      <c r="L105" s="85">
        <f t="shared" si="3"/>
        <v>100</v>
      </c>
      <c r="M105" s="83" t="s">
        <v>330</v>
      </c>
      <c r="N105" s="85">
        <f>IF($F105="","",IFERROR(VLOOKUP($F105,Inventory!$A:$I,9,FALSE),0))</f>
        <v>70</v>
      </c>
      <c r="O105" s="85">
        <f t="shared" si="4"/>
        <v>70</v>
      </c>
      <c r="P105" s="85">
        <f t="shared" si="5"/>
        <v>30</v>
      </c>
      <c r="Q105" s="83"/>
      <c r="R105" s="87" t="str">
        <f>IF($E105="","",IF(COUNTIF($E$7:$E105,$E105)&gt;1,"",IFERROR(VLOOKUP($E105,Orders!$A:$I,8,FALSE),"")))</f>
        <v/>
      </c>
      <c r="S105" s="87" t="str">
        <f>IF($E105="","",IF(COUNTIF($E$7:$E105,$E105)&gt;1,"",IFERROR(VLOOKUP($E105,Orders!$A:$I,9,FALSE),"")))</f>
        <v/>
      </c>
      <c r="T105" s="88">
        <f t="shared" si="6"/>
        <v>30</v>
      </c>
      <c r="U105" s="88">
        <f>IF($F105="","",IF($E105="",T105,SUMIF(Sales!$E$7:$E$1506,$E105,Sales!$T$7:$T$1506)))</f>
        <v>30</v>
      </c>
      <c r="V105" s="49" t="str">
        <f t="shared" si="7"/>
        <v/>
      </c>
      <c r="W105" s="49" t="str">
        <f t="array" ref="W105">IF($V105="","",SUMPRODUCT((Sales!$V$7:$V$1506&lt;&gt;"")*(Sales!$E$7:$E$1506&lt;$E105))+1)</f>
        <v/>
      </c>
      <c r="X105" s="49">
        <f t="shared" si="8"/>
        <v>98</v>
      </c>
      <c r="Y105" s="49" t="str">
        <f t="shared" si="9"/>
        <v>202607-98</v>
      </c>
      <c r="AA105" s="73" t="str">
        <f>IF(Inventory!A103="","",Inventory!A103)</f>
        <v>PO-Fuya-100G-001</v>
      </c>
    </row>
    <row r="106" ht="14.25" customHeight="1">
      <c r="A106" s="82">
        <v>46232.0</v>
      </c>
      <c r="B106" s="83" t="s">
        <v>324</v>
      </c>
      <c r="C106" s="83" t="s">
        <v>365</v>
      </c>
      <c r="D106" s="83" t="s">
        <v>366</v>
      </c>
      <c r="E106" s="83"/>
      <c r="F106" s="83" t="s">
        <v>168</v>
      </c>
      <c r="G106" s="83" t="str">
        <f>IF($F106="","",IFERROR(VLOOKUP($F106,Inventory!$A:$B,2,FALSE),""))</f>
        <v>Chonk All ages Chicken</v>
      </c>
      <c r="H106" s="83">
        <v>1.0</v>
      </c>
      <c r="I106" s="84">
        <f t="shared" si="2"/>
        <v>480</v>
      </c>
      <c r="J106" s="85">
        <f>IF($F106="","",IFERROR(VLOOKUP($F106,Inventory!$A:$K,11,FALSE),0))</f>
        <v>500</v>
      </c>
      <c r="K106" s="85">
        <v>20.0</v>
      </c>
      <c r="L106" s="85">
        <f t="shared" si="3"/>
        <v>480</v>
      </c>
      <c r="M106" s="83" t="s">
        <v>330</v>
      </c>
      <c r="N106" s="85">
        <f>IF($F106="","",IFERROR(VLOOKUP($F106,Inventory!$A:$I,9,FALSE),0))</f>
        <v>400</v>
      </c>
      <c r="O106" s="85">
        <f t="shared" si="4"/>
        <v>400</v>
      </c>
      <c r="P106" s="85">
        <f t="shared" si="5"/>
        <v>80</v>
      </c>
      <c r="Q106" s="83"/>
      <c r="R106" s="87" t="str">
        <f>IF($E106="","",IF(COUNTIF($E$7:$E106,$E106)&gt;1,"",IFERROR(VLOOKUP($E106,Orders!$A:$I,8,FALSE),"")))</f>
        <v/>
      </c>
      <c r="S106" s="87" t="str">
        <f>IF($E106="","",IF(COUNTIF($E$7:$E106,$E106)&gt;1,"",IFERROR(VLOOKUP($E106,Orders!$A:$I,9,FALSE),"")))</f>
        <v/>
      </c>
      <c r="T106" s="88">
        <f t="shared" si="6"/>
        <v>80</v>
      </c>
      <c r="U106" s="88">
        <f>IF($F106="","",IF($E106="",T106,SUMIF(Sales!$E$7:$E$1506,$E106,Sales!$T$7:$T$1506)))</f>
        <v>80</v>
      </c>
      <c r="V106" s="49" t="str">
        <f t="shared" si="7"/>
        <v/>
      </c>
      <c r="W106" s="49" t="str">
        <f t="array" ref="W106">IF($V106="","",SUMPRODUCT((Sales!$V$7:$V$1506&lt;&gt;"")*(Sales!$E$7:$E$1506&lt;$E106))+1)</f>
        <v/>
      </c>
      <c r="X106" s="49">
        <f t="shared" si="8"/>
        <v>99</v>
      </c>
      <c r="Y106" s="49" t="str">
        <f t="shared" si="9"/>
        <v>202607-99</v>
      </c>
      <c r="AA106" s="73" t="str">
        <f>IF(Inventory!A104="","",Inventory!A104)</f>
        <v>FD-MX-0002</v>
      </c>
    </row>
    <row r="107" ht="14.25" customHeight="1">
      <c r="A107" s="82">
        <v>46232.0</v>
      </c>
      <c r="B107" s="83" t="s">
        <v>324</v>
      </c>
      <c r="C107" s="83" t="s">
        <v>365</v>
      </c>
      <c r="D107" s="83" t="s">
        <v>366</v>
      </c>
      <c r="E107" s="83"/>
      <c r="F107" s="83" t="s">
        <v>256</v>
      </c>
      <c r="G107" s="83" t="str">
        <f>IF($F107="","",IFERROR(VLOOKUP($F107,Inventory!$A:$B,2,FALSE),""))</f>
        <v>Kitchen Flavor Grain Free Kitten 400G</v>
      </c>
      <c r="H107" s="83">
        <v>1.0</v>
      </c>
      <c r="I107" s="84">
        <f t="shared" si="2"/>
        <v>350</v>
      </c>
      <c r="J107" s="85">
        <f>IF($F107="","",IFERROR(VLOOKUP($F107,Inventory!$A:$K,11,FALSE),0))</f>
        <v>380</v>
      </c>
      <c r="K107" s="85">
        <v>30.0</v>
      </c>
      <c r="L107" s="85">
        <f t="shared" si="3"/>
        <v>350</v>
      </c>
      <c r="M107" s="83" t="s">
        <v>330</v>
      </c>
      <c r="N107" s="85">
        <f>IF($F107="","",IFERROR(VLOOKUP($F107,Inventory!$A:$I,9,FALSE),0))</f>
        <v>290</v>
      </c>
      <c r="O107" s="85">
        <f t="shared" si="4"/>
        <v>290</v>
      </c>
      <c r="P107" s="85">
        <f t="shared" si="5"/>
        <v>60</v>
      </c>
      <c r="Q107" s="83"/>
      <c r="R107" s="87" t="str">
        <f>IF($E107="","",IF(COUNTIF($E$7:$E107,$E107)&gt;1,"",IFERROR(VLOOKUP($E107,Orders!$A:$I,8,FALSE),"")))</f>
        <v/>
      </c>
      <c r="S107" s="87" t="str">
        <f>IF($E107="","",IF(COUNTIF($E$7:$E107,$E107)&gt;1,"",IFERROR(VLOOKUP($E107,Orders!$A:$I,9,FALSE),"")))</f>
        <v/>
      </c>
      <c r="T107" s="88">
        <f t="shared" si="6"/>
        <v>60</v>
      </c>
      <c r="U107" s="88">
        <f>IF($F107="","",IF($E107="",T107,SUMIF(Sales!$E$7:$E$1506,$E107,Sales!$T$7:$T$1506)))</f>
        <v>60</v>
      </c>
      <c r="V107" s="49" t="str">
        <f t="shared" si="7"/>
        <v/>
      </c>
      <c r="W107" s="49" t="str">
        <f t="array" ref="W107">IF($V107="","",SUMPRODUCT((Sales!$V$7:$V$1506&lt;&gt;"")*(Sales!$E$7:$E$1506&lt;$E107))+1)</f>
        <v/>
      </c>
      <c r="X107" s="49">
        <f t="shared" si="8"/>
        <v>100</v>
      </c>
      <c r="Y107" s="49" t="str">
        <f t="shared" si="9"/>
        <v>202607-100</v>
      </c>
      <c r="AA107" s="73" t="str">
        <f>IF(Inventory!A105="","",Inventory!A105)</f>
        <v>FD-DRY-DR-CAT-0001</v>
      </c>
    </row>
    <row r="108" ht="14.25" customHeight="1">
      <c r="A108" s="82">
        <v>46232.0</v>
      </c>
      <c r="B108" s="83" t="s">
        <v>324</v>
      </c>
      <c r="C108" s="83" t="s">
        <v>365</v>
      </c>
      <c r="D108" s="83" t="s">
        <v>366</v>
      </c>
      <c r="E108" s="83"/>
      <c r="F108" s="83" t="s">
        <v>234</v>
      </c>
      <c r="G108" s="83" t="str">
        <f>IF($F108="","",IFERROR(VLOOKUP($F108,Inventory!$A:$B,2,FALSE),""))</f>
        <v>Whiskas Junior Tuna Flavor</v>
      </c>
      <c r="H108" s="83">
        <v>1.0</v>
      </c>
      <c r="I108" s="84">
        <f t="shared" si="2"/>
        <v>95</v>
      </c>
      <c r="J108" s="85">
        <f>IF($F108="","",IFERROR(VLOOKUP($F108,Inventory!$A:$K,11,FALSE),0))</f>
        <v>95</v>
      </c>
      <c r="K108" s="85"/>
      <c r="L108" s="85">
        <f t="shared" si="3"/>
        <v>95</v>
      </c>
      <c r="M108" s="83" t="s">
        <v>330</v>
      </c>
      <c r="N108" s="85">
        <f>IF($F108="","",IFERROR(VLOOKUP($F108,Inventory!$A:$I,9,FALSE),0))</f>
        <v>74</v>
      </c>
      <c r="O108" s="85">
        <f t="shared" si="4"/>
        <v>74</v>
      </c>
      <c r="P108" s="85">
        <f t="shared" si="5"/>
        <v>21</v>
      </c>
      <c r="Q108" s="83"/>
      <c r="R108" s="87" t="str">
        <f>IF($E108="","",IF(COUNTIF($E$7:$E108,$E108)&gt;1,"",IFERROR(VLOOKUP($E108,Orders!$A:$I,8,FALSE),"")))</f>
        <v/>
      </c>
      <c r="S108" s="87" t="str">
        <f>IF($E108="","",IF(COUNTIF($E$7:$E108,$E108)&gt;1,"",IFERROR(VLOOKUP($E108,Orders!$A:$I,9,FALSE),"")))</f>
        <v/>
      </c>
      <c r="T108" s="88">
        <f t="shared" si="6"/>
        <v>21</v>
      </c>
      <c r="U108" s="88">
        <f>IF($F108="","",IF($E108="",T108,SUMIF(Sales!$E$7:$E$1506,$E108,Sales!$T$7:$T$1506)))</f>
        <v>21</v>
      </c>
      <c r="V108" s="49" t="str">
        <f t="shared" si="7"/>
        <v/>
      </c>
      <c r="W108" s="49" t="str">
        <f t="array" ref="W108">IF($V108="","",SUMPRODUCT((Sales!$V$7:$V$1506&lt;&gt;"")*(Sales!$E$7:$E$1506&lt;$E108))+1)</f>
        <v/>
      </c>
      <c r="X108" s="49">
        <f t="shared" si="8"/>
        <v>101</v>
      </c>
      <c r="Y108" s="49" t="str">
        <f t="shared" si="9"/>
        <v>202607-101</v>
      </c>
      <c r="AA108" s="73" t="str">
        <f>IF(Inventory!A106="","",Inventory!A106)</f>
        <v>TR-DR-BIS-110G-001</v>
      </c>
    </row>
    <row r="109" ht="14.25" customHeight="1">
      <c r="A109" s="82">
        <v>46233.0</v>
      </c>
      <c r="B109" s="83" t="s">
        <v>324</v>
      </c>
      <c r="C109" s="83" t="s">
        <v>365</v>
      </c>
      <c r="D109" s="83" t="s">
        <v>366</v>
      </c>
      <c r="E109" s="83"/>
      <c r="F109" s="83" t="s">
        <v>179</v>
      </c>
      <c r="G109" s="83" t="str">
        <f>IF($F109="","",IFERROR(VLOOKUP($F109,Inventory!$A:$B,2,FALSE),""))</f>
        <v>Creamy Treat 15G (Purry &amp; Hyper Paws)</v>
      </c>
      <c r="H109" s="83">
        <v>5.0</v>
      </c>
      <c r="I109" s="84">
        <f t="shared" si="2"/>
        <v>20</v>
      </c>
      <c r="J109" s="85">
        <f>IF($F109="","",IFERROR(VLOOKUP($F109,Inventory!$A:$K,11,FALSE),0))</f>
        <v>20</v>
      </c>
      <c r="K109" s="85"/>
      <c r="L109" s="85">
        <f t="shared" si="3"/>
        <v>100</v>
      </c>
      <c r="M109" s="83" t="s">
        <v>330</v>
      </c>
      <c r="N109" s="85">
        <f>IF($F109="","",IFERROR(VLOOKUP($F109,Inventory!$A:$I,9,FALSE),0))</f>
        <v>8.147411853</v>
      </c>
      <c r="O109" s="85">
        <f t="shared" si="4"/>
        <v>40.73705926</v>
      </c>
      <c r="P109" s="85">
        <f t="shared" si="5"/>
        <v>59.26294074</v>
      </c>
      <c r="Q109" s="83"/>
      <c r="R109" s="87" t="str">
        <f>IF($E109="","",IF(COUNTIF($E$7:$E109,$E109)&gt;1,"",IFERROR(VLOOKUP($E109,Orders!$A:$I,8,FALSE),"")))</f>
        <v/>
      </c>
      <c r="S109" s="87" t="str">
        <f>IF($E109="","",IF(COUNTIF($E$7:$E109,$E109)&gt;1,"",IFERROR(VLOOKUP($E109,Orders!$A:$I,9,FALSE),"")))</f>
        <v/>
      </c>
      <c r="T109" s="88">
        <f t="shared" si="6"/>
        <v>59.26294074</v>
      </c>
      <c r="U109" s="88">
        <f>IF($F109="","",IF($E109="",T109,SUMIF(Sales!$E$7:$E$1506,$E109,Sales!$T$7:$T$1506)))</f>
        <v>59.26294074</v>
      </c>
      <c r="V109" s="49" t="str">
        <f t="shared" si="7"/>
        <v/>
      </c>
      <c r="W109" s="49" t="str">
        <f t="array" ref="W109">IF($V109="","",SUMPRODUCT((Sales!$V$7:$V$1506&lt;&gt;"")*(Sales!$E$7:$E$1506&lt;$E109))+1)</f>
        <v/>
      </c>
      <c r="X109" s="49">
        <f t="shared" si="8"/>
        <v>102</v>
      </c>
      <c r="Y109" s="49" t="str">
        <f t="shared" si="9"/>
        <v>202607-102</v>
      </c>
      <c r="AA109" s="73" t="str">
        <f>IF(Inventory!A107="","",Inventory!A107)</f>
        <v>AC-PETME-001</v>
      </c>
    </row>
    <row r="110" ht="14.25" customHeight="1">
      <c r="A110" s="82">
        <v>46233.0</v>
      </c>
      <c r="B110" s="83" t="s">
        <v>324</v>
      </c>
      <c r="C110" s="83" t="s">
        <v>365</v>
      </c>
      <c r="D110" s="83" t="s">
        <v>366</v>
      </c>
      <c r="E110" s="83"/>
      <c r="F110" s="83" t="s">
        <v>370</v>
      </c>
      <c r="G110" s="83" t="str">
        <f>IF($F110="","",IFERROR(VLOOKUP($F110,Inventory!$A:$B,2,FALSE),""))</f>
        <v>PetMetro Cat Litter Apple 5L</v>
      </c>
      <c r="H110" s="83">
        <v>1.0</v>
      </c>
      <c r="I110" s="84">
        <f t="shared" si="2"/>
        <v>270</v>
      </c>
      <c r="J110" s="85">
        <f>IF($F110="","",IFERROR(VLOOKUP($F110,Inventory!$A:$K,11,FALSE),0))</f>
        <v>280</v>
      </c>
      <c r="K110" s="85">
        <v>10.0</v>
      </c>
      <c r="L110" s="85">
        <f t="shared" si="3"/>
        <v>270</v>
      </c>
      <c r="M110" s="83" t="s">
        <v>330</v>
      </c>
      <c r="N110" s="85">
        <f>IF($F110="","",IFERROR(VLOOKUP($F110,Inventory!$A:$I,9,FALSE),0))</f>
        <v>200</v>
      </c>
      <c r="O110" s="85">
        <f t="shared" si="4"/>
        <v>200</v>
      </c>
      <c r="P110" s="85">
        <f t="shared" si="5"/>
        <v>70</v>
      </c>
      <c r="Q110" s="83"/>
      <c r="R110" s="87" t="str">
        <f>IF($E110="","",IF(COUNTIF($E$7:$E110,$E110)&gt;1,"",IFERROR(VLOOKUP($E110,Orders!$A:$I,8,FALSE),"")))</f>
        <v/>
      </c>
      <c r="S110" s="87" t="str">
        <f>IF($E110="","",IF(COUNTIF($E$7:$E110,$E110)&gt;1,"",IFERROR(VLOOKUP($E110,Orders!$A:$I,9,FALSE),"")))</f>
        <v/>
      </c>
      <c r="T110" s="88">
        <f t="shared" si="6"/>
        <v>70</v>
      </c>
      <c r="U110" s="88">
        <f>IF($F110="","",IF($E110="",T110,SUMIF(Sales!$E$7:$E$1506,$E110,Sales!$T$7:$T$1506)))</f>
        <v>70</v>
      </c>
      <c r="V110" s="49" t="str">
        <f t="shared" si="7"/>
        <v/>
      </c>
      <c r="W110" s="49" t="str">
        <f t="array" ref="W110">IF($V110="","",SUMPRODUCT((Sales!$V$7:$V$1506&lt;&gt;"")*(Sales!$E$7:$E$1506&lt;$E110))+1)</f>
        <v/>
      </c>
      <c r="X110" s="49">
        <f t="shared" si="8"/>
        <v>103</v>
      </c>
      <c r="Y110" s="49" t="str">
        <f t="shared" si="9"/>
        <v>202607-103</v>
      </c>
      <c r="AA110" s="73" t="str">
        <f>IF(Inventory!A108="","",Inventory!A108)</f>
        <v>FD-DRY-Taipet-400G-001</v>
      </c>
    </row>
    <row r="111" ht="14.25" customHeight="1">
      <c r="A111" s="82">
        <v>46233.0</v>
      </c>
      <c r="B111" s="83" t="s">
        <v>324</v>
      </c>
      <c r="C111" s="83" t="s">
        <v>365</v>
      </c>
      <c r="D111" s="83" t="s">
        <v>366</v>
      </c>
      <c r="E111" s="83"/>
      <c r="F111" s="83" t="s">
        <v>271</v>
      </c>
      <c r="G111" s="83" t="str">
        <f>IF($F111="","",IFERROR(VLOOKUP($F111,Inventory!$A:$B,2,FALSE),""))</f>
        <v>Cat litter scooper</v>
      </c>
      <c r="H111" s="83">
        <v>1.0</v>
      </c>
      <c r="I111" s="84">
        <f t="shared" si="2"/>
        <v>60</v>
      </c>
      <c r="J111" s="85">
        <f>IF($F111="","",IFERROR(VLOOKUP($F111,Inventory!$A:$K,11,FALSE),0))</f>
        <v>80</v>
      </c>
      <c r="K111" s="85">
        <v>20.0</v>
      </c>
      <c r="L111" s="85">
        <f t="shared" si="3"/>
        <v>60</v>
      </c>
      <c r="M111" s="83" t="s">
        <v>330</v>
      </c>
      <c r="N111" s="85">
        <f>IF($F111="","",IFERROR(VLOOKUP($F111,Inventory!$A:$I,9,FALSE),0))</f>
        <v>35</v>
      </c>
      <c r="O111" s="85">
        <f t="shared" si="4"/>
        <v>35</v>
      </c>
      <c r="P111" s="85">
        <f t="shared" si="5"/>
        <v>25</v>
      </c>
      <c r="Q111" s="83"/>
      <c r="R111" s="87" t="str">
        <f>IF($E111="","",IF(COUNTIF($E$7:$E111,$E111)&gt;1,"",IFERROR(VLOOKUP($E111,Orders!$A:$I,8,FALSE),"")))</f>
        <v/>
      </c>
      <c r="S111" s="87" t="str">
        <f>IF($E111="","",IF(COUNTIF($E$7:$E111,$E111)&gt;1,"",IFERROR(VLOOKUP($E111,Orders!$A:$I,9,FALSE),"")))</f>
        <v/>
      </c>
      <c r="T111" s="88">
        <f t="shared" si="6"/>
        <v>25</v>
      </c>
      <c r="U111" s="88">
        <f>IF($F111="","",IF($E111="",T111,SUMIF(Sales!$E$7:$E$1506,$E111,Sales!$T$7:$T$1506)))</f>
        <v>25</v>
      </c>
      <c r="V111" s="49" t="str">
        <f t="shared" si="7"/>
        <v/>
      </c>
      <c r="W111" s="49" t="str">
        <f t="array" ref="W111">IF($V111="","",SUMPRODUCT((Sales!$V$7:$V$1506&lt;&gt;"")*(Sales!$E$7:$E$1506&lt;$E111))+1)</f>
        <v/>
      </c>
      <c r="X111" s="49">
        <f t="shared" si="8"/>
        <v>104</v>
      </c>
      <c r="Y111" s="49" t="str">
        <f t="shared" si="9"/>
        <v>202607-104</v>
      </c>
      <c r="AA111" s="73" t="str">
        <f>IF(Inventory!A109="","",Inventory!A109)</f>
        <v>FD-DRY-Taipet-KT-400G-002</v>
      </c>
    </row>
    <row r="112" ht="14.25" customHeight="1">
      <c r="A112" s="82">
        <v>46233.0</v>
      </c>
      <c r="B112" s="83" t="s">
        <v>324</v>
      </c>
      <c r="C112" s="83" t="s">
        <v>365</v>
      </c>
      <c r="D112" s="83" t="s">
        <v>366</v>
      </c>
      <c r="E112" s="83"/>
      <c r="F112" s="83" t="s">
        <v>179</v>
      </c>
      <c r="G112" s="83" t="str">
        <f>IF($F112="","",IFERROR(VLOOKUP($F112,Inventory!$A:$B,2,FALSE),""))</f>
        <v>Creamy Treat 15G (Purry &amp; Hyper Paws)</v>
      </c>
      <c r="H112" s="83">
        <v>5.0</v>
      </c>
      <c r="I112" s="84">
        <f t="shared" si="2"/>
        <v>20</v>
      </c>
      <c r="J112" s="85">
        <f>IF($F112="","",IFERROR(VLOOKUP($F112,Inventory!$A:$K,11,FALSE),0))</f>
        <v>20</v>
      </c>
      <c r="K112" s="85"/>
      <c r="L112" s="85">
        <f t="shared" si="3"/>
        <v>100</v>
      </c>
      <c r="M112" s="83" t="s">
        <v>330</v>
      </c>
      <c r="N112" s="85">
        <f>IF($F112="","",IFERROR(VLOOKUP($F112,Inventory!$A:$I,9,FALSE),0))</f>
        <v>8.147411853</v>
      </c>
      <c r="O112" s="85">
        <f t="shared" si="4"/>
        <v>40.73705926</v>
      </c>
      <c r="P112" s="85">
        <f t="shared" si="5"/>
        <v>59.26294074</v>
      </c>
      <c r="Q112" s="83"/>
      <c r="R112" s="87" t="str">
        <f>IF($E112="","",IF(COUNTIF($E$7:$E112,$E112)&gt;1,"",IFERROR(VLOOKUP($E112,Orders!$A:$I,8,FALSE),"")))</f>
        <v/>
      </c>
      <c r="S112" s="87" t="str">
        <f>IF($E112="","",IF(COUNTIF($E$7:$E112,$E112)&gt;1,"",IFERROR(VLOOKUP($E112,Orders!$A:$I,9,FALSE),"")))</f>
        <v/>
      </c>
      <c r="T112" s="88">
        <f t="shared" si="6"/>
        <v>59.26294074</v>
      </c>
      <c r="U112" s="88">
        <f>IF($F112="","",IF($E112="",T112,SUMIF(Sales!$E$7:$E$1506,$E112,Sales!$T$7:$T$1506)))</f>
        <v>59.26294074</v>
      </c>
      <c r="V112" s="49" t="str">
        <f t="shared" si="7"/>
        <v/>
      </c>
      <c r="W112" s="49" t="str">
        <f t="array" ref="W112">IF($V112="","",SUMPRODUCT((Sales!$V$7:$V$1506&lt;&gt;"")*(Sales!$E$7:$E$1506&lt;$E112))+1)</f>
        <v/>
      </c>
      <c r="X112" s="49">
        <f t="shared" si="8"/>
        <v>105</v>
      </c>
      <c r="Y112" s="49" t="str">
        <f t="shared" si="9"/>
        <v>202607-105</v>
      </c>
      <c r="AA112" s="73" t="str">
        <f>IF(Inventory!A110="","",Inventory!A110)</f>
        <v>FD-DRY-Taipet-1KG-001</v>
      </c>
    </row>
    <row r="113" ht="14.25" customHeight="1">
      <c r="A113" s="82">
        <v>46233.0</v>
      </c>
      <c r="B113" s="83" t="s">
        <v>324</v>
      </c>
      <c r="C113" s="83" t="s">
        <v>365</v>
      </c>
      <c r="D113" s="83" t="s">
        <v>366</v>
      </c>
      <c r="E113" s="83"/>
      <c r="F113" s="83" t="s">
        <v>104</v>
      </c>
      <c r="G113" s="83" t="str">
        <f>IF($F113="","",IFERROR(VLOOKUP($F113,Inventory!$A:$B,2,FALSE),""))</f>
        <v>Nekko Pouch Tuna in Jelly</v>
      </c>
      <c r="H113" s="83">
        <v>1.0</v>
      </c>
      <c r="I113" s="84">
        <f t="shared" si="2"/>
        <v>80</v>
      </c>
      <c r="J113" s="85">
        <f>IF($F113="","",IFERROR(VLOOKUP($F113,Inventory!$A:$K,11,FALSE),0))</f>
        <v>90</v>
      </c>
      <c r="K113" s="85">
        <v>10.0</v>
      </c>
      <c r="L113" s="85">
        <f t="shared" si="3"/>
        <v>80</v>
      </c>
      <c r="M113" s="83" t="s">
        <v>330</v>
      </c>
      <c r="N113" s="85">
        <f>IF($F113="","",IFERROR(VLOOKUP($F113,Inventory!$A:$I,9,FALSE),0))</f>
        <v>65.17241379</v>
      </c>
      <c r="O113" s="85">
        <f t="shared" si="4"/>
        <v>65.17241379</v>
      </c>
      <c r="P113" s="85">
        <f t="shared" si="5"/>
        <v>14.82758621</v>
      </c>
      <c r="Q113" s="83"/>
      <c r="R113" s="87" t="str">
        <f>IF($E113="","",IF(COUNTIF($E$7:$E113,$E113)&gt;1,"",IFERROR(VLOOKUP($E113,Orders!$A:$I,8,FALSE),"")))</f>
        <v/>
      </c>
      <c r="S113" s="87" t="str">
        <f>IF($E113="","",IF(COUNTIF($E$7:$E113,$E113)&gt;1,"",IFERROR(VLOOKUP($E113,Orders!$A:$I,9,FALSE),"")))</f>
        <v/>
      </c>
      <c r="T113" s="88">
        <f t="shared" si="6"/>
        <v>14.82758621</v>
      </c>
      <c r="U113" s="88">
        <f>IF($F113="","",IF($E113="",T113,SUMIF(Sales!$E$7:$E$1506,$E113,Sales!$T$7:$T$1506)))</f>
        <v>14.82758621</v>
      </c>
      <c r="V113" s="49" t="str">
        <f t="shared" si="7"/>
        <v/>
      </c>
      <c r="W113" s="49" t="str">
        <f t="array" ref="W113">IF($V113="","",SUMPRODUCT((Sales!$V$7:$V$1506&lt;&gt;"")*(Sales!$E$7:$E$1506&lt;$E113))+1)</f>
        <v/>
      </c>
      <c r="X113" s="49">
        <f t="shared" si="8"/>
        <v>106</v>
      </c>
      <c r="Y113" s="49" t="str">
        <f t="shared" si="9"/>
        <v>202607-106</v>
      </c>
      <c r="AA113" s="73" t="str">
        <f>IF(Inventory!A111="","",Inventory!A111)</f>
        <v>FD-DRY-Taipet-1KG-002</v>
      </c>
    </row>
    <row r="114" ht="14.25" customHeight="1">
      <c r="A114" s="82">
        <v>46233.0</v>
      </c>
      <c r="B114" s="83" t="s">
        <v>324</v>
      </c>
      <c r="C114" s="83" t="s">
        <v>365</v>
      </c>
      <c r="D114" s="83" t="s">
        <v>366</v>
      </c>
      <c r="E114" s="83"/>
      <c r="F114" s="83" t="s">
        <v>368</v>
      </c>
      <c r="G114" s="83" t="str">
        <f>IF($F114="","",IFERROR(VLOOKUP($F114,Inventory!$A:$B,2,FALSE),""))</f>
        <v>Petmetro Gino Pouch - Chicken &amp; Cat Grass - 100g</v>
      </c>
      <c r="H114" s="83">
        <v>1.0</v>
      </c>
      <c r="I114" s="84">
        <f t="shared" si="2"/>
        <v>100</v>
      </c>
      <c r="J114" s="85">
        <f>IF($F114="","",IFERROR(VLOOKUP($F114,Inventory!$A:$K,11,FALSE),0))</f>
        <v>110</v>
      </c>
      <c r="K114" s="85">
        <v>10.0</v>
      </c>
      <c r="L114" s="85">
        <f t="shared" si="3"/>
        <v>100</v>
      </c>
      <c r="M114" s="83" t="s">
        <v>330</v>
      </c>
      <c r="N114" s="85">
        <f>IF($F114="","",IFERROR(VLOOKUP($F114,Inventory!$A:$I,9,FALSE),0))</f>
        <v>85</v>
      </c>
      <c r="O114" s="85">
        <f t="shared" si="4"/>
        <v>85</v>
      </c>
      <c r="P114" s="85">
        <f t="shared" si="5"/>
        <v>15</v>
      </c>
      <c r="Q114" s="83"/>
      <c r="R114" s="87" t="str">
        <f>IF($E114="","",IF(COUNTIF($E$7:$E114,$E114)&gt;1,"",IFERROR(VLOOKUP($E114,Orders!$A:$I,8,FALSE),"")))</f>
        <v/>
      </c>
      <c r="S114" s="87" t="str">
        <f>IF($E114="","",IF(COUNTIF($E$7:$E114,$E114)&gt;1,"",IFERROR(VLOOKUP($E114,Orders!$A:$I,9,FALSE),"")))</f>
        <v/>
      </c>
      <c r="T114" s="88">
        <f t="shared" si="6"/>
        <v>15</v>
      </c>
      <c r="U114" s="88">
        <f>IF($F114="","",IF($E114="",T114,SUMIF(Sales!$E$7:$E$1506,$E114,Sales!$T$7:$T$1506)))</f>
        <v>15</v>
      </c>
      <c r="V114" s="49" t="str">
        <f t="shared" si="7"/>
        <v/>
      </c>
      <c r="W114" s="49" t="str">
        <f t="array" ref="W114">IF($V114="","",SUMPRODUCT((Sales!$V$7:$V$1506&lt;&gt;"")*(Sales!$E$7:$E$1506&lt;$E114))+1)</f>
        <v/>
      </c>
      <c r="X114" s="49">
        <f t="shared" si="8"/>
        <v>107</v>
      </c>
      <c r="Y114" s="49" t="str">
        <f t="shared" si="9"/>
        <v>202607-107</v>
      </c>
      <c r="AA114" s="73" t="str">
        <f>IF(Inventory!A112="","",Inventory!A112)</f>
        <v>FD-DRY-ZOI-1KG-002</v>
      </c>
    </row>
    <row r="115" ht="14.25" customHeight="1">
      <c r="A115" s="82">
        <v>46233.0</v>
      </c>
      <c r="B115" s="83" t="s">
        <v>324</v>
      </c>
      <c r="C115" s="83" t="s">
        <v>365</v>
      </c>
      <c r="D115" s="83" t="s">
        <v>366</v>
      </c>
      <c r="E115" s="83"/>
      <c r="F115" s="83" t="s">
        <v>363</v>
      </c>
      <c r="G115" s="83" t="str">
        <f>IF($F115="","",IFERROR(VLOOKUP($F115,Inventory!$A:$B,2,FALSE),""))</f>
        <v>Petmetro Pouch Complite Balance - Chicken Receipe - 100g</v>
      </c>
      <c r="H115" s="83">
        <v>1.0</v>
      </c>
      <c r="I115" s="84">
        <f t="shared" si="2"/>
        <v>100</v>
      </c>
      <c r="J115" s="85">
        <f>IF($F115="","",IFERROR(VLOOKUP($F115,Inventory!$A:$K,11,FALSE),0))</f>
        <v>100</v>
      </c>
      <c r="K115" s="85"/>
      <c r="L115" s="85">
        <f t="shared" si="3"/>
        <v>100</v>
      </c>
      <c r="M115" s="83" t="s">
        <v>330</v>
      </c>
      <c r="N115" s="85">
        <f>IF($F115="","",IFERROR(VLOOKUP($F115,Inventory!$A:$I,9,FALSE),0))</f>
        <v>70</v>
      </c>
      <c r="O115" s="85">
        <f t="shared" si="4"/>
        <v>70</v>
      </c>
      <c r="P115" s="85">
        <f t="shared" si="5"/>
        <v>30</v>
      </c>
      <c r="Q115" s="83"/>
      <c r="R115" s="87" t="str">
        <f>IF($E115="","",IF(COUNTIF($E$7:$E115,$E115)&gt;1,"",IFERROR(VLOOKUP($E115,Orders!$A:$I,8,FALSE),"")))</f>
        <v/>
      </c>
      <c r="S115" s="87" t="str">
        <f>IF($E115="","",IF(COUNTIF($E$7:$E115,$E115)&gt;1,"",IFERROR(VLOOKUP($E115,Orders!$A:$I,9,FALSE),"")))</f>
        <v/>
      </c>
      <c r="T115" s="88">
        <f t="shared" si="6"/>
        <v>30</v>
      </c>
      <c r="U115" s="88">
        <f>IF($F115="","",IF($E115="",T115,SUMIF(Sales!$E$7:$E$1506,$E115,Sales!$T$7:$T$1506)))</f>
        <v>30</v>
      </c>
      <c r="V115" s="49" t="str">
        <f t="shared" si="7"/>
        <v/>
      </c>
      <c r="W115" s="49" t="str">
        <f t="array" ref="W115">IF($V115="","",SUMPRODUCT((Sales!$V$7:$V$1506&lt;&gt;"")*(Sales!$E$7:$E$1506&lt;$E115))+1)</f>
        <v/>
      </c>
      <c r="X115" s="49">
        <f t="shared" si="8"/>
        <v>108</v>
      </c>
      <c r="Y115" s="49" t="str">
        <f t="shared" si="9"/>
        <v>202607-108</v>
      </c>
      <c r="AA115" s="73" t="str">
        <f>IF(Inventory!A113="","",Inventory!A113)</f>
        <v>FD-DRY-SMHRT-450G-002</v>
      </c>
    </row>
    <row r="116" ht="14.25" customHeight="1">
      <c r="A116" s="82">
        <v>46233.0</v>
      </c>
      <c r="B116" s="83" t="s">
        <v>324</v>
      </c>
      <c r="C116" s="83" t="s">
        <v>365</v>
      </c>
      <c r="D116" s="83" t="s">
        <v>366</v>
      </c>
      <c r="E116" s="83"/>
      <c r="F116" s="83" t="s">
        <v>374</v>
      </c>
      <c r="G116" s="83" t="str">
        <f>IF($F116="","",IFERROR(VLOOKUP($F116,Inventory!$A:$B,2,FALSE),""))</f>
        <v>Cat Nip</v>
      </c>
      <c r="H116" s="83">
        <v>1.0</v>
      </c>
      <c r="I116" s="84">
        <f t="shared" si="2"/>
        <v>150</v>
      </c>
      <c r="J116" s="85">
        <f>IF($F116="","",IFERROR(VLOOKUP($F116,Inventory!$A:$K,11,FALSE),0))</f>
        <v>180</v>
      </c>
      <c r="K116" s="85">
        <v>30.0</v>
      </c>
      <c r="L116" s="85">
        <f t="shared" si="3"/>
        <v>150</v>
      </c>
      <c r="M116" s="83" t="s">
        <v>330</v>
      </c>
      <c r="N116" s="85">
        <f>IF($F116="","",IFERROR(VLOOKUP($F116,Inventory!$A:$I,9,FALSE),0))</f>
        <v>120</v>
      </c>
      <c r="O116" s="85">
        <f t="shared" si="4"/>
        <v>120</v>
      </c>
      <c r="P116" s="85">
        <f t="shared" si="5"/>
        <v>30</v>
      </c>
      <c r="Q116" s="83"/>
      <c r="R116" s="87" t="str">
        <f>IF($E116="","",IF(COUNTIF($E$7:$E116,$E116)&gt;1,"",IFERROR(VLOOKUP($E116,Orders!$A:$I,8,FALSE),"")))</f>
        <v/>
      </c>
      <c r="S116" s="87" t="str">
        <f>IF($E116="","",IF(COUNTIF($E$7:$E116,$E116)&gt;1,"",IFERROR(VLOOKUP($E116,Orders!$A:$I,9,FALSE),"")))</f>
        <v/>
      </c>
      <c r="T116" s="88">
        <f t="shared" si="6"/>
        <v>30</v>
      </c>
      <c r="U116" s="88">
        <f>IF($F116="","",IF($E116="",T116,SUMIF(Sales!$E$7:$E$1506,$E116,Sales!$T$7:$T$1506)))</f>
        <v>30</v>
      </c>
      <c r="V116" s="49" t="str">
        <f t="shared" si="7"/>
        <v/>
      </c>
      <c r="W116" s="49" t="str">
        <f t="array" ref="W116">IF($V116="","",SUMPRODUCT((Sales!$V$7:$V$1506&lt;&gt;"")*(Sales!$E$7:$E$1506&lt;$E116))+1)</f>
        <v/>
      </c>
      <c r="X116" s="49">
        <f t="shared" si="8"/>
        <v>109</v>
      </c>
      <c r="Y116" s="49" t="str">
        <f t="shared" si="9"/>
        <v>202607-109</v>
      </c>
      <c r="AA116" s="73" t="str">
        <f>IF(Inventory!A114="","",Inventory!A114)</f>
        <v>PO-TP-70G-003</v>
      </c>
    </row>
    <row r="117" ht="14.25" customHeight="1">
      <c r="A117" s="82">
        <v>46233.0</v>
      </c>
      <c r="B117" s="83" t="s">
        <v>324</v>
      </c>
      <c r="C117" s="83" t="s">
        <v>365</v>
      </c>
      <c r="D117" s="83" t="s">
        <v>366</v>
      </c>
      <c r="E117" s="83"/>
      <c r="F117" s="83" t="s">
        <v>179</v>
      </c>
      <c r="G117" s="83" t="str">
        <f>IF($F117="","",IFERROR(VLOOKUP($F117,Inventory!$A:$B,2,FALSE),""))</f>
        <v>Creamy Treat 15G (Purry &amp; Hyper Paws)</v>
      </c>
      <c r="H117" s="83">
        <v>5.0</v>
      </c>
      <c r="I117" s="84">
        <f t="shared" si="2"/>
        <v>20</v>
      </c>
      <c r="J117" s="85">
        <f>IF($F117="","",IFERROR(VLOOKUP($F117,Inventory!$A:$K,11,FALSE),0))</f>
        <v>20</v>
      </c>
      <c r="K117" s="85"/>
      <c r="L117" s="85">
        <f t="shared" si="3"/>
        <v>100</v>
      </c>
      <c r="M117" s="83" t="s">
        <v>330</v>
      </c>
      <c r="N117" s="85">
        <f>IF($F117="","",IFERROR(VLOOKUP($F117,Inventory!$A:$I,9,FALSE),0))</f>
        <v>8.147411853</v>
      </c>
      <c r="O117" s="85">
        <f t="shared" si="4"/>
        <v>40.73705926</v>
      </c>
      <c r="P117" s="85">
        <f t="shared" si="5"/>
        <v>59.26294074</v>
      </c>
      <c r="Q117" s="83"/>
      <c r="R117" s="87" t="str">
        <f>IF($E117="","",IF(COUNTIF($E$7:$E117,$E117)&gt;1,"",IFERROR(VLOOKUP($E117,Orders!$A:$I,8,FALSE),"")))</f>
        <v/>
      </c>
      <c r="S117" s="87" t="str">
        <f>IF($E117="","",IF(COUNTIF($E$7:$E117,$E117)&gt;1,"",IFERROR(VLOOKUP($E117,Orders!$A:$I,9,FALSE),"")))</f>
        <v/>
      </c>
      <c r="T117" s="88">
        <f t="shared" si="6"/>
        <v>59.26294074</v>
      </c>
      <c r="U117" s="88">
        <f>IF($F117="","",IF($E117="",T117,SUMIF(Sales!$E$7:$E$1506,$E117,Sales!$T$7:$T$1506)))</f>
        <v>59.26294074</v>
      </c>
      <c r="V117" s="49" t="str">
        <f t="shared" si="7"/>
        <v/>
      </c>
      <c r="W117" s="49" t="str">
        <f t="array" ref="W117">IF($V117="","",SUMPRODUCT((Sales!$V$7:$V$1506&lt;&gt;"")*(Sales!$E$7:$E$1506&lt;$E117))+1)</f>
        <v/>
      </c>
      <c r="X117" s="49">
        <f t="shared" si="8"/>
        <v>110</v>
      </c>
      <c r="Y117" s="49" t="str">
        <f t="shared" si="9"/>
        <v>202607-110</v>
      </c>
      <c r="AA117" s="73" t="str">
        <f>IF(Inventory!A115="","",Inventory!A115)</f>
        <v>PO-WET-WK-80G-002-KT</v>
      </c>
    </row>
    <row r="118" ht="14.25" customHeight="1">
      <c r="A118" s="82">
        <v>46233.0</v>
      </c>
      <c r="B118" s="83" t="s">
        <v>324</v>
      </c>
      <c r="C118" s="83" t="s">
        <v>365</v>
      </c>
      <c r="D118" s="83" t="s">
        <v>366</v>
      </c>
      <c r="E118" s="83"/>
      <c r="F118" s="83" t="s">
        <v>179</v>
      </c>
      <c r="G118" s="83" t="str">
        <f>IF($F118="","",IFERROR(VLOOKUP($F118,Inventory!$A:$B,2,FALSE),""))</f>
        <v>Creamy Treat 15G (Purry &amp; Hyper Paws)</v>
      </c>
      <c r="H118" s="83">
        <v>5.0</v>
      </c>
      <c r="I118" s="84">
        <f t="shared" si="2"/>
        <v>20</v>
      </c>
      <c r="J118" s="85">
        <f>IF($F118="","",IFERROR(VLOOKUP($F118,Inventory!$A:$K,11,FALSE),0))</f>
        <v>20</v>
      </c>
      <c r="K118" s="85"/>
      <c r="L118" s="85">
        <f t="shared" si="3"/>
        <v>100</v>
      </c>
      <c r="M118" s="83" t="s">
        <v>330</v>
      </c>
      <c r="N118" s="85">
        <f>IF($F118="","",IFERROR(VLOOKUP($F118,Inventory!$A:$I,9,FALSE),0))</f>
        <v>8.147411853</v>
      </c>
      <c r="O118" s="85">
        <f t="shared" si="4"/>
        <v>40.73705926</v>
      </c>
      <c r="P118" s="85">
        <f t="shared" si="5"/>
        <v>59.26294074</v>
      </c>
      <c r="Q118" s="83"/>
      <c r="R118" s="87" t="str">
        <f>IF($E118="","",IF(COUNTIF($E$7:$E118,$E118)&gt;1,"",IFERROR(VLOOKUP($E118,Orders!$A:$I,8,FALSE),"")))</f>
        <v/>
      </c>
      <c r="S118" s="87" t="str">
        <f>IF($E118="","",IF(COUNTIF($E$7:$E118,$E118)&gt;1,"",IFERROR(VLOOKUP($E118,Orders!$A:$I,9,FALSE),"")))</f>
        <v/>
      </c>
      <c r="T118" s="88">
        <f t="shared" si="6"/>
        <v>59.26294074</v>
      </c>
      <c r="U118" s="88">
        <f>IF($F118="","",IF($E118="",T118,SUMIF(Sales!$E$7:$E$1506,$E118,Sales!$T$7:$T$1506)))</f>
        <v>59.26294074</v>
      </c>
      <c r="V118" s="49" t="str">
        <f t="shared" si="7"/>
        <v/>
      </c>
      <c r="W118" s="49" t="str">
        <f t="array" ref="W118">IF($V118="","",SUMPRODUCT((Sales!$V$7:$V$1506&lt;&gt;"")*(Sales!$E$7:$E$1506&lt;$E118))+1)</f>
        <v/>
      </c>
      <c r="X118" s="49">
        <f t="shared" si="8"/>
        <v>111</v>
      </c>
      <c r="Y118" s="49" t="str">
        <f t="shared" si="9"/>
        <v>202607-111</v>
      </c>
      <c r="AA118" s="73" t="str">
        <f>IF(Inventory!A116="","",Inventory!A116)</f>
        <v>PO-WET-BL-85G-001</v>
      </c>
    </row>
    <row r="119" ht="14.25" customHeight="1">
      <c r="A119" s="82">
        <v>46233.0</v>
      </c>
      <c r="B119" s="83" t="s">
        <v>324</v>
      </c>
      <c r="C119" s="83" t="s">
        <v>365</v>
      </c>
      <c r="D119" s="83" t="s">
        <v>366</v>
      </c>
      <c r="E119" s="83"/>
      <c r="F119" s="83" t="s">
        <v>179</v>
      </c>
      <c r="G119" s="83" t="str">
        <f>IF($F119="","",IFERROR(VLOOKUP($F119,Inventory!$A:$B,2,FALSE),""))</f>
        <v>Creamy Treat 15G (Purry &amp; Hyper Paws)</v>
      </c>
      <c r="H119" s="83">
        <v>5.0</v>
      </c>
      <c r="I119" s="84">
        <f t="shared" si="2"/>
        <v>20</v>
      </c>
      <c r="J119" s="85">
        <f>IF($F119="","",IFERROR(VLOOKUP($F119,Inventory!$A:$K,11,FALSE),0))</f>
        <v>20</v>
      </c>
      <c r="K119" s="85"/>
      <c r="L119" s="85">
        <f t="shared" si="3"/>
        <v>100</v>
      </c>
      <c r="M119" s="83" t="s">
        <v>330</v>
      </c>
      <c r="N119" s="85">
        <f>IF($F119="","",IFERROR(VLOOKUP($F119,Inventory!$A:$I,9,FALSE),0))</f>
        <v>8.147411853</v>
      </c>
      <c r="O119" s="85">
        <f t="shared" si="4"/>
        <v>40.73705926</v>
      </c>
      <c r="P119" s="85">
        <f t="shared" si="5"/>
        <v>59.26294074</v>
      </c>
      <c r="Q119" s="83"/>
      <c r="R119" s="87" t="str">
        <f>IF($E119="","",IF(COUNTIF($E$7:$E119,$E119)&gt;1,"",IFERROR(VLOOKUP($E119,Orders!$A:$I,8,FALSE),"")))</f>
        <v/>
      </c>
      <c r="S119" s="87" t="str">
        <f>IF($E119="","",IF(COUNTIF($E$7:$E119,$E119)&gt;1,"",IFERROR(VLOOKUP($E119,Orders!$A:$I,9,FALSE),"")))</f>
        <v/>
      </c>
      <c r="T119" s="88">
        <f t="shared" si="6"/>
        <v>59.26294074</v>
      </c>
      <c r="U119" s="88">
        <f>IF($F119="","",IF($E119="",T119,SUMIF(Sales!$E$7:$E$1506,$E119,Sales!$T$7:$T$1506)))</f>
        <v>59.26294074</v>
      </c>
      <c r="V119" s="49" t="str">
        <f t="shared" si="7"/>
        <v/>
      </c>
      <c r="W119" s="49" t="str">
        <f t="array" ref="W119">IF($V119="","",SUMPRODUCT((Sales!$V$7:$V$1506&lt;&gt;"")*(Sales!$E$7:$E$1506&lt;$E119))+1)</f>
        <v/>
      </c>
      <c r="X119" s="49">
        <f t="shared" si="8"/>
        <v>112</v>
      </c>
      <c r="Y119" s="49" t="str">
        <f t="shared" si="9"/>
        <v>202607-112</v>
      </c>
      <c r="AA119" s="73" t="str">
        <f>IF(Inventory!A117="","",Inventory!A117)</f>
        <v>PO-WET-BL-85G-002</v>
      </c>
    </row>
    <row r="120" ht="14.25" customHeight="1">
      <c r="A120" s="82">
        <v>46233.0</v>
      </c>
      <c r="B120" s="83" t="s">
        <v>428</v>
      </c>
      <c r="C120" s="83" t="s">
        <v>365</v>
      </c>
      <c r="D120" s="83" t="s">
        <v>366</v>
      </c>
      <c r="E120" s="83"/>
      <c r="F120" s="83" t="s">
        <v>179</v>
      </c>
      <c r="G120" s="83" t="str">
        <f>IF($F120="","",IFERROR(VLOOKUP($F120,Inventory!$A:$B,2,FALSE),""))</f>
        <v>Creamy Treat 15G (Purry &amp; Hyper Paws)</v>
      </c>
      <c r="H120" s="83">
        <v>1.0</v>
      </c>
      <c r="I120" s="84">
        <f t="shared" si="2"/>
        <v>0</v>
      </c>
      <c r="J120" s="85">
        <f>IF($F120="","",IFERROR(VLOOKUP($F120,Inventory!$A:$K,11,FALSE),0))</f>
        <v>20</v>
      </c>
      <c r="K120" s="85"/>
      <c r="L120" s="85">
        <f t="shared" si="3"/>
        <v>0</v>
      </c>
      <c r="M120" s="83" t="s">
        <v>330</v>
      </c>
      <c r="N120" s="85">
        <f>IF($F120="","",IFERROR(VLOOKUP($F120,Inventory!$A:$I,9,FALSE),0))</f>
        <v>8.147411853</v>
      </c>
      <c r="O120" s="85">
        <f t="shared" si="4"/>
        <v>8.147411853</v>
      </c>
      <c r="P120" s="85">
        <f t="shared" si="5"/>
        <v>-8.147411853</v>
      </c>
      <c r="Q120" s="83"/>
      <c r="R120" s="87" t="str">
        <f>IF($E120="","",IF(COUNTIF($E$7:$E120,$E120)&gt;1,"",IFERROR(VLOOKUP($E120,Orders!$A:$I,8,FALSE),"")))</f>
        <v/>
      </c>
      <c r="S120" s="87" t="str">
        <f>IF($E120="","",IF(COUNTIF($E$7:$E120,$E120)&gt;1,"",IFERROR(VLOOKUP($E120,Orders!$A:$I,9,FALSE),"")))</f>
        <v/>
      </c>
      <c r="T120" s="88">
        <f t="shared" si="6"/>
        <v>-8.147411853</v>
      </c>
      <c r="U120" s="88">
        <f>IF($F120="","",IF($E120="",T120,SUMIF(Sales!$E$7:$E$1506,$E120,Sales!$T$7:$T$1506)))</f>
        <v>-8.147411853</v>
      </c>
      <c r="V120" s="49" t="str">
        <f t="shared" si="7"/>
        <v/>
      </c>
      <c r="W120" s="49" t="str">
        <f t="array" ref="W120">IF($V120="","",SUMPRODUCT((Sales!$V$7:$V$1506&lt;&gt;"")*(Sales!$E$7:$E$1506&lt;$E120))+1)</f>
        <v/>
      </c>
      <c r="X120" s="49">
        <f t="shared" si="8"/>
        <v>113</v>
      </c>
      <c r="Y120" s="49" t="str">
        <f t="shared" si="9"/>
        <v>202607-113</v>
      </c>
      <c r="AA120" s="73" t="str">
        <f>IF(Inventory!A118="","",Inventory!A118)</f>
        <v>FD-DRY-JUN-1.5KG-001</v>
      </c>
    </row>
    <row r="121" ht="14.25" customHeight="1">
      <c r="A121" s="82">
        <v>46233.0</v>
      </c>
      <c r="B121" s="83" t="s">
        <v>324</v>
      </c>
      <c r="C121" s="83" t="s">
        <v>365</v>
      </c>
      <c r="D121" s="83" t="s">
        <v>366</v>
      </c>
      <c r="E121" s="83"/>
      <c r="F121" s="83" t="s">
        <v>238</v>
      </c>
      <c r="G121" s="83" t="str">
        <f>IF($F121="","",IFERROR(VLOOKUP($F121,Inventory!$A:$B,2,FALSE),""))</f>
        <v>Pet Nail Clippers Small</v>
      </c>
      <c r="H121" s="83">
        <v>1.0</v>
      </c>
      <c r="I121" s="84">
        <f t="shared" si="2"/>
        <v>150</v>
      </c>
      <c r="J121" s="85">
        <f>IF($F121="","",IFERROR(VLOOKUP($F121,Inventory!$A:$K,11,FALSE),0))</f>
        <v>180</v>
      </c>
      <c r="K121" s="85">
        <v>30.0</v>
      </c>
      <c r="L121" s="85">
        <f t="shared" si="3"/>
        <v>150</v>
      </c>
      <c r="M121" s="83" t="s">
        <v>330</v>
      </c>
      <c r="N121" s="85">
        <f>IF($F121="","",IFERROR(VLOOKUP($F121,Inventory!$A:$I,9,FALSE),0))</f>
        <v>120</v>
      </c>
      <c r="O121" s="85">
        <f t="shared" si="4"/>
        <v>120</v>
      </c>
      <c r="P121" s="85">
        <f t="shared" si="5"/>
        <v>30</v>
      </c>
      <c r="Q121" s="83"/>
      <c r="R121" s="87" t="str">
        <f>IF($E121="","",IF(COUNTIF($E$7:$E121,$E121)&gt;1,"",IFERROR(VLOOKUP($E121,Orders!$A:$I,8,FALSE),"")))</f>
        <v/>
      </c>
      <c r="S121" s="87" t="str">
        <f>IF($E121="","",IF(COUNTIF($E$7:$E121,$E121)&gt;1,"",IFERROR(VLOOKUP($E121,Orders!$A:$I,9,FALSE),"")))</f>
        <v/>
      </c>
      <c r="T121" s="88">
        <f t="shared" si="6"/>
        <v>30</v>
      </c>
      <c r="U121" s="88">
        <f>IF($F121="","",IF($E121="",T121,SUMIF(Sales!$E$7:$E$1506,$E121,Sales!$T$7:$T$1506)))</f>
        <v>30</v>
      </c>
      <c r="V121" s="49" t="str">
        <f t="shared" si="7"/>
        <v/>
      </c>
      <c r="W121" s="49" t="str">
        <f t="array" ref="W121">IF($V121="","",SUMPRODUCT((Sales!$V$7:$V$1506&lt;&gt;"")*(Sales!$E$7:$E$1506&lt;$E121))+1)</f>
        <v/>
      </c>
      <c r="X121" s="49">
        <f t="shared" si="8"/>
        <v>114</v>
      </c>
      <c r="Y121" s="49" t="str">
        <f t="shared" si="9"/>
        <v>202607-114</v>
      </c>
      <c r="AA121" s="73" t="str">
        <f>IF(Inventory!A119="","",Inventory!A119)</f>
        <v>LT-LM-DR-10L-001</v>
      </c>
    </row>
    <row r="122" ht="14.25" customHeight="1">
      <c r="A122" s="82">
        <v>46233.0</v>
      </c>
      <c r="B122" s="83" t="s">
        <v>324</v>
      </c>
      <c r="C122" s="83" t="s">
        <v>365</v>
      </c>
      <c r="D122" s="83" t="s">
        <v>366</v>
      </c>
      <c r="E122" s="83"/>
      <c r="F122" s="83" t="s">
        <v>179</v>
      </c>
      <c r="G122" s="83" t="str">
        <f>IF($F122="","",IFERROR(VLOOKUP($F122,Inventory!$A:$B,2,FALSE),""))</f>
        <v>Creamy Treat 15G (Purry &amp; Hyper Paws)</v>
      </c>
      <c r="H122" s="83">
        <v>1.0</v>
      </c>
      <c r="I122" s="84">
        <f t="shared" si="2"/>
        <v>20</v>
      </c>
      <c r="J122" s="85">
        <f>IF($F122="","",IFERROR(VLOOKUP($F122,Inventory!$A:$K,11,FALSE),0))</f>
        <v>20</v>
      </c>
      <c r="K122" s="85"/>
      <c r="L122" s="85">
        <f t="shared" si="3"/>
        <v>20</v>
      </c>
      <c r="M122" s="83" t="s">
        <v>330</v>
      </c>
      <c r="N122" s="85">
        <f>IF($F122="","",IFERROR(VLOOKUP($F122,Inventory!$A:$I,9,FALSE),0))</f>
        <v>8.147411853</v>
      </c>
      <c r="O122" s="85">
        <f t="shared" si="4"/>
        <v>8.147411853</v>
      </c>
      <c r="P122" s="85">
        <f t="shared" si="5"/>
        <v>11.85258815</v>
      </c>
      <c r="Q122" s="83"/>
      <c r="R122" s="87" t="str">
        <f>IF($E122="","",IF(COUNTIF($E$7:$E122,$E122)&gt;1,"",IFERROR(VLOOKUP($E122,Orders!$A:$I,8,FALSE),"")))</f>
        <v/>
      </c>
      <c r="S122" s="87" t="str">
        <f>IF($E122="","",IF(COUNTIF($E$7:$E122,$E122)&gt;1,"",IFERROR(VLOOKUP($E122,Orders!$A:$I,9,FALSE),"")))</f>
        <v/>
      </c>
      <c r="T122" s="88">
        <f t="shared" si="6"/>
        <v>11.85258815</v>
      </c>
      <c r="U122" s="88">
        <f>IF($F122="","",IF($E122="",T122,SUMIF(Sales!$E$7:$E$1506,$E122,Sales!$T$7:$T$1506)))</f>
        <v>11.85258815</v>
      </c>
      <c r="V122" s="49" t="str">
        <f t="shared" si="7"/>
        <v/>
      </c>
      <c r="W122" s="49" t="str">
        <f t="array" ref="W122">IF($V122="","",SUMPRODUCT((Sales!$V$7:$V$1506&lt;&gt;"")*(Sales!$E$7:$E$1506&lt;$E122))+1)</f>
        <v/>
      </c>
      <c r="X122" s="49">
        <f t="shared" si="8"/>
        <v>115</v>
      </c>
      <c r="Y122" s="49" t="str">
        <f t="shared" si="9"/>
        <v>202607-115</v>
      </c>
      <c r="AA122" s="73" t="str">
        <f>IF(Inventory!A120="","",Inventory!A120)</f>
        <v>CN-SMR-375G-001</v>
      </c>
    </row>
    <row r="123" ht="14.25" customHeight="1">
      <c r="A123" s="82">
        <v>46233.0</v>
      </c>
      <c r="B123" s="83" t="s">
        <v>324</v>
      </c>
      <c r="C123" s="83" t="s">
        <v>325</v>
      </c>
      <c r="D123" s="83" t="s">
        <v>578</v>
      </c>
      <c r="E123" s="83" t="s">
        <v>579</v>
      </c>
      <c r="F123" s="83" t="s">
        <v>132</v>
      </c>
      <c r="G123" s="83" t="str">
        <f>IF($F123="","",IFERROR(VLOOKUP($F123,Inventory!$A:$B,2,FALSE),""))</f>
        <v>Bengal Flea &amp; Tick Shampoo</v>
      </c>
      <c r="H123" s="83">
        <v>1.0</v>
      </c>
      <c r="I123" s="84">
        <f t="shared" si="2"/>
        <v>380</v>
      </c>
      <c r="J123" s="85">
        <f>IF($F123="","",IFERROR(VLOOKUP($F123,Inventory!$A:$K,11,FALSE),0))</f>
        <v>400</v>
      </c>
      <c r="K123" s="85">
        <v>20.0</v>
      </c>
      <c r="L123" s="85">
        <f t="shared" si="3"/>
        <v>380</v>
      </c>
      <c r="M123" s="83" t="s">
        <v>330</v>
      </c>
      <c r="N123" s="85">
        <f>IF($F123="","",IFERROR(VLOOKUP($F123,Inventory!$A:$I,9,FALSE),0))</f>
        <v>240</v>
      </c>
      <c r="O123" s="85">
        <f t="shared" si="4"/>
        <v>240</v>
      </c>
      <c r="P123" s="85">
        <f t="shared" si="5"/>
        <v>140</v>
      </c>
      <c r="Q123" s="83"/>
      <c r="R123" s="87">
        <f>IF($E123="","",IF(COUNTIF($E$7:$E123,$E123)&gt;1,"",IFERROR(VLOOKUP($E123,Orders!$A:$I,8,FALSE),"")))</f>
        <v>80</v>
      </c>
      <c r="S123" s="87">
        <f>IF($E123="","",IF(COUNTIF($E$7:$E123,$E123)&gt;1,"",IFERROR(VLOOKUP($E123,Orders!$A:$I,9,FALSE),"")))</f>
        <v>80</v>
      </c>
      <c r="T123" s="88">
        <f t="shared" si="6"/>
        <v>140</v>
      </c>
      <c r="U123" s="88">
        <f>IF($F123="","",IF($E123="",T123,SUMIF(Sales!$E$7:$E$1506,$E123,Sales!$T$7:$T$1506)))</f>
        <v>140</v>
      </c>
      <c r="V123" s="49">
        <f t="shared" si="7"/>
        <v>7</v>
      </c>
      <c r="W123" s="49">
        <f t="array" ref="W123">IF($V123="","",SUMPRODUCT((Sales!$V$7:$V$1506&lt;&gt;"")*(Sales!$E$7:$E$1506&lt;$E123))+1)</f>
        <v>7</v>
      </c>
      <c r="X123" s="49">
        <f t="shared" si="8"/>
        <v>116</v>
      </c>
      <c r="Y123" s="49" t="str">
        <f t="shared" si="9"/>
        <v>202607-116</v>
      </c>
      <c r="AA123" s="73" t="str">
        <f>IF(Inventory!A121="","",Inventory!A121)</f>
        <v>AC-EC-0001</v>
      </c>
    </row>
    <row r="124" ht="14.25" customHeight="1">
      <c r="A124" s="82">
        <v>46234.0</v>
      </c>
      <c r="B124" s="83" t="s">
        <v>324</v>
      </c>
      <c r="C124" s="83" t="s">
        <v>365</v>
      </c>
      <c r="D124" s="83" t="s">
        <v>366</v>
      </c>
      <c r="E124" s="83"/>
      <c r="F124" s="83" t="s">
        <v>372</v>
      </c>
      <c r="G124" s="83" t="str">
        <f>IF($F124="","",IFERROR(VLOOKUP($F124,Inventory!$A:$B,2,FALSE),""))</f>
        <v>Premium Pet Collar Multicolor</v>
      </c>
      <c r="H124" s="83">
        <v>1.0</v>
      </c>
      <c r="I124" s="84">
        <f t="shared" si="2"/>
        <v>60</v>
      </c>
      <c r="J124" s="85">
        <f>IF($F124="","",IFERROR(VLOOKUP($F124,Inventory!$A:$K,11,FALSE),0))</f>
        <v>75</v>
      </c>
      <c r="K124" s="85">
        <v>15.0</v>
      </c>
      <c r="L124" s="85">
        <f t="shared" si="3"/>
        <v>60</v>
      </c>
      <c r="M124" s="83" t="s">
        <v>330</v>
      </c>
      <c r="N124" s="85">
        <f>IF($F124="","",IFERROR(VLOOKUP($F124,Inventory!$A:$I,9,FALSE),0))</f>
        <v>37</v>
      </c>
      <c r="O124" s="85">
        <f t="shared" si="4"/>
        <v>37</v>
      </c>
      <c r="P124" s="85">
        <f t="shared" si="5"/>
        <v>23</v>
      </c>
      <c r="Q124" s="83"/>
      <c r="R124" s="87" t="str">
        <f>IF($E124="","",IF(COUNTIF($E$7:$E124,$E124)&gt;1,"",IFERROR(VLOOKUP($E124,Orders!$A:$I,8,FALSE),"")))</f>
        <v/>
      </c>
      <c r="S124" s="87" t="str">
        <f>IF($E124="","",IF(COUNTIF($E$7:$E124,$E124)&gt;1,"",IFERROR(VLOOKUP($E124,Orders!$A:$I,9,FALSE),"")))</f>
        <v/>
      </c>
      <c r="T124" s="88">
        <f t="shared" si="6"/>
        <v>23</v>
      </c>
      <c r="U124" s="88">
        <f>IF($F124="","",IF($E124="",T124,SUMIF(Sales!$E$7:$E$1506,$E124,Sales!$T$7:$T$1506)))</f>
        <v>23</v>
      </c>
      <c r="V124" s="49" t="str">
        <f t="shared" si="7"/>
        <v/>
      </c>
      <c r="W124" s="49" t="str">
        <f t="array" ref="W124">IF($V124="","",SUMPRODUCT((Sales!$V$7:$V$1506&lt;&gt;"")*(Sales!$E$7:$E$1506&lt;$E124))+1)</f>
        <v/>
      </c>
      <c r="X124" s="49">
        <f t="shared" si="8"/>
        <v>117</v>
      </c>
      <c r="Y124" s="49" t="str">
        <f t="shared" si="9"/>
        <v>202607-117</v>
      </c>
      <c r="AA124" s="73" t="str">
        <f>IF(Inventory!A122="","",Inventory!A122)</f>
        <v>AC-MT-0001</v>
      </c>
    </row>
    <row r="125" ht="14.25" customHeight="1">
      <c r="A125" s="82">
        <v>46234.0</v>
      </c>
      <c r="B125" s="83" t="s">
        <v>324</v>
      </c>
      <c r="C125" s="83" t="s">
        <v>365</v>
      </c>
      <c r="D125" s="83" t="s">
        <v>366</v>
      </c>
      <c r="E125" s="83"/>
      <c r="F125" s="83" t="s">
        <v>132</v>
      </c>
      <c r="G125" s="83" t="str">
        <f>IF($F125="","",IFERROR(VLOOKUP($F125,Inventory!$A:$B,2,FALSE),""))</f>
        <v>Bengal Flea &amp; Tick Shampoo</v>
      </c>
      <c r="H125" s="83">
        <v>1.0</v>
      </c>
      <c r="I125" s="84">
        <f t="shared" si="2"/>
        <v>350</v>
      </c>
      <c r="J125" s="85">
        <f>IF($F125="","",IFERROR(VLOOKUP($F125,Inventory!$A:$K,11,FALSE),0))</f>
        <v>400</v>
      </c>
      <c r="K125" s="85">
        <v>50.0</v>
      </c>
      <c r="L125" s="85">
        <f t="shared" si="3"/>
        <v>350</v>
      </c>
      <c r="M125" s="83" t="s">
        <v>330</v>
      </c>
      <c r="N125" s="85">
        <f>IF($F125="","",IFERROR(VLOOKUP($F125,Inventory!$A:$I,9,FALSE),0))</f>
        <v>240</v>
      </c>
      <c r="O125" s="85">
        <f t="shared" si="4"/>
        <v>240</v>
      </c>
      <c r="P125" s="85">
        <f t="shared" si="5"/>
        <v>110</v>
      </c>
      <c r="Q125" s="83"/>
      <c r="R125" s="87" t="str">
        <f>IF($E125="","",IF(COUNTIF($E$7:$E125,$E125)&gt;1,"",IFERROR(VLOOKUP($E125,Orders!$A:$I,8,FALSE),"")))</f>
        <v/>
      </c>
      <c r="S125" s="87" t="str">
        <f>IF($E125="","",IF(COUNTIF($E$7:$E125,$E125)&gt;1,"",IFERROR(VLOOKUP($E125,Orders!$A:$I,9,FALSE),"")))</f>
        <v/>
      </c>
      <c r="T125" s="88">
        <f t="shared" si="6"/>
        <v>110</v>
      </c>
      <c r="U125" s="88">
        <f>IF($F125="","",IF($E125="",T125,SUMIF(Sales!$E$7:$E$1506,$E125,Sales!$T$7:$T$1506)))</f>
        <v>110</v>
      </c>
      <c r="V125" s="49" t="str">
        <f t="shared" si="7"/>
        <v/>
      </c>
      <c r="W125" s="49" t="str">
        <f t="array" ref="W125">IF($V125="","",SUMPRODUCT((Sales!$V$7:$V$1506&lt;&gt;"")*(Sales!$E$7:$E$1506&lt;$E125))+1)</f>
        <v/>
      </c>
      <c r="X125" s="49">
        <f t="shared" si="8"/>
        <v>118</v>
      </c>
      <c r="Y125" s="49" t="str">
        <f t="shared" si="9"/>
        <v>202607-118</v>
      </c>
      <c r="AA125" s="73" t="str">
        <f>IF(Inventory!A123="","",Inventory!A123)</f>
        <v>AC-RB-MS-0001</v>
      </c>
    </row>
    <row r="126" ht="14.25" customHeight="1">
      <c r="A126" s="82">
        <v>46234.0</v>
      </c>
      <c r="B126" s="83" t="s">
        <v>324</v>
      </c>
      <c r="C126" s="83" t="s">
        <v>325</v>
      </c>
      <c r="D126" s="83" t="s">
        <v>580</v>
      </c>
      <c r="E126" s="83" t="s">
        <v>581</v>
      </c>
      <c r="F126" s="83" t="s">
        <v>209</v>
      </c>
      <c r="G126" s="83" t="str">
        <f>IF($F126="","",IFERROR(VLOOKUP($F126,Inventory!$A:$B,2,FALSE),""))</f>
        <v>Smart Heart Pouch Tuna in Jelly Kitten</v>
      </c>
      <c r="H126" s="83">
        <v>1.0</v>
      </c>
      <c r="I126" s="84">
        <f t="shared" si="2"/>
        <v>80</v>
      </c>
      <c r="J126" s="85">
        <f>IF($F126="","",IFERROR(VLOOKUP($F126,Inventory!$A:$K,11,FALSE),0))</f>
        <v>95</v>
      </c>
      <c r="K126" s="85">
        <v>15.0</v>
      </c>
      <c r="L126" s="85">
        <f t="shared" si="3"/>
        <v>80</v>
      </c>
      <c r="M126" s="83" t="s">
        <v>330</v>
      </c>
      <c r="N126" s="85">
        <f>IF($F126="","",IFERROR(VLOOKUP($F126,Inventory!$A:$I,9,FALSE),0))</f>
        <v>72</v>
      </c>
      <c r="O126" s="85">
        <f t="shared" si="4"/>
        <v>72</v>
      </c>
      <c r="P126" s="85">
        <f t="shared" si="5"/>
        <v>8</v>
      </c>
      <c r="Q126" s="83"/>
      <c r="R126" s="87">
        <f>IF($E126="","",IF(COUNTIF($E$7:$E126,$E126)&gt;1,"",IFERROR(VLOOKUP($E126,Orders!$A:$I,8,FALSE),"")))</f>
        <v>80</v>
      </c>
      <c r="S126" s="87">
        <f>IF($E126="","",IF(COUNTIF($E$7:$E126,$E126)&gt;1,"",IFERROR(VLOOKUP($E126,Orders!$A:$I,9,FALSE),"")))</f>
        <v>34</v>
      </c>
      <c r="T126" s="88">
        <f t="shared" si="6"/>
        <v>54</v>
      </c>
      <c r="U126" s="88">
        <f>IF($F126="","",IF($E126="",T126,SUMIF(Sales!$E$7:$E$1506,$E126,Sales!$T$7:$T$1506)))</f>
        <v>193.0905269</v>
      </c>
      <c r="V126" s="49">
        <f t="shared" si="7"/>
        <v>8</v>
      </c>
      <c r="W126" s="49">
        <f t="array" ref="W126">IF($V126="","",SUMPRODUCT((Sales!$V$7:$V$1506&lt;&gt;"")*(Sales!$E$7:$E$1506&lt;$E126))+1)</f>
        <v>9</v>
      </c>
      <c r="X126" s="49">
        <f t="shared" si="8"/>
        <v>119</v>
      </c>
      <c r="Y126" s="49" t="str">
        <f t="shared" si="9"/>
        <v>202607-119</v>
      </c>
      <c r="AA126" s="73" t="str">
        <f>IF(Inventory!A124="","",Inventory!A124)</f>
        <v>AC-CSTOY-Feather-0001</v>
      </c>
    </row>
    <row r="127" ht="14.25" customHeight="1">
      <c r="A127" s="82">
        <v>46234.0</v>
      </c>
      <c r="B127" s="83" t="s">
        <v>324</v>
      </c>
      <c r="C127" s="83" t="s">
        <v>325</v>
      </c>
      <c r="D127" s="83" t="s">
        <v>580</v>
      </c>
      <c r="E127" s="83" t="s">
        <v>581</v>
      </c>
      <c r="F127" s="83" t="s">
        <v>207</v>
      </c>
      <c r="G127" s="83" t="str">
        <f>IF($F127="","",IFERROR(VLOOKUP($F127,Inventory!$A:$B,2,FALSE),""))</f>
        <v>Nekko Pouch 70G Tuna in Chicken Mousse For Kitten</v>
      </c>
      <c r="H127" s="83">
        <v>1.0</v>
      </c>
      <c r="I127" s="84">
        <f t="shared" si="2"/>
        <v>85</v>
      </c>
      <c r="J127" s="85">
        <f>IF($F127="","",IFERROR(VLOOKUP($F127,Inventory!$A:$K,11,FALSE),0))</f>
        <v>90</v>
      </c>
      <c r="K127" s="85">
        <v>5.0</v>
      </c>
      <c r="L127" s="85">
        <f t="shared" si="3"/>
        <v>85</v>
      </c>
      <c r="M127" s="83" t="s">
        <v>330</v>
      </c>
      <c r="N127" s="85">
        <f>IF($F127="","",IFERROR(VLOOKUP($F127,Inventory!$A:$I,9,FALSE),0))</f>
        <v>65.17241379</v>
      </c>
      <c r="O127" s="85">
        <f t="shared" si="4"/>
        <v>65.17241379</v>
      </c>
      <c r="P127" s="85">
        <f t="shared" si="5"/>
        <v>19.82758621</v>
      </c>
      <c r="Q127" s="83"/>
      <c r="R127" s="87" t="str">
        <f>IF($E127="","",IF(COUNTIF($E$7:$E127,$E127)&gt;1,"",IFERROR(VLOOKUP($E127,Orders!$A:$I,8,FALSE),"")))</f>
        <v/>
      </c>
      <c r="S127" s="87" t="str">
        <f>IF($E127="","",IF(COUNTIF($E$7:$E127,$E127)&gt;1,"",IFERROR(VLOOKUP($E127,Orders!$A:$I,9,FALSE),"")))</f>
        <v/>
      </c>
      <c r="T127" s="88">
        <f t="shared" si="6"/>
        <v>19.82758621</v>
      </c>
      <c r="U127" s="88">
        <f>IF($F127="","",IF($E127="",T127,SUMIF(Sales!$E$7:$E$1506,$E127,Sales!$T$7:$T$1506)))</f>
        <v>193.0905269</v>
      </c>
      <c r="V127" s="49" t="str">
        <f t="shared" si="7"/>
        <v/>
      </c>
      <c r="W127" s="49" t="str">
        <f t="array" ref="W127">IF($V127="","",SUMPRODUCT((Sales!$V$7:$V$1506&lt;&gt;"")*(Sales!$E$7:$E$1506&lt;$E127))+1)</f>
        <v/>
      </c>
      <c r="X127" s="49">
        <f t="shared" si="8"/>
        <v>120</v>
      </c>
      <c r="Y127" s="49" t="str">
        <f t="shared" si="9"/>
        <v>202607-120</v>
      </c>
      <c r="AA127" s="73" t="str">
        <f>IF(Inventory!A125="","",Inventory!A125)</f>
        <v>FD-MX-0003</v>
      </c>
    </row>
    <row r="128" ht="14.25" customHeight="1">
      <c r="A128" s="82">
        <v>46234.0</v>
      </c>
      <c r="B128" s="83" t="s">
        <v>324</v>
      </c>
      <c r="C128" s="83" t="s">
        <v>325</v>
      </c>
      <c r="D128" s="83" t="s">
        <v>580</v>
      </c>
      <c r="E128" s="83" t="s">
        <v>581</v>
      </c>
      <c r="F128" s="83" t="s">
        <v>262</v>
      </c>
      <c r="G128" s="83" t="str">
        <f>IF($F128="","",IFERROR(VLOOKUP($F128,Inventory!$A:$B,2,FALSE),""))</f>
        <v>Kitchen Flavor Pate Delight</v>
      </c>
      <c r="H128" s="83">
        <v>1.0</v>
      </c>
      <c r="I128" s="84">
        <f t="shared" si="2"/>
        <v>130</v>
      </c>
      <c r="J128" s="85">
        <f>IF($F128="","",IFERROR(VLOOKUP($F128,Inventory!$A:$K,11,FALSE),0))</f>
        <v>150</v>
      </c>
      <c r="K128" s="85">
        <v>20.0</v>
      </c>
      <c r="L128" s="85">
        <f t="shared" si="3"/>
        <v>130</v>
      </c>
      <c r="M128" s="83" t="s">
        <v>330</v>
      </c>
      <c r="N128" s="85">
        <f>IF($F128="","",IFERROR(VLOOKUP($F128,Inventory!$A:$I,9,FALSE),0))</f>
        <v>110</v>
      </c>
      <c r="O128" s="85">
        <f t="shared" si="4"/>
        <v>110</v>
      </c>
      <c r="P128" s="85">
        <f t="shared" si="5"/>
        <v>20</v>
      </c>
      <c r="Q128" s="83"/>
      <c r="R128" s="87" t="str">
        <f>IF($E128="","",IF(COUNTIF($E$7:$E128,$E128)&gt;1,"",IFERROR(VLOOKUP($E128,Orders!$A:$I,8,FALSE),"")))</f>
        <v/>
      </c>
      <c r="S128" s="87" t="str">
        <f>IF($E128="","",IF(COUNTIF($E$7:$E128,$E128)&gt;1,"",IFERROR(VLOOKUP($E128,Orders!$A:$I,9,FALSE),"")))</f>
        <v/>
      </c>
      <c r="T128" s="88">
        <f t="shared" si="6"/>
        <v>20</v>
      </c>
      <c r="U128" s="88">
        <f>IF($F128="","",IF($E128="",T128,SUMIF(Sales!$E$7:$E$1506,$E128,Sales!$T$7:$T$1506)))</f>
        <v>193.0905269</v>
      </c>
      <c r="V128" s="49" t="str">
        <f t="shared" si="7"/>
        <v/>
      </c>
      <c r="W128" s="49" t="str">
        <f t="array" ref="W128">IF($V128="","",SUMPRODUCT((Sales!$V$7:$V$1506&lt;&gt;"")*(Sales!$E$7:$E$1506&lt;$E128))+1)</f>
        <v/>
      </c>
      <c r="X128" s="49">
        <f t="shared" si="8"/>
        <v>121</v>
      </c>
      <c r="Y128" s="49" t="str">
        <f t="shared" si="9"/>
        <v>202607-121</v>
      </c>
      <c r="AA128" s="73" t="str">
        <f>IF(Inventory!A126="","",Inventory!A126)</f>
        <v>FD-DRY-WP-1.5KG-001</v>
      </c>
    </row>
    <row r="129" ht="14.25" customHeight="1">
      <c r="A129" s="82">
        <v>46234.0</v>
      </c>
      <c r="B129" s="83" t="s">
        <v>324</v>
      </c>
      <c r="C129" s="83" t="s">
        <v>325</v>
      </c>
      <c r="D129" s="83" t="s">
        <v>580</v>
      </c>
      <c r="E129" s="83" t="s">
        <v>581</v>
      </c>
      <c r="F129" s="83" t="s">
        <v>256</v>
      </c>
      <c r="G129" s="83" t="str">
        <f>IF($F129="","",IFERROR(VLOOKUP($F129,Inventory!$A:$B,2,FALSE),""))</f>
        <v>Kitchen Flavor Grain Free Kitten 400G</v>
      </c>
      <c r="H129" s="83">
        <v>1.0</v>
      </c>
      <c r="I129" s="84">
        <f t="shared" si="2"/>
        <v>350</v>
      </c>
      <c r="J129" s="85">
        <f>IF($F129="","",IFERROR(VLOOKUP($F129,Inventory!$A:$K,11,FALSE),0))</f>
        <v>380</v>
      </c>
      <c r="K129" s="85">
        <v>30.0</v>
      </c>
      <c r="L129" s="85">
        <f t="shared" si="3"/>
        <v>350</v>
      </c>
      <c r="M129" s="83" t="s">
        <v>330</v>
      </c>
      <c r="N129" s="85">
        <f>IF($F129="","",IFERROR(VLOOKUP($F129,Inventory!$A:$I,9,FALSE),0))</f>
        <v>290</v>
      </c>
      <c r="O129" s="85">
        <f t="shared" si="4"/>
        <v>290</v>
      </c>
      <c r="P129" s="85">
        <f t="shared" si="5"/>
        <v>60</v>
      </c>
      <c r="Q129" s="83"/>
      <c r="R129" s="87" t="str">
        <f>IF($E129="","",IF(COUNTIF($E$7:$E129,$E129)&gt;1,"",IFERROR(VLOOKUP($E129,Orders!$A:$I,8,FALSE),"")))</f>
        <v/>
      </c>
      <c r="S129" s="87" t="str">
        <f>IF($E129="","",IF(COUNTIF($E$7:$E129,$E129)&gt;1,"",IFERROR(VLOOKUP($E129,Orders!$A:$I,9,FALSE),"")))</f>
        <v/>
      </c>
      <c r="T129" s="88">
        <f t="shared" si="6"/>
        <v>60</v>
      </c>
      <c r="U129" s="88">
        <f>IF($F129="","",IF($E129="",T129,SUMIF(Sales!$E$7:$E$1506,$E129,Sales!$T$7:$T$1506)))</f>
        <v>193.0905269</v>
      </c>
      <c r="V129" s="49" t="str">
        <f t="shared" si="7"/>
        <v/>
      </c>
      <c r="W129" s="49" t="str">
        <f t="array" ref="W129">IF($V129="","",SUMPRODUCT((Sales!$V$7:$V$1506&lt;&gt;"")*(Sales!$E$7:$E$1506&lt;$E129))+1)</f>
        <v/>
      </c>
      <c r="X129" s="49">
        <f t="shared" si="8"/>
        <v>122</v>
      </c>
      <c r="Y129" s="49" t="str">
        <f t="shared" si="9"/>
        <v>202607-122</v>
      </c>
      <c r="AA129" s="73" t="str">
        <f>IF(Inventory!A127="","",Inventory!A127)</f>
        <v>FD-WET-WP-001</v>
      </c>
    </row>
    <row r="130" ht="14.25" customHeight="1">
      <c r="A130" s="82">
        <v>46234.0</v>
      </c>
      <c r="B130" s="83" t="s">
        <v>324</v>
      </c>
      <c r="C130" s="83" t="s">
        <v>325</v>
      </c>
      <c r="D130" s="83" t="s">
        <v>580</v>
      </c>
      <c r="E130" s="83" t="s">
        <v>581</v>
      </c>
      <c r="F130" s="83" t="s">
        <v>179</v>
      </c>
      <c r="G130" s="83" t="str">
        <f>IF($F130="","",IFERROR(VLOOKUP($F130,Inventory!$A:$B,2,FALSE),""))</f>
        <v>Creamy Treat 15G (Purry &amp; Hyper Paws)</v>
      </c>
      <c r="H130" s="83">
        <v>5.0</v>
      </c>
      <c r="I130" s="84">
        <f t="shared" si="2"/>
        <v>16</v>
      </c>
      <c r="J130" s="85">
        <f>IF($F130="","",IFERROR(VLOOKUP($F130,Inventory!$A:$K,11,FALSE),0))</f>
        <v>20</v>
      </c>
      <c r="K130" s="85">
        <v>4.0</v>
      </c>
      <c r="L130" s="85">
        <f t="shared" si="3"/>
        <v>80</v>
      </c>
      <c r="M130" s="83" t="s">
        <v>330</v>
      </c>
      <c r="N130" s="85">
        <f>IF($F130="","",IFERROR(VLOOKUP($F130,Inventory!$A:$I,9,FALSE),0))</f>
        <v>8.147411853</v>
      </c>
      <c r="O130" s="85">
        <f t="shared" si="4"/>
        <v>40.73705926</v>
      </c>
      <c r="P130" s="85">
        <f t="shared" si="5"/>
        <v>39.26294074</v>
      </c>
      <c r="Q130" s="83"/>
      <c r="R130" s="87" t="str">
        <f>IF($E130="","",IF(COUNTIF($E$7:$E130,$E130)&gt;1,"",IFERROR(VLOOKUP($E130,Orders!$A:$I,8,FALSE),"")))</f>
        <v/>
      </c>
      <c r="S130" s="87" t="str">
        <f>IF($E130="","",IF(COUNTIF($E$7:$E130,$E130)&gt;1,"",IFERROR(VLOOKUP($E130,Orders!$A:$I,9,FALSE),"")))</f>
        <v/>
      </c>
      <c r="T130" s="88">
        <f t="shared" si="6"/>
        <v>39.26294074</v>
      </c>
      <c r="U130" s="88">
        <f>IF($F130="","",IF($E130="",T130,SUMIF(Sales!$E$7:$E$1506,$E130,Sales!$T$7:$T$1506)))</f>
        <v>193.0905269</v>
      </c>
      <c r="V130" s="49" t="str">
        <f t="shared" si="7"/>
        <v/>
      </c>
      <c r="W130" s="49" t="str">
        <f t="array" ref="W130">IF($V130="","",SUMPRODUCT((Sales!$V$7:$V$1506&lt;&gt;"")*(Sales!$E$7:$E$1506&lt;$E130))+1)</f>
        <v/>
      </c>
      <c r="X130" s="49">
        <f t="shared" si="8"/>
        <v>123</v>
      </c>
      <c r="Y130" s="49" t="str">
        <f t="shared" si="9"/>
        <v>202607-123</v>
      </c>
      <c r="AA130" s="73" t="str">
        <f>IF(Inventory!A128="","",Inventory!A128)</f>
        <v>FD-DRY-KTCN-All-400G-001</v>
      </c>
    </row>
    <row r="131" ht="14.25" customHeight="1">
      <c r="A131" s="82">
        <v>46233.0</v>
      </c>
      <c r="B131" s="83" t="s">
        <v>324</v>
      </c>
      <c r="C131" s="83" t="s">
        <v>325</v>
      </c>
      <c r="D131" s="83" t="s">
        <v>582</v>
      </c>
      <c r="E131" s="83" t="s">
        <v>583</v>
      </c>
      <c r="F131" s="83" t="s">
        <v>247</v>
      </c>
      <c r="G131" s="83" t="str">
        <f>IF($F131="","",IFERROR(VLOOKUP($F131,Inventory!$A:$B,2,FALSE),""))</f>
        <v>Cat Toy Long Wire (Fish, Ball )</v>
      </c>
      <c r="H131" s="83">
        <v>1.0</v>
      </c>
      <c r="I131" s="84">
        <f t="shared" si="2"/>
        <v>130</v>
      </c>
      <c r="J131" s="85">
        <f>IF($F131="","",IFERROR(VLOOKUP($F131,Inventory!$A:$K,11,FALSE),0))</f>
        <v>130</v>
      </c>
      <c r="K131" s="85"/>
      <c r="L131" s="85">
        <f t="shared" si="3"/>
        <v>130</v>
      </c>
      <c r="M131" s="83" t="s">
        <v>330</v>
      </c>
      <c r="N131" s="85">
        <f>IF($F131="","",IFERROR(VLOOKUP($F131,Inventory!$A:$I,9,FALSE),0))</f>
        <v>80</v>
      </c>
      <c r="O131" s="85">
        <f t="shared" si="4"/>
        <v>80</v>
      </c>
      <c r="P131" s="85">
        <f t="shared" si="5"/>
        <v>50</v>
      </c>
      <c r="Q131" s="83"/>
      <c r="R131" s="87">
        <f>IF($E131="","",IF(COUNTIF($E$7:$E131,$E131)&gt;1,"",IFERROR(VLOOKUP($E131,Orders!$A:$I,8,FALSE),"")))</f>
        <v>80</v>
      </c>
      <c r="S131" s="87">
        <f>IF($E131="","",IF(COUNTIF($E$7:$E131,$E131)&gt;1,"",IFERROR(VLOOKUP($E131,Orders!$A:$I,9,FALSE),"")))</f>
        <v>0</v>
      </c>
      <c r="T131" s="88">
        <f t="shared" si="6"/>
        <v>130</v>
      </c>
      <c r="U131" s="88">
        <f>IF($F131="","",IF($E131="",T131,SUMIF(Sales!$E$7:$E$1506,$E131,Sales!$T$7:$T$1506)))</f>
        <v>407.4103526</v>
      </c>
      <c r="V131" s="49">
        <f t="shared" si="7"/>
        <v>9</v>
      </c>
      <c r="W131" s="49">
        <f t="array" ref="W131">IF($V131="","",SUMPRODUCT((Sales!$V$7:$V$1506&lt;&gt;"")*(Sales!$E$7:$E$1506&lt;$E131))+1)</f>
        <v>8</v>
      </c>
      <c r="X131" s="49">
        <f t="shared" si="8"/>
        <v>124</v>
      </c>
      <c r="Y131" s="49" t="str">
        <f t="shared" si="9"/>
        <v>202607-124</v>
      </c>
      <c r="AA131" s="73" t="str">
        <f>IF(Inventory!A129="","",Inventory!A129)</f>
        <v>PO-WET-KTCN-HS-001</v>
      </c>
    </row>
    <row r="132" ht="14.25" customHeight="1">
      <c r="A132" s="82">
        <v>46233.0</v>
      </c>
      <c r="B132" s="83" t="s">
        <v>324</v>
      </c>
      <c r="C132" s="83" t="s">
        <v>325</v>
      </c>
      <c r="D132" s="83" t="s">
        <v>582</v>
      </c>
      <c r="E132" s="83" t="s">
        <v>583</v>
      </c>
      <c r="F132" s="83" t="s">
        <v>260</v>
      </c>
      <c r="G132" s="83" t="str">
        <f>IF($F132="","",IFERROR(VLOOKUP($F132,Inventory!$A:$B,2,FALSE),""))</f>
        <v>Kitchen Flavor Grain Free Adult 1.5KG</v>
      </c>
      <c r="H132" s="83">
        <v>1.0</v>
      </c>
      <c r="I132" s="84">
        <f t="shared" si="2"/>
        <v>1220</v>
      </c>
      <c r="J132" s="85">
        <f>IF($F132="","",IFERROR(VLOOKUP($F132,Inventory!$A:$K,11,FALSE),0))</f>
        <v>1260</v>
      </c>
      <c r="K132" s="85">
        <v>40.0</v>
      </c>
      <c r="L132" s="85">
        <f t="shared" si="3"/>
        <v>1220</v>
      </c>
      <c r="M132" s="83" t="s">
        <v>330</v>
      </c>
      <c r="N132" s="85">
        <f>IF($F132="","",IFERROR(VLOOKUP($F132,Inventory!$A:$I,9,FALSE),0))</f>
        <v>990</v>
      </c>
      <c r="O132" s="85">
        <f t="shared" si="4"/>
        <v>990</v>
      </c>
      <c r="P132" s="85">
        <f t="shared" si="5"/>
        <v>230</v>
      </c>
      <c r="Q132" s="83"/>
      <c r="R132" s="87" t="str">
        <f>IF($E132="","",IF(COUNTIF($E$7:$E132,$E132)&gt;1,"",IFERROR(VLOOKUP($E132,Orders!$A:$I,8,FALSE),"")))</f>
        <v/>
      </c>
      <c r="S132" s="87" t="str">
        <f>IF($E132="","",IF(COUNTIF($E$7:$E132,$E132)&gt;1,"",IFERROR(VLOOKUP($E132,Orders!$A:$I,9,FALSE),"")))</f>
        <v/>
      </c>
      <c r="T132" s="88">
        <f t="shared" si="6"/>
        <v>230</v>
      </c>
      <c r="U132" s="88">
        <f>IF($F132="","",IF($E132="",T132,SUMIF(Sales!$E$7:$E$1506,$E132,Sales!$T$7:$T$1506)))</f>
        <v>407.4103526</v>
      </c>
      <c r="V132" s="49" t="str">
        <f t="shared" si="7"/>
        <v/>
      </c>
      <c r="W132" s="49" t="str">
        <f t="array" ref="W132">IF($V132="","",SUMPRODUCT((Sales!$V$7:$V$1506&lt;&gt;"")*(Sales!$E$7:$E$1506&lt;$E132))+1)</f>
        <v/>
      </c>
      <c r="X132" s="49">
        <f t="shared" si="8"/>
        <v>125</v>
      </c>
      <c r="Y132" s="49" t="str">
        <f t="shared" si="9"/>
        <v>202607-125</v>
      </c>
      <c r="AA132" s="73" t="str">
        <f>IF(Inventory!A130="","",Inventory!A130)</f>
        <v>PO-WET-KTCN-UR-001</v>
      </c>
    </row>
    <row r="133" ht="14.25" customHeight="1">
      <c r="A133" s="82">
        <v>46234.0</v>
      </c>
      <c r="B133" s="83" t="s">
        <v>324</v>
      </c>
      <c r="C133" s="83" t="s">
        <v>325</v>
      </c>
      <c r="D133" s="83" t="s">
        <v>582</v>
      </c>
      <c r="E133" s="83" t="s">
        <v>583</v>
      </c>
      <c r="F133" s="83" t="s">
        <v>179</v>
      </c>
      <c r="G133" s="83" t="str">
        <f>IF($F133="","",IFERROR(VLOOKUP($F133,Inventory!$A:$B,2,FALSE),""))</f>
        <v>Creamy Treat 15G (Purry &amp; Hyper Paws)</v>
      </c>
      <c r="H133" s="83">
        <v>4.0</v>
      </c>
      <c r="I133" s="84">
        <f t="shared" si="2"/>
        <v>20</v>
      </c>
      <c r="J133" s="85">
        <f>IF($F133="","",IFERROR(VLOOKUP($F133,Inventory!$A:$K,11,FALSE),0))</f>
        <v>20</v>
      </c>
      <c r="K133" s="85"/>
      <c r="L133" s="85">
        <f t="shared" si="3"/>
        <v>80</v>
      </c>
      <c r="M133" s="83" t="s">
        <v>330</v>
      </c>
      <c r="N133" s="85">
        <f>IF($F133="","",IFERROR(VLOOKUP($F133,Inventory!$A:$I,9,FALSE),0))</f>
        <v>8.147411853</v>
      </c>
      <c r="O133" s="85">
        <f t="shared" si="4"/>
        <v>32.58964741</v>
      </c>
      <c r="P133" s="85">
        <f t="shared" si="5"/>
        <v>47.41035259</v>
      </c>
      <c r="Q133" s="83"/>
      <c r="R133" s="87" t="str">
        <f>IF($E133="","",IF(COUNTIF($E$7:$E133,$E133)&gt;1,"",IFERROR(VLOOKUP($E133,Orders!$A:$I,8,FALSE),"")))</f>
        <v/>
      </c>
      <c r="S133" s="87" t="str">
        <f>IF($E133="","",IF(COUNTIF($E$7:$E133,$E133)&gt;1,"",IFERROR(VLOOKUP($E133,Orders!$A:$I,9,FALSE),"")))</f>
        <v/>
      </c>
      <c r="T133" s="88">
        <f t="shared" si="6"/>
        <v>47.41035259</v>
      </c>
      <c r="U133" s="88">
        <f>IF($F133="","",IF($E133="",T133,SUMIF(Sales!$E$7:$E$1506,$E133,Sales!$T$7:$T$1506)))</f>
        <v>407.4103526</v>
      </c>
      <c r="V133" s="49" t="str">
        <f t="shared" si="7"/>
        <v/>
      </c>
      <c r="W133" s="49" t="str">
        <f t="array" ref="W133">IF($V133="","",SUMPRODUCT((Sales!$V$7:$V$1506&lt;&gt;"")*(Sales!$E$7:$E$1506&lt;$E133))+1)</f>
        <v/>
      </c>
      <c r="X133" s="49">
        <f t="shared" si="8"/>
        <v>126</v>
      </c>
      <c r="Y133" s="49" t="str">
        <f t="shared" si="9"/>
        <v>202607-126</v>
      </c>
      <c r="AA133" s="73" t="str">
        <f>IF(Inventory!A131="","",Inventory!A131)</f>
        <v>PO-WET-KTCN-ID-001</v>
      </c>
    </row>
    <row r="134" ht="14.25" customHeight="1">
      <c r="A134" s="82">
        <v>46234.0</v>
      </c>
      <c r="B134" s="83" t="s">
        <v>324</v>
      </c>
      <c r="C134" s="83" t="s">
        <v>365</v>
      </c>
      <c r="D134" s="83" t="s">
        <v>366</v>
      </c>
      <c r="E134" s="83"/>
      <c r="F134" s="83" t="s">
        <v>376</v>
      </c>
      <c r="G134" s="83" t="str">
        <f>IF($F134="","",IFERROR(VLOOKUP($F134,Inventory!$A:$B,2,FALSE),""))</f>
        <v>PetMetro Cat Litter Coffee 5L</v>
      </c>
      <c r="H134" s="83">
        <v>1.0</v>
      </c>
      <c r="I134" s="84">
        <f t="shared" si="2"/>
        <v>250</v>
      </c>
      <c r="J134" s="85">
        <f>IF($F134="","",IFERROR(VLOOKUP($F134,Inventory!$A:$K,11,FALSE),0))</f>
        <v>280</v>
      </c>
      <c r="K134" s="85">
        <v>30.0</v>
      </c>
      <c r="L134" s="85">
        <f t="shared" si="3"/>
        <v>250</v>
      </c>
      <c r="M134" s="83" t="s">
        <v>330</v>
      </c>
      <c r="N134" s="85">
        <f>IF($F134="","",IFERROR(VLOOKUP($F134,Inventory!$A:$I,9,FALSE),0))</f>
        <v>200</v>
      </c>
      <c r="O134" s="85">
        <f t="shared" si="4"/>
        <v>200</v>
      </c>
      <c r="P134" s="85">
        <f t="shared" si="5"/>
        <v>50</v>
      </c>
      <c r="Q134" s="83"/>
      <c r="R134" s="87" t="str">
        <f>IF($E134="","",IF(COUNTIF($E$7:$E134,$E134)&gt;1,"",IFERROR(VLOOKUP($E134,Orders!$A:$I,8,FALSE),"")))</f>
        <v/>
      </c>
      <c r="S134" s="87" t="str">
        <f>IF($E134="","",IF(COUNTIF($E$7:$E134,$E134)&gt;1,"",IFERROR(VLOOKUP($E134,Orders!$A:$I,9,FALSE),"")))</f>
        <v/>
      </c>
      <c r="T134" s="88">
        <f t="shared" si="6"/>
        <v>50</v>
      </c>
      <c r="U134" s="88">
        <f>IF($F134="","",IF($E134="",T134,SUMIF(Sales!$E$7:$E$1506,$E134,Sales!$T$7:$T$1506)))</f>
        <v>50</v>
      </c>
      <c r="V134" s="49" t="str">
        <f t="shared" si="7"/>
        <v/>
      </c>
      <c r="W134" s="49" t="str">
        <f t="array" ref="W134">IF($V134="","",SUMPRODUCT((Sales!$V$7:$V$1506&lt;&gt;"")*(Sales!$E$7:$E$1506&lt;$E134))+1)</f>
        <v/>
      </c>
      <c r="X134" s="49">
        <f t="shared" si="8"/>
        <v>127</v>
      </c>
      <c r="Y134" s="49" t="str">
        <f t="shared" si="9"/>
        <v>202607-127</v>
      </c>
      <c r="AA134" s="73" t="str">
        <f>IF(Inventory!A132="","",Inventory!A132)</f>
        <v>PO-WET-NB-KD-001</v>
      </c>
    </row>
    <row r="135" ht="14.25" customHeight="1">
      <c r="A135" s="82">
        <v>46234.0</v>
      </c>
      <c r="B135" s="83" t="s">
        <v>324</v>
      </c>
      <c r="C135" s="83" t="s">
        <v>365</v>
      </c>
      <c r="D135" s="83" t="s">
        <v>366</v>
      </c>
      <c r="E135" s="83"/>
      <c r="F135" s="83" t="s">
        <v>372</v>
      </c>
      <c r="G135" s="83" t="str">
        <f>IF($F135="","",IFERROR(VLOOKUP($F135,Inventory!$A:$B,2,FALSE),""))</f>
        <v>Premium Pet Collar Multicolor</v>
      </c>
      <c r="H135" s="83">
        <v>1.0</v>
      </c>
      <c r="I135" s="84">
        <f t="shared" si="2"/>
        <v>65</v>
      </c>
      <c r="J135" s="85">
        <f>IF($F135="","",IFERROR(VLOOKUP($F135,Inventory!$A:$K,11,FALSE),0))</f>
        <v>75</v>
      </c>
      <c r="K135" s="85">
        <v>10.0</v>
      </c>
      <c r="L135" s="85">
        <f t="shared" si="3"/>
        <v>65</v>
      </c>
      <c r="M135" s="83" t="s">
        <v>330</v>
      </c>
      <c r="N135" s="85">
        <f>IF($F135="","",IFERROR(VLOOKUP($F135,Inventory!$A:$I,9,FALSE),0))</f>
        <v>37</v>
      </c>
      <c r="O135" s="85">
        <f t="shared" si="4"/>
        <v>37</v>
      </c>
      <c r="P135" s="85">
        <f t="shared" si="5"/>
        <v>28</v>
      </c>
      <c r="Q135" s="83"/>
      <c r="R135" s="87" t="str">
        <f>IF($E135="","",IF(COUNTIF($E$7:$E135,$E135)&gt;1,"",IFERROR(VLOOKUP($E135,Orders!$A:$I,8,FALSE),"")))</f>
        <v/>
      </c>
      <c r="S135" s="87" t="str">
        <f>IF($E135="","",IF(COUNTIF($E$7:$E135,$E135)&gt;1,"",IFERROR(VLOOKUP($E135,Orders!$A:$I,9,FALSE),"")))</f>
        <v/>
      </c>
      <c r="T135" s="88">
        <f t="shared" si="6"/>
        <v>28</v>
      </c>
      <c r="U135" s="88">
        <f>IF($F135="","",IF($E135="",T135,SUMIF(Sales!$E$7:$E$1506,$E135,Sales!$T$7:$T$1506)))</f>
        <v>28</v>
      </c>
      <c r="V135" s="49" t="str">
        <f t="shared" si="7"/>
        <v/>
      </c>
      <c r="W135" s="49" t="str">
        <f t="array" ref="W135">IF($V135="","",SUMPRODUCT((Sales!$V$7:$V$1506&lt;&gt;"")*(Sales!$E$7:$E$1506&lt;$E135))+1)</f>
        <v/>
      </c>
      <c r="X135" s="49">
        <f t="shared" si="8"/>
        <v>128</v>
      </c>
      <c r="Y135" s="49" t="str">
        <f t="shared" si="9"/>
        <v>202607-128</v>
      </c>
      <c r="AA135" s="73" t="str">
        <f>IF(Inventory!A133="","",Inventory!A133)</f>
        <v>PO-WET-NB-UR-001</v>
      </c>
    </row>
    <row r="136" ht="14.25" customHeight="1">
      <c r="A136" s="82">
        <v>46234.0</v>
      </c>
      <c r="B136" s="83" t="s">
        <v>324</v>
      </c>
      <c r="C136" s="83" t="s">
        <v>365</v>
      </c>
      <c r="D136" s="83" t="s">
        <v>366</v>
      </c>
      <c r="E136" s="83"/>
      <c r="F136" s="83" t="s">
        <v>179</v>
      </c>
      <c r="G136" s="83" t="str">
        <f>IF($F136="","",IFERROR(VLOOKUP($F136,Inventory!$A:$B,2,FALSE),""))</f>
        <v>Creamy Treat 15G (Purry &amp; Hyper Paws)</v>
      </c>
      <c r="H136" s="83">
        <v>2.0</v>
      </c>
      <c r="I136" s="84">
        <f t="shared" si="2"/>
        <v>20</v>
      </c>
      <c r="J136" s="85">
        <f>IF($F136="","",IFERROR(VLOOKUP($F136,Inventory!$A:$K,11,FALSE),0))</f>
        <v>20</v>
      </c>
      <c r="K136" s="85"/>
      <c r="L136" s="85">
        <f t="shared" si="3"/>
        <v>40</v>
      </c>
      <c r="M136" s="83" t="s">
        <v>330</v>
      </c>
      <c r="N136" s="85">
        <f>IF($F136="","",IFERROR(VLOOKUP($F136,Inventory!$A:$I,9,FALSE),0))</f>
        <v>8.147411853</v>
      </c>
      <c r="O136" s="85">
        <f t="shared" si="4"/>
        <v>16.29482371</v>
      </c>
      <c r="P136" s="85">
        <f t="shared" si="5"/>
        <v>23.70517629</v>
      </c>
      <c r="Q136" s="83"/>
      <c r="R136" s="87" t="str">
        <f>IF($E136="","",IF(COUNTIF($E$7:$E136,$E136)&gt;1,"",IFERROR(VLOOKUP($E136,Orders!$A:$I,8,FALSE),"")))</f>
        <v/>
      </c>
      <c r="S136" s="87" t="str">
        <f>IF($E136="","",IF(COUNTIF($E$7:$E136,$E136)&gt;1,"",IFERROR(VLOOKUP($E136,Orders!$A:$I,9,FALSE),"")))</f>
        <v/>
      </c>
      <c r="T136" s="88">
        <f t="shared" si="6"/>
        <v>23.70517629</v>
      </c>
      <c r="U136" s="88">
        <f>IF($F136="","",IF($E136="",T136,SUMIF(Sales!$E$7:$E$1506,$E136,Sales!$T$7:$T$1506)))</f>
        <v>23.70517629</v>
      </c>
      <c r="V136" s="49" t="str">
        <f t="shared" si="7"/>
        <v/>
      </c>
      <c r="W136" s="49" t="str">
        <f t="array" ref="W136">IF($V136="","",SUMPRODUCT((Sales!$V$7:$V$1506&lt;&gt;"")*(Sales!$E$7:$E$1506&lt;$E136))+1)</f>
        <v/>
      </c>
      <c r="X136" s="49">
        <f t="shared" si="8"/>
        <v>129</v>
      </c>
      <c r="Y136" s="49" t="str">
        <f t="shared" si="9"/>
        <v>202607-129</v>
      </c>
      <c r="AA136" s="73" t="str">
        <f>IF(Inventory!A134="","",Inventory!A134)</f>
        <v>FD-DRY-KT-H/P-1.5KG-001</v>
      </c>
    </row>
    <row r="137" ht="14.25" customHeight="1">
      <c r="A137" s="82">
        <v>46234.0</v>
      </c>
      <c r="B137" s="83" t="s">
        <v>324</v>
      </c>
      <c r="C137" s="83" t="s">
        <v>365</v>
      </c>
      <c r="D137" s="83" t="s">
        <v>366</v>
      </c>
      <c r="E137" s="83"/>
      <c r="F137" s="83" t="s">
        <v>370</v>
      </c>
      <c r="G137" s="83" t="str">
        <f>IF($F137="","",IFERROR(VLOOKUP($F137,Inventory!$A:$B,2,FALSE),""))</f>
        <v>PetMetro Cat Litter Apple 5L</v>
      </c>
      <c r="H137" s="83">
        <v>1.0</v>
      </c>
      <c r="I137" s="84">
        <f t="shared" si="2"/>
        <v>260</v>
      </c>
      <c r="J137" s="85">
        <f>IF($F137="","",IFERROR(VLOOKUP($F137,Inventory!$A:$K,11,FALSE),0))</f>
        <v>280</v>
      </c>
      <c r="K137" s="85">
        <v>20.0</v>
      </c>
      <c r="L137" s="85">
        <f t="shared" si="3"/>
        <v>260</v>
      </c>
      <c r="M137" s="83" t="s">
        <v>330</v>
      </c>
      <c r="N137" s="85">
        <f>IF($F137="","",IFERROR(VLOOKUP($F137,Inventory!$A:$I,9,FALSE),0))</f>
        <v>200</v>
      </c>
      <c r="O137" s="85">
        <f t="shared" si="4"/>
        <v>200</v>
      </c>
      <c r="P137" s="85">
        <f t="shared" si="5"/>
        <v>60</v>
      </c>
      <c r="Q137" s="83"/>
      <c r="R137" s="87" t="str">
        <f>IF($E137="","",IF(COUNTIF($E$7:$E137,$E137)&gt;1,"",IFERROR(VLOOKUP($E137,Orders!$A:$I,8,FALSE),"")))</f>
        <v/>
      </c>
      <c r="S137" s="87" t="str">
        <f>IF($E137="","",IF(COUNTIF($E$7:$E137,$E137)&gt;1,"",IFERROR(VLOOKUP($E137,Orders!$A:$I,9,FALSE),"")))</f>
        <v/>
      </c>
      <c r="T137" s="88">
        <f t="shared" si="6"/>
        <v>60</v>
      </c>
      <c r="U137" s="88">
        <f>IF($F137="","",IF($E137="",T137,SUMIF(Sales!$E$7:$E$1506,$E137,Sales!$T$7:$T$1506)))</f>
        <v>60</v>
      </c>
      <c r="V137" s="49" t="str">
        <f t="shared" si="7"/>
        <v/>
      </c>
      <c r="W137" s="49" t="str">
        <f t="array" ref="W137">IF($V137="","",SUMPRODUCT((Sales!$V$7:$V$1506&lt;&gt;"")*(Sales!$E$7:$E$1506&lt;$E137))+1)</f>
        <v/>
      </c>
      <c r="X137" s="49">
        <f t="shared" si="8"/>
        <v>130</v>
      </c>
      <c r="Y137" s="49" t="str">
        <f t="shared" si="9"/>
        <v>202607-130</v>
      </c>
      <c r="AA137" s="73" t="str">
        <f>IF(Inventory!A135="","",Inventory!A135)</f>
        <v>FD-DRY-H/P-1.5KG-001</v>
      </c>
    </row>
    <row r="138" ht="14.25" customHeight="1">
      <c r="A138" s="82">
        <v>46234.0</v>
      </c>
      <c r="B138" s="83" t="s">
        <v>324</v>
      </c>
      <c r="C138" s="83" t="s">
        <v>365</v>
      </c>
      <c r="D138" s="83" t="s">
        <v>366</v>
      </c>
      <c r="E138" s="83"/>
      <c r="F138" s="83" t="s">
        <v>236</v>
      </c>
      <c r="G138" s="83" t="str">
        <f>IF($F138="","",IFERROR(VLOOKUP($F138,Inventory!$A:$B,2,FALSE),""))</f>
        <v>Cat Toy Rainbow Ball Spring</v>
      </c>
      <c r="H138" s="83">
        <v>1.0</v>
      </c>
      <c r="I138" s="84">
        <f t="shared" si="2"/>
        <v>100</v>
      </c>
      <c r="J138" s="85">
        <f>IF($F138="","",IFERROR(VLOOKUP($F138,Inventory!$A:$K,11,FALSE),0))</f>
        <v>130</v>
      </c>
      <c r="K138" s="85">
        <v>30.0</v>
      </c>
      <c r="L138" s="85">
        <f t="shared" si="3"/>
        <v>100</v>
      </c>
      <c r="M138" s="83" t="s">
        <v>330</v>
      </c>
      <c r="N138" s="85">
        <f>IF($F138="","",IFERROR(VLOOKUP($F138,Inventory!$A:$I,9,FALSE),0))</f>
        <v>80</v>
      </c>
      <c r="O138" s="85">
        <f t="shared" si="4"/>
        <v>80</v>
      </c>
      <c r="P138" s="85">
        <f t="shared" si="5"/>
        <v>20</v>
      </c>
      <c r="Q138" s="83"/>
      <c r="R138" s="87" t="str">
        <f>IF($E138="","",IF(COUNTIF($E$7:$E138,$E138)&gt;1,"",IFERROR(VLOOKUP($E138,Orders!$A:$I,8,FALSE),"")))</f>
        <v/>
      </c>
      <c r="S138" s="87" t="str">
        <f>IF($E138="","",IF(COUNTIF($E$7:$E138,$E138)&gt;1,"",IFERROR(VLOOKUP($E138,Orders!$A:$I,9,FALSE),"")))</f>
        <v/>
      </c>
      <c r="T138" s="88">
        <f t="shared" si="6"/>
        <v>20</v>
      </c>
      <c r="U138" s="88">
        <f>IF($F138="","",IF($E138="",T138,SUMIF(Sales!$E$7:$E$1506,$E138,Sales!$T$7:$T$1506)))</f>
        <v>20</v>
      </c>
      <c r="V138" s="49" t="str">
        <f t="shared" si="7"/>
        <v/>
      </c>
      <c r="W138" s="49" t="str">
        <f t="array" ref="W138">IF($V138="","",SUMPRODUCT((Sales!$V$7:$V$1506&lt;&gt;"")*(Sales!$E$7:$E$1506&lt;$E138))+1)</f>
        <v/>
      </c>
      <c r="X138" s="49">
        <f t="shared" si="8"/>
        <v>131</v>
      </c>
      <c r="Y138" s="49" t="str">
        <f t="shared" si="9"/>
        <v>202607-131</v>
      </c>
      <c r="AA138" s="73" t="str">
        <f>IF(Inventory!A136="","",Inventory!A136)</f>
        <v>FD-DRY-LR-0.95KG-001</v>
      </c>
    </row>
    <row r="139" ht="14.25" customHeight="1">
      <c r="A139" s="82">
        <v>46234.0</v>
      </c>
      <c r="B139" s="83" t="s">
        <v>324</v>
      </c>
      <c r="C139" s="83" t="s">
        <v>365</v>
      </c>
      <c r="D139" s="83" t="s">
        <v>366</v>
      </c>
      <c r="E139" s="83"/>
      <c r="F139" s="83" t="s">
        <v>179</v>
      </c>
      <c r="G139" s="83" t="str">
        <f>IF($F139="","",IFERROR(VLOOKUP($F139,Inventory!$A:$B,2,FALSE),""))</f>
        <v>Creamy Treat 15G (Purry &amp; Hyper Paws)</v>
      </c>
      <c r="H139" s="83">
        <v>5.0</v>
      </c>
      <c r="I139" s="84">
        <f t="shared" si="2"/>
        <v>20</v>
      </c>
      <c r="J139" s="85">
        <f>IF($F139="","",IFERROR(VLOOKUP($F139,Inventory!$A:$K,11,FALSE),0))</f>
        <v>20</v>
      </c>
      <c r="K139" s="85"/>
      <c r="L139" s="85">
        <f t="shared" si="3"/>
        <v>100</v>
      </c>
      <c r="M139" s="83" t="s">
        <v>330</v>
      </c>
      <c r="N139" s="85">
        <f>IF($F139="","",IFERROR(VLOOKUP($F139,Inventory!$A:$I,9,FALSE),0))</f>
        <v>8.147411853</v>
      </c>
      <c r="O139" s="85">
        <f t="shared" si="4"/>
        <v>40.73705926</v>
      </c>
      <c r="P139" s="85">
        <f t="shared" si="5"/>
        <v>59.26294074</v>
      </c>
      <c r="Q139" s="83"/>
      <c r="R139" s="87" t="str">
        <f>IF($E139="","",IF(COUNTIF($E$7:$E139,$E139)&gt;1,"",IFERROR(VLOOKUP($E139,Orders!$A:$I,8,FALSE),"")))</f>
        <v/>
      </c>
      <c r="S139" s="87" t="str">
        <f>IF($E139="","",IF(COUNTIF($E$7:$E139,$E139)&gt;1,"",IFERROR(VLOOKUP($E139,Orders!$A:$I,9,FALSE),"")))</f>
        <v/>
      </c>
      <c r="T139" s="88">
        <f t="shared" si="6"/>
        <v>59.26294074</v>
      </c>
      <c r="U139" s="88">
        <f>IF($F139="","",IF($E139="",T139,SUMIF(Sales!$E$7:$E$1506,$E139,Sales!$T$7:$T$1506)))</f>
        <v>59.26294074</v>
      </c>
      <c r="V139" s="49" t="str">
        <f t="shared" si="7"/>
        <v/>
      </c>
      <c r="W139" s="49" t="str">
        <f t="array" ref="W139">IF($V139="","",SUMPRODUCT((Sales!$V$7:$V$1506&lt;&gt;"")*(Sales!$E$7:$E$1506&lt;$E139))+1)</f>
        <v/>
      </c>
      <c r="X139" s="49">
        <f t="shared" si="8"/>
        <v>132</v>
      </c>
      <c r="Y139" s="49" t="str">
        <f t="shared" si="9"/>
        <v>202607-132</v>
      </c>
      <c r="AA139" s="73" t="str">
        <f>IF(Inventory!A137="","",Inventory!A137)</f>
        <v>FD-DRY-PR-1KG-001</v>
      </c>
    </row>
    <row r="140" ht="14.25" customHeight="1">
      <c r="A140" s="82">
        <v>46234.0</v>
      </c>
      <c r="B140" s="83" t="s">
        <v>324</v>
      </c>
      <c r="C140" s="83" t="s">
        <v>365</v>
      </c>
      <c r="D140" s="83" t="s">
        <v>366</v>
      </c>
      <c r="E140" s="83"/>
      <c r="F140" s="83" t="s">
        <v>159</v>
      </c>
      <c r="G140" s="83" t="str">
        <f>IF($F140="","",IFERROR(VLOOKUP($F140,Inventory!$A:$B,2,FALSE),""))</f>
        <v>Cat Litter Box Medium</v>
      </c>
      <c r="H140" s="83">
        <v>1.0</v>
      </c>
      <c r="I140" s="84">
        <f t="shared" si="2"/>
        <v>400</v>
      </c>
      <c r="J140" s="85">
        <f>IF($F140="","",IFERROR(VLOOKUP($F140,Inventory!$A:$K,11,FALSE),0))</f>
        <v>500</v>
      </c>
      <c r="K140" s="97">
        <v>100.0</v>
      </c>
      <c r="L140" s="85">
        <f t="shared" si="3"/>
        <v>400</v>
      </c>
      <c r="M140" s="83" t="s">
        <v>330</v>
      </c>
      <c r="N140" s="85">
        <f>IF($F140="","",IFERROR(VLOOKUP($F140,Inventory!$A:$I,9,FALSE),0))</f>
        <v>300</v>
      </c>
      <c r="O140" s="85">
        <f t="shared" si="4"/>
        <v>300</v>
      </c>
      <c r="P140" s="85">
        <f t="shared" si="5"/>
        <v>100</v>
      </c>
      <c r="Q140" s="83"/>
      <c r="R140" s="87" t="str">
        <f>IF($E140="","",IF(COUNTIF($E$7:$E140,$E140)&gt;1,"",IFERROR(VLOOKUP($E140,Orders!$A:$I,8,FALSE),"")))</f>
        <v/>
      </c>
      <c r="S140" s="87" t="str">
        <f>IF($E140="","",IF(COUNTIF($E$7:$E140,$E140)&gt;1,"",IFERROR(VLOOKUP($E140,Orders!$A:$I,9,FALSE),"")))</f>
        <v/>
      </c>
      <c r="T140" s="88">
        <f t="shared" si="6"/>
        <v>100</v>
      </c>
      <c r="U140" s="88">
        <f>IF($F140="","",IF($E140="",T140,SUMIF(Sales!$E$7:$E$1506,$E140,Sales!$T$7:$T$1506)))</f>
        <v>100</v>
      </c>
      <c r="V140" s="49" t="str">
        <f t="shared" si="7"/>
        <v/>
      </c>
      <c r="W140" s="49" t="str">
        <f t="array" ref="W140">IF($V140="","",SUMPRODUCT((Sales!$V$7:$V$1506&lt;&gt;"")*(Sales!$E$7:$E$1506&lt;$E140))+1)</f>
        <v/>
      </c>
      <c r="X140" s="49">
        <f t="shared" si="8"/>
        <v>133</v>
      </c>
      <c r="Y140" s="49" t="str">
        <f t="shared" si="9"/>
        <v>202607-133</v>
      </c>
      <c r="AA140" s="73" t="str">
        <f>IF(Inventory!A138="","",Inventory!A138)</f>
        <v>FD-DRY-KTCN-HM-1.3KG-001</v>
      </c>
    </row>
    <row r="141" ht="14.25" customHeight="1">
      <c r="A141" s="82">
        <v>46235.0</v>
      </c>
      <c r="B141" s="83" t="s">
        <v>324</v>
      </c>
      <c r="C141" s="83" t="s">
        <v>365</v>
      </c>
      <c r="D141" s="83" t="s">
        <v>366</v>
      </c>
      <c r="E141" s="83"/>
      <c r="F141" s="83" t="s">
        <v>179</v>
      </c>
      <c r="G141" s="83" t="str">
        <f>IF($F141="","",IFERROR(VLOOKUP($F141,Inventory!$A:$B,2,FALSE),""))</f>
        <v>Creamy Treat 15G (Purry &amp; Hyper Paws)</v>
      </c>
      <c r="H141" s="83">
        <v>1.0</v>
      </c>
      <c r="I141" s="84">
        <f t="shared" si="2"/>
        <v>20</v>
      </c>
      <c r="J141" s="85">
        <f>IF($F141="","",IFERROR(VLOOKUP($F141,Inventory!$A:$K,11,FALSE),0))</f>
        <v>20</v>
      </c>
      <c r="K141" s="85"/>
      <c r="L141" s="85">
        <f t="shared" si="3"/>
        <v>20</v>
      </c>
      <c r="M141" s="83" t="s">
        <v>330</v>
      </c>
      <c r="N141" s="85">
        <f>IF($F141="","",IFERROR(VLOOKUP($F141,Inventory!$A:$I,9,FALSE),0))</f>
        <v>8.147411853</v>
      </c>
      <c r="O141" s="85">
        <f t="shared" si="4"/>
        <v>8.147411853</v>
      </c>
      <c r="P141" s="85">
        <f t="shared" si="5"/>
        <v>11.85258815</v>
      </c>
      <c r="Q141" s="83"/>
      <c r="R141" s="87" t="str">
        <f>IF($E141="","",IF(COUNTIF($E$7:$E141,$E141)&gt;1,"",IFERROR(VLOOKUP($E141,Orders!$A:$I,8,FALSE),"")))</f>
        <v/>
      </c>
      <c r="S141" s="87" t="str">
        <f>IF($E141="","",IF(COUNTIF($E$7:$E141,$E141)&gt;1,"",IFERROR(VLOOKUP($E141,Orders!$A:$I,9,FALSE),"")))</f>
        <v/>
      </c>
      <c r="T141" s="88">
        <f t="shared" si="6"/>
        <v>11.85258815</v>
      </c>
      <c r="U141" s="88">
        <f>IF($F141="","",IF($E141="",T141,SUMIF(Sales!$E$7:$E$1506,$E141,Sales!$T$7:$T$1506)))</f>
        <v>11.85258815</v>
      </c>
      <c r="V141" s="49" t="str">
        <f t="shared" si="7"/>
        <v/>
      </c>
      <c r="W141" s="49" t="str">
        <f t="array" ref="W141">IF($V141="","",SUMPRODUCT((Sales!$V$7:$V$1506&lt;&gt;"")*(Sales!$E$7:$E$1506&lt;$E141))+1)</f>
        <v/>
      </c>
      <c r="X141" s="49">
        <f t="shared" si="8"/>
        <v>1</v>
      </c>
      <c r="Y141" s="49" t="str">
        <f t="shared" si="9"/>
        <v>202608-1</v>
      </c>
      <c r="AA141" s="73" t="str">
        <f>IF(Inventory!A139="","",Inventory!A139)</f>
        <v>FD-DRY-KTCN-UC-1.5KG-001</v>
      </c>
    </row>
    <row r="142" ht="14.25" customHeight="1">
      <c r="A142" s="82">
        <v>46235.0</v>
      </c>
      <c r="B142" s="83" t="s">
        <v>324</v>
      </c>
      <c r="C142" s="83" t="s">
        <v>365</v>
      </c>
      <c r="D142" s="83" t="s">
        <v>366</v>
      </c>
      <c r="E142" s="83"/>
      <c r="F142" s="83" t="s">
        <v>376</v>
      </c>
      <c r="G142" s="83" t="str">
        <f>IF($F142="","",IFERROR(VLOOKUP($F142,Inventory!$A:$B,2,FALSE),""))</f>
        <v>PetMetro Cat Litter Coffee 5L</v>
      </c>
      <c r="H142" s="83">
        <v>1.0</v>
      </c>
      <c r="I142" s="84">
        <f t="shared" si="2"/>
        <v>260</v>
      </c>
      <c r="J142" s="85">
        <f>IF($F142="","",IFERROR(VLOOKUP($F142,Inventory!$A:$K,11,FALSE),0))</f>
        <v>280</v>
      </c>
      <c r="K142" s="85">
        <v>20.0</v>
      </c>
      <c r="L142" s="85">
        <f t="shared" si="3"/>
        <v>260</v>
      </c>
      <c r="M142" s="83" t="s">
        <v>330</v>
      </c>
      <c r="N142" s="85">
        <f>IF($F142="","",IFERROR(VLOOKUP($F142,Inventory!$A:$I,9,FALSE),0))</f>
        <v>200</v>
      </c>
      <c r="O142" s="85">
        <f t="shared" si="4"/>
        <v>200</v>
      </c>
      <c r="P142" s="85">
        <f t="shared" si="5"/>
        <v>60</v>
      </c>
      <c r="Q142" s="83"/>
      <c r="R142" s="87" t="str">
        <f>IF($E142="","",IF(COUNTIF($E$7:$E142,$E142)&gt;1,"",IFERROR(VLOOKUP($E142,Orders!$A:$I,8,FALSE),"")))</f>
        <v/>
      </c>
      <c r="S142" s="87" t="str">
        <f>IF($E142="","",IF(COUNTIF($E$7:$E142,$E142)&gt;1,"",IFERROR(VLOOKUP($E142,Orders!$A:$I,9,FALSE),"")))</f>
        <v/>
      </c>
      <c r="T142" s="88">
        <f t="shared" si="6"/>
        <v>60</v>
      </c>
      <c r="U142" s="88">
        <f>IF($F142="","",IF($E142="",T142,SUMIF(Sales!$E$7:$E$1506,$E142,Sales!$T$7:$T$1506)))</f>
        <v>60</v>
      </c>
      <c r="V142" s="49" t="str">
        <f t="shared" si="7"/>
        <v/>
      </c>
      <c r="W142" s="49" t="str">
        <f t="array" ref="W142">IF($V142="","",SUMPRODUCT((Sales!$V$7:$V$1506&lt;&gt;"")*(Sales!$E$7:$E$1506&lt;$E142))+1)</f>
        <v/>
      </c>
      <c r="X142" s="49">
        <f t="shared" si="8"/>
        <v>2</v>
      </c>
      <c r="Y142" s="49" t="str">
        <f t="shared" si="9"/>
        <v>202608-2</v>
      </c>
      <c r="AA142" s="73" t="str">
        <f>IF(Inventory!A140="","",Inventory!A140)</f>
        <v>PO-WP-90G-001</v>
      </c>
    </row>
    <row r="143" ht="14.25" customHeight="1">
      <c r="A143" s="82">
        <v>46235.0</v>
      </c>
      <c r="B143" s="83" t="s">
        <v>324</v>
      </c>
      <c r="C143" s="83" t="s">
        <v>365</v>
      </c>
      <c r="D143" s="83" t="s">
        <v>366</v>
      </c>
      <c r="E143" s="83"/>
      <c r="F143" s="83" t="s">
        <v>179</v>
      </c>
      <c r="G143" s="83" t="str">
        <f>IF($F143="","",IFERROR(VLOOKUP($F143,Inventory!$A:$B,2,FALSE),""))</f>
        <v>Creamy Treat 15G (Purry &amp; Hyper Paws)</v>
      </c>
      <c r="H143" s="83">
        <v>2.0</v>
      </c>
      <c r="I143" s="84">
        <f t="shared" si="2"/>
        <v>20</v>
      </c>
      <c r="J143" s="85">
        <f>IF($F143="","",IFERROR(VLOOKUP($F143,Inventory!$A:$K,11,FALSE),0))</f>
        <v>20</v>
      </c>
      <c r="K143" s="85"/>
      <c r="L143" s="85">
        <f t="shared" si="3"/>
        <v>40</v>
      </c>
      <c r="M143" s="83" t="s">
        <v>330</v>
      </c>
      <c r="N143" s="85">
        <f>IF($F143="","",IFERROR(VLOOKUP($F143,Inventory!$A:$I,9,FALSE),0))</f>
        <v>8.147411853</v>
      </c>
      <c r="O143" s="85">
        <f t="shared" si="4"/>
        <v>16.29482371</v>
      </c>
      <c r="P143" s="85">
        <f t="shared" si="5"/>
        <v>23.70517629</v>
      </c>
      <c r="Q143" s="83"/>
      <c r="R143" s="87" t="str">
        <f>IF($E143="","",IF(COUNTIF($E$7:$E143,$E143)&gt;1,"",IFERROR(VLOOKUP($E143,Orders!$A:$I,8,FALSE),"")))</f>
        <v/>
      </c>
      <c r="S143" s="87" t="str">
        <f>IF($E143="","",IF(COUNTIF($E$7:$E143,$E143)&gt;1,"",IFERROR(VLOOKUP($E143,Orders!$A:$I,9,FALSE),"")))</f>
        <v/>
      </c>
      <c r="T143" s="88">
        <f t="shared" si="6"/>
        <v>23.70517629</v>
      </c>
      <c r="U143" s="88">
        <f>IF($F143="","",IF($E143="",T143,SUMIF(Sales!$E$7:$E$1506,$E143,Sales!$T$7:$T$1506)))</f>
        <v>23.70517629</v>
      </c>
      <c r="V143" s="49" t="str">
        <f t="shared" si="7"/>
        <v/>
      </c>
      <c r="W143" s="49" t="str">
        <f t="array" ref="W143">IF($V143="","",SUMPRODUCT((Sales!$V$7:$V$1506&lt;&gt;"")*(Sales!$E$7:$E$1506&lt;$E143))+1)</f>
        <v/>
      </c>
      <c r="X143" s="49">
        <f t="shared" si="8"/>
        <v>3</v>
      </c>
      <c r="Y143" s="49" t="str">
        <f t="shared" si="9"/>
        <v>202608-3</v>
      </c>
      <c r="AA143" s="73" t="str">
        <f>IF(Inventory!A141="","",Inventory!A141)</f>
        <v>PO-WP-90G-002</v>
      </c>
    </row>
    <row r="144" ht="14.25" customHeight="1">
      <c r="A144" s="82">
        <v>46235.0</v>
      </c>
      <c r="B144" s="83" t="s">
        <v>324</v>
      </c>
      <c r="C144" s="83" t="s">
        <v>365</v>
      </c>
      <c r="D144" s="83" t="s">
        <v>366</v>
      </c>
      <c r="E144" s="83"/>
      <c r="F144" s="83" t="s">
        <v>179</v>
      </c>
      <c r="G144" s="83" t="str">
        <f>IF($F144="","",IFERROR(VLOOKUP($F144,Inventory!$A:$B,2,FALSE),""))</f>
        <v>Creamy Treat 15G (Purry &amp; Hyper Paws)</v>
      </c>
      <c r="H144" s="83">
        <v>5.0</v>
      </c>
      <c r="I144" s="84">
        <f t="shared" si="2"/>
        <v>20</v>
      </c>
      <c r="J144" s="85">
        <f>IF($F144="","",IFERROR(VLOOKUP($F144,Inventory!$A:$K,11,FALSE),0))</f>
        <v>20</v>
      </c>
      <c r="K144" s="85"/>
      <c r="L144" s="85">
        <f t="shared" si="3"/>
        <v>100</v>
      </c>
      <c r="M144" s="83" t="s">
        <v>330</v>
      </c>
      <c r="N144" s="85">
        <f>IF($F144="","",IFERROR(VLOOKUP($F144,Inventory!$A:$I,9,FALSE),0))</f>
        <v>8.147411853</v>
      </c>
      <c r="O144" s="85">
        <f t="shared" si="4"/>
        <v>40.73705926</v>
      </c>
      <c r="P144" s="85">
        <f t="shared" si="5"/>
        <v>59.26294074</v>
      </c>
      <c r="Q144" s="83"/>
      <c r="R144" s="87" t="str">
        <f>IF($E144="","",IF(COUNTIF($E$7:$E144,$E144)&gt;1,"",IFERROR(VLOOKUP($E144,Orders!$A:$I,8,FALSE),"")))</f>
        <v/>
      </c>
      <c r="S144" s="87" t="str">
        <f>IF($E144="","",IF(COUNTIF($E$7:$E144,$E144)&gt;1,"",IFERROR(VLOOKUP($E144,Orders!$A:$I,9,FALSE),"")))</f>
        <v/>
      </c>
      <c r="T144" s="88">
        <f t="shared" si="6"/>
        <v>59.26294074</v>
      </c>
      <c r="U144" s="88">
        <f>IF($F144="","",IF($E144="",T144,SUMIF(Sales!$E$7:$E$1506,$E144,Sales!$T$7:$T$1506)))</f>
        <v>59.26294074</v>
      </c>
      <c r="V144" s="49" t="str">
        <f t="shared" si="7"/>
        <v/>
      </c>
      <c r="W144" s="49" t="str">
        <f t="array" ref="W144">IF($V144="","",SUMPRODUCT((Sales!$V$7:$V$1506&lt;&gt;"")*(Sales!$E$7:$E$1506&lt;$E144))+1)</f>
        <v/>
      </c>
      <c r="X144" s="49">
        <f t="shared" si="8"/>
        <v>4</v>
      </c>
      <c r="Y144" s="49" t="str">
        <f t="shared" si="9"/>
        <v>202608-4</v>
      </c>
      <c r="AA144" s="73" t="str">
        <f>IF(Inventory!A142="","",Inventory!A142)</f>
        <v>FD-WET-WP-002</v>
      </c>
    </row>
    <row r="145" ht="14.25" customHeight="1">
      <c r="A145" s="82">
        <v>46235.0</v>
      </c>
      <c r="B145" s="83" t="s">
        <v>324</v>
      </c>
      <c r="C145" s="83" t="s">
        <v>365</v>
      </c>
      <c r="D145" s="83" t="s">
        <v>366</v>
      </c>
      <c r="E145" s="83"/>
      <c r="F145" s="83" t="s">
        <v>378</v>
      </c>
      <c r="G145" s="83" t="str">
        <f>IF($F145="","",IFERROR(VLOOKUP($F145,Inventory!$A:$B,2,FALSE),""))</f>
        <v>Drools &amp; Purepet Mixe Cat Food 500gm</v>
      </c>
      <c r="H145" s="83">
        <v>4.0</v>
      </c>
      <c r="I145" s="84">
        <f t="shared" si="2"/>
        <v>170</v>
      </c>
      <c r="J145" s="85">
        <f>IF($F145="","",IFERROR(VLOOKUP($F145,Inventory!$A:$K,11,FALSE),0))</f>
        <v>225</v>
      </c>
      <c r="K145" s="85">
        <v>55.0</v>
      </c>
      <c r="L145" s="85">
        <f t="shared" si="3"/>
        <v>680</v>
      </c>
      <c r="M145" s="83" t="s">
        <v>330</v>
      </c>
      <c r="N145" s="85">
        <f>IF($F145="","",IFERROR(VLOOKUP($F145,Inventory!$A:$I,9,FALSE),0))</f>
        <v>152.9310345</v>
      </c>
      <c r="O145" s="85">
        <f t="shared" si="4"/>
        <v>611.7241379</v>
      </c>
      <c r="P145" s="85">
        <f t="shared" si="5"/>
        <v>68.27586207</v>
      </c>
      <c r="Q145" s="83"/>
      <c r="R145" s="87" t="str">
        <f>IF($E145="","",IF(COUNTIF($E$7:$E145,$E145)&gt;1,"",IFERROR(VLOOKUP($E145,Orders!$A:$I,8,FALSE),"")))</f>
        <v/>
      </c>
      <c r="S145" s="87" t="str">
        <f>IF($E145="","",IF(COUNTIF($E$7:$E145,$E145)&gt;1,"",IFERROR(VLOOKUP($E145,Orders!$A:$I,9,FALSE),"")))</f>
        <v/>
      </c>
      <c r="T145" s="88">
        <f t="shared" si="6"/>
        <v>68.27586207</v>
      </c>
      <c r="U145" s="88">
        <f>IF($F145="","",IF($E145="",T145,SUMIF(Sales!$E$7:$E$1506,$E145,Sales!$T$7:$T$1506)))</f>
        <v>68.27586207</v>
      </c>
      <c r="V145" s="49" t="str">
        <f t="shared" si="7"/>
        <v/>
      </c>
      <c r="W145" s="49" t="str">
        <f t="array" ref="W145">IF($V145="","",SUMPRODUCT((Sales!$V$7:$V$1506&lt;&gt;"")*(Sales!$E$7:$E$1506&lt;$E145))+1)</f>
        <v/>
      </c>
      <c r="X145" s="49">
        <f t="shared" si="8"/>
        <v>5</v>
      </c>
      <c r="Y145" s="49" t="str">
        <f t="shared" si="9"/>
        <v>202608-5</v>
      </c>
      <c r="AA145" s="73" t="str">
        <f>IF(Inventory!A143="","",Inventory!A143)</f>
        <v>TR-WP-Lol-001</v>
      </c>
    </row>
    <row r="146" ht="14.25" customHeight="1">
      <c r="A146" s="82">
        <v>46235.0</v>
      </c>
      <c r="B146" s="83" t="s">
        <v>324</v>
      </c>
      <c r="C146" s="83" t="s">
        <v>365</v>
      </c>
      <c r="D146" s="83" t="s">
        <v>366</v>
      </c>
      <c r="E146" s="83"/>
      <c r="F146" s="83" t="s">
        <v>342</v>
      </c>
      <c r="G146" s="83" t="str">
        <f>IF($F146="","",IFERROR(VLOOKUP($F146,Inventory!$A:$B,2,FALSE),""))</f>
        <v>Wanpy Cat Food Can Chicken</v>
      </c>
      <c r="H146" s="83">
        <v>1.0</v>
      </c>
      <c r="I146" s="84">
        <f t="shared" si="2"/>
        <v>190</v>
      </c>
      <c r="J146" s="85">
        <f>IF($F146="","",IFERROR(VLOOKUP($F146,Inventory!$A:$K,11,FALSE),0))</f>
        <v>210</v>
      </c>
      <c r="K146" s="85">
        <v>20.0</v>
      </c>
      <c r="L146" s="85">
        <f t="shared" si="3"/>
        <v>190</v>
      </c>
      <c r="M146" s="83" t="s">
        <v>330</v>
      </c>
      <c r="N146" s="85">
        <f>IF($F146="","",IFERROR(VLOOKUP($F146,Inventory!$A:$I,9,FALSE),0))</f>
        <v>160</v>
      </c>
      <c r="O146" s="85">
        <f t="shared" si="4"/>
        <v>160</v>
      </c>
      <c r="P146" s="85">
        <f t="shared" si="5"/>
        <v>30</v>
      </c>
      <c r="Q146" s="83"/>
      <c r="R146" s="87" t="str">
        <f>IF($E146="","",IF(COUNTIF($E$7:$E146,$E146)&gt;1,"",IFERROR(VLOOKUP($E146,Orders!$A:$I,8,FALSE),"")))</f>
        <v/>
      </c>
      <c r="S146" s="87" t="str">
        <f>IF($E146="","",IF(COUNTIF($E$7:$E146,$E146)&gt;1,"",IFERROR(VLOOKUP($E146,Orders!$A:$I,9,FALSE),"")))</f>
        <v/>
      </c>
      <c r="T146" s="88">
        <f t="shared" si="6"/>
        <v>30</v>
      </c>
      <c r="U146" s="88">
        <f>IF($F146="","",IF($E146="",T146,SUMIF(Sales!$E$7:$E$1506,$E146,Sales!$T$7:$T$1506)))</f>
        <v>30</v>
      </c>
      <c r="V146" s="49" t="str">
        <f t="shared" si="7"/>
        <v/>
      </c>
      <c r="W146" s="49" t="str">
        <f t="array" ref="W146">IF($V146="","",SUMPRODUCT((Sales!$V$7:$V$1506&lt;&gt;"")*(Sales!$E$7:$E$1506&lt;$E146))+1)</f>
        <v/>
      </c>
      <c r="X146" s="49">
        <f t="shared" si="8"/>
        <v>6</v>
      </c>
      <c r="Y146" s="49" t="str">
        <f t="shared" si="9"/>
        <v>202608-6</v>
      </c>
      <c r="AA146" s="73" t="str">
        <f>IF(Inventory!A144="","",Inventory!A144)</f>
        <v>TR-WP-Lol-002</v>
      </c>
    </row>
    <row r="147" ht="14.25" customHeight="1">
      <c r="A147" s="82">
        <v>46235.0</v>
      </c>
      <c r="B147" s="83" t="s">
        <v>324</v>
      </c>
      <c r="C147" s="83" t="s">
        <v>365</v>
      </c>
      <c r="D147" s="83" t="s">
        <v>366</v>
      </c>
      <c r="E147" s="83"/>
      <c r="F147" s="83" t="s">
        <v>368</v>
      </c>
      <c r="G147" s="83" t="str">
        <f>IF($F147="","",IFERROR(VLOOKUP($F147,Inventory!$A:$B,2,FALSE),""))</f>
        <v>Petmetro Gino Pouch - Chicken &amp; Cat Grass - 100g</v>
      </c>
      <c r="H147" s="83">
        <v>1.0</v>
      </c>
      <c r="I147" s="84">
        <f t="shared" si="2"/>
        <v>100</v>
      </c>
      <c r="J147" s="85">
        <f>IF($F147="","",IFERROR(VLOOKUP($F147,Inventory!$A:$K,11,FALSE),0))</f>
        <v>110</v>
      </c>
      <c r="K147" s="85">
        <v>10.0</v>
      </c>
      <c r="L147" s="85">
        <f t="shared" si="3"/>
        <v>100</v>
      </c>
      <c r="M147" s="83" t="s">
        <v>330</v>
      </c>
      <c r="N147" s="85">
        <f>IF($F147="","",IFERROR(VLOOKUP($F147,Inventory!$A:$I,9,FALSE),0))</f>
        <v>85</v>
      </c>
      <c r="O147" s="85">
        <f t="shared" si="4"/>
        <v>85</v>
      </c>
      <c r="P147" s="85">
        <f t="shared" si="5"/>
        <v>15</v>
      </c>
      <c r="Q147" s="83"/>
      <c r="R147" s="87" t="str">
        <f>IF($E147="","",IF(COUNTIF($E$7:$E147,$E147)&gt;1,"",IFERROR(VLOOKUP($E147,Orders!$A:$I,8,FALSE),"")))</f>
        <v/>
      </c>
      <c r="S147" s="87" t="str">
        <f>IF($E147="","",IF(COUNTIF($E$7:$E147,$E147)&gt;1,"",IFERROR(VLOOKUP($E147,Orders!$A:$I,9,FALSE),"")))</f>
        <v/>
      </c>
      <c r="T147" s="88">
        <f t="shared" si="6"/>
        <v>15</v>
      </c>
      <c r="U147" s="88">
        <f>IF($F147="","",IF($E147="",T147,SUMIF(Sales!$E$7:$E$1506,$E147,Sales!$T$7:$T$1506)))</f>
        <v>15</v>
      </c>
      <c r="V147" s="49" t="str">
        <f t="shared" si="7"/>
        <v/>
      </c>
      <c r="W147" s="49" t="str">
        <f t="array" ref="W147">IF($V147="","",SUMPRODUCT((Sales!$V$7:$V$1506&lt;&gt;"")*(Sales!$E$7:$E$1506&lt;$E147))+1)</f>
        <v/>
      </c>
      <c r="X147" s="49">
        <f t="shared" si="8"/>
        <v>7</v>
      </c>
      <c r="Y147" s="49" t="str">
        <f t="shared" si="9"/>
        <v>202608-7</v>
      </c>
      <c r="AA147" s="73" t="str">
        <f>IF(Inventory!A145="","",Inventory!A145)</f>
        <v>TR-WP-ST-001</v>
      </c>
    </row>
    <row r="148" ht="14.25" customHeight="1">
      <c r="A148" s="82">
        <v>46235.0</v>
      </c>
      <c r="B148" s="83" t="s">
        <v>324</v>
      </c>
      <c r="C148" s="83" t="s">
        <v>365</v>
      </c>
      <c r="D148" s="83" t="s">
        <v>366</v>
      </c>
      <c r="E148" s="83"/>
      <c r="F148" s="83" t="s">
        <v>179</v>
      </c>
      <c r="G148" s="83" t="str">
        <f>IF($F148="","",IFERROR(VLOOKUP($F148,Inventory!$A:$B,2,FALSE),""))</f>
        <v>Creamy Treat 15G (Purry &amp; Hyper Paws)</v>
      </c>
      <c r="H148" s="83">
        <v>5.0</v>
      </c>
      <c r="I148" s="84">
        <f t="shared" si="2"/>
        <v>16</v>
      </c>
      <c r="J148" s="85">
        <f>IF($F148="","",IFERROR(VLOOKUP($F148,Inventory!$A:$K,11,FALSE),0))</f>
        <v>20</v>
      </c>
      <c r="K148" s="85">
        <v>4.0</v>
      </c>
      <c r="L148" s="85">
        <f t="shared" si="3"/>
        <v>80</v>
      </c>
      <c r="M148" s="83" t="s">
        <v>330</v>
      </c>
      <c r="N148" s="85">
        <f>IF($F148="","",IFERROR(VLOOKUP($F148,Inventory!$A:$I,9,FALSE),0))</f>
        <v>8.147411853</v>
      </c>
      <c r="O148" s="85">
        <f t="shared" si="4"/>
        <v>40.73705926</v>
      </c>
      <c r="P148" s="85">
        <f t="shared" si="5"/>
        <v>39.26294074</v>
      </c>
      <c r="Q148" s="83"/>
      <c r="R148" s="87" t="str">
        <f>IF($E148="","",IF(COUNTIF($E$7:$E148,$E148)&gt;1,"",IFERROR(VLOOKUP($E148,Orders!$A:$I,8,FALSE),"")))</f>
        <v/>
      </c>
      <c r="S148" s="87" t="str">
        <f>IF($E148="","",IF(COUNTIF($E$7:$E148,$E148)&gt;1,"",IFERROR(VLOOKUP($E148,Orders!$A:$I,9,FALSE),"")))</f>
        <v/>
      </c>
      <c r="T148" s="88">
        <f t="shared" si="6"/>
        <v>39.26294074</v>
      </c>
      <c r="U148" s="88">
        <f>IF($F148="","",IF($E148="",T148,SUMIF(Sales!$E$7:$E$1506,$E148,Sales!$T$7:$T$1506)))</f>
        <v>39.26294074</v>
      </c>
      <c r="V148" s="49" t="str">
        <f t="shared" si="7"/>
        <v/>
      </c>
      <c r="W148" s="49" t="str">
        <f t="array" ref="W148">IF($V148="","",SUMPRODUCT((Sales!$V$7:$V$1506&lt;&gt;"")*(Sales!$E$7:$E$1506&lt;$E148))+1)</f>
        <v/>
      </c>
      <c r="X148" s="49">
        <f t="shared" si="8"/>
        <v>8</v>
      </c>
      <c r="Y148" s="49" t="str">
        <f t="shared" si="9"/>
        <v>202608-8</v>
      </c>
      <c r="AA148" s="73" t="str">
        <f>IF(Inventory!A146="","",Inventory!A146)</f>
        <v>TR-WP-ST-002</v>
      </c>
    </row>
    <row r="149" ht="14.25" customHeight="1">
      <c r="A149" s="82">
        <v>46235.0</v>
      </c>
      <c r="B149" s="83" t="s">
        <v>324</v>
      </c>
      <c r="C149" s="83" t="s">
        <v>365</v>
      </c>
      <c r="D149" s="83" t="s">
        <v>366</v>
      </c>
      <c r="E149" s="83"/>
      <c r="F149" s="83" t="s">
        <v>179</v>
      </c>
      <c r="G149" s="83" t="str">
        <f>IF($F149="","",IFERROR(VLOOKUP($F149,Inventory!$A:$B,2,FALSE),""))</f>
        <v>Creamy Treat 15G (Purry &amp; Hyper Paws)</v>
      </c>
      <c r="H149" s="83">
        <v>1.0</v>
      </c>
      <c r="I149" s="84">
        <f t="shared" si="2"/>
        <v>20</v>
      </c>
      <c r="J149" s="85">
        <f>IF($F149="","",IFERROR(VLOOKUP($F149,Inventory!$A:$K,11,FALSE),0))</f>
        <v>20</v>
      </c>
      <c r="K149" s="85"/>
      <c r="L149" s="85">
        <f t="shared" si="3"/>
        <v>20</v>
      </c>
      <c r="M149" s="83" t="s">
        <v>330</v>
      </c>
      <c r="N149" s="85">
        <f>IF($F149="","",IFERROR(VLOOKUP($F149,Inventory!$A:$I,9,FALSE),0))</f>
        <v>8.147411853</v>
      </c>
      <c r="O149" s="85">
        <f t="shared" si="4"/>
        <v>8.147411853</v>
      </c>
      <c r="P149" s="85">
        <f t="shared" si="5"/>
        <v>11.85258815</v>
      </c>
      <c r="Q149" s="83"/>
      <c r="R149" s="87" t="str">
        <f>IF($E149="","",IF(COUNTIF($E$7:$E149,$E149)&gt;1,"",IFERROR(VLOOKUP($E149,Orders!$A:$I,8,FALSE),"")))</f>
        <v/>
      </c>
      <c r="S149" s="87" t="str">
        <f>IF($E149="","",IF(COUNTIF($E$7:$E149,$E149)&gt;1,"",IFERROR(VLOOKUP($E149,Orders!$A:$I,9,FALSE),"")))</f>
        <v/>
      </c>
      <c r="T149" s="88">
        <f t="shared" si="6"/>
        <v>11.85258815</v>
      </c>
      <c r="U149" s="88">
        <f>IF($F149="","",IF($E149="",T149,SUMIF(Sales!$E$7:$E$1506,$E149,Sales!$T$7:$T$1506)))</f>
        <v>11.85258815</v>
      </c>
      <c r="V149" s="49" t="str">
        <f t="shared" si="7"/>
        <v/>
      </c>
      <c r="W149" s="49" t="str">
        <f t="array" ref="W149">IF($V149="","",SUMPRODUCT((Sales!$V$7:$V$1506&lt;&gt;"")*(Sales!$E$7:$E$1506&lt;$E149))+1)</f>
        <v/>
      </c>
      <c r="X149" s="49">
        <f t="shared" si="8"/>
        <v>9</v>
      </c>
      <c r="Y149" s="49" t="str">
        <f t="shared" si="9"/>
        <v>202608-9</v>
      </c>
      <c r="AA149" s="73" t="str">
        <f>IF(Inventory!A147="","",Inventory!A147)</f>
        <v>TR-WP-ST-S-003</v>
      </c>
    </row>
    <row r="150" ht="14.25" customHeight="1">
      <c r="A150" s="82">
        <v>46235.0</v>
      </c>
      <c r="B150" s="83" t="s">
        <v>324</v>
      </c>
      <c r="C150" s="83" t="s">
        <v>365</v>
      </c>
      <c r="D150" s="83" t="s">
        <v>366</v>
      </c>
      <c r="E150" s="83"/>
      <c r="F150" s="83" t="s">
        <v>179</v>
      </c>
      <c r="G150" s="83" t="str">
        <f>IF($F150="","",IFERROR(VLOOKUP($F150,Inventory!$A:$B,2,FALSE),""))</f>
        <v>Creamy Treat 15G (Purry &amp; Hyper Paws)</v>
      </c>
      <c r="H150" s="83">
        <v>2.0</v>
      </c>
      <c r="I150" s="84">
        <f t="shared" si="2"/>
        <v>20</v>
      </c>
      <c r="J150" s="85">
        <f>IF($F150="","",IFERROR(VLOOKUP($F150,Inventory!$A:$K,11,FALSE),0))</f>
        <v>20</v>
      </c>
      <c r="K150" s="85"/>
      <c r="L150" s="85">
        <f t="shared" si="3"/>
        <v>40</v>
      </c>
      <c r="M150" s="83" t="s">
        <v>330</v>
      </c>
      <c r="N150" s="85">
        <f>IF($F150="","",IFERROR(VLOOKUP($F150,Inventory!$A:$I,9,FALSE),0))</f>
        <v>8.147411853</v>
      </c>
      <c r="O150" s="85">
        <f t="shared" si="4"/>
        <v>16.29482371</v>
      </c>
      <c r="P150" s="85">
        <f t="shared" si="5"/>
        <v>23.70517629</v>
      </c>
      <c r="Q150" s="83"/>
      <c r="R150" s="87" t="str">
        <f>IF($E150="","",IF(COUNTIF($E$7:$E150,$E150)&gt;1,"",IFERROR(VLOOKUP($E150,Orders!$A:$I,8,FALSE),"")))</f>
        <v/>
      </c>
      <c r="S150" s="87" t="str">
        <f>IF($E150="","",IF(COUNTIF($E$7:$E150,$E150)&gt;1,"",IFERROR(VLOOKUP($E150,Orders!$A:$I,9,FALSE),"")))</f>
        <v/>
      </c>
      <c r="T150" s="88">
        <f t="shared" si="6"/>
        <v>23.70517629</v>
      </c>
      <c r="U150" s="88">
        <f>IF($F150="","",IF($E150="",T150,SUMIF(Sales!$E$7:$E$1506,$E150,Sales!$T$7:$T$1506)))</f>
        <v>23.70517629</v>
      </c>
      <c r="V150" s="49" t="str">
        <f t="shared" si="7"/>
        <v/>
      </c>
      <c r="W150" s="49" t="str">
        <f t="array" ref="W150">IF($V150="","",SUMPRODUCT((Sales!$V$7:$V$1506&lt;&gt;"")*(Sales!$E$7:$E$1506&lt;$E150))+1)</f>
        <v/>
      </c>
      <c r="X150" s="49">
        <f t="shared" si="8"/>
        <v>10</v>
      </c>
      <c r="Y150" s="49" t="str">
        <f t="shared" si="9"/>
        <v>202608-10</v>
      </c>
      <c r="AA150" s="73" t="str">
        <f>IF(Inventory!A148="","",Inventory!A148)</f>
        <v>TR-WP-ST-S-004</v>
      </c>
    </row>
    <row r="151" ht="14.25" customHeight="1">
      <c r="A151" s="82">
        <v>46235.0</v>
      </c>
      <c r="B151" s="83" t="s">
        <v>324</v>
      </c>
      <c r="C151" s="83" t="s">
        <v>365</v>
      </c>
      <c r="D151" s="83" t="s">
        <v>366</v>
      </c>
      <c r="E151" s="83"/>
      <c r="F151" s="83" t="s">
        <v>359</v>
      </c>
      <c r="G151" s="83" t="str">
        <f>IF($F151="","",IFERROR(VLOOKUP($F151,Inventory!$A:$B,2,FALSE),""))</f>
        <v>Petmetro Premium Pouch Chicken &amp; Tuna 85gm</v>
      </c>
      <c r="H151" s="83">
        <v>1.0</v>
      </c>
      <c r="I151" s="84">
        <f t="shared" si="2"/>
        <v>70</v>
      </c>
      <c r="J151" s="85">
        <f>IF($F151="","",IFERROR(VLOOKUP($F151,Inventory!$A:$K,11,FALSE),0))</f>
        <v>80</v>
      </c>
      <c r="K151" s="85">
        <v>10.0</v>
      </c>
      <c r="L151" s="85">
        <f t="shared" si="3"/>
        <v>70</v>
      </c>
      <c r="M151" s="83" t="s">
        <v>330</v>
      </c>
      <c r="N151" s="85">
        <f>IF($F151="","",IFERROR(VLOOKUP($F151,Inventory!$A:$I,9,FALSE),0))</f>
        <v>60</v>
      </c>
      <c r="O151" s="85">
        <f t="shared" si="4"/>
        <v>60</v>
      </c>
      <c r="P151" s="85">
        <f t="shared" si="5"/>
        <v>10</v>
      </c>
      <c r="Q151" s="83"/>
      <c r="R151" s="87" t="str">
        <f>IF($E151="","",IF(COUNTIF($E$7:$E151,$E151)&gt;1,"",IFERROR(VLOOKUP($E151,Orders!$A:$I,8,FALSE),"")))</f>
        <v/>
      </c>
      <c r="S151" s="87" t="str">
        <f>IF($E151="","",IF(COUNTIF($E$7:$E151,$E151)&gt;1,"",IFERROR(VLOOKUP($E151,Orders!$A:$I,9,FALSE),"")))</f>
        <v/>
      </c>
      <c r="T151" s="88">
        <f t="shared" si="6"/>
        <v>10</v>
      </c>
      <c r="U151" s="88">
        <f>IF($F151="","",IF($E151="",T151,SUMIF(Sales!$E$7:$E$1506,$E151,Sales!$T$7:$T$1506)))</f>
        <v>10</v>
      </c>
      <c r="V151" s="49" t="str">
        <f t="shared" si="7"/>
        <v/>
      </c>
      <c r="W151" s="49" t="str">
        <f t="array" ref="W151">IF($V151="","",SUMPRODUCT((Sales!$V$7:$V$1506&lt;&gt;"")*(Sales!$E$7:$E$1506&lt;$E151))+1)</f>
        <v/>
      </c>
      <c r="X151" s="49">
        <f t="shared" si="8"/>
        <v>11</v>
      </c>
      <c r="Y151" s="49" t="str">
        <f t="shared" si="9"/>
        <v>202608-11</v>
      </c>
      <c r="AA151" s="73" t="str">
        <f>IF(Inventory!A149="","",Inventory!A149)</f>
        <v>AC-SHAMP-H-001</v>
      </c>
    </row>
    <row r="152" ht="14.25" customHeight="1">
      <c r="A152" s="82">
        <v>46236.0</v>
      </c>
      <c r="B152" s="83" t="s">
        <v>324</v>
      </c>
      <c r="C152" s="83" t="s">
        <v>325</v>
      </c>
      <c r="D152" s="83" t="s">
        <v>584</v>
      </c>
      <c r="E152" s="83" t="s">
        <v>585</v>
      </c>
      <c r="F152" s="83" t="s">
        <v>200</v>
      </c>
      <c r="G152" s="83" t="str">
        <f>IF($F152="","",IFERROR(VLOOKUP($F152,Inventory!$A:$B,2,FALSE),""))</f>
        <v>Cozie Cat Litter Lavender 5L</v>
      </c>
      <c r="H152" s="83">
        <v>1.0</v>
      </c>
      <c r="I152" s="84">
        <f t="shared" si="2"/>
        <v>370</v>
      </c>
      <c r="J152" s="85">
        <f>IF($F152="","",IFERROR(VLOOKUP($F152,Inventory!$A:$K,11,FALSE),0))</f>
        <v>370</v>
      </c>
      <c r="K152" s="85"/>
      <c r="L152" s="85">
        <f t="shared" si="3"/>
        <v>370</v>
      </c>
      <c r="M152" s="83" t="s">
        <v>330</v>
      </c>
      <c r="N152" s="85">
        <f>IF($F152="","",IFERROR(VLOOKUP($F152,Inventory!$A:$I,9,FALSE),0))</f>
        <v>230</v>
      </c>
      <c r="O152" s="85">
        <f t="shared" si="4"/>
        <v>230</v>
      </c>
      <c r="P152" s="85">
        <f t="shared" si="5"/>
        <v>140</v>
      </c>
      <c r="Q152" s="83"/>
      <c r="R152" s="87">
        <f>IF($E152="","",IF(COUNTIF($E$7:$E152,$E152)&gt;1,"",IFERROR(VLOOKUP($E152,Orders!$A:$I,8,FALSE),"")))</f>
        <v>50</v>
      </c>
      <c r="S152" s="87">
        <f>IF($E152="","",IF(COUNTIF($E$7:$E152,$E152)&gt;1,"",IFERROR(VLOOKUP($E152,Orders!$A:$I,9,FALSE),"")))</f>
        <v>50</v>
      </c>
      <c r="T152" s="88">
        <f t="shared" si="6"/>
        <v>140</v>
      </c>
      <c r="U152" s="88">
        <f>IF($F152="","",IF($E152="",T152,SUMIF(Sales!$E$7:$E$1506,$E152,Sales!$T$7:$T$1506)))</f>
        <v>140</v>
      </c>
      <c r="V152" s="49">
        <f t="shared" si="7"/>
        <v>10</v>
      </c>
      <c r="W152" s="49">
        <f t="array" ref="W152">IF($V152="","",SUMPRODUCT((Sales!$V$7:$V$1506&lt;&gt;"")*(Sales!$E$7:$E$1506&lt;$E152))+1)</f>
        <v>12</v>
      </c>
      <c r="X152" s="49">
        <f t="shared" si="8"/>
        <v>12</v>
      </c>
      <c r="Y152" s="49" t="str">
        <f t="shared" si="9"/>
        <v>202608-12</v>
      </c>
      <c r="AA152" s="73" t="str">
        <f>IF(Inventory!A150="","",Inventory!A150)</f>
        <v>AC-Grass-001</v>
      </c>
    </row>
    <row r="153" ht="14.25" customHeight="1">
      <c r="A153" s="82">
        <v>46236.0</v>
      </c>
      <c r="B153" s="83" t="s">
        <v>324</v>
      </c>
      <c r="C153" s="83" t="s">
        <v>365</v>
      </c>
      <c r="D153" s="83" t="s">
        <v>366</v>
      </c>
      <c r="E153" s="83"/>
      <c r="F153" s="83" t="s">
        <v>418</v>
      </c>
      <c r="G153" s="83" t="str">
        <f>IF($F153="","",IFERROR(VLOOKUP($F153,Inventory!$A:$B,2,FALSE),""))</f>
        <v>Drools &amp; Purepet Mixe Cat Food 250gm</v>
      </c>
      <c r="H153" s="83">
        <v>1.0</v>
      </c>
      <c r="I153" s="84">
        <f t="shared" si="2"/>
        <v>110</v>
      </c>
      <c r="J153" s="85">
        <f>IF($F153="","",IFERROR(VLOOKUP($F153,Inventory!$A:$K,11,FALSE),0))</f>
        <v>120</v>
      </c>
      <c r="K153" s="85">
        <v>10.0</v>
      </c>
      <c r="L153" s="85">
        <f t="shared" si="3"/>
        <v>110</v>
      </c>
      <c r="M153" s="83" t="s">
        <v>330</v>
      </c>
      <c r="N153" s="85">
        <f>IF($F153="","",IFERROR(VLOOKUP($F153,Inventory!$A:$I,9,FALSE),0))</f>
        <v>75.28333333</v>
      </c>
      <c r="O153" s="85">
        <f t="shared" si="4"/>
        <v>75.28333333</v>
      </c>
      <c r="P153" s="85">
        <f t="shared" si="5"/>
        <v>34.71666667</v>
      </c>
      <c r="Q153" s="83"/>
      <c r="R153" s="87" t="str">
        <f>IF($E153="","",IF(COUNTIF($E$7:$E153,$E153)&gt;1,"",IFERROR(VLOOKUP($E153,Orders!$A:$I,8,FALSE),"")))</f>
        <v/>
      </c>
      <c r="S153" s="87" t="str">
        <f>IF($E153="","",IF(COUNTIF($E$7:$E153,$E153)&gt;1,"",IFERROR(VLOOKUP($E153,Orders!$A:$I,9,FALSE),"")))</f>
        <v/>
      </c>
      <c r="T153" s="88">
        <f t="shared" si="6"/>
        <v>34.71666667</v>
      </c>
      <c r="U153" s="88">
        <f>IF($F153="","",IF($E153="",T153,SUMIF(Sales!$E$7:$E$1506,$E153,Sales!$T$7:$T$1506)))</f>
        <v>34.71666667</v>
      </c>
      <c r="V153" s="49" t="str">
        <f t="shared" si="7"/>
        <v/>
      </c>
      <c r="W153" s="49" t="str">
        <f t="array" ref="W153">IF($V153="","",SUMPRODUCT((Sales!$V$7:$V$1506&lt;&gt;"")*(Sales!$E$7:$E$1506&lt;$E153))+1)</f>
        <v/>
      </c>
      <c r="X153" s="49">
        <f t="shared" si="8"/>
        <v>13</v>
      </c>
      <c r="Y153" s="49" t="str">
        <f t="shared" si="9"/>
        <v>202608-13</v>
      </c>
      <c r="AA153" s="73" t="str">
        <f>IF(Inventory!A151="","",Inventory!A151)</f>
        <v>LT-LM-Clean-5L-001</v>
      </c>
    </row>
    <row r="154" ht="14.25" customHeight="1">
      <c r="A154" s="82">
        <v>46236.0</v>
      </c>
      <c r="B154" s="83" t="s">
        <v>324</v>
      </c>
      <c r="C154" s="83" t="s">
        <v>365</v>
      </c>
      <c r="D154" s="83" t="s">
        <v>366</v>
      </c>
      <c r="E154" s="83"/>
      <c r="F154" s="83" t="s">
        <v>207</v>
      </c>
      <c r="G154" s="83" t="str">
        <f>IF($F154="","",IFERROR(VLOOKUP($F154,Inventory!$A:$B,2,FALSE),""))</f>
        <v>Nekko Pouch 70G Tuna in Chicken Mousse For Kitten</v>
      </c>
      <c r="H154" s="83">
        <v>1.0</v>
      </c>
      <c r="I154" s="84">
        <f t="shared" si="2"/>
        <v>90</v>
      </c>
      <c r="J154" s="85">
        <f>IF($F154="","",IFERROR(VLOOKUP($F154,Inventory!$A:$K,11,FALSE),0))</f>
        <v>90</v>
      </c>
      <c r="K154" s="85"/>
      <c r="L154" s="85">
        <f t="shared" si="3"/>
        <v>90</v>
      </c>
      <c r="M154" s="83" t="s">
        <v>330</v>
      </c>
      <c r="N154" s="85">
        <f>IF($F154="","",IFERROR(VLOOKUP($F154,Inventory!$A:$I,9,FALSE),0))</f>
        <v>65.17241379</v>
      </c>
      <c r="O154" s="85">
        <f t="shared" si="4"/>
        <v>65.17241379</v>
      </c>
      <c r="P154" s="85">
        <f t="shared" si="5"/>
        <v>24.82758621</v>
      </c>
      <c r="Q154" s="83"/>
      <c r="R154" s="87" t="str">
        <f>IF($E154="","",IF(COUNTIF($E$7:$E154,$E154)&gt;1,"",IFERROR(VLOOKUP($E154,Orders!$A:$I,8,FALSE),"")))</f>
        <v/>
      </c>
      <c r="S154" s="87" t="str">
        <f>IF($E154="","",IF(COUNTIF($E$7:$E154,$E154)&gt;1,"",IFERROR(VLOOKUP($E154,Orders!$A:$I,9,FALSE),"")))</f>
        <v/>
      </c>
      <c r="T154" s="88">
        <f t="shared" si="6"/>
        <v>24.82758621</v>
      </c>
      <c r="U154" s="88">
        <f>IF($F154="","",IF($E154="",T154,SUMIF(Sales!$E$7:$E$1506,$E154,Sales!$T$7:$T$1506)))</f>
        <v>24.82758621</v>
      </c>
      <c r="V154" s="49" t="str">
        <f t="shared" si="7"/>
        <v/>
      </c>
      <c r="W154" s="49" t="str">
        <f t="array" ref="W154">IF($V154="","",SUMPRODUCT((Sales!$V$7:$V$1506&lt;&gt;"")*(Sales!$E$7:$E$1506&lt;$E154))+1)</f>
        <v/>
      </c>
      <c r="X154" s="49">
        <f t="shared" si="8"/>
        <v>14</v>
      </c>
      <c r="Y154" s="49" t="str">
        <f t="shared" si="9"/>
        <v>202608-14</v>
      </c>
      <c r="AA154" s="73" t="str">
        <f>IF(Inventory!A152="","",Inventory!A152)</f>
        <v>LT-LV-Clean-5L-001</v>
      </c>
    </row>
    <row r="155" ht="14.25" customHeight="1">
      <c r="A155" s="82">
        <v>46236.0</v>
      </c>
      <c r="B155" s="83" t="s">
        <v>324</v>
      </c>
      <c r="C155" s="83" t="s">
        <v>365</v>
      </c>
      <c r="D155" s="83" t="s">
        <v>366</v>
      </c>
      <c r="E155" s="83"/>
      <c r="F155" s="83" t="s">
        <v>168</v>
      </c>
      <c r="G155" s="83" t="str">
        <f>IF($F155="","",IFERROR(VLOOKUP($F155,Inventory!$A:$B,2,FALSE),""))</f>
        <v>Chonk All ages Chicken</v>
      </c>
      <c r="H155" s="83">
        <v>1.0</v>
      </c>
      <c r="I155" s="84">
        <f t="shared" si="2"/>
        <v>500</v>
      </c>
      <c r="J155" s="85">
        <f>IF($F155="","",IFERROR(VLOOKUP($F155,Inventory!$A:$K,11,FALSE),0))</f>
        <v>500</v>
      </c>
      <c r="K155" s="85"/>
      <c r="L155" s="85">
        <f t="shared" si="3"/>
        <v>500</v>
      </c>
      <c r="M155" s="83" t="s">
        <v>330</v>
      </c>
      <c r="N155" s="85">
        <f>IF($F155="","",IFERROR(VLOOKUP($F155,Inventory!$A:$I,9,FALSE),0))</f>
        <v>400</v>
      </c>
      <c r="O155" s="85">
        <f t="shared" si="4"/>
        <v>400</v>
      </c>
      <c r="P155" s="85">
        <f t="shared" si="5"/>
        <v>100</v>
      </c>
      <c r="Q155" s="83"/>
      <c r="R155" s="87" t="str">
        <f>IF($E155="","",IF(COUNTIF($E$7:$E155,$E155)&gt;1,"",IFERROR(VLOOKUP($E155,Orders!$A:$I,8,FALSE),"")))</f>
        <v/>
      </c>
      <c r="S155" s="87" t="str">
        <f>IF($E155="","",IF(COUNTIF($E$7:$E155,$E155)&gt;1,"",IFERROR(VLOOKUP($E155,Orders!$A:$I,9,FALSE),"")))</f>
        <v/>
      </c>
      <c r="T155" s="88">
        <f t="shared" si="6"/>
        <v>100</v>
      </c>
      <c r="U155" s="88">
        <f>IF($F155="","",IF($E155="",T155,SUMIF(Sales!$E$7:$E$1506,$E155,Sales!$T$7:$T$1506)))</f>
        <v>100</v>
      </c>
      <c r="V155" s="49" t="str">
        <f t="shared" si="7"/>
        <v/>
      </c>
      <c r="W155" s="49" t="str">
        <f t="array" ref="W155">IF($V155="","",SUMPRODUCT((Sales!$V$7:$V$1506&lt;&gt;"")*(Sales!$E$7:$E$1506&lt;$E155))+1)</f>
        <v/>
      </c>
      <c r="X155" s="49">
        <f t="shared" si="8"/>
        <v>15</v>
      </c>
      <c r="Y155" s="49" t="str">
        <f t="shared" si="9"/>
        <v>202608-15</v>
      </c>
      <c r="AA155" s="73" t="str">
        <f>IF(Inventory!A153="","",Inventory!A153)</f>
        <v>LT-LM-LUM-10L-005</v>
      </c>
    </row>
    <row r="156" ht="14.25" customHeight="1">
      <c r="A156" s="82">
        <v>46236.0</v>
      </c>
      <c r="B156" s="83" t="s">
        <v>324</v>
      </c>
      <c r="C156" s="83" t="s">
        <v>365</v>
      </c>
      <c r="D156" s="83" t="s">
        <v>366</v>
      </c>
      <c r="E156" s="83"/>
      <c r="F156" s="83" t="s">
        <v>372</v>
      </c>
      <c r="G156" s="83" t="str">
        <f>IF($F156="","",IFERROR(VLOOKUP($F156,Inventory!$A:$B,2,FALSE),""))</f>
        <v>Premium Pet Collar Multicolor</v>
      </c>
      <c r="H156" s="83">
        <v>1.0</v>
      </c>
      <c r="I156" s="84">
        <f t="shared" si="2"/>
        <v>70</v>
      </c>
      <c r="J156" s="85">
        <f>IF($F156="","",IFERROR(VLOOKUP($F156,Inventory!$A:$K,11,FALSE),0))</f>
        <v>75</v>
      </c>
      <c r="K156" s="85">
        <v>5.0</v>
      </c>
      <c r="L156" s="85">
        <f t="shared" si="3"/>
        <v>70</v>
      </c>
      <c r="M156" s="83" t="s">
        <v>330</v>
      </c>
      <c r="N156" s="85">
        <f>IF($F156="","",IFERROR(VLOOKUP($F156,Inventory!$A:$I,9,FALSE),0))</f>
        <v>37</v>
      </c>
      <c r="O156" s="85">
        <f t="shared" si="4"/>
        <v>37</v>
      </c>
      <c r="P156" s="85">
        <f t="shared" si="5"/>
        <v>33</v>
      </c>
      <c r="Q156" s="83"/>
      <c r="R156" s="87" t="str">
        <f>IF($E156="","",IF(COUNTIF($E$7:$E156,$E156)&gt;1,"",IFERROR(VLOOKUP($E156,Orders!$A:$I,8,FALSE),"")))</f>
        <v/>
      </c>
      <c r="S156" s="87" t="str">
        <f>IF($E156="","",IF(COUNTIF($E$7:$E156,$E156)&gt;1,"",IFERROR(VLOOKUP($E156,Orders!$A:$I,9,FALSE),"")))</f>
        <v/>
      </c>
      <c r="T156" s="88">
        <f t="shared" si="6"/>
        <v>33</v>
      </c>
      <c r="U156" s="88">
        <f>IF($F156="","",IF($E156="",T156,SUMIF(Sales!$E$7:$E$1506,$E156,Sales!$T$7:$T$1506)))</f>
        <v>33</v>
      </c>
      <c r="V156" s="49" t="str">
        <f t="shared" si="7"/>
        <v/>
      </c>
      <c r="W156" s="49" t="str">
        <f t="array" ref="W156">IF($V156="","",SUMPRODUCT((Sales!$V$7:$V$1506&lt;&gt;"")*(Sales!$E$7:$E$1506&lt;$E156))+1)</f>
        <v/>
      </c>
      <c r="X156" s="49">
        <f t="shared" si="8"/>
        <v>16</v>
      </c>
      <c r="Y156" s="49" t="str">
        <f t="shared" si="9"/>
        <v>202608-16</v>
      </c>
      <c r="AA156" s="73" t="str">
        <f>IF(Inventory!A154="","",Inventory!A154)</f>
        <v>LT-CoF-LUM-25L-002</v>
      </c>
    </row>
    <row r="157" ht="14.25" customHeight="1">
      <c r="A157" s="82">
        <v>46236.0</v>
      </c>
      <c r="B157" s="83" t="s">
        <v>324</v>
      </c>
      <c r="C157" s="83" t="s">
        <v>365</v>
      </c>
      <c r="D157" s="83" t="s">
        <v>366</v>
      </c>
      <c r="E157" s="83"/>
      <c r="F157" s="83" t="s">
        <v>179</v>
      </c>
      <c r="G157" s="83" t="str">
        <f>IF($F157="","",IFERROR(VLOOKUP($F157,Inventory!$A:$B,2,FALSE),""))</f>
        <v>Creamy Treat 15G (Purry &amp; Hyper Paws)</v>
      </c>
      <c r="H157" s="83">
        <v>3.0</v>
      </c>
      <c r="I157" s="84">
        <f t="shared" si="2"/>
        <v>20</v>
      </c>
      <c r="J157" s="85">
        <f>IF($F157="","",IFERROR(VLOOKUP($F157,Inventory!$A:$K,11,FALSE),0))</f>
        <v>20</v>
      </c>
      <c r="K157" s="85"/>
      <c r="L157" s="85">
        <f t="shared" si="3"/>
        <v>60</v>
      </c>
      <c r="M157" s="83" t="s">
        <v>330</v>
      </c>
      <c r="N157" s="85">
        <f>IF($F157="","",IFERROR(VLOOKUP($F157,Inventory!$A:$I,9,FALSE),0))</f>
        <v>8.147411853</v>
      </c>
      <c r="O157" s="85">
        <f t="shared" si="4"/>
        <v>24.44223556</v>
      </c>
      <c r="P157" s="85">
        <f t="shared" si="5"/>
        <v>35.55776444</v>
      </c>
      <c r="Q157" s="83"/>
      <c r="R157" s="87" t="str">
        <f>IF($E157="","",IF(COUNTIF($E$7:$E157,$E157)&gt;1,"",IFERROR(VLOOKUP($E157,Orders!$A:$I,8,FALSE),"")))</f>
        <v/>
      </c>
      <c r="S157" s="87" t="str">
        <f>IF($E157="","",IF(COUNTIF($E$7:$E157,$E157)&gt;1,"",IFERROR(VLOOKUP($E157,Orders!$A:$I,9,FALSE),"")))</f>
        <v/>
      </c>
      <c r="T157" s="88">
        <f t="shared" si="6"/>
        <v>35.55776444</v>
      </c>
      <c r="U157" s="88">
        <f>IF($F157="","",IF($E157="",T157,SUMIF(Sales!$E$7:$E$1506,$E157,Sales!$T$7:$T$1506)))</f>
        <v>35.55776444</v>
      </c>
      <c r="V157" s="49" t="str">
        <f t="shared" si="7"/>
        <v/>
      </c>
      <c r="W157" s="49" t="str">
        <f t="array" ref="W157">IF($V157="","",SUMPRODUCT((Sales!$V$7:$V$1506&lt;&gt;"")*(Sales!$E$7:$E$1506&lt;$E157))+1)</f>
        <v/>
      </c>
      <c r="X157" s="49">
        <f t="shared" si="8"/>
        <v>17</v>
      </c>
      <c r="Y157" s="49" t="str">
        <f t="shared" si="9"/>
        <v>202608-17</v>
      </c>
      <c r="AA157" s="73" t="str">
        <f>IF(Inventory!A155="","",Inventory!A155)</f>
        <v>LT-LM-DC-25L-001</v>
      </c>
    </row>
    <row r="158" ht="14.25" customHeight="1">
      <c r="A158" s="82">
        <v>46236.0</v>
      </c>
      <c r="B158" s="83" t="s">
        <v>324</v>
      </c>
      <c r="C158" s="83" t="s">
        <v>365</v>
      </c>
      <c r="D158" s="83" t="s">
        <v>366</v>
      </c>
      <c r="E158" s="83"/>
      <c r="F158" s="83" t="s">
        <v>370</v>
      </c>
      <c r="G158" s="83" t="str">
        <f>IF($F158="","",IFERROR(VLOOKUP($F158,Inventory!$A:$B,2,FALSE),""))</f>
        <v>PetMetro Cat Litter Apple 5L</v>
      </c>
      <c r="H158" s="83">
        <v>1.0</v>
      </c>
      <c r="I158" s="84">
        <f t="shared" si="2"/>
        <v>250</v>
      </c>
      <c r="J158" s="85">
        <f>IF($F158="","",IFERROR(VLOOKUP($F158,Inventory!$A:$K,11,FALSE),0))</f>
        <v>280</v>
      </c>
      <c r="K158" s="85">
        <v>30.0</v>
      </c>
      <c r="L158" s="85">
        <f t="shared" si="3"/>
        <v>250</v>
      </c>
      <c r="M158" s="83" t="s">
        <v>330</v>
      </c>
      <c r="N158" s="85">
        <f>IF($F158="","",IFERROR(VLOOKUP($F158,Inventory!$A:$I,9,FALSE),0))</f>
        <v>200</v>
      </c>
      <c r="O158" s="85">
        <f t="shared" si="4"/>
        <v>200</v>
      </c>
      <c r="P158" s="85">
        <f t="shared" si="5"/>
        <v>50</v>
      </c>
      <c r="Q158" s="83"/>
      <c r="R158" s="87" t="str">
        <f>IF($E158="","",IF(COUNTIF($E$7:$E158,$E158)&gt;1,"",IFERROR(VLOOKUP($E158,Orders!$A:$I,8,FALSE),"")))</f>
        <v/>
      </c>
      <c r="S158" s="87" t="str">
        <f>IF($E158="","",IF(COUNTIF($E$7:$E158,$E158)&gt;1,"",IFERROR(VLOOKUP($E158,Orders!$A:$I,9,FALSE),"")))</f>
        <v/>
      </c>
      <c r="T158" s="88">
        <f t="shared" si="6"/>
        <v>50</v>
      </c>
      <c r="U158" s="88">
        <f>IF($F158="","",IF($E158="",T158,SUMIF(Sales!$E$7:$E$1506,$E158,Sales!$T$7:$T$1506)))</f>
        <v>50</v>
      </c>
      <c r="V158" s="49" t="str">
        <f t="shared" si="7"/>
        <v/>
      </c>
      <c r="W158" s="49" t="str">
        <f t="array" ref="W158">IF($V158="","",SUMPRODUCT((Sales!$V$7:$V$1506&lt;&gt;"")*(Sales!$E$7:$E$1506&lt;$E158))+1)</f>
        <v/>
      </c>
      <c r="X158" s="49">
        <f t="shared" si="8"/>
        <v>18</v>
      </c>
      <c r="Y158" s="49" t="str">
        <f t="shared" si="9"/>
        <v>202608-18</v>
      </c>
      <c r="AA158" s="73" t="str">
        <f>IF(Inventory!A156="","",Inventory!A156)</f>
        <v>LT-Coffee-DC-25L-001</v>
      </c>
    </row>
    <row r="159" ht="14.25" customHeight="1">
      <c r="A159" s="82">
        <v>46236.0</v>
      </c>
      <c r="B159" s="83" t="s">
        <v>324</v>
      </c>
      <c r="C159" s="83" t="s">
        <v>365</v>
      </c>
      <c r="D159" s="83" t="s">
        <v>366</v>
      </c>
      <c r="E159" s="83"/>
      <c r="F159" s="83" t="s">
        <v>179</v>
      </c>
      <c r="G159" s="83" t="str">
        <f>IF($F159="","",IFERROR(VLOOKUP($F159,Inventory!$A:$B,2,FALSE),""))</f>
        <v>Creamy Treat 15G (Purry &amp; Hyper Paws)</v>
      </c>
      <c r="H159" s="83">
        <v>5.0</v>
      </c>
      <c r="I159" s="84">
        <f t="shared" si="2"/>
        <v>20</v>
      </c>
      <c r="J159" s="85">
        <f>IF($F159="","",IFERROR(VLOOKUP($F159,Inventory!$A:$K,11,FALSE),0))</f>
        <v>20</v>
      </c>
      <c r="K159" s="85"/>
      <c r="L159" s="85">
        <f t="shared" si="3"/>
        <v>100</v>
      </c>
      <c r="M159" s="83" t="s">
        <v>330</v>
      </c>
      <c r="N159" s="85">
        <f>IF($F159="","",IFERROR(VLOOKUP($F159,Inventory!$A:$I,9,FALSE),0))</f>
        <v>8.147411853</v>
      </c>
      <c r="O159" s="85">
        <f t="shared" si="4"/>
        <v>40.73705926</v>
      </c>
      <c r="P159" s="85">
        <f t="shared" si="5"/>
        <v>59.26294074</v>
      </c>
      <c r="Q159" s="83"/>
      <c r="R159" s="87" t="str">
        <f>IF($E159="","",IF(COUNTIF($E$7:$E159,$E159)&gt;1,"",IFERROR(VLOOKUP($E159,Orders!$A:$I,8,FALSE),"")))</f>
        <v/>
      </c>
      <c r="S159" s="87" t="str">
        <f>IF($E159="","",IF(COUNTIF($E$7:$E159,$E159)&gt;1,"",IFERROR(VLOOKUP($E159,Orders!$A:$I,9,FALSE),"")))</f>
        <v/>
      </c>
      <c r="T159" s="88">
        <f t="shared" si="6"/>
        <v>59.26294074</v>
      </c>
      <c r="U159" s="88">
        <f>IF($F159="","",IF($E159="",T159,SUMIF(Sales!$E$7:$E$1506,$E159,Sales!$T$7:$T$1506)))</f>
        <v>59.26294074</v>
      </c>
      <c r="V159" s="49" t="str">
        <f t="shared" si="7"/>
        <v/>
      </c>
      <c r="W159" s="49" t="str">
        <f t="array" ref="W159">IF($V159="","",SUMPRODUCT((Sales!$V$7:$V$1506&lt;&gt;"")*(Sales!$E$7:$E$1506&lt;$E159))+1)</f>
        <v/>
      </c>
      <c r="X159" s="49">
        <f t="shared" si="8"/>
        <v>19</v>
      </c>
      <c r="Y159" s="49" t="str">
        <f t="shared" si="9"/>
        <v>202608-19</v>
      </c>
      <c r="AA159" s="73" t="str">
        <f>IF(Inventory!A157="","",Inventory!A157)</f>
        <v>LT-LV-DC-25L-001</v>
      </c>
    </row>
    <row r="160" ht="14.25" customHeight="1">
      <c r="A160" s="82">
        <v>46236.0</v>
      </c>
      <c r="B160" s="83" t="s">
        <v>324</v>
      </c>
      <c r="C160" s="83" t="s">
        <v>365</v>
      </c>
      <c r="D160" s="83" t="s">
        <v>366</v>
      </c>
      <c r="E160" s="83"/>
      <c r="F160" s="83" t="s">
        <v>418</v>
      </c>
      <c r="G160" s="83" t="str">
        <f>IF($F160="","",IFERROR(VLOOKUP($F160,Inventory!$A:$B,2,FALSE),""))</f>
        <v>Drools &amp; Purepet Mixe Cat Food 250gm</v>
      </c>
      <c r="H160" s="83">
        <v>2.0</v>
      </c>
      <c r="I160" s="84">
        <f t="shared" si="2"/>
        <v>110</v>
      </c>
      <c r="J160" s="85">
        <f>IF($F160="","",IFERROR(VLOOKUP($F160,Inventory!$A:$K,11,FALSE),0))</f>
        <v>120</v>
      </c>
      <c r="K160" s="85">
        <v>10.0</v>
      </c>
      <c r="L160" s="85">
        <f t="shared" si="3"/>
        <v>220</v>
      </c>
      <c r="M160" s="83" t="s">
        <v>330</v>
      </c>
      <c r="N160" s="85">
        <f>IF($F160="","",IFERROR(VLOOKUP($F160,Inventory!$A:$I,9,FALSE),0))</f>
        <v>75.28333333</v>
      </c>
      <c r="O160" s="85">
        <f t="shared" si="4"/>
        <v>150.5666667</v>
      </c>
      <c r="P160" s="85">
        <f t="shared" si="5"/>
        <v>69.43333333</v>
      </c>
      <c r="Q160" s="83"/>
      <c r="R160" s="87" t="str">
        <f>IF($E160="","",IF(COUNTIF($E$7:$E160,$E160)&gt;1,"",IFERROR(VLOOKUP($E160,Orders!$A:$I,8,FALSE),"")))</f>
        <v/>
      </c>
      <c r="S160" s="87" t="str">
        <f>IF($E160="","",IF(COUNTIF($E$7:$E160,$E160)&gt;1,"",IFERROR(VLOOKUP($E160,Orders!$A:$I,9,FALSE),"")))</f>
        <v/>
      </c>
      <c r="T160" s="88">
        <f t="shared" si="6"/>
        <v>69.43333333</v>
      </c>
      <c r="U160" s="88">
        <f>IF($F160="","",IF($E160="",T160,SUMIF(Sales!$E$7:$E$1506,$E160,Sales!$T$7:$T$1506)))</f>
        <v>69.43333333</v>
      </c>
      <c r="V160" s="49" t="str">
        <f t="shared" si="7"/>
        <v/>
      </c>
      <c r="W160" s="49" t="str">
        <f t="array" ref="W160">IF($V160="","",SUMPRODUCT((Sales!$V$7:$V$1506&lt;&gt;"")*(Sales!$E$7:$E$1506&lt;$E160))+1)</f>
        <v/>
      </c>
      <c r="X160" s="49">
        <f t="shared" si="8"/>
        <v>20</v>
      </c>
      <c r="Y160" s="49" t="str">
        <f t="shared" si="9"/>
        <v>202608-20</v>
      </c>
      <c r="AA160" s="73" t="str">
        <f>IF(Inventory!A158="","",Inventory!A158)</f>
        <v>TR-TAI-MUL-15G-001</v>
      </c>
    </row>
    <row r="161" ht="14.25" customHeight="1">
      <c r="A161" s="82">
        <v>46236.0</v>
      </c>
      <c r="B161" s="83" t="s">
        <v>324</v>
      </c>
      <c r="C161" s="83" t="s">
        <v>365</v>
      </c>
      <c r="D161" s="83" t="s">
        <v>366</v>
      </c>
      <c r="E161" s="83"/>
      <c r="F161" s="83" t="s">
        <v>179</v>
      </c>
      <c r="G161" s="83" t="str">
        <f>IF($F161="","",IFERROR(VLOOKUP($F161,Inventory!$A:$B,2,FALSE),""))</f>
        <v>Creamy Treat 15G (Purry &amp; Hyper Paws)</v>
      </c>
      <c r="H161" s="83">
        <v>2.0</v>
      </c>
      <c r="I161" s="84">
        <f t="shared" si="2"/>
        <v>20</v>
      </c>
      <c r="J161" s="85">
        <f>IF($F161="","",IFERROR(VLOOKUP($F161,Inventory!$A:$K,11,FALSE),0))</f>
        <v>20</v>
      </c>
      <c r="K161" s="85"/>
      <c r="L161" s="85">
        <f t="shared" si="3"/>
        <v>40</v>
      </c>
      <c r="M161" s="83" t="s">
        <v>330</v>
      </c>
      <c r="N161" s="85">
        <f>IF($F161="","",IFERROR(VLOOKUP($F161,Inventory!$A:$I,9,FALSE),0))</f>
        <v>8.147411853</v>
      </c>
      <c r="O161" s="85">
        <f t="shared" si="4"/>
        <v>16.29482371</v>
      </c>
      <c r="P161" s="85">
        <f t="shared" si="5"/>
        <v>23.70517629</v>
      </c>
      <c r="Q161" s="83"/>
      <c r="R161" s="87" t="str">
        <f>IF($E161="","",IF(COUNTIF($E$7:$E161,$E161)&gt;1,"",IFERROR(VLOOKUP($E161,Orders!$A:$I,8,FALSE),"")))</f>
        <v/>
      </c>
      <c r="S161" s="87" t="str">
        <f>IF($E161="","",IF(COUNTIF($E$7:$E161,$E161)&gt;1,"",IFERROR(VLOOKUP($E161,Orders!$A:$I,9,FALSE),"")))</f>
        <v/>
      </c>
      <c r="T161" s="88">
        <f t="shared" si="6"/>
        <v>23.70517629</v>
      </c>
      <c r="U161" s="88">
        <f>IF($F161="","",IF($E161="",T161,SUMIF(Sales!$E$7:$E$1506,$E161,Sales!$T$7:$T$1506)))</f>
        <v>23.70517629</v>
      </c>
      <c r="V161" s="49" t="str">
        <f t="shared" si="7"/>
        <v/>
      </c>
      <c r="W161" s="49" t="str">
        <f t="array" ref="W161">IF($V161="","",SUMPRODUCT((Sales!$V$7:$V$1506&lt;&gt;"")*(Sales!$E$7:$E$1506&lt;$E161))+1)</f>
        <v/>
      </c>
      <c r="X161" s="49">
        <f t="shared" si="8"/>
        <v>21</v>
      </c>
      <c r="Y161" s="49" t="str">
        <f t="shared" si="9"/>
        <v>202608-21</v>
      </c>
      <c r="AA161" s="73" t="str">
        <f>IF(Inventory!A159="","",Inventory!A159)</f>
        <v>FD-DRY-BON-AD-0001</v>
      </c>
    </row>
    <row r="162" ht="14.25" customHeight="1">
      <c r="A162" s="82">
        <v>46236.0</v>
      </c>
      <c r="B162" s="83" t="s">
        <v>324</v>
      </c>
      <c r="C162" s="83" t="s">
        <v>365</v>
      </c>
      <c r="D162" s="83" t="s">
        <v>366</v>
      </c>
      <c r="E162" s="83"/>
      <c r="F162" s="83" t="s">
        <v>179</v>
      </c>
      <c r="G162" s="83" t="str">
        <f>IF($F162="","",IFERROR(VLOOKUP($F162,Inventory!$A:$B,2,FALSE),""))</f>
        <v>Creamy Treat 15G (Purry &amp; Hyper Paws)</v>
      </c>
      <c r="H162" s="83">
        <v>1.0</v>
      </c>
      <c r="I162" s="84">
        <f t="shared" si="2"/>
        <v>20</v>
      </c>
      <c r="J162" s="85">
        <f>IF($F162="","",IFERROR(VLOOKUP($F162,Inventory!$A:$K,11,FALSE),0))</f>
        <v>20</v>
      </c>
      <c r="K162" s="85"/>
      <c r="L162" s="85">
        <f t="shared" si="3"/>
        <v>20</v>
      </c>
      <c r="M162" s="83" t="s">
        <v>330</v>
      </c>
      <c r="N162" s="85">
        <f>IF($F162="","",IFERROR(VLOOKUP($F162,Inventory!$A:$I,9,FALSE),0))</f>
        <v>8.147411853</v>
      </c>
      <c r="O162" s="85">
        <f t="shared" si="4"/>
        <v>8.147411853</v>
      </c>
      <c r="P162" s="85">
        <f t="shared" si="5"/>
        <v>11.85258815</v>
      </c>
      <c r="Q162" s="83"/>
      <c r="R162" s="87" t="str">
        <f>IF($E162="","",IF(COUNTIF($E$7:$E162,$E162)&gt;1,"",IFERROR(VLOOKUP($E162,Orders!$A:$I,8,FALSE),"")))</f>
        <v/>
      </c>
      <c r="S162" s="87" t="str">
        <f>IF($E162="","",IF(COUNTIF($E$7:$E162,$E162)&gt;1,"",IFERROR(VLOOKUP($E162,Orders!$A:$I,9,FALSE),"")))</f>
        <v/>
      </c>
      <c r="T162" s="88">
        <f t="shared" si="6"/>
        <v>11.85258815</v>
      </c>
      <c r="U162" s="88">
        <f>IF($F162="","",IF($E162="",T162,SUMIF(Sales!$E$7:$E$1506,$E162,Sales!$T$7:$T$1506)))</f>
        <v>11.85258815</v>
      </c>
      <c r="V162" s="49" t="str">
        <f t="shared" si="7"/>
        <v/>
      </c>
      <c r="W162" s="49" t="str">
        <f t="array" ref="W162">IF($V162="","",SUMPRODUCT((Sales!$V$7:$V$1506&lt;&gt;"")*(Sales!$E$7:$E$1506&lt;$E162))+1)</f>
        <v/>
      </c>
      <c r="X162" s="49">
        <f t="shared" si="8"/>
        <v>22</v>
      </c>
      <c r="Y162" s="49" t="str">
        <f t="shared" si="9"/>
        <v>202608-22</v>
      </c>
      <c r="AA162" s="73" t="str">
        <f>IF(Inventory!A160="","",Inventory!A160)</f>
        <v>FD-DRY-BON-KT-0001</v>
      </c>
    </row>
    <row r="163" ht="14.25" customHeight="1">
      <c r="A163" s="82">
        <v>46236.0</v>
      </c>
      <c r="B163" s="83" t="s">
        <v>324</v>
      </c>
      <c r="C163" s="83" t="s">
        <v>365</v>
      </c>
      <c r="D163" s="83" t="s">
        <v>366</v>
      </c>
      <c r="E163" s="83"/>
      <c r="F163" s="83" t="s">
        <v>179</v>
      </c>
      <c r="G163" s="83" t="str">
        <f>IF($F163="","",IFERROR(VLOOKUP($F163,Inventory!$A:$B,2,FALSE),""))</f>
        <v>Creamy Treat 15G (Purry &amp; Hyper Paws)</v>
      </c>
      <c r="H163" s="83">
        <v>1.0</v>
      </c>
      <c r="I163" s="84">
        <f t="shared" si="2"/>
        <v>20</v>
      </c>
      <c r="J163" s="85">
        <f>IF($F163="","",IFERROR(VLOOKUP($F163,Inventory!$A:$K,11,FALSE),0))</f>
        <v>20</v>
      </c>
      <c r="K163" s="85"/>
      <c r="L163" s="85">
        <f t="shared" si="3"/>
        <v>20</v>
      </c>
      <c r="M163" s="83" t="s">
        <v>330</v>
      </c>
      <c r="N163" s="85">
        <f>IF($F163="","",IFERROR(VLOOKUP($F163,Inventory!$A:$I,9,FALSE),0))</f>
        <v>8.147411853</v>
      </c>
      <c r="O163" s="85">
        <f t="shared" si="4"/>
        <v>8.147411853</v>
      </c>
      <c r="P163" s="85">
        <f t="shared" si="5"/>
        <v>11.85258815</v>
      </c>
      <c r="Q163" s="83"/>
      <c r="R163" s="87" t="str">
        <f>IF($E163="","",IF(COUNTIF($E$7:$E163,$E163)&gt;1,"",IFERROR(VLOOKUP($E163,Orders!$A:$I,8,FALSE),"")))</f>
        <v/>
      </c>
      <c r="S163" s="87" t="str">
        <f>IF($E163="","",IF(COUNTIF($E$7:$E163,$E163)&gt;1,"",IFERROR(VLOOKUP($E163,Orders!$A:$I,9,FALSE),"")))</f>
        <v/>
      </c>
      <c r="T163" s="88">
        <f t="shared" si="6"/>
        <v>11.85258815</v>
      </c>
      <c r="U163" s="88">
        <f>IF($F163="","",IF($E163="",T163,SUMIF(Sales!$E$7:$E$1506,$E163,Sales!$T$7:$T$1506)))</f>
        <v>11.85258815</v>
      </c>
      <c r="V163" s="49" t="str">
        <f t="shared" si="7"/>
        <v/>
      </c>
      <c r="W163" s="49" t="str">
        <f t="array" ref="W163">IF($V163="","",SUMPRODUCT((Sales!$V$7:$V$1506&lt;&gt;"")*(Sales!$E$7:$E$1506&lt;$E163))+1)</f>
        <v/>
      </c>
      <c r="X163" s="49">
        <f t="shared" si="8"/>
        <v>23</v>
      </c>
      <c r="Y163" s="49" t="str">
        <f t="shared" si="9"/>
        <v>202608-23</v>
      </c>
      <c r="AA163" s="73" t="str">
        <f>IF(Inventory!A161="","",Inventory!A161)</f>
        <v/>
      </c>
    </row>
    <row r="164" ht="14.25" customHeight="1">
      <c r="A164" s="82">
        <v>46236.0</v>
      </c>
      <c r="B164" s="83" t="s">
        <v>324</v>
      </c>
      <c r="C164" s="83" t="s">
        <v>365</v>
      </c>
      <c r="D164" s="83" t="s">
        <v>366</v>
      </c>
      <c r="E164" s="83"/>
      <c r="F164" s="83" t="s">
        <v>262</v>
      </c>
      <c r="G164" s="83" t="str">
        <f>IF($F164="","",IFERROR(VLOOKUP($F164,Inventory!$A:$B,2,FALSE),""))</f>
        <v>Kitchen Flavor Pate Delight</v>
      </c>
      <c r="H164" s="83">
        <v>1.0</v>
      </c>
      <c r="I164" s="84">
        <f t="shared" si="2"/>
        <v>135</v>
      </c>
      <c r="J164" s="85">
        <f>IF($F164="","",IFERROR(VLOOKUP($F164,Inventory!$A:$K,11,FALSE),0))</f>
        <v>150</v>
      </c>
      <c r="K164" s="85">
        <v>15.0</v>
      </c>
      <c r="L164" s="85">
        <f t="shared" si="3"/>
        <v>135</v>
      </c>
      <c r="M164" s="83" t="s">
        <v>330</v>
      </c>
      <c r="N164" s="85">
        <f>IF($F164="","",IFERROR(VLOOKUP($F164,Inventory!$A:$I,9,FALSE),0))</f>
        <v>110</v>
      </c>
      <c r="O164" s="85">
        <f t="shared" si="4"/>
        <v>110</v>
      </c>
      <c r="P164" s="85">
        <f t="shared" si="5"/>
        <v>25</v>
      </c>
      <c r="Q164" s="83"/>
      <c r="R164" s="87" t="str">
        <f>IF($E164="","",IF(COUNTIF($E$7:$E164,$E164)&gt;1,"",IFERROR(VLOOKUP($E164,Orders!$A:$I,8,FALSE),"")))</f>
        <v/>
      </c>
      <c r="S164" s="87" t="str">
        <f>IF($E164="","",IF(COUNTIF($E$7:$E164,$E164)&gt;1,"",IFERROR(VLOOKUP($E164,Orders!$A:$I,9,FALSE),"")))</f>
        <v/>
      </c>
      <c r="T164" s="88">
        <f t="shared" si="6"/>
        <v>25</v>
      </c>
      <c r="U164" s="88">
        <f>IF($F164="","",IF($E164="",T164,SUMIF(Sales!$E$7:$E$1506,$E164,Sales!$T$7:$T$1506)))</f>
        <v>25</v>
      </c>
      <c r="V164" s="49" t="str">
        <f t="shared" si="7"/>
        <v/>
      </c>
      <c r="W164" s="49" t="str">
        <f t="array" ref="W164">IF($V164="","",SUMPRODUCT((Sales!$V$7:$V$1506&lt;&gt;"")*(Sales!$E$7:$E$1506&lt;$E164))+1)</f>
        <v/>
      </c>
      <c r="X164" s="49">
        <f t="shared" si="8"/>
        <v>24</v>
      </c>
      <c r="Y164" s="49" t="str">
        <f t="shared" si="9"/>
        <v>202608-24</v>
      </c>
      <c r="AA164" s="73" t="str">
        <f>IF(Inventory!A162="","",Inventory!A162)</f>
        <v/>
      </c>
    </row>
    <row r="165" ht="14.25" customHeight="1">
      <c r="A165" s="82">
        <v>46236.0</v>
      </c>
      <c r="B165" s="83" t="s">
        <v>324</v>
      </c>
      <c r="C165" s="83" t="s">
        <v>365</v>
      </c>
      <c r="D165" s="83" t="s">
        <v>366</v>
      </c>
      <c r="E165" s="83"/>
      <c r="F165" s="83" t="s">
        <v>368</v>
      </c>
      <c r="G165" s="83" t="str">
        <f>IF($F165="","",IFERROR(VLOOKUP($F165,Inventory!$A:$B,2,FALSE),""))</f>
        <v>Petmetro Gino Pouch - Chicken &amp; Cat Grass - 100g</v>
      </c>
      <c r="H165" s="83">
        <v>1.0</v>
      </c>
      <c r="I165" s="84">
        <f t="shared" si="2"/>
        <v>100</v>
      </c>
      <c r="J165" s="85">
        <f>IF($F165="","",IFERROR(VLOOKUP($F165,Inventory!$A:$K,11,FALSE),0))</f>
        <v>110</v>
      </c>
      <c r="K165" s="85">
        <v>10.0</v>
      </c>
      <c r="L165" s="85">
        <f t="shared" si="3"/>
        <v>100</v>
      </c>
      <c r="M165" s="83" t="s">
        <v>330</v>
      </c>
      <c r="N165" s="85">
        <f>IF($F165="","",IFERROR(VLOOKUP($F165,Inventory!$A:$I,9,FALSE),0))</f>
        <v>85</v>
      </c>
      <c r="O165" s="85">
        <f t="shared" si="4"/>
        <v>85</v>
      </c>
      <c r="P165" s="85">
        <f t="shared" si="5"/>
        <v>15</v>
      </c>
      <c r="Q165" s="83"/>
      <c r="R165" s="87" t="str">
        <f>IF($E165="","",IF(COUNTIF($E$7:$E165,$E165)&gt;1,"",IFERROR(VLOOKUP($E165,Orders!$A:$I,8,FALSE),"")))</f>
        <v/>
      </c>
      <c r="S165" s="87" t="str">
        <f>IF($E165="","",IF(COUNTIF($E$7:$E165,$E165)&gt;1,"",IFERROR(VLOOKUP($E165,Orders!$A:$I,9,FALSE),"")))</f>
        <v/>
      </c>
      <c r="T165" s="88">
        <f t="shared" si="6"/>
        <v>15</v>
      </c>
      <c r="U165" s="88">
        <f>IF($F165="","",IF($E165="",T165,SUMIF(Sales!$E$7:$E$1506,$E165,Sales!$T$7:$T$1506)))</f>
        <v>15</v>
      </c>
      <c r="V165" s="49" t="str">
        <f t="shared" si="7"/>
        <v/>
      </c>
      <c r="W165" s="49" t="str">
        <f t="array" ref="W165">IF($V165="","",SUMPRODUCT((Sales!$V$7:$V$1506&lt;&gt;"")*(Sales!$E$7:$E$1506&lt;$E165))+1)</f>
        <v/>
      </c>
      <c r="X165" s="49">
        <f t="shared" si="8"/>
        <v>25</v>
      </c>
      <c r="Y165" s="49" t="str">
        <f t="shared" si="9"/>
        <v>202608-25</v>
      </c>
      <c r="AA165" s="73" t="str">
        <f>IF(Inventory!A163="","",Inventory!A163)</f>
        <v/>
      </c>
    </row>
    <row r="166" ht="14.25" customHeight="1">
      <c r="A166" s="82">
        <v>46236.0</v>
      </c>
      <c r="B166" s="83" t="s">
        <v>324</v>
      </c>
      <c r="C166" s="83" t="s">
        <v>365</v>
      </c>
      <c r="D166" s="83" t="s">
        <v>366</v>
      </c>
      <c r="E166" s="83"/>
      <c r="F166" s="83" t="s">
        <v>200</v>
      </c>
      <c r="G166" s="83" t="str">
        <f>IF($F166="","",IFERROR(VLOOKUP($F166,Inventory!$A:$B,2,FALSE),""))</f>
        <v>Cozie Cat Litter Lavender 5L</v>
      </c>
      <c r="H166" s="83">
        <v>1.0</v>
      </c>
      <c r="I166" s="84">
        <f t="shared" si="2"/>
        <v>300</v>
      </c>
      <c r="J166" s="85">
        <f>IF($F166="","",IFERROR(VLOOKUP($F166,Inventory!$A:$K,11,FALSE),0))</f>
        <v>370</v>
      </c>
      <c r="K166" s="85">
        <v>70.0</v>
      </c>
      <c r="L166" s="85">
        <f t="shared" si="3"/>
        <v>300</v>
      </c>
      <c r="M166" s="83" t="s">
        <v>330</v>
      </c>
      <c r="N166" s="85">
        <f>IF($F166="","",IFERROR(VLOOKUP($F166,Inventory!$A:$I,9,FALSE),0))</f>
        <v>230</v>
      </c>
      <c r="O166" s="85">
        <f t="shared" si="4"/>
        <v>230</v>
      </c>
      <c r="P166" s="85">
        <f t="shared" si="5"/>
        <v>70</v>
      </c>
      <c r="Q166" s="83"/>
      <c r="R166" s="87" t="str">
        <f>IF($E166="","",IF(COUNTIF($E$7:$E166,$E166)&gt;1,"",IFERROR(VLOOKUP($E166,Orders!$A:$I,8,FALSE),"")))</f>
        <v/>
      </c>
      <c r="S166" s="87" t="str">
        <f>IF($E166="","",IF(COUNTIF($E$7:$E166,$E166)&gt;1,"",IFERROR(VLOOKUP($E166,Orders!$A:$I,9,FALSE),"")))</f>
        <v/>
      </c>
      <c r="T166" s="88">
        <f t="shared" si="6"/>
        <v>70</v>
      </c>
      <c r="U166" s="88">
        <f>IF($F166="","",IF($E166="",T166,SUMIF(Sales!$E$7:$E$1506,$E166,Sales!$T$7:$T$1506)))</f>
        <v>70</v>
      </c>
      <c r="V166" s="49" t="str">
        <f t="shared" si="7"/>
        <v/>
      </c>
      <c r="W166" s="49" t="str">
        <f t="array" ref="W166">IF($V166="","",SUMPRODUCT((Sales!$V$7:$V$1506&lt;&gt;"")*(Sales!$E$7:$E$1506&lt;$E166))+1)</f>
        <v/>
      </c>
      <c r="X166" s="49">
        <f t="shared" si="8"/>
        <v>26</v>
      </c>
      <c r="Y166" s="49" t="str">
        <f t="shared" si="9"/>
        <v>202608-26</v>
      </c>
      <c r="AA166" s="73" t="str">
        <f>IF(Inventory!A164="","",Inventory!A164)</f>
        <v/>
      </c>
    </row>
    <row r="167" ht="14.25" customHeight="1">
      <c r="A167" s="82">
        <v>46237.0</v>
      </c>
      <c r="B167" s="83" t="s">
        <v>324</v>
      </c>
      <c r="C167" s="83" t="s">
        <v>365</v>
      </c>
      <c r="D167" s="83" t="s">
        <v>366</v>
      </c>
      <c r="E167" s="83"/>
      <c r="F167" s="83" t="s">
        <v>192</v>
      </c>
      <c r="G167" s="83" t="str">
        <f>IF($F167="","",IFERROR(VLOOKUP($F167,Inventory!$A:$B,2,FALSE),""))</f>
        <v>Kaniva Fusion Multiviamins Chicken &amp; Pumpkin 500gm</v>
      </c>
      <c r="H167" s="83">
        <v>1.0</v>
      </c>
      <c r="I167" s="84">
        <f t="shared" si="2"/>
        <v>600</v>
      </c>
      <c r="J167" s="85">
        <f>IF($F167="","",IFERROR(VLOOKUP($F167,Inventory!$A:$K,11,FALSE),0))</f>
        <v>650</v>
      </c>
      <c r="K167" s="85">
        <v>50.0</v>
      </c>
      <c r="L167" s="85">
        <f t="shared" si="3"/>
        <v>600</v>
      </c>
      <c r="M167" s="83" t="s">
        <v>330</v>
      </c>
      <c r="N167" s="85">
        <f>IF($F167="","",IFERROR(VLOOKUP($F167,Inventory!$A:$I,9,FALSE),0))</f>
        <v>507</v>
      </c>
      <c r="O167" s="85">
        <f t="shared" si="4"/>
        <v>507</v>
      </c>
      <c r="P167" s="85">
        <f t="shared" si="5"/>
        <v>93</v>
      </c>
      <c r="Q167" s="83"/>
      <c r="R167" s="87" t="str">
        <f>IF($E167="","",IF(COUNTIF($E$7:$E167,$E167)&gt;1,"",IFERROR(VLOOKUP($E167,Orders!$A:$I,8,FALSE),"")))</f>
        <v/>
      </c>
      <c r="S167" s="87" t="str">
        <f>IF($E167="","",IF(COUNTIF($E$7:$E167,$E167)&gt;1,"",IFERROR(VLOOKUP($E167,Orders!$A:$I,9,FALSE),"")))</f>
        <v/>
      </c>
      <c r="T167" s="88">
        <f t="shared" si="6"/>
        <v>93</v>
      </c>
      <c r="U167" s="88">
        <f>IF($F167="","",IF($E167="",T167,SUMIF(Sales!$E$7:$E$1506,$E167,Sales!$T$7:$T$1506)))</f>
        <v>93</v>
      </c>
      <c r="V167" s="49" t="str">
        <f t="shared" si="7"/>
        <v/>
      </c>
      <c r="W167" s="49" t="str">
        <f t="array" ref="W167">IF($V167="","",SUMPRODUCT((Sales!$V$7:$V$1506&lt;&gt;"")*(Sales!$E$7:$E$1506&lt;$E167))+1)</f>
        <v/>
      </c>
      <c r="X167" s="49">
        <f t="shared" si="8"/>
        <v>27</v>
      </c>
      <c r="Y167" s="49" t="str">
        <f t="shared" si="9"/>
        <v>202608-27</v>
      </c>
      <c r="AA167" s="73" t="str">
        <f>IF(Inventory!A165="","",Inventory!A165)</f>
        <v/>
      </c>
    </row>
    <row r="168" ht="14.25" customHeight="1">
      <c r="A168" s="82">
        <v>46237.0</v>
      </c>
      <c r="B168" s="83" t="s">
        <v>324</v>
      </c>
      <c r="C168" s="83" t="s">
        <v>365</v>
      </c>
      <c r="D168" s="83" t="s">
        <v>366</v>
      </c>
      <c r="E168" s="83"/>
      <c r="F168" s="83" t="s">
        <v>334</v>
      </c>
      <c r="G168" s="83" t="str">
        <f>IF($F168="","",IFERROR(VLOOKUP($F168,Inventory!$A:$B,2,FALSE),""))</f>
        <v>Cat Carried Bag</v>
      </c>
      <c r="H168" s="83">
        <v>1.0</v>
      </c>
      <c r="I168" s="84">
        <f t="shared" si="2"/>
        <v>1250</v>
      </c>
      <c r="J168" s="85">
        <f>IF($F168="","",IFERROR(VLOOKUP($F168,Inventory!$A:$K,11,FALSE),0))</f>
        <v>1400</v>
      </c>
      <c r="K168" s="85">
        <v>150.0</v>
      </c>
      <c r="L168" s="85">
        <f t="shared" si="3"/>
        <v>1250</v>
      </c>
      <c r="M168" s="83" t="s">
        <v>330</v>
      </c>
      <c r="N168" s="85">
        <f>IF($F168="","",IFERROR(VLOOKUP($F168,Inventory!$A:$I,9,FALSE),0))</f>
        <v>980</v>
      </c>
      <c r="O168" s="85">
        <f t="shared" si="4"/>
        <v>980</v>
      </c>
      <c r="P168" s="85">
        <f t="shared" si="5"/>
        <v>270</v>
      </c>
      <c r="Q168" s="83"/>
      <c r="R168" s="87" t="str">
        <f>IF($E168="","",IF(COUNTIF($E$7:$E168,$E168)&gt;1,"",IFERROR(VLOOKUP($E168,Orders!$A:$I,8,FALSE),"")))</f>
        <v/>
      </c>
      <c r="S168" s="87" t="str">
        <f>IF($E168="","",IF(COUNTIF($E$7:$E168,$E168)&gt;1,"",IFERROR(VLOOKUP($E168,Orders!$A:$I,9,FALSE),"")))</f>
        <v/>
      </c>
      <c r="T168" s="88">
        <f t="shared" si="6"/>
        <v>270</v>
      </c>
      <c r="U168" s="88">
        <f>IF($F168="","",IF($E168="",T168,SUMIF(Sales!$E$7:$E$1506,$E168,Sales!$T$7:$T$1506)))</f>
        <v>270</v>
      </c>
      <c r="V168" s="49" t="str">
        <f t="shared" si="7"/>
        <v/>
      </c>
      <c r="W168" s="49" t="str">
        <f t="array" ref="W168">IF($V168="","",SUMPRODUCT((Sales!$V$7:$V$1506&lt;&gt;"")*(Sales!$E$7:$E$1506&lt;$E168))+1)</f>
        <v/>
      </c>
      <c r="X168" s="49">
        <f t="shared" si="8"/>
        <v>28</v>
      </c>
      <c r="Y168" s="49" t="str">
        <f t="shared" si="9"/>
        <v>202608-28</v>
      </c>
      <c r="AA168" s="73" t="str">
        <f>IF(Inventory!A166="","",Inventory!A166)</f>
        <v/>
      </c>
    </row>
    <row r="169" ht="14.25" customHeight="1">
      <c r="A169" s="82">
        <v>46237.0</v>
      </c>
      <c r="B169" s="83" t="s">
        <v>324</v>
      </c>
      <c r="C169" s="83" t="s">
        <v>365</v>
      </c>
      <c r="D169" s="83" t="s">
        <v>366</v>
      </c>
      <c r="E169" s="83"/>
      <c r="F169" s="83" t="s">
        <v>368</v>
      </c>
      <c r="G169" s="83" t="str">
        <f>IF($F169="","",IFERROR(VLOOKUP($F169,Inventory!$A:$B,2,FALSE),""))</f>
        <v>Petmetro Gino Pouch - Chicken &amp; Cat Grass - 100g</v>
      </c>
      <c r="H169" s="83">
        <v>1.0</v>
      </c>
      <c r="I169" s="84">
        <f t="shared" si="2"/>
        <v>100</v>
      </c>
      <c r="J169" s="85">
        <f>IF($F169="","",IFERROR(VLOOKUP($F169,Inventory!$A:$K,11,FALSE),0))</f>
        <v>110</v>
      </c>
      <c r="K169" s="85">
        <v>10.0</v>
      </c>
      <c r="L169" s="85">
        <f t="shared" si="3"/>
        <v>100</v>
      </c>
      <c r="M169" s="83" t="s">
        <v>330</v>
      </c>
      <c r="N169" s="85">
        <f>IF($F169="","",IFERROR(VLOOKUP($F169,Inventory!$A:$I,9,FALSE),0))</f>
        <v>85</v>
      </c>
      <c r="O169" s="85">
        <f t="shared" si="4"/>
        <v>85</v>
      </c>
      <c r="P169" s="85">
        <f t="shared" si="5"/>
        <v>15</v>
      </c>
      <c r="Q169" s="83"/>
      <c r="R169" s="87" t="str">
        <f>IF($E169="","",IF(COUNTIF($E$7:$E169,$E169)&gt;1,"",IFERROR(VLOOKUP($E169,Orders!$A:$I,8,FALSE),"")))</f>
        <v/>
      </c>
      <c r="S169" s="87" t="str">
        <f>IF($E169="","",IF(COUNTIF($E$7:$E169,$E169)&gt;1,"",IFERROR(VLOOKUP($E169,Orders!$A:$I,9,FALSE),"")))</f>
        <v/>
      </c>
      <c r="T169" s="88">
        <f t="shared" si="6"/>
        <v>15</v>
      </c>
      <c r="U169" s="88">
        <f>IF($F169="","",IF($E169="",T169,SUMIF(Sales!$E$7:$E$1506,$E169,Sales!$T$7:$T$1506)))</f>
        <v>15</v>
      </c>
      <c r="V169" s="49" t="str">
        <f t="shared" si="7"/>
        <v/>
      </c>
      <c r="W169" s="49" t="str">
        <f t="array" ref="W169">IF($V169="","",SUMPRODUCT((Sales!$V$7:$V$1506&lt;&gt;"")*(Sales!$E$7:$E$1506&lt;$E169))+1)</f>
        <v/>
      </c>
      <c r="X169" s="49">
        <f t="shared" si="8"/>
        <v>29</v>
      </c>
      <c r="Y169" s="49" t="str">
        <f t="shared" si="9"/>
        <v>202608-29</v>
      </c>
      <c r="AA169" s="73" t="str">
        <f>IF(Inventory!A167="","",Inventory!A167)</f>
        <v/>
      </c>
    </row>
    <row r="170" ht="14.25" customHeight="1">
      <c r="A170" s="82">
        <v>46237.0</v>
      </c>
      <c r="B170" s="83" t="s">
        <v>324</v>
      </c>
      <c r="C170" s="83" t="s">
        <v>365</v>
      </c>
      <c r="D170" s="83" t="s">
        <v>366</v>
      </c>
      <c r="E170" s="83"/>
      <c r="F170" s="83" t="s">
        <v>98</v>
      </c>
      <c r="G170" s="83" t="str">
        <f>IF($F170="","",IFERROR(VLOOKUP($F170,Inventory!$A:$B,2,FALSE),""))</f>
        <v>Cat Belt</v>
      </c>
      <c r="H170" s="83">
        <v>1.0</v>
      </c>
      <c r="I170" s="84">
        <f t="shared" si="2"/>
        <v>60</v>
      </c>
      <c r="J170" s="85">
        <f>IF($F170="","",IFERROR(VLOOKUP($F170,Inventory!$A:$K,11,FALSE),0))</f>
        <v>60</v>
      </c>
      <c r="K170" s="85"/>
      <c r="L170" s="85">
        <f t="shared" si="3"/>
        <v>60</v>
      </c>
      <c r="M170" s="83" t="s">
        <v>330</v>
      </c>
      <c r="N170" s="85">
        <f>IF($F170="","",IFERROR(VLOOKUP($F170,Inventory!$A:$I,9,FALSE),0))</f>
        <v>29.35135135</v>
      </c>
      <c r="O170" s="85">
        <f t="shared" si="4"/>
        <v>29.35135135</v>
      </c>
      <c r="P170" s="85">
        <f t="shared" si="5"/>
        <v>30.64864865</v>
      </c>
      <c r="Q170" s="83"/>
      <c r="R170" s="87" t="str">
        <f>IF($E170="","",IF(COUNTIF($E$7:$E170,$E170)&gt;1,"",IFERROR(VLOOKUP($E170,Orders!$A:$I,8,FALSE),"")))</f>
        <v/>
      </c>
      <c r="S170" s="87" t="str">
        <f>IF($E170="","",IF(COUNTIF($E$7:$E170,$E170)&gt;1,"",IFERROR(VLOOKUP($E170,Orders!$A:$I,9,FALSE),"")))</f>
        <v/>
      </c>
      <c r="T170" s="88">
        <f t="shared" si="6"/>
        <v>30.64864865</v>
      </c>
      <c r="U170" s="88">
        <f>IF($F170="","",IF($E170="",T170,SUMIF(Sales!$E$7:$E$1506,$E170,Sales!$T$7:$T$1506)))</f>
        <v>30.64864865</v>
      </c>
      <c r="V170" s="49" t="str">
        <f t="shared" si="7"/>
        <v/>
      </c>
      <c r="W170" s="49" t="str">
        <f t="array" ref="W170">IF($V170="","",SUMPRODUCT((Sales!$V$7:$V$1506&lt;&gt;"")*(Sales!$E$7:$E$1506&lt;$E170))+1)</f>
        <v/>
      </c>
      <c r="X170" s="49">
        <f t="shared" si="8"/>
        <v>30</v>
      </c>
      <c r="Y170" s="49" t="str">
        <f t="shared" si="9"/>
        <v>202608-30</v>
      </c>
      <c r="AA170" s="73" t="str">
        <f>IF(Inventory!A168="","",Inventory!A168)</f>
        <v/>
      </c>
    </row>
    <row r="171" ht="14.25" customHeight="1">
      <c r="A171" s="82">
        <v>46237.0</v>
      </c>
      <c r="B171" s="83" t="s">
        <v>324</v>
      </c>
      <c r="C171" s="83" t="s">
        <v>365</v>
      </c>
      <c r="D171" s="83" t="s">
        <v>366</v>
      </c>
      <c r="E171" s="83"/>
      <c r="F171" s="83" t="s">
        <v>179</v>
      </c>
      <c r="G171" s="83" t="str">
        <f>IF($F171="","",IFERROR(VLOOKUP($F171,Inventory!$A:$B,2,FALSE),""))</f>
        <v>Creamy Treat 15G (Purry &amp; Hyper Paws)</v>
      </c>
      <c r="H171" s="83">
        <v>2.0</v>
      </c>
      <c r="I171" s="84">
        <f t="shared" si="2"/>
        <v>20</v>
      </c>
      <c r="J171" s="85">
        <f>IF($F171="","",IFERROR(VLOOKUP($F171,Inventory!$A:$K,11,FALSE),0))</f>
        <v>20</v>
      </c>
      <c r="K171" s="85"/>
      <c r="L171" s="85">
        <f t="shared" si="3"/>
        <v>40</v>
      </c>
      <c r="M171" s="83" t="s">
        <v>330</v>
      </c>
      <c r="N171" s="85">
        <f>IF($F171="","",IFERROR(VLOOKUP($F171,Inventory!$A:$I,9,FALSE),0))</f>
        <v>8.147411853</v>
      </c>
      <c r="O171" s="85">
        <f t="shared" si="4"/>
        <v>16.29482371</v>
      </c>
      <c r="P171" s="85">
        <f t="shared" si="5"/>
        <v>23.70517629</v>
      </c>
      <c r="Q171" s="83"/>
      <c r="R171" s="87" t="str">
        <f>IF($E171="","",IF(COUNTIF($E$7:$E171,$E171)&gt;1,"",IFERROR(VLOOKUP($E171,Orders!$A:$I,8,FALSE),"")))</f>
        <v/>
      </c>
      <c r="S171" s="87" t="str">
        <f>IF($E171="","",IF(COUNTIF($E$7:$E171,$E171)&gt;1,"",IFERROR(VLOOKUP($E171,Orders!$A:$I,9,FALSE),"")))</f>
        <v/>
      </c>
      <c r="T171" s="88">
        <f t="shared" si="6"/>
        <v>23.70517629</v>
      </c>
      <c r="U171" s="88">
        <f>IF($F171="","",IF($E171="",T171,SUMIF(Sales!$E$7:$E$1506,$E171,Sales!$T$7:$T$1506)))</f>
        <v>23.70517629</v>
      </c>
      <c r="V171" s="49" t="str">
        <f t="shared" si="7"/>
        <v/>
      </c>
      <c r="W171" s="49" t="str">
        <f t="array" ref="W171">IF($V171="","",SUMPRODUCT((Sales!$V$7:$V$1506&lt;&gt;"")*(Sales!$E$7:$E$1506&lt;$E171))+1)</f>
        <v/>
      </c>
      <c r="X171" s="49">
        <f t="shared" si="8"/>
        <v>31</v>
      </c>
      <c r="Y171" s="49" t="str">
        <f t="shared" si="9"/>
        <v>202608-31</v>
      </c>
      <c r="AA171" s="73" t="str">
        <f>IF(Inventory!A169="","",Inventory!A169)</f>
        <v/>
      </c>
    </row>
    <row r="172" ht="14.25" customHeight="1">
      <c r="A172" s="82">
        <v>46237.0</v>
      </c>
      <c r="B172" s="83" t="s">
        <v>324</v>
      </c>
      <c r="C172" s="83" t="s">
        <v>365</v>
      </c>
      <c r="D172" s="83" t="s">
        <v>366</v>
      </c>
      <c r="E172" s="83"/>
      <c r="F172" s="83" t="s">
        <v>372</v>
      </c>
      <c r="G172" s="83" t="str">
        <f>IF($F172="","",IFERROR(VLOOKUP($F172,Inventory!$A:$B,2,FALSE),""))</f>
        <v>Premium Pet Collar Multicolor</v>
      </c>
      <c r="H172" s="83">
        <v>1.0</v>
      </c>
      <c r="I172" s="84">
        <f t="shared" si="2"/>
        <v>75</v>
      </c>
      <c r="J172" s="85">
        <f>IF($F172="","",IFERROR(VLOOKUP($F172,Inventory!$A:$K,11,FALSE),0))</f>
        <v>75</v>
      </c>
      <c r="K172" s="85"/>
      <c r="L172" s="85">
        <f t="shared" si="3"/>
        <v>75</v>
      </c>
      <c r="M172" s="83" t="s">
        <v>330</v>
      </c>
      <c r="N172" s="85">
        <f>IF($F172="","",IFERROR(VLOOKUP($F172,Inventory!$A:$I,9,FALSE),0))</f>
        <v>37</v>
      </c>
      <c r="O172" s="85">
        <f t="shared" si="4"/>
        <v>37</v>
      </c>
      <c r="P172" s="85">
        <f t="shared" si="5"/>
        <v>38</v>
      </c>
      <c r="Q172" s="83"/>
      <c r="R172" s="87" t="str">
        <f>IF($E172="","",IF(COUNTIF($E$7:$E172,$E172)&gt;1,"",IFERROR(VLOOKUP($E172,Orders!$A:$I,8,FALSE),"")))</f>
        <v/>
      </c>
      <c r="S172" s="87" t="str">
        <f>IF($E172="","",IF(COUNTIF($E$7:$E172,$E172)&gt;1,"",IFERROR(VLOOKUP($E172,Orders!$A:$I,9,FALSE),"")))</f>
        <v/>
      </c>
      <c r="T172" s="88">
        <f t="shared" si="6"/>
        <v>38</v>
      </c>
      <c r="U172" s="88">
        <f>IF($F172="","",IF($E172="",T172,SUMIF(Sales!$E$7:$E$1506,$E172,Sales!$T$7:$T$1506)))</f>
        <v>38</v>
      </c>
      <c r="V172" s="49" t="str">
        <f t="shared" si="7"/>
        <v/>
      </c>
      <c r="W172" s="49" t="str">
        <f t="array" ref="W172">IF($V172="","",SUMPRODUCT((Sales!$V$7:$V$1506&lt;&gt;"")*(Sales!$E$7:$E$1506&lt;$E172))+1)</f>
        <v/>
      </c>
      <c r="X172" s="49">
        <f t="shared" si="8"/>
        <v>32</v>
      </c>
      <c r="Y172" s="49" t="str">
        <f t="shared" si="9"/>
        <v>202608-32</v>
      </c>
      <c r="AA172" s="73" t="str">
        <f>IF(Inventory!A170="","",Inventory!A170)</f>
        <v/>
      </c>
    </row>
    <row r="173" ht="14.25" customHeight="1">
      <c r="A173" s="82">
        <v>46237.0</v>
      </c>
      <c r="B173" s="83" t="s">
        <v>324</v>
      </c>
      <c r="C173" s="83" t="s">
        <v>365</v>
      </c>
      <c r="D173" s="83" t="s">
        <v>366</v>
      </c>
      <c r="E173" s="83"/>
      <c r="F173" s="83" t="s">
        <v>271</v>
      </c>
      <c r="G173" s="83" t="str">
        <f>IF($F173="","",IFERROR(VLOOKUP($F173,Inventory!$A:$B,2,FALSE),""))</f>
        <v>Cat litter scooper</v>
      </c>
      <c r="H173" s="83">
        <v>1.0</v>
      </c>
      <c r="I173" s="84">
        <f t="shared" si="2"/>
        <v>80</v>
      </c>
      <c r="J173" s="85">
        <f>IF($F173="","",IFERROR(VLOOKUP($F173,Inventory!$A:$K,11,FALSE),0))</f>
        <v>80</v>
      </c>
      <c r="K173" s="85"/>
      <c r="L173" s="85">
        <f t="shared" si="3"/>
        <v>80</v>
      </c>
      <c r="M173" s="83" t="s">
        <v>330</v>
      </c>
      <c r="N173" s="85">
        <f>IF($F173="","",IFERROR(VLOOKUP($F173,Inventory!$A:$I,9,FALSE),0))</f>
        <v>35</v>
      </c>
      <c r="O173" s="85">
        <f t="shared" si="4"/>
        <v>35</v>
      </c>
      <c r="P173" s="85">
        <f t="shared" si="5"/>
        <v>45</v>
      </c>
      <c r="Q173" s="83"/>
      <c r="R173" s="87" t="str">
        <f>IF($E173="","",IF(COUNTIF($E$7:$E173,$E173)&gt;1,"",IFERROR(VLOOKUP($E173,Orders!$A:$I,8,FALSE),"")))</f>
        <v/>
      </c>
      <c r="S173" s="87" t="str">
        <f>IF($E173="","",IF(COUNTIF($E$7:$E173,$E173)&gt;1,"",IFERROR(VLOOKUP($E173,Orders!$A:$I,9,FALSE),"")))</f>
        <v/>
      </c>
      <c r="T173" s="88">
        <f t="shared" si="6"/>
        <v>45</v>
      </c>
      <c r="U173" s="88">
        <f>IF($F173="","",IF($E173="",T173,SUMIF(Sales!$E$7:$E$1506,$E173,Sales!$T$7:$T$1506)))</f>
        <v>45</v>
      </c>
      <c r="V173" s="49" t="str">
        <f t="shared" si="7"/>
        <v/>
      </c>
      <c r="W173" s="49" t="str">
        <f t="array" ref="W173">IF($V173="","",SUMPRODUCT((Sales!$V$7:$V$1506&lt;&gt;"")*(Sales!$E$7:$E$1506&lt;$E173))+1)</f>
        <v/>
      </c>
      <c r="X173" s="49">
        <f t="shared" si="8"/>
        <v>33</v>
      </c>
      <c r="Y173" s="49" t="str">
        <f t="shared" si="9"/>
        <v>202608-33</v>
      </c>
      <c r="AA173" s="73" t="str">
        <f>IF(Inventory!A171="","",Inventory!A171)</f>
        <v/>
      </c>
    </row>
    <row r="174" ht="14.25" customHeight="1">
      <c r="A174" s="82">
        <v>46237.0</v>
      </c>
      <c r="B174" s="83" t="s">
        <v>324</v>
      </c>
      <c r="C174" s="83" t="s">
        <v>365</v>
      </c>
      <c r="D174" s="83" t="s">
        <v>366</v>
      </c>
      <c r="E174" s="83"/>
      <c r="F174" s="83" t="s">
        <v>179</v>
      </c>
      <c r="G174" s="83" t="str">
        <f>IF($F174="","",IFERROR(VLOOKUP($F174,Inventory!$A:$B,2,FALSE),""))</f>
        <v>Creamy Treat 15G (Purry &amp; Hyper Paws)</v>
      </c>
      <c r="H174" s="83">
        <v>1.0</v>
      </c>
      <c r="I174" s="84">
        <f t="shared" si="2"/>
        <v>20</v>
      </c>
      <c r="J174" s="85">
        <f>IF($F174="","",IFERROR(VLOOKUP($F174,Inventory!$A:$K,11,FALSE),0))</f>
        <v>20</v>
      </c>
      <c r="K174" s="85"/>
      <c r="L174" s="85">
        <f t="shared" si="3"/>
        <v>20</v>
      </c>
      <c r="M174" s="83" t="s">
        <v>330</v>
      </c>
      <c r="N174" s="85">
        <f>IF($F174="","",IFERROR(VLOOKUP($F174,Inventory!$A:$I,9,FALSE),0))</f>
        <v>8.147411853</v>
      </c>
      <c r="O174" s="85">
        <f t="shared" si="4"/>
        <v>8.147411853</v>
      </c>
      <c r="P174" s="85">
        <f t="shared" si="5"/>
        <v>11.85258815</v>
      </c>
      <c r="Q174" s="83"/>
      <c r="R174" s="87" t="str">
        <f>IF($E174="","",IF(COUNTIF($E$7:$E174,$E174)&gt;1,"",IFERROR(VLOOKUP($E174,Orders!$A:$I,8,FALSE),"")))</f>
        <v/>
      </c>
      <c r="S174" s="87" t="str">
        <f>IF($E174="","",IF(COUNTIF($E$7:$E174,$E174)&gt;1,"",IFERROR(VLOOKUP($E174,Orders!$A:$I,9,FALSE),"")))</f>
        <v/>
      </c>
      <c r="T174" s="88">
        <f t="shared" si="6"/>
        <v>11.85258815</v>
      </c>
      <c r="U174" s="88">
        <f>IF($F174="","",IF($E174="",T174,SUMIF(Sales!$E$7:$E$1506,$E174,Sales!$T$7:$T$1506)))</f>
        <v>11.85258815</v>
      </c>
      <c r="V174" s="49" t="str">
        <f t="shared" si="7"/>
        <v/>
      </c>
      <c r="W174" s="49" t="str">
        <f t="array" ref="W174">IF($V174="","",SUMPRODUCT((Sales!$V$7:$V$1506&lt;&gt;"")*(Sales!$E$7:$E$1506&lt;$E174))+1)</f>
        <v/>
      </c>
      <c r="X174" s="49">
        <f t="shared" si="8"/>
        <v>34</v>
      </c>
      <c r="Y174" s="49" t="str">
        <f t="shared" si="9"/>
        <v>202608-34</v>
      </c>
      <c r="AA174" s="73" t="str">
        <f>IF(Inventory!A172="","",Inventory!A172)</f>
        <v/>
      </c>
    </row>
    <row r="175" ht="14.25" customHeight="1">
      <c r="A175" s="82">
        <v>46237.0</v>
      </c>
      <c r="B175" s="83" t="s">
        <v>324</v>
      </c>
      <c r="C175" s="83" t="s">
        <v>365</v>
      </c>
      <c r="D175" s="83" t="s">
        <v>366</v>
      </c>
      <c r="E175" s="83"/>
      <c r="F175" s="83" t="s">
        <v>242</v>
      </c>
      <c r="G175" s="83" t="str">
        <f>IF($F175="","",IFERROR(VLOOKUP($F175,Inventory!$A:$B,2,FALSE),""))</f>
        <v>Cat Belt Bow</v>
      </c>
      <c r="H175" s="83">
        <v>1.0</v>
      </c>
      <c r="I175" s="84">
        <f t="shared" si="2"/>
        <v>60</v>
      </c>
      <c r="J175" s="85">
        <f>IF($F175="","",IFERROR(VLOOKUP($F175,Inventory!$A:$K,11,FALSE),0))</f>
        <v>60</v>
      </c>
      <c r="K175" s="85"/>
      <c r="L175" s="85">
        <f t="shared" si="3"/>
        <v>60</v>
      </c>
      <c r="M175" s="83" t="s">
        <v>330</v>
      </c>
      <c r="N175" s="85">
        <f>IF($F175="","",IFERROR(VLOOKUP($F175,Inventory!$A:$I,9,FALSE),0))</f>
        <v>35</v>
      </c>
      <c r="O175" s="85">
        <f t="shared" si="4"/>
        <v>35</v>
      </c>
      <c r="P175" s="85">
        <f t="shared" si="5"/>
        <v>25</v>
      </c>
      <c r="Q175" s="83"/>
      <c r="R175" s="87" t="str">
        <f>IF($E175="","",IF(COUNTIF($E$7:$E175,$E175)&gt;1,"",IFERROR(VLOOKUP($E175,Orders!$A:$I,8,FALSE),"")))</f>
        <v/>
      </c>
      <c r="S175" s="87" t="str">
        <f>IF($E175="","",IF(COUNTIF($E$7:$E175,$E175)&gt;1,"",IFERROR(VLOOKUP($E175,Orders!$A:$I,9,FALSE),"")))</f>
        <v/>
      </c>
      <c r="T175" s="88">
        <f t="shared" si="6"/>
        <v>25</v>
      </c>
      <c r="U175" s="88">
        <f>IF($F175="","",IF($E175="",T175,SUMIF(Sales!$E$7:$E$1506,$E175,Sales!$T$7:$T$1506)))</f>
        <v>25</v>
      </c>
      <c r="V175" s="49" t="str">
        <f t="shared" si="7"/>
        <v/>
      </c>
      <c r="W175" s="49" t="str">
        <f t="array" ref="W175">IF($V175="","",SUMPRODUCT((Sales!$V$7:$V$1506&lt;&gt;"")*(Sales!$E$7:$E$1506&lt;$E175))+1)</f>
        <v/>
      </c>
      <c r="X175" s="49">
        <f t="shared" si="8"/>
        <v>35</v>
      </c>
      <c r="Y175" s="49" t="str">
        <f t="shared" si="9"/>
        <v>202608-35</v>
      </c>
      <c r="AA175" s="73" t="str">
        <f>IF(Inventory!A173="","",Inventory!A173)</f>
        <v/>
      </c>
    </row>
    <row r="176" ht="14.25" customHeight="1">
      <c r="A176" s="82">
        <v>46237.0</v>
      </c>
      <c r="B176" s="83" t="s">
        <v>324</v>
      </c>
      <c r="C176" s="83" t="s">
        <v>365</v>
      </c>
      <c r="D176" s="83" t="s">
        <v>366</v>
      </c>
      <c r="E176" s="83"/>
      <c r="F176" s="83" t="s">
        <v>306</v>
      </c>
      <c r="G176" s="83" t="str">
        <f>IF($F176="","",IFERROR(VLOOKUP($F176,Inventory!$A:$B,2,FALSE),""))</f>
        <v>Pet Comb One Side</v>
      </c>
      <c r="H176" s="83">
        <v>1.0</v>
      </c>
      <c r="I176" s="84">
        <f t="shared" si="2"/>
        <v>200</v>
      </c>
      <c r="J176" s="85">
        <f>IF($F176="","",IFERROR(VLOOKUP($F176,Inventory!$A:$K,11,FALSE),0))</f>
        <v>200</v>
      </c>
      <c r="K176" s="85"/>
      <c r="L176" s="85">
        <f t="shared" si="3"/>
        <v>200</v>
      </c>
      <c r="M176" s="83" t="s">
        <v>330</v>
      </c>
      <c r="N176" s="85">
        <f>IF($F176="","",IFERROR(VLOOKUP($F176,Inventory!$A:$I,9,FALSE),0))</f>
        <v>130</v>
      </c>
      <c r="O176" s="85">
        <f t="shared" si="4"/>
        <v>130</v>
      </c>
      <c r="P176" s="85">
        <f t="shared" si="5"/>
        <v>70</v>
      </c>
      <c r="Q176" s="83"/>
      <c r="R176" s="87" t="str">
        <f>IF($E176="","",IF(COUNTIF($E$7:$E176,$E176)&gt;1,"",IFERROR(VLOOKUP($E176,Orders!$A:$I,8,FALSE),"")))</f>
        <v/>
      </c>
      <c r="S176" s="87" t="str">
        <f>IF($E176="","",IF(COUNTIF($E$7:$E176,$E176)&gt;1,"",IFERROR(VLOOKUP($E176,Orders!$A:$I,9,FALSE),"")))</f>
        <v/>
      </c>
      <c r="T176" s="88">
        <f t="shared" si="6"/>
        <v>70</v>
      </c>
      <c r="U176" s="88">
        <f>IF($F176="","",IF($E176="",T176,SUMIF(Sales!$E$7:$E$1506,$E176,Sales!$T$7:$T$1506)))</f>
        <v>70</v>
      </c>
      <c r="V176" s="49" t="str">
        <f t="shared" si="7"/>
        <v/>
      </c>
      <c r="W176" s="49" t="str">
        <f t="array" ref="W176">IF($V176="","",SUMPRODUCT((Sales!$V$7:$V$1506&lt;&gt;"")*(Sales!$E$7:$E$1506&lt;$E176))+1)</f>
        <v/>
      </c>
      <c r="X176" s="49">
        <f t="shared" si="8"/>
        <v>36</v>
      </c>
      <c r="Y176" s="49" t="str">
        <f t="shared" si="9"/>
        <v>202608-36</v>
      </c>
      <c r="AA176" s="73" t="str">
        <f>IF(Inventory!A174="","",Inventory!A174)</f>
        <v/>
      </c>
    </row>
    <row r="177" ht="14.25" customHeight="1">
      <c r="A177" s="82">
        <v>46238.0</v>
      </c>
      <c r="B177" s="83" t="s">
        <v>324</v>
      </c>
      <c r="C177" s="83" t="s">
        <v>365</v>
      </c>
      <c r="D177" s="83" t="s">
        <v>366</v>
      </c>
      <c r="E177" s="83"/>
      <c r="F177" s="83" t="s">
        <v>256</v>
      </c>
      <c r="G177" s="83" t="str">
        <f>IF($F177="","",IFERROR(VLOOKUP($F177,Inventory!$A:$B,2,FALSE),""))</f>
        <v>Kitchen Flavor Grain Free Kitten 400G</v>
      </c>
      <c r="H177" s="83">
        <v>1.0</v>
      </c>
      <c r="I177" s="84">
        <f t="shared" si="2"/>
        <v>360</v>
      </c>
      <c r="J177" s="85">
        <f>IF($F177="","",IFERROR(VLOOKUP($F177,Inventory!$A:$K,11,FALSE),0))</f>
        <v>380</v>
      </c>
      <c r="K177" s="85">
        <v>20.0</v>
      </c>
      <c r="L177" s="85">
        <f t="shared" si="3"/>
        <v>360</v>
      </c>
      <c r="M177" s="83" t="s">
        <v>330</v>
      </c>
      <c r="N177" s="85">
        <f>IF($F177="","",IFERROR(VLOOKUP($F177,Inventory!$A:$I,9,FALSE),0))</f>
        <v>290</v>
      </c>
      <c r="O177" s="85">
        <f t="shared" si="4"/>
        <v>290</v>
      </c>
      <c r="P177" s="85">
        <f t="shared" si="5"/>
        <v>70</v>
      </c>
      <c r="Q177" s="83"/>
      <c r="R177" s="87" t="str">
        <f>IF($E177="","",IF(COUNTIF($E$7:$E177,$E177)&gt;1,"",IFERROR(VLOOKUP($E177,Orders!$A:$I,8,FALSE),"")))</f>
        <v/>
      </c>
      <c r="S177" s="87" t="str">
        <f>IF($E177="","",IF(COUNTIF($E$7:$E177,$E177)&gt;1,"",IFERROR(VLOOKUP($E177,Orders!$A:$I,9,FALSE),"")))</f>
        <v/>
      </c>
      <c r="T177" s="88">
        <f t="shared" si="6"/>
        <v>70</v>
      </c>
      <c r="U177" s="88">
        <f>IF($F177="","",IF($E177="",T177,SUMIF(Sales!$E$7:$E$1506,$E177,Sales!$T$7:$T$1506)))</f>
        <v>70</v>
      </c>
      <c r="V177" s="49" t="str">
        <f t="shared" si="7"/>
        <v/>
      </c>
      <c r="W177" s="49" t="str">
        <f t="array" ref="W177">IF($V177="","",SUMPRODUCT((Sales!$V$7:$V$1506&lt;&gt;"")*(Sales!$E$7:$E$1506&lt;$E177))+1)</f>
        <v/>
      </c>
      <c r="X177" s="49">
        <f t="shared" si="8"/>
        <v>37</v>
      </c>
      <c r="Y177" s="49" t="str">
        <f t="shared" si="9"/>
        <v>202608-37</v>
      </c>
      <c r="AA177" s="73" t="str">
        <f>IF(Inventory!A175="","",Inventory!A175)</f>
        <v/>
      </c>
    </row>
    <row r="178" ht="14.25" customHeight="1">
      <c r="A178" s="82">
        <v>46238.0</v>
      </c>
      <c r="B178" s="83" t="s">
        <v>324</v>
      </c>
      <c r="C178" s="83" t="s">
        <v>365</v>
      </c>
      <c r="D178" s="83" t="s">
        <v>366</v>
      </c>
      <c r="E178" s="83"/>
      <c r="F178" s="83" t="s">
        <v>368</v>
      </c>
      <c r="G178" s="83" t="str">
        <f>IF($F178="","",IFERROR(VLOOKUP($F178,Inventory!$A:$B,2,FALSE),""))</f>
        <v>Petmetro Gino Pouch - Chicken &amp; Cat Grass - 100g</v>
      </c>
      <c r="H178" s="83">
        <v>1.0</v>
      </c>
      <c r="I178" s="84">
        <f t="shared" si="2"/>
        <v>100</v>
      </c>
      <c r="J178" s="85">
        <f>IF($F178="","",IFERROR(VLOOKUP($F178,Inventory!$A:$K,11,FALSE),0))</f>
        <v>110</v>
      </c>
      <c r="K178" s="85">
        <v>10.0</v>
      </c>
      <c r="L178" s="85">
        <f t="shared" si="3"/>
        <v>100</v>
      </c>
      <c r="M178" s="83" t="s">
        <v>330</v>
      </c>
      <c r="N178" s="85">
        <f>IF($F178="","",IFERROR(VLOOKUP($F178,Inventory!$A:$I,9,FALSE),0))</f>
        <v>85</v>
      </c>
      <c r="O178" s="85">
        <f t="shared" si="4"/>
        <v>85</v>
      </c>
      <c r="P178" s="85">
        <f t="shared" si="5"/>
        <v>15</v>
      </c>
      <c r="Q178" s="83"/>
      <c r="R178" s="87" t="str">
        <f>IF($E178="","",IF(COUNTIF($E$7:$E178,$E178)&gt;1,"",IFERROR(VLOOKUP($E178,Orders!$A:$I,8,FALSE),"")))</f>
        <v/>
      </c>
      <c r="S178" s="87" t="str">
        <f>IF($E178="","",IF(COUNTIF($E$7:$E178,$E178)&gt;1,"",IFERROR(VLOOKUP($E178,Orders!$A:$I,9,FALSE),"")))</f>
        <v/>
      </c>
      <c r="T178" s="88">
        <f t="shared" si="6"/>
        <v>15</v>
      </c>
      <c r="U178" s="88">
        <f>IF($F178="","",IF($E178="",T178,SUMIF(Sales!$E$7:$E$1506,$E178,Sales!$T$7:$T$1506)))</f>
        <v>15</v>
      </c>
      <c r="V178" s="49" t="str">
        <f t="shared" si="7"/>
        <v/>
      </c>
      <c r="W178" s="49" t="str">
        <f t="array" ref="W178">IF($V178="","",SUMPRODUCT((Sales!$V$7:$V$1506&lt;&gt;"")*(Sales!$E$7:$E$1506&lt;$E178))+1)</f>
        <v/>
      </c>
      <c r="X178" s="49">
        <f t="shared" si="8"/>
        <v>38</v>
      </c>
      <c r="Y178" s="49" t="str">
        <f t="shared" si="9"/>
        <v>202608-38</v>
      </c>
      <c r="AA178" s="73" t="str">
        <f>IF(Inventory!A176="","",Inventory!A176)</f>
        <v/>
      </c>
    </row>
    <row r="179" ht="14.25" customHeight="1">
      <c r="A179" s="82">
        <v>46238.0</v>
      </c>
      <c r="B179" s="83" t="s">
        <v>324</v>
      </c>
      <c r="C179" s="83" t="s">
        <v>365</v>
      </c>
      <c r="D179" s="83" t="s">
        <v>366</v>
      </c>
      <c r="E179" s="83"/>
      <c r="F179" s="83" t="s">
        <v>234</v>
      </c>
      <c r="G179" s="83" t="str">
        <f>IF($F179="","",IFERROR(VLOOKUP($F179,Inventory!$A:$B,2,FALSE),""))</f>
        <v>Whiskas Junior Tuna Flavor</v>
      </c>
      <c r="H179" s="83">
        <v>1.0</v>
      </c>
      <c r="I179" s="84">
        <f t="shared" si="2"/>
        <v>95</v>
      </c>
      <c r="J179" s="85">
        <f>IF($F179="","",IFERROR(VLOOKUP($F179,Inventory!$A:$K,11,FALSE),0))</f>
        <v>95</v>
      </c>
      <c r="K179" s="85"/>
      <c r="L179" s="85">
        <f t="shared" si="3"/>
        <v>95</v>
      </c>
      <c r="M179" s="83" t="s">
        <v>330</v>
      </c>
      <c r="N179" s="85">
        <f>IF($F179="","",IFERROR(VLOOKUP($F179,Inventory!$A:$I,9,FALSE),0))</f>
        <v>74</v>
      </c>
      <c r="O179" s="85">
        <f t="shared" si="4"/>
        <v>74</v>
      </c>
      <c r="P179" s="85">
        <f t="shared" si="5"/>
        <v>21</v>
      </c>
      <c r="Q179" s="83"/>
      <c r="R179" s="87" t="str">
        <f>IF($E179="","",IF(COUNTIF($E$7:$E179,$E179)&gt;1,"",IFERROR(VLOOKUP($E179,Orders!$A:$I,8,FALSE),"")))</f>
        <v/>
      </c>
      <c r="S179" s="87" t="str">
        <f>IF($E179="","",IF(COUNTIF($E$7:$E179,$E179)&gt;1,"",IFERROR(VLOOKUP($E179,Orders!$A:$I,9,FALSE),"")))</f>
        <v/>
      </c>
      <c r="T179" s="88">
        <f t="shared" si="6"/>
        <v>21</v>
      </c>
      <c r="U179" s="88">
        <f>IF($F179="","",IF($E179="",T179,SUMIF(Sales!$E$7:$E$1506,$E179,Sales!$T$7:$T$1506)))</f>
        <v>21</v>
      </c>
      <c r="V179" s="49" t="str">
        <f t="shared" si="7"/>
        <v/>
      </c>
      <c r="W179" s="49" t="str">
        <f t="array" ref="W179">IF($V179="","",SUMPRODUCT((Sales!$V$7:$V$1506&lt;&gt;"")*(Sales!$E$7:$E$1506&lt;$E179))+1)</f>
        <v/>
      </c>
      <c r="X179" s="49">
        <f t="shared" si="8"/>
        <v>39</v>
      </c>
      <c r="Y179" s="49" t="str">
        <f t="shared" si="9"/>
        <v>202608-39</v>
      </c>
      <c r="AA179" s="73" t="str">
        <f>IF(Inventory!A177="","",Inventory!A177)</f>
        <v/>
      </c>
    </row>
    <row r="180" ht="14.25" customHeight="1">
      <c r="A180" s="82">
        <v>46238.0</v>
      </c>
      <c r="B180" s="83" t="s">
        <v>324</v>
      </c>
      <c r="C180" s="83" t="s">
        <v>365</v>
      </c>
      <c r="D180" s="83" t="s">
        <v>366</v>
      </c>
      <c r="E180" s="83"/>
      <c r="F180" s="83" t="s">
        <v>200</v>
      </c>
      <c r="G180" s="83" t="str">
        <f>IF($F180="","",IFERROR(VLOOKUP($F180,Inventory!$A:$B,2,FALSE),""))</f>
        <v>Cozie Cat Litter Lavender 5L</v>
      </c>
      <c r="H180" s="83">
        <v>1.0</v>
      </c>
      <c r="I180" s="84">
        <f t="shared" si="2"/>
        <v>330</v>
      </c>
      <c r="J180" s="85">
        <f>IF($F180="","",IFERROR(VLOOKUP($F180,Inventory!$A:$K,11,FALSE),0))</f>
        <v>370</v>
      </c>
      <c r="K180" s="85">
        <v>40.0</v>
      </c>
      <c r="L180" s="85">
        <f t="shared" si="3"/>
        <v>330</v>
      </c>
      <c r="M180" s="83" t="s">
        <v>330</v>
      </c>
      <c r="N180" s="85">
        <f>IF($F180="","",IFERROR(VLOOKUP($F180,Inventory!$A:$I,9,FALSE),0))</f>
        <v>230</v>
      </c>
      <c r="O180" s="85">
        <f t="shared" si="4"/>
        <v>230</v>
      </c>
      <c r="P180" s="85">
        <f t="shared" si="5"/>
        <v>100</v>
      </c>
      <c r="Q180" s="83"/>
      <c r="R180" s="87" t="str">
        <f>IF($E180="","",IF(COUNTIF($E$7:$E180,$E180)&gt;1,"",IFERROR(VLOOKUP($E180,Orders!$A:$I,8,FALSE),"")))</f>
        <v/>
      </c>
      <c r="S180" s="87" t="str">
        <f>IF($E180="","",IF(COUNTIF($E$7:$E180,$E180)&gt;1,"",IFERROR(VLOOKUP($E180,Orders!$A:$I,9,FALSE),"")))</f>
        <v/>
      </c>
      <c r="T180" s="88">
        <f t="shared" si="6"/>
        <v>100</v>
      </c>
      <c r="U180" s="88">
        <f>IF($F180="","",IF($E180="",T180,SUMIF(Sales!$E$7:$E$1506,$E180,Sales!$T$7:$T$1506)))</f>
        <v>100</v>
      </c>
      <c r="V180" s="49" t="str">
        <f t="shared" si="7"/>
        <v/>
      </c>
      <c r="W180" s="49" t="str">
        <f t="array" ref="W180">IF($V180="","",SUMPRODUCT((Sales!$V$7:$V$1506&lt;&gt;"")*(Sales!$E$7:$E$1506&lt;$E180))+1)</f>
        <v/>
      </c>
      <c r="X180" s="49">
        <f t="shared" si="8"/>
        <v>40</v>
      </c>
      <c r="Y180" s="49" t="str">
        <f t="shared" si="9"/>
        <v>202608-40</v>
      </c>
      <c r="AA180" s="73" t="str">
        <f>IF(Inventory!A178="","",Inventory!A178)</f>
        <v/>
      </c>
    </row>
    <row r="181" ht="14.25" customHeight="1">
      <c r="A181" s="82">
        <v>46238.0</v>
      </c>
      <c r="B181" s="83" t="s">
        <v>324</v>
      </c>
      <c r="C181" s="83" t="s">
        <v>325</v>
      </c>
      <c r="D181" s="83" t="s">
        <v>586</v>
      </c>
      <c r="E181" s="83" t="s">
        <v>587</v>
      </c>
      <c r="F181" s="83" t="s">
        <v>202</v>
      </c>
      <c r="G181" s="83" t="str">
        <f>IF($F181="","",IFERROR(VLOOKUP($F181,Inventory!$A:$B,2,FALSE),""))</f>
        <v>Cozie Cat Litter Lavender 10L</v>
      </c>
      <c r="H181" s="83">
        <v>1.0</v>
      </c>
      <c r="I181" s="84">
        <f t="shared" si="2"/>
        <v>620</v>
      </c>
      <c r="J181" s="85">
        <f>IF($F181="","",IFERROR(VLOOKUP($F181,Inventory!$A:$K,11,FALSE),0))</f>
        <v>700</v>
      </c>
      <c r="K181" s="85">
        <v>80.0</v>
      </c>
      <c r="L181" s="85">
        <f t="shared" si="3"/>
        <v>620</v>
      </c>
      <c r="M181" s="83" t="s">
        <v>330</v>
      </c>
      <c r="N181" s="85">
        <f>IF($F181="","",IFERROR(VLOOKUP($F181,Inventory!$A:$I,9,FALSE),0))</f>
        <v>450</v>
      </c>
      <c r="O181" s="85">
        <f t="shared" si="4"/>
        <v>450</v>
      </c>
      <c r="P181" s="85">
        <f t="shared" si="5"/>
        <v>170</v>
      </c>
      <c r="Q181" s="83"/>
      <c r="R181" s="87">
        <f>IF($E181="","",IF(COUNTIF($E$7:$E181,$E181)&gt;1,"",IFERROR(VLOOKUP($E181,Orders!$A:$I,8,FALSE),"")))</f>
        <v>80</v>
      </c>
      <c r="S181" s="87">
        <f>IF($E181="","",IF(COUNTIF($E$7:$E181,$E181)&gt;1,"",IFERROR(VLOOKUP($E181,Orders!$A:$I,9,FALSE),"")))</f>
        <v>105</v>
      </c>
      <c r="T181" s="88">
        <f t="shared" si="6"/>
        <v>145</v>
      </c>
      <c r="U181" s="88">
        <f>IF($F181="","",IF($E181="",T181,SUMIF(Sales!$E$7:$E$1506,$E181,Sales!$T$7:$T$1506)))</f>
        <v>145</v>
      </c>
      <c r="V181" s="49">
        <f t="shared" si="7"/>
        <v>11</v>
      </c>
      <c r="W181" s="49">
        <f t="array" ref="W181">IF($V181="","",SUMPRODUCT((Sales!$V$7:$V$1506&lt;&gt;"")*(Sales!$E$7:$E$1506&lt;$E181))+1)</f>
        <v>11</v>
      </c>
      <c r="X181" s="49">
        <f t="shared" si="8"/>
        <v>41</v>
      </c>
      <c r="Y181" s="49" t="str">
        <f t="shared" si="9"/>
        <v>202608-41</v>
      </c>
      <c r="AA181" s="73" t="str">
        <f>IF(Inventory!A179="","",Inventory!A179)</f>
        <v/>
      </c>
    </row>
    <row r="182" ht="14.25" customHeight="1">
      <c r="A182" s="82">
        <v>46238.0</v>
      </c>
      <c r="B182" s="83" t="s">
        <v>324</v>
      </c>
      <c r="C182" s="83" t="s">
        <v>325</v>
      </c>
      <c r="D182" s="83" t="s">
        <v>366</v>
      </c>
      <c r="E182" s="83"/>
      <c r="F182" s="83" t="s">
        <v>349</v>
      </c>
      <c r="G182" s="83" t="str">
        <f>IF($F182="","",IFERROR(VLOOKUP($F182,Inventory!$A:$B,2,FALSE),""))</f>
        <v>PAW Cat Food Kitten Can Fish</v>
      </c>
      <c r="H182" s="83">
        <v>1.0</v>
      </c>
      <c r="I182" s="84">
        <f t="shared" si="2"/>
        <v>160</v>
      </c>
      <c r="J182" s="85">
        <f>IF($F182="","",IFERROR(VLOOKUP($F182,Inventory!$A:$K,11,FALSE),0))</f>
        <v>190</v>
      </c>
      <c r="K182" s="85">
        <v>30.0</v>
      </c>
      <c r="L182" s="85">
        <f t="shared" si="3"/>
        <v>160</v>
      </c>
      <c r="M182" s="83" t="s">
        <v>330</v>
      </c>
      <c r="N182" s="85">
        <f>IF($F182="","",IFERROR(VLOOKUP($F182,Inventory!$A:$I,9,FALSE),0))</f>
        <v>130</v>
      </c>
      <c r="O182" s="85">
        <f t="shared" si="4"/>
        <v>130</v>
      </c>
      <c r="P182" s="85">
        <f t="shared" si="5"/>
        <v>30</v>
      </c>
      <c r="Q182" s="83"/>
      <c r="R182" s="87" t="str">
        <f>IF($E182="","",IF(COUNTIF($E$7:$E182,$E182)&gt;1,"",IFERROR(VLOOKUP($E182,Orders!$A:$I,8,FALSE),"")))</f>
        <v/>
      </c>
      <c r="S182" s="87" t="str">
        <f>IF($E182="","",IF(COUNTIF($E$7:$E182,$E182)&gt;1,"",IFERROR(VLOOKUP($E182,Orders!$A:$I,9,FALSE),"")))</f>
        <v/>
      </c>
      <c r="T182" s="88">
        <f t="shared" si="6"/>
        <v>30</v>
      </c>
      <c r="U182" s="88">
        <f>IF($F182="","",IF($E182="",T182,SUMIF(Sales!$E$7:$E$1506,$E182,Sales!$T$7:$T$1506)))</f>
        <v>30</v>
      </c>
      <c r="V182" s="49" t="str">
        <f t="shared" si="7"/>
        <v/>
      </c>
      <c r="W182" s="49" t="str">
        <f t="array" ref="W182">IF($V182="","",SUMPRODUCT((Sales!$V$7:$V$1506&lt;&gt;"")*(Sales!$E$7:$E$1506&lt;$E182))+1)</f>
        <v/>
      </c>
      <c r="X182" s="49">
        <f t="shared" si="8"/>
        <v>42</v>
      </c>
      <c r="Y182" s="49" t="str">
        <f t="shared" si="9"/>
        <v>202608-42</v>
      </c>
      <c r="AA182" s="73" t="str">
        <f>IF(Inventory!A180="","",Inventory!A180)</f>
        <v/>
      </c>
    </row>
    <row r="183" ht="14.25" customHeight="1">
      <c r="A183" s="82">
        <v>46238.0</v>
      </c>
      <c r="B183" s="83" t="s">
        <v>324</v>
      </c>
      <c r="C183" s="83" t="s">
        <v>365</v>
      </c>
      <c r="D183" s="83" t="s">
        <v>366</v>
      </c>
      <c r="E183" s="83"/>
      <c r="F183" s="83" t="s">
        <v>179</v>
      </c>
      <c r="G183" s="83" t="str">
        <f>IF($F183="","",IFERROR(VLOOKUP($F183,Inventory!$A:$B,2,FALSE),""))</f>
        <v>Creamy Treat 15G (Purry &amp; Hyper Paws)</v>
      </c>
      <c r="H183" s="83">
        <v>3.0</v>
      </c>
      <c r="I183" s="84">
        <f t="shared" si="2"/>
        <v>16.667</v>
      </c>
      <c r="J183" s="85">
        <f>IF($F183="","",IFERROR(VLOOKUP($F183,Inventory!$A:$K,11,FALSE),0))</f>
        <v>20</v>
      </c>
      <c r="K183" s="85">
        <v>3.333</v>
      </c>
      <c r="L183" s="85">
        <f t="shared" si="3"/>
        <v>50.001</v>
      </c>
      <c r="M183" s="83" t="s">
        <v>330</v>
      </c>
      <c r="N183" s="85">
        <f>IF($F183="","",IFERROR(VLOOKUP($F183,Inventory!$A:$I,9,FALSE),0))</f>
        <v>8.147411853</v>
      </c>
      <c r="O183" s="85">
        <f t="shared" si="4"/>
        <v>24.44223556</v>
      </c>
      <c r="P183" s="85">
        <f t="shared" si="5"/>
        <v>25.55876444</v>
      </c>
      <c r="Q183" s="83"/>
      <c r="R183" s="87" t="str">
        <f>IF($E183="","",IF(COUNTIF($E$7:$E183,$E183)&gt;1,"",IFERROR(VLOOKUP($E183,Orders!$A:$I,8,FALSE),"")))</f>
        <v/>
      </c>
      <c r="S183" s="87" t="str">
        <f>IF($E183="","",IF(COUNTIF($E$7:$E183,$E183)&gt;1,"",IFERROR(VLOOKUP($E183,Orders!$A:$I,9,FALSE),"")))</f>
        <v/>
      </c>
      <c r="T183" s="88">
        <f t="shared" si="6"/>
        <v>25.55876444</v>
      </c>
      <c r="U183" s="88">
        <f>IF($F183="","",IF($E183="",T183,SUMIF(Sales!$E$7:$E$1506,$E183,Sales!$T$7:$T$1506)))</f>
        <v>25.55876444</v>
      </c>
      <c r="V183" s="49" t="str">
        <f t="shared" si="7"/>
        <v/>
      </c>
      <c r="W183" s="49" t="str">
        <f t="array" ref="W183">IF($V183="","",SUMPRODUCT((Sales!$V$7:$V$1506&lt;&gt;"")*(Sales!$E$7:$E$1506&lt;$E183))+1)</f>
        <v/>
      </c>
      <c r="X183" s="49">
        <f t="shared" si="8"/>
        <v>43</v>
      </c>
      <c r="Y183" s="49" t="str">
        <f t="shared" si="9"/>
        <v>202608-43</v>
      </c>
      <c r="AA183" s="73" t="str">
        <f>IF(Inventory!A181="","",Inventory!A181)</f>
        <v/>
      </c>
    </row>
    <row r="184" ht="14.25" customHeight="1">
      <c r="A184" s="82">
        <v>46238.0</v>
      </c>
      <c r="B184" s="83" t="s">
        <v>324</v>
      </c>
      <c r="C184" s="83" t="s">
        <v>365</v>
      </c>
      <c r="D184" s="83" t="s">
        <v>366</v>
      </c>
      <c r="E184" s="83"/>
      <c r="F184" s="83" t="s">
        <v>376</v>
      </c>
      <c r="G184" s="83" t="str">
        <f>IF($F184="","",IFERROR(VLOOKUP($F184,Inventory!$A:$B,2,FALSE),""))</f>
        <v>PetMetro Cat Litter Coffee 5L</v>
      </c>
      <c r="H184" s="83">
        <v>1.0</v>
      </c>
      <c r="I184" s="84">
        <f t="shared" si="2"/>
        <v>260</v>
      </c>
      <c r="J184" s="85">
        <f>IF($F184="","",IFERROR(VLOOKUP($F184,Inventory!$A:$K,11,FALSE),0))</f>
        <v>280</v>
      </c>
      <c r="K184" s="85">
        <v>20.0</v>
      </c>
      <c r="L184" s="85">
        <f t="shared" si="3"/>
        <v>260</v>
      </c>
      <c r="M184" s="83" t="s">
        <v>330</v>
      </c>
      <c r="N184" s="85">
        <f>IF($F184="","",IFERROR(VLOOKUP($F184,Inventory!$A:$I,9,FALSE),0))</f>
        <v>200</v>
      </c>
      <c r="O184" s="85">
        <f t="shared" si="4"/>
        <v>200</v>
      </c>
      <c r="P184" s="85">
        <f t="shared" si="5"/>
        <v>60</v>
      </c>
      <c r="Q184" s="83"/>
      <c r="R184" s="87" t="str">
        <f>IF($E184="","",IF(COUNTIF($E$7:$E184,$E184)&gt;1,"",IFERROR(VLOOKUP($E184,Orders!$A:$I,8,FALSE),"")))</f>
        <v/>
      </c>
      <c r="S184" s="87" t="str">
        <f>IF($E184="","",IF(COUNTIF($E$7:$E184,$E184)&gt;1,"",IFERROR(VLOOKUP($E184,Orders!$A:$I,9,FALSE),"")))</f>
        <v/>
      </c>
      <c r="T184" s="88">
        <f t="shared" si="6"/>
        <v>60</v>
      </c>
      <c r="U184" s="88">
        <f>IF($F184="","",IF($E184="",T184,SUMIF(Sales!$E$7:$E$1506,$E184,Sales!$T$7:$T$1506)))</f>
        <v>60</v>
      </c>
      <c r="V184" s="49" t="str">
        <f t="shared" si="7"/>
        <v/>
      </c>
      <c r="W184" s="49" t="str">
        <f t="array" ref="W184">IF($V184="","",SUMPRODUCT((Sales!$V$7:$V$1506&lt;&gt;"")*(Sales!$E$7:$E$1506&lt;$E184))+1)</f>
        <v/>
      </c>
      <c r="X184" s="49">
        <f t="shared" si="8"/>
        <v>44</v>
      </c>
      <c r="Y184" s="49" t="str">
        <f t="shared" si="9"/>
        <v>202608-44</v>
      </c>
      <c r="AA184" s="73" t="str">
        <f>IF(Inventory!A182="","",Inventory!A182)</f>
        <v/>
      </c>
    </row>
    <row r="185" ht="14.25" customHeight="1">
      <c r="A185" s="82">
        <v>46239.0</v>
      </c>
      <c r="B185" s="83" t="s">
        <v>324</v>
      </c>
      <c r="C185" s="83" t="s">
        <v>365</v>
      </c>
      <c r="D185" s="83" t="s">
        <v>366</v>
      </c>
      <c r="E185" s="83"/>
      <c r="F185" s="83" t="s">
        <v>370</v>
      </c>
      <c r="G185" s="83" t="str">
        <f>IF($F185="","",IFERROR(VLOOKUP($F185,Inventory!$A:$B,2,FALSE),""))</f>
        <v>PetMetro Cat Litter Apple 5L</v>
      </c>
      <c r="H185" s="83">
        <v>1.0</v>
      </c>
      <c r="I185" s="84">
        <f t="shared" si="2"/>
        <v>260</v>
      </c>
      <c r="J185" s="85">
        <f>IF($F185="","",IFERROR(VLOOKUP($F185,Inventory!$A:$K,11,FALSE),0))</f>
        <v>280</v>
      </c>
      <c r="K185" s="85">
        <v>20.0</v>
      </c>
      <c r="L185" s="85">
        <f t="shared" si="3"/>
        <v>260</v>
      </c>
      <c r="M185" s="83" t="s">
        <v>330</v>
      </c>
      <c r="N185" s="85">
        <f>IF($F185="","",IFERROR(VLOOKUP($F185,Inventory!$A:$I,9,FALSE),0))</f>
        <v>200</v>
      </c>
      <c r="O185" s="85">
        <f t="shared" si="4"/>
        <v>200</v>
      </c>
      <c r="P185" s="85">
        <f t="shared" si="5"/>
        <v>60</v>
      </c>
      <c r="Q185" s="83"/>
      <c r="R185" s="87" t="str">
        <f>IF($E185="","",IF(COUNTIF($E$7:$E185,$E185)&gt;1,"",IFERROR(VLOOKUP($E185,Orders!$A:$I,8,FALSE),"")))</f>
        <v/>
      </c>
      <c r="S185" s="87" t="str">
        <f>IF($E185="","",IF(COUNTIF($E$7:$E185,$E185)&gt;1,"",IFERROR(VLOOKUP($E185,Orders!$A:$I,9,FALSE),"")))</f>
        <v/>
      </c>
      <c r="T185" s="88">
        <f t="shared" si="6"/>
        <v>60</v>
      </c>
      <c r="U185" s="88">
        <f>IF($F185="","",IF($E185="",T185,SUMIF(Sales!$E$7:$E$1506,$E185,Sales!$T$7:$T$1506)))</f>
        <v>60</v>
      </c>
      <c r="V185" s="49" t="str">
        <f t="shared" si="7"/>
        <v/>
      </c>
      <c r="W185" s="49" t="str">
        <f t="array" ref="W185">IF($V185="","",SUMPRODUCT((Sales!$V$7:$V$1506&lt;&gt;"")*(Sales!$E$7:$E$1506&lt;$E185))+1)</f>
        <v/>
      </c>
      <c r="X185" s="49">
        <f t="shared" si="8"/>
        <v>45</v>
      </c>
      <c r="Y185" s="49" t="str">
        <f t="shared" si="9"/>
        <v>202608-45</v>
      </c>
      <c r="AA185" s="73" t="str">
        <f>IF(Inventory!A183="","",Inventory!A183)</f>
        <v/>
      </c>
    </row>
    <row r="186" ht="14.25" customHeight="1">
      <c r="A186" s="82">
        <v>46239.0</v>
      </c>
      <c r="B186" s="83" t="s">
        <v>324</v>
      </c>
      <c r="C186" s="83" t="s">
        <v>365</v>
      </c>
      <c r="D186" s="83" t="s">
        <v>366</v>
      </c>
      <c r="E186" s="83"/>
      <c r="F186" s="83" t="s">
        <v>179</v>
      </c>
      <c r="G186" s="83" t="str">
        <f>IF($F186="","",IFERROR(VLOOKUP($F186,Inventory!$A:$B,2,FALSE),""))</f>
        <v>Creamy Treat 15G (Purry &amp; Hyper Paws)</v>
      </c>
      <c r="H186" s="83">
        <v>3.0</v>
      </c>
      <c r="I186" s="84">
        <f t="shared" si="2"/>
        <v>16.667</v>
      </c>
      <c r="J186" s="85">
        <f>IF($F186="","",IFERROR(VLOOKUP($F186,Inventory!$A:$K,11,FALSE),0))</f>
        <v>20</v>
      </c>
      <c r="K186" s="85">
        <v>3.333</v>
      </c>
      <c r="L186" s="85">
        <f t="shared" si="3"/>
        <v>50.001</v>
      </c>
      <c r="M186" s="83" t="s">
        <v>330</v>
      </c>
      <c r="N186" s="85">
        <f>IF($F186="","",IFERROR(VLOOKUP($F186,Inventory!$A:$I,9,FALSE),0))</f>
        <v>8.147411853</v>
      </c>
      <c r="O186" s="85">
        <f t="shared" si="4"/>
        <v>24.44223556</v>
      </c>
      <c r="P186" s="85">
        <f t="shared" si="5"/>
        <v>25.55876444</v>
      </c>
      <c r="Q186" s="83"/>
      <c r="R186" s="87" t="str">
        <f>IF($E186="","",IF(COUNTIF($E$7:$E186,$E186)&gt;1,"",IFERROR(VLOOKUP($E186,Orders!$A:$I,8,FALSE),"")))</f>
        <v/>
      </c>
      <c r="S186" s="87" t="str">
        <f>IF($E186="","",IF(COUNTIF($E$7:$E186,$E186)&gt;1,"",IFERROR(VLOOKUP($E186,Orders!$A:$I,9,FALSE),"")))</f>
        <v/>
      </c>
      <c r="T186" s="88">
        <f t="shared" si="6"/>
        <v>25.55876444</v>
      </c>
      <c r="U186" s="88">
        <f>IF($F186="","",IF($E186="",T186,SUMIF(Sales!$E$7:$E$1506,$E186,Sales!$T$7:$T$1506)))</f>
        <v>25.55876444</v>
      </c>
      <c r="V186" s="49" t="str">
        <f t="shared" si="7"/>
        <v/>
      </c>
      <c r="W186" s="49" t="str">
        <f t="array" ref="W186">IF($V186="","",SUMPRODUCT((Sales!$V$7:$V$1506&lt;&gt;"")*(Sales!$E$7:$E$1506&lt;$E186))+1)</f>
        <v/>
      </c>
      <c r="X186" s="49">
        <f t="shared" si="8"/>
        <v>46</v>
      </c>
      <c r="Y186" s="49" t="str">
        <f t="shared" si="9"/>
        <v>202608-46</v>
      </c>
      <c r="AA186" s="73" t="str">
        <f>IF(Inventory!A184="","",Inventory!A184)</f>
        <v/>
      </c>
    </row>
    <row r="187" ht="14.25" customHeight="1">
      <c r="A187" s="82">
        <v>46239.0</v>
      </c>
      <c r="B187" s="83" t="s">
        <v>324</v>
      </c>
      <c r="C187" s="83" t="s">
        <v>365</v>
      </c>
      <c r="D187" s="83" t="s">
        <v>366</v>
      </c>
      <c r="E187" s="83"/>
      <c r="F187" s="83" t="s">
        <v>215</v>
      </c>
      <c r="G187" s="83" t="str">
        <f>IF($F187="","",IFERROR(VLOOKUP($F187,Inventory!$A:$B,2,FALSE),""))</f>
        <v>Dodo Cat Litter 25L Apple Flvor</v>
      </c>
      <c r="H187" s="83">
        <v>1.0</v>
      </c>
      <c r="I187" s="84">
        <f t="shared" si="2"/>
        <v>1300</v>
      </c>
      <c r="J187" s="85">
        <f>IF($F187="","",IFERROR(VLOOKUP($F187,Inventory!$A:$K,11,FALSE),0))</f>
        <v>1450</v>
      </c>
      <c r="K187" s="85">
        <v>150.0</v>
      </c>
      <c r="L187" s="85">
        <f t="shared" si="3"/>
        <v>1300</v>
      </c>
      <c r="M187" s="83" t="s">
        <v>330</v>
      </c>
      <c r="N187" s="85">
        <f>IF($F187="","",IFERROR(VLOOKUP($F187,Inventory!$A:$I,9,FALSE),0))</f>
        <v>850</v>
      </c>
      <c r="O187" s="85">
        <f t="shared" si="4"/>
        <v>850</v>
      </c>
      <c r="P187" s="85">
        <f t="shared" si="5"/>
        <v>450</v>
      </c>
      <c r="Q187" s="83"/>
      <c r="R187" s="87" t="str">
        <f>IF($E187="","",IF(COUNTIF($E$7:$E187,$E187)&gt;1,"",IFERROR(VLOOKUP($E187,Orders!$A:$I,8,FALSE),"")))</f>
        <v/>
      </c>
      <c r="S187" s="87" t="str">
        <f>IF($E187="","",IF(COUNTIF($E$7:$E187,$E187)&gt;1,"",IFERROR(VLOOKUP($E187,Orders!$A:$I,9,FALSE),"")))</f>
        <v/>
      </c>
      <c r="T187" s="88">
        <f t="shared" si="6"/>
        <v>450</v>
      </c>
      <c r="U187" s="88">
        <f>IF($F187="","",IF($E187="",T187,SUMIF(Sales!$E$7:$E$1506,$E187,Sales!$T$7:$T$1506)))</f>
        <v>450</v>
      </c>
      <c r="V187" s="49" t="str">
        <f t="shared" si="7"/>
        <v/>
      </c>
      <c r="W187" s="49" t="str">
        <f t="array" ref="W187">IF($V187="","",SUMPRODUCT((Sales!$V$7:$V$1506&lt;&gt;"")*(Sales!$E$7:$E$1506&lt;$E187))+1)</f>
        <v/>
      </c>
      <c r="X187" s="49">
        <f t="shared" si="8"/>
        <v>47</v>
      </c>
      <c r="Y187" s="49" t="str">
        <f t="shared" si="9"/>
        <v>202608-47</v>
      </c>
      <c r="AA187" s="73" t="str">
        <f>IF(Inventory!A185="","",Inventory!A185)</f>
        <v/>
      </c>
    </row>
    <row r="188" ht="14.25" customHeight="1">
      <c r="A188" s="82">
        <v>46239.0</v>
      </c>
      <c r="B188" s="83" t="s">
        <v>324</v>
      </c>
      <c r="C188" s="83" t="s">
        <v>365</v>
      </c>
      <c r="D188" s="83" t="s">
        <v>366</v>
      </c>
      <c r="E188" s="83"/>
      <c r="F188" s="83" t="s">
        <v>440</v>
      </c>
      <c r="G188" s="83" t="str">
        <f>IF($F188="","",IFERROR(VLOOKUP($F188,Inventory!$A:$B,2,FALSE),""))</f>
        <v>Smart Heart Kitten Chicken, Fish, Egg &amp; Milk 450gm</v>
      </c>
      <c r="H188" s="83">
        <v>1.0</v>
      </c>
      <c r="I188" s="84">
        <f t="shared" si="2"/>
        <v>360</v>
      </c>
      <c r="J188" s="85">
        <f>IF($F188="","",IFERROR(VLOOKUP($F188,Inventory!$A:$K,11,FALSE),0))</f>
        <v>380</v>
      </c>
      <c r="K188" s="85">
        <v>20.0</v>
      </c>
      <c r="L188" s="85">
        <f t="shared" si="3"/>
        <v>360</v>
      </c>
      <c r="M188" s="83" t="s">
        <v>330</v>
      </c>
      <c r="N188" s="85">
        <f>IF($F188="","",IFERROR(VLOOKUP($F188,Inventory!$A:$I,9,FALSE),0))</f>
        <v>308</v>
      </c>
      <c r="O188" s="85">
        <f t="shared" si="4"/>
        <v>308</v>
      </c>
      <c r="P188" s="85">
        <f t="shared" si="5"/>
        <v>52</v>
      </c>
      <c r="Q188" s="83"/>
      <c r="R188" s="87" t="str">
        <f>IF($E188="","",IF(COUNTIF($E$7:$E188,$E188)&gt;1,"",IFERROR(VLOOKUP($E188,Orders!$A:$I,8,FALSE),"")))</f>
        <v/>
      </c>
      <c r="S188" s="87" t="str">
        <f>IF($E188="","",IF(COUNTIF($E$7:$E188,$E188)&gt;1,"",IFERROR(VLOOKUP($E188,Orders!$A:$I,9,FALSE),"")))</f>
        <v/>
      </c>
      <c r="T188" s="88">
        <f t="shared" si="6"/>
        <v>52</v>
      </c>
      <c r="U188" s="88">
        <f>IF($F188="","",IF($E188="",T188,SUMIF(Sales!$E$7:$E$1506,$E188,Sales!$T$7:$T$1506)))</f>
        <v>52</v>
      </c>
      <c r="V188" s="49" t="str">
        <f t="shared" si="7"/>
        <v/>
      </c>
      <c r="W188" s="49" t="str">
        <f t="array" ref="W188">IF($V188="","",SUMPRODUCT((Sales!$V$7:$V$1506&lt;&gt;"")*(Sales!$E$7:$E$1506&lt;$E188))+1)</f>
        <v/>
      </c>
      <c r="X188" s="49">
        <f t="shared" si="8"/>
        <v>48</v>
      </c>
      <c r="Y188" s="49" t="str">
        <f t="shared" si="9"/>
        <v>202608-48</v>
      </c>
      <c r="AA188" s="73" t="str">
        <f>IF(Inventory!A186="","",Inventory!A186)</f>
        <v/>
      </c>
    </row>
    <row r="189" ht="14.25" customHeight="1">
      <c r="A189" s="82">
        <v>46239.0</v>
      </c>
      <c r="B189" s="83" t="s">
        <v>324</v>
      </c>
      <c r="C189" s="83" t="s">
        <v>365</v>
      </c>
      <c r="D189" s="83" t="s">
        <v>366</v>
      </c>
      <c r="E189" s="83"/>
      <c r="F189" s="83" t="s">
        <v>179</v>
      </c>
      <c r="G189" s="83" t="str">
        <f>IF($F189="","",IFERROR(VLOOKUP($F189,Inventory!$A:$B,2,FALSE),""))</f>
        <v>Creamy Treat 15G (Purry &amp; Hyper Paws)</v>
      </c>
      <c r="H189" s="83">
        <v>2.0</v>
      </c>
      <c r="I189" s="84">
        <f t="shared" si="2"/>
        <v>20</v>
      </c>
      <c r="J189" s="85">
        <f>IF($F189="","",IFERROR(VLOOKUP($F189,Inventory!$A:$K,11,FALSE),0))</f>
        <v>20</v>
      </c>
      <c r="K189" s="85"/>
      <c r="L189" s="85">
        <f t="shared" si="3"/>
        <v>40</v>
      </c>
      <c r="M189" s="83" t="s">
        <v>330</v>
      </c>
      <c r="N189" s="85">
        <f>IF($F189="","",IFERROR(VLOOKUP($F189,Inventory!$A:$I,9,FALSE),0))</f>
        <v>8.147411853</v>
      </c>
      <c r="O189" s="85">
        <f t="shared" si="4"/>
        <v>16.29482371</v>
      </c>
      <c r="P189" s="85">
        <f t="shared" si="5"/>
        <v>23.70517629</v>
      </c>
      <c r="Q189" s="83"/>
      <c r="R189" s="87" t="str">
        <f>IF($E189="","",IF(COUNTIF($E$7:$E189,$E189)&gt;1,"",IFERROR(VLOOKUP($E189,Orders!$A:$I,8,FALSE),"")))</f>
        <v/>
      </c>
      <c r="S189" s="87" t="str">
        <f>IF($E189="","",IF(COUNTIF($E$7:$E189,$E189)&gt;1,"",IFERROR(VLOOKUP($E189,Orders!$A:$I,9,FALSE),"")))</f>
        <v/>
      </c>
      <c r="T189" s="88">
        <f t="shared" si="6"/>
        <v>23.70517629</v>
      </c>
      <c r="U189" s="88">
        <f>IF($F189="","",IF($E189="",T189,SUMIF(Sales!$E$7:$E$1506,$E189,Sales!$T$7:$T$1506)))</f>
        <v>23.70517629</v>
      </c>
      <c r="V189" s="49" t="str">
        <f t="shared" si="7"/>
        <v/>
      </c>
      <c r="W189" s="49" t="str">
        <f t="array" ref="W189">IF($V189="","",SUMPRODUCT((Sales!$V$7:$V$1506&lt;&gt;"")*(Sales!$E$7:$E$1506&lt;$E189))+1)</f>
        <v/>
      </c>
      <c r="X189" s="49">
        <f t="shared" si="8"/>
        <v>49</v>
      </c>
      <c r="Y189" s="49" t="str">
        <f t="shared" si="9"/>
        <v>202608-49</v>
      </c>
      <c r="AA189" s="73" t="str">
        <f>IF(Inventory!A187="","",Inventory!A187)</f>
        <v/>
      </c>
    </row>
    <row r="190" ht="14.25" customHeight="1">
      <c r="A190" s="82">
        <v>46239.0</v>
      </c>
      <c r="B190" s="83" t="s">
        <v>324</v>
      </c>
      <c r="C190" s="83" t="s">
        <v>365</v>
      </c>
      <c r="D190" s="83" t="s">
        <v>366</v>
      </c>
      <c r="E190" s="83"/>
      <c r="F190" s="83" t="s">
        <v>179</v>
      </c>
      <c r="G190" s="83" t="str">
        <f>IF($F190="","",IFERROR(VLOOKUP($F190,Inventory!$A:$B,2,FALSE),""))</f>
        <v>Creamy Treat 15G (Purry &amp; Hyper Paws)</v>
      </c>
      <c r="H190" s="83">
        <v>3.0</v>
      </c>
      <c r="I190" s="84">
        <f t="shared" si="2"/>
        <v>16.667</v>
      </c>
      <c r="J190" s="85">
        <f>IF($F190="","",IFERROR(VLOOKUP($F190,Inventory!$A:$K,11,FALSE),0))</f>
        <v>20</v>
      </c>
      <c r="K190" s="85">
        <v>3.333</v>
      </c>
      <c r="L190" s="85">
        <f t="shared" si="3"/>
        <v>50.001</v>
      </c>
      <c r="M190" s="83" t="s">
        <v>330</v>
      </c>
      <c r="N190" s="85">
        <f>IF($F190="","",IFERROR(VLOOKUP($F190,Inventory!$A:$I,9,FALSE),0))</f>
        <v>8.147411853</v>
      </c>
      <c r="O190" s="85">
        <f t="shared" si="4"/>
        <v>24.44223556</v>
      </c>
      <c r="P190" s="85">
        <f t="shared" si="5"/>
        <v>25.55876444</v>
      </c>
      <c r="Q190" s="83"/>
      <c r="R190" s="87" t="str">
        <f>IF($E190="","",IF(COUNTIF($E$7:$E190,$E190)&gt;1,"",IFERROR(VLOOKUP($E190,Orders!$A:$I,8,FALSE),"")))</f>
        <v/>
      </c>
      <c r="S190" s="87" t="str">
        <f>IF($E190="","",IF(COUNTIF($E$7:$E190,$E190)&gt;1,"",IFERROR(VLOOKUP($E190,Orders!$A:$I,9,FALSE),"")))</f>
        <v/>
      </c>
      <c r="T190" s="88">
        <f t="shared" si="6"/>
        <v>25.55876444</v>
      </c>
      <c r="U190" s="88">
        <f>IF($F190="","",IF($E190="",T190,SUMIF(Sales!$E$7:$E$1506,$E190,Sales!$T$7:$T$1506)))</f>
        <v>25.55876444</v>
      </c>
      <c r="V190" s="49" t="str">
        <f t="shared" si="7"/>
        <v/>
      </c>
      <c r="W190" s="49" t="str">
        <f t="array" ref="W190">IF($V190="","",SUMPRODUCT((Sales!$V$7:$V$1506&lt;&gt;"")*(Sales!$E$7:$E$1506&lt;$E190))+1)</f>
        <v/>
      </c>
      <c r="X190" s="49">
        <f t="shared" si="8"/>
        <v>50</v>
      </c>
      <c r="Y190" s="49" t="str">
        <f t="shared" si="9"/>
        <v>202608-50</v>
      </c>
      <c r="AA190" s="73" t="str">
        <f>IF(Inventory!A188="","",Inventory!A188)</f>
        <v/>
      </c>
    </row>
    <row r="191" ht="14.25" customHeight="1">
      <c r="A191" s="82">
        <v>46239.0</v>
      </c>
      <c r="B191" s="83" t="s">
        <v>324</v>
      </c>
      <c r="C191" s="83" t="s">
        <v>365</v>
      </c>
      <c r="D191" s="83" t="s">
        <v>366</v>
      </c>
      <c r="E191" s="83"/>
      <c r="F191" s="83" t="s">
        <v>370</v>
      </c>
      <c r="G191" s="83" t="str">
        <f>IF($F191="","",IFERROR(VLOOKUP($F191,Inventory!$A:$B,2,FALSE),""))</f>
        <v>PetMetro Cat Litter Apple 5L</v>
      </c>
      <c r="H191" s="83">
        <v>1.0</v>
      </c>
      <c r="I191" s="84">
        <f t="shared" si="2"/>
        <v>260</v>
      </c>
      <c r="J191" s="85">
        <f>IF($F191="","",IFERROR(VLOOKUP($F191,Inventory!$A:$K,11,FALSE),0))</f>
        <v>280</v>
      </c>
      <c r="K191" s="85">
        <v>20.0</v>
      </c>
      <c r="L191" s="85">
        <f t="shared" si="3"/>
        <v>260</v>
      </c>
      <c r="M191" s="83" t="s">
        <v>330</v>
      </c>
      <c r="N191" s="85">
        <f>IF($F191="","",IFERROR(VLOOKUP($F191,Inventory!$A:$I,9,FALSE),0))</f>
        <v>200</v>
      </c>
      <c r="O191" s="85">
        <f t="shared" si="4"/>
        <v>200</v>
      </c>
      <c r="P191" s="85">
        <f t="shared" si="5"/>
        <v>60</v>
      </c>
      <c r="Q191" s="83"/>
      <c r="R191" s="87" t="str">
        <f>IF($E191="","",IF(COUNTIF($E$7:$E191,$E191)&gt;1,"",IFERROR(VLOOKUP($E191,Orders!$A:$I,8,FALSE),"")))</f>
        <v/>
      </c>
      <c r="S191" s="87" t="str">
        <f>IF($E191="","",IF(COUNTIF($E$7:$E191,$E191)&gt;1,"",IFERROR(VLOOKUP($E191,Orders!$A:$I,9,FALSE),"")))</f>
        <v/>
      </c>
      <c r="T191" s="88">
        <f t="shared" si="6"/>
        <v>60</v>
      </c>
      <c r="U191" s="88">
        <f>IF($F191="","",IF($E191="",T191,SUMIF(Sales!$E$7:$E$1506,$E191,Sales!$T$7:$T$1506)))</f>
        <v>60</v>
      </c>
      <c r="V191" s="49" t="str">
        <f t="shared" si="7"/>
        <v/>
      </c>
      <c r="W191" s="49" t="str">
        <f t="array" ref="W191">IF($V191="","",SUMPRODUCT((Sales!$V$7:$V$1506&lt;&gt;"")*(Sales!$E$7:$E$1506&lt;$E191))+1)</f>
        <v/>
      </c>
      <c r="X191" s="49">
        <f t="shared" si="8"/>
        <v>51</v>
      </c>
      <c r="Y191" s="49" t="str">
        <f t="shared" si="9"/>
        <v>202608-51</v>
      </c>
      <c r="AA191" s="73" t="str">
        <f>IF(Inventory!A189="","",Inventory!A189)</f>
        <v/>
      </c>
    </row>
    <row r="192" ht="14.25" customHeight="1">
      <c r="A192" s="82">
        <v>46239.0</v>
      </c>
      <c r="B192" s="83" t="s">
        <v>324</v>
      </c>
      <c r="C192" s="83" t="s">
        <v>365</v>
      </c>
      <c r="D192" s="83" t="s">
        <v>366</v>
      </c>
      <c r="E192" s="83"/>
      <c r="F192" s="83" t="s">
        <v>418</v>
      </c>
      <c r="G192" s="83" t="str">
        <f>IF($F192="","",IFERROR(VLOOKUP($F192,Inventory!$A:$B,2,FALSE),""))</f>
        <v>Drools &amp; Purepet Mixe Cat Food 250gm</v>
      </c>
      <c r="H192" s="83">
        <v>1.0</v>
      </c>
      <c r="I192" s="84">
        <f t="shared" si="2"/>
        <v>120</v>
      </c>
      <c r="J192" s="85">
        <f>IF($F192="","",IFERROR(VLOOKUP($F192,Inventory!$A:$K,11,FALSE),0))</f>
        <v>120</v>
      </c>
      <c r="K192" s="85"/>
      <c r="L192" s="85">
        <f t="shared" si="3"/>
        <v>120</v>
      </c>
      <c r="M192" s="83" t="s">
        <v>330</v>
      </c>
      <c r="N192" s="85">
        <f>IF($F192="","",IFERROR(VLOOKUP($F192,Inventory!$A:$I,9,FALSE),0))</f>
        <v>75.28333333</v>
      </c>
      <c r="O192" s="85">
        <f t="shared" si="4"/>
        <v>75.28333333</v>
      </c>
      <c r="P192" s="85">
        <f t="shared" si="5"/>
        <v>44.71666667</v>
      </c>
      <c r="Q192" s="83"/>
      <c r="R192" s="87" t="str">
        <f>IF($E192="","",IF(COUNTIF($E$7:$E192,$E192)&gt;1,"",IFERROR(VLOOKUP($E192,Orders!$A:$I,8,FALSE),"")))</f>
        <v/>
      </c>
      <c r="S192" s="87" t="str">
        <f>IF($E192="","",IF(COUNTIF($E$7:$E192,$E192)&gt;1,"",IFERROR(VLOOKUP($E192,Orders!$A:$I,9,FALSE),"")))</f>
        <v/>
      </c>
      <c r="T192" s="88">
        <f t="shared" si="6"/>
        <v>44.71666667</v>
      </c>
      <c r="U192" s="88">
        <f>IF($F192="","",IF($E192="",T192,SUMIF(Sales!$E$7:$E$1506,$E192,Sales!$T$7:$T$1506)))</f>
        <v>44.71666667</v>
      </c>
      <c r="V192" s="49" t="str">
        <f t="shared" si="7"/>
        <v/>
      </c>
      <c r="W192" s="49" t="str">
        <f t="array" ref="W192">IF($V192="","",SUMPRODUCT((Sales!$V$7:$V$1506&lt;&gt;"")*(Sales!$E$7:$E$1506&lt;$E192))+1)</f>
        <v/>
      </c>
      <c r="X192" s="49">
        <f t="shared" si="8"/>
        <v>52</v>
      </c>
      <c r="Y192" s="49" t="str">
        <f t="shared" si="9"/>
        <v>202608-52</v>
      </c>
      <c r="AA192" s="73" t="str">
        <f>IF(Inventory!A190="","",Inventory!A190)</f>
        <v/>
      </c>
    </row>
    <row r="193" ht="14.25" customHeight="1">
      <c r="A193" s="82">
        <v>46239.0</v>
      </c>
      <c r="B193" s="83" t="s">
        <v>324</v>
      </c>
      <c r="C193" s="83" t="s">
        <v>365</v>
      </c>
      <c r="D193" s="83" t="s">
        <v>366</v>
      </c>
      <c r="E193" s="83"/>
      <c r="F193" s="83" t="s">
        <v>354</v>
      </c>
      <c r="G193" s="83" t="str">
        <f>IF($F193="","",IFERROR(VLOOKUP($F193,Inventory!$A:$B,2,FALSE),""))</f>
        <v>Cat Food Single Bowl Steel Small</v>
      </c>
      <c r="H193" s="83">
        <v>1.0</v>
      </c>
      <c r="I193" s="84">
        <f t="shared" si="2"/>
        <v>230</v>
      </c>
      <c r="J193" s="85">
        <f>IF($F193="","",IFERROR(VLOOKUP($F193,Inventory!$A:$K,11,FALSE),0))</f>
        <v>250</v>
      </c>
      <c r="K193" s="85">
        <v>20.0</v>
      </c>
      <c r="L193" s="85">
        <f t="shared" si="3"/>
        <v>230</v>
      </c>
      <c r="M193" s="83" t="s">
        <v>330</v>
      </c>
      <c r="N193" s="85">
        <f>IF($F193="","",IFERROR(VLOOKUP($F193,Inventory!$A:$I,9,FALSE),0))</f>
        <v>175</v>
      </c>
      <c r="O193" s="85">
        <f t="shared" si="4"/>
        <v>175</v>
      </c>
      <c r="P193" s="85">
        <f t="shared" si="5"/>
        <v>55</v>
      </c>
      <c r="Q193" s="83"/>
      <c r="R193" s="87" t="str">
        <f>IF($E193="","",IF(COUNTIF($E$7:$E193,$E193)&gt;1,"",IFERROR(VLOOKUP($E193,Orders!$A:$I,8,FALSE),"")))</f>
        <v/>
      </c>
      <c r="S193" s="87" t="str">
        <f>IF($E193="","",IF(COUNTIF($E$7:$E193,$E193)&gt;1,"",IFERROR(VLOOKUP($E193,Orders!$A:$I,9,FALSE),"")))</f>
        <v/>
      </c>
      <c r="T193" s="88">
        <f t="shared" si="6"/>
        <v>55</v>
      </c>
      <c r="U193" s="88">
        <f>IF($F193="","",IF($E193="",T193,SUMIF(Sales!$E$7:$E$1506,$E193,Sales!$T$7:$T$1506)))</f>
        <v>55</v>
      </c>
      <c r="V193" s="49" t="str">
        <f t="shared" si="7"/>
        <v/>
      </c>
      <c r="W193" s="49" t="str">
        <f t="array" ref="W193">IF($V193="","",SUMPRODUCT((Sales!$V$7:$V$1506&lt;&gt;"")*(Sales!$E$7:$E$1506&lt;$E193))+1)</f>
        <v/>
      </c>
      <c r="X193" s="49">
        <f t="shared" si="8"/>
        <v>53</v>
      </c>
      <c r="Y193" s="49" t="str">
        <f t="shared" si="9"/>
        <v>202608-53</v>
      </c>
      <c r="AA193" s="73" t="str">
        <f>IF(Inventory!A191="","",Inventory!A191)</f>
        <v/>
      </c>
    </row>
    <row r="194" ht="14.25" customHeight="1">
      <c r="A194" s="82">
        <v>46239.0</v>
      </c>
      <c r="B194" s="83" t="s">
        <v>324</v>
      </c>
      <c r="C194" s="83" t="s">
        <v>365</v>
      </c>
      <c r="D194" s="83" t="s">
        <v>366</v>
      </c>
      <c r="E194" s="83"/>
      <c r="F194" s="83" t="s">
        <v>224</v>
      </c>
      <c r="G194" s="83" t="str">
        <f>IF($F194="","",IFERROR(VLOOKUP($F194,Inventory!$A:$B,2,FALSE),""))</f>
        <v>Sea Chinese Food Bowl</v>
      </c>
      <c r="H194" s="83">
        <v>1.0</v>
      </c>
      <c r="I194" s="84">
        <f t="shared" si="2"/>
        <v>50</v>
      </c>
      <c r="J194" s="85">
        <f>IF($F194="","",IFERROR(VLOOKUP($F194,Inventory!$A:$K,11,FALSE),0))</f>
        <v>50</v>
      </c>
      <c r="K194" s="85"/>
      <c r="L194" s="85">
        <f t="shared" si="3"/>
        <v>50</v>
      </c>
      <c r="M194" s="83" t="s">
        <v>330</v>
      </c>
      <c r="N194" s="85">
        <f>IF($F194="","",IFERROR(VLOOKUP($F194,Inventory!$A:$I,9,FALSE),0))</f>
        <v>35</v>
      </c>
      <c r="O194" s="85">
        <f t="shared" si="4"/>
        <v>35</v>
      </c>
      <c r="P194" s="85">
        <f t="shared" si="5"/>
        <v>15</v>
      </c>
      <c r="Q194" s="83"/>
      <c r="R194" s="87" t="str">
        <f>IF($E194="","",IF(COUNTIF($E$7:$E194,$E194)&gt;1,"",IFERROR(VLOOKUP($E194,Orders!$A:$I,8,FALSE),"")))</f>
        <v/>
      </c>
      <c r="S194" s="87" t="str">
        <f>IF($E194="","",IF(COUNTIF($E$7:$E194,$E194)&gt;1,"",IFERROR(VLOOKUP($E194,Orders!$A:$I,9,FALSE),"")))</f>
        <v/>
      </c>
      <c r="T194" s="88">
        <f t="shared" si="6"/>
        <v>15</v>
      </c>
      <c r="U194" s="88">
        <f>IF($F194="","",IF($E194="",T194,SUMIF(Sales!$E$7:$E$1506,$E194,Sales!$T$7:$T$1506)))</f>
        <v>15</v>
      </c>
      <c r="V194" s="49" t="str">
        <f t="shared" si="7"/>
        <v/>
      </c>
      <c r="W194" s="49" t="str">
        <f t="array" ref="W194">IF($V194="","",SUMPRODUCT((Sales!$V$7:$V$1506&lt;&gt;"")*(Sales!$E$7:$E$1506&lt;$E194))+1)</f>
        <v/>
      </c>
      <c r="X194" s="49">
        <f t="shared" si="8"/>
        <v>54</v>
      </c>
      <c r="Y194" s="49" t="str">
        <f t="shared" si="9"/>
        <v>202608-54</v>
      </c>
      <c r="AA194" s="73" t="str">
        <f>IF(Inventory!A192="","",Inventory!A192)</f>
        <v/>
      </c>
    </row>
    <row r="195" ht="14.25" customHeight="1">
      <c r="A195" s="82">
        <v>46239.0</v>
      </c>
      <c r="B195" s="83" t="s">
        <v>324</v>
      </c>
      <c r="C195" s="83" t="s">
        <v>365</v>
      </c>
      <c r="D195" s="83" t="s">
        <v>366</v>
      </c>
      <c r="E195" s="83"/>
      <c r="F195" s="83" t="s">
        <v>228</v>
      </c>
      <c r="G195" s="83" t="str">
        <f>IF($F195="","",IFERROR(VLOOKUP($F195,Inventory!$A:$B,2,FALSE),""))</f>
        <v>Helminticide-L Deworming Tablet </v>
      </c>
      <c r="H195" s="83">
        <v>1.0</v>
      </c>
      <c r="I195" s="84">
        <f t="shared" si="2"/>
        <v>50</v>
      </c>
      <c r="J195" s="85">
        <f>IF($F195="","",IFERROR(VLOOKUP($F195,Inventory!$A:$K,11,FALSE),0))</f>
        <v>50</v>
      </c>
      <c r="K195" s="85"/>
      <c r="L195" s="85">
        <f t="shared" si="3"/>
        <v>50</v>
      </c>
      <c r="M195" s="83" t="s">
        <v>330</v>
      </c>
      <c r="N195" s="85">
        <f>IF($F195="","",IFERROR(VLOOKUP($F195,Inventory!$A:$I,9,FALSE),0))</f>
        <v>28.63636364</v>
      </c>
      <c r="O195" s="85">
        <f t="shared" si="4"/>
        <v>28.63636364</v>
      </c>
      <c r="P195" s="85">
        <f t="shared" si="5"/>
        <v>21.36363636</v>
      </c>
      <c r="Q195" s="83"/>
      <c r="R195" s="87" t="str">
        <f>IF($E195="","",IF(COUNTIF($E$7:$E195,$E195)&gt;1,"",IFERROR(VLOOKUP($E195,Orders!$A:$I,8,FALSE),"")))</f>
        <v/>
      </c>
      <c r="S195" s="87" t="str">
        <f>IF($E195="","",IF(COUNTIF($E$7:$E195,$E195)&gt;1,"",IFERROR(VLOOKUP($E195,Orders!$A:$I,9,FALSE),"")))</f>
        <v/>
      </c>
      <c r="T195" s="88">
        <f t="shared" si="6"/>
        <v>21.36363636</v>
      </c>
      <c r="U195" s="88">
        <f>IF($F195="","",IF($E195="",T195,SUMIF(Sales!$E$7:$E$1506,$E195,Sales!$T$7:$T$1506)))</f>
        <v>21.36363636</v>
      </c>
      <c r="V195" s="49" t="str">
        <f t="shared" si="7"/>
        <v/>
      </c>
      <c r="W195" s="49" t="str">
        <f t="array" ref="W195">IF($V195="","",SUMPRODUCT((Sales!$V$7:$V$1506&lt;&gt;"")*(Sales!$E$7:$E$1506&lt;$E195))+1)</f>
        <v/>
      </c>
      <c r="X195" s="49">
        <f t="shared" si="8"/>
        <v>55</v>
      </c>
      <c r="Y195" s="49" t="str">
        <f t="shared" si="9"/>
        <v>202608-55</v>
      </c>
      <c r="AA195" s="73" t="str">
        <f>IF(Inventory!A193="","",Inventory!A193)</f>
        <v/>
      </c>
    </row>
    <row r="196" ht="14.25" customHeight="1">
      <c r="A196" s="82">
        <v>46239.0</v>
      </c>
      <c r="B196" s="83" t="s">
        <v>324</v>
      </c>
      <c r="C196" s="83" t="s">
        <v>365</v>
      </c>
      <c r="D196" s="83" t="s">
        <v>366</v>
      </c>
      <c r="E196" s="83"/>
      <c r="F196" s="83" t="s">
        <v>372</v>
      </c>
      <c r="G196" s="83" t="str">
        <f>IF($F196="","",IFERROR(VLOOKUP($F196,Inventory!$A:$B,2,FALSE),""))</f>
        <v>Premium Pet Collar Multicolor</v>
      </c>
      <c r="H196" s="83">
        <v>2.0</v>
      </c>
      <c r="I196" s="84">
        <f t="shared" si="2"/>
        <v>70</v>
      </c>
      <c r="J196" s="85">
        <f>IF($F196="","",IFERROR(VLOOKUP($F196,Inventory!$A:$K,11,FALSE),0))</f>
        <v>75</v>
      </c>
      <c r="K196" s="85">
        <v>5.0</v>
      </c>
      <c r="L196" s="85">
        <f t="shared" si="3"/>
        <v>140</v>
      </c>
      <c r="M196" s="83" t="s">
        <v>330</v>
      </c>
      <c r="N196" s="85">
        <f>IF($F196="","",IFERROR(VLOOKUP($F196,Inventory!$A:$I,9,FALSE),0))</f>
        <v>37</v>
      </c>
      <c r="O196" s="85">
        <f t="shared" si="4"/>
        <v>74</v>
      </c>
      <c r="P196" s="85">
        <f t="shared" si="5"/>
        <v>66</v>
      </c>
      <c r="Q196" s="83"/>
      <c r="R196" s="87" t="str">
        <f>IF($E196="","",IF(COUNTIF($E$7:$E196,$E196)&gt;1,"",IFERROR(VLOOKUP($E196,Orders!$A:$I,8,FALSE),"")))</f>
        <v/>
      </c>
      <c r="S196" s="87" t="str">
        <f>IF($E196="","",IF(COUNTIF($E$7:$E196,$E196)&gt;1,"",IFERROR(VLOOKUP($E196,Orders!$A:$I,9,FALSE),"")))</f>
        <v/>
      </c>
      <c r="T196" s="88">
        <f t="shared" si="6"/>
        <v>66</v>
      </c>
      <c r="U196" s="88">
        <f>IF($F196="","",IF($E196="",T196,SUMIF(Sales!$E$7:$E$1506,$E196,Sales!$T$7:$T$1506)))</f>
        <v>66</v>
      </c>
      <c r="V196" s="49" t="str">
        <f t="shared" si="7"/>
        <v/>
      </c>
      <c r="W196" s="49" t="str">
        <f t="array" ref="W196">IF($V196="","",SUMPRODUCT((Sales!$V$7:$V$1506&lt;&gt;"")*(Sales!$E$7:$E$1506&lt;$E196))+1)</f>
        <v/>
      </c>
      <c r="X196" s="49">
        <f t="shared" si="8"/>
        <v>56</v>
      </c>
      <c r="Y196" s="49" t="str">
        <f t="shared" si="9"/>
        <v>202608-56</v>
      </c>
      <c r="AA196" s="73" t="str">
        <f>IF(Inventory!A194="","",Inventory!A194)</f>
        <v/>
      </c>
    </row>
    <row r="197" ht="14.25" customHeight="1">
      <c r="A197" s="82">
        <v>46239.0</v>
      </c>
      <c r="B197" s="83" t="s">
        <v>324</v>
      </c>
      <c r="C197" s="83" t="s">
        <v>365</v>
      </c>
      <c r="D197" s="83" t="s">
        <v>366</v>
      </c>
      <c r="E197" s="83"/>
      <c r="F197" s="83" t="s">
        <v>179</v>
      </c>
      <c r="G197" s="83" t="str">
        <f>IF($F197="","",IFERROR(VLOOKUP($F197,Inventory!$A:$B,2,FALSE),""))</f>
        <v>Creamy Treat 15G (Purry &amp; Hyper Paws)</v>
      </c>
      <c r="H197" s="83">
        <v>3.0</v>
      </c>
      <c r="I197" s="84">
        <f t="shared" si="2"/>
        <v>20</v>
      </c>
      <c r="J197" s="85">
        <f>IF($F197="","",IFERROR(VLOOKUP($F197,Inventory!$A:$K,11,FALSE),0))</f>
        <v>20</v>
      </c>
      <c r="K197" s="85"/>
      <c r="L197" s="85">
        <f t="shared" si="3"/>
        <v>60</v>
      </c>
      <c r="M197" s="83" t="s">
        <v>330</v>
      </c>
      <c r="N197" s="85">
        <f>IF($F197="","",IFERROR(VLOOKUP($F197,Inventory!$A:$I,9,FALSE),0))</f>
        <v>8.147411853</v>
      </c>
      <c r="O197" s="85">
        <f t="shared" si="4"/>
        <v>24.44223556</v>
      </c>
      <c r="P197" s="85">
        <f t="shared" si="5"/>
        <v>35.55776444</v>
      </c>
      <c r="Q197" s="83"/>
      <c r="R197" s="87" t="str">
        <f>IF($E197="","",IF(COUNTIF($E$7:$E197,$E197)&gt;1,"",IFERROR(VLOOKUP($E197,Orders!$A:$I,8,FALSE),"")))</f>
        <v/>
      </c>
      <c r="S197" s="87" t="str">
        <f>IF($E197="","",IF(COUNTIF($E$7:$E197,$E197)&gt;1,"",IFERROR(VLOOKUP($E197,Orders!$A:$I,9,FALSE),"")))</f>
        <v/>
      </c>
      <c r="T197" s="88">
        <f t="shared" si="6"/>
        <v>35.55776444</v>
      </c>
      <c r="U197" s="88">
        <f>IF($F197="","",IF($E197="",T197,SUMIF(Sales!$E$7:$E$1506,$E197,Sales!$T$7:$T$1506)))</f>
        <v>35.55776444</v>
      </c>
      <c r="V197" s="49" t="str">
        <f t="shared" si="7"/>
        <v/>
      </c>
      <c r="W197" s="49" t="str">
        <f t="array" ref="W197">IF($V197="","",SUMPRODUCT((Sales!$V$7:$V$1506&lt;&gt;"")*(Sales!$E$7:$E$1506&lt;$E197))+1)</f>
        <v/>
      </c>
      <c r="X197" s="49">
        <f t="shared" si="8"/>
        <v>57</v>
      </c>
      <c r="Y197" s="49" t="str">
        <f t="shared" si="9"/>
        <v>202608-57</v>
      </c>
      <c r="AA197" s="73" t="str">
        <f>IF(Inventory!A195="","",Inventory!A195)</f>
        <v/>
      </c>
    </row>
    <row r="198" ht="14.25" customHeight="1">
      <c r="A198" s="82">
        <v>46239.0</v>
      </c>
      <c r="B198" s="83" t="s">
        <v>324</v>
      </c>
      <c r="C198" s="83" t="s">
        <v>365</v>
      </c>
      <c r="D198" s="83" t="s">
        <v>366</v>
      </c>
      <c r="E198" s="83"/>
      <c r="F198" s="83" t="s">
        <v>418</v>
      </c>
      <c r="G198" s="83" t="str">
        <f>IF($F198="","",IFERROR(VLOOKUP($F198,Inventory!$A:$B,2,FALSE),""))</f>
        <v>Drools &amp; Purepet Mixe Cat Food 250gm</v>
      </c>
      <c r="H198" s="83">
        <v>1.0</v>
      </c>
      <c r="I198" s="84">
        <f t="shared" si="2"/>
        <v>110</v>
      </c>
      <c r="J198" s="85">
        <f>IF($F198="","",IFERROR(VLOOKUP($F198,Inventory!$A:$K,11,FALSE),0))</f>
        <v>120</v>
      </c>
      <c r="K198" s="85">
        <v>10.0</v>
      </c>
      <c r="L198" s="85">
        <f t="shared" si="3"/>
        <v>110</v>
      </c>
      <c r="M198" s="83" t="s">
        <v>330</v>
      </c>
      <c r="N198" s="85">
        <f>IF($F198="","",IFERROR(VLOOKUP($F198,Inventory!$A:$I,9,FALSE),0))</f>
        <v>75.28333333</v>
      </c>
      <c r="O198" s="85">
        <f t="shared" si="4"/>
        <v>75.28333333</v>
      </c>
      <c r="P198" s="85">
        <f t="shared" si="5"/>
        <v>34.71666667</v>
      </c>
      <c r="Q198" s="83"/>
      <c r="R198" s="87" t="str">
        <f>IF($E198="","",IF(COUNTIF($E$7:$E198,$E198)&gt;1,"",IFERROR(VLOOKUP($E198,Orders!$A:$I,8,FALSE),"")))</f>
        <v/>
      </c>
      <c r="S198" s="87" t="str">
        <f>IF($E198="","",IF(COUNTIF($E$7:$E198,$E198)&gt;1,"",IFERROR(VLOOKUP($E198,Orders!$A:$I,9,FALSE),"")))</f>
        <v/>
      </c>
      <c r="T198" s="88">
        <f t="shared" si="6"/>
        <v>34.71666667</v>
      </c>
      <c r="U198" s="88">
        <f>IF($F198="","",IF($E198="",T198,SUMIF(Sales!$E$7:$E$1506,$E198,Sales!$T$7:$T$1506)))</f>
        <v>34.71666667</v>
      </c>
      <c r="V198" s="49" t="str">
        <f t="shared" si="7"/>
        <v/>
      </c>
      <c r="W198" s="49" t="str">
        <f t="array" ref="W198">IF($V198="","",SUMPRODUCT((Sales!$V$7:$V$1506&lt;&gt;"")*(Sales!$E$7:$E$1506&lt;$E198))+1)</f>
        <v/>
      </c>
      <c r="X198" s="49">
        <f t="shared" si="8"/>
        <v>58</v>
      </c>
      <c r="Y198" s="49" t="str">
        <f t="shared" si="9"/>
        <v>202608-58</v>
      </c>
      <c r="AA198" s="73" t="str">
        <f>IF(Inventory!A196="","",Inventory!A196)</f>
        <v/>
      </c>
    </row>
    <row r="199" ht="14.25" customHeight="1">
      <c r="A199" s="82">
        <v>46239.0</v>
      </c>
      <c r="B199" s="83" t="s">
        <v>324</v>
      </c>
      <c r="C199" s="83" t="s">
        <v>365</v>
      </c>
      <c r="D199" s="83" t="s">
        <v>366</v>
      </c>
      <c r="E199" s="83"/>
      <c r="F199" s="83" t="s">
        <v>179</v>
      </c>
      <c r="G199" s="83" t="str">
        <f>IF($F199="","",IFERROR(VLOOKUP($F199,Inventory!$A:$B,2,FALSE),""))</f>
        <v>Creamy Treat 15G (Purry &amp; Hyper Paws)</v>
      </c>
      <c r="H199" s="83">
        <v>5.0</v>
      </c>
      <c r="I199" s="84">
        <f t="shared" si="2"/>
        <v>20</v>
      </c>
      <c r="J199" s="85">
        <f>IF($F199="","",IFERROR(VLOOKUP($F199,Inventory!$A:$K,11,FALSE),0))</f>
        <v>20</v>
      </c>
      <c r="K199" s="85"/>
      <c r="L199" s="85">
        <f t="shared" si="3"/>
        <v>100</v>
      </c>
      <c r="M199" s="83" t="s">
        <v>330</v>
      </c>
      <c r="N199" s="85">
        <f>IF($F199="","",IFERROR(VLOOKUP($F199,Inventory!$A:$I,9,FALSE),0))</f>
        <v>8.147411853</v>
      </c>
      <c r="O199" s="85">
        <f t="shared" si="4"/>
        <v>40.73705926</v>
      </c>
      <c r="P199" s="85">
        <f t="shared" si="5"/>
        <v>59.26294074</v>
      </c>
      <c r="Q199" s="83"/>
      <c r="R199" s="87" t="str">
        <f>IF($E199="","",IF(COUNTIF($E$7:$E199,$E199)&gt;1,"",IFERROR(VLOOKUP($E199,Orders!$A:$I,8,FALSE),"")))</f>
        <v/>
      </c>
      <c r="S199" s="87" t="str">
        <f>IF($E199="","",IF(COUNTIF($E$7:$E199,$E199)&gt;1,"",IFERROR(VLOOKUP($E199,Orders!$A:$I,9,FALSE),"")))</f>
        <v/>
      </c>
      <c r="T199" s="88">
        <f t="shared" si="6"/>
        <v>59.26294074</v>
      </c>
      <c r="U199" s="88">
        <f>IF($F199="","",IF($E199="",T199,SUMIF(Sales!$E$7:$E$1506,$E199,Sales!$T$7:$T$1506)))</f>
        <v>59.26294074</v>
      </c>
      <c r="V199" s="49" t="str">
        <f t="shared" si="7"/>
        <v/>
      </c>
      <c r="W199" s="49" t="str">
        <f t="array" ref="W199">IF($V199="","",SUMPRODUCT((Sales!$V$7:$V$1506&lt;&gt;"")*(Sales!$E$7:$E$1506&lt;$E199))+1)</f>
        <v/>
      </c>
      <c r="X199" s="49">
        <f t="shared" si="8"/>
        <v>59</v>
      </c>
      <c r="Y199" s="49" t="str">
        <f t="shared" si="9"/>
        <v>202608-59</v>
      </c>
      <c r="AA199" s="73" t="str">
        <f>IF(Inventory!A197="","",Inventory!A197)</f>
        <v/>
      </c>
    </row>
    <row r="200" ht="14.25" customHeight="1">
      <c r="A200" s="82">
        <v>46240.0</v>
      </c>
      <c r="B200" s="83" t="s">
        <v>324</v>
      </c>
      <c r="C200" s="83" t="s">
        <v>365</v>
      </c>
      <c r="D200" s="83" t="s">
        <v>366</v>
      </c>
      <c r="E200" s="83"/>
      <c r="F200" s="83" t="s">
        <v>443</v>
      </c>
      <c r="G200" s="83" t="str">
        <f>IF($F200="","",IFERROR(VLOOKUP($F200,Inventory!$A:$B,2,FALSE),""))</f>
        <v>Taipet Chicken Pouch</v>
      </c>
      <c r="H200" s="83">
        <v>1.0</v>
      </c>
      <c r="I200" s="84">
        <f t="shared" si="2"/>
        <v>70</v>
      </c>
      <c r="J200" s="85">
        <f>IF($F200="","",IFERROR(VLOOKUP($F200,Inventory!$A:$K,11,FALSE),0))</f>
        <v>75</v>
      </c>
      <c r="K200" s="85">
        <v>5.0</v>
      </c>
      <c r="L200" s="85">
        <f t="shared" si="3"/>
        <v>70</v>
      </c>
      <c r="M200" s="83" t="s">
        <v>330</v>
      </c>
      <c r="N200" s="85">
        <f>IF($F200="","",IFERROR(VLOOKUP($F200,Inventory!$A:$I,9,FALSE),0))</f>
        <v>53</v>
      </c>
      <c r="O200" s="85">
        <f t="shared" si="4"/>
        <v>53</v>
      </c>
      <c r="P200" s="85">
        <f t="shared" si="5"/>
        <v>17</v>
      </c>
      <c r="Q200" s="83"/>
      <c r="R200" s="87" t="str">
        <f>IF($E200="","",IF(COUNTIF($E$7:$E200,$E200)&gt;1,"",IFERROR(VLOOKUP($E200,Orders!$A:$I,8,FALSE),"")))</f>
        <v/>
      </c>
      <c r="S200" s="87" t="str">
        <f>IF($E200="","",IF(COUNTIF($E$7:$E200,$E200)&gt;1,"",IFERROR(VLOOKUP($E200,Orders!$A:$I,9,FALSE),"")))</f>
        <v/>
      </c>
      <c r="T200" s="88">
        <f t="shared" si="6"/>
        <v>17</v>
      </c>
      <c r="U200" s="88">
        <f>IF($F200="","",IF($E200="",T200,SUMIF(Sales!$E$7:$E$1506,$E200,Sales!$T$7:$T$1506)))</f>
        <v>17</v>
      </c>
      <c r="V200" s="49" t="str">
        <f t="shared" si="7"/>
        <v/>
      </c>
      <c r="W200" s="49" t="str">
        <f t="array" ref="W200">IF($V200="","",SUMPRODUCT((Sales!$V$7:$V$1506&lt;&gt;"")*(Sales!$E$7:$E$1506&lt;$E200))+1)</f>
        <v/>
      </c>
      <c r="X200" s="49">
        <f t="shared" si="8"/>
        <v>60</v>
      </c>
      <c r="Y200" s="49" t="str">
        <f t="shared" si="9"/>
        <v>202608-60</v>
      </c>
      <c r="AA200" s="73" t="str">
        <f>IF(Inventory!A198="","",Inventory!A198)</f>
        <v/>
      </c>
    </row>
    <row r="201" ht="14.25" customHeight="1">
      <c r="A201" s="82">
        <v>46240.0</v>
      </c>
      <c r="B201" s="83" t="s">
        <v>324</v>
      </c>
      <c r="C201" s="83" t="s">
        <v>365</v>
      </c>
      <c r="D201" s="83" t="s">
        <v>366</v>
      </c>
      <c r="E201" s="83"/>
      <c r="F201" s="83" t="s">
        <v>188</v>
      </c>
      <c r="G201" s="83" t="str">
        <f>IF($F201="","",IFERROR(VLOOKUP($F201,Inventory!$A:$B,2,FALSE),""))</f>
        <v>Yellow Millet [25kg] + White Millet [25kg]</v>
      </c>
      <c r="H201" s="83">
        <v>1.0</v>
      </c>
      <c r="I201" s="84">
        <f t="shared" si="2"/>
        <v>100</v>
      </c>
      <c r="J201" s="85">
        <f>IF($F201="","",IFERROR(VLOOKUP($F201,Inventory!$A:$K,11,FALSE),0))</f>
        <v>130</v>
      </c>
      <c r="K201" s="85">
        <v>30.0</v>
      </c>
      <c r="L201" s="85">
        <f t="shared" si="3"/>
        <v>100</v>
      </c>
      <c r="M201" s="83" t="s">
        <v>330</v>
      </c>
      <c r="N201" s="85">
        <f>IF($F201="","",IFERROR(VLOOKUP($F201,Inventory!$A:$I,9,FALSE),0))</f>
        <v>100</v>
      </c>
      <c r="O201" s="85">
        <f t="shared" si="4"/>
        <v>100</v>
      </c>
      <c r="P201" s="85">
        <f t="shared" si="5"/>
        <v>0</v>
      </c>
      <c r="Q201" s="83"/>
      <c r="R201" s="87" t="str">
        <f>IF($E201="","",IF(COUNTIF($E$7:$E201,$E201)&gt;1,"",IFERROR(VLOOKUP($E201,Orders!$A:$I,8,FALSE),"")))</f>
        <v/>
      </c>
      <c r="S201" s="87" t="str">
        <f>IF($E201="","",IF(COUNTIF($E$7:$E201,$E201)&gt;1,"",IFERROR(VLOOKUP($E201,Orders!$A:$I,9,FALSE),"")))</f>
        <v/>
      </c>
      <c r="T201" s="88">
        <f t="shared" si="6"/>
        <v>0</v>
      </c>
      <c r="U201" s="88">
        <f>IF($F201="","",IF($E201="",T201,SUMIF(Sales!$E$7:$E$1506,$E201,Sales!$T$7:$T$1506)))</f>
        <v>0</v>
      </c>
      <c r="V201" s="49" t="str">
        <f t="shared" si="7"/>
        <v/>
      </c>
      <c r="W201" s="49" t="str">
        <f t="array" ref="W201">IF($V201="","",SUMPRODUCT((Sales!$V$7:$V$1506&lt;&gt;"")*(Sales!$E$7:$E$1506&lt;$E201))+1)</f>
        <v/>
      </c>
      <c r="X201" s="49">
        <f t="shared" si="8"/>
        <v>61</v>
      </c>
      <c r="Y201" s="49" t="str">
        <f t="shared" si="9"/>
        <v>202608-61</v>
      </c>
      <c r="AA201" s="73" t="str">
        <f>IF(Inventory!A199="","",Inventory!A199)</f>
        <v/>
      </c>
    </row>
    <row r="202" ht="14.25" customHeight="1">
      <c r="A202" s="82">
        <v>46240.0</v>
      </c>
      <c r="B202" s="83" t="s">
        <v>324</v>
      </c>
      <c r="C202" s="83" t="s">
        <v>325</v>
      </c>
      <c r="D202" s="83" t="s">
        <v>588</v>
      </c>
      <c r="E202" s="83" t="s">
        <v>589</v>
      </c>
      <c r="F202" s="83" t="s">
        <v>262</v>
      </c>
      <c r="G202" s="83" t="str">
        <f>IF($F202="","",IFERROR(VLOOKUP($F202,Inventory!$A:$B,2,FALSE),""))</f>
        <v>Kitchen Flavor Pate Delight</v>
      </c>
      <c r="H202" s="83">
        <v>3.0</v>
      </c>
      <c r="I202" s="84">
        <f t="shared" si="2"/>
        <v>139</v>
      </c>
      <c r="J202" s="85">
        <f>IF($F202="","",IFERROR(VLOOKUP($F202,Inventory!$A:$K,11,FALSE),0))</f>
        <v>150</v>
      </c>
      <c r="K202" s="85">
        <v>11.0</v>
      </c>
      <c r="L202" s="85">
        <f t="shared" si="3"/>
        <v>417</v>
      </c>
      <c r="M202" s="83" t="s">
        <v>330</v>
      </c>
      <c r="N202" s="85">
        <f>IF($F202="","",IFERROR(VLOOKUP($F202,Inventory!$A:$I,9,FALSE),0))</f>
        <v>110</v>
      </c>
      <c r="O202" s="85">
        <f t="shared" si="4"/>
        <v>330</v>
      </c>
      <c r="P202" s="85">
        <f t="shared" si="5"/>
        <v>87</v>
      </c>
      <c r="Q202" s="83"/>
      <c r="R202" s="87">
        <f>IF($E202="","",IF(COUNTIF($E$7:$E202,$E202)&gt;1,"",IFERROR(VLOOKUP($E202,Orders!$A:$I,8,FALSE),"")))</f>
        <v>150</v>
      </c>
      <c r="S202" s="87">
        <f>IF($E202="","",IF(COUNTIF($E$7:$E202,$E202)&gt;1,"",IFERROR(VLOOKUP($E202,Orders!$A:$I,9,FALSE),"")))</f>
        <v>115</v>
      </c>
      <c r="T202" s="88">
        <f t="shared" si="6"/>
        <v>122</v>
      </c>
      <c r="U202" s="88">
        <f>IF($F202="","",IF($E202="",T202,SUMIF(Sales!$E$7:$E$1506,$E202,Sales!$T$7:$T$1506)))</f>
        <v>280.5258815</v>
      </c>
      <c r="V202" s="49">
        <f t="shared" si="7"/>
        <v>12</v>
      </c>
      <c r="W202" s="49">
        <f t="array" ref="W202">IF($V202="","",SUMPRODUCT((Sales!$V$7:$V$1506&lt;&gt;"")*(Sales!$E$7:$E$1506&lt;$E202))+1)</f>
        <v>10</v>
      </c>
      <c r="X202" s="49">
        <f t="shared" si="8"/>
        <v>62</v>
      </c>
      <c r="Y202" s="49" t="str">
        <f t="shared" si="9"/>
        <v>202608-62</v>
      </c>
      <c r="AA202" s="73" t="str">
        <f>IF(Inventory!A200="","",Inventory!A200)</f>
        <v/>
      </c>
    </row>
    <row r="203" ht="14.25" customHeight="1">
      <c r="A203" s="82">
        <v>46240.0</v>
      </c>
      <c r="B203" s="83" t="s">
        <v>324</v>
      </c>
      <c r="C203" s="83" t="s">
        <v>325</v>
      </c>
      <c r="D203" s="83" t="s">
        <v>588</v>
      </c>
      <c r="E203" s="83" t="s">
        <v>589</v>
      </c>
      <c r="F203" s="83" t="s">
        <v>179</v>
      </c>
      <c r="G203" s="83" t="str">
        <f>IF($F203="","",IFERROR(VLOOKUP($F203,Inventory!$A:$B,2,FALSE),""))</f>
        <v>Creamy Treat 15G (Purry &amp; Hyper Paws)</v>
      </c>
      <c r="H203" s="83">
        <v>10.0</v>
      </c>
      <c r="I203" s="84">
        <f t="shared" si="2"/>
        <v>20</v>
      </c>
      <c r="J203" s="85">
        <f>IF($F203="","",IFERROR(VLOOKUP($F203,Inventory!$A:$K,11,FALSE),0))</f>
        <v>20</v>
      </c>
      <c r="K203" s="85"/>
      <c r="L203" s="85">
        <f t="shared" si="3"/>
        <v>200</v>
      </c>
      <c r="M203" s="83" t="s">
        <v>330</v>
      </c>
      <c r="N203" s="85">
        <f>IF($F203="","",IFERROR(VLOOKUP($F203,Inventory!$A:$I,9,FALSE),0))</f>
        <v>8.147411853</v>
      </c>
      <c r="O203" s="85">
        <f t="shared" si="4"/>
        <v>81.47411853</v>
      </c>
      <c r="P203" s="85">
        <f t="shared" si="5"/>
        <v>118.5258815</v>
      </c>
      <c r="Q203" s="83"/>
      <c r="R203" s="87" t="str">
        <f>IF($E203="","",IF(COUNTIF($E$7:$E203,$E203)&gt;1,"",IFERROR(VLOOKUP($E203,Orders!$A:$I,8,FALSE),"")))</f>
        <v/>
      </c>
      <c r="S203" s="87" t="str">
        <f>IF($E203="","",IF(COUNTIF($E$7:$E203,$E203)&gt;1,"",IFERROR(VLOOKUP($E203,Orders!$A:$I,9,FALSE),"")))</f>
        <v/>
      </c>
      <c r="T203" s="88">
        <f t="shared" si="6"/>
        <v>118.5258815</v>
      </c>
      <c r="U203" s="88">
        <f>IF($F203="","",IF($E203="",T203,SUMIF(Sales!$E$7:$E$1506,$E203,Sales!$T$7:$T$1506)))</f>
        <v>280.5258815</v>
      </c>
      <c r="V203" s="49" t="str">
        <f t="shared" si="7"/>
        <v/>
      </c>
      <c r="W203" s="49" t="str">
        <f t="array" ref="W203">IF($V203="","",SUMPRODUCT((Sales!$V$7:$V$1506&lt;&gt;"")*(Sales!$E$7:$E$1506&lt;$E203))+1)</f>
        <v/>
      </c>
      <c r="X203" s="49">
        <f t="shared" si="8"/>
        <v>63</v>
      </c>
      <c r="Y203" s="49" t="str">
        <f t="shared" si="9"/>
        <v>202608-63</v>
      </c>
      <c r="AA203" s="73" t="str">
        <f>IF(Inventory!A201="","",Inventory!A201)</f>
        <v/>
      </c>
    </row>
    <row r="204" ht="14.25" customHeight="1">
      <c r="A204" s="82">
        <v>46240.0</v>
      </c>
      <c r="B204" s="83" t="s">
        <v>324</v>
      </c>
      <c r="C204" s="83" t="s">
        <v>325</v>
      </c>
      <c r="D204" s="83" t="s">
        <v>588</v>
      </c>
      <c r="E204" s="83" t="s">
        <v>589</v>
      </c>
      <c r="F204" s="83" t="s">
        <v>347</v>
      </c>
      <c r="G204" s="83" t="str">
        <f>IF($F204="","",IFERROR(VLOOKUP($F204,Inventory!$A:$B,2,FALSE),""))</f>
        <v>Wanpy Cat Food Can Tuna</v>
      </c>
      <c r="H204" s="83">
        <v>1.0</v>
      </c>
      <c r="I204" s="84">
        <f t="shared" si="2"/>
        <v>200</v>
      </c>
      <c r="J204" s="85">
        <f>IF($F204="","",IFERROR(VLOOKUP($F204,Inventory!$A:$K,11,FALSE),0))</f>
        <v>210</v>
      </c>
      <c r="K204" s="85">
        <v>10.0</v>
      </c>
      <c r="L204" s="85">
        <f t="shared" si="3"/>
        <v>200</v>
      </c>
      <c r="M204" s="83" t="s">
        <v>330</v>
      </c>
      <c r="N204" s="85">
        <f>IF($F204="","",IFERROR(VLOOKUP($F204,Inventory!$A:$I,9,FALSE),0))</f>
        <v>160</v>
      </c>
      <c r="O204" s="85">
        <f t="shared" si="4"/>
        <v>160</v>
      </c>
      <c r="P204" s="85">
        <f t="shared" si="5"/>
        <v>40</v>
      </c>
      <c r="Q204" s="83"/>
      <c r="R204" s="87" t="str">
        <f>IF($E204="","",IF(COUNTIF($E$7:$E204,$E204)&gt;1,"",IFERROR(VLOOKUP($E204,Orders!$A:$I,8,FALSE),"")))</f>
        <v/>
      </c>
      <c r="S204" s="87" t="str">
        <f>IF($E204="","",IF(COUNTIF($E$7:$E204,$E204)&gt;1,"",IFERROR(VLOOKUP($E204,Orders!$A:$I,9,FALSE),"")))</f>
        <v/>
      </c>
      <c r="T204" s="88">
        <f t="shared" si="6"/>
        <v>40</v>
      </c>
      <c r="U204" s="88">
        <f>IF($F204="","",IF($E204="",T204,SUMIF(Sales!$E$7:$E$1506,$E204,Sales!$T$7:$T$1506)))</f>
        <v>280.5258815</v>
      </c>
      <c r="V204" s="49" t="str">
        <f t="shared" si="7"/>
        <v/>
      </c>
      <c r="W204" s="49" t="str">
        <f t="array" ref="W204">IF($V204="","",SUMPRODUCT((Sales!$V$7:$V$1506&lt;&gt;"")*(Sales!$E$7:$E$1506&lt;$E204))+1)</f>
        <v/>
      </c>
      <c r="X204" s="49">
        <f t="shared" si="8"/>
        <v>64</v>
      </c>
      <c r="Y204" s="49" t="str">
        <f t="shared" si="9"/>
        <v>202608-64</v>
      </c>
      <c r="AA204" s="73" t="str">
        <f>IF(Inventory!A202="","",Inventory!A202)</f>
        <v/>
      </c>
    </row>
    <row r="205" ht="14.25" customHeight="1">
      <c r="A205" s="82">
        <v>46240.0</v>
      </c>
      <c r="B205" s="83" t="s">
        <v>324</v>
      </c>
      <c r="C205" s="83" t="s">
        <v>365</v>
      </c>
      <c r="D205" s="83" t="s">
        <v>366</v>
      </c>
      <c r="E205" s="83"/>
      <c r="F205" s="83" t="s">
        <v>179</v>
      </c>
      <c r="G205" s="83" t="str">
        <f>IF($F205="","",IFERROR(VLOOKUP($F205,Inventory!$A:$B,2,FALSE),""))</f>
        <v>Creamy Treat 15G (Purry &amp; Hyper Paws)</v>
      </c>
      <c r="H205" s="83">
        <v>2.0</v>
      </c>
      <c r="I205" s="84">
        <f t="shared" si="2"/>
        <v>20</v>
      </c>
      <c r="J205" s="85">
        <f>IF($F205="","",IFERROR(VLOOKUP($F205,Inventory!$A:$K,11,FALSE),0))</f>
        <v>20</v>
      </c>
      <c r="K205" s="85"/>
      <c r="L205" s="85">
        <f t="shared" si="3"/>
        <v>40</v>
      </c>
      <c r="M205" s="83" t="s">
        <v>330</v>
      </c>
      <c r="N205" s="85">
        <f>IF($F205="","",IFERROR(VLOOKUP($F205,Inventory!$A:$I,9,FALSE),0))</f>
        <v>8.147411853</v>
      </c>
      <c r="O205" s="85">
        <f t="shared" si="4"/>
        <v>16.29482371</v>
      </c>
      <c r="P205" s="85">
        <f t="shared" si="5"/>
        <v>23.70517629</v>
      </c>
      <c r="Q205" s="83"/>
      <c r="R205" s="87" t="str">
        <f>IF($E205="","",IF(COUNTIF($E$7:$E205,$E205)&gt;1,"",IFERROR(VLOOKUP($E205,Orders!$A:$I,8,FALSE),"")))</f>
        <v/>
      </c>
      <c r="S205" s="87" t="str">
        <f>IF($E205="","",IF(COUNTIF($E$7:$E205,$E205)&gt;1,"",IFERROR(VLOOKUP($E205,Orders!$A:$I,9,FALSE),"")))</f>
        <v/>
      </c>
      <c r="T205" s="88">
        <f t="shared" si="6"/>
        <v>23.70517629</v>
      </c>
      <c r="U205" s="88">
        <f>IF($F205="","",IF($E205="",T205,SUMIF(Sales!$E$7:$E$1506,$E205,Sales!$T$7:$T$1506)))</f>
        <v>23.70517629</v>
      </c>
      <c r="V205" s="49" t="str">
        <f t="shared" si="7"/>
        <v/>
      </c>
      <c r="W205" s="49" t="str">
        <f t="array" ref="W205">IF($V205="","",SUMPRODUCT((Sales!$V$7:$V$1506&lt;&gt;"")*(Sales!$E$7:$E$1506&lt;$E205))+1)</f>
        <v/>
      </c>
      <c r="X205" s="49">
        <f t="shared" si="8"/>
        <v>65</v>
      </c>
      <c r="Y205" s="49" t="str">
        <f t="shared" si="9"/>
        <v>202608-65</v>
      </c>
      <c r="AA205" s="73" t="str">
        <f>IF(Inventory!A203="","",Inventory!A203)</f>
        <v/>
      </c>
    </row>
    <row r="206" ht="14.25" customHeight="1">
      <c r="A206" s="82">
        <v>46240.0</v>
      </c>
      <c r="B206" s="83" t="s">
        <v>324</v>
      </c>
      <c r="C206" s="83" t="s">
        <v>365</v>
      </c>
      <c r="D206" s="83" t="s">
        <v>366</v>
      </c>
      <c r="E206" s="83"/>
      <c r="F206" s="83" t="s">
        <v>179</v>
      </c>
      <c r="G206" s="83" t="str">
        <f>IF($F206="","",IFERROR(VLOOKUP($F206,Inventory!$A:$B,2,FALSE),""))</f>
        <v>Creamy Treat 15G (Purry &amp; Hyper Paws)</v>
      </c>
      <c r="H206" s="83">
        <v>2.0</v>
      </c>
      <c r="I206" s="84">
        <f t="shared" si="2"/>
        <v>20</v>
      </c>
      <c r="J206" s="85">
        <f>IF($F206="","",IFERROR(VLOOKUP($F206,Inventory!$A:$K,11,FALSE),0))</f>
        <v>20</v>
      </c>
      <c r="K206" s="85"/>
      <c r="L206" s="85">
        <f t="shared" si="3"/>
        <v>40</v>
      </c>
      <c r="M206" s="83" t="s">
        <v>330</v>
      </c>
      <c r="N206" s="85">
        <f>IF($F206="","",IFERROR(VLOOKUP($F206,Inventory!$A:$I,9,FALSE),0))</f>
        <v>8.147411853</v>
      </c>
      <c r="O206" s="85">
        <f t="shared" si="4"/>
        <v>16.29482371</v>
      </c>
      <c r="P206" s="85">
        <f t="shared" si="5"/>
        <v>23.70517629</v>
      </c>
      <c r="Q206" s="83"/>
      <c r="R206" s="87" t="str">
        <f>IF($E206="","",IF(COUNTIF($E$7:$E206,$E206)&gt;1,"",IFERROR(VLOOKUP($E206,Orders!$A:$I,8,FALSE),"")))</f>
        <v/>
      </c>
      <c r="S206" s="87" t="str">
        <f>IF($E206="","",IF(COUNTIF($E$7:$E206,$E206)&gt;1,"",IFERROR(VLOOKUP($E206,Orders!$A:$I,9,FALSE),"")))</f>
        <v/>
      </c>
      <c r="T206" s="88">
        <f t="shared" si="6"/>
        <v>23.70517629</v>
      </c>
      <c r="U206" s="88">
        <f>IF($F206="","",IF($E206="",T206,SUMIF(Sales!$E$7:$E$1506,$E206,Sales!$T$7:$T$1506)))</f>
        <v>23.70517629</v>
      </c>
      <c r="V206" s="49" t="str">
        <f t="shared" si="7"/>
        <v/>
      </c>
      <c r="W206" s="49" t="str">
        <f t="array" ref="W206">IF($V206="","",SUMPRODUCT((Sales!$V$7:$V$1506&lt;&gt;"")*(Sales!$E$7:$E$1506&lt;$E206))+1)</f>
        <v/>
      </c>
      <c r="X206" s="49">
        <f t="shared" si="8"/>
        <v>66</v>
      </c>
      <c r="Y206" s="49" t="str">
        <f t="shared" si="9"/>
        <v>202608-66</v>
      </c>
      <c r="AA206" s="73" t="str">
        <f>IF(Inventory!A204="","",Inventory!A204)</f>
        <v/>
      </c>
    </row>
    <row r="207" ht="14.25" customHeight="1">
      <c r="A207" s="82">
        <v>46240.0</v>
      </c>
      <c r="B207" s="83" t="s">
        <v>324</v>
      </c>
      <c r="C207" s="83" t="s">
        <v>365</v>
      </c>
      <c r="D207" s="83" t="s">
        <v>366</v>
      </c>
      <c r="E207" s="83"/>
      <c r="F207" s="83" t="s">
        <v>359</v>
      </c>
      <c r="G207" s="83" t="str">
        <f>IF($F207="","",IFERROR(VLOOKUP($F207,Inventory!$A:$B,2,FALSE),""))</f>
        <v>Petmetro Premium Pouch Chicken &amp; Tuna 85gm</v>
      </c>
      <c r="H207" s="83">
        <v>1.0</v>
      </c>
      <c r="I207" s="84">
        <f t="shared" si="2"/>
        <v>70</v>
      </c>
      <c r="J207" s="85">
        <f>IF($F207="","",IFERROR(VLOOKUP($F207,Inventory!$A:$K,11,FALSE),0))</f>
        <v>80</v>
      </c>
      <c r="K207" s="85">
        <v>10.0</v>
      </c>
      <c r="L207" s="85">
        <f t="shared" si="3"/>
        <v>70</v>
      </c>
      <c r="M207" s="83" t="s">
        <v>330</v>
      </c>
      <c r="N207" s="85">
        <f>IF($F207="","",IFERROR(VLOOKUP($F207,Inventory!$A:$I,9,FALSE),0))</f>
        <v>60</v>
      </c>
      <c r="O207" s="85">
        <f t="shared" si="4"/>
        <v>60</v>
      </c>
      <c r="P207" s="85">
        <f t="shared" si="5"/>
        <v>10</v>
      </c>
      <c r="Q207" s="83"/>
      <c r="R207" s="87" t="str">
        <f>IF($E207="","",IF(COUNTIF($E$7:$E207,$E207)&gt;1,"",IFERROR(VLOOKUP($E207,Orders!$A:$I,8,FALSE),"")))</f>
        <v/>
      </c>
      <c r="S207" s="87" t="str">
        <f>IF($E207="","",IF(COUNTIF($E$7:$E207,$E207)&gt;1,"",IFERROR(VLOOKUP($E207,Orders!$A:$I,9,FALSE),"")))</f>
        <v/>
      </c>
      <c r="T207" s="88">
        <f t="shared" si="6"/>
        <v>10</v>
      </c>
      <c r="U207" s="88">
        <f>IF($F207="","",IF($E207="",T207,SUMIF(Sales!$E$7:$E$1506,$E207,Sales!$T$7:$T$1506)))</f>
        <v>10</v>
      </c>
      <c r="V207" s="49" t="str">
        <f t="shared" si="7"/>
        <v/>
      </c>
      <c r="W207" s="49" t="str">
        <f t="array" ref="W207">IF($V207="","",SUMPRODUCT((Sales!$V$7:$V$1506&lt;&gt;"")*(Sales!$E$7:$E$1506&lt;$E207))+1)</f>
        <v/>
      </c>
      <c r="X207" s="49">
        <f t="shared" si="8"/>
        <v>67</v>
      </c>
      <c r="Y207" s="49" t="str">
        <f t="shared" si="9"/>
        <v>202608-67</v>
      </c>
      <c r="AA207" s="73" t="str">
        <f>IF(Inventory!A205="","",Inventory!A205)</f>
        <v/>
      </c>
    </row>
    <row r="208" ht="14.25" customHeight="1">
      <c r="A208" s="82">
        <v>46240.0</v>
      </c>
      <c r="B208" s="83" t="s">
        <v>324</v>
      </c>
      <c r="C208" s="83" t="s">
        <v>365</v>
      </c>
      <c r="D208" s="83" t="s">
        <v>366</v>
      </c>
      <c r="E208" s="83"/>
      <c r="F208" s="83" t="s">
        <v>418</v>
      </c>
      <c r="G208" s="83" t="str">
        <f>IF($F208="","",IFERROR(VLOOKUP($F208,Inventory!$A:$B,2,FALSE),""))</f>
        <v>Drools &amp; Purepet Mixe Cat Food 250gm</v>
      </c>
      <c r="H208" s="83">
        <v>1.0</v>
      </c>
      <c r="I208" s="84">
        <f t="shared" si="2"/>
        <v>110</v>
      </c>
      <c r="J208" s="85">
        <f>IF($F208="","",IFERROR(VLOOKUP($F208,Inventory!$A:$K,11,FALSE),0))</f>
        <v>120</v>
      </c>
      <c r="K208" s="85">
        <v>10.0</v>
      </c>
      <c r="L208" s="85">
        <f t="shared" si="3"/>
        <v>110</v>
      </c>
      <c r="M208" s="83" t="s">
        <v>330</v>
      </c>
      <c r="N208" s="85">
        <f>IF($F208="","",IFERROR(VLOOKUP($F208,Inventory!$A:$I,9,FALSE),0))</f>
        <v>75.28333333</v>
      </c>
      <c r="O208" s="85">
        <f t="shared" si="4"/>
        <v>75.28333333</v>
      </c>
      <c r="P208" s="85">
        <f t="shared" si="5"/>
        <v>34.71666667</v>
      </c>
      <c r="Q208" s="83"/>
      <c r="R208" s="87" t="str">
        <f>IF($E208="","",IF(COUNTIF($E$7:$E208,$E208)&gt;1,"",IFERROR(VLOOKUP($E208,Orders!$A:$I,8,FALSE),"")))</f>
        <v/>
      </c>
      <c r="S208" s="87" t="str">
        <f>IF($E208="","",IF(COUNTIF($E$7:$E208,$E208)&gt;1,"",IFERROR(VLOOKUP($E208,Orders!$A:$I,9,FALSE),"")))</f>
        <v/>
      </c>
      <c r="T208" s="88">
        <f t="shared" si="6"/>
        <v>34.71666667</v>
      </c>
      <c r="U208" s="88">
        <f>IF($F208="","",IF($E208="",T208,SUMIF(Sales!$E$7:$E$1506,$E208,Sales!$T$7:$T$1506)))</f>
        <v>34.71666667</v>
      </c>
      <c r="V208" s="49" t="str">
        <f t="shared" si="7"/>
        <v/>
      </c>
      <c r="W208" s="49" t="str">
        <f t="array" ref="W208">IF($V208="","",SUMPRODUCT((Sales!$V$7:$V$1506&lt;&gt;"")*(Sales!$E$7:$E$1506&lt;$E208))+1)</f>
        <v/>
      </c>
      <c r="X208" s="49">
        <f t="shared" si="8"/>
        <v>68</v>
      </c>
      <c r="Y208" s="49" t="str">
        <f t="shared" si="9"/>
        <v>202608-68</v>
      </c>
      <c r="AA208" s="73" t="str">
        <f>IF(Inventory!A206="","",Inventory!A206)</f>
        <v/>
      </c>
    </row>
    <row r="209" ht="14.25" customHeight="1">
      <c r="A209" s="82">
        <v>46240.0</v>
      </c>
      <c r="B209" s="83" t="s">
        <v>324</v>
      </c>
      <c r="C209" s="83" t="s">
        <v>365</v>
      </c>
      <c r="D209" s="83" t="s">
        <v>366</v>
      </c>
      <c r="E209" s="83"/>
      <c r="F209" s="83" t="s">
        <v>179</v>
      </c>
      <c r="G209" s="83" t="str">
        <f>IF($F209="","",IFERROR(VLOOKUP($F209,Inventory!$A:$B,2,FALSE),""))</f>
        <v>Creamy Treat 15G (Purry &amp; Hyper Paws)</v>
      </c>
      <c r="H209" s="83">
        <v>2.0</v>
      </c>
      <c r="I209" s="84">
        <f t="shared" si="2"/>
        <v>20</v>
      </c>
      <c r="J209" s="85">
        <f>IF($F209="","",IFERROR(VLOOKUP($F209,Inventory!$A:$K,11,FALSE),0))</f>
        <v>20</v>
      </c>
      <c r="K209" s="85"/>
      <c r="L209" s="85">
        <f t="shared" si="3"/>
        <v>40</v>
      </c>
      <c r="M209" s="83" t="s">
        <v>330</v>
      </c>
      <c r="N209" s="85">
        <f>IF($F209="","",IFERROR(VLOOKUP($F209,Inventory!$A:$I,9,FALSE),0))</f>
        <v>8.147411853</v>
      </c>
      <c r="O209" s="85">
        <f t="shared" si="4"/>
        <v>16.29482371</v>
      </c>
      <c r="P209" s="85">
        <f t="shared" si="5"/>
        <v>23.70517629</v>
      </c>
      <c r="Q209" s="83"/>
      <c r="R209" s="87" t="str">
        <f>IF($E209="","",IF(COUNTIF($E$7:$E209,$E209)&gt;1,"",IFERROR(VLOOKUP($E209,Orders!$A:$I,8,FALSE),"")))</f>
        <v/>
      </c>
      <c r="S209" s="87" t="str">
        <f>IF($E209="","",IF(COUNTIF($E$7:$E209,$E209)&gt;1,"",IFERROR(VLOOKUP($E209,Orders!$A:$I,9,FALSE),"")))</f>
        <v/>
      </c>
      <c r="T209" s="88">
        <f t="shared" si="6"/>
        <v>23.70517629</v>
      </c>
      <c r="U209" s="88">
        <f>IF($F209="","",IF($E209="",T209,SUMIF(Sales!$E$7:$E$1506,$E209,Sales!$T$7:$T$1506)))</f>
        <v>23.70517629</v>
      </c>
      <c r="V209" s="49" t="str">
        <f t="shared" si="7"/>
        <v/>
      </c>
      <c r="W209" s="49" t="str">
        <f t="array" ref="W209">IF($V209="","",SUMPRODUCT((Sales!$V$7:$V$1506&lt;&gt;"")*(Sales!$E$7:$E$1506&lt;$E209))+1)</f>
        <v/>
      </c>
      <c r="X209" s="49">
        <f t="shared" si="8"/>
        <v>69</v>
      </c>
      <c r="Y209" s="49" t="str">
        <f t="shared" si="9"/>
        <v>202608-69</v>
      </c>
      <c r="AA209" s="73" t="str">
        <f>IF(Inventory!A207="","",Inventory!A207)</f>
        <v/>
      </c>
    </row>
    <row r="210" ht="14.25" customHeight="1">
      <c r="A210" s="82">
        <v>46241.0</v>
      </c>
      <c r="B210" s="83" t="s">
        <v>324</v>
      </c>
      <c r="C210" s="83" t="s">
        <v>365</v>
      </c>
      <c r="D210" s="83" t="s">
        <v>366</v>
      </c>
      <c r="E210" s="83"/>
      <c r="F210" s="83" t="s">
        <v>378</v>
      </c>
      <c r="G210" s="83" t="str">
        <f>IF($F210="","",IFERROR(VLOOKUP($F210,Inventory!$A:$B,2,FALSE),""))</f>
        <v>Drools &amp; Purepet Mixe Cat Food 500gm</v>
      </c>
      <c r="H210" s="83">
        <v>1.0</v>
      </c>
      <c r="I210" s="84">
        <f t="shared" si="2"/>
        <v>200</v>
      </c>
      <c r="J210" s="85">
        <f>IF($F210="","",IFERROR(VLOOKUP($F210,Inventory!$A:$K,11,FALSE),0))</f>
        <v>225</v>
      </c>
      <c r="K210" s="85">
        <v>25.0</v>
      </c>
      <c r="L210" s="85">
        <f t="shared" si="3"/>
        <v>200</v>
      </c>
      <c r="M210" s="83" t="s">
        <v>330</v>
      </c>
      <c r="N210" s="85">
        <f>IF($F210="","",IFERROR(VLOOKUP($F210,Inventory!$A:$I,9,FALSE),0))</f>
        <v>152.9310345</v>
      </c>
      <c r="O210" s="85">
        <f t="shared" si="4"/>
        <v>152.9310345</v>
      </c>
      <c r="P210" s="85">
        <f t="shared" si="5"/>
        <v>47.06896552</v>
      </c>
      <c r="Q210" s="83"/>
      <c r="R210" s="87" t="str">
        <f>IF($E210="","",IF(COUNTIF($E$7:$E210,$E210)&gt;1,"",IFERROR(VLOOKUP($E210,Orders!$A:$I,8,FALSE),"")))</f>
        <v/>
      </c>
      <c r="S210" s="87" t="str">
        <f>IF($E210="","",IF(COUNTIF($E$7:$E210,$E210)&gt;1,"",IFERROR(VLOOKUP($E210,Orders!$A:$I,9,FALSE),"")))</f>
        <v/>
      </c>
      <c r="T210" s="88">
        <f t="shared" si="6"/>
        <v>47.06896552</v>
      </c>
      <c r="U210" s="88">
        <f>IF($F210="","",IF($E210="",T210,SUMIF(Sales!$E$7:$E$1506,$E210,Sales!$T$7:$T$1506)))</f>
        <v>47.06896552</v>
      </c>
      <c r="V210" s="49" t="str">
        <f t="shared" si="7"/>
        <v/>
      </c>
      <c r="W210" s="49" t="str">
        <f t="array" ref="W210">IF($V210="","",SUMPRODUCT((Sales!$V$7:$V$1506&lt;&gt;"")*(Sales!$E$7:$E$1506&lt;$E210))+1)</f>
        <v/>
      </c>
      <c r="X210" s="49">
        <f t="shared" si="8"/>
        <v>70</v>
      </c>
      <c r="Y210" s="49" t="str">
        <f t="shared" si="9"/>
        <v>202608-70</v>
      </c>
      <c r="AA210" s="73" t="str">
        <f>IF(Inventory!A208="","",Inventory!A208)</f>
        <v/>
      </c>
    </row>
    <row r="211" ht="14.25" customHeight="1">
      <c r="A211" s="82">
        <v>46241.0</v>
      </c>
      <c r="B211" s="83" t="s">
        <v>324</v>
      </c>
      <c r="C211" s="83" t="s">
        <v>365</v>
      </c>
      <c r="D211" s="83" t="s">
        <v>366</v>
      </c>
      <c r="E211" s="83"/>
      <c r="F211" s="83" t="s">
        <v>179</v>
      </c>
      <c r="G211" s="83" t="str">
        <f>IF($F211="","",IFERROR(VLOOKUP($F211,Inventory!$A:$B,2,FALSE),""))</f>
        <v>Creamy Treat 15G (Purry &amp; Hyper Paws)</v>
      </c>
      <c r="H211" s="83">
        <v>5.0</v>
      </c>
      <c r="I211" s="84">
        <f t="shared" si="2"/>
        <v>20</v>
      </c>
      <c r="J211" s="85">
        <f>IF($F211="","",IFERROR(VLOOKUP($F211,Inventory!$A:$K,11,FALSE),0))</f>
        <v>20</v>
      </c>
      <c r="K211" s="85"/>
      <c r="L211" s="85">
        <f t="shared" si="3"/>
        <v>100</v>
      </c>
      <c r="M211" s="83" t="s">
        <v>330</v>
      </c>
      <c r="N211" s="85">
        <f>IF($F211="","",IFERROR(VLOOKUP($F211,Inventory!$A:$I,9,FALSE),0))</f>
        <v>8.147411853</v>
      </c>
      <c r="O211" s="85">
        <f t="shared" si="4"/>
        <v>40.73705926</v>
      </c>
      <c r="P211" s="85">
        <f t="shared" si="5"/>
        <v>59.26294074</v>
      </c>
      <c r="Q211" s="83"/>
      <c r="R211" s="87" t="str">
        <f>IF($E211="","",IF(COUNTIF($E$7:$E211,$E211)&gt;1,"",IFERROR(VLOOKUP($E211,Orders!$A:$I,8,FALSE),"")))</f>
        <v/>
      </c>
      <c r="S211" s="87" t="str">
        <f>IF($E211="","",IF(COUNTIF($E$7:$E211,$E211)&gt;1,"",IFERROR(VLOOKUP($E211,Orders!$A:$I,9,FALSE),"")))</f>
        <v/>
      </c>
      <c r="T211" s="88">
        <f t="shared" si="6"/>
        <v>59.26294074</v>
      </c>
      <c r="U211" s="88">
        <f>IF($F211="","",IF($E211="",T211,SUMIF(Sales!$E$7:$E$1506,$E211,Sales!$T$7:$T$1506)))</f>
        <v>59.26294074</v>
      </c>
      <c r="V211" s="49" t="str">
        <f t="shared" si="7"/>
        <v/>
      </c>
      <c r="W211" s="49" t="str">
        <f t="array" ref="W211">IF($V211="","",SUMPRODUCT((Sales!$V$7:$V$1506&lt;&gt;"")*(Sales!$E$7:$E$1506&lt;$E211))+1)</f>
        <v/>
      </c>
      <c r="X211" s="49">
        <f t="shared" si="8"/>
        <v>71</v>
      </c>
      <c r="Y211" s="49" t="str">
        <f t="shared" si="9"/>
        <v>202608-71</v>
      </c>
      <c r="AA211" s="73" t="str">
        <f>IF(Inventory!A209="","",Inventory!A209)</f>
        <v/>
      </c>
    </row>
    <row r="212" ht="14.25" customHeight="1">
      <c r="A212" s="82">
        <v>46241.0</v>
      </c>
      <c r="B212" s="83" t="s">
        <v>324</v>
      </c>
      <c r="C212" s="83" t="s">
        <v>365</v>
      </c>
      <c r="D212" s="83" t="s">
        <v>366</v>
      </c>
      <c r="E212" s="83"/>
      <c r="F212" s="83" t="s">
        <v>349</v>
      </c>
      <c r="G212" s="83" t="str">
        <f>IF($F212="","",IFERROR(VLOOKUP($F212,Inventory!$A:$B,2,FALSE),""))</f>
        <v>PAW Cat Food Kitten Can Fish</v>
      </c>
      <c r="H212" s="83">
        <v>1.0</v>
      </c>
      <c r="I212" s="84">
        <f t="shared" si="2"/>
        <v>170</v>
      </c>
      <c r="J212" s="85">
        <f>IF($F212="","",IFERROR(VLOOKUP($F212,Inventory!$A:$K,11,FALSE),0))</f>
        <v>190</v>
      </c>
      <c r="K212" s="85">
        <v>20.0</v>
      </c>
      <c r="L212" s="85">
        <f t="shared" si="3"/>
        <v>170</v>
      </c>
      <c r="M212" s="83" t="s">
        <v>330</v>
      </c>
      <c r="N212" s="85">
        <f>IF($F212="","",IFERROR(VLOOKUP($F212,Inventory!$A:$I,9,FALSE),0))</f>
        <v>130</v>
      </c>
      <c r="O212" s="85">
        <f t="shared" si="4"/>
        <v>130</v>
      </c>
      <c r="P212" s="85">
        <f t="shared" si="5"/>
        <v>40</v>
      </c>
      <c r="Q212" s="83"/>
      <c r="R212" s="87" t="str">
        <f>IF($E212="","",IF(COUNTIF($E$7:$E212,$E212)&gt;1,"",IFERROR(VLOOKUP($E212,Orders!$A:$I,8,FALSE),"")))</f>
        <v/>
      </c>
      <c r="S212" s="87" t="str">
        <f>IF($E212="","",IF(COUNTIF($E$7:$E212,$E212)&gt;1,"",IFERROR(VLOOKUP($E212,Orders!$A:$I,9,FALSE),"")))</f>
        <v/>
      </c>
      <c r="T212" s="88">
        <f t="shared" si="6"/>
        <v>40</v>
      </c>
      <c r="U212" s="88">
        <f>IF($F212="","",IF($E212="",T212,SUMIF(Sales!$E$7:$E$1506,$E212,Sales!$T$7:$T$1506)))</f>
        <v>40</v>
      </c>
      <c r="V212" s="49" t="str">
        <f t="shared" si="7"/>
        <v/>
      </c>
      <c r="W212" s="49" t="str">
        <f t="array" ref="W212">IF($V212="","",SUMPRODUCT((Sales!$V$7:$V$1506&lt;&gt;"")*(Sales!$E$7:$E$1506&lt;$E212))+1)</f>
        <v/>
      </c>
      <c r="X212" s="49">
        <f t="shared" si="8"/>
        <v>72</v>
      </c>
      <c r="Y212" s="49" t="str">
        <f t="shared" si="9"/>
        <v>202608-72</v>
      </c>
      <c r="AA212" s="73" t="str">
        <f>IF(Inventory!A210="","",Inventory!A210)</f>
        <v/>
      </c>
    </row>
    <row r="213" ht="14.25" customHeight="1">
      <c r="A213" s="82">
        <v>46241.0</v>
      </c>
      <c r="B213" s="83" t="s">
        <v>324</v>
      </c>
      <c r="C213" s="83" t="s">
        <v>365</v>
      </c>
      <c r="D213" s="83" t="s">
        <v>366</v>
      </c>
      <c r="E213" s="83"/>
      <c r="F213" s="83" t="s">
        <v>368</v>
      </c>
      <c r="G213" s="83" t="str">
        <f>IF($F213="","",IFERROR(VLOOKUP($F213,Inventory!$A:$B,2,FALSE),""))</f>
        <v>Petmetro Gino Pouch - Chicken &amp; Cat Grass - 100g</v>
      </c>
      <c r="H213" s="83">
        <v>1.0</v>
      </c>
      <c r="I213" s="84">
        <f t="shared" si="2"/>
        <v>100</v>
      </c>
      <c r="J213" s="85">
        <f>IF($F213="","",IFERROR(VLOOKUP($F213,Inventory!$A:$K,11,FALSE),0))</f>
        <v>110</v>
      </c>
      <c r="K213" s="85">
        <v>10.0</v>
      </c>
      <c r="L213" s="85">
        <f t="shared" si="3"/>
        <v>100</v>
      </c>
      <c r="M213" s="83" t="s">
        <v>330</v>
      </c>
      <c r="N213" s="85">
        <f>IF($F213="","",IFERROR(VLOOKUP($F213,Inventory!$A:$I,9,FALSE),0))</f>
        <v>85</v>
      </c>
      <c r="O213" s="85">
        <f t="shared" si="4"/>
        <v>85</v>
      </c>
      <c r="P213" s="85">
        <f t="shared" si="5"/>
        <v>15</v>
      </c>
      <c r="Q213" s="83"/>
      <c r="R213" s="87" t="str">
        <f>IF($E213="","",IF(COUNTIF($E$7:$E213,$E213)&gt;1,"",IFERROR(VLOOKUP($E213,Orders!$A:$I,8,FALSE),"")))</f>
        <v/>
      </c>
      <c r="S213" s="87" t="str">
        <f>IF($E213="","",IF(COUNTIF($E$7:$E213,$E213)&gt;1,"",IFERROR(VLOOKUP($E213,Orders!$A:$I,9,FALSE),"")))</f>
        <v/>
      </c>
      <c r="T213" s="88">
        <f t="shared" si="6"/>
        <v>15</v>
      </c>
      <c r="U213" s="88">
        <f>IF($F213="","",IF($E213="",T213,SUMIF(Sales!$E$7:$E$1506,$E213,Sales!$T$7:$T$1506)))</f>
        <v>15</v>
      </c>
      <c r="V213" s="49" t="str">
        <f t="shared" si="7"/>
        <v/>
      </c>
      <c r="W213" s="49" t="str">
        <f t="array" ref="W213">IF($V213="","",SUMPRODUCT((Sales!$V$7:$V$1506&lt;&gt;"")*(Sales!$E$7:$E$1506&lt;$E213))+1)</f>
        <v/>
      </c>
      <c r="X213" s="49">
        <f t="shared" si="8"/>
        <v>73</v>
      </c>
      <c r="Y213" s="49" t="str">
        <f t="shared" si="9"/>
        <v>202608-73</v>
      </c>
      <c r="AA213" s="73" t="str">
        <f>IF(Inventory!A211="","",Inventory!A211)</f>
        <v/>
      </c>
    </row>
    <row r="214" ht="14.25" customHeight="1">
      <c r="A214" s="82">
        <v>46241.0</v>
      </c>
      <c r="B214" s="83" t="s">
        <v>324</v>
      </c>
      <c r="C214" s="83" t="s">
        <v>365</v>
      </c>
      <c r="D214" s="83" t="s">
        <v>366</v>
      </c>
      <c r="E214" s="83"/>
      <c r="F214" s="83" t="s">
        <v>179</v>
      </c>
      <c r="G214" s="83" t="str">
        <f>IF($F214="","",IFERROR(VLOOKUP($F214,Inventory!$A:$B,2,FALSE),""))</f>
        <v>Creamy Treat 15G (Purry &amp; Hyper Paws)</v>
      </c>
      <c r="H214" s="83">
        <v>2.0</v>
      </c>
      <c r="I214" s="84">
        <f t="shared" si="2"/>
        <v>20</v>
      </c>
      <c r="J214" s="85">
        <f>IF($F214="","",IFERROR(VLOOKUP($F214,Inventory!$A:$K,11,FALSE),0))</f>
        <v>20</v>
      </c>
      <c r="K214" s="85"/>
      <c r="L214" s="85">
        <f t="shared" si="3"/>
        <v>40</v>
      </c>
      <c r="M214" s="83" t="s">
        <v>330</v>
      </c>
      <c r="N214" s="85">
        <f>IF($F214="","",IFERROR(VLOOKUP($F214,Inventory!$A:$I,9,FALSE),0))</f>
        <v>8.147411853</v>
      </c>
      <c r="O214" s="85">
        <f t="shared" si="4"/>
        <v>16.29482371</v>
      </c>
      <c r="P214" s="85">
        <f t="shared" si="5"/>
        <v>23.70517629</v>
      </c>
      <c r="Q214" s="83"/>
      <c r="R214" s="87" t="str">
        <f>IF($E214="","",IF(COUNTIF($E$7:$E214,$E214)&gt;1,"",IFERROR(VLOOKUP($E214,Orders!$A:$I,8,FALSE),"")))</f>
        <v/>
      </c>
      <c r="S214" s="87" t="str">
        <f>IF($E214="","",IF(COUNTIF($E$7:$E214,$E214)&gt;1,"",IFERROR(VLOOKUP($E214,Orders!$A:$I,9,FALSE),"")))</f>
        <v/>
      </c>
      <c r="T214" s="88">
        <f t="shared" si="6"/>
        <v>23.70517629</v>
      </c>
      <c r="U214" s="88">
        <f>IF($F214="","",IF($E214="",T214,SUMIF(Sales!$E$7:$E$1506,$E214,Sales!$T$7:$T$1506)))</f>
        <v>23.70517629</v>
      </c>
      <c r="V214" s="49" t="str">
        <f t="shared" si="7"/>
        <v/>
      </c>
      <c r="W214" s="49" t="str">
        <f t="array" ref="W214">IF($V214="","",SUMPRODUCT((Sales!$V$7:$V$1506&lt;&gt;"")*(Sales!$E$7:$E$1506&lt;$E214))+1)</f>
        <v/>
      </c>
      <c r="X214" s="49">
        <f t="shared" si="8"/>
        <v>74</v>
      </c>
      <c r="Y214" s="49" t="str">
        <f t="shared" si="9"/>
        <v>202608-74</v>
      </c>
      <c r="AA214" s="73" t="str">
        <f>IF(Inventory!A212="","",Inventory!A212)</f>
        <v/>
      </c>
    </row>
    <row r="215" ht="14.25" customHeight="1">
      <c r="A215" s="82">
        <v>46241.0</v>
      </c>
      <c r="B215" s="83" t="s">
        <v>324</v>
      </c>
      <c r="C215" s="83" t="s">
        <v>365</v>
      </c>
      <c r="D215" s="83" t="s">
        <v>366</v>
      </c>
      <c r="E215" s="83"/>
      <c r="F215" s="83" t="s">
        <v>234</v>
      </c>
      <c r="G215" s="83" t="str">
        <f>IF($F215="","",IFERROR(VLOOKUP($F215,Inventory!$A:$B,2,FALSE),""))</f>
        <v>Whiskas Junior Tuna Flavor</v>
      </c>
      <c r="H215" s="83">
        <v>2.0</v>
      </c>
      <c r="I215" s="84">
        <f t="shared" si="2"/>
        <v>90</v>
      </c>
      <c r="J215" s="85">
        <f>IF($F215="","",IFERROR(VLOOKUP($F215,Inventory!$A:$K,11,FALSE),0))</f>
        <v>95</v>
      </c>
      <c r="K215" s="85">
        <v>5.0</v>
      </c>
      <c r="L215" s="85">
        <f t="shared" si="3"/>
        <v>180</v>
      </c>
      <c r="M215" s="83" t="s">
        <v>330</v>
      </c>
      <c r="N215" s="85">
        <f>IF($F215="","",IFERROR(VLOOKUP($F215,Inventory!$A:$I,9,FALSE),0))</f>
        <v>74</v>
      </c>
      <c r="O215" s="85">
        <f t="shared" si="4"/>
        <v>148</v>
      </c>
      <c r="P215" s="85">
        <f t="shared" si="5"/>
        <v>32</v>
      </c>
      <c r="Q215" s="83"/>
      <c r="R215" s="87" t="str">
        <f>IF($E215="","",IF(COUNTIF($E$7:$E215,$E215)&gt;1,"",IFERROR(VLOOKUP($E215,Orders!$A:$I,8,FALSE),"")))</f>
        <v/>
      </c>
      <c r="S215" s="87" t="str">
        <f>IF($E215="","",IF(COUNTIF($E$7:$E215,$E215)&gt;1,"",IFERROR(VLOOKUP($E215,Orders!$A:$I,9,FALSE),"")))</f>
        <v/>
      </c>
      <c r="T215" s="88">
        <f t="shared" si="6"/>
        <v>32</v>
      </c>
      <c r="U215" s="88">
        <f>IF($F215="","",IF($E215="",T215,SUMIF(Sales!$E$7:$E$1506,$E215,Sales!$T$7:$T$1506)))</f>
        <v>32</v>
      </c>
      <c r="V215" s="49" t="str">
        <f t="shared" si="7"/>
        <v/>
      </c>
      <c r="W215" s="49" t="str">
        <f t="array" ref="W215">IF($V215="","",SUMPRODUCT((Sales!$V$7:$V$1506&lt;&gt;"")*(Sales!$E$7:$E$1506&lt;$E215))+1)</f>
        <v/>
      </c>
      <c r="X215" s="49">
        <f t="shared" si="8"/>
        <v>75</v>
      </c>
      <c r="Y215" s="49" t="str">
        <f t="shared" si="9"/>
        <v>202608-75</v>
      </c>
      <c r="AA215" s="73" t="str">
        <f>IF(Inventory!A213="","",Inventory!A213)</f>
        <v/>
      </c>
    </row>
    <row r="216" ht="14.25" customHeight="1">
      <c r="A216" s="82">
        <v>46241.0</v>
      </c>
      <c r="B216" s="83" t="s">
        <v>324</v>
      </c>
      <c r="C216" s="83" t="s">
        <v>365</v>
      </c>
      <c r="D216" s="83" t="s">
        <v>366</v>
      </c>
      <c r="E216" s="83"/>
      <c r="F216" s="83" t="s">
        <v>336</v>
      </c>
      <c r="G216" s="83" t="str">
        <f>IF($F216="","",IFERROR(VLOOKUP($F216,Inventory!$A:$B,2,FALSE),""))</f>
        <v>Taipet Chicken Tuna in Jelly</v>
      </c>
      <c r="H216" s="83">
        <v>1.0</v>
      </c>
      <c r="I216" s="84">
        <f t="shared" si="2"/>
        <v>70</v>
      </c>
      <c r="J216" s="85">
        <f>IF($F216="","",IFERROR(VLOOKUP($F216,Inventory!$A:$K,11,FALSE),0))</f>
        <v>75</v>
      </c>
      <c r="K216" s="85">
        <v>5.0</v>
      </c>
      <c r="L216" s="85">
        <f t="shared" si="3"/>
        <v>70</v>
      </c>
      <c r="M216" s="83" t="s">
        <v>330</v>
      </c>
      <c r="N216" s="85">
        <f>IF($F216="","",IFERROR(VLOOKUP($F216,Inventory!$A:$I,9,FALSE),0))</f>
        <v>52</v>
      </c>
      <c r="O216" s="85">
        <f t="shared" si="4"/>
        <v>52</v>
      </c>
      <c r="P216" s="85">
        <f t="shared" si="5"/>
        <v>18</v>
      </c>
      <c r="Q216" s="83"/>
      <c r="R216" s="87" t="str">
        <f>IF($E216="","",IF(COUNTIF($E$7:$E216,$E216)&gt;1,"",IFERROR(VLOOKUP($E216,Orders!$A:$I,8,FALSE),"")))</f>
        <v/>
      </c>
      <c r="S216" s="87" t="str">
        <f>IF($E216="","",IF(COUNTIF($E$7:$E216,$E216)&gt;1,"",IFERROR(VLOOKUP($E216,Orders!$A:$I,9,FALSE),"")))</f>
        <v/>
      </c>
      <c r="T216" s="88">
        <f t="shared" si="6"/>
        <v>18</v>
      </c>
      <c r="U216" s="88">
        <f>IF($F216="","",IF($E216="",T216,SUMIF(Sales!$E$7:$E$1506,$E216,Sales!$T$7:$T$1506)))</f>
        <v>18</v>
      </c>
      <c r="V216" s="49" t="str">
        <f t="shared" si="7"/>
        <v/>
      </c>
      <c r="W216" s="49" t="str">
        <f t="array" ref="W216">IF($V216="","",SUMPRODUCT((Sales!$V$7:$V$1506&lt;&gt;"")*(Sales!$E$7:$E$1506&lt;$E216))+1)</f>
        <v/>
      </c>
      <c r="X216" s="49">
        <f t="shared" si="8"/>
        <v>76</v>
      </c>
      <c r="Y216" s="49" t="str">
        <f t="shared" si="9"/>
        <v>202608-76</v>
      </c>
      <c r="AA216" s="73" t="str">
        <f>IF(Inventory!A214="","",Inventory!A214)</f>
        <v/>
      </c>
    </row>
    <row r="217" ht="14.25" customHeight="1">
      <c r="A217" s="82">
        <v>46241.0</v>
      </c>
      <c r="B217" s="83" t="s">
        <v>324</v>
      </c>
      <c r="C217" s="83" t="s">
        <v>365</v>
      </c>
      <c r="D217" s="83" t="s">
        <v>366</v>
      </c>
      <c r="E217" s="83"/>
      <c r="F217" s="83" t="s">
        <v>104</v>
      </c>
      <c r="G217" s="83" t="str">
        <f>IF($F217="","",IFERROR(VLOOKUP($F217,Inventory!$A:$B,2,FALSE),""))</f>
        <v>Nekko Pouch Tuna in Jelly</v>
      </c>
      <c r="H217" s="83">
        <v>1.0</v>
      </c>
      <c r="I217" s="84">
        <f t="shared" si="2"/>
        <v>80</v>
      </c>
      <c r="J217" s="85">
        <f>IF($F217="","",IFERROR(VLOOKUP($F217,Inventory!$A:$K,11,FALSE),0))</f>
        <v>90</v>
      </c>
      <c r="K217" s="85">
        <v>10.0</v>
      </c>
      <c r="L217" s="85">
        <f t="shared" si="3"/>
        <v>80</v>
      </c>
      <c r="M217" s="83" t="s">
        <v>330</v>
      </c>
      <c r="N217" s="85">
        <f>IF($F217="","",IFERROR(VLOOKUP($F217,Inventory!$A:$I,9,FALSE),0))</f>
        <v>65.17241379</v>
      </c>
      <c r="O217" s="85">
        <f t="shared" si="4"/>
        <v>65.17241379</v>
      </c>
      <c r="P217" s="85">
        <f t="shared" si="5"/>
        <v>14.82758621</v>
      </c>
      <c r="Q217" s="83"/>
      <c r="R217" s="87" t="str">
        <f>IF($E217="","",IF(COUNTIF($E$7:$E217,$E217)&gt;1,"",IFERROR(VLOOKUP($E217,Orders!$A:$I,8,FALSE),"")))</f>
        <v/>
      </c>
      <c r="S217" s="87" t="str">
        <f>IF($E217="","",IF(COUNTIF($E$7:$E217,$E217)&gt;1,"",IFERROR(VLOOKUP($E217,Orders!$A:$I,9,FALSE),"")))</f>
        <v/>
      </c>
      <c r="T217" s="88">
        <f t="shared" si="6"/>
        <v>14.82758621</v>
      </c>
      <c r="U217" s="88">
        <f>IF($F217="","",IF($E217="",T217,SUMIF(Sales!$E$7:$E$1506,$E217,Sales!$T$7:$T$1506)))</f>
        <v>14.82758621</v>
      </c>
      <c r="V217" s="49" t="str">
        <f t="shared" si="7"/>
        <v/>
      </c>
      <c r="W217" s="49" t="str">
        <f t="array" ref="W217">IF($V217="","",SUMPRODUCT((Sales!$V$7:$V$1506&lt;&gt;"")*(Sales!$E$7:$E$1506&lt;$E217))+1)</f>
        <v/>
      </c>
      <c r="X217" s="49">
        <f t="shared" si="8"/>
        <v>77</v>
      </c>
      <c r="Y217" s="49" t="str">
        <f t="shared" si="9"/>
        <v>202608-77</v>
      </c>
      <c r="AA217" s="73" t="str">
        <f>IF(Inventory!A215="","",Inventory!A215)</f>
        <v/>
      </c>
    </row>
    <row r="218" ht="14.25" customHeight="1">
      <c r="A218" s="82">
        <v>46242.0</v>
      </c>
      <c r="B218" s="83" t="s">
        <v>324</v>
      </c>
      <c r="C218" s="83" t="s">
        <v>365</v>
      </c>
      <c r="D218" s="83" t="s">
        <v>366</v>
      </c>
      <c r="E218" s="83"/>
      <c r="F218" s="83" t="s">
        <v>262</v>
      </c>
      <c r="G218" s="83" t="str">
        <f>IF($F218="","",IFERROR(VLOOKUP($F218,Inventory!$A:$B,2,FALSE),""))</f>
        <v>Kitchen Flavor Pate Delight</v>
      </c>
      <c r="H218" s="83">
        <v>1.0</v>
      </c>
      <c r="I218" s="84">
        <f t="shared" si="2"/>
        <v>135</v>
      </c>
      <c r="J218" s="85">
        <f>IF($F218="","",IFERROR(VLOOKUP($F218,Inventory!$A:$K,11,FALSE),0))</f>
        <v>150</v>
      </c>
      <c r="K218" s="85">
        <v>15.0</v>
      </c>
      <c r="L218" s="85">
        <f t="shared" si="3"/>
        <v>135</v>
      </c>
      <c r="M218" s="83" t="s">
        <v>330</v>
      </c>
      <c r="N218" s="85">
        <f>IF($F218="","",IFERROR(VLOOKUP($F218,Inventory!$A:$I,9,FALSE),0))</f>
        <v>110</v>
      </c>
      <c r="O218" s="85">
        <f t="shared" si="4"/>
        <v>110</v>
      </c>
      <c r="P218" s="85">
        <f t="shared" si="5"/>
        <v>25</v>
      </c>
      <c r="Q218" s="83"/>
      <c r="R218" s="87" t="str">
        <f>IF($E218="","",IF(COUNTIF($E$7:$E218,$E218)&gt;1,"",IFERROR(VLOOKUP($E218,Orders!$A:$I,8,FALSE),"")))</f>
        <v/>
      </c>
      <c r="S218" s="87" t="str">
        <f>IF($E218="","",IF(COUNTIF($E$7:$E218,$E218)&gt;1,"",IFERROR(VLOOKUP($E218,Orders!$A:$I,9,FALSE),"")))</f>
        <v/>
      </c>
      <c r="T218" s="88">
        <f t="shared" si="6"/>
        <v>25</v>
      </c>
      <c r="U218" s="88">
        <f>IF($F218="","",IF($E218="",T218,SUMIF(Sales!$E$7:$E$1506,$E218,Sales!$T$7:$T$1506)))</f>
        <v>25</v>
      </c>
      <c r="V218" s="49" t="str">
        <f t="shared" si="7"/>
        <v/>
      </c>
      <c r="W218" s="49" t="str">
        <f t="array" ref="W218">IF($V218="","",SUMPRODUCT((Sales!$V$7:$V$1506&lt;&gt;"")*(Sales!$E$7:$E$1506&lt;$E218))+1)</f>
        <v/>
      </c>
      <c r="X218" s="49">
        <f t="shared" si="8"/>
        <v>78</v>
      </c>
      <c r="Y218" s="49" t="str">
        <f t="shared" si="9"/>
        <v>202608-78</v>
      </c>
      <c r="AA218" s="73" t="str">
        <f>IF(Inventory!A216="","",Inventory!A216)</f>
        <v/>
      </c>
    </row>
    <row r="219" ht="14.25" customHeight="1">
      <c r="A219" s="82">
        <v>46242.0</v>
      </c>
      <c r="B219" s="83" t="s">
        <v>324</v>
      </c>
      <c r="C219" s="83" t="s">
        <v>365</v>
      </c>
      <c r="D219" s="83" t="s">
        <v>366</v>
      </c>
      <c r="E219" s="83"/>
      <c r="F219" s="83" t="s">
        <v>183</v>
      </c>
      <c r="G219" s="83" t="str">
        <f>IF($F219="","",IFERROR(VLOOKUP($F219,Inventory!$A:$B,2,FALSE),""))</f>
        <v>Smart Heart Kitten Food Chicken, Fish, Egg &amp; Milk 450gm</v>
      </c>
      <c r="H219" s="83">
        <v>1.0</v>
      </c>
      <c r="I219" s="84">
        <f t="shared" si="2"/>
        <v>380</v>
      </c>
      <c r="J219" s="85">
        <f>IF($F219="","",IFERROR(VLOOKUP($F219,Inventory!$A:$K,11,FALSE),0))</f>
        <v>380</v>
      </c>
      <c r="K219" s="85"/>
      <c r="L219" s="85">
        <f t="shared" si="3"/>
        <v>380</v>
      </c>
      <c r="M219" s="83" t="s">
        <v>330</v>
      </c>
      <c r="N219" s="85">
        <f>IF($F219="","",IFERROR(VLOOKUP($F219,Inventory!$A:$I,9,FALSE),0))</f>
        <v>290</v>
      </c>
      <c r="O219" s="85">
        <f t="shared" si="4"/>
        <v>290</v>
      </c>
      <c r="P219" s="85">
        <f t="shared" si="5"/>
        <v>90</v>
      </c>
      <c r="Q219" s="83"/>
      <c r="R219" s="87" t="str">
        <f>IF($E219="","",IF(COUNTIF($E$7:$E219,$E219)&gt;1,"",IFERROR(VLOOKUP($E219,Orders!$A:$I,8,FALSE),"")))</f>
        <v/>
      </c>
      <c r="S219" s="87" t="str">
        <f>IF($E219="","",IF(COUNTIF($E$7:$E219,$E219)&gt;1,"",IFERROR(VLOOKUP($E219,Orders!$A:$I,9,FALSE),"")))</f>
        <v/>
      </c>
      <c r="T219" s="88">
        <f t="shared" si="6"/>
        <v>90</v>
      </c>
      <c r="U219" s="88">
        <f>IF($F219="","",IF($E219="",T219,SUMIF(Sales!$E$7:$E$1506,$E219,Sales!$T$7:$T$1506)))</f>
        <v>90</v>
      </c>
      <c r="V219" s="49" t="str">
        <f t="shared" si="7"/>
        <v/>
      </c>
      <c r="W219" s="49" t="str">
        <f t="array" ref="W219">IF($V219="","",SUMPRODUCT((Sales!$V$7:$V$1506&lt;&gt;"")*(Sales!$E$7:$E$1506&lt;$E219))+1)</f>
        <v/>
      </c>
      <c r="X219" s="49">
        <f t="shared" si="8"/>
        <v>79</v>
      </c>
      <c r="Y219" s="49" t="str">
        <f t="shared" si="9"/>
        <v>202608-79</v>
      </c>
      <c r="AA219" s="73" t="str">
        <f>IF(Inventory!A217="","",Inventory!A217)</f>
        <v/>
      </c>
    </row>
    <row r="220" ht="14.25" customHeight="1">
      <c r="A220" s="82">
        <v>46242.0</v>
      </c>
      <c r="B220" s="83" t="s">
        <v>324</v>
      </c>
      <c r="C220" s="83" t="s">
        <v>365</v>
      </c>
      <c r="D220" s="83" t="s">
        <v>366</v>
      </c>
      <c r="E220" s="83"/>
      <c r="F220" s="83" t="s">
        <v>418</v>
      </c>
      <c r="G220" s="83" t="str">
        <f>IF($F220="","",IFERROR(VLOOKUP($F220,Inventory!$A:$B,2,FALSE),""))</f>
        <v>Drools &amp; Purepet Mixe Cat Food 250gm</v>
      </c>
      <c r="H220" s="83">
        <v>1.0</v>
      </c>
      <c r="I220" s="84">
        <f t="shared" si="2"/>
        <v>110</v>
      </c>
      <c r="J220" s="85">
        <f>IF($F220="","",IFERROR(VLOOKUP($F220,Inventory!$A:$K,11,FALSE),0))</f>
        <v>120</v>
      </c>
      <c r="K220" s="85">
        <v>10.0</v>
      </c>
      <c r="L220" s="85">
        <f t="shared" si="3"/>
        <v>110</v>
      </c>
      <c r="M220" s="83" t="s">
        <v>330</v>
      </c>
      <c r="N220" s="85">
        <f>IF($F220="","",IFERROR(VLOOKUP($F220,Inventory!$A:$I,9,FALSE),0))</f>
        <v>75.28333333</v>
      </c>
      <c r="O220" s="85">
        <f t="shared" si="4"/>
        <v>75.28333333</v>
      </c>
      <c r="P220" s="85">
        <f t="shared" si="5"/>
        <v>34.71666667</v>
      </c>
      <c r="Q220" s="83"/>
      <c r="R220" s="87" t="str">
        <f>IF($E220="","",IF(COUNTIF($E$7:$E220,$E220)&gt;1,"",IFERROR(VLOOKUP($E220,Orders!$A:$I,8,FALSE),"")))</f>
        <v/>
      </c>
      <c r="S220" s="87" t="str">
        <f>IF($E220="","",IF(COUNTIF($E$7:$E220,$E220)&gt;1,"",IFERROR(VLOOKUP($E220,Orders!$A:$I,9,FALSE),"")))</f>
        <v/>
      </c>
      <c r="T220" s="88">
        <f t="shared" si="6"/>
        <v>34.71666667</v>
      </c>
      <c r="U220" s="88">
        <f>IF($F220="","",IF($E220="",T220,SUMIF(Sales!$E$7:$E$1506,$E220,Sales!$T$7:$T$1506)))</f>
        <v>34.71666667</v>
      </c>
      <c r="V220" s="49" t="str">
        <f t="shared" si="7"/>
        <v/>
      </c>
      <c r="W220" s="49" t="str">
        <f t="array" ref="W220">IF($V220="","",SUMPRODUCT((Sales!$V$7:$V$1506&lt;&gt;"")*(Sales!$E$7:$E$1506&lt;$E220))+1)</f>
        <v/>
      </c>
      <c r="X220" s="49">
        <f t="shared" si="8"/>
        <v>80</v>
      </c>
      <c r="Y220" s="49" t="str">
        <f t="shared" si="9"/>
        <v>202608-80</v>
      </c>
      <c r="AA220" s="73" t="str">
        <f>IF(Inventory!A218="","",Inventory!A218)</f>
        <v/>
      </c>
    </row>
    <row r="221" ht="14.25" customHeight="1">
      <c r="A221" s="82">
        <v>46242.0</v>
      </c>
      <c r="B221" s="83" t="s">
        <v>324</v>
      </c>
      <c r="C221" s="83" t="s">
        <v>325</v>
      </c>
      <c r="D221" s="83" t="s">
        <v>582</v>
      </c>
      <c r="E221" s="103" t="s">
        <v>590</v>
      </c>
      <c r="F221" s="83" t="s">
        <v>265</v>
      </c>
      <c r="G221" s="83" t="str">
        <f>IF($F221="","",IFERROR(VLOOKUP($F221,Inventory!$A:$B,2,FALSE),""))</f>
        <v>Kitchen Flavor Grain Free Kitten 1.5KG</v>
      </c>
      <c r="H221" s="83">
        <v>3.0</v>
      </c>
      <c r="I221" s="84">
        <f t="shared" si="2"/>
        <v>1250</v>
      </c>
      <c r="J221" s="85">
        <f>IF($F221="","",IFERROR(VLOOKUP($F221,Inventory!$A:$K,11,FALSE),0))</f>
        <v>1260</v>
      </c>
      <c r="K221" s="85">
        <v>10.0</v>
      </c>
      <c r="L221" s="85">
        <f t="shared" si="3"/>
        <v>3750</v>
      </c>
      <c r="M221" s="83" t="s">
        <v>330</v>
      </c>
      <c r="N221" s="85">
        <f>IF($F221="","",IFERROR(VLOOKUP($F221,Inventory!$A:$I,9,FALSE),0))</f>
        <v>990</v>
      </c>
      <c r="O221" s="85">
        <f t="shared" si="4"/>
        <v>2970</v>
      </c>
      <c r="P221" s="85">
        <f t="shared" si="5"/>
        <v>780</v>
      </c>
      <c r="Q221" s="83"/>
      <c r="R221" s="87">
        <f>IF($E221="","",IF(COUNTIF($E$7:$E221,$E221)&gt;1,"",IFERROR(VLOOKUP($E221,Orders!$A:$I,8,FALSE),"")))</f>
        <v>80</v>
      </c>
      <c r="S221" s="87">
        <f>IF($E221="","",IF(COUNTIF($E$7:$E221,$E221)&gt;1,"",IFERROR(VLOOKUP($E221,Orders!$A:$I,9,FALSE),"")))</f>
        <v>0</v>
      </c>
      <c r="T221" s="88">
        <f t="shared" si="6"/>
        <v>860</v>
      </c>
      <c r="U221" s="88">
        <f>IF($F221="","",IF($E221="",T221,SUMIF(Sales!$E$7:$E$1506,$E221,Sales!$T$7:$T$1506)))</f>
        <v>860</v>
      </c>
      <c r="V221" s="49">
        <f t="shared" si="7"/>
        <v>13</v>
      </c>
      <c r="W221" s="49">
        <f t="array" ref="W221">IF($V221="","",SUMPRODUCT((Sales!$V$7:$V$1506&lt;&gt;"")*(Sales!$E$7:$E$1506&lt;$E221))+1)</f>
        <v>13</v>
      </c>
      <c r="X221" s="49">
        <f t="shared" si="8"/>
        <v>81</v>
      </c>
      <c r="Y221" s="49" t="str">
        <f t="shared" si="9"/>
        <v>202608-81</v>
      </c>
      <c r="AA221" s="73" t="str">
        <f>IF(Inventory!A219="","",Inventory!A219)</f>
        <v/>
      </c>
    </row>
    <row r="222" ht="14.25" customHeight="1">
      <c r="A222" s="82">
        <v>46242.0</v>
      </c>
      <c r="B222" s="83" t="s">
        <v>324</v>
      </c>
      <c r="C222" s="83" t="s">
        <v>365</v>
      </c>
      <c r="D222" s="83" t="s">
        <v>366</v>
      </c>
      <c r="E222" s="83"/>
      <c r="F222" s="83" t="s">
        <v>418</v>
      </c>
      <c r="G222" s="83" t="str">
        <f>IF($F222="","",IFERROR(VLOOKUP($F222,Inventory!$A:$B,2,FALSE),""))</f>
        <v>Drools &amp; Purepet Mixe Cat Food 250gm</v>
      </c>
      <c r="H222" s="83">
        <v>1.0</v>
      </c>
      <c r="I222" s="84">
        <f t="shared" si="2"/>
        <v>120</v>
      </c>
      <c r="J222" s="85">
        <f>IF($F222="","",IFERROR(VLOOKUP($F222,Inventory!$A:$K,11,FALSE),0))</f>
        <v>120</v>
      </c>
      <c r="K222" s="85"/>
      <c r="L222" s="85">
        <f t="shared" si="3"/>
        <v>120</v>
      </c>
      <c r="M222" s="83" t="s">
        <v>330</v>
      </c>
      <c r="N222" s="85">
        <f>IF($F222="","",IFERROR(VLOOKUP($F222,Inventory!$A:$I,9,FALSE),0))</f>
        <v>75.28333333</v>
      </c>
      <c r="O222" s="85">
        <f t="shared" si="4"/>
        <v>75.28333333</v>
      </c>
      <c r="P222" s="85">
        <f t="shared" si="5"/>
        <v>44.71666667</v>
      </c>
      <c r="Q222" s="83"/>
      <c r="R222" s="87" t="str">
        <f>IF($E222="","",IF(COUNTIF($E$7:$E222,$E222)&gt;1,"",IFERROR(VLOOKUP($E222,Orders!$A:$I,8,FALSE),"")))</f>
        <v/>
      </c>
      <c r="S222" s="87" t="str">
        <f>IF($E222="","",IF(COUNTIF($E$7:$E222,$E222)&gt;1,"",IFERROR(VLOOKUP($E222,Orders!$A:$I,9,FALSE),"")))</f>
        <v/>
      </c>
      <c r="T222" s="88">
        <f t="shared" si="6"/>
        <v>44.71666667</v>
      </c>
      <c r="U222" s="88">
        <f>IF($F222="","",IF($E222="",T222,SUMIF(Sales!$E$7:$E$1506,$E222,Sales!$T$7:$T$1506)))</f>
        <v>44.71666667</v>
      </c>
      <c r="V222" s="49" t="str">
        <f t="shared" si="7"/>
        <v/>
      </c>
      <c r="W222" s="49" t="str">
        <f t="array" ref="W222">IF($V222="","",SUMPRODUCT((Sales!$V$7:$V$1506&lt;&gt;"")*(Sales!$E$7:$E$1506&lt;$E222))+1)</f>
        <v/>
      </c>
      <c r="X222" s="49">
        <f t="shared" si="8"/>
        <v>82</v>
      </c>
      <c r="Y222" s="49" t="str">
        <f t="shared" si="9"/>
        <v>202608-82</v>
      </c>
      <c r="AA222" s="73" t="str">
        <f>IF(Inventory!A220="","",Inventory!A220)</f>
        <v/>
      </c>
    </row>
    <row r="223" ht="14.25" customHeight="1">
      <c r="A223" s="82">
        <v>46242.0</v>
      </c>
      <c r="B223" s="83" t="s">
        <v>324</v>
      </c>
      <c r="C223" s="83" t="s">
        <v>365</v>
      </c>
      <c r="D223" s="83" t="s">
        <v>366</v>
      </c>
      <c r="E223" s="83"/>
      <c r="F223" s="83" t="s">
        <v>258</v>
      </c>
      <c r="G223" s="83" t="str">
        <f>IF($F223="","",IFERROR(VLOOKUP($F223,Inventory!$A:$B,2,FALSE),""))</f>
        <v>Kitchen Flavor Grain Free Adult 400G</v>
      </c>
      <c r="H223" s="83">
        <v>1.0</v>
      </c>
      <c r="I223" s="84">
        <f t="shared" si="2"/>
        <v>380</v>
      </c>
      <c r="J223" s="85">
        <f>IF($F223="","",IFERROR(VLOOKUP($F223,Inventory!$A:$K,11,FALSE),0))</f>
        <v>380</v>
      </c>
      <c r="K223" s="85"/>
      <c r="L223" s="85">
        <f t="shared" si="3"/>
        <v>380</v>
      </c>
      <c r="M223" s="83" t="s">
        <v>330</v>
      </c>
      <c r="N223" s="85">
        <f>IF($F223="","",IFERROR(VLOOKUP($F223,Inventory!$A:$I,9,FALSE),0))</f>
        <v>290</v>
      </c>
      <c r="O223" s="85">
        <f t="shared" si="4"/>
        <v>290</v>
      </c>
      <c r="P223" s="85">
        <f t="shared" si="5"/>
        <v>90</v>
      </c>
      <c r="Q223" s="83"/>
      <c r="R223" s="87" t="str">
        <f>IF($E223="","",IF(COUNTIF($E$7:$E223,$E223)&gt;1,"",IFERROR(VLOOKUP($E223,Orders!$A:$I,8,FALSE),"")))</f>
        <v/>
      </c>
      <c r="S223" s="87" t="str">
        <f>IF($E223="","",IF(COUNTIF($E$7:$E223,$E223)&gt;1,"",IFERROR(VLOOKUP($E223,Orders!$A:$I,9,FALSE),"")))</f>
        <v/>
      </c>
      <c r="T223" s="88">
        <f t="shared" si="6"/>
        <v>90</v>
      </c>
      <c r="U223" s="88">
        <f>IF($F223="","",IF($E223="",T223,SUMIF(Sales!$E$7:$E$1506,$E223,Sales!$T$7:$T$1506)))</f>
        <v>90</v>
      </c>
      <c r="V223" s="49" t="str">
        <f t="shared" si="7"/>
        <v/>
      </c>
      <c r="W223" s="49" t="str">
        <f t="array" ref="W223">IF($V223="","",SUMPRODUCT((Sales!$V$7:$V$1506&lt;&gt;"")*(Sales!$E$7:$E$1506&lt;$E223))+1)</f>
        <v/>
      </c>
      <c r="X223" s="49">
        <f t="shared" si="8"/>
        <v>83</v>
      </c>
      <c r="Y223" s="49" t="str">
        <f t="shared" si="9"/>
        <v>202608-83</v>
      </c>
      <c r="AA223" s="73" t="str">
        <f>IF(Inventory!A221="","",Inventory!A221)</f>
        <v/>
      </c>
    </row>
    <row r="224" ht="14.25" customHeight="1">
      <c r="A224" s="82">
        <v>46242.0</v>
      </c>
      <c r="B224" s="83" t="s">
        <v>324</v>
      </c>
      <c r="C224" s="83" t="s">
        <v>365</v>
      </c>
      <c r="D224" s="83" t="s">
        <v>366</v>
      </c>
      <c r="E224" s="83"/>
      <c r="F224" s="83" t="s">
        <v>256</v>
      </c>
      <c r="G224" s="83" t="str">
        <f>IF($F224="","",IFERROR(VLOOKUP($F224,Inventory!$A:$B,2,FALSE),""))</f>
        <v>Kitchen Flavor Grain Free Kitten 400G</v>
      </c>
      <c r="H224" s="83">
        <v>1.0</v>
      </c>
      <c r="I224" s="84">
        <f t="shared" si="2"/>
        <v>350</v>
      </c>
      <c r="J224" s="85">
        <f>IF($F224="","",IFERROR(VLOOKUP($F224,Inventory!$A:$K,11,FALSE),0))</f>
        <v>380</v>
      </c>
      <c r="K224" s="85">
        <v>30.0</v>
      </c>
      <c r="L224" s="85">
        <f t="shared" si="3"/>
        <v>350</v>
      </c>
      <c r="M224" s="83" t="s">
        <v>330</v>
      </c>
      <c r="N224" s="85">
        <f>IF($F224="","",IFERROR(VLOOKUP($F224,Inventory!$A:$I,9,FALSE),0))</f>
        <v>290</v>
      </c>
      <c r="O224" s="85">
        <f t="shared" si="4"/>
        <v>290</v>
      </c>
      <c r="P224" s="85">
        <f t="shared" si="5"/>
        <v>60</v>
      </c>
      <c r="Q224" s="83"/>
      <c r="R224" s="87" t="str">
        <f>IF($E224="","",IF(COUNTIF($E$7:$E224,$E224)&gt;1,"",IFERROR(VLOOKUP($E224,Orders!$A:$I,8,FALSE),"")))</f>
        <v/>
      </c>
      <c r="S224" s="87" t="str">
        <f>IF($E224="","",IF(COUNTIF($E$7:$E224,$E224)&gt;1,"",IFERROR(VLOOKUP($E224,Orders!$A:$I,9,FALSE),"")))</f>
        <v/>
      </c>
      <c r="T224" s="88">
        <f t="shared" si="6"/>
        <v>60</v>
      </c>
      <c r="U224" s="88">
        <f>IF($F224="","",IF($E224="",T224,SUMIF(Sales!$E$7:$E$1506,$E224,Sales!$T$7:$T$1506)))</f>
        <v>60</v>
      </c>
      <c r="V224" s="49" t="str">
        <f t="shared" si="7"/>
        <v/>
      </c>
      <c r="W224" s="49" t="str">
        <f t="array" ref="W224">IF($V224="","",SUMPRODUCT((Sales!$V$7:$V$1506&lt;&gt;"")*(Sales!$E$7:$E$1506&lt;$E224))+1)</f>
        <v/>
      </c>
      <c r="X224" s="49">
        <f t="shared" si="8"/>
        <v>84</v>
      </c>
      <c r="Y224" s="49" t="str">
        <f t="shared" si="9"/>
        <v>202608-84</v>
      </c>
      <c r="AA224" s="73" t="str">
        <f>IF(Inventory!A222="","",Inventory!A222)</f>
        <v/>
      </c>
    </row>
    <row r="225" ht="14.25" customHeight="1">
      <c r="A225" s="82">
        <v>46242.0</v>
      </c>
      <c r="B225" s="83" t="s">
        <v>428</v>
      </c>
      <c r="C225" s="83" t="s">
        <v>365</v>
      </c>
      <c r="D225" s="83" t="s">
        <v>366</v>
      </c>
      <c r="E225" s="83"/>
      <c r="F225" s="83" t="s">
        <v>179</v>
      </c>
      <c r="G225" s="83" t="str">
        <f>IF($F225="","",IFERROR(VLOOKUP($F225,Inventory!$A:$B,2,FALSE),""))</f>
        <v>Creamy Treat 15G (Purry &amp; Hyper Paws)</v>
      </c>
      <c r="H225" s="83">
        <v>1.0</v>
      </c>
      <c r="I225" s="84">
        <f t="shared" si="2"/>
        <v>0</v>
      </c>
      <c r="J225" s="85">
        <f>IF($F225="","",IFERROR(VLOOKUP($F225,Inventory!$A:$K,11,FALSE),0))</f>
        <v>20</v>
      </c>
      <c r="K225" s="85">
        <v>20.0</v>
      </c>
      <c r="L225" s="85">
        <f t="shared" si="3"/>
        <v>0</v>
      </c>
      <c r="M225" s="83" t="s">
        <v>330</v>
      </c>
      <c r="N225" s="85">
        <f>IF($F225="","",IFERROR(VLOOKUP($F225,Inventory!$A:$I,9,FALSE),0))</f>
        <v>8.147411853</v>
      </c>
      <c r="O225" s="85">
        <f t="shared" si="4"/>
        <v>8.147411853</v>
      </c>
      <c r="P225" s="85">
        <f t="shared" si="5"/>
        <v>-8.147411853</v>
      </c>
      <c r="Q225" s="83"/>
      <c r="R225" s="87" t="str">
        <f>IF($E225="","",IF(COUNTIF($E$7:$E225,$E225)&gt;1,"",IFERROR(VLOOKUP($E225,Orders!$A:$I,8,FALSE),"")))</f>
        <v/>
      </c>
      <c r="S225" s="87" t="str">
        <f>IF($E225="","",IF(COUNTIF($E$7:$E225,$E225)&gt;1,"",IFERROR(VLOOKUP($E225,Orders!$A:$I,9,FALSE),"")))</f>
        <v/>
      </c>
      <c r="T225" s="88">
        <f t="shared" si="6"/>
        <v>-8.147411853</v>
      </c>
      <c r="U225" s="88">
        <f>IF($F225="","",IF($E225="",T225,SUMIF(Sales!$E$7:$E$1506,$E225,Sales!$T$7:$T$1506)))</f>
        <v>-8.147411853</v>
      </c>
      <c r="V225" s="49" t="str">
        <f t="shared" si="7"/>
        <v/>
      </c>
      <c r="W225" s="49" t="str">
        <f t="array" ref="W225">IF($V225="","",SUMPRODUCT((Sales!$V$7:$V$1506&lt;&gt;"")*(Sales!$E$7:$E$1506&lt;$E225))+1)</f>
        <v/>
      </c>
      <c r="X225" s="49">
        <f t="shared" si="8"/>
        <v>85</v>
      </c>
      <c r="Y225" s="49" t="str">
        <f t="shared" si="9"/>
        <v>202608-85</v>
      </c>
      <c r="AA225" s="73" t="str">
        <f>IF(Inventory!A223="","",Inventory!A223)</f>
        <v/>
      </c>
    </row>
    <row r="226" ht="14.25" customHeight="1">
      <c r="A226" s="82">
        <v>46242.0</v>
      </c>
      <c r="B226" s="83" t="s">
        <v>324</v>
      </c>
      <c r="C226" s="83" t="s">
        <v>365</v>
      </c>
      <c r="D226" s="83" t="s">
        <v>366</v>
      </c>
      <c r="E226" s="83"/>
      <c r="F226" s="83" t="s">
        <v>262</v>
      </c>
      <c r="G226" s="83" t="str">
        <f>IF($F226="","",IFERROR(VLOOKUP($F226,Inventory!$A:$B,2,FALSE),""))</f>
        <v>Kitchen Flavor Pate Delight</v>
      </c>
      <c r="H226" s="83">
        <v>1.0</v>
      </c>
      <c r="I226" s="84">
        <f t="shared" si="2"/>
        <v>135</v>
      </c>
      <c r="J226" s="85">
        <f>IF($F226="","",IFERROR(VLOOKUP($F226,Inventory!$A:$K,11,FALSE),0))</f>
        <v>150</v>
      </c>
      <c r="K226" s="85">
        <v>15.0</v>
      </c>
      <c r="L226" s="85">
        <f t="shared" si="3"/>
        <v>135</v>
      </c>
      <c r="M226" s="83" t="s">
        <v>330</v>
      </c>
      <c r="N226" s="85">
        <f>IF($F226="","",IFERROR(VLOOKUP($F226,Inventory!$A:$I,9,FALSE),0))</f>
        <v>110</v>
      </c>
      <c r="O226" s="85">
        <f t="shared" si="4"/>
        <v>110</v>
      </c>
      <c r="P226" s="85">
        <f t="shared" si="5"/>
        <v>25</v>
      </c>
      <c r="Q226" s="83"/>
      <c r="R226" s="87" t="str">
        <f>IF($E226="","",IF(COUNTIF($E$7:$E226,$E226)&gt;1,"",IFERROR(VLOOKUP($E226,Orders!$A:$I,8,FALSE),"")))</f>
        <v/>
      </c>
      <c r="S226" s="87" t="str">
        <f>IF($E226="","",IF(COUNTIF($E$7:$E226,$E226)&gt;1,"",IFERROR(VLOOKUP($E226,Orders!$A:$I,9,FALSE),"")))</f>
        <v/>
      </c>
      <c r="T226" s="88">
        <f t="shared" si="6"/>
        <v>25</v>
      </c>
      <c r="U226" s="88">
        <f>IF($F226="","",IF($E226="",T226,SUMIF(Sales!$E$7:$E$1506,$E226,Sales!$T$7:$T$1506)))</f>
        <v>25</v>
      </c>
      <c r="V226" s="49" t="str">
        <f t="shared" si="7"/>
        <v/>
      </c>
      <c r="W226" s="49" t="str">
        <f t="array" ref="W226">IF($V226="","",SUMPRODUCT((Sales!$V$7:$V$1506&lt;&gt;"")*(Sales!$E$7:$E$1506&lt;$E226))+1)</f>
        <v/>
      </c>
      <c r="X226" s="49">
        <f t="shared" si="8"/>
        <v>86</v>
      </c>
      <c r="Y226" s="49" t="str">
        <f t="shared" si="9"/>
        <v>202608-86</v>
      </c>
      <c r="AA226" s="73" t="str">
        <f>IF(Inventory!A224="","",Inventory!A224)</f>
        <v/>
      </c>
    </row>
    <row r="227" ht="14.25" customHeight="1">
      <c r="A227" s="82">
        <v>46242.0</v>
      </c>
      <c r="B227" s="83" t="s">
        <v>324</v>
      </c>
      <c r="C227" s="83" t="s">
        <v>365</v>
      </c>
      <c r="D227" s="83" t="s">
        <v>366</v>
      </c>
      <c r="E227" s="83"/>
      <c r="F227" s="83" t="s">
        <v>378</v>
      </c>
      <c r="G227" s="83" t="str">
        <f>IF($F227="","",IFERROR(VLOOKUP($F227,Inventory!$A:$B,2,FALSE),""))</f>
        <v>Drools &amp; Purepet Mixe Cat Food 500gm</v>
      </c>
      <c r="H227" s="83">
        <v>1.0</v>
      </c>
      <c r="I227" s="84">
        <f t="shared" si="2"/>
        <v>220</v>
      </c>
      <c r="J227" s="85">
        <f>IF($F227="","",IFERROR(VLOOKUP($F227,Inventory!$A:$K,11,FALSE),0))</f>
        <v>225</v>
      </c>
      <c r="K227" s="85">
        <v>5.0</v>
      </c>
      <c r="L227" s="85">
        <f t="shared" si="3"/>
        <v>220</v>
      </c>
      <c r="M227" s="83" t="s">
        <v>330</v>
      </c>
      <c r="N227" s="85">
        <f>IF($F227="","",IFERROR(VLOOKUP($F227,Inventory!$A:$I,9,FALSE),0))</f>
        <v>152.9310345</v>
      </c>
      <c r="O227" s="85">
        <f t="shared" si="4"/>
        <v>152.9310345</v>
      </c>
      <c r="P227" s="85">
        <f t="shared" si="5"/>
        <v>67.06896552</v>
      </c>
      <c r="Q227" s="83"/>
      <c r="R227" s="87" t="str">
        <f>IF($E227="","",IF(COUNTIF($E$7:$E227,$E227)&gt;1,"",IFERROR(VLOOKUP($E227,Orders!$A:$I,8,FALSE),"")))</f>
        <v/>
      </c>
      <c r="S227" s="87" t="str">
        <f>IF($E227="","",IF(COUNTIF($E$7:$E227,$E227)&gt;1,"",IFERROR(VLOOKUP($E227,Orders!$A:$I,9,FALSE),"")))</f>
        <v/>
      </c>
      <c r="T227" s="88">
        <f t="shared" si="6"/>
        <v>67.06896552</v>
      </c>
      <c r="U227" s="88">
        <f>IF($F227="","",IF($E227="",T227,SUMIF(Sales!$E$7:$E$1506,$E227,Sales!$T$7:$T$1506)))</f>
        <v>67.06896552</v>
      </c>
      <c r="V227" s="49" t="str">
        <f t="shared" si="7"/>
        <v/>
      </c>
      <c r="W227" s="49" t="str">
        <f t="array" ref="W227">IF($V227="","",SUMPRODUCT((Sales!$V$7:$V$1506&lt;&gt;"")*(Sales!$E$7:$E$1506&lt;$E227))+1)</f>
        <v/>
      </c>
      <c r="X227" s="49">
        <f t="shared" si="8"/>
        <v>87</v>
      </c>
      <c r="Y227" s="49" t="str">
        <f t="shared" si="9"/>
        <v>202608-87</v>
      </c>
      <c r="AA227" s="73" t="str">
        <f>IF(Inventory!A225="","",Inventory!A225)</f>
        <v/>
      </c>
    </row>
    <row r="228" ht="14.25" customHeight="1">
      <c r="A228" s="82">
        <v>46243.0</v>
      </c>
      <c r="B228" s="83" t="s">
        <v>324</v>
      </c>
      <c r="C228" s="83" t="s">
        <v>365</v>
      </c>
      <c r="D228" s="83" t="s">
        <v>366</v>
      </c>
      <c r="E228" s="83"/>
      <c r="F228" s="83" t="s">
        <v>211</v>
      </c>
      <c r="G228" s="83" t="str">
        <f>IF($F228="","",IFERROR(VLOOKUP($F228,Inventory!$A:$B,2,FALSE),""))</f>
        <v>Smart Heart Pouch  Tuna With Chicken in Jelly</v>
      </c>
      <c r="H228" s="83">
        <v>1.0</v>
      </c>
      <c r="I228" s="84">
        <f t="shared" si="2"/>
        <v>90</v>
      </c>
      <c r="J228" s="85">
        <f>IF($F228="","",IFERROR(VLOOKUP($F228,Inventory!$A:$K,11,FALSE),0))</f>
        <v>95</v>
      </c>
      <c r="K228" s="85">
        <v>5.0</v>
      </c>
      <c r="L228" s="85">
        <f t="shared" si="3"/>
        <v>90</v>
      </c>
      <c r="M228" s="83" t="s">
        <v>330</v>
      </c>
      <c r="N228" s="85">
        <f>IF($F228="","",IFERROR(VLOOKUP($F228,Inventory!$A:$I,9,FALSE),0))</f>
        <v>71.9047619</v>
      </c>
      <c r="O228" s="85">
        <f t="shared" si="4"/>
        <v>71.9047619</v>
      </c>
      <c r="P228" s="85">
        <f t="shared" si="5"/>
        <v>18.0952381</v>
      </c>
      <c r="Q228" s="83"/>
      <c r="R228" s="87" t="str">
        <f>IF($E228="","",IF(COUNTIF($E$7:$E228,$E228)&gt;1,"",IFERROR(VLOOKUP($E228,Orders!$A:$I,8,FALSE),"")))</f>
        <v/>
      </c>
      <c r="S228" s="87" t="str">
        <f>IF($E228="","",IF(COUNTIF($E$7:$E228,$E228)&gt;1,"",IFERROR(VLOOKUP($E228,Orders!$A:$I,9,FALSE),"")))</f>
        <v/>
      </c>
      <c r="T228" s="88">
        <f t="shared" si="6"/>
        <v>18.0952381</v>
      </c>
      <c r="U228" s="88">
        <f>IF($F228="","",IF($E228="",T228,SUMIF(Sales!$E$7:$E$1506,$E228,Sales!$T$7:$T$1506)))</f>
        <v>18.0952381</v>
      </c>
      <c r="V228" s="49" t="str">
        <f t="shared" si="7"/>
        <v/>
      </c>
      <c r="W228" s="49" t="str">
        <f t="array" ref="W228">IF($V228="","",SUMPRODUCT((Sales!$V$7:$V$1506&lt;&gt;"")*(Sales!$E$7:$E$1506&lt;$E228))+1)</f>
        <v/>
      </c>
      <c r="X228" s="49">
        <f t="shared" si="8"/>
        <v>88</v>
      </c>
      <c r="Y228" s="49" t="str">
        <f t="shared" si="9"/>
        <v>202608-88</v>
      </c>
      <c r="AA228" s="73" t="str">
        <f>IF(Inventory!A226="","",Inventory!A226)</f>
        <v/>
      </c>
    </row>
    <row r="229" ht="14.25" customHeight="1">
      <c r="A229" s="82">
        <v>46243.0</v>
      </c>
      <c r="B229" s="83" t="s">
        <v>324</v>
      </c>
      <c r="C229" s="83" t="s">
        <v>365</v>
      </c>
      <c r="D229" s="83" t="s">
        <v>366</v>
      </c>
      <c r="E229" s="83"/>
      <c r="F229" s="83" t="s">
        <v>179</v>
      </c>
      <c r="G229" s="83" t="str">
        <f>IF($F229="","",IFERROR(VLOOKUP($F229,Inventory!$A:$B,2,FALSE),""))</f>
        <v>Creamy Treat 15G (Purry &amp; Hyper Paws)</v>
      </c>
      <c r="H229" s="83">
        <v>1.0</v>
      </c>
      <c r="I229" s="84">
        <f t="shared" si="2"/>
        <v>20</v>
      </c>
      <c r="J229" s="85">
        <f>IF($F229="","",IFERROR(VLOOKUP($F229,Inventory!$A:$K,11,FALSE),0))</f>
        <v>20</v>
      </c>
      <c r="K229" s="85"/>
      <c r="L229" s="85">
        <f t="shared" si="3"/>
        <v>20</v>
      </c>
      <c r="M229" s="83" t="s">
        <v>330</v>
      </c>
      <c r="N229" s="85">
        <f>IF($F229="","",IFERROR(VLOOKUP($F229,Inventory!$A:$I,9,FALSE),0))</f>
        <v>8.147411853</v>
      </c>
      <c r="O229" s="85">
        <f t="shared" si="4"/>
        <v>8.147411853</v>
      </c>
      <c r="P229" s="85">
        <f t="shared" si="5"/>
        <v>11.85258815</v>
      </c>
      <c r="Q229" s="83"/>
      <c r="R229" s="87" t="str">
        <f>IF($E229="","",IF(COUNTIF($E$7:$E229,$E229)&gt;1,"",IFERROR(VLOOKUP($E229,Orders!$A:$I,8,FALSE),"")))</f>
        <v/>
      </c>
      <c r="S229" s="87" t="str">
        <f>IF($E229="","",IF(COUNTIF($E$7:$E229,$E229)&gt;1,"",IFERROR(VLOOKUP($E229,Orders!$A:$I,9,FALSE),"")))</f>
        <v/>
      </c>
      <c r="T229" s="88">
        <f t="shared" si="6"/>
        <v>11.85258815</v>
      </c>
      <c r="U229" s="88">
        <f>IF($F229="","",IF($E229="",T229,SUMIF(Sales!$E$7:$E$1506,$E229,Sales!$T$7:$T$1506)))</f>
        <v>11.85258815</v>
      </c>
      <c r="V229" s="49" t="str">
        <f t="shared" si="7"/>
        <v/>
      </c>
      <c r="W229" s="49" t="str">
        <f t="array" ref="W229">IF($V229="","",SUMPRODUCT((Sales!$V$7:$V$1506&lt;&gt;"")*(Sales!$E$7:$E$1506&lt;$E229))+1)</f>
        <v/>
      </c>
      <c r="X229" s="49">
        <f t="shared" si="8"/>
        <v>89</v>
      </c>
      <c r="Y229" s="49" t="str">
        <f t="shared" si="9"/>
        <v>202608-89</v>
      </c>
      <c r="AA229" s="73" t="str">
        <f>IF(Inventory!A227="","",Inventory!A227)</f>
        <v/>
      </c>
    </row>
    <row r="230" ht="14.25" customHeight="1">
      <c r="A230" s="82">
        <v>46243.0</v>
      </c>
      <c r="B230" s="83" t="s">
        <v>324</v>
      </c>
      <c r="C230" s="83" t="s">
        <v>365</v>
      </c>
      <c r="D230" s="83" t="s">
        <v>366</v>
      </c>
      <c r="E230" s="83"/>
      <c r="F230" s="83" t="s">
        <v>378</v>
      </c>
      <c r="G230" s="83" t="str">
        <f>IF($F230="","",IFERROR(VLOOKUP($F230,Inventory!$A:$B,2,FALSE),""))</f>
        <v>Drools &amp; Purepet Mixe Cat Food 500gm</v>
      </c>
      <c r="H230" s="83">
        <v>1.0</v>
      </c>
      <c r="I230" s="84">
        <f t="shared" si="2"/>
        <v>225</v>
      </c>
      <c r="J230" s="85">
        <f>IF($F230="","",IFERROR(VLOOKUP($F230,Inventory!$A:$K,11,FALSE),0))</f>
        <v>225</v>
      </c>
      <c r="K230" s="85"/>
      <c r="L230" s="85">
        <f t="shared" si="3"/>
        <v>225</v>
      </c>
      <c r="M230" s="83" t="s">
        <v>330</v>
      </c>
      <c r="N230" s="85">
        <f>IF($F230="","",IFERROR(VLOOKUP($F230,Inventory!$A:$I,9,FALSE),0))</f>
        <v>152.9310345</v>
      </c>
      <c r="O230" s="85">
        <f t="shared" si="4"/>
        <v>152.9310345</v>
      </c>
      <c r="P230" s="85">
        <f t="shared" si="5"/>
        <v>72.06896552</v>
      </c>
      <c r="Q230" s="83"/>
      <c r="R230" s="87" t="str">
        <f>IF($E230="","",IF(COUNTIF($E$7:$E230,$E230)&gt;1,"",IFERROR(VLOOKUP($E230,Orders!$A:$I,8,FALSE),"")))</f>
        <v/>
      </c>
      <c r="S230" s="87" t="str">
        <f>IF($E230="","",IF(COUNTIF($E$7:$E230,$E230)&gt;1,"",IFERROR(VLOOKUP($E230,Orders!$A:$I,9,FALSE),"")))</f>
        <v/>
      </c>
      <c r="T230" s="88">
        <f t="shared" si="6"/>
        <v>72.06896552</v>
      </c>
      <c r="U230" s="88">
        <f>IF($F230="","",IF($E230="",T230,SUMIF(Sales!$E$7:$E$1506,$E230,Sales!$T$7:$T$1506)))</f>
        <v>72.06896552</v>
      </c>
      <c r="V230" s="49" t="str">
        <f t="shared" si="7"/>
        <v/>
      </c>
      <c r="W230" s="49" t="str">
        <f t="array" ref="W230">IF($V230="","",SUMPRODUCT((Sales!$V$7:$V$1506&lt;&gt;"")*(Sales!$E$7:$E$1506&lt;$E230))+1)</f>
        <v/>
      </c>
      <c r="X230" s="49">
        <f t="shared" si="8"/>
        <v>90</v>
      </c>
      <c r="Y230" s="49" t="str">
        <f t="shared" si="9"/>
        <v>202608-90</v>
      </c>
      <c r="AA230" s="73" t="str">
        <f>IF(Inventory!A228="","",Inventory!A228)</f>
        <v/>
      </c>
    </row>
    <row r="231" ht="14.25" customHeight="1">
      <c r="A231" s="82">
        <v>46243.0</v>
      </c>
      <c r="B231" s="83" t="s">
        <v>324</v>
      </c>
      <c r="C231" s="83" t="s">
        <v>365</v>
      </c>
      <c r="D231" s="83" t="s">
        <v>366</v>
      </c>
      <c r="E231" s="83"/>
      <c r="F231" s="83" t="s">
        <v>232</v>
      </c>
      <c r="G231" s="83" t="str">
        <f>IF($F231="","",IFERROR(VLOOKUP($F231,Inventory!$A:$B,2,FALSE),""))</f>
        <v>Smart Heart Adult Cat Food Chicken &amp; Tuna [480G]</v>
      </c>
      <c r="H231" s="83">
        <v>1.0</v>
      </c>
      <c r="I231" s="84">
        <f t="shared" si="2"/>
        <v>380</v>
      </c>
      <c r="J231" s="85">
        <f>IF($F231="","",IFERROR(VLOOKUP($F231,Inventory!$A:$K,11,FALSE),0))</f>
        <v>380</v>
      </c>
      <c r="K231" s="85"/>
      <c r="L231" s="85">
        <f t="shared" si="3"/>
        <v>380</v>
      </c>
      <c r="M231" s="83" t="s">
        <v>330</v>
      </c>
      <c r="N231" s="85">
        <f>IF($F231="","",IFERROR(VLOOKUP($F231,Inventory!$A:$I,9,FALSE),0))</f>
        <v>290.2631579</v>
      </c>
      <c r="O231" s="85">
        <f t="shared" si="4"/>
        <v>290.2631579</v>
      </c>
      <c r="P231" s="85">
        <f t="shared" si="5"/>
        <v>89.73684211</v>
      </c>
      <c r="Q231" s="83"/>
      <c r="R231" s="87" t="str">
        <f>IF($E231="","",IF(COUNTIF($E$7:$E231,$E231)&gt;1,"",IFERROR(VLOOKUP($E231,Orders!$A:$I,8,FALSE),"")))</f>
        <v/>
      </c>
      <c r="S231" s="87" t="str">
        <f>IF($E231="","",IF(COUNTIF($E$7:$E231,$E231)&gt;1,"",IFERROR(VLOOKUP($E231,Orders!$A:$I,9,FALSE),"")))</f>
        <v/>
      </c>
      <c r="T231" s="88">
        <f t="shared" si="6"/>
        <v>89.73684211</v>
      </c>
      <c r="U231" s="88">
        <f>IF($F231="","",IF($E231="",T231,SUMIF(Sales!$E$7:$E$1506,$E231,Sales!$T$7:$T$1506)))</f>
        <v>89.73684211</v>
      </c>
      <c r="V231" s="49" t="str">
        <f t="shared" si="7"/>
        <v/>
      </c>
      <c r="W231" s="49" t="str">
        <f t="array" ref="W231">IF($V231="","",SUMPRODUCT((Sales!$V$7:$V$1506&lt;&gt;"")*(Sales!$E$7:$E$1506&lt;$E231))+1)</f>
        <v/>
      </c>
      <c r="X231" s="49">
        <f t="shared" si="8"/>
        <v>91</v>
      </c>
      <c r="Y231" s="49" t="str">
        <f t="shared" si="9"/>
        <v>202608-91</v>
      </c>
      <c r="AA231" s="73" t="str">
        <f>IF(Inventory!A229="","",Inventory!A229)</f>
        <v/>
      </c>
    </row>
    <row r="232" ht="14.25" customHeight="1">
      <c r="A232" s="82">
        <v>46243.0</v>
      </c>
      <c r="B232" s="83" t="s">
        <v>324</v>
      </c>
      <c r="C232" s="83" t="s">
        <v>365</v>
      </c>
      <c r="D232" s="83" t="s">
        <v>366</v>
      </c>
      <c r="E232" s="83"/>
      <c r="F232" s="83" t="s">
        <v>211</v>
      </c>
      <c r="G232" s="83" t="str">
        <f>IF($F232="","",IFERROR(VLOOKUP($F232,Inventory!$A:$B,2,FALSE),""))</f>
        <v>Smart Heart Pouch  Tuna With Chicken in Jelly</v>
      </c>
      <c r="H232" s="83">
        <v>1.0</v>
      </c>
      <c r="I232" s="84">
        <f t="shared" si="2"/>
        <v>90</v>
      </c>
      <c r="J232" s="85">
        <f>IF($F232="","",IFERROR(VLOOKUP($F232,Inventory!$A:$K,11,FALSE),0))</f>
        <v>95</v>
      </c>
      <c r="K232" s="85">
        <v>5.0</v>
      </c>
      <c r="L232" s="85">
        <f t="shared" si="3"/>
        <v>90</v>
      </c>
      <c r="M232" s="83" t="s">
        <v>330</v>
      </c>
      <c r="N232" s="85">
        <f>IF($F232="","",IFERROR(VLOOKUP($F232,Inventory!$A:$I,9,FALSE),0))</f>
        <v>71.9047619</v>
      </c>
      <c r="O232" s="85">
        <f t="shared" si="4"/>
        <v>71.9047619</v>
      </c>
      <c r="P232" s="85">
        <f t="shared" si="5"/>
        <v>18.0952381</v>
      </c>
      <c r="Q232" s="83"/>
      <c r="R232" s="87" t="str">
        <f>IF($E232="","",IF(COUNTIF($E$7:$E232,$E232)&gt;1,"",IFERROR(VLOOKUP($E232,Orders!$A:$I,8,FALSE),"")))</f>
        <v/>
      </c>
      <c r="S232" s="87" t="str">
        <f>IF($E232="","",IF(COUNTIF($E$7:$E232,$E232)&gt;1,"",IFERROR(VLOOKUP($E232,Orders!$A:$I,9,FALSE),"")))</f>
        <v/>
      </c>
      <c r="T232" s="88">
        <f t="shared" si="6"/>
        <v>18.0952381</v>
      </c>
      <c r="U232" s="88">
        <f>IF($F232="","",IF($E232="",T232,SUMIF(Sales!$E$7:$E$1506,$E232,Sales!$T$7:$T$1506)))</f>
        <v>18.0952381</v>
      </c>
      <c r="V232" s="49" t="str">
        <f t="shared" si="7"/>
        <v/>
      </c>
      <c r="W232" s="49" t="str">
        <f t="array" ref="W232">IF($V232="","",SUMPRODUCT((Sales!$V$7:$V$1506&lt;&gt;"")*(Sales!$E$7:$E$1506&lt;$E232))+1)</f>
        <v/>
      </c>
      <c r="X232" s="49">
        <f t="shared" si="8"/>
        <v>92</v>
      </c>
      <c r="Y232" s="49" t="str">
        <f t="shared" si="9"/>
        <v>202608-92</v>
      </c>
      <c r="AA232" s="73" t="str">
        <f>IF(Inventory!A230="","",Inventory!A230)</f>
        <v/>
      </c>
    </row>
    <row r="233" ht="14.25" customHeight="1">
      <c r="A233" s="82">
        <v>46243.0</v>
      </c>
      <c r="B233" s="83" t="s">
        <v>324</v>
      </c>
      <c r="C233" s="83" t="s">
        <v>365</v>
      </c>
      <c r="D233" s="83" t="s">
        <v>366</v>
      </c>
      <c r="E233" s="83"/>
      <c r="F233" s="83" t="s">
        <v>179</v>
      </c>
      <c r="G233" s="83" t="str">
        <f>IF($F233="","",IFERROR(VLOOKUP($F233,Inventory!$A:$B,2,FALSE),""))</f>
        <v>Creamy Treat 15G (Purry &amp; Hyper Paws)</v>
      </c>
      <c r="H233" s="83">
        <v>6.0</v>
      </c>
      <c r="I233" s="84">
        <f t="shared" si="2"/>
        <v>16.667</v>
      </c>
      <c r="J233" s="85">
        <f>IF($F233="","",IFERROR(VLOOKUP($F233,Inventory!$A:$K,11,FALSE),0))</f>
        <v>20</v>
      </c>
      <c r="K233" s="85">
        <v>3.333</v>
      </c>
      <c r="L233" s="85">
        <f t="shared" si="3"/>
        <v>100.002</v>
      </c>
      <c r="M233" s="83" t="s">
        <v>330</v>
      </c>
      <c r="N233" s="85">
        <f>IF($F233="","",IFERROR(VLOOKUP($F233,Inventory!$A:$I,9,FALSE),0))</f>
        <v>8.147411853</v>
      </c>
      <c r="O233" s="85">
        <f t="shared" si="4"/>
        <v>48.88447112</v>
      </c>
      <c r="P233" s="85">
        <f t="shared" si="5"/>
        <v>51.11752888</v>
      </c>
      <c r="Q233" s="83"/>
      <c r="R233" s="87" t="str">
        <f>IF($E233="","",IF(COUNTIF($E$7:$E233,$E233)&gt;1,"",IFERROR(VLOOKUP($E233,Orders!$A:$I,8,FALSE),"")))</f>
        <v/>
      </c>
      <c r="S233" s="87" t="str">
        <f>IF($E233="","",IF(COUNTIF($E$7:$E233,$E233)&gt;1,"",IFERROR(VLOOKUP($E233,Orders!$A:$I,9,FALSE),"")))</f>
        <v/>
      </c>
      <c r="T233" s="88">
        <f t="shared" si="6"/>
        <v>51.11752888</v>
      </c>
      <c r="U233" s="88">
        <f>IF($F233="","",IF($E233="",T233,SUMIF(Sales!$E$7:$E$1506,$E233,Sales!$T$7:$T$1506)))</f>
        <v>51.11752888</v>
      </c>
      <c r="V233" s="49" t="str">
        <f t="shared" si="7"/>
        <v/>
      </c>
      <c r="W233" s="49" t="str">
        <f t="array" ref="W233">IF($V233="","",SUMPRODUCT((Sales!$V$7:$V$1506&lt;&gt;"")*(Sales!$E$7:$E$1506&lt;$E233))+1)</f>
        <v/>
      </c>
      <c r="X233" s="49">
        <f t="shared" si="8"/>
        <v>93</v>
      </c>
      <c r="Y233" s="49" t="str">
        <f t="shared" si="9"/>
        <v>202608-93</v>
      </c>
      <c r="AA233" s="73" t="str">
        <f>IF(Inventory!A231="","",Inventory!A231)</f>
        <v/>
      </c>
    </row>
    <row r="234" ht="14.25" customHeight="1">
      <c r="A234" s="82">
        <v>46243.0</v>
      </c>
      <c r="B234" s="83" t="s">
        <v>324</v>
      </c>
      <c r="C234" s="83" t="s">
        <v>325</v>
      </c>
      <c r="D234" s="83" t="s">
        <v>591</v>
      </c>
      <c r="E234" s="103" t="s">
        <v>592</v>
      </c>
      <c r="F234" s="83" t="s">
        <v>256</v>
      </c>
      <c r="G234" s="83" t="str">
        <f>IF($F234="","",IFERROR(VLOOKUP($F234,Inventory!$A:$B,2,FALSE),""))</f>
        <v>Kitchen Flavor Grain Free Kitten 400G</v>
      </c>
      <c r="H234" s="83">
        <v>1.0</v>
      </c>
      <c r="I234" s="84">
        <f t="shared" si="2"/>
        <v>350</v>
      </c>
      <c r="J234" s="85">
        <f>IF($F234="","",IFERROR(VLOOKUP($F234,Inventory!$A:$K,11,FALSE),0))</f>
        <v>380</v>
      </c>
      <c r="K234" s="85">
        <v>30.0</v>
      </c>
      <c r="L234" s="85">
        <f t="shared" si="3"/>
        <v>350</v>
      </c>
      <c r="M234" s="83" t="s">
        <v>330</v>
      </c>
      <c r="N234" s="85">
        <f>IF($F234="","",IFERROR(VLOOKUP($F234,Inventory!$A:$I,9,FALSE),0))</f>
        <v>290</v>
      </c>
      <c r="O234" s="85">
        <f t="shared" si="4"/>
        <v>290</v>
      </c>
      <c r="P234" s="85">
        <f t="shared" si="5"/>
        <v>60</v>
      </c>
      <c r="Q234" s="83"/>
      <c r="R234" s="87">
        <f>IF($E234="","",IF(COUNTIF($E$7:$E234,$E234)&gt;1,"",IFERROR(VLOOKUP($E234,Orders!$A:$I,8,FALSE),"")))</f>
        <v>150</v>
      </c>
      <c r="S234" s="87">
        <f>IF($E234="","",IF(COUNTIF($E$7:$E234,$E234)&gt;1,"",IFERROR(VLOOKUP($E234,Orders!$A:$I,9,FALSE),"")))</f>
        <v>155</v>
      </c>
      <c r="T234" s="88">
        <f t="shared" si="6"/>
        <v>55</v>
      </c>
      <c r="U234" s="88">
        <f>IF($F234="","",IF($E234="",T234,SUMIF(Sales!$E$7:$E$1506,$E234,Sales!$T$7:$T$1506)))</f>
        <v>255</v>
      </c>
      <c r="V234" s="49">
        <f t="shared" si="7"/>
        <v>14</v>
      </c>
      <c r="W234" s="49">
        <f t="array" ref="W234">IF($V234="","",SUMPRODUCT((Sales!$V$7:$V$1506&lt;&gt;"")*(Sales!$E$7:$E$1506&lt;$E234))+1)</f>
        <v>14</v>
      </c>
      <c r="X234" s="49">
        <f t="shared" si="8"/>
        <v>94</v>
      </c>
      <c r="Y234" s="49" t="str">
        <f t="shared" si="9"/>
        <v>202608-94</v>
      </c>
      <c r="AA234" s="73" t="str">
        <f>IF(Inventory!A232="","",Inventory!A232)</f>
        <v/>
      </c>
    </row>
    <row r="235" ht="14.25" customHeight="1">
      <c r="A235" s="82">
        <v>46243.0</v>
      </c>
      <c r="B235" s="83" t="s">
        <v>324</v>
      </c>
      <c r="C235" s="83" t="s">
        <v>325</v>
      </c>
      <c r="D235" s="83" t="s">
        <v>591</v>
      </c>
      <c r="E235" s="103" t="s">
        <v>592</v>
      </c>
      <c r="F235" s="83" t="s">
        <v>222</v>
      </c>
      <c r="G235" s="83" t="str">
        <f>IF($F235="","",IFERROR(VLOOKUP($F235,Inventory!$A:$B,2,FALSE),""))</f>
        <v>Bengal 4in1 Shampoo &amp; Conditioner</v>
      </c>
      <c r="H235" s="83">
        <v>1.0</v>
      </c>
      <c r="I235" s="84">
        <f t="shared" si="2"/>
        <v>380</v>
      </c>
      <c r="J235" s="85">
        <f>IF($F235="","",IFERROR(VLOOKUP($F235,Inventory!$A:$K,11,FALSE),0))</f>
        <v>450</v>
      </c>
      <c r="K235" s="85">
        <v>70.0</v>
      </c>
      <c r="L235" s="85">
        <f t="shared" si="3"/>
        <v>380</v>
      </c>
      <c r="M235" s="83" t="s">
        <v>330</v>
      </c>
      <c r="N235" s="85">
        <f>IF($F235="","",IFERROR(VLOOKUP($F235,Inventory!$A:$I,9,FALSE),0))</f>
        <v>240</v>
      </c>
      <c r="O235" s="85">
        <f t="shared" si="4"/>
        <v>240</v>
      </c>
      <c r="P235" s="85">
        <f t="shared" si="5"/>
        <v>140</v>
      </c>
      <c r="Q235" s="83"/>
      <c r="R235" s="87" t="str">
        <f>IF($E235="","",IF(COUNTIF($E$7:$E235,$E235)&gt;1,"",IFERROR(VLOOKUP($E235,Orders!$A:$I,8,FALSE),"")))</f>
        <v/>
      </c>
      <c r="S235" s="87" t="str">
        <f>IF($E235="","",IF(COUNTIF($E$7:$E235,$E235)&gt;1,"",IFERROR(VLOOKUP($E235,Orders!$A:$I,9,FALSE),"")))</f>
        <v/>
      </c>
      <c r="T235" s="88">
        <f t="shared" si="6"/>
        <v>140</v>
      </c>
      <c r="U235" s="88">
        <f>IF($F235="","",IF($E235="",T235,SUMIF(Sales!$E$7:$E$1506,$E235,Sales!$T$7:$T$1506)))</f>
        <v>255</v>
      </c>
      <c r="V235" s="49" t="str">
        <f t="shared" si="7"/>
        <v/>
      </c>
      <c r="W235" s="49" t="str">
        <f t="array" ref="W235">IF($V235="","",SUMPRODUCT((Sales!$V$7:$V$1506&lt;&gt;"")*(Sales!$E$7:$E$1506&lt;$E235))+1)</f>
        <v/>
      </c>
      <c r="X235" s="49">
        <f t="shared" si="8"/>
        <v>95</v>
      </c>
      <c r="Y235" s="49" t="str">
        <f t="shared" si="9"/>
        <v>202608-95</v>
      </c>
      <c r="AA235" s="73" t="str">
        <f>IF(Inventory!A233="","",Inventory!A233)</f>
        <v/>
      </c>
    </row>
    <row r="236" ht="14.25" customHeight="1">
      <c r="A236" s="82">
        <v>46243.0</v>
      </c>
      <c r="B236" s="83" t="s">
        <v>324</v>
      </c>
      <c r="C236" s="83" t="s">
        <v>325</v>
      </c>
      <c r="D236" s="83" t="s">
        <v>591</v>
      </c>
      <c r="E236" s="103" t="s">
        <v>592</v>
      </c>
      <c r="F236" s="83" t="s">
        <v>376</v>
      </c>
      <c r="G236" s="83" t="str">
        <f>IF($F236="","",IFERROR(VLOOKUP($F236,Inventory!$A:$B,2,FALSE),""))</f>
        <v>PetMetro Cat Litter Coffee 5L</v>
      </c>
      <c r="H236" s="83">
        <v>1.0</v>
      </c>
      <c r="I236" s="84">
        <f t="shared" si="2"/>
        <v>260</v>
      </c>
      <c r="J236" s="85">
        <f>IF($F236="","",IFERROR(VLOOKUP($F236,Inventory!$A:$K,11,FALSE),0))</f>
        <v>280</v>
      </c>
      <c r="K236" s="85">
        <v>20.0</v>
      </c>
      <c r="L236" s="85">
        <f t="shared" si="3"/>
        <v>260</v>
      </c>
      <c r="M236" s="83" t="s">
        <v>330</v>
      </c>
      <c r="N236" s="85">
        <f>IF($F236="","",IFERROR(VLOOKUP($F236,Inventory!$A:$I,9,FALSE),0))</f>
        <v>200</v>
      </c>
      <c r="O236" s="85">
        <f t="shared" si="4"/>
        <v>200</v>
      </c>
      <c r="P236" s="85">
        <f t="shared" si="5"/>
        <v>60</v>
      </c>
      <c r="Q236" s="83"/>
      <c r="R236" s="87" t="str">
        <f>IF($E236="","",IF(COUNTIF($E$7:$E236,$E236)&gt;1,"",IFERROR(VLOOKUP($E236,Orders!$A:$I,8,FALSE),"")))</f>
        <v/>
      </c>
      <c r="S236" s="87" t="str">
        <f>IF($E236="","",IF(COUNTIF($E$7:$E236,$E236)&gt;1,"",IFERROR(VLOOKUP($E236,Orders!$A:$I,9,FALSE),"")))</f>
        <v/>
      </c>
      <c r="T236" s="88">
        <f t="shared" si="6"/>
        <v>60</v>
      </c>
      <c r="U236" s="88">
        <f>IF($F236="","",IF($E236="",T236,SUMIF(Sales!$E$7:$E$1506,$E236,Sales!$T$7:$T$1506)))</f>
        <v>255</v>
      </c>
      <c r="V236" s="49" t="str">
        <f t="shared" si="7"/>
        <v/>
      </c>
      <c r="W236" s="49" t="str">
        <f t="array" ref="W236">IF($V236="","",SUMPRODUCT((Sales!$V$7:$V$1506&lt;&gt;"")*(Sales!$E$7:$E$1506&lt;$E236))+1)</f>
        <v/>
      </c>
      <c r="X236" s="49">
        <f t="shared" si="8"/>
        <v>96</v>
      </c>
      <c r="Y236" s="49" t="str">
        <f t="shared" si="9"/>
        <v>202608-96</v>
      </c>
      <c r="AA236" s="73" t="str">
        <f>IF(Inventory!A234="","",Inventory!A234)</f>
        <v/>
      </c>
    </row>
    <row r="237" ht="14.25" customHeight="1">
      <c r="A237" s="82">
        <v>46243.0</v>
      </c>
      <c r="B237" s="83" t="s">
        <v>324</v>
      </c>
      <c r="C237" s="83" t="s">
        <v>365</v>
      </c>
      <c r="D237" s="83" t="s">
        <v>366</v>
      </c>
      <c r="E237" s="83"/>
      <c r="F237" s="83" t="s">
        <v>378</v>
      </c>
      <c r="G237" s="83" t="str">
        <f>IF($F237="","",IFERROR(VLOOKUP($F237,Inventory!$A:$B,2,FALSE),""))</f>
        <v>Drools &amp; Purepet Mixe Cat Food 500gm</v>
      </c>
      <c r="H237" s="83">
        <v>1.0</v>
      </c>
      <c r="I237" s="84">
        <f t="shared" si="2"/>
        <v>220</v>
      </c>
      <c r="J237" s="85">
        <f>IF($F237="","",IFERROR(VLOOKUP($F237,Inventory!$A:$K,11,FALSE),0))</f>
        <v>225</v>
      </c>
      <c r="K237" s="85">
        <v>5.0</v>
      </c>
      <c r="L237" s="85">
        <f t="shared" si="3"/>
        <v>220</v>
      </c>
      <c r="M237" s="83" t="s">
        <v>330</v>
      </c>
      <c r="N237" s="85">
        <f>IF($F237="","",IFERROR(VLOOKUP($F237,Inventory!$A:$I,9,FALSE),0))</f>
        <v>152.9310345</v>
      </c>
      <c r="O237" s="85">
        <f t="shared" si="4"/>
        <v>152.9310345</v>
      </c>
      <c r="P237" s="85">
        <f t="shared" si="5"/>
        <v>67.06896552</v>
      </c>
      <c r="Q237" s="83"/>
      <c r="R237" s="87" t="str">
        <f>IF($E237="","",IF(COUNTIF($E$7:$E237,$E237)&gt;1,"",IFERROR(VLOOKUP($E237,Orders!$A:$I,8,FALSE),"")))</f>
        <v/>
      </c>
      <c r="S237" s="87" t="str">
        <f>IF($E237="","",IF(COUNTIF($E$7:$E237,$E237)&gt;1,"",IFERROR(VLOOKUP($E237,Orders!$A:$I,9,FALSE),"")))</f>
        <v/>
      </c>
      <c r="T237" s="88">
        <f t="shared" si="6"/>
        <v>67.06896552</v>
      </c>
      <c r="U237" s="88">
        <f>IF($F237="","",IF($E237="",T237,SUMIF(Sales!$E$7:$E$1506,$E237,Sales!$T$7:$T$1506)))</f>
        <v>67.06896552</v>
      </c>
      <c r="V237" s="49" t="str">
        <f t="shared" si="7"/>
        <v/>
      </c>
      <c r="W237" s="49" t="str">
        <f t="array" ref="W237">IF($V237="","",SUMPRODUCT((Sales!$V$7:$V$1506&lt;&gt;"")*(Sales!$E$7:$E$1506&lt;$E237))+1)</f>
        <v/>
      </c>
      <c r="X237" s="49">
        <f t="shared" si="8"/>
        <v>97</v>
      </c>
      <c r="Y237" s="49" t="str">
        <f t="shared" si="9"/>
        <v>202608-97</v>
      </c>
      <c r="AA237" s="73" t="str">
        <f>IF(Inventory!A235="","",Inventory!A235)</f>
        <v/>
      </c>
    </row>
    <row r="238" ht="14.25" customHeight="1">
      <c r="A238" s="82">
        <v>46244.0</v>
      </c>
      <c r="B238" s="83" t="s">
        <v>324</v>
      </c>
      <c r="C238" s="83" t="s">
        <v>365</v>
      </c>
      <c r="D238" s="83" t="s">
        <v>366</v>
      </c>
      <c r="E238" s="83"/>
      <c r="F238" s="83" t="s">
        <v>378</v>
      </c>
      <c r="G238" s="83" t="str">
        <f>IF($F238="","",IFERROR(VLOOKUP($F238,Inventory!$A:$B,2,FALSE),""))</f>
        <v>Drools &amp; Purepet Mixe Cat Food 500gm</v>
      </c>
      <c r="H238" s="83">
        <v>2.0</v>
      </c>
      <c r="I238" s="84">
        <f t="shared" si="2"/>
        <v>200</v>
      </c>
      <c r="J238" s="85">
        <f>IF($F238="","",IFERROR(VLOOKUP($F238,Inventory!$A:$K,11,FALSE),0))</f>
        <v>225</v>
      </c>
      <c r="K238" s="85">
        <v>25.0</v>
      </c>
      <c r="L238" s="85">
        <f t="shared" si="3"/>
        <v>400</v>
      </c>
      <c r="M238" s="83" t="s">
        <v>330</v>
      </c>
      <c r="N238" s="85">
        <f>IF($F238="","",IFERROR(VLOOKUP($F238,Inventory!$A:$I,9,FALSE),0))</f>
        <v>152.9310345</v>
      </c>
      <c r="O238" s="85">
        <f t="shared" si="4"/>
        <v>305.862069</v>
      </c>
      <c r="P238" s="85">
        <f t="shared" si="5"/>
        <v>94.13793103</v>
      </c>
      <c r="Q238" s="83"/>
      <c r="R238" s="87" t="str">
        <f>IF($E238="","",IF(COUNTIF($E$7:$E238,$E238)&gt;1,"",IFERROR(VLOOKUP($E238,Orders!$A:$I,8,FALSE),"")))</f>
        <v/>
      </c>
      <c r="S238" s="87" t="str">
        <f>IF($E238="","",IF(COUNTIF($E$7:$E238,$E238)&gt;1,"",IFERROR(VLOOKUP($E238,Orders!$A:$I,9,FALSE),"")))</f>
        <v/>
      </c>
      <c r="T238" s="88">
        <f t="shared" si="6"/>
        <v>94.13793103</v>
      </c>
      <c r="U238" s="88">
        <f>IF($F238="","",IF($E238="",T238,SUMIF(Sales!$E$7:$E$1506,$E238,Sales!$T$7:$T$1506)))</f>
        <v>94.13793103</v>
      </c>
      <c r="V238" s="49" t="str">
        <f t="shared" si="7"/>
        <v/>
      </c>
      <c r="W238" s="49" t="str">
        <f t="array" ref="W238">IF($V238="","",SUMPRODUCT((Sales!$V$7:$V$1506&lt;&gt;"")*(Sales!$E$7:$E$1506&lt;$E238))+1)</f>
        <v/>
      </c>
      <c r="X238" s="49">
        <f t="shared" si="8"/>
        <v>98</v>
      </c>
      <c r="Y238" s="49" t="str">
        <f t="shared" si="9"/>
        <v>202608-98</v>
      </c>
      <c r="AA238" s="73" t="str">
        <f>IF(Inventory!A236="","",Inventory!A236)</f>
        <v/>
      </c>
    </row>
    <row r="239" ht="14.25" customHeight="1">
      <c r="A239" s="82">
        <v>46244.0</v>
      </c>
      <c r="B239" s="83" t="s">
        <v>324</v>
      </c>
      <c r="C239" s="83" t="s">
        <v>365</v>
      </c>
      <c r="D239" s="83" t="s">
        <v>366</v>
      </c>
      <c r="E239" s="83"/>
      <c r="F239" s="83" t="s">
        <v>179</v>
      </c>
      <c r="G239" s="83" t="str">
        <f>IF($F239="","",IFERROR(VLOOKUP($F239,Inventory!$A:$B,2,FALSE),""))</f>
        <v>Creamy Treat 15G (Purry &amp; Hyper Paws)</v>
      </c>
      <c r="H239" s="83">
        <v>5.0</v>
      </c>
      <c r="I239" s="84">
        <f t="shared" si="2"/>
        <v>20</v>
      </c>
      <c r="J239" s="85">
        <f>IF($F239="","",IFERROR(VLOOKUP($F239,Inventory!$A:$K,11,FALSE),0))</f>
        <v>20</v>
      </c>
      <c r="K239" s="85"/>
      <c r="L239" s="85">
        <f t="shared" si="3"/>
        <v>100</v>
      </c>
      <c r="M239" s="83" t="s">
        <v>330</v>
      </c>
      <c r="N239" s="85">
        <f>IF($F239="","",IFERROR(VLOOKUP($F239,Inventory!$A:$I,9,FALSE),0))</f>
        <v>8.147411853</v>
      </c>
      <c r="O239" s="85">
        <f t="shared" si="4"/>
        <v>40.73705926</v>
      </c>
      <c r="P239" s="85">
        <f t="shared" si="5"/>
        <v>59.26294074</v>
      </c>
      <c r="Q239" s="83"/>
      <c r="R239" s="87" t="str">
        <f>IF($E239="","",IF(COUNTIF($E$7:$E239,$E239)&gt;1,"",IFERROR(VLOOKUP($E239,Orders!$A:$I,8,FALSE),"")))</f>
        <v/>
      </c>
      <c r="S239" s="87" t="str">
        <f>IF($E239="","",IF(COUNTIF($E$7:$E239,$E239)&gt;1,"",IFERROR(VLOOKUP($E239,Orders!$A:$I,9,FALSE),"")))</f>
        <v/>
      </c>
      <c r="T239" s="88">
        <f t="shared" si="6"/>
        <v>59.26294074</v>
      </c>
      <c r="U239" s="88">
        <f>IF($F239="","",IF($E239="",T239,SUMIF(Sales!$E$7:$E$1506,$E239,Sales!$T$7:$T$1506)))</f>
        <v>59.26294074</v>
      </c>
      <c r="V239" s="49" t="str">
        <f t="shared" si="7"/>
        <v/>
      </c>
      <c r="W239" s="49" t="str">
        <f t="array" ref="W239">IF($V239="","",SUMPRODUCT((Sales!$V$7:$V$1506&lt;&gt;"")*(Sales!$E$7:$E$1506&lt;$E239))+1)</f>
        <v/>
      </c>
      <c r="X239" s="49">
        <f t="shared" si="8"/>
        <v>99</v>
      </c>
      <c r="Y239" s="49" t="str">
        <f t="shared" si="9"/>
        <v>202608-99</v>
      </c>
      <c r="AA239" s="73" t="str">
        <f>IF(Inventory!A237="","",Inventory!A237)</f>
        <v/>
      </c>
    </row>
    <row r="240" ht="14.25" customHeight="1">
      <c r="A240" s="82">
        <v>46244.0</v>
      </c>
      <c r="B240" s="83" t="s">
        <v>324</v>
      </c>
      <c r="C240" s="83" t="s">
        <v>365</v>
      </c>
      <c r="D240" s="83" t="s">
        <v>366</v>
      </c>
      <c r="E240" s="83"/>
      <c r="F240" s="83" t="s">
        <v>179</v>
      </c>
      <c r="G240" s="83" t="str">
        <f>IF($F240="","",IFERROR(VLOOKUP($F240,Inventory!$A:$B,2,FALSE),""))</f>
        <v>Creamy Treat 15G (Purry &amp; Hyper Paws)</v>
      </c>
      <c r="H240" s="83">
        <v>1.0</v>
      </c>
      <c r="I240" s="84">
        <f t="shared" si="2"/>
        <v>20</v>
      </c>
      <c r="J240" s="85">
        <f>IF($F240="","",IFERROR(VLOOKUP($F240,Inventory!$A:$K,11,FALSE),0))</f>
        <v>20</v>
      </c>
      <c r="K240" s="85"/>
      <c r="L240" s="85">
        <f t="shared" si="3"/>
        <v>20</v>
      </c>
      <c r="M240" s="83" t="s">
        <v>330</v>
      </c>
      <c r="N240" s="85">
        <f>IF($F240="","",IFERROR(VLOOKUP($F240,Inventory!$A:$I,9,FALSE),0))</f>
        <v>8.147411853</v>
      </c>
      <c r="O240" s="85">
        <f t="shared" si="4"/>
        <v>8.147411853</v>
      </c>
      <c r="P240" s="85">
        <f t="shared" si="5"/>
        <v>11.85258815</v>
      </c>
      <c r="Q240" s="83"/>
      <c r="R240" s="87" t="str">
        <f>IF($E240="","",IF(COUNTIF($E$7:$E240,$E240)&gt;1,"",IFERROR(VLOOKUP($E240,Orders!$A:$I,8,FALSE),"")))</f>
        <v/>
      </c>
      <c r="S240" s="87" t="str">
        <f>IF($E240="","",IF(COUNTIF($E$7:$E240,$E240)&gt;1,"",IFERROR(VLOOKUP($E240,Orders!$A:$I,9,FALSE),"")))</f>
        <v/>
      </c>
      <c r="T240" s="88">
        <f t="shared" si="6"/>
        <v>11.85258815</v>
      </c>
      <c r="U240" s="88">
        <f>IF($F240="","",IF($E240="",T240,SUMIF(Sales!$E$7:$E$1506,$E240,Sales!$T$7:$T$1506)))</f>
        <v>11.85258815</v>
      </c>
      <c r="V240" s="49" t="str">
        <f t="shared" si="7"/>
        <v/>
      </c>
      <c r="W240" s="49" t="str">
        <f t="array" ref="W240">IF($V240="","",SUMPRODUCT((Sales!$V$7:$V$1506&lt;&gt;"")*(Sales!$E$7:$E$1506&lt;$E240))+1)</f>
        <v/>
      </c>
      <c r="X240" s="49">
        <f t="shared" si="8"/>
        <v>100</v>
      </c>
      <c r="Y240" s="49" t="str">
        <f t="shared" si="9"/>
        <v>202608-100</v>
      </c>
      <c r="AA240" s="73" t="str">
        <f>IF(Inventory!A238="","",Inventory!A238)</f>
        <v/>
      </c>
    </row>
    <row r="241" ht="14.25" customHeight="1">
      <c r="A241" s="82">
        <v>46244.0</v>
      </c>
      <c r="B241" s="83" t="s">
        <v>324</v>
      </c>
      <c r="C241" s="83" t="s">
        <v>365</v>
      </c>
      <c r="D241" s="83" t="s">
        <v>366</v>
      </c>
      <c r="E241" s="83"/>
      <c r="F241" s="83" t="s">
        <v>179</v>
      </c>
      <c r="G241" s="83" t="str">
        <f>IF($F241="","",IFERROR(VLOOKUP($F241,Inventory!$A:$B,2,FALSE),""))</f>
        <v>Creamy Treat 15G (Purry &amp; Hyper Paws)</v>
      </c>
      <c r="H241" s="83">
        <v>10.0</v>
      </c>
      <c r="I241" s="84">
        <f t="shared" si="2"/>
        <v>15</v>
      </c>
      <c r="J241" s="85">
        <f>IF($F241="","",IFERROR(VLOOKUP($F241,Inventory!$A:$K,11,FALSE),0))</f>
        <v>20</v>
      </c>
      <c r="K241" s="85">
        <v>5.0</v>
      </c>
      <c r="L241" s="85">
        <f t="shared" si="3"/>
        <v>150</v>
      </c>
      <c r="M241" s="83" t="s">
        <v>330</v>
      </c>
      <c r="N241" s="85">
        <f>IF($F241="","",IFERROR(VLOOKUP($F241,Inventory!$A:$I,9,FALSE),0))</f>
        <v>8.147411853</v>
      </c>
      <c r="O241" s="85">
        <f t="shared" si="4"/>
        <v>81.47411853</v>
      </c>
      <c r="P241" s="85">
        <f t="shared" si="5"/>
        <v>68.52588147</v>
      </c>
      <c r="Q241" s="83"/>
      <c r="R241" s="87" t="str">
        <f>IF($E241="","",IF(COUNTIF($E$7:$E241,$E241)&gt;1,"",IFERROR(VLOOKUP($E241,Orders!$A:$I,8,FALSE),"")))</f>
        <v/>
      </c>
      <c r="S241" s="87" t="str">
        <f>IF($E241="","",IF(COUNTIF($E$7:$E241,$E241)&gt;1,"",IFERROR(VLOOKUP($E241,Orders!$A:$I,9,FALSE),"")))</f>
        <v/>
      </c>
      <c r="T241" s="88">
        <f t="shared" si="6"/>
        <v>68.52588147</v>
      </c>
      <c r="U241" s="88">
        <f>IF($F241="","",IF($E241="",T241,SUMIF(Sales!$E$7:$E$1506,$E241,Sales!$T$7:$T$1506)))</f>
        <v>68.52588147</v>
      </c>
      <c r="V241" s="49" t="str">
        <f t="shared" si="7"/>
        <v/>
      </c>
      <c r="W241" s="49" t="str">
        <f t="array" ref="W241">IF($V241="","",SUMPRODUCT((Sales!$V$7:$V$1506&lt;&gt;"")*(Sales!$E$7:$E$1506&lt;$E241))+1)</f>
        <v/>
      </c>
      <c r="X241" s="49">
        <f t="shared" si="8"/>
        <v>101</v>
      </c>
      <c r="Y241" s="49" t="str">
        <f t="shared" si="9"/>
        <v>202608-101</v>
      </c>
      <c r="AA241" s="73" t="str">
        <f>IF(Inventory!A239="","",Inventory!A239)</f>
        <v/>
      </c>
    </row>
    <row r="242" ht="14.25" customHeight="1">
      <c r="A242" s="82">
        <v>46244.0</v>
      </c>
      <c r="B242" s="83" t="s">
        <v>324</v>
      </c>
      <c r="C242" s="83" t="s">
        <v>365</v>
      </c>
      <c r="D242" s="83" t="s">
        <v>366</v>
      </c>
      <c r="E242" s="83"/>
      <c r="F242" s="83" t="s">
        <v>354</v>
      </c>
      <c r="G242" s="83" t="str">
        <f>IF($F242="","",IFERROR(VLOOKUP($F242,Inventory!$A:$B,2,FALSE),""))</f>
        <v>Cat Food Single Bowl Steel Small</v>
      </c>
      <c r="H242" s="83">
        <v>1.0</v>
      </c>
      <c r="I242" s="84">
        <f t="shared" si="2"/>
        <v>200</v>
      </c>
      <c r="J242" s="85">
        <f>IF($F242="","",IFERROR(VLOOKUP($F242,Inventory!$A:$K,11,FALSE),0))</f>
        <v>250</v>
      </c>
      <c r="K242" s="85">
        <v>50.0</v>
      </c>
      <c r="L242" s="85">
        <f t="shared" si="3"/>
        <v>200</v>
      </c>
      <c r="M242" s="83" t="s">
        <v>330</v>
      </c>
      <c r="N242" s="85">
        <f>IF($F242="","",IFERROR(VLOOKUP($F242,Inventory!$A:$I,9,FALSE),0))</f>
        <v>175</v>
      </c>
      <c r="O242" s="85">
        <f t="shared" si="4"/>
        <v>175</v>
      </c>
      <c r="P242" s="85">
        <f t="shared" si="5"/>
        <v>25</v>
      </c>
      <c r="Q242" s="83"/>
      <c r="R242" s="87" t="str">
        <f>IF($E242="","",IF(COUNTIF($E$7:$E242,$E242)&gt;1,"",IFERROR(VLOOKUP($E242,Orders!$A:$I,8,FALSE),"")))</f>
        <v/>
      </c>
      <c r="S242" s="87" t="str">
        <f>IF($E242="","",IF(COUNTIF($E$7:$E242,$E242)&gt;1,"",IFERROR(VLOOKUP($E242,Orders!$A:$I,9,FALSE),"")))</f>
        <v/>
      </c>
      <c r="T242" s="88">
        <f t="shared" si="6"/>
        <v>25</v>
      </c>
      <c r="U242" s="88">
        <f>IF($F242="","",IF($E242="",T242,SUMIF(Sales!$E$7:$E$1506,$E242,Sales!$T$7:$T$1506)))</f>
        <v>25</v>
      </c>
      <c r="V242" s="49" t="str">
        <f t="shared" si="7"/>
        <v/>
      </c>
      <c r="W242" s="49" t="str">
        <f t="array" ref="W242">IF($V242="","",SUMPRODUCT((Sales!$V$7:$V$1506&lt;&gt;"")*(Sales!$E$7:$E$1506&lt;$E242))+1)</f>
        <v/>
      </c>
      <c r="X242" s="49">
        <f t="shared" si="8"/>
        <v>102</v>
      </c>
      <c r="Y242" s="49" t="str">
        <f t="shared" si="9"/>
        <v>202608-102</v>
      </c>
      <c r="AA242" s="73" t="str">
        <f>IF(Inventory!A240="","",Inventory!A240)</f>
        <v/>
      </c>
    </row>
    <row r="243" ht="14.25" customHeight="1">
      <c r="A243" s="82">
        <v>46244.0</v>
      </c>
      <c r="B243" s="83" t="s">
        <v>324</v>
      </c>
      <c r="C243" s="83" t="s">
        <v>365</v>
      </c>
      <c r="D243" s="83" t="s">
        <v>366</v>
      </c>
      <c r="E243" s="83"/>
      <c r="F243" s="83" t="s">
        <v>376</v>
      </c>
      <c r="G243" s="83" t="str">
        <f>IF($F243="","",IFERROR(VLOOKUP($F243,Inventory!$A:$B,2,FALSE),""))</f>
        <v>PetMetro Cat Litter Coffee 5L</v>
      </c>
      <c r="H243" s="83">
        <v>1.0</v>
      </c>
      <c r="I243" s="84">
        <f t="shared" si="2"/>
        <v>250</v>
      </c>
      <c r="J243" s="85">
        <f>IF($F243="","",IFERROR(VLOOKUP($F243,Inventory!$A:$K,11,FALSE),0))</f>
        <v>280</v>
      </c>
      <c r="K243" s="85">
        <v>30.0</v>
      </c>
      <c r="L243" s="85">
        <f t="shared" si="3"/>
        <v>250</v>
      </c>
      <c r="M243" s="83" t="s">
        <v>330</v>
      </c>
      <c r="N243" s="85">
        <f>IF($F243="","",IFERROR(VLOOKUP($F243,Inventory!$A:$I,9,FALSE),0))</f>
        <v>200</v>
      </c>
      <c r="O243" s="85">
        <f t="shared" si="4"/>
        <v>200</v>
      </c>
      <c r="P243" s="85">
        <f t="shared" si="5"/>
        <v>50</v>
      </c>
      <c r="Q243" s="83"/>
      <c r="R243" s="87" t="str">
        <f>IF($E243="","",IF(COUNTIF($E$7:$E243,$E243)&gt;1,"",IFERROR(VLOOKUP($E243,Orders!$A:$I,8,FALSE),"")))</f>
        <v/>
      </c>
      <c r="S243" s="87" t="str">
        <f>IF($E243="","",IF(COUNTIF($E$7:$E243,$E243)&gt;1,"",IFERROR(VLOOKUP($E243,Orders!$A:$I,9,FALSE),"")))</f>
        <v/>
      </c>
      <c r="T243" s="88">
        <f t="shared" si="6"/>
        <v>50</v>
      </c>
      <c r="U243" s="88">
        <f>IF($F243="","",IF($E243="",T243,SUMIF(Sales!$E$7:$E$1506,$E243,Sales!$T$7:$T$1506)))</f>
        <v>50</v>
      </c>
      <c r="V243" s="49" t="str">
        <f t="shared" si="7"/>
        <v/>
      </c>
      <c r="W243" s="49" t="str">
        <f t="array" ref="W243">IF($V243="","",SUMPRODUCT((Sales!$V$7:$V$1506&lt;&gt;"")*(Sales!$E$7:$E$1506&lt;$E243))+1)</f>
        <v/>
      </c>
      <c r="X243" s="49">
        <f t="shared" si="8"/>
        <v>103</v>
      </c>
      <c r="Y243" s="49" t="str">
        <f t="shared" si="9"/>
        <v>202608-103</v>
      </c>
      <c r="AA243" s="73" t="str">
        <f>IF(Inventory!A241="","",Inventory!A241)</f>
        <v/>
      </c>
    </row>
    <row r="244" ht="14.25" customHeight="1">
      <c r="A244" s="82">
        <v>46244.0</v>
      </c>
      <c r="B244" s="83" t="s">
        <v>324</v>
      </c>
      <c r="C244" s="83" t="s">
        <v>365</v>
      </c>
      <c r="D244" s="83" t="s">
        <v>366</v>
      </c>
      <c r="E244" s="83"/>
      <c r="F244" s="83" t="s">
        <v>378</v>
      </c>
      <c r="G244" s="83" t="str">
        <f>IF($F244="","",IFERROR(VLOOKUP($F244,Inventory!$A:$B,2,FALSE),""))</f>
        <v>Drools &amp; Purepet Mixe Cat Food 500gm</v>
      </c>
      <c r="H244" s="83">
        <v>1.0</v>
      </c>
      <c r="I244" s="84">
        <f t="shared" si="2"/>
        <v>200</v>
      </c>
      <c r="J244" s="85">
        <f>IF($F244="","",IFERROR(VLOOKUP($F244,Inventory!$A:$K,11,FALSE),0))</f>
        <v>225</v>
      </c>
      <c r="K244" s="85">
        <v>25.0</v>
      </c>
      <c r="L244" s="85">
        <f t="shared" si="3"/>
        <v>200</v>
      </c>
      <c r="M244" s="83" t="s">
        <v>330</v>
      </c>
      <c r="N244" s="85">
        <f>IF($F244="","",IFERROR(VLOOKUP($F244,Inventory!$A:$I,9,FALSE),0))</f>
        <v>152.9310345</v>
      </c>
      <c r="O244" s="85">
        <f t="shared" si="4"/>
        <v>152.9310345</v>
      </c>
      <c r="P244" s="85">
        <f t="shared" si="5"/>
        <v>47.06896552</v>
      </c>
      <c r="Q244" s="83"/>
      <c r="R244" s="87" t="str">
        <f>IF($E244="","",IF(COUNTIF($E$7:$E244,$E244)&gt;1,"",IFERROR(VLOOKUP($E244,Orders!$A:$I,8,FALSE),"")))</f>
        <v/>
      </c>
      <c r="S244" s="87" t="str">
        <f>IF($E244="","",IF(COUNTIF($E$7:$E244,$E244)&gt;1,"",IFERROR(VLOOKUP($E244,Orders!$A:$I,9,FALSE),"")))</f>
        <v/>
      </c>
      <c r="T244" s="88">
        <f t="shared" si="6"/>
        <v>47.06896552</v>
      </c>
      <c r="U244" s="88">
        <f>IF($F244="","",IF($E244="",T244,SUMIF(Sales!$E$7:$E$1506,$E244,Sales!$T$7:$T$1506)))</f>
        <v>47.06896552</v>
      </c>
      <c r="V244" s="49" t="str">
        <f t="shared" si="7"/>
        <v/>
      </c>
      <c r="W244" s="49" t="str">
        <f t="array" ref="W244">IF($V244="","",SUMPRODUCT((Sales!$V$7:$V$1506&lt;&gt;"")*(Sales!$E$7:$E$1506&lt;$E244))+1)</f>
        <v/>
      </c>
      <c r="X244" s="49">
        <f t="shared" si="8"/>
        <v>104</v>
      </c>
      <c r="Y244" s="49" t="str">
        <f t="shared" si="9"/>
        <v>202608-104</v>
      </c>
      <c r="AA244" s="73" t="str">
        <f>IF(Inventory!A242="","",Inventory!A242)</f>
        <v/>
      </c>
    </row>
    <row r="245" ht="14.25" customHeight="1">
      <c r="A245" s="82">
        <v>46244.0</v>
      </c>
      <c r="B245" s="83" t="s">
        <v>324</v>
      </c>
      <c r="C245" s="83" t="s">
        <v>365</v>
      </c>
      <c r="D245" s="83" t="s">
        <v>366</v>
      </c>
      <c r="E245" s="83"/>
      <c r="F245" s="83" t="s">
        <v>179</v>
      </c>
      <c r="G245" s="83" t="str">
        <f>IF($F245="","",IFERROR(VLOOKUP($F245,Inventory!$A:$B,2,FALSE),""))</f>
        <v>Creamy Treat 15G (Purry &amp; Hyper Paws)</v>
      </c>
      <c r="H245" s="83">
        <v>2.0</v>
      </c>
      <c r="I245" s="84">
        <f t="shared" si="2"/>
        <v>20</v>
      </c>
      <c r="J245" s="85">
        <f>IF($F245="","",IFERROR(VLOOKUP($F245,Inventory!$A:$K,11,FALSE),0))</f>
        <v>20</v>
      </c>
      <c r="K245" s="85"/>
      <c r="L245" s="85">
        <f t="shared" si="3"/>
        <v>40</v>
      </c>
      <c r="M245" s="83" t="s">
        <v>330</v>
      </c>
      <c r="N245" s="85">
        <f>IF($F245="","",IFERROR(VLOOKUP($F245,Inventory!$A:$I,9,FALSE),0))</f>
        <v>8.147411853</v>
      </c>
      <c r="O245" s="85">
        <f t="shared" si="4"/>
        <v>16.29482371</v>
      </c>
      <c r="P245" s="85">
        <f t="shared" si="5"/>
        <v>23.70517629</v>
      </c>
      <c r="Q245" s="83"/>
      <c r="R245" s="87" t="str">
        <f>IF($E245="","",IF(COUNTIF($E$7:$E245,$E245)&gt;1,"",IFERROR(VLOOKUP($E245,Orders!$A:$I,8,FALSE),"")))</f>
        <v/>
      </c>
      <c r="S245" s="87" t="str">
        <f>IF($E245="","",IF(COUNTIF($E$7:$E245,$E245)&gt;1,"",IFERROR(VLOOKUP($E245,Orders!$A:$I,9,FALSE),"")))</f>
        <v/>
      </c>
      <c r="T245" s="88">
        <f t="shared" si="6"/>
        <v>23.70517629</v>
      </c>
      <c r="U245" s="88">
        <f>IF($F245="","",IF($E245="",T245,SUMIF(Sales!$E$7:$E$1506,$E245,Sales!$T$7:$T$1506)))</f>
        <v>23.70517629</v>
      </c>
      <c r="V245" s="49" t="str">
        <f t="shared" si="7"/>
        <v/>
      </c>
      <c r="W245" s="49" t="str">
        <f t="array" ref="W245">IF($V245="","",SUMPRODUCT((Sales!$V$7:$V$1506&lt;&gt;"")*(Sales!$E$7:$E$1506&lt;$E245))+1)</f>
        <v/>
      </c>
      <c r="X245" s="49">
        <f t="shared" si="8"/>
        <v>105</v>
      </c>
      <c r="Y245" s="49" t="str">
        <f t="shared" si="9"/>
        <v>202608-105</v>
      </c>
      <c r="AA245" s="73" t="str">
        <f>IF(Inventory!A243="","",Inventory!A243)</f>
        <v/>
      </c>
    </row>
    <row r="246" ht="14.25" customHeight="1">
      <c r="A246" s="82">
        <v>46245.0</v>
      </c>
      <c r="B246" s="83" t="s">
        <v>324</v>
      </c>
      <c r="C246" s="83" t="s">
        <v>365</v>
      </c>
      <c r="D246" s="83" t="s">
        <v>366</v>
      </c>
      <c r="E246" s="83"/>
      <c r="F246" s="83" t="s">
        <v>211</v>
      </c>
      <c r="G246" s="83" t="str">
        <f>IF($F246="","",IFERROR(VLOOKUP($F246,Inventory!$A:$B,2,FALSE),""))</f>
        <v>Smart Heart Pouch  Tuna With Chicken in Jelly</v>
      </c>
      <c r="H246" s="83">
        <v>1.0</v>
      </c>
      <c r="I246" s="84">
        <f t="shared" si="2"/>
        <v>90</v>
      </c>
      <c r="J246" s="85">
        <f>IF($F246="","",IFERROR(VLOOKUP($F246,Inventory!$A:$K,11,FALSE),0))</f>
        <v>95</v>
      </c>
      <c r="K246" s="85">
        <v>5.0</v>
      </c>
      <c r="L246" s="85">
        <f t="shared" si="3"/>
        <v>90</v>
      </c>
      <c r="M246" s="83" t="s">
        <v>330</v>
      </c>
      <c r="N246" s="85">
        <f>IF($F246="","",IFERROR(VLOOKUP($F246,Inventory!$A:$I,9,FALSE),0))</f>
        <v>71.9047619</v>
      </c>
      <c r="O246" s="85">
        <f t="shared" si="4"/>
        <v>71.9047619</v>
      </c>
      <c r="P246" s="85">
        <f t="shared" si="5"/>
        <v>18.0952381</v>
      </c>
      <c r="Q246" s="83"/>
      <c r="R246" s="87" t="str">
        <f>IF($E246="","",IF(COUNTIF($E$7:$E246,$E246)&gt;1,"",IFERROR(VLOOKUP($E246,Orders!$A:$I,8,FALSE),"")))</f>
        <v/>
      </c>
      <c r="S246" s="87" t="str">
        <f>IF($E246="","",IF(COUNTIF($E$7:$E246,$E246)&gt;1,"",IFERROR(VLOOKUP($E246,Orders!$A:$I,9,FALSE),"")))</f>
        <v/>
      </c>
      <c r="T246" s="88">
        <f t="shared" si="6"/>
        <v>18.0952381</v>
      </c>
      <c r="U246" s="88">
        <f>IF($F246="","",IF($E246="",T246,SUMIF(Sales!$E$7:$E$1506,$E246,Sales!$T$7:$T$1506)))</f>
        <v>18.0952381</v>
      </c>
      <c r="V246" s="49" t="str">
        <f t="shared" si="7"/>
        <v/>
      </c>
      <c r="W246" s="49" t="str">
        <f t="array" ref="W246">IF($V246="","",SUMPRODUCT((Sales!$V$7:$V$1506&lt;&gt;"")*(Sales!$E$7:$E$1506&lt;$E246))+1)</f>
        <v/>
      </c>
      <c r="X246" s="49">
        <f t="shared" si="8"/>
        <v>106</v>
      </c>
      <c r="Y246" s="49" t="str">
        <f t="shared" si="9"/>
        <v>202608-106</v>
      </c>
      <c r="AA246" s="73" t="str">
        <f>IF(Inventory!A244="","",Inventory!A244)</f>
        <v/>
      </c>
    </row>
    <row r="247" ht="14.25" customHeight="1">
      <c r="A247" s="82">
        <v>46245.0</v>
      </c>
      <c r="B247" s="83" t="s">
        <v>324</v>
      </c>
      <c r="C247" s="83" t="s">
        <v>365</v>
      </c>
      <c r="D247" s="83" t="s">
        <v>366</v>
      </c>
      <c r="E247" s="83"/>
      <c r="F247" s="83" t="s">
        <v>179</v>
      </c>
      <c r="G247" s="83" t="str">
        <f>IF($F247="","",IFERROR(VLOOKUP($F247,Inventory!$A:$B,2,FALSE),""))</f>
        <v>Creamy Treat 15G (Purry &amp; Hyper Paws)</v>
      </c>
      <c r="H247" s="83">
        <v>2.0</v>
      </c>
      <c r="I247" s="84">
        <f t="shared" si="2"/>
        <v>20</v>
      </c>
      <c r="J247" s="85">
        <f>IF($F247="","",IFERROR(VLOOKUP($F247,Inventory!$A:$K,11,FALSE),0))</f>
        <v>20</v>
      </c>
      <c r="K247" s="85"/>
      <c r="L247" s="85">
        <f t="shared" si="3"/>
        <v>40</v>
      </c>
      <c r="M247" s="83" t="s">
        <v>330</v>
      </c>
      <c r="N247" s="85">
        <f>IF($F247="","",IFERROR(VLOOKUP($F247,Inventory!$A:$I,9,FALSE),0))</f>
        <v>8.147411853</v>
      </c>
      <c r="O247" s="85">
        <f t="shared" si="4"/>
        <v>16.29482371</v>
      </c>
      <c r="P247" s="85">
        <f t="shared" si="5"/>
        <v>23.70517629</v>
      </c>
      <c r="Q247" s="83"/>
      <c r="R247" s="87" t="str">
        <f>IF($E247="","",IF(COUNTIF($E$7:$E247,$E247)&gt;1,"",IFERROR(VLOOKUP($E247,Orders!$A:$I,8,FALSE),"")))</f>
        <v/>
      </c>
      <c r="S247" s="87" t="str">
        <f>IF($E247="","",IF(COUNTIF($E$7:$E247,$E247)&gt;1,"",IFERROR(VLOOKUP($E247,Orders!$A:$I,9,FALSE),"")))</f>
        <v/>
      </c>
      <c r="T247" s="88">
        <f t="shared" si="6"/>
        <v>23.70517629</v>
      </c>
      <c r="U247" s="88">
        <f>IF($F247="","",IF($E247="",T247,SUMIF(Sales!$E$7:$E$1506,$E247,Sales!$T$7:$T$1506)))</f>
        <v>23.70517629</v>
      </c>
      <c r="V247" s="49" t="str">
        <f t="shared" si="7"/>
        <v/>
      </c>
      <c r="W247" s="49" t="str">
        <f t="array" ref="W247">IF($V247="","",SUMPRODUCT((Sales!$V$7:$V$1506&lt;&gt;"")*(Sales!$E$7:$E$1506&lt;$E247))+1)</f>
        <v/>
      </c>
      <c r="X247" s="49">
        <f t="shared" si="8"/>
        <v>107</v>
      </c>
      <c r="Y247" s="49" t="str">
        <f t="shared" si="9"/>
        <v>202608-107</v>
      </c>
      <c r="AA247" s="73" t="str">
        <f>IF(Inventory!A245="","",Inventory!A245)</f>
        <v/>
      </c>
    </row>
    <row r="248" ht="14.25" customHeight="1">
      <c r="A248" s="82">
        <v>46245.0</v>
      </c>
      <c r="B248" s="83" t="s">
        <v>324</v>
      </c>
      <c r="C248" s="83" t="s">
        <v>365</v>
      </c>
      <c r="D248" s="83" t="s">
        <v>584</v>
      </c>
      <c r="E248" s="103" t="s">
        <v>593</v>
      </c>
      <c r="F248" s="83" t="s">
        <v>262</v>
      </c>
      <c r="G248" s="83" t="str">
        <f>IF($F248="","",IFERROR(VLOOKUP($F248,Inventory!$A:$B,2,FALSE),""))</f>
        <v>Kitchen Flavor Pate Delight</v>
      </c>
      <c r="H248" s="83">
        <v>4.0</v>
      </c>
      <c r="I248" s="84">
        <f t="shared" si="2"/>
        <v>140</v>
      </c>
      <c r="J248" s="85">
        <f>IF($F248="","",IFERROR(VLOOKUP($F248,Inventory!$A:$K,11,FALSE),0))</f>
        <v>150</v>
      </c>
      <c r="K248" s="85">
        <v>10.0</v>
      </c>
      <c r="L248" s="85">
        <f t="shared" si="3"/>
        <v>560</v>
      </c>
      <c r="M248" s="83" t="s">
        <v>330</v>
      </c>
      <c r="N248" s="85">
        <f>IF($F248="","",IFERROR(VLOOKUP($F248,Inventory!$A:$I,9,FALSE),0))</f>
        <v>110</v>
      </c>
      <c r="O248" s="85">
        <f t="shared" si="4"/>
        <v>440</v>
      </c>
      <c r="P248" s="85">
        <f t="shared" si="5"/>
        <v>120</v>
      </c>
      <c r="Q248" s="83"/>
      <c r="R248" s="87" t="str">
        <f>IF($E248="","",IF(COUNTIF($E$7:$E248,$E248)&gt;1,"",IFERROR(VLOOKUP($E248,Orders!$A:$I,8,FALSE),"")))</f>
        <v/>
      </c>
      <c r="S248" s="87" t="str">
        <f>IF($E248="","",IF(COUNTIF($E$7:$E248,$E248)&gt;1,"",IFERROR(VLOOKUP($E248,Orders!$A:$I,9,FALSE),"")))</f>
        <v/>
      </c>
      <c r="T248" s="88">
        <f t="shared" si="6"/>
        <v>120</v>
      </c>
      <c r="U248" s="88">
        <f>IF($F248="","",IF($E248="",T248,SUMIF(Sales!$E$7:$E$1506,$E248,Sales!$T$7:$T$1506)))</f>
        <v>120</v>
      </c>
      <c r="V248" s="49" t="str">
        <f t="shared" si="7"/>
        <v/>
      </c>
      <c r="W248" s="49" t="str">
        <f t="array" ref="W248">IF($V248="","",SUMPRODUCT((Sales!$V$7:$V$1506&lt;&gt;"")*(Sales!$E$7:$E$1506&lt;$E248))+1)</f>
        <v/>
      </c>
      <c r="X248" s="49">
        <f t="shared" si="8"/>
        <v>108</v>
      </c>
      <c r="Y248" s="49" t="str">
        <f t="shared" si="9"/>
        <v>202608-108</v>
      </c>
      <c r="AA248" s="73" t="str">
        <f>IF(Inventory!A246="","",Inventory!A246)</f>
        <v/>
      </c>
    </row>
    <row r="249" ht="14.25" customHeight="1">
      <c r="A249" s="82">
        <v>46245.0</v>
      </c>
      <c r="B249" s="83" t="s">
        <v>324</v>
      </c>
      <c r="C249" s="83" t="s">
        <v>365</v>
      </c>
      <c r="D249" s="83" t="s">
        <v>366</v>
      </c>
      <c r="E249" s="83"/>
      <c r="F249" s="83" t="s">
        <v>258</v>
      </c>
      <c r="G249" s="83" t="str">
        <f>IF($F249="","",IFERROR(VLOOKUP($F249,Inventory!$A:$B,2,FALSE),""))</f>
        <v>Kitchen Flavor Grain Free Adult 400G</v>
      </c>
      <c r="H249" s="83">
        <v>1.0</v>
      </c>
      <c r="I249" s="84">
        <f t="shared" si="2"/>
        <v>360</v>
      </c>
      <c r="J249" s="85">
        <f>IF($F249="","",IFERROR(VLOOKUP($F249,Inventory!$A:$K,11,FALSE),0))</f>
        <v>380</v>
      </c>
      <c r="K249" s="85">
        <v>20.0</v>
      </c>
      <c r="L249" s="85">
        <f t="shared" si="3"/>
        <v>360</v>
      </c>
      <c r="M249" s="83" t="s">
        <v>330</v>
      </c>
      <c r="N249" s="85">
        <f>IF($F249="","",IFERROR(VLOOKUP($F249,Inventory!$A:$I,9,FALSE),0))</f>
        <v>290</v>
      </c>
      <c r="O249" s="85">
        <f t="shared" si="4"/>
        <v>290</v>
      </c>
      <c r="P249" s="85">
        <f t="shared" si="5"/>
        <v>70</v>
      </c>
      <c r="Q249" s="83"/>
      <c r="R249" s="87" t="str">
        <f>IF($E249="","",IF(COUNTIF($E$7:$E249,$E249)&gt;1,"",IFERROR(VLOOKUP($E249,Orders!$A:$I,8,FALSE),"")))</f>
        <v/>
      </c>
      <c r="S249" s="87" t="str">
        <f>IF($E249="","",IF(COUNTIF($E$7:$E249,$E249)&gt;1,"",IFERROR(VLOOKUP($E249,Orders!$A:$I,9,FALSE),"")))</f>
        <v/>
      </c>
      <c r="T249" s="88">
        <f t="shared" si="6"/>
        <v>70</v>
      </c>
      <c r="U249" s="88">
        <f>IF($F249="","",IF($E249="",T249,SUMIF(Sales!$E$7:$E$1506,$E249,Sales!$T$7:$T$1506)))</f>
        <v>70</v>
      </c>
      <c r="V249" s="49" t="str">
        <f t="shared" si="7"/>
        <v/>
      </c>
      <c r="W249" s="49" t="str">
        <f t="array" ref="W249">IF($V249="","",SUMPRODUCT((Sales!$V$7:$V$1506&lt;&gt;"")*(Sales!$E$7:$E$1506&lt;$E249))+1)</f>
        <v/>
      </c>
      <c r="X249" s="49">
        <f t="shared" si="8"/>
        <v>109</v>
      </c>
      <c r="Y249" s="49" t="str">
        <f t="shared" si="9"/>
        <v>202608-109</v>
      </c>
      <c r="AA249" s="73" t="str">
        <f>IF(Inventory!A247="","",Inventory!A247)</f>
        <v/>
      </c>
    </row>
    <row r="250" ht="14.25" customHeight="1">
      <c r="A250" s="82">
        <v>46245.0</v>
      </c>
      <c r="B250" s="83" t="s">
        <v>324</v>
      </c>
      <c r="C250" s="83" t="s">
        <v>365</v>
      </c>
      <c r="D250" s="83" t="s">
        <v>366</v>
      </c>
      <c r="E250" s="83"/>
      <c r="F250" s="83" t="s">
        <v>251</v>
      </c>
      <c r="G250" s="83" t="str">
        <f>IF($F250="","",IFERROR(VLOOKUP($F250,Inventory!$A:$B,2,FALSE),""))</f>
        <v>Cat Litter Mix Flavor 10L DR. CLump</v>
      </c>
      <c r="H250" s="83">
        <v>1.0</v>
      </c>
      <c r="I250" s="84">
        <f t="shared" si="2"/>
        <v>580</v>
      </c>
      <c r="J250" s="85">
        <f>IF($F250="","",IFERROR(VLOOKUP($F250,Inventory!$A:$K,11,FALSE),0))</f>
        <v>600</v>
      </c>
      <c r="K250" s="85">
        <v>20.0</v>
      </c>
      <c r="L250" s="85">
        <f t="shared" si="3"/>
        <v>580</v>
      </c>
      <c r="M250" s="83" t="s">
        <v>330</v>
      </c>
      <c r="N250" s="85">
        <f>IF($F250="","",IFERROR(VLOOKUP($F250,Inventory!$A:$I,9,FALSE),0))</f>
        <v>430</v>
      </c>
      <c r="O250" s="85">
        <f t="shared" si="4"/>
        <v>430</v>
      </c>
      <c r="P250" s="85">
        <f t="shared" si="5"/>
        <v>150</v>
      </c>
      <c r="Q250" s="83"/>
      <c r="R250" s="87" t="str">
        <f>IF($E250="","",IF(COUNTIF($E$7:$E250,$E250)&gt;1,"",IFERROR(VLOOKUP($E250,Orders!$A:$I,8,FALSE),"")))</f>
        <v/>
      </c>
      <c r="S250" s="87" t="str">
        <f>IF($E250="","",IF(COUNTIF($E$7:$E250,$E250)&gt;1,"",IFERROR(VLOOKUP($E250,Orders!$A:$I,9,FALSE),"")))</f>
        <v/>
      </c>
      <c r="T250" s="88">
        <f t="shared" si="6"/>
        <v>150</v>
      </c>
      <c r="U250" s="88">
        <f>IF($F250="","",IF($E250="",T250,SUMIF(Sales!$E$7:$E$1506,$E250,Sales!$T$7:$T$1506)))</f>
        <v>150</v>
      </c>
      <c r="V250" s="49" t="str">
        <f t="shared" si="7"/>
        <v/>
      </c>
      <c r="W250" s="49" t="str">
        <f t="array" ref="W250">IF($V250="","",SUMPRODUCT((Sales!$V$7:$V$1506&lt;&gt;"")*(Sales!$E$7:$E$1506&lt;$E250))+1)</f>
        <v/>
      </c>
      <c r="X250" s="49">
        <f t="shared" si="8"/>
        <v>110</v>
      </c>
      <c r="Y250" s="49" t="str">
        <f t="shared" si="9"/>
        <v>202608-110</v>
      </c>
      <c r="AA250" s="73" t="str">
        <f>IF(Inventory!A248="","",Inventory!A248)</f>
        <v/>
      </c>
    </row>
    <row r="251" ht="14.25" customHeight="1">
      <c r="A251" s="82">
        <v>46245.0</v>
      </c>
      <c r="B251" s="83" t="s">
        <v>324</v>
      </c>
      <c r="C251" s="83" t="s">
        <v>365</v>
      </c>
      <c r="D251" s="83" t="s">
        <v>366</v>
      </c>
      <c r="E251" s="83"/>
      <c r="F251" s="83" t="s">
        <v>179</v>
      </c>
      <c r="G251" s="83" t="str">
        <f>IF($F251="","",IFERROR(VLOOKUP($F251,Inventory!$A:$B,2,FALSE),""))</f>
        <v>Creamy Treat 15G (Purry &amp; Hyper Paws)</v>
      </c>
      <c r="H251" s="83">
        <v>1.0</v>
      </c>
      <c r="I251" s="84">
        <f t="shared" si="2"/>
        <v>20</v>
      </c>
      <c r="J251" s="85">
        <f>IF($F251="","",IFERROR(VLOOKUP($F251,Inventory!$A:$K,11,FALSE),0))</f>
        <v>20</v>
      </c>
      <c r="K251" s="85"/>
      <c r="L251" s="85">
        <f t="shared" si="3"/>
        <v>20</v>
      </c>
      <c r="M251" s="83" t="s">
        <v>330</v>
      </c>
      <c r="N251" s="85">
        <f>IF($F251="","",IFERROR(VLOOKUP($F251,Inventory!$A:$I,9,FALSE),0))</f>
        <v>8.147411853</v>
      </c>
      <c r="O251" s="85">
        <f t="shared" si="4"/>
        <v>8.147411853</v>
      </c>
      <c r="P251" s="85">
        <f t="shared" si="5"/>
        <v>11.85258815</v>
      </c>
      <c r="Q251" s="83"/>
      <c r="R251" s="87" t="str">
        <f>IF($E251="","",IF(COUNTIF($E$7:$E251,$E251)&gt;1,"",IFERROR(VLOOKUP($E251,Orders!$A:$I,8,FALSE),"")))</f>
        <v/>
      </c>
      <c r="S251" s="87" t="str">
        <f>IF($E251="","",IF(COUNTIF($E$7:$E251,$E251)&gt;1,"",IFERROR(VLOOKUP($E251,Orders!$A:$I,9,FALSE),"")))</f>
        <v/>
      </c>
      <c r="T251" s="88">
        <f t="shared" si="6"/>
        <v>11.85258815</v>
      </c>
      <c r="U251" s="88">
        <f>IF($F251="","",IF($E251="",T251,SUMIF(Sales!$E$7:$E$1506,$E251,Sales!$T$7:$T$1506)))</f>
        <v>11.85258815</v>
      </c>
      <c r="V251" s="49" t="str">
        <f t="shared" si="7"/>
        <v/>
      </c>
      <c r="W251" s="49" t="str">
        <f t="array" ref="W251">IF($V251="","",SUMPRODUCT((Sales!$V$7:$V$1506&lt;&gt;"")*(Sales!$E$7:$E$1506&lt;$E251))+1)</f>
        <v/>
      </c>
      <c r="X251" s="49">
        <f t="shared" si="8"/>
        <v>111</v>
      </c>
      <c r="Y251" s="49" t="str">
        <f t="shared" si="9"/>
        <v>202608-111</v>
      </c>
      <c r="AA251" s="73" t="str">
        <f>IF(Inventory!A249="","",Inventory!A249)</f>
        <v/>
      </c>
    </row>
    <row r="252" ht="14.25" customHeight="1">
      <c r="A252" s="82">
        <v>46245.0</v>
      </c>
      <c r="B252" s="83" t="s">
        <v>324</v>
      </c>
      <c r="C252" s="83" t="s">
        <v>365</v>
      </c>
      <c r="D252" s="83" t="s">
        <v>366</v>
      </c>
      <c r="E252" s="83"/>
      <c r="F252" s="83" t="s">
        <v>370</v>
      </c>
      <c r="G252" s="83" t="str">
        <f>IF($F252="","",IFERROR(VLOOKUP($F252,Inventory!$A:$B,2,FALSE),""))</f>
        <v>PetMetro Cat Litter Apple 5L</v>
      </c>
      <c r="H252" s="83">
        <v>1.0</v>
      </c>
      <c r="I252" s="84">
        <f t="shared" si="2"/>
        <v>260</v>
      </c>
      <c r="J252" s="85">
        <f>IF($F252="","",IFERROR(VLOOKUP($F252,Inventory!$A:$K,11,FALSE),0))</f>
        <v>280</v>
      </c>
      <c r="K252" s="85">
        <v>20.0</v>
      </c>
      <c r="L252" s="85">
        <f t="shared" si="3"/>
        <v>260</v>
      </c>
      <c r="M252" s="83" t="s">
        <v>330</v>
      </c>
      <c r="N252" s="85">
        <f>IF($F252="","",IFERROR(VLOOKUP($F252,Inventory!$A:$I,9,FALSE),0))</f>
        <v>200</v>
      </c>
      <c r="O252" s="85">
        <f t="shared" si="4"/>
        <v>200</v>
      </c>
      <c r="P252" s="85">
        <f t="shared" si="5"/>
        <v>60</v>
      </c>
      <c r="Q252" s="83"/>
      <c r="R252" s="87" t="str">
        <f>IF($E252="","",IF(COUNTIF($E$7:$E252,$E252)&gt;1,"",IFERROR(VLOOKUP($E252,Orders!$A:$I,8,FALSE),"")))</f>
        <v/>
      </c>
      <c r="S252" s="87" t="str">
        <f>IF($E252="","",IF(COUNTIF($E$7:$E252,$E252)&gt;1,"",IFERROR(VLOOKUP($E252,Orders!$A:$I,9,FALSE),"")))</f>
        <v/>
      </c>
      <c r="T252" s="88">
        <f t="shared" si="6"/>
        <v>60</v>
      </c>
      <c r="U252" s="88">
        <f>IF($F252="","",IF($E252="",T252,SUMIF(Sales!$E$7:$E$1506,$E252,Sales!$T$7:$T$1506)))</f>
        <v>60</v>
      </c>
      <c r="V252" s="49" t="str">
        <f t="shared" si="7"/>
        <v/>
      </c>
      <c r="W252" s="49" t="str">
        <f t="array" ref="W252">IF($V252="","",SUMPRODUCT((Sales!$V$7:$V$1506&lt;&gt;"")*(Sales!$E$7:$E$1506&lt;$E252))+1)</f>
        <v/>
      </c>
      <c r="X252" s="49">
        <f t="shared" si="8"/>
        <v>112</v>
      </c>
      <c r="Y252" s="49" t="str">
        <f t="shared" si="9"/>
        <v>202608-112</v>
      </c>
      <c r="AA252" s="73" t="str">
        <f>IF(Inventory!A250="","",Inventory!A250)</f>
        <v/>
      </c>
    </row>
    <row r="253" ht="14.25" customHeight="1">
      <c r="A253" s="82">
        <v>46245.0</v>
      </c>
      <c r="B253" s="83" t="s">
        <v>324</v>
      </c>
      <c r="C253" s="83" t="s">
        <v>365</v>
      </c>
      <c r="D253" s="83" t="s">
        <v>366</v>
      </c>
      <c r="E253" s="83"/>
      <c r="F253" s="83" t="s">
        <v>359</v>
      </c>
      <c r="G253" s="83" t="str">
        <f>IF($F253="","",IFERROR(VLOOKUP($F253,Inventory!$A:$B,2,FALSE),""))</f>
        <v>Petmetro Premium Pouch Chicken &amp; Tuna 85gm</v>
      </c>
      <c r="H253" s="83">
        <v>1.0</v>
      </c>
      <c r="I253" s="84">
        <f t="shared" si="2"/>
        <v>70</v>
      </c>
      <c r="J253" s="85">
        <f>IF($F253="","",IFERROR(VLOOKUP($F253,Inventory!$A:$K,11,FALSE),0))</f>
        <v>80</v>
      </c>
      <c r="K253" s="85">
        <v>10.0</v>
      </c>
      <c r="L253" s="85">
        <f t="shared" si="3"/>
        <v>70</v>
      </c>
      <c r="M253" s="83" t="s">
        <v>330</v>
      </c>
      <c r="N253" s="85">
        <f>IF($F253="","",IFERROR(VLOOKUP($F253,Inventory!$A:$I,9,FALSE),0))</f>
        <v>60</v>
      </c>
      <c r="O253" s="85">
        <f t="shared" si="4"/>
        <v>60</v>
      </c>
      <c r="P253" s="85">
        <f t="shared" si="5"/>
        <v>10</v>
      </c>
      <c r="Q253" s="83"/>
      <c r="R253" s="87" t="str">
        <f>IF($E253="","",IF(COUNTIF($E$7:$E253,$E253)&gt;1,"",IFERROR(VLOOKUP($E253,Orders!$A:$I,8,FALSE),"")))</f>
        <v/>
      </c>
      <c r="S253" s="87" t="str">
        <f>IF($E253="","",IF(COUNTIF($E$7:$E253,$E253)&gt;1,"",IFERROR(VLOOKUP($E253,Orders!$A:$I,9,FALSE),"")))</f>
        <v/>
      </c>
      <c r="T253" s="88">
        <f t="shared" si="6"/>
        <v>10</v>
      </c>
      <c r="U253" s="88">
        <f>IF($F253="","",IF($E253="",T253,SUMIF(Sales!$E$7:$E$1506,$E253,Sales!$T$7:$T$1506)))</f>
        <v>10</v>
      </c>
      <c r="V253" s="49" t="str">
        <f t="shared" si="7"/>
        <v/>
      </c>
      <c r="W253" s="49" t="str">
        <f t="array" ref="W253">IF($V253="","",SUMPRODUCT((Sales!$V$7:$V$1506&lt;&gt;"")*(Sales!$E$7:$E$1506&lt;$E253))+1)</f>
        <v/>
      </c>
      <c r="X253" s="49">
        <f t="shared" si="8"/>
        <v>113</v>
      </c>
      <c r="Y253" s="49" t="str">
        <f t="shared" si="9"/>
        <v>202608-113</v>
      </c>
      <c r="AA253" s="73" t="str">
        <f>IF(Inventory!A251="","",Inventory!A251)</f>
        <v/>
      </c>
    </row>
    <row r="254" ht="14.25" customHeight="1">
      <c r="A254" s="82">
        <v>46245.0</v>
      </c>
      <c r="B254" s="83" t="s">
        <v>324</v>
      </c>
      <c r="C254" s="83" t="s">
        <v>365</v>
      </c>
      <c r="D254" s="83" t="s">
        <v>366</v>
      </c>
      <c r="E254" s="83"/>
      <c r="F254" s="83" t="s">
        <v>363</v>
      </c>
      <c r="G254" s="83" t="str">
        <f>IF($F254="","",IFERROR(VLOOKUP($F254,Inventory!$A:$B,2,FALSE),""))</f>
        <v>Petmetro Pouch Complite Balance - Chicken Receipe - 100g</v>
      </c>
      <c r="H254" s="83">
        <v>1.0</v>
      </c>
      <c r="I254" s="84">
        <f t="shared" si="2"/>
        <v>70</v>
      </c>
      <c r="J254" s="85">
        <f>IF($F254="","",IFERROR(VLOOKUP($F254,Inventory!$A:$K,11,FALSE),0))</f>
        <v>100</v>
      </c>
      <c r="K254" s="85">
        <v>30.0</v>
      </c>
      <c r="L254" s="85">
        <f t="shared" si="3"/>
        <v>70</v>
      </c>
      <c r="M254" s="83" t="s">
        <v>330</v>
      </c>
      <c r="N254" s="85">
        <f>IF($F254="","",IFERROR(VLOOKUP($F254,Inventory!$A:$I,9,FALSE),0))</f>
        <v>70</v>
      </c>
      <c r="O254" s="85">
        <f t="shared" si="4"/>
        <v>70</v>
      </c>
      <c r="P254" s="85">
        <f t="shared" si="5"/>
        <v>0</v>
      </c>
      <c r="Q254" s="83"/>
      <c r="R254" s="87" t="str">
        <f>IF($E254="","",IF(COUNTIF($E$7:$E254,$E254)&gt;1,"",IFERROR(VLOOKUP($E254,Orders!$A:$I,8,FALSE),"")))</f>
        <v/>
      </c>
      <c r="S254" s="87" t="str">
        <f>IF($E254="","",IF(COUNTIF($E$7:$E254,$E254)&gt;1,"",IFERROR(VLOOKUP($E254,Orders!$A:$I,9,FALSE),"")))</f>
        <v/>
      </c>
      <c r="T254" s="88">
        <f t="shared" si="6"/>
        <v>0</v>
      </c>
      <c r="U254" s="88">
        <f>IF($F254="","",IF($E254="",T254,SUMIF(Sales!$E$7:$E$1506,$E254,Sales!$T$7:$T$1506)))</f>
        <v>0</v>
      </c>
      <c r="V254" s="49" t="str">
        <f t="shared" si="7"/>
        <v/>
      </c>
      <c r="W254" s="49" t="str">
        <f t="array" ref="W254">IF($V254="","",SUMPRODUCT((Sales!$V$7:$V$1506&lt;&gt;"")*(Sales!$E$7:$E$1506&lt;$E254))+1)</f>
        <v/>
      </c>
      <c r="X254" s="49">
        <f t="shared" si="8"/>
        <v>114</v>
      </c>
      <c r="Y254" s="49" t="str">
        <f t="shared" si="9"/>
        <v>202608-114</v>
      </c>
      <c r="AA254" s="73" t="str">
        <f>IF(Inventory!A252="","",Inventory!A252)</f>
        <v/>
      </c>
    </row>
    <row r="255" ht="14.25" customHeight="1">
      <c r="A255" s="82">
        <v>46245.0</v>
      </c>
      <c r="B255" s="83" t="s">
        <v>324</v>
      </c>
      <c r="C255" s="83" t="s">
        <v>365</v>
      </c>
      <c r="D255" s="83" t="s">
        <v>366</v>
      </c>
      <c r="E255" s="83"/>
      <c r="F255" s="83" t="s">
        <v>179</v>
      </c>
      <c r="G255" s="83" t="str">
        <f>IF($F255="","",IFERROR(VLOOKUP($F255,Inventory!$A:$B,2,FALSE),""))</f>
        <v>Creamy Treat 15G (Purry &amp; Hyper Paws)</v>
      </c>
      <c r="H255" s="83">
        <v>2.0</v>
      </c>
      <c r="I255" s="84">
        <f t="shared" si="2"/>
        <v>20</v>
      </c>
      <c r="J255" s="85">
        <f>IF($F255="","",IFERROR(VLOOKUP($F255,Inventory!$A:$K,11,FALSE),0))</f>
        <v>20</v>
      </c>
      <c r="K255" s="85"/>
      <c r="L255" s="85">
        <f t="shared" si="3"/>
        <v>40</v>
      </c>
      <c r="M255" s="83" t="s">
        <v>330</v>
      </c>
      <c r="N255" s="85">
        <f>IF($F255="","",IFERROR(VLOOKUP($F255,Inventory!$A:$I,9,FALSE),0))</f>
        <v>8.147411853</v>
      </c>
      <c r="O255" s="85">
        <f t="shared" si="4"/>
        <v>16.29482371</v>
      </c>
      <c r="P255" s="85">
        <f t="shared" si="5"/>
        <v>23.70517629</v>
      </c>
      <c r="Q255" s="83"/>
      <c r="R255" s="87" t="str">
        <f>IF($E255="","",IF(COUNTIF($E$7:$E255,$E255)&gt;1,"",IFERROR(VLOOKUP($E255,Orders!$A:$I,8,FALSE),"")))</f>
        <v/>
      </c>
      <c r="S255" s="87" t="str">
        <f>IF($E255="","",IF(COUNTIF($E$7:$E255,$E255)&gt;1,"",IFERROR(VLOOKUP($E255,Orders!$A:$I,9,FALSE),"")))</f>
        <v/>
      </c>
      <c r="T255" s="88">
        <f t="shared" si="6"/>
        <v>23.70517629</v>
      </c>
      <c r="U255" s="88">
        <f>IF($F255="","",IF($E255="",T255,SUMIF(Sales!$E$7:$E$1506,$E255,Sales!$T$7:$T$1506)))</f>
        <v>23.70517629</v>
      </c>
      <c r="V255" s="49" t="str">
        <f t="shared" si="7"/>
        <v/>
      </c>
      <c r="W255" s="49" t="str">
        <f t="array" ref="W255">IF($V255="","",SUMPRODUCT((Sales!$V$7:$V$1506&lt;&gt;"")*(Sales!$E$7:$E$1506&lt;$E255))+1)</f>
        <v/>
      </c>
      <c r="X255" s="49">
        <f t="shared" si="8"/>
        <v>115</v>
      </c>
      <c r="Y255" s="49" t="str">
        <f t="shared" si="9"/>
        <v>202608-115</v>
      </c>
      <c r="AA255" s="73" t="str">
        <f>IF(Inventory!A253="","",Inventory!A253)</f>
        <v/>
      </c>
    </row>
    <row r="256" ht="14.25" customHeight="1">
      <c r="A256" s="82">
        <v>46246.0</v>
      </c>
      <c r="B256" s="83" t="s">
        <v>324</v>
      </c>
      <c r="C256" s="83" t="s">
        <v>365</v>
      </c>
      <c r="D256" s="83" t="s">
        <v>366</v>
      </c>
      <c r="E256" s="83"/>
      <c r="F256" s="83" t="s">
        <v>378</v>
      </c>
      <c r="G256" s="83" t="str">
        <f>IF($F256="","",IFERROR(VLOOKUP($F256,Inventory!$A:$B,2,FALSE),""))</f>
        <v>Drools &amp; Purepet Mixe Cat Food 500gm</v>
      </c>
      <c r="H256" s="83">
        <v>1.0</v>
      </c>
      <c r="I256" s="84">
        <f t="shared" si="2"/>
        <v>210</v>
      </c>
      <c r="J256" s="85">
        <f>IF($F256="","",IFERROR(VLOOKUP($F256,Inventory!$A:$K,11,FALSE),0))</f>
        <v>225</v>
      </c>
      <c r="K256" s="85">
        <v>15.0</v>
      </c>
      <c r="L256" s="85">
        <f t="shared" si="3"/>
        <v>210</v>
      </c>
      <c r="M256" s="83" t="s">
        <v>330</v>
      </c>
      <c r="N256" s="85">
        <f>IF($F256="","",IFERROR(VLOOKUP($F256,Inventory!$A:$I,9,FALSE),0))</f>
        <v>152.9310345</v>
      </c>
      <c r="O256" s="85">
        <f t="shared" si="4"/>
        <v>152.9310345</v>
      </c>
      <c r="P256" s="85">
        <f t="shared" si="5"/>
        <v>57.06896552</v>
      </c>
      <c r="Q256" s="83"/>
      <c r="R256" s="87" t="str">
        <f>IF($E256="","",IF(COUNTIF($E$7:$E256,$E256)&gt;1,"",IFERROR(VLOOKUP($E256,Orders!$A:$I,8,FALSE),"")))</f>
        <v/>
      </c>
      <c r="S256" s="87" t="str">
        <f>IF($E256="","",IF(COUNTIF($E$7:$E256,$E256)&gt;1,"",IFERROR(VLOOKUP($E256,Orders!$A:$I,9,FALSE),"")))</f>
        <v/>
      </c>
      <c r="T256" s="88">
        <f t="shared" si="6"/>
        <v>57.06896552</v>
      </c>
      <c r="U256" s="88">
        <f>IF($F256="","",IF($E256="",T256,SUMIF(Sales!$E$7:$E$1506,$E256,Sales!$T$7:$T$1506)))</f>
        <v>57.06896552</v>
      </c>
      <c r="V256" s="49" t="str">
        <f t="shared" si="7"/>
        <v/>
      </c>
      <c r="W256" s="49" t="str">
        <f t="array" ref="W256">IF($V256="","",SUMPRODUCT((Sales!$V$7:$V$1506&lt;&gt;"")*(Sales!$E$7:$E$1506&lt;$E256))+1)</f>
        <v/>
      </c>
      <c r="X256" s="49">
        <f t="shared" si="8"/>
        <v>116</v>
      </c>
      <c r="Y256" s="49" t="str">
        <f t="shared" si="9"/>
        <v>202608-116</v>
      </c>
      <c r="AA256" s="73" t="str">
        <f>IF(Inventory!A254="","",Inventory!A254)</f>
        <v/>
      </c>
    </row>
    <row r="257" ht="14.25" customHeight="1">
      <c r="A257" s="82">
        <v>46246.0</v>
      </c>
      <c r="B257" s="83" t="s">
        <v>324</v>
      </c>
      <c r="C257" s="83" t="s">
        <v>365</v>
      </c>
      <c r="D257" s="83" t="s">
        <v>366</v>
      </c>
      <c r="E257" s="83"/>
      <c r="F257" s="83" t="s">
        <v>256</v>
      </c>
      <c r="G257" s="83" t="str">
        <f>IF($F257="","",IFERROR(VLOOKUP($F257,Inventory!$A:$B,2,FALSE),""))</f>
        <v>Kitchen Flavor Grain Free Kitten 400G</v>
      </c>
      <c r="H257" s="83">
        <v>1.0</v>
      </c>
      <c r="I257" s="84">
        <f t="shared" si="2"/>
        <v>360</v>
      </c>
      <c r="J257" s="85">
        <f>IF($F257="","",IFERROR(VLOOKUP($F257,Inventory!$A:$K,11,FALSE),0))</f>
        <v>380</v>
      </c>
      <c r="K257" s="85">
        <v>20.0</v>
      </c>
      <c r="L257" s="85">
        <f t="shared" si="3"/>
        <v>360</v>
      </c>
      <c r="M257" s="83" t="s">
        <v>330</v>
      </c>
      <c r="N257" s="85">
        <f>IF($F257="","",IFERROR(VLOOKUP($F257,Inventory!$A:$I,9,FALSE),0))</f>
        <v>290</v>
      </c>
      <c r="O257" s="85">
        <f t="shared" si="4"/>
        <v>290</v>
      </c>
      <c r="P257" s="85">
        <f t="shared" si="5"/>
        <v>70</v>
      </c>
      <c r="Q257" s="83"/>
      <c r="R257" s="87" t="str">
        <f>IF($E257="","",IF(COUNTIF($E$7:$E257,$E257)&gt;1,"",IFERROR(VLOOKUP($E257,Orders!$A:$I,8,FALSE),"")))</f>
        <v/>
      </c>
      <c r="S257" s="87" t="str">
        <f>IF($E257="","",IF(COUNTIF($E$7:$E257,$E257)&gt;1,"",IFERROR(VLOOKUP($E257,Orders!$A:$I,9,FALSE),"")))</f>
        <v/>
      </c>
      <c r="T257" s="88">
        <f t="shared" si="6"/>
        <v>70</v>
      </c>
      <c r="U257" s="88">
        <f>IF($F257="","",IF($E257="",T257,SUMIF(Sales!$E$7:$E$1506,$E257,Sales!$T$7:$T$1506)))</f>
        <v>70</v>
      </c>
      <c r="V257" s="49" t="str">
        <f t="shared" si="7"/>
        <v/>
      </c>
      <c r="W257" s="49" t="str">
        <f t="array" ref="W257">IF($V257="","",SUMPRODUCT((Sales!$V$7:$V$1506&lt;&gt;"")*(Sales!$E$7:$E$1506&lt;$E257))+1)</f>
        <v/>
      </c>
      <c r="X257" s="49">
        <f t="shared" si="8"/>
        <v>117</v>
      </c>
      <c r="Y257" s="49" t="str">
        <f t="shared" si="9"/>
        <v>202608-117</v>
      </c>
    </row>
    <row r="258" ht="14.25" customHeight="1">
      <c r="A258" s="82">
        <v>46246.0</v>
      </c>
      <c r="B258" s="83" t="s">
        <v>324</v>
      </c>
      <c r="C258" s="83" t="s">
        <v>365</v>
      </c>
      <c r="D258" s="83" t="s">
        <v>366</v>
      </c>
      <c r="E258" s="83"/>
      <c r="F258" s="83" t="s">
        <v>179</v>
      </c>
      <c r="G258" s="83" t="str">
        <f>IF($F258="","",IFERROR(VLOOKUP($F258,Inventory!$A:$B,2,FALSE),""))</f>
        <v>Creamy Treat 15G (Purry &amp; Hyper Paws)</v>
      </c>
      <c r="H258" s="83">
        <v>3.0</v>
      </c>
      <c r="I258" s="84">
        <f t="shared" si="2"/>
        <v>20</v>
      </c>
      <c r="J258" s="85">
        <f>IF($F258="","",IFERROR(VLOOKUP($F258,Inventory!$A:$K,11,FALSE),0))</f>
        <v>20</v>
      </c>
      <c r="K258" s="85"/>
      <c r="L258" s="85">
        <f t="shared" si="3"/>
        <v>60</v>
      </c>
      <c r="M258" s="83" t="s">
        <v>330</v>
      </c>
      <c r="N258" s="85">
        <f>IF($F258="","",IFERROR(VLOOKUP($F258,Inventory!$A:$I,9,FALSE),0))</f>
        <v>8.147411853</v>
      </c>
      <c r="O258" s="85">
        <f t="shared" si="4"/>
        <v>24.44223556</v>
      </c>
      <c r="P258" s="85">
        <f t="shared" si="5"/>
        <v>35.55776444</v>
      </c>
      <c r="Q258" s="83"/>
      <c r="R258" s="87" t="str">
        <f>IF($E258="","",IF(COUNTIF($E$7:$E258,$E258)&gt;1,"",IFERROR(VLOOKUP($E258,Orders!$A:$I,8,FALSE),"")))</f>
        <v/>
      </c>
      <c r="S258" s="87" t="str">
        <f>IF($E258="","",IF(COUNTIF($E$7:$E258,$E258)&gt;1,"",IFERROR(VLOOKUP($E258,Orders!$A:$I,9,FALSE),"")))</f>
        <v/>
      </c>
      <c r="T258" s="88">
        <f t="shared" si="6"/>
        <v>35.55776444</v>
      </c>
      <c r="U258" s="88">
        <f>IF($F258="","",IF($E258="",T258,SUMIF(Sales!$E$7:$E$1506,$E258,Sales!$T$7:$T$1506)))</f>
        <v>35.55776444</v>
      </c>
      <c r="V258" s="49" t="str">
        <f t="shared" si="7"/>
        <v/>
      </c>
      <c r="W258" s="49" t="str">
        <f t="array" ref="W258">IF($V258="","",SUMPRODUCT((Sales!$V$7:$V$1506&lt;&gt;"")*(Sales!$E$7:$E$1506&lt;$E258))+1)</f>
        <v/>
      </c>
      <c r="X258" s="49">
        <f t="shared" si="8"/>
        <v>118</v>
      </c>
      <c r="Y258" s="49" t="str">
        <f t="shared" si="9"/>
        <v>202608-118</v>
      </c>
    </row>
    <row r="259" ht="14.25" customHeight="1">
      <c r="A259" s="82">
        <v>46246.0</v>
      </c>
      <c r="B259" s="83" t="s">
        <v>324</v>
      </c>
      <c r="C259" s="83" t="s">
        <v>365</v>
      </c>
      <c r="D259" s="83" t="s">
        <v>366</v>
      </c>
      <c r="E259" s="83"/>
      <c r="F259" s="83" t="s">
        <v>378</v>
      </c>
      <c r="G259" s="83" t="str">
        <f>IF($F259="","",IFERROR(VLOOKUP($F259,Inventory!$A:$B,2,FALSE),""))</f>
        <v>Drools &amp; Purepet Mixe Cat Food 500gm</v>
      </c>
      <c r="H259" s="83">
        <v>2.0</v>
      </c>
      <c r="I259" s="84">
        <f t="shared" si="2"/>
        <v>210</v>
      </c>
      <c r="J259" s="85">
        <f>IF($F259="","",IFERROR(VLOOKUP($F259,Inventory!$A:$K,11,FALSE),0))</f>
        <v>225</v>
      </c>
      <c r="K259" s="85">
        <v>15.0</v>
      </c>
      <c r="L259" s="85">
        <f t="shared" si="3"/>
        <v>420</v>
      </c>
      <c r="M259" s="83" t="s">
        <v>330</v>
      </c>
      <c r="N259" s="85">
        <f>IF($F259="","",IFERROR(VLOOKUP($F259,Inventory!$A:$I,9,FALSE),0))</f>
        <v>152.9310345</v>
      </c>
      <c r="O259" s="85">
        <f t="shared" si="4"/>
        <v>305.862069</v>
      </c>
      <c r="P259" s="85">
        <f t="shared" si="5"/>
        <v>114.137931</v>
      </c>
      <c r="Q259" s="83"/>
      <c r="R259" s="87" t="str">
        <f>IF($E259="","",IF(COUNTIF($E$7:$E259,$E259)&gt;1,"",IFERROR(VLOOKUP($E259,Orders!$A:$I,8,FALSE),"")))</f>
        <v/>
      </c>
      <c r="S259" s="87" t="str">
        <f>IF($E259="","",IF(COUNTIF($E$7:$E259,$E259)&gt;1,"",IFERROR(VLOOKUP($E259,Orders!$A:$I,9,FALSE),"")))</f>
        <v/>
      </c>
      <c r="T259" s="88">
        <f t="shared" si="6"/>
        <v>114.137931</v>
      </c>
      <c r="U259" s="88">
        <f>IF($F259="","",IF($E259="",T259,SUMIF(Sales!$E$7:$E$1506,$E259,Sales!$T$7:$T$1506)))</f>
        <v>114.137931</v>
      </c>
      <c r="V259" s="49" t="str">
        <f t="shared" si="7"/>
        <v/>
      </c>
      <c r="W259" s="49" t="str">
        <f t="array" ref="W259">IF($V259="","",SUMPRODUCT((Sales!$V$7:$V$1506&lt;&gt;"")*(Sales!$E$7:$E$1506&lt;$E259))+1)</f>
        <v/>
      </c>
      <c r="X259" s="49">
        <f t="shared" si="8"/>
        <v>119</v>
      </c>
      <c r="Y259" s="49" t="str">
        <f t="shared" si="9"/>
        <v>202608-119</v>
      </c>
    </row>
    <row r="260" ht="14.25" customHeight="1">
      <c r="A260" s="82">
        <v>46246.0</v>
      </c>
      <c r="B260" s="83" t="s">
        <v>324</v>
      </c>
      <c r="C260" s="83" t="s">
        <v>365</v>
      </c>
      <c r="D260" s="83" t="s">
        <v>366</v>
      </c>
      <c r="E260" s="83"/>
      <c r="F260" s="83" t="s">
        <v>368</v>
      </c>
      <c r="G260" s="83" t="str">
        <f>IF($F260="","",IFERROR(VLOOKUP($F260,Inventory!$A:$B,2,FALSE),""))</f>
        <v>Petmetro Gino Pouch - Chicken &amp; Cat Grass - 100g</v>
      </c>
      <c r="H260" s="83">
        <v>1.0</v>
      </c>
      <c r="I260" s="84">
        <f t="shared" si="2"/>
        <v>110</v>
      </c>
      <c r="J260" s="85">
        <f>IF($F260="","",IFERROR(VLOOKUP($F260,Inventory!$A:$K,11,FALSE),0))</f>
        <v>110</v>
      </c>
      <c r="K260" s="85"/>
      <c r="L260" s="85">
        <f t="shared" si="3"/>
        <v>110</v>
      </c>
      <c r="M260" s="83" t="s">
        <v>330</v>
      </c>
      <c r="N260" s="85">
        <f>IF($F260="","",IFERROR(VLOOKUP($F260,Inventory!$A:$I,9,FALSE),0))</f>
        <v>85</v>
      </c>
      <c r="O260" s="85">
        <f t="shared" si="4"/>
        <v>85</v>
      </c>
      <c r="P260" s="85">
        <f t="shared" si="5"/>
        <v>25</v>
      </c>
      <c r="Q260" s="83"/>
      <c r="R260" s="87" t="str">
        <f>IF($E260="","",IF(COUNTIF($E$7:$E260,$E260)&gt;1,"",IFERROR(VLOOKUP($E260,Orders!$A:$I,8,FALSE),"")))</f>
        <v/>
      </c>
      <c r="S260" s="87" t="str">
        <f>IF($E260="","",IF(COUNTIF($E$7:$E260,$E260)&gt;1,"",IFERROR(VLOOKUP($E260,Orders!$A:$I,9,FALSE),"")))</f>
        <v/>
      </c>
      <c r="T260" s="88">
        <f t="shared" si="6"/>
        <v>25</v>
      </c>
      <c r="U260" s="88">
        <f>IF($F260="","",IF($E260="",T260,SUMIF(Sales!$E$7:$E$1506,$E260,Sales!$T$7:$T$1506)))</f>
        <v>25</v>
      </c>
      <c r="V260" s="49" t="str">
        <f t="shared" si="7"/>
        <v/>
      </c>
      <c r="W260" s="49" t="str">
        <f t="array" ref="W260">IF($V260="","",SUMPRODUCT((Sales!$V$7:$V$1506&lt;&gt;"")*(Sales!$E$7:$E$1506&lt;$E260))+1)</f>
        <v/>
      </c>
      <c r="X260" s="49">
        <f t="shared" si="8"/>
        <v>120</v>
      </c>
      <c r="Y260" s="49" t="str">
        <f t="shared" si="9"/>
        <v>202608-120</v>
      </c>
    </row>
    <row r="261" ht="14.25" customHeight="1">
      <c r="A261" s="82">
        <v>46246.0</v>
      </c>
      <c r="B261" s="83" t="s">
        <v>324</v>
      </c>
      <c r="C261" s="83" t="s">
        <v>365</v>
      </c>
      <c r="D261" s="83" t="s">
        <v>366</v>
      </c>
      <c r="E261" s="83"/>
      <c r="F261" s="83" t="s">
        <v>207</v>
      </c>
      <c r="G261" s="83" t="str">
        <f>IF($F261="","",IFERROR(VLOOKUP($F261,Inventory!$A:$B,2,FALSE),""))</f>
        <v>Nekko Pouch 70G Tuna in Chicken Mousse For Kitten</v>
      </c>
      <c r="H261" s="83">
        <v>12.0</v>
      </c>
      <c r="I261" s="84">
        <f t="shared" si="2"/>
        <v>77.9167</v>
      </c>
      <c r="J261" s="85">
        <f>IF($F261="","",IFERROR(VLOOKUP($F261,Inventory!$A:$K,11,FALSE),0))</f>
        <v>90</v>
      </c>
      <c r="K261" s="85">
        <v>12.0833</v>
      </c>
      <c r="L261" s="85">
        <f t="shared" si="3"/>
        <v>935.0004</v>
      </c>
      <c r="M261" s="83" t="s">
        <v>330</v>
      </c>
      <c r="N261" s="85">
        <f>IF($F261="","",IFERROR(VLOOKUP($F261,Inventory!$A:$I,9,FALSE),0))</f>
        <v>65.17241379</v>
      </c>
      <c r="O261" s="85">
        <f t="shared" si="4"/>
        <v>782.0689655</v>
      </c>
      <c r="P261" s="85">
        <f t="shared" si="5"/>
        <v>152.9314345</v>
      </c>
      <c r="Q261" s="83"/>
      <c r="R261" s="87" t="str">
        <f>IF($E261="","",IF(COUNTIF($E$7:$E261,$E261)&gt;1,"",IFERROR(VLOOKUP($E261,Orders!$A:$I,8,FALSE),"")))</f>
        <v/>
      </c>
      <c r="S261" s="87" t="str">
        <f>IF($E261="","",IF(COUNTIF($E$7:$E261,$E261)&gt;1,"",IFERROR(VLOOKUP($E261,Orders!$A:$I,9,FALSE),"")))</f>
        <v/>
      </c>
      <c r="T261" s="88">
        <f t="shared" si="6"/>
        <v>152.9314345</v>
      </c>
      <c r="U261" s="88">
        <f>IF($F261="","",IF($E261="",T261,SUMIF(Sales!$E$7:$E$1506,$E261,Sales!$T$7:$T$1506)))</f>
        <v>152.9314345</v>
      </c>
      <c r="V261" s="49" t="str">
        <f t="shared" si="7"/>
        <v/>
      </c>
      <c r="W261" s="49" t="str">
        <f t="array" ref="W261">IF($V261="","",SUMPRODUCT((Sales!$V$7:$V$1506&lt;&gt;"")*(Sales!$E$7:$E$1506&lt;$E261))+1)</f>
        <v/>
      </c>
      <c r="X261" s="49">
        <f t="shared" si="8"/>
        <v>121</v>
      </c>
      <c r="Y261" s="49" t="str">
        <f t="shared" si="9"/>
        <v>202608-121</v>
      </c>
    </row>
    <row r="262" ht="14.25" customHeight="1">
      <c r="A262" s="82">
        <v>46246.0</v>
      </c>
      <c r="B262" s="83" t="s">
        <v>324</v>
      </c>
      <c r="C262" s="83" t="s">
        <v>365</v>
      </c>
      <c r="D262" s="83" t="s">
        <v>366</v>
      </c>
      <c r="E262" s="83"/>
      <c r="F262" s="83" t="s">
        <v>262</v>
      </c>
      <c r="G262" s="83" t="str">
        <f>IF($F262="","",IFERROR(VLOOKUP($F262,Inventory!$A:$B,2,FALSE),""))</f>
        <v>Kitchen Flavor Pate Delight</v>
      </c>
      <c r="H262" s="83">
        <v>1.0</v>
      </c>
      <c r="I262" s="84">
        <f t="shared" si="2"/>
        <v>135</v>
      </c>
      <c r="J262" s="85">
        <f>IF($F262="","",IFERROR(VLOOKUP($F262,Inventory!$A:$K,11,FALSE),0))</f>
        <v>150</v>
      </c>
      <c r="K262" s="85">
        <v>15.0</v>
      </c>
      <c r="L262" s="85">
        <f t="shared" si="3"/>
        <v>135</v>
      </c>
      <c r="M262" s="83" t="s">
        <v>330</v>
      </c>
      <c r="N262" s="85">
        <f>IF($F262="","",IFERROR(VLOOKUP($F262,Inventory!$A:$I,9,FALSE),0))</f>
        <v>110</v>
      </c>
      <c r="O262" s="85">
        <f t="shared" si="4"/>
        <v>110</v>
      </c>
      <c r="P262" s="85">
        <f t="shared" si="5"/>
        <v>25</v>
      </c>
      <c r="Q262" s="83"/>
      <c r="R262" s="87" t="str">
        <f>IF($E262="","",IF(COUNTIF($E$7:$E262,$E262)&gt;1,"",IFERROR(VLOOKUP($E262,Orders!$A:$I,8,FALSE),"")))</f>
        <v/>
      </c>
      <c r="S262" s="87" t="str">
        <f>IF($E262="","",IF(COUNTIF($E$7:$E262,$E262)&gt;1,"",IFERROR(VLOOKUP($E262,Orders!$A:$I,9,FALSE),"")))</f>
        <v/>
      </c>
      <c r="T262" s="88">
        <f t="shared" si="6"/>
        <v>25</v>
      </c>
      <c r="U262" s="88">
        <f>IF($F262="","",IF($E262="",T262,SUMIF(Sales!$E$7:$E$1506,$E262,Sales!$T$7:$T$1506)))</f>
        <v>25</v>
      </c>
      <c r="V262" s="49" t="str">
        <f t="shared" si="7"/>
        <v/>
      </c>
      <c r="W262" s="49" t="str">
        <f t="array" ref="W262">IF($V262="","",SUMPRODUCT((Sales!$V$7:$V$1506&lt;&gt;"")*(Sales!$E$7:$E$1506&lt;$E262))+1)</f>
        <v/>
      </c>
      <c r="X262" s="49">
        <f t="shared" si="8"/>
        <v>122</v>
      </c>
      <c r="Y262" s="49" t="str">
        <f t="shared" si="9"/>
        <v>202608-122</v>
      </c>
    </row>
    <row r="263" ht="14.25" customHeight="1">
      <c r="A263" s="82">
        <v>46247.0</v>
      </c>
      <c r="B263" s="83" t="s">
        <v>324</v>
      </c>
      <c r="C263" s="83" t="s">
        <v>365</v>
      </c>
      <c r="D263" s="83" t="s">
        <v>366</v>
      </c>
      <c r="E263" s="83"/>
      <c r="F263" s="83" t="s">
        <v>179</v>
      </c>
      <c r="G263" s="83" t="str">
        <f>IF($F263="","",IFERROR(VLOOKUP($F263,Inventory!$A:$B,2,FALSE),""))</f>
        <v>Creamy Treat 15G (Purry &amp; Hyper Paws)</v>
      </c>
      <c r="H263" s="83">
        <v>17.0</v>
      </c>
      <c r="I263" s="84">
        <f t="shared" si="2"/>
        <v>17.647</v>
      </c>
      <c r="J263" s="85">
        <f>IF($F263="","",IFERROR(VLOOKUP($F263,Inventory!$A:$K,11,FALSE),0))</f>
        <v>20</v>
      </c>
      <c r="K263" s="85">
        <v>2.353</v>
      </c>
      <c r="L263" s="85">
        <f t="shared" si="3"/>
        <v>299.999</v>
      </c>
      <c r="M263" s="83" t="s">
        <v>330</v>
      </c>
      <c r="N263" s="85">
        <f>IF($F263="","",IFERROR(VLOOKUP($F263,Inventory!$A:$I,9,FALSE),0))</f>
        <v>8.147411853</v>
      </c>
      <c r="O263" s="85">
        <f t="shared" si="4"/>
        <v>138.5060015</v>
      </c>
      <c r="P263" s="85">
        <f t="shared" si="5"/>
        <v>161.4929985</v>
      </c>
      <c r="Q263" s="83"/>
      <c r="R263" s="87" t="str">
        <f>IF($E263="","",IF(COUNTIF($E$7:$E263,$E263)&gt;1,"",IFERROR(VLOOKUP($E263,Orders!$A:$I,8,FALSE),"")))</f>
        <v/>
      </c>
      <c r="S263" s="87" t="str">
        <f>IF($E263="","",IF(COUNTIF($E$7:$E263,$E263)&gt;1,"",IFERROR(VLOOKUP($E263,Orders!$A:$I,9,FALSE),"")))</f>
        <v/>
      </c>
      <c r="T263" s="88">
        <f t="shared" si="6"/>
        <v>161.4929985</v>
      </c>
      <c r="U263" s="88">
        <f>IF($F263="","",IF($E263="",T263,SUMIF(Sales!$E$7:$E$1506,$E263,Sales!$T$7:$T$1506)))</f>
        <v>161.4929985</v>
      </c>
      <c r="V263" s="49" t="str">
        <f t="shared" si="7"/>
        <v/>
      </c>
      <c r="W263" s="49" t="str">
        <f t="array" ref="W263">IF($V263="","",SUMPRODUCT((Sales!$V$7:$V$1506&lt;&gt;"")*(Sales!$E$7:$E$1506&lt;$E263))+1)</f>
        <v/>
      </c>
      <c r="X263" s="49">
        <f t="shared" si="8"/>
        <v>123</v>
      </c>
      <c r="Y263" s="49" t="str">
        <f t="shared" si="9"/>
        <v>202608-123</v>
      </c>
    </row>
    <row r="264" ht="14.25" customHeight="1">
      <c r="A264" s="82">
        <v>46247.0</v>
      </c>
      <c r="B264" s="83" t="s">
        <v>324</v>
      </c>
      <c r="C264" s="83" t="s">
        <v>365</v>
      </c>
      <c r="D264" s="83" t="s">
        <v>366</v>
      </c>
      <c r="E264" s="83"/>
      <c r="F264" s="83" t="s">
        <v>220</v>
      </c>
      <c r="G264" s="83" t="str">
        <f>IF($F264="","",IFERROR(VLOOKUP($F264,Inventory!$A:$B,2,FALSE),""))</f>
        <v>Dodo Cat Litter 10L Apple Flvor</v>
      </c>
      <c r="H264" s="83">
        <v>1.0</v>
      </c>
      <c r="I264" s="84">
        <f t="shared" si="2"/>
        <v>420</v>
      </c>
      <c r="J264" s="85">
        <f>IF($F264="","",IFERROR(VLOOKUP($F264,Inventory!$A:$K,11,FALSE),0))</f>
        <v>600</v>
      </c>
      <c r="K264" s="85">
        <v>180.0</v>
      </c>
      <c r="L264" s="85">
        <f t="shared" si="3"/>
        <v>420</v>
      </c>
      <c r="M264" s="83" t="s">
        <v>330</v>
      </c>
      <c r="N264" s="85">
        <f>IF($F264="","",IFERROR(VLOOKUP($F264,Inventory!$A:$I,9,FALSE),0))</f>
        <v>360</v>
      </c>
      <c r="O264" s="85">
        <f t="shared" si="4"/>
        <v>360</v>
      </c>
      <c r="P264" s="85">
        <f t="shared" si="5"/>
        <v>60</v>
      </c>
      <c r="Q264" s="83"/>
      <c r="R264" s="87" t="str">
        <f>IF($E264="","",IF(COUNTIF($E$7:$E264,$E264)&gt;1,"",IFERROR(VLOOKUP($E264,Orders!$A:$I,8,FALSE),"")))</f>
        <v/>
      </c>
      <c r="S264" s="87" t="str">
        <f>IF($E264="","",IF(COUNTIF($E$7:$E264,$E264)&gt;1,"",IFERROR(VLOOKUP($E264,Orders!$A:$I,9,FALSE),"")))</f>
        <v/>
      </c>
      <c r="T264" s="88">
        <f t="shared" si="6"/>
        <v>60</v>
      </c>
      <c r="U264" s="88">
        <f>IF($F264="","",IF($E264="",T264,SUMIF(Sales!$E$7:$E$1506,$E264,Sales!$T$7:$T$1506)))</f>
        <v>60</v>
      </c>
      <c r="V264" s="49" t="str">
        <f t="shared" si="7"/>
        <v/>
      </c>
      <c r="W264" s="49" t="str">
        <f t="array" ref="W264">IF($V264="","",SUMPRODUCT((Sales!$V$7:$V$1506&lt;&gt;"")*(Sales!$E$7:$E$1506&lt;$E264))+1)</f>
        <v/>
      </c>
      <c r="X264" s="49">
        <f t="shared" si="8"/>
        <v>124</v>
      </c>
      <c r="Y264" s="49" t="str">
        <f t="shared" si="9"/>
        <v>202608-124</v>
      </c>
    </row>
    <row r="265" ht="14.25" customHeight="1">
      <c r="A265" s="82">
        <v>46247.0</v>
      </c>
      <c r="B265" s="83" t="s">
        <v>324</v>
      </c>
      <c r="C265" s="83" t="s">
        <v>365</v>
      </c>
      <c r="D265" s="83" t="s">
        <v>366</v>
      </c>
      <c r="E265" s="83"/>
      <c r="F265" s="83" t="s">
        <v>98</v>
      </c>
      <c r="G265" s="83" t="str">
        <f>IF($F265="","",IFERROR(VLOOKUP($F265,Inventory!$A:$B,2,FALSE),""))</f>
        <v>Cat Belt</v>
      </c>
      <c r="H265" s="83">
        <v>1.0</v>
      </c>
      <c r="I265" s="84">
        <f t="shared" si="2"/>
        <v>60</v>
      </c>
      <c r="J265" s="85">
        <f>IF($F265="","",IFERROR(VLOOKUP($F265,Inventory!$A:$K,11,FALSE),0))</f>
        <v>60</v>
      </c>
      <c r="K265" s="85"/>
      <c r="L265" s="85">
        <f t="shared" si="3"/>
        <v>60</v>
      </c>
      <c r="M265" s="83" t="s">
        <v>330</v>
      </c>
      <c r="N265" s="85">
        <f>IF($F265="","",IFERROR(VLOOKUP($F265,Inventory!$A:$I,9,FALSE),0))</f>
        <v>29.35135135</v>
      </c>
      <c r="O265" s="85">
        <f t="shared" si="4"/>
        <v>29.35135135</v>
      </c>
      <c r="P265" s="85">
        <f t="shared" si="5"/>
        <v>30.64864865</v>
      </c>
      <c r="Q265" s="83"/>
      <c r="R265" s="87" t="str">
        <f>IF($E265="","",IF(COUNTIF($E$7:$E265,$E265)&gt;1,"",IFERROR(VLOOKUP($E265,Orders!$A:$I,8,FALSE),"")))</f>
        <v/>
      </c>
      <c r="S265" s="87" t="str">
        <f>IF($E265="","",IF(COUNTIF($E$7:$E265,$E265)&gt;1,"",IFERROR(VLOOKUP($E265,Orders!$A:$I,9,FALSE),"")))</f>
        <v/>
      </c>
      <c r="T265" s="88">
        <f t="shared" si="6"/>
        <v>30.64864865</v>
      </c>
      <c r="U265" s="88">
        <f>IF($F265="","",IF($E265="",T265,SUMIF(Sales!$E$7:$E$1506,$E265,Sales!$T$7:$T$1506)))</f>
        <v>30.64864865</v>
      </c>
      <c r="V265" s="49" t="str">
        <f t="shared" si="7"/>
        <v/>
      </c>
      <c r="W265" s="49" t="str">
        <f t="array" ref="W265">IF($V265="","",SUMPRODUCT((Sales!$V$7:$V$1506&lt;&gt;"")*(Sales!$E$7:$E$1506&lt;$E265))+1)</f>
        <v/>
      </c>
      <c r="X265" s="49">
        <f t="shared" si="8"/>
        <v>125</v>
      </c>
      <c r="Y265" s="49" t="str">
        <f t="shared" si="9"/>
        <v>202608-125</v>
      </c>
    </row>
    <row r="266" ht="14.25" customHeight="1">
      <c r="A266" s="82">
        <v>46247.0</v>
      </c>
      <c r="B266" s="83" t="s">
        <v>324</v>
      </c>
      <c r="C266" s="83" t="s">
        <v>365</v>
      </c>
      <c r="D266" s="83" t="s">
        <v>366</v>
      </c>
      <c r="E266" s="83"/>
      <c r="F266" s="83" t="s">
        <v>211</v>
      </c>
      <c r="G266" s="83" t="str">
        <f>IF($F266="","",IFERROR(VLOOKUP($F266,Inventory!$A:$B,2,FALSE),""))</f>
        <v>Smart Heart Pouch  Tuna With Chicken in Jelly</v>
      </c>
      <c r="H266" s="83">
        <v>1.0</v>
      </c>
      <c r="I266" s="84">
        <f t="shared" si="2"/>
        <v>80</v>
      </c>
      <c r="J266" s="85">
        <f>IF($F266="","",IFERROR(VLOOKUP($F266,Inventory!$A:$K,11,FALSE),0))</f>
        <v>95</v>
      </c>
      <c r="K266" s="85">
        <v>15.0</v>
      </c>
      <c r="L266" s="85">
        <f t="shared" si="3"/>
        <v>80</v>
      </c>
      <c r="M266" s="83" t="s">
        <v>330</v>
      </c>
      <c r="N266" s="85">
        <f>IF($F266="","",IFERROR(VLOOKUP($F266,Inventory!$A:$I,9,FALSE),0))</f>
        <v>71.9047619</v>
      </c>
      <c r="O266" s="85">
        <f t="shared" si="4"/>
        <v>71.9047619</v>
      </c>
      <c r="P266" s="85">
        <f t="shared" si="5"/>
        <v>8.095238095</v>
      </c>
      <c r="Q266" s="83"/>
      <c r="R266" s="87" t="str">
        <f>IF($E266="","",IF(COUNTIF($E$7:$E266,$E266)&gt;1,"",IFERROR(VLOOKUP($E266,Orders!$A:$I,8,FALSE),"")))</f>
        <v/>
      </c>
      <c r="S266" s="87" t="str">
        <f>IF($E266="","",IF(COUNTIF($E$7:$E266,$E266)&gt;1,"",IFERROR(VLOOKUP($E266,Orders!$A:$I,9,FALSE),"")))</f>
        <v/>
      </c>
      <c r="T266" s="88">
        <f t="shared" si="6"/>
        <v>8.095238095</v>
      </c>
      <c r="U266" s="88">
        <f>IF($F266="","",IF($E266="",T266,SUMIF(Sales!$E$7:$E$1506,$E266,Sales!$T$7:$T$1506)))</f>
        <v>8.095238095</v>
      </c>
      <c r="V266" s="49" t="str">
        <f t="shared" si="7"/>
        <v/>
      </c>
      <c r="W266" s="49" t="str">
        <f t="array" ref="W266">IF($V266="","",SUMPRODUCT((Sales!$V$7:$V$1506&lt;&gt;"")*(Sales!$E$7:$E$1506&lt;$E266))+1)</f>
        <v/>
      </c>
      <c r="X266" s="49">
        <f t="shared" si="8"/>
        <v>126</v>
      </c>
      <c r="Y266" s="49" t="str">
        <f t="shared" si="9"/>
        <v>202608-126</v>
      </c>
    </row>
    <row r="267" ht="14.25" customHeight="1">
      <c r="A267" s="82">
        <v>46247.0</v>
      </c>
      <c r="B267" s="83" t="s">
        <v>324</v>
      </c>
      <c r="C267" s="83" t="s">
        <v>365</v>
      </c>
      <c r="D267" s="83" t="s">
        <v>366</v>
      </c>
      <c r="E267" s="83"/>
      <c r="F267" s="83" t="s">
        <v>209</v>
      </c>
      <c r="G267" s="83" t="str">
        <f>IF($F267="","",IFERROR(VLOOKUP($F267,Inventory!$A:$B,2,FALSE),""))</f>
        <v>Smart Heart Pouch Tuna in Jelly Kitten</v>
      </c>
      <c r="H267" s="83">
        <v>1.0</v>
      </c>
      <c r="I267" s="84">
        <f t="shared" si="2"/>
        <v>80</v>
      </c>
      <c r="J267" s="85">
        <f>IF($F267="","",IFERROR(VLOOKUP($F267,Inventory!$A:$K,11,FALSE),0))</f>
        <v>95</v>
      </c>
      <c r="K267" s="85">
        <v>15.0</v>
      </c>
      <c r="L267" s="85">
        <f t="shared" si="3"/>
        <v>80</v>
      </c>
      <c r="M267" s="83" t="s">
        <v>330</v>
      </c>
      <c r="N267" s="85">
        <f>IF($F267="","",IFERROR(VLOOKUP($F267,Inventory!$A:$I,9,FALSE),0))</f>
        <v>72</v>
      </c>
      <c r="O267" s="85">
        <f t="shared" si="4"/>
        <v>72</v>
      </c>
      <c r="P267" s="85">
        <f t="shared" si="5"/>
        <v>8</v>
      </c>
      <c r="Q267" s="83"/>
      <c r="R267" s="87" t="str">
        <f>IF($E267="","",IF(COUNTIF($E$7:$E267,$E267)&gt;1,"",IFERROR(VLOOKUP($E267,Orders!$A:$I,8,FALSE),"")))</f>
        <v/>
      </c>
      <c r="S267" s="87" t="str">
        <f>IF($E267="","",IF(COUNTIF($E$7:$E267,$E267)&gt;1,"",IFERROR(VLOOKUP($E267,Orders!$A:$I,9,FALSE),"")))</f>
        <v/>
      </c>
      <c r="T267" s="88">
        <f t="shared" si="6"/>
        <v>8</v>
      </c>
      <c r="U267" s="88">
        <f>IF($F267="","",IF($E267="",T267,SUMIF(Sales!$E$7:$E$1506,$E267,Sales!$T$7:$T$1506)))</f>
        <v>8</v>
      </c>
      <c r="V267" s="49" t="str">
        <f t="shared" si="7"/>
        <v/>
      </c>
      <c r="W267" s="49" t="str">
        <f t="array" ref="W267">IF($V267="","",SUMPRODUCT((Sales!$V$7:$V$1506&lt;&gt;"")*(Sales!$E$7:$E$1506&lt;$E267))+1)</f>
        <v/>
      </c>
      <c r="X267" s="49">
        <f t="shared" si="8"/>
        <v>127</v>
      </c>
      <c r="Y267" s="49" t="str">
        <f t="shared" si="9"/>
        <v>202608-127</v>
      </c>
    </row>
    <row r="268" ht="14.25" customHeight="1">
      <c r="A268" s="82">
        <v>46247.0</v>
      </c>
      <c r="B268" s="83" t="s">
        <v>324</v>
      </c>
      <c r="C268" s="83" t="s">
        <v>365</v>
      </c>
      <c r="D268" s="83" t="s">
        <v>366</v>
      </c>
      <c r="E268" s="83"/>
      <c r="F268" s="83" t="s">
        <v>376</v>
      </c>
      <c r="G268" s="83" t="str">
        <f>IF($F268="","",IFERROR(VLOOKUP($F268,Inventory!$A:$B,2,FALSE),""))</f>
        <v>PetMetro Cat Litter Coffee 5L</v>
      </c>
      <c r="H268" s="83">
        <v>1.0</v>
      </c>
      <c r="I268" s="84">
        <f t="shared" si="2"/>
        <v>260</v>
      </c>
      <c r="J268" s="85">
        <f>IF($F268="","",IFERROR(VLOOKUP($F268,Inventory!$A:$K,11,FALSE),0))</f>
        <v>280</v>
      </c>
      <c r="K268" s="85">
        <v>20.0</v>
      </c>
      <c r="L268" s="85">
        <f t="shared" si="3"/>
        <v>260</v>
      </c>
      <c r="M268" s="83" t="s">
        <v>330</v>
      </c>
      <c r="N268" s="85">
        <f>IF($F268="","",IFERROR(VLOOKUP($F268,Inventory!$A:$I,9,FALSE),0))</f>
        <v>200</v>
      </c>
      <c r="O268" s="85">
        <f t="shared" si="4"/>
        <v>200</v>
      </c>
      <c r="P268" s="85">
        <f t="shared" si="5"/>
        <v>60</v>
      </c>
      <c r="Q268" s="83"/>
      <c r="R268" s="87" t="str">
        <f>IF($E268="","",IF(COUNTIF($E$7:$E268,$E268)&gt;1,"",IFERROR(VLOOKUP($E268,Orders!$A:$I,8,FALSE),"")))</f>
        <v/>
      </c>
      <c r="S268" s="87" t="str">
        <f>IF($E268="","",IF(COUNTIF($E$7:$E268,$E268)&gt;1,"",IFERROR(VLOOKUP($E268,Orders!$A:$I,9,FALSE),"")))</f>
        <v/>
      </c>
      <c r="T268" s="88">
        <f t="shared" si="6"/>
        <v>60</v>
      </c>
      <c r="U268" s="88">
        <f>IF($F268="","",IF($E268="",T268,SUMIF(Sales!$E$7:$E$1506,$E268,Sales!$T$7:$T$1506)))</f>
        <v>60</v>
      </c>
      <c r="V268" s="49" t="str">
        <f t="shared" si="7"/>
        <v/>
      </c>
      <c r="W268" s="49" t="str">
        <f t="array" ref="W268">IF($V268="","",SUMPRODUCT((Sales!$V$7:$V$1506&lt;&gt;"")*(Sales!$E$7:$E$1506&lt;$E268))+1)</f>
        <v/>
      </c>
      <c r="X268" s="49">
        <f t="shared" si="8"/>
        <v>128</v>
      </c>
      <c r="Y268" s="49" t="str">
        <f t="shared" si="9"/>
        <v>202608-128</v>
      </c>
    </row>
    <row r="269" ht="14.25" customHeight="1">
      <c r="A269" s="82">
        <v>46247.0</v>
      </c>
      <c r="B269" s="83" t="s">
        <v>324</v>
      </c>
      <c r="C269" s="83" t="s">
        <v>365</v>
      </c>
      <c r="D269" s="83" t="s">
        <v>366</v>
      </c>
      <c r="E269" s="83"/>
      <c r="F269" s="83" t="s">
        <v>209</v>
      </c>
      <c r="G269" s="83" t="str">
        <f>IF($F269="","",IFERROR(VLOOKUP($F269,Inventory!$A:$B,2,FALSE),""))</f>
        <v>Smart Heart Pouch Tuna in Jelly Kitten</v>
      </c>
      <c r="H269" s="83">
        <v>2.0</v>
      </c>
      <c r="I269" s="84">
        <f t="shared" si="2"/>
        <v>85</v>
      </c>
      <c r="J269" s="85">
        <f>IF($F269="","",IFERROR(VLOOKUP($F269,Inventory!$A:$K,11,FALSE),0))</f>
        <v>95</v>
      </c>
      <c r="K269" s="85">
        <v>10.0</v>
      </c>
      <c r="L269" s="85">
        <f t="shared" si="3"/>
        <v>170</v>
      </c>
      <c r="M269" s="83" t="s">
        <v>330</v>
      </c>
      <c r="N269" s="85">
        <f>IF($F269="","",IFERROR(VLOOKUP($F269,Inventory!$A:$I,9,FALSE),0))</f>
        <v>72</v>
      </c>
      <c r="O269" s="85">
        <f t="shared" si="4"/>
        <v>144</v>
      </c>
      <c r="P269" s="85">
        <f t="shared" si="5"/>
        <v>26</v>
      </c>
      <c r="Q269" s="83"/>
      <c r="R269" s="87" t="str">
        <f>IF($E269="","",IF(COUNTIF($E$7:$E269,$E269)&gt;1,"",IFERROR(VLOOKUP($E269,Orders!$A:$I,8,FALSE),"")))</f>
        <v/>
      </c>
      <c r="S269" s="87" t="str">
        <f>IF($E269="","",IF(COUNTIF($E$7:$E269,$E269)&gt;1,"",IFERROR(VLOOKUP($E269,Orders!$A:$I,9,FALSE),"")))</f>
        <v/>
      </c>
      <c r="T269" s="88">
        <f t="shared" si="6"/>
        <v>26</v>
      </c>
      <c r="U269" s="88">
        <f>IF($F269="","",IF($E269="",T269,SUMIF(Sales!$E$7:$E$1506,$E269,Sales!$T$7:$T$1506)))</f>
        <v>26</v>
      </c>
      <c r="V269" s="49" t="str">
        <f t="shared" si="7"/>
        <v/>
      </c>
      <c r="W269" s="49" t="str">
        <f t="array" ref="W269">IF($V269="","",SUMPRODUCT((Sales!$V$7:$V$1506&lt;&gt;"")*(Sales!$E$7:$E$1506&lt;$E269))+1)</f>
        <v/>
      </c>
      <c r="X269" s="49">
        <f t="shared" si="8"/>
        <v>129</v>
      </c>
      <c r="Y269" s="49" t="str">
        <f t="shared" si="9"/>
        <v>202608-129</v>
      </c>
    </row>
    <row r="270" ht="14.25" customHeight="1">
      <c r="A270" s="82">
        <v>46247.0</v>
      </c>
      <c r="B270" s="83" t="s">
        <v>324</v>
      </c>
      <c r="C270" s="83" t="s">
        <v>365</v>
      </c>
      <c r="D270" s="83" t="s">
        <v>366</v>
      </c>
      <c r="E270" s="83"/>
      <c r="F270" s="83" t="s">
        <v>179</v>
      </c>
      <c r="G270" s="83" t="str">
        <f>IF($F270="","",IFERROR(VLOOKUP($F270,Inventory!$A:$B,2,FALSE),""))</f>
        <v>Creamy Treat 15G (Purry &amp; Hyper Paws)</v>
      </c>
      <c r="H270" s="83">
        <v>4.0</v>
      </c>
      <c r="I270" s="84">
        <f t="shared" si="2"/>
        <v>20</v>
      </c>
      <c r="J270" s="85">
        <f>IF($F270="","",IFERROR(VLOOKUP($F270,Inventory!$A:$K,11,FALSE),0))</f>
        <v>20</v>
      </c>
      <c r="K270" s="85"/>
      <c r="L270" s="85">
        <f t="shared" si="3"/>
        <v>80</v>
      </c>
      <c r="M270" s="83" t="s">
        <v>330</v>
      </c>
      <c r="N270" s="85">
        <f>IF($F270="","",IFERROR(VLOOKUP($F270,Inventory!$A:$I,9,FALSE),0))</f>
        <v>8.147411853</v>
      </c>
      <c r="O270" s="85">
        <f t="shared" si="4"/>
        <v>32.58964741</v>
      </c>
      <c r="P270" s="85">
        <f t="shared" si="5"/>
        <v>47.41035259</v>
      </c>
      <c r="Q270" s="83"/>
      <c r="R270" s="87" t="str">
        <f>IF($E270="","",IF(COUNTIF($E$7:$E270,$E270)&gt;1,"",IFERROR(VLOOKUP($E270,Orders!$A:$I,8,FALSE),"")))</f>
        <v/>
      </c>
      <c r="S270" s="87" t="str">
        <f>IF($E270="","",IF(COUNTIF($E$7:$E270,$E270)&gt;1,"",IFERROR(VLOOKUP($E270,Orders!$A:$I,9,FALSE),"")))</f>
        <v/>
      </c>
      <c r="T270" s="88">
        <f t="shared" si="6"/>
        <v>47.41035259</v>
      </c>
      <c r="U270" s="88">
        <f>IF($F270="","",IF($E270="",T270,SUMIF(Sales!$E$7:$E$1506,$E270,Sales!$T$7:$T$1506)))</f>
        <v>47.41035259</v>
      </c>
      <c r="V270" s="49" t="str">
        <f t="shared" si="7"/>
        <v/>
      </c>
      <c r="W270" s="49" t="str">
        <f t="array" ref="W270">IF($V270="","",SUMPRODUCT((Sales!$V$7:$V$1506&lt;&gt;"")*(Sales!$E$7:$E$1506&lt;$E270))+1)</f>
        <v/>
      </c>
      <c r="X270" s="49">
        <f t="shared" si="8"/>
        <v>130</v>
      </c>
      <c r="Y270" s="49" t="str">
        <f t="shared" si="9"/>
        <v>202608-130</v>
      </c>
    </row>
    <row r="271" ht="14.25" customHeight="1">
      <c r="A271" s="82">
        <v>46247.0</v>
      </c>
      <c r="B271" s="83" t="s">
        <v>324</v>
      </c>
      <c r="C271" s="83" t="s">
        <v>365</v>
      </c>
      <c r="D271" s="83" t="s">
        <v>366</v>
      </c>
      <c r="E271" s="83"/>
      <c r="F271" s="83" t="s">
        <v>211</v>
      </c>
      <c r="G271" s="83" t="str">
        <f>IF($F271="","",IFERROR(VLOOKUP($F271,Inventory!$A:$B,2,FALSE),""))</f>
        <v>Smart Heart Pouch  Tuna With Chicken in Jelly</v>
      </c>
      <c r="H271" s="83">
        <v>1.0</v>
      </c>
      <c r="I271" s="84">
        <f t="shared" si="2"/>
        <v>90</v>
      </c>
      <c r="J271" s="85">
        <f>IF($F271="","",IFERROR(VLOOKUP($F271,Inventory!$A:$K,11,FALSE),0))</f>
        <v>95</v>
      </c>
      <c r="K271" s="85">
        <v>5.0</v>
      </c>
      <c r="L271" s="85">
        <f t="shared" si="3"/>
        <v>90</v>
      </c>
      <c r="M271" s="83" t="s">
        <v>330</v>
      </c>
      <c r="N271" s="85">
        <f>IF($F271="","",IFERROR(VLOOKUP($F271,Inventory!$A:$I,9,FALSE),0))</f>
        <v>71.9047619</v>
      </c>
      <c r="O271" s="85">
        <f t="shared" si="4"/>
        <v>71.9047619</v>
      </c>
      <c r="P271" s="85">
        <f t="shared" si="5"/>
        <v>18.0952381</v>
      </c>
      <c r="Q271" s="83"/>
      <c r="R271" s="87" t="str">
        <f>IF($E271="","",IF(COUNTIF($E$7:$E271,$E271)&gt;1,"",IFERROR(VLOOKUP($E271,Orders!$A:$I,8,FALSE),"")))</f>
        <v/>
      </c>
      <c r="S271" s="87" t="str">
        <f>IF($E271="","",IF(COUNTIF($E$7:$E271,$E271)&gt;1,"",IFERROR(VLOOKUP($E271,Orders!$A:$I,9,FALSE),"")))</f>
        <v/>
      </c>
      <c r="T271" s="88">
        <f t="shared" si="6"/>
        <v>18.0952381</v>
      </c>
      <c r="U271" s="88">
        <f>IF($F271="","",IF($E271="",T271,SUMIF(Sales!$E$7:$E$1506,$E271,Sales!$T$7:$T$1506)))</f>
        <v>18.0952381</v>
      </c>
      <c r="V271" s="49" t="str">
        <f t="shared" si="7"/>
        <v/>
      </c>
      <c r="W271" s="49" t="str">
        <f t="array" ref="W271">IF($V271="","",SUMPRODUCT((Sales!$V$7:$V$1506&lt;&gt;"")*(Sales!$E$7:$E$1506&lt;$E271))+1)</f>
        <v/>
      </c>
      <c r="X271" s="49">
        <f t="shared" si="8"/>
        <v>131</v>
      </c>
      <c r="Y271" s="49" t="str">
        <f t="shared" si="9"/>
        <v>202608-131</v>
      </c>
    </row>
    <row r="272" ht="14.25" customHeight="1">
      <c r="A272" s="82">
        <v>46247.0</v>
      </c>
      <c r="B272" s="83" t="s">
        <v>324</v>
      </c>
      <c r="C272" s="83" t="s">
        <v>365</v>
      </c>
      <c r="D272" s="83" t="s">
        <v>366</v>
      </c>
      <c r="E272" s="83"/>
      <c r="F272" s="83" t="s">
        <v>200</v>
      </c>
      <c r="G272" s="83" t="str">
        <f>IF($F272="","",IFERROR(VLOOKUP($F272,Inventory!$A:$B,2,FALSE),""))</f>
        <v>Cozie Cat Litter Lavender 5L</v>
      </c>
      <c r="H272" s="83">
        <v>1.0</v>
      </c>
      <c r="I272" s="84">
        <f t="shared" si="2"/>
        <v>330</v>
      </c>
      <c r="J272" s="85">
        <f>IF($F272="","",IFERROR(VLOOKUP($F272,Inventory!$A:$K,11,FALSE),0))</f>
        <v>370</v>
      </c>
      <c r="K272" s="85">
        <v>40.0</v>
      </c>
      <c r="L272" s="85">
        <f t="shared" si="3"/>
        <v>330</v>
      </c>
      <c r="M272" s="83" t="s">
        <v>330</v>
      </c>
      <c r="N272" s="85">
        <f>IF($F272="","",IFERROR(VLOOKUP($F272,Inventory!$A:$I,9,FALSE),0))</f>
        <v>230</v>
      </c>
      <c r="O272" s="85">
        <f t="shared" si="4"/>
        <v>230</v>
      </c>
      <c r="P272" s="85">
        <f t="shared" si="5"/>
        <v>100</v>
      </c>
      <c r="Q272" s="83"/>
      <c r="R272" s="87" t="str">
        <f>IF($E272="","",IF(COUNTIF($E$7:$E272,$E272)&gt;1,"",IFERROR(VLOOKUP($E272,Orders!$A:$I,8,FALSE),"")))</f>
        <v/>
      </c>
      <c r="S272" s="87" t="str">
        <f>IF($E272="","",IF(COUNTIF($E$7:$E272,$E272)&gt;1,"",IFERROR(VLOOKUP($E272,Orders!$A:$I,9,FALSE),"")))</f>
        <v/>
      </c>
      <c r="T272" s="88">
        <f t="shared" si="6"/>
        <v>100</v>
      </c>
      <c r="U272" s="88">
        <f>IF($F272="","",IF($E272="",T272,SUMIF(Sales!$E$7:$E$1506,$E272,Sales!$T$7:$T$1506)))</f>
        <v>100</v>
      </c>
      <c r="V272" s="49" t="str">
        <f t="shared" si="7"/>
        <v/>
      </c>
      <c r="W272" s="49" t="str">
        <f t="array" ref="W272">IF($V272="","",SUMPRODUCT((Sales!$V$7:$V$1506&lt;&gt;"")*(Sales!$E$7:$E$1506&lt;$E272))+1)</f>
        <v/>
      </c>
      <c r="X272" s="49">
        <f t="shared" si="8"/>
        <v>132</v>
      </c>
      <c r="Y272" s="49" t="str">
        <f t="shared" si="9"/>
        <v>202608-132</v>
      </c>
    </row>
    <row r="273" ht="14.25" customHeight="1">
      <c r="A273" s="82">
        <v>46247.0</v>
      </c>
      <c r="B273" s="83" t="s">
        <v>324</v>
      </c>
      <c r="C273" s="83" t="s">
        <v>365</v>
      </c>
      <c r="D273" s="83" t="s">
        <v>366</v>
      </c>
      <c r="E273" s="83"/>
      <c r="F273" s="83" t="s">
        <v>205</v>
      </c>
      <c r="G273" s="83" t="str">
        <f>IF($F273="","",IFERROR(VLOOKUP($F273,Inventory!$A:$B,2,FALSE),""))</f>
        <v>Nekko Pouch 70G Tuna in Gravy</v>
      </c>
      <c r="H273" s="83">
        <v>2.0</v>
      </c>
      <c r="I273" s="84">
        <f t="shared" si="2"/>
        <v>80</v>
      </c>
      <c r="J273" s="85">
        <f>IF($F273="","",IFERROR(VLOOKUP($F273,Inventory!$A:$K,11,FALSE),0))</f>
        <v>85</v>
      </c>
      <c r="K273" s="85">
        <v>5.0</v>
      </c>
      <c r="L273" s="85">
        <f t="shared" si="3"/>
        <v>160</v>
      </c>
      <c r="M273" s="83" t="s">
        <v>330</v>
      </c>
      <c r="N273" s="85">
        <f>IF($F273="","",IFERROR(VLOOKUP($F273,Inventory!$A:$I,9,FALSE),0))</f>
        <v>65</v>
      </c>
      <c r="O273" s="85">
        <f t="shared" si="4"/>
        <v>130</v>
      </c>
      <c r="P273" s="85">
        <f t="shared" si="5"/>
        <v>30</v>
      </c>
      <c r="Q273" s="83"/>
      <c r="R273" s="87" t="str">
        <f>IF($E273="","",IF(COUNTIF($E$7:$E273,$E273)&gt;1,"",IFERROR(VLOOKUP($E273,Orders!$A:$I,8,FALSE),"")))</f>
        <v/>
      </c>
      <c r="S273" s="87" t="str">
        <f>IF($E273="","",IF(COUNTIF($E$7:$E273,$E273)&gt;1,"",IFERROR(VLOOKUP($E273,Orders!$A:$I,9,FALSE),"")))</f>
        <v/>
      </c>
      <c r="T273" s="88">
        <f t="shared" si="6"/>
        <v>30</v>
      </c>
      <c r="U273" s="88">
        <f>IF($F273="","",IF($E273="",T273,SUMIF(Sales!$E$7:$E$1506,$E273,Sales!$T$7:$T$1506)))</f>
        <v>30</v>
      </c>
      <c r="V273" s="49" t="str">
        <f t="shared" si="7"/>
        <v/>
      </c>
      <c r="W273" s="49" t="str">
        <f t="array" ref="W273">IF($V273="","",SUMPRODUCT((Sales!$V$7:$V$1506&lt;&gt;"")*(Sales!$E$7:$E$1506&lt;$E273))+1)</f>
        <v/>
      </c>
      <c r="X273" s="49">
        <f t="shared" si="8"/>
        <v>133</v>
      </c>
      <c r="Y273" s="49" t="str">
        <f t="shared" si="9"/>
        <v>202608-133</v>
      </c>
    </row>
    <row r="274" ht="14.25" customHeight="1">
      <c r="A274" s="82">
        <v>46247.0</v>
      </c>
      <c r="B274" s="83" t="s">
        <v>324</v>
      </c>
      <c r="C274" s="83" t="s">
        <v>365</v>
      </c>
      <c r="D274" s="83" t="s">
        <v>366</v>
      </c>
      <c r="E274" s="83"/>
      <c r="F274" s="83" t="s">
        <v>247</v>
      </c>
      <c r="G274" s="83" t="str">
        <f>IF($F274="","",IFERROR(VLOOKUP($F274,Inventory!$A:$B,2,FALSE),""))</f>
        <v>Cat Toy Long Wire (Fish, Ball )</v>
      </c>
      <c r="H274" s="83">
        <v>1.0</v>
      </c>
      <c r="I274" s="84">
        <f t="shared" si="2"/>
        <v>100</v>
      </c>
      <c r="J274" s="85">
        <f>IF($F274="","",IFERROR(VLOOKUP($F274,Inventory!$A:$K,11,FALSE),0))</f>
        <v>130</v>
      </c>
      <c r="K274" s="85">
        <v>30.0</v>
      </c>
      <c r="L274" s="85">
        <f t="shared" si="3"/>
        <v>100</v>
      </c>
      <c r="M274" s="83" t="s">
        <v>330</v>
      </c>
      <c r="N274" s="85">
        <f>IF($F274="","",IFERROR(VLOOKUP($F274,Inventory!$A:$I,9,FALSE),0))</f>
        <v>80</v>
      </c>
      <c r="O274" s="85">
        <f t="shared" si="4"/>
        <v>80</v>
      </c>
      <c r="P274" s="85">
        <f t="shared" si="5"/>
        <v>20</v>
      </c>
      <c r="Q274" s="83"/>
      <c r="R274" s="87" t="str">
        <f>IF($E274="","",IF(COUNTIF($E$7:$E274,$E274)&gt;1,"",IFERROR(VLOOKUP($E274,Orders!$A:$I,8,FALSE),"")))</f>
        <v/>
      </c>
      <c r="S274" s="87" t="str">
        <f>IF($E274="","",IF(COUNTIF($E$7:$E274,$E274)&gt;1,"",IFERROR(VLOOKUP($E274,Orders!$A:$I,9,FALSE),"")))</f>
        <v/>
      </c>
      <c r="T274" s="88">
        <f t="shared" si="6"/>
        <v>20</v>
      </c>
      <c r="U274" s="88">
        <f>IF($F274="","",IF($E274="",T274,SUMIF(Sales!$E$7:$E$1506,$E274,Sales!$T$7:$T$1506)))</f>
        <v>20</v>
      </c>
      <c r="V274" s="49" t="str">
        <f t="shared" si="7"/>
        <v/>
      </c>
      <c r="W274" s="49" t="str">
        <f t="array" ref="W274">IF($V274="","",SUMPRODUCT((Sales!$V$7:$V$1506&lt;&gt;"")*(Sales!$E$7:$E$1506&lt;$E274))+1)</f>
        <v/>
      </c>
      <c r="X274" s="49">
        <f t="shared" si="8"/>
        <v>134</v>
      </c>
      <c r="Y274" s="49" t="str">
        <f t="shared" si="9"/>
        <v>202608-134</v>
      </c>
    </row>
    <row r="275" ht="14.25" customHeight="1">
      <c r="A275" s="82">
        <v>46248.0</v>
      </c>
      <c r="B275" s="83" t="s">
        <v>324</v>
      </c>
      <c r="C275" s="83" t="s">
        <v>365</v>
      </c>
      <c r="D275" s="83" t="s">
        <v>366</v>
      </c>
      <c r="E275" s="83"/>
      <c r="F275" s="83" t="s">
        <v>179</v>
      </c>
      <c r="G275" s="83" t="str">
        <f>IF($F275="","",IFERROR(VLOOKUP($F275,Inventory!$A:$B,2,FALSE),""))</f>
        <v>Creamy Treat 15G (Purry &amp; Hyper Paws)</v>
      </c>
      <c r="H275" s="83">
        <v>1.0</v>
      </c>
      <c r="I275" s="84">
        <f t="shared" si="2"/>
        <v>20</v>
      </c>
      <c r="J275" s="85">
        <f>IF($F275="","",IFERROR(VLOOKUP($F275,Inventory!$A:$K,11,FALSE),0))</f>
        <v>20</v>
      </c>
      <c r="K275" s="85"/>
      <c r="L275" s="85">
        <f t="shared" si="3"/>
        <v>20</v>
      </c>
      <c r="M275" s="83" t="s">
        <v>330</v>
      </c>
      <c r="N275" s="85">
        <f>IF($F275="","",IFERROR(VLOOKUP($F275,Inventory!$A:$I,9,FALSE),0))</f>
        <v>8.147411853</v>
      </c>
      <c r="O275" s="85">
        <f t="shared" si="4"/>
        <v>8.147411853</v>
      </c>
      <c r="P275" s="85">
        <f t="shared" si="5"/>
        <v>11.85258815</v>
      </c>
      <c r="Q275" s="83"/>
      <c r="R275" s="87" t="str">
        <f>IF($E275="","",IF(COUNTIF($E$7:$E275,$E275)&gt;1,"",IFERROR(VLOOKUP($E275,Orders!$A:$I,8,FALSE),"")))</f>
        <v/>
      </c>
      <c r="S275" s="87" t="str">
        <f>IF($E275="","",IF(COUNTIF($E$7:$E275,$E275)&gt;1,"",IFERROR(VLOOKUP($E275,Orders!$A:$I,9,FALSE),"")))</f>
        <v/>
      </c>
      <c r="T275" s="88">
        <f t="shared" si="6"/>
        <v>11.85258815</v>
      </c>
      <c r="U275" s="88">
        <f>IF($F275="","",IF($E275="",T275,SUMIF(Sales!$E$7:$E$1506,$E275,Sales!$T$7:$T$1506)))</f>
        <v>11.85258815</v>
      </c>
      <c r="V275" s="49" t="str">
        <f t="shared" si="7"/>
        <v/>
      </c>
      <c r="W275" s="49" t="str">
        <f t="array" ref="W275">IF($V275="","",SUMPRODUCT((Sales!$V$7:$V$1506&lt;&gt;"")*(Sales!$E$7:$E$1506&lt;$E275))+1)</f>
        <v/>
      </c>
      <c r="X275" s="49">
        <f t="shared" si="8"/>
        <v>135</v>
      </c>
      <c r="Y275" s="49" t="str">
        <f t="shared" si="9"/>
        <v>202608-135</v>
      </c>
    </row>
    <row r="276" ht="14.25" customHeight="1">
      <c r="A276" s="82">
        <v>46248.0</v>
      </c>
      <c r="B276" s="83" t="s">
        <v>324</v>
      </c>
      <c r="C276" s="83" t="s">
        <v>365</v>
      </c>
      <c r="D276" s="83" t="s">
        <v>366</v>
      </c>
      <c r="E276" s="83"/>
      <c r="F276" s="83" t="s">
        <v>179</v>
      </c>
      <c r="G276" s="83" t="str">
        <f>IF($F276="","",IFERROR(VLOOKUP($F276,Inventory!$A:$B,2,FALSE),""))</f>
        <v>Creamy Treat 15G (Purry &amp; Hyper Paws)</v>
      </c>
      <c r="H276" s="83">
        <v>1.0</v>
      </c>
      <c r="I276" s="84">
        <f t="shared" si="2"/>
        <v>20</v>
      </c>
      <c r="J276" s="85">
        <f>IF($F276="","",IFERROR(VLOOKUP($F276,Inventory!$A:$K,11,FALSE),0))</f>
        <v>20</v>
      </c>
      <c r="K276" s="85"/>
      <c r="L276" s="85">
        <f t="shared" si="3"/>
        <v>20</v>
      </c>
      <c r="M276" s="83" t="s">
        <v>330</v>
      </c>
      <c r="N276" s="85">
        <f>IF($F276="","",IFERROR(VLOOKUP($F276,Inventory!$A:$I,9,FALSE),0))</f>
        <v>8.147411853</v>
      </c>
      <c r="O276" s="85">
        <f t="shared" si="4"/>
        <v>8.147411853</v>
      </c>
      <c r="P276" s="85">
        <f t="shared" si="5"/>
        <v>11.85258815</v>
      </c>
      <c r="Q276" s="83"/>
      <c r="R276" s="87" t="str">
        <f>IF($E276="","",IF(COUNTIF($E$7:$E276,$E276)&gt;1,"",IFERROR(VLOOKUP($E276,Orders!$A:$I,8,FALSE),"")))</f>
        <v/>
      </c>
      <c r="S276" s="87" t="str">
        <f>IF($E276="","",IF(COUNTIF($E$7:$E276,$E276)&gt;1,"",IFERROR(VLOOKUP($E276,Orders!$A:$I,9,FALSE),"")))</f>
        <v/>
      </c>
      <c r="T276" s="88">
        <f t="shared" si="6"/>
        <v>11.85258815</v>
      </c>
      <c r="U276" s="88">
        <f>IF($F276="","",IF($E276="",T276,SUMIF(Sales!$E$7:$E$1506,$E276,Sales!$T$7:$T$1506)))</f>
        <v>11.85258815</v>
      </c>
      <c r="V276" s="49" t="str">
        <f t="shared" si="7"/>
        <v/>
      </c>
      <c r="W276" s="49" t="str">
        <f t="array" ref="W276">IF($V276="","",SUMPRODUCT((Sales!$V$7:$V$1506&lt;&gt;"")*(Sales!$E$7:$E$1506&lt;$E276))+1)</f>
        <v/>
      </c>
      <c r="X276" s="49">
        <f t="shared" si="8"/>
        <v>136</v>
      </c>
      <c r="Y276" s="49" t="str">
        <f t="shared" si="9"/>
        <v>202608-136</v>
      </c>
    </row>
    <row r="277" ht="14.25" customHeight="1">
      <c r="A277" s="82">
        <v>46248.0</v>
      </c>
      <c r="B277" s="83" t="s">
        <v>324</v>
      </c>
      <c r="C277" s="83" t="s">
        <v>325</v>
      </c>
      <c r="D277" s="83" t="s">
        <v>584</v>
      </c>
      <c r="E277" s="103" t="s">
        <v>594</v>
      </c>
      <c r="F277" s="83" t="s">
        <v>200</v>
      </c>
      <c r="G277" s="83" t="str">
        <f>IF($F277="","",IFERROR(VLOOKUP($F277,Inventory!$A:$B,2,FALSE),""))</f>
        <v>Cozie Cat Litter Lavender 5L</v>
      </c>
      <c r="H277" s="83">
        <v>2.0</v>
      </c>
      <c r="I277" s="84">
        <f t="shared" si="2"/>
        <v>310</v>
      </c>
      <c r="J277" s="85">
        <f>IF($F277="","",IFERROR(VLOOKUP($F277,Inventory!$A:$K,11,FALSE),0))</f>
        <v>370</v>
      </c>
      <c r="K277" s="85">
        <v>60.0</v>
      </c>
      <c r="L277" s="85">
        <f t="shared" si="3"/>
        <v>620</v>
      </c>
      <c r="M277" s="83" t="s">
        <v>330</v>
      </c>
      <c r="N277" s="85">
        <f>IF($F277="","",IFERROR(VLOOKUP($F277,Inventory!$A:$I,9,FALSE),0))</f>
        <v>230</v>
      </c>
      <c r="O277" s="85">
        <f t="shared" si="4"/>
        <v>460</v>
      </c>
      <c r="P277" s="85">
        <f t="shared" si="5"/>
        <v>160</v>
      </c>
      <c r="Q277" s="83"/>
      <c r="R277" s="87">
        <f>IF($E277="","",IF(COUNTIF($E$7:$E277,$E277)&gt;1,"",IFERROR(VLOOKUP($E277,Orders!$A:$I,8,FALSE),"")))</f>
        <v>60</v>
      </c>
      <c r="S277" s="87">
        <f>IF($E277="","",IF(COUNTIF($E$7:$E277,$E277)&gt;1,"",IFERROR(VLOOKUP($E277,Orders!$A:$I,9,FALSE),"")))</f>
        <v>40</v>
      </c>
      <c r="T277" s="88">
        <f t="shared" si="6"/>
        <v>180</v>
      </c>
      <c r="U277" s="88">
        <f>IF($F277="","",IF($E277="",T277,SUMIF(Sales!$E$7:$E$1506,$E277,Sales!$T$7:$T$1506)))</f>
        <v>180</v>
      </c>
      <c r="V277" s="49">
        <f t="shared" si="7"/>
        <v>15</v>
      </c>
      <c r="W277" s="49">
        <f t="array" ref="W277">IF($V277="","",SUMPRODUCT((Sales!$V$7:$V$1506&lt;&gt;"")*(Sales!$E$7:$E$1506&lt;$E277))+1)</f>
        <v>15</v>
      </c>
      <c r="X277" s="49">
        <f t="shared" si="8"/>
        <v>137</v>
      </c>
      <c r="Y277" s="49" t="str">
        <f t="shared" si="9"/>
        <v>202608-137</v>
      </c>
    </row>
    <row r="278" ht="14.25" customHeight="1">
      <c r="A278" s="82">
        <v>46248.0</v>
      </c>
      <c r="B278" s="83" t="s">
        <v>324</v>
      </c>
      <c r="C278" s="83" t="s">
        <v>365</v>
      </c>
      <c r="D278" s="83" t="s">
        <v>366</v>
      </c>
      <c r="E278" s="83"/>
      <c r="F278" s="83" t="s">
        <v>200</v>
      </c>
      <c r="G278" s="83" t="str">
        <f>IF($F278="","",IFERROR(VLOOKUP($F278,Inventory!$A:$B,2,FALSE),""))</f>
        <v>Cozie Cat Litter Lavender 5L</v>
      </c>
      <c r="H278" s="83">
        <v>1.0</v>
      </c>
      <c r="I278" s="84">
        <f t="shared" si="2"/>
        <v>350</v>
      </c>
      <c r="J278" s="85">
        <f>IF($F278="","",IFERROR(VLOOKUP($F278,Inventory!$A:$K,11,FALSE),0))</f>
        <v>370</v>
      </c>
      <c r="K278" s="85">
        <v>20.0</v>
      </c>
      <c r="L278" s="85">
        <f t="shared" si="3"/>
        <v>350</v>
      </c>
      <c r="M278" s="83" t="s">
        <v>330</v>
      </c>
      <c r="N278" s="85">
        <f>IF($F278="","",IFERROR(VLOOKUP($F278,Inventory!$A:$I,9,FALSE),0))</f>
        <v>230</v>
      </c>
      <c r="O278" s="85">
        <f t="shared" si="4"/>
        <v>230</v>
      </c>
      <c r="P278" s="85">
        <f t="shared" si="5"/>
        <v>120</v>
      </c>
      <c r="Q278" s="83"/>
      <c r="R278" s="87" t="str">
        <f>IF($E278="","",IF(COUNTIF($E$7:$E278,$E278)&gt;1,"",IFERROR(VLOOKUP($E278,Orders!$A:$I,8,FALSE),"")))</f>
        <v/>
      </c>
      <c r="S278" s="87" t="str">
        <f>IF($E278="","",IF(COUNTIF($E$7:$E278,$E278)&gt;1,"",IFERROR(VLOOKUP($E278,Orders!$A:$I,9,FALSE),"")))</f>
        <v/>
      </c>
      <c r="T278" s="88">
        <f t="shared" si="6"/>
        <v>120</v>
      </c>
      <c r="U278" s="88">
        <f>IF($F278="","",IF($E278="",T278,SUMIF(Sales!$E$7:$E$1506,$E278,Sales!$T$7:$T$1506)))</f>
        <v>120</v>
      </c>
      <c r="V278" s="49" t="str">
        <f t="shared" si="7"/>
        <v/>
      </c>
      <c r="W278" s="49" t="str">
        <f t="array" ref="W278">IF($V278="","",SUMPRODUCT((Sales!$V$7:$V$1506&lt;&gt;"")*(Sales!$E$7:$E$1506&lt;$E278))+1)</f>
        <v/>
      </c>
      <c r="X278" s="49">
        <f t="shared" si="8"/>
        <v>138</v>
      </c>
      <c r="Y278" s="49" t="str">
        <f t="shared" si="9"/>
        <v>202608-138</v>
      </c>
    </row>
    <row r="279" ht="14.25" customHeight="1">
      <c r="A279" s="82">
        <v>46248.0</v>
      </c>
      <c r="B279" s="83" t="s">
        <v>324</v>
      </c>
      <c r="C279" s="83" t="s">
        <v>365</v>
      </c>
      <c r="D279" s="83" t="s">
        <v>366</v>
      </c>
      <c r="E279" s="83"/>
      <c r="F279" s="83" t="s">
        <v>258</v>
      </c>
      <c r="G279" s="83" t="str">
        <f>IF($F279="","",IFERROR(VLOOKUP($F279,Inventory!$A:$B,2,FALSE),""))</f>
        <v>Kitchen Flavor Grain Free Adult 400G</v>
      </c>
      <c r="H279" s="83">
        <v>1.0</v>
      </c>
      <c r="I279" s="84">
        <f t="shared" si="2"/>
        <v>360</v>
      </c>
      <c r="J279" s="85">
        <f>IF($F279="","",IFERROR(VLOOKUP($F279,Inventory!$A:$K,11,FALSE),0))</f>
        <v>380</v>
      </c>
      <c r="K279" s="85">
        <v>20.0</v>
      </c>
      <c r="L279" s="85">
        <f t="shared" si="3"/>
        <v>360</v>
      </c>
      <c r="M279" s="83" t="s">
        <v>330</v>
      </c>
      <c r="N279" s="85">
        <f>IF($F279="","",IFERROR(VLOOKUP($F279,Inventory!$A:$I,9,FALSE),0))</f>
        <v>290</v>
      </c>
      <c r="O279" s="85">
        <f t="shared" si="4"/>
        <v>290</v>
      </c>
      <c r="P279" s="85">
        <f t="shared" si="5"/>
        <v>70</v>
      </c>
      <c r="Q279" s="83"/>
      <c r="R279" s="87" t="str">
        <f>IF($E279="","",IF(COUNTIF($E$7:$E279,$E279)&gt;1,"",IFERROR(VLOOKUP($E279,Orders!$A:$I,8,FALSE),"")))</f>
        <v/>
      </c>
      <c r="S279" s="87" t="str">
        <f>IF($E279="","",IF(COUNTIF($E$7:$E279,$E279)&gt;1,"",IFERROR(VLOOKUP($E279,Orders!$A:$I,9,FALSE),"")))</f>
        <v/>
      </c>
      <c r="T279" s="88">
        <f t="shared" si="6"/>
        <v>70</v>
      </c>
      <c r="U279" s="88">
        <f>IF($F279="","",IF($E279="",T279,SUMIF(Sales!$E$7:$E$1506,$E279,Sales!$T$7:$T$1506)))</f>
        <v>70</v>
      </c>
      <c r="V279" s="49" t="str">
        <f t="shared" si="7"/>
        <v/>
      </c>
      <c r="W279" s="49" t="str">
        <f t="array" ref="W279">IF($V279="","",SUMPRODUCT((Sales!$V$7:$V$1506&lt;&gt;"")*(Sales!$E$7:$E$1506&lt;$E279))+1)</f>
        <v/>
      </c>
      <c r="X279" s="49">
        <f t="shared" si="8"/>
        <v>139</v>
      </c>
      <c r="Y279" s="49" t="str">
        <f t="shared" si="9"/>
        <v>202608-139</v>
      </c>
    </row>
    <row r="280" ht="14.25" customHeight="1">
      <c r="A280" s="82">
        <v>46249.0</v>
      </c>
      <c r="B280" s="83" t="s">
        <v>324</v>
      </c>
      <c r="C280" s="83" t="s">
        <v>365</v>
      </c>
      <c r="D280" s="83" t="s">
        <v>366</v>
      </c>
      <c r="E280" s="83"/>
      <c r="F280" s="83" t="s">
        <v>407</v>
      </c>
      <c r="G280" s="83" t="str">
        <f>IF($F280="","",IFERROR(VLOOKUP($F280,Inventory!$A:$B,2,FALSE),""))</f>
        <v>LuminaCat Litter Lavender 25L</v>
      </c>
      <c r="H280" s="83">
        <v>1.0</v>
      </c>
      <c r="I280" s="84">
        <f t="shared" si="2"/>
        <v>1200</v>
      </c>
      <c r="J280" s="85">
        <f>IF($F280="","",IFERROR(VLOOKUP($F280,Inventory!$A:$K,11,FALSE),0))</f>
        <v>1350</v>
      </c>
      <c r="K280" s="85">
        <v>150.0</v>
      </c>
      <c r="L280" s="85">
        <f t="shared" si="3"/>
        <v>1200</v>
      </c>
      <c r="M280" s="83" t="s">
        <v>330</v>
      </c>
      <c r="N280" s="85">
        <f>IF($F280="","",IFERROR(VLOOKUP($F280,Inventory!$A:$I,9,FALSE),0))</f>
        <v>950</v>
      </c>
      <c r="O280" s="85">
        <f t="shared" si="4"/>
        <v>950</v>
      </c>
      <c r="P280" s="85">
        <f t="shared" si="5"/>
        <v>250</v>
      </c>
      <c r="Q280" s="83"/>
      <c r="R280" s="87" t="str">
        <f>IF($E280="","",IF(COUNTIF($E$7:$E280,$E280)&gt;1,"",IFERROR(VLOOKUP($E280,Orders!$A:$I,8,FALSE),"")))</f>
        <v/>
      </c>
      <c r="S280" s="87" t="str">
        <f>IF($E280="","",IF(COUNTIF($E$7:$E280,$E280)&gt;1,"",IFERROR(VLOOKUP($E280,Orders!$A:$I,9,FALSE),"")))</f>
        <v/>
      </c>
      <c r="T280" s="88">
        <f t="shared" si="6"/>
        <v>250</v>
      </c>
      <c r="U280" s="88">
        <f>IF($F280="","",IF($E280="",T280,SUMIF(Sales!$E$7:$E$1506,$E280,Sales!$T$7:$T$1506)))</f>
        <v>250</v>
      </c>
      <c r="V280" s="49" t="str">
        <f t="shared" si="7"/>
        <v/>
      </c>
      <c r="W280" s="49" t="str">
        <f t="array" ref="W280">IF($V280="","",SUMPRODUCT((Sales!$V$7:$V$1506&lt;&gt;"")*(Sales!$E$7:$E$1506&lt;$E280))+1)</f>
        <v/>
      </c>
      <c r="X280" s="49">
        <f t="shared" si="8"/>
        <v>140</v>
      </c>
      <c r="Y280" s="49" t="str">
        <f t="shared" si="9"/>
        <v>202608-140</v>
      </c>
    </row>
    <row r="281" ht="14.25" customHeight="1">
      <c r="A281" s="82">
        <v>46249.0</v>
      </c>
      <c r="B281" s="83" t="s">
        <v>324</v>
      </c>
      <c r="C281" s="83" t="s">
        <v>365</v>
      </c>
      <c r="D281" s="83" t="s">
        <v>366</v>
      </c>
      <c r="E281" s="83"/>
      <c r="F281" s="83" t="s">
        <v>378</v>
      </c>
      <c r="G281" s="83" t="str">
        <f>IF($F281="","",IFERROR(VLOOKUP($F281,Inventory!$A:$B,2,FALSE),""))</f>
        <v>Drools &amp; Purepet Mixe Cat Food 500gm</v>
      </c>
      <c r="H281" s="83">
        <v>4.0</v>
      </c>
      <c r="I281" s="84">
        <f t="shared" si="2"/>
        <v>200</v>
      </c>
      <c r="J281" s="85">
        <f>IF($F281="","",IFERROR(VLOOKUP($F281,Inventory!$A:$K,11,FALSE),0))</f>
        <v>225</v>
      </c>
      <c r="K281" s="85">
        <v>25.0</v>
      </c>
      <c r="L281" s="85">
        <f t="shared" si="3"/>
        <v>800</v>
      </c>
      <c r="M281" s="83" t="s">
        <v>330</v>
      </c>
      <c r="N281" s="85">
        <f>IF($F281="","",IFERROR(VLOOKUP($F281,Inventory!$A:$I,9,FALSE),0))</f>
        <v>152.9310345</v>
      </c>
      <c r="O281" s="85">
        <f t="shared" si="4"/>
        <v>611.7241379</v>
      </c>
      <c r="P281" s="85">
        <f t="shared" si="5"/>
        <v>188.2758621</v>
      </c>
      <c r="Q281" s="83"/>
      <c r="R281" s="87" t="str">
        <f>IF($E281="","",IF(COUNTIF($E$7:$E281,$E281)&gt;1,"",IFERROR(VLOOKUP($E281,Orders!$A:$I,8,FALSE),"")))</f>
        <v/>
      </c>
      <c r="S281" s="87" t="str">
        <f>IF($E281="","",IF(COUNTIF($E$7:$E281,$E281)&gt;1,"",IFERROR(VLOOKUP($E281,Orders!$A:$I,9,FALSE),"")))</f>
        <v/>
      </c>
      <c r="T281" s="88">
        <f t="shared" si="6"/>
        <v>188.2758621</v>
      </c>
      <c r="U281" s="88">
        <f>IF($F281="","",IF($E281="",T281,SUMIF(Sales!$E$7:$E$1506,$E281,Sales!$T$7:$T$1506)))</f>
        <v>188.2758621</v>
      </c>
      <c r="V281" s="49" t="str">
        <f t="shared" si="7"/>
        <v/>
      </c>
      <c r="W281" s="49" t="str">
        <f t="array" ref="W281">IF($V281="","",SUMPRODUCT((Sales!$V$7:$V$1506&lt;&gt;"")*(Sales!$E$7:$E$1506&lt;$E281))+1)</f>
        <v/>
      </c>
      <c r="X281" s="49">
        <f t="shared" si="8"/>
        <v>141</v>
      </c>
      <c r="Y281" s="49" t="str">
        <f t="shared" si="9"/>
        <v>202608-141</v>
      </c>
    </row>
    <row r="282" ht="14.25" customHeight="1">
      <c r="A282" s="82">
        <v>46249.0</v>
      </c>
      <c r="B282" s="83" t="s">
        <v>324</v>
      </c>
      <c r="C282" s="83" t="s">
        <v>365</v>
      </c>
      <c r="D282" s="83" t="s">
        <v>366</v>
      </c>
      <c r="E282" s="83"/>
      <c r="F282" s="83" t="s">
        <v>192</v>
      </c>
      <c r="G282" s="83" t="str">
        <f>IF($F282="","",IFERROR(VLOOKUP($F282,Inventory!$A:$B,2,FALSE),""))</f>
        <v>Kaniva Fusion Multiviamins Chicken &amp; Pumpkin 500gm</v>
      </c>
      <c r="H282" s="83">
        <v>1.0</v>
      </c>
      <c r="I282" s="84">
        <f t="shared" si="2"/>
        <v>600</v>
      </c>
      <c r="J282" s="85">
        <f>IF($F282="","",IFERROR(VLOOKUP($F282,Inventory!$A:$K,11,FALSE),0))</f>
        <v>650</v>
      </c>
      <c r="K282" s="85">
        <v>50.0</v>
      </c>
      <c r="L282" s="85">
        <f t="shared" si="3"/>
        <v>600</v>
      </c>
      <c r="M282" s="83" t="s">
        <v>330</v>
      </c>
      <c r="N282" s="85">
        <f>IF($F282="","",IFERROR(VLOOKUP($F282,Inventory!$A:$I,9,FALSE),0))</f>
        <v>507</v>
      </c>
      <c r="O282" s="85">
        <f t="shared" si="4"/>
        <v>507</v>
      </c>
      <c r="P282" s="85">
        <f t="shared" si="5"/>
        <v>93</v>
      </c>
      <c r="Q282" s="83"/>
      <c r="R282" s="87" t="str">
        <f>IF($E282="","",IF(COUNTIF($E$7:$E282,$E282)&gt;1,"",IFERROR(VLOOKUP($E282,Orders!$A:$I,8,FALSE),"")))</f>
        <v/>
      </c>
      <c r="S282" s="87" t="str">
        <f>IF($E282="","",IF(COUNTIF($E$7:$E282,$E282)&gt;1,"",IFERROR(VLOOKUP($E282,Orders!$A:$I,9,FALSE),"")))</f>
        <v/>
      </c>
      <c r="T282" s="88">
        <f t="shared" si="6"/>
        <v>93</v>
      </c>
      <c r="U282" s="88">
        <f>IF($F282="","",IF($E282="",T282,SUMIF(Sales!$E$7:$E$1506,$E282,Sales!$T$7:$T$1506)))</f>
        <v>93</v>
      </c>
      <c r="V282" s="49" t="str">
        <f t="shared" si="7"/>
        <v/>
      </c>
      <c r="W282" s="49" t="str">
        <f t="array" ref="W282">IF($V282="","",SUMPRODUCT((Sales!$V$7:$V$1506&lt;&gt;"")*(Sales!$E$7:$E$1506&lt;$E282))+1)</f>
        <v/>
      </c>
      <c r="X282" s="49">
        <f t="shared" si="8"/>
        <v>142</v>
      </c>
      <c r="Y282" s="49" t="str">
        <f t="shared" si="9"/>
        <v>202608-142</v>
      </c>
    </row>
    <row r="283" ht="14.25" customHeight="1">
      <c r="A283" s="82">
        <v>46249.0</v>
      </c>
      <c r="B283" s="83" t="s">
        <v>324</v>
      </c>
      <c r="C283" s="83" t="s">
        <v>365</v>
      </c>
      <c r="D283" s="83" t="s">
        <v>366</v>
      </c>
      <c r="E283" s="83"/>
      <c r="F283" s="83" t="s">
        <v>168</v>
      </c>
      <c r="G283" s="83" t="str">
        <f>IF($F283="","",IFERROR(VLOOKUP($F283,Inventory!$A:$B,2,FALSE),""))</f>
        <v>Chonk All ages Chicken</v>
      </c>
      <c r="H283" s="83">
        <v>1.0</v>
      </c>
      <c r="I283" s="84">
        <f t="shared" si="2"/>
        <v>500</v>
      </c>
      <c r="J283" s="85">
        <f>IF($F283="","",IFERROR(VLOOKUP($F283,Inventory!$A:$K,11,FALSE),0))</f>
        <v>500</v>
      </c>
      <c r="K283" s="85"/>
      <c r="L283" s="85">
        <f t="shared" si="3"/>
        <v>500</v>
      </c>
      <c r="M283" s="83" t="s">
        <v>330</v>
      </c>
      <c r="N283" s="85">
        <f>IF($F283="","",IFERROR(VLOOKUP($F283,Inventory!$A:$I,9,FALSE),0))</f>
        <v>400</v>
      </c>
      <c r="O283" s="85">
        <f t="shared" si="4"/>
        <v>400</v>
      </c>
      <c r="P283" s="85">
        <f t="shared" si="5"/>
        <v>100</v>
      </c>
      <c r="Q283" s="83"/>
      <c r="R283" s="87" t="str">
        <f>IF($E283="","",IF(COUNTIF($E$7:$E283,$E283)&gt;1,"",IFERROR(VLOOKUP($E283,Orders!$A:$I,8,FALSE),"")))</f>
        <v/>
      </c>
      <c r="S283" s="87" t="str">
        <f>IF($E283="","",IF(COUNTIF($E$7:$E283,$E283)&gt;1,"",IFERROR(VLOOKUP($E283,Orders!$A:$I,9,FALSE),"")))</f>
        <v/>
      </c>
      <c r="T283" s="88">
        <f t="shared" si="6"/>
        <v>100</v>
      </c>
      <c r="U283" s="88">
        <f>IF($F283="","",IF($E283="",T283,SUMIF(Sales!$E$7:$E$1506,$E283,Sales!$T$7:$T$1506)))</f>
        <v>100</v>
      </c>
      <c r="V283" s="49" t="str">
        <f t="shared" si="7"/>
        <v/>
      </c>
      <c r="W283" s="49" t="str">
        <f t="array" ref="W283">IF($V283="","",SUMPRODUCT((Sales!$V$7:$V$1506&lt;&gt;"")*(Sales!$E$7:$E$1506&lt;$E283))+1)</f>
        <v/>
      </c>
      <c r="X283" s="49">
        <f t="shared" si="8"/>
        <v>143</v>
      </c>
      <c r="Y283" s="49" t="str">
        <f t="shared" si="9"/>
        <v>202608-143</v>
      </c>
    </row>
    <row r="284" ht="14.25" customHeight="1">
      <c r="A284" s="82">
        <v>46249.0</v>
      </c>
      <c r="B284" s="83" t="s">
        <v>428</v>
      </c>
      <c r="C284" s="83" t="s">
        <v>365</v>
      </c>
      <c r="D284" s="83" t="s">
        <v>366</v>
      </c>
      <c r="E284" s="83"/>
      <c r="F284" s="83" t="s">
        <v>179</v>
      </c>
      <c r="G284" s="83" t="str">
        <f>IF($F284="","",IFERROR(VLOOKUP($F284,Inventory!$A:$B,2,FALSE),""))</f>
        <v>Creamy Treat 15G (Purry &amp; Hyper Paws)</v>
      </c>
      <c r="H284" s="83">
        <v>3.0</v>
      </c>
      <c r="I284" s="84">
        <f t="shared" si="2"/>
        <v>0</v>
      </c>
      <c r="J284" s="85">
        <f>IF($F284="","",IFERROR(VLOOKUP($F284,Inventory!$A:$K,11,FALSE),0))</f>
        <v>20</v>
      </c>
      <c r="K284" s="85">
        <v>20.0</v>
      </c>
      <c r="L284" s="85">
        <f t="shared" si="3"/>
        <v>0</v>
      </c>
      <c r="M284" s="83" t="s">
        <v>330</v>
      </c>
      <c r="N284" s="85">
        <f>IF($F284="","",IFERROR(VLOOKUP($F284,Inventory!$A:$I,9,FALSE),0))</f>
        <v>8.147411853</v>
      </c>
      <c r="O284" s="85">
        <f t="shared" si="4"/>
        <v>24.44223556</v>
      </c>
      <c r="P284" s="85">
        <f t="shared" si="5"/>
        <v>-24.44223556</v>
      </c>
      <c r="Q284" s="83"/>
      <c r="R284" s="87" t="str">
        <f>IF($E284="","",IF(COUNTIF($E$7:$E284,$E284)&gt;1,"",IFERROR(VLOOKUP($E284,Orders!$A:$I,8,FALSE),"")))</f>
        <v/>
      </c>
      <c r="S284" s="87" t="str">
        <f>IF($E284="","",IF(COUNTIF($E$7:$E284,$E284)&gt;1,"",IFERROR(VLOOKUP($E284,Orders!$A:$I,9,FALSE),"")))</f>
        <v/>
      </c>
      <c r="T284" s="88">
        <f t="shared" si="6"/>
        <v>-24.44223556</v>
      </c>
      <c r="U284" s="88">
        <f>IF($F284="","",IF($E284="",T284,SUMIF(Sales!$E$7:$E$1506,$E284,Sales!$T$7:$T$1506)))</f>
        <v>-24.44223556</v>
      </c>
      <c r="V284" s="49" t="str">
        <f t="shared" si="7"/>
        <v/>
      </c>
      <c r="W284" s="49" t="str">
        <f t="array" ref="W284">IF($V284="","",SUMPRODUCT((Sales!$V$7:$V$1506&lt;&gt;"")*(Sales!$E$7:$E$1506&lt;$E284))+1)</f>
        <v/>
      </c>
      <c r="X284" s="49">
        <f t="shared" si="8"/>
        <v>144</v>
      </c>
      <c r="Y284" s="49" t="str">
        <f t="shared" si="9"/>
        <v>202608-144</v>
      </c>
    </row>
    <row r="285" ht="14.25" customHeight="1">
      <c r="A285" s="82">
        <v>46249.0</v>
      </c>
      <c r="B285" s="83" t="s">
        <v>324</v>
      </c>
      <c r="C285" s="83" t="s">
        <v>365</v>
      </c>
      <c r="D285" s="83" t="s">
        <v>366</v>
      </c>
      <c r="E285" s="83"/>
      <c r="F285" s="83" t="s">
        <v>289</v>
      </c>
      <c r="G285" s="83" t="str">
        <f>IF($F285="","",IFERROR(VLOOKUP($F285,Inventory!$A:$B,2,FALSE),""))</f>
        <v>Cat Belt Harness </v>
      </c>
      <c r="H285" s="83">
        <v>1.0</v>
      </c>
      <c r="I285" s="84">
        <f t="shared" si="2"/>
        <v>160</v>
      </c>
      <c r="J285" s="85">
        <f>IF($F285="","",IFERROR(VLOOKUP($F285,Inventory!$A:$K,11,FALSE),0))</f>
        <v>180</v>
      </c>
      <c r="K285" s="85">
        <v>20.0</v>
      </c>
      <c r="L285" s="85">
        <f t="shared" si="3"/>
        <v>160</v>
      </c>
      <c r="M285" s="83" t="s">
        <v>330</v>
      </c>
      <c r="N285" s="85">
        <f>IF($F285="","",IFERROR(VLOOKUP($F285,Inventory!$A:$I,9,FALSE),0))</f>
        <v>90</v>
      </c>
      <c r="O285" s="85">
        <f t="shared" si="4"/>
        <v>90</v>
      </c>
      <c r="P285" s="85">
        <f t="shared" si="5"/>
        <v>70</v>
      </c>
      <c r="Q285" s="83"/>
      <c r="R285" s="87" t="str">
        <f>IF($E285="","",IF(COUNTIF($E$7:$E285,$E285)&gt;1,"",IFERROR(VLOOKUP($E285,Orders!$A:$I,8,FALSE),"")))</f>
        <v/>
      </c>
      <c r="S285" s="87" t="str">
        <f>IF($E285="","",IF(COUNTIF($E$7:$E285,$E285)&gt;1,"",IFERROR(VLOOKUP($E285,Orders!$A:$I,9,FALSE),"")))</f>
        <v/>
      </c>
      <c r="T285" s="88">
        <f t="shared" si="6"/>
        <v>70</v>
      </c>
      <c r="U285" s="88">
        <f>IF($F285="","",IF($E285="",T285,SUMIF(Sales!$E$7:$E$1506,$E285,Sales!$T$7:$T$1506)))</f>
        <v>70</v>
      </c>
      <c r="V285" s="49" t="str">
        <f t="shared" si="7"/>
        <v/>
      </c>
      <c r="W285" s="49" t="str">
        <f t="array" ref="W285">IF($V285="","",SUMPRODUCT((Sales!$V$7:$V$1506&lt;&gt;"")*(Sales!$E$7:$E$1506&lt;$E285))+1)</f>
        <v/>
      </c>
      <c r="X285" s="49">
        <f t="shared" si="8"/>
        <v>145</v>
      </c>
      <c r="Y285" s="49" t="str">
        <f t="shared" si="9"/>
        <v>202608-145</v>
      </c>
    </row>
    <row r="286" ht="14.25" customHeight="1">
      <c r="A286" s="82">
        <v>46249.0</v>
      </c>
      <c r="B286" s="83" t="s">
        <v>324</v>
      </c>
      <c r="C286" s="83" t="s">
        <v>365</v>
      </c>
      <c r="D286" s="83" t="s">
        <v>366</v>
      </c>
      <c r="E286" s="83"/>
      <c r="F286" s="83" t="s">
        <v>372</v>
      </c>
      <c r="G286" s="83" t="str">
        <f>IF($F286="","",IFERROR(VLOOKUP($F286,Inventory!$A:$B,2,FALSE),""))</f>
        <v>Premium Pet Collar Multicolor</v>
      </c>
      <c r="H286" s="83">
        <v>1.0</v>
      </c>
      <c r="I286" s="84">
        <f t="shared" si="2"/>
        <v>70</v>
      </c>
      <c r="J286" s="85">
        <f>IF($F286="","",IFERROR(VLOOKUP($F286,Inventory!$A:$K,11,FALSE),0))</f>
        <v>75</v>
      </c>
      <c r="K286" s="85">
        <v>5.0</v>
      </c>
      <c r="L286" s="85">
        <f t="shared" si="3"/>
        <v>70</v>
      </c>
      <c r="M286" s="83" t="s">
        <v>330</v>
      </c>
      <c r="N286" s="85">
        <f>IF($F286="","",IFERROR(VLOOKUP($F286,Inventory!$A:$I,9,FALSE),0))</f>
        <v>37</v>
      </c>
      <c r="O286" s="85">
        <f t="shared" si="4"/>
        <v>37</v>
      </c>
      <c r="P286" s="85">
        <f t="shared" si="5"/>
        <v>33</v>
      </c>
      <c r="Q286" s="83"/>
      <c r="R286" s="87" t="str">
        <f>IF($E286="","",IF(COUNTIF($E$7:$E286,$E286)&gt;1,"",IFERROR(VLOOKUP($E286,Orders!$A:$I,8,FALSE),"")))</f>
        <v/>
      </c>
      <c r="S286" s="87" t="str">
        <f>IF($E286="","",IF(COUNTIF($E$7:$E286,$E286)&gt;1,"",IFERROR(VLOOKUP($E286,Orders!$A:$I,9,FALSE),"")))</f>
        <v/>
      </c>
      <c r="T286" s="88">
        <f t="shared" si="6"/>
        <v>33</v>
      </c>
      <c r="U286" s="88">
        <f>IF($F286="","",IF($E286="",T286,SUMIF(Sales!$E$7:$E$1506,$E286,Sales!$T$7:$T$1506)))</f>
        <v>33</v>
      </c>
      <c r="V286" s="49" t="str">
        <f t="shared" si="7"/>
        <v/>
      </c>
      <c r="W286" s="49" t="str">
        <f t="array" ref="W286">IF($V286="","",SUMPRODUCT((Sales!$V$7:$V$1506&lt;&gt;"")*(Sales!$E$7:$E$1506&lt;$E286))+1)</f>
        <v/>
      </c>
      <c r="X286" s="49">
        <f t="shared" si="8"/>
        <v>146</v>
      </c>
      <c r="Y286" s="49" t="str">
        <f t="shared" si="9"/>
        <v>202608-146</v>
      </c>
    </row>
    <row r="287" ht="14.25" customHeight="1">
      <c r="A287" s="82">
        <v>46249.0</v>
      </c>
      <c r="B287" s="83" t="s">
        <v>324</v>
      </c>
      <c r="C287" s="83" t="s">
        <v>365</v>
      </c>
      <c r="D287" s="83" t="s">
        <v>366</v>
      </c>
      <c r="E287" s="83"/>
      <c r="F287" s="83" t="s">
        <v>378</v>
      </c>
      <c r="G287" s="83" t="str">
        <f>IF($F287="","",IFERROR(VLOOKUP($F287,Inventory!$A:$B,2,FALSE),""))</f>
        <v>Drools &amp; Purepet Mixe Cat Food 500gm</v>
      </c>
      <c r="H287" s="83">
        <v>1.0</v>
      </c>
      <c r="I287" s="84">
        <f t="shared" si="2"/>
        <v>200</v>
      </c>
      <c r="J287" s="85">
        <f>IF($F287="","",IFERROR(VLOOKUP($F287,Inventory!$A:$K,11,FALSE),0))</f>
        <v>225</v>
      </c>
      <c r="K287" s="85">
        <v>25.0</v>
      </c>
      <c r="L287" s="85">
        <f t="shared" si="3"/>
        <v>200</v>
      </c>
      <c r="M287" s="83" t="s">
        <v>330</v>
      </c>
      <c r="N287" s="85">
        <f>IF($F287="","",IFERROR(VLOOKUP($F287,Inventory!$A:$I,9,FALSE),0))</f>
        <v>152.9310345</v>
      </c>
      <c r="O287" s="85">
        <f t="shared" si="4"/>
        <v>152.9310345</v>
      </c>
      <c r="P287" s="85">
        <f t="shared" si="5"/>
        <v>47.06896552</v>
      </c>
      <c r="Q287" s="83"/>
      <c r="R287" s="87" t="str">
        <f>IF($E287="","",IF(COUNTIF($E$7:$E287,$E287)&gt;1,"",IFERROR(VLOOKUP($E287,Orders!$A:$I,8,FALSE),"")))</f>
        <v/>
      </c>
      <c r="S287" s="87" t="str">
        <f>IF($E287="","",IF(COUNTIF($E$7:$E287,$E287)&gt;1,"",IFERROR(VLOOKUP($E287,Orders!$A:$I,9,FALSE),"")))</f>
        <v/>
      </c>
      <c r="T287" s="88">
        <f t="shared" si="6"/>
        <v>47.06896552</v>
      </c>
      <c r="U287" s="88">
        <f>IF($F287="","",IF($E287="",T287,SUMIF(Sales!$E$7:$E$1506,$E287,Sales!$T$7:$T$1506)))</f>
        <v>47.06896552</v>
      </c>
      <c r="V287" s="49" t="str">
        <f t="shared" si="7"/>
        <v/>
      </c>
      <c r="W287" s="49" t="str">
        <f t="array" ref="W287">IF($V287="","",SUMPRODUCT((Sales!$V$7:$V$1506&lt;&gt;"")*(Sales!$E$7:$E$1506&lt;$E287))+1)</f>
        <v/>
      </c>
      <c r="X287" s="49">
        <f t="shared" si="8"/>
        <v>147</v>
      </c>
      <c r="Y287" s="49" t="str">
        <f t="shared" si="9"/>
        <v>202608-147</v>
      </c>
    </row>
    <row r="288" ht="14.25" customHeight="1">
      <c r="A288" s="82">
        <v>46249.0</v>
      </c>
      <c r="B288" s="83" t="s">
        <v>324</v>
      </c>
      <c r="C288" s="83" t="s">
        <v>365</v>
      </c>
      <c r="D288" s="83" t="s">
        <v>366</v>
      </c>
      <c r="E288" s="83"/>
      <c r="F288" s="83" t="s">
        <v>104</v>
      </c>
      <c r="G288" s="83" t="str">
        <f>IF($F288="","",IFERROR(VLOOKUP($F288,Inventory!$A:$B,2,FALSE),""))</f>
        <v>Nekko Pouch Tuna in Jelly</v>
      </c>
      <c r="H288" s="83">
        <v>1.0</v>
      </c>
      <c r="I288" s="84">
        <f t="shared" si="2"/>
        <v>82</v>
      </c>
      <c r="J288" s="85">
        <f>IF($F288="","",IFERROR(VLOOKUP($F288,Inventory!$A:$K,11,FALSE),0))</f>
        <v>90</v>
      </c>
      <c r="K288" s="85">
        <v>8.0</v>
      </c>
      <c r="L288" s="85">
        <f t="shared" si="3"/>
        <v>82</v>
      </c>
      <c r="M288" s="83" t="s">
        <v>330</v>
      </c>
      <c r="N288" s="85">
        <f>IF($F288="","",IFERROR(VLOOKUP($F288,Inventory!$A:$I,9,FALSE),0))</f>
        <v>65.17241379</v>
      </c>
      <c r="O288" s="85">
        <f t="shared" si="4"/>
        <v>65.17241379</v>
      </c>
      <c r="P288" s="85">
        <f t="shared" si="5"/>
        <v>16.82758621</v>
      </c>
      <c r="Q288" s="83"/>
      <c r="R288" s="87" t="str">
        <f>IF($E288="","",IF(COUNTIF($E$7:$E288,$E288)&gt;1,"",IFERROR(VLOOKUP($E288,Orders!$A:$I,8,FALSE),"")))</f>
        <v/>
      </c>
      <c r="S288" s="87" t="str">
        <f>IF($E288="","",IF(COUNTIF($E$7:$E288,$E288)&gt;1,"",IFERROR(VLOOKUP($E288,Orders!$A:$I,9,FALSE),"")))</f>
        <v/>
      </c>
      <c r="T288" s="88">
        <f t="shared" si="6"/>
        <v>16.82758621</v>
      </c>
      <c r="U288" s="88">
        <f>IF($F288="","",IF($E288="",T288,SUMIF(Sales!$E$7:$E$1506,$E288,Sales!$T$7:$T$1506)))</f>
        <v>16.82758621</v>
      </c>
      <c r="V288" s="49" t="str">
        <f t="shared" si="7"/>
        <v/>
      </c>
      <c r="W288" s="49" t="str">
        <f t="array" ref="W288">IF($V288="","",SUMPRODUCT((Sales!$V$7:$V$1506&lt;&gt;"")*(Sales!$E$7:$E$1506&lt;$E288))+1)</f>
        <v/>
      </c>
      <c r="X288" s="49">
        <f t="shared" si="8"/>
        <v>148</v>
      </c>
      <c r="Y288" s="49" t="str">
        <f t="shared" si="9"/>
        <v>202608-148</v>
      </c>
    </row>
    <row r="289" ht="14.25" customHeight="1">
      <c r="A289" s="82">
        <v>46249.0</v>
      </c>
      <c r="B289" s="83" t="s">
        <v>324</v>
      </c>
      <c r="C289" s="83" t="s">
        <v>365</v>
      </c>
      <c r="D289" s="83" t="s">
        <v>366</v>
      </c>
      <c r="E289" s="83"/>
      <c r="F289" s="83" t="s">
        <v>426</v>
      </c>
      <c r="G289" s="83" t="str">
        <f>IF($F289="","",IFERROR(VLOOKUP($F289,Inventory!$A:$B,2,FALSE),""))</f>
        <v>PetMe Jel 30gm</v>
      </c>
      <c r="H289" s="83">
        <v>1.0</v>
      </c>
      <c r="I289" s="84">
        <f t="shared" si="2"/>
        <v>410</v>
      </c>
      <c r="J289" s="85">
        <f>IF($F289="","",IFERROR(VLOOKUP($F289,Inventory!$A:$K,11,FALSE),0))</f>
        <v>430</v>
      </c>
      <c r="K289" s="85">
        <v>20.0</v>
      </c>
      <c r="L289" s="85">
        <f t="shared" si="3"/>
        <v>410</v>
      </c>
      <c r="M289" s="83" t="s">
        <v>330</v>
      </c>
      <c r="N289" s="85">
        <f>IF($F289="","",IFERROR(VLOOKUP($F289,Inventory!$A:$I,9,FALSE),0))</f>
        <v>370</v>
      </c>
      <c r="O289" s="85">
        <f t="shared" si="4"/>
        <v>370</v>
      </c>
      <c r="P289" s="85">
        <f t="shared" si="5"/>
        <v>40</v>
      </c>
      <c r="Q289" s="83"/>
      <c r="R289" s="87" t="str">
        <f>IF($E289="","",IF(COUNTIF($E$7:$E289,$E289)&gt;1,"",IFERROR(VLOOKUP($E289,Orders!$A:$I,8,FALSE),"")))</f>
        <v/>
      </c>
      <c r="S289" s="87" t="str">
        <f>IF($E289="","",IF(COUNTIF($E$7:$E289,$E289)&gt;1,"",IFERROR(VLOOKUP($E289,Orders!$A:$I,9,FALSE),"")))</f>
        <v/>
      </c>
      <c r="T289" s="88">
        <f t="shared" si="6"/>
        <v>40</v>
      </c>
      <c r="U289" s="88">
        <f>IF($F289="","",IF($E289="",T289,SUMIF(Sales!$E$7:$E$1506,$E289,Sales!$T$7:$T$1506)))</f>
        <v>40</v>
      </c>
      <c r="V289" s="49" t="str">
        <f t="shared" si="7"/>
        <v/>
      </c>
      <c r="W289" s="49" t="str">
        <f t="array" ref="W289">IF($V289="","",SUMPRODUCT((Sales!$V$7:$V$1506&lt;&gt;"")*(Sales!$E$7:$E$1506&lt;$E289))+1)</f>
        <v/>
      </c>
      <c r="X289" s="49">
        <f t="shared" si="8"/>
        <v>149</v>
      </c>
      <c r="Y289" s="49" t="str">
        <f t="shared" si="9"/>
        <v>202608-149</v>
      </c>
    </row>
    <row r="290" ht="14.25" customHeight="1">
      <c r="A290" s="82">
        <v>46249.0</v>
      </c>
      <c r="B290" s="83" t="s">
        <v>324</v>
      </c>
      <c r="C290" s="83" t="s">
        <v>365</v>
      </c>
      <c r="D290" s="83" t="s">
        <v>366</v>
      </c>
      <c r="E290" s="83"/>
      <c r="F290" s="83" t="s">
        <v>224</v>
      </c>
      <c r="G290" s="83" t="str">
        <f>IF($F290="","",IFERROR(VLOOKUP($F290,Inventory!$A:$B,2,FALSE),""))</f>
        <v>Sea Chinese Food Bowl</v>
      </c>
      <c r="H290" s="83">
        <v>1.0</v>
      </c>
      <c r="I290" s="84">
        <f t="shared" si="2"/>
        <v>40</v>
      </c>
      <c r="J290" s="85">
        <f>IF($F290="","",IFERROR(VLOOKUP($F290,Inventory!$A:$K,11,FALSE),0))</f>
        <v>50</v>
      </c>
      <c r="K290" s="85">
        <v>10.0</v>
      </c>
      <c r="L290" s="85">
        <f t="shared" si="3"/>
        <v>40</v>
      </c>
      <c r="M290" s="83" t="s">
        <v>330</v>
      </c>
      <c r="N290" s="85">
        <f>IF($F290="","",IFERROR(VLOOKUP($F290,Inventory!$A:$I,9,FALSE),0))</f>
        <v>35</v>
      </c>
      <c r="O290" s="85">
        <f t="shared" si="4"/>
        <v>35</v>
      </c>
      <c r="P290" s="85">
        <f t="shared" si="5"/>
        <v>5</v>
      </c>
      <c r="Q290" s="83"/>
      <c r="R290" s="87" t="str">
        <f>IF($E290="","",IF(COUNTIF($E$7:$E290,$E290)&gt;1,"",IFERROR(VLOOKUP($E290,Orders!$A:$I,8,FALSE),"")))</f>
        <v/>
      </c>
      <c r="S290" s="87" t="str">
        <f>IF($E290="","",IF(COUNTIF($E$7:$E290,$E290)&gt;1,"",IFERROR(VLOOKUP($E290,Orders!$A:$I,9,FALSE),"")))</f>
        <v/>
      </c>
      <c r="T290" s="88">
        <f t="shared" si="6"/>
        <v>5</v>
      </c>
      <c r="U290" s="88">
        <f>IF($F290="","",IF($E290="",T290,SUMIF(Sales!$E$7:$E$1506,$E290,Sales!$T$7:$T$1506)))</f>
        <v>5</v>
      </c>
      <c r="V290" s="49" t="str">
        <f t="shared" si="7"/>
        <v/>
      </c>
      <c r="W290" s="49" t="str">
        <f t="array" ref="W290">IF($V290="","",SUMPRODUCT((Sales!$V$7:$V$1506&lt;&gt;"")*(Sales!$E$7:$E$1506&lt;$E290))+1)</f>
        <v/>
      </c>
      <c r="X290" s="49">
        <f t="shared" si="8"/>
        <v>150</v>
      </c>
      <c r="Y290" s="49" t="str">
        <f t="shared" si="9"/>
        <v>202608-150</v>
      </c>
    </row>
    <row r="291" ht="14.25" customHeight="1">
      <c r="A291" s="82">
        <v>46249.0</v>
      </c>
      <c r="B291" s="83" t="s">
        <v>324</v>
      </c>
      <c r="C291" s="83" t="s">
        <v>365</v>
      </c>
      <c r="D291" s="83" t="s">
        <v>366</v>
      </c>
      <c r="E291" s="83"/>
      <c r="F291" s="83" t="s">
        <v>249</v>
      </c>
      <c r="G291" s="83" t="str">
        <f>IF($F291="","",IFERROR(VLOOKUP($F291,Inventory!$A:$B,2,FALSE),""))</f>
        <v>Cat Litter Mix Flavor 5L DR. Clump</v>
      </c>
      <c r="H291" s="83">
        <v>1.0</v>
      </c>
      <c r="I291" s="84">
        <f t="shared" si="2"/>
        <v>280</v>
      </c>
      <c r="J291" s="85">
        <f>IF($F291="","",IFERROR(VLOOKUP($F291,Inventory!$A:$K,11,FALSE),0))</f>
        <v>320</v>
      </c>
      <c r="K291" s="85">
        <v>40.0</v>
      </c>
      <c r="L291" s="85">
        <f t="shared" si="3"/>
        <v>280</v>
      </c>
      <c r="M291" s="83" t="s">
        <v>330</v>
      </c>
      <c r="N291" s="85">
        <f>IF($F291="","",IFERROR(VLOOKUP($F291,Inventory!$A:$I,9,FALSE),0))</f>
        <v>220</v>
      </c>
      <c r="O291" s="85">
        <f t="shared" si="4"/>
        <v>220</v>
      </c>
      <c r="P291" s="85">
        <f t="shared" si="5"/>
        <v>60</v>
      </c>
      <c r="Q291" s="83"/>
      <c r="R291" s="87" t="str">
        <f>IF($E291="","",IF(COUNTIF($E$7:$E291,$E291)&gt;1,"",IFERROR(VLOOKUP($E291,Orders!$A:$I,8,FALSE),"")))</f>
        <v/>
      </c>
      <c r="S291" s="87" t="str">
        <f>IF($E291="","",IF(COUNTIF($E$7:$E291,$E291)&gt;1,"",IFERROR(VLOOKUP($E291,Orders!$A:$I,9,FALSE),"")))</f>
        <v/>
      </c>
      <c r="T291" s="88">
        <f t="shared" si="6"/>
        <v>60</v>
      </c>
      <c r="U291" s="88">
        <f>IF($F291="","",IF($E291="",T291,SUMIF(Sales!$E$7:$E$1506,$E291,Sales!$T$7:$T$1506)))</f>
        <v>60</v>
      </c>
      <c r="V291" s="49" t="str">
        <f t="shared" si="7"/>
        <v/>
      </c>
      <c r="W291" s="49" t="str">
        <f t="array" ref="W291">IF($V291="","",SUMPRODUCT((Sales!$V$7:$V$1506&lt;&gt;"")*(Sales!$E$7:$E$1506&lt;$E291))+1)</f>
        <v/>
      </c>
      <c r="X291" s="49">
        <f t="shared" si="8"/>
        <v>151</v>
      </c>
      <c r="Y291" s="49" t="str">
        <f t="shared" si="9"/>
        <v>202608-151</v>
      </c>
    </row>
    <row r="292" ht="14.25" customHeight="1">
      <c r="A292" s="82">
        <v>46249.0</v>
      </c>
      <c r="B292" s="83" t="s">
        <v>324</v>
      </c>
      <c r="C292" s="83" t="s">
        <v>365</v>
      </c>
      <c r="D292" s="83" t="s">
        <v>366</v>
      </c>
      <c r="E292" s="83"/>
      <c r="F292" s="83" t="s">
        <v>202</v>
      </c>
      <c r="G292" s="83" t="str">
        <f>IF($F292="","",IFERROR(VLOOKUP($F292,Inventory!$A:$B,2,FALSE),""))</f>
        <v>Cozie Cat Litter Lavender 10L</v>
      </c>
      <c r="H292" s="83">
        <v>1.0</v>
      </c>
      <c r="I292" s="84">
        <f t="shared" si="2"/>
        <v>580</v>
      </c>
      <c r="J292" s="85">
        <f>IF($F292="","",IFERROR(VLOOKUP($F292,Inventory!$A:$K,11,FALSE),0))</f>
        <v>700</v>
      </c>
      <c r="K292" s="85">
        <v>120.0</v>
      </c>
      <c r="L292" s="85">
        <f t="shared" si="3"/>
        <v>580</v>
      </c>
      <c r="M292" s="83" t="s">
        <v>330</v>
      </c>
      <c r="N292" s="85">
        <f>IF($F292="","",IFERROR(VLOOKUP($F292,Inventory!$A:$I,9,FALSE),0))</f>
        <v>450</v>
      </c>
      <c r="O292" s="85">
        <f t="shared" si="4"/>
        <v>450</v>
      </c>
      <c r="P292" s="85">
        <f t="shared" si="5"/>
        <v>130</v>
      </c>
      <c r="Q292" s="83"/>
      <c r="R292" s="87" t="str">
        <f>IF($E292="","",IF(COUNTIF($E$7:$E292,$E292)&gt;1,"",IFERROR(VLOOKUP($E292,Orders!$A:$I,8,FALSE),"")))</f>
        <v/>
      </c>
      <c r="S292" s="87" t="str">
        <f>IF($E292="","",IF(COUNTIF($E$7:$E292,$E292)&gt;1,"",IFERROR(VLOOKUP($E292,Orders!$A:$I,9,FALSE),"")))</f>
        <v/>
      </c>
      <c r="T292" s="88">
        <f t="shared" si="6"/>
        <v>130</v>
      </c>
      <c r="U292" s="88">
        <f>IF($F292="","",IF($E292="",T292,SUMIF(Sales!$E$7:$E$1506,$E292,Sales!$T$7:$T$1506)))</f>
        <v>130</v>
      </c>
      <c r="V292" s="49" t="str">
        <f t="shared" si="7"/>
        <v/>
      </c>
      <c r="W292" s="49" t="str">
        <f t="array" ref="W292">IF($V292="","",SUMPRODUCT((Sales!$V$7:$V$1506&lt;&gt;"")*(Sales!$E$7:$E$1506&lt;$E292))+1)</f>
        <v/>
      </c>
      <c r="X292" s="49">
        <f t="shared" si="8"/>
        <v>152</v>
      </c>
      <c r="Y292" s="49" t="str">
        <f t="shared" si="9"/>
        <v>202608-152</v>
      </c>
    </row>
    <row r="293" ht="14.25" customHeight="1">
      <c r="A293" s="82">
        <v>46249.0</v>
      </c>
      <c r="B293" s="83" t="s">
        <v>324</v>
      </c>
      <c r="C293" s="83" t="s">
        <v>365</v>
      </c>
      <c r="D293" s="83" t="s">
        <v>366</v>
      </c>
      <c r="E293" s="83"/>
      <c r="F293" s="83" t="s">
        <v>347</v>
      </c>
      <c r="G293" s="83" t="str">
        <f>IF($F293="","",IFERROR(VLOOKUP($F293,Inventory!$A:$B,2,FALSE),""))</f>
        <v>Wanpy Cat Food Can Tuna</v>
      </c>
      <c r="H293" s="83">
        <v>1.0</v>
      </c>
      <c r="I293" s="84">
        <f t="shared" si="2"/>
        <v>200</v>
      </c>
      <c r="J293" s="85">
        <f>IF($F293="","",IFERROR(VLOOKUP($F293,Inventory!$A:$K,11,FALSE),0))</f>
        <v>210</v>
      </c>
      <c r="K293" s="85">
        <v>10.0</v>
      </c>
      <c r="L293" s="85">
        <f t="shared" si="3"/>
        <v>200</v>
      </c>
      <c r="M293" s="83" t="s">
        <v>330</v>
      </c>
      <c r="N293" s="85">
        <f>IF($F293="","",IFERROR(VLOOKUP($F293,Inventory!$A:$I,9,FALSE),0))</f>
        <v>160</v>
      </c>
      <c r="O293" s="85">
        <f t="shared" si="4"/>
        <v>160</v>
      </c>
      <c r="P293" s="85">
        <f t="shared" si="5"/>
        <v>40</v>
      </c>
      <c r="Q293" s="83"/>
      <c r="R293" s="87" t="str">
        <f>IF($E293="","",IF(COUNTIF($E$7:$E293,$E293)&gt;1,"",IFERROR(VLOOKUP($E293,Orders!$A:$I,8,FALSE),"")))</f>
        <v/>
      </c>
      <c r="S293" s="87" t="str">
        <f>IF($E293="","",IF(COUNTIF($E$7:$E293,$E293)&gt;1,"",IFERROR(VLOOKUP($E293,Orders!$A:$I,9,FALSE),"")))</f>
        <v/>
      </c>
      <c r="T293" s="88">
        <f t="shared" si="6"/>
        <v>40</v>
      </c>
      <c r="U293" s="88">
        <f>IF($F293="","",IF($E293="",T293,SUMIF(Sales!$E$7:$E$1506,$E293,Sales!$T$7:$T$1506)))</f>
        <v>40</v>
      </c>
      <c r="V293" s="49" t="str">
        <f t="shared" si="7"/>
        <v/>
      </c>
      <c r="W293" s="49" t="str">
        <f t="array" ref="W293">IF($V293="","",SUMPRODUCT((Sales!$V$7:$V$1506&lt;&gt;"")*(Sales!$E$7:$E$1506&lt;$E293))+1)</f>
        <v/>
      </c>
      <c r="X293" s="49">
        <f t="shared" si="8"/>
        <v>153</v>
      </c>
      <c r="Y293" s="49" t="str">
        <f t="shared" si="9"/>
        <v>202608-153</v>
      </c>
    </row>
    <row r="294" ht="14.25" customHeight="1">
      <c r="A294" s="82">
        <v>46249.0</v>
      </c>
      <c r="B294" s="83" t="s">
        <v>324</v>
      </c>
      <c r="C294" s="83" t="s">
        <v>365</v>
      </c>
      <c r="D294" s="83" t="s">
        <v>366</v>
      </c>
      <c r="E294" s="83"/>
      <c r="F294" s="83" t="s">
        <v>104</v>
      </c>
      <c r="G294" s="83" t="str">
        <f>IF($F294="","",IFERROR(VLOOKUP($F294,Inventory!$A:$B,2,FALSE),""))</f>
        <v>Nekko Pouch Tuna in Jelly</v>
      </c>
      <c r="H294" s="83">
        <v>1.0</v>
      </c>
      <c r="I294" s="84">
        <f t="shared" si="2"/>
        <v>80</v>
      </c>
      <c r="J294" s="85">
        <f>IF($F294="","",IFERROR(VLOOKUP($F294,Inventory!$A:$K,11,FALSE),0))</f>
        <v>90</v>
      </c>
      <c r="K294" s="85">
        <v>10.0</v>
      </c>
      <c r="L294" s="85">
        <f t="shared" si="3"/>
        <v>80</v>
      </c>
      <c r="M294" s="83" t="s">
        <v>330</v>
      </c>
      <c r="N294" s="85">
        <f>IF($F294="","",IFERROR(VLOOKUP($F294,Inventory!$A:$I,9,FALSE),0))</f>
        <v>65.17241379</v>
      </c>
      <c r="O294" s="85">
        <f t="shared" si="4"/>
        <v>65.17241379</v>
      </c>
      <c r="P294" s="85">
        <f t="shared" si="5"/>
        <v>14.82758621</v>
      </c>
      <c r="Q294" s="83"/>
      <c r="R294" s="87" t="str">
        <f>IF($E294="","",IF(COUNTIF($E$7:$E294,$E294)&gt;1,"",IFERROR(VLOOKUP($E294,Orders!$A:$I,8,FALSE),"")))</f>
        <v/>
      </c>
      <c r="S294" s="87" t="str">
        <f>IF($E294="","",IF(COUNTIF($E$7:$E294,$E294)&gt;1,"",IFERROR(VLOOKUP($E294,Orders!$A:$I,9,FALSE),"")))</f>
        <v/>
      </c>
      <c r="T294" s="88">
        <f t="shared" si="6"/>
        <v>14.82758621</v>
      </c>
      <c r="U294" s="88">
        <f>IF($F294="","",IF($E294="",T294,SUMIF(Sales!$E$7:$E$1506,$E294,Sales!$T$7:$T$1506)))</f>
        <v>14.82758621</v>
      </c>
      <c r="V294" s="49" t="str">
        <f t="shared" si="7"/>
        <v/>
      </c>
      <c r="W294" s="49" t="str">
        <f t="array" ref="W294">IF($V294="","",SUMPRODUCT((Sales!$V$7:$V$1506&lt;&gt;"")*(Sales!$E$7:$E$1506&lt;$E294))+1)</f>
        <v/>
      </c>
      <c r="X294" s="49">
        <f t="shared" si="8"/>
        <v>154</v>
      </c>
      <c r="Y294" s="49" t="str">
        <f t="shared" si="9"/>
        <v>202608-154</v>
      </c>
    </row>
    <row r="295" ht="14.25" customHeight="1">
      <c r="A295" s="82">
        <v>46249.0</v>
      </c>
      <c r="B295" s="83" t="s">
        <v>324</v>
      </c>
      <c r="C295" s="83" t="s">
        <v>365</v>
      </c>
      <c r="D295" s="83" t="s">
        <v>366</v>
      </c>
      <c r="E295" s="83"/>
      <c r="F295" s="83" t="s">
        <v>205</v>
      </c>
      <c r="G295" s="83" t="str">
        <f>IF($F295="","",IFERROR(VLOOKUP($F295,Inventory!$A:$B,2,FALSE),""))</f>
        <v>Nekko Pouch 70G Tuna in Gravy</v>
      </c>
      <c r="H295" s="83">
        <v>1.0</v>
      </c>
      <c r="I295" s="84">
        <f t="shared" si="2"/>
        <v>80</v>
      </c>
      <c r="J295" s="85">
        <f>IF($F295="","",IFERROR(VLOOKUP($F295,Inventory!$A:$K,11,FALSE),0))</f>
        <v>85</v>
      </c>
      <c r="K295" s="85">
        <v>5.0</v>
      </c>
      <c r="L295" s="85">
        <f t="shared" si="3"/>
        <v>80</v>
      </c>
      <c r="M295" s="83" t="s">
        <v>330</v>
      </c>
      <c r="N295" s="85">
        <f>IF($F295="","",IFERROR(VLOOKUP($F295,Inventory!$A:$I,9,FALSE),0))</f>
        <v>65</v>
      </c>
      <c r="O295" s="85">
        <f t="shared" si="4"/>
        <v>65</v>
      </c>
      <c r="P295" s="85">
        <f t="shared" si="5"/>
        <v>15</v>
      </c>
      <c r="Q295" s="83"/>
      <c r="R295" s="87" t="str">
        <f>IF($E295="","",IF(COUNTIF($E$7:$E295,$E295)&gt;1,"",IFERROR(VLOOKUP($E295,Orders!$A:$I,8,FALSE),"")))</f>
        <v/>
      </c>
      <c r="S295" s="87" t="str">
        <f>IF($E295="","",IF(COUNTIF($E$7:$E295,$E295)&gt;1,"",IFERROR(VLOOKUP($E295,Orders!$A:$I,9,FALSE),"")))</f>
        <v/>
      </c>
      <c r="T295" s="88">
        <f t="shared" si="6"/>
        <v>15</v>
      </c>
      <c r="U295" s="88">
        <f>IF($F295="","",IF($E295="",T295,SUMIF(Sales!$E$7:$E$1506,$E295,Sales!$T$7:$T$1506)))</f>
        <v>15</v>
      </c>
      <c r="V295" s="49" t="str">
        <f t="shared" si="7"/>
        <v/>
      </c>
      <c r="W295" s="49" t="str">
        <f t="array" ref="W295">IF($V295="","",SUMPRODUCT((Sales!$V$7:$V$1506&lt;&gt;"")*(Sales!$E$7:$E$1506&lt;$E295))+1)</f>
        <v/>
      </c>
      <c r="X295" s="49">
        <f t="shared" si="8"/>
        <v>155</v>
      </c>
      <c r="Y295" s="49" t="str">
        <f t="shared" si="9"/>
        <v>202608-155</v>
      </c>
    </row>
    <row r="296" ht="14.25" customHeight="1">
      <c r="A296" s="82">
        <v>46249.0</v>
      </c>
      <c r="B296" s="83" t="s">
        <v>324</v>
      </c>
      <c r="C296" s="83" t="s">
        <v>365</v>
      </c>
      <c r="D296" s="83" t="s">
        <v>366</v>
      </c>
      <c r="E296" s="83"/>
      <c r="F296" s="83" t="s">
        <v>393</v>
      </c>
      <c r="G296" s="83" t="str">
        <f>IF($F296="","",IFERROR(VLOOKUP($F296,Inventory!$A:$B,2,FALSE),""))</f>
        <v>Lumina Cat Litter Lavender 5L</v>
      </c>
      <c r="H296" s="83">
        <v>1.0</v>
      </c>
      <c r="I296" s="84">
        <f t="shared" si="2"/>
        <v>250</v>
      </c>
      <c r="J296" s="85">
        <f>IF($F296="","",IFERROR(VLOOKUP($F296,Inventory!$A:$K,11,FALSE),0))</f>
        <v>280</v>
      </c>
      <c r="K296" s="85">
        <v>30.0</v>
      </c>
      <c r="L296" s="85">
        <f t="shared" si="3"/>
        <v>250</v>
      </c>
      <c r="M296" s="83" t="s">
        <v>330</v>
      </c>
      <c r="N296" s="85">
        <f>IF($F296="","",IFERROR(VLOOKUP($F296,Inventory!$A:$I,9,FALSE),0))</f>
        <v>190</v>
      </c>
      <c r="O296" s="85">
        <f t="shared" si="4"/>
        <v>190</v>
      </c>
      <c r="P296" s="85">
        <f t="shared" si="5"/>
        <v>60</v>
      </c>
      <c r="Q296" s="83"/>
      <c r="R296" s="87" t="str">
        <f>IF($E296="","",IF(COUNTIF($E$7:$E296,$E296)&gt;1,"",IFERROR(VLOOKUP($E296,Orders!$A:$I,8,FALSE),"")))</f>
        <v/>
      </c>
      <c r="S296" s="87" t="str">
        <f>IF($E296="","",IF(COUNTIF($E$7:$E296,$E296)&gt;1,"",IFERROR(VLOOKUP($E296,Orders!$A:$I,9,FALSE),"")))</f>
        <v/>
      </c>
      <c r="T296" s="88">
        <f t="shared" si="6"/>
        <v>60</v>
      </c>
      <c r="U296" s="88">
        <f>IF($F296="","",IF($E296="",T296,SUMIF(Sales!$E$7:$E$1506,$E296,Sales!$T$7:$T$1506)))</f>
        <v>60</v>
      </c>
      <c r="V296" s="49" t="str">
        <f t="shared" si="7"/>
        <v/>
      </c>
      <c r="W296" s="49" t="str">
        <f t="array" ref="W296">IF($V296="","",SUMPRODUCT((Sales!$V$7:$V$1506&lt;&gt;"")*(Sales!$E$7:$E$1506&lt;$E296))+1)</f>
        <v/>
      </c>
      <c r="X296" s="49">
        <f t="shared" si="8"/>
        <v>156</v>
      </c>
      <c r="Y296" s="49" t="str">
        <f t="shared" si="9"/>
        <v>202608-156</v>
      </c>
    </row>
    <row r="297" ht="14.25" customHeight="1">
      <c r="A297" s="82">
        <v>46249.0</v>
      </c>
      <c r="B297" s="83" t="s">
        <v>324</v>
      </c>
      <c r="C297" s="83" t="s">
        <v>365</v>
      </c>
      <c r="D297" s="83" t="s">
        <v>366</v>
      </c>
      <c r="E297" s="83"/>
      <c r="F297" s="83" t="s">
        <v>271</v>
      </c>
      <c r="G297" s="83" t="str">
        <f>IF($F297="","",IFERROR(VLOOKUP($F297,Inventory!$A:$B,2,FALSE),""))</f>
        <v>Cat litter scooper</v>
      </c>
      <c r="H297" s="83">
        <v>1.0</v>
      </c>
      <c r="I297" s="84">
        <f t="shared" si="2"/>
        <v>50</v>
      </c>
      <c r="J297" s="85">
        <f>IF($F297="","",IFERROR(VLOOKUP($F297,Inventory!$A:$K,11,FALSE),0))</f>
        <v>80</v>
      </c>
      <c r="K297" s="85">
        <v>30.0</v>
      </c>
      <c r="L297" s="85">
        <f t="shared" si="3"/>
        <v>50</v>
      </c>
      <c r="M297" s="83" t="s">
        <v>330</v>
      </c>
      <c r="N297" s="85">
        <f>IF($F297="","",IFERROR(VLOOKUP($F297,Inventory!$A:$I,9,FALSE),0))</f>
        <v>35</v>
      </c>
      <c r="O297" s="85">
        <f t="shared" si="4"/>
        <v>35</v>
      </c>
      <c r="P297" s="85">
        <f t="shared" si="5"/>
        <v>15</v>
      </c>
      <c r="Q297" s="83"/>
      <c r="R297" s="87" t="str">
        <f>IF($E297="","",IF(COUNTIF($E$7:$E297,$E297)&gt;1,"",IFERROR(VLOOKUP($E297,Orders!$A:$I,8,FALSE),"")))</f>
        <v/>
      </c>
      <c r="S297" s="87" t="str">
        <f>IF($E297="","",IF(COUNTIF($E$7:$E297,$E297)&gt;1,"",IFERROR(VLOOKUP($E297,Orders!$A:$I,9,FALSE),"")))</f>
        <v/>
      </c>
      <c r="T297" s="88">
        <f t="shared" si="6"/>
        <v>15</v>
      </c>
      <c r="U297" s="88">
        <f>IF($F297="","",IF($E297="",T297,SUMIF(Sales!$E$7:$E$1506,$E297,Sales!$T$7:$T$1506)))</f>
        <v>15</v>
      </c>
      <c r="V297" s="49" t="str">
        <f t="shared" si="7"/>
        <v/>
      </c>
      <c r="W297" s="49" t="str">
        <f t="array" ref="W297">IF($V297="","",SUMPRODUCT((Sales!$V$7:$V$1506&lt;&gt;"")*(Sales!$E$7:$E$1506&lt;$E297))+1)</f>
        <v/>
      </c>
      <c r="X297" s="49">
        <f t="shared" si="8"/>
        <v>157</v>
      </c>
      <c r="Y297" s="49" t="str">
        <f t="shared" si="9"/>
        <v>202608-157</v>
      </c>
    </row>
    <row r="298" ht="14.25" customHeight="1">
      <c r="A298" s="82">
        <v>46249.0</v>
      </c>
      <c r="B298" s="83" t="s">
        <v>324</v>
      </c>
      <c r="C298" s="83" t="s">
        <v>365</v>
      </c>
      <c r="D298" s="115" t="s">
        <v>595</v>
      </c>
      <c r="E298" s="116" t="s">
        <v>577</v>
      </c>
      <c r="F298" s="116" t="s">
        <v>262</v>
      </c>
      <c r="G298" s="83" t="str">
        <f>IF($F298="","",IFERROR(VLOOKUP($F298,Inventory!$A:$B,2,FALSE),""))</f>
        <v>Kitchen Flavor Pate Delight</v>
      </c>
      <c r="H298" s="116">
        <v>1.0</v>
      </c>
      <c r="I298" s="84">
        <f t="shared" si="2"/>
        <v>135</v>
      </c>
      <c r="J298" s="85">
        <f>IF($F298="","",IFERROR(VLOOKUP($F298,Inventory!$A:$K,11,FALSE),0))</f>
        <v>150</v>
      </c>
      <c r="K298" s="117">
        <v>15.0</v>
      </c>
      <c r="L298" s="85">
        <f t="shared" si="3"/>
        <v>135</v>
      </c>
      <c r="M298" s="116" t="s">
        <v>596</v>
      </c>
      <c r="N298" s="85">
        <f>IF($F298="","",IFERROR(VLOOKUP($F298,Inventory!$A:$I,9,FALSE),0))</f>
        <v>110</v>
      </c>
      <c r="O298" s="85">
        <f t="shared" si="4"/>
        <v>110</v>
      </c>
      <c r="P298" s="85">
        <f t="shared" si="5"/>
        <v>25</v>
      </c>
      <c r="Q298" s="83"/>
      <c r="R298" s="87" t="str">
        <f>IF($E298="","",IF(COUNTIF($E$7:$E298,$E298)&gt;1,"",IFERROR(VLOOKUP($E298,Orders!$A:$I,8,FALSE),"")))</f>
        <v/>
      </c>
      <c r="S298" s="87" t="str">
        <f>IF($E298="","",IF(COUNTIF($E$7:$E298,$E298)&gt;1,"",IFERROR(VLOOKUP($E298,Orders!$A:$I,9,FALSE),"")))</f>
        <v/>
      </c>
      <c r="T298" s="88">
        <f t="shared" si="6"/>
        <v>25</v>
      </c>
      <c r="U298" s="88">
        <f>IF($F298="","",IF($E298="",T298,SUMIF(Sales!$E$7:$E$1506,$E298,Sales!$T$7:$T$1506)))</f>
        <v>41.82758621</v>
      </c>
      <c r="V298" s="49" t="str">
        <f t="shared" si="7"/>
        <v/>
      </c>
      <c r="W298" s="49" t="str">
        <f t="array" ref="W298">IF($V298="","",SUMPRODUCT((Sales!$V$7:$V$1506&lt;&gt;"")*(Sales!$E$7:$E$1506&lt;$E298))+1)</f>
        <v/>
      </c>
      <c r="X298" s="49">
        <f t="shared" si="8"/>
        <v>158</v>
      </c>
      <c r="Y298" s="49" t="str">
        <f t="shared" si="9"/>
        <v>202608-158</v>
      </c>
    </row>
    <row r="299" ht="14.25" customHeight="1">
      <c r="A299" s="82">
        <v>46249.0</v>
      </c>
      <c r="B299" s="83" t="s">
        <v>324</v>
      </c>
      <c r="C299" s="83" t="s">
        <v>365</v>
      </c>
      <c r="D299" s="83" t="s">
        <v>366</v>
      </c>
      <c r="E299" s="83"/>
      <c r="F299" s="83" t="s">
        <v>468</v>
      </c>
      <c r="G299" s="83" t="str">
        <f>IF($F299="","",IFERROR(VLOOKUP($F299,Inventory!$A:$B,2,FALSE),""))</f>
        <v>Drools, Meo &amp; Cutie Mixed Food 100gm</v>
      </c>
      <c r="H299" s="83">
        <v>1.0</v>
      </c>
      <c r="I299" s="84">
        <f t="shared" si="2"/>
        <v>40</v>
      </c>
      <c r="J299" s="85">
        <f>IF($F299="","",IFERROR(VLOOKUP($F299,Inventory!$A:$K,11,FALSE),0))</f>
        <v>50</v>
      </c>
      <c r="K299" s="85">
        <v>10.0</v>
      </c>
      <c r="L299" s="85">
        <f t="shared" si="3"/>
        <v>40</v>
      </c>
      <c r="M299" s="83" t="s">
        <v>330</v>
      </c>
      <c r="N299" s="85">
        <f>IF($F299="","",IFERROR(VLOOKUP($F299,Inventory!$A:$I,9,FALSE),0))</f>
        <v>31</v>
      </c>
      <c r="O299" s="85">
        <f t="shared" si="4"/>
        <v>31</v>
      </c>
      <c r="P299" s="85">
        <f t="shared" si="5"/>
        <v>9</v>
      </c>
      <c r="Q299" s="83"/>
      <c r="R299" s="87" t="str">
        <f>IF($E299="","",IF(COUNTIF($E$7:$E299,$E299)&gt;1,"",IFERROR(VLOOKUP($E299,Orders!$A:$I,8,FALSE),"")))</f>
        <v/>
      </c>
      <c r="S299" s="87" t="str">
        <f>IF($E299="","",IF(COUNTIF($E$7:$E299,$E299)&gt;1,"",IFERROR(VLOOKUP($E299,Orders!$A:$I,9,FALSE),"")))</f>
        <v/>
      </c>
      <c r="T299" s="88">
        <f t="shared" si="6"/>
        <v>9</v>
      </c>
      <c r="U299" s="88">
        <f>IF($F299="","",IF($E299="",T299,SUMIF(Sales!$E$7:$E$1506,$E299,Sales!$T$7:$T$1506)))</f>
        <v>9</v>
      </c>
      <c r="V299" s="49" t="str">
        <f t="shared" si="7"/>
        <v/>
      </c>
      <c r="W299" s="49" t="str">
        <f t="array" ref="W299">IF($V299="","",SUMPRODUCT((Sales!$V$7:$V$1506&lt;&gt;"")*(Sales!$E$7:$E$1506&lt;$E299))+1)</f>
        <v/>
      </c>
      <c r="X299" s="49">
        <f t="shared" si="8"/>
        <v>159</v>
      </c>
      <c r="Y299" s="49" t="str">
        <f t="shared" si="9"/>
        <v>202608-159</v>
      </c>
    </row>
    <row r="300" ht="14.25" customHeight="1">
      <c r="A300" s="82">
        <v>46250.0</v>
      </c>
      <c r="B300" s="83" t="s">
        <v>324</v>
      </c>
      <c r="C300" s="83" t="s">
        <v>365</v>
      </c>
      <c r="D300" s="83" t="s">
        <v>366</v>
      </c>
      <c r="E300" s="83"/>
      <c r="F300" s="83" t="s">
        <v>179</v>
      </c>
      <c r="G300" s="83" t="str">
        <f>IF($F300="","",IFERROR(VLOOKUP($F300,Inventory!$A:$B,2,FALSE),""))</f>
        <v>Creamy Treat 15G (Purry &amp; Hyper Paws)</v>
      </c>
      <c r="H300" s="83">
        <v>5.0</v>
      </c>
      <c r="I300" s="84">
        <f t="shared" si="2"/>
        <v>20</v>
      </c>
      <c r="J300" s="85">
        <f>IF($F300="","",IFERROR(VLOOKUP($F300,Inventory!$A:$K,11,FALSE),0))</f>
        <v>20</v>
      </c>
      <c r="K300" s="85"/>
      <c r="L300" s="85">
        <f t="shared" si="3"/>
        <v>100</v>
      </c>
      <c r="M300" s="83" t="s">
        <v>330</v>
      </c>
      <c r="N300" s="85">
        <f>IF($F300="","",IFERROR(VLOOKUP($F300,Inventory!$A:$I,9,FALSE),0))</f>
        <v>8.147411853</v>
      </c>
      <c r="O300" s="85">
        <f t="shared" si="4"/>
        <v>40.73705926</v>
      </c>
      <c r="P300" s="85">
        <f t="shared" si="5"/>
        <v>59.26294074</v>
      </c>
      <c r="Q300" s="83"/>
      <c r="R300" s="87" t="str">
        <f>IF($E300="","",IF(COUNTIF($E$7:$E300,$E300)&gt;1,"",IFERROR(VLOOKUP($E300,Orders!$A:$I,8,FALSE),"")))</f>
        <v/>
      </c>
      <c r="S300" s="87" t="str">
        <f>IF($E300="","",IF(COUNTIF($E$7:$E300,$E300)&gt;1,"",IFERROR(VLOOKUP($E300,Orders!$A:$I,9,FALSE),"")))</f>
        <v/>
      </c>
      <c r="T300" s="88">
        <f t="shared" si="6"/>
        <v>59.26294074</v>
      </c>
      <c r="U300" s="88">
        <f>IF($F300="","",IF($E300="",T300,SUMIF(Sales!$E$7:$E$1506,$E300,Sales!$T$7:$T$1506)))</f>
        <v>59.26294074</v>
      </c>
      <c r="V300" s="49" t="str">
        <f t="shared" si="7"/>
        <v/>
      </c>
      <c r="W300" s="49" t="str">
        <f t="array" ref="W300">IF($V300="","",SUMPRODUCT((Sales!$V$7:$V$1506&lt;&gt;"")*(Sales!$E$7:$E$1506&lt;$E300))+1)</f>
        <v/>
      </c>
      <c r="X300" s="49">
        <f t="shared" si="8"/>
        <v>160</v>
      </c>
      <c r="Y300" s="49" t="str">
        <f t="shared" si="9"/>
        <v>202608-160</v>
      </c>
    </row>
    <row r="301" ht="14.25" customHeight="1">
      <c r="A301" s="82">
        <v>46250.0</v>
      </c>
      <c r="B301" s="83" t="s">
        <v>324</v>
      </c>
      <c r="C301" s="83" t="s">
        <v>365</v>
      </c>
      <c r="D301" s="83" t="s">
        <v>366</v>
      </c>
      <c r="E301" s="83"/>
      <c r="F301" s="83" t="s">
        <v>258</v>
      </c>
      <c r="G301" s="83" t="str">
        <f>IF($F301="","",IFERROR(VLOOKUP($F301,Inventory!$A:$B,2,FALSE),""))</f>
        <v>Kitchen Flavor Grain Free Adult 400G</v>
      </c>
      <c r="H301" s="83">
        <v>1.0</v>
      </c>
      <c r="I301" s="84">
        <f t="shared" si="2"/>
        <v>360</v>
      </c>
      <c r="J301" s="85">
        <f>IF($F301="","",IFERROR(VLOOKUP($F301,Inventory!$A:$K,11,FALSE),0))</f>
        <v>380</v>
      </c>
      <c r="K301" s="85">
        <v>20.0</v>
      </c>
      <c r="L301" s="85">
        <f t="shared" si="3"/>
        <v>360</v>
      </c>
      <c r="M301" s="83" t="s">
        <v>330</v>
      </c>
      <c r="N301" s="85">
        <f>IF($F301="","",IFERROR(VLOOKUP($F301,Inventory!$A:$I,9,FALSE),0))</f>
        <v>290</v>
      </c>
      <c r="O301" s="85">
        <f t="shared" si="4"/>
        <v>290</v>
      </c>
      <c r="P301" s="85">
        <f t="shared" si="5"/>
        <v>70</v>
      </c>
      <c r="Q301" s="83"/>
      <c r="R301" s="87" t="str">
        <f>IF($E301="","",IF(COUNTIF($E$7:$E301,$E301)&gt;1,"",IFERROR(VLOOKUP($E301,Orders!$A:$I,8,FALSE),"")))</f>
        <v/>
      </c>
      <c r="S301" s="87" t="str">
        <f>IF($E301="","",IF(COUNTIF($E$7:$E301,$E301)&gt;1,"",IFERROR(VLOOKUP($E301,Orders!$A:$I,9,FALSE),"")))</f>
        <v/>
      </c>
      <c r="T301" s="88">
        <f t="shared" si="6"/>
        <v>70</v>
      </c>
      <c r="U301" s="88">
        <f>IF($F301="","",IF($E301="",T301,SUMIF(Sales!$E$7:$E$1506,$E301,Sales!$T$7:$T$1506)))</f>
        <v>70</v>
      </c>
      <c r="V301" s="49" t="str">
        <f t="shared" si="7"/>
        <v/>
      </c>
      <c r="W301" s="49" t="str">
        <f t="array" ref="W301">IF($V301="","",SUMPRODUCT((Sales!$V$7:$V$1506&lt;&gt;"")*(Sales!$E$7:$E$1506&lt;$E301))+1)</f>
        <v/>
      </c>
      <c r="X301" s="49">
        <f t="shared" si="8"/>
        <v>161</v>
      </c>
      <c r="Y301" s="49" t="str">
        <f t="shared" si="9"/>
        <v>202608-161</v>
      </c>
    </row>
    <row r="302" ht="14.25" customHeight="1">
      <c r="A302" s="82">
        <v>46250.0</v>
      </c>
      <c r="B302" s="83" t="s">
        <v>324</v>
      </c>
      <c r="C302" s="83" t="s">
        <v>325</v>
      </c>
      <c r="D302" s="83" t="s">
        <v>588</v>
      </c>
      <c r="E302" s="83" t="s">
        <v>597</v>
      </c>
      <c r="F302" s="83" t="s">
        <v>342</v>
      </c>
      <c r="G302" s="83" t="str">
        <f>IF($F302="","",IFERROR(VLOOKUP($F302,Inventory!$A:$B,2,FALSE),""))</f>
        <v>Wanpy Cat Food Can Chicken</v>
      </c>
      <c r="H302" s="83">
        <v>1.0</v>
      </c>
      <c r="I302" s="84">
        <f t="shared" si="2"/>
        <v>210</v>
      </c>
      <c r="J302" s="85">
        <f>IF($F302="","",IFERROR(VLOOKUP($F302,Inventory!$A:$K,11,FALSE),0))</f>
        <v>210</v>
      </c>
      <c r="K302" s="85"/>
      <c r="L302" s="85">
        <f t="shared" si="3"/>
        <v>210</v>
      </c>
      <c r="M302" s="83" t="s">
        <v>330</v>
      </c>
      <c r="N302" s="85">
        <f>IF($F302="","",IFERROR(VLOOKUP($F302,Inventory!$A:$I,9,FALSE),0))</f>
        <v>160</v>
      </c>
      <c r="O302" s="85">
        <f t="shared" si="4"/>
        <v>160</v>
      </c>
      <c r="P302" s="85">
        <f t="shared" si="5"/>
        <v>50</v>
      </c>
      <c r="Q302" s="83"/>
      <c r="R302" s="118">
        <f>IF($E302="","",IF(COUNTIF($E$7:$E302,$E302)&gt;1,"",IFERROR(VLOOKUP($E302,Orders!$A:$I,8,FALSE),"")))</f>
        <v>150</v>
      </c>
      <c r="S302" s="118">
        <f>IF($E302="","",IF(COUNTIF($E$7:$E302,$E302)&gt;1,"",IFERROR(VLOOKUP($E302,Orders!$A:$I,9,FALSE),"")))</f>
        <v>343</v>
      </c>
      <c r="T302" s="88">
        <f t="shared" si="6"/>
        <v>-143</v>
      </c>
      <c r="U302" s="88">
        <f>IF($F302="","",IF($E302="",T302,SUMIF(Sales!$E$7:$E$1506,$E302,Sales!$T$7:$T$1506)))</f>
        <v>484.0517629</v>
      </c>
      <c r="V302" s="49">
        <f t="shared" si="7"/>
        <v>16</v>
      </c>
      <c r="W302" s="49">
        <f t="array" ref="W302">IF($V302="","",SUMPRODUCT((Sales!$V$7:$V$1506&lt;&gt;"")*(Sales!$E$7:$E$1506&lt;$E302))+1)</f>
        <v>16</v>
      </c>
      <c r="X302" s="49">
        <f t="shared" si="8"/>
        <v>162</v>
      </c>
      <c r="Y302" s="49" t="str">
        <f t="shared" si="9"/>
        <v>202608-162</v>
      </c>
    </row>
    <row r="303" ht="14.25" customHeight="1">
      <c r="A303" s="82">
        <v>46250.0</v>
      </c>
      <c r="B303" s="83" t="s">
        <v>324</v>
      </c>
      <c r="C303" s="83" t="s">
        <v>325</v>
      </c>
      <c r="D303" s="83" t="s">
        <v>588</v>
      </c>
      <c r="E303" s="83" t="s">
        <v>597</v>
      </c>
      <c r="F303" s="83" t="s">
        <v>347</v>
      </c>
      <c r="G303" s="83" t="str">
        <f>IF($F303="","",IFERROR(VLOOKUP($F303,Inventory!$A:$B,2,FALSE),""))</f>
        <v>Wanpy Cat Food Can Tuna</v>
      </c>
      <c r="H303" s="83">
        <v>1.0</v>
      </c>
      <c r="I303" s="84">
        <f t="shared" si="2"/>
        <v>210</v>
      </c>
      <c r="J303" s="85">
        <f>IF($F303="","",IFERROR(VLOOKUP($F303,Inventory!$A:$K,11,FALSE),0))</f>
        <v>210</v>
      </c>
      <c r="K303" s="85"/>
      <c r="L303" s="85">
        <f t="shared" si="3"/>
        <v>210</v>
      </c>
      <c r="M303" s="83" t="s">
        <v>330</v>
      </c>
      <c r="N303" s="85">
        <f>IF($F303="","",IFERROR(VLOOKUP($F303,Inventory!$A:$I,9,FALSE),0))</f>
        <v>160</v>
      </c>
      <c r="O303" s="85">
        <f t="shared" si="4"/>
        <v>160</v>
      </c>
      <c r="P303" s="85">
        <f t="shared" si="5"/>
        <v>50</v>
      </c>
      <c r="Q303" s="83"/>
      <c r="R303" s="87" t="str">
        <f>IF($E303="","",IF(COUNTIF($E$7:$E303,$E303)&gt;1,"",IFERROR(VLOOKUP($E303,Orders!$A:$I,8,FALSE),"")))</f>
        <v/>
      </c>
      <c r="S303" s="87" t="str">
        <f>IF($E303="","",IF(COUNTIF($E$7:$E303,$E303)&gt;1,"",IFERROR(VLOOKUP($E303,Orders!$A:$I,9,FALSE),"")))</f>
        <v/>
      </c>
      <c r="T303" s="88">
        <f t="shared" si="6"/>
        <v>50</v>
      </c>
      <c r="U303" s="88">
        <f>IF($F303="","",IF($E303="",T303,SUMIF(Sales!$E$7:$E$1506,$E303,Sales!$T$7:$T$1506)))</f>
        <v>484.0517629</v>
      </c>
      <c r="V303" s="49" t="str">
        <f t="shared" si="7"/>
        <v/>
      </c>
      <c r="W303" s="49" t="str">
        <f t="array" ref="W303">IF($V303="","",SUMPRODUCT((Sales!$V$7:$V$1506&lt;&gt;"")*(Sales!$E$7:$E$1506&lt;$E303))+1)</f>
        <v/>
      </c>
      <c r="X303" s="49">
        <f t="shared" si="8"/>
        <v>163</v>
      </c>
      <c r="Y303" s="49" t="str">
        <f t="shared" si="9"/>
        <v>202608-163</v>
      </c>
    </row>
    <row r="304" ht="14.25" customHeight="1">
      <c r="A304" s="82">
        <v>46250.0</v>
      </c>
      <c r="B304" s="83" t="s">
        <v>324</v>
      </c>
      <c r="C304" s="83" t="s">
        <v>325</v>
      </c>
      <c r="D304" s="83" t="s">
        <v>588</v>
      </c>
      <c r="E304" s="83" t="s">
        <v>597</v>
      </c>
      <c r="F304" s="83" t="s">
        <v>349</v>
      </c>
      <c r="G304" s="83" t="str">
        <f>IF($F304="","",IFERROR(VLOOKUP($F304,Inventory!$A:$B,2,FALSE),""))</f>
        <v>PAW Cat Food Kitten Can Fish</v>
      </c>
      <c r="H304" s="83">
        <v>1.0</v>
      </c>
      <c r="I304" s="84">
        <f t="shared" si="2"/>
        <v>190</v>
      </c>
      <c r="J304" s="85">
        <f>IF($F304="","",IFERROR(VLOOKUP($F304,Inventory!$A:$K,11,FALSE),0))</f>
        <v>190</v>
      </c>
      <c r="K304" s="85"/>
      <c r="L304" s="85">
        <f t="shared" si="3"/>
        <v>190</v>
      </c>
      <c r="M304" s="83" t="s">
        <v>330</v>
      </c>
      <c r="N304" s="85">
        <f>IF($F304="","",IFERROR(VLOOKUP($F304,Inventory!$A:$I,9,FALSE),0))</f>
        <v>130</v>
      </c>
      <c r="O304" s="85">
        <f t="shared" si="4"/>
        <v>130</v>
      </c>
      <c r="P304" s="85">
        <f t="shared" si="5"/>
        <v>60</v>
      </c>
      <c r="Q304" s="83"/>
      <c r="R304" s="87" t="str">
        <f>IF($E304="","",IF(COUNTIF($E$7:$E304,$E304)&gt;1,"",IFERROR(VLOOKUP($E304,Orders!$A:$I,8,FALSE),"")))</f>
        <v/>
      </c>
      <c r="S304" s="87" t="str">
        <f>IF($E304="","",IF(COUNTIF($E$7:$E304,$E304)&gt;1,"",IFERROR(VLOOKUP($E304,Orders!$A:$I,9,FALSE),"")))</f>
        <v/>
      </c>
      <c r="T304" s="88">
        <f t="shared" si="6"/>
        <v>60</v>
      </c>
      <c r="U304" s="88">
        <f>IF($F304="","",IF($E304="",T304,SUMIF(Sales!$E$7:$E$1506,$E304,Sales!$T$7:$T$1506)))</f>
        <v>484.0517629</v>
      </c>
      <c r="V304" s="49" t="str">
        <f t="shared" si="7"/>
        <v/>
      </c>
      <c r="W304" s="49" t="str">
        <f t="array" ref="W304">IF($V304="","",SUMPRODUCT((Sales!$V$7:$V$1506&lt;&gt;"")*(Sales!$E$7:$E$1506&lt;$E304))+1)</f>
        <v/>
      </c>
      <c r="X304" s="49">
        <f t="shared" si="8"/>
        <v>164</v>
      </c>
      <c r="Y304" s="49" t="str">
        <f t="shared" si="9"/>
        <v>202608-164</v>
      </c>
    </row>
    <row r="305" ht="14.25" customHeight="1">
      <c r="A305" s="82">
        <v>46250.0</v>
      </c>
      <c r="B305" s="83" t="s">
        <v>324</v>
      </c>
      <c r="C305" s="83" t="s">
        <v>325</v>
      </c>
      <c r="D305" s="83" t="s">
        <v>588</v>
      </c>
      <c r="E305" s="83" t="s">
        <v>597</v>
      </c>
      <c r="F305" s="83" t="s">
        <v>179</v>
      </c>
      <c r="G305" s="83" t="str">
        <f>IF($F305="","",IFERROR(VLOOKUP($F305,Inventory!$A:$B,2,FALSE),""))</f>
        <v>Creamy Treat 15G (Purry &amp; Hyper Paws)</v>
      </c>
      <c r="H305" s="83">
        <v>20.0</v>
      </c>
      <c r="I305" s="84">
        <f t="shared" si="2"/>
        <v>20</v>
      </c>
      <c r="J305" s="85">
        <f>IF($F305="","",IFERROR(VLOOKUP($F305,Inventory!$A:$K,11,FALSE),0))</f>
        <v>20</v>
      </c>
      <c r="K305" s="85"/>
      <c r="L305" s="85">
        <f t="shared" si="3"/>
        <v>400</v>
      </c>
      <c r="M305" s="83" t="s">
        <v>330</v>
      </c>
      <c r="N305" s="85">
        <f>IF($F305="","",IFERROR(VLOOKUP($F305,Inventory!$A:$I,9,FALSE),0))</f>
        <v>8.147411853</v>
      </c>
      <c r="O305" s="85">
        <f t="shared" si="4"/>
        <v>162.9482371</v>
      </c>
      <c r="P305" s="85">
        <f t="shared" si="5"/>
        <v>237.0517629</v>
      </c>
      <c r="Q305" s="83"/>
      <c r="R305" s="87" t="str">
        <f>IF($E305="","",IF(COUNTIF($E$7:$E305,$E305)&gt;1,"",IFERROR(VLOOKUP($E305,Orders!$A:$I,8,FALSE),"")))</f>
        <v/>
      </c>
      <c r="S305" s="87" t="str">
        <f>IF($E305="","",IF(COUNTIF($E$7:$E305,$E305)&gt;1,"",IFERROR(VLOOKUP($E305,Orders!$A:$I,9,FALSE),"")))</f>
        <v/>
      </c>
      <c r="T305" s="88">
        <f t="shared" si="6"/>
        <v>237.0517629</v>
      </c>
      <c r="U305" s="88">
        <f>IF($F305="","",IF($E305="",T305,SUMIF(Sales!$E$7:$E$1506,$E305,Sales!$T$7:$T$1506)))</f>
        <v>484.0517629</v>
      </c>
      <c r="V305" s="49" t="str">
        <f t="shared" si="7"/>
        <v/>
      </c>
      <c r="W305" s="49" t="str">
        <f t="array" ref="W305">IF($V305="","",SUMPRODUCT((Sales!$V$7:$V$1506&lt;&gt;"")*(Sales!$E$7:$E$1506&lt;$E305))+1)</f>
        <v/>
      </c>
      <c r="X305" s="49">
        <f t="shared" si="8"/>
        <v>165</v>
      </c>
      <c r="Y305" s="49" t="str">
        <f t="shared" si="9"/>
        <v>202608-165</v>
      </c>
    </row>
    <row r="306" ht="14.25" customHeight="1">
      <c r="A306" s="82">
        <v>46250.0</v>
      </c>
      <c r="B306" s="83" t="s">
        <v>324</v>
      </c>
      <c r="C306" s="83" t="s">
        <v>325</v>
      </c>
      <c r="D306" s="83" t="s">
        <v>588</v>
      </c>
      <c r="E306" s="83" t="s">
        <v>597</v>
      </c>
      <c r="F306" s="83" t="s">
        <v>202</v>
      </c>
      <c r="G306" s="83" t="str">
        <f>IF($F306="","",IFERROR(VLOOKUP($F306,Inventory!$A:$B,2,FALSE),""))</f>
        <v>Cozie Cat Litter Lavender 10L</v>
      </c>
      <c r="H306" s="83">
        <v>1.0</v>
      </c>
      <c r="I306" s="84">
        <f t="shared" si="2"/>
        <v>700</v>
      </c>
      <c r="J306" s="85">
        <f>IF($F306="","",IFERROR(VLOOKUP($F306,Inventory!$A:$K,11,FALSE),0))</f>
        <v>700</v>
      </c>
      <c r="K306" s="85"/>
      <c r="L306" s="85">
        <f t="shared" si="3"/>
        <v>700</v>
      </c>
      <c r="M306" s="83" t="s">
        <v>330</v>
      </c>
      <c r="N306" s="85">
        <f>IF($F306="","",IFERROR(VLOOKUP($F306,Inventory!$A:$I,9,FALSE),0))</f>
        <v>450</v>
      </c>
      <c r="O306" s="85">
        <f t="shared" si="4"/>
        <v>450</v>
      </c>
      <c r="P306" s="85">
        <f t="shared" si="5"/>
        <v>250</v>
      </c>
      <c r="Q306" s="83"/>
      <c r="R306" s="87" t="str">
        <f>IF($E306="","",IF(COUNTIF($E$7:$E306,$E306)&gt;1,"",IFERROR(VLOOKUP($E306,Orders!$A:$I,8,FALSE),"")))</f>
        <v/>
      </c>
      <c r="S306" s="87" t="str">
        <f>IF($E306="","",IF(COUNTIF($E$7:$E306,$E306)&gt;1,"",IFERROR(VLOOKUP($E306,Orders!$A:$I,9,FALSE),"")))</f>
        <v/>
      </c>
      <c r="T306" s="88">
        <f t="shared" si="6"/>
        <v>250</v>
      </c>
      <c r="U306" s="88">
        <f>IF($F306="","",IF($E306="",T306,SUMIF(Sales!$E$7:$E$1506,$E306,Sales!$T$7:$T$1506)))</f>
        <v>484.0517629</v>
      </c>
      <c r="V306" s="49" t="str">
        <f t="shared" si="7"/>
        <v/>
      </c>
      <c r="W306" s="49" t="str">
        <f t="array" ref="W306">IF($V306="","",SUMPRODUCT((Sales!$V$7:$V$1506&lt;&gt;"")*(Sales!$E$7:$E$1506&lt;$E306))+1)</f>
        <v/>
      </c>
      <c r="X306" s="49">
        <f t="shared" si="8"/>
        <v>166</v>
      </c>
      <c r="Y306" s="49" t="str">
        <f t="shared" si="9"/>
        <v>202608-166</v>
      </c>
    </row>
    <row r="307" ht="14.25" customHeight="1">
      <c r="A307" s="82">
        <v>46250.0</v>
      </c>
      <c r="B307" s="83" t="s">
        <v>324</v>
      </c>
      <c r="C307" s="83" t="s">
        <v>325</v>
      </c>
      <c r="D307" s="83" t="s">
        <v>588</v>
      </c>
      <c r="E307" s="83" t="s">
        <v>597</v>
      </c>
      <c r="F307" s="83" t="s">
        <v>363</v>
      </c>
      <c r="G307" s="83" t="str">
        <f>IF($F307="","",IFERROR(VLOOKUP($F307,Inventory!$A:$B,2,FALSE),""))</f>
        <v>Petmetro Pouch Complite Balance - Chicken Receipe - 100g</v>
      </c>
      <c r="H307" s="83">
        <v>1.0</v>
      </c>
      <c r="I307" s="84">
        <f t="shared" si="2"/>
        <v>100</v>
      </c>
      <c r="J307" s="85">
        <f>IF($F307="","",IFERROR(VLOOKUP($F307,Inventory!$A:$K,11,FALSE),0))</f>
        <v>100</v>
      </c>
      <c r="K307" s="85"/>
      <c r="L307" s="85">
        <f t="shared" si="3"/>
        <v>100</v>
      </c>
      <c r="M307" s="83" t="s">
        <v>330</v>
      </c>
      <c r="N307" s="85">
        <f>IF($F307="","",IFERROR(VLOOKUP($F307,Inventory!$A:$I,9,FALSE),0))</f>
        <v>70</v>
      </c>
      <c r="O307" s="85">
        <f t="shared" si="4"/>
        <v>70</v>
      </c>
      <c r="P307" s="85">
        <f t="shared" si="5"/>
        <v>30</v>
      </c>
      <c r="Q307" s="83"/>
      <c r="R307" s="87" t="str">
        <f>IF($E307="","",IF(COUNTIF($E$7:$E307,$E307)&gt;1,"",IFERROR(VLOOKUP($E307,Orders!$A:$I,8,FALSE),"")))</f>
        <v/>
      </c>
      <c r="S307" s="87" t="str">
        <f>IF($E307="","",IF(COUNTIF($E$7:$E307,$E307)&gt;1,"",IFERROR(VLOOKUP($E307,Orders!$A:$I,9,FALSE),"")))</f>
        <v/>
      </c>
      <c r="T307" s="88">
        <f t="shared" si="6"/>
        <v>30</v>
      </c>
      <c r="U307" s="88">
        <f>IF($F307="","",IF($E307="",T307,SUMIF(Sales!$E$7:$E$1506,$E307,Sales!$T$7:$T$1506)))</f>
        <v>484.0517629</v>
      </c>
      <c r="V307" s="49" t="str">
        <f t="shared" si="7"/>
        <v/>
      </c>
      <c r="W307" s="49" t="str">
        <f t="array" ref="W307">IF($V307="","",SUMPRODUCT((Sales!$V$7:$V$1506&lt;&gt;"")*(Sales!$E$7:$E$1506&lt;$E307))+1)</f>
        <v/>
      </c>
      <c r="X307" s="49">
        <f t="shared" si="8"/>
        <v>167</v>
      </c>
      <c r="Y307" s="49" t="str">
        <f t="shared" si="9"/>
        <v>202608-167</v>
      </c>
    </row>
    <row r="308" ht="14.25" customHeight="1">
      <c r="A308" s="82">
        <v>46250.0</v>
      </c>
      <c r="B308" s="83" t="s">
        <v>324</v>
      </c>
      <c r="C308" s="83" t="s">
        <v>365</v>
      </c>
      <c r="D308" s="83" t="s">
        <v>366</v>
      </c>
      <c r="E308" s="83"/>
      <c r="F308" s="83" t="s">
        <v>393</v>
      </c>
      <c r="G308" s="83" t="str">
        <f>IF($F308="","",IFERROR(VLOOKUP($F308,Inventory!$A:$B,2,FALSE),""))</f>
        <v>Lumina Cat Litter Lavender 5L</v>
      </c>
      <c r="H308" s="83">
        <v>1.0</v>
      </c>
      <c r="I308" s="84">
        <f t="shared" si="2"/>
        <v>220</v>
      </c>
      <c r="J308" s="85">
        <f>IF($F308="","",IFERROR(VLOOKUP($F308,Inventory!$A:$K,11,FALSE),0))</f>
        <v>280</v>
      </c>
      <c r="K308" s="85">
        <v>60.0</v>
      </c>
      <c r="L308" s="85">
        <f t="shared" si="3"/>
        <v>220</v>
      </c>
      <c r="M308" s="83" t="s">
        <v>330</v>
      </c>
      <c r="N308" s="85">
        <f>IF($F308="","",IFERROR(VLOOKUP($F308,Inventory!$A:$I,9,FALSE),0))</f>
        <v>190</v>
      </c>
      <c r="O308" s="85">
        <f t="shared" si="4"/>
        <v>190</v>
      </c>
      <c r="P308" s="85">
        <f t="shared" si="5"/>
        <v>30</v>
      </c>
      <c r="Q308" s="83"/>
      <c r="R308" s="87" t="str">
        <f>IF($E308="","",IF(COUNTIF($E$7:$E308,$E308)&gt;1,"",IFERROR(VLOOKUP($E308,Orders!$A:$I,8,FALSE),"")))</f>
        <v/>
      </c>
      <c r="S308" s="87" t="str">
        <f>IF($E308="","",IF(COUNTIF($E$7:$E308,$E308)&gt;1,"",IFERROR(VLOOKUP($E308,Orders!$A:$I,9,FALSE),"")))</f>
        <v/>
      </c>
      <c r="T308" s="88">
        <f t="shared" si="6"/>
        <v>30</v>
      </c>
      <c r="U308" s="88">
        <f>IF($F308="","",IF($E308="",T308,SUMIF(Sales!$E$7:$E$1506,$E308,Sales!$T$7:$T$1506)))</f>
        <v>30</v>
      </c>
      <c r="V308" s="49" t="str">
        <f t="shared" si="7"/>
        <v/>
      </c>
      <c r="W308" s="49" t="str">
        <f t="array" ref="W308">IF($V308="","",SUMPRODUCT((Sales!$V$7:$V$1506&lt;&gt;"")*(Sales!$E$7:$E$1506&lt;$E308))+1)</f>
        <v/>
      </c>
      <c r="X308" s="49">
        <f t="shared" si="8"/>
        <v>168</v>
      </c>
      <c r="Y308" s="49" t="str">
        <f t="shared" si="9"/>
        <v>202608-168</v>
      </c>
    </row>
    <row r="309" ht="14.25" customHeight="1">
      <c r="A309" s="82">
        <v>46250.0</v>
      </c>
      <c r="B309" s="83" t="s">
        <v>324</v>
      </c>
      <c r="C309" s="83" t="s">
        <v>365</v>
      </c>
      <c r="D309" s="83" t="s">
        <v>366</v>
      </c>
      <c r="E309" s="83"/>
      <c r="F309" s="83" t="s">
        <v>211</v>
      </c>
      <c r="G309" s="83" t="str">
        <f>IF($F309="","",IFERROR(VLOOKUP($F309,Inventory!$A:$B,2,FALSE),""))</f>
        <v>Smart Heart Pouch  Tuna With Chicken in Jelly</v>
      </c>
      <c r="H309" s="83">
        <v>1.0</v>
      </c>
      <c r="I309" s="84">
        <f t="shared" si="2"/>
        <v>80</v>
      </c>
      <c r="J309" s="85">
        <f>IF($F309="","",IFERROR(VLOOKUP($F309,Inventory!$A:$K,11,FALSE),0))</f>
        <v>95</v>
      </c>
      <c r="K309" s="85">
        <v>15.0</v>
      </c>
      <c r="L309" s="85">
        <f t="shared" si="3"/>
        <v>80</v>
      </c>
      <c r="M309" s="83" t="s">
        <v>330</v>
      </c>
      <c r="N309" s="85">
        <f>IF($F309="","",IFERROR(VLOOKUP($F309,Inventory!$A:$I,9,FALSE),0))</f>
        <v>71.9047619</v>
      </c>
      <c r="O309" s="85">
        <f t="shared" si="4"/>
        <v>71.9047619</v>
      </c>
      <c r="P309" s="85">
        <f t="shared" si="5"/>
        <v>8.095238095</v>
      </c>
      <c r="Q309" s="83"/>
      <c r="R309" s="118" t="str">
        <f>IF($E309="","",IF(COUNTIF($E$7:$E1506,$E309)&gt;1,"",IFERROR(VLOOKUP($E309,Orders!$A:$I,8,FALSE),"")))</f>
        <v/>
      </c>
      <c r="S309" s="118" t="str">
        <f>IF($E309="","",IF(COUNTIF($E$7:$E1506,$E309)&gt;1,"",IFERROR(VLOOKUP($E309,Orders!$A:$I,9,FALSE),"")))</f>
        <v/>
      </c>
      <c r="T309" s="88">
        <f t="shared" si="6"/>
        <v>8.095238095</v>
      </c>
      <c r="U309" s="88">
        <f>IF($F309="","",IF($E309="",T309,SUMIF(Sales!$E$7:$E$1506,$E309,Sales!$T$7:$T$1506)))</f>
        <v>8.095238095</v>
      </c>
      <c r="V309" s="49" t="str">
        <f t="shared" ref="V309:V513" si="10">IF(OR($C309&lt;&gt;"Online",$E309=""),"",IF(COUNTIF($E$7:$E1506,$E309)&gt;1,"",COUNT($V$6:V308)+1))</f>
        <v/>
      </c>
      <c r="W309" s="49" t="str">
        <f t="array" ref="W309">IF($V309="","",SUMPRODUCT((Sales!$V$7:$V$1506&lt;&gt;"")*(Sales!$E$7:$E$1506&lt;$E309))+1)</f>
        <v/>
      </c>
      <c r="X309" s="49">
        <f t="shared" ref="X309:X513" si="11">IF($A309="","",COUNTIFS($A$7:$A1506,"&gt;="&amp;EOMONTH($A309,-1)+1,$A$7:$A1506,"&lt;="&amp;EOMONTH($A309,0)))</f>
        <v>354</v>
      </c>
      <c r="Y309" s="49" t="str">
        <f t="shared" si="9"/>
        <v>202608-354</v>
      </c>
    </row>
    <row r="310" ht="14.25" customHeight="1">
      <c r="A310" s="82">
        <v>46251.0</v>
      </c>
      <c r="B310" s="83" t="s">
        <v>324</v>
      </c>
      <c r="C310" s="83" t="s">
        <v>365</v>
      </c>
      <c r="D310" s="83" t="s">
        <v>366</v>
      </c>
      <c r="E310" s="83"/>
      <c r="F310" s="83" t="s">
        <v>207</v>
      </c>
      <c r="G310" s="83" t="str">
        <f>IF($F310="","",IFERROR(VLOOKUP($F310,Inventory!$A:$B,2,FALSE),""))</f>
        <v>Nekko Pouch 70G Tuna in Chicken Mousse For Kitten</v>
      </c>
      <c r="H310" s="83">
        <v>6.0</v>
      </c>
      <c r="I310" s="84">
        <f t="shared" si="2"/>
        <v>80</v>
      </c>
      <c r="J310" s="85">
        <f>IF($F310="","",IFERROR(VLOOKUP($F310,Inventory!$A:$K,11,FALSE),0))</f>
        <v>90</v>
      </c>
      <c r="K310" s="85">
        <v>10.0</v>
      </c>
      <c r="L310" s="85">
        <f t="shared" si="3"/>
        <v>480</v>
      </c>
      <c r="M310" s="83" t="s">
        <v>330</v>
      </c>
      <c r="N310" s="85">
        <f>IF($F310="","",IFERROR(VLOOKUP($F310,Inventory!$A:$I,9,FALSE),0))</f>
        <v>65.17241379</v>
      </c>
      <c r="O310" s="85">
        <f t="shared" si="4"/>
        <v>391.0344828</v>
      </c>
      <c r="P310" s="85">
        <f t="shared" si="5"/>
        <v>88.96551724</v>
      </c>
      <c r="Q310" s="83"/>
      <c r="R310" s="118" t="str">
        <f>IF($E310="","",IF(COUNTIF($E$7:$E1507,$E310)&gt;1,"",IFERROR(VLOOKUP($E310,Orders!$A:$I,8,FALSE),"")))</f>
        <v/>
      </c>
      <c r="S310" s="118" t="str">
        <f>IF($E310="","",IF(COUNTIF($E$7:$E1507,$E310)&gt;1,"",IFERROR(VLOOKUP($E310,Orders!$A:$I,9,FALSE),"")))</f>
        <v/>
      </c>
      <c r="T310" s="88">
        <f t="shared" si="6"/>
        <v>88.96551724</v>
      </c>
      <c r="U310" s="88">
        <f>IF($F310="","",IF($E310="",T310,SUMIF(Sales!$E$7:$E$1506,$E310,Sales!$T$7:$T$1506)))</f>
        <v>88.96551724</v>
      </c>
      <c r="V310" s="49" t="str">
        <f t="shared" si="10"/>
        <v/>
      </c>
      <c r="W310" s="49" t="str">
        <f t="array" ref="W310">IF($V310="","",SUMPRODUCT((Sales!$V$7:$V$1506&lt;&gt;"")*(Sales!$E$7:$E$1506&lt;$E310))+1)</f>
        <v/>
      </c>
      <c r="X310" s="49">
        <f t="shared" si="11"/>
        <v>354</v>
      </c>
      <c r="Y310" s="49" t="str">
        <f t="shared" si="9"/>
        <v>202608-354</v>
      </c>
    </row>
    <row r="311" ht="14.25" customHeight="1">
      <c r="A311" s="82">
        <v>46251.0</v>
      </c>
      <c r="B311" s="83" t="s">
        <v>324</v>
      </c>
      <c r="C311" s="83" t="s">
        <v>365</v>
      </c>
      <c r="D311" s="83" t="s">
        <v>366</v>
      </c>
      <c r="E311" s="83"/>
      <c r="F311" s="83" t="s">
        <v>179</v>
      </c>
      <c r="G311" s="83" t="str">
        <f>IF($F311="","",IFERROR(VLOOKUP($F311,Inventory!$A:$B,2,FALSE),""))</f>
        <v>Creamy Treat 15G (Purry &amp; Hyper Paws)</v>
      </c>
      <c r="H311" s="83">
        <v>1.0</v>
      </c>
      <c r="I311" s="84">
        <f t="shared" si="2"/>
        <v>20</v>
      </c>
      <c r="J311" s="85">
        <f>IF($F311="","",IFERROR(VLOOKUP($F311,Inventory!$A:$K,11,FALSE),0))</f>
        <v>20</v>
      </c>
      <c r="K311" s="85"/>
      <c r="L311" s="85">
        <f t="shared" si="3"/>
        <v>20</v>
      </c>
      <c r="M311" s="83" t="s">
        <v>330</v>
      </c>
      <c r="N311" s="85">
        <f>IF($F311="","",IFERROR(VLOOKUP($F311,Inventory!$A:$I,9,FALSE),0))</f>
        <v>8.147411853</v>
      </c>
      <c r="O311" s="85">
        <f t="shared" si="4"/>
        <v>8.147411853</v>
      </c>
      <c r="P311" s="85">
        <f t="shared" si="5"/>
        <v>11.85258815</v>
      </c>
      <c r="Q311" s="83"/>
      <c r="R311" s="118" t="str">
        <f>IF($E311="","",IF(COUNTIF($E$7:$E1508,$E311)&gt;1,"",IFERROR(VLOOKUP($E311,Orders!$A:$I,8,FALSE),"")))</f>
        <v/>
      </c>
      <c r="S311" s="118" t="str">
        <f>IF($E311="","",IF(COUNTIF($E$7:$E1508,$E311)&gt;1,"",IFERROR(VLOOKUP($E311,Orders!$A:$I,9,FALSE),"")))</f>
        <v/>
      </c>
      <c r="T311" s="88">
        <f t="shared" si="6"/>
        <v>11.85258815</v>
      </c>
      <c r="U311" s="88">
        <f>IF($F311="","",IF($E311="",T311,SUMIF(Sales!$E$7:$E$1506,$E311,Sales!$T$7:$T$1506)))</f>
        <v>11.85258815</v>
      </c>
      <c r="V311" s="49" t="str">
        <f t="shared" si="10"/>
        <v/>
      </c>
      <c r="W311" s="49" t="str">
        <f t="array" ref="W311">IF($V311="","",SUMPRODUCT((Sales!$V$7:$V$1506&lt;&gt;"")*(Sales!$E$7:$E$1506&lt;$E311))+1)</f>
        <v/>
      </c>
      <c r="X311" s="49">
        <f t="shared" si="11"/>
        <v>354</v>
      </c>
      <c r="Y311" s="49" t="str">
        <f t="shared" si="9"/>
        <v>202608-354</v>
      </c>
    </row>
    <row r="312" ht="14.25" customHeight="1">
      <c r="A312" s="82">
        <v>46251.0</v>
      </c>
      <c r="B312" s="83" t="s">
        <v>324</v>
      </c>
      <c r="C312" s="83" t="s">
        <v>365</v>
      </c>
      <c r="D312" s="83" t="s">
        <v>366</v>
      </c>
      <c r="E312" s="83"/>
      <c r="F312" s="83" t="s">
        <v>393</v>
      </c>
      <c r="G312" s="83" t="str">
        <f>IF($F312="","",IFERROR(VLOOKUP($F312,Inventory!$A:$B,2,FALSE),""))</f>
        <v>Lumina Cat Litter Lavender 5L</v>
      </c>
      <c r="H312" s="83">
        <v>1.0</v>
      </c>
      <c r="I312" s="84">
        <f t="shared" si="2"/>
        <v>250</v>
      </c>
      <c r="J312" s="85">
        <f>IF($F312="","",IFERROR(VLOOKUP($F312,Inventory!$A:$K,11,FALSE),0))</f>
        <v>280</v>
      </c>
      <c r="K312" s="85">
        <v>30.0</v>
      </c>
      <c r="L312" s="85">
        <f t="shared" si="3"/>
        <v>250</v>
      </c>
      <c r="M312" s="83" t="s">
        <v>330</v>
      </c>
      <c r="N312" s="85">
        <f>IF($F312="","",IFERROR(VLOOKUP($F312,Inventory!$A:$I,9,FALSE),0))</f>
        <v>190</v>
      </c>
      <c r="O312" s="85">
        <f t="shared" si="4"/>
        <v>190</v>
      </c>
      <c r="P312" s="85">
        <f t="shared" si="5"/>
        <v>60</v>
      </c>
      <c r="Q312" s="83"/>
      <c r="R312" s="118" t="str">
        <f>IF($E312="","",IF(COUNTIF($E$7:$E1509,$E312)&gt;1,"",IFERROR(VLOOKUP($E312,Orders!$A:$I,8,FALSE),"")))</f>
        <v/>
      </c>
      <c r="S312" s="118" t="str">
        <f>IF($E312="","",IF(COUNTIF($E$7:$E1509,$E312)&gt;1,"",IFERROR(VLOOKUP($E312,Orders!$A:$I,9,FALSE),"")))</f>
        <v/>
      </c>
      <c r="T312" s="88">
        <f t="shared" si="6"/>
        <v>60</v>
      </c>
      <c r="U312" s="88">
        <f>IF($F312="","",IF($E312="",T312,SUMIF(Sales!$E$7:$E$1506,$E312,Sales!$T$7:$T$1506)))</f>
        <v>60</v>
      </c>
      <c r="V312" s="49" t="str">
        <f t="shared" si="10"/>
        <v/>
      </c>
      <c r="W312" s="49" t="str">
        <f t="array" ref="W312">IF($V312="","",SUMPRODUCT((Sales!$V$7:$V$1506&lt;&gt;"")*(Sales!$E$7:$E$1506&lt;$E312))+1)</f>
        <v/>
      </c>
      <c r="X312" s="49">
        <f t="shared" si="11"/>
        <v>354</v>
      </c>
      <c r="Y312" s="49" t="str">
        <f t="shared" si="9"/>
        <v>202608-354</v>
      </c>
    </row>
    <row r="313" ht="14.25" customHeight="1">
      <c r="A313" s="82">
        <v>46251.0</v>
      </c>
      <c r="B313" s="83" t="s">
        <v>324</v>
      </c>
      <c r="C313" s="83" t="s">
        <v>365</v>
      </c>
      <c r="D313" s="83" t="s">
        <v>366</v>
      </c>
      <c r="E313" s="83"/>
      <c r="F313" s="83" t="s">
        <v>372</v>
      </c>
      <c r="G313" s="83" t="str">
        <f>IF($F313="","",IFERROR(VLOOKUP($F313,Inventory!$A:$B,2,FALSE),""))</f>
        <v>Premium Pet Collar Multicolor</v>
      </c>
      <c r="H313" s="83">
        <v>1.0</v>
      </c>
      <c r="I313" s="84">
        <f t="shared" si="2"/>
        <v>70</v>
      </c>
      <c r="J313" s="85">
        <f>IF($F313="","",IFERROR(VLOOKUP($F313,Inventory!$A:$K,11,FALSE),0))</f>
        <v>75</v>
      </c>
      <c r="K313" s="85">
        <v>5.0</v>
      </c>
      <c r="L313" s="85">
        <f t="shared" si="3"/>
        <v>70</v>
      </c>
      <c r="M313" s="83" t="s">
        <v>330</v>
      </c>
      <c r="N313" s="85">
        <f>IF($F313="","",IFERROR(VLOOKUP($F313,Inventory!$A:$I,9,FALSE),0))</f>
        <v>37</v>
      </c>
      <c r="O313" s="85">
        <f t="shared" si="4"/>
        <v>37</v>
      </c>
      <c r="P313" s="85">
        <f t="shared" si="5"/>
        <v>33</v>
      </c>
      <c r="Q313" s="83"/>
      <c r="R313" s="118" t="str">
        <f>IF($E313="","",IF(COUNTIF($E$7:$E1510,$E313)&gt;1,"",IFERROR(VLOOKUP($E313,Orders!$A:$I,8,FALSE),"")))</f>
        <v/>
      </c>
      <c r="S313" s="118" t="str">
        <f>IF($E313="","",IF(COUNTIF($E$7:$E1510,$E313)&gt;1,"",IFERROR(VLOOKUP($E313,Orders!$A:$I,9,FALSE),"")))</f>
        <v/>
      </c>
      <c r="T313" s="88">
        <f t="shared" si="6"/>
        <v>33</v>
      </c>
      <c r="U313" s="88">
        <f>IF($F313="","",IF($E313="",T313,SUMIF(Sales!$E$7:$E$1506,$E313,Sales!$T$7:$T$1506)))</f>
        <v>33</v>
      </c>
      <c r="V313" s="49" t="str">
        <f t="shared" si="10"/>
        <v/>
      </c>
      <c r="W313" s="49" t="str">
        <f t="array" ref="W313">IF($V313="","",SUMPRODUCT((Sales!$V$7:$V$1506&lt;&gt;"")*(Sales!$E$7:$E$1506&lt;$E313))+1)</f>
        <v/>
      </c>
      <c r="X313" s="49">
        <f t="shared" si="11"/>
        <v>354</v>
      </c>
      <c r="Y313" s="49" t="str">
        <f t="shared" si="9"/>
        <v>202608-354</v>
      </c>
    </row>
    <row r="314" ht="14.25" customHeight="1">
      <c r="A314" s="141">
        <v>46251.0</v>
      </c>
      <c r="B314" s="142" t="s">
        <v>324</v>
      </c>
      <c r="C314" s="142" t="s">
        <v>365</v>
      </c>
      <c r="D314" s="142" t="s">
        <v>366</v>
      </c>
      <c r="E314" s="83"/>
      <c r="F314" s="83" t="s">
        <v>179</v>
      </c>
      <c r="G314" s="83" t="str">
        <f>IF($F314="","",IFERROR(VLOOKUP($F314,Inventory!$A:$B,2,FALSE),""))</f>
        <v>Creamy Treat 15G (Purry &amp; Hyper Paws)</v>
      </c>
      <c r="H314" s="83">
        <v>6.0</v>
      </c>
      <c r="I314" s="84">
        <f t="shared" si="2"/>
        <v>20</v>
      </c>
      <c r="J314" s="85">
        <f>IF($F314="","",IFERROR(VLOOKUP($F314,Inventory!$A:$K,11,FALSE),0))</f>
        <v>20</v>
      </c>
      <c r="K314" s="85"/>
      <c r="L314" s="85">
        <f t="shared" si="3"/>
        <v>120</v>
      </c>
      <c r="M314" s="83" t="s">
        <v>330</v>
      </c>
      <c r="N314" s="85">
        <f>IF($F314="","",IFERROR(VLOOKUP($F314,Inventory!$A:$I,9,FALSE),0))</f>
        <v>8.147411853</v>
      </c>
      <c r="O314" s="85">
        <f t="shared" si="4"/>
        <v>48.88447112</v>
      </c>
      <c r="P314" s="85">
        <f t="shared" si="5"/>
        <v>71.11552888</v>
      </c>
      <c r="Q314" s="83"/>
      <c r="R314" s="118" t="str">
        <f>IF($E314="","",IF(COUNTIF($E$7:$E1511,$E314)&gt;1,"",IFERROR(VLOOKUP($E314,Orders!$A:$I,8,FALSE),"")))</f>
        <v/>
      </c>
      <c r="S314" s="118" t="str">
        <f>IF($E314="","",IF(COUNTIF($E$7:$E1511,$E314)&gt;1,"",IFERROR(VLOOKUP($E314,Orders!$A:$I,9,FALSE),"")))</f>
        <v/>
      </c>
      <c r="T314" s="88">
        <f t="shared" si="6"/>
        <v>71.11552888</v>
      </c>
      <c r="U314" s="88">
        <f>IF($F314="","",IF($E314="",T314,SUMIF(Sales!$E$7:$E$1506,$E314,Sales!$T$7:$T$1506)))</f>
        <v>71.11552888</v>
      </c>
      <c r="V314" s="49" t="str">
        <f t="shared" si="10"/>
        <v/>
      </c>
      <c r="W314" s="49" t="str">
        <f t="array" ref="W314">IF($V314="","",SUMPRODUCT((Sales!$V$7:$V$1506&lt;&gt;"")*(Sales!$E$7:$E$1506&lt;$E314))+1)</f>
        <v/>
      </c>
      <c r="X314" s="49">
        <f t="shared" si="11"/>
        <v>354</v>
      </c>
      <c r="Y314" s="49" t="str">
        <f t="shared" si="9"/>
        <v>202608-354</v>
      </c>
    </row>
    <row r="315" ht="14.25" customHeight="1">
      <c r="A315" s="141">
        <v>46251.0</v>
      </c>
      <c r="B315" s="142" t="s">
        <v>324</v>
      </c>
      <c r="C315" s="142" t="s">
        <v>365</v>
      </c>
      <c r="D315" s="142" t="s">
        <v>366</v>
      </c>
      <c r="E315" s="83"/>
      <c r="F315" s="83" t="s">
        <v>262</v>
      </c>
      <c r="G315" s="83" t="str">
        <f>IF($F315="","",IFERROR(VLOOKUP($F315,Inventory!$A:$B,2,FALSE),""))</f>
        <v>Kitchen Flavor Pate Delight</v>
      </c>
      <c r="H315" s="83">
        <v>1.0</v>
      </c>
      <c r="I315" s="84">
        <f t="shared" si="2"/>
        <v>135</v>
      </c>
      <c r="J315" s="85">
        <f>IF($F315="","",IFERROR(VLOOKUP($F315,Inventory!$A:$K,11,FALSE),0))</f>
        <v>150</v>
      </c>
      <c r="K315" s="85">
        <v>15.0</v>
      </c>
      <c r="L315" s="85">
        <f t="shared" si="3"/>
        <v>135</v>
      </c>
      <c r="M315" s="83" t="s">
        <v>330</v>
      </c>
      <c r="N315" s="85">
        <f>IF($F315="","",IFERROR(VLOOKUP($F315,Inventory!$A:$I,9,FALSE),0))</f>
        <v>110</v>
      </c>
      <c r="O315" s="85">
        <f t="shared" si="4"/>
        <v>110</v>
      </c>
      <c r="P315" s="85">
        <f t="shared" si="5"/>
        <v>25</v>
      </c>
      <c r="Q315" s="83"/>
      <c r="R315" s="118" t="str">
        <f>IF($E315="","",IF(COUNTIF($E$7:$E1512,$E315)&gt;1,"",IFERROR(VLOOKUP($E315,Orders!$A:$I,8,FALSE),"")))</f>
        <v/>
      </c>
      <c r="S315" s="118" t="str">
        <f>IF($E315="","",IF(COUNTIF($E$7:$E1512,$E315)&gt;1,"",IFERROR(VLOOKUP($E315,Orders!$A:$I,9,FALSE),"")))</f>
        <v/>
      </c>
      <c r="T315" s="88">
        <f t="shared" si="6"/>
        <v>25</v>
      </c>
      <c r="U315" s="88">
        <f>IF($F315="","",IF($E315="",T315,SUMIF(Sales!$E$7:$E$1506,$E315,Sales!$T$7:$T$1506)))</f>
        <v>25</v>
      </c>
      <c r="V315" s="49" t="str">
        <f t="shared" si="10"/>
        <v/>
      </c>
      <c r="W315" s="49" t="str">
        <f t="array" ref="W315">IF($V315="","",SUMPRODUCT((Sales!$V$7:$V$1506&lt;&gt;"")*(Sales!$E$7:$E$1506&lt;$E315))+1)</f>
        <v/>
      </c>
      <c r="X315" s="49">
        <f t="shared" si="11"/>
        <v>354</v>
      </c>
      <c r="Y315" s="49" t="str">
        <f t="shared" si="9"/>
        <v>202608-354</v>
      </c>
    </row>
    <row r="316" ht="14.25" customHeight="1">
      <c r="A316" s="141">
        <v>46251.0</v>
      </c>
      <c r="B316" s="142" t="s">
        <v>324</v>
      </c>
      <c r="C316" s="142" t="s">
        <v>365</v>
      </c>
      <c r="D316" s="142" t="s">
        <v>366</v>
      </c>
      <c r="E316" s="83"/>
      <c r="F316" s="83" t="s">
        <v>299</v>
      </c>
      <c r="G316" s="83" t="str">
        <f>IF($F316="","",IFERROR(VLOOKUP($F316,Inventory!$A:$B,2,FALSE),""))</f>
        <v>Cat Belt Harness  Zinch</v>
      </c>
      <c r="H316" s="83">
        <v>1.0</v>
      </c>
      <c r="I316" s="84">
        <f t="shared" si="2"/>
        <v>320</v>
      </c>
      <c r="J316" s="85">
        <f>IF($F316="","",IFERROR(VLOOKUP($F316,Inventory!$A:$K,11,FALSE),0))</f>
        <v>360</v>
      </c>
      <c r="K316" s="85">
        <v>40.0</v>
      </c>
      <c r="L316" s="85">
        <f t="shared" si="3"/>
        <v>320</v>
      </c>
      <c r="M316" s="83" t="s">
        <v>330</v>
      </c>
      <c r="N316" s="85">
        <f>IF($F316="","",IFERROR(VLOOKUP($F316,Inventory!$A:$I,9,FALSE),0))</f>
        <v>230</v>
      </c>
      <c r="O316" s="85">
        <f t="shared" si="4"/>
        <v>230</v>
      </c>
      <c r="P316" s="85">
        <f t="shared" si="5"/>
        <v>90</v>
      </c>
      <c r="Q316" s="83"/>
      <c r="R316" s="118" t="str">
        <f>IF($E316="","",IF(COUNTIF($E$7:$E1513,$E316)&gt;1,"",IFERROR(VLOOKUP($E316,Orders!$A:$I,8,FALSE),"")))</f>
        <v/>
      </c>
      <c r="S316" s="118" t="str">
        <f>IF($E316="","",IF(COUNTIF($E$7:$E1513,$E316)&gt;1,"",IFERROR(VLOOKUP($E316,Orders!$A:$I,9,FALSE),"")))</f>
        <v/>
      </c>
      <c r="T316" s="88">
        <f t="shared" si="6"/>
        <v>90</v>
      </c>
      <c r="U316" s="88">
        <f>IF($F316="","",IF($E316="",T316,SUMIF(Sales!$E$7:$E$1506,$E316,Sales!$T$7:$T$1506)))</f>
        <v>90</v>
      </c>
      <c r="V316" s="49" t="str">
        <f t="shared" si="10"/>
        <v/>
      </c>
      <c r="W316" s="49" t="str">
        <f t="array" ref="W316">IF($V316="","",SUMPRODUCT((Sales!$V$7:$V$1506&lt;&gt;"")*(Sales!$E$7:$E$1506&lt;$E316))+1)</f>
        <v/>
      </c>
      <c r="X316" s="49">
        <f t="shared" si="11"/>
        <v>354</v>
      </c>
      <c r="Y316" s="49" t="str">
        <f t="shared" si="9"/>
        <v>202608-354</v>
      </c>
    </row>
    <row r="317" ht="14.25" customHeight="1">
      <c r="A317" s="141">
        <v>46251.0</v>
      </c>
      <c r="B317" s="142" t="s">
        <v>324</v>
      </c>
      <c r="C317" s="142" t="s">
        <v>365</v>
      </c>
      <c r="D317" s="142" t="s">
        <v>366</v>
      </c>
      <c r="E317" s="83"/>
      <c r="F317" s="83" t="s">
        <v>446</v>
      </c>
      <c r="G317" s="83" t="str">
        <f>IF($F317="","",IFERROR(VLOOKUP($F317,Inventory!$A:$B,2,FALSE),""))</f>
        <v>Bellotta Adult Pouch Tuna 85gm</v>
      </c>
      <c r="H317" s="83">
        <v>1.0</v>
      </c>
      <c r="I317" s="84">
        <f t="shared" si="2"/>
        <v>70</v>
      </c>
      <c r="J317" s="85">
        <f>IF($F317="","",IFERROR(VLOOKUP($F317,Inventory!$A:$K,11,FALSE),0))</f>
        <v>75</v>
      </c>
      <c r="K317" s="85">
        <v>5.0</v>
      </c>
      <c r="L317" s="85">
        <f t="shared" si="3"/>
        <v>70</v>
      </c>
      <c r="M317" s="83" t="s">
        <v>330</v>
      </c>
      <c r="N317" s="85">
        <f>IF($F317="","",IFERROR(VLOOKUP($F317,Inventory!$A:$I,9,FALSE),0))</f>
        <v>64</v>
      </c>
      <c r="O317" s="85">
        <f t="shared" si="4"/>
        <v>64</v>
      </c>
      <c r="P317" s="85">
        <f t="shared" si="5"/>
        <v>6</v>
      </c>
      <c r="Q317" s="83"/>
      <c r="R317" s="118" t="str">
        <f>IF($E317="","",IF(COUNTIF($E$7:$E1514,$E317)&gt;1,"",IFERROR(VLOOKUP($E317,Orders!$A:$I,8,FALSE),"")))</f>
        <v/>
      </c>
      <c r="S317" s="118" t="str">
        <f>IF($E317="","",IF(COUNTIF($E$7:$E1514,$E317)&gt;1,"",IFERROR(VLOOKUP($E317,Orders!$A:$I,9,FALSE),"")))</f>
        <v/>
      </c>
      <c r="T317" s="88">
        <f t="shared" si="6"/>
        <v>6</v>
      </c>
      <c r="U317" s="88">
        <f>IF($F317="","",IF($E317="",T317,SUMIF(Sales!$E$7:$E$1506,$E317,Sales!$T$7:$T$1506)))</f>
        <v>6</v>
      </c>
      <c r="V317" s="49" t="str">
        <f t="shared" si="10"/>
        <v/>
      </c>
      <c r="W317" s="49" t="str">
        <f t="array" ref="W317">IF($V317="","",SUMPRODUCT((Sales!$V$7:$V$1506&lt;&gt;"")*(Sales!$E$7:$E$1506&lt;$E317))+1)</f>
        <v/>
      </c>
      <c r="X317" s="49">
        <f t="shared" si="11"/>
        <v>354</v>
      </c>
      <c r="Y317" s="49" t="str">
        <f t="shared" si="9"/>
        <v>202608-354</v>
      </c>
    </row>
    <row r="318" ht="14.25" customHeight="1">
      <c r="A318" s="141">
        <v>46251.0</v>
      </c>
      <c r="B318" s="83" t="s">
        <v>428</v>
      </c>
      <c r="C318" s="142" t="s">
        <v>365</v>
      </c>
      <c r="D318" s="142" t="s">
        <v>366</v>
      </c>
      <c r="E318" s="83"/>
      <c r="F318" s="83" t="s">
        <v>179</v>
      </c>
      <c r="G318" s="83" t="str">
        <f>IF($F318="","",IFERROR(VLOOKUP($F318,Inventory!$A:$B,2,FALSE),""))</f>
        <v>Creamy Treat 15G (Purry &amp; Hyper Paws)</v>
      </c>
      <c r="H318" s="83">
        <v>1.0</v>
      </c>
      <c r="I318" s="84">
        <f t="shared" si="2"/>
        <v>0</v>
      </c>
      <c r="J318" s="85">
        <f>IF($F318="","",IFERROR(VLOOKUP($F318,Inventory!$A:$K,11,FALSE),0))</f>
        <v>20</v>
      </c>
      <c r="K318" s="85"/>
      <c r="L318" s="85">
        <f t="shared" si="3"/>
        <v>0</v>
      </c>
      <c r="M318" s="83" t="s">
        <v>330</v>
      </c>
      <c r="N318" s="85">
        <f>IF($F318="","",IFERROR(VLOOKUP($F318,Inventory!$A:$I,9,FALSE),0))</f>
        <v>8.147411853</v>
      </c>
      <c r="O318" s="85">
        <f t="shared" si="4"/>
        <v>8.147411853</v>
      </c>
      <c r="P318" s="85">
        <f t="shared" si="5"/>
        <v>-8.147411853</v>
      </c>
      <c r="Q318" s="83"/>
      <c r="R318" s="118" t="str">
        <f>IF($E318="","",IF(COUNTIF($E$7:$E1515,$E318)&gt;1,"",IFERROR(VLOOKUP($E318,Orders!$A:$I,8,FALSE),"")))</f>
        <v/>
      </c>
      <c r="S318" s="118" t="str">
        <f>IF($E318="","",IF(COUNTIF($E$7:$E1515,$E318)&gt;1,"",IFERROR(VLOOKUP($E318,Orders!$A:$I,9,FALSE),"")))</f>
        <v/>
      </c>
      <c r="T318" s="88">
        <f t="shared" si="6"/>
        <v>-8.147411853</v>
      </c>
      <c r="U318" s="88">
        <f>IF($F318="","",IF($E318="",T318,SUMIF(Sales!$E$7:$E$1506,$E318,Sales!$T$7:$T$1506)))</f>
        <v>-8.147411853</v>
      </c>
      <c r="V318" s="49" t="str">
        <f t="shared" si="10"/>
        <v/>
      </c>
      <c r="W318" s="49" t="str">
        <f t="array" ref="W318">IF($V318="","",SUMPRODUCT((Sales!$V$7:$V$1506&lt;&gt;"")*(Sales!$E$7:$E$1506&lt;$E318))+1)</f>
        <v/>
      </c>
      <c r="X318" s="49">
        <f t="shared" si="11"/>
        <v>354</v>
      </c>
      <c r="Y318" s="49" t="str">
        <f t="shared" si="9"/>
        <v>202608-354</v>
      </c>
    </row>
    <row r="319" ht="14.25" customHeight="1">
      <c r="A319" s="141">
        <v>46251.0</v>
      </c>
      <c r="B319" s="142" t="s">
        <v>324</v>
      </c>
      <c r="C319" s="142" t="s">
        <v>365</v>
      </c>
      <c r="D319" s="142" t="s">
        <v>366</v>
      </c>
      <c r="E319" s="83"/>
      <c r="F319" s="83" t="s">
        <v>179</v>
      </c>
      <c r="G319" s="83" t="str">
        <f>IF($F319="","",IFERROR(VLOOKUP($F319,Inventory!$A:$B,2,FALSE),""))</f>
        <v>Creamy Treat 15G (Purry &amp; Hyper Paws)</v>
      </c>
      <c r="H319" s="83">
        <v>3.0</v>
      </c>
      <c r="I319" s="84">
        <f t="shared" si="2"/>
        <v>20</v>
      </c>
      <c r="J319" s="85">
        <f>IF($F319="","",IFERROR(VLOOKUP($F319,Inventory!$A:$K,11,FALSE),0))</f>
        <v>20</v>
      </c>
      <c r="K319" s="85"/>
      <c r="L319" s="85">
        <f t="shared" si="3"/>
        <v>60</v>
      </c>
      <c r="M319" s="83" t="s">
        <v>330</v>
      </c>
      <c r="N319" s="85">
        <f>IF($F319="","",IFERROR(VLOOKUP($F319,Inventory!$A:$I,9,FALSE),0))</f>
        <v>8.147411853</v>
      </c>
      <c r="O319" s="85">
        <f t="shared" si="4"/>
        <v>24.44223556</v>
      </c>
      <c r="P319" s="85">
        <f t="shared" si="5"/>
        <v>35.55776444</v>
      </c>
      <c r="Q319" s="83"/>
      <c r="R319" s="118" t="str">
        <f>IF($E319="","",IF(COUNTIF($E$7:$E1516,$E319)&gt;1,"",IFERROR(VLOOKUP($E319,Orders!$A:$I,8,FALSE),"")))</f>
        <v/>
      </c>
      <c r="S319" s="118" t="str">
        <f>IF($E319="","",IF(COUNTIF($E$7:$E1516,$E319)&gt;1,"",IFERROR(VLOOKUP($E319,Orders!$A:$I,9,FALSE),"")))</f>
        <v/>
      </c>
      <c r="T319" s="88">
        <f t="shared" si="6"/>
        <v>35.55776444</v>
      </c>
      <c r="U319" s="88">
        <f>IF($F319="","",IF($E319="",T319,SUMIF(Sales!$E$7:$E$1506,$E319,Sales!$T$7:$T$1506)))</f>
        <v>35.55776444</v>
      </c>
      <c r="V319" s="49" t="str">
        <f t="shared" si="10"/>
        <v/>
      </c>
      <c r="W319" s="49" t="str">
        <f t="array" ref="W319">IF($V319="","",SUMPRODUCT((Sales!$V$7:$V$1506&lt;&gt;"")*(Sales!$E$7:$E$1506&lt;$E319))+1)</f>
        <v/>
      </c>
      <c r="X319" s="49">
        <f t="shared" si="11"/>
        <v>354</v>
      </c>
      <c r="Y319" s="49" t="str">
        <f t="shared" si="9"/>
        <v>202608-354</v>
      </c>
    </row>
    <row r="320" ht="14.25" customHeight="1">
      <c r="A320" s="141">
        <v>46251.0</v>
      </c>
      <c r="B320" s="142" t="s">
        <v>324</v>
      </c>
      <c r="C320" s="142" t="s">
        <v>365</v>
      </c>
      <c r="D320" s="142" t="s">
        <v>366</v>
      </c>
      <c r="E320" s="83"/>
      <c r="F320" s="83" t="s">
        <v>372</v>
      </c>
      <c r="G320" s="83" t="str">
        <f>IF($F320="","",IFERROR(VLOOKUP($F320,Inventory!$A:$B,2,FALSE),""))</f>
        <v>Premium Pet Collar Multicolor</v>
      </c>
      <c r="H320" s="83">
        <v>1.0</v>
      </c>
      <c r="I320" s="84">
        <f t="shared" si="2"/>
        <v>70</v>
      </c>
      <c r="J320" s="85">
        <f>IF($F320="","",IFERROR(VLOOKUP($F320,Inventory!$A:$K,11,FALSE),0))</f>
        <v>75</v>
      </c>
      <c r="K320" s="85">
        <v>5.0</v>
      </c>
      <c r="L320" s="85">
        <f t="shared" si="3"/>
        <v>70</v>
      </c>
      <c r="M320" s="83" t="s">
        <v>330</v>
      </c>
      <c r="N320" s="85">
        <f>IF($F320="","",IFERROR(VLOOKUP($F320,Inventory!$A:$I,9,FALSE),0))</f>
        <v>37</v>
      </c>
      <c r="O320" s="85">
        <f t="shared" si="4"/>
        <v>37</v>
      </c>
      <c r="P320" s="85">
        <f t="shared" si="5"/>
        <v>33</v>
      </c>
      <c r="Q320" s="83"/>
      <c r="R320" s="118" t="str">
        <f>IF($E320="","",IF(COUNTIF($E$7:$E1517,$E320)&gt;1,"",IFERROR(VLOOKUP($E320,Orders!$A:$I,8,FALSE),"")))</f>
        <v/>
      </c>
      <c r="S320" s="118" t="str">
        <f>IF($E320="","",IF(COUNTIF($E$7:$E1517,$E320)&gt;1,"",IFERROR(VLOOKUP($E320,Orders!$A:$I,9,FALSE),"")))</f>
        <v/>
      </c>
      <c r="T320" s="88">
        <f t="shared" si="6"/>
        <v>33</v>
      </c>
      <c r="U320" s="88">
        <f>IF($F320="","",IF($E320="",T320,SUMIF(Sales!$E$7:$E$1506,$E320,Sales!$T$7:$T$1506)))</f>
        <v>33</v>
      </c>
      <c r="V320" s="49" t="str">
        <f t="shared" si="10"/>
        <v/>
      </c>
      <c r="W320" s="49" t="str">
        <f t="array" ref="W320">IF($V320="","",SUMPRODUCT((Sales!$V$7:$V$1506&lt;&gt;"")*(Sales!$E$7:$E$1506&lt;$E320))+1)</f>
        <v/>
      </c>
      <c r="X320" s="49">
        <f t="shared" si="11"/>
        <v>354</v>
      </c>
      <c r="Y320" s="49" t="str">
        <f t="shared" si="9"/>
        <v>202608-354</v>
      </c>
    </row>
    <row r="321" ht="14.25" customHeight="1">
      <c r="A321" s="141">
        <v>46251.0</v>
      </c>
      <c r="B321" s="142" t="s">
        <v>324</v>
      </c>
      <c r="C321" s="142" t="s">
        <v>365</v>
      </c>
      <c r="D321" s="142" t="s">
        <v>366</v>
      </c>
      <c r="E321" s="83"/>
      <c r="F321" s="83" t="s">
        <v>211</v>
      </c>
      <c r="G321" s="83" t="str">
        <f>IF($F321="","",IFERROR(VLOOKUP($F321,Inventory!$A:$B,2,FALSE),""))</f>
        <v>Smart Heart Pouch  Tuna With Chicken in Jelly</v>
      </c>
      <c r="H321" s="83">
        <v>1.0</v>
      </c>
      <c r="I321" s="84">
        <f t="shared" si="2"/>
        <v>90</v>
      </c>
      <c r="J321" s="85">
        <f>IF($F321="","",IFERROR(VLOOKUP($F321,Inventory!$A:$K,11,FALSE),0))</f>
        <v>95</v>
      </c>
      <c r="K321" s="85">
        <v>5.0</v>
      </c>
      <c r="L321" s="85">
        <f t="shared" si="3"/>
        <v>90</v>
      </c>
      <c r="M321" s="83" t="s">
        <v>330</v>
      </c>
      <c r="N321" s="85">
        <f>IF($F321="","",IFERROR(VLOOKUP($F321,Inventory!$A:$I,9,FALSE),0))</f>
        <v>71.9047619</v>
      </c>
      <c r="O321" s="85">
        <f t="shared" si="4"/>
        <v>71.9047619</v>
      </c>
      <c r="P321" s="85">
        <f t="shared" si="5"/>
        <v>18.0952381</v>
      </c>
      <c r="Q321" s="83"/>
      <c r="R321" s="118" t="str">
        <f>IF($E321="","",IF(COUNTIF($E$7:$E1518,$E321)&gt;1,"",IFERROR(VLOOKUP($E321,Orders!$A:$I,8,FALSE),"")))</f>
        <v/>
      </c>
      <c r="S321" s="118" t="str">
        <f>IF($E321="","",IF(COUNTIF($E$7:$E1518,$E321)&gt;1,"",IFERROR(VLOOKUP($E321,Orders!$A:$I,9,FALSE),"")))</f>
        <v/>
      </c>
      <c r="T321" s="88">
        <f t="shared" si="6"/>
        <v>18.0952381</v>
      </c>
      <c r="U321" s="88">
        <f>IF($F321="","",IF($E321="",T321,SUMIF(Sales!$E$7:$E$1506,$E321,Sales!$T$7:$T$1506)))</f>
        <v>18.0952381</v>
      </c>
      <c r="V321" s="49" t="str">
        <f t="shared" si="10"/>
        <v/>
      </c>
      <c r="W321" s="49" t="str">
        <f t="array" ref="W321">IF($V321="","",SUMPRODUCT((Sales!$V$7:$V$1506&lt;&gt;"")*(Sales!$E$7:$E$1506&lt;$E321))+1)</f>
        <v/>
      </c>
      <c r="X321" s="49">
        <f t="shared" si="11"/>
        <v>354</v>
      </c>
      <c r="Y321" s="49" t="str">
        <f t="shared" si="9"/>
        <v>202608-354</v>
      </c>
    </row>
    <row r="322" ht="14.25" customHeight="1">
      <c r="A322" s="141">
        <v>46251.0</v>
      </c>
      <c r="B322" s="142" t="s">
        <v>324</v>
      </c>
      <c r="C322" s="142" t="s">
        <v>365</v>
      </c>
      <c r="D322" s="142" t="s">
        <v>366</v>
      </c>
      <c r="E322" s="83"/>
      <c r="F322" s="83" t="s">
        <v>440</v>
      </c>
      <c r="G322" s="83" t="str">
        <f>IF($F322="","",IFERROR(VLOOKUP($F322,Inventory!$A:$B,2,FALSE),""))</f>
        <v>Smart Heart Kitten Chicken, Fish, Egg &amp; Milk 450gm</v>
      </c>
      <c r="H322" s="83">
        <v>1.0</v>
      </c>
      <c r="I322" s="84">
        <f t="shared" si="2"/>
        <v>350</v>
      </c>
      <c r="J322" s="85">
        <f>IF($F322="","",IFERROR(VLOOKUP($F322,Inventory!$A:$K,11,FALSE),0))</f>
        <v>380</v>
      </c>
      <c r="K322" s="85">
        <v>30.0</v>
      </c>
      <c r="L322" s="85">
        <f t="shared" si="3"/>
        <v>350</v>
      </c>
      <c r="M322" s="83" t="s">
        <v>330</v>
      </c>
      <c r="N322" s="85">
        <f>IF($F322="","",IFERROR(VLOOKUP($F322,Inventory!$A:$I,9,FALSE),0))</f>
        <v>308</v>
      </c>
      <c r="O322" s="85">
        <f t="shared" si="4"/>
        <v>308</v>
      </c>
      <c r="P322" s="85">
        <f t="shared" si="5"/>
        <v>42</v>
      </c>
      <c r="Q322" s="83"/>
      <c r="R322" s="118" t="str">
        <f>IF($E322="","",IF(COUNTIF($E$7:$E1519,$E322)&gt;1,"",IFERROR(VLOOKUP($E322,Orders!$A:$I,8,FALSE),"")))</f>
        <v/>
      </c>
      <c r="S322" s="118" t="str">
        <f>IF($E322="","",IF(COUNTIF($E$7:$E1519,$E322)&gt;1,"",IFERROR(VLOOKUP($E322,Orders!$A:$I,9,FALSE),"")))</f>
        <v/>
      </c>
      <c r="T322" s="88">
        <f t="shared" si="6"/>
        <v>42</v>
      </c>
      <c r="U322" s="88">
        <f>IF($F322="","",IF($E322="",T322,SUMIF(Sales!$E$7:$E$1506,$E322,Sales!$T$7:$T$1506)))</f>
        <v>42</v>
      </c>
      <c r="V322" s="49" t="str">
        <f t="shared" si="10"/>
        <v/>
      </c>
      <c r="W322" s="49" t="str">
        <f t="array" ref="W322">IF($V322="","",SUMPRODUCT((Sales!$V$7:$V$1506&lt;&gt;"")*(Sales!$E$7:$E$1506&lt;$E322))+1)</f>
        <v/>
      </c>
      <c r="X322" s="49">
        <f t="shared" si="11"/>
        <v>354</v>
      </c>
      <c r="Y322" s="49" t="str">
        <f t="shared" si="9"/>
        <v>202608-354</v>
      </c>
    </row>
    <row r="323" ht="14.25" customHeight="1">
      <c r="A323" s="141">
        <v>46251.0</v>
      </c>
      <c r="B323" s="142" t="s">
        <v>324</v>
      </c>
      <c r="C323" s="142" t="s">
        <v>365</v>
      </c>
      <c r="D323" s="142" t="s">
        <v>366</v>
      </c>
      <c r="E323" s="83"/>
      <c r="F323" s="83" t="s">
        <v>372</v>
      </c>
      <c r="G323" s="83" t="str">
        <f>IF($F323="","",IFERROR(VLOOKUP($F323,Inventory!$A:$B,2,FALSE),""))</f>
        <v>Premium Pet Collar Multicolor</v>
      </c>
      <c r="H323" s="83">
        <v>1.0</v>
      </c>
      <c r="I323" s="84">
        <f t="shared" si="2"/>
        <v>65</v>
      </c>
      <c r="J323" s="85">
        <f>IF($F323="","",IFERROR(VLOOKUP($F323,Inventory!$A:$K,11,FALSE),0))</f>
        <v>75</v>
      </c>
      <c r="K323" s="85">
        <v>10.0</v>
      </c>
      <c r="L323" s="85">
        <f t="shared" si="3"/>
        <v>65</v>
      </c>
      <c r="M323" s="83" t="s">
        <v>330</v>
      </c>
      <c r="N323" s="85">
        <f>IF($F323="","",IFERROR(VLOOKUP($F323,Inventory!$A:$I,9,FALSE),0))</f>
        <v>37</v>
      </c>
      <c r="O323" s="85">
        <f t="shared" si="4"/>
        <v>37</v>
      </c>
      <c r="P323" s="85">
        <f t="shared" si="5"/>
        <v>28</v>
      </c>
      <c r="Q323" s="83"/>
      <c r="R323" s="118" t="str">
        <f>IF($E323="","",IF(COUNTIF($E$7:$E1520,$E323)&gt;1,"",IFERROR(VLOOKUP($E323,Orders!$A:$I,8,FALSE),"")))</f>
        <v/>
      </c>
      <c r="S323" s="118" t="str">
        <f>IF($E323="","",IF(COUNTIF($E$7:$E1520,$E323)&gt;1,"",IFERROR(VLOOKUP($E323,Orders!$A:$I,9,FALSE),"")))</f>
        <v/>
      </c>
      <c r="T323" s="88">
        <f t="shared" si="6"/>
        <v>28</v>
      </c>
      <c r="U323" s="88">
        <f>IF($F323="","",IF($E323="",T323,SUMIF(Sales!$E$7:$E$1506,$E323,Sales!$T$7:$T$1506)))</f>
        <v>28</v>
      </c>
      <c r="V323" s="49" t="str">
        <f t="shared" si="10"/>
        <v/>
      </c>
      <c r="W323" s="49" t="str">
        <f t="array" ref="W323">IF($V323="","",SUMPRODUCT((Sales!$V$7:$V$1506&lt;&gt;"")*(Sales!$E$7:$E$1506&lt;$E323))+1)</f>
        <v/>
      </c>
      <c r="X323" s="49">
        <f t="shared" si="11"/>
        <v>354</v>
      </c>
      <c r="Y323" s="49" t="str">
        <f t="shared" si="9"/>
        <v>202608-354</v>
      </c>
    </row>
    <row r="324" ht="14.25" customHeight="1">
      <c r="A324" s="141">
        <v>46251.0</v>
      </c>
      <c r="B324" s="142" t="s">
        <v>324</v>
      </c>
      <c r="C324" s="142" t="s">
        <v>365</v>
      </c>
      <c r="D324" s="142" t="s">
        <v>366</v>
      </c>
      <c r="E324" s="83"/>
      <c r="F324" s="83" t="s">
        <v>179</v>
      </c>
      <c r="G324" s="83" t="str">
        <f>IF($F324="","",IFERROR(VLOOKUP($F324,Inventory!$A:$B,2,FALSE),""))</f>
        <v>Creamy Treat 15G (Purry &amp; Hyper Paws)</v>
      </c>
      <c r="H324" s="83">
        <v>2.0</v>
      </c>
      <c r="I324" s="84">
        <f t="shared" si="2"/>
        <v>15</v>
      </c>
      <c r="J324" s="85">
        <f>IF($F324="","",IFERROR(VLOOKUP($F324,Inventory!$A:$K,11,FALSE),0))</f>
        <v>20</v>
      </c>
      <c r="K324" s="85">
        <v>5.0</v>
      </c>
      <c r="L324" s="85">
        <f t="shared" si="3"/>
        <v>30</v>
      </c>
      <c r="M324" s="83" t="s">
        <v>330</v>
      </c>
      <c r="N324" s="85">
        <f>IF($F324="","",IFERROR(VLOOKUP($F324,Inventory!$A:$I,9,FALSE),0))</f>
        <v>8.147411853</v>
      </c>
      <c r="O324" s="85">
        <f t="shared" si="4"/>
        <v>16.29482371</v>
      </c>
      <c r="P324" s="85">
        <f t="shared" si="5"/>
        <v>13.70517629</v>
      </c>
      <c r="Q324" s="83"/>
      <c r="R324" s="118" t="str">
        <f>IF($E324="","",IF(COUNTIF($E$7:$E1521,$E324)&gt;1,"",IFERROR(VLOOKUP($E324,Orders!$A:$I,8,FALSE),"")))</f>
        <v/>
      </c>
      <c r="S324" s="118" t="str">
        <f>IF($E324="","",IF(COUNTIF($E$7:$E1521,$E324)&gt;1,"",IFERROR(VLOOKUP($E324,Orders!$A:$I,9,FALSE),"")))</f>
        <v/>
      </c>
      <c r="T324" s="88">
        <f t="shared" si="6"/>
        <v>13.70517629</v>
      </c>
      <c r="U324" s="88">
        <f>IF($F324="","",IF($E324="",T324,SUMIF(Sales!$E$7:$E$1506,$E324,Sales!$T$7:$T$1506)))</f>
        <v>13.70517629</v>
      </c>
      <c r="V324" s="49" t="str">
        <f t="shared" si="10"/>
        <v/>
      </c>
      <c r="W324" s="49" t="str">
        <f t="array" ref="W324">IF($V324="","",SUMPRODUCT((Sales!$V$7:$V$1506&lt;&gt;"")*(Sales!$E$7:$E$1506&lt;$E324))+1)</f>
        <v/>
      </c>
      <c r="X324" s="49">
        <f t="shared" si="11"/>
        <v>354</v>
      </c>
      <c r="Y324" s="49" t="str">
        <f t="shared" si="9"/>
        <v>202608-354</v>
      </c>
    </row>
    <row r="325" ht="14.25" customHeight="1">
      <c r="A325" s="141">
        <v>46251.0</v>
      </c>
      <c r="B325" s="142" t="s">
        <v>324</v>
      </c>
      <c r="C325" s="142" t="s">
        <v>365</v>
      </c>
      <c r="D325" s="142" t="s">
        <v>366</v>
      </c>
      <c r="E325" s="83"/>
      <c r="F325" s="83" t="s">
        <v>205</v>
      </c>
      <c r="G325" s="83" t="str">
        <f>IF($F325="","",IFERROR(VLOOKUP($F325,Inventory!$A:$B,2,FALSE),""))</f>
        <v>Nekko Pouch 70G Tuna in Gravy</v>
      </c>
      <c r="H325" s="83">
        <v>1.0</v>
      </c>
      <c r="I325" s="84">
        <f t="shared" si="2"/>
        <v>80</v>
      </c>
      <c r="J325" s="85">
        <f>IF($F325="","",IFERROR(VLOOKUP($F325,Inventory!$A:$K,11,FALSE),0))</f>
        <v>85</v>
      </c>
      <c r="K325" s="85">
        <v>5.0</v>
      </c>
      <c r="L325" s="85">
        <f t="shared" si="3"/>
        <v>80</v>
      </c>
      <c r="M325" s="83" t="s">
        <v>330</v>
      </c>
      <c r="N325" s="85">
        <f>IF($F325="","",IFERROR(VLOOKUP($F325,Inventory!$A:$I,9,FALSE),0))</f>
        <v>65</v>
      </c>
      <c r="O325" s="85">
        <f t="shared" si="4"/>
        <v>65</v>
      </c>
      <c r="P325" s="85">
        <f t="shared" si="5"/>
        <v>15</v>
      </c>
      <c r="Q325" s="83"/>
      <c r="R325" s="118" t="str">
        <f>IF($E325="","",IF(COUNTIF($E$7:$E1522,$E325)&gt;1,"",IFERROR(VLOOKUP($E325,Orders!$A:$I,8,FALSE),"")))</f>
        <v/>
      </c>
      <c r="S325" s="118" t="str">
        <f>IF($E325="","",IF(COUNTIF($E$7:$E1522,$E325)&gt;1,"",IFERROR(VLOOKUP($E325,Orders!$A:$I,9,FALSE),"")))</f>
        <v/>
      </c>
      <c r="T325" s="88">
        <f t="shared" si="6"/>
        <v>15</v>
      </c>
      <c r="U325" s="88">
        <f>IF($F325="","",IF($E325="",T325,SUMIF(Sales!$E$7:$E$1506,$E325,Sales!$T$7:$T$1506)))</f>
        <v>15</v>
      </c>
      <c r="V325" s="49" t="str">
        <f t="shared" si="10"/>
        <v/>
      </c>
      <c r="W325" s="49" t="str">
        <f t="array" ref="W325">IF($V325="","",SUMPRODUCT((Sales!$V$7:$V$1506&lt;&gt;"")*(Sales!$E$7:$E$1506&lt;$E325))+1)</f>
        <v/>
      </c>
      <c r="X325" s="49">
        <f t="shared" si="11"/>
        <v>354</v>
      </c>
      <c r="Y325" s="49" t="str">
        <f t="shared" si="9"/>
        <v>202608-354</v>
      </c>
    </row>
    <row r="326" ht="14.25" customHeight="1">
      <c r="A326" s="141">
        <v>46251.0</v>
      </c>
      <c r="B326" s="142" t="s">
        <v>324</v>
      </c>
      <c r="C326" s="142" t="s">
        <v>365</v>
      </c>
      <c r="D326" s="142" t="s">
        <v>366</v>
      </c>
      <c r="E326" s="83"/>
      <c r="F326" s="83" t="s">
        <v>443</v>
      </c>
      <c r="G326" s="83" t="str">
        <f>IF($F326="","",IFERROR(VLOOKUP($F326,Inventory!$A:$B,2,FALSE),""))</f>
        <v>Taipet Chicken Pouch</v>
      </c>
      <c r="H326" s="83">
        <v>1.0</v>
      </c>
      <c r="I326" s="84">
        <f t="shared" si="2"/>
        <v>70</v>
      </c>
      <c r="J326" s="85">
        <f>IF($F326="","",IFERROR(VLOOKUP($F326,Inventory!$A:$K,11,FALSE),0))</f>
        <v>75</v>
      </c>
      <c r="K326" s="85">
        <v>5.0</v>
      </c>
      <c r="L326" s="85">
        <f t="shared" si="3"/>
        <v>70</v>
      </c>
      <c r="M326" s="83" t="s">
        <v>330</v>
      </c>
      <c r="N326" s="85">
        <f>IF($F326="","",IFERROR(VLOOKUP($F326,Inventory!$A:$I,9,FALSE),0))</f>
        <v>53</v>
      </c>
      <c r="O326" s="85">
        <f t="shared" si="4"/>
        <v>53</v>
      </c>
      <c r="P326" s="85">
        <f t="shared" si="5"/>
        <v>17</v>
      </c>
      <c r="Q326" s="83"/>
      <c r="R326" s="118" t="str">
        <f>IF($E326="","",IF(COUNTIF($E$7:$E1523,$E326)&gt;1,"",IFERROR(VLOOKUP($E326,Orders!$A:$I,8,FALSE),"")))</f>
        <v/>
      </c>
      <c r="S326" s="118" t="str">
        <f>IF($E326="","",IF(COUNTIF($E$7:$E1523,$E326)&gt;1,"",IFERROR(VLOOKUP($E326,Orders!$A:$I,9,FALSE),"")))</f>
        <v/>
      </c>
      <c r="T326" s="88">
        <f t="shared" si="6"/>
        <v>17</v>
      </c>
      <c r="U326" s="88">
        <f>IF($F326="","",IF($E326="",T326,SUMIF(Sales!$E$7:$E$1506,$E326,Sales!$T$7:$T$1506)))</f>
        <v>17</v>
      </c>
      <c r="V326" s="49" t="str">
        <f t="shared" si="10"/>
        <v/>
      </c>
      <c r="W326" s="49" t="str">
        <f t="array" ref="W326">IF($V326="","",SUMPRODUCT((Sales!$V$7:$V$1506&lt;&gt;"")*(Sales!$E$7:$E$1506&lt;$E326))+1)</f>
        <v/>
      </c>
      <c r="X326" s="49">
        <f t="shared" si="11"/>
        <v>354</v>
      </c>
      <c r="Y326" s="49" t="str">
        <f t="shared" si="9"/>
        <v>202608-354</v>
      </c>
    </row>
    <row r="327" ht="14.25" customHeight="1">
      <c r="A327" s="141">
        <v>46251.0</v>
      </c>
      <c r="B327" s="142" t="s">
        <v>324</v>
      </c>
      <c r="C327" s="142" t="s">
        <v>365</v>
      </c>
      <c r="D327" s="142" t="s">
        <v>366</v>
      </c>
      <c r="E327" s="83"/>
      <c r="F327" s="83" t="s">
        <v>378</v>
      </c>
      <c r="G327" s="83" t="str">
        <f>IF($F327="","",IFERROR(VLOOKUP($F327,Inventory!$A:$B,2,FALSE),""))</f>
        <v>Drools &amp; Purepet Mixe Cat Food 500gm</v>
      </c>
      <c r="H327" s="83">
        <v>1.0</v>
      </c>
      <c r="I327" s="84">
        <f t="shared" si="2"/>
        <v>200</v>
      </c>
      <c r="J327" s="85">
        <f>IF($F327="","",IFERROR(VLOOKUP($F327,Inventory!$A:$K,11,FALSE),0))</f>
        <v>225</v>
      </c>
      <c r="K327" s="85">
        <v>25.0</v>
      </c>
      <c r="L327" s="85">
        <f t="shared" si="3"/>
        <v>200</v>
      </c>
      <c r="M327" s="83" t="s">
        <v>330</v>
      </c>
      <c r="N327" s="85">
        <f>IF($F327="","",IFERROR(VLOOKUP($F327,Inventory!$A:$I,9,FALSE),0))</f>
        <v>152.9310345</v>
      </c>
      <c r="O327" s="85">
        <f t="shared" si="4"/>
        <v>152.9310345</v>
      </c>
      <c r="P327" s="85">
        <f t="shared" si="5"/>
        <v>47.06896552</v>
      </c>
      <c r="Q327" s="83"/>
      <c r="R327" s="118" t="str">
        <f>IF($E327="","",IF(COUNTIF($E$7:$E1524,$E327)&gt;1,"",IFERROR(VLOOKUP($E327,Orders!$A:$I,8,FALSE),"")))</f>
        <v/>
      </c>
      <c r="S327" s="118" t="str">
        <f>IF($E327="","",IF(COUNTIF($E$7:$E1524,$E327)&gt;1,"",IFERROR(VLOOKUP($E327,Orders!$A:$I,9,FALSE),"")))</f>
        <v/>
      </c>
      <c r="T327" s="88">
        <f t="shared" si="6"/>
        <v>47.06896552</v>
      </c>
      <c r="U327" s="88">
        <f>IF($F327="","",IF($E327="",T327,SUMIF(Sales!$E$7:$E$1506,$E327,Sales!$T$7:$T$1506)))</f>
        <v>47.06896552</v>
      </c>
      <c r="V327" s="49" t="str">
        <f t="shared" si="10"/>
        <v/>
      </c>
      <c r="W327" s="49" t="str">
        <f t="array" ref="W327">IF($V327="","",SUMPRODUCT((Sales!$V$7:$V$1506&lt;&gt;"")*(Sales!$E$7:$E$1506&lt;$E327))+1)</f>
        <v/>
      </c>
      <c r="X327" s="49">
        <f t="shared" si="11"/>
        <v>354</v>
      </c>
      <c r="Y327" s="49" t="str">
        <f t="shared" si="9"/>
        <v>202608-354</v>
      </c>
    </row>
    <row r="328" ht="14.25" customHeight="1">
      <c r="A328" s="141">
        <v>46251.0</v>
      </c>
      <c r="B328" s="142" t="s">
        <v>324</v>
      </c>
      <c r="C328" s="142" t="s">
        <v>365</v>
      </c>
      <c r="D328" s="142" t="s">
        <v>366</v>
      </c>
      <c r="E328" s="83"/>
      <c r="F328" s="83" t="s">
        <v>179</v>
      </c>
      <c r="G328" s="83" t="str">
        <f>IF($F328="","",IFERROR(VLOOKUP($F328,Inventory!$A:$B,2,FALSE),""))</f>
        <v>Creamy Treat 15G (Purry &amp; Hyper Paws)</v>
      </c>
      <c r="H328" s="83">
        <v>1.0</v>
      </c>
      <c r="I328" s="84">
        <f t="shared" si="2"/>
        <v>20</v>
      </c>
      <c r="J328" s="85">
        <f>IF($F328="","",IFERROR(VLOOKUP($F328,Inventory!$A:$K,11,FALSE),0))</f>
        <v>20</v>
      </c>
      <c r="K328" s="85"/>
      <c r="L328" s="85">
        <f t="shared" si="3"/>
        <v>20</v>
      </c>
      <c r="M328" s="83" t="s">
        <v>330</v>
      </c>
      <c r="N328" s="85">
        <f>IF($F328="","",IFERROR(VLOOKUP($F328,Inventory!$A:$I,9,FALSE),0))</f>
        <v>8.147411853</v>
      </c>
      <c r="O328" s="85">
        <f t="shared" si="4"/>
        <v>8.147411853</v>
      </c>
      <c r="P328" s="85">
        <f t="shared" si="5"/>
        <v>11.85258815</v>
      </c>
      <c r="Q328" s="83"/>
      <c r="R328" s="118" t="str">
        <f>IF($E328="","",IF(COUNTIF($E$7:$E1525,$E328)&gt;1,"",IFERROR(VLOOKUP($E328,Orders!$A:$I,8,FALSE),"")))</f>
        <v/>
      </c>
      <c r="S328" s="118" t="str">
        <f>IF($E328="","",IF(COUNTIF($E$7:$E1525,$E328)&gt;1,"",IFERROR(VLOOKUP($E328,Orders!$A:$I,9,FALSE),"")))</f>
        <v/>
      </c>
      <c r="T328" s="88">
        <f t="shared" si="6"/>
        <v>11.85258815</v>
      </c>
      <c r="U328" s="88">
        <f>IF($F328="","",IF($E328="",T328,SUMIF(Sales!$E$7:$E$1506,$E328,Sales!$T$7:$T$1506)))</f>
        <v>11.85258815</v>
      </c>
      <c r="V328" s="49" t="str">
        <f t="shared" si="10"/>
        <v/>
      </c>
      <c r="W328" s="49" t="str">
        <f t="array" ref="W328">IF($V328="","",SUMPRODUCT((Sales!$V$7:$V$1506&lt;&gt;"")*(Sales!$E$7:$E$1506&lt;$E328))+1)</f>
        <v/>
      </c>
      <c r="X328" s="49">
        <f t="shared" si="11"/>
        <v>354</v>
      </c>
      <c r="Y328" s="49" t="str">
        <f t="shared" si="9"/>
        <v>202608-354</v>
      </c>
    </row>
    <row r="329" ht="14.25" customHeight="1">
      <c r="A329" s="141">
        <v>46251.0</v>
      </c>
      <c r="B329" s="142" t="s">
        <v>324</v>
      </c>
      <c r="C329" s="142" t="s">
        <v>365</v>
      </c>
      <c r="D329" s="142" t="s">
        <v>366</v>
      </c>
      <c r="E329" s="83"/>
      <c r="F329" s="83" t="s">
        <v>211</v>
      </c>
      <c r="G329" s="83" t="str">
        <f>IF($F329="","",IFERROR(VLOOKUP($F329,Inventory!$A:$B,2,FALSE),""))</f>
        <v>Smart Heart Pouch  Tuna With Chicken in Jelly</v>
      </c>
      <c r="H329" s="83">
        <v>1.0</v>
      </c>
      <c r="I329" s="84">
        <f t="shared" si="2"/>
        <v>85</v>
      </c>
      <c r="J329" s="85">
        <f>IF($F329="","",IFERROR(VLOOKUP($F329,Inventory!$A:$K,11,FALSE),0))</f>
        <v>95</v>
      </c>
      <c r="K329" s="85">
        <v>10.0</v>
      </c>
      <c r="L329" s="85">
        <f t="shared" si="3"/>
        <v>85</v>
      </c>
      <c r="M329" s="83" t="s">
        <v>330</v>
      </c>
      <c r="N329" s="85">
        <f>IF($F329="","",IFERROR(VLOOKUP($F329,Inventory!$A:$I,9,FALSE),0))</f>
        <v>71.9047619</v>
      </c>
      <c r="O329" s="85">
        <f t="shared" si="4"/>
        <v>71.9047619</v>
      </c>
      <c r="P329" s="85">
        <f t="shared" si="5"/>
        <v>13.0952381</v>
      </c>
      <c r="Q329" s="83"/>
      <c r="R329" s="118" t="str">
        <f>IF($E329="","",IF(COUNTIF($E$7:$E1526,$E329)&gt;1,"",IFERROR(VLOOKUP($E329,Orders!$A:$I,8,FALSE),"")))</f>
        <v/>
      </c>
      <c r="S329" s="118" t="str">
        <f>IF($E329="","",IF(COUNTIF($E$7:$E1526,$E329)&gt;1,"",IFERROR(VLOOKUP($E329,Orders!$A:$I,9,FALSE),"")))</f>
        <v/>
      </c>
      <c r="T329" s="88">
        <f t="shared" si="6"/>
        <v>13.0952381</v>
      </c>
      <c r="U329" s="88">
        <f>IF($F329="","",IF($E329="",T329,SUMIF(Sales!$E$7:$E$1506,$E329,Sales!$T$7:$T$1506)))</f>
        <v>13.0952381</v>
      </c>
      <c r="V329" s="49" t="str">
        <f t="shared" si="10"/>
        <v/>
      </c>
      <c r="W329" s="49" t="str">
        <f t="array" ref="W329">IF($V329="","",SUMPRODUCT((Sales!$V$7:$V$1506&lt;&gt;"")*(Sales!$E$7:$E$1506&lt;$E329))+1)</f>
        <v/>
      </c>
      <c r="X329" s="49">
        <f t="shared" si="11"/>
        <v>354</v>
      </c>
      <c r="Y329" s="49" t="str">
        <f t="shared" si="9"/>
        <v>202608-354</v>
      </c>
    </row>
    <row r="330" ht="14.25" customHeight="1">
      <c r="A330" s="141">
        <v>46251.0</v>
      </c>
      <c r="B330" s="142" t="s">
        <v>324</v>
      </c>
      <c r="C330" s="142" t="s">
        <v>365</v>
      </c>
      <c r="D330" s="142" t="s">
        <v>366</v>
      </c>
      <c r="E330" s="83"/>
      <c r="F330" s="83" t="s">
        <v>378</v>
      </c>
      <c r="G330" s="83" t="str">
        <f>IF($F330="","",IFERROR(VLOOKUP($F330,Inventory!$A:$B,2,FALSE),""))</f>
        <v>Drools &amp; Purepet Mixe Cat Food 500gm</v>
      </c>
      <c r="H330" s="83">
        <v>1.0</v>
      </c>
      <c r="I330" s="84">
        <f t="shared" si="2"/>
        <v>220</v>
      </c>
      <c r="J330" s="85">
        <f>IF($F330="","",IFERROR(VLOOKUP($F330,Inventory!$A:$K,11,FALSE),0))</f>
        <v>225</v>
      </c>
      <c r="K330" s="85">
        <v>5.0</v>
      </c>
      <c r="L330" s="85">
        <f t="shared" si="3"/>
        <v>220</v>
      </c>
      <c r="M330" s="83" t="s">
        <v>330</v>
      </c>
      <c r="N330" s="85">
        <f>IF($F330="","",IFERROR(VLOOKUP($F330,Inventory!$A:$I,9,FALSE),0))</f>
        <v>152.9310345</v>
      </c>
      <c r="O330" s="85">
        <f t="shared" si="4"/>
        <v>152.9310345</v>
      </c>
      <c r="P330" s="85">
        <f t="shared" si="5"/>
        <v>67.06896552</v>
      </c>
      <c r="Q330" s="83"/>
      <c r="R330" s="118" t="str">
        <f>IF($E330="","",IF(COUNTIF($E$7:$E1527,$E330)&gt;1,"",IFERROR(VLOOKUP($E330,Orders!$A:$I,8,FALSE),"")))</f>
        <v/>
      </c>
      <c r="S330" s="118" t="str">
        <f>IF($E330="","",IF(COUNTIF($E$7:$E1527,$E330)&gt;1,"",IFERROR(VLOOKUP($E330,Orders!$A:$I,9,FALSE),"")))</f>
        <v/>
      </c>
      <c r="T330" s="88">
        <f t="shared" si="6"/>
        <v>67.06896552</v>
      </c>
      <c r="U330" s="88">
        <f>IF($F330="","",IF($E330="",T330,SUMIF(Sales!$E$7:$E$1506,$E330,Sales!$T$7:$T$1506)))</f>
        <v>67.06896552</v>
      </c>
      <c r="V330" s="49" t="str">
        <f t="shared" si="10"/>
        <v/>
      </c>
      <c r="W330" s="49" t="str">
        <f t="array" ref="W330">IF($V330="","",SUMPRODUCT((Sales!$V$7:$V$1506&lt;&gt;"")*(Sales!$E$7:$E$1506&lt;$E330))+1)</f>
        <v/>
      </c>
      <c r="X330" s="49">
        <f t="shared" si="11"/>
        <v>354</v>
      </c>
      <c r="Y330" s="49" t="str">
        <f t="shared" si="9"/>
        <v>202608-354</v>
      </c>
    </row>
    <row r="331" ht="14.25" customHeight="1">
      <c r="A331" s="141">
        <v>46251.0</v>
      </c>
      <c r="B331" s="142" t="s">
        <v>324</v>
      </c>
      <c r="C331" s="142" t="s">
        <v>365</v>
      </c>
      <c r="D331" s="142" t="s">
        <v>366</v>
      </c>
      <c r="E331" s="83"/>
      <c r="F331" s="83" t="s">
        <v>132</v>
      </c>
      <c r="G331" s="83" t="str">
        <f>IF($F331="","",IFERROR(VLOOKUP($F331,Inventory!$A:$B,2,FALSE),""))</f>
        <v>Bengal Flea &amp; Tick Shampoo</v>
      </c>
      <c r="H331" s="83">
        <v>1.0</v>
      </c>
      <c r="I331" s="84">
        <f t="shared" si="2"/>
        <v>360</v>
      </c>
      <c r="J331" s="85">
        <f>IF($F331="","",IFERROR(VLOOKUP($F331,Inventory!$A:$K,11,FALSE),0))</f>
        <v>400</v>
      </c>
      <c r="K331" s="85">
        <v>40.0</v>
      </c>
      <c r="L331" s="85">
        <f t="shared" si="3"/>
        <v>360</v>
      </c>
      <c r="M331" s="83" t="s">
        <v>330</v>
      </c>
      <c r="N331" s="85">
        <f>IF($F331="","",IFERROR(VLOOKUP($F331,Inventory!$A:$I,9,FALSE),0))</f>
        <v>240</v>
      </c>
      <c r="O331" s="85">
        <f t="shared" si="4"/>
        <v>240</v>
      </c>
      <c r="P331" s="85">
        <f t="shared" si="5"/>
        <v>120</v>
      </c>
      <c r="Q331" s="83"/>
      <c r="R331" s="118" t="str">
        <f>IF($E331="","",IF(COUNTIF($E$7:$E1528,$E331)&gt;1,"",IFERROR(VLOOKUP($E331,Orders!$A:$I,8,FALSE),"")))</f>
        <v/>
      </c>
      <c r="S331" s="118" t="str">
        <f>IF($E331="","",IF(COUNTIF($E$7:$E1528,$E331)&gt;1,"",IFERROR(VLOOKUP($E331,Orders!$A:$I,9,FALSE),"")))</f>
        <v/>
      </c>
      <c r="T331" s="88">
        <f t="shared" si="6"/>
        <v>120</v>
      </c>
      <c r="U331" s="88">
        <f>IF($F331="","",IF($E331="",T331,SUMIF(Sales!$E$7:$E$1506,$E331,Sales!$T$7:$T$1506)))</f>
        <v>120</v>
      </c>
      <c r="V331" s="49" t="str">
        <f t="shared" si="10"/>
        <v/>
      </c>
      <c r="W331" s="49" t="str">
        <f t="array" ref="W331">IF($V331="","",SUMPRODUCT((Sales!$V$7:$V$1506&lt;&gt;"")*(Sales!$E$7:$E$1506&lt;$E331))+1)</f>
        <v/>
      </c>
      <c r="X331" s="49">
        <f t="shared" si="11"/>
        <v>354</v>
      </c>
      <c r="Y331" s="49" t="str">
        <f t="shared" si="9"/>
        <v>202608-354</v>
      </c>
    </row>
    <row r="332" ht="14.25" customHeight="1">
      <c r="A332" s="141">
        <v>46251.0</v>
      </c>
      <c r="B332" s="142" t="s">
        <v>324</v>
      </c>
      <c r="C332" s="142" t="s">
        <v>365</v>
      </c>
      <c r="D332" s="142" t="s">
        <v>366</v>
      </c>
      <c r="E332" s="83"/>
      <c r="F332" s="83" t="s">
        <v>240</v>
      </c>
      <c r="G332" s="83" t="str">
        <f>IF($F332="","",IFERROR(VLOOKUP($F332,Inventory!$A:$B,2,FALSE),""))</f>
        <v>Cat Belt Radium</v>
      </c>
      <c r="H332" s="83">
        <v>1.0</v>
      </c>
      <c r="I332" s="84">
        <f t="shared" si="2"/>
        <v>90</v>
      </c>
      <c r="J332" s="85">
        <f>IF($F332="","",IFERROR(VLOOKUP($F332,Inventory!$A:$K,11,FALSE),0))</f>
        <v>110</v>
      </c>
      <c r="K332" s="85">
        <v>20.0</v>
      </c>
      <c r="L332" s="85">
        <f t="shared" si="3"/>
        <v>90</v>
      </c>
      <c r="M332" s="83" t="s">
        <v>330</v>
      </c>
      <c r="N332" s="85">
        <f>IF($F332="","",IFERROR(VLOOKUP($F332,Inventory!$A:$I,9,FALSE),0))</f>
        <v>65</v>
      </c>
      <c r="O332" s="85">
        <f t="shared" si="4"/>
        <v>65</v>
      </c>
      <c r="P332" s="85">
        <f t="shared" si="5"/>
        <v>25</v>
      </c>
      <c r="Q332" s="83"/>
      <c r="R332" s="118" t="str">
        <f>IF($E332="","",IF(COUNTIF($E$7:$E1529,$E332)&gt;1,"",IFERROR(VLOOKUP($E332,Orders!$A:$I,8,FALSE),"")))</f>
        <v/>
      </c>
      <c r="S332" s="118" t="str">
        <f>IF($E332="","",IF(COUNTIF($E$7:$E1529,$E332)&gt;1,"",IFERROR(VLOOKUP($E332,Orders!$A:$I,9,FALSE),"")))</f>
        <v/>
      </c>
      <c r="T332" s="88">
        <f t="shared" si="6"/>
        <v>25</v>
      </c>
      <c r="U332" s="88">
        <f>IF($F332="","",IF($E332="",T332,SUMIF(Sales!$E$7:$E$1506,$E332,Sales!$T$7:$T$1506)))</f>
        <v>25</v>
      </c>
      <c r="V332" s="49" t="str">
        <f t="shared" si="10"/>
        <v/>
      </c>
      <c r="W332" s="49" t="str">
        <f t="array" ref="W332">IF($V332="","",SUMPRODUCT((Sales!$V$7:$V$1506&lt;&gt;"")*(Sales!$E$7:$E$1506&lt;$E332))+1)</f>
        <v/>
      </c>
      <c r="X332" s="49">
        <f t="shared" si="11"/>
        <v>354</v>
      </c>
      <c r="Y332" s="49" t="str">
        <f t="shared" si="9"/>
        <v>202608-354</v>
      </c>
    </row>
    <row r="333" ht="14.25" customHeight="1">
      <c r="A333" s="141">
        <v>46251.0</v>
      </c>
      <c r="B333" s="142" t="s">
        <v>324</v>
      </c>
      <c r="C333" s="142" t="s">
        <v>365</v>
      </c>
      <c r="D333" s="142" t="s">
        <v>366</v>
      </c>
      <c r="E333" s="83"/>
      <c r="F333" s="159" t="s">
        <v>386</v>
      </c>
      <c r="G333" s="83" t="str">
        <f>IF($F333="","",IFERROR(VLOOKUP($F333,Inventory!$A:$B,2,FALSE),""))</f>
        <v>LuminaCat Litter Lemon 5L</v>
      </c>
      <c r="H333" s="83">
        <v>1.0</v>
      </c>
      <c r="I333" s="84">
        <f t="shared" si="2"/>
        <v>250</v>
      </c>
      <c r="J333" s="85">
        <f>IF($F333="","",IFERROR(VLOOKUP($F333,Inventory!$A:$K,11,FALSE),0))</f>
        <v>280</v>
      </c>
      <c r="K333" s="85">
        <v>30.0</v>
      </c>
      <c r="L333" s="85">
        <f t="shared" si="3"/>
        <v>250</v>
      </c>
      <c r="M333" s="83" t="s">
        <v>330</v>
      </c>
      <c r="N333" s="85">
        <f>IF($F333="","",IFERROR(VLOOKUP($F333,Inventory!$A:$I,9,FALSE),0))</f>
        <v>190</v>
      </c>
      <c r="O333" s="85">
        <f t="shared" si="4"/>
        <v>190</v>
      </c>
      <c r="P333" s="85">
        <f t="shared" si="5"/>
        <v>60</v>
      </c>
      <c r="Q333" s="83"/>
      <c r="R333" s="118" t="str">
        <f>IF($E333="","",IF(COUNTIF($E$7:$E1530,$E333)&gt;1,"",IFERROR(VLOOKUP($E333,Orders!$A:$I,8,FALSE),"")))</f>
        <v/>
      </c>
      <c r="S333" s="118" t="str">
        <f>IF($E333="","",IF(COUNTIF($E$7:$E1530,$E333)&gt;1,"",IFERROR(VLOOKUP($E333,Orders!$A:$I,9,FALSE),"")))</f>
        <v/>
      </c>
      <c r="T333" s="88">
        <f t="shared" si="6"/>
        <v>60</v>
      </c>
      <c r="U333" s="88">
        <f>IF($F333="","",IF($E333="",T333,SUMIF(Sales!$E$7:$E$1506,$E333,Sales!$T$7:$T$1506)))</f>
        <v>60</v>
      </c>
      <c r="V333" s="49" t="str">
        <f t="shared" si="10"/>
        <v/>
      </c>
      <c r="W333" s="49" t="str">
        <f t="array" ref="W333">IF($V333="","",SUMPRODUCT((Sales!$V$7:$V$1506&lt;&gt;"")*(Sales!$E$7:$E$1506&lt;$E333))+1)</f>
        <v/>
      </c>
      <c r="X333" s="49">
        <f t="shared" si="11"/>
        <v>354</v>
      </c>
      <c r="Y333" s="49" t="str">
        <f t="shared" si="9"/>
        <v>202608-354</v>
      </c>
    </row>
    <row r="334" ht="14.25" customHeight="1">
      <c r="A334" s="141">
        <v>46251.0</v>
      </c>
      <c r="B334" s="142" t="s">
        <v>324</v>
      </c>
      <c r="C334" s="142" t="s">
        <v>365</v>
      </c>
      <c r="D334" s="142" t="s">
        <v>366</v>
      </c>
      <c r="E334" s="83"/>
      <c r="F334" s="83" t="s">
        <v>352</v>
      </c>
      <c r="G334" s="83" t="str">
        <f>IF($F334="","",IFERROR(VLOOKUP($F334,Inventory!$A:$B,2,FALSE),""))</f>
        <v>PAW Cat Food Adult Can Chicken</v>
      </c>
      <c r="H334" s="83">
        <v>1.0</v>
      </c>
      <c r="I334" s="84">
        <f t="shared" si="2"/>
        <v>160</v>
      </c>
      <c r="J334" s="85">
        <f>IF($F334="","",IFERROR(VLOOKUP($F334,Inventory!$A:$K,11,FALSE),0))</f>
        <v>190</v>
      </c>
      <c r="K334" s="85">
        <v>30.0</v>
      </c>
      <c r="L334" s="85">
        <f t="shared" si="3"/>
        <v>160</v>
      </c>
      <c r="M334" s="83" t="s">
        <v>330</v>
      </c>
      <c r="N334" s="85">
        <f>IF($F334="","",IFERROR(VLOOKUP($F334,Inventory!$A:$I,9,FALSE),0))</f>
        <v>130</v>
      </c>
      <c r="O334" s="85">
        <f t="shared" si="4"/>
        <v>130</v>
      </c>
      <c r="P334" s="85">
        <f t="shared" si="5"/>
        <v>30</v>
      </c>
      <c r="Q334" s="83"/>
      <c r="R334" s="118" t="str">
        <f>IF($E334="","",IF(COUNTIF($E$7:$E1531,$E334)&gt;1,"",IFERROR(VLOOKUP($E334,Orders!$A:$I,8,FALSE),"")))</f>
        <v/>
      </c>
      <c r="S334" s="118" t="str">
        <f>IF($E334="","",IF(COUNTIF($E$7:$E1531,$E334)&gt;1,"",IFERROR(VLOOKUP($E334,Orders!$A:$I,9,FALSE),"")))</f>
        <v/>
      </c>
      <c r="T334" s="88">
        <f t="shared" si="6"/>
        <v>30</v>
      </c>
      <c r="U334" s="88">
        <f>IF($F334="","",IF($E334="",T334,SUMIF(Sales!$E$7:$E$1506,$E334,Sales!$T$7:$T$1506)))</f>
        <v>30</v>
      </c>
      <c r="V334" s="49" t="str">
        <f t="shared" si="10"/>
        <v/>
      </c>
      <c r="W334" s="49" t="str">
        <f t="array" ref="W334">IF($V334="","",SUMPRODUCT((Sales!$V$7:$V$1506&lt;&gt;"")*(Sales!$E$7:$E$1506&lt;$E334))+1)</f>
        <v/>
      </c>
      <c r="X334" s="49">
        <f t="shared" si="11"/>
        <v>354</v>
      </c>
      <c r="Y334" s="49" t="str">
        <f t="shared" si="9"/>
        <v>202608-354</v>
      </c>
    </row>
    <row r="335" ht="14.25" customHeight="1">
      <c r="A335" s="141">
        <v>46252.0</v>
      </c>
      <c r="B335" s="142" t="s">
        <v>324</v>
      </c>
      <c r="C335" s="142" t="s">
        <v>365</v>
      </c>
      <c r="D335" s="142" t="s">
        <v>366</v>
      </c>
      <c r="E335" s="83"/>
      <c r="F335" s="83" t="s">
        <v>168</v>
      </c>
      <c r="G335" s="83" t="str">
        <f>IF($F335="","",IFERROR(VLOOKUP($F335,Inventory!$A:$B,2,FALSE),""))</f>
        <v>Chonk All ages Chicken</v>
      </c>
      <c r="H335" s="83">
        <v>1.0</v>
      </c>
      <c r="I335" s="84">
        <f t="shared" si="2"/>
        <v>480</v>
      </c>
      <c r="J335" s="85">
        <f>IF($F335="","",IFERROR(VLOOKUP($F335,Inventory!$A:$K,11,FALSE),0))</f>
        <v>500</v>
      </c>
      <c r="K335" s="85">
        <v>20.0</v>
      </c>
      <c r="L335" s="85">
        <f t="shared" si="3"/>
        <v>480</v>
      </c>
      <c r="M335" s="83" t="s">
        <v>330</v>
      </c>
      <c r="N335" s="85">
        <f>IF($F335="","",IFERROR(VLOOKUP($F335,Inventory!$A:$I,9,FALSE),0))</f>
        <v>400</v>
      </c>
      <c r="O335" s="85">
        <f t="shared" si="4"/>
        <v>400</v>
      </c>
      <c r="P335" s="85">
        <f t="shared" si="5"/>
        <v>80</v>
      </c>
      <c r="Q335" s="83"/>
      <c r="R335" s="118" t="str">
        <f>IF($E335="","",IF(COUNTIF($E$7:$E1532,$E335)&gt;1,"",IFERROR(VLOOKUP($E335,Orders!$A:$I,8,FALSE),"")))</f>
        <v/>
      </c>
      <c r="S335" s="118" t="str">
        <f>IF($E335="","",IF(COUNTIF($E$7:$E1532,$E335)&gt;1,"",IFERROR(VLOOKUP($E335,Orders!$A:$I,9,FALSE),"")))</f>
        <v/>
      </c>
      <c r="T335" s="88">
        <f t="shared" si="6"/>
        <v>80</v>
      </c>
      <c r="U335" s="88">
        <f>IF($F335="","",IF($E335="",T335,SUMIF(Sales!$E$7:$E$1506,$E335,Sales!$T$7:$T$1506)))</f>
        <v>80</v>
      </c>
      <c r="V335" s="49" t="str">
        <f t="shared" si="10"/>
        <v/>
      </c>
      <c r="W335" s="49" t="str">
        <f t="array" ref="W335">IF($V335="","",SUMPRODUCT((Sales!$V$7:$V$1506&lt;&gt;"")*(Sales!$E$7:$E$1506&lt;$E335))+1)</f>
        <v/>
      </c>
      <c r="X335" s="49">
        <f t="shared" si="11"/>
        <v>354</v>
      </c>
      <c r="Y335" s="49" t="str">
        <f t="shared" si="9"/>
        <v>202608-354</v>
      </c>
    </row>
    <row r="336" ht="14.25" customHeight="1">
      <c r="A336" s="141">
        <v>46252.0</v>
      </c>
      <c r="B336" s="142" t="s">
        <v>324</v>
      </c>
      <c r="C336" s="142" t="s">
        <v>365</v>
      </c>
      <c r="D336" s="142" t="s">
        <v>366</v>
      </c>
      <c r="E336" s="83"/>
      <c r="F336" s="83" t="s">
        <v>179</v>
      </c>
      <c r="G336" s="83" t="str">
        <f>IF($F336="","",IFERROR(VLOOKUP($F336,Inventory!$A:$B,2,FALSE),""))</f>
        <v>Creamy Treat 15G (Purry &amp; Hyper Paws)</v>
      </c>
      <c r="H336" s="83">
        <v>2.0</v>
      </c>
      <c r="I336" s="84">
        <f t="shared" si="2"/>
        <v>20</v>
      </c>
      <c r="J336" s="85">
        <f>IF($F336="","",IFERROR(VLOOKUP($F336,Inventory!$A:$K,11,FALSE),0))</f>
        <v>20</v>
      </c>
      <c r="K336" s="85"/>
      <c r="L336" s="85">
        <f t="shared" si="3"/>
        <v>40</v>
      </c>
      <c r="M336" s="83" t="s">
        <v>330</v>
      </c>
      <c r="N336" s="85">
        <f>IF($F336="","",IFERROR(VLOOKUP($F336,Inventory!$A:$I,9,FALSE),0))</f>
        <v>8.147411853</v>
      </c>
      <c r="O336" s="85">
        <f t="shared" si="4"/>
        <v>16.29482371</v>
      </c>
      <c r="P336" s="85">
        <f t="shared" si="5"/>
        <v>23.70517629</v>
      </c>
      <c r="Q336" s="83"/>
      <c r="R336" s="118" t="str">
        <f>IF($E336="","",IF(COUNTIF($E$7:$E1533,$E336)&gt;1,"",IFERROR(VLOOKUP($E336,Orders!$A:$I,8,FALSE),"")))</f>
        <v/>
      </c>
      <c r="S336" s="118" t="str">
        <f>IF($E336="","",IF(COUNTIF($E$7:$E1533,$E336)&gt;1,"",IFERROR(VLOOKUP($E336,Orders!$A:$I,9,FALSE),"")))</f>
        <v/>
      </c>
      <c r="T336" s="88">
        <f t="shared" si="6"/>
        <v>23.70517629</v>
      </c>
      <c r="U336" s="88">
        <f>IF($F336="","",IF($E336="",T336,SUMIF(Sales!$E$7:$E$1506,$E336,Sales!$T$7:$T$1506)))</f>
        <v>23.70517629</v>
      </c>
      <c r="V336" s="49" t="str">
        <f t="shared" si="10"/>
        <v/>
      </c>
      <c r="W336" s="49" t="str">
        <f t="array" ref="W336">IF($V336="","",SUMPRODUCT((Sales!$V$7:$V$1506&lt;&gt;"")*(Sales!$E$7:$E$1506&lt;$E336))+1)</f>
        <v/>
      </c>
      <c r="X336" s="49">
        <f t="shared" si="11"/>
        <v>354</v>
      </c>
      <c r="Y336" s="49" t="str">
        <f t="shared" si="9"/>
        <v>202608-354</v>
      </c>
    </row>
    <row r="337" ht="14.25" customHeight="1">
      <c r="A337" s="141">
        <v>46252.0</v>
      </c>
      <c r="B337" s="142" t="s">
        <v>324</v>
      </c>
      <c r="C337" s="83" t="s">
        <v>325</v>
      </c>
      <c r="D337" s="83" t="s">
        <v>692</v>
      </c>
      <c r="E337" s="83" t="s">
        <v>693</v>
      </c>
      <c r="F337" s="83" t="s">
        <v>202</v>
      </c>
      <c r="G337" s="83" t="str">
        <f>IF($F337="","",IFERROR(VLOOKUP($F337,Inventory!$A:$B,2,FALSE),""))</f>
        <v>Cozie Cat Litter Lavender 10L</v>
      </c>
      <c r="H337" s="83">
        <v>1.0</v>
      </c>
      <c r="I337" s="84">
        <f t="shared" si="2"/>
        <v>640</v>
      </c>
      <c r="J337" s="85">
        <f>IF($F337="","",IFERROR(VLOOKUP($F337,Inventory!$A:$K,11,FALSE),0))</f>
        <v>700</v>
      </c>
      <c r="K337" s="85">
        <v>60.0</v>
      </c>
      <c r="L337" s="85">
        <f t="shared" si="3"/>
        <v>640</v>
      </c>
      <c r="M337" s="83" t="s">
        <v>330</v>
      </c>
      <c r="N337" s="85">
        <f>IF($F337="","",IFERROR(VLOOKUP($F337,Inventory!$A:$I,9,FALSE),0))</f>
        <v>450</v>
      </c>
      <c r="O337" s="85">
        <f t="shared" si="4"/>
        <v>450</v>
      </c>
      <c r="P337" s="85">
        <f t="shared" si="5"/>
        <v>190</v>
      </c>
      <c r="Q337" s="83"/>
      <c r="R337" s="118">
        <f>IF($E337="","",IF(COUNTIF($E$7:$E1534,$E337)&gt;1,"",IFERROR(VLOOKUP($E337,Orders!$A:$I,8,FALSE),"")))</f>
        <v>150</v>
      </c>
      <c r="S337" s="118">
        <f>IF($E337="","",IF(COUNTIF($E$7:$E1534,$E337)&gt;1,"",IFERROR(VLOOKUP($E337,Orders!$A:$I,9,FALSE),"")))</f>
        <v>228</v>
      </c>
      <c r="T337" s="88">
        <f t="shared" si="6"/>
        <v>112</v>
      </c>
      <c r="U337" s="88">
        <f>IF($F337="","",IF($E337="",T337,SUMIF(Sales!$E$7:$E$1506,$E337,Sales!$T$7:$T$1506)))</f>
        <v>112</v>
      </c>
      <c r="V337" s="49">
        <f t="shared" si="10"/>
        <v>17</v>
      </c>
      <c r="W337" s="49">
        <f t="array" ref="W337">IF($V337="","",SUMPRODUCT((Sales!$V$7:$V$1506&lt;&gt;"")*(Sales!$E$7:$E$1506&lt;$E337))+1)</f>
        <v>17</v>
      </c>
      <c r="X337" s="49">
        <f t="shared" si="11"/>
        <v>354</v>
      </c>
      <c r="Y337" s="49" t="str">
        <f t="shared" si="9"/>
        <v>202608-354</v>
      </c>
    </row>
    <row r="338" ht="14.25" customHeight="1">
      <c r="A338" s="141">
        <v>46252.0</v>
      </c>
      <c r="B338" s="142" t="s">
        <v>324</v>
      </c>
      <c r="C338" s="142" t="s">
        <v>365</v>
      </c>
      <c r="D338" s="142" t="s">
        <v>366</v>
      </c>
      <c r="E338" s="83"/>
      <c r="F338" s="83" t="s">
        <v>258</v>
      </c>
      <c r="G338" s="83" t="str">
        <f>IF($F338="","",IFERROR(VLOOKUP($F338,Inventory!$A:$B,2,FALSE),""))</f>
        <v>Kitchen Flavor Grain Free Adult 400G</v>
      </c>
      <c r="H338" s="83">
        <v>1.0</v>
      </c>
      <c r="I338" s="84">
        <f t="shared" si="2"/>
        <v>360</v>
      </c>
      <c r="J338" s="85">
        <f>IF($F338="","",IFERROR(VLOOKUP($F338,Inventory!$A:$K,11,FALSE),0))</f>
        <v>380</v>
      </c>
      <c r="K338" s="85">
        <v>20.0</v>
      </c>
      <c r="L338" s="85">
        <f t="shared" si="3"/>
        <v>360</v>
      </c>
      <c r="M338" s="83" t="s">
        <v>330</v>
      </c>
      <c r="N338" s="85">
        <f>IF($F338="","",IFERROR(VLOOKUP($F338,Inventory!$A:$I,9,FALSE),0))</f>
        <v>290</v>
      </c>
      <c r="O338" s="85">
        <f t="shared" si="4"/>
        <v>290</v>
      </c>
      <c r="P338" s="85">
        <f t="shared" si="5"/>
        <v>70</v>
      </c>
      <c r="Q338" s="83"/>
      <c r="R338" s="118" t="str">
        <f>IF($E338="","",IF(COUNTIF($E$7:$E1535,$E338)&gt;1,"",IFERROR(VLOOKUP($E338,Orders!$A:$I,8,FALSE),"")))</f>
        <v/>
      </c>
      <c r="S338" s="118" t="str">
        <f>IF($E338="","",IF(COUNTIF($E$7:$E1535,$E338)&gt;1,"",IFERROR(VLOOKUP($E338,Orders!$A:$I,9,FALSE),"")))</f>
        <v/>
      </c>
      <c r="T338" s="88">
        <f t="shared" si="6"/>
        <v>70</v>
      </c>
      <c r="U338" s="88">
        <f>IF($F338="","",IF($E338="",T338,SUMIF(Sales!$E$7:$E$1506,$E338,Sales!$T$7:$T$1506)))</f>
        <v>70</v>
      </c>
      <c r="V338" s="49" t="str">
        <f t="shared" si="10"/>
        <v/>
      </c>
      <c r="W338" s="49" t="str">
        <f t="array" ref="W338">IF($V338="","",SUMPRODUCT((Sales!$V$7:$V$1506&lt;&gt;"")*(Sales!$E$7:$E$1506&lt;$E338))+1)</f>
        <v/>
      </c>
      <c r="X338" s="49">
        <f t="shared" si="11"/>
        <v>354</v>
      </c>
      <c r="Y338" s="49" t="str">
        <f t="shared" si="9"/>
        <v>202608-354</v>
      </c>
    </row>
    <row r="339" ht="14.25" customHeight="1">
      <c r="A339" s="141">
        <v>46252.0</v>
      </c>
      <c r="B339" s="142" t="s">
        <v>324</v>
      </c>
      <c r="C339" s="142" t="s">
        <v>365</v>
      </c>
      <c r="D339" s="142" t="s">
        <v>366</v>
      </c>
      <c r="E339" s="83"/>
      <c r="F339" s="83" t="s">
        <v>98</v>
      </c>
      <c r="G339" s="83" t="str">
        <f>IF($F339="","",IFERROR(VLOOKUP($F339,Inventory!$A:$B,2,FALSE),""))</f>
        <v>Cat Belt</v>
      </c>
      <c r="H339" s="83">
        <v>1.0</v>
      </c>
      <c r="I339" s="84">
        <f t="shared" si="2"/>
        <v>60</v>
      </c>
      <c r="J339" s="85">
        <f>IF($F339="","",IFERROR(VLOOKUP($F339,Inventory!$A:$K,11,FALSE),0))</f>
        <v>60</v>
      </c>
      <c r="K339" s="85"/>
      <c r="L339" s="85">
        <f t="shared" si="3"/>
        <v>60</v>
      </c>
      <c r="M339" s="83" t="s">
        <v>330</v>
      </c>
      <c r="N339" s="85">
        <f>IF($F339="","",IFERROR(VLOOKUP($F339,Inventory!$A:$I,9,FALSE),0))</f>
        <v>29.35135135</v>
      </c>
      <c r="O339" s="85">
        <f t="shared" si="4"/>
        <v>29.35135135</v>
      </c>
      <c r="P339" s="85">
        <f t="shared" si="5"/>
        <v>30.64864865</v>
      </c>
      <c r="Q339" s="83"/>
      <c r="R339" s="118" t="str">
        <f>IF($E339="","",IF(COUNTIF($E$7:$E1536,$E339)&gt;1,"",IFERROR(VLOOKUP($E339,Orders!$A:$I,8,FALSE),"")))</f>
        <v/>
      </c>
      <c r="S339" s="118" t="str">
        <f>IF($E339="","",IF(COUNTIF($E$7:$E1536,$E339)&gt;1,"",IFERROR(VLOOKUP($E339,Orders!$A:$I,9,FALSE),"")))</f>
        <v/>
      </c>
      <c r="T339" s="88">
        <f t="shared" si="6"/>
        <v>30.64864865</v>
      </c>
      <c r="U339" s="88">
        <f>IF($F339="","",IF($E339="",T339,SUMIF(Sales!$E$7:$E$1506,$E339,Sales!$T$7:$T$1506)))</f>
        <v>30.64864865</v>
      </c>
      <c r="V339" s="49" t="str">
        <f t="shared" si="10"/>
        <v/>
      </c>
      <c r="W339" s="49" t="str">
        <f t="array" ref="W339">IF($V339="","",SUMPRODUCT((Sales!$V$7:$V$1506&lt;&gt;"")*(Sales!$E$7:$E$1506&lt;$E339))+1)</f>
        <v/>
      </c>
      <c r="X339" s="49">
        <f t="shared" si="11"/>
        <v>354</v>
      </c>
      <c r="Y339" s="49" t="str">
        <f t="shared" si="9"/>
        <v>202608-354</v>
      </c>
    </row>
    <row r="340" ht="14.25" customHeight="1">
      <c r="A340" s="141">
        <v>46252.0</v>
      </c>
      <c r="B340" s="142" t="s">
        <v>324</v>
      </c>
      <c r="C340" s="142" t="s">
        <v>365</v>
      </c>
      <c r="D340" s="142" t="s">
        <v>366</v>
      </c>
      <c r="E340" s="83"/>
      <c r="F340" s="83" t="s">
        <v>179</v>
      </c>
      <c r="G340" s="83" t="str">
        <f>IF($F340="","",IFERROR(VLOOKUP($F340,Inventory!$A:$B,2,FALSE),""))</f>
        <v>Creamy Treat 15G (Purry &amp; Hyper Paws)</v>
      </c>
      <c r="H340" s="83">
        <v>1.0</v>
      </c>
      <c r="I340" s="84">
        <f t="shared" si="2"/>
        <v>20</v>
      </c>
      <c r="J340" s="85">
        <f>IF($F340="","",IFERROR(VLOOKUP($F340,Inventory!$A:$K,11,FALSE),0))</f>
        <v>20</v>
      </c>
      <c r="K340" s="85"/>
      <c r="L340" s="85">
        <f t="shared" si="3"/>
        <v>20</v>
      </c>
      <c r="M340" s="83" t="s">
        <v>330</v>
      </c>
      <c r="N340" s="85">
        <f>IF($F340="","",IFERROR(VLOOKUP($F340,Inventory!$A:$I,9,FALSE),0))</f>
        <v>8.147411853</v>
      </c>
      <c r="O340" s="85">
        <f t="shared" si="4"/>
        <v>8.147411853</v>
      </c>
      <c r="P340" s="85">
        <f t="shared" si="5"/>
        <v>11.85258815</v>
      </c>
      <c r="Q340" s="83"/>
      <c r="R340" s="118" t="str">
        <f>IF($E340="","",IF(COUNTIF($E$7:$E1537,$E340)&gt;1,"",IFERROR(VLOOKUP($E340,Orders!$A:$I,8,FALSE),"")))</f>
        <v/>
      </c>
      <c r="S340" s="118" t="str">
        <f>IF($E340="","",IF(COUNTIF($E$7:$E1537,$E340)&gt;1,"",IFERROR(VLOOKUP($E340,Orders!$A:$I,9,FALSE),"")))</f>
        <v/>
      </c>
      <c r="T340" s="88">
        <f t="shared" si="6"/>
        <v>11.85258815</v>
      </c>
      <c r="U340" s="88">
        <f>IF($F340="","",IF($E340="",T340,SUMIF(Sales!$E$7:$E$1506,$E340,Sales!$T$7:$T$1506)))</f>
        <v>11.85258815</v>
      </c>
      <c r="V340" s="49" t="str">
        <f t="shared" si="10"/>
        <v/>
      </c>
      <c r="W340" s="49" t="str">
        <f t="array" ref="W340">IF($V340="","",SUMPRODUCT((Sales!$V$7:$V$1506&lt;&gt;"")*(Sales!$E$7:$E$1506&lt;$E340))+1)</f>
        <v/>
      </c>
      <c r="X340" s="49">
        <f t="shared" si="11"/>
        <v>354</v>
      </c>
      <c r="Y340" s="49" t="str">
        <f t="shared" si="9"/>
        <v>202608-354</v>
      </c>
    </row>
    <row r="341" ht="14.25" customHeight="1">
      <c r="A341" s="141">
        <v>46252.0</v>
      </c>
      <c r="B341" s="142" t="s">
        <v>324</v>
      </c>
      <c r="C341" s="142" t="s">
        <v>365</v>
      </c>
      <c r="D341" s="142" t="s">
        <v>366</v>
      </c>
      <c r="E341" s="83"/>
      <c r="F341" s="83" t="s">
        <v>432</v>
      </c>
      <c r="G341" s="83" t="str">
        <f>IF($F341="","",IFERROR(VLOOKUP($F341,Inventory!$A:$B,2,FALSE),""))</f>
        <v>Taipet Kitten Dry Cat Food Chicken Milk &amp; Fish 400gm</v>
      </c>
      <c r="H341" s="83">
        <v>1.0</v>
      </c>
      <c r="I341" s="84">
        <f t="shared" si="2"/>
        <v>170</v>
      </c>
      <c r="J341" s="85">
        <f>IF($F341="","",IFERROR(VLOOKUP($F341,Inventory!$A:$K,11,FALSE),0))</f>
        <v>175</v>
      </c>
      <c r="K341" s="85">
        <v>5.0</v>
      </c>
      <c r="L341" s="85">
        <f t="shared" si="3"/>
        <v>170</v>
      </c>
      <c r="M341" s="83" t="s">
        <v>330</v>
      </c>
      <c r="N341" s="85">
        <f>IF($F341="","",IFERROR(VLOOKUP($F341,Inventory!$A:$I,9,FALSE),0))</f>
        <v>135</v>
      </c>
      <c r="O341" s="85">
        <f t="shared" si="4"/>
        <v>135</v>
      </c>
      <c r="P341" s="85">
        <f t="shared" si="5"/>
        <v>35</v>
      </c>
      <c r="Q341" s="83"/>
      <c r="R341" s="118" t="str">
        <f>IF($E341="","",IF(COUNTIF($E$7:$E1538,$E341)&gt;1,"",IFERROR(VLOOKUP($E341,Orders!$A:$I,8,FALSE),"")))</f>
        <v/>
      </c>
      <c r="S341" s="118" t="str">
        <f>IF($E341="","",IF(COUNTIF($E$7:$E1538,$E341)&gt;1,"",IFERROR(VLOOKUP($E341,Orders!$A:$I,9,FALSE),"")))</f>
        <v/>
      </c>
      <c r="T341" s="88">
        <f t="shared" si="6"/>
        <v>35</v>
      </c>
      <c r="U341" s="88">
        <f>IF($F341="","",IF($E341="",T341,SUMIF(Sales!$E$7:$E$1506,$E341,Sales!$T$7:$T$1506)))</f>
        <v>35</v>
      </c>
      <c r="V341" s="49" t="str">
        <f t="shared" si="10"/>
        <v/>
      </c>
      <c r="W341" s="49" t="str">
        <f t="array" ref="W341">IF($V341="","",SUMPRODUCT((Sales!$V$7:$V$1506&lt;&gt;"")*(Sales!$E$7:$E$1506&lt;$E341))+1)</f>
        <v/>
      </c>
      <c r="X341" s="49">
        <f t="shared" si="11"/>
        <v>354</v>
      </c>
      <c r="Y341" s="49" t="str">
        <f t="shared" si="9"/>
        <v>202608-354</v>
      </c>
    </row>
    <row r="342" ht="14.25" customHeight="1">
      <c r="A342" s="141">
        <v>46252.0</v>
      </c>
      <c r="B342" s="142" t="s">
        <v>324</v>
      </c>
      <c r="C342" s="142" t="s">
        <v>365</v>
      </c>
      <c r="D342" s="142" t="s">
        <v>366</v>
      </c>
      <c r="E342" s="83"/>
      <c r="F342" s="83" t="s">
        <v>444</v>
      </c>
      <c r="G342" s="83" t="str">
        <f>IF($F342="","",IFERROR(VLOOKUP($F342,Inventory!$A:$B,2,FALSE),""))</f>
        <v>Whiskas Junior Tuna Flavor</v>
      </c>
      <c r="H342" s="83">
        <v>2.0</v>
      </c>
      <c r="I342" s="84">
        <f t="shared" si="2"/>
        <v>90</v>
      </c>
      <c r="J342" s="85">
        <f>IF($F342="","",IFERROR(VLOOKUP($F342,Inventory!$A:$K,11,FALSE),0))</f>
        <v>95</v>
      </c>
      <c r="K342" s="85">
        <v>5.0</v>
      </c>
      <c r="L342" s="85">
        <f t="shared" si="3"/>
        <v>180</v>
      </c>
      <c r="M342" s="83" t="s">
        <v>330</v>
      </c>
      <c r="N342" s="85">
        <f>IF($F342="","",IFERROR(VLOOKUP($F342,Inventory!$A:$I,9,FALSE),0))</f>
        <v>76</v>
      </c>
      <c r="O342" s="85">
        <f t="shared" si="4"/>
        <v>152</v>
      </c>
      <c r="P342" s="85">
        <f t="shared" si="5"/>
        <v>28</v>
      </c>
      <c r="Q342" s="83"/>
      <c r="R342" s="118" t="str">
        <f>IF($E342="","",IF(COUNTIF($E$7:$E1539,$E342)&gt;1,"",IFERROR(VLOOKUP($E342,Orders!$A:$I,8,FALSE),"")))</f>
        <v/>
      </c>
      <c r="S342" s="118" t="str">
        <f>IF($E342="","",IF(COUNTIF($E$7:$E1539,$E342)&gt;1,"",IFERROR(VLOOKUP($E342,Orders!$A:$I,9,FALSE),"")))</f>
        <v/>
      </c>
      <c r="T342" s="88">
        <f t="shared" si="6"/>
        <v>28</v>
      </c>
      <c r="U342" s="88">
        <f>IF($F342="","",IF($E342="",T342,SUMIF(Sales!$E$7:$E$1506,$E342,Sales!$T$7:$T$1506)))</f>
        <v>28</v>
      </c>
      <c r="V342" s="49" t="str">
        <f t="shared" si="10"/>
        <v/>
      </c>
      <c r="W342" s="49" t="str">
        <f t="array" ref="W342">IF($V342="","",SUMPRODUCT((Sales!$V$7:$V$1506&lt;&gt;"")*(Sales!$E$7:$E$1506&lt;$E342))+1)</f>
        <v/>
      </c>
      <c r="X342" s="49">
        <f t="shared" si="11"/>
        <v>354</v>
      </c>
      <c r="Y342" s="49" t="str">
        <f t="shared" si="9"/>
        <v>202608-354</v>
      </c>
    </row>
    <row r="343" ht="14.25" customHeight="1">
      <c r="A343" s="141">
        <v>46252.0</v>
      </c>
      <c r="B343" s="142" t="s">
        <v>324</v>
      </c>
      <c r="C343" s="142" t="s">
        <v>365</v>
      </c>
      <c r="D343" s="142" t="s">
        <v>366</v>
      </c>
      <c r="E343" s="83"/>
      <c r="F343" s="83" t="s">
        <v>179</v>
      </c>
      <c r="G343" s="83" t="str">
        <f>IF($F343="","",IFERROR(VLOOKUP($F343,Inventory!$A:$B,2,FALSE),""))</f>
        <v>Creamy Treat 15G (Purry &amp; Hyper Paws)</v>
      </c>
      <c r="H343" s="83">
        <v>5.0</v>
      </c>
      <c r="I343" s="84">
        <f t="shared" si="2"/>
        <v>14</v>
      </c>
      <c r="J343" s="85">
        <f>IF($F343="","",IFERROR(VLOOKUP($F343,Inventory!$A:$K,11,FALSE),0))</f>
        <v>20</v>
      </c>
      <c r="K343" s="85">
        <v>6.0</v>
      </c>
      <c r="L343" s="85">
        <f t="shared" si="3"/>
        <v>70</v>
      </c>
      <c r="M343" s="83" t="s">
        <v>330</v>
      </c>
      <c r="N343" s="85">
        <f>IF($F343="","",IFERROR(VLOOKUP($F343,Inventory!$A:$I,9,FALSE),0))</f>
        <v>8.147411853</v>
      </c>
      <c r="O343" s="85">
        <f t="shared" si="4"/>
        <v>40.73705926</v>
      </c>
      <c r="P343" s="85">
        <f t="shared" si="5"/>
        <v>29.26294074</v>
      </c>
      <c r="Q343" s="83"/>
      <c r="R343" s="118" t="str">
        <f>IF($E343="","",IF(COUNTIF($E$7:$E1540,$E343)&gt;1,"",IFERROR(VLOOKUP($E343,Orders!$A:$I,8,FALSE),"")))</f>
        <v/>
      </c>
      <c r="S343" s="118" t="str">
        <f>IF($E343="","",IF(COUNTIF($E$7:$E1540,$E343)&gt;1,"",IFERROR(VLOOKUP($E343,Orders!$A:$I,9,FALSE),"")))</f>
        <v/>
      </c>
      <c r="T343" s="88">
        <f t="shared" si="6"/>
        <v>29.26294074</v>
      </c>
      <c r="U343" s="88">
        <f>IF($F343="","",IF($E343="",T343,SUMIF(Sales!$E$7:$E$1506,$E343,Sales!$T$7:$T$1506)))</f>
        <v>29.26294074</v>
      </c>
      <c r="V343" s="49" t="str">
        <f t="shared" si="10"/>
        <v/>
      </c>
      <c r="W343" s="49" t="str">
        <f t="array" ref="W343">IF($V343="","",SUMPRODUCT((Sales!$V$7:$V$1506&lt;&gt;"")*(Sales!$E$7:$E$1506&lt;$E343))+1)</f>
        <v/>
      </c>
      <c r="X343" s="49">
        <f t="shared" si="11"/>
        <v>354</v>
      </c>
      <c r="Y343" s="49" t="str">
        <f t="shared" si="9"/>
        <v>202608-354</v>
      </c>
    </row>
    <row r="344" ht="14.25" customHeight="1">
      <c r="A344" s="141">
        <v>46252.0</v>
      </c>
      <c r="B344" s="142" t="s">
        <v>324</v>
      </c>
      <c r="C344" s="142" t="s">
        <v>365</v>
      </c>
      <c r="D344" s="142" t="s">
        <v>366</v>
      </c>
      <c r="E344" s="83"/>
      <c r="F344" s="83" t="s">
        <v>361</v>
      </c>
      <c r="G344" s="83" t="str">
        <f>IF($F344="","",IFERROR(VLOOKUP($F344,Inventory!$A:$B,2,FALSE),""))</f>
        <v>Petmetro Premium Pouch Chicken 85gm</v>
      </c>
      <c r="H344" s="83">
        <v>1.0</v>
      </c>
      <c r="I344" s="84">
        <f t="shared" si="2"/>
        <v>70</v>
      </c>
      <c r="J344" s="85">
        <f>IF($F344="","",IFERROR(VLOOKUP($F344,Inventory!$A:$K,11,FALSE),0))</f>
        <v>80</v>
      </c>
      <c r="K344" s="85">
        <v>10.0</v>
      </c>
      <c r="L344" s="85">
        <f t="shared" si="3"/>
        <v>70</v>
      </c>
      <c r="M344" s="83" t="s">
        <v>330</v>
      </c>
      <c r="N344" s="85">
        <f>IF($F344="","",IFERROR(VLOOKUP($F344,Inventory!$A:$I,9,FALSE),0))</f>
        <v>60</v>
      </c>
      <c r="O344" s="85">
        <f t="shared" si="4"/>
        <v>60</v>
      </c>
      <c r="P344" s="85">
        <f t="shared" si="5"/>
        <v>10</v>
      </c>
      <c r="Q344" s="83"/>
      <c r="R344" s="118" t="str">
        <f>IF($E344="","",IF(COUNTIF($E$7:$E1541,$E344)&gt;1,"",IFERROR(VLOOKUP($E344,Orders!$A:$I,8,FALSE),"")))</f>
        <v/>
      </c>
      <c r="S344" s="118" t="str">
        <f>IF($E344="","",IF(COUNTIF($E$7:$E1541,$E344)&gt;1,"",IFERROR(VLOOKUP($E344,Orders!$A:$I,9,FALSE),"")))</f>
        <v/>
      </c>
      <c r="T344" s="88">
        <f t="shared" si="6"/>
        <v>10</v>
      </c>
      <c r="U344" s="88">
        <f>IF($F344="","",IF($E344="",T344,SUMIF(Sales!$E$7:$E$1506,$E344,Sales!$T$7:$T$1506)))</f>
        <v>10</v>
      </c>
      <c r="V344" s="49" t="str">
        <f t="shared" si="10"/>
        <v/>
      </c>
      <c r="W344" s="49" t="str">
        <f t="array" ref="W344">IF($V344="","",SUMPRODUCT((Sales!$V$7:$V$1506&lt;&gt;"")*(Sales!$E$7:$E$1506&lt;$E344))+1)</f>
        <v/>
      </c>
      <c r="X344" s="49">
        <f t="shared" si="11"/>
        <v>354</v>
      </c>
      <c r="Y344" s="49" t="str">
        <f t="shared" si="9"/>
        <v>202608-354</v>
      </c>
    </row>
    <row r="345" ht="14.25" customHeight="1">
      <c r="A345" s="141">
        <v>46252.0</v>
      </c>
      <c r="B345" s="142" t="s">
        <v>324</v>
      </c>
      <c r="C345" s="142" t="s">
        <v>365</v>
      </c>
      <c r="D345" s="142" t="s">
        <v>366</v>
      </c>
      <c r="E345" s="83"/>
      <c r="F345" s="83" t="s">
        <v>388</v>
      </c>
      <c r="G345" s="83" t="str">
        <f>IF($F345="","",IFERROR(VLOOKUP($F345,Inventory!$A:$B,2,FALSE),""))</f>
        <v>LuminaCat Litter Apple 5L</v>
      </c>
      <c r="H345" s="83">
        <v>1.0</v>
      </c>
      <c r="I345" s="84">
        <f t="shared" si="2"/>
        <v>240</v>
      </c>
      <c r="J345" s="85">
        <f>IF($F345="","",IFERROR(VLOOKUP($F345,Inventory!$A:$K,11,FALSE),0))</f>
        <v>280</v>
      </c>
      <c r="K345" s="85">
        <v>40.0</v>
      </c>
      <c r="L345" s="85">
        <f t="shared" si="3"/>
        <v>240</v>
      </c>
      <c r="M345" s="83" t="s">
        <v>330</v>
      </c>
      <c r="N345" s="85">
        <f>IF($F345="","",IFERROR(VLOOKUP($F345,Inventory!$A:$I,9,FALSE),0))</f>
        <v>190</v>
      </c>
      <c r="O345" s="85">
        <f t="shared" si="4"/>
        <v>190</v>
      </c>
      <c r="P345" s="85">
        <f t="shared" si="5"/>
        <v>50</v>
      </c>
      <c r="Q345" s="83"/>
      <c r="R345" s="118" t="str">
        <f>IF($E345="","",IF(COUNTIF($E$7:$E1542,$E345)&gt;1,"",IFERROR(VLOOKUP($E345,Orders!$A:$I,8,FALSE),"")))</f>
        <v/>
      </c>
      <c r="S345" s="118" t="str">
        <f>IF($E345="","",IF(COUNTIF($E$7:$E1542,$E345)&gt;1,"",IFERROR(VLOOKUP($E345,Orders!$A:$I,9,FALSE),"")))</f>
        <v/>
      </c>
      <c r="T345" s="88">
        <f t="shared" si="6"/>
        <v>50</v>
      </c>
      <c r="U345" s="88">
        <f>IF($F345="","",IF($E345="",T345,SUMIF(Sales!$E$7:$E$1506,$E345,Sales!$T$7:$T$1506)))</f>
        <v>50</v>
      </c>
      <c r="V345" s="49" t="str">
        <f t="shared" si="10"/>
        <v/>
      </c>
      <c r="W345" s="49" t="str">
        <f t="array" ref="W345">IF($V345="","",SUMPRODUCT((Sales!$V$7:$V$1506&lt;&gt;"")*(Sales!$E$7:$E$1506&lt;$E345))+1)</f>
        <v/>
      </c>
      <c r="X345" s="49">
        <f t="shared" si="11"/>
        <v>354</v>
      </c>
      <c r="Y345" s="49" t="str">
        <f t="shared" si="9"/>
        <v>202608-354</v>
      </c>
    </row>
    <row r="346" ht="14.25" customHeight="1">
      <c r="A346" s="141">
        <v>46252.0</v>
      </c>
      <c r="B346" s="142" t="s">
        <v>324</v>
      </c>
      <c r="C346" s="142" t="s">
        <v>365</v>
      </c>
      <c r="D346" s="142" t="s">
        <v>366</v>
      </c>
      <c r="E346" s="83"/>
      <c r="F346" s="83" t="s">
        <v>247</v>
      </c>
      <c r="G346" s="83" t="str">
        <f>IF($F346="","",IFERROR(VLOOKUP($F346,Inventory!$A:$B,2,FALSE),""))</f>
        <v>Cat Toy Long Wire (Fish, Ball )</v>
      </c>
      <c r="H346" s="83">
        <v>1.0</v>
      </c>
      <c r="I346" s="84">
        <f t="shared" si="2"/>
        <v>120</v>
      </c>
      <c r="J346" s="85">
        <f>IF($F346="","",IFERROR(VLOOKUP($F346,Inventory!$A:$K,11,FALSE),0))</f>
        <v>130</v>
      </c>
      <c r="K346" s="85">
        <v>10.0</v>
      </c>
      <c r="L346" s="85">
        <f t="shared" si="3"/>
        <v>120</v>
      </c>
      <c r="M346" s="83" t="s">
        <v>330</v>
      </c>
      <c r="N346" s="85">
        <f>IF($F346="","",IFERROR(VLOOKUP($F346,Inventory!$A:$I,9,FALSE),0))</f>
        <v>80</v>
      </c>
      <c r="O346" s="85">
        <f t="shared" si="4"/>
        <v>80</v>
      </c>
      <c r="P346" s="85">
        <f t="shared" si="5"/>
        <v>40</v>
      </c>
      <c r="Q346" s="83"/>
      <c r="R346" s="118" t="str">
        <f>IF($E346="","",IF(COUNTIF($E$7:$E1543,$E346)&gt;1,"",IFERROR(VLOOKUP($E346,Orders!$A:$I,8,FALSE),"")))</f>
        <v/>
      </c>
      <c r="S346" s="118" t="str">
        <f>IF($E346="","",IF(COUNTIF($E$7:$E1543,$E346)&gt;1,"",IFERROR(VLOOKUP($E346,Orders!$A:$I,9,FALSE),"")))</f>
        <v/>
      </c>
      <c r="T346" s="88">
        <f t="shared" si="6"/>
        <v>40</v>
      </c>
      <c r="U346" s="88">
        <f>IF($F346="","",IF($E346="",T346,SUMIF(Sales!$E$7:$E$1506,$E346,Sales!$T$7:$T$1506)))</f>
        <v>40</v>
      </c>
      <c r="V346" s="49" t="str">
        <f t="shared" si="10"/>
        <v/>
      </c>
      <c r="W346" s="49" t="str">
        <f t="array" ref="W346">IF($V346="","",SUMPRODUCT((Sales!$V$7:$V$1506&lt;&gt;"")*(Sales!$E$7:$E$1506&lt;$E346))+1)</f>
        <v/>
      </c>
      <c r="X346" s="49">
        <f t="shared" si="11"/>
        <v>354</v>
      </c>
      <c r="Y346" s="49" t="str">
        <f t="shared" si="9"/>
        <v>202608-354</v>
      </c>
    </row>
    <row r="347" ht="14.25" customHeight="1">
      <c r="A347" s="141">
        <v>46252.0</v>
      </c>
      <c r="B347" s="142" t="s">
        <v>324</v>
      </c>
      <c r="C347" s="142" t="s">
        <v>365</v>
      </c>
      <c r="D347" s="142" t="s">
        <v>366</v>
      </c>
      <c r="E347" s="83"/>
      <c r="F347" s="83" t="s">
        <v>179</v>
      </c>
      <c r="G347" s="83" t="str">
        <f>IF($F347="","",IFERROR(VLOOKUP($F347,Inventory!$A:$B,2,FALSE),""))</f>
        <v>Creamy Treat 15G (Purry &amp; Hyper Paws)</v>
      </c>
      <c r="H347" s="83">
        <v>3.0</v>
      </c>
      <c r="I347" s="84">
        <f t="shared" si="2"/>
        <v>20</v>
      </c>
      <c r="J347" s="85">
        <f>IF($F347="","",IFERROR(VLOOKUP($F347,Inventory!$A:$K,11,FALSE),0))</f>
        <v>20</v>
      </c>
      <c r="K347" s="85"/>
      <c r="L347" s="85">
        <f t="shared" si="3"/>
        <v>60</v>
      </c>
      <c r="M347" s="83" t="s">
        <v>330</v>
      </c>
      <c r="N347" s="85">
        <f>IF($F347="","",IFERROR(VLOOKUP($F347,Inventory!$A:$I,9,FALSE),0))</f>
        <v>8.147411853</v>
      </c>
      <c r="O347" s="85">
        <f t="shared" si="4"/>
        <v>24.44223556</v>
      </c>
      <c r="P347" s="85">
        <f t="shared" si="5"/>
        <v>35.55776444</v>
      </c>
      <c r="Q347" s="83"/>
      <c r="R347" s="118" t="str">
        <f>IF($E347="","",IF(COUNTIF($E$7:$E1544,$E347)&gt;1,"",IFERROR(VLOOKUP($E347,Orders!$A:$I,8,FALSE),"")))</f>
        <v/>
      </c>
      <c r="S347" s="118" t="str">
        <f>IF($E347="","",IF(COUNTIF($E$7:$E1544,$E347)&gt;1,"",IFERROR(VLOOKUP($E347,Orders!$A:$I,9,FALSE),"")))</f>
        <v/>
      </c>
      <c r="T347" s="88">
        <f t="shared" si="6"/>
        <v>35.55776444</v>
      </c>
      <c r="U347" s="88">
        <f>IF($F347="","",IF($E347="",T347,SUMIF(Sales!$E$7:$E$1506,$E347,Sales!$T$7:$T$1506)))</f>
        <v>35.55776444</v>
      </c>
      <c r="V347" s="49" t="str">
        <f t="shared" si="10"/>
        <v/>
      </c>
      <c r="W347" s="49" t="str">
        <f t="array" ref="W347">IF($V347="","",SUMPRODUCT((Sales!$V$7:$V$1506&lt;&gt;"")*(Sales!$E$7:$E$1506&lt;$E347))+1)</f>
        <v/>
      </c>
      <c r="X347" s="49">
        <f t="shared" si="11"/>
        <v>354</v>
      </c>
      <c r="Y347" s="49" t="str">
        <f t="shared" si="9"/>
        <v>202608-354</v>
      </c>
    </row>
    <row r="348" ht="14.25" customHeight="1">
      <c r="A348" s="141">
        <v>46252.0</v>
      </c>
      <c r="B348" s="142" t="s">
        <v>324</v>
      </c>
      <c r="C348" s="142" t="s">
        <v>365</v>
      </c>
      <c r="D348" s="142" t="s">
        <v>366</v>
      </c>
      <c r="E348" s="83"/>
      <c r="F348" s="83" t="s">
        <v>386</v>
      </c>
      <c r="G348" s="83" t="str">
        <f>IF($F348="","",IFERROR(VLOOKUP($F348,Inventory!$A:$B,2,FALSE),""))</f>
        <v>LuminaCat Litter Lemon 5L</v>
      </c>
      <c r="H348" s="83">
        <v>1.0</v>
      </c>
      <c r="I348" s="84">
        <f t="shared" si="2"/>
        <v>250</v>
      </c>
      <c r="J348" s="85">
        <f>IF($F348="","",IFERROR(VLOOKUP($F348,Inventory!$A:$K,11,FALSE),0))</f>
        <v>280</v>
      </c>
      <c r="K348" s="85">
        <v>30.0</v>
      </c>
      <c r="L348" s="85">
        <f t="shared" si="3"/>
        <v>250</v>
      </c>
      <c r="M348" s="83" t="s">
        <v>330</v>
      </c>
      <c r="N348" s="85">
        <f>IF($F348="","",IFERROR(VLOOKUP($F348,Inventory!$A:$I,9,FALSE),0))</f>
        <v>190</v>
      </c>
      <c r="O348" s="85">
        <f t="shared" si="4"/>
        <v>190</v>
      </c>
      <c r="P348" s="85">
        <f t="shared" si="5"/>
        <v>60</v>
      </c>
      <c r="Q348" s="83"/>
      <c r="R348" s="118" t="str">
        <f>IF($E348="","",IF(COUNTIF($E$7:$E1545,$E348)&gt;1,"",IFERROR(VLOOKUP($E348,Orders!$A:$I,8,FALSE),"")))</f>
        <v/>
      </c>
      <c r="S348" s="118" t="str">
        <f>IF($E348="","",IF(COUNTIF($E$7:$E1545,$E348)&gt;1,"",IFERROR(VLOOKUP($E348,Orders!$A:$I,9,FALSE),"")))</f>
        <v/>
      </c>
      <c r="T348" s="88">
        <f t="shared" si="6"/>
        <v>60</v>
      </c>
      <c r="U348" s="88">
        <f>IF($F348="","",IF($E348="",T348,SUMIF(Sales!$E$7:$E$1506,$E348,Sales!$T$7:$T$1506)))</f>
        <v>60</v>
      </c>
      <c r="V348" s="49" t="str">
        <f t="shared" si="10"/>
        <v/>
      </c>
      <c r="W348" s="49" t="str">
        <f t="array" ref="W348">IF($V348="","",SUMPRODUCT((Sales!$V$7:$V$1506&lt;&gt;"")*(Sales!$E$7:$E$1506&lt;$E348))+1)</f>
        <v/>
      </c>
      <c r="X348" s="49">
        <f t="shared" si="11"/>
        <v>354</v>
      </c>
      <c r="Y348" s="49" t="str">
        <f t="shared" si="9"/>
        <v>202608-354</v>
      </c>
    </row>
    <row r="349" ht="14.25" customHeight="1">
      <c r="A349" s="141">
        <v>46252.0</v>
      </c>
      <c r="B349" s="142" t="s">
        <v>324</v>
      </c>
      <c r="C349" s="142" t="s">
        <v>365</v>
      </c>
      <c r="D349" s="142" t="s">
        <v>366</v>
      </c>
      <c r="E349" s="83"/>
      <c r="F349" s="83" t="s">
        <v>418</v>
      </c>
      <c r="G349" s="83" t="str">
        <f>IF($F349="","",IFERROR(VLOOKUP($F349,Inventory!$A:$B,2,FALSE),""))</f>
        <v>Drools &amp; Purepet Mixe Cat Food 250gm</v>
      </c>
      <c r="H349" s="83">
        <v>1.0</v>
      </c>
      <c r="I349" s="84">
        <f t="shared" si="2"/>
        <v>100</v>
      </c>
      <c r="J349" s="85">
        <f>IF($F349="","",IFERROR(VLOOKUP($F349,Inventory!$A:$K,11,FALSE),0))</f>
        <v>120</v>
      </c>
      <c r="K349" s="85">
        <v>20.0</v>
      </c>
      <c r="L349" s="85">
        <f t="shared" si="3"/>
        <v>100</v>
      </c>
      <c r="M349" s="83" t="s">
        <v>330</v>
      </c>
      <c r="N349" s="85">
        <f>IF($F349="","",IFERROR(VLOOKUP($F349,Inventory!$A:$I,9,FALSE),0))</f>
        <v>75.28333333</v>
      </c>
      <c r="O349" s="85">
        <f t="shared" si="4"/>
        <v>75.28333333</v>
      </c>
      <c r="P349" s="85">
        <f t="shared" si="5"/>
        <v>24.71666667</v>
      </c>
      <c r="Q349" s="83"/>
      <c r="R349" s="118" t="str">
        <f>IF($E349="","",IF(COUNTIF($E$7:$E1546,$E349)&gt;1,"",IFERROR(VLOOKUP($E349,Orders!$A:$I,8,FALSE),"")))</f>
        <v/>
      </c>
      <c r="S349" s="118" t="str">
        <f>IF($E349="","",IF(COUNTIF($E$7:$E1546,$E349)&gt;1,"",IFERROR(VLOOKUP($E349,Orders!$A:$I,9,FALSE),"")))</f>
        <v/>
      </c>
      <c r="T349" s="88">
        <f t="shared" si="6"/>
        <v>24.71666667</v>
      </c>
      <c r="U349" s="88">
        <f>IF($F349="","",IF($E349="",T349,SUMIF(Sales!$E$7:$E$1506,$E349,Sales!$T$7:$T$1506)))</f>
        <v>24.71666667</v>
      </c>
      <c r="V349" s="49" t="str">
        <f t="shared" si="10"/>
        <v/>
      </c>
      <c r="W349" s="49" t="str">
        <f t="array" ref="W349">IF($V349="","",SUMPRODUCT((Sales!$V$7:$V$1506&lt;&gt;"")*(Sales!$E$7:$E$1506&lt;$E349))+1)</f>
        <v/>
      </c>
      <c r="X349" s="49">
        <f t="shared" si="11"/>
        <v>354</v>
      </c>
      <c r="Y349" s="49" t="str">
        <f t="shared" si="9"/>
        <v>202608-354</v>
      </c>
    </row>
    <row r="350" ht="14.25" customHeight="1">
      <c r="A350" s="141">
        <v>46252.0</v>
      </c>
      <c r="B350" s="142" t="s">
        <v>324</v>
      </c>
      <c r="C350" s="142" t="s">
        <v>365</v>
      </c>
      <c r="D350" s="142" t="s">
        <v>366</v>
      </c>
      <c r="E350" s="83"/>
      <c r="F350" s="83" t="s">
        <v>179</v>
      </c>
      <c r="G350" s="83" t="str">
        <f>IF($F350="","",IFERROR(VLOOKUP($F350,Inventory!$A:$B,2,FALSE),""))</f>
        <v>Creamy Treat 15G (Purry &amp; Hyper Paws)</v>
      </c>
      <c r="H350" s="83">
        <v>3.0</v>
      </c>
      <c r="I350" s="84">
        <f t="shared" si="2"/>
        <v>16.667</v>
      </c>
      <c r="J350" s="85">
        <f>IF($F350="","",IFERROR(VLOOKUP($F350,Inventory!$A:$K,11,FALSE),0))</f>
        <v>20</v>
      </c>
      <c r="K350" s="85">
        <v>3.333</v>
      </c>
      <c r="L350" s="85">
        <f t="shared" si="3"/>
        <v>50.001</v>
      </c>
      <c r="M350" s="83" t="s">
        <v>330</v>
      </c>
      <c r="N350" s="85">
        <f>IF($F350="","",IFERROR(VLOOKUP($F350,Inventory!$A:$I,9,FALSE),0))</f>
        <v>8.147411853</v>
      </c>
      <c r="O350" s="85">
        <f t="shared" si="4"/>
        <v>24.44223556</v>
      </c>
      <c r="P350" s="85">
        <f t="shared" si="5"/>
        <v>25.55876444</v>
      </c>
      <c r="Q350" s="83"/>
      <c r="R350" s="118" t="str">
        <f>IF($E350="","",IF(COUNTIF($E$7:$E1547,$E350)&gt;1,"",IFERROR(VLOOKUP($E350,Orders!$A:$I,8,FALSE),"")))</f>
        <v/>
      </c>
      <c r="S350" s="118" t="str">
        <f>IF($E350="","",IF(COUNTIF($E$7:$E1547,$E350)&gt;1,"",IFERROR(VLOOKUP($E350,Orders!$A:$I,9,FALSE),"")))</f>
        <v/>
      </c>
      <c r="T350" s="88">
        <f t="shared" si="6"/>
        <v>25.55876444</v>
      </c>
      <c r="U350" s="88">
        <f>IF($F350="","",IF($E350="",T350,SUMIF(Sales!$E$7:$E$1506,$E350,Sales!$T$7:$T$1506)))</f>
        <v>25.55876444</v>
      </c>
      <c r="V350" s="49" t="str">
        <f t="shared" si="10"/>
        <v/>
      </c>
      <c r="W350" s="49" t="str">
        <f t="array" ref="W350">IF($V350="","",SUMPRODUCT((Sales!$V$7:$V$1506&lt;&gt;"")*(Sales!$E$7:$E$1506&lt;$E350))+1)</f>
        <v/>
      </c>
      <c r="X350" s="49">
        <f t="shared" si="11"/>
        <v>354</v>
      </c>
      <c r="Y350" s="49" t="str">
        <f t="shared" si="9"/>
        <v>202608-354</v>
      </c>
    </row>
    <row r="351" ht="14.25" customHeight="1">
      <c r="A351" s="141">
        <v>46252.0</v>
      </c>
      <c r="B351" s="142" t="s">
        <v>324</v>
      </c>
      <c r="C351" s="142" t="s">
        <v>365</v>
      </c>
      <c r="D351" s="142" t="s">
        <v>366</v>
      </c>
      <c r="E351" s="83"/>
      <c r="F351" s="83" t="s">
        <v>211</v>
      </c>
      <c r="G351" s="83" t="str">
        <f>IF($F351="","",IFERROR(VLOOKUP($F351,Inventory!$A:$B,2,FALSE),""))</f>
        <v>Smart Heart Pouch  Tuna With Chicken in Jelly</v>
      </c>
      <c r="H351" s="83">
        <v>1.0</v>
      </c>
      <c r="I351" s="84">
        <f t="shared" si="2"/>
        <v>90</v>
      </c>
      <c r="J351" s="85">
        <f>IF($F351="","",IFERROR(VLOOKUP($F351,Inventory!$A:$K,11,FALSE),0))</f>
        <v>95</v>
      </c>
      <c r="K351" s="85">
        <v>5.0</v>
      </c>
      <c r="L351" s="85">
        <f t="shared" si="3"/>
        <v>90</v>
      </c>
      <c r="M351" s="83" t="s">
        <v>330</v>
      </c>
      <c r="N351" s="85">
        <f>IF($F351="","",IFERROR(VLOOKUP($F351,Inventory!$A:$I,9,FALSE),0))</f>
        <v>71.9047619</v>
      </c>
      <c r="O351" s="85">
        <f t="shared" si="4"/>
        <v>71.9047619</v>
      </c>
      <c r="P351" s="85">
        <f t="shared" si="5"/>
        <v>18.0952381</v>
      </c>
      <c r="Q351" s="83"/>
      <c r="R351" s="118" t="str">
        <f>IF($E351="","",IF(COUNTIF($E$7:$E1548,$E351)&gt;1,"",IFERROR(VLOOKUP($E351,Orders!$A:$I,8,FALSE),"")))</f>
        <v/>
      </c>
      <c r="S351" s="118" t="str">
        <f>IF($E351="","",IF(COUNTIF($E$7:$E1548,$E351)&gt;1,"",IFERROR(VLOOKUP($E351,Orders!$A:$I,9,FALSE),"")))</f>
        <v/>
      </c>
      <c r="T351" s="88">
        <f t="shared" si="6"/>
        <v>18.0952381</v>
      </c>
      <c r="U351" s="88">
        <f>IF($F351="","",IF($E351="",T351,SUMIF(Sales!$E$7:$E$1506,$E351,Sales!$T$7:$T$1506)))</f>
        <v>18.0952381</v>
      </c>
      <c r="V351" s="49" t="str">
        <f t="shared" si="10"/>
        <v/>
      </c>
      <c r="W351" s="49" t="str">
        <f t="array" ref="W351">IF($V351="","",SUMPRODUCT((Sales!$V$7:$V$1506&lt;&gt;"")*(Sales!$E$7:$E$1506&lt;$E351))+1)</f>
        <v/>
      </c>
      <c r="X351" s="49">
        <f t="shared" si="11"/>
        <v>354</v>
      </c>
      <c r="Y351" s="49" t="str">
        <f t="shared" si="9"/>
        <v>202608-354</v>
      </c>
    </row>
    <row r="352" ht="14.25" customHeight="1">
      <c r="A352" s="141">
        <v>46252.0</v>
      </c>
      <c r="B352" s="142" t="s">
        <v>324</v>
      </c>
      <c r="C352" s="142" t="s">
        <v>365</v>
      </c>
      <c r="D352" s="142" t="s">
        <v>366</v>
      </c>
      <c r="E352" s="83"/>
      <c r="F352" s="83" t="s">
        <v>179</v>
      </c>
      <c r="G352" s="83" t="str">
        <f>IF($F352="","",IFERROR(VLOOKUP($F352,Inventory!$A:$B,2,FALSE),""))</f>
        <v>Creamy Treat 15G (Purry &amp; Hyper Paws)</v>
      </c>
      <c r="H352" s="83">
        <v>2.0</v>
      </c>
      <c r="I352" s="84">
        <f t="shared" si="2"/>
        <v>20</v>
      </c>
      <c r="J352" s="85">
        <f>IF($F352="","",IFERROR(VLOOKUP($F352,Inventory!$A:$K,11,FALSE),0))</f>
        <v>20</v>
      </c>
      <c r="K352" s="85"/>
      <c r="L352" s="85">
        <f t="shared" si="3"/>
        <v>40</v>
      </c>
      <c r="M352" s="83" t="s">
        <v>330</v>
      </c>
      <c r="N352" s="85">
        <f>IF($F352="","",IFERROR(VLOOKUP($F352,Inventory!$A:$I,9,FALSE),0))</f>
        <v>8.147411853</v>
      </c>
      <c r="O352" s="85">
        <f t="shared" si="4"/>
        <v>16.29482371</v>
      </c>
      <c r="P352" s="85">
        <f t="shared" si="5"/>
        <v>23.70517629</v>
      </c>
      <c r="Q352" s="83"/>
      <c r="R352" s="118" t="str">
        <f>IF($E352="","",IF(COUNTIF($E$7:$E1549,$E352)&gt;1,"",IFERROR(VLOOKUP($E352,Orders!$A:$I,8,FALSE),"")))</f>
        <v/>
      </c>
      <c r="S352" s="118" t="str">
        <f>IF($E352="","",IF(COUNTIF($E$7:$E1549,$E352)&gt;1,"",IFERROR(VLOOKUP($E352,Orders!$A:$I,9,FALSE),"")))</f>
        <v/>
      </c>
      <c r="T352" s="88">
        <f t="shared" si="6"/>
        <v>23.70517629</v>
      </c>
      <c r="U352" s="88">
        <f>IF($F352="","",IF($E352="",T352,SUMIF(Sales!$E$7:$E$1506,$E352,Sales!$T$7:$T$1506)))</f>
        <v>23.70517629</v>
      </c>
      <c r="V352" s="49" t="str">
        <f t="shared" si="10"/>
        <v/>
      </c>
      <c r="W352" s="49" t="str">
        <f t="array" ref="W352">IF($V352="","",SUMPRODUCT((Sales!$V$7:$V$1506&lt;&gt;"")*(Sales!$E$7:$E$1506&lt;$E352))+1)</f>
        <v/>
      </c>
      <c r="X352" s="49">
        <f t="shared" si="11"/>
        <v>354</v>
      </c>
      <c r="Y352" s="49" t="str">
        <f t="shared" si="9"/>
        <v>202608-354</v>
      </c>
    </row>
    <row r="353" ht="14.25" customHeight="1">
      <c r="A353" s="141">
        <v>46252.0</v>
      </c>
      <c r="B353" s="142" t="s">
        <v>324</v>
      </c>
      <c r="C353" s="142" t="s">
        <v>365</v>
      </c>
      <c r="D353" s="83" t="s">
        <v>577</v>
      </c>
      <c r="E353" s="83" t="s">
        <v>577</v>
      </c>
      <c r="F353" s="83" t="s">
        <v>104</v>
      </c>
      <c r="G353" s="83" t="str">
        <f>IF($F353="","",IFERROR(VLOOKUP($F353,Inventory!$A:$B,2,FALSE),""))</f>
        <v>Nekko Pouch Tuna in Jelly</v>
      </c>
      <c r="H353" s="83">
        <v>1.0</v>
      </c>
      <c r="I353" s="84">
        <f t="shared" si="2"/>
        <v>82</v>
      </c>
      <c r="J353" s="85">
        <f>IF($F353="","",IFERROR(VLOOKUP($F353,Inventory!$A:$K,11,FALSE),0))</f>
        <v>90</v>
      </c>
      <c r="K353" s="85">
        <v>8.0</v>
      </c>
      <c r="L353" s="85">
        <f t="shared" si="3"/>
        <v>82</v>
      </c>
      <c r="M353" s="83" t="s">
        <v>596</v>
      </c>
      <c r="N353" s="85">
        <f>IF($F353="","",IFERROR(VLOOKUP($F353,Inventory!$A:$I,9,FALSE),0))</f>
        <v>65.17241379</v>
      </c>
      <c r="O353" s="85">
        <f t="shared" si="4"/>
        <v>65.17241379</v>
      </c>
      <c r="P353" s="85">
        <f t="shared" si="5"/>
        <v>16.82758621</v>
      </c>
      <c r="Q353" s="83"/>
      <c r="R353" s="118" t="str">
        <f>IF($E353="","",IF(COUNTIF($E$7:$E1550,$E353)&gt;1,"",IFERROR(VLOOKUP($E353,Orders!$A:$I,8,FALSE),"")))</f>
        <v/>
      </c>
      <c r="S353" s="118" t="str">
        <f>IF($E353="","",IF(COUNTIF($E$7:$E1550,$E353)&gt;1,"",IFERROR(VLOOKUP($E353,Orders!$A:$I,9,FALSE),"")))</f>
        <v/>
      </c>
      <c r="T353" s="88">
        <f t="shared" si="6"/>
        <v>16.82758621</v>
      </c>
      <c r="U353" s="88">
        <f>IF($F353="","",IF($E353="",T353,SUMIF(Sales!$E$7:$E$1506,$E353,Sales!$T$7:$T$1506)))</f>
        <v>41.82758621</v>
      </c>
      <c r="V353" s="49" t="str">
        <f t="shared" si="10"/>
        <v/>
      </c>
      <c r="W353" s="49" t="str">
        <f t="array" ref="W353">IF($V353="","",SUMPRODUCT((Sales!$V$7:$V$1506&lt;&gt;"")*(Sales!$E$7:$E$1506&lt;$E353))+1)</f>
        <v/>
      </c>
      <c r="X353" s="49">
        <f t="shared" si="11"/>
        <v>354</v>
      </c>
      <c r="Y353" s="49" t="str">
        <f t="shared" si="9"/>
        <v>202608-354</v>
      </c>
    </row>
    <row r="354" ht="14.25" customHeight="1">
      <c r="A354" s="141">
        <v>46253.0</v>
      </c>
      <c r="B354" s="142" t="s">
        <v>324</v>
      </c>
      <c r="C354" s="142" t="s">
        <v>365</v>
      </c>
      <c r="D354" s="142" t="s">
        <v>366</v>
      </c>
      <c r="E354" s="83"/>
      <c r="F354" s="83" t="s">
        <v>440</v>
      </c>
      <c r="G354" s="83" t="str">
        <f>IF($F354="","",IFERROR(VLOOKUP($F354,Inventory!$A:$B,2,FALSE),""))</f>
        <v>Smart Heart Kitten Chicken, Fish, Egg &amp; Milk 450gm</v>
      </c>
      <c r="H354" s="83">
        <v>1.0</v>
      </c>
      <c r="I354" s="84">
        <f t="shared" si="2"/>
        <v>350</v>
      </c>
      <c r="J354" s="85">
        <f>IF($F354="","",IFERROR(VLOOKUP($F354,Inventory!$A:$K,11,FALSE),0))</f>
        <v>380</v>
      </c>
      <c r="K354" s="85">
        <v>30.0</v>
      </c>
      <c r="L354" s="85">
        <f t="shared" si="3"/>
        <v>350</v>
      </c>
      <c r="M354" s="83" t="s">
        <v>330</v>
      </c>
      <c r="N354" s="85">
        <f>IF($F354="","",IFERROR(VLOOKUP($F354,Inventory!$A:$I,9,FALSE),0))</f>
        <v>308</v>
      </c>
      <c r="O354" s="85">
        <f t="shared" si="4"/>
        <v>308</v>
      </c>
      <c r="P354" s="85">
        <f t="shared" si="5"/>
        <v>42</v>
      </c>
      <c r="Q354" s="83"/>
      <c r="R354" s="118" t="str">
        <f>IF($E354="","",IF(COUNTIF($E$7:$E1551,$E354)&gt;1,"",IFERROR(VLOOKUP($E354,Orders!$A:$I,8,FALSE),"")))</f>
        <v/>
      </c>
      <c r="S354" s="118" t="str">
        <f>IF($E354="","",IF(COUNTIF($E$7:$E1551,$E354)&gt;1,"",IFERROR(VLOOKUP($E354,Orders!$A:$I,9,FALSE),"")))</f>
        <v/>
      </c>
      <c r="T354" s="88">
        <f t="shared" si="6"/>
        <v>42</v>
      </c>
      <c r="U354" s="88">
        <f>IF($F354="","",IF($E354="",T354,SUMIF(Sales!$E$7:$E$1506,$E354,Sales!$T$7:$T$1506)))</f>
        <v>42</v>
      </c>
      <c r="V354" s="49" t="str">
        <f t="shared" si="10"/>
        <v/>
      </c>
      <c r="W354" s="49" t="str">
        <f t="array" ref="W354">IF($V354="","",SUMPRODUCT((Sales!$V$7:$V$1506&lt;&gt;"")*(Sales!$E$7:$E$1506&lt;$E354))+1)</f>
        <v/>
      </c>
      <c r="X354" s="49">
        <f t="shared" si="11"/>
        <v>354</v>
      </c>
      <c r="Y354" s="49" t="str">
        <f t="shared" si="9"/>
        <v>202608-354</v>
      </c>
    </row>
    <row r="355" ht="14.25" customHeight="1">
      <c r="A355" s="141">
        <v>46253.0</v>
      </c>
      <c r="B355" s="142" t="s">
        <v>324</v>
      </c>
      <c r="C355" s="142" t="s">
        <v>365</v>
      </c>
      <c r="D355" s="142" t="s">
        <v>366</v>
      </c>
      <c r="E355" s="83"/>
      <c r="F355" s="83" t="s">
        <v>240</v>
      </c>
      <c r="G355" s="83" t="str">
        <f>IF($F355="","",IFERROR(VLOOKUP($F355,Inventory!$A:$B,2,FALSE),""))</f>
        <v>Cat Belt Radium</v>
      </c>
      <c r="H355" s="83">
        <v>1.0</v>
      </c>
      <c r="I355" s="84">
        <f t="shared" si="2"/>
        <v>90</v>
      </c>
      <c r="J355" s="85">
        <f>IF($F355="","",IFERROR(VLOOKUP($F355,Inventory!$A:$K,11,FALSE),0))</f>
        <v>110</v>
      </c>
      <c r="K355" s="85">
        <v>20.0</v>
      </c>
      <c r="L355" s="85">
        <f t="shared" si="3"/>
        <v>90</v>
      </c>
      <c r="M355" s="83" t="s">
        <v>330</v>
      </c>
      <c r="N355" s="85">
        <f>IF($F355="","",IFERROR(VLOOKUP($F355,Inventory!$A:$I,9,FALSE),0))</f>
        <v>65</v>
      </c>
      <c r="O355" s="85">
        <f t="shared" si="4"/>
        <v>65</v>
      </c>
      <c r="P355" s="85">
        <f t="shared" si="5"/>
        <v>25</v>
      </c>
      <c r="Q355" s="83"/>
      <c r="R355" s="118" t="str">
        <f>IF($E355="","",IF(COUNTIF($E$7:$E1552,$E355)&gt;1,"",IFERROR(VLOOKUP($E355,Orders!$A:$I,8,FALSE),"")))</f>
        <v/>
      </c>
      <c r="S355" s="118" t="str">
        <f>IF($E355="","",IF(COUNTIF($E$7:$E1552,$E355)&gt;1,"",IFERROR(VLOOKUP($E355,Orders!$A:$I,9,FALSE),"")))</f>
        <v/>
      </c>
      <c r="T355" s="88">
        <f t="shared" si="6"/>
        <v>25</v>
      </c>
      <c r="U355" s="88">
        <f>IF($F355="","",IF($E355="",T355,SUMIF(Sales!$E$7:$E$1506,$E355,Sales!$T$7:$T$1506)))</f>
        <v>25</v>
      </c>
      <c r="V355" s="49" t="str">
        <f t="shared" si="10"/>
        <v/>
      </c>
      <c r="W355" s="49" t="str">
        <f t="array" ref="W355">IF($V355="","",SUMPRODUCT((Sales!$V$7:$V$1506&lt;&gt;"")*(Sales!$E$7:$E$1506&lt;$E355))+1)</f>
        <v/>
      </c>
      <c r="X355" s="49">
        <f t="shared" si="11"/>
        <v>354</v>
      </c>
      <c r="Y355" s="49" t="str">
        <f t="shared" si="9"/>
        <v>202608-354</v>
      </c>
    </row>
    <row r="356" ht="14.25" customHeight="1">
      <c r="A356" s="141">
        <v>46253.0</v>
      </c>
      <c r="B356" s="142" t="s">
        <v>324</v>
      </c>
      <c r="C356" s="142" t="s">
        <v>365</v>
      </c>
      <c r="D356" s="142" t="s">
        <v>366</v>
      </c>
      <c r="E356" s="83"/>
      <c r="F356" s="83" t="s">
        <v>299</v>
      </c>
      <c r="G356" s="83" t="str">
        <f>IF($F356="","",IFERROR(VLOOKUP($F356,Inventory!$A:$B,2,FALSE),""))</f>
        <v>Cat Belt Harness  Zinch</v>
      </c>
      <c r="H356" s="83">
        <v>1.0</v>
      </c>
      <c r="I356" s="84">
        <f t="shared" si="2"/>
        <v>300</v>
      </c>
      <c r="J356" s="85">
        <f>IF($F356="","",IFERROR(VLOOKUP($F356,Inventory!$A:$K,11,FALSE),0))</f>
        <v>360</v>
      </c>
      <c r="K356" s="85">
        <v>60.0</v>
      </c>
      <c r="L356" s="85">
        <f t="shared" si="3"/>
        <v>300</v>
      </c>
      <c r="M356" s="83" t="s">
        <v>330</v>
      </c>
      <c r="N356" s="85">
        <f>IF($F356="","",IFERROR(VLOOKUP($F356,Inventory!$A:$I,9,FALSE),0))</f>
        <v>230</v>
      </c>
      <c r="O356" s="85">
        <f t="shared" si="4"/>
        <v>230</v>
      </c>
      <c r="P356" s="85">
        <f t="shared" si="5"/>
        <v>70</v>
      </c>
      <c r="Q356" s="83"/>
      <c r="R356" s="118" t="str">
        <f>IF($E356="","",IF(COUNTIF($E$7:$E1553,$E356)&gt;1,"",IFERROR(VLOOKUP($E356,Orders!$A:$I,8,FALSE),"")))</f>
        <v/>
      </c>
      <c r="S356" s="118" t="str">
        <f>IF($E356="","",IF(COUNTIF($E$7:$E1553,$E356)&gt;1,"",IFERROR(VLOOKUP($E356,Orders!$A:$I,9,FALSE),"")))</f>
        <v/>
      </c>
      <c r="T356" s="88">
        <f t="shared" si="6"/>
        <v>70</v>
      </c>
      <c r="U356" s="88">
        <f>IF($F356="","",IF($E356="",T356,SUMIF(Sales!$E$7:$E$1506,$E356,Sales!$T$7:$T$1506)))</f>
        <v>70</v>
      </c>
      <c r="V356" s="49" t="str">
        <f t="shared" si="10"/>
        <v/>
      </c>
      <c r="W356" s="49" t="str">
        <f t="array" ref="W356">IF($V356="","",SUMPRODUCT((Sales!$V$7:$V$1506&lt;&gt;"")*(Sales!$E$7:$E$1506&lt;$E356))+1)</f>
        <v/>
      </c>
      <c r="X356" s="49">
        <f t="shared" si="11"/>
        <v>354</v>
      </c>
      <c r="Y356" s="49" t="str">
        <f t="shared" si="9"/>
        <v>202608-354</v>
      </c>
    </row>
    <row r="357" ht="14.25" customHeight="1">
      <c r="A357" s="141">
        <v>46253.0</v>
      </c>
      <c r="B357" s="142" t="s">
        <v>324</v>
      </c>
      <c r="C357" s="142" t="s">
        <v>365</v>
      </c>
      <c r="D357" s="142" t="s">
        <v>366</v>
      </c>
      <c r="E357" s="83"/>
      <c r="F357" s="83" t="s">
        <v>452</v>
      </c>
      <c r="G357" s="83" t="str">
        <f>IF($F357="","",IFERROR(VLOOKUP($F357,Inventory!$A:$B,2,FALSE),""))</f>
        <v>Dr Clump Lemon Falvor 10L</v>
      </c>
      <c r="H357" s="83">
        <v>1.0</v>
      </c>
      <c r="I357" s="84">
        <f t="shared" si="2"/>
        <v>580</v>
      </c>
      <c r="J357" s="85">
        <f>IF($F357="","",IFERROR(VLOOKUP($F357,Inventory!$A:$K,11,FALSE),0))</f>
        <v>600</v>
      </c>
      <c r="K357" s="85">
        <v>20.0</v>
      </c>
      <c r="L357" s="85">
        <f t="shared" si="3"/>
        <v>580</v>
      </c>
      <c r="M357" s="83" t="s">
        <v>330</v>
      </c>
      <c r="N357" s="85">
        <f>IF($F357="","",IFERROR(VLOOKUP($F357,Inventory!$A:$I,9,FALSE),0))</f>
        <v>435</v>
      </c>
      <c r="O357" s="85">
        <f t="shared" si="4"/>
        <v>435</v>
      </c>
      <c r="P357" s="85">
        <f t="shared" si="5"/>
        <v>145</v>
      </c>
      <c r="Q357" s="83"/>
      <c r="R357" s="118" t="str">
        <f>IF($E357="","",IF(COUNTIF($E$7:$E1554,$E357)&gt;1,"",IFERROR(VLOOKUP($E357,Orders!$A:$I,8,FALSE),"")))</f>
        <v/>
      </c>
      <c r="S357" s="118" t="str">
        <f>IF($E357="","",IF(COUNTIF($E$7:$E1554,$E357)&gt;1,"",IFERROR(VLOOKUP($E357,Orders!$A:$I,9,FALSE),"")))</f>
        <v/>
      </c>
      <c r="T357" s="88">
        <f t="shared" si="6"/>
        <v>145</v>
      </c>
      <c r="U357" s="88">
        <f>IF($F357="","",IF($E357="",T357,SUMIF(Sales!$E$7:$E$1506,$E357,Sales!$T$7:$T$1506)))</f>
        <v>145</v>
      </c>
      <c r="V357" s="49" t="str">
        <f t="shared" si="10"/>
        <v/>
      </c>
      <c r="W357" s="49" t="str">
        <f t="array" ref="W357">IF($V357="","",SUMPRODUCT((Sales!$V$7:$V$1506&lt;&gt;"")*(Sales!$E$7:$E$1506&lt;$E357))+1)</f>
        <v/>
      </c>
      <c r="X357" s="49">
        <f t="shared" si="11"/>
        <v>354</v>
      </c>
      <c r="Y357" s="49" t="str">
        <f t="shared" si="9"/>
        <v>202608-354</v>
      </c>
    </row>
    <row r="358" ht="14.25" customHeight="1">
      <c r="A358" s="141">
        <v>46253.0</v>
      </c>
      <c r="B358" s="142" t="s">
        <v>324</v>
      </c>
      <c r="C358" s="142" t="s">
        <v>365</v>
      </c>
      <c r="D358" s="142" t="s">
        <v>366</v>
      </c>
      <c r="E358" s="83"/>
      <c r="F358" s="83" t="s">
        <v>209</v>
      </c>
      <c r="G358" s="83" t="str">
        <f>IF($F358="","",IFERROR(VLOOKUP($F358,Inventory!$A:$B,2,FALSE),""))</f>
        <v>Smart Heart Pouch Tuna in Jelly Kitten</v>
      </c>
      <c r="H358" s="83">
        <v>6.0</v>
      </c>
      <c r="I358" s="84">
        <f t="shared" si="2"/>
        <v>81.6667</v>
      </c>
      <c r="J358" s="85">
        <f>IF($F358="","",IFERROR(VLOOKUP($F358,Inventory!$A:$K,11,FALSE),0))</f>
        <v>95</v>
      </c>
      <c r="K358" s="85">
        <v>13.3333</v>
      </c>
      <c r="L358" s="85">
        <f t="shared" si="3"/>
        <v>490.0002</v>
      </c>
      <c r="M358" s="83" t="s">
        <v>330</v>
      </c>
      <c r="N358" s="85">
        <f>IF($F358="","",IFERROR(VLOOKUP($F358,Inventory!$A:$I,9,FALSE),0))</f>
        <v>72</v>
      </c>
      <c r="O358" s="85">
        <f t="shared" si="4"/>
        <v>432</v>
      </c>
      <c r="P358" s="85">
        <f t="shared" si="5"/>
        <v>58.0002</v>
      </c>
      <c r="Q358" s="83"/>
      <c r="R358" s="118" t="str">
        <f>IF($E358="","",IF(COUNTIF($E$7:$E1555,$E358)&gt;1,"",IFERROR(VLOOKUP($E358,Orders!$A:$I,8,FALSE),"")))</f>
        <v/>
      </c>
      <c r="S358" s="118" t="str">
        <f>IF($E358="","",IF(COUNTIF($E$7:$E1555,$E358)&gt;1,"",IFERROR(VLOOKUP($E358,Orders!$A:$I,9,FALSE),"")))</f>
        <v/>
      </c>
      <c r="T358" s="88">
        <f t="shared" si="6"/>
        <v>58.0002</v>
      </c>
      <c r="U358" s="88">
        <f>IF($F358="","",IF($E358="",T358,SUMIF(Sales!$E$7:$E$1506,$E358,Sales!$T$7:$T$1506)))</f>
        <v>58.0002</v>
      </c>
      <c r="V358" s="49" t="str">
        <f t="shared" si="10"/>
        <v/>
      </c>
      <c r="W358" s="49" t="str">
        <f t="array" ref="W358">IF($V358="","",SUMPRODUCT((Sales!$V$7:$V$1506&lt;&gt;"")*(Sales!$E$7:$E$1506&lt;$E358))+1)</f>
        <v/>
      </c>
      <c r="X358" s="49">
        <f t="shared" si="11"/>
        <v>354</v>
      </c>
      <c r="Y358" s="49" t="str">
        <f t="shared" si="9"/>
        <v>202608-354</v>
      </c>
    </row>
    <row r="359" ht="14.25" customHeight="1">
      <c r="A359" s="141">
        <v>46254.0</v>
      </c>
      <c r="B359" s="142" t="s">
        <v>324</v>
      </c>
      <c r="C359" s="142" t="s">
        <v>365</v>
      </c>
      <c r="D359" s="142" t="s">
        <v>366</v>
      </c>
      <c r="E359" s="83"/>
      <c r="F359" s="83" t="s">
        <v>391</v>
      </c>
      <c r="G359" s="83" t="str">
        <f>IF($F359="","",IFERROR(VLOOKUP($F359,Inventory!$A:$B,2,FALSE),""))</f>
        <v>LuminaCat Litter Coffee 5L</v>
      </c>
      <c r="H359" s="83">
        <v>1.0</v>
      </c>
      <c r="I359" s="84">
        <f t="shared" si="2"/>
        <v>280</v>
      </c>
      <c r="J359" s="85">
        <f>IF($F359="","",IFERROR(VLOOKUP($F359,Inventory!$A:$K,11,FALSE),0))</f>
        <v>280</v>
      </c>
      <c r="K359" s="85"/>
      <c r="L359" s="85">
        <f t="shared" si="3"/>
        <v>280</v>
      </c>
      <c r="M359" s="83" t="s">
        <v>330</v>
      </c>
      <c r="N359" s="85">
        <f>IF($F359="","",IFERROR(VLOOKUP($F359,Inventory!$A:$I,9,FALSE),0))</f>
        <v>190</v>
      </c>
      <c r="O359" s="85">
        <f t="shared" si="4"/>
        <v>190</v>
      </c>
      <c r="P359" s="85">
        <f t="shared" si="5"/>
        <v>90</v>
      </c>
      <c r="Q359" s="83"/>
      <c r="R359" s="118" t="str">
        <f>IF($E359="","",IF(COUNTIF($E$7:$E1556,$E359)&gt;1,"",IFERROR(VLOOKUP($E359,Orders!$A:$I,8,FALSE),"")))</f>
        <v/>
      </c>
      <c r="S359" s="118" t="str">
        <f>IF($E359="","",IF(COUNTIF($E$7:$E1556,$E359)&gt;1,"",IFERROR(VLOOKUP($E359,Orders!$A:$I,9,FALSE),"")))</f>
        <v/>
      </c>
      <c r="T359" s="88">
        <f t="shared" si="6"/>
        <v>90</v>
      </c>
      <c r="U359" s="88">
        <f>IF($F359="","",IF($E359="",T359,SUMIF(Sales!$E$7:$E$1506,$E359,Sales!$T$7:$T$1506)))</f>
        <v>90</v>
      </c>
      <c r="V359" s="49" t="str">
        <f t="shared" si="10"/>
        <v/>
      </c>
      <c r="W359" s="49" t="str">
        <f t="array" ref="W359">IF($V359="","",SUMPRODUCT((Sales!$V$7:$V$1506&lt;&gt;"")*(Sales!$E$7:$E$1506&lt;$E359))+1)</f>
        <v/>
      </c>
      <c r="X359" s="49">
        <f t="shared" si="11"/>
        <v>354</v>
      </c>
      <c r="Y359" s="49" t="str">
        <f t="shared" si="9"/>
        <v>202608-354</v>
      </c>
    </row>
    <row r="360" ht="14.25" customHeight="1">
      <c r="A360" s="141">
        <v>46254.0</v>
      </c>
      <c r="B360" s="142" t="s">
        <v>324</v>
      </c>
      <c r="C360" s="142" t="s">
        <v>365</v>
      </c>
      <c r="D360" s="142" t="s">
        <v>366</v>
      </c>
      <c r="E360" s="83"/>
      <c r="F360" s="83" t="s">
        <v>405</v>
      </c>
      <c r="G360" s="83" t="str">
        <f>IF($F360="","",IFERROR(VLOOKUP($F360,Inventory!$A:$B,2,FALSE),""))</f>
        <v>LuminaCat Litter Lemon 25L</v>
      </c>
      <c r="H360" s="83">
        <v>1.0</v>
      </c>
      <c r="I360" s="84">
        <f t="shared" si="2"/>
        <v>1150</v>
      </c>
      <c r="J360" s="85">
        <f>IF($F360="","",IFERROR(VLOOKUP($F360,Inventory!$A:$K,11,FALSE),0))</f>
        <v>1350</v>
      </c>
      <c r="K360" s="85">
        <v>200.0</v>
      </c>
      <c r="L360" s="85">
        <f t="shared" si="3"/>
        <v>1150</v>
      </c>
      <c r="M360" s="83" t="s">
        <v>330</v>
      </c>
      <c r="N360" s="85">
        <f>IF($F360="","",IFERROR(VLOOKUP($F360,Inventory!$A:$I,9,FALSE),0))</f>
        <v>950</v>
      </c>
      <c r="O360" s="85">
        <f t="shared" si="4"/>
        <v>950</v>
      </c>
      <c r="P360" s="85">
        <f t="shared" si="5"/>
        <v>200</v>
      </c>
      <c r="Q360" s="83"/>
      <c r="R360" s="118" t="str">
        <f>IF($E360="","",IF(COUNTIF($E$7:$E1557,$E360)&gt;1,"",IFERROR(VLOOKUP($E360,Orders!$A:$I,8,FALSE),"")))</f>
        <v/>
      </c>
      <c r="S360" s="118" t="str">
        <f>IF($E360="","",IF(COUNTIF($E$7:$E1557,$E360)&gt;1,"",IFERROR(VLOOKUP($E360,Orders!$A:$I,9,FALSE),"")))</f>
        <v/>
      </c>
      <c r="T360" s="88">
        <f t="shared" si="6"/>
        <v>200</v>
      </c>
      <c r="U360" s="88">
        <f>IF($F360="","",IF($E360="",T360,SUMIF(Sales!$E$7:$E$1506,$E360,Sales!$T$7:$T$1506)))</f>
        <v>200</v>
      </c>
      <c r="V360" s="49" t="str">
        <f t="shared" si="10"/>
        <v/>
      </c>
      <c r="W360" s="49" t="str">
        <f t="array" ref="W360">IF($V360="","",SUMPRODUCT((Sales!$V$7:$V$1506&lt;&gt;"")*(Sales!$E$7:$E$1506&lt;$E360))+1)</f>
        <v/>
      </c>
      <c r="X360" s="49">
        <f t="shared" si="11"/>
        <v>354</v>
      </c>
      <c r="Y360" s="49" t="str">
        <f t="shared" si="9"/>
        <v>202608-354</v>
      </c>
    </row>
    <row r="361" ht="14.25" customHeight="1">
      <c r="A361" s="141">
        <v>46254.0</v>
      </c>
      <c r="B361" s="142" t="s">
        <v>324</v>
      </c>
      <c r="C361" s="142" t="s">
        <v>365</v>
      </c>
      <c r="D361" s="142" t="s">
        <v>366</v>
      </c>
      <c r="E361" s="83"/>
      <c r="F361" s="83" t="s">
        <v>440</v>
      </c>
      <c r="G361" s="83" t="str">
        <f>IF($F361="","",IFERROR(VLOOKUP($F361,Inventory!$A:$B,2,FALSE),""))</f>
        <v>Smart Heart Kitten Chicken, Fish, Egg &amp; Milk 450gm</v>
      </c>
      <c r="H361" s="83">
        <v>1.0</v>
      </c>
      <c r="I361" s="84">
        <f t="shared" si="2"/>
        <v>350</v>
      </c>
      <c r="J361" s="85">
        <f>IF($F361="","",IFERROR(VLOOKUP($F361,Inventory!$A:$K,11,FALSE),0))</f>
        <v>380</v>
      </c>
      <c r="K361" s="85">
        <v>30.0</v>
      </c>
      <c r="L361" s="85">
        <f t="shared" si="3"/>
        <v>350</v>
      </c>
      <c r="M361" s="83" t="s">
        <v>330</v>
      </c>
      <c r="N361" s="85">
        <f>IF($F361="","",IFERROR(VLOOKUP($F361,Inventory!$A:$I,9,FALSE),0))</f>
        <v>308</v>
      </c>
      <c r="O361" s="85">
        <f t="shared" si="4"/>
        <v>308</v>
      </c>
      <c r="P361" s="85">
        <f t="shared" si="5"/>
        <v>42</v>
      </c>
      <c r="Q361" s="83"/>
      <c r="R361" s="118" t="str">
        <f>IF($E361="","",IF(COUNTIF($E$7:$E1558,$E361)&gt;1,"",IFERROR(VLOOKUP($E361,Orders!$A:$I,8,FALSE),"")))</f>
        <v/>
      </c>
      <c r="S361" s="118" t="str">
        <f>IF($E361="","",IF(COUNTIF($E$7:$E1558,$E361)&gt;1,"",IFERROR(VLOOKUP($E361,Orders!$A:$I,9,FALSE),"")))</f>
        <v/>
      </c>
      <c r="T361" s="88">
        <f t="shared" si="6"/>
        <v>42</v>
      </c>
      <c r="U361" s="88">
        <f>IF($F361="","",IF($E361="",T361,SUMIF(Sales!$E$7:$E$1506,$E361,Sales!$T$7:$T$1506)))</f>
        <v>42</v>
      </c>
      <c r="V361" s="49" t="str">
        <f t="shared" si="10"/>
        <v/>
      </c>
      <c r="W361" s="49" t="str">
        <f t="array" ref="W361">IF($V361="","",SUMPRODUCT((Sales!$V$7:$V$1506&lt;&gt;"")*(Sales!$E$7:$E$1506&lt;$E361))+1)</f>
        <v/>
      </c>
      <c r="X361" s="49">
        <f t="shared" si="11"/>
        <v>354</v>
      </c>
      <c r="Y361" s="49" t="str">
        <f t="shared" si="9"/>
        <v>202608-354</v>
      </c>
    </row>
    <row r="362" ht="14.25" customHeight="1">
      <c r="A362" s="141">
        <v>46254.0</v>
      </c>
      <c r="B362" s="142" t="s">
        <v>324</v>
      </c>
      <c r="C362" s="142" t="s">
        <v>365</v>
      </c>
      <c r="D362" s="142" t="s">
        <v>366</v>
      </c>
      <c r="E362" s="83"/>
      <c r="F362" s="83" t="s">
        <v>104</v>
      </c>
      <c r="G362" s="83" t="str">
        <f>IF($F362="","",IFERROR(VLOOKUP($F362,Inventory!$A:$B,2,FALSE),""))</f>
        <v>Nekko Pouch Tuna in Jelly</v>
      </c>
      <c r="H362" s="83">
        <v>1.0</v>
      </c>
      <c r="I362" s="84">
        <f t="shared" si="2"/>
        <v>82</v>
      </c>
      <c r="J362" s="85">
        <f>IF($F362="","",IFERROR(VLOOKUP($F362,Inventory!$A:$K,11,FALSE),0))</f>
        <v>90</v>
      </c>
      <c r="K362" s="85">
        <v>8.0</v>
      </c>
      <c r="L362" s="85">
        <f t="shared" si="3"/>
        <v>82</v>
      </c>
      <c r="M362" s="83" t="s">
        <v>330</v>
      </c>
      <c r="N362" s="85">
        <f>IF($F362="","",IFERROR(VLOOKUP($F362,Inventory!$A:$I,9,FALSE),0))</f>
        <v>65.17241379</v>
      </c>
      <c r="O362" s="85">
        <f t="shared" si="4"/>
        <v>65.17241379</v>
      </c>
      <c r="P362" s="85">
        <f t="shared" si="5"/>
        <v>16.82758621</v>
      </c>
      <c r="Q362" s="83"/>
      <c r="R362" s="118" t="str">
        <f>IF($E362="","",IF(COUNTIF($E$7:$E1559,$E362)&gt;1,"",IFERROR(VLOOKUP($E362,Orders!$A:$I,8,FALSE),"")))</f>
        <v/>
      </c>
      <c r="S362" s="118" t="str">
        <f>IF($E362="","",IF(COUNTIF($E$7:$E1559,$E362)&gt;1,"",IFERROR(VLOOKUP($E362,Orders!$A:$I,9,FALSE),"")))</f>
        <v/>
      </c>
      <c r="T362" s="88">
        <f t="shared" si="6"/>
        <v>16.82758621</v>
      </c>
      <c r="U362" s="88">
        <f>IF($F362="","",IF($E362="",T362,SUMIF(Sales!$E$7:$E$1506,$E362,Sales!$T$7:$T$1506)))</f>
        <v>16.82758621</v>
      </c>
      <c r="V362" s="49" t="str">
        <f t="shared" si="10"/>
        <v/>
      </c>
      <c r="W362" s="49" t="str">
        <f t="array" ref="W362">IF($V362="","",SUMPRODUCT((Sales!$V$7:$V$1506&lt;&gt;"")*(Sales!$E$7:$E$1506&lt;$E362))+1)</f>
        <v/>
      </c>
      <c r="X362" s="49">
        <f t="shared" si="11"/>
        <v>354</v>
      </c>
      <c r="Y362" s="49" t="str">
        <f t="shared" si="9"/>
        <v>202608-354</v>
      </c>
    </row>
    <row r="363" ht="14.25" customHeight="1">
      <c r="A363" s="141">
        <v>46254.0</v>
      </c>
      <c r="B363" s="142" t="s">
        <v>324</v>
      </c>
      <c r="C363" s="142" t="s">
        <v>365</v>
      </c>
      <c r="D363" s="142" t="s">
        <v>366</v>
      </c>
      <c r="E363" s="83"/>
      <c r="F363" s="83" t="s">
        <v>179</v>
      </c>
      <c r="G363" s="83" t="str">
        <f>IF($F363="","",IFERROR(VLOOKUP($F363,Inventory!$A:$B,2,FALSE),""))</f>
        <v>Creamy Treat 15G (Purry &amp; Hyper Paws)</v>
      </c>
      <c r="H363" s="83">
        <v>2.0</v>
      </c>
      <c r="I363" s="84">
        <f t="shared" si="2"/>
        <v>20</v>
      </c>
      <c r="J363" s="85">
        <f>IF($F363="","",IFERROR(VLOOKUP($F363,Inventory!$A:$K,11,FALSE),0))</f>
        <v>20</v>
      </c>
      <c r="K363" s="85">
        <v>0.0</v>
      </c>
      <c r="L363" s="85">
        <f t="shared" si="3"/>
        <v>40</v>
      </c>
      <c r="M363" s="83" t="s">
        <v>330</v>
      </c>
      <c r="N363" s="85">
        <f>IF($F363="","",IFERROR(VLOOKUP($F363,Inventory!$A:$I,9,FALSE),0))</f>
        <v>8.147411853</v>
      </c>
      <c r="O363" s="85">
        <f t="shared" si="4"/>
        <v>16.29482371</v>
      </c>
      <c r="P363" s="85">
        <f t="shared" si="5"/>
        <v>23.70517629</v>
      </c>
      <c r="Q363" s="83" t="s">
        <v>694</v>
      </c>
      <c r="R363" s="118" t="str">
        <f>IF($E363="","",IF(COUNTIF($E$7:$E1560,$E363)&gt;1,"",IFERROR(VLOOKUP($E363,Orders!$A:$I,8,FALSE),"")))</f>
        <v/>
      </c>
      <c r="S363" s="118" t="str">
        <f>IF($E363="","",IF(COUNTIF($E$7:$E1560,$E363)&gt;1,"",IFERROR(VLOOKUP($E363,Orders!$A:$I,9,FALSE),"")))</f>
        <v/>
      </c>
      <c r="T363" s="88">
        <f t="shared" si="6"/>
        <v>23.70517629</v>
      </c>
      <c r="U363" s="88">
        <f>IF($F363="","",IF($E363="",T363,SUMIF(Sales!$E$7:$E$1506,$E363,Sales!$T$7:$T$1506)))</f>
        <v>23.70517629</v>
      </c>
      <c r="V363" s="49" t="str">
        <f t="shared" si="10"/>
        <v/>
      </c>
      <c r="W363" s="49" t="str">
        <f t="array" ref="W363">IF($V363="","",SUMPRODUCT((Sales!$V$7:$V$1506&lt;&gt;"")*(Sales!$E$7:$E$1506&lt;$E363))+1)</f>
        <v/>
      </c>
      <c r="X363" s="49">
        <f t="shared" si="11"/>
        <v>354</v>
      </c>
      <c r="Y363" s="49" t="str">
        <f t="shared" si="9"/>
        <v>202608-354</v>
      </c>
    </row>
    <row r="364" ht="14.25" customHeight="1">
      <c r="A364" s="141">
        <v>46254.0</v>
      </c>
      <c r="B364" s="142" t="s">
        <v>324</v>
      </c>
      <c r="C364" s="142" t="s">
        <v>365</v>
      </c>
      <c r="D364" s="142" t="s">
        <v>366</v>
      </c>
      <c r="E364" s="83"/>
      <c r="F364" s="83" t="s">
        <v>331</v>
      </c>
      <c r="G364" s="83" t="str">
        <f>IF($F364="","",IFERROR(VLOOKUP($F364,Inventory!$A:$B,2,FALSE),""))</f>
        <v>Drools Puppy Dog Food Chicken &amp; Egg 3kg</v>
      </c>
      <c r="H364" s="83">
        <v>1.0</v>
      </c>
      <c r="I364" s="84">
        <f t="shared" si="2"/>
        <v>1400</v>
      </c>
      <c r="J364" s="85">
        <f>IF($F364="","",IFERROR(VLOOKUP($F364,Inventory!$A:$K,11,FALSE),0))</f>
        <v>1450</v>
      </c>
      <c r="K364" s="85">
        <v>50.0</v>
      </c>
      <c r="L364" s="85">
        <f t="shared" si="3"/>
        <v>1400</v>
      </c>
      <c r="M364" s="83" t="s">
        <v>330</v>
      </c>
      <c r="N364" s="85">
        <f>IF($F364="","",IFERROR(VLOOKUP($F364,Inventory!$A:$I,9,FALSE),0))</f>
        <v>1050</v>
      </c>
      <c r="O364" s="85">
        <f t="shared" si="4"/>
        <v>1050</v>
      </c>
      <c r="P364" s="85">
        <f t="shared" si="5"/>
        <v>350</v>
      </c>
      <c r="Q364" s="83"/>
      <c r="R364" s="118" t="str">
        <f>IF($E364="","",IF(COUNTIF($E$7:$E1561,$E364)&gt;1,"",IFERROR(VLOOKUP($E364,Orders!$A:$I,8,FALSE),"")))</f>
        <v/>
      </c>
      <c r="S364" s="118" t="str">
        <f>IF($E364="","",IF(COUNTIF($E$7:$E1561,$E364)&gt;1,"",IFERROR(VLOOKUP($E364,Orders!$A:$I,9,FALSE),"")))</f>
        <v/>
      </c>
      <c r="T364" s="88">
        <f t="shared" si="6"/>
        <v>350</v>
      </c>
      <c r="U364" s="88">
        <f>IF($F364="","",IF($E364="",T364,SUMIF(Sales!$E$7:$E$1506,$E364,Sales!$T$7:$T$1506)))</f>
        <v>350</v>
      </c>
      <c r="V364" s="49" t="str">
        <f t="shared" si="10"/>
        <v/>
      </c>
      <c r="W364" s="49" t="str">
        <f t="array" ref="W364">IF($V364="","",SUMPRODUCT((Sales!$V$7:$V$1506&lt;&gt;"")*(Sales!$E$7:$E$1506&lt;$E364))+1)</f>
        <v/>
      </c>
      <c r="X364" s="49">
        <f t="shared" si="11"/>
        <v>354</v>
      </c>
      <c r="Y364" s="49" t="str">
        <f t="shared" si="9"/>
        <v>202608-354</v>
      </c>
    </row>
    <row r="365" ht="14.25" customHeight="1">
      <c r="A365" s="141">
        <v>46254.0</v>
      </c>
      <c r="B365" s="142" t="s">
        <v>324</v>
      </c>
      <c r="C365" s="142" t="s">
        <v>365</v>
      </c>
      <c r="D365" s="142" t="s">
        <v>366</v>
      </c>
      <c r="E365" s="83"/>
      <c r="F365" s="83" t="s">
        <v>179</v>
      </c>
      <c r="G365" s="83" t="str">
        <f>IF($F365="","",IFERROR(VLOOKUP($F365,Inventory!$A:$B,2,FALSE),""))</f>
        <v>Creamy Treat 15G (Purry &amp; Hyper Paws)</v>
      </c>
      <c r="H365" s="83">
        <v>1.0</v>
      </c>
      <c r="I365" s="84">
        <f t="shared" si="2"/>
        <v>20</v>
      </c>
      <c r="J365" s="85">
        <f>IF($F365="","",IFERROR(VLOOKUP($F365,Inventory!$A:$K,11,FALSE),0))</f>
        <v>20</v>
      </c>
      <c r="K365" s="85"/>
      <c r="L365" s="85">
        <f t="shared" si="3"/>
        <v>20</v>
      </c>
      <c r="M365" s="83" t="s">
        <v>330</v>
      </c>
      <c r="N365" s="85">
        <f>IF($F365="","",IFERROR(VLOOKUP($F365,Inventory!$A:$I,9,FALSE),0))</f>
        <v>8.147411853</v>
      </c>
      <c r="O365" s="85">
        <f t="shared" si="4"/>
        <v>8.147411853</v>
      </c>
      <c r="P365" s="85">
        <f t="shared" si="5"/>
        <v>11.85258815</v>
      </c>
      <c r="Q365" s="83"/>
      <c r="R365" s="118" t="str">
        <f>IF($E365="","",IF(COUNTIF($E$7:$E1562,$E365)&gt;1,"",IFERROR(VLOOKUP($E365,Orders!$A:$I,8,FALSE),"")))</f>
        <v/>
      </c>
      <c r="S365" s="118" t="str">
        <f>IF($E365="","",IF(COUNTIF($E$7:$E1562,$E365)&gt;1,"",IFERROR(VLOOKUP($E365,Orders!$A:$I,9,FALSE),"")))</f>
        <v/>
      </c>
      <c r="T365" s="88">
        <f t="shared" si="6"/>
        <v>11.85258815</v>
      </c>
      <c r="U365" s="88">
        <f>IF($F365="","",IF($E365="",T365,SUMIF(Sales!$E$7:$E$1506,$E365,Sales!$T$7:$T$1506)))</f>
        <v>11.85258815</v>
      </c>
      <c r="V365" s="49" t="str">
        <f t="shared" si="10"/>
        <v/>
      </c>
      <c r="W365" s="49" t="str">
        <f t="array" ref="W365">IF($V365="","",SUMPRODUCT((Sales!$V$7:$V$1506&lt;&gt;"")*(Sales!$E$7:$E$1506&lt;$E365))+1)</f>
        <v/>
      </c>
      <c r="X365" s="49">
        <f t="shared" si="11"/>
        <v>354</v>
      </c>
      <c r="Y365" s="49" t="str">
        <f t="shared" si="9"/>
        <v>202608-354</v>
      </c>
    </row>
    <row r="366" ht="14.25" customHeight="1">
      <c r="A366" s="141">
        <v>46255.0</v>
      </c>
      <c r="B366" s="142" t="s">
        <v>324</v>
      </c>
      <c r="C366" s="142" t="s">
        <v>365</v>
      </c>
      <c r="D366" s="142" t="s">
        <v>366</v>
      </c>
      <c r="E366" s="83"/>
      <c r="F366" s="83" t="s">
        <v>378</v>
      </c>
      <c r="G366" s="83" t="str">
        <f>IF($F366="","",IFERROR(VLOOKUP($F366,Inventory!$A:$B,2,FALSE),""))</f>
        <v>Drools &amp; Purepet Mixe Cat Food 500gm</v>
      </c>
      <c r="H366" s="83">
        <v>1.0</v>
      </c>
      <c r="I366" s="84">
        <f t="shared" si="2"/>
        <v>210</v>
      </c>
      <c r="J366" s="85">
        <f>IF($F366="","",IFERROR(VLOOKUP($F366,Inventory!$A:$K,11,FALSE),0))</f>
        <v>225</v>
      </c>
      <c r="K366" s="85">
        <v>15.0</v>
      </c>
      <c r="L366" s="85">
        <f t="shared" si="3"/>
        <v>210</v>
      </c>
      <c r="M366" s="83" t="s">
        <v>330</v>
      </c>
      <c r="N366" s="85">
        <f>IF($F366="","",IFERROR(VLOOKUP($F366,Inventory!$A:$I,9,FALSE),0))</f>
        <v>152.9310345</v>
      </c>
      <c r="O366" s="85">
        <f t="shared" si="4"/>
        <v>152.9310345</v>
      </c>
      <c r="P366" s="85">
        <f t="shared" si="5"/>
        <v>57.06896552</v>
      </c>
      <c r="Q366" s="83"/>
      <c r="R366" s="118" t="str">
        <f>IF($E366="","",IF(COUNTIF($E$7:$E1563,$E366)&gt;1,"",IFERROR(VLOOKUP($E366,Orders!$A:$I,8,FALSE),"")))</f>
        <v/>
      </c>
      <c r="S366" s="118" t="str">
        <f>IF($E366="","",IF(COUNTIF($E$7:$E1563,$E366)&gt;1,"",IFERROR(VLOOKUP($E366,Orders!$A:$I,9,FALSE),"")))</f>
        <v/>
      </c>
      <c r="T366" s="88">
        <f t="shared" si="6"/>
        <v>57.06896552</v>
      </c>
      <c r="U366" s="88">
        <f>IF($F366="","",IF($E366="",T366,SUMIF(Sales!$E$7:$E$1506,$E366,Sales!$T$7:$T$1506)))</f>
        <v>57.06896552</v>
      </c>
      <c r="V366" s="49" t="str">
        <f t="shared" si="10"/>
        <v/>
      </c>
      <c r="W366" s="49" t="str">
        <f t="array" ref="W366">IF($V366="","",SUMPRODUCT((Sales!$V$7:$V$1506&lt;&gt;"")*(Sales!$E$7:$E$1506&lt;$E366))+1)</f>
        <v/>
      </c>
      <c r="X366" s="49">
        <f t="shared" si="11"/>
        <v>354</v>
      </c>
      <c r="Y366" s="49" t="str">
        <f t="shared" si="9"/>
        <v>202608-354</v>
      </c>
    </row>
    <row r="367" ht="14.25" customHeight="1">
      <c r="A367" s="141">
        <v>46255.0</v>
      </c>
      <c r="B367" s="142" t="s">
        <v>324</v>
      </c>
      <c r="C367" s="142" t="s">
        <v>365</v>
      </c>
      <c r="D367" s="142" t="s">
        <v>366</v>
      </c>
      <c r="E367" s="83"/>
      <c r="F367" s="83" t="s">
        <v>179</v>
      </c>
      <c r="G367" s="83" t="str">
        <f>IF($F367="","",IFERROR(VLOOKUP($F367,Inventory!$A:$B,2,FALSE),""))</f>
        <v>Creamy Treat 15G (Purry &amp; Hyper Paws)</v>
      </c>
      <c r="H367" s="83">
        <v>1.0</v>
      </c>
      <c r="I367" s="84">
        <f t="shared" si="2"/>
        <v>20</v>
      </c>
      <c r="J367" s="85">
        <f>IF($F367="","",IFERROR(VLOOKUP($F367,Inventory!$A:$K,11,FALSE),0))</f>
        <v>20</v>
      </c>
      <c r="K367" s="85"/>
      <c r="L367" s="85">
        <f t="shared" si="3"/>
        <v>20</v>
      </c>
      <c r="M367" s="83" t="s">
        <v>330</v>
      </c>
      <c r="N367" s="85">
        <f>IF($F367="","",IFERROR(VLOOKUP($F367,Inventory!$A:$I,9,FALSE),0))</f>
        <v>8.147411853</v>
      </c>
      <c r="O367" s="85">
        <f t="shared" si="4"/>
        <v>8.147411853</v>
      </c>
      <c r="P367" s="85">
        <f t="shared" si="5"/>
        <v>11.85258815</v>
      </c>
      <c r="Q367" s="83"/>
      <c r="R367" s="118" t="str">
        <f>IF($E367="","",IF(COUNTIF($E$7:$E1564,$E367)&gt;1,"",IFERROR(VLOOKUP($E367,Orders!$A:$I,8,FALSE),"")))</f>
        <v/>
      </c>
      <c r="S367" s="118" t="str">
        <f>IF($E367="","",IF(COUNTIF($E$7:$E1564,$E367)&gt;1,"",IFERROR(VLOOKUP($E367,Orders!$A:$I,9,FALSE),"")))</f>
        <v/>
      </c>
      <c r="T367" s="88">
        <f t="shared" si="6"/>
        <v>11.85258815</v>
      </c>
      <c r="U367" s="88">
        <f>IF($F367="","",IF($E367="",T367,SUMIF(Sales!$E$7:$E$1506,$E367,Sales!$T$7:$T$1506)))</f>
        <v>11.85258815</v>
      </c>
      <c r="V367" s="49" t="str">
        <f t="shared" si="10"/>
        <v/>
      </c>
      <c r="W367" s="49" t="str">
        <f t="array" ref="W367">IF($V367="","",SUMPRODUCT((Sales!$V$7:$V$1506&lt;&gt;"")*(Sales!$E$7:$E$1506&lt;$E367))+1)</f>
        <v/>
      </c>
      <c r="X367" s="49">
        <f t="shared" si="11"/>
        <v>354</v>
      </c>
      <c r="Y367" s="49" t="str">
        <f t="shared" si="9"/>
        <v>202608-354</v>
      </c>
    </row>
    <row r="368" ht="14.25" customHeight="1">
      <c r="A368" s="141">
        <v>46255.0</v>
      </c>
      <c r="B368" s="142" t="s">
        <v>324</v>
      </c>
      <c r="C368" s="142" t="s">
        <v>365</v>
      </c>
      <c r="D368" s="142" t="s">
        <v>366</v>
      </c>
      <c r="E368" s="83"/>
      <c r="F368" s="159" t="s">
        <v>386</v>
      </c>
      <c r="G368" s="83" t="str">
        <f>IF($F368="","",IFERROR(VLOOKUP($F368,Inventory!$A:$B,2,FALSE),""))</f>
        <v>LuminaCat Litter Lemon 5L</v>
      </c>
      <c r="H368" s="83">
        <v>1.0</v>
      </c>
      <c r="I368" s="84">
        <f t="shared" si="2"/>
        <v>250</v>
      </c>
      <c r="J368" s="85">
        <f>IF($F368="","",IFERROR(VLOOKUP($F368,Inventory!$A:$K,11,FALSE),0))</f>
        <v>280</v>
      </c>
      <c r="K368" s="85">
        <v>30.0</v>
      </c>
      <c r="L368" s="85">
        <f t="shared" si="3"/>
        <v>250</v>
      </c>
      <c r="M368" s="83" t="s">
        <v>330</v>
      </c>
      <c r="N368" s="85">
        <f>IF($F368="","",IFERROR(VLOOKUP($F368,Inventory!$A:$I,9,FALSE),0))</f>
        <v>190</v>
      </c>
      <c r="O368" s="85">
        <f t="shared" si="4"/>
        <v>190</v>
      </c>
      <c r="P368" s="85">
        <f t="shared" si="5"/>
        <v>60</v>
      </c>
      <c r="Q368" s="83"/>
      <c r="R368" s="118" t="str">
        <f>IF($E368="","",IF(COUNTIF($E$7:$E1565,$E368)&gt;1,"",IFERROR(VLOOKUP($E368,Orders!$A:$I,8,FALSE),"")))</f>
        <v/>
      </c>
      <c r="S368" s="118" t="str">
        <f>IF($E368="","",IF(COUNTIF($E$7:$E1565,$E368)&gt;1,"",IFERROR(VLOOKUP($E368,Orders!$A:$I,9,FALSE),"")))</f>
        <v/>
      </c>
      <c r="T368" s="88">
        <f t="shared" si="6"/>
        <v>60</v>
      </c>
      <c r="U368" s="88">
        <f>IF($F368="","",IF($E368="",T368,SUMIF(Sales!$E$7:$E$1506,$E368,Sales!$T$7:$T$1506)))</f>
        <v>60</v>
      </c>
      <c r="V368" s="49" t="str">
        <f t="shared" si="10"/>
        <v/>
      </c>
      <c r="W368" s="49" t="str">
        <f t="array" ref="W368">IF($V368="","",SUMPRODUCT((Sales!$V$7:$V$1506&lt;&gt;"")*(Sales!$E$7:$E$1506&lt;$E368))+1)</f>
        <v/>
      </c>
      <c r="X368" s="49">
        <f t="shared" si="11"/>
        <v>354</v>
      </c>
      <c r="Y368" s="49" t="str">
        <f t="shared" si="9"/>
        <v>202608-354</v>
      </c>
    </row>
    <row r="369" ht="14.25" customHeight="1">
      <c r="A369" s="141">
        <v>46255.0</v>
      </c>
      <c r="B369" s="142" t="s">
        <v>324</v>
      </c>
      <c r="C369" s="142" t="s">
        <v>365</v>
      </c>
      <c r="D369" s="142" t="s">
        <v>366</v>
      </c>
      <c r="E369" s="83"/>
      <c r="F369" s="159" t="s">
        <v>240</v>
      </c>
      <c r="G369" s="83" t="str">
        <f>IF($F369="","",IFERROR(VLOOKUP($F369,Inventory!$A:$B,2,FALSE),""))</f>
        <v>Cat Belt Radium</v>
      </c>
      <c r="H369" s="159">
        <v>1.0</v>
      </c>
      <c r="I369" s="84">
        <f t="shared" si="2"/>
        <v>100</v>
      </c>
      <c r="J369" s="85">
        <f>IF($F369="","",IFERROR(VLOOKUP($F369,Inventory!$A:$K,11,FALSE),0))</f>
        <v>110</v>
      </c>
      <c r="K369" s="97">
        <v>10.0</v>
      </c>
      <c r="L369" s="85">
        <f t="shared" si="3"/>
        <v>100</v>
      </c>
      <c r="M369" s="83" t="s">
        <v>330</v>
      </c>
      <c r="N369" s="85">
        <f>IF($F369="","",IFERROR(VLOOKUP($F369,Inventory!$A:$I,9,FALSE),0))</f>
        <v>65</v>
      </c>
      <c r="O369" s="85">
        <f t="shared" si="4"/>
        <v>65</v>
      </c>
      <c r="P369" s="85">
        <f t="shared" si="5"/>
        <v>35</v>
      </c>
      <c r="Q369" s="83"/>
      <c r="R369" s="118" t="str">
        <f>IF($E369="","",IF(COUNTIF($E$7:$E1566,$E369)&gt;1,"",IFERROR(VLOOKUP($E369,Orders!$A:$I,8,FALSE),"")))</f>
        <v/>
      </c>
      <c r="S369" s="118" t="str">
        <f>IF($E369="","",IF(COUNTIF($E$7:$E1566,$E369)&gt;1,"",IFERROR(VLOOKUP($E369,Orders!$A:$I,9,FALSE),"")))</f>
        <v/>
      </c>
      <c r="T369" s="88">
        <f t="shared" si="6"/>
        <v>35</v>
      </c>
      <c r="U369" s="88">
        <f>IF($F369="","",IF($E369="",T369,SUMIF(Sales!$E$7:$E$1506,$E369,Sales!$T$7:$T$1506)))</f>
        <v>35</v>
      </c>
      <c r="V369" s="49" t="str">
        <f t="shared" si="10"/>
        <v/>
      </c>
      <c r="W369" s="49" t="str">
        <f t="array" ref="W369">IF($V369="","",SUMPRODUCT((Sales!$V$7:$V$1506&lt;&gt;"")*(Sales!$E$7:$E$1506&lt;$E369))+1)</f>
        <v/>
      </c>
      <c r="X369" s="49">
        <f t="shared" si="11"/>
        <v>354</v>
      </c>
      <c r="Y369" s="49" t="str">
        <f t="shared" si="9"/>
        <v>202608-354</v>
      </c>
    </row>
    <row r="370" ht="14.25" customHeight="1">
      <c r="A370" s="141">
        <v>46255.0</v>
      </c>
      <c r="B370" s="142" t="s">
        <v>324</v>
      </c>
      <c r="C370" s="142" t="s">
        <v>365</v>
      </c>
      <c r="D370" s="142" t="s">
        <v>366</v>
      </c>
      <c r="E370" s="83"/>
      <c r="F370" s="159" t="s">
        <v>234</v>
      </c>
      <c r="G370" s="83" t="str">
        <f>IF($F370="","",IFERROR(VLOOKUP($F370,Inventory!$A:$B,2,FALSE),""))</f>
        <v>Whiskas Junior Tuna Flavor</v>
      </c>
      <c r="H370" s="159">
        <v>1.0</v>
      </c>
      <c r="I370" s="84">
        <f t="shared" si="2"/>
        <v>90</v>
      </c>
      <c r="J370" s="85">
        <f>IF($F370="","",IFERROR(VLOOKUP($F370,Inventory!$A:$K,11,FALSE),0))</f>
        <v>95</v>
      </c>
      <c r="K370" s="97">
        <v>5.0</v>
      </c>
      <c r="L370" s="85">
        <f t="shared" si="3"/>
        <v>90</v>
      </c>
      <c r="M370" s="83" t="s">
        <v>330</v>
      </c>
      <c r="N370" s="85">
        <f>IF($F370="","",IFERROR(VLOOKUP($F370,Inventory!$A:$I,9,FALSE),0))</f>
        <v>74</v>
      </c>
      <c r="O370" s="85">
        <f t="shared" si="4"/>
        <v>74</v>
      </c>
      <c r="P370" s="85">
        <f t="shared" si="5"/>
        <v>16</v>
      </c>
      <c r="Q370" s="83"/>
      <c r="R370" s="118" t="str">
        <f>IF($E370="","",IF(COUNTIF($E$7:$E1567,$E370)&gt;1,"",IFERROR(VLOOKUP($E370,Orders!$A:$I,8,FALSE),"")))</f>
        <v/>
      </c>
      <c r="S370" s="118" t="str">
        <f>IF($E370="","",IF(COUNTIF($E$7:$E1567,$E370)&gt;1,"",IFERROR(VLOOKUP($E370,Orders!$A:$I,9,FALSE),"")))</f>
        <v/>
      </c>
      <c r="T370" s="88">
        <f t="shared" si="6"/>
        <v>16</v>
      </c>
      <c r="U370" s="88">
        <f>IF($F370="","",IF($E370="",T370,SUMIF(Sales!$E$7:$E$1506,$E370,Sales!$T$7:$T$1506)))</f>
        <v>16</v>
      </c>
      <c r="V370" s="49" t="str">
        <f t="shared" si="10"/>
        <v/>
      </c>
      <c r="W370" s="49" t="str">
        <f t="array" ref="W370">IF($V370="","",SUMPRODUCT((Sales!$V$7:$V$1506&lt;&gt;"")*(Sales!$E$7:$E$1506&lt;$E370))+1)</f>
        <v/>
      </c>
      <c r="X370" s="49">
        <f t="shared" si="11"/>
        <v>354</v>
      </c>
      <c r="Y370" s="49" t="str">
        <f t="shared" si="9"/>
        <v>202608-354</v>
      </c>
    </row>
    <row r="371" ht="14.25" customHeight="1">
      <c r="A371" s="141">
        <v>46255.0</v>
      </c>
      <c r="B371" s="142" t="s">
        <v>324</v>
      </c>
      <c r="C371" s="142" t="s">
        <v>365</v>
      </c>
      <c r="D371" s="142" t="s">
        <v>366</v>
      </c>
      <c r="E371" s="159" t="s">
        <v>695</v>
      </c>
      <c r="F371" s="159" t="s">
        <v>378</v>
      </c>
      <c r="G371" s="83" t="str">
        <f>IF($F371="","",IFERROR(VLOOKUP($F371,Inventory!$A:$B,2,FALSE),""))</f>
        <v>Drools &amp; Purepet Mixe Cat Food 500gm</v>
      </c>
      <c r="H371" s="159">
        <v>2.0</v>
      </c>
      <c r="I371" s="84">
        <f t="shared" si="2"/>
        <v>200</v>
      </c>
      <c r="J371" s="85">
        <f>IF($F371="","",IFERROR(VLOOKUP($F371,Inventory!$A:$K,11,FALSE),0))</f>
        <v>225</v>
      </c>
      <c r="K371" s="97">
        <v>25.0</v>
      </c>
      <c r="L371" s="85">
        <f t="shared" si="3"/>
        <v>400</v>
      </c>
      <c r="M371" s="159" t="s">
        <v>596</v>
      </c>
      <c r="N371" s="85">
        <f>IF($F371="","",IFERROR(VLOOKUP($F371,Inventory!$A:$I,9,FALSE),0))</f>
        <v>152.9310345</v>
      </c>
      <c r="O371" s="85">
        <f t="shared" si="4"/>
        <v>305.862069</v>
      </c>
      <c r="P371" s="85">
        <f t="shared" si="5"/>
        <v>94.13793103</v>
      </c>
      <c r="Q371" s="83"/>
      <c r="R371" s="118" t="str">
        <f>IF($E371="","",IF(COUNTIF($E$7:$E1568,$E371)&gt;1,"",IFERROR(VLOOKUP($E371,Orders!$A:$I,8,FALSE),"")))</f>
        <v/>
      </c>
      <c r="S371" s="118" t="str">
        <f>IF($E371="","",IF(COUNTIF($E$7:$E1568,$E371)&gt;1,"",IFERROR(VLOOKUP($E371,Orders!$A:$I,9,FALSE),"")))</f>
        <v/>
      </c>
      <c r="T371" s="88">
        <f t="shared" si="6"/>
        <v>94.13793103</v>
      </c>
      <c r="U371" s="88">
        <f>IF($F371="","",IF($E371="",T371,SUMIF(Sales!$E$7:$E$1506,$E371,Sales!$T$7:$T$1506)))</f>
        <v>561.3729888</v>
      </c>
      <c r="V371" s="49" t="str">
        <f t="shared" si="10"/>
        <v/>
      </c>
      <c r="W371" s="49" t="str">
        <f t="array" ref="W371">IF($V371="","",SUMPRODUCT((Sales!$V$7:$V$1506&lt;&gt;"")*(Sales!$E$7:$E$1506&lt;$E371))+1)</f>
        <v/>
      </c>
      <c r="X371" s="49">
        <f t="shared" si="11"/>
        <v>354</v>
      </c>
      <c r="Y371" s="49" t="str">
        <f t="shared" si="9"/>
        <v>202608-354</v>
      </c>
    </row>
    <row r="372" ht="14.25" customHeight="1">
      <c r="A372" s="141">
        <v>46255.0</v>
      </c>
      <c r="B372" s="142" t="s">
        <v>324</v>
      </c>
      <c r="C372" s="142" t="s">
        <v>365</v>
      </c>
      <c r="D372" s="142" t="s">
        <v>366</v>
      </c>
      <c r="E372" s="159" t="s">
        <v>695</v>
      </c>
      <c r="F372" s="83" t="s">
        <v>179</v>
      </c>
      <c r="G372" s="83" t="str">
        <f>IF($F372="","",IFERROR(VLOOKUP($F372,Inventory!$A:$B,2,FALSE),""))</f>
        <v>Creamy Treat 15G (Purry &amp; Hyper Paws)</v>
      </c>
      <c r="H372" s="159">
        <v>12.0</v>
      </c>
      <c r="I372" s="84">
        <f t="shared" si="2"/>
        <v>16.667</v>
      </c>
      <c r="J372" s="85">
        <f>IF($F372="","",IFERROR(VLOOKUP($F372,Inventory!$A:$K,11,FALSE),0))</f>
        <v>20</v>
      </c>
      <c r="K372" s="97">
        <v>3.333</v>
      </c>
      <c r="L372" s="85">
        <f t="shared" si="3"/>
        <v>200.004</v>
      </c>
      <c r="M372" s="159" t="s">
        <v>596</v>
      </c>
      <c r="N372" s="85">
        <f>IF($F372="","",IFERROR(VLOOKUP($F372,Inventory!$A:$I,9,FALSE),0))</f>
        <v>8.147411853</v>
      </c>
      <c r="O372" s="85">
        <f t="shared" si="4"/>
        <v>97.76894224</v>
      </c>
      <c r="P372" s="85">
        <f t="shared" si="5"/>
        <v>102.2350578</v>
      </c>
      <c r="Q372" s="83"/>
      <c r="R372" s="118" t="str">
        <f>IF($E372="","",IF(COUNTIF($E$7:$E1569,$E372)&gt;1,"",IFERROR(VLOOKUP($E372,Orders!$A:$I,8,FALSE),"")))</f>
        <v/>
      </c>
      <c r="S372" s="118" t="str">
        <f>IF($E372="","",IF(COUNTIF($E$7:$E1569,$E372)&gt;1,"",IFERROR(VLOOKUP($E372,Orders!$A:$I,9,FALSE),"")))</f>
        <v/>
      </c>
      <c r="T372" s="88">
        <f t="shared" si="6"/>
        <v>102.2350578</v>
      </c>
      <c r="U372" s="88">
        <f>IF($F372="","",IF($E372="",T372,SUMIF(Sales!$E$7:$E$1506,$E372,Sales!$T$7:$T$1506)))</f>
        <v>561.3729888</v>
      </c>
      <c r="V372" s="49" t="str">
        <f t="shared" si="10"/>
        <v/>
      </c>
      <c r="W372" s="49" t="str">
        <f t="array" ref="W372">IF($V372="","",SUMPRODUCT((Sales!$V$7:$V$1506&lt;&gt;"")*(Sales!$E$7:$E$1506&lt;$E372))+1)</f>
        <v/>
      </c>
      <c r="X372" s="49">
        <f t="shared" si="11"/>
        <v>354</v>
      </c>
      <c r="Y372" s="49" t="str">
        <f t="shared" si="9"/>
        <v>202608-354</v>
      </c>
    </row>
    <row r="373" ht="14.25" customHeight="1">
      <c r="A373" s="141">
        <v>46255.0</v>
      </c>
      <c r="B373" s="142" t="s">
        <v>324</v>
      </c>
      <c r="C373" s="142" t="s">
        <v>365</v>
      </c>
      <c r="D373" s="142" t="s">
        <v>366</v>
      </c>
      <c r="E373" s="159" t="s">
        <v>695</v>
      </c>
      <c r="F373" s="159" t="s">
        <v>411</v>
      </c>
      <c r="G373" s="83" t="str">
        <f>IF($F373="","",IFERROR(VLOOKUP($F373,Inventory!$A:$B,2,FALSE),""))</f>
        <v>Naughty Tail Cat Litter Coffee 25L</v>
      </c>
      <c r="H373" s="159">
        <v>1.0</v>
      </c>
      <c r="I373" s="84">
        <f t="shared" si="2"/>
        <v>1300</v>
      </c>
      <c r="J373" s="85">
        <f>IF($F373="","",IFERROR(VLOOKUP($F373,Inventory!$A:$K,11,FALSE),0))</f>
        <v>1350</v>
      </c>
      <c r="K373" s="97">
        <v>50.0</v>
      </c>
      <c r="L373" s="85">
        <f t="shared" si="3"/>
        <v>1300</v>
      </c>
      <c r="M373" s="159" t="s">
        <v>596</v>
      </c>
      <c r="N373" s="85">
        <f>IF($F373="","",IFERROR(VLOOKUP($F373,Inventory!$A:$I,9,FALSE),0))</f>
        <v>950</v>
      </c>
      <c r="O373" s="85">
        <f t="shared" si="4"/>
        <v>950</v>
      </c>
      <c r="P373" s="85">
        <f t="shared" si="5"/>
        <v>350</v>
      </c>
      <c r="Q373" s="83"/>
      <c r="R373" s="118" t="str">
        <f>IF($E373="","",IF(COUNTIF($E$7:$E1570,$E373)&gt;1,"",IFERROR(VLOOKUP($E373,Orders!$A:$I,8,FALSE),"")))</f>
        <v/>
      </c>
      <c r="S373" s="118" t="str">
        <f>IF($E373="","",IF(COUNTIF($E$7:$E1570,$E373)&gt;1,"",IFERROR(VLOOKUP($E373,Orders!$A:$I,9,FALSE),"")))</f>
        <v/>
      </c>
      <c r="T373" s="88">
        <f t="shared" si="6"/>
        <v>350</v>
      </c>
      <c r="U373" s="88">
        <f>IF($F373="","",IF($E373="",T373,SUMIF(Sales!$E$7:$E$1506,$E373,Sales!$T$7:$T$1506)))</f>
        <v>561.3729888</v>
      </c>
      <c r="V373" s="49" t="str">
        <f t="shared" si="10"/>
        <v/>
      </c>
      <c r="W373" s="49" t="str">
        <f t="array" ref="W373">IF($V373="","",SUMPRODUCT((Sales!$V$7:$V$1506&lt;&gt;"")*(Sales!$E$7:$E$1506&lt;$E373))+1)</f>
        <v/>
      </c>
      <c r="X373" s="49">
        <f t="shared" si="11"/>
        <v>354</v>
      </c>
      <c r="Y373" s="49" t="str">
        <f t="shared" si="9"/>
        <v>202608-354</v>
      </c>
    </row>
    <row r="374" ht="14.25" customHeight="1">
      <c r="A374" s="141">
        <v>46255.0</v>
      </c>
      <c r="B374" s="142" t="s">
        <v>324</v>
      </c>
      <c r="C374" s="142" t="s">
        <v>365</v>
      </c>
      <c r="D374" s="142" t="s">
        <v>366</v>
      </c>
      <c r="E374" s="159" t="s">
        <v>695</v>
      </c>
      <c r="F374" s="159" t="s">
        <v>242</v>
      </c>
      <c r="G374" s="83" t="str">
        <f>IF($F374="","",IFERROR(VLOOKUP($F374,Inventory!$A:$B,2,FALSE),""))</f>
        <v>Cat Belt Bow</v>
      </c>
      <c r="H374" s="159">
        <v>1.0</v>
      </c>
      <c r="I374" s="84">
        <f t="shared" si="2"/>
        <v>60</v>
      </c>
      <c r="J374" s="85">
        <f>IF($F374="","",IFERROR(VLOOKUP($F374,Inventory!$A:$K,11,FALSE),0))</f>
        <v>60</v>
      </c>
      <c r="K374" s="85"/>
      <c r="L374" s="85">
        <f t="shared" si="3"/>
        <v>60</v>
      </c>
      <c r="M374" s="159" t="s">
        <v>596</v>
      </c>
      <c r="N374" s="85">
        <f>IF($F374="","",IFERROR(VLOOKUP($F374,Inventory!$A:$I,9,FALSE),0))</f>
        <v>35</v>
      </c>
      <c r="O374" s="85">
        <f t="shared" si="4"/>
        <v>35</v>
      </c>
      <c r="P374" s="85">
        <f t="shared" si="5"/>
        <v>25</v>
      </c>
      <c r="Q374" s="83"/>
      <c r="R374" s="118" t="str">
        <f>IF($E374="","",IF(COUNTIF($E$7:$E1571,$E374)&gt;1,"",IFERROR(VLOOKUP($E374,Orders!$A:$I,8,FALSE),"")))</f>
        <v/>
      </c>
      <c r="S374" s="118" t="str">
        <f>IF($E374="","",IF(COUNTIF($E$7:$E1571,$E374)&gt;1,"",IFERROR(VLOOKUP($E374,Orders!$A:$I,9,FALSE),"")))</f>
        <v/>
      </c>
      <c r="T374" s="88">
        <f t="shared" si="6"/>
        <v>25</v>
      </c>
      <c r="U374" s="88">
        <f>IF($F374="","",IF($E374="",T374,SUMIF(Sales!$E$7:$E$1506,$E374,Sales!$T$7:$T$1506)))</f>
        <v>561.3729888</v>
      </c>
      <c r="V374" s="49" t="str">
        <f t="shared" si="10"/>
        <v/>
      </c>
      <c r="W374" s="49" t="str">
        <f t="array" ref="W374">IF($V374="","",SUMPRODUCT((Sales!$V$7:$V$1506&lt;&gt;"")*(Sales!$E$7:$E$1506&lt;$E374))+1)</f>
        <v/>
      </c>
      <c r="X374" s="49">
        <f t="shared" si="11"/>
        <v>354</v>
      </c>
      <c r="Y374" s="49" t="str">
        <f t="shared" si="9"/>
        <v>202608-354</v>
      </c>
    </row>
    <row r="375" ht="14.25" customHeight="1">
      <c r="A375" s="141">
        <v>46255.0</v>
      </c>
      <c r="B375" s="142" t="s">
        <v>324</v>
      </c>
      <c r="C375" s="142" t="s">
        <v>365</v>
      </c>
      <c r="D375" s="142" t="s">
        <v>366</v>
      </c>
      <c r="E375" s="159" t="s">
        <v>695</v>
      </c>
      <c r="F375" s="159" t="s">
        <v>224</v>
      </c>
      <c r="G375" s="83" t="str">
        <f>IF($F375="","",IFERROR(VLOOKUP($F375,Inventory!$A:$B,2,FALSE),""))</f>
        <v>Sea Chinese Food Bowl</v>
      </c>
      <c r="H375" s="159">
        <v>2.0</v>
      </c>
      <c r="I375" s="84">
        <f t="shared" si="2"/>
        <v>30</v>
      </c>
      <c r="J375" s="85">
        <f>IF($F375="","",IFERROR(VLOOKUP($F375,Inventory!$A:$K,11,FALSE),0))</f>
        <v>50</v>
      </c>
      <c r="K375" s="97">
        <v>20.0</v>
      </c>
      <c r="L375" s="85">
        <f t="shared" si="3"/>
        <v>60</v>
      </c>
      <c r="M375" s="159" t="s">
        <v>596</v>
      </c>
      <c r="N375" s="85">
        <f>IF($F375="","",IFERROR(VLOOKUP($F375,Inventory!$A:$I,9,FALSE),0))</f>
        <v>35</v>
      </c>
      <c r="O375" s="85">
        <f t="shared" si="4"/>
        <v>70</v>
      </c>
      <c r="P375" s="85">
        <f t="shared" si="5"/>
        <v>-10</v>
      </c>
      <c r="Q375" s="83"/>
      <c r="R375" s="118" t="str">
        <f>IF($E375="","",IF(COUNTIF($E$7:$E1572,$E375)&gt;1,"",IFERROR(VLOOKUP($E375,Orders!$A:$I,8,FALSE),"")))</f>
        <v/>
      </c>
      <c r="S375" s="118" t="str">
        <f>IF($E375="","",IF(COUNTIF($E$7:$E1572,$E375)&gt;1,"",IFERROR(VLOOKUP($E375,Orders!$A:$I,9,FALSE),"")))</f>
        <v/>
      </c>
      <c r="T375" s="88">
        <f t="shared" si="6"/>
        <v>-10</v>
      </c>
      <c r="U375" s="88">
        <f>IF($F375="","",IF($E375="",T375,SUMIF(Sales!$E$7:$E$1506,$E375,Sales!$T$7:$T$1506)))</f>
        <v>561.3729888</v>
      </c>
      <c r="V375" s="49" t="str">
        <f t="shared" si="10"/>
        <v/>
      </c>
      <c r="W375" s="49" t="str">
        <f t="array" ref="W375">IF($V375="","",SUMPRODUCT((Sales!$V$7:$V$1506&lt;&gt;"")*(Sales!$E$7:$E$1506&lt;$E375))+1)</f>
        <v/>
      </c>
      <c r="X375" s="49">
        <f t="shared" si="11"/>
        <v>354</v>
      </c>
      <c r="Y375" s="49" t="str">
        <f t="shared" si="9"/>
        <v>202608-354</v>
      </c>
    </row>
    <row r="376" ht="14.25" customHeight="1">
      <c r="A376" s="141">
        <v>46255.0</v>
      </c>
      <c r="B376" s="142" t="s">
        <v>324</v>
      </c>
      <c r="C376" s="142" t="s">
        <v>365</v>
      </c>
      <c r="D376" s="142" t="s">
        <v>366</v>
      </c>
      <c r="E376" s="83"/>
      <c r="F376" s="159" t="s">
        <v>234</v>
      </c>
      <c r="G376" s="83" t="str">
        <f>IF($F376="","",IFERROR(VLOOKUP($F376,Inventory!$A:$B,2,FALSE),""))</f>
        <v>Whiskas Junior Tuna Flavor</v>
      </c>
      <c r="H376" s="159">
        <v>2.0</v>
      </c>
      <c r="I376" s="84">
        <f t="shared" si="2"/>
        <v>90</v>
      </c>
      <c r="J376" s="85">
        <f>IF($F376="","",IFERROR(VLOOKUP($F376,Inventory!$A:$K,11,FALSE),0))</f>
        <v>95</v>
      </c>
      <c r="K376" s="97">
        <v>5.0</v>
      </c>
      <c r="L376" s="85">
        <f t="shared" si="3"/>
        <v>180</v>
      </c>
      <c r="M376" s="159" t="s">
        <v>330</v>
      </c>
      <c r="N376" s="85">
        <f>IF($F376="","",IFERROR(VLOOKUP($F376,Inventory!$A:$I,9,FALSE),0))</f>
        <v>74</v>
      </c>
      <c r="O376" s="85">
        <f t="shared" si="4"/>
        <v>148</v>
      </c>
      <c r="P376" s="85">
        <f t="shared" si="5"/>
        <v>32</v>
      </c>
      <c r="Q376" s="83"/>
      <c r="R376" s="118" t="str">
        <f>IF($E376="","",IF(COUNTIF($E$7:$E1573,$E376)&gt;1,"",IFERROR(VLOOKUP($E376,Orders!$A:$I,8,FALSE),"")))</f>
        <v/>
      </c>
      <c r="S376" s="118" t="str">
        <f>IF($E376="","",IF(COUNTIF($E$7:$E1573,$E376)&gt;1,"",IFERROR(VLOOKUP($E376,Orders!$A:$I,9,FALSE),"")))</f>
        <v/>
      </c>
      <c r="T376" s="88">
        <f t="shared" si="6"/>
        <v>32</v>
      </c>
      <c r="U376" s="88">
        <f>IF($F376="","",IF($E376="",T376,SUMIF(Sales!$E$7:$E$1506,$E376,Sales!$T$7:$T$1506)))</f>
        <v>32</v>
      </c>
      <c r="V376" s="49" t="str">
        <f t="shared" si="10"/>
        <v/>
      </c>
      <c r="W376" s="49" t="str">
        <f t="array" ref="W376">IF($V376="","",SUMPRODUCT((Sales!$V$7:$V$1506&lt;&gt;"")*(Sales!$E$7:$E$1506&lt;$E376))+1)</f>
        <v/>
      </c>
      <c r="X376" s="49">
        <f t="shared" si="11"/>
        <v>354</v>
      </c>
      <c r="Y376" s="49" t="str">
        <f t="shared" si="9"/>
        <v>202608-354</v>
      </c>
    </row>
    <row r="377" ht="14.25" customHeight="1">
      <c r="A377" s="141">
        <v>46255.0</v>
      </c>
      <c r="B377" s="142" t="s">
        <v>324</v>
      </c>
      <c r="C377" s="142" t="s">
        <v>365</v>
      </c>
      <c r="D377" s="142" t="s">
        <v>366</v>
      </c>
      <c r="E377" s="83"/>
      <c r="F377" s="159" t="s">
        <v>306</v>
      </c>
      <c r="G377" s="83" t="str">
        <f>IF($F377="","",IFERROR(VLOOKUP($F377,Inventory!$A:$B,2,FALSE),""))</f>
        <v>Pet Comb One Side</v>
      </c>
      <c r="H377" s="159">
        <v>1.0</v>
      </c>
      <c r="I377" s="84">
        <f t="shared" si="2"/>
        <v>170</v>
      </c>
      <c r="J377" s="85">
        <f>IF($F377="","",IFERROR(VLOOKUP($F377,Inventory!$A:$K,11,FALSE),0))</f>
        <v>200</v>
      </c>
      <c r="K377" s="97">
        <v>30.0</v>
      </c>
      <c r="L377" s="85">
        <f t="shared" si="3"/>
        <v>170</v>
      </c>
      <c r="M377" s="159" t="s">
        <v>330</v>
      </c>
      <c r="N377" s="85">
        <f>IF($F377="","",IFERROR(VLOOKUP($F377,Inventory!$A:$I,9,FALSE),0))</f>
        <v>130</v>
      </c>
      <c r="O377" s="85">
        <f t="shared" si="4"/>
        <v>130</v>
      </c>
      <c r="P377" s="85">
        <f t="shared" si="5"/>
        <v>40</v>
      </c>
      <c r="Q377" s="83"/>
      <c r="R377" s="118" t="str">
        <f>IF($E377="","",IF(COUNTIF($E$7:$E1574,$E377)&gt;1,"",IFERROR(VLOOKUP($E377,Orders!$A:$I,8,FALSE),"")))</f>
        <v/>
      </c>
      <c r="S377" s="118" t="str">
        <f>IF($E377="","",IF(COUNTIF($E$7:$E1574,$E377)&gt;1,"",IFERROR(VLOOKUP($E377,Orders!$A:$I,9,FALSE),"")))</f>
        <v/>
      </c>
      <c r="T377" s="88">
        <f t="shared" si="6"/>
        <v>40</v>
      </c>
      <c r="U377" s="88">
        <f>IF($F377="","",IF($E377="",T377,SUMIF(Sales!$E$7:$E$1506,$E377,Sales!$T$7:$T$1506)))</f>
        <v>40</v>
      </c>
      <c r="V377" s="49" t="str">
        <f t="shared" si="10"/>
        <v/>
      </c>
      <c r="W377" s="49" t="str">
        <f t="array" ref="W377">IF($V377="","",SUMPRODUCT((Sales!$V$7:$V$1506&lt;&gt;"")*(Sales!$E$7:$E$1506&lt;$E377))+1)</f>
        <v/>
      </c>
      <c r="X377" s="49">
        <f t="shared" si="11"/>
        <v>354</v>
      </c>
      <c r="Y377" s="49" t="str">
        <f t="shared" si="9"/>
        <v>202608-354</v>
      </c>
    </row>
    <row r="378" ht="14.25" customHeight="1">
      <c r="A378" s="141">
        <v>46255.0</v>
      </c>
      <c r="B378" s="142" t="s">
        <v>324</v>
      </c>
      <c r="C378" s="142" t="s">
        <v>365</v>
      </c>
      <c r="D378" s="142" t="s">
        <v>366</v>
      </c>
      <c r="E378" s="83"/>
      <c r="F378" s="159" t="s">
        <v>260</v>
      </c>
      <c r="G378" s="83" t="str">
        <f>IF($F378="","",IFERROR(VLOOKUP($F378,Inventory!$A:$B,2,FALSE),""))</f>
        <v>Kitchen Flavor Grain Free Adult 1.5KG</v>
      </c>
      <c r="H378" s="159">
        <v>1.0</v>
      </c>
      <c r="I378" s="84">
        <f t="shared" si="2"/>
        <v>1200</v>
      </c>
      <c r="J378" s="85">
        <f>IF($F378="","",IFERROR(VLOOKUP($F378,Inventory!$A:$K,11,FALSE),0))</f>
        <v>1260</v>
      </c>
      <c r="K378" s="97">
        <v>60.0</v>
      </c>
      <c r="L378" s="85">
        <f t="shared" si="3"/>
        <v>1200</v>
      </c>
      <c r="M378" s="159" t="s">
        <v>330</v>
      </c>
      <c r="N378" s="85">
        <f>IF($F378="","",IFERROR(VLOOKUP($F378,Inventory!$A:$I,9,FALSE),0))</f>
        <v>990</v>
      </c>
      <c r="O378" s="85">
        <f t="shared" si="4"/>
        <v>990</v>
      </c>
      <c r="P378" s="85">
        <f t="shared" si="5"/>
        <v>210</v>
      </c>
      <c r="Q378" s="83"/>
      <c r="R378" s="118" t="str">
        <f>IF($E378="","",IF(COUNTIF($E$7:$E1575,$E378)&gt;1,"",IFERROR(VLOOKUP($E378,Orders!$A:$I,8,FALSE),"")))</f>
        <v/>
      </c>
      <c r="S378" s="118" t="str">
        <f>IF($E378="","",IF(COUNTIF($E$7:$E1575,$E378)&gt;1,"",IFERROR(VLOOKUP($E378,Orders!$A:$I,9,FALSE),"")))</f>
        <v/>
      </c>
      <c r="T378" s="88">
        <f t="shared" si="6"/>
        <v>210</v>
      </c>
      <c r="U378" s="88">
        <f>IF($F378="","",IF($E378="",T378,SUMIF(Sales!$E$7:$E$1506,$E378,Sales!$T$7:$T$1506)))</f>
        <v>210</v>
      </c>
      <c r="V378" s="49" t="str">
        <f t="shared" si="10"/>
        <v/>
      </c>
      <c r="W378" s="49" t="str">
        <f t="array" ref="W378">IF($V378="","",SUMPRODUCT((Sales!$V$7:$V$1506&lt;&gt;"")*(Sales!$E$7:$E$1506&lt;$E378))+1)</f>
        <v/>
      </c>
      <c r="X378" s="49">
        <f t="shared" si="11"/>
        <v>354</v>
      </c>
      <c r="Y378" s="49" t="str">
        <f t="shared" si="9"/>
        <v>202608-354</v>
      </c>
    </row>
    <row r="379" ht="14.25" customHeight="1">
      <c r="A379" s="141">
        <v>46255.0</v>
      </c>
      <c r="B379" s="142" t="s">
        <v>324</v>
      </c>
      <c r="C379" s="142" t="s">
        <v>365</v>
      </c>
      <c r="D379" s="142" t="s">
        <v>366</v>
      </c>
      <c r="E379" s="83"/>
      <c r="F379" s="83" t="s">
        <v>179</v>
      </c>
      <c r="G379" s="83" t="str">
        <f>IF($F379="","",IFERROR(VLOOKUP($F379,Inventory!$A:$B,2,FALSE),""))</f>
        <v>Creamy Treat 15G (Purry &amp; Hyper Paws)</v>
      </c>
      <c r="H379" s="159">
        <v>1.0</v>
      </c>
      <c r="I379" s="84">
        <f t="shared" si="2"/>
        <v>20</v>
      </c>
      <c r="J379" s="85">
        <f>IF($F379="","",IFERROR(VLOOKUP($F379,Inventory!$A:$K,11,FALSE),0))</f>
        <v>20</v>
      </c>
      <c r="K379" s="85"/>
      <c r="L379" s="85">
        <f t="shared" si="3"/>
        <v>20</v>
      </c>
      <c r="M379" s="159" t="s">
        <v>330</v>
      </c>
      <c r="N379" s="85">
        <f>IF($F379="","",IFERROR(VLOOKUP($F379,Inventory!$A:$I,9,FALSE),0))</f>
        <v>8.147411853</v>
      </c>
      <c r="O379" s="85">
        <f t="shared" si="4"/>
        <v>8.147411853</v>
      </c>
      <c r="P379" s="85">
        <f t="shared" si="5"/>
        <v>11.85258815</v>
      </c>
      <c r="Q379" s="83"/>
      <c r="R379" s="118" t="str">
        <f>IF($E379="","",IF(COUNTIF($E$7:$E1576,$E379)&gt;1,"",IFERROR(VLOOKUP($E379,Orders!$A:$I,8,FALSE),"")))</f>
        <v/>
      </c>
      <c r="S379" s="118" t="str">
        <f>IF($E379="","",IF(COUNTIF($E$7:$E1576,$E379)&gt;1,"",IFERROR(VLOOKUP($E379,Orders!$A:$I,9,FALSE),"")))</f>
        <v/>
      </c>
      <c r="T379" s="88">
        <f t="shared" si="6"/>
        <v>11.85258815</v>
      </c>
      <c r="U379" s="88">
        <f>IF($F379="","",IF($E379="",T379,SUMIF(Sales!$E$7:$E$1506,$E379,Sales!$T$7:$T$1506)))</f>
        <v>11.85258815</v>
      </c>
      <c r="V379" s="49" t="str">
        <f t="shared" si="10"/>
        <v/>
      </c>
      <c r="W379" s="49" t="str">
        <f t="array" ref="W379">IF($V379="","",SUMPRODUCT((Sales!$V$7:$V$1506&lt;&gt;"")*(Sales!$E$7:$E$1506&lt;$E379))+1)</f>
        <v/>
      </c>
      <c r="X379" s="49">
        <f t="shared" si="11"/>
        <v>354</v>
      </c>
      <c r="Y379" s="49" t="str">
        <f t="shared" si="9"/>
        <v>202608-354</v>
      </c>
    </row>
    <row r="380" ht="14.25" customHeight="1">
      <c r="A380" s="141">
        <v>46255.0</v>
      </c>
      <c r="B380" s="142" t="s">
        <v>324</v>
      </c>
      <c r="C380" s="142" t="s">
        <v>365</v>
      </c>
      <c r="D380" s="159" t="s">
        <v>595</v>
      </c>
      <c r="E380" s="159" t="s">
        <v>696</v>
      </c>
      <c r="F380" s="159" t="s">
        <v>262</v>
      </c>
      <c r="G380" s="83" t="str">
        <f>IF($F380="","",IFERROR(VLOOKUP($F380,Inventory!$A:$B,2,FALSE),""))</f>
        <v>Kitchen Flavor Pate Delight</v>
      </c>
      <c r="H380" s="159">
        <v>1.0</v>
      </c>
      <c r="I380" s="84">
        <f t="shared" si="2"/>
        <v>135</v>
      </c>
      <c r="J380" s="85">
        <f>IF($F380="","",IFERROR(VLOOKUP($F380,Inventory!$A:$K,11,FALSE),0))</f>
        <v>150</v>
      </c>
      <c r="K380" s="97">
        <v>15.0</v>
      </c>
      <c r="L380" s="85">
        <f t="shared" si="3"/>
        <v>135</v>
      </c>
      <c r="M380" s="159" t="s">
        <v>596</v>
      </c>
      <c r="N380" s="85">
        <f>IF($F380="","",IFERROR(VLOOKUP($F380,Inventory!$A:$I,9,FALSE),0))</f>
        <v>110</v>
      </c>
      <c r="O380" s="85">
        <f t="shared" si="4"/>
        <v>110</v>
      </c>
      <c r="P380" s="85">
        <f t="shared" si="5"/>
        <v>25</v>
      </c>
      <c r="Q380" s="83"/>
      <c r="R380" s="118" t="str">
        <f>IF($E380="","",IF(COUNTIF($E$7:$E1577,$E380)&gt;1,"",IFERROR(VLOOKUP($E380,Orders!$A:$I,8,FALSE),"")))</f>
        <v/>
      </c>
      <c r="S380" s="118" t="str">
        <f>IF($E380="","",IF(COUNTIF($E$7:$E1577,$E380)&gt;1,"",IFERROR(VLOOKUP($E380,Orders!$A:$I,9,FALSE),"")))</f>
        <v/>
      </c>
      <c r="T380" s="88">
        <f t="shared" si="6"/>
        <v>25</v>
      </c>
      <c r="U380" s="88">
        <f>IF($F380="","",IF($E380="",T380,SUMIF(Sales!$E$7:$E$1506,$E380,Sales!$T$7:$T$1506)))</f>
        <v>170.6801744</v>
      </c>
      <c r="V380" s="49" t="str">
        <f t="shared" si="10"/>
        <v/>
      </c>
      <c r="W380" s="49" t="str">
        <f t="array" ref="W380">IF($V380="","",SUMPRODUCT((Sales!$V$7:$V$1506&lt;&gt;"")*(Sales!$E$7:$E$1506&lt;$E380))+1)</f>
        <v/>
      </c>
      <c r="X380" s="49">
        <f t="shared" si="11"/>
        <v>354</v>
      </c>
      <c r="Y380" s="49" t="str">
        <f t="shared" si="9"/>
        <v>202608-354</v>
      </c>
    </row>
    <row r="381" ht="14.25" customHeight="1">
      <c r="A381" s="141">
        <v>46255.0</v>
      </c>
      <c r="B381" s="142" t="s">
        <v>324</v>
      </c>
      <c r="C381" s="142" t="s">
        <v>365</v>
      </c>
      <c r="D381" s="159" t="s">
        <v>595</v>
      </c>
      <c r="E381" s="159" t="s">
        <v>696</v>
      </c>
      <c r="F381" s="159" t="s">
        <v>104</v>
      </c>
      <c r="G381" s="83" t="str">
        <f>IF($F381="","",IFERROR(VLOOKUP($F381,Inventory!$A:$B,2,FALSE),""))</f>
        <v>Nekko Pouch Tuna in Jelly</v>
      </c>
      <c r="H381" s="159">
        <v>1.0</v>
      </c>
      <c r="I381" s="84">
        <f t="shared" si="2"/>
        <v>82</v>
      </c>
      <c r="J381" s="85">
        <f>IF($F381="","",IFERROR(VLOOKUP($F381,Inventory!$A:$K,11,FALSE),0))</f>
        <v>90</v>
      </c>
      <c r="K381" s="97">
        <v>8.0</v>
      </c>
      <c r="L381" s="85">
        <f t="shared" si="3"/>
        <v>82</v>
      </c>
      <c r="M381" s="159" t="s">
        <v>596</v>
      </c>
      <c r="N381" s="85">
        <f>IF($F381="","",IFERROR(VLOOKUP($F381,Inventory!$A:$I,9,FALSE),0))</f>
        <v>65.17241379</v>
      </c>
      <c r="O381" s="85">
        <f t="shared" si="4"/>
        <v>65.17241379</v>
      </c>
      <c r="P381" s="85">
        <f t="shared" si="5"/>
        <v>16.82758621</v>
      </c>
      <c r="Q381" s="83"/>
      <c r="R381" s="118" t="str">
        <f>IF($E381="","",IF(COUNTIF($E$7:$E1578,$E381)&gt;1,"",IFERROR(VLOOKUP($E381,Orders!$A:$I,8,FALSE),"")))</f>
        <v/>
      </c>
      <c r="S381" s="118" t="str">
        <f>IF($E381="","",IF(COUNTIF($E$7:$E1578,$E381)&gt;1,"",IFERROR(VLOOKUP($E381,Orders!$A:$I,9,FALSE),"")))</f>
        <v/>
      </c>
      <c r="T381" s="88">
        <f t="shared" si="6"/>
        <v>16.82758621</v>
      </c>
      <c r="U381" s="88">
        <f>IF($F381="","",IF($E381="",T381,SUMIF(Sales!$E$7:$E$1506,$E381,Sales!$T$7:$T$1506)))</f>
        <v>170.6801744</v>
      </c>
      <c r="V381" s="49" t="str">
        <f t="shared" si="10"/>
        <v/>
      </c>
      <c r="W381" s="49" t="str">
        <f t="array" ref="W381">IF($V381="","",SUMPRODUCT((Sales!$V$7:$V$1506&lt;&gt;"")*(Sales!$E$7:$E$1506&lt;$E381))+1)</f>
        <v/>
      </c>
      <c r="X381" s="49">
        <f t="shared" si="11"/>
        <v>354</v>
      </c>
      <c r="Y381" s="49" t="str">
        <f t="shared" si="9"/>
        <v>202608-354</v>
      </c>
    </row>
    <row r="382" ht="14.25" customHeight="1">
      <c r="A382" s="141">
        <v>46255.0</v>
      </c>
      <c r="B382" s="142" t="s">
        <v>324</v>
      </c>
      <c r="C382" s="142" t="s">
        <v>365</v>
      </c>
      <c r="D382" s="159" t="s">
        <v>595</v>
      </c>
      <c r="E382" s="159" t="s">
        <v>696</v>
      </c>
      <c r="F382" s="159" t="s">
        <v>448</v>
      </c>
      <c r="G382" s="83" t="str">
        <f>IF($F382="","",IFERROR(VLOOKUP($F382,Inventory!$A:$B,2,FALSE),""))</f>
        <v>Bellotta Adult Pouch Tuna &amp; Chicken 85gm</v>
      </c>
      <c r="H382" s="159">
        <v>1.0</v>
      </c>
      <c r="I382" s="84">
        <f t="shared" si="2"/>
        <v>70</v>
      </c>
      <c r="J382" s="85">
        <f>IF($F382="","",IFERROR(VLOOKUP($F382,Inventory!$A:$K,11,FALSE),0))</f>
        <v>75</v>
      </c>
      <c r="K382" s="97">
        <v>5.0</v>
      </c>
      <c r="L382" s="85">
        <f t="shared" si="3"/>
        <v>70</v>
      </c>
      <c r="M382" s="159" t="s">
        <v>596</v>
      </c>
      <c r="N382" s="85">
        <f>IF($F382="","",IFERROR(VLOOKUP($F382,Inventory!$A:$I,9,FALSE),0))</f>
        <v>64</v>
      </c>
      <c r="O382" s="85">
        <f t="shared" si="4"/>
        <v>64</v>
      </c>
      <c r="P382" s="85">
        <f t="shared" si="5"/>
        <v>6</v>
      </c>
      <c r="Q382" s="83"/>
      <c r="R382" s="118" t="str">
        <f>IF($E382="","",IF(COUNTIF($E$7:$E1579,$E382)&gt;1,"",IFERROR(VLOOKUP($E382,Orders!$A:$I,8,FALSE),"")))</f>
        <v/>
      </c>
      <c r="S382" s="118" t="str">
        <f>IF($E382="","",IF(COUNTIF($E$7:$E1579,$E382)&gt;1,"",IFERROR(VLOOKUP($E382,Orders!$A:$I,9,FALSE),"")))</f>
        <v/>
      </c>
      <c r="T382" s="88">
        <f t="shared" si="6"/>
        <v>6</v>
      </c>
      <c r="U382" s="88">
        <f>IF($F382="","",IF($E382="",T382,SUMIF(Sales!$E$7:$E$1506,$E382,Sales!$T$7:$T$1506)))</f>
        <v>170.6801744</v>
      </c>
      <c r="V382" s="49" t="str">
        <f t="shared" si="10"/>
        <v/>
      </c>
      <c r="W382" s="49" t="str">
        <f t="array" ref="W382">IF($V382="","",SUMPRODUCT((Sales!$V$7:$V$1506&lt;&gt;"")*(Sales!$E$7:$E$1506&lt;$E382))+1)</f>
        <v/>
      </c>
      <c r="X382" s="49">
        <f t="shared" si="11"/>
        <v>354</v>
      </c>
      <c r="Y382" s="49" t="str">
        <f t="shared" si="9"/>
        <v>202608-354</v>
      </c>
    </row>
    <row r="383" ht="14.25" customHeight="1">
      <c r="A383" s="141">
        <v>46255.0</v>
      </c>
      <c r="B383" s="142" t="s">
        <v>324</v>
      </c>
      <c r="C383" s="142" t="s">
        <v>365</v>
      </c>
      <c r="D383" s="142" t="s">
        <v>366</v>
      </c>
      <c r="E383" s="83"/>
      <c r="F383" s="83" t="s">
        <v>179</v>
      </c>
      <c r="G383" s="83" t="str">
        <f>IF($F383="","",IFERROR(VLOOKUP($F383,Inventory!$A:$B,2,FALSE),""))</f>
        <v>Creamy Treat 15G (Purry &amp; Hyper Paws)</v>
      </c>
      <c r="H383" s="159">
        <v>2.0</v>
      </c>
      <c r="I383" s="84">
        <f t="shared" si="2"/>
        <v>20</v>
      </c>
      <c r="J383" s="85">
        <f>IF($F383="","",IFERROR(VLOOKUP($F383,Inventory!$A:$K,11,FALSE),0))</f>
        <v>20</v>
      </c>
      <c r="K383" s="85"/>
      <c r="L383" s="85">
        <f t="shared" si="3"/>
        <v>40</v>
      </c>
      <c r="M383" s="159" t="s">
        <v>330</v>
      </c>
      <c r="N383" s="85">
        <f>IF($F383="","",IFERROR(VLOOKUP($F383,Inventory!$A:$I,9,FALSE),0))</f>
        <v>8.147411853</v>
      </c>
      <c r="O383" s="85">
        <f t="shared" si="4"/>
        <v>16.29482371</v>
      </c>
      <c r="P383" s="85">
        <f t="shared" si="5"/>
        <v>23.70517629</v>
      </c>
      <c r="Q383" s="83"/>
      <c r="R383" s="118" t="str">
        <f>IF($E383="","",IF(COUNTIF($E$7:$E1580,$E383)&gt;1,"",IFERROR(VLOOKUP($E383,Orders!$A:$I,8,FALSE),"")))</f>
        <v/>
      </c>
      <c r="S383" s="118" t="str">
        <f>IF($E383="","",IF(COUNTIF($E$7:$E1580,$E383)&gt;1,"",IFERROR(VLOOKUP($E383,Orders!$A:$I,9,FALSE),"")))</f>
        <v/>
      </c>
      <c r="T383" s="88">
        <f t="shared" si="6"/>
        <v>23.70517629</v>
      </c>
      <c r="U383" s="88">
        <f>IF($F383="","",IF($E383="",T383,SUMIF(Sales!$E$7:$E$1506,$E383,Sales!$T$7:$T$1506)))</f>
        <v>23.70517629</v>
      </c>
      <c r="V383" s="49" t="str">
        <f t="shared" si="10"/>
        <v/>
      </c>
      <c r="W383" s="49" t="str">
        <f t="array" ref="W383">IF($V383="","",SUMPRODUCT((Sales!$V$7:$V$1506&lt;&gt;"")*(Sales!$E$7:$E$1506&lt;$E383))+1)</f>
        <v/>
      </c>
      <c r="X383" s="49">
        <f t="shared" si="11"/>
        <v>354</v>
      </c>
      <c r="Y383" s="49" t="str">
        <f t="shared" si="9"/>
        <v>202608-354</v>
      </c>
    </row>
    <row r="384" ht="14.25" customHeight="1">
      <c r="A384" s="141">
        <v>46255.0</v>
      </c>
      <c r="B384" s="142" t="s">
        <v>324</v>
      </c>
      <c r="C384" s="142" t="s">
        <v>365</v>
      </c>
      <c r="D384" s="142" t="s">
        <v>366</v>
      </c>
      <c r="E384" s="83"/>
      <c r="F384" s="159" t="s">
        <v>378</v>
      </c>
      <c r="G384" s="83" t="str">
        <f>IF($F384="","",IFERROR(VLOOKUP($F384,Inventory!$A:$B,2,FALSE),""))</f>
        <v>Drools &amp; Purepet Mixe Cat Food 500gm</v>
      </c>
      <c r="H384" s="159">
        <v>1.0</v>
      </c>
      <c r="I384" s="84">
        <f t="shared" si="2"/>
        <v>210</v>
      </c>
      <c r="J384" s="85">
        <f>IF($F384="","",IFERROR(VLOOKUP($F384,Inventory!$A:$K,11,FALSE),0))</f>
        <v>225</v>
      </c>
      <c r="K384" s="97">
        <v>15.0</v>
      </c>
      <c r="L384" s="85">
        <f t="shared" si="3"/>
        <v>210</v>
      </c>
      <c r="M384" s="159" t="s">
        <v>330</v>
      </c>
      <c r="N384" s="85">
        <f>IF($F384="","",IFERROR(VLOOKUP($F384,Inventory!$A:$I,9,FALSE),0))</f>
        <v>152.9310345</v>
      </c>
      <c r="O384" s="85">
        <f t="shared" si="4"/>
        <v>152.9310345</v>
      </c>
      <c r="P384" s="85">
        <f t="shared" si="5"/>
        <v>57.06896552</v>
      </c>
      <c r="Q384" s="83"/>
      <c r="R384" s="118" t="str">
        <f>IF($E384="","",IF(COUNTIF($E$7:$E1581,$E384)&gt;1,"",IFERROR(VLOOKUP($E384,Orders!$A:$I,8,FALSE),"")))</f>
        <v/>
      </c>
      <c r="S384" s="118" t="str">
        <f>IF($E384="","",IF(COUNTIF($E$7:$E1581,$E384)&gt;1,"",IFERROR(VLOOKUP($E384,Orders!$A:$I,9,FALSE),"")))</f>
        <v/>
      </c>
      <c r="T384" s="88">
        <f t="shared" si="6"/>
        <v>57.06896552</v>
      </c>
      <c r="U384" s="88">
        <f>IF($F384="","",IF($E384="",T384,SUMIF(Sales!$E$7:$E$1506,$E384,Sales!$T$7:$T$1506)))</f>
        <v>57.06896552</v>
      </c>
      <c r="V384" s="49" t="str">
        <f t="shared" si="10"/>
        <v/>
      </c>
      <c r="W384" s="49" t="str">
        <f t="array" ref="W384">IF($V384="","",SUMPRODUCT((Sales!$V$7:$V$1506&lt;&gt;"")*(Sales!$E$7:$E$1506&lt;$E384))+1)</f>
        <v/>
      </c>
      <c r="X384" s="49">
        <f t="shared" si="11"/>
        <v>354</v>
      </c>
      <c r="Y384" s="49" t="str">
        <f t="shared" si="9"/>
        <v>202608-354</v>
      </c>
    </row>
    <row r="385" ht="14.25" customHeight="1">
      <c r="A385" s="161">
        <v>46256.0</v>
      </c>
      <c r="B385" s="142" t="s">
        <v>324</v>
      </c>
      <c r="C385" s="142" t="s">
        <v>365</v>
      </c>
      <c r="D385" s="142" t="s">
        <v>366</v>
      </c>
      <c r="E385" s="83"/>
      <c r="F385" s="83" t="s">
        <v>179</v>
      </c>
      <c r="G385" s="83" t="str">
        <f>IF($F385="","",IFERROR(VLOOKUP($F385,Inventory!$A:$B,2,FALSE),""))</f>
        <v>Creamy Treat 15G (Purry &amp; Hyper Paws)</v>
      </c>
      <c r="H385" s="159">
        <v>1.0</v>
      </c>
      <c r="I385" s="84">
        <f t="shared" si="2"/>
        <v>20</v>
      </c>
      <c r="J385" s="85">
        <f>IF($F385="","",IFERROR(VLOOKUP($F385,Inventory!$A:$K,11,FALSE),0))</f>
        <v>20</v>
      </c>
      <c r="K385" s="85"/>
      <c r="L385" s="85">
        <f t="shared" si="3"/>
        <v>20</v>
      </c>
      <c r="M385" s="159" t="s">
        <v>330</v>
      </c>
      <c r="N385" s="85">
        <f>IF($F385="","",IFERROR(VLOOKUP($F385,Inventory!$A:$I,9,FALSE),0))</f>
        <v>8.147411853</v>
      </c>
      <c r="O385" s="85">
        <f t="shared" si="4"/>
        <v>8.147411853</v>
      </c>
      <c r="P385" s="85">
        <f t="shared" si="5"/>
        <v>11.85258815</v>
      </c>
      <c r="Q385" s="83"/>
      <c r="R385" s="118" t="str">
        <f>IF($E385="","",IF(COUNTIF($E$7:$E1582,$E385)&gt;1,"",IFERROR(VLOOKUP($E385,Orders!$A:$I,8,FALSE),"")))</f>
        <v/>
      </c>
      <c r="S385" s="118" t="str">
        <f>IF($E385="","",IF(COUNTIF($E$7:$E1582,$E385)&gt;1,"",IFERROR(VLOOKUP($E385,Orders!$A:$I,9,FALSE),"")))</f>
        <v/>
      </c>
      <c r="T385" s="88">
        <f t="shared" si="6"/>
        <v>11.85258815</v>
      </c>
      <c r="U385" s="88">
        <f>IF($F385="","",IF($E385="",T385,SUMIF(Sales!$E$7:$E$1506,$E385,Sales!$T$7:$T$1506)))</f>
        <v>11.85258815</v>
      </c>
      <c r="V385" s="49" t="str">
        <f t="shared" si="10"/>
        <v/>
      </c>
      <c r="W385" s="49" t="str">
        <f t="array" ref="W385">IF($V385="","",SUMPRODUCT((Sales!$V$7:$V$1506&lt;&gt;"")*(Sales!$E$7:$E$1506&lt;$E385))+1)</f>
        <v/>
      </c>
      <c r="X385" s="49">
        <f t="shared" si="11"/>
        <v>354</v>
      </c>
      <c r="Y385" s="49" t="str">
        <f t="shared" si="9"/>
        <v>202608-354</v>
      </c>
    </row>
    <row r="386" ht="14.25" customHeight="1">
      <c r="A386" s="161">
        <v>46256.0</v>
      </c>
      <c r="B386" s="142" t="s">
        <v>324</v>
      </c>
      <c r="C386" s="142" t="s">
        <v>365</v>
      </c>
      <c r="D386" s="142" t="s">
        <v>366</v>
      </c>
      <c r="E386" s="83"/>
      <c r="F386" s="83" t="s">
        <v>179</v>
      </c>
      <c r="G386" s="83" t="str">
        <f>IF($F386="","",IFERROR(VLOOKUP($F386,Inventory!$A:$B,2,FALSE),""))</f>
        <v>Creamy Treat 15G (Purry &amp; Hyper Paws)</v>
      </c>
      <c r="H386" s="159">
        <v>2.0</v>
      </c>
      <c r="I386" s="84">
        <f t="shared" si="2"/>
        <v>15</v>
      </c>
      <c r="J386" s="85">
        <f>IF($F386="","",IFERROR(VLOOKUP($F386,Inventory!$A:$K,11,FALSE),0))</f>
        <v>20</v>
      </c>
      <c r="K386" s="97">
        <v>5.0</v>
      </c>
      <c r="L386" s="85">
        <f t="shared" si="3"/>
        <v>30</v>
      </c>
      <c r="M386" s="159" t="s">
        <v>330</v>
      </c>
      <c r="N386" s="85">
        <f>IF($F386="","",IFERROR(VLOOKUP($F386,Inventory!$A:$I,9,FALSE),0))</f>
        <v>8.147411853</v>
      </c>
      <c r="O386" s="85">
        <f t="shared" si="4"/>
        <v>16.29482371</v>
      </c>
      <c r="P386" s="85">
        <f t="shared" si="5"/>
        <v>13.70517629</v>
      </c>
      <c r="Q386" s="83"/>
      <c r="R386" s="118" t="str">
        <f>IF($E386="","",IF(COUNTIF($E$7:$E1583,$E386)&gt;1,"",IFERROR(VLOOKUP($E386,Orders!$A:$I,8,FALSE),"")))</f>
        <v/>
      </c>
      <c r="S386" s="118" t="str">
        <f>IF($E386="","",IF(COUNTIF($E$7:$E1583,$E386)&gt;1,"",IFERROR(VLOOKUP($E386,Orders!$A:$I,9,FALSE),"")))</f>
        <v/>
      </c>
      <c r="T386" s="88">
        <f t="shared" si="6"/>
        <v>13.70517629</v>
      </c>
      <c r="U386" s="88">
        <f>IF($F386="","",IF($E386="",T386,SUMIF(Sales!$E$7:$E$1506,$E386,Sales!$T$7:$T$1506)))</f>
        <v>13.70517629</v>
      </c>
      <c r="V386" s="49" t="str">
        <f t="shared" si="10"/>
        <v/>
      </c>
      <c r="W386" s="49" t="str">
        <f t="array" ref="W386">IF($V386="","",SUMPRODUCT((Sales!$V$7:$V$1506&lt;&gt;"")*(Sales!$E$7:$E$1506&lt;$E386))+1)</f>
        <v/>
      </c>
      <c r="X386" s="49">
        <f t="shared" si="11"/>
        <v>354</v>
      </c>
      <c r="Y386" s="49" t="str">
        <f t="shared" si="9"/>
        <v>202608-354</v>
      </c>
    </row>
    <row r="387" ht="14.25" customHeight="1">
      <c r="A387" s="161">
        <v>46256.0</v>
      </c>
      <c r="B387" s="142" t="s">
        <v>324</v>
      </c>
      <c r="C387" s="142" t="s">
        <v>365</v>
      </c>
      <c r="D387" s="142" t="s">
        <v>366</v>
      </c>
      <c r="E387" s="83"/>
      <c r="F387" s="159" t="s">
        <v>361</v>
      </c>
      <c r="G387" s="83" t="str">
        <f>IF($F387="","",IFERROR(VLOOKUP($F387,Inventory!$A:$B,2,FALSE),""))</f>
        <v>Petmetro Premium Pouch Chicken 85gm</v>
      </c>
      <c r="H387" s="159">
        <v>1.0</v>
      </c>
      <c r="I387" s="84">
        <f t="shared" si="2"/>
        <v>80</v>
      </c>
      <c r="J387" s="85">
        <f>IF($F387="","",IFERROR(VLOOKUP($F387,Inventory!$A:$K,11,FALSE),0))</f>
        <v>80</v>
      </c>
      <c r="K387" s="85"/>
      <c r="L387" s="85">
        <f t="shared" si="3"/>
        <v>80</v>
      </c>
      <c r="M387" s="159" t="s">
        <v>330</v>
      </c>
      <c r="N387" s="85">
        <f>IF($F387="","",IFERROR(VLOOKUP($F387,Inventory!$A:$I,9,FALSE),0))</f>
        <v>60</v>
      </c>
      <c r="O387" s="85">
        <f t="shared" si="4"/>
        <v>60</v>
      </c>
      <c r="P387" s="85">
        <f t="shared" si="5"/>
        <v>20</v>
      </c>
      <c r="Q387" s="83"/>
      <c r="R387" s="118" t="str">
        <f>IF($E387="","",IF(COUNTIF($E$7:$E1584,$E387)&gt;1,"",IFERROR(VLOOKUP($E387,Orders!$A:$I,8,FALSE),"")))</f>
        <v/>
      </c>
      <c r="S387" s="118" t="str">
        <f>IF($E387="","",IF(COUNTIF($E$7:$E1584,$E387)&gt;1,"",IFERROR(VLOOKUP($E387,Orders!$A:$I,9,FALSE),"")))</f>
        <v/>
      </c>
      <c r="T387" s="88">
        <f t="shared" si="6"/>
        <v>20</v>
      </c>
      <c r="U387" s="88">
        <f>IF($F387="","",IF($E387="",T387,SUMIF(Sales!$E$7:$E$1506,$E387,Sales!$T$7:$T$1506)))</f>
        <v>20</v>
      </c>
      <c r="V387" s="49" t="str">
        <f t="shared" si="10"/>
        <v/>
      </c>
      <c r="W387" s="49" t="str">
        <f t="array" ref="W387">IF($V387="","",SUMPRODUCT((Sales!$V$7:$V$1506&lt;&gt;"")*(Sales!$E$7:$E$1506&lt;$E387))+1)</f>
        <v/>
      </c>
      <c r="X387" s="49">
        <f t="shared" si="11"/>
        <v>354</v>
      </c>
      <c r="Y387" s="49" t="str">
        <f t="shared" si="9"/>
        <v>202608-354</v>
      </c>
    </row>
    <row r="388" ht="14.25" customHeight="1">
      <c r="A388" s="161">
        <v>46256.0</v>
      </c>
      <c r="B388" s="142" t="s">
        <v>324</v>
      </c>
      <c r="C388" s="142" t="s">
        <v>365</v>
      </c>
      <c r="D388" s="142" t="s">
        <v>366</v>
      </c>
      <c r="E388" s="83"/>
      <c r="F388" s="159" t="s">
        <v>378</v>
      </c>
      <c r="G388" s="83" t="str">
        <f>IF($F388="","",IFERROR(VLOOKUP($F388,Inventory!$A:$B,2,FALSE),""))</f>
        <v>Drools &amp; Purepet Mixe Cat Food 500gm</v>
      </c>
      <c r="H388" s="159">
        <v>2.0</v>
      </c>
      <c r="I388" s="84">
        <f t="shared" si="2"/>
        <v>200</v>
      </c>
      <c r="J388" s="85">
        <f>IF($F388="","",IFERROR(VLOOKUP($F388,Inventory!$A:$K,11,FALSE),0))</f>
        <v>225</v>
      </c>
      <c r="K388" s="97">
        <v>25.0</v>
      </c>
      <c r="L388" s="85">
        <f t="shared" si="3"/>
        <v>400</v>
      </c>
      <c r="M388" s="159" t="s">
        <v>330</v>
      </c>
      <c r="N388" s="85">
        <f>IF($F388="","",IFERROR(VLOOKUP($F388,Inventory!$A:$I,9,FALSE),0))</f>
        <v>152.9310345</v>
      </c>
      <c r="O388" s="85">
        <f t="shared" si="4"/>
        <v>305.862069</v>
      </c>
      <c r="P388" s="85">
        <f t="shared" si="5"/>
        <v>94.13793103</v>
      </c>
      <c r="Q388" s="83"/>
      <c r="R388" s="118" t="str">
        <f>IF($E388="","",IF(COUNTIF($E$7:$E1585,$E388)&gt;1,"",IFERROR(VLOOKUP($E388,Orders!$A:$I,8,FALSE),"")))</f>
        <v/>
      </c>
      <c r="S388" s="118" t="str">
        <f>IF($E388="","",IF(COUNTIF($E$7:$E1585,$E388)&gt;1,"",IFERROR(VLOOKUP($E388,Orders!$A:$I,9,FALSE),"")))</f>
        <v/>
      </c>
      <c r="T388" s="88">
        <f t="shared" si="6"/>
        <v>94.13793103</v>
      </c>
      <c r="U388" s="88">
        <f>IF($F388="","",IF($E388="",T388,SUMIF(Sales!$E$7:$E$1506,$E388,Sales!$T$7:$T$1506)))</f>
        <v>94.13793103</v>
      </c>
      <c r="V388" s="49" t="str">
        <f t="shared" si="10"/>
        <v/>
      </c>
      <c r="W388" s="49" t="str">
        <f t="array" ref="W388">IF($V388="","",SUMPRODUCT((Sales!$V$7:$V$1506&lt;&gt;"")*(Sales!$E$7:$E$1506&lt;$E388))+1)</f>
        <v/>
      </c>
      <c r="X388" s="49">
        <f t="shared" si="11"/>
        <v>354</v>
      </c>
      <c r="Y388" s="49" t="str">
        <f t="shared" si="9"/>
        <v>202608-354</v>
      </c>
    </row>
    <row r="389" ht="14.25" customHeight="1">
      <c r="A389" s="161">
        <v>46256.0</v>
      </c>
      <c r="B389" s="142" t="s">
        <v>324</v>
      </c>
      <c r="C389" s="142" t="s">
        <v>365</v>
      </c>
      <c r="D389" s="142" t="s">
        <v>366</v>
      </c>
      <c r="E389" s="83"/>
      <c r="F389" s="159" t="s">
        <v>211</v>
      </c>
      <c r="G389" s="83" t="str">
        <f>IF($F389="","",IFERROR(VLOOKUP($F389,Inventory!$A:$B,2,FALSE),""))</f>
        <v>Smart Heart Pouch  Tuna With Chicken in Jelly</v>
      </c>
      <c r="H389" s="159">
        <v>1.0</v>
      </c>
      <c r="I389" s="84">
        <f t="shared" si="2"/>
        <v>85</v>
      </c>
      <c r="J389" s="85">
        <f>IF($F389="","",IFERROR(VLOOKUP($F389,Inventory!$A:$K,11,FALSE),0))</f>
        <v>95</v>
      </c>
      <c r="K389" s="97">
        <v>10.0</v>
      </c>
      <c r="L389" s="85">
        <f t="shared" si="3"/>
        <v>85</v>
      </c>
      <c r="M389" s="159" t="s">
        <v>330</v>
      </c>
      <c r="N389" s="85">
        <f>IF($F389="","",IFERROR(VLOOKUP($F389,Inventory!$A:$I,9,FALSE),0))</f>
        <v>71.9047619</v>
      </c>
      <c r="O389" s="85">
        <f t="shared" si="4"/>
        <v>71.9047619</v>
      </c>
      <c r="P389" s="85">
        <f t="shared" si="5"/>
        <v>13.0952381</v>
      </c>
      <c r="Q389" s="83"/>
      <c r="R389" s="118" t="str">
        <f>IF($E389="","",IF(COUNTIF($E$7:$E1586,$E389)&gt;1,"",IFERROR(VLOOKUP($E389,Orders!$A:$I,8,FALSE),"")))</f>
        <v/>
      </c>
      <c r="S389" s="118" t="str">
        <f>IF($E389="","",IF(COUNTIF($E$7:$E1586,$E389)&gt;1,"",IFERROR(VLOOKUP($E389,Orders!$A:$I,9,FALSE),"")))</f>
        <v/>
      </c>
      <c r="T389" s="88">
        <f t="shared" si="6"/>
        <v>13.0952381</v>
      </c>
      <c r="U389" s="88">
        <f>IF($F389="","",IF($E389="",T389,SUMIF(Sales!$E$7:$E$1506,$E389,Sales!$T$7:$T$1506)))</f>
        <v>13.0952381</v>
      </c>
      <c r="V389" s="49" t="str">
        <f t="shared" si="10"/>
        <v/>
      </c>
      <c r="W389" s="49" t="str">
        <f t="array" ref="W389">IF($V389="","",SUMPRODUCT((Sales!$V$7:$V$1506&lt;&gt;"")*(Sales!$E$7:$E$1506&lt;$E389))+1)</f>
        <v/>
      </c>
      <c r="X389" s="49">
        <f t="shared" si="11"/>
        <v>354</v>
      </c>
      <c r="Y389" s="49" t="str">
        <f t="shared" si="9"/>
        <v>202608-354</v>
      </c>
    </row>
    <row r="390" ht="14.25" customHeight="1">
      <c r="A390" s="161">
        <v>46256.0</v>
      </c>
      <c r="B390" s="142" t="s">
        <v>324</v>
      </c>
      <c r="C390" s="142" t="s">
        <v>365</v>
      </c>
      <c r="D390" s="142" t="s">
        <v>366</v>
      </c>
      <c r="E390" s="83"/>
      <c r="F390" s="159" t="s">
        <v>391</v>
      </c>
      <c r="G390" s="83" t="str">
        <f>IF($F390="","",IFERROR(VLOOKUP($F390,Inventory!$A:$B,2,FALSE),""))</f>
        <v>LuminaCat Litter Coffee 5L</v>
      </c>
      <c r="H390" s="159">
        <v>1.0</v>
      </c>
      <c r="I390" s="84">
        <f t="shared" si="2"/>
        <v>250</v>
      </c>
      <c r="J390" s="85">
        <f>IF($F390="","",IFERROR(VLOOKUP($F390,Inventory!$A:$K,11,FALSE),0))</f>
        <v>280</v>
      </c>
      <c r="K390" s="97">
        <v>30.0</v>
      </c>
      <c r="L390" s="85">
        <f t="shared" si="3"/>
        <v>250</v>
      </c>
      <c r="M390" s="159" t="s">
        <v>330</v>
      </c>
      <c r="N390" s="85">
        <f>IF($F390="","",IFERROR(VLOOKUP($F390,Inventory!$A:$I,9,FALSE),0))</f>
        <v>190</v>
      </c>
      <c r="O390" s="85">
        <f t="shared" si="4"/>
        <v>190</v>
      </c>
      <c r="P390" s="85">
        <f t="shared" si="5"/>
        <v>60</v>
      </c>
      <c r="Q390" s="83"/>
      <c r="R390" s="118" t="str">
        <f>IF($E390="","",IF(COUNTIF($E$7:$E1587,$E390)&gt;1,"",IFERROR(VLOOKUP($E390,Orders!$A:$I,8,FALSE),"")))</f>
        <v/>
      </c>
      <c r="S390" s="118" t="str">
        <f>IF($E390="","",IF(COUNTIF($E$7:$E1587,$E390)&gt;1,"",IFERROR(VLOOKUP($E390,Orders!$A:$I,9,FALSE),"")))</f>
        <v/>
      </c>
      <c r="T390" s="88">
        <f t="shared" si="6"/>
        <v>60</v>
      </c>
      <c r="U390" s="88">
        <f>IF($F390="","",IF($E390="",T390,SUMIF(Sales!$E$7:$E$1506,$E390,Sales!$T$7:$T$1506)))</f>
        <v>60</v>
      </c>
      <c r="V390" s="49" t="str">
        <f t="shared" si="10"/>
        <v/>
      </c>
      <c r="W390" s="49" t="str">
        <f t="array" ref="W390">IF($V390="","",SUMPRODUCT((Sales!$V$7:$V$1506&lt;&gt;"")*(Sales!$E$7:$E$1506&lt;$E390))+1)</f>
        <v/>
      </c>
      <c r="X390" s="49">
        <f t="shared" si="11"/>
        <v>354</v>
      </c>
      <c r="Y390" s="49" t="str">
        <f t="shared" si="9"/>
        <v>202608-354</v>
      </c>
    </row>
    <row r="391" ht="14.25" customHeight="1">
      <c r="A391" s="161">
        <v>46256.0</v>
      </c>
      <c r="B391" s="142" t="s">
        <v>324</v>
      </c>
      <c r="C391" s="142" t="s">
        <v>365</v>
      </c>
      <c r="D391" s="142" t="s">
        <v>366</v>
      </c>
      <c r="E391" s="83"/>
      <c r="F391" s="159" t="s">
        <v>256</v>
      </c>
      <c r="G391" s="83" t="str">
        <f>IF($F391="","",IFERROR(VLOOKUP($F391,Inventory!$A:$B,2,FALSE),""))</f>
        <v>Kitchen Flavor Grain Free Kitten 400G</v>
      </c>
      <c r="H391" s="159">
        <v>1.0</v>
      </c>
      <c r="I391" s="84">
        <f t="shared" si="2"/>
        <v>350</v>
      </c>
      <c r="J391" s="85">
        <f>IF($F391="","",IFERROR(VLOOKUP($F391,Inventory!$A:$K,11,FALSE),0))</f>
        <v>380</v>
      </c>
      <c r="K391" s="97">
        <v>30.0</v>
      </c>
      <c r="L391" s="85">
        <f t="shared" si="3"/>
        <v>350</v>
      </c>
      <c r="M391" s="159" t="s">
        <v>330</v>
      </c>
      <c r="N391" s="85">
        <f>IF($F391="","",IFERROR(VLOOKUP($F391,Inventory!$A:$I,9,FALSE),0))</f>
        <v>290</v>
      </c>
      <c r="O391" s="85">
        <f t="shared" si="4"/>
        <v>290</v>
      </c>
      <c r="P391" s="85">
        <f t="shared" si="5"/>
        <v>60</v>
      </c>
      <c r="Q391" s="83"/>
      <c r="R391" s="118" t="str">
        <f>IF($E391="","",IF(COUNTIF($E$7:$E1588,$E391)&gt;1,"",IFERROR(VLOOKUP($E391,Orders!$A:$I,8,FALSE),"")))</f>
        <v/>
      </c>
      <c r="S391" s="118" t="str">
        <f>IF($E391="","",IF(COUNTIF($E$7:$E1588,$E391)&gt;1,"",IFERROR(VLOOKUP($E391,Orders!$A:$I,9,FALSE),"")))</f>
        <v/>
      </c>
      <c r="T391" s="88">
        <f t="shared" si="6"/>
        <v>60</v>
      </c>
      <c r="U391" s="88">
        <f>IF($F391="","",IF($E391="",T391,SUMIF(Sales!$E$7:$E$1506,$E391,Sales!$T$7:$T$1506)))</f>
        <v>60</v>
      </c>
      <c r="V391" s="49" t="str">
        <f t="shared" si="10"/>
        <v/>
      </c>
      <c r="W391" s="49" t="str">
        <f t="array" ref="W391">IF($V391="","",SUMPRODUCT((Sales!$V$7:$V$1506&lt;&gt;"")*(Sales!$E$7:$E$1506&lt;$E391))+1)</f>
        <v/>
      </c>
      <c r="X391" s="49">
        <f t="shared" si="11"/>
        <v>354</v>
      </c>
      <c r="Y391" s="49" t="str">
        <f t="shared" si="9"/>
        <v>202608-354</v>
      </c>
    </row>
    <row r="392" ht="14.25" customHeight="1">
      <c r="A392" s="161">
        <v>46257.0</v>
      </c>
      <c r="B392" s="142" t="s">
        <v>324</v>
      </c>
      <c r="C392" s="142" t="s">
        <v>365</v>
      </c>
      <c r="D392" s="142" t="s">
        <v>366</v>
      </c>
      <c r="E392" s="83"/>
      <c r="F392" s="159" t="s">
        <v>211</v>
      </c>
      <c r="G392" s="83" t="str">
        <f>IF($F392="","",IFERROR(VLOOKUP($F392,Inventory!$A:$B,2,FALSE),""))</f>
        <v>Smart Heart Pouch  Tuna With Chicken in Jelly</v>
      </c>
      <c r="H392" s="159">
        <v>1.0</v>
      </c>
      <c r="I392" s="84">
        <f t="shared" si="2"/>
        <v>90</v>
      </c>
      <c r="J392" s="85">
        <f>IF($F392="","",IFERROR(VLOOKUP($F392,Inventory!$A:$K,11,FALSE),0))</f>
        <v>95</v>
      </c>
      <c r="K392" s="97">
        <v>5.0</v>
      </c>
      <c r="L392" s="85">
        <f t="shared" si="3"/>
        <v>90</v>
      </c>
      <c r="M392" s="159" t="s">
        <v>330</v>
      </c>
      <c r="N392" s="85">
        <f>IF($F392="","",IFERROR(VLOOKUP($F392,Inventory!$A:$I,9,FALSE),0))</f>
        <v>71.9047619</v>
      </c>
      <c r="O392" s="85">
        <f t="shared" si="4"/>
        <v>71.9047619</v>
      </c>
      <c r="P392" s="85">
        <f t="shared" si="5"/>
        <v>18.0952381</v>
      </c>
      <c r="Q392" s="83"/>
      <c r="R392" s="118" t="str">
        <f>IF($E392="","",IF(COUNTIF($E$7:$E1589,$E392)&gt;1,"",IFERROR(VLOOKUP($E392,Orders!$A:$I,8,FALSE),"")))</f>
        <v/>
      </c>
      <c r="S392" s="118" t="str">
        <f>IF($E392="","",IF(COUNTIF($E$7:$E1589,$E392)&gt;1,"",IFERROR(VLOOKUP($E392,Orders!$A:$I,9,FALSE),"")))</f>
        <v/>
      </c>
      <c r="T392" s="88">
        <f t="shared" si="6"/>
        <v>18.0952381</v>
      </c>
      <c r="U392" s="88">
        <f>IF($F392="","",IF($E392="",T392,SUMIF(Sales!$E$7:$E$1506,$E392,Sales!$T$7:$T$1506)))</f>
        <v>18.0952381</v>
      </c>
      <c r="V392" s="49" t="str">
        <f t="shared" si="10"/>
        <v/>
      </c>
      <c r="W392" s="49" t="str">
        <f t="array" ref="W392">IF($V392="","",SUMPRODUCT((Sales!$V$7:$V$1506&lt;&gt;"")*(Sales!$E$7:$E$1506&lt;$E392))+1)</f>
        <v/>
      </c>
      <c r="X392" s="49">
        <f t="shared" si="11"/>
        <v>354</v>
      </c>
      <c r="Y392" s="49" t="str">
        <f t="shared" si="9"/>
        <v>202608-354</v>
      </c>
    </row>
    <row r="393" ht="14.25" customHeight="1">
      <c r="A393" s="161">
        <v>46257.0</v>
      </c>
      <c r="B393" s="142" t="s">
        <v>324</v>
      </c>
      <c r="C393" s="142" t="s">
        <v>365</v>
      </c>
      <c r="D393" s="142" t="s">
        <v>366</v>
      </c>
      <c r="E393" s="83"/>
      <c r="F393" s="83" t="s">
        <v>179</v>
      </c>
      <c r="G393" s="83" t="str">
        <f>IF($F393="","",IFERROR(VLOOKUP($F393,Inventory!$A:$B,2,FALSE),""))</f>
        <v>Creamy Treat 15G (Purry &amp; Hyper Paws)</v>
      </c>
      <c r="H393" s="159">
        <v>1.0</v>
      </c>
      <c r="I393" s="84">
        <f t="shared" si="2"/>
        <v>20</v>
      </c>
      <c r="J393" s="85">
        <f>IF($F393="","",IFERROR(VLOOKUP($F393,Inventory!$A:$K,11,FALSE),0))</f>
        <v>20</v>
      </c>
      <c r="K393" s="85"/>
      <c r="L393" s="85">
        <f t="shared" si="3"/>
        <v>20</v>
      </c>
      <c r="M393" s="159" t="s">
        <v>330</v>
      </c>
      <c r="N393" s="85">
        <f>IF($F393="","",IFERROR(VLOOKUP($F393,Inventory!$A:$I,9,FALSE),0))</f>
        <v>8.147411853</v>
      </c>
      <c r="O393" s="85">
        <f t="shared" si="4"/>
        <v>8.147411853</v>
      </c>
      <c r="P393" s="85">
        <f t="shared" si="5"/>
        <v>11.85258815</v>
      </c>
      <c r="Q393" s="83"/>
      <c r="R393" s="118" t="str">
        <f>IF($E393="","",IF(COUNTIF($E$7:$E1590,$E393)&gt;1,"",IFERROR(VLOOKUP($E393,Orders!$A:$I,8,FALSE),"")))</f>
        <v/>
      </c>
      <c r="S393" s="118" t="str">
        <f>IF($E393="","",IF(COUNTIF($E$7:$E1590,$E393)&gt;1,"",IFERROR(VLOOKUP($E393,Orders!$A:$I,9,FALSE),"")))</f>
        <v/>
      </c>
      <c r="T393" s="88">
        <f t="shared" si="6"/>
        <v>11.85258815</v>
      </c>
      <c r="U393" s="88">
        <f>IF($F393="","",IF($E393="",T393,SUMIF(Sales!$E$7:$E$1506,$E393,Sales!$T$7:$T$1506)))</f>
        <v>11.85258815</v>
      </c>
      <c r="V393" s="49" t="str">
        <f t="shared" si="10"/>
        <v/>
      </c>
      <c r="W393" s="49" t="str">
        <f t="array" ref="W393">IF($V393="","",SUMPRODUCT((Sales!$V$7:$V$1506&lt;&gt;"")*(Sales!$E$7:$E$1506&lt;$E393))+1)</f>
        <v/>
      </c>
      <c r="X393" s="49">
        <f t="shared" si="11"/>
        <v>354</v>
      </c>
      <c r="Y393" s="49" t="str">
        <f t="shared" si="9"/>
        <v>202608-354</v>
      </c>
    </row>
    <row r="394" ht="14.25" customHeight="1">
      <c r="A394" s="161">
        <v>46257.0</v>
      </c>
      <c r="B394" s="142" t="s">
        <v>324</v>
      </c>
      <c r="C394" s="142" t="s">
        <v>365</v>
      </c>
      <c r="D394" s="142" t="s">
        <v>366</v>
      </c>
      <c r="E394" s="83"/>
      <c r="F394" s="83" t="s">
        <v>179</v>
      </c>
      <c r="G394" s="83" t="str">
        <f>IF($F394="","",IFERROR(VLOOKUP($F394,Inventory!$A:$B,2,FALSE),""))</f>
        <v>Creamy Treat 15G (Purry &amp; Hyper Paws)</v>
      </c>
      <c r="H394" s="159">
        <v>10.0</v>
      </c>
      <c r="I394" s="84">
        <f t="shared" si="2"/>
        <v>20</v>
      </c>
      <c r="J394" s="85">
        <f>IF($F394="","",IFERROR(VLOOKUP($F394,Inventory!$A:$K,11,FALSE),0))</f>
        <v>20</v>
      </c>
      <c r="K394" s="85"/>
      <c r="L394" s="85">
        <f t="shared" si="3"/>
        <v>200</v>
      </c>
      <c r="M394" s="159" t="s">
        <v>330</v>
      </c>
      <c r="N394" s="85">
        <f>IF($F394="","",IFERROR(VLOOKUP($F394,Inventory!$A:$I,9,FALSE),0))</f>
        <v>8.147411853</v>
      </c>
      <c r="O394" s="85">
        <f t="shared" si="4"/>
        <v>81.47411853</v>
      </c>
      <c r="P394" s="85">
        <f t="shared" si="5"/>
        <v>118.5258815</v>
      </c>
      <c r="Q394" s="83"/>
      <c r="R394" s="118" t="str">
        <f>IF($E394="","",IF(COUNTIF($E$7:$E1591,$E394)&gt;1,"",IFERROR(VLOOKUP($E394,Orders!$A:$I,8,FALSE),"")))</f>
        <v/>
      </c>
      <c r="S394" s="118" t="str">
        <f>IF($E394="","",IF(COUNTIF($E$7:$E1591,$E394)&gt;1,"",IFERROR(VLOOKUP($E394,Orders!$A:$I,9,FALSE),"")))</f>
        <v/>
      </c>
      <c r="T394" s="88">
        <f t="shared" si="6"/>
        <v>118.5258815</v>
      </c>
      <c r="U394" s="88">
        <f>IF($F394="","",IF($E394="",T394,SUMIF(Sales!$E$7:$E$1506,$E394,Sales!$T$7:$T$1506)))</f>
        <v>118.5258815</v>
      </c>
      <c r="V394" s="49" t="str">
        <f t="shared" si="10"/>
        <v/>
      </c>
      <c r="W394" s="49" t="str">
        <f t="array" ref="W394">IF($V394="","",SUMPRODUCT((Sales!$V$7:$V$1506&lt;&gt;"")*(Sales!$E$7:$E$1506&lt;$E394))+1)</f>
        <v/>
      </c>
      <c r="X394" s="49">
        <f t="shared" si="11"/>
        <v>354</v>
      </c>
      <c r="Y394" s="49" t="str">
        <f t="shared" si="9"/>
        <v>202608-354</v>
      </c>
    </row>
    <row r="395" ht="14.25" customHeight="1">
      <c r="A395" s="161">
        <v>46257.0</v>
      </c>
      <c r="B395" s="142" t="s">
        <v>324</v>
      </c>
      <c r="C395" s="142" t="s">
        <v>365</v>
      </c>
      <c r="D395" s="142" t="s">
        <v>366</v>
      </c>
      <c r="E395" s="83"/>
      <c r="F395" s="159" t="s">
        <v>269</v>
      </c>
      <c r="G395" s="83" t="str">
        <f>IF($F395="","",IFERROR(VLOOKUP($F395,Inventory!$A:$B,2,FALSE),""))</f>
        <v>China Flea </v>
      </c>
      <c r="H395" s="159">
        <v>1.0</v>
      </c>
      <c r="I395" s="84">
        <f t="shared" si="2"/>
        <v>120</v>
      </c>
      <c r="J395" s="85">
        <f>IF($F395="","",IFERROR(VLOOKUP($F395,Inventory!$A:$K,11,FALSE),0))</f>
        <v>120</v>
      </c>
      <c r="K395" s="85"/>
      <c r="L395" s="85">
        <f t="shared" si="3"/>
        <v>120</v>
      </c>
      <c r="M395" s="159" t="s">
        <v>330</v>
      </c>
      <c r="N395" s="85">
        <f>IF($F395="","",IFERROR(VLOOKUP($F395,Inventory!$A:$I,9,FALSE),0))</f>
        <v>65</v>
      </c>
      <c r="O395" s="85">
        <f t="shared" si="4"/>
        <v>65</v>
      </c>
      <c r="P395" s="85">
        <f t="shared" si="5"/>
        <v>55</v>
      </c>
      <c r="Q395" s="83"/>
      <c r="R395" s="118" t="str">
        <f>IF($E395="","",IF(COUNTIF($E$7:$E1592,$E395)&gt;1,"",IFERROR(VLOOKUP($E395,Orders!$A:$I,8,FALSE),"")))</f>
        <v/>
      </c>
      <c r="S395" s="118" t="str">
        <f>IF($E395="","",IF(COUNTIF($E$7:$E1592,$E395)&gt;1,"",IFERROR(VLOOKUP($E395,Orders!$A:$I,9,FALSE),"")))</f>
        <v/>
      </c>
      <c r="T395" s="88">
        <f t="shared" si="6"/>
        <v>55</v>
      </c>
      <c r="U395" s="88">
        <f>IF($F395="","",IF($E395="",T395,SUMIF(Sales!$E$7:$E$1506,$E395,Sales!$T$7:$T$1506)))</f>
        <v>55</v>
      </c>
      <c r="V395" s="49" t="str">
        <f t="shared" si="10"/>
        <v/>
      </c>
      <c r="W395" s="49" t="str">
        <f t="array" ref="W395">IF($V395="","",SUMPRODUCT((Sales!$V$7:$V$1506&lt;&gt;"")*(Sales!$E$7:$E$1506&lt;$E395))+1)</f>
        <v/>
      </c>
      <c r="X395" s="49">
        <f t="shared" si="11"/>
        <v>354</v>
      </c>
      <c r="Y395" s="49" t="str">
        <f t="shared" si="9"/>
        <v>202608-354</v>
      </c>
    </row>
    <row r="396" ht="14.25" customHeight="1">
      <c r="A396" s="161">
        <v>46257.0</v>
      </c>
      <c r="B396" s="142" t="s">
        <v>324</v>
      </c>
      <c r="C396" s="142" t="s">
        <v>365</v>
      </c>
      <c r="D396" s="142" t="s">
        <v>366</v>
      </c>
      <c r="E396" s="83"/>
      <c r="F396" s="159" t="s">
        <v>378</v>
      </c>
      <c r="G396" s="83" t="str">
        <f>IF($F396="","",IFERROR(VLOOKUP($F396,Inventory!$A:$B,2,FALSE),""))</f>
        <v>Drools &amp; Purepet Mixe Cat Food 500gm</v>
      </c>
      <c r="H396" s="159">
        <v>4.0</v>
      </c>
      <c r="I396" s="84">
        <f t="shared" si="2"/>
        <v>200</v>
      </c>
      <c r="J396" s="85">
        <f>IF($F396="","",IFERROR(VLOOKUP($F396,Inventory!$A:$K,11,FALSE),0))</f>
        <v>225</v>
      </c>
      <c r="K396" s="97">
        <v>25.0</v>
      </c>
      <c r="L396" s="85">
        <f t="shared" si="3"/>
        <v>800</v>
      </c>
      <c r="M396" s="159" t="s">
        <v>330</v>
      </c>
      <c r="N396" s="85">
        <f>IF($F396="","",IFERROR(VLOOKUP($F396,Inventory!$A:$I,9,FALSE),0))</f>
        <v>152.9310345</v>
      </c>
      <c r="O396" s="85">
        <f t="shared" si="4"/>
        <v>611.7241379</v>
      </c>
      <c r="P396" s="85">
        <f t="shared" si="5"/>
        <v>188.2758621</v>
      </c>
      <c r="Q396" s="83"/>
      <c r="R396" s="118" t="str">
        <f>IF($E396="","",IF(COUNTIF($E$7:$E1593,$E396)&gt;1,"",IFERROR(VLOOKUP($E396,Orders!$A:$I,8,FALSE),"")))</f>
        <v/>
      </c>
      <c r="S396" s="118" t="str">
        <f>IF($E396="","",IF(COUNTIF($E$7:$E1593,$E396)&gt;1,"",IFERROR(VLOOKUP($E396,Orders!$A:$I,9,FALSE),"")))</f>
        <v/>
      </c>
      <c r="T396" s="88">
        <f t="shared" si="6"/>
        <v>188.2758621</v>
      </c>
      <c r="U396" s="88">
        <f>IF($F396="","",IF($E396="",T396,SUMIF(Sales!$E$7:$E$1506,$E396,Sales!$T$7:$T$1506)))</f>
        <v>188.2758621</v>
      </c>
      <c r="V396" s="49" t="str">
        <f t="shared" si="10"/>
        <v/>
      </c>
      <c r="W396" s="49" t="str">
        <f t="array" ref="W396">IF($V396="","",SUMPRODUCT((Sales!$V$7:$V$1506&lt;&gt;"")*(Sales!$E$7:$E$1506&lt;$E396))+1)</f>
        <v/>
      </c>
      <c r="X396" s="49">
        <f t="shared" si="11"/>
        <v>354</v>
      </c>
      <c r="Y396" s="49" t="str">
        <f t="shared" si="9"/>
        <v>202608-354</v>
      </c>
    </row>
    <row r="397" ht="14.25" customHeight="1">
      <c r="A397" s="161">
        <v>46257.0</v>
      </c>
      <c r="B397" s="142" t="s">
        <v>324</v>
      </c>
      <c r="C397" s="142" t="s">
        <v>365</v>
      </c>
      <c r="D397" s="142" t="s">
        <v>366</v>
      </c>
      <c r="E397" s="83"/>
      <c r="F397" s="159" t="s">
        <v>439</v>
      </c>
      <c r="G397" s="83" t="str">
        <f>IF($F397="","",IFERROR(VLOOKUP($F397,Inventory!$A:$B,2,FALSE),""))</f>
        <v>Zoi Cat Food 1kg</v>
      </c>
      <c r="H397" s="159">
        <v>1.0</v>
      </c>
      <c r="I397" s="84">
        <f t="shared" si="2"/>
        <v>380</v>
      </c>
      <c r="J397" s="85">
        <f>IF($F397="","",IFERROR(VLOOKUP($F397,Inventory!$A:$K,11,FALSE),0))</f>
        <v>420</v>
      </c>
      <c r="K397" s="97">
        <v>40.0</v>
      </c>
      <c r="L397" s="85">
        <f t="shared" si="3"/>
        <v>380</v>
      </c>
      <c r="M397" s="159" t="s">
        <v>330</v>
      </c>
      <c r="N397" s="85">
        <f>IF($F397="","",IFERROR(VLOOKUP($F397,Inventory!$A:$I,9,FALSE),0))</f>
        <v>315</v>
      </c>
      <c r="O397" s="85">
        <f t="shared" si="4"/>
        <v>315</v>
      </c>
      <c r="P397" s="85">
        <f t="shared" si="5"/>
        <v>65</v>
      </c>
      <c r="Q397" s="83"/>
      <c r="R397" s="118" t="str">
        <f>IF($E397="","",IF(COUNTIF($E$7:$E1594,$E397)&gt;1,"",IFERROR(VLOOKUP($E397,Orders!$A:$I,8,FALSE),"")))</f>
        <v/>
      </c>
      <c r="S397" s="118" t="str">
        <f>IF($E397="","",IF(COUNTIF($E$7:$E1594,$E397)&gt;1,"",IFERROR(VLOOKUP($E397,Orders!$A:$I,9,FALSE),"")))</f>
        <v/>
      </c>
      <c r="T397" s="88">
        <f t="shared" si="6"/>
        <v>65</v>
      </c>
      <c r="U397" s="88">
        <f>IF($F397="","",IF($E397="",T397,SUMIF(Sales!$E$7:$E$1506,$E397,Sales!$T$7:$T$1506)))</f>
        <v>65</v>
      </c>
      <c r="V397" s="49" t="str">
        <f t="shared" si="10"/>
        <v/>
      </c>
      <c r="W397" s="49" t="str">
        <f t="array" ref="W397">IF($V397="","",SUMPRODUCT((Sales!$V$7:$V$1506&lt;&gt;"")*(Sales!$E$7:$E$1506&lt;$E397))+1)</f>
        <v/>
      </c>
      <c r="X397" s="49">
        <f t="shared" si="11"/>
        <v>354</v>
      </c>
      <c r="Y397" s="49" t="str">
        <f t="shared" si="9"/>
        <v>202608-354</v>
      </c>
    </row>
    <row r="398" ht="14.25" customHeight="1">
      <c r="A398" s="161">
        <v>46257.0</v>
      </c>
      <c r="B398" s="142" t="s">
        <v>324</v>
      </c>
      <c r="C398" s="142" t="s">
        <v>365</v>
      </c>
      <c r="D398" s="142" t="s">
        <v>366</v>
      </c>
      <c r="E398" s="83"/>
      <c r="F398" s="159" t="s">
        <v>459</v>
      </c>
      <c r="G398" s="83" t="str">
        <f>IF($F398="","",IFERROR(VLOOKUP($F398,Inventory!$A:$B,2,FALSE),""))</f>
        <v>Cat Elezabeth Collar</v>
      </c>
      <c r="H398" s="159">
        <v>1.0</v>
      </c>
      <c r="I398" s="84">
        <f t="shared" si="2"/>
        <v>120</v>
      </c>
      <c r="J398" s="85">
        <f>IF($F398="","",IFERROR(VLOOKUP($F398,Inventory!$A:$K,11,FALSE),0))</f>
        <v>250</v>
      </c>
      <c r="K398" s="97">
        <v>130.0</v>
      </c>
      <c r="L398" s="85">
        <f t="shared" si="3"/>
        <v>120</v>
      </c>
      <c r="M398" s="159" t="s">
        <v>330</v>
      </c>
      <c r="N398" s="85">
        <f>IF($F398="","",IFERROR(VLOOKUP($F398,Inventory!$A:$I,9,FALSE),0))</f>
        <v>100</v>
      </c>
      <c r="O398" s="85">
        <f t="shared" si="4"/>
        <v>100</v>
      </c>
      <c r="P398" s="85">
        <f t="shared" si="5"/>
        <v>20</v>
      </c>
      <c r="Q398" s="83"/>
      <c r="R398" s="118" t="str">
        <f>IF($E398="","",IF(COUNTIF($E$7:$E1595,$E398)&gt;1,"",IFERROR(VLOOKUP($E398,Orders!$A:$I,8,FALSE),"")))</f>
        <v/>
      </c>
      <c r="S398" s="118" t="str">
        <f>IF($E398="","",IF(COUNTIF($E$7:$E1595,$E398)&gt;1,"",IFERROR(VLOOKUP($E398,Orders!$A:$I,9,FALSE),"")))</f>
        <v/>
      </c>
      <c r="T398" s="88">
        <f t="shared" si="6"/>
        <v>20</v>
      </c>
      <c r="U398" s="88">
        <f>IF($F398="","",IF($E398="",T398,SUMIF(Sales!$E$7:$E$1506,$E398,Sales!$T$7:$T$1506)))</f>
        <v>20</v>
      </c>
      <c r="V398" s="49" t="str">
        <f t="shared" si="10"/>
        <v/>
      </c>
      <c r="W398" s="49" t="str">
        <f t="array" ref="W398">IF($V398="","",SUMPRODUCT((Sales!$V$7:$V$1506&lt;&gt;"")*(Sales!$E$7:$E$1506&lt;$E398))+1)</f>
        <v/>
      </c>
      <c r="X398" s="49">
        <f t="shared" si="11"/>
        <v>354</v>
      </c>
      <c r="Y398" s="49" t="str">
        <f t="shared" si="9"/>
        <v>202608-354</v>
      </c>
    </row>
    <row r="399" ht="14.25" customHeight="1">
      <c r="A399" s="161">
        <v>46257.0</v>
      </c>
      <c r="B399" s="142" t="s">
        <v>324</v>
      </c>
      <c r="C399" s="162" t="s">
        <v>325</v>
      </c>
      <c r="D399" s="162" t="s">
        <v>582</v>
      </c>
      <c r="E399" s="159" t="s">
        <v>697</v>
      </c>
      <c r="F399" s="159" t="s">
        <v>260</v>
      </c>
      <c r="G399" s="83" t="str">
        <f>IF($F399="","",IFERROR(VLOOKUP($F399,Inventory!$A:$B,2,FALSE),""))</f>
        <v>Kitchen Flavor Grain Free Adult 1.5KG</v>
      </c>
      <c r="H399" s="159">
        <v>2.0</v>
      </c>
      <c r="I399" s="84">
        <f t="shared" si="2"/>
        <v>1200</v>
      </c>
      <c r="J399" s="85">
        <f>IF($F399="","",IFERROR(VLOOKUP($F399,Inventory!$A:$K,11,FALSE),0))</f>
        <v>1260</v>
      </c>
      <c r="K399" s="97">
        <v>60.0</v>
      </c>
      <c r="L399" s="85">
        <f t="shared" si="3"/>
        <v>2400</v>
      </c>
      <c r="M399" s="159" t="s">
        <v>330</v>
      </c>
      <c r="N399" s="85">
        <f>IF($F399="","",IFERROR(VLOOKUP($F399,Inventory!$A:$I,9,FALSE),0))</f>
        <v>990</v>
      </c>
      <c r="O399" s="85">
        <f t="shared" si="4"/>
        <v>1980</v>
      </c>
      <c r="P399" s="85">
        <f t="shared" si="5"/>
        <v>420</v>
      </c>
      <c r="Q399" s="83"/>
      <c r="R399" s="118" t="str">
        <f>IF($E399="","",IF(COUNTIF($E$7:$E1596,$E399)&gt;1,"",IFERROR(VLOOKUP($E399,Orders!$A:$I,8,FALSE),"")))</f>
        <v/>
      </c>
      <c r="S399" s="118" t="str">
        <f>IF($E399="","",IF(COUNTIF($E$7:$E1596,$E399)&gt;1,"",IFERROR(VLOOKUP($E399,Orders!$A:$I,9,FALSE),"")))</f>
        <v/>
      </c>
      <c r="T399" s="88">
        <f t="shared" si="6"/>
        <v>420</v>
      </c>
      <c r="U399" s="88">
        <f>IF($F399="","",IF($E399="",T399,SUMIF(Sales!$E$7:$E$1506,$E399,Sales!$T$7:$T$1506)))</f>
        <v>427.4103526</v>
      </c>
      <c r="V399" s="49" t="str">
        <f t="shared" si="10"/>
        <v/>
      </c>
      <c r="W399" s="49" t="str">
        <f t="array" ref="W399">IF($V399="","",SUMPRODUCT((Sales!$V$7:$V$1506&lt;&gt;"")*(Sales!$E$7:$E$1506&lt;$E399))+1)</f>
        <v/>
      </c>
      <c r="X399" s="49">
        <f t="shared" si="11"/>
        <v>354</v>
      </c>
      <c r="Y399" s="49" t="str">
        <f t="shared" si="9"/>
        <v>202608-354</v>
      </c>
    </row>
    <row r="400" ht="14.25" customHeight="1">
      <c r="A400" s="161">
        <v>46257.0</v>
      </c>
      <c r="B400" s="142" t="s">
        <v>324</v>
      </c>
      <c r="C400" s="162" t="s">
        <v>325</v>
      </c>
      <c r="D400" s="162" t="s">
        <v>582</v>
      </c>
      <c r="E400" s="159" t="s">
        <v>697</v>
      </c>
      <c r="F400" s="83" t="s">
        <v>179</v>
      </c>
      <c r="G400" s="83" t="str">
        <f>IF($F400="","",IFERROR(VLOOKUP($F400,Inventory!$A:$B,2,FALSE),""))</f>
        <v>Creamy Treat 15G (Purry &amp; Hyper Paws)</v>
      </c>
      <c r="H400" s="159">
        <v>4.0</v>
      </c>
      <c r="I400" s="84">
        <f t="shared" si="2"/>
        <v>10</v>
      </c>
      <c r="J400" s="85">
        <f>IF($F400="","",IFERROR(VLOOKUP($F400,Inventory!$A:$K,11,FALSE),0))</f>
        <v>20</v>
      </c>
      <c r="K400" s="97">
        <v>10.0</v>
      </c>
      <c r="L400" s="85">
        <f t="shared" si="3"/>
        <v>40</v>
      </c>
      <c r="M400" s="159" t="s">
        <v>330</v>
      </c>
      <c r="N400" s="85">
        <f>IF($F400="","",IFERROR(VLOOKUP($F400,Inventory!$A:$I,9,FALSE),0))</f>
        <v>8.147411853</v>
      </c>
      <c r="O400" s="85">
        <f t="shared" si="4"/>
        <v>32.58964741</v>
      </c>
      <c r="P400" s="85">
        <f t="shared" si="5"/>
        <v>7.410352588</v>
      </c>
      <c r="Q400" s="83"/>
      <c r="R400" s="118" t="str">
        <f>IF($E400="","",IF(COUNTIF($E$7:$E1597,$E400)&gt;1,"",IFERROR(VLOOKUP($E400,Orders!$A:$I,8,FALSE),"")))</f>
        <v/>
      </c>
      <c r="S400" s="118" t="str">
        <f>IF($E400="","",IF(COUNTIF($E$7:$E1597,$E400)&gt;1,"",IFERROR(VLOOKUP($E400,Orders!$A:$I,9,FALSE),"")))</f>
        <v/>
      </c>
      <c r="T400" s="88">
        <f t="shared" si="6"/>
        <v>7.410352588</v>
      </c>
      <c r="U400" s="88">
        <f>IF($F400="","",IF($E400="",T400,SUMIF(Sales!$E$7:$E$1506,$E400,Sales!$T$7:$T$1506)))</f>
        <v>427.4103526</v>
      </c>
      <c r="V400" s="49" t="str">
        <f t="shared" si="10"/>
        <v/>
      </c>
      <c r="W400" s="49" t="str">
        <f t="array" ref="W400">IF($V400="","",SUMPRODUCT((Sales!$V$7:$V$1506&lt;&gt;"")*(Sales!$E$7:$E$1506&lt;$E400))+1)</f>
        <v/>
      </c>
      <c r="X400" s="49">
        <f t="shared" si="11"/>
        <v>354</v>
      </c>
      <c r="Y400" s="49" t="str">
        <f t="shared" si="9"/>
        <v>202608-354</v>
      </c>
    </row>
    <row r="401" ht="14.25" customHeight="1">
      <c r="A401" s="161">
        <v>46257.0</v>
      </c>
      <c r="B401" s="142" t="s">
        <v>324</v>
      </c>
      <c r="C401" s="142" t="s">
        <v>365</v>
      </c>
      <c r="D401" s="142" t="s">
        <v>366</v>
      </c>
      <c r="E401" s="83"/>
      <c r="F401" s="159" t="s">
        <v>228</v>
      </c>
      <c r="G401" s="83" t="str">
        <f>IF($F401="","",IFERROR(VLOOKUP($F401,Inventory!$A:$B,2,FALSE),""))</f>
        <v>Helminticide-L Deworming Tablet </v>
      </c>
      <c r="H401" s="159">
        <v>2.0</v>
      </c>
      <c r="I401" s="84">
        <f t="shared" si="2"/>
        <v>50</v>
      </c>
      <c r="J401" s="85">
        <f>IF($F401="","",IFERROR(VLOOKUP($F401,Inventory!$A:$K,11,FALSE),0))</f>
        <v>50</v>
      </c>
      <c r="K401" s="85"/>
      <c r="L401" s="85">
        <f t="shared" si="3"/>
        <v>100</v>
      </c>
      <c r="M401" s="159" t="s">
        <v>330</v>
      </c>
      <c r="N401" s="85">
        <f>IF($F401="","",IFERROR(VLOOKUP($F401,Inventory!$A:$I,9,FALSE),0))</f>
        <v>28.63636364</v>
      </c>
      <c r="O401" s="85">
        <f t="shared" si="4"/>
        <v>57.27272727</v>
      </c>
      <c r="P401" s="85">
        <f t="shared" si="5"/>
        <v>42.72727273</v>
      </c>
      <c r="Q401" s="83"/>
      <c r="R401" s="118" t="str">
        <f>IF($E401="","",IF(COUNTIF($E$7:$E1598,$E401)&gt;1,"",IFERROR(VLOOKUP($E401,Orders!$A:$I,8,FALSE),"")))</f>
        <v/>
      </c>
      <c r="S401" s="118" t="str">
        <f>IF($E401="","",IF(COUNTIF($E$7:$E1598,$E401)&gt;1,"",IFERROR(VLOOKUP($E401,Orders!$A:$I,9,FALSE),"")))</f>
        <v/>
      </c>
      <c r="T401" s="88">
        <f t="shared" si="6"/>
        <v>42.72727273</v>
      </c>
      <c r="U401" s="88">
        <f>IF($F401="","",IF($E401="",T401,SUMIF(Sales!$E$7:$E$1506,$E401,Sales!$T$7:$T$1506)))</f>
        <v>42.72727273</v>
      </c>
      <c r="V401" s="49" t="str">
        <f t="shared" si="10"/>
        <v/>
      </c>
      <c r="W401" s="49" t="str">
        <f t="array" ref="W401">IF($V401="","",SUMPRODUCT((Sales!$V$7:$V$1506&lt;&gt;"")*(Sales!$E$7:$E$1506&lt;$E401))+1)</f>
        <v/>
      </c>
      <c r="X401" s="49">
        <f t="shared" si="11"/>
        <v>354</v>
      </c>
      <c r="Y401" s="49" t="str">
        <f t="shared" si="9"/>
        <v>202608-354</v>
      </c>
    </row>
    <row r="402" ht="14.25" customHeight="1">
      <c r="A402" s="161">
        <v>46257.0</v>
      </c>
      <c r="B402" s="142" t="s">
        <v>324</v>
      </c>
      <c r="C402" s="142" t="s">
        <v>365</v>
      </c>
      <c r="D402" s="142" t="s">
        <v>366</v>
      </c>
      <c r="E402" s="83"/>
      <c r="F402" s="159" t="s">
        <v>378</v>
      </c>
      <c r="G402" s="83" t="str">
        <f>IF($F402="","",IFERROR(VLOOKUP($F402,Inventory!$A:$B,2,FALSE),""))</f>
        <v>Drools &amp; Purepet Mixe Cat Food 500gm</v>
      </c>
      <c r="H402" s="159">
        <v>2.0</v>
      </c>
      <c r="I402" s="84">
        <f t="shared" si="2"/>
        <v>200</v>
      </c>
      <c r="J402" s="85">
        <f>IF($F402="","",IFERROR(VLOOKUP($F402,Inventory!$A:$K,11,FALSE),0))</f>
        <v>225</v>
      </c>
      <c r="K402" s="97">
        <v>25.0</v>
      </c>
      <c r="L402" s="85">
        <f t="shared" si="3"/>
        <v>400</v>
      </c>
      <c r="M402" s="159" t="s">
        <v>330</v>
      </c>
      <c r="N402" s="85">
        <f>IF($F402="","",IFERROR(VLOOKUP($F402,Inventory!$A:$I,9,FALSE),0))</f>
        <v>152.9310345</v>
      </c>
      <c r="O402" s="85">
        <f t="shared" si="4"/>
        <v>305.862069</v>
      </c>
      <c r="P402" s="85">
        <f t="shared" si="5"/>
        <v>94.13793103</v>
      </c>
      <c r="Q402" s="83"/>
      <c r="R402" s="118" t="str">
        <f>IF($E402="","",IF(COUNTIF($E$7:$E1599,$E402)&gt;1,"",IFERROR(VLOOKUP($E402,Orders!$A:$I,8,FALSE),"")))</f>
        <v/>
      </c>
      <c r="S402" s="118" t="str">
        <f>IF($E402="","",IF(COUNTIF($E$7:$E1599,$E402)&gt;1,"",IFERROR(VLOOKUP($E402,Orders!$A:$I,9,FALSE),"")))</f>
        <v/>
      </c>
      <c r="T402" s="88">
        <f t="shared" si="6"/>
        <v>94.13793103</v>
      </c>
      <c r="U402" s="88">
        <f>IF($F402="","",IF($E402="",T402,SUMIF(Sales!$E$7:$E$1506,$E402,Sales!$T$7:$T$1506)))</f>
        <v>94.13793103</v>
      </c>
      <c r="V402" s="49" t="str">
        <f t="shared" si="10"/>
        <v/>
      </c>
      <c r="W402" s="49" t="str">
        <f t="array" ref="W402">IF($V402="","",SUMPRODUCT((Sales!$V$7:$V$1506&lt;&gt;"")*(Sales!$E$7:$E$1506&lt;$E402))+1)</f>
        <v/>
      </c>
      <c r="X402" s="49">
        <f t="shared" si="11"/>
        <v>354</v>
      </c>
      <c r="Y402" s="49" t="str">
        <f t="shared" si="9"/>
        <v>202608-354</v>
      </c>
    </row>
    <row r="403" ht="14.25" customHeight="1">
      <c r="A403" s="161">
        <v>46257.0</v>
      </c>
      <c r="B403" s="142" t="s">
        <v>324</v>
      </c>
      <c r="C403" s="142" t="s">
        <v>365</v>
      </c>
      <c r="D403" s="142" t="s">
        <v>366</v>
      </c>
      <c r="E403" s="83"/>
      <c r="F403" s="83" t="s">
        <v>179</v>
      </c>
      <c r="G403" s="83" t="str">
        <f>IF($F403="","",IFERROR(VLOOKUP($F403,Inventory!$A:$B,2,FALSE),""))</f>
        <v>Creamy Treat 15G (Purry &amp; Hyper Paws)</v>
      </c>
      <c r="H403" s="159">
        <v>6.0</v>
      </c>
      <c r="I403" s="84">
        <f t="shared" si="2"/>
        <v>16.66667</v>
      </c>
      <c r="J403" s="85">
        <f>IF($F403="","",IFERROR(VLOOKUP($F403,Inventory!$A:$K,11,FALSE),0))</f>
        <v>20</v>
      </c>
      <c r="K403" s="97">
        <v>3.33333</v>
      </c>
      <c r="L403" s="85">
        <f t="shared" si="3"/>
        <v>100.00002</v>
      </c>
      <c r="M403" s="159" t="s">
        <v>330</v>
      </c>
      <c r="N403" s="85">
        <f>IF($F403="","",IFERROR(VLOOKUP($F403,Inventory!$A:$I,9,FALSE),0))</f>
        <v>8.147411853</v>
      </c>
      <c r="O403" s="85">
        <f t="shared" si="4"/>
        <v>48.88447112</v>
      </c>
      <c r="P403" s="85">
        <f t="shared" si="5"/>
        <v>51.11554888</v>
      </c>
      <c r="Q403" s="83"/>
      <c r="R403" s="118" t="str">
        <f>IF($E403="","",IF(COUNTIF($E$7:$E1600,$E403)&gt;1,"",IFERROR(VLOOKUP($E403,Orders!$A:$I,8,FALSE),"")))</f>
        <v/>
      </c>
      <c r="S403" s="118" t="str">
        <f>IF($E403="","",IF(COUNTIF($E$7:$E1600,$E403)&gt;1,"",IFERROR(VLOOKUP($E403,Orders!$A:$I,9,FALSE),"")))</f>
        <v/>
      </c>
      <c r="T403" s="88">
        <f t="shared" si="6"/>
        <v>51.11554888</v>
      </c>
      <c r="U403" s="88">
        <f>IF($F403="","",IF($E403="",T403,SUMIF(Sales!$E$7:$E$1506,$E403,Sales!$T$7:$T$1506)))</f>
        <v>51.11554888</v>
      </c>
      <c r="V403" s="49" t="str">
        <f t="shared" si="10"/>
        <v/>
      </c>
      <c r="W403" s="49" t="str">
        <f t="array" ref="W403">IF($V403="","",SUMPRODUCT((Sales!$V$7:$V$1506&lt;&gt;"")*(Sales!$E$7:$E$1506&lt;$E403))+1)</f>
        <v/>
      </c>
      <c r="X403" s="49">
        <f t="shared" si="11"/>
        <v>354</v>
      </c>
      <c r="Y403" s="49" t="str">
        <f t="shared" si="9"/>
        <v>202608-354</v>
      </c>
    </row>
    <row r="404" ht="14.25" customHeight="1">
      <c r="A404" s="161">
        <v>46257.0</v>
      </c>
      <c r="B404" s="142" t="s">
        <v>324</v>
      </c>
      <c r="C404" s="142" t="s">
        <v>365</v>
      </c>
      <c r="D404" s="142" t="s">
        <v>366</v>
      </c>
      <c r="E404" s="83"/>
      <c r="F404" s="159" t="s">
        <v>260</v>
      </c>
      <c r="G404" s="83" t="str">
        <f>IF($F404="","",IFERROR(VLOOKUP($F404,Inventory!$A:$B,2,FALSE),""))</f>
        <v>Kitchen Flavor Grain Free Adult 1.5KG</v>
      </c>
      <c r="H404" s="159">
        <v>1.0</v>
      </c>
      <c r="I404" s="84">
        <f t="shared" si="2"/>
        <v>1180</v>
      </c>
      <c r="J404" s="85">
        <f>IF($F404="","",IFERROR(VLOOKUP($F404,Inventory!$A:$K,11,FALSE),0))</f>
        <v>1260</v>
      </c>
      <c r="K404" s="97">
        <v>80.0</v>
      </c>
      <c r="L404" s="85">
        <f t="shared" si="3"/>
        <v>1180</v>
      </c>
      <c r="M404" s="159" t="s">
        <v>330</v>
      </c>
      <c r="N404" s="85">
        <f>IF($F404="","",IFERROR(VLOOKUP($F404,Inventory!$A:$I,9,FALSE),0))</f>
        <v>990</v>
      </c>
      <c r="O404" s="85">
        <f t="shared" si="4"/>
        <v>990</v>
      </c>
      <c r="P404" s="85">
        <f t="shared" si="5"/>
        <v>190</v>
      </c>
      <c r="Q404" s="83"/>
      <c r="R404" s="118" t="str">
        <f>IF($E404="","",IF(COUNTIF($E$7:$E1601,$E404)&gt;1,"",IFERROR(VLOOKUP($E404,Orders!$A:$I,8,FALSE),"")))</f>
        <v/>
      </c>
      <c r="S404" s="118" t="str">
        <f>IF($E404="","",IF(COUNTIF($E$7:$E1601,$E404)&gt;1,"",IFERROR(VLOOKUP($E404,Orders!$A:$I,9,FALSE),"")))</f>
        <v/>
      </c>
      <c r="T404" s="88">
        <f t="shared" si="6"/>
        <v>190</v>
      </c>
      <c r="U404" s="88">
        <f>IF($F404="","",IF($E404="",T404,SUMIF(Sales!$E$7:$E$1506,$E404,Sales!$T$7:$T$1506)))</f>
        <v>190</v>
      </c>
      <c r="V404" s="49" t="str">
        <f t="shared" si="10"/>
        <v/>
      </c>
      <c r="W404" s="49" t="str">
        <f t="array" ref="W404">IF($V404="","",SUMPRODUCT((Sales!$V$7:$V$1506&lt;&gt;"")*(Sales!$E$7:$E$1506&lt;$E404))+1)</f>
        <v/>
      </c>
      <c r="X404" s="49">
        <f t="shared" si="11"/>
        <v>354</v>
      </c>
      <c r="Y404" s="49" t="str">
        <f t="shared" si="9"/>
        <v>202608-354</v>
      </c>
    </row>
    <row r="405" ht="14.25" customHeight="1">
      <c r="A405" s="161">
        <v>46258.0</v>
      </c>
      <c r="B405" s="142" t="s">
        <v>324</v>
      </c>
      <c r="C405" s="142" t="s">
        <v>365</v>
      </c>
      <c r="D405" s="142" t="s">
        <v>366</v>
      </c>
      <c r="E405" s="83"/>
      <c r="F405" s="159" t="s">
        <v>328</v>
      </c>
      <c r="G405" s="83" t="str">
        <f>IF($F405="","",IFERROR(VLOOKUP($F405,Inventory!$A:$B,2,FALSE),""))</f>
        <v>Smart Heart Kitten Cat Food Chicken &amp; Tuna 1.2KG</v>
      </c>
      <c r="H405" s="159">
        <v>1.0</v>
      </c>
      <c r="I405" s="84">
        <f t="shared" si="2"/>
        <v>720</v>
      </c>
      <c r="J405" s="85">
        <f>IF($F405="","",IFERROR(VLOOKUP($F405,Inventory!$A:$K,11,FALSE),0))</f>
        <v>820</v>
      </c>
      <c r="K405" s="97">
        <v>100.0</v>
      </c>
      <c r="L405" s="85">
        <f t="shared" si="3"/>
        <v>720</v>
      </c>
      <c r="M405" s="159" t="s">
        <v>330</v>
      </c>
      <c r="N405" s="85">
        <f>IF($F405="","",IFERROR(VLOOKUP($F405,Inventory!$A:$I,9,FALSE),0))</f>
        <v>635</v>
      </c>
      <c r="O405" s="85">
        <f t="shared" si="4"/>
        <v>635</v>
      </c>
      <c r="P405" s="85">
        <f t="shared" si="5"/>
        <v>85</v>
      </c>
      <c r="Q405" s="83"/>
      <c r="R405" s="118" t="str">
        <f>IF($E405="","",IF(COUNTIF($E$7:$E1602,$E405)&gt;1,"",IFERROR(VLOOKUP($E405,Orders!$A:$I,8,FALSE),"")))</f>
        <v/>
      </c>
      <c r="S405" s="118" t="str">
        <f>IF($E405="","",IF(COUNTIF($E$7:$E1602,$E405)&gt;1,"",IFERROR(VLOOKUP($E405,Orders!$A:$I,9,FALSE),"")))</f>
        <v/>
      </c>
      <c r="T405" s="88">
        <f t="shared" si="6"/>
        <v>85</v>
      </c>
      <c r="U405" s="88">
        <f>IF($F405="","",IF($E405="",T405,SUMIF(Sales!$E$7:$E$1506,$E405,Sales!$T$7:$T$1506)))</f>
        <v>85</v>
      </c>
      <c r="V405" s="49" t="str">
        <f t="shared" si="10"/>
        <v/>
      </c>
      <c r="W405" s="49" t="str">
        <f t="array" ref="W405">IF($V405="","",SUMPRODUCT((Sales!$V$7:$V$1506&lt;&gt;"")*(Sales!$E$7:$E$1506&lt;$E405))+1)</f>
        <v/>
      </c>
      <c r="X405" s="49">
        <f t="shared" si="11"/>
        <v>354</v>
      </c>
      <c r="Y405" s="49" t="str">
        <f t="shared" si="9"/>
        <v>202608-354</v>
      </c>
    </row>
    <row r="406" ht="14.25" customHeight="1">
      <c r="A406" s="161">
        <v>46258.0</v>
      </c>
      <c r="B406" s="142" t="s">
        <v>324</v>
      </c>
      <c r="C406" s="142" t="s">
        <v>365</v>
      </c>
      <c r="D406" s="142" t="s">
        <v>366</v>
      </c>
      <c r="E406" s="83"/>
      <c r="F406" s="159" t="s">
        <v>159</v>
      </c>
      <c r="G406" s="83" t="str">
        <f>IF($F406="","",IFERROR(VLOOKUP($F406,Inventory!$A:$B,2,FALSE),""))</f>
        <v>Cat Litter Box Medium</v>
      </c>
      <c r="H406" s="159">
        <v>1.0</v>
      </c>
      <c r="I406" s="84">
        <f t="shared" si="2"/>
        <v>400</v>
      </c>
      <c r="J406" s="85">
        <f>IF($F406="","",IFERROR(VLOOKUP($F406,Inventory!$A:$K,11,FALSE),0))</f>
        <v>500</v>
      </c>
      <c r="K406" s="97">
        <v>100.0</v>
      </c>
      <c r="L406" s="85">
        <f t="shared" si="3"/>
        <v>400</v>
      </c>
      <c r="M406" s="159" t="s">
        <v>330</v>
      </c>
      <c r="N406" s="85">
        <f>IF($F406="","",IFERROR(VLOOKUP($F406,Inventory!$A:$I,9,FALSE),0))</f>
        <v>300</v>
      </c>
      <c r="O406" s="85">
        <f t="shared" si="4"/>
        <v>300</v>
      </c>
      <c r="P406" s="85">
        <f t="shared" si="5"/>
        <v>100</v>
      </c>
      <c r="Q406" s="83"/>
      <c r="R406" s="118" t="str">
        <f>IF($E406="","",IF(COUNTIF($E$7:$E1603,$E406)&gt;1,"",IFERROR(VLOOKUP($E406,Orders!$A:$I,8,FALSE),"")))</f>
        <v/>
      </c>
      <c r="S406" s="118" t="str">
        <f>IF($E406="","",IF(COUNTIF($E$7:$E1603,$E406)&gt;1,"",IFERROR(VLOOKUP($E406,Orders!$A:$I,9,FALSE),"")))</f>
        <v/>
      </c>
      <c r="T406" s="88">
        <f t="shared" si="6"/>
        <v>100</v>
      </c>
      <c r="U406" s="88">
        <f>IF($F406="","",IF($E406="",T406,SUMIF(Sales!$E$7:$E$1506,$E406,Sales!$T$7:$T$1506)))</f>
        <v>100</v>
      </c>
      <c r="V406" s="49" t="str">
        <f t="shared" si="10"/>
        <v/>
      </c>
      <c r="W406" s="49" t="str">
        <f t="array" ref="W406">IF($V406="","",SUMPRODUCT((Sales!$V$7:$V$1506&lt;&gt;"")*(Sales!$E$7:$E$1506&lt;$E406))+1)</f>
        <v/>
      </c>
      <c r="X406" s="49">
        <f t="shared" si="11"/>
        <v>354</v>
      </c>
      <c r="Y406" s="49" t="str">
        <f t="shared" si="9"/>
        <v>202608-354</v>
      </c>
    </row>
    <row r="407" ht="14.25" customHeight="1">
      <c r="A407" s="161">
        <v>46258.0</v>
      </c>
      <c r="B407" s="142" t="s">
        <v>324</v>
      </c>
      <c r="C407" s="142" t="s">
        <v>365</v>
      </c>
      <c r="D407" s="142" t="s">
        <v>366</v>
      </c>
      <c r="E407" s="83"/>
      <c r="F407" s="159" t="s">
        <v>386</v>
      </c>
      <c r="G407" s="83" t="str">
        <f>IF($F407="","",IFERROR(VLOOKUP($F407,Inventory!$A:$B,2,FALSE),""))</f>
        <v>LuminaCat Litter Lemon 5L</v>
      </c>
      <c r="H407" s="159">
        <v>1.0</v>
      </c>
      <c r="I407" s="84">
        <f t="shared" si="2"/>
        <v>250</v>
      </c>
      <c r="J407" s="85">
        <f>IF($F407="","",IFERROR(VLOOKUP($F407,Inventory!$A:$K,11,FALSE),0))</f>
        <v>280</v>
      </c>
      <c r="K407" s="97">
        <v>30.0</v>
      </c>
      <c r="L407" s="85">
        <f t="shared" si="3"/>
        <v>250</v>
      </c>
      <c r="M407" s="159" t="s">
        <v>330</v>
      </c>
      <c r="N407" s="85">
        <f>IF($F407="","",IFERROR(VLOOKUP($F407,Inventory!$A:$I,9,FALSE),0))</f>
        <v>190</v>
      </c>
      <c r="O407" s="85">
        <f t="shared" si="4"/>
        <v>190</v>
      </c>
      <c r="P407" s="85">
        <f t="shared" si="5"/>
        <v>60</v>
      </c>
      <c r="Q407" s="83"/>
      <c r="R407" s="118" t="str">
        <f>IF($E407="","",IF(COUNTIF($E$7:$E1604,$E407)&gt;1,"",IFERROR(VLOOKUP($E407,Orders!$A:$I,8,FALSE),"")))</f>
        <v/>
      </c>
      <c r="S407" s="118" t="str">
        <f>IF($E407="","",IF(COUNTIF($E$7:$E1604,$E407)&gt;1,"",IFERROR(VLOOKUP($E407,Orders!$A:$I,9,FALSE),"")))</f>
        <v/>
      </c>
      <c r="T407" s="88">
        <f t="shared" si="6"/>
        <v>60</v>
      </c>
      <c r="U407" s="88">
        <f>IF($F407="","",IF($E407="",T407,SUMIF(Sales!$E$7:$E$1506,$E407,Sales!$T$7:$T$1506)))</f>
        <v>60</v>
      </c>
      <c r="V407" s="49" t="str">
        <f t="shared" si="10"/>
        <v/>
      </c>
      <c r="W407" s="49" t="str">
        <f t="array" ref="W407">IF($V407="","",SUMPRODUCT((Sales!$V$7:$V$1506&lt;&gt;"")*(Sales!$E$7:$E$1506&lt;$E407))+1)</f>
        <v/>
      </c>
      <c r="X407" s="49">
        <f t="shared" si="11"/>
        <v>354</v>
      </c>
      <c r="Y407" s="49" t="str">
        <f t="shared" si="9"/>
        <v>202608-354</v>
      </c>
    </row>
    <row r="408" ht="14.25" customHeight="1">
      <c r="A408" s="161">
        <v>46258.0</v>
      </c>
      <c r="B408" s="142" t="s">
        <v>324</v>
      </c>
      <c r="C408" s="142" t="s">
        <v>365</v>
      </c>
      <c r="D408" s="142" t="s">
        <v>366</v>
      </c>
      <c r="E408" s="83"/>
      <c r="F408" s="83" t="s">
        <v>179</v>
      </c>
      <c r="G408" s="83" t="str">
        <f>IF($F408="","",IFERROR(VLOOKUP($F408,Inventory!$A:$B,2,FALSE),""))</f>
        <v>Creamy Treat 15G (Purry &amp; Hyper Paws)</v>
      </c>
      <c r="H408" s="159">
        <v>1.0</v>
      </c>
      <c r="I408" s="84">
        <f t="shared" si="2"/>
        <v>20</v>
      </c>
      <c r="J408" s="85">
        <f>IF($F408="","",IFERROR(VLOOKUP($F408,Inventory!$A:$K,11,FALSE),0))</f>
        <v>20</v>
      </c>
      <c r="K408" s="85"/>
      <c r="L408" s="85">
        <f t="shared" si="3"/>
        <v>20</v>
      </c>
      <c r="M408" s="159" t="s">
        <v>330</v>
      </c>
      <c r="N408" s="85">
        <f>IF($F408="","",IFERROR(VLOOKUP($F408,Inventory!$A:$I,9,FALSE),0))</f>
        <v>8.147411853</v>
      </c>
      <c r="O408" s="85">
        <f t="shared" si="4"/>
        <v>8.147411853</v>
      </c>
      <c r="P408" s="85">
        <f t="shared" si="5"/>
        <v>11.85258815</v>
      </c>
      <c r="Q408" s="83"/>
      <c r="R408" s="118" t="str">
        <f>IF($E408="","",IF(COUNTIF($E$7:$E1605,$E408)&gt;1,"",IFERROR(VLOOKUP($E408,Orders!$A:$I,8,FALSE),"")))</f>
        <v/>
      </c>
      <c r="S408" s="118" t="str">
        <f>IF($E408="","",IF(COUNTIF($E$7:$E1605,$E408)&gt;1,"",IFERROR(VLOOKUP($E408,Orders!$A:$I,9,FALSE),"")))</f>
        <v/>
      </c>
      <c r="T408" s="88">
        <f t="shared" si="6"/>
        <v>11.85258815</v>
      </c>
      <c r="U408" s="88">
        <f>IF($F408="","",IF($E408="",T408,SUMIF(Sales!$E$7:$E$1506,$E408,Sales!$T$7:$T$1506)))</f>
        <v>11.85258815</v>
      </c>
      <c r="V408" s="49" t="str">
        <f t="shared" si="10"/>
        <v/>
      </c>
      <c r="W408" s="49" t="str">
        <f t="array" ref="W408">IF($V408="","",SUMPRODUCT((Sales!$V$7:$V$1506&lt;&gt;"")*(Sales!$E$7:$E$1506&lt;$E408))+1)</f>
        <v/>
      </c>
      <c r="X408" s="49">
        <f t="shared" si="11"/>
        <v>354</v>
      </c>
      <c r="Y408" s="49" t="str">
        <f t="shared" si="9"/>
        <v>202608-354</v>
      </c>
    </row>
    <row r="409" ht="14.25" customHeight="1">
      <c r="A409" s="161">
        <v>46258.0</v>
      </c>
      <c r="B409" s="142" t="s">
        <v>324</v>
      </c>
      <c r="C409" s="142" t="s">
        <v>365</v>
      </c>
      <c r="D409" s="142" t="s">
        <v>366</v>
      </c>
      <c r="E409" s="83"/>
      <c r="F409" s="159" t="s">
        <v>234</v>
      </c>
      <c r="G409" s="83" t="str">
        <f>IF($F409="","",IFERROR(VLOOKUP($F409,Inventory!$A:$B,2,FALSE),""))</f>
        <v>Whiskas Junior Tuna Flavor</v>
      </c>
      <c r="H409" s="159">
        <v>1.0</v>
      </c>
      <c r="I409" s="84">
        <f t="shared" si="2"/>
        <v>90</v>
      </c>
      <c r="J409" s="85">
        <f>IF($F409="","",IFERROR(VLOOKUP($F409,Inventory!$A:$K,11,FALSE),0))</f>
        <v>95</v>
      </c>
      <c r="K409" s="97">
        <v>5.0</v>
      </c>
      <c r="L409" s="85">
        <f t="shared" si="3"/>
        <v>90</v>
      </c>
      <c r="M409" s="159" t="s">
        <v>330</v>
      </c>
      <c r="N409" s="85">
        <f>IF($F409="","",IFERROR(VLOOKUP($F409,Inventory!$A:$I,9,FALSE),0))</f>
        <v>74</v>
      </c>
      <c r="O409" s="85">
        <f t="shared" si="4"/>
        <v>74</v>
      </c>
      <c r="P409" s="85">
        <f t="shared" si="5"/>
        <v>16</v>
      </c>
      <c r="Q409" s="83"/>
      <c r="R409" s="118" t="str">
        <f>IF($E409="","",IF(COUNTIF($E$7:$E1606,$E409)&gt;1,"",IFERROR(VLOOKUP($E409,Orders!$A:$I,8,FALSE),"")))</f>
        <v/>
      </c>
      <c r="S409" s="118" t="str">
        <f>IF($E409="","",IF(COUNTIF($E$7:$E1606,$E409)&gt;1,"",IFERROR(VLOOKUP($E409,Orders!$A:$I,9,FALSE),"")))</f>
        <v/>
      </c>
      <c r="T409" s="88">
        <f t="shared" si="6"/>
        <v>16</v>
      </c>
      <c r="U409" s="88">
        <f>IF($F409="","",IF($E409="",T409,SUMIF(Sales!$E$7:$E$1506,$E409,Sales!$T$7:$T$1506)))</f>
        <v>16</v>
      </c>
      <c r="V409" s="49" t="str">
        <f t="shared" si="10"/>
        <v/>
      </c>
      <c r="W409" s="49" t="str">
        <f t="array" ref="W409">IF($V409="","",SUMPRODUCT((Sales!$V$7:$V$1506&lt;&gt;"")*(Sales!$E$7:$E$1506&lt;$E409))+1)</f>
        <v/>
      </c>
      <c r="X409" s="49">
        <f t="shared" si="11"/>
        <v>354</v>
      </c>
      <c r="Y409" s="49" t="str">
        <f t="shared" si="9"/>
        <v>202608-354</v>
      </c>
    </row>
    <row r="410" ht="14.25" customHeight="1">
      <c r="A410" s="161">
        <v>46258.0</v>
      </c>
      <c r="B410" s="142" t="s">
        <v>324</v>
      </c>
      <c r="C410" s="142" t="s">
        <v>365</v>
      </c>
      <c r="D410" s="142" t="s">
        <v>366</v>
      </c>
      <c r="E410" s="83"/>
      <c r="F410" s="159" t="s">
        <v>466</v>
      </c>
      <c r="G410" s="83" t="str">
        <f>IF($F410="","",IFERROR(VLOOKUP($F410,Inventory!$A:$B,2,FALSE),""))</f>
        <v>Cat Toy Feather String Cat Teaser Toy</v>
      </c>
      <c r="H410" s="159">
        <v>1.0</v>
      </c>
      <c r="I410" s="84">
        <f t="shared" si="2"/>
        <v>120</v>
      </c>
      <c r="J410" s="85">
        <f>IF($F410="","",IFERROR(VLOOKUP($F410,Inventory!$A:$K,11,FALSE),0))</f>
        <v>130</v>
      </c>
      <c r="K410" s="97">
        <v>10.0</v>
      </c>
      <c r="L410" s="85">
        <f t="shared" si="3"/>
        <v>120</v>
      </c>
      <c r="M410" s="159" t="s">
        <v>330</v>
      </c>
      <c r="N410" s="85">
        <f>IF($F410="","",IFERROR(VLOOKUP($F410,Inventory!$A:$I,9,FALSE),0))</f>
        <v>70</v>
      </c>
      <c r="O410" s="85">
        <f t="shared" si="4"/>
        <v>70</v>
      </c>
      <c r="P410" s="85">
        <f t="shared" si="5"/>
        <v>50</v>
      </c>
      <c r="Q410" s="83"/>
      <c r="R410" s="118" t="str">
        <f>IF($E410="","",IF(COUNTIF($E$7:$E1607,$E410)&gt;1,"",IFERROR(VLOOKUP($E410,Orders!$A:$I,8,FALSE),"")))</f>
        <v/>
      </c>
      <c r="S410" s="118" t="str">
        <f>IF($E410="","",IF(COUNTIF($E$7:$E1607,$E410)&gt;1,"",IFERROR(VLOOKUP($E410,Orders!$A:$I,9,FALSE),"")))</f>
        <v/>
      </c>
      <c r="T410" s="88">
        <f t="shared" si="6"/>
        <v>50</v>
      </c>
      <c r="U410" s="88">
        <f>IF($F410="","",IF($E410="",T410,SUMIF(Sales!$E$7:$E$1506,$E410,Sales!$T$7:$T$1506)))</f>
        <v>50</v>
      </c>
      <c r="V410" s="49" t="str">
        <f t="shared" si="10"/>
        <v/>
      </c>
      <c r="W410" s="49" t="str">
        <f t="array" ref="W410">IF($V410="","",SUMPRODUCT((Sales!$V$7:$V$1506&lt;&gt;"")*(Sales!$E$7:$E$1506&lt;$E410))+1)</f>
        <v/>
      </c>
      <c r="X410" s="49">
        <f t="shared" si="11"/>
        <v>354</v>
      </c>
      <c r="Y410" s="49" t="str">
        <f t="shared" si="9"/>
        <v>202608-354</v>
      </c>
    </row>
    <row r="411" ht="14.25" customHeight="1">
      <c r="A411" s="161">
        <v>46258.0</v>
      </c>
      <c r="B411" s="142" t="s">
        <v>324</v>
      </c>
      <c r="C411" s="142" t="s">
        <v>365</v>
      </c>
      <c r="D411" s="142" t="s">
        <v>366</v>
      </c>
      <c r="E411" s="83"/>
      <c r="F411" s="159" t="s">
        <v>306</v>
      </c>
      <c r="G411" s="83" t="str">
        <f>IF($F411="","",IFERROR(VLOOKUP($F411,Inventory!$A:$B,2,FALSE),""))</f>
        <v>Pet Comb One Side</v>
      </c>
      <c r="H411" s="83"/>
      <c r="I411" s="84">
        <f t="shared" si="2"/>
        <v>200</v>
      </c>
      <c r="J411" s="85">
        <f>IF($F411="","",IFERROR(VLOOKUP($F411,Inventory!$A:$K,11,FALSE),0))</f>
        <v>200</v>
      </c>
      <c r="K411" s="85"/>
      <c r="L411" s="85">
        <f t="shared" si="3"/>
        <v>0</v>
      </c>
      <c r="M411" s="159" t="s">
        <v>330</v>
      </c>
      <c r="N411" s="85">
        <f>IF($F411="","",IFERROR(VLOOKUP($F411,Inventory!$A:$I,9,FALSE),0))</f>
        <v>130</v>
      </c>
      <c r="O411" s="85">
        <f t="shared" si="4"/>
        <v>0</v>
      </c>
      <c r="P411" s="85">
        <f t="shared" si="5"/>
        <v>0</v>
      </c>
      <c r="Q411" s="83"/>
      <c r="R411" s="118" t="str">
        <f>IF($E411="","",IF(COUNTIF($E$7:$E1608,$E411)&gt;1,"",IFERROR(VLOOKUP($E411,Orders!$A:$I,8,FALSE),"")))</f>
        <v/>
      </c>
      <c r="S411" s="118" t="str">
        <f>IF($E411="","",IF(COUNTIF($E$7:$E1608,$E411)&gt;1,"",IFERROR(VLOOKUP($E411,Orders!$A:$I,9,FALSE),"")))</f>
        <v/>
      </c>
      <c r="T411" s="88">
        <f t="shared" si="6"/>
        <v>0</v>
      </c>
      <c r="U411" s="88">
        <f>IF($F411="","",IF($E411="",T411,SUMIF(Sales!$E$7:$E$1506,$E411,Sales!$T$7:$T$1506)))</f>
        <v>0</v>
      </c>
      <c r="V411" s="49" t="str">
        <f t="shared" si="10"/>
        <v/>
      </c>
      <c r="W411" s="49" t="str">
        <f t="array" ref="W411">IF($V411="","",SUMPRODUCT((Sales!$V$7:$V$1506&lt;&gt;"")*(Sales!$E$7:$E$1506&lt;$E411))+1)</f>
        <v/>
      </c>
      <c r="X411" s="49">
        <f t="shared" si="11"/>
        <v>354</v>
      </c>
      <c r="Y411" s="49" t="str">
        <f t="shared" si="9"/>
        <v>202608-354</v>
      </c>
    </row>
    <row r="412" ht="14.25" customHeight="1">
      <c r="A412" s="161">
        <v>46258.0</v>
      </c>
      <c r="B412" s="142" t="s">
        <v>324</v>
      </c>
      <c r="C412" s="142" t="s">
        <v>365</v>
      </c>
      <c r="D412" s="142" t="s">
        <v>366</v>
      </c>
      <c r="E412" s="83"/>
      <c r="F412" s="159" t="s">
        <v>363</v>
      </c>
      <c r="G412" s="83" t="str">
        <f>IF($F412="","",IFERROR(VLOOKUP($F412,Inventory!$A:$B,2,FALSE),""))</f>
        <v>Petmetro Pouch Complite Balance - Chicken Receipe - 100g</v>
      </c>
      <c r="H412" s="159">
        <v>1.0</v>
      </c>
      <c r="I412" s="84">
        <f t="shared" si="2"/>
        <v>100</v>
      </c>
      <c r="J412" s="85">
        <f>IF($F412="","",IFERROR(VLOOKUP($F412,Inventory!$A:$K,11,FALSE),0))</f>
        <v>100</v>
      </c>
      <c r="K412" s="85"/>
      <c r="L412" s="85">
        <f t="shared" si="3"/>
        <v>100</v>
      </c>
      <c r="M412" s="159" t="s">
        <v>330</v>
      </c>
      <c r="N412" s="85">
        <f>IF($F412="","",IFERROR(VLOOKUP($F412,Inventory!$A:$I,9,FALSE),0))</f>
        <v>70</v>
      </c>
      <c r="O412" s="85">
        <f t="shared" si="4"/>
        <v>70</v>
      </c>
      <c r="P412" s="85">
        <f t="shared" si="5"/>
        <v>30</v>
      </c>
      <c r="Q412" s="83"/>
      <c r="R412" s="118" t="str">
        <f>IF($E412="","",IF(COUNTIF($E$7:$E1609,$E412)&gt;1,"",IFERROR(VLOOKUP($E412,Orders!$A:$I,8,FALSE),"")))</f>
        <v/>
      </c>
      <c r="S412" s="118" t="str">
        <f>IF($E412="","",IF(COUNTIF($E$7:$E1609,$E412)&gt;1,"",IFERROR(VLOOKUP($E412,Orders!$A:$I,9,FALSE),"")))</f>
        <v/>
      </c>
      <c r="T412" s="88">
        <f t="shared" si="6"/>
        <v>30</v>
      </c>
      <c r="U412" s="88">
        <f>IF($F412="","",IF($E412="",T412,SUMIF(Sales!$E$7:$E$1506,$E412,Sales!$T$7:$T$1506)))</f>
        <v>30</v>
      </c>
      <c r="V412" s="49" t="str">
        <f t="shared" si="10"/>
        <v/>
      </c>
      <c r="W412" s="49" t="str">
        <f t="array" ref="W412">IF($V412="","",SUMPRODUCT((Sales!$V$7:$V$1506&lt;&gt;"")*(Sales!$E$7:$E$1506&lt;$E412))+1)</f>
        <v/>
      </c>
      <c r="X412" s="49">
        <f t="shared" si="11"/>
        <v>354</v>
      </c>
      <c r="Y412" s="49" t="str">
        <f t="shared" si="9"/>
        <v>202608-354</v>
      </c>
    </row>
    <row r="413" ht="14.25" customHeight="1">
      <c r="A413" s="161">
        <v>46258.0</v>
      </c>
      <c r="B413" s="142" t="s">
        <v>324</v>
      </c>
      <c r="C413" s="142" t="s">
        <v>365</v>
      </c>
      <c r="D413" s="142" t="s">
        <v>366</v>
      </c>
      <c r="E413" s="83"/>
      <c r="F413" s="159" t="s">
        <v>256</v>
      </c>
      <c r="G413" s="83" t="str">
        <f>IF($F413="","",IFERROR(VLOOKUP($F413,Inventory!$A:$B,2,FALSE),""))</f>
        <v>Kitchen Flavor Grain Free Kitten 400G</v>
      </c>
      <c r="H413" s="159">
        <v>1.0</v>
      </c>
      <c r="I413" s="84">
        <f t="shared" si="2"/>
        <v>350</v>
      </c>
      <c r="J413" s="85">
        <f>IF($F413="","",IFERROR(VLOOKUP($F413,Inventory!$A:$K,11,FALSE),0))</f>
        <v>380</v>
      </c>
      <c r="K413" s="97">
        <v>30.0</v>
      </c>
      <c r="L413" s="85">
        <f t="shared" si="3"/>
        <v>350</v>
      </c>
      <c r="M413" s="159" t="s">
        <v>330</v>
      </c>
      <c r="N413" s="85">
        <f>IF($F413="","",IFERROR(VLOOKUP($F413,Inventory!$A:$I,9,FALSE),0))</f>
        <v>290</v>
      </c>
      <c r="O413" s="85">
        <f t="shared" si="4"/>
        <v>290</v>
      </c>
      <c r="P413" s="85">
        <f t="shared" si="5"/>
        <v>60</v>
      </c>
      <c r="Q413" s="83"/>
      <c r="R413" s="118" t="str">
        <f>IF($E413="","",IF(COUNTIF($E$7:$E1610,$E413)&gt;1,"",IFERROR(VLOOKUP($E413,Orders!$A:$I,8,FALSE),"")))</f>
        <v/>
      </c>
      <c r="S413" s="118" t="str">
        <f>IF($E413="","",IF(COUNTIF($E$7:$E1610,$E413)&gt;1,"",IFERROR(VLOOKUP($E413,Orders!$A:$I,9,FALSE),"")))</f>
        <v/>
      </c>
      <c r="T413" s="88">
        <f t="shared" si="6"/>
        <v>60</v>
      </c>
      <c r="U413" s="88">
        <f>IF($F413="","",IF($E413="",T413,SUMIF(Sales!$E$7:$E$1506,$E413,Sales!$T$7:$T$1506)))</f>
        <v>60</v>
      </c>
      <c r="V413" s="49" t="str">
        <f t="shared" si="10"/>
        <v/>
      </c>
      <c r="W413" s="49" t="str">
        <f t="array" ref="W413">IF($V413="","",SUMPRODUCT((Sales!$V$7:$V$1506&lt;&gt;"")*(Sales!$E$7:$E$1506&lt;$E413))+1)</f>
        <v/>
      </c>
      <c r="X413" s="49">
        <f t="shared" si="11"/>
        <v>354</v>
      </c>
      <c r="Y413" s="49" t="str">
        <f t="shared" si="9"/>
        <v>202608-354</v>
      </c>
    </row>
    <row r="414" ht="14.25" customHeight="1">
      <c r="A414" s="161">
        <v>46258.0</v>
      </c>
      <c r="B414" s="142" t="s">
        <v>324</v>
      </c>
      <c r="C414" s="142" t="s">
        <v>365</v>
      </c>
      <c r="D414" s="142" t="s">
        <v>366</v>
      </c>
      <c r="E414" s="83"/>
      <c r="F414" s="159" t="s">
        <v>179</v>
      </c>
      <c r="G414" s="83" t="str">
        <f>IF($F414="","",IFERROR(VLOOKUP($F414,Inventory!$A:$B,2,FALSE),""))</f>
        <v>Creamy Treat 15G (Purry &amp; Hyper Paws)</v>
      </c>
      <c r="H414" s="159">
        <v>3.0</v>
      </c>
      <c r="I414" s="84">
        <f t="shared" si="2"/>
        <v>20</v>
      </c>
      <c r="J414" s="85">
        <f>IF($F414="","",IFERROR(VLOOKUP($F414,Inventory!$A:$K,11,FALSE),0))</f>
        <v>20</v>
      </c>
      <c r="K414" s="85"/>
      <c r="L414" s="85">
        <f t="shared" si="3"/>
        <v>60</v>
      </c>
      <c r="M414" s="159" t="s">
        <v>330</v>
      </c>
      <c r="N414" s="85">
        <f>IF($F414="","",IFERROR(VLOOKUP($F414,Inventory!$A:$I,9,FALSE),0))</f>
        <v>8.147411853</v>
      </c>
      <c r="O414" s="85">
        <f t="shared" si="4"/>
        <v>24.44223556</v>
      </c>
      <c r="P414" s="85">
        <f t="shared" si="5"/>
        <v>35.55776444</v>
      </c>
      <c r="Q414" s="83"/>
      <c r="R414" s="118" t="str">
        <f>IF($E414="","",IF(COUNTIF($E$7:$E1611,$E414)&gt;1,"",IFERROR(VLOOKUP($E414,Orders!$A:$I,8,FALSE),"")))</f>
        <v/>
      </c>
      <c r="S414" s="118" t="str">
        <f>IF($E414="","",IF(COUNTIF($E$7:$E1611,$E414)&gt;1,"",IFERROR(VLOOKUP($E414,Orders!$A:$I,9,FALSE),"")))</f>
        <v/>
      </c>
      <c r="T414" s="88">
        <f t="shared" si="6"/>
        <v>35.55776444</v>
      </c>
      <c r="U414" s="88">
        <f>IF($F414="","",IF($E414="",T414,SUMIF(Sales!$E$7:$E$1506,$E414,Sales!$T$7:$T$1506)))</f>
        <v>35.55776444</v>
      </c>
      <c r="V414" s="49" t="str">
        <f t="shared" si="10"/>
        <v/>
      </c>
      <c r="W414" s="49" t="str">
        <f t="array" ref="W414">IF($V414="","",SUMPRODUCT((Sales!$V$7:$V$1506&lt;&gt;"")*(Sales!$E$7:$E$1506&lt;$E414))+1)</f>
        <v/>
      </c>
      <c r="X414" s="49">
        <f t="shared" si="11"/>
        <v>354</v>
      </c>
      <c r="Y414" s="49" t="str">
        <f t="shared" si="9"/>
        <v>202608-354</v>
      </c>
    </row>
    <row r="415" ht="14.25" customHeight="1">
      <c r="A415" s="161">
        <v>46258.0</v>
      </c>
      <c r="B415" s="142" t="s">
        <v>324</v>
      </c>
      <c r="C415" s="142" t="s">
        <v>365</v>
      </c>
      <c r="D415" s="142" t="s">
        <v>366</v>
      </c>
      <c r="E415" s="83"/>
      <c r="F415" s="159" t="s">
        <v>378</v>
      </c>
      <c r="G415" s="83" t="str">
        <f>IF($F415="","",IFERROR(VLOOKUP($F415,Inventory!$A:$B,2,FALSE),""))</f>
        <v>Drools &amp; Purepet Mixe Cat Food 500gm</v>
      </c>
      <c r="H415" s="159">
        <v>1.0</v>
      </c>
      <c r="I415" s="84">
        <f t="shared" si="2"/>
        <v>220</v>
      </c>
      <c r="J415" s="85">
        <f>IF($F415="","",IFERROR(VLOOKUP($F415,Inventory!$A:$K,11,FALSE),0))</f>
        <v>225</v>
      </c>
      <c r="K415" s="97">
        <v>5.0</v>
      </c>
      <c r="L415" s="85">
        <f t="shared" si="3"/>
        <v>220</v>
      </c>
      <c r="M415" s="159" t="s">
        <v>330</v>
      </c>
      <c r="N415" s="85">
        <f>IF($F415="","",IFERROR(VLOOKUP($F415,Inventory!$A:$I,9,FALSE),0))</f>
        <v>152.9310345</v>
      </c>
      <c r="O415" s="85">
        <f t="shared" si="4"/>
        <v>152.9310345</v>
      </c>
      <c r="P415" s="85">
        <f t="shared" si="5"/>
        <v>67.06896552</v>
      </c>
      <c r="Q415" s="83"/>
      <c r="R415" s="118" t="str">
        <f>IF($E415="","",IF(COUNTIF($E$7:$E1612,$E415)&gt;1,"",IFERROR(VLOOKUP($E415,Orders!$A:$I,8,FALSE),"")))</f>
        <v/>
      </c>
      <c r="S415" s="118" t="str">
        <f>IF($E415="","",IF(COUNTIF($E$7:$E1612,$E415)&gt;1,"",IFERROR(VLOOKUP($E415,Orders!$A:$I,9,FALSE),"")))</f>
        <v/>
      </c>
      <c r="T415" s="88">
        <f t="shared" si="6"/>
        <v>67.06896552</v>
      </c>
      <c r="U415" s="88">
        <f>IF($F415="","",IF($E415="",T415,SUMIF(Sales!$E$7:$E$1506,$E415,Sales!$T$7:$T$1506)))</f>
        <v>67.06896552</v>
      </c>
      <c r="V415" s="49" t="str">
        <f t="shared" si="10"/>
        <v/>
      </c>
      <c r="W415" s="49" t="str">
        <f t="array" ref="W415">IF($V415="","",SUMPRODUCT((Sales!$V$7:$V$1506&lt;&gt;"")*(Sales!$E$7:$E$1506&lt;$E415))+1)</f>
        <v/>
      </c>
      <c r="X415" s="49">
        <f t="shared" si="11"/>
        <v>354</v>
      </c>
      <c r="Y415" s="49" t="str">
        <f t="shared" si="9"/>
        <v>202608-354</v>
      </c>
    </row>
    <row r="416" ht="14.25" customHeight="1">
      <c r="A416" s="161">
        <v>46258.0</v>
      </c>
      <c r="B416" s="142" t="s">
        <v>324</v>
      </c>
      <c r="C416" s="142" t="s">
        <v>365</v>
      </c>
      <c r="D416" s="142" t="s">
        <v>366</v>
      </c>
      <c r="E416" s="83"/>
      <c r="F416" s="159" t="s">
        <v>168</v>
      </c>
      <c r="G416" s="83" t="str">
        <f>IF($F416="","",IFERROR(VLOOKUP($F416,Inventory!$A:$B,2,FALSE),""))</f>
        <v>Chonk All ages Chicken</v>
      </c>
      <c r="H416" s="159">
        <v>1.0</v>
      </c>
      <c r="I416" s="84">
        <f t="shared" si="2"/>
        <v>500</v>
      </c>
      <c r="J416" s="85">
        <f>IF($F416="","",IFERROR(VLOOKUP($F416,Inventory!$A:$K,11,FALSE),0))</f>
        <v>500</v>
      </c>
      <c r="K416" s="85"/>
      <c r="L416" s="85">
        <f t="shared" si="3"/>
        <v>500</v>
      </c>
      <c r="M416" s="159" t="s">
        <v>330</v>
      </c>
      <c r="N416" s="85">
        <f>IF($F416="","",IFERROR(VLOOKUP($F416,Inventory!$A:$I,9,FALSE),0))</f>
        <v>400</v>
      </c>
      <c r="O416" s="85">
        <f t="shared" si="4"/>
        <v>400</v>
      </c>
      <c r="P416" s="85">
        <f t="shared" si="5"/>
        <v>100</v>
      </c>
      <c r="Q416" s="83"/>
      <c r="R416" s="118" t="str">
        <f>IF($E416="","",IF(COUNTIF($E$7:$E1613,$E416)&gt;1,"",IFERROR(VLOOKUP($E416,Orders!$A:$I,8,FALSE),"")))</f>
        <v/>
      </c>
      <c r="S416" s="118" t="str">
        <f>IF($E416="","",IF(COUNTIF($E$7:$E1613,$E416)&gt;1,"",IFERROR(VLOOKUP($E416,Orders!$A:$I,9,FALSE),"")))</f>
        <v/>
      </c>
      <c r="T416" s="88">
        <f t="shared" si="6"/>
        <v>100</v>
      </c>
      <c r="U416" s="88">
        <f>IF($F416="","",IF($E416="",T416,SUMIF(Sales!$E$7:$E$1506,$E416,Sales!$T$7:$T$1506)))</f>
        <v>100</v>
      </c>
      <c r="V416" s="49" t="str">
        <f t="shared" si="10"/>
        <v/>
      </c>
      <c r="W416" s="49" t="str">
        <f t="array" ref="W416">IF($V416="","",SUMPRODUCT((Sales!$V$7:$V$1506&lt;&gt;"")*(Sales!$E$7:$E$1506&lt;$E416))+1)</f>
        <v/>
      </c>
      <c r="X416" s="49">
        <f t="shared" si="11"/>
        <v>354</v>
      </c>
      <c r="Y416" s="49" t="str">
        <f t="shared" si="9"/>
        <v>202608-354</v>
      </c>
    </row>
    <row r="417" ht="14.25" customHeight="1">
      <c r="A417" s="161">
        <v>46258.0</v>
      </c>
      <c r="B417" s="142" t="s">
        <v>324</v>
      </c>
      <c r="C417" s="142" t="s">
        <v>365</v>
      </c>
      <c r="D417" s="142" t="s">
        <v>366</v>
      </c>
      <c r="E417" s="83"/>
      <c r="F417" s="159" t="s">
        <v>179</v>
      </c>
      <c r="G417" s="83" t="str">
        <f>IF($F417="","",IFERROR(VLOOKUP($F417,Inventory!$A:$B,2,FALSE),""))</f>
        <v>Creamy Treat 15G (Purry &amp; Hyper Paws)</v>
      </c>
      <c r="H417" s="159">
        <v>5.0</v>
      </c>
      <c r="I417" s="84">
        <f t="shared" si="2"/>
        <v>20</v>
      </c>
      <c r="J417" s="85">
        <f>IF($F417="","",IFERROR(VLOOKUP($F417,Inventory!$A:$K,11,FALSE),0))</f>
        <v>20</v>
      </c>
      <c r="K417" s="85"/>
      <c r="L417" s="85">
        <f t="shared" si="3"/>
        <v>100</v>
      </c>
      <c r="M417" s="159" t="s">
        <v>330</v>
      </c>
      <c r="N417" s="85">
        <f>IF($F417="","",IFERROR(VLOOKUP($F417,Inventory!$A:$I,9,FALSE),0))</f>
        <v>8.147411853</v>
      </c>
      <c r="O417" s="85">
        <f t="shared" si="4"/>
        <v>40.73705926</v>
      </c>
      <c r="P417" s="85">
        <f t="shared" si="5"/>
        <v>59.26294074</v>
      </c>
      <c r="Q417" s="83"/>
      <c r="R417" s="118" t="str">
        <f>IF($E417="","",IF(COUNTIF($E$7:$E1614,$E417)&gt;1,"",IFERROR(VLOOKUP($E417,Orders!$A:$I,8,FALSE),"")))</f>
        <v/>
      </c>
      <c r="S417" s="118" t="str">
        <f>IF($E417="","",IF(COUNTIF($E$7:$E1614,$E417)&gt;1,"",IFERROR(VLOOKUP($E417,Orders!$A:$I,9,FALSE),"")))</f>
        <v/>
      </c>
      <c r="T417" s="88">
        <f t="shared" si="6"/>
        <v>59.26294074</v>
      </c>
      <c r="U417" s="88">
        <f>IF($F417="","",IF($E417="",T417,SUMIF(Sales!$E$7:$E$1506,$E417,Sales!$T$7:$T$1506)))</f>
        <v>59.26294074</v>
      </c>
      <c r="V417" s="49" t="str">
        <f t="shared" si="10"/>
        <v/>
      </c>
      <c r="W417" s="49" t="str">
        <f t="array" ref="W417">IF($V417="","",SUMPRODUCT((Sales!$V$7:$V$1506&lt;&gt;"")*(Sales!$E$7:$E$1506&lt;$E417))+1)</f>
        <v/>
      </c>
      <c r="X417" s="49">
        <f t="shared" si="11"/>
        <v>354</v>
      </c>
      <c r="Y417" s="49" t="str">
        <f t="shared" si="9"/>
        <v>202608-354</v>
      </c>
    </row>
    <row r="418" ht="14.25" customHeight="1">
      <c r="A418" s="161">
        <v>46258.0</v>
      </c>
      <c r="B418" s="142" t="s">
        <v>324</v>
      </c>
      <c r="C418" s="142" t="s">
        <v>365</v>
      </c>
      <c r="D418" s="142" t="s">
        <v>366</v>
      </c>
      <c r="E418" s="83"/>
      <c r="F418" s="159" t="s">
        <v>262</v>
      </c>
      <c r="G418" s="83" t="str">
        <f>IF($F418="","",IFERROR(VLOOKUP($F418,Inventory!$A:$B,2,FALSE),""))</f>
        <v>Kitchen Flavor Pate Delight</v>
      </c>
      <c r="H418" s="159">
        <v>1.0</v>
      </c>
      <c r="I418" s="84">
        <f t="shared" si="2"/>
        <v>135</v>
      </c>
      <c r="J418" s="85">
        <f>IF($F418="","",IFERROR(VLOOKUP($F418,Inventory!$A:$K,11,FALSE),0))</f>
        <v>150</v>
      </c>
      <c r="K418" s="97">
        <v>15.0</v>
      </c>
      <c r="L418" s="85">
        <f t="shared" si="3"/>
        <v>135</v>
      </c>
      <c r="M418" s="159" t="s">
        <v>596</v>
      </c>
      <c r="N418" s="85">
        <f>IF($F418="","",IFERROR(VLOOKUP($F418,Inventory!$A:$I,9,FALSE),0))</f>
        <v>110</v>
      </c>
      <c r="O418" s="85">
        <f t="shared" si="4"/>
        <v>110</v>
      </c>
      <c r="P418" s="85">
        <f t="shared" si="5"/>
        <v>25</v>
      </c>
      <c r="Q418" s="83"/>
      <c r="R418" s="118" t="str">
        <f>IF($E418="","",IF(COUNTIF($E$7:$E1615,$E418)&gt;1,"",IFERROR(VLOOKUP($E418,Orders!$A:$I,8,FALSE),"")))</f>
        <v/>
      </c>
      <c r="S418" s="118" t="str">
        <f>IF($E418="","",IF(COUNTIF($E$7:$E1615,$E418)&gt;1,"",IFERROR(VLOOKUP($E418,Orders!$A:$I,9,FALSE),"")))</f>
        <v/>
      </c>
      <c r="T418" s="88">
        <f t="shared" si="6"/>
        <v>25</v>
      </c>
      <c r="U418" s="88">
        <f>IF($F418="","",IF($E418="",T418,SUMIF(Sales!$E$7:$E$1506,$E418,Sales!$T$7:$T$1506)))</f>
        <v>25</v>
      </c>
      <c r="V418" s="49" t="str">
        <f t="shared" si="10"/>
        <v/>
      </c>
      <c r="W418" s="49" t="str">
        <f t="array" ref="W418">IF($V418="","",SUMPRODUCT((Sales!$V$7:$V$1506&lt;&gt;"")*(Sales!$E$7:$E$1506&lt;$E418))+1)</f>
        <v/>
      </c>
      <c r="X418" s="49">
        <f t="shared" si="11"/>
        <v>354</v>
      </c>
      <c r="Y418" s="49" t="str">
        <f t="shared" si="9"/>
        <v>202608-354</v>
      </c>
    </row>
    <row r="419" ht="14.25" customHeight="1">
      <c r="A419" s="161">
        <v>46258.0</v>
      </c>
      <c r="B419" s="142" t="s">
        <v>324</v>
      </c>
      <c r="C419" s="142" t="s">
        <v>365</v>
      </c>
      <c r="D419" s="142" t="s">
        <v>366</v>
      </c>
      <c r="E419" s="83"/>
      <c r="F419" s="159" t="s">
        <v>104</v>
      </c>
      <c r="G419" s="83" t="str">
        <f>IF($F419="","",IFERROR(VLOOKUP($F419,Inventory!$A:$B,2,FALSE),""))</f>
        <v>Nekko Pouch Tuna in Jelly</v>
      </c>
      <c r="H419" s="159">
        <v>1.0</v>
      </c>
      <c r="I419" s="84">
        <f t="shared" si="2"/>
        <v>82</v>
      </c>
      <c r="J419" s="85">
        <f>IF($F419="","",IFERROR(VLOOKUP($F419,Inventory!$A:$K,11,FALSE),0))</f>
        <v>90</v>
      </c>
      <c r="K419" s="97">
        <v>8.0</v>
      </c>
      <c r="L419" s="85">
        <f t="shared" si="3"/>
        <v>82</v>
      </c>
      <c r="M419" s="159" t="s">
        <v>596</v>
      </c>
      <c r="N419" s="85">
        <f>IF($F419="","",IFERROR(VLOOKUP($F419,Inventory!$A:$I,9,FALSE),0))</f>
        <v>65.17241379</v>
      </c>
      <c r="O419" s="85">
        <f t="shared" si="4"/>
        <v>65.17241379</v>
      </c>
      <c r="P419" s="85">
        <f t="shared" si="5"/>
        <v>16.82758621</v>
      </c>
      <c r="Q419" s="83"/>
      <c r="R419" s="118" t="str">
        <f>IF($E419="","",IF(COUNTIF($E$7:$E1616,$E419)&gt;1,"",IFERROR(VLOOKUP($E419,Orders!$A:$I,8,FALSE),"")))</f>
        <v/>
      </c>
      <c r="S419" s="118" t="str">
        <f>IF($E419="","",IF(COUNTIF($E$7:$E1616,$E419)&gt;1,"",IFERROR(VLOOKUP($E419,Orders!$A:$I,9,FALSE),"")))</f>
        <v/>
      </c>
      <c r="T419" s="88">
        <f t="shared" si="6"/>
        <v>16.82758621</v>
      </c>
      <c r="U419" s="88">
        <f>IF($F419="","",IF($E419="",T419,SUMIF(Sales!$E$7:$E$1506,$E419,Sales!$T$7:$T$1506)))</f>
        <v>16.82758621</v>
      </c>
      <c r="V419" s="49" t="str">
        <f t="shared" si="10"/>
        <v/>
      </c>
      <c r="W419" s="49" t="str">
        <f t="array" ref="W419">IF($V419="","",SUMPRODUCT((Sales!$V$7:$V$1506&lt;&gt;"")*(Sales!$E$7:$E$1506&lt;$E419))+1)</f>
        <v/>
      </c>
      <c r="X419" s="49">
        <f t="shared" si="11"/>
        <v>354</v>
      </c>
      <c r="Y419" s="49" t="str">
        <f t="shared" si="9"/>
        <v>202608-354</v>
      </c>
    </row>
    <row r="420" ht="14.25" customHeight="1">
      <c r="A420" s="161">
        <v>46258.0</v>
      </c>
      <c r="B420" s="142" t="s">
        <v>324</v>
      </c>
      <c r="C420" s="142" t="s">
        <v>365</v>
      </c>
      <c r="D420" s="142" t="s">
        <v>366</v>
      </c>
      <c r="E420" s="83"/>
      <c r="F420" s="159" t="s">
        <v>179</v>
      </c>
      <c r="G420" s="83" t="str">
        <f>IF($F420="","",IFERROR(VLOOKUP($F420,Inventory!$A:$B,2,FALSE),""))</f>
        <v>Creamy Treat 15G (Purry &amp; Hyper Paws)</v>
      </c>
      <c r="H420" s="159">
        <v>2.0</v>
      </c>
      <c r="I420" s="84">
        <f t="shared" si="2"/>
        <v>20</v>
      </c>
      <c r="J420" s="85">
        <f>IF($F420="","",IFERROR(VLOOKUP($F420,Inventory!$A:$K,11,FALSE),0))</f>
        <v>20</v>
      </c>
      <c r="K420" s="85"/>
      <c r="L420" s="85">
        <f t="shared" si="3"/>
        <v>40</v>
      </c>
      <c r="M420" s="159" t="s">
        <v>330</v>
      </c>
      <c r="N420" s="85">
        <f>IF($F420="","",IFERROR(VLOOKUP($F420,Inventory!$A:$I,9,FALSE),0))</f>
        <v>8.147411853</v>
      </c>
      <c r="O420" s="85">
        <f t="shared" si="4"/>
        <v>16.29482371</v>
      </c>
      <c r="P420" s="85">
        <f t="shared" si="5"/>
        <v>23.70517629</v>
      </c>
      <c r="Q420" s="83"/>
      <c r="R420" s="118" t="str">
        <f>IF($E420="","",IF(COUNTIF($E$7:$E1617,$E420)&gt;1,"",IFERROR(VLOOKUP($E420,Orders!$A:$I,8,FALSE),"")))</f>
        <v/>
      </c>
      <c r="S420" s="118" t="str">
        <f>IF($E420="","",IF(COUNTIF($E$7:$E1617,$E420)&gt;1,"",IFERROR(VLOOKUP($E420,Orders!$A:$I,9,FALSE),"")))</f>
        <v/>
      </c>
      <c r="T420" s="88">
        <f t="shared" si="6"/>
        <v>23.70517629</v>
      </c>
      <c r="U420" s="88">
        <f>IF($F420="","",IF($E420="",T420,SUMIF(Sales!$E$7:$E$1506,$E420,Sales!$T$7:$T$1506)))</f>
        <v>23.70517629</v>
      </c>
      <c r="V420" s="49" t="str">
        <f t="shared" si="10"/>
        <v/>
      </c>
      <c r="W420" s="49" t="str">
        <f t="array" ref="W420">IF($V420="","",SUMPRODUCT((Sales!$V$7:$V$1506&lt;&gt;"")*(Sales!$E$7:$E$1506&lt;$E420))+1)</f>
        <v/>
      </c>
      <c r="X420" s="49">
        <f t="shared" si="11"/>
        <v>354</v>
      </c>
      <c r="Y420" s="49" t="str">
        <f t="shared" si="9"/>
        <v>202608-354</v>
      </c>
    </row>
    <row r="421" ht="14.25" customHeight="1">
      <c r="A421" s="161">
        <v>46258.0</v>
      </c>
      <c r="B421" s="142" t="s">
        <v>324</v>
      </c>
      <c r="C421" s="142" t="s">
        <v>365</v>
      </c>
      <c r="D421" s="142" t="s">
        <v>366</v>
      </c>
      <c r="E421" s="83"/>
      <c r="F421" s="159" t="s">
        <v>454</v>
      </c>
      <c r="G421" s="83" t="str">
        <f>IF($F421="","",IFERROR(VLOOKUP($F421,Inventory!$A:$B,2,FALSE),""))</f>
        <v>Smart Heart Can Food</v>
      </c>
      <c r="H421" s="159">
        <v>1.0</v>
      </c>
      <c r="I421" s="84">
        <f t="shared" si="2"/>
        <v>250</v>
      </c>
      <c r="J421" s="85">
        <f>IF($F421="","",IFERROR(VLOOKUP($F421,Inventory!$A:$K,11,FALSE),0))</f>
        <v>280</v>
      </c>
      <c r="K421" s="97">
        <v>30.0</v>
      </c>
      <c r="L421" s="85">
        <f t="shared" si="3"/>
        <v>250</v>
      </c>
      <c r="M421" s="159" t="s">
        <v>330</v>
      </c>
      <c r="N421" s="85">
        <f>IF($F421="","",IFERROR(VLOOKUP($F421,Inventory!$A:$I,9,FALSE),0))</f>
        <v>210</v>
      </c>
      <c r="O421" s="85">
        <f t="shared" si="4"/>
        <v>210</v>
      </c>
      <c r="P421" s="85">
        <f t="shared" si="5"/>
        <v>40</v>
      </c>
      <c r="Q421" s="83"/>
      <c r="R421" s="118" t="str">
        <f>IF($E421="","",IF(COUNTIF($E$7:$E1618,$E421)&gt;1,"",IFERROR(VLOOKUP($E421,Orders!$A:$I,8,FALSE),"")))</f>
        <v/>
      </c>
      <c r="S421" s="118" t="str">
        <f>IF($E421="","",IF(COUNTIF($E$7:$E1618,$E421)&gt;1,"",IFERROR(VLOOKUP($E421,Orders!$A:$I,9,FALSE),"")))</f>
        <v/>
      </c>
      <c r="T421" s="88">
        <f t="shared" si="6"/>
        <v>40</v>
      </c>
      <c r="U421" s="88">
        <f>IF($F421="","",IF($E421="",T421,SUMIF(Sales!$E$7:$E$1506,$E421,Sales!$T$7:$T$1506)))</f>
        <v>40</v>
      </c>
      <c r="V421" s="49" t="str">
        <f t="shared" si="10"/>
        <v/>
      </c>
      <c r="W421" s="49" t="str">
        <f t="array" ref="W421">IF($V421="","",SUMPRODUCT((Sales!$V$7:$V$1506&lt;&gt;"")*(Sales!$E$7:$E$1506&lt;$E421))+1)</f>
        <v/>
      </c>
      <c r="X421" s="49">
        <f t="shared" si="11"/>
        <v>354</v>
      </c>
      <c r="Y421" s="49" t="str">
        <f t="shared" si="9"/>
        <v>202608-354</v>
      </c>
    </row>
    <row r="422" ht="14.25" customHeight="1">
      <c r="A422" s="161">
        <v>46258.0</v>
      </c>
      <c r="B422" s="142" t="s">
        <v>324</v>
      </c>
      <c r="C422" s="142" t="s">
        <v>365</v>
      </c>
      <c r="D422" s="142" t="s">
        <v>366</v>
      </c>
      <c r="E422" s="83"/>
      <c r="F422" s="159" t="s">
        <v>378</v>
      </c>
      <c r="G422" s="83" t="str">
        <f>IF($F422="","",IFERROR(VLOOKUP($F422,Inventory!$A:$B,2,FALSE),""))</f>
        <v>Drools &amp; Purepet Mixe Cat Food 500gm</v>
      </c>
      <c r="H422" s="159">
        <v>1.0</v>
      </c>
      <c r="I422" s="84">
        <f t="shared" si="2"/>
        <v>210</v>
      </c>
      <c r="J422" s="85">
        <f>IF($F422="","",IFERROR(VLOOKUP($F422,Inventory!$A:$K,11,FALSE),0))</f>
        <v>225</v>
      </c>
      <c r="K422" s="97">
        <v>15.0</v>
      </c>
      <c r="L422" s="85">
        <f t="shared" si="3"/>
        <v>210</v>
      </c>
      <c r="M422" s="159" t="s">
        <v>330</v>
      </c>
      <c r="N422" s="85">
        <f>IF($F422="","",IFERROR(VLOOKUP($F422,Inventory!$A:$I,9,FALSE),0))</f>
        <v>152.9310345</v>
      </c>
      <c r="O422" s="85">
        <f t="shared" si="4"/>
        <v>152.9310345</v>
      </c>
      <c r="P422" s="85">
        <f t="shared" si="5"/>
        <v>57.06896552</v>
      </c>
      <c r="Q422" s="83"/>
      <c r="R422" s="118" t="str">
        <f>IF($E422="","",IF(COUNTIF($E$7:$E1619,$E422)&gt;1,"",IFERROR(VLOOKUP($E422,Orders!$A:$I,8,FALSE),"")))</f>
        <v/>
      </c>
      <c r="S422" s="118" t="str">
        <f>IF($E422="","",IF(COUNTIF($E$7:$E1619,$E422)&gt;1,"",IFERROR(VLOOKUP($E422,Orders!$A:$I,9,FALSE),"")))</f>
        <v/>
      </c>
      <c r="T422" s="88">
        <f t="shared" si="6"/>
        <v>57.06896552</v>
      </c>
      <c r="U422" s="88">
        <f>IF($F422="","",IF($E422="",T422,SUMIF(Sales!$E$7:$E$1506,$E422,Sales!$T$7:$T$1506)))</f>
        <v>57.06896552</v>
      </c>
      <c r="V422" s="49" t="str">
        <f t="shared" si="10"/>
        <v/>
      </c>
      <c r="W422" s="49" t="str">
        <f t="array" ref="W422">IF($V422="","",SUMPRODUCT((Sales!$V$7:$V$1506&lt;&gt;"")*(Sales!$E$7:$E$1506&lt;$E422))+1)</f>
        <v/>
      </c>
      <c r="X422" s="49">
        <f t="shared" si="11"/>
        <v>354</v>
      </c>
      <c r="Y422" s="49" t="str">
        <f t="shared" si="9"/>
        <v>202608-354</v>
      </c>
    </row>
    <row r="423" ht="14.25" customHeight="1">
      <c r="A423" s="161">
        <v>46258.0</v>
      </c>
      <c r="B423" s="142" t="s">
        <v>324</v>
      </c>
      <c r="C423" s="142" t="s">
        <v>365</v>
      </c>
      <c r="D423" s="142" t="s">
        <v>366</v>
      </c>
      <c r="E423" s="83"/>
      <c r="F423" s="159" t="s">
        <v>179</v>
      </c>
      <c r="G423" s="83" t="str">
        <f>IF($F423="","",IFERROR(VLOOKUP($F423,Inventory!$A:$B,2,FALSE),""))</f>
        <v>Creamy Treat 15G (Purry &amp; Hyper Paws)</v>
      </c>
      <c r="H423" s="159">
        <v>2.0</v>
      </c>
      <c r="I423" s="84">
        <f t="shared" si="2"/>
        <v>20</v>
      </c>
      <c r="J423" s="85">
        <f>IF($F423="","",IFERROR(VLOOKUP($F423,Inventory!$A:$K,11,FALSE),0))</f>
        <v>20</v>
      </c>
      <c r="K423" s="85"/>
      <c r="L423" s="85">
        <f t="shared" si="3"/>
        <v>40</v>
      </c>
      <c r="M423" s="159" t="s">
        <v>330</v>
      </c>
      <c r="N423" s="85">
        <f>IF($F423="","",IFERROR(VLOOKUP($F423,Inventory!$A:$I,9,FALSE),0))</f>
        <v>8.147411853</v>
      </c>
      <c r="O423" s="85">
        <f t="shared" si="4"/>
        <v>16.29482371</v>
      </c>
      <c r="P423" s="85">
        <f t="shared" si="5"/>
        <v>23.70517629</v>
      </c>
      <c r="Q423" s="83"/>
      <c r="R423" s="118" t="str">
        <f>IF($E423="","",IF(COUNTIF($E$7:$E1620,$E423)&gt;1,"",IFERROR(VLOOKUP($E423,Orders!$A:$I,8,FALSE),"")))</f>
        <v/>
      </c>
      <c r="S423" s="118" t="str">
        <f>IF($E423="","",IF(COUNTIF($E$7:$E1620,$E423)&gt;1,"",IFERROR(VLOOKUP($E423,Orders!$A:$I,9,FALSE),"")))</f>
        <v/>
      </c>
      <c r="T423" s="88">
        <f t="shared" si="6"/>
        <v>23.70517629</v>
      </c>
      <c r="U423" s="88">
        <f>IF($F423="","",IF($E423="",T423,SUMIF(Sales!$E$7:$E$1506,$E423,Sales!$T$7:$T$1506)))</f>
        <v>23.70517629</v>
      </c>
      <c r="V423" s="49" t="str">
        <f t="shared" si="10"/>
        <v/>
      </c>
      <c r="W423" s="49" t="str">
        <f t="array" ref="W423">IF($V423="","",SUMPRODUCT((Sales!$V$7:$V$1506&lt;&gt;"")*(Sales!$E$7:$E$1506&lt;$E423))+1)</f>
        <v/>
      </c>
      <c r="X423" s="49">
        <f t="shared" si="11"/>
        <v>354</v>
      </c>
      <c r="Y423" s="49" t="str">
        <f t="shared" si="9"/>
        <v>202608-354</v>
      </c>
    </row>
    <row r="424" ht="14.25" customHeight="1">
      <c r="A424" s="161">
        <v>46259.0</v>
      </c>
      <c r="B424" s="142" t="s">
        <v>324</v>
      </c>
      <c r="C424" s="142" t="s">
        <v>365</v>
      </c>
      <c r="D424" s="142" t="s">
        <v>366</v>
      </c>
      <c r="E424" s="83"/>
      <c r="F424" s="159" t="s">
        <v>183</v>
      </c>
      <c r="G424" s="83" t="str">
        <f>IF($F424="","",IFERROR(VLOOKUP($F424,Inventory!$A:$B,2,FALSE),""))</f>
        <v>Smart Heart Kitten Food Chicken, Fish, Egg &amp; Milk 450gm</v>
      </c>
      <c r="H424" s="159">
        <v>1.0</v>
      </c>
      <c r="I424" s="84">
        <f t="shared" si="2"/>
        <v>360</v>
      </c>
      <c r="J424" s="85">
        <f>IF($F424="","",IFERROR(VLOOKUP($F424,Inventory!$A:$K,11,FALSE),0))</f>
        <v>380</v>
      </c>
      <c r="K424" s="97">
        <v>20.0</v>
      </c>
      <c r="L424" s="85">
        <f t="shared" si="3"/>
        <v>360</v>
      </c>
      <c r="M424" s="159" t="s">
        <v>330</v>
      </c>
      <c r="N424" s="85">
        <f>IF($F424="","",IFERROR(VLOOKUP($F424,Inventory!$A:$I,9,FALSE),0))</f>
        <v>290</v>
      </c>
      <c r="O424" s="85">
        <f t="shared" si="4"/>
        <v>290</v>
      </c>
      <c r="P424" s="85">
        <f t="shared" si="5"/>
        <v>70</v>
      </c>
      <c r="Q424" s="83"/>
      <c r="R424" s="118" t="str">
        <f>IF($E424="","",IF(COUNTIF($E$7:$E1621,$E424)&gt;1,"",IFERROR(VLOOKUP($E424,Orders!$A:$I,8,FALSE),"")))</f>
        <v/>
      </c>
      <c r="S424" s="118" t="str">
        <f>IF($E424="","",IF(COUNTIF($E$7:$E1621,$E424)&gt;1,"",IFERROR(VLOOKUP($E424,Orders!$A:$I,9,FALSE),"")))</f>
        <v/>
      </c>
      <c r="T424" s="88">
        <f t="shared" si="6"/>
        <v>70</v>
      </c>
      <c r="U424" s="88">
        <f>IF($F424="","",IF($E424="",T424,SUMIF(Sales!$E$7:$E$1506,$E424,Sales!$T$7:$T$1506)))</f>
        <v>70</v>
      </c>
      <c r="V424" s="49" t="str">
        <f t="shared" si="10"/>
        <v/>
      </c>
      <c r="W424" s="49" t="str">
        <f t="array" ref="W424">IF($V424="","",SUMPRODUCT((Sales!$V$7:$V$1506&lt;&gt;"")*(Sales!$E$7:$E$1506&lt;$E424))+1)</f>
        <v/>
      </c>
      <c r="X424" s="49">
        <f t="shared" si="11"/>
        <v>354</v>
      </c>
      <c r="Y424" s="49" t="str">
        <f t="shared" si="9"/>
        <v>202608-354</v>
      </c>
    </row>
    <row r="425" ht="14.25" customHeight="1">
      <c r="A425" s="161">
        <v>46259.0</v>
      </c>
      <c r="B425" s="142" t="s">
        <v>324</v>
      </c>
      <c r="C425" s="142" t="s">
        <v>365</v>
      </c>
      <c r="D425" s="142" t="s">
        <v>366</v>
      </c>
      <c r="E425" s="83"/>
      <c r="F425" s="159" t="s">
        <v>450</v>
      </c>
      <c r="G425" s="83" t="str">
        <f>IF($F425="","",IFERROR(VLOOKUP($F425,Inventory!$A:$B,2,FALSE),""))</f>
        <v>Jungle Adult Dry Food Chicken</v>
      </c>
      <c r="H425" s="159">
        <v>1.0</v>
      </c>
      <c r="I425" s="84">
        <f t="shared" si="2"/>
        <v>850</v>
      </c>
      <c r="J425" s="85">
        <f>IF($F425="","",IFERROR(VLOOKUP($F425,Inventory!$A:$K,11,FALSE),0))</f>
        <v>900</v>
      </c>
      <c r="K425" s="97">
        <v>50.0</v>
      </c>
      <c r="L425" s="85">
        <f t="shared" si="3"/>
        <v>850</v>
      </c>
      <c r="M425" s="159" t="s">
        <v>330</v>
      </c>
      <c r="N425" s="85">
        <f>IF($F425="","",IFERROR(VLOOKUP($F425,Inventory!$A:$I,9,FALSE),0))</f>
        <v>715</v>
      </c>
      <c r="O425" s="85">
        <f t="shared" si="4"/>
        <v>715</v>
      </c>
      <c r="P425" s="85">
        <f t="shared" si="5"/>
        <v>135</v>
      </c>
      <c r="Q425" s="83"/>
      <c r="R425" s="118" t="str">
        <f>IF($E425="","",IF(COUNTIF($E$7:$E1622,$E425)&gt;1,"",IFERROR(VLOOKUP($E425,Orders!$A:$I,8,FALSE),"")))</f>
        <v/>
      </c>
      <c r="S425" s="118" t="str">
        <f>IF($E425="","",IF(COUNTIF($E$7:$E1622,$E425)&gt;1,"",IFERROR(VLOOKUP($E425,Orders!$A:$I,9,FALSE),"")))</f>
        <v/>
      </c>
      <c r="T425" s="88">
        <f t="shared" si="6"/>
        <v>135</v>
      </c>
      <c r="U425" s="88">
        <f>IF($F425="","",IF($E425="",T425,SUMIF(Sales!$E$7:$E$1506,$E425,Sales!$T$7:$T$1506)))</f>
        <v>135</v>
      </c>
      <c r="V425" s="49" t="str">
        <f t="shared" si="10"/>
        <v/>
      </c>
      <c r="W425" s="49" t="str">
        <f t="array" ref="W425">IF($V425="","",SUMPRODUCT((Sales!$V$7:$V$1506&lt;&gt;"")*(Sales!$E$7:$E$1506&lt;$E425))+1)</f>
        <v/>
      </c>
      <c r="X425" s="49">
        <f t="shared" si="11"/>
        <v>354</v>
      </c>
      <c r="Y425" s="49" t="str">
        <f t="shared" si="9"/>
        <v>202608-354</v>
      </c>
    </row>
    <row r="426" ht="14.25" customHeight="1">
      <c r="A426" s="161">
        <v>46259.0</v>
      </c>
      <c r="B426" s="142" t="s">
        <v>324</v>
      </c>
      <c r="C426" s="142" t="s">
        <v>365</v>
      </c>
      <c r="D426" s="142" t="s">
        <v>366</v>
      </c>
      <c r="E426" s="83"/>
      <c r="F426" s="159" t="s">
        <v>179</v>
      </c>
      <c r="G426" s="83" t="str">
        <f>IF($F426="","",IFERROR(VLOOKUP($F426,Inventory!$A:$B,2,FALSE),""))</f>
        <v>Creamy Treat 15G (Purry &amp; Hyper Paws)</v>
      </c>
      <c r="H426" s="159">
        <v>5.0</v>
      </c>
      <c r="I426" s="84">
        <f t="shared" si="2"/>
        <v>20</v>
      </c>
      <c r="J426" s="85">
        <f>IF($F426="","",IFERROR(VLOOKUP($F426,Inventory!$A:$K,11,FALSE),0))</f>
        <v>20</v>
      </c>
      <c r="K426" s="85"/>
      <c r="L426" s="85">
        <f t="shared" si="3"/>
        <v>100</v>
      </c>
      <c r="M426" s="159" t="s">
        <v>330</v>
      </c>
      <c r="N426" s="85">
        <f>IF($F426="","",IFERROR(VLOOKUP($F426,Inventory!$A:$I,9,FALSE),0))</f>
        <v>8.147411853</v>
      </c>
      <c r="O426" s="85">
        <f t="shared" si="4"/>
        <v>40.73705926</v>
      </c>
      <c r="P426" s="85">
        <f t="shared" si="5"/>
        <v>59.26294074</v>
      </c>
      <c r="Q426" s="83"/>
      <c r="R426" s="118" t="str">
        <f>IF($E426="","",IF(COUNTIF($E$7:$E1623,$E426)&gt;1,"",IFERROR(VLOOKUP($E426,Orders!$A:$I,8,FALSE),"")))</f>
        <v/>
      </c>
      <c r="S426" s="118" t="str">
        <f>IF($E426="","",IF(COUNTIF($E$7:$E1623,$E426)&gt;1,"",IFERROR(VLOOKUP($E426,Orders!$A:$I,9,FALSE),"")))</f>
        <v/>
      </c>
      <c r="T426" s="88">
        <f t="shared" si="6"/>
        <v>59.26294074</v>
      </c>
      <c r="U426" s="88">
        <f>IF($F426="","",IF($E426="",T426,SUMIF(Sales!$E$7:$E$1506,$E426,Sales!$T$7:$T$1506)))</f>
        <v>59.26294074</v>
      </c>
      <c r="V426" s="49" t="str">
        <f t="shared" si="10"/>
        <v/>
      </c>
      <c r="W426" s="49" t="str">
        <f t="array" ref="W426">IF($V426="","",SUMPRODUCT((Sales!$V$7:$V$1506&lt;&gt;"")*(Sales!$E$7:$E$1506&lt;$E426))+1)</f>
        <v/>
      </c>
      <c r="X426" s="49">
        <f t="shared" si="11"/>
        <v>354</v>
      </c>
      <c r="Y426" s="49" t="str">
        <f t="shared" si="9"/>
        <v>202608-354</v>
      </c>
    </row>
    <row r="427" ht="14.25" customHeight="1">
      <c r="A427" s="161">
        <v>46259.0</v>
      </c>
      <c r="B427" s="142" t="s">
        <v>324</v>
      </c>
      <c r="C427" s="142" t="s">
        <v>365</v>
      </c>
      <c r="D427" s="142" t="s">
        <v>366</v>
      </c>
      <c r="E427" s="83"/>
      <c r="F427" s="159" t="s">
        <v>378</v>
      </c>
      <c r="G427" s="83" t="str">
        <f>IF($F427="","",IFERROR(VLOOKUP($F427,Inventory!$A:$B,2,FALSE),""))</f>
        <v>Drools &amp; Purepet Mixe Cat Food 500gm</v>
      </c>
      <c r="H427" s="159">
        <v>1.0</v>
      </c>
      <c r="I427" s="84">
        <f t="shared" si="2"/>
        <v>200</v>
      </c>
      <c r="J427" s="85">
        <f>IF($F427="","",IFERROR(VLOOKUP($F427,Inventory!$A:$K,11,FALSE),0))</f>
        <v>225</v>
      </c>
      <c r="K427" s="97">
        <v>25.0</v>
      </c>
      <c r="L427" s="85">
        <f t="shared" si="3"/>
        <v>200</v>
      </c>
      <c r="M427" s="159" t="s">
        <v>330</v>
      </c>
      <c r="N427" s="85">
        <f>IF($F427="","",IFERROR(VLOOKUP($F427,Inventory!$A:$I,9,FALSE),0))</f>
        <v>152.9310345</v>
      </c>
      <c r="O427" s="85">
        <f t="shared" si="4"/>
        <v>152.9310345</v>
      </c>
      <c r="P427" s="85">
        <f t="shared" si="5"/>
        <v>47.06896552</v>
      </c>
      <c r="Q427" s="83"/>
      <c r="R427" s="118" t="str">
        <f>IF($E427="","",IF(COUNTIF($E$7:$E1624,$E427)&gt;1,"",IFERROR(VLOOKUP($E427,Orders!$A:$I,8,FALSE),"")))</f>
        <v/>
      </c>
      <c r="S427" s="118" t="str">
        <f>IF($E427="","",IF(COUNTIF($E$7:$E1624,$E427)&gt;1,"",IFERROR(VLOOKUP($E427,Orders!$A:$I,9,FALSE),"")))</f>
        <v/>
      </c>
      <c r="T427" s="88">
        <f t="shared" si="6"/>
        <v>47.06896552</v>
      </c>
      <c r="U427" s="88">
        <f>IF($F427="","",IF($E427="",T427,SUMIF(Sales!$E$7:$E$1506,$E427,Sales!$T$7:$T$1506)))</f>
        <v>47.06896552</v>
      </c>
      <c r="V427" s="49" t="str">
        <f t="shared" si="10"/>
        <v/>
      </c>
      <c r="W427" s="49" t="str">
        <f t="array" ref="W427">IF($V427="","",SUMPRODUCT((Sales!$V$7:$V$1506&lt;&gt;"")*(Sales!$E$7:$E$1506&lt;$E427))+1)</f>
        <v/>
      </c>
      <c r="X427" s="49">
        <f t="shared" si="11"/>
        <v>354</v>
      </c>
      <c r="Y427" s="49" t="str">
        <f t="shared" si="9"/>
        <v>202608-354</v>
      </c>
    </row>
    <row r="428" ht="14.25" customHeight="1">
      <c r="A428" s="161">
        <v>46259.0</v>
      </c>
      <c r="B428" s="142" t="s">
        <v>324</v>
      </c>
      <c r="C428" s="142" t="s">
        <v>365</v>
      </c>
      <c r="D428" s="142" t="s">
        <v>366</v>
      </c>
      <c r="E428" s="83"/>
      <c r="F428" s="159" t="s">
        <v>211</v>
      </c>
      <c r="G428" s="83" t="str">
        <f>IF($F428="","",IFERROR(VLOOKUP($F428,Inventory!$A:$B,2,FALSE),""))</f>
        <v>Smart Heart Pouch  Tuna With Chicken in Jelly</v>
      </c>
      <c r="H428" s="159">
        <v>1.0</v>
      </c>
      <c r="I428" s="84">
        <f t="shared" si="2"/>
        <v>85</v>
      </c>
      <c r="J428" s="85">
        <f>IF($F428="","",IFERROR(VLOOKUP($F428,Inventory!$A:$K,11,FALSE),0))</f>
        <v>95</v>
      </c>
      <c r="K428" s="97">
        <v>10.0</v>
      </c>
      <c r="L428" s="85">
        <f t="shared" si="3"/>
        <v>85</v>
      </c>
      <c r="M428" s="159" t="s">
        <v>330</v>
      </c>
      <c r="N428" s="85">
        <f>IF($F428="","",IFERROR(VLOOKUP($F428,Inventory!$A:$I,9,FALSE),0))</f>
        <v>71.9047619</v>
      </c>
      <c r="O428" s="85">
        <f t="shared" si="4"/>
        <v>71.9047619</v>
      </c>
      <c r="P428" s="85">
        <f t="shared" si="5"/>
        <v>13.0952381</v>
      </c>
      <c r="Q428" s="83"/>
      <c r="R428" s="118" t="str">
        <f>IF($E428="","",IF(COUNTIF($E$7:$E1625,$E428)&gt;1,"",IFERROR(VLOOKUP($E428,Orders!$A:$I,8,FALSE),"")))</f>
        <v/>
      </c>
      <c r="S428" s="118" t="str">
        <f>IF($E428="","",IF(COUNTIF($E$7:$E1625,$E428)&gt;1,"",IFERROR(VLOOKUP($E428,Orders!$A:$I,9,FALSE),"")))</f>
        <v/>
      </c>
      <c r="T428" s="88">
        <f t="shared" si="6"/>
        <v>13.0952381</v>
      </c>
      <c r="U428" s="88">
        <f>IF($F428="","",IF($E428="",T428,SUMIF(Sales!$E$7:$E$1506,$E428,Sales!$T$7:$T$1506)))</f>
        <v>13.0952381</v>
      </c>
      <c r="V428" s="49" t="str">
        <f t="shared" si="10"/>
        <v/>
      </c>
      <c r="W428" s="49" t="str">
        <f t="array" ref="W428">IF($V428="","",SUMPRODUCT((Sales!$V$7:$V$1506&lt;&gt;"")*(Sales!$E$7:$E$1506&lt;$E428))+1)</f>
        <v/>
      </c>
      <c r="X428" s="49">
        <f t="shared" si="11"/>
        <v>354</v>
      </c>
      <c r="Y428" s="49" t="str">
        <f t="shared" si="9"/>
        <v>202608-354</v>
      </c>
    </row>
    <row r="429" ht="14.25" customHeight="1">
      <c r="A429" s="161">
        <v>46259.0</v>
      </c>
      <c r="B429" s="142" t="s">
        <v>324</v>
      </c>
      <c r="C429" s="142" t="s">
        <v>365</v>
      </c>
      <c r="D429" s="142" t="s">
        <v>366</v>
      </c>
      <c r="E429" s="83"/>
      <c r="F429" s="159" t="s">
        <v>179</v>
      </c>
      <c r="G429" s="83" t="str">
        <f>IF($F429="","",IFERROR(VLOOKUP($F429,Inventory!$A:$B,2,FALSE),""))</f>
        <v>Creamy Treat 15G (Purry &amp; Hyper Paws)</v>
      </c>
      <c r="H429" s="159">
        <v>3.0</v>
      </c>
      <c r="I429" s="84">
        <f t="shared" si="2"/>
        <v>15</v>
      </c>
      <c r="J429" s="85">
        <f>IF($F429="","",IFERROR(VLOOKUP($F429,Inventory!$A:$K,11,FALSE),0))</f>
        <v>20</v>
      </c>
      <c r="K429" s="97">
        <v>5.0</v>
      </c>
      <c r="L429" s="85">
        <f t="shared" si="3"/>
        <v>45</v>
      </c>
      <c r="M429" s="159" t="s">
        <v>330</v>
      </c>
      <c r="N429" s="85">
        <f>IF($F429="","",IFERROR(VLOOKUP($F429,Inventory!$A:$I,9,FALSE),0))</f>
        <v>8.147411853</v>
      </c>
      <c r="O429" s="85">
        <f t="shared" si="4"/>
        <v>24.44223556</v>
      </c>
      <c r="P429" s="85">
        <f t="shared" si="5"/>
        <v>20.55776444</v>
      </c>
      <c r="Q429" s="83"/>
      <c r="R429" s="118" t="str">
        <f>IF($E429="","",IF(COUNTIF($E$7:$E1626,$E429)&gt;1,"",IFERROR(VLOOKUP($E429,Orders!$A:$I,8,FALSE),"")))</f>
        <v/>
      </c>
      <c r="S429" s="118" t="str">
        <f>IF($E429="","",IF(COUNTIF($E$7:$E1626,$E429)&gt;1,"",IFERROR(VLOOKUP($E429,Orders!$A:$I,9,FALSE),"")))</f>
        <v/>
      </c>
      <c r="T429" s="88">
        <f t="shared" si="6"/>
        <v>20.55776444</v>
      </c>
      <c r="U429" s="88">
        <f>IF($F429="","",IF($E429="",T429,SUMIF(Sales!$E$7:$E$1506,$E429,Sales!$T$7:$T$1506)))</f>
        <v>20.55776444</v>
      </c>
      <c r="V429" s="49" t="str">
        <f t="shared" si="10"/>
        <v/>
      </c>
      <c r="W429" s="49" t="str">
        <f t="array" ref="W429">IF($V429="","",SUMPRODUCT((Sales!$V$7:$V$1506&lt;&gt;"")*(Sales!$E$7:$E$1506&lt;$E429))+1)</f>
        <v/>
      </c>
      <c r="X429" s="49">
        <f t="shared" si="11"/>
        <v>354</v>
      </c>
      <c r="Y429" s="49" t="str">
        <f t="shared" si="9"/>
        <v>202608-354</v>
      </c>
    </row>
    <row r="430" ht="14.25" customHeight="1">
      <c r="A430" s="161">
        <v>46259.0</v>
      </c>
      <c r="B430" s="142" t="s">
        <v>324</v>
      </c>
      <c r="C430" s="142" t="s">
        <v>365</v>
      </c>
      <c r="D430" s="142" t="s">
        <v>366</v>
      </c>
      <c r="E430" s="83"/>
      <c r="F430" s="159" t="s">
        <v>541</v>
      </c>
      <c r="G430" s="83" t="str">
        <f>IF($F430="","",IFERROR(VLOOKUP($F430,Inventory!$A:$B,2,FALSE),""))</f>
        <v>Clean Step Litter Lavender 5L</v>
      </c>
      <c r="H430" s="159">
        <v>1.0</v>
      </c>
      <c r="I430" s="84">
        <f t="shared" si="2"/>
        <v>300</v>
      </c>
      <c r="J430" s="85">
        <f>IF($F430="","",IFERROR(VLOOKUP($F430,Inventory!$A:$K,11,FALSE),0))</f>
        <v>300</v>
      </c>
      <c r="K430" s="85"/>
      <c r="L430" s="85">
        <f t="shared" si="3"/>
        <v>300</v>
      </c>
      <c r="M430" s="159" t="s">
        <v>330</v>
      </c>
      <c r="N430" s="85">
        <f>IF($F430="","",IFERROR(VLOOKUP($F430,Inventory!$A:$I,9,FALSE),0))</f>
        <v>200</v>
      </c>
      <c r="O430" s="85">
        <f t="shared" si="4"/>
        <v>200</v>
      </c>
      <c r="P430" s="85">
        <f t="shared" si="5"/>
        <v>100</v>
      </c>
      <c r="Q430" s="83"/>
      <c r="R430" s="118" t="str">
        <f>IF($E430="","",IF(COUNTIF($E$7:$E1627,$E430)&gt;1,"",IFERROR(VLOOKUP($E430,Orders!$A:$I,8,FALSE),"")))</f>
        <v/>
      </c>
      <c r="S430" s="118" t="str">
        <f>IF($E430="","",IF(COUNTIF($E$7:$E1627,$E430)&gt;1,"",IFERROR(VLOOKUP($E430,Orders!$A:$I,9,FALSE),"")))</f>
        <v/>
      </c>
      <c r="T430" s="88">
        <f t="shared" si="6"/>
        <v>100</v>
      </c>
      <c r="U430" s="88">
        <f>IF($F430="","",IF($E430="",T430,SUMIF(Sales!$E$7:$E$1506,$E430,Sales!$T$7:$T$1506)))</f>
        <v>100</v>
      </c>
      <c r="V430" s="49" t="str">
        <f t="shared" si="10"/>
        <v/>
      </c>
      <c r="W430" s="49" t="str">
        <f t="array" ref="W430">IF($V430="","",SUMPRODUCT((Sales!$V$7:$V$1506&lt;&gt;"")*(Sales!$E$7:$E$1506&lt;$E430))+1)</f>
        <v/>
      </c>
      <c r="X430" s="49">
        <f t="shared" si="11"/>
        <v>354</v>
      </c>
      <c r="Y430" s="49" t="str">
        <f t="shared" si="9"/>
        <v>202608-354</v>
      </c>
    </row>
    <row r="431" ht="14.25" customHeight="1">
      <c r="A431" s="161">
        <v>46259.0</v>
      </c>
      <c r="B431" s="142" t="s">
        <v>324</v>
      </c>
      <c r="C431" s="142" t="s">
        <v>365</v>
      </c>
      <c r="D431" s="142" t="s">
        <v>366</v>
      </c>
      <c r="E431" s="83"/>
      <c r="F431" s="159" t="s">
        <v>179</v>
      </c>
      <c r="G431" s="83" t="str">
        <f>IF($F431="","",IFERROR(VLOOKUP($F431,Inventory!$A:$B,2,FALSE),""))</f>
        <v>Creamy Treat 15G (Purry &amp; Hyper Paws)</v>
      </c>
      <c r="H431" s="159">
        <v>1.0</v>
      </c>
      <c r="I431" s="84">
        <f t="shared" si="2"/>
        <v>20</v>
      </c>
      <c r="J431" s="85">
        <f>IF($F431="","",IFERROR(VLOOKUP($F431,Inventory!$A:$K,11,FALSE),0))</f>
        <v>20</v>
      </c>
      <c r="K431" s="85"/>
      <c r="L431" s="85">
        <f t="shared" si="3"/>
        <v>20</v>
      </c>
      <c r="M431" s="159" t="s">
        <v>330</v>
      </c>
      <c r="N431" s="85">
        <f>IF($F431="","",IFERROR(VLOOKUP($F431,Inventory!$A:$I,9,FALSE),0))</f>
        <v>8.147411853</v>
      </c>
      <c r="O431" s="85">
        <f t="shared" si="4"/>
        <v>8.147411853</v>
      </c>
      <c r="P431" s="85">
        <f t="shared" si="5"/>
        <v>11.85258815</v>
      </c>
      <c r="Q431" s="83"/>
      <c r="R431" s="118" t="str">
        <f>IF($E431="","",IF(COUNTIF($E$7:$E1628,$E431)&gt;1,"",IFERROR(VLOOKUP($E431,Orders!$A:$I,8,FALSE),"")))</f>
        <v/>
      </c>
      <c r="S431" s="118" t="str">
        <f>IF($E431="","",IF(COUNTIF($E$7:$E1628,$E431)&gt;1,"",IFERROR(VLOOKUP($E431,Orders!$A:$I,9,FALSE),"")))</f>
        <v/>
      </c>
      <c r="T431" s="88">
        <f t="shared" si="6"/>
        <v>11.85258815</v>
      </c>
      <c r="U431" s="88">
        <f>IF($F431="","",IF($E431="",T431,SUMIF(Sales!$E$7:$E$1506,$E431,Sales!$T$7:$T$1506)))</f>
        <v>11.85258815</v>
      </c>
      <c r="V431" s="49" t="str">
        <f t="shared" si="10"/>
        <v/>
      </c>
      <c r="W431" s="49" t="str">
        <f t="array" ref="W431">IF($V431="","",SUMPRODUCT((Sales!$V$7:$V$1506&lt;&gt;"")*(Sales!$E$7:$E$1506&lt;$E431))+1)</f>
        <v/>
      </c>
      <c r="X431" s="49">
        <f t="shared" si="11"/>
        <v>354</v>
      </c>
      <c r="Y431" s="49" t="str">
        <f t="shared" si="9"/>
        <v>202608-354</v>
      </c>
    </row>
    <row r="432" ht="14.25" customHeight="1">
      <c r="A432" s="161">
        <v>46259.0</v>
      </c>
      <c r="B432" s="142" t="s">
        <v>324</v>
      </c>
      <c r="C432" s="142" t="s">
        <v>365</v>
      </c>
      <c r="D432" s="142" t="s">
        <v>366</v>
      </c>
      <c r="E432" s="83"/>
      <c r="F432" s="159" t="s">
        <v>98</v>
      </c>
      <c r="G432" s="83" t="str">
        <f>IF($F432="","",IFERROR(VLOOKUP($F432,Inventory!$A:$B,2,FALSE),""))</f>
        <v>Cat Belt</v>
      </c>
      <c r="H432" s="159">
        <v>1.0</v>
      </c>
      <c r="I432" s="84">
        <f t="shared" si="2"/>
        <v>50</v>
      </c>
      <c r="J432" s="85">
        <f>IF($F432="","",IFERROR(VLOOKUP($F432,Inventory!$A:$K,11,FALSE),0))</f>
        <v>60</v>
      </c>
      <c r="K432" s="97">
        <v>10.0</v>
      </c>
      <c r="L432" s="85">
        <f t="shared" si="3"/>
        <v>50</v>
      </c>
      <c r="M432" s="159" t="s">
        <v>330</v>
      </c>
      <c r="N432" s="85">
        <f>IF($F432="","",IFERROR(VLOOKUP($F432,Inventory!$A:$I,9,FALSE),0))</f>
        <v>29.35135135</v>
      </c>
      <c r="O432" s="85">
        <f t="shared" si="4"/>
        <v>29.35135135</v>
      </c>
      <c r="P432" s="85">
        <f t="shared" si="5"/>
        <v>20.64864865</v>
      </c>
      <c r="Q432" s="83"/>
      <c r="R432" s="118" t="str">
        <f>IF($E432="","",IF(COUNTIF($E$7:$E1629,$E432)&gt;1,"",IFERROR(VLOOKUP($E432,Orders!$A:$I,8,FALSE),"")))</f>
        <v/>
      </c>
      <c r="S432" s="118" t="str">
        <f>IF($E432="","",IF(COUNTIF($E$7:$E1629,$E432)&gt;1,"",IFERROR(VLOOKUP($E432,Orders!$A:$I,9,FALSE),"")))</f>
        <v/>
      </c>
      <c r="T432" s="88">
        <f t="shared" si="6"/>
        <v>20.64864865</v>
      </c>
      <c r="U432" s="88">
        <f>IF($F432="","",IF($E432="",T432,SUMIF(Sales!$E$7:$E$1506,$E432,Sales!$T$7:$T$1506)))</f>
        <v>20.64864865</v>
      </c>
      <c r="V432" s="49" t="str">
        <f t="shared" si="10"/>
        <v/>
      </c>
      <c r="W432" s="49" t="str">
        <f t="array" ref="W432">IF($V432="","",SUMPRODUCT((Sales!$V$7:$V$1506&lt;&gt;"")*(Sales!$E$7:$E$1506&lt;$E432))+1)</f>
        <v/>
      </c>
      <c r="X432" s="49">
        <f t="shared" si="11"/>
        <v>354</v>
      </c>
      <c r="Y432" s="49" t="str">
        <f t="shared" si="9"/>
        <v>202608-354</v>
      </c>
    </row>
    <row r="433" ht="14.25" customHeight="1">
      <c r="A433" s="161">
        <v>46259.0</v>
      </c>
      <c r="B433" s="142" t="s">
        <v>324</v>
      </c>
      <c r="C433" s="142" t="s">
        <v>365</v>
      </c>
      <c r="D433" s="142" t="s">
        <v>366</v>
      </c>
      <c r="E433" s="83"/>
      <c r="F433" s="159" t="s">
        <v>247</v>
      </c>
      <c r="G433" s="83" t="str">
        <f>IF($F433="","",IFERROR(VLOOKUP($F433,Inventory!$A:$B,2,FALSE),""))</f>
        <v>Cat Toy Long Wire (Fish, Ball )</v>
      </c>
      <c r="H433" s="159">
        <v>1.0</v>
      </c>
      <c r="I433" s="84">
        <f t="shared" si="2"/>
        <v>120</v>
      </c>
      <c r="J433" s="85">
        <f>IF($F433="","",IFERROR(VLOOKUP($F433,Inventory!$A:$K,11,FALSE),0))</f>
        <v>130</v>
      </c>
      <c r="K433" s="97">
        <v>10.0</v>
      </c>
      <c r="L433" s="85">
        <f t="shared" si="3"/>
        <v>120</v>
      </c>
      <c r="M433" s="159" t="s">
        <v>330</v>
      </c>
      <c r="N433" s="85">
        <f>IF($F433="","",IFERROR(VLOOKUP($F433,Inventory!$A:$I,9,FALSE),0))</f>
        <v>80</v>
      </c>
      <c r="O433" s="85">
        <f t="shared" si="4"/>
        <v>80</v>
      </c>
      <c r="P433" s="85">
        <f t="shared" si="5"/>
        <v>40</v>
      </c>
      <c r="Q433" s="83"/>
      <c r="R433" s="118" t="str">
        <f>IF($E433="","",IF(COUNTIF($E$7:$E1630,$E433)&gt;1,"",IFERROR(VLOOKUP($E433,Orders!$A:$I,8,FALSE),"")))</f>
        <v/>
      </c>
      <c r="S433" s="118" t="str">
        <f>IF($E433="","",IF(COUNTIF($E$7:$E1630,$E433)&gt;1,"",IFERROR(VLOOKUP($E433,Orders!$A:$I,9,FALSE),"")))</f>
        <v/>
      </c>
      <c r="T433" s="88">
        <f t="shared" si="6"/>
        <v>40</v>
      </c>
      <c r="U433" s="88">
        <f>IF($F433="","",IF($E433="",T433,SUMIF(Sales!$E$7:$E$1506,$E433,Sales!$T$7:$T$1506)))</f>
        <v>40</v>
      </c>
      <c r="V433" s="49" t="str">
        <f t="shared" si="10"/>
        <v/>
      </c>
      <c r="W433" s="49" t="str">
        <f t="array" ref="W433">IF($V433="","",SUMPRODUCT((Sales!$V$7:$V$1506&lt;&gt;"")*(Sales!$E$7:$E$1506&lt;$E433))+1)</f>
        <v/>
      </c>
      <c r="X433" s="49">
        <f t="shared" si="11"/>
        <v>354</v>
      </c>
      <c r="Y433" s="49" t="str">
        <f t="shared" si="9"/>
        <v>202608-354</v>
      </c>
    </row>
    <row r="434" ht="14.25" customHeight="1">
      <c r="A434" s="161">
        <v>46259.0</v>
      </c>
      <c r="B434" s="142" t="s">
        <v>324</v>
      </c>
      <c r="C434" s="162" t="s">
        <v>325</v>
      </c>
      <c r="D434" s="162" t="s">
        <v>584</v>
      </c>
      <c r="E434" s="159" t="s">
        <v>698</v>
      </c>
      <c r="F434" s="159" t="s">
        <v>202</v>
      </c>
      <c r="G434" s="83" t="str">
        <f>IF($F434="","",IFERROR(VLOOKUP($F434,Inventory!$A:$B,2,FALSE),""))</f>
        <v>Cozie Cat Litter Lavender 10L</v>
      </c>
      <c r="H434" s="159">
        <v>1.0</v>
      </c>
      <c r="I434" s="84">
        <f t="shared" si="2"/>
        <v>620</v>
      </c>
      <c r="J434" s="85">
        <f>IF($F434="","",IFERROR(VLOOKUP($F434,Inventory!$A:$K,11,FALSE),0))</f>
        <v>700</v>
      </c>
      <c r="K434" s="97">
        <v>80.0</v>
      </c>
      <c r="L434" s="85">
        <f t="shared" si="3"/>
        <v>620</v>
      </c>
      <c r="M434" s="159" t="s">
        <v>330</v>
      </c>
      <c r="N434" s="85">
        <f>IF($F434="","",IFERROR(VLOOKUP($F434,Inventory!$A:$I,9,FALSE),0))</f>
        <v>450</v>
      </c>
      <c r="O434" s="85">
        <f t="shared" si="4"/>
        <v>450</v>
      </c>
      <c r="P434" s="85">
        <f t="shared" si="5"/>
        <v>170</v>
      </c>
      <c r="Q434" s="83"/>
      <c r="R434" s="118">
        <f>IF($E434="","",IF(COUNTIF($E$7:$E1631,$E434)&gt;1,"",IFERROR(VLOOKUP($E434,Orders!$A:$I,8,FALSE),"")))</f>
        <v>80</v>
      </c>
      <c r="S434" s="118">
        <f>IF($E434="","",IF(COUNTIF($E$7:$E1631,$E434)&gt;1,"",IFERROR(VLOOKUP($E434,Orders!$A:$I,9,FALSE),"")))</f>
        <v>80</v>
      </c>
      <c r="T434" s="88">
        <f t="shared" si="6"/>
        <v>170</v>
      </c>
      <c r="U434" s="88">
        <f>IF($F434="","",IF($E434="",T434,SUMIF(Sales!$E$7:$E$1506,$E434,Sales!$T$7:$T$1506)))</f>
        <v>170</v>
      </c>
      <c r="V434" s="49">
        <f t="shared" si="10"/>
        <v>18</v>
      </c>
      <c r="W434" s="49">
        <f t="array" ref="W434">IF($V434="","",SUMPRODUCT((Sales!$V$7:$V$1506&lt;&gt;"")*(Sales!$E$7:$E$1506&lt;$E434))+1)</f>
        <v>18</v>
      </c>
      <c r="X434" s="49">
        <f t="shared" si="11"/>
        <v>354</v>
      </c>
      <c r="Y434" s="49" t="str">
        <f t="shared" si="9"/>
        <v>202608-354</v>
      </c>
    </row>
    <row r="435" ht="14.25" customHeight="1">
      <c r="A435" s="161">
        <v>46259.0</v>
      </c>
      <c r="B435" s="142" t="s">
        <v>324</v>
      </c>
      <c r="C435" s="142" t="s">
        <v>365</v>
      </c>
      <c r="D435" s="142" t="s">
        <v>366</v>
      </c>
      <c r="E435" s="83"/>
      <c r="F435" s="159" t="s">
        <v>407</v>
      </c>
      <c r="G435" s="83" t="str">
        <f>IF($F435="","",IFERROR(VLOOKUP($F435,Inventory!$A:$B,2,FALSE),""))</f>
        <v>LuminaCat Litter Lavender 25L</v>
      </c>
      <c r="H435" s="159">
        <v>1.0</v>
      </c>
      <c r="I435" s="84">
        <f t="shared" si="2"/>
        <v>1150</v>
      </c>
      <c r="J435" s="85">
        <f>IF($F435="","",IFERROR(VLOOKUP($F435,Inventory!$A:$K,11,FALSE),0))</f>
        <v>1350</v>
      </c>
      <c r="K435" s="97">
        <v>200.0</v>
      </c>
      <c r="L435" s="85">
        <f t="shared" si="3"/>
        <v>1150</v>
      </c>
      <c r="M435" s="159" t="s">
        <v>596</v>
      </c>
      <c r="N435" s="85">
        <f>IF($F435="","",IFERROR(VLOOKUP($F435,Inventory!$A:$I,9,FALSE),0))</f>
        <v>950</v>
      </c>
      <c r="O435" s="85">
        <f t="shared" si="4"/>
        <v>950</v>
      </c>
      <c r="P435" s="85">
        <f t="shared" si="5"/>
        <v>200</v>
      </c>
      <c r="Q435" s="83"/>
      <c r="R435" s="118" t="str">
        <f>IF($E435="","",IF(COUNTIF($E$7:$E1632,$E435)&gt;1,"",IFERROR(VLOOKUP($E435,Orders!$A:$I,8,FALSE),"")))</f>
        <v/>
      </c>
      <c r="S435" s="118" t="str">
        <f>IF($E435="","",IF(COUNTIF($E$7:$E1632,$E435)&gt;1,"",IFERROR(VLOOKUP($E435,Orders!$A:$I,9,FALSE),"")))</f>
        <v/>
      </c>
      <c r="T435" s="88">
        <f t="shared" si="6"/>
        <v>200</v>
      </c>
      <c r="U435" s="88">
        <f>IF($F435="","",IF($E435="",T435,SUMIF(Sales!$E$7:$E$1506,$E435,Sales!$T$7:$T$1506)))</f>
        <v>200</v>
      </c>
      <c r="V435" s="49" t="str">
        <f t="shared" si="10"/>
        <v/>
      </c>
      <c r="W435" s="49" t="str">
        <f t="array" ref="W435">IF($V435="","",SUMPRODUCT((Sales!$V$7:$V$1506&lt;&gt;"")*(Sales!$E$7:$E$1506&lt;$E435))+1)</f>
        <v/>
      </c>
      <c r="X435" s="49">
        <f t="shared" si="11"/>
        <v>354</v>
      </c>
      <c r="Y435" s="49" t="str">
        <f t="shared" si="9"/>
        <v>202608-354</v>
      </c>
    </row>
    <row r="436" ht="14.25" customHeight="1">
      <c r="A436" s="161">
        <v>46260.0</v>
      </c>
      <c r="B436" s="142" t="s">
        <v>324</v>
      </c>
      <c r="C436" s="142" t="s">
        <v>365</v>
      </c>
      <c r="D436" s="142" t="s">
        <v>366</v>
      </c>
      <c r="E436" s="83"/>
      <c r="F436" s="159" t="s">
        <v>179</v>
      </c>
      <c r="G436" s="83" t="str">
        <f>IF($F436="","",IFERROR(VLOOKUP($F436,Inventory!$A:$B,2,FALSE),""))</f>
        <v>Creamy Treat 15G (Purry &amp; Hyper Paws)</v>
      </c>
      <c r="H436" s="83"/>
      <c r="I436" s="84">
        <f t="shared" si="2"/>
        <v>20</v>
      </c>
      <c r="J436" s="85">
        <f>IF($F436="","",IFERROR(VLOOKUP($F436,Inventory!$A:$K,11,FALSE),0))</f>
        <v>20</v>
      </c>
      <c r="K436" s="85"/>
      <c r="L436" s="85">
        <f t="shared" si="3"/>
        <v>0</v>
      </c>
      <c r="M436" s="159" t="s">
        <v>330</v>
      </c>
      <c r="N436" s="85">
        <f>IF($F436="","",IFERROR(VLOOKUP($F436,Inventory!$A:$I,9,FALSE),0))</f>
        <v>8.147411853</v>
      </c>
      <c r="O436" s="85">
        <f t="shared" si="4"/>
        <v>0</v>
      </c>
      <c r="P436" s="85">
        <f t="shared" si="5"/>
        <v>0</v>
      </c>
      <c r="Q436" s="83"/>
      <c r="R436" s="118" t="str">
        <f>IF($E436="","",IF(COUNTIF($E$7:$E1633,$E436)&gt;1,"",IFERROR(VLOOKUP($E436,Orders!$A:$I,8,FALSE),"")))</f>
        <v/>
      </c>
      <c r="S436" s="118" t="str">
        <f>IF($E436="","",IF(COUNTIF($E$7:$E1633,$E436)&gt;1,"",IFERROR(VLOOKUP($E436,Orders!$A:$I,9,FALSE),"")))</f>
        <v/>
      </c>
      <c r="T436" s="88">
        <f t="shared" si="6"/>
        <v>0</v>
      </c>
      <c r="U436" s="88">
        <f>IF($F436="","",IF($E436="",T436,SUMIF(Sales!$E$7:$E$1506,$E436,Sales!$T$7:$T$1506)))</f>
        <v>0</v>
      </c>
      <c r="V436" s="49" t="str">
        <f t="shared" si="10"/>
        <v/>
      </c>
      <c r="W436" s="49" t="str">
        <f t="array" ref="W436">IF($V436="","",SUMPRODUCT((Sales!$V$7:$V$1506&lt;&gt;"")*(Sales!$E$7:$E$1506&lt;$E436))+1)</f>
        <v/>
      </c>
      <c r="X436" s="49">
        <f t="shared" si="11"/>
        <v>354</v>
      </c>
      <c r="Y436" s="49" t="str">
        <f t="shared" si="9"/>
        <v>202608-354</v>
      </c>
    </row>
    <row r="437" ht="14.25" customHeight="1">
      <c r="A437" s="161">
        <v>46260.0</v>
      </c>
      <c r="B437" s="142" t="s">
        <v>324</v>
      </c>
      <c r="C437" s="142" t="s">
        <v>365</v>
      </c>
      <c r="D437" s="142" t="s">
        <v>366</v>
      </c>
      <c r="E437" s="83"/>
      <c r="F437" s="159" t="s">
        <v>541</v>
      </c>
      <c r="G437" s="83" t="str">
        <f>IF($F437="","",IFERROR(VLOOKUP($F437,Inventory!$A:$B,2,FALSE),""))</f>
        <v>Clean Step Litter Lavender 5L</v>
      </c>
      <c r="H437" s="159">
        <v>1.0</v>
      </c>
      <c r="I437" s="84">
        <f t="shared" si="2"/>
        <v>300</v>
      </c>
      <c r="J437" s="85">
        <f>IF($F437="","",IFERROR(VLOOKUP($F437,Inventory!$A:$K,11,FALSE),0))</f>
        <v>300</v>
      </c>
      <c r="K437" s="85"/>
      <c r="L437" s="85">
        <f t="shared" si="3"/>
        <v>300</v>
      </c>
      <c r="M437" s="159" t="s">
        <v>330</v>
      </c>
      <c r="N437" s="85">
        <f>IF($F437="","",IFERROR(VLOOKUP($F437,Inventory!$A:$I,9,FALSE),0))</f>
        <v>200</v>
      </c>
      <c r="O437" s="85">
        <f t="shared" si="4"/>
        <v>200</v>
      </c>
      <c r="P437" s="85">
        <f t="shared" si="5"/>
        <v>100</v>
      </c>
      <c r="Q437" s="83"/>
      <c r="R437" s="118" t="str">
        <f>IF($E437="","",IF(COUNTIF($E$7:$E1634,$E437)&gt;1,"",IFERROR(VLOOKUP($E437,Orders!$A:$I,8,FALSE),"")))</f>
        <v/>
      </c>
      <c r="S437" s="118" t="str">
        <f>IF($E437="","",IF(COUNTIF($E$7:$E1634,$E437)&gt;1,"",IFERROR(VLOOKUP($E437,Orders!$A:$I,9,FALSE),"")))</f>
        <v/>
      </c>
      <c r="T437" s="88">
        <f t="shared" si="6"/>
        <v>100</v>
      </c>
      <c r="U437" s="88">
        <f>IF($F437="","",IF($E437="",T437,SUMIF(Sales!$E$7:$E$1506,$E437,Sales!$T$7:$T$1506)))</f>
        <v>100</v>
      </c>
      <c r="V437" s="49" t="str">
        <f t="shared" si="10"/>
        <v/>
      </c>
      <c r="W437" s="49" t="str">
        <f t="array" ref="W437">IF($V437="","",SUMPRODUCT((Sales!$V$7:$V$1506&lt;&gt;"")*(Sales!$E$7:$E$1506&lt;$E437))+1)</f>
        <v/>
      </c>
      <c r="X437" s="49">
        <f t="shared" si="11"/>
        <v>354</v>
      </c>
      <c r="Y437" s="49" t="str">
        <f t="shared" si="9"/>
        <v>202608-354</v>
      </c>
    </row>
    <row r="438" ht="14.25" customHeight="1">
      <c r="A438" s="161">
        <v>46260.0</v>
      </c>
      <c r="B438" s="142" t="s">
        <v>324</v>
      </c>
      <c r="C438" s="142" t="s">
        <v>365</v>
      </c>
      <c r="D438" s="142" t="s">
        <v>366</v>
      </c>
      <c r="E438" s="83"/>
      <c r="F438" s="159" t="s">
        <v>179</v>
      </c>
      <c r="G438" s="83" t="str">
        <f>IF($F438="","",IFERROR(VLOOKUP($F438,Inventory!$A:$B,2,FALSE),""))</f>
        <v>Creamy Treat 15G (Purry &amp; Hyper Paws)</v>
      </c>
      <c r="H438" s="159">
        <v>5.0</v>
      </c>
      <c r="I438" s="84">
        <f t="shared" si="2"/>
        <v>20</v>
      </c>
      <c r="J438" s="85">
        <f>IF($F438="","",IFERROR(VLOOKUP($F438,Inventory!$A:$K,11,FALSE),0))</f>
        <v>20</v>
      </c>
      <c r="K438" s="85"/>
      <c r="L438" s="85">
        <f t="shared" si="3"/>
        <v>100</v>
      </c>
      <c r="M438" s="159" t="s">
        <v>330</v>
      </c>
      <c r="N438" s="85">
        <f>IF($F438="","",IFERROR(VLOOKUP($F438,Inventory!$A:$I,9,FALSE),0))</f>
        <v>8.147411853</v>
      </c>
      <c r="O438" s="85">
        <f t="shared" si="4"/>
        <v>40.73705926</v>
      </c>
      <c r="P438" s="85">
        <f t="shared" si="5"/>
        <v>59.26294074</v>
      </c>
      <c r="Q438" s="83"/>
      <c r="R438" s="118" t="str">
        <f>IF($E438="","",IF(COUNTIF($E$7:$E1635,$E438)&gt;1,"",IFERROR(VLOOKUP($E438,Orders!$A:$I,8,FALSE),"")))</f>
        <v/>
      </c>
      <c r="S438" s="118" t="str">
        <f>IF($E438="","",IF(COUNTIF($E$7:$E1635,$E438)&gt;1,"",IFERROR(VLOOKUP($E438,Orders!$A:$I,9,FALSE),"")))</f>
        <v/>
      </c>
      <c r="T438" s="88">
        <f t="shared" si="6"/>
        <v>59.26294074</v>
      </c>
      <c r="U438" s="88">
        <f>IF($F438="","",IF($E438="",T438,SUMIF(Sales!$E$7:$E$1506,$E438,Sales!$T$7:$T$1506)))</f>
        <v>59.26294074</v>
      </c>
      <c r="V438" s="49" t="str">
        <f t="shared" si="10"/>
        <v/>
      </c>
      <c r="W438" s="49" t="str">
        <f t="array" ref="W438">IF($V438="","",SUMPRODUCT((Sales!$V$7:$V$1506&lt;&gt;"")*(Sales!$E$7:$E$1506&lt;$E438))+1)</f>
        <v/>
      </c>
      <c r="X438" s="49">
        <f t="shared" si="11"/>
        <v>354</v>
      </c>
      <c r="Y438" s="49" t="str">
        <f t="shared" si="9"/>
        <v>202608-354</v>
      </c>
    </row>
    <row r="439" ht="14.25" customHeight="1">
      <c r="A439" s="161">
        <v>46260.0</v>
      </c>
      <c r="B439" s="142" t="s">
        <v>324</v>
      </c>
      <c r="C439" s="142" t="s">
        <v>365</v>
      </c>
      <c r="D439" s="142" t="s">
        <v>366</v>
      </c>
      <c r="E439" s="83"/>
      <c r="F439" s="159" t="s">
        <v>260</v>
      </c>
      <c r="G439" s="83" t="str">
        <f>IF($F439="","",IFERROR(VLOOKUP($F439,Inventory!$A:$B,2,FALSE),""))</f>
        <v>Kitchen Flavor Grain Free Adult 1.5KG</v>
      </c>
      <c r="H439" s="159">
        <v>1.0</v>
      </c>
      <c r="I439" s="84">
        <f t="shared" si="2"/>
        <v>1200</v>
      </c>
      <c r="J439" s="85">
        <f>IF($F439="","",IFERROR(VLOOKUP($F439,Inventory!$A:$K,11,FALSE),0))</f>
        <v>1260</v>
      </c>
      <c r="K439" s="97">
        <v>60.0</v>
      </c>
      <c r="L439" s="85">
        <f t="shared" si="3"/>
        <v>1200</v>
      </c>
      <c r="M439" s="159" t="s">
        <v>596</v>
      </c>
      <c r="N439" s="85">
        <f>IF($F439="","",IFERROR(VLOOKUP($F439,Inventory!$A:$I,9,FALSE),0))</f>
        <v>990</v>
      </c>
      <c r="O439" s="85">
        <f t="shared" si="4"/>
        <v>990</v>
      </c>
      <c r="P439" s="85">
        <f t="shared" si="5"/>
        <v>210</v>
      </c>
      <c r="Q439" s="83"/>
      <c r="R439" s="118" t="str">
        <f>IF($E439="","",IF(COUNTIF($E$7:$E1636,$E439)&gt;1,"",IFERROR(VLOOKUP($E439,Orders!$A:$I,8,FALSE),"")))</f>
        <v/>
      </c>
      <c r="S439" s="118" t="str">
        <f>IF($E439="","",IF(COUNTIF($E$7:$E1636,$E439)&gt;1,"",IFERROR(VLOOKUP($E439,Orders!$A:$I,9,FALSE),"")))</f>
        <v/>
      </c>
      <c r="T439" s="88">
        <f t="shared" si="6"/>
        <v>210</v>
      </c>
      <c r="U439" s="88">
        <f>IF($F439="","",IF($E439="",T439,SUMIF(Sales!$E$7:$E$1506,$E439,Sales!$T$7:$T$1506)))</f>
        <v>210</v>
      </c>
      <c r="V439" s="49" t="str">
        <f t="shared" si="10"/>
        <v/>
      </c>
      <c r="W439" s="49" t="str">
        <f t="array" ref="W439">IF($V439="","",SUMPRODUCT((Sales!$V$7:$V$1506&lt;&gt;"")*(Sales!$E$7:$E$1506&lt;$E439))+1)</f>
        <v/>
      </c>
      <c r="X439" s="49">
        <f t="shared" si="11"/>
        <v>354</v>
      </c>
      <c r="Y439" s="49" t="str">
        <f t="shared" si="9"/>
        <v>202608-354</v>
      </c>
    </row>
    <row r="440" ht="14.25" customHeight="1">
      <c r="A440" s="161">
        <v>46260.0</v>
      </c>
      <c r="B440" s="142" t="s">
        <v>324</v>
      </c>
      <c r="C440" s="142" t="s">
        <v>365</v>
      </c>
      <c r="D440" s="142" t="s">
        <v>366</v>
      </c>
      <c r="E440" s="83"/>
      <c r="F440" s="159" t="s">
        <v>555</v>
      </c>
      <c r="G440" s="83" t="str">
        <f>IF($F440="","",IFERROR(VLOOKUP($F440,Inventory!$A:$B,2,FALSE),""))</f>
        <v>Dr Clump Coffee Falvor 25L</v>
      </c>
      <c r="H440" s="159">
        <v>1.0</v>
      </c>
      <c r="I440" s="84">
        <f t="shared" si="2"/>
        <v>1200</v>
      </c>
      <c r="J440" s="85">
        <f>IF($F440="","",IFERROR(VLOOKUP($F440,Inventory!$A:$K,11,FALSE),0))</f>
        <v>1450</v>
      </c>
      <c r="K440" s="97">
        <v>250.0</v>
      </c>
      <c r="L440" s="85">
        <f t="shared" si="3"/>
        <v>1200</v>
      </c>
      <c r="M440" s="159" t="s">
        <v>330</v>
      </c>
      <c r="N440" s="85">
        <f>IF($F440="","",IFERROR(VLOOKUP($F440,Inventory!$A:$I,9,FALSE),0))</f>
        <v>950</v>
      </c>
      <c r="O440" s="85">
        <f t="shared" si="4"/>
        <v>950</v>
      </c>
      <c r="P440" s="85">
        <f t="shared" si="5"/>
        <v>250</v>
      </c>
      <c r="Q440" s="83"/>
      <c r="R440" s="118" t="str">
        <f>IF($E440="","",IF(COUNTIF($E$7:$E1637,$E440)&gt;1,"",IFERROR(VLOOKUP($E440,Orders!$A:$I,8,FALSE),"")))</f>
        <v/>
      </c>
      <c r="S440" s="118" t="str">
        <f>IF($E440="","",IF(COUNTIF($E$7:$E1637,$E440)&gt;1,"",IFERROR(VLOOKUP($E440,Orders!$A:$I,9,FALSE),"")))</f>
        <v/>
      </c>
      <c r="T440" s="88">
        <f t="shared" si="6"/>
        <v>250</v>
      </c>
      <c r="U440" s="88">
        <f>IF($F440="","",IF($E440="",T440,SUMIF(Sales!$E$7:$E$1506,$E440,Sales!$T$7:$T$1506)))</f>
        <v>250</v>
      </c>
      <c r="V440" s="49" t="str">
        <f t="shared" si="10"/>
        <v/>
      </c>
      <c r="W440" s="49" t="str">
        <f t="array" ref="W440">IF($V440="","",SUMPRODUCT((Sales!$V$7:$V$1506&lt;&gt;"")*(Sales!$E$7:$E$1506&lt;$E440))+1)</f>
        <v/>
      </c>
      <c r="X440" s="49">
        <f t="shared" si="11"/>
        <v>354</v>
      </c>
      <c r="Y440" s="49" t="str">
        <f t="shared" si="9"/>
        <v>202608-354</v>
      </c>
    </row>
    <row r="441" ht="14.25" customHeight="1">
      <c r="A441" s="161">
        <v>46261.0</v>
      </c>
      <c r="B441" s="163" t="s">
        <v>324</v>
      </c>
      <c r="C441" s="142" t="s">
        <v>365</v>
      </c>
      <c r="D441" s="164" t="s">
        <v>366</v>
      </c>
      <c r="E441" s="83"/>
      <c r="F441" s="159" t="s">
        <v>179</v>
      </c>
      <c r="G441" s="83" t="str">
        <f>IF($F441="","",IFERROR(VLOOKUP($F441,Inventory!$A:$B,2,FALSE),""))</f>
        <v>Creamy Treat 15G (Purry &amp; Hyper Paws)</v>
      </c>
      <c r="H441" s="159">
        <v>2.0</v>
      </c>
      <c r="I441" s="84">
        <f t="shared" si="2"/>
        <v>20</v>
      </c>
      <c r="J441" s="85">
        <f>IF($F441="","",IFERROR(VLOOKUP($F441,Inventory!$A:$K,11,FALSE),0))</f>
        <v>20</v>
      </c>
      <c r="K441" s="85"/>
      <c r="L441" s="85">
        <f t="shared" si="3"/>
        <v>40</v>
      </c>
      <c r="M441" s="159" t="s">
        <v>330</v>
      </c>
      <c r="N441" s="85">
        <f>IF($F441="","",IFERROR(VLOOKUP($F441,Inventory!$A:$I,9,FALSE),0))</f>
        <v>8.147411853</v>
      </c>
      <c r="O441" s="85">
        <f t="shared" si="4"/>
        <v>16.29482371</v>
      </c>
      <c r="P441" s="85">
        <f t="shared" si="5"/>
        <v>23.70517629</v>
      </c>
      <c r="Q441" s="83"/>
      <c r="R441" s="118" t="str">
        <f>IF($E441="","",IF(COUNTIF($E$7:$E1638,$E441)&gt;1,"",IFERROR(VLOOKUP($E441,Orders!$A:$I,8,FALSE),"")))</f>
        <v/>
      </c>
      <c r="S441" s="118" t="str">
        <f>IF($E441="","",IF(COUNTIF($E$7:$E1638,$E441)&gt;1,"",IFERROR(VLOOKUP($E441,Orders!$A:$I,9,FALSE),"")))</f>
        <v/>
      </c>
      <c r="T441" s="88">
        <f t="shared" si="6"/>
        <v>23.70517629</v>
      </c>
      <c r="U441" s="88">
        <f>IF($F441="","",IF($E441="",T441,SUMIF(Sales!$E$7:$E$1506,$E441,Sales!$T$7:$T$1506)))</f>
        <v>23.70517629</v>
      </c>
      <c r="V441" s="49" t="str">
        <f t="shared" si="10"/>
        <v/>
      </c>
      <c r="W441" s="49" t="str">
        <f t="array" ref="W441">IF($V441="","",SUMPRODUCT((Sales!$V$7:$V$1506&lt;&gt;"")*(Sales!$E$7:$E$1506&lt;$E441))+1)</f>
        <v/>
      </c>
      <c r="X441" s="49">
        <f t="shared" si="11"/>
        <v>354</v>
      </c>
      <c r="Y441" s="49" t="str">
        <f t="shared" si="9"/>
        <v>202608-354</v>
      </c>
    </row>
    <row r="442" ht="14.25" customHeight="1">
      <c r="A442" s="161">
        <v>46261.0</v>
      </c>
      <c r="B442" s="163" t="s">
        <v>324</v>
      </c>
      <c r="C442" s="142" t="s">
        <v>365</v>
      </c>
      <c r="D442" s="164" t="s">
        <v>366</v>
      </c>
      <c r="E442" s="83"/>
      <c r="F442" s="159" t="s">
        <v>378</v>
      </c>
      <c r="G442" s="83" t="str">
        <f>IF($F442="","",IFERROR(VLOOKUP($F442,Inventory!$A:$B,2,FALSE),""))</f>
        <v>Drools &amp; Purepet Mixe Cat Food 500gm</v>
      </c>
      <c r="H442" s="159">
        <v>1.0</v>
      </c>
      <c r="I442" s="84">
        <f t="shared" si="2"/>
        <v>210</v>
      </c>
      <c r="J442" s="85">
        <f>IF($F442="","",IFERROR(VLOOKUP($F442,Inventory!$A:$K,11,FALSE),0))</f>
        <v>225</v>
      </c>
      <c r="K442" s="97">
        <v>15.0</v>
      </c>
      <c r="L442" s="85">
        <f t="shared" si="3"/>
        <v>210</v>
      </c>
      <c r="M442" s="159" t="s">
        <v>330</v>
      </c>
      <c r="N442" s="85">
        <f>IF($F442="","",IFERROR(VLOOKUP($F442,Inventory!$A:$I,9,FALSE),0))</f>
        <v>152.9310345</v>
      </c>
      <c r="O442" s="85">
        <f t="shared" si="4"/>
        <v>152.9310345</v>
      </c>
      <c r="P442" s="85">
        <f t="shared" si="5"/>
        <v>57.06896552</v>
      </c>
      <c r="Q442" s="83"/>
      <c r="R442" s="118" t="str">
        <f>IF($E442="","",IF(COUNTIF($E$7:$E1639,$E442)&gt;1,"",IFERROR(VLOOKUP($E442,Orders!$A:$I,8,FALSE),"")))</f>
        <v/>
      </c>
      <c r="S442" s="118" t="str">
        <f>IF($E442="","",IF(COUNTIF($E$7:$E1639,$E442)&gt;1,"",IFERROR(VLOOKUP($E442,Orders!$A:$I,9,FALSE),"")))</f>
        <v/>
      </c>
      <c r="T442" s="88">
        <f t="shared" si="6"/>
        <v>57.06896552</v>
      </c>
      <c r="U442" s="88">
        <f>IF($F442="","",IF($E442="",T442,SUMIF(Sales!$E$7:$E$1506,$E442,Sales!$T$7:$T$1506)))</f>
        <v>57.06896552</v>
      </c>
      <c r="V442" s="49" t="str">
        <f t="shared" si="10"/>
        <v/>
      </c>
      <c r="W442" s="49" t="str">
        <f t="array" ref="W442">IF($V442="","",SUMPRODUCT((Sales!$V$7:$V$1506&lt;&gt;"")*(Sales!$E$7:$E$1506&lt;$E442))+1)</f>
        <v/>
      </c>
      <c r="X442" s="49">
        <f t="shared" si="11"/>
        <v>354</v>
      </c>
      <c r="Y442" s="49" t="str">
        <f t="shared" si="9"/>
        <v>202608-354</v>
      </c>
    </row>
    <row r="443" ht="14.25" customHeight="1">
      <c r="A443" s="161">
        <v>46261.0</v>
      </c>
      <c r="B443" s="163" t="s">
        <v>324</v>
      </c>
      <c r="C443" s="142" t="s">
        <v>365</v>
      </c>
      <c r="D443" s="164" t="s">
        <v>366</v>
      </c>
      <c r="E443" s="83"/>
      <c r="F443" s="159" t="s">
        <v>179</v>
      </c>
      <c r="G443" s="83" t="str">
        <f>IF($F443="","",IFERROR(VLOOKUP($F443,Inventory!$A:$B,2,FALSE),""))</f>
        <v>Creamy Treat 15G (Purry &amp; Hyper Paws)</v>
      </c>
      <c r="H443" s="159">
        <v>2.0</v>
      </c>
      <c r="I443" s="84">
        <f t="shared" si="2"/>
        <v>20</v>
      </c>
      <c r="J443" s="85">
        <f>IF($F443="","",IFERROR(VLOOKUP($F443,Inventory!$A:$K,11,FALSE),0))</f>
        <v>20</v>
      </c>
      <c r="K443" s="85"/>
      <c r="L443" s="85">
        <f t="shared" si="3"/>
        <v>40</v>
      </c>
      <c r="M443" s="159" t="s">
        <v>330</v>
      </c>
      <c r="N443" s="85">
        <f>IF($F443="","",IFERROR(VLOOKUP($F443,Inventory!$A:$I,9,FALSE),0))</f>
        <v>8.147411853</v>
      </c>
      <c r="O443" s="85">
        <f t="shared" si="4"/>
        <v>16.29482371</v>
      </c>
      <c r="P443" s="85">
        <f t="shared" si="5"/>
        <v>23.70517629</v>
      </c>
      <c r="Q443" s="83"/>
      <c r="R443" s="118" t="str">
        <f>IF($E443="","",IF(COUNTIF($E$7:$E1640,$E443)&gt;1,"",IFERROR(VLOOKUP($E443,Orders!$A:$I,8,FALSE),"")))</f>
        <v/>
      </c>
      <c r="S443" s="118" t="str">
        <f>IF($E443="","",IF(COUNTIF($E$7:$E1640,$E443)&gt;1,"",IFERROR(VLOOKUP($E443,Orders!$A:$I,9,FALSE),"")))</f>
        <v/>
      </c>
      <c r="T443" s="88">
        <f t="shared" si="6"/>
        <v>23.70517629</v>
      </c>
      <c r="U443" s="88">
        <f>IF($F443="","",IF($E443="",T443,SUMIF(Sales!$E$7:$E$1506,$E443,Sales!$T$7:$T$1506)))</f>
        <v>23.70517629</v>
      </c>
      <c r="V443" s="49" t="str">
        <f t="shared" si="10"/>
        <v/>
      </c>
      <c r="W443" s="49" t="str">
        <f t="array" ref="W443">IF($V443="","",SUMPRODUCT((Sales!$V$7:$V$1506&lt;&gt;"")*(Sales!$E$7:$E$1506&lt;$E443))+1)</f>
        <v/>
      </c>
      <c r="X443" s="49">
        <f t="shared" si="11"/>
        <v>354</v>
      </c>
      <c r="Y443" s="49" t="str">
        <f t="shared" si="9"/>
        <v>202608-354</v>
      </c>
    </row>
    <row r="444" ht="14.25" customHeight="1">
      <c r="A444" s="161">
        <v>46261.0</v>
      </c>
      <c r="B444" s="163" t="s">
        <v>324</v>
      </c>
      <c r="C444" s="142" t="s">
        <v>365</v>
      </c>
      <c r="D444" s="164" t="s">
        <v>366</v>
      </c>
      <c r="E444" s="83"/>
      <c r="F444" s="159" t="s">
        <v>179</v>
      </c>
      <c r="G444" s="83" t="str">
        <f>IF($F444="","",IFERROR(VLOOKUP($F444,Inventory!$A:$B,2,FALSE),""))</f>
        <v>Creamy Treat 15G (Purry &amp; Hyper Paws)</v>
      </c>
      <c r="H444" s="159">
        <v>2.0</v>
      </c>
      <c r="I444" s="84">
        <f t="shared" si="2"/>
        <v>20</v>
      </c>
      <c r="J444" s="85">
        <f>IF($F444="","",IFERROR(VLOOKUP($F444,Inventory!$A:$K,11,FALSE),0))</f>
        <v>20</v>
      </c>
      <c r="K444" s="85"/>
      <c r="L444" s="85">
        <f t="shared" si="3"/>
        <v>40</v>
      </c>
      <c r="M444" s="159" t="s">
        <v>330</v>
      </c>
      <c r="N444" s="85">
        <f>IF($F444="","",IFERROR(VLOOKUP($F444,Inventory!$A:$I,9,FALSE),0))</f>
        <v>8.147411853</v>
      </c>
      <c r="O444" s="85">
        <f t="shared" si="4"/>
        <v>16.29482371</v>
      </c>
      <c r="P444" s="85">
        <f t="shared" si="5"/>
        <v>23.70517629</v>
      </c>
      <c r="Q444" s="83"/>
      <c r="R444" s="118" t="str">
        <f>IF($E444="","",IF(COUNTIF($E$7:$E1641,$E444)&gt;1,"",IFERROR(VLOOKUP($E444,Orders!$A:$I,8,FALSE),"")))</f>
        <v/>
      </c>
      <c r="S444" s="118" t="str">
        <f>IF($E444="","",IF(COUNTIF($E$7:$E1641,$E444)&gt;1,"",IFERROR(VLOOKUP($E444,Orders!$A:$I,9,FALSE),"")))</f>
        <v/>
      </c>
      <c r="T444" s="88">
        <f t="shared" si="6"/>
        <v>23.70517629</v>
      </c>
      <c r="U444" s="88">
        <f>IF($F444="","",IF($E444="",T444,SUMIF(Sales!$E$7:$E$1506,$E444,Sales!$T$7:$T$1506)))</f>
        <v>23.70517629</v>
      </c>
      <c r="V444" s="49" t="str">
        <f t="shared" si="10"/>
        <v/>
      </c>
      <c r="W444" s="49" t="str">
        <f t="array" ref="W444">IF($V444="","",SUMPRODUCT((Sales!$V$7:$V$1506&lt;&gt;"")*(Sales!$E$7:$E$1506&lt;$E444))+1)</f>
        <v/>
      </c>
      <c r="X444" s="49">
        <f t="shared" si="11"/>
        <v>354</v>
      </c>
      <c r="Y444" s="49" t="str">
        <f t="shared" si="9"/>
        <v>202608-354</v>
      </c>
    </row>
    <row r="445" ht="14.25" customHeight="1">
      <c r="A445" s="161">
        <v>46262.0</v>
      </c>
      <c r="B445" s="163" t="s">
        <v>324</v>
      </c>
      <c r="C445" s="142" t="s">
        <v>365</v>
      </c>
      <c r="D445" s="164" t="s">
        <v>366</v>
      </c>
      <c r="E445" s="83"/>
      <c r="F445" s="159" t="s">
        <v>179</v>
      </c>
      <c r="G445" s="83" t="str">
        <f>IF($F445="","",IFERROR(VLOOKUP($F445,Inventory!$A:$B,2,FALSE),""))</f>
        <v>Creamy Treat 15G (Purry &amp; Hyper Paws)</v>
      </c>
      <c r="H445" s="159">
        <v>7.0</v>
      </c>
      <c r="I445" s="84">
        <f t="shared" si="2"/>
        <v>20</v>
      </c>
      <c r="J445" s="85">
        <f>IF($F445="","",IFERROR(VLOOKUP($F445,Inventory!$A:$K,11,FALSE),0))</f>
        <v>20</v>
      </c>
      <c r="K445" s="85"/>
      <c r="L445" s="85">
        <f t="shared" si="3"/>
        <v>140</v>
      </c>
      <c r="M445" s="159" t="s">
        <v>330</v>
      </c>
      <c r="N445" s="85">
        <f>IF($F445="","",IFERROR(VLOOKUP($F445,Inventory!$A:$I,9,FALSE),0))</f>
        <v>8.147411853</v>
      </c>
      <c r="O445" s="85">
        <f t="shared" si="4"/>
        <v>57.03188297</v>
      </c>
      <c r="P445" s="85">
        <f t="shared" si="5"/>
        <v>82.96811703</v>
      </c>
      <c r="Q445" s="83"/>
      <c r="R445" s="118" t="str">
        <f>IF($E445="","",IF(COUNTIF($E$7:$E1642,$E445)&gt;1,"",IFERROR(VLOOKUP($E445,Orders!$A:$I,8,FALSE),"")))</f>
        <v/>
      </c>
      <c r="S445" s="118" t="str">
        <f>IF($E445="","",IF(COUNTIF($E$7:$E1642,$E445)&gt;1,"",IFERROR(VLOOKUP($E445,Orders!$A:$I,9,FALSE),"")))</f>
        <v/>
      </c>
      <c r="T445" s="88">
        <f t="shared" si="6"/>
        <v>82.96811703</v>
      </c>
      <c r="U445" s="88">
        <f>IF($F445="","",IF($E445="",T445,SUMIF(Sales!$E$7:$E$1506,$E445,Sales!$T$7:$T$1506)))</f>
        <v>82.96811703</v>
      </c>
      <c r="V445" s="49" t="str">
        <f t="shared" si="10"/>
        <v/>
      </c>
      <c r="W445" s="49" t="str">
        <f t="array" ref="W445">IF($V445="","",SUMPRODUCT((Sales!$V$7:$V$1506&lt;&gt;"")*(Sales!$E$7:$E$1506&lt;$E445))+1)</f>
        <v/>
      </c>
      <c r="X445" s="49">
        <f t="shared" si="11"/>
        <v>354</v>
      </c>
      <c r="Y445" s="49" t="str">
        <f t="shared" si="9"/>
        <v>202608-354</v>
      </c>
    </row>
    <row r="446" ht="14.25" customHeight="1">
      <c r="A446" s="161">
        <v>46262.0</v>
      </c>
      <c r="B446" s="163" t="s">
        <v>324</v>
      </c>
      <c r="C446" s="142" t="s">
        <v>365</v>
      </c>
      <c r="D446" s="164" t="s">
        <v>366</v>
      </c>
      <c r="E446" s="83"/>
      <c r="F446" s="159" t="s">
        <v>234</v>
      </c>
      <c r="G446" s="83" t="str">
        <f>IF($F446="","",IFERROR(VLOOKUP($F446,Inventory!$A:$B,2,FALSE),""))</f>
        <v>Whiskas Junior Tuna Flavor</v>
      </c>
      <c r="H446" s="159">
        <v>2.0</v>
      </c>
      <c r="I446" s="84">
        <f t="shared" si="2"/>
        <v>90</v>
      </c>
      <c r="J446" s="85">
        <f>IF($F446="","",IFERROR(VLOOKUP($F446,Inventory!$A:$K,11,FALSE),0))</f>
        <v>95</v>
      </c>
      <c r="K446" s="97">
        <v>5.0</v>
      </c>
      <c r="L446" s="85">
        <f t="shared" si="3"/>
        <v>180</v>
      </c>
      <c r="M446" s="159" t="s">
        <v>330</v>
      </c>
      <c r="N446" s="85">
        <f>IF($F446="","",IFERROR(VLOOKUP($F446,Inventory!$A:$I,9,FALSE),0))</f>
        <v>74</v>
      </c>
      <c r="O446" s="85">
        <f t="shared" si="4"/>
        <v>148</v>
      </c>
      <c r="P446" s="85">
        <f t="shared" si="5"/>
        <v>32</v>
      </c>
      <c r="Q446" s="83"/>
      <c r="R446" s="118" t="str">
        <f>IF($E446="","",IF(COUNTIF($E$7:$E1643,$E446)&gt;1,"",IFERROR(VLOOKUP($E446,Orders!$A:$I,8,FALSE),"")))</f>
        <v/>
      </c>
      <c r="S446" s="118" t="str">
        <f>IF($E446="","",IF(COUNTIF($E$7:$E1643,$E446)&gt;1,"",IFERROR(VLOOKUP($E446,Orders!$A:$I,9,FALSE),"")))</f>
        <v/>
      </c>
      <c r="T446" s="88">
        <f t="shared" si="6"/>
        <v>32</v>
      </c>
      <c r="U446" s="88">
        <f>IF($F446="","",IF($E446="",T446,SUMIF(Sales!$E$7:$E$1506,$E446,Sales!$T$7:$T$1506)))</f>
        <v>32</v>
      </c>
      <c r="V446" s="49" t="str">
        <f t="shared" si="10"/>
        <v/>
      </c>
      <c r="W446" s="49" t="str">
        <f t="array" ref="W446">IF($V446="","",SUMPRODUCT((Sales!$V$7:$V$1506&lt;&gt;"")*(Sales!$E$7:$E$1506&lt;$E446))+1)</f>
        <v/>
      </c>
      <c r="X446" s="49">
        <f t="shared" si="11"/>
        <v>354</v>
      </c>
      <c r="Y446" s="49" t="str">
        <f t="shared" si="9"/>
        <v>202608-354</v>
      </c>
    </row>
    <row r="447" ht="14.25" customHeight="1">
      <c r="A447" s="161">
        <v>46262.0</v>
      </c>
      <c r="B447" s="163" t="s">
        <v>324</v>
      </c>
      <c r="C447" s="142" t="s">
        <v>365</v>
      </c>
      <c r="D447" s="164" t="s">
        <v>366</v>
      </c>
      <c r="E447" s="83"/>
      <c r="F447" s="159" t="s">
        <v>228</v>
      </c>
      <c r="G447" s="83" t="str">
        <f>IF($F447="","",IFERROR(VLOOKUP($F447,Inventory!$A:$B,2,FALSE),""))</f>
        <v>Helminticide-L Deworming Tablet </v>
      </c>
      <c r="H447" s="159">
        <v>10.0</v>
      </c>
      <c r="I447" s="84">
        <f t="shared" si="2"/>
        <v>50</v>
      </c>
      <c r="J447" s="85">
        <f>IF($F447="","",IFERROR(VLOOKUP($F447,Inventory!$A:$K,11,FALSE),0))</f>
        <v>50</v>
      </c>
      <c r="K447" s="85"/>
      <c r="L447" s="85">
        <f t="shared" si="3"/>
        <v>500</v>
      </c>
      <c r="M447" s="159" t="s">
        <v>330</v>
      </c>
      <c r="N447" s="85">
        <f>IF($F447="","",IFERROR(VLOOKUP($F447,Inventory!$A:$I,9,FALSE),0))</f>
        <v>28.63636364</v>
      </c>
      <c r="O447" s="85">
        <f t="shared" si="4"/>
        <v>286.3636364</v>
      </c>
      <c r="P447" s="85">
        <f t="shared" si="5"/>
        <v>213.6363636</v>
      </c>
      <c r="Q447" s="83"/>
      <c r="R447" s="118" t="str">
        <f>IF($E447="","",IF(COUNTIF($E$7:$E1644,$E447)&gt;1,"",IFERROR(VLOOKUP($E447,Orders!$A:$I,8,FALSE),"")))</f>
        <v/>
      </c>
      <c r="S447" s="118" t="str">
        <f>IF($E447="","",IF(COUNTIF($E$7:$E1644,$E447)&gt;1,"",IFERROR(VLOOKUP($E447,Orders!$A:$I,9,FALSE),"")))</f>
        <v/>
      </c>
      <c r="T447" s="88">
        <f t="shared" si="6"/>
        <v>213.6363636</v>
      </c>
      <c r="U447" s="88">
        <f>IF($F447="","",IF($E447="",T447,SUMIF(Sales!$E$7:$E$1506,$E447,Sales!$T$7:$T$1506)))</f>
        <v>213.6363636</v>
      </c>
      <c r="V447" s="49" t="str">
        <f t="shared" si="10"/>
        <v/>
      </c>
      <c r="W447" s="49" t="str">
        <f t="array" ref="W447">IF($V447="","",SUMPRODUCT((Sales!$V$7:$V$1506&lt;&gt;"")*(Sales!$E$7:$E$1506&lt;$E447))+1)</f>
        <v/>
      </c>
      <c r="X447" s="49">
        <f t="shared" si="11"/>
        <v>354</v>
      </c>
      <c r="Y447" s="49" t="str">
        <f t="shared" si="9"/>
        <v>202608-354</v>
      </c>
    </row>
    <row r="448" ht="14.25" customHeight="1">
      <c r="A448" s="161">
        <v>46262.0</v>
      </c>
      <c r="B448" s="163" t="s">
        <v>324</v>
      </c>
      <c r="C448" s="142" t="s">
        <v>365</v>
      </c>
      <c r="D448" s="164" t="s">
        <v>366</v>
      </c>
      <c r="E448" s="83"/>
      <c r="F448" s="159" t="s">
        <v>489</v>
      </c>
      <c r="G448" s="83" t="str">
        <f>IF($F448="","",IFERROR(VLOOKUP($F448,Inventory!$A:$B,2,FALSE),""))</f>
        <v>Kitchen Flavour Special Care Complete Cat Food Pouch Hair &amp; Skin Care 70gm</v>
      </c>
      <c r="H448" s="159">
        <v>1.0</v>
      </c>
      <c r="I448" s="84">
        <f t="shared" si="2"/>
        <v>90</v>
      </c>
      <c r="J448" s="85">
        <f>IF($F448="","",IFERROR(VLOOKUP($F448,Inventory!$A:$K,11,FALSE),0))</f>
        <v>110</v>
      </c>
      <c r="K448" s="97">
        <v>20.0</v>
      </c>
      <c r="L448" s="85">
        <f t="shared" si="3"/>
        <v>90</v>
      </c>
      <c r="M448" s="159" t="s">
        <v>596</v>
      </c>
      <c r="N448" s="85">
        <f>IF($F448="","",IFERROR(VLOOKUP($F448,Inventory!$A:$I,9,FALSE),0))</f>
        <v>75</v>
      </c>
      <c r="O448" s="85">
        <f t="shared" si="4"/>
        <v>75</v>
      </c>
      <c r="P448" s="85">
        <f t="shared" si="5"/>
        <v>15</v>
      </c>
      <c r="Q448" s="83"/>
      <c r="R448" s="118" t="str">
        <f>IF($E448="","",IF(COUNTIF($E$7:$E1645,$E448)&gt;1,"",IFERROR(VLOOKUP($E448,Orders!$A:$I,8,FALSE),"")))</f>
        <v/>
      </c>
      <c r="S448" s="118" t="str">
        <f>IF($E448="","",IF(COUNTIF($E$7:$E1645,$E448)&gt;1,"",IFERROR(VLOOKUP($E448,Orders!$A:$I,9,FALSE),"")))</f>
        <v/>
      </c>
      <c r="T448" s="88">
        <f t="shared" si="6"/>
        <v>15</v>
      </c>
      <c r="U448" s="88">
        <f>IF($F448="","",IF($E448="",T448,SUMIF(Sales!$E$7:$E$1506,$E448,Sales!$T$7:$T$1506)))</f>
        <v>15</v>
      </c>
      <c r="V448" s="49" t="str">
        <f t="shared" si="10"/>
        <v/>
      </c>
      <c r="W448" s="49" t="str">
        <f t="array" ref="W448">IF($V448="","",SUMPRODUCT((Sales!$V$7:$V$1506&lt;&gt;"")*(Sales!$E$7:$E$1506&lt;$E448))+1)</f>
        <v/>
      </c>
      <c r="X448" s="49">
        <f t="shared" si="11"/>
        <v>354</v>
      </c>
      <c r="Y448" s="49" t="str">
        <f t="shared" si="9"/>
        <v>202608-354</v>
      </c>
    </row>
    <row r="449" ht="14.25" customHeight="1">
      <c r="A449" s="161">
        <v>46262.0</v>
      </c>
      <c r="B449" s="163" t="s">
        <v>324</v>
      </c>
      <c r="C449" s="142" t="s">
        <v>365</v>
      </c>
      <c r="D449" s="164" t="s">
        <v>366</v>
      </c>
      <c r="E449" s="83"/>
      <c r="F449" s="159" t="s">
        <v>494</v>
      </c>
      <c r="G449" s="83" t="str">
        <f>IF($F449="","",IFERROR(VLOOKUP($F449,Inventory!$A:$B,2,FALSE),""))</f>
        <v>Kitchen Flavour Special Care Complete Cat Food Pouch Indoor &amp; Digestive Care 70gm</v>
      </c>
      <c r="H449" s="159">
        <v>1.0</v>
      </c>
      <c r="I449" s="84">
        <f t="shared" si="2"/>
        <v>90</v>
      </c>
      <c r="J449" s="85">
        <f>IF($F449="","",IFERROR(VLOOKUP($F449,Inventory!$A:$K,11,FALSE),0))</f>
        <v>110</v>
      </c>
      <c r="K449" s="97">
        <v>20.0</v>
      </c>
      <c r="L449" s="85">
        <f t="shared" si="3"/>
        <v>90</v>
      </c>
      <c r="M449" s="159" t="s">
        <v>596</v>
      </c>
      <c r="N449" s="85">
        <f>IF($F449="","",IFERROR(VLOOKUP($F449,Inventory!$A:$I,9,FALSE),0))</f>
        <v>75</v>
      </c>
      <c r="O449" s="85">
        <f t="shared" si="4"/>
        <v>75</v>
      </c>
      <c r="P449" s="85">
        <f t="shared" si="5"/>
        <v>15</v>
      </c>
      <c r="Q449" s="83"/>
      <c r="R449" s="118" t="str">
        <f>IF($E449="","",IF(COUNTIF($E$7:$E1646,$E449)&gt;1,"",IFERROR(VLOOKUP($E449,Orders!$A:$I,8,FALSE),"")))</f>
        <v/>
      </c>
      <c r="S449" s="118" t="str">
        <f>IF($E449="","",IF(COUNTIF($E$7:$E1646,$E449)&gt;1,"",IFERROR(VLOOKUP($E449,Orders!$A:$I,9,FALSE),"")))</f>
        <v/>
      </c>
      <c r="T449" s="88">
        <f t="shared" si="6"/>
        <v>15</v>
      </c>
      <c r="U449" s="88">
        <f>IF($F449="","",IF($E449="",T449,SUMIF(Sales!$E$7:$E$1506,$E449,Sales!$T$7:$T$1506)))</f>
        <v>15</v>
      </c>
      <c r="V449" s="49" t="str">
        <f t="shared" si="10"/>
        <v/>
      </c>
      <c r="W449" s="49" t="str">
        <f t="array" ref="W449">IF($V449="","",SUMPRODUCT((Sales!$V$7:$V$1506&lt;&gt;"")*(Sales!$E$7:$E$1506&lt;$E449))+1)</f>
        <v/>
      </c>
      <c r="X449" s="49">
        <f t="shared" si="11"/>
        <v>354</v>
      </c>
      <c r="Y449" s="49" t="str">
        <f t="shared" si="9"/>
        <v>202608-354</v>
      </c>
    </row>
    <row r="450" ht="14.25" customHeight="1">
      <c r="A450" s="161">
        <v>46262.0</v>
      </c>
      <c r="B450" s="163" t="s">
        <v>324</v>
      </c>
      <c r="C450" s="142" t="s">
        <v>365</v>
      </c>
      <c r="D450" s="164" t="s">
        <v>366</v>
      </c>
      <c r="E450" s="83"/>
      <c r="F450" s="159" t="s">
        <v>262</v>
      </c>
      <c r="G450" s="83" t="str">
        <f>IF($F450="","",IFERROR(VLOOKUP($F450,Inventory!$A:$B,2,FALSE),""))</f>
        <v>Kitchen Flavor Pate Delight</v>
      </c>
      <c r="H450" s="159">
        <v>1.0</v>
      </c>
      <c r="I450" s="84">
        <f t="shared" si="2"/>
        <v>135</v>
      </c>
      <c r="J450" s="85">
        <f>IF($F450="","",IFERROR(VLOOKUP($F450,Inventory!$A:$K,11,FALSE),0))</f>
        <v>150</v>
      </c>
      <c r="K450" s="97">
        <v>15.0</v>
      </c>
      <c r="L450" s="85">
        <f t="shared" si="3"/>
        <v>135</v>
      </c>
      <c r="M450" s="159" t="s">
        <v>596</v>
      </c>
      <c r="N450" s="85">
        <f>IF($F450="","",IFERROR(VLOOKUP($F450,Inventory!$A:$I,9,FALSE),0))</f>
        <v>110</v>
      </c>
      <c r="O450" s="85">
        <f t="shared" si="4"/>
        <v>110</v>
      </c>
      <c r="P450" s="85">
        <f t="shared" si="5"/>
        <v>25</v>
      </c>
      <c r="Q450" s="83"/>
      <c r="R450" s="118" t="str">
        <f>IF($E450="","",IF(COUNTIF($E$7:$E1647,$E450)&gt;1,"",IFERROR(VLOOKUP($E450,Orders!$A:$I,8,FALSE),"")))</f>
        <v/>
      </c>
      <c r="S450" s="118" t="str">
        <f>IF($E450="","",IF(COUNTIF($E$7:$E1647,$E450)&gt;1,"",IFERROR(VLOOKUP($E450,Orders!$A:$I,9,FALSE),"")))</f>
        <v/>
      </c>
      <c r="T450" s="88">
        <f t="shared" si="6"/>
        <v>25</v>
      </c>
      <c r="U450" s="88">
        <f>IF($F450="","",IF($E450="",T450,SUMIF(Sales!$E$7:$E$1506,$E450,Sales!$T$7:$T$1506)))</f>
        <v>25</v>
      </c>
      <c r="V450" s="49" t="str">
        <f t="shared" si="10"/>
        <v/>
      </c>
      <c r="W450" s="49" t="str">
        <f t="array" ref="W450">IF($V450="","",SUMPRODUCT((Sales!$V$7:$V$1506&lt;&gt;"")*(Sales!$E$7:$E$1506&lt;$E450))+1)</f>
        <v/>
      </c>
      <c r="X450" s="49">
        <f t="shared" si="11"/>
        <v>354</v>
      </c>
      <c r="Y450" s="49" t="str">
        <f t="shared" si="9"/>
        <v>202608-354</v>
      </c>
    </row>
    <row r="451" ht="14.25" customHeight="1">
      <c r="A451" s="161">
        <v>46263.0</v>
      </c>
      <c r="B451" s="163" t="s">
        <v>324</v>
      </c>
      <c r="C451" s="142" t="s">
        <v>365</v>
      </c>
      <c r="D451" s="164" t="s">
        <v>366</v>
      </c>
      <c r="E451" s="83"/>
      <c r="F451" s="159" t="s">
        <v>378</v>
      </c>
      <c r="G451" s="83" t="str">
        <f>IF($F451="","",IFERROR(VLOOKUP($F451,Inventory!$A:$B,2,FALSE),""))</f>
        <v>Drools &amp; Purepet Mixe Cat Food 500gm</v>
      </c>
      <c r="H451" s="159">
        <v>2.0</v>
      </c>
      <c r="I451" s="84">
        <f t="shared" si="2"/>
        <v>200</v>
      </c>
      <c r="J451" s="85">
        <f>IF($F451="","",IFERROR(VLOOKUP($F451,Inventory!$A:$K,11,FALSE),0))</f>
        <v>225</v>
      </c>
      <c r="K451" s="97">
        <v>25.0</v>
      </c>
      <c r="L451" s="85">
        <f t="shared" si="3"/>
        <v>400</v>
      </c>
      <c r="M451" s="159" t="s">
        <v>330</v>
      </c>
      <c r="N451" s="85">
        <f>IF($F451="","",IFERROR(VLOOKUP($F451,Inventory!$A:$I,9,FALSE),0))</f>
        <v>152.9310345</v>
      </c>
      <c r="O451" s="85">
        <f t="shared" si="4"/>
        <v>305.862069</v>
      </c>
      <c r="P451" s="85">
        <f t="shared" si="5"/>
        <v>94.13793103</v>
      </c>
      <c r="Q451" s="83"/>
      <c r="R451" s="118" t="str">
        <f>IF($E451="","",IF(COUNTIF($E$7:$E1648,$E451)&gt;1,"",IFERROR(VLOOKUP($E451,Orders!$A:$I,8,FALSE),"")))</f>
        <v/>
      </c>
      <c r="S451" s="118" t="str">
        <f>IF($E451="","",IF(COUNTIF($E$7:$E1648,$E451)&gt;1,"",IFERROR(VLOOKUP($E451,Orders!$A:$I,9,FALSE),"")))</f>
        <v/>
      </c>
      <c r="T451" s="88">
        <f t="shared" si="6"/>
        <v>94.13793103</v>
      </c>
      <c r="U451" s="88">
        <f>IF($F451="","",IF($E451="",T451,SUMIF(Sales!$E$7:$E$1506,$E451,Sales!$T$7:$T$1506)))</f>
        <v>94.13793103</v>
      </c>
      <c r="V451" s="49" t="str">
        <f t="shared" si="10"/>
        <v/>
      </c>
      <c r="W451" s="49" t="str">
        <f t="array" ref="W451">IF($V451="","",SUMPRODUCT((Sales!$V$7:$V$1506&lt;&gt;"")*(Sales!$E$7:$E$1506&lt;$E451))+1)</f>
        <v/>
      </c>
      <c r="X451" s="49">
        <f t="shared" si="11"/>
        <v>354</v>
      </c>
      <c r="Y451" s="49" t="str">
        <f t="shared" si="9"/>
        <v>202608-354</v>
      </c>
    </row>
    <row r="452" ht="14.25" customHeight="1">
      <c r="A452" s="161">
        <v>46263.0</v>
      </c>
      <c r="B452" s="163" t="s">
        <v>324</v>
      </c>
      <c r="C452" s="142" t="s">
        <v>365</v>
      </c>
      <c r="D452" s="164" t="s">
        <v>366</v>
      </c>
      <c r="E452" s="83"/>
      <c r="F452" s="159" t="s">
        <v>179</v>
      </c>
      <c r="G452" s="83" t="str">
        <f>IF($F452="","",IFERROR(VLOOKUP($F452,Inventory!$A:$B,2,FALSE),""))</f>
        <v>Creamy Treat 15G (Purry &amp; Hyper Paws)</v>
      </c>
      <c r="H452" s="159">
        <v>5.0</v>
      </c>
      <c r="I452" s="84">
        <f t="shared" si="2"/>
        <v>20</v>
      </c>
      <c r="J452" s="85">
        <f>IF($F452="","",IFERROR(VLOOKUP($F452,Inventory!$A:$K,11,FALSE),0))</f>
        <v>20</v>
      </c>
      <c r="K452" s="85"/>
      <c r="L452" s="85">
        <f t="shared" si="3"/>
        <v>100</v>
      </c>
      <c r="M452" s="159" t="s">
        <v>330</v>
      </c>
      <c r="N452" s="85">
        <f>IF($F452="","",IFERROR(VLOOKUP($F452,Inventory!$A:$I,9,FALSE),0))</f>
        <v>8.147411853</v>
      </c>
      <c r="O452" s="85">
        <f t="shared" si="4"/>
        <v>40.73705926</v>
      </c>
      <c r="P452" s="85">
        <f t="shared" si="5"/>
        <v>59.26294074</v>
      </c>
      <c r="Q452" s="83"/>
      <c r="R452" s="118" t="str">
        <f>IF($E452="","",IF(COUNTIF($E$7:$E1649,$E452)&gt;1,"",IFERROR(VLOOKUP($E452,Orders!$A:$I,8,FALSE),"")))</f>
        <v/>
      </c>
      <c r="S452" s="118" t="str">
        <f>IF($E452="","",IF(COUNTIF($E$7:$E1649,$E452)&gt;1,"",IFERROR(VLOOKUP($E452,Orders!$A:$I,9,FALSE),"")))</f>
        <v/>
      </c>
      <c r="T452" s="88">
        <f t="shared" si="6"/>
        <v>59.26294074</v>
      </c>
      <c r="U452" s="88">
        <f>IF($F452="","",IF($E452="",T452,SUMIF(Sales!$E$7:$E$1506,$E452,Sales!$T$7:$T$1506)))</f>
        <v>59.26294074</v>
      </c>
      <c r="V452" s="49" t="str">
        <f t="shared" si="10"/>
        <v/>
      </c>
      <c r="W452" s="49" t="str">
        <f t="array" ref="W452">IF($V452="","",SUMPRODUCT((Sales!$V$7:$V$1506&lt;&gt;"")*(Sales!$E$7:$E$1506&lt;$E452))+1)</f>
        <v/>
      </c>
      <c r="X452" s="49">
        <f t="shared" si="11"/>
        <v>354</v>
      </c>
      <c r="Y452" s="49" t="str">
        <f t="shared" si="9"/>
        <v>202608-354</v>
      </c>
    </row>
    <row r="453" ht="14.25" customHeight="1">
      <c r="A453" s="161">
        <v>46263.0</v>
      </c>
      <c r="B453" s="163" t="s">
        <v>324</v>
      </c>
      <c r="C453" s="142" t="s">
        <v>365</v>
      </c>
      <c r="D453" s="164" t="s">
        <v>366</v>
      </c>
      <c r="E453" s="83"/>
      <c r="F453" s="159" t="s">
        <v>461</v>
      </c>
      <c r="G453" s="83" t="str">
        <f>IF($F453="","",IFERROR(VLOOKUP($F453,Inventory!$A:$B,2,FALSE),""))</f>
        <v>Cat Toy Mouse Mini</v>
      </c>
      <c r="H453" s="159">
        <v>1.0</v>
      </c>
      <c r="I453" s="84">
        <f t="shared" si="2"/>
        <v>50</v>
      </c>
      <c r="J453" s="85">
        <f>IF($F453="","",IFERROR(VLOOKUP($F453,Inventory!$A:$K,11,FALSE),0))</f>
        <v>60</v>
      </c>
      <c r="K453" s="97">
        <v>10.0</v>
      </c>
      <c r="L453" s="85">
        <f t="shared" si="3"/>
        <v>50</v>
      </c>
      <c r="M453" s="159" t="s">
        <v>330</v>
      </c>
      <c r="N453" s="85">
        <f>IF($F453="","",IFERROR(VLOOKUP($F453,Inventory!$A:$I,9,FALSE),0))</f>
        <v>30</v>
      </c>
      <c r="O453" s="85">
        <f t="shared" si="4"/>
        <v>30</v>
      </c>
      <c r="P453" s="85">
        <f t="shared" si="5"/>
        <v>20</v>
      </c>
      <c r="Q453" s="83"/>
      <c r="R453" s="118" t="str">
        <f>IF($E453="","",IF(COUNTIF($E$7:$E1650,$E453)&gt;1,"",IFERROR(VLOOKUP($E453,Orders!$A:$I,8,FALSE),"")))</f>
        <v/>
      </c>
      <c r="S453" s="118" t="str">
        <f>IF($E453="","",IF(COUNTIF($E$7:$E1650,$E453)&gt;1,"",IFERROR(VLOOKUP($E453,Orders!$A:$I,9,FALSE),"")))</f>
        <v/>
      </c>
      <c r="T453" s="88">
        <f t="shared" si="6"/>
        <v>20</v>
      </c>
      <c r="U453" s="88">
        <f>IF($F453="","",IF($E453="",T453,SUMIF(Sales!$E$7:$E$1506,$E453,Sales!$T$7:$T$1506)))</f>
        <v>20</v>
      </c>
      <c r="V453" s="49" t="str">
        <f t="shared" si="10"/>
        <v/>
      </c>
      <c r="W453" s="49" t="str">
        <f t="array" ref="W453">IF($V453="","",SUMPRODUCT((Sales!$V$7:$V$1506&lt;&gt;"")*(Sales!$E$7:$E$1506&lt;$E453))+1)</f>
        <v/>
      </c>
      <c r="X453" s="49">
        <f t="shared" si="11"/>
        <v>354</v>
      </c>
      <c r="Y453" s="49" t="str">
        <f t="shared" si="9"/>
        <v>202608-354</v>
      </c>
    </row>
    <row r="454" ht="14.25" customHeight="1">
      <c r="A454" s="161">
        <v>46263.0</v>
      </c>
      <c r="B454" s="163" t="s">
        <v>324</v>
      </c>
      <c r="C454" s="142" t="s">
        <v>365</v>
      </c>
      <c r="D454" s="164" t="s">
        <v>366</v>
      </c>
      <c r="E454" s="83"/>
      <c r="F454" s="159" t="s">
        <v>232</v>
      </c>
      <c r="G454" s="83" t="str">
        <f>IF($F454="","",IFERROR(VLOOKUP($F454,Inventory!$A:$B,2,FALSE),""))</f>
        <v>Smart Heart Adult Cat Food Chicken &amp; Tuna [480G]</v>
      </c>
      <c r="H454" s="159">
        <v>3.0</v>
      </c>
      <c r="I454" s="84">
        <f t="shared" si="2"/>
        <v>320</v>
      </c>
      <c r="J454" s="85">
        <f>IF($F454="","",IFERROR(VLOOKUP($F454,Inventory!$A:$K,11,FALSE),0))</f>
        <v>380</v>
      </c>
      <c r="K454" s="97">
        <v>60.0</v>
      </c>
      <c r="L454" s="85">
        <f t="shared" si="3"/>
        <v>960</v>
      </c>
      <c r="M454" s="159" t="s">
        <v>330</v>
      </c>
      <c r="N454" s="85">
        <f>IF($F454="","",IFERROR(VLOOKUP($F454,Inventory!$A:$I,9,FALSE),0))</f>
        <v>290.2631579</v>
      </c>
      <c r="O454" s="85">
        <f t="shared" si="4"/>
        <v>870.7894737</v>
      </c>
      <c r="P454" s="85">
        <f t="shared" si="5"/>
        <v>89.21052632</v>
      </c>
      <c r="Q454" s="83"/>
      <c r="R454" s="118" t="str">
        <f>IF($E454="","",IF(COUNTIF($E$7:$E1651,$E454)&gt;1,"",IFERROR(VLOOKUP($E454,Orders!$A:$I,8,FALSE),"")))</f>
        <v/>
      </c>
      <c r="S454" s="118" t="str">
        <f>IF($E454="","",IF(COUNTIF($E$7:$E1651,$E454)&gt;1,"",IFERROR(VLOOKUP($E454,Orders!$A:$I,9,FALSE),"")))</f>
        <v/>
      </c>
      <c r="T454" s="88">
        <f t="shared" si="6"/>
        <v>89.21052632</v>
      </c>
      <c r="U454" s="88">
        <f>IF($F454="","",IF($E454="",T454,SUMIF(Sales!$E$7:$E$1506,$E454,Sales!$T$7:$T$1506)))</f>
        <v>89.21052632</v>
      </c>
      <c r="V454" s="49" t="str">
        <f t="shared" si="10"/>
        <v/>
      </c>
      <c r="W454" s="49" t="str">
        <f t="array" ref="W454">IF($V454="","",SUMPRODUCT((Sales!$V$7:$V$1506&lt;&gt;"")*(Sales!$E$7:$E$1506&lt;$E454))+1)</f>
        <v/>
      </c>
      <c r="X454" s="49">
        <f t="shared" si="11"/>
        <v>354</v>
      </c>
      <c r="Y454" s="49" t="str">
        <f t="shared" si="9"/>
        <v>202608-354</v>
      </c>
    </row>
    <row r="455" ht="14.25" customHeight="1">
      <c r="A455" s="161">
        <v>46263.0</v>
      </c>
      <c r="B455" s="163" t="s">
        <v>324</v>
      </c>
      <c r="C455" s="142" t="s">
        <v>365</v>
      </c>
      <c r="D455" s="164" t="s">
        <v>366</v>
      </c>
      <c r="E455" s="83"/>
      <c r="F455" s="159" t="s">
        <v>475</v>
      </c>
      <c r="G455" s="83" t="str">
        <f>IF($F455="","",IFERROR(VLOOKUP($F455,Inventory!$A:$B,2,FALSE),""))</f>
        <v>Kitchen Flavour Grain Free Dry Cat Food All Life Stage 400gm</v>
      </c>
      <c r="H455" s="159">
        <v>3.0</v>
      </c>
      <c r="I455" s="84">
        <f t="shared" si="2"/>
        <v>320</v>
      </c>
      <c r="J455" s="85">
        <f>IF($F455="","",IFERROR(VLOOKUP($F455,Inventory!$A:$K,11,FALSE),0))</f>
        <v>360</v>
      </c>
      <c r="K455" s="97">
        <v>40.0</v>
      </c>
      <c r="L455" s="85">
        <f t="shared" si="3"/>
        <v>960</v>
      </c>
      <c r="M455" s="159" t="s">
        <v>330</v>
      </c>
      <c r="N455" s="85">
        <f>IF($F455="","",IFERROR(VLOOKUP($F455,Inventory!$A:$I,9,FALSE),0))</f>
        <v>290</v>
      </c>
      <c r="O455" s="85">
        <f t="shared" si="4"/>
        <v>870</v>
      </c>
      <c r="P455" s="85">
        <f t="shared" si="5"/>
        <v>90</v>
      </c>
      <c r="Q455" s="83"/>
      <c r="R455" s="118" t="str">
        <f>IF($E455="","",IF(COUNTIF($E$7:$E1652,$E455)&gt;1,"",IFERROR(VLOOKUP($E455,Orders!$A:$I,8,FALSE),"")))</f>
        <v/>
      </c>
      <c r="S455" s="118" t="str">
        <f>IF($E455="","",IF(COUNTIF($E$7:$E1652,$E455)&gt;1,"",IFERROR(VLOOKUP($E455,Orders!$A:$I,9,FALSE),"")))</f>
        <v/>
      </c>
      <c r="T455" s="88">
        <f t="shared" si="6"/>
        <v>90</v>
      </c>
      <c r="U455" s="88">
        <f>IF($F455="","",IF($E455="",T455,SUMIF(Sales!$E$7:$E$1506,$E455,Sales!$T$7:$T$1506)))</f>
        <v>90</v>
      </c>
      <c r="V455" s="49" t="str">
        <f t="shared" si="10"/>
        <v/>
      </c>
      <c r="W455" s="49" t="str">
        <f t="array" ref="W455">IF($V455="","",SUMPRODUCT((Sales!$V$7:$V$1506&lt;&gt;"")*(Sales!$E$7:$E$1506&lt;$E455))+1)</f>
        <v/>
      </c>
      <c r="X455" s="49">
        <f t="shared" si="11"/>
        <v>354</v>
      </c>
      <c r="Y455" s="49" t="str">
        <f t="shared" si="9"/>
        <v>202608-354</v>
      </c>
    </row>
    <row r="456" ht="14.25" customHeight="1">
      <c r="A456" s="161">
        <v>46263.0</v>
      </c>
      <c r="B456" s="163" t="s">
        <v>324</v>
      </c>
      <c r="C456" s="142" t="s">
        <v>365</v>
      </c>
      <c r="D456" s="164" t="s">
        <v>366</v>
      </c>
      <c r="E456" s="83"/>
      <c r="F456" s="159" t="s">
        <v>539</v>
      </c>
      <c r="G456" s="83" t="str">
        <f>IF($F456="","",IFERROR(VLOOKUP($F456,Inventory!$A:$B,2,FALSE),""))</f>
        <v>Clean Step Litter Lemon 5L</v>
      </c>
      <c r="H456" s="159">
        <v>2.0</v>
      </c>
      <c r="I456" s="84">
        <f t="shared" si="2"/>
        <v>230</v>
      </c>
      <c r="J456" s="85">
        <f>IF($F456="","",IFERROR(VLOOKUP($F456,Inventory!$A:$K,11,FALSE),0))</f>
        <v>300</v>
      </c>
      <c r="K456" s="97">
        <v>70.0</v>
      </c>
      <c r="L456" s="85">
        <f t="shared" si="3"/>
        <v>460</v>
      </c>
      <c r="M456" s="159" t="s">
        <v>330</v>
      </c>
      <c r="N456" s="85">
        <f>IF($F456="","",IFERROR(VLOOKUP($F456,Inventory!$A:$I,9,FALSE),0))</f>
        <v>200</v>
      </c>
      <c r="O456" s="85">
        <f t="shared" si="4"/>
        <v>400</v>
      </c>
      <c r="P456" s="85">
        <f t="shared" si="5"/>
        <v>60</v>
      </c>
      <c r="Q456" s="83"/>
      <c r="R456" s="118" t="str">
        <f>IF($E456="","",IF(COUNTIF($E$7:$E1653,$E456)&gt;1,"",IFERROR(VLOOKUP($E456,Orders!$A:$I,8,FALSE),"")))</f>
        <v/>
      </c>
      <c r="S456" s="118" t="str">
        <f>IF($E456="","",IF(COUNTIF($E$7:$E1653,$E456)&gt;1,"",IFERROR(VLOOKUP($E456,Orders!$A:$I,9,FALSE),"")))</f>
        <v/>
      </c>
      <c r="T456" s="88">
        <f t="shared" si="6"/>
        <v>60</v>
      </c>
      <c r="U456" s="88">
        <f>IF($F456="","",IF($E456="",T456,SUMIF(Sales!$E$7:$E$1506,$E456,Sales!$T$7:$T$1506)))</f>
        <v>60</v>
      </c>
      <c r="V456" s="49" t="str">
        <f t="shared" si="10"/>
        <v/>
      </c>
      <c r="W456" s="49" t="str">
        <f t="array" ref="W456">IF($V456="","",SUMPRODUCT((Sales!$V$7:$V$1506&lt;&gt;"")*(Sales!$E$7:$E$1506&lt;$E456))+1)</f>
        <v/>
      </c>
      <c r="X456" s="49">
        <f t="shared" si="11"/>
        <v>354</v>
      </c>
      <c r="Y456" s="49" t="str">
        <f t="shared" si="9"/>
        <v>202608-354</v>
      </c>
    </row>
    <row r="457" ht="14.25" customHeight="1">
      <c r="A457" s="161">
        <v>46263.0</v>
      </c>
      <c r="B457" s="163" t="s">
        <v>324</v>
      </c>
      <c r="C457" s="142" t="s">
        <v>365</v>
      </c>
      <c r="D457" s="164" t="s">
        <v>366</v>
      </c>
      <c r="E457" s="83"/>
      <c r="F457" s="159" t="s">
        <v>541</v>
      </c>
      <c r="G457" s="83" t="str">
        <f>IF($F457="","",IFERROR(VLOOKUP($F457,Inventory!$A:$B,2,FALSE),""))</f>
        <v>Clean Step Litter Lavender 5L</v>
      </c>
      <c r="H457" s="159">
        <v>6.0</v>
      </c>
      <c r="I457" s="84">
        <f t="shared" si="2"/>
        <v>230</v>
      </c>
      <c r="J457" s="85">
        <f>IF($F457="","",IFERROR(VLOOKUP($F457,Inventory!$A:$K,11,FALSE),0))</f>
        <v>300</v>
      </c>
      <c r="K457" s="97">
        <v>70.0</v>
      </c>
      <c r="L457" s="85">
        <f t="shared" si="3"/>
        <v>1380</v>
      </c>
      <c r="M457" s="159" t="s">
        <v>330</v>
      </c>
      <c r="N457" s="85">
        <f>IF($F457="","",IFERROR(VLOOKUP($F457,Inventory!$A:$I,9,FALSE),0))</f>
        <v>200</v>
      </c>
      <c r="O457" s="85">
        <f t="shared" si="4"/>
        <v>1200</v>
      </c>
      <c r="P457" s="85">
        <f t="shared" si="5"/>
        <v>180</v>
      </c>
      <c r="Q457" s="83"/>
      <c r="R457" s="118" t="str">
        <f>IF($E457="","",IF(COUNTIF($E$7:$E1654,$E457)&gt;1,"",IFERROR(VLOOKUP($E457,Orders!$A:$I,8,FALSE),"")))</f>
        <v/>
      </c>
      <c r="S457" s="118" t="str">
        <f>IF($E457="","",IF(COUNTIF($E$7:$E1654,$E457)&gt;1,"",IFERROR(VLOOKUP($E457,Orders!$A:$I,9,FALSE),"")))</f>
        <v/>
      </c>
      <c r="T457" s="88">
        <f t="shared" si="6"/>
        <v>180</v>
      </c>
      <c r="U457" s="88">
        <f>IF($F457="","",IF($E457="",T457,SUMIF(Sales!$E$7:$E$1506,$E457,Sales!$T$7:$T$1506)))</f>
        <v>180</v>
      </c>
      <c r="V457" s="49" t="str">
        <f t="shared" si="10"/>
        <v/>
      </c>
      <c r="W457" s="49" t="str">
        <f t="array" ref="W457">IF($V457="","",SUMPRODUCT((Sales!$V$7:$V$1506&lt;&gt;"")*(Sales!$E$7:$E$1506&lt;$E457))+1)</f>
        <v/>
      </c>
      <c r="X457" s="49">
        <f t="shared" si="11"/>
        <v>354</v>
      </c>
      <c r="Y457" s="49" t="str">
        <f t="shared" si="9"/>
        <v>202608-354</v>
      </c>
    </row>
    <row r="458" ht="14.25" customHeight="1">
      <c r="A458" s="161">
        <v>46263.0</v>
      </c>
      <c r="B458" s="163" t="s">
        <v>324</v>
      </c>
      <c r="C458" s="142" t="s">
        <v>365</v>
      </c>
      <c r="D458" s="164" t="s">
        <v>366</v>
      </c>
      <c r="E458" s="83"/>
      <c r="F458" s="159" t="s">
        <v>402</v>
      </c>
      <c r="G458" s="83" t="str">
        <f>IF($F458="","",IFERROR(VLOOKUP($F458,Inventory!$A:$B,2,FALSE),""))</f>
        <v>Lumina Cat Litter Lavender 10L</v>
      </c>
      <c r="H458" s="159">
        <v>3.0</v>
      </c>
      <c r="I458" s="84">
        <f t="shared" si="2"/>
        <v>450</v>
      </c>
      <c r="J458" s="85">
        <f>IF($F458="","",IFERROR(VLOOKUP($F458,Inventory!$A:$K,11,FALSE),0))</f>
        <v>550</v>
      </c>
      <c r="K458" s="97">
        <v>100.0</v>
      </c>
      <c r="L458" s="85">
        <f t="shared" si="3"/>
        <v>1350</v>
      </c>
      <c r="M458" s="159" t="s">
        <v>330</v>
      </c>
      <c r="N458" s="85">
        <f>IF($F458="","",IFERROR(VLOOKUP($F458,Inventory!$A:$I,9,FALSE),0))</f>
        <v>385</v>
      </c>
      <c r="O458" s="85">
        <f t="shared" si="4"/>
        <v>1155</v>
      </c>
      <c r="P458" s="85">
        <f t="shared" si="5"/>
        <v>195</v>
      </c>
      <c r="Q458" s="83"/>
      <c r="R458" s="118" t="str">
        <f>IF($E458="","",IF(COUNTIF($E$7:$E1655,$E458)&gt;1,"",IFERROR(VLOOKUP($E458,Orders!$A:$I,8,FALSE),"")))</f>
        <v/>
      </c>
      <c r="S458" s="118" t="str">
        <f>IF($E458="","",IF(COUNTIF($E$7:$E1655,$E458)&gt;1,"",IFERROR(VLOOKUP($E458,Orders!$A:$I,9,FALSE),"")))</f>
        <v/>
      </c>
      <c r="T458" s="88">
        <f t="shared" si="6"/>
        <v>195</v>
      </c>
      <c r="U458" s="88">
        <f>IF($F458="","",IF($E458="",T458,SUMIF(Sales!$E$7:$E$1506,$E458,Sales!$T$7:$T$1506)))</f>
        <v>195</v>
      </c>
      <c r="V458" s="49" t="str">
        <f t="shared" si="10"/>
        <v/>
      </c>
      <c r="W458" s="49" t="str">
        <f t="array" ref="W458">IF($V458="","",SUMPRODUCT((Sales!$V$7:$V$1506&lt;&gt;"")*(Sales!$E$7:$E$1506&lt;$E458))+1)</f>
        <v/>
      </c>
      <c r="X458" s="49">
        <f t="shared" si="11"/>
        <v>354</v>
      </c>
      <c r="Y458" s="49" t="str">
        <f t="shared" si="9"/>
        <v>202608-354</v>
      </c>
    </row>
    <row r="459" ht="14.25" customHeight="1">
      <c r="A459" s="161">
        <v>46263.0</v>
      </c>
      <c r="B459" s="163" t="s">
        <v>324</v>
      </c>
      <c r="C459" s="142" t="s">
        <v>365</v>
      </c>
      <c r="D459" s="164" t="s">
        <v>366</v>
      </c>
      <c r="E459" s="83"/>
      <c r="F459" s="159" t="s">
        <v>393</v>
      </c>
      <c r="G459" s="83" t="str">
        <f>IF($F459="","",IFERROR(VLOOKUP($F459,Inventory!$A:$B,2,FALSE),""))</f>
        <v>Lumina Cat Litter Lavender 5L</v>
      </c>
      <c r="H459" s="159">
        <v>4.0</v>
      </c>
      <c r="I459" s="84">
        <f t="shared" si="2"/>
        <v>220</v>
      </c>
      <c r="J459" s="85">
        <f>IF($F459="","",IFERROR(VLOOKUP($F459,Inventory!$A:$K,11,FALSE),0))</f>
        <v>280</v>
      </c>
      <c r="K459" s="97">
        <v>60.0</v>
      </c>
      <c r="L459" s="85">
        <f t="shared" si="3"/>
        <v>880</v>
      </c>
      <c r="M459" s="159" t="s">
        <v>330</v>
      </c>
      <c r="N459" s="85">
        <f>IF($F459="","",IFERROR(VLOOKUP($F459,Inventory!$A:$I,9,FALSE),0))</f>
        <v>190</v>
      </c>
      <c r="O459" s="85">
        <f t="shared" si="4"/>
        <v>760</v>
      </c>
      <c r="P459" s="85">
        <f t="shared" si="5"/>
        <v>120</v>
      </c>
      <c r="Q459" s="83"/>
      <c r="R459" s="118" t="str">
        <f>IF($E459="","",IF(COUNTIF($E$7:$E1656,$E459)&gt;1,"",IFERROR(VLOOKUP($E459,Orders!$A:$I,8,FALSE),"")))</f>
        <v/>
      </c>
      <c r="S459" s="118" t="str">
        <f>IF($E459="","",IF(COUNTIF($E$7:$E1656,$E459)&gt;1,"",IFERROR(VLOOKUP($E459,Orders!$A:$I,9,FALSE),"")))</f>
        <v/>
      </c>
      <c r="T459" s="88">
        <f t="shared" si="6"/>
        <v>120</v>
      </c>
      <c r="U459" s="88">
        <f>IF($F459="","",IF($E459="",T459,SUMIF(Sales!$E$7:$E$1506,$E459,Sales!$T$7:$T$1506)))</f>
        <v>120</v>
      </c>
      <c r="V459" s="49" t="str">
        <f t="shared" si="10"/>
        <v/>
      </c>
      <c r="W459" s="49" t="str">
        <f t="array" ref="W459">IF($V459="","",SUMPRODUCT((Sales!$V$7:$V$1506&lt;&gt;"")*(Sales!$E$7:$E$1506&lt;$E459))+1)</f>
        <v/>
      </c>
      <c r="X459" s="49">
        <f t="shared" si="11"/>
        <v>354</v>
      </c>
      <c r="Y459" s="49" t="str">
        <f t="shared" si="9"/>
        <v>202608-354</v>
      </c>
    </row>
    <row r="460" ht="14.25" customHeight="1">
      <c r="A460" s="161">
        <v>46263.0</v>
      </c>
      <c r="B460" s="163" t="s">
        <v>324</v>
      </c>
      <c r="C460" s="142" t="s">
        <v>365</v>
      </c>
      <c r="D460" s="164" t="s">
        <v>366</v>
      </c>
      <c r="E460" s="83"/>
      <c r="F460" s="159" t="s">
        <v>514</v>
      </c>
      <c r="G460" s="83" t="str">
        <f>IF($F460="","",IFERROR(VLOOKUP($F460,Inventory!$A:$B,2,FALSE),""))</f>
        <v>Wanpy Fresh Chicken &amp; Carrot Cat Meat Paste 90 gr</v>
      </c>
      <c r="H460" s="159">
        <v>1.0</v>
      </c>
      <c r="I460" s="84">
        <f t="shared" si="2"/>
        <v>150</v>
      </c>
      <c r="J460" s="85">
        <f>IF($F460="","",IFERROR(VLOOKUP($F460,Inventory!$A:$K,11,FALSE),0))</f>
        <v>150</v>
      </c>
      <c r="K460" s="85"/>
      <c r="L460" s="85">
        <f t="shared" si="3"/>
        <v>150</v>
      </c>
      <c r="M460" s="159" t="s">
        <v>330</v>
      </c>
      <c r="N460" s="85">
        <f>IF($F460="","",IFERROR(VLOOKUP($F460,Inventory!$A:$I,9,FALSE),0))</f>
        <v>100</v>
      </c>
      <c r="O460" s="85">
        <f t="shared" si="4"/>
        <v>100</v>
      </c>
      <c r="P460" s="85">
        <f t="shared" si="5"/>
        <v>50</v>
      </c>
      <c r="Q460" s="83"/>
      <c r="R460" s="118" t="str">
        <f>IF($E460="","",IF(COUNTIF($E$7:$E1657,$E460)&gt;1,"",IFERROR(VLOOKUP($E460,Orders!$A:$I,8,FALSE),"")))</f>
        <v/>
      </c>
      <c r="S460" s="118" t="str">
        <f>IF($E460="","",IF(COUNTIF($E$7:$E1657,$E460)&gt;1,"",IFERROR(VLOOKUP($E460,Orders!$A:$I,9,FALSE),"")))</f>
        <v/>
      </c>
      <c r="T460" s="88">
        <f t="shared" si="6"/>
        <v>50</v>
      </c>
      <c r="U460" s="88">
        <f>IF($F460="","",IF($E460="",T460,SUMIF(Sales!$E$7:$E$1506,$E460,Sales!$T$7:$T$1506)))</f>
        <v>50</v>
      </c>
      <c r="V460" s="49" t="str">
        <f t="shared" si="10"/>
        <v/>
      </c>
      <c r="W460" s="49" t="str">
        <f t="array" ref="W460">IF($V460="","",SUMPRODUCT((Sales!$V$7:$V$1506&lt;&gt;"")*(Sales!$E$7:$E$1506&lt;$E460))+1)</f>
        <v/>
      </c>
      <c r="X460" s="49">
        <f t="shared" si="11"/>
        <v>354</v>
      </c>
      <c r="Y460" s="49" t="str">
        <f t="shared" si="9"/>
        <v>202608-354</v>
      </c>
    </row>
    <row r="461" ht="14.25" customHeight="1">
      <c r="A461" s="161">
        <v>46263.0</v>
      </c>
      <c r="B461" s="163" t="s">
        <v>324</v>
      </c>
      <c r="C461" s="142" t="s">
        <v>365</v>
      </c>
      <c r="D461" s="164" t="s">
        <v>366</v>
      </c>
      <c r="E461" s="83"/>
      <c r="F461" s="159" t="s">
        <v>192</v>
      </c>
      <c r="G461" s="83" t="str">
        <f>IF($F461="","",IFERROR(VLOOKUP($F461,Inventory!$A:$B,2,FALSE),""))</f>
        <v>Kaniva Fusion Multiviamins Chicken &amp; Pumpkin 500gm</v>
      </c>
      <c r="H461" s="159">
        <v>1.0</v>
      </c>
      <c r="I461" s="84">
        <f t="shared" si="2"/>
        <v>620</v>
      </c>
      <c r="J461" s="85">
        <f>IF($F461="","",IFERROR(VLOOKUP($F461,Inventory!$A:$K,11,FALSE),0))</f>
        <v>650</v>
      </c>
      <c r="K461" s="97">
        <v>30.0</v>
      </c>
      <c r="L461" s="85">
        <f t="shared" si="3"/>
        <v>620</v>
      </c>
      <c r="M461" s="159" t="s">
        <v>330</v>
      </c>
      <c r="N461" s="85">
        <f>IF($F461="","",IFERROR(VLOOKUP($F461,Inventory!$A:$I,9,FALSE),0))</f>
        <v>507</v>
      </c>
      <c r="O461" s="85">
        <f t="shared" si="4"/>
        <v>507</v>
      </c>
      <c r="P461" s="85">
        <f t="shared" si="5"/>
        <v>113</v>
      </c>
      <c r="Q461" s="83"/>
      <c r="R461" s="118" t="str">
        <f>IF($E461="","",IF(COUNTIF($E$7:$E1658,$E461)&gt;1,"",IFERROR(VLOOKUP($E461,Orders!$A:$I,8,FALSE),"")))</f>
        <v/>
      </c>
      <c r="S461" s="118" t="str">
        <f>IF($E461="","",IF(COUNTIF($E$7:$E1658,$E461)&gt;1,"",IFERROR(VLOOKUP($E461,Orders!$A:$I,9,FALSE),"")))</f>
        <v/>
      </c>
      <c r="T461" s="88">
        <f t="shared" si="6"/>
        <v>113</v>
      </c>
      <c r="U461" s="88">
        <f>IF($F461="","",IF($E461="",T461,SUMIF(Sales!$E$7:$E$1506,$E461,Sales!$T$7:$T$1506)))</f>
        <v>113</v>
      </c>
      <c r="V461" s="49" t="str">
        <f t="shared" si="10"/>
        <v/>
      </c>
      <c r="W461" s="49" t="str">
        <f t="array" ref="W461">IF($V461="","",SUMPRODUCT((Sales!$V$7:$V$1506&lt;&gt;"")*(Sales!$E$7:$E$1506&lt;$E461))+1)</f>
        <v/>
      </c>
      <c r="X461" s="49">
        <f t="shared" si="11"/>
        <v>354</v>
      </c>
      <c r="Y461" s="49" t="str">
        <f t="shared" si="9"/>
        <v>202608-354</v>
      </c>
    </row>
    <row r="462" ht="14.25" customHeight="1">
      <c r="A462" s="161">
        <v>46263.0</v>
      </c>
      <c r="B462" s="163" t="s">
        <v>324</v>
      </c>
      <c r="C462" s="142" t="s">
        <v>365</v>
      </c>
      <c r="D462" s="164" t="s">
        <v>366</v>
      </c>
      <c r="E462" s="83"/>
      <c r="F462" s="159" t="s">
        <v>179</v>
      </c>
      <c r="G462" s="83" t="str">
        <f>IF($F462="","",IFERROR(VLOOKUP($F462,Inventory!$A:$B,2,FALSE),""))</f>
        <v>Creamy Treat 15G (Purry &amp; Hyper Paws)</v>
      </c>
      <c r="H462" s="83"/>
      <c r="I462" s="84">
        <f t="shared" si="2"/>
        <v>20</v>
      </c>
      <c r="J462" s="85">
        <f>IF($F462="","",IFERROR(VLOOKUP($F462,Inventory!$A:$K,11,FALSE),0))</f>
        <v>20</v>
      </c>
      <c r="K462" s="85"/>
      <c r="L462" s="85">
        <f t="shared" si="3"/>
        <v>0</v>
      </c>
      <c r="M462" s="159" t="s">
        <v>330</v>
      </c>
      <c r="N462" s="85">
        <f>IF($F462="","",IFERROR(VLOOKUP($F462,Inventory!$A:$I,9,FALSE),0))</f>
        <v>8.147411853</v>
      </c>
      <c r="O462" s="85">
        <f t="shared" si="4"/>
        <v>0</v>
      </c>
      <c r="P462" s="85">
        <f t="shared" si="5"/>
        <v>0</v>
      </c>
      <c r="Q462" s="83"/>
      <c r="R462" s="118" t="str">
        <f>IF($E462="","",IF(COUNTIF($E$7:$E1659,$E462)&gt;1,"",IFERROR(VLOOKUP($E462,Orders!$A:$I,8,FALSE),"")))</f>
        <v/>
      </c>
      <c r="S462" s="118" t="str">
        <f>IF($E462="","",IF(COUNTIF($E$7:$E1659,$E462)&gt;1,"",IFERROR(VLOOKUP($E462,Orders!$A:$I,9,FALSE),"")))</f>
        <v/>
      </c>
      <c r="T462" s="88">
        <f t="shared" si="6"/>
        <v>0</v>
      </c>
      <c r="U462" s="88">
        <f>IF($F462="","",IF($E462="",T462,SUMIF(Sales!$E$7:$E$1506,$E462,Sales!$T$7:$T$1506)))</f>
        <v>0</v>
      </c>
      <c r="V462" s="49" t="str">
        <f t="shared" si="10"/>
        <v/>
      </c>
      <c r="W462" s="49" t="str">
        <f t="array" ref="W462">IF($V462="","",SUMPRODUCT((Sales!$V$7:$V$1506&lt;&gt;"")*(Sales!$E$7:$E$1506&lt;$E462))+1)</f>
        <v/>
      </c>
      <c r="X462" s="49">
        <f t="shared" si="11"/>
        <v>354</v>
      </c>
      <c r="Y462" s="49" t="str">
        <f t="shared" si="9"/>
        <v>202608-354</v>
      </c>
    </row>
    <row r="463" ht="14.25" customHeight="1">
      <c r="A463" s="161">
        <v>46263.0</v>
      </c>
      <c r="B463" s="163" t="s">
        <v>324</v>
      </c>
      <c r="C463" s="142" t="s">
        <v>365</v>
      </c>
      <c r="D463" s="164" t="s">
        <v>366</v>
      </c>
      <c r="E463" s="83"/>
      <c r="F463" s="159" t="s">
        <v>179</v>
      </c>
      <c r="G463" s="83" t="str">
        <f>IF($F463="","",IFERROR(VLOOKUP($F463,Inventory!$A:$B,2,FALSE),""))</f>
        <v>Creamy Treat 15G (Purry &amp; Hyper Paws)</v>
      </c>
      <c r="H463" s="159">
        <v>5.0</v>
      </c>
      <c r="I463" s="84">
        <f t="shared" si="2"/>
        <v>20</v>
      </c>
      <c r="J463" s="85">
        <f>IF($F463="","",IFERROR(VLOOKUP($F463,Inventory!$A:$K,11,FALSE),0))</f>
        <v>20</v>
      </c>
      <c r="K463" s="97"/>
      <c r="L463" s="85">
        <f t="shared" si="3"/>
        <v>100</v>
      </c>
      <c r="M463" s="159" t="s">
        <v>330</v>
      </c>
      <c r="N463" s="85">
        <f>IF($F463="","",IFERROR(VLOOKUP($F463,Inventory!$A:$I,9,FALSE),0))</f>
        <v>8.147411853</v>
      </c>
      <c r="O463" s="85">
        <f t="shared" si="4"/>
        <v>40.73705926</v>
      </c>
      <c r="P463" s="85">
        <f t="shared" si="5"/>
        <v>59.26294074</v>
      </c>
      <c r="Q463" s="83"/>
      <c r="R463" s="118" t="str">
        <f>IF($E463="","",IF(COUNTIF($E$7:$E1660,$E463)&gt;1,"",IFERROR(VLOOKUP($E463,Orders!$A:$I,8,FALSE),"")))</f>
        <v/>
      </c>
      <c r="S463" s="118" t="str">
        <f>IF($E463="","",IF(COUNTIF($E$7:$E1660,$E463)&gt;1,"",IFERROR(VLOOKUP($E463,Orders!$A:$I,9,FALSE),"")))</f>
        <v/>
      </c>
      <c r="T463" s="88">
        <f t="shared" si="6"/>
        <v>59.26294074</v>
      </c>
      <c r="U463" s="88">
        <f>IF($F463="","",IF($E463="",T463,SUMIF(Sales!$E$7:$E$1506,$E463,Sales!$T$7:$T$1506)))</f>
        <v>59.26294074</v>
      </c>
      <c r="V463" s="49" t="str">
        <f t="shared" si="10"/>
        <v/>
      </c>
      <c r="W463" s="49" t="str">
        <f t="array" ref="W463">IF($V463="","",SUMPRODUCT((Sales!$V$7:$V$1506&lt;&gt;"")*(Sales!$E$7:$E$1506&lt;$E463))+1)</f>
        <v/>
      </c>
      <c r="X463" s="49">
        <f t="shared" si="11"/>
        <v>354</v>
      </c>
      <c r="Y463" s="49" t="str">
        <f t="shared" si="9"/>
        <v>202608-354</v>
      </c>
    </row>
    <row r="464" ht="14.25" customHeight="1">
      <c r="A464" s="161">
        <v>46263.0</v>
      </c>
      <c r="B464" s="163" t="s">
        <v>324</v>
      </c>
      <c r="C464" s="142" t="s">
        <v>365</v>
      </c>
      <c r="D464" s="164" t="s">
        <v>366</v>
      </c>
      <c r="E464" s="83"/>
      <c r="F464" s="159" t="s">
        <v>179</v>
      </c>
      <c r="G464" s="83" t="str">
        <f>IF($F464="","",IFERROR(VLOOKUP($F464,Inventory!$A:$B,2,FALSE),""))</f>
        <v>Creamy Treat 15G (Purry &amp; Hyper Paws)</v>
      </c>
      <c r="H464" s="159">
        <v>3.0</v>
      </c>
      <c r="I464" s="84">
        <f t="shared" si="2"/>
        <v>20</v>
      </c>
      <c r="J464" s="85">
        <f>IF($F464="","",IFERROR(VLOOKUP($F464,Inventory!$A:$K,11,FALSE),0))</f>
        <v>20</v>
      </c>
      <c r="K464" s="85"/>
      <c r="L464" s="85">
        <f t="shared" si="3"/>
        <v>60</v>
      </c>
      <c r="M464" s="159" t="s">
        <v>330</v>
      </c>
      <c r="N464" s="85">
        <f>IF($F464="","",IFERROR(VLOOKUP($F464,Inventory!$A:$I,9,FALSE),0))</f>
        <v>8.147411853</v>
      </c>
      <c r="O464" s="85">
        <f t="shared" si="4"/>
        <v>24.44223556</v>
      </c>
      <c r="P464" s="85">
        <f t="shared" si="5"/>
        <v>35.55776444</v>
      </c>
      <c r="Q464" s="83"/>
      <c r="R464" s="118" t="str">
        <f>IF($E464="","",IF(COUNTIF($E$7:$E1661,$E464)&gt;1,"",IFERROR(VLOOKUP($E464,Orders!$A:$I,8,FALSE),"")))</f>
        <v/>
      </c>
      <c r="S464" s="118" t="str">
        <f>IF($E464="","",IF(COUNTIF($E$7:$E1661,$E464)&gt;1,"",IFERROR(VLOOKUP($E464,Orders!$A:$I,9,FALSE),"")))</f>
        <v/>
      </c>
      <c r="T464" s="88">
        <f t="shared" si="6"/>
        <v>35.55776444</v>
      </c>
      <c r="U464" s="88">
        <f>IF($F464="","",IF($E464="",T464,SUMIF(Sales!$E$7:$E$1506,$E464,Sales!$T$7:$T$1506)))</f>
        <v>35.55776444</v>
      </c>
      <c r="V464" s="49" t="str">
        <f t="shared" si="10"/>
        <v/>
      </c>
      <c r="W464" s="49" t="str">
        <f t="array" ref="W464">IF($V464="","",SUMPRODUCT((Sales!$V$7:$V$1506&lt;&gt;"")*(Sales!$E$7:$E$1506&lt;$E464))+1)</f>
        <v/>
      </c>
      <c r="X464" s="49">
        <f t="shared" si="11"/>
        <v>354</v>
      </c>
      <c r="Y464" s="49" t="str">
        <f t="shared" si="9"/>
        <v>202608-354</v>
      </c>
    </row>
    <row r="465" ht="14.25" customHeight="1">
      <c r="A465" s="161">
        <v>46264.0</v>
      </c>
      <c r="B465" s="163" t="s">
        <v>324</v>
      </c>
      <c r="C465" s="142" t="s">
        <v>365</v>
      </c>
      <c r="D465" s="164" t="s">
        <v>366</v>
      </c>
      <c r="E465" s="83"/>
      <c r="F465" s="159" t="s">
        <v>179</v>
      </c>
      <c r="G465" s="83" t="str">
        <f>IF($F465="","",IFERROR(VLOOKUP($F465,Inventory!$A:$B,2,FALSE),""))</f>
        <v>Creamy Treat 15G (Purry &amp; Hyper Paws)</v>
      </c>
      <c r="H465" s="159">
        <v>3.0</v>
      </c>
      <c r="I465" s="84">
        <f t="shared" si="2"/>
        <v>16.667</v>
      </c>
      <c r="J465" s="85">
        <f>IF($F465="","",IFERROR(VLOOKUP($F465,Inventory!$A:$K,11,FALSE),0))</f>
        <v>20</v>
      </c>
      <c r="K465" s="97">
        <v>3.333</v>
      </c>
      <c r="L465" s="85">
        <f t="shared" si="3"/>
        <v>50.001</v>
      </c>
      <c r="M465" s="159" t="s">
        <v>330</v>
      </c>
      <c r="N465" s="85">
        <f>IF($F465="","",IFERROR(VLOOKUP($F465,Inventory!$A:$I,9,FALSE),0))</f>
        <v>8.147411853</v>
      </c>
      <c r="O465" s="85">
        <f t="shared" si="4"/>
        <v>24.44223556</v>
      </c>
      <c r="P465" s="85">
        <f t="shared" si="5"/>
        <v>25.55876444</v>
      </c>
      <c r="Q465" s="83"/>
      <c r="R465" s="118" t="str">
        <f>IF($E465="","",IF(COUNTIF($E$7:$E1662,$E465)&gt;1,"",IFERROR(VLOOKUP($E465,Orders!$A:$I,8,FALSE),"")))</f>
        <v/>
      </c>
      <c r="S465" s="118" t="str">
        <f>IF($E465="","",IF(COUNTIF($E$7:$E1662,$E465)&gt;1,"",IFERROR(VLOOKUP($E465,Orders!$A:$I,9,FALSE),"")))</f>
        <v/>
      </c>
      <c r="T465" s="88">
        <f t="shared" si="6"/>
        <v>25.55876444</v>
      </c>
      <c r="U465" s="88">
        <f>IF($F465="","",IF($E465="",T465,SUMIF(Sales!$E$7:$E$1506,$E465,Sales!$T$7:$T$1506)))</f>
        <v>25.55876444</v>
      </c>
      <c r="V465" s="49" t="str">
        <f t="shared" si="10"/>
        <v/>
      </c>
      <c r="W465" s="49" t="str">
        <f t="array" ref="W465">IF($V465="","",SUMPRODUCT((Sales!$V$7:$V$1506&lt;&gt;"")*(Sales!$E$7:$E$1506&lt;$E465))+1)</f>
        <v/>
      </c>
      <c r="X465" s="49">
        <f t="shared" si="11"/>
        <v>354</v>
      </c>
      <c r="Y465" s="49" t="str">
        <f t="shared" si="9"/>
        <v>202608-354</v>
      </c>
    </row>
    <row r="466" ht="14.25" customHeight="1">
      <c r="A466" s="161">
        <v>46264.0</v>
      </c>
      <c r="B466" s="163" t="s">
        <v>324</v>
      </c>
      <c r="C466" s="142" t="s">
        <v>365</v>
      </c>
      <c r="D466" s="164" t="s">
        <v>366</v>
      </c>
      <c r="E466" s="83"/>
      <c r="F466" s="159" t="s">
        <v>443</v>
      </c>
      <c r="G466" s="83" t="str">
        <f>IF($F466="","",IFERROR(VLOOKUP($F466,Inventory!$A:$B,2,FALSE),""))</f>
        <v>Taipet Chicken Pouch</v>
      </c>
      <c r="H466" s="159">
        <v>2.0</v>
      </c>
      <c r="I466" s="84">
        <f t="shared" si="2"/>
        <v>70</v>
      </c>
      <c r="J466" s="85">
        <f>IF($F466="","",IFERROR(VLOOKUP($F466,Inventory!$A:$K,11,FALSE),0))</f>
        <v>75</v>
      </c>
      <c r="K466" s="97">
        <v>5.0</v>
      </c>
      <c r="L466" s="85">
        <f t="shared" si="3"/>
        <v>140</v>
      </c>
      <c r="M466" s="159" t="s">
        <v>330</v>
      </c>
      <c r="N466" s="85">
        <f>IF($F466="","",IFERROR(VLOOKUP($F466,Inventory!$A:$I,9,FALSE),0))</f>
        <v>53</v>
      </c>
      <c r="O466" s="85">
        <f t="shared" si="4"/>
        <v>106</v>
      </c>
      <c r="P466" s="85">
        <f t="shared" si="5"/>
        <v>34</v>
      </c>
      <c r="Q466" s="83"/>
      <c r="R466" s="118" t="str">
        <f>IF($E466="","",IF(COUNTIF($E$7:$E1663,$E466)&gt;1,"",IFERROR(VLOOKUP($E466,Orders!$A:$I,8,FALSE),"")))</f>
        <v/>
      </c>
      <c r="S466" s="118" t="str">
        <f>IF($E466="","",IF(COUNTIF($E$7:$E1663,$E466)&gt;1,"",IFERROR(VLOOKUP($E466,Orders!$A:$I,9,FALSE),"")))</f>
        <v/>
      </c>
      <c r="T466" s="88">
        <f t="shared" si="6"/>
        <v>34</v>
      </c>
      <c r="U466" s="88">
        <f>IF($F466="","",IF($E466="",T466,SUMIF(Sales!$E$7:$E$1506,$E466,Sales!$T$7:$T$1506)))</f>
        <v>34</v>
      </c>
      <c r="V466" s="49" t="str">
        <f t="shared" si="10"/>
        <v/>
      </c>
      <c r="W466" s="49" t="str">
        <f t="array" ref="W466">IF($V466="","",SUMPRODUCT((Sales!$V$7:$V$1506&lt;&gt;"")*(Sales!$E$7:$E$1506&lt;$E466))+1)</f>
        <v/>
      </c>
      <c r="X466" s="49">
        <f t="shared" si="11"/>
        <v>354</v>
      </c>
      <c r="Y466" s="49" t="str">
        <f t="shared" si="9"/>
        <v>202608-354</v>
      </c>
    </row>
    <row r="467" ht="14.25" customHeight="1">
      <c r="A467" s="161">
        <v>46264.0</v>
      </c>
      <c r="B467" s="159" t="s">
        <v>324</v>
      </c>
      <c r="C467" s="159" t="s">
        <v>325</v>
      </c>
      <c r="D467" s="159" t="s">
        <v>586</v>
      </c>
      <c r="E467" s="159" t="s">
        <v>699</v>
      </c>
      <c r="F467" s="159" t="s">
        <v>378</v>
      </c>
      <c r="G467" s="83" t="str">
        <f>IF($F467="","",IFERROR(VLOOKUP($F467,Inventory!$A:$B,2,FALSE),""))</f>
        <v>Drools &amp; Purepet Mixe Cat Food 500gm</v>
      </c>
      <c r="H467" s="159">
        <v>2.0</v>
      </c>
      <c r="I467" s="84">
        <f t="shared" si="2"/>
        <v>200</v>
      </c>
      <c r="J467" s="85">
        <f>IF($F467="","",IFERROR(VLOOKUP($F467,Inventory!$A:$K,11,FALSE),0))</f>
        <v>225</v>
      </c>
      <c r="K467" s="97">
        <v>25.0</v>
      </c>
      <c r="L467" s="85">
        <f t="shared" si="3"/>
        <v>400</v>
      </c>
      <c r="M467" s="159" t="s">
        <v>596</v>
      </c>
      <c r="N467" s="85">
        <f>IF($F467="","",IFERROR(VLOOKUP($F467,Inventory!$A:$I,9,FALSE),0))</f>
        <v>152.9310345</v>
      </c>
      <c r="O467" s="85">
        <f t="shared" si="4"/>
        <v>305.862069</v>
      </c>
      <c r="P467" s="85">
        <f t="shared" si="5"/>
        <v>94.13793103</v>
      </c>
      <c r="Q467" s="83"/>
      <c r="R467" s="118" t="str">
        <f>IF($E467="","",IF(COUNTIF($E$7:$E1664,$E467)&gt;1,"",IFERROR(VLOOKUP($E467,Orders!$A:$I,8,FALSE),"")))</f>
        <v/>
      </c>
      <c r="S467" s="118" t="str">
        <f>IF($E467="","",IF(COUNTIF($E$7:$E1664,$E467)&gt;1,"",IFERROR(VLOOKUP($E467,Orders!$A:$I,9,FALSE),"")))</f>
        <v/>
      </c>
      <c r="T467" s="88">
        <f t="shared" si="6"/>
        <v>94.13793103</v>
      </c>
      <c r="U467" s="88">
        <f>IF($F467="","",IF($E467="",T467,SUMIF(Sales!$E$7:$E$1506,$E467,Sales!$T$7:$T$1506)))</f>
        <v>264.137931</v>
      </c>
      <c r="V467" s="49" t="str">
        <f t="shared" si="10"/>
        <v/>
      </c>
      <c r="W467" s="49" t="str">
        <f t="array" ref="W467">IF($V467="","",SUMPRODUCT((Sales!$V$7:$V$1506&lt;&gt;"")*(Sales!$E$7:$E$1506&lt;$E467))+1)</f>
        <v/>
      </c>
      <c r="X467" s="49">
        <f t="shared" si="11"/>
        <v>354</v>
      </c>
      <c r="Y467" s="49" t="str">
        <f t="shared" si="9"/>
        <v>202608-354</v>
      </c>
    </row>
    <row r="468" ht="14.25" customHeight="1">
      <c r="A468" s="161">
        <v>46264.0</v>
      </c>
      <c r="B468" s="159" t="s">
        <v>324</v>
      </c>
      <c r="C468" s="159" t="s">
        <v>325</v>
      </c>
      <c r="D468" s="159" t="s">
        <v>586</v>
      </c>
      <c r="E468" s="159" t="s">
        <v>699</v>
      </c>
      <c r="F468" s="159" t="s">
        <v>202</v>
      </c>
      <c r="G468" s="83" t="str">
        <f>IF($F468="","",IFERROR(VLOOKUP($F468,Inventory!$A:$B,2,FALSE),""))</f>
        <v>Cozie Cat Litter Lavender 10L</v>
      </c>
      <c r="H468" s="159">
        <v>1.0</v>
      </c>
      <c r="I468" s="84">
        <f t="shared" si="2"/>
        <v>620</v>
      </c>
      <c r="J468" s="85">
        <f>IF($F468="","",IFERROR(VLOOKUP($F468,Inventory!$A:$K,11,FALSE),0))</f>
        <v>700</v>
      </c>
      <c r="K468" s="97">
        <v>80.0</v>
      </c>
      <c r="L468" s="85">
        <f t="shared" si="3"/>
        <v>620</v>
      </c>
      <c r="M468" s="159" t="s">
        <v>596</v>
      </c>
      <c r="N468" s="85">
        <f>IF($F468="","",IFERROR(VLOOKUP($F468,Inventory!$A:$I,9,FALSE),0))</f>
        <v>450</v>
      </c>
      <c r="O468" s="85">
        <f t="shared" si="4"/>
        <v>450</v>
      </c>
      <c r="P468" s="85">
        <f t="shared" si="5"/>
        <v>170</v>
      </c>
      <c r="Q468" s="83"/>
      <c r="R468" s="118" t="str">
        <f>IF($E468="","",IF(COUNTIF($E$7:$E1665,$E468)&gt;1,"",IFERROR(VLOOKUP($E468,Orders!$A:$I,8,FALSE),"")))</f>
        <v/>
      </c>
      <c r="S468" s="118" t="str">
        <f>IF($E468="","",IF(COUNTIF($E$7:$E1665,$E468)&gt;1,"",IFERROR(VLOOKUP($E468,Orders!$A:$I,9,FALSE),"")))</f>
        <v/>
      </c>
      <c r="T468" s="88">
        <f t="shared" si="6"/>
        <v>170</v>
      </c>
      <c r="U468" s="88">
        <f>IF($F468="","",IF($E468="",T468,SUMIF(Sales!$E$7:$E$1506,$E468,Sales!$T$7:$T$1506)))</f>
        <v>264.137931</v>
      </c>
      <c r="V468" s="49" t="str">
        <f t="shared" si="10"/>
        <v/>
      </c>
      <c r="W468" s="49" t="str">
        <f t="array" ref="W468">IF($V468="","",SUMPRODUCT((Sales!$V$7:$V$1506&lt;&gt;"")*(Sales!$E$7:$E$1506&lt;$E468))+1)</f>
        <v/>
      </c>
      <c r="X468" s="49">
        <f t="shared" si="11"/>
        <v>354</v>
      </c>
      <c r="Y468" s="49" t="str">
        <f t="shared" si="9"/>
        <v>202608-354</v>
      </c>
    </row>
    <row r="469" ht="14.25" customHeight="1">
      <c r="A469" s="161">
        <v>46264.0</v>
      </c>
      <c r="B469" s="165" t="s">
        <v>324</v>
      </c>
      <c r="C469" s="164" t="s">
        <v>365</v>
      </c>
      <c r="D469" s="165" t="s">
        <v>366</v>
      </c>
      <c r="E469" s="83"/>
      <c r="F469" s="159" t="s">
        <v>176</v>
      </c>
      <c r="G469" s="83" t="str">
        <f>IF($F469="","",IFERROR(VLOOKUP($F469,Inventory!$A:$B,2,FALSE),""))</f>
        <v>Chonk All ages Tuna</v>
      </c>
      <c r="H469" s="159">
        <v>1.0</v>
      </c>
      <c r="I469" s="84">
        <f t="shared" si="2"/>
        <v>500</v>
      </c>
      <c r="J469" s="85">
        <f>IF($F469="","",IFERROR(VLOOKUP($F469,Inventory!$A:$K,11,FALSE),0))</f>
        <v>500</v>
      </c>
      <c r="K469" s="85"/>
      <c r="L469" s="85">
        <f t="shared" si="3"/>
        <v>500</v>
      </c>
      <c r="M469" s="159" t="s">
        <v>330</v>
      </c>
      <c r="N469" s="85">
        <f>IF($F469="","",IFERROR(VLOOKUP($F469,Inventory!$A:$I,9,FALSE),0))</f>
        <v>400</v>
      </c>
      <c r="O469" s="85">
        <f t="shared" si="4"/>
        <v>400</v>
      </c>
      <c r="P469" s="85">
        <f t="shared" si="5"/>
        <v>100</v>
      </c>
      <c r="Q469" s="83"/>
      <c r="R469" s="118" t="str">
        <f>IF($E469="","",IF(COUNTIF($E$7:$E1666,$E469)&gt;1,"",IFERROR(VLOOKUP($E469,Orders!$A:$I,8,FALSE),"")))</f>
        <v/>
      </c>
      <c r="S469" s="118" t="str">
        <f>IF($E469="","",IF(COUNTIF($E$7:$E1666,$E469)&gt;1,"",IFERROR(VLOOKUP($E469,Orders!$A:$I,9,FALSE),"")))</f>
        <v/>
      </c>
      <c r="T469" s="88">
        <f t="shared" si="6"/>
        <v>100</v>
      </c>
      <c r="U469" s="88">
        <f>IF($F469="","",IF($E469="",T469,SUMIF(Sales!$E$7:$E$1506,$E469,Sales!$T$7:$T$1506)))</f>
        <v>100</v>
      </c>
      <c r="V469" s="49" t="str">
        <f t="shared" si="10"/>
        <v/>
      </c>
      <c r="W469" s="49" t="str">
        <f t="array" ref="W469">IF($V469="","",SUMPRODUCT((Sales!$V$7:$V$1506&lt;&gt;"")*(Sales!$E$7:$E$1506&lt;$E469))+1)</f>
        <v/>
      </c>
      <c r="X469" s="49">
        <f t="shared" si="11"/>
        <v>354</v>
      </c>
      <c r="Y469" s="49" t="str">
        <f t="shared" si="9"/>
        <v>202608-354</v>
      </c>
    </row>
    <row r="470" ht="14.25" customHeight="1">
      <c r="A470" s="161">
        <v>46264.0</v>
      </c>
      <c r="B470" s="165" t="s">
        <v>324</v>
      </c>
      <c r="C470" s="164" t="s">
        <v>365</v>
      </c>
      <c r="D470" s="165" t="s">
        <v>366</v>
      </c>
      <c r="E470" s="83"/>
      <c r="F470" s="159" t="s">
        <v>132</v>
      </c>
      <c r="G470" s="83" t="str">
        <f>IF($F470="","",IFERROR(VLOOKUP($F470,Inventory!$A:$B,2,FALSE),""))</f>
        <v>Bengal Flea &amp; Tick Shampoo</v>
      </c>
      <c r="H470" s="159">
        <v>1.0</v>
      </c>
      <c r="I470" s="84">
        <f t="shared" si="2"/>
        <v>400</v>
      </c>
      <c r="J470" s="85">
        <f>IF($F470="","",IFERROR(VLOOKUP($F470,Inventory!$A:$K,11,FALSE),0))</f>
        <v>400</v>
      </c>
      <c r="K470" s="85"/>
      <c r="L470" s="85">
        <f t="shared" si="3"/>
        <v>400</v>
      </c>
      <c r="M470" s="159" t="s">
        <v>330</v>
      </c>
      <c r="N470" s="85">
        <f>IF($F470="","",IFERROR(VLOOKUP($F470,Inventory!$A:$I,9,FALSE),0))</f>
        <v>240</v>
      </c>
      <c r="O470" s="85">
        <f t="shared" si="4"/>
        <v>240</v>
      </c>
      <c r="P470" s="85">
        <f t="shared" si="5"/>
        <v>160</v>
      </c>
      <c r="Q470" s="83"/>
      <c r="R470" s="118" t="str">
        <f>IF($E470="","",IF(COUNTIF($E$7:$E1667,$E470)&gt;1,"",IFERROR(VLOOKUP($E470,Orders!$A:$I,8,FALSE),"")))</f>
        <v/>
      </c>
      <c r="S470" s="118" t="str">
        <f>IF($E470="","",IF(COUNTIF($E$7:$E1667,$E470)&gt;1,"",IFERROR(VLOOKUP($E470,Orders!$A:$I,9,FALSE),"")))</f>
        <v/>
      </c>
      <c r="T470" s="88">
        <f t="shared" si="6"/>
        <v>160</v>
      </c>
      <c r="U470" s="88">
        <f>IF($F470="","",IF($E470="",T470,SUMIF(Sales!$E$7:$E$1506,$E470,Sales!$T$7:$T$1506)))</f>
        <v>160</v>
      </c>
      <c r="V470" s="49" t="str">
        <f t="shared" si="10"/>
        <v/>
      </c>
      <c r="W470" s="49" t="str">
        <f t="array" ref="W470">IF($V470="","",SUMPRODUCT((Sales!$V$7:$V$1506&lt;&gt;"")*(Sales!$E$7:$E$1506&lt;$E470))+1)</f>
        <v/>
      </c>
      <c r="X470" s="49">
        <f t="shared" si="11"/>
        <v>354</v>
      </c>
      <c r="Y470" s="49" t="str">
        <f t="shared" si="9"/>
        <v>202608-354</v>
      </c>
    </row>
    <row r="471" ht="14.25" customHeight="1">
      <c r="A471" s="161">
        <v>46264.0</v>
      </c>
      <c r="B471" s="165" t="s">
        <v>324</v>
      </c>
      <c r="C471" s="164" t="s">
        <v>365</v>
      </c>
      <c r="D471" s="165" t="s">
        <v>366</v>
      </c>
      <c r="E471" s="83"/>
      <c r="F471" s="159" t="s">
        <v>240</v>
      </c>
      <c r="G471" s="83" t="str">
        <f>IF($F471="","",IFERROR(VLOOKUP($F471,Inventory!$A:$B,2,FALSE),""))</f>
        <v>Cat Belt Radium</v>
      </c>
      <c r="H471" s="159">
        <v>1.0</v>
      </c>
      <c r="I471" s="84">
        <f t="shared" si="2"/>
        <v>100</v>
      </c>
      <c r="J471" s="85">
        <f>IF($F471="","",IFERROR(VLOOKUP($F471,Inventory!$A:$K,11,FALSE),0))</f>
        <v>110</v>
      </c>
      <c r="K471" s="97">
        <v>10.0</v>
      </c>
      <c r="L471" s="85">
        <f t="shared" si="3"/>
        <v>100</v>
      </c>
      <c r="M471" s="159" t="s">
        <v>330</v>
      </c>
      <c r="N471" s="85">
        <f>IF($F471="","",IFERROR(VLOOKUP($F471,Inventory!$A:$I,9,FALSE),0))</f>
        <v>65</v>
      </c>
      <c r="O471" s="85">
        <f t="shared" si="4"/>
        <v>65</v>
      </c>
      <c r="P471" s="85">
        <f t="shared" si="5"/>
        <v>35</v>
      </c>
      <c r="Q471" s="83"/>
      <c r="R471" s="118" t="str">
        <f>IF($E471="","",IF(COUNTIF($E$7:$E1668,$E471)&gt;1,"",IFERROR(VLOOKUP($E471,Orders!$A:$I,8,FALSE),"")))</f>
        <v/>
      </c>
      <c r="S471" s="118" t="str">
        <f>IF($E471="","",IF(COUNTIF($E$7:$E1668,$E471)&gt;1,"",IFERROR(VLOOKUP($E471,Orders!$A:$I,9,FALSE),"")))</f>
        <v/>
      </c>
      <c r="T471" s="88">
        <f t="shared" si="6"/>
        <v>35</v>
      </c>
      <c r="U471" s="88">
        <f>IF($F471="","",IF($E471="",T471,SUMIF(Sales!$E$7:$E$1506,$E471,Sales!$T$7:$T$1506)))</f>
        <v>35</v>
      </c>
      <c r="V471" s="49" t="str">
        <f t="shared" si="10"/>
        <v/>
      </c>
      <c r="W471" s="49" t="str">
        <f t="array" ref="W471">IF($V471="","",SUMPRODUCT((Sales!$V$7:$V$1506&lt;&gt;"")*(Sales!$E$7:$E$1506&lt;$E471))+1)</f>
        <v/>
      </c>
      <c r="X471" s="49">
        <f t="shared" si="11"/>
        <v>354</v>
      </c>
      <c r="Y471" s="49" t="str">
        <f t="shared" si="9"/>
        <v>202608-354</v>
      </c>
    </row>
    <row r="472" ht="14.25" customHeight="1">
      <c r="A472" s="161">
        <v>46264.0</v>
      </c>
      <c r="B472" s="165" t="s">
        <v>324</v>
      </c>
      <c r="C472" s="164" t="s">
        <v>365</v>
      </c>
      <c r="D472" s="165" t="s">
        <v>366</v>
      </c>
      <c r="E472" s="83"/>
      <c r="F472" s="83" t="s">
        <v>388</v>
      </c>
      <c r="G472" s="83" t="str">
        <f>IF($F472="","",IFERROR(VLOOKUP($F472,Inventory!$A:$B,2,FALSE),""))</f>
        <v>LuminaCat Litter Apple 5L</v>
      </c>
      <c r="H472" s="159">
        <v>1.0</v>
      </c>
      <c r="I472" s="84">
        <f t="shared" si="2"/>
        <v>250</v>
      </c>
      <c r="J472" s="85">
        <f>IF($F472="","",IFERROR(VLOOKUP($F472,Inventory!$A:$K,11,FALSE),0))</f>
        <v>280</v>
      </c>
      <c r="K472" s="97">
        <v>30.0</v>
      </c>
      <c r="L472" s="85">
        <f t="shared" si="3"/>
        <v>250</v>
      </c>
      <c r="M472" s="159" t="s">
        <v>330</v>
      </c>
      <c r="N472" s="85">
        <f>IF($F472="","",IFERROR(VLOOKUP($F472,Inventory!$A:$I,9,FALSE),0))</f>
        <v>190</v>
      </c>
      <c r="O472" s="85">
        <f t="shared" si="4"/>
        <v>190</v>
      </c>
      <c r="P472" s="85">
        <f t="shared" si="5"/>
        <v>60</v>
      </c>
      <c r="Q472" s="83"/>
      <c r="R472" s="118" t="str">
        <f>IF($E472="","",IF(COUNTIF($E$7:$E1669,$E472)&gt;1,"",IFERROR(VLOOKUP($E472,Orders!$A:$I,8,FALSE),"")))</f>
        <v/>
      </c>
      <c r="S472" s="118" t="str">
        <f>IF($E472="","",IF(COUNTIF($E$7:$E1669,$E472)&gt;1,"",IFERROR(VLOOKUP($E472,Orders!$A:$I,9,FALSE),"")))</f>
        <v/>
      </c>
      <c r="T472" s="88">
        <f t="shared" si="6"/>
        <v>60</v>
      </c>
      <c r="U472" s="88">
        <f>IF($F472="","",IF($E472="",T472,SUMIF(Sales!$E$7:$E$1506,$E472,Sales!$T$7:$T$1506)))</f>
        <v>60</v>
      </c>
      <c r="V472" s="49" t="str">
        <f t="shared" si="10"/>
        <v/>
      </c>
      <c r="W472" s="49" t="str">
        <f t="array" ref="W472">IF($V472="","",SUMPRODUCT((Sales!$V$7:$V$1506&lt;&gt;"")*(Sales!$E$7:$E$1506&lt;$E472))+1)</f>
        <v/>
      </c>
      <c r="X472" s="49">
        <f t="shared" si="11"/>
        <v>354</v>
      </c>
      <c r="Y472" s="49" t="str">
        <f t="shared" si="9"/>
        <v>202608-354</v>
      </c>
    </row>
    <row r="473" ht="14.25" customHeight="1">
      <c r="A473" s="161">
        <v>46264.0</v>
      </c>
      <c r="B473" s="165" t="s">
        <v>324</v>
      </c>
      <c r="C473" s="164" t="s">
        <v>365</v>
      </c>
      <c r="D473" s="165" t="s">
        <v>366</v>
      </c>
      <c r="E473" s="83"/>
      <c r="F473" s="159" t="s">
        <v>143</v>
      </c>
      <c r="G473" s="83" t="str">
        <f>IF($F473="","",IFERROR(VLOOKUP($F473,Inventory!$A:$B,2,FALSE),""))</f>
        <v>Cat Litter Box Large</v>
      </c>
      <c r="H473" s="159">
        <v>1.0</v>
      </c>
      <c r="I473" s="84">
        <f t="shared" si="2"/>
        <v>500</v>
      </c>
      <c r="J473" s="85">
        <f>IF($F473="","",IFERROR(VLOOKUP($F473,Inventory!$A:$K,11,FALSE),0))</f>
        <v>600</v>
      </c>
      <c r="K473" s="97">
        <v>100.0</v>
      </c>
      <c r="L473" s="85">
        <f t="shared" si="3"/>
        <v>500</v>
      </c>
      <c r="M473" s="159" t="s">
        <v>330</v>
      </c>
      <c r="N473" s="85">
        <f>IF($F473="","",IFERROR(VLOOKUP($F473,Inventory!$A:$I,9,FALSE),0))</f>
        <v>400</v>
      </c>
      <c r="O473" s="85">
        <f t="shared" si="4"/>
        <v>400</v>
      </c>
      <c r="P473" s="85">
        <f t="shared" si="5"/>
        <v>100</v>
      </c>
      <c r="Q473" s="83"/>
      <c r="R473" s="118" t="str">
        <f>IF($E473="","",IF(COUNTIF($E$7:$E1670,$E473)&gt;1,"",IFERROR(VLOOKUP($E473,Orders!$A:$I,8,FALSE),"")))</f>
        <v/>
      </c>
      <c r="S473" s="118" t="str">
        <f>IF($E473="","",IF(COUNTIF($E$7:$E1670,$E473)&gt;1,"",IFERROR(VLOOKUP($E473,Orders!$A:$I,9,FALSE),"")))</f>
        <v/>
      </c>
      <c r="T473" s="88">
        <f t="shared" si="6"/>
        <v>100</v>
      </c>
      <c r="U473" s="88">
        <f>IF($F473="","",IF($E473="",T473,SUMIF(Sales!$E$7:$E$1506,$E473,Sales!$T$7:$T$1506)))</f>
        <v>100</v>
      </c>
      <c r="V473" s="49" t="str">
        <f t="shared" si="10"/>
        <v/>
      </c>
      <c r="W473" s="49" t="str">
        <f t="array" ref="W473">IF($V473="","",SUMPRODUCT((Sales!$V$7:$V$1506&lt;&gt;"")*(Sales!$E$7:$E$1506&lt;$E473))+1)</f>
        <v/>
      </c>
      <c r="X473" s="49">
        <f t="shared" si="11"/>
        <v>354</v>
      </c>
      <c r="Y473" s="49" t="str">
        <f t="shared" si="9"/>
        <v>202608-354</v>
      </c>
    </row>
    <row r="474" ht="14.25" customHeight="1">
      <c r="A474" s="161">
        <v>46264.0</v>
      </c>
      <c r="B474" s="165" t="s">
        <v>324</v>
      </c>
      <c r="C474" s="164" t="s">
        <v>365</v>
      </c>
      <c r="D474" s="165" t="s">
        <v>366</v>
      </c>
      <c r="E474" s="83"/>
      <c r="F474" s="159" t="s">
        <v>159</v>
      </c>
      <c r="G474" s="83" t="str">
        <f>IF($F474="","",IFERROR(VLOOKUP($F474,Inventory!$A:$B,2,FALSE),""))</f>
        <v>Cat Litter Box Medium</v>
      </c>
      <c r="H474" s="159">
        <v>1.0</v>
      </c>
      <c r="I474" s="84">
        <f t="shared" si="2"/>
        <v>400</v>
      </c>
      <c r="J474" s="85">
        <f>IF($F474="","",IFERROR(VLOOKUP($F474,Inventory!$A:$K,11,FALSE),0))</f>
        <v>500</v>
      </c>
      <c r="K474" s="97">
        <v>100.0</v>
      </c>
      <c r="L474" s="85">
        <f t="shared" si="3"/>
        <v>400</v>
      </c>
      <c r="M474" s="159" t="s">
        <v>330</v>
      </c>
      <c r="N474" s="85">
        <f>IF($F474="","",IFERROR(VLOOKUP($F474,Inventory!$A:$I,9,FALSE),0))</f>
        <v>300</v>
      </c>
      <c r="O474" s="85">
        <f t="shared" si="4"/>
        <v>300</v>
      </c>
      <c r="P474" s="85">
        <f t="shared" si="5"/>
        <v>100</v>
      </c>
      <c r="Q474" s="83"/>
      <c r="R474" s="118" t="str">
        <f>IF($E474="","",IF(COUNTIF($E$7:$E1671,$E474)&gt;1,"",IFERROR(VLOOKUP($E474,Orders!$A:$I,8,FALSE),"")))</f>
        <v/>
      </c>
      <c r="S474" s="118" t="str">
        <f>IF($E474="","",IF(COUNTIF($E$7:$E1671,$E474)&gt;1,"",IFERROR(VLOOKUP($E474,Orders!$A:$I,9,FALSE),"")))</f>
        <v/>
      </c>
      <c r="T474" s="88">
        <f t="shared" si="6"/>
        <v>100</v>
      </c>
      <c r="U474" s="88">
        <f>IF($F474="","",IF($E474="",T474,SUMIF(Sales!$E$7:$E$1506,$E474,Sales!$T$7:$T$1506)))</f>
        <v>100</v>
      </c>
      <c r="V474" s="49" t="str">
        <f t="shared" si="10"/>
        <v/>
      </c>
      <c r="W474" s="49" t="str">
        <f t="array" ref="W474">IF($V474="","",SUMPRODUCT((Sales!$V$7:$V$1506&lt;&gt;"")*(Sales!$E$7:$E$1506&lt;$E474))+1)</f>
        <v/>
      </c>
      <c r="X474" s="49">
        <f t="shared" si="11"/>
        <v>354</v>
      </c>
      <c r="Y474" s="49" t="str">
        <f t="shared" si="9"/>
        <v>202608-354</v>
      </c>
    </row>
    <row r="475" ht="14.25" customHeight="1">
      <c r="A475" s="161">
        <v>46264.0</v>
      </c>
      <c r="B475" s="165" t="s">
        <v>324</v>
      </c>
      <c r="C475" s="164" t="s">
        <v>365</v>
      </c>
      <c r="D475" s="165" t="s">
        <v>366</v>
      </c>
      <c r="E475" s="83"/>
      <c r="F475" s="159" t="s">
        <v>354</v>
      </c>
      <c r="G475" s="83" t="str">
        <f>IF($F475="","",IFERROR(VLOOKUP($F475,Inventory!$A:$B,2,FALSE),""))</f>
        <v>Cat Food Single Bowl Steel Small</v>
      </c>
      <c r="H475" s="159">
        <v>1.0</v>
      </c>
      <c r="I475" s="84">
        <f t="shared" si="2"/>
        <v>200</v>
      </c>
      <c r="J475" s="85">
        <f>IF($F475="","",IFERROR(VLOOKUP($F475,Inventory!$A:$K,11,FALSE),0))</f>
        <v>250</v>
      </c>
      <c r="K475" s="97">
        <v>50.0</v>
      </c>
      <c r="L475" s="85">
        <f t="shared" si="3"/>
        <v>200</v>
      </c>
      <c r="M475" s="159" t="s">
        <v>330</v>
      </c>
      <c r="N475" s="85">
        <f>IF($F475="","",IFERROR(VLOOKUP($F475,Inventory!$A:$I,9,FALSE),0))</f>
        <v>175</v>
      </c>
      <c r="O475" s="85">
        <f t="shared" si="4"/>
        <v>175</v>
      </c>
      <c r="P475" s="85">
        <f t="shared" si="5"/>
        <v>25</v>
      </c>
      <c r="Q475" s="83"/>
      <c r="R475" s="118" t="str">
        <f>IF($E475="","",IF(COUNTIF($E$7:$E1672,$E475)&gt;1,"",IFERROR(VLOOKUP($E475,Orders!$A:$I,8,FALSE),"")))</f>
        <v/>
      </c>
      <c r="S475" s="118" t="str">
        <f>IF($E475="","",IF(COUNTIF($E$7:$E1672,$E475)&gt;1,"",IFERROR(VLOOKUP($E475,Orders!$A:$I,9,FALSE),"")))</f>
        <v/>
      </c>
      <c r="T475" s="88">
        <f t="shared" si="6"/>
        <v>25</v>
      </c>
      <c r="U475" s="88">
        <f>IF($F475="","",IF($E475="",T475,SUMIF(Sales!$E$7:$E$1506,$E475,Sales!$T$7:$T$1506)))</f>
        <v>25</v>
      </c>
      <c r="V475" s="49" t="str">
        <f t="shared" si="10"/>
        <v/>
      </c>
      <c r="W475" s="49" t="str">
        <f t="array" ref="W475">IF($V475="","",SUMPRODUCT((Sales!$V$7:$V$1506&lt;&gt;"")*(Sales!$E$7:$E$1506&lt;$E475))+1)</f>
        <v/>
      </c>
      <c r="X475" s="49">
        <f t="shared" si="11"/>
        <v>354</v>
      </c>
      <c r="Y475" s="49" t="str">
        <f t="shared" si="9"/>
        <v>202608-354</v>
      </c>
    </row>
    <row r="476" ht="14.25" customHeight="1">
      <c r="A476" s="161">
        <v>46264.0</v>
      </c>
      <c r="B476" s="165" t="s">
        <v>324</v>
      </c>
      <c r="C476" s="164" t="s">
        <v>365</v>
      </c>
      <c r="D476" s="165" t="s">
        <v>366</v>
      </c>
      <c r="E476" s="83"/>
      <c r="F476" s="159" t="s">
        <v>179</v>
      </c>
      <c r="G476" s="83" t="str">
        <f>IF($F476="","",IFERROR(VLOOKUP($F476,Inventory!$A:$B,2,FALSE),""))</f>
        <v>Creamy Treat 15G (Purry &amp; Hyper Paws)</v>
      </c>
      <c r="H476" s="159">
        <v>5.0</v>
      </c>
      <c r="I476" s="84">
        <f t="shared" si="2"/>
        <v>20</v>
      </c>
      <c r="J476" s="85">
        <f>IF($F476="","",IFERROR(VLOOKUP($F476,Inventory!$A:$K,11,FALSE),0))</f>
        <v>20</v>
      </c>
      <c r="K476" s="85"/>
      <c r="L476" s="85">
        <f t="shared" si="3"/>
        <v>100</v>
      </c>
      <c r="M476" s="159" t="s">
        <v>330</v>
      </c>
      <c r="N476" s="85">
        <f>IF($F476="","",IFERROR(VLOOKUP($F476,Inventory!$A:$I,9,FALSE),0))</f>
        <v>8.147411853</v>
      </c>
      <c r="O476" s="85">
        <f t="shared" si="4"/>
        <v>40.73705926</v>
      </c>
      <c r="P476" s="85">
        <f t="shared" si="5"/>
        <v>59.26294074</v>
      </c>
      <c r="Q476" s="83"/>
      <c r="R476" s="118" t="str">
        <f>IF($E476="","",IF(COUNTIF($E$7:$E1673,$E476)&gt;1,"",IFERROR(VLOOKUP($E476,Orders!$A:$I,8,FALSE),"")))</f>
        <v/>
      </c>
      <c r="S476" s="118" t="str">
        <f>IF($E476="","",IF(COUNTIF($E$7:$E1673,$E476)&gt;1,"",IFERROR(VLOOKUP($E476,Orders!$A:$I,9,FALSE),"")))</f>
        <v/>
      </c>
      <c r="T476" s="88">
        <f t="shared" si="6"/>
        <v>59.26294074</v>
      </c>
      <c r="U476" s="88">
        <f>IF($F476="","",IF($E476="",T476,SUMIF(Sales!$E$7:$E$1506,$E476,Sales!$T$7:$T$1506)))</f>
        <v>59.26294074</v>
      </c>
      <c r="V476" s="49" t="str">
        <f t="shared" si="10"/>
        <v/>
      </c>
      <c r="W476" s="49" t="str">
        <f t="array" ref="W476">IF($V476="","",SUMPRODUCT((Sales!$V$7:$V$1506&lt;&gt;"")*(Sales!$E$7:$E$1506&lt;$E476))+1)</f>
        <v/>
      </c>
      <c r="X476" s="49">
        <f t="shared" si="11"/>
        <v>354</v>
      </c>
      <c r="Y476" s="49" t="str">
        <f t="shared" si="9"/>
        <v>202608-354</v>
      </c>
    </row>
    <row r="477" ht="14.25" customHeight="1">
      <c r="A477" s="161">
        <v>46264.0</v>
      </c>
      <c r="B477" s="165" t="s">
        <v>324</v>
      </c>
      <c r="C477" s="164" t="s">
        <v>365</v>
      </c>
      <c r="D477" s="165" t="s">
        <v>366</v>
      </c>
      <c r="E477" s="83"/>
      <c r="F477" s="159" t="s">
        <v>516</v>
      </c>
      <c r="G477" s="83" t="str">
        <f>IF($F477="","",IFERROR(VLOOKUP($F477,Inventory!$A:$B,2,FALSE),""))</f>
        <v>Wanpy Fresh Tuna Fish Chicken &amp; Carrots Cat Meat Paste 90 gr</v>
      </c>
      <c r="H477" s="159">
        <v>1.0</v>
      </c>
      <c r="I477" s="84">
        <f t="shared" si="2"/>
        <v>120</v>
      </c>
      <c r="J477" s="85">
        <f>IF($F477="","",IFERROR(VLOOKUP($F477,Inventory!$A:$K,11,FALSE),0))</f>
        <v>150</v>
      </c>
      <c r="K477" s="97">
        <v>30.0</v>
      </c>
      <c r="L477" s="85">
        <f t="shared" si="3"/>
        <v>120</v>
      </c>
      <c r="M477" s="159" t="s">
        <v>330</v>
      </c>
      <c r="N477" s="85">
        <f>IF($F477="","",IFERROR(VLOOKUP($F477,Inventory!$A:$I,9,FALSE),0))</f>
        <v>100</v>
      </c>
      <c r="O477" s="85">
        <f t="shared" si="4"/>
        <v>100</v>
      </c>
      <c r="P477" s="85">
        <f t="shared" si="5"/>
        <v>20</v>
      </c>
      <c r="Q477" s="83"/>
      <c r="R477" s="118" t="str">
        <f>IF($E477="","",IF(COUNTIF($E$7:$E1674,$E477)&gt;1,"",IFERROR(VLOOKUP($E477,Orders!$A:$I,8,FALSE),"")))</f>
        <v/>
      </c>
      <c r="S477" s="118" t="str">
        <f>IF($E477="","",IF(COUNTIF($E$7:$E1674,$E477)&gt;1,"",IFERROR(VLOOKUP($E477,Orders!$A:$I,9,FALSE),"")))</f>
        <v/>
      </c>
      <c r="T477" s="88">
        <f t="shared" si="6"/>
        <v>20</v>
      </c>
      <c r="U477" s="88">
        <f>IF($F477="","",IF($E477="",T477,SUMIF(Sales!$E$7:$E$1506,$E477,Sales!$T$7:$T$1506)))</f>
        <v>20</v>
      </c>
      <c r="V477" s="49" t="str">
        <f t="shared" si="10"/>
        <v/>
      </c>
      <c r="W477" s="49" t="str">
        <f t="array" ref="W477">IF($V477="","",SUMPRODUCT((Sales!$V$7:$V$1506&lt;&gt;"")*(Sales!$E$7:$E$1506&lt;$E477))+1)</f>
        <v/>
      </c>
      <c r="X477" s="49">
        <f t="shared" si="11"/>
        <v>354</v>
      </c>
      <c r="Y477" s="49" t="str">
        <f t="shared" si="9"/>
        <v>202608-354</v>
      </c>
    </row>
    <row r="478" ht="14.25" customHeight="1">
      <c r="A478" s="161">
        <v>46264.0</v>
      </c>
      <c r="B478" s="165" t="s">
        <v>324</v>
      </c>
      <c r="C478" s="164" t="s">
        <v>365</v>
      </c>
      <c r="D478" s="165" t="s">
        <v>366</v>
      </c>
      <c r="E478" s="83"/>
      <c r="F478" s="159" t="s">
        <v>368</v>
      </c>
      <c r="G478" s="83" t="str">
        <f>IF($F478="","",IFERROR(VLOOKUP($F478,Inventory!$A:$B,2,FALSE),""))</f>
        <v>Petmetro Gino Pouch - Chicken &amp; Cat Grass - 100g</v>
      </c>
      <c r="H478" s="159">
        <v>1.0</v>
      </c>
      <c r="I478" s="84">
        <f t="shared" si="2"/>
        <v>100</v>
      </c>
      <c r="J478" s="85">
        <f>IF($F478="","",IFERROR(VLOOKUP($F478,Inventory!$A:$K,11,FALSE),0))</f>
        <v>110</v>
      </c>
      <c r="K478" s="97">
        <v>10.0</v>
      </c>
      <c r="L478" s="85">
        <f t="shared" si="3"/>
        <v>100</v>
      </c>
      <c r="M478" s="159" t="s">
        <v>330</v>
      </c>
      <c r="N478" s="85">
        <f>IF($F478="","",IFERROR(VLOOKUP($F478,Inventory!$A:$I,9,FALSE),0))</f>
        <v>85</v>
      </c>
      <c r="O478" s="85">
        <f t="shared" si="4"/>
        <v>85</v>
      </c>
      <c r="P478" s="85">
        <f t="shared" si="5"/>
        <v>15</v>
      </c>
      <c r="Q478" s="83"/>
      <c r="R478" s="118" t="str">
        <f>IF($E478="","",IF(COUNTIF($E$7:$E1675,$E478)&gt;1,"",IFERROR(VLOOKUP($E478,Orders!$A:$I,8,FALSE),"")))</f>
        <v/>
      </c>
      <c r="S478" s="118" t="str">
        <f>IF($E478="","",IF(COUNTIF($E$7:$E1675,$E478)&gt;1,"",IFERROR(VLOOKUP($E478,Orders!$A:$I,9,FALSE),"")))</f>
        <v/>
      </c>
      <c r="T478" s="88">
        <f t="shared" si="6"/>
        <v>15</v>
      </c>
      <c r="U478" s="88">
        <f>IF($F478="","",IF($E478="",T478,SUMIF(Sales!$E$7:$E$1506,$E478,Sales!$T$7:$T$1506)))</f>
        <v>15</v>
      </c>
      <c r="V478" s="49" t="str">
        <f t="shared" si="10"/>
        <v/>
      </c>
      <c r="W478" s="49" t="str">
        <f t="array" ref="W478">IF($V478="","",SUMPRODUCT((Sales!$V$7:$V$1506&lt;&gt;"")*(Sales!$E$7:$E$1506&lt;$E478))+1)</f>
        <v/>
      </c>
      <c r="X478" s="49">
        <f t="shared" si="11"/>
        <v>354</v>
      </c>
      <c r="Y478" s="49" t="str">
        <f t="shared" si="9"/>
        <v>202608-354</v>
      </c>
    </row>
    <row r="479" ht="14.25" customHeight="1">
      <c r="A479" s="161">
        <v>46264.0</v>
      </c>
      <c r="B479" s="165" t="s">
        <v>324</v>
      </c>
      <c r="C479" s="164" t="s">
        <v>365</v>
      </c>
      <c r="D479" s="165" t="s">
        <v>366</v>
      </c>
      <c r="E479" s="83"/>
      <c r="F479" s="159" t="s">
        <v>179</v>
      </c>
      <c r="G479" s="83" t="str">
        <f>IF($F479="","",IFERROR(VLOOKUP($F479,Inventory!$A:$B,2,FALSE),""))</f>
        <v>Creamy Treat 15G (Purry &amp; Hyper Paws)</v>
      </c>
      <c r="H479" s="159">
        <v>5.0</v>
      </c>
      <c r="I479" s="84">
        <f t="shared" si="2"/>
        <v>15</v>
      </c>
      <c r="J479" s="85">
        <f>IF($F479="","",IFERROR(VLOOKUP($F479,Inventory!$A:$K,11,FALSE),0))</f>
        <v>20</v>
      </c>
      <c r="K479" s="97">
        <v>5.0</v>
      </c>
      <c r="L479" s="85">
        <f t="shared" si="3"/>
        <v>75</v>
      </c>
      <c r="M479" s="159" t="s">
        <v>330</v>
      </c>
      <c r="N479" s="85">
        <f>IF($F479="","",IFERROR(VLOOKUP($F479,Inventory!$A:$I,9,FALSE),0))</f>
        <v>8.147411853</v>
      </c>
      <c r="O479" s="85">
        <f t="shared" si="4"/>
        <v>40.73705926</v>
      </c>
      <c r="P479" s="85">
        <f t="shared" si="5"/>
        <v>34.26294074</v>
      </c>
      <c r="Q479" s="83"/>
      <c r="R479" s="118" t="str">
        <f>IF($E479="","",IF(COUNTIF($E$7:$E1676,$E479)&gt;1,"",IFERROR(VLOOKUP($E479,Orders!$A:$I,8,FALSE),"")))</f>
        <v/>
      </c>
      <c r="S479" s="118" t="str">
        <f>IF($E479="","",IF(COUNTIF($E$7:$E1676,$E479)&gt;1,"",IFERROR(VLOOKUP($E479,Orders!$A:$I,9,FALSE),"")))</f>
        <v/>
      </c>
      <c r="T479" s="88">
        <f t="shared" si="6"/>
        <v>34.26294074</v>
      </c>
      <c r="U479" s="88">
        <f>IF($F479="","",IF($E479="",T479,SUMIF(Sales!$E$7:$E$1506,$E479,Sales!$T$7:$T$1506)))</f>
        <v>34.26294074</v>
      </c>
      <c r="V479" s="49" t="str">
        <f t="shared" si="10"/>
        <v/>
      </c>
      <c r="W479" s="49" t="str">
        <f t="array" ref="W479">IF($V479="","",SUMPRODUCT((Sales!$V$7:$V$1506&lt;&gt;"")*(Sales!$E$7:$E$1506&lt;$E479))+1)</f>
        <v/>
      </c>
      <c r="X479" s="49">
        <f t="shared" si="11"/>
        <v>354</v>
      </c>
      <c r="Y479" s="49" t="str">
        <f t="shared" si="9"/>
        <v>202608-354</v>
      </c>
    </row>
    <row r="480" ht="14.25" customHeight="1">
      <c r="A480" s="161">
        <v>46264.0</v>
      </c>
      <c r="B480" s="165" t="s">
        <v>324</v>
      </c>
      <c r="C480" s="164" t="s">
        <v>365</v>
      </c>
      <c r="D480" s="165" t="s">
        <v>366</v>
      </c>
      <c r="E480" s="83"/>
      <c r="F480" s="159" t="s">
        <v>386</v>
      </c>
      <c r="G480" s="83" t="str">
        <f>IF($F480="","",IFERROR(VLOOKUP($F480,Inventory!$A:$B,2,FALSE),""))</f>
        <v>LuminaCat Litter Lemon 5L</v>
      </c>
      <c r="H480" s="159">
        <v>1.0</v>
      </c>
      <c r="I480" s="84">
        <f t="shared" si="2"/>
        <v>250</v>
      </c>
      <c r="J480" s="85">
        <f>IF($F480="","",IFERROR(VLOOKUP($F480,Inventory!$A:$K,11,FALSE),0))</f>
        <v>280</v>
      </c>
      <c r="K480" s="97">
        <v>30.0</v>
      </c>
      <c r="L480" s="85">
        <f t="shared" si="3"/>
        <v>250</v>
      </c>
      <c r="M480" s="159" t="s">
        <v>330</v>
      </c>
      <c r="N480" s="85">
        <f>IF($F480="","",IFERROR(VLOOKUP($F480,Inventory!$A:$I,9,FALSE),0))</f>
        <v>190</v>
      </c>
      <c r="O480" s="85">
        <f t="shared" si="4"/>
        <v>190</v>
      </c>
      <c r="P480" s="85">
        <f t="shared" si="5"/>
        <v>60</v>
      </c>
      <c r="Q480" s="83"/>
      <c r="R480" s="118" t="str">
        <f>IF($E480="","",IF(COUNTIF($E$7:$E1677,$E480)&gt;1,"",IFERROR(VLOOKUP($E480,Orders!$A:$I,8,FALSE),"")))</f>
        <v/>
      </c>
      <c r="S480" s="118" t="str">
        <f>IF($E480="","",IF(COUNTIF($E$7:$E1677,$E480)&gt;1,"",IFERROR(VLOOKUP($E480,Orders!$A:$I,9,FALSE),"")))</f>
        <v/>
      </c>
      <c r="T480" s="88">
        <f t="shared" si="6"/>
        <v>60</v>
      </c>
      <c r="U480" s="88">
        <f>IF($F480="","",IF($E480="",T480,SUMIF(Sales!$E$7:$E$1506,$E480,Sales!$T$7:$T$1506)))</f>
        <v>60</v>
      </c>
      <c r="V480" s="49" t="str">
        <f t="shared" si="10"/>
        <v/>
      </c>
      <c r="W480" s="49" t="str">
        <f t="array" ref="W480">IF($V480="","",SUMPRODUCT((Sales!$V$7:$V$1506&lt;&gt;"")*(Sales!$E$7:$E$1506&lt;$E480))+1)</f>
        <v/>
      </c>
      <c r="X480" s="49">
        <f t="shared" si="11"/>
        <v>354</v>
      </c>
      <c r="Y480" s="49" t="str">
        <f t="shared" si="9"/>
        <v>202608-354</v>
      </c>
    </row>
    <row r="481" ht="14.25" customHeight="1">
      <c r="A481" s="161">
        <v>46264.0</v>
      </c>
      <c r="B481" s="165" t="s">
        <v>324</v>
      </c>
      <c r="C481" s="164" t="s">
        <v>365</v>
      </c>
      <c r="D481" s="165" t="s">
        <v>366</v>
      </c>
      <c r="E481" s="83"/>
      <c r="F481" s="159" t="s">
        <v>247</v>
      </c>
      <c r="G481" s="83" t="str">
        <f>IF($F481="","",IFERROR(VLOOKUP($F481,Inventory!$A:$B,2,FALSE),""))</f>
        <v>Cat Toy Long Wire (Fish, Ball )</v>
      </c>
      <c r="H481" s="159">
        <v>1.0</v>
      </c>
      <c r="I481" s="84">
        <f t="shared" si="2"/>
        <v>100</v>
      </c>
      <c r="J481" s="85">
        <f>IF($F481="","",IFERROR(VLOOKUP($F481,Inventory!$A:$K,11,FALSE),0))</f>
        <v>130</v>
      </c>
      <c r="K481" s="97">
        <v>30.0</v>
      </c>
      <c r="L481" s="85">
        <f t="shared" si="3"/>
        <v>100</v>
      </c>
      <c r="M481" s="159" t="s">
        <v>330</v>
      </c>
      <c r="N481" s="85">
        <f>IF($F481="","",IFERROR(VLOOKUP($F481,Inventory!$A:$I,9,FALSE),0))</f>
        <v>80</v>
      </c>
      <c r="O481" s="85">
        <f t="shared" si="4"/>
        <v>80</v>
      </c>
      <c r="P481" s="85">
        <f t="shared" si="5"/>
        <v>20</v>
      </c>
      <c r="Q481" s="83"/>
      <c r="R481" s="118" t="str">
        <f>IF($E481="","",IF(COUNTIF($E$7:$E1678,$E481)&gt;1,"",IFERROR(VLOOKUP($E481,Orders!$A:$I,8,FALSE),"")))</f>
        <v/>
      </c>
      <c r="S481" s="118" t="str">
        <f>IF($E481="","",IF(COUNTIF($E$7:$E1678,$E481)&gt;1,"",IFERROR(VLOOKUP($E481,Orders!$A:$I,9,FALSE),"")))</f>
        <v/>
      </c>
      <c r="T481" s="88">
        <f t="shared" si="6"/>
        <v>20</v>
      </c>
      <c r="U481" s="88">
        <f>IF($F481="","",IF($E481="",T481,SUMIF(Sales!$E$7:$E$1506,$E481,Sales!$T$7:$T$1506)))</f>
        <v>20</v>
      </c>
      <c r="V481" s="49" t="str">
        <f t="shared" si="10"/>
        <v/>
      </c>
      <c r="W481" s="49" t="str">
        <f t="array" ref="W481">IF($V481="","",SUMPRODUCT((Sales!$V$7:$V$1506&lt;&gt;"")*(Sales!$E$7:$E$1506&lt;$E481))+1)</f>
        <v/>
      </c>
      <c r="X481" s="49">
        <f t="shared" si="11"/>
        <v>354</v>
      </c>
      <c r="Y481" s="49" t="str">
        <f t="shared" si="9"/>
        <v>202608-354</v>
      </c>
    </row>
    <row r="482" ht="14.25" customHeight="1">
      <c r="A482" s="161">
        <v>46265.0</v>
      </c>
      <c r="B482" s="165" t="s">
        <v>324</v>
      </c>
      <c r="C482" s="164" t="s">
        <v>365</v>
      </c>
      <c r="D482" s="165" t="s">
        <v>366</v>
      </c>
      <c r="E482" s="83"/>
      <c r="F482" s="159" t="s">
        <v>179</v>
      </c>
      <c r="G482" s="83" t="str">
        <f>IF($F482="","",IFERROR(VLOOKUP($F482,Inventory!$A:$B,2,FALSE),""))</f>
        <v>Creamy Treat 15G (Purry &amp; Hyper Paws)</v>
      </c>
      <c r="H482" s="159">
        <v>4.0</v>
      </c>
      <c r="I482" s="84">
        <f t="shared" si="2"/>
        <v>17.5</v>
      </c>
      <c r="J482" s="85">
        <f>IF($F482="","",IFERROR(VLOOKUP($F482,Inventory!$A:$K,11,FALSE),0))</f>
        <v>20</v>
      </c>
      <c r="K482" s="97">
        <v>2.5</v>
      </c>
      <c r="L482" s="85">
        <f t="shared" si="3"/>
        <v>70</v>
      </c>
      <c r="M482" s="83"/>
      <c r="N482" s="85">
        <f>IF($F482="","",IFERROR(VLOOKUP($F482,Inventory!$A:$I,9,FALSE),0))</f>
        <v>8.147411853</v>
      </c>
      <c r="O482" s="85">
        <f t="shared" si="4"/>
        <v>32.58964741</v>
      </c>
      <c r="P482" s="85">
        <f t="shared" si="5"/>
        <v>37.41035259</v>
      </c>
      <c r="Q482" s="83"/>
      <c r="R482" s="118" t="str">
        <f>IF($E482="","",IF(COUNTIF($E$7:$E1679,$E482)&gt;1,"",IFERROR(VLOOKUP($E482,Orders!$A:$I,8,FALSE),"")))</f>
        <v/>
      </c>
      <c r="S482" s="118" t="str">
        <f>IF($E482="","",IF(COUNTIF($E$7:$E1679,$E482)&gt;1,"",IFERROR(VLOOKUP($E482,Orders!$A:$I,9,FALSE),"")))</f>
        <v/>
      </c>
      <c r="T482" s="88">
        <f t="shared" si="6"/>
        <v>37.41035259</v>
      </c>
      <c r="U482" s="88">
        <f>IF($F482="","",IF($E482="",T482,SUMIF(Sales!$E$7:$E$1506,$E482,Sales!$T$7:$T$1506)))</f>
        <v>37.41035259</v>
      </c>
      <c r="V482" s="49" t="str">
        <f t="shared" si="10"/>
        <v/>
      </c>
      <c r="W482" s="49" t="str">
        <f t="array" ref="W482">IF($V482="","",SUMPRODUCT((Sales!$V$7:$V$1506&lt;&gt;"")*(Sales!$E$7:$E$1506&lt;$E482))+1)</f>
        <v/>
      </c>
      <c r="X482" s="49">
        <f t="shared" si="11"/>
        <v>354</v>
      </c>
      <c r="Y482" s="49" t="str">
        <f t="shared" si="9"/>
        <v>202608-354</v>
      </c>
    </row>
    <row r="483" ht="14.25" customHeight="1">
      <c r="A483" s="161">
        <v>46265.0</v>
      </c>
      <c r="B483" s="165" t="s">
        <v>324</v>
      </c>
      <c r="C483" s="164" t="s">
        <v>365</v>
      </c>
      <c r="D483" s="165" t="s">
        <v>366</v>
      </c>
      <c r="E483" s="83"/>
      <c r="F483" s="159" t="s">
        <v>349</v>
      </c>
      <c r="G483" s="83" t="str">
        <f>IF($F483="","",IFERROR(VLOOKUP($F483,Inventory!$A:$B,2,FALSE),""))</f>
        <v>PAW Cat Food Kitten Can Fish</v>
      </c>
      <c r="H483" s="159">
        <v>1.0</v>
      </c>
      <c r="I483" s="84">
        <f t="shared" si="2"/>
        <v>190</v>
      </c>
      <c r="J483" s="85">
        <f>IF($F483="","",IFERROR(VLOOKUP($F483,Inventory!$A:$K,11,FALSE),0))</f>
        <v>190</v>
      </c>
      <c r="K483" s="85"/>
      <c r="L483" s="85">
        <f t="shared" si="3"/>
        <v>190</v>
      </c>
      <c r="M483" s="83"/>
      <c r="N483" s="85">
        <f>IF($F483="","",IFERROR(VLOOKUP($F483,Inventory!$A:$I,9,FALSE),0))</f>
        <v>130</v>
      </c>
      <c r="O483" s="85">
        <f t="shared" si="4"/>
        <v>130</v>
      </c>
      <c r="P483" s="85">
        <f t="shared" si="5"/>
        <v>60</v>
      </c>
      <c r="Q483" s="83"/>
      <c r="R483" s="118" t="str">
        <f>IF($E483="","",IF(COUNTIF($E$7:$E1680,$E483)&gt;1,"",IFERROR(VLOOKUP($E483,Orders!$A:$I,8,FALSE),"")))</f>
        <v/>
      </c>
      <c r="S483" s="118" t="str">
        <f>IF($E483="","",IF(COUNTIF($E$7:$E1680,$E483)&gt;1,"",IFERROR(VLOOKUP($E483,Orders!$A:$I,9,FALSE),"")))</f>
        <v/>
      </c>
      <c r="T483" s="88">
        <f t="shared" si="6"/>
        <v>60</v>
      </c>
      <c r="U483" s="88">
        <f>IF($F483="","",IF($E483="",T483,SUMIF(Sales!$E$7:$E$1506,$E483,Sales!$T$7:$T$1506)))</f>
        <v>60</v>
      </c>
      <c r="V483" s="49" t="str">
        <f t="shared" si="10"/>
        <v/>
      </c>
      <c r="W483" s="49" t="str">
        <f t="array" ref="W483">IF($V483="","",SUMPRODUCT((Sales!$V$7:$V$1506&lt;&gt;"")*(Sales!$E$7:$E$1506&lt;$E483))+1)</f>
        <v/>
      </c>
      <c r="X483" s="49">
        <f t="shared" si="11"/>
        <v>354</v>
      </c>
      <c r="Y483" s="49" t="str">
        <f t="shared" si="9"/>
        <v>202608-354</v>
      </c>
    </row>
    <row r="484" ht="14.25" customHeight="1">
      <c r="A484" s="161">
        <v>46265.0</v>
      </c>
      <c r="B484" s="165" t="s">
        <v>324</v>
      </c>
      <c r="C484" s="164" t="s">
        <v>365</v>
      </c>
      <c r="D484" s="165" t="s">
        <v>366</v>
      </c>
      <c r="E484" s="83"/>
      <c r="F484" s="159" t="s">
        <v>179</v>
      </c>
      <c r="G484" s="83" t="str">
        <f>IF($F484="","",IFERROR(VLOOKUP($F484,Inventory!$A:$B,2,FALSE),""))</f>
        <v>Creamy Treat 15G (Purry &amp; Hyper Paws)</v>
      </c>
      <c r="H484" s="159">
        <v>1.0</v>
      </c>
      <c r="I484" s="84">
        <f t="shared" si="2"/>
        <v>20</v>
      </c>
      <c r="J484" s="85">
        <f>IF($F484="","",IFERROR(VLOOKUP($F484,Inventory!$A:$K,11,FALSE),0))</f>
        <v>20</v>
      </c>
      <c r="K484" s="85"/>
      <c r="L484" s="85">
        <f t="shared" si="3"/>
        <v>20</v>
      </c>
      <c r="M484" s="83"/>
      <c r="N484" s="85">
        <f>IF($F484="","",IFERROR(VLOOKUP($F484,Inventory!$A:$I,9,FALSE),0))</f>
        <v>8.147411853</v>
      </c>
      <c r="O484" s="85">
        <f t="shared" si="4"/>
        <v>8.147411853</v>
      </c>
      <c r="P484" s="85">
        <f t="shared" si="5"/>
        <v>11.85258815</v>
      </c>
      <c r="Q484" s="83"/>
      <c r="R484" s="118" t="str">
        <f>IF($E484="","",IF(COUNTIF($E$7:$E1681,$E484)&gt;1,"",IFERROR(VLOOKUP($E484,Orders!$A:$I,8,FALSE),"")))</f>
        <v/>
      </c>
      <c r="S484" s="118" t="str">
        <f>IF($E484="","",IF(COUNTIF($E$7:$E1681,$E484)&gt;1,"",IFERROR(VLOOKUP($E484,Orders!$A:$I,9,FALSE),"")))</f>
        <v/>
      </c>
      <c r="T484" s="88">
        <f t="shared" si="6"/>
        <v>11.85258815</v>
      </c>
      <c r="U484" s="88">
        <f>IF($F484="","",IF($E484="",T484,SUMIF(Sales!$E$7:$E$1506,$E484,Sales!$T$7:$T$1506)))</f>
        <v>11.85258815</v>
      </c>
      <c r="V484" s="49" t="str">
        <f t="shared" si="10"/>
        <v/>
      </c>
      <c r="W484" s="49" t="str">
        <f t="array" ref="W484">IF($V484="","",SUMPRODUCT((Sales!$V$7:$V$1506&lt;&gt;"")*(Sales!$E$7:$E$1506&lt;$E484))+1)</f>
        <v/>
      </c>
      <c r="X484" s="49">
        <f t="shared" si="11"/>
        <v>354</v>
      </c>
      <c r="Y484" s="49" t="str">
        <f t="shared" si="9"/>
        <v>202608-354</v>
      </c>
    </row>
    <row r="485" ht="14.25" customHeight="1">
      <c r="A485" s="161">
        <v>46265.0</v>
      </c>
      <c r="B485" s="165" t="s">
        <v>324</v>
      </c>
      <c r="C485" s="164" t="s">
        <v>365</v>
      </c>
      <c r="D485" s="165" t="s">
        <v>366</v>
      </c>
      <c r="E485" s="83"/>
      <c r="F485" s="159" t="s">
        <v>363</v>
      </c>
      <c r="G485" s="83" t="str">
        <f>IF($F485="","",IFERROR(VLOOKUP($F485,Inventory!$A:$B,2,FALSE),""))</f>
        <v>Petmetro Pouch Complite Balance - Chicken Receipe - 100g</v>
      </c>
      <c r="H485" s="159">
        <v>1.0</v>
      </c>
      <c r="I485" s="84">
        <f t="shared" si="2"/>
        <v>90</v>
      </c>
      <c r="J485" s="85">
        <f>IF($F485="","",IFERROR(VLOOKUP($F485,Inventory!$A:$K,11,FALSE),0))</f>
        <v>100</v>
      </c>
      <c r="K485" s="97">
        <v>10.0</v>
      </c>
      <c r="L485" s="85">
        <f t="shared" si="3"/>
        <v>90</v>
      </c>
      <c r="M485" s="83"/>
      <c r="N485" s="85">
        <f>IF($F485="","",IFERROR(VLOOKUP($F485,Inventory!$A:$I,9,FALSE),0))</f>
        <v>70</v>
      </c>
      <c r="O485" s="85">
        <f t="shared" si="4"/>
        <v>70</v>
      </c>
      <c r="P485" s="85">
        <f t="shared" si="5"/>
        <v>20</v>
      </c>
      <c r="Q485" s="83"/>
      <c r="R485" s="118" t="str">
        <f>IF($E485="","",IF(COUNTIF($E$7:$E1682,$E485)&gt;1,"",IFERROR(VLOOKUP($E485,Orders!$A:$I,8,FALSE),"")))</f>
        <v/>
      </c>
      <c r="S485" s="118" t="str">
        <f>IF($E485="","",IF(COUNTIF($E$7:$E1682,$E485)&gt;1,"",IFERROR(VLOOKUP($E485,Orders!$A:$I,9,FALSE),"")))</f>
        <v/>
      </c>
      <c r="T485" s="88">
        <f t="shared" si="6"/>
        <v>20</v>
      </c>
      <c r="U485" s="88">
        <f>IF($F485="","",IF($E485="",T485,SUMIF(Sales!$E$7:$E$1506,$E485,Sales!$T$7:$T$1506)))</f>
        <v>20</v>
      </c>
      <c r="V485" s="49" t="str">
        <f t="shared" si="10"/>
        <v/>
      </c>
      <c r="W485" s="49" t="str">
        <f t="array" ref="W485">IF($V485="","",SUMPRODUCT((Sales!$V$7:$V$1506&lt;&gt;"")*(Sales!$E$7:$E$1506&lt;$E485))+1)</f>
        <v/>
      </c>
      <c r="X485" s="49">
        <f t="shared" si="11"/>
        <v>354</v>
      </c>
      <c r="Y485" s="49" t="str">
        <f t="shared" si="9"/>
        <v>202608-354</v>
      </c>
    </row>
    <row r="486" ht="14.25" customHeight="1">
      <c r="A486" s="161">
        <v>46265.0</v>
      </c>
      <c r="B486" s="165" t="s">
        <v>324</v>
      </c>
      <c r="C486" s="164" t="s">
        <v>365</v>
      </c>
      <c r="D486" s="165" t="s">
        <v>366</v>
      </c>
      <c r="E486" s="83"/>
      <c r="F486" s="159" t="s">
        <v>104</v>
      </c>
      <c r="G486" s="83" t="str">
        <f>IF($F486="","",IFERROR(VLOOKUP($F486,Inventory!$A:$B,2,FALSE),""))</f>
        <v>Nekko Pouch Tuna in Jelly</v>
      </c>
      <c r="H486" s="159">
        <v>1.0</v>
      </c>
      <c r="I486" s="84">
        <f t="shared" si="2"/>
        <v>90</v>
      </c>
      <c r="J486" s="85">
        <f>IF($F486="","",IFERROR(VLOOKUP($F486,Inventory!$A:$K,11,FALSE),0))</f>
        <v>90</v>
      </c>
      <c r="K486" s="97"/>
      <c r="L486" s="85">
        <f t="shared" si="3"/>
        <v>90</v>
      </c>
      <c r="M486" s="83"/>
      <c r="N486" s="85">
        <f>IF($F486="","",IFERROR(VLOOKUP($F486,Inventory!$A:$I,9,FALSE),0))</f>
        <v>65.17241379</v>
      </c>
      <c r="O486" s="85">
        <f t="shared" si="4"/>
        <v>65.17241379</v>
      </c>
      <c r="P486" s="85">
        <f t="shared" si="5"/>
        <v>24.82758621</v>
      </c>
      <c r="Q486" s="83"/>
      <c r="R486" s="118" t="str">
        <f>IF($E486="","",IF(COUNTIF($E$7:$E1683,$E486)&gt;1,"",IFERROR(VLOOKUP($E486,Orders!$A:$I,8,FALSE),"")))</f>
        <v/>
      </c>
      <c r="S486" s="118" t="str">
        <f>IF($E486="","",IF(COUNTIF($E$7:$E1683,$E486)&gt;1,"",IFERROR(VLOOKUP($E486,Orders!$A:$I,9,FALSE),"")))</f>
        <v/>
      </c>
      <c r="T486" s="88">
        <f t="shared" si="6"/>
        <v>24.82758621</v>
      </c>
      <c r="U486" s="88">
        <f>IF($F486="","",IF($E486="",T486,SUMIF(Sales!$E$7:$E$1506,$E486,Sales!$T$7:$T$1506)))</f>
        <v>24.82758621</v>
      </c>
      <c r="V486" s="49" t="str">
        <f t="shared" si="10"/>
        <v/>
      </c>
      <c r="W486" s="49" t="str">
        <f t="array" ref="W486">IF($V486="","",SUMPRODUCT((Sales!$V$7:$V$1506&lt;&gt;"")*(Sales!$E$7:$E$1506&lt;$E486))+1)</f>
        <v/>
      </c>
      <c r="X486" s="49">
        <f t="shared" si="11"/>
        <v>354</v>
      </c>
      <c r="Y486" s="49" t="str">
        <f t="shared" si="9"/>
        <v>202608-354</v>
      </c>
    </row>
    <row r="487" ht="14.25" customHeight="1">
      <c r="A487" s="161">
        <v>46265.0</v>
      </c>
      <c r="B487" s="165" t="s">
        <v>324</v>
      </c>
      <c r="C487" s="164" t="s">
        <v>365</v>
      </c>
      <c r="D487" s="165" t="s">
        <v>366</v>
      </c>
      <c r="E487" s="83"/>
      <c r="F487" s="159" t="s">
        <v>432</v>
      </c>
      <c r="G487" s="83" t="str">
        <f>IF($F487="","",IFERROR(VLOOKUP($F487,Inventory!$A:$B,2,FALSE),""))</f>
        <v>Taipet Kitten Dry Cat Food Chicken Milk &amp; Fish 400gm</v>
      </c>
      <c r="H487" s="159">
        <v>1.0</v>
      </c>
      <c r="I487" s="84">
        <f t="shared" si="2"/>
        <v>170</v>
      </c>
      <c r="J487" s="85">
        <f>IF($F487="","",IFERROR(VLOOKUP($F487,Inventory!$A:$K,11,FALSE),0))</f>
        <v>175</v>
      </c>
      <c r="K487" s="97">
        <v>5.0</v>
      </c>
      <c r="L487" s="85">
        <f t="shared" si="3"/>
        <v>170</v>
      </c>
      <c r="M487" s="83"/>
      <c r="N487" s="85">
        <f>IF($F487="","",IFERROR(VLOOKUP($F487,Inventory!$A:$I,9,FALSE),0))</f>
        <v>135</v>
      </c>
      <c r="O487" s="85">
        <f t="shared" si="4"/>
        <v>135</v>
      </c>
      <c r="P487" s="85">
        <f t="shared" si="5"/>
        <v>35</v>
      </c>
      <c r="Q487" s="83"/>
      <c r="R487" s="118" t="str">
        <f>IF($E487="","",IF(COUNTIF($E$7:$E1684,$E487)&gt;1,"",IFERROR(VLOOKUP($E487,Orders!$A:$I,8,FALSE),"")))</f>
        <v/>
      </c>
      <c r="S487" s="118" t="str">
        <f>IF($E487="","",IF(COUNTIF($E$7:$E1684,$E487)&gt;1,"",IFERROR(VLOOKUP($E487,Orders!$A:$I,9,FALSE),"")))</f>
        <v/>
      </c>
      <c r="T487" s="88">
        <f t="shared" si="6"/>
        <v>35</v>
      </c>
      <c r="U487" s="88">
        <f>IF($F487="","",IF($E487="",T487,SUMIF(Sales!$E$7:$E$1506,$E487,Sales!$T$7:$T$1506)))</f>
        <v>35</v>
      </c>
      <c r="V487" s="49" t="str">
        <f t="shared" si="10"/>
        <v/>
      </c>
      <c r="W487" s="49" t="str">
        <f t="array" ref="W487">IF($V487="","",SUMPRODUCT((Sales!$V$7:$V$1506&lt;&gt;"")*(Sales!$E$7:$E$1506&lt;$E487))+1)</f>
        <v/>
      </c>
      <c r="X487" s="49">
        <f t="shared" si="11"/>
        <v>354</v>
      </c>
      <c r="Y487" s="49" t="str">
        <f t="shared" si="9"/>
        <v>202608-354</v>
      </c>
    </row>
    <row r="488" ht="14.25" customHeight="1">
      <c r="A488" s="161">
        <v>46265.0</v>
      </c>
      <c r="B488" s="165" t="s">
        <v>324</v>
      </c>
      <c r="C488" s="164" t="s">
        <v>365</v>
      </c>
      <c r="D488" s="165" t="s">
        <v>366</v>
      </c>
      <c r="E488" s="83"/>
      <c r="F488" s="159" t="s">
        <v>179</v>
      </c>
      <c r="G488" s="83" t="str">
        <f>IF($F488="","",IFERROR(VLOOKUP($F488,Inventory!$A:$B,2,FALSE),""))</f>
        <v>Creamy Treat 15G (Purry &amp; Hyper Paws)</v>
      </c>
      <c r="H488" s="159">
        <v>3.0</v>
      </c>
      <c r="I488" s="84">
        <f t="shared" si="2"/>
        <v>20</v>
      </c>
      <c r="J488" s="85">
        <f>IF($F488="","",IFERROR(VLOOKUP($F488,Inventory!$A:$K,11,FALSE),0))</f>
        <v>20</v>
      </c>
      <c r="K488" s="85"/>
      <c r="L488" s="85">
        <f t="shared" si="3"/>
        <v>60</v>
      </c>
      <c r="M488" s="83"/>
      <c r="N488" s="85">
        <f>IF($F488="","",IFERROR(VLOOKUP($F488,Inventory!$A:$I,9,FALSE),0))</f>
        <v>8.147411853</v>
      </c>
      <c r="O488" s="85">
        <f t="shared" si="4"/>
        <v>24.44223556</v>
      </c>
      <c r="P488" s="85">
        <f t="shared" si="5"/>
        <v>35.55776444</v>
      </c>
      <c r="Q488" s="83"/>
      <c r="R488" s="118" t="str">
        <f>IF($E488="","",IF(COUNTIF($E$7:$E1685,$E488)&gt;1,"",IFERROR(VLOOKUP($E488,Orders!$A:$I,8,FALSE),"")))</f>
        <v/>
      </c>
      <c r="S488" s="118" t="str">
        <f>IF($E488="","",IF(COUNTIF($E$7:$E1685,$E488)&gt;1,"",IFERROR(VLOOKUP($E488,Orders!$A:$I,9,FALSE),"")))</f>
        <v/>
      </c>
      <c r="T488" s="88">
        <f t="shared" si="6"/>
        <v>35.55776444</v>
      </c>
      <c r="U488" s="88">
        <f>IF($F488="","",IF($E488="",T488,SUMIF(Sales!$E$7:$E$1506,$E488,Sales!$T$7:$T$1506)))</f>
        <v>35.55776444</v>
      </c>
      <c r="V488" s="49" t="str">
        <f t="shared" si="10"/>
        <v/>
      </c>
      <c r="W488" s="49" t="str">
        <f t="array" ref="W488">IF($V488="","",SUMPRODUCT((Sales!$V$7:$V$1506&lt;&gt;"")*(Sales!$E$7:$E$1506&lt;$E488))+1)</f>
        <v/>
      </c>
      <c r="X488" s="49">
        <f t="shared" si="11"/>
        <v>354</v>
      </c>
      <c r="Y488" s="49" t="str">
        <f t="shared" si="9"/>
        <v>202608-354</v>
      </c>
    </row>
    <row r="489" ht="14.25" customHeight="1">
      <c r="A489" s="161">
        <v>46265.0</v>
      </c>
      <c r="B489" s="165" t="s">
        <v>324</v>
      </c>
      <c r="C489" s="164" t="s">
        <v>365</v>
      </c>
      <c r="D489" s="165" t="s">
        <v>366</v>
      </c>
      <c r="E489" s="83"/>
      <c r="F489" s="159" t="s">
        <v>179</v>
      </c>
      <c r="G489" s="83" t="str">
        <f>IF($F489="","",IFERROR(VLOOKUP($F489,Inventory!$A:$B,2,FALSE),""))</f>
        <v>Creamy Treat 15G (Purry &amp; Hyper Paws)</v>
      </c>
      <c r="H489" s="159">
        <v>1.0</v>
      </c>
      <c r="I489" s="84">
        <f t="shared" si="2"/>
        <v>20</v>
      </c>
      <c r="J489" s="85">
        <f>IF($F489="","",IFERROR(VLOOKUP($F489,Inventory!$A:$K,11,FALSE),0))</f>
        <v>20</v>
      </c>
      <c r="K489" s="85"/>
      <c r="L489" s="85">
        <f t="shared" si="3"/>
        <v>20</v>
      </c>
      <c r="M489" s="83"/>
      <c r="N489" s="85">
        <f>IF($F489="","",IFERROR(VLOOKUP($F489,Inventory!$A:$I,9,FALSE),0))</f>
        <v>8.147411853</v>
      </c>
      <c r="O489" s="85">
        <f t="shared" si="4"/>
        <v>8.147411853</v>
      </c>
      <c r="P489" s="85">
        <f t="shared" si="5"/>
        <v>11.85258815</v>
      </c>
      <c r="Q489" s="83"/>
      <c r="R489" s="118" t="str">
        <f>IF($E489="","",IF(COUNTIF($E$7:$E1686,$E489)&gt;1,"",IFERROR(VLOOKUP($E489,Orders!$A:$I,8,FALSE),"")))</f>
        <v/>
      </c>
      <c r="S489" s="118" t="str">
        <f>IF($E489="","",IF(COUNTIF($E$7:$E1686,$E489)&gt;1,"",IFERROR(VLOOKUP($E489,Orders!$A:$I,9,FALSE),"")))</f>
        <v/>
      </c>
      <c r="T489" s="88">
        <f t="shared" si="6"/>
        <v>11.85258815</v>
      </c>
      <c r="U489" s="88">
        <f>IF($F489="","",IF($E489="",T489,SUMIF(Sales!$E$7:$E$1506,$E489,Sales!$T$7:$T$1506)))</f>
        <v>11.85258815</v>
      </c>
      <c r="V489" s="49" t="str">
        <f t="shared" si="10"/>
        <v/>
      </c>
      <c r="W489" s="49" t="str">
        <f t="array" ref="W489">IF($V489="","",SUMPRODUCT((Sales!$V$7:$V$1506&lt;&gt;"")*(Sales!$E$7:$E$1506&lt;$E489))+1)</f>
        <v/>
      </c>
      <c r="X489" s="49">
        <f t="shared" si="11"/>
        <v>354</v>
      </c>
      <c r="Y489" s="49" t="str">
        <f t="shared" si="9"/>
        <v>202608-354</v>
      </c>
    </row>
    <row r="490" ht="14.25" customHeight="1">
      <c r="A490" s="161">
        <v>46265.0</v>
      </c>
      <c r="B490" s="165" t="s">
        <v>324</v>
      </c>
      <c r="C490" s="164" t="s">
        <v>365</v>
      </c>
      <c r="D490" s="165" t="s">
        <v>366</v>
      </c>
      <c r="E490" s="83"/>
      <c r="F490" s="159" t="s">
        <v>378</v>
      </c>
      <c r="G490" s="83" t="str">
        <f>IF($F490="","",IFERROR(VLOOKUP($F490,Inventory!$A:$B,2,FALSE),""))</f>
        <v>Drools &amp; Purepet Mixe Cat Food 500gm</v>
      </c>
      <c r="H490" s="159">
        <v>2.0</v>
      </c>
      <c r="I490" s="84">
        <f t="shared" si="2"/>
        <v>225</v>
      </c>
      <c r="J490" s="85">
        <f>IF($F490="","",IFERROR(VLOOKUP($F490,Inventory!$A:$K,11,FALSE),0))</f>
        <v>225</v>
      </c>
      <c r="K490" s="85"/>
      <c r="L490" s="85">
        <f t="shared" si="3"/>
        <v>450</v>
      </c>
      <c r="M490" s="83"/>
      <c r="N490" s="85">
        <f>IF($F490="","",IFERROR(VLOOKUP($F490,Inventory!$A:$I,9,FALSE),0))</f>
        <v>152.9310345</v>
      </c>
      <c r="O490" s="85">
        <f t="shared" si="4"/>
        <v>305.862069</v>
      </c>
      <c r="P490" s="85">
        <f t="shared" si="5"/>
        <v>144.137931</v>
      </c>
      <c r="Q490" s="83"/>
      <c r="R490" s="118" t="str">
        <f>IF($E490="","",IF(COUNTIF($E$7:$E1687,$E490)&gt;1,"",IFERROR(VLOOKUP($E490,Orders!$A:$I,8,FALSE),"")))</f>
        <v/>
      </c>
      <c r="S490" s="118" t="str">
        <f>IF($E490="","",IF(COUNTIF($E$7:$E1687,$E490)&gt;1,"",IFERROR(VLOOKUP($E490,Orders!$A:$I,9,FALSE),"")))</f>
        <v/>
      </c>
      <c r="T490" s="88">
        <f t="shared" si="6"/>
        <v>144.137931</v>
      </c>
      <c r="U490" s="88">
        <f>IF($F490="","",IF($E490="",T490,SUMIF(Sales!$E$7:$E$1506,$E490,Sales!$T$7:$T$1506)))</f>
        <v>144.137931</v>
      </c>
      <c r="V490" s="49" t="str">
        <f t="shared" si="10"/>
        <v/>
      </c>
      <c r="W490" s="49" t="str">
        <f t="array" ref="W490">IF($V490="","",SUMPRODUCT((Sales!$V$7:$V$1506&lt;&gt;"")*(Sales!$E$7:$E$1506&lt;$E490))+1)</f>
        <v/>
      </c>
      <c r="X490" s="49">
        <f t="shared" si="11"/>
        <v>354</v>
      </c>
      <c r="Y490" s="49" t="str">
        <f t="shared" si="9"/>
        <v>202608-354</v>
      </c>
    </row>
    <row r="491" ht="14.25" customHeight="1">
      <c r="A491" s="161">
        <v>46265.0</v>
      </c>
      <c r="B491" s="165" t="s">
        <v>324</v>
      </c>
      <c r="C491" s="164" t="s">
        <v>365</v>
      </c>
      <c r="D491" s="165" t="s">
        <v>366</v>
      </c>
      <c r="E491" s="83"/>
      <c r="F491" s="159" t="s">
        <v>209</v>
      </c>
      <c r="G491" s="83" t="str">
        <f>IF($F491="","",IFERROR(VLOOKUP($F491,Inventory!$A:$B,2,FALSE),""))</f>
        <v>Smart Heart Pouch Tuna in Jelly Kitten</v>
      </c>
      <c r="H491" s="159">
        <v>1.0</v>
      </c>
      <c r="I491" s="84">
        <f t="shared" si="2"/>
        <v>85</v>
      </c>
      <c r="J491" s="85">
        <f>IF($F491="","",IFERROR(VLOOKUP($F491,Inventory!$A:$K,11,FALSE),0))</f>
        <v>95</v>
      </c>
      <c r="K491" s="97">
        <v>10.0</v>
      </c>
      <c r="L491" s="85">
        <f t="shared" si="3"/>
        <v>85</v>
      </c>
      <c r="M491" s="83"/>
      <c r="N491" s="85">
        <f>IF($F491="","",IFERROR(VLOOKUP($F491,Inventory!$A:$I,9,FALSE),0))</f>
        <v>72</v>
      </c>
      <c r="O491" s="85">
        <f t="shared" si="4"/>
        <v>72</v>
      </c>
      <c r="P491" s="85">
        <f t="shared" si="5"/>
        <v>13</v>
      </c>
      <c r="Q491" s="83"/>
      <c r="R491" s="118" t="str">
        <f>IF($E491="","",IF(COUNTIF($E$7:$E1688,$E491)&gt;1,"",IFERROR(VLOOKUP($E491,Orders!$A:$I,8,FALSE),"")))</f>
        <v/>
      </c>
      <c r="S491" s="118" t="str">
        <f>IF($E491="","",IF(COUNTIF($E$7:$E1688,$E491)&gt;1,"",IFERROR(VLOOKUP($E491,Orders!$A:$I,9,FALSE),"")))</f>
        <v/>
      </c>
      <c r="T491" s="88">
        <f t="shared" si="6"/>
        <v>13</v>
      </c>
      <c r="U491" s="88">
        <f>IF($F491="","",IF($E491="",T491,SUMIF(Sales!$E$7:$E$1506,$E491,Sales!$T$7:$T$1506)))</f>
        <v>13</v>
      </c>
      <c r="V491" s="49" t="str">
        <f t="shared" si="10"/>
        <v/>
      </c>
      <c r="W491" s="49" t="str">
        <f t="array" ref="W491">IF($V491="","",SUMPRODUCT((Sales!$V$7:$V$1506&lt;&gt;"")*(Sales!$E$7:$E$1506&lt;$E491))+1)</f>
        <v/>
      </c>
      <c r="X491" s="49">
        <f t="shared" si="11"/>
        <v>354</v>
      </c>
      <c r="Y491" s="49" t="str">
        <f t="shared" si="9"/>
        <v>202608-354</v>
      </c>
    </row>
    <row r="492" ht="14.25" customHeight="1">
      <c r="A492" s="161">
        <v>46265.0</v>
      </c>
      <c r="B492" s="165" t="s">
        <v>324</v>
      </c>
      <c r="C492" s="164" t="s">
        <v>365</v>
      </c>
      <c r="D492" s="165" t="s">
        <v>366</v>
      </c>
      <c r="E492" s="83"/>
      <c r="F492" s="159" t="s">
        <v>179</v>
      </c>
      <c r="G492" s="83" t="str">
        <f>IF($F492="","",IFERROR(VLOOKUP($F492,Inventory!$A:$B,2,FALSE),""))</f>
        <v>Creamy Treat 15G (Purry &amp; Hyper Paws)</v>
      </c>
      <c r="H492" s="159">
        <v>1.0</v>
      </c>
      <c r="I492" s="84">
        <f t="shared" si="2"/>
        <v>15</v>
      </c>
      <c r="J492" s="85">
        <f>IF($F492="","",IFERROR(VLOOKUP($F492,Inventory!$A:$K,11,FALSE),0))</f>
        <v>20</v>
      </c>
      <c r="K492" s="97">
        <v>5.0</v>
      </c>
      <c r="L492" s="85">
        <f t="shared" si="3"/>
        <v>15</v>
      </c>
      <c r="M492" s="83"/>
      <c r="N492" s="85">
        <f>IF($F492="","",IFERROR(VLOOKUP($F492,Inventory!$A:$I,9,FALSE),0))</f>
        <v>8.147411853</v>
      </c>
      <c r="O492" s="85">
        <f t="shared" si="4"/>
        <v>8.147411853</v>
      </c>
      <c r="P492" s="85">
        <f t="shared" si="5"/>
        <v>6.852588147</v>
      </c>
      <c r="Q492" s="83"/>
      <c r="R492" s="118" t="str">
        <f>IF($E492="","",IF(COUNTIF($E$7:$E1689,$E492)&gt;1,"",IFERROR(VLOOKUP($E492,Orders!$A:$I,8,FALSE),"")))</f>
        <v/>
      </c>
      <c r="S492" s="118" t="str">
        <f>IF($E492="","",IF(COUNTIF($E$7:$E1689,$E492)&gt;1,"",IFERROR(VLOOKUP($E492,Orders!$A:$I,9,FALSE),"")))</f>
        <v/>
      </c>
      <c r="T492" s="88">
        <f t="shared" si="6"/>
        <v>6.852588147</v>
      </c>
      <c r="U492" s="88">
        <f>IF($F492="","",IF($E492="",T492,SUMIF(Sales!$E$7:$E$1506,$E492,Sales!$T$7:$T$1506)))</f>
        <v>6.852588147</v>
      </c>
      <c r="V492" s="49" t="str">
        <f t="shared" si="10"/>
        <v/>
      </c>
      <c r="W492" s="49" t="str">
        <f t="array" ref="W492">IF($V492="","",SUMPRODUCT((Sales!$V$7:$V$1506&lt;&gt;"")*(Sales!$E$7:$E$1506&lt;$E492))+1)</f>
        <v/>
      </c>
      <c r="X492" s="49">
        <f t="shared" si="11"/>
        <v>354</v>
      </c>
      <c r="Y492" s="49" t="str">
        <f t="shared" si="9"/>
        <v>202608-354</v>
      </c>
    </row>
    <row r="493" ht="14.25" customHeight="1">
      <c r="A493" s="161">
        <v>46265.0</v>
      </c>
      <c r="B493" s="165" t="s">
        <v>324</v>
      </c>
      <c r="C493" s="164" t="s">
        <v>365</v>
      </c>
      <c r="D493" s="115" t="s">
        <v>595</v>
      </c>
      <c r="E493" s="159" t="s">
        <v>696</v>
      </c>
      <c r="F493" s="159" t="s">
        <v>205</v>
      </c>
      <c r="G493" s="83" t="str">
        <f>IF($F493="","",IFERROR(VLOOKUP($F493,Inventory!$A:$B,2,FALSE),""))</f>
        <v>Nekko Pouch 70G Tuna in Gravy</v>
      </c>
      <c r="H493" s="159">
        <v>1.0</v>
      </c>
      <c r="I493" s="84">
        <f t="shared" si="2"/>
        <v>82</v>
      </c>
      <c r="J493" s="85">
        <f>IF($F493="","",IFERROR(VLOOKUP($F493,Inventory!$A:$K,11,FALSE),0))</f>
        <v>85</v>
      </c>
      <c r="K493" s="97">
        <v>3.0</v>
      </c>
      <c r="L493" s="85">
        <f t="shared" si="3"/>
        <v>82</v>
      </c>
      <c r="M493" s="159" t="s">
        <v>596</v>
      </c>
      <c r="N493" s="85">
        <f>IF($F493="","",IFERROR(VLOOKUP($F493,Inventory!$A:$I,9,FALSE),0))</f>
        <v>65</v>
      </c>
      <c r="O493" s="85">
        <f t="shared" si="4"/>
        <v>65</v>
      </c>
      <c r="P493" s="85">
        <f t="shared" si="5"/>
        <v>17</v>
      </c>
      <c r="Q493" s="83"/>
      <c r="R493" s="118" t="str">
        <f>IF($E493="","",IF(COUNTIF($E$7:$E1690,$E493)&gt;1,"",IFERROR(VLOOKUP($E493,Orders!$A:$I,8,FALSE),"")))</f>
        <v/>
      </c>
      <c r="S493" s="118" t="str">
        <f>IF($E493="","",IF(COUNTIF($E$7:$E1690,$E493)&gt;1,"",IFERROR(VLOOKUP($E493,Orders!$A:$I,9,FALSE),"")))</f>
        <v/>
      </c>
      <c r="T493" s="88">
        <f t="shared" si="6"/>
        <v>17</v>
      </c>
      <c r="U493" s="88">
        <f>IF($F493="","",IF($E493="",T493,SUMIF(Sales!$E$7:$E$1506,$E493,Sales!$T$7:$T$1506)))</f>
        <v>170.6801744</v>
      </c>
      <c r="V493" s="49" t="str">
        <f t="shared" si="10"/>
        <v/>
      </c>
      <c r="W493" s="49" t="str">
        <f t="array" ref="W493">IF($V493="","",SUMPRODUCT((Sales!$V$7:$V$1506&lt;&gt;"")*(Sales!$E$7:$E$1506&lt;$E493))+1)</f>
        <v/>
      </c>
      <c r="X493" s="49">
        <f t="shared" si="11"/>
        <v>354</v>
      </c>
      <c r="Y493" s="49" t="str">
        <f t="shared" si="9"/>
        <v>202608-354</v>
      </c>
    </row>
    <row r="494" ht="14.25" customHeight="1">
      <c r="A494" s="161">
        <v>46265.0</v>
      </c>
      <c r="B494" s="165" t="s">
        <v>324</v>
      </c>
      <c r="C494" s="164" t="s">
        <v>365</v>
      </c>
      <c r="D494" s="165" t="s">
        <v>366</v>
      </c>
      <c r="E494" s="159" t="s">
        <v>696</v>
      </c>
      <c r="F494" s="159" t="s">
        <v>559</v>
      </c>
      <c r="G494" s="83" t="str">
        <f>IF($F494="","",IFERROR(VLOOKUP($F494,Inventory!$A:$B,2,FALSE),""))</f>
        <v>Taipet Multivitamin Treat 15gm</v>
      </c>
      <c r="H494" s="159">
        <v>1.0</v>
      </c>
      <c r="I494" s="84">
        <f t="shared" si="2"/>
        <v>40</v>
      </c>
      <c r="J494" s="85">
        <f>IF($F494="","",IFERROR(VLOOKUP($F494,Inventory!$A:$K,11,FALSE),0))</f>
        <v>40</v>
      </c>
      <c r="K494" s="85"/>
      <c r="L494" s="85">
        <f t="shared" si="3"/>
        <v>40</v>
      </c>
      <c r="M494" s="159" t="s">
        <v>596</v>
      </c>
      <c r="N494" s="85">
        <f>IF($F494="","",IFERROR(VLOOKUP($F494,Inventory!$A:$I,9,FALSE),0))</f>
        <v>20</v>
      </c>
      <c r="O494" s="85">
        <f t="shared" si="4"/>
        <v>20</v>
      </c>
      <c r="P494" s="85">
        <f t="shared" si="5"/>
        <v>20</v>
      </c>
      <c r="Q494" s="83"/>
      <c r="R494" s="118" t="str">
        <f>IF($E494="","",IF(COUNTIF($E$7:$E1691,$E494)&gt;1,"",IFERROR(VLOOKUP($E494,Orders!$A:$I,8,FALSE),"")))</f>
        <v/>
      </c>
      <c r="S494" s="118" t="str">
        <f>IF($E494="","",IF(COUNTIF($E$7:$E1691,$E494)&gt;1,"",IFERROR(VLOOKUP($E494,Orders!$A:$I,9,FALSE),"")))</f>
        <v/>
      </c>
      <c r="T494" s="88">
        <f t="shared" si="6"/>
        <v>20</v>
      </c>
      <c r="U494" s="88">
        <f>IF($F494="","",IF($E494="",T494,SUMIF(Sales!$E$7:$E$1506,$E494,Sales!$T$7:$T$1506)))</f>
        <v>170.6801744</v>
      </c>
      <c r="V494" s="49" t="str">
        <f t="shared" si="10"/>
        <v/>
      </c>
      <c r="W494" s="49" t="str">
        <f t="array" ref="W494">IF($V494="","",SUMPRODUCT((Sales!$V$7:$V$1506&lt;&gt;"")*(Sales!$E$7:$E$1506&lt;$E494))+1)</f>
        <v/>
      </c>
      <c r="X494" s="49">
        <f t="shared" si="11"/>
        <v>354</v>
      </c>
      <c r="Y494" s="49" t="str">
        <f t="shared" si="9"/>
        <v>202608-354</v>
      </c>
    </row>
    <row r="495" ht="14.25" customHeight="1">
      <c r="A495" s="161">
        <v>46266.0</v>
      </c>
      <c r="B495" s="165" t="s">
        <v>324</v>
      </c>
      <c r="C495" s="164" t="s">
        <v>365</v>
      </c>
      <c r="D495" s="165" t="s">
        <v>366</v>
      </c>
      <c r="E495" s="83"/>
      <c r="F495" s="159" t="s">
        <v>429</v>
      </c>
      <c r="G495" s="83" t="str">
        <f>IF($F495="","",IFERROR(VLOOKUP($F495,Inventory!$A:$B,2,FALSE),""))</f>
        <v>Taipet Adult Dry Cat Food Chicken &amp; Tuna 400gm</v>
      </c>
      <c r="H495" s="159">
        <v>1.0</v>
      </c>
      <c r="I495" s="84">
        <f t="shared" si="2"/>
        <v>170</v>
      </c>
      <c r="J495" s="85">
        <f>IF($F495="","",IFERROR(VLOOKUP($F495,Inventory!$A:$K,11,FALSE),0))</f>
        <v>175</v>
      </c>
      <c r="K495" s="97">
        <v>5.0</v>
      </c>
      <c r="L495" s="85">
        <f t="shared" si="3"/>
        <v>170</v>
      </c>
      <c r="M495" s="159" t="s">
        <v>330</v>
      </c>
      <c r="N495" s="85">
        <f>IF($F495="","",IFERROR(VLOOKUP($F495,Inventory!$A:$I,9,FALSE),0))</f>
        <v>135</v>
      </c>
      <c r="O495" s="85">
        <f t="shared" si="4"/>
        <v>135</v>
      </c>
      <c r="P495" s="85">
        <f t="shared" si="5"/>
        <v>35</v>
      </c>
      <c r="Q495" s="83"/>
      <c r="R495" s="118" t="str">
        <f>IF($E495="","",IF(COUNTIF($E$7:$E1692,$E495)&gt;1,"",IFERROR(VLOOKUP($E495,Orders!$A:$I,8,FALSE),"")))</f>
        <v/>
      </c>
      <c r="S495" s="118" t="str">
        <f>IF($E495="","",IF(COUNTIF($E$7:$E1692,$E495)&gt;1,"",IFERROR(VLOOKUP($E495,Orders!$A:$I,9,FALSE),"")))</f>
        <v/>
      </c>
      <c r="T495" s="88">
        <f t="shared" si="6"/>
        <v>35</v>
      </c>
      <c r="U495" s="88">
        <f>IF($F495="","",IF($E495="",T495,SUMIF(Sales!$E$7:$E$1506,$E495,Sales!$T$7:$T$1506)))</f>
        <v>35</v>
      </c>
      <c r="V495" s="49" t="str">
        <f t="shared" si="10"/>
        <v/>
      </c>
      <c r="W495" s="49" t="str">
        <f t="array" ref="W495">IF($V495="","",SUMPRODUCT((Sales!$V$7:$V$1506&lt;&gt;"")*(Sales!$E$7:$E$1506&lt;$E495))+1)</f>
        <v/>
      </c>
      <c r="X495" s="49">
        <f t="shared" si="11"/>
        <v>23</v>
      </c>
      <c r="Y495" s="49" t="str">
        <f t="shared" si="9"/>
        <v>202609-23</v>
      </c>
    </row>
    <row r="496" ht="14.25" customHeight="1">
      <c r="A496" s="161">
        <v>46266.0</v>
      </c>
      <c r="B496" s="165" t="s">
        <v>324</v>
      </c>
      <c r="C496" s="164" t="s">
        <v>365</v>
      </c>
      <c r="D496" s="165" t="s">
        <v>366</v>
      </c>
      <c r="E496" s="83"/>
      <c r="F496" s="159" t="s">
        <v>98</v>
      </c>
      <c r="G496" s="83" t="str">
        <f>IF($F496="","",IFERROR(VLOOKUP($F496,Inventory!$A:$B,2,FALSE),""))</f>
        <v>Cat Belt</v>
      </c>
      <c r="H496" s="159">
        <v>1.0</v>
      </c>
      <c r="I496" s="84">
        <f t="shared" si="2"/>
        <v>60</v>
      </c>
      <c r="J496" s="85">
        <f>IF($F496="","",IFERROR(VLOOKUP($F496,Inventory!$A:$K,11,FALSE),0))</f>
        <v>60</v>
      </c>
      <c r="K496" s="85"/>
      <c r="L496" s="85">
        <f t="shared" si="3"/>
        <v>60</v>
      </c>
      <c r="M496" s="159" t="s">
        <v>330</v>
      </c>
      <c r="N496" s="85">
        <f>IF($F496="","",IFERROR(VLOOKUP($F496,Inventory!$A:$I,9,FALSE),0))</f>
        <v>29.35135135</v>
      </c>
      <c r="O496" s="85">
        <f t="shared" si="4"/>
        <v>29.35135135</v>
      </c>
      <c r="P496" s="85">
        <f t="shared" si="5"/>
        <v>30.64864865</v>
      </c>
      <c r="Q496" s="83"/>
      <c r="R496" s="118" t="str">
        <f>IF($E496="","",IF(COUNTIF($E$7:$E1693,$E496)&gt;1,"",IFERROR(VLOOKUP($E496,Orders!$A:$I,8,FALSE),"")))</f>
        <v/>
      </c>
      <c r="S496" s="118" t="str">
        <f>IF($E496="","",IF(COUNTIF($E$7:$E1693,$E496)&gt;1,"",IFERROR(VLOOKUP($E496,Orders!$A:$I,9,FALSE),"")))</f>
        <v/>
      </c>
      <c r="T496" s="88">
        <f t="shared" si="6"/>
        <v>30.64864865</v>
      </c>
      <c r="U496" s="88">
        <f>IF($F496="","",IF($E496="",T496,SUMIF(Sales!$E$7:$E$1506,$E496,Sales!$T$7:$T$1506)))</f>
        <v>30.64864865</v>
      </c>
      <c r="V496" s="49" t="str">
        <f t="shared" si="10"/>
        <v/>
      </c>
      <c r="W496" s="49" t="str">
        <f t="array" ref="W496">IF($V496="","",SUMPRODUCT((Sales!$V$7:$V$1506&lt;&gt;"")*(Sales!$E$7:$E$1506&lt;$E496))+1)</f>
        <v/>
      </c>
      <c r="X496" s="49">
        <f t="shared" si="11"/>
        <v>23</v>
      </c>
      <c r="Y496" s="49" t="str">
        <f t="shared" si="9"/>
        <v>202609-23</v>
      </c>
    </row>
    <row r="497" ht="14.25" customHeight="1">
      <c r="A497" s="161">
        <v>46266.0</v>
      </c>
      <c r="B497" s="165" t="s">
        <v>324</v>
      </c>
      <c r="C497" s="164" t="s">
        <v>365</v>
      </c>
      <c r="D497" s="165" t="s">
        <v>366</v>
      </c>
      <c r="E497" s="83"/>
      <c r="F497" s="159" t="s">
        <v>200</v>
      </c>
      <c r="G497" s="83" t="str">
        <f>IF($F497="","",IFERROR(VLOOKUP($F497,Inventory!$A:$B,2,FALSE),""))</f>
        <v>Cozie Cat Litter Lavender 5L</v>
      </c>
      <c r="H497" s="159">
        <v>1.0</v>
      </c>
      <c r="I497" s="84">
        <f t="shared" si="2"/>
        <v>320</v>
      </c>
      <c r="J497" s="85">
        <f>IF($F497="","",IFERROR(VLOOKUP($F497,Inventory!$A:$K,11,FALSE),0))</f>
        <v>370</v>
      </c>
      <c r="K497" s="97">
        <v>50.0</v>
      </c>
      <c r="L497" s="85">
        <f t="shared" si="3"/>
        <v>320</v>
      </c>
      <c r="M497" s="159" t="s">
        <v>330</v>
      </c>
      <c r="N497" s="85">
        <f>IF($F497="","",IFERROR(VLOOKUP($F497,Inventory!$A:$I,9,FALSE),0))</f>
        <v>230</v>
      </c>
      <c r="O497" s="85">
        <f t="shared" si="4"/>
        <v>230</v>
      </c>
      <c r="P497" s="85">
        <f t="shared" si="5"/>
        <v>90</v>
      </c>
      <c r="Q497" s="83"/>
      <c r="R497" s="118" t="str">
        <f>IF($E497="","",IF(COUNTIF($E$7:$E1694,$E497)&gt;1,"",IFERROR(VLOOKUP($E497,Orders!$A:$I,8,FALSE),"")))</f>
        <v/>
      </c>
      <c r="S497" s="118" t="str">
        <f>IF($E497="","",IF(COUNTIF($E$7:$E1694,$E497)&gt;1,"",IFERROR(VLOOKUP($E497,Orders!$A:$I,9,FALSE),"")))</f>
        <v/>
      </c>
      <c r="T497" s="88">
        <f t="shared" si="6"/>
        <v>90</v>
      </c>
      <c r="U497" s="88">
        <f>IF($F497="","",IF($E497="",T497,SUMIF(Sales!$E$7:$E$1506,$E497,Sales!$T$7:$T$1506)))</f>
        <v>90</v>
      </c>
      <c r="V497" s="49" t="str">
        <f t="shared" si="10"/>
        <v/>
      </c>
      <c r="W497" s="49" t="str">
        <f t="array" ref="W497">IF($V497="","",SUMPRODUCT((Sales!$V$7:$V$1506&lt;&gt;"")*(Sales!$E$7:$E$1506&lt;$E497))+1)</f>
        <v/>
      </c>
      <c r="X497" s="49">
        <f t="shared" si="11"/>
        <v>23</v>
      </c>
      <c r="Y497" s="49" t="str">
        <f t="shared" si="9"/>
        <v>202609-23</v>
      </c>
    </row>
    <row r="498" ht="14.25" customHeight="1">
      <c r="A498" s="161">
        <v>46266.0</v>
      </c>
      <c r="B498" s="165" t="s">
        <v>324</v>
      </c>
      <c r="C498" s="164" t="s">
        <v>365</v>
      </c>
      <c r="D498" s="165" t="s">
        <v>366</v>
      </c>
      <c r="E498" s="83"/>
      <c r="F498" s="159" t="s">
        <v>240</v>
      </c>
      <c r="G498" s="83" t="str">
        <f>IF($F498="","",IFERROR(VLOOKUP($F498,Inventory!$A:$B,2,FALSE),""))</f>
        <v>Cat Belt Radium</v>
      </c>
      <c r="H498" s="159">
        <v>1.0</v>
      </c>
      <c r="I498" s="84">
        <f t="shared" si="2"/>
        <v>100</v>
      </c>
      <c r="J498" s="85">
        <f>IF($F498="","",IFERROR(VLOOKUP($F498,Inventory!$A:$K,11,FALSE),0))</f>
        <v>110</v>
      </c>
      <c r="K498" s="97">
        <v>10.0</v>
      </c>
      <c r="L498" s="85">
        <f t="shared" si="3"/>
        <v>100</v>
      </c>
      <c r="M498" s="159" t="s">
        <v>330</v>
      </c>
      <c r="N498" s="85">
        <f>IF($F498="","",IFERROR(VLOOKUP($F498,Inventory!$A:$I,9,FALSE),0))</f>
        <v>65</v>
      </c>
      <c r="O498" s="85">
        <f t="shared" si="4"/>
        <v>65</v>
      </c>
      <c r="P498" s="85">
        <f t="shared" si="5"/>
        <v>35</v>
      </c>
      <c r="Q498" s="83"/>
      <c r="R498" s="118" t="str">
        <f>IF($E498="","",IF(COUNTIF($E$7:$E1695,$E498)&gt;1,"",IFERROR(VLOOKUP($E498,Orders!$A:$I,8,FALSE),"")))</f>
        <v/>
      </c>
      <c r="S498" s="118" t="str">
        <f>IF($E498="","",IF(COUNTIF($E$7:$E1695,$E498)&gt;1,"",IFERROR(VLOOKUP($E498,Orders!$A:$I,9,FALSE),"")))</f>
        <v/>
      </c>
      <c r="T498" s="88">
        <f t="shared" si="6"/>
        <v>35</v>
      </c>
      <c r="U498" s="88">
        <f>IF($F498="","",IF($E498="",T498,SUMIF(Sales!$E$7:$E$1506,$E498,Sales!$T$7:$T$1506)))</f>
        <v>35</v>
      </c>
      <c r="V498" s="49" t="str">
        <f t="shared" si="10"/>
        <v/>
      </c>
      <c r="W498" s="49" t="str">
        <f t="array" ref="W498">IF($V498="","",SUMPRODUCT((Sales!$V$7:$V$1506&lt;&gt;"")*(Sales!$E$7:$E$1506&lt;$E498))+1)</f>
        <v/>
      </c>
      <c r="X498" s="49">
        <f t="shared" si="11"/>
        <v>23</v>
      </c>
      <c r="Y498" s="49" t="str">
        <f t="shared" si="9"/>
        <v>202609-23</v>
      </c>
    </row>
    <row r="499" ht="14.25" customHeight="1">
      <c r="A499" s="161">
        <v>46266.0</v>
      </c>
      <c r="B499" s="165" t="s">
        <v>324</v>
      </c>
      <c r="C499" s="164" t="s">
        <v>365</v>
      </c>
      <c r="D499" s="165" t="s">
        <v>366</v>
      </c>
      <c r="E499" s="83"/>
      <c r="F499" s="159" t="s">
        <v>179</v>
      </c>
      <c r="G499" s="83" t="str">
        <f>IF($F499="","",IFERROR(VLOOKUP($F499,Inventory!$A:$B,2,FALSE),""))</f>
        <v>Creamy Treat 15G (Purry &amp; Hyper Paws)</v>
      </c>
      <c r="H499" s="159">
        <v>3.0</v>
      </c>
      <c r="I499" s="84">
        <f t="shared" si="2"/>
        <v>20</v>
      </c>
      <c r="J499" s="85">
        <f>IF($F499="","",IFERROR(VLOOKUP($F499,Inventory!$A:$K,11,FALSE),0))</f>
        <v>20</v>
      </c>
      <c r="K499" s="85"/>
      <c r="L499" s="85">
        <f t="shared" si="3"/>
        <v>60</v>
      </c>
      <c r="M499" s="159" t="s">
        <v>330</v>
      </c>
      <c r="N499" s="85">
        <f>IF($F499="","",IFERROR(VLOOKUP($F499,Inventory!$A:$I,9,FALSE),0))</f>
        <v>8.147411853</v>
      </c>
      <c r="O499" s="85">
        <f t="shared" si="4"/>
        <v>24.44223556</v>
      </c>
      <c r="P499" s="85">
        <f t="shared" si="5"/>
        <v>35.55776444</v>
      </c>
      <c r="Q499" s="83"/>
      <c r="R499" s="118" t="str">
        <f>IF($E499="","",IF(COUNTIF($E$7:$E1696,$E499)&gt;1,"",IFERROR(VLOOKUP($E499,Orders!$A:$I,8,FALSE),"")))</f>
        <v/>
      </c>
      <c r="S499" s="118" t="str">
        <f>IF($E499="","",IF(COUNTIF($E$7:$E1696,$E499)&gt;1,"",IFERROR(VLOOKUP($E499,Orders!$A:$I,9,FALSE),"")))</f>
        <v/>
      </c>
      <c r="T499" s="88">
        <f t="shared" si="6"/>
        <v>35.55776444</v>
      </c>
      <c r="U499" s="88">
        <f>IF($F499="","",IF($E499="",T499,SUMIF(Sales!$E$7:$E$1506,$E499,Sales!$T$7:$T$1506)))</f>
        <v>35.55776444</v>
      </c>
      <c r="V499" s="49" t="str">
        <f t="shared" si="10"/>
        <v/>
      </c>
      <c r="W499" s="49" t="str">
        <f t="array" ref="W499">IF($V499="","",SUMPRODUCT((Sales!$V$7:$V$1506&lt;&gt;"")*(Sales!$E$7:$E$1506&lt;$E499))+1)</f>
        <v/>
      </c>
      <c r="X499" s="49">
        <f t="shared" si="11"/>
        <v>23</v>
      </c>
      <c r="Y499" s="49" t="str">
        <f t="shared" si="9"/>
        <v>202609-23</v>
      </c>
    </row>
    <row r="500" ht="15.75" customHeight="1">
      <c r="A500" s="161">
        <v>46266.0</v>
      </c>
      <c r="B500" s="165" t="s">
        <v>324</v>
      </c>
      <c r="C500" s="164" t="s">
        <v>365</v>
      </c>
      <c r="D500" s="165" t="s">
        <v>366</v>
      </c>
      <c r="E500" s="83"/>
      <c r="F500" s="159" t="s">
        <v>437</v>
      </c>
      <c r="G500" s="83" t="str">
        <f>IF($F500="","",IFERROR(VLOOKUP($F500,Inventory!$A:$B,2,FALSE),""))</f>
        <v>Taipet Kitten Dry Cat Food Chicken Milk &amp; Fish 1KG</v>
      </c>
      <c r="H500" s="159">
        <v>1.0</v>
      </c>
      <c r="I500" s="84">
        <f t="shared" si="2"/>
        <v>400</v>
      </c>
      <c r="J500" s="85">
        <f>IF($F500="","",IFERROR(VLOOKUP($F500,Inventory!$A:$K,11,FALSE),0))</f>
        <v>420</v>
      </c>
      <c r="K500" s="97">
        <v>20.0</v>
      </c>
      <c r="L500" s="85">
        <f t="shared" si="3"/>
        <v>400</v>
      </c>
      <c r="M500" s="159" t="s">
        <v>330</v>
      </c>
      <c r="N500" s="85">
        <f>IF($F500="","",IFERROR(VLOOKUP($F500,Inventory!$A:$I,9,FALSE),0))</f>
        <v>320</v>
      </c>
      <c r="O500" s="85">
        <f t="shared" si="4"/>
        <v>320</v>
      </c>
      <c r="P500" s="85">
        <f t="shared" si="5"/>
        <v>80</v>
      </c>
      <c r="Q500" s="83"/>
      <c r="R500" s="118" t="str">
        <f>IF($E500="","",IF(COUNTIF($E$7:$E1697,$E500)&gt;1,"",IFERROR(VLOOKUP($E500,Orders!$A:$I,8,FALSE),"")))</f>
        <v/>
      </c>
      <c r="S500" s="118" t="str">
        <f>IF($E500="","",IF(COUNTIF($E$7:$E1697,$E500)&gt;1,"",IFERROR(VLOOKUP($E500,Orders!$A:$I,9,FALSE),"")))</f>
        <v/>
      </c>
      <c r="T500" s="88">
        <f t="shared" si="6"/>
        <v>80</v>
      </c>
      <c r="U500" s="88">
        <f>IF($F500="","",IF($E500="",T500,SUMIF(Sales!$E$7:$E$1506,$E500,Sales!$T$7:$T$1506)))</f>
        <v>80</v>
      </c>
      <c r="V500" s="49" t="str">
        <f t="shared" si="10"/>
        <v/>
      </c>
      <c r="W500" s="49" t="str">
        <f t="array" ref="W500">IF($V500="","",SUMPRODUCT((Sales!$V$7:$V$1506&lt;&gt;"")*(Sales!$E$7:$E$1506&lt;$E500))+1)</f>
        <v/>
      </c>
      <c r="X500" s="49">
        <f t="shared" si="11"/>
        <v>23</v>
      </c>
      <c r="Y500" s="49" t="str">
        <f t="shared" si="9"/>
        <v>202609-23</v>
      </c>
    </row>
    <row r="501" ht="15.75" customHeight="1">
      <c r="A501" s="161">
        <v>46266.0</v>
      </c>
      <c r="B501" s="165" t="s">
        <v>324</v>
      </c>
      <c r="C501" s="164" t="s">
        <v>365</v>
      </c>
      <c r="D501" s="165" t="s">
        <v>366</v>
      </c>
      <c r="E501" s="83"/>
      <c r="F501" s="159" t="s">
        <v>269</v>
      </c>
      <c r="G501" s="83" t="str">
        <f>IF($F501="","",IFERROR(VLOOKUP($F501,Inventory!$A:$B,2,FALSE),""))</f>
        <v>China Flea </v>
      </c>
      <c r="H501" s="159">
        <v>1.0</v>
      </c>
      <c r="I501" s="84">
        <f t="shared" si="2"/>
        <v>100</v>
      </c>
      <c r="J501" s="85">
        <f>IF($F501="","",IFERROR(VLOOKUP($F501,Inventory!$A:$K,11,FALSE),0))</f>
        <v>120</v>
      </c>
      <c r="K501" s="97">
        <v>20.0</v>
      </c>
      <c r="L501" s="85">
        <f t="shared" si="3"/>
        <v>100</v>
      </c>
      <c r="M501" s="159" t="s">
        <v>330</v>
      </c>
      <c r="N501" s="85">
        <f>IF($F501="","",IFERROR(VLOOKUP($F501,Inventory!$A:$I,9,FALSE),0))</f>
        <v>65</v>
      </c>
      <c r="O501" s="85">
        <f t="shared" si="4"/>
        <v>65</v>
      </c>
      <c r="P501" s="85">
        <f t="shared" si="5"/>
        <v>35</v>
      </c>
      <c r="Q501" s="83"/>
      <c r="R501" s="118" t="str">
        <f>IF($E501="","",IF(COUNTIF($E$7:$E1698,$E501)&gt;1,"",IFERROR(VLOOKUP($E501,Orders!$A:$I,8,FALSE),"")))</f>
        <v/>
      </c>
      <c r="S501" s="118" t="str">
        <f>IF($E501="","",IF(COUNTIF($E$7:$E1698,$E501)&gt;1,"",IFERROR(VLOOKUP($E501,Orders!$A:$I,9,FALSE),"")))</f>
        <v/>
      </c>
      <c r="T501" s="88">
        <f t="shared" si="6"/>
        <v>35</v>
      </c>
      <c r="U501" s="88">
        <f>IF($F501="","",IF($E501="",T501,SUMIF(Sales!$E$7:$E$1506,$E501,Sales!$T$7:$T$1506)))</f>
        <v>35</v>
      </c>
      <c r="V501" s="49" t="str">
        <f t="shared" si="10"/>
        <v/>
      </c>
      <c r="W501" s="49" t="str">
        <f t="array" ref="W501">IF($V501="","",SUMPRODUCT((Sales!$V$7:$V$1506&lt;&gt;"")*(Sales!$E$7:$E$1506&lt;$E501))+1)</f>
        <v/>
      </c>
      <c r="X501" s="49">
        <f t="shared" si="11"/>
        <v>23</v>
      </c>
      <c r="Y501" s="49" t="str">
        <f t="shared" si="9"/>
        <v>202609-23</v>
      </c>
    </row>
    <row r="502" ht="15.75" customHeight="1">
      <c r="A502" s="161">
        <v>46266.0</v>
      </c>
      <c r="B502" s="165" t="s">
        <v>324</v>
      </c>
      <c r="C502" s="164" t="s">
        <v>365</v>
      </c>
      <c r="D502" s="165" t="s">
        <v>366</v>
      </c>
      <c r="E502" s="83"/>
      <c r="F502" s="159" t="s">
        <v>236</v>
      </c>
      <c r="G502" s="83" t="str">
        <f>IF($F502="","",IFERROR(VLOOKUP($F502,Inventory!$A:$B,2,FALSE),""))</f>
        <v>Cat Toy Rainbow Ball Spring</v>
      </c>
      <c r="H502" s="159">
        <v>1.0</v>
      </c>
      <c r="I502" s="84">
        <f t="shared" si="2"/>
        <v>110</v>
      </c>
      <c r="J502" s="85">
        <f>IF($F502="","",IFERROR(VLOOKUP($F502,Inventory!$A:$K,11,FALSE),0))</f>
        <v>130</v>
      </c>
      <c r="K502" s="97">
        <v>20.0</v>
      </c>
      <c r="L502" s="85">
        <f t="shared" si="3"/>
        <v>110</v>
      </c>
      <c r="M502" s="159" t="s">
        <v>330</v>
      </c>
      <c r="N502" s="85">
        <f>IF($F502="","",IFERROR(VLOOKUP($F502,Inventory!$A:$I,9,FALSE),0))</f>
        <v>80</v>
      </c>
      <c r="O502" s="85">
        <f t="shared" si="4"/>
        <v>80</v>
      </c>
      <c r="P502" s="85">
        <f t="shared" si="5"/>
        <v>30</v>
      </c>
      <c r="Q502" s="83"/>
      <c r="R502" s="118" t="str">
        <f>IF($E502="","",IF(COUNTIF($E$7:$E1699,$E502)&gt;1,"",IFERROR(VLOOKUP($E502,Orders!$A:$I,8,FALSE),"")))</f>
        <v/>
      </c>
      <c r="S502" s="118" t="str">
        <f>IF($E502="","",IF(COUNTIF($E$7:$E1699,$E502)&gt;1,"",IFERROR(VLOOKUP($E502,Orders!$A:$I,9,FALSE),"")))</f>
        <v/>
      </c>
      <c r="T502" s="88">
        <f t="shared" si="6"/>
        <v>30</v>
      </c>
      <c r="U502" s="88">
        <f>IF($F502="","",IF($E502="",T502,SUMIF(Sales!$E$7:$E$1506,$E502,Sales!$T$7:$T$1506)))</f>
        <v>30</v>
      </c>
      <c r="V502" s="49" t="str">
        <f t="shared" si="10"/>
        <v/>
      </c>
      <c r="W502" s="49" t="str">
        <f t="array" ref="W502">IF($V502="","",SUMPRODUCT((Sales!$V$7:$V$1506&lt;&gt;"")*(Sales!$E$7:$E$1506&lt;$E502))+1)</f>
        <v/>
      </c>
      <c r="X502" s="49">
        <f t="shared" si="11"/>
        <v>23</v>
      </c>
      <c r="Y502" s="49" t="str">
        <f t="shared" si="9"/>
        <v>202609-23</v>
      </c>
    </row>
    <row r="503" ht="15.75" customHeight="1">
      <c r="A503" s="161">
        <v>46266.0</v>
      </c>
      <c r="B503" s="165" t="s">
        <v>324</v>
      </c>
      <c r="C503" s="164" t="s">
        <v>365</v>
      </c>
      <c r="D503" s="165" t="s">
        <v>366</v>
      </c>
      <c r="E503" s="83"/>
      <c r="F503" s="159" t="s">
        <v>461</v>
      </c>
      <c r="G503" s="83" t="str">
        <f>IF($F503="","",IFERROR(VLOOKUP($F503,Inventory!$A:$B,2,FALSE),""))</f>
        <v>Cat Toy Mouse Mini</v>
      </c>
      <c r="H503" s="159">
        <v>1.0</v>
      </c>
      <c r="I503" s="84">
        <f t="shared" si="2"/>
        <v>50</v>
      </c>
      <c r="J503" s="85">
        <f>IF($F503="","",IFERROR(VLOOKUP($F503,Inventory!$A:$K,11,FALSE),0))</f>
        <v>60</v>
      </c>
      <c r="K503" s="97">
        <v>10.0</v>
      </c>
      <c r="L503" s="85">
        <f t="shared" si="3"/>
        <v>50</v>
      </c>
      <c r="M503" s="159" t="s">
        <v>330</v>
      </c>
      <c r="N503" s="85">
        <f>IF($F503="","",IFERROR(VLOOKUP($F503,Inventory!$A:$I,9,FALSE),0))</f>
        <v>30</v>
      </c>
      <c r="O503" s="85">
        <f t="shared" si="4"/>
        <v>30</v>
      </c>
      <c r="P503" s="85">
        <f t="shared" si="5"/>
        <v>20</v>
      </c>
      <c r="Q503" s="83"/>
      <c r="R503" s="118" t="str">
        <f>IF($E503="","",IF(COUNTIF($E$7:$E1700,$E503)&gt;1,"",IFERROR(VLOOKUP($E503,Orders!$A:$I,8,FALSE),"")))</f>
        <v/>
      </c>
      <c r="S503" s="118" t="str">
        <f>IF($E503="","",IF(COUNTIF($E$7:$E1700,$E503)&gt;1,"",IFERROR(VLOOKUP($E503,Orders!$A:$I,9,FALSE),"")))</f>
        <v/>
      </c>
      <c r="T503" s="88">
        <f t="shared" si="6"/>
        <v>20</v>
      </c>
      <c r="U503" s="88">
        <f>IF($F503="","",IF($E503="",T503,SUMIF(Sales!$E$7:$E$1506,$E503,Sales!$T$7:$T$1506)))</f>
        <v>20</v>
      </c>
      <c r="V503" s="49" t="str">
        <f t="shared" si="10"/>
        <v/>
      </c>
      <c r="W503" s="49" t="str">
        <f t="array" ref="W503">IF($V503="","",SUMPRODUCT((Sales!$V$7:$V$1506&lt;&gt;"")*(Sales!$E$7:$E$1506&lt;$E503))+1)</f>
        <v/>
      </c>
      <c r="X503" s="49">
        <f t="shared" si="11"/>
        <v>23</v>
      </c>
      <c r="Y503" s="49" t="str">
        <f t="shared" si="9"/>
        <v>202609-23</v>
      </c>
    </row>
    <row r="504" ht="15.75" customHeight="1">
      <c r="A504" s="161">
        <v>46266.0</v>
      </c>
      <c r="B504" s="165" t="s">
        <v>324</v>
      </c>
      <c r="C504" s="164" t="s">
        <v>365</v>
      </c>
      <c r="D504" s="115" t="s">
        <v>595</v>
      </c>
      <c r="E504" s="159" t="s">
        <v>696</v>
      </c>
      <c r="F504" s="159" t="s">
        <v>559</v>
      </c>
      <c r="G504" s="83" t="str">
        <f>IF($F504="","",IFERROR(VLOOKUP($F504,Inventory!$A:$B,2,FALSE),""))</f>
        <v>Taipet Multivitamin Treat 15gm</v>
      </c>
      <c r="H504" s="159">
        <v>2.0</v>
      </c>
      <c r="I504" s="84">
        <f t="shared" si="2"/>
        <v>40</v>
      </c>
      <c r="J504" s="85">
        <f>IF($F504="","",IFERROR(VLOOKUP($F504,Inventory!$A:$K,11,FALSE),0))</f>
        <v>40</v>
      </c>
      <c r="K504" s="85"/>
      <c r="L504" s="85">
        <f t="shared" si="3"/>
        <v>80</v>
      </c>
      <c r="M504" s="159" t="s">
        <v>596</v>
      </c>
      <c r="N504" s="85">
        <f>IF($F504="","",IFERROR(VLOOKUP($F504,Inventory!$A:$I,9,FALSE),0))</f>
        <v>20</v>
      </c>
      <c r="O504" s="85">
        <f t="shared" si="4"/>
        <v>40</v>
      </c>
      <c r="P504" s="85">
        <f t="shared" si="5"/>
        <v>40</v>
      </c>
      <c r="Q504" s="83"/>
      <c r="R504" s="118" t="str">
        <f>IF($E504="","",IF(COUNTIF($E$7:$E1701,$E504)&gt;1,"",IFERROR(VLOOKUP($E504,Orders!$A:$I,8,FALSE),"")))</f>
        <v/>
      </c>
      <c r="S504" s="118" t="str">
        <f>IF($E504="","",IF(COUNTIF($E$7:$E1701,$E504)&gt;1,"",IFERROR(VLOOKUP($E504,Orders!$A:$I,9,FALSE),"")))</f>
        <v/>
      </c>
      <c r="T504" s="88">
        <f t="shared" si="6"/>
        <v>40</v>
      </c>
      <c r="U504" s="88">
        <f>IF($F504="","",IF($E504="",T504,SUMIF(Sales!$E$7:$E$1506,$E504,Sales!$T$7:$T$1506)))</f>
        <v>170.6801744</v>
      </c>
      <c r="V504" s="49" t="str">
        <f t="shared" si="10"/>
        <v/>
      </c>
      <c r="W504" s="49" t="str">
        <f t="array" ref="W504">IF($V504="","",SUMPRODUCT((Sales!$V$7:$V$1506&lt;&gt;"")*(Sales!$E$7:$E$1506&lt;$E504))+1)</f>
        <v/>
      </c>
      <c r="X504" s="49">
        <f t="shared" si="11"/>
        <v>23</v>
      </c>
      <c r="Y504" s="49" t="str">
        <f t="shared" si="9"/>
        <v>202609-23</v>
      </c>
    </row>
    <row r="505" ht="15.75" customHeight="1">
      <c r="A505" s="161">
        <v>46266.0</v>
      </c>
      <c r="B505" s="165" t="s">
        <v>324</v>
      </c>
      <c r="C505" s="164" t="s">
        <v>365</v>
      </c>
      <c r="D505" s="115" t="s">
        <v>595</v>
      </c>
      <c r="E505" s="159" t="s">
        <v>696</v>
      </c>
      <c r="F505" s="159" t="s">
        <v>205</v>
      </c>
      <c r="G505" s="83" t="str">
        <f>IF($F505="","",IFERROR(VLOOKUP($F505,Inventory!$A:$B,2,FALSE),""))</f>
        <v>Nekko Pouch 70G Tuna in Gravy</v>
      </c>
      <c r="H505" s="159">
        <v>2.0</v>
      </c>
      <c r="I505" s="84">
        <f t="shared" si="2"/>
        <v>82</v>
      </c>
      <c r="J505" s="85">
        <f>IF($F505="","",IFERROR(VLOOKUP($F505,Inventory!$A:$K,11,FALSE),0))</f>
        <v>85</v>
      </c>
      <c r="K505" s="97">
        <v>3.0</v>
      </c>
      <c r="L505" s="85">
        <f t="shared" si="3"/>
        <v>164</v>
      </c>
      <c r="M505" s="159" t="s">
        <v>596</v>
      </c>
      <c r="N505" s="85">
        <f>IF($F505="","",IFERROR(VLOOKUP($F505,Inventory!$A:$I,9,FALSE),0))</f>
        <v>65</v>
      </c>
      <c r="O505" s="85">
        <f t="shared" si="4"/>
        <v>130</v>
      </c>
      <c r="P505" s="85">
        <f t="shared" si="5"/>
        <v>34</v>
      </c>
      <c r="Q505" s="83"/>
      <c r="R505" s="118" t="str">
        <f>IF($E505="","",IF(COUNTIF($E$7:$E1702,$E505)&gt;1,"",IFERROR(VLOOKUP($E505,Orders!$A:$I,8,FALSE),"")))</f>
        <v/>
      </c>
      <c r="S505" s="118" t="str">
        <f>IF($E505="","",IF(COUNTIF($E$7:$E1702,$E505)&gt;1,"",IFERROR(VLOOKUP($E505,Orders!$A:$I,9,FALSE),"")))</f>
        <v/>
      </c>
      <c r="T505" s="88">
        <f t="shared" si="6"/>
        <v>34</v>
      </c>
      <c r="U505" s="88">
        <f>IF($F505="","",IF($E505="",T505,SUMIF(Sales!$E$7:$E$1506,$E505,Sales!$T$7:$T$1506)))</f>
        <v>170.6801744</v>
      </c>
      <c r="V505" s="49" t="str">
        <f t="shared" si="10"/>
        <v/>
      </c>
      <c r="W505" s="49" t="str">
        <f t="array" ref="W505">IF($V505="","",SUMPRODUCT((Sales!$V$7:$V$1506&lt;&gt;"")*(Sales!$E$7:$E$1506&lt;$E505))+1)</f>
        <v/>
      </c>
      <c r="X505" s="49">
        <f t="shared" si="11"/>
        <v>23</v>
      </c>
      <c r="Y505" s="49" t="str">
        <f t="shared" si="9"/>
        <v>202609-23</v>
      </c>
    </row>
    <row r="506" ht="15.75" customHeight="1">
      <c r="A506" s="161">
        <v>46266.0</v>
      </c>
      <c r="B506" s="165" t="s">
        <v>324</v>
      </c>
      <c r="C506" s="164" t="s">
        <v>365</v>
      </c>
      <c r="D506" s="115" t="s">
        <v>595</v>
      </c>
      <c r="E506" s="159" t="s">
        <v>696</v>
      </c>
      <c r="F506" s="159" t="s">
        <v>179</v>
      </c>
      <c r="G506" s="83" t="str">
        <f>IF($F506="","",IFERROR(VLOOKUP($F506,Inventory!$A:$B,2,FALSE),""))</f>
        <v>Creamy Treat 15G (Purry &amp; Hyper Paws)</v>
      </c>
      <c r="H506" s="159">
        <v>1.0</v>
      </c>
      <c r="I506" s="84">
        <f t="shared" si="2"/>
        <v>20</v>
      </c>
      <c r="J506" s="85">
        <f>IF($F506="","",IFERROR(VLOOKUP($F506,Inventory!$A:$K,11,FALSE),0))</f>
        <v>20</v>
      </c>
      <c r="K506" s="85"/>
      <c r="L506" s="85">
        <f t="shared" si="3"/>
        <v>20</v>
      </c>
      <c r="M506" s="159" t="s">
        <v>596</v>
      </c>
      <c r="N506" s="85">
        <f>IF($F506="","",IFERROR(VLOOKUP($F506,Inventory!$A:$I,9,FALSE),0))</f>
        <v>8.147411853</v>
      </c>
      <c r="O506" s="85">
        <f t="shared" si="4"/>
        <v>8.147411853</v>
      </c>
      <c r="P506" s="85">
        <f t="shared" si="5"/>
        <v>11.85258815</v>
      </c>
      <c r="Q506" s="83"/>
      <c r="R506" s="118" t="str">
        <f>IF($E506="","",IF(COUNTIF($E$7:$E1703,$E506)&gt;1,"",IFERROR(VLOOKUP($E506,Orders!$A:$I,8,FALSE),"")))</f>
        <v/>
      </c>
      <c r="S506" s="118" t="str">
        <f>IF($E506="","",IF(COUNTIF($E$7:$E1703,$E506)&gt;1,"",IFERROR(VLOOKUP($E506,Orders!$A:$I,9,FALSE),"")))</f>
        <v/>
      </c>
      <c r="T506" s="88">
        <f t="shared" si="6"/>
        <v>11.85258815</v>
      </c>
      <c r="U506" s="88">
        <f>IF($F506="","",IF($E506="",T506,SUMIF(Sales!$E$7:$E$1506,$E506,Sales!$T$7:$T$1506)))</f>
        <v>170.6801744</v>
      </c>
      <c r="V506" s="49" t="str">
        <f t="shared" si="10"/>
        <v/>
      </c>
      <c r="W506" s="49" t="str">
        <f t="array" ref="W506">IF($V506="","",SUMPRODUCT((Sales!$V$7:$V$1506&lt;&gt;"")*(Sales!$E$7:$E$1506&lt;$E506))+1)</f>
        <v/>
      </c>
      <c r="X506" s="49">
        <f t="shared" si="11"/>
        <v>23</v>
      </c>
      <c r="Y506" s="49" t="str">
        <f t="shared" si="9"/>
        <v>202609-23</v>
      </c>
    </row>
    <row r="507" ht="15.75" customHeight="1">
      <c r="A507" s="161">
        <v>46266.0</v>
      </c>
      <c r="B507" s="165" t="s">
        <v>324</v>
      </c>
      <c r="C507" s="164" t="s">
        <v>365</v>
      </c>
      <c r="D507" s="165" t="s">
        <v>366</v>
      </c>
      <c r="E507" s="83"/>
      <c r="F507" s="83" t="s">
        <v>176</v>
      </c>
      <c r="G507" s="83" t="str">
        <f>IF($F507="","",IFERROR(VLOOKUP($F507,Inventory!$A:$B,2,FALSE),""))</f>
        <v>Chonk All ages Tuna</v>
      </c>
      <c r="H507" s="159">
        <v>1.0</v>
      </c>
      <c r="I507" s="84">
        <f t="shared" si="2"/>
        <v>500</v>
      </c>
      <c r="J507" s="85">
        <f>IF($F507="","",IFERROR(VLOOKUP($F507,Inventory!$A:$K,11,FALSE),0))</f>
        <v>500</v>
      </c>
      <c r="K507" s="85"/>
      <c r="L507" s="85">
        <f t="shared" si="3"/>
        <v>500</v>
      </c>
      <c r="M507" s="159" t="s">
        <v>330</v>
      </c>
      <c r="N507" s="85">
        <f>IF($F507="","",IFERROR(VLOOKUP($F507,Inventory!$A:$I,9,FALSE),0))</f>
        <v>400</v>
      </c>
      <c r="O507" s="85">
        <f t="shared" si="4"/>
        <v>400</v>
      </c>
      <c r="P507" s="85">
        <f t="shared" si="5"/>
        <v>100</v>
      </c>
      <c r="Q507" s="83"/>
      <c r="R507" s="118" t="str">
        <f>IF($E507="","",IF(COUNTIF($E$7:$E1704,$E507)&gt;1,"",IFERROR(VLOOKUP($E507,Orders!$A:$I,8,FALSE),"")))</f>
        <v/>
      </c>
      <c r="S507" s="118" t="str">
        <f>IF($E507="","",IF(COUNTIF($E$7:$E1704,$E507)&gt;1,"",IFERROR(VLOOKUP($E507,Orders!$A:$I,9,FALSE),"")))</f>
        <v/>
      </c>
      <c r="T507" s="88">
        <f t="shared" si="6"/>
        <v>100</v>
      </c>
      <c r="U507" s="88">
        <f>IF($F507="","",IF($E507="",T507,SUMIF(Sales!$E$7:$E$1506,$E507,Sales!$T$7:$T$1506)))</f>
        <v>100</v>
      </c>
      <c r="V507" s="49" t="str">
        <f t="shared" si="10"/>
        <v/>
      </c>
      <c r="W507" s="49" t="str">
        <f t="array" ref="W507">IF($V507="","",SUMPRODUCT((Sales!$V$7:$V$1506&lt;&gt;"")*(Sales!$E$7:$E$1506&lt;$E507))+1)</f>
        <v/>
      </c>
      <c r="X507" s="49">
        <f t="shared" si="11"/>
        <v>23</v>
      </c>
      <c r="Y507" s="49" t="str">
        <f t="shared" si="9"/>
        <v>202609-23</v>
      </c>
    </row>
    <row r="508" ht="15.75" customHeight="1">
      <c r="A508" s="161">
        <v>46266.0</v>
      </c>
      <c r="B508" s="165" t="s">
        <v>324</v>
      </c>
      <c r="C508" s="164" t="s">
        <v>365</v>
      </c>
      <c r="D508" s="165" t="s">
        <v>366</v>
      </c>
      <c r="E508" s="83"/>
      <c r="F508" s="159" t="s">
        <v>559</v>
      </c>
      <c r="G508" s="83" t="str">
        <f>IF($F508="","",IFERROR(VLOOKUP($F508,Inventory!$A:$B,2,FALSE),""))</f>
        <v>Taipet Multivitamin Treat 15gm</v>
      </c>
      <c r="H508" s="159">
        <v>1.0</v>
      </c>
      <c r="I508" s="84">
        <f t="shared" si="2"/>
        <v>40</v>
      </c>
      <c r="J508" s="85">
        <f>IF($F508="","",IFERROR(VLOOKUP($F508,Inventory!$A:$K,11,FALSE),0))</f>
        <v>40</v>
      </c>
      <c r="K508" s="85"/>
      <c r="L508" s="85">
        <f t="shared" si="3"/>
        <v>40</v>
      </c>
      <c r="M508" s="159" t="s">
        <v>330</v>
      </c>
      <c r="N508" s="85">
        <f>IF($F508="","",IFERROR(VLOOKUP($F508,Inventory!$A:$I,9,FALSE),0))</f>
        <v>20</v>
      </c>
      <c r="O508" s="85">
        <f t="shared" si="4"/>
        <v>20</v>
      </c>
      <c r="P508" s="85">
        <f t="shared" si="5"/>
        <v>20</v>
      </c>
      <c r="Q508" s="83"/>
      <c r="R508" s="118" t="str">
        <f>IF($E508="","",IF(COUNTIF($E$7:$E1705,$E508)&gt;1,"",IFERROR(VLOOKUP($E508,Orders!$A:$I,8,FALSE),"")))</f>
        <v/>
      </c>
      <c r="S508" s="118" t="str">
        <f>IF($E508="","",IF(COUNTIF($E$7:$E1705,$E508)&gt;1,"",IFERROR(VLOOKUP($E508,Orders!$A:$I,9,FALSE),"")))</f>
        <v/>
      </c>
      <c r="T508" s="88">
        <f t="shared" si="6"/>
        <v>20</v>
      </c>
      <c r="U508" s="88">
        <f>IF($F508="","",IF($E508="",T508,SUMIF(Sales!$E$7:$E$1506,$E508,Sales!$T$7:$T$1506)))</f>
        <v>20</v>
      </c>
      <c r="V508" s="49" t="str">
        <f t="shared" si="10"/>
        <v/>
      </c>
      <c r="W508" s="49" t="str">
        <f t="array" ref="W508">IF($V508="","",SUMPRODUCT((Sales!$V$7:$V$1506&lt;&gt;"")*(Sales!$E$7:$E$1506&lt;$E508))+1)</f>
        <v/>
      </c>
      <c r="X508" s="49">
        <f t="shared" si="11"/>
        <v>23</v>
      </c>
      <c r="Y508" s="49" t="str">
        <f t="shared" si="9"/>
        <v>202609-23</v>
      </c>
    </row>
    <row r="509" ht="15.75" customHeight="1">
      <c r="A509" s="161">
        <v>46266.0</v>
      </c>
      <c r="B509" s="165" t="s">
        <v>324</v>
      </c>
      <c r="C509" s="164" t="s">
        <v>365</v>
      </c>
      <c r="D509" s="165" t="s">
        <v>366</v>
      </c>
      <c r="E509" s="83"/>
      <c r="F509" s="159" t="s">
        <v>196</v>
      </c>
      <c r="G509" s="83" t="str">
        <f>IF($F509="","",IFERROR(VLOOKUP($F509,Inventory!$A:$B,2,FALSE),""))</f>
        <v>Cozie Cat Litter Lemon 5L</v>
      </c>
      <c r="H509" s="159">
        <v>1.0</v>
      </c>
      <c r="I509" s="84">
        <f t="shared" si="2"/>
        <v>300</v>
      </c>
      <c r="J509" s="85">
        <f>IF($F509="","",IFERROR(VLOOKUP($F509,Inventory!$A:$K,11,FALSE),0))</f>
        <v>370</v>
      </c>
      <c r="K509" s="97">
        <v>70.0</v>
      </c>
      <c r="L509" s="85">
        <f t="shared" si="3"/>
        <v>300</v>
      </c>
      <c r="M509" s="159" t="s">
        <v>330</v>
      </c>
      <c r="N509" s="85">
        <f>IF($F509="","",IFERROR(VLOOKUP($F509,Inventory!$A:$I,9,FALSE),0))</f>
        <v>230</v>
      </c>
      <c r="O509" s="85">
        <f t="shared" si="4"/>
        <v>230</v>
      </c>
      <c r="P509" s="85">
        <f t="shared" si="5"/>
        <v>70</v>
      </c>
      <c r="Q509" s="83"/>
      <c r="R509" s="118" t="str">
        <f>IF($E509="","",IF(COUNTIF($E$7:$E1706,$E509)&gt;1,"",IFERROR(VLOOKUP($E509,Orders!$A:$I,8,FALSE),"")))</f>
        <v/>
      </c>
      <c r="S509" s="118" t="str">
        <f>IF($E509="","",IF(COUNTIF($E$7:$E1706,$E509)&gt;1,"",IFERROR(VLOOKUP($E509,Orders!$A:$I,9,FALSE),"")))</f>
        <v/>
      </c>
      <c r="T509" s="88">
        <f t="shared" si="6"/>
        <v>70</v>
      </c>
      <c r="U509" s="88">
        <f>IF($F509="","",IF($E509="",T509,SUMIF(Sales!$E$7:$E$1506,$E509,Sales!$T$7:$T$1506)))</f>
        <v>70</v>
      </c>
      <c r="V509" s="49" t="str">
        <f t="shared" si="10"/>
        <v/>
      </c>
      <c r="W509" s="49" t="str">
        <f t="array" ref="W509">IF($V509="","",SUMPRODUCT((Sales!$V$7:$V$1506&lt;&gt;"")*(Sales!$E$7:$E$1506&lt;$E509))+1)</f>
        <v/>
      </c>
      <c r="X509" s="49">
        <f t="shared" si="11"/>
        <v>23</v>
      </c>
      <c r="Y509" s="49" t="str">
        <f t="shared" si="9"/>
        <v>202609-23</v>
      </c>
    </row>
    <row r="510" ht="15.75" customHeight="1">
      <c r="A510" s="161">
        <v>46266.0</v>
      </c>
      <c r="B510" s="165" t="s">
        <v>324</v>
      </c>
      <c r="C510" s="164" t="s">
        <v>365</v>
      </c>
      <c r="D510" s="165" t="s">
        <v>366</v>
      </c>
      <c r="E510" s="83"/>
      <c r="F510" s="159" t="s">
        <v>546</v>
      </c>
      <c r="G510" s="83" t="str">
        <f>IF($F510="","",IFERROR(VLOOKUP($F510,Inventory!$A:$B,2,FALSE),""))</f>
        <v>LuminaCat Litter Coffee 25L</v>
      </c>
      <c r="H510" s="159">
        <v>1.0</v>
      </c>
      <c r="I510" s="84">
        <f t="shared" si="2"/>
        <v>1200</v>
      </c>
      <c r="J510" s="85">
        <f>IF($F510="","",IFERROR(VLOOKUP($F510,Inventory!$A:$K,11,FALSE),0))</f>
        <v>1450</v>
      </c>
      <c r="K510" s="97">
        <v>250.0</v>
      </c>
      <c r="L510" s="85">
        <f t="shared" si="3"/>
        <v>1200</v>
      </c>
      <c r="M510" s="159" t="s">
        <v>330</v>
      </c>
      <c r="N510" s="85">
        <f>IF($F510="","",IFERROR(VLOOKUP($F510,Inventory!$A:$I,9,FALSE),0))</f>
        <v>950</v>
      </c>
      <c r="O510" s="85">
        <f t="shared" si="4"/>
        <v>950</v>
      </c>
      <c r="P510" s="85">
        <f t="shared" si="5"/>
        <v>250</v>
      </c>
      <c r="Q510" s="83"/>
      <c r="R510" s="118" t="str">
        <f>IF($E510="","",IF(COUNTIF($E$7:$E1707,$E510)&gt;1,"",IFERROR(VLOOKUP($E510,Orders!$A:$I,8,FALSE),"")))</f>
        <v/>
      </c>
      <c r="S510" s="118" t="str">
        <f>IF($E510="","",IF(COUNTIF($E$7:$E1707,$E510)&gt;1,"",IFERROR(VLOOKUP($E510,Orders!$A:$I,9,FALSE),"")))</f>
        <v/>
      </c>
      <c r="T510" s="88">
        <f t="shared" si="6"/>
        <v>250</v>
      </c>
      <c r="U510" s="88">
        <f>IF($F510="","",IF($E510="",T510,SUMIF(Sales!$E$7:$E$1506,$E510,Sales!$T$7:$T$1506)))</f>
        <v>250</v>
      </c>
      <c r="V510" s="49" t="str">
        <f t="shared" si="10"/>
        <v/>
      </c>
      <c r="W510" s="49" t="str">
        <f t="array" ref="W510">IF($V510="","",SUMPRODUCT((Sales!$V$7:$V$1506&lt;&gt;"")*(Sales!$E$7:$E$1506&lt;$E510))+1)</f>
        <v/>
      </c>
      <c r="X510" s="49">
        <f t="shared" si="11"/>
        <v>23</v>
      </c>
      <c r="Y510" s="49" t="str">
        <f t="shared" si="9"/>
        <v>202609-23</v>
      </c>
    </row>
    <row r="511" ht="15.75" customHeight="1">
      <c r="A511" s="161">
        <v>46267.0</v>
      </c>
      <c r="B511" s="165" t="s">
        <v>324</v>
      </c>
      <c r="C511" s="164" t="s">
        <v>365</v>
      </c>
      <c r="D511" s="165" t="s">
        <v>366</v>
      </c>
      <c r="E511" s="83"/>
      <c r="F511" s="159" t="s">
        <v>347</v>
      </c>
      <c r="G511" s="83" t="str">
        <f>IF($F511="","",IFERROR(VLOOKUP($F511,Inventory!$A:$B,2,FALSE),""))</f>
        <v>Wanpy Cat Food Can Tuna</v>
      </c>
      <c r="H511" s="159">
        <v>1.0</v>
      </c>
      <c r="I511" s="84">
        <f t="shared" si="2"/>
        <v>200</v>
      </c>
      <c r="J511" s="85">
        <f>IF($F511="","",IFERROR(VLOOKUP($F511,Inventory!$A:$K,11,FALSE),0))</f>
        <v>210</v>
      </c>
      <c r="K511" s="97">
        <v>10.0</v>
      </c>
      <c r="L511" s="85">
        <f t="shared" si="3"/>
        <v>200</v>
      </c>
      <c r="M511" s="159" t="s">
        <v>330</v>
      </c>
      <c r="N511" s="85">
        <f>IF($F511="","",IFERROR(VLOOKUP($F511,Inventory!$A:$I,9,FALSE),0))</f>
        <v>160</v>
      </c>
      <c r="O511" s="85">
        <f t="shared" si="4"/>
        <v>160</v>
      </c>
      <c r="P511" s="85">
        <f t="shared" si="5"/>
        <v>40</v>
      </c>
      <c r="Q511" s="83"/>
      <c r="R511" s="118" t="str">
        <f>IF($E511="","",IF(COUNTIF($E$7:$E1708,$E511)&gt;1,"",IFERROR(VLOOKUP($E511,Orders!$A:$I,8,FALSE),"")))</f>
        <v/>
      </c>
      <c r="S511" s="118" t="str">
        <f>IF($E511="","",IF(COUNTIF($E$7:$E1708,$E511)&gt;1,"",IFERROR(VLOOKUP($E511,Orders!$A:$I,9,FALSE),"")))</f>
        <v/>
      </c>
      <c r="T511" s="88">
        <f t="shared" si="6"/>
        <v>40</v>
      </c>
      <c r="U511" s="88">
        <f>IF($F511="","",IF($E511="",T511,SUMIF(Sales!$E$7:$E$1506,$E511,Sales!$T$7:$T$1506)))</f>
        <v>40</v>
      </c>
      <c r="V511" s="49" t="str">
        <f t="shared" si="10"/>
        <v/>
      </c>
      <c r="W511" s="49" t="str">
        <f t="array" ref="W511">IF($V511="","",SUMPRODUCT((Sales!$V$7:$V$1506&lt;&gt;"")*(Sales!$E$7:$E$1506&lt;$E511))+1)</f>
        <v/>
      </c>
      <c r="X511" s="49">
        <f t="shared" si="11"/>
        <v>23</v>
      </c>
      <c r="Y511" s="49" t="str">
        <f t="shared" si="9"/>
        <v>202609-23</v>
      </c>
    </row>
    <row r="512" ht="15.75" customHeight="1">
      <c r="A512" s="161">
        <v>46267.0</v>
      </c>
      <c r="B512" s="165" t="s">
        <v>324</v>
      </c>
      <c r="C512" s="164" t="s">
        <v>365</v>
      </c>
      <c r="D512" s="165" t="s">
        <v>366</v>
      </c>
      <c r="E512" s="83"/>
      <c r="F512" s="159" t="s">
        <v>260</v>
      </c>
      <c r="G512" s="83" t="str">
        <f>IF($F512="","",IFERROR(VLOOKUP($F512,Inventory!$A:$B,2,FALSE),""))</f>
        <v>Kitchen Flavor Grain Free Adult 1.5KG</v>
      </c>
      <c r="H512" s="159">
        <v>1.0</v>
      </c>
      <c r="I512" s="84">
        <f t="shared" si="2"/>
        <v>1200</v>
      </c>
      <c r="J512" s="85">
        <f>IF($F512="","",IFERROR(VLOOKUP($F512,Inventory!$A:$K,11,FALSE),0))</f>
        <v>1260</v>
      </c>
      <c r="K512" s="97">
        <v>60.0</v>
      </c>
      <c r="L512" s="85">
        <f t="shared" si="3"/>
        <v>1200</v>
      </c>
      <c r="M512" s="159" t="s">
        <v>330</v>
      </c>
      <c r="N512" s="85">
        <f>IF($F512="","",IFERROR(VLOOKUP($F512,Inventory!$A:$I,9,FALSE),0))</f>
        <v>990</v>
      </c>
      <c r="O512" s="85">
        <f t="shared" si="4"/>
        <v>990</v>
      </c>
      <c r="P512" s="85">
        <f t="shared" si="5"/>
        <v>210</v>
      </c>
      <c r="Q512" s="83"/>
      <c r="R512" s="118" t="str">
        <f>IF($E512="","",IF(COUNTIF($E$7:$E1709,$E512)&gt;1,"",IFERROR(VLOOKUP($E512,Orders!$A:$I,8,FALSE),"")))</f>
        <v/>
      </c>
      <c r="S512" s="118" t="str">
        <f>IF($E512="","",IF(COUNTIF($E$7:$E1709,$E512)&gt;1,"",IFERROR(VLOOKUP($E512,Orders!$A:$I,9,FALSE),"")))</f>
        <v/>
      </c>
      <c r="T512" s="88">
        <f t="shared" si="6"/>
        <v>210</v>
      </c>
      <c r="U512" s="88">
        <f>IF($F512="","",IF($E512="",T512,SUMIF(Sales!$E$7:$E$1506,$E512,Sales!$T$7:$T$1506)))</f>
        <v>210</v>
      </c>
      <c r="V512" s="49" t="str">
        <f t="shared" si="10"/>
        <v/>
      </c>
      <c r="W512" s="49" t="str">
        <f t="array" ref="W512">IF($V512="","",SUMPRODUCT((Sales!$V$7:$V$1506&lt;&gt;"")*(Sales!$E$7:$E$1506&lt;$E512))+1)</f>
        <v/>
      </c>
      <c r="X512" s="49">
        <f t="shared" si="11"/>
        <v>23</v>
      </c>
      <c r="Y512" s="49" t="str">
        <f t="shared" si="9"/>
        <v>202609-23</v>
      </c>
    </row>
    <row r="513" ht="15.75" customHeight="1">
      <c r="A513" s="161">
        <v>46267.0</v>
      </c>
      <c r="B513" s="165" t="s">
        <v>324</v>
      </c>
      <c r="C513" s="164" t="s">
        <v>365</v>
      </c>
      <c r="D513" s="165" t="s">
        <v>366</v>
      </c>
      <c r="E513" s="83"/>
      <c r="F513" s="159" t="s">
        <v>196</v>
      </c>
      <c r="G513" s="83" t="str">
        <f>IF($F513="","",IFERROR(VLOOKUP($F513,Inventory!$A:$B,2,FALSE),""))</f>
        <v>Cozie Cat Litter Lemon 5L</v>
      </c>
      <c r="H513" s="159">
        <v>1.0</v>
      </c>
      <c r="I513" s="84">
        <f t="shared" si="2"/>
        <v>300</v>
      </c>
      <c r="J513" s="85">
        <f>IF($F513="","",IFERROR(VLOOKUP($F513,Inventory!$A:$K,11,FALSE),0))</f>
        <v>370</v>
      </c>
      <c r="K513" s="97">
        <v>70.0</v>
      </c>
      <c r="L513" s="85">
        <f t="shared" si="3"/>
        <v>300</v>
      </c>
      <c r="M513" s="159" t="s">
        <v>330</v>
      </c>
      <c r="N513" s="85">
        <f>IF($F513="","",IFERROR(VLOOKUP($F513,Inventory!$A:$I,9,FALSE),0))</f>
        <v>230</v>
      </c>
      <c r="O513" s="85">
        <f t="shared" si="4"/>
        <v>230</v>
      </c>
      <c r="P513" s="85">
        <f t="shared" si="5"/>
        <v>70</v>
      </c>
      <c r="Q513" s="83"/>
      <c r="R513" s="118" t="str">
        <f>IF($E513="","",IF(COUNTIF($E$7:$E1710,$E513)&gt;1,"",IFERROR(VLOOKUP($E513,Orders!$A:$I,8,FALSE),"")))</f>
        <v/>
      </c>
      <c r="S513" s="118" t="str">
        <f>IF($E513="","",IF(COUNTIF($E$7:$E1710,$E513)&gt;1,"",IFERROR(VLOOKUP($E513,Orders!$A:$I,9,FALSE),"")))</f>
        <v/>
      </c>
      <c r="T513" s="88">
        <f t="shared" si="6"/>
        <v>70</v>
      </c>
      <c r="U513" s="88">
        <f>IF($F513="","",IF($E513="",T513,SUMIF(Sales!$E$7:$E$1506,$E513,Sales!$T$7:$T$1506)))</f>
        <v>70</v>
      </c>
      <c r="V513" s="49" t="str">
        <f t="shared" si="10"/>
        <v/>
      </c>
      <c r="W513" s="49" t="str">
        <f t="array" ref="W513">IF($V513="","",SUMPRODUCT((Sales!$V$7:$V$1506&lt;&gt;"")*(Sales!$E$7:$E$1506&lt;$E513))+1)</f>
        <v/>
      </c>
      <c r="X513" s="49">
        <f t="shared" si="11"/>
        <v>23</v>
      </c>
      <c r="Y513" s="49" t="str">
        <f t="shared" si="9"/>
        <v>202609-23</v>
      </c>
    </row>
    <row r="514" ht="15.75" customHeight="1">
      <c r="A514" s="161">
        <v>46267.0</v>
      </c>
      <c r="B514" s="165" t="s">
        <v>324</v>
      </c>
      <c r="C514" s="164" t="s">
        <v>365</v>
      </c>
      <c r="D514" s="165" t="s">
        <v>366</v>
      </c>
      <c r="E514" s="83"/>
      <c r="F514" s="159" t="s">
        <v>228</v>
      </c>
      <c r="G514" s="83" t="str">
        <f>IF($F514="","",IFERROR(VLOOKUP($F514,Inventory!$A:$B,2,FALSE),""))</f>
        <v>Helminticide-L Deworming Tablet </v>
      </c>
      <c r="H514" s="159">
        <v>1.0</v>
      </c>
      <c r="I514" s="84">
        <f t="shared" si="2"/>
        <v>50</v>
      </c>
      <c r="J514" s="85">
        <f>IF($F514="","",IFERROR(VLOOKUP($F514,Inventory!$A:$K,11,FALSE),0))</f>
        <v>50</v>
      </c>
      <c r="K514" s="97"/>
      <c r="L514" s="85">
        <f t="shared" si="3"/>
        <v>50</v>
      </c>
      <c r="M514" s="159" t="s">
        <v>330</v>
      </c>
      <c r="N514" s="85">
        <f>IF($F514="","",IFERROR(VLOOKUP($F514,Inventory!$A:$I,9,FALSE),0))</f>
        <v>28.63636364</v>
      </c>
      <c r="O514" s="85">
        <f t="shared" si="4"/>
        <v>28.63636364</v>
      </c>
      <c r="P514" s="85">
        <f t="shared" si="5"/>
        <v>21.36363636</v>
      </c>
      <c r="Q514" s="83"/>
      <c r="R514" s="118"/>
      <c r="S514" s="118"/>
      <c r="T514" s="88"/>
      <c r="U514" s="88"/>
      <c r="V514" s="49"/>
      <c r="W514" s="49"/>
      <c r="X514" s="49"/>
      <c r="Y514" s="49"/>
    </row>
    <row r="515" ht="15.75" customHeight="1">
      <c r="A515" s="161">
        <v>46267.0</v>
      </c>
      <c r="B515" s="165" t="s">
        <v>324</v>
      </c>
      <c r="C515" s="164" t="s">
        <v>365</v>
      </c>
      <c r="D515" s="165" t="s">
        <v>366</v>
      </c>
      <c r="E515" s="83"/>
      <c r="F515" s="159" t="s">
        <v>179</v>
      </c>
      <c r="G515" s="83" t="str">
        <f>IF($F515="","",IFERROR(VLOOKUP($F515,Inventory!$A:$B,2,FALSE),""))</f>
        <v>Creamy Treat 15G (Purry &amp; Hyper Paws)</v>
      </c>
      <c r="H515" s="159">
        <v>5.0</v>
      </c>
      <c r="I515" s="84">
        <f t="shared" si="2"/>
        <v>20</v>
      </c>
      <c r="J515" s="85">
        <f>IF($F515="","",IFERROR(VLOOKUP($F515,Inventory!$A:$K,11,FALSE),0))</f>
        <v>20</v>
      </c>
      <c r="K515" s="85"/>
      <c r="L515" s="85">
        <f t="shared" si="3"/>
        <v>100</v>
      </c>
      <c r="M515" s="159" t="s">
        <v>330</v>
      </c>
      <c r="N515" s="85">
        <f>IF($F515="","",IFERROR(VLOOKUP($F515,Inventory!$A:$I,9,FALSE),0))</f>
        <v>8.147411853</v>
      </c>
      <c r="O515" s="85">
        <f t="shared" si="4"/>
        <v>40.73705926</v>
      </c>
      <c r="P515" s="85">
        <f t="shared" si="5"/>
        <v>59.26294074</v>
      </c>
      <c r="Q515" s="83"/>
      <c r="R515" s="118"/>
      <c r="S515" s="118"/>
      <c r="T515" s="88"/>
      <c r="U515" s="88"/>
      <c r="V515" s="49"/>
      <c r="W515" s="49"/>
      <c r="X515" s="49"/>
      <c r="Y515" s="49"/>
    </row>
    <row r="516" ht="15.75" customHeight="1">
      <c r="A516" s="161">
        <v>46267.0</v>
      </c>
      <c r="B516" s="165" t="s">
        <v>324</v>
      </c>
      <c r="C516" s="164" t="s">
        <v>365</v>
      </c>
      <c r="D516" s="165" t="s">
        <v>366</v>
      </c>
      <c r="E516" s="83"/>
      <c r="F516" s="159" t="s">
        <v>179</v>
      </c>
      <c r="G516" s="83" t="str">
        <f>IF($F516="","",IFERROR(VLOOKUP($F516,Inventory!$A:$B,2,FALSE),""))</f>
        <v>Creamy Treat 15G (Purry &amp; Hyper Paws)</v>
      </c>
      <c r="H516" s="159">
        <v>4.0</v>
      </c>
      <c r="I516" s="84">
        <f t="shared" si="2"/>
        <v>20</v>
      </c>
      <c r="J516" s="85">
        <f>IF($F516="","",IFERROR(VLOOKUP($F516,Inventory!$A:$K,11,FALSE),0))</f>
        <v>20</v>
      </c>
      <c r="K516" s="85"/>
      <c r="L516" s="85">
        <f t="shared" si="3"/>
        <v>80</v>
      </c>
      <c r="M516" s="159" t="s">
        <v>330</v>
      </c>
      <c r="N516" s="85">
        <f>IF($F516="","",IFERROR(VLOOKUP($F516,Inventory!$A:$I,9,FALSE),0))</f>
        <v>8.147411853</v>
      </c>
      <c r="O516" s="85">
        <f t="shared" si="4"/>
        <v>32.58964741</v>
      </c>
      <c r="P516" s="85">
        <f t="shared" si="5"/>
        <v>47.41035259</v>
      </c>
      <c r="Q516" s="83"/>
      <c r="R516" s="118"/>
      <c r="S516" s="118"/>
      <c r="T516" s="88"/>
      <c r="U516" s="88"/>
      <c r="V516" s="49"/>
      <c r="W516" s="49"/>
      <c r="X516" s="49"/>
      <c r="Y516" s="49"/>
    </row>
    <row r="517" ht="15.75" customHeight="1">
      <c r="A517" s="161">
        <v>46267.0</v>
      </c>
      <c r="B517" s="165" t="s">
        <v>324</v>
      </c>
      <c r="C517" s="164" t="s">
        <v>365</v>
      </c>
      <c r="D517" s="165" t="s">
        <v>366</v>
      </c>
      <c r="E517" s="83"/>
      <c r="F517" s="159" t="s">
        <v>559</v>
      </c>
      <c r="G517" s="83" t="str">
        <f>IF($F517="","",IFERROR(VLOOKUP($F517,Inventory!$A:$B,2,FALSE),""))</f>
        <v>Taipet Multivitamin Treat 15gm</v>
      </c>
      <c r="H517" s="159">
        <v>1.0</v>
      </c>
      <c r="I517" s="84">
        <f t="shared" si="2"/>
        <v>40</v>
      </c>
      <c r="J517" s="85">
        <f>IF($F517="","",IFERROR(VLOOKUP($F517,Inventory!$A:$K,11,FALSE),0))</f>
        <v>40</v>
      </c>
      <c r="K517" s="97"/>
      <c r="L517" s="85">
        <f t="shared" si="3"/>
        <v>40</v>
      </c>
      <c r="M517" s="159" t="s">
        <v>330</v>
      </c>
      <c r="N517" s="85">
        <f>IF($F517="","",IFERROR(VLOOKUP($F517,Inventory!$A:$I,9,FALSE),0))</f>
        <v>20</v>
      </c>
      <c r="O517" s="85">
        <f t="shared" si="4"/>
        <v>20</v>
      </c>
      <c r="P517" s="85">
        <f t="shared" si="5"/>
        <v>20</v>
      </c>
      <c r="Q517" s="83"/>
      <c r="R517" s="118"/>
      <c r="S517" s="118"/>
      <c r="T517" s="88"/>
      <c r="U517" s="88"/>
      <c r="V517" s="49"/>
      <c r="W517" s="49"/>
      <c r="X517" s="49"/>
      <c r="Y517" s="49"/>
    </row>
    <row r="518" ht="15.75" customHeight="1">
      <c r="A518" s="161"/>
      <c r="B518" s="159"/>
      <c r="C518" s="159"/>
      <c r="D518" s="165"/>
      <c r="E518" s="83"/>
      <c r="F518" s="159"/>
      <c r="G518" s="83" t="str">
        <f>IF($F518="","",IFERROR(VLOOKUP($F518,Inventory!$A:$B,2,FALSE),""))</f>
        <v/>
      </c>
      <c r="H518" s="159"/>
      <c r="I518" s="84" t="str">
        <f t="shared" si="2"/>
        <v/>
      </c>
      <c r="J518" s="85" t="str">
        <f>IF($F518="","",IFERROR(VLOOKUP($F518,Inventory!$A:$K,11,FALSE),0))</f>
        <v/>
      </c>
      <c r="K518" s="97"/>
      <c r="L518" s="85" t="str">
        <f t="shared" si="3"/>
        <v/>
      </c>
      <c r="M518" s="83"/>
      <c r="N518" s="85" t="str">
        <f>IF($F518="","",IFERROR(VLOOKUP($F518,Inventory!$A:$I,9,FALSE),0))</f>
        <v/>
      </c>
      <c r="O518" s="85" t="str">
        <f t="shared" si="4"/>
        <v/>
      </c>
      <c r="P518" s="85" t="str">
        <f t="shared" si="5"/>
        <v/>
      </c>
      <c r="Q518" s="83"/>
      <c r="R518" s="118"/>
      <c r="S518" s="118"/>
      <c r="T518" s="88"/>
      <c r="U518" s="88"/>
      <c r="V518" s="49"/>
      <c r="W518" s="49"/>
      <c r="X518" s="49"/>
      <c r="Y518" s="49"/>
    </row>
    <row r="519" ht="15.75" customHeight="1">
      <c r="A519" s="161"/>
      <c r="B519" s="159"/>
      <c r="C519" s="159"/>
      <c r="D519" s="165"/>
      <c r="E519" s="83"/>
      <c r="F519" s="159"/>
      <c r="G519" s="83" t="str">
        <f>IF($F519="","",IFERROR(VLOOKUP($F519,Inventory!$A:$B,2,FALSE),""))</f>
        <v/>
      </c>
      <c r="H519" s="159"/>
      <c r="I519" s="84" t="str">
        <f t="shared" si="2"/>
        <v/>
      </c>
      <c r="J519" s="85"/>
      <c r="K519" s="85"/>
      <c r="L519" s="85" t="str">
        <f t="shared" si="3"/>
        <v/>
      </c>
      <c r="M519" s="159"/>
      <c r="N519" s="85" t="str">
        <f>IF($F519="","",IFERROR(VLOOKUP($F519,Inventory!$A:$I,9,FALSE),0))</f>
        <v/>
      </c>
      <c r="O519" s="85" t="str">
        <f t="shared" si="4"/>
        <v/>
      </c>
      <c r="P519" s="85" t="str">
        <f t="shared" si="5"/>
        <v/>
      </c>
      <c r="Q519" s="83"/>
      <c r="R519" s="118"/>
      <c r="S519" s="118"/>
      <c r="T519" s="88"/>
      <c r="U519" s="88"/>
      <c r="V519" s="49"/>
      <c r="W519" s="49"/>
      <c r="X519" s="49"/>
      <c r="Y519" s="49"/>
    </row>
    <row r="520" ht="15.75" customHeight="1">
      <c r="A520" s="161"/>
      <c r="B520" s="159"/>
      <c r="C520" s="159"/>
      <c r="D520" s="165"/>
      <c r="E520" s="83"/>
      <c r="F520" s="172"/>
      <c r="G520" s="83" t="str">
        <f>IF($F520="","",IFERROR(VLOOKUP($F520,Inventory!$A:$B,2,FALSE),""))</f>
        <v/>
      </c>
      <c r="H520" s="159"/>
      <c r="I520" s="84" t="str">
        <f t="shared" si="2"/>
        <v/>
      </c>
      <c r="J520" s="85"/>
      <c r="K520" s="97"/>
      <c r="L520" s="85" t="str">
        <f t="shared" si="3"/>
        <v/>
      </c>
      <c r="M520" s="159"/>
      <c r="N520" s="85" t="str">
        <f>IF($F520="","",IFERROR(VLOOKUP($F520,Inventory!$A:$I,9,FALSE),0))</f>
        <v/>
      </c>
      <c r="O520" s="85" t="str">
        <f t="shared" si="4"/>
        <v/>
      </c>
      <c r="P520" s="85" t="str">
        <f t="shared" si="5"/>
        <v/>
      </c>
      <c r="Q520" s="83"/>
      <c r="R520" s="118"/>
      <c r="S520" s="118"/>
      <c r="T520" s="88"/>
      <c r="U520" s="88"/>
      <c r="V520" s="49"/>
      <c r="W520" s="49"/>
      <c r="X520" s="49"/>
      <c r="Y520" s="49"/>
    </row>
    <row r="521" ht="15.75" customHeight="1">
      <c r="A521" s="161"/>
      <c r="B521" s="159"/>
      <c r="C521" s="159"/>
      <c r="D521" s="165"/>
      <c r="E521" s="159"/>
      <c r="F521" s="173"/>
      <c r="G521" s="83" t="str">
        <f>IF($F521="","",IFERROR(VLOOKUP($F521,Inventory!$A:$B,2,FALSE),""))</f>
        <v/>
      </c>
      <c r="H521" s="159"/>
      <c r="I521" s="84" t="str">
        <f t="shared" si="2"/>
        <v/>
      </c>
      <c r="J521" s="85"/>
      <c r="K521" s="85"/>
      <c r="L521" s="85" t="str">
        <f t="shared" si="3"/>
        <v/>
      </c>
      <c r="M521" s="159"/>
      <c r="N521" s="85" t="str">
        <f>IF($F521="","",IFERROR(VLOOKUP($F521,Inventory!$A:$I,9,FALSE),0))</f>
        <v/>
      </c>
      <c r="O521" s="85" t="str">
        <f t="shared" si="4"/>
        <v/>
      </c>
      <c r="P521" s="85" t="str">
        <f t="shared" si="5"/>
        <v/>
      </c>
      <c r="Q521" s="83"/>
      <c r="R521" s="118"/>
      <c r="S521" s="118"/>
      <c r="T521" s="88"/>
      <c r="U521" s="88"/>
      <c r="V521" s="49"/>
      <c r="W521" s="49"/>
      <c r="X521" s="49"/>
      <c r="Y521" s="49"/>
    </row>
    <row r="522" ht="15.75" customHeight="1">
      <c r="A522" s="161"/>
      <c r="B522" s="159"/>
      <c r="C522" s="159"/>
      <c r="D522" s="165"/>
      <c r="E522" s="159"/>
      <c r="F522" s="159"/>
      <c r="G522" s="83" t="str">
        <f>IF($F522="","",IFERROR(VLOOKUP($F522,Inventory!$A:$B,2,FALSE),""))</f>
        <v/>
      </c>
      <c r="H522" s="159"/>
      <c r="I522" s="84" t="str">
        <f t="shared" si="2"/>
        <v/>
      </c>
      <c r="J522" s="85"/>
      <c r="K522" s="97"/>
      <c r="L522" s="85" t="str">
        <f t="shared" si="3"/>
        <v/>
      </c>
      <c r="M522" s="159"/>
      <c r="N522" s="85" t="str">
        <f>IF($F522="","",IFERROR(VLOOKUP($F522,Inventory!$A:$I,9,FALSE),0))</f>
        <v/>
      </c>
      <c r="O522" s="85" t="str">
        <f t="shared" si="4"/>
        <v/>
      </c>
      <c r="P522" s="85" t="str">
        <f t="shared" si="5"/>
        <v/>
      </c>
      <c r="Q522" s="83"/>
      <c r="R522" s="118"/>
      <c r="S522" s="118"/>
      <c r="T522" s="88"/>
      <c r="U522" s="88"/>
      <c r="V522" s="49"/>
      <c r="W522" s="49"/>
      <c r="X522" s="49"/>
      <c r="Y522" s="49"/>
    </row>
    <row r="523" ht="15.75" customHeight="1">
      <c r="A523" s="161"/>
      <c r="B523" s="159"/>
      <c r="C523" s="159"/>
      <c r="D523" s="165"/>
      <c r="E523" s="159"/>
      <c r="F523" s="159"/>
      <c r="G523" s="83" t="str">
        <f>IF($F523="","",IFERROR(VLOOKUP($F523,Inventory!$A:$B,2,FALSE),""))</f>
        <v/>
      </c>
      <c r="H523" s="159"/>
      <c r="I523" s="84" t="str">
        <f t="shared" si="2"/>
        <v/>
      </c>
      <c r="J523" s="85"/>
      <c r="K523" s="85"/>
      <c r="L523" s="85" t="str">
        <f t="shared" si="3"/>
        <v/>
      </c>
      <c r="M523" s="159"/>
      <c r="N523" s="85" t="str">
        <f>IF($F523="","",IFERROR(VLOOKUP($F523,Inventory!$A:$I,9,FALSE),0))</f>
        <v/>
      </c>
      <c r="O523" s="85" t="str">
        <f t="shared" si="4"/>
        <v/>
      </c>
      <c r="P523" s="85" t="str">
        <f t="shared" si="5"/>
        <v/>
      </c>
      <c r="Q523" s="83"/>
      <c r="R523" s="118"/>
      <c r="S523" s="118"/>
      <c r="T523" s="88"/>
      <c r="U523" s="88"/>
      <c r="V523" s="49"/>
      <c r="W523" s="49"/>
      <c r="X523" s="49"/>
      <c r="Y523" s="49"/>
    </row>
    <row r="524" ht="15.75" customHeight="1">
      <c r="A524" s="161"/>
      <c r="B524" s="159"/>
      <c r="C524" s="159"/>
      <c r="D524" s="165"/>
      <c r="E524" s="83"/>
      <c r="F524" s="159"/>
      <c r="G524" s="83" t="str">
        <f>IF($F524="","",IFERROR(VLOOKUP($F524,Inventory!$A:$B,2,FALSE),""))</f>
        <v/>
      </c>
      <c r="H524" s="159"/>
      <c r="I524" s="84" t="str">
        <f t="shared" si="2"/>
        <v/>
      </c>
      <c r="J524" s="85"/>
      <c r="K524" s="85"/>
      <c r="L524" s="85" t="str">
        <f t="shared" si="3"/>
        <v/>
      </c>
      <c r="M524" s="159"/>
      <c r="N524" s="85" t="str">
        <f>IF($F524="","",IFERROR(VLOOKUP($F524,Inventory!$A:$I,9,FALSE),0))</f>
        <v/>
      </c>
      <c r="O524" s="85" t="str">
        <f t="shared" si="4"/>
        <v/>
      </c>
      <c r="P524" s="85" t="str">
        <f t="shared" si="5"/>
        <v/>
      </c>
      <c r="Q524" s="83"/>
      <c r="R524" s="118"/>
      <c r="S524" s="118"/>
      <c r="T524" s="88"/>
      <c r="U524" s="88"/>
      <c r="V524" s="49"/>
      <c r="W524" s="49"/>
      <c r="X524" s="49"/>
      <c r="Y524" s="49"/>
    </row>
    <row r="525" ht="15.75" customHeight="1">
      <c r="A525" s="174"/>
      <c r="B525" s="159"/>
      <c r="C525" s="159"/>
      <c r="D525" s="165"/>
      <c r="E525" s="83"/>
      <c r="F525" s="69"/>
      <c r="G525" s="83" t="str">
        <f>IF($F525="","",IFERROR(VLOOKUP($F525,Inventory!$A:$B,2,FALSE),""))</f>
        <v/>
      </c>
      <c r="H525" s="159"/>
      <c r="I525" s="84" t="str">
        <f t="shared" si="2"/>
        <v/>
      </c>
      <c r="J525" s="85"/>
      <c r="K525" s="85"/>
      <c r="L525" s="85" t="str">
        <f t="shared" si="3"/>
        <v/>
      </c>
      <c r="M525" s="159"/>
      <c r="N525" s="85" t="str">
        <f>IF($F525="","",IFERROR(VLOOKUP($F525,Inventory!$A:$I,9,FALSE),0))</f>
        <v/>
      </c>
      <c r="O525" s="85" t="str">
        <f t="shared" si="4"/>
        <v/>
      </c>
      <c r="P525" s="85" t="str">
        <f t="shared" si="5"/>
        <v/>
      </c>
      <c r="Q525" s="83"/>
      <c r="R525" s="118"/>
      <c r="S525" s="118"/>
      <c r="T525" s="88"/>
      <c r="U525" s="88"/>
      <c r="V525" s="49"/>
      <c r="W525" s="49"/>
      <c r="X525" s="49"/>
      <c r="Y525" s="49"/>
    </row>
    <row r="526" ht="15.75" customHeight="1">
      <c r="A526" s="174"/>
      <c r="B526" s="159"/>
      <c r="C526" s="159"/>
      <c r="D526" s="165"/>
      <c r="E526" s="83"/>
      <c r="F526" s="175"/>
      <c r="G526" s="83" t="str">
        <f>IF($F526="","",IFERROR(VLOOKUP($F526,Inventory!$A:$B,2,FALSE),""))</f>
        <v/>
      </c>
      <c r="H526" s="159"/>
      <c r="I526" s="84" t="str">
        <f t="shared" si="2"/>
        <v/>
      </c>
      <c r="J526" s="85"/>
      <c r="K526" s="97"/>
      <c r="L526" s="85" t="str">
        <f t="shared" si="3"/>
        <v/>
      </c>
      <c r="M526" s="159"/>
      <c r="N526" s="85" t="str">
        <f>IF($F526="","",IFERROR(VLOOKUP($F526,Inventory!$A:$I,9,FALSE),0))</f>
        <v/>
      </c>
      <c r="O526" s="85" t="str">
        <f t="shared" si="4"/>
        <v/>
      </c>
      <c r="P526" s="85" t="str">
        <f t="shared" si="5"/>
        <v/>
      </c>
      <c r="Q526" s="83"/>
      <c r="R526" s="118"/>
      <c r="S526" s="118"/>
      <c r="T526" s="88"/>
      <c r="U526" s="88"/>
      <c r="V526" s="49"/>
      <c r="W526" s="49"/>
      <c r="X526" s="49"/>
      <c r="Y526" s="49"/>
    </row>
    <row r="527" ht="15.75" customHeight="1">
      <c r="A527" s="174"/>
      <c r="B527" s="159"/>
      <c r="C527" s="159"/>
      <c r="D527" s="165"/>
      <c r="E527" s="83"/>
      <c r="F527" s="69"/>
      <c r="G527" s="83" t="str">
        <f>IF($F527="","",IFERROR(VLOOKUP($F527,Inventory!$A:$B,2,FALSE),""))</f>
        <v/>
      </c>
      <c r="H527" s="159"/>
      <c r="I527" s="84" t="str">
        <f t="shared" si="2"/>
        <v/>
      </c>
      <c r="J527" s="85"/>
      <c r="K527" s="97"/>
      <c r="L527" s="85" t="str">
        <f t="shared" si="3"/>
        <v/>
      </c>
      <c r="M527" s="159"/>
      <c r="N527" s="85" t="str">
        <f>IF($F527="","",IFERROR(VLOOKUP($F527,Inventory!$A:$I,9,FALSE),0))</f>
        <v/>
      </c>
      <c r="O527" s="85" t="str">
        <f t="shared" si="4"/>
        <v/>
      </c>
      <c r="P527" s="85" t="str">
        <f t="shared" si="5"/>
        <v/>
      </c>
      <c r="Q527" s="83"/>
      <c r="R527" s="118"/>
      <c r="S527" s="118"/>
      <c r="T527" s="88"/>
      <c r="U527" s="88"/>
      <c r="V527" s="49"/>
      <c r="W527" s="49"/>
      <c r="X527" s="49"/>
      <c r="Y527" s="49"/>
    </row>
    <row r="528" ht="15.75" customHeight="1">
      <c r="A528" s="174"/>
      <c r="B528" s="159"/>
      <c r="C528" s="159"/>
      <c r="D528" s="165"/>
      <c r="E528" s="83"/>
      <c r="F528" s="159"/>
      <c r="G528" s="83" t="str">
        <f>IF($F528="","",IFERROR(VLOOKUP($F528,Inventory!$A:$B,2,FALSE),""))</f>
        <v/>
      </c>
      <c r="H528" s="159"/>
      <c r="I528" s="84" t="str">
        <f t="shared" si="2"/>
        <v/>
      </c>
      <c r="J528" s="85"/>
      <c r="K528" s="97"/>
      <c r="L528" s="85" t="str">
        <f t="shared" si="3"/>
        <v/>
      </c>
      <c r="M528" s="159"/>
      <c r="N528" s="85" t="str">
        <f>IF($F528="","",IFERROR(VLOOKUP($F528,Inventory!$A:$I,9,FALSE),0))</f>
        <v/>
      </c>
      <c r="O528" s="85" t="str">
        <f t="shared" si="4"/>
        <v/>
      </c>
      <c r="P528" s="85" t="str">
        <f t="shared" si="5"/>
        <v/>
      </c>
      <c r="Q528" s="83"/>
      <c r="R528" s="118"/>
      <c r="S528" s="118"/>
      <c r="T528" s="88"/>
      <c r="U528" s="88"/>
      <c r="V528" s="49"/>
      <c r="W528" s="49"/>
      <c r="X528" s="49"/>
      <c r="Y528" s="49"/>
    </row>
    <row r="529" ht="15.75" customHeight="1">
      <c r="A529" s="174"/>
      <c r="B529" s="159"/>
      <c r="C529" s="159"/>
      <c r="D529" s="165"/>
      <c r="E529" s="83"/>
      <c r="F529" s="69"/>
      <c r="G529" s="83" t="str">
        <f>IF($F529="","",IFERROR(VLOOKUP($F529,Inventory!$A:$B,2,FALSE),""))</f>
        <v/>
      </c>
      <c r="H529" s="159"/>
      <c r="I529" s="84" t="str">
        <f t="shared" si="2"/>
        <v/>
      </c>
      <c r="J529" s="85"/>
      <c r="K529" s="97"/>
      <c r="L529" s="85" t="str">
        <f t="shared" si="3"/>
        <v/>
      </c>
      <c r="M529" s="159"/>
      <c r="N529" s="85" t="str">
        <f>IF($F529="","",IFERROR(VLOOKUP($F529,Inventory!$A:$I,9,FALSE),0))</f>
        <v/>
      </c>
      <c r="O529" s="85" t="str">
        <f t="shared" si="4"/>
        <v/>
      </c>
      <c r="P529" s="85" t="str">
        <f t="shared" si="5"/>
        <v/>
      </c>
      <c r="Q529" s="83"/>
      <c r="R529" s="118"/>
      <c r="S529" s="118"/>
      <c r="T529" s="88"/>
      <c r="U529" s="88"/>
      <c r="V529" s="49"/>
      <c r="W529" s="49"/>
      <c r="X529" s="49"/>
      <c r="Y529" s="49"/>
    </row>
    <row r="530" ht="15.75" customHeight="1">
      <c r="A530" s="174"/>
      <c r="B530" s="159"/>
      <c r="C530" s="159"/>
      <c r="D530" s="165"/>
      <c r="E530" s="83"/>
      <c r="F530" s="159"/>
      <c r="G530" s="83" t="str">
        <f>IF($F530="","",IFERROR(VLOOKUP($F530,Inventory!$A:$B,2,FALSE),""))</f>
        <v/>
      </c>
      <c r="H530" s="159"/>
      <c r="I530" s="84" t="str">
        <f t="shared" si="2"/>
        <v/>
      </c>
      <c r="J530" s="85"/>
      <c r="K530" s="97"/>
      <c r="L530" s="85" t="str">
        <f t="shared" si="3"/>
        <v/>
      </c>
      <c r="M530" s="159"/>
      <c r="N530" s="85" t="str">
        <f>IF($F530="","",IFERROR(VLOOKUP($F530,Inventory!$A:$I,9,FALSE),0))</f>
        <v/>
      </c>
      <c r="O530" s="85" t="str">
        <f t="shared" si="4"/>
        <v/>
      </c>
      <c r="P530" s="85" t="str">
        <f t="shared" si="5"/>
        <v/>
      </c>
      <c r="Q530" s="83"/>
      <c r="R530" s="118"/>
      <c r="S530" s="118"/>
      <c r="T530" s="88"/>
      <c r="U530" s="88"/>
      <c r="V530" s="49"/>
      <c r="W530" s="49"/>
      <c r="X530" s="49"/>
      <c r="Y530" s="49"/>
    </row>
    <row r="531" ht="15.75" customHeight="1">
      <c r="A531" s="174"/>
      <c r="B531" s="159"/>
      <c r="C531" s="159"/>
      <c r="D531" s="165"/>
      <c r="E531" s="83"/>
      <c r="F531" s="83"/>
      <c r="G531" s="83" t="str">
        <f>IF($F531="","",IFERROR(VLOOKUP($F531,Inventory!$A:$B,2,FALSE),""))</f>
        <v/>
      </c>
      <c r="H531" s="83"/>
      <c r="I531" s="84" t="str">
        <f t="shared" si="2"/>
        <v/>
      </c>
      <c r="J531" s="85"/>
      <c r="K531" s="85"/>
      <c r="L531" s="85" t="str">
        <f t="shared" si="3"/>
        <v/>
      </c>
      <c r="M531" s="83"/>
      <c r="N531" s="85"/>
      <c r="O531" s="85" t="str">
        <f t="shared" si="4"/>
        <v/>
      </c>
      <c r="P531" s="85" t="str">
        <f t="shared" si="5"/>
        <v/>
      </c>
      <c r="Q531" s="83"/>
      <c r="R531" s="118"/>
      <c r="S531" s="118"/>
      <c r="T531" s="88"/>
      <c r="U531" s="88"/>
      <c r="V531" s="49"/>
      <c r="W531" s="49"/>
      <c r="X531" s="49"/>
      <c r="Y531" s="49"/>
    </row>
    <row r="532" ht="15.75" customHeight="1">
      <c r="A532" s="174"/>
      <c r="B532" s="159"/>
      <c r="C532" s="159"/>
      <c r="D532" s="165"/>
      <c r="E532" s="83"/>
      <c r="F532" s="83"/>
      <c r="G532" s="83"/>
      <c r="H532" s="83"/>
      <c r="I532" s="84" t="str">
        <f t="shared" si="2"/>
        <v/>
      </c>
      <c r="J532" s="85"/>
      <c r="K532" s="85"/>
      <c r="L532" s="85" t="str">
        <f t="shared" si="3"/>
        <v/>
      </c>
      <c r="M532" s="83"/>
      <c r="N532" s="85"/>
      <c r="O532" s="85" t="str">
        <f t="shared" si="4"/>
        <v/>
      </c>
      <c r="P532" s="85" t="str">
        <f t="shared" si="5"/>
        <v/>
      </c>
      <c r="Q532" s="83"/>
      <c r="R532" s="118"/>
      <c r="S532" s="118"/>
      <c r="T532" s="88"/>
      <c r="U532" s="88"/>
      <c r="V532" s="49"/>
      <c r="W532" s="49"/>
      <c r="X532" s="49"/>
      <c r="Y532" s="49"/>
    </row>
    <row r="533" ht="15.75" customHeight="1">
      <c r="A533" s="174"/>
      <c r="B533" s="83"/>
      <c r="C533" s="83"/>
      <c r="D533" s="83"/>
      <c r="E533" s="83"/>
      <c r="F533" s="83"/>
      <c r="G533" s="83"/>
      <c r="H533" s="83"/>
      <c r="I533" s="84" t="str">
        <f t="shared" si="2"/>
        <v/>
      </c>
      <c r="J533" s="85"/>
      <c r="K533" s="85"/>
      <c r="L533" s="85" t="str">
        <f t="shared" si="3"/>
        <v/>
      </c>
      <c r="M533" s="83"/>
      <c r="N533" s="85"/>
      <c r="O533" s="85"/>
      <c r="P533" s="85" t="str">
        <f t="shared" si="5"/>
        <v/>
      </c>
      <c r="Q533" s="83"/>
      <c r="R533" s="118"/>
      <c r="S533" s="118"/>
      <c r="T533" s="88"/>
      <c r="U533" s="88"/>
      <c r="V533" s="49"/>
      <c r="W533" s="49"/>
      <c r="X533" s="49"/>
      <c r="Y533" s="49"/>
    </row>
    <row r="534" ht="15.75" customHeight="1">
      <c r="A534" s="174"/>
      <c r="B534" s="83"/>
      <c r="C534" s="83"/>
      <c r="D534" s="83"/>
      <c r="E534" s="83"/>
      <c r="F534" s="83"/>
      <c r="G534" s="83"/>
      <c r="H534" s="83"/>
      <c r="I534" s="84" t="str">
        <f t="shared" si="2"/>
        <v/>
      </c>
      <c r="J534" s="85"/>
      <c r="K534" s="85"/>
      <c r="L534" s="85"/>
      <c r="M534" s="83"/>
      <c r="N534" s="85"/>
      <c r="O534" s="85"/>
      <c r="P534" s="85" t="str">
        <f t="shared" si="5"/>
        <v/>
      </c>
      <c r="Q534" s="83"/>
      <c r="R534" s="118"/>
      <c r="S534" s="118"/>
      <c r="T534" s="88"/>
      <c r="U534" s="88"/>
      <c r="V534" s="49"/>
      <c r="W534" s="49"/>
      <c r="X534" s="49"/>
      <c r="Y534" s="49"/>
    </row>
    <row r="535" ht="15.75" customHeight="1">
      <c r="A535" s="174"/>
      <c r="B535" s="83"/>
      <c r="C535" s="83"/>
      <c r="D535" s="83"/>
      <c r="E535" s="83"/>
      <c r="F535" s="83"/>
      <c r="G535" s="83"/>
      <c r="H535" s="83"/>
      <c r="I535" s="84" t="str">
        <f t="shared" si="2"/>
        <v/>
      </c>
      <c r="J535" s="85"/>
      <c r="K535" s="85"/>
      <c r="L535" s="85"/>
      <c r="M535" s="83"/>
      <c r="N535" s="85"/>
      <c r="O535" s="85"/>
      <c r="P535" s="85" t="str">
        <f t="shared" si="5"/>
        <v/>
      </c>
      <c r="Q535" s="83"/>
      <c r="R535" s="118"/>
      <c r="S535" s="118"/>
      <c r="T535" s="88"/>
      <c r="U535" s="88"/>
      <c r="V535" s="49"/>
      <c r="W535" s="49"/>
      <c r="X535" s="49"/>
      <c r="Y535" s="49"/>
    </row>
    <row r="536" ht="15.75" customHeight="1">
      <c r="A536" s="174"/>
      <c r="B536" s="83"/>
      <c r="C536" s="83"/>
      <c r="D536" s="83"/>
      <c r="E536" s="83"/>
      <c r="F536" s="83"/>
      <c r="G536" s="83"/>
      <c r="H536" s="83"/>
      <c r="I536" s="84" t="str">
        <f t="shared" si="2"/>
        <v/>
      </c>
      <c r="J536" s="85"/>
      <c r="K536" s="85"/>
      <c r="L536" s="85"/>
      <c r="M536" s="83"/>
      <c r="N536" s="85"/>
      <c r="O536" s="85"/>
      <c r="P536" s="85" t="str">
        <f t="shared" si="5"/>
        <v/>
      </c>
      <c r="Q536" s="83"/>
      <c r="R536" s="118"/>
      <c r="S536" s="118"/>
      <c r="T536" s="88"/>
      <c r="U536" s="88"/>
      <c r="V536" s="49"/>
      <c r="W536" s="49"/>
      <c r="X536" s="49"/>
      <c r="Y536" s="49"/>
    </row>
    <row r="537" ht="15.75" customHeight="1">
      <c r="A537" s="82"/>
      <c r="B537" s="83"/>
      <c r="C537" s="83"/>
      <c r="D537" s="83"/>
      <c r="E537" s="83"/>
      <c r="F537" s="83"/>
      <c r="G537" s="83" t="str">
        <f>IF($F537="","",IFERROR(VLOOKUP($F537,Inventory!$A:$B,2,FALSE),""))</f>
        <v/>
      </c>
      <c r="H537" s="83"/>
      <c r="I537" s="84" t="str">
        <f t="shared" si="2"/>
        <v/>
      </c>
      <c r="J537" s="85" t="str">
        <f>IF($F537="","",IFERROR(VLOOKUP($F537,Inventory!$A:$K,11,FALSE),0))</f>
        <v/>
      </c>
      <c r="K537" s="85"/>
      <c r="L537" s="85" t="str">
        <f t="shared" ref="L537:L1506" si="12">IF($F537="","",IF($B537="Return",-H537*I537,H537*I537))</f>
        <v/>
      </c>
      <c r="M537" s="83"/>
      <c r="N537" s="85" t="str">
        <f>IF($F537="","",IFERROR(VLOOKUP($F537,Inventory!$A:$I,9,FALSE),0))</f>
        <v/>
      </c>
      <c r="O537" s="85" t="str">
        <f t="shared" ref="O537:O1506" si="13">IF($F537="","",IF($B537="Return",-H537*N537,H537*N537))</f>
        <v/>
      </c>
      <c r="P537" s="85" t="str">
        <f t="shared" si="5"/>
        <v/>
      </c>
      <c r="Q537" s="83"/>
      <c r="R537" s="118" t="str">
        <f>IF($E537="","",IF(COUNTIF($E$7:$E1734,$E537)&gt;1,"",IFERROR(VLOOKUP($E537,Orders!$A:$I,8,FALSE),"")))</f>
        <v/>
      </c>
      <c r="S537" s="118" t="str">
        <f>IF($E537="","",IF(COUNTIF($E$7:$E1734,$E537)&gt;1,"",IFERROR(VLOOKUP($E537,Orders!$A:$I,9,FALSE),"")))</f>
        <v/>
      </c>
      <c r="T537" s="88" t="str">
        <f t="shared" ref="T537:T1506" si="14">IF($F537="","",P537+IF(R537="",0,R537)-IF(S537="",0,S537))</f>
        <v/>
      </c>
      <c r="U537" s="88" t="str">
        <f>IF($F537="","",IF($E537="",T537,SUMIF(Sales!$E$7:$E$1506,$E537,Sales!$T$7:$T$1506)))</f>
        <v/>
      </c>
      <c r="V537" s="49" t="str">
        <f t="shared" ref="V537:V1506" si="15">IF(OR($C537&lt;&gt;"Online",$E537=""),"",IF(COUNTIF($E$7:$E1734,$E537)&gt;1,"",COUNT($V$6:V536)+1))</f>
        <v/>
      </c>
      <c r="W537" s="49" t="str">
        <f t="array" ref="W537">IF($V537="","",SUMPRODUCT((Sales!$V$7:$V$1506&lt;&gt;"")*(Sales!$E$7:$E$1506&lt;$E537))+1)</f>
        <v/>
      </c>
      <c r="X537" s="49" t="str">
        <f t="shared" ref="X537:X1506" si="16">IF($A537="","",COUNTIFS($A$7:$A1734,"&gt;="&amp;EOMONTH($A537,-1)+1,$A$7:$A1734,"&lt;="&amp;EOMONTH($A537,0)))</f>
        <v/>
      </c>
      <c r="Y537" s="49" t="str">
        <f t="shared" ref="Y537:Y1506" si="17">IF($A537="","",TEXT($A537,"yyyymm")&amp;"-"&amp;$X537)</f>
        <v/>
      </c>
    </row>
    <row r="538" ht="15.75" customHeight="1">
      <c r="A538" s="82"/>
      <c r="B538" s="83"/>
      <c r="C538" s="83"/>
      <c r="D538" s="83"/>
      <c r="E538" s="83"/>
      <c r="F538" s="83"/>
      <c r="G538" s="83" t="str">
        <f>IF($F538="","",IFERROR(VLOOKUP($F538,Inventory!$A:$B,2,FALSE),""))</f>
        <v/>
      </c>
      <c r="H538" s="83"/>
      <c r="I538" s="84" t="str">
        <f t="shared" si="2"/>
        <v/>
      </c>
      <c r="J538" s="85" t="str">
        <f>IF($F538="","",IFERROR(VLOOKUP($F538,Inventory!$A:$K,11,FALSE),0))</f>
        <v/>
      </c>
      <c r="K538" s="85"/>
      <c r="L538" s="85" t="str">
        <f t="shared" si="12"/>
        <v/>
      </c>
      <c r="M538" s="83"/>
      <c r="N538" s="85" t="str">
        <f>IF($F538="","",IFERROR(VLOOKUP($F538,Inventory!$A:$I,9,FALSE),0))</f>
        <v/>
      </c>
      <c r="O538" s="85" t="str">
        <f t="shared" si="13"/>
        <v/>
      </c>
      <c r="P538" s="85" t="str">
        <f t="shared" si="5"/>
        <v/>
      </c>
      <c r="Q538" s="83"/>
      <c r="R538" s="118" t="str">
        <f>IF($E538="","",IF(COUNTIF($E$7:$E1735,$E538)&gt;1,"",IFERROR(VLOOKUP($E538,Orders!$A:$I,8,FALSE),"")))</f>
        <v/>
      </c>
      <c r="S538" s="118" t="str">
        <f>IF($E538="","",IF(COUNTIF($E$7:$E1735,$E538)&gt;1,"",IFERROR(VLOOKUP($E538,Orders!$A:$I,9,FALSE),"")))</f>
        <v/>
      </c>
      <c r="T538" s="88" t="str">
        <f t="shared" si="14"/>
        <v/>
      </c>
      <c r="U538" s="88" t="str">
        <f>IF($F538="","",IF($E538="",T538,SUMIF(Sales!$E$7:$E$1506,$E538,Sales!$T$7:$T$1506)))</f>
        <v/>
      </c>
      <c r="V538" s="49" t="str">
        <f t="shared" si="15"/>
        <v/>
      </c>
      <c r="W538" s="49" t="str">
        <f t="array" ref="W538">IF($V538="","",SUMPRODUCT((Sales!$V$7:$V$1506&lt;&gt;"")*(Sales!$E$7:$E$1506&lt;$E538))+1)</f>
        <v/>
      </c>
      <c r="X538" s="49" t="str">
        <f t="shared" si="16"/>
        <v/>
      </c>
      <c r="Y538" s="49" t="str">
        <f t="shared" si="17"/>
        <v/>
      </c>
    </row>
    <row r="539" ht="15.75" customHeight="1">
      <c r="A539" s="82"/>
      <c r="B539" s="83"/>
      <c r="C539" s="83"/>
      <c r="D539" s="83"/>
      <c r="E539" s="83"/>
      <c r="F539" s="83"/>
      <c r="G539" s="83" t="str">
        <f>IF($F539="","",IFERROR(VLOOKUP($F539,Inventory!$A:$B,2,FALSE),""))</f>
        <v/>
      </c>
      <c r="H539" s="83"/>
      <c r="I539" s="84" t="str">
        <f t="shared" si="2"/>
        <v/>
      </c>
      <c r="J539" s="85" t="str">
        <f>IF($F539="","",IFERROR(VLOOKUP($F539,Inventory!$A:$K,11,FALSE),0))</f>
        <v/>
      </c>
      <c r="K539" s="85"/>
      <c r="L539" s="85" t="str">
        <f t="shared" si="12"/>
        <v/>
      </c>
      <c r="M539" s="83"/>
      <c r="N539" s="85" t="str">
        <f>IF($F539="","",IFERROR(VLOOKUP($F539,Inventory!$A:$I,9,FALSE),0))</f>
        <v/>
      </c>
      <c r="O539" s="85" t="str">
        <f t="shared" si="13"/>
        <v/>
      </c>
      <c r="P539" s="85" t="str">
        <f t="shared" si="5"/>
        <v/>
      </c>
      <c r="Q539" s="83"/>
      <c r="R539" s="118" t="str">
        <f>IF($E539="","",IF(COUNTIF($E$7:$E1736,$E539)&gt;1,"",IFERROR(VLOOKUP($E539,Orders!$A:$I,8,FALSE),"")))</f>
        <v/>
      </c>
      <c r="S539" s="118" t="str">
        <f>IF($E539="","",IF(COUNTIF($E$7:$E1736,$E539)&gt;1,"",IFERROR(VLOOKUP($E539,Orders!$A:$I,9,FALSE),"")))</f>
        <v/>
      </c>
      <c r="T539" s="88" t="str">
        <f t="shared" si="14"/>
        <v/>
      </c>
      <c r="U539" s="88" t="str">
        <f>IF($F539="","",IF($E539="",T539,SUMIF(Sales!$E$7:$E$1506,$E539,Sales!$T$7:$T$1506)))</f>
        <v/>
      </c>
      <c r="V539" s="49" t="str">
        <f t="shared" si="15"/>
        <v/>
      </c>
      <c r="W539" s="49" t="str">
        <f t="array" ref="W539">IF($V539="","",SUMPRODUCT((Sales!$V$7:$V$1506&lt;&gt;"")*(Sales!$E$7:$E$1506&lt;$E539))+1)</f>
        <v/>
      </c>
      <c r="X539" s="49" t="str">
        <f t="shared" si="16"/>
        <v/>
      </c>
      <c r="Y539" s="49" t="str">
        <f t="shared" si="17"/>
        <v/>
      </c>
    </row>
    <row r="540" ht="15.75" customHeight="1">
      <c r="A540" s="82"/>
      <c r="B540" s="83"/>
      <c r="C540" s="83"/>
      <c r="D540" s="83"/>
      <c r="E540" s="83"/>
      <c r="F540" s="83"/>
      <c r="G540" s="83" t="str">
        <f>IF($F540="","",IFERROR(VLOOKUP($F540,Inventory!$A:$B,2,FALSE),""))</f>
        <v/>
      </c>
      <c r="H540" s="83"/>
      <c r="I540" s="84" t="str">
        <f t="shared" si="2"/>
        <v/>
      </c>
      <c r="J540" s="85" t="str">
        <f>IF($F540="","",IFERROR(VLOOKUP($F540,Inventory!$A:$K,11,FALSE),0))</f>
        <v/>
      </c>
      <c r="K540" s="85"/>
      <c r="L540" s="85" t="str">
        <f t="shared" si="12"/>
        <v/>
      </c>
      <c r="M540" s="83"/>
      <c r="N540" s="85" t="str">
        <f>IF($F540="","",IFERROR(VLOOKUP($F540,Inventory!$A:$I,9,FALSE),0))</f>
        <v/>
      </c>
      <c r="O540" s="85" t="str">
        <f t="shared" si="13"/>
        <v/>
      </c>
      <c r="P540" s="85" t="str">
        <f t="shared" si="5"/>
        <v/>
      </c>
      <c r="Q540" s="83"/>
      <c r="R540" s="118" t="str">
        <f>IF($E540="","",IF(COUNTIF($E$7:$E1737,$E540)&gt;1,"",IFERROR(VLOOKUP($E540,Orders!$A:$I,8,FALSE),"")))</f>
        <v/>
      </c>
      <c r="S540" s="118" t="str">
        <f>IF($E540="","",IF(COUNTIF($E$7:$E1737,$E540)&gt;1,"",IFERROR(VLOOKUP($E540,Orders!$A:$I,9,FALSE),"")))</f>
        <v/>
      </c>
      <c r="T540" s="88" t="str">
        <f t="shared" si="14"/>
        <v/>
      </c>
      <c r="U540" s="88" t="str">
        <f>IF($F540="","",IF($E540="",T540,SUMIF(Sales!$E$7:$E$1506,$E540,Sales!$T$7:$T$1506)))</f>
        <v/>
      </c>
      <c r="V540" s="49" t="str">
        <f t="shared" si="15"/>
        <v/>
      </c>
      <c r="W540" s="49" t="str">
        <f t="array" ref="W540">IF($V540="","",SUMPRODUCT((Sales!$V$7:$V$1506&lt;&gt;"")*(Sales!$E$7:$E$1506&lt;$E540))+1)</f>
        <v/>
      </c>
      <c r="X540" s="49" t="str">
        <f t="shared" si="16"/>
        <v/>
      </c>
      <c r="Y540" s="49" t="str">
        <f t="shared" si="17"/>
        <v/>
      </c>
    </row>
    <row r="541" ht="15.75" customHeight="1">
      <c r="A541" s="82"/>
      <c r="B541" s="83"/>
      <c r="C541" s="83"/>
      <c r="D541" s="83"/>
      <c r="E541" s="83"/>
      <c r="F541" s="83"/>
      <c r="G541" s="83" t="str">
        <f>IF($F541="","",IFERROR(VLOOKUP($F541,Inventory!$A:$B,2,FALSE),""))</f>
        <v/>
      </c>
      <c r="H541" s="83"/>
      <c r="I541" s="84" t="str">
        <f t="shared" si="2"/>
        <v/>
      </c>
      <c r="J541" s="85" t="str">
        <f>IF($F541="","",IFERROR(VLOOKUP($F541,Inventory!$A:$K,11,FALSE),0))</f>
        <v/>
      </c>
      <c r="K541" s="85"/>
      <c r="L541" s="85" t="str">
        <f t="shared" si="12"/>
        <v/>
      </c>
      <c r="M541" s="83"/>
      <c r="N541" s="85" t="str">
        <f>IF($F541="","",IFERROR(VLOOKUP($F541,Inventory!$A:$I,9,FALSE),0))</f>
        <v/>
      </c>
      <c r="O541" s="85" t="str">
        <f t="shared" si="13"/>
        <v/>
      </c>
      <c r="P541" s="85" t="str">
        <f t="shared" si="5"/>
        <v/>
      </c>
      <c r="Q541" s="83"/>
      <c r="R541" s="118" t="str">
        <f>IF($E541="","",IF(COUNTIF($E$7:$E1738,$E541)&gt;1,"",IFERROR(VLOOKUP($E541,Orders!$A:$I,8,FALSE),"")))</f>
        <v/>
      </c>
      <c r="S541" s="118" t="str">
        <f>IF($E541="","",IF(COUNTIF($E$7:$E1738,$E541)&gt;1,"",IFERROR(VLOOKUP($E541,Orders!$A:$I,9,FALSE),"")))</f>
        <v/>
      </c>
      <c r="T541" s="88" t="str">
        <f t="shared" si="14"/>
        <v/>
      </c>
      <c r="U541" s="88" t="str">
        <f>IF($F541="","",IF($E541="",T541,SUMIF(Sales!$E$7:$E$1506,$E541,Sales!$T$7:$T$1506)))</f>
        <v/>
      </c>
      <c r="V541" s="49" t="str">
        <f t="shared" si="15"/>
        <v/>
      </c>
      <c r="W541" s="49" t="str">
        <f t="array" ref="W541">IF($V541="","",SUMPRODUCT((Sales!$V$7:$V$1506&lt;&gt;"")*(Sales!$E$7:$E$1506&lt;$E541))+1)</f>
        <v/>
      </c>
      <c r="X541" s="49" t="str">
        <f t="shared" si="16"/>
        <v/>
      </c>
      <c r="Y541" s="49" t="str">
        <f t="shared" si="17"/>
        <v/>
      </c>
    </row>
    <row r="542" ht="15.75" customHeight="1">
      <c r="A542" s="82"/>
      <c r="B542" s="83"/>
      <c r="C542" s="83"/>
      <c r="D542" s="83"/>
      <c r="E542" s="83"/>
      <c r="F542" s="83"/>
      <c r="G542" s="83" t="str">
        <f>IF($F542="","",IFERROR(VLOOKUP($F542,Inventory!$A:$B,2,FALSE),""))</f>
        <v/>
      </c>
      <c r="H542" s="83"/>
      <c r="I542" s="84" t="str">
        <f t="shared" si="2"/>
        <v/>
      </c>
      <c r="J542" s="85" t="str">
        <f>IF($F542="","",IFERROR(VLOOKUP($F542,Inventory!$A:$K,11,FALSE),0))</f>
        <v/>
      </c>
      <c r="K542" s="85"/>
      <c r="L542" s="85" t="str">
        <f t="shared" si="12"/>
        <v/>
      </c>
      <c r="M542" s="83"/>
      <c r="N542" s="85" t="str">
        <f>IF($F542="","",IFERROR(VLOOKUP($F542,Inventory!$A:$I,9,FALSE),0))</f>
        <v/>
      </c>
      <c r="O542" s="85" t="str">
        <f t="shared" si="13"/>
        <v/>
      </c>
      <c r="P542" s="85" t="str">
        <f t="shared" si="5"/>
        <v/>
      </c>
      <c r="Q542" s="83"/>
      <c r="R542" s="118" t="str">
        <f>IF($E542="","",IF(COUNTIF($E$7:$E1739,$E542)&gt;1,"",IFERROR(VLOOKUP($E542,Orders!$A:$I,8,FALSE),"")))</f>
        <v/>
      </c>
      <c r="S542" s="118" t="str">
        <f>IF($E542="","",IF(COUNTIF($E$7:$E1739,$E542)&gt;1,"",IFERROR(VLOOKUP($E542,Orders!$A:$I,9,FALSE),"")))</f>
        <v/>
      </c>
      <c r="T542" s="88" t="str">
        <f t="shared" si="14"/>
        <v/>
      </c>
      <c r="U542" s="88" t="str">
        <f>IF($F542="","",IF($E542="",T542,SUMIF(Sales!$E$7:$E$1506,$E542,Sales!$T$7:$T$1506)))</f>
        <v/>
      </c>
      <c r="V542" s="49" t="str">
        <f t="shared" si="15"/>
        <v/>
      </c>
      <c r="W542" s="49" t="str">
        <f t="array" ref="W542">IF($V542="","",SUMPRODUCT((Sales!$V$7:$V$1506&lt;&gt;"")*(Sales!$E$7:$E$1506&lt;$E542))+1)</f>
        <v/>
      </c>
      <c r="X542" s="49" t="str">
        <f t="shared" si="16"/>
        <v/>
      </c>
      <c r="Y542" s="49" t="str">
        <f t="shared" si="17"/>
        <v/>
      </c>
    </row>
    <row r="543" ht="15.75" customHeight="1">
      <c r="A543" s="82"/>
      <c r="B543" s="83"/>
      <c r="C543" s="83"/>
      <c r="D543" s="83"/>
      <c r="E543" s="83"/>
      <c r="F543" s="83"/>
      <c r="G543" s="83" t="str">
        <f>IF($F543="","",IFERROR(VLOOKUP($F543,Inventory!$A:$B,2,FALSE),""))</f>
        <v/>
      </c>
      <c r="H543" s="83"/>
      <c r="I543" s="84" t="str">
        <f t="shared" si="2"/>
        <v/>
      </c>
      <c r="J543" s="85" t="str">
        <f>IF($F543="","",IFERROR(VLOOKUP($F543,Inventory!$A:$K,11,FALSE),0))</f>
        <v/>
      </c>
      <c r="K543" s="85"/>
      <c r="L543" s="85" t="str">
        <f t="shared" si="12"/>
        <v/>
      </c>
      <c r="M543" s="83"/>
      <c r="N543" s="85" t="str">
        <f>IF($F543="","",IFERROR(VLOOKUP($F543,Inventory!$A:$I,9,FALSE),0))</f>
        <v/>
      </c>
      <c r="O543" s="85" t="str">
        <f t="shared" si="13"/>
        <v/>
      </c>
      <c r="P543" s="85" t="str">
        <f t="shared" si="5"/>
        <v/>
      </c>
      <c r="Q543" s="83"/>
      <c r="R543" s="118" t="str">
        <f>IF($E543="","",IF(COUNTIF($E$7:$E1740,$E543)&gt;1,"",IFERROR(VLOOKUP($E543,Orders!$A:$I,8,FALSE),"")))</f>
        <v/>
      </c>
      <c r="S543" s="118" t="str">
        <f>IF($E543="","",IF(COUNTIF($E$7:$E1740,$E543)&gt;1,"",IFERROR(VLOOKUP($E543,Orders!$A:$I,9,FALSE),"")))</f>
        <v/>
      </c>
      <c r="T543" s="88" t="str">
        <f t="shared" si="14"/>
        <v/>
      </c>
      <c r="U543" s="88" t="str">
        <f>IF($F543="","",IF($E543="",T543,SUMIF(Sales!$E$7:$E$1506,$E543,Sales!$T$7:$T$1506)))</f>
        <v/>
      </c>
      <c r="V543" s="49" t="str">
        <f t="shared" si="15"/>
        <v/>
      </c>
      <c r="W543" s="49" t="str">
        <f t="array" ref="W543">IF($V543="","",SUMPRODUCT((Sales!$V$7:$V$1506&lt;&gt;"")*(Sales!$E$7:$E$1506&lt;$E543))+1)</f>
        <v/>
      </c>
      <c r="X543" s="49" t="str">
        <f t="shared" si="16"/>
        <v/>
      </c>
      <c r="Y543" s="49" t="str">
        <f t="shared" si="17"/>
        <v/>
      </c>
    </row>
    <row r="544" ht="15.75" customHeight="1">
      <c r="A544" s="82"/>
      <c r="B544" s="83"/>
      <c r="C544" s="83"/>
      <c r="D544" s="83"/>
      <c r="E544" s="83"/>
      <c r="F544" s="83"/>
      <c r="G544" s="83" t="str">
        <f>IF($F544="","",IFERROR(VLOOKUP($F544,Inventory!$A:$B,2,FALSE),""))</f>
        <v/>
      </c>
      <c r="H544" s="83"/>
      <c r="I544" s="84" t="str">
        <f t="shared" si="2"/>
        <v/>
      </c>
      <c r="J544" s="85" t="str">
        <f>IF($F544="","",IFERROR(VLOOKUP($F544,Inventory!$A:$K,11,FALSE),0))</f>
        <v/>
      </c>
      <c r="K544" s="85"/>
      <c r="L544" s="85" t="str">
        <f t="shared" si="12"/>
        <v/>
      </c>
      <c r="M544" s="83"/>
      <c r="N544" s="85" t="str">
        <f>IF($F544="","",IFERROR(VLOOKUP($F544,Inventory!$A:$I,9,FALSE),0))</f>
        <v/>
      </c>
      <c r="O544" s="85" t="str">
        <f t="shared" si="13"/>
        <v/>
      </c>
      <c r="P544" s="85" t="str">
        <f t="shared" si="5"/>
        <v/>
      </c>
      <c r="Q544" s="83"/>
      <c r="R544" s="118" t="str">
        <f>IF($E544="","",IF(COUNTIF($E$7:$E1741,$E544)&gt;1,"",IFERROR(VLOOKUP($E544,Orders!$A:$I,8,FALSE),"")))</f>
        <v/>
      </c>
      <c r="S544" s="118" t="str">
        <f>IF($E544="","",IF(COUNTIF($E$7:$E1741,$E544)&gt;1,"",IFERROR(VLOOKUP($E544,Orders!$A:$I,9,FALSE),"")))</f>
        <v/>
      </c>
      <c r="T544" s="88" t="str">
        <f t="shared" si="14"/>
        <v/>
      </c>
      <c r="U544" s="88" t="str">
        <f>IF($F544="","",IF($E544="",T544,SUMIF(Sales!$E$7:$E$1506,$E544,Sales!$T$7:$T$1506)))</f>
        <v/>
      </c>
      <c r="V544" s="49" t="str">
        <f t="shared" si="15"/>
        <v/>
      </c>
      <c r="W544" s="49" t="str">
        <f t="array" ref="W544">IF($V544="","",SUMPRODUCT((Sales!$V$7:$V$1506&lt;&gt;"")*(Sales!$E$7:$E$1506&lt;$E544))+1)</f>
        <v/>
      </c>
      <c r="X544" s="49" t="str">
        <f t="shared" si="16"/>
        <v/>
      </c>
      <c r="Y544" s="49" t="str">
        <f t="shared" si="17"/>
        <v/>
      </c>
    </row>
    <row r="545" ht="15.75" customHeight="1">
      <c r="A545" s="82"/>
      <c r="B545" s="83"/>
      <c r="C545" s="83"/>
      <c r="D545" s="83"/>
      <c r="E545" s="83"/>
      <c r="F545" s="83"/>
      <c r="G545" s="83" t="str">
        <f>IF($F545="","",IFERROR(VLOOKUP($F545,Inventory!$A:$B,2,FALSE),""))</f>
        <v/>
      </c>
      <c r="H545" s="83"/>
      <c r="I545" s="84" t="str">
        <f t="shared" si="2"/>
        <v/>
      </c>
      <c r="J545" s="85" t="str">
        <f>IF($F545="","",IFERROR(VLOOKUP($F545,Inventory!$A:$K,11,FALSE),0))</f>
        <v/>
      </c>
      <c r="K545" s="85"/>
      <c r="L545" s="85" t="str">
        <f t="shared" si="12"/>
        <v/>
      </c>
      <c r="M545" s="83"/>
      <c r="N545" s="85" t="str">
        <f>IF($F545="","",IFERROR(VLOOKUP($F545,Inventory!$A:$I,9,FALSE),0))</f>
        <v/>
      </c>
      <c r="O545" s="85" t="str">
        <f t="shared" si="13"/>
        <v/>
      </c>
      <c r="P545" s="85" t="str">
        <f t="shared" si="5"/>
        <v/>
      </c>
      <c r="Q545" s="83"/>
      <c r="R545" s="118" t="str">
        <f>IF($E545="","",IF(COUNTIF($E$7:$E1742,$E545)&gt;1,"",IFERROR(VLOOKUP($E545,Orders!$A:$I,8,FALSE),"")))</f>
        <v/>
      </c>
      <c r="S545" s="118" t="str">
        <f>IF($E545="","",IF(COUNTIF($E$7:$E1742,$E545)&gt;1,"",IFERROR(VLOOKUP($E545,Orders!$A:$I,9,FALSE),"")))</f>
        <v/>
      </c>
      <c r="T545" s="88" t="str">
        <f t="shared" si="14"/>
        <v/>
      </c>
      <c r="U545" s="88" t="str">
        <f>IF($F545="","",IF($E545="",T545,SUMIF(Sales!$E$7:$E$1506,$E545,Sales!$T$7:$T$1506)))</f>
        <v/>
      </c>
      <c r="V545" s="49" t="str">
        <f t="shared" si="15"/>
        <v/>
      </c>
      <c r="W545" s="49" t="str">
        <f t="array" ref="W545">IF($V545="","",SUMPRODUCT((Sales!$V$7:$V$1506&lt;&gt;"")*(Sales!$E$7:$E$1506&lt;$E545))+1)</f>
        <v/>
      </c>
      <c r="X545" s="49" t="str">
        <f t="shared" si="16"/>
        <v/>
      </c>
      <c r="Y545" s="49" t="str">
        <f t="shared" si="17"/>
        <v/>
      </c>
    </row>
    <row r="546" ht="15.75" customHeight="1">
      <c r="A546" s="82"/>
      <c r="B546" s="83"/>
      <c r="C546" s="83"/>
      <c r="D546" s="83"/>
      <c r="E546" s="83"/>
      <c r="F546" s="83"/>
      <c r="G546" s="83" t="str">
        <f>IF($F546="","",IFERROR(VLOOKUP($F546,Inventory!$A:$B,2,FALSE),""))</f>
        <v/>
      </c>
      <c r="H546" s="83"/>
      <c r="I546" s="84" t="str">
        <f t="shared" si="2"/>
        <v/>
      </c>
      <c r="J546" s="85" t="str">
        <f>IF($F546="","",IFERROR(VLOOKUP($F546,Inventory!$A:$K,11,FALSE),0))</f>
        <v/>
      </c>
      <c r="K546" s="85"/>
      <c r="L546" s="85" t="str">
        <f t="shared" si="12"/>
        <v/>
      </c>
      <c r="M546" s="83"/>
      <c r="N546" s="85" t="str">
        <f>IF($F546="","",IFERROR(VLOOKUP($F546,Inventory!$A:$I,9,FALSE),0))</f>
        <v/>
      </c>
      <c r="O546" s="85" t="str">
        <f t="shared" si="13"/>
        <v/>
      </c>
      <c r="P546" s="85" t="str">
        <f t="shared" si="5"/>
        <v/>
      </c>
      <c r="Q546" s="83"/>
      <c r="R546" s="118" t="str">
        <f>IF($E546="","",IF(COUNTIF($E$7:$E1743,$E546)&gt;1,"",IFERROR(VLOOKUP($E546,Orders!$A:$I,8,FALSE),"")))</f>
        <v/>
      </c>
      <c r="S546" s="118" t="str">
        <f>IF($E546="","",IF(COUNTIF($E$7:$E1743,$E546)&gt;1,"",IFERROR(VLOOKUP($E546,Orders!$A:$I,9,FALSE),"")))</f>
        <v/>
      </c>
      <c r="T546" s="88" t="str">
        <f t="shared" si="14"/>
        <v/>
      </c>
      <c r="U546" s="88" t="str">
        <f>IF($F546="","",IF($E546="",T546,SUMIF(Sales!$E$7:$E$1506,$E546,Sales!$T$7:$T$1506)))</f>
        <v/>
      </c>
      <c r="V546" s="49" t="str">
        <f t="shared" si="15"/>
        <v/>
      </c>
      <c r="W546" s="49" t="str">
        <f t="array" ref="W546">IF($V546="","",SUMPRODUCT((Sales!$V$7:$V$1506&lt;&gt;"")*(Sales!$E$7:$E$1506&lt;$E546))+1)</f>
        <v/>
      </c>
      <c r="X546" s="49" t="str">
        <f t="shared" si="16"/>
        <v/>
      </c>
      <c r="Y546" s="49" t="str">
        <f t="shared" si="17"/>
        <v/>
      </c>
    </row>
    <row r="547" ht="15.75" customHeight="1">
      <c r="A547" s="82"/>
      <c r="B547" s="83"/>
      <c r="C547" s="83"/>
      <c r="D547" s="83"/>
      <c r="E547" s="83"/>
      <c r="F547" s="83"/>
      <c r="G547" s="83" t="str">
        <f>IF($F547="","",IFERROR(VLOOKUP($F547,Inventory!$A:$B,2,FALSE),""))</f>
        <v/>
      </c>
      <c r="H547" s="83"/>
      <c r="I547" s="84" t="str">
        <f t="shared" si="2"/>
        <v/>
      </c>
      <c r="J547" s="85" t="str">
        <f>IF($F547="","",IFERROR(VLOOKUP($F547,Inventory!$A:$K,11,FALSE),0))</f>
        <v/>
      </c>
      <c r="K547" s="85"/>
      <c r="L547" s="85" t="str">
        <f t="shared" si="12"/>
        <v/>
      </c>
      <c r="M547" s="83"/>
      <c r="N547" s="85" t="str">
        <f>IF($F547="","",IFERROR(VLOOKUP($F547,Inventory!$A:$I,9,FALSE),0))</f>
        <v/>
      </c>
      <c r="O547" s="85" t="str">
        <f t="shared" si="13"/>
        <v/>
      </c>
      <c r="P547" s="85" t="str">
        <f t="shared" si="5"/>
        <v/>
      </c>
      <c r="Q547" s="83"/>
      <c r="R547" s="118" t="str">
        <f>IF($E547="","",IF(COUNTIF($E$7:$E1744,$E547)&gt;1,"",IFERROR(VLOOKUP($E547,Orders!$A:$I,8,FALSE),"")))</f>
        <v/>
      </c>
      <c r="S547" s="118" t="str">
        <f>IF($E547="","",IF(COUNTIF($E$7:$E1744,$E547)&gt;1,"",IFERROR(VLOOKUP($E547,Orders!$A:$I,9,FALSE),"")))</f>
        <v/>
      </c>
      <c r="T547" s="88" t="str">
        <f t="shared" si="14"/>
        <v/>
      </c>
      <c r="U547" s="88" t="str">
        <f>IF($F547="","",IF($E547="",T547,SUMIF(Sales!$E$7:$E$1506,$E547,Sales!$T$7:$T$1506)))</f>
        <v/>
      </c>
      <c r="V547" s="49" t="str">
        <f t="shared" si="15"/>
        <v/>
      </c>
      <c r="W547" s="49" t="str">
        <f t="array" ref="W547">IF($V547="","",SUMPRODUCT((Sales!$V$7:$V$1506&lt;&gt;"")*(Sales!$E$7:$E$1506&lt;$E547))+1)</f>
        <v/>
      </c>
      <c r="X547" s="49" t="str">
        <f t="shared" si="16"/>
        <v/>
      </c>
      <c r="Y547" s="49" t="str">
        <f t="shared" si="17"/>
        <v/>
      </c>
    </row>
    <row r="548" ht="15.75" customHeight="1">
      <c r="A548" s="82"/>
      <c r="B548" s="83"/>
      <c r="C548" s="83"/>
      <c r="D548" s="83"/>
      <c r="E548" s="83"/>
      <c r="F548" s="83"/>
      <c r="G548" s="83" t="str">
        <f>IF($F548="","",IFERROR(VLOOKUP($F548,Inventory!$A:$B,2,FALSE),""))</f>
        <v/>
      </c>
      <c r="H548" s="83"/>
      <c r="I548" s="84" t="str">
        <f t="shared" si="2"/>
        <v/>
      </c>
      <c r="J548" s="85" t="str">
        <f>IF($F548="","",IFERROR(VLOOKUP($F548,Inventory!$A:$K,11,FALSE),0))</f>
        <v/>
      </c>
      <c r="K548" s="85"/>
      <c r="L548" s="85" t="str">
        <f t="shared" si="12"/>
        <v/>
      </c>
      <c r="M548" s="83"/>
      <c r="N548" s="85" t="str">
        <f>IF($F548="","",IFERROR(VLOOKUP($F548,Inventory!$A:$I,9,FALSE),0))</f>
        <v/>
      </c>
      <c r="O548" s="85" t="str">
        <f t="shared" si="13"/>
        <v/>
      </c>
      <c r="P548" s="85" t="str">
        <f t="shared" si="5"/>
        <v/>
      </c>
      <c r="Q548" s="83"/>
      <c r="R548" s="118" t="str">
        <f>IF($E548="","",IF(COUNTIF($E$7:$E1745,$E548)&gt;1,"",IFERROR(VLOOKUP($E548,Orders!$A:$I,8,FALSE),"")))</f>
        <v/>
      </c>
      <c r="S548" s="118" t="str">
        <f>IF($E548="","",IF(COUNTIF($E$7:$E1745,$E548)&gt;1,"",IFERROR(VLOOKUP($E548,Orders!$A:$I,9,FALSE),"")))</f>
        <v/>
      </c>
      <c r="T548" s="88" t="str">
        <f t="shared" si="14"/>
        <v/>
      </c>
      <c r="U548" s="88" t="str">
        <f>IF($F548="","",IF($E548="",T548,SUMIF(Sales!$E$7:$E$1506,$E548,Sales!$T$7:$T$1506)))</f>
        <v/>
      </c>
      <c r="V548" s="49" t="str">
        <f t="shared" si="15"/>
        <v/>
      </c>
      <c r="W548" s="49" t="str">
        <f t="array" ref="W548">IF($V548="","",SUMPRODUCT((Sales!$V$7:$V$1506&lt;&gt;"")*(Sales!$E$7:$E$1506&lt;$E548))+1)</f>
        <v/>
      </c>
      <c r="X548" s="49" t="str">
        <f t="shared" si="16"/>
        <v/>
      </c>
      <c r="Y548" s="49" t="str">
        <f t="shared" si="17"/>
        <v/>
      </c>
    </row>
    <row r="549" ht="15.75" customHeight="1">
      <c r="A549" s="82"/>
      <c r="B549" s="83"/>
      <c r="C549" s="83"/>
      <c r="D549" s="83"/>
      <c r="E549" s="83"/>
      <c r="F549" s="83"/>
      <c r="G549" s="83" t="str">
        <f>IF($F549="","",IFERROR(VLOOKUP($F549,Inventory!$A:$B,2,FALSE),""))</f>
        <v/>
      </c>
      <c r="H549" s="83"/>
      <c r="I549" s="84" t="str">
        <f t="shared" si="2"/>
        <v/>
      </c>
      <c r="J549" s="85" t="str">
        <f>IF($F549="","",IFERROR(VLOOKUP($F549,Inventory!$A:$K,11,FALSE),0))</f>
        <v/>
      </c>
      <c r="K549" s="85"/>
      <c r="L549" s="85" t="str">
        <f t="shared" si="12"/>
        <v/>
      </c>
      <c r="M549" s="83"/>
      <c r="N549" s="85" t="str">
        <f>IF($F549="","",IFERROR(VLOOKUP($F549,Inventory!$A:$I,9,FALSE),0))</f>
        <v/>
      </c>
      <c r="O549" s="85" t="str">
        <f t="shared" si="13"/>
        <v/>
      </c>
      <c r="P549" s="85" t="str">
        <f t="shared" si="5"/>
        <v/>
      </c>
      <c r="Q549" s="83"/>
      <c r="R549" s="118" t="str">
        <f>IF($E549="","",IF(COUNTIF($E$7:$E1746,$E549)&gt;1,"",IFERROR(VLOOKUP($E549,Orders!$A:$I,8,FALSE),"")))</f>
        <v/>
      </c>
      <c r="S549" s="118" t="str">
        <f>IF($E549="","",IF(COUNTIF($E$7:$E1746,$E549)&gt;1,"",IFERROR(VLOOKUP($E549,Orders!$A:$I,9,FALSE),"")))</f>
        <v/>
      </c>
      <c r="T549" s="88" t="str">
        <f t="shared" si="14"/>
        <v/>
      </c>
      <c r="U549" s="88" t="str">
        <f>IF($F549="","",IF($E549="",T549,SUMIF(Sales!$E$7:$E$1506,$E549,Sales!$T$7:$T$1506)))</f>
        <v/>
      </c>
      <c r="V549" s="49" t="str">
        <f t="shared" si="15"/>
        <v/>
      </c>
      <c r="W549" s="49" t="str">
        <f t="array" ref="W549">IF($V549="","",SUMPRODUCT((Sales!$V$7:$V$1506&lt;&gt;"")*(Sales!$E$7:$E$1506&lt;$E549))+1)</f>
        <v/>
      </c>
      <c r="X549" s="49" t="str">
        <f t="shared" si="16"/>
        <v/>
      </c>
      <c r="Y549" s="49" t="str">
        <f t="shared" si="17"/>
        <v/>
      </c>
    </row>
    <row r="550" ht="15.75" customHeight="1">
      <c r="A550" s="82"/>
      <c r="B550" s="83"/>
      <c r="C550" s="83"/>
      <c r="D550" s="83"/>
      <c r="E550" s="83"/>
      <c r="F550" s="83"/>
      <c r="G550" s="83" t="str">
        <f>IF($F550="","",IFERROR(VLOOKUP($F550,Inventory!$A:$B,2,FALSE),""))</f>
        <v/>
      </c>
      <c r="H550" s="83"/>
      <c r="I550" s="84" t="str">
        <f t="shared" si="2"/>
        <v/>
      </c>
      <c r="J550" s="85" t="str">
        <f>IF($F550="","",IFERROR(VLOOKUP($F550,Inventory!$A:$K,11,FALSE),0))</f>
        <v/>
      </c>
      <c r="K550" s="85"/>
      <c r="L550" s="85" t="str">
        <f t="shared" si="12"/>
        <v/>
      </c>
      <c r="M550" s="83"/>
      <c r="N550" s="85" t="str">
        <f>IF($F550="","",IFERROR(VLOOKUP($F550,Inventory!$A:$I,9,FALSE),0))</f>
        <v/>
      </c>
      <c r="O550" s="85" t="str">
        <f t="shared" si="13"/>
        <v/>
      </c>
      <c r="P550" s="85" t="str">
        <f t="shared" si="5"/>
        <v/>
      </c>
      <c r="Q550" s="83"/>
      <c r="R550" s="118" t="str">
        <f>IF($E550="","",IF(COUNTIF($E$7:$E1747,$E550)&gt;1,"",IFERROR(VLOOKUP($E550,Orders!$A:$I,8,FALSE),"")))</f>
        <v/>
      </c>
      <c r="S550" s="118" t="str">
        <f>IF($E550="","",IF(COUNTIF($E$7:$E1747,$E550)&gt;1,"",IFERROR(VLOOKUP($E550,Orders!$A:$I,9,FALSE),"")))</f>
        <v/>
      </c>
      <c r="T550" s="88" t="str">
        <f t="shared" si="14"/>
        <v/>
      </c>
      <c r="U550" s="88" t="str">
        <f>IF($F550="","",IF($E550="",T550,SUMIF(Sales!$E$7:$E$1506,$E550,Sales!$T$7:$T$1506)))</f>
        <v/>
      </c>
      <c r="V550" s="49" t="str">
        <f t="shared" si="15"/>
        <v/>
      </c>
      <c r="W550" s="49" t="str">
        <f t="array" ref="W550">IF($V550="","",SUMPRODUCT((Sales!$V$7:$V$1506&lt;&gt;"")*(Sales!$E$7:$E$1506&lt;$E550))+1)</f>
        <v/>
      </c>
      <c r="X550" s="49" t="str">
        <f t="shared" si="16"/>
        <v/>
      </c>
      <c r="Y550" s="49" t="str">
        <f t="shared" si="17"/>
        <v/>
      </c>
    </row>
    <row r="551" ht="15.75" customHeight="1">
      <c r="A551" s="82"/>
      <c r="B551" s="83"/>
      <c r="C551" s="83"/>
      <c r="D551" s="83"/>
      <c r="E551" s="83"/>
      <c r="F551" s="83"/>
      <c r="G551" s="83" t="str">
        <f>IF($F551="","",IFERROR(VLOOKUP($F551,Inventory!$A:$B,2,FALSE),""))</f>
        <v/>
      </c>
      <c r="H551" s="83"/>
      <c r="I551" s="84" t="str">
        <f t="shared" si="2"/>
        <v/>
      </c>
      <c r="J551" s="85" t="str">
        <f>IF($F551="","",IFERROR(VLOOKUP($F551,Inventory!$A:$K,11,FALSE),0))</f>
        <v/>
      </c>
      <c r="K551" s="85"/>
      <c r="L551" s="85" t="str">
        <f t="shared" si="12"/>
        <v/>
      </c>
      <c r="M551" s="83"/>
      <c r="N551" s="85" t="str">
        <f>IF($F551="","",IFERROR(VLOOKUP($F551,Inventory!$A:$I,9,FALSE),0))</f>
        <v/>
      </c>
      <c r="O551" s="85" t="str">
        <f t="shared" si="13"/>
        <v/>
      </c>
      <c r="P551" s="85" t="str">
        <f t="shared" si="5"/>
        <v/>
      </c>
      <c r="Q551" s="83"/>
      <c r="R551" s="118" t="str">
        <f>IF($E551="","",IF(COUNTIF($E$7:$E1748,$E551)&gt;1,"",IFERROR(VLOOKUP($E551,Orders!$A:$I,8,FALSE),"")))</f>
        <v/>
      </c>
      <c r="S551" s="118" t="str">
        <f>IF($E551="","",IF(COUNTIF($E$7:$E1748,$E551)&gt;1,"",IFERROR(VLOOKUP($E551,Orders!$A:$I,9,FALSE),"")))</f>
        <v/>
      </c>
      <c r="T551" s="88" t="str">
        <f t="shared" si="14"/>
        <v/>
      </c>
      <c r="U551" s="88" t="str">
        <f>IF($F551="","",IF($E551="",T551,SUMIF(Sales!$E$7:$E$1506,$E551,Sales!$T$7:$T$1506)))</f>
        <v/>
      </c>
      <c r="V551" s="49" t="str">
        <f t="shared" si="15"/>
        <v/>
      </c>
      <c r="W551" s="49" t="str">
        <f t="array" ref="W551">IF($V551="","",SUMPRODUCT((Sales!$V$7:$V$1506&lt;&gt;"")*(Sales!$E$7:$E$1506&lt;$E551))+1)</f>
        <v/>
      </c>
      <c r="X551" s="49" t="str">
        <f t="shared" si="16"/>
        <v/>
      </c>
      <c r="Y551" s="49" t="str">
        <f t="shared" si="17"/>
        <v/>
      </c>
    </row>
    <row r="552" ht="15.75" customHeight="1">
      <c r="A552" s="82"/>
      <c r="B552" s="83"/>
      <c r="C552" s="83"/>
      <c r="D552" s="83"/>
      <c r="E552" s="83"/>
      <c r="F552" s="83"/>
      <c r="G552" s="83" t="str">
        <f>IF($F552="","",IFERROR(VLOOKUP($F552,Inventory!$A:$B,2,FALSE),""))</f>
        <v/>
      </c>
      <c r="H552" s="83"/>
      <c r="I552" s="84" t="str">
        <f t="shared" si="2"/>
        <v/>
      </c>
      <c r="J552" s="85" t="str">
        <f>IF($F552="","",IFERROR(VLOOKUP($F552,Inventory!$A:$K,11,FALSE),0))</f>
        <v/>
      </c>
      <c r="K552" s="85"/>
      <c r="L552" s="85" t="str">
        <f t="shared" si="12"/>
        <v/>
      </c>
      <c r="M552" s="83"/>
      <c r="N552" s="85" t="str">
        <f>IF($F552="","",IFERROR(VLOOKUP($F552,Inventory!$A:$I,9,FALSE),0))</f>
        <v/>
      </c>
      <c r="O552" s="85" t="str">
        <f t="shared" si="13"/>
        <v/>
      </c>
      <c r="P552" s="85" t="str">
        <f t="shared" si="5"/>
        <v/>
      </c>
      <c r="Q552" s="83"/>
      <c r="R552" s="118" t="str">
        <f>IF($E552="","",IF(COUNTIF($E$7:$E1749,$E552)&gt;1,"",IFERROR(VLOOKUP($E552,Orders!$A:$I,8,FALSE),"")))</f>
        <v/>
      </c>
      <c r="S552" s="118" t="str">
        <f>IF($E552="","",IF(COUNTIF($E$7:$E1749,$E552)&gt;1,"",IFERROR(VLOOKUP($E552,Orders!$A:$I,9,FALSE),"")))</f>
        <v/>
      </c>
      <c r="T552" s="88" t="str">
        <f t="shared" si="14"/>
        <v/>
      </c>
      <c r="U552" s="88" t="str">
        <f>IF($F552="","",IF($E552="",T552,SUMIF(Sales!$E$7:$E$1506,$E552,Sales!$T$7:$T$1506)))</f>
        <v/>
      </c>
      <c r="V552" s="49" t="str">
        <f t="shared" si="15"/>
        <v/>
      </c>
      <c r="W552" s="49" t="str">
        <f t="array" ref="W552">IF($V552="","",SUMPRODUCT((Sales!$V$7:$V$1506&lt;&gt;"")*(Sales!$E$7:$E$1506&lt;$E552))+1)</f>
        <v/>
      </c>
      <c r="X552" s="49" t="str">
        <f t="shared" si="16"/>
        <v/>
      </c>
      <c r="Y552" s="49" t="str">
        <f t="shared" si="17"/>
        <v/>
      </c>
    </row>
    <row r="553" ht="15.75" customHeight="1">
      <c r="A553" s="82"/>
      <c r="B553" s="83"/>
      <c r="C553" s="83"/>
      <c r="D553" s="83"/>
      <c r="E553" s="83"/>
      <c r="F553" s="83"/>
      <c r="G553" s="83" t="str">
        <f>IF($F553="","",IFERROR(VLOOKUP($F553,Inventory!$A:$B,2,FALSE),""))</f>
        <v/>
      </c>
      <c r="H553" s="83"/>
      <c r="I553" s="84" t="str">
        <f t="shared" si="2"/>
        <v/>
      </c>
      <c r="J553" s="85" t="str">
        <f>IF($F553="","",IFERROR(VLOOKUP($F553,Inventory!$A:$K,11,FALSE),0))</f>
        <v/>
      </c>
      <c r="K553" s="85"/>
      <c r="L553" s="85" t="str">
        <f t="shared" si="12"/>
        <v/>
      </c>
      <c r="M553" s="83"/>
      <c r="N553" s="85" t="str">
        <f>IF($F553="","",IFERROR(VLOOKUP($F553,Inventory!$A:$I,9,FALSE),0))</f>
        <v/>
      </c>
      <c r="O553" s="85" t="str">
        <f t="shared" si="13"/>
        <v/>
      </c>
      <c r="P553" s="85" t="str">
        <f t="shared" si="5"/>
        <v/>
      </c>
      <c r="Q553" s="83"/>
      <c r="R553" s="118" t="str">
        <f>IF($E553="","",IF(COUNTIF($E$7:$E1750,$E553)&gt;1,"",IFERROR(VLOOKUP($E553,Orders!$A:$I,8,FALSE),"")))</f>
        <v/>
      </c>
      <c r="S553" s="118" t="str">
        <f>IF($E553="","",IF(COUNTIF($E$7:$E1750,$E553)&gt;1,"",IFERROR(VLOOKUP($E553,Orders!$A:$I,9,FALSE),"")))</f>
        <v/>
      </c>
      <c r="T553" s="88" t="str">
        <f t="shared" si="14"/>
        <v/>
      </c>
      <c r="U553" s="88" t="str">
        <f>IF($F553="","",IF($E553="",T553,SUMIF(Sales!$E$7:$E$1506,$E553,Sales!$T$7:$T$1506)))</f>
        <v/>
      </c>
      <c r="V553" s="49" t="str">
        <f t="shared" si="15"/>
        <v/>
      </c>
      <c r="W553" s="49" t="str">
        <f t="array" ref="W553">IF($V553="","",SUMPRODUCT((Sales!$V$7:$V$1506&lt;&gt;"")*(Sales!$E$7:$E$1506&lt;$E553))+1)</f>
        <v/>
      </c>
      <c r="X553" s="49" t="str">
        <f t="shared" si="16"/>
        <v/>
      </c>
      <c r="Y553" s="49" t="str">
        <f t="shared" si="17"/>
        <v/>
      </c>
    </row>
    <row r="554" ht="15.75" customHeight="1">
      <c r="A554" s="82"/>
      <c r="B554" s="83"/>
      <c r="C554" s="83"/>
      <c r="D554" s="83"/>
      <c r="E554" s="83"/>
      <c r="F554" s="83"/>
      <c r="G554" s="83" t="str">
        <f>IF($F554="","",IFERROR(VLOOKUP($F554,Inventory!$A:$B,2,FALSE),""))</f>
        <v/>
      </c>
      <c r="H554" s="83"/>
      <c r="I554" s="84" t="str">
        <f t="shared" si="2"/>
        <v/>
      </c>
      <c r="J554" s="85" t="str">
        <f>IF($F554="","",IFERROR(VLOOKUP($F554,Inventory!$A:$K,11,FALSE),0))</f>
        <v/>
      </c>
      <c r="K554" s="85"/>
      <c r="L554" s="85" t="str">
        <f t="shared" si="12"/>
        <v/>
      </c>
      <c r="M554" s="83"/>
      <c r="N554" s="85" t="str">
        <f>IF($F554="","",IFERROR(VLOOKUP($F554,Inventory!$A:$I,9,FALSE),0))</f>
        <v/>
      </c>
      <c r="O554" s="85" t="str">
        <f t="shared" si="13"/>
        <v/>
      </c>
      <c r="P554" s="85" t="str">
        <f t="shared" si="5"/>
        <v/>
      </c>
      <c r="Q554" s="83"/>
      <c r="R554" s="118" t="str">
        <f>IF($E554="","",IF(COUNTIF($E$7:$E1751,$E554)&gt;1,"",IFERROR(VLOOKUP($E554,Orders!$A:$I,8,FALSE),"")))</f>
        <v/>
      </c>
      <c r="S554" s="118" t="str">
        <f>IF($E554="","",IF(COUNTIF($E$7:$E1751,$E554)&gt;1,"",IFERROR(VLOOKUP($E554,Orders!$A:$I,9,FALSE),"")))</f>
        <v/>
      </c>
      <c r="T554" s="88" t="str">
        <f t="shared" si="14"/>
        <v/>
      </c>
      <c r="U554" s="88" t="str">
        <f>IF($F554="","",IF($E554="",T554,SUMIF(Sales!$E$7:$E$1506,$E554,Sales!$T$7:$T$1506)))</f>
        <v/>
      </c>
      <c r="V554" s="49" t="str">
        <f t="shared" si="15"/>
        <v/>
      </c>
      <c r="W554" s="49" t="str">
        <f t="array" ref="W554">IF($V554="","",SUMPRODUCT((Sales!$V$7:$V$1506&lt;&gt;"")*(Sales!$E$7:$E$1506&lt;$E554))+1)</f>
        <v/>
      </c>
      <c r="X554" s="49" t="str">
        <f t="shared" si="16"/>
        <v/>
      </c>
      <c r="Y554" s="49" t="str">
        <f t="shared" si="17"/>
        <v/>
      </c>
    </row>
    <row r="555" ht="15.75" customHeight="1">
      <c r="A555" s="82"/>
      <c r="B555" s="83"/>
      <c r="C555" s="83"/>
      <c r="D555" s="83"/>
      <c r="E555" s="83"/>
      <c r="F555" s="83"/>
      <c r="G555" s="83" t="str">
        <f>IF($F555="","",IFERROR(VLOOKUP($F555,Inventory!$A:$B,2,FALSE),""))</f>
        <v/>
      </c>
      <c r="H555" s="83"/>
      <c r="I555" s="84" t="str">
        <f t="shared" si="2"/>
        <v/>
      </c>
      <c r="J555" s="85" t="str">
        <f>IF($F555="","",IFERROR(VLOOKUP($F555,Inventory!$A:$K,11,FALSE),0))</f>
        <v/>
      </c>
      <c r="K555" s="85"/>
      <c r="L555" s="85" t="str">
        <f t="shared" si="12"/>
        <v/>
      </c>
      <c r="M555" s="83"/>
      <c r="N555" s="85" t="str">
        <f>IF($F555="","",IFERROR(VLOOKUP($F555,Inventory!$A:$I,9,FALSE),0))</f>
        <v/>
      </c>
      <c r="O555" s="85" t="str">
        <f t="shared" si="13"/>
        <v/>
      </c>
      <c r="P555" s="85" t="str">
        <f t="shared" si="5"/>
        <v/>
      </c>
      <c r="Q555" s="83"/>
      <c r="R555" s="118" t="str">
        <f>IF($E555="","",IF(COUNTIF($E$7:$E1752,$E555)&gt;1,"",IFERROR(VLOOKUP($E555,Orders!$A:$I,8,FALSE),"")))</f>
        <v/>
      </c>
      <c r="S555" s="118" t="str">
        <f>IF($E555="","",IF(COUNTIF($E$7:$E1752,$E555)&gt;1,"",IFERROR(VLOOKUP($E555,Orders!$A:$I,9,FALSE),"")))</f>
        <v/>
      </c>
      <c r="T555" s="88" t="str">
        <f t="shared" si="14"/>
        <v/>
      </c>
      <c r="U555" s="88" t="str">
        <f>IF($F555="","",IF($E555="",T555,SUMIF(Sales!$E$7:$E$1506,$E555,Sales!$T$7:$T$1506)))</f>
        <v/>
      </c>
      <c r="V555" s="49" t="str">
        <f t="shared" si="15"/>
        <v/>
      </c>
      <c r="W555" s="49" t="str">
        <f t="array" ref="W555">IF($V555="","",SUMPRODUCT((Sales!$V$7:$V$1506&lt;&gt;"")*(Sales!$E$7:$E$1506&lt;$E555))+1)</f>
        <v/>
      </c>
      <c r="X555" s="49" t="str">
        <f t="shared" si="16"/>
        <v/>
      </c>
      <c r="Y555" s="49" t="str">
        <f t="shared" si="17"/>
        <v/>
      </c>
    </row>
    <row r="556" ht="15.75" customHeight="1">
      <c r="A556" s="82"/>
      <c r="B556" s="83"/>
      <c r="C556" s="83"/>
      <c r="D556" s="83"/>
      <c r="E556" s="83"/>
      <c r="F556" s="83"/>
      <c r="G556" s="83" t="str">
        <f>IF($F556="","",IFERROR(VLOOKUP($F556,Inventory!$A:$B,2,FALSE),""))</f>
        <v/>
      </c>
      <c r="H556" s="83"/>
      <c r="I556" s="84" t="str">
        <f t="shared" si="2"/>
        <v/>
      </c>
      <c r="J556" s="85" t="str">
        <f>IF($F556="","",IFERROR(VLOOKUP($F556,Inventory!$A:$K,11,FALSE),0))</f>
        <v/>
      </c>
      <c r="K556" s="85"/>
      <c r="L556" s="85" t="str">
        <f t="shared" si="12"/>
        <v/>
      </c>
      <c r="M556" s="83"/>
      <c r="N556" s="85" t="str">
        <f>IF($F556="","",IFERROR(VLOOKUP($F556,Inventory!$A:$I,9,FALSE),0))</f>
        <v/>
      </c>
      <c r="O556" s="85" t="str">
        <f t="shared" si="13"/>
        <v/>
      </c>
      <c r="P556" s="85" t="str">
        <f t="shared" si="5"/>
        <v/>
      </c>
      <c r="Q556" s="83"/>
      <c r="R556" s="118" t="str">
        <f>IF($E556="","",IF(COUNTIF($E$7:$E1753,$E556)&gt;1,"",IFERROR(VLOOKUP($E556,Orders!$A:$I,8,FALSE),"")))</f>
        <v/>
      </c>
      <c r="S556" s="118" t="str">
        <f>IF($E556="","",IF(COUNTIF($E$7:$E1753,$E556)&gt;1,"",IFERROR(VLOOKUP($E556,Orders!$A:$I,9,FALSE),"")))</f>
        <v/>
      </c>
      <c r="T556" s="88" t="str">
        <f t="shared" si="14"/>
        <v/>
      </c>
      <c r="U556" s="88" t="str">
        <f>IF($F556="","",IF($E556="",T556,SUMIF(Sales!$E$7:$E$1506,$E556,Sales!$T$7:$T$1506)))</f>
        <v/>
      </c>
      <c r="V556" s="49" t="str">
        <f t="shared" si="15"/>
        <v/>
      </c>
      <c r="W556" s="49" t="str">
        <f t="array" ref="W556">IF($V556="","",SUMPRODUCT((Sales!$V$7:$V$1506&lt;&gt;"")*(Sales!$E$7:$E$1506&lt;$E556))+1)</f>
        <v/>
      </c>
      <c r="X556" s="49" t="str">
        <f t="shared" si="16"/>
        <v/>
      </c>
      <c r="Y556" s="49" t="str">
        <f t="shared" si="17"/>
        <v/>
      </c>
    </row>
    <row r="557" ht="15.75" customHeight="1">
      <c r="A557" s="82"/>
      <c r="B557" s="83"/>
      <c r="C557" s="83"/>
      <c r="D557" s="83"/>
      <c r="E557" s="83"/>
      <c r="F557" s="83"/>
      <c r="G557" s="83" t="str">
        <f>IF($F557="","",IFERROR(VLOOKUP($F557,Inventory!$A:$B,2,FALSE),""))</f>
        <v/>
      </c>
      <c r="H557" s="83"/>
      <c r="I557" s="84" t="str">
        <f t="shared" si="2"/>
        <v/>
      </c>
      <c r="J557" s="85" t="str">
        <f>IF($F557="","",IFERROR(VLOOKUP($F557,Inventory!$A:$K,11,FALSE),0))</f>
        <v/>
      </c>
      <c r="K557" s="85"/>
      <c r="L557" s="85" t="str">
        <f t="shared" si="12"/>
        <v/>
      </c>
      <c r="M557" s="83"/>
      <c r="N557" s="85" t="str">
        <f>IF($F557="","",IFERROR(VLOOKUP($F557,Inventory!$A:$I,9,FALSE),0))</f>
        <v/>
      </c>
      <c r="O557" s="85" t="str">
        <f t="shared" si="13"/>
        <v/>
      </c>
      <c r="P557" s="85" t="str">
        <f t="shared" si="5"/>
        <v/>
      </c>
      <c r="Q557" s="83"/>
      <c r="R557" s="118" t="str">
        <f>IF($E557="","",IF(COUNTIF($E$7:$E1754,$E557)&gt;1,"",IFERROR(VLOOKUP($E557,Orders!$A:$I,8,FALSE),"")))</f>
        <v/>
      </c>
      <c r="S557" s="118" t="str">
        <f>IF($E557="","",IF(COUNTIF($E$7:$E1754,$E557)&gt;1,"",IFERROR(VLOOKUP($E557,Orders!$A:$I,9,FALSE),"")))</f>
        <v/>
      </c>
      <c r="T557" s="88" t="str">
        <f t="shared" si="14"/>
        <v/>
      </c>
      <c r="U557" s="88" t="str">
        <f>IF($F557="","",IF($E557="",T557,SUMIF(Sales!$E$7:$E$1506,$E557,Sales!$T$7:$T$1506)))</f>
        <v/>
      </c>
      <c r="V557" s="49" t="str">
        <f t="shared" si="15"/>
        <v/>
      </c>
      <c r="W557" s="49" t="str">
        <f t="array" ref="W557">IF($V557="","",SUMPRODUCT((Sales!$V$7:$V$1506&lt;&gt;"")*(Sales!$E$7:$E$1506&lt;$E557))+1)</f>
        <v/>
      </c>
      <c r="X557" s="49" t="str">
        <f t="shared" si="16"/>
        <v/>
      </c>
      <c r="Y557" s="49" t="str">
        <f t="shared" si="17"/>
        <v/>
      </c>
    </row>
    <row r="558" ht="15.75" customHeight="1">
      <c r="A558" s="82"/>
      <c r="B558" s="83"/>
      <c r="C558" s="83"/>
      <c r="D558" s="83"/>
      <c r="E558" s="83"/>
      <c r="F558" s="83"/>
      <c r="G558" s="83" t="str">
        <f>IF($F558="","",IFERROR(VLOOKUP($F558,Inventory!$A:$B,2,FALSE),""))</f>
        <v/>
      </c>
      <c r="H558" s="83"/>
      <c r="I558" s="84" t="str">
        <f t="shared" si="2"/>
        <v/>
      </c>
      <c r="J558" s="85" t="str">
        <f>IF($F558="","",IFERROR(VLOOKUP($F558,Inventory!$A:$K,11,FALSE),0))</f>
        <v/>
      </c>
      <c r="K558" s="85"/>
      <c r="L558" s="85" t="str">
        <f t="shared" si="12"/>
        <v/>
      </c>
      <c r="M558" s="83"/>
      <c r="N558" s="85" t="str">
        <f>IF($F558="","",IFERROR(VLOOKUP($F558,Inventory!$A:$I,9,FALSE),0))</f>
        <v/>
      </c>
      <c r="O558" s="85" t="str">
        <f t="shared" si="13"/>
        <v/>
      </c>
      <c r="P558" s="85" t="str">
        <f t="shared" si="5"/>
        <v/>
      </c>
      <c r="Q558" s="83"/>
      <c r="R558" s="118" t="str">
        <f>IF($E558="","",IF(COUNTIF($E$7:$E1755,$E558)&gt;1,"",IFERROR(VLOOKUP($E558,Orders!$A:$I,8,FALSE),"")))</f>
        <v/>
      </c>
      <c r="S558" s="118" t="str">
        <f>IF($E558="","",IF(COUNTIF($E$7:$E1755,$E558)&gt;1,"",IFERROR(VLOOKUP($E558,Orders!$A:$I,9,FALSE),"")))</f>
        <v/>
      </c>
      <c r="T558" s="88" t="str">
        <f t="shared" si="14"/>
        <v/>
      </c>
      <c r="U558" s="88" t="str">
        <f>IF($F558="","",IF($E558="",T558,SUMIF(Sales!$E$7:$E$1506,$E558,Sales!$T$7:$T$1506)))</f>
        <v/>
      </c>
      <c r="V558" s="49" t="str">
        <f t="shared" si="15"/>
        <v/>
      </c>
      <c r="W558" s="49" t="str">
        <f t="array" ref="W558">IF($V558="","",SUMPRODUCT((Sales!$V$7:$V$1506&lt;&gt;"")*(Sales!$E$7:$E$1506&lt;$E558))+1)</f>
        <v/>
      </c>
      <c r="X558" s="49" t="str">
        <f t="shared" si="16"/>
        <v/>
      </c>
      <c r="Y558" s="49" t="str">
        <f t="shared" si="17"/>
        <v/>
      </c>
    </row>
    <row r="559" ht="15.75" customHeight="1">
      <c r="A559" s="82"/>
      <c r="B559" s="83"/>
      <c r="C559" s="83"/>
      <c r="D559" s="83"/>
      <c r="E559" s="83"/>
      <c r="F559" s="83"/>
      <c r="G559" s="83" t="str">
        <f>IF($F559="","",IFERROR(VLOOKUP($F559,Inventory!$A:$B,2,FALSE),""))</f>
        <v/>
      </c>
      <c r="H559" s="83"/>
      <c r="I559" s="84" t="str">
        <f t="shared" si="2"/>
        <v/>
      </c>
      <c r="J559" s="85" t="str">
        <f>IF($F559="","",IFERROR(VLOOKUP($F559,Inventory!$A:$K,11,FALSE),0))</f>
        <v/>
      </c>
      <c r="K559" s="85"/>
      <c r="L559" s="85" t="str">
        <f t="shared" si="12"/>
        <v/>
      </c>
      <c r="M559" s="83"/>
      <c r="N559" s="85" t="str">
        <f>IF($F559="","",IFERROR(VLOOKUP($F559,Inventory!$A:$I,9,FALSE),0))</f>
        <v/>
      </c>
      <c r="O559" s="85" t="str">
        <f t="shared" si="13"/>
        <v/>
      </c>
      <c r="P559" s="85" t="str">
        <f t="shared" si="5"/>
        <v/>
      </c>
      <c r="Q559" s="83"/>
      <c r="R559" s="118" t="str">
        <f>IF($E559="","",IF(COUNTIF($E$7:$E1756,$E559)&gt;1,"",IFERROR(VLOOKUP($E559,Orders!$A:$I,8,FALSE),"")))</f>
        <v/>
      </c>
      <c r="S559" s="118" t="str">
        <f>IF($E559="","",IF(COUNTIF($E$7:$E1756,$E559)&gt;1,"",IFERROR(VLOOKUP($E559,Orders!$A:$I,9,FALSE),"")))</f>
        <v/>
      </c>
      <c r="T559" s="88" t="str">
        <f t="shared" si="14"/>
        <v/>
      </c>
      <c r="U559" s="88" t="str">
        <f>IF($F559="","",IF($E559="",T559,SUMIF(Sales!$E$7:$E$1506,$E559,Sales!$T$7:$T$1506)))</f>
        <v/>
      </c>
      <c r="V559" s="49" t="str">
        <f t="shared" si="15"/>
        <v/>
      </c>
      <c r="W559" s="49" t="str">
        <f t="array" ref="W559">IF($V559="","",SUMPRODUCT((Sales!$V$7:$V$1506&lt;&gt;"")*(Sales!$E$7:$E$1506&lt;$E559))+1)</f>
        <v/>
      </c>
      <c r="X559" s="49" t="str">
        <f t="shared" si="16"/>
        <v/>
      </c>
      <c r="Y559" s="49" t="str">
        <f t="shared" si="17"/>
        <v/>
      </c>
    </row>
    <row r="560" ht="15.75" customHeight="1">
      <c r="A560" s="82"/>
      <c r="B560" s="83"/>
      <c r="C560" s="83"/>
      <c r="D560" s="83"/>
      <c r="E560" s="83"/>
      <c r="F560" s="83"/>
      <c r="G560" s="83" t="str">
        <f>IF($F560="","",IFERROR(VLOOKUP($F560,Inventory!$A:$B,2,FALSE),""))</f>
        <v/>
      </c>
      <c r="H560" s="83"/>
      <c r="I560" s="84" t="str">
        <f t="shared" si="2"/>
        <v/>
      </c>
      <c r="J560" s="85" t="str">
        <f>IF($F560="","",IFERROR(VLOOKUP($F560,Inventory!$A:$K,11,FALSE),0))</f>
        <v/>
      </c>
      <c r="K560" s="85"/>
      <c r="L560" s="85" t="str">
        <f t="shared" si="12"/>
        <v/>
      </c>
      <c r="M560" s="83"/>
      <c r="N560" s="85" t="str">
        <f>IF($F560="","",IFERROR(VLOOKUP($F560,Inventory!$A:$I,9,FALSE),0))</f>
        <v/>
      </c>
      <c r="O560" s="85" t="str">
        <f t="shared" si="13"/>
        <v/>
      </c>
      <c r="P560" s="85" t="str">
        <f t="shared" si="5"/>
        <v/>
      </c>
      <c r="Q560" s="83"/>
      <c r="R560" s="118" t="str">
        <f>IF($E560="","",IF(COUNTIF($E$7:$E1757,$E560)&gt;1,"",IFERROR(VLOOKUP($E560,Orders!$A:$I,8,FALSE),"")))</f>
        <v/>
      </c>
      <c r="S560" s="118" t="str">
        <f>IF($E560="","",IF(COUNTIF($E$7:$E1757,$E560)&gt;1,"",IFERROR(VLOOKUP($E560,Orders!$A:$I,9,FALSE),"")))</f>
        <v/>
      </c>
      <c r="T560" s="88" t="str">
        <f t="shared" si="14"/>
        <v/>
      </c>
      <c r="U560" s="88" t="str">
        <f>IF($F560="","",IF($E560="",T560,SUMIF(Sales!$E$7:$E$1506,$E560,Sales!$T$7:$T$1506)))</f>
        <v/>
      </c>
      <c r="V560" s="49" t="str">
        <f t="shared" si="15"/>
        <v/>
      </c>
      <c r="W560" s="49" t="str">
        <f t="array" ref="W560">IF($V560="","",SUMPRODUCT((Sales!$V$7:$V$1506&lt;&gt;"")*(Sales!$E$7:$E$1506&lt;$E560))+1)</f>
        <v/>
      </c>
      <c r="X560" s="49" t="str">
        <f t="shared" si="16"/>
        <v/>
      </c>
      <c r="Y560" s="49" t="str">
        <f t="shared" si="17"/>
        <v/>
      </c>
    </row>
    <row r="561" ht="15.75" customHeight="1">
      <c r="A561" s="82"/>
      <c r="B561" s="83"/>
      <c r="C561" s="83"/>
      <c r="D561" s="83"/>
      <c r="E561" s="83"/>
      <c r="F561" s="83"/>
      <c r="G561" s="83" t="str">
        <f>IF($F561="","",IFERROR(VLOOKUP($F561,Inventory!$A:$B,2,FALSE),""))</f>
        <v/>
      </c>
      <c r="H561" s="83"/>
      <c r="I561" s="84" t="str">
        <f t="shared" si="2"/>
        <v/>
      </c>
      <c r="J561" s="85" t="str">
        <f>IF($F561="","",IFERROR(VLOOKUP($F561,Inventory!$A:$K,11,FALSE),0))</f>
        <v/>
      </c>
      <c r="K561" s="85"/>
      <c r="L561" s="85" t="str">
        <f t="shared" si="12"/>
        <v/>
      </c>
      <c r="M561" s="83"/>
      <c r="N561" s="85" t="str">
        <f>IF($F561="","",IFERROR(VLOOKUP($F561,Inventory!$A:$I,9,FALSE),0))</f>
        <v/>
      </c>
      <c r="O561" s="85" t="str">
        <f t="shared" si="13"/>
        <v/>
      </c>
      <c r="P561" s="85" t="str">
        <f t="shared" si="5"/>
        <v/>
      </c>
      <c r="Q561" s="83"/>
      <c r="R561" s="118" t="str">
        <f>IF($E561="","",IF(COUNTIF($E$7:$E1758,$E561)&gt;1,"",IFERROR(VLOOKUP($E561,Orders!$A:$I,8,FALSE),"")))</f>
        <v/>
      </c>
      <c r="S561" s="118" t="str">
        <f>IF($E561="","",IF(COUNTIF($E$7:$E1758,$E561)&gt;1,"",IFERROR(VLOOKUP($E561,Orders!$A:$I,9,FALSE),"")))</f>
        <v/>
      </c>
      <c r="T561" s="88" t="str">
        <f t="shared" si="14"/>
        <v/>
      </c>
      <c r="U561" s="88" t="str">
        <f>IF($F561="","",IF($E561="",T561,SUMIF(Sales!$E$7:$E$1506,$E561,Sales!$T$7:$T$1506)))</f>
        <v/>
      </c>
      <c r="V561" s="49" t="str">
        <f t="shared" si="15"/>
        <v/>
      </c>
      <c r="W561" s="49" t="str">
        <f t="array" ref="W561">IF($V561="","",SUMPRODUCT((Sales!$V$7:$V$1506&lt;&gt;"")*(Sales!$E$7:$E$1506&lt;$E561))+1)</f>
        <v/>
      </c>
      <c r="X561" s="49" t="str">
        <f t="shared" si="16"/>
        <v/>
      </c>
      <c r="Y561" s="49" t="str">
        <f t="shared" si="17"/>
        <v/>
      </c>
    </row>
    <row r="562" ht="15.75" customHeight="1">
      <c r="A562" s="82"/>
      <c r="B562" s="83"/>
      <c r="C562" s="83"/>
      <c r="D562" s="83"/>
      <c r="E562" s="83"/>
      <c r="F562" s="83"/>
      <c r="G562" s="83" t="str">
        <f>IF($F562="","",IFERROR(VLOOKUP($F562,Inventory!$A:$B,2,FALSE),""))</f>
        <v/>
      </c>
      <c r="H562" s="83"/>
      <c r="I562" s="84" t="str">
        <f t="shared" si="2"/>
        <v/>
      </c>
      <c r="J562" s="85" t="str">
        <f>IF($F562="","",IFERROR(VLOOKUP($F562,Inventory!$A:$K,11,FALSE),0))</f>
        <v/>
      </c>
      <c r="K562" s="85"/>
      <c r="L562" s="85" t="str">
        <f t="shared" si="12"/>
        <v/>
      </c>
      <c r="M562" s="83"/>
      <c r="N562" s="85" t="str">
        <f>IF($F562="","",IFERROR(VLOOKUP($F562,Inventory!$A:$I,9,FALSE),0))</f>
        <v/>
      </c>
      <c r="O562" s="85" t="str">
        <f t="shared" si="13"/>
        <v/>
      </c>
      <c r="P562" s="85" t="str">
        <f t="shared" si="5"/>
        <v/>
      </c>
      <c r="Q562" s="83"/>
      <c r="R562" s="118" t="str">
        <f>IF($E562="","",IF(COUNTIF($E$7:$E1759,$E562)&gt;1,"",IFERROR(VLOOKUP($E562,Orders!$A:$I,8,FALSE),"")))</f>
        <v/>
      </c>
      <c r="S562" s="118" t="str">
        <f>IF($E562="","",IF(COUNTIF($E$7:$E1759,$E562)&gt;1,"",IFERROR(VLOOKUP($E562,Orders!$A:$I,9,FALSE),"")))</f>
        <v/>
      </c>
      <c r="T562" s="88" t="str">
        <f t="shared" si="14"/>
        <v/>
      </c>
      <c r="U562" s="88" t="str">
        <f>IF($F562="","",IF($E562="",T562,SUMIF(Sales!$E$7:$E$1506,$E562,Sales!$T$7:$T$1506)))</f>
        <v/>
      </c>
      <c r="V562" s="49" t="str">
        <f t="shared" si="15"/>
        <v/>
      </c>
      <c r="W562" s="49" t="str">
        <f t="array" ref="W562">IF($V562="","",SUMPRODUCT((Sales!$V$7:$V$1506&lt;&gt;"")*(Sales!$E$7:$E$1506&lt;$E562))+1)</f>
        <v/>
      </c>
      <c r="X562" s="49" t="str">
        <f t="shared" si="16"/>
        <v/>
      </c>
      <c r="Y562" s="49" t="str">
        <f t="shared" si="17"/>
        <v/>
      </c>
    </row>
    <row r="563" ht="15.75" customHeight="1">
      <c r="A563" s="82"/>
      <c r="B563" s="83"/>
      <c r="C563" s="83"/>
      <c r="D563" s="83"/>
      <c r="E563" s="83"/>
      <c r="F563" s="83"/>
      <c r="G563" s="83" t="str">
        <f>IF($F563="","",IFERROR(VLOOKUP($F563,Inventory!$A:$B,2,FALSE),""))</f>
        <v/>
      </c>
      <c r="H563" s="83"/>
      <c r="I563" s="84" t="str">
        <f t="shared" si="2"/>
        <v/>
      </c>
      <c r="J563" s="85" t="str">
        <f>IF($F563="","",IFERROR(VLOOKUP($F563,Inventory!$A:$K,11,FALSE),0))</f>
        <v/>
      </c>
      <c r="K563" s="85"/>
      <c r="L563" s="85" t="str">
        <f t="shared" si="12"/>
        <v/>
      </c>
      <c r="M563" s="83"/>
      <c r="N563" s="85" t="str">
        <f>IF($F563="","",IFERROR(VLOOKUP($F563,Inventory!$A:$I,9,FALSE),0))</f>
        <v/>
      </c>
      <c r="O563" s="85" t="str">
        <f t="shared" si="13"/>
        <v/>
      </c>
      <c r="P563" s="85" t="str">
        <f t="shared" si="5"/>
        <v/>
      </c>
      <c r="Q563" s="83"/>
      <c r="R563" s="118" t="str">
        <f>IF($E563="","",IF(COUNTIF($E$7:$E1760,$E563)&gt;1,"",IFERROR(VLOOKUP($E563,Orders!$A:$I,8,FALSE),"")))</f>
        <v/>
      </c>
      <c r="S563" s="118" t="str">
        <f>IF($E563="","",IF(COUNTIF($E$7:$E1760,$E563)&gt;1,"",IFERROR(VLOOKUP($E563,Orders!$A:$I,9,FALSE),"")))</f>
        <v/>
      </c>
      <c r="T563" s="88" t="str">
        <f t="shared" si="14"/>
        <v/>
      </c>
      <c r="U563" s="88" t="str">
        <f>IF($F563="","",IF($E563="",T563,SUMIF(Sales!$E$7:$E$1506,$E563,Sales!$T$7:$T$1506)))</f>
        <v/>
      </c>
      <c r="V563" s="49" t="str">
        <f t="shared" si="15"/>
        <v/>
      </c>
      <c r="W563" s="49" t="str">
        <f t="array" ref="W563">IF($V563="","",SUMPRODUCT((Sales!$V$7:$V$1506&lt;&gt;"")*(Sales!$E$7:$E$1506&lt;$E563))+1)</f>
        <v/>
      </c>
      <c r="X563" s="49" t="str">
        <f t="shared" si="16"/>
        <v/>
      </c>
      <c r="Y563" s="49" t="str">
        <f t="shared" si="17"/>
        <v/>
      </c>
    </row>
    <row r="564" ht="15.75" customHeight="1">
      <c r="A564" s="82"/>
      <c r="B564" s="83"/>
      <c r="C564" s="83"/>
      <c r="D564" s="83"/>
      <c r="E564" s="83"/>
      <c r="F564" s="83"/>
      <c r="G564" s="83" t="str">
        <f>IF($F564="","",IFERROR(VLOOKUP($F564,Inventory!$A:$B,2,FALSE),""))</f>
        <v/>
      </c>
      <c r="H564" s="83"/>
      <c r="I564" s="84" t="str">
        <f t="shared" si="2"/>
        <v/>
      </c>
      <c r="J564" s="85" t="str">
        <f>IF($F564="","",IFERROR(VLOOKUP($F564,Inventory!$A:$K,11,FALSE),0))</f>
        <v/>
      </c>
      <c r="K564" s="85"/>
      <c r="L564" s="85" t="str">
        <f t="shared" si="12"/>
        <v/>
      </c>
      <c r="M564" s="83"/>
      <c r="N564" s="85" t="str">
        <f>IF($F564="","",IFERROR(VLOOKUP($F564,Inventory!$A:$I,9,FALSE),0))</f>
        <v/>
      </c>
      <c r="O564" s="85" t="str">
        <f t="shared" si="13"/>
        <v/>
      </c>
      <c r="P564" s="85" t="str">
        <f t="shared" si="5"/>
        <v/>
      </c>
      <c r="Q564" s="83"/>
      <c r="R564" s="118" t="str">
        <f>IF($E564="","",IF(COUNTIF($E$7:$E1761,$E564)&gt;1,"",IFERROR(VLOOKUP($E564,Orders!$A:$I,8,FALSE),"")))</f>
        <v/>
      </c>
      <c r="S564" s="118" t="str">
        <f>IF($E564="","",IF(COUNTIF($E$7:$E1761,$E564)&gt;1,"",IFERROR(VLOOKUP($E564,Orders!$A:$I,9,FALSE),"")))</f>
        <v/>
      </c>
      <c r="T564" s="88" t="str">
        <f t="shared" si="14"/>
        <v/>
      </c>
      <c r="U564" s="88" t="str">
        <f>IF($F564="","",IF($E564="",T564,SUMIF(Sales!$E$7:$E$1506,$E564,Sales!$T$7:$T$1506)))</f>
        <v/>
      </c>
      <c r="V564" s="49" t="str">
        <f t="shared" si="15"/>
        <v/>
      </c>
      <c r="W564" s="49" t="str">
        <f t="array" ref="W564">IF($V564="","",SUMPRODUCT((Sales!$V$7:$V$1506&lt;&gt;"")*(Sales!$E$7:$E$1506&lt;$E564))+1)</f>
        <v/>
      </c>
      <c r="X564" s="49" t="str">
        <f t="shared" si="16"/>
        <v/>
      </c>
      <c r="Y564" s="49" t="str">
        <f t="shared" si="17"/>
        <v/>
      </c>
    </row>
    <row r="565" ht="15.75" customHeight="1">
      <c r="A565" s="82"/>
      <c r="B565" s="83"/>
      <c r="C565" s="83"/>
      <c r="D565" s="83"/>
      <c r="E565" s="83"/>
      <c r="F565" s="83"/>
      <c r="G565" s="83" t="str">
        <f>IF($F565="","",IFERROR(VLOOKUP($F565,Inventory!$A:$B,2,FALSE),""))</f>
        <v/>
      </c>
      <c r="H565" s="83"/>
      <c r="I565" s="84" t="str">
        <f t="shared" si="2"/>
        <v/>
      </c>
      <c r="J565" s="85" t="str">
        <f>IF($F565="","",IFERROR(VLOOKUP($F565,Inventory!$A:$K,11,FALSE),0))</f>
        <v/>
      </c>
      <c r="K565" s="85"/>
      <c r="L565" s="85" t="str">
        <f t="shared" si="12"/>
        <v/>
      </c>
      <c r="M565" s="83"/>
      <c r="N565" s="85" t="str">
        <f>IF($F565="","",IFERROR(VLOOKUP($F565,Inventory!$A:$I,9,FALSE),0))</f>
        <v/>
      </c>
      <c r="O565" s="85" t="str">
        <f t="shared" si="13"/>
        <v/>
      </c>
      <c r="P565" s="85" t="str">
        <f t="shared" si="5"/>
        <v/>
      </c>
      <c r="Q565" s="83"/>
      <c r="R565" s="118" t="str">
        <f>IF($E565="","",IF(COUNTIF($E$7:$E1762,$E565)&gt;1,"",IFERROR(VLOOKUP($E565,Orders!$A:$I,8,FALSE),"")))</f>
        <v/>
      </c>
      <c r="S565" s="118" t="str">
        <f>IF($E565="","",IF(COUNTIF($E$7:$E1762,$E565)&gt;1,"",IFERROR(VLOOKUP($E565,Orders!$A:$I,9,FALSE),"")))</f>
        <v/>
      </c>
      <c r="T565" s="88" t="str">
        <f t="shared" si="14"/>
        <v/>
      </c>
      <c r="U565" s="88" t="str">
        <f>IF($F565="","",IF($E565="",T565,SUMIF(Sales!$E$7:$E$1506,$E565,Sales!$T$7:$T$1506)))</f>
        <v/>
      </c>
      <c r="V565" s="49" t="str">
        <f t="shared" si="15"/>
        <v/>
      </c>
      <c r="W565" s="49" t="str">
        <f t="array" ref="W565">IF($V565="","",SUMPRODUCT((Sales!$V$7:$V$1506&lt;&gt;"")*(Sales!$E$7:$E$1506&lt;$E565))+1)</f>
        <v/>
      </c>
      <c r="X565" s="49" t="str">
        <f t="shared" si="16"/>
        <v/>
      </c>
      <c r="Y565" s="49" t="str">
        <f t="shared" si="17"/>
        <v/>
      </c>
    </row>
    <row r="566" ht="15.75" customHeight="1">
      <c r="A566" s="82"/>
      <c r="B566" s="83"/>
      <c r="C566" s="83"/>
      <c r="D566" s="83"/>
      <c r="E566" s="83"/>
      <c r="F566" s="83"/>
      <c r="G566" s="83" t="str">
        <f>IF($F566="","",IFERROR(VLOOKUP($F566,Inventory!$A:$B,2,FALSE),""))</f>
        <v/>
      </c>
      <c r="H566" s="83"/>
      <c r="I566" s="84" t="str">
        <f t="shared" si="2"/>
        <v/>
      </c>
      <c r="J566" s="85" t="str">
        <f>IF($F566="","",IFERROR(VLOOKUP($F566,Inventory!$A:$K,11,FALSE),0))</f>
        <v/>
      </c>
      <c r="K566" s="85"/>
      <c r="L566" s="85" t="str">
        <f t="shared" si="12"/>
        <v/>
      </c>
      <c r="M566" s="83"/>
      <c r="N566" s="85" t="str">
        <f>IF($F566="","",IFERROR(VLOOKUP($F566,Inventory!$A:$I,9,FALSE),0))</f>
        <v/>
      </c>
      <c r="O566" s="85" t="str">
        <f t="shared" si="13"/>
        <v/>
      </c>
      <c r="P566" s="85" t="str">
        <f t="shared" si="5"/>
        <v/>
      </c>
      <c r="Q566" s="83"/>
      <c r="R566" s="118" t="str">
        <f>IF($E566="","",IF(COUNTIF($E$7:$E1763,$E566)&gt;1,"",IFERROR(VLOOKUP($E566,Orders!$A:$I,8,FALSE),"")))</f>
        <v/>
      </c>
      <c r="S566" s="118" t="str">
        <f>IF($E566="","",IF(COUNTIF($E$7:$E1763,$E566)&gt;1,"",IFERROR(VLOOKUP($E566,Orders!$A:$I,9,FALSE),"")))</f>
        <v/>
      </c>
      <c r="T566" s="88" t="str">
        <f t="shared" si="14"/>
        <v/>
      </c>
      <c r="U566" s="88" t="str">
        <f>IF($F566="","",IF($E566="",T566,SUMIF(Sales!$E$7:$E$1506,$E566,Sales!$T$7:$T$1506)))</f>
        <v/>
      </c>
      <c r="V566" s="49" t="str">
        <f t="shared" si="15"/>
        <v/>
      </c>
      <c r="W566" s="49" t="str">
        <f t="array" ref="W566">IF($V566="","",SUMPRODUCT((Sales!$V$7:$V$1506&lt;&gt;"")*(Sales!$E$7:$E$1506&lt;$E566))+1)</f>
        <v/>
      </c>
      <c r="X566" s="49" t="str">
        <f t="shared" si="16"/>
        <v/>
      </c>
      <c r="Y566" s="49" t="str">
        <f t="shared" si="17"/>
        <v/>
      </c>
    </row>
    <row r="567" ht="15.75" customHeight="1">
      <c r="A567" s="82"/>
      <c r="B567" s="83"/>
      <c r="C567" s="83"/>
      <c r="D567" s="83"/>
      <c r="E567" s="83"/>
      <c r="F567" s="83"/>
      <c r="G567" s="83" t="str">
        <f>IF($F567="","",IFERROR(VLOOKUP($F567,Inventory!$A:$B,2,FALSE),""))</f>
        <v/>
      </c>
      <c r="H567" s="83"/>
      <c r="I567" s="84" t="str">
        <f t="shared" si="2"/>
        <v/>
      </c>
      <c r="J567" s="85" t="str">
        <f>IF($F567="","",IFERROR(VLOOKUP($F567,Inventory!$A:$K,11,FALSE),0))</f>
        <v/>
      </c>
      <c r="K567" s="85"/>
      <c r="L567" s="85" t="str">
        <f t="shared" si="12"/>
        <v/>
      </c>
      <c r="M567" s="83"/>
      <c r="N567" s="85" t="str">
        <f>IF($F567="","",IFERROR(VLOOKUP($F567,Inventory!$A:$I,9,FALSE),0))</f>
        <v/>
      </c>
      <c r="O567" s="85" t="str">
        <f t="shared" si="13"/>
        <v/>
      </c>
      <c r="P567" s="85" t="str">
        <f t="shared" si="5"/>
        <v/>
      </c>
      <c r="Q567" s="83"/>
      <c r="R567" s="118" t="str">
        <f>IF($E567="","",IF(COUNTIF($E$7:$E1764,$E567)&gt;1,"",IFERROR(VLOOKUP($E567,Orders!$A:$I,8,FALSE),"")))</f>
        <v/>
      </c>
      <c r="S567" s="118" t="str">
        <f>IF($E567="","",IF(COUNTIF($E$7:$E1764,$E567)&gt;1,"",IFERROR(VLOOKUP($E567,Orders!$A:$I,9,FALSE),"")))</f>
        <v/>
      </c>
      <c r="T567" s="88" t="str">
        <f t="shared" si="14"/>
        <v/>
      </c>
      <c r="U567" s="88" t="str">
        <f>IF($F567="","",IF($E567="",T567,SUMIF(Sales!$E$7:$E$1506,$E567,Sales!$T$7:$T$1506)))</f>
        <v/>
      </c>
      <c r="V567" s="49" t="str">
        <f t="shared" si="15"/>
        <v/>
      </c>
      <c r="W567" s="49" t="str">
        <f t="array" ref="W567">IF($V567="","",SUMPRODUCT((Sales!$V$7:$V$1506&lt;&gt;"")*(Sales!$E$7:$E$1506&lt;$E567))+1)</f>
        <v/>
      </c>
      <c r="X567" s="49" t="str">
        <f t="shared" si="16"/>
        <v/>
      </c>
      <c r="Y567" s="49" t="str">
        <f t="shared" si="17"/>
        <v/>
      </c>
    </row>
    <row r="568" ht="15.75" customHeight="1">
      <c r="A568" s="82"/>
      <c r="B568" s="83"/>
      <c r="C568" s="83"/>
      <c r="D568" s="83"/>
      <c r="E568" s="83"/>
      <c r="F568" s="83"/>
      <c r="G568" s="83" t="str">
        <f>IF($F568="","",IFERROR(VLOOKUP($F568,Inventory!$A:$B,2,FALSE),""))</f>
        <v/>
      </c>
      <c r="H568" s="83"/>
      <c r="I568" s="84" t="str">
        <f t="shared" si="2"/>
        <v/>
      </c>
      <c r="J568" s="85" t="str">
        <f>IF($F568="","",IFERROR(VLOOKUP($F568,Inventory!$A:$K,11,FALSE),0))</f>
        <v/>
      </c>
      <c r="K568" s="85"/>
      <c r="L568" s="85" t="str">
        <f t="shared" si="12"/>
        <v/>
      </c>
      <c r="M568" s="83"/>
      <c r="N568" s="85" t="str">
        <f>IF($F568="","",IFERROR(VLOOKUP($F568,Inventory!$A:$I,9,FALSE),0))</f>
        <v/>
      </c>
      <c r="O568" s="85" t="str">
        <f t="shared" si="13"/>
        <v/>
      </c>
      <c r="P568" s="85" t="str">
        <f t="shared" si="5"/>
        <v/>
      </c>
      <c r="Q568" s="83"/>
      <c r="R568" s="118" t="str">
        <f>IF($E568="","",IF(COUNTIF($E$7:$E1765,$E568)&gt;1,"",IFERROR(VLOOKUP($E568,Orders!$A:$I,8,FALSE),"")))</f>
        <v/>
      </c>
      <c r="S568" s="118" t="str">
        <f>IF($E568="","",IF(COUNTIF($E$7:$E1765,$E568)&gt;1,"",IFERROR(VLOOKUP($E568,Orders!$A:$I,9,FALSE),"")))</f>
        <v/>
      </c>
      <c r="T568" s="88" t="str">
        <f t="shared" si="14"/>
        <v/>
      </c>
      <c r="U568" s="88" t="str">
        <f>IF($F568="","",IF($E568="",T568,SUMIF(Sales!$E$7:$E$1506,$E568,Sales!$T$7:$T$1506)))</f>
        <v/>
      </c>
      <c r="V568" s="49" t="str">
        <f t="shared" si="15"/>
        <v/>
      </c>
      <c r="W568" s="49" t="str">
        <f t="array" ref="W568">IF($V568="","",SUMPRODUCT((Sales!$V$7:$V$1506&lt;&gt;"")*(Sales!$E$7:$E$1506&lt;$E568))+1)</f>
        <v/>
      </c>
      <c r="X568" s="49" t="str">
        <f t="shared" si="16"/>
        <v/>
      </c>
      <c r="Y568" s="49" t="str">
        <f t="shared" si="17"/>
        <v/>
      </c>
    </row>
    <row r="569" ht="15.75" customHeight="1">
      <c r="A569" s="82"/>
      <c r="B569" s="83"/>
      <c r="C569" s="83"/>
      <c r="D569" s="83"/>
      <c r="E569" s="83"/>
      <c r="F569" s="83"/>
      <c r="G569" s="83" t="str">
        <f>IF($F569="","",IFERROR(VLOOKUP($F569,Inventory!$A:$B,2,FALSE),""))</f>
        <v/>
      </c>
      <c r="H569" s="83"/>
      <c r="I569" s="84" t="str">
        <f t="shared" si="2"/>
        <v/>
      </c>
      <c r="J569" s="85" t="str">
        <f>IF($F569="","",IFERROR(VLOOKUP($F569,Inventory!$A:$K,11,FALSE),0))</f>
        <v/>
      </c>
      <c r="K569" s="85"/>
      <c r="L569" s="85" t="str">
        <f t="shared" si="12"/>
        <v/>
      </c>
      <c r="M569" s="83"/>
      <c r="N569" s="85" t="str">
        <f>IF($F569="","",IFERROR(VLOOKUP($F569,Inventory!$A:$I,9,FALSE),0))</f>
        <v/>
      </c>
      <c r="O569" s="85" t="str">
        <f t="shared" si="13"/>
        <v/>
      </c>
      <c r="P569" s="85" t="str">
        <f t="shared" si="5"/>
        <v/>
      </c>
      <c r="Q569" s="83"/>
      <c r="R569" s="118" t="str">
        <f>IF($E569="","",IF(COUNTIF($E$7:$E1766,$E569)&gt;1,"",IFERROR(VLOOKUP($E569,Orders!$A:$I,8,FALSE),"")))</f>
        <v/>
      </c>
      <c r="S569" s="118" t="str">
        <f>IF($E569="","",IF(COUNTIF($E$7:$E1766,$E569)&gt;1,"",IFERROR(VLOOKUP($E569,Orders!$A:$I,9,FALSE),"")))</f>
        <v/>
      </c>
      <c r="T569" s="88" t="str">
        <f t="shared" si="14"/>
        <v/>
      </c>
      <c r="U569" s="88" t="str">
        <f>IF($F569="","",IF($E569="",T569,SUMIF(Sales!$E$7:$E$1506,$E569,Sales!$T$7:$T$1506)))</f>
        <v/>
      </c>
      <c r="V569" s="49" t="str">
        <f t="shared" si="15"/>
        <v/>
      </c>
      <c r="W569" s="49" t="str">
        <f t="array" ref="W569">IF($V569="","",SUMPRODUCT((Sales!$V$7:$V$1506&lt;&gt;"")*(Sales!$E$7:$E$1506&lt;$E569))+1)</f>
        <v/>
      </c>
      <c r="X569" s="49" t="str">
        <f t="shared" si="16"/>
        <v/>
      </c>
      <c r="Y569" s="49" t="str">
        <f t="shared" si="17"/>
        <v/>
      </c>
    </row>
    <row r="570" ht="15.75" customHeight="1">
      <c r="A570" s="82"/>
      <c r="B570" s="83"/>
      <c r="C570" s="83"/>
      <c r="D570" s="83"/>
      <c r="E570" s="83"/>
      <c r="F570" s="83"/>
      <c r="G570" s="83" t="str">
        <f>IF($F570="","",IFERROR(VLOOKUP($F570,Inventory!$A:$B,2,FALSE),""))</f>
        <v/>
      </c>
      <c r="H570" s="83"/>
      <c r="I570" s="84" t="str">
        <f t="shared" si="2"/>
        <v/>
      </c>
      <c r="J570" s="85" t="str">
        <f>IF($F570="","",IFERROR(VLOOKUP($F570,Inventory!$A:$K,11,FALSE),0))</f>
        <v/>
      </c>
      <c r="K570" s="85"/>
      <c r="L570" s="85" t="str">
        <f t="shared" si="12"/>
        <v/>
      </c>
      <c r="M570" s="83"/>
      <c r="N570" s="85" t="str">
        <f>IF($F570="","",IFERROR(VLOOKUP($F570,Inventory!$A:$I,9,FALSE),0))</f>
        <v/>
      </c>
      <c r="O570" s="85" t="str">
        <f t="shared" si="13"/>
        <v/>
      </c>
      <c r="P570" s="85" t="str">
        <f t="shared" si="5"/>
        <v/>
      </c>
      <c r="Q570" s="83"/>
      <c r="R570" s="118" t="str">
        <f>IF($E570="","",IF(COUNTIF($E$7:$E1767,$E570)&gt;1,"",IFERROR(VLOOKUP($E570,Orders!$A:$I,8,FALSE),"")))</f>
        <v/>
      </c>
      <c r="S570" s="118" t="str">
        <f>IF($E570="","",IF(COUNTIF($E$7:$E1767,$E570)&gt;1,"",IFERROR(VLOOKUP($E570,Orders!$A:$I,9,FALSE),"")))</f>
        <v/>
      </c>
      <c r="T570" s="88" t="str">
        <f t="shared" si="14"/>
        <v/>
      </c>
      <c r="U570" s="88" t="str">
        <f>IF($F570="","",IF($E570="",T570,SUMIF(Sales!$E$7:$E$1506,$E570,Sales!$T$7:$T$1506)))</f>
        <v/>
      </c>
      <c r="V570" s="49" t="str">
        <f t="shared" si="15"/>
        <v/>
      </c>
      <c r="W570" s="49" t="str">
        <f t="array" ref="W570">IF($V570="","",SUMPRODUCT((Sales!$V$7:$V$1506&lt;&gt;"")*(Sales!$E$7:$E$1506&lt;$E570))+1)</f>
        <v/>
      </c>
      <c r="X570" s="49" t="str">
        <f t="shared" si="16"/>
        <v/>
      </c>
      <c r="Y570" s="49" t="str">
        <f t="shared" si="17"/>
        <v/>
      </c>
    </row>
    <row r="571" ht="15.75" customHeight="1">
      <c r="A571" s="82"/>
      <c r="B571" s="83"/>
      <c r="C571" s="83"/>
      <c r="D571" s="83"/>
      <c r="E571" s="83"/>
      <c r="F571" s="83"/>
      <c r="G571" s="83" t="str">
        <f>IF($F571="","",IFERROR(VLOOKUP($F571,Inventory!$A:$B,2,FALSE),""))</f>
        <v/>
      </c>
      <c r="H571" s="83"/>
      <c r="I571" s="84" t="str">
        <f t="shared" si="2"/>
        <v/>
      </c>
      <c r="J571" s="85" t="str">
        <f>IF($F571="","",IFERROR(VLOOKUP($F571,Inventory!$A:$K,11,FALSE),0))</f>
        <v/>
      </c>
      <c r="K571" s="85"/>
      <c r="L571" s="85" t="str">
        <f t="shared" si="12"/>
        <v/>
      </c>
      <c r="M571" s="83"/>
      <c r="N571" s="85" t="str">
        <f>IF($F571="","",IFERROR(VLOOKUP($F571,Inventory!$A:$I,9,FALSE),0))</f>
        <v/>
      </c>
      <c r="O571" s="85" t="str">
        <f t="shared" si="13"/>
        <v/>
      </c>
      <c r="P571" s="85" t="str">
        <f t="shared" si="5"/>
        <v/>
      </c>
      <c r="Q571" s="83"/>
      <c r="R571" s="118" t="str">
        <f>IF($E571="","",IF(COUNTIF($E$7:$E1768,$E571)&gt;1,"",IFERROR(VLOOKUP($E571,Orders!$A:$I,8,FALSE),"")))</f>
        <v/>
      </c>
      <c r="S571" s="118" t="str">
        <f>IF($E571="","",IF(COUNTIF($E$7:$E1768,$E571)&gt;1,"",IFERROR(VLOOKUP($E571,Orders!$A:$I,9,FALSE),"")))</f>
        <v/>
      </c>
      <c r="T571" s="88" t="str">
        <f t="shared" si="14"/>
        <v/>
      </c>
      <c r="U571" s="88" t="str">
        <f>IF($F571="","",IF($E571="",T571,SUMIF(Sales!$E$7:$E$1506,$E571,Sales!$T$7:$T$1506)))</f>
        <v/>
      </c>
      <c r="V571" s="49" t="str">
        <f t="shared" si="15"/>
        <v/>
      </c>
      <c r="W571" s="49" t="str">
        <f t="array" ref="W571">IF($V571="","",SUMPRODUCT((Sales!$V$7:$V$1506&lt;&gt;"")*(Sales!$E$7:$E$1506&lt;$E571))+1)</f>
        <v/>
      </c>
      <c r="X571" s="49" t="str">
        <f t="shared" si="16"/>
        <v/>
      </c>
      <c r="Y571" s="49" t="str">
        <f t="shared" si="17"/>
        <v/>
      </c>
    </row>
    <row r="572" ht="15.75" customHeight="1">
      <c r="A572" s="82"/>
      <c r="B572" s="83"/>
      <c r="C572" s="83"/>
      <c r="D572" s="83"/>
      <c r="E572" s="83"/>
      <c r="F572" s="83"/>
      <c r="G572" s="83" t="str">
        <f>IF($F572="","",IFERROR(VLOOKUP($F572,Inventory!$A:$B,2,FALSE),""))</f>
        <v/>
      </c>
      <c r="H572" s="83"/>
      <c r="I572" s="84" t="str">
        <f t="shared" si="2"/>
        <v/>
      </c>
      <c r="J572" s="85" t="str">
        <f>IF($F572="","",IFERROR(VLOOKUP($F572,Inventory!$A:$K,11,FALSE),0))</f>
        <v/>
      </c>
      <c r="K572" s="85"/>
      <c r="L572" s="85" t="str">
        <f t="shared" si="12"/>
        <v/>
      </c>
      <c r="M572" s="83"/>
      <c r="N572" s="85" t="str">
        <f>IF($F572="","",IFERROR(VLOOKUP($F572,Inventory!$A:$I,9,FALSE),0))</f>
        <v/>
      </c>
      <c r="O572" s="85" t="str">
        <f t="shared" si="13"/>
        <v/>
      </c>
      <c r="P572" s="85" t="str">
        <f t="shared" si="5"/>
        <v/>
      </c>
      <c r="Q572" s="83"/>
      <c r="R572" s="118" t="str">
        <f>IF($E572="","",IF(COUNTIF($E$7:$E1769,$E572)&gt;1,"",IFERROR(VLOOKUP($E572,Orders!$A:$I,8,FALSE),"")))</f>
        <v/>
      </c>
      <c r="S572" s="118" t="str">
        <f>IF($E572="","",IF(COUNTIF($E$7:$E1769,$E572)&gt;1,"",IFERROR(VLOOKUP($E572,Orders!$A:$I,9,FALSE),"")))</f>
        <v/>
      </c>
      <c r="T572" s="88" t="str">
        <f t="shared" si="14"/>
        <v/>
      </c>
      <c r="U572" s="88" t="str">
        <f>IF($F572="","",IF($E572="",T572,SUMIF(Sales!$E$7:$E$1506,$E572,Sales!$T$7:$T$1506)))</f>
        <v/>
      </c>
      <c r="V572" s="49" t="str">
        <f t="shared" si="15"/>
        <v/>
      </c>
      <c r="W572" s="49" t="str">
        <f t="array" ref="W572">IF($V572="","",SUMPRODUCT((Sales!$V$7:$V$1506&lt;&gt;"")*(Sales!$E$7:$E$1506&lt;$E572))+1)</f>
        <v/>
      </c>
      <c r="X572" s="49" t="str">
        <f t="shared" si="16"/>
        <v/>
      </c>
      <c r="Y572" s="49" t="str">
        <f t="shared" si="17"/>
        <v/>
      </c>
    </row>
    <row r="573" ht="15.75" customHeight="1">
      <c r="A573" s="82"/>
      <c r="B573" s="83"/>
      <c r="C573" s="83"/>
      <c r="D573" s="83"/>
      <c r="E573" s="83"/>
      <c r="F573" s="83"/>
      <c r="G573" s="83" t="str">
        <f>IF($F573="","",IFERROR(VLOOKUP($F573,Inventory!$A:$B,2,FALSE),""))</f>
        <v/>
      </c>
      <c r="H573" s="83"/>
      <c r="I573" s="84" t="str">
        <f t="shared" si="2"/>
        <v/>
      </c>
      <c r="J573" s="85" t="str">
        <f>IF($F573="","",IFERROR(VLOOKUP($F573,Inventory!$A:$K,11,FALSE),0))</f>
        <v/>
      </c>
      <c r="K573" s="85"/>
      <c r="L573" s="85" t="str">
        <f t="shared" si="12"/>
        <v/>
      </c>
      <c r="M573" s="83"/>
      <c r="N573" s="85" t="str">
        <f>IF($F573="","",IFERROR(VLOOKUP($F573,Inventory!$A:$I,9,FALSE),0))</f>
        <v/>
      </c>
      <c r="O573" s="85" t="str">
        <f t="shared" si="13"/>
        <v/>
      </c>
      <c r="P573" s="85" t="str">
        <f t="shared" si="5"/>
        <v/>
      </c>
      <c r="Q573" s="83"/>
      <c r="R573" s="118" t="str">
        <f>IF($E573="","",IF(COUNTIF($E$7:$E1770,$E573)&gt;1,"",IFERROR(VLOOKUP($E573,Orders!$A:$I,8,FALSE),"")))</f>
        <v/>
      </c>
      <c r="S573" s="118" t="str">
        <f>IF($E573="","",IF(COUNTIF($E$7:$E1770,$E573)&gt;1,"",IFERROR(VLOOKUP($E573,Orders!$A:$I,9,FALSE),"")))</f>
        <v/>
      </c>
      <c r="T573" s="88" t="str">
        <f t="shared" si="14"/>
        <v/>
      </c>
      <c r="U573" s="88" t="str">
        <f>IF($F573="","",IF($E573="",T573,SUMIF(Sales!$E$7:$E$1506,$E573,Sales!$T$7:$T$1506)))</f>
        <v/>
      </c>
      <c r="V573" s="49" t="str">
        <f t="shared" si="15"/>
        <v/>
      </c>
      <c r="W573" s="49" t="str">
        <f t="array" ref="W573">IF($V573="","",SUMPRODUCT((Sales!$V$7:$V$1506&lt;&gt;"")*(Sales!$E$7:$E$1506&lt;$E573))+1)</f>
        <v/>
      </c>
      <c r="X573" s="49" t="str">
        <f t="shared" si="16"/>
        <v/>
      </c>
      <c r="Y573" s="49" t="str">
        <f t="shared" si="17"/>
        <v/>
      </c>
    </row>
    <row r="574" ht="15.75" customHeight="1">
      <c r="A574" s="82"/>
      <c r="B574" s="83"/>
      <c r="C574" s="83"/>
      <c r="D574" s="83"/>
      <c r="E574" s="83"/>
      <c r="F574" s="83"/>
      <c r="G574" s="83" t="str">
        <f>IF($F574="","",IFERROR(VLOOKUP($F574,Inventory!$A:$B,2,FALSE),""))</f>
        <v/>
      </c>
      <c r="H574" s="83"/>
      <c r="I574" s="84" t="str">
        <f t="shared" si="2"/>
        <v/>
      </c>
      <c r="J574" s="85" t="str">
        <f>IF($F574="","",IFERROR(VLOOKUP($F574,Inventory!$A:$K,11,FALSE),0))</f>
        <v/>
      </c>
      <c r="K574" s="85"/>
      <c r="L574" s="85" t="str">
        <f t="shared" si="12"/>
        <v/>
      </c>
      <c r="M574" s="83"/>
      <c r="N574" s="85" t="str">
        <f>IF($F574="","",IFERROR(VLOOKUP($F574,Inventory!$A:$I,9,FALSE),0))</f>
        <v/>
      </c>
      <c r="O574" s="85" t="str">
        <f t="shared" si="13"/>
        <v/>
      </c>
      <c r="P574" s="85" t="str">
        <f t="shared" si="5"/>
        <v/>
      </c>
      <c r="Q574" s="83"/>
      <c r="R574" s="118" t="str">
        <f>IF($E574="","",IF(COUNTIF($E$7:$E1771,$E574)&gt;1,"",IFERROR(VLOOKUP($E574,Orders!$A:$I,8,FALSE),"")))</f>
        <v/>
      </c>
      <c r="S574" s="118" t="str">
        <f>IF($E574="","",IF(COUNTIF($E$7:$E1771,$E574)&gt;1,"",IFERROR(VLOOKUP($E574,Orders!$A:$I,9,FALSE),"")))</f>
        <v/>
      </c>
      <c r="T574" s="88" t="str">
        <f t="shared" si="14"/>
        <v/>
      </c>
      <c r="U574" s="88" t="str">
        <f>IF($F574="","",IF($E574="",T574,SUMIF(Sales!$E$7:$E$1506,$E574,Sales!$T$7:$T$1506)))</f>
        <v/>
      </c>
      <c r="V574" s="49" t="str">
        <f t="shared" si="15"/>
        <v/>
      </c>
      <c r="W574" s="49" t="str">
        <f t="array" ref="W574">IF($V574="","",SUMPRODUCT((Sales!$V$7:$V$1506&lt;&gt;"")*(Sales!$E$7:$E$1506&lt;$E574))+1)</f>
        <v/>
      </c>
      <c r="X574" s="49" t="str">
        <f t="shared" si="16"/>
        <v/>
      </c>
      <c r="Y574" s="49" t="str">
        <f t="shared" si="17"/>
        <v/>
      </c>
    </row>
    <row r="575" ht="15.75" customHeight="1">
      <c r="A575" s="82"/>
      <c r="B575" s="83"/>
      <c r="C575" s="83"/>
      <c r="D575" s="83"/>
      <c r="E575" s="83"/>
      <c r="F575" s="83"/>
      <c r="G575" s="83" t="str">
        <f>IF($F575="","",IFERROR(VLOOKUP($F575,Inventory!$A:$B,2,FALSE),""))</f>
        <v/>
      </c>
      <c r="H575" s="83"/>
      <c r="I575" s="84" t="str">
        <f t="shared" si="2"/>
        <v/>
      </c>
      <c r="J575" s="85" t="str">
        <f>IF($F575="","",IFERROR(VLOOKUP($F575,Inventory!$A:$K,11,FALSE),0))</f>
        <v/>
      </c>
      <c r="K575" s="85"/>
      <c r="L575" s="85" t="str">
        <f t="shared" si="12"/>
        <v/>
      </c>
      <c r="M575" s="83"/>
      <c r="N575" s="85" t="str">
        <f>IF($F575="","",IFERROR(VLOOKUP($F575,Inventory!$A:$I,9,FALSE),0))</f>
        <v/>
      </c>
      <c r="O575" s="85" t="str">
        <f t="shared" si="13"/>
        <v/>
      </c>
      <c r="P575" s="85" t="str">
        <f t="shared" si="5"/>
        <v/>
      </c>
      <c r="Q575" s="83"/>
      <c r="R575" s="118" t="str">
        <f>IF($E575="","",IF(COUNTIF($E$7:$E1772,$E575)&gt;1,"",IFERROR(VLOOKUP($E575,Orders!$A:$I,8,FALSE),"")))</f>
        <v/>
      </c>
      <c r="S575" s="118" t="str">
        <f>IF($E575="","",IF(COUNTIF($E$7:$E1772,$E575)&gt;1,"",IFERROR(VLOOKUP($E575,Orders!$A:$I,9,FALSE),"")))</f>
        <v/>
      </c>
      <c r="T575" s="88" t="str">
        <f t="shared" si="14"/>
        <v/>
      </c>
      <c r="U575" s="88" t="str">
        <f>IF($F575="","",IF($E575="",T575,SUMIF(Sales!$E$7:$E$1506,$E575,Sales!$T$7:$T$1506)))</f>
        <v/>
      </c>
      <c r="V575" s="49" t="str">
        <f t="shared" si="15"/>
        <v/>
      </c>
      <c r="W575" s="49" t="str">
        <f t="array" ref="W575">IF($V575="","",SUMPRODUCT((Sales!$V$7:$V$1506&lt;&gt;"")*(Sales!$E$7:$E$1506&lt;$E575))+1)</f>
        <v/>
      </c>
      <c r="X575" s="49" t="str">
        <f t="shared" si="16"/>
        <v/>
      </c>
      <c r="Y575" s="49" t="str">
        <f t="shared" si="17"/>
        <v/>
      </c>
    </row>
    <row r="576" ht="15.75" customHeight="1">
      <c r="A576" s="82"/>
      <c r="B576" s="83"/>
      <c r="C576" s="83"/>
      <c r="D576" s="83"/>
      <c r="E576" s="83"/>
      <c r="F576" s="83"/>
      <c r="G576" s="83" t="str">
        <f>IF($F576="","",IFERROR(VLOOKUP($F576,Inventory!$A:$B,2,FALSE),""))</f>
        <v/>
      </c>
      <c r="H576" s="83"/>
      <c r="I576" s="84" t="str">
        <f t="shared" si="2"/>
        <v/>
      </c>
      <c r="J576" s="85" t="str">
        <f>IF($F576="","",IFERROR(VLOOKUP($F576,Inventory!$A:$K,11,FALSE),0))</f>
        <v/>
      </c>
      <c r="K576" s="85"/>
      <c r="L576" s="85" t="str">
        <f t="shared" si="12"/>
        <v/>
      </c>
      <c r="M576" s="83"/>
      <c r="N576" s="85" t="str">
        <f>IF($F576="","",IFERROR(VLOOKUP($F576,Inventory!$A:$I,9,FALSE),0))</f>
        <v/>
      </c>
      <c r="O576" s="85" t="str">
        <f t="shared" si="13"/>
        <v/>
      </c>
      <c r="P576" s="85" t="str">
        <f t="shared" si="5"/>
        <v/>
      </c>
      <c r="Q576" s="83"/>
      <c r="R576" s="118" t="str">
        <f>IF($E576="","",IF(COUNTIF($E$7:$E1773,$E576)&gt;1,"",IFERROR(VLOOKUP($E576,Orders!$A:$I,8,FALSE),"")))</f>
        <v/>
      </c>
      <c r="S576" s="118" t="str">
        <f>IF($E576="","",IF(COUNTIF($E$7:$E1773,$E576)&gt;1,"",IFERROR(VLOOKUP($E576,Orders!$A:$I,9,FALSE),"")))</f>
        <v/>
      </c>
      <c r="T576" s="88" t="str">
        <f t="shared" si="14"/>
        <v/>
      </c>
      <c r="U576" s="88" t="str">
        <f>IF($F576="","",IF($E576="",T576,SUMIF(Sales!$E$7:$E$1506,$E576,Sales!$T$7:$T$1506)))</f>
        <v/>
      </c>
      <c r="V576" s="49" t="str">
        <f t="shared" si="15"/>
        <v/>
      </c>
      <c r="W576" s="49" t="str">
        <f t="array" ref="W576">IF($V576="","",SUMPRODUCT((Sales!$V$7:$V$1506&lt;&gt;"")*(Sales!$E$7:$E$1506&lt;$E576))+1)</f>
        <v/>
      </c>
      <c r="X576" s="49" t="str">
        <f t="shared" si="16"/>
        <v/>
      </c>
      <c r="Y576" s="49" t="str">
        <f t="shared" si="17"/>
        <v/>
      </c>
    </row>
    <row r="577" ht="15.75" customHeight="1">
      <c r="A577" s="82"/>
      <c r="B577" s="83"/>
      <c r="C577" s="83"/>
      <c r="D577" s="83"/>
      <c r="E577" s="83"/>
      <c r="F577" s="83"/>
      <c r="G577" s="83" t="str">
        <f>IF($F577="","",IFERROR(VLOOKUP($F577,Inventory!$A:$B,2,FALSE),""))</f>
        <v/>
      </c>
      <c r="H577" s="83"/>
      <c r="I577" s="84" t="str">
        <f t="shared" si="2"/>
        <v/>
      </c>
      <c r="J577" s="85" t="str">
        <f>IF($F577="","",IFERROR(VLOOKUP($F577,Inventory!$A:$K,11,FALSE),0))</f>
        <v/>
      </c>
      <c r="K577" s="85"/>
      <c r="L577" s="85" t="str">
        <f t="shared" si="12"/>
        <v/>
      </c>
      <c r="M577" s="83"/>
      <c r="N577" s="85" t="str">
        <f>IF($F577="","",IFERROR(VLOOKUP($F577,Inventory!$A:$I,9,FALSE),0))</f>
        <v/>
      </c>
      <c r="O577" s="85" t="str">
        <f t="shared" si="13"/>
        <v/>
      </c>
      <c r="P577" s="85" t="str">
        <f t="shared" si="5"/>
        <v/>
      </c>
      <c r="Q577" s="83"/>
      <c r="R577" s="118" t="str">
        <f>IF($E577="","",IF(COUNTIF($E$7:$E1774,$E577)&gt;1,"",IFERROR(VLOOKUP($E577,Orders!$A:$I,8,FALSE),"")))</f>
        <v/>
      </c>
      <c r="S577" s="118" t="str">
        <f>IF($E577="","",IF(COUNTIF($E$7:$E1774,$E577)&gt;1,"",IFERROR(VLOOKUP($E577,Orders!$A:$I,9,FALSE),"")))</f>
        <v/>
      </c>
      <c r="T577" s="88" t="str">
        <f t="shared" si="14"/>
        <v/>
      </c>
      <c r="U577" s="88" t="str">
        <f>IF($F577="","",IF($E577="",T577,SUMIF(Sales!$E$7:$E$1506,$E577,Sales!$T$7:$T$1506)))</f>
        <v/>
      </c>
      <c r="V577" s="49" t="str">
        <f t="shared" si="15"/>
        <v/>
      </c>
      <c r="W577" s="49" t="str">
        <f t="array" ref="W577">IF($V577="","",SUMPRODUCT((Sales!$V$7:$V$1506&lt;&gt;"")*(Sales!$E$7:$E$1506&lt;$E577))+1)</f>
        <v/>
      </c>
      <c r="X577" s="49" t="str">
        <f t="shared" si="16"/>
        <v/>
      </c>
      <c r="Y577" s="49" t="str">
        <f t="shared" si="17"/>
        <v/>
      </c>
    </row>
    <row r="578" ht="15.75" customHeight="1">
      <c r="A578" s="82"/>
      <c r="B578" s="83"/>
      <c r="C578" s="83"/>
      <c r="D578" s="83"/>
      <c r="E578" s="83"/>
      <c r="F578" s="83"/>
      <c r="G578" s="83" t="str">
        <f>IF($F578="","",IFERROR(VLOOKUP($F578,Inventory!$A:$B,2,FALSE),""))</f>
        <v/>
      </c>
      <c r="H578" s="83"/>
      <c r="I578" s="84" t="str">
        <f t="shared" si="2"/>
        <v/>
      </c>
      <c r="J578" s="85" t="str">
        <f>IF($F578="","",IFERROR(VLOOKUP($F578,Inventory!$A:$K,11,FALSE),0))</f>
        <v/>
      </c>
      <c r="K578" s="85"/>
      <c r="L578" s="85" t="str">
        <f t="shared" si="12"/>
        <v/>
      </c>
      <c r="M578" s="83"/>
      <c r="N578" s="85" t="str">
        <f>IF($F578="","",IFERROR(VLOOKUP($F578,Inventory!$A:$I,9,FALSE),0))</f>
        <v/>
      </c>
      <c r="O578" s="85" t="str">
        <f t="shared" si="13"/>
        <v/>
      </c>
      <c r="P578" s="85" t="str">
        <f t="shared" si="5"/>
        <v/>
      </c>
      <c r="Q578" s="83"/>
      <c r="R578" s="118" t="str">
        <f>IF($E578="","",IF(COUNTIF($E$7:$E1775,$E578)&gt;1,"",IFERROR(VLOOKUP($E578,Orders!$A:$I,8,FALSE),"")))</f>
        <v/>
      </c>
      <c r="S578" s="118" t="str">
        <f>IF($E578="","",IF(COUNTIF($E$7:$E1775,$E578)&gt;1,"",IFERROR(VLOOKUP($E578,Orders!$A:$I,9,FALSE),"")))</f>
        <v/>
      </c>
      <c r="T578" s="88" t="str">
        <f t="shared" si="14"/>
        <v/>
      </c>
      <c r="U578" s="88" t="str">
        <f>IF($F578="","",IF($E578="",T578,SUMIF(Sales!$E$7:$E$1506,$E578,Sales!$T$7:$T$1506)))</f>
        <v/>
      </c>
      <c r="V578" s="49" t="str">
        <f t="shared" si="15"/>
        <v/>
      </c>
      <c r="W578" s="49" t="str">
        <f t="array" ref="W578">IF($V578="","",SUMPRODUCT((Sales!$V$7:$V$1506&lt;&gt;"")*(Sales!$E$7:$E$1506&lt;$E578))+1)</f>
        <v/>
      </c>
      <c r="X578" s="49" t="str">
        <f t="shared" si="16"/>
        <v/>
      </c>
      <c r="Y578" s="49" t="str">
        <f t="shared" si="17"/>
        <v/>
      </c>
    </row>
    <row r="579" ht="15.75" customHeight="1">
      <c r="A579" s="82"/>
      <c r="B579" s="83"/>
      <c r="C579" s="83"/>
      <c r="D579" s="83"/>
      <c r="E579" s="83"/>
      <c r="F579" s="83"/>
      <c r="G579" s="83" t="str">
        <f>IF($F579="","",IFERROR(VLOOKUP($F579,Inventory!$A:$B,2,FALSE),""))</f>
        <v/>
      </c>
      <c r="H579" s="83"/>
      <c r="I579" s="84" t="str">
        <f t="shared" si="2"/>
        <v/>
      </c>
      <c r="J579" s="85" t="str">
        <f>IF($F579="","",IFERROR(VLOOKUP($F579,Inventory!$A:$K,11,FALSE),0))</f>
        <v/>
      </c>
      <c r="K579" s="85"/>
      <c r="L579" s="85" t="str">
        <f t="shared" si="12"/>
        <v/>
      </c>
      <c r="M579" s="83"/>
      <c r="N579" s="85" t="str">
        <f>IF($F579="","",IFERROR(VLOOKUP($F579,Inventory!$A:$I,9,FALSE),0))</f>
        <v/>
      </c>
      <c r="O579" s="85" t="str">
        <f t="shared" si="13"/>
        <v/>
      </c>
      <c r="P579" s="85" t="str">
        <f t="shared" si="5"/>
        <v/>
      </c>
      <c r="Q579" s="83"/>
      <c r="R579" s="118" t="str">
        <f>IF($E579="","",IF(COUNTIF($E$7:$E1776,$E579)&gt;1,"",IFERROR(VLOOKUP($E579,Orders!$A:$I,8,FALSE),"")))</f>
        <v/>
      </c>
      <c r="S579" s="118" t="str">
        <f>IF($E579="","",IF(COUNTIF($E$7:$E1776,$E579)&gt;1,"",IFERROR(VLOOKUP($E579,Orders!$A:$I,9,FALSE),"")))</f>
        <v/>
      </c>
      <c r="T579" s="88" t="str">
        <f t="shared" si="14"/>
        <v/>
      </c>
      <c r="U579" s="88" t="str">
        <f>IF($F579="","",IF($E579="",T579,SUMIF(Sales!$E$7:$E$1506,$E579,Sales!$T$7:$T$1506)))</f>
        <v/>
      </c>
      <c r="V579" s="49" t="str">
        <f t="shared" si="15"/>
        <v/>
      </c>
      <c r="W579" s="49" t="str">
        <f t="array" ref="W579">IF($V579="","",SUMPRODUCT((Sales!$V$7:$V$1506&lt;&gt;"")*(Sales!$E$7:$E$1506&lt;$E579))+1)</f>
        <v/>
      </c>
      <c r="X579" s="49" t="str">
        <f t="shared" si="16"/>
        <v/>
      </c>
      <c r="Y579" s="49" t="str">
        <f t="shared" si="17"/>
        <v/>
      </c>
    </row>
    <row r="580" ht="15.75" customHeight="1">
      <c r="A580" s="82"/>
      <c r="B580" s="83"/>
      <c r="C580" s="83"/>
      <c r="D580" s="83"/>
      <c r="E580" s="83"/>
      <c r="F580" s="83"/>
      <c r="G580" s="83" t="str">
        <f>IF($F580="","",IFERROR(VLOOKUP($F580,Inventory!$A:$B,2,FALSE),""))</f>
        <v/>
      </c>
      <c r="H580" s="83"/>
      <c r="I580" s="84" t="str">
        <f t="shared" si="2"/>
        <v/>
      </c>
      <c r="J580" s="85" t="str">
        <f>IF($F580="","",IFERROR(VLOOKUP($F580,Inventory!$A:$K,11,FALSE),0))</f>
        <v/>
      </c>
      <c r="K580" s="85"/>
      <c r="L580" s="85" t="str">
        <f t="shared" si="12"/>
        <v/>
      </c>
      <c r="M580" s="83"/>
      <c r="N580" s="85" t="str">
        <f>IF($F580="","",IFERROR(VLOOKUP($F580,Inventory!$A:$I,9,FALSE),0))</f>
        <v/>
      </c>
      <c r="O580" s="85" t="str">
        <f t="shared" si="13"/>
        <v/>
      </c>
      <c r="P580" s="85" t="str">
        <f t="shared" si="5"/>
        <v/>
      </c>
      <c r="Q580" s="83"/>
      <c r="R580" s="118" t="str">
        <f>IF($E580="","",IF(COUNTIF($E$7:$E1777,$E580)&gt;1,"",IFERROR(VLOOKUP($E580,Orders!$A:$I,8,FALSE),"")))</f>
        <v/>
      </c>
      <c r="S580" s="118" t="str">
        <f>IF($E580="","",IF(COUNTIF($E$7:$E1777,$E580)&gt;1,"",IFERROR(VLOOKUP($E580,Orders!$A:$I,9,FALSE),"")))</f>
        <v/>
      </c>
      <c r="T580" s="88" t="str">
        <f t="shared" si="14"/>
        <v/>
      </c>
      <c r="U580" s="88" t="str">
        <f>IF($F580="","",IF($E580="",T580,SUMIF(Sales!$E$7:$E$1506,$E580,Sales!$T$7:$T$1506)))</f>
        <v/>
      </c>
      <c r="V580" s="49" t="str">
        <f t="shared" si="15"/>
        <v/>
      </c>
      <c r="W580" s="49" t="str">
        <f t="array" ref="W580">IF($V580="","",SUMPRODUCT((Sales!$V$7:$V$1506&lt;&gt;"")*(Sales!$E$7:$E$1506&lt;$E580))+1)</f>
        <v/>
      </c>
      <c r="X580" s="49" t="str">
        <f t="shared" si="16"/>
        <v/>
      </c>
      <c r="Y580" s="49" t="str">
        <f t="shared" si="17"/>
        <v/>
      </c>
    </row>
    <row r="581" ht="15.75" customHeight="1">
      <c r="A581" s="82"/>
      <c r="B581" s="83"/>
      <c r="C581" s="83"/>
      <c r="D581" s="83"/>
      <c r="E581" s="83"/>
      <c r="F581" s="83"/>
      <c r="G581" s="83" t="str">
        <f>IF($F581="","",IFERROR(VLOOKUP($F581,Inventory!$A:$B,2,FALSE),""))</f>
        <v/>
      </c>
      <c r="H581" s="83"/>
      <c r="I581" s="84" t="str">
        <f t="shared" si="2"/>
        <v/>
      </c>
      <c r="J581" s="85" t="str">
        <f>IF($F581="","",IFERROR(VLOOKUP($F581,Inventory!$A:$K,11,FALSE),0))</f>
        <v/>
      </c>
      <c r="K581" s="85"/>
      <c r="L581" s="85" t="str">
        <f t="shared" si="12"/>
        <v/>
      </c>
      <c r="M581" s="83"/>
      <c r="N581" s="85" t="str">
        <f>IF($F581="","",IFERROR(VLOOKUP($F581,Inventory!$A:$I,9,FALSE),0))</f>
        <v/>
      </c>
      <c r="O581" s="85" t="str">
        <f t="shared" si="13"/>
        <v/>
      </c>
      <c r="P581" s="85" t="str">
        <f t="shared" si="5"/>
        <v/>
      </c>
      <c r="Q581" s="83"/>
      <c r="R581" s="118" t="str">
        <f>IF($E581="","",IF(COUNTIF($E$7:$E1778,$E581)&gt;1,"",IFERROR(VLOOKUP($E581,Orders!$A:$I,8,FALSE),"")))</f>
        <v/>
      </c>
      <c r="S581" s="118" t="str">
        <f>IF($E581="","",IF(COUNTIF($E$7:$E1778,$E581)&gt;1,"",IFERROR(VLOOKUP($E581,Orders!$A:$I,9,FALSE),"")))</f>
        <v/>
      </c>
      <c r="T581" s="88" t="str">
        <f t="shared" si="14"/>
        <v/>
      </c>
      <c r="U581" s="88" t="str">
        <f>IF($F581="","",IF($E581="",T581,SUMIF(Sales!$E$7:$E$1506,$E581,Sales!$T$7:$T$1506)))</f>
        <v/>
      </c>
      <c r="V581" s="49" t="str">
        <f t="shared" si="15"/>
        <v/>
      </c>
      <c r="W581" s="49" t="str">
        <f t="array" ref="W581">IF($V581="","",SUMPRODUCT((Sales!$V$7:$V$1506&lt;&gt;"")*(Sales!$E$7:$E$1506&lt;$E581))+1)</f>
        <v/>
      </c>
      <c r="X581" s="49" t="str">
        <f t="shared" si="16"/>
        <v/>
      </c>
      <c r="Y581" s="49" t="str">
        <f t="shared" si="17"/>
        <v/>
      </c>
    </row>
    <row r="582" ht="15.75" customHeight="1">
      <c r="A582" s="82"/>
      <c r="B582" s="83"/>
      <c r="C582" s="83"/>
      <c r="D582" s="83"/>
      <c r="E582" s="83"/>
      <c r="F582" s="83"/>
      <c r="G582" s="83" t="str">
        <f>IF($F582="","",IFERROR(VLOOKUP($F582,Inventory!$A:$B,2,FALSE),""))</f>
        <v/>
      </c>
      <c r="H582" s="83"/>
      <c r="I582" s="84" t="str">
        <f t="shared" si="2"/>
        <v/>
      </c>
      <c r="J582" s="85" t="str">
        <f>IF($F582="","",IFERROR(VLOOKUP($F582,Inventory!$A:$K,11,FALSE),0))</f>
        <v/>
      </c>
      <c r="K582" s="85"/>
      <c r="L582" s="85" t="str">
        <f t="shared" si="12"/>
        <v/>
      </c>
      <c r="M582" s="83"/>
      <c r="N582" s="85" t="str">
        <f>IF($F582="","",IFERROR(VLOOKUP($F582,Inventory!$A:$I,9,FALSE),0))</f>
        <v/>
      </c>
      <c r="O582" s="85" t="str">
        <f t="shared" si="13"/>
        <v/>
      </c>
      <c r="P582" s="85" t="str">
        <f t="shared" si="5"/>
        <v/>
      </c>
      <c r="Q582" s="83"/>
      <c r="R582" s="118" t="str">
        <f>IF($E582="","",IF(COUNTIF($E$7:$E1779,$E582)&gt;1,"",IFERROR(VLOOKUP($E582,Orders!$A:$I,8,FALSE),"")))</f>
        <v/>
      </c>
      <c r="S582" s="118" t="str">
        <f>IF($E582="","",IF(COUNTIF($E$7:$E1779,$E582)&gt;1,"",IFERROR(VLOOKUP($E582,Orders!$A:$I,9,FALSE),"")))</f>
        <v/>
      </c>
      <c r="T582" s="88" t="str">
        <f t="shared" si="14"/>
        <v/>
      </c>
      <c r="U582" s="88" t="str">
        <f>IF($F582="","",IF($E582="",T582,SUMIF(Sales!$E$7:$E$1506,$E582,Sales!$T$7:$T$1506)))</f>
        <v/>
      </c>
      <c r="V582" s="49" t="str">
        <f t="shared" si="15"/>
        <v/>
      </c>
      <c r="W582" s="49" t="str">
        <f t="array" ref="W582">IF($V582="","",SUMPRODUCT((Sales!$V$7:$V$1506&lt;&gt;"")*(Sales!$E$7:$E$1506&lt;$E582))+1)</f>
        <v/>
      </c>
      <c r="X582" s="49" t="str">
        <f t="shared" si="16"/>
        <v/>
      </c>
      <c r="Y582" s="49" t="str">
        <f t="shared" si="17"/>
        <v/>
      </c>
    </row>
    <row r="583" ht="15.75" customHeight="1">
      <c r="A583" s="82"/>
      <c r="B583" s="83"/>
      <c r="C583" s="83"/>
      <c r="D583" s="83"/>
      <c r="E583" s="83"/>
      <c r="F583" s="83"/>
      <c r="G583" s="83" t="str">
        <f>IF($F583="","",IFERROR(VLOOKUP($F583,Inventory!$A:$B,2,FALSE),""))</f>
        <v/>
      </c>
      <c r="H583" s="83"/>
      <c r="I583" s="84" t="str">
        <f t="shared" si="2"/>
        <v/>
      </c>
      <c r="J583" s="85" t="str">
        <f>IF($F583="","",IFERROR(VLOOKUP($F583,Inventory!$A:$K,11,FALSE),0))</f>
        <v/>
      </c>
      <c r="K583" s="85"/>
      <c r="L583" s="85" t="str">
        <f t="shared" si="12"/>
        <v/>
      </c>
      <c r="M583" s="83"/>
      <c r="N583" s="85" t="str">
        <f>IF($F583="","",IFERROR(VLOOKUP($F583,Inventory!$A:$I,9,FALSE),0))</f>
        <v/>
      </c>
      <c r="O583" s="85" t="str">
        <f t="shared" si="13"/>
        <v/>
      </c>
      <c r="P583" s="85" t="str">
        <f t="shared" si="5"/>
        <v/>
      </c>
      <c r="Q583" s="83"/>
      <c r="R583" s="118" t="str">
        <f>IF($E583="","",IF(COUNTIF($E$7:$E1780,$E583)&gt;1,"",IFERROR(VLOOKUP($E583,Orders!$A:$I,8,FALSE),"")))</f>
        <v/>
      </c>
      <c r="S583" s="118" t="str">
        <f>IF($E583="","",IF(COUNTIF($E$7:$E1780,$E583)&gt;1,"",IFERROR(VLOOKUP($E583,Orders!$A:$I,9,FALSE),"")))</f>
        <v/>
      </c>
      <c r="T583" s="88" t="str">
        <f t="shared" si="14"/>
        <v/>
      </c>
      <c r="U583" s="88" t="str">
        <f>IF($F583="","",IF($E583="",T583,SUMIF(Sales!$E$7:$E$1506,$E583,Sales!$T$7:$T$1506)))</f>
        <v/>
      </c>
      <c r="V583" s="49" t="str">
        <f t="shared" si="15"/>
        <v/>
      </c>
      <c r="W583" s="49" t="str">
        <f t="array" ref="W583">IF($V583="","",SUMPRODUCT((Sales!$V$7:$V$1506&lt;&gt;"")*(Sales!$E$7:$E$1506&lt;$E583))+1)</f>
        <v/>
      </c>
      <c r="X583" s="49" t="str">
        <f t="shared" si="16"/>
        <v/>
      </c>
      <c r="Y583" s="49" t="str">
        <f t="shared" si="17"/>
        <v/>
      </c>
    </row>
    <row r="584" ht="15.75" customHeight="1">
      <c r="A584" s="82"/>
      <c r="B584" s="83"/>
      <c r="C584" s="83"/>
      <c r="D584" s="83"/>
      <c r="E584" s="83"/>
      <c r="F584" s="83"/>
      <c r="G584" s="83" t="str">
        <f>IF($F584="","",IFERROR(VLOOKUP($F584,Inventory!$A:$B,2,FALSE),""))</f>
        <v/>
      </c>
      <c r="H584" s="83"/>
      <c r="I584" s="84" t="str">
        <f t="shared" si="2"/>
        <v/>
      </c>
      <c r="J584" s="85" t="str">
        <f>IF($F584="","",IFERROR(VLOOKUP($F584,Inventory!$A:$K,11,FALSE),0))</f>
        <v/>
      </c>
      <c r="K584" s="85"/>
      <c r="L584" s="85" t="str">
        <f t="shared" si="12"/>
        <v/>
      </c>
      <c r="M584" s="83"/>
      <c r="N584" s="85" t="str">
        <f>IF($F584="","",IFERROR(VLOOKUP($F584,Inventory!$A:$I,9,FALSE),0))</f>
        <v/>
      </c>
      <c r="O584" s="85" t="str">
        <f t="shared" si="13"/>
        <v/>
      </c>
      <c r="P584" s="85" t="str">
        <f t="shared" si="5"/>
        <v/>
      </c>
      <c r="Q584" s="83"/>
      <c r="R584" s="118" t="str">
        <f>IF($E584="","",IF(COUNTIF($E$7:$E1781,$E584)&gt;1,"",IFERROR(VLOOKUP($E584,Orders!$A:$I,8,FALSE),"")))</f>
        <v/>
      </c>
      <c r="S584" s="118" t="str">
        <f>IF($E584="","",IF(COUNTIF($E$7:$E1781,$E584)&gt;1,"",IFERROR(VLOOKUP($E584,Orders!$A:$I,9,FALSE),"")))</f>
        <v/>
      </c>
      <c r="T584" s="88" t="str">
        <f t="shared" si="14"/>
        <v/>
      </c>
      <c r="U584" s="88" t="str">
        <f>IF($F584="","",IF($E584="",T584,SUMIF(Sales!$E$7:$E$1506,$E584,Sales!$T$7:$T$1506)))</f>
        <v/>
      </c>
      <c r="V584" s="49" t="str">
        <f t="shared" si="15"/>
        <v/>
      </c>
      <c r="W584" s="49" t="str">
        <f t="array" ref="W584">IF($V584="","",SUMPRODUCT((Sales!$V$7:$V$1506&lt;&gt;"")*(Sales!$E$7:$E$1506&lt;$E584))+1)</f>
        <v/>
      </c>
      <c r="X584" s="49" t="str">
        <f t="shared" si="16"/>
        <v/>
      </c>
      <c r="Y584" s="49" t="str">
        <f t="shared" si="17"/>
        <v/>
      </c>
    </row>
    <row r="585" ht="15.75" customHeight="1">
      <c r="A585" s="82"/>
      <c r="B585" s="83"/>
      <c r="C585" s="83"/>
      <c r="D585" s="83"/>
      <c r="E585" s="83"/>
      <c r="F585" s="83"/>
      <c r="G585" s="83" t="str">
        <f>IF($F585="","",IFERROR(VLOOKUP($F585,Inventory!$A:$B,2,FALSE),""))</f>
        <v/>
      </c>
      <c r="H585" s="83"/>
      <c r="I585" s="84" t="str">
        <f t="shared" si="2"/>
        <v/>
      </c>
      <c r="J585" s="85" t="str">
        <f>IF($F585="","",IFERROR(VLOOKUP($F585,Inventory!$A:$K,11,FALSE),0))</f>
        <v/>
      </c>
      <c r="K585" s="85"/>
      <c r="L585" s="85" t="str">
        <f t="shared" si="12"/>
        <v/>
      </c>
      <c r="M585" s="83"/>
      <c r="N585" s="85" t="str">
        <f>IF($F585="","",IFERROR(VLOOKUP($F585,Inventory!$A:$I,9,FALSE),0))</f>
        <v/>
      </c>
      <c r="O585" s="85" t="str">
        <f t="shared" si="13"/>
        <v/>
      </c>
      <c r="P585" s="85" t="str">
        <f t="shared" si="5"/>
        <v/>
      </c>
      <c r="Q585" s="83"/>
      <c r="R585" s="118" t="str">
        <f>IF($E585="","",IF(COUNTIF($E$7:$E1782,$E585)&gt;1,"",IFERROR(VLOOKUP($E585,Orders!$A:$I,8,FALSE),"")))</f>
        <v/>
      </c>
      <c r="S585" s="118" t="str">
        <f>IF($E585="","",IF(COUNTIF($E$7:$E1782,$E585)&gt;1,"",IFERROR(VLOOKUP($E585,Orders!$A:$I,9,FALSE),"")))</f>
        <v/>
      </c>
      <c r="T585" s="88" t="str">
        <f t="shared" si="14"/>
        <v/>
      </c>
      <c r="U585" s="88" t="str">
        <f>IF($F585="","",IF($E585="",T585,SUMIF(Sales!$E$7:$E$1506,$E585,Sales!$T$7:$T$1506)))</f>
        <v/>
      </c>
      <c r="V585" s="49" t="str">
        <f t="shared" si="15"/>
        <v/>
      </c>
      <c r="W585" s="49" t="str">
        <f t="array" ref="W585">IF($V585="","",SUMPRODUCT((Sales!$V$7:$V$1506&lt;&gt;"")*(Sales!$E$7:$E$1506&lt;$E585))+1)</f>
        <v/>
      </c>
      <c r="X585" s="49" t="str">
        <f t="shared" si="16"/>
        <v/>
      </c>
      <c r="Y585" s="49" t="str">
        <f t="shared" si="17"/>
        <v/>
      </c>
    </row>
    <row r="586" ht="15.75" customHeight="1">
      <c r="A586" s="82"/>
      <c r="B586" s="83"/>
      <c r="C586" s="83"/>
      <c r="D586" s="83"/>
      <c r="E586" s="83"/>
      <c r="F586" s="83"/>
      <c r="G586" s="83" t="str">
        <f>IF($F586="","",IFERROR(VLOOKUP($F586,Inventory!$A:$B,2,FALSE),""))</f>
        <v/>
      </c>
      <c r="H586" s="83"/>
      <c r="I586" s="84" t="str">
        <f t="shared" si="2"/>
        <v/>
      </c>
      <c r="J586" s="85" t="str">
        <f>IF($F586="","",IFERROR(VLOOKUP($F586,Inventory!$A:$K,11,FALSE),0))</f>
        <v/>
      </c>
      <c r="K586" s="85"/>
      <c r="L586" s="85" t="str">
        <f t="shared" si="12"/>
        <v/>
      </c>
      <c r="M586" s="83"/>
      <c r="N586" s="85" t="str">
        <f>IF($F586="","",IFERROR(VLOOKUP($F586,Inventory!$A:$I,9,FALSE),0))</f>
        <v/>
      </c>
      <c r="O586" s="85" t="str">
        <f t="shared" si="13"/>
        <v/>
      </c>
      <c r="P586" s="85" t="str">
        <f t="shared" si="5"/>
        <v/>
      </c>
      <c r="Q586" s="83"/>
      <c r="R586" s="118" t="str">
        <f>IF($E586="","",IF(COUNTIF($E$7:$E1783,$E586)&gt;1,"",IFERROR(VLOOKUP($E586,Orders!$A:$I,8,FALSE),"")))</f>
        <v/>
      </c>
      <c r="S586" s="118" t="str">
        <f>IF($E586="","",IF(COUNTIF($E$7:$E1783,$E586)&gt;1,"",IFERROR(VLOOKUP($E586,Orders!$A:$I,9,FALSE),"")))</f>
        <v/>
      </c>
      <c r="T586" s="88" t="str">
        <f t="shared" si="14"/>
        <v/>
      </c>
      <c r="U586" s="88" t="str">
        <f>IF($F586="","",IF($E586="",T586,SUMIF(Sales!$E$7:$E$1506,$E586,Sales!$T$7:$T$1506)))</f>
        <v/>
      </c>
      <c r="V586" s="49" t="str">
        <f t="shared" si="15"/>
        <v/>
      </c>
      <c r="W586" s="49" t="str">
        <f t="array" ref="W586">IF($V586="","",SUMPRODUCT((Sales!$V$7:$V$1506&lt;&gt;"")*(Sales!$E$7:$E$1506&lt;$E586))+1)</f>
        <v/>
      </c>
      <c r="X586" s="49" t="str">
        <f t="shared" si="16"/>
        <v/>
      </c>
      <c r="Y586" s="49" t="str">
        <f t="shared" si="17"/>
        <v/>
      </c>
    </row>
    <row r="587" ht="15.75" customHeight="1">
      <c r="A587" s="82"/>
      <c r="B587" s="83"/>
      <c r="C587" s="83"/>
      <c r="D587" s="83"/>
      <c r="E587" s="83"/>
      <c r="F587" s="83"/>
      <c r="G587" s="83" t="str">
        <f>IF($F587="","",IFERROR(VLOOKUP($F587,Inventory!$A:$B,2,FALSE),""))</f>
        <v/>
      </c>
      <c r="H587" s="83"/>
      <c r="I587" s="84" t="str">
        <f t="shared" si="2"/>
        <v/>
      </c>
      <c r="J587" s="85" t="str">
        <f>IF($F587="","",IFERROR(VLOOKUP($F587,Inventory!$A:$K,11,FALSE),0))</f>
        <v/>
      </c>
      <c r="K587" s="85"/>
      <c r="L587" s="85" t="str">
        <f t="shared" si="12"/>
        <v/>
      </c>
      <c r="M587" s="83"/>
      <c r="N587" s="85" t="str">
        <f>IF($F587="","",IFERROR(VLOOKUP($F587,Inventory!$A:$I,9,FALSE),0))</f>
        <v/>
      </c>
      <c r="O587" s="85" t="str">
        <f t="shared" si="13"/>
        <v/>
      </c>
      <c r="P587" s="85" t="str">
        <f t="shared" si="5"/>
        <v/>
      </c>
      <c r="Q587" s="83"/>
      <c r="R587" s="118" t="str">
        <f>IF($E587="","",IF(COUNTIF($E$7:$E1784,$E587)&gt;1,"",IFERROR(VLOOKUP($E587,Orders!$A:$I,8,FALSE),"")))</f>
        <v/>
      </c>
      <c r="S587" s="118" t="str">
        <f>IF($E587="","",IF(COUNTIF($E$7:$E1784,$E587)&gt;1,"",IFERROR(VLOOKUP($E587,Orders!$A:$I,9,FALSE),"")))</f>
        <v/>
      </c>
      <c r="T587" s="88" t="str">
        <f t="shared" si="14"/>
        <v/>
      </c>
      <c r="U587" s="88" t="str">
        <f>IF($F587="","",IF($E587="",T587,SUMIF(Sales!$E$7:$E$1506,$E587,Sales!$T$7:$T$1506)))</f>
        <v/>
      </c>
      <c r="V587" s="49" t="str">
        <f t="shared" si="15"/>
        <v/>
      </c>
      <c r="W587" s="49" t="str">
        <f t="array" ref="W587">IF($V587="","",SUMPRODUCT((Sales!$V$7:$V$1506&lt;&gt;"")*(Sales!$E$7:$E$1506&lt;$E587))+1)</f>
        <v/>
      </c>
      <c r="X587" s="49" t="str">
        <f t="shared" si="16"/>
        <v/>
      </c>
      <c r="Y587" s="49" t="str">
        <f t="shared" si="17"/>
        <v/>
      </c>
    </row>
    <row r="588" ht="15.75" customHeight="1">
      <c r="A588" s="82"/>
      <c r="B588" s="83"/>
      <c r="C588" s="83"/>
      <c r="D588" s="83"/>
      <c r="E588" s="83"/>
      <c r="F588" s="83"/>
      <c r="G588" s="83" t="str">
        <f>IF($F588="","",IFERROR(VLOOKUP($F588,Inventory!$A:$B,2,FALSE),""))</f>
        <v/>
      </c>
      <c r="H588" s="83"/>
      <c r="I588" s="84" t="str">
        <f t="shared" si="2"/>
        <v/>
      </c>
      <c r="J588" s="85" t="str">
        <f>IF($F588="","",IFERROR(VLOOKUP($F588,Inventory!$A:$K,11,FALSE),0))</f>
        <v/>
      </c>
      <c r="K588" s="85"/>
      <c r="L588" s="85" t="str">
        <f t="shared" si="12"/>
        <v/>
      </c>
      <c r="M588" s="83"/>
      <c r="N588" s="85" t="str">
        <f>IF($F588="","",IFERROR(VLOOKUP($F588,Inventory!$A:$I,9,FALSE),0))</f>
        <v/>
      </c>
      <c r="O588" s="85" t="str">
        <f t="shared" si="13"/>
        <v/>
      </c>
      <c r="P588" s="85" t="str">
        <f t="shared" si="5"/>
        <v/>
      </c>
      <c r="Q588" s="83"/>
      <c r="R588" s="118" t="str">
        <f>IF($E588="","",IF(COUNTIF($E$7:$E1785,$E588)&gt;1,"",IFERROR(VLOOKUP($E588,Orders!$A:$I,8,FALSE),"")))</f>
        <v/>
      </c>
      <c r="S588" s="118" t="str">
        <f>IF($E588="","",IF(COUNTIF($E$7:$E1785,$E588)&gt;1,"",IFERROR(VLOOKUP($E588,Orders!$A:$I,9,FALSE),"")))</f>
        <v/>
      </c>
      <c r="T588" s="88" t="str">
        <f t="shared" si="14"/>
        <v/>
      </c>
      <c r="U588" s="88" t="str">
        <f>IF($F588="","",IF($E588="",T588,SUMIF(Sales!$E$7:$E$1506,$E588,Sales!$T$7:$T$1506)))</f>
        <v/>
      </c>
      <c r="V588" s="49" t="str">
        <f t="shared" si="15"/>
        <v/>
      </c>
      <c r="W588" s="49" t="str">
        <f t="array" ref="W588">IF($V588="","",SUMPRODUCT((Sales!$V$7:$V$1506&lt;&gt;"")*(Sales!$E$7:$E$1506&lt;$E588))+1)</f>
        <v/>
      </c>
      <c r="X588" s="49" t="str">
        <f t="shared" si="16"/>
        <v/>
      </c>
      <c r="Y588" s="49" t="str">
        <f t="shared" si="17"/>
        <v/>
      </c>
    </row>
    <row r="589" ht="15.75" customHeight="1">
      <c r="A589" s="82"/>
      <c r="B589" s="83"/>
      <c r="C589" s="83"/>
      <c r="D589" s="83"/>
      <c r="E589" s="83"/>
      <c r="F589" s="83"/>
      <c r="G589" s="83" t="str">
        <f>IF($F589="","",IFERROR(VLOOKUP($F589,Inventory!$A:$B,2,FALSE),""))</f>
        <v/>
      </c>
      <c r="H589" s="83"/>
      <c r="I589" s="84" t="str">
        <f t="shared" si="2"/>
        <v/>
      </c>
      <c r="J589" s="85" t="str">
        <f>IF($F589="","",IFERROR(VLOOKUP($F589,Inventory!$A:$K,11,FALSE),0))</f>
        <v/>
      </c>
      <c r="K589" s="85"/>
      <c r="L589" s="85" t="str">
        <f t="shared" si="12"/>
        <v/>
      </c>
      <c r="M589" s="83"/>
      <c r="N589" s="85" t="str">
        <f>IF($F589="","",IFERROR(VLOOKUP($F589,Inventory!$A:$I,9,FALSE),0))</f>
        <v/>
      </c>
      <c r="O589" s="85" t="str">
        <f t="shared" si="13"/>
        <v/>
      </c>
      <c r="P589" s="85" t="str">
        <f t="shared" si="5"/>
        <v/>
      </c>
      <c r="Q589" s="83"/>
      <c r="R589" s="118" t="str">
        <f>IF($E589="","",IF(COUNTIF($E$7:$E1786,$E589)&gt;1,"",IFERROR(VLOOKUP($E589,Orders!$A:$I,8,FALSE),"")))</f>
        <v/>
      </c>
      <c r="S589" s="118" t="str">
        <f>IF($E589="","",IF(COUNTIF($E$7:$E1786,$E589)&gt;1,"",IFERROR(VLOOKUP($E589,Orders!$A:$I,9,FALSE),"")))</f>
        <v/>
      </c>
      <c r="T589" s="88" t="str">
        <f t="shared" si="14"/>
        <v/>
      </c>
      <c r="U589" s="88" t="str">
        <f>IF($F589="","",IF($E589="",T589,SUMIF(Sales!$E$7:$E$1506,$E589,Sales!$T$7:$T$1506)))</f>
        <v/>
      </c>
      <c r="V589" s="49" t="str">
        <f t="shared" si="15"/>
        <v/>
      </c>
      <c r="W589" s="49" t="str">
        <f t="array" ref="W589">IF($V589="","",SUMPRODUCT((Sales!$V$7:$V$1506&lt;&gt;"")*(Sales!$E$7:$E$1506&lt;$E589))+1)</f>
        <v/>
      </c>
      <c r="X589" s="49" t="str">
        <f t="shared" si="16"/>
        <v/>
      </c>
      <c r="Y589" s="49" t="str">
        <f t="shared" si="17"/>
        <v/>
      </c>
    </row>
    <row r="590" ht="15.75" customHeight="1">
      <c r="A590" s="82"/>
      <c r="B590" s="83"/>
      <c r="C590" s="83"/>
      <c r="D590" s="83"/>
      <c r="E590" s="83"/>
      <c r="F590" s="83"/>
      <c r="G590" s="83" t="str">
        <f>IF($F590="","",IFERROR(VLOOKUP($F590,Inventory!$A:$B,2,FALSE),""))</f>
        <v/>
      </c>
      <c r="H590" s="83"/>
      <c r="I590" s="84" t="str">
        <f t="shared" si="2"/>
        <v/>
      </c>
      <c r="J590" s="85" t="str">
        <f>IF($F590="","",IFERROR(VLOOKUP($F590,Inventory!$A:$K,11,FALSE),0))</f>
        <v/>
      </c>
      <c r="K590" s="85"/>
      <c r="L590" s="85" t="str">
        <f t="shared" si="12"/>
        <v/>
      </c>
      <c r="M590" s="83"/>
      <c r="N590" s="85" t="str">
        <f>IF($F590="","",IFERROR(VLOOKUP($F590,Inventory!$A:$I,9,FALSE),0))</f>
        <v/>
      </c>
      <c r="O590" s="85" t="str">
        <f t="shared" si="13"/>
        <v/>
      </c>
      <c r="P590" s="85" t="str">
        <f t="shared" si="5"/>
        <v/>
      </c>
      <c r="Q590" s="83"/>
      <c r="R590" s="118" t="str">
        <f>IF($E590="","",IF(COUNTIF($E$7:$E1787,$E590)&gt;1,"",IFERROR(VLOOKUP($E590,Orders!$A:$I,8,FALSE),"")))</f>
        <v/>
      </c>
      <c r="S590" s="118" t="str">
        <f>IF($E590="","",IF(COUNTIF($E$7:$E1787,$E590)&gt;1,"",IFERROR(VLOOKUP($E590,Orders!$A:$I,9,FALSE),"")))</f>
        <v/>
      </c>
      <c r="T590" s="88" t="str">
        <f t="shared" si="14"/>
        <v/>
      </c>
      <c r="U590" s="88" t="str">
        <f>IF($F590="","",IF($E590="",T590,SUMIF(Sales!$E$7:$E$1506,$E590,Sales!$T$7:$T$1506)))</f>
        <v/>
      </c>
      <c r="V590" s="49" t="str">
        <f t="shared" si="15"/>
        <v/>
      </c>
      <c r="W590" s="49" t="str">
        <f t="array" ref="W590">IF($V590="","",SUMPRODUCT((Sales!$V$7:$V$1506&lt;&gt;"")*(Sales!$E$7:$E$1506&lt;$E590))+1)</f>
        <v/>
      </c>
      <c r="X590" s="49" t="str">
        <f t="shared" si="16"/>
        <v/>
      </c>
      <c r="Y590" s="49" t="str">
        <f t="shared" si="17"/>
        <v/>
      </c>
    </row>
    <row r="591" ht="15.75" customHeight="1">
      <c r="A591" s="82"/>
      <c r="B591" s="83"/>
      <c r="C591" s="83"/>
      <c r="D591" s="83"/>
      <c r="E591" s="83"/>
      <c r="F591" s="83"/>
      <c r="G591" s="83" t="str">
        <f>IF($F591="","",IFERROR(VLOOKUP($F591,Inventory!$A:$B,2,FALSE),""))</f>
        <v/>
      </c>
      <c r="H591" s="83"/>
      <c r="I591" s="84" t="str">
        <f t="shared" si="2"/>
        <v/>
      </c>
      <c r="J591" s="85" t="str">
        <f>IF($F591="","",IFERROR(VLOOKUP($F591,Inventory!$A:$K,11,FALSE),0))</f>
        <v/>
      </c>
      <c r="K591" s="85"/>
      <c r="L591" s="85" t="str">
        <f t="shared" si="12"/>
        <v/>
      </c>
      <c r="M591" s="83"/>
      <c r="N591" s="85" t="str">
        <f>IF($F591="","",IFERROR(VLOOKUP($F591,Inventory!$A:$I,9,FALSE),0))</f>
        <v/>
      </c>
      <c r="O591" s="85" t="str">
        <f t="shared" si="13"/>
        <v/>
      </c>
      <c r="P591" s="85" t="str">
        <f t="shared" si="5"/>
        <v/>
      </c>
      <c r="Q591" s="83"/>
      <c r="R591" s="118" t="str">
        <f>IF($E591="","",IF(COUNTIF($E$7:$E1788,$E591)&gt;1,"",IFERROR(VLOOKUP($E591,Orders!$A:$I,8,FALSE),"")))</f>
        <v/>
      </c>
      <c r="S591" s="118" t="str">
        <f>IF($E591="","",IF(COUNTIF($E$7:$E1788,$E591)&gt;1,"",IFERROR(VLOOKUP($E591,Orders!$A:$I,9,FALSE),"")))</f>
        <v/>
      </c>
      <c r="T591" s="88" t="str">
        <f t="shared" si="14"/>
        <v/>
      </c>
      <c r="U591" s="88" t="str">
        <f>IF($F591="","",IF($E591="",T591,SUMIF(Sales!$E$7:$E$1506,$E591,Sales!$T$7:$T$1506)))</f>
        <v/>
      </c>
      <c r="V591" s="49" t="str">
        <f t="shared" si="15"/>
        <v/>
      </c>
      <c r="W591" s="49" t="str">
        <f t="array" ref="W591">IF($V591="","",SUMPRODUCT((Sales!$V$7:$V$1506&lt;&gt;"")*(Sales!$E$7:$E$1506&lt;$E591))+1)</f>
        <v/>
      </c>
      <c r="X591" s="49" t="str">
        <f t="shared" si="16"/>
        <v/>
      </c>
      <c r="Y591" s="49" t="str">
        <f t="shared" si="17"/>
        <v/>
      </c>
    </row>
    <row r="592" ht="15.75" customHeight="1">
      <c r="A592" s="82"/>
      <c r="B592" s="83"/>
      <c r="C592" s="83"/>
      <c r="D592" s="83"/>
      <c r="E592" s="83"/>
      <c r="F592" s="83"/>
      <c r="G592" s="83" t="str">
        <f>IF($F592="","",IFERROR(VLOOKUP($F592,Inventory!$A:$B,2,FALSE),""))</f>
        <v/>
      </c>
      <c r="H592" s="83"/>
      <c r="I592" s="84" t="str">
        <f t="shared" si="2"/>
        <v/>
      </c>
      <c r="J592" s="85" t="str">
        <f>IF($F592="","",IFERROR(VLOOKUP($F592,Inventory!$A:$K,11,FALSE),0))</f>
        <v/>
      </c>
      <c r="K592" s="85"/>
      <c r="L592" s="85" t="str">
        <f t="shared" si="12"/>
        <v/>
      </c>
      <c r="M592" s="83"/>
      <c r="N592" s="85" t="str">
        <f>IF($F592="","",IFERROR(VLOOKUP($F592,Inventory!$A:$I,9,FALSE),0))</f>
        <v/>
      </c>
      <c r="O592" s="85" t="str">
        <f t="shared" si="13"/>
        <v/>
      </c>
      <c r="P592" s="85" t="str">
        <f t="shared" si="5"/>
        <v/>
      </c>
      <c r="Q592" s="83"/>
      <c r="R592" s="118" t="str">
        <f>IF($E592="","",IF(COUNTIF($E$7:$E1789,$E592)&gt;1,"",IFERROR(VLOOKUP($E592,Orders!$A:$I,8,FALSE),"")))</f>
        <v/>
      </c>
      <c r="S592" s="118" t="str">
        <f>IF($E592="","",IF(COUNTIF($E$7:$E1789,$E592)&gt;1,"",IFERROR(VLOOKUP($E592,Orders!$A:$I,9,FALSE),"")))</f>
        <v/>
      </c>
      <c r="T592" s="88" t="str">
        <f t="shared" si="14"/>
        <v/>
      </c>
      <c r="U592" s="88" t="str">
        <f>IF($F592="","",IF($E592="",T592,SUMIF(Sales!$E$7:$E$1506,$E592,Sales!$T$7:$T$1506)))</f>
        <v/>
      </c>
      <c r="V592" s="49" t="str">
        <f t="shared" si="15"/>
        <v/>
      </c>
      <c r="W592" s="49" t="str">
        <f t="array" ref="W592">IF($V592="","",SUMPRODUCT((Sales!$V$7:$V$1506&lt;&gt;"")*(Sales!$E$7:$E$1506&lt;$E592))+1)</f>
        <v/>
      </c>
      <c r="X592" s="49" t="str">
        <f t="shared" si="16"/>
        <v/>
      </c>
      <c r="Y592" s="49" t="str">
        <f t="shared" si="17"/>
        <v/>
      </c>
    </row>
    <row r="593" ht="15.75" customHeight="1">
      <c r="A593" s="82"/>
      <c r="B593" s="83"/>
      <c r="C593" s="83"/>
      <c r="D593" s="83"/>
      <c r="E593" s="83"/>
      <c r="F593" s="83"/>
      <c r="G593" s="83" t="str">
        <f>IF($F593="","",IFERROR(VLOOKUP($F593,Inventory!$A:$B,2,FALSE),""))</f>
        <v/>
      </c>
      <c r="H593" s="83"/>
      <c r="I593" s="84" t="str">
        <f t="shared" si="2"/>
        <v/>
      </c>
      <c r="J593" s="85" t="str">
        <f>IF($F593="","",IFERROR(VLOOKUP($F593,Inventory!$A:$K,11,FALSE),0))</f>
        <v/>
      </c>
      <c r="K593" s="85"/>
      <c r="L593" s="85" t="str">
        <f t="shared" si="12"/>
        <v/>
      </c>
      <c r="M593" s="83"/>
      <c r="N593" s="85" t="str">
        <f>IF($F593="","",IFERROR(VLOOKUP($F593,Inventory!$A:$I,9,FALSE),0))</f>
        <v/>
      </c>
      <c r="O593" s="85" t="str">
        <f t="shared" si="13"/>
        <v/>
      </c>
      <c r="P593" s="85" t="str">
        <f t="shared" si="5"/>
        <v/>
      </c>
      <c r="Q593" s="83"/>
      <c r="R593" s="118" t="str">
        <f>IF($E593="","",IF(COUNTIF($E$7:$E1790,$E593)&gt;1,"",IFERROR(VLOOKUP($E593,Orders!$A:$I,8,FALSE),"")))</f>
        <v/>
      </c>
      <c r="S593" s="118" t="str">
        <f>IF($E593="","",IF(COUNTIF($E$7:$E1790,$E593)&gt;1,"",IFERROR(VLOOKUP($E593,Orders!$A:$I,9,FALSE),"")))</f>
        <v/>
      </c>
      <c r="T593" s="88" t="str">
        <f t="shared" si="14"/>
        <v/>
      </c>
      <c r="U593" s="88" t="str">
        <f>IF($F593="","",IF($E593="",T593,SUMIF(Sales!$E$7:$E$1506,$E593,Sales!$T$7:$T$1506)))</f>
        <v/>
      </c>
      <c r="V593" s="49" t="str">
        <f t="shared" si="15"/>
        <v/>
      </c>
      <c r="W593" s="49" t="str">
        <f t="array" ref="W593">IF($V593="","",SUMPRODUCT((Sales!$V$7:$V$1506&lt;&gt;"")*(Sales!$E$7:$E$1506&lt;$E593))+1)</f>
        <v/>
      </c>
      <c r="X593" s="49" t="str">
        <f t="shared" si="16"/>
        <v/>
      </c>
      <c r="Y593" s="49" t="str">
        <f t="shared" si="17"/>
        <v/>
      </c>
    </row>
    <row r="594" ht="15.75" customHeight="1">
      <c r="A594" s="82"/>
      <c r="B594" s="83"/>
      <c r="C594" s="83"/>
      <c r="D594" s="83"/>
      <c r="E594" s="83"/>
      <c r="F594" s="83"/>
      <c r="G594" s="83" t="str">
        <f>IF($F594="","",IFERROR(VLOOKUP($F594,Inventory!$A:$B,2,FALSE),""))</f>
        <v/>
      </c>
      <c r="H594" s="83"/>
      <c r="I594" s="84" t="str">
        <f t="shared" si="2"/>
        <v/>
      </c>
      <c r="J594" s="85" t="str">
        <f>IF($F594="","",IFERROR(VLOOKUP($F594,Inventory!$A:$K,11,FALSE),0))</f>
        <v/>
      </c>
      <c r="K594" s="85"/>
      <c r="L594" s="85" t="str">
        <f t="shared" si="12"/>
        <v/>
      </c>
      <c r="M594" s="83"/>
      <c r="N594" s="85" t="str">
        <f>IF($F594="","",IFERROR(VLOOKUP($F594,Inventory!$A:$I,9,FALSE),0))</f>
        <v/>
      </c>
      <c r="O594" s="85" t="str">
        <f t="shared" si="13"/>
        <v/>
      </c>
      <c r="P594" s="85" t="str">
        <f t="shared" si="5"/>
        <v/>
      </c>
      <c r="Q594" s="83"/>
      <c r="R594" s="118" t="str">
        <f>IF($E594="","",IF(COUNTIF($E$7:$E1791,$E594)&gt;1,"",IFERROR(VLOOKUP($E594,Orders!$A:$I,8,FALSE),"")))</f>
        <v/>
      </c>
      <c r="S594" s="118" t="str">
        <f>IF($E594="","",IF(COUNTIF($E$7:$E1791,$E594)&gt;1,"",IFERROR(VLOOKUP($E594,Orders!$A:$I,9,FALSE),"")))</f>
        <v/>
      </c>
      <c r="T594" s="88" t="str">
        <f t="shared" si="14"/>
        <v/>
      </c>
      <c r="U594" s="88" t="str">
        <f>IF($F594="","",IF($E594="",T594,SUMIF(Sales!$E$7:$E$1506,$E594,Sales!$T$7:$T$1506)))</f>
        <v/>
      </c>
      <c r="V594" s="49" t="str">
        <f t="shared" si="15"/>
        <v/>
      </c>
      <c r="W594" s="49" t="str">
        <f t="array" ref="W594">IF($V594="","",SUMPRODUCT((Sales!$V$7:$V$1506&lt;&gt;"")*(Sales!$E$7:$E$1506&lt;$E594))+1)</f>
        <v/>
      </c>
      <c r="X594" s="49" t="str">
        <f t="shared" si="16"/>
        <v/>
      </c>
      <c r="Y594" s="49" t="str">
        <f t="shared" si="17"/>
        <v/>
      </c>
    </row>
    <row r="595" ht="15.75" customHeight="1">
      <c r="A595" s="82"/>
      <c r="B595" s="83"/>
      <c r="C595" s="83"/>
      <c r="D595" s="83"/>
      <c r="E595" s="83"/>
      <c r="F595" s="83"/>
      <c r="G595" s="83" t="str">
        <f>IF($F595="","",IFERROR(VLOOKUP($F595,Inventory!$A:$B,2,FALSE),""))</f>
        <v/>
      </c>
      <c r="H595" s="83"/>
      <c r="I595" s="84" t="str">
        <f t="shared" si="2"/>
        <v/>
      </c>
      <c r="J595" s="85" t="str">
        <f>IF($F595="","",IFERROR(VLOOKUP($F595,Inventory!$A:$K,11,FALSE),0))</f>
        <v/>
      </c>
      <c r="K595" s="85"/>
      <c r="L595" s="85" t="str">
        <f t="shared" si="12"/>
        <v/>
      </c>
      <c r="M595" s="83"/>
      <c r="N595" s="85" t="str">
        <f>IF($F595="","",IFERROR(VLOOKUP($F595,Inventory!$A:$I,9,FALSE),0))</f>
        <v/>
      </c>
      <c r="O595" s="85" t="str">
        <f t="shared" si="13"/>
        <v/>
      </c>
      <c r="P595" s="85" t="str">
        <f t="shared" si="5"/>
        <v/>
      </c>
      <c r="Q595" s="83"/>
      <c r="R595" s="118" t="str">
        <f>IF($E595="","",IF(COUNTIF($E$7:$E1792,$E595)&gt;1,"",IFERROR(VLOOKUP($E595,Orders!$A:$I,8,FALSE),"")))</f>
        <v/>
      </c>
      <c r="S595" s="118" t="str">
        <f>IF($E595="","",IF(COUNTIF($E$7:$E1792,$E595)&gt;1,"",IFERROR(VLOOKUP($E595,Orders!$A:$I,9,FALSE),"")))</f>
        <v/>
      </c>
      <c r="T595" s="88" t="str">
        <f t="shared" si="14"/>
        <v/>
      </c>
      <c r="U595" s="88" t="str">
        <f>IF($F595="","",IF($E595="",T595,SUMIF(Sales!$E$7:$E$1506,$E595,Sales!$T$7:$T$1506)))</f>
        <v/>
      </c>
      <c r="V595" s="49" t="str">
        <f t="shared" si="15"/>
        <v/>
      </c>
      <c r="W595" s="49" t="str">
        <f t="array" ref="W595">IF($V595="","",SUMPRODUCT((Sales!$V$7:$V$1506&lt;&gt;"")*(Sales!$E$7:$E$1506&lt;$E595))+1)</f>
        <v/>
      </c>
      <c r="X595" s="49" t="str">
        <f t="shared" si="16"/>
        <v/>
      </c>
      <c r="Y595" s="49" t="str">
        <f t="shared" si="17"/>
        <v/>
      </c>
    </row>
    <row r="596" ht="15.75" customHeight="1">
      <c r="A596" s="82"/>
      <c r="B596" s="83"/>
      <c r="C596" s="83"/>
      <c r="D596" s="83"/>
      <c r="E596" s="83"/>
      <c r="F596" s="83"/>
      <c r="G596" s="83" t="str">
        <f>IF($F596="","",IFERROR(VLOOKUP($F596,Inventory!$A:$B,2,FALSE),""))</f>
        <v/>
      </c>
      <c r="H596" s="83"/>
      <c r="I596" s="84" t="str">
        <f t="shared" si="2"/>
        <v/>
      </c>
      <c r="J596" s="85" t="str">
        <f>IF($F596="","",IFERROR(VLOOKUP($F596,Inventory!$A:$K,11,FALSE),0))</f>
        <v/>
      </c>
      <c r="K596" s="85"/>
      <c r="L596" s="85" t="str">
        <f t="shared" si="12"/>
        <v/>
      </c>
      <c r="M596" s="83"/>
      <c r="N596" s="85" t="str">
        <f>IF($F596="","",IFERROR(VLOOKUP($F596,Inventory!$A:$I,9,FALSE),0))</f>
        <v/>
      </c>
      <c r="O596" s="85" t="str">
        <f t="shared" si="13"/>
        <v/>
      </c>
      <c r="P596" s="85" t="str">
        <f t="shared" si="5"/>
        <v/>
      </c>
      <c r="Q596" s="83"/>
      <c r="R596" s="118" t="str">
        <f>IF($E596="","",IF(COUNTIF($E$7:$E1793,$E596)&gt;1,"",IFERROR(VLOOKUP($E596,Orders!$A:$I,8,FALSE),"")))</f>
        <v/>
      </c>
      <c r="S596" s="118" t="str">
        <f>IF($E596="","",IF(COUNTIF($E$7:$E1793,$E596)&gt;1,"",IFERROR(VLOOKUP($E596,Orders!$A:$I,9,FALSE),"")))</f>
        <v/>
      </c>
      <c r="T596" s="88" t="str">
        <f t="shared" si="14"/>
        <v/>
      </c>
      <c r="U596" s="88" t="str">
        <f>IF($F596="","",IF($E596="",T596,SUMIF(Sales!$E$7:$E$1506,$E596,Sales!$T$7:$T$1506)))</f>
        <v/>
      </c>
      <c r="V596" s="49" t="str">
        <f t="shared" si="15"/>
        <v/>
      </c>
      <c r="W596" s="49" t="str">
        <f t="array" ref="W596">IF($V596="","",SUMPRODUCT((Sales!$V$7:$V$1506&lt;&gt;"")*(Sales!$E$7:$E$1506&lt;$E596))+1)</f>
        <v/>
      </c>
      <c r="X596" s="49" t="str">
        <f t="shared" si="16"/>
        <v/>
      </c>
      <c r="Y596" s="49" t="str">
        <f t="shared" si="17"/>
        <v/>
      </c>
    </row>
    <row r="597" ht="15.75" customHeight="1">
      <c r="A597" s="82"/>
      <c r="B597" s="83"/>
      <c r="C597" s="83"/>
      <c r="D597" s="83"/>
      <c r="E597" s="83"/>
      <c r="F597" s="83"/>
      <c r="G597" s="83" t="str">
        <f>IF($F597="","",IFERROR(VLOOKUP($F597,Inventory!$A:$B,2,FALSE),""))</f>
        <v/>
      </c>
      <c r="H597" s="83"/>
      <c r="I597" s="84" t="str">
        <f t="shared" si="2"/>
        <v/>
      </c>
      <c r="J597" s="85" t="str">
        <f>IF($F597="","",IFERROR(VLOOKUP($F597,Inventory!$A:$K,11,FALSE),0))</f>
        <v/>
      </c>
      <c r="K597" s="85"/>
      <c r="L597" s="85" t="str">
        <f t="shared" si="12"/>
        <v/>
      </c>
      <c r="M597" s="83"/>
      <c r="N597" s="85" t="str">
        <f>IF($F597="","",IFERROR(VLOOKUP($F597,Inventory!$A:$I,9,FALSE),0))</f>
        <v/>
      </c>
      <c r="O597" s="85" t="str">
        <f t="shared" si="13"/>
        <v/>
      </c>
      <c r="P597" s="85" t="str">
        <f t="shared" si="5"/>
        <v/>
      </c>
      <c r="Q597" s="83"/>
      <c r="R597" s="118" t="str">
        <f>IF($E597="","",IF(COUNTIF($E$7:$E1794,$E597)&gt;1,"",IFERROR(VLOOKUP($E597,Orders!$A:$I,8,FALSE),"")))</f>
        <v/>
      </c>
      <c r="S597" s="118" t="str">
        <f>IF($E597="","",IF(COUNTIF($E$7:$E1794,$E597)&gt;1,"",IFERROR(VLOOKUP($E597,Orders!$A:$I,9,FALSE),"")))</f>
        <v/>
      </c>
      <c r="T597" s="88" t="str">
        <f t="shared" si="14"/>
        <v/>
      </c>
      <c r="U597" s="88" t="str">
        <f>IF($F597="","",IF($E597="",T597,SUMIF(Sales!$E$7:$E$1506,$E597,Sales!$T$7:$T$1506)))</f>
        <v/>
      </c>
      <c r="V597" s="49" t="str">
        <f t="shared" si="15"/>
        <v/>
      </c>
      <c r="W597" s="49" t="str">
        <f t="array" ref="W597">IF($V597="","",SUMPRODUCT((Sales!$V$7:$V$1506&lt;&gt;"")*(Sales!$E$7:$E$1506&lt;$E597))+1)</f>
        <v/>
      </c>
      <c r="X597" s="49" t="str">
        <f t="shared" si="16"/>
        <v/>
      </c>
      <c r="Y597" s="49" t="str">
        <f t="shared" si="17"/>
        <v/>
      </c>
    </row>
    <row r="598" ht="15.75" customHeight="1">
      <c r="A598" s="82"/>
      <c r="B598" s="83"/>
      <c r="C598" s="83"/>
      <c r="D598" s="83"/>
      <c r="E598" s="83"/>
      <c r="F598" s="83"/>
      <c r="G598" s="83" t="str">
        <f>IF($F598="","",IFERROR(VLOOKUP($F598,Inventory!$A:$B,2,FALSE),""))</f>
        <v/>
      </c>
      <c r="H598" s="83"/>
      <c r="I598" s="84" t="str">
        <f t="shared" si="2"/>
        <v/>
      </c>
      <c r="J598" s="85" t="str">
        <f>IF($F598="","",IFERROR(VLOOKUP($F598,Inventory!$A:$K,11,FALSE),0))</f>
        <v/>
      </c>
      <c r="K598" s="85"/>
      <c r="L598" s="85" t="str">
        <f t="shared" si="12"/>
        <v/>
      </c>
      <c r="M598" s="83"/>
      <c r="N598" s="85" t="str">
        <f>IF($F598="","",IFERROR(VLOOKUP($F598,Inventory!$A:$I,9,FALSE),0))</f>
        <v/>
      </c>
      <c r="O598" s="85" t="str">
        <f t="shared" si="13"/>
        <v/>
      </c>
      <c r="P598" s="85" t="str">
        <f t="shared" si="5"/>
        <v/>
      </c>
      <c r="Q598" s="83"/>
      <c r="R598" s="118" t="str">
        <f>IF($E598="","",IF(COUNTIF($E$7:$E1795,$E598)&gt;1,"",IFERROR(VLOOKUP($E598,Orders!$A:$I,8,FALSE),"")))</f>
        <v/>
      </c>
      <c r="S598" s="118" t="str">
        <f>IF($E598="","",IF(COUNTIF($E$7:$E1795,$E598)&gt;1,"",IFERROR(VLOOKUP($E598,Orders!$A:$I,9,FALSE),"")))</f>
        <v/>
      </c>
      <c r="T598" s="88" t="str">
        <f t="shared" si="14"/>
        <v/>
      </c>
      <c r="U598" s="88" t="str">
        <f>IF($F598="","",IF($E598="",T598,SUMIF(Sales!$E$7:$E$1506,$E598,Sales!$T$7:$T$1506)))</f>
        <v/>
      </c>
      <c r="V598" s="49" t="str">
        <f t="shared" si="15"/>
        <v/>
      </c>
      <c r="W598" s="49" t="str">
        <f t="array" ref="W598">IF($V598="","",SUMPRODUCT((Sales!$V$7:$V$1506&lt;&gt;"")*(Sales!$E$7:$E$1506&lt;$E598))+1)</f>
        <v/>
      </c>
      <c r="X598" s="49" t="str">
        <f t="shared" si="16"/>
        <v/>
      </c>
      <c r="Y598" s="49" t="str">
        <f t="shared" si="17"/>
        <v/>
      </c>
    </row>
    <row r="599" ht="15.75" customHeight="1">
      <c r="A599" s="82"/>
      <c r="B599" s="83"/>
      <c r="C599" s="83"/>
      <c r="D599" s="83"/>
      <c r="E599" s="83"/>
      <c r="F599" s="83"/>
      <c r="G599" s="83" t="str">
        <f>IF($F599="","",IFERROR(VLOOKUP($F599,Inventory!$A:$B,2,FALSE),""))</f>
        <v/>
      </c>
      <c r="H599" s="83"/>
      <c r="I599" s="84" t="str">
        <f t="shared" si="2"/>
        <v/>
      </c>
      <c r="J599" s="85" t="str">
        <f>IF($F599="","",IFERROR(VLOOKUP($F599,Inventory!$A:$K,11,FALSE),0))</f>
        <v/>
      </c>
      <c r="K599" s="85"/>
      <c r="L599" s="85" t="str">
        <f t="shared" si="12"/>
        <v/>
      </c>
      <c r="M599" s="83"/>
      <c r="N599" s="85" t="str">
        <f>IF($F599="","",IFERROR(VLOOKUP($F599,Inventory!$A:$I,9,FALSE),0))</f>
        <v/>
      </c>
      <c r="O599" s="85" t="str">
        <f t="shared" si="13"/>
        <v/>
      </c>
      <c r="P599" s="85" t="str">
        <f t="shared" si="5"/>
        <v/>
      </c>
      <c r="Q599" s="83"/>
      <c r="R599" s="118" t="str">
        <f>IF($E599="","",IF(COUNTIF($E$7:$E1796,$E599)&gt;1,"",IFERROR(VLOOKUP($E599,Orders!$A:$I,8,FALSE),"")))</f>
        <v/>
      </c>
      <c r="S599" s="118" t="str">
        <f>IF($E599="","",IF(COUNTIF($E$7:$E1796,$E599)&gt;1,"",IFERROR(VLOOKUP($E599,Orders!$A:$I,9,FALSE),"")))</f>
        <v/>
      </c>
      <c r="T599" s="88" t="str">
        <f t="shared" si="14"/>
        <v/>
      </c>
      <c r="U599" s="88" t="str">
        <f>IF($F599="","",IF($E599="",T599,SUMIF(Sales!$E$7:$E$1506,$E599,Sales!$T$7:$T$1506)))</f>
        <v/>
      </c>
      <c r="V599" s="49" t="str">
        <f t="shared" si="15"/>
        <v/>
      </c>
      <c r="W599" s="49" t="str">
        <f t="array" ref="W599">IF($V599="","",SUMPRODUCT((Sales!$V$7:$V$1506&lt;&gt;"")*(Sales!$E$7:$E$1506&lt;$E599))+1)</f>
        <v/>
      </c>
      <c r="X599" s="49" t="str">
        <f t="shared" si="16"/>
        <v/>
      </c>
      <c r="Y599" s="49" t="str">
        <f t="shared" si="17"/>
        <v/>
      </c>
    </row>
    <row r="600" ht="15.75" customHeight="1">
      <c r="A600" s="82"/>
      <c r="B600" s="83"/>
      <c r="C600" s="83"/>
      <c r="D600" s="83"/>
      <c r="E600" s="83"/>
      <c r="F600" s="83"/>
      <c r="G600" s="83" t="str">
        <f>IF($F600="","",IFERROR(VLOOKUP($F600,Inventory!$A:$B,2,FALSE),""))</f>
        <v/>
      </c>
      <c r="H600" s="83"/>
      <c r="I600" s="84" t="str">
        <f t="shared" si="2"/>
        <v/>
      </c>
      <c r="J600" s="85" t="str">
        <f>IF($F600="","",IFERROR(VLOOKUP($F600,Inventory!$A:$K,11,FALSE),0))</f>
        <v/>
      </c>
      <c r="K600" s="85"/>
      <c r="L600" s="85" t="str">
        <f t="shared" si="12"/>
        <v/>
      </c>
      <c r="M600" s="83"/>
      <c r="N600" s="85" t="str">
        <f>IF($F600="","",IFERROR(VLOOKUP($F600,Inventory!$A:$I,9,FALSE),0))</f>
        <v/>
      </c>
      <c r="O600" s="85" t="str">
        <f t="shared" si="13"/>
        <v/>
      </c>
      <c r="P600" s="85" t="str">
        <f t="shared" si="5"/>
        <v/>
      </c>
      <c r="Q600" s="83"/>
      <c r="R600" s="118" t="str">
        <f>IF($E600="","",IF(COUNTIF($E$7:$E1797,$E600)&gt;1,"",IFERROR(VLOOKUP($E600,Orders!$A:$I,8,FALSE),"")))</f>
        <v/>
      </c>
      <c r="S600" s="118" t="str">
        <f>IF($E600="","",IF(COUNTIF($E$7:$E1797,$E600)&gt;1,"",IFERROR(VLOOKUP($E600,Orders!$A:$I,9,FALSE),"")))</f>
        <v/>
      </c>
      <c r="T600" s="88" t="str">
        <f t="shared" si="14"/>
        <v/>
      </c>
      <c r="U600" s="88" t="str">
        <f>IF($F600="","",IF($E600="",T600,SUMIF(Sales!$E$7:$E$1506,$E600,Sales!$T$7:$T$1506)))</f>
        <v/>
      </c>
      <c r="V600" s="49" t="str">
        <f t="shared" si="15"/>
        <v/>
      </c>
      <c r="W600" s="49" t="str">
        <f t="array" ref="W600">IF($V600="","",SUMPRODUCT((Sales!$V$7:$V$1506&lt;&gt;"")*(Sales!$E$7:$E$1506&lt;$E600))+1)</f>
        <v/>
      </c>
      <c r="X600" s="49" t="str">
        <f t="shared" si="16"/>
        <v/>
      </c>
      <c r="Y600" s="49" t="str">
        <f t="shared" si="17"/>
        <v/>
      </c>
    </row>
    <row r="601" ht="15.75" customHeight="1">
      <c r="A601" s="82"/>
      <c r="B601" s="83"/>
      <c r="C601" s="83"/>
      <c r="D601" s="83"/>
      <c r="E601" s="83"/>
      <c r="F601" s="83"/>
      <c r="G601" s="83" t="str">
        <f>IF($F601="","",IFERROR(VLOOKUP($F601,Inventory!$A:$B,2,FALSE),""))</f>
        <v/>
      </c>
      <c r="H601" s="83"/>
      <c r="I601" s="84" t="str">
        <f t="shared" si="2"/>
        <v/>
      </c>
      <c r="J601" s="85" t="str">
        <f>IF($F601="","",IFERROR(VLOOKUP($F601,Inventory!$A:$K,11,FALSE),0))</f>
        <v/>
      </c>
      <c r="K601" s="85"/>
      <c r="L601" s="85" t="str">
        <f t="shared" si="12"/>
        <v/>
      </c>
      <c r="M601" s="83"/>
      <c r="N601" s="85" t="str">
        <f>IF($F601="","",IFERROR(VLOOKUP($F601,Inventory!$A:$I,9,FALSE),0))</f>
        <v/>
      </c>
      <c r="O601" s="85" t="str">
        <f t="shared" si="13"/>
        <v/>
      </c>
      <c r="P601" s="85" t="str">
        <f t="shared" si="5"/>
        <v/>
      </c>
      <c r="Q601" s="83"/>
      <c r="R601" s="118" t="str">
        <f>IF($E601="","",IF(COUNTIF($E$7:$E1798,$E601)&gt;1,"",IFERROR(VLOOKUP($E601,Orders!$A:$I,8,FALSE),"")))</f>
        <v/>
      </c>
      <c r="S601" s="118" t="str">
        <f>IF($E601="","",IF(COUNTIF($E$7:$E1798,$E601)&gt;1,"",IFERROR(VLOOKUP($E601,Orders!$A:$I,9,FALSE),"")))</f>
        <v/>
      </c>
      <c r="T601" s="88" t="str">
        <f t="shared" si="14"/>
        <v/>
      </c>
      <c r="U601" s="88" t="str">
        <f>IF($F601="","",IF($E601="",T601,SUMIF(Sales!$E$7:$E$1506,$E601,Sales!$T$7:$T$1506)))</f>
        <v/>
      </c>
      <c r="V601" s="49" t="str">
        <f t="shared" si="15"/>
        <v/>
      </c>
      <c r="W601" s="49" t="str">
        <f t="array" ref="W601">IF($V601="","",SUMPRODUCT((Sales!$V$7:$V$1506&lt;&gt;"")*(Sales!$E$7:$E$1506&lt;$E601))+1)</f>
        <v/>
      </c>
      <c r="X601" s="49" t="str">
        <f t="shared" si="16"/>
        <v/>
      </c>
      <c r="Y601" s="49" t="str">
        <f t="shared" si="17"/>
        <v/>
      </c>
    </row>
    <row r="602" ht="15.75" customHeight="1">
      <c r="A602" s="82"/>
      <c r="B602" s="83"/>
      <c r="C602" s="83"/>
      <c r="D602" s="83"/>
      <c r="E602" s="83"/>
      <c r="F602" s="83"/>
      <c r="G602" s="83" t="str">
        <f>IF($F602="","",IFERROR(VLOOKUP($F602,Inventory!$A:$B,2,FALSE),""))</f>
        <v/>
      </c>
      <c r="H602" s="83"/>
      <c r="I602" s="84" t="str">
        <f t="shared" si="2"/>
        <v/>
      </c>
      <c r="J602" s="85" t="str">
        <f>IF($F602="","",IFERROR(VLOOKUP($F602,Inventory!$A:$K,11,FALSE),0))</f>
        <v/>
      </c>
      <c r="K602" s="85"/>
      <c r="L602" s="85" t="str">
        <f t="shared" si="12"/>
        <v/>
      </c>
      <c r="M602" s="83"/>
      <c r="N602" s="85" t="str">
        <f>IF($F602="","",IFERROR(VLOOKUP($F602,Inventory!$A:$I,9,FALSE),0))</f>
        <v/>
      </c>
      <c r="O602" s="85" t="str">
        <f t="shared" si="13"/>
        <v/>
      </c>
      <c r="P602" s="85" t="str">
        <f t="shared" si="5"/>
        <v/>
      </c>
      <c r="Q602" s="83"/>
      <c r="R602" s="118" t="str">
        <f>IF($E602="","",IF(COUNTIF($E$7:$E1799,$E602)&gt;1,"",IFERROR(VLOOKUP($E602,Orders!$A:$I,8,FALSE),"")))</f>
        <v/>
      </c>
      <c r="S602" s="118" t="str">
        <f>IF($E602="","",IF(COUNTIF($E$7:$E1799,$E602)&gt;1,"",IFERROR(VLOOKUP($E602,Orders!$A:$I,9,FALSE),"")))</f>
        <v/>
      </c>
      <c r="T602" s="88" t="str">
        <f t="shared" si="14"/>
        <v/>
      </c>
      <c r="U602" s="88" t="str">
        <f>IF($F602="","",IF($E602="",T602,SUMIF(Sales!$E$7:$E$1506,$E602,Sales!$T$7:$T$1506)))</f>
        <v/>
      </c>
      <c r="V602" s="49" t="str">
        <f t="shared" si="15"/>
        <v/>
      </c>
      <c r="W602" s="49" t="str">
        <f t="array" ref="W602">IF($V602="","",SUMPRODUCT((Sales!$V$7:$V$1506&lt;&gt;"")*(Sales!$E$7:$E$1506&lt;$E602))+1)</f>
        <v/>
      </c>
      <c r="X602" s="49" t="str">
        <f t="shared" si="16"/>
        <v/>
      </c>
      <c r="Y602" s="49" t="str">
        <f t="shared" si="17"/>
        <v/>
      </c>
    </row>
    <row r="603" ht="15.75" customHeight="1">
      <c r="A603" s="82"/>
      <c r="B603" s="83"/>
      <c r="C603" s="83"/>
      <c r="D603" s="83"/>
      <c r="E603" s="83"/>
      <c r="F603" s="83"/>
      <c r="G603" s="83" t="str">
        <f>IF($F603="","",IFERROR(VLOOKUP($F603,Inventory!$A:$B,2,FALSE),""))</f>
        <v/>
      </c>
      <c r="H603" s="83"/>
      <c r="I603" s="84" t="str">
        <f t="shared" si="2"/>
        <v/>
      </c>
      <c r="J603" s="85" t="str">
        <f>IF($F603="","",IFERROR(VLOOKUP($F603,Inventory!$A:$K,11,FALSE),0))</f>
        <v/>
      </c>
      <c r="K603" s="85"/>
      <c r="L603" s="85" t="str">
        <f t="shared" si="12"/>
        <v/>
      </c>
      <c r="M603" s="83"/>
      <c r="N603" s="85" t="str">
        <f>IF($F603="","",IFERROR(VLOOKUP($F603,Inventory!$A:$I,9,FALSE),0))</f>
        <v/>
      </c>
      <c r="O603" s="85" t="str">
        <f t="shared" si="13"/>
        <v/>
      </c>
      <c r="P603" s="85" t="str">
        <f t="shared" si="5"/>
        <v/>
      </c>
      <c r="Q603" s="83"/>
      <c r="R603" s="118" t="str">
        <f>IF($E603="","",IF(COUNTIF($E$7:$E1800,$E603)&gt;1,"",IFERROR(VLOOKUP($E603,Orders!$A:$I,8,FALSE),"")))</f>
        <v/>
      </c>
      <c r="S603" s="118" t="str">
        <f>IF($E603="","",IF(COUNTIF($E$7:$E1800,$E603)&gt;1,"",IFERROR(VLOOKUP($E603,Orders!$A:$I,9,FALSE),"")))</f>
        <v/>
      </c>
      <c r="T603" s="88" t="str">
        <f t="shared" si="14"/>
        <v/>
      </c>
      <c r="U603" s="88" t="str">
        <f>IF($F603="","",IF($E603="",T603,SUMIF(Sales!$E$7:$E$1506,$E603,Sales!$T$7:$T$1506)))</f>
        <v/>
      </c>
      <c r="V603" s="49" t="str">
        <f t="shared" si="15"/>
        <v/>
      </c>
      <c r="W603" s="49" t="str">
        <f t="array" ref="W603">IF($V603="","",SUMPRODUCT((Sales!$V$7:$V$1506&lt;&gt;"")*(Sales!$E$7:$E$1506&lt;$E603))+1)</f>
        <v/>
      </c>
      <c r="X603" s="49" t="str">
        <f t="shared" si="16"/>
        <v/>
      </c>
      <c r="Y603" s="49" t="str">
        <f t="shared" si="17"/>
        <v/>
      </c>
    </row>
    <row r="604" ht="15.75" customHeight="1">
      <c r="A604" s="82"/>
      <c r="B604" s="83"/>
      <c r="C604" s="83"/>
      <c r="D604" s="83"/>
      <c r="E604" s="83"/>
      <c r="F604" s="83"/>
      <c r="G604" s="83" t="str">
        <f>IF($F604="","",IFERROR(VLOOKUP($F604,Inventory!$A:$B,2,FALSE),""))</f>
        <v/>
      </c>
      <c r="H604" s="83"/>
      <c r="I604" s="84" t="str">
        <f t="shared" si="2"/>
        <v/>
      </c>
      <c r="J604" s="85" t="str">
        <f>IF($F604="","",IFERROR(VLOOKUP($F604,Inventory!$A:$K,11,FALSE),0))</f>
        <v/>
      </c>
      <c r="K604" s="85"/>
      <c r="L604" s="85" t="str">
        <f t="shared" si="12"/>
        <v/>
      </c>
      <c r="M604" s="83"/>
      <c r="N604" s="85" t="str">
        <f>IF($F604="","",IFERROR(VLOOKUP($F604,Inventory!$A:$I,9,FALSE),0))</f>
        <v/>
      </c>
      <c r="O604" s="85" t="str">
        <f t="shared" si="13"/>
        <v/>
      </c>
      <c r="P604" s="85" t="str">
        <f t="shared" si="5"/>
        <v/>
      </c>
      <c r="Q604" s="83"/>
      <c r="R604" s="118" t="str">
        <f>IF($E604="","",IF(COUNTIF($E$7:$E1801,$E604)&gt;1,"",IFERROR(VLOOKUP($E604,Orders!$A:$I,8,FALSE),"")))</f>
        <v/>
      </c>
      <c r="S604" s="118" t="str">
        <f>IF($E604="","",IF(COUNTIF($E$7:$E1801,$E604)&gt;1,"",IFERROR(VLOOKUP($E604,Orders!$A:$I,9,FALSE),"")))</f>
        <v/>
      </c>
      <c r="T604" s="88" t="str">
        <f t="shared" si="14"/>
        <v/>
      </c>
      <c r="U604" s="88" t="str">
        <f>IF($F604="","",IF($E604="",T604,SUMIF(Sales!$E$7:$E$1506,$E604,Sales!$T$7:$T$1506)))</f>
        <v/>
      </c>
      <c r="V604" s="49" t="str">
        <f t="shared" si="15"/>
        <v/>
      </c>
      <c r="W604" s="49" t="str">
        <f t="array" ref="W604">IF($V604="","",SUMPRODUCT((Sales!$V$7:$V$1506&lt;&gt;"")*(Sales!$E$7:$E$1506&lt;$E604))+1)</f>
        <v/>
      </c>
      <c r="X604" s="49" t="str">
        <f t="shared" si="16"/>
        <v/>
      </c>
      <c r="Y604" s="49" t="str">
        <f t="shared" si="17"/>
        <v/>
      </c>
    </row>
    <row r="605" ht="15.75" customHeight="1">
      <c r="A605" s="82"/>
      <c r="B605" s="83"/>
      <c r="C605" s="83"/>
      <c r="D605" s="83"/>
      <c r="E605" s="83"/>
      <c r="F605" s="83"/>
      <c r="G605" s="83" t="str">
        <f>IF($F605="","",IFERROR(VLOOKUP($F605,Inventory!$A:$B,2,FALSE),""))</f>
        <v/>
      </c>
      <c r="H605" s="83"/>
      <c r="I605" s="84" t="str">
        <f t="shared" si="2"/>
        <v/>
      </c>
      <c r="J605" s="85" t="str">
        <f>IF($F605="","",IFERROR(VLOOKUP($F605,Inventory!$A:$K,11,FALSE),0))</f>
        <v/>
      </c>
      <c r="K605" s="85"/>
      <c r="L605" s="85" t="str">
        <f t="shared" si="12"/>
        <v/>
      </c>
      <c r="M605" s="83"/>
      <c r="N605" s="85" t="str">
        <f>IF($F605="","",IFERROR(VLOOKUP($F605,Inventory!$A:$I,9,FALSE),0))</f>
        <v/>
      </c>
      <c r="O605" s="85" t="str">
        <f t="shared" si="13"/>
        <v/>
      </c>
      <c r="P605" s="85" t="str">
        <f t="shared" si="5"/>
        <v/>
      </c>
      <c r="Q605" s="83"/>
      <c r="R605" s="118" t="str">
        <f>IF($E605="","",IF(COUNTIF($E$7:$E1802,$E605)&gt;1,"",IFERROR(VLOOKUP($E605,Orders!$A:$I,8,FALSE),"")))</f>
        <v/>
      </c>
      <c r="S605" s="118" t="str">
        <f>IF($E605="","",IF(COUNTIF($E$7:$E1802,$E605)&gt;1,"",IFERROR(VLOOKUP($E605,Orders!$A:$I,9,FALSE),"")))</f>
        <v/>
      </c>
      <c r="T605" s="88" t="str">
        <f t="shared" si="14"/>
        <v/>
      </c>
      <c r="U605" s="88" t="str">
        <f>IF($F605="","",IF($E605="",T605,SUMIF(Sales!$E$7:$E$1506,$E605,Sales!$T$7:$T$1506)))</f>
        <v/>
      </c>
      <c r="V605" s="49" t="str">
        <f t="shared" si="15"/>
        <v/>
      </c>
      <c r="W605" s="49" t="str">
        <f t="array" ref="W605">IF($V605="","",SUMPRODUCT((Sales!$V$7:$V$1506&lt;&gt;"")*(Sales!$E$7:$E$1506&lt;$E605))+1)</f>
        <v/>
      </c>
      <c r="X605" s="49" t="str">
        <f t="shared" si="16"/>
        <v/>
      </c>
      <c r="Y605" s="49" t="str">
        <f t="shared" si="17"/>
        <v/>
      </c>
    </row>
    <row r="606" ht="15.75" customHeight="1">
      <c r="A606" s="82"/>
      <c r="B606" s="83"/>
      <c r="C606" s="83"/>
      <c r="D606" s="83"/>
      <c r="E606" s="83"/>
      <c r="F606" s="83"/>
      <c r="G606" s="83" t="str">
        <f>IF($F606="","",IFERROR(VLOOKUP($F606,Inventory!$A:$B,2,FALSE),""))</f>
        <v/>
      </c>
      <c r="H606" s="83"/>
      <c r="I606" s="84" t="str">
        <f t="shared" si="2"/>
        <v/>
      </c>
      <c r="J606" s="85" t="str">
        <f>IF($F606="","",IFERROR(VLOOKUP($F606,Inventory!$A:$K,11,FALSE),0))</f>
        <v/>
      </c>
      <c r="K606" s="85"/>
      <c r="L606" s="85" t="str">
        <f t="shared" si="12"/>
        <v/>
      </c>
      <c r="M606" s="83"/>
      <c r="N606" s="85" t="str">
        <f>IF($F606="","",IFERROR(VLOOKUP($F606,Inventory!$A:$I,9,FALSE),0))</f>
        <v/>
      </c>
      <c r="O606" s="85" t="str">
        <f t="shared" si="13"/>
        <v/>
      </c>
      <c r="P606" s="85" t="str">
        <f t="shared" si="5"/>
        <v/>
      </c>
      <c r="Q606" s="83"/>
      <c r="R606" s="118" t="str">
        <f>IF($E606="","",IF(COUNTIF($E$7:$E1803,$E606)&gt;1,"",IFERROR(VLOOKUP($E606,Orders!$A:$I,8,FALSE),"")))</f>
        <v/>
      </c>
      <c r="S606" s="118" t="str">
        <f>IF($E606="","",IF(COUNTIF($E$7:$E1803,$E606)&gt;1,"",IFERROR(VLOOKUP($E606,Orders!$A:$I,9,FALSE),"")))</f>
        <v/>
      </c>
      <c r="T606" s="88" t="str">
        <f t="shared" si="14"/>
        <v/>
      </c>
      <c r="U606" s="88" t="str">
        <f>IF($F606="","",IF($E606="",T606,SUMIF(Sales!$E$7:$E$1506,$E606,Sales!$T$7:$T$1506)))</f>
        <v/>
      </c>
      <c r="V606" s="49" t="str">
        <f t="shared" si="15"/>
        <v/>
      </c>
      <c r="W606" s="49" t="str">
        <f t="array" ref="W606">IF($V606="","",SUMPRODUCT((Sales!$V$7:$V$1506&lt;&gt;"")*(Sales!$E$7:$E$1506&lt;$E606))+1)</f>
        <v/>
      </c>
      <c r="X606" s="49" t="str">
        <f t="shared" si="16"/>
        <v/>
      </c>
      <c r="Y606" s="49" t="str">
        <f t="shared" si="17"/>
        <v/>
      </c>
    </row>
    <row r="607" ht="15.75" customHeight="1">
      <c r="A607" s="82"/>
      <c r="B607" s="83"/>
      <c r="C607" s="83"/>
      <c r="D607" s="83"/>
      <c r="E607" s="83"/>
      <c r="F607" s="83"/>
      <c r="G607" s="83" t="str">
        <f>IF($F607="","",IFERROR(VLOOKUP($F607,Inventory!$A:$B,2,FALSE),""))</f>
        <v/>
      </c>
      <c r="H607" s="83"/>
      <c r="I607" s="84" t="str">
        <f t="shared" si="2"/>
        <v/>
      </c>
      <c r="J607" s="85" t="str">
        <f>IF($F607="","",IFERROR(VLOOKUP($F607,Inventory!$A:$K,11,FALSE),0))</f>
        <v/>
      </c>
      <c r="K607" s="85"/>
      <c r="L607" s="85" t="str">
        <f t="shared" si="12"/>
        <v/>
      </c>
      <c r="M607" s="83"/>
      <c r="N607" s="85" t="str">
        <f>IF($F607="","",IFERROR(VLOOKUP($F607,Inventory!$A:$I,9,FALSE),0))</f>
        <v/>
      </c>
      <c r="O607" s="85" t="str">
        <f t="shared" si="13"/>
        <v/>
      </c>
      <c r="P607" s="85" t="str">
        <f t="shared" si="5"/>
        <v/>
      </c>
      <c r="Q607" s="83"/>
      <c r="R607" s="118" t="str">
        <f>IF($E607="","",IF(COUNTIF($E$7:$E1804,$E607)&gt;1,"",IFERROR(VLOOKUP($E607,Orders!$A:$I,8,FALSE),"")))</f>
        <v/>
      </c>
      <c r="S607" s="118" t="str">
        <f>IF($E607="","",IF(COUNTIF($E$7:$E1804,$E607)&gt;1,"",IFERROR(VLOOKUP($E607,Orders!$A:$I,9,FALSE),"")))</f>
        <v/>
      </c>
      <c r="T607" s="88" t="str">
        <f t="shared" si="14"/>
        <v/>
      </c>
      <c r="U607" s="88" t="str">
        <f>IF($F607="","",IF($E607="",T607,SUMIF(Sales!$E$7:$E$1506,$E607,Sales!$T$7:$T$1506)))</f>
        <v/>
      </c>
      <c r="V607" s="49" t="str">
        <f t="shared" si="15"/>
        <v/>
      </c>
      <c r="W607" s="49" t="str">
        <f t="array" ref="W607">IF($V607="","",SUMPRODUCT((Sales!$V$7:$V$1506&lt;&gt;"")*(Sales!$E$7:$E$1506&lt;$E607))+1)</f>
        <v/>
      </c>
      <c r="X607" s="49" t="str">
        <f t="shared" si="16"/>
        <v/>
      </c>
      <c r="Y607" s="49" t="str">
        <f t="shared" si="17"/>
        <v/>
      </c>
    </row>
    <row r="608" ht="15.75" customHeight="1">
      <c r="A608" s="82"/>
      <c r="B608" s="83"/>
      <c r="C608" s="83"/>
      <c r="D608" s="83"/>
      <c r="E608" s="83"/>
      <c r="F608" s="83"/>
      <c r="G608" s="83" t="str">
        <f>IF($F608="","",IFERROR(VLOOKUP($F608,Inventory!$A:$B,2,FALSE),""))</f>
        <v/>
      </c>
      <c r="H608" s="83"/>
      <c r="I608" s="84" t="str">
        <f t="shared" si="2"/>
        <v/>
      </c>
      <c r="J608" s="85" t="str">
        <f>IF($F608="","",IFERROR(VLOOKUP($F608,Inventory!$A:$K,11,FALSE),0))</f>
        <v/>
      </c>
      <c r="K608" s="85"/>
      <c r="L608" s="85" t="str">
        <f t="shared" si="12"/>
        <v/>
      </c>
      <c r="M608" s="83"/>
      <c r="N608" s="85" t="str">
        <f>IF($F608="","",IFERROR(VLOOKUP($F608,Inventory!$A:$I,9,FALSE),0))</f>
        <v/>
      </c>
      <c r="O608" s="85" t="str">
        <f t="shared" si="13"/>
        <v/>
      </c>
      <c r="P608" s="85" t="str">
        <f t="shared" si="5"/>
        <v/>
      </c>
      <c r="Q608" s="83"/>
      <c r="R608" s="118" t="str">
        <f>IF($E608="","",IF(COUNTIF($E$7:$E1805,$E608)&gt;1,"",IFERROR(VLOOKUP($E608,Orders!$A:$I,8,FALSE),"")))</f>
        <v/>
      </c>
      <c r="S608" s="118" t="str">
        <f>IF($E608="","",IF(COUNTIF($E$7:$E1805,$E608)&gt;1,"",IFERROR(VLOOKUP($E608,Orders!$A:$I,9,FALSE),"")))</f>
        <v/>
      </c>
      <c r="T608" s="88" t="str">
        <f t="shared" si="14"/>
        <v/>
      </c>
      <c r="U608" s="88" t="str">
        <f>IF($F608="","",IF($E608="",T608,SUMIF(Sales!$E$7:$E$1506,$E608,Sales!$T$7:$T$1506)))</f>
        <v/>
      </c>
      <c r="V608" s="49" t="str">
        <f t="shared" si="15"/>
        <v/>
      </c>
      <c r="W608" s="49" t="str">
        <f t="array" ref="W608">IF($V608="","",SUMPRODUCT((Sales!$V$7:$V$1506&lt;&gt;"")*(Sales!$E$7:$E$1506&lt;$E608))+1)</f>
        <v/>
      </c>
      <c r="X608" s="49" t="str">
        <f t="shared" si="16"/>
        <v/>
      </c>
      <c r="Y608" s="49" t="str">
        <f t="shared" si="17"/>
        <v/>
      </c>
    </row>
    <row r="609" ht="15.75" customHeight="1">
      <c r="A609" s="82"/>
      <c r="B609" s="83"/>
      <c r="C609" s="83"/>
      <c r="D609" s="83"/>
      <c r="E609" s="83"/>
      <c r="F609" s="83"/>
      <c r="G609" s="83" t="str">
        <f>IF($F609="","",IFERROR(VLOOKUP($F609,Inventory!$A:$B,2,FALSE),""))</f>
        <v/>
      </c>
      <c r="H609" s="83"/>
      <c r="I609" s="84" t="str">
        <f t="shared" si="2"/>
        <v/>
      </c>
      <c r="J609" s="85" t="str">
        <f>IF($F609="","",IFERROR(VLOOKUP($F609,Inventory!$A:$K,11,FALSE),0))</f>
        <v/>
      </c>
      <c r="K609" s="85"/>
      <c r="L609" s="85" t="str">
        <f t="shared" si="12"/>
        <v/>
      </c>
      <c r="M609" s="83"/>
      <c r="N609" s="85" t="str">
        <f>IF($F609="","",IFERROR(VLOOKUP($F609,Inventory!$A:$I,9,FALSE),0))</f>
        <v/>
      </c>
      <c r="O609" s="85" t="str">
        <f t="shared" si="13"/>
        <v/>
      </c>
      <c r="P609" s="85" t="str">
        <f t="shared" si="5"/>
        <v/>
      </c>
      <c r="Q609" s="83"/>
      <c r="R609" s="118" t="str">
        <f>IF($E609="","",IF(COUNTIF($E$7:$E1806,$E609)&gt;1,"",IFERROR(VLOOKUP($E609,Orders!$A:$I,8,FALSE),"")))</f>
        <v/>
      </c>
      <c r="S609" s="118" t="str">
        <f>IF($E609="","",IF(COUNTIF($E$7:$E1806,$E609)&gt;1,"",IFERROR(VLOOKUP($E609,Orders!$A:$I,9,FALSE),"")))</f>
        <v/>
      </c>
      <c r="T609" s="88" t="str">
        <f t="shared" si="14"/>
        <v/>
      </c>
      <c r="U609" s="88" t="str">
        <f>IF($F609="","",IF($E609="",T609,SUMIF(Sales!$E$7:$E$1506,$E609,Sales!$T$7:$T$1506)))</f>
        <v/>
      </c>
      <c r="V609" s="49" t="str">
        <f t="shared" si="15"/>
        <v/>
      </c>
      <c r="W609" s="49" t="str">
        <f t="array" ref="W609">IF($V609="","",SUMPRODUCT((Sales!$V$7:$V$1506&lt;&gt;"")*(Sales!$E$7:$E$1506&lt;$E609))+1)</f>
        <v/>
      </c>
      <c r="X609" s="49" t="str">
        <f t="shared" si="16"/>
        <v/>
      </c>
      <c r="Y609" s="49" t="str">
        <f t="shared" si="17"/>
        <v/>
      </c>
    </row>
    <row r="610" ht="15.75" customHeight="1">
      <c r="A610" s="82"/>
      <c r="B610" s="83"/>
      <c r="C610" s="83"/>
      <c r="D610" s="83"/>
      <c r="E610" s="83"/>
      <c r="F610" s="83"/>
      <c r="G610" s="83" t="str">
        <f>IF($F610="","",IFERROR(VLOOKUP($F610,Inventory!$A:$B,2,FALSE),""))</f>
        <v/>
      </c>
      <c r="H610" s="83"/>
      <c r="I610" s="84" t="str">
        <f t="shared" si="2"/>
        <v/>
      </c>
      <c r="J610" s="85" t="str">
        <f>IF($F610="","",IFERROR(VLOOKUP($F610,Inventory!$A:$K,11,FALSE),0))</f>
        <v/>
      </c>
      <c r="K610" s="85"/>
      <c r="L610" s="85" t="str">
        <f t="shared" si="12"/>
        <v/>
      </c>
      <c r="M610" s="83"/>
      <c r="N610" s="85" t="str">
        <f>IF($F610="","",IFERROR(VLOOKUP($F610,Inventory!$A:$I,9,FALSE),0))</f>
        <v/>
      </c>
      <c r="O610" s="85" t="str">
        <f t="shared" si="13"/>
        <v/>
      </c>
      <c r="P610" s="85" t="str">
        <f t="shared" si="5"/>
        <v/>
      </c>
      <c r="Q610" s="83"/>
      <c r="R610" s="118" t="str">
        <f>IF($E610="","",IF(COUNTIF($E$7:$E1807,$E610)&gt;1,"",IFERROR(VLOOKUP($E610,Orders!$A:$I,8,FALSE),"")))</f>
        <v/>
      </c>
      <c r="S610" s="118" t="str">
        <f>IF($E610="","",IF(COUNTIF($E$7:$E1807,$E610)&gt;1,"",IFERROR(VLOOKUP($E610,Orders!$A:$I,9,FALSE),"")))</f>
        <v/>
      </c>
      <c r="T610" s="88" t="str">
        <f t="shared" si="14"/>
        <v/>
      </c>
      <c r="U610" s="88" t="str">
        <f>IF($F610="","",IF($E610="",T610,SUMIF(Sales!$E$7:$E$1506,$E610,Sales!$T$7:$T$1506)))</f>
        <v/>
      </c>
      <c r="V610" s="49" t="str">
        <f t="shared" si="15"/>
        <v/>
      </c>
      <c r="W610" s="49" t="str">
        <f t="array" ref="W610">IF($V610="","",SUMPRODUCT((Sales!$V$7:$V$1506&lt;&gt;"")*(Sales!$E$7:$E$1506&lt;$E610))+1)</f>
        <v/>
      </c>
      <c r="X610" s="49" t="str">
        <f t="shared" si="16"/>
        <v/>
      </c>
      <c r="Y610" s="49" t="str">
        <f t="shared" si="17"/>
        <v/>
      </c>
    </row>
    <row r="611" ht="15.75" customHeight="1">
      <c r="A611" s="82"/>
      <c r="B611" s="83"/>
      <c r="C611" s="83"/>
      <c r="D611" s="83"/>
      <c r="E611" s="83"/>
      <c r="F611" s="83"/>
      <c r="G611" s="83" t="str">
        <f>IF($F611="","",IFERROR(VLOOKUP($F611,Inventory!$A:$B,2,FALSE),""))</f>
        <v/>
      </c>
      <c r="H611" s="83"/>
      <c r="I611" s="84" t="str">
        <f t="shared" si="2"/>
        <v/>
      </c>
      <c r="J611" s="85" t="str">
        <f>IF($F611="","",IFERROR(VLOOKUP($F611,Inventory!$A:$K,11,FALSE),0))</f>
        <v/>
      </c>
      <c r="K611" s="85"/>
      <c r="L611" s="85" t="str">
        <f t="shared" si="12"/>
        <v/>
      </c>
      <c r="M611" s="83"/>
      <c r="N611" s="85" t="str">
        <f>IF($F611="","",IFERROR(VLOOKUP($F611,Inventory!$A:$I,9,FALSE),0))</f>
        <v/>
      </c>
      <c r="O611" s="85" t="str">
        <f t="shared" si="13"/>
        <v/>
      </c>
      <c r="P611" s="85" t="str">
        <f t="shared" si="5"/>
        <v/>
      </c>
      <c r="Q611" s="83"/>
      <c r="R611" s="118" t="str">
        <f>IF($E611="","",IF(COUNTIF($E$7:$E1808,$E611)&gt;1,"",IFERROR(VLOOKUP($E611,Orders!$A:$I,8,FALSE),"")))</f>
        <v/>
      </c>
      <c r="S611" s="118" t="str">
        <f>IF($E611="","",IF(COUNTIF($E$7:$E1808,$E611)&gt;1,"",IFERROR(VLOOKUP($E611,Orders!$A:$I,9,FALSE),"")))</f>
        <v/>
      </c>
      <c r="T611" s="88" t="str">
        <f t="shared" si="14"/>
        <v/>
      </c>
      <c r="U611" s="88" t="str">
        <f>IF($F611="","",IF($E611="",T611,SUMIF(Sales!$E$7:$E$1506,$E611,Sales!$T$7:$T$1506)))</f>
        <v/>
      </c>
      <c r="V611" s="49" t="str">
        <f t="shared" si="15"/>
        <v/>
      </c>
      <c r="W611" s="49" t="str">
        <f t="array" ref="W611">IF($V611="","",SUMPRODUCT((Sales!$V$7:$V$1506&lt;&gt;"")*(Sales!$E$7:$E$1506&lt;$E611))+1)</f>
        <v/>
      </c>
      <c r="X611" s="49" t="str">
        <f t="shared" si="16"/>
        <v/>
      </c>
      <c r="Y611" s="49" t="str">
        <f t="shared" si="17"/>
        <v/>
      </c>
    </row>
    <row r="612" ht="15.75" customHeight="1">
      <c r="A612" s="82"/>
      <c r="B612" s="83"/>
      <c r="C612" s="83"/>
      <c r="D612" s="83"/>
      <c r="E612" s="83"/>
      <c r="F612" s="83"/>
      <c r="G612" s="83" t="str">
        <f>IF($F612="","",IFERROR(VLOOKUP($F612,Inventory!$A:$B,2,FALSE),""))</f>
        <v/>
      </c>
      <c r="H612" s="83"/>
      <c r="I612" s="84" t="str">
        <f t="shared" si="2"/>
        <v/>
      </c>
      <c r="J612" s="85" t="str">
        <f>IF($F612="","",IFERROR(VLOOKUP($F612,Inventory!$A:$K,11,FALSE),0))</f>
        <v/>
      </c>
      <c r="K612" s="85"/>
      <c r="L612" s="85" t="str">
        <f t="shared" si="12"/>
        <v/>
      </c>
      <c r="M612" s="83"/>
      <c r="N612" s="85" t="str">
        <f>IF($F612="","",IFERROR(VLOOKUP($F612,Inventory!$A:$I,9,FALSE),0))</f>
        <v/>
      </c>
      <c r="O612" s="85" t="str">
        <f t="shared" si="13"/>
        <v/>
      </c>
      <c r="P612" s="85" t="str">
        <f t="shared" si="5"/>
        <v/>
      </c>
      <c r="Q612" s="83"/>
      <c r="R612" s="118" t="str">
        <f>IF($E612="","",IF(COUNTIF($E$7:$E1809,$E612)&gt;1,"",IFERROR(VLOOKUP($E612,Orders!$A:$I,8,FALSE),"")))</f>
        <v/>
      </c>
      <c r="S612" s="118" t="str">
        <f>IF($E612="","",IF(COUNTIF($E$7:$E1809,$E612)&gt;1,"",IFERROR(VLOOKUP($E612,Orders!$A:$I,9,FALSE),"")))</f>
        <v/>
      </c>
      <c r="T612" s="88" t="str">
        <f t="shared" si="14"/>
        <v/>
      </c>
      <c r="U612" s="88" t="str">
        <f>IF($F612="","",IF($E612="",T612,SUMIF(Sales!$E$7:$E$1506,$E612,Sales!$T$7:$T$1506)))</f>
        <v/>
      </c>
      <c r="V612" s="49" t="str">
        <f t="shared" si="15"/>
        <v/>
      </c>
      <c r="W612" s="49" t="str">
        <f t="array" ref="W612">IF($V612="","",SUMPRODUCT((Sales!$V$7:$V$1506&lt;&gt;"")*(Sales!$E$7:$E$1506&lt;$E612))+1)</f>
        <v/>
      </c>
      <c r="X612" s="49" t="str">
        <f t="shared" si="16"/>
        <v/>
      </c>
      <c r="Y612" s="49" t="str">
        <f t="shared" si="17"/>
        <v/>
      </c>
    </row>
    <row r="613" ht="15.75" customHeight="1">
      <c r="A613" s="82"/>
      <c r="B613" s="83"/>
      <c r="C613" s="83"/>
      <c r="D613" s="83"/>
      <c r="E613" s="83"/>
      <c r="F613" s="83"/>
      <c r="G613" s="83" t="str">
        <f>IF($F613="","",IFERROR(VLOOKUP($F613,Inventory!$A:$B,2,FALSE),""))</f>
        <v/>
      </c>
      <c r="H613" s="83"/>
      <c r="I613" s="84" t="str">
        <f t="shared" si="2"/>
        <v/>
      </c>
      <c r="J613" s="85" t="str">
        <f>IF($F613="","",IFERROR(VLOOKUP($F613,Inventory!$A:$K,11,FALSE),0))</f>
        <v/>
      </c>
      <c r="K613" s="85"/>
      <c r="L613" s="85" t="str">
        <f t="shared" si="12"/>
        <v/>
      </c>
      <c r="M613" s="83"/>
      <c r="N613" s="85" t="str">
        <f>IF($F613="","",IFERROR(VLOOKUP($F613,Inventory!$A:$I,9,FALSE),0))</f>
        <v/>
      </c>
      <c r="O613" s="85" t="str">
        <f t="shared" si="13"/>
        <v/>
      </c>
      <c r="P613" s="85" t="str">
        <f t="shared" si="5"/>
        <v/>
      </c>
      <c r="Q613" s="83"/>
      <c r="R613" s="118" t="str">
        <f>IF($E613="","",IF(COUNTIF($E$7:$E1810,$E613)&gt;1,"",IFERROR(VLOOKUP($E613,Orders!$A:$I,8,FALSE),"")))</f>
        <v/>
      </c>
      <c r="S613" s="118" t="str">
        <f>IF($E613="","",IF(COUNTIF($E$7:$E1810,$E613)&gt;1,"",IFERROR(VLOOKUP($E613,Orders!$A:$I,9,FALSE),"")))</f>
        <v/>
      </c>
      <c r="T613" s="88" t="str">
        <f t="shared" si="14"/>
        <v/>
      </c>
      <c r="U613" s="88" t="str">
        <f>IF($F613="","",IF($E613="",T613,SUMIF(Sales!$E$7:$E$1506,$E613,Sales!$T$7:$T$1506)))</f>
        <v/>
      </c>
      <c r="V613" s="49" t="str">
        <f t="shared" si="15"/>
        <v/>
      </c>
      <c r="W613" s="49" t="str">
        <f t="array" ref="W613">IF($V613="","",SUMPRODUCT((Sales!$V$7:$V$1506&lt;&gt;"")*(Sales!$E$7:$E$1506&lt;$E613))+1)</f>
        <v/>
      </c>
      <c r="X613" s="49" t="str">
        <f t="shared" si="16"/>
        <v/>
      </c>
      <c r="Y613" s="49" t="str">
        <f t="shared" si="17"/>
        <v/>
      </c>
    </row>
    <row r="614" ht="15.75" customHeight="1">
      <c r="A614" s="82"/>
      <c r="B614" s="83"/>
      <c r="C614" s="83"/>
      <c r="D614" s="83"/>
      <c r="E614" s="83"/>
      <c r="F614" s="83"/>
      <c r="G614" s="83" t="str">
        <f>IF($F614="","",IFERROR(VLOOKUP($F614,Inventory!$A:$B,2,FALSE),""))</f>
        <v/>
      </c>
      <c r="H614" s="83"/>
      <c r="I614" s="84" t="str">
        <f t="shared" si="2"/>
        <v/>
      </c>
      <c r="J614" s="85" t="str">
        <f>IF($F614="","",IFERROR(VLOOKUP($F614,Inventory!$A:$K,11,FALSE),0))</f>
        <v/>
      </c>
      <c r="K614" s="85"/>
      <c r="L614" s="85" t="str">
        <f t="shared" si="12"/>
        <v/>
      </c>
      <c r="M614" s="83"/>
      <c r="N614" s="85" t="str">
        <f>IF($F614="","",IFERROR(VLOOKUP($F614,Inventory!$A:$I,9,FALSE),0))</f>
        <v/>
      </c>
      <c r="O614" s="85" t="str">
        <f t="shared" si="13"/>
        <v/>
      </c>
      <c r="P614" s="85" t="str">
        <f t="shared" si="5"/>
        <v/>
      </c>
      <c r="Q614" s="83"/>
      <c r="R614" s="118" t="str">
        <f>IF($E614="","",IF(COUNTIF($E$7:$E1811,$E614)&gt;1,"",IFERROR(VLOOKUP($E614,Orders!$A:$I,8,FALSE),"")))</f>
        <v/>
      </c>
      <c r="S614" s="118" t="str">
        <f>IF($E614="","",IF(COUNTIF($E$7:$E1811,$E614)&gt;1,"",IFERROR(VLOOKUP($E614,Orders!$A:$I,9,FALSE),"")))</f>
        <v/>
      </c>
      <c r="T614" s="88" t="str">
        <f t="shared" si="14"/>
        <v/>
      </c>
      <c r="U614" s="88" t="str">
        <f>IF($F614="","",IF($E614="",T614,SUMIF(Sales!$E$7:$E$1506,$E614,Sales!$T$7:$T$1506)))</f>
        <v/>
      </c>
      <c r="V614" s="49" t="str">
        <f t="shared" si="15"/>
        <v/>
      </c>
      <c r="W614" s="49" t="str">
        <f t="array" ref="W614">IF($V614="","",SUMPRODUCT((Sales!$V$7:$V$1506&lt;&gt;"")*(Sales!$E$7:$E$1506&lt;$E614))+1)</f>
        <v/>
      </c>
      <c r="X614" s="49" t="str">
        <f t="shared" si="16"/>
        <v/>
      </c>
      <c r="Y614" s="49" t="str">
        <f t="shared" si="17"/>
        <v/>
      </c>
    </row>
    <row r="615" ht="15.75" customHeight="1">
      <c r="A615" s="82"/>
      <c r="B615" s="83"/>
      <c r="C615" s="83"/>
      <c r="D615" s="83"/>
      <c r="E615" s="83"/>
      <c r="F615" s="83"/>
      <c r="G615" s="83" t="str">
        <f>IF($F615="","",IFERROR(VLOOKUP($F615,Inventory!$A:$B,2,FALSE),""))</f>
        <v/>
      </c>
      <c r="H615" s="83"/>
      <c r="I615" s="84" t="str">
        <f t="shared" si="2"/>
        <v/>
      </c>
      <c r="J615" s="85" t="str">
        <f>IF($F615="","",IFERROR(VLOOKUP($F615,Inventory!$A:$K,11,FALSE),0))</f>
        <v/>
      </c>
      <c r="K615" s="85"/>
      <c r="L615" s="85" t="str">
        <f t="shared" si="12"/>
        <v/>
      </c>
      <c r="M615" s="83"/>
      <c r="N615" s="85" t="str">
        <f>IF($F615="","",IFERROR(VLOOKUP($F615,Inventory!$A:$I,9,FALSE),0))</f>
        <v/>
      </c>
      <c r="O615" s="85" t="str">
        <f t="shared" si="13"/>
        <v/>
      </c>
      <c r="P615" s="85" t="str">
        <f t="shared" si="5"/>
        <v/>
      </c>
      <c r="Q615" s="83"/>
      <c r="R615" s="118" t="str">
        <f>IF($E615="","",IF(COUNTIF($E$7:$E1812,$E615)&gt;1,"",IFERROR(VLOOKUP($E615,Orders!$A:$I,8,FALSE),"")))</f>
        <v/>
      </c>
      <c r="S615" s="118" t="str">
        <f>IF($E615="","",IF(COUNTIF($E$7:$E1812,$E615)&gt;1,"",IFERROR(VLOOKUP($E615,Orders!$A:$I,9,FALSE),"")))</f>
        <v/>
      </c>
      <c r="T615" s="88" t="str">
        <f t="shared" si="14"/>
        <v/>
      </c>
      <c r="U615" s="88" t="str">
        <f>IF($F615="","",IF($E615="",T615,SUMIF(Sales!$E$7:$E$1506,$E615,Sales!$T$7:$T$1506)))</f>
        <v/>
      </c>
      <c r="V615" s="49" t="str">
        <f t="shared" si="15"/>
        <v/>
      </c>
      <c r="W615" s="49" t="str">
        <f t="array" ref="W615">IF($V615="","",SUMPRODUCT((Sales!$V$7:$V$1506&lt;&gt;"")*(Sales!$E$7:$E$1506&lt;$E615))+1)</f>
        <v/>
      </c>
      <c r="X615" s="49" t="str">
        <f t="shared" si="16"/>
        <v/>
      </c>
      <c r="Y615" s="49" t="str">
        <f t="shared" si="17"/>
        <v/>
      </c>
    </row>
    <row r="616" ht="15.75" customHeight="1">
      <c r="A616" s="82"/>
      <c r="B616" s="83"/>
      <c r="C616" s="83"/>
      <c r="D616" s="83"/>
      <c r="E616" s="83"/>
      <c r="F616" s="83"/>
      <c r="G616" s="83" t="str">
        <f>IF($F616="","",IFERROR(VLOOKUP($F616,Inventory!$A:$B,2,FALSE),""))</f>
        <v/>
      </c>
      <c r="H616" s="83"/>
      <c r="I616" s="84" t="str">
        <f t="shared" si="2"/>
        <v/>
      </c>
      <c r="J616" s="85" t="str">
        <f>IF($F616="","",IFERROR(VLOOKUP($F616,Inventory!$A:$K,11,FALSE),0))</f>
        <v/>
      </c>
      <c r="K616" s="85"/>
      <c r="L616" s="85" t="str">
        <f t="shared" si="12"/>
        <v/>
      </c>
      <c r="M616" s="83"/>
      <c r="N616" s="85" t="str">
        <f>IF($F616="","",IFERROR(VLOOKUP($F616,Inventory!$A:$I,9,FALSE),0))</f>
        <v/>
      </c>
      <c r="O616" s="85" t="str">
        <f t="shared" si="13"/>
        <v/>
      </c>
      <c r="P616" s="85" t="str">
        <f t="shared" si="5"/>
        <v/>
      </c>
      <c r="Q616" s="83"/>
      <c r="R616" s="118" t="str">
        <f>IF($E616="","",IF(COUNTIF($E$7:$E1813,$E616)&gt;1,"",IFERROR(VLOOKUP($E616,Orders!$A:$I,8,FALSE),"")))</f>
        <v/>
      </c>
      <c r="S616" s="118" t="str">
        <f>IF($E616="","",IF(COUNTIF($E$7:$E1813,$E616)&gt;1,"",IFERROR(VLOOKUP($E616,Orders!$A:$I,9,FALSE),"")))</f>
        <v/>
      </c>
      <c r="T616" s="88" t="str">
        <f t="shared" si="14"/>
        <v/>
      </c>
      <c r="U616" s="88" t="str">
        <f>IF($F616="","",IF($E616="",T616,SUMIF(Sales!$E$7:$E$1506,$E616,Sales!$T$7:$T$1506)))</f>
        <v/>
      </c>
      <c r="V616" s="49" t="str">
        <f t="shared" si="15"/>
        <v/>
      </c>
      <c r="W616" s="49" t="str">
        <f t="array" ref="W616">IF($V616="","",SUMPRODUCT((Sales!$V$7:$V$1506&lt;&gt;"")*(Sales!$E$7:$E$1506&lt;$E616))+1)</f>
        <v/>
      </c>
      <c r="X616" s="49" t="str">
        <f t="shared" si="16"/>
        <v/>
      </c>
      <c r="Y616" s="49" t="str">
        <f t="shared" si="17"/>
        <v/>
      </c>
    </row>
    <row r="617" ht="15.75" customHeight="1">
      <c r="A617" s="82"/>
      <c r="B617" s="83"/>
      <c r="C617" s="83"/>
      <c r="D617" s="83"/>
      <c r="E617" s="83"/>
      <c r="F617" s="83"/>
      <c r="G617" s="83" t="str">
        <f>IF($F617="","",IFERROR(VLOOKUP($F617,Inventory!$A:$B,2,FALSE),""))</f>
        <v/>
      </c>
      <c r="H617" s="83"/>
      <c r="I617" s="84" t="str">
        <f t="shared" si="2"/>
        <v/>
      </c>
      <c r="J617" s="85" t="str">
        <f>IF($F617="","",IFERROR(VLOOKUP($F617,Inventory!$A:$K,11,FALSE),0))</f>
        <v/>
      </c>
      <c r="K617" s="85"/>
      <c r="L617" s="85" t="str">
        <f t="shared" si="12"/>
        <v/>
      </c>
      <c r="M617" s="83"/>
      <c r="N617" s="85" t="str">
        <f>IF($F617="","",IFERROR(VLOOKUP($F617,Inventory!$A:$I,9,FALSE),0))</f>
        <v/>
      </c>
      <c r="O617" s="85" t="str">
        <f t="shared" si="13"/>
        <v/>
      </c>
      <c r="P617" s="85" t="str">
        <f t="shared" si="5"/>
        <v/>
      </c>
      <c r="Q617" s="83"/>
      <c r="R617" s="118" t="str">
        <f>IF($E617="","",IF(COUNTIF($E$7:$E1814,$E617)&gt;1,"",IFERROR(VLOOKUP($E617,Orders!$A:$I,8,FALSE),"")))</f>
        <v/>
      </c>
      <c r="S617" s="118" t="str">
        <f>IF($E617="","",IF(COUNTIF($E$7:$E1814,$E617)&gt;1,"",IFERROR(VLOOKUP($E617,Orders!$A:$I,9,FALSE),"")))</f>
        <v/>
      </c>
      <c r="T617" s="88" t="str">
        <f t="shared" si="14"/>
        <v/>
      </c>
      <c r="U617" s="88" t="str">
        <f>IF($F617="","",IF($E617="",T617,SUMIF(Sales!$E$7:$E$1506,$E617,Sales!$T$7:$T$1506)))</f>
        <v/>
      </c>
      <c r="V617" s="49" t="str">
        <f t="shared" si="15"/>
        <v/>
      </c>
      <c r="W617" s="49" t="str">
        <f t="array" ref="W617">IF($V617="","",SUMPRODUCT((Sales!$V$7:$V$1506&lt;&gt;"")*(Sales!$E$7:$E$1506&lt;$E617))+1)</f>
        <v/>
      </c>
      <c r="X617" s="49" t="str">
        <f t="shared" si="16"/>
        <v/>
      </c>
      <c r="Y617" s="49" t="str">
        <f t="shared" si="17"/>
        <v/>
      </c>
    </row>
    <row r="618" ht="15.75" customHeight="1">
      <c r="A618" s="82"/>
      <c r="B618" s="83"/>
      <c r="C618" s="83"/>
      <c r="D618" s="83"/>
      <c r="E618" s="83"/>
      <c r="F618" s="83"/>
      <c r="G618" s="83" t="str">
        <f>IF($F618="","",IFERROR(VLOOKUP($F618,Inventory!$A:$B,2,FALSE),""))</f>
        <v/>
      </c>
      <c r="H618" s="83"/>
      <c r="I618" s="84" t="str">
        <f t="shared" si="2"/>
        <v/>
      </c>
      <c r="J618" s="85" t="str">
        <f>IF($F618="","",IFERROR(VLOOKUP($F618,Inventory!$A:$K,11,FALSE),0))</f>
        <v/>
      </c>
      <c r="K618" s="85"/>
      <c r="L618" s="85" t="str">
        <f t="shared" si="12"/>
        <v/>
      </c>
      <c r="M618" s="83"/>
      <c r="N618" s="85" t="str">
        <f>IF($F618="","",IFERROR(VLOOKUP($F618,Inventory!$A:$I,9,FALSE),0))</f>
        <v/>
      </c>
      <c r="O618" s="85" t="str">
        <f t="shared" si="13"/>
        <v/>
      </c>
      <c r="P618" s="85" t="str">
        <f t="shared" si="5"/>
        <v/>
      </c>
      <c r="Q618" s="83"/>
      <c r="R618" s="118" t="str">
        <f>IF($E618="","",IF(COUNTIF($E$7:$E1815,$E618)&gt;1,"",IFERROR(VLOOKUP($E618,Orders!$A:$I,8,FALSE),"")))</f>
        <v/>
      </c>
      <c r="S618" s="118" t="str">
        <f>IF($E618="","",IF(COUNTIF($E$7:$E1815,$E618)&gt;1,"",IFERROR(VLOOKUP($E618,Orders!$A:$I,9,FALSE),"")))</f>
        <v/>
      </c>
      <c r="T618" s="88" t="str">
        <f t="shared" si="14"/>
        <v/>
      </c>
      <c r="U618" s="88" t="str">
        <f>IF($F618="","",IF($E618="",T618,SUMIF(Sales!$E$7:$E$1506,$E618,Sales!$T$7:$T$1506)))</f>
        <v/>
      </c>
      <c r="V618" s="49" t="str">
        <f t="shared" si="15"/>
        <v/>
      </c>
      <c r="W618" s="49" t="str">
        <f t="array" ref="W618">IF($V618="","",SUMPRODUCT((Sales!$V$7:$V$1506&lt;&gt;"")*(Sales!$E$7:$E$1506&lt;$E618))+1)</f>
        <v/>
      </c>
      <c r="X618" s="49" t="str">
        <f t="shared" si="16"/>
        <v/>
      </c>
      <c r="Y618" s="49" t="str">
        <f t="shared" si="17"/>
        <v/>
      </c>
    </row>
    <row r="619" ht="15.75" customHeight="1">
      <c r="A619" s="82"/>
      <c r="B619" s="83"/>
      <c r="C619" s="83"/>
      <c r="D619" s="83"/>
      <c r="E619" s="83"/>
      <c r="F619" s="83"/>
      <c r="G619" s="83" t="str">
        <f>IF($F619="","",IFERROR(VLOOKUP($F619,Inventory!$A:$B,2,FALSE),""))</f>
        <v/>
      </c>
      <c r="H619" s="83"/>
      <c r="I619" s="84" t="str">
        <f t="shared" si="2"/>
        <v/>
      </c>
      <c r="J619" s="85" t="str">
        <f>IF($F619="","",IFERROR(VLOOKUP($F619,Inventory!$A:$K,11,FALSE),0))</f>
        <v/>
      </c>
      <c r="K619" s="85"/>
      <c r="L619" s="85" t="str">
        <f t="shared" si="12"/>
        <v/>
      </c>
      <c r="M619" s="83"/>
      <c r="N619" s="85" t="str">
        <f>IF($F619="","",IFERROR(VLOOKUP($F619,Inventory!$A:$I,9,FALSE),0))</f>
        <v/>
      </c>
      <c r="O619" s="85" t="str">
        <f t="shared" si="13"/>
        <v/>
      </c>
      <c r="P619" s="85" t="str">
        <f t="shared" si="5"/>
        <v/>
      </c>
      <c r="Q619" s="83"/>
      <c r="R619" s="118" t="str">
        <f>IF($E619="","",IF(COUNTIF($E$7:$E1816,$E619)&gt;1,"",IFERROR(VLOOKUP($E619,Orders!$A:$I,8,FALSE),"")))</f>
        <v/>
      </c>
      <c r="S619" s="118" t="str">
        <f>IF($E619="","",IF(COUNTIF($E$7:$E1816,$E619)&gt;1,"",IFERROR(VLOOKUP($E619,Orders!$A:$I,9,FALSE),"")))</f>
        <v/>
      </c>
      <c r="T619" s="88" t="str">
        <f t="shared" si="14"/>
        <v/>
      </c>
      <c r="U619" s="88" t="str">
        <f>IF($F619="","",IF($E619="",T619,SUMIF(Sales!$E$7:$E$1506,$E619,Sales!$T$7:$T$1506)))</f>
        <v/>
      </c>
      <c r="V619" s="49" t="str">
        <f t="shared" si="15"/>
        <v/>
      </c>
      <c r="W619" s="49" t="str">
        <f t="array" ref="W619">IF($V619="","",SUMPRODUCT((Sales!$V$7:$V$1506&lt;&gt;"")*(Sales!$E$7:$E$1506&lt;$E619))+1)</f>
        <v/>
      </c>
      <c r="X619" s="49" t="str">
        <f t="shared" si="16"/>
        <v/>
      </c>
      <c r="Y619" s="49" t="str">
        <f t="shared" si="17"/>
        <v/>
      </c>
    </row>
    <row r="620" ht="15.75" customHeight="1">
      <c r="A620" s="82"/>
      <c r="B620" s="83"/>
      <c r="C620" s="83"/>
      <c r="D620" s="83"/>
      <c r="E620" s="83"/>
      <c r="F620" s="83"/>
      <c r="G620" s="83" t="str">
        <f>IF($F620="","",IFERROR(VLOOKUP($F620,Inventory!$A:$B,2,FALSE),""))</f>
        <v/>
      </c>
      <c r="H620" s="83"/>
      <c r="I620" s="84" t="str">
        <f t="shared" si="2"/>
        <v/>
      </c>
      <c r="J620" s="85" t="str">
        <f>IF($F620="","",IFERROR(VLOOKUP($F620,Inventory!$A:$K,11,FALSE),0))</f>
        <v/>
      </c>
      <c r="K620" s="85"/>
      <c r="L620" s="85" t="str">
        <f t="shared" si="12"/>
        <v/>
      </c>
      <c r="M620" s="83"/>
      <c r="N620" s="85" t="str">
        <f>IF($F620="","",IFERROR(VLOOKUP($F620,Inventory!$A:$I,9,FALSE),0))</f>
        <v/>
      </c>
      <c r="O620" s="85" t="str">
        <f t="shared" si="13"/>
        <v/>
      </c>
      <c r="P620" s="85" t="str">
        <f t="shared" si="5"/>
        <v/>
      </c>
      <c r="Q620" s="83"/>
      <c r="R620" s="118" t="str">
        <f>IF($E620="","",IF(COUNTIF($E$7:$E1817,$E620)&gt;1,"",IFERROR(VLOOKUP($E620,Orders!$A:$I,8,FALSE),"")))</f>
        <v/>
      </c>
      <c r="S620" s="118" t="str">
        <f>IF($E620="","",IF(COUNTIF($E$7:$E1817,$E620)&gt;1,"",IFERROR(VLOOKUP($E620,Orders!$A:$I,9,FALSE),"")))</f>
        <v/>
      </c>
      <c r="T620" s="88" t="str">
        <f t="shared" si="14"/>
        <v/>
      </c>
      <c r="U620" s="88" t="str">
        <f>IF($F620="","",IF($E620="",T620,SUMIF(Sales!$E$7:$E$1506,$E620,Sales!$T$7:$T$1506)))</f>
        <v/>
      </c>
      <c r="V620" s="49" t="str">
        <f t="shared" si="15"/>
        <v/>
      </c>
      <c r="W620" s="49" t="str">
        <f t="array" ref="W620">IF($V620="","",SUMPRODUCT((Sales!$V$7:$V$1506&lt;&gt;"")*(Sales!$E$7:$E$1506&lt;$E620))+1)</f>
        <v/>
      </c>
      <c r="X620" s="49" t="str">
        <f t="shared" si="16"/>
        <v/>
      </c>
      <c r="Y620" s="49" t="str">
        <f t="shared" si="17"/>
        <v/>
      </c>
    </row>
    <row r="621" ht="15.75" customHeight="1">
      <c r="A621" s="82"/>
      <c r="B621" s="83"/>
      <c r="C621" s="83"/>
      <c r="D621" s="83"/>
      <c r="E621" s="83"/>
      <c r="F621" s="83"/>
      <c r="G621" s="83" t="str">
        <f>IF($F621="","",IFERROR(VLOOKUP($F621,Inventory!$A:$B,2,FALSE),""))</f>
        <v/>
      </c>
      <c r="H621" s="83"/>
      <c r="I621" s="84" t="str">
        <f t="shared" si="2"/>
        <v/>
      </c>
      <c r="J621" s="85" t="str">
        <f>IF($F621="","",IFERROR(VLOOKUP($F621,Inventory!$A:$K,11,FALSE),0))</f>
        <v/>
      </c>
      <c r="K621" s="85"/>
      <c r="L621" s="85" t="str">
        <f t="shared" si="12"/>
        <v/>
      </c>
      <c r="M621" s="83"/>
      <c r="N621" s="85" t="str">
        <f>IF($F621="","",IFERROR(VLOOKUP($F621,Inventory!$A:$I,9,FALSE),0))</f>
        <v/>
      </c>
      <c r="O621" s="85" t="str">
        <f t="shared" si="13"/>
        <v/>
      </c>
      <c r="P621" s="85" t="str">
        <f t="shared" si="5"/>
        <v/>
      </c>
      <c r="Q621" s="83"/>
      <c r="R621" s="118" t="str">
        <f>IF($E621="","",IF(COUNTIF($E$7:$E1818,$E621)&gt;1,"",IFERROR(VLOOKUP($E621,Orders!$A:$I,8,FALSE),"")))</f>
        <v/>
      </c>
      <c r="S621" s="118" t="str">
        <f>IF($E621="","",IF(COUNTIF($E$7:$E1818,$E621)&gt;1,"",IFERROR(VLOOKUP($E621,Orders!$A:$I,9,FALSE),"")))</f>
        <v/>
      </c>
      <c r="T621" s="88" t="str">
        <f t="shared" si="14"/>
        <v/>
      </c>
      <c r="U621" s="88" t="str">
        <f>IF($F621="","",IF($E621="",T621,SUMIF(Sales!$E$7:$E$1506,$E621,Sales!$T$7:$T$1506)))</f>
        <v/>
      </c>
      <c r="V621" s="49" t="str">
        <f t="shared" si="15"/>
        <v/>
      </c>
      <c r="W621" s="49" t="str">
        <f t="array" ref="W621">IF($V621="","",SUMPRODUCT((Sales!$V$7:$V$1506&lt;&gt;"")*(Sales!$E$7:$E$1506&lt;$E621))+1)</f>
        <v/>
      </c>
      <c r="X621" s="49" t="str">
        <f t="shared" si="16"/>
        <v/>
      </c>
      <c r="Y621" s="49" t="str">
        <f t="shared" si="17"/>
        <v/>
      </c>
    </row>
    <row r="622" ht="15.75" customHeight="1">
      <c r="A622" s="82"/>
      <c r="B622" s="83"/>
      <c r="C622" s="83"/>
      <c r="D622" s="83"/>
      <c r="E622" s="83"/>
      <c r="F622" s="83"/>
      <c r="G622" s="83" t="str">
        <f>IF($F622="","",IFERROR(VLOOKUP($F622,Inventory!$A:$B,2,FALSE),""))</f>
        <v/>
      </c>
      <c r="H622" s="83"/>
      <c r="I622" s="84" t="str">
        <f t="shared" si="2"/>
        <v/>
      </c>
      <c r="J622" s="85" t="str">
        <f>IF($F622="","",IFERROR(VLOOKUP($F622,Inventory!$A:$K,11,FALSE),0))</f>
        <v/>
      </c>
      <c r="K622" s="85"/>
      <c r="L622" s="85" t="str">
        <f t="shared" si="12"/>
        <v/>
      </c>
      <c r="M622" s="83"/>
      <c r="N622" s="85" t="str">
        <f>IF($F622="","",IFERROR(VLOOKUP($F622,Inventory!$A:$I,9,FALSE),0))</f>
        <v/>
      </c>
      <c r="O622" s="85" t="str">
        <f t="shared" si="13"/>
        <v/>
      </c>
      <c r="P622" s="85" t="str">
        <f t="shared" si="5"/>
        <v/>
      </c>
      <c r="Q622" s="83"/>
      <c r="R622" s="118" t="str">
        <f>IF($E622="","",IF(COUNTIF($E$7:$E1819,$E622)&gt;1,"",IFERROR(VLOOKUP($E622,Orders!$A:$I,8,FALSE),"")))</f>
        <v/>
      </c>
      <c r="S622" s="118" t="str">
        <f>IF($E622="","",IF(COUNTIF($E$7:$E1819,$E622)&gt;1,"",IFERROR(VLOOKUP($E622,Orders!$A:$I,9,FALSE),"")))</f>
        <v/>
      </c>
      <c r="T622" s="88" t="str">
        <f t="shared" si="14"/>
        <v/>
      </c>
      <c r="U622" s="88" t="str">
        <f>IF($F622="","",IF($E622="",T622,SUMIF(Sales!$E$7:$E$1506,$E622,Sales!$T$7:$T$1506)))</f>
        <v/>
      </c>
      <c r="V622" s="49" t="str">
        <f t="shared" si="15"/>
        <v/>
      </c>
      <c r="W622" s="49" t="str">
        <f t="array" ref="W622">IF($V622="","",SUMPRODUCT((Sales!$V$7:$V$1506&lt;&gt;"")*(Sales!$E$7:$E$1506&lt;$E622))+1)</f>
        <v/>
      </c>
      <c r="X622" s="49" t="str">
        <f t="shared" si="16"/>
        <v/>
      </c>
      <c r="Y622" s="49" t="str">
        <f t="shared" si="17"/>
        <v/>
      </c>
    </row>
    <row r="623" ht="15.75" customHeight="1">
      <c r="A623" s="82"/>
      <c r="B623" s="83"/>
      <c r="C623" s="83"/>
      <c r="D623" s="83"/>
      <c r="E623" s="83"/>
      <c r="F623" s="83"/>
      <c r="G623" s="83" t="str">
        <f>IF($F623="","",IFERROR(VLOOKUP($F623,Inventory!$A:$B,2,FALSE),""))</f>
        <v/>
      </c>
      <c r="H623" s="83"/>
      <c r="I623" s="84" t="str">
        <f t="shared" si="2"/>
        <v/>
      </c>
      <c r="J623" s="85" t="str">
        <f>IF($F623="","",IFERROR(VLOOKUP($F623,Inventory!$A:$K,11,FALSE),0))</f>
        <v/>
      </c>
      <c r="K623" s="85"/>
      <c r="L623" s="85" t="str">
        <f t="shared" si="12"/>
        <v/>
      </c>
      <c r="M623" s="83"/>
      <c r="N623" s="85" t="str">
        <f>IF($F623="","",IFERROR(VLOOKUP($F623,Inventory!$A:$I,9,FALSE),0))</f>
        <v/>
      </c>
      <c r="O623" s="85" t="str">
        <f t="shared" si="13"/>
        <v/>
      </c>
      <c r="P623" s="85" t="str">
        <f t="shared" si="5"/>
        <v/>
      </c>
      <c r="Q623" s="83"/>
      <c r="R623" s="118" t="str">
        <f>IF($E623="","",IF(COUNTIF($E$7:$E1820,$E623)&gt;1,"",IFERROR(VLOOKUP($E623,Orders!$A:$I,8,FALSE),"")))</f>
        <v/>
      </c>
      <c r="S623" s="118" t="str">
        <f>IF($E623="","",IF(COUNTIF($E$7:$E1820,$E623)&gt;1,"",IFERROR(VLOOKUP($E623,Orders!$A:$I,9,FALSE),"")))</f>
        <v/>
      </c>
      <c r="T623" s="88" t="str">
        <f t="shared" si="14"/>
        <v/>
      </c>
      <c r="U623" s="88" t="str">
        <f>IF($F623="","",IF($E623="",T623,SUMIF(Sales!$E$7:$E$1506,$E623,Sales!$T$7:$T$1506)))</f>
        <v/>
      </c>
      <c r="V623" s="49" t="str">
        <f t="shared" si="15"/>
        <v/>
      </c>
      <c r="W623" s="49" t="str">
        <f t="array" ref="W623">IF($V623="","",SUMPRODUCT((Sales!$V$7:$V$1506&lt;&gt;"")*(Sales!$E$7:$E$1506&lt;$E623))+1)</f>
        <v/>
      </c>
      <c r="X623" s="49" t="str">
        <f t="shared" si="16"/>
        <v/>
      </c>
      <c r="Y623" s="49" t="str">
        <f t="shared" si="17"/>
        <v/>
      </c>
    </row>
    <row r="624" ht="15.75" customHeight="1">
      <c r="A624" s="82"/>
      <c r="B624" s="83"/>
      <c r="C624" s="83"/>
      <c r="D624" s="83"/>
      <c r="E624" s="83"/>
      <c r="F624" s="83"/>
      <c r="G624" s="83" t="str">
        <f>IF($F624="","",IFERROR(VLOOKUP($F624,Inventory!$A:$B,2,FALSE),""))</f>
        <v/>
      </c>
      <c r="H624" s="83"/>
      <c r="I624" s="84" t="str">
        <f t="shared" si="2"/>
        <v/>
      </c>
      <c r="J624" s="85" t="str">
        <f>IF($F624="","",IFERROR(VLOOKUP($F624,Inventory!$A:$K,11,FALSE),0))</f>
        <v/>
      </c>
      <c r="K624" s="85"/>
      <c r="L624" s="85" t="str">
        <f t="shared" si="12"/>
        <v/>
      </c>
      <c r="M624" s="83"/>
      <c r="N624" s="85" t="str">
        <f>IF($F624="","",IFERROR(VLOOKUP($F624,Inventory!$A:$I,9,FALSE),0))</f>
        <v/>
      </c>
      <c r="O624" s="85" t="str">
        <f t="shared" si="13"/>
        <v/>
      </c>
      <c r="P624" s="85" t="str">
        <f t="shared" si="5"/>
        <v/>
      </c>
      <c r="Q624" s="83"/>
      <c r="R624" s="118" t="str">
        <f>IF($E624="","",IF(COUNTIF($E$7:$E1821,$E624)&gt;1,"",IFERROR(VLOOKUP($E624,Orders!$A:$I,8,FALSE),"")))</f>
        <v/>
      </c>
      <c r="S624" s="118" t="str">
        <f>IF($E624="","",IF(COUNTIF($E$7:$E1821,$E624)&gt;1,"",IFERROR(VLOOKUP($E624,Orders!$A:$I,9,FALSE),"")))</f>
        <v/>
      </c>
      <c r="T624" s="88" t="str">
        <f t="shared" si="14"/>
        <v/>
      </c>
      <c r="U624" s="88" t="str">
        <f>IF($F624="","",IF($E624="",T624,SUMIF(Sales!$E$7:$E$1506,$E624,Sales!$T$7:$T$1506)))</f>
        <v/>
      </c>
      <c r="V624" s="49" t="str">
        <f t="shared" si="15"/>
        <v/>
      </c>
      <c r="W624" s="49" t="str">
        <f t="array" ref="W624">IF($V624="","",SUMPRODUCT((Sales!$V$7:$V$1506&lt;&gt;"")*(Sales!$E$7:$E$1506&lt;$E624))+1)</f>
        <v/>
      </c>
      <c r="X624" s="49" t="str">
        <f t="shared" si="16"/>
        <v/>
      </c>
      <c r="Y624" s="49" t="str">
        <f t="shared" si="17"/>
        <v/>
      </c>
    </row>
    <row r="625" ht="15.75" customHeight="1">
      <c r="A625" s="82"/>
      <c r="B625" s="83"/>
      <c r="C625" s="83"/>
      <c r="D625" s="83"/>
      <c r="E625" s="83"/>
      <c r="F625" s="83"/>
      <c r="G625" s="83" t="str">
        <f>IF($F625="","",IFERROR(VLOOKUP($F625,Inventory!$A:$B,2,FALSE),""))</f>
        <v/>
      </c>
      <c r="H625" s="83"/>
      <c r="I625" s="84" t="str">
        <f t="shared" si="2"/>
        <v/>
      </c>
      <c r="J625" s="85" t="str">
        <f>IF($F625="","",IFERROR(VLOOKUP($F625,Inventory!$A:$K,11,FALSE),0))</f>
        <v/>
      </c>
      <c r="K625" s="85"/>
      <c r="L625" s="85" t="str">
        <f t="shared" si="12"/>
        <v/>
      </c>
      <c r="M625" s="83"/>
      <c r="N625" s="85" t="str">
        <f>IF($F625="","",IFERROR(VLOOKUP($F625,Inventory!$A:$I,9,FALSE),0))</f>
        <v/>
      </c>
      <c r="O625" s="85" t="str">
        <f t="shared" si="13"/>
        <v/>
      </c>
      <c r="P625" s="85" t="str">
        <f t="shared" si="5"/>
        <v/>
      </c>
      <c r="Q625" s="83"/>
      <c r="R625" s="118" t="str">
        <f>IF($E625="","",IF(COUNTIF($E$7:$E1822,$E625)&gt;1,"",IFERROR(VLOOKUP($E625,Orders!$A:$I,8,FALSE),"")))</f>
        <v/>
      </c>
      <c r="S625" s="118" t="str">
        <f>IF($E625="","",IF(COUNTIF($E$7:$E1822,$E625)&gt;1,"",IFERROR(VLOOKUP($E625,Orders!$A:$I,9,FALSE),"")))</f>
        <v/>
      </c>
      <c r="T625" s="88" t="str">
        <f t="shared" si="14"/>
        <v/>
      </c>
      <c r="U625" s="88" t="str">
        <f>IF($F625="","",IF($E625="",T625,SUMIF(Sales!$E$7:$E$1506,$E625,Sales!$T$7:$T$1506)))</f>
        <v/>
      </c>
      <c r="V625" s="49" t="str">
        <f t="shared" si="15"/>
        <v/>
      </c>
      <c r="W625" s="49" t="str">
        <f t="array" ref="W625">IF($V625="","",SUMPRODUCT((Sales!$V$7:$V$1506&lt;&gt;"")*(Sales!$E$7:$E$1506&lt;$E625))+1)</f>
        <v/>
      </c>
      <c r="X625" s="49" t="str">
        <f t="shared" si="16"/>
        <v/>
      </c>
      <c r="Y625" s="49" t="str">
        <f t="shared" si="17"/>
        <v/>
      </c>
    </row>
    <row r="626" ht="15.75" customHeight="1">
      <c r="A626" s="82"/>
      <c r="B626" s="83"/>
      <c r="C626" s="83"/>
      <c r="D626" s="83"/>
      <c r="E626" s="83"/>
      <c r="F626" s="83"/>
      <c r="G626" s="83" t="str">
        <f>IF($F626="","",IFERROR(VLOOKUP($F626,Inventory!$A:$B,2,FALSE),""))</f>
        <v/>
      </c>
      <c r="H626" s="83"/>
      <c r="I626" s="84" t="str">
        <f t="shared" si="2"/>
        <v/>
      </c>
      <c r="J626" s="85" t="str">
        <f>IF($F626="","",IFERROR(VLOOKUP($F626,Inventory!$A:$K,11,FALSE),0))</f>
        <v/>
      </c>
      <c r="K626" s="85"/>
      <c r="L626" s="85" t="str">
        <f t="shared" si="12"/>
        <v/>
      </c>
      <c r="M626" s="83"/>
      <c r="N626" s="85" t="str">
        <f>IF($F626="","",IFERROR(VLOOKUP($F626,Inventory!$A:$I,9,FALSE),0))</f>
        <v/>
      </c>
      <c r="O626" s="85" t="str">
        <f t="shared" si="13"/>
        <v/>
      </c>
      <c r="P626" s="85" t="str">
        <f t="shared" si="5"/>
        <v/>
      </c>
      <c r="Q626" s="83"/>
      <c r="R626" s="118" t="str">
        <f>IF($E626="","",IF(COUNTIF($E$7:$E1823,$E626)&gt;1,"",IFERROR(VLOOKUP($E626,Orders!$A:$I,8,FALSE),"")))</f>
        <v/>
      </c>
      <c r="S626" s="118" t="str">
        <f>IF($E626="","",IF(COUNTIF($E$7:$E1823,$E626)&gt;1,"",IFERROR(VLOOKUP($E626,Orders!$A:$I,9,FALSE),"")))</f>
        <v/>
      </c>
      <c r="T626" s="88" t="str">
        <f t="shared" si="14"/>
        <v/>
      </c>
      <c r="U626" s="88" t="str">
        <f>IF($F626="","",IF($E626="",T626,SUMIF(Sales!$E$7:$E$1506,$E626,Sales!$T$7:$T$1506)))</f>
        <v/>
      </c>
      <c r="V626" s="49" t="str">
        <f t="shared" si="15"/>
        <v/>
      </c>
      <c r="W626" s="49" t="str">
        <f t="array" ref="W626">IF($V626="","",SUMPRODUCT((Sales!$V$7:$V$1506&lt;&gt;"")*(Sales!$E$7:$E$1506&lt;$E626))+1)</f>
        <v/>
      </c>
      <c r="X626" s="49" t="str">
        <f t="shared" si="16"/>
        <v/>
      </c>
      <c r="Y626" s="49" t="str">
        <f t="shared" si="17"/>
        <v/>
      </c>
    </row>
    <row r="627" ht="15.75" customHeight="1">
      <c r="A627" s="82"/>
      <c r="B627" s="83"/>
      <c r="C627" s="83"/>
      <c r="D627" s="83"/>
      <c r="E627" s="83"/>
      <c r="F627" s="83"/>
      <c r="G627" s="83" t="str">
        <f>IF($F627="","",IFERROR(VLOOKUP($F627,Inventory!$A:$B,2,FALSE),""))</f>
        <v/>
      </c>
      <c r="H627" s="83"/>
      <c r="I627" s="84" t="str">
        <f t="shared" si="2"/>
        <v/>
      </c>
      <c r="J627" s="85" t="str">
        <f>IF($F627="","",IFERROR(VLOOKUP($F627,Inventory!$A:$K,11,FALSE),0))</f>
        <v/>
      </c>
      <c r="K627" s="85"/>
      <c r="L627" s="85" t="str">
        <f t="shared" si="12"/>
        <v/>
      </c>
      <c r="M627" s="83"/>
      <c r="N627" s="85" t="str">
        <f>IF($F627="","",IFERROR(VLOOKUP($F627,Inventory!$A:$I,9,FALSE),0))</f>
        <v/>
      </c>
      <c r="O627" s="85" t="str">
        <f t="shared" si="13"/>
        <v/>
      </c>
      <c r="P627" s="85" t="str">
        <f t="shared" si="5"/>
        <v/>
      </c>
      <c r="Q627" s="83"/>
      <c r="R627" s="118" t="str">
        <f>IF($E627="","",IF(COUNTIF($E$7:$E1824,$E627)&gt;1,"",IFERROR(VLOOKUP($E627,Orders!$A:$I,8,FALSE),"")))</f>
        <v/>
      </c>
      <c r="S627" s="118" t="str">
        <f>IF($E627="","",IF(COUNTIF($E$7:$E1824,$E627)&gt;1,"",IFERROR(VLOOKUP($E627,Orders!$A:$I,9,FALSE),"")))</f>
        <v/>
      </c>
      <c r="T627" s="88" t="str">
        <f t="shared" si="14"/>
        <v/>
      </c>
      <c r="U627" s="88" t="str">
        <f>IF($F627="","",IF($E627="",T627,SUMIF(Sales!$E$7:$E$1506,$E627,Sales!$T$7:$T$1506)))</f>
        <v/>
      </c>
      <c r="V627" s="49" t="str">
        <f t="shared" si="15"/>
        <v/>
      </c>
      <c r="W627" s="49" t="str">
        <f t="array" ref="W627">IF($V627="","",SUMPRODUCT((Sales!$V$7:$V$1506&lt;&gt;"")*(Sales!$E$7:$E$1506&lt;$E627))+1)</f>
        <v/>
      </c>
      <c r="X627" s="49" t="str">
        <f t="shared" si="16"/>
        <v/>
      </c>
      <c r="Y627" s="49" t="str">
        <f t="shared" si="17"/>
        <v/>
      </c>
    </row>
    <row r="628" ht="15.75" customHeight="1">
      <c r="A628" s="82"/>
      <c r="B628" s="83"/>
      <c r="C628" s="83"/>
      <c r="D628" s="83"/>
      <c r="E628" s="83"/>
      <c r="F628" s="83"/>
      <c r="G628" s="83" t="str">
        <f>IF($F628="","",IFERROR(VLOOKUP($F628,Inventory!$A:$B,2,FALSE),""))</f>
        <v/>
      </c>
      <c r="H628" s="83"/>
      <c r="I628" s="84" t="str">
        <f t="shared" si="2"/>
        <v/>
      </c>
      <c r="J628" s="85" t="str">
        <f>IF($F628="","",IFERROR(VLOOKUP($F628,Inventory!$A:$K,11,FALSE),0))</f>
        <v/>
      </c>
      <c r="K628" s="85"/>
      <c r="L628" s="85" t="str">
        <f t="shared" si="12"/>
        <v/>
      </c>
      <c r="M628" s="83"/>
      <c r="N628" s="85" t="str">
        <f>IF($F628="","",IFERROR(VLOOKUP($F628,Inventory!$A:$I,9,FALSE),0))</f>
        <v/>
      </c>
      <c r="O628" s="85" t="str">
        <f t="shared" si="13"/>
        <v/>
      </c>
      <c r="P628" s="85" t="str">
        <f t="shared" si="5"/>
        <v/>
      </c>
      <c r="Q628" s="83"/>
      <c r="R628" s="118" t="str">
        <f>IF($E628="","",IF(COUNTIF($E$7:$E1825,$E628)&gt;1,"",IFERROR(VLOOKUP($E628,Orders!$A:$I,8,FALSE),"")))</f>
        <v/>
      </c>
      <c r="S628" s="118" t="str">
        <f>IF($E628="","",IF(COUNTIF($E$7:$E1825,$E628)&gt;1,"",IFERROR(VLOOKUP($E628,Orders!$A:$I,9,FALSE),"")))</f>
        <v/>
      </c>
      <c r="T628" s="88" t="str">
        <f t="shared" si="14"/>
        <v/>
      </c>
      <c r="U628" s="88" t="str">
        <f>IF($F628="","",IF($E628="",T628,SUMIF(Sales!$E$7:$E$1506,$E628,Sales!$T$7:$T$1506)))</f>
        <v/>
      </c>
      <c r="V628" s="49" t="str">
        <f t="shared" si="15"/>
        <v/>
      </c>
      <c r="W628" s="49" t="str">
        <f t="array" ref="W628">IF($V628="","",SUMPRODUCT((Sales!$V$7:$V$1506&lt;&gt;"")*(Sales!$E$7:$E$1506&lt;$E628))+1)</f>
        <v/>
      </c>
      <c r="X628" s="49" t="str">
        <f t="shared" si="16"/>
        <v/>
      </c>
      <c r="Y628" s="49" t="str">
        <f t="shared" si="17"/>
        <v/>
      </c>
    </row>
    <row r="629" ht="15.75" customHeight="1">
      <c r="A629" s="82"/>
      <c r="B629" s="83"/>
      <c r="C629" s="83"/>
      <c r="D629" s="83"/>
      <c r="E629" s="83"/>
      <c r="F629" s="83"/>
      <c r="G629" s="83" t="str">
        <f>IF($F629="","",IFERROR(VLOOKUP($F629,Inventory!$A:$B,2,FALSE),""))</f>
        <v/>
      </c>
      <c r="H629" s="83"/>
      <c r="I629" s="84" t="str">
        <f t="shared" si="2"/>
        <v/>
      </c>
      <c r="J629" s="85" t="str">
        <f>IF($F629="","",IFERROR(VLOOKUP($F629,Inventory!$A:$K,11,FALSE),0))</f>
        <v/>
      </c>
      <c r="K629" s="85"/>
      <c r="L629" s="85" t="str">
        <f t="shared" si="12"/>
        <v/>
      </c>
      <c r="M629" s="83"/>
      <c r="N629" s="85" t="str">
        <f>IF($F629="","",IFERROR(VLOOKUP($F629,Inventory!$A:$I,9,FALSE),0))</f>
        <v/>
      </c>
      <c r="O629" s="85" t="str">
        <f t="shared" si="13"/>
        <v/>
      </c>
      <c r="P629" s="85" t="str">
        <f t="shared" si="5"/>
        <v/>
      </c>
      <c r="Q629" s="83"/>
      <c r="R629" s="118" t="str">
        <f>IF($E629="","",IF(COUNTIF($E$7:$E1826,$E629)&gt;1,"",IFERROR(VLOOKUP($E629,Orders!$A:$I,8,FALSE),"")))</f>
        <v/>
      </c>
      <c r="S629" s="118" t="str">
        <f>IF($E629="","",IF(COUNTIF($E$7:$E1826,$E629)&gt;1,"",IFERROR(VLOOKUP($E629,Orders!$A:$I,9,FALSE),"")))</f>
        <v/>
      </c>
      <c r="T629" s="88" t="str">
        <f t="shared" si="14"/>
        <v/>
      </c>
      <c r="U629" s="88" t="str">
        <f>IF($F629="","",IF($E629="",T629,SUMIF(Sales!$E$7:$E$1506,$E629,Sales!$T$7:$T$1506)))</f>
        <v/>
      </c>
      <c r="V629" s="49" t="str">
        <f t="shared" si="15"/>
        <v/>
      </c>
      <c r="W629" s="49" t="str">
        <f t="array" ref="W629">IF($V629="","",SUMPRODUCT((Sales!$V$7:$V$1506&lt;&gt;"")*(Sales!$E$7:$E$1506&lt;$E629))+1)</f>
        <v/>
      </c>
      <c r="X629" s="49" t="str">
        <f t="shared" si="16"/>
        <v/>
      </c>
      <c r="Y629" s="49" t="str">
        <f t="shared" si="17"/>
        <v/>
      </c>
    </row>
    <row r="630" ht="15.75" customHeight="1">
      <c r="A630" s="82"/>
      <c r="B630" s="83"/>
      <c r="C630" s="83"/>
      <c r="D630" s="83"/>
      <c r="E630" s="83"/>
      <c r="F630" s="83"/>
      <c r="G630" s="83" t="str">
        <f>IF($F630="","",IFERROR(VLOOKUP($F630,Inventory!$A:$B,2,FALSE),""))</f>
        <v/>
      </c>
      <c r="H630" s="83"/>
      <c r="I630" s="84" t="str">
        <f t="shared" si="2"/>
        <v/>
      </c>
      <c r="J630" s="85" t="str">
        <f>IF($F630="","",IFERROR(VLOOKUP($F630,Inventory!$A:$K,11,FALSE),0))</f>
        <v/>
      </c>
      <c r="K630" s="85"/>
      <c r="L630" s="85" t="str">
        <f t="shared" si="12"/>
        <v/>
      </c>
      <c r="M630" s="83"/>
      <c r="N630" s="85" t="str">
        <f>IF($F630="","",IFERROR(VLOOKUP($F630,Inventory!$A:$I,9,FALSE),0))</f>
        <v/>
      </c>
      <c r="O630" s="85" t="str">
        <f t="shared" si="13"/>
        <v/>
      </c>
      <c r="P630" s="85" t="str">
        <f t="shared" si="5"/>
        <v/>
      </c>
      <c r="Q630" s="83"/>
      <c r="R630" s="118" t="str">
        <f>IF($E630="","",IF(COUNTIF($E$7:$E1827,$E630)&gt;1,"",IFERROR(VLOOKUP($E630,Orders!$A:$I,8,FALSE),"")))</f>
        <v/>
      </c>
      <c r="S630" s="118" t="str">
        <f>IF($E630="","",IF(COUNTIF($E$7:$E1827,$E630)&gt;1,"",IFERROR(VLOOKUP($E630,Orders!$A:$I,9,FALSE),"")))</f>
        <v/>
      </c>
      <c r="T630" s="88" t="str">
        <f t="shared" si="14"/>
        <v/>
      </c>
      <c r="U630" s="88" t="str">
        <f>IF($F630="","",IF($E630="",T630,SUMIF(Sales!$E$7:$E$1506,$E630,Sales!$T$7:$T$1506)))</f>
        <v/>
      </c>
      <c r="V630" s="49" t="str">
        <f t="shared" si="15"/>
        <v/>
      </c>
      <c r="W630" s="49" t="str">
        <f t="array" ref="W630">IF($V630="","",SUMPRODUCT((Sales!$V$7:$V$1506&lt;&gt;"")*(Sales!$E$7:$E$1506&lt;$E630))+1)</f>
        <v/>
      </c>
      <c r="X630" s="49" t="str">
        <f t="shared" si="16"/>
        <v/>
      </c>
      <c r="Y630" s="49" t="str">
        <f t="shared" si="17"/>
        <v/>
      </c>
    </row>
    <row r="631" ht="15.75" customHeight="1">
      <c r="A631" s="82"/>
      <c r="B631" s="83"/>
      <c r="C631" s="83"/>
      <c r="D631" s="83"/>
      <c r="E631" s="83"/>
      <c r="F631" s="83"/>
      <c r="G631" s="83" t="str">
        <f>IF($F631="","",IFERROR(VLOOKUP($F631,Inventory!$A:$B,2,FALSE),""))</f>
        <v/>
      </c>
      <c r="H631" s="83"/>
      <c r="I631" s="84" t="str">
        <f t="shared" si="2"/>
        <v/>
      </c>
      <c r="J631" s="85" t="str">
        <f>IF($F631="","",IFERROR(VLOOKUP($F631,Inventory!$A:$K,11,FALSE),0))</f>
        <v/>
      </c>
      <c r="K631" s="85"/>
      <c r="L631" s="85" t="str">
        <f t="shared" si="12"/>
        <v/>
      </c>
      <c r="M631" s="83"/>
      <c r="N631" s="85" t="str">
        <f>IF($F631="","",IFERROR(VLOOKUP($F631,Inventory!$A:$I,9,FALSE),0))</f>
        <v/>
      </c>
      <c r="O631" s="85" t="str">
        <f t="shared" si="13"/>
        <v/>
      </c>
      <c r="P631" s="85" t="str">
        <f t="shared" si="5"/>
        <v/>
      </c>
      <c r="Q631" s="83"/>
      <c r="R631" s="118" t="str">
        <f>IF($E631="","",IF(COUNTIF($E$7:$E1828,$E631)&gt;1,"",IFERROR(VLOOKUP($E631,Orders!$A:$I,8,FALSE),"")))</f>
        <v/>
      </c>
      <c r="S631" s="118" t="str">
        <f>IF($E631="","",IF(COUNTIF($E$7:$E1828,$E631)&gt;1,"",IFERROR(VLOOKUP($E631,Orders!$A:$I,9,FALSE),"")))</f>
        <v/>
      </c>
      <c r="T631" s="88" t="str">
        <f t="shared" si="14"/>
        <v/>
      </c>
      <c r="U631" s="88" t="str">
        <f>IF($F631="","",IF($E631="",T631,SUMIF(Sales!$E$7:$E$1506,$E631,Sales!$T$7:$T$1506)))</f>
        <v/>
      </c>
      <c r="V631" s="49" t="str">
        <f t="shared" si="15"/>
        <v/>
      </c>
      <c r="W631" s="49" t="str">
        <f t="array" ref="W631">IF($V631="","",SUMPRODUCT((Sales!$V$7:$V$1506&lt;&gt;"")*(Sales!$E$7:$E$1506&lt;$E631))+1)</f>
        <v/>
      </c>
      <c r="X631" s="49" t="str">
        <f t="shared" si="16"/>
        <v/>
      </c>
      <c r="Y631" s="49" t="str">
        <f t="shared" si="17"/>
        <v/>
      </c>
    </row>
    <row r="632" ht="15.75" customHeight="1">
      <c r="A632" s="82"/>
      <c r="B632" s="83"/>
      <c r="C632" s="83"/>
      <c r="D632" s="83"/>
      <c r="E632" s="83"/>
      <c r="F632" s="83"/>
      <c r="G632" s="83" t="str">
        <f>IF($F632="","",IFERROR(VLOOKUP($F632,Inventory!$A:$B,2,FALSE),""))</f>
        <v/>
      </c>
      <c r="H632" s="83"/>
      <c r="I632" s="84" t="str">
        <f t="shared" si="2"/>
        <v/>
      </c>
      <c r="J632" s="85" t="str">
        <f>IF($F632="","",IFERROR(VLOOKUP($F632,Inventory!$A:$K,11,FALSE),0))</f>
        <v/>
      </c>
      <c r="K632" s="85"/>
      <c r="L632" s="85" t="str">
        <f t="shared" si="12"/>
        <v/>
      </c>
      <c r="M632" s="83"/>
      <c r="N632" s="85" t="str">
        <f>IF($F632="","",IFERROR(VLOOKUP($F632,Inventory!$A:$I,9,FALSE),0))</f>
        <v/>
      </c>
      <c r="O632" s="85" t="str">
        <f t="shared" si="13"/>
        <v/>
      </c>
      <c r="P632" s="85" t="str">
        <f t="shared" si="5"/>
        <v/>
      </c>
      <c r="Q632" s="83"/>
      <c r="R632" s="118" t="str">
        <f>IF($E632="","",IF(COUNTIF($E$7:$E1829,$E632)&gt;1,"",IFERROR(VLOOKUP($E632,Orders!$A:$I,8,FALSE),"")))</f>
        <v/>
      </c>
      <c r="S632" s="118" t="str">
        <f>IF($E632="","",IF(COUNTIF($E$7:$E1829,$E632)&gt;1,"",IFERROR(VLOOKUP($E632,Orders!$A:$I,9,FALSE),"")))</f>
        <v/>
      </c>
      <c r="T632" s="88" t="str">
        <f t="shared" si="14"/>
        <v/>
      </c>
      <c r="U632" s="88" t="str">
        <f>IF($F632="","",IF($E632="",T632,SUMIF(Sales!$E$7:$E$1506,$E632,Sales!$T$7:$T$1506)))</f>
        <v/>
      </c>
      <c r="V632" s="49" t="str">
        <f t="shared" si="15"/>
        <v/>
      </c>
      <c r="W632" s="49" t="str">
        <f t="array" ref="W632">IF($V632="","",SUMPRODUCT((Sales!$V$7:$V$1506&lt;&gt;"")*(Sales!$E$7:$E$1506&lt;$E632))+1)</f>
        <v/>
      </c>
      <c r="X632" s="49" t="str">
        <f t="shared" si="16"/>
        <v/>
      </c>
      <c r="Y632" s="49" t="str">
        <f t="shared" si="17"/>
        <v/>
      </c>
    </row>
    <row r="633" ht="15.75" customHeight="1">
      <c r="A633" s="82"/>
      <c r="B633" s="83"/>
      <c r="C633" s="83"/>
      <c r="D633" s="83"/>
      <c r="E633" s="83"/>
      <c r="F633" s="83"/>
      <c r="G633" s="83" t="str">
        <f>IF($F633="","",IFERROR(VLOOKUP($F633,Inventory!$A:$B,2,FALSE),""))</f>
        <v/>
      </c>
      <c r="H633" s="83"/>
      <c r="I633" s="84" t="str">
        <f t="shared" si="2"/>
        <v/>
      </c>
      <c r="J633" s="85" t="str">
        <f>IF($F633="","",IFERROR(VLOOKUP($F633,Inventory!$A:$K,11,FALSE),0))</f>
        <v/>
      </c>
      <c r="K633" s="85"/>
      <c r="L633" s="85" t="str">
        <f t="shared" si="12"/>
        <v/>
      </c>
      <c r="M633" s="83"/>
      <c r="N633" s="85" t="str">
        <f>IF($F633="","",IFERROR(VLOOKUP($F633,Inventory!$A:$I,9,FALSE),0))</f>
        <v/>
      </c>
      <c r="O633" s="85" t="str">
        <f t="shared" si="13"/>
        <v/>
      </c>
      <c r="P633" s="85" t="str">
        <f t="shared" si="5"/>
        <v/>
      </c>
      <c r="Q633" s="83"/>
      <c r="R633" s="118" t="str">
        <f>IF($E633="","",IF(COUNTIF($E$7:$E1830,$E633)&gt;1,"",IFERROR(VLOOKUP($E633,Orders!$A:$I,8,FALSE),"")))</f>
        <v/>
      </c>
      <c r="S633" s="118" t="str">
        <f>IF($E633="","",IF(COUNTIF($E$7:$E1830,$E633)&gt;1,"",IFERROR(VLOOKUP($E633,Orders!$A:$I,9,FALSE),"")))</f>
        <v/>
      </c>
      <c r="T633" s="88" t="str">
        <f t="shared" si="14"/>
        <v/>
      </c>
      <c r="U633" s="88" t="str">
        <f>IF($F633="","",IF($E633="",T633,SUMIF(Sales!$E$7:$E$1506,$E633,Sales!$T$7:$T$1506)))</f>
        <v/>
      </c>
      <c r="V633" s="49" t="str">
        <f t="shared" si="15"/>
        <v/>
      </c>
      <c r="W633" s="49" t="str">
        <f t="array" ref="W633">IF($V633="","",SUMPRODUCT((Sales!$V$7:$V$1506&lt;&gt;"")*(Sales!$E$7:$E$1506&lt;$E633))+1)</f>
        <v/>
      </c>
      <c r="X633" s="49" t="str">
        <f t="shared" si="16"/>
        <v/>
      </c>
      <c r="Y633" s="49" t="str">
        <f t="shared" si="17"/>
        <v/>
      </c>
    </row>
    <row r="634" ht="15.75" customHeight="1">
      <c r="A634" s="82"/>
      <c r="B634" s="83"/>
      <c r="C634" s="83"/>
      <c r="D634" s="83"/>
      <c r="E634" s="83"/>
      <c r="F634" s="83"/>
      <c r="G634" s="83" t="str">
        <f>IF($F634="","",IFERROR(VLOOKUP($F634,Inventory!$A:$B,2,FALSE),""))</f>
        <v/>
      </c>
      <c r="H634" s="83"/>
      <c r="I634" s="84" t="str">
        <f t="shared" si="2"/>
        <v/>
      </c>
      <c r="J634" s="85" t="str">
        <f>IF($F634="","",IFERROR(VLOOKUP($F634,Inventory!$A:$K,11,FALSE),0))</f>
        <v/>
      </c>
      <c r="K634" s="85"/>
      <c r="L634" s="85" t="str">
        <f t="shared" si="12"/>
        <v/>
      </c>
      <c r="M634" s="83"/>
      <c r="N634" s="85" t="str">
        <f>IF($F634="","",IFERROR(VLOOKUP($F634,Inventory!$A:$I,9,FALSE),0))</f>
        <v/>
      </c>
      <c r="O634" s="85" t="str">
        <f t="shared" si="13"/>
        <v/>
      </c>
      <c r="P634" s="85" t="str">
        <f t="shared" si="5"/>
        <v/>
      </c>
      <c r="Q634" s="83"/>
      <c r="R634" s="118" t="str">
        <f>IF($E634="","",IF(COUNTIF($E$7:$E1831,$E634)&gt;1,"",IFERROR(VLOOKUP($E634,Orders!$A:$I,8,FALSE),"")))</f>
        <v/>
      </c>
      <c r="S634" s="118" t="str">
        <f>IF($E634="","",IF(COUNTIF($E$7:$E1831,$E634)&gt;1,"",IFERROR(VLOOKUP($E634,Orders!$A:$I,9,FALSE),"")))</f>
        <v/>
      </c>
      <c r="T634" s="88" t="str">
        <f t="shared" si="14"/>
        <v/>
      </c>
      <c r="U634" s="88" t="str">
        <f>IF($F634="","",IF($E634="",T634,SUMIF(Sales!$E$7:$E$1506,$E634,Sales!$T$7:$T$1506)))</f>
        <v/>
      </c>
      <c r="V634" s="49" t="str">
        <f t="shared" si="15"/>
        <v/>
      </c>
      <c r="W634" s="49" t="str">
        <f t="array" ref="W634">IF($V634="","",SUMPRODUCT((Sales!$V$7:$V$1506&lt;&gt;"")*(Sales!$E$7:$E$1506&lt;$E634))+1)</f>
        <v/>
      </c>
      <c r="X634" s="49" t="str">
        <f t="shared" si="16"/>
        <v/>
      </c>
      <c r="Y634" s="49" t="str">
        <f t="shared" si="17"/>
        <v/>
      </c>
    </row>
    <row r="635" ht="15.75" customHeight="1">
      <c r="A635" s="82"/>
      <c r="B635" s="83"/>
      <c r="C635" s="83"/>
      <c r="D635" s="83"/>
      <c r="E635" s="83"/>
      <c r="F635" s="83"/>
      <c r="G635" s="83" t="str">
        <f>IF($F635="","",IFERROR(VLOOKUP($F635,Inventory!$A:$B,2,FALSE),""))</f>
        <v/>
      </c>
      <c r="H635" s="83"/>
      <c r="I635" s="84" t="str">
        <f t="shared" si="2"/>
        <v/>
      </c>
      <c r="J635" s="85" t="str">
        <f>IF($F635="","",IFERROR(VLOOKUP($F635,Inventory!$A:$K,11,FALSE),0))</f>
        <v/>
      </c>
      <c r="K635" s="85"/>
      <c r="L635" s="85" t="str">
        <f t="shared" si="12"/>
        <v/>
      </c>
      <c r="M635" s="83"/>
      <c r="N635" s="85" t="str">
        <f>IF($F635="","",IFERROR(VLOOKUP($F635,Inventory!$A:$I,9,FALSE),0))</f>
        <v/>
      </c>
      <c r="O635" s="85" t="str">
        <f t="shared" si="13"/>
        <v/>
      </c>
      <c r="P635" s="85" t="str">
        <f t="shared" si="5"/>
        <v/>
      </c>
      <c r="Q635" s="83"/>
      <c r="R635" s="118" t="str">
        <f>IF($E635="","",IF(COUNTIF($E$7:$E1832,$E635)&gt;1,"",IFERROR(VLOOKUP($E635,Orders!$A:$I,8,FALSE),"")))</f>
        <v/>
      </c>
      <c r="S635" s="118" t="str">
        <f>IF($E635="","",IF(COUNTIF($E$7:$E1832,$E635)&gt;1,"",IFERROR(VLOOKUP($E635,Orders!$A:$I,9,FALSE),"")))</f>
        <v/>
      </c>
      <c r="T635" s="88" t="str">
        <f t="shared" si="14"/>
        <v/>
      </c>
      <c r="U635" s="88" t="str">
        <f>IF($F635="","",IF($E635="",T635,SUMIF(Sales!$E$7:$E$1506,$E635,Sales!$T$7:$T$1506)))</f>
        <v/>
      </c>
      <c r="V635" s="49" t="str">
        <f t="shared" si="15"/>
        <v/>
      </c>
      <c r="W635" s="49" t="str">
        <f t="array" ref="W635">IF($V635="","",SUMPRODUCT((Sales!$V$7:$V$1506&lt;&gt;"")*(Sales!$E$7:$E$1506&lt;$E635))+1)</f>
        <v/>
      </c>
      <c r="X635" s="49" t="str">
        <f t="shared" si="16"/>
        <v/>
      </c>
      <c r="Y635" s="49" t="str">
        <f t="shared" si="17"/>
        <v/>
      </c>
    </row>
    <row r="636" ht="15.75" customHeight="1">
      <c r="A636" s="82"/>
      <c r="B636" s="83"/>
      <c r="C636" s="83"/>
      <c r="D636" s="83"/>
      <c r="E636" s="83"/>
      <c r="F636" s="83"/>
      <c r="G636" s="83" t="str">
        <f>IF($F636="","",IFERROR(VLOOKUP($F636,Inventory!$A:$B,2,FALSE),""))</f>
        <v/>
      </c>
      <c r="H636" s="83"/>
      <c r="I636" s="84" t="str">
        <f t="shared" si="2"/>
        <v/>
      </c>
      <c r="J636" s="85" t="str">
        <f>IF($F636="","",IFERROR(VLOOKUP($F636,Inventory!$A:$K,11,FALSE),0))</f>
        <v/>
      </c>
      <c r="K636" s="85"/>
      <c r="L636" s="85" t="str">
        <f t="shared" si="12"/>
        <v/>
      </c>
      <c r="M636" s="83"/>
      <c r="N636" s="85" t="str">
        <f>IF($F636="","",IFERROR(VLOOKUP($F636,Inventory!$A:$I,9,FALSE),0))</f>
        <v/>
      </c>
      <c r="O636" s="85" t="str">
        <f t="shared" si="13"/>
        <v/>
      </c>
      <c r="P636" s="85" t="str">
        <f t="shared" si="5"/>
        <v/>
      </c>
      <c r="Q636" s="83"/>
      <c r="R636" s="118" t="str">
        <f>IF($E636="","",IF(COUNTIF($E$7:$E1833,$E636)&gt;1,"",IFERROR(VLOOKUP($E636,Orders!$A:$I,8,FALSE),"")))</f>
        <v/>
      </c>
      <c r="S636" s="118" t="str">
        <f>IF($E636="","",IF(COUNTIF($E$7:$E1833,$E636)&gt;1,"",IFERROR(VLOOKUP($E636,Orders!$A:$I,9,FALSE),"")))</f>
        <v/>
      </c>
      <c r="T636" s="88" t="str">
        <f t="shared" si="14"/>
        <v/>
      </c>
      <c r="U636" s="88" t="str">
        <f>IF($F636="","",IF($E636="",T636,SUMIF(Sales!$E$7:$E$1506,$E636,Sales!$T$7:$T$1506)))</f>
        <v/>
      </c>
      <c r="V636" s="49" t="str">
        <f t="shared" si="15"/>
        <v/>
      </c>
      <c r="W636" s="49" t="str">
        <f t="array" ref="W636">IF($V636="","",SUMPRODUCT((Sales!$V$7:$V$1506&lt;&gt;"")*(Sales!$E$7:$E$1506&lt;$E636))+1)</f>
        <v/>
      </c>
      <c r="X636" s="49" t="str">
        <f t="shared" si="16"/>
        <v/>
      </c>
      <c r="Y636" s="49" t="str">
        <f t="shared" si="17"/>
        <v/>
      </c>
    </row>
    <row r="637" ht="15.75" customHeight="1">
      <c r="A637" s="82"/>
      <c r="B637" s="83"/>
      <c r="C637" s="83"/>
      <c r="D637" s="83"/>
      <c r="E637" s="83"/>
      <c r="F637" s="83"/>
      <c r="G637" s="83" t="str">
        <f>IF($F637="","",IFERROR(VLOOKUP($F637,Inventory!$A:$B,2,FALSE),""))</f>
        <v/>
      </c>
      <c r="H637" s="83"/>
      <c r="I637" s="84" t="str">
        <f t="shared" si="2"/>
        <v/>
      </c>
      <c r="J637" s="85" t="str">
        <f>IF($F637="","",IFERROR(VLOOKUP($F637,Inventory!$A:$K,11,FALSE),0))</f>
        <v/>
      </c>
      <c r="K637" s="85"/>
      <c r="L637" s="85" t="str">
        <f t="shared" si="12"/>
        <v/>
      </c>
      <c r="M637" s="83"/>
      <c r="N637" s="85" t="str">
        <f>IF($F637="","",IFERROR(VLOOKUP($F637,Inventory!$A:$I,9,FALSE),0))</f>
        <v/>
      </c>
      <c r="O637" s="85" t="str">
        <f t="shared" si="13"/>
        <v/>
      </c>
      <c r="P637" s="85" t="str">
        <f t="shared" si="5"/>
        <v/>
      </c>
      <c r="Q637" s="83"/>
      <c r="R637" s="118" t="str">
        <f>IF($E637="","",IF(COUNTIF($E$7:$E1834,$E637)&gt;1,"",IFERROR(VLOOKUP($E637,Orders!$A:$I,8,FALSE),"")))</f>
        <v/>
      </c>
      <c r="S637" s="118" t="str">
        <f>IF($E637="","",IF(COUNTIF($E$7:$E1834,$E637)&gt;1,"",IFERROR(VLOOKUP($E637,Orders!$A:$I,9,FALSE),"")))</f>
        <v/>
      </c>
      <c r="T637" s="88" t="str">
        <f t="shared" si="14"/>
        <v/>
      </c>
      <c r="U637" s="88" t="str">
        <f>IF($F637="","",IF($E637="",T637,SUMIF(Sales!$E$7:$E$1506,$E637,Sales!$T$7:$T$1506)))</f>
        <v/>
      </c>
      <c r="V637" s="49" t="str">
        <f t="shared" si="15"/>
        <v/>
      </c>
      <c r="W637" s="49" t="str">
        <f t="array" ref="W637">IF($V637="","",SUMPRODUCT((Sales!$V$7:$V$1506&lt;&gt;"")*(Sales!$E$7:$E$1506&lt;$E637))+1)</f>
        <v/>
      </c>
      <c r="X637" s="49" t="str">
        <f t="shared" si="16"/>
        <v/>
      </c>
      <c r="Y637" s="49" t="str">
        <f t="shared" si="17"/>
        <v/>
      </c>
    </row>
    <row r="638" ht="15.75" customHeight="1">
      <c r="A638" s="82"/>
      <c r="B638" s="83"/>
      <c r="C638" s="83"/>
      <c r="D638" s="83"/>
      <c r="E638" s="83"/>
      <c r="F638" s="83"/>
      <c r="G638" s="83" t="str">
        <f>IF($F638="","",IFERROR(VLOOKUP($F638,Inventory!$A:$B,2,FALSE),""))</f>
        <v/>
      </c>
      <c r="H638" s="83"/>
      <c r="I638" s="84" t="str">
        <f t="shared" si="2"/>
        <v/>
      </c>
      <c r="J638" s="85" t="str">
        <f>IF($F638="","",IFERROR(VLOOKUP($F638,Inventory!$A:$K,11,FALSE),0))</f>
        <v/>
      </c>
      <c r="K638" s="85"/>
      <c r="L638" s="85" t="str">
        <f t="shared" si="12"/>
        <v/>
      </c>
      <c r="M638" s="83"/>
      <c r="N638" s="85" t="str">
        <f>IF($F638="","",IFERROR(VLOOKUP($F638,Inventory!$A:$I,9,FALSE),0))</f>
        <v/>
      </c>
      <c r="O638" s="85" t="str">
        <f t="shared" si="13"/>
        <v/>
      </c>
      <c r="P638" s="85" t="str">
        <f t="shared" si="5"/>
        <v/>
      </c>
      <c r="Q638" s="83"/>
      <c r="R638" s="118" t="str">
        <f>IF($E638="","",IF(COUNTIF($E$7:$E1835,$E638)&gt;1,"",IFERROR(VLOOKUP($E638,Orders!$A:$I,8,FALSE),"")))</f>
        <v/>
      </c>
      <c r="S638" s="118" t="str">
        <f>IF($E638="","",IF(COUNTIF($E$7:$E1835,$E638)&gt;1,"",IFERROR(VLOOKUP($E638,Orders!$A:$I,9,FALSE),"")))</f>
        <v/>
      </c>
      <c r="T638" s="88" t="str">
        <f t="shared" si="14"/>
        <v/>
      </c>
      <c r="U638" s="88" t="str">
        <f>IF($F638="","",IF($E638="",T638,SUMIF(Sales!$E$7:$E$1506,$E638,Sales!$T$7:$T$1506)))</f>
        <v/>
      </c>
      <c r="V638" s="49" t="str">
        <f t="shared" si="15"/>
        <v/>
      </c>
      <c r="W638" s="49" t="str">
        <f t="array" ref="W638">IF($V638="","",SUMPRODUCT((Sales!$V$7:$V$1506&lt;&gt;"")*(Sales!$E$7:$E$1506&lt;$E638))+1)</f>
        <v/>
      </c>
      <c r="X638" s="49" t="str">
        <f t="shared" si="16"/>
        <v/>
      </c>
      <c r="Y638" s="49" t="str">
        <f t="shared" si="17"/>
        <v/>
      </c>
    </row>
    <row r="639" ht="15.75" customHeight="1">
      <c r="A639" s="82"/>
      <c r="B639" s="83"/>
      <c r="C639" s="83"/>
      <c r="D639" s="83"/>
      <c r="E639" s="83"/>
      <c r="F639" s="83"/>
      <c r="G639" s="83" t="str">
        <f>IF($F639="","",IFERROR(VLOOKUP($F639,Inventory!$A:$B,2,FALSE),""))</f>
        <v/>
      </c>
      <c r="H639" s="83"/>
      <c r="I639" s="84" t="str">
        <f t="shared" si="2"/>
        <v/>
      </c>
      <c r="J639" s="85" t="str">
        <f>IF($F639="","",IFERROR(VLOOKUP($F639,Inventory!$A:$K,11,FALSE),0))</f>
        <v/>
      </c>
      <c r="K639" s="85"/>
      <c r="L639" s="85" t="str">
        <f t="shared" si="12"/>
        <v/>
      </c>
      <c r="M639" s="83"/>
      <c r="N639" s="85" t="str">
        <f>IF($F639="","",IFERROR(VLOOKUP($F639,Inventory!$A:$I,9,FALSE),0))</f>
        <v/>
      </c>
      <c r="O639" s="85" t="str">
        <f t="shared" si="13"/>
        <v/>
      </c>
      <c r="P639" s="85" t="str">
        <f t="shared" si="5"/>
        <v/>
      </c>
      <c r="Q639" s="83"/>
      <c r="R639" s="118" t="str">
        <f>IF($E639="","",IF(COUNTIF($E$7:$E1836,$E639)&gt;1,"",IFERROR(VLOOKUP($E639,Orders!$A:$I,8,FALSE),"")))</f>
        <v/>
      </c>
      <c r="S639" s="118" t="str">
        <f>IF($E639="","",IF(COUNTIF($E$7:$E1836,$E639)&gt;1,"",IFERROR(VLOOKUP($E639,Orders!$A:$I,9,FALSE),"")))</f>
        <v/>
      </c>
      <c r="T639" s="88" t="str">
        <f t="shared" si="14"/>
        <v/>
      </c>
      <c r="U639" s="88" t="str">
        <f>IF($F639="","",IF($E639="",T639,SUMIF(Sales!$E$7:$E$1506,$E639,Sales!$T$7:$T$1506)))</f>
        <v/>
      </c>
      <c r="V639" s="49" t="str">
        <f t="shared" si="15"/>
        <v/>
      </c>
      <c r="W639" s="49" t="str">
        <f t="array" ref="W639">IF($V639="","",SUMPRODUCT((Sales!$V$7:$V$1506&lt;&gt;"")*(Sales!$E$7:$E$1506&lt;$E639))+1)</f>
        <v/>
      </c>
      <c r="X639" s="49" t="str">
        <f t="shared" si="16"/>
        <v/>
      </c>
      <c r="Y639" s="49" t="str">
        <f t="shared" si="17"/>
        <v/>
      </c>
    </row>
    <row r="640" ht="15.75" customHeight="1">
      <c r="A640" s="82"/>
      <c r="B640" s="83"/>
      <c r="C640" s="83"/>
      <c r="D640" s="83"/>
      <c r="E640" s="83"/>
      <c r="F640" s="83"/>
      <c r="G640" s="83" t="str">
        <f>IF($F640="","",IFERROR(VLOOKUP($F640,Inventory!$A:$B,2,FALSE),""))</f>
        <v/>
      </c>
      <c r="H640" s="83"/>
      <c r="I640" s="84" t="str">
        <f t="shared" si="2"/>
        <v/>
      </c>
      <c r="J640" s="85" t="str">
        <f>IF($F640="","",IFERROR(VLOOKUP($F640,Inventory!$A:$K,11,FALSE),0))</f>
        <v/>
      </c>
      <c r="K640" s="85"/>
      <c r="L640" s="85" t="str">
        <f t="shared" si="12"/>
        <v/>
      </c>
      <c r="M640" s="83"/>
      <c r="N640" s="85" t="str">
        <f>IF($F640="","",IFERROR(VLOOKUP($F640,Inventory!$A:$I,9,FALSE),0))</f>
        <v/>
      </c>
      <c r="O640" s="85" t="str">
        <f t="shared" si="13"/>
        <v/>
      </c>
      <c r="P640" s="85" t="str">
        <f t="shared" si="5"/>
        <v/>
      </c>
      <c r="Q640" s="83"/>
      <c r="R640" s="118" t="str">
        <f>IF($E640="","",IF(COUNTIF($E$7:$E1837,$E640)&gt;1,"",IFERROR(VLOOKUP($E640,Orders!$A:$I,8,FALSE),"")))</f>
        <v/>
      </c>
      <c r="S640" s="118" t="str">
        <f>IF($E640="","",IF(COUNTIF($E$7:$E1837,$E640)&gt;1,"",IFERROR(VLOOKUP($E640,Orders!$A:$I,9,FALSE),"")))</f>
        <v/>
      </c>
      <c r="T640" s="88" t="str">
        <f t="shared" si="14"/>
        <v/>
      </c>
      <c r="U640" s="88" t="str">
        <f>IF($F640="","",IF($E640="",T640,SUMIF(Sales!$E$7:$E$1506,$E640,Sales!$T$7:$T$1506)))</f>
        <v/>
      </c>
      <c r="V640" s="49" t="str">
        <f t="shared" si="15"/>
        <v/>
      </c>
      <c r="W640" s="49" t="str">
        <f t="array" ref="W640">IF($V640="","",SUMPRODUCT((Sales!$V$7:$V$1506&lt;&gt;"")*(Sales!$E$7:$E$1506&lt;$E640))+1)</f>
        <v/>
      </c>
      <c r="X640" s="49" t="str">
        <f t="shared" si="16"/>
        <v/>
      </c>
      <c r="Y640" s="49" t="str">
        <f t="shared" si="17"/>
        <v/>
      </c>
    </row>
    <row r="641" ht="15.75" customHeight="1">
      <c r="A641" s="82"/>
      <c r="B641" s="83"/>
      <c r="C641" s="83"/>
      <c r="D641" s="83"/>
      <c r="E641" s="83"/>
      <c r="F641" s="83"/>
      <c r="G641" s="83" t="str">
        <f>IF($F641="","",IFERROR(VLOOKUP($F641,Inventory!$A:$B,2,FALSE),""))</f>
        <v/>
      </c>
      <c r="H641" s="83"/>
      <c r="I641" s="84" t="str">
        <f t="shared" si="2"/>
        <v/>
      </c>
      <c r="J641" s="85" t="str">
        <f>IF($F641="","",IFERROR(VLOOKUP($F641,Inventory!$A:$K,11,FALSE),0))</f>
        <v/>
      </c>
      <c r="K641" s="85"/>
      <c r="L641" s="85" t="str">
        <f t="shared" si="12"/>
        <v/>
      </c>
      <c r="M641" s="83"/>
      <c r="N641" s="85" t="str">
        <f>IF($F641="","",IFERROR(VLOOKUP($F641,Inventory!$A:$I,9,FALSE),0))</f>
        <v/>
      </c>
      <c r="O641" s="85" t="str">
        <f t="shared" si="13"/>
        <v/>
      </c>
      <c r="P641" s="85" t="str">
        <f t="shared" si="5"/>
        <v/>
      </c>
      <c r="Q641" s="83"/>
      <c r="R641" s="118" t="str">
        <f>IF($E641="","",IF(COUNTIF($E$7:$E1838,$E641)&gt;1,"",IFERROR(VLOOKUP($E641,Orders!$A:$I,8,FALSE),"")))</f>
        <v/>
      </c>
      <c r="S641" s="118" t="str">
        <f>IF($E641="","",IF(COUNTIF($E$7:$E1838,$E641)&gt;1,"",IFERROR(VLOOKUP($E641,Orders!$A:$I,9,FALSE),"")))</f>
        <v/>
      </c>
      <c r="T641" s="88" t="str">
        <f t="shared" si="14"/>
        <v/>
      </c>
      <c r="U641" s="88" t="str">
        <f>IF($F641="","",IF($E641="",T641,SUMIF(Sales!$E$7:$E$1506,$E641,Sales!$T$7:$T$1506)))</f>
        <v/>
      </c>
      <c r="V641" s="49" t="str">
        <f t="shared" si="15"/>
        <v/>
      </c>
      <c r="W641" s="49" t="str">
        <f t="array" ref="W641">IF($V641="","",SUMPRODUCT((Sales!$V$7:$V$1506&lt;&gt;"")*(Sales!$E$7:$E$1506&lt;$E641))+1)</f>
        <v/>
      </c>
      <c r="X641" s="49" t="str">
        <f t="shared" si="16"/>
        <v/>
      </c>
      <c r="Y641" s="49" t="str">
        <f t="shared" si="17"/>
        <v/>
      </c>
    </row>
    <row r="642" ht="15.75" customHeight="1">
      <c r="A642" s="82"/>
      <c r="B642" s="83"/>
      <c r="C642" s="83"/>
      <c r="D642" s="83"/>
      <c r="E642" s="83"/>
      <c r="F642" s="83"/>
      <c r="G642" s="83" t="str">
        <f>IF($F642="","",IFERROR(VLOOKUP($F642,Inventory!$A:$B,2,FALSE),""))</f>
        <v/>
      </c>
      <c r="H642" s="83"/>
      <c r="I642" s="84" t="str">
        <f t="shared" si="2"/>
        <v/>
      </c>
      <c r="J642" s="85" t="str">
        <f>IF($F642="","",IFERROR(VLOOKUP($F642,Inventory!$A:$K,11,FALSE),0))</f>
        <v/>
      </c>
      <c r="K642" s="85"/>
      <c r="L642" s="85" t="str">
        <f t="shared" si="12"/>
        <v/>
      </c>
      <c r="M642" s="83"/>
      <c r="N642" s="85" t="str">
        <f>IF($F642="","",IFERROR(VLOOKUP($F642,Inventory!$A:$I,9,FALSE),0))</f>
        <v/>
      </c>
      <c r="O642" s="85" t="str">
        <f t="shared" si="13"/>
        <v/>
      </c>
      <c r="P642" s="85" t="str">
        <f t="shared" si="5"/>
        <v/>
      </c>
      <c r="Q642" s="83"/>
      <c r="R642" s="118" t="str">
        <f>IF($E642="","",IF(COUNTIF($E$7:$E1839,$E642)&gt;1,"",IFERROR(VLOOKUP($E642,Orders!$A:$I,8,FALSE),"")))</f>
        <v/>
      </c>
      <c r="S642" s="118" t="str">
        <f>IF($E642="","",IF(COUNTIF($E$7:$E1839,$E642)&gt;1,"",IFERROR(VLOOKUP($E642,Orders!$A:$I,9,FALSE),"")))</f>
        <v/>
      </c>
      <c r="T642" s="88" t="str">
        <f t="shared" si="14"/>
        <v/>
      </c>
      <c r="U642" s="88" t="str">
        <f>IF($F642="","",IF($E642="",T642,SUMIF(Sales!$E$7:$E$1506,$E642,Sales!$T$7:$T$1506)))</f>
        <v/>
      </c>
      <c r="V642" s="49" t="str">
        <f t="shared" si="15"/>
        <v/>
      </c>
      <c r="W642" s="49" t="str">
        <f t="array" ref="W642">IF($V642="","",SUMPRODUCT((Sales!$V$7:$V$1506&lt;&gt;"")*(Sales!$E$7:$E$1506&lt;$E642))+1)</f>
        <v/>
      </c>
      <c r="X642" s="49" t="str">
        <f t="shared" si="16"/>
        <v/>
      </c>
      <c r="Y642" s="49" t="str">
        <f t="shared" si="17"/>
        <v/>
      </c>
    </row>
    <row r="643" ht="15.75" customHeight="1">
      <c r="A643" s="82"/>
      <c r="B643" s="83"/>
      <c r="C643" s="83"/>
      <c r="D643" s="83"/>
      <c r="E643" s="83"/>
      <c r="F643" s="83"/>
      <c r="G643" s="83" t="str">
        <f>IF($F643="","",IFERROR(VLOOKUP($F643,Inventory!$A:$B,2,FALSE),""))</f>
        <v/>
      </c>
      <c r="H643" s="83"/>
      <c r="I643" s="84" t="str">
        <f t="shared" si="2"/>
        <v/>
      </c>
      <c r="J643" s="85" t="str">
        <f>IF($F643="","",IFERROR(VLOOKUP($F643,Inventory!$A:$K,11,FALSE),0))</f>
        <v/>
      </c>
      <c r="K643" s="85"/>
      <c r="L643" s="85" t="str">
        <f t="shared" si="12"/>
        <v/>
      </c>
      <c r="M643" s="83"/>
      <c r="N643" s="85" t="str">
        <f>IF($F643="","",IFERROR(VLOOKUP($F643,Inventory!$A:$I,9,FALSE),0))</f>
        <v/>
      </c>
      <c r="O643" s="85" t="str">
        <f t="shared" si="13"/>
        <v/>
      </c>
      <c r="P643" s="85" t="str">
        <f t="shared" si="5"/>
        <v/>
      </c>
      <c r="Q643" s="83"/>
      <c r="R643" s="118" t="str">
        <f>IF($E643="","",IF(COUNTIF($E$7:$E1840,$E643)&gt;1,"",IFERROR(VLOOKUP($E643,Orders!$A:$I,8,FALSE),"")))</f>
        <v/>
      </c>
      <c r="S643" s="118" t="str">
        <f>IF($E643="","",IF(COUNTIF($E$7:$E1840,$E643)&gt;1,"",IFERROR(VLOOKUP($E643,Orders!$A:$I,9,FALSE),"")))</f>
        <v/>
      </c>
      <c r="T643" s="88" t="str">
        <f t="shared" si="14"/>
        <v/>
      </c>
      <c r="U643" s="88" t="str">
        <f>IF($F643="","",IF($E643="",T643,SUMIF(Sales!$E$7:$E$1506,$E643,Sales!$T$7:$T$1506)))</f>
        <v/>
      </c>
      <c r="V643" s="49" t="str">
        <f t="shared" si="15"/>
        <v/>
      </c>
      <c r="W643" s="49" t="str">
        <f t="array" ref="W643">IF($V643="","",SUMPRODUCT((Sales!$V$7:$V$1506&lt;&gt;"")*(Sales!$E$7:$E$1506&lt;$E643))+1)</f>
        <v/>
      </c>
      <c r="X643" s="49" t="str">
        <f t="shared" si="16"/>
        <v/>
      </c>
      <c r="Y643" s="49" t="str">
        <f t="shared" si="17"/>
        <v/>
      </c>
    </row>
    <row r="644" ht="15.75" customHeight="1">
      <c r="A644" s="82"/>
      <c r="B644" s="83"/>
      <c r="C644" s="83"/>
      <c r="D644" s="83"/>
      <c r="E644" s="83"/>
      <c r="F644" s="83"/>
      <c r="G644" s="83" t="str">
        <f>IF($F644="","",IFERROR(VLOOKUP($F644,Inventory!$A:$B,2,FALSE),""))</f>
        <v/>
      </c>
      <c r="H644" s="83"/>
      <c r="I644" s="84" t="str">
        <f t="shared" si="2"/>
        <v/>
      </c>
      <c r="J644" s="85" t="str">
        <f>IF($F644="","",IFERROR(VLOOKUP($F644,Inventory!$A:$K,11,FALSE),0))</f>
        <v/>
      </c>
      <c r="K644" s="85"/>
      <c r="L644" s="85" t="str">
        <f t="shared" si="12"/>
        <v/>
      </c>
      <c r="M644" s="83"/>
      <c r="N644" s="85" t="str">
        <f>IF($F644="","",IFERROR(VLOOKUP($F644,Inventory!$A:$I,9,FALSE),0))</f>
        <v/>
      </c>
      <c r="O644" s="85" t="str">
        <f t="shared" si="13"/>
        <v/>
      </c>
      <c r="P644" s="85" t="str">
        <f t="shared" si="5"/>
        <v/>
      </c>
      <c r="Q644" s="83"/>
      <c r="R644" s="118" t="str">
        <f>IF($E644="","",IF(COUNTIF($E$7:$E1841,$E644)&gt;1,"",IFERROR(VLOOKUP($E644,Orders!$A:$I,8,FALSE),"")))</f>
        <v/>
      </c>
      <c r="S644" s="118" t="str">
        <f>IF($E644="","",IF(COUNTIF($E$7:$E1841,$E644)&gt;1,"",IFERROR(VLOOKUP($E644,Orders!$A:$I,9,FALSE),"")))</f>
        <v/>
      </c>
      <c r="T644" s="88" t="str">
        <f t="shared" si="14"/>
        <v/>
      </c>
      <c r="U644" s="88" t="str">
        <f>IF($F644="","",IF($E644="",T644,SUMIF(Sales!$E$7:$E$1506,$E644,Sales!$T$7:$T$1506)))</f>
        <v/>
      </c>
      <c r="V644" s="49" t="str">
        <f t="shared" si="15"/>
        <v/>
      </c>
      <c r="W644" s="49" t="str">
        <f t="array" ref="W644">IF($V644="","",SUMPRODUCT((Sales!$V$7:$V$1506&lt;&gt;"")*(Sales!$E$7:$E$1506&lt;$E644))+1)</f>
        <v/>
      </c>
      <c r="X644" s="49" t="str">
        <f t="shared" si="16"/>
        <v/>
      </c>
      <c r="Y644" s="49" t="str">
        <f t="shared" si="17"/>
        <v/>
      </c>
    </row>
    <row r="645" ht="15.75" customHeight="1">
      <c r="A645" s="82"/>
      <c r="B645" s="83"/>
      <c r="C645" s="83"/>
      <c r="D645" s="83"/>
      <c r="E645" s="83"/>
      <c r="F645" s="83"/>
      <c r="G645" s="83" t="str">
        <f>IF($F645="","",IFERROR(VLOOKUP($F645,Inventory!$A:$B,2,FALSE),""))</f>
        <v/>
      </c>
      <c r="H645" s="83"/>
      <c r="I645" s="84" t="str">
        <f t="shared" si="2"/>
        <v/>
      </c>
      <c r="J645" s="85" t="str">
        <f>IF($F645="","",IFERROR(VLOOKUP($F645,Inventory!$A:$K,11,FALSE),0))</f>
        <v/>
      </c>
      <c r="K645" s="85"/>
      <c r="L645" s="85" t="str">
        <f t="shared" si="12"/>
        <v/>
      </c>
      <c r="M645" s="83"/>
      <c r="N645" s="85" t="str">
        <f>IF($F645="","",IFERROR(VLOOKUP($F645,Inventory!$A:$I,9,FALSE),0))</f>
        <v/>
      </c>
      <c r="O645" s="85" t="str">
        <f t="shared" si="13"/>
        <v/>
      </c>
      <c r="P645" s="85" t="str">
        <f t="shared" si="5"/>
        <v/>
      </c>
      <c r="Q645" s="83"/>
      <c r="R645" s="118" t="str">
        <f>IF($E645="","",IF(COUNTIF($E$7:$E1842,$E645)&gt;1,"",IFERROR(VLOOKUP($E645,Orders!$A:$I,8,FALSE),"")))</f>
        <v/>
      </c>
      <c r="S645" s="118" t="str">
        <f>IF($E645="","",IF(COUNTIF($E$7:$E1842,$E645)&gt;1,"",IFERROR(VLOOKUP($E645,Orders!$A:$I,9,FALSE),"")))</f>
        <v/>
      </c>
      <c r="T645" s="88" t="str">
        <f t="shared" si="14"/>
        <v/>
      </c>
      <c r="U645" s="88" t="str">
        <f>IF($F645="","",IF($E645="",T645,SUMIF(Sales!$E$7:$E$1506,$E645,Sales!$T$7:$T$1506)))</f>
        <v/>
      </c>
      <c r="V645" s="49" t="str">
        <f t="shared" si="15"/>
        <v/>
      </c>
      <c r="W645" s="49" t="str">
        <f t="array" ref="W645">IF($V645="","",SUMPRODUCT((Sales!$V$7:$V$1506&lt;&gt;"")*(Sales!$E$7:$E$1506&lt;$E645))+1)</f>
        <v/>
      </c>
      <c r="X645" s="49" t="str">
        <f t="shared" si="16"/>
        <v/>
      </c>
      <c r="Y645" s="49" t="str">
        <f t="shared" si="17"/>
        <v/>
      </c>
    </row>
    <row r="646" ht="15.75" customHeight="1">
      <c r="A646" s="82"/>
      <c r="B646" s="83"/>
      <c r="C646" s="83"/>
      <c r="D646" s="83"/>
      <c r="E646" s="83"/>
      <c r="F646" s="83"/>
      <c r="G646" s="83" t="str">
        <f>IF($F646="","",IFERROR(VLOOKUP($F646,Inventory!$A:$B,2,FALSE),""))</f>
        <v/>
      </c>
      <c r="H646" s="83"/>
      <c r="I646" s="84" t="str">
        <f t="shared" si="2"/>
        <v/>
      </c>
      <c r="J646" s="85" t="str">
        <f>IF($F646="","",IFERROR(VLOOKUP($F646,Inventory!$A:$K,11,FALSE),0))</f>
        <v/>
      </c>
      <c r="K646" s="85"/>
      <c r="L646" s="85" t="str">
        <f t="shared" si="12"/>
        <v/>
      </c>
      <c r="M646" s="83"/>
      <c r="N646" s="85" t="str">
        <f>IF($F646="","",IFERROR(VLOOKUP($F646,Inventory!$A:$I,9,FALSE),0))</f>
        <v/>
      </c>
      <c r="O646" s="85" t="str">
        <f t="shared" si="13"/>
        <v/>
      </c>
      <c r="P646" s="85" t="str">
        <f t="shared" si="5"/>
        <v/>
      </c>
      <c r="Q646" s="83"/>
      <c r="R646" s="118" t="str">
        <f>IF($E646="","",IF(COUNTIF($E$7:$E1843,$E646)&gt;1,"",IFERROR(VLOOKUP($E646,Orders!$A:$I,8,FALSE),"")))</f>
        <v/>
      </c>
      <c r="S646" s="118" t="str">
        <f>IF($E646="","",IF(COUNTIF($E$7:$E1843,$E646)&gt;1,"",IFERROR(VLOOKUP($E646,Orders!$A:$I,9,FALSE),"")))</f>
        <v/>
      </c>
      <c r="T646" s="88" t="str">
        <f t="shared" si="14"/>
        <v/>
      </c>
      <c r="U646" s="88" t="str">
        <f>IF($F646="","",IF($E646="",T646,SUMIF(Sales!$E$7:$E$1506,$E646,Sales!$T$7:$T$1506)))</f>
        <v/>
      </c>
      <c r="V646" s="49" t="str">
        <f t="shared" si="15"/>
        <v/>
      </c>
      <c r="W646" s="49" t="str">
        <f t="array" ref="W646">IF($V646="","",SUMPRODUCT((Sales!$V$7:$V$1506&lt;&gt;"")*(Sales!$E$7:$E$1506&lt;$E646))+1)</f>
        <v/>
      </c>
      <c r="X646" s="49" t="str">
        <f t="shared" si="16"/>
        <v/>
      </c>
      <c r="Y646" s="49" t="str">
        <f t="shared" si="17"/>
        <v/>
      </c>
    </row>
    <row r="647" ht="15.75" customHeight="1">
      <c r="A647" s="82"/>
      <c r="B647" s="83"/>
      <c r="C647" s="83"/>
      <c r="D647" s="83"/>
      <c r="E647" s="83"/>
      <c r="F647" s="83"/>
      <c r="G647" s="83" t="str">
        <f>IF($F647="","",IFERROR(VLOOKUP($F647,Inventory!$A:$B,2,FALSE),""))</f>
        <v/>
      </c>
      <c r="H647" s="83"/>
      <c r="I647" s="84" t="str">
        <f t="shared" si="2"/>
        <v/>
      </c>
      <c r="J647" s="85" t="str">
        <f>IF($F647="","",IFERROR(VLOOKUP($F647,Inventory!$A:$K,11,FALSE),0))</f>
        <v/>
      </c>
      <c r="K647" s="85"/>
      <c r="L647" s="85" t="str">
        <f t="shared" si="12"/>
        <v/>
      </c>
      <c r="M647" s="83"/>
      <c r="N647" s="85" t="str">
        <f>IF($F647="","",IFERROR(VLOOKUP($F647,Inventory!$A:$I,9,FALSE),0))</f>
        <v/>
      </c>
      <c r="O647" s="85" t="str">
        <f t="shared" si="13"/>
        <v/>
      </c>
      <c r="P647" s="85" t="str">
        <f t="shared" si="5"/>
        <v/>
      </c>
      <c r="Q647" s="83"/>
      <c r="R647" s="118" t="str">
        <f>IF($E647="","",IF(COUNTIF($E$7:$E1844,$E647)&gt;1,"",IFERROR(VLOOKUP($E647,Orders!$A:$I,8,FALSE),"")))</f>
        <v/>
      </c>
      <c r="S647" s="118" t="str">
        <f>IF($E647="","",IF(COUNTIF($E$7:$E1844,$E647)&gt;1,"",IFERROR(VLOOKUP($E647,Orders!$A:$I,9,FALSE),"")))</f>
        <v/>
      </c>
      <c r="T647" s="88" t="str">
        <f t="shared" si="14"/>
        <v/>
      </c>
      <c r="U647" s="88" t="str">
        <f>IF($F647="","",IF($E647="",T647,SUMIF(Sales!$E$7:$E$1506,$E647,Sales!$T$7:$T$1506)))</f>
        <v/>
      </c>
      <c r="V647" s="49" t="str">
        <f t="shared" si="15"/>
        <v/>
      </c>
      <c r="W647" s="49" t="str">
        <f t="array" ref="W647">IF($V647="","",SUMPRODUCT((Sales!$V$7:$V$1506&lt;&gt;"")*(Sales!$E$7:$E$1506&lt;$E647))+1)</f>
        <v/>
      </c>
      <c r="X647" s="49" t="str">
        <f t="shared" si="16"/>
        <v/>
      </c>
      <c r="Y647" s="49" t="str">
        <f t="shared" si="17"/>
        <v/>
      </c>
    </row>
    <row r="648" ht="15.75" customHeight="1">
      <c r="A648" s="82"/>
      <c r="B648" s="83"/>
      <c r="C648" s="83"/>
      <c r="D648" s="83"/>
      <c r="E648" s="83"/>
      <c r="F648" s="83"/>
      <c r="G648" s="83" t="str">
        <f>IF($F648="","",IFERROR(VLOOKUP($F648,Inventory!$A:$B,2,FALSE),""))</f>
        <v/>
      </c>
      <c r="H648" s="83"/>
      <c r="I648" s="84" t="str">
        <f t="shared" si="2"/>
        <v/>
      </c>
      <c r="J648" s="85" t="str">
        <f>IF($F648="","",IFERROR(VLOOKUP($F648,Inventory!$A:$K,11,FALSE),0))</f>
        <v/>
      </c>
      <c r="K648" s="85"/>
      <c r="L648" s="85" t="str">
        <f t="shared" si="12"/>
        <v/>
      </c>
      <c r="M648" s="83"/>
      <c r="N648" s="85" t="str">
        <f>IF($F648="","",IFERROR(VLOOKUP($F648,Inventory!$A:$I,9,FALSE),0))</f>
        <v/>
      </c>
      <c r="O648" s="85" t="str">
        <f t="shared" si="13"/>
        <v/>
      </c>
      <c r="P648" s="85" t="str">
        <f t="shared" si="5"/>
        <v/>
      </c>
      <c r="Q648" s="83"/>
      <c r="R648" s="118" t="str">
        <f>IF($E648="","",IF(COUNTIF($E$7:$E1845,$E648)&gt;1,"",IFERROR(VLOOKUP($E648,Orders!$A:$I,8,FALSE),"")))</f>
        <v/>
      </c>
      <c r="S648" s="118" t="str">
        <f>IF($E648="","",IF(COUNTIF($E$7:$E1845,$E648)&gt;1,"",IFERROR(VLOOKUP($E648,Orders!$A:$I,9,FALSE),"")))</f>
        <v/>
      </c>
      <c r="T648" s="88" t="str">
        <f t="shared" si="14"/>
        <v/>
      </c>
      <c r="U648" s="88" t="str">
        <f>IF($F648="","",IF($E648="",T648,SUMIF(Sales!$E$7:$E$1506,$E648,Sales!$T$7:$T$1506)))</f>
        <v/>
      </c>
      <c r="V648" s="49" t="str">
        <f t="shared" si="15"/>
        <v/>
      </c>
      <c r="W648" s="49" t="str">
        <f t="array" ref="W648">IF($V648="","",SUMPRODUCT((Sales!$V$7:$V$1506&lt;&gt;"")*(Sales!$E$7:$E$1506&lt;$E648))+1)</f>
        <v/>
      </c>
      <c r="X648" s="49" t="str">
        <f t="shared" si="16"/>
        <v/>
      </c>
      <c r="Y648" s="49" t="str">
        <f t="shared" si="17"/>
        <v/>
      </c>
    </row>
    <row r="649" ht="15.75" customHeight="1">
      <c r="A649" s="82"/>
      <c r="B649" s="83"/>
      <c r="C649" s="83"/>
      <c r="D649" s="83"/>
      <c r="E649" s="83"/>
      <c r="F649" s="83"/>
      <c r="G649" s="83" t="str">
        <f>IF($F649="","",IFERROR(VLOOKUP($F649,Inventory!$A:$B,2,FALSE),""))</f>
        <v/>
      </c>
      <c r="H649" s="83"/>
      <c r="I649" s="84" t="str">
        <f t="shared" si="2"/>
        <v/>
      </c>
      <c r="J649" s="85" t="str">
        <f>IF($F649="","",IFERROR(VLOOKUP($F649,Inventory!$A:$K,11,FALSE),0))</f>
        <v/>
      </c>
      <c r="K649" s="85"/>
      <c r="L649" s="85" t="str">
        <f t="shared" si="12"/>
        <v/>
      </c>
      <c r="M649" s="83"/>
      <c r="N649" s="85" t="str">
        <f>IF($F649="","",IFERROR(VLOOKUP($F649,Inventory!$A:$I,9,FALSE),0))</f>
        <v/>
      </c>
      <c r="O649" s="85" t="str">
        <f t="shared" si="13"/>
        <v/>
      </c>
      <c r="P649" s="85" t="str">
        <f t="shared" si="5"/>
        <v/>
      </c>
      <c r="Q649" s="83"/>
      <c r="R649" s="118" t="str">
        <f>IF($E649="","",IF(COUNTIF($E$7:$E1846,$E649)&gt;1,"",IFERROR(VLOOKUP($E649,Orders!$A:$I,8,FALSE),"")))</f>
        <v/>
      </c>
      <c r="S649" s="118" t="str">
        <f>IF($E649="","",IF(COUNTIF($E$7:$E1846,$E649)&gt;1,"",IFERROR(VLOOKUP($E649,Orders!$A:$I,9,FALSE),"")))</f>
        <v/>
      </c>
      <c r="T649" s="88" t="str">
        <f t="shared" si="14"/>
        <v/>
      </c>
      <c r="U649" s="88" t="str">
        <f>IF($F649="","",IF($E649="",T649,SUMIF(Sales!$E$7:$E$1506,$E649,Sales!$T$7:$T$1506)))</f>
        <v/>
      </c>
      <c r="V649" s="49" t="str">
        <f t="shared" si="15"/>
        <v/>
      </c>
      <c r="W649" s="49" t="str">
        <f t="array" ref="W649">IF($V649="","",SUMPRODUCT((Sales!$V$7:$V$1506&lt;&gt;"")*(Sales!$E$7:$E$1506&lt;$E649))+1)</f>
        <v/>
      </c>
      <c r="X649" s="49" t="str">
        <f t="shared" si="16"/>
        <v/>
      </c>
      <c r="Y649" s="49" t="str">
        <f t="shared" si="17"/>
        <v/>
      </c>
    </row>
    <row r="650" ht="15.75" customHeight="1">
      <c r="A650" s="82"/>
      <c r="B650" s="83"/>
      <c r="C650" s="83"/>
      <c r="D650" s="83"/>
      <c r="E650" s="83"/>
      <c r="F650" s="83"/>
      <c r="G650" s="83" t="str">
        <f>IF($F650="","",IFERROR(VLOOKUP($F650,Inventory!$A:$B,2,FALSE),""))</f>
        <v/>
      </c>
      <c r="H650" s="83"/>
      <c r="I650" s="84" t="str">
        <f t="shared" si="2"/>
        <v/>
      </c>
      <c r="J650" s="85" t="str">
        <f>IF($F650="","",IFERROR(VLOOKUP($F650,Inventory!$A:$K,11,FALSE),0))</f>
        <v/>
      </c>
      <c r="K650" s="85"/>
      <c r="L650" s="85" t="str">
        <f t="shared" si="12"/>
        <v/>
      </c>
      <c r="M650" s="83"/>
      <c r="N650" s="85" t="str">
        <f>IF($F650="","",IFERROR(VLOOKUP($F650,Inventory!$A:$I,9,FALSE),0))</f>
        <v/>
      </c>
      <c r="O650" s="85" t="str">
        <f t="shared" si="13"/>
        <v/>
      </c>
      <c r="P650" s="85" t="str">
        <f t="shared" si="5"/>
        <v/>
      </c>
      <c r="Q650" s="83"/>
      <c r="R650" s="118" t="str">
        <f>IF($E650="","",IF(COUNTIF($E$7:$E1847,$E650)&gt;1,"",IFERROR(VLOOKUP($E650,Orders!$A:$I,8,FALSE),"")))</f>
        <v/>
      </c>
      <c r="S650" s="118" t="str">
        <f>IF($E650="","",IF(COUNTIF($E$7:$E1847,$E650)&gt;1,"",IFERROR(VLOOKUP($E650,Orders!$A:$I,9,FALSE),"")))</f>
        <v/>
      </c>
      <c r="T650" s="88" t="str">
        <f t="shared" si="14"/>
        <v/>
      </c>
      <c r="U650" s="88" t="str">
        <f>IF($F650="","",IF($E650="",T650,SUMIF(Sales!$E$7:$E$1506,$E650,Sales!$T$7:$T$1506)))</f>
        <v/>
      </c>
      <c r="V650" s="49" t="str">
        <f t="shared" si="15"/>
        <v/>
      </c>
      <c r="W650" s="49" t="str">
        <f t="array" ref="W650">IF($V650="","",SUMPRODUCT((Sales!$V$7:$V$1506&lt;&gt;"")*(Sales!$E$7:$E$1506&lt;$E650))+1)</f>
        <v/>
      </c>
      <c r="X650" s="49" t="str">
        <f t="shared" si="16"/>
        <v/>
      </c>
      <c r="Y650" s="49" t="str">
        <f t="shared" si="17"/>
        <v/>
      </c>
    </row>
    <row r="651" ht="15.75" customHeight="1">
      <c r="A651" s="82"/>
      <c r="B651" s="83"/>
      <c r="C651" s="83"/>
      <c r="D651" s="83"/>
      <c r="E651" s="83"/>
      <c r="F651" s="83"/>
      <c r="G651" s="83" t="str">
        <f>IF($F651="","",IFERROR(VLOOKUP($F651,Inventory!$A:$B,2,FALSE),""))</f>
        <v/>
      </c>
      <c r="H651" s="83"/>
      <c r="I651" s="84" t="str">
        <f t="shared" si="2"/>
        <v/>
      </c>
      <c r="J651" s="85" t="str">
        <f>IF($F651="","",IFERROR(VLOOKUP($F651,Inventory!$A:$K,11,FALSE),0))</f>
        <v/>
      </c>
      <c r="K651" s="85"/>
      <c r="L651" s="85" t="str">
        <f t="shared" si="12"/>
        <v/>
      </c>
      <c r="M651" s="83"/>
      <c r="N651" s="85" t="str">
        <f>IF($F651="","",IFERROR(VLOOKUP($F651,Inventory!$A:$I,9,FALSE),0))</f>
        <v/>
      </c>
      <c r="O651" s="85" t="str">
        <f t="shared" si="13"/>
        <v/>
      </c>
      <c r="P651" s="85" t="str">
        <f t="shared" si="5"/>
        <v/>
      </c>
      <c r="Q651" s="83"/>
      <c r="R651" s="118" t="str">
        <f>IF($E651="","",IF(COUNTIF($E$7:$E1848,$E651)&gt;1,"",IFERROR(VLOOKUP($E651,Orders!$A:$I,8,FALSE),"")))</f>
        <v/>
      </c>
      <c r="S651" s="118" t="str">
        <f>IF($E651="","",IF(COUNTIF($E$7:$E1848,$E651)&gt;1,"",IFERROR(VLOOKUP($E651,Orders!$A:$I,9,FALSE),"")))</f>
        <v/>
      </c>
      <c r="T651" s="88" t="str">
        <f t="shared" si="14"/>
        <v/>
      </c>
      <c r="U651" s="88" t="str">
        <f>IF($F651="","",IF($E651="",T651,SUMIF(Sales!$E$7:$E$1506,$E651,Sales!$T$7:$T$1506)))</f>
        <v/>
      </c>
      <c r="V651" s="49" t="str">
        <f t="shared" si="15"/>
        <v/>
      </c>
      <c r="W651" s="49" t="str">
        <f t="array" ref="W651">IF($V651="","",SUMPRODUCT((Sales!$V$7:$V$1506&lt;&gt;"")*(Sales!$E$7:$E$1506&lt;$E651))+1)</f>
        <v/>
      </c>
      <c r="X651" s="49" t="str">
        <f t="shared" si="16"/>
        <v/>
      </c>
      <c r="Y651" s="49" t="str">
        <f t="shared" si="17"/>
        <v/>
      </c>
    </row>
    <row r="652" ht="15.75" customHeight="1">
      <c r="A652" s="82"/>
      <c r="B652" s="83"/>
      <c r="C652" s="83"/>
      <c r="D652" s="83"/>
      <c r="E652" s="83"/>
      <c r="F652" s="83"/>
      <c r="G652" s="83" t="str">
        <f>IF($F652="","",IFERROR(VLOOKUP($F652,Inventory!$A:$B,2,FALSE),""))</f>
        <v/>
      </c>
      <c r="H652" s="83"/>
      <c r="I652" s="84" t="str">
        <f t="shared" si="2"/>
        <v/>
      </c>
      <c r="J652" s="85" t="str">
        <f>IF($F652="","",IFERROR(VLOOKUP($F652,Inventory!$A:$K,11,FALSE),0))</f>
        <v/>
      </c>
      <c r="K652" s="85"/>
      <c r="L652" s="85" t="str">
        <f t="shared" si="12"/>
        <v/>
      </c>
      <c r="M652" s="83"/>
      <c r="N652" s="85" t="str">
        <f>IF($F652="","",IFERROR(VLOOKUP($F652,Inventory!$A:$I,9,FALSE),0))</f>
        <v/>
      </c>
      <c r="O652" s="85" t="str">
        <f t="shared" si="13"/>
        <v/>
      </c>
      <c r="P652" s="85" t="str">
        <f t="shared" si="5"/>
        <v/>
      </c>
      <c r="Q652" s="83"/>
      <c r="R652" s="118" t="str">
        <f>IF($E652="","",IF(COUNTIF($E$7:$E1849,$E652)&gt;1,"",IFERROR(VLOOKUP($E652,Orders!$A:$I,8,FALSE),"")))</f>
        <v/>
      </c>
      <c r="S652" s="118" t="str">
        <f>IF($E652="","",IF(COUNTIF($E$7:$E1849,$E652)&gt;1,"",IFERROR(VLOOKUP($E652,Orders!$A:$I,9,FALSE),"")))</f>
        <v/>
      </c>
      <c r="T652" s="88" t="str">
        <f t="shared" si="14"/>
        <v/>
      </c>
      <c r="U652" s="88" t="str">
        <f>IF($F652="","",IF($E652="",T652,SUMIF(Sales!$E$7:$E$1506,$E652,Sales!$T$7:$T$1506)))</f>
        <v/>
      </c>
      <c r="V652" s="49" t="str">
        <f t="shared" si="15"/>
        <v/>
      </c>
      <c r="W652" s="49" t="str">
        <f t="array" ref="W652">IF($V652="","",SUMPRODUCT((Sales!$V$7:$V$1506&lt;&gt;"")*(Sales!$E$7:$E$1506&lt;$E652))+1)</f>
        <v/>
      </c>
      <c r="X652" s="49" t="str">
        <f t="shared" si="16"/>
        <v/>
      </c>
      <c r="Y652" s="49" t="str">
        <f t="shared" si="17"/>
        <v/>
      </c>
    </row>
    <row r="653" ht="15.75" customHeight="1">
      <c r="A653" s="82"/>
      <c r="B653" s="83"/>
      <c r="C653" s="83"/>
      <c r="D653" s="83"/>
      <c r="E653" s="83"/>
      <c r="F653" s="83"/>
      <c r="G653" s="83" t="str">
        <f>IF($F653="","",IFERROR(VLOOKUP($F653,Inventory!$A:$B,2,FALSE),""))</f>
        <v/>
      </c>
      <c r="H653" s="83"/>
      <c r="I653" s="84" t="str">
        <f t="shared" si="2"/>
        <v/>
      </c>
      <c r="J653" s="85" t="str">
        <f>IF($F653="","",IFERROR(VLOOKUP($F653,Inventory!$A:$K,11,FALSE),0))</f>
        <v/>
      </c>
      <c r="K653" s="85"/>
      <c r="L653" s="85" t="str">
        <f t="shared" si="12"/>
        <v/>
      </c>
      <c r="M653" s="83"/>
      <c r="N653" s="85" t="str">
        <f>IF($F653="","",IFERROR(VLOOKUP($F653,Inventory!$A:$I,9,FALSE),0))</f>
        <v/>
      </c>
      <c r="O653" s="85" t="str">
        <f t="shared" si="13"/>
        <v/>
      </c>
      <c r="P653" s="85" t="str">
        <f t="shared" si="5"/>
        <v/>
      </c>
      <c r="Q653" s="83"/>
      <c r="R653" s="118" t="str">
        <f>IF($E653="","",IF(COUNTIF($E$7:$E1850,$E653)&gt;1,"",IFERROR(VLOOKUP($E653,Orders!$A:$I,8,FALSE),"")))</f>
        <v/>
      </c>
      <c r="S653" s="118" t="str">
        <f>IF($E653="","",IF(COUNTIF($E$7:$E1850,$E653)&gt;1,"",IFERROR(VLOOKUP($E653,Orders!$A:$I,9,FALSE),"")))</f>
        <v/>
      </c>
      <c r="T653" s="88" t="str">
        <f t="shared" si="14"/>
        <v/>
      </c>
      <c r="U653" s="88" t="str">
        <f>IF($F653="","",IF($E653="",T653,SUMIF(Sales!$E$7:$E$1506,$E653,Sales!$T$7:$T$1506)))</f>
        <v/>
      </c>
      <c r="V653" s="49" t="str">
        <f t="shared" si="15"/>
        <v/>
      </c>
      <c r="W653" s="49" t="str">
        <f t="array" ref="W653">IF($V653="","",SUMPRODUCT((Sales!$V$7:$V$1506&lt;&gt;"")*(Sales!$E$7:$E$1506&lt;$E653))+1)</f>
        <v/>
      </c>
      <c r="X653" s="49" t="str">
        <f t="shared" si="16"/>
        <v/>
      </c>
      <c r="Y653" s="49" t="str">
        <f t="shared" si="17"/>
        <v/>
      </c>
    </row>
    <row r="654" ht="15.75" customHeight="1">
      <c r="A654" s="82"/>
      <c r="B654" s="83"/>
      <c r="C654" s="83"/>
      <c r="D654" s="83"/>
      <c r="E654" s="83"/>
      <c r="F654" s="83"/>
      <c r="G654" s="83" t="str">
        <f>IF($F654="","",IFERROR(VLOOKUP($F654,Inventory!$A:$B,2,FALSE),""))</f>
        <v/>
      </c>
      <c r="H654" s="83"/>
      <c r="I654" s="84" t="str">
        <f t="shared" si="2"/>
        <v/>
      </c>
      <c r="J654" s="85" t="str">
        <f>IF($F654="","",IFERROR(VLOOKUP($F654,Inventory!$A:$K,11,FALSE),0))</f>
        <v/>
      </c>
      <c r="K654" s="85"/>
      <c r="L654" s="85" t="str">
        <f t="shared" si="12"/>
        <v/>
      </c>
      <c r="M654" s="83"/>
      <c r="N654" s="85" t="str">
        <f>IF($F654="","",IFERROR(VLOOKUP($F654,Inventory!$A:$I,9,FALSE),0))</f>
        <v/>
      </c>
      <c r="O654" s="85" t="str">
        <f t="shared" si="13"/>
        <v/>
      </c>
      <c r="P654" s="85" t="str">
        <f t="shared" si="5"/>
        <v/>
      </c>
      <c r="Q654" s="83"/>
      <c r="R654" s="118" t="str">
        <f>IF($E654="","",IF(COUNTIF($E$7:$E1851,$E654)&gt;1,"",IFERROR(VLOOKUP($E654,Orders!$A:$I,8,FALSE),"")))</f>
        <v/>
      </c>
      <c r="S654" s="118" t="str">
        <f>IF($E654="","",IF(COUNTIF($E$7:$E1851,$E654)&gt;1,"",IFERROR(VLOOKUP($E654,Orders!$A:$I,9,FALSE),"")))</f>
        <v/>
      </c>
      <c r="T654" s="88" t="str">
        <f t="shared" si="14"/>
        <v/>
      </c>
      <c r="U654" s="88" t="str">
        <f>IF($F654="","",IF($E654="",T654,SUMIF(Sales!$E$7:$E$1506,$E654,Sales!$T$7:$T$1506)))</f>
        <v/>
      </c>
      <c r="V654" s="49" t="str">
        <f t="shared" si="15"/>
        <v/>
      </c>
      <c r="W654" s="49" t="str">
        <f t="array" ref="W654">IF($V654="","",SUMPRODUCT((Sales!$V$7:$V$1506&lt;&gt;"")*(Sales!$E$7:$E$1506&lt;$E654))+1)</f>
        <v/>
      </c>
      <c r="X654" s="49" t="str">
        <f t="shared" si="16"/>
        <v/>
      </c>
      <c r="Y654" s="49" t="str">
        <f t="shared" si="17"/>
        <v/>
      </c>
    </row>
    <row r="655" ht="15.75" customHeight="1">
      <c r="A655" s="82"/>
      <c r="B655" s="83"/>
      <c r="C655" s="83"/>
      <c r="D655" s="83"/>
      <c r="E655" s="83"/>
      <c r="F655" s="83"/>
      <c r="G655" s="83" t="str">
        <f>IF($F655="","",IFERROR(VLOOKUP($F655,Inventory!$A:$B,2,FALSE),""))</f>
        <v/>
      </c>
      <c r="H655" s="83"/>
      <c r="I655" s="84" t="str">
        <f t="shared" si="2"/>
        <v/>
      </c>
      <c r="J655" s="85" t="str">
        <f>IF($F655="","",IFERROR(VLOOKUP($F655,Inventory!$A:$K,11,FALSE),0))</f>
        <v/>
      </c>
      <c r="K655" s="85"/>
      <c r="L655" s="85" t="str">
        <f t="shared" si="12"/>
        <v/>
      </c>
      <c r="M655" s="83"/>
      <c r="N655" s="85" t="str">
        <f>IF($F655="","",IFERROR(VLOOKUP($F655,Inventory!$A:$I,9,FALSE),0))</f>
        <v/>
      </c>
      <c r="O655" s="85" t="str">
        <f t="shared" si="13"/>
        <v/>
      </c>
      <c r="P655" s="85" t="str">
        <f t="shared" si="5"/>
        <v/>
      </c>
      <c r="Q655" s="83"/>
      <c r="R655" s="118" t="str">
        <f>IF($E655="","",IF(COUNTIF($E$7:$E1852,$E655)&gt;1,"",IFERROR(VLOOKUP($E655,Orders!$A:$I,8,FALSE),"")))</f>
        <v/>
      </c>
      <c r="S655" s="118" t="str">
        <f>IF($E655="","",IF(COUNTIF($E$7:$E1852,$E655)&gt;1,"",IFERROR(VLOOKUP($E655,Orders!$A:$I,9,FALSE),"")))</f>
        <v/>
      </c>
      <c r="T655" s="88" t="str">
        <f t="shared" si="14"/>
        <v/>
      </c>
      <c r="U655" s="88" t="str">
        <f>IF($F655="","",IF($E655="",T655,SUMIF(Sales!$E$7:$E$1506,$E655,Sales!$T$7:$T$1506)))</f>
        <v/>
      </c>
      <c r="V655" s="49" t="str">
        <f t="shared" si="15"/>
        <v/>
      </c>
      <c r="W655" s="49" t="str">
        <f t="array" ref="W655">IF($V655="","",SUMPRODUCT((Sales!$V$7:$V$1506&lt;&gt;"")*(Sales!$E$7:$E$1506&lt;$E655))+1)</f>
        <v/>
      </c>
      <c r="X655" s="49" t="str">
        <f t="shared" si="16"/>
        <v/>
      </c>
      <c r="Y655" s="49" t="str">
        <f t="shared" si="17"/>
        <v/>
      </c>
    </row>
    <row r="656" ht="15.75" customHeight="1">
      <c r="A656" s="82"/>
      <c r="B656" s="83"/>
      <c r="C656" s="83"/>
      <c r="D656" s="83"/>
      <c r="E656" s="83"/>
      <c r="F656" s="83"/>
      <c r="G656" s="83" t="str">
        <f>IF($F656="","",IFERROR(VLOOKUP($F656,Inventory!$A:$B,2,FALSE),""))</f>
        <v/>
      </c>
      <c r="H656" s="83"/>
      <c r="I656" s="84" t="str">
        <f t="shared" si="2"/>
        <v/>
      </c>
      <c r="J656" s="85" t="str">
        <f>IF($F656="","",IFERROR(VLOOKUP($F656,Inventory!$A:$K,11,FALSE),0))</f>
        <v/>
      </c>
      <c r="K656" s="85"/>
      <c r="L656" s="85" t="str">
        <f t="shared" si="12"/>
        <v/>
      </c>
      <c r="M656" s="83"/>
      <c r="N656" s="85" t="str">
        <f>IF($F656="","",IFERROR(VLOOKUP($F656,Inventory!$A:$I,9,FALSE),0))</f>
        <v/>
      </c>
      <c r="O656" s="85" t="str">
        <f t="shared" si="13"/>
        <v/>
      </c>
      <c r="P656" s="85" t="str">
        <f t="shared" si="5"/>
        <v/>
      </c>
      <c r="Q656" s="83"/>
      <c r="R656" s="118" t="str">
        <f>IF($E656="","",IF(COUNTIF($E$7:$E1853,$E656)&gt;1,"",IFERROR(VLOOKUP($E656,Orders!$A:$I,8,FALSE),"")))</f>
        <v/>
      </c>
      <c r="S656" s="118" t="str">
        <f>IF($E656="","",IF(COUNTIF($E$7:$E1853,$E656)&gt;1,"",IFERROR(VLOOKUP($E656,Orders!$A:$I,9,FALSE),"")))</f>
        <v/>
      </c>
      <c r="T656" s="88" t="str">
        <f t="shared" si="14"/>
        <v/>
      </c>
      <c r="U656" s="88" t="str">
        <f>IF($F656="","",IF($E656="",T656,SUMIF(Sales!$E$7:$E$1506,$E656,Sales!$T$7:$T$1506)))</f>
        <v/>
      </c>
      <c r="V656" s="49" t="str">
        <f t="shared" si="15"/>
        <v/>
      </c>
      <c r="W656" s="49" t="str">
        <f t="array" ref="W656">IF($V656="","",SUMPRODUCT((Sales!$V$7:$V$1506&lt;&gt;"")*(Sales!$E$7:$E$1506&lt;$E656))+1)</f>
        <v/>
      </c>
      <c r="X656" s="49" t="str">
        <f t="shared" si="16"/>
        <v/>
      </c>
      <c r="Y656" s="49" t="str">
        <f t="shared" si="17"/>
        <v/>
      </c>
    </row>
    <row r="657" ht="15.75" customHeight="1">
      <c r="A657" s="82"/>
      <c r="B657" s="83"/>
      <c r="C657" s="83"/>
      <c r="D657" s="83"/>
      <c r="E657" s="83"/>
      <c r="F657" s="83"/>
      <c r="G657" s="83" t="str">
        <f>IF($F657="","",IFERROR(VLOOKUP($F657,Inventory!$A:$B,2,FALSE),""))</f>
        <v/>
      </c>
      <c r="H657" s="83"/>
      <c r="I657" s="84" t="str">
        <f t="shared" si="2"/>
        <v/>
      </c>
      <c r="J657" s="85" t="str">
        <f>IF($F657="","",IFERROR(VLOOKUP($F657,Inventory!$A:$K,11,FALSE),0))</f>
        <v/>
      </c>
      <c r="K657" s="85"/>
      <c r="L657" s="85" t="str">
        <f t="shared" si="12"/>
        <v/>
      </c>
      <c r="M657" s="83"/>
      <c r="N657" s="85" t="str">
        <f>IF($F657="","",IFERROR(VLOOKUP($F657,Inventory!$A:$I,9,FALSE),0))</f>
        <v/>
      </c>
      <c r="O657" s="85" t="str">
        <f t="shared" si="13"/>
        <v/>
      </c>
      <c r="P657" s="85" t="str">
        <f t="shared" si="5"/>
        <v/>
      </c>
      <c r="Q657" s="83"/>
      <c r="R657" s="118" t="str">
        <f>IF($E657="","",IF(COUNTIF($E$7:$E1854,$E657)&gt;1,"",IFERROR(VLOOKUP($E657,Orders!$A:$I,8,FALSE),"")))</f>
        <v/>
      </c>
      <c r="S657" s="118" t="str">
        <f>IF($E657="","",IF(COUNTIF($E$7:$E1854,$E657)&gt;1,"",IFERROR(VLOOKUP($E657,Orders!$A:$I,9,FALSE),"")))</f>
        <v/>
      </c>
      <c r="T657" s="88" t="str">
        <f t="shared" si="14"/>
        <v/>
      </c>
      <c r="U657" s="88" t="str">
        <f>IF($F657="","",IF($E657="",T657,SUMIF(Sales!$E$7:$E$1506,$E657,Sales!$T$7:$T$1506)))</f>
        <v/>
      </c>
      <c r="V657" s="49" t="str">
        <f t="shared" si="15"/>
        <v/>
      </c>
      <c r="W657" s="49" t="str">
        <f t="array" ref="W657">IF($V657="","",SUMPRODUCT((Sales!$V$7:$V$1506&lt;&gt;"")*(Sales!$E$7:$E$1506&lt;$E657))+1)</f>
        <v/>
      </c>
      <c r="X657" s="49" t="str">
        <f t="shared" si="16"/>
        <v/>
      </c>
      <c r="Y657" s="49" t="str">
        <f t="shared" si="17"/>
        <v/>
      </c>
    </row>
    <row r="658" ht="15.75" customHeight="1">
      <c r="A658" s="82"/>
      <c r="B658" s="83"/>
      <c r="C658" s="83"/>
      <c r="D658" s="83"/>
      <c r="E658" s="83"/>
      <c r="F658" s="83"/>
      <c r="G658" s="83" t="str">
        <f>IF($F658="","",IFERROR(VLOOKUP($F658,Inventory!$A:$B,2,FALSE),""))</f>
        <v/>
      </c>
      <c r="H658" s="83"/>
      <c r="I658" s="84" t="str">
        <f t="shared" si="2"/>
        <v/>
      </c>
      <c r="J658" s="85" t="str">
        <f>IF($F658="","",IFERROR(VLOOKUP($F658,Inventory!$A:$K,11,FALSE),0))</f>
        <v/>
      </c>
      <c r="K658" s="85"/>
      <c r="L658" s="85" t="str">
        <f t="shared" si="12"/>
        <v/>
      </c>
      <c r="M658" s="83"/>
      <c r="N658" s="85" t="str">
        <f>IF($F658="","",IFERROR(VLOOKUP($F658,Inventory!$A:$I,9,FALSE),0))</f>
        <v/>
      </c>
      <c r="O658" s="85" t="str">
        <f t="shared" si="13"/>
        <v/>
      </c>
      <c r="P658" s="85" t="str">
        <f t="shared" si="5"/>
        <v/>
      </c>
      <c r="Q658" s="83"/>
      <c r="R658" s="118" t="str">
        <f>IF($E658="","",IF(COUNTIF($E$7:$E1855,$E658)&gt;1,"",IFERROR(VLOOKUP($E658,Orders!$A:$I,8,FALSE),"")))</f>
        <v/>
      </c>
      <c r="S658" s="118" t="str">
        <f>IF($E658="","",IF(COUNTIF($E$7:$E1855,$E658)&gt;1,"",IFERROR(VLOOKUP($E658,Orders!$A:$I,9,FALSE),"")))</f>
        <v/>
      </c>
      <c r="T658" s="88" t="str">
        <f t="shared" si="14"/>
        <v/>
      </c>
      <c r="U658" s="88" t="str">
        <f>IF($F658="","",IF($E658="",T658,SUMIF(Sales!$E$7:$E$1506,$E658,Sales!$T$7:$T$1506)))</f>
        <v/>
      </c>
      <c r="V658" s="49" t="str">
        <f t="shared" si="15"/>
        <v/>
      </c>
      <c r="W658" s="49" t="str">
        <f t="array" ref="W658">IF($V658="","",SUMPRODUCT((Sales!$V$7:$V$1506&lt;&gt;"")*(Sales!$E$7:$E$1506&lt;$E658))+1)</f>
        <v/>
      </c>
      <c r="X658" s="49" t="str">
        <f t="shared" si="16"/>
        <v/>
      </c>
      <c r="Y658" s="49" t="str">
        <f t="shared" si="17"/>
        <v/>
      </c>
    </row>
    <row r="659" ht="15.75" customHeight="1">
      <c r="A659" s="82"/>
      <c r="B659" s="83"/>
      <c r="C659" s="83"/>
      <c r="D659" s="83"/>
      <c r="E659" s="83"/>
      <c r="F659" s="83"/>
      <c r="G659" s="83" t="str">
        <f>IF($F659="","",IFERROR(VLOOKUP($F659,Inventory!$A:$B,2,FALSE),""))</f>
        <v/>
      </c>
      <c r="H659" s="83"/>
      <c r="I659" s="84" t="str">
        <f t="shared" si="2"/>
        <v/>
      </c>
      <c r="J659" s="85" t="str">
        <f>IF($F659="","",IFERROR(VLOOKUP($F659,Inventory!$A:$K,11,FALSE),0))</f>
        <v/>
      </c>
      <c r="K659" s="85"/>
      <c r="L659" s="85" t="str">
        <f t="shared" si="12"/>
        <v/>
      </c>
      <c r="M659" s="83"/>
      <c r="N659" s="85" t="str">
        <f>IF($F659="","",IFERROR(VLOOKUP($F659,Inventory!$A:$I,9,FALSE),0))</f>
        <v/>
      </c>
      <c r="O659" s="85" t="str">
        <f t="shared" si="13"/>
        <v/>
      </c>
      <c r="P659" s="85" t="str">
        <f t="shared" si="5"/>
        <v/>
      </c>
      <c r="Q659" s="83"/>
      <c r="R659" s="118" t="str">
        <f>IF($E659="","",IF(COUNTIF($E$7:$E1856,$E659)&gt;1,"",IFERROR(VLOOKUP($E659,Orders!$A:$I,8,FALSE),"")))</f>
        <v/>
      </c>
      <c r="S659" s="118" t="str">
        <f>IF($E659="","",IF(COUNTIF($E$7:$E1856,$E659)&gt;1,"",IFERROR(VLOOKUP($E659,Orders!$A:$I,9,FALSE),"")))</f>
        <v/>
      </c>
      <c r="T659" s="88" t="str">
        <f t="shared" si="14"/>
        <v/>
      </c>
      <c r="U659" s="88" t="str">
        <f>IF($F659="","",IF($E659="",T659,SUMIF(Sales!$E$7:$E$1506,$E659,Sales!$T$7:$T$1506)))</f>
        <v/>
      </c>
      <c r="V659" s="49" t="str">
        <f t="shared" si="15"/>
        <v/>
      </c>
      <c r="W659" s="49" t="str">
        <f t="array" ref="W659">IF($V659="","",SUMPRODUCT((Sales!$V$7:$V$1506&lt;&gt;"")*(Sales!$E$7:$E$1506&lt;$E659))+1)</f>
        <v/>
      </c>
      <c r="X659" s="49" t="str">
        <f t="shared" si="16"/>
        <v/>
      </c>
      <c r="Y659" s="49" t="str">
        <f t="shared" si="17"/>
        <v/>
      </c>
    </row>
    <row r="660" ht="15.75" customHeight="1">
      <c r="A660" s="82"/>
      <c r="B660" s="83"/>
      <c r="C660" s="83"/>
      <c r="D660" s="83"/>
      <c r="E660" s="83"/>
      <c r="F660" s="83"/>
      <c r="G660" s="83" t="str">
        <f>IF($F660="","",IFERROR(VLOOKUP($F660,Inventory!$A:$B,2,FALSE),""))</f>
        <v/>
      </c>
      <c r="H660" s="83"/>
      <c r="I660" s="84" t="str">
        <f t="shared" si="2"/>
        <v/>
      </c>
      <c r="J660" s="85" t="str">
        <f>IF($F660="","",IFERROR(VLOOKUP($F660,Inventory!$A:$K,11,FALSE),0))</f>
        <v/>
      </c>
      <c r="K660" s="85"/>
      <c r="L660" s="85" t="str">
        <f t="shared" si="12"/>
        <v/>
      </c>
      <c r="M660" s="83"/>
      <c r="N660" s="85" t="str">
        <f>IF($F660="","",IFERROR(VLOOKUP($F660,Inventory!$A:$I,9,FALSE),0))</f>
        <v/>
      </c>
      <c r="O660" s="85" t="str">
        <f t="shared" si="13"/>
        <v/>
      </c>
      <c r="P660" s="85" t="str">
        <f t="shared" si="5"/>
        <v/>
      </c>
      <c r="Q660" s="83"/>
      <c r="R660" s="118" t="str">
        <f>IF($E660="","",IF(COUNTIF($E$7:$E1857,$E660)&gt;1,"",IFERROR(VLOOKUP($E660,Orders!$A:$I,8,FALSE),"")))</f>
        <v/>
      </c>
      <c r="S660" s="118" t="str">
        <f>IF($E660="","",IF(COUNTIF($E$7:$E1857,$E660)&gt;1,"",IFERROR(VLOOKUP($E660,Orders!$A:$I,9,FALSE),"")))</f>
        <v/>
      </c>
      <c r="T660" s="88" t="str">
        <f t="shared" si="14"/>
        <v/>
      </c>
      <c r="U660" s="88" t="str">
        <f>IF($F660="","",IF($E660="",T660,SUMIF(Sales!$E$7:$E$1506,$E660,Sales!$T$7:$T$1506)))</f>
        <v/>
      </c>
      <c r="V660" s="49" t="str">
        <f t="shared" si="15"/>
        <v/>
      </c>
      <c r="W660" s="49" t="str">
        <f t="array" ref="W660">IF($V660="","",SUMPRODUCT((Sales!$V$7:$V$1506&lt;&gt;"")*(Sales!$E$7:$E$1506&lt;$E660))+1)</f>
        <v/>
      </c>
      <c r="X660" s="49" t="str">
        <f t="shared" si="16"/>
        <v/>
      </c>
      <c r="Y660" s="49" t="str">
        <f t="shared" si="17"/>
        <v/>
      </c>
    </row>
    <row r="661" ht="15.75" customHeight="1">
      <c r="A661" s="82"/>
      <c r="B661" s="83"/>
      <c r="C661" s="83"/>
      <c r="D661" s="83"/>
      <c r="E661" s="83"/>
      <c r="F661" s="83"/>
      <c r="G661" s="83" t="str">
        <f>IF($F661="","",IFERROR(VLOOKUP($F661,Inventory!$A:$B,2,FALSE),""))</f>
        <v/>
      </c>
      <c r="H661" s="83"/>
      <c r="I661" s="84" t="str">
        <f t="shared" si="2"/>
        <v/>
      </c>
      <c r="J661" s="85" t="str">
        <f>IF($F661="","",IFERROR(VLOOKUP($F661,Inventory!$A:$K,11,FALSE),0))</f>
        <v/>
      </c>
      <c r="K661" s="85"/>
      <c r="L661" s="85" t="str">
        <f t="shared" si="12"/>
        <v/>
      </c>
      <c r="M661" s="83"/>
      <c r="N661" s="85" t="str">
        <f>IF($F661="","",IFERROR(VLOOKUP($F661,Inventory!$A:$I,9,FALSE),0))</f>
        <v/>
      </c>
      <c r="O661" s="85" t="str">
        <f t="shared" si="13"/>
        <v/>
      </c>
      <c r="P661" s="85" t="str">
        <f t="shared" si="5"/>
        <v/>
      </c>
      <c r="Q661" s="83"/>
      <c r="R661" s="118" t="str">
        <f>IF($E661="","",IF(COUNTIF($E$7:$E1858,$E661)&gt;1,"",IFERROR(VLOOKUP($E661,Orders!$A:$I,8,FALSE),"")))</f>
        <v/>
      </c>
      <c r="S661" s="118" t="str">
        <f>IF($E661="","",IF(COUNTIF($E$7:$E1858,$E661)&gt;1,"",IFERROR(VLOOKUP($E661,Orders!$A:$I,9,FALSE),"")))</f>
        <v/>
      </c>
      <c r="T661" s="88" t="str">
        <f t="shared" si="14"/>
        <v/>
      </c>
      <c r="U661" s="88" t="str">
        <f>IF($F661="","",IF($E661="",T661,SUMIF(Sales!$E$7:$E$1506,$E661,Sales!$T$7:$T$1506)))</f>
        <v/>
      </c>
      <c r="V661" s="49" t="str">
        <f t="shared" si="15"/>
        <v/>
      </c>
      <c r="W661" s="49" t="str">
        <f t="array" ref="W661">IF($V661="","",SUMPRODUCT((Sales!$V$7:$V$1506&lt;&gt;"")*(Sales!$E$7:$E$1506&lt;$E661))+1)</f>
        <v/>
      </c>
      <c r="X661" s="49" t="str">
        <f t="shared" si="16"/>
        <v/>
      </c>
      <c r="Y661" s="49" t="str">
        <f t="shared" si="17"/>
        <v/>
      </c>
    </row>
    <row r="662" ht="15.75" customHeight="1">
      <c r="A662" s="82"/>
      <c r="B662" s="83"/>
      <c r="C662" s="83"/>
      <c r="D662" s="83"/>
      <c r="E662" s="83"/>
      <c r="F662" s="83"/>
      <c r="G662" s="83" t="str">
        <f>IF($F662="","",IFERROR(VLOOKUP($F662,Inventory!$A:$B,2,FALSE),""))</f>
        <v/>
      </c>
      <c r="H662" s="83"/>
      <c r="I662" s="84" t="str">
        <f t="shared" si="2"/>
        <v/>
      </c>
      <c r="J662" s="85" t="str">
        <f>IF($F662="","",IFERROR(VLOOKUP($F662,Inventory!$A:$K,11,FALSE),0))</f>
        <v/>
      </c>
      <c r="K662" s="85"/>
      <c r="L662" s="85" t="str">
        <f t="shared" si="12"/>
        <v/>
      </c>
      <c r="M662" s="83"/>
      <c r="N662" s="85" t="str">
        <f>IF($F662="","",IFERROR(VLOOKUP($F662,Inventory!$A:$I,9,FALSE),0))</f>
        <v/>
      </c>
      <c r="O662" s="85" t="str">
        <f t="shared" si="13"/>
        <v/>
      </c>
      <c r="P662" s="85" t="str">
        <f t="shared" si="5"/>
        <v/>
      </c>
      <c r="Q662" s="83"/>
      <c r="R662" s="118" t="str">
        <f>IF($E662="","",IF(COUNTIF($E$7:$E1859,$E662)&gt;1,"",IFERROR(VLOOKUP($E662,Orders!$A:$I,8,FALSE),"")))</f>
        <v/>
      </c>
      <c r="S662" s="118" t="str">
        <f>IF($E662="","",IF(COUNTIF($E$7:$E1859,$E662)&gt;1,"",IFERROR(VLOOKUP($E662,Orders!$A:$I,9,FALSE),"")))</f>
        <v/>
      </c>
      <c r="T662" s="88" t="str">
        <f t="shared" si="14"/>
        <v/>
      </c>
      <c r="U662" s="88" t="str">
        <f>IF($F662="","",IF($E662="",T662,SUMIF(Sales!$E$7:$E$1506,$E662,Sales!$T$7:$T$1506)))</f>
        <v/>
      </c>
      <c r="V662" s="49" t="str">
        <f t="shared" si="15"/>
        <v/>
      </c>
      <c r="W662" s="49" t="str">
        <f t="array" ref="W662">IF($V662="","",SUMPRODUCT((Sales!$V$7:$V$1506&lt;&gt;"")*(Sales!$E$7:$E$1506&lt;$E662))+1)</f>
        <v/>
      </c>
      <c r="X662" s="49" t="str">
        <f t="shared" si="16"/>
        <v/>
      </c>
      <c r="Y662" s="49" t="str">
        <f t="shared" si="17"/>
        <v/>
      </c>
    </row>
    <row r="663" ht="15.75" customHeight="1">
      <c r="A663" s="82"/>
      <c r="B663" s="83"/>
      <c r="C663" s="83"/>
      <c r="D663" s="83"/>
      <c r="E663" s="83"/>
      <c r="F663" s="83"/>
      <c r="G663" s="83" t="str">
        <f>IF($F663="","",IFERROR(VLOOKUP($F663,Inventory!$A:$B,2,FALSE),""))</f>
        <v/>
      </c>
      <c r="H663" s="83"/>
      <c r="I663" s="84" t="str">
        <f t="shared" si="2"/>
        <v/>
      </c>
      <c r="J663" s="85" t="str">
        <f>IF($F663="","",IFERROR(VLOOKUP($F663,Inventory!$A:$K,11,FALSE),0))</f>
        <v/>
      </c>
      <c r="K663" s="85"/>
      <c r="L663" s="85" t="str">
        <f t="shared" si="12"/>
        <v/>
      </c>
      <c r="M663" s="83"/>
      <c r="N663" s="85" t="str">
        <f>IF($F663="","",IFERROR(VLOOKUP($F663,Inventory!$A:$I,9,FALSE),0))</f>
        <v/>
      </c>
      <c r="O663" s="85" t="str">
        <f t="shared" si="13"/>
        <v/>
      </c>
      <c r="P663" s="85" t="str">
        <f t="shared" si="5"/>
        <v/>
      </c>
      <c r="Q663" s="83"/>
      <c r="R663" s="118" t="str">
        <f>IF($E663="","",IF(COUNTIF($E$7:$E1860,$E663)&gt;1,"",IFERROR(VLOOKUP($E663,Orders!$A:$I,8,FALSE),"")))</f>
        <v/>
      </c>
      <c r="S663" s="118" t="str">
        <f>IF($E663="","",IF(COUNTIF($E$7:$E1860,$E663)&gt;1,"",IFERROR(VLOOKUP($E663,Orders!$A:$I,9,FALSE),"")))</f>
        <v/>
      </c>
      <c r="T663" s="88" t="str">
        <f t="shared" si="14"/>
        <v/>
      </c>
      <c r="U663" s="88" t="str">
        <f>IF($F663="","",IF($E663="",T663,SUMIF(Sales!$E$7:$E$1506,$E663,Sales!$T$7:$T$1506)))</f>
        <v/>
      </c>
      <c r="V663" s="49" t="str">
        <f t="shared" si="15"/>
        <v/>
      </c>
      <c r="W663" s="49" t="str">
        <f t="array" ref="W663">IF($V663="","",SUMPRODUCT((Sales!$V$7:$V$1506&lt;&gt;"")*(Sales!$E$7:$E$1506&lt;$E663))+1)</f>
        <v/>
      </c>
      <c r="X663" s="49" t="str">
        <f t="shared" si="16"/>
        <v/>
      </c>
      <c r="Y663" s="49" t="str">
        <f t="shared" si="17"/>
        <v/>
      </c>
    </row>
    <row r="664" ht="15.75" customHeight="1">
      <c r="A664" s="82"/>
      <c r="B664" s="83"/>
      <c r="C664" s="83"/>
      <c r="D664" s="83"/>
      <c r="E664" s="83"/>
      <c r="F664" s="83"/>
      <c r="G664" s="83" t="str">
        <f>IF($F664="","",IFERROR(VLOOKUP($F664,Inventory!$A:$B,2,FALSE),""))</f>
        <v/>
      </c>
      <c r="H664" s="83"/>
      <c r="I664" s="84" t="str">
        <f t="shared" si="2"/>
        <v/>
      </c>
      <c r="J664" s="85" t="str">
        <f>IF($F664="","",IFERROR(VLOOKUP($F664,Inventory!$A:$K,11,FALSE),0))</f>
        <v/>
      </c>
      <c r="K664" s="85"/>
      <c r="L664" s="85" t="str">
        <f t="shared" si="12"/>
        <v/>
      </c>
      <c r="M664" s="83"/>
      <c r="N664" s="85" t="str">
        <f>IF($F664="","",IFERROR(VLOOKUP($F664,Inventory!$A:$I,9,FALSE),0))</f>
        <v/>
      </c>
      <c r="O664" s="85" t="str">
        <f t="shared" si="13"/>
        <v/>
      </c>
      <c r="P664" s="85" t="str">
        <f t="shared" si="5"/>
        <v/>
      </c>
      <c r="Q664" s="83"/>
      <c r="R664" s="118" t="str">
        <f>IF($E664="","",IF(COUNTIF($E$7:$E1861,$E664)&gt;1,"",IFERROR(VLOOKUP($E664,Orders!$A:$I,8,FALSE),"")))</f>
        <v/>
      </c>
      <c r="S664" s="118" t="str">
        <f>IF($E664="","",IF(COUNTIF($E$7:$E1861,$E664)&gt;1,"",IFERROR(VLOOKUP($E664,Orders!$A:$I,9,FALSE),"")))</f>
        <v/>
      </c>
      <c r="T664" s="88" t="str">
        <f t="shared" si="14"/>
        <v/>
      </c>
      <c r="U664" s="88" t="str">
        <f>IF($F664="","",IF($E664="",T664,SUMIF(Sales!$E$7:$E$1506,$E664,Sales!$T$7:$T$1506)))</f>
        <v/>
      </c>
      <c r="V664" s="49" t="str">
        <f t="shared" si="15"/>
        <v/>
      </c>
      <c r="W664" s="49" t="str">
        <f t="array" ref="W664">IF($V664="","",SUMPRODUCT((Sales!$V$7:$V$1506&lt;&gt;"")*(Sales!$E$7:$E$1506&lt;$E664))+1)</f>
        <v/>
      </c>
      <c r="X664" s="49" t="str">
        <f t="shared" si="16"/>
        <v/>
      </c>
      <c r="Y664" s="49" t="str">
        <f t="shared" si="17"/>
        <v/>
      </c>
    </row>
    <row r="665" ht="15.75" customHeight="1">
      <c r="A665" s="82"/>
      <c r="B665" s="83"/>
      <c r="C665" s="83"/>
      <c r="D665" s="83"/>
      <c r="E665" s="83"/>
      <c r="F665" s="83"/>
      <c r="G665" s="83" t="str">
        <f>IF($F665="","",IFERROR(VLOOKUP($F665,Inventory!$A:$B,2,FALSE),""))</f>
        <v/>
      </c>
      <c r="H665" s="83"/>
      <c r="I665" s="84" t="str">
        <f t="shared" si="2"/>
        <v/>
      </c>
      <c r="J665" s="85" t="str">
        <f>IF($F665="","",IFERROR(VLOOKUP($F665,Inventory!$A:$K,11,FALSE),0))</f>
        <v/>
      </c>
      <c r="K665" s="85"/>
      <c r="L665" s="85" t="str">
        <f t="shared" si="12"/>
        <v/>
      </c>
      <c r="M665" s="83"/>
      <c r="N665" s="85" t="str">
        <f>IF($F665="","",IFERROR(VLOOKUP($F665,Inventory!$A:$I,9,FALSE),0))</f>
        <v/>
      </c>
      <c r="O665" s="85" t="str">
        <f t="shared" si="13"/>
        <v/>
      </c>
      <c r="P665" s="85" t="str">
        <f t="shared" si="5"/>
        <v/>
      </c>
      <c r="Q665" s="83"/>
      <c r="R665" s="118" t="str">
        <f>IF($E665="","",IF(COUNTIF($E$7:$E1862,$E665)&gt;1,"",IFERROR(VLOOKUP($E665,Orders!$A:$I,8,FALSE),"")))</f>
        <v/>
      </c>
      <c r="S665" s="118" t="str">
        <f>IF($E665="","",IF(COUNTIF($E$7:$E1862,$E665)&gt;1,"",IFERROR(VLOOKUP($E665,Orders!$A:$I,9,FALSE),"")))</f>
        <v/>
      </c>
      <c r="T665" s="88" t="str">
        <f t="shared" si="14"/>
        <v/>
      </c>
      <c r="U665" s="88" t="str">
        <f>IF($F665="","",IF($E665="",T665,SUMIF(Sales!$E$7:$E$1506,$E665,Sales!$T$7:$T$1506)))</f>
        <v/>
      </c>
      <c r="V665" s="49" t="str">
        <f t="shared" si="15"/>
        <v/>
      </c>
      <c r="W665" s="49" t="str">
        <f t="array" ref="W665">IF($V665="","",SUMPRODUCT((Sales!$V$7:$V$1506&lt;&gt;"")*(Sales!$E$7:$E$1506&lt;$E665))+1)</f>
        <v/>
      </c>
      <c r="X665" s="49" t="str">
        <f t="shared" si="16"/>
        <v/>
      </c>
      <c r="Y665" s="49" t="str">
        <f t="shared" si="17"/>
        <v/>
      </c>
    </row>
    <row r="666" ht="15.75" customHeight="1">
      <c r="A666" s="82"/>
      <c r="B666" s="83"/>
      <c r="C666" s="83"/>
      <c r="D666" s="83"/>
      <c r="E666" s="83"/>
      <c r="F666" s="83"/>
      <c r="G666" s="83" t="str">
        <f>IF($F666="","",IFERROR(VLOOKUP($F666,Inventory!$A:$B,2,FALSE),""))</f>
        <v/>
      </c>
      <c r="H666" s="83"/>
      <c r="I666" s="84" t="str">
        <f t="shared" si="2"/>
        <v/>
      </c>
      <c r="J666" s="85" t="str">
        <f>IF($F666="","",IFERROR(VLOOKUP($F666,Inventory!$A:$K,11,FALSE),0))</f>
        <v/>
      </c>
      <c r="K666" s="85"/>
      <c r="L666" s="85" t="str">
        <f t="shared" si="12"/>
        <v/>
      </c>
      <c r="M666" s="83"/>
      <c r="N666" s="85" t="str">
        <f>IF($F666="","",IFERROR(VLOOKUP($F666,Inventory!$A:$I,9,FALSE),0))</f>
        <v/>
      </c>
      <c r="O666" s="85" t="str">
        <f t="shared" si="13"/>
        <v/>
      </c>
      <c r="P666" s="85" t="str">
        <f t="shared" si="5"/>
        <v/>
      </c>
      <c r="Q666" s="83"/>
      <c r="R666" s="118" t="str">
        <f>IF($E666="","",IF(COUNTIF($E$7:$E1863,$E666)&gt;1,"",IFERROR(VLOOKUP($E666,Orders!$A:$I,8,FALSE),"")))</f>
        <v/>
      </c>
      <c r="S666" s="118" t="str">
        <f>IF($E666="","",IF(COUNTIF($E$7:$E1863,$E666)&gt;1,"",IFERROR(VLOOKUP($E666,Orders!$A:$I,9,FALSE),"")))</f>
        <v/>
      </c>
      <c r="T666" s="88" t="str">
        <f t="shared" si="14"/>
        <v/>
      </c>
      <c r="U666" s="88" t="str">
        <f>IF($F666="","",IF($E666="",T666,SUMIF(Sales!$E$7:$E$1506,$E666,Sales!$T$7:$T$1506)))</f>
        <v/>
      </c>
      <c r="V666" s="49" t="str">
        <f t="shared" si="15"/>
        <v/>
      </c>
      <c r="W666" s="49" t="str">
        <f t="array" ref="W666">IF($V666="","",SUMPRODUCT((Sales!$V$7:$V$1506&lt;&gt;"")*(Sales!$E$7:$E$1506&lt;$E666))+1)</f>
        <v/>
      </c>
      <c r="X666" s="49" t="str">
        <f t="shared" si="16"/>
        <v/>
      </c>
      <c r="Y666" s="49" t="str">
        <f t="shared" si="17"/>
        <v/>
      </c>
    </row>
    <row r="667" ht="15.75" customHeight="1">
      <c r="A667" s="82"/>
      <c r="B667" s="83"/>
      <c r="C667" s="83"/>
      <c r="D667" s="83"/>
      <c r="E667" s="83"/>
      <c r="F667" s="83"/>
      <c r="G667" s="83" t="str">
        <f>IF($F667="","",IFERROR(VLOOKUP($F667,Inventory!$A:$B,2,FALSE),""))</f>
        <v/>
      </c>
      <c r="H667" s="83"/>
      <c r="I667" s="84" t="str">
        <f t="shared" si="2"/>
        <v/>
      </c>
      <c r="J667" s="85" t="str">
        <f>IF($F667="","",IFERROR(VLOOKUP($F667,Inventory!$A:$K,11,FALSE),0))</f>
        <v/>
      </c>
      <c r="K667" s="85"/>
      <c r="L667" s="85" t="str">
        <f t="shared" si="12"/>
        <v/>
      </c>
      <c r="M667" s="83"/>
      <c r="N667" s="85" t="str">
        <f>IF($F667="","",IFERROR(VLOOKUP($F667,Inventory!$A:$I,9,FALSE),0))</f>
        <v/>
      </c>
      <c r="O667" s="85" t="str">
        <f t="shared" si="13"/>
        <v/>
      </c>
      <c r="P667" s="85" t="str">
        <f t="shared" si="5"/>
        <v/>
      </c>
      <c r="Q667" s="83"/>
      <c r="R667" s="118" t="str">
        <f>IF($E667="","",IF(COUNTIF($E$7:$E1864,$E667)&gt;1,"",IFERROR(VLOOKUP($E667,Orders!$A:$I,8,FALSE),"")))</f>
        <v/>
      </c>
      <c r="S667" s="118" t="str">
        <f>IF($E667="","",IF(COUNTIF($E$7:$E1864,$E667)&gt;1,"",IFERROR(VLOOKUP($E667,Orders!$A:$I,9,FALSE),"")))</f>
        <v/>
      </c>
      <c r="T667" s="88" t="str">
        <f t="shared" si="14"/>
        <v/>
      </c>
      <c r="U667" s="88" t="str">
        <f>IF($F667="","",IF($E667="",T667,SUMIF(Sales!$E$7:$E$1506,$E667,Sales!$T$7:$T$1506)))</f>
        <v/>
      </c>
      <c r="V667" s="49" t="str">
        <f t="shared" si="15"/>
        <v/>
      </c>
      <c r="W667" s="49" t="str">
        <f t="array" ref="W667">IF($V667="","",SUMPRODUCT((Sales!$V$7:$V$1506&lt;&gt;"")*(Sales!$E$7:$E$1506&lt;$E667))+1)</f>
        <v/>
      </c>
      <c r="X667" s="49" t="str">
        <f t="shared" si="16"/>
        <v/>
      </c>
      <c r="Y667" s="49" t="str">
        <f t="shared" si="17"/>
        <v/>
      </c>
    </row>
    <row r="668" ht="15.75" customHeight="1">
      <c r="A668" s="82"/>
      <c r="B668" s="83"/>
      <c r="C668" s="83"/>
      <c r="D668" s="83"/>
      <c r="E668" s="83"/>
      <c r="F668" s="83"/>
      <c r="G668" s="83" t="str">
        <f>IF($F668="","",IFERROR(VLOOKUP($F668,Inventory!$A:$B,2,FALSE),""))</f>
        <v/>
      </c>
      <c r="H668" s="83"/>
      <c r="I668" s="84" t="str">
        <f t="shared" si="2"/>
        <v/>
      </c>
      <c r="J668" s="85" t="str">
        <f>IF($F668="","",IFERROR(VLOOKUP($F668,Inventory!$A:$K,11,FALSE),0))</f>
        <v/>
      </c>
      <c r="K668" s="85"/>
      <c r="L668" s="85" t="str">
        <f t="shared" si="12"/>
        <v/>
      </c>
      <c r="M668" s="83"/>
      <c r="N668" s="85" t="str">
        <f>IF($F668="","",IFERROR(VLOOKUP($F668,Inventory!$A:$I,9,FALSE),0))</f>
        <v/>
      </c>
      <c r="O668" s="85" t="str">
        <f t="shared" si="13"/>
        <v/>
      </c>
      <c r="P668" s="85" t="str">
        <f t="shared" si="5"/>
        <v/>
      </c>
      <c r="Q668" s="83"/>
      <c r="R668" s="118" t="str">
        <f>IF($E668="","",IF(COUNTIF($E$7:$E1865,$E668)&gt;1,"",IFERROR(VLOOKUP($E668,Orders!$A:$I,8,FALSE),"")))</f>
        <v/>
      </c>
      <c r="S668" s="118" t="str">
        <f>IF($E668="","",IF(COUNTIF($E$7:$E1865,$E668)&gt;1,"",IFERROR(VLOOKUP($E668,Orders!$A:$I,9,FALSE),"")))</f>
        <v/>
      </c>
      <c r="T668" s="88" t="str">
        <f t="shared" si="14"/>
        <v/>
      </c>
      <c r="U668" s="88" t="str">
        <f>IF($F668="","",IF($E668="",T668,SUMIF(Sales!$E$7:$E$1506,$E668,Sales!$T$7:$T$1506)))</f>
        <v/>
      </c>
      <c r="V668" s="49" t="str">
        <f t="shared" si="15"/>
        <v/>
      </c>
      <c r="W668" s="49" t="str">
        <f t="array" ref="W668">IF($V668="","",SUMPRODUCT((Sales!$V$7:$V$1506&lt;&gt;"")*(Sales!$E$7:$E$1506&lt;$E668))+1)</f>
        <v/>
      </c>
      <c r="X668" s="49" t="str">
        <f t="shared" si="16"/>
        <v/>
      </c>
      <c r="Y668" s="49" t="str">
        <f t="shared" si="17"/>
        <v/>
      </c>
    </row>
    <row r="669" ht="15.75" customHeight="1">
      <c r="A669" s="82"/>
      <c r="B669" s="83"/>
      <c r="C669" s="83"/>
      <c r="D669" s="83"/>
      <c r="E669" s="83"/>
      <c r="F669" s="83"/>
      <c r="G669" s="83" t="str">
        <f>IF($F669="","",IFERROR(VLOOKUP($F669,Inventory!$A:$B,2,FALSE),""))</f>
        <v/>
      </c>
      <c r="H669" s="83"/>
      <c r="I669" s="84" t="str">
        <f t="shared" si="2"/>
        <v/>
      </c>
      <c r="J669" s="85" t="str">
        <f>IF($F669="","",IFERROR(VLOOKUP($F669,Inventory!$A:$K,11,FALSE),0))</f>
        <v/>
      </c>
      <c r="K669" s="85"/>
      <c r="L669" s="85" t="str">
        <f t="shared" si="12"/>
        <v/>
      </c>
      <c r="M669" s="83"/>
      <c r="N669" s="85" t="str">
        <f>IF($F669="","",IFERROR(VLOOKUP($F669,Inventory!$A:$I,9,FALSE),0))</f>
        <v/>
      </c>
      <c r="O669" s="85" t="str">
        <f t="shared" si="13"/>
        <v/>
      </c>
      <c r="P669" s="85" t="str">
        <f t="shared" si="5"/>
        <v/>
      </c>
      <c r="Q669" s="83"/>
      <c r="R669" s="118" t="str">
        <f>IF($E669="","",IF(COUNTIF($E$7:$E1866,$E669)&gt;1,"",IFERROR(VLOOKUP($E669,Orders!$A:$I,8,FALSE),"")))</f>
        <v/>
      </c>
      <c r="S669" s="118" t="str">
        <f>IF($E669="","",IF(COUNTIF($E$7:$E1866,$E669)&gt;1,"",IFERROR(VLOOKUP($E669,Orders!$A:$I,9,FALSE),"")))</f>
        <v/>
      </c>
      <c r="T669" s="88" t="str">
        <f t="shared" si="14"/>
        <v/>
      </c>
      <c r="U669" s="88" t="str">
        <f>IF($F669="","",IF($E669="",T669,SUMIF(Sales!$E$7:$E$1506,$E669,Sales!$T$7:$T$1506)))</f>
        <v/>
      </c>
      <c r="V669" s="49" t="str">
        <f t="shared" si="15"/>
        <v/>
      </c>
      <c r="W669" s="49" t="str">
        <f t="array" ref="W669">IF($V669="","",SUMPRODUCT((Sales!$V$7:$V$1506&lt;&gt;"")*(Sales!$E$7:$E$1506&lt;$E669))+1)</f>
        <v/>
      </c>
      <c r="X669" s="49" t="str">
        <f t="shared" si="16"/>
        <v/>
      </c>
      <c r="Y669" s="49" t="str">
        <f t="shared" si="17"/>
        <v/>
      </c>
    </row>
    <row r="670" ht="15.75" customHeight="1">
      <c r="A670" s="82"/>
      <c r="B670" s="83"/>
      <c r="C670" s="83"/>
      <c r="D670" s="83"/>
      <c r="E670" s="83"/>
      <c r="F670" s="83"/>
      <c r="G670" s="83" t="str">
        <f>IF($F670="","",IFERROR(VLOOKUP($F670,Inventory!$A:$B,2,FALSE),""))</f>
        <v/>
      </c>
      <c r="H670" s="83"/>
      <c r="I670" s="84" t="str">
        <f t="shared" si="2"/>
        <v/>
      </c>
      <c r="J670" s="85" t="str">
        <f>IF($F670="","",IFERROR(VLOOKUP($F670,Inventory!$A:$K,11,FALSE),0))</f>
        <v/>
      </c>
      <c r="K670" s="85"/>
      <c r="L670" s="85" t="str">
        <f t="shared" si="12"/>
        <v/>
      </c>
      <c r="M670" s="83"/>
      <c r="N670" s="85" t="str">
        <f>IF($F670="","",IFERROR(VLOOKUP($F670,Inventory!$A:$I,9,FALSE),0))</f>
        <v/>
      </c>
      <c r="O670" s="85" t="str">
        <f t="shared" si="13"/>
        <v/>
      </c>
      <c r="P670" s="85" t="str">
        <f t="shared" si="5"/>
        <v/>
      </c>
      <c r="Q670" s="83"/>
      <c r="R670" s="118" t="str">
        <f>IF($E670="","",IF(COUNTIF($E$7:$E1867,$E670)&gt;1,"",IFERROR(VLOOKUP($E670,Orders!$A:$I,8,FALSE),"")))</f>
        <v/>
      </c>
      <c r="S670" s="118" t="str">
        <f>IF($E670="","",IF(COUNTIF($E$7:$E1867,$E670)&gt;1,"",IFERROR(VLOOKUP($E670,Orders!$A:$I,9,FALSE),"")))</f>
        <v/>
      </c>
      <c r="T670" s="88" t="str">
        <f t="shared" si="14"/>
        <v/>
      </c>
      <c r="U670" s="88" t="str">
        <f>IF($F670="","",IF($E670="",T670,SUMIF(Sales!$E$7:$E$1506,$E670,Sales!$T$7:$T$1506)))</f>
        <v/>
      </c>
      <c r="V670" s="49" t="str">
        <f t="shared" si="15"/>
        <v/>
      </c>
      <c r="W670" s="49" t="str">
        <f t="array" ref="W670">IF($V670="","",SUMPRODUCT((Sales!$V$7:$V$1506&lt;&gt;"")*(Sales!$E$7:$E$1506&lt;$E670))+1)</f>
        <v/>
      </c>
      <c r="X670" s="49" t="str">
        <f t="shared" si="16"/>
        <v/>
      </c>
      <c r="Y670" s="49" t="str">
        <f t="shared" si="17"/>
        <v/>
      </c>
    </row>
    <row r="671" ht="15.75" customHeight="1">
      <c r="A671" s="82"/>
      <c r="B671" s="83"/>
      <c r="C671" s="83"/>
      <c r="D671" s="83"/>
      <c r="E671" s="83"/>
      <c r="F671" s="83"/>
      <c r="G671" s="83" t="str">
        <f>IF($F671="","",IFERROR(VLOOKUP($F671,Inventory!$A:$B,2,FALSE),""))</f>
        <v/>
      </c>
      <c r="H671" s="83"/>
      <c r="I671" s="84" t="str">
        <f t="shared" si="2"/>
        <v/>
      </c>
      <c r="J671" s="85" t="str">
        <f>IF($F671="","",IFERROR(VLOOKUP($F671,Inventory!$A:$K,11,FALSE),0))</f>
        <v/>
      </c>
      <c r="K671" s="85"/>
      <c r="L671" s="85" t="str">
        <f t="shared" si="12"/>
        <v/>
      </c>
      <c r="M671" s="83"/>
      <c r="N671" s="85" t="str">
        <f>IF($F671="","",IFERROR(VLOOKUP($F671,Inventory!$A:$I,9,FALSE),0))</f>
        <v/>
      </c>
      <c r="O671" s="85" t="str">
        <f t="shared" si="13"/>
        <v/>
      </c>
      <c r="P671" s="85" t="str">
        <f t="shared" si="5"/>
        <v/>
      </c>
      <c r="Q671" s="83"/>
      <c r="R671" s="118" t="str">
        <f>IF($E671="","",IF(COUNTIF($E$7:$E1868,$E671)&gt;1,"",IFERROR(VLOOKUP($E671,Orders!$A:$I,8,FALSE),"")))</f>
        <v/>
      </c>
      <c r="S671" s="118" t="str">
        <f>IF($E671="","",IF(COUNTIF($E$7:$E1868,$E671)&gt;1,"",IFERROR(VLOOKUP($E671,Orders!$A:$I,9,FALSE),"")))</f>
        <v/>
      </c>
      <c r="T671" s="88" t="str">
        <f t="shared" si="14"/>
        <v/>
      </c>
      <c r="U671" s="88" t="str">
        <f>IF($F671="","",IF($E671="",T671,SUMIF(Sales!$E$7:$E$1506,$E671,Sales!$T$7:$T$1506)))</f>
        <v/>
      </c>
      <c r="V671" s="49" t="str">
        <f t="shared" si="15"/>
        <v/>
      </c>
      <c r="W671" s="49" t="str">
        <f t="array" ref="W671">IF($V671="","",SUMPRODUCT((Sales!$V$7:$V$1506&lt;&gt;"")*(Sales!$E$7:$E$1506&lt;$E671))+1)</f>
        <v/>
      </c>
      <c r="X671" s="49" t="str">
        <f t="shared" si="16"/>
        <v/>
      </c>
      <c r="Y671" s="49" t="str">
        <f t="shared" si="17"/>
        <v/>
      </c>
    </row>
    <row r="672" ht="15.75" customHeight="1">
      <c r="A672" s="82"/>
      <c r="B672" s="83"/>
      <c r="C672" s="83"/>
      <c r="D672" s="83"/>
      <c r="E672" s="83"/>
      <c r="F672" s="83"/>
      <c r="G672" s="83" t="str">
        <f>IF($F672="","",IFERROR(VLOOKUP($F672,Inventory!$A:$B,2,FALSE),""))</f>
        <v/>
      </c>
      <c r="H672" s="83"/>
      <c r="I672" s="84" t="str">
        <f t="shared" si="2"/>
        <v/>
      </c>
      <c r="J672" s="85" t="str">
        <f>IF($F672="","",IFERROR(VLOOKUP($F672,Inventory!$A:$K,11,FALSE),0))</f>
        <v/>
      </c>
      <c r="K672" s="85"/>
      <c r="L672" s="85" t="str">
        <f t="shared" si="12"/>
        <v/>
      </c>
      <c r="M672" s="83"/>
      <c r="N672" s="85" t="str">
        <f>IF($F672="","",IFERROR(VLOOKUP($F672,Inventory!$A:$I,9,FALSE),0))</f>
        <v/>
      </c>
      <c r="O672" s="85" t="str">
        <f t="shared" si="13"/>
        <v/>
      </c>
      <c r="P672" s="85" t="str">
        <f t="shared" si="5"/>
        <v/>
      </c>
      <c r="Q672" s="83"/>
      <c r="R672" s="118" t="str">
        <f>IF($E672="","",IF(COUNTIF($E$7:$E1869,$E672)&gt;1,"",IFERROR(VLOOKUP($E672,Orders!$A:$I,8,FALSE),"")))</f>
        <v/>
      </c>
      <c r="S672" s="118" t="str">
        <f>IF($E672="","",IF(COUNTIF($E$7:$E1869,$E672)&gt;1,"",IFERROR(VLOOKUP($E672,Orders!$A:$I,9,FALSE),"")))</f>
        <v/>
      </c>
      <c r="T672" s="88" t="str">
        <f t="shared" si="14"/>
        <v/>
      </c>
      <c r="U672" s="88" t="str">
        <f>IF($F672="","",IF($E672="",T672,SUMIF(Sales!$E$7:$E$1506,$E672,Sales!$T$7:$T$1506)))</f>
        <v/>
      </c>
      <c r="V672" s="49" t="str">
        <f t="shared" si="15"/>
        <v/>
      </c>
      <c r="W672" s="49" t="str">
        <f t="array" ref="W672">IF($V672="","",SUMPRODUCT((Sales!$V$7:$V$1506&lt;&gt;"")*(Sales!$E$7:$E$1506&lt;$E672))+1)</f>
        <v/>
      </c>
      <c r="X672" s="49" t="str">
        <f t="shared" si="16"/>
        <v/>
      </c>
      <c r="Y672" s="49" t="str">
        <f t="shared" si="17"/>
        <v/>
      </c>
    </row>
    <row r="673" ht="15.75" customHeight="1">
      <c r="A673" s="82"/>
      <c r="B673" s="83"/>
      <c r="C673" s="83"/>
      <c r="D673" s="83"/>
      <c r="E673" s="83"/>
      <c r="F673" s="83"/>
      <c r="G673" s="83" t="str">
        <f>IF($F673="","",IFERROR(VLOOKUP($F673,Inventory!$A:$B,2,FALSE),""))</f>
        <v/>
      </c>
      <c r="H673" s="83"/>
      <c r="I673" s="84" t="str">
        <f t="shared" si="2"/>
        <v/>
      </c>
      <c r="J673" s="85" t="str">
        <f>IF($F673="","",IFERROR(VLOOKUP($F673,Inventory!$A:$K,11,FALSE),0))</f>
        <v/>
      </c>
      <c r="K673" s="85"/>
      <c r="L673" s="85" t="str">
        <f t="shared" si="12"/>
        <v/>
      </c>
      <c r="M673" s="83"/>
      <c r="N673" s="85" t="str">
        <f>IF($F673="","",IFERROR(VLOOKUP($F673,Inventory!$A:$I,9,FALSE),0))</f>
        <v/>
      </c>
      <c r="O673" s="85" t="str">
        <f t="shared" si="13"/>
        <v/>
      </c>
      <c r="P673" s="85" t="str">
        <f t="shared" si="5"/>
        <v/>
      </c>
      <c r="Q673" s="83"/>
      <c r="R673" s="118" t="str">
        <f>IF($E673="","",IF(COUNTIF($E$7:$E1870,$E673)&gt;1,"",IFERROR(VLOOKUP($E673,Orders!$A:$I,8,FALSE),"")))</f>
        <v/>
      </c>
      <c r="S673" s="118" t="str">
        <f>IF($E673="","",IF(COUNTIF($E$7:$E1870,$E673)&gt;1,"",IFERROR(VLOOKUP($E673,Orders!$A:$I,9,FALSE),"")))</f>
        <v/>
      </c>
      <c r="T673" s="88" t="str">
        <f t="shared" si="14"/>
        <v/>
      </c>
      <c r="U673" s="88" t="str">
        <f>IF($F673="","",IF($E673="",T673,SUMIF(Sales!$E$7:$E$1506,$E673,Sales!$T$7:$T$1506)))</f>
        <v/>
      </c>
      <c r="V673" s="49" t="str">
        <f t="shared" si="15"/>
        <v/>
      </c>
      <c r="W673" s="49" t="str">
        <f t="array" ref="W673">IF($V673="","",SUMPRODUCT((Sales!$V$7:$V$1506&lt;&gt;"")*(Sales!$E$7:$E$1506&lt;$E673))+1)</f>
        <v/>
      </c>
      <c r="X673" s="49" t="str">
        <f t="shared" si="16"/>
        <v/>
      </c>
      <c r="Y673" s="49" t="str">
        <f t="shared" si="17"/>
        <v/>
      </c>
    </row>
    <row r="674" ht="15.75" customHeight="1">
      <c r="A674" s="82"/>
      <c r="B674" s="83"/>
      <c r="C674" s="83"/>
      <c r="D674" s="83"/>
      <c r="E674" s="83"/>
      <c r="F674" s="83"/>
      <c r="G674" s="83" t="str">
        <f>IF($F674="","",IFERROR(VLOOKUP($F674,Inventory!$A:$B,2,FALSE),""))</f>
        <v/>
      </c>
      <c r="H674" s="83"/>
      <c r="I674" s="84" t="str">
        <f t="shared" si="2"/>
        <v/>
      </c>
      <c r="J674" s="85" t="str">
        <f>IF($F674="","",IFERROR(VLOOKUP($F674,Inventory!$A:$K,11,FALSE),0))</f>
        <v/>
      </c>
      <c r="K674" s="85"/>
      <c r="L674" s="85" t="str">
        <f t="shared" si="12"/>
        <v/>
      </c>
      <c r="M674" s="83"/>
      <c r="N674" s="85" t="str">
        <f>IF($F674="","",IFERROR(VLOOKUP($F674,Inventory!$A:$I,9,FALSE),0))</f>
        <v/>
      </c>
      <c r="O674" s="85" t="str">
        <f t="shared" si="13"/>
        <v/>
      </c>
      <c r="P674" s="85" t="str">
        <f t="shared" si="5"/>
        <v/>
      </c>
      <c r="Q674" s="83"/>
      <c r="R674" s="118" t="str">
        <f>IF($E674="","",IF(COUNTIF($E$7:$E1871,$E674)&gt;1,"",IFERROR(VLOOKUP($E674,Orders!$A:$I,8,FALSE),"")))</f>
        <v/>
      </c>
      <c r="S674" s="118" t="str">
        <f>IF($E674="","",IF(COUNTIF($E$7:$E1871,$E674)&gt;1,"",IFERROR(VLOOKUP($E674,Orders!$A:$I,9,FALSE),"")))</f>
        <v/>
      </c>
      <c r="T674" s="88" t="str">
        <f t="shared" si="14"/>
        <v/>
      </c>
      <c r="U674" s="88" t="str">
        <f>IF($F674="","",IF($E674="",T674,SUMIF(Sales!$E$7:$E$1506,$E674,Sales!$T$7:$T$1506)))</f>
        <v/>
      </c>
      <c r="V674" s="49" t="str">
        <f t="shared" si="15"/>
        <v/>
      </c>
      <c r="W674" s="49" t="str">
        <f t="array" ref="W674">IF($V674="","",SUMPRODUCT((Sales!$V$7:$V$1506&lt;&gt;"")*(Sales!$E$7:$E$1506&lt;$E674))+1)</f>
        <v/>
      </c>
      <c r="X674" s="49" t="str">
        <f t="shared" si="16"/>
        <v/>
      </c>
      <c r="Y674" s="49" t="str">
        <f t="shared" si="17"/>
        <v/>
      </c>
    </row>
    <row r="675" ht="15.75" customHeight="1">
      <c r="A675" s="82"/>
      <c r="B675" s="83"/>
      <c r="C675" s="83"/>
      <c r="D675" s="83"/>
      <c r="E675" s="83"/>
      <c r="F675" s="83"/>
      <c r="G675" s="83" t="str">
        <f>IF($F675="","",IFERROR(VLOOKUP($F675,Inventory!$A:$B,2,FALSE),""))</f>
        <v/>
      </c>
      <c r="H675" s="83"/>
      <c r="I675" s="84" t="str">
        <f t="shared" si="2"/>
        <v/>
      </c>
      <c r="J675" s="85" t="str">
        <f>IF($F675="","",IFERROR(VLOOKUP($F675,Inventory!$A:$K,11,FALSE),0))</f>
        <v/>
      </c>
      <c r="K675" s="85"/>
      <c r="L675" s="85" t="str">
        <f t="shared" si="12"/>
        <v/>
      </c>
      <c r="M675" s="83"/>
      <c r="N675" s="85" t="str">
        <f>IF($F675="","",IFERROR(VLOOKUP($F675,Inventory!$A:$I,9,FALSE),0))</f>
        <v/>
      </c>
      <c r="O675" s="85" t="str">
        <f t="shared" si="13"/>
        <v/>
      </c>
      <c r="P675" s="85" t="str">
        <f t="shared" si="5"/>
        <v/>
      </c>
      <c r="Q675" s="83"/>
      <c r="R675" s="118" t="str">
        <f>IF($E675="","",IF(COUNTIF($E$7:$E1872,$E675)&gt;1,"",IFERROR(VLOOKUP($E675,Orders!$A:$I,8,FALSE),"")))</f>
        <v/>
      </c>
      <c r="S675" s="118" t="str">
        <f>IF($E675="","",IF(COUNTIF($E$7:$E1872,$E675)&gt;1,"",IFERROR(VLOOKUP($E675,Orders!$A:$I,9,FALSE),"")))</f>
        <v/>
      </c>
      <c r="T675" s="88" t="str">
        <f t="shared" si="14"/>
        <v/>
      </c>
      <c r="U675" s="88" t="str">
        <f>IF($F675="","",IF($E675="",T675,SUMIF(Sales!$E$7:$E$1506,$E675,Sales!$T$7:$T$1506)))</f>
        <v/>
      </c>
      <c r="V675" s="49" t="str">
        <f t="shared" si="15"/>
        <v/>
      </c>
      <c r="W675" s="49" t="str">
        <f t="array" ref="W675">IF($V675="","",SUMPRODUCT((Sales!$V$7:$V$1506&lt;&gt;"")*(Sales!$E$7:$E$1506&lt;$E675))+1)</f>
        <v/>
      </c>
      <c r="X675" s="49" t="str">
        <f t="shared" si="16"/>
        <v/>
      </c>
      <c r="Y675" s="49" t="str">
        <f t="shared" si="17"/>
        <v/>
      </c>
    </row>
    <row r="676" ht="15.75" customHeight="1">
      <c r="A676" s="82"/>
      <c r="B676" s="83"/>
      <c r="C676" s="83"/>
      <c r="D676" s="83"/>
      <c r="E676" s="83"/>
      <c r="F676" s="83"/>
      <c r="G676" s="83" t="str">
        <f>IF($F676="","",IFERROR(VLOOKUP($F676,Inventory!$A:$B,2,FALSE),""))</f>
        <v/>
      </c>
      <c r="H676" s="83"/>
      <c r="I676" s="84" t="str">
        <f t="shared" si="2"/>
        <v/>
      </c>
      <c r="J676" s="85" t="str">
        <f>IF($F676="","",IFERROR(VLOOKUP($F676,Inventory!$A:$K,11,FALSE),0))</f>
        <v/>
      </c>
      <c r="K676" s="85"/>
      <c r="L676" s="85" t="str">
        <f t="shared" si="12"/>
        <v/>
      </c>
      <c r="M676" s="83"/>
      <c r="N676" s="85" t="str">
        <f>IF($F676="","",IFERROR(VLOOKUP($F676,Inventory!$A:$I,9,FALSE),0))</f>
        <v/>
      </c>
      <c r="O676" s="85" t="str">
        <f t="shared" si="13"/>
        <v/>
      </c>
      <c r="P676" s="85" t="str">
        <f t="shared" si="5"/>
        <v/>
      </c>
      <c r="Q676" s="83"/>
      <c r="R676" s="118" t="str">
        <f>IF($E676="","",IF(COUNTIF($E$7:$E1873,$E676)&gt;1,"",IFERROR(VLOOKUP($E676,Orders!$A:$I,8,FALSE),"")))</f>
        <v/>
      </c>
      <c r="S676" s="118" t="str">
        <f>IF($E676="","",IF(COUNTIF($E$7:$E1873,$E676)&gt;1,"",IFERROR(VLOOKUP($E676,Orders!$A:$I,9,FALSE),"")))</f>
        <v/>
      </c>
      <c r="T676" s="88" t="str">
        <f t="shared" si="14"/>
        <v/>
      </c>
      <c r="U676" s="88" t="str">
        <f>IF($F676="","",IF($E676="",T676,SUMIF(Sales!$E$7:$E$1506,$E676,Sales!$T$7:$T$1506)))</f>
        <v/>
      </c>
      <c r="V676" s="49" t="str">
        <f t="shared" si="15"/>
        <v/>
      </c>
      <c r="W676" s="49" t="str">
        <f t="array" ref="W676">IF($V676="","",SUMPRODUCT((Sales!$V$7:$V$1506&lt;&gt;"")*(Sales!$E$7:$E$1506&lt;$E676))+1)</f>
        <v/>
      </c>
      <c r="X676" s="49" t="str">
        <f t="shared" si="16"/>
        <v/>
      </c>
      <c r="Y676" s="49" t="str">
        <f t="shared" si="17"/>
        <v/>
      </c>
    </row>
    <row r="677" ht="15.75" customHeight="1">
      <c r="A677" s="82"/>
      <c r="B677" s="83"/>
      <c r="C677" s="83"/>
      <c r="D677" s="83"/>
      <c r="E677" s="83"/>
      <c r="F677" s="83"/>
      <c r="G677" s="83" t="str">
        <f>IF($F677="","",IFERROR(VLOOKUP($F677,Inventory!$A:$B,2,FALSE),""))</f>
        <v/>
      </c>
      <c r="H677" s="83"/>
      <c r="I677" s="84" t="str">
        <f t="shared" si="2"/>
        <v/>
      </c>
      <c r="J677" s="85" t="str">
        <f>IF($F677="","",IFERROR(VLOOKUP($F677,Inventory!$A:$K,11,FALSE),0))</f>
        <v/>
      </c>
      <c r="K677" s="85"/>
      <c r="L677" s="85" t="str">
        <f t="shared" si="12"/>
        <v/>
      </c>
      <c r="M677" s="83"/>
      <c r="N677" s="85" t="str">
        <f>IF($F677="","",IFERROR(VLOOKUP($F677,Inventory!$A:$I,9,FALSE),0))</f>
        <v/>
      </c>
      <c r="O677" s="85" t="str">
        <f t="shared" si="13"/>
        <v/>
      </c>
      <c r="P677" s="85" t="str">
        <f t="shared" si="5"/>
        <v/>
      </c>
      <c r="Q677" s="83"/>
      <c r="R677" s="118" t="str">
        <f>IF($E677="","",IF(COUNTIF($E$7:$E1874,$E677)&gt;1,"",IFERROR(VLOOKUP($E677,Orders!$A:$I,8,FALSE),"")))</f>
        <v/>
      </c>
      <c r="S677" s="118" t="str">
        <f>IF($E677="","",IF(COUNTIF($E$7:$E1874,$E677)&gt;1,"",IFERROR(VLOOKUP($E677,Orders!$A:$I,9,FALSE),"")))</f>
        <v/>
      </c>
      <c r="T677" s="88" t="str">
        <f t="shared" si="14"/>
        <v/>
      </c>
      <c r="U677" s="88" t="str">
        <f>IF($F677="","",IF($E677="",T677,SUMIF(Sales!$E$7:$E$1506,$E677,Sales!$T$7:$T$1506)))</f>
        <v/>
      </c>
      <c r="V677" s="49" t="str">
        <f t="shared" si="15"/>
        <v/>
      </c>
      <c r="W677" s="49" t="str">
        <f t="array" ref="W677">IF($V677="","",SUMPRODUCT((Sales!$V$7:$V$1506&lt;&gt;"")*(Sales!$E$7:$E$1506&lt;$E677))+1)</f>
        <v/>
      </c>
      <c r="X677" s="49" t="str">
        <f t="shared" si="16"/>
        <v/>
      </c>
      <c r="Y677" s="49" t="str">
        <f t="shared" si="17"/>
        <v/>
      </c>
    </row>
    <row r="678" ht="15.75" customHeight="1">
      <c r="A678" s="82"/>
      <c r="B678" s="83"/>
      <c r="C678" s="83"/>
      <c r="D678" s="83"/>
      <c r="E678" s="83"/>
      <c r="F678" s="83"/>
      <c r="G678" s="83" t="str">
        <f>IF($F678="","",IFERROR(VLOOKUP($F678,Inventory!$A:$B,2,FALSE),""))</f>
        <v/>
      </c>
      <c r="H678" s="83"/>
      <c r="I678" s="84" t="str">
        <f t="shared" si="2"/>
        <v/>
      </c>
      <c r="J678" s="85" t="str">
        <f>IF($F678="","",IFERROR(VLOOKUP($F678,Inventory!$A:$K,11,FALSE),0))</f>
        <v/>
      </c>
      <c r="K678" s="85"/>
      <c r="L678" s="85" t="str">
        <f t="shared" si="12"/>
        <v/>
      </c>
      <c r="M678" s="83"/>
      <c r="N678" s="85" t="str">
        <f>IF($F678="","",IFERROR(VLOOKUP($F678,Inventory!$A:$I,9,FALSE),0))</f>
        <v/>
      </c>
      <c r="O678" s="85" t="str">
        <f t="shared" si="13"/>
        <v/>
      </c>
      <c r="P678" s="85" t="str">
        <f t="shared" si="5"/>
        <v/>
      </c>
      <c r="Q678" s="83"/>
      <c r="R678" s="118" t="str">
        <f>IF($E678="","",IF(COUNTIF($E$7:$E1875,$E678)&gt;1,"",IFERROR(VLOOKUP($E678,Orders!$A:$I,8,FALSE),"")))</f>
        <v/>
      </c>
      <c r="S678" s="118" t="str">
        <f>IF($E678="","",IF(COUNTIF($E$7:$E1875,$E678)&gt;1,"",IFERROR(VLOOKUP($E678,Orders!$A:$I,9,FALSE),"")))</f>
        <v/>
      </c>
      <c r="T678" s="88" t="str">
        <f t="shared" si="14"/>
        <v/>
      </c>
      <c r="U678" s="88" t="str">
        <f>IF($F678="","",IF($E678="",T678,SUMIF(Sales!$E$7:$E$1506,$E678,Sales!$T$7:$T$1506)))</f>
        <v/>
      </c>
      <c r="V678" s="49" t="str">
        <f t="shared" si="15"/>
        <v/>
      </c>
      <c r="W678" s="49" t="str">
        <f t="array" ref="W678">IF($V678="","",SUMPRODUCT((Sales!$V$7:$V$1506&lt;&gt;"")*(Sales!$E$7:$E$1506&lt;$E678))+1)</f>
        <v/>
      </c>
      <c r="X678" s="49" t="str">
        <f t="shared" si="16"/>
        <v/>
      </c>
      <c r="Y678" s="49" t="str">
        <f t="shared" si="17"/>
        <v/>
      </c>
    </row>
    <row r="679" ht="15.75" customHeight="1">
      <c r="A679" s="82"/>
      <c r="B679" s="83"/>
      <c r="C679" s="83"/>
      <c r="D679" s="83"/>
      <c r="E679" s="83"/>
      <c r="F679" s="83"/>
      <c r="G679" s="83" t="str">
        <f>IF($F679="","",IFERROR(VLOOKUP($F679,Inventory!$A:$B,2,FALSE),""))</f>
        <v/>
      </c>
      <c r="H679" s="83"/>
      <c r="I679" s="84" t="str">
        <f t="shared" si="2"/>
        <v/>
      </c>
      <c r="J679" s="85" t="str">
        <f>IF($F679="","",IFERROR(VLOOKUP($F679,Inventory!$A:$K,11,FALSE),0))</f>
        <v/>
      </c>
      <c r="K679" s="85"/>
      <c r="L679" s="85" t="str">
        <f t="shared" si="12"/>
        <v/>
      </c>
      <c r="M679" s="83"/>
      <c r="N679" s="85" t="str">
        <f>IF($F679="","",IFERROR(VLOOKUP($F679,Inventory!$A:$I,9,FALSE),0))</f>
        <v/>
      </c>
      <c r="O679" s="85" t="str">
        <f t="shared" si="13"/>
        <v/>
      </c>
      <c r="P679" s="85" t="str">
        <f t="shared" si="5"/>
        <v/>
      </c>
      <c r="Q679" s="83"/>
      <c r="R679" s="118" t="str">
        <f>IF($E679="","",IF(COUNTIF($E$7:$E1876,$E679)&gt;1,"",IFERROR(VLOOKUP($E679,Orders!$A:$I,8,FALSE),"")))</f>
        <v/>
      </c>
      <c r="S679" s="118" t="str">
        <f>IF($E679="","",IF(COUNTIF($E$7:$E1876,$E679)&gt;1,"",IFERROR(VLOOKUP($E679,Orders!$A:$I,9,FALSE),"")))</f>
        <v/>
      </c>
      <c r="T679" s="88" t="str">
        <f t="shared" si="14"/>
        <v/>
      </c>
      <c r="U679" s="88" t="str">
        <f>IF($F679="","",IF($E679="",T679,SUMIF(Sales!$E$7:$E$1506,$E679,Sales!$T$7:$T$1506)))</f>
        <v/>
      </c>
      <c r="V679" s="49" t="str">
        <f t="shared" si="15"/>
        <v/>
      </c>
      <c r="W679" s="49" t="str">
        <f t="array" ref="W679">IF($V679="","",SUMPRODUCT((Sales!$V$7:$V$1506&lt;&gt;"")*(Sales!$E$7:$E$1506&lt;$E679))+1)</f>
        <v/>
      </c>
      <c r="X679" s="49" t="str">
        <f t="shared" si="16"/>
        <v/>
      </c>
      <c r="Y679" s="49" t="str">
        <f t="shared" si="17"/>
        <v/>
      </c>
    </row>
    <row r="680" ht="15.75" customHeight="1">
      <c r="A680" s="82"/>
      <c r="B680" s="83"/>
      <c r="C680" s="83"/>
      <c r="D680" s="83"/>
      <c r="E680" s="83"/>
      <c r="F680" s="83"/>
      <c r="G680" s="83" t="str">
        <f>IF($F680="","",IFERROR(VLOOKUP($F680,Inventory!$A:$B,2,FALSE),""))</f>
        <v/>
      </c>
      <c r="H680" s="83"/>
      <c r="I680" s="84" t="str">
        <f t="shared" si="2"/>
        <v/>
      </c>
      <c r="J680" s="85" t="str">
        <f>IF($F680="","",IFERROR(VLOOKUP($F680,Inventory!$A:$K,11,FALSE),0))</f>
        <v/>
      </c>
      <c r="K680" s="85"/>
      <c r="L680" s="85" t="str">
        <f t="shared" si="12"/>
        <v/>
      </c>
      <c r="M680" s="83"/>
      <c r="N680" s="85" t="str">
        <f>IF($F680="","",IFERROR(VLOOKUP($F680,Inventory!$A:$I,9,FALSE),0))</f>
        <v/>
      </c>
      <c r="O680" s="85" t="str">
        <f t="shared" si="13"/>
        <v/>
      </c>
      <c r="P680" s="85" t="str">
        <f t="shared" si="5"/>
        <v/>
      </c>
      <c r="Q680" s="83"/>
      <c r="R680" s="118" t="str">
        <f>IF($E680="","",IF(COUNTIF($E$7:$E1877,$E680)&gt;1,"",IFERROR(VLOOKUP($E680,Orders!$A:$I,8,FALSE),"")))</f>
        <v/>
      </c>
      <c r="S680" s="118" t="str">
        <f>IF($E680="","",IF(COUNTIF($E$7:$E1877,$E680)&gt;1,"",IFERROR(VLOOKUP($E680,Orders!$A:$I,9,FALSE),"")))</f>
        <v/>
      </c>
      <c r="T680" s="88" t="str">
        <f t="shared" si="14"/>
        <v/>
      </c>
      <c r="U680" s="88" t="str">
        <f>IF($F680="","",IF($E680="",T680,SUMIF(Sales!$E$7:$E$1506,$E680,Sales!$T$7:$T$1506)))</f>
        <v/>
      </c>
      <c r="V680" s="49" t="str">
        <f t="shared" si="15"/>
        <v/>
      </c>
      <c r="W680" s="49" t="str">
        <f t="array" ref="W680">IF($V680="","",SUMPRODUCT((Sales!$V$7:$V$1506&lt;&gt;"")*(Sales!$E$7:$E$1506&lt;$E680))+1)</f>
        <v/>
      </c>
      <c r="X680" s="49" t="str">
        <f t="shared" si="16"/>
        <v/>
      </c>
      <c r="Y680" s="49" t="str">
        <f t="shared" si="17"/>
        <v/>
      </c>
    </row>
    <row r="681" ht="15.75" customHeight="1">
      <c r="A681" s="82"/>
      <c r="B681" s="83"/>
      <c r="C681" s="83"/>
      <c r="D681" s="83"/>
      <c r="E681" s="83"/>
      <c r="F681" s="83"/>
      <c r="G681" s="83" t="str">
        <f>IF($F681="","",IFERROR(VLOOKUP($F681,Inventory!$A:$B,2,FALSE),""))</f>
        <v/>
      </c>
      <c r="H681" s="83"/>
      <c r="I681" s="84" t="str">
        <f t="shared" si="2"/>
        <v/>
      </c>
      <c r="J681" s="85" t="str">
        <f>IF($F681="","",IFERROR(VLOOKUP($F681,Inventory!$A:$K,11,FALSE),0))</f>
        <v/>
      </c>
      <c r="K681" s="85"/>
      <c r="L681" s="85" t="str">
        <f t="shared" si="12"/>
        <v/>
      </c>
      <c r="M681" s="83"/>
      <c r="N681" s="85" t="str">
        <f>IF($F681="","",IFERROR(VLOOKUP($F681,Inventory!$A:$I,9,FALSE),0))</f>
        <v/>
      </c>
      <c r="O681" s="85" t="str">
        <f t="shared" si="13"/>
        <v/>
      </c>
      <c r="P681" s="85" t="str">
        <f t="shared" si="5"/>
        <v/>
      </c>
      <c r="Q681" s="83"/>
      <c r="R681" s="118" t="str">
        <f>IF($E681="","",IF(COUNTIF($E$7:$E1878,$E681)&gt;1,"",IFERROR(VLOOKUP($E681,Orders!$A:$I,8,FALSE),"")))</f>
        <v/>
      </c>
      <c r="S681" s="118" t="str">
        <f>IF($E681="","",IF(COUNTIF($E$7:$E1878,$E681)&gt;1,"",IFERROR(VLOOKUP($E681,Orders!$A:$I,9,FALSE),"")))</f>
        <v/>
      </c>
      <c r="T681" s="88" t="str">
        <f t="shared" si="14"/>
        <v/>
      </c>
      <c r="U681" s="88" t="str">
        <f>IF($F681="","",IF($E681="",T681,SUMIF(Sales!$E$7:$E$1506,$E681,Sales!$T$7:$T$1506)))</f>
        <v/>
      </c>
      <c r="V681" s="49" t="str">
        <f t="shared" si="15"/>
        <v/>
      </c>
      <c r="W681" s="49" t="str">
        <f t="array" ref="W681">IF($V681="","",SUMPRODUCT((Sales!$V$7:$V$1506&lt;&gt;"")*(Sales!$E$7:$E$1506&lt;$E681))+1)</f>
        <v/>
      </c>
      <c r="X681" s="49" t="str">
        <f t="shared" si="16"/>
        <v/>
      </c>
      <c r="Y681" s="49" t="str">
        <f t="shared" si="17"/>
        <v/>
      </c>
    </row>
    <row r="682" ht="15.75" customHeight="1">
      <c r="A682" s="82"/>
      <c r="B682" s="83"/>
      <c r="C682" s="83"/>
      <c r="D682" s="83"/>
      <c r="E682" s="83"/>
      <c r="F682" s="83"/>
      <c r="G682" s="83" t="str">
        <f>IF($F682="","",IFERROR(VLOOKUP($F682,Inventory!$A:$B,2,FALSE),""))</f>
        <v/>
      </c>
      <c r="H682" s="83"/>
      <c r="I682" s="84" t="str">
        <f t="shared" si="2"/>
        <v/>
      </c>
      <c r="J682" s="85" t="str">
        <f>IF($F682="","",IFERROR(VLOOKUP($F682,Inventory!$A:$K,11,FALSE),0))</f>
        <v/>
      </c>
      <c r="K682" s="85"/>
      <c r="L682" s="85" t="str">
        <f t="shared" si="12"/>
        <v/>
      </c>
      <c r="M682" s="83"/>
      <c r="N682" s="85" t="str">
        <f>IF($F682="","",IFERROR(VLOOKUP($F682,Inventory!$A:$I,9,FALSE),0))</f>
        <v/>
      </c>
      <c r="O682" s="85" t="str">
        <f t="shared" si="13"/>
        <v/>
      </c>
      <c r="P682" s="85" t="str">
        <f t="shared" si="5"/>
        <v/>
      </c>
      <c r="Q682" s="83"/>
      <c r="R682" s="118" t="str">
        <f>IF($E682="","",IF(COUNTIF($E$7:$E1879,$E682)&gt;1,"",IFERROR(VLOOKUP($E682,Orders!$A:$I,8,FALSE),"")))</f>
        <v/>
      </c>
      <c r="S682" s="118" t="str">
        <f>IF($E682="","",IF(COUNTIF($E$7:$E1879,$E682)&gt;1,"",IFERROR(VLOOKUP($E682,Orders!$A:$I,9,FALSE),"")))</f>
        <v/>
      </c>
      <c r="T682" s="88" t="str">
        <f t="shared" si="14"/>
        <v/>
      </c>
      <c r="U682" s="88" t="str">
        <f>IF($F682="","",IF($E682="",T682,SUMIF(Sales!$E$7:$E$1506,$E682,Sales!$T$7:$T$1506)))</f>
        <v/>
      </c>
      <c r="V682" s="49" t="str">
        <f t="shared" si="15"/>
        <v/>
      </c>
      <c r="W682" s="49" t="str">
        <f t="array" ref="W682">IF($V682="","",SUMPRODUCT((Sales!$V$7:$V$1506&lt;&gt;"")*(Sales!$E$7:$E$1506&lt;$E682))+1)</f>
        <v/>
      </c>
      <c r="X682" s="49" t="str">
        <f t="shared" si="16"/>
        <v/>
      </c>
      <c r="Y682" s="49" t="str">
        <f t="shared" si="17"/>
        <v/>
      </c>
    </row>
    <row r="683" ht="15.75" customHeight="1">
      <c r="A683" s="82"/>
      <c r="B683" s="83"/>
      <c r="C683" s="83"/>
      <c r="D683" s="83"/>
      <c r="E683" s="83"/>
      <c r="F683" s="83"/>
      <c r="G683" s="83" t="str">
        <f>IF($F683="","",IFERROR(VLOOKUP($F683,Inventory!$A:$B,2,FALSE),""))</f>
        <v/>
      </c>
      <c r="H683" s="83"/>
      <c r="I683" s="84" t="str">
        <f t="shared" si="2"/>
        <v/>
      </c>
      <c r="J683" s="85" t="str">
        <f>IF($F683="","",IFERROR(VLOOKUP($F683,Inventory!$A:$K,11,FALSE),0))</f>
        <v/>
      </c>
      <c r="K683" s="85"/>
      <c r="L683" s="85" t="str">
        <f t="shared" si="12"/>
        <v/>
      </c>
      <c r="M683" s="83"/>
      <c r="N683" s="85" t="str">
        <f>IF($F683="","",IFERROR(VLOOKUP($F683,Inventory!$A:$I,9,FALSE),0))</f>
        <v/>
      </c>
      <c r="O683" s="85" t="str">
        <f t="shared" si="13"/>
        <v/>
      </c>
      <c r="P683" s="85" t="str">
        <f t="shared" si="5"/>
        <v/>
      </c>
      <c r="Q683" s="83"/>
      <c r="R683" s="118" t="str">
        <f>IF($E683="","",IF(COUNTIF($E$7:$E1880,$E683)&gt;1,"",IFERROR(VLOOKUP($E683,Orders!$A:$I,8,FALSE),"")))</f>
        <v/>
      </c>
      <c r="S683" s="118" t="str">
        <f>IF($E683="","",IF(COUNTIF($E$7:$E1880,$E683)&gt;1,"",IFERROR(VLOOKUP($E683,Orders!$A:$I,9,FALSE),"")))</f>
        <v/>
      </c>
      <c r="T683" s="88" t="str">
        <f t="shared" si="14"/>
        <v/>
      </c>
      <c r="U683" s="88" t="str">
        <f>IF($F683="","",IF($E683="",T683,SUMIF(Sales!$E$7:$E$1506,$E683,Sales!$T$7:$T$1506)))</f>
        <v/>
      </c>
      <c r="V683" s="49" t="str">
        <f t="shared" si="15"/>
        <v/>
      </c>
      <c r="W683" s="49" t="str">
        <f t="array" ref="W683">IF($V683="","",SUMPRODUCT((Sales!$V$7:$V$1506&lt;&gt;"")*(Sales!$E$7:$E$1506&lt;$E683))+1)</f>
        <v/>
      </c>
      <c r="X683" s="49" t="str">
        <f t="shared" si="16"/>
        <v/>
      </c>
      <c r="Y683" s="49" t="str">
        <f t="shared" si="17"/>
        <v/>
      </c>
    </row>
    <row r="684" ht="15.75" customHeight="1">
      <c r="A684" s="82"/>
      <c r="B684" s="83"/>
      <c r="C684" s="83"/>
      <c r="D684" s="83"/>
      <c r="E684" s="83"/>
      <c r="F684" s="83"/>
      <c r="G684" s="83" t="str">
        <f>IF($F684="","",IFERROR(VLOOKUP($F684,Inventory!$A:$B,2,FALSE),""))</f>
        <v/>
      </c>
      <c r="H684" s="83"/>
      <c r="I684" s="84" t="str">
        <f t="shared" si="2"/>
        <v/>
      </c>
      <c r="J684" s="85" t="str">
        <f>IF($F684="","",IFERROR(VLOOKUP($F684,Inventory!$A:$K,11,FALSE),0))</f>
        <v/>
      </c>
      <c r="K684" s="85"/>
      <c r="L684" s="85" t="str">
        <f t="shared" si="12"/>
        <v/>
      </c>
      <c r="M684" s="83"/>
      <c r="N684" s="85" t="str">
        <f>IF($F684="","",IFERROR(VLOOKUP($F684,Inventory!$A:$I,9,FALSE),0))</f>
        <v/>
      </c>
      <c r="O684" s="85" t="str">
        <f t="shared" si="13"/>
        <v/>
      </c>
      <c r="P684" s="85" t="str">
        <f t="shared" si="5"/>
        <v/>
      </c>
      <c r="Q684" s="83"/>
      <c r="R684" s="118" t="str">
        <f>IF($E684="","",IF(COUNTIF($E$7:$E1881,$E684)&gt;1,"",IFERROR(VLOOKUP($E684,Orders!$A:$I,8,FALSE),"")))</f>
        <v/>
      </c>
      <c r="S684" s="118" t="str">
        <f>IF($E684="","",IF(COUNTIF($E$7:$E1881,$E684)&gt;1,"",IFERROR(VLOOKUP($E684,Orders!$A:$I,9,FALSE),"")))</f>
        <v/>
      </c>
      <c r="T684" s="88" t="str">
        <f t="shared" si="14"/>
        <v/>
      </c>
      <c r="U684" s="88" t="str">
        <f>IF($F684="","",IF($E684="",T684,SUMIF(Sales!$E$7:$E$1506,$E684,Sales!$T$7:$T$1506)))</f>
        <v/>
      </c>
      <c r="V684" s="49" t="str">
        <f t="shared" si="15"/>
        <v/>
      </c>
      <c r="W684" s="49" t="str">
        <f t="array" ref="W684">IF($V684="","",SUMPRODUCT((Sales!$V$7:$V$1506&lt;&gt;"")*(Sales!$E$7:$E$1506&lt;$E684))+1)</f>
        <v/>
      </c>
      <c r="X684" s="49" t="str">
        <f t="shared" si="16"/>
        <v/>
      </c>
      <c r="Y684" s="49" t="str">
        <f t="shared" si="17"/>
        <v/>
      </c>
    </row>
    <row r="685" ht="15.75" customHeight="1">
      <c r="A685" s="82"/>
      <c r="B685" s="83"/>
      <c r="C685" s="83"/>
      <c r="D685" s="83"/>
      <c r="E685" s="83"/>
      <c r="F685" s="83"/>
      <c r="G685" s="83" t="str">
        <f>IF($F685="","",IFERROR(VLOOKUP($F685,Inventory!$A:$B,2,FALSE),""))</f>
        <v/>
      </c>
      <c r="H685" s="83"/>
      <c r="I685" s="84" t="str">
        <f t="shared" si="2"/>
        <v/>
      </c>
      <c r="J685" s="85" t="str">
        <f>IF($F685="","",IFERROR(VLOOKUP($F685,Inventory!$A:$K,11,FALSE),0))</f>
        <v/>
      </c>
      <c r="K685" s="85"/>
      <c r="L685" s="85" t="str">
        <f t="shared" si="12"/>
        <v/>
      </c>
      <c r="M685" s="83"/>
      <c r="N685" s="85" t="str">
        <f>IF($F685="","",IFERROR(VLOOKUP($F685,Inventory!$A:$I,9,FALSE),0))</f>
        <v/>
      </c>
      <c r="O685" s="85" t="str">
        <f t="shared" si="13"/>
        <v/>
      </c>
      <c r="P685" s="85" t="str">
        <f t="shared" si="5"/>
        <v/>
      </c>
      <c r="Q685" s="83"/>
      <c r="R685" s="118" t="str">
        <f>IF($E685="","",IF(COUNTIF($E$7:$E1882,$E685)&gt;1,"",IFERROR(VLOOKUP($E685,Orders!$A:$I,8,FALSE),"")))</f>
        <v/>
      </c>
      <c r="S685" s="118" t="str">
        <f>IF($E685="","",IF(COUNTIF($E$7:$E1882,$E685)&gt;1,"",IFERROR(VLOOKUP($E685,Orders!$A:$I,9,FALSE),"")))</f>
        <v/>
      </c>
      <c r="T685" s="88" t="str">
        <f t="shared" si="14"/>
        <v/>
      </c>
      <c r="U685" s="88" t="str">
        <f>IF($F685="","",IF($E685="",T685,SUMIF(Sales!$E$7:$E$1506,$E685,Sales!$T$7:$T$1506)))</f>
        <v/>
      </c>
      <c r="V685" s="49" t="str">
        <f t="shared" si="15"/>
        <v/>
      </c>
      <c r="W685" s="49" t="str">
        <f t="array" ref="W685">IF($V685="","",SUMPRODUCT((Sales!$V$7:$V$1506&lt;&gt;"")*(Sales!$E$7:$E$1506&lt;$E685))+1)</f>
        <v/>
      </c>
      <c r="X685" s="49" t="str">
        <f t="shared" si="16"/>
        <v/>
      </c>
      <c r="Y685" s="49" t="str">
        <f t="shared" si="17"/>
        <v/>
      </c>
    </row>
    <row r="686" ht="15.75" customHeight="1">
      <c r="A686" s="82"/>
      <c r="B686" s="83"/>
      <c r="C686" s="83"/>
      <c r="D686" s="83"/>
      <c r="E686" s="83"/>
      <c r="F686" s="83"/>
      <c r="G686" s="83" t="str">
        <f>IF($F686="","",IFERROR(VLOOKUP($F686,Inventory!$A:$B,2,FALSE),""))</f>
        <v/>
      </c>
      <c r="H686" s="83"/>
      <c r="I686" s="84" t="str">
        <f t="shared" si="2"/>
        <v/>
      </c>
      <c r="J686" s="85" t="str">
        <f>IF($F686="","",IFERROR(VLOOKUP($F686,Inventory!$A:$K,11,FALSE),0))</f>
        <v/>
      </c>
      <c r="K686" s="85"/>
      <c r="L686" s="85" t="str">
        <f t="shared" si="12"/>
        <v/>
      </c>
      <c r="M686" s="83"/>
      <c r="N686" s="85" t="str">
        <f>IF($F686="","",IFERROR(VLOOKUP($F686,Inventory!$A:$I,9,FALSE),0))</f>
        <v/>
      </c>
      <c r="O686" s="85" t="str">
        <f t="shared" si="13"/>
        <v/>
      </c>
      <c r="P686" s="85" t="str">
        <f t="shared" si="5"/>
        <v/>
      </c>
      <c r="Q686" s="83"/>
      <c r="R686" s="118" t="str">
        <f>IF($E686="","",IF(COUNTIF($E$7:$E1883,$E686)&gt;1,"",IFERROR(VLOOKUP($E686,Orders!$A:$I,8,FALSE),"")))</f>
        <v/>
      </c>
      <c r="S686" s="118" t="str">
        <f>IF($E686="","",IF(COUNTIF($E$7:$E1883,$E686)&gt;1,"",IFERROR(VLOOKUP($E686,Orders!$A:$I,9,FALSE),"")))</f>
        <v/>
      </c>
      <c r="T686" s="88" t="str">
        <f t="shared" si="14"/>
        <v/>
      </c>
      <c r="U686" s="88" t="str">
        <f>IF($F686="","",IF($E686="",T686,SUMIF(Sales!$E$7:$E$1506,$E686,Sales!$T$7:$T$1506)))</f>
        <v/>
      </c>
      <c r="V686" s="49" t="str">
        <f t="shared" si="15"/>
        <v/>
      </c>
      <c r="W686" s="49" t="str">
        <f t="array" ref="W686">IF($V686="","",SUMPRODUCT((Sales!$V$7:$V$1506&lt;&gt;"")*(Sales!$E$7:$E$1506&lt;$E686))+1)</f>
        <v/>
      </c>
      <c r="X686" s="49" t="str">
        <f t="shared" si="16"/>
        <v/>
      </c>
      <c r="Y686" s="49" t="str">
        <f t="shared" si="17"/>
        <v/>
      </c>
    </row>
    <row r="687" ht="15.75" customHeight="1">
      <c r="A687" s="82"/>
      <c r="B687" s="83"/>
      <c r="C687" s="83"/>
      <c r="D687" s="83"/>
      <c r="E687" s="83"/>
      <c r="F687" s="83"/>
      <c r="G687" s="83" t="str">
        <f>IF($F687="","",IFERROR(VLOOKUP($F687,Inventory!$A:$B,2,FALSE),""))</f>
        <v/>
      </c>
      <c r="H687" s="83"/>
      <c r="I687" s="84" t="str">
        <f t="shared" si="2"/>
        <v/>
      </c>
      <c r="J687" s="85" t="str">
        <f>IF($F687="","",IFERROR(VLOOKUP($F687,Inventory!$A:$K,11,FALSE),0))</f>
        <v/>
      </c>
      <c r="K687" s="85"/>
      <c r="L687" s="85" t="str">
        <f t="shared" si="12"/>
        <v/>
      </c>
      <c r="M687" s="83"/>
      <c r="N687" s="85" t="str">
        <f>IF($F687="","",IFERROR(VLOOKUP($F687,Inventory!$A:$I,9,FALSE),0))</f>
        <v/>
      </c>
      <c r="O687" s="85" t="str">
        <f t="shared" si="13"/>
        <v/>
      </c>
      <c r="P687" s="85" t="str">
        <f t="shared" si="5"/>
        <v/>
      </c>
      <c r="Q687" s="83"/>
      <c r="R687" s="118" t="str">
        <f>IF($E687="","",IF(COUNTIF($E$7:$E1884,$E687)&gt;1,"",IFERROR(VLOOKUP($E687,Orders!$A:$I,8,FALSE),"")))</f>
        <v/>
      </c>
      <c r="S687" s="118" t="str">
        <f>IF($E687="","",IF(COUNTIF($E$7:$E1884,$E687)&gt;1,"",IFERROR(VLOOKUP($E687,Orders!$A:$I,9,FALSE),"")))</f>
        <v/>
      </c>
      <c r="T687" s="88" t="str">
        <f t="shared" si="14"/>
        <v/>
      </c>
      <c r="U687" s="88" t="str">
        <f>IF($F687="","",IF($E687="",T687,SUMIF(Sales!$E$7:$E$1506,$E687,Sales!$T$7:$T$1506)))</f>
        <v/>
      </c>
      <c r="V687" s="49" t="str">
        <f t="shared" si="15"/>
        <v/>
      </c>
      <c r="W687" s="49" t="str">
        <f t="array" ref="W687">IF($V687="","",SUMPRODUCT((Sales!$V$7:$V$1506&lt;&gt;"")*(Sales!$E$7:$E$1506&lt;$E687))+1)</f>
        <v/>
      </c>
      <c r="X687" s="49" t="str">
        <f t="shared" si="16"/>
        <v/>
      </c>
      <c r="Y687" s="49" t="str">
        <f t="shared" si="17"/>
        <v/>
      </c>
    </row>
    <row r="688" ht="15.75" customHeight="1">
      <c r="A688" s="82"/>
      <c r="B688" s="83"/>
      <c r="C688" s="83"/>
      <c r="D688" s="83"/>
      <c r="E688" s="83"/>
      <c r="F688" s="83"/>
      <c r="G688" s="83" t="str">
        <f>IF($F688="","",IFERROR(VLOOKUP($F688,Inventory!$A:$B,2,FALSE),""))</f>
        <v/>
      </c>
      <c r="H688" s="83"/>
      <c r="I688" s="84" t="str">
        <f t="shared" si="2"/>
        <v/>
      </c>
      <c r="J688" s="85" t="str">
        <f>IF($F688="","",IFERROR(VLOOKUP($F688,Inventory!$A:$K,11,FALSE),0))</f>
        <v/>
      </c>
      <c r="K688" s="85"/>
      <c r="L688" s="85" t="str">
        <f t="shared" si="12"/>
        <v/>
      </c>
      <c r="M688" s="83"/>
      <c r="N688" s="85" t="str">
        <f>IF($F688="","",IFERROR(VLOOKUP($F688,Inventory!$A:$I,9,FALSE),0))</f>
        <v/>
      </c>
      <c r="O688" s="85" t="str">
        <f t="shared" si="13"/>
        <v/>
      </c>
      <c r="P688" s="85" t="str">
        <f t="shared" si="5"/>
        <v/>
      </c>
      <c r="Q688" s="83"/>
      <c r="R688" s="118" t="str">
        <f>IF($E688="","",IF(COUNTIF($E$7:$E1885,$E688)&gt;1,"",IFERROR(VLOOKUP($E688,Orders!$A:$I,8,FALSE),"")))</f>
        <v/>
      </c>
      <c r="S688" s="118" t="str">
        <f>IF($E688="","",IF(COUNTIF($E$7:$E1885,$E688)&gt;1,"",IFERROR(VLOOKUP($E688,Orders!$A:$I,9,FALSE),"")))</f>
        <v/>
      </c>
      <c r="T688" s="88" t="str">
        <f t="shared" si="14"/>
        <v/>
      </c>
      <c r="U688" s="88" t="str">
        <f>IF($F688="","",IF($E688="",T688,SUMIF(Sales!$E$7:$E$1506,$E688,Sales!$T$7:$T$1506)))</f>
        <v/>
      </c>
      <c r="V688" s="49" t="str">
        <f t="shared" si="15"/>
        <v/>
      </c>
      <c r="W688" s="49" t="str">
        <f t="array" ref="W688">IF($V688="","",SUMPRODUCT((Sales!$V$7:$V$1506&lt;&gt;"")*(Sales!$E$7:$E$1506&lt;$E688))+1)</f>
        <v/>
      </c>
      <c r="X688" s="49" t="str">
        <f t="shared" si="16"/>
        <v/>
      </c>
      <c r="Y688" s="49" t="str">
        <f t="shared" si="17"/>
        <v/>
      </c>
    </row>
    <row r="689" ht="15.75" customHeight="1">
      <c r="A689" s="82"/>
      <c r="B689" s="83"/>
      <c r="C689" s="83"/>
      <c r="D689" s="83"/>
      <c r="E689" s="83"/>
      <c r="F689" s="83"/>
      <c r="G689" s="83" t="str">
        <f>IF($F689="","",IFERROR(VLOOKUP($F689,Inventory!$A:$B,2,FALSE),""))</f>
        <v/>
      </c>
      <c r="H689" s="83"/>
      <c r="I689" s="84" t="str">
        <f t="shared" si="2"/>
        <v/>
      </c>
      <c r="J689" s="85" t="str">
        <f>IF($F689="","",IFERROR(VLOOKUP($F689,Inventory!$A:$K,11,FALSE),0))</f>
        <v/>
      </c>
      <c r="K689" s="85"/>
      <c r="L689" s="85" t="str">
        <f t="shared" si="12"/>
        <v/>
      </c>
      <c r="M689" s="83"/>
      <c r="N689" s="85" t="str">
        <f>IF($F689="","",IFERROR(VLOOKUP($F689,Inventory!$A:$I,9,FALSE),0))</f>
        <v/>
      </c>
      <c r="O689" s="85" t="str">
        <f t="shared" si="13"/>
        <v/>
      </c>
      <c r="P689" s="85" t="str">
        <f t="shared" si="5"/>
        <v/>
      </c>
      <c r="Q689" s="83"/>
      <c r="R689" s="118" t="str">
        <f>IF($E689="","",IF(COUNTIF($E$7:$E1886,$E689)&gt;1,"",IFERROR(VLOOKUP($E689,Orders!$A:$I,8,FALSE),"")))</f>
        <v/>
      </c>
      <c r="S689" s="118" t="str">
        <f>IF($E689="","",IF(COUNTIF($E$7:$E1886,$E689)&gt;1,"",IFERROR(VLOOKUP($E689,Orders!$A:$I,9,FALSE),"")))</f>
        <v/>
      </c>
      <c r="T689" s="88" t="str">
        <f t="shared" si="14"/>
        <v/>
      </c>
      <c r="U689" s="88" t="str">
        <f>IF($F689="","",IF($E689="",T689,SUMIF(Sales!$E$7:$E$1506,$E689,Sales!$T$7:$T$1506)))</f>
        <v/>
      </c>
      <c r="V689" s="49" t="str">
        <f t="shared" si="15"/>
        <v/>
      </c>
      <c r="W689" s="49" t="str">
        <f t="array" ref="W689">IF($V689="","",SUMPRODUCT((Sales!$V$7:$V$1506&lt;&gt;"")*(Sales!$E$7:$E$1506&lt;$E689))+1)</f>
        <v/>
      </c>
      <c r="X689" s="49" t="str">
        <f t="shared" si="16"/>
        <v/>
      </c>
      <c r="Y689" s="49" t="str">
        <f t="shared" si="17"/>
        <v/>
      </c>
    </row>
    <row r="690" ht="15.75" customHeight="1">
      <c r="A690" s="82"/>
      <c r="B690" s="83"/>
      <c r="C690" s="83"/>
      <c r="D690" s="83"/>
      <c r="E690" s="83"/>
      <c r="F690" s="83"/>
      <c r="G690" s="83" t="str">
        <f>IF($F690="","",IFERROR(VLOOKUP($F690,Inventory!$A:$B,2,FALSE),""))</f>
        <v/>
      </c>
      <c r="H690" s="83"/>
      <c r="I690" s="84" t="str">
        <f t="shared" si="2"/>
        <v/>
      </c>
      <c r="J690" s="85" t="str">
        <f>IF($F690="","",IFERROR(VLOOKUP($F690,Inventory!$A:$K,11,FALSE),0))</f>
        <v/>
      </c>
      <c r="K690" s="85"/>
      <c r="L690" s="85" t="str">
        <f t="shared" si="12"/>
        <v/>
      </c>
      <c r="M690" s="83"/>
      <c r="N690" s="85" t="str">
        <f>IF($F690="","",IFERROR(VLOOKUP($F690,Inventory!$A:$I,9,FALSE),0))</f>
        <v/>
      </c>
      <c r="O690" s="85" t="str">
        <f t="shared" si="13"/>
        <v/>
      </c>
      <c r="P690" s="85" t="str">
        <f t="shared" si="5"/>
        <v/>
      </c>
      <c r="Q690" s="83"/>
      <c r="R690" s="118" t="str">
        <f>IF($E690="","",IF(COUNTIF($E$7:$E1887,$E690)&gt;1,"",IFERROR(VLOOKUP($E690,Orders!$A:$I,8,FALSE),"")))</f>
        <v/>
      </c>
      <c r="S690" s="118" t="str">
        <f>IF($E690="","",IF(COUNTIF($E$7:$E1887,$E690)&gt;1,"",IFERROR(VLOOKUP($E690,Orders!$A:$I,9,FALSE),"")))</f>
        <v/>
      </c>
      <c r="T690" s="88" t="str">
        <f t="shared" si="14"/>
        <v/>
      </c>
      <c r="U690" s="88" t="str">
        <f>IF($F690="","",IF($E690="",T690,SUMIF(Sales!$E$7:$E$1506,$E690,Sales!$T$7:$T$1506)))</f>
        <v/>
      </c>
      <c r="V690" s="49" t="str">
        <f t="shared" si="15"/>
        <v/>
      </c>
      <c r="W690" s="49" t="str">
        <f t="array" ref="W690">IF($V690="","",SUMPRODUCT((Sales!$V$7:$V$1506&lt;&gt;"")*(Sales!$E$7:$E$1506&lt;$E690))+1)</f>
        <v/>
      </c>
      <c r="X690" s="49" t="str">
        <f t="shared" si="16"/>
        <v/>
      </c>
      <c r="Y690" s="49" t="str">
        <f t="shared" si="17"/>
        <v/>
      </c>
    </row>
    <row r="691" ht="15.75" customHeight="1">
      <c r="A691" s="82"/>
      <c r="B691" s="83"/>
      <c r="C691" s="83"/>
      <c r="D691" s="83"/>
      <c r="E691" s="83"/>
      <c r="F691" s="83"/>
      <c r="G691" s="83" t="str">
        <f>IF($F691="","",IFERROR(VLOOKUP($F691,Inventory!$A:$B,2,FALSE),""))</f>
        <v/>
      </c>
      <c r="H691" s="83"/>
      <c r="I691" s="84" t="str">
        <f t="shared" si="2"/>
        <v/>
      </c>
      <c r="J691" s="85" t="str">
        <f>IF($F691="","",IFERROR(VLOOKUP($F691,Inventory!$A:$K,11,FALSE),0))</f>
        <v/>
      </c>
      <c r="K691" s="85"/>
      <c r="L691" s="85" t="str">
        <f t="shared" si="12"/>
        <v/>
      </c>
      <c r="M691" s="83"/>
      <c r="N691" s="85" t="str">
        <f>IF($F691="","",IFERROR(VLOOKUP($F691,Inventory!$A:$I,9,FALSE),0))</f>
        <v/>
      </c>
      <c r="O691" s="85" t="str">
        <f t="shared" si="13"/>
        <v/>
      </c>
      <c r="P691" s="85" t="str">
        <f t="shared" si="5"/>
        <v/>
      </c>
      <c r="Q691" s="83"/>
      <c r="R691" s="118" t="str">
        <f>IF($E691="","",IF(COUNTIF($E$7:$E1888,$E691)&gt;1,"",IFERROR(VLOOKUP($E691,Orders!$A:$I,8,FALSE),"")))</f>
        <v/>
      </c>
      <c r="S691" s="118" t="str">
        <f>IF($E691="","",IF(COUNTIF($E$7:$E1888,$E691)&gt;1,"",IFERROR(VLOOKUP($E691,Orders!$A:$I,9,FALSE),"")))</f>
        <v/>
      </c>
      <c r="T691" s="88" t="str">
        <f t="shared" si="14"/>
        <v/>
      </c>
      <c r="U691" s="88" t="str">
        <f>IF($F691="","",IF($E691="",T691,SUMIF(Sales!$E$7:$E$1506,$E691,Sales!$T$7:$T$1506)))</f>
        <v/>
      </c>
      <c r="V691" s="49" t="str">
        <f t="shared" si="15"/>
        <v/>
      </c>
      <c r="W691" s="49" t="str">
        <f t="array" ref="W691">IF($V691="","",SUMPRODUCT((Sales!$V$7:$V$1506&lt;&gt;"")*(Sales!$E$7:$E$1506&lt;$E691))+1)</f>
        <v/>
      </c>
      <c r="X691" s="49" t="str">
        <f t="shared" si="16"/>
        <v/>
      </c>
      <c r="Y691" s="49" t="str">
        <f t="shared" si="17"/>
        <v/>
      </c>
    </row>
    <row r="692" ht="15.75" customHeight="1">
      <c r="A692" s="82"/>
      <c r="B692" s="83"/>
      <c r="C692" s="83"/>
      <c r="D692" s="83"/>
      <c r="E692" s="83"/>
      <c r="F692" s="83"/>
      <c r="G692" s="83" t="str">
        <f>IF($F692="","",IFERROR(VLOOKUP($F692,Inventory!$A:$B,2,FALSE),""))</f>
        <v/>
      </c>
      <c r="H692" s="83"/>
      <c r="I692" s="84" t="str">
        <f t="shared" si="2"/>
        <v/>
      </c>
      <c r="J692" s="85" t="str">
        <f>IF($F692="","",IFERROR(VLOOKUP($F692,Inventory!$A:$K,11,FALSE),0))</f>
        <v/>
      </c>
      <c r="K692" s="85"/>
      <c r="L692" s="85" t="str">
        <f t="shared" si="12"/>
        <v/>
      </c>
      <c r="M692" s="83"/>
      <c r="N692" s="85" t="str">
        <f>IF($F692="","",IFERROR(VLOOKUP($F692,Inventory!$A:$I,9,FALSE),0))</f>
        <v/>
      </c>
      <c r="O692" s="85" t="str">
        <f t="shared" si="13"/>
        <v/>
      </c>
      <c r="P692" s="85" t="str">
        <f t="shared" si="5"/>
        <v/>
      </c>
      <c r="Q692" s="83"/>
      <c r="R692" s="118" t="str">
        <f>IF($E692="","",IF(COUNTIF($E$7:$E1889,$E692)&gt;1,"",IFERROR(VLOOKUP($E692,Orders!$A:$I,8,FALSE),"")))</f>
        <v/>
      </c>
      <c r="S692" s="118" t="str">
        <f>IF($E692="","",IF(COUNTIF($E$7:$E1889,$E692)&gt;1,"",IFERROR(VLOOKUP($E692,Orders!$A:$I,9,FALSE),"")))</f>
        <v/>
      </c>
      <c r="T692" s="88" t="str">
        <f t="shared" si="14"/>
        <v/>
      </c>
      <c r="U692" s="88" t="str">
        <f>IF($F692="","",IF($E692="",T692,SUMIF(Sales!$E$7:$E$1506,$E692,Sales!$T$7:$T$1506)))</f>
        <v/>
      </c>
      <c r="V692" s="49" t="str">
        <f t="shared" si="15"/>
        <v/>
      </c>
      <c r="W692" s="49" t="str">
        <f t="array" ref="W692">IF($V692="","",SUMPRODUCT((Sales!$V$7:$V$1506&lt;&gt;"")*(Sales!$E$7:$E$1506&lt;$E692))+1)</f>
        <v/>
      </c>
      <c r="X692" s="49" t="str">
        <f t="shared" si="16"/>
        <v/>
      </c>
      <c r="Y692" s="49" t="str">
        <f t="shared" si="17"/>
        <v/>
      </c>
    </row>
    <row r="693" ht="15.75" customHeight="1">
      <c r="A693" s="82"/>
      <c r="B693" s="83"/>
      <c r="C693" s="83"/>
      <c r="D693" s="83"/>
      <c r="E693" s="83"/>
      <c r="F693" s="83"/>
      <c r="G693" s="83" t="str">
        <f>IF($F693="","",IFERROR(VLOOKUP($F693,Inventory!$A:$B,2,FALSE),""))</f>
        <v/>
      </c>
      <c r="H693" s="83"/>
      <c r="I693" s="84" t="str">
        <f t="shared" si="2"/>
        <v/>
      </c>
      <c r="J693" s="85" t="str">
        <f>IF($F693="","",IFERROR(VLOOKUP($F693,Inventory!$A:$K,11,FALSE),0))</f>
        <v/>
      </c>
      <c r="K693" s="85"/>
      <c r="L693" s="85" t="str">
        <f t="shared" si="12"/>
        <v/>
      </c>
      <c r="M693" s="83"/>
      <c r="N693" s="85" t="str">
        <f>IF($F693="","",IFERROR(VLOOKUP($F693,Inventory!$A:$I,9,FALSE),0))</f>
        <v/>
      </c>
      <c r="O693" s="85" t="str">
        <f t="shared" si="13"/>
        <v/>
      </c>
      <c r="P693" s="85" t="str">
        <f t="shared" si="5"/>
        <v/>
      </c>
      <c r="Q693" s="83"/>
      <c r="R693" s="118" t="str">
        <f>IF($E693="","",IF(COUNTIF($E$7:$E1890,$E693)&gt;1,"",IFERROR(VLOOKUP($E693,Orders!$A:$I,8,FALSE),"")))</f>
        <v/>
      </c>
      <c r="S693" s="118" t="str">
        <f>IF($E693="","",IF(COUNTIF($E$7:$E1890,$E693)&gt;1,"",IFERROR(VLOOKUP($E693,Orders!$A:$I,9,FALSE),"")))</f>
        <v/>
      </c>
      <c r="T693" s="88" t="str">
        <f t="shared" si="14"/>
        <v/>
      </c>
      <c r="U693" s="88" t="str">
        <f>IF($F693="","",IF($E693="",T693,SUMIF(Sales!$E$7:$E$1506,$E693,Sales!$T$7:$T$1506)))</f>
        <v/>
      </c>
      <c r="V693" s="49" t="str">
        <f t="shared" si="15"/>
        <v/>
      </c>
      <c r="W693" s="49" t="str">
        <f t="array" ref="W693">IF($V693="","",SUMPRODUCT((Sales!$V$7:$V$1506&lt;&gt;"")*(Sales!$E$7:$E$1506&lt;$E693))+1)</f>
        <v/>
      </c>
      <c r="X693" s="49" t="str">
        <f t="shared" si="16"/>
        <v/>
      </c>
      <c r="Y693" s="49" t="str">
        <f t="shared" si="17"/>
        <v/>
      </c>
    </row>
    <row r="694" ht="15.75" customHeight="1">
      <c r="A694" s="82"/>
      <c r="B694" s="83"/>
      <c r="C694" s="83"/>
      <c r="D694" s="83"/>
      <c r="E694" s="83"/>
      <c r="F694" s="83"/>
      <c r="G694" s="83" t="str">
        <f>IF($F694="","",IFERROR(VLOOKUP($F694,Inventory!$A:$B,2,FALSE),""))</f>
        <v/>
      </c>
      <c r="H694" s="83"/>
      <c r="I694" s="84" t="str">
        <f t="shared" si="2"/>
        <v/>
      </c>
      <c r="J694" s="85" t="str">
        <f>IF($F694="","",IFERROR(VLOOKUP($F694,Inventory!$A:$K,11,FALSE),0))</f>
        <v/>
      </c>
      <c r="K694" s="85"/>
      <c r="L694" s="85" t="str">
        <f t="shared" si="12"/>
        <v/>
      </c>
      <c r="M694" s="83"/>
      <c r="N694" s="85" t="str">
        <f>IF($F694="","",IFERROR(VLOOKUP($F694,Inventory!$A:$I,9,FALSE),0))</f>
        <v/>
      </c>
      <c r="O694" s="85" t="str">
        <f t="shared" si="13"/>
        <v/>
      </c>
      <c r="P694" s="85" t="str">
        <f t="shared" si="5"/>
        <v/>
      </c>
      <c r="Q694" s="83"/>
      <c r="R694" s="118" t="str">
        <f>IF($E694="","",IF(COUNTIF($E$7:$E1891,$E694)&gt;1,"",IFERROR(VLOOKUP($E694,Orders!$A:$I,8,FALSE),"")))</f>
        <v/>
      </c>
      <c r="S694" s="118" t="str">
        <f>IF($E694="","",IF(COUNTIF($E$7:$E1891,$E694)&gt;1,"",IFERROR(VLOOKUP($E694,Orders!$A:$I,9,FALSE),"")))</f>
        <v/>
      </c>
      <c r="T694" s="88" t="str">
        <f t="shared" si="14"/>
        <v/>
      </c>
      <c r="U694" s="88" t="str">
        <f>IF($F694="","",IF($E694="",T694,SUMIF(Sales!$E$7:$E$1506,$E694,Sales!$T$7:$T$1506)))</f>
        <v/>
      </c>
      <c r="V694" s="49" t="str">
        <f t="shared" si="15"/>
        <v/>
      </c>
      <c r="W694" s="49" t="str">
        <f t="array" ref="W694">IF($V694="","",SUMPRODUCT((Sales!$V$7:$V$1506&lt;&gt;"")*(Sales!$E$7:$E$1506&lt;$E694))+1)</f>
        <v/>
      </c>
      <c r="X694" s="49" t="str">
        <f t="shared" si="16"/>
        <v/>
      </c>
      <c r="Y694" s="49" t="str">
        <f t="shared" si="17"/>
        <v/>
      </c>
    </row>
    <row r="695" ht="15.75" customHeight="1">
      <c r="A695" s="82"/>
      <c r="B695" s="83"/>
      <c r="C695" s="83"/>
      <c r="D695" s="83"/>
      <c r="E695" s="83"/>
      <c r="F695" s="83"/>
      <c r="G695" s="83" t="str">
        <f>IF($F695="","",IFERROR(VLOOKUP($F695,Inventory!$A:$B,2,FALSE),""))</f>
        <v/>
      </c>
      <c r="H695" s="83"/>
      <c r="I695" s="84" t="str">
        <f t="shared" si="2"/>
        <v/>
      </c>
      <c r="J695" s="85" t="str">
        <f>IF($F695="","",IFERROR(VLOOKUP($F695,Inventory!$A:$K,11,FALSE),0))</f>
        <v/>
      </c>
      <c r="K695" s="85"/>
      <c r="L695" s="85" t="str">
        <f t="shared" si="12"/>
        <v/>
      </c>
      <c r="M695" s="83"/>
      <c r="N695" s="85" t="str">
        <f>IF($F695="","",IFERROR(VLOOKUP($F695,Inventory!$A:$I,9,FALSE),0))</f>
        <v/>
      </c>
      <c r="O695" s="85" t="str">
        <f t="shared" si="13"/>
        <v/>
      </c>
      <c r="P695" s="85" t="str">
        <f t="shared" si="5"/>
        <v/>
      </c>
      <c r="Q695" s="83"/>
      <c r="R695" s="118" t="str">
        <f>IF($E695="","",IF(COUNTIF($E$7:$E1892,$E695)&gt;1,"",IFERROR(VLOOKUP($E695,Orders!$A:$I,8,FALSE),"")))</f>
        <v/>
      </c>
      <c r="S695" s="118" t="str">
        <f>IF($E695="","",IF(COUNTIF($E$7:$E1892,$E695)&gt;1,"",IFERROR(VLOOKUP($E695,Orders!$A:$I,9,FALSE),"")))</f>
        <v/>
      </c>
      <c r="T695" s="88" t="str">
        <f t="shared" si="14"/>
        <v/>
      </c>
      <c r="U695" s="88" t="str">
        <f>IF($F695="","",IF($E695="",T695,SUMIF(Sales!$E$7:$E$1506,$E695,Sales!$T$7:$T$1506)))</f>
        <v/>
      </c>
      <c r="V695" s="49" t="str">
        <f t="shared" si="15"/>
        <v/>
      </c>
      <c r="W695" s="49" t="str">
        <f t="array" ref="W695">IF($V695="","",SUMPRODUCT((Sales!$V$7:$V$1506&lt;&gt;"")*(Sales!$E$7:$E$1506&lt;$E695))+1)</f>
        <v/>
      </c>
      <c r="X695" s="49" t="str">
        <f t="shared" si="16"/>
        <v/>
      </c>
      <c r="Y695" s="49" t="str">
        <f t="shared" si="17"/>
        <v/>
      </c>
    </row>
    <row r="696" ht="15.75" customHeight="1">
      <c r="A696" s="82"/>
      <c r="B696" s="83"/>
      <c r="C696" s="83"/>
      <c r="D696" s="83"/>
      <c r="E696" s="83"/>
      <c r="F696" s="83"/>
      <c r="G696" s="83" t="str">
        <f>IF($F696="","",IFERROR(VLOOKUP($F696,Inventory!$A:$B,2,FALSE),""))</f>
        <v/>
      </c>
      <c r="H696" s="83"/>
      <c r="I696" s="84" t="str">
        <f t="shared" si="2"/>
        <v/>
      </c>
      <c r="J696" s="85" t="str">
        <f>IF($F696="","",IFERROR(VLOOKUP($F696,Inventory!$A:$K,11,FALSE),0))</f>
        <v/>
      </c>
      <c r="K696" s="85"/>
      <c r="L696" s="85" t="str">
        <f t="shared" si="12"/>
        <v/>
      </c>
      <c r="M696" s="83"/>
      <c r="N696" s="85" t="str">
        <f>IF($F696="","",IFERROR(VLOOKUP($F696,Inventory!$A:$I,9,FALSE),0))</f>
        <v/>
      </c>
      <c r="O696" s="85" t="str">
        <f t="shared" si="13"/>
        <v/>
      </c>
      <c r="P696" s="85" t="str">
        <f t="shared" si="5"/>
        <v/>
      </c>
      <c r="Q696" s="83"/>
      <c r="R696" s="118" t="str">
        <f>IF($E696="","",IF(COUNTIF($E$7:$E1893,$E696)&gt;1,"",IFERROR(VLOOKUP($E696,Orders!$A:$I,8,FALSE),"")))</f>
        <v/>
      </c>
      <c r="S696" s="118" t="str">
        <f>IF($E696="","",IF(COUNTIF($E$7:$E1893,$E696)&gt;1,"",IFERROR(VLOOKUP($E696,Orders!$A:$I,9,FALSE),"")))</f>
        <v/>
      </c>
      <c r="T696" s="88" t="str">
        <f t="shared" si="14"/>
        <v/>
      </c>
      <c r="U696" s="88" t="str">
        <f>IF($F696="","",IF($E696="",T696,SUMIF(Sales!$E$7:$E$1506,$E696,Sales!$T$7:$T$1506)))</f>
        <v/>
      </c>
      <c r="V696" s="49" t="str">
        <f t="shared" si="15"/>
        <v/>
      </c>
      <c r="W696" s="49" t="str">
        <f t="array" ref="W696">IF($V696="","",SUMPRODUCT((Sales!$V$7:$V$1506&lt;&gt;"")*(Sales!$E$7:$E$1506&lt;$E696))+1)</f>
        <v/>
      </c>
      <c r="X696" s="49" t="str">
        <f t="shared" si="16"/>
        <v/>
      </c>
      <c r="Y696" s="49" t="str">
        <f t="shared" si="17"/>
        <v/>
      </c>
    </row>
    <row r="697" ht="15.75" customHeight="1">
      <c r="A697" s="82"/>
      <c r="B697" s="83"/>
      <c r="C697" s="83"/>
      <c r="D697" s="83"/>
      <c r="E697" s="83"/>
      <c r="F697" s="83"/>
      <c r="G697" s="83" t="str">
        <f>IF($F697="","",IFERROR(VLOOKUP($F697,Inventory!$A:$B,2,FALSE),""))</f>
        <v/>
      </c>
      <c r="H697" s="83"/>
      <c r="I697" s="84" t="str">
        <f t="shared" si="2"/>
        <v/>
      </c>
      <c r="J697" s="85" t="str">
        <f>IF($F697="","",IFERROR(VLOOKUP($F697,Inventory!$A:$K,11,FALSE),0))</f>
        <v/>
      </c>
      <c r="K697" s="85"/>
      <c r="L697" s="85" t="str">
        <f t="shared" si="12"/>
        <v/>
      </c>
      <c r="M697" s="83"/>
      <c r="N697" s="85" t="str">
        <f>IF($F697="","",IFERROR(VLOOKUP($F697,Inventory!$A:$I,9,FALSE),0))</f>
        <v/>
      </c>
      <c r="O697" s="85" t="str">
        <f t="shared" si="13"/>
        <v/>
      </c>
      <c r="P697" s="85" t="str">
        <f t="shared" si="5"/>
        <v/>
      </c>
      <c r="Q697" s="83"/>
      <c r="R697" s="118" t="str">
        <f>IF($E697="","",IF(COUNTIF($E$7:$E1894,$E697)&gt;1,"",IFERROR(VLOOKUP($E697,Orders!$A:$I,8,FALSE),"")))</f>
        <v/>
      </c>
      <c r="S697" s="118" t="str">
        <f>IF($E697="","",IF(COUNTIF($E$7:$E1894,$E697)&gt;1,"",IFERROR(VLOOKUP($E697,Orders!$A:$I,9,FALSE),"")))</f>
        <v/>
      </c>
      <c r="T697" s="88" t="str">
        <f t="shared" si="14"/>
        <v/>
      </c>
      <c r="U697" s="88" t="str">
        <f>IF($F697="","",IF($E697="",T697,SUMIF(Sales!$E$7:$E$1506,$E697,Sales!$T$7:$T$1506)))</f>
        <v/>
      </c>
      <c r="V697" s="49" t="str">
        <f t="shared" si="15"/>
        <v/>
      </c>
      <c r="W697" s="49" t="str">
        <f t="array" ref="W697">IF($V697="","",SUMPRODUCT((Sales!$V$7:$V$1506&lt;&gt;"")*(Sales!$E$7:$E$1506&lt;$E697))+1)</f>
        <v/>
      </c>
      <c r="X697" s="49" t="str">
        <f t="shared" si="16"/>
        <v/>
      </c>
      <c r="Y697" s="49" t="str">
        <f t="shared" si="17"/>
        <v/>
      </c>
    </row>
    <row r="698" ht="15.75" customHeight="1">
      <c r="A698" s="82"/>
      <c r="B698" s="83"/>
      <c r="C698" s="83"/>
      <c r="D698" s="83"/>
      <c r="E698" s="83"/>
      <c r="F698" s="83"/>
      <c r="G698" s="83" t="str">
        <f>IF($F698="","",IFERROR(VLOOKUP($F698,Inventory!$A:$B,2,FALSE),""))</f>
        <v/>
      </c>
      <c r="H698" s="83"/>
      <c r="I698" s="84" t="str">
        <f t="shared" si="2"/>
        <v/>
      </c>
      <c r="J698" s="85" t="str">
        <f>IF($F698="","",IFERROR(VLOOKUP($F698,Inventory!$A:$K,11,FALSE),0))</f>
        <v/>
      </c>
      <c r="K698" s="85"/>
      <c r="L698" s="85" t="str">
        <f t="shared" si="12"/>
        <v/>
      </c>
      <c r="M698" s="83"/>
      <c r="N698" s="85" t="str">
        <f>IF($F698="","",IFERROR(VLOOKUP($F698,Inventory!$A:$I,9,FALSE),0))</f>
        <v/>
      </c>
      <c r="O698" s="85" t="str">
        <f t="shared" si="13"/>
        <v/>
      </c>
      <c r="P698" s="85" t="str">
        <f t="shared" si="5"/>
        <v/>
      </c>
      <c r="Q698" s="83"/>
      <c r="R698" s="118" t="str">
        <f>IF($E698="","",IF(COUNTIF($E$7:$E1895,$E698)&gt;1,"",IFERROR(VLOOKUP($E698,Orders!$A:$I,8,FALSE),"")))</f>
        <v/>
      </c>
      <c r="S698" s="118" t="str">
        <f>IF($E698="","",IF(COUNTIF($E$7:$E1895,$E698)&gt;1,"",IFERROR(VLOOKUP($E698,Orders!$A:$I,9,FALSE),"")))</f>
        <v/>
      </c>
      <c r="T698" s="88" t="str">
        <f t="shared" si="14"/>
        <v/>
      </c>
      <c r="U698" s="88" t="str">
        <f>IF($F698="","",IF($E698="",T698,SUMIF(Sales!$E$7:$E$1506,$E698,Sales!$T$7:$T$1506)))</f>
        <v/>
      </c>
      <c r="V698" s="49" t="str">
        <f t="shared" si="15"/>
        <v/>
      </c>
      <c r="W698" s="49" t="str">
        <f t="array" ref="W698">IF($V698="","",SUMPRODUCT((Sales!$V$7:$V$1506&lt;&gt;"")*(Sales!$E$7:$E$1506&lt;$E698))+1)</f>
        <v/>
      </c>
      <c r="X698" s="49" t="str">
        <f t="shared" si="16"/>
        <v/>
      </c>
      <c r="Y698" s="49" t="str">
        <f t="shared" si="17"/>
        <v/>
      </c>
    </row>
    <row r="699" ht="15.75" customHeight="1">
      <c r="A699" s="82"/>
      <c r="B699" s="83"/>
      <c r="C699" s="83"/>
      <c r="D699" s="83"/>
      <c r="E699" s="83"/>
      <c r="F699" s="83"/>
      <c r="G699" s="83" t="str">
        <f>IF($F699="","",IFERROR(VLOOKUP($F699,Inventory!$A:$B,2,FALSE),""))</f>
        <v/>
      </c>
      <c r="H699" s="83"/>
      <c r="I699" s="84" t="str">
        <f t="shared" si="2"/>
        <v/>
      </c>
      <c r="J699" s="85" t="str">
        <f>IF($F699="","",IFERROR(VLOOKUP($F699,Inventory!$A:$K,11,FALSE),0))</f>
        <v/>
      </c>
      <c r="K699" s="85"/>
      <c r="L699" s="85" t="str">
        <f t="shared" si="12"/>
        <v/>
      </c>
      <c r="M699" s="83"/>
      <c r="N699" s="85" t="str">
        <f>IF($F699="","",IFERROR(VLOOKUP($F699,Inventory!$A:$I,9,FALSE),0))</f>
        <v/>
      </c>
      <c r="O699" s="85" t="str">
        <f t="shared" si="13"/>
        <v/>
      </c>
      <c r="P699" s="85" t="str">
        <f t="shared" si="5"/>
        <v/>
      </c>
      <c r="Q699" s="83"/>
      <c r="R699" s="118" t="str">
        <f>IF($E699="","",IF(COUNTIF($E$7:$E1896,$E699)&gt;1,"",IFERROR(VLOOKUP($E699,Orders!$A:$I,8,FALSE),"")))</f>
        <v/>
      </c>
      <c r="S699" s="118" t="str">
        <f>IF($E699="","",IF(COUNTIF($E$7:$E1896,$E699)&gt;1,"",IFERROR(VLOOKUP($E699,Orders!$A:$I,9,FALSE),"")))</f>
        <v/>
      </c>
      <c r="T699" s="88" t="str">
        <f t="shared" si="14"/>
        <v/>
      </c>
      <c r="U699" s="88" t="str">
        <f>IF($F699="","",IF($E699="",T699,SUMIF(Sales!$E$7:$E$1506,$E699,Sales!$T$7:$T$1506)))</f>
        <v/>
      </c>
      <c r="V699" s="49" t="str">
        <f t="shared" si="15"/>
        <v/>
      </c>
      <c r="W699" s="49" t="str">
        <f t="array" ref="W699">IF($V699="","",SUMPRODUCT((Sales!$V$7:$V$1506&lt;&gt;"")*(Sales!$E$7:$E$1506&lt;$E699))+1)</f>
        <v/>
      </c>
      <c r="X699" s="49" t="str">
        <f t="shared" si="16"/>
        <v/>
      </c>
      <c r="Y699" s="49" t="str">
        <f t="shared" si="17"/>
        <v/>
      </c>
    </row>
    <row r="700" ht="15.75" customHeight="1">
      <c r="A700" s="82"/>
      <c r="B700" s="83"/>
      <c r="C700" s="83"/>
      <c r="D700" s="83"/>
      <c r="E700" s="83"/>
      <c r="F700" s="83"/>
      <c r="G700" s="83" t="str">
        <f>IF($F700="","",IFERROR(VLOOKUP($F700,Inventory!$A:$B,2,FALSE),""))</f>
        <v/>
      </c>
      <c r="H700" s="83"/>
      <c r="I700" s="84" t="str">
        <f t="shared" si="2"/>
        <v/>
      </c>
      <c r="J700" s="85" t="str">
        <f>IF($F700="","",IFERROR(VLOOKUP($F700,Inventory!$A:$K,11,FALSE),0))</f>
        <v/>
      </c>
      <c r="K700" s="85"/>
      <c r="L700" s="85" t="str">
        <f t="shared" si="12"/>
        <v/>
      </c>
      <c r="M700" s="83"/>
      <c r="N700" s="85" t="str">
        <f>IF($F700="","",IFERROR(VLOOKUP($F700,Inventory!$A:$I,9,FALSE),0))</f>
        <v/>
      </c>
      <c r="O700" s="85" t="str">
        <f t="shared" si="13"/>
        <v/>
      </c>
      <c r="P700" s="85" t="str">
        <f t="shared" si="5"/>
        <v/>
      </c>
      <c r="Q700" s="83"/>
      <c r="R700" s="118" t="str">
        <f>IF($E700="","",IF(COUNTIF($E$7:$E1897,$E700)&gt;1,"",IFERROR(VLOOKUP($E700,Orders!$A:$I,8,FALSE),"")))</f>
        <v/>
      </c>
      <c r="S700" s="118" t="str">
        <f>IF($E700="","",IF(COUNTIF($E$7:$E1897,$E700)&gt;1,"",IFERROR(VLOOKUP($E700,Orders!$A:$I,9,FALSE),"")))</f>
        <v/>
      </c>
      <c r="T700" s="88" t="str">
        <f t="shared" si="14"/>
        <v/>
      </c>
      <c r="U700" s="88" t="str">
        <f>IF($F700="","",IF($E700="",T700,SUMIF(Sales!$E$7:$E$1506,$E700,Sales!$T$7:$T$1506)))</f>
        <v/>
      </c>
      <c r="V700" s="49" t="str">
        <f t="shared" si="15"/>
        <v/>
      </c>
      <c r="W700" s="49" t="str">
        <f t="array" ref="W700">IF($V700="","",SUMPRODUCT((Sales!$V$7:$V$1506&lt;&gt;"")*(Sales!$E$7:$E$1506&lt;$E700))+1)</f>
        <v/>
      </c>
      <c r="X700" s="49" t="str">
        <f t="shared" si="16"/>
        <v/>
      </c>
      <c r="Y700" s="49" t="str">
        <f t="shared" si="17"/>
        <v/>
      </c>
    </row>
    <row r="701" ht="15.75" customHeight="1">
      <c r="A701" s="82"/>
      <c r="B701" s="83"/>
      <c r="C701" s="83"/>
      <c r="D701" s="83"/>
      <c r="E701" s="83"/>
      <c r="F701" s="83"/>
      <c r="G701" s="83" t="str">
        <f>IF($F701="","",IFERROR(VLOOKUP($F701,Inventory!$A:$B,2,FALSE),""))</f>
        <v/>
      </c>
      <c r="H701" s="83"/>
      <c r="I701" s="84" t="str">
        <f t="shared" si="2"/>
        <v/>
      </c>
      <c r="J701" s="85" t="str">
        <f>IF($F701="","",IFERROR(VLOOKUP($F701,Inventory!$A:$K,11,FALSE),0))</f>
        <v/>
      </c>
      <c r="K701" s="85"/>
      <c r="L701" s="85" t="str">
        <f t="shared" si="12"/>
        <v/>
      </c>
      <c r="M701" s="83"/>
      <c r="N701" s="85" t="str">
        <f>IF($F701="","",IFERROR(VLOOKUP($F701,Inventory!$A:$I,9,FALSE),0))</f>
        <v/>
      </c>
      <c r="O701" s="85" t="str">
        <f t="shared" si="13"/>
        <v/>
      </c>
      <c r="P701" s="85" t="str">
        <f t="shared" si="5"/>
        <v/>
      </c>
      <c r="Q701" s="83"/>
      <c r="R701" s="118" t="str">
        <f>IF($E701="","",IF(COUNTIF($E$7:$E1898,$E701)&gt;1,"",IFERROR(VLOOKUP($E701,Orders!$A:$I,8,FALSE),"")))</f>
        <v/>
      </c>
      <c r="S701" s="118" t="str">
        <f>IF($E701="","",IF(COUNTIF($E$7:$E1898,$E701)&gt;1,"",IFERROR(VLOOKUP($E701,Orders!$A:$I,9,FALSE),"")))</f>
        <v/>
      </c>
      <c r="T701" s="88" t="str">
        <f t="shared" si="14"/>
        <v/>
      </c>
      <c r="U701" s="88" t="str">
        <f>IF($F701="","",IF($E701="",T701,SUMIF(Sales!$E$7:$E$1506,$E701,Sales!$T$7:$T$1506)))</f>
        <v/>
      </c>
      <c r="V701" s="49" t="str">
        <f t="shared" si="15"/>
        <v/>
      </c>
      <c r="W701" s="49" t="str">
        <f t="array" ref="W701">IF($V701="","",SUMPRODUCT((Sales!$V$7:$V$1506&lt;&gt;"")*(Sales!$E$7:$E$1506&lt;$E701))+1)</f>
        <v/>
      </c>
      <c r="X701" s="49" t="str">
        <f t="shared" si="16"/>
        <v/>
      </c>
      <c r="Y701" s="49" t="str">
        <f t="shared" si="17"/>
        <v/>
      </c>
    </row>
    <row r="702" ht="15.75" customHeight="1">
      <c r="A702" s="82"/>
      <c r="B702" s="83"/>
      <c r="C702" s="83"/>
      <c r="D702" s="83"/>
      <c r="E702" s="83"/>
      <c r="F702" s="83"/>
      <c r="G702" s="83" t="str">
        <f>IF($F702="","",IFERROR(VLOOKUP($F702,Inventory!$A:$B,2,FALSE),""))</f>
        <v/>
      </c>
      <c r="H702" s="83"/>
      <c r="I702" s="84" t="str">
        <f t="shared" si="2"/>
        <v/>
      </c>
      <c r="J702" s="85" t="str">
        <f>IF($F702="","",IFERROR(VLOOKUP($F702,Inventory!$A:$K,11,FALSE),0))</f>
        <v/>
      </c>
      <c r="K702" s="85"/>
      <c r="L702" s="85" t="str">
        <f t="shared" si="12"/>
        <v/>
      </c>
      <c r="M702" s="83"/>
      <c r="N702" s="85" t="str">
        <f>IF($F702="","",IFERROR(VLOOKUP($F702,Inventory!$A:$I,9,FALSE),0))</f>
        <v/>
      </c>
      <c r="O702" s="85" t="str">
        <f t="shared" si="13"/>
        <v/>
      </c>
      <c r="P702" s="85" t="str">
        <f t="shared" si="5"/>
        <v/>
      </c>
      <c r="Q702" s="83"/>
      <c r="R702" s="118" t="str">
        <f>IF($E702="","",IF(COUNTIF($E$7:$E1899,$E702)&gt;1,"",IFERROR(VLOOKUP($E702,Orders!$A:$I,8,FALSE),"")))</f>
        <v/>
      </c>
      <c r="S702" s="118" t="str">
        <f>IF($E702="","",IF(COUNTIF($E$7:$E1899,$E702)&gt;1,"",IFERROR(VLOOKUP($E702,Orders!$A:$I,9,FALSE),"")))</f>
        <v/>
      </c>
      <c r="T702" s="88" t="str">
        <f t="shared" si="14"/>
        <v/>
      </c>
      <c r="U702" s="88" t="str">
        <f>IF($F702="","",IF($E702="",T702,SUMIF(Sales!$E$7:$E$1506,$E702,Sales!$T$7:$T$1506)))</f>
        <v/>
      </c>
      <c r="V702" s="49" t="str">
        <f t="shared" si="15"/>
        <v/>
      </c>
      <c r="W702" s="49" t="str">
        <f t="array" ref="W702">IF($V702="","",SUMPRODUCT((Sales!$V$7:$V$1506&lt;&gt;"")*(Sales!$E$7:$E$1506&lt;$E702))+1)</f>
        <v/>
      </c>
      <c r="X702" s="49" t="str">
        <f t="shared" si="16"/>
        <v/>
      </c>
      <c r="Y702" s="49" t="str">
        <f t="shared" si="17"/>
        <v/>
      </c>
    </row>
    <row r="703" ht="15.75" customHeight="1">
      <c r="A703" s="82"/>
      <c r="B703" s="83"/>
      <c r="C703" s="83"/>
      <c r="D703" s="83"/>
      <c r="E703" s="83"/>
      <c r="F703" s="83"/>
      <c r="G703" s="83" t="str">
        <f>IF($F703="","",IFERROR(VLOOKUP($F703,Inventory!$A:$B,2,FALSE),""))</f>
        <v/>
      </c>
      <c r="H703" s="83"/>
      <c r="I703" s="84" t="str">
        <f t="shared" si="2"/>
        <v/>
      </c>
      <c r="J703" s="85" t="str">
        <f>IF($F703="","",IFERROR(VLOOKUP($F703,Inventory!$A:$K,11,FALSE),0))</f>
        <v/>
      </c>
      <c r="K703" s="85"/>
      <c r="L703" s="85" t="str">
        <f t="shared" si="12"/>
        <v/>
      </c>
      <c r="M703" s="83"/>
      <c r="N703" s="85" t="str">
        <f>IF($F703="","",IFERROR(VLOOKUP($F703,Inventory!$A:$I,9,FALSE),0))</f>
        <v/>
      </c>
      <c r="O703" s="85" t="str">
        <f t="shared" si="13"/>
        <v/>
      </c>
      <c r="P703" s="85" t="str">
        <f t="shared" si="5"/>
        <v/>
      </c>
      <c r="Q703" s="83"/>
      <c r="R703" s="118" t="str">
        <f>IF($E703="","",IF(COUNTIF($E$7:$E1900,$E703)&gt;1,"",IFERROR(VLOOKUP($E703,Orders!$A:$I,8,FALSE),"")))</f>
        <v/>
      </c>
      <c r="S703" s="118" t="str">
        <f>IF($E703="","",IF(COUNTIF($E$7:$E1900,$E703)&gt;1,"",IFERROR(VLOOKUP($E703,Orders!$A:$I,9,FALSE),"")))</f>
        <v/>
      </c>
      <c r="T703" s="88" t="str">
        <f t="shared" si="14"/>
        <v/>
      </c>
      <c r="U703" s="88" t="str">
        <f>IF($F703="","",IF($E703="",T703,SUMIF(Sales!$E$7:$E$1506,$E703,Sales!$T$7:$T$1506)))</f>
        <v/>
      </c>
      <c r="V703" s="49" t="str">
        <f t="shared" si="15"/>
        <v/>
      </c>
      <c r="W703" s="49" t="str">
        <f t="array" ref="W703">IF($V703="","",SUMPRODUCT((Sales!$V$7:$V$1506&lt;&gt;"")*(Sales!$E$7:$E$1506&lt;$E703))+1)</f>
        <v/>
      </c>
      <c r="X703" s="49" t="str">
        <f t="shared" si="16"/>
        <v/>
      </c>
      <c r="Y703" s="49" t="str">
        <f t="shared" si="17"/>
        <v/>
      </c>
    </row>
    <row r="704" ht="15.75" customHeight="1">
      <c r="A704" s="82"/>
      <c r="B704" s="83"/>
      <c r="C704" s="83"/>
      <c r="D704" s="83"/>
      <c r="E704" s="83"/>
      <c r="F704" s="83"/>
      <c r="G704" s="83" t="str">
        <f>IF($F704="","",IFERROR(VLOOKUP($F704,Inventory!$A:$B,2,FALSE),""))</f>
        <v/>
      </c>
      <c r="H704" s="83"/>
      <c r="I704" s="84" t="str">
        <f t="shared" si="2"/>
        <v/>
      </c>
      <c r="J704" s="85" t="str">
        <f>IF($F704="","",IFERROR(VLOOKUP($F704,Inventory!$A:$K,11,FALSE),0))</f>
        <v/>
      </c>
      <c r="K704" s="85"/>
      <c r="L704" s="85" t="str">
        <f t="shared" si="12"/>
        <v/>
      </c>
      <c r="M704" s="83"/>
      <c r="N704" s="85" t="str">
        <f>IF($F704="","",IFERROR(VLOOKUP($F704,Inventory!$A:$I,9,FALSE),0))</f>
        <v/>
      </c>
      <c r="O704" s="85" t="str">
        <f t="shared" si="13"/>
        <v/>
      </c>
      <c r="P704" s="85" t="str">
        <f t="shared" si="5"/>
        <v/>
      </c>
      <c r="Q704" s="83"/>
      <c r="R704" s="118" t="str">
        <f>IF($E704="","",IF(COUNTIF($E$7:$E1901,$E704)&gt;1,"",IFERROR(VLOOKUP($E704,Orders!$A:$I,8,FALSE),"")))</f>
        <v/>
      </c>
      <c r="S704" s="118" t="str">
        <f>IF($E704="","",IF(COUNTIF($E$7:$E1901,$E704)&gt;1,"",IFERROR(VLOOKUP($E704,Orders!$A:$I,9,FALSE),"")))</f>
        <v/>
      </c>
      <c r="T704" s="88" t="str">
        <f t="shared" si="14"/>
        <v/>
      </c>
      <c r="U704" s="88" t="str">
        <f>IF($F704="","",IF($E704="",T704,SUMIF(Sales!$E$7:$E$1506,$E704,Sales!$T$7:$T$1506)))</f>
        <v/>
      </c>
      <c r="V704" s="49" t="str">
        <f t="shared" si="15"/>
        <v/>
      </c>
      <c r="W704" s="49" t="str">
        <f t="array" ref="W704">IF($V704="","",SUMPRODUCT((Sales!$V$7:$V$1506&lt;&gt;"")*(Sales!$E$7:$E$1506&lt;$E704))+1)</f>
        <v/>
      </c>
      <c r="X704" s="49" t="str">
        <f t="shared" si="16"/>
        <v/>
      </c>
      <c r="Y704" s="49" t="str">
        <f t="shared" si="17"/>
        <v/>
      </c>
    </row>
    <row r="705" ht="15.75" customHeight="1">
      <c r="A705" s="82"/>
      <c r="B705" s="83"/>
      <c r="C705" s="83"/>
      <c r="D705" s="83"/>
      <c r="E705" s="83"/>
      <c r="F705" s="83"/>
      <c r="G705" s="83" t="str">
        <f>IF($F705="","",IFERROR(VLOOKUP($F705,Inventory!$A:$B,2,FALSE),""))</f>
        <v/>
      </c>
      <c r="H705" s="83"/>
      <c r="I705" s="84" t="str">
        <f t="shared" si="2"/>
        <v/>
      </c>
      <c r="J705" s="85" t="str">
        <f>IF($F705="","",IFERROR(VLOOKUP($F705,Inventory!$A:$K,11,FALSE),0))</f>
        <v/>
      </c>
      <c r="K705" s="85"/>
      <c r="L705" s="85" t="str">
        <f t="shared" si="12"/>
        <v/>
      </c>
      <c r="M705" s="83"/>
      <c r="N705" s="85" t="str">
        <f>IF($F705="","",IFERROR(VLOOKUP($F705,Inventory!$A:$I,9,FALSE),0))</f>
        <v/>
      </c>
      <c r="O705" s="85" t="str">
        <f t="shared" si="13"/>
        <v/>
      </c>
      <c r="P705" s="85" t="str">
        <f t="shared" si="5"/>
        <v/>
      </c>
      <c r="Q705" s="83"/>
      <c r="R705" s="118" t="str">
        <f>IF($E705="","",IF(COUNTIF($E$7:$E1902,$E705)&gt;1,"",IFERROR(VLOOKUP($E705,Orders!$A:$I,8,FALSE),"")))</f>
        <v/>
      </c>
      <c r="S705" s="118" t="str">
        <f>IF($E705="","",IF(COUNTIF($E$7:$E1902,$E705)&gt;1,"",IFERROR(VLOOKUP($E705,Orders!$A:$I,9,FALSE),"")))</f>
        <v/>
      </c>
      <c r="T705" s="88" t="str">
        <f t="shared" si="14"/>
        <v/>
      </c>
      <c r="U705" s="88" t="str">
        <f>IF($F705="","",IF($E705="",T705,SUMIF(Sales!$E$7:$E$1506,$E705,Sales!$T$7:$T$1506)))</f>
        <v/>
      </c>
      <c r="V705" s="49" t="str">
        <f t="shared" si="15"/>
        <v/>
      </c>
      <c r="W705" s="49" t="str">
        <f t="array" ref="W705">IF($V705="","",SUMPRODUCT((Sales!$V$7:$V$1506&lt;&gt;"")*(Sales!$E$7:$E$1506&lt;$E705))+1)</f>
        <v/>
      </c>
      <c r="X705" s="49" t="str">
        <f t="shared" si="16"/>
        <v/>
      </c>
      <c r="Y705" s="49" t="str">
        <f t="shared" si="17"/>
        <v/>
      </c>
    </row>
    <row r="706" ht="15.75" customHeight="1">
      <c r="A706" s="82"/>
      <c r="B706" s="83"/>
      <c r="C706" s="83"/>
      <c r="D706" s="83"/>
      <c r="E706" s="83"/>
      <c r="F706" s="83"/>
      <c r="G706" s="83" t="str">
        <f>IF($F706="","",IFERROR(VLOOKUP($F706,Inventory!$A:$B,2,FALSE),""))</f>
        <v/>
      </c>
      <c r="H706" s="83"/>
      <c r="I706" s="84" t="str">
        <f t="shared" si="2"/>
        <v/>
      </c>
      <c r="J706" s="85" t="str">
        <f>IF($F706="","",IFERROR(VLOOKUP($F706,Inventory!$A:$K,11,FALSE),0))</f>
        <v/>
      </c>
      <c r="K706" s="85"/>
      <c r="L706" s="85" t="str">
        <f t="shared" si="12"/>
        <v/>
      </c>
      <c r="M706" s="83"/>
      <c r="N706" s="85" t="str">
        <f>IF($F706="","",IFERROR(VLOOKUP($F706,Inventory!$A:$I,9,FALSE),0))</f>
        <v/>
      </c>
      <c r="O706" s="85" t="str">
        <f t="shared" si="13"/>
        <v/>
      </c>
      <c r="P706" s="85" t="str">
        <f t="shared" si="5"/>
        <v/>
      </c>
      <c r="Q706" s="83"/>
      <c r="R706" s="118" t="str">
        <f>IF($E706="","",IF(COUNTIF($E$7:$E1903,$E706)&gt;1,"",IFERROR(VLOOKUP($E706,Orders!$A:$I,8,FALSE),"")))</f>
        <v/>
      </c>
      <c r="S706" s="118" t="str">
        <f>IF($E706="","",IF(COUNTIF($E$7:$E1903,$E706)&gt;1,"",IFERROR(VLOOKUP($E706,Orders!$A:$I,9,FALSE),"")))</f>
        <v/>
      </c>
      <c r="T706" s="88" t="str">
        <f t="shared" si="14"/>
        <v/>
      </c>
      <c r="U706" s="88" t="str">
        <f>IF($F706="","",IF($E706="",T706,SUMIF(Sales!$E$7:$E$1506,$E706,Sales!$T$7:$T$1506)))</f>
        <v/>
      </c>
      <c r="V706" s="49" t="str">
        <f t="shared" si="15"/>
        <v/>
      </c>
      <c r="W706" s="49" t="str">
        <f t="array" ref="W706">IF($V706="","",SUMPRODUCT((Sales!$V$7:$V$1506&lt;&gt;"")*(Sales!$E$7:$E$1506&lt;$E706))+1)</f>
        <v/>
      </c>
      <c r="X706" s="49" t="str">
        <f t="shared" si="16"/>
        <v/>
      </c>
      <c r="Y706" s="49" t="str">
        <f t="shared" si="17"/>
        <v/>
      </c>
    </row>
    <row r="707" ht="15.75" customHeight="1">
      <c r="A707" s="82"/>
      <c r="B707" s="83"/>
      <c r="C707" s="83"/>
      <c r="D707" s="83"/>
      <c r="E707" s="83"/>
      <c r="F707" s="83"/>
      <c r="G707" s="83" t="str">
        <f>IF($F707="","",IFERROR(VLOOKUP($F707,Inventory!$A:$B,2,FALSE),""))</f>
        <v/>
      </c>
      <c r="H707" s="83"/>
      <c r="I707" s="84" t="str">
        <f t="shared" si="2"/>
        <v/>
      </c>
      <c r="J707" s="85" t="str">
        <f>IF($F707="","",IFERROR(VLOOKUP($F707,Inventory!$A:$K,11,FALSE),0))</f>
        <v/>
      </c>
      <c r="K707" s="85"/>
      <c r="L707" s="85" t="str">
        <f t="shared" si="12"/>
        <v/>
      </c>
      <c r="M707" s="83"/>
      <c r="N707" s="85" t="str">
        <f>IF($F707="","",IFERROR(VLOOKUP($F707,Inventory!$A:$I,9,FALSE),0))</f>
        <v/>
      </c>
      <c r="O707" s="85" t="str">
        <f t="shared" si="13"/>
        <v/>
      </c>
      <c r="P707" s="85" t="str">
        <f t="shared" si="5"/>
        <v/>
      </c>
      <c r="Q707" s="83"/>
      <c r="R707" s="118" t="str">
        <f>IF($E707="","",IF(COUNTIF($E$7:$E1904,$E707)&gt;1,"",IFERROR(VLOOKUP($E707,Orders!$A:$I,8,FALSE),"")))</f>
        <v/>
      </c>
      <c r="S707" s="118" t="str">
        <f>IF($E707="","",IF(COUNTIF($E$7:$E1904,$E707)&gt;1,"",IFERROR(VLOOKUP($E707,Orders!$A:$I,9,FALSE),"")))</f>
        <v/>
      </c>
      <c r="T707" s="88" t="str">
        <f t="shared" si="14"/>
        <v/>
      </c>
      <c r="U707" s="88" t="str">
        <f>IF($F707="","",IF($E707="",T707,SUMIF(Sales!$E$7:$E$1506,$E707,Sales!$T$7:$T$1506)))</f>
        <v/>
      </c>
      <c r="V707" s="49" t="str">
        <f t="shared" si="15"/>
        <v/>
      </c>
      <c r="W707" s="49" t="str">
        <f t="array" ref="W707">IF($V707="","",SUMPRODUCT((Sales!$V$7:$V$1506&lt;&gt;"")*(Sales!$E$7:$E$1506&lt;$E707))+1)</f>
        <v/>
      </c>
      <c r="X707" s="49" t="str">
        <f t="shared" si="16"/>
        <v/>
      </c>
      <c r="Y707" s="49" t="str">
        <f t="shared" si="17"/>
        <v/>
      </c>
    </row>
    <row r="708" ht="15.75" customHeight="1">
      <c r="A708" s="82"/>
      <c r="B708" s="83"/>
      <c r="C708" s="83"/>
      <c r="D708" s="83"/>
      <c r="E708" s="83"/>
      <c r="F708" s="83"/>
      <c r="G708" s="83" t="str">
        <f>IF($F708="","",IFERROR(VLOOKUP($F708,Inventory!$A:$B,2,FALSE),""))</f>
        <v/>
      </c>
      <c r="H708" s="83"/>
      <c r="I708" s="84" t="str">
        <f t="shared" si="2"/>
        <v/>
      </c>
      <c r="J708" s="85" t="str">
        <f>IF($F708="","",IFERROR(VLOOKUP($F708,Inventory!$A:$K,11,FALSE),0))</f>
        <v/>
      </c>
      <c r="K708" s="85"/>
      <c r="L708" s="85" t="str">
        <f t="shared" si="12"/>
        <v/>
      </c>
      <c r="M708" s="83"/>
      <c r="N708" s="85" t="str">
        <f>IF($F708="","",IFERROR(VLOOKUP($F708,Inventory!$A:$I,9,FALSE),0))</f>
        <v/>
      </c>
      <c r="O708" s="85" t="str">
        <f t="shared" si="13"/>
        <v/>
      </c>
      <c r="P708" s="85" t="str">
        <f t="shared" si="5"/>
        <v/>
      </c>
      <c r="Q708" s="83"/>
      <c r="R708" s="118" t="str">
        <f>IF($E708="","",IF(COUNTIF($E$7:$E1905,$E708)&gt;1,"",IFERROR(VLOOKUP($E708,Orders!$A:$I,8,FALSE),"")))</f>
        <v/>
      </c>
      <c r="S708" s="118" t="str">
        <f>IF($E708="","",IF(COUNTIF($E$7:$E1905,$E708)&gt;1,"",IFERROR(VLOOKUP($E708,Orders!$A:$I,9,FALSE),"")))</f>
        <v/>
      </c>
      <c r="T708" s="88" t="str">
        <f t="shared" si="14"/>
        <v/>
      </c>
      <c r="U708" s="88" t="str">
        <f>IF($F708="","",IF($E708="",T708,SUMIF(Sales!$E$7:$E$1506,$E708,Sales!$T$7:$T$1506)))</f>
        <v/>
      </c>
      <c r="V708" s="49" t="str">
        <f t="shared" si="15"/>
        <v/>
      </c>
      <c r="W708" s="49" t="str">
        <f t="array" ref="W708">IF($V708="","",SUMPRODUCT((Sales!$V$7:$V$1506&lt;&gt;"")*(Sales!$E$7:$E$1506&lt;$E708))+1)</f>
        <v/>
      </c>
      <c r="X708" s="49" t="str">
        <f t="shared" si="16"/>
        <v/>
      </c>
      <c r="Y708" s="49" t="str">
        <f t="shared" si="17"/>
        <v/>
      </c>
    </row>
    <row r="709" ht="15.75" customHeight="1">
      <c r="A709" s="82"/>
      <c r="B709" s="83"/>
      <c r="C709" s="83"/>
      <c r="D709" s="83"/>
      <c r="E709" s="83"/>
      <c r="F709" s="83"/>
      <c r="G709" s="83" t="str">
        <f>IF($F709="","",IFERROR(VLOOKUP($F709,Inventory!$A:$B,2,FALSE),""))</f>
        <v/>
      </c>
      <c r="H709" s="83"/>
      <c r="I709" s="84" t="str">
        <f t="shared" si="2"/>
        <v/>
      </c>
      <c r="J709" s="85" t="str">
        <f>IF($F709="","",IFERROR(VLOOKUP($F709,Inventory!$A:$K,11,FALSE),0))</f>
        <v/>
      </c>
      <c r="K709" s="85"/>
      <c r="L709" s="85" t="str">
        <f t="shared" si="12"/>
        <v/>
      </c>
      <c r="M709" s="83"/>
      <c r="N709" s="85" t="str">
        <f>IF($F709="","",IFERROR(VLOOKUP($F709,Inventory!$A:$I,9,FALSE),0))</f>
        <v/>
      </c>
      <c r="O709" s="85" t="str">
        <f t="shared" si="13"/>
        <v/>
      </c>
      <c r="P709" s="85" t="str">
        <f t="shared" si="5"/>
        <v/>
      </c>
      <c r="Q709" s="83"/>
      <c r="R709" s="118" t="str">
        <f>IF($E709="","",IF(COUNTIF($E$7:$E1906,$E709)&gt;1,"",IFERROR(VLOOKUP($E709,Orders!$A:$I,8,FALSE),"")))</f>
        <v/>
      </c>
      <c r="S709" s="118" t="str">
        <f>IF($E709="","",IF(COUNTIF($E$7:$E1906,$E709)&gt;1,"",IFERROR(VLOOKUP($E709,Orders!$A:$I,9,FALSE),"")))</f>
        <v/>
      </c>
      <c r="T709" s="88" t="str">
        <f t="shared" si="14"/>
        <v/>
      </c>
      <c r="U709" s="88" t="str">
        <f>IF($F709="","",IF($E709="",T709,SUMIF(Sales!$E$7:$E$1506,$E709,Sales!$T$7:$T$1506)))</f>
        <v/>
      </c>
      <c r="V709" s="49" t="str">
        <f t="shared" si="15"/>
        <v/>
      </c>
      <c r="W709" s="49" t="str">
        <f t="array" ref="W709">IF($V709="","",SUMPRODUCT((Sales!$V$7:$V$1506&lt;&gt;"")*(Sales!$E$7:$E$1506&lt;$E709))+1)</f>
        <v/>
      </c>
      <c r="X709" s="49" t="str">
        <f t="shared" si="16"/>
        <v/>
      </c>
      <c r="Y709" s="49" t="str">
        <f t="shared" si="17"/>
        <v/>
      </c>
    </row>
    <row r="710" ht="15.75" customHeight="1">
      <c r="A710" s="82"/>
      <c r="B710" s="83"/>
      <c r="C710" s="83"/>
      <c r="D710" s="83"/>
      <c r="E710" s="83"/>
      <c r="F710" s="83"/>
      <c r="G710" s="83" t="str">
        <f>IF($F710="","",IFERROR(VLOOKUP($F710,Inventory!$A:$B,2,FALSE),""))</f>
        <v/>
      </c>
      <c r="H710" s="83"/>
      <c r="I710" s="84" t="str">
        <f t="shared" si="2"/>
        <v/>
      </c>
      <c r="J710" s="85" t="str">
        <f>IF($F710="","",IFERROR(VLOOKUP($F710,Inventory!$A:$K,11,FALSE),0))</f>
        <v/>
      </c>
      <c r="K710" s="85"/>
      <c r="L710" s="85" t="str">
        <f t="shared" si="12"/>
        <v/>
      </c>
      <c r="M710" s="83"/>
      <c r="N710" s="85" t="str">
        <f>IF($F710="","",IFERROR(VLOOKUP($F710,Inventory!$A:$I,9,FALSE),0))</f>
        <v/>
      </c>
      <c r="O710" s="85" t="str">
        <f t="shared" si="13"/>
        <v/>
      </c>
      <c r="P710" s="85" t="str">
        <f t="shared" si="5"/>
        <v/>
      </c>
      <c r="Q710" s="83"/>
      <c r="R710" s="118" t="str">
        <f>IF($E710="","",IF(COUNTIF($E$7:$E1907,$E710)&gt;1,"",IFERROR(VLOOKUP($E710,Orders!$A:$I,8,FALSE),"")))</f>
        <v/>
      </c>
      <c r="S710" s="118" t="str">
        <f>IF($E710="","",IF(COUNTIF($E$7:$E1907,$E710)&gt;1,"",IFERROR(VLOOKUP($E710,Orders!$A:$I,9,FALSE),"")))</f>
        <v/>
      </c>
      <c r="T710" s="88" t="str">
        <f t="shared" si="14"/>
        <v/>
      </c>
      <c r="U710" s="88" t="str">
        <f>IF($F710="","",IF($E710="",T710,SUMIF(Sales!$E$7:$E$1506,$E710,Sales!$T$7:$T$1506)))</f>
        <v/>
      </c>
      <c r="V710" s="49" t="str">
        <f t="shared" si="15"/>
        <v/>
      </c>
      <c r="W710" s="49" t="str">
        <f t="array" ref="W710">IF($V710="","",SUMPRODUCT((Sales!$V$7:$V$1506&lt;&gt;"")*(Sales!$E$7:$E$1506&lt;$E710))+1)</f>
        <v/>
      </c>
      <c r="X710" s="49" t="str">
        <f t="shared" si="16"/>
        <v/>
      </c>
      <c r="Y710" s="49" t="str">
        <f t="shared" si="17"/>
        <v/>
      </c>
    </row>
    <row r="711" ht="15.75" customHeight="1">
      <c r="A711" s="82"/>
      <c r="B711" s="83"/>
      <c r="C711" s="83"/>
      <c r="D711" s="83"/>
      <c r="E711" s="83"/>
      <c r="F711" s="83"/>
      <c r="G711" s="83" t="str">
        <f>IF($F711="","",IFERROR(VLOOKUP($F711,Inventory!$A:$B,2,FALSE),""))</f>
        <v/>
      </c>
      <c r="H711" s="83"/>
      <c r="I711" s="84" t="str">
        <f t="shared" si="2"/>
        <v/>
      </c>
      <c r="J711" s="85" t="str">
        <f>IF($F711="","",IFERROR(VLOOKUP($F711,Inventory!$A:$K,11,FALSE),0))</f>
        <v/>
      </c>
      <c r="K711" s="85"/>
      <c r="L711" s="85" t="str">
        <f t="shared" si="12"/>
        <v/>
      </c>
      <c r="M711" s="83"/>
      <c r="N711" s="85" t="str">
        <f>IF($F711="","",IFERROR(VLOOKUP($F711,Inventory!$A:$I,9,FALSE),0))</f>
        <v/>
      </c>
      <c r="O711" s="85" t="str">
        <f t="shared" si="13"/>
        <v/>
      </c>
      <c r="P711" s="85" t="str">
        <f t="shared" si="5"/>
        <v/>
      </c>
      <c r="Q711" s="83"/>
      <c r="R711" s="118" t="str">
        <f>IF($E711="","",IF(COUNTIF($E$7:$E1908,$E711)&gt;1,"",IFERROR(VLOOKUP($E711,Orders!$A:$I,8,FALSE),"")))</f>
        <v/>
      </c>
      <c r="S711" s="118" t="str">
        <f>IF($E711="","",IF(COUNTIF($E$7:$E1908,$E711)&gt;1,"",IFERROR(VLOOKUP($E711,Orders!$A:$I,9,FALSE),"")))</f>
        <v/>
      </c>
      <c r="T711" s="88" t="str">
        <f t="shared" si="14"/>
        <v/>
      </c>
      <c r="U711" s="88" t="str">
        <f>IF($F711="","",IF($E711="",T711,SUMIF(Sales!$E$7:$E$1506,$E711,Sales!$T$7:$T$1506)))</f>
        <v/>
      </c>
      <c r="V711" s="49" t="str">
        <f t="shared" si="15"/>
        <v/>
      </c>
      <c r="W711" s="49" t="str">
        <f t="array" ref="W711">IF($V711="","",SUMPRODUCT((Sales!$V$7:$V$1506&lt;&gt;"")*(Sales!$E$7:$E$1506&lt;$E711))+1)</f>
        <v/>
      </c>
      <c r="X711" s="49" t="str">
        <f t="shared" si="16"/>
        <v/>
      </c>
      <c r="Y711" s="49" t="str">
        <f t="shared" si="17"/>
        <v/>
      </c>
    </row>
    <row r="712" ht="15.75" customHeight="1">
      <c r="A712" s="82"/>
      <c r="B712" s="83"/>
      <c r="C712" s="83"/>
      <c r="D712" s="83"/>
      <c r="E712" s="83"/>
      <c r="F712" s="83"/>
      <c r="G712" s="83" t="str">
        <f>IF($F712="","",IFERROR(VLOOKUP($F712,Inventory!$A:$B,2,FALSE),""))</f>
        <v/>
      </c>
      <c r="H712" s="83"/>
      <c r="I712" s="84" t="str">
        <f t="shared" si="2"/>
        <v/>
      </c>
      <c r="J712" s="85" t="str">
        <f>IF($F712="","",IFERROR(VLOOKUP($F712,Inventory!$A:$K,11,FALSE),0))</f>
        <v/>
      </c>
      <c r="K712" s="85"/>
      <c r="L712" s="85" t="str">
        <f t="shared" si="12"/>
        <v/>
      </c>
      <c r="M712" s="83"/>
      <c r="N712" s="85" t="str">
        <f>IF($F712="","",IFERROR(VLOOKUP($F712,Inventory!$A:$I,9,FALSE),0))</f>
        <v/>
      </c>
      <c r="O712" s="85" t="str">
        <f t="shared" si="13"/>
        <v/>
      </c>
      <c r="P712" s="85" t="str">
        <f t="shared" si="5"/>
        <v/>
      </c>
      <c r="Q712" s="83"/>
      <c r="R712" s="118" t="str">
        <f>IF($E712="","",IF(COUNTIF($E$7:$E1909,$E712)&gt;1,"",IFERROR(VLOOKUP($E712,Orders!$A:$I,8,FALSE),"")))</f>
        <v/>
      </c>
      <c r="S712" s="118" t="str">
        <f>IF($E712="","",IF(COUNTIF($E$7:$E1909,$E712)&gt;1,"",IFERROR(VLOOKUP($E712,Orders!$A:$I,9,FALSE),"")))</f>
        <v/>
      </c>
      <c r="T712" s="88" t="str">
        <f t="shared" si="14"/>
        <v/>
      </c>
      <c r="U712" s="88" t="str">
        <f>IF($F712="","",IF($E712="",T712,SUMIF(Sales!$E$7:$E$1506,$E712,Sales!$T$7:$T$1506)))</f>
        <v/>
      </c>
      <c r="V712" s="49" t="str">
        <f t="shared" si="15"/>
        <v/>
      </c>
      <c r="W712" s="49" t="str">
        <f t="array" ref="W712">IF($V712="","",SUMPRODUCT((Sales!$V$7:$V$1506&lt;&gt;"")*(Sales!$E$7:$E$1506&lt;$E712))+1)</f>
        <v/>
      </c>
      <c r="X712" s="49" t="str">
        <f t="shared" si="16"/>
        <v/>
      </c>
      <c r="Y712" s="49" t="str">
        <f t="shared" si="17"/>
        <v/>
      </c>
    </row>
    <row r="713" ht="15.75" customHeight="1">
      <c r="A713" s="82"/>
      <c r="B713" s="83"/>
      <c r="C713" s="83"/>
      <c r="D713" s="83"/>
      <c r="E713" s="83"/>
      <c r="F713" s="83"/>
      <c r="G713" s="83" t="str">
        <f>IF($F713="","",IFERROR(VLOOKUP($F713,Inventory!$A:$B,2,FALSE),""))</f>
        <v/>
      </c>
      <c r="H713" s="83"/>
      <c r="I713" s="84" t="str">
        <f t="shared" si="2"/>
        <v/>
      </c>
      <c r="J713" s="85" t="str">
        <f>IF($F713="","",IFERROR(VLOOKUP($F713,Inventory!$A:$K,11,FALSE),0))</f>
        <v/>
      </c>
      <c r="K713" s="85"/>
      <c r="L713" s="85" t="str">
        <f t="shared" si="12"/>
        <v/>
      </c>
      <c r="M713" s="83"/>
      <c r="N713" s="85" t="str">
        <f>IF($F713="","",IFERROR(VLOOKUP($F713,Inventory!$A:$I,9,FALSE),0))</f>
        <v/>
      </c>
      <c r="O713" s="85" t="str">
        <f t="shared" si="13"/>
        <v/>
      </c>
      <c r="P713" s="85" t="str">
        <f t="shared" si="5"/>
        <v/>
      </c>
      <c r="Q713" s="83"/>
      <c r="R713" s="118" t="str">
        <f>IF($E713="","",IF(COUNTIF($E$7:$E1910,$E713)&gt;1,"",IFERROR(VLOOKUP($E713,Orders!$A:$I,8,FALSE),"")))</f>
        <v/>
      </c>
      <c r="S713" s="118" t="str">
        <f>IF($E713="","",IF(COUNTIF($E$7:$E1910,$E713)&gt;1,"",IFERROR(VLOOKUP($E713,Orders!$A:$I,9,FALSE),"")))</f>
        <v/>
      </c>
      <c r="T713" s="88" t="str">
        <f t="shared" si="14"/>
        <v/>
      </c>
      <c r="U713" s="88" t="str">
        <f>IF($F713="","",IF($E713="",T713,SUMIF(Sales!$E$7:$E$1506,$E713,Sales!$T$7:$T$1506)))</f>
        <v/>
      </c>
      <c r="V713" s="49" t="str">
        <f t="shared" si="15"/>
        <v/>
      </c>
      <c r="W713" s="49" t="str">
        <f t="array" ref="W713">IF($V713="","",SUMPRODUCT((Sales!$V$7:$V$1506&lt;&gt;"")*(Sales!$E$7:$E$1506&lt;$E713))+1)</f>
        <v/>
      </c>
      <c r="X713" s="49" t="str">
        <f t="shared" si="16"/>
        <v/>
      </c>
      <c r="Y713" s="49" t="str">
        <f t="shared" si="17"/>
        <v/>
      </c>
    </row>
    <row r="714" ht="15.75" customHeight="1">
      <c r="A714" s="82"/>
      <c r="B714" s="83"/>
      <c r="C714" s="83"/>
      <c r="D714" s="83"/>
      <c r="E714" s="83"/>
      <c r="F714" s="83"/>
      <c r="G714" s="83" t="str">
        <f>IF($F714="","",IFERROR(VLOOKUP($F714,Inventory!$A:$B,2,FALSE),""))</f>
        <v/>
      </c>
      <c r="H714" s="83"/>
      <c r="I714" s="84" t="str">
        <f t="shared" si="2"/>
        <v/>
      </c>
      <c r="J714" s="85" t="str">
        <f>IF($F714="","",IFERROR(VLOOKUP($F714,Inventory!$A:$K,11,FALSE),0))</f>
        <v/>
      </c>
      <c r="K714" s="85"/>
      <c r="L714" s="85" t="str">
        <f t="shared" si="12"/>
        <v/>
      </c>
      <c r="M714" s="83"/>
      <c r="N714" s="85" t="str">
        <f>IF($F714="","",IFERROR(VLOOKUP($F714,Inventory!$A:$I,9,FALSE),0))</f>
        <v/>
      </c>
      <c r="O714" s="85" t="str">
        <f t="shared" si="13"/>
        <v/>
      </c>
      <c r="P714" s="85" t="str">
        <f t="shared" si="5"/>
        <v/>
      </c>
      <c r="Q714" s="83"/>
      <c r="R714" s="118" t="str">
        <f>IF($E714="","",IF(COUNTIF($E$7:$E1911,$E714)&gt;1,"",IFERROR(VLOOKUP($E714,Orders!$A:$I,8,FALSE),"")))</f>
        <v/>
      </c>
      <c r="S714" s="118" t="str">
        <f>IF($E714="","",IF(COUNTIF($E$7:$E1911,$E714)&gt;1,"",IFERROR(VLOOKUP($E714,Orders!$A:$I,9,FALSE),"")))</f>
        <v/>
      </c>
      <c r="T714" s="88" t="str">
        <f t="shared" si="14"/>
        <v/>
      </c>
      <c r="U714" s="88" t="str">
        <f>IF($F714="","",IF($E714="",T714,SUMIF(Sales!$E$7:$E$1506,$E714,Sales!$T$7:$T$1506)))</f>
        <v/>
      </c>
      <c r="V714" s="49" t="str">
        <f t="shared" si="15"/>
        <v/>
      </c>
      <c r="W714" s="49" t="str">
        <f t="array" ref="W714">IF($V714="","",SUMPRODUCT((Sales!$V$7:$V$1506&lt;&gt;"")*(Sales!$E$7:$E$1506&lt;$E714))+1)</f>
        <v/>
      </c>
      <c r="X714" s="49" t="str">
        <f t="shared" si="16"/>
        <v/>
      </c>
      <c r="Y714" s="49" t="str">
        <f t="shared" si="17"/>
        <v/>
      </c>
    </row>
    <row r="715" ht="15.75" customHeight="1">
      <c r="A715" s="82"/>
      <c r="B715" s="83"/>
      <c r="C715" s="83"/>
      <c r="D715" s="83"/>
      <c r="E715" s="83"/>
      <c r="F715" s="83"/>
      <c r="G715" s="83" t="str">
        <f>IF($F715="","",IFERROR(VLOOKUP($F715,Inventory!$A:$B,2,FALSE),""))</f>
        <v/>
      </c>
      <c r="H715" s="83"/>
      <c r="I715" s="84" t="str">
        <f t="shared" si="2"/>
        <v/>
      </c>
      <c r="J715" s="85" t="str">
        <f>IF($F715="","",IFERROR(VLOOKUP($F715,Inventory!$A:$K,11,FALSE),0))</f>
        <v/>
      </c>
      <c r="K715" s="85"/>
      <c r="L715" s="85" t="str">
        <f t="shared" si="12"/>
        <v/>
      </c>
      <c r="M715" s="83"/>
      <c r="N715" s="85" t="str">
        <f>IF($F715="","",IFERROR(VLOOKUP($F715,Inventory!$A:$I,9,FALSE),0))</f>
        <v/>
      </c>
      <c r="O715" s="85" t="str">
        <f t="shared" si="13"/>
        <v/>
      </c>
      <c r="P715" s="85" t="str">
        <f t="shared" si="5"/>
        <v/>
      </c>
      <c r="Q715" s="83"/>
      <c r="R715" s="118" t="str">
        <f>IF($E715="","",IF(COUNTIF($E$7:$E1912,$E715)&gt;1,"",IFERROR(VLOOKUP($E715,Orders!$A:$I,8,FALSE),"")))</f>
        <v/>
      </c>
      <c r="S715" s="118" t="str">
        <f>IF($E715="","",IF(COUNTIF($E$7:$E1912,$E715)&gt;1,"",IFERROR(VLOOKUP($E715,Orders!$A:$I,9,FALSE),"")))</f>
        <v/>
      </c>
      <c r="T715" s="88" t="str">
        <f t="shared" si="14"/>
        <v/>
      </c>
      <c r="U715" s="88" t="str">
        <f>IF($F715="","",IF($E715="",T715,SUMIF(Sales!$E$7:$E$1506,$E715,Sales!$T$7:$T$1506)))</f>
        <v/>
      </c>
      <c r="V715" s="49" t="str">
        <f t="shared" si="15"/>
        <v/>
      </c>
      <c r="W715" s="49" t="str">
        <f t="array" ref="W715">IF($V715="","",SUMPRODUCT((Sales!$V$7:$V$1506&lt;&gt;"")*(Sales!$E$7:$E$1506&lt;$E715))+1)</f>
        <v/>
      </c>
      <c r="X715" s="49" t="str">
        <f t="shared" si="16"/>
        <v/>
      </c>
      <c r="Y715" s="49" t="str">
        <f t="shared" si="17"/>
        <v/>
      </c>
    </row>
    <row r="716" ht="15.75" customHeight="1">
      <c r="A716" s="82"/>
      <c r="B716" s="83"/>
      <c r="C716" s="83"/>
      <c r="D716" s="83"/>
      <c r="E716" s="83"/>
      <c r="F716" s="83"/>
      <c r="G716" s="83" t="str">
        <f>IF($F716="","",IFERROR(VLOOKUP($F716,Inventory!$A:$B,2,FALSE),""))</f>
        <v/>
      </c>
      <c r="H716" s="83"/>
      <c r="I716" s="84" t="str">
        <f t="shared" si="2"/>
        <v/>
      </c>
      <c r="J716" s="85" t="str">
        <f>IF($F716="","",IFERROR(VLOOKUP($F716,Inventory!$A:$K,11,FALSE),0))</f>
        <v/>
      </c>
      <c r="K716" s="85"/>
      <c r="L716" s="85" t="str">
        <f t="shared" si="12"/>
        <v/>
      </c>
      <c r="M716" s="83"/>
      <c r="N716" s="85" t="str">
        <f>IF($F716="","",IFERROR(VLOOKUP($F716,Inventory!$A:$I,9,FALSE),0))</f>
        <v/>
      </c>
      <c r="O716" s="85" t="str">
        <f t="shared" si="13"/>
        <v/>
      </c>
      <c r="P716" s="85" t="str">
        <f t="shared" si="5"/>
        <v/>
      </c>
      <c r="Q716" s="83"/>
      <c r="R716" s="118" t="str">
        <f>IF($E716="","",IF(COUNTIF($E$7:$E1913,$E716)&gt;1,"",IFERROR(VLOOKUP($E716,Orders!$A:$I,8,FALSE),"")))</f>
        <v/>
      </c>
      <c r="S716" s="118" t="str">
        <f>IF($E716="","",IF(COUNTIF($E$7:$E1913,$E716)&gt;1,"",IFERROR(VLOOKUP($E716,Orders!$A:$I,9,FALSE),"")))</f>
        <v/>
      </c>
      <c r="T716" s="88" t="str">
        <f t="shared" si="14"/>
        <v/>
      </c>
      <c r="U716" s="88" t="str">
        <f>IF($F716="","",IF($E716="",T716,SUMIF(Sales!$E$7:$E$1506,$E716,Sales!$T$7:$T$1506)))</f>
        <v/>
      </c>
      <c r="V716" s="49" t="str">
        <f t="shared" si="15"/>
        <v/>
      </c>
      <c r="W716" s="49" t="str">
        <f t="array" ref="W716">IF($V716="","",SUMPRODUCT((Sales!$V$7:$V$1506&lt;&gt;"")*(Sales!$E$7:$E$1506&lt;$E716))+1)</f>
        <v/>
      </c>
      <c r="X716" s="49" t="str">
        <f t="shared" si="16"/>
        <v/>
      </c>
      <c r="Y716" s="49" t="str">
        <f t="shared" si="17"/>
        <v/>
      </c>
    </row>
    <row r="717" ht="15.75" customHeight="1">
      <c r="A717" s="82"/>
      <c r="B717" s="83"/>
      <c r="C717" s="83"/>
      <c r="D717" s="83"/>
      <c r="E717" s="83"/>
      <c r="F717" s="83"/>
      <c r="G717" s="83" t="str">
        <f>IF($F717="","",IFERROR(VLOOKUP($F717,Inventory!$A:$B,2,FALSE),""))</f>
        <v/>
      </c>
      <c r="H717" s="83"/>
      <c r="I717" s="84" t="str">
        <f t="shared" si="2"/>
        <v/>
      </c>
      <c r="J717" s="85" t="str">
        <f>IF($F717="","",IFERROR(VLOOKUP($F717,Inventory!$A:$K,11,FALSE),0))</f>
        <v/>
      </c>
      <c r="K717" s="85"/>
      <c r="L717" s="85" t="str">
        <f t="shared" si="12"/>
        <v/>
      </c>
      <c r="M717" s="83"/>
      <c r="N717" s="85" t="str">
        <f>IF($F717="","",IFERROR(VLOOKUP($F717,Inventory!$A:$I,9,FALSE),0))</f>
        <v/>
      </c>
      <c r="O717" s="85" t="str">
        <f t="shared" si="13"/>
        <v/>
      </c>
      <c r="P717" s="85" t="str">
        <f t="shared" si="5"/>
        <v/>
      </c>
      <c r="Q717" s="83"/>
      <c r="R717" s="118" t="str">
        <f>IF($E717="","",IF(COUNTIF($E$7:$E1914,$E717)&gt;1,"",IFERROR(VLOOKUP($E717,Orders!$A:$I,8,FALSE),"")))</f>
        <v/>
      </c>
      <c r="S717" s="118" t="str">
        <f>IF($E717="","",IF(COUNTIF($E$7:$E1914,$E717)&gt;1,"",IFERROR(VLOOKUP($E717,Orders!$A:$I,9,FALSE),"")))</f>
        <v/>
      </c>
      <c r="T717" s="88" t="str">
        <f t="shared" si="14"/>
        <v/>
      </c>
      <c r="U717" s="88" t="str">
        <f>IF($F717="","",IF($E717="",T717,SUMIF(Sales!$E$7:$E$1506,$E717,Sales!$T$7:$T$1506)))</f>
        <v/>
      </c>
      <c r="V717" s="49" t="str">
        <f t="shared" si="15"/>
        <v/>
      </c>
      <c r="W717" s="49" t="str">
        <f t="array" ref="W717">IF($V717="","",SUMPRODUCT((Sales!$V$7:$V$1506&lt;&gt;"")*(Sales!$E$7:$E$1506&lt;$E717))+1)</f>
        <v/>
      </c>
      <c r="X717" s="49" t="str">
        <f t="shared" si="16"/>
        <v/>
      </c>
      <c r="Y717" s="49" t="str">
        <f t="shared" si="17"/>
        <v/>
      </c>
    </row>
    <row r="718" ht="15.75" customHeight="1">
      <c r="A718" s="82"/>
      <c r="B718" s="83"/>
      <c r="C718" s="83"/>
      <c r="D718" s="83"/>
      <c r="E718" s="83"/>
      <c r="F718" s="83"/>
      <c r="G718" s="83" t="str">
        <f>IF($F718="","",IFERROR(VLOOKUP($F718,Inventory!$A:$B,2,FALSE),""))</f>
        <v/>
      </c>
      <c r="H718" s="83"/>
      <c r="I718" s="84" t="str">
        <f t="shared" si="2"/>
        <v/>
      </c>
      <c r="J718" s="85" t="str">
        <f>IF($F718="","",IFERROR(VLOOKUP($F718,Inventory!$A:$K,11,FALSE),0))</f>
        <v/>
      </c>
      <c r="K718" s="85"/>
      <c r="L718" s="85" t="str">
        <f t="shared" si="12"/>
        <v/>
      </c>
      <c r="M718" s="83"/>
      <c r="N718" s="85" t="str">
        <f>IF($F718="","",IFERROR(VLOOKUP($F718,Inventory!$A:$I,9,FALSE),0))</f>
        <v/>
      </c>
      <c r="O718" s="85" t="str">
        <f t="shared" si="13"/>
        <v/>
      </c>
      <c r="P718" s="85" t="str">
        <f t="shared" si="5"/>
        <v/>
      </c>
      <c r="Q718" s="83"/>
      <c r="R718" s="118" t="str">
        <f>IF($E718="","",IF(COUNTIF($E$7:$E1915,$E718)&gt;1,"",IFERROR(VLOOKUP($E718,Orders!$A:$I,8,FALSE),"")))</f>
        <v/>
      </c>
      <c r="S718" s="118" t="str">
        <f>IF($E718="","",IF(COUNTIF($E$7:$E1915,$E718)&gt;1,"",IFERROR(VLOOKUP($E718,Orders!$A:$I,9,FALSE),"")))</f>
        <v/>
      </c>
      <c r="T718" s="88" t="str">
        <f t="shared" si="14"/>
        <v/>
      </c>
      <c r="U718" s="88" t="str">
        <f>IF($F718="","",IF($E718="",T718,SUMIF(Sales!$E$7:$E$1506,$E718,Sales!$T$7:$T$1506)))</f>
        <v/>
      </c>
      <c r="V718" s="49" t="str">
        <f t="shared" si="15"/>
        <v/>
      </c>
      <c r="W718" s="49" t="str">
        <f t="array" ref="W718">IF($V718="","",SUMPRODUCT((Sales!$V$7:$V$1506&lt;&gt;"")*(Sales!$E$7:$E$1506&lt;$E718))+1)</f>
        <v/>
      </c>
      <c r="X718" s="49" t="str">
        <f t="shared" si="16"/>
        <v/>
      </c>
      <c r="Y718" s="49" t="str">
        <f t="shared" si="17"/>
        <v/>
      </c>
    </row>
    <row r="719" ht="15.75" customHeight="1">
      <c r="A719" s="82"/>
      <c r="B719" s="83"/>
      <c r="C719" s="83"/>
      <c r="D719" s="83"/>
      <c r="E719" s="83"/>
      <c r="F719" s="83"/>
      <c r="G719" s="83" t="str">
        <f>IF($F719="","",IFERROR(VLOOKUP($F719,Inventory!$A:$B,2,FALSE),""))</f>
        <v/>
      </c>
      <c r="H719" s="83"/>
      <c r="I719" s="84" t="str">
        <f t="shared" si="2"/>
        <v/>
      </c>
      <c r="J719" s="85" t="str">
        <f>IF($F719="","",IFERROR(VLOOKUP($F719,Inventory!$A:$K,11,FALSE),0))</f>
        <v/>
      </c>
      <c r="K719" s="85"/>
      <c r="L719" s="85" t="str">
        <f t="shared" si="12"/>
        <v/>
      </c>
      <c r="M719" s="83"/>
      <c r="N719" s="85" t="str">
        <f>IF($F719="","",IFERROR(VLOOKUP($F719,Inventory!$A:$I,9,FALSE),0))</f>
        <v/>
      </c>
      <c r="O719" s="85" t="str">
        <f t="shared" si="13"/>
        <v/>
      </c>
      <c r="P719" s="85" t="str">
        <f t="shared" si="5"/>
        <v/>
      </c>
      <c r="Q719" s="83"/>
      <c r="R719" s="118" t="str">
        <f>IF($E719="","",IF(COUNTIF($E$7:$E1916,$E719)&gt;1,"",IFERROR(VLOOKUP($E719,Orders!$A:$I,8,FALSE),"")))</f>
        <v/>
      </c>
      <c r="S719" s="118" t="str">
        <f>IF($E719="","",IF(COUNTIF($E$7:$E1916,$E719)&gt;1,"",IFERROR(VLOOKUP($E719,Orders!$A:$I,9,FALSE),"")))</f>
        <v/>
      </c>
      <c r="T719" s="88" t="str">
        <f t="shared" si="14"/>
        <v/>
      </c>
      <c r="U719" s="88" t="str">
        <f>IF($F719="","",IF($E719="",T719,SUMIF(Sales!$E$7:$E$1506,$E719,Sales!$T$7:$T$1506)))</f>
        <v/>
      </c>
      <c r="V719" s="49" t="str">
        <f t="shared" si="15"/>
        <v/>
      </c>
      <c r="W719" s="49" t="str">
        <f t="array" ref="W719">IF($V719="","",SUMPRODUCT((Sales!$V$7:$V$1506&lt;&gt;"")*(Sales!$E$7:$E$1506&lt;$E719))+1)</f>
        <v/>
      </c>
      <c r="X719" s="49" t="str">
        <f t="shared" si="16"/>
        <v/>
      </c>
      <c r="Y719" s="49" t="str">
        <f t="shared" si="17"/>
        <v/>
      </c>
    </row>
    <row r="720" ht="15.75" customHeight="1">
      <c r="A720" s="82"/>
      <c r="B720" s="83"/>
      <c r="C720" s="83"/>
      <c r="D720" s="83"/>
      <c r="E720" s="83"/>
      <c r="F720" s="83"/>
      <c r="G720" s="83" t="str">
        <f>IF($F720="","",IFERROR(VLOOKUP($F720,Inventory!$A:$B,2,FALSE),""))</f>
        <v/>
      </c>
      <c r="H720" s="83"/>
      <c r="I720" s="84" t="str">
        <f t="shared" si="2"/>
        <v/>
      </c>
      <c r="J720" s="85" t="str">
        <f>IF($F720="","",IFERROR(VLOOKUP($F720,Inventory!$A:$K,11,FALSE),0))</f>
        <v/>
      </c>
      <c r="K720" s="85"/>
      <c r="L720" s="85" t="str">
        <f t="shared" si="12"/>
        <v/>
      </c>
      <c r="M720" s="83"/>
      <c r="N720" s="85" t="str">
        <f>IF($F720="","",IFERROR(VLOOKUP($F720,Inventory!$A:$I,9,FALSE),0))</f>
        <v/>
      </c>
      <c r="O720" s="85" t="str">
        <f t="shared" si="13"/>
        <v/>
      </c>
      <c r="P720" s="85" t="str">
        <f t="shared" si="5"/>
        <v/>
      </c>
      <c r="Q720" s="83"/>
      <c r="R720" s="118" t="str">
        <f>IF($E720="","",IF(COUNTIF($E$7:$E1917,$E720)&gt;1,"",IFERROR(VLOOKUP($E720,Orders!$A:$I,8,FALSE),"")))</f>
        <v/>
      </c>
      <c r="S720" s="118" t="str">
        <f>IF($E720="","",IF(COUNTIF($E$7:$E1917,$E720)&gt;1,"",IFERROR(VLOOKUP($E720,Orders!$A:$I,9,FALSE),"")))</f>
        <v/>
      </c>
      <c r="T720" s="88" t="str">
        <f t="shared" si="14"/>
        <v/>
      </c>
      <c r="U720" s="88" t="str">
        <f>IF($F720="","",IF($E720="",T720,SUMIF(Sales!$E$7:$E$1506,$E720,Sales!$T$7:$T$1506)))</f>
        <v/>
      </c>
      <c r="V720" s="49" t="str">
        <f t="shared" si="15"/>
        <v/>
      </c>
      <c r="W720" s="49" t="str">
        <f t="array" ref="W720">IF($V720="","",SUMPRODUCT((Sales!$V$7:$V$1506&lt;&gt;"")*(Sales!$E$7:$E$1506&lt;$E720))+1)</f>
        <v/>
      </c>
      <c r="X720" s="49" t="str">
        <f t="shared" si="16"/>
        <v/>
      </c>
      <c r="Y720" s="49" t="str">
        <f t="shared" si="17"/>
        <v/>
      </c>
    </row>
    <row r="721" ht="15.75" customHeight="1">
      <c r="A721" s="82"/>
      <c r="B721" s="83"/>
      <c r="C721" s="83"/>
      <c r="D721" s="83"/>
      <c r="E721" s="83"/>
      <c r="F721" s="83"/>
      <c r="G721" s="83" t="str">
        <f>IF($F721="","",IFERROR(VLOOKUP($F721,Inventory!$A:$B,2,FALSE),""))</f>
        <v/>
      </c>
      <c r="H721" s="83"/>
      <c r="I721" s="84" t="str">
        <f t="shared" si="2"/>
        <v/>
      </c>
      <c r="J721" s="85" t="str">
        <f>IF($F721="","",IFERROR(VLOOKUP($F721,Inventory!$A:$K,11,FALSE),0))</f>
        <v/>
      </c>
      <c r="K721" s="85"/>
      <c r="L721" s="85" t="str">
        <f t="shared" si="12"/>
        <v/>
      </c>
      <c r="M721" s="83"/>
      <c r="N721" s="85" t="str">
        <f>IF($F721="","",IFERROR(VLOOKUP($F721,Inventory!$A:$I,9,FALSE),0))</f>
        <v/>
      </c>
      <c r="O721" s="85" t="str">
        <f t="shared" si="13"/>
        <v/>
      </c>
      <c r="P721" s="85" t="str">
        <f t="shared" si="5"/>
        <v/>
      </c>
      <c r="Q721" s="83"/>
      <c r="R721" s="118" t="str">
        <f>IF($E721="","",IF(COUNTIF($E$7:$E1918,$E721)&gt;1,"",IFERROR(VLOOKUP($E721,Orders!$A:$I,8,FALSE),"")))</f>
        <v/>
      </c>
      <c r="S721" s="118" t="str">
        <f>IF($E721="","",IF(COUNTIF($E$7:$E1918,$E721)&gt;1,"",IFERROR(VLOOKUP($E721,Orders!$A:$I,9,FALSE),"")))</f>
        <v/>
      </c>
      <c r="T721" s="88" t="str">
        <f t="shared" si="14"/>
        <v/>
      </c>
      <c r="U721" s="88" t="str">
        <f>IF($F721="","",IF($E721="",T721,SUMIF(Sales!$E$7:$E$1506,$E721,Sales!$T$7:$T$1506)))</f>
        <v/>
      </c>
      <c r="V721" s="49" t="str">
        <f t="shared" si="15"/>
        <v/>
      </c>
      <c r="W721" s="49" t="str">
        <f t="array" ref="W721">IF($V721="","",SUMPRODUCT((Sales!$V$7:$V$1506&lt;&gt;"")*(Sales!$E$7:$E$1506&lt;$E721))+1)</f>
        <v/>
      </c>
      <c r="X721" s="49" t="str">
        <f t="shared" si="16"/>
        <v/>
      </c>
      <c r="Y721" s="49" t="str">
        <f t="shared" si="17"/>
        <v/>
      </c>
    </row>
    <row r="722" ht="15.75" customHeight="1">
      <c r="A722" s="82"/>
      <c r="B722" s="83"/>
      <c r="C722" s="83"/>
      <c r="D722" s="83"/>
      <c r="E722" s="83"/>
      <c r="F722" s="83"/>
      <c r="G722" s="83" t="str">
        <f>IF($F722="","",IFERROR(VLOOKUP($F722,Inventory!$A:$B,2,FALSE),""))</f>
        <v/>
      </c>
      <c r="H722" s="83"/>
      <c r="I722" s="84" t="str">
        <f t="shared" si="2"/>
        <v/>
      </c>
      <c r="J722" s="85" t="str">
        <f>IF($F722="","",IFERROR(VLOOKUP($F722,Inventory!$A:$K,11,FALSE),0))</f>
        <v/>
      </c>
      <c r="K722" s="85"/>
      <c r="L722" s="85" t="str">
        <f t="shared" si="12"/>
        <v/>
      </c>
      <c r="M722" s="83"/>
      <c r="N722" s="85" t="str">
        <f>IF($F722="","",IFERROR(VLOOKUP($F722,Inventory!$A:$I,9,FALSE),0))</f>
        <v/>
      </c>
      <c r="O722" s="85" t="str">
        <f t="shared" si="13"/>
        <v/>
      </c>
      <c r="P722" s="85" t="str">
        <f t="shared" si="5"/>
        <v/>
      </c>
      <c r="Q722" s="83"/>
      <c r="R722" s="118" t="str">
        <f>IF($E722="","",IF(COUNTIF($E$7:$E1919,$E722)&gt;1,"",IFERROR(VLOOKUP($E722,Orders!$A:$I,8,FALSE),"")))</f>
        <v/>
      </c>
      <c r="S722" s="118" t="str">
        <f>IF($E722="","",IF(COUNTIF($E$7:$E1919,$E722)&gt;1,"",IFERROR(VLOOKUP($E722,Orders!$A:$I,9,FALSE),"")))</f>
        <v/>
      </c>
      <c r="T722" s="88" t="str">
        <f t="shared" si="14"/>
        <v/>
      </c>
      <c r="U722" s="88" t="str">
        <f>IF($F722="","",IF($E722="",T722,SUMIF(Sales!$E$7:$E$1506,$E722,Sales!$T$7:$T$1506)))</f>
        <v/>
      </c>
      <c r="V722" s="49" t="str">
        <f t="shared" si="15"/>
        <v/>
      </c>
      <c r="W722" s="49" t="str">
        <f t="array" ref="W722">IF($V722="","",SUMPRODUCT((Sales!$V$7:$V$1506&lt;&gt;"")*(Sales!$E$7:$E$1506&lt;$E722))+1)</f>
        <v/>
      </c>
      <c r="X722" s="49" t="str">
        <f t="shared" si="16"/>
        <v/>
      </c>
      <c r="Y722" s="49" t="str">
        <f t="shared" si="17"/>
        <v/>
      </c>
    </row>
    <row r="723" ht="15.75" customHeight="1">
      <c r="A723" s="82"/>
      <c r="B723" s="83"/>
      <c r="C723" s="83"/>
      <c r="D723" s="83"/>
      <c r="E723" s="83"/>
      <c r="F723" s="83"/>
      <c r="G723" s="83" t="str">
        <f>IF($F723="","",IFERROR(VLOOKUP($F723,Inventory!$A:$B,2,FALSE),""))</f>
        <v/>
      </c>
      <c r="H723" s="83"/>
      <c r="I723" s="84" t="str">
        <f t="shared" si="2"/>
        <v/>
      </c>
      <c r="J723" s="85" t="str">
        <f>IF($F723="","",IFERROR(VLOOKUP($F723,Inventory!$A:$K,11,FALSE),0))</f>
        <v/>
      </c>
      <c r="K723" s="85"/>
      <c r="L723" s="85" t="str">
        <f t="shared" si="12"/>
        <v/>
      </c>
      <c r="M723" s="83"/>
      <c r="N723" s="85" t="str">
        <f>IF($F723="","",IFERROR(VLOOKUP($F723,Inventory!$A:$I,9,FALSE),0))</f>
        <v/>
      </c>
      <c r="O723" s="85" t="str">
        <f t="shared" si="13"/>
        <v/>
      </c>
      <c r="P723" s="85" t="str">
        <f t="shared" si="5"/>
        <v/>
      </c>
      <c r="Q723" s="83"/>
      <c r="R723" s="118" t="str">
        <f>IF($E723="","",IF(COUNTIF($E$7:$E1920,$E723)&gt;1,"",IFERROR(VLOOKUP($E723,Orders!$A:$I,8,FALSE),"")))</f>
        <v/>
      </c>
      <c r="S723" s="118" t="str">
        <f>IF($E723="","",IF(COUNTIF($E$7:$E1920,$E723)&gt;1,"",IFERROR(VLOOKUP($E723,Orders!$A:$I,9,FALSE),"")))</f>
        <v/>
      </c>
      <c r="T723" s="88" t="str">
        <f t="shared" si="14"/>
        <v/>
      </c>
      <c r="U723" s="88" t="str">
        <f>IF($F723="","",IF($E723="",T723,SUMIF(Sales!$E$7:$E$1506,$E723,Sales!$T$7:$T$1506)))</f>
        <v/>
      </c>
      <c r="V723" s="49" t="str">
        <f t="shared" si="15"/>
        <v/>
      </c>
      <c r="W723" s="49" t="str">
        <f t="array" ref="W723">IF($V723="","",SUMPRODUCT((Sales!$V$7:$V$1506&lt;&gt;"")*(Sales!$E$7:$E$1506&lt;$E723))+1)</f>
        <v/>
      </c>
      <c r="X723" s="49" t="str">
        <f t="shared" si="16"/>
        <v/>
      </c>
      <c r="Y723" s="49" t="str">
        <f t="shared" si="17"/>
        <v/>
      </c>
    </row>
    <row r="724" ht="15.75" customHeight="1">
      <c r="A724" s="82"/>
      <c r="B724" s="83"/>
      <c r="C724" s="83"/>
      <c r="D724" s="83"/>
      <c r="E724" s="83"/>
      <c r="F724" s="83"/>
      <c r="G724" s="83" t="str">
        <f>IF($F724="","",IFERROR(VLOOKUP($F724,Inventory!$A:$B,2,FALSE),""))</f>
        <v/>
      </c>
      <c r="H724" s="83"/>
      <c r="I724" s="84" t="str">
        <f t="shared" si="2"/>
        <v/>
      </c>
      <c r="J724" s="85" t="str">
        <f>IF($F724="","",IFERROR(VLOOKUP($F724,Inventory!$A:$K,11,FALSE),0))</f>
        <v/>
      </c>
      <c r="K724" s="85"/>
      <c r="L724" s="85" t="str">
        <f t="shared" si="12"/>
        <v/>
      </c>
      <c r="M724" s="83"/>
      <c r="N724" s="85" t="str">
        <f>IF($F724="","",IFERROR(VLOOKUP($F724,Inventory!$A:$I,9,FALSE),0))</f>
        <v/>
      </c>
      <c r="O724" s="85" t="str">
        <f t="shared" si="13"/>
        <v/>
      </c>
      <c r="P724" s="85" t="str">
        <f t="shared" si="5"/>
        <v/>
      </c>
      <c r="Q724" s="83"/>
      <c r="R724" s="118" t="str">
        <f>IF($E724="","",IF(COUNTIF($E$7:$E1921,$E724)&gt;1,"",IFERROR(VLOOKUP($E724,Orders!$A:$I,8,FALSE),"")))</f>
        <v/>
      </c>
      <c r="S724" s="118" t="str">
        <f>IF($E724="","",IF(COUNTIF($E$7:$E1921,$E724)&gt;1,"",IFERROR(VLOOKUP($E724,Orders!$A:$I,9,FALSE),"")))</f>
        <v/>
      </c>
      <c r="T724" s="88" t="str">
        <f t="shared" si="14"/>
        <v/>
      </c>
      <c r="U724" s="88" t="str">
        <f>IF($F724="","",IF($E724="",T724,SUMIF(Sales!$E$7:$E$1506,$E724,Sales!$T$7:$T$1506)))</f>
        <v/>
      </c>
      <c r="V724" s="49" t="str">
        <f t="shared" si="15"/>
        <v/>
      </c>
      <c r="W724" s="49" t="str">
        <f t="array" ref="W724">IF($V724="","",SUMPRODUCT((Sales!$V$7:$V$1506&lt;&gt;"")*(Sales!$E$7:$E$1506&lt;$E724))+1)</f>
        <v/>
      </c>
      <c r="X724" s="49" t="str">
        <f t="shared" si="16"/>
        <v/>
      </c>
      <c r="Y724" s="49" t="str">
        <f t="shared" si="17"/>
        <v/>
      </c>
    </row>
    <row r="725" ht="15.75" customHeight="1">
      <c r="A725" s="82"/>
      <c r="B725" s="83"/>
      <c r="C725" s="83"/>
      <c r="D725" s="83"/>
      <c r="E725" s="83"/>
      <c r="F725" s="83"/>
      <c r="G725" s="83" t="str">
        <f>IF($F725="","",IFERROR(VLOOKUP($F725,Inventory!$A:$B,2,FALSE),""))</f>
        <v/>
      </c>
      <c r="H725" s="83"/>
      <c r="I725" s="84" t="str">
        <f t="shared" si="2"/>
        <v/>
      </c>
      <c r="J725" s="85" t="str">
        <f>IF($F725="","",IFERROR(VLOOKUP($F725,Inventory!$A:$K,11,FALSE),0))</f>
        <v/>
      </c>
      <c r="K725" s="85"/>
      <c r="L725" s="85" t="str">
        <f t="shared" si="12"/>
        <v/>
      </c>
      <c r="M725" s="83"/>
      <c r="N725" s="85" t="str">
        <f>IF($F725="","",IFERROR(VLOOKUP($F725,Inventory!$A:$I,9,FALSE),0))</f>
        <v/>
      </c>
      <c r="O725" s="85" t="str">
        <f t="shared" si="13"/>
        <v/>
      </c>
      <c r="P725" s="85" t="str">
        <f t="shared" si="5"/>
        <v/>
      </c>
      <c r="Q725" s="83"/>
      <c r="R725" s="118" t="str">
        <f>IF($E725="","",IF(COUNTIF($E$7:$E1922,$E725)&gt;1,"",IFERROR(VLOOKUP($E725,Orders!$A:$I,8,FALSE),"")))</f>
        <v/>
      </c>
      <c r="S725" s="118" t="str">
        <f>IF($E725="","",IF(COUNTIF($E$7:$E1922,$E725)&gt;1,"",IFERROR(VLOOKUP($E725,Orders!$A:$I,9,FALSE),"")))</f>
        <v/>
      </c>
      <c r="T725" s="88" t="str">
        <f t="shared" si="14"/>
        <v/>
      </c>
      <c r="U725" s="88" t="str">
        <f>IF($F725="","",IF($E725="",T725,SUMIF(Sales!$E$7:$E$1506,$E725,Sales!$T$7:$T$1506)))</f>
        <v/>
      </c>
      <c r="V725" s="49" t="str">
        <f t="shared" si="15"/>
        <v/>
      </c>
      <c r="W725" s="49" t="str">
        <f t="array" ref="W725">IF($V725="","",SUMPRODUCT((Sales!$V$7:$V$1506&lt;&gt;"")*(Sales!$E$7:$E$1506&lt;$E725))+1)</f>
        <v/>
      </c>
      <c r="X725" s="49" t="str">
        <f t="shared" si="16"/>
        <v/>
      </c>
      <c r="Y725" s="49" t="str">
        <f t="shared" si="17"/>
        <v/>
      </c>
    </row>
    <row r="726" ht="15.75" customHeight="1">
      <c r="A726" s="82"/>
      <c r="B726" s="83"/>
      <c r="C726" s="83"/>
      <c r="D726" s="83"/>
      <c r="E726" s="83"/>
      <c r="F726" s="83"/>
      <c r="G726" s="83" t="str">
        <f>IF($F726="","",IFERROR(VLOOKUP($F726,Inventory!$A:$B,2,FALSE),""))</f>
        <v/>
      </c>
      <c r="H726" s="83"/>
      <c r="I726" s="84" t="str">
        <f t="shared" si="2"/>
        <v/>
      </c>
      <c r="J726" s="85" t="str">
        <f>IF($F726="","",IFERROR(VLOOKUP($F726,Inventory!$A:$K,11,FALSE),0))</f>
        <v/>
      </c>
      <c r="K726" s="85"/>
      <c r="L726" s="85" t="str">
        <f t="shared" si="12"/>
        <v/>
      </c>
      <c r="M726" s="83"/>
      <c r="N726" s="85" t="str">
        <f>IF($F726="","",IFERROR(VLOOKUP($F726,Inventory!$A:$I,9,FALSE),0))</f>
        <v/>
      </c>
      <c r="O726" s="85" t="str">
        <f t="shared" si="13"/>
        <v/>
      </c>
      <c r="P726" s="85" t="str">
        <f t="shared" si="5"/>
        <v/>
      </c>
      <c r="Q726" s="83"/>
      <c r="R726" s="118" t="str">
        <f>IF($E726="","",IF(COUNTIF($E$7:$E1923,$E726)&gt;1,"",IFERROR(VLOOKUP($E726,Orders!$A:$I,8,FALSE),"")))</f>
        <v/>
      </c>
      <c r="S726" s="118" t="str">
        <f>IF($E726="","",IF(COUNTIF($E$7:$E1923,$E726)&gt;1,"",IFERROR(VLOOKUP($E726,Orders!$A:$I,9,FALSE),"")))</f>
        <v/>
      </c>
      <c r="T726" s="88" t="str">
        <f t="shared" si="14"/>
        <v/>
      </c>
      <c r="U726" s="88" t="str">
        <f>IF($F726="","",IF($E726="",T726,SUMIF(Sales!$E$7:$E$1506,$E726,Sales!$T$7:$T$1506)))</f>
        <v/>
      </c>
      <c r="V726" s="49" t="str">
        <f t="shared" si="15"/>
        <v/>
      </c>
      <c r="W726" s="49" t="str">
        <f t="array" ref="W726">IF($V726="","",SUMPRODUCT((Sales!$V$7:$V$1506&lt;&gt;"")*(Sales!$E$7:$E$1506&lt;$E726))+1)</f>
        <v/>
      </c>
      <c r="X726" s="49" t="str">
        <f t="shared" si="16"/>
        <v/>
      </c>
      <c r="Y726" s="49" t="str">
        <f t="shared" si="17"/>
        <v/>
      </c>
    </row>
    <row r="727" ht="15.75" customHeight="1">
      <c r="A727" s="82"/>
      <c r="B727" s="83"/>
      <c r="C727" s="83"/>
      <c r="D727" s="83"/>
      <c r="E727" s="83"/>
      <c r="F727" s="83"/>
      <c r="G727" s="83" t="str">
        <f>IF($F727="","",IFERROR(VLOOKUP($F727,Inventory!$A:$B,2,FALSE),""))</f>
        <v/>
      </c>
      <c r="H727" s="83"/>
      <c r="I727" s="84" t="str">
        <f t="shared" si="2"/>
        <v/>
      </c>
      <c r="J727" s="85" t="str">
        <f>IF($F727="","",IFERROR(VLOOKUP($F727,Inventory!$A:$K,11,FALSE),0))</f>
        <v/>
      </c>
      <c r="K727" s="85"/>
      <c r="L727" s="85" t="str">
        <f t="shared" si="12"/>
        <v/>
      </c>
      <c r="M727" s="83"/>
      <c r="N727" s="85" t="str">
        <f>IF($F727="","",IFERROR(VLOOKUP($F727,Inventory!$A:$I,9,FALSE),0))</f>
        <v/>
      </c>
      <c r="O727" s="85" t="str">
        <f t="shared" si="13"/>
        <v/>
      </c>
      <c r="P727" s="85" t="str">
        <f t="shared" si="5"/>
        <v/>
      </c>
      <c r="Q727" s="83"/>
      <c r="R727" s="118" t="str">
        <f>IF($E727="","",IF(COUNTIF($E$7:$E1924,$E727)&gt;1,"",IFERROR(VLOOKUP($E727,Orders!$A:$I,8,FALSE),"")))</f>
        <v/>
      </c>
      <c r="S727" s="118" t="str">
        <f>IF($E727="","",IF(COUNTIF($E$7:$E1924,$E727)&gt;1,"",IFERROR(VLOOKUP($E727,Orders!$A:$I,9,FALSE),"")))</f>
        <v/>
      </c>
      <c r="T727" s="88" t="str">
        <f t="shared" si="14"/>
        <v/>
      </c>
      <c r="U727" s="88" t="str">
        <f>IF($F727="","",IF($E727="",T727,SUMIF(Sales!$E$7:$E$1506,$E727,Sales!$T$7:$T$1506)))</f>
        <v/>
      </c>
      <c r="V727" s="49" t="str">
        <f t="shared" si="15"/>
        <v/>
      </c>
      <c r="W727" s="49" t="str">
        <f t="array" ref="W727">IF($V727="","",SUMPRODUCT((Sales!$V$7:$V$1506&lt;&gt;"")*(Sales!$E$7:$E$1506&lt;$E727))+1)</f>
        <v/>
      </c>
      <c r="X727" s="49" t="str">
        <f t="shared" si="16"/>
        <v/>
      </c>
      <c r="Y727" s="49" t="str">
        <f t="shared" si="17"/>
        <v/>
      </c>
    </row>
    <row r="728" ht="15.75" customHeight="1">
      <c r="A728" s="82"/>
      <c r="B728" s="83"/>
      <c r="C728" s="83"/>
      <c r="D728" s="83"/>
      <c r="E728" s="83"/>
      <c r="F728" s="83"/>
      <c r="G728" s="83" t="str">
        <f>IF($F728="","",IFERROR(VLOOKUP($F728,Inventory!$A:$B,2,FALSE),""))</f>
        <v/>
      </c>
      <c r="H728" s="83"/>
      <c r="I728" s="84" t="str">
        <f t="shared" si="2"/>
        <v/>
      </c>
      <c r="J728" s="85" t="str">
        <f>IF($F728="","",IFERROR(VLOOKUP($F728,Inventory!$A:$K,11,FALSE),0))</f>
        <v/>
      </c>
      <c r="K728" s="85"/>
      <c r="L728" s="85" t="str">
        <f t="shared" si="12"/>
        <v/>
      </c>
      <c r="M728" s="83"/>
      <c r="N728" s="85" t="str">
        <f>IF($F728="","",IFERROR(VLOOKUP($F728,Inventory!$A:$I,9,FALSE),0))</f>
        <v/>
      </c>
      <c r="O728" s="85" t="str">
        <f t="shared" si="13"/>
        <v/>
      </c>
      <c r="P728" s="85" t="str">
        <f t="shared" si="5"/>
        <v/>
      </c>
      <c r="Q728" s="83"/>
      <c r="R728" s="118" t="str">
        <f>IF($E728="","",IF(COUNTIF($E$7:$E1925,$E728)&gt;1,"",IFERROR(VLOOKUP($E728,Orders!$A:$I,8,FALSE),"")))</f>
        <v/>
      </c>
      <c r="S728" s="118" t="str">
        <f>IF($E728="","",IF(COUNTIF($E$7:$E1925,$E728)&gt;1,"",IFERROR(VLOOKUP($E728,Orders!$A:$I,9,FALSE),"")))</f>
        <v/>
      </c>
      <c r="T728" s="88" t="str">
        <f t="shared" si="14"/>
        <v/>
      </c>
      <c r="U728" s="88" t="str">
        <f>IF($F728="","",IF($E728="",T728,SUMIF(Sales!$E$7:$E$1506,$E728,Sales!$T$7:$T$1506)))</f>
        <v/>
      </c>
      <c r="V728" s="49" t="str">
        <f t="shared" si="15"/>
        <v/>
      </c>
      <c r="W728" s="49" t="str">
        <f t="array" ref="W728">IF($V728="","",SUMPRODUCT((Sales!$V$7:$V$1506&lt;&gt;"")*(Sales!$E$7:$E$1506&lt;$E728))+1)</f>
        <v/>
      </c>
      <c r="X728" s="49" t="str">
        <f t="shared" si="16"/>
        <v/>
      </c>
      <c r="Y728" s="49" t="str">
        <f t="shared" si="17"/>
        <v/>
      </c>
    </row>
    <row r="729" ht="15.75" customHeight="1">
      <c r="A729" s="82"/>
      <c r="B729" s="83"/>
      <c r="C729" s="83"/>
      <c r="D729" s="83"/>
      <c r="E729" s="83"/>
      <c r="F729" s="83"/>
      <c r="G729" s="83" t="str">
        <f>IF($F729="","",IFERROR(VLOOKUP($F729,Inventory!$A:$B,2,FALSE),""))</f>
        <v/>
      </c>
      <c r="H729" s="83"/>
      <c r="I729" s="84" t="str">
        <f t="shared" si="2"/>
        <v/>
      </c>
      <c r="J729" s="85" t="str">
        <f>IF($F729="","",IFERROR(VLOOKUP($F729,Inventory!$A:$K,11,FALSE),0))</f>
        <v/>
      </c>
      <c r="K729" s="85"/>
      <c r="L729" s="85" t="str">
        <f t="shared" si="12"/>
        <v/>
      </c>
      <c r="M729" s="83"/>
      <c r="N729" s="85" t="str">
        <f>IF($F729="","",IFERROR(VLOOKUP($F729,Inventory!$A:$I,9,FALSE),0))</f>
        <v/>
      </c>
      <c r="O729" s="85" t="str">
        <f t="shared" si="13"/>
        <v/>
      </c>
      <c r="P729" s="85" t="str">
        <f t="shared" si="5"/>
        <v/>
      </c>
      <c r="Q729" s="83"/>
      <c r="R729" s="118" t="str">
        <f>IF($E729="","",IF(COUNTIF($E$7:$E1926,$E729)&gt;1,"",IFERROR(VLOOKUP($E729,Orders!$A:$I,8,FALSE),"")))</f>
        <v/>
      </c>
      <c r="S729" s="118" t="str">
        <f>IF($E729="","",IF(COUNTIF($E$7:$E1926,$E729)&gt;1,"",IFERROR(VLOOKUP($E729,Orders!$A:$I,9,FALSE),"")))</f>
        <v/>
      </c>
      <c r="T729" s="88" t="str">
        <f t="shared" si="14"/>
        <v/>
      </c>
      <c r="U729" s="88" t="str">
        <f>IF($F729="","",IF($E729="",T729,SUMIF(Sales!$E$7:$E$1506,$E729,Sales!$T$7:$T$1506)))</f>
        <v/>
      </c>
      <c r="V729" s="49" t="str">
        <f t="shared" si="15"/>
        <v/>
      </c>
      <c r="W729" s="49" t="str">
        <f t="array" ref="W729">IF($V729="","",SUMPRODUCT((Sales!$V$7:$V$1506&lt;&gt;"")*(Sales!$E$7:$E$1506&lt;$E729))+1)</f>
        <v/>
      </c>
      <c r="X729" s="49" t="str">
        <f t="shared" si="16"/>
        <v/>
      </c>
      <c r="Y729" s="49" t="str">
        <f t="shared" si="17"/>
        <v/>
      </c>
    </row>
    <row r="730" ht="15.75" customHeight="1">
      <c r="A730" s="82"/>
      <c r="B730" s="83"/>
      <c r="C730" s="83"/>
      <c r="D730" s="83"/>
      <c r="E730" s="83"/>
      <c r="F730" s="83"/>
      <c r="G730" s="83" t="str">
        <f>IF($F730="","",IFERROR(VLOOKUP($F730,Inventory!$A:$B,2,FALSE),""))</f>
        <v/>
      </c>
      <c r="H730" s="83"/>
      <c r="I730" s="84" t="str">
        <f t="shared" si="2"/>
        <v/>
      </c>
      <c r="J730" s="85" t="str">
        <f>IF($F730="","",IFERROR(VLOOKUP($F730,Inventory!$A:$K,11,FALSE),0))</f>
        <v/>
      </c>
      <c r="K730" s="85"/>
      <c r="L730" s="85" t="str">
        <f t="shared" si="12"/>
        <v/>
      </c>
      <c r="M730" s="83"/>
      <c r="N730" s="85" t="str">
        <f>IF($F730="","",IFERROR(VLOOKUP($F730,Inventory!$A:$I,9,FALSE),0))</f>
        <v/>
      </c>
      <c r="O730" s="85" t="str">
        <f t="shared" si="13"/>
        <v/>
      </c>
      <c r="P730" s="85" t="str">
        <f t="shared" si="5"/>
        <v/>
      </c>
      <c r="Q730" s="83"/>
      <c r="R730" s="118" t="str">
        <f>IF($E730="","",IF(COUNTIF($E$7:$E1927,$E730)&gt;1,"",IFERROR(VLOOKUP($E730,Orders!$A:$I,8,FALSE),"")))</f>
        <v/>
      </c>
      <c r="S730" s="118" t="str">
        <f>IF($E730="","",IF(COUNTIF($E$7:$E1927,$E730)&gt;1,"",IFERROR(VLOOKUP($E730,Orders!$A:$I,9,FALSE),"")))</f>
        <v/>
      </c>
      <c r="T730" s="88" t="str">
        <f t="shared" si="14"/>
        <v/>
      </c>
      <c r="U730" s="88" t="str">
        <f>IF($F730="","",IF($E730="",T730,SUMIF(Sales!$E$7:$E$1506,$E730,Sales!$T$7:$T$1506)))</f>
        <v/>
      </c>
      <c r="V730" s="49" t="str">
        <f t="shared" si="15"/>
        <v/>
      </c>
      <c r="W730" s="49" t="str">
        <f t="array" ref="W730">IF($V730="","",SUMPRODUCT((Sales!$V$7:$V$1506&lt;&gt;"")*(Sales!$E$7:$E$1506&lt;$E730))+1)</f>
        <v/>
      </c>
      <c r="X730" s="49" t="str">
        <f t="shared" si="16"/>
        <v/>
      </c>
      <c r="Y730" s="49" t="str">
        <f t="shared" si="17"/>
        <v/>
      </c>
    </row>
    <row r="731" ht="15.75" customHeight="1">
      <c r="A731" s="82"/>
      <c r="B731" s="83"/>
      <c r="C731" s="83"/>
      <c r="D731" s="83"/>
      <c r="E731" s="83"/>
      <c r="F731" s="83"/>
      <c r="G731" s="83" t="str">
        <f>IF($F731="","",IFERROR(VLOOKUP($F731,Inventory!$A:$B,2,FALSE),""))</f>
        <v/>
      </c>
      <c r="H731" s="83"/>
      <c r="I731" s="84" t="str">
        <f t="shared" si="2"/>
        <v/>
      </c>
      <c r="J731" s="85" t="str">
        <f>IF($F731="","",IFERROR(VLOOKUP($F731,Inventory!$A:$K,11,FALSE),0))</f>
        <v/>
      </c>
      <c r="K731" s="85"/>
      <c r="L731" s="85" t="str">
        <f t="shared" si="12"/>
        <v/>
      </c>
      <c r="M731" s="83"/>
      <c r="N731" s="85" t="str">
        <f>IF($F731="","",IFERROR(VLOOKUP($F731,Inventory!$A:$I,9,FALSE),0))</f>
        <v/>
      </c>
      <c r="O731" s="85" t="str">
        <f t="shared" si="13"/>
        <v/>
      </c>
      <c r="P731" s="85" t="str">
        <f t="shared" si="5"/>
        <v/>
      </c>
      <c r="Q731" s="83"/>
      <c r="R731" s="118" t="str">
        <f>IF($E731="","",IF(COUNTIF($E$7:$E1928,$E731)&gt;1,"",IFERROR(VLOOKUP($E731,Orders!$A:$I,8,FALSE),"")))</f>
        <v/>
      </c>
      <c r="S731" s="118" t="str">
        <f>IF($E731="","",IF(COUNTIF($E$7:$E1928,$E731)&gt;1,"",IFERROR(VLOOKUP($E731,Orders!$A:$I,9,FALSE),"")))</f>
        <v/>
      </c>
      <c r="T731" s="88" t="str">
        <f t="shared" si="14"/>
        <v/>
      </c>
      <c r="U731" s="88" t="str">
        <f>IF($F731="","",IF($E731="",T731,SUMIF(Sales!$E$7:$E$1506,$E731,Sales!$T$7:$T$1506)))</f>
        <v/>
      </c>
      <c r="V731" s="49" t="str">
        <f t="shared" si="15"/>
        <v/>
      </c>
      <c r="W731" s="49" t="str">
        <f t="array" ref="W731">IF($V731="","",SUMPRODUCT((Sales!$V$7:$V$1506&lt;&gt;"")*(Sales!$E$7:$E$1506&lt;$E731))+1)</f>
        <v/>
      </c>
      <c r="X731" s="49" t="str">
        <f t="shared" si="16"/>
        <v/>
      </c>
      <c r="Y731" s="49" t="str">
        <f t="shared" si="17"/>
        <v/>
      </c>
    </row>
    <row r="732" ht="15.75" customHeight="1">
      <c r="A732" s="82"/>
      <c r="B732" s="83"/>
      <c r="C732" s="83"/>
      <c r="D732" s="83"/>
      <c r="E732" s="83"/>
      <c r="F732" s="83"/>
      <c r="G732" s="83" t="str">
        <f>IF($F732="","",IFERROR(VLOOKUP($F732,Inventory!$A:$B,2,FALSE),""))</f>
        <v/>
      </c>
      <c r="H732" s="83"/>
      <c r="I732" s="84" t="str">
        <f t="shared" si="2"/>
        <v/>
      </c>
      <c r="J732" s="85" t="str">
        <f>IF($F732="","",IFERROR(VLOOKUP($F732,Inventory!$A:$K,11,FALSE),0))</f>
        <v/>
      </c>
      <c r="K732" s="85"/>
      <c r="L732" s="85" t="str">
        <f t="shared" si="12"/>
        <v/>
      </c>
      <c r="M732" s="83"/>
      <c r="N732" s="85" t="str">
        <f>IF($F732="","",IFERROR(VLOOKUP($F732,Inventory!$A:$I,9,FALSE),0))</f>
        <v/>
      </c>
      <c r="O732" s="85" t="str">
        <f t="shared" si="13"/>
        <v/>
      </c>
      <c r="P732" s="85" t="str">
        <f t="shared" si="5"/>
        <v/>
      </c>
      <c r="Q732" s="83"/>
      <c r="R732" s="118" t="str">
        <f>IF($E732="","",IF(COUNTIF($E$7:$E1929,$E732)&gt;1,"",IFERROR(VLOOKUP($E732,Orders!$A:$I,8,FALSE),"")))</f>
        <v/>
      </c>
      <c r="S732" s="118" t="str">
        <f>IF($E732="","",IF(COUNTIF($E$7:$E1929,$E732)&gt;1,"",IFERROR(VLOOKUP($E732,Orders!$A:$I,9,FALSE),"")))</f>
        <v/>
      </c>
      <c r="T732" s="88" t="str">
        <f t="shared" si="14"/>
        <v/>
      </c>
      <c r="U732" s="88" t="str">
        <f>IF($F732="","",IF($E732="",T732,SUMIF(Sales!$E$7:$E$1506,$E732,Sales!$T$7:$T$1506)))</f>
        <v/>
      </c>
      <c r="V732" s="49" t="str">
        <f t="shared" si="15"/>
        <v/>
      </c>
      <c r="W732" s="49" t="str">
        <f t="array" ref="W732">IF($V732="","",SUMPRODUCT((Sales!$V$7:$V$1506&lt;&gt;"")*(Sales!$E$7:$E$1506&lt;$E732))+1)</f>
        <v/>
      </c>
      <c r="X732" s="49" t="str">
        <f t="shared" si="16"/>
        <v/>
      </c>
      <c r="Y732" s="49" t="str">
        <f t="shared" si="17"/>
        <v/>
      </c>
    </row>
    <row r="733" ht="15.75" customHeight="1">
      <c r="A733" s="82"/>
      <c r="B733" s="83"/>
      <c r="C733" s="83"/>
      <c r="D733" s="83"/>
      <c r="E733" s="83"/>
      <c r="F733" s="83"/>
      <c r="G733" s="83" t="str">
        <f>IF($F733="","",IFERROR(VLOOKUP($F733,Inventory!$A:$B,2,FALSE),""))</f>
        <v/>
      </c>
      <c r="H733" s="83"/>
      <c r="I733" s="84" t="str">
        <f t="shared" si="2"/>
        <v/>
      </c>
      <c r="J733" s="85" t="str">
        <f>IF($F733="","",IFERROR(VLOOKUP($F733,Inventory!$A:$K,11,FALSE),0))</f>
        <v/>
      </c>
      <c r="K733" s="85"/>
      <c r="L733" s="85" t="str">
        <f t="shared" si="12"/>
        <v/>
      </c>
      <c r="M733" s="83"/>
      <c r="N733" s="85" t="str">
        <f>IF($F733="","",IFERROR(VLOOKUP($F733,Inventory!$A:$I,9,FALSE),0))</f>
        <v/>
      </c>
      <c r="O733" s="85" t="str">
        <f t="shared" si="13"/>
        <v/>
      </c>
      <c r="P733" s="85" t="str">
        <f t="shared" si="5"/>
        <v/>
      </c>
      <c r="Q733" s="83"/>
      <c r="R733" s="118" t="str">
        <f>IF($E733="","",IF(COUNTIF($E$7:$E1930,$E733)&gt;1,"",IFERROR(VLOOKUP($E733,Orders!$A:$I,8,FALSE),"")))</f>
        <v/>
      </c>
      <c r="S733" s="118" t="str">
        <f>IF($E733="","",IF(COUNTIF($E$7:$E1930,$E733)&gt;1,"",IFERROR(VLOOKUP($E733,Orders!$A:$I,9,FALSE),"")))</f>
        <v/>
      </c>
      <c r="T733" s="88" t="str">
        <f t="shared" si="14"/>
        <v/>
      </c>
      <c r="U733" s="88" t="str">
        <f>IF($F733="","",IF($E733="",T733,SUMIF(Sales!$E$7:$E$1506,$E733,Sales!$T$7:$T$1506)))</f>
        <v/>
      </c>
      <c r="V733" s="49" t="str">
        <f t="shared" si="15"/>
        <v/>
      </c>
      <c r="W733" s="49" t="str">
        <f t="array" ref="W733">IF($V733="","",SUMPRODUCT((Sales!$V$7:$V$1506&lt;&gt;"")*(Sales!$E$7:$E$1506&lt;$E733))+1)</f>
        <v/>
      </c>
      <c r="X733" s="49" t="str">
        <f t="shared" si="16"/>
        <v/>
      </c>
      <c r="Y733" s="49" t="str">
        <f t="shared" si="17"/>
        <v/>
      </c>
    </row>
    <row r="734" ht="15.75" customHeight="1">
      <c r="A734" s="82"/>
      <c r="B734" s="83"/>
      <c r="C734" s="83"/>
      <c r="D734" s="83"/>
      <c r="E734" s="83"/>
      <c r="F734" s="83"/>
      <c r="G734" s="83" t="str">
        <f>IF($F734="","",IFERROR(VLOOKUP($F734,Inventory!$A:$B,2,FALSE),""))</f>
        <v/>
      </c>
      <c r="H734" s="83"/>
      <c r="I734" s="84" t="str">
        <f t="shared" si="2"/>
        <v/>
      </c>
      <c r="J734" s="85" t="str">
        <f>IF($F734="","",IFERROR(VLOOKUP($F734,Inventory!$A:$K,11,FALSE),0))</f>
        <v/>
      </c>
      <c r="K734" s="85"/>
      <c r="L734" s="85" t="str">
        <f t="shared" si="12"/>
        <v/>
      </c>
      <c r="M734" s="83"/>
      <c r="N734" s="85" t="str">
        <f>IF($F734="","",IFERROR(VLOOKUP($F734,Inventory!$A:$I,9,FALSE),0))</f>
        <v/>
      </c>
      <c r="O734" s="85" t="str">
        <f t="shared" si="13"/>
        <v/>
      </c>
      <c r="P734" s="85" t="str">
        <f t="shared" si="5"/>
        <v/>
      </c>
      <c r="Q734" s="83"/>
      <c r="R734" s="118" t="str">
        <f>IF($E734="","",IF(COUNTIF($E$7:$E1931,$E734)&gt;1,"",IFERROR(VLOOKUP($E734,Orders!$A:$I,8,FALSE),"")))</f>
        <v/>
      </c>
      <c r="S734" s="118" t="str">
        <f>IF($E734="","",IF(COUNTIF($E$7:$E1931,$E734)&gt;1,"",IFERROR(VLOOKUP($E734,Orders!$A:$I,9,FALSE),"")))</f>
        <v/>
      </c>
      <c r="T734" s="88" t="str">
        <f t="shared" si="14"/>
        <v/>
      </c>
      <c r="U734" s="88" t="str">
        <f>IF($F734="","",IF($E734="",T734,SUMIF(Sales!$E$7:$E$1506,$E734,Sales!$T$7:$T$1506)))</f>
        <v/>
      </c>
      <c r="V734" s="49" t="str">
        <f t="shared" si="15"/>
        <v/>
      </c>
      <c r="W734" s="49" t="str">
        <f t="array" ref="W734">IF($V734="","",SUMPRODUCT((Sales!$V$7:$V$1506&lt;&gt;"")*(Sales!$E$7:$E$1506&lt;$E734))+1)</f>
        <v/>
      </c>
      <c r="X734" s="49" t="str">
        <f t="shared" si="16"/>
        <v/>
      </c>
      <c r="Y734" s="49" t="str">
        <f t="shared" si="17"/>
        <v/>
      </c>
    </row>
    <row r="735" ht="15.75" customHeight="1">
      <c r="A735" s="82"/>
      <c r="B735" s="83"/>
      <c r="C735" s="83"/>
      <c r="D735" s="83"/>
      <c r="E735" s="83"/>
      <c r="F735" s="83"/>
      <c r="G735" s="83" t="str">
        <f>IF($F735="","",IFERROR(VLOOKUP($F735,Inventory!$A:$B,2,FALSE),""))</f>
        <v/>
      </c>
      <c r="H735" s="83"/>
      <c r="I735" s="84" t="str">
        <f t="shared" si="2"/>
        <v/>
      </c>
      <c r="J735" s="85" t="str">
        <f>IF($F735="","",IFERROR(VLOOKUP($F735,Inventory!$A:$K,11,FALSE),0))</f>
        <v/>
      </c>
      <c r="K735" s="85"/>
      <c r="L735" s="85" t="str">
        <f t="shared" si="12"/>
        <v/>
      </c>
      <c r="M735" s="83"/>
      <c r="N735" s="85" t="str">
        <f>IF($F735="","",IFERROR(VLOOKUP($F735,Inventory!$A:$I,9,FALSE),0))</f>
        <v/>
      </c>
      <c r="O735" s="85" t="str">
        <f t="shared" si="13"/>
        <v/>
      </c>
      <c r="P735" s="85" t="str">
        <f t="shared" si="5"/>
        <v/>
      </c>
      <c r="Q735" s="83"/>
      <c r="R735" s="118" t="str">
        <f>IF($E735="","",IF(COUNTIF($E$7:$E1932,$E735)&gt;1,"",IFERROR(VLOOKUP($E735,Orders!$A:$I,8,FALSE),"")))</f>
        <v/>
      </c>
      <c r="S735" s="118" t="str">
        <f>IF($E735="","",IF(COUNTIF($E$7:$E1932,$E735)&gt;1,"",IFERROR(VLOOKUP($E735,Orders!$A:$I,9,FALSE),"")))</f>
        <v/>
      </c>
      <c r="T735" s="88" t="str">
        <f t="shared" si="14"/>
        <v/>
      </c>
      <c r="U735" s="88" t="str">
        <f>IF($F735="","",IF($E735="",T735,SUMIF(Sales!$E$7:$E$1506,$E735,Sales!$T$7:$T$1506)))</f>
        <v/>
      </c>
      <c r="V735" s="49" t="str">
        <f t="shared" si="15"/>
        <v/>
      </c>
      <c r="W735" s="49" t="str">
        <f t="array" ref="W735">IF($V735="","",SUMPRODUCT((Sales!$V$7:$V$1506&lt;&gt;"")*(Sales!$E$7:$E$1506&lt;$E735))+1)</f>
        <v/>
      </c>
      <c r="X735" s="49" t="str">
        <f t="shared" si="16"/>
        <v/>
      </c>
      <c r="Y735" s="49" t="str">
        <f t="shared" si="17"/>
        <v/>
      </c>
    </row>
    <row r="736" ht="15.75" customHeight="1">
      <c r="A736" s="82"/>
      <c r="B736" s="83"/>
      <c r="C736" s="83"/>
      <c r="D736" s="83"/>
      <c r="E736" s="83"/>
      <c r="F736" s="83"/>
      <c r="G736" s="83" t="str">
        <f>IF($F736="","",IFERROR(VLOOKUP($F736,Inventory!$A:$B,2,FALSE),""))</f>
        <v/>
      </c>
      <c r="H736" s="83"/>
      <c r="I736" s="84" t="str">
        <f t="shared" si="2"/>
        <v/>
      </c>
      <c r="J736" s="85" t="str">
        <f>IF($F736="","",IFERROR(VLOOKUP($F736,Inventory!$A:$K,11,FALSE),0))</f>
        <v/>
      </c>
      <c r="K736" s="85"/>
      <c r="L736" s="85" t="str">
        <f t="shared" si="12"/>
        <v/>
      </c>
      <c r="M736" s="83"/>
      <c r="N736" s="85" t="str">
        <f>IF($F736="","",IFERROR(VLOOKUP($F736,Inventory!$A:$I,9,FALSE),0))</f>
        <v/>
      </c>
      <c r="O736" s="85" t="str">
        <f t="shared" si="13"/>
        <v/>
      </c>
      <c r="P736" s="85" t="str">
        <f t="shared" si="5"/>
        <v/>
      </c>
      <c r="Q736" s="83"/>
      <c r="R736" s="118" t="str">
        <f>IF($E736="","",IF(COUNTIF($E$7:$E1933,$E736)&gt;1,"",IFERROR(VLOOKUP($E736,Orders!$A:$I,8,FALSE),"")))</f>
        <v/>
      </c>
      <c r="S736" s="118" t="str">
        <f>IF($E736="","",IF(COUNTIF($E$7:$E1933,$E736)&gt;1,"",IFERROR(VLOOKUP($E736,Orders!$A:$I,9,FALSE),"")))</f>
        <v/>
      </c>
      <c r="T736" s="88" t="str">
        <f t="shared" si="14"/>
        <v/>
      </c>
      <c r="U736" s="88" t="str">
        <f>IF($F736="","",IF($E736="",T736,SUMIF(Sales!$E$7:$E$1506,$E736,Sales!$T$7:$T$1506)))</f>
        <v/>
      </c>
      <c r="V736" s="49" t="str">
        <f t="shared" si="15"/>
        <v/>
      </c>
      <c r="W736" s="49" t="str">
        <f t="array" ref="W736">IF($V736="","",SUMPRODUCT((Sales!$V$7:$V$1506&lt;&gt;"")*(Sales!$E$7:$E$1506&lt;$E736))+1)</f>
        <v/>
      </c>
      <c r="X736" s="49" t="str">
        <f t="shared" si="16"/>
        <v/>
      </c>
      <c r="Y736" s="49" t="str">
        <f t="shared" si="17"/>
        <v/>
      </c>
    </row>
    <row r="737" ht="15.75" customHeight="1">
      <c r="A737" s="82"/>
      <c r="B737" s="83"/>
      <c r="C737" s="83"/>
      <c r="D737" s="83"/>
      <c r="E737" s="83"/>
      <c r="F737" s="83"/>
      <c r="G737" s="83" t="str">
        <f>IF($F737="","",IFERROR(VLOOKUP($F737,Inventory!$A:$B,2,FALSE),""))</f>
        <v/>
      </c>
      <c r="H737" s="83"/>
      <c r="I737" s="84" t="str">
        <f t="shared" si="2"/>
        <v/>
      </c>
      <c r="J737" s="85" t="str">
        <f>IF($F737="","",IFERROR(VLOOKUP($F737,Inventory!$A:$K,11,FALSE),0))</f>
        <v/>
      </c>
      <c r="K737" s="85"/>
      <c r="L737" s="85" t="str">
        <f t="shared" si="12"/>
        <v/>
      </c>
      <c r="M737" s="83"/>
      <c r="N737" s="85" t="str">
        <f>IF($F737="","",IFERROR(VLOOKUP($F737,Inventory!$A:$I,9,FALSE),0))</f>
        <v/>
      </c>
      <c r="O737" s="85" t="str">
        <f t="shared" si="13"/>
        <v/>
      </c>
      <c r="P737" s="85" t="str">
        <f t="shared" si="5"/>
        <v/>
      </c>
      <c r="Q737" s="83"/>
      <c r="R737" s="118" t="str">
        <f>IF($E737="","",IF(COUNTIF($E$7:$E1934,$E737)&gt;1,"",IFERROR(VLOOKUP($E737,Orders!$A:$I,8,FALSE),"")))</f>
        <v/>
      </c>
      <c r="S737" s="118" t="str">
        <f>IF($E737="","",IF(COUNTIF($E$7:$E1934,$E737)&gt;1,"",IFERROR(VLOOKUP($E737,Orders!$A:$I,9,FALSE),"")))</f>
        <v/>
      </c>
      <c r="T737" s="88" t="str">
        <f t="shared" si="14"/>
        <v/>
      </c>
      <c r="U737" s="88" t="str">
        <f>IF($F737="","",IF($E737="",T737,SUMIF(Sales!$E$7:$E$1506,$E737,Sales!$T$7:$T$1506)))</f>
        <v/>
      </c>
      <c r="V737" s="49" t="str">
        <f t="shared" si="15"/>
        <v/>
      </c>
      <c r="W737" s="49" t="str">
        <f t="array" ref="W737">IF($V737="","",SUMPRODUCT((Sales!$V$7:$V$1506&lt;&gt;"")*(Sales!$E$7:$E$1506&lt;$E737))+1)</f>
        <v/>
      </c>
      <c r="X737" s="49" t="str">
        <f t="shared" si="16"/>
        <v/>
      </c>
      <c r="Y737" s="49" t="str">
        <f t="shared" si="17"/>
        <v/>
      </c>
    </row>
    <row r="738" ht="15.75" customHeight="1">
      <c r="A738" s="82"/>
      <c r="B738" s="83"/>
      <c r="C738" s="83"/>
      <c r="D738" s="83"/>
      <c r="E738" s="83"/>
      <c r="F738" s="83"/>
      <c r="G738" s="83" t="str">
        <f>IF($F738="","",IFERROR(VLOOKUP($F738,Inventory!$A:$B,2,FALSE),""))</f>
        <v/>
      </c>
      <c r="H738" s="83"/>
      <c r="I738" s="84" t="str">
        <f t="shared" si="2"/>
        <v/>
      </c>
      <c r="J738" s="85" t="str">
        <f>IF($F738="","",IFERROR(VLOOKUP($F738,Inventory!$A:$K,11,FALSE),0))</f>
        <v/>
      </c>
      <c r="K738" s="85"/>
      <c r="L738" s="85" t="str">
        <f t="shared" si="12"/>
        <v/>
      </c>
      <c r="M738" s="83"/>
      <c r="N738" s="85" t="str">
        <f>IF($F738="","",IFERROR(VLOOKUP($F738,Inventory!$A:$I,9,FALSE),0))</f>
        <v/>
      </c>
      <c r="O738" s="85" t="str">
        <f t="shared" si="13"/>
        <v/>
      </c>
      <c r="P738" s="85" t="str">
        <f t="shared" si="5"/>
        <v/>
      </c>
      <c r="Q738" s="83"/>
      <c r="R738" s="118" t="str">
        <f>IF($E738="","",IF(COUNTIF($E$7:$E1935,$E738)&gt;1,"",IFERROR(VLOOKUP($E738,Orders!$A:$I,8,FALSE),"")))</f>
        <v/>
      </c>
      <c r="S738" s="118" t="str">
        <f>IF($E738="","",IF(COUNTIF($E$7:$E1935,$E738)&gt;1,"",IFERROR(VLOOKUP($E738,Orders!$A:$I,9,FALSE),"")))</f>
        <v/>
      </c>
      <c r="T738" s="88" t="str">
        <f t="shared" si="14"/>
        <v/>
      </c>
      <c r="U738" s="88" t="str">
        <f>IF($F738="","",IF($E738="",T738,SUMIF(Sales!$E$7:$E$1506,$E738,Sales!$T$7:$T$1506)))</f>
        <v/>
      </c>
      <c r="V738" s="49" t="str">
        <f t="shared" si="15"/>
        <v/>
      </c>
      <c r="W738" s="49" t="str">
        <f t="array" ref="W738">IF($V738="","",SUMPRODUCT((Sales!$V$7:$V$1506&lt;&gt;"")*(Sales!$E$7:$E$1506&lt;$E738))+1)</f>
        <v/>
      </c>
      <c r="X738" s="49" t="str">
        <f t="shared" si="16"/>
        <v/>
      </c>
      <c r="Y738" s="49" t="str">
        <f t="shared" si="17"/>
        <v/>
      </c>
    </row>
    <row r="739" ht="15.75" customHeight="1">
      <c r="A739" s="82"/>
      <c r="B739" s="83"/>
      <c r="C739" s="83"/>
      <c r="D739" s="83"/>
      <c r="E739" s="83"/>
      <c r="F739" s="83"/>
      <c r="G739" s="83" t="str">
        <f>IF($F739="","",IFERROR(VLOOKUP($F739,Inventory!$A:$B,2,FALSE),""))</f>
        <v/>
      </c>
      <c r="H739" s="83"/>
      <c r="I739" s="84" t="str">
        <f t="shared" si="2"/>
        <v/>
      </c>
      <c r="J739" s="85" t="str">
        <f>IF($F739="","",IFERROR(VLOOKUP($F739,Inventory!$A:$K,11,FALSE),0))</f>
        <v/>
      </c>
      <c r="K739" s="85"/>
      <c r="L739" s="85" t="str">
        <f t="shared" si="12"/>
        <v/>
      </c>
      <c r="M739" s="83"/>
      <c r="N739" s="85" t="str">
        <f>IF($F739="","",IFERROR(VLOOKUP($F739,Inventory!$A:$I,9,FALSE),0))</f>
        <v/>
      </c>
      <c r="O739" s="85" t="str">
        <f t="shared" si="13"/>
        <v/>
      </c>
      <c r="P739" s="85" t="str">
        <f t="shared" si="5"/>
        <v/>
      </c>
      <c r="Q739" s="83"/>
      <c r="R739" s="118" t="str">
        <f>IF($E739="","",IF(COUNTIF($E$7:$E1936,$E739)&gt;1,"",IFERROR(VLOOKUP($E739,Orders!$A:$I,8,FALSE),"")))</f>
        <v/>
      </c>
      <c r="S739" s="118" t="str">
        <f>IF($E739="","",IF(COUNTIF($E$7:$E1936,$E739)&gt;1,"",IFERROR(VLOOKUP($E739,Orders!$A:$I,9,FALSE),"")))</f>
        <v/>
      </c>
      <c r="T739" s="88" t="str">
        <f t="shared" si="14"/>
        <v/>
      </c>
      <c r="U739" s="88" t="str">
        <f>IF($F739="","",IF($E739="",T739,SUMIF(Sales!$E$7:$E$1506,$E739,Sales!$T$7:$T$1506)))</f>
        <v/>
      </c>
      <c r="V739" s="49" t="str">
        <f t="shared" si="15"/>
        <v/>
      </c>
      <c r="W739" s="49" t="str">
        <f t="array" ref="W739">IF($V739="","",SUMPRODUCT((Sales!$V$7:$V$1506&lt;&gt;"")*(Sales!$E$7:$E$1506&lt;$E739))+1)</f>
        <v/>
      </c>
      <c r="X739" s="49" t="str">
        <f t="shared" si="16"/>
        <v/>
      </c>
      <c r="Y739" s="49" t="str">
        <f t="shared" si="17"/>
        <v/>
      </c>
    </row>
    <row r="740" ht="15.75" customHeight="1">
      <c r="A740" s="82"/>
      <c r="B740" s="83"/>
      <c r="C740" s="83"/>
      <c r="D740" s="83"/>
      <c r="E740" s="83"/>
      <c r="F740" s="83"/>
      <c r="G740" s="83" t="str">
        <f>IF($F740="","",IFERROR(VLOOKUP($F740,Inventory!$A:$B,2,FALSE),""))</f>
        <v/>
      </c>
      <c r="H740" s="83"/>
      <c r="I740" s="84" t="str">
        <f t="shared" si="2"/>
        <v/>
      </c>
      <c r="J740" s="85" t="str">
        <f>IF($F740="","",IFERROR(VLOOKUP($F740,Inventory!$A:$K,11,FALSE),0))</f>
        <v/>
      </c>
      <c r="K740" s="85"/>
      <c r="L740" s="85" t="str">
        <f t="shared" si="12"/>
        <v/>
      </c>
      <c r="M740" s="83"/>
      <c r="N740" s="85" t="str">
        <f>IF($F740="","",IFERROR(VLOOKUP($F740,Inventory!$A:$I,9,FALSE),0))</f>
        <v/>
      </c>
      <c r="O740" s="85" t="str">
        <f t="shared" si="13"/>
        <v/>
      </c>
      <c r="P740" s="85" t="str">
        <f t="shared" si="5"/>
        <v/>
      </c>
      <c r="Q740" s="83"/>
      <c r="R740" s="118" t="str">
        <f>IF($E740="","",IF(COUNTIF($E$7:$E1937,$E740)&gt;1,"",IFERROR(VLOOKUP($E740,Orders!$A:$I,8,FALSE),"")))</f>
        <v/>
      </c>
      <c r="S740" s="118" t="str">
        <f>IF($E740="","",IF(COUNTIF($E$7:$E1937,$E740)&gt;1,"",IFERROR(VLOOKUP($E740,Orders!$A:$I,9,FALSE),"")))</f>
        <v/>
      </c>
      <c r="T740" s="88" t="str">
        <f t="shared" si="14"/>
        <v/>
      </c>
      <c r="U740" s="88" t="str">
        <f>IF($F740="","",IF($E740="",T740,SUMIF(Sales!$E$7:$E$1506,$E740,Sales!$T$7:$T$1506)))</f>
        <v/>
      </c>
      <c r="V740" s="49" t="str">
        <f t="shared" si="15"/>
        <v/>
      </c>
      <c r="W740" s="49" t="str">
        <f t="array" ref="W740">IF($V740="","",SUMPRODUCT((Sales!$V$7:$V$1506&lt;&gt;"")*(Sales!$E$7:$E$1506&lt;$E740))+1)</f>
        <v/>
      </c>
      <c r="X740" s="49" t="str">
        <f t="shared" si="16"/>
        <v/>
      </c>
      <c r="Y740" s="49" t="str">
        <f t="shared" si="17"/>
        <v/>
      </c>
    </row>
    <row r="741" ht="15.75" customHeight="1">
      <c r="A741" s="82"/>
      <c r="B741" s="83"/>
      <c r="C741" s="83"/>
      <c r="D741" s="83"/>
      <c r="E741" s="83"/>
      <c r="F741" s="83"/>
      <c r="G741" s="83" t="str">
        <f>IF($F741="","",IFERROR(VLOOKUP($F741,Inventory!$A:$B,2,FALSE),""))</f>
        <v/>
      </c>
      <c r="H741" s="83"/>
      <c r="I741" s="84" t="str">
        <f t="shared" si="2"/>
        <v/>
      </c>
      <c r="J741" s="85" t="str">
        <f>IF($F741="","",IFERROR(VLOOKUP($F741,Inventory!$A:$K,11,FALSE),0))</f>
        <v/>
      </c>
      <c r="K741" s="85"/>
      <c r="L741" s="85" t="str">
        <f t="shared" si="12"/>
        <v/>
      </c>
      <c r="M741" s="83"/>
      <c r="N741" s="85" t="str">
        <f>IF($F741="","",IFERROR(VLOOKUP($F741,Inventory!$A:$I,9,FALSE),0))</f>
        <v/>
      </c>
      <c r="O741" s="85" t="str">
        <f t="shared" si="13"/>
        <v/>
      </c>
      <c r="P741" s="85" t="str">
        <f t="shared" si="5"/>
        <v/>
      </c>
      <c r="Q741" s="83"/>
      <c r="R741" s="118" t="str">
        <f>IF($E741="","",IF(COUNTIF($E$7:$E1938,$E741)&gt;1,"",IFERROR(VLOOKUP($E741,Orders!$A:$I,8,FALSE),"")))</f>
        <v/>
      </c>
      <c r="S741" s="118" t="str">
        <f>IF($E741="","",IF(COUNTIF($E$7:$E1938,$E741)&gt;1,"",IFERROR(VLOOKUP($E741,Orders!$A:$I,9,FALSE),"")))</f>
        <v/>
      </c>
      <c r="T741" s="88" t="str">
        <f t="shared" si="14"/>
        <v/>
      </c>
      <c r="U741" s="88" t="str">
        <f>IF($F741="","",IF($E741="",T741,SUMIF(Sales!$E$7:$E$1506,$E741,Sales!$T$7:$T$1506)))</f>
        <v/>
      </c>
      <c r="V741" s="49" t="str">
        <f t="shared" si="15"/>
        <v/>
      </c>
      <c r="W741" s="49" t="str">
        <f t="array" ref="W741">IF($V741="","",SUMPRODUCT((Sales!$V$7:$V$1506&lt;&gt;"")*(Sales!$E$7:$E$1506&lt;$E741))+1)</f>
        <v/>
      </c>
      <c r="X741" s="49" t="str">
        <f t="shared" si="16"/>
        <v/>
      </c>
      <c r="Y741" s="49" t="str">
        <f t="shared" si="17"/>
        <v/>
      </c>
    </row>
    <row r="742" ht="15.75" customHeight="1">
      <c r="A742" s="82"/>
      <c r="B742" s="83"/>
      <c r="C742" s="83"/>
      <c r="D742" s="83"/>
      <c r="E742" s="83"/>
      <c r="F742" s="83"/>
      <c r="G742" s="83" t="str">
        <f>IF($F742="","",IFERROR(VLOOKUP($F742,Inventory!$A:$B,2,FALSE),""))</f>
        <v/>
      </c>
      <c r="H742" s="83"/>
      <c r="I742" s="84" t="str">
        <f t="shared" si="2"/>
        <v/>
      </c>
      <c r="J742" s="85" t="str">
        <f>IF($F742="","",IFERROR(VLOOKUP($F742,Inventory!$A:$K,11,FALSE),0))</f>
        <v/>
      </c>
      <c r="K742" s="85"/>
      <c r="L742" s="85" t="str">
        <f t="shared" si="12"/>
        <v/>
      </c>
      <c r="M742" s="83"/>
      <c r="N742" s="85" t="str">
        <f>IF($F742="","",IFERROR(VLOOKUP($F742,Inventory!$A:$I,9,FALSE),0))</f>
        <v/>
      </c>
      <c r="O742" s="85" t="str">
        <f t="shared" si="13"/>
        <v/>
      </c>
      <c r="P742" s="85" t="str">
        <f t="shared" si="5"/>
        <v/>
      </c>
      <c r="Q742" s="83"/>
      <c r="R742" s="118" t="str">
        <f>IF($E742="","",IF(COUNTIF($E$7:$E1939,$E742)&gt;1,"",IFERROR(VLOOKUP($E742,Orders!$A:$I,8,FALSE),"")))</f>
        <v/>
      </c>
      <c r="S742" s="118" t="str">
        <f>IF($E742="","",IF(COUNTIF($E$7:$E1939,$E742)&gt;1,"",IFERROR(VLOOKUP($E742,Orders!$A:$I,9,FALSE),"")))</f>
        <v/>
      </c>
      <c r="T742" s="88" t="str">
        <f t="shared" si="14"/>
        <v/>
      </c>
      <c r="U742" s="88" t="str">
        <f>IF($F742="","",IF($E742="",T742,SUMIF(Sales!$E$7:$E$1506,$E742,Sales!$T$7:$T$1506)))</f>
        <v/>
      </c>
      <c r="V742" s="49" t="str">
        <f t="shared" si="15"/>
        <v/>
      </c>
      <c r="W742" s="49" t="str">
        <f t="array" ref="W742">IF($V742="","",SUMPRODUCT((Sales!$V$7:$V$1506&lt;&gt;"")*(Sales!$E$7:$E$1506&lt;$E742))+1)</f>
        <v/>
      </c>
      <c r="X742" s="49" t="str">
        <f t="shared" si="16"/>
        <v/>
      </c>
      <c r="Y742" s="49" t="str">
        <f t="shared" si="17"/>
        <v/>
      </c>
    </row>
    <row r="743" ht="15.75" customHeight="1">
      <c r="A743" s="82"/>
      <c r="B743" s="83"/>
      <c r="C743" s="83"/>
      <c r="D743" s="83"/>
      <c r="E743" s="83"/>
      <c r="F743" s="83"/>
      <c r="G743" s="83" t="str">
        <f>IF($F743="","",IFERROR(VLOOKUP($F743,Inventory!$A:$B,2,FALSE),""))</f>
        <v/>
      </c>
      <c r="H743" s="83"/>
      <c r="I743" s="84" t="str">
        <f t="shared" si="2"/>
        <v/>
      </c>
      <c r="J743" s="85" t="str">
        <f>IF($F743="","",IFERROR(VLOOKUP($F743,Inventory!$A:$K,11,FALSE),0))</f>
        <v/>
      </c>
      <c r="K743" s="85"/>
      <c r="L743" s="85" t="str">
        <f t="shared" si="12"/>
        <v/>
      </c>
      <c r="M743" s="83"/>
      <c r="N743" s="85" t="str">
        <f>IF($F743="","",IFERROR(VLOOKUP($F743,Inventory!$A:$I,9,FALSE),0))</f>
        <v/>
      </c>
      <c r="O743" s="85" t="str">
        <f t="shared" si="13"/>
        <v/>
      </c>
      <c r="P743" s="85" t="str">
        <f t="shared" si="5"/>
        <v/>
      </c>
      <c r="Q743" s="83"/>
      <c r="R743" s="118" t="str">
        <f>IF($E743="","",IF(COUNTIF($E$7:$E1940,$E743)&gt;1,"",IFERROR(VLOOKUP($E743,Orders!$A:$I,8,FALSE),"")))</f>
        <v/>
      </c>
      <c r="S743" s="118" t="str">
        <f>IF($E743="","",IF(COUNTIF($E$7:$E1940,$E743)&gt;1,"",IFERROR(VLOOKUP($E743,Orders!$A:$I,9,FALSE),"")))</f>
        <v/>
      </c>
      <c r="T743" s="88" t="str">
        <f t="shared" si="14"/>
        <v/>
      </c>
      <c r="U743" s="88" t="str">
        <f>IF($F743="","",IF($E743="",T743,SUMIF(Sales!$E$7:$E$1506,$E743,Sales!$T$7:$T$1506)))</f>
        <v/>
      </c>
      <c r="V743" s="49" t="str">
        <f t="shared" si="15"/>
        <v/>
      </c>
      <c r="W743" s="49" t="str">
        <f t="array" ref="W743">IF($V743="","",SUMPRODUCT((Sales!$V$7:$V$1506&lt;&gt;"")*(Sales!$E$7:$E$1506&lt;$E743))+1)</f>
        <v/>
      </c>
      <c r="X743" s="49" t="str">
        <f t="shared" si="16"/>
        <v/>
      </c>
      <c r="Y743" s="49" t="str">
        <f t="shared" si="17"/>
        <v/>
      </c>
    </row>
    <row r="744" ht="15.75" customHeight="1">
      <c r="A744" s="82"/>
      <c r="B744" s="83"/>
      <c r="C744" s="83"/>
      <c r="D744" s="83"/>
      <c r="E744" s="83"/>
      <c r="F744" s="83"/>
      <c r="G744" s="83" t="str">
        <f>IF($F744="","",IFERROR(VLOOKUP($F744,Inventory!$A:$B,2,FALSE),""))</f>
        <v/>
      </c>
      <c r="H744" s="83"/>
      <c r="I744" s="84" t="str">
        <f t="shared" si="2"/>
        <v/>
      </c>
      <c r="J744" s="85" t="str">
        <f>IF($F744="","",IFERROR(VLOOKUP($F744,Inventory!$A:$K,11,FALSE),0))</f>
        <v/>
      </c>
      <c r="K744" s="85"/>
      <c r="L744" s="85" t="str">
        <f t="shared" si="12"/>
        <v/>
      </c>
      <c r="M744" s="83"/>
      <c r="N744" s="85" t="str">
        <f>IF($F744="","",IFERROR(VLOOKUP($F744,Inventory!$A:$I,9,FALSE),0))</f>
        <v/>
      </c>
      <c r="O744" s="85" t="str">
        <f t="shared" si="13"/>
        <v/>
      </c>
      <c r="P744" s="85" t="str">
        <f t="shared" si="5"/>
        <v/>
      </c>
      <c r="Q744" s="83"/>
      <c r="R744" s="118" t="str">
        <f>IF($E744="","",IF(COUNTIF($E$7:$E1941,$E744)&gt;1,"",IFERROR(VLOOKUP($E744,Orders!$A:$I,8,FALSE),"")))</f>
        <v/>
      </c>
      <c r="S744" s="118" t="str">
        <f>IF($E744="","",IF(COUNTIF($E$7:$E1941,$E744)&gt;1,"",IFERROR(VLOOKUP($E744,Orders!$A:$I,9,FALSE),"")))</f>
        <v/>
      </c>
      <c r="T744" s="88" t="str">
        <f t="shared" si="14"/>
        <v/>
      </c>
      <c r="U744" s="88" t="str">
        <f>IF($F744="","",IF($E744="",T744,SUMIF(Sales!$E$7:$E$1506,$E744,Sales!$T$7:$T$1506)))</f>
        <v/>
      </c>
      <c r="V744" s="49" t="str">
        <f t="shared" si="15"/>
        <v/>
      </c>
      <c r="W744" s="49" t="str">
        <f t="array" ref="W744">IF($V744="","",SUMPRODUCT((Sales!$V$7:$V$1506&lt;&gt;"")*(Sales!$E$7:$E$1506&lt;$E744))+1)</f>
        <v/>
      </c>
      <c r="X744" s="49" t="str">
        <f t="shared" si="16"/>
        <v/>
      </c>
      <c r="Y744" s="49" t="str">
        <f t="shared" si="17"/>
        <v/>
      </c>
    </row>
    <row r="745" ht="15.75" customHeight="1">
      <c r="A745" s="82"/>
      <c r="B745" s="83"/>
      <c r="C745" s="83"/>
      <c r="D745" s="83"/>
      <c r="E745" s="83"/>
      <c r="F745" s="83"/>
      <c r="G745" s="83" t="str">
        <f>IF($F745="","",IFERROR(VLOOKUP($F745,Inventory!$A:$B,2,FALSE),""))</f>
        <v/>
      </c>
      <c r="H745" s="83"/>
      <c r="I745" s="84" t="str">
        <f t="shared" si="2"/>
        <v/>
      </c>
      <c r="J745" s="85" t="str">
        <f>IF($F745="","",IFERROR(VLOOKUP($F745,Inventory!$A:$K,11,FALSE),0))</f>
        <v/>
      </c>
      <c r="K745" s="85"/>
      <c r="L745" s="85" t="str">
        <f t="shared" si="12"/>
        <v/>
      </c>
      <c r="M745" s="83"/>
      <c r="N745" s="85" t="str">
        <f>IF($F745="","",IFERROR(VLOOKUP($F745,Inventory!$A:$I,9,FALSE),0))</f>
        <v/>
      </c>
      <c r="O745" s="85" t="str">
        <f t="shared" si="13"/>
        <v/>
      </c>
      <c r="P745" s="85" t="str">
        <f t="shared" si="5"/>
        <v/>
      </c>
      <c r="Q745" s="83"/>
      <c r="R745" s="118" t="str">
        <f>IF($E745="","",IF(COUNTIF($E$7:$E1942,$E745)&gt;1,"",IFERROR(VLOOKUP($E745,Orders!$A:$I,8,FALSE),"")))</f>
        <v/>
      </c>
      <c r="S745" s="118" t="str">
        <f>IF($E745="","",IF(COUNTIF($E$7:$E1942,$E745)&gt;1,"",IFERROR(VLOOKUP($E745,Orders!$A:$I,9,FALSE),"")))</f>
        <v/>
      </c>
      <c r="T745" s="88" t="str">
        <f t="shared" si="14"/>
        <v/>
      </c>
      <c r="U745" s="88" t="str">
        <f>IF($F745="","",IF($E745="",T745,SUMIF(Sales!$E$7:$E$1506,$E745,Sales!$T$7:$T$1506)))</f>
        <v/>
      </c>
      <c r="V745" s="49" t="str">
        <f t="shared" si="15"/>
        <v/>
      </c>
      <c r="W745" s="49" t="str">
        <f t="array" ref="W745">IF($V745="","",SUMPRODUCT((Sales!$V$7:$V$1506&lt;&gt;"")*(Sales!$E$7:$E$1506&lt;$E745))+1)</f>
        <v/>
      </c>
      <c r="X745" s="49" t="str">
        <f t="shared" si="16"/>
        <v/>
      </c>
      <c r="Y745" s="49" t="str">
        <f t="shared" si="17"/>
        <v/>
      </c>
    </row>
    <row r="746" ht="15.75" customHeight="1">
      <c r="A746" s="82"/>
      <c r="B746" s="83"/>
      <c r="C746" s="83"/>
      <c r="D746" s="83"/>
      <c r="E746" s="83"/>
      <c r="F746" s="83"/>
      <c r="G746" s="83" t="str">
        <f>IF($F746="","",IFERROR(VLOOKUP($F746,Inventory!$A:$B,2,FALSE),""))</f>
        <v/>
      </c>
      <c r="H746" s="83"/>
      <c r="I746" s="84" t="str">
        <f t="shared" si="2"/>
        <v/>
      </c>
      <c r="J746" s="85" t="str">
        <f>IF($F746="","",IFERROR(VLOOKUP($F746,Inventory!$A:$K,11,FALSE),0))</f>
        <v/>
      </c>
      <c r="K746" s="85"/>
      <c r="L746" s="85" t="str">
        <f t="shared" si="12"/>
        <v/>
      </c>
      <c r="M746" s="83"/>
      <c r="N746" s="85" t="str">
        <f>IF($F746="","",IFERROR(VLOOKUP($F746,Inventory!$A:$I,9,FALSE),0))</f>
        <v/>
      </c>
      <c r="O746" s="85" t="str">
        <f t="shared" si="13"/>
        <v/>
      </c>
      <c r="P746" s="85" t="str">
        <f t="shared" si="5"/>
        <v/>
      </c>
      <c r="Q746" s="83"/>
      <c r="R746" s="118" t="str">
        <f>IF($E746="","",IF(COUNTIF($E$7:$E1943,$E746)&gt;1,"",IFERROR(VLOOKUP($E746,Orders!$A:$I,8,FALSE),"")))</f>
        <v/>
      </c>
      <c r="S746" s="118" t="str">
        <f>IF($E746="","",IF(COUNTIF($E$7:$E1943,$E746)&gt;1,"",IFERROR(VLOOKUP($E746,Orders!$A:$I,9,FALSE),"")))</f>
        <v/>
      </c>
      <c r="T746" s="88" t="str">
        <f t="shared" si="14"/>
        <v/>
      </c>
      <c r="U746" s="88" t="str">
        <f>IF($F746="","",IF($E746="",T746,SUMIF(Sales!$E$7:$E$1506,$E746,Sales!$T$7:$T$1506)))</f>
        <v/>
      </c>
      <c r="V746" s="49" t="str">
        <f t="shared" si="15"/>
        <v/>
      </c>
      <c r="W746" s="49" t="str">
        <f t="array" ref="W746">IF($V746="","",SUMPRODUCT((Sales!$V$7:$V$1506&lt;&gt;"")*(Sales!$E$7:$E$1506&lt;$E746))+1)</f>
        <v/>
      </c>
      <c r="X746" s="49" t="str">
        <f t="shared" si="16"/>
        <v/>
      </c>
      <c r="Y746" s="49" t="str">
        <f t="shared" si="17"/>
        <v/>
      </c>
    </row>
    <row r="747" ht="15.75" customHeight="1">
      <c r="A747" s="82"/>
      <c r="B747" s="83"/>
      <c r="C747" s="83"/>
      <c r="D747" s="83"/>
      <c r="E747" s="83"/>
      <c r="F747" s="83"/>
      <c r="G747" s="83" t="str">
        <f>IF($F747="","",IFERROR(VLOOKUP($F747,Inventory!$A:$B,2,FALSE),""))</f>
        <v/>
      </c>
      <c r="H747" s="83"/>
      <c r="I747" s="84" t="str">
        <f t="shared" si="2"/>
        <v/>
      </c>
      <c r="J747" s="85" t="str">
        <f>IF($F747="","",IFERROR(VLOOKUP($F747,Inventory!$A:$K,11,FALSE),0))</f>
        <v/>
      </c>
      <c r="K747" s="85"/>
      <c r="L747" s="85" t="str">
        <f t="shared" si="12"/>
        <v/>
      </c>
      <c r="M747" s="83"/>
      <c r="N747" s="85" t="str">
        <f>IF($F747="","",IFERROR(VLOOKUP($F747,Inventory!$A:$I,9,FALSE),0))</f>
        <v/>
      </c>
      <c r="O747" s="85" t="str">
        <f t="shared" si="13"/>
        <v/>
      </c>
      <c r="P747" s="85" t="str">
        <f t="shared" si="5"/>
        <v/>
      </c>
      <c r="Q747" s="83"/>
      <c r="R747" s="118" t="str">
        <f>IF($E747="","",IF(COUNTIF($E$7:$E1944,$E747)&gt;1,"",IFERROR(VLOOKUP($E747,Orders!$A:$I,8,FALSE),"")))</f>
        <v/>
      </c>
      <c r="S747" s="118" t="str">
        <f>IF($E747="","",IF(COUNTIF($E$7:$E1944,$E747)&gt;1,"",IFERROR(VLOOKUP($E747,Orders!$A:$I,9,FALSE),"")))</f>
        <v/>
      </c>
      <c r="T747" s="88" t="str">
        <f t="shared" si="14"/>
        <v/>
      </c>
      <c r="U747" s="88" t="str">
        <f>IF($F747="","",IF($E747="",T747,SUMIF(Sales!$E$7:$E$1506,$E747,Sales!$T$7:$T$1506)))</f>
        <v/>
      </c>
      <c r="V747" s="49" t="str">
        <f t="shared" si="15"/>
        <v/>
      </c>
      <c r="W747" s="49" t="str">
        <f t="array" ref="W747">IF($V747="","",SUMPRODUCT((Sales!$V$7:$V$1506&lt;&gt;"")*(Sales!$E$7:$E$1506&lt;$E747))+1)</f>
        <v/>
      </c>
      <c r="X747" s="49" t="str">
        <f t="shared" si="16"/>
        <v/>
      </c>
      <c r="Y747" s="49" t="str">
        <f t="shared" si="17"/>
        <v/>
      </c>
    </row>
    <row r="748" ht="15.75" customHeight="1">
      <c r="A748" s="82"/>
      <c r="B748" s="83"/>
      <c r="C748" s="83"/>
      <c r="D748" s="83"/>
      <c r="E748" s="83"/>
      <c r="F748" s="83"/>
      <c r="G748" s="83" t="str">
        <f>IF($F748="","",IFERROR(VLOOKUP($F748,Inventory!$A:$B,2,FALSE),""))</f>
        <v/>
      </c>
      <c r="H748" s="83"/>
      <c r="I748" s="84" t="str">
        <f t="shared" si="2"/>
        <v/>
      </c>
      <c r="J748" s="85" t="str">
        <f>IF($F748="","",IFERROR(VLOOKUP($F748,Inventory!$A:$K,11,FALSE),0))</f>
        <v/>
      </c>
      <c r="K748" s="85"/>
      <c r="L748" s="85" t="str">
        <f t="shared" si="12"/>
        <v/>
      </c>
      <c r="M748" s="83"/>
      <c r="N748" s="85" t="str">
        <f>IF($F748="","",IFERROR(VLOOKUP($F748,Inventory!$A:$I,9,FALSE),0))</f>
        <v/>
      </c>
      <c r="O748" s="85" t="str">
        <f t="shared" si="13"/>
        <v/>
      </c>
      <c r="P748" s="85" t="str">
        <f t="shared" si="5"/>
        <v/>
      </c>
      <c r="Q748" s="83"/>
      <c r="R748" s="118" t="str">
        <f>IF($E748="","",IF(COUNTIF($E$7:$E1945,$E748)&gt;1,"",IFERROR(VLOOKUP($E748,Orders!$A:$I,8,FALSE),"")))</f>
        <v/>
      </c>
      <c r="S748" s="118" t="str">
        <f>IF($E748="","",IF(COUNTIF($E$7:$E1945,$E748)&gt;1,"",IFERROR(VLOOKUP($E748,Orders!$A:$I,9,FALSE),"")))</f>
        <v/>
      </c>
      <c r="T748" s="88" t="str">
        <f t="shared" si="14"/>
        <v/>
      </c>
      <c r="U748" s="88" t="str">
        <f>IF($F748="","",IF($E748="",T748,SUMIF(Sales!$E$7:$E$1506,$E748,Sales!$T$7:$T$1506)))</f>
        <v/>
      </c>
      <c r="V748" s="49" t="str">
        <f t="shared" si="15"/>
        <v/>
      </c>
      <c r="W748" s="49" t="str">
        <f t="array" ref="W748">IF($V748="","",SUMPRODUCT((Sales!$V$7:$V$1506&lt;&gt;"")*(Sales!$E$7:$E$1506&lt;$E748))+1)</f>
        <v/>
      </c>
      <c r="X748" s="49" t="str">
        <f t="shared" si="16"/>
        <v/>
      </c>
      <c r="Y748" s="49" t="str">
        <f t="shared" si="17"/>
        <v/>
      </c>
    </row>
    <row r="749" ht="15.75" customHeight="1">
      <c r="A749" s="82"/>
      <c r="B749" s="83"/>
      <c r="C749" s="83"/>
      <c r="D749" s="83"/>
      <c r="E749" s="83"/>
      <c r="F749" s="83"/>
      <c r="G749" s="83" t="str">
        <f>IF($F749="","",IFERROR(VLOOKUP($F749,Inventory!$A:$B,2,FALSE),""))</f>
        <v/>
      </c>
      <c r="H749" s="83"/>
      <c r="I749" s="84" t="str">
        <f t="shared" si="2"/>
        <v/>
      </c>
      <c r="J749" s="85" t="str">
        <f>IF($F749="","",IFERROR(VLOOKUP($F749,Inventory!$A:$K,11,FALSE),0))</f>
        <v/>
      </c>
      <c r="K749" s="85"/>
      <c r="L749" s="85" t="str">
        <f t="shared" si="12"/>
        <v/>
      </c>
      <c r="M749" s="83"/>
      <c r="N749" s="85" t="str">
        <f>IF($F749="","",IFERROR(VLOOKUP($F749,Inventory!$A:$I,9,FALSE),0))</f>
        <v/>
      </c>
      <c r="O749" s="85" t="str">
        <f t="shared" si="13"/>
        <v/>
      </c>
      <c r="P749" s="85" t="str">
        <f t="shared" si="5"/>
        <v/>
      </c>
      <c r="Q749" s="83"/>
      <c r="R749" s="118" t="str">
        <f>IF($E749="","",IF(COUNTIF($E$7:$E1946,$E749)&gt;1,"",IFERROR(VLOOKUP($E749,Orders!$A:$I,8,FALSE),"")))</f>
        <v/>
      </c>
      <c r="S749" s="118" t="str">
        <f>IF($E749="","",IF(COUNTIF($E$7:$E1946,$E749)&gt;1,"",IFERROR(VLOOKUP($E749,Orders!$A:$I,9,FALSE),"")))</f>
        <v/>
      </c>
      <c r="T749" s="88" t="str">
        <f t="shared" si="14"/>
        <v/>
      </c>
      <c r="U749" s="88" t="str">
        <f>IF($F749="","",IF($E749="",T749,SUMIF(Sales!$E$7:$E$1506,$E749,Sales!$T$7:$T$1506)))</f>
        <v/>
      </c>
      <c r="V749" s="49" t="str">
        <f t="shared" si="15"/>
        <v/>
      </c>
      <c r="W749" s="49" t="str">
        <f t="array" ref="W749">IF($V749="","",SUMPRODUCT((Sales!$V$7:$V$1506&lt;&gt;"")*(Sales!$E$7:$E$1506&lt;$E749))+1)</f>
        <v/>
      </c>
      <c r="X749" s="49" t="str">
        <f t="shared" si="16"/>
        <v/>
      </c>
      <c r="Y749" s="49" t="str">
        <f t="shared" si="17"/>
        <v/>
      </c>
    </row>
    <row r="750" ht="15.75" customHeight="1">
      <c r="A750" s="82"/>
      <c r="B750" s="83"/>
      <c r="C750" s="83"/>
      <c r="D750" s="83"/>
      <c r="E750" s="83"/>
      <c r="F750" s="83"/>
      <c r="G750" s="83" t="str">
        <f>IF($F750="","",IFERROR(VLOOKUP($F750,Inventory!$A:$B,2,FALSE),""))</f>
        <v/>
      </c>
      <c r="H750" s="83"/>
      <c r="I750" s="84" t="str">
        <f t="shared" si="2"/>
        <v/>
      </c>
      <c r="J750" s="85" t="str">
        <f>IF($F750="","",IFERROR(VLOOKUP($F750,Inventory!$A:$K,11,FALSE),0))</f>
        <v/>
      </c>
      <c r="K750" s="85"/>
      <c r="L750" s="85" t="str">
        <f t="shared" si="12"/>
        <v/>
      </c>
      <c r="M750" s="83"/>
      <c r="N750" s="85" t="str">
        <f>IF($F750="","",IFERROR(VLOOKUP($F750,Inventory!$A:$I,9,FALSE),0))</f>
        <v/>
      </c>
      <c r="O750" s="85" t="str">
        <f t="shared" si="13"/>
        <v/>
      </c>
      <c r="P750" s="85" t="str">
        <f t="shared" si="5"/>
        <v/>
      </c>
      <c r="Q750" s="83"/>
      <c r="R750" s="118" t="str">
        <f>IF($E750="","",IF(COUNTIF($E$7:$E1947,$E750)&gt;1,"",IFERROR(VLOOKUP($E750,Orders!$A:$I,8,FALSE),"")))</f>
        <v/>
      </c>
      <c r="S750" s="118" t="str">
        <f>IF($E750="","",IF(COUNTIF($E$7:$E1947,$E750)&gt;1,"",IFERROR(VLOOKUP($E750,Orders!$A:$I,9,FALSE),"")))</f>
        <v/>
      </c>
      <c r="T750" s="88" t="str">
        <f t="shared" si="14"/>
        <v/>
      </c>
      <c r="U750" s="88" t="str">
        <f>IF($F750="","",IF($E750="",T750,SUMIF(Sales!$E$7:$E$1506,$E750,Sales!$T$7:$T$1506)))</f>
        <v/>
      </c>
      <c r="V750" s="49" t="str">
        <f t="shared" si="15"/>
        <v/>
      </c>
      <c r="W750" s="49" t="str">
        <f t="array" ref="W750">IF($V750="","",SUMPRODUCT((Sales!$V$7:$V$1506&lt;&gt;"")*(Sales!$E$7:$E$1506&lt;$E750))+1)</f>
        <v/>
      </c>
      <c r="X750" s="49" t="str">
        <f t="shared" si="16"/>
        <v/>
      </c>
      <c r="Y750" s="49" t="str">
        <f t="shared" si="17"/>
        <v/>
      </c>
    </row>
    <row r="751" ht="15.75" customHeight="1">
      <c r="A751" s="82"/>
      <c r="B751" s="83"/>
      <c r="C751" s="83"/>
      <c r="D751" s="83"/>
      <c r="E751" s="83"/>
      <c r="F751" s="83"/>
      <c r="G751" s="83" t="str">
        <f>IF($F751="","",IFERROR(VLOOKUP($F751,Inventory!$A:$B,2,FALSE),""))</f>
        <v/>
      </c>
      <c r="H751" s="83"/>
      <c r="I751" s="84" t="str">
        <f t="shared" si="2"/>
        <v/>
      </c>
      <c r="J751" s="85" t="str">
        <f>IF($F751="","",IFERROR(VLOOKUP($F751,Inventory!$A:$K,11,FALSE),0))</f>
        <v/>
      </c>
      <c r="K751" s="85"/>
      <c r="L751" s="85" t="str">
        <f t="shared" si="12"/>
        <v/>
      </c>
      <c r="M751" s="83"/>
      <c r="N751" s="85" t="str">
        <f>IF($F751="","",IFERROR(VLOOKUP($F751,Inventory!$A:$I,9,FALSE),0))</f>
        <v/>
      </c>
      <c r="O751" s="85" t="str">
        <f t="shared" si="13"/>
        <v/>
      </c>
      <c r="P751" s="85" t="str">
        <f t="shared" si="5"/>
        <v/>
      </c>
      <c r="Q751" s="83"/>
      <c r="R751" s="118" t="str">
        <f>IF($E751="","",IF(COUNTIF($E$7:$E1948,$E751)&gt;1,"",IFERROR(VLOOKUP($E751,Orders!$A:$I,8,FALSE),"")))</f>
        <v/>
      </c>
      <c r="S751" s="118" t="str">
        <f>IF($E751="","",IF(COUNTIF($E$7:$E1948,$E751)&gt;1,"",IFERROR(VLOOKUP($E751,Orders!$A:$I,9,FALSE),"")))</f>
        <v/>
      </c>
      <c r="T751" s="88" t="str">
        <f t="shared" si="14"/>
        <v/>
      </c>
      <c r="U751" s="88" t="str">
        <f>IF($F751="","",IF($E751="",T751,SUMIF(Sales!$E$7:$E$1506,$E751,Sales!$T$7:$T$1506)))</f>
        <v/>
      </c>
      <c r="V751" s="49" t="str">
        <f t="shared" si="15"/>
        <v/>
      </c>
      <c r="W751" s="49" t="str">
        <f t="array" ref="W751">IF($V751="","",SUMPRODUCT((Sales!$V$7:$V$1506&lt;&gt;"")*(Sales!$E$7:$E$1506&lt;$E751))+1)</f>
        <v/>
      </c>
      <c r="X751" s="49" t="str">
        <f t="shared" si="16"/>
        <v/>
      </c>
      <c r="Y751" s="49" t="str">
        <f t="shared" si="17"/>
        <v/>
      </c>
    </row>
    <row r="752" ht="15.75" customHeight="1">
      <c r="A752" s="82"/>
      <c r="B752" s="83"/>
      <c r="C752" s="83"/>
      <c r="D752" s="83"/>
      <c r="E752" s="83"/>
      <c r="F752" s="83"/>
      <c r="G752" s="83" t="str">
        <f>IF($F752="","",IFERROR(VLOOKUP($F752,Inventory!$A:$B,2,FALSE),""))</f>
        <v/>
      </c>
      <c r="H752" s="83"/>
      <c r="I752" s="84" t="str">
        <f t="shared" si="2"/>
        <v/>
      </c>
      <c r="J752" s="85" t="str">
        <f>IF($F752="","",IFERROR(VLOOKUP($F752,Inventory!$A:$K,11,FALSE),0))</f>
        <v/>
      </c>
      <c r="K752" s="85"/>
      <c r="L752" s="85" t="str">
        <f t="shared" si="12"/>
        <v/>
      </c>
      <c r="M752" s="83"/>
      <c r="N752" s="85" t="str">
        <f>IF($F752="","",IFERROR(VLOOKUP($F752,Inventory!$A:$I,9,FALSE),0))</f>
        <v/>
      </c>
      <c r="O752" s="85" t="str">
        <f t="shared" si="13"/>
        <v/>
      </c>
      <c r="P752" s="85" t="str">
        <f t="shared" si="5"/>
        <v/>
      </c>
      <c r="Q752" s="83"/>
      <c r="R752" s="118" t="str">
        <f>IF($E752="","",IF(COUNTIF($E$7:$E1949,$E752)&gt;1,"",IFERROR(VLOOKUP($E752,Orders!$A:$I,8,FALSE),"")))</f>
        <v/>
      </c>
      <c r="S752" s="118" t="str">
        <f>IF($E752="","",IF(COUNTIF($E$7:$E1949,$E752)&gt;1,"",IFERROR(VLOOKUP($E752,Orders!$A:$I,9,FALSE),"")))</f>
        <v/>
      </c>
      <c r="T752" s="88" t="str">
        <f t="shared" si="14"/>
        <v/>
      </c>
      <c r="U752" s="88" t="str">
        <f>IF($F752="","",IF($E752="",T752,SUMIF(Sales!$E$7:$E$1506,$E752,Sales!$T$7:$T$1506)))</f>
        <v/>
      </c>
      <c r="V752" s="49" t="str">
        <f t="shared" si="15"/>
        <v/>
      </c>
      <c r="W752" s="49" t="str">
        <f t="array" ref="W752">IF($V752="","",SUMPRODUCT((Sales!$V$7:$V$1506&lt;&gt;"")*(Sales!$E$7:$E$1506&lt;$E752))+1)</f>
        <v/>
      </c>
      <c r="X752" s="49" t="str">
        <f t="shared" si="16"/>
        <v/>
      </c>
      <c r="Y752" s="49" t="str">
        <f t="shared" si="17"/>
        <v/>
      </c>
    </row>
    <row r="753" ht="15.75" customHeight="1">
      <c r="A753" s="82"/>
      <c r="B753" s="83"/>
      <c r="C753" s="83"/>
      <c r="D753" s="83"/>
      <c r="E753" s="83"/>
      <c r="F753" s="83"/>
      <c r="G753" s="83" t="str">
        <f>IF($F753="","",IFERROR(VLOOKUP($F753,Inventory!$A:$B,2,FALSE),""))</f>
        <v/>
      </c>
      <c r="H753" s="83"/>
      <c r="I753" s="84" t="str">
        <f t="shared" si="2"/>
        <v/>
      </c>
      <c r="J753" s="85" t="str">
        <f>IF($F753="","",IFERROR(VLOOKUP($F753,Inventory!$A:$K,11,FALSE),0))</f>
        <v/>
      </c>
      <c r="K753" s="85"/>
      <c r="L753" s="85" t="str">
        <f t="shared" si="12"/>
        <v/>
      </c>
      <c r="M753" s="83"/>
      <c r="N753" s="85" t="str">
        <f>IF($F753="","",IFERROR(VLOOKUP($F753,Inventory!$A:$I,9,FALSE),0))</f>
        <v/>
      </c>
      <c r="O753" s="85" t="str">
        <f t="shared" si="13"/>
        <v/>
      </c>
      <c r="P753" s="85" t="str">
        <f t="shared" si="5"/>
        <v/>
      </c>
      <c r="Q753" s="83"/>
      <c r="R753" s="118" t="str">
        <f>IF($E753="","",IF(COUNTIF($E$7:$E1950,$E753)&gt;1,"",IFERROR(VLOOKUP($E753,Orders!$A:$I,8,FALSE),"")))</f>
        <v/>
      </c>
      <c r="S753" s="118" t="str">
        <f>IF($E753="","",IF(COUNTIF($E$7:$E1950,$E753)&gt;1,"",IFERROR(VLOOKUP($E753,Orders!$A:$I,9,FALSE),"")))</f>
        <v/>
      </c>
      <c r="T753" s="88" t="str">
        <f t="shared" si="14"/>
        <v/>
      </c>
      <c r="U753" s="88" t="str">
        <f>IF($F753="","",IF($E753="",T753,SUMIF(Sales!$E$7:$E$1506,$E753,Sales!$T$7:$T$1506)))</f>
        <v/>
      </c>
      <c r="V753" s="49" t="str">
        <f t="shared" si="15"/>
        <v/>
      </c>
      <c r="W753" s="49" t="str">
        <f t="array" ref="W753">IF($V753="","",SUMPRODUCT((Sales!$V$7:$V$1506&lt;&gt;"")*(Sales!$E$7:$E$1506&lt;$E753))+1)</f>
        <v/>
      </c>
      <c r="X753" s="49" t="str">
        <f t="shared" si="16"/>
        <v/>
      </c>
      <c r="Y753" s="49" t="str">
        <f t="shared" si="17"/>
        <v/>
      </c>
    </row>
    <row r="754" ht="15.75" customHeight="1">
      <c r="A754" s="82"/>
      <c r="B754" s="83"/>
      <c r="C754" s="83"/>
      <c r="D754" s="83"/>
      <c r="E754" s="83"/>
      <c r="F754" s="83"/>
      <c r="G754" s="83" t="str">
        <f>IF($F754="","",IFERROR(VLOOKUP($F754,Inventory!$A:$B,2,FALSE),""))</f>
        <v/>
      </c>
      <c r="H754" s="83"/>
      <c r="I754" s="84" t="str">
        <f t="shared" si="2"/>
        <v/>
      </c>
      <c r="J754" s="85" t="str">
        <f>IF($F754="","",IFERROR(VLOOKUP($F754,Inventory!$A:$K,11,FALSE),0))</f>
        <v/>
      </c>
      <c r="K754" s="85"/>
      <c r="L754" s="85" t="str">
        <f t="shared" si="12"/>
        <v/>
      </c>
      <c r="M754" s="83"/>
      <c r="N754" s="85" t="str">
        <f>IF($F754="","",IFERROR(VLOOKUP($F754,Inventory!$A:$I,9,FALSE),0))</f>
        <v/>
      </c>
      <c r="O754" s="85" t="str">
        <f t="shared" si="13"/>
        <v/>
      </c>
      <c r="P754" s="85" t="str">
        <f t="shared" si="5"/>
        <v/>
      </c>
      <c r="Q754" s="83"/>
      <c r="R754" s="118" t="str">
        <f>IF($E754="","",IF(COUNTIF($E$7:$E1951,$E754)&gt;1,"",IFERROR(VLOOKUP($E754,Orders!$A:$I,8,FALSE),"")))</f>
        <v/>
      </c>
      <c r="S754" s="118" t="str">
        <f>IF($E754="","",IF(COUNTIF($E$7:$E1951,$E754)&gt;1,"",IFERROR(VLOOKUP($E754,Orders!$A:$I,9,FALSE),"")))</f>
        <v/>
      </c>
      <c r="T754" s="88" t="str">
        <f t="shared" si="14"/>
        <v/>
      </c>
      <c r="U754" s="88" t="str">
        <f>IF($F754="","",IF($E754="",T754,SUMIF(Sales!$E$7:$E$1506,$E754,Sales!$T$7:$T$1506)))</f>
        <v/>
      </c>
      <c r="V754" s="49" t="str">
        <f t="shared" si="15"/>
        <v/>
      </c>
      <c r="W754" s="49" t="str">
        <f t="array" ref="W754">IF($V754="","",SUMPRODUCT((Sales!$V$7:$V$1506&lt;&gt;"")*(Sales!$E$7:$E$1506&lt;$E754))+1)</f>
        <v/>
      </c>
      <c r="X754" s="49" t="str">
        <f t="shared" si="16"/>
        <v/>
      </c>
      <c r="Y754" s="49" t="str">
        <f t="shared" si="17"/>
        <v/>
      </c>
    </row>
    <row r="755" ht="15.75" customHeight="1">
      <c r="A755" s="82"/>
      <c r="B755" s="83"/>
      <c r="C755" s="83"/>
      <c r="D755" s="83"/>
      <c r="E755" s="83"/>
      <c r="F755" s="83"/>
      <c r="G755" s="83" t="str">
        <f>IF($F755="","",IFERROR(VLOOKUP($F755,Inventory!$A:$B,2,FALSE),""))</f>
        <v/>
      </c>
      <c r="H755" s="83"/>
      <c r="I755" s="84" t="str">
        <f t="shared" si="2"/>
        <v/>
      </c>
      <c r="J755" s="85" t="str">
        <f>IF($F755="","",IFERROR(VLOOKUP($F755,Inventory!$A:$K,11,FALSE),0))</f>
        <v/>
      </c>
      <c r="K755" s="85"/>
      <c r="L755" s="85" t="str">
        <f t="shared" si="12"/>
        <v/>
      </c>
      <c r="M755" s="83"/>
      <c r="N755" s="85" t="str">
        <f>IF($F755="","",IFERROR(VLOOKUP($F755,Inventory!$A:$I,9,FALSE),0))</f>
        <v/>
      </c>
      <c r="O755" s="85" t="str">
        <f t="shared" si="13"/>
        <v/>
      </c>
      <c r="P755" s="85" t="str">
        <f t="shared" si="5"/>
        <v/>
      </c>
      <c r="Q755" s="83"/>
      <c r="R755" s="118" t="str">
        <f>IF($E755="","",IF(COUNTIF($E$7:$E1952,$E755)&gt;1,"",IFERROR(VLOOKUP($E755,Orders!$A:$I,8,FALSE),"")))</f>
        <v/>
      </c>
      <c r="S755" s="118" t="str">
        <f>IF($E755="","",IF(COUNTIF($E$7:$E1952,$E755)&gt;1,"",IFERROR(VLOOKUP($E755,Orders!$A:$I,9,FALSE),"")))</f>
        <v/>
      </c>
      <c r="T755" s="88" t="str">
        <f t="shared" si="14"/>
        <v/>
      </c>
      <c r="U755" s="88" t="str">
        <f>IF($F755="","",IF($E755="",T755,SUMIF(Sales!$E$7:$E$1506,$E755,Sales!$T$7:$T$1506)))</f>
        <v/>
      </c>
      <c r="V755" s="49" t="str">
        <f t="shared" si="15"/>
        <v/>
      </c>
      <c r="W755" s="49" t="str">
        <f t="array" ref="W755">IF($V755="","",SUMPRODUCT((Sales!$V$7:$V$1506&lt;&gt;"")*(Sales!$E$7:$E$1506&lt;$E755))+1)</f>
        <v/>
      </c>
      <c r="X755" s="49" t="str">
        <f t="shared" si="16"/>
        <v/>
      </c>
      <c r="Y755" s="49" t="str">
        <f t="shared" si="17"/>
        <v/>
      </c>
    </row>
    <row r="756" ht="15.75" customHeight="1">
      <c r="A756" s="82"/>
      <c r="B756" s="83"/>
      <c r="C756" s="83"/>
      <c r="D756" s="83"/>
      <c r="E756" s="83"/>
      <c r="F756" s="83"/>
      <c r="G756" s="83" t="str">
        <f>IF($F756="","",IFERROR(VLOOKUP($F756,Inventory!$A:$B,2,FALSE),""))</f>
        <v/>
      </c>
      <c r="H756" s="83"/>
      <c r="I756" s="84" t="str">
        <f t="shared" si="2"/>
        <v/>
      </c>
      <c r="J756" s="85" t="str">
        <f>IF($F756="","",IFERROR(VLOOKUP($F756,Inventory!$A:$K,11,FALSE),0))</f>
        <v/>
      </c>
      <c r="K756" s="85"/>
      <c r="L756" s="85" t="str">
        <f t="shared" si="12"/>
        <v/>
      </c>
      <c r="M756" s="83"/>
      <c r="N756" s="85" t="str">
        <f>IF($F756="","",IFERROR(VLOOKUP($F756,Inventory!$A:$I,9,FALSE),0))</f>
        <v/>
      </c>
      <c r="O756" s="85" t="str">
        <f t="shared" si="13"/>
        <v/>
      </c>
      <c r="P756" s="85" t="str">
        <f t="shared" si="5"/>
        <v/>
      </c>
      <c r="Q756" s="83"/>
      <c r="R756" s="118" t="str">
        <f>IF($E756="","",IF(COUNTIF($E$7:$E1953,$E756)&gt;1,"",IFERROR(VLOOKUP($E756,Orders!$A:$I,8,FALSE),"")))</f>
        <v/>
      </c>
      <c r="S756" s="118" t="str">
        <f>IF($E756="","",IF(COUNTIF($E$7:$E1953,$E756)&gt;1,"",IFERROR(VLOOKUP($E756,Orders!$A:$I,9,FALSE),"")))</f>
        <v/>
      </c>
      <c r="T756" s="88" t="str">
        <f t="shared" si="14"/>
        <v/>
      </c>
      <c r="U756" s="88" t="str">
        <f>IF($F756="","",IF($E756="",T756,SUMIF(Sales!$E$7:$E$1506,$E756,Sales!$T$7:$T$1506)))</f>
        <v/>
      </c>
      <c r="V756" s="49" t="str">
        <f t="shared" si="15"/>
        <v/>
      </c>
      <c r="W756" s="49" t="str">
        <f t="array" ref="W756">IF($V756="","",SUMPRODUCT((Sales!$V$7:$V$1506&lt;&gt;"")*(Sales!$E$7:$E$1506&lt;$E756))+1)</f>
        <v/>
      </c>
      <c r="X756" s="49" t="str">
        <f t="shared" si="16"/>
        <v/>
      </c>
      <c r="Y756" s="49" t="str">
        <f t="shared" si="17"/>
        <v/>
      </c>
    </row>
    <row r="757" ht="15.75" customHeight="1">
      <c r="A757" s="82"/>
      <c r="B757" s="83"/>
      <c r="C757" s="83"/>
      <c r="D757" s="83"/>
      <c r="E757" s="83"/>
      <c r="F757" s="83"/>
      <c r="G757" s="83" t="str">
        <f>IF($F757="","",IFERROR(VLOOKUP($F757,Inventory!$A:$B,2,FALSE),""))</f>
        <v/>
      </c>
      <c r="H757" s="83"/>
      <c r="I757" s="84" t="str">
        <f t="shared" si="2"/>
        <v/>
      </c>
      <c r="J757" s="85" t="str">
        <f>IF($F757="","",IFERROR(VLOOKUP($F757,Inventory!$A:$K,11,FALSE),0))</f>
        <v/>
      </c>
      <c r="K757" s="85"/>
      <c r="L757" s="85" t="str">
        <f t="shared" si="12"/>
        <v/>
      </c>
      <c r="M757" s="83"/>
      <c r="N757" s="85" t="str">
        <f>IF($F757="","",IFERROR(VLOOKUP($F757,Inventory!$A:$I,9,FALSE),0))</f>
        <v/>
      </c>
      <c r="O757" s="85" t="str">
        <f t="shared" si="13"/>
        <v/>
      </c>
      <c r="P757" s="85" t="str">
        <f t="shared" si="5"/>
        <v/>
      </c>
      <c r="Q757" s="83"/>
      <c r="R757" s="118" t="str">
        <f>IF($E757="","",IF(COUNTIF($E$7:$E1954,$E757)&gt;1,"",IFERROR(VLOOKUP($E757,Orders!$A:$I,8,FALSE),"")))</f>
        <v/>
      </c>
      <c r="S757" s="118" t="str">
        <f>IF($E757="","",IF(COUNTIF($E$7:$E1954,$E757)&gt;1,"",IFERROR(VLOOKUP($E757,Orders!$A:$I,9,FALSE),"")))</f>
        <v/>
      </c>
      <c r="T757" s="88" t="str">
        <f t="shared" si="14"/>
        <v/>
      </c>
      <c r="U757" s="88" t="str">
        <f>IF($F757="","",IF($E757="",T757,SUMIF(Sales!$E$7:$E$1506,$E757,Sales!$T$7:$T$1506)))</f>
        <v/>
      </c>
      <c r="V757" s="49" t="str">
        <f t="shared" si="15"/>
        <v/>
      </c>
      <c r="W757" s="49" t="str">
        <f t="array" ref="W757">IF($V757="","",SUMPRODUCT((Sales!$V$7:$V$1506&lt;&gt;"")*(Sales!$E$7:$E$1506&lt;$E757))+1)</f>
        <v/>
      </c>
      <c r="X757" s="49" t="str">
        <f t="shared" si="16"/>
        <v/>
      </c>
      <c r="Y757" s="49" t="str">
        <f t="shared" si="17"/>
        <v/>
      </c>
    </row>
    <row r="758" ht="15.75" customHeight="1">
      <c r="A758" s="82"/>
      <c r="B758" s="83"/>
      <c r="C758" s="83"/>
      <c r="D758" s="83"/>
      <c r="E758" s="83"/>
      <c r="F758" s="83"/>
      <c r="G758" s="83" t="str">
        <f>IF($F758="","",IFERROR(VLOOKUP($F758,Inventory!$A:$B,2,FALSE),""))</f>
        <v/>
      </c>
      <c r="H758" s="83"/>
      <c r="I758" s="84" t="str">
        <f t="shared" si="2"/>
        <v/>
      </c>
      <c r="J758" s="85" t="str">
        <f>IF($F758="","",IFERROR(VLOOKUP($F758,Inventory!$A:$K,11,FALSE),0))</f>
        <v/>
      </c>
      <c r="K758" s="85"/>
      <c r="L758" s="85" t="str">
        <f t="shared" si="12"/>
        <v/>
      </c>
      <c r="M758" s="83"/>
      <c r="N758" s="85" t="str">
        <f>IF($F758="","",IFERROR(VLOOKUP($F758,Inventory!$A:$I,9,FALSE),0))</f>
        <v/>
      </c>
      <c r="O758" s="85" t="str">
        <f t="shared" si="13"/>
        <v/>
      </c>
      <c r="P758" s="85" t="str">
        <f t="shared" si="5"/>
        <v/>
      </c>
      <c r="Q758" s="83"/>
      <c r="R758" s="118" t="str">
        <f>IF($E758="","",IF(COUNTIF($E$7:$E1955,$E758)&gt;1,"",IFERROR(VLOOKUP($E758,Orders!$A:$I,8,FALSE),"")))</f>
        <v/>
      </c>
      <c r="S758" s="118" t="str">
        <f>IF($E758="","",IF(COUNTIF($E$7:$E1955,$E758)&gt;1,"",IFERROR(VLOOKUP($E758,Orders!$A:$I,9,FALSE),"")))</f>
        <v/>
      </c>
      <c r="T758" s="88" t="str">
        <f t="shared" si="14"/>
        <v/>
      </c>
      <c r="U758" s="88" t="str">
        <f>IF($F758="","",IF($E758="",T758,SUMIF(Sales!$E$7:$E$1506,$E758,Sales!$T$7:$T$1506)))</f>
        <v/>
      </c>
      <c r="V758" s="49" t="str">
        <f t="shared" si="15"/>
        <v/>
      </c>
      <c r="W758" s="49" t="str">
        <f t="array" ref="W758">IF($V758="","",SUMPRODUCT((Sales!$V$7:$V$1506&lt;&gt;"")*(Sales!$E$7:$E$1506&lt;$E758))+1)</f>
        <v/>
      </c>
      <c r="X758" s="49" t="str">
        <f t="shared" si="16"/>
        <v/>
      </c>
      <c r="Y758" s="49" t="str">
        <f t="shared" si="17"/>
        <v/>
      </c>
    </row>
    <row r="759" ht="15.75" customHeight="1">
      <c r="A759" s="82"/>
      <c r="B759" s="83"/>
      <c r="C759" s="83"/>
      <c r="D759" s="83"/>
      <c r="E759" s="83"/>
      <c r="F759" s="83"/>
      <c r="G759" s="83" t="str">
        <f>IF($F759="","",IFERROR(VLOOKUP($F759,Inventory!$A:$B,2,FALSE),""))</f>
        <v/>
      </c>
      <c r="H759" s="83"/>
      <c r="I759" s="84" t="str">
        <f t="shared" si="2"/>
        <v/>
      </c>
      <c r="J759" s="85" t="str">
        <f>IF($F759="","",IFERROR(VLOOKUP($F759,Inventory!$A:$K,11,FALSE),0))</f>
        <v/>
      </c>
      <c r="K759" s="85"/>
      <c r="L759" s="85" t="str">
        <f t="shared" si="12"/>
        <v/>
      </c>
      <c r="M759" s="83"/>
      <c r="N759" s="85" t="str">
        <f>IF($F759="","",IFERROR(VLOOKUP($F759,Inventory!$A:$I,9,FALSE),0))</f>
        <v/>
      </c>
      <c r="O759" s="85" t="str">
        <f t="shared" si="13"/>
        <v/>
      </c>
      <c r="P759" s="85" t="str">
        <f t="shared" si="5"/>
        <v/>
      </c>
      <c r="Q759" s="83"/>
      <c r="R759" s="118" t="str">
        <f>IF($E759="","",IF(COUNTIF($E$7:$E1956,$E759)&gt;1,"",IFERROR(VLOOKUP($E759,Orders!$A:$I,8,FALSE),"")))</f>
        <v/>
      </c>
      <c r="S759" s="118" t="str">
        <f>IF($E759="","",IF(COUNTIF($E$7:$E1956,$E759)&gt;1,"",IFERROR(VLOOKUP($E759,Orders!$A:$I,9,FALSE),"")))</f>
        <v/>
      </c>
      <c r="T759" s="88" t="str">
        <f t="shared" si="14"/>
        <v/>
      </c>
      <c r="U759" s="88" t="str">
        <f>IF($F759="","",IF($E759="",T759,SUMIF(Sales!$E$7:$E$1506,$E759,Sales!$T$7:$T$1506)))</f>
        <v/>
      </c>
      <c r="V759" s="49" t="str">
        <f t="shared" si="15"/>
        <v/>
      </c>
      <c r="W759" s="49" t="str">
        <f t="array" ref="W759">IF($V759="","",SUMPRODUCT((Sales!$V$7:$V$1506&lt;&gt;"")*(Sales!$E$7:$E$1506&lt;$E759))+1)</f>
        <v/>
      </c>
      <c r="X759" s="49" t="str">
        <f t="shared" si="16"/>
        <v/>
      </c>
      <c r="Y759" s="49" t="str">
        <f t="shared" si="17"/>
        <v/>
      </c>
    </row>
    <row r="760" ht="15.75" customHeight="1">
      <c r="A760" s="82"/>
      <c r="B760" s="83"/>
      <c r="C760" s="83"/>
      <c r="D760" s="83"/>
      <c r="E760" s="83"/>
      <c r="F760" s="83"/>
      <c r="G760" s="83" t="str">
        <f>IF($F760="","",IFERROR(VLOOKUP($F760,Inventory!$A:$B,2,FALSE),""))</f>
        <v/>
      </c>
      <c r="H760" s="83"/>
      <c r="I760" s="84" t="str">
        <f t="shared" si="2"/>
        <v/>
      </c>
      <c r="J760" s="85" t="str">
        <f>IF($F760="","",IFERROR(VLOOKUP($F760,Inventory!$A:$K,11,FALSE),0))</f>
        <v/>
      </c>
      <c r="K760" s="85"/>
      <c r="L760" s="85" t="str">
        <f t="shared" si="12"/>
        <v/>
      </c>
      <c r="M760" s="83"/>
      <c r="N760" s="85" t="str">
        <f>IF($F760="","",IFERROR(VLOOKUP($F760,Inventory!$A:$I,9,FALSE),0))</f>
        <v/>
      </c>
      <c r="O760" s="85" t="str">
        <f t="shared" si="13"/>
        <v/>
      </c>
      <c r="P760" s="85" t="str">
        <f t="shared" si="5"/>
        <v/>
      </c>
      <c r="Q760" s="83"/>
      <c r="R760" s="118" t="str">
        <f>IF($E760="","",IF(COUNTIF($E$7:$E1957,$E760)&gt;1,"",IFERROR(VLOOKUP($E760,Orders!$A:$I,8,FALSE),"")))</f>
        <v/>
      </c>
      <c r="S760" s="118" t="str">
        <f>IF($E760="","",IF(COUNTIF($E$7:$E1957,$E760)&gt;1,"",IFERROR(VLOOKUP($E760,Orders!$A:$I,9,FALSE),"")))</f>
        <v/>
      </c>
      <c r="T760" s="88" t="str">
        <f t="shared" si="14"/>
        <v/>
      </c>
      <c r="U760" s="88" t="str">
        <f>IF($F760="","",IF($E760="",T760,SUMIF(Sales!$E$7:$E$1506,$E760,Sales!$T$7:$T$1506)))</f>
        <v/>
      </c>
      <c r="V760" s="49" t="str">
        <f t="shared" si="15"/>
        <v/>
      </c>
      <c r="W760" s="49" t="str">
        <f t="array" ref="W760">IF($V760="","",SUMPRODUCT((Sales!$V$7:$V$1506&lt;&gt;"")*(Sales!$E$7:$E$1506&lt;$E760))+1)</f>
        <v/>
      </c>
      <c r="X760" s="49" t="str">
        <f t="shared" si="16"/>
        <v/>
      </c>
      <c r="Y760" s="49" t="str">
        <f t="shared" si="17"/>
        <v/>
      </c>
    </row>
    <row r="761" ht="15.75" customHeight="1">
      <c r="A761" s="82"/>
      <c r="B761" s="83"/>
      <c r="C761" s="83"/>
      <c r="D761" s="83"/>
      <c r="E761" s="83"/>
      <c r="F761" s="83"/>
      <c r="G761" s="83" t="str">
        <f>IF($F761="","",IFERROR(VLOOKUP($F761,Inventory!$A:$B,2,FALSE),""))</f>
        <v/>
      </c>
      <c r="H761" s="83"/>
      <c r="I761" s="84" t="str">
        <f t="shared" si="2"/>
        <v/>
      </c>
      <c r="J761" s="85" t="str">
        <f>IF($F761="","",IFERROR(VLOOKUP($F761,Inventory!$A:$K,11,FALSE),0))</f>
        <v/>
      </c>
      <c r="K761" s="85"/>
      <c r="L761" s="85" t="str">
        <f t="shared" si="12"/>
        <v/>
      </c>
      <c r="M761" s="83"/>
      <c r="N761" s="85" t="str">
        <f>IF($F761="","",IFERROR(VLOOKUP($F761,Inventory!$A:$I,9,FALSE),0))</f>
        <v/>
      </c>
      <c r="O761" s="85" t="str">
        <f t="shared" si="13"/>
        <v/>
      </c>
      <c r="P761" s="85" t="str">
        <f t="shared" si="5"/>
        <v/>
      </c>
      <c r="Q761" s="83"/>
      <c r="R761" s="118" t="str">
        <f>IF($E761="","",IF(COUNTIF($E$7:$E1958,$E761)&gt;1,"",IFERROR(VLOOKUP($E761,Orders!$A:$I,8,FALSE),"")))</f>
        <v/>
      </c>
      <c r="S761" s="118" t="str">
        <f>IF($E761="","",IF(COUNTIF($E$7:$E1958,$E761)&gt;1,"",IFERROR(VLOOKUP($E761,Orders!$A:$I,9,FALSE),"")))</f>
        <v/>
      </c>
      <c r="T761" s="88" t="str">
        <f t="shared" si="14"/>
        <v/>
      </c>
      <c r="U761" s="88" t="str">
        <f>IF($F761="","",IF($E761="",T761,SUMIF(Sales!$E$7:$E$1506,$E761,Sales!$T$7:$T$1506)))</f>
        <v/>
      </c>
      <c r="V761" s="49" t="str">
        <f t="shared" si="15"/>
        <v/>
      </c>
      <c r="W761" s="49" t="str">
        <f t="array" ref="W761">IF($V761="","",SUMPRODUCT((Sales!$V$7:$V$1506&lt;&gt;"")*(Sales!$E$7:$E$1506&lt;$E761))+1)</f>
        <v/>
      </c>
      <c r="X761" s="49" t="str">
        <f t="shared" si="16"/>
        <v/>
      </c>
      <c r="Y761" s="49" t="str">
        <f t="shared" si="17"/>
        <v/>
      </c>
    </row>
    <row r="762" ht="15.75" customHeight="1">
      <c r="A762" s="82"/>
      <c r="B762" s="83"/>
      <c r="C762" s="83"/>
      <c r="D762" s="83"/>
      <c r="E762" s="83"/>
      <c r="F762" s="83"/>
      <c r="G762" s="83" t="str">
        <f>IF($F762="","",IFERROR(VLOOKUP($F762,Inventory!$A:$B,2,FALSE),""))</f>
        <v/>
      </c>
      <c r="H762" s="83"/>
      <c r="I762" s="84" t="str">
        <f t="shared" si="2"/>
        <v/>
      </c>
      <c r="J762" s="85" t="str">
        <f>IF($F762="","",IFERROR(VLOOKUP($F762,Inventory!$A:$K,11,FALSE),0))</f>
        <v/>
      </c>
      <c r="K762" s="85"/>
      <c r="L762" s="85" t="str">
        <f t="shared" si="12"/>
        <v/>
      </c>
      <c r="M762" s="83"/>
      <c r="N762" s="85" t="str">
        <f>IF($F762="","",IFERROR(VLOOKUP($F762,Inventory!$A:$I,9,FALSE),0))</f>
        <v/>
      </c>
      <c r="O762" s="85" t="str">
        <f t="shared" si="13"/>
        <v/>
      </c>
      <c r="P762" s="85" t="str">
        <f t="shared" si="5"/>
        <v/>
      </c>
      <c r="Q762" s="83"/>
      <c r="R762" s="118" t="str">
        <f>IF($E762="","",IF(COUNTIF($E$7:$E1959,$E762)&gt;1,"",IFERROR(VLOOKUP($E762,Orders!$A:$I,8,FALSE),"")))</f>
        <v/>
      </c>
      <c r="S762" s="118" t="str">
        <f>IF($E762="","",IF(COUNTIF($E$7:$E1959,$E762)&gt;1,"",IFERROR(VLOOKUP($E762,Orders!$A:$I,9,FALSE),"")))</f>
        <v/>
      </c>
      <c r="T762" s="88" t="str">
        <f t="shared" si="14"/>
        <v/>
      </c>
      <c r="U762" s="88" t="str">
        <f>IF($F762="","",IF($E762="",T762,SUMIF(Sales!$E$7:$E$1506,$E762,Sales!$T$7:$T$1506)))</f>
        <v/>
      </c>
      <c r="V762" s="49" t="str">
        <f t="shared" si="15"/>
        <v/>
      </c>
      <c r="W762" s="49" t="str">
        <f t="array" ref="W762">IF($V762="","",SUMPRODUCT((Sales!$V$7:$V$1506&lt;&gt;"")*(Sales!$E$7:$E$1506&lt;$E762))+1)</f>
        <v/>
      </c>
      <c r="X762" s="49" t="str">
        <f t="shared" si="16"/>
        <v/>
      </c>
      <c r="Y762" s="49" t="str">
        <f t="shared" si="17"/>
        <v/>
      </c>
    </row>
    <row r="763" ht="15.75" customHeight="1">
      <c r="A763" s="82"/>
      <c r="B763" s="83"/>
      <c r="C763" s="83"/>
      <c r="D763" s="83"/>
      <c r="E763" s="83"/>
      <c r="F763" s="83"/>
      <c r="G763" s="83" t="str">
        <f>IF($F763="","",IFERROR(VLOOKUP($F763,Inventory!$A:$B,2,FALSE),""))</f>
        <v/>
      </c>
      <c r="H763" s="83"/>
      <c r="I763" s="84" t="str">
        <f t="shared" si="2"/>
        <v/>
      </c>
      <c r="J763" s="85" t="str">
        <f>IF($F763="","",IFERROR(VLOOKUP($F763,Inventory!$A:$K,11,FALSE),0))</f>
        <v/>
      </c>
      <c r="K763" s="85"/>
      <c r="L763" s="85" t="str">
        <f t="shared" si="12"/>
        <v/>
      </c>
      <c r="M763" s="83"/>
      <c r="N763" s="85" t="str">
        <f>IF($F763="","",IFERROR(VLOOKUP($F763,Inventory!$A:$I,9,FALSE),0))</f>
        <v/>
      </c>
      <c r="O763" s="85" t="str">
        <f t="shared" si="13"/>
        <v/>
      </c>
      <c r="P763" s="85" t="str">
        <f t="shared" si="5"/>
        <v/>
      </c>
      <c r="Q763" s="83"/>
      <c r="R763" s="118" t="str">
        <f>IF($E763="","",IF(COUNTIF($E$7:$E1960,$E763)&gt;1,"",IFERROR(VLOOKUP($E763,Orders!$A:$I,8,FALSE),"")))</f>
        <v/>
      </c>
      <c r="S763" s="118" t="str">
        <f>IF($E763="","",IF(COUNTIF($E$7:$E1960,$E763)&gt;1,"",IFERROR(VLOOKUP($E763,Orders!$A:$I,9,FALSE),"")))</f>
        <v/>
      </c>
      <c r="T763" s="88" t="str">
        <f t="shared" si="14"/>
        <v/>
      </c>
      <c r="U763" s="88" t="str">
        <f>IF($F763="","",IF($E763="",T763,SUMIF(Sales!$E$7:$E$1506,$E763,Sales!$T$7:$T$1506)))</f>
        <v/>
      </c>
      <c r="V763" s="49" t="str">
        <f t="shared" si="15"/>
        <v/>
      </c>
      <c r="W763" s="49" t="str">
        <f t="array" ref="W763">IF($V763="","",SUMPRODUCT((Sales!$V$7:$V$1506&lt;&gt;"")*(Sales!$E$7:$E$1506&lt;$E763))+1)</f>
        <v/>
      </c>
      <c r="X763" s="49" t="str">
        <f t="shared" si="16"/>
        <v/>
      </c>
      <c r="Y763" s="49" t="str">
        <f t="shared" si="17"/>
        <v/>
      </c>
    </row>
    <row r="764" ht="15.75" customHeight="1">
      <c r="A764" s="82"/>
      <c r="B764" s="83"/>
      <c r="C764" s="83"/>
      <c r="D764" s="83"/>
      <c r="E764" s="83"/>
      <c r="F764" s="83"/>
      <c r="G764" s="83" t="str">
        <f>IF($F764="","",IFERROR(VLOOKUP($F764,Inventory!$A:$B,2,FALSE),""))</f>
        <v/>
      </c>
      <c r="H764" s="83"/>
      <c r="I764" s="84" t="str">
        <f t="shared" si="2"/>
        <v/>
      </c>
      <c r="J764" s="85" t="str">
        <f>IF($F764="","",IFERROR(VLOOKUP($F764,Inventory!$A:$K,11,FALSE),0))</f>
        <v/>
      </c>
      <c r="K764" s="85"/>
      <c r="L764" s="85" t="str">
        <f t="shared" si="12"/>
        <v/>
      </c>
      <c r="M764" s="83"/>
      <c r="N764" s="85" t="str">
        <f>IF($F764="","",IFERROR(VLOOKUP($F764,Inventory!$A:$I,9,FALSE),0))</f>
        <v/>
      </c>
      <c r="O764" s="85" t="str">
        <f t="shared" si="13"/>
        <v/>
      </c>
      <c r="P764" s="85" t="str">
        <f t="shared" si="5"/>
        <v/>
      </c>
      <c r="Q764" s="83"/>
      <c r="R764" s="118" t="str">
        <f>IF($E764="","",IF(COUNTIF($E$7:$E1961,$E764)&gt;1,"",IFERROR(VLOOKUP($E764,Orders!$A:$I,8,FALSE),"")))</f>
        <v/>
      </c>
      <c r="S764" s="118" t="str">
        <f>IF($E764="","",IF(COUNTIF($E$7:$E1961,$E764)&gt;1,"",IFERROR(VLOOKUP($E764,Orders!$A:$I,9,FALSE),"")))</f>
        <v/>
      </c>
      <c r="T764" s="88" t="str">
        <f t="shared" si="14"/>
        <v/>
      </c>
      <c r="U764" s="88" t="str">
        <f>IF($F764="","",IF($E764="",T764,SUMIF(Sales!$E$7:$E$1506,$E764,Sales!$T$7:$T$1506)))</f>
        <v/>
      </c>
      <c r="V764" s="49" t="str">
        <f t="shared" si="15"/>
        <v/>
      </c>
      <c r="W764" s="49" t="str">
        <f t="array" ref="W764">IF($V764="","",SUMPRODUCT((Sales!$V$7:$V$1506&lt;&gt;"")*(Sales!$E$7:$E$1506&lt;$E764))+1)</f>
        <v/>
      </c>
      <c r="X764" s="49" t="str">
        <f t="shared" si="16"/>
        <v/>
      </c>
      <c r="Y764" s="49" t="str">
        <f t="shared" si="17"/>
        <v/>
      </c>
    </row>
    <row r="765" ht="15.75" customHeight="1">
      <c r="A765" s="82"/>
      <c r="B765" s="83"/>
      <c r="C765" s="83"/>
      <c r="D765" s="83"/>
      <c r="E765" s="83"/>
      <c r="F765" s="83"/>
      <c r="G765" s="83" t="str">
        <f>IF($F765="","",IFERROR(VLOOKUP($F765,Inventory!$A:$B,2,FALSE),""))</f>
        <v/>
      </c>
      <c r="H765" s="83"/>
      <c r="I765" s="84" t="str">
        <f t="shared" si="2"/>
        <v/>
      </c>
      <c r="J765" s="85" t="str">
        <f>IF($F765="","",IFERROR(VLOOKUP($F765,Inventory!$A:$K,11,FALSE),0))</f>
        <v/>
      </c>
      <c r="K765" s="85"/>
      <c r="L765" s="85" t="str">
        <f t="shared" si="12"/>
        <v/>
      </c>
      <c r="M765" s="83"/>
      <c r="N765" s="85" t="str">
        <f>IF($F765="","",IFERROR(VLOOKUP($F765,Inventory!$A:$I,9,FALSE),0))</f>
        <v/>
      </c>
      <c r="O765" s="85" t="str">
        <f t="shared" si="13"/>
        <v/>
      </c>
      <c r="P765" s="85" t="str">
        <f t="shared" si="5"/>
        <v/>
      </c>
      <c r="Q765" s="83"/>
      <c r="R765" s="118" t="str">
        <f>IF($E765="","",IF(COUNTIF($E$7:$E1962,$E765)&gt;1,"",IFERROR(VLOOKUP($E765,Orders!$A:$I,8,FALSE),"")))</f>
        <v/>
      </c>
      <c r="S765" s="118" t="str">
        <f>IF($E765="","",IF(COUNTIF($E$7:$E1962,$E765)&gt;1,"",IFERROR(VLOOKUP($E765,Orders!$A:$I,9,FALSE),"")))</f>
        <v/>
      </c>
      <c r="T765" s="88" t="str">
        <f t="shared" si="14"/>
        <v/>
      </c>
      <c r="U765" s="88" t="str">
        <f>IF($F765="","",IF($E765="",T765,SUMIF(Sales!$E$7:$E$1506,$E765,Sales!$T$7:$T$1506)))</f>
        <v/>
      </c>
      <c r="V765" s="49" t="str">
        <f t="shared" si="15"/>
        <v/>
      </c>
      <c r="W765" s="49" t="str">
        <f t="array" ref="W765">IF($V765="","",SUMPRODUCT((Sales!$V$7:$V$1506&lt;&gt;"")*(Sales!$E$7:$E$1506&lt;$E765))+1)</f>
        <v/>
      </c>
      <c r="X765" s="49" t="str">
        <f t="shared" si="16"/>
        <v/>
      </c>
      <c r="Y765" s="49" t="str">
        <f t="shared" si="17"/>
        <v/>
      </c>
    </row>
    <row r="766" ht="15.75" customHeight="1">
      <c r="A766" s="82"/>
      <c r="B766" s="83"/>
      <c r="C766" s="83"/>
      <c r="D766" s="83"/>
      <c r="E766" s="83"/>
      <c r="F766" s="83"/>
      <c r="G766" s="83" t="str">
        <f>IF($F766="","",IFERROR(VLOOKUP($F766,Inventory!$A:$B,2,FALSE),""))</f>
        <v/>
      </c>
      <c r="H766" s="83"/>
      <c r="I766" s="84" t="str">
        <f t="shared" si="2"/>
        <v/>
      </c>
      <c r="J766" s="85" t="str">
        <f>IF($F766="","",IFERROR(VLOOKUP($F766,Inventory!$A:$K,11,FALSE),0))</f>
        <v/>
      </c>
      <c r="K766" s="85"/>
      <c r="L766" s="85" t="str">
        <f t="shared" si="12"/>
        <v/>
      </c>
      <c r="M766" s="83"/>
      <c r="N766" s="85" t="str">
        <f>IF($F766="","",IFERROR(VLOOKUP($F766,Inventory!$A:$I,9,FALSE),0))</f>
        <v/>
      </c>
      <c r="O766" s="85" t="str">
        <f t="shared" si="13"/>
        <v/>
      </c>
      <c r="P766" s="85" t="str">
        <f t="shared" si="5"/>
        <v/>
      </c>
      <c r="Q766" s="83"/>
      <c r="R766" s="118" t="str">
        <f>IF($E766="","",IF(COUNTIF($E$7:$E1963,$E766)&gt;1,"",IFERROR(VLOOKUP($E766,Orders!$A:$I,8,FALSE),"")))</f>
        <v/>
      </c>
      <c r="S766" s="118" t="str">
        <f>IF($E766="","",IF(COUNTIF($E$7:$E1963,$E766)&gt;1,"",IFERROR(VLOOKUP($E766,Orders!$A:$I,9,FALSE),"")))</f>
        <v/>
      </c>
      <c r="T766" s="88" t="str">
        <f t="shared" si="14"/>
        <v/>
      </c>
      <c r="U766" s="88" t="str">
        <f>IF($F766="","",IF($E766="",T766,SUMIF(Sales!$E$7:$E$1506,$E766,Sales!$T$7:$T$1506)))</f>
        <v/>
      </c>
      <c r="V766" s="49" t="str">
        <f t="shared" si="15"/>
        <v/>
      </c>
      <c r="W766" s="49" t="str">
        <f t="array" ref="W766">IF($V766="","",SUMPRODUCT((Sales!$V$7:$V$1506&lt;&gt;"")*(Sales!$E$7:$E$1506&lt;$E766))+1)</f>
        <v/>
      </c>
      <c r="X766" s="49" t="str">
        <f t="shared" si="16"/>
        <v/>
      </c>
      <c r="Y766" s="49" t="str">
        <f t="shared" si="17"/>
        <v/>
      </c>
    </row>
    <row r="767" ht="15.75" customHeight="1">
      <c r="A767" s="82"/>
      <c r="B767" s="83"/>
      <c r="C767" s="83"/>
      <c r="D767" s="83"/>
      <c r="E767" s="83"/>
      <c r="F767" s="83"/>
      <c r="G767" s="83" t="str">
        <f>IF($F767="","",IFERROR(VLOOKUP($F767,Inventory!$A:$B,2,FALSE),""))</f>
        <v/>
      </c>
      <c r="H767" s="83"/>
      <c r="I767" s="84" t="str">
        <f t="shared" si="2"/>
        <v/>
      </c>
      <c r="J767" s="85" t="str">
        <f>IF($F767="","",IFERROR(VLOOKUP($F767,Inventory!$A:$K,11,FALSE),0))</f>
        <v/>
      </c>
      <c r="K767" s="85"/>
      <c r="L767" s="85" t="str">
        <f t="shared" si="12"/>
        <v/>
      </c>
      <c r="M767" s="83"/>
      <c r="N767" s="85" t="str">
        <f>IF($F767="","",IFERROR(VLOOKUP($F767,Inventory!$A:$I,9,FALSE),0))</f>
        <v/>
      </c>
      <c r="O767" s="85" t="str">
        <f t="shared" si="13"/>
        <v/>
      </c>
      <c r="P767" s="85" t="str">
        <f t="shared" si="5"/>
        <v/>
      </c>
      <c r="Q767" s="83"/>
      <c r="R767" s="118" t="str">
        <f>IF($E767="","",IF(COUNTIF($E$7:$E1964,$E767)&gt;1,"",IFERROR(VLOOKUP($E767,Orders!$A:$I,8,FALSE),"")))</f>
        <v/>
      </c>
      <c r="S767" s="118" t="str">
        <f>IF($E767="","",IF(COUNTIF($E$7:$E1964,$E767)&gt;1,"",IFERROR(VLOOKUP($E767,Orders!$A:$I,9,FALSE),"")))</f>
        <v/>
      </c>
      <c r="T767" s="88" t="str">
        <f t="shared" si="14"/>
        <v/>
      </c>
      <c r="U767" s="88" t="str">
        <f>IF($F767="","",IF($E767="",T767,SUMIF(Sales!$E$7:$E$1506,$E767,Sales!$T$7:$T$1506)))</f>
        <v/>
      </c>
      <c r="V767" s="49" t="str">
        <f t="shared" si="15"/>
        <v/>
      </c>
      <c r="W767" s="49" t="str">
        <f t="array" ref="W767">IF($V767="","",SUMPRODUCT((Sales!$V$7:$V$1506&lt;&gt;"")*(Sales!$E$7:$E$1506&lt;$E767))+1)</f>
        <v/>
      </c>
      <c r="X767" s="49" t="str">
        <f t="shared" si="16"/>
        <v/>
      </c>
      <c r="Y767" s="49" t="str">
        <f t="shared" si="17"/>
        <v/>
      </c>
    </row>
    <row r="768" ht="15.75" customHeight="1">
      <c r="A768" s="82"/>
      <c r="B768" s="83"/>
      <c r="C768" s="83"/>
      <c r="D768" s="83"/>
      <c r="E768" s="83"/>
      <c r="F768" s="83"/>
      <c r="G768" s="83" t="str">
        <f>IF($F768="","",IFERROR(VLOOKUP($F768,Inventory!$A:$B,2,FALSE),""))</f>
        <v/>
      </c>
      <c r="H768" s="83"/>
      <c r="I768" s="84" t="str">
        <f t="shared" si="2"/>
        <v/>
      </c>
      <c r="J768" s="85" t="str">
        <f>IF($F768="","",IFERROR(VLOOKUP($F768,Inventory!$A:$K,11,FALSE),0))</f>
        <v/>
      </c>
      <c r="K768" s="85"/>
      <c r="L768" s="85" t="str">
        <f t="shared" si="12"/>
        <v/>
      </c>
      <c r="M768" s="83"/>
      <c r="N768" s="85" t="str">
        <f>IF($F768="","",IFERROR(VLOOKUP($F768,Inventory!$A:$I,9,FALSE),0))</f>
        <v/>
      </c>
      <c r="O768" s="85" t="str">
        <f t="shared" si="13"/>
        <v/>
      </c>
      <c r="P768" s="85" t="str">
        <f t="shared" si="5"/>
        <v/>
      </c>
      <c r="Q768" s="83"/>
      <c r="R768" s="118" t="str">
        <f>IF($E768="","",IF(COUNTIF($E$7:$E1965,$E768)&gt;1,"",IFERROR(VLOOKUP($E768,Orders!$A:$I,8,FALSE),"")))</f>
        <v/>
      </c>
      <c r="S768" s="118" t="str">
        <f>IF($E768="","",IF(COUNTIF($E$7:$E1965,$E768)&gt;1,"",IFERROR(VLOOKUP($E768,Orders!$A:$I,9,FALSE),"")))</f>
        <v/>
      </c>
      <c r="T768" s="88" t="str">
        <f t="shared" si="14"/>
        <v/>
      </c>
      <c r="U768" s="88" t="str">
        <f>IF($F768="","",IF($E768="",T768,SUMIF(Sales!$E$7:$E$1506,$E768,Sales!$T$7:$T$1506)))</f>
        <v/>
      </c>
      <c r="V768" s="49" t="str">
        <f t="shared" si="15"/>
        <v/>
      </c>
      <c r="W768" s="49" t="str">
        <f t="array" ref="W768">IF($V768="","",SUMPRODUCT((Sales!$V$7:$V$1506&lt;&gt;"")*(Sales!$E$7:$E$1506&lt;$E768))+1)</f>
        <v/>
      </c>
      <c r="X768" s="49" t="str">
        <f t="shared" si="16"/>
        <v/>
      </c>
      <c r="Y768" s="49" t="str">
        <f t="shared" si="17"/>
        <v/>
      </c>
    </row>
    <row r="769" ht="15.75" customHeight="1">
      <c r="A769" s="82"/>
      <c r="B769" s="83"/>
      <c r="C769" s="83"/>
      <c r="D769" s="83"/>
      <c r="E769" s="83"/>
      <c r="F769" s="83"/>
      <c r="G769" s="83" t="str">
        <f>IF($F769="","",IFERROR(VLOOKUP($F769,Inventory!$A:$B,2,FALSE),""))</f>
        <v/>
      </c>
      <c r="H769" s="83"/>
      <c r="I769" s="84" t="str">
        <f t="shared" si="2"/>
        <v/>
      </c>
      <c r="J769" s="85" t="str">
        <f>IF($F769="","",IFERROR(VLOOKUP($F769,Inventory!$A:$K,11,FALSE),0))</f>
        <v/>
      </c>
      <c r="K769" s="85"/>
      <c r="L769" s="85" t="str">
        <f t="shared" si="12"/>
        <v/>
      </c>
      <c r="M769" s="83"/>
      <c r="N769" s="85" t="str">
        <f>IF($F769="","",IFERROR(VLOOKUP($F769,Inventory!$A:$I,9,FALSE),0))</f>
        <v/>
      </c>
      <c r="O769" s="85" t="str">
        <f t="shared" si="13"/>
        <v/>
      </c>
      <c r="P769" s="85" t="str">
        <f t="shared" si="5"/>
        <v/>
      </c>
      <c r="Q769" s="83"/>
      <c r="R769" s="118" t="str">
        <f>IF($E769="","",IF(COUNTIF($E$7:$E1966,$E769)&gt;1,"",IFERROR(VLOOKUP($E769,Orders!$A:$I,8,FALSE),"")))</f>
        <v/>
      </c>
      <c r="S769" s="118" t="str">
        <f>IF($E769="","",IF(COUNTIF($E$7:$E1966,$E769)&gt;1,"",IFERROR(VLOOKUP($E769,Orders!$A:$I,9,FALSE),"")))</f>
        <v/>
      </c>
      <c r="T769" s="88" t="str">
        <f t="shared" si="14"/>
        <v/>
      </c>
      <c r="U769" s="88" t="str">
        <f>IF($F769="","",IF($E769="",T769,SUMIF(Sales!$E$7:$E$1506,$E769,Sales!$T$7:$T$1506)))</f>
        <v/>
      </c>
      <c r="V769" s="49" t="str">
        <f t="shared" si="15"/>
        <v/>
      </c>
      <c r="W769" s="49" t="str">
        <f t="array" ref="W769">IF($V769="","",SUMPRODUCT((Sales!$V$7:$V$1506&lt;&gt;"")*(Sales!$E$7:$E$1506&lt;$E769))+1)</f>
        <v/>
      </c>
      <c r="X769" s="49" t="str">
        <f t="shared" si="16"/>
        <v/>
      </c>
      <c r="Y769" s="49" t="str">
        <f t="shared" si="17"/>
        <v/>
      </c>
    </row>
    <row r="770" ht="15.75" customHeight="1">
      <c r="A770" s="82"/>
      <c r="B770" s="83"/>
      <c r="C770" s="83"/>
      <c r="D770" s="83"/>
      <c r="E770" s="83"/>
      <c r="F770" s="83"/>
      <c r="G770" s="83" t="str">
        <f>IF($F770="","",IFERROR(VLOOKUP($F770,Inventory!$A:$B,2,FALSE),""))</f>
        <v/>
      </c>
      <c r="H770" s="83"/>
      <c r="I770" s="84" t="str">
        <f t="shared" si="2"/>
        <v/>
      </c>
      <c r="J770" s="85" t="str">
        <f>IF($F770="","",IFERROR(VLOOKUP($F770,Inventory!$A:$K,11,FALSE),0))</f>
        <v/>
      </c>
      <c r="K770" s="85"/>
      <c r="L770" s="85" t="str">
        <f t="shared" si="12"/>
        <v/>
      </c>
      <c r="M770" s="83"/>
      <c r="N770" s="85" t="str">
        <f>IF($F770="","",IFERROR(VLOOKUP($F770,Inventory!$A:$I,9,FALSE),0))</f>
        <v/>
      </c>
      <c r="O770" s="85" t="str">
        <f t="shared" si="13"/>
        <v/>
      </c>
      <c r="P770" s="85" t="str">
        <f t="shared" si="5"/>
        <v/>
      </c>
      <c r="Q770" s="83"/>
      <c r="R770" s="118" t="str">
        <f>IF($E770="","",IF(COUNTIF($E$7:$E1967,$E770)&gt;1,"",IFERROR(VLOOKUP($E770,Orders!$A:$I,8,FALSE),"")))</f>
        <v/>
      </c>
      <c r="S770" s="118" t="str">
        <f>IF($E770="","",IF(COUNTIF($E$7:$E1967,$E770)&gt;1,"",IFERROR(VLOOKUP($E770,Orders!$A:$I,9,FALSE),"")))</f>
        <v/>
      </c>
      <c r="T770" s="88" t="str">
        <f t="shared" si="14"/>
        <v/>
      </c>
      <c r="U770" s="88" t="str">
        <f>IF($F770="","",IF($E770="",T770,SUMIF(Sales!$E$7:$E$1506,$E770,Sales!$T$7:$T$1506)))</f>
        <v/>
      </c>
      <c r="V770" s="49" t="str">
        <f t="shared" si="15"/>
        <v/>
      </c>
      <c r="W770" s="49" t="str">
        <f t="array" ref="W770">IF($V770="","",SUMPRODUCT((Sales!$V$7:$V$1506&lt;&gt;"")*(Sales!$E$7:$E$1506&lt;$E770))+1)</f>
        <v/>
      </c>
      <c r="X770" s="49" t="str">
        <f t="shared" si="16"/>
        <v/>
      </c>
      <c r="Y770" s="49" t="str">
        <f t="shared" si="17"/>
        <v/>
      </c>
    </row>
    <row r="771" ht="15.75" customHeight="1">
      <c r="A771" s="82"/>
      <c r="B771" s="83"/>
      <c r="C771" s="83"/>
      <c r="D771" s="83"/>
      <c r="E771" s="83"/>
      <c r="F771" s="83"/>
      <c r="G771" s="83" t="str">
        <f>IF($F771="","",IFERROR(VLOOKUP($F771,Inventory!$A:$B,2,FALSE),""))</f>
        <v/>
      </c>
      <c r="H771" s="83"/>
      <c r="I771" s="84" t="str">
        <f t="shared" si="2"/>
        <v/>
      </c>
      <c r="J771" s="85" t="str">
        <f>IF($F771="","",IFERROR(VLOOKUP($F771,Inventory!$A:$K,11,FALSE),0))</f>
        <v/>
      </c>
      <c r="K771" s="85"/>
      <c r="L771" s="85" t="str">
        <f t="shared" si="12"/>
        <v/>
      </c>
      <c r="M771" s="83"/>
      <c r="N771" s="85" t="str">
        <f>IF($F771="","",IFERROR(VLOOKUP($F771,Inventory!$A:$I,9,FALSE),0))</f>
        <v/>
      </c>
      <c r="O771" s="85" t="str">
        <f t="shared" si="13"/>
        <v/>
      </c>
      <c r="P771" s="85" t="str">
        <f t="shared" si="5"/>
        <v/>
      </c>
      <c r="Q771" s="83"/>
      <c r="R771" s="118" t="str">
        <f>IF($E771="","",IF(COUNTIF($E$7:$E1968,$E771)&gt;1,"",IFERROR(VLOOKUP($E771,Orders!$A:$I,8,FALSE),"")))</f>
        <v/>
      </c>
      <c r="S771" s="118" t="str">
        <f>IF($E771="","",IF(COUNTIF($E$7:$E1968,$E771)&gt;1,"",IFERROR(VLOOKUP($E771,Orders!$A:$I,9,FALSE),"")))</f>
        <v/>
      </c>
      <c r="T771" s="88" t="str">
        <f t="shared" si="14"/>
        <v/>
      </c>
      <c r="U771" s="88" t="str">
        <f>IF($F771="","",IF($E771="",T771,SUMIF(Sales!$E$7:$E$1506,$E771,Sales!$T$7:$T$1506)))</f>
        <v/>
      </c>
      <c r="V771" s="49" t="str">
        <f t="shared" si="15"/>
        <v/>
      </c>
      <c r="W771" s="49" t="str">
        <f t="array" ref="W771">IF($V771="","",SUMPRODUCT((Sales!$V$7:$V$1506&lt;&gt;"")*(Sales!$E$7:$E$1506&lt;$E771))+1)</f>
        <v/>
      </c>
      <c r="X771" s="49" t="str">
        <f t="shared" si="16"/>
        <v/>
      </c>
      <c r="Y771" s="49" t="str">
        <f t="shared" si="17"/>
        <v/>
      </c>
    </row>
    <row r="772" ht="15.75" customHeight="1">
      <c r="A772" s="82"/>
      <c r="B772" s="83"/>
      <c r="C772" s="83"/>
      <c r="D772" s="83"/>
      <c r="E772" s="83"/>
      <c r="F772" s="83"/>
      <c r="G772" s="83" t="str">
        <f>IF($F772="","",IFERROR(VLOOKUP($F772,Inventory!$A:$B,2,FALSE),""))</f>
        <v/>
      </c>
      <c r="H772" s="83"/>
      <c r="I772" s="84" t="str">
        <f t="shared" si="2"/>
        <v/>
      </c>
      <c r="J772" s="85" t="str">
        <f>IF($F772="","",IFERROR(VLOOKUP($F772,Inventory!$A:$K,11,FALSE),0))</f>
        <v/>
      </c>
      <c r="K772" s="85"/>
      <c r="L772" s="85" t="str">
        <f t="shared" si="12"/>
        <v/>
      </c>
      <c r="M772" s="83"/>
      <c r="N772" s="85" t="str">
        <f>IF($F772="","",IFERROR(VLOOKUP($F772,Inventory!$A:$I,9,FALSE),0))</f>
        <v/>
      </c>
      <c r="O772" s="85" t="str">
        <f t="shared" si="13"/>
        <v/>
      </c>
      <c r="P772" s="85" t="str">
        <f t="shared" si="5"/>
        <v/>
      </c>
      <c r="Q772" s="83"/>
      <c r="R772" s="118" t="str">
        <f>IF($E772="","",IF(COUNTIF($E$7:$E1969,$E772)&gt;1,"",IFERROR(VLOOKUP($E772,Orders!$A:$I,8,FALSE),"")))</f>
        <v/>
      </c>
      <c r="S772" s="118" t="str">
        <f>IF($E772="","",IF(COUNTIF($E$7:$E1969,$E772)&gt;1,"",IFERROR(VLOOKUP($E772,Orders!$A:$I,9,FALSE),"")))</f>
        <v/>
      </c>
      <c r="T772" s="88" t="str">
        <f t="shared" si="14"/>
        <v/>
      </c>
      <c r="U772" s="88" t="str">
        <f>IF($F772="","",IF($E772="",T772,SUMIF(Sales!$E$7:$E$1506,$E772,Sales!$T$7:$T$1506)))</f>
        <v/>
      </c>
      <c r="V772" s="49" t="str">
        <f t="shared" si="15"/>
        <v/>
      </c>
      <c r="W772" s="49" t="str">
        <f t="array" ref="W772">IF($V772="","",SUMPRODUCT((Sales!$V$7:$V$1506&lt;&gt;"")*(Sales!$E$7:$E$1506&lt;$E772))+1)</f>
        <v/>
      </c>
      <c r="X772" s="49" t="str">
        <f t="shared" si="16"/>
        <v/>
      </c>
      <c r="Y772" s="49" t="str">
        <f t="shared" si="17"/>
        <v/>
      </c>
    </row>
    <row r="773" ht="15.75" customHeight="1">
      <c r="A773" s="82"/>
      <c r="B773" s="83"/>
      <c r="C773" s="83"/>
      <c r="D773" s="83"/>
      <c r="E773" s="83"/>
      <c r="F773" s="83"/>
      <c r="G773" s="83" t="str">
        <f>IF($F773="","",IFERROR(VLOOKUP($F773,Inventory!$A:$B,2,FALSE),""))</f>
        <v/>
      </c>
      <c r="H773" s="83"/>
      <c r="I773" s="84" t="str">
        <f t="shared" si="2"/>
        <v/>
      </c>
      <c r="J773" s="85" t="str">
        <f>IF($F773="","",IFERROR(VLOOKUP($F773,Inventory!$A:$K,11,FALSE),0))</f>
        <v/>
      </c>
      <c r="K773" s="85"/>
      <c r="L773" s="85" t="str">
        <f t="shared" si="12"/>
        <v/>
      </c>
      <c r="M773" s="83"/>
      <c r="N773" s="85" t="str">
        <f>IF($F773="","",IFERROR(VLOOKUP($F773,Inventory!$A:$I,9,FALSE),0))</f>
        <v/>
      </c>
      <c r="O773" s="85" t="str">
        <f t="shared" si="13"/>
        <v/>
      </c>
      <c r="P773" s="85" t="str">
        <f t="shared" si="5"/>
        <v/>
      </c>
      <c r="Q773" s="83"/>
      <c r="R773" s="118" t="str">
        <f>IF($E773="","",IF(COUNTIF($E$7:$E1970,$E773)&gt;1,"",IFERROR(VLOOKUP($E773,Orders!$A:$I,8,FALSE),"")))</f>
        <v/>
      </c>
      <c r="S773" s="118" t="str">
        <f>IF($E773="","",IF(COUNTIF($E$7:$E1970,$E773)&gt;1,"",IFERROR(VLOOKUP($E773,Orders!$A:$I,9,FALSE),"")))</f>
        <v/>
      </c>
      <c r="T773" s="88" t="str">
        <f t="shared" si="14"/>
        <v/>
      </c>
      <c r="U773" s="88" t="str">
        <f>IF($F773="","",IF($E773="",T773,SUMIF(Sales!$E$7:$E$1506,$E773,Sales!$T$7:$T$1506)))</f>
        <v/>
      </c>
      <c r="V773" s="49" t="str">
        <f t="shared" si="15"/>
        <v/>
      </c>
      <c r="W773" s="49" t="str">
        <f t="array" ref="W773">IF($V773="","",SUMPRODUCT((Sales!$V$7:$V$1506&lt;&gt;"")*(Sales!$E$7:$E$1506&lt;$E773))+1)</f>
        <v/>
      </c>
      <c r="X773" s="49" t="str">
        <f t="shared" si="16"/>
        <v/>
      </c>
      <c r="Y773" s="49" t="str">
        <f t="shared" si="17"/>
        <v/>
      </c>
    </row>
    <row r="774" ht="15.75" customHeight="1">
      <c r="A774" s="82"/>
      <c r="B774" s="83"/>
      <c r="C774" s="83"/>
      <c r="D774" s="83"/>
      <c r="E774" s="83"/>
      <c r="F774" s="83"/>
      <c r="G774" s="83" t="str">
        <f>IF($F774="","",IFERROR(VLOOKUP($F774,Inventory!$A:$B,2,FALSE),""))</f>
        <v/>
      </c>
      <c r="H774" s="83"/>
      <c r="I774" s="84" t="str">
        <f t="shared" si="2"/>
        <v/>
      </c>
      <c r="J774" s="85" t="str">
        <f>IF($F774="","",IFERROR(VLOOKUP($F774,Inventory!$A:$K,11,FALSE),0))</f>
        <v/>
      </c>
      <c r="K774" s="85"/>
      <c r="L774" s="85" t="str">
        <f t="shared" si="12"/>
        <v/>
      </c>
      <c r="M774" s="83"/>
      <c r="N774" s="85" t="str">
        <f>IF($F774="","",IFERROR(VLOOKUP($F774,Inventory!$A:$I,9,FALSE),0))</f>
        <v/>
      </c>
      <c r="O774" s="85" t="str">
        <f t="shared" si="13"/>
        <v/>
      </c>
      <c r="P774" s="85" t="str">
        <f t="shared" si="5"/>
        <v/>
      </c>
      <c r="Q774" s="83"/>
      <c r="R774" s="118" t="str">
        <f>IF($E774="","",IF(COUNTIF($E$7:$E1971,$E774)&gt;1,"",IFERROR(VLOOKUP($E774,Orders!$A:$I,8,FALSE),"")))</f>
        <v/>
      </c>
      <c r="S774" s="118" t="str">
        <f>IF($E774="","",IF(COUNTIF($E$7:$E1971,$E774)&gt;1,"",IFERROR(VLOOKUP($E774,Orders!$A:$I,9,FALSE),"")))</f>
        <v/>
      </c>
      <c r="T774" s="88" t="str">
        <f t="shared" si="14"/>
        <v/>
      </c>
      <c r="U774" s="88" t="str">
        <f>IF($F774="","",IF($E774="",T774,SUMIF(Sales!$E$7:$E$1506,$E774,Sales!$T$7:$T$1506)))</f>
        <v/>
      </c>
      <c r="V774" s="49" t="str">
        <f t="shared" si="15"/>
        <v/>
      </c>
      <c r="W774" s="49" t="str">
        <f t="array" ref="W774">IF($V774="","",SUMPRODUCT((Sales!$V$7:$V$1506&lt;&gt;"")*(Sales!$E$7:$E$1506&lt;$E774))+1)</f>
        <v/>
      </c>
      <c r="X774" s="49" t="str">
        <f t="shared" si="16"/>
        <v/>
      </c>
      <c r="Y774" s="49" t="str">
        <f t="shared" si="17"/>
        <v/>
      </c>
    </row>
    <row r="775" ht="15.75" customHeight="1">
      <c r="A775" s="82"/>
      <c r="B775" s="83"/>
      <c r="C775" s="83"/>
      <c r="D775" s="83"/>
      <c r="E775" s="83"/>
      <c r="F775" s="83"/>
      <c r="G775" s="83" t="str">
        <f>IF($F775="","",IFERROR(VLOOKUP($F775,Inventory!$A:$B,2,FALSE),""))</f>
        <v/>
      </c>
      <c r="H775" s="83"/>
      <c r="I775" s="84" t="str">
        <f t="shared" si="2"/>
        <v/>
      </c>
      <c r="J775" s="85" t="str">
        <f>IF($F775="","",IFERROR(VLOOKUP($F775,Inventory!$A:$K,11,FALSE),0))</f>
        <v/>
      </c>
      <c r="K775" s="85"/>
      <c r="L775" s="85" t="str">
        <f t="shared" si="12"/>
        <v/>
      </c>
      <c r="M775" s="83"/>
      <c r="N775" s="85" t="str">
        <f>IF($F775="","",IFERROR(VLOOKUP($F775,Inventory!$A:$I,9,FALSE),0))</f>
        <v/>
      </c>
      <c r="O775" s="85" t="str">
        <f t="shared" si="13"/>
        <v/>
      </c>
      <c r="P775" s="85" t="str">
        <f t="shared" si="5"/>
        <v/>
      </c>
      <c r="Q775" s="83"/>
      <c r="R775" s="118" t="str">
        <f>IF($E775="","",IF(COUNTIF($E$7:$E1972,$E775)&gt;1,"",IFERROR(VLOOKUP($E775,Orders!$A:$I,8,FALSE),"")))</f>
        <v/>
      </c>
      <c r="S775" s="118" t="str">
        <f>IF($E775="","",IF(COUNTIF($E$7:$E1972,$E775)&gt;1,"",IFERROR(VLOOKUP($E775,Orders!$A:$I,9,FALSE),"")))</f>
        <v/>
      </c>
      <c r="T775" s="88" t="str">
        <f t="shared" si="14"/>
        <v/>
      </c>
      <c r="U775" s="88" t="str">
        <f>IF($F775="","",IF($E775="",T775,SUMIF(Sales!$E$7:$E$1506,$E775,Sales!$T$7:$T$1506)))</f>
        <v/>
      </c>
      <c r="V775" s="49" t="str">
        <f t="shared" si="15"/>
        <v/>
      </c>
      <c r="W775" s="49" t="str">
        <f t="array" ref="W775">IF($V775="","",SUMPRODUCT((Sales!$V$7:$V$1506&lt;&gt;"")*(Sales!$E$7:$E$1506&lt;$E775))+1)</f>
        <v/>
      </c>
      <c r="X775" s="49" t="str">
        <f t="shared" si="16"/>
        <v/>
      </c>
      <c r="Y775" s="49" t="str">
        <f t="shared" si="17"/>
        <v/>
      </c>
    </row>
    <row r="776" ht="15.75" customHeight="1">
      <c r="A776" s="82"/>
      <c r="B776" s="83"/>
      <c r="C776" s="83"/>
      <c r="D776" s="83"/>
      <c r="E776" s="83"/>
      <c r="F776" s="83"/>
      <c r="G776" s="83" t="str">
        <f>IF($F776="","",IFERROR(VLOOKUP($F776,Inventory!$A:$B,2,FALSE),""))</f>
        <v/>
      </c>
      <c r="H776" s="83"/>
      <c r="I776" s="84" t="str">
        <f t="shared" si="2"/>
        <v/>
      </c>
      <c r="J776" s="85" t="str">
        <f>IF($F776="","",IFERROR(VLOOKUP($F776,Inventory!$A:$K,11,FALSE),0))</f>
        <v/>
      </c>
      <c r="K776" s="85"/>
      <c r="L776" s="85" t="str">
        <f t="shared" si="12"/>
        <v/>
      </c>
      <c r="M776" s="83"/>
      <c r="N776" s="85" t="str">
        <f>IF($F776="","",IFERROR(VLOOKUP($F776,Inventory!$A:$I,9,FALSE),0))</f>
        <v/>
      </c>
      <c r="O776" s="85" t="str">
        <f t="shared" si="13"/>
        <v/>
      </c>
      <c r="P776" s="85" t="str">
        <f t="shared" si="5"/>
        <v/>
      </c>
      <c r="Q776" s="83"/>
      <c r="R776" s="118" t="str">
        <f>IF($E776="","",IF(COUNTIF($E$7:$E1973,$E776)&gt;1,"",IFERROR(VLOOKUP($E776,Orders!$A:$I,8,FALSE),"")))</f>
        <v/>
      </c>
      <c r="S776" s="118" t="str">
        <f>IF($E776="","",IF(COUNTIF($E$7:$E1973,$E776)&gt;1,"",IFERROR(VLOOKUP($E776,Orders!$A:$I,9,FALSE),"")))</f>
        <v/>
      </c>
      <c r="T776" s="88" t="str">
        <f t="shared" si="14"/>
        <v/>
      </c>
      <c r="U776" s="88" t="str">
        <f>IF($F776="","",IF($E776="",T776,SUMIF(Sales!$E$7:$E$1506,$E776,Sales!$T$7:$T$1506)))</f>
        <v/>
      </c>
      <c r="V776" s="49" t="str">
        <f t="shared" si="15"/>
        <v/>
      </c>
      <c r="W776" s="49" t="str">
        <f t="array" ref="W776">IF($V776="","",SUMPRODUCT((Sales!$V$7:$V$1506&lt;&gt;"")*(Sales!$E$7:$E$1506&lt;$E776))+1)</f>
        <v/>
      </c>
      <c r="X776" s="49" t="str">
        <f t="shared" si="16"/>
        <v/>
      </c>
      <c r="Y776" s="49" t="str">
        <f t="shared" si="17"/>
        <v/>
      </c>
    </row>
    <row r="777" ht="15.75" customHeight="1">
      <c r="A777" s="82"/>
      <c r="B777" s="83"/>
      <c r="C777" s="83"/>
      <c r="D777" s="83"/>
      <c r="E777" s="83"/>
      <c r="F777" s="83"/>
      <c r="G777" s="83" t="str">
        <f>IF($F777="","",IFERROR(VLOOKUP($F777,Inventory!$A:$B,2,FALSE),""))</f>
        <v/>
      </c>
      <c r="H777" s="83"/>
      <c r="I777" s="84" t="str">
        <f t="shared" si="2"/>
        <v/>
      </c>
      <c r="J777" s="85" t="str">
        <f>IF($F777="","",IFERROR(VLOOKUP($F777,Inventory!$A:$K,11,FALSE),0))</f>
        <v/>
      </c>
      <c r="K777" s="85"/>
      <c r="L777" s="85" t="str">
        <f t="shared" si="12"/>
        <v/>
      </c>
      <c r="M777" s="83"/>
      <c r="N777" s="85" t="str">
        <f>IF($F777="","",IFERROR(VLOOKUP($F777,Inventory!$A:$I,9,FALSE),0))</f>
        <v/>
      </c>
      <c r="O777" s="85" t="str">
        <f t="shared" si="13"/>
        <v/>
      </c>
      <c r="P777" s="85" t="str">
        <f t="shared" si="5"/>
        <v/>
      </c>
      <c r="Q777" s="83"/>
      <c r="R777" s="118" t="str">
        <f>IF($E777="","",IF(COUNTIF($E$7:$E1974,$E777)&gt;1,"",IFERROR(VLOOKUP($E777,Orders!$A:$I,8,FALSE),"")))</f>
        <v/>
      </c>
      <c r="S777" s="118" t="str">
        <f>IF($E777="","",IF(COUNTIF($E$7:$E1974,$E777)&gt;1,"",IFERROR(VLOOKUP($E777,Orders!$A:$I,9,FALSE),"")))</f>
        <v/>
      </c>
      <c r="T777" s="88" t="str">
        <f t="shared" si="14"/>
        <v/>
      </c>
      <c r="U777" s="88" t="str">
        <f>IF($F777="","",IF($E777="",T777,SUMIF(Sales!$E$7:$E$1506,$E777,Sales!$T$7:$T$1506)))</f>
        <v/>
      </c>
      <c r="V777" s="49" t="str">
        <f t="shared" si="15"/>
        <v/>
      </c>
      <c r="W777" s="49" t="str">
        <f t="array" ref="W777">IF($V777="","",SUMPRODUCT((Sales!$V$7:$V$1506&lt;&gt;"")*(Sales!$E$7:$E$1506&lt;$E777))+1)</f>
        <v/>
      </c>
      <c r="X777" s="49" t="str">
        <f t="shared" si="16"/>
        <v/>
      </c>
      <c r="Y777" s="49" t="str">
        <f t="shared" si="17"/>
        <v/>
      </c>
    </row>
    <row r="778" ht="15.75" customHeight="1">
      <c r="A778" s="82"/>
      <c r="B778" s="83"/>
      <c r="C778" s="83"/>
      <c r="D778" s="83"/>
      <c r="E778" s="83"/>
      <c r="F778" s="83"/>
      <c r="G778" s="83" t="str">
        <f>IF($F778="","",IFERROR(VLOOKUP($F778,Inventory!$A:$B,2,FALSE),""))</f>
        <v/>
      </c>
      <c r="H778" s="83"/>
      <c r="I778" s="84" t="str">
        <f t="shared" si="2"/>
        <v/>
      </c>
      <c r="J778" s="85" t="str">
        <f>IF($F778="","",IFERROR(VLOOKUP($F778,Inventory!$A:$K,11,FALSE),0))</f>
        <v/>
      </c>
      <c r="K778" s="85"/>
      <c r="L778" s="85" t="str">
        <f t="shared" si="12"/>
        <v/>
      </c>
      <c r="M778" s="83"/>
      <c r="N778" s="85" t="str">
        <f>IF($F778="","",IFERROR(VLOOKUP($F778,Inventory!$A:$I,9,FALSE),0))</f>
        <v/>
      </c>
      <c r="O778" s="85" t="str">
        <f t="shared" si="13"/>
        <v/>
      </c>
      <c r="P778" s="85" t="str">
        <f t="shared" si="5"/>
        <v/>
      </c>
      <c r="Q778" s="83"/>
      <c r="R778" s="118" t="str">
        <f>IF($E778="","",IF(COUNTIF($E$7:$E1975,$E778)&gt;1,"",IFERROR(VLOOKUP($E778,Orders!$A:$I,8,FALSE),"")))</f>
        <v/>
      </c>
      <c r="S778" s="118" t="str">
        <f>IF($E778="","",IF(COUNTIF($E$7:$E1975,$E778)&gt;1,"",IFERROR(VLOOKUP($E778,Orders!$A:$I,9,FALSE),"")))</f>
        <v/>
      </c>
      <c r="T778" s="88" t="str">
        <f t="shared" si="14"/>
        <v/>
      </c>
      <c r="U778" s="88" t="str">
        <f>IF($F778="","",IF($E778="",T778,SUMIF(Sales!$E$7:$E$1506,$E778,Sales!$T$7:$T$1506)))</f>
        <v/>
      </c>
      <c r="V778" s="49" t="str">
        <f t="shared" si="15"/>
        <v/>
      </c>
      <c r="W778" s="49" t="str">
        <f t="array" ref="W778">IF($V778="","",SUMPRODUCT((Sales!$V$7:$V$1506&lt;&gt;"")*(Sales!$E$7:$E$1506&lt;$E778))+1)</f>
        <v/>
      </c>
      <c r="X778" s="49" t="str">
        <f t="shared" si="16"/>
        <v/>
      </c>
      <c r="Y778" s="49" t="str">
        <f t="shared" si="17"/>
        <v/>
      </c>
    </row>
    <row r="779" ht="15.75" customHeight="1">
      <c r="A779" s="82"/>
      <c r="B779" s="83"/>
      <c r="C779" s="83"/>
      <c r="D779" s="83"/>
      <c r="E779" s="83"/>
      <c r="F779" s="83"/>
      <c r="G779" s="83" t="str">
        <f>IF($F779="","",IFERROR(VLOOKUP($F779,Inventory!$A:$B,2,FALSE),""))</f>
        <v/>
      </c>
      <c r="H779" s="83"/>
      <c r="I779" s="84" t="str">
        <f t="shared" si="2"/>
        <v/>
      </c>
      <c r="J779" s="85" t="str">
        <f>IF($F779="","",IFERROR(VLOOKUP($F779,Inventory!$A:$K,11,FALSE),0))</f>
        <v/>
      </c>
      <c r="K779" s="85"/>
      <c r="L779" s="85" t="str">
        <f t="shared" si="12"/>
        <v/>
      </c>
      <c r="M779" s="83"/>
      <c r="N779" s="85" t="str">
        <f>IF($F779="","",IFERROR(VLOOKUP($F779,Inventory!$A:$I,9,FALSE),0))</f>
        <v/>
      </c>
      <c r="O779" s="85" t="str">
        <f t="shared" si="13"/>
        <v/>
      </c>
      <c r="P779" s="85" t="str">
        <f t="shared" si="5"/>
        <v/>
      </c>
      <c r="Q779" s="83"/>
      <c r="R779" s="118" t="str">
        <f>IF($E779="","",IF(COUNTIF($E$7:$E1976,$E779)&gt;1,"",IFERROR(VLOOKUP($E779,Orders!$A:$I,8,FALSE),"")))</f>
        <v/>
      </c>
      <c r="S779" s="118" t="str">
        <f>IF($E779="","",IF(COUNTIF($E$7:$E1976,$E779)&gt;1,"",IFERROR(VLOOKUP($E779,Orders!$A:$I,9,FALSE),"")))</f>
        <v/>
      </c>
      <c r="T779" s="88" t="str">
        <f t="shared" si="14"/>
        <v/>
      </c>
      <c r="U779" s="88" t="str">
        <f>IF($F779="","",IF($E779="",T779,SUMIF(Sales!$E$7:$E$1506,$E779,Sales!$T$7:$T$1506)))</f>
        <v/>
      </c>
      <c r="V779" s="49" t="str">
        <f t="shared" si="15"/>
        <v/>
      </c>
      <c r="W779" s="49" t="str">
        <f t="array" ref="W779">IF($V779="","",SUMPRODUCT((Sales!$V$7:$V$1506&lt;&gt;"")*(Sales!$E$7:$E$1506&lt;$E779))+1)</f>
        <v/>
      </c>
      <c r="X779" s="49" t="str">
        <f t="shared" si="16"/>
        <v/>
      </c>
      <c r="Y779" s="49" t="str">
        <f t="shared" si="17"/>
        <v/>
      </c>
    </row>
    <row r="780" ht="15.75" customHeight="1">
      <c r="A780" s="82"/>
      <c r="B780" s="83"/>
      <c r="C780" s="83"/>
      <c r="D780" s="83"/>
      <c r="E780" s="83"/>
      <c r="F780" s="83"/>
      <c r="G780" s="83" t="str">
        <f>IF($F780="","",IFERROR(VLOOKUP($F780,Inventory!$A:$B,2,FALSE),""))</f>
        <v/>
      </c>
      <c r="H780" s="83"/>
      <c r="I780" s="84" t="str">
        <f t="shared" si="2"/>
        <v/>
      </c>
      <c r="J780" s="85" t="str">
        <f>IF($F780="","",IFERROR(VLOOKUP($F780,Inventory!$A:$K,11,FALSE),0))</f>
        <v/>
      </c>
      <c r="K780" s="85"/>
      <c r="L780" s="85" t="str">
        <f t="shared" si="12"/>
        <v/>
      </c>
      <c r="M780" s="83"/>
      <c r="N780" s="85" t="str">
        <f>IF($F780="","",IFERROR(VLOOKUP($F780,Inventory!$A:$I,9,FALSE),0))</f>
        <v/>
      </c>
      <c r="O780" s="85" t="str">
        <f t="shared" si="13"/>
        <v/>
      </c>
      <c r="P780" s="85" t="str">
        <f t="shared" si="5"/>
        <v/>
      </c>
      <c r="Q780" s="83"/>
      <c r="R780" s="118" t="str">
        <f>IF($E780="","",IF(COUNTIF($E$7:$E1977,$E780)&gt;1,"",IFERROR(VLOOKUP($E780,Orders!$A:$I,8,FALSE),"")))</f>
        <v/>
      </c>
      <c r="S780" s="118" t="str">
        <f>IF($E780="","",IF(COUNTIF($E$7:$E1977,$E780)&gt;1,"",IFERROR(VLOOKUP($E780,Orders!$A:$I,9,FALSE),"")))</f>
        <v/>
      </c>
      <c r="T780" s="88" t="str">
        <f t="shared" si="14"/>
        <v/>
      </c>
      <c r="U780" s="88" t="str">
        <f>IF($F780="","",IF($E780="",T780,SUMIF(Sales!$E$7:$E$1506,$E780,Sales!$T$7:$T$1506)))</f>
        <v/>
      </c>
      <c r="V780" s="49" t="str">
        <f t="shared" si="15"/>
        <v/>
      </c>
      <c r="W780" s="49" t="str">
        <f t="array" ref="W780">IF($V780="","",SUMPRODUCT((Sales!$V$7:$V$1506&lt;&gt;"")*(Sales!$E$7:$E$1506&lt;$E780))+1)</f>
        <v/>
      </c>
      <c r="X780" s="49" t="str">
        <f t="shared" si="16"/>
        <v/>
      </c>
      <c r="Y780" s="49" t="str">
        <f t="shared" si="17"/>
        <v/>
      </c>
    </row>
    <row r="781" ht="15.75" customHeight="1">
      <c r="A781" s="82"/>
      <c r="B781" s="83"/>
      <c r="C781" s="83"/>
      <c r="D781" s="83"/>
      <c r="E781" s="83"/>
      <c r="F781" s="83"/>
      <c r="G781" s="83" t="str">
        <f>IF($F781="","",IFERROR(VLOOKUP($F781,Inventory!$A:$B,2,FALSE),""))</f>
        <v/>
      </c>
      <c r="H781" s="83"/>
      <c r="I781" s="84" t="str">
        <f t="shared" si="2"/>
        <v/>
      </c>
      <c r="J781" s="85" t="str">
        <f>IF($F781="","",IFERROR(VLOOKUP($F781,Inventory!$A:$K,11,FALSE),0))</f>
        <v/>
      </c>
      <c r="K781" s="85"/>
      <c r="L781" s="85" t="str">
        <f t="shared" si="12"/>
        <v/>
      </c>
      <c r="M781" s="83"/>
      <c r="N781" s="85" t="str">
        <f>IF($F781="","",IFERROR(VLOOKUP($F781,Inventory!$A:$I,9,FALSE),0))</f>
        <v/>
      </c>
      <c r="O781" s="85" t="str">
        <f t="shared" si="13"/>
        <v/>
      </c>
      <c r="P781" s="85" t="str">
        <f t="shared" si="5"/>
        <v/>
      </c>
      <c r="Q781" s="83"/>
      <c r="R781" s="118" t="str">
        <f>IF($E781="","",IF(COUNTIF($E$7:$E1978,$E781)&gt;1,"",IFERROR(VLOOKUP($E781,Orders!$A:$I,8,FALSE),"")))</f>
        <v/>
      </c>
      <c r="S781" s="118" t="str">
        <f>IF($E781="","",IF(COUNTIF($E$7:$E1978,$E781)&gt;1,"",IFERROR(VLOOKUP($E781,Orders!$A:$I,9,FALSE),"")))</f>
        <v/>
      </c>
      <c r="T781" s="88" t="str">
        <f t="shared" si="14"/>
        <v/>
      </c>
      <c r="U781" s="88" t="str">
        <f>IF($F781="","",IF($E781="",T781,SUMIF(Sales!$E$7:$E$1506,$E781,Sales!$T$7:$T$1506)))</f>
        <v/>
      </c>
      <c r="V781" s="49" t="str">
        <f t="shared" si="15"/>
        <v/>
      </c>
      <c r="W781" s="49" t="str">
        <f t="array" ref="W781">IF($V781="","",SUMPRODUCT((Sales!$V$7:$V$1506&lt;&gt;"")*(Sales!$E$7:$E$1506&lt;$E781))+1)</f>
        <v/>
      </c>
      <c r="X781" s="49" t="str">
        <f t="shared" si="16"/>
        <v/>
      </c>
      <c r="Y781" s="49" t="str">
        <f t="shared" si="17"/>
        <v/>
      </c>
    </row>
    <row r="782" ht="15.75" customHeight="1">
      <c r="A782" s="82"/>
      <c r="B782" s="83"/>
      <c r="C782" s="83"/>
      <c r="D782" s="83"/>
      <c r="E782" s="83"/>
      <c r="F782" s="83"/>
      <c r="G782" s="83" t="str">
        <f>IF($F782="","",IFERROR(VLOOKUP($F782,Inventory!$A:$B,2,FALSE),""))</f>
        <v/>
      </c>
      <c r="H782" s="83"/>
      <c r="I782" s="84" t="str">
        <f t="shared" si="2"/>
        <v/>
      </c>
      <c r="J782" s="85" t="str">
        <f>IF($F782="","",IFERROR(VLOOKUP($F782,Inventory!$A:$K,11,FALSE),0))</f>
        <v/>
      </c>
      <c r="K782" s="85"/>
      <c r="L782" s="85" t="str">
        <f t="shared" si="12"/>
        <v/>
      </c>
      <c r="M782" s="83"/>
      <c r="N782" s="85" t="str">
        <f>IF($F782="","",IFERROR(VLOOKUP($F782,Inventory!$A:$I,9,FALSE),0))</f>
        <v/>
      </c>
      <c r="O782" s="85" t="str">
        <f t="shared" si="13"/>
        <v/>
      </c>
      <c r="P782" s="85" t="str">
        <f t="shared" si="5"/>
        <v/>
      </c>
      <c r="Q782" s="83"/>
      <c r="R782" s="118" t="str">
        <f>IF($E782="","",IF(COUNTIF($E$7:$E1979,$E782)&gt;1,"",IFERROR(VLOOKUP($E782,Orders!$A:$I,8,FALSE),"")))</f>
        <v/>
      </c>
      <c r="S782" s="118" t="str">
        <f>IF($E782="","",IF(COUNTIF($E$7:$E1979,$E782)&gt;1,"",IFERROR(VLOOKUP($E782,Orders!$A:$I,9,FALSE),"")))</f>
        <v/>
      </c>
      <c r="T782" s="88" t="str">
        <f t="shared" si="14"/>
        <v/>
      </c>
      <c r="U782" s="88" t="str">
        <f>IF($F782="","",IF($E782="",T782,SUMIF(Sales!$E$7:$E$1506,$E782,Sales!$T$7:$T$1506)))</f>
        <v/>
      </c>
      <c r="V782" s="49" t="str">
        <f t="shared" si="15"/>
        <v/>
      </c>
      <c r="W782" s="49" t="str">
        <f t="array" ref="W782">IF($V782="","",SUMPRODUCT((Sales!$V$7:$V$1506&lt;&gt;"")*(Sales!$E$7:$E$1506&lt;$E782))+1)</f>
        <v/>
      </c>
      <c r="X782" s="49" t="str">
        <f t="shared" si="16"/>
        <v/>
      </c>
      <c r="Y782" s="49" t="str">
        <f t="shared" si="17"/>
        <v/>
      </c>
    </row>
    <row r="783" ht="15.75" customHeight="1">
      <c r="A783" s="82"/>
      <c r="B783" s="83"/>
      <c r="C783" s="83"/>
      <c r="D783" s="83"/>
      <c r="E783" s="83"/>
      <c r="F783" s="83"/>
      <c r="G783" s="83" t="str">
        <f>IF($F783="","",IFERROR(VLOOKUP($F783,Inventory!$A:$B,2,FALSE),""))</f>
        <v/>
      </c>
      <c r="H783" s="83"/>
      <c r="I783" s="84" t="str">
        <f t="shared" si="2"/>
        <v/>
      </c>
      <c r="J783" s="85" t="str">
        <f>IF($F783="","",IFERROR(VLOOKUP($F783,Inventory!$A:$K,11,FALSE),0))</f>
        <v/>
      </c>
      <c r="K783" s="85"/>
      <c r="L783" s="85" t="str">
        <f t="shared" si="12"/>
        <v/>
      </c>
      <c r="M783" s="83"/>
      <c r="N783" s="85" t="str">
        <f>IF($F783="","",IFERROR(VLOOKUP($F783,Inventory!$A:$I,9,FALSE),0))</f>
        <v/>
      </c>
      <c r="O783" s="85" t="str">
        <f t="shared" si="13"/>
        <v/>
      </c>
      <c r="P783" s="85" t="str">
        <f t="shared" si="5"/>
        <v/>
      </c>
      <c r="Q783" s="83"/>
      <c r="R783" s="118" t="str">
        <f>IF($E783="","",IF(COUNTIF($E$7:$E1980,$E783)&gt;1,"",IFERROR(VLOOKUP($E783,Orders!$A:$I,8,FALSE),"")))</f>
        <v/>
      </c>
      <c r="S783" s="118" t="str">
        <f>IF($E783="","",IF(COUNTIF($E$7:$E1980,$E783)&gt;1,"",IFERROR(VLOOKUP($E783,Orders!$A:$I,9,FALSE),"")))</f>
        <v/>
      </c>
      <c r="T783" s="88" t="str">
        <f t="shared" si="14"/>
        <v/>
      </c>
      <c r="U783" s="88" t="str">
        <f>IF($F783="","",IF($E783="",T783,SUMIF(Sales!$E$7:$E$1506,$E783,Sales!$T$7:$T$1506)))</f>
        <v/>
      </c>
      <c r="V783" s="49" t="str">
        <f t="shared" si="15"/>
        <v/>
      </c>
      <c r="W783" s="49" t="str">
        <f t="array" ref="W783">IF($V783="","",SUMPRODUCT((Sales!$V$7:$V$1506&lt;&gt;"")*(Sales!$E$7:$E$1506&lt;$E783))+1)</f>
        <v/>
      </c>
      <c r="X783" s="49" t="str">
        <f t="shared" si="16"/>
        <v/>
      </c>
      <c r="Y783" s="49" t="str">
        <f t="shared" si="17"/>
        <v/>
      </c>
    </row>
    <row r="784" ht="15.75" customHeight="1">
      <c r="A784" s="82"/>
      <c r="B784" s="83"/>
      <c r="C784" s="83"/>
      <c r="D784" s="83"/>
      <c r="E784" s="83"/>
      <c r="F784" s="83"/>
      <c r="G784" s="83" t="str">
        <f>IF($F784="","",IFERROR(VLOOKUP($F784,Inventory!$A:$B,2,FALSE),""))</f>
        <v/>
      </c>
      <c r="H784" s="83"/>
      <c r="I784" s="84" t="str">
        <f t="shared" si="2"/>
        <v/>
      </c>
      <c r="J784" s="85" t="str">
        <f>IF($F784="","",IFERROR(VLOOKUP($F784,Inventory!$A:$K,11,FALSE),0))</f>
        <v/>
      </c>
      <c r="K784" s="85"/>
      <c r="L784" s="85" t="str">
        <f t="shared" si="12"/>
        <v/>
      </c>
      <c r="M784" s="83"/>
      <c r="N784" s="85" t="str">
        <f>IF($F784="","",IFERROR(VLOOKUP($F784,Inventory!$A:$I,9,FALSE),0))</f>
        <v/>
      </c>
      <c r="O784" s="85" t="str">
        <f t="shared" si="13"/>
        <v/>
      </c>
      <c r="P784" s="85" t="str">
        <f t="shared" si="5"/>
        <v/>
      </c>
      <c r="Q784" s="83"/>
      <c r="R784" s="118" t="str">
        <f>IF($E784="","",IF(COUNTIF($E$7:$E1981,$E784)&gt;1,"",IFERROR(VLOOKUP($E784,Orders!$A:$I,8,FALSE),"")))</f>
        <v/>
      </c>
      <c r="S784" s="118" t="str">
        <f>IF($E784="","",IF(COUNTIF($E$7:$E1981,$E784)&gt;1,"",IFERROR(VLOOKUP($E784,Orders!$A:$I,9,FALSE),"")))</f>
        <v/>
      </c>
      <c r="T784" s="88" t="str">
        <f t="shared" si="14"/>
        <v/>
      </c>
      <c r="U784" s="88" t="str">
        <f>IF($F784="","",IF($E784="",T784,SUMIF(Sales!$E$7:$E$1506,$E784,Sales!$T$7:$T$1506)))</f>
        <v/>
      </c>
      <c r="V784" s="49" t="str">
        <f t="shared" si="15"/>
        <v/>
      </c>
      <c r="W784" s="49" t="str">
        <f t="array" ref="W784">IF($V784="","",SUMPRODUCT((Sales!$V$7:$V$1506&lt;&gt;"")*(Sales!$E$7:$E$1506&lt;$E784))+1)</f>
        <v/>
      </c>
      <c r="X784" s="49" t="str">
        <f t="shared" si="16"/>
        <v/>
      </c>
      <c r="Y784" s="49" t="str">
        <f t="shared" si="17"/>
        <v/>
      </c>
    </row>
    <row r="785" ht="15.75" customHeight="1">
      <c r="A785" s="82"/>
      <c r="B785" s="83"/>
      <c r="C785" s="83"/>
      <c r="D785" s="83"/>
      <c r="E785" s="83"/>
      <c r="F785" s="83"/>
      <c r="G785" s="83" t="str">
        <f>IF($F785="","",IFERROR(VLOOKUP($F785,Inventory!$A:$B,2,FALSE),""))</f>
        <v/>
      </c>
      <c r="H785" s="83"/>
      <c r="I785" s="84" t="str">
        <f t="shared" si="2"/>
        <v/>
      </c>
      <c r="J785" s="85" t="str">
        <f>IF($F785="","",IFERROR(VLOOKUP($F785,Inventory!$A:$K,11,FALSE),0))</f>
        <v/>
      </c>
      <c r="K785" s="85"/>
      <c r="L785" s="85" t="str">
        <f t="shared" si="12"/>
        <v/>
      </c>
      <c r="M785" s="83"/>
      <c r="N785" s="85" t="str">
        <f>IF($F785="","",IFERROR(VLOOKUP($F785,Inventory!$A:$I,9,FALSE),0))</f>
        <v/>
      </c>
      <c r="O785" s="85" t="str">
        <f t="shared" si="13"/>
        <v/>
      </c>
      <c r="P785" s="85" t="str">
        <f t="shared" si="5"/>
        <v/>
      </c>
      <c r="Q785" s="83"/>
      <c r="R785" s="118" t="str">
        <f>IF($E785="","",IF(COUNTIF($E$7:$E1982,$E785)&gt;1,"",IFERROR(VLOOKUP($E785,Orders!$A:$I,8,FALSE),"")))</f>
        <v/>
      </c>
      <c r="S785" s="118" t="str">
        <f>IF($E785="","",IF(COUNTIF($E$7:$E1982,$E785)&gt;1,"",IFERROR(VLOOKUP($E785,Orders!$A:$I,9,FALSE),"")))</f>
        <v/>
      </c>
      <c r="T785" s="88" t="str">
        <f t="shared" si="14"/>
        <v/>
      </c>
      <c r="U785" s="88" t="str">
        <f>IF($F785="","",IF($E785="",T785,SUMIF(Sales!$E$7:$E$1506,$E785,Sales!$T$7:$T$1506)))</f>
        <v/>
      </c>
      <c r="V785" s="49" t="str">
        <f t="shared" si="15"/>
        <v/>
      </c>
      <c r="W785" s="49" t="str">
        <f t="array" ref="W785">IF($V785="","",SUMPRODUCT((Sales!$V$7:$V$1506&lt;&gt;"")*(Sales!$E$7:$E$1506&lt;$E785))+1)</f>
        <v/>
      </c>
      <c r="X785" s="49" t="str">
        <f t="shared" si="16"/>
        <v/>
      </c>
      <c r="Y785" s="49" t="str">
        <f t="shared" si="17"/>
        <v/>
      </c>
    </row>
    <row r="786" ht="15.75" customHeight="1">
      <c r="A786" s="82"/>
      <c r="B786" s="83"/>
      <c r="C786" s="83"/>
      <c r="D786" s="83"/>
      <c r="E786" s="83"/>
      <c r="F786" s="83"/>
      <c r="G786" s="83" t="str">
        <f>IF($F786="","",IFERROR(VLOOKUP($F786,Inventory!$A:$B,2,FALSE),""))</f>
        <v/>
      </c>
      <c r="H786" s="83"/>
      <c r="I786" s="84" t="str">
        <f t="shared" si="2"/>
        <v/>
      </c>
      <c r="J786" s="85" t="str">
        <f>IF($F786="","",IFERROR(VLOOKUP($F786,Inventory!$A:$K,11,FALSE),0))</f>
        <v/>
      </c>
      <c r="K786" s="85"/>
      <c r="L786" s="85" t="str">
        <f t="shared" si="12"/>
        <v/>
      </c>
      <c r="M786" s="83"/>
      <c r="N786" s="85" t="str">
        <f>IF($F786="","",IFERROR(VLOOKUP($F786,Inventory!$A:$I,9,FALSE),0))</f>
        <v/>
      </c>
      <c r="O786" s="85" t="str">
        <f t="shared" si="13"/>
        <v/>
      </c>
      <c r="P786" s="85" t="str">
        <f t="shared" si="5"/>
        <v/>
      </c>
      <c r="Q786" s="83"/>
      <c r="R786" s="118" t="str">
        <f>IF($E786="","",IF(COUNTIF($E$7:$E1983,$E786)&gt;1,"",IFERROR(VLOOKUP($E786,Orders!$A:$I,8,FALSE),"")))</f>
        <v/>
      </c>
      <c r="S786" s="118" t="str">
        <f>IF($E786="","",IF(COUNTIF($E$7:$E1983,$E786)&gt;1,"",IFERROR(VLOOKUP($E786,Orders!$A:$I,9,FALSE),"")))</f>
        <v/>
      </c>
      <c r="T786" s="88" t="str">
        <f t="shared" si="14"/>
        <v/>
      </c>
      <c r="U786" s="88" t="str">
        <f>IF($F786="","",IF($E786="",T786,SUMIF(Sales!$E$7:$E$1506,$E786,Sales!$T$7:$T$1506)))</f>
        <v/>
      </c>
      <c r="V786" s="49" t="str">
        <f t="shared" si="15"/>
        <v/>
      </c>
      <c r="W786" s="49" t="str">
        <f t="array" ref="W786">IF($V786="","",SUMPRODUCT((Sales!$V$7:$V$1506&lt;&gt;"")*(Sales!$E$7:$E$1506&lt;$E786))+1)</f>
        <v/>
      </c>
      <c r="X786" s="49" t="str">
        <f t="shared" si="16"/>
        <v/>
      </c>
      <c r="Y786" s="49" t="str">
        <f t="shared" si="17"/>
        <v/>
      </c>
    </row>
    <row r="787" ht="15.75" customHeight="1">
      <c r="A787" s="82"/>
      <c r="B787" s="83"/>
      <c r="C787" s="83"/>
      <c r="D787" s="83"/>
      <c r="E787" s="83"/>
      <c r="F787" s="83"/>
      <c r="G787" s="83" t="str">
        <f>IF($F787="","",IFERROR(VLOOKUP($F787,Inventory!$A:$B,2,FALSE),""))</f>
        <v/>
      </c>
      <c r="H787" s="83"/>
      <c r="I787" s="84" t="str">
        <f t="shared" si="2"/>
        <v/>
      </c>
      <c r="J787" s="85" t="str">
        <f>IF($F787="","",IFERROR(VLOOKUP($F787,Inventory!$A:$K,11,FALSE),0))</f>
        <v/>
      </c>
      <c r="K787" s="85"/>
      <c r="L787" s="85" t="str">
        <f t="shared" si="12"/>
        <v/>
      </c>
      <c r="M787" s="83"/>
      <c r="N787" s="85" t="str">
        <f>IF($F787="","",IFERROR(VLOOKUP($F787,Inventory!$A:$I,9,FALSE),0))</f>
        <v/>
      </c>
      <c r="O787" s="85" t="str">
        <f t="shared" si="13"/>
        <v/>
      </c>
      <c r="P787" s="85" t="str">
        <f t="shared" si="5"/>
        <v/>
      </c>
      <c r="Q787" s="83"/>
      <c r="R787" s="118" t="str">
        <f>IF($E787="","",IF(COUNTIF($E$7:$E1984,$E787)&gt;1,"",IFERROR(VLOOKUP($E787,Orders!$A:$I,8,FALSE),"")))</f>
        <v/>
      </c>
      <c r="S787" s="118" t="str">
        <f>IF($E787="","",IF(COUNTIF($E$7:$E1984,$E787)&gt;1,"",IFERROR(VLOOKUP($E787,Orders!$A:$I,9,FALSE),"")))</f>
        <v/>
      </c>
      <c r="T787" s="88" t="str">
        <f t="shared" si="14"/>
        <v/>
      </c>
      <c r="U787" s="88" t="str">
        <f>IF($F787="","",IF($E787="",T787,SUMIF(Sales!$E$7:$E$1506,$E787,Sales!$T$7:$T$1506)))</f>
        <v/>
      </c>
      <c r="V787" s="49" t="str">
        <f t="shared" si="15"/>
        <v/>
      </c>
      <c r="W787" s="49" t="str">
        <f t="array" ref="W787">IF($V787="","",SUMPRODUCT((Sales!$V$7:$V$1506&lt;&gt;"")*(Sales!$E$7:$E$1506&lt;$E787))+1)</f>
        <v/>
      </c>
      <c r="X787" s="49" t="str">
        <f t="shared" si="16"/>
        <v/>
      </c>
      <c r="Y787" s="49" t="str">
        <f t="shared" si="17"/>
        <v/>
      </c>
    </row>
    <row r="788" ht="15.75" customHeight="1">
      <c r="A788" s="82"/>
      <c r="B788" s="83"/>
      <c r="C788" s="83"/>
      <c r="D788" s="83"/>
      <c r="E788" s="83"/>
      <c r="F788" s="83"/>
      <c r="G788" s="83" t="str">
        <f>IF($F788="","",IFERROR(VLOOKUP($F788,Inventory!$A:$B,2,FALSE),""))</f>
        <v/>
      </c>
      <c r="H788" s="83"/>
      <c r="I788" s="84" t="str">
        <f t="shared" si="2"/>
        <v/>
      </c>
      <c r="J788" s="85" t="str">
        <f>IF($F788="","",IFERROR(VLOOKUP($F788,Inventory!$A:$K,11,FALSE),0))</f>
        <v/>
      </c>
      <c r="K788" s="85"/>
      <c r="L788" s="85" t="str">
        <f t="shared" si="12"/>
        <v/>
      </c>
      <c r="M788" s="83"/>
      <c r="N788" s="85" t="str">
        <f>IF($F788="","",IFERROR(VLOOKUP($F788,Inventory!$A:$I,9,FALSE),0))</f>
        <v/>
      </c>
      <c r="O788" s="85" t="str">
        <f t="shared" si="13"/>
        <v/>
      </c>
      <c r="P788" s="85" t="str">
        <f t="shared" si="5"/>
        <v/>
      </c>
      <c r="Q788" s="83"/>
      <c r="R788" s="118" t="str">
        <f>IF($E788="","",IF(COUNTIF($E$7:$E1985,$E788)&gt;1,"",IFERROR(VLOOKUP($E788,Orders!$A:$I,8,FALSE),"")))</f>
        <v/>
      </c>
      <c r="S788" s="118" t="str">
        <f>IF($E788="","",IF(COUNTIF($E$7:$E1985,$E788)&gt;1,"",IFERROR(VLOOKUP($E788,Orders!$A:$I,9,FALSE),"")))</f>
        <v/>
      </c>
      <c r="T788" s="88" t="str">
        <f t="shared" si="14"/>
        <v/>
      </c>
      <c r="U788" s="88" t="str">
        <f>IF($F788="","",IF($E788="",T788,SUMIF(Sales!$E$7:$E$1506,$E788,Sales!$T$7:$T$1506)))</f>
        <v/>
      </c>
      <c r="V788" s="49" t="str">
        <f t="shared" si="15"/>
        <v/>
      </c>
      <c r="W788" s="49" t="str">
        <f t="array" ref="W788">IF($V788="","",SUMPRODUCT((Sales!$V$7:$V$1506&lt;&gt;"")*(Sales!$E$7:$E$1506&lt;$E788))+1)</f>
        <v/>
      </c>
      <c r="X788" s="49" t="str">
        <f t="shared" si="16"/>
        <v/>
      </c>
      <c r="Y788" s="49" t="str">
        <f t="shared" si="17"/>
        <v/>
      </c>
    </row>
    <row r="789" ht="15.75" customHeight="1">
      <c r="A789" s="82"/>
      <c r="B789" s="83"/>
      <c r="C789" s="83"/>
      <c r="D789" s="83"/>
      <c r="E789" s="83"/>
      <c r="F789" s="83"/>
      <c r="G789" s="83" t="str">
        <f>IF($F789="","",IFERROR(VLOOKUP($F789,Inventory!$A:$B,2,FALSE),""))</f>
        <v/>
      </c>
      <c r="H789" s="83"/>
      <c r="I789" s="84" t="str">
        <f t="shared" si="2"/>
        <v/>
      </c>
      <c r="J789" s="85" t="str">
        <f>IF($F789="","",IFERROR(VLOOKUP($F789,Inventory!$A:$K,11,FALSE),0))</f>
        <v/>
      </c>
      <c r="K789" s="85"/>
      <c r="L789" s="85" t="str">
        <f t="shared" si="12"/>
        <v/>
      </c>
      <c r="M789" s="83"/>
      <c r="N789" s="85" t="str">
        <f>IF($F789="","",IFERROR(VLOOKUP($F789,Inventory!$A:$I,9,FALSE),0))</f>
        <v/>
      </c>
      <c r="O789" s="85" t="str">
        <f t="shared" si="13"/>
        <v/>
      </c>
      <c r="P789" s="85" t="str">
        <f t="shared" si="5"/>
        <v/>
      </c>
      <c r="Q789" s="83"/>
      <c r="R789" s="118" t="str">
        <f>IF($E789="","",IF(COUNTIF($E$7:$E1986,$E789)&gt;1,"",IFERROR(VLOOKUP($E789,Orders!$A:$I,8,FALSE),"")))</f>
        <v/>
      </c>
      <c r="S789" s="118" t="str">
        <f>IF($E789="","",IF(COUNTIF($E$7:$E1986,$E789)&gt;1,"",IFERROR(VLOOKUP($E789,Orders!$A:$I,9,FALSE),"")))</f>
        <v/>
      </c>
      <c r="T789" s="88" t="str">
        <f t="shared" si="14"/>
        <v/>
      </c>
      <c r="U789" s="88" t="str">
        <f>IF($F789="","",IF($E789="",T789,SUMIF(Sales!$E$7:$E$1506,$E789,Sales!$T$7:$T$1506)))</f>
        <v/>
      </c>
      <c r="V789" s="49" t="str">
        <f t="shared" si="15"/>
        <v/>
      </c>
      <c r="W789" s="49" t="str">
        <f t="array" ref="W789">IF($V789="","",SUMPRODUCT((Sales!$V$7:$V$1506&lt;&gt;"")*(Sales!$E$7:$E$1506&lt;$E789))+1)</f>
        <v/>
      </c>
      <c r="X789" s="49" t="str">
        <f t="shared" si="16"/>
        <v/>
      </c>
      <c r="Y789" s="49" t="str">
        <f t="shared" si="17"/>
        <v/>
      </c>
    </row>
    <row r="790" ht="15.75" customHeight="1">
      <c r="A790" s="82"/>
      <c r="B790" s="83"/>
      <c r="C790" s="83"/>
      <c r="D790" s="83"/>
      <c r="E790" s="83"/>
      <c r="F790" s="83"/>
      <c r="G790" s="83" t="str">
        <f>IF($F790="","",IFERROR(VLOOKUP($F790,Inventory!$A:$B,2,FALSE),""))</f>
        <v/>
      </c>
      <c r="H790" s="83"/>
      <c r="I790" s="84" t="str">
        <f t="shared" si="2"/>
        <v/>
      </c>
      <c r="J790" s="85" t="str">
        <f>IF($F790="","",IFERROR(VLOOKUP($F790,Inventory!$A:$K,11,FALSE),0))</f>
        <v/>
      </c>
      <c r="K790" s="85"/>
      <c r="L790" s="85" t="str">
        <f t="shared" si="12"/>
        <v/>
      </c>
      <c r="M790" s="83"/>
      <c r="N790" s="85" t="str">
        <f>IF($F790="","",IFERROR(VLOOKUP($F790,Inventory!$A:$I,9,FALSE),0))</f>
        <v/>
      </c>
      <c r="O790" s="85" t="str">
        <f t="shared" si="13"/>
        <v/>
      </c>
      <c r="P790" s="85" t="str">
        <f t="shared" si="5"/>
        <v/>
      </c>
      <c r="Q790" s="83"/>
      <c r="R790" s="118" t="str">
        <f>IF($E790="","",IF(COUNTIF($E$7:$E1987,$E790)&gt;1,"",IFERROR(VLOOKUP($E790,Orders!$A:$I,8,FALSE),"")))</f>
        <v/>
      </c>
      <c r="S790" s="118" t="str">
        <f>IF($E790="","",IF(COUNTIF($E$7:$E1987,$E790)&gt;1,"",IFERROR(VLOOKUP($E790,Orders!$A:$I,9,FALSE),"")))</f>
        <v/>
      </c>
      <c r="T790" s="88" t="str">
        <f t="shared" si="14"/>
        <v/>
      </c>
      <c r="U790" s="88" t="str">
        <f>IF($F790="","",IF($E790="",T790,SUMIF(Sales!$E$7:$E$1506,$E790,Sales!$T$7:$T$1506)))</f>
        <v/>
      </c>
      <c r="V790" s="49" t="str">
        <f t="shared" si="15"/>
        <v/>
      </c>
      <c r="W790" s="49" t="str">
        <f t="array" ref="W790">IF($V790="","",SUMPRODUCT((Sales!$V$7:$V$1506&lt;&gt;"")*(Sales!$E$7:$E$1506&lt;$E790))+1)</f>
        <v/>
      </c>
      <c r="X790" s="49" t="str">
        <f t="shared" si="16"/>
        <v/>
      </c>
      <c r="Y790" s="49" t="str">
        <f t="shared" si="17"/>
        <v/>
      </c>
    </row>
    <row r="791" ht="15.75" customHeight="1">
      <c r="A791" s="82"/>
      <c r="B791" s="83"/>
      <c r="C791" s="83"/>
      <c r="D791" s="83"/>
      <c r="E791" s="83"/>
      <c r="F791" s="83"/>
      <c r="G791" s="83" t="str">
        <f>IF($F791="","",IFERROR(VLOOKUP($F791,Inventory!$A:$B,2,FALSE),""))</f>
        <v/>
      </c>
      <c r="H791" s="83"/>
      <c r="I791" s="84" t="str">
        <f t="shared" si="2"/>
        <v/>
      </c>
      <c r="J791" s="85" t="str">
        <f>IF($F791="","",IFERROR(VLOOKUP($F791,Inventory!$A:$K,11,FALSE),0))</f>
        <v/>
      </c>
      <c r="K791" s="85"/>
      <c r="L791" s="85" t="str">
        <f t="shared" si="12"/>
        <v/>
      </c>
      <c r="M791" s="83"/>
      <c r="N791" s="85" t="str">
        <f>IF($F791="","",IFERROR(VLOOKUP($F791,Inventory!$A:$I,9,FALSE),0))</f>
        <v/>
      </c>
      <c r="O791" s="85" t="str">
        <f t="shared" si="13"/>
        <v/>
      </c>
      <c r="P791" s="85" t="str">
        <f t="shared" si="5"/>
        <v/>
      </c>
      <c r="Q791" s="83"/>
      <c r="R791" s="118" t="str">
        <f>IF($E791="","",IF(COUNTIF($E$7:$E1988,$E791)&gt;1,"",IFERROR(VLOOKUP($E791,Orders!$A:$I,8,FALSE),"")))</f>
        <v/>
      </c>
      <c r="S791" s="118" t="str">
        <f>IF($E791="","",IF(COUNTIF($E$7:$E1988,$E791)&gt;1,"",IFERROR(VLOOKUP($E791,Orders!$A:$I,9,FALSE),"")))</f>
        <v/>
      </c>
      <c r="T791" s="88" t="str">
        <f t="shared" si="14"/>
        <v/>
      </c>
      <c r="U791" s="88" t="str">
        <f>IF($F791="","",IF($E791="",T791,SUMIF(Sales!$E$7:$E$1506,$E791,Sales!$T$7:$T$1506)))</f>
        <v/>
      </c>
      <c r="V791" s="49" t="str">
        <f t="shared" si="15"/>
        <v/>
      </c>
      <c r="W791" s="49" t="str">
        <f t="array" ref="W791">IF($V791="","",SUMPRODUCT((Sales!$V$7:$V$1506&lt;&gt;"")*(Sales!$E$7:$E$1506&lt;$E791))+1)</f>
        <v/>
      </c>
      <c r="X791" s="49" t="str">
        <f t="shared" si="16"/>
        <v/>
      </c>
      <c r="Y791" s="49" t="str">
        <f t="shared" si="17"/>
        <v/>
      </c>
    </row>
    <row r="792" ht="15.75" customHeight="1">
      <c r="A792" s="82"/>
      <c r="B792" s="83"/>
      <c r="C792" s="83"/>
      <c r="D792" s="83"/>
      <c r="E792" s="83"/>
      <c r="F792" s="83"/>
      <c r="G792" s="83" t="str">
        <f>IF($F792="","",IFERROR(VLOOKUP($F792,Inventory!$A:$B,2,FALSE),""))</f>
        <v/>
      </c>
      <c r="H792" s="83"/>
      <c r="I792" s="84" t="str">
        <f t="shared" si="2"/>
        <v/>
      </c>
      <c r="J792" s="85" t="str">
        <f>IF($F792="","",IFERROR(VLOOKUP($F792,Inventory!$A:$K,11,FALSE),0))</f>
        <v/>
      </c>
      <c r="K792" s="85"/>
      <c r="L792" s="85" t="str">
        <f t="shared" si="12"/>
        <v/>
      </c>
      <c r="M792" s="83"/>
      <c r="N792" s="85" t="str">
        <f>IF($F792="","",IFERROR(VLOOKUP($F792,Inventory!$A:$I,9,FALSE),0))</f>
        <v/>
      </c>
      <c r="O792" s="85" t="str">
        <f t="shared" si="13"/>
        <v/>
      </c>
      <c r="P792" s="85" t="str">
        <f t="shared" si="5"/>
        <v/>
      </c>
      <c r="Q792" s="83"/>
      <c r="R792" s="118" t="str">
        <f>IF($E792="","",IF(COUNTIF($E$7:$E1989,$E792)&gt;1,"",IFERROR(VLOOKUP($E792,Orders!$A:$I,8,FALSE),"")))</f>
        <v/>
      </c>
      <c r="S792" s="118" t="str">
        <f>IF($E792="","",IF(COUNTIF($E$7:$E1989,$E792)&gt;1,"",IFERROR(VLOOKUP($E792,Orders!$A:$I,9,FALSE),"")))</f>
        <v/>
      </c>
      <c r="T792" s="88" t="str">
        <f t="shared" si="14"/>
        <v/>
      </c>
      <c r="U792" s="88" t="str">
        <f>IF($F792="","",IF($E792="",T792,SUMIF(Sales!$E$7:$E$1506,$E792,Sales!$T$7:$T$1506)))</f>
        <v/>
      </c>
      <c r="V792" s="49" t="str">
        <f t="shared" si="15"/>
        <v/>
      </c>
      <c r="W792" s="49" t="str">
        <f t="array" ref="W792">IF($V792="","",SUMPRODUCT((Sales!$V$7:$V$1506&lt;&gt;"")*(Sales!$E$7:$E$1506&lt;$E792))+1)</f>
        <v/>
      </c>
      <c r="X792" s="49" t="str">
        <f t="shared" si="16"/>
        <v/>
      </c>
      <c r="Y792" s="49" t="str">
        <f t="shared" si="17"/>
        <v/>
      </c>
    </row>
    <row r="793" ht="15.75" customHeight="1">
      <c r="A793" s="82"/>
      <c r="B793" s="83"/>
      <c r="C793" s="83"/>
      <c r="D793" s="83"/>
      <c r="E793" s="83"/>
      <c r="F793" s="83"/>
      <c r="G793" s="83" t="str">
        <f>IF($F793="","",IFERROR(VLOOKUP($F793,Inventory!$A:$B,2,FALSE),""))</f>
        <v/>
      </c>
      <c r="H793" s="83"/>
      <c r="I793" s="84" t="str">
        <f t="shared" si="2"/>
        <v/>
      </c>
      <c r="J793" s="85" t="str">
        <f>IF($F793="","",IFERROR(VLOOKUP($F793,Inventory!$A:$K,11,FALSE),0))</f>
        <v/>
      </c>
      <c r="K793" s="85"/>
      <c r="L793" s="85" t="str">
        <f t="shared" si="12"/>
        <v/>
      </c>
      <c r="M793" s="83"/>
      <c r="N793" s="85" t="str">
        <f>IF($F793="","",IFERROR(VLOOKUP($F793,Inventory!$A:$I,9,FALSE),0))</f>
        <v/>
      </c>
      <c r="O793" s="85" t="str">
        <f t="shared" si="13"/>
        <v/>
      </c>
      <c r="P793" s="85" t="str">
        <f t="shared" si="5"/>
        <v/>
      </c>
      <c r="Q793" s="83"/>
      <c r="R793" s="118" t="str">
        <f>IF($E793="","",IF(COUNTIF($E$7:$E1990,$E793)&gt;1,"",IFERROR(VLOOKUP($E793,Orders!$A:$I,8,FALSE),"")))</f>
        <v/>
      </c>
      <c r="S793" s="118" t="str">
        <f>IF($E793="","",IF(COUNTIF($E$7:$E1990,$E793)&gt;1,"",IFERROR(VLOOKUP($E793,Orders!$A:$I,9,FALSE),"")))</f>
        <v/>
      </c>
      <c r="T793" s="88" t="str">
        <f t="shared" si="14"/>
        <v/>
      </c>
      <c r="U793" s="88" t="str">
        <f>IF($F793="","",IF($E793="",T793,SUMIF(Sales!$E$7:$E$1506,$E793,Sales!$T$7:$T$1506)))</f>
        <v/>
      </c>
      <c r="V793" s="49" t="str">
        <f t="shared" si="15"/>
        <v/>
      </c>
      <c r="W793" s="49" t="str">
        <f t="array" ref="W793">IF($V793="","",SUMPRODUCT((Sales!$V$7:$V$1506&lt;&gt;"")*(Sales!$E$7:$E$1506&lt;$E793))+1)</f>
        <v/>
      </c>
      <c r="X793" s="49" t="str">
        <f t="shared" si="16"/>
        <v/>
      </c>
      <c r="Y793" s="49" t="str">
        <f t="shared" si="17"/>
        <v/>
      </c>
    </row>
    <row r="794" ht="15.75" customHeight="1">
      <c r="A794" s="82"/>
      <c r="B794" s="83"/>
      <c r="C794" s="83"/>
      <c r="D794" s="83"/>
      <c r="E794" s="83"/>
      <c r="F794" s="83"/>
      <c r="G794" s="83" t="str">
        <f>IF($F794="","",IFERROR(VLOOKUP($F794,Inventory!$A:$B,2,FALSE),""))</f>
        <v/>
      </c>
      <c r="H794" s="83"/>
      <c r="I794" s="84" t="str">
        <f t="shared" si="2"/>
        <v/>
      </c>
      <c r="J794" s="85" t="str">
        <f>IF($F794="","",IFERROR(VLOOKUP($F794,Inventory!$A:$K,11,FALSE),0))</f>
        <v/>
      </c>
      <c r="K794" s="85"/>
      <c r="L794" s="85" t="str">
        <f t="shared" si="12"/>
        <v/>
      </c>
      <c r="M794" s="83"/>
      <c r="N794" s="85" t="str">
        <f>IF($F794="","",IFERROR(VLOOKUP($F794,Inventory!$A:$I,9,FALSE),0))</f>
        <v/>
      </c>
      <c r="O794" s="85" t="str">
        <f t="shared" si="13"/>
        <v/>
      </c>
      <c r="P794" s="85" t="str">
        <f t="shared" si="5"/>
        <v/>
      </c>
      <c r="Q794" s="83"/>
      <c r="R794" s="118" t="str">
        <f>IF($E794="","",IF(COUNTIF($E$7:$E1991,$E794)&gt;1,"",IFERROR(VLOOKUP($E794,Orders!$A:$I,8,FALSE),"")))</f>
        <v/>
      </c>
      <c r="S794" s="118" t="str">
        <f>IF($E794="","",IF(COUNTIF($E$7:$E1991,$E794)&gt;1,"",IFERROR(VLOOKUP($E794,Orders!$A:$I,9,FALSE),"")))</f>
        <v/>
      </c>
      <c r="T794" s="88" t="str">
        <f t="shared" si="14"/>
        <v/>
      </c>
      <c r="U794" s="88" t="str">
        <f>IF($F794="","",IF($E794="",T794,SUMIF(Sales!$E$7:$E$1506,$E794,Sales!$T$7:$T$1506)))</f>
        <v/>
      </c>
      <c r="V794" s="49" t="str">
        <f t="shared" si="15"/>
        <v/>
      </c>
      <c r="W794" s="49" t="str">
        <f t="array" ref="W794">IF($V794="","",SUMPRODUCT((Sales!$V$7:$V$1506&lt;&gt;"")*(Sales!$E$7:$E$1506&lt;$E794))+1)</f>
        <v/>
      </c>
      <c r="X794" s="49" t="str">
        <f t="shared" si="16"/>
        <v/>
      </c>
      <c r="Y794" s="49" t="str">
        <f t="shared" si="17"/>
        <v/>
      </c>
    </row>
    <row r="795" ht="15.75" customHeight="1">
      <c r="A795" s="82"/>
      <c r="B795" s="83"/>
      <c r="C795" s="83"/>
      <c r="D795" s="83"/>
      <c r="E795" s="83"/>
      <c r="F795" s="83"/>
      <c r="G795" s="83" t="str">
        <f>IF($F795="","",IFERROR(VLOOKUP($F795,Inventory!$A:$B,2,FALSE),""))</f>
        <v/>
      </c>
      <c r="H795" s="83"/>
      <c r="I795" s="84" t="str">
        <f t="shared" si="2"/>
        <v/>
      </c>
      <c r="J795" s="85" t="str">
        <f>IF($F795="","",IFERROR(VLOOKUP($F795,Inventory!$A:$K,11,FALSE),0))</f>
        <v/>
      </c>
      <c r="K795" s="85"/>
      <c r="L795" s="85" t="str">
        <f t="shared" si="12"/>
        <v/>
      </c>
      <c r="M795" s="83"/>
      <c r="N795" s="85" t="str">
        <f>IF($F795="","",IFERROR(VLOOKUP($F795,Inventory!$A:$I,9,FALSE),0))</f>
        <v/>
      </c>
      <c r="O795" s="85" t="str">
        <f t="shared" si="13"/>
        <v/>
      </c>
      <c r="P795" s="85" t="str">
        <f t="shared" si="5"/>
        <v/>
      </c>
      <c r="Q795" s="83"/>
      <c r="R795" s="118" t="str">
        <f>IF($E795="","",IF(COUNTIF($E$7:$E1992,$E795)&gt;1,"",IFERROR(VLOOKUP($E795,Orders!$A:$I,8,FALSE),"")))</f>
        <v/>
      </c>
      <c r="S795" s="118" t="str">
        <f>IF($E795="","",IF(COUNTIF($E$7:$E1992,$E795)&gt;1,"",IFERROR(VLOOKUP($E795,Orders!$A:$I,9,FALSE),"")))</f>
        <v/>
      </c>
      <c r="T795" s="88" t="str">
        <f t="shared" si="14"/>
        <v/>
      </c>
      <c r="U795" s="88" t="str">
        <f>IF($F795="","",IF($E795="",T795,SUMIF(Sales!$E$7:$E$1506,$E795,Sales!$T$7:$T$1506)))</f>
        <v/>
      </c>
      <c r="V795" s="49" t="str">
        <f t="shared" si="15"/>
        <v/>
      </c>
      <c r="W795" s="49" t="str">
        <f t="array" ref="W795">IF($V795="","",SUMPRODUCT((Sales!$V$7:$V$1506&lt;&gt;"")*(Sales!$E$7:$E$1506&lt;$E795))+1)</f>
        <v/>
      </c>
      <c r="X795" s="49" t="str">
        <f t="shared" si="16"/>
        <v/>
      </c>
      <c r="Y795" s="49" t="str">
        <f t="shared" si="17"/>
        <v/>
      </c>
    </row>
    <row r="796" ht="15.75" customHeight="1">
      <c r="A796" s="82"/>
      <c r="B796" s="83"/>
      <c r="C796" s="83"/>
      <c r="D796" s="83"/>
      <c r="E796" s="83"/>
      <c r="F796" s="83"/>
      <c r="G796" s="83" t="str">
        <f>IF($F796="","",IFERROR(VLOOKUP($F796,Inventory!$A:$B,2,FALSE),""))</f>
        <v/>
      </c>
      <c r="H796" s="83"/>
      <c r="I796" s="84" t="str">
        <f t="shared" si="2"/>
        <v/>
      </c>
      <c r="J796" s="85" t="str">
        <f>IF($F796="","",IFERROR(VLOOKUP($F796,Inventory!$A:$K,11,FALSE),0))</f>
        <v/>
      </c>
      <c r="K796" s="85"/>
      <c r="L796" s="85" t="str">
        <f t="shared" si="12"/>
        <v/>
      </c>
      <c r="M796" s="83"/>
      <c r="N796" s="85" t="str">
        <f>IF($F796="","",IFERROR(VLOOKUP($F796,Inventory!$A:$I,9,FALSE),0))</f>
        <v/>
      </c>
      <c r="O796" s="85" t="str">
        <f t="shared" si="13"/>
        <v/>
      </c>
      <c r="P796" s="85" t="str">
        <f t="shared" si="5"/>
        <v/>
      </c>
      <c r="Q796" s="83"/>
      <c r="R796" s="118" t="str">
        <f>IF($E796="","",IF(COUNTIF($E$7:$E1993,$E796)&gt;1,"",IFERROR(VLOOKUP($E796,Orders!$A:$I,8,FALSE),"")))</f>
        <v/>
      </c>
      <c r="S796" s="118" t="str">
        <f>IF($E796="","",IF(COUNTIF($E$7:$E1993,$E796)&gt;1,"",IFERROR(VLOOKUP($E796,Orders!$A:$I,9,FALSE),"")))</f>
        <v/>
      </c>
      <c r="T796" s="88" t="str">
        <f t="shared" si="14"/>
        <v/>
      </c>
      <c r="U796" s="88" t="str">
        <f>IF($F796="","",IF($E796="",T796,SUMIF(Sales!$E$7:$E$1506,$E796,Sales!$T$7:$T$1506)))</f>
        <v/>
      </c>
      <c r="V796" s="49" t="str">
        <f t="shared" si="15"/>
        <v/>
      </c>
      <c r="W796" s="49" t="str">
        <f t="array" ref="W796">IF($V796="","",SUMPRODUCT((Sales!$V$7:$V$1506&lt;&gt;"")*(Sales!$E$7:$E$1506&lt;$E796))+1)</f>
        <v/>
      </c>
      <c r="X796" s="49" t="str">
        <f t="shared" si="16"/>
        <v/>
      </c>
      <c r="Y796" s="49" t="str">
        <f t="shared" si="17"/>
        <v/>
      </c>
    </row>
    <row r="797" ht="15.75" customHeight="1">
      <c r="A797" s="82"/>
      <c r="B797" s="83"/>
      <c r="C797" s="83"/>
      <c r="D797" s="83"/>
      <c r="E797" s="83"/>
      <c r="F797" s="83"/>
      <c r="G797" s="83" t="str">
        <f>IF($F797="","",IFERROR(VLOOKUP($F797,Inventory!$A:$B,2,FALSE),""))</f>
        <v/>
      </c>
      <c r="H797" s="83"/>
      <c r="I797" s="84" t="str">
        <f t="shared" si="2"/>
        <v/>
      </c>
      <c r="J797" s="85" t="str">
        <f>IF($F797="","",IFERROR(VLOOKUP($F797,Inventory!$A:$K,11,FALSE),0))</f>
        <v/>
      </c>
      <c r="K797" s="85"/>
      <c r="L797" s="85" t="str">
        <f t="shared" si="12"/>
        <v/>
      </c>
      <c r="M797" s="83"/>
      <c r="N797" s="85" t="str">
        <f>IF($F797="","",IFERROR(VLOOKUP($F797,Inventory!$A:$I,9,FALSE),0))</f>
        <v/>
      </c>
      <c r="O797" s="85" t="str">
        <f t="shared" si="13"/>
        <v/>
      </c>
      <c r="P797" s="85" t="str">
        <f t="shared" si="5"/>
        <v/>
      </c>
      <c r="Q797" s="83"/>
      <c r="R797" s="118" t="str">
        <f>IF($E797="","",IF(COUNTIF($E$7:$E1994,$E797)&gt;1,"",IFERROR(VLOOKUP($E797,Orders!$A:$I,8,FALSE),"")))</f>
        <v/>
      </c>
      <c r="S797" s="118" t="str">
        <f>IF($E797="","",IF(COUNTIF($E$7:$E1994,$E797)&gt;1,"",IFERROR(VLOOKUP($E797,Orders!$A:$I,9,FALSE),"")))</f>
        <v/>
      </c>
      <c r="T797" s="88" t="str">
        <f t="shared" si="14"/>
        <v/>
      </c>
      <c r="U797" s="88" t="str">
        <f>IF($F797="","",IF($E797="",T797,SUMIF(Sales!$E$7:$E$1506,$E797,Sales!$T$7:$T$1506)))</f>
        <v/>
      </c>
      <c r="V797" s="49" t="str">
        <f t="shared" si="15"/>
        <v/>
      </c>
      <c r="W797" s="49" t="str">
        <f t="array" ref="W797">IF($V797="","",SUMPRODUCT((Sales!$V$7:$V$1506&lt;&gt;"")*(Sales!$E$7:$E$1506&lt;$E797))+1)</f>
        <v/>
      </c>
      <c r="X797" s="49" t="str">
        <f t="shared" si="16"/>
        <v/>
      </c>
      <c r="Y797" s="49" t="str">
        <f t="shared" si="17"/>
        <v/>
      </c>
    </row>
    <row r="798" ht="15.75" customHeight="1">
      <c r="A798" s="82"/>
      <c r="B798" s="83"/>
      <c r="C798" s="83"/>
      <c r="D798" s="83"/>
      <c r="E798" s="83"/>
      <c r="F798" s="83"/>
      <c r="G798" s="83" t="str">
        <f>IF($F798="","",IFERROR(VLOOKUP($F798,Inventory!$A:$B,2,FALSE),""))</f>
        <v/>
      </c>
      <c r="H798" s="83"/>
      <c r="I798" s="84" t="str">
        <f t="shared" si="2"/>
        <v/>
      </c>
      <c r="J798" s="85" t="str">
        <f>IF($F798="","",IFERROR(VLOOKUP($F798,Inventory!$A:$K,11,FALSE),0))</f>
        <v/>
      </c>
      <c r="K798" s="85"/>
      <c r="L798" s="85" t="str">
        <f t="shared" si="12"/>
        <v/>
      </c>
      <c r="M798" s="83"/>
      <c r="N798" s="85" t="str">
        <f>IF($F798="","",IFERROR(VLOOKUP($F798,Inventory!$A:$I,9,FALSE),0))</f>
        <v/>
      </c>
      <c r="O798" s="85" t="str">
        <f t="shared" si="13"/>
        <v/>
      </c>
      <c r="P798" s="85" t="str">
        <f t="shared" si="5"/>
        <v/>
      </c>
      <c r="Q798" s="83"/>
      <c r="R798" s="118" t="str">
        <f>IF($E798="","",IF(COUNTIF($E$7:$E1995,$E798)&gt;1,"",IFERROR(VLOOKUP($E798,Orders!$A:$I,8,FALSE),"")))</f>
        <v/>
      </c>
      <c r="S798" s="118" t="str">
        <f>IF($E798="","",IF(COUNTIF($E$7:$E1995,$E798)&gt;1,"",IFERROR(VLOOKUP($E798,Orders!$A:$I,9,FALSE),"")))</f>
        <v/>
      </c>
      <c r="T798" s="88" t="str">
        <f t="shared" si="14"/>
        <v/>
      </c>
      <c r="U798" s="88" t="str">
        <f>IF($F798="","",IF($E798="",T798,SUMIF(Sales!$E$7:$E$1506,$E798,Sales!$T$7:$T$1506)))</f>
        <v/>
      </c>
      <c r="V798" s="49" t="str">
        <f t="shared" si="15"/>
        <v/>
      </c>
      <c r="W798" s="49" t="str">
        <f t="array" ref="W798">IF($V798="","",SUMPRODUCT((Sales!$V$7:$V$1506&lt;&gt;"")*(Sales!$E$7:$E$1506&lt;$E798))+1)</f>
        <v/>
      </c>
      <c r="X798" s="49" t="str">
        <f t="shared" si="16"/>
        <v/>
      </c>
      <c r="Y798" s="49" t="str">
        <f t="shared" si="17"/>
        <v/>
      </c>
    </row>
    <row r="799" ht="15.75" customHeight="1">
      <c r="A799" s="82"/>
      <c r="B799" s="83"/>
      <c r="C799" s="83"/>
      <c r="D799" s="83"/>
      <c r="E799" s="83"/>
      <c r="F799" s="83"/>
      <c r="G799" s="83" t="str">
        <f>IF($F799="","",IFERROR(VLOOKUP($F799,Inventory!$A:$B,2,FALSE),""))</f>
        <v/>
      </c>
      <c r="H799" s="83"/>
      <c r="I799" s="84" t="str">
        <f t="shared" si="2"/>
        <v/>
      </c>
      <c r="J799" s="85" t="str">
        <f>IF($F799="","",IFERROR(VLOOKUP($F799,Inventory!$A:$K,11,FALSE),0))</f>
        <v/>
      </c>
      <c r="K799" s="85"/>
      <c r="L799" s="85" t="str">
        <f t="shared" si="12"/>
        <v/>
      </c>
      <c r="M799" s="83"/>
      <c r="N799" s="85" t="str">
        <f>IF($F799="","",IFERROR(VLOOKUP($F799,Inventory!$A:$I,9,FALSE),0))</f>
        <v/>
      </c>
      <c r="O799" s="85" t="str">
        <f t="shared" si="13"/>
        <v/>
      </c>
      <c r="P799" s="85" t="str">
        <f t="shared" si="5"/>
        <v/>
      </c>
      <c r="Q799" s="83"/>
      <c r="R799" s="118" t="str">
        <f>IF($E799="","",IF(COUNTIF($E$7:$E1996,$E799)&gt;1,"",IFERROR(VLOOKUP($E799,Orders!$A:$I,8,FALSE),"")))</f>
        <v/>
      </c>
      <c r="S799" s="118" t="str">
        <f>IF($E799="","",IF(COUNTIF($E$7:$E1996,$E799)&gt;1,"",IFERROR(VLOOKUP($E799,Orders!$A:$I,9,FALSE),"")))</f>
        <v/>
      </c>
      <c r="T799" s="88" t="str">
        <f t="shared" si="14"/>
        <v/>
      </c>
      <c r="U799" s="88" t="str">
        <f>IF($F799="","",IF($E799="",T799,SUMIF(Sales!$E$7:$E$1506,$E799,Sales!$T$7:$T$1506)))</f>
        <v/>
      </c>
      <c r="V799" s="49" t="str">
        <f t="shared" si="15"/>
        <v/>
      </c>
      <c r="W799" s="49" t="str">
        <f t="array" ref="W799">IF($V799="","",SUMPRODUCT((Sales!$V$7:$V$1506&lt;&gt;"")*(Sales!$E$7:$E$1506&lt;$E799))+1)</f>
        <v/>
      </c>
      <c r="X799" s="49" t="str">
        <f t="shared" si="16"/>
        <v/>
      </c>
      <c r="Y799" s="49" t="str">
        <f t="shared" si="17"/>
        <v/>
      </c>
    </row>
    <row r="800" ht="15.75" customHeight="1">
      <c r="A800" s="82"/>
      <c r="B800" s="83"/>
      <c r="C800" s="83"/>
      <c r="D800" s="83"/>
      <c r="E800" s="83"/>
      <c r="F800" s="83"/>
      <c r="G800" s="83" t="str">
        <f>IF($F800="","",IFERROR(VLOOKUP($F800,Inventory!$A:$B,2,FALSE),""))</f>
        <v/>
      </c>
      <c r="H800" s="83"/>
      <c r="I800" s="84" t="str">
        <f t="shared" si="2"/>
        <v/>
      </c>
      <c r="J800" s="85" t="str">
        <f>IF($F800="","",IFERROR(VLOOKUP($F800,Inventory!$A:$K,11,FALSE),0))</f>
        <v/>
      </c>
      <c r="K800" s="85"/>
      <c r="L800" s="85" t="str">
        <f t="shared" si="12"/>
        <v/>
      </c>
      <c r="M800" s="83"/>
      <c r="N800" s="85" t="str">
        <f>IF($F800="","",IFERROR(VLOOKUP($F800,Inventory!$A:$I,9,FALSE),0))</f>
        <v/>
      </c>
      <c r="O800" s="85" t="str">
        <f t="shared" si="13"/>
        <v/>
      </c>
      <c r="P800" s="85" t="str">
        <f t="shared" si="5"/>
        <v/>
      </c>
      <c r="Q800" s="83"/>
      <c r="R800" s="118" t="str">
        <f>IF($E800="","",IF(COUNTIF($E$7:$E1997,$E800)&gt;1,"",IFERROR(VLOOKUP($E800,Orders!$A:$I,8,FALSE),"")))</f>
        <v/>
      </c>
      <c r="S800" s="118" t="str">
        <f>IF($E800="","",IF(COUNTIF($E$7:$E1997,$E800)&gt;1,"",IFERROR(VLOOKUP($E800,Orders!$A:$I,9,FALSE),"")))</f>
        <v/>
      </c>
      <c r="T800" s="88" t="str">
        <f t="shared" si="14"/>
        <v/>
      </c>
      <c r="U800" s="88" t="str">
        <f>IF($F800="","",IF($E800="",T800,SUMIF(Sales!$E$7:$E$1506,$E800,Sales!$T$7:$T$1506)))</f>
        <v/>
      </c>
      <c r="V800" s="49" t="str">
        <f t="shared" si="15"/>
        <v/>
      </c>
      <c r="W800" s="49" t="str">
        <f t="array" ref="W800">IF($V800="","",SUMPRODUCT((Sales!$V$7:$V$1506&lt;&gt;"")*(Sales!$E$7:$E$1506&lt;$E800))+1)</f>
        <v/>
      </c>
      <c r="X800" s="49" t="str">
        <f t="shared" si="16"/>
        <v/>
      </c>
      <c r="Y800" s="49" t="str">
        <f t="shared" si="17"/>
        <v/>
      </c>
    </row>
    <row r="801" ht="15.75" customHeight="1">
      <c r="A801" s="82"/>
      <c r="B801" s="83"/>
      <c r="C801" s="83"/>
      <c r="D801" s="83"/>
      <c r="E801" s="83"/>
      <c r="F801" s="83"/>
      <c r="G801" s="83" t="str">
        <f>IF($F801="","",IFERROR(VLOOKUP($F801,Inventory!$A:$B,2,FALSE),""))</f>
        <v/>
      </c>
      <c r="H801" s="83"/>
      <c r="I801" s="84" t="str">
        <f t="shared" si="2"/>
        <v/>
      </c>
      <c r="J801" s="85" t="str">
        <f>IF($F801="","",IFERROR(VLOOKUP($F801,Inventory!$A:$K,11,FALSE),0))</f>
        <v/>
      </c>
      <c r="K801" s="85"/>
      <c r="L801" s="85" t="str">
        <f t="shared" si="12"/>
        <v/>
      </c>
      <c r="M801" s="83"/>
      <c r="N801" s="85" t="str">
        <f>IF($F801="","",IFERROR(VLOOKUP($F801,Inventory!$A:$I,9,FALSE),0))</f>
        <v/>
      </c>
      <c r="O801" s="85" t="str">
        <f t="shared" si="13"/>
        <v/>
      </c>
      <c r="P801" s="85" t="str">
        <f t="shared" si="5"/>
        <v/>
      </c>
      <c r="Q801" s="83"/>
      <c r="R801" s="118" t="str">
        <f>IF($E801="","",IF(COUNTIF($E$7:$E1998,$E801)&gt;1,"",IFERROR(VLOOKUP($E801,Orders!$A:$I,8,FALSE),"")))</f>
        <v/>
      </c>
      <c r="S801" s="118" t="str">
        <f>IF($E801="","",IF(COUNTIF($E$7:$E1998,$E801)&gt;1,"",IFERROR(VLOOKUP($E801,Orders!$A:$I,9,FALSE),"")))</f>
        <v/>
      </c>
      <c r="T801" s="88" t="str">
        <f t="shared" si="14"/>
        <v/>
      </c>
      <c r="U801" s="88" t="str">
        <f>IF($F801="","",IF($E801="",T801,SUMIF(Sales!$E$7:$E$1506,$E801,Sales!$T$7:$T$1506)))</f>
        <v/>
      </c>
      <c r="V801" s="49" t="str">
        <f t="shared" si="15"/>
        <v/>
      </c>
      <c r="W801" s="49" t="str">
        <f t="array" ref="W801">IF($V801="","",SUMPRODUCT((Sales!$V$7:$V$1506&lt;&gt;"")*(Sales!$E$7:$E$1506&lt;$E801))+1)</f>
        <v/>
      </c>
      <c r="X801" s="49" t="str">
        <f t="shared" si="16"/>
        <v/>
      </c>
      <c r="Y801" s="49" t="str">
        <f t="shared" si="17"/>
        <v/>
      </c>
    </row>
    <row r="802" ht="15.75" customHeight="1">
      <c r="A802" s="82"/>
      <c r="B802" s="83"/>
      <c r="C802" s="83"/>
      <c r="D802" s="83"/>
      <c r="E802" s="83"/>
      <c r="F802" s="83"/>
      <c r="G802" s="83" t="str">
        <f>IF($F802="","",IFERROR(VLOOKUP($F802,Inventory!$A:$B,2,FALSE),""))</f>
        <v/>
      </c>
      <c r="H802" s="83"/>
      <c r="I802" s="84" t="str">
        <f t="shared" si="2"/>
        <v/>
      </c>
      <c r="J802" s="85" t="str">
        <f>IF($F802="","",IFERROR(VLOOKUP($F802,Inventory!$A:$K,11,FALSE),0))</f>
        <v/>
      </c>
      <c r="K802" s="85"/>
      <c r="L802" s="85" t="str">
        <f t="shared" si="12"/>
        <v/>
      </c>
      <c r="M802" s="83"/>
      <c r="N802" s="85" t="str">
        <f>IF($F802="","",IFERROR(VLOOKUP($F802,Inventory!$A:$I,9,FALSE),0))</f>
        <v/>
      </c>
      <c r="O802" s="85" t="str">
        <f t="shared" si="13"/>
        <v/>
      </c>
      <c r="P802" s="85" t="str">
        <f t="shared" si="5"/>
        <v/>
      </c>
      <c r="Q802" s="83"/>
      <c r="R802" s="118" t="str">
        <f>IF($E802="","",IF(COUNTIF($E$7:$E1999,$E802)&gt;1,"",IFERROR(VLOOKUP($E802,Orders!$A:$I,8,FALSE),"")))</f>
        <v/>
      </c>
      <c r="S802" s="118" t="str">
        <f>IF($E802="","",IF(COUNTIF($E$7:$E1999,$E802)&gt;1,"",IFERROR(VLOOKUP($E802,Orders!$A:$I,9,FALSE),"")))</f>
        <v/>
      </c>
      <c r="T802" s="88" t="str">
        <f t="shared" si="14"/>
        <v/>
      </c>
      <c r="U802" s="88" t="str">
        <f>IF($F802="","",IF($E802="",T802,SUMIF(Sales!$E$7:$E$1506,$E802,Sales!$T$7:$T$1506)))</f>
        <v/>
      </c>
      <c r="V802" s="49" t="str">
        <f t="shared" si="15"/>
        <v/>
      </c>
      <c r="W802" s="49" t="str">
        <f t="array" ref="W802">IF($V802="","",SUMPRODUCT((Sales!$V$7:$V$1506&lt;&gt;"")*(Sales!$E$7:$E$1506&lt;$E802))+1)</f>
        <v/>
      </c>
      <c r="X802" s="49" t="str">
        <f t="shared" si="16"/>
        <v/>
      </c>
      <c r="Y802" s="49" t="str">
        <f t="shared" si="17"/>
        <v/>
      </c>
    </row>
    <row r="803" ht="15.75" customHeight="1">
      <c r="A803" s="82"/>
      <c r="B803" s="83"/>
      <c r="C803" s="83"/>
      <c r="D803" s="83"/>
      <c r="E803" s="83"/>
      <c r="F803" s="83"/>
      <c r="G803" s="83" t="str">
        <f>IF($F803="","",IFERROR(VLOOKUP($F803,Inventory!$A:$B,2,FALSE),""))</f>
        <v/>
      </c>
      <c r="H803" s="83"/>
      <c r="I803" s="84" t="str">
        <f t="shared" si="2"/>
        <v/>
      </c>
      <c r="J803" s="85" t="str">
        <f>IF($F803="","",IFERROR(VLOOKUP($F803,Inventory!$A:$K,11,FALSE),0))</f>
        <v/>
      </c>
      <c r="K803" s="85"/>
      <c r="L803" s="85" t="str">
        <f t="shared" si="12"/>
        <v/>
      </c>
      <c r="M803" s="83"/>
      <c r="N803" s="85" t="str">
        <f>IF($F803="","",IFERROR(VLOOKUP($F803,Inventory!$A:$I,9,FALSE),0))</f>
        <v/>
      </c>
      <c r="O803" s="85" t="str">
        <f t="shared" si="13"/>
        <v/>
      </c>
      <c r="P803" s="85" t="str">
        <f t="shared" si="5"/>
        <v/>
      </c>
      <c r="Q803" s="83"/>
      <c r="R803" s="118" t="str">
        <f>IF($E803="","",IF(COUNTIF($E$7:$E2000,$E803)&gt;1,"",IFERROR(VLOOKUP($E803,Orders!$A:$I,8,FALSE),"")))</f>
        <v/>
      </c>
      <c r="S803" s="118" t="str">
        <f>IF($E803="","",IF(COUNTIF($E$7:$E2000,$E803)&gt;1,"",IFERROR(VLOOKUP($E803,Orders!$A:$I,9,FALSE),"")))</f>
        <v/>
      </c>
      <c r="T803" s="88" t="str">
        <f t="shared" si="14"/>
        <v/>
      </c>
      <c r="U803" s="88" t="str">
        <f>IF($F803="","",IF($E803="",T803,SUMIF(Sales!$E$7:$E$1506,$E803,Sales!$T$7:$T$1506)))</f>
        <v/>
      </c>
      <c r="V803" s="49" t="str">
        <f t="shared" si="15"/>
        <v/>
      </c>
      <c r="W803" s="49" t="str">
        <f t="array" ref="W803">IF($V803="","",SUMPRODUCT((Sales!$V$7:$V$1506&lt;&gt;"")*(Sales!$E$7:$E$1506&lt;$E803))+1)</f>
        <v/>
      </c>
      <c r="X803" s="49" t="str">
        <f t="shared" si="16"/>
        <v/>
      </c>
      <c r="Y803" s="49" t="str">
        <f t="shared" si="17"/>
        <v/>
      </c>
    </row>
    <row r="804" ht="15.75" customHeight="1">
      <c r="A804" s="82"/>
      <c r="B804" s="83"/>
      <c r="C804" s="83"/>
      <c r="D804" s="83"/>
      <c r="E804" s="83"/>
      <c r="F804" s="83"/>
      <c r="G804" s="83" t="str">
        <f>IF($F804="","",IFERROR(VLOOKUP($F804,Inventory!$A:$B,2,FALSE),""))</f>
        <v/>
      </c>
      <c r="H804" s="83"/>
      <c r="I804" s="84" t="str">
        <f t="shared" si="2"/>
        <v/>
      </c>
      <c r="J804" s="85" t="str">
        <f>IF($F804="","",IFERROR(VLOOKUP($F804,Inventory!$A:$K,11,FALSE),0))</f>
        <v/>
      </c>
      <c r="K804" s="85"/>
      <c r="L804" s="85" t="str">
        <f t="shared" si="12"/>
        <v/>
      </c>
      <c r="M804" s="83"/>
      <c r="N804" s="85" t="str">
        <f>IF($F804="","",IFERROR(VLOOKUP($F804,Inventory!$A:$I,9,FALSE),0))</f>
        <v/>
      </c>
      <c r="O804" s="85" t="str">
        <f t="shared" si="13"/>
        <v/>
      </c>
      <c r="P804" s="85" t="str">
        <f t="shared" si="5"/>
        <v/>
      </c>
      <c r="Q804" s="83"/>
      <c r="R804" s="118" t="str">
        <f>IF($E804="","",IF(COUNTIF($E$7:$E2001,$E804)&gt;1,"",IFERROR(VLOOKUP($E804,Orders!$A:$I,8,FALSE),"")))</f>
        <v/>
      </c>
      <c r="S804" s="118" t="str">
        <f>IF($E804="","",IF(COUNTIF($E$7:$E2001,$E804)&gt;1,"",IFERROR(VLOOKUP($E804,Orders!$A:$I,9,FALSE),"")))</f>
        <v/>
      </c>
      <c r="T804" s="88" t="str">
        <f t="shared" si="14"/>
        <v/>
      </c>
      <c r="U804" s="88" t="str">
        <f>IF($F804="","",IF($E804="",T804,SUMIF(Sales!$E$7:$E$1506,$E804,Sales!$T$7:$T$1506)))</f>
        <v/>
      </c>
      <c r="V804" s="49" t="str">
        <f t="shared" si="15"/>
        <v/>
      </c>
      <c r="W804" s="49" t="str">
        <f t="array" ref="W804">IF($V804="","",SUMPRODUCT((Sales!$V$7:$V$1506&lt;&gt;"")*(Sales!$E$7:$E$1506&lt;$E804))+1)</f>
        <v/>
      </c>
      <c r="X804" s="49" t="str">
        <f t="shared" si="16"/>
        <v/>
      </c>
      <c r="Y804" s="49" t="str">
        <f t="shared" si="17"/>
        <v/>
      </c>
    </row>
    <row r="805" ht="15.75" customHeight="1">
      <c r="A805" s="82"/>
      <c r="B805" s="83"/>
      <c r="C805" s="83"/>
      <c r="D805" s="83"/>
      <c r="E805" s="83"/>
      <c r="F805" s="83"/>
      <c r="G805" s="83" t="str">
        <f>IF($F805="","",IFERROR(VLOOKUP($F805,Inventory!$A:$B,2,FALSE),""))</f>
        <v/>
      </c>
      <c r="H805" s="83"/>
      <c r="I805" s="84" t="str">
        <f t="shared" si="2"/>
        <v/>
      </c>
      <c r="J805" s="85" t="str">
        <f>IF($F805="","",IFERROR(VLOOKUP($F805,Inventory!$A:$K,11,FALSE),0))</f>
        <v/>
      </c>
      <c r="K805" s="85"/>
      <c r="L805" s="85" t="str">
        <f t="shared" si="12"/>
        <v/>
      </c>
      <c r="M805" s="83"/>
      <c r="N805" s="85" t="str">
        <f>IF($F805="","",IFERROR(VLOOKUP($F805,Inventory!$A:$I,9,FALSE),0))</f>
        <v/>
      </c>
      <c r="O805" s="85" t="str">
        <f t="shared" si="13"/>
        <v/>
      </c>
      <c r="P805" s="85" t="str">
        <f t="shared" si="5"/>
        <v/>
      </c>
      <c r="Q805" s="83"/>
      <c r="R805" s="118" t="str">
        <f>IF($E805="","",IF(COUNTIF($E$7:$E2002,$E805)&gt;1,"",IFERROR(VLOOKUP($E805,Orders!$A:$I,8,FALSE),"")))</f>
        <v/>
      </c>
      <c r="S805" s="118" t="str">
        <f>IF($E805="","",IF(COUNTIF($E$7:$E2002,$E805)&gt;1,"",IFERROR(VLOOKUP($E805,Orders!$A:$I,9,FALSE),"")))</f>
        <v/>
      </c>
      <c r="T805" s="88" t="str">
        <f t="shared" si="14"/>
        <v/>
      </c>
      <c r="U805" s="88" t="str">
        <f>IF($F805="","",IF($E805="",T805,SUMIF(Sales!$E$7:$E$1506,$E805,Sales!$T$7:$T$1506)))</f>
        <v/>
      </c>
      <c r="V805" s="49" t="str">
        <f t="shared" si="15"/>
        <v/>
      </c>
      <c r="W805" s="49" t="str">
        <f t="array" ref="W805">IF($V805="","",SUMPRODUCT((Sales!$V$7:$V$1506&lt;&gt;"")*(Sales!$E$7:$E$1506&lt;$E805))+1)</f>
        <v/>
      </c>
      <c r="X805" s="49" t="str">
        <f t="shared" si="16"/>
        <v/>
      </c>
      <c r="Y805" s="49" t="str">
        <f t="shared" si="17"/>
        <v/>
      </c>
    </row>
    <row r="806" ht="15.75" customHeight="1">
      <c r="A806" s="82"/>
      <c r="B806" s="83"/>
      <c r="C806" s="83"/>
      <c r="D806" s="83"/>
      <c r="E806" s="83"/>
      <c r="F806" s="83"/>
      <c r="G806" s="83" t="str">
        <f>IF($F806="","",IFERROR(VLOOKUP($F806,Inventory!$A:$B,2,FALSE),""))</f>
        <v/>
      </c>
      <c r="H806" s="83"/>
      <c r="I806" s="84" t="str">
        <f t="shared" si="2"/>
        <v/>
      </c>
      <c r="J806" s="85" t="str">
        <f>IF($F806="","",IFERROR(VLOOKUP($F806,Inventory!$A:$K,11,FALSE),0))</f>
        <v/>
      </c>
      <c r="K806" s="85"/>
      <c r="L806" s="85" t="str">
        <f t="shared" si="12"/>
        <v/>
      </c>
      <c r="M806" s="83"/>
      <c r="N806" s="85" t="str">
        <f>IF($F806="","",IFERROR(VLOOKUP($F806,Inventory!$A:$I,9,FALSE),0))</f>
        <v/>
      </c>
      <c r="O806" s="85" t="str">
        <f t="shared" si="13"/>
        <v/>
      </c>
      <c r="P806" s="85" t="str">
        <f t="shared" si="5"/>
        <v/>
      </c>
      <c r="Q806" s="83"/>
      <c r="R806" s="118" t="str">
        <f>IF($E806="","",IF(COUNTIF($E$7:$E2003,$E806)&gt;1,"",IFERROR(VLOOKUP($E806,Orders!$A:$I,8,FALSE),"")))</f>
        <v/>
      </c>
      <c r="S806" s="118" t="str">
        <f>IF($E806="","",IF(COUNTIF($E$7:$E2003,$E806)&gt;1,"",IFERROR(VLOOKUP($E806,Orders!$A:$I,9,FALSE),"")))</f>
        <v/>
      </c>
      <c r="T806" s="88" t="str">
        <f t="shared" si="14"/>
        <v/>
      </c>
      <c r="U806" s="88" t="str">
        <f>IF($F806="","",IF($E806="",T806,SUMIF(Sales!$E$7:$E$1506,$E806,Sales!$T$7:$T$1506)))</f>
        <v/>
      </c>
      <c r="V806" s="49" t="str">
        <f t="shared" si="15"/>
        <v/>
      </c>
      <c r="W806" s="49" t="str">
        <f t="array" ref="W806">IF($V806="","",SUMPRODUCT((Sales!$V$7:$V$1506&lt;&gt;"")*(Sales!$E$7:$E$1506&lt;$E806))+1)</f>
        <v/>
      </c>
      <c r="X806" s="49" t="str">
        <f t="shared" si="16"/>
        <v/>
      </c>
      <c r="Y806" s="49" t="str">
        <f t="shared" si="17"/>
        <v/>
      </c>
    </row>
    <row r="807" ht="15.75" customHeight="1">
      <c r="A807" s="82"/>
      <c r="B807" s="83"/>
      <c r="C807" s="83"/>
      <c r="D807" s="83"/>
      <c r="E807" s="83"/>
      <c r="F807" s="83"/>
      <c r="G807" s="83" t="str">
        <f>IF($F807="","",IFERROR(VLOOKUP($F807,Inventory!$A:$B,2,FALSE),""))</f>
        <v/>
      </c>
      <c r="H807" s="83"/>
      <c r="I807" s="84" t="str">
        <f t="shared" si="2"/>
        <v/>
      </c>
      <c r="J807" s="85" t="str">
        <f>IF($F807="","",IFERROR(VLOOKUP($F807,Inventory!$A:$K,11,FALSE),0))</f>
        <v/>
      </c>
      <c r="K807" s="85"/>
      <c r="L807" s="85" t="str">
        <f t="shared" si="12"/>
        <v/>
      </c>
      <c r="M807" s="83"/>
      <c r="N807" s="85" t="str">
        <f>IF($F807="","",IFERROR(VLOOKUP($F807,Inventory!$A:$I,9,FALSE),0))</f>
        <v/>
      </c>
      <c r="O807" s="85" t="str">
        <f t="shared" si="13"/>
        <v/>
      </c>
      <c r="P807" s="85" t="str">
        <f t="shared" si="5"/>
        <v/>
      </c>
      <c r="Q807" s="83"/>
      <c r="R807" s="118" t="str">
        <f>IF($E807="","",IF(COUNTIF($E$7:$E2004,$E807)&gt;1,"",IFERROR(VLOOKUP($E807,Orders!$A:$I,8,FALSE),"")))</f>
        <v/>
      </c>
      <c r="S807" s="118" t="str">
        <f>IF($E807="","",IF(COUNTIF($E$7:$E2004,$E807)&gt;1,"",IFERROR(VLOOKUP($E807,Orders!$A:$I,9,FALSE),"")))</f>
        <v/>
      </c>
      <c r="T807" s="88" t="str">
        <f t="shared" si="14"/>
        <v/>
      </c>
      <c r="U807" s="88" t="str">
        <f>IF($F807="","",IF($E807="",T807,SUMIF(Sales!$E$7:$E$1506,$E807,Sales!$T$7:$T$1506)))</f>
        <v/>
      </c>
      <c r="V807" s="49" t="str">
        <f t="shared" si="15"/>
        <v/>
      </c>
      <c r="W807" s="49" t="str">
        <f t="array" ref="W807">IF($V807="","",SUMPRODUCT((Sales!$V$7:$V$1506&lt;&gt;"")*(Sales!$E$7:$E$1506&lt;$E807))+1)</f>
        <v/>
      </c>
      <c r="X807" s="49" t="str">
        <f t="shared" si="16"/>
        <v/>
      </c>
      <c r="Y807" s="49" t="str">
        <f t="shared" si="17"/>
        <v/>
      </c>
    </row>
    <row r="808" ht="15.75" customHeight="1">
      <c r="A808" s="82"/>
      <c r="B808" s="83"/>
      <c r="C808" s="83"/>
      <c r="D808" s="83"/>
      <c r="E808" s="83"/>
      <c r="F808" s="83"/>
      <c r="G808" s="83" t="str">
        <f>IF($F808="","",IFERROR(VLOOKUP($F808,Inventory!$A:$B,2,FALSE),""))</f>
        <v/>
      </c>
      <c r="H808" s="83"/>
      <c r="I808" s="84" t="str">
        <f t="shared" si="2"/>
        <v/>
      </c>
      <c r="J808" s="85" t="str">
        <f>IF($F808="","",IFERROR(VLOOKUP($F808,Inventory!$A:$K,11,FALSE),0))</f>
        <v/>
      </c>
      <c r="K808" s="85"/>
      <c r="L808" s="85" t="str">
        <f t="shared" si="12"/>
        <v/>
      </c>
      <c r="M808" s="83"/>
      <c r="N808" s="85" t="str">
        <f>IF($F808="","",IFERROR(VLOOKUP($F808,Inventory!$A:$I,9,FALSE),0))</f>
        <v/>
      </c>
      <c r="O808" s="85" t="str">
        <f t="shared" si="13"/>
        <v/>
      </c>
      <c r="P808" s="85" t="str">
        <f t="shared" si="5"/>
        <v/>
      </c>
      <c r="Q808" s="83"/>
      <c r="R808" s="118" t="str">
        <f>IF($E808="","",IF(COUNTIF($E$7:$E2005,$E808)&gt;1,"",IFERROR(VLOOKUP($E808,Orders!$A:$I,8,FALSE),"")))</f>
        <v/>
      </c>
      <c r="S808" s="118" t="str">
        <f>IF($E808="","",IF(COUNTIF($E$7:$E2005,$E808)&gt;1,"",IFERROR(VLOOKUP($E808,Orders!$A:$I,9,FALSE),"")))</f>
        <v/>
      </c>
      <c r="T808" s="88" t="str">
        <f t="shared" si="14"/>
        <v/>
      </c>
      <c r="U808" s="88" t="str">
        <f>IF($F808="","",IF($E808="",T808,SUMIF(Sales!$E$7:$E$1506,$E808,Sales!$T$7:$T$1506)))</f>
        <v/>
      </c>
      <c r="V808" s="49" t="str">
        <f t="shared" si="15"/>
        <v/>
      </c>
      <c r="W808" s="49" t="str">
        <f t="array" ref="W808">IF($V808="","",SUMPRODUCT((Sales!$V$7:$V$1506&lt;&gt;"")*(Sales!$E$7:$E$1506&lt;$E808))+1)</f>
        <v/>
      </c>
      <c r="X808" s="49" t="str">
        <f t="shared" si="16"/>
        <v/>
      </c>
      <c r="Y808" s="49" t="str">
        <f t="shared" si="17"/>
        <v/>
      </c>
    </row>
    <row r="809" ht="15.75" customHeight="1">
      <c r="A809" s="82"/>
      <c r="B809" s="83"/>
      <c r="C809" s="83"/>
      <c r="D809" s="83"/>
      <c r="E809" s="83"/>
      <c r="F809" s="83"/>
      <c r="G809" s="83" t="str">
        <f>IF($F809="","",IFERROR(VLOOKUP($F809,Inventory!$A:$B,2,FALSE),""))</f>
        <v/>
      </c>
      <c r="H809" s="83"/>
      <c r="I809" s="84" t="str">
        <f t="shared" si="2"/>
        <v/>
      </c>
      <c r="J809" s="85" t="str">
        <f>IF($F809="","",IFERROR(VLOOKUP($F809,Inventory!$A:$K,11,FALSE),0))</f>
        <v/>
      </c>
      <c r="K809" s="85"/>
      <c r="L809" s="85" t="str">
        <f t="shared" si="12"/>
        <v/>
      </c>
      <c r="M809" s="83"/>
      <c r="N809" s="85" t="str">
        <f>IF($F809="","",IFERROR(VLOOKUP($F809,Inventory!$A:$I,9,FALSE),0))</f>
        <v/>
      </c>
      <c r="O809" s="85" t="str">
        <f t="shared" si="13"/>
        <v/>
      </c>
      <c r="P809" s="85" t="str">
        <f t="shared" si="5"/>
        <v/>
      </c>
      <c r="Q809" s="83"/>
      <c r="R809" s="118" t="str">
        <f>IF($E809="","",IF(COUNTIF($E$7:$E2006,$E809)&gt;1,"",IFERROR(VLOOKUP($E809,Orders!$A:$I,8,FALSE),"")))</f>
        <v/>
      </c>
      <c r="S809" s="118" t="str">
        <f>IF($E809="","",IF(COUNTIF($E$7:$E2006,$E809)&gt;1,"",IFERROR(VLOOKUP($E809,Orders!$A:$I,9,FALSE),"")))</f>
        <v/>
      </c>
      <c r="T809" s="88" t="str">
        <f t="shared" si="14"/>
        <v/>
      </c>
      <c r="U809" s="88" t="str">
        <f>IF($F809="","",IF($E809="",T809,SUMIF(Sales!$E$7:$E$1506,$E809,Sales!$T$7:$T$1506)))</f>
        <v/>
      </c>
      <c r="V809" s="49" t="str">
        <f t="shared" si="15"/>
        <v/>
      </c>
      <c r="W809" s="49" t="str">
        <f t="array" ref="W809">IF($V809="","",SUMPRODUCT((Sales!$V$7:$V$1506&lt;&gt;"")*(Sales!$E$7:$E$1506&lt;$E809))+1)</f>
        <v/>
      </c>
      <c r="X809" s="49" t="str">
        <f t="shared" si="16"/>
        <v/>
      </c>
      <c r="Y809" s="49" t="str">
        <f t="shared" si="17"/>
        <v/>
      </c>
    </row>
    <row r="810" ht="15.75" customHeight="1">
      <c r="A810" s="82"/>
      <c r="B810" s="83"/>
      <c r="C810" s="83"/>
      <c r="D810" s="83"/>
      <c r="E810" s="83"/>
      <c r="F810" s="83"/>
      <c r="G810" s="83" t="str">
        <f>IF($F810="","",IFERROR(VLOOKUP($F810,Inventory!$A:$B,2,FALSE),""))</f>
        <v/>
      </c>
      <c r="H810" s="83"/>
      <c r="I810" s="84" t="str">
        <f t="shared" si="2"/>
        <v/>
      </c>
      <c r="J810" s="85" t="str">
        <f>IF($F810="","",IFERROR(VLOOKUP($F810,Inventory!$A:$K,11,FALSE),0))</f>
        <v/>
      </c>
      <c r="K810" s="85"/>
      <c r="L810" s="85" t="str">
        <f t="shared" si="12"/>
        <v/>
      </c>
      <c r="M810" s="83"/>
      <c r="N810" s="85" t="str">
        <f>IF($F810="","",IFERROR(VLOOKUP($F810,Inventory!$A:$I,9,FALSE),0))</f>
        <v/>
      </c>
      <c r="O810" s="85" t="str">
        <f t="shared" si="13"/>
        <v/>
      </c>
      <c r="P810" s="85" t="str">
        <f t="shared" si="5"/>
        <v/>
      </c>
      <c r="Q810" s="83"/>
      <c r="R810" s="118" t="str">
        <f>IF($E810="","",IF(COUNTIF($E$7:$E2007,$E810)&gt;1,"",IFERROR(VLOOKUP($E810,Orders!$A:$I,8,FALSE),"")))</f>
        <v/>
      </c>
      <c r="S810" s="118" t="str">
        <f>IF($E810="","",IF(COUNTIF($E$7:$E2007,$E810)&gt;1,"",IFERROR(VLOOKUP($E810,Orders!$A:$I,9,FALSE),"")))</f>
        <v/>
      </c>
      <c r="T810" s="88" t="str">
        <f t="shared" si="14"/>
        <v/>
      </c>
      <c r="U810" s="88" t="str">
        <f>IF($F810="","",IF($E810="",T810,SUMIF(Sales!$E$7:$E$1506,$E810,Sales!$T$7:$T$1506)))</f>
        <v/>
      </c>
      <c r="V810" s="49" t="str">
        <f t="shared" si="15"/>
        <v/>
      </c>
      <c r="W810" s="49" t="str">
        <f t="array" ref="W810">IF($V810="","",SUMPRODUCT((Sales!$V$7:$V$1506&lt;&gt;"")*(Sales!$E$7:$E$1506&lt;$E810))+1)</f>
        <v/>
      </c>
      <c r="X810" s="49" t="str">
        <f t="shared" si="16"/>
        <v/>
      </c>
      <c r="Y810" s="49" t="str">
        <f t="shared" si="17"/>
        <v/>
      </c>
    </row>
    <row r="811" ht="15.75" customHeight="1">
      <c r="A811" s="82"/>
      <c r="B811" s="83"/>
      <c r="C811" s="83"/>
      <c r="D811" s="83"/>
      <c r="E811" s="83"/>
      <c r="F811" s="83"/>
      <c r="G811" s="83" t="str">
        <f>IF($F811="","",IFERROR(VLOOKUP($F811,Inventory!$A:$B,2,FALSE),""))</f>
        <v/>
      </c>
      <c r="H811" s="83"/>
      <c r="I811" s="84" t="str">
        <f t="shared" si="2"/>
        <v/>
      </c>
      <c r="J811" s="85" t="str">
        <f>IF($F811="","",IFERROR(VLOOKUP($F811,Inventory!$A:$K,11,FALSE),0))</f>
        <v/>
      </c>
      <c r="K811" s="85"/>
      <c r="L811" s="85" t="str">
        <f t="shared" si="12"/>
        <v/>
      </c>
      <c r="M811" s="83"/>
      <c r="N811" s="85" t="str">
        <f>IF($F811="","",IFERROR(VLOOKUP($F811,Inventory!$A:$I,9,FALSE),0))</f>
        <v/>
      </c>
      <c r="O811" s="85" t="str">
        <f t="shared" si="13"/>
        <v/>
      </c>
      <c r="P811" s="85" t="str">
        <f t="shared" si="5"/>
        <v/>
      </c>
      <c r="Q811" s="83"/>
      <c r="R811" s="118" t="str">
        <f>IF($E811="","",IF(COUNTIF($E$7:$E2008,$E811)&gt;1,"",IFERROR(VLOOKUP($E811,Orders!$A:$I,8,FALSE),"")))</f>
        <v/>
      </c>
      <c r="S811" s="118" t="str">
        <f>IF($E811="","",IF(COUNTIF($E$7:$E2008,$E811)&gt;1,"",IFERROR(VLOOKUP($E811,Orders!$A:$I,9,FALSE),"")))</f>
        <v/>
      </c>
      <c r="T811" s="88" t="str">
        <f t="shared" si="14"/>
        <v/>
      </c>
      <c r="U811" s="88" t="str">
        <f>IF($F811="","",IF($E811="",T811,SUMIF(Sales!$E$7:$E$1506,$E811,Sales!$T$7:$T$1506)))</f>
        <v/>
      </c>
      <c r="V811" s="49" t="str">
        <f t="shared" si="15"/>
        <v/>
      </c>
      <c r="W811" s="49" t="str">
        <f t="array" ref="W811">IF($V811="","",SUMPRODUCT((Sales!$V$7:$V$1506&lt;&gt;"")*(Sales!$E$7:$E$1506&lt;$E811))+1)</f>
        <v/>
      </c>
      <c r="X811" s="49" t="str">
        <f t="shared" si="16"/>
        <v/>
      </c>
      <c r="Y811" s="49" t="str">
        <f t="shared" si="17"/>
        <v/>
      </c>
    </row>
    <row r="812" ht="15.75" customHeight="1">
      <c r="A812" s="82"/>
      <c r="B812" s="83"/>
      <c r="C812" s="83"/>
      <c r="D812" s="83"/>
      <c r="E812" s="83"/>
      <c r="F812" s="83"/>
      <c r="G812" s="83" t="str">
        <f>IF($F812="","",IFERROR(VLOOKUP($F812,Inventory!$A:$B,2,FALSE),""))</f>
        <v/>
      </c>
      <c r="H812" s="83"/>
      <c r="I812" s="84" t="str">
        <f t="shared" si="2"/>
        <v/>
      </c>
      <c r="J812" s="85" t="str">
        <f>IF($F812="","",IFERROR(VLOOKUP($F812,Inventory!$A:$K,11,FALSE),0))</f>
        <v/>
      </c>
      <c r="K812" s="85"/>
      <c r="L812" s="85" t="str">
        <f t="shared" si="12"/>
        <v/>
      </c>
      <c r="M812" s="83"/>
      <c r="N812" s="85" t="str">
        <f>IF($F812="","",IFERROR(VLOOKUP($F812,Inventory!$A:$I,9,FALSE),0))</f>
        <v/>
      </c>
      <c r="O812" s="85" t="str">
        <f t="shared" si="13"/>
        <v/>
      </c>
      <c r="P812" s="85" t="str">
        <f t="shared" si="5"/>
        <v/>
      </c>
      <c r="Q812" s="83"/>
      <c r="R812" s="118" t="str">
        <f>IF($E812="","",IF(COUNTIF($E$7:$E2009,$E812)&gt;1,"",IFERROR(VLOOKUP($E812,Orders!$A:$I,8,FALSE),"")))</f>
        <v/>
      </c>
      <c r="S812" s="118" t="str">
        <f>IF($E812="","",IF(COUNTIF($E$7:$E2009,$E812)&gt;1,"",IFERROR(VLOOKUP($E812,Orders!$A:$I,9,FALSE),"")))</f>
        <v/>
      </c>
      <c r="T812" s="88" t="str">
        <f t="shared" si="14"/>
        <v/>
      </c>
      <c r="U812" s="88" t="str">
        <f>IF($F812="","",IF($E812="",T812,SUMIF(Sales!$E$7:$E$1506,$E812,Sales!$T$7:$T$1506)))</f>
        <v/>
      </c>
      <c r="V812" s="49" t="str">
        <f t="shared" si="15"/>
        <v/>
      </c>
      <c r="W812" s="49" t="str">
        <f t="array" ref="W812">IF($V812="","",SUMPRODUCT((Sales!$V$7:$V$1506&lt;&gt;"")*(Sales!$E$7:$E$1506&lt;$E812))+1)</f>
        <v/>
      </c>
      <c r="X812" s="49" t="str">
        <f t="shared" si="16"/>
        <v/>
      </c>
      <c r="Y812" s="49" t="str">
        <f t="shared" si="17"/>
        <v/>
      </c>
    </row>
    <row r="813" ht="15.75" customHeight="1">
      <c r="A813" s="82"/>
      <c r="B813" s="83"/>
      <c r="C813" s="83"/>
      <c r="D813" s="83"/>
      <c r="E813" s="83"/>
      <c r="F813" s="83"/>
      <c r="G813" s="83" t="str">
        <f>IF($F813="","",IFERROR(VLOOKUP($F813,Inventory!$A:$B,2,FALSE),""))</f>
        <v/>
      </c>
      <c r="H813" s="83"/>
      <c r="I813" s="84" t="str">
        <f t="shared" si="2"/>
        <v/>
      </c>
      <c r="J813" s="85" t="str">
        <f>IF($F813="","",IFERROR(VLOOKUP($F813,Inventory!$A:$K,11,FALSE),0))</f>
        <v/>
      </c>
      <c r="K813" s="85"/>
      <c r="L813" s="85" t="str">
        <f t="shared" si="12"/>
        <v/>
      </c>
      <c r="M813" s="83"/>
      <c r="N813" s="85" t="str">
        <f>IF($F813="","",IFERROR(VLOOKUP($F813,Inventory!$A:$I,9,FALSE),0))</f>
        <v/>
      </c>
      <c r="O813" s="85" t="str">
        <f t="shared" si="13"/>
        <v/>
      </c>
      <c r="P813" s="85" t="str">
        <f t="shared" si="5"/>
        <v/>
      </c>
      <c r="Q813" s="83"/>
      <c r="R813" s="118" t="str">
        <f>IF($E813="","",IF(COUNTIF($E$7:$E2010,$E813)&gt;1,"",IFERROR(VLOOKUP($E813,Orders!$A:$I,8,FALSE),"")))</f>
        <v/>
      </c>
      <c r="S813" s="118" t="str">
        <f>IF($E813="","",IF(COUNTIF($E$7:$E2010,$E813)&gt;1,"",IFERROR(VLOOKUP($E813,Orders!$A:$I,9,FALSE),"")))</f>
        <v/>
      </c>
      <c r="T813" s="88" t="str">
        <f t="shared" si="14"/>
        <v/>
      </c>
      <c r="U813" s="88" t="str">
        <f>IF($F813="","",IF($E813="",T813,SUMIF(Sales!$E$7:$E$1506,$E813,Sales!$T$7:$T$1506)))</f>
        <v/>
      </c>
      <c r="V813" s="49" t="str">
        <f t="shared" si="15"/>
        <v/>
      </c>
      <c r="W813" s="49" t="str">
        <f t="array" ref="W813">IF($V813="","",SUMPRODUCT((Sales!$V$7:$V$1506&lt;&gt;"")*(Sales!$E$7:$E$1506&lt;$E813))+1)</f>
        <v/>
      </c>
      <c r="X813" s="49" t="str">
        <f t="shared" si="16"/>
        <v/>
      </c>
      <c r="Y813" s="49" t="str">
        <f t="shared" si="17"/>
        <v/>
      </c>
    </row>
    <row r="814" ht="15.75" customHeight="1">
      <c r="A814" s="82"/>
      <c r="B814" s="83"/>
      <c r="C814" s="83"/>
      <c r="D814" s="83"/>
      <c r="E814" s="83"/>
      <c r="F814" s="83"/>
      <c r="G814" s="83" t="str">
        <f>IF($F814="","",IFERROR(VLOOKUP($F814,Inventory!$A:$B,2,FALSE),""))</f>
        <v/>
      </c>
      <c r="H814" s="83"/>
      <c r="I814" s="84" t="str">
        <f t="shared" si="2"/>
        <v/>
      </c>
      <c r="J814" s="85" t="str">
        <f>IF($F814="","",IFERROR(VLOOKUP($F814,Inventory!$A:$K,11,FALSE),0))</f>
        <v/>
      </c>
      <c r="K814" s="85"/>
      <c r="L814" s="85" t="str">
        <f t="shared" si="12"/>
        <v/>
      </c>
      <c r="M814" s="83"/>
      <c r="N814" s="85" t="str">
        <f>IF($F814="","",IFERROR(VLOOKUP($F814,Inventory!$A:$I,9,FALSE),0))</f>
        <v/>
      </c>
      <c r="O814" s="85" t="str">
        <f t="shared" si="13"/>
        <v/>
      </c>
      <c r="P814" s="85" t="str">
        <f t="shared" si="5"/>
        <v/>
      </c>
      <c r="Q814" s="83"/>
      <c r="R814" s="118" t="str">
        <f>IF($E814="","",IF(COUNTIF($E$7:$E2011,$E814)&gt;1,"",IFERROR(VLOOKUP($E814,Orders!$A:$I,8,FALSE),"")))</f>
        <v/>
      </c>
      <c r="S814" s="118" t="str">
        <f>IF($E814="","",IF(COUNTIF($E$7:$E2011,$E814)&gt;1,"",IFERROR(VLOOKUP($E814,Orders!$A:$I,9,FALSE),"")))</f>
        <v/>
      </c>
      <c r="T814" s="88" t="str">
        <f t="shared" si="14"/>
        <v/>
      </c>
      <c r="U814" s="88" t="str">
        <f>IF($F814="","",IF($E814="",T814,SUMIF(Sales!$E$7:$E$1506,$E814,Sales!$T$7:$T$1506)))</f>
        <v/>
      </c>
      <c r="V814" s="49" t="str">
        <f t="shared" si="15"/>
        <v/>
      </c>
      <c r="W814" s="49" t="str">
        <f t="array" ref="W814">IF($V814="","",SUMPRODUCT((Sales!$V$7:$V$1506&lt;&gt;"")*(Sales!$E$7:$E$1506&lt;$E814))+1)</f>
        <v/>
      </c>
      <c r="X814" s="49" t="str">
        <f t="shared" si="16"/>
        <v/>
      </c>
      <c r="Y814" s="49" t="str">
        <f t="shared" si="17"/>
        <v/>
      </c>
    </row>
    <row r="815" ht="15.75" customHeight="1">
      <c r="A815" s="82"/>
      <c r="B815" s="83"/>
      <c r="C815" s="83"/>
      <c r="D815" s="83"/>
      <c r="E815" s="83"/>
      <c r="F815" s="83"/>
      <c r="G815" s="83" t="str">
        <f>IF($F815="","",IFERROR(VLOOKUP($F815,Inventory!$A:$B,2,FALSE),""))</f>
        <v/>
      </c>
      <c r="H815" s="83"/>
      <c r="I815" s="84" t="str">
        <f t="shared" si="2"/>
        <v/>
      </c>
      <c r="J815" s="85" t="str">
        <f>IF($F815="","",IFERROR(VLOOKUP($F815,Inventory!$A:$K,11,FALSE),0))</f>
        <v/>
      </c>
      <c r="K815" s="85"/>
      <c r="L815" s="85" t="str">
        <f t="shared" si="12"/>
        <v/>
      </c>
      <c r="M815" s="83"/>
      <c r="N815" s="85" t="str">
        <f>IF($F815="","",IFERROR(VLOOKUP($F815,Inventory!$A:$I,9,FALSE),0))</f>
        <v/>
      </c>
      <c r="O815" s="85" t="str">
        <f t="shared" si="13"/>
        <v/>
      </c>
      <c r="P815" s="85" t="str">
        <f t="shared" si="5"/>
        <v/>
      </c>
      <c r="Q815" s="83"/>
      <c r="R815" s="118" t="str">
        <f>IF($E815="","",IF(COUNTIF($E$7:$E2012,$E815)&gt;1,"",IFERROR(VLOOKUP($E815,Orders!$A:$I,8,FALSE),"")))</f>
        <v/>
      </c>
      <c r="S815" s="118" t="str">
        <f>IF($E815="","",IF(COUNTIF($E$7:$E2012,$E815)&gt;1,"",IFERROR(VLOOKUP($E815,Orders!$A:$I,9,FALSE),"")))</f>
        <v/>
      </c>
      <c r="T815" s="88" t="str">
        <f t="shared" si="14"/>
        <v/>
      </c>
      <c r="U815" s="88" t="str">
        <f>IF($F815="","",IF($E815="",T815,SUMIF(Sales!$E$7:$E$1506,$E815,Sales!$T$7:$T$1506)))</f>
        <v/>
      </c>
      <c r="V815" s="49" t="str">
        <f t="shared" si="15"/>
        <v/>
      </c>
      <c r="W815" s="49" t="str">
        <f t="array" ref="W815">IF($V815="","",SUMPRODUCT((Sales!$V$7:$V$1506&lt;&gt;"")*(Sales!$E$7:$E$1506&lt;$E815))+1)</f>
        <v/>
      </c>
      <c r="X815" s="49" t="str">
        <f t="shared" si="16"/>
        <v/>
      </c>
      <c r="Y815" s="49" t="str">
        <f t="shared" si="17"/>
        <v/>
      </c>
    </row>
    <row r="816" ht="15.75" customHeight="1">
      <c r="A816" s="82"/>
      <c r="B816" s="83"/>
      <c r="C816" s="83"/>
      <c r="D816" s="83"/>
      <c r="E816" s="83"/>
      <c r="F816" s="83"/>
      <c r="G816" s="83" t="str">
        <f>IF($F816="","",IFERROR(VLOOKUP($F816,Inventory!$A:$B,2,FALSE),""))</f>
        <v/>
      </c>
      <c r="H816" s="83"/>
      <c r="I816" s="84" t="str">
        <f t="shared" si="2"/>
        <v/>
      </c>
      <c r="J816" s="85" t="str">
        <f>IF($F816="","",IFERROR(VLOOKUP($F816,Inventory!$A:$K,11,FALSE),0))</f>
        <v/>
      </c>
      <c r="K816" s="85"/>
      <c r="L816" s="85" t="str">
        <f t="shared" si="12"/>
        <v/>
      </c>
      <c r="M816" s="83"/>
      <c r="N816" s="85" t="str">
        <f>IF($F816="","",IFERROR(VLOOKUP($F816,Inventory!$A:$I,9,FALSE),0))</f>
        <v/>
      </c>
      <c r="O816" s="85" t="str">
        <f t="shared" si="13"/>
        <v/>
      </c>
      <c r="P816" s="85" t="str">
        <f t="shared" si="5"/>
        <v/>
      </c>
      <c r="Q816" s="83"/>
      <c r="R816" s="118" t="str">
        <f>IF($E816="","",IF(COUNTIF($E$7:$E2013,$E816)&gt;1,"",IFERROR(VLOOKUP($E816,Orders!$A:$I,8,FALSE),"")))</f>
        <v/>
      </c>
      <c r="S816" s="118" t="str">
        <f>IF($E816="","",IF(COUNTIF($E$7:$E2013,$E816)&gt;1,"",IFERROR(VLOOKUP($E816,Orders!$A:$I,9,FALSE),"")))</f>
        <v/>
      </c>
      <c r="T816" s="88" t="str">
        <f t="shared" si="14"/>
        <v/>
      </c>
      <c r="U816" s="88" t="str">
        <f>IF($F816="","",IF($E816="",T816,SUMIF(Sales!$E$7:$E$1506,$E816,Sales!$T$7:$T$1506)))</f>
        <v/>
      </c>
      <c r="V816" s="49" t="str">
        <f t="shared" si="15"/>
        <v/>
      </c>
      <c r="W816" s="49" t="str">
        <f t="array" ref="W816">IF($V816="","",SUMPRODUCT((Sales!$V$7:$V$1506&lt;&gt;"")*(Sales!$E$7:$E$1506&lt;$E816))+1)</f>
        <v/>
      </c>
      <c r="X816" s="49" t="str">
        <f t="shared" si="16"/>
        <v/>
      </c>
      <c r="Y816" s="49" t="str">
        <f t="shared" si="17"/>
        <v/>
      </c>
    </row>
    <row r="817" ht="15.75" customHeight="1">
      <c r="A817" s="82"/>
      <c r="B817" s="83"/>
      <c r="C817" s="83"/>
      <c r="D817" s="83"/>
      <c r="E817" s="83"/>
      <c r="F817" s="83"/>
      <c r="G817" s="83" t="str">
        <f>IF($F817="","",IFERROR(VLOOKUP($F817,Inventory!$A:$B,2,FALSE),""))</f>
        <v/>
      </c>
      <c r="H817" s="83"/>
      <c r="I817" s="84" t="str">
        <f t="shared" si="2"/>
        <v/>
      </c>
      <c r="J817" s="85" t="str">
        <f>IF($F817="","",IFERROR(VLOOKUP($F817,Inventory!$A:$K,11,FALSE),0))</f>
        <v/>
      </c>
      <c r="K817" s="85"/>
      <c r="L817" s="85" t="str">
        <f t="shared" si="12"/>
        <v/>
      </c>
      <c r="M817" s="83"/>
      <c r="N817" s="85" t="str">
        <f>IF($F817="","",IFERROR(VLOOKUP($F817,Inventory!$A:$I,9,FALSE),0))</f>
        <v/>
      </c>
      <c r="O817" s="85" t="str">
        <f t="shared" si="13"/>
        <v/>
      </c>
      <c r="P817" s="85" t="str">
        <f t="shared" si="5"/>
        <v/>
      </c>
      <c r="Q817" s="83"/>
      <c r="R817" s="118" t="str">
        <f>IF($E817="","",IF(COUNTIF($E$7:$E2014,$E817)&gt;1,"",IFERROR(VLOOKUP($E817,Orders!$A:$I,8,FALSE),"")))</f>
        <v/>
      </c>
      <c r="S817" s="118" t="str">
        <f>IF($E817="","",IF(COUNTIF($E$7:$E2014,$E817)&gt;1,"",IFERROR(VLOOKUP($E817,Orders!$A:$I,9,FALSE),"")))</f>
        <v/>
      </c>
      <c r="T817" s="88" t="str">
        <f t="shared" si="14"/>
        <v/>
      </c>
      <c r="U817" s="88" t="str">
        <f>IF($F817="","",IF($E817="",T817,SUMIF(Sales!$E$7:$E$1506,$E817,Sales!$T$7:$T$1506)))</f>
        <v/>
      </c>
      <c r="V817" s="49" t="str">
        <f t="shared" si="15"/>
        <v/>
      </c>
      <c r="W817" s="49" t="str">
        <f t="array" ref="W817">IF($V817="","",SUMPRODUCT((Sales!$V$7:$V$1506&lt;&gt;"")*(Sales!$E$7:$E$1506&lt;$E817))+1)</f>
        <v/>
      </c>
      <c r="X817" s="49" t="str">
        <f t="shared" si="16"/>
        <v/>
      </c>
      <c r="Y817" s="49" t="str">
        <f t="shared" si="17"/>
        <v/>
      </c>
    </row>
    <row r="818" ht="15.75" customHeight="1">
      <c r="A818" s="82"/>
      <c r="B818" s="83"/>
      <c r="C818" s="83"/>
      <c r="D818" s="83"/>
      <c r="E818" s="83"/>
      <c r="F818" s="83"/>
      <c r="G818" s="83" t="str">
        <f>IF($F818="","",IFERROR(VLOOKUP($F818,Inventory!$A:$B,2,FALSE),""))</f>
        <v/>
      </c>
      <c r="H818" s="83"/>
      <c r="I818" s="84" t="str">
        <f t="shared" si="2"/>
        <v/>
      </c>
      <c r="J818" s="85" t="str">
        <f>IF($F818="","",IFERROR(VLOOKUP($F818,Inventory!$A:$K,11,FALSE),0))</f>
        <v/>
      </c>
      <c r="K818" s="85"/>
      <c r="L818" s="85" t="str">
        <f t="shared" si="12"/>
        <v/>
      </c>
      <c r="M818" s="83"/>
      <c r="N818" s="85" t="str">
        <f>IF($F818="","",IFERROR(VLOOKUP($F818,Inventory!$A:$I,9,FALSE),0))</f>
        <v/>
      </c>
      <c r="O818" s="85" t="str">
        <f t="shared" si="13"/>
        <v/>
      </c>
      <c r="P818" s="85" t="str">
        <f t="shared" si="5"/>
        <v/>
      </c>
      <c r="Q818" s="83"/>
      <c r="R818" s="118" t="str">
        <f>IF($E818="","",IF(COUNTIF($E$7:$E2015,$E818)&gt;1,"",IFERROR(VLOOKUP($E818,Orders!$A:$I,8,FALSE),"")))</f>
        <v/>
      </c>
      <c r="S818" s="118" t="str">
        <f>IF($E818="","",IF(COUNTIF($E$7:$E2015,$E818)&gt;1,"",IFERROR(VLOOKUP($E818,Orders!$A:$I,9,FALSE),"")))</f>
        <v/>
      </c>
      <c r="T818" s="88" t="str">
        <f t="shared" si="14"/>
        <v/>
      </c>
      <c r="U818" s="88" t="str">
        <f>IF($F818="","",IF($E818="",T818,SUMIF(Sales!$E$7:$E$1506,$E818,Sales!$T$7:$T$1506)))</f>
        <v/>
      </c>
      <c r="V818" s="49" t="str">
        <f t="shared" si="15"/>
        <v/>
      </c>
      <c r="W818" s="49" t="str">
        <f t="array" ref="W818">IF($V818="","",SUMPRODUCT((Sales!$V$7:$V$1506&lt;&gt;"")*(Sales!$E$7:$E$1506&lt;$E818))+1)</f>
        <v/>
      </c>
      <c r="X818" s="49" t="str">
        <f t="shared" si="16"/>
        <v/>
      </c>
      <c r="Y818" s="49" t="str">
        <f t="shared" si="17"/>
        <v/>
      </c>
    </row>
    <row r="819" ht="15.75" customHeight="1">
      <c r="A819" s="82"/>
      <c r="B819" s="83"/>
      <c r="C819" s="83"/>
      <c r="D819" s="83"/>
      <c r="E819" s="83"/>
      <c r="F819" s="83"/>
      <c r="G819" s="83" t="str">
        <f>IF($F819="","",IFERROR(VLOOKUP($F819,Inventory!$A:$B,2,FALSE),""))</f>
        <v/>
      </c>
      <c r="H819" s="83"/>
      <c r="I819" s="84" t="str">
        <f t="shared" si="2"/>
        <v/>
      </c>
      <c r="J819" s="85" t="str">
        <f>IF($F819="","",IFERROR(VLOOKUP($F819,Inventory!$A:$K,11,FALSE),0))</f>
        <v/>
      </c>
      <c r="K819" s="85"/>
      <c r="L819" s="85" t="str">
        <f t="shared" si="12"/>
        <v/>
      </c>
      <c r="M819" s="83"/>
      <c r="N819" s="85" t="str">
        <f>IF($F819="","",IFERROR(VLOOKUP($F819,Inventory!$A:$I,9,FALSE),0))</f>
        <v/>
      </c>
      <c r="O819" s="85" t="str">
        <f t="shared" si="13"/>
        <v/>
      </c>
      <c r="P819" s="85" t="str">
        <f t="shared" si="5"/>
        <v/>
      </c>
      <c r="Q819" s="83"/>
      <c r="R819" s="118" t="str">
        <f>IF($E819="","",IF(COUNTIF($E$7:$E2016,$E819)&gt;1,"",IFERROR(VLOOKUP($E819,Orders!$A:$I,8,FALSE),"")))</f>
        <v/>
      </c>
      <c r="S819" s="118" t="str">
        <f>IF($E819="","",IF(COUNTIF($E$7:$E2016,$E819)&gt;1,"",IFERROR(VLOOKUP($E819,Orders!$A:$I,9,FALSE),"")))</f>
        <v/>
      </c>
      <c r="T819" s="88" t="str">
        <f t="shared" si="14"/>
        <v/>
      </c>
      <c r="U819" s="88" t="str">
        <f>IF($F819="","",IF($E819="",T819,SUMIF(Sales!$E$7:$E$1506,$E819,Sales!$T$7:$T$1506)))</f>
        <v/>
      </c>
      <c r="V819" s="49" t="str">
        <f t="shared" si="15"/>
        <v/>
      </c>
      <c r="W819" s="49" t="str">
        <f t="array" ref="W819">IF($V819="","",SUMPRODUCT((Sales!$V$7:$V$1506&lt;&gt;"")*(Sales!$E$7:$E$1506&lt;$E819))+1)</f>
        <v/>
      </c>
      <c r="X819" s="49" t="str">
        <f t="shared" si="16"/>
        <v/>
      </c>
      <c r="Y819" s="49" t="str">
        <f t="shared" si="17"/>
        <v/>
      </c>
    </row>
    <row r="820" ht="15.75" customHeight="1">
      <c r="A820" s="82"/>
      <c r="B820" s="83"/>
      <c r="C820" s="83"/>
      <c r="D820" s="83"/>
      <c r="E820" s="83"/>
      <c r="F820" s="83"/>
      <c r="G820" s="83" t="str">
        <f>IF($F820="","",IFERROR(VLOOKUP($F820,Inventory!$A:$B,2,FALSE),""))</f>
        <v/>
      </c>
      <c r="H820" s="83"/>
      <c r="I820" s="84" t="str">
        <f t="shared" si="2"/>
        <v/>
      </c>
      <c r="J820" s="85" t="str">
        <f>IF($F820="","",IFERROR(VLOOKUP($F820,Inventory!$A:$K,11,FALSE),0))</f>
        <v/>
      </c>
      <c r="K820" s="85"/>
      <c r="L820" s="85" t="str">
        <f t="shared" si="12"/>
        <v/>
      </c>
      <c r="M820" s="83"/>
      <c r="N820" s="85" t="str">
        <f>IF($F820="","",IFERROR(VLOOKUP($F820,Inventory!$A:$I,9,FALSE),0))</f>
        <v/>
      </c>
      <c r="O820" s="85" t="str">
        <f t="shared" si="13"/>
        <v/>
      </c>
      <c r="P820" s="85" t="str">
        <f t="shared" si="5"/>
        <v/>
      </c>
      <c r="Q820" s="83"/>
      <c r="R820" s="118" t="str">
        <f>IF($E820="","",IF(COUNTIF($E$7:$E2017,$E820)&gt;1,"",IFERROR(VLOOKUP($E820,Orders!$A:$I,8,FALSE),"")))</f>
        <v/>
      </c>
      <c r="S820" s="118" t="str">
        <f>IF($E820="","",IF(COUNTIF($E$7:$E2017,$E820)&gt;1,"",IFERROR(VLOOKUP($E820,Orders!$A:$I,9,FALSE),"")))</f>
        <v/>
      </c>
      <c r="T820" s="88" t="str">
        <f t="shared" si="14"/>
        <v/>
      </c>
      <c r="U820" s="88" t="str">
        <f>IF($F820="","",IF($E820="",T820,SUMIF(Sales!$E$7:$E$1506,$E820,Sales!$T$7:$T$1506)))</f>
        <v/>
      </c>
      <c r="V820" s="49" t="str">
        <f t="shared" si="15"/>
        <v/>
      </c>
      <c r="W820" s="49" t="str">
        <f t="array" ref="W820">IF($V820="","",SUMPRODUCT((Sales!$V$7:$V$1506&lt;&gt;"")*(Sales!$E$7:$E$1506&lt;$E820))+1)</f>
        <v/>
      </c>
      <c r="X820" s="49" t="str">
        <f t="shared" si="16"/>
        <v/>
      </c>
      <c r="Y820" s="49" t="str">
        <f t="shared" si="17"/>
        <v/>
      </c>
    </row>
    <row r="821" ht="15.75" customHeight="1">
      <c r="A821" s="82"/>
      <c r="B821" s="83"/>
      <c r="C821" s="83"/>
      <c r="D821" s="83"/>
      <c r="E821" s="83"/>
      <c r="F821" s="83"/>
      <c r="G821" s="83" t="str">
        <f>IF($F821="","",IFERROR(VLOOKUP($F821,Inventory!$A:$B,2,FALSE),""))</f>
        <v/>
      </c>
      <c r="H821" s="83"/>
      <c r="I821" s="84" t="str">
        <f t="shared" si="2"/>
        <v/>
      </c>
      <c r="J821" s="85" t="str">
        <f>IF($F821="","",IFERROR(VLOOKUP($F821,Inventory!$A:$K,11,FALSE),0))</f>
        <v/>
      </c>
      <c r="K821" s="85"/>
      <c r="L821" s="85" t="str">
        <f t="shared" si="12"/>
        <v/>
      </c>
      <c r="M821" s="83"/>
      <c r="N821" s="85" t="str">
        <f>IF($F821="","",IFERROR(VLOOKUP($F821,Inventory!$A:$I,9,FALSE),0))</f>
        <v/>
      </c>
      <c r="O821" s="85" t="str">
        <f t="shared" si="13"/>
        <v/>
      </c>
      <c r="P821" s="85" t="str">
        <f t="shared" si="5"/>
        <v/>
      </c>
      <c r="Q821" s="83"/>
      <c r="R821" s="118" t="str">
        <f>IF($E821="","",IF(COUNTIF($E$7:$E2018,$E821)&gt;1,"",IFERROR(VLOOKUP($E821,Orders!$A:$I,8,FALSE),"")))</f>
        <v/>
      </c>
      <c r="S821" s="118" t="str">
        <f>IF($E821="","",IF(COUNTIF($E$7:$E2018,$E821)&gt;1,"",IFERROR(VLOOKUP($E821,Orders!$A:$I,9,FALSE),"")))</f>
        <v/>
      </c>
      <c r="T821" s="88" t="str">
        <f t="shared" si="14"/>
        <v/>
      </c>
      <c r="U821" s="88" t="str">
        <f>IF($F821="","",IF($E821="",T821,SUMIF(Sales!$E$7:$E$1506,$E821,Sales!$T$7:$T$1506)))</f>
        <v/>
      </c>
      <c r="V821" s="49" t="str">
        <f t="shared" si="15"/>
        <v/>
      </c>
      <c r="W821" s="49" t="str">
        <f t="array" ref="W821">IF($V821="","",SUMPRODUCT((Sales!$V$7:$V$1506&lt;&gt;"")*(Sales!$E$7:$E$1506&lt;$E821))+1)</f>
        <v/>
      </c>
      <c r="X821" s="49" t="str">
        <f t="shared" si="16"/>
        <v/>
      </c>
      <c r="Y821" s="49" t="str">
        <f t="shared" si="17"/>
        <v/>
      </c>
    </row>
    <row r="822" ht="15.75" customHeight="1">
      <c r="A822" s="82"/>
      <c r="B822" s="83"/>
      <c r="C822" s="83"/>
      <c r="D822" s="83"/>
      <c r="E822" s="83"/>
      <c r="F822" s="83"/>
      <c r="G822" s="83" t="str">
        <f>IF($F822="","",IFERROR(VLOOKUP($F822,Inventory!$A:$B,2,FALSE),""))</f>
        <v/>
      </c>
      <c r="H822" s="83"/>
      <c r="I822" s="84" t="str">
        <f t="shared" si="2"/>
        <v/>
      </c>
      <c r="J822" s="85" t="str">
        <f>IF($F822="","",IFERROR(VLOOKUP($F822,Inventory!$A:$K,11,FALSE),0))</f>
        <v/>
      </c>
      <c r="K822" s="85"/>
      <c r="L822" s="85" t="str">
        <f t="shared" si="12"/>
        <v/>
      </c>
      <c r="M822" s="83"/>
      <c r="N822" s="85" t="str">
        <f>IF($F822="","",IFERROR(VLOOKUP($F822,Inventory!$A:$I,9,FALSE),0))</f>
        <v/>
      </c>
      <c r="O822" s="85" t="str">
        <f t="shared" si="13"/>
        <v/>
      </c>
      <c r="P822" s="85" t="str">
        <f t="shared" si="5"/>
        <v/>
      </c>
      <c r="Q822" s="83"/>
      <c r="R822" s="118" t="str">
        <f>IF($E822="","",IF(COUNTIF($E$7:$E2019,$E822)&gt;1,"",IFERROR(VLOOKUP($E822,Orders!$A:$I,8,FALSE),"")))</f>
        <v/>
      </c>
      <c r="S822" s="118" t="str">
        <f>IF($E822="","",IF(COUNTIF($E$7:$E2019,$E822)&gt;1,"",IFERROR(VLOOKUP($E822,Orders!$A:$I,9,FALSE),"")))</f>
        <v/>
      </c>
      <c r="T822" s="88" t="str">
        <f t="shared" si="14"/>
        <v/>
      </c>
      <c r="U822" s="88" t="str">
        <f>IF($F822="","",IF($E822="",T822,SUMIF(Sales!$E$7:$E$1506,$E822,Sales!$T$7:$T$1506)))</f>
        <v/>
      </c>
      <c r="V822" s="49" t="str">
        <f t="shared" si="15"/>
        <v/>
      </c>
      <c r="W822" s="49" t="str">
        <f t="array" ref="W822">IF($V822="","",SUMPRODUCT((Sales!$V$7:$V$1506&lt;&gt;"")*(Sales!$E$7:$E$1506&lt;$E822))+1)</f>
        <v/>
      </c>
      <c r="X822" s="49" t="str">
        <f t="shared" si="16"/>
        <v/>
      </c>
      <c r="Y822" s="49" t="str">
        <f t="shared" si="17"/>
        <v/>
      </c>
    </row>
    <row r="823" ht="15.75" customHeight="1">
      <c r="A823" s="82"/>
      <c r="B823" s="83"/>
      <c r="C823" s="83"/>
      <c r="D823" s="83"/>
      <c r="E823" s="83"/>
      <c r="F823" s="83"/>
      <c r="G823" s="83" t="str">
        <f>IF($F823="","",IFERROR(VLOOKUP($F823,Inventory!$A:$B,2,FALSE),""))</f>
        <v/>
      </c>
      <c r="H823" s="83"/>
      <c r="I823" s="84" t="str">
        <f t="shared" si="2"/>
        <v/>
      </c>
      <c r="J823" s="85" t="str">
        <f>IF($F823="","",IFERROR(VLOOKUP($F823,Inventory!$A:$K,11,FALSE),0))</f>
        <v/>
      </c>
      <c r="K823" s="85"/>
      <c r="L823" s="85" t="str">
        <f t="shared" si="12"/>
        <v/>
      </c>
      <c r="M823" s="83"/>
      <c r="N823" s="85" t="str">
        <f>IF($F823="","",IFERROR(VLOOKUP($F823,Inventory!$A:$I,9,FALSE),0))</f>
        <v/>
      </c>
      <c r="O823" s="85" t="str">
        <f t="shared" si="13"/>
        <v/>
      </c>
      <c r="P823" s="85" t="str">
        <f t="shared" si="5"/>
        <v/>
      </c>
      <c r="Q823" s="83"/>
      <c r="R823" s="118" t="str">
        <f>IF($E823="","",IF(COUNTIF($E$7:$E2020,$E823)&gt;1,"",IFERROR(VLOOKUP($E823,Orders!$A:$I,8,FALSE),"")))</f>
        <v/>
      </c>
      <c r="S823" s="118" t="str">
        <f>IF($E823="","",IF(COUNTIF($E$7:$E2020,$E823)&gt;1,"",IFERROR(VLOOKUP($E823,Orders!$A:$I,9,FALSE),"")))</f>
        <v/>
      </c>
      <c r="T823" s="88" t="str">
        <f t="shared" si="14"/>
        <v/>
      </c>
      <c r="U823" s="88" t="str">
        <f>IF($F823="","",IF($E823="",T823,SUMIF(Sales!$E$7:$E$1506,$E823,Sales!$T$7:$T$1506)))</f>
        <v/>
      </c>
      <c r="V823" s="49" t="str">
        <f t="shared" si="15"/>
        <v/>
      </c>
      <c r="W823" s="49" t="str">
        <f t="array" ref="W823">IF($V823="","",SUMPRODUCT((Sales!$V$7:$V$1506&lt;&gt;"")*(Sales!$E$7:$E$1506&lt;$E823))+1)</f>
        <v/>
      </c>
      <c r="X823" s="49" t="str">
        <f t="shared" si="16"/>
        <v/>
      </c>
      <c r="Y823" s="49" t="str">
        <f t="shared" si="17"/>
        <v/>
      </c>
    </row>
    <row r="824" ht="15.75" customHeight="1">
      <c r="A824" s="82"/>
      <c r="B824" s="83"/>
      <c r="C824" s="83"/>
      <c r="D824" s="83"/>
      <c r="E824" s="83"/>
      <c r="F824" s="83"/>
      <c r="G824" s="83" t="str">
        <f>IF($F824="","",IFERROR(VLOOKUP($F824,Inventory!$A:$B,2,FALSE),""))</f>
        <v/>
      </c>
      <c r="H824" s="83"/>
      <c r="I824" s="84" t="str">
        <f t="shared" si="2"/>
        <v/>
      </c>
      <c r="J824" s="85" t="str">
        <f>IF($F824="","",IFERROR(VLOOKUP($F824,Inventory!$A:$K,11,FALSE),0))</f>
        <v/>
      </c>
      <c r="K824" s="85"/>
      <c r="L824" s="85" t="str">
        <f t="shared" si="12"/>
        <v/>
      </c>
      <c r="M824" s="83"/>
      <c r="N824" s="85" t="str">
        <f>IF($F824="","",IFERROR(VLOOKUP($F824,Inventory!$A:$I,9,FALSE),0))</f>
        <v/>
      </c>
      <c r="O824" s="85" t="str">
        <f t="shared" si="13"/>
        <v/>
      </c>
      <c r="P824" s="85" t="str">
        <f t="shared" si="5"/>
        <v/>
      </c>
      <c r="Q824" s="83"/>
      <c r="R824" s="118" t="str">
        <f>IF($E824="","",IF(COUNTIF($E$7:$E2021,$E824)&gt;1,"",IFERROR(VLOOKUP($E824,Orders!$A:$I,8,FALSE),"")))</f>
        <v/>
      </c>
      <c r="S824" s="118" t="str">
        <f>IF($E824="","",IF(COUNTIF($E$7:$E2021,$E824)&gt;1,"",IFERROR(VLOOKUP($E824,Orders!$A:$I,9,FALSE),"")))</f>
        <v/>
      </c>
      <c r="T824" s="88" t="str">
        <f t="shared" si="14"/>
        <v/>
      </c>
      <c r="U824" s="88" t="str">
        <f>IF($F824="","",IF($E824="",T824,SUMIF(Sales!$E$7:$E$1506,$E824,Sales!$T$7:$T$1506)))</f>
        <v/>
      </c>
      <c r="V824" s="49" t="str">
        <f t="shared" si="15"/>
        <v/>
      </c>
      <c r="W824" s="49" t="str">
        <f t="array" ref="W824">IF($V824="","",SUMPRODUCT((Sales!$V$7:$V$1506&lt;&gt;"")*(Sales!$E$7:$E$1506&lt;$E824))+1)</f>
        <v/>
      </c>
      <c r="X824" s="49" t="str">
        <f t="shared" si="16"/>
        <v/>
      </c>
      <c r="Y824" s="49" t="str">
        <f t="shared" si="17"/>
        <v/>
      </c>
    </row>
    <row r="825" ht="15.75" customHeight="1">
      <c r="A825" s="82"/>
      <c r="B825" s="83"/>
      <c r="C825" s="83"/>
      <c r="D825" s="83"/>
      <c r="E825" s="83"/>
      <c r="F825" s="83"/>
      <c r="G825" s="83" t="str">
        <f>IF($F825="","",IFERROR(VLOOKUP($F825,Inventory!$A:$B,2,FALSE),""))</f>
        <v/>
      </c>
      <c r="H825" s="83"/>
      <c r="I825" s="84" t="str">
        <f t="shared" si="2"/>
        <v/>
      </c>
      <c r="J825" s="85" t="str">
        <f>IF($F825="","",IFERROR(VLOOKUP($F825,Inventory!$A:$K,11,FALSE),0))</f>
        <v/>
      </c>
      <c r="K825" s="85"/>
      <c r="L825" s="85" t="str">
        <f t="shared" si="12"/>
        <v/>
      </c>
      <c r="M825" s="83"/>
      <c r="N825" s="85" t="str">
        <f>IF($F825="","",IFERROR(VLOOKUP($F825,Inventory!$A:$I,9,FALSE),0))</f>
        <v/>
      </c>
      <c r="O825" s="85" t="str">
        <f t="shared" si="13"/>
        <v/>
      </c>
      <c r="P825" s="85" t="str">
        <f t="shared" si="5"/>
        <v/>
      </c>
      <c r="Q825" s="83"/>
      <c r="R825" s="118" t="str">
        <f>IF($E825="","",IF(COUNTIF($E$7:$E2022,$E825)&gt;1,"",IFERROR(VLOOKUP($E825,Orders!$A:$I,8,FALSE),"")))</f>
        <v/>
      </c>
      <c r="S825" s="118" t="str">
        <f>IF($E825="","",IF(COUNTIF($E$7:$E2022,$E825)&gt;1,"",IFERROR(VLOOKUP($E825,Orders!$A:$I,9,FALSE),"")))</f>
        <v/>
      </c>
      <c r="T825" s="88" t="str">
        <f t="shared" si="14"/>
        <v/>
      </c>
      <c r="U825" s="88" t="str">
        <f>IF($F825="","",IF($E825="",T825,SUMIF(Sales!$E$7:$E$1506,$E825,Sales!$T$7:$T$1506)))</f>
        <v/>
      </c>
      <c r="V825" s="49" t="str">
        <f t="shared" si="15"/>
        <v/>
      </c>
      <c r="W825" s="49" t="str">
        <f t="array" ref="W825">IF($V825="","",SUMPRODUCT((Sales!$V$7:$V$1506&lt;&gt;"")*(Sales!$E$7:$E$1506&lt;$E825))+1)</f>
        <v/>
      </c>
      <c r="X825" s="49" t="str">
        <f t="shared" si="16"/>
        <v/>
      </c>
      <c r="Y825" s="49" t="str">
        <f t="shared" si="17"/>
        <v/>
      </c>
    </row>
    <row r="826" ht="15.75" customHeight="1">
      <c r="A826" s="82"/>
      <c r="B826" s="83"/>
      <c r="C826" s="83"/>
      <c r="D826" s="83"/>
      <c r="E826" s="83"/>
      <c r="F826" s="83"/>
      <c r="G826" s="83" t="str">
        <f>IF($F826="","",IFERROR(VLOOKUP($F826,Inventory!$A:$B,2,FALSE),""))</f>
        <v/>
      </c>
      <c r="H826" s="83"/>
      <c r="I826" s="84" t="str">
        <f t="shared" si="2"/>
        <v/>
      </c>
      <c r="J826" s="85" t="str">
        <f>IF($F826="","",IFERROR(VLOOKUP($F826,Inventory!$A:$K,11,FALSE),0))</f>
        <v/>
      </c>
      <c r="K826" s="85"/>
      <c r="L826" s="85" t="str">
        <f t="shared" si="12"/>
        <v/>
      </c>
      <c r="M826" s="83"/>
      <c r="N826" s="85" t="str">
        <f>IF($F826="","",IFERROR(VLOOKUP($F826,Inventory!$A:$I,9,FALSE),0))</f>
        <v/>
      </c>
      <c r="O826" s="85" t="str">
        <f t="shared" si="13"/>
        <v/>
      </c>
      <c r="P826" s="85" t="str">
        <f t="shared" si="5"/>
        <v/>
      </c>
      <c r="Q826" s="83"/>
      <c r="R826" s="118" t="str">
        <f>IF($E826="","",IF(COUNTIF($E$7:$E2023,$E826)&gt;1,"",IFERROR(VLOOKUP($E826,Orders!$A:$I,8,FALSE),"")))</f>
        <v/>
      </c>
      <c r="S826" s="118" t="str">
        <f>IF($E826="","",IF(COUNTIF($E$7:$E2023,$E826)&gt;1,"",IFERROR(VLOOKUP($E826,Orders!$A:$I,9,FALSE),"")))</f>
        <v/>
      </c>
      <c r="T826" s="88" t="str">
        <f t="shared" si="14"/>
        <v/>
      </c>
      <c r="U826" s="88" t="str">
        <f>IF($F826="","",IF($E826="",T826,SUMIF(Sales!$E$7:$E$1506,$E826,Sales!$T$7:$T$1506)))</f>
        <v/>
      </c>
      <c r="V826" s="49" t="str">
        <f t="shared" si="15"/>
        <v/>
      </c>
      <c r="W826" s="49" t="str">
        <f t="array" ref="W826">IF($V826="","",SUMPRODUCT((Sales!$V$7:$V$1506&lt;&gt;"")*(Sales!$E$7:$E$1506&lt;$E826))+1)</f>
        <v/>
      </c>
      <c r="X826" s="49" t="str">
        <f t="shared" si="16"/>
        <v/>
      </c>
      <c r="Y826" s="49" t="str">
        <f t="shared" si="17"/>
        <v/>
      </c>
    </row>
    <row r="827" ht="15.75" customHeight="1">
      <c r="A827" s="82"/>
      <c r="B827" s="83"/>
      <c r="C827" s="83"/>
      <c r="D827" s="83"/>
      <c r="E827" s="83"/>
      <c r="F827" s="83"/>
      <c r="G827" s="83" t="str">
        <f>IF($F827="","",IFERROR(VLOOKUP($F827,Inventory!$A:$B,2,FALSE),""))</f>
        <v/>
      </c>
      <c r="H827" s="83"/>
      <c r="I827" s="84" t="str">
        <f t="shared" si="2"/>
        <v/>
      </c>
      <c r="J827" s="85" t="str">
        <f>IF($F827="","",IFERROR(VLOOKUP($F827,Inventory!$A:$K,11,FALSE),0))</f>
        <v/>
      </c>
      <c r="K827" s="85"/>
      <c r="L827" s="85" t="str">
        <f t="shared" si="12"/>
        <v/>
      </c>
      <c r="M827" s="83"/>
      <c r="N827" s="85" t="str">
        <f>IF($F827="","",IFERROR(VLOOKUP($F827,Inventory!$A:$I,9,FALSE),0))</f>
        <v/>
      </c>
      <c r="O827" s="85" t="str">
        <f t="shared" si="13"/>
        <v/>
      </c>
      <c r="P827" s="85" t="str">
        <f t="shared" si="5"/>
        <v/>
      </c>
      <c r="Q827" s="83"/>
      <c r="R827" s="118" t="str">
        <f>IF($E827="","",IF(COUNTIF($E$7:$E2024,$E827)&gt;1,"",IFERROR(VLOOKUP($E827,Orders!$A:$I,8,FALSE),"")))</f>
        <v/>
      </c>
      <c r="S827" s="118" t="str">
        <f>IF($E827="","",IF(COUNTIF($E$7:$E2024,$E827)&gt;1,"",IFERROR(VLOOKUP($E827,Orders!$A:$I,9,FALSE),"")))</f>
        <v/>
      </c>
      <c r="T827" s="88" t="str">
        <f t="shared" si="14"/>
        <v/>
      </c>
      <c r="U827" s="88" t="str">
        <f>IF($F827="","",IF($E827="",T827,SUMIF(Sales!$E$7:$E$1506,$E827,Sales!$T$7:$T$1506)))</f>
        <v/>
      </c>
      <c r="V827" s="49" t="str">
        <f t="shared" si="15"/>
        <v/>
      </c>
      <c r="W827" s="49" t="str">
        <f t="array" ref="W827">IF($V827="","",SUMPRODUCT((Sales!$V$7:$V$1506&lt;&gt;"")*(Sales!$E$7:$E$1506&lt;$E827))+1)</f>
        <v/>
      </c>
      <c r="X827" s="49" t="str">
        <f t="shared" si="16"/>
        <v/>
      </c>
      <c r="Y827" s="49" t="str">
        <f t="shared" si="17"/>
        <v/>
      </c>
    </row>
    <row r="828" ht="15.75" customHeight="1">
      <c r="A828" s="82"/>
      <c r="B828" s="83"/>
      <c r="C828" s="83"/>
      <c r="D828" s="83"/>
      <c r="E828" s="83"/>
      <c r="F828" s="83"/>
      <c r="G828" s="83" t="str">
        <f>IF($F828="","",IFERROR(VLOOKUP($F828,Inventory!$A:$B,2,FALSE),""))</f>
        <v/>
      </c>
      <c r="H828" s="83"/>
      <c r="I828" s="84" t="str">
        <f t="shared" si="2"/>
        <v/>
      </c>
      <c r="J828" s="85" t="str">
        <f>IF($F828="","",IFERROR(VLOOKUP($F828,Inventory!$A:$K,11,FALSE),0))</f>
        <v/>
      </c>
      <c r="K828" s="85"/>
      <c r="L828" s="85" t="str">
        <f t="shared" si="12"/>
        <v/>
      </c>
      <c r="M828" s="83"/>
      <c r="N828" s="85" t="str">
        <f>IF($F828="","",IFERROR(VLOOKUP($F828,Inventory!$A:$I,9,FALSE),0))</f>
        <v/>
      </c>
      <c r="O828" s="85" t="str">
        <f t="shared" si="13"/>
        <v/>
      </c>
      <c r="P828" s="85" t="str">
        <f t="shared" si="5"/>
        <v/>
      </c>
      <c r="Q828" s="83"/>
      <c r="R828" s="118" t="str">
        <f>IF($E828="","",IF(COUNTIF($E$7:$E2025,$E828)&gt;1,"",IFERROR(VLOOKUP($E828,Orders!$A:$I,8,FALSE),"")))</f>
        <v/>
      </c>
      <c r="S828" s="118" t="str">
        <f>IF($E828="","",IF(COUNTIF($E$7:$E2025,$E828)&gt;1,"",IFERROR(VLOOKUP($E828,Orders!$A:$I,9,FALSE),"")))</f>
        <v/>
      </c>
      <c r="T828" s="88" t="str">
        <f t="shared" si="14"/>
        <v/>
      </c>
      <c r="U828" s="88" t="str">
        <f>IF($F828="","",IF($E828="",T828,SUMIF(Sales!$E$7:$E$1506,$E828,Sales!$T$7:$T$1506)))</f>
        <v/>
      </c>
      <c r="V828" s="49" t="str">
        <f t="shared" si="15"/>
        <v/>
      </c>
      <c r="W828" s="49" t="str">
        <f t="array" ref="W828">IF($V828="","",SUMPRODUCT((Sales!$V$7:$V$1506&lt;&gt;"")*(Sales!$E$7:$E$1506&lt;$E828))+1)</f>
        <v/>
      </c>
      <c r="X828" s="49" t="str">
        <f t="shared" si="16"/>
        <v/>
      </c>
      <c r="Y828" s="49" t="str">
        <f t="shared" si="17"/>
        <v/>
      </c>
    </row>
    <row r="829" ht="15.75" customHeight="1">
      <c r="A829" s="82"/>
      <c r="B829" s="83"/>
      <c r="C829" s="83"/>
      <c r="D829" s="83"/>
      <c r="E829" s="83"/>
      <c r="F829" s="83"/>
      <c r="G829" s="83" t="str">
        <f>IF($F829="","",IFERROR(VLOOKUP($F829,Inventory!$A:$B,2,FALSE),""))</f>
        <v/>
      </c>
      <c r="H829" s="83"/>
      <c r="I829" s="84" t="str">
        <f t="shared" si="2"/>
        <v/>
      </c>
      <c r="J829" s="85" t="str">
        <f>IF($F829="","",IFERROR(VLOOKUP($F829,Inventory!$A:$K,11,FALSE),0))</f>
        <v/>
      </c>
      <c r="K829" s="85"/>
      <c r="L829" s="85" t="str">
        <f t="shared" si="12"/>
        <v/>
      </c>
      <c r="M829" s="83"/>
      <c r="N829" s="85" t="str">
        <f>IF($F829="","",IFERROR(VLOOKUP($F829,Inventory!$A:$I,9,FALSE),0))</f>
        <v/>
      </c>
      <c r="O829" s="85" t="str">
        <f t="shared" si="13"/>
        <v/>
      </c>
      <c r="P829" s="85" t="str">
        <f t="shared" si="5"/>
        <v/>
      </c>
      <c r="Q829" s="83"/>
      <c r="R829" s="118" t="str">
        <f>IF($E829="","",IF(COUNTIF($E$7:$E2026,$E829)&gt;1,"",IFERROR(VLOOKUP($E829,Orders!$A:$I,8,FALSE),"")))</f>
        <v/>
      </c>
      <c r="S829" s="118" t="str">
        <f>IF($E829="","",IF(COUNTIF($E$7:$E2026,$E829)&gt;1,"",IFERROR(VLOOKUP($E829,Orders!$A:$I,9,FALSE),"")))</f>
        <v/>
      </c>
      <c r="T829" s="88" t="str">
        <f t="shared" si="14"/>
        <v/>
      </c>
      <c r="U829" s="88" t="str">
        <f>IF($F829="","",IF($E829="",T829,SUMIF(Sales!$E$7:$E$1506,$E829,Sales!$T$7:$T$1506)))</f>
        <v/>
      </c>
      <c r="V829" s="49" t="str">
        <f t="shared" si="15"/>
        <v/>
      </c>
      <c r="W829" s="49" t="str">
        <f t="array" ref="W829">IF($V829="","",SUMPRODUCT((Sales!$V$7:$V$1506&lt;&gt;"")*(Sales!$E$7:$E$1506&lt;$E829))+1)</f>
        <v/>
      </c>
      <c r="X829" s="49" t="str">
        <f t="shared" si="16"/>
        <v/>
      </c>
      <c r="Y829" s="49" t="str">
        <f t="shared" si="17"/>
        <v/>
      </c>
    </row>
    <row r="830" ht="15.75" customHeight="1">
      <c r="A830" s="82"/>
      <c r="B830" s="83"/>
      <c r="C830" s="83"/>
      <c r="D830" s="83"/>
      <c r="E830" s="83"/>
      <c r="F830" s="83"/>
      <c r="G830" s="83" t="str">
        <f>IF($F830="","",IFERROR(VLOOKUP($F830,Inventory!$A:$B,2,FALSE),""))</f>
        <v/>
      </c>
      <c r="H830" s="83"/>
      <c r="I830" s="84" t="str">
        <f t="shared" si="2"/>
        <v/>
      </c>
      <c r="J830" s="85" t="str">
        <f>IF($F830="","",IFERROR(VLOOKUP($F830,Inventory!$A:$K,11,FALSE),0))</f>
        <v/>
      </c>
      <c r="K830" s="85"/>
      <c r="L830" s="85" t="str">
        <f t="shared" si="12"/>
        <v/>
      </c>
      <c r="M830" s="83"/>
      <c r="N830" s="85" t="str">
        <f>IF($F830="","",IFERROR(VLOOKUP($F830,Inventory!$A:$I,9,FALSE),0))</f>
        <v/>
      </c>
      <c r="O830" s="85" t="str">
        <f t="shared" si="13"/>
        <v/>
      </c>
      <c r="P830" s="85" t="str">
        <f t="shared" si="5"/>
        <v/>
      </c>
      <c r="Q830" s="83"/>
      <c r="R830" s="118" t="str">
        <f>IF($E830="","",IF(COUNTIF($E$7:$E2027,$E830)&gt;1,"",IFERROR(VLOOKUP($E830,Orders!$A:$I,8,FALSE),"")))</f>
        <v/>
      </c>
      <c r="S830" s="118" t="str">
        <f>IF($E830="","",IF(COUNTIF($E$7:$E2027,$E830)&gt;1,"",IFERROR(VLOOKUP($E830,Orders!$A:$I,9,FALSE),"")))</f>
        <v/>
      </c>
      <c r="T830" s="88" t="str">
        <f t="shared" si="14"/>
        <v/>
      </c>
      <c r="U830" s="88" t="str">
        <f>IF($F830="","",IF($E830="",T830,SUMIF(Sales!$E$7:$E$1506,$E830,Sales!$T$7:$T$1506)))</f>
        <v/>
      </c>
      <c r="V830" s="49" t="str">
        <f t="shared" si="15"/>
        <v/>
      </c>
      <c r="W830" s="49" t="str">
        <f t="array" ref="W830">IF($V830="","",SUMPRODUCT((Sales!$V$7:$V$1506&lt;&gt;"")*(Sales!$E$7:$E$1506&lt;$E830))+1)</f>
        <v/>
      </c>
      <c r="X830" s="49" t="str">
        <f t="shared" si="16"/>
        <v/>
      </c>
      <c r="Y830" s="49" t="str">
        <f t="shared" si="17"/>
        <v/>
      </c>
    </row>
    <row r="831" ht="15.75" customHeight="1">
      <c r="A831" s="82"/>
      <c r="B831" s="83"/>
      <c r="C831" s="83"/>
      <c r="D831" s="83"/>
      <c r="E831" s="83"/>
      <c r="F831" s="83"/>
      <c r="G831" s="83" t="str">
        <f>IF($F831="","",IFERROR(VLOOKUP($F831,Inventory!$A:$B,2,FALSE),""))</f>
        <v/>
      </c>
      <c r="H831" s="83"/>
      <c r="I831" s="84" t="str">
        <f t="shared" si="2"/>
        <v/>
      </c>
      <c r="J831" s="85" t="str">
        <f>IF($F831="","",IFERROR(VLOOKUP($F831,Inventory!$A:$K,11,FALSE),0))</f>
        <v/>
      </c>
      <c r="K831" s="85"/>
      <c r="L831" s="85" t="str">
        <f t="shared" si="12"/>
        <v/>
      </c>
      <c r="M831" s="83"/>
      <c r="N831" s="85" t="str">
        <f>IF($F831="","",IFERROR(VLOOKUP($F831,Inventory!$A:$I,9,FALSE),0))</f>
        <v/>
      </c>
      <c r="O831" s="85" t="str">
        <f t="shared" si="13"/>
        <v/>
      </c>
      <c r="P831" s="85" t="str">
        <f t="shared" si="5"/>
        <v/>
      </c>
      <c r="Q831" s="83"/>
      <c r="R831" s="118" t="str">
        <f>IF($E831="","",IF(COUNTIF($E$7:$E2028,$E831)&gt;1,"",IFERROR(VLOOKUP($E831,Orders!$A:$I,8,FALSE),"")))</f>
        <v/>
      </c>
      <c r="S831" s="118" t="str">
        <f>IF($E831="","",IF(COUNTIF($E$7:$E2028,$E831)&gt;1,"",IFERROR(VLOOKUP($E831,Orders!$A:$I,9,FALSE),"")))</f>
        <v/>
      </c>
      <c r="T831" s="88" t="str">
        <f t="shared" si="14"/>
        <v/>
      </c>
      <c r="U831" s="88" t="str">
        <f>IF($F831="","",IF($E831="",T831,SUMIF(Sales!$E$7:$E$1506,$E831,Sales!$T$7:$T$1506)))</f>
        <v/>
      </c>
      <c r="V831" s="49" t="str">
        <f t="shared" si="15"/>
        <v/>
      </c>
      <c r="W831" s="49" t="str">
        <f t="array" ref="W831">IF($V831="","",SUMPRODUCT((Sales!$V$7:$V$1506&lt;&gt;"")*(Sales!$E$7:$E$1506&lt;$E831))+1)</f>
        <v/>
      </c>
      <c r="X831" s="49" t="str">
        <f t="shared" si="16"/>
        <v/>
      </c>
      <c r="Y831" s="49" t="str">
        <f t="shared" si="17"/>
        <v/>
      </c>
    </row>
    <row r="832" ht="15.75" customHeight="1">
      <c r="A832" s="82"/>
      <c r="B832" s="83"/>
      <c r="C832" s="83"/>
      <c r="D832" s="83"/>
      <c r="E832" s="83"/>
      <c r="F832" s="83"/>
      <c r="G832" s="83" t="str">
        <f>IF($F832="","",IFERROR(VLOOKUP($F832,Inventory!$A:$B,2,FALSE),""))</f>
        <v/>
      </c>
      <c r="H832" s="83"/>
      <c r="I832" s="84" t="str">
        <f t="shared" si="2"/>
        <v/>
      </c>
      <c r="J832" s="85" t="str">
        <f>IF($F832="","",IFERROR(VLOOKUP($F832,Inventory!$A:$K,11,FALSE),0))</f>
        <v/>
      </c>
      <c r="K832" s="85"/>
      <c r="L832" s="85" t="str">
        <f t="shared" si="12"/>
        <v/>
      </c>
      <c r="M832" s="83"/>
      <c r="N832" s="85" t="str">
        <f>IF($F832="","",IFERROR(VLOOKUP($F832,Inventory!$A:$I,9,FALSE),0))</f>
        <v/>
      </c>
      <c r="O832" s="85" t="str">
        <f t="shared" si="13"/>
        <v/>
      </c>
      <c r="P832" s="85" t="str">
        <f t="shared" si="5"/>
        <v/>
      </c>
      <c r="Q832" s="83"/>
      <c r="R832" s="118" t="str">
        <f>IF($E832="","",IF(COUNTIF($E$7:$E2029,$E832)&gt;1,"",IFERROR(VLOOKUP($E832,Orders!$A:$I,8,FALSE),"")))</f>
        <v/>
      </c>
      <c r="S832" s="118" t="str">
        <f>IF($E832="","",IF(COUNTIF($E$7:$E2029,$E832)&gt;1,"",IFERROR(VLOOKUP($E832,Orders!$A:$I,9,FALSE),"")))</f>
        <v/>
      </c>
      <c r="T832" s="88" t="str">
        <f t="shared" si="14"/>
        <v/>
      </c>
      <c r="U832" s="88" t="str">
        <f>IF($F832="","",IF($E832="",T832,SUMIF(Sales!$E$7:$E$1506,$E832,Sales!$T$7:$T$1506)))</f>
        <v/>
      </c>
      <c r="V832" s="49" t="str">
        <f t="shared" si="15"/>
        <v/>
      </c>
      <c r="W832" s="49" t="str">
        <f t="array" ref="W832">IF($V832="","",SUMPRODUCT((Sales!$V$7:$V$1506&lt;&gt;"")*(Sales!$E$7:$E$1506&lt;$E832))+1)</f>
        <v/>
      </c>
      <c r="X832" s="49" t="str">
        <f t="shared" si="16"/>
        <v/>
      </c>
      <c r="Y832" s="49" t="str">
        <f t="shared" si="17"/>
        <v/>
      </c>
    </row>
    <row r="833" ht="15.75" customHeight="1">
      <c r="A833" s="82"/>
      <c r="B833" s="83"/>
      <c r="C833" s="83"/>
      <c r="D833" s="83"/>
      <c r="E833" s="83"/>
      <c r="F833" s="83"/>
      <c r="G833" s="83" t="str">
        <f>IF($F833="","",IFERROR(VLOOKUP($F833,Inventory!$A:$B,2,FALSE),""))</f>
        <v/>
      </c>
      <c r="H833" s="83"/>
      <c r="I833" s="84" t="str">
        <f t="shared" si="2"/>
        <v/>
      </c>
      <c r="J833" s="85" t="str">
        <f>IF($F833="","",IFERROR(VLOOKUP($F833,Inventory!$A:$K,11,FALSE),0))</f>
        <v/>
      </c>
      <c r="K833" s="85"/>
      <c r="L833" s="85" t="str">
        <f t="shared" si="12"/>
        <v/>
      </c>
      <c r="M833" s="83"/>
      <c r="N833" s="85" t="str">
        <f>IF($F833="","",IFERROR(VLOOKUP($F833,Inventory!$A:$I,9,FALSE),0))</f>
        <v/>
      </c>
      <c r="O833" s="85" t="str">
        <f t="shared" si="13"/>
        <v/>
      </c>
      <c r="P833" s="85" t="str">
        <f t="shared" si="5"/>
        <v/>
      </c>
      <c r="Q833" s="83"/>
      <c r="R833" s="118" t="str">
        <f>IF($E833="","",IF(COUNTIF($E$7:$E2030,$E833)&gt;1,"",IFERROR(VLOOKUP($E833,Orders!$A:$I,8,FALSE),"")))</f>
        <v/>
      </c>
      <c r="S833" s="118" t="str">
        <f>IF($E833="","",IF(COUNTIF($E$7:$E2030,$E833)&gt;1,"",IFERROR(VLOOKUP($E833,Orders!$A:$I,9,FALSE),"")))</f>
        <v/>
      </c>
      <c r="T833" s="88" t="str">
        <f t="shared" si="14"/>
        <v/>
      </c>
      <c r="U833" s="88" t="str">
        <f>IF($F833="","",IF($E833="",T833,SUMIF(Sales!$E$7:$E$1506,$E833,Sales!$T$7:$T$1506)))</f>
        <v/>
      </c>
      <c r="V833" s="49" t="str">
        <f t="shared" si="15"/>
        <v/>
      </c>
      <c r="W833" s="49" t="str">
        <f t="array" ref="W833">IF($V833="","",SUMPRODUCT((Sales!$V$7:$V$1506&lt;&gt;"")*(Sales!$E$7:$E$1506&lt;$E833))+1)</f>
        <v/>
      </c>
      <c r="X833" s="49" t="str">
        <f t="shared" si="16"/>
        <v/>
      </c>
      <c r="Y833" s="49" t="str">
        <f t="shared" si="17"/>
        <v/>
      </c>
    </row>
    <row r="834" ht="15.75" customHeight="1">
      <c r="A834" s="82"/>
      <c r="B834" s="83"/>
      <c r="C834" s="83"/>
      <c r="D834" s="83"/>
      <c r="E834" s="83"/>
      <c r="F834" s="83"/>
      <c r="G834" s="83" t="str">
        <f>IF($F834="","",IFERROR(VLOOKUP($F834,Inventory!$A:$B,2,FALSE),""))</f>
        <v/>
      </c>
      <c r="H834" s="83"/>
      <c r="I834" s="84" t="str">
        <f t="shared" si="2"/>
        <v/>
      </c>
      <c r="J834" s="85" t="str">
        <f>IF($F834="","",IFERROR(VLOOKUP($F834,Inventory!$A:$K,11,FALSE),0))</f>
        <v/>
      </c>
      <c r="K834" s="85"/>
      <c r="L834" s="85" t="str">
        <f t="shared" si="12"/>
        <v/>
      </c>
      <c r="M834" s="83"/>
      <c r="N834" s="85" t="str">
        <f>IF($F834="","",IFERROR(VLOOKUP($F834,Inventory!$A:$I,9,FALSE),0))</f>
        <v/>
      </c>
      <c r="O834" s="85" t="str">
        <f t="shared" si="13"/>
        <v/>
      </c>
      <c r="P834" s="85" t="str">
        <f t="shared" si="5"/>
        <v/>
      </c>
      <c r="Q834" s="83"/>
      <c r="R834" s="118" t="str">
        <f>IF($E834="","",IF(COUNTIF($E$7:$E2031,$E834)&gt;1,"",IFERROR(VLOOKUP($E834,Orders!$A:$I,8,FALSE),"")))</f>
        <v/>
      </c>
      <c r="S834" s="118" t="str">
        <f>IF($E834="","",IF(COUNTIF($E$7:$E2031,$E834)&gt;1,"",IFERROR(VLOOKUP($E834,Orders!$A:$I,9,FALSE),"")))</f>
        <v/>
      </c>
      <c r="T834" s="88" t="str">
        <f t="shared" si="14"/>
        <v/>
      </c>
      <c r="U834" s="88" t="str">
        <f>IF($F834="","",IF($E834="",T834,SUMIF(Sales!$E$7:$E$1506,$E834,Sales!$T$7:$T$1506)))</f>
        <v/>
      </c>
      <c r="V834" s="49" t="str">
        <f t="shared" si="15"/>
        <v/>
      </c>
      <c r="W834" s="49" t="str">
        <f t="array" ref="W834">IF($V834="","",SUMPRODUCT((Sales!$V$7:$V$1506&lt;&gt;"")*(Sales!$E$7:$E$1506&lt;$E834))+1)</f>
        <v/>
      </c>
      <c r="X834" s="49" t="str">
        <f t="shared" si="16"/>
        <v/>
      </c>
      <c r="Y834" s="49" t="str">
        <f t="shared" si="17"/>
        <v/>
      </c>
    </row>
    <row r="835" ht="15.75" customHeight="1">
      <c r="A835" s="82"/>
      <c r="B835" s="83"/>
      <c r="C835" s="83"/>
      <c r="D835" s="83"/>
      <c r="E835" s="83"/>
      <c r="F835" s="83"/>
      <c r="G835" s="83" t="str">
        <f>IF($F835="","",IFERROR(VLOOKUP($F835,Inventory!$A:$B,2,FALSE),""))</f>
        <v/>
      </c>
      <c r="H835" s="83"/>
      <c r="I835" s="84" t="str">
        <f t="shared" si="2"/>
        <v/>
      </c>
      <c r="J835" s="85" t="str">
        <f>IF($F835="","",IFERROR(VLOOKUP($F835,Inventory!$A:$K,11,FALSE),0))</f>
        <v/>
      </c>
      <c r="K835" s="85"/>
      <c r="L835" s="85" t="str">
        <f t="shared" si="12"/>
        <v/>
      </c>
      <c r="M835" s="83"/>
      <c r="N835" s="85" t="str">
        <f>IF($F835="","",IFERROR(VLOOKUP($F835,Inventory!$A:$I,9,FALSE),0))</f>
        <v/>
      </c>
      <c r="O835" s="85" t="str">
        <f t="shared" si="13"/>
        <v/>
      </c>
      <c r="P835" s="85" t="str">
        <f t="shared" si="5"/>
        <v/>
      </c>
      <c r="Q835" s="83"/>
      <c r="R835" s="118" t="str">
        <f>IF($E835="","",IF(COUNTIF($E$7:$E2032,$E835)&gt;1,"",IFERROR(VLOOKUP($E835,Orders!$A:$I,8,FALSE),"")))</f>
        <v/>
      </c>
      <c r="S835" s="118" t="str">
        <f>IF($E835="","",IF(COUNTIF($E$7:$E2032,$E835)&gt;1,"",IFERROR(VLOOKUP($E835,Orders!$A:$I,9,FALSE),"")))</f>
        <v/>
      </c>
      <c r="T835" s="88" t="str">
        <f t="shared" si="14"/>
        <v/>
      </c>
      <c r="U835" s="88" t="str">
        <f>IF($F835="","",IF($E835="",T835,SUMIF(Sales!$E$7:$E$1506,$E835,Sales!$T$7:$T$1506)))</f>
        <v/>
      </c>
      <c r="V835" s="49" t="str">
        <f t="shared" si="15"/>
        <v/>
      </c>
      <c r="W835" s="49" t="str">
        <f t="array" ref="W835">IF($V835="","",SUMPRODUCT((Sales!$V$7:$V$1506&lt;&gt;"")*(Sales!$E$7:$E$1506&lt;$E835))+1)</f>
        <v/>
      </c>
      <c r="X835" s="49" t="str">
        <f t="shared" si="16"/>
        <v/>
      </c>
      <c r="Y835" s="49" t="str">
        <f t="shared" si="17"/>
        <v/>
      </c>
    </row>
    <row r="836" ht="15.75" customHeight="1">
      <c r="A836" s="82"/>
      <c r="B836" s="83"/>
      <c r="C836" s="83"/>
      <c r="D836" s="83"/>
      <c r="E836" s="83"/>
      <c r="F836" s="83"/>
      <c r="G836" s="83" t="str">
        <f>IF($F836="","",IFERROR(VLOOKUP($F836,Inventory!$A:$B,2,FALSE),""))</f>
        <v/>
      </c>
      <c r="H836" s="83"/>
      <c r="I836" s="84" t="str">
        <f t="shared" si="2"/>
        <v/>
      </c>
      <c r="J836" s="85" t="str">
        <f>IF($F836="","",IFERROR(VLOOKUP($F836,Inventory!$A:$K,11,FALSE),0))</f>
        <v/>
      </c>
      <c r="K836" s="85"/>
      <c r="L836" s="85" t="str">
        <f t="shared" si="12"/>
        <v/>
      </c>
      <c r="M836" s="83"/>
      <c r="N836" s="85" t="str">
        <f>IF($F836="","",IFERROR(VLOOKUP($F836,Inventory!$A:$I,9,FALSE),0))</f>
        <v/>
      </c>
      <c r="O836" s="85" t="str">
        <f t="shared" si="13"/>
        <v/>
      </c>
      <c r="P836" s="85" t="str">
        <f t="shared" si="5"/>
        <v/>
      </c>
      <c r="Q836" s="83"/>
      <c r="R836" s="118" t="str">
        <f>IF($E836="","",IF(COUNTIF($E$7:$E2033,$E836)&gt;1,"",IFERROR(VLOOKUP($E836,Orders!$A:$I,8,FALSE),"")))</f>
        <v/>
      </c>
      <c r="S836" s="118" t="str">
        <f>IF($E836="","",IF(COUNTIF($E$7:$E2033,$E836)&gt;1,"",IFERROR(VLOOKUP($E836,Orders!$A:$I,9,FALSE),"")))</f>
        <v/>
      </c>
      <c r="T836" s="88" t="str">
        <f t="shared" si="14"/>
        <v/>
      </c>
      <c r="U836" s="88" t="str">
        <f>IF($F836="","",IF($E836="",T836,SUMIF(Sales!$E$7:$E$1506,$E836,Sales!$T$7:$T$1506)))</f>
        <v/>
      </c>
      <c r="V836" s="49" t="str">
        <f t="shared" si="15"/>
        <v/>
      </c>
      <c r="W836" s="49" t="str">
        <f t="array" ref="W836">IF($V836="","",SUMPRODUCT((Sales!$V$7:$V$1506&lt;&gt;"")*(Sales!$E$7:$E$1506&lt;$E836))+1)</f>
        <v/>
      </c>
      <c r="X836" s="49" t="str">
        <f t="shared" si="16"/>
        <v/>
      </c>
      <c r="Y836" s="49" t="str">
        <f t="shared" si="17"/>
        <v/>
      </c>
    </row>
    <row r="837" ht="15.75" customHeight="1">
      <c r="A837" s="82"/>
      <c r="B837" s="83"/>
      <c r="C837" s="83"/>
      <c r="D837" s="83"/>
      <c r="E837" s="83"/>
      <c r="F837" s="83"/>
      <c r="G837" s="83" t="str">
        <f>IF($F837="","",IFERROR(VLOOKUP($F837,Inventory!$A:$B,2,FALSE),""))</f>
        <v/>
      </c>
      <c r="H837" s="83"/>
      <c r="I837" s="84" t="str">
        <f t="shared" si="2"/>
        <v/>
      </c>
      <c r="J837" s="85" t="str">
        <f>IF($F837="","",IFERROR(VLOOKUP($F837,Inventory!$A:$K,11,FALSE),0))</f>
        <v/>
      </c>
      <c r="K837" s="85"/>
      <c r="L837" s="85" t="str">
        <f t="shared" si="12"/>
        <v/>
      </c>
      <c r="M837" s="83"/>
      <c r="N837" s="85" t="str">
        <f>IF($F837="","",IFERROR(VLOOKUP($F837,Inventory!$A:$I,9,FALSE),0))</f>
        <v/>
      </c>
      <c r="O837" s="85" t="str">
        <f t="shared" si="13"/>
        <v/>
      </c>
      <c r="P837" s="85" t="str">
        <f t="shared" si="5"/>
        <v/>
      </c>
      <c r="Q837" s="83"/>
      <c r="R837" s="118" t="str">
        <f>IF($E837="","",IF(COUNTIF($E$7:$E2034,$E837)&gt;1,"",IFERROR(VLOOKUP($E837,Orders!$A:$I,8,FALSE),"")))</f>
        <v/>
      </c>
      <c r="S837" s="118" t="str">
        <f>IF($E837="","",IF(COUNTIF($E$7:$E2034,$E837)&gt;1,"",IFERROR(VLOOKUP($E837,Orders!$A:$I,9,FALSE),"")))</f>
        <v/>
      </c>
      <c r="T837" s="88" t="str">
        <f t="shared" si="14"/>
        <v/>
      </c>
      <c r="U837" s="88" t="str">
        <f>IF($F837="","",IF($E837="",T837,SUMIF(Sales!$E$7:$E$1506,$E837,Sales!$T$7:$T$1506)))</f>
        <v/>
      </c>
      <c r="V837" s="49" t="str">
        <f t="shared" si="15"/>
        <v/>
      </c>
      <c r="W837" s="49" t="str">
        <f t="array" ref="W837">IF($V837="","",SUMPRODUCT((Sales!$V$7:$V$1506&lt;&gt;"")*(Sales!$E$7:$E$1506&lt;$E837))+1)</f>
        <v/>
      </c>
      <c r="X837" s="49" t="str">
        <f t="shared" si="16"/>
        <v/>
      </c>
      <c r="Y837" s="49" t="str">
        <f t="shared" si="17"/>
        <v/>
      </c>
    </row>
    <row r="838" ht="15.75" customHeight="1">
      <c r="A838" s="82"/>
      <c r="B838" s="83"/>
      <c r="C838" s="83"/>
      <c r="D838" s="83"/>
      <c r="E838" s="83"/>
      <c r="F838" s="83"/>
      <c r="G838" s="83" t="str">
        <f>IF($F838="","",IFERROR(VLOOKUP($F838,Inventory!$A:$B,2,FALSE),""))</f>
        <v/>
      </c>
      <c r="H838" s="83"/>
      <c r="I838" s="84" t="str">
        <f t="shared" si="2"/>
        <v/>
      </c>
      <c r="J838" s="85" t="str">
        <f>IF($F838="","",IFERROR(VLOOKUP($F838,Inventory!$A:$K,11,FALSE),0))</f>
        <v/>
      </c>
      <c r="K838" s="85"/>
      <c r="L838" s="85" t="str">
        <f t="shared" si="12"/>
        <v/>
      </c>
      <c r="M838" s="83"/>
      <c r="N838" s="85" t="str">
        <f>IF($F838="","",IFERROR(VLOOKUP($F838,Inventory!$A:$I,9,FALSE),0))</f>
        <v/>
      </c>
      <c r="O838" s="85" t="str">
        <f t="shared" si="13"/>
        <v/>
      </c>
      <c r="P838" s="85" t="str">
        <f t="shared" si="5"/>
        <v/>
      </c>
      <c r="Q838" s="83"/>
      <c r="R838" s="118" t="str">
        <f>IF($E838="","",IF(COUNTIF($E$7:$E2035,$E838)&gt;1,"",IFERROR(VLOOKUP($E838,Orders!$A:$I,8,FALSE),"")))</f>
        <v/>
      </c>
      <c r="S838" s="118" t="str">
        <f>IF($E838="","",IF(COUNTIF($E$7:$E2035,$E838)&gt;1,"",IFERROR(VLOOKUP($E838,Orders!$A:$I,9,FALSE),"")))</f>
        <v/>
      </c>
      <c r="T838" s="88" t="str">
        <f t="shared" si="14"/>
        <v/>
      </c>
      <c r="U838" s="88" t="str">
        <f>IF($F838="","",IF($E838="",T838,SUMIF(Sales!$E$7:$E$1506,$E838,Sales!$T$7:$T$1506)))</f>
        <v/>
      </c>
      <c r="V838" s="49" t="str">
        <f t="shared" si="15"/>
        <v/>
      </c>
      <c r="W838" s="49" t="str">
        <f t="array" ref="W838">IF($V838="","",SUMPRODUCT((Sales!$V$7:$V$1506&lt;&gt;"")*(Sales!$E$7:$E$1506&lt;$E838))+1)</f>
        <v/>
      </c>
      <c r="X838" s="49" t="str">
        <f t="shared" si="16"/>
        <v/>
      </c>
      <c r="Y838" s="49" t="str">
        <f t="shared" si="17"/>
        <v/>
      </c>
    </row>
    <row r="839" ht="15.75" customHeight="1">
      <c r="A839" s="82"/>
      <c r="B839" s="83"/>
      <c r="C839" s="83"/>
      <c r="D839" s="83"/>
      <c r="E839" s="83"/>
      <c r="F839" s="83"/>
      <c r="G839" s="83" t="str">
        <f>IF($F839="","",IFERROR(VLOOKUP($F839,Inventory!$A:$B,2,FALSE),""))</f>
        <v/>
      </c>
      <c r="H839" s="83"/>
      <c r="I839" s="84" t="str">
        <f t="shared" si="2"/>
        <v/>
      </c>
      <c r="J839" s="85" t="str">
        <f>IF($F839="","",IFERROR(VLOOKUP($F839,Inventory!$A:$K,11,FALSE),0))</f>
        <v/>
      </c>
      <c r="K839" s="85"/>
      <c r="L839" s="85" t="str">
        <f t="shared" si="12"/>
        <v/>
      </c>
      <c r="M839" s="83"/>
      <c r="N839" s="85" t="str">
        <f>IF($F839="","",IFERROR(VLOOKUP($F839,Inventory!$A:$I,9,FALSE),0))</f>
        <v/>
      </c>
      <c r="O839" s="85" t="str">
        <f t="shared" si="13"/>
        <v/>
      </c>
      <c r="P839" s="85" t="str">
        <f t="shared" si="5"/>
        <v/>
      </c>
      <c r="Q839" s="83"/>
      <c r="R839" s="118" t="str">
        <f>IF($E839="","",IF(COUNTIF($E$7:$E2036,$E839)&gt;1,"",IFERROR(VLOOKUP($E839,Orders!$A:$I,8,FALSE),"")))</f>
        <v/>
      </c>
      <c r="S839" s="118" t="str">
        <f>IF($E839="","",IF(COUNTIF($E$7:$E2036,$E839)&gt;1,"",IFERROR(VLOOKUP($E839,Orders!$A:$I,9,FALSE),"")))</f>
        <v/>
      </c>
      <c r="T839" s="88" t="str">
        <f t="shared" si="14"/>
        <v/>
      </c>
      <c r="U839" s="88" t="str">
        <f>IF($F839="","",IF($E839="",T839,SUMIF(Sales!$E$7:$E$1506,$E839,Sales!$T$7:$T$1506)))</f>
        <v/>
      </c>
      <c r="V839" s="49" t="str">
        <f t="shared" si="15"/>
        <v/>
      </c>
      <c r="W839" s="49" t="str">
        <f t="array" ref="W839">IF($V839="","",SUMPRODUCT((Sales!$V$7:$V$1506&lt;&gt;"")*(Sales!$E$7:$E$1506&lt;$E839))+1)</f>
        <v/>
      </c>
      <c r="X839" s="49" t="str">
        <f t="shared" si="16"/>
        <v/>
      </c>
      <c r="Y839" s="49" t="str">
        <f t="shared" si="17"/>
        <v/>
      </c>
    </row>
    <row r="840" ht="15.75" customHeight="1">
      <c r="A840" s="82"/>
      <c r="B840" s="83"/>
      <c r="C840" s="83"/>
      <c r="D840" s="83"/>
      <c r="E840" s="83"/>
      <c r="F840" s="83"/>
      <c r="G840" s="83" t="str">
        <f>IF($F840="","",IFERROR(VLOOKUP($F840,Inventory!$A:$B,2,FALSE),""))</f>
        <v/>
      </c>
      <c r="H840" s="83"/>
      <c r="I840" s="84" t="str">
        <f t="shared" si="2"/>
        <v/>
      </c>
      <c r="J840" s="85" t="str">
        <f>IF($F840="","",IFERROR(VLOOKUP($F840,Inventory!$A:$K,11,FALSE),0))</f>
        <v/>
      </c>
      <c r="K840" s="85"/>
      <c r="L840" s="85" t="str">
        <f t="shared" si="12"/>
        <v/>
      </c>
      <c r="M840" s="83"/>
      <c r="N840" s="85" t="str">
        <f>IF($F840="","",IFERROR(VLOOKUP($F840,Inventory!$A:$I,9,FALSE),0))</f>
        <v/>
      </c>
      <c r="O840" s="85" t="str">
        <f t="shared" si="13"/>
        <v/>
      </c>
      <c r="P840" s="85" t="str">
        <f t="shared" si="5"/>
        <v/>
      </c>
      <c r="Q840" s="83"/>
      <c r="R840" s="118" t="str">
        <f>IF($E840="","",IF(COUNTIF($E$7:$E2037,$E840)&gt;1,"",IFERROR(VLOOKUP($E840,Orders!$A:$I,8,FALSE),"")))</f>
        <v/>
      </c>
      <c r="S840" s="118" t="str">
        <f>IF($E840="","",IF(COUNTIF($E$7:$E2037,$E840)&gt;1,"",IFERROR(VLOOKUP($E840,Orders!$A:$I,9,FALSE),"")))</f>
        <v/>
      </c>
      <c r="T840" s="88" t="str">
        <f t="shared" si="14"/>
        <v/>
      </c>
      <c r="U840" s="88" t="str">
        <f>IF($F840="","",IF($E840="",T840,SUMIF(Sales!$E$7:$E$1506,$E840,Sales!$T$7:$T$1506)))</f>
        <v/>
      </c>
      <c r="V840" s="49" t="str">
        <f t="shared" si="15"/>
        <v/>
      </c>
      <c r="W840" s="49" t="str">
        <f t="array" ref="W840">IF($V840="","",SUMPRODUCT((Sales!$V$7:$V$1506&lt;&gt;"")*(Sales!$E$7:$E$1506&lt;$E840))+1)</f>
        <v/>
      </c>
      <c r="X840" s="49" t="str">
        <f t="shared" si="16"/>
        <v/>
      </c>
      <c r="Y840" s="49" t="str">
        <f t="shared" si="17"/>
        <v/>
      </c>
    </row>
    <row r="841" ht="15.75" customHeight="1">
      <c r="A841" s="82"/>
      <c r="B841" s="83"/>
      <c r="C841" s="83"/>
      <c r="D841" s="83"/>
      <c r="E841" s="83"/>
      <c r="F841" s="83"/>
      <c r="G841" s="83" t="str">
        <f>IF($F841="","",IFERROR(VLOOKUP($F841,Inventory!$A:$B,2,FALSE),""))</f>
        <v/>
      </c>
      <c r="H841" s="83"/>
      <c r="I841" s="84" t="str">
        <f t="shared" si="2"/>
        <v/>
      </c>
      <c r="J841" s="85" t="str">
        <f>IF($F841="","",IFERROR(VLOOKUP($F841,Inventory!$A:$K,11,FALSE),0))</f>
        <v/>
      </c>
      <c r="K841" s="85"/>
      <c r="L841" s="85" t="str">
        <f t="shared" si="12"/>
        <v/>
      </c>
      <c r="M841" s="83"/>
      <c r="N841" s="85" t="str">
        <f>IF($F841="","",IFERROR(VLOOKUP($F841,Inventory!$A:$I,9,FALSE),0))</f>
        <v/>
      </c>
      <c r="O841" s="85" t="str">
        <f t="shared" si="13"/>
        <v/>
      </c>
      <c r="P841" s="85" t="str">
        <f t="shared" si="5"/>
        <v/>
      </c>
      <c r="Q841" s="83"/>
      <c r="R841" s="118" t="str">
        <f>IF($E841="","",IF(COUNTIF($E$7:$E2038,$E841)&gt;1,"",IFERROR(VLOOKUP($E841,Orders!$A:$I,8,FALSE),"")))</f>
        <v/>
      </c>
      <c r="S841" s="118" t="str">
        <f>IF($E841="","",IF(COUNTIF($E$7:$E2038,$E841)&gt;1,"",IFERROR(VLOOKUP($E841,Orders!$A:$I,9,FALSE),"")))</f>
        <v/>
      </c>
      <c r="T841" s="88" t="str">
        <f t="shared" si="14"/>
        <v/>
      </c>
      <c r="U841" s="88" t="str">
        <f>IF($F841="","",IF($E841="",T841,SUMIF(Sales!$E$7:$E$1506,$E841,Sales!$T$7:$T$1506)))</f>
        <v/>
      </c>
      <c r="V841" s="49" t="str">
        <f t="shared" si="15"/>
        <v/>
      </c>
      <c r="W841" s="49" t="str">
        <f t="array" ref="W841">IF($V841="","",SUMPRODUCT((Sales!$V$7:$V$1506&lt;&gt;"")*(Sales!$E$7:$E$1506&lt;$E841))+1)</f>
        <v/>
      </c>
      <c r="X841" s="49" t="str">
        <f t="shared" si="16"/>
        <v/>
      </c>
      <c r="Y841" s="49" t="str">
        <f t="shared" si="17"/>
        <v/>
      </c>
    </row>
    <row r="842" ht="15.75" customHeight="1">
      <c r="A842" s="82"/>
      <c r="B842" s="83"/>
      <c r="C842" s="83"/>
      <c r="D842" s="83"/>
      <c r="E842" s="83"/>
      <c r="F842" s="83"/>
      <c r="G842" s="83" t="str">
        <f>IF($F842="","",IFERROR(VLOOKUP($F842,Inventory!$A:$B,2,FALSE),""))</f>
        <v/>
      </c>
      <c r="H842" s="83"/>
      <c r="I842" s="84" t="str">
        <f t="shared" si="2"/>
        <v/>
      </c>
      <c r="J842" s="85" t="str">
        <f>IF($F842="","",IFERROR(VLOOKUP($F842,Inventory!$A:$K,11,FALSE),0))</f>
        <v/>
      </c>
      <c r="K842" s="85"/>
      <c r="L842" s="85" t="str">
        <f t="shared" si="12"/>
        <v/>
      </c>
      <c r="M842" s="83"/>
      <c r="N842" s="85" t="str">
        <f>IF($F842="","",IFERROR(VLOOKUP($F842,Inventory!$A:$I,9,FALSE),0))</f>
        <v/>
      </c>
      <c r="O842" s="85" t="str">
        <f t="shared" si="13"/>
        <v/>
      </c>
      <c r="P842" s="85" t="str">
        <f t="shared" si="5"/>
        <v/>
      </c>
      <c r="Q842" s="83"/>
      <c r="R842" s="118" t="str">
        <f>IF($E842="","",IF(COUNTIF($E$7:$E2039,$E842)&gt;1,"",IFERROR(VLOOKUP($E842,Orders!$A:$I,8,FALSE),"")))</f>
        <v/>
      </c>
      <c r="S842" s="118" t="str">
        <f>IF($E842="","",IF(COUNTIF($E$7:$E2039,$E842)&gt;1,"",IFERROR(VLOOKUP($E842,Orders!$A:$I,9,FALSE),"")))</f>
        <v/>
      </c>
      <c r="T842" s="88" t="str">
        <f t="shared" si="14"/>
        <v/>
      </c>
      <c r="U842" s="88" t="str">
        <f>IF($F842="","",IF($E842="",T842,SUMIF(Sales!$E$7:$E$1506,$E842,Sales!$T$7:$T$1506)))</f>
        <v/>
      </c>
      <c r="V842" s="49" t="str">
        <f t="shared" si="15"/>
        <v/>
      </c>
      <c r="W842" s="49" t="str">
        <f t="array" ref="W842">IF($V842="","",SUMPRODUCT((Sales!$V$7:$V$1506&lt;&gt;"")*(Sales!$E$7:$E$1506&lt;$E842))+1)</f>
        <v/>
      </c>
      <c r="X842" s="49" t="str">
        <f t="shared" si="16"/>
        <v/>
      </c>
      <c r="Y842" s="49" t="str">
        <f t="shared" si="17"/>
        <v/>
      </c>
    </row>
    <row r="843" ht="15.75" customHeight="1">
      <c r="A843" s="82"/>
      <c r="B843" s="83"/>
      <c r="C843" s="83"/>
      <c r="D843" s="83"/>
      <c r="E843" s="83"/>
      <c r="F843" s="83"/>
      <c r="G843" s="83" t="str">
        <f>IF($F843="","",IFERROR(VLOOKUP($F843,Inventory!$A:$B,2,FALSE),""))</f>
        <v/>
      </c>
      <c r="H843" s="83"/>
      <c r="I843" s="84" t="str">
        <f t="shared" si="2"/>
        <v/>
      </c>
      <c r="J843" s="85" t="str">
        <f>IF($F843="","",IFERROR(VLOOKUP($F843,Inventory!$A:$K,11,FALSE),0))</f>
        <v/>
      </c>
      <c r="K843" s="85"/>
      <c r="L843" s="85" t="str">
        <f t="shared" si="12"/>
        <v/>
      </c>
      <c r="M843" s="83"/>
      <c r="N843" s="85" t="str">
        <f>IF($F843="","",IFERROR(VLOOKUP($F843,Inventory!$A:$I,9,FALSE),0))</f>
        <v/>
      </c>
      <c r="O843" s="85" t="str">
        <f t="shared" si="13"/>
        <v/>
      </c>
      <c r="P843" s="85" t="str">
        <f t="shared" si="5"/>
        <v/>
      </c>
      <c r="Q843" s="83"/>
      <c r="R843" s="118" t="str">
        <f>IF($E843="","",IF(COUNTIF($E$7:$E2040,$E843)&gt;1,"",IFERROR(VLOOKUP($E843,Orders!$A:$I,8,FALSE),"")))</f>
        <v/>
      </c>
      <c r="S843" s="118" t="str">
        <f>IF($E843="","",IF(COUNTIF($E$7:$E2040,$E843)&gt;1,"",IFERROR(VLOOKUP($E843,Orders!$A:$I,9,FALSE),"")))</f>
        <v/>
      </c>
      <c r="T843" s="88" t="str">
        <f t="shared" si="14"/>
        <v/>
      </c>
      <c r="U843" s="88" t="str">
        <f>IF($F843="","",IF($E843="",T843,SUMIF(Sales!$E$7:$E$1506,$E843,Sales!$T$7:$T$1506)))</f>
        <v/>
      </c>
      <c r="V843" s="49" t="str">
        <f t="shared" si="15"/>
        <v/>
      </c>
      <c r="W843" s="49" t="str">
        <f t="array" ref="W843">IF($V843="","",SUMPRODUCT((Sales!$V$7:$V$1506&lt;&gt;"")*(Sales!$E$7:$E$1506&lt;$E843))+1)</f>
        <v/>
      </c>
      <c r="X843" s="49" t="str">
        <f t="shared" si="16"/>
        <v/>
      </c>
      <c r="Y843" s="49" t="str">
        <f t="shared" si="17"/>
        <v/>
      </c>
    </row>
    <row r="844" ht="15.75" customHeight="1">
      <c r="A844" s="82"/>
      <c r="B844" s="83"/>
      <c r="C844" s="83"/>
      <c r="D844" s="83"/>
      <c r="E844" s="83"/>
      <c r="F844" s="83"/>
      <c r="G844" s="83" t="str">
        <f>IF($F844="","",IFERROR(VLOOKUP($F844,Inventory!$A:$B,2,FALSE),""))</f>
        <v/>
      </c>
      <c r="H844" s="83"/>
      <c r="I844" s="84" t="str">
        <f t="shared" si="2"/>
        <v/>
      </c>
      <c r="J844" s="85" t="str">
        <f>IF($F844="","",IFERROR(VLOOKUP($F844,Inventory!$A:$K,11,FALSE),0))</f>
        <v/>
      </c>
      <c r="K844" s="85"/>
      <c r="L844" s="85" t="str">
        <f t="shared" si="12"/>
        <v/>
      </c>
      <c r="M844" s="83"/>
      <c r="N844" s="85" t="str">
        <f>IF($F844="","",IFERROR(VLOOKUP($F844,Inventory!$A:$I,9,FALSE),0))</f>
        <v/>
      </c>
      <c r="O844" s="85" t="str">
        <f t="shared" si="13"/>
        <v/>
      </c>
      <c r="P844" s="85" t="str">
        <f t="shared" si="5"/>
        <v/>
      </c>
      <c r="Q844" s="83"/>
      <c r="R844" s="118" t="str">
        <f>IF($E844="","",IF(COUNTIF($E$7:$E2041,$E844)&gt;1,"",IFERROR(VLOOKUP($E844,Orders!$A:$I,8,FALSE),"")))</f>
        <v/>
      </c>
      <c r="S844" s="118" t="str">
        <f>IF($E844="","",IF(COUNTIF($E$7:$E2041,$E844)&gt;1,"",IFERROR(VLOOKUP($E844,Orders!$A:$I,9,FALSE),"")))</f>
        <v/>
      </c>
      <c r="T844" s="88" t="str">
        <f t="shared" si="14"/>
        <v/>
      </c>
      <c r="U844" s="88" t="str">
        <f>IF($F844="","",IF($E844="",T844,SUMIF(Sales!$E$7:$E$1506,$E844,Sales!$T$7:$T$1506)))</f>
        <v/>
      </c>
      <c r="V844" s="49" t="str">
        <f t="shared" si="15"/>
        <v/>
      </c>
      <c r="W844" s="49" t="str">
        <f t="array" ref="W844">IF($V844="","",SUMPRODUCT((Sales!$V$7:$V$1506&lt;&gt;"")*(Sales!$E$7:$E$1506&lt;$E844))+1)</f>
        <v/>
      </c>
      <c r="X844" s="49" t="str">
        <f t="shared" si="16"/>
        <v/>
      </c>
      <c r="Y844" s="49" t="str">
        <f t="shared" si="17"/>
        <v/>
      </c>
    </row>
    <row r="845" ht="15.75" customHeight="1">
      <c r="A845" s="82"/>
      <c r="B845" s="83"/>
      <c r="C845" s="83"/>
      <c r="D845" s="83"/>
      <c r="E845" s="83"/>
      <c r="F845" s="83"/>
      <c r="G845" s="83" t="str">
        <f>IF($F845="","",IFERROR(VLOOKUP($F845,Inventory!$A:$B,2,FALSE),""))</f>
        <v/>
      </c>
      <c r="H845" s="83"/>
      <c r="I845" s="84" t="str">
        <f t="shared" si="2"/>
        <v/>
      </c>
      <c r="J845" s="85" t="str">
        <f>IF($F845="","",IFERROR(VLOOKUP($F845,Inventory!$A:$K,11,FALSE),0))</f>
        <v/>
      </c>
      <c r="K845" s="85"/>
      <c r="L845" s="85" t="str">
        <f t="shared" si="12"/>
        <v/>
      </c>
      <c r="M845" s="83"/>
      <c r="N845" s="85" t="str">
        <f>IF($F845="","",IFERROR(VLOOKUP($F845,Inventory!$A:$I,9,FALSE),0))</f>
        <v/>
      </c>
      <c r="O845" s="85" t="str">
        <f t="shared" si="13"/>
        <v/>
      </c>
      <c r="P845" s="85" t="str">
        <f t="shared" si="5"/>
        <v/>
      </c>
      <c r="Q845" s="83"/>
      <c r="R845" s="118" t="str">
        <f>IF($E845="","",IF(COUNTIF($E$7:$E2042,$E845)&gt;1,"",IFERROR(VLOOKUP($E845,Orders!$A:$I,8,FALSE),"")))</f>
        <v/>
      </c>
      <c r="S845" s="118" t="str">
        <f>IF($E845="","",IF(COUNTIF($E$7:$E2042,$E845)&gt;1,"",IFERROR(VLOOKUP($E845,Orders!$A:$I,9,FALSE),"")))</f>
        <v/>
      </c>
      <c r="T845" s="88" t="str">
        <f t="shared" si="14"/>
        <v/>
      </c>
      <c r="U845" s="88" t="str">
        <f>IF($F845="","",IF($E845="",T845,SUMIF(Sales!$E$7:$E$1506,$E845,Sales!$T$7:$T$1506)))</f>
        <v/>
      </c>
      <c r="V845" s="49" t="str">
        <f t="shared" si="15"/>
        <v/>
      </c>
      <c r="W845" s="49" t="str">
        <f t="array" ref="W845">IF($V845="","",SUMPRODUCT((Sales!$V$7:$V$1506&lt;&gt;"")*(Sales!$E$7:$E$1506&lt;$E845))+1)</f>
        <v/>
      </c>
      <c r="X845" s="49" t="str">
        <f t="shared" si="16"/>
        <v/>
      </c>
      <c r="Y845" s="49" t="str">
        <f t="shared" si="17"/>
        <v/>
      </c>
    </row>
    <row r="846" ht="15.75" customHeight="1">
      <c r="A846" s="82"/>
      <c r="B846" s="83"/>
      <c r="C846" s="83"/>
      <c r="D846" s="83"/>
      <c r="E846" s="83"/>
      <c r="F846" s="83"/>
      <c r="G846" s="83" t="str">
        <f>IF($F846="","",IFERROR(VLOOKUP($F846,Inventory!$A:$B,2,FALSE),""))</f>
        <v/>
      </c>
      <c r="H846" s="83"/>
      <c r="I846" s="84" t="str">
        <f t="shared" si="2"/>
        <v/>
      </c>
      <c r="J846" s="85" t="str">
        <f>IF($F846="","",IFERROR(VLOOKUP($F846,Inventory!$A:$K,11,FALSE),0))</f>
        <v/>
      </c>
      <c r="K846" s="85"/>
      <c r="L846" s="85" t="str">
        <f t="shared" si="12"/>
        <v/>
      </c>
      <c r="M846" s="83"/>
      <c r="N846" s="85" t="str">
        <f>IF($F846="","",IFERROR(VLOOKUP($F846,Inventory!$A:$I,9,FALSE),0))</f>
        <v/>
      </c>
      <c r="O846" s="85" t="str">
        <f t="shared" si="13"/>
        <v/>
      </c>
      <c r="P846" s="85" t="str">
        <f t="shared" si="5"/>
        <v/>
      </c>
      <c r="Q846" s="83"/>
      <c r="R846" s="118" t="str">
        <f>IF($E846="","",IF(COUNTIF($E$7:$E2043,$E846)&gt;1,"",IFERROR(VLOOKUP($E846,Orders!$A:$I,8,FALSE),"")))</f>
        <v/>
      </c>
      <c r="S846" s="118" t="str">
        <f>IF($E846="","",IF(COUNTIF($E$7:$E2043,$E846)&gt;1,"",IFERROR(VLOOKUP($E846,Orders!$A:$I,9,FALSE),"")))</f>
        <v/>
      </c>
      <c r="T846" s="88" t="str">
        <f t="shared" si="14"/>
        <v/>
      </c>
      <c r="U846" s="88" t="str">
        <f>IF($F846="","",IF($E846="",T846,SUMIF(Sales!$E$7:$E$1506,$E846,Sales!$T$7:$T$1506)))</f>
        <v/>
      </c>
      <c r="V846" s="49" t="str">
        <f t="shared" si="15"/>
        <v/>
      </c>
      <c r="W846" s="49" t="str">
        <f t="array" ref="W846">IF($V846="","",SUMPRODUCT((Sales!$V$7:$V$1506&lt;&gt;"")*(Sales!$E$7:$E$1506&lt;$E846))+1)</f>
        <v/>
      </c>
      <c r="X846" s="49" t="str">
        <f t="shared" si="16"/>
        <v/>
      </c>
      <c r="Y846" s="49" t="str">
        <f t="shared" si="17"/>
        <v/>
      </c>
    </row>
    <row r="847" ht="15.75" customHeight="1">
      <c r="A847" s="82"/>
      <c r="B847" s="83"/>
      <c r="C847" s="83"/>
      <c r="D847" s="83"/>
      <c r="E847" s="83"/>
      <c r="F847" s="83"/>
      <c r="G847" s="83" t="str">
        <f>IF($F847="","",IFERROR(VLOOKUP($F847,Inventory!$A:$B,2,FALSE),""))</f>
        <v/>
      </c>
      <c r="H847" s="83"/>
      <c r="I847" s="84" t="str">
        <f t="shared" si="2"/>
        <v/>
      </c>
      <c r="J847" s="85" t="str">
        <f>IF($F847="","",IFERROR(VLOOKUP($F847,Inventory!$A:$K,11,FALSE),0))</f>
        <v/>
      </c>
      <c r="K847" s="85"/>
      <c r="L847" s="85" t="str">
        <f t="shared" si="12"/>
        <v/>
      </c>
      <c r="M847" s="83"/>
      <c r="N847" s="85" t="str">
        <f>IF($F847="","",IFERROR(VLOOKUP($F847,Inventory!$A:$I,9,FALSE),0))</f>
        <v/>
      </c>
      <c r="O847" s="85" t="str">
        <f t="shared" si="13"/>
        <v/>
      </c>
      <c r="P847" s="85" t="str">
        <f t="shared" si="5"/>
        <v/>
      </c>
      <c r="Q847" s="83"/>
      <c r="R847" s="118" t="str">
        <f>IF($E847="","",IF(COUNTIF($E$7:$E2044,$E847)&gt;1,"",IFERROR(VLOOKUP($E847,Orders!$A:$I,8,FALSE),"")))</f>
        <v/>
      </c>
      <c r="S847" s="118" t="str">
        <f>IF($E847="","",IF(COUNTIF($E$7:$E2044,$E847)&gt;1,"",IFERROR(VLOOKUP($E847,Orders!$A:$I,9,FALSE),"")))</f>
        <v/>
      </c>
      <c r="T847" s="88" t="str">
        <f t="shared" si="14"/>
        <v/>
      </c>
      <c r="U847" s="88" t="str">
        <f>IF($F847="","",IF($E847="",T847,SUMIF(Sales!$E$7:$E$1506,$E847,Sales!$T$7:$T$1506)))</f>
        <v/>
      </c>
      <c r="V847" s="49" t="str">
        <f t="shared" si="15"/>
        <v/>
      </c>
      <c r="W847" s="49" t="str">
        <f t="array" ref="W847">IF($V847="","",SUMPRODUCT((Sales!$V$7:$V$1506&lt;&gt;"")*(Sales!$E$7:$E$1506&lt;$E847))+1)</f>
        <v/>
      </c>
      <c r="X847" s="49" t="str">
        <f t="shared" si="16"/>
        <v/>
      </c>
      <c r="Y847" s="49" t="str">
        <f t="shared" si="17"/>
        <v/>
      </c>
    </row>
    <row r="848" ht="15.75" customHeight="1">
      <c r="A848" s="82"/>
      <c r="B848" s="83"/>
      <c r="C848" s="83"/>
      <c r="D848" s="83"/>
      <c r="E848" s="83"/>
      <c r="F848" s="83"/>
      <c r="G848" s="83" t="str">
        <f>IF($F848="","",IFERROR(VLOOKUP($F848,Inventory!$A:$B,2,FALSE),""))</f>
        <v/>
      </c>
      <c r="H848" s="83"/>
      <c r="I848" s="84" t="str">
        <f t="shared" si="2"/>
        <v/>
      </c>
      <c r="J848" s="85" t="str">
        <f>IF($F848="","",IFERROR(VLOOKUP($F848,Inventory!$A:$K,11,FALSE),0))</f>
        <v/>
      </c>
      <c r="K848" s="85"/>
      <c r="L848" s="85" t="str">
        <f t="shared" si="12"/>
        <v/>
      </c>
      <c r="M848" s="83"/>
      <c r="N848" s="85" t="str">
        <f>IF($F848="","",IFERROR(VLOOKUP($F848,Inventory!$A:$I,9,FALSE),0))</f>
        <v/>
      </c>
      <c r="O848" s="85" t="str">
        <f t="shared" si="13"/>
        <v/>
      </c>
      <c r="P848" s="85" t="str">
        <f t="shared" si="5"/>
        <v/>
      </c>
      <c r="Q848" s="83"/>
      <c r="R848" s="118" t="str">
        <f>IF($E848="","",IF(COUNTIF($E$7:$E2045,$E848)&gt;1,"",IFERROR(VLOOKUP($E848,Orders!$A:$I,8,FALSE),"")))</f>
        <v/>
      </c>
      <c r="S848" s="118" t="str">
        <f>IF($E848="","",IF(COUNTIF($E$7:$E2045,$E848)&gt;1,"",IFERROR(VLOOKUP($E848,Orders!$A:$I,9,FALSE),"")))</f>
        <v/>
      </c>
      <c r="T848" s="88" t="str">
        <f t="shared" si="14"/>
        <v/>
      </c>
      <c r="U848" s="88" t="str">
        <f>IF($F848="","",IF($E848="",T848,SUMIF(Sales!$E$7:$E$1506,$E848,Sales!$T$7:$T$1506)))</f>
        <v/>
      </c>
      <c r="V848" s="49" t="str">
        <f t="shared" si="15"/>
        <v/>
      </c>
      <c r="W848" s="49" t="str">
        <f t="array" ref="W848">IF($V848="","",SUMPRODUCT((Sales!$V$7:$V$1506&lt;&gt;"")*(Sales!$E$7:$E$1506&lt;$E848))+1)</f>
        <v/>
      </c>
      <c r="X848" s="49" t="str">
        <f t="shared" si="16"/>
        <v/>
      </c>
      <c r="Y848" s="49" t="str">
        <f t="shared" si="17"/>
        <v/>
      </c>
    </row>
    <row r="849" ht="15.75" customHeight="1">
      <c r="A849" s="82"/>
      <c r="B849" s="83"/>
      <c r="C849" s="83"/>
      <c r="D849" s="83"/>
      <c r="E849" s="83"/>
      <c r="F849" s="83"/>
      <c r="G849" s="83" t="str">
        <f>IF($F849="","",IFERROR(VLOOKUP($F849,Inventory!$A:$B,2,FALSE),""))</f>
        <v/>
      </c>
      <c r="H849" s="83"/>
      <c r="I849" s="84" t="str">
        <f t="shared" si="2"/>
        <v/>
      </c>
      <c r="J849" s="85" t="str">
        <f>IF($F849="","",IFERROR(VLOOKUP($F849,Inventory!$A:$K,11,FALSE),0))</f>
        <v/>
      </c>
      <c r="K849" s="85"/>
      <c r="L849" s="85" t="str">
        <f t="shared" si="12"/>
        <v/>
      </c>
      <c r="M849" s="83"/>
      <c r="N849" s="85" t="str">
        <f>IF($F849="","",IFERROR(VLOOKUP($F849,Inventory!$A:$I,9,FALSE),0))</f>
        <v/>
      </c>
      <c r="O849" s="85" t="str">
        <f t="shared" si="13"/>
        <v/>
      </c>
      <c r="P849" s="85" t="str">
        <f t="shared" si="5"/>
        <v/>
      </c>
      <c r="Q849" s="83"/>
      <c r="R849" s="118" t="str">
        <f>IF($E849="","",IF(COUNTIF($E$7:$E2046,$E849)&gt;1,"",IFERROR(VLOOKUP($E849,Orders!$A:$I,8,FALSE),"")))</f>
        <v/>
      </c>
      <c r="S849" s="118" t="str">
        <f>IF($E849="","",IF(COUNTIF($E$7:$E2046,$E849)&gt;1,"",IFERROR(VLOOKUP($E849,Orders!$A:$I,9,FALSE),"")))</f>
        <v/>
      </c>
      <c r="T849" s="88" t="str">
        <f t="shared" si="14"/>
        <v/>
      </c>
      <c r="U849" s="88" t="str">
        <f>IF($F849="","",IF($E849="",T849,SUMIF(Sales!$E$7:$E$1506,$E849,Sales!$T$7:$T$1506)))</f>
        <v/>
      </c>
      <c r="V849" s="49" t="str">
        <f t="shared" si="15"/>
        <v/>
      </c>
      <c r="W849" s="49" t="str">
        <f t="array" ref="W849">IF($V849="","",SUMPRODUCT((Sales!$V$7:$V$1506&lt;&gt;"")*(Sales!$E$7:$E$1506&lt;$E849))+1)</f>
        <v/>
      </c>
      <c r="X849" s="49" t="str">
        <f t="shared" si="16"/>
        <v/>
      </c>
      <c r="Y849" s="49" t="str">
        <f t="shared" si="17"/>
        <v/>
      </c>
    </row>
    <row r="850" ht="15.75" customHeight="1">
      <c r="A850" s="82"/>
      <c r="B850" s="83"/>
      <c r="C850" s="83"/>
      <c r="D850" s="83"/>
      <c r="E850" s="83"/>
      <c r="F850" s="83"/>
      <c r="G850" s="83" t="str">
        <f>IF($F850="","",IFERROR(VLOOKUP($F850,Inventory!$A:$B,2,FALSE),""))</f>
        <v/>
      </c>
      <c r="H850" s="83"/>
      <c r="I850" s="84" t="str">
        <f t="shared" si="2"/>
        <v/>
      </c>
      <c r="J850" s="85" t="str">
        <f>IF($F850="","",IFERROR(VLOOKUP($F850,Inventory!$A:$K,11,FALSE),0))</f>
        <v/>
      </c>
      <c r="K850" s="85"/>
      <c r="L850" s="85" t="str">
        <f t="shared" si="12"/>
        <v/>
      </c>
      <c r="M850" s="83"/>
      <c r="N850" s="85" t="str">
        <f>IF($F850="","",IFERROR(VLOOKUP($F850,Inventory!$A:$I,9,FALSE),0))</f>
        <v/>
      </c>
      <c r="O850" s="85" t="str">
        <f t="shared" si="13"/>
        <v/>
      </c>
      <c r="P850" s="85" t="str">
        <f t="shared" si="5"/>
        <v/>
      </c>
      <c r="Q850" s="83"/>
      <c r="R850" s="118" t="str">
        <f>IF($E850="","",IF(COUNTIF($E$7:$E2047,$E850)&gt;1,"",IFERROR(VLOOKUP($E850,Orders!$A:$I,8,FALSE),"")))</f>
        <v/>
      </c>
      <c r="S850" s="118" t="str">
        <f>IF($E850="","",IF(COUNTIF($E$7:$E2047,$E850)&gt;1,"",IFERROR(VLOOKUP($E850,Orders!$A:$I,9,FALSE),"")))</f>
        <v/>
      </c>
      <c r="T850" s="88" t="str">
        <f t="shared" si="14"/>
        <v/>
      </c>
      <c r="U850" s="88" t="str">
        <f>IF($F850="","",IF($E850="",T850,SUMIF(Sales!$E$7:$E$1506,$E850,Sales!$T$7:$T$1506)))</f>
        <v/>
      </c>
      <c r="V850" s="49" t="str">
        <f t="shared" si="15"/>
        <v/>
      </c>
      <c r="W850" s="49" t="str">
        <f t="array" ref="W850">IF($V850="","",SUMPRODUCT((Sales!$V$7:$V$1506&lt;&gt;"")*(Sales!$E$7:$E$1506&lt;$E850))+1)</f>
        <v/>
      </c>
      <c r="X850" s="49" t="str">
        <f t="shared" si="16"/>
        <v/>
      </c>
      <c r="Y850" s="49" t="str">
        <f t="shared" si="17"/>
        <v/>
      </c>
    </row>
    <row r="851" ht="15.75" customHeight="1">
      <c r="A851" s="82"/>
      <c r="B851" s="83"/>
      <c r="C851" s="83"/>
      <c r="D851" s="83"/>
      <c r="E851" s="83"/>
      <c r="F851" s="83"/>
      <c r="G851" s="83" t="str">
        <f>IF($F851="","",IFERROR(VLOOKUP($F851,Inventory!$A:$B,2,FALSE),""))</f>
        <v/>
      </c>
      <c r="H851" s="83"/>
      <c r="I851" s="84" t="str">
        <f t="shared" si="2"/>
        <v/>
      </c>
      <c r="J851" s="85" t="str">
        <f>IF($F851="","",IFERROR(VLOOKUP($F851,Inventory!$A:$K,11,FALSE),0))</f>
        <v/>
      </c>
      <c r="K851" s="85"/>
      <c r="L851" s="85" t="str">
        <f t="shared" si="12"/>
        <v/>
      </c>
      <c r="M851" s="83"/>
      <c r="N851" s="85" t="str">
        <f>IF($F851="","",IFERROR(VLOOKUP($F851,Inventory!$A:$I,9,FALSE),0))</f>
        <v/>
      </c>
      <c r="O851" s="85" t="str">
        <f t="shared" si="13"/>
        <v/>
      </c>
      <c r="P851" s="85" t="str">
        <f t="shared" si="5"/>
        <v/>
      </c>
      <c r="Q851" s="83"/>
      <c r="R851" s="118" t="str">
        <f>IF($E851="","",IF(COUNTIF($E$7:$E2048,$E851)&gt;1,"",IFERROR(VLOOKUP($E851,Orders!$A:$I,8,FALSE),"")))</f>
        <v/>
      </c>
      <c r="S851" s="118" t="str">
        <f>IF($E851="","",IF(COUNTIF($E$7:$E2048,$E851)&gt;1,"",IFERROR(VLOOKUP($E851,Orders!$A:$I,9,FALSE),"")))</f>
        <v/>
      </c>
      <c r="T851" s="88" t="str">
        <f t="shared" si="14"/>
        <v/>
      </c>
      <c r="U851" s="88" t="str">
        <f>IF($F851="","",IF($E851="",T851,SUMIF(Sales!$E$7:$E$1506,$E851,Sales!$T$7:$T$1506)))</f>
        <v/>
      </c>
      <c r="V851" s="49" t="str">
        <f t="shared" si="15"/>
        <v/>
      </c>
      <c r="W851" s="49" t="str">
        <f t="array" ref="W851">IF($V851="","",SUMPRODUCT((Sales!$V$7:$V$1506&lt;&gt;"")*(Sales!$E$7:$E$1506&lt;$E851))+1)</f>
        <v/>
      </c>
      <c r="X851" s="49" t="str">
        <f t="shared" si="16"/>
        <v/>
      </c>
      <c r="Y851" s="49" t="str">
        <f t="shared" si="17"/>
        <v/>
      </c>
    </row>
    <row r="852" ht="15.75" customHeight="1">
      <c r="A852" s="82"/>
      <c r="B852" s="83"/>
      <c r="C852" s="83"/>
      <c r="D852" s="83"/>
      <c r="E852" s="83"/>
      <c r="F852" s="83"/>
      <c r="G852" s="83" t="str">
        <f>IF($F852="","",IFERROR(VLOOKUP($F852,Inventory!$A:$B,2,FALSE),""))</f>
        <v/>
      </c>
      <c r="H852" s="83"/>
      <c r="I852" s="84" t="str">
        <f t="shared" si="2"/>
        <v/>
      </c>
      <c r="J852" s="85" t="str">
        <f>IF($F852="","",IFERROR(VLOOKUP($F852,Inventory!$A:$K,11,FALSE),0))</f>
        <v/>
      </c>
      <c r="K852" s="85"/>
      <c r="L852" s="85" t="str">
        <f t="shared" si="12"/>
        <v/>
      </c>
      <c r="M852" s="83"/>
      <c r="N852" s="85" t="str">
        <f>IF($F852="","",IFERROR(VLOOKUP($F852,Inventory!$A:$I,9,FALSE),0))</f>
        <v/>
      </c>
      <c r="O852" s="85" t="str">
        <f t="shared" si="13"/>
        <v/>
      </c>
      <c r="P852" s="85" t="str">
        <f t="shared" si="5"/>
        <v/>
      </c>
      <c r="Q852" s="83"/>
      <c r="R852" s="118" t="str">
        <f>IF($E852="","",IF(COUNTIF($E$7:$E2049,$E852)&gt;1,"",IFERROR(VLOOKUP($E852,Orders!$A:$I,8,FALSE),"")))</f>
        <v/>
      </c>
      <c r="S852" s="118" t="str">
        <f>IF($E852="","",IF(COUNTIF($E$7:$E2049,$E852)&gt;1,"",IFERROR(VLOOKUP($E852,Orders!$A:$I,9,FALSE),"")))</f>
        <v/>
      </c>
      <c r="T852" s="88" t="str">
        <f t="shared" si="14"/>
        <v/>
      </c>
      <c r="U852" s="88" t="str">
        <f>IF($F852="","",IF($E852="",T852,SUMIF(Sales!$E$7:$E$1506,$E852,Sales!$T$7:$T$1506)))</f>
        <v/>
      </c>
      <c r="V852" s="49" t="str">
        <f t="shared" si="15"/>
        <v/>
      </c>
      <c r="W852" s="49" t="str">
        <f t="array" ref="W852">IF($V852="","",SUMPRODUCT((Sales!$V$7:$V$1506&lt;&gt;"")*(Sales!$E$7:$E$1506&lt;$E852))+1)</f>
        <v/>
      </c>
      <c r="X852" s="49" t="str">
        <f t="shared" si="16"/>
        <v/>
      </c>
      <c r="Y852" s="49" t="str">
        <f t="shared" si="17"/>
        <v/>
      </c>
    </row>
    <row r="853" ht="15.75" customHeight="1">
      <c r="A853" s="82"/>
      <c r="B853" s="83"/>
      <c r="C853" s="83"/>
      <c r="D853" s="83"/>
      <c r="E853" s="83"/>
      <c r="F853" s="83"/>
      <c r="G853" s="83" t="str">
        <f>IF($F853="","",IFERROR(VLOOKUP($F853,Inventory!$A:$B,2,FALSE),""))</f>
        <v/>
      </c>
      <c r="H853" s="83"/>
      <c r="I853" s="84" t="str">
        <f t="shared" si="2"/>
        <v/>
      </c>
      <c r="J853" s="85" t="str">
        <f>IF($F853="","",IFERROR(VLOOKUP($F853,Inventory!$A:$K,11,FALSE),0))</f>
        <v/>
      </c>
      <c r="K853" s="85"/>
      <c r="L853" s="85" t="str">
        <f t="shared" si="12"/>
        <v/>
      </c>
      <c r="M853" s="83"/>
      <c r="N853" s="85" t="str">
        <f>IF($F853="","",IFERROR(VLOOKUP($F853,Inventory!$A:$I,9,FALSE),0))</f>
        <v/>
      </c>
      <c r="O853" s="85" t="str">
        <f t="shared" si="13"/>
        <v/>
      </c>
      <c r="P853" s="85" t="str">
        <f t="shared" si="5"/>
        <v/>
      </c>
      <c r="Q853" s="83"/>
      <c r="R853" s="118" t="str">
        <f>IF($E853="","",IF(COUNTIF($E$7:$E2050,$E853)&gt;1,"",IFERROR(VLOOKUP($E853,Orders!$A:$I,8,FALSE),"")))</f>
        <v/>
      </c>
      <c r="S853" s="118" t="str">
        <f>IF($E853="","",IF(COUNTIF($E$7:$E2050,$E853)&gt;1,"",IFERROR(VLOOKUP($E853,Orders!$A:$I,9,FALSE),"")))</f>
        <v/>
      </c>
      <c r="T853" s="88" t="str">
        <f t="shared" si="14"/>
        <v/>
      </c>
      <c r="U853" s="88" t="str">
        <f>IF($F853="","",IF($E853="",T853,SUMIF(Sales!$E$7:$E$1506,$E853,Sales!$T$7:$T$1506)))</f>
        <v/>
      </c>
      <c r="V853" s="49" t="str">
        <f t="shared" si="15"/>
        <v/>
      </c>
      <c r="W853" s="49" t="str">
        <f t="array" ref="W853">IF($V853="","",SUMPRODUCT((Sales!$V$7:$V$1506&lt;&gt;"")*(Sales!$E$7:$E$1506&lt;$E853))+1)</f>
        <v/>
      </c>
      <c r="X853" s="49" t="str">
        <f t="shared" si="16"/>
        <v/>
      </c>
      <c r="Y853" s="49" t="str">
        <f t="shared" si="17"/>
        <v/>
      </c>
    </row>
    <row r="854" ht="15.75" customHeight="1">
      <c r="A854" s="82"/>
      <c r="B854" s="83"/>
      <c r="C854" s="83"/>
      <c r="D854" s="83"/>
      <c r="E854" s="83"/>
      <c r="F854" s="83"/>
      <c r="G854" s="83" t="str">
        <f>IF($F854="","",IFERROR(VLOOKUP($F854,Inventory!$A:$B,2,FALSE),""))</f>
        <v/>
      </c>
      <c r="H854" s="83"/>
      <c r="I854" s="84" t="str">
        <f t="shared" si="2"/>
        <v/>
      </c>
      <c r="J854" s="85" t="str">
        <f>IF($F854="","",IFERROR(VLOOKUP($F854,Inventory!$A:$K,11,FALSE),0))</f>
        <v/>
      </c>
      <c r="K854" s="85"/>
      <c r="L854" s="85" t="str">
        <f t="shared" si="12"/>
        <v/>
      </c>
      <c r="M854" s="83"/>
      <c r="N854" s="85" t="str">
        <f>IF($F854="","",IFERROR(VLOOKUP($F854,Inventory!$A:$I,9,FALSE),0))</f>
        <v/>
      </c>
      <c r="O854" s="85" t="str">
        <f t="shared" si="13"/>
        <v/>
      </c>
      <c r="P854" s="85" t="str">
        <f t="shared" si="5"/>
        <v/>
      </c>
      <c r="Q854" s="83"/>
      <c r="R854" s="118" t="str">
        <f>IF($E854="","",IF(COUNTIF($E$7:$E2051,$E854)&gt;1,"",IFERROR(VLOOKUP($E854,Orders!$A:$I,8,FALSE),"")))</f>
        <v/>
      </c>
      <c r="S854" s="118" t="str">
        <f>IF($E854="","",IF(COUNTIF($E$7:$E2051,$E854)&gt;1,"",IFERROR(VLOOKUP($E854,Orders!$A:$I,9,FALSE),"")))</f>
        <v/>
      </c>
      <c r="T854" s="88" t="str">
        <f t="shared" si="14"/>
        <v/>
      </c>
      <c r="U854" s="88" t="str">
        <f>IF($F854="","",IF($E854="",T854,SUMIF(Sales!$E$7:$E$1506,$E854,Sales!$T$7:$T$1506)))</f>
        <v/>
      </c>
      <c r="V854" s="49" t="str">
        <f t="shared" si="15"/>
        <v/>
      </c>
      <c r="W854" s="49" t="str">
        <f t="array" ref="W854">IF($V854="","",SUMPRODUCT((Sales!$V$7:$V$1506&lt;&gt;"")*(Sales!$E$7:$E$1506&lt;$E854))+1)</f>
        <v/>
      </c>
      <c r="X854" s="49" t="str">
        <f t="shared" si="16"/>
        <v/>
      </c>
      <c r="Y854" s="49" t="str">
        <f t="shared" si="17"/>
        <v/>
      </c>
    </row>
    <row r="855" ht="15.75" customHeight="1">
      <c r="A855" s="82"/>
      <c r="B855" s="83"/>
      <c r="C855" s="83"/>
      <c r="D855" s="83"/>
      <c r="E855" s="83"/>
      <c r="F855" s="83"/>
      <c r="G855" s="83" t="str">
        <f>IF($F855="","",IFERROR(VLOOKUP($F855,Inventory!$A:$B,2,FALSE),""))</f>
        <v/>
      </c>
      <c r="H855" s="83"/>
      <c r="I855" s="84" t="str">
        <f t="shared" si="2"/>
        <v/>
      </c>
      <c r="J855" s="85" t="str">
        <f>IF($F855="","",IFERROR(VLOOKUP($F855,Inventory!$A:$K,11,FALSE),0))</f>
        <v/>
      </c>
      <c r="K855" s="85"/>
      <c r="L855" s="85" t="str">
        <f t="shared" si="12"/>
        <v/>
      </c>
      <c r="M855" s="83"/>
      <c r="N855" s="85" t="str">
        <f>IF($F855="","",IFERROR(VLOOKUP($F855,Inventory!$A:$I,9,FALSE),0))</f>
        <v/>
      </c>
      <c r="O855" s="85" t="str">
        <f t="shared" si="13"/>
        <v/>
      </c>
      <c r="P855" s="85" t="str">
        <f t="shared" si="5"/>
        <v/>
      </c>
      <c r="Q855" s="83"/>
      <c r="R855" s="118" t="str">
        <f>IF($E855="","",IF(COUNTIF($E$7:$E2052,$E855)&gt;1,"",IFERROR(VLOOKUP($E855,Orders!$A:$I,8,FALSE),"")))</f>
        <v/>
      </c>
      <c r="S855" s="118" t="str">
        <f>IF($E855="","",IF(COUNTIF($E$7:$E2052,$E855)&gt;1,"",IFERROR(VLOOKUP($E855,Orders!$A:$I,9,FALSE),"")))</f>
        <v/>
      </c>
      <c r="T855" s="88" t="str">
        <f t="shared" si="14"/>
        <v/>
      </c>
      <c r="U855" s="88" t="str">
        <f>IF($F855="","",IF($E855="",T855,SUMIF(Sales!$E$7:$E$1506,$E855,Sales!$T$7:$T$1506)))</f>
        <v/>
      </c>
      <c r="V855" s="49" t="str">
        <f t="shared" si="15"/>
        <v/>
      </c>
      <c r="W855" s="49" t="str">
        <f t="array" ref="W855">IF($V855="","",SUMPRODUCT((Sales!$V$7:$V$1506&lt;&gt;"")*(Sales!$E$7:$E$1506&lt;$E855))+1)</f>
        <v/>
      </c>
      <c r="X855" s="49" t="str">
        <f t="shared" si="16"/>
        <v/>
      </c>
      <c r="Y855" s="49" t="str">
        <f t="shared" si="17"/>
        <v/>
      </c>
    </row>
    <row r="856" ht="15.75" customHeight="1">
      <c r="A856" s="82"/>
      <c r="B856" s="83"/>
      <c r="C856" s="83"/>
      <c r="D856" s="83"/>
      <c r="E856" s="83"/>
      <c r="F856" s="83"/>
      <c r="G856" s="83" t="str">
        <f>IF($F856="","",IFERROR(VLOOKUP($F856,Inventory!$A:$B,2,FALSE),""))</f>
        <v/>
      </c>
      <c r="H856" s="83"/>
      <c r="I856" s="84" t="str">
        <f t="shared" si="2"/>
        <v/>
      </c>
      <c r="J856" s="85" t="str">
        <f>IF($F856="","",IFERROR(VLOOKUP($F856,Inventory!$A:$K,11,FALSE),0))</f>
        <v/>
      </c>
      <c r="K856" s="85"/>
      <c r="L856" s="85" t="str">
        <f t="shared" si="12"/>
        <v/>
      </c>
      <c r="M856" s="83"/>
      <c r="N856" s="85" t="str">
        <f>IF($F856="","",IFERROR(VLOOKUP($F856,Inventory!$A:$I,9,FALSE),0))</f>
        <v/>
      </c>
      <c r="O856" s="85" t="str">
        <f t="shared" si="13"/>
        <v/>
      </c>
      <c r="P856" s="85" t="str">
        <f t="shared" si="5"/>
        <v/>
      </c>
      <c r="Q856" s="83"/>
      <c r="R856" s="118" t="str">
        <f>IF($E856="","",IF(COUNTIF($E$7:$E2053,$E856)&gt;1,"",IFERROR(VLOOKUP($E856,Orders!$A:$I,8,FALSE),"")))</f>
        <v/>
      </c>
      <c r="S856" s="118" t="str">
        <f>IF($E856="","",IF(COUNTIF($E$7:$E2053,$E856)&gt;1,"",IFERROR(VLOOKUP($E856,Orders!$A:$I,9,FALSE),"")))</f>
        <v/>
      </c>
      <c r="T856" s="88" t="str">
        <f t="shared" si="14"/>
        <v/>
      </c>
      <c r="U856" s="88" t="str">
        <f>IF($F856="","",IF($E856="",T856,SUMIF(Sales!$E$7:$E$1506,$E856,Sales!$T$7:$T$1506)))</f>
        <v/>
      </c>
      <c r="V856" s="49" t="str">
        <f t="shared" si="15"/>
        <v/>
      </c>
      <c r="W856" s="49" t="str">
        <f t="array" ref="W856">IF($V856="","",SUMPRODUCT((Sales!$V$7:$V$1506&lt;&gt;"")*(Sales!$E$7:$E$1506&lt;$E856))+1)</f>
        <v/>
      </c>
      <c r="X856" s="49" t="str">
        <f t="shared" si="16"/>
        <v/>
      </c>
      <c r="Y856" s="49" t="str">
        <f t="shared" si="17"/>
        <v/>
      </c>
    </row>
    <row r="857" ht="15.75" customHeight="1">
      <c r="A857" s="82"/>
      <c r="B857" s="83"/>
      <c r="C857" s="83"/>
      <c r="D857" s="83"/>
      <c r="E857" s="83"/>
      <c r="F857" s="83"/>
      <c r="G857" s="83" t="str">
        <f>IF($F857="","",IFERROR(VLOOKUP($F857,Inventory!$A:$B,2,FALSE),""))</f>
        <v/>
      </c>
      <c r="H857" s="83"/>
      <c r="I857" s="84" t="str">
        <f t="shared" si="2"/>
        <v/>
      </c>
      <c r="J857" s="85" t="str">
        <f>IF($F857="","",IFERROR(VLOOKUP($F857,Inventory!$A:$K,11,FALSE),0))</f>
        <v/>
      </c>
      <c r="K857" s="85"/>
      <c r="L857" s="85" t="str">
        <f t="shared" si="12"/>
        <v/>
      </c>
      <c r="M857" s="83"/>
      <c r="N857" s="85" t="str">
        <f>IF($F857="","",IFERROR(VLOOKUP($F857,Inventory!$A:$I,9,FALSE),0))</f>
        <v/>
      </c>
      <c r="O857" s="85" t="str">
        <f t="shared" si="13"/>
        <v/>
      </c>
      <c r="P857" s="85" t="str">
        <f t="shared" si="5"/>
        <v/>
      </c>
      <c r="Q857" s="83"/>
      <c r="R857" s="118" t="str">
        <f>IF($E857="","",IF(COUNTIF($E$7:$E2054,$E857)&gt;1,"",IFERROR(VLOOKUP($E857,Orders!$A:$I,8,FALSE),"")))</f>
        <v/>
      </c>
      <c r="S857" s="118" t="str">
        <f>IF($E857="","",IF(COUNTIF($E$7:$E2054,$E857)&gt;1,"",IFERROR(VLOOKUP($E857,Orders!$A:$I,9,FALSE),"")))</f>
        <v/>
      </c>
      <c r="T857" s="88" t="str">
        <f t="shared" si="14"/>
        <v/>
      </c>
      <c r="U857" s="88" t="str">
        <f>IF($F857="","",IF($E857="",T857,SUMIF(Sales!$E$7:$E$1506,$E857,Sales!$T$7:$T$1506)))</f>
        <v/>
      </c>
      <c r="V857" s="49" t="str">
        <f t="shared" si="15"/>
        <v/>
      </c>
      <c r="W857" s="49" t="str">
        <f t="array" ref="W857">IF($V857="","",SUMPRODUCT((Sales!$V$7:$V$1506&lt;&gt;"")*(Sales!$E$7:$E$1506&lt;$E857))+1)</f>
        <v/>
      </c>
      <c r="X857" s="49" t="str">
        <f t="shared" si="16"/>
        <v/>
      </c>
      <c r="Y857" s="49" t="str">
        <f t="shared" si="17"/>
        <v/>
      </c>
    </row>
    <row r="858" ht="15.75" customHeight="1">
      <c r="A858" s="82"/>
      <c r="B858" s="83"/>
      <c r="C858" s="83"/>
      <c r="D858" s="83"/>
      <c r="E858" s="83"/>
      <c r="F858" s="83"/>
      <c r="G858" s="83" t="str">
        <f>IF($F858="","",IFERROR(VLOOKUP($F858,Inventory!$A:$B,2,FALSE),""))</f>
        <v/>
      </c>
      <c r="H858" s="83"/>
      <c r="I858" s="84" t="str">
        <f t="shared" si="2"/>
        <v/>
      </c>
      <c r="J858" s="85" t="str">
        <f>IF($F858="","",IFERROR(VLOOKUP($F858,Inventory!$A:$K,11,FALSE),0))</f>
        <v/>
      </c>
      <c r="K858" s="85"/>
      <c r="L858" s="85" t="str">
        <f t="shared" si="12"/>
        <v/>
      </c>
      <c r="M858" s="83"/>
      <c r="N858" s="85" t="str">
        <f>IF($F858="","",IFERROR(VLOOKUP($F858,Inventory!$A:$I,9,FALSE),0))</f>
        <v/>
      </c>
      <c r="O858" s="85" t="str">
        <f t="shared" si="13"/>
        <v/>
      </c>
      <c r="P858" s="85" t="str">
        <f t="shared" si="5"/>
        <v/>
      </c>
      <c r="Q858" s="83"/>
      <c r="R858" s="118" t="str">
        <f>IF($E858="","",IF(COUNTIF($E$7:$E2055,$E858)&gt;1,"",IFERROR(VLOOKUP($E858,Orders!$A:$I,8,FALSE),"")))</f>
        <v/>
      </c>
      <c r="S858" s="118" t="str">
        <f>IF($E858="","",IF(COUNTIF($E$7:$E2055,$E858)&gt;1,"",IFERROR(VLOOKUP($E858,Orders!$A:$I,9,FALSE),"")))</f>
        <v/>
      </c>
      <c r="T858" s="88" t="str">
        <f t="shared" si="14"/>
        <v/>
      </c>
      <c r="U858" s="88" t="str">
        <f>IF($F858="","",IF($E858="",T858,SUMIF(Sales!$E$7:$E$1506,$E858,Sales!$T$7:$T$1506)))</f>
        <v/>
      </c>
      <c r="V858" s="49" t="str">
        <f t="shared" si="15"/>
        <v/>
      </c>
      <c r="W858" s="49" t="str">
        <f t="array" ref="W858">IF($V858="","",SUMPRODUCT((Sales!$V$7:$V$1506&lt;&gt;"")*(Sales!$E$7:$E$1506&lt;$E858))+1)</f>
        <v/>
      </c>
      <c r="X858" s="49" t="str">
        <f t="shared" si="16"/>
        <v/>
      </c>
      <c r="Y858" s="49" t="str">
        <f t="shared" si="17"/>
        <v/>
      </c>
    </row>
    <row r="859" ht="15.75" customHeight="1">
      <c r="A859" s="82"/>
      <c r="B859" s="83"/>
      <c r="C859" s="83"/>
      <c r="D859" s="83"/>
      <c r="E859" s="83"/>
      <c r="F859" s="83"/>
      <c r="G859" s="83" t="str">
        <f>IF($F859="","",IFERROR(VLOOKUP($F859,Inventory!$A:$B,2,FALSE),""))</f>
        <v/>
      </c>
      <c r="H859" s="83"/>
      <c r="I859" s="84" t="str">
        <f t="shared" si="2"/>
        <v/>
      </c>
      <c r="J859" s="85" t="str">
        <f>IF($F859="","",IFERROR(VLOOKUP($F859,Inventory!$A:$K,11,FALSE),0))</f>
        <v/>
      </c>
      <c r="K859" s="85"/>
      <c r="L859" s="85" t="str">
        <f t="shared" si="12"/>
        <v/>
      </c>
      <c r="M859" s="83"/>
      <c r="N859" s="85" t="str">
        <f>IF($F859="","",IFERROR(VLOOKUP($F859,Inventory!$A:$I,9,FALSE),0))</f>
        <v/>
      </c>
      <c r="O859" s="85" t="str">
        <f t="shared" si="13"/>
        <v/>
      </c>
      <c r="P859" s="85" t="str">
        <f t="shared" si="5"/>
        <v/>
      </c>
      <c r="Q859" s="83"/>
      <c r="R859" s="118" t="str">
        <f>IF($E859="","",IF(COUNTIF($E$7:$E2056,$E859)&gt;1,"",IFERROR(VLOOKUP($E859,Orders!$A:$I,8,FALSE),"")))</f>
        <v/>
      </c>
      <c r="S859" s="118" t="str">
        <f>IF($E859="","",IF(COUNTIF($E$7:$E2056,$E859)&gt;1,"",IFERROR(VLOOKUP($E859,Orders!$A:$I,9,FALSE),"")))</f>
        <v/>
      </c>
      <c r="T859" s="88" t="str">
        <f t="shared" si="14"/>
        <v/>
      </c>
      <c r="U859" s="88" t="str">
        <f>IF($F859="","",IF($E859="",T859,SUMIF(Sales!$E$7:$E$1506,$E859,Sales!$T$7:$T$1506)))</f>
        <v/>
      </c>
      <c r="V859" s="49" t="str">
        <f t="shared" si="15"/>
        <v/>
      </c>
      <c r="W859" s="49" t="str">
        <f t="array" ref="W859">IF($V859="","",SUMPRODUCT((Sales!$V$7:$V$1506&lt;&gt;"")*(Sales!$E$7:$E$1506&lt;$E859))+1)</f>
        <v/>
      </c>
      <c r="X859" s="49" t="str">
        <f t="shared" si="16"/>
        <v/>
      </c>
      <c r="Y859" s="49" t="str">
        <f t="shared" si="17"/>
        <v/>
      </c>
    </row>
    <row r="860" ht="15.75" customHeight="1">
      <c r="A860" s="82"/>
      <c r="B860" s="83"/>
      <c r="C860" s="83"/>
      <c r="D860" s="83"/>
      <c r="E860" s="83"/>
      <c r="F860" s="83"/>
      <c r="G860" s="83" t="str">
        <f>IF($F860="","",IFERROR(VLOOKUP($F860,Inventory!$A:$B,2,FALSE),""))</f>
        <v/>
      </c>
      <c r="H860" s="83"/>
      <c r="I860" s="84" t="str">
        <f t="shared" si="2"/>
        <v/>
      </c>
      <c r="J860" s="85" t="str">
        <f>IF($F860="","",IFERROR(VLOOKUP($F860,Inventory!$A:$K,11,FALSE),0))</f>
        <v/>
      </c>
      <c r="K860" s="85"/>
      <c r="L860" s="85" t="str">
        <f t="shared" si="12"/>
        <v/>
      </c>
      <c r="M860" s="83"/>
      <c r="N860" s="85" t="str">
        <f>IF($F860="","",IFERROR(VLOOKUP($F860,Inventory!$A:$I,9,FALSE),0))</f>
        <v/>
      </c>
      <c r="O860" s="85" t="str">
        <f t="shared" si="13"/>
        <v/>
      </c>
      <c r="P860" s="85" t="str">
        <f t="shared" si="5"/>
        <v/>
      </c>
      <c r="Q860" s="83"/>
      <c r="R860" s="118" t="str">
        <f>IF($E860="","",IF(COUNTIF($E$7:$E2057,$E860)&gt;1,"",IFERROR(VLOOKUP($E860,Orders!$A:$I,8,FALSE),"")))</f>
        <v/>
      </c>
      <c r="S860" s="118" t="str">
        <f>IF($E860="","",IF(COUNTIF($E$7:$E2057,$E860)&gt;1,"",IFERROR(VLOOKUP($E860,Orders!$A:$I,9,FALSE),"")))</f>
        <v/>
      </c>
      <c r="T860" s="88" t="str">
        <f t="shared" si="14"/>
        <v/>
      </c>
      <c r="U860" s="88" t="str">
        <f>IF($F860="","",IF($E860="",T860,SUMIF(Sales!$E$7:$E$1506,$E860,Sales!$T$7:$T$1506)))</f>
        <v/>
      </c>
      <c r="V860" s="49" t="str">
        <f t="shared" si="15"/>
        <v/>
      </c>
      <c r="W860" s="49" t="str">
        <f t="array" ref="W860">IF($V860="","",SUMPRODUCT((Sales!$V$7:$V$1506&lt;&gt;"")*(Sales!$E$7:$E$1506&lt;$E860))+1)</f>
        <v/>
      </c>
      <c r="X860" s="49" t="str">
        <f t="shared" si="16"/>
        <v/>
      </c>
      <c r="Y860" s="49" t="str">
        <f t="shared" si="17"/>
        <v/>
      </c>
    </row>
    <row r="861" ht="15.75" customHeight="1">
      <c r="A861" s="82"/>
      <c r="B861" s="83"/>
      <c r="C861" s="83"/>
      <c r="D861" s="83"/>
      <c r="E861" s="83"/>
      <c r="F861" s="83"/>
      <c r="G861" s="83" t="str">
        <f>IF($F861="","",IFERROR(VLOOKUP($F861,Inventory!$A:$B,2,FALSE),""))</f>
        <v/>
      </c>
      <c r="H861" s="83"/>
      <c r="I861" s="84" t="str">
        <f t="shared" si="2"/>
        <v/>
      </c>
      <c r="J861" s="85" t="str">
        <f>IF($F861="","",IFERROR(VLOOKUP($F861,Inventory!$A:$K,11,FALSE),0))</f>
        <v/>
      </c>
      <c r="K861" s="85"/>
      <c r="L861" s="85" t="str">
        <f t="shared" si="12"/>
        <v/>
      </c>
      <c r="M861" s="83"/>
      <c r="N861" s="85" t="str">
        <f>IF($F861="","",IFERROR(VLOOKUP($F861,Inventory!$A:$I,9,FALSE),0))</f>
        <v/>
      </c>
      <c r="O861" s="85" t="str">
        <f t="shared" si="13"/>
        <v/>
      </c>
      <c r="P861" s="85" t="str">
        <f t="shared" si="5"/>
        <v/>
      </c>
      <c r="Q861" s="83"/>
      <c r="R861" s="118" t="str">
        <f>IF($E861="","",IF(COUNTIF($E$7:$E2058,$E861)&gt;1,"",IFERROR(VLOOKUP($E861,Orders!$A:$I,8,FALSE),"")))</f>
        <v/>
      </c>
      <c r="S861" s="118" t="str">
        <f>IF($E861="","",IF(COUNTIF($E$7:$E2058,$E861)&gt;1,"",IFERROR(VLOOKUP($E861,Orders!$A:$I,9,FALSE),"")))</f>
        <v/>
      </c>
      <c r="T861" s="88" t="str">
        <f t="shared" si="14"/>
        <v/>
      </c>
      <c r="U861" s="88" t="str">
        <f>IF($F861="","",IF($E861="",T861,SUMIF(Sales!$E$7:$E$1506,$E861,Sales!$T$7:$T$1506)))</f>
        <v/>
      </c>
      <c r="V861" s="49" t="str">
        <f t="shared" si="15"/>
        <v/>
      </c>
      <c r="W861" s="49" t="str">
        <f t="array" ref="W861">IF($V861="","",SUMPRODUCT((Sales!$V$7:$V$1506&lt;&gt;"")*(Sales!$E$7:$E$1506&lt;$E861))+1)</f>
        <v/>
      </c>
      <c r="X861" s="49" t="str">
        <f t="shared" si="16"/>
        <v/>
      </c>
      <c r="Y861" s="49" t="str">
        <f t="shared" si="17"/>
        <v/>
      </c>
    </row>
    <row r="862" ht="15.75" customHeight="1">
      <c r="A862" s="82"/>
      <c r="B862" s="83"/>
      <c r="C862" s="83"/>
      <c r="D862" s="83"/>
      <c r="E862" s="83"/>
      <c r="F862" s="83"/>
      <c r="G862" s="83" t="str">
        <f>IF($F862="","",IFERROR(VLOOKUP($F862,Inventory!$A:$B,2,FALSE),""))</f>
        <v/>
      </c>
      <c r="H862" s="83"/>
      <c r="I862" s="84" t="str">
        <f t="shared" si="2"/>
        <v/>
      </c>
      <c r="J862" s="85" t="str">
        <f>IF($F862="","",IFERROR(VLOOKUP($F862,Inventory!$A:$K,11,FALSE),0))</f>
        <v/>
      </c>
      <c r="K862" s="85"/>
      <c r="L862" s="85" t="str">
        <f t="shared" si="12"/>
        <v/>
      </c>
      <c r="M862" s="83"/>
      <c r="N862" s="85" t="str">
        <f>IF($F862="","",IFERROR(VLOOKUP($F862,Inventory!$A:$I,9,FALSE),0))</f>
        <v/>
      </c>
      <c r="O862" s="85" t="str">
        <f t="shared" si="13"/>
        <v/>
      </c>
      <c r="P862" s="85" t="str">
        <f t="shared" si="5"/>
        <v/>
      </c>
      <c r="Q862" s="83"/>
      <c r="R862" s="118" t="str">
        <f>IF($E862="","",IF(COUNTIF($E$7:$E2059,$E862)&gt;1,"",IFERROR(VLOOKUP($E862,Orders!$A:$I,8,FALSE),"")))</f>
        <v/>
      </c>
      <c r="S862" s="118" t="str">
        <f>IF($E862="","",IF(COUNTIF($E$7:$E2059,$E862)&gt;1,"",IFERROR(VLOOKUP($E862,Orders!$A:$I,9,FALSE),"")))</f>
        <v/>
      </c>
      <c r="T862" s="88" t="str">
        <f t="shared" si="14"/>
        <v/>
      </c>
      <c r="U862" s="88" t="str">
        <f>IF($F862="","",IF($E862="",T862,SUMIF(Sales!$E$7:$E$1506,$E862,Sales!$T$7:$T$1506)))</f>
        <v/>
      </c>
      <c r="V862" s="49" t="str">
        <f t="shared" si="15"/>
        <v/>
      </c>
      <c r="W862" s="49" t="str">
        <f t="array" ref="W862">IF($V862="","",SUMPRODUCT((Sales!$V$7:$V$1506&lt;&gt;"")*(Sales!$E$7:$E$1506&lt;$E862))+1)</f>
        <v/>
      </c>
      <c r="X862" s="49" t="str">
        <f t="shared" si="16"/>
        <v/>
      </c>
      <c r="Y862" s="49" t="str">
        <f t="shared" si="17"/>
        <v/>
      </c>
    </row>
    <row r="863" ht="15.75" customHeight="1">
      <c r="A863" s="82"/>
      <c r="B863" s="83"/>
      <c r="C863" s="83"/>
      <c r="D863" s="83"/>
      <c r="E863" s="83"/>
      <c r="F863" s="83"/>
      <c r="G863" s="83" t="str">
        <f>IF($F863="","",IFERROR(VLOOKUP($F863,Inventory!$A:$B,2,FALSE),""))</f>
        <v/>
      </c>
      <c r="H863" s="83"/>
      <c r="I863" s="84" t="str">
        <f t="shared" si="2"/>
        <v/>
      </c>
      <c r="J863" s="85" t="str">
        <f>IF($F863="","",IFERROR(VLOOKUP($F863,Inventory!$A:$K,11,FALSE),0))</f>
        <v/>
      </c>
      <c r="K863" s="85"/>
      <c r="L863" s="85" t="str">
        <f t="shared" si="12"/>
        <v/>
      </c>
      <c r="M863" s="83"/>
      <c r="N863" s="85" t="str">
        <f>IF($F863="","",IFERROR(VLOOKUP($F863,Inventory!$A:$I,9,FALSE),0))</f>
        <v/>
      </c>
      <c r="O863" s="85" t="str">
        <f t="shared" si="13"/>
        <v/>
      </c>
      <c r="P863" s="85" t="str">
        <f t="shared" si="5"/>
        <v/>
      </c>
      <c r="Q863" s="83"/>
      <c r="R863" s="118" t="str">
        <f>IF($E863="","",IF(COUNTIF($E$7:$E2060,$E863)&gt;1,"",IFERROR(VLOOKUP($E863,Orders!$A:$I,8,FALSE),"")))</f>
        <v/>
      </c>
      <c r="S863" s="118" t="str">
        <f>IF($E863="","",IF(COUNTIF($E$7:$E2060,$E863)&gt;1,"",IFERROR(VLOOKUP($E863,Orders!$A:$I,9,FALSE),"")))</f>
        <v/>
      </c>
      <c r="T863" s="88" t="str">
        <f t="shared" si="14"/>
        <v/>
      </c>
      <c r="U863" s="88" t="str">
        <f>IF($F863="","",IF($E863="",T863,SUMIF(Sales!$E$7:$E$1506,$E863,Sales!$T$7:$T$1506)))</f>
        <v/>
      </c>
      <c r="V863" s="49" t="str">
        <f t="shared" si="15"/>
        <v/>
      </c>
      <c r="W863" s="49" t="str">
        <f t="array" ref="W863">IF($V863="","",SUMPRODUCT((Sales!$V$7:$V$1506&lt;&gt;"")*(Sales!$E$7:$E$1506&lt;$E863))+1)</f>
        <v/>
      </c>
      <c r="X863" s="49" t="str">
        <f t="shared" si="16"/>
        <v/>
      </c>
      <c r="Y863" s="49" t="str">
        <f t="shared" si="17"/>
        <v/>
      </c>
    </row>
    <row r="864" ht="15.75" customHeight="1">
      <c r="A864" s="82"/>
      <c r="B864" s="83"/>
      <c r="C864" s="83"/>
      <c r="D864" s="83"/>
      <c r="E864" s="83"/>
      <c r="F864" s="83"/>
      <c r="G864" s="83" t="str">
        <f>IF($F864="","",IFERROR(VLOOKUP($F864,Inventory!$A:$B,2,FALSE),""))</f>
        <v/>
      </c>
      <c r="H864" s="83"/>
      <c r="I864" s="84" t="str">
        <f t="shared" si="2"/>
        <v/>
      </c>
      <c r="J864" s="85" t="str">
        <f>IF($F864="","",IFERROR(VLOOKUP($F864,Inventory!$A:$K,11,FALSE),0))</f>
        <v/>
      </c>
      <c r="K864" s="85"/>
      <c r="L864" s="85" t="str">
        <f t="shared" si="12"/>
        <v/>
      </c>
      <c r="M864" s="83"/>
      <c r="N864" s="85" t="str">
        <f>IF($F864="","",IFERROR(VLOOKUP($F864,Inventory!$A:$I,9,FALSE),0))</f>
        <v/>
      </c>
      <c r="O864" s="85" t="str">
        <f t="shared" si="13"/>
        <v/>
      </c>
      <c r="P864" s="85" t="str">
        <f t="shared" si="5"/>
        <v/>
      </c>
      <c r="Q864" s="83"/>
      <c r="R864" s="118" t="str">
        <f>IF($E864="","",IF(COUNTIF($E$7:$E2061,$E864)&gt;1,"",IFERROR(VLOOKUP($E864,Orders!$A:$I,8,FALSE),"")))</f>
        <v/>
      </c>
      <c r="S864" s="118" t="str">
        <f>IF($E864="","",IF(COUNTIF($E$7:$E2061,$E864)&gt;1,"",IFERROR(VLOOKUP($E864,Orders!$A:$I,9,FALSE),"")))</f>
        <v/>
      </c>
      <c r="T864" s="88" t="str">
        <f t="shared" si="14"/>
        <v/>
      </c>
      <c r="U864" s="88" t="str">
        <f>IF($F864="","",IF($E864="",T864,SUMIF(Sales!$E$7:$E$1506,$E864,Sales!$T$7:$T$1506)))</f>
        <v/>
      </c>
      <c r="V864" s="49" t="str">
        <f t="shared" si="15"/>
        <v/>
      </c>
      <c r="W864" s="49" t="str">
        <f t="array" ref="W864">IF($V864="","",SUMPRODUCT((Sales!$V$7:$V$1506&lt;&gt;"")*(Sales!$E$7:$E$1506&lt;$E864))+1)</f>
        <v/>
      </c>
      <c r="X864" s="49" t="str">
        <f t="shared" si="16"/>
        <v/>
      </c>
      <c r="Y864" s="49" t="str">
        <f t="shared" si="17"/>
        <v/>
      </c>
    </row>
    <row r="865" ht="15.75" customHeight="1">
      <c r="A865" s="82"/>
      <c r="B865" s="83"/>
      <c r="C865" s="83"/>
      <c r="D865" s="83"/>
      <c r="E865" s="83"/>
      <c r="F865" s="83"/>
      <c r="G865" s="83" t="str">
        <f>IF($F865="","",IFERROR(VLOOKUP($F865,Inventory!$A:$B,2,FALSE),""))</f>
        <v/>
      </c>
      <c r="H865" s="83"/>
      <c r="I865" s="84" t="str">
        <f t="shared" si="2"/>
        <v/>
      </c>
      <c r="J865" s="85" t="str">
        <f>IF($F865="","",IFERROR(VLOOKUP($F865,Inventory!$A:$K,11,FALSE),0))</f>
        <v/>
      </c>
      <c r="K865" s="85"/>
      <c r="L865" s="85" t="str">
        <f t="shared" si="12"/>
        <v/>
      </c>
      <c r="M865" s="83"/>
      <c r="N865" s="85" t="str">
        <f>IF($F865="","",IFERROR(VLOOKUP($F865,Inventory!$A:$I,9,FALSE),0))</f>
        <v/>
      </c>
      <c r="O865" s="85" t="str">
        <f t="shared" si="13"/>
        <v/>
      </c>
      <c r="P865" s="85" t="str">
        <f t="shared" si="5"/>
        <v/>
      </c>
      <c r="Q865" s="83"/>
      <c r="R865" s="118" t="str">
        <f>IF($E865="","",IF(COUNTIF($E$7:$E2062,$E865)&gt;1,"",IFERROR(VLOOKUP($E865,Orders!$A:$I,8,FALSE),"")))</f>
        <v/>
      </c>
      <c r="S865" s="118" t="str">
        <f>IF($E865="","",IF(COUNTIF($E$7:$E2062,$E865)&gt;1,"",IFERROR(VLOOKUP($E865,Orders!$A:$I,9,FALSE),"")))</f>
        <v/>
      </c>
      <c r="T865" s="88" t="str">
        <f t="shared" si="14"/>
        <v/>
      </c>
      <c r="U865" s="88" t="str">
        <f>IF($F865="","",IF($E865="",T865,SUMIF(Sales!$E$7:$E$1506,$E865,Sales!$T$7:$T$1506)))</f>
        <v/>
      </c>
      <c r="V865" s="49" t="str">
        <f t="shared" si="15"/>
        <v/>
      </c>
      <c r="W865" s="49" t="str">
        <f t="array" ref="W865">IF($V865="","",SUMPRODUCT((Sales!$V$7:$V$1506&lt;&gt;"")*(Sales!$E$7:$E$1506&lt;$E865))+1)</f>
        <v/>
      </c>
      <c r="X865" s="49" t="str">
        <f t="shared" si="16"/>
        <v/>
      </c>
      <c r="Y865" s="49" t="str">
        <f t="shared" si="17"/>
        <v/>
      </c>
    </row>
    <row r="866" ht="15.75" customHeight="1">
      <c r="A866" s="82"/>
      <c r="B866" s="83"/>
      <c r="C866" s="83"/>
      <c r="D866" s="83"/>
      <c r="E866" s="83"/>
      <c r="F866" s="83"/>
      <c r="G866" s="83" t="str">
        <f>IF($F866="","",IFERROR(VLOOKUP($F866,Inventory!$A:$B,2,FALSE),""))</f>
        <v/>
      </c>
      <c r="H866" s="83"/>
      <c r="I866" s="84" t="str">
        <f t="shared" si="2"/>
        <v/>
      </c>
      <c r="J866" s="85" t="str">
        <f>IF($F866="","",IFERROR(VLOOKUP($F866,Inventory!$A:$K,11,FALSE),0))</f>
        <v/>
      </c>
      <c r="K866" s="85"/>
      <c r="L866" s="85" t="str">
        <f t="shared" si="12"/>
        <v/>
      </c>
      <c r="M866" s="83"/>
      <c r="N866" s="85" t="str">
        <f>IF($F866="","",IFERROR(VLOOKUP($F866,Inventory!$A:$I,9,FALSE),0))</f>
        <v/>
      </c>
      <c r="O866" s="85" t="str">
        <f t="shared" si="13"/>
        <v/>
      </c>
      <c r="P866" s="85" t="str">
        <f t="shared" si="5"/>
        <v/>
      </c>
      <c r="Q866" s="83"/>
      <c r="R866" s="118" t="str">
        <f>IF($E866="","",IF(COUNTIF($E$7:$E2063,$E866)&gt;1,"",IFERROR(VLOOKUP($E866,Orders!$A:$I,8,FALSE),"")))</f>
        <v/>
      </c>
      <c r="S866" s="118" t="str">
        <f>IF($E866="","",IF(COUNTIF($E$7:$E2063,$E866)&gt;1,"",IFERROR(VLOOKUP($E866,Orders!$A:$I,9,FALSE),"")))</f>
        <v/>
      </c>
      <c r="T866" s="88" t="str">
        <f t="shared" si="14"/>
        <v/>
      </c>
      <c r="U866" s="88" t="str">
        <f>IF($F866="","",IF($E866="",T866,SUMIF(Sales!$E$7:$E$1506,$E866,Sales!$T$7:$T$1506)))</f>
        <v/>
      </c>
      <c r="V866" s="49" t="str">
        <f t="shared" si="15"/>
        <v/>
      </c>
      <c r="W866" s="49" t="str">
        <f t="array" ref="W866">IF($V866="","",SUMPRODUCT((Sales!$V$7:$V$1506&lt;&gt;"")*(Sales!$E$7:$E$1506&lt;$E866))+1)</f>
        <v/>
      </c>
      <c r="X866" s="49" t="str">
        <f t="shared" si="16"/>
        <v/>
      </c>
      <c r="Y866" s="49" t="str">
        <f t="shared" si="17"/>
        <v/>
      </c>
    </row>
    <row r="867" ht="15.75" customHeight="1">
      <c r="A867" s="82"/>
      <c r="B867" s="83"/>
      <c r="C867" s="83"/>
      <c r="D867" s="83"/>
      <c r="E867" s="83"/>
      <c r="F867" s="83"/>
      <c r="G867" s="83" t="str">
        <f>IF($F867="","",IFERROR(VLOOKUP($F867,Inventory!$A:$B,2,FALSE),""))</f>
        <v/>
      </c>
      <c r="H867" s="83"/>
      <c r="I867" s="84" t="str">
        <f t="shared" si="2"/>
        <v/>
      </c>
      <c r="J867" s="85" t="str">
        <f>IF($F867="","",IFERROR(VLOOKUP($F867,Inventory!$A:$K,11,FALSE),0))</f>
        <v/>
      </c>
      <c r="K867" s="85"/>
      <c r="L867" s="85" t="str">
        <f t="shared" si="12"/>
        <v/>
      </c>
      <c r="M867" s="83"/>
      <c r="N867" s="85" t="str">
        <f>IF($F867="","",IFERROR(VLOOKUP($F867,Inventory!$A:$I,9,FALSE),0))</f>
        <v/>
      </c>
      <c r="O867" s="85" t="str">
        <f t="shared" si="13"/>
        <v/>
      </c>
      <c r="P867" s="85" t="str">
        <f t="shared" si="5"/>
        <v/>
      </c>
      <c r="Q867" s="83"/>
      <c r="R867" s="118" t="str">
        <f>IF($E867="","",IF(COUNTIF($E$7:$E2064,$E867)&gt;1,"",IFERROR(VLOOKUP($E867,Orders!$A:$I,8,FALSE),"")))</f>
        <v/>
      </c>
      <c r="S867" s="118" t="str">
        <f>IF($E867="","",IF(COUNTIF($E$7:$E2064,$E867)&gt;1,"",IFERROR(VLOOKUP($E867,Orders!$A:$I,9,FALSE),"")))</f>
        <v/>
      </c>
      <c r="T867" s="88" t="str">
        <f t="shared" si="14"/>
        <v/>
      </c>
      <c r="U867" s="88" t="str">
        <f>IF($F867="","",IF($E867="",T867,SUMIF(Sales!$E$7:$E$1506,$E867,Sales!$T$7:$T$1506)))</f>
        <v/>
      </c>
      <c r="V867" s="49" t="str">
        <f t="shared" si="15"/>
        <v/>
      </c>
      <c r="W867" s="49" t="str">
        <f t="array" ref="W867">IF($V867="","",SUMPRODUCT((Sales!$V$7:$V$1506&lt;&gt;"")*(Sales!$E$7:$E$1506&lt;$E867))+1)</f>
        <v/>
      </c>
      <c r="X867" s="49" t="str">
        <f t="shared" si="16"/>
        <v/>
      </c>
      <c r="Y867" s="49" t="str">
        <f t="shared" si="17"/>
        <v/>
      </c>
    </row>
    <row r="868" ht="15.75" customHeight="1">
      <c r="A868" s="82"/>
      <c r="B868" s="83"/>
      <c r="C868" s="83"/>
      <c r="D868" s="83"/>
      <c r="E868" s="83"/>
      <c r="F868" s="83"/>
      <c r="G868" s="83" t="str">
        <f>IF($F868="","",IFERROR(VLOOKUP($F868,Inventory!$A:$B,2,FALSE),""))</f>
        <v/>
      </c>
      <c r="H868" s="83"/>
      <c r="I868" s="84" t="str">
        <f t="shared" si="2"/>
        <v/>
      </c>
      <c r="J868" s="85" t="str">
        <f>IF($F868="","",IFERROR(VLOOKUP($F868,Inventory!$A:$K,11,FALSE),0))</f>
        <v/>
      </c>
      <c r="K868" s="85"/>
      <c r="L868" s="85" t="str">
        <f t="shared" si="12"/>
        <v/>
      </c>
      <c r="M868" s="83"/>
      <c r="N868" s="85" t="str">
        <f>IF($F868="","",IFERROR(VLOOKUP($F868,Inventory!$A:$I,9,FALSE),0))</f>
        <v/>
      </c>
      <c r="O868" s="85" t="str">
        <f t="shared" si="13"/>
        <v/>
      </c>
      <c r="P868" s="85" t="str">
        <f t="shared" si="5"/>
        <v/>
      </c>
      <c r="Q868" s="83"/>
      <c r="R868" s="118" t="str">
        <f>IF($E868="","",IF(COUNTIF($E$7:$E2065,$E868)&gt;1,"",IFERROR(VLOOKUP($E868,Orders!$A:$I,8,FALSE),"")))</f>
        <v/>
      </c>
      <c r="S868" s="118" t="str">
        <f>IF($E868="","",IF(COUNTIF($E$7:$E2065,$E868)&gt;1,"",IFERROR(VLOOKUP($E868,Orders!$A:$I,9,FALSE),"")))</f>
        <v/>
      </c>
      <c r="T868" s="88" t="str">
        <f t="shared" si="14"/>
        <v/>
      </c>
      <c r="U868" s="88" t="str">
        <f>IF($F868="","",IF($E868="",T868,SUMIF(Sales!$E$7:$E$1506,$E868,Sales!$T$7:$T$1506)))</f>
        <v/>
      </c>
      <c r="V868" s="49" t="str">
        <f t="shared" si="15"/>
        <v/>
      </c>
      <c r="W868" s="49" t="str">
        <f t="array" ref="W868">IF($V868="","",SUMPRODUCT((Sales!$V$7:$V$1506&lt;&gt;"")*(Sales!$E$7:$E$1506&lt;$E868))+1)</f>
        <v/>
      </c>
      <c r="X868" s="49" t="str">
        <f t="shared" si="16"/>
        <v/>
      </c>
      <c r="Y868" s="49" t="str">
        <f t="shared" si="17"/>
        <v/>
      </c>
    </row>
    <row r="869" ht="15.75" customHeight="1">
      <c r="A869" s="82"/>
      <c r="B869" s="83"/>
      <c r="C869" s="83"/>
      <c r="D869" s="83"/>
      <c r="E869" s="83"/>
      <c r="F869" s="83"/>
      <c r="G869" s="83" t="str">
        <f>IF($F869="","",IFERROR(VLOOKUP($F869,Inventory!$A:$B,2,FALSE),""))</f>
        <v/>
      </c>
      <c r="H869" s="83"/>
      <c r="I869" s="84" t="str">
        <f t="shared" si="2"/>
        <v/>
      </c>
      <c r="J869" s="85" t="str">
        <f>IF($F869="","",IFERROR(VLOOKUP($F869,Inventory!$A:$K,11,FALSE),0))</f>
        <v/>
      </c>
      <c r="K869" s="85"/>
      <c r="L869" s="85" t="str">
        <f t="shared" si="12"/>
        <v/>
      </c>
      <c r="M869" s="83"/>
      <c r="N869" s="85" t="str">
        <f>IF($F869="","",IFERROR(VLOOKUP($F869,Inventory!$A:$I,9,FALSE),0))</f>
        <v/>
      </c>
      <c r="O869" s="85" t="str">
        <f t="shared" si="13"/>
        <v/>
      </c>
      <c r="P869" s="85" t="str">
        <f t="shared" si="5"/>
        <v/>
      </c>
      <c r="Q869" s="83"/>
      <c r="R869" s="118" t="str">
        <f>IF($E869="","",IF(COUNTIF($E$7:$E2066,$E869)&gt;1,"",IFERROR(VLOOKUP($E869,Orders!$A:$I,8,FALSE),"")))</f>
        <v/>
      </c>
      <c r="S869" s="118" t="str">
        <f>IF($E869="","",IF(COUNTIF($E$7:$E2066,$E869)&gt;1,"",IFERROR(VLOOKUP($E869,Orders!$A:$I,9,FALSE),"")))</f>
        <v/>
      </c>
      <c r="T869" s="88" t="str">
        <f t="shared" si="14"/>
        <v/>
      </c>
      <c r="U869" s="88" t="str">
        <f>IF($F869="","",IF($E869="",T869,SUMIF(Sales!$E$7:$E$1506,$E869,Sales!$T$7:$T$1506)))</f>
        <v/>
      </c>
      <c r="V869" s="49" t="str">
        <f t="shared" si="15"/>
        <v/>
      </c>
      <c r="W869" s="49" t="str">
        <f t="array" ref="W869">IF($V869="","",SUMPRODUCT((Sales!$V$7:$V$1506&lt;&gt;"")*(Sales!$E$7:$E$1506&lt;$E869))+1)</f>
        <v/>
      </c>
      <c r="X869" s="49" t="str">
        <f t="shared" si="16"/>
        <v/>
      </c>
      <c r="Y869" s="49" t="str">
        <f t="shared" si="17"/>
        <v/>
      </c>
    </row>
    <row r="870" ht="15.75" customHeight="1">
      <c r="A870" s="82"/>
      <c r="B870" s="83"/>
      <c r="C870" s="83"/>
      <c r="D870" s="83"/>
      <c r="E870" s="83"/>
      <c r="F870" s="83"/>
      <c r="G870" s="83" t="str">
        <f>IF($F870="","",IFERROR(VLOOKUP($F870,Inventory!$A:$B,2,FALSE),""))</f>
        <v/>
      </c>
      <c r="H870" s="83"/>
      <c r="I870" s="84" t="str">
        <f t="shared" si="2"/>
        <v/>
      </c>
      <c r="J870" s="85" t="str">
        <f>IF($F870="","",IFERROR(VLOOKUP($F870,Inventory!$A:$K,11,FALSE),0))</f>
        <v/>
      </c>
      <c r="K870" s="85"/>
      <c r="L870" s="85" t="str">
        <f t="shared" si="12"/>
        <v/>
      </c>
      <c r="M870" s="83"/>
      <c r="N870" s="85" t="str">
        <f>IF($F870="","",IFERROR(VLOOKUP($F870,Inventory!$A:$I,9,FALSE),0))</f>
        <v/>
      </c>
      <c r="O870" s="85" t="str">
        <f t="shared" si="13"/>
        <v/>
      </c>
      <c r="P870" s="85" t="str">
        <f t="shared" si="5"/>
        <v/>
      </c>
      <c r="Q870" s="83"/>
      <c r="R870" s="118" t="str">
        <f>IF($E870="","",IF(COUNTIF($E$7:$E2067,$E870)&gt;1,"",IFERROR(VLOOKUP($E870,Orders!$A:$I,8,FALSE),"")))</f>
        <v/>
      </c>
      <c r="S870" s="118" t="str">
        <f>IF($E870="","",IF(COUNTIF($E$7:$E2067,$E870)&gt;1,"",IFERROR(VLOOKUP($E870,Orders!$A:$I,9,FALSE),"")))</f>
        <v/>
      </c>
      <c r="T870" s="88" t="str">
        <f t="shared" si="14"/>
        <v/>
      </c>
      <c r="U870" s="88" t="str">
        <f>IF($F870="","",IF($E870="",T870,SUMIF(Sales!$E$7:$E$1506,$E870,Sales!$T$7:$T$1506)))</f>
        <v/>
      </c>
      <c r="V870" s="49" t="str">
        <f t="shared" si="15"/>
        <v/>
      </c>
      <c r="W870" s="49" t="str">
        <f t="array" ref="W870">IF($V870="","",SUMPRODUCT((Sales!$V$7:$V$1506&lt;&gt;"")*(Sales!$E$7:$E$1506&lt;$E870))+1)</f>
        <v/>
      </c>
      <c r="X870" s="49" t="str">
        <f t="shared" si="16"/>
        <v/>
      </c>
      <c r="Y870" s="49" t="str">
        <f t="shared" si="17"/>
        <v/>
      </c>
    </row>
    <row r="871" ht="15.75" customHeight="1">
      <c r="A871" s="82"/>
      <c r="B871" s="83"/>
      <c r="C871" s="83"/>
      <c r="D871" s="83"/>
      <c r="E871" s="83"/>
      <c r="F871" s="83"/>
      <c r="G871" s="83" t="str">
        <f>IF($F871="","",IFERROR(VLOOKUP($F871,Inventory!$A:$B,2,FALSE),""))</f>
        <v/>
      </c>
      <c r="H871" s="83"/>
      <c r="I871" s="84" t="str">
        <f t="shared" si="2"/>
        <v/>
      </c>
      <c r="J871" s="85" t="str">
        <f>IF($F871="","",IFERROR(VLOOKUP($F871,Inventory!$A:$K,11,FALSE),0))</f>
        <v/>
      </c>
      <c r="K871" s="85"/>
      <c r="L871" s="85" t="str">
        <f t="shared" si="12"/>
        <v/>
      </c>
      <c r="M871" s="83"/>
      <c r="N871" s="85" t="str">
        <f>IF($F871="","",IFERROR(VLOOKUP($F871,Inventory!$A:$I,9,FALSE),0))</f>
        <v/>
      </c>
      <c r="O871" s="85" t="str">
        <f t="shared" si="13"/>
        <v/>
      </c>
      <c r="P871" s="85" t="str">
        <f t="shared" si="5"/>
        <v/>
      </c>
      <c r="Q871" s="83"/>
      <c r="R871" s="118" t="str">
        <f>IF($E871="","",IF(COUNTIF($E$7:$E2068,$E871)&gt;1,"",IFERROR(VLOOKUP($E871,Orders!$A:$I,8,FALSE),"")))</f>
        <v/>
      </c>
      <c r="S871" s="118" t="str">
        <f>IF($E871="","",IF(COUNTIF($E$7:$E2068,$E871)&gt;1,"",IFERROR(VLOOKUP($E871,Orders!$A:$I,9,FALSE),"")))</f>
        <v/>
      </c>
      <c r="T871" s="88" t="str">
        <f t="shared" si="14"/>
        <v/>
      </c>
      <c r="U871" s="88" t="str">
        <f>IF($F871="","",IF($E871="",T871,SUMIF(Sales!$E$7:$E$1506,$E871,Sales!$T$7:$T$1506)))</f>
        <v/>
      </c>
      <c r="V871" s="49" t="str">
        <f t="shared" si="15"/>
        <v/>
      </c>
      <c r="W871" s="49" t="str">
        <f t="array" ref="W871">IF($V871="","",SUMPRODUCT((Sales!$V$7:$V$1506&lt;&gt;"")*(Sales!$E$7:$E$1506&lt;$E871))+1)</f>
        <v/>
      </c>
      <c r="X871" s="49" t="str">
        <f t="shared" si="16"/>
        <v/>
      </c>
      <c r="Y871" s="49" t="str">
        <f t="shared" si="17"/>
        <v/>
      </c>
    </row>
    <row r="872" ht="15.75" customHeight="1">
      <c r="A872" s="82"/>
      <c r="B872" s="83"/>
      <c r="C872" s="83"/>
      <c r="D872" s="83"/>
      <c r="E872" s="83"/>
      <c r="F872" s="83"/>
      <c r="G872" s="83" t="str">
        <f>IF($F872="","",IFERROR(VLOOKUP($F872,Inventory!$A:$B,2,FALSE),""))</f>
        <v/>
      </c>
      <c r="H872" s="83"/>
      <c r="I872" s="84" t="str">
        <f t="shared" si="2"/>
        <v/>
      </c>
      <c r="J872" s="85" t="str">
        <f>IF($F872="","",IFERROR(VLOOKUP($F872,Inventory!$A:$K,11,FALSE),0))</f>
        <v/>
      </c>
      <c r="K872" s="85"/>
      <c r="L872" s="85" t="str">
        <f t="shared" si="12"/>
        <v/>
      </c>
      <c r="M872" s="83"/>
      <c r="N872" s="85" t="str">
        <f>IF($F872="","",IFERROR(VLOOKUP($F872,Inventory!$A:$I,9,FALSE),0))</f>
        <v/>
      </c>
      <c r="O872" s="85" t="str">
        <f t="shared" si="13"/>
        <v/>
      </c>
      <c r="P872" s="85" t="str">
        <f t="shared" si="5"/>
        <v/>
      </c>
      <c r="Q872" s="83"/>
      <c r="R872" s="118" t="str">
        <f>IF($E872="","",IF(COUNTIF($E$7:$E2069,$E872)&gt;1,"",IFERROR(VLOOKUP($E872,Orders!$A:$I,8,FALSE),"")))</f>
        <v/>
      </c>
      <c r="S872" s="118" t="str">
        <f>IF($E872="","",IF(COUNTIF($E$7:$E2069,$E872)&gt;1,"",IFERROR(VLOOKUP($E872,Orders!$A:$I,9,FALSE),"")))</f>
        <v/>
      </c>
      <c r="T872" s="88" t="str">
        <f t="shared" si="14"/>
        <v/>
      </c>
      <c r="U872" s="88" t="str">
        <f>IF($F872="","",IF($E872="",T872,SUMIF(Sales!$E$7:$E$1506,$E872,Sales!$T$7:$T$1506)))</f>
        <v/>
      </c>
      <c r="V872" s="49" t="str">
        <f t="shared" si="15"/>
        <v/>
      </c>
      <c r="W872" s="49" t="str">
        <f t="array" ref="W872">IF($V872="","",SUMPRODUCT((Sales!$V$7:$V$1506&lt;&gt;"")*(Sales!$E$7:$E$1506&lt;$E872))+1)</f>
        <v/>
      </c>
      <c r="X872" s="49" t="str">
        <f t="shared" si="16"/>
        <v/>
      </c>
      <c r="Y872" s="49" t="str">
        <f t="shared" si="17"/>
        <v/>
      </c>
    </row>
    <row r="873" ht="15.75" customHeight="1">
      <c r="A873" s="82"/>
      <c r="B873" s="83"/>
      <c r="C873" s="83"/>
      <c r="D873" s="83"/>
      <c r="E873" s="83"/>
      <c r="F873" s="83"/>
      <c r="G873" s="83" t="str">
        <f>IF($F873="","",IFERROR(VLOOKUP($F873,Inventory!$A:$B,2,FALSE),""))</f>
        <v/>
      </c>
      <c r="H873" s="83"/>
      <c r="I873" s="84" t="str">
        <f t="shared" si="2"/>
        <v/>
      </c>
      <c r="J873" s="85" t="str">
        <f>IF($F873="","",IFERROR(VLOOKUP($F873,Inventory!$A:$K,11,FALSE),0))</f>
        <v/>
      </c>
      <c r="K873" s="85"/>
      <c r="L873" s="85" t="str">
        <f t="shared" si="12"/>
        <v/>
      </c>
      <c r="M873" s="83"/>
      <c r="N873" s="85" t="str">
        <f>IF($F873="","",IFERROR(VLOOKUP($F873,Inventory!$A:$I,9,FALSE),0))</f>
        <v/>
      </c>
      <c r="O873" s="85" t="str">
        <f t="shared" si="13"/>
        <v/>
      </c>
      <c r="P873" s="85" t="str">
        <f t="shared" si="5"/>
        <v/>
      </c>
      <c r="Q873" s="83"/>
      <c r="R873" s="118" t="str">
        <f>IF($E873="","",IF(COUNTIF($E$7:$E2070,$E873)&gt;1,"",IFERROR(VLOOKUP($E873,Orders!$A:$I,8,FALSE),"")))</f>
        <v/>
      </c>
      <c r="S873" s="118" t="str">
        <f>IF($E873="","",IF(COUNTIF($E$7:$E2070,$E873)&gt;1,"",IFERROR(VLOOKUP($E873,Orders!$A:$I,9,FALSE),"")))</f>
        <v/>
      </c>
      <c r="T873" s="88" t="str">
        <f t="shared" si="14"/>
        <v/>
      </c>
      <c r="U873" s="88" t="str">
        <f>IF($F873="","",IF($E873="",T873,SUMIF(Sales!$E$7:$E$1506,$E873,Sales!$T$7:$T$1506)))</f>
        <v/>
      </c>
      <c r="V873" s="49" t="str">
        <f t="shared" si="15"/>
        <v/>
      </c>
      <c r="W873" s="49" t="str">
        <f t="array" ref="W873">IF($V873="","",SUMPRODUCT((Sales!$V$7:$V$1506&lt;&gt;"")*(Sales!$E$7:$E$1506&lt;$E873))+1)</f>
        <v/>
      </c>
      <c r="X873" s="49" t="str">
        <f t="shared" si="16"/>
        <v/>
      </c>
      <c r="Y873" s="49" t="str">
        <f t="shared" si="17"/>
        <v/>
      </c>
    </row>
    <row r="874" ht="15.75" customHeight="1">
      <c r="A874" s="82"/>
      <c r="B874" s="83"/>
      <c r="C874" s="83"/>
      <c r="D874" s="83"/>
      <c r="E874" s="83"/>
      <c r="F874" s="83"/>
      <c r="G874" s="83" t="str">
        <f>IF($F874="","",IFERROR(VLOOKUP($F874,Inventory!$A:$B,2,FALSE),""))</f>
        <v/>
      </c>
      <c r="H874" s="83"/>
      <c r="I874" s="84" t="str">
        <f t="shared" si="2"/>
        <v/>
      </c>
      <c r="J874" s="85" t="str">
        <f>IF($F874="","",IFERROR(VLOOKUP($F874,Inventory!$A:$K,11,FALSE),0))</f>
        <v/>
      </c>
      <c r="K874" s="85"/>
      <c r="L874" s="85" t="str">
        <f t="shared" si="12"/>
        <v/>
      </c>
      <c r="M874" s="83"/>
      <c r="N874" s="85" t="str">
        <f>IF($F874="","",IFERROR(VLOOKUP($F874,Inventory!$A:$I,9,FALSE),0))</f>
        <v/>
      </c>
      <c r="O874" s="85" t="str">
        <f t="shared" si="13"/>
        <v/>
      </c>
      <c r="P874" s="85" t="str">
        <f t="shared" si="5"/>
        <v/>
      </c>
      <c r="Q874" s="83"/>
      <c r="R874" s="118" t="str">
        <f>IF($E874="","",IF(COUNTIF($E$7:$E2071,$E874)&gt;1,"",IFERROR(VLOOKUP($E874,Orders!$A:$I,8,FALSE),"")))</f>
        <v/>
      </c>
      <c r="S874" s="118" t="str">
        <f>IF($E874="","",IF(COUNTIF($E$7:$E2071,$E874)&gt;1,"",IFERROR(VLOOKUP($E874,Orders!$A:$I,9,FALSE),"")))</f>
        <v/>
      </c>
      <c r="T874" s="88" t="str">
        <f t="shared" si="14"/>
        <v/>
      </c>
      <c r="U874" s="88" t="str">
        <f>IF($F874="","",IF($E874="",T874,SUMIF(Sales!$E$7:$E$1506,$E874,Sales!$T$7:$T$1506)))</f>
        <v/>
      </c>
      <c r="V874" s="49" t="str">
        <f t="shared" si="15"/>
        <v/>
      </c>
      <c r="W874" s="49" t="str">
        <f t="array" ref="W874">IF($V874="","",SUMPRODUCT((Sales!$V$7:$V$1506&lt;&gt;"")*(Sales!$E$7:$E$1506&lt;$E874))+1)</f>
        <v/>
      </c>
      <c r="X874" s="49" t="str">
        <f t="shared" si="16"/>
        <v/>
      </c>
      <c r="Y874" s="49" t="str">
        <f t="shared" si="17"/>
        <v/>
      </c>
    </row>
    <row r="875" ht="15.75" customHeight="1">
      <c r="A875" s="82"/>
      <c r="B875" s="83"/>
      <c r="C875" s="83"/>
      <c r="D875" s="83"/>
      <c r="E875" s="83"/>
      <c r="F875" s="83"/>
      <c r="G875" s="83" t="str">
        <f>IF($F875="","",IFERROR(VLOOKUP($F875,Inventory!$A:$B,2,FALSE),""))</f>
        <v/>
      </c>
      <c r="H875" s="83"/>
      <c r="I875" s="84" t="str">
        <f t="shared" si="2"/>
        <v/>
      </c>
      <c r="J875" s="85" t="str">
        <f>IF($F875="","",IFERROR(VLOOKUP($F875,Inventory!$A:$K,11,FALSE),0))</f>
        <v/>
      </c>
      <c r="K875" s="85"/>
      <c r="L875" s="85" t="str">
        <f t="shared" si="12"/>
        <v/>
      </c>
      <c r="M875" s="83"/>
      <c r="N875" s="85" t="str">
        <f>IF($F875="","",IFERROR(VLOOKUP($F875,Inventory!$A:$I,9,FALSE),0))</f>
        <v/>
      </c>
      <c r="O875" s="85" t="str">
        <f t="shared" si="13"/>
        <v/>
      </c>
      <c r="P875" s="85" t="str">
        <f t="shared" si="5"/>
        <v/>
      </c>
      <c r="Q875" s="83"/>
      <c r="R875" s="118" t="str">
        <f>IF($E875="","",IF(COUNTIF($E$7:$E2072,$E875)&gt;1,"",IFERROR(VLOOKUP($E875,Orders!$A:$I,8,FALSE),"")))</f>
        <v/>
      </c>
      <c r="S875" s="118" t="str">
        <f>IF($E875="","",IF(COUNTIF($E$7:$E2072,$E875)&gt;1,"",IFERROR(VLOOKUP($E875,Orders!$A:$I,9,FALSE),"")))</f>
        <v/>
      </c>
      <c r="T875" s="88" t="str">
        <f t="shared" si="14"/>
        <v/>
      </c>
      <c r="U875" s="88" t="str">
        <f>IF($F875="","",IF($E875="",T875,SUMIF(Sales!$E$7:$E$1506,$E875,Sales!$T$7:$T$1506)))</f>
        <v/>
      </c>
      <c r="V875" s="49" t="str">
        <f t="shared" si="15"/>
        <v/>
      </c>
      <c r="W875" s="49" t="str">
        <f t="array" ref="W875">IF($V875="","",SUMPRODUCT((Sales!$V$7:$V$1506&lt;&gt;"")*(Sales!$E$7:$E$1506&lt;$E875))+1)</f>
        <v/>
      </c>
      <c r="X875" s="49" t="str">
        <f t="shared" si="16"/>
        <v/>
      </c>
      <c r="Y875" s="49" t="str">
        <f t="shared" si="17"/>
        <v/>
      </c>
    </row>
    <row r="876" ht="15.75" customHeight="1">
      <c r="A876" s="82"/>
      <c r="B876" s="83"/>
      <c r="C876" s="83"/>
      <c r="D876" s="83"/>
      <c r="E876" s="83"/>
      <c r="F876" s="83"/>
      <c r="G876" s="83" t="str">
        <f>IF($F876="","",IFERROR(VLOOKUP($F876,Inventory!$A:$B,2,FALSE),""))</f>
        <v/>
      </c>
      <c r="H876" s="83"/>
      <c r="I876" s="84" t="str">
        <f t="shared" si="2"/>
        <v/>
      </c>
      <c r="J876" s="85" t="str">
        <f>IF($F876="","",IFERROR(VLOOKUP($F876,Inventory!$A:$K,11,FALSE),0))</f>
        <v/>
      </c>
      <c r="K876" s="85"/>
      <c r="L876" s="85" t="str">
        <f t="shared" si="12"/>
        <v/>
      </c>
      <c r="M876" s="83"/>
      <c r="N876" s="85" t="str">
        <f>IF($F876="","",IFERROR(VLOOKUP($F876,Inventory!$A:$I,9,FALSE),0))</f>
        <v/>
      </c>
      <c r="O876" s="85" t="str">
        <f t="shared" si="13"/>
        <v/>
      </c>
      <c r="P876" s="85" t="str">
        <f t="shared" si="5"/>
        <v/>
      </c>
      <c r="Q876" s="83"/>
      <c r="R876" s="118" t="str">
        <f>IF($E876="","",IF(COUNTIF($E$7:$E2073,$E876)&gt;1,"",IFERROR(VLOOKUP($E876,Orders!$A:$I,8,FALSE),"")))</f>
        <v/>
      </c>
      <c r="S876" s="118" t="str">
        <f>IF($E876="","",IF(COUNTIF($E$7:$E2073,$E876)&gt;1,"",IFERROR(VLOOKUP($E876,Orders!$A:$I,9,FALSE),"")))</f>
        <v/>
      </c>
      <c r="T876" s="88" t="str">
        <f t="shared" si="14"/>
        <v/>
      </c>
      <c r="U876" s="88" t="str">
        <f>IF($F876="","",IF($E876="",T876,SUMIF(Sales!$E$7:$E$1506,$E876,Sales!$T$7:$T$1506)))</f>
        <v/>
      </c>
      <c r="V876" s="49" t="str">
        <f t="shared" si="15"/>
        <v/>
      </c>
      <c r="W876" s="49" t="str">
        <f t="array" ref="W876">IF($V876="","",SUMPRODUCT((Sales!$V$7:$V$1506&lt;&gt;"")*(Sales!$E$7:$E$1506&lt;$E876))+1)</f>
        <v/>
      </c>
      <c r="X876" s="49" t="str">
        <f t="shared" si="16"/>
        <v/>
      </c>
      <c r="Y876" s="49" t="str">
        <f t="shared" si="17"/>
        <v/>
      </c>
    </row>
    <row r="877" ht="15.75" customHeight="1">
      <c r="A877" s="82"/>
      <c r="B877" s="83"/>
      <c r="C877" s="83"/>
      <c r="D877" s="83"/>
      <c r="E877" s="83"/>
      <c r="F877" s="83"/>
      <c r="G877" s="83" t="str">
        <f>IF($F877="","",IFERROR(VLOOKUP($F877,Inventory!$A:$B,2,FALSE),""))</f>
        <v/>
      </c>
      <c r="H877" s="83"/>
      <c r="I877" s="84" t="str">
        <f t="shared" si="2"/>
        <v/>
      </c>
      <c r="J877" s="85" t="str">
        <f>IF($F877="","",IFERROR(VLOOKUP($F877,Inventory!$A:$K,11,FALSE),0))</f>
        <v/>
      </c>
      <c r="K877" s="85"/>
      <c r="L877" s="85" t="str">
        <f t="shared" si="12"/>
        <v/>
      </c>
      <c r="M877" s="83"/>
      <c r="N877" s="85" t="str">
        <f>IF($F877="","",IFERROR(VLOOKUP($F877,Inventory!$A:$I,9,FALSE),0))</f>
        <v/>
      </c>
      <c r="O877" s="85" t="str">
        <f t="shared" si="13"/>
        <v/>
      </c>
      <c r="P877" s="85" t="str">
        <f t="shared" si="5"/>
        <v/>
      </c>
      <c r="Q877" s="83"/>
      <c r="R877" s="118" t="str">
        <f>IF($E877="","",IF(COUNTIF($E$7:$E2074,$E877)&gt;1,"",IFERROR(VLOOKUP($E877,Orders!$A:$I,8,FALSE),"")))</f>
        <v/>
      </c>
      <c r="S877" s="118" t="str">
        <f>IF($E877="","",IF(COUNTIF($E$7:$E2074,$E877)&gt;1,"",IFERROR(VLOOKUP($E877,Orders!$A:$I,9,FALSE),"")))</f>
        <v/>
      </c>
      <c r="T877" s="88" t="str">
        <f t="shared" si="14"/>
        <v/>
      </c>
      <c r="U877" s="88" t="str">
        <f>IF($F877="","",IF($E877="",T877,SUMIF(Sales!$E$7:$E$1506,$E877,Sales!$T$7:$T$1506)))</f>
        <v/>
      </c>
      <c r="V877" s="49" t="str">
        <f t="shared" si="15"/>
        <v/>
      </c>
      <c r="W877" s="49" t="str">
        <f t="array" ref="W877">IF($V877="","",SUMPRODUCT((Sales!$V$7:$V$1506&lt;&gt;"")*(Sales!$E$7:$E$1506&lt;$E877))+1)</f>
        <v/>
      </c>
      <c r="X877" s="49" t="str">
        <f t="shared" si="16"/>
        <v/>
      </c>
      <c r="Y877" s="49" t="str">
        <f t="shared" si="17"/>
        <v/>
      </c>
    </row>
    <row r="878" ht="15.75" customHeight="1">
      <c r="A878" s="82"/>
      <c r="B878" s="83"/>
      <c r="C878" s="83"/>
      <c r="D878" s="83"/>
      <c r="E878" s="83"/>
      <c r="F878" s="83"/>
      <c r="G878" s="83" t="str">
        <f>IF($F878="","",IFERROR(VLOOKUP($F878,Inventory!$A:$B,2,FALSE),""))</f>
        <v/>
      </c>
      <c r="H878" s="83"/>
      <c r="I878" s="84" t="str">
        <f t="shared" si="2"/>
        <v/>
      </c>
      <c r="J878" s="85" t="str">
        <f>IF($F878="","",IFERROR(VLOOKUP($F878,Inventory!$A:$K,11,FALSE),0))</f>
        <v/>
      </c>
      <c r="K878" s="85"/>
      <c r="L878" s="85" t="str">
        <f t="shared" si="12"/>
        <v/>
      </c>
      <c r="M878" s="83"/>
      <c r="N878" s="85" t="str">
        <f>IF($F878="","",IFERROR(VLOOKUP($F878,Inventory!$A:$I,9,FALSE),0))</f>
        <v/>
      </c>
      <c r="O878" s="85" t="str">
        <f t="shared" si="13"/>
        <v/>
      </c>
      <c r="P878" s="85" t="str">
        <f t="shared" si="5"/>
        <v/>
      </c>
      <c r="Q878" s="83"/>
      <c r="R878" s="118" t="str">
        <f>IF($E878="","",IF(COUNTIF($E$7:$E2075,$E878)&gt;1,"",IFERROR(VLOOKUP($E878,Orders!$A:$I,8,FALSE),"")))</f>
        <v/>
      </c>
      <c r="S878" s="118" t="str">
        <f>IF($E878="","",IF(COUNTIF($E$7:$E2075,$E878)&gt;1,"",IFERROR(VLOOKUP($E878,Orders!$A:$I,9,FALSE),"")))</f>
        <v/>
      </c>
      <c r="T878" s="88" t="str">
        <f t="shared" si="14"/>
        <v/>
      </c>
      <c r="U878" s="88" t="str">
        <f>IF($F878="","",IF($E878="",T878,SUMIF(Sales!$E$7:$E$1506,$E878,Sales!$T$7:$T$1506)))</f>
        <v/>
      </c>
      <c r="V878" s="49" t="str">
        <f t="shared" si="15"/>
        <v/>
      </c>
      <c r="W878" s="49" t="str">
        <f t="array" ref="W878">IF($V878="","",SUMPRODUCT((Sales!$V$7:$V$1506&lt;&gt;"")*(Sales!$E$7:$E$1506&lt;$E878))+1)</f>
        <v/>
      </c>
      <c r="X878" s="49" t="str">
        <f t="shared" si="16"/>
        <v/>
      </c>
      <c r="Y878" s="49" t="str">
        <f t="shared" si="17"/>
        <v/>
      </c>
    </row>
    <row r="879" ht="15.75" customHeight="1">
      <c r="A879" s="82"/>
      <c r="B879" s="83"/>
      <c r="C879" s="83"/>
      <c r="D879" s="83"/>
      <c r="E879" s="83"/>
      <c r="F879" s="83"/>
      <c r="G879" s="83" t="str">
        <f>IF($F879="","",IFERROR(VLOOKUP($F879,Inventory!$A:$B,2,FALSE),""))</f>
        <v/>
      </c>
      <c r="H879" s="83"/>
      <c r="I879" s="84" t="str">
        <f t="shared" si="2"/>
        <v/>
      </c>
      <c r="J879" s="85" t="str">
        <f>IF($F879="","",IFERROR(VLOOKUP($F879,Inventory!$A:$K,11,FALSE),0))</f>
        <v/>
      </c>
      <c r="K879" s="85"/>
      <c r="L879" s="85" t="str">
        <f t="shared" si="12"/>
        <v/>
      </c>
      <c r="M879" s="83"/>
      <c r="N879" s="85" t="str">
        <f>IF($F879="","",IFERROR(VLOOKUP($F879,Inventory!$A:$I,9,FALSE),0))</f>
        <v/>
      </c>
      <c r="O879" s="85" t="str">
        <f t="shared" si="13"/>
        <v/>
      </c>
      <c r="P879" s="85" t="str">
        <f t="shared" si="5"/>
        <v/>
      </c>
      <c r="Q879" s="83"/>
      <c r="R879" s="118" t="str">
        <f>IF($E879="","",IF(COUNTIF($E$7:$E2076,$E879)&gt;1,"",IFERROR(VLOOKUP($E879,Orders!$A:$I,8,FALSE),"")))</f>
        <v/>
      </c>
      <c r="S879" s="118" t="str">
        <f>IF($E879="","",IF(COUNTIF($E$7:$E2076,$E879)&gt;1,"",IFERROR(VLOOKUP($E879,Orders!$A:$I,9,FALSE),"")))</f>
        <v/>
      </c>
      <c r="T879" s="88" t="str">
        <f t="shared" si="14"/>
        <v/>
      </c>
      <c r="U879" s="88" t="str">
        <f>IF($F879="","",IF($E879="",T879,SUMIF(Sales!$E$7:$E$1506,$E879,Sales!$T$7:$T$1506)))</f>
        <v/>
      </c>
      <c r="V879" s="49" t="str">
        <f t="shared" si="15"/>
        <v/>
      </c>
      <c r="W879" s="49" t="str">
        <f t="array" ref="W879">IF($V879="","",SUMPRODUCT((Sales!$V$7:$V$1506&lt;&gt;"")*(Sales!$E$7:$E$1506&lt;$E879))+1)</f>
        <v/>
      </c>
      <c r="X879" s="49" t="str">
        <f t="shared" si="16"/>
        <v/>
      </c>
      <c r="Y879" s="49" t="str">
        <f t="shared" si="17"/>
        <v/>
      </c>
    </row>
    <row r="880" ht="15.75" customHeight="1">
      <c r="A880" s="82"/>
      <c r="B880" s="83"/>
      <c r="C880" s="83"/>
      <c r="D880" s="83"/>
      <c r="E880" s="83"/>
      <c r="F880" s="83"/>
      <c r="G880" s="83" t="str">
        <f>IF($F880="","",IFERROR(VLOOKUP($F880,Inventory!$A:$B,2,FALSE),""))</f>
        <v/>
      </c>
      <c r="H880" s="83"/>
      <c r="I880" s="84" t="str">
        <f t="shared" si="2"/>
        <v/>
      </c>
      <c r="J880" s="85" t="str">
        <f>IF($F880="","",IFERROR(VLOOKUP($F880,Inventory!$A:$K,11,FALSE),0))</f>
        <v/>
      </c>
      <c r="K880" s="85"/>
      <c r="L880" s="85" t="str">
        <f t="shared" si="12"/>
        <v/>
      </c>
      <c r="M880" s="83"/>
      <c r="N880" s="85" t="str">
        <f>IF($F880="","",IFERROR(VLOOKUP($F880,Inventory!$A:$I,9,FALSE),0))</f>
        <v/>
      </c>
      <c r="O880" s="85" t="str">
        <f t="shared" si="13"/>
        <v/>
      </c>
      <c r="P880" s="85" t="str">
        <f t="shared" si="5"/>
        <v/>
      </c>
      <c r="Q880" s="83"/>
      <c r="R880" s="118" t="str">
        <f>IF($E880="","",IF(COUNTIF($E$7:$E2077,$E880)&gt;1,"",IFERROR(VLOOKUP($E880,Orders!$A:$I,8,FALSE),"")))</f>
        <v/>
      </c>
      <c r="S880" s="118" t="str">
        <f>IF($E880="","",IF(COUNTIF($E$7:$E2077,$E880)&gt;1,"",IFERROR(VLOOKUP($E880,Orders!$A:$I,9,FALSE),"")))</f>
        <v/>
      </c>
      <c r="T880" s="88" t="str">
        <f t="shared" si="14"/>
        <v/>
      </c>
      <c r="U880" s="88" t="str">
        <f>IF($F880="","",IF($E880="",T880,SUMIF(Sales!$E$7:$E$1506,$E880,Sales!$T$7:$T$1506)))</f>
        <v/>
      </c>
      <c r="V880" s="49" t="str">
        <f t="shared" si="15"/>
        <v/>
      </c>
      <c r="W880" s="49" t="str">
        <f t="array" ref="W880">IF($V880="","",SUMPRODUCT((Sales!$V$7:$V$1506&lt;&gt;"")*(Sales!$E$7:$E$1506&lt;$E880))+1)</f>
        <v/>
      </c>
      <c r="X880" s="49" t="str">
        <f t="shared" si="16"/>
        <v/>
      </c>
      <c r="Y880" s="49" t="str">
        <f t="shared" si="17"/>
        <v/>
      </c>
    </row>
    <row r="881" ht="15.75" customHeight="1">
      <c r="A881" s="82"/>
      <c r="B881" s="83"/>
      <c r="C881" s="83"/>
      <c r="D881" s="83"/>
      <c r="E881" s="83"/>
      <c r="F881" s="83"/>
      <c r="G881" s="83" t="str">
        <f>IF($F881="","",IFERROR(VLOOKUP($F881,Inventory!$A:$B,2,FALSE),""))</f>
        <v/>
      </c>
      <c r="H881" s="83"/>
      <c r="I881" s="84" t="str">
        <f t="shared" si="2"/>
        <v/>
      </c>
      <c r="J881" s="85" t="str">
        <f>IF($F881="","",IFERROR(VLOOKUP($F881,Inventory!$A:$K,11,FALSE),0))</f>
        <v/>
      </c>
      <c r="K881" s="85"/>
      <c r="L881" s="85" t="str">
        <f t="shared" si="12"/>
        <v/>
      </c>
      <c r="M881" s="83"/>
      <c r="N881" s="85" t="str">
        <f>IF($F881="","",IFERROR(VLOOKUP($F881,Inventory!$A:$I,9,FALSE),0))</f>
        <v/>
      </c>
      <c r="O881" s="85" t="str">
        <f t="shared" si="13"/>
        <v/>
      </c>
      <c r="P881" s="85" t="str">
        <f t="shared" si="5"/>
        <v/>
      </c>
      <c r="Q881" s="83"/>
      <c r="R881" s="118" t="str">
        <f>IF($E881="","",IF(COUNTIF($E$7:$E2078,$E881)&gt;1,"",IFERROR(VLOOKUP($E881,Orders!$A:$I,8,FALSE),"")))</f>
        <v/>
      </c>
      <c r="S881" s="118" t="str">
        <f>IF($E881="","",IF(COUNTIF($E$7:$E2078,$E881)&gt;1,"",IFERROR(VLOOKUP($E881,Orders!$A:$I,9,FALSE),"")))</f>
        <v/>
      </c>
      <c r="T881" s="88" t="str">
        <f t="shared" si="14"/>
        <v/>
      </c>
      <c r="U881" s="88" t="str">
        <f>IF($F881="","",IF($E881="",T881,SUMIF(Sales!$E$7:$E$1506,$E881,Sales!$T$7:$T$1506)))</f>
        <v/>
      </c>
      <c r="V881" s="49" t="str">
        <f t="shared" si="15"/>
        <v/>
      </c>
      <c r="W881" s="49" t="str">
        <f t="array" ref="W881">IF($V881="","",SUMPRODUCT((Sales!$V$7:$V$1506&lt;&gt;"")*(Sales!$E$7:$E$1506&lt;$E881))+1)</f>
        <v/>
      </c>
      <c r="X881" s="49" t="str">
        <f t="shared" si="16"/>
        <v/>
      </c>
      <c r="Y881" s="49" t="str">
        <f t="shared" si="17"/>
        <v/>
      </c>
    </row>
    <row r="882" ht="15.75" customHeight="1">
      <c r="A882" s="82"/>
      <c r="B882" s="83"/>
      <c r="C882" s="83"/>
      <c r="D882" s="83"/>
      <c r="E882" s="83"/>
      <c r="F882" s="83"/>
      <c r="G882" s="83" t="str">
        <f>IF($F882="","",IFERROR(VLOOKUP($F882,Inventory!$A:$B,2,FALSE),""))</f>
        <v/>
      </c>
      <c r="H882" s="83"/>
      <c r="I882" s="84" t="str">
        <f t="shared" si="2"/>
        <v/>
      </c>
      <c r="J882" s="85" t="str">
        <f>IF($F882="","",IFERROR(VLOOKUP($F882,Inventory!$A:$K,11,FALSE),0))</f>
        <v/>
      </c>
      <c r="K882" s="85"/>
      <c r="L882" s="85" t="str">
        <f t="shared" si="12"/>
        <v/>
      </c>
      <c r="M882" s="83"/>
      <c r="N882" s="85" t="str">
        <f>IF($F882="","",IFERROR(VLOOKUP($F882,Inventory!$A:$I,9,FALSE),0))</f>
        <v/>
      </c>
      <c r="O882" s="85" t="str">
        <f t="shared" si="13"/>
        <v/>
      </c>
      <c r="P882" s="85" t="str">
        <f t="shared" si="5"/>
        <v/>
      </c>
      <c r="Q882" s="83"/>
      <c r="R882" s="118" t="str">
        <f>IF($E882="","",IF(COUNTIF($E$7:$E2079,$E882)&gt;1,"",IFERROR(VLOOKUP($E882,Orders!$A:$I,8,FALSE),"")))</f>
        <v/>
      </c>
      <c r="S882" s="118" t="str">
        <f>IF($E882="","",IF(COUNTIF($E$7:$E2079,$E882)&gt;1,"",IFERROR(VLOOKUP($E882,Orders!$A:$I,9,FALSE),"")))</f>
        <v/>
      </c>
      <c r="T882" s="88" t="str">
        <f t="shared" si="14"/>
        <v/>
      </c>
      <c r="U882" s="88" t="str">
        <f>IF($F882="","",IF($E882="",T882,SUMIF(Sales!$E$7:$E$1506,$E882,Sales!$T$7:$T$1506)))</f>
        <v/>
      </c>
      <c r="V882" s="49" t="str">
        <f t="shared" si="15"/>
        <v/>
      </c>
      <c r="W882" s="49" t="str">
        <f t="array" ref="W882">IF($V882="","",SUMPRODUCT((Sales!$V$7:$V$1506&lt;&gt;"")*(Sales!$E$7:$E$1506&lt;$E882))+1)</f>
        <v/>
      </c>
      <c r="X882" s="49" t="str">
        <f t="shared" si="16"/>
        <v/>
      </c>
      <c r="Y882" s="49" t="str">
        <f t="shared" si="17"/>
        <v/>
      </c>
    </row>
    <row r="883" ht="15.75" customHeight="1">
      <c r="A883" s="82"/>
      <c r="B883" s="83"/>
      <c r="C883" s="83"/>
      <c r="D883" s="83"/>
      <c r="E883" s="83"/>
      <c r="F883" s="83"/>
      <c r="G883" s="83" t="str">
        <f>IF($F883="","",IFERROR(VLOOKUP($F883,Inventory!$A:$B,2,FALSE),""))</f>
        <v/>
      </c>
      <c r="H883" s="83"/>
      <c r="I883" s="84" t="str">
        <f t="shared" si="2"/>
        <v/>
      </c>
      <c r="J883" s="85" t="str">
        <f>IF($F883="","",IFERROR(VLOOKUP($F883,Inventory!$A:$K,11,FALSE),0))</f>
        <v/>
      </c>
      <c r="K883" s="85"/>
      <c r="L883" s="85" t="str">
        <f t="shared" si="12"/>
        <v/>
      </c>
      <c r="M883" s="83"/>
      <c r="N883" s="85" t="str">
        <f>IF($F883="","",IFERROR(VLOOKUP($F883,Inventory!$A:$I,9,FALSE),0))</f>
        <v/>
      </c>
      <c r="O883" s="85" t="str">
        <f t="shared" si="13"/>
        <v/>
      </c>
      <c r="P883" s="85" t="str">
        <f t="shared" si="5"/>
        <v/>
      </c>
      <c r="Q883" s="83"/>
      <c r="R883" s="118" t="str">
        <f>IF($E883="","",IF(COUNTIF($E$7:$E2080,$E883)&gt;1,"",IFERROR(VLOOKUP($E883,Orders!$A:$I,8,FALSE),"")))</f>
        <v/>
      </c>
      <c r="S883" s="118" t="str">
        <f>IF($E883="","",IF(COUNTIF($E$7:$E2080,$E883)&gt;1,"",IFERROR(VLOOKUP($E883,Orders!$A:$I,9,FALSE),"")))</f>
        <v/>
      </c>
      <c r="T883" s="88" t="str">
        <f t="shared" si="14"/>
        <v/>
      </c>
      <c r="U883" s="88" t="str">
        <f>IF($F883="","",IF($E883="",T883,SUMIF(Sales!$E$7:$E$1506,$E883,Sales!$T$7:$T$1506)))</f>
        <v/>
      </c>
      <c r="V883" s="49" t="str">
        <f t="shared" si="15"/>
        <v/>
      </c>
      <c r="W883" s="49" t="str">
        <f t="array" ref="W883">IF($V883="","",SUMPRODUCT((Sales!$V$7:$V$1506&lt;&gt;"")*(Sales!$E$7:$E$1506&lt;$E883))+1)</f>
        <v/>
      </c>
      <c r="X883" s="49" t="str">
        <f t="shared" si="16"/>
        <v/>
      </c>
      <c r="Y883" s="49" t="str">
        <f t="shared" si="17"/>
        <v/>
      </c>
    </row>
    <row r="884" ht="15.75" customHeight="1">
      <c r="A884" s="82"/>
      <c r="B884" s="83"/>
      <c r="C884" s="83"/>
      <c r="D884" s="83"/>
      <c r="E884" s="83"/>
      <c r="F884" s="83"/>
      <c r="G884" s="83" t="str">
        <f>IF($F884="","",IFERROR(VLOOKUP($F884,Inventory!$A:$B,2,FALSE),""))</f>
        <v/>
      </c>
      <c r="H884" s="83"/>
      <c r="I884" s="84" t="str">
        <f t="shared" si="2"/>
        <v/>
      </c>
      <c r="J884" s="85" t="str">
        <f>IF($F884="","",IFERROR(VLOOKUP($F884,Inventory!$A:$K,11,FALSE),0))</f>
        <v/>
      </c>
      <c r="K884" s="85"/>
      <c r="L884" s="85" t="str">
        <f t="shared" si="12"/>
        <v/>
      </c>
      <c r="M884" s="83"/>
      <c r="N884" s="85" t="str">
        <f>IF($F884="","",IFERROR(VLOOKUP($F884,Inventory!$A:$I,9,FALSE),0))</f>
        <v/>
      </c>
      <c r="O884" s="85" t="str">
        <f t="shared" si="13"/>
        <v/>
      </c>
      <c r="P884" s="85" t="str">
        <f t="shared" si="5"/>
        <v/>
      </c>
      <c r="Q884" s="83"/>
      <c r="R884" s="118" t="str">
        <f>IF($E884="","",IF(COUNTIF($E$7:$E2081,$E884)&gt;1,"",IFERROR(VLOOKUP($E884,Orders!$A:$I,8,FALSE),"")))</f>
        <v/>
      </c>
      <c r="S884" s="118" t="str">
        <f>IF($E884="","",IF(COUNTIF($E$7:$E2081,$E884)&gt;1,"",IFERROR(VLOOKUP($E884,Orders!$A:$I,9,FALSE),"")))</f>
        <v/>
      </c>
      <c r="T884" s="88" t="str">
        <f t="shared" si="14"/>
        <v/>
      </c>
      <c r="U884" s="88" t="str">
        <f>IF($F884="","",IF($E884="",T884,SUMIF(Sales!$E$7:$E$1506,$E884,Sales!$T$7:$T$1506)))</f>
        <v/>
      </c>
      <c r="V884" s="49" t="str">
        <f t="shared" si="15"/>
        <v/>
      </c>
      <c r="W884" s="49" t="str">
        <f t="array" ref="W884">IF($V884="","",SUMPRODUCT((Sales!$V$7:$V$1506&lt;&gt;"")*(Sales!$E$7:$E$1506&lt;$E884))+1)</f>
        <v/>
      </c>
      <c r="X884" s="49" t="str">
        <f t="shared" si="16"/>
        <v/>
      </c>
      <c r="Y884" s="49" t="str">
        <f t="shared" si="17"/>
        <v/>
      </c>
    </row>
    <row r="885" ht="15.75" customHeight="1">
      <c r="A885" s="82"/>
      <c r="B885" s="83"/>
      <c r="C885" s="83"/>
      <c r="D885" s="83"/>
      <c r="E885" s="83"/>
      <c r="F885" s="83"/>
      <c r="G885" s="83" t="str">
        <f>IF($F885="","",IFERROR(VLOOKUP($F885,Inventory!$A:$B,2,FALSE),""))</f>
        <v/>
      </c>
      <c r="H885" s="83"/>
      <c r="I885" s="84" t="str">
        <f t="shared" si="2"/>
        <v/>
      </c>
      <c r="J885" s="85" t="str">
        <f>IF($F885="","",IFERROR(VLOOKUP($F885,Inventory!$A:$K,11,FALSE),0))</f>
        <v/>
      </c>
      <c r="K885" s="85"/>
      <c r="L885" s="85" t="str">
        <f t="shared" si="12"/>
        <v/>
      </c>
      <c r="M885" s="83"/>
      <c r="N885" s="85" t="str">
        <f>IF($F885="","",IFERROR(VLOOKUP($F885,Inventory!$A:$I,9,FALSE),0))</f>
        <v/>
      </c>
      <c r="O885" s="85" t="str">
        <f t="shared" si="13"/>
        <v/>
      </c>
      <c r="P885" s="85" t="str">
        <f t="shared" si="5"/>
        <v/>
      </c>
      <c r="Q885" s="83"/>
      <c r="R885" s="118" t="str">
        <f>IF($E885="","",IF(COUNTIF($E$7:$E2082,$E885)&gt;1,"",IFERROR(VLOOKUP($E885,Orders!$A:$I,8,FALSE),"")))</f>
        <v/>
      </c>
      <c r="S885" s="118" t="str">
        <f>IF($E885="","",IF(COUNTIF($E$7:$E2082,$E885)&gt;1,"",IFERROR(VLOOKUP($E885,Orders!$A:$I,9,FALSE),"")))</f>
        <v/>
      </c>
      <c r="T885" s="88" t="str">
        <f t="shared" si="14"/>
        <v/>
      </c>
      <c r="U885" s="88" t="str">
        <f>IF($F885="","",IF($E885="",T885,SUMIF(Sales!$E$7:$E$1506,$E885,Sales!$T$7:$T$1506)))</f>
        <v/>
      </c>
      <c r="V885" s="49" t="str">
        <f t="shared" si="15"/>
        <v/>
      </c>
      <c r="W885" s="49" t="str">
        <f t="array" ref="W885">IF($V885="","",SUMPRODUCT((Sales!$V$7:$V$1506&lt;&gt;"")*(Sales!$E$7:$E$1506&lt;$E885))+1)</f>
        <v/>
      </c>
      <c r="X885" s="49" t="str">
        <f t="shared" si="16"/>
        <v/>
      </c>
      <c r="Y885" s="49" t="str">
        <f t="shared" si="17"/>
        <v/>
      </c>
    </row>
    <row r="886" ht="15.75" customHeight="1">
      <c r="A886" s="82"/>
      <c r="B886" s="83"/>
      <c r="C886" s="83"/>
      <c r="D886" s="83"/>
      <c r="E886" s="83"/>
      <c r="F886" s="83"/>
      <c r="G886" s="83" t="str">
        <f>IF($F886="","",IFERROR(VLOOKUP($F886,Inventory!$A:$B,2,FALSE),""))</f>
        <v/>
      </c>
      <c r="H886" s="83"/>
      <c r="I886" s="84" t="str">
        <f t="shared" si="2"/>
        <v/>
      </c>
      <c r="J886" s="85" t="str">
        <f>IF($F886="","",IFERROR(VLOOKUP($F886,Inventory!$A:$K,11,FALSE),0))</f>
        <v/>
      </c>
      <c r="K886" s="85"/>
      <c r="L886" s="85" t="str">
        <f t="shared" si="12"/>
        <v/>
      </c>
      <c r="M886" s="83"/>
      <c r="N886" s="85" t="str">
        <f>IF($F886="","",IFERROR(VLOOKUP($F886,Inventory!$A:$I,9,FALSE),0))</f>
        <v/>
      </c>
      <c r="O886" s="85" t="str">
        <f t="shared" si="13"/>
        <v/>
      </c>
      <c r="P886" s="85" t="str">
        <f t="shared" si="5"/>
        <v/>
      </c>
      <c r="Q886" s="83"/>
      <c r="R886" s="118" t="str">
        <f>IF($E886="","",IF(COUNTIF($E$7:$E2083,$E886)&gt;1,"",IFERROR(VLOOKUP($E886,Orders!$A:$I,8,FALSE),"")))</f>
        <v/>
      </c>
      <c r="S886" s="118" t="str">
        <f>IF($E886="","",IF(COUNTIF($E$7:$E2083,$E886)&gt;1,"",IFERROR(VLOOKUP($E886,Orders!$A:$I,9,FALSE),"")))</f>
        <v/>
      </c>
      <c r="T886" s="88" t="str">
        <f t="shared" si="14"/>
        <v/>
      </c>
      <c r="U886" s="88" t="str">
        <f>IF($F886="","",IF($E886="",T886,SUMIF(Sales!$E$7:$E$1506,$E886,Sales!$T$7:$T$1506)))</f>
        <v/>
      </c>
      <c r="V886" s="49" t="str">
        <f t="shared" si="15"/>
        <v/>
      </c>
      <c r="W886" s="49" t="str">
        <f t="array" ref="W886">IF($V886="","",SUMPRODUCT((Sales!$V$7:$V$1506&lt;&gt;"")*(Sales!$E$7:$E$1506&lt;$E886))+1)</f>
        <v/>
      </c>
      <c r="X886" s="49" t="str">
        <f t="shared" si="16"/>
        <v/>
      </c>
      <c r="Y886" s="49" t="str">
        <f t="shared" si="17"/>
        <v/>
      </c>
    </row>
    <row r="887" ht="15.75" customHeight="1">
      <c r="A887" s="82"/>
      <c r="B887" s="83"/>
      <c r="C887" s="83"/>
      <c r="D887" s="83"/>
      <c r="E887" s="83"/>
      <c r="F887" s="83"/>
      <c r="G887" s="83" t="str">
        <f>IF($F887="","",IFERROR(VLOOKUP($F887,Inventory!$A:$B,2,FALSE),""))</f>
        <v/>
      </c>
      <c r="H887" s="83"/>
      <c r="I887" s="84" t="str">
        <f t="shared" si="2"/>
        <v/>
      </c>
      <c r="J887" s="85" t="str">
        <f>IF($F887="","",IFERROR(VLOOKUP($F887,Inventory!$A:$K,11,FALSE),0))</f>
        <v/>
      </c>
      <c r="K887" s="85"/>
      <c r="L887" s="85" t="str">
        <f t="shared" si="12"/>
        <v/>
      </c>
      <c r="M887" s="83"/>
      <c r="N887" s="85" t="str">
        <f>IF($F887="","",IFERROR(VLOOKUP($F887,Inventory!$A:$I,9,FALSE),0))</f>
        <v/>
      </c>
      <c r="O887" s="85" t="str">
        <f t="shared" si="13"/>
        <v/>
      </c>
      <c r="P887" s="85" t="str">
        <f t="shared" si="5"/>
        <v/>
      </c>
      <c r="Q887" s="83"/>
      <c r="R887" s="118" t="str">
        <f>IF($E887="","",IF(COUNTIF($E$7:$E2084,$E887)&gt;1,"",IFERROR(VLOOKUP($E887,Orders!$A:$I,8,FALSE),"")))</f>
        <v/>
      </c>
      <c r="S887" s="118" t="str">
        <f>IF($E887="","",IF(COUNTIF($E$7:$E2084,$E887)&gt;1,"",IFERROR(VLOOKUP($E887,Orders!$A:$I,9,FALSE),"")))</f>
        <v/>
      </c>
      <c r="T887" s="88" t="str">
        <f t="shared" si="14"/>
        <v/>
      </c>
      <c r="U887" s="88" t="str">
        <f>IF($F887="","",IF($E887="",T887,SUMIF(Sales!$E$7:$E$1506,$E887,Sales!$T$7:$T$1506)))</f>
        <v/>
      </c>
      <c r="V887" s="49" t="str">
        <f t="shared" si="15"/>
        <v/>
      </c>
      <c r="W887" s="49" t="str">
        <f t="array" ref="W887">IF($V887="","",SUMPRODUCT((Sales!$V$7:$V$1506&lt;&gt;"")*(Sales!$E$7:$E$1506&lt;$E887))+1)</f>
        <v/>
      </c>
      <c r="X887" s="49" t="str">
        <f t="shared" si="16"/>
        <v/>
      </c>
      <c r="Y887" s="49" t="str">
        <f t="shared" si="17"/>
        <v/>
      </c>
    </row>
    <row r="888" ht="15.75" customHeight="1">
      <c r="A888" s="82"/>
      <c r="B888" s="83"/>
      <c r="C888" s="83"/>
      <c r="D888" s="83"/>
      <c r="E888" s="83"/>
      <c r="F888" s="83"/>
      <c r="G888" s="83" t="str">
        <f>IF($F888="","",IFERROR(VLOOKUP($F888,Inventory!$A:$B,2,FALSE),""))</f>
        <v/>
      </c>
      <c r="H888" s="83"/>
      <c r="I888" s="84" t="str">
        <f t="shared" si="2"/>
        <v/>
      </c>
      <c r="J888" s="85" t="str">
        <f>IF($F888="","",IFERROR(VLOOKUP($F888,Inventory!$A:$K,11,FALSE),0))</f>
        <v/>
      </c>
      <c r="K888" s="85"/>
      <c r="L888" s="85" t="str">
        <f t="shared" si="12"/>
        <v/>
      </c>
      <c r="M888" s="83"/>
      <c r="N888" s="85" t="str">
        <f>IF($F888="","",IFERROR(VLOOKUP($F888,Inventory!$A:$I,9,FALSE),0))</f>
        <v/>
      </c>
      <c r="O888" s="85" t="str">
        <f t="shared" si="13"/>
        <v/>
      </c>
      <c r="P888" s="85" t="str">
        <f t="shared" si="5"/>
        <v/>
      </c>
      <c r="Q888" s="83"/>
      <c r="R888" s="118" t="str">
        <f>IF($E888="","",IF(COUNTIF($E$7:$E2085,$E888)&gt;1,"",IFERROR(VLOOKUP($E888,Orders!$A:$I,8,FALSE),"")))</f>
        <v/>
      </c>
      <c r="S888" s="118" t="str">
        <f>IF($E888="","",IF(COUNTIF($E$7:$E2085,$E888)&gt;1,"",IFERROR(VLOOKUP($E888,Orders!$A:$I,9,FALSE),"")))</f>
        <v/>
      </c>
      <c r="T888" s="88" t="str">
        <f t="shared" si="14"/>
        <v/>
      </c>
      <c r="U888" s="88" t="str">
        <f>IF($F888="","",IF($E888="",T888,SUMIF(Sales!$E$7:$E$1506,$E888,Sales!$T$7:$T$1506)))</f>
        <v/>
      </c>
      <c r="V888" s="49" t="str">
        <f t="shared" si="15"/>
        <v/>
      </c>
      <c r="W888" s="49" t="str">
        <f t="array" ref="W888">IF($V888="","",SUMPRODUCT((Sales!$V$7:$V$1506&lt;&gt;"")*(Sales!$E$7:$E$1506&lt;$E888))+1)</f>
        <v/>
      </c>
      <c r="X888" s="49" t="str">
        <f t="shared" si="16"/>
        <v/>
      </c>
      <c r="Y888" s="49" t="str">
        <f t="shared" si="17"/>
        <v/>
      </c>
    </row>
    <row r="889" ht="15.75" customHeight="1">
      <c r="A889" s="82"/>
      <c r="B889" s="83"/>
      <c r="C889" s="83"/>
      <c r="D889" s="83"/>
      <c r="E889" s="83"/>
      <c r="F889" s="83"/>
      <c r="G889" s="83" t="str">
        <f>IF($F889="","",IFERROR(VLOOKUP($F889,Inventory!$A:$B,2,FALSE),""))</f>
        <v/>
      </c>
      <c r="H889" s="83"/>
      <c r="I889" s="84" t="str">
        <f t="shared" si="2"/>
        <v/>
      </c>
      <c r="J889" s="85" t="str">
        <f>IF($F889="","",IFERROR(VLOOKUP($F889,Inventory!$A:$K,11,FALSE),0))</f>
        <v/>
      </c>
      <c r="K889" s="85"/>
      <c r="L889" s="85" t="str">
        <f t="shared" si="12"/>
        <v/>
      </c>
      <c r="M889" s="83"/>
      <c r="N889" s="85" t="str">
        <f>IF($F889="","",IFERROR(VLOOKUP($F889,Inventory!$A:$I,9,FALSE),0))</f>
        <v/>
      </c>
      <c r="O889" s="85" t="str">
        <f t="shared" si="13"/>
        <v/>
      </c>
      <c r="P889" s="85" t="str">
        <f t="shared" si="5"/>
        <v/>
      </c>
      <c r="Q889" s="83"/>
      <c r="R889" s="118" t="str">
        <f>IF($E889="","",IF(COUNTIF($E$7:$E2086,$E889)&gt;1,"",IFERROR(VLOOKUP($E889,Orders!$A:$I,8,FALSE),"")))</f>
        <v/>
      </c>
      <c r="S889" s="118" t="str">
        <f>IF($E889="","",IF(COUNTIF($E$7:$E2086,$E889)&gt;1,"",IFERROR(VLOOKUP($E889,Orders!$A:$I,9,FALSE),"")))</f>
        <v/>
      </c>
      <c r="T889" s="88" t="str">
        <f t="shared" si="14"/>
        <v/>
      </c>
      <c r="U889" s="88" t="str">
        <f>IF($F889="","",IF($E889="",T889,SUMIF(Sales!$E$7:$E$1506,$E889,Sales!$T$7:$T$1506)))</f>
        <v/>
      </c>
      <c r="V889" s="49" t="str">
        <f t="shared" si="15"/>
        <v/>
      </c>
      <c r="W889" s="49" t="str">
        <f t="array" ref="W889">IF($V889="","",SUMPRODUCT((Sales!$V$7:$V$1506&lt;&gt;"")*(Sales!$E$7:$E$1506&lt;$E889))+1)</f>
        <v/>
      </c>
      <c r="X889" s="49" t="str">
        <f t="shared" si="16"/>
        <v/>
      </c>
      <c r="Y889" s="49" t="str">
        <f t="shared" si="17"/>
        <v/>
      </c>
    </row>
    <row r="890" ht="15.75" customHeight="1">
      <c r="A890" s="82"/>
      <c r="B890" s="83"/>
      <c r="C890" s="83"/>
      <c r="D890" s="83"/>
      <c r="E890" s="83"/>
      <c r="F890" s="83"/>
      <c r="G890" s="83" t="str">
        <f>IF($F890="","",IFERROR(VLOOKUP($F890,Inventory!$A:$B,2,FALSE),""))</f>
        <v/>
      </c>
      <c r="H890" s="83"/>
      <c r="I890" s="84" t="str">
        <f t="shared" si="2"/>
        <v/>
      </c>
      <c r="J890" s="85" t="str">
        <f>IF($F890="","",IFERROR(VLOOKUP($F890,Inventory!$A:$K,11,FALSE),0))</f>
        <v/>
      </c>
      <c r="K890" s="85"/>
      <c r="L890" s="85" t="str">
        <f t="shared" si="12"/>
        <v/>
      </c>
      <c r="M890" s="83"/>
      <c r="N890" s="85" t="str">
        <f>IF($F890="","",IFERROR(VLOOKUP($F890,Inventory!$A:$I,9,FALSE),0))</f>
        <v/>
      </c>
      <c r="O890" s="85" t="str">
        <f t="shared" si="13"/>
        <v/>
      </c>
      <c r="P890" s="85" t="str">
        <f t="shared" si="5"/>
        <v/>
      </c>
      <c r="Q890" s="83"/>
      <c r="R890" s="118" t="str">
        <f>IF($E890="","",IF(COUNTIF($E$7:$E2087,$E890)&gt;1,"",IFERROR(VLOOKUP($E890,Orders!$A:$I,8,FALSE),"")))</f>
        <v/>
      </c>
      <c r="S890" s="118" t="str">
        <f>IF($E890="","",IF(COUNTIF($E$7:$E2087,$E890)&gt;1,"",IFERROR(VLOOKUP($E890,Orders!$A:$I,9,FALSE),"")))</f>
        <v/>
      </c>
      <c r="T890" s="88" t="str">
        <f t="shared" si="14"/>
        <v/>
      </c>
      <c r="U890" s="88" t="str">
        <f>IF($F890="","",IF($E890="",T890,SUMIF(Sales!$E$7:$E$1506,$E890,Sales!$T$7:$T$1506)))</f>
        <v/>
      </c>
      <c r="V890" s="49" t="str">
        <f t="shared" si="15"/>
        <v/>
      </c>
      <c r="W890" s="49" t="str">
        <f t="array" ref="W890">IF($V890="","",SUMPRODUCT((Sales!$V$7:$V$1506&lt;&gt;"")*(Sales!$E$7:$E$1506&lt;$E890))+1)</f>
        <v/>
      </c>
      <c r="X890" s="49" t="str">
        <f t="shared" si="16"/>
        <v/>
      </c>
      <c r="Y890" s="49" t="str">
        <f t="shared" si="17"/>
        <v/>
      </c>
    </row>
    <row r="891" ht="15.75" customHeight="1">
      <c r="A891" s="82"/>
      <c r="B891" s="83"/>
      <c r="C891" s="83"/>
      <c r="D891" s="83"/>
      <c r="E891" s="83"/>
      <c r="F891" s="83"/>
      <c r="G891" s="83" t="str">
        <f>IF($F891="","",IFERROR(VLOOKUP($F891,Inventory!$A:$B,2,FALSE),""))</f>
        <v/>
      </c>
      <c r="H891" s="83"/>
      <c r="I891" s="84" t="str">
        <f t="shared" si="2"/>
        <v/>
      </c>
      <c r="J891" s="85" t="str">
        <f>IF($F891="","",IFERROR(VLOOKUP($F891,Inventory!$A:$K,11,FALSE),0))</f>
        <v/>
      </c>
      <c r="K891" s="85"/>
      <c r="L891" s="85" t="str">
        <f t="shared" si="12"/>
        <v/>
      </c>
      <c r="M891" s="83"/>
      <c r="N891" s="85" t="str">
        <f>IF($F891="","",IFERROR(VLOOKUP($F891,Inventory!$A:$I,9,FALSE),0))</f>
        <v/>
      </c>
      <c r="O891" s="85" t="str">
        <f t="shared" si="13"/>
        <v/>
      </c>
      <c r="P891" s="85" t="str">
        <f t="shared" si="5"/>
        <v/>
      </c>
      <c r="Q891" s="83"/>
      <c r="R891" s="118" t="str">
        <f>IF($E891="","",IF(COUNTIF($E$7:$E2088,$E891)&gt;1,"",IFERROR(VLOOKUP($E891,Orders!$A:$I,8,FALSE),"")))</f>
        <v/>
      </c>
      <c r="S891" s="118" t="str">
        <f>IF($E891="","",IF(COUNTIF($E$7:$E2088,$E891)&gt;1,"",IFERROR(VLOOKUP($E891,Orders!$A:$I,9,FALSE),"")))</f>
        <v/>
      </c>
      <c r="T891" s="88" t="str">
        <f t="shared" si="14"/>
        <v/>
      </c>
      <c r="U891" s="88" t="str">
        <f>IF($F891="","",IF($E891="",T891,SUMIF(Sales!$E$7:$E$1506,$E891,Sales!$T$7:$T$1506)))</f>
        <v/>
      </c>
      <c r="V891" s="49" t="str">
        <f t="shared" si="15"/>
        <v/>
      </c>
      <c r="W891" s="49" t="str">
        <f t="array" ref="W891">IF($V891="","",SUMPRODUCT((Sales!$V$7:$V$1506&lt;&gt;"")*(Sales!$E$7:$E$1506&lt;$E891))+1)</f>
        <v/>
      </c>
      <c r="X891" s="49" t="str">
        <f t="shared" si="16"/>
        <v/>
      </c>
      <c r="Y891" s="49" t="str">
        <f t="shared" si="17"/>
        <v/>
      </c>
    </row>
    <row r="892" ht="15.75" customHeight="1">
      <c r="A892" s="82"/>
      <c r="B892" s="83"/>
      <c r="C892" s="83"/>
      <c r="D892" s="83"/>
      <c r="E892" s="83"/>
      <c r="F892" s="83"/>
      <c r="G892" s="83" t="str">
        <f>IF($F892="","",IFERROR(VLOOKUP($F892,Inventory!$A:$B,2,FALSE),""))</f>
        <v/>
      </c>
      <c r="H892" s="83"/>
      <c r="I892" s="84" t="str">
        <f t="shared" si="2"/>
        <v/>
      </c>
      <c r="J892" s="85" t="str">
        <f>IF($F892="","",IFERROR(VLOOKUP($F892,Inventory!$A:$K,11,FALSE),0))</f>
        <v/>
      </c>
      <c r="K892" s="85"/>
      <c r="L892" s="85" t="str">
        <f t="shared" si="12"/>
        <v/>
      </c>
      <c r="M892" s="83"/>
      <c r="N892" s="85" t="str">
        <f>IF($F892="","",IFERROR(VLOOKUP($F892,Inventory!$A:$I,9,FALSE),0))</f>
        <v/>
      </c>
      <c r="O892" s="85" t="str">
        <f t="shared" si="13"/>
        <v/>
      </c>
      <c r="P892" s="85" t="str">
        <f t="shared" si="5"/>
        <v/>
      </c>
      <c r="Q892" s="83"/>
      <c r="R892" s="118" t="str">
        <f>IF($E892="","",IF(COUNTIF($E$7:$E2089,$E892)&gt;1,"",IFERROR(VLOOKUP($E892,Orders!$A:$I,8,FALSE),"")))</f>
        <v/>
      </c>
      <c r="S892" s="118" t="str">
        <f>IF($E892="","",IF(COUNTIF($E$7:$E2089,$E892)&gt;1,"",IFERROR(VLOOKUP($E892,Orders!$A:$I,9,FALSE),"")))</f>
        <v/>
      </c>
      <c r="T892" s="88" t="str">
        <f t="shared" si="14"/>
        <v/>
      </c>
      <c r="U892" s="88" t="str">
        <f>IF($F892="","",IF($E892="",T892,SUMIF(Sales!$E$7:$E$1506,$E892,Sales!$T$7:$T$1506)))</f>
        <v/>
      </c>
      <c r="V892" s="49" t="str">
        <f t="shared" si="15"/>
        <v/>
      </c>
      <c r="W892" s="49" t="str">
        <f t="array" ref="W892">IF($V892="","",SUMPRODUCT((Sales!$V$7:$V$1506&lt;&gt;"")*(Sales!$E$7:$E$1506&lt;$E892))+1)</f>
        <v/>
      </c>
      <c r="X892" s="49" t="str">
        <f t="shared" si="16"/>
        <v/>
      </c>
      <c r="Y892" s="49" t="str">
        <f t="shared" si="17"/>
        <v/>
      </c>
    </row>
    <row r="893" ht="15.75" customHeight="1">
      <c r="A893" s="82"/>
      <c r="B893" s="83"/>
      <c r="C893" s="83"/>
      <c r="D893" s="83"/>
      <c r="E893" s="83"/>
      <c r="F893" s="83"/>
      <c r="G893" s="83" t="str">
        <f>IF($F893="","",IFERROR(VLOOKUP($F893,Inventory!$A:$B,2,FALSE),""))</f>
        <v/>
      </c>
      <c r="H893" s="83"/>
      <c r="I893" s="84" t="str">
        <f t="shared" si="2"/>
        <v/>
      </c>
      <c r="J893" s="85" t="str">
        <f>IF($F893="","",IFERROR(VLOOKUP($F893,Inventory!$A:$K,11,FALSE),0))</f>
        <v/>
      </c>
      <c r="K893" s="85"/>
      <c r="L893" s="85" t="str">
        <f t="shared" si="12"/>
        <v/>
      </c>
      <c r="M893" s="83"/>
      <c r="N893" s="85" t="str">
        <f>IF($F893="","",IFERROR(VLOOKUP($F893,Inventory!$A:$I,9,FALSE),0))</f>
        <v/>
      </c>
      <c r="O893" s="85" t="str">
        <f t="shared" si="13"/>
        <v/>
      </c>
      <c r="P893" s="85" t="str">
        <f t="shared" si="5"/>
        <v/>
      </c>
      <c r="Q893" s="83"/>
      <c r="R893" s="118" t="str">
        <f>IF($E893="","",IF(COUNTIF($E$7:$E2090,$E893)&gt;1,"",IFERROR(VLOOKUP($E893,Orders!$A:$I,8,FALSE),"")))</f>
        <v/>
      </c>
      <c r="S893" s="118" t="str">
        <f>IF($E893="","",IF(COUNTIF($E$7:$E2090,$E893)&gt;1,"",IFERROR(VLOOKUP($E893,Orders!$A:$I,9,FALSE),"")))</f>
        <v/>
      </c>
      <c r="T893" s="88" t="str">
        <f t="shared" si="14"/>
        <v/>
      </c>
      <c r="U893" s="88" t="str">
        <f>IF($F893="","",IF($E893="",T893,SUMIF(Sales!$E$7:$E$1506,$E893,Sales!$T$7:$T$1506)))</f>
        <v/>
      </c>
      <c r="V893" s="49" t="str">
        <f t="shared" si="15"/>
        <v/>
      </c>
      <c r="W893" s="49" t="str">
        <f t="array" ref="W893">IF($V893="","",SUMPRODUCT((Sales!$V$7:$V$1506&lt;&gt;"")*(Sales!$E$7:$E$1506&lt;$E893))+1)</f>
        <v/>
      </c>
      <c r="X893" s="49" t="str">
        <f t="shared" si="16"/>
        <v/>
      </c>
      <c r="Y893" s="49" t="str">
        <f t="shared" si="17"/>
        <v/>
      </c>
    </row>
    <row r="894" ht="15.75" customHeight="1">
      <c r="A894" s="82"/>
      <c r="B894" s="83"/>
      <c r="C894" s="83"/>
      <c r="D894" s="83"/>
      <c r="E894" s="83"/>
      <c r="F894" s="83"/>
      <c r="G894" s="83" t="str">
        <f>IF($F894="","",IFERROR(VLOOKUP($F894,Inventory!$A:$B,2,FALSE),""))</f>
        <v/>
      </c>
      <c r="H894" s="83"/>
      <c r="I894" s="84" t="str">
        <f t="shared" si="2"/>
        <v/>
      </c>
      <c r="J894" s="85" t="str">
        <f>IF($F894="","",IFERROR(VLOOKUP($F894,Inventory!$A:$K,11,FALSE),0))</f>
        <v/>
      </c>
      <c r="K894" s="85"/>
      <c r="L894" s="85" t="str">
        <f t="shared" si="12"/>
        <v/>
      </c>
      <c r="M894" s="83"/>
      <c r="N894" s="85" t="str">
        <f>IF($F894="","",IFERROR(VLOOKUP($F894,Inventory!$A:$I,9,FALSE),0))</f>
        <v/>
      </c>
      <c r="O894" s="85" t="str">
        <f t="shared" si="13"/>
        <v/>
      </c>
      <c r="P894" s="85" t="str">
        <f t="shared" si="5"/>
        <v/>
      </c>
      <c r="Q894" s="83"/>
      <c r="R894" s="118" t="str">
        <f>IF($E894="","",IF(COUNTIF($E$7:$E2091,$E894)&gt;1,"",IFERROR(VLOOKUP($E894,Orders!$A:$I,8,FALSE),"")))</f>
        <v/>
      </c>
      <c r="S894" s="118" t="str">
        <f>IF($E894="","",IF(COUNTIF($E$7:$E2091,$E894)&gt;1,"",IFERROR(VLOOKUP($E894,Orders!$A:$I,9,FALSE),"")))</f>
        <v/>
      </c>
      <c r="T894" s="88" t="str">
        <f t="shared" si="14"/>
        <v/>
      </c>
      <c r="U894" s="88" t="str">
        <f>IF($F894="","",IF($E894="",T894,SUMIF(Sales!$E$7:$E$1506,$E894,Sales!$T$7:$T$1506)))</f>
        <v/>
      </c>
      <c r="V894" s="49" t="str">
        <f t="shared" si="15"/>
        <v/>
      </c>
      <c r="W894" s="49" t="str">
        <f t="array" ref="W894">IF($V894="","",SUMPRODUCT((Sales!$V$7:$V$1506&lt;&gt;"")*(Sales!$E$7:$E$1506&lt;$E894))+1)</f>
        <v/>
      </c>
      <c r="X894" s="49" t="str">
        <f t="shared" si="16"/>
        <v/>
      </c>
      <c r="Y894" s="49" t="str">
        <f t="shared" si="17"/>
        <v/>
      </c>
    </row>
    <row r="895" ht="15.75" customHeight="1">
      <c r="A895" s="82"/>
      <c r="B895" s="83"/>
      <c r="C895" s="83"/>
      <c r="D895" s="83"/>
      <c r="E895" s="83"/>
      <c r="F895" s="83"/>
      <c r="G895" s="83" t="str">
        <f>IF($F895="","",IFERROR(VLOOKUP($F895,Inventory!$A:$B,2,FALSE),""))</f>
        <v/>
      </c>
      <c r="H895" s="83"/>
      <c r="I895" s="84" t="str">
        <f t="shared" si="2"/>
        <v/>
      </c>
      <c r="J895" s="85" t="str">
        <f>IF($F895="","",IFERROR(VLOOKUP($F895,Inventory!$A:$K,11,FALSE),0))</f>
        <v/>
      </c>
      <c r="K895" s="85"/>
      <c r="L895" s="85" t="str">
        <f t="shared" si="12"/>
        <v/>
      </c>
      <c r="M895" s="83"/>
      <c r="N895" s="85" t="str">
        <f>IF($F895="","",IFERROR(VLOOKUP($F895,Inventory!$A:$I,9,FALSE),0))</f>
        <v/>
      </c>
      <c r="O895" s="85" t="str">
        <f t="shared" si="13"/>
        <v/>
      </c>
      <c r="P895" s="85" t="str">
        <f t="shared" si="5"/>
        <v/>
      </c>
      <c r="Q895" s="83"/>
      <c r="R895" s="118" t="str">
        <f>IF($E895="","",IF(COUNTIF($E$7:$E2092,$E895)&gt;1,"",IFERROR(VLOOKUP($E895,Orders!$A:$I,8,FALSE),"")))</f>
        <v/>
      </c>
      <c r="S895" s="118" t="str">
        <f>IF($E895="","",IF(COUNTIF($E$7:$E2092,$E895)&gt;1,"",IFERROR(VLOOKUP($E895,Orders!$A:$I,9,FALSE),"")))</f>
        <v/>
      </c>
      <c r="T895" s="88" t="str">
        <f t="shared" si="14"/>
        <v/>
      </c>
      <c r="U895" s="88" t="str">
        <f>IF($F895="","",IF($E895="",T895,SUMIF(Sales!$E$7:$E$1506,$E895,Sales!$T$7:$T$1506)))</f>
        <v/>
      </c>
      <c r="V895" s="49" t="str">
        <f t="shared" si="15"/>
        <v/>
      </c>
      <c r="W895" s="49" t="str">
        <f t="array" ref="W895">IF($V895="","",SUMPRODUCT((Sales!$V$7:$V$1506&lt;&gt;"")*(Sales!$E$7:$E$1506&lt;$E895))+1)</f>
        <v/>
      </c>
      <c r="X895" s="49" t="str">
        <f t="shared" si="16"/>
        <v/>
      </c>
      <c r="Y895" s="49" t="str">
        <f t="shared" si="17"/>
        <v/>
      </c>
    </row>
    <row r="896" ht="15.75" customHeight="1">
      <c r="A896" s="82"/>
      <c r="B896" s="83"/>
      <c r="C896" s="83"/>
      <c r="D896" s="83"/>
      <c r="E896" s="83"/>
      <c r="F896" s="83"/>
      <c r="G896" s="83" t="str">
        <f>IF($F896="","",IFERROR(VLOOKUP($F896,Inventory!$A:$B,2,FALSE),""))</f>
        <v/>
      </c>
      <c r="H896" s="83"/>
      <c r="I896" s="84" t="str">
        <f t="shared" si="2"/>
        <v/>
      </c>
      <c r="J896" s="85" t="str">
        <f>IF($F896="","",IFERROR(VLOOKUP($F896,Inventory!$A:$K,11,FALSE),0))</f>
        <v/>
      </c>
      <c r="K896" s="85"/>
      <c r="L896" s="85" t="str">
        <f t="shared" si="12"/>
        <v/>
      </c>
      <c r="M896" s="83"/>
      <c r="N896" s="85" t="str">
        <f>IF($F896="","",IFERROR(VLOOKUP($F896,Inventory!$A:$I,9,FALSE),0))</f>
        <v/>
      </c>
      <c r="O896" s="85" t="str">
        <f t="shared" si="13"/>
        <v/>
      </c>
      <c r="P896" s="85" t="str">
        <f t="shared" si="5"/>
        <v/>
      </c>
      <c r="Q896" s="83"/>
      <c r="R896" s="118" t="str">
        <f>IF($E896="","",IF(COUNTIF($E$7:$E2093,$E896)&gt;1,"",IFERROR(VLOOKUP($E896,Orders!$A:$I,8,FALSE),"")))</f>
        <v/>
      </c>
      <c r="S896" s="118" t="str">
        <f>IF($E896="","",IF(COUNTIF($E$7:$E2093,$E896)&gt;1,"",IFERROR(VLOOKUP($E896,Orders!$A:$I,9,FALSE),"")))</f>
        <v/>
      </c>
      <c r="T896" s="88" t="str">
        <f t="shared" si="14"/>
        <v/>
      </c>
      <c r="U896" s="88" t="str">
        <f>IF($F896="","",IF($E896="",T896,SUMIF(Sales!$E$7:$E$1506,$E896,Sales!$T$7:$T$1506)))</f>
        <v/>
      </c>
      <c r="V896" s="49" t="str">
        <f t="shared" si="15"/>
        <v/>
      </c>
      <c r="W896" s="49" t="str">
        <f t="array" ref="W896">IF($V896="","",SUMPRODUCT((Sales!$V$7:$V$1506&lt;&gt;"")*(Sales!$E$7:$E$1506&lt;$E896))+1)</f>
        <v/>
      </c>
      <c r="X896" s="49" t="str">
        <f t="shared" si="16"/>
        <v/>
      </c>
      <c r="Y896" s="49" t="str">
        <f t="shared" si="17"/>
        <v/>
      </c>
    </row>
    <row r="897" ht="15.75" customHeight="1">
      <c r="A897" s="82"/>
      <c r="B897" s="83"/>
      <c r="C897" s="83"/>
      <c r="D897" s="83"/>
      <c r="E897" s="83"/>
      <c r="F897" s="83"/>
      <c r="G897" s="83" t="str">
        <f>IF($F897="","",IFERROR(VLOOKUP($F897,Inventory!$A:$B,2,FALSE),""))</f>
        <v/>
      </c>
      <c r="H897" s="83"/>
      <c r="I897" s="84" t="str">
        <f t="shared" si="2"/>
        <v/>
      </c>
      <c r="J897" s="85" t="str">
        <f>IF($F897="","",IFERROR(VLOOKUP($F897,Inventory!$A:$K,11,FALSE),0))</f>
        <v/>
      </c>
      <c r="K897" s="85"/>
      <c r="L897" s="85" t="str">
        <f t="shared" si="12"/>
        <v/>
      </c>
      <c r="M897" s="83"/>
      <c r="N897" s="85" t="str">
        <f>IF($F897="","",IFERROR(VLOOKUP($F897,Inventory!$A:$I,9,FALSE),0))</f>
        <v/>
      </c>
      <c r="O897" s="85" t="str">
        <f t="shared" si="13"/>
        <v/>
      </c>
      <c r="P897" s="85" t="str">
        <f t="shared" si="5"/>
        <v/>
      </c>
      <c r="Q897" s="83"/>
      <c r="R897" s="118" t="str">
        <f>IF($E897="","",IF(COUNTIF($E$7:$E2094,$E897)&gt;1,"",IFERROR(VLOOKUP($E897,Orders!$A:$I,8,FALSE),"")))</f>
        <v/>
      </c>
      <c r="S897" s="118" t="str">
        <f>IF($E897="","",IF(COUNTIF($E$7:$E2094,$E897)&gt;1,"",IFERROR(VLOOKUP($E897,Orders!$A:$I,9,FALSE),"")))</f>
        <v/>
      </c>
      <c r="T897" s="88" t="str">
        <f t="shared" si="14"/>
        <v/>
      </c>
      <c r="U897" s="88" t="str">
        <f>IF($F897="","",IF($E897="",T897,SUMIF(Sales!$E$7:$E$1506,$E897,Sales!$T$7:$T$1506)))</f>
        <v/>
      </c>
      <c r="V897" s="49" t="str">
        <f t="shared" si="15"/>
        <v/>
      </c>
      <c r="W897" s="49" t="str">
        <f t="array" ref="W897">IF($V897="","",SUMPRODUCT((Sales!$V$7:$V$1506&lt;&gt;"")*(Sales!$E$7:$E$1506&lt;$E897))+1)</f>
        <v/>
      </c>
      <c r="X897" s="49" t="str">
        <f t="shared" si="16"/>
        <v/>
      </c>
      <c r="Y897" s="49" t="str">
        <f t="shared" si="17"/>
        <v/>
      </c>
    </row>
    <row r="898" ht="15.75" customHeight="1">
      <c r="A898" s="82"/>
      <c r="B898" s="83"/>
      <c r="C898" s="83"/>
      <c r="D898" s="83"/>
      <c r="E898" s="83"/>
      <c r="F898" s="83"/>
      <c r="G898" s="83" t="str">
        <f>IF($F898="","",IFERROR(VLOOKUP($F898,Inventory!$A:$B,2,FALSE),""))</f>
        <v/>
      </c>
      <c r="H898" s="83"/>
      <c r="I898" s="84" t="str">
        <f t="shared" si="2"/>
        <v/>
      </c>
      <c r="J898" s="85" t="str">
        <f>IF($F898="","",IFERROR(VLOOKUP($F898,Inventory!$A:$K,11,FALSE),0))</f>
        <v/>
      </c>
      <c r="K898" s="85"/>
      <c r="L898" s="85" t="str">
        <f t="shared" si="12"/>
        <v/>
      </c>
      <c r="M898" s="83"/>
      <c r="N898" s="85" t="str">
        <f>IF($F898="","",IFERROR(VLOOKUP($F898,Inventory!$A:$I,9,FALSE),0))</f>
        <v/>
      </c>
      <c r="O898" s="85" t="str">
        <f t="shared" si="13"/>
        <v/>
      </c>
      <c r="P898" s="85" t="str">
        <f t="shared" si="5"/>
        <v/>
      </c>
      <c r="Q898" s="83"/>
      <c r="R898" s="118" t="str">
        <f>IF($E898="","",IF(COUNTIF($E$7:$E2095,$E898)&gt;1,"",IFERROR(VLOOKUP($E898,Orders!$A:$I,8,FALSE),"")))</f>
        <v/>
      </c>
      <c r="S898" s="118" t="str">
        <f>IF($E898="","",IF(COUNTIF($E$7:$E2095,$E898)&gt;1,"",IFERROR(VLOOKUP($E898,Orders!$A:$I,9,FALSE),"")))</f>
        <v/>
      </c>
      <c r="T898" s="88" t="str">
        <f t="shared" si="14"/>
        <v/>
      </c>
      <c r="U898" s="88" t="str">
        <f>IF($F898="","",IF($E898="",T898,SUMIF(Sales!$E$7:$E$1506,$E898,Sales!$T$7:$T$1506)))</f>
        <v/>
      </c>
      <c r="V898" s="49" t="str">
        <f t="shared" si="15"/>
        <v/>
      </c>
      <c r="W898" s="49" t="str">
        <f t="array" ref="W898">IF($V898="","",SUMPRODUCT((Sales!$V$7:$V$1506&lt;&gt;"")*(Sales!$E$7:$E$1506&lt;$E898))+1)</f>
        <v/>
      </c>
      <c r="X898" s="49" t="str">
        <f t="shared" si="16"/>
        <v/>
      </c>
      <c r="Y898" s="49" t="str">
        <f t="shared" si="17"/>
        <v/>
      </c>
    </row>
    <row r="899" ht="15.75" customHeight="1">
      <c r="A899" s="82"/>
      <c r="B899" s="83"/>
      <c r="C899" s="83"/>
      <c r="D899" s="83"/>
      <c r="E899" s="83"/>
      <c r="F899" s="83"/>
      <c r="G899" s="83" t="str">
        <f>IF($F899="","",IFERROR(VLOOKUP($F899,Inventory!$A:$B,2,FALSE),""))</f>
        <v/>
      </c>
      <c r="H899" s="83"/>
      <c r="I899" s="84" t="str">
        <f t="shared" si="2"/>
        <v/>
      </c>
      <c r="J899" s="85" t="str">
        <f>IF($F899="","",IFERROR(VLOOKUP($F899,Inventory!$A:$K,11,FALSE),0))</f>
        <v/>
      </c>
      <c r="K899" s="85"/>
      <c r="L899" s="85" t="str">
        <f t="shared" si="12"/>
        <v/>
      </c>
      <c r="M899" s="83"/>
      <c r="N899" s="85" t="str">
        <f>IF($F899="","",IFERROR(VLOOKUP($F899,Inventory!$A:$I,9,FALSE),0))</f>
        <v/>
      </c>
      <c r="O899" s="85" t="str">
        <f t="shared" si="13"/>
        <v/>
      </c>
      <c r="P899" s="85" t="str">
        <f t="shared" si="5"/>
        <v/>
      </c>
      <c r="Q899" s="83"/>
      <c r="R899" s="118" t="str">
        <f>IF($E899="","",IF(COUNTIF($E$7:$E2096,$E899)&gt;1,"",IFERROR(VLOOKUP($E899,Orders!$A:$I,8,FALSE),"")))</f>
        <v/>
      </c>
      <c r="S899" s="118" t="str">
        <f>IF($E899="","",IF(COUNTIF($E$7:$E2096,$E899)&gt;1,"",IFERROR(VLOOKUP($E899,Orders!$A:$I,9,FALSE),"")))</f>
        <v/>
      </c>
      <c r="T899" s="88" t="str">
        <f t="shared" si="14"/>
        <v/>
      </c>
      <c r="U899" s="88" t="str">
        <f>IF($F899="","",IF($E899="",T899,SUMIF(Sales!$E$7:$E$1506,$E899,Sales!$T$7:$T$1506)))</f>
        <v/>
      </c>
      <c r="V899" s="49" t="str">
        <f t="shared" si="15"/>
        <v/>
      </c>
      <c r="W899" s="49" t="str">
        <f t="array" ref="W899">IF($V899="","",SUMPRODUCT((Sales!$V$7:$V$1506&lt;&gt;"")*(Sales!$E$7:$E$1506&lt;$E899))+1)</f>
        <v/>
      </c>
      <c r="X899" s="49" t="str">
        <f t="shared" si="16"/>
        <v/>
      </c>
      <c r="Y899" s="49" t="str">
        <f t="shared" si="17"/>
        <v/>
      </c>
    </row>
    <row r="900" ht="15.75" customHeight="1">
      <c r="A900" s="82"/>
      <c r="B900" s="83"/>
      <c r="C900" s="83"/>
      <c r="D900" s="83"/>
      <c r="E900" s="83"/>
      <c r="F900" s="83"/>
      <c r="G900" s="83" t="str">
        <f>IF($F900="","",IFERROR(VLOOKUP($F900,Inventory!$A:$B,2,FALSE),""))</f>
        <v/>
      </c>
      <c r="H900" s="83"/>
      <c r="I900" s="84" t="str">
        <f t="shared" si="2"/>
        <v/>
      </c>
      <c r="J900" s="85" t="str">
        <f>IF($F900="","",IFERROR(VLOOKUP($F900,Inventory!$A:$K,11,FALSE),0))</f>
        <v/>
      </c>
      <c r="K900" s="85"/>
      <c r="L900" s="85" t="str">
        <f t="shared" si="12"/>
        <v/>
      </c>
      <c r="M900" s="83"/>
      <c r="N900" s="85" t="str">
        <f>IF($F900="","",IFERROR(VLOOKUP($F900,Inventory!$A:$I,9,FALSE),0))</f>
        <v/>
      </c>
      <c r="O900" s="85" t="str">
        <f t="shared" si="13"/>
        <v/>
      </c>
      <c r="P900" s="85" t="str">
        <f t="shared" si="5"/>
        <v/>
      </c>
      <c r="Q900" s="83"/>
      <c r="R900" s="118" t="str">
        <f>IF($E900="","",IF(COUNTIF($E$7:$E2097,$E900)&gt;1,"",IFERROR(VLOOKUP($E900,Orders!$A:$I,8,FALSE),"")))</f>
        <v/>
      </c>
      <c r="S900" s="118" t="str">
        <f>IF($E900="","",IF(COUNTIF($E$7:$E2097,$E900)&gt;1,"",IFERROR(VLOOKUP($E900,Orders!$A:$I,9,FALSE),"")))</f>
        <v/>
      </c>
      <c r="T900" s="88" t="str">
        <f t="shared" si="14"/>
        <v/>
      </c>
      <c r="U900" s="88" t="str">
        <f>IF($F900="","",IF($E900="",T900,SUMIF(Sales!$E$7:$E$1506,$E900,Sales!$T$7:$T$1506)))</f>
        <v/>
      </c>
      <c r="V900" s="49" t="str">
        <f t="shared" si="15"/>
        <v/>
      </c>
      <c r="W900" s="49" t="str">
        <f t="array" ref="W900">IF($V900="","",SUMPRODUCT((Sales!$V$7:$V$1506&lt;&gt;"")*(Sales!$E$7:$E$1506&lt;$E900))+1)</f>
        <v/>
      </c>
      <c r="X900" s="49" t="str">
        <f t="shared" si="16"/>
        <v/>
      </c>
      <c r="Y900" s="49" t="str">
        <f t="shared" si="17"/>
        <v/>
      </c>
    </row>
    <row r="901" ht="15.75" customHeight="1">
      <c r="A901" s="82"/>
      <c r="B901" s="83"/>
      <c r="C901" s="83"/>
      <c r="D901" s="83"/>
      <c r="E901" s="83"/>
      <c r="F901" s="83"/>
      <c r="G901" s="83" t="str">
        <f>IF($F901="","",IFERROR(VLOOKUP($F901,Inventory!$A:$B,2,FALSE),""))</f>
        <v/>
      </c>
      <c r="H901" s="83"/>
      <c r="I901" s="84" t="str">
        <f t="shared" si="2"/>
        <v/>
      </c>
      <c r="J901" s="85" t="str">
        <f>IF($F901="","",IFERROR(VLOOKUP($F901,Inventory!$A:$K,11,FALSE),0))</f>
        <v/>
      </c>
      <c r="K901" s="85"/>
      <c r="L901" s="85" t="str">
        <f t="shared" si="12"/>
        <v/>
      </c>
      <c r="M901" s="83"/>
      <c r="N901" s="85" t="str">
        <f>IF($F901="","",IFERROR(VLOOKUP($F901,Inventory!$A:$I,9,FALSE),0))</f>
        <v/>
      </c>
      <c r="O901" s="85" t="str">
        <f t="shared" si="13"/>
        <v/>
      </c>
      <c r="P901" s="85" t="str">
        <f t="shared" si="5"/>
        <v/>
      </c>
      <c r="Q901" s="83"/>
      <c r="R901" s="118" t="str">
        <f>IF($E901="","",IF(COUNTIF($E$7:$E2098,$E901)&gt;1,"",IFERROR(VLOOKUP($E901,Orders!$A:$I,8,FALSE),"")))</f>
        <v/>
      </c>
      <c r="S901" s="118" t="str">
        <f>IF($E901="","",IF(COUNTIF($E$7:$E2098,$E901)&gt;1,"",IFERROR(VLOOKUP($E901,Orders!$A:$I,9,FALSE),"")))</f>
        <v/>
      </c>
      <c r="T901" s="88" t="str">
        <f t="shared" si="14"/>
        <v/>
      </c>
      <c r="U901" s="88" t="str">
        <f>IF($F901="","",IF($E901="",T901,SUMIF(Sales!$E$7:$E$1506,$E901,Sales!$T$7:$T$1506)))</f>
        <v/>
      </c>
      <c r="V901" s="49" t="str">
        <f t="shared" si="15"/>
        <v/>
      </c>
      <c r="W901" s="49" t="str">
        <f t="array" ref="W901">IF($V901="","",SUMPRODUCT((Sales!$V$7:$V$1506&lt;&gt;"")*(Sales!$E$7:$E$1506&lt;$E901))+1)</f>
        <v/>
      </c>
      <c r="X901" s="49" t="str">
        <f t="shared" si="16"/>
        <v/>
      </c>
      <c r="Y901" s="49" t="str">
        <f t="shared" si="17"/>
        <v/>
      </c>
    </row>
    <row r="902" ht="15.75" customHeight="1">
      <c r="A902" s="82"/>
      <c r="B902" s="83"/>
      <c r="C902" s="83"/>
      <c r="D902" s="83"/>
      <c r="E902" s="83"/>
      <c r="F902" s="83"/>
      <c r="G902" s="83" t="str">
        <f>IF($F902="","",IFERROR(VLOOKUP($F902,Inventory!$A:$B,2,FALSE),""))</f>
        <v/>
      </c>
      <c r="H902" s="83"/>
      <c r="I902" s="84" t="str">
        <f t="shared" si="2"/>
        <v/>
      </c>
      <c r="J902" s="85" t="str">
        <f>IF($F902="","",IFERROR(VLOOKUP($F902,Inventory!$A:$K,11,FALSE),0))</f>
        <v/>
      </c>
      <c r="K902" s="85"/>
      <c r="L902" s="85" t="str">
        <f t="shared" si="12"/>
        <v/>
      </c>
      <c r="M902" s="83"/>
      <c r="N902" s="85" t="str">
        <f>IF($F902="","",IFERROR(VLOOKUP($F902,Inventory!$A:$I,9,FALSE),0))</f>
        <v/>
      </c>
      <c r="O902" s="85" t="str">
        <f t="shared" si="13"/>
        <v/>
      </c>
      <c r="P902" s="85" t="str">
        <f t="shared" si="5"/>
        <v/>
      </c>
      <c r="Q902" s="83"/>
      <c r="R902" s="118" t="str">
        <f>IF($E902="","",IF(COUNTIF($E$7:$E2099,$E902)&gt;1,"",IFERROR(VLOOKUP($E902,Orders!$A:$I,8,FALSE),"")))</f>
        <v/>
      </c>
      <c r="S902" s="118" t="str">
        <f>IF($E902="","",IF(COUNTIF($E$7:$E2099,$E902)&gt;1,"",IFERROR(VLOOKUP($E902,Orders!$A:$I,9,FALSE),"")))</f>
        <v/>
      </c>
      <c r="T902" s="88" t="str">
        <f t="shared" si="14"/>
        <v/>
      </c>
      <c r="U902" s="88" t="str">
        <f>IF($F902="","",IF($E902="",T902,SUMIF(Sales!$E$7:$E$1506,$E902,Sales!$T$7:$T$1506)))</f>
        <v/>
      </c>
      <c r="V902" s="49" t="str">
        <f t="shared" si="15"/>
        <v/>
      </c>
      <c r="W902" s="49" t="str">
        <f t="array" ref="W902">IF($V902="","",SUMPRODUCT((Sales!$V$7:$V$1506&lt;&gt;"")*(Sales!$E$7:$E$1506&lt;$E902))+1)</f>
        <v/>
      </c>
      <c r="X902" s="49" t="str">
        <f t="shared" si="16"/>
        <v/>
      </c>
      <c r="Y902" s="49" t="str">
        <f t="shared" si="17"/>
        <v/>
      </c>
    </row>
    <row r="903" ht="15.75" customHeight="1">
      <c r="A903" s="82"/>
      <c r="B903" s="83"/>
      <c r="C903" s="83"/>
      <c r="D903" s="83"/>
      <c r="E903" s="83"/>
      <c r="F903" s="83"/>
      <c r="G903" s="83" t="str">
        <f>IF($F903="","",IFERROR(VLOOKUP($F903,Inventory!$A:$B,2,FALSE),""))</f>
        <v/>
      </c>
      <c r="H903" s="83"/>
      <c r="I903" s="84" t="str">
        <f t="shared" si="2"/>
        <v/>
      </c>
      <c r="J903" s="85" t="str">
        <f>IF($F903="","",IFERROR(VLOOKUP($F903,Inventory!$A:$K,11,FALSE),0))</f>
        <v/>
      </c>
      <c r="K903" s="85"/>
      <c r="L903" s="85" t="str">
        <f t="shared" si="12"/>
        <v/>
      </c>
      <c r="M903" s="83"/>
      <c r="N903" s="85" t="str">
        <f>IF($F903="","",IFERROR(VLOOKUP($F903,Inventory!$A:$I,9,FALSE),0))</f>
        <v/>
      </c>
      <c r="O903" s="85" t="str">
        <f t="shared" si="13"/>
        <v/>
      </c>
      <c r="P903" s="85" t="str">
        <f t="shared" si="5"/>
        <v/>
      </c>
      <c r="Q903" s="83"/>
      <c r="R903" s="118" t="str">
        <f>IF($E903="","",IF(COUNTIF($E$7:$E2100,$E903)&gt;1,"",IFERROR(VLOOKUP($E903,Orders!$A:$I,8,FALSE),"")))</f>
        <v/>
      </c>
      <c r="S903" s="118" t="str">
        <f>IF($E903="","",IF(COUNTIF($E$7:$E2100,$E903)&gt;1,"",IFERROR(VLOOKUP($E903,Orders!$A:$I,9,FALSE),"")))</f>
        <v/>
      </c>
      <c r="T903" s="88" t="str">
        <f t="shared" si="14"/>
        <v/>
      </c>
      <c r="U903" s="88" t="str">
        <f>IF($F903="","",IF($E903="",T903,SUMIF(Sales!$E$7:$E$1506,$E903,Sales!$T$7:$T$1506)))</f>
        <v/>
      </c>
      <c r="V903" s="49" t="str">
        <f t="shared" si="15"/>
        <v/>
      </c>
      <c r="W903" s="49" t="str">
        <f t="array" ref="W903">IF($V903="","",SUMPRODUCT((Sales!$V$7:$V$1506&lt;&gt;"")*(Sales!$E$7:$E$1506&lt;$E903))+1)</f>
        <v/>
      </c>
      <c r="X903" s="49" t="str">
        <f t="shared" si="16"/>
        <v/>
      </c>
      <c r="Y903" s="49" t="str">
        <f t="shared" si="17"/>
        <v/>
      </c>
    </row>
    <row r="904" ht="15.75" customHeight="1">
      <c r="A904" s="82"/>
      <c r="B904" s="83"/>
      <c r="C904" s="83"/>
      <c r="D904" s="83"/>
      <c r="E904" s="83"/>
      <c r="F904" s="83"/>
      <c r="G904" s="83" t="str">
        <f>IF($F904="","",IFERROR(VLOOKUP($F904,Inventory!$A:$B,2,FALSE),""))</f>
        <v/>
      </c>
      <c r="H904" s="83"/>
      <c r="I904" s="84" t="str">
        <f t="shared" si="2"/>
        <v/>
      </c>
      <c r="J904" s="85" t="str">
        <f>IF($F904="","",IFERROR(VLOOKUP($F904,Inventory!$A:$K,11,FALSE),0))</f>
        <v/>
      </c>
      <c r="K904" s="85"/>
      <c r="L904" s="85" t="str">
        <f t="shared" si="12"/>
        <v/>
      </c>
      <c r="M904" s="83"/>
      <c r="N904" s="85" t="str">
        <f>IF($F904="","",IFERROR(VLOOKUP($F904,Inventory!$A:$I,9,FALSE),0))</f>
        <v/>
      </c>
      <c r="O904" s="85" t="str">
        <f t="shared" si="13"/>
        <v/>
      </c>
      <c r="P904" s="85" t="str">
        <f t="shared" si="5"/>
        <v/>
      </c>
      <c r="Q904" s="83"/>
      <c r="R904" s="118" t="str">
        <f>IF($E904="","",IF(COUNTIF($E$7:$E2101,$E904)&gt;1,"",IFERROR(VLOOKUP($E904,Orders!$A:$I,8,FALSE),"")))</f>
        <v/>
      </c>
      <c r="S904" s="118" t="str">
        <f>IF($E904="","",IF(COUNTIF($E$7:$E2101,$E904)&gt;1,"",IFERROR(VLOOKUP($E904,Orders!$A:$I,9,FALSE),"")))</f>
        <v/>
      </c>
      <c r="T904" s="88" t="str">
        <f t="shared" si="14"/>
        <v/>
      </c>
      <c r="U904" s="88" t="str">
        <f>IF($F904="","",IF($E904="",T904,SUMIF(Sales!$E$7:$E$1506,$E904,Sales!$T$7:$T$1506)))</f>
        <v/>
      </c>
      <c r="V904" s="49" t="str">
        <f t="shared" si="15"/>
        <v/>
      </c>
      <c r="W904" s="49" t="str">
        <f t="array" ref="W904">IF($V904="","",SUMPRODUCT((Sales!$V$7:$V$1506&lt;&gt;"")*(Sales!$E$7:$E$1506&lt;$E904))+1)</f>
        <v/>
      </c>
      <c r="X904" s="49" t="str">
        <f t="shared" si="16"/>
        <v/>
      </c>
      <c r="Y904" s="49" t="str">
        <f t="shared" si="17"/>
        <v/>
      </c>
    </row>
    <row r="905" ht="15.75" customHeight="1">
      <c r="A905" s="82"/>
      <c r="B905" s="83"/>
      <c r="C905" s="83"/>
      <c r="D905" s="83"/>
      <c r="E905" s="83"/>
      <c r="F905" s="83"/>
      <c r="G905" s="83" t="str">
        <f>IF($F905="","",IFERROR(VLOOKUP($F905,Inventory!$A:$B,2,FALSE),""))</f>
        <v/>
      </c>
      <c r="H905" s="83"/>
      <c r="I905" s="84" t="str">
        <f t="shared" si="2"/>
        <v/>
      </c>
      <c r="J905" s="85" t="str">
        <f>IF($F905="","",IFERROR(VLOOKUP($F905,Inventory!$A:$K,11,FALSE),0))</f>
        <v/>
      </c>
      <c r="K905" s="85"/>
      <c r="L905" s="85" t="str">
        <f t="shared" si="12"/>
        <v/>
      </c>
      <c r="M905" s="83"/>
      <c r="N905" s="85" t="str">
        <f>IF($F905="","",IFERROR(VLOOKUP($F905,Inventory!$A:$I,9,FALSE),0))</f>
        <v/>
      </c>
      <c r="O905" s="85" t="str">
        <f t="shared" si="13"/>
        <v/>
      </c>
      <c r="P905" s="85" t="str">
        <f t="shared" si="5"/>
        <v/>
      </c>
      <c r="Q905" s="83"/>
      <c r="R905" s="118" t="str">
        <f>IF($E905="","",IF(COUNTIF($E$7:$E2102,$E905)&gt;1,"",IFERROR(VLOOKUP($E905,Orders!$A:$I,8,FALSE),"")))</f>
        <v/>
      </c>
      <c r="S905" s="118" t="str">
        <f>IF($E905="","",IF(COUNTIF($E$7:$E2102,$E905)&gt;1,"",IFERROR(VLOOKUP($E905,Orders!$A:$I,9,FALSE),"")))</f>
        <v/>
      </c>
      <c r="T905" s="88" t="str">
        <f t="shared" si="14"/>
        <v/>
      </c>
      <c r="U905" s="88" t="str">
        <f>IF($F905="","",IF($E905="",T905,SUMIF(Sales!$E$7:$E$1506,$E905,Sales!$T$7:$T$1506)))</f>
        <v/>
      </c>
      <c r="V905" s="49" t="str">
        <f t="shared" si="15"/>
        <v/>
      </c>
      <c r="W905" s="49" t="str">
        <f t="array" ref="W905">IF($V905="","",SUMPRODUCT((Sales!$V$7:$V$1506&lt;&gt;"")*(Sales!$E$7:$E$1506&lt;$E905))+1)</f>
        <v/>
      </c>
      <c r="X905" s="49" t="str">
        <f t="shared" si="16"/>
        <v/>
      </c>
      <c r="Y905" s="49" t="str">
        <f t="shared" si="17"/>
        <v/>
      </c>
    </row>
    <row r="906" ht="15.75" customHeight="1">
      <c r="A906" s="82"/>
      <c r="B906" s="83"/>
      <c r="C906" s="83"/>
      <c r="D906" s="83"/>
      <c r="E906" s="83"/>
      <c r="F906" s="83"/>
      <c r="G906" s="83" t="str">
        <f>IF($F906="","",IFERROR(VLOOKUP($F906,Inventory!$A:$B,2,FALSE),""))</f>
        <v/>
      </c>
      <c r="H906" s="83"/>
      <c r="I906" s="84" t="str">
        <f t="shared" si="2"/>
        <v/>
      </c>
      <c r="J906" s="85" t="str">
        <f>IF($F906="","",IFERROR(VLOOKUP($F906,Inventory!$A:$K,11,FALSE),0))</f>
        <v/>
      </c>
      <c r="K906" s="85"/>
      <c r="L906" s="85" t="str">
        <f t="shared" si="12"/>
        <v/>
      </c>
      <c r="M906" s="83"/>
      <c r="N906" s="85" t="str">
        <f>IF($F906="","",IFERROR(VLOOKUP($F906,Inventory!$A:$I,9,FALSE),0))</f>
        <v/>
      </c>
      <c r="O906" s="85" t="str">
        <f t="shared" si="13"/>
        <v/>
      </c>
      <c r="P906" s="85" t="str">
        <f t="shared" si="5"/>
        <v/>
      </c>
      <c r="Q906" s="83"/>
      <c r="R906" s="118" t="str">
        <f>IF($E906="","",IF(COUNTIF($E$7:$E2103,$E906)&gt;1,"",IFERROR(VLOOKUP($E906,Orders!$A:$I,8,FALSE),"")))</f>
        <v/>
      </c>
      <c r="S906" s="118" t="str">
        <f>IF($E906="","",IF(COUNTIF($E$7:$E2103,$E906)&gt;1,"",IFERROR(VLOOKUP($E906,Orders!$A:$I,9,FALSE),"")))</f>
        <v/>
      </c>
      <c r="T906" s="88" t="str">
        <f t="shared" si="14"/>
        <v/>
      </c>
      <c r="U906" s="88" t="str">
        <f>IF($F906="","",IF($E906="",T906,SUMIF(Sales!$E$7:$E$1506,$E906,Sales!$T$7:$T$1506)))</f>
        <v/>
      </c>
      <c r="V906" s="49" t="str">
        <f t="shared" si="15"/>
        <v/>
      </c>
      <c r="W906" s="49" t="str">
        <f t="array" ref="W906">IF($V906="","",SUMPRODUCT((Sales!$V$7:$V$1506&lt;&gt;"")*(Sales!$E$7:$E$1506&lt;$E906))+1)</f>
        <v/>
      </c>
      <c r="X906" s="49" t="str">
        <f t="shared" si="16"/>
        <v/>
      </c>
      <c r="Y906" s="49" t="str">
        <f t="shared" si="17"/>
        <v/>
      </c>
    </row>
    <row r="907" ht="15.75" customHeight="1">
      <c r="A907" s="82"/>
      <c r="B907" s="83"/>
      <c r="C907" s="83"/>
      <c r="D907" s="83"/>
      <c r="E907" s="83"/>
      <c r="F907" s="83"/>
      <c r="G907" s="83" t="str">
        <f>IF($F907="","",IFERROR(VLOOKUP($F907,Inventory!$A:$B,2,FALSE),""))</f>
        <v/>
      </c>
      <c r="H907" s="83"/>
      <c r="I907" s="84" t="str">
        <f t="shared" si="2"/>
        <v/>
      </c>
      <c r="J907" s="85" t="str">
        <f>IF($F907="","",IFERROR(VLOOKUP($F907,Inventory!$A:$K,11,FALSE),0))</f>
        <v/>
      </c>
      <c r="K907" s="85"/>
      <c r="L907" s="85" t="str">
        <f t="shared" si="12"/>
        <v/>
      </c>
      <c r="M907" s="83"/>
      <c r="N907" s="85" t="str">
        <f>IF($F907="","",IFERROR(VLOOKUP($F907,Inventory!$A:$I,9,FALSE),0))</f>
        <v/>
      </c>
      <c r="O907" s="85" t="str">
        <f t="shared" si="13"/>
        <v/>
      </c>
      <c r="P907" s="85" t="str">
        <f t="shared" si="5"/>
        <v/>
      </c>
      <c r="Q907" s="83"/>
      <c r="R907" s="118" t="str">
        <f>IF($E907="","",IF(COUNTIF($E$7:$E2104,$E907)&gt;1,"",IFERROR(VLOOKUP($E907,Orders!$A:$I,8,FALSE),"")))</f>
        <v/>
      </c>
      <c r="S907" s="118" t="str">
        <f>IF($E907="","",IF(COUNTIF($E$7:$E2104,$E907)&gt;1,"",IFERROR(VLOOKUP($E907,Orders!$A:$I,9,FALSE),"")))</f>
        <v/>
      </c>
      <c r="T907" s="88" t="str">
        <f t="shared" si="14"/>
        <v/>
      </c>
      <c r="U907" s="88" t="str">
        <f>IF($F907="","",IF($E907="",T907,SUMIF(Sales!$E$7:$E$1506,$E907,Sales!$T$7:$T$1506)))</f>
        <v/>
      </c>
      <c r="V907" s="49" t="str">
        <f t="shared" si="15"/>
        <v/>
      </c>
      <c r="W907" s="49" t="str">
        <f t="array" ref="W907">IF($V907="","",SUMPRODUCT((Sales!$V$7:$V$1506&lt;&gt;"")*(Sales!$E$7:$E$1506&lt;$E907))+1)</f>
        <v/>
      </c>
      <c r="X907" s="49" t="str">
        <f t="shared" si="16"/>
        <v/>
      </c>
      <c r="Y907" s="49" t="str">
        <f t="shared" si="17"/>
        <v/>
      </c>
    </row>
    <row r="908" ht="15.75" customHeight="1">
      <c r="A908" s="82"/>
      <c r="B908" s="83"/>
      <c r="C908" s="83"/>
      <c r="D908" s="83"/>
      <c r="E908" s="83"/>
      <c r="F908" s="83"/>
      <c r="G908" s="83" t="str">
        <f>IF($F908="","",IFERROR(VLOOKUP($F908,Inventory!$A:$B,2,FALSE),""))</f>
        <v/>
      </c>
      <c r="H908" s="83"/>
      <c r="I908" s="84" t="str">
        <f t="shared" si="2"/>
        <v/>
      </c>
      <c r="J908" s="85" t="str">
        <f>IF($F908="","",IFERROR(VLOOKUP($F908,Inventory!$A:$K,11,FALSE),0))</f>
        <v/>
      </c>
      <c r="K908" s="85"/>
      <c r="L908" s="85" t="str">
        <f t="shared" si="12"/>
        <v/>
      </c>
      <c r="M908" s="83"/>
      <c r="N908" s="85" t="str">
        <f>IF($F908="","",IFERROR(VLOOKUP($F908,Inventory!$A:$I,9,FALSE),0))</f>
        <v/>
      </c>
      <c r="O908" s="85" t="str">
        <f t="shared" si="13"/>
        <v/>
      </c>
      <c r="P908" s="85" t="str">
        <f t="shared" si="5"/>
        <v/>
      </c>
      <c r="Q908" s="83"/>
      <c r="R908" s="118" t="str">
        <f>IF($E908="","",IF(COUNTIF($E$7:$E2105,$E908)&gt;1,"",IFERROR(VLOOKUP($E908,Orders!$A:$I,8,FALSE),"")))</f>
        <v/>
      </c>
      <c r="S908" s="118" t="str">
        <f>IF($E908="","",IF(COUNTIF($E$7:$E2105,$E908)&gt;1,"",IFERROR(VLOOKUP($E908,Orders!$A:$I,9,FALSE),"")))</f>
        <v/>
      </c>
      <c r="T908" s="88" t="str">
        <f t="shared" si="14"/>
        <v/>
      </c>
      <c r="U908" s="88" t="str">
        <f>IF($F908="","",IF($E908="",T908,SUMIF(Sales!$E$7:$E$1506,$E908,Sales!$T$7:$T$1506)))</f>
        <v/>
      </c>
      <c r="V908" s="49" t="str">
        <f t="shared" si="15"/>
        <v/>
      </c>
      <c r="W908" s="49" t="str">
        <f t="array" ref="W908">IF($V908="","",SUMPRODUCT((Sales!$V$7:$V$1506&lt;&gt;"")*(Sales!$E$7:$E$1506&lt;$E908))+1)</f>
        <v/>
      </c>
      <c r="X908" s="49" t="str">
        <f t="shared" si="16"/>
        <v/>
      </c>
      <c r="Y908" s="49" t="str">
        <f t="shared" si="17"/>
        <v/>
      </c>
    </row>
    <row r="909" ht="15.75" customHeight="1">
      <c r="A909" s="82"/>
      <c r="B909" s="83"/>
      <c r="C909" s="83"/>
      <c r="D909" s="83"/>
      <c r="E909" s="83"/>
      <c r="F909" s="83"/>
      <c r="G909" s="83" t="str">
        <f>IF($F909="","",IFERROR(VLOOKUP($F909,Inventory!$A:$B,2,FALSE),""))</f>
        <v/>
      </c>
      <c r="H909" s="83"/>
      <c r="I909" s="84" t="str">
        <f t="shared" si="2"/>
        <v/>
      </c>
      <c r="J909" s="85" t="str">
        <f>IF($F909="","",IFERROR(VLOOKUP($F909,Inventory!$A:$K,11,FALSE),0))</f>
        <v/>
      </c>
      <c r="K909" s="85"/>
      <c r="L909" s="85" t="str">
        <f t="shared" si="12"/>
        <v/>
      </c>
      <c r="M909" s="83"/>
      <c r="N909" s="85" t="str">
        <f>IF($F909="","",IFERROR(VLOOKUP($F909,Inventory!$A:$I,9,FALSE),0))</f>
        <v/>
      </c>
      <c r="O909" s="85" t="str">
        <f t="shared" si="13"/>
        <v/>
      </c>
      <c r="P909" s="85" t="str">
        <f t="shared" si="5"/>
        <v/>
      </c>
      <c r="Q909" s="83"/>
      <c r="R909" s="118" t="str">
        <f>IF($E909="","",IF(COUNTIF($E$7:$E2106,$E909)&gt;1,"",IFERROR(VLOOKUP($E909,Orders!$A:$I,8,FALSE),"")))</f>
        <v/>
      </c>
      <c r="S909" s="118" t="str">
        <f>IF($E909="","",IF(COUNTIF($E$7:$E2106,$E909)&gt;1,"",IFERROR(VLOOKUP($E909,Orders!$A:$I,9,FALSE),"")))</f>
        <v/>
      </c>
      <c r="T909" s="88" t="str">
        <f t="shared" si="14"/>
        <v/>
      </c>
      <c r="U909" s="88" t="str">
        <f>IF($F909="","",IF($E909="",T909,SUMIF(Sales!$E$7:$E$1506,$E909,Sales!$T$7:$T$1506)))</f>
        <v/>
      </c>
      <c r="V909" s="49" t="str">
        <f t="shared" si="15"/>
        <v/>
      </c>
      <c r="W909" s="49" t="str">
        <f t="array" ref="W909">IF($V909="","",SUMPRODUCT((Sales!$V$7:$V$1506&lt;&gt;"")*(Sales!$E$7:$E$1506&lt;$E909))+1)</f>
        <v/>
      </c>
      <c r="X909" s="49" t="str">
        <f t="shared" si="16"/>
        <v/>
      </c>
      <c r="Y909" s="49" t="str">
        <f t="shared" si="17"/>
        <v/>
      </c>
    </row>
    <row r="910" ht="15.75" customHeight="1">
      <c r="A910" s="82"/>
      <c r="B910" s="83"/>
      <c r="C910" s="83"/>
      <c r="D910" s="83"/>
      <c r="E910" s="83"/>
      <c r="F910" s="83"/>
      <c r="G910" s="83" t="str">
        <f>IF($F910="","",IFERROR(VLOOKUP($F910,Inventory!$A:$B,2,FALSE),""))</f>
        <v/>
      </c>
      <c r="H910" s="83"/>
      <c r="I910" s="84" t="str">
        <f t="shared" si="2"/>
        <v/>
      </c>
      <c r="J910" s="85" t="str">
        <f>IF($F910="","",IFERROR(VLOOKUP($F910,Inventory!$A:$K,11,FALSE),0))</f>
        <v/>
      </c>
      <c r="K910" s="85"/>
      <c r="L910" s="85" t="str">
        <f t="shared" si="12"/>
        <v/>
      </c>
      <c r="M910" s="83"/>
      <c r="N910" s="85" t="str">
        <f>IF($F910="","",IFERROR(VLOOKUP($F910,Inventory!$A:$I,9,FALSE),0))</f>
        <v/>
      </c>
      <c r="O910" s="85" t="str">
        <f t="shared" si="13"/>
        <v/>
      </c>
      <c r="P910" s="85" t="str">
        <f t="shared" si="5"/>
        <v/>
      </c>
      <c r="Q910" s="83"/>
      <c r="R910" s="118" t="str">
        <f>IF($E910="","",IF(COUNTIF($E$7:$E2107,$E910)&gt;1,"",IFERROR(VLOOKUP($E910,Orders!$A:$I,8,FALSE),"")))</f>
        <v/>
      </c>
      <c r="S910" s="118" t="str">
        <f>IF($E910="","",IF(COUNTIF($E$7:$E2107,$E910)&gt;1,"",IFERROR(VLOOKUP($E910,Orders!$A:$I,9,FALSE),"")))</f>
        <v/>
      </c>
      <c r="T910" s="88" t="str">
        <f t="shared" si="14"/>
        <v/>
      </c>
      <c r="U910" s="88" t="str">
        <f>IF($F910="","",IF($E910="",T910,SUMIF(Sales!$E$7:$E$1506,$E910,Sales!$T$7:$T$1506)))</f>
        <v/>
      </c>
      <c r="V910" s="49" t="str">
        <f t="shared" si="15"/>
        <v/>
      </c>
      <c r="W910" s="49" t="str">
        <f t="array" ref="W910">IF($V910="","",SUMPRODUCT((Sales!$V$7:$V$1506&lt;&gt;"")*(Sales!$E$7:$E$1506&lt;$E910))+1)</f>
        <v/>
      </c>
      <c r="X910" s="49" t="str">
        <f t="shared" si="16"/>
        <v/>
      </c>
      <c r="Y910" s="49" t="str">
        <f t="shared" si="17"/>
        <v/>
      </c>
    </row>
    <row r="911" ht="15.75" customHeight="1">
      <c r="A911" s="82"/>
      <c r="B911" s="83"/>
      <c r="C911" s="83"/>
      <c r="D911" s="83"/>
      <c r="E911" s="83"/>
      <c r="F911" s="83"/>
      <c r="G911" s="83" t="str">
        <f>IF($F911="","",IFERROR(VLOOKUP($F911,Inventory!$A:$B,2,FALSE),""))</f>
        <v/>
      </c>
      <c r="H911" s="83"/>
      <c r="I911" s="84" t="str">
        <f t="shared" si="2"/>
        <v/>
      </c>
      <c r="J911" s="85" t="str">
        <f>IF($F911="","",IFERROR(VLOOKUP($F911,Inventory!$A:$K,11,FALSE),0))</f>
        <v/>
      </c>
      <c r="K911" s="85"/>
      <c r="L911" s="85" t="str">
        <f t="shared" si="12"/>
        <v/>
      </c>
      <c r="M911" s="83"/>
      <c r="N911" s="85" t="str">
        <f>IF($F911="","",IFERROR(VLOOKUP($F911,Inventory!$A:$I,9,FALSE),0))</f>
        <v/>
      </c>
      <c r="O911" s="85" t="str">
        <f t="shared" si="13"/>
        <v/>
      </c>
      <c r="P911" s="85" t="str">
        <f t="shared" si="5"/>
        <v/>
      </c>
      <c r="Q911" s="83"/>
      <c r="R911" s="118" t="str">
        <f>IF($E911="","",IF(COUNTIF($E$7:$E2108,$E911)&gt;1,"",IFERROR(VLOOKUP($E911,Orders!$A:$I,8,FALSE),"")))</f>
        <v/>
      </c>
      <c r="S911" s="118" t="str">
        <f>IF($E911="","",IF(COUNTIF($E$7:$E2108,$E911)&gt;1,"",IFERROR(VLOOKUP($E911,Orders!$A:$I,9,FALSE),"")))</f>
        <v/>
      </c>
      <c r="T911" s="88" t="str">
        <f t="shared" si="14"/>
        <v/>
      </c>
      <c r="U911" s="88" t="str">
        <f>IF($F911="","",IF($E911="",T911,SUMIF(Sales!$E$7:$E$1506,$E911,Sales!$T$7:$T$1506)))</f>
        <v/>
      </c>
      <c r="V911" s="49" t="str">
        <f t="shared" si="15"/>
        <v/>
      </c>
      <c r="W911" s="49" t="str">
        <f t="array" ref="W911">IF($V911="","",SUMPRODUCT((Sales!$V$7:$V$1506&lt;&gt;"")*(Sales!$E$7:$E$1506&lt;$E911))+1)</f>
        <v/>
      </c>
      <c r="X911" s="49" t="str">
        <f t="shared" si="16"/>
        <v/>
      </c>
      <c r="Y911" s="49" t="str">
        <f t="shared" si="17"/>
        <v/>
      </c>
    </row>
    <row r="912" ht="15.75" customHeight="1">
      <c r="A912" s="82"/>
      <c r="B912" s="83"/>
      <c r="C912" s="83"/>
      <c r="D912" s="83"/>
      <c r="E912" s="83"/>
      <c r="F912" s="83"/>
      <c r="G912" s="83" t="str">
        <f>IF($F912="","",IFERROR(VLOOKUP($F912,Inventory!$A:$B,2,FALSE),""))</f>
        <v/>
      </c>
      <c r="H912" s="83"/>
      <c r="I912" s="84" t="str">
        <f t="shared" si="2"/>
        <v/>
      </c>
      <c r="J912" s="85" t="str">
        <f>IF($F912="","",IFERROR(VLOOKUP($F912,Inventory!$A:$K,11,FALSE),0))</f>
        <v/>
      </c>
      <c r="K912" s="85"/>
      <c r="L912" s="85" t="str">
        <f t="shared" si="12"/>
        <v/>
      </c>
      <c r="M912" s="83"/>
      <c r="N912" s="85" t="str">
        <f>IF($F912="","",IFERROR(VLOOKUP($F912,Inventory!$A:$I,9,FALSE),0))</f>
        <v/>
      </c>
      <c r="O912" s="85" t="str">
        <f t="shared" si="13"/>
        <v/>
      </c>
      <c r="P912" s="85" t="str">
        <f t="shared" si="5"/>
        <v/>
      </c>
      <c r="Q912" s="83"/>
      <c r="R912" s="118" t="str">
        <f>IF($E912="","",IF(COUNTIF($E$7:$E2109,$E912)&gt;1,"",IFERROR(VLOOKUP($E912,Orders!$A:$I,8,FALSE),"")))</f>
        <v/>
      </c>
      <c r="S912" s="118" t="str">
        <f>IF($E912="","",IF(COUNTIF($E$7:$E2109,$E912)&gt;1,"",IFERROR(VLOOKUP($E912,Orders!$A:$I,9,FALSE),"")))</f>
        <v/>
      </c>
      <c r="T912" s="88" t="str">
        <f t="shared" si="14"/>
        <v/>
      </c>
      <c r="U912" s="88" t="str">
        <f>IF($F912="","",IF($E912="",T912,SUMIF(Sales!$E$7:$E$1506,$E912,Sales!$T$7:$T$1506)))</f>
        <v/>
      </c>
      <c r="V912" s="49" t="str">
        <f t="shared" si="15"/>
        <v/>
      </c>
      <c r="W912" s="49" t="str">
        <f t="array" ref="W912">IF($V912="","",SUMPRODUCT((Sales!$V$7:$V$1506&lt;&gt;"")*(Sales!$E$7:$E$1506&lt;$E912))+1)</f>
        <v/>
      </c>
      <c r="X912" s="49" t="str">
        <f t="shared" si="16"/>
        <v/>
      </c>
      <c r="Y912" s="49" t="str">
        <f t="shared" si="17"/>
        <v/>
      </c>
    </row>
    <row r="913" ht="15.75" customHeight="1">
      <c r="A913" s="82"/>
      <c r="B913" s="83"/>
      <c r="C913" s="83"/>
      <c r="D913" s="83"/>
      <c r="E913" s="83"/>
      <c r="F913" s="83"/>
      <c r="G913" s="83" t="str">
        <f>IF($F913="","",IFERROR(VLOOKUP($F913,Inventory!$A:$B,2,FALSE),""))</f>
        <v/>
      </c>
      <c r="H913" s="83"/>
      <c r="I913" s="84" t="str">
        <f t="shared" si="2"/>
        <v/>
      </c>
      <c r="J913" s="85" t="str">
        <f>IF($F913="","",IFERROR(VLOOKUP($F913,Inventory!$A:$K,11,FALSE),0))</f>
        <v/>
      </c>
      <c r="K913" s="85"/>
      <c r="L913" s="85" t="str">
        <f t="shared" si="12"/>
        <v/>
      </c>
      <c r="M913" s="83"/>
      <c r="N913" s="85" t="str">
        <f>IF($F913="","",IFERROR(VLOOKUP($F913,Inventory!$A:$I,9,FALSE),0))</f>
        <v/>
      </c>
      <c r="O913" s="85" t="str">
        <f t="shared" si="13"/>
        <v/>
      </c>
      <c r="P913" s="85" t="str">
        <f t="shared" si="5"/>
        <v/>
      </c>
      <c r="Q913" s="83"/>
      <c r="R913" s="118" t="str">
        <f>IF($E913="","",IF(COUNTIF($E$7:$E2110,$E913)&gt;1,"",IFERROR(VLOOKUP($E913,Orders!$A:$I,8,FALSE),"")))</f>
        <v/>
      </c>
      <c r="S913" s="118" t="str">
        <f>IF($E913="","",IF(COUNTIF($E$7:$E2110,$E913)&gt;1,"",IFERROR(VLOOKUP($E913,Orders!$A:$I,9,FALSE),"")))</f>
        <v/>
      </c>
      <c r="T913" s="88" t="str">
        <f t="shared" si="14"/>
        <v/>
      </c>
      <c r="U913" s="88" t="str">
        <f>IF($F913="","",IF($E913="",T913,SUMIF(Sales!$E$7:$E$1506,$E913,Sales!$T$7:$T$1506)))</f>
        <v/>
      </c>
      <c r="V913" s="49" t="str">
        <f t="shared" si="15"/>
        <v/>
      </c>
      <c r="W913" s="49" t="str">
        <f t="array" ref="W913">IF($V913="","",SUMPRODUCT((Sales!$V$7:$V$1506&lt;&gt;"")*(Sales!$E$7:$E$1506&lt;$E913))+1)</f>
        <v/>
      </c>
      <c r="X913" s="49" t="str">
        <f t="shared" si="16"/>
        <v/>
      </c>
      <c r="Y913" s="49" t="str">
        <f t="shared" si="17"/>
        <v/>
      </c>
    </row>
    <row r="914" ht="15.75" customHeight="1">
      <c r="A914" s="82"/>
      <c r="B914" s="83"/>
      <c r="C914" s="83"/>
      <c r="D914" s="83"/>
      <c r="E914" s="83"/>
      <c r="F914" s="83"/>
      <c r="G914" s="83" t="str">
        <f>IF($F914="","",IFERROR(VLOOKUP($F914,Inventory!$A:$B,2,FALSE),""))</f>
        <v/>
      </c>
      <c r="H914" s="83"/>
      <c r="I914" s="84" t="str">
        <f t="shared" si="2"/>
        <v/>
      </c>
      <c r="J914" s="85" t="str">
        <f>IF($F914="","",IFERROR(VLOOKUP($F914,Inventory!$A:$K,11,FALSE),0))</f>
        <v/>
      </c>
      <c r="K914" s="85"/>
      <c r="L914" s="85" t="str">
        <f t="shared" si="12"/>
        <v/>
      </c>
      <c r="M914" s="83"/>
      <c r="N914" s="85" t="str">
        <f>IF($F914="","",IFERROR(VLOOKUP($F914,Inventory!$A:$I,9,FALSE),0))</f>
        <v/>
      </c>
      <c r="O914" s="85" t="str">
        <f t="shared" si="13"/>
        <v/>
      </c>
      <c r="P914" s="85" t="str">
        <f t="shared" si="5"/>
        <v/>
      </c>
      <c r="Q914" s="83"/>
      <c r="R914" s="118" t="str">
        <f>IF($E914="","",IF(COUNTIF($E$7:$E2111,$E914)&gt;1,"",IFERROR(VLOOKUP($E914,Orders!$A:$I,8,FALSE),"")))</f>
        <v/>
      </c>
      <c r="S914" s="118" t="str">
        <f>IF($E914="","",IF(COUNTIF($E$7:$E2111,$E914)&gt;1,"",IFERROR(VLOOKUP($E914,Orders!$A:$I,9,FALSE),"")))</f>
        <v/>
      </c>
      <c r="T914" s="88" t="str">
        <f t="shared" si="14"/>
        <v/>
      </c>
      <c r="U914" s="88" t="str">
        <f>IF($F914="","",IF($E914="",T914,SUMIF(Sales!$E$7:$E$1506,$E914,Sales!$T$7:$T$1506)))</f>
        <v/>
      </c>
      <c r="V914" s="49" t="str">
        <f t="shared" si="15"/>
        <v/>
      </c>
      <c r="W914" s="49" t="str">
        <f t="array" ref="W914">IF($V914="","",SUMPRODUCT((Sales!$V$7:$V$1506&lt;&gt;"")*(Sales!$E$7:$E$1506&lt;$E914))+1)</f>
        <v/>
      </c>
      <c r="X914" s="49" t="str">
        <f t="shared" si="16"/>
        <v/>
      </c>
      <c r="Y914" s="49" t="str">
        <f t="shared" si="17"/>
        <v/>
      </c>
    </row>
    <row r="915" ht="15.75" customHeight="1">
      <c r="A915" s="82"/>
      <c r="B915" s="83"/>
      <c r="C915" s="83"/>
      <c r="D915" s="83"/>
      <c r="E915" s="83"/>
      <c r="F915" s="83"/>
      <c r="G915" s="83" t="str">
        <f>IF($F915="","",IFERROR(VLOOKUP($F915,Inventory!$A:$B,2,FALSE),""))</f>
        <v/>
      </c>
      <c r="H915" s="83"/>
      <c r="I915" s="84" t="str">
        <f t="shared" si="2"/>
        <v/>
      </c>
      <c r="J915" s="85" t="str">
        <f>IF($F915="","",IFERROR(VLOOKUP($F915,Inventory!$A:$K,11,FALSE),0))</f>
        <v/>
      </c>
      <c r="K915" s="85"/>
      <c r="L915" s="85" t="str">
        <f t="shared" si="12"/>
        <v/>
      </c>
      <c r="M915" s="83"/>
      <c r="N915" s="85" t="str">
        <f>IF($F915="","",IFERROR(VLOOKUP($F915,Inventory!$A:$I,9,FALSE),0))</f>
        <v/>
      </c>
      <c r="O915" s="85" t="str">
        <f t="shared" si="13"/>
        <v/>
      </c>
      <c r="P915" s="85" t="str">
        <f t="shared" si="5"/>
        <v/>
      </c>
      <c r="Q915" s="83"/>
      <c r="R915" s="118" t="str">
        <f>IF($E915="","",IF(COUNTIF($E$7:$E2112,$E915)&gt;1,"",IFERROR(VLOOKUP($E915,Orders!$A:$I,8,FALSE),"")))</f>
        <v/>
      </c>
      <c r="S915" s="118" t="str">
        <f>IF($E915="","",IF(COUNTIF($E$7:$E2112,$E915)&gt;1,"",IFERROR(VLOOKUP($E915,Orders!$A:$I,9,FALSE),"")))</f>
        <v/>
      </c>
      <c r="T915" s="88" t="str">
        <f t="shared" si="14"/>
        <v/>
      </c>
      <c r="U915" s="88" t="str">
        <f>IF($F915="","",IF($E915="",T915,SUMIF(Sales!$E$7:$E$1506,$E915,Sales!$T$7:$T$1506)))</f>
        <v/>
      </c>
      <c r="V915" s="49" t="str">
        <f t="shared" si="15"/>
        <v/>
      </c>
      <c r="W915" s="49" t="str">
        <f t="array" ref="W915">IF($V915="","",SUMPRODUCT((Sales!$V$7:$V$1506&lt;&gt;"")*(Sales!$E$7:$E$1506&lt;$E915))+1)</f>
        <v/>
      </c>
      <c r="X915" s="49" t="str">
        <f t="shared" si="16"/>
        <v/>
      </c>
      <c r="Y915" s="49" t="str">
        <f t="shared" si="17"/>
        <v/>
      </c>
    </row>
    <row r="916" ht="15.75" customHeight="1">
      <c r="A916" s="82"/>
      <c r="B916" s="83"/>
      <c r="C916" s="83"/>
      <c r="D916" s="83"/>
      <c r="E916" s="83"/>
      <c r="F916" s="83"/>
      <c r="G916" s="83" t="str">
        <f>IF($F916="","",IFERROR(VLOOKUP($F916,Inventory!$A:$B,2,FALSE),""))</f>
        <v/>
      </c>
      <c r="H916" s="83"/>
      <c r="I916" s="84" t="str">
        <f t="shared" si="2"/>
        <v/>
      </c>
      <c r="J916" s="85" t="str">
        <f>IF($F916="","",IFERROR(VLOOKUP($F916,Inventory!$A:$K,11,FALSE),0))</f>
        <v/>
      </c>
      <c r="K916" s="85"/>
      <c r="L916" s="85" t="str">
        <f t="shared" si="12"/>
        <v/>
      </c>
      <c r="M916" s="83"/>
      <c r="N916" s="85" t="str">
        <f>IF($F916="","",IFERROR(VLOOKUP($F916,Inventory!$A:$I,9,FALSE),0))</f>
        <v/>
      </c>
      <c r="O916" s="85" t="str">
        <f t="shared" si="13"/>
        <v/>
      </c>
      <c r="P916" s="85" t="str">
        <f t="shared" si="5"/>
        <v/>
      </c>
      <c r="Q916" s="83"/>
      <c r="R916" s="118" t="str">
        <f>IF($E916="","",IF(COUNTIF($E$7:$E2113,$E916)&gt;1,"",IFERROR(VLOOKUP($E916,Orders!$A:$I,8,FALSE),"")))</f>
        <v/>
      </c>
      <c r="S916" s="118" t="str">
        <f>IF($E916="","",IF(COUNTIF($E$7:$E2113,$E916)&gt;1,"",IFERROR(VLOOKUP($E916,Orders!$A:$I,9,FALSE),"")))</f>
        <v/>
      </c>
      <c r="T916" s="88" t="str">
        <f t="shared" si="14"/>
        <v/>
      </c>
      <c r="U916" s="88" t="str">
        <f>IF($F916="","",IF($E916="",T916,SUMIF(Sales!$E$7:$E$1506,$E916,Sales!$T$7:$T$1506)))</f>
        <v/>
      </c>
      <c r="V916" s="49" t="str">
        <f t="shared" si="15"/>
        <v/>
      </c>
      <c r="W916" s="49" t="str">
        <f t="array" ref="W916">IF($V916="","",SUMPRODUCT((Sales!$V$7:$V$1506&lt;&gt;"")*(Sales!$E$7:$E$1506&lt;$E916))+1)</f>
        <v/>
      </c>
      <c r="X916" s="49" t="str">
        <f t="shared" si="16"/>
        <v/>
      </c>
      <c r="Y916" s="49" t="str">
        <f t="shared" si="17"/>
        <v/>
      </c>
    </row>
    <row r="917" ht="15.75" customHeight="1">
      <c r="A917" s="82"/>
      <c r="B917" s="83"/>
      <c r="C917" s="83"/>
      <c r="D917" s="83"/>
      <c r="E917" s="83"/>
      <c r="F917" s="83"/>
      <c r="G917" s="83" t="str">
        <f>IF($F917="","",IFERROR(VLOOKUP($F917,Inventory!$A:$B,2,FALSE),""))</f>
        <v/>
      </c>
      <c r="H917" s="83"/>
      <c r="I917" s="84" t="str">
        <f t="shared" si="2"/>
        <v/>
      </c>
      <c r="J917" s="85" t="str">
        <f>IF($F917="","",IFERROR(VLOOKUP($F917,Inventory!$A:$K,11,FALSE),0))</f>
        <v/>
      </c>
      <c r="K917" s="85"/>
      <c r="L917" s="85" t="str">
        <f t="shared" si="12"/>
        <v/>
      </c>
      <c r="M917" s="83"/>
      <c r="N917" s="85" t="str">
        <f>IF($F917="","",IFERROR(VLOOKUP($F917,Inventory!$A:$I,9,FALSE),0))</f>
        <v/>
      </c>
      <c r="O917" s="85" t="str">
        <f t="shared" si="13"/>
        <v/>
      </c>
      <c r="P917" s="85" t="str">
        <f t="shared" si="5"/>
        <v/>
      </c>
      <c r="Q917" s="83"/>
      <c r="R917" s="118" t="str">
        <f>IF($E917="","",IF(COUNTIF($E$7:$E2114,$E917)&gt;1,"",IFERROR(VLOOKUP($E917,Orders!$A:$I,8,FALSE),"")))</f>
        <v/>
      </c>
      <c r="S917" s="118" t="str">
        <f>IF($E917="","",IF(COUNTIF($E$7:$E2114,$E917)&gt;1,"",IFERROR(VLOOKUP($E917,Orders!$A:$I,9,FALSE),"")))</f>
        <v/>
      </c>
      <c r="T917" s="88" t="str">
        <f t="shared" si="14"/>
        <v/>
      </c>
      <c r="U917" s="88" t="str">
        <f>IF($F917="","",IF($E917="",T917,SUMIF(Sales!$E$7:$E$1506,$E917,Sales!$T$7:$T$1506)))</f>
        <v/>
      </c>
      <c r="V917" s="49" t="str">
        <f t="shared" si="15"/>
        <v/>
      </c>
      <c r="W917" s="49" t="str">
        <f t="array" ref="W917">IF($V917="","",SUMPRODUCT((Sales!$V$7:$V$1506&lt;&gt;"")*(Sales!$E$7:$E$1506&lt;$E917))+1)</f>
        <v/>
      </c>
      <c r="X917" s="49" t="str">
        <f t="shared" si="16"/>
        <v/>
      </c>
      <c r="Y917" s="49" t="str">
        <f t="shared" si="17"/>
        <v/>
      </c>
    </row>
    <row r="918" ht="15.75" customHeight="1">
      <c r="A918" s="82"/>
      <c r="B918" s="83"/>
      <c r="C918" s="83"/>
      <c r="D918" s="83"/>
      <c r="E918" s="83"/>
      <c r="F918" s="83"/>
      <c r="G918" s="83" t="str">
        <f>IF($F918="","",IFERROR(VLOOKUP($F918,Inventory!$A:$B,2,FALSE),""))</f>
        <v/>
      </c>
      <c r="H918" s="83"/>
      <c r="I918" s="84" t="str">
        <f t="shared" si="2"/>
        <v/>
      </c>
      <c r="J918" s="85" t="str">
        <f>IF($F918="","",IFERROR(VLOOKUP($F918,Inventory!$A:$K,11,FALSE),0))</f>
        <v/>
      </c>
      <c r="K918" s="85"/>
      <c r="L918" s="85" t="str">
        <f t="shared" si="12"/>
        <v/>
      </c>
      <c r="M918" s="83"/>
      <c r="N918" s="85" t="str">
        <f>IF($F918="","",IFERROR(VLOOKUP($F918,Inventory!$A:$I,9,FALSE),0))</f>
        <v/>
      </c>
      <c r="O918" s="85" t="str">
        <f t="shared" si="13"/>
        <v/>
      </c>
      <c r="P918" s="85" t="str">
        <f t="shared" si="5"/>
        <v/>
      </c>
      <c r="Q918" s="83"/>
      <c r="R918" s="118" t="str">
        <f>IF($E918="","",IF(COUNTIF($E$7:$E2115,$E918)&gt;1,"",IFERROR(VLOOKUP($E918,Orders!$A:$I,8,FALSE),"")))</f>
        <v/>
      </c>
      <c r="S918" s="118" t="str">
        <f>IF($E918="","",IF(COUNTIF($E$7:$E2115,$E918)&gt;1,"",IFERROR(VLOOKUP($E918,Orders!$A:$I,9,FALSE),"")))</f>
        <v/>
      </c>
      <c r="T918" s="88" t="str">
        <f t="shared" si="14"/>
        <v/>
      </c>
      <c r="U918" s="88" t="str">
        <f>IF($F918="","",IF($E918="",T918,SUMIF(Sales!$E$7:$E$1506,$E918,Sales!$T$7:$T$1506)))</f>
        <v/>
      </c>
      <c r="V918" s="49" t="str">
        <f t="shared" si="15"/>
        <v/>
      </c>
      <c r="W918" s="49" t="str">
        <f t="array" ref="W918">IF($V918="","",SUMPRODUCT((Sales!$V$7:$V$1506&lt;&gt;"")*(Sales!$E$7:$E$1506&lt;$E918))+1)</f>
        <v/>
      </c>
      <c r="X918" s="49" t="str">
        <f t="shared" si="16"/>
        <v/>
      </c>
      <c r="Y918" s="49" t="str">
        <f t="shared" si="17"/>
        <v/>
      </c>
    </row>
    <row r="919" ht="15.75" customHeight="1">
      <c r="A919" s="82"/>
      <c r="B919" s="83"/>
      <c r="C919" s="83"/>
      <c r="D919" s="83"/>
      <c r="E919" s="83"/>
      <c r="F919" s="83"/>
      <c r="G919" s="83" t="str">
        <f>IF($F919="","",IFERROR(VLOOKUP($F919,Inventory!$A:$B,2,FALSE),""))</f>
        <v/>
      </c>
      <c r="H919" s="83"/>
      <c r="I919" s="84" t="str">
        <f t="shared" si="2"/>
        <v/>
      </c>
      <c r="J919" s="85" t="str">
        <f>IF($F919="","",IFERROR(VLOOKUP($F919,Inventory!$A:$K,11,FALSE),0))</f>
        <v/>
      </c>
      <c r="K919" s="85"/>
      <c r="L919" s="85" t="str">
        <f t="shared" si="12"/>
        <v/>
      </c>
      <c r="M919" s="83"/>
      <c r="N919" s="85" t="str">
        <f>IF($F919="","",IFERROR(VLOOKUP($F919,Inventory!$A:$I,9,FALSE),0))</f>
        <v/>
      </c>
      <c r="O919" s="85" t="str">
        <f t="shared" si="13"/>
        <v/>
      </c>
      <c r="P919" s="85" t="str">
        <f t="shared" si="5"/>
        <v/>
      </c>
      <c r="Q919" s="83"/>
      <c r="R919" s="118" t="str">
        <f>IF($E919="","",IF(COUNTIF($E$7:$E2116,$E919)&gt;1,"",IFERROR(VLOOKUP($E919,Orders!$A:$I,8,FALSE),"")))</f>
        <v/>
      </c>
      <c r="S919" s="118" t="str">
        <f>IF($E919="","",IF(COUNTIF($E$7:$E2116,$E919)&gt;1,"",IFERROR(VLOOKUP($E919,Orders!$A:$I,9,FALSE),"")))</f>
        <v/>
      </c>
      <c r="T919" s="88" t="str">
        <f t="shared" si="14"/>
        <v/>
      </c>
      <c r="U919" s="88" t="str">
        <f>IF($F919="","",IF($E919="",T919,SUMIF(Sales!$E$7:$E$1506,$E919,Sales!$T$7:$T$1506)))</f>
        <v/>
      </c>
      <c r="V919" s="49" t="str">
        <f t="shared" si="15"/>
        <v/>
      </c>
      <c r="W919" s="49" t="str">
        <f t="array" ref="W919">IF($V919="","",SUMPRODUCT((Sales!$V$7:$V$1506&lt;&gt;"")*(Sales!$E$7:$E$1506&lt;$E919))+1)</f>
        <v/>
      </c>
      <c r="X919" s="49" t="str">
        <f t="shared" si="16"/>
        <v/>
      </c>
      <c r="Y919" s="49" t="str">
        <f t="shared" si="17"/>
        <v/>
      </c>
    </row>
    <row r="920" ht="15.75" customHeight="1">
      <c r="A920" s="82"/>
      <c r="B920" s="83"/>
      <c r="C920" s="83"/>
      <c r="D920" s="83"/>
      <c r="E920" s="83"/>
      <c r="F920" s="83"/>
      <c r="G920" s="83" t="str">
        <f>IF($F920="","",IFERROR(VLOOKUP($F920,Inventory!$A:$B,2,FALSE),""))</f>
        <v/>
      </c>
      <c r="H920" s="83"/>
      <c r="I920" s="84" t="str">
        <f t="shared" si="2"/>
        <v/>
      </c>
      <c r="J920" s="85" t="str">
        <f>IF($F920="","",IFERROR(VLOOKUP($F920,Inventory!$A:$K,11,FALSE),0))</f>
        <v/>
      </c>
      <c r="K920" s="85"/>
      <c r="L920" s="85" t="str">
        <f t="shared" si="12"/>
        <v/>
      </c>
      <c r="M920" s="83"/>
      <c r="N920" s="85" t="str">
        <f>IF($F920="","",IFERROR(VLOOKUP($F920,Inventory!$A:$I,9,FALSE),0))</f>
        <v/>
      </c>
      <c r="O920" s="85" t="str">
        <f t="shared" si="13"/>
        <v/>
      </c>
      <c r="P920" s="85" t="str">
        <f t="shared" si="5"/>
        <v/>
      </c>
      <c r="Q920" s="83"/>
      <c r="R920" s="118" t="str">
        <f>IF($E920="","",IF(COUNTIF($E$7:$E2117,$E920)&gt;1,"",IFERROR(VLOOKUP($E920,Orders!$A:$I,8,FALSE),"")))</f>
        <v/>
      </c>
      <c r="S920" s="118" t="str">
        <f>IF($E920="","",IF(COUNTIF($E$7:$E2117,$E920)&gt;1,"",IFERROR(VLOOKUP($E920,Orders!$A:$I,9,FALSE),"")))</f>
        <v/>
      </c>
      <c r="T920" s="88" t="str">
        <f t="shared" si="14"/>
        <v/>
      </c>
      <c r="U920" s="88" t="str">
        <f>IF($F920="","",IF($E920="",T920,SUMIF(Sales!$E$7:$E$1506,$E920,Sales!$T$7:$T$1506)))</f>
        <v/>
      </c>
      <c r="V920" s="49" t="str">
        <f t="shared" si="15"/>
        <v/>
      </c>
      <c r="W920" s="49" t="str">
        <f t="array" ref="W920">IF($V920="","",SUMPRODUCT((Sales!$V$7:$V$1506&lt;&gt;"")*(Sales!$E$7:$E$1506&lt;$E920))+1)</f>
        <v/>
      </c>
      <c r="X920" s="49" t="str">
        <f t="shared" si="16"/>
        <v/>
      </c>
      <c r="Y920" s="49" t="str">
        <f t="shared" si="17"/>
        <v/>
      </c>
    </row>
    <row r="921" ht="15.75" customHeight="1">
      <c r="A921" s="82"/>
      <c r="B921" s="83"/>
      <c r="C921" s="83"/>
      <c r="D921" s="83"/>
      <c r="E921" s="83"/>
      <c r="F921" s="83"/>
      <c r="G921" s="83" t="str">
        <f>IF($F921="","",IFERROR(VLOOKUP($F921,Inventory!$A:$B,2,FALSE),""))</f>
        <v/>
      </c>
      <c r="H921" s="83"/>
      <c r="I921" s="84" t="str">
        <f t="shared" si="2"/>
        <v/>
      </c>
      <c r="J921" s="85" t="str">
        <f>IF($F921="","",IFERROR(VLOOKUP($F921,Inventory!$A:$K,11,FALSE),0))</f>
        <v/>
      </c>
      <c r="K921" s="85"/>
      <c r="L921" s="85" t="str">
        <f t="shared" si="12"/>
        <v/>
      </c>
      <c r="M921" s="83"/>
      <c r="N921" s="85" t="str">
        <f>IF($F921="","",IFERROR(VLOOKUP($F921,Inventory!$A:$I,9,FALSE),0))</f>
        <v/>
      </c>
      <c r="O921" s="85" t="str">
        <f t="shared" si="13"/>
        <v/>
      </c>
      <c r="P921" s="85" t="str">
        <f t="shared" si="5"/>
        <v/>
      </c>
      <c r="Q921" s="83"/>
      <c r="R921" s="118" t="str">
        <f>IF($E921="","",IF(COUNTIF($E$7:$E2118,$E921)&gt;1,"",IFERROR(VLOOKUP($E921,Orders!$A:$I,8,FALSE),"")))</f>
        <v/>
      </c>
      <c r="S921" s="118" t="str">
        <f>IF($E921="","",IF(COUNTIF($E$7:$E2118,$E921)&gt;1,"",IFERROR(VLOOKUP($E921,Orders!$A:$I,9,FALSE),"")))</f>
        <v/>
      </c>
      <c r="T921" s="88" t="str">
        <f t="shared" si="14"/>
        <v/>
      </c>
      <c r="U921" s="88" t="str">
        <f>IF($F921="","",IF($E921="",T921,SUMIF(Sales!$E$7:$E$1506,$E921,Sales!$T$7:$T$1506)))</f>
        <v/>
      </c>
      <c r="V921" s="49" t="str">
        <f t="shared" si="15"/>
        <v/>
      </c>
      <c r="W921" s="49" t="str">
        <f t="array" ref="W921">IF($V921="","",SUMPRODUCT((Sales!$V$7:$V$1506&lt;&gt;"")*(Sales!$E$7:$E$1506&lt;$E921))+1)</f>
        <v/>
      </c>
      <c r="X921" s="49" t="str">
        <f t="shared" si="16"/>
        <v/>
      </c>
      <c r="Y921" s="49" t="str">
        <f t="shared" si="17"/>
        <v/>
      </c>
    </row>
    <row r="922" ht="15.75" customHeight="1">
      <c r="A922" s="82"/>
      <c r="B922" s="83"/>
      <c r="C922" s="83"/>
      <c r="D922" s="83"/>
      <c r="E922" s="83"/>
      <c r="F922" s="83"/>
      <c r="G922" s="83" t="str">
        <f>IF($F922="","",IFERROR(VLOOKUP($F922,Inventory!$A:$B,2,FALSE),""))</f>
        <v/>
      </c>
      <c r="H922" s="83"/>
      <c r="I922" s="84" t="str">
        <f t="shared" si="2"/>
        <v/>
      </c>
      <c r="J922" s="85" t="str">
        <f>IF($F922="","",IFERROR(VLOOKUP($F922,Inventory!$A:$K,11,FALSE),0))</f>
        <v/>
      </c>
      <c r="K922" s="85"/>
      <c r="L922" s="85" t="str">
        <f t="shared" si="12"/>
        <v/>
      </c>
      <c r="M922" s="83"/>
      <c r="N922" s="85" t="str">
        <f>IF($F922="","",IFERROR(VLOOKUP($F922,Inventory!$A:$I,9,FALSE),0))</f>
        <v/>
      </c>
      <c r="O922" s="85" t="str">
        <f t="shared" si="13"/>
        <v/>
      </c>
      <c r="P922" s="85" t="str">
        <f t="shared" si="5"/>
        <v/>
      </c>
      <c r="Q922" s="83"/>
      <c r="R922" s="118" t="str">
        <f>IF($E922="","",IF(COUNTIF($E$7:$E2119,$E922)&gt;1,"",IFERROR(VLOOKUP($E922,Orders!$A:$I,8,FALSE),"")))</f>
        <v/>
      </c>
      <c r="S922" s="118" t="str">
        <f>IF($E922="","",IF(COUNTIF($E$7:$E2119,$E922)&gt;1,"",IFERROR(VLOOKUP($E922,Orders!$A:$I,9,FALSE),"")))</f>
        <v/>
      </c>
      <c r="T922" s="88" t="str">
        <f t="shared" si="14"/>
        <v/>
      </c>
      <c r="U922" s="88" t="str">
        <f>IF($F922="","",IF($E922="",T922,SUMIF(Sales!$E$7:$E$1506,$E922,Sales!$T$7:$T$1506)))</f>
        <v/>
      </c>
      <c r="V922" s="49" t="str">
        <f t="shared" si="15"/>
        <v/>
      </c>
      <c r="W922" s="49" t="str">
        <f t="array" ref="W922">IF($V922="","",SUMPRODUCT((Sales!$V$7:$V$1506&lt;&gt;"")*(Sales!$E$7:$E$1506&lt;$E922))+1)</f>
        <v/>
      </c>
      <c r="X922" s="49" t="str">
        <f t="shared" si="16"/>
        <v/>
      </c>
      <c r="Y922" s="49" t="str">
        <f t="shared" si="17"/>
        <v/>
      </c>
    </row>
    <row r="923" ht="15.75" customHeight="1">
      <c r="A923" s="82"/>
      <c r="B923" s="83"/>
      <c r="C923" s="83"/>
      <c r="D923" s="83"/>
      <c r="E923" s="83"/>
      <c r="F923" s="83"/>
      <c r="G923" s="83" t="str">
        <f>IF($F923="","",IFERROR(VLOOKUP($F923,Inventory!$A:$B,2,FALSE),""))</f>
        <v/>
      </c>
      <c r="H923" s="83"/>
      <c r="I923" s="84" t="str">
        <f t="shared" si="2"/>
        <v/>
      </c>
      <c r="J923" s="85" t="str">
        <f>IF($F923="","",IFERROR(VLOOKUP($F923,Inventory!$A:$K,11,FALSE),0))</f>
        <v/>
      </c>
      <c r="K923" s="85"/>
      <c r="L923" s="85" t="str">
        <f t="shared" si="12"/>
        <v/>
      </c>
      <c r="M923" s="83"/>
      <c r="N923" s="85" t="str">
        <f>IF($F923="","",IFERROR(VLOOKUP($F923,Inventory!$A:$I,9,FALSE),0))</f>
        <v/>
      </c>
      <c r="O923" s="85" t="str">
        <f t="shared" si="13"/>
        <v/>
      </c>
      <c r="P923" s="85" t="str">
        <f t="shared" si="5"/>
        <v/>
      </c>
      <c r="Q923" s="83"/>
      <c r="R923" s="118" t="str">
        <f>IF($E923="","",IF(COUNTIF($E$7:$E2120,$E923)&gt;1,"",IFERROR(VLOOKUP($E923,Orders!$A:$I,8,FALSE),"")))</f>
        <v/>
      </c>
      <c r="S923" s="118" t="str">
        <f>IF($E923="","",IF(COUNTIF($E$7:$E2120,$E923)&gt;1,"",IFERROR(VLOOKUP($E923,Orders!$A:$I,9,FALSE),"")))</f>
        <v/>
      </c>
      <c r="T923" s="88" t="str">
        <f t="shared" si="14"/>
        <v/>
      </c>
      <c r="U923" s="88" t="str">
        <f>IF($F923="","",IF($E923="",T923,SUMIF(Sales!$E$7:$E$1506,$E923,Sales!$T$7:$T$1506)))</f>
        <v/>
      </c>
      <c r="V923" s="49" t="str">
        <f t="shared" si="15"/>
        <v/>
      </c>
      <c r="W923" s="49" t="str">
        <f t="array" ref="W923">IF($V923="","",SUMPRODUCT((Sales!$V$7:$V$1506&lt;&gt;"")*(Sales!$E$7:$E$1506&lt;$E923))+1)</f>
        <v/>
      </c>
      <c r="X923" s="49" t="str">
        <f t="shared" si="16"/>
        <v/>
      </c>
      <c r="Y923" s="49" t="str">
        <f t="shared" si="17"/>
        <v/>
      </c>
    </row>
    <row r="924" ht="15.75" customHeight="1">
      <c r="A924" s="82"/>
      <c r="B924" s="83"/>
      <c r="C924" s="83"/>
      <c r="D924" s="83"/>
      <c r="E924" s="83"/>
      <c r="F924" s="83"/>
      <c r="G924" s="83" t="str">
        <f>IF($F924="","",IFERROR(VLOOKUP($F924,Inventory!$A:$B,2,FALSE),""))</f>
        <v/>
      </c>
      <c r="H924" s="83"/>
      <c r="I924" s="84" t="str">
        <f t="shared" si="2"/>
        <v/>
      </c>
      <c r="J924" s="85" t="str">
        <f>IF($F924="","",IFERROR(VLOOKUP($F924,Inventory!$A:$K,11,FALSE),0))</f>
        <v/>
      </c>
      <c r="K924" s="85"/>
      <c r="L924" s="85" t="str">
        <f t="shared" si="12"/>
        <v/>
      </c>
      <c r="M924" s="83"/>
      <c r="N924" s="85" t="str">
        <f>IF($F924="","",IFERROR(VLOOKUP($F924,Inventory!$A:$I,9,FALSE),0))</f>
        <v/>
      </c>
      <c r="O924" s="85" t="str">
        <f t="shared" si="13"/>
        <v/>
      </c>
      <c r="P924" s="85" t="str">
        <f t="shared" si="5"/>
        <v/>
      </c>
      <c r="Q924" s="83"/>
      <c r="R924" s="118" t="str">
        <f>IF($E924="","",IF(COUNTIF($E$7:$E2121,$E924)&gt;1,"",IFERROR(VLOOKUP($E924,Orders!$A:$I,8,FALSE),"")))</f>
        <v/>
      </c>
      <c r="S924" s="118" t="str">
        <f>IF($E924="","",IF(COUNTIF($E$7:$E2121,$E924)&gt;1,"",IFERROR(VLOOKUP($E924,Orders!$A:$I,9,FALSE),"")))</f>
        <v/>
      </c>
      <c r="T924" s="88" t="str">
        <f t="shared" si="14"/>
        <v/>
      </c>
      <c r="U924" s="88" t="str">
        <f>IF($F924="","",IF($E924="",T924,SUMIF(Sales!$E$7:$E$1506,$E924,Sales!$T$7:$T$1506)))</f>
        <v/>
      </c>
      <c r="V924" s="49" t="str">
        <f t="shared" si="15"/>
        <v/>
      </c>
      <c r="W924" s="49" t="str">
        <f t="array" ref="W924">IF($V924="","",SUMPRODUCT((Sales!$V$7:$V$1506&lt;&gt;"")*(Sales!$E$7:$E$1506&lt;$E924))+1)</f>
        <v/>
      </c>
      <c r="X924" s="49" t="str">
        <f t="shared" si="16"/>
        <v/>
      </c>
      <c r="Y924" s="49" t="str">
        <f t="shared" si="17"/>
        <v/>
      </c>
    </row>
    <row r="925" ht="15.75" customHeight="1">
      <c r="A925" s="82"/>
      <c r="B925" s="83"/>
      <c r="C925" s="83"/>
      <c r="D925" s="83"/>
      <c r="E925" s="83"/>
      <c r="F925" s="83"/>
      <c r="G925" s="83" t="str">
        <f>IF($F925="","",IFERROR(VLOOKUP($F925,Inventory!$A:$B,2,FALSE),""))</f>
        <v/>
      </c>
      <c r="H925" s="83"/>
      <c r="I925" s="84" t="str">
        <f t="shared" si="2"/>
        <v/>
      </c>
      <c r="J925" s="85" t="str">
        <f>IF($F925="","",IFERROR(VLOOKUP($F925,Inventory!$A:$K,11,FALSE),0))</f>
        <v/>
      </c>
      <c r="K925" s="85"/>
      <c r="L925" s="85" t="str">
        <f t="shared" si="12"/>
        <v/>
      </c>
      <c r="M925" s="83"/>
      <c r="N925" s="85" t="str">
        <f>IF($F925="","",IFERROR(VLOOKUP($F925,Inventory!$A:$I,9,FALSE),0))</f>
        <v/>
      </c>
      <c r="O925" s="85" t="str">
        <f t="shared" si="13"/>
        <v/>
      </c>
      <c r="P925" s="85" t="str">
        <f t="shared" si="5"/>
        <v/>
      </c>
      <c r="Q925" s="83"/>
      <c r="R925" s="118" t="str">
        <f>IF($E925="","",IF(COUNTIF($E$7:$E2122,$E925)&gt;1,"",IFERROR(VLOOKUP($E925,Orders!$A:$I,8,FALSE),"")))</f>
        <v/>
      </c>
      <c r="S925" s="118" t="str">
        <f>IF($E925="","",IF(COUNTIF($E$7:$E2122,$E925)&gt;1,"",IFERROR(VLOOKUP($E925,Orders!$A:$I,9,FALSE),"")))</f>
        <v/>
      </c>
      <c r="T925" s="88" t="str">
        <f t="shared" si="14"/>
        <v/>
      </c>
      <c r="U925" s="88" t="str">
        <f>IF($F925="","",IF($E925="",T925,SUMIF(Sales!$E$7:$E$1506,$E925,Sales!$T$7:$T$1506)))</f>
        <v/>
      </c>
      <c r="V925" s="49" t="str">
        <f t="shared" si="15"/>
        <v/>
      </c>
      <c r="W925" s="49" t="str">
        <f t="array" ref="W925">IF($V925="","",SUMPRODUCT((Sales!$V$7:$V$1506&lt;&gt;"")*(Sales!$E$7:$E$1506&lt;$E925))+1)</f>
        <v/>
      </c>
      <c r="X925" s="49" t="str">
        <f t="shared" si="16"/>
        <v/>
      </c>
      <c r="Y925" s="49" t="str">
        <f t="shared" si="17"/>
        <v/>
      </c>
    </row>
    <row r="926" ht="15.75" customHeight="1">
      <c r="A926" s="82"/>
      <c r="B926" s="83"/>
      <c r="C926" s="83"/>
      <c r="D926" s="83"/>
      <c r="E926" s="83"/>
      <c r="F926" s="83"/>
      <c r="G926" s="83" t="str">
        <f>IF($F926="","",IFERROR(VLOOKUP($F926,Inventory!$A:$B,2,FALSE),""))</f>
        <v/>
      </c>
      <c r="H926" s="83"/>
      <c r="I926" s="84" t="str">
        <f t="shared" si="2"/>
        <v/>
      </c>
      <c r="J926" s="85" t="str">
        <f>IF($F926="","",IFERROR(VLOOKUP($F926,Inventory!$A:$K,11,FALSE),0))</f>
        <v/>
      </c>
      <c r="K926" s="85"/>
      <c r="L926" s="85" t="str">
        <f t="shared" si="12"/>
        <v/>
      </c>
      <c r="M926" s="83"/>
      <c r="N926" s="85" t="str">
        <f>IF($F926="","",IFERROR(VLOOKUP($F926,Inventory!$A:$I,9,FALSE),0))</f>
        <v/>
      </c>
      <c r="O926" s="85" t="str">
        <f t="shared" si="13"/>
        <v/>
      </c>
      <c r="P926" s="85" t="str">
        <f t="shared" si="5"/>
        <v/>
      </c>
      <c r="Q926" s="83"/>
      <c r="R926" s="118" t="str">
        <f>IF($E926="","",IF(COUNTIF($E$7:$E2123,$E926)&gt;1,"",IFERROR(VLOOKUP($E926,Orders!$A:$I,8,FALSE),"")))</f>
        <v/>
      </c>
      <c r="S926" s="118" t="str">
        <f>IF($E926="","",IF(COUNTIF($E$7:$E2123,$E926)&gt;1,"",IFERROR(VLOOKUP($E926,Orders!$A:$I,9,FALSE),"")))</f>
        <v/>
      </c>
      <c r="T926" s="88" t="str">
        <f t="shared" si="14"/>
        <v/>
      </c>
      <c r="U926" s="88" t="str">
        <f>IF($F926="","",IF($E926="",T926,SUMIF(Sales!$E$7:$E$1506,$E926,Sales!$T$7:$T$1506)))</f>
        <v/>
      </c>
      <c r="V926" s="49" t="str">
        <f t="shared" si="15"/>
        <v/>
      </c>
      <c r="W926" s="49" t="str">
        <f t="array" ref="W926">IF($V926="","",SUMPRODUCT((Sales!$V$7:$V$1506&lt;&gt;"")*(Sales!$E$7:$E$1506&lt;$E926))+1)</f>
        <v/>
      </c>
      <c r="X926" s="49" t="str">
        <f t="shared" si="16"/>
        <v/>
      </c>
      <c r="Y926" s="49" t="str">
        <f t="shared" si="17"/>
        <v/>
      </c>
    </row>
    <row r="927" ht="15.75" customHeight="1">
      <c r="A927" s="82"/>
      <c r="B927" s="83"/>
      <c r="C927" s="83"/>
      <c r="D927" s="83"/>
      <c r="E927" s="83"/>
      <c r="F927" s="83"/>
      <c r="G927" s="83" t="str">
        <f>IF($F927="","",IFERROR(VLOOKUP($F927,Inventory!$A:$B,2,FALSE),""))</f>
        <v/>
      </c>
      <c r="H927" s="83"/>
      <c r="I927" s="84" t="str">
        <f t="shared" si="2"/>
        <v/>
      </c>
      <c r="J927" s="85" t="str">
        <f>IF($F927="","",IFERROR(VLOOKUP($F927,Inventory!$A:$K,11,FALSE),0))</f>
        <v/>
      </c>
      <c r="K927" s="85"/>
      <c r="L927" s="85" t="str">
        <f t="shared" si="12"/>
        <v/>
      </c>
      <c r="M927" s="83"/>
      <c r="N927" s="85" t="str">
        <f>IF($F927="","",IFERROR(VLOOKUP($F927,Inventory!$A:$I,9,FALSE),0))</f>
        <v/>
      </c>
      <c r="O927" s="85" t="str">
        <f t="shared" si="13"/>
        <v/>
      </c>
      <c r="P927" s="85" t="str">
        <f t="shared" si="5"/>
        <v/>
      </c>
      <c r="Q927" s="83"/>
      <c r="R927" s="118" t="str">
        <f>IF($E927="","",IF(COUNTIF($E$7:$E2124,$E927)&gt;1,"",IFERROR(VLOOKUP($E927,Orders!$A:$I,8,FALSE),"")))</f>
        <v/>
      </c>
      <c r="S927" s="118" t="str">
        <f>IF($E927="","",IF(COUNTIF($E$7:$E2124,$E927)&gt;1,"",IFERROR(VLOOKUP($E927,Orders!$A:$I,9,FALSE),"")))</f>
        <v/>
      </c>
      <c r="T927" s="88" t="str">
        <f t="shared" si="14"/>
        <v/>
      </c>
      <c r="U927" s="88" t="str">
        <f>IF($F927="","",IF($E927="",T927,SUMIF(Sales!$E$7:$E$1506,$E927,Sales!$T$7:$T$1506)))</f>
        <v/>
      </c>
      <c r="V927" s="49" t="str">
        <f t="shared" si="15"/>
        <v/>
      </c>
      <c r="W927" s="49" t="str">
        <f t="array" ref="W927">IF($V927="","",SUMPRODUCT((Sales!$V$7:$V$1506&lt;&gt;"")*(Sales!$E$7:$E$1506&lt;$E927))+1)</f>
        <v/>
      </c>
      <c r="X927" s="49" t="str">
        <f t="shared" si="16"/>
        <v/>
      </c>
      <c r="Y927" s="49" t="str">
        <f t="shared" si="17"/>
        <v/>
      </c>
    </row>
    <row r="928" ht="15.75" customHeight="1">
      <c r="A928" s="82"/>
      <c r="B928" s="83"/>
      <c r="C928" s="83"/>
      <c r="D928" s="83"/>
      <c r="E928" s="83"/>
      <c r="F928" s="83"/>
      <c r="G928" s="83" t="str">
        <f>IF($F928="","",IFERROR(VLOOKUP($F928,Inventory!$A:$B,2,FALSE),""))</f>
        <v/>
      </c>
      <c r="H928" s="83"/>
      <c r="I928" s="84" t="str">
        <f t="shared" si="2"/>
        <v/>
      </c>
      <c r="J928" s="85" t="str">
        <f>IF($F928="","",IFERROR(VLOOKUP($F928,Inventory!$A:$K,11,FALSE),0))</f>
        <v/>
      </c>
      <c r="K928" s="85"/>
      <c r="L928" s="85" t="str">
        <f t="shared" si="12"/>
        <v/>
      </c>
      <c r="M928" s="83"/>
      <c r="N928" s="85" t="str">
        <f>IF($F928="","",IFERROR(VLOOKUP($F928,Inventory!$A:$I,9,FALSE),0))</f>
        <v/>
      </c>
      <c r="O928" s="85" t="str">
        <f t="shared" si="13"/>
        <v/>
      </c>
      <c r="P928" s="85" t="str">
        <f t="shared" si="5"/>
        <v/>
      </c>
      <c r="Q928" s="83"/>
      <c r="R928" s="118" t="str">
        <f>IF($E928="","",IF(COUNTIF($E$7:$E2125,$E928)&gt;1,"",IFERROR(VLOOKUP($E928,Orders!$A:$I,8,FALSE),"")))</f>
        <v/>
      </c>
      <c r="S928" s="118" t="str">
        <f>IF($E928="","",IF(COUNTIF($E$7:$E2125,$E928)&gt;1,"",IFERROR(VLOOKUP($E928,Orders!$A:$I,9,FALSE),"")))</f>
        <v/>
      </c>
      <c r="T928" s="88" t="str">
        <f t="shared" si="14"/>
        <v/>
      </c>
      <c r="U928" s="88" t="str">
        <f>IF($F928="","",IF($E928="",T928,SUMIF(Sales!$E$7:$E$1506,$E928,Sales!$T$7:$T$1506)))</f>
        <v/>
      </c>
      <c r="V928" s="49" t="str">
        <f t="shared" si="15"/>
        <v/>
      </c>
      <c r="W928" s="49" t="str">
        <f t="array" ref="W928">IF($V928="","",SUMPRODUCT((Sales!$V$7:$V$1506&lt;&gt;"")*(Sales!$E$7:$E$1506&lt;$E928))+1)</f>
        <v/>
      </c>
      <c r="X928" s="49" t="str">
        <f t="shared" si="16"/>
        <v/>
      </c>
      <c r="Y928" s="49" t="str">
        <f t="shared" si="17"/>
        <v/>
      </c>
    </row>
    <row r="929" ht="15.75" customHeight="1">
      <c r="A929" s="82"/>
      <c r="B929" s="83"/>
      <c r="C929" s="83"/>
      <c r="D929" s="83"/>
      <c r="E929" s="83"/>
      <c r="F929" s="83"/>
      <c r="G929" s="83" t="str">
        <f>IF($F929="","",IFERROR(VLOOKUP($F929,Inventory!$A:$B,2,FALSE),""))</f>
        <v/>
      </c>
      <c r="H929" s="83"/>
      <c r="I929" s="84" t="str">
        <f t="shared" si="2"/>
        <v/>
      </c>
      <c r="J929" s="85" t="str">
        <f>IF($F929="","",IFERROR(VLOOKUP($F929,Inventory!$A:$K,11,FALSE),0))</f>
        <v/>
      </c>
      <c r="K929" s="85"/>
      <c r="L929" s="85" t="str">
        <f t="shared" si="12"/>
        <v/>
      </c>
      <c r="M929" s="83"/>
      <c r="N929" s="85" t="str">
        <f>IF($F929="","",IFERROR(VLOOKUP($F929,Inventory!$A:$I,9,FALSE),0))</f>
        <v/>
      </c>
      <c r="O929" s="85" t="str">
        <f t="shared" si="13"/>
        <v/>
      </c>
      <c r="P929" s="85" t="str">
        <f t="shared" si="5"/>
        <v/>
      </c>
      <c r="Q929" s="83"/>
      <c r="R929" s="118" t="str">
        <f>IF($E929="","",IF(COUNTIF($E$7:$E2126,$E929)&gt;1,"",IFERROR(VLOOKUP($E929,Orders!$A:$I,8,FALSE),"")))</f>
        <v/>
      </c>
      <c r="S929" s="118" t="str">
        <f>IF($E929="","",IF(COUNTIF($E$7:$E2126,$E929)&gt;1,"",IFERROR(VLOOKUP($E929,Orders!$A:$I,9,FALSE),"")))</f>
        <v/>
      </c>
      <c r="T929" s="88" t="str">
        <f t="shared" si="14"/>
        <v/>
      </c>
      <c r="U929" s="88" t="str">
        <f>IF($F929="","",IF($E929="",T929,SUMIF(Sales!$E$7:$E$1506,$E929,Sales!$T$7:$T$1506)))</f>
        <v/>
      </c>
      <c r="V929" s="49" t="str">
        <f t="shared" si="15"/>
        <v/>
      </c>
      <c r="W929" s="49" t="str">
        <f t="array" ref="W929">IF($V929="","",SUMPRODUCT((Sales!$V$7:$V$1506&lt;&gt;"")*(Sales!$E$7:$E$1506&lt;$E929))+1)</f>
        <v/>
      </c>
      <c r="X929" s="49" t="str">
        <f t="shared" si="16"/>
        <v/>
      </c>
      <c r="Y929" s="49" t="str">
        <f t="shared" si="17"/>
        <v/>
      </c>
    </row>
    <row r="930" ht="15.75" customHeight="1">
      <c r="A930" s="82"/>
      <c r="B930" s="83"/>
      <c r="C930" s="83"/>
      <c r="D930" s="83"/>
      <c r="E930" s="83"/>
      <c r="F930" s="83"/>
      <c r="G930" s="83" t="str">
        <f>IF($F930="","",IFERROR(VLOOKUP($F930,Inventory!$A:$B,2,FALSE),""))</f>
        <v/>
      </c>
      <c r="H930" s="83"/>
      <c r="I930" s="84" t="str">
        <f t="shared" si="2"/>
        <v/>
      </c>
      <c r="J930" s="85" t="str">
        <f>IF($F930="","",IFERROR(VLOOKUP($F930,Inventory!$A:$K,11,FALSE),0))</f>
        <v/>
      </c>
      <c r="K930" s="85"/>
      <c r="L930" s="85" t="str">
        <f t="shared" si="12"/>
        <v/>
      </c>
      <c r="M930" s="83"/>
      <c r="N930" s="85" t="str">
        <f>IF($F930="","",IFERROR(VLOOKUP($F930,Inventory!$A:$I,9,FALSE),0))</f>
        <v/>
      </c>
      <c r="O930" s="85" t="str">
        <f t="shared" si="13"/>
        <v/>
      </c>
      <c r="P930" s="85" t="str">
        <f t="shared" si="5"/>
        <v/>
      </c>
      <c r="Q930" s="83"/>
      <c r="R930" s="118" t="str">
        <f>IF($E930="","",IF(COUNTIF($E$7:$E2127,$E930)&gt;1,"",IFERROR(VLOOKUP($E930,Orders!$A:$I,8,FALSE),"")))</f>
        <v/>
      </c>
      <c r="S930" s="118" t="str">
        <f>IF($E930="","",IF(COUNTIF($E$7:$E2127,$E930)&gt;1,"",IFERROR(VLOOKUP($E930,Orders!$A:$I,9,FALSE),"")))</f>
        <v/>
      </c>
      <c r="T930" s="88" t="str">
        <f t="shared" si="14"/>
        <v/>
      </c>
      <c r="U930" s="88" t="str">
        <f>IF($F930="","",IF($E930="",T930,SUMIF(Sales!$E$7:$E$1506,$E930,Sales!$T$7:$T$1506)))</f>
        <v/>
      </c>
      <c r="V930" s="49" t="str">
        <f t="shared" si="15"/>
        <v/>
      </c>
      <c r="W930" s="49" t="str">
        <f t="array" ref="W930">IF($V930="","",SUMPRODUCT((Sales!$V$7:$V$1506&lt;&gt;"")*(Sales!$E$7:$E$1506&lt;$E930))+1)</f>
        <v/>
      </c>
      <c r="X930" s="49" t="str">
        <f t="shared" si="16"/>
        <v/>
      </c>
      <c r="Y930" s="49" t="str">
        <f t="shared" si="17"/>
        <v/>
      </c>
    </row>
    <row r="931" ht="15.75" customHeight="1">
      <c r="A931" s="82"/>
      <c r="B931" s="83"/>
      <c r="C931" s="83"/>
      <c r="D931" s="83"/>
      <c r="E931" s="83"/>
      <c r="F931" s="83"/>
      <c r="G931" s="83" t="str">
        <f>IF($F931="","",IFERROR(VLOOKUP($F931,Inventory!$A:$B,2,FALSE),""))</f>
        <v/>
      </c>
      <c r="H931" s="83"/>
      <c r="I931" s="84" t="str">
        <f t="shared" si="2"/>
        <v/>
      </c>
      <c r="J931" s="85" t="str">
        <f>IF($F931="","",IFERROR(VLOOKUP($F931,Inventory!$A:$K,11,FALSE),0))</f>
        <v/>
      </c>
      <c r="K931" s="85"/>
      <c r="L931" s="85" t="str">
        <f t="shared" si="12"/>
        <v/>
      </c>
      <c r="M931" s="83"/>
      <c r="N931" s="85" t="str">
        <f>IF($F931="","",IFERROR(VLOOKUP($F931,Inventory!$A:$I,9,FALSE),0))</f>
        <v/>
      </c>
      <c r="O931" s="85" t="str">
        <f t="shared" si="13"/>
        <v/>
      </c>
      <c r="P931" s="85" t="str">
        <f t="shared" si="5"/>
        <v/>
      </c>
      <c r="Q931" s="83"/>
      <c r="R931" s="118" t="str">
        <f>IF($E931="","",IF(COUNTIF($E$7:$E2128,$E931)&gt;1,"",IFERROR(VLOOKUP($E931,Orders!$A:$I,8,FALSE),"")))</f>
        <v/>
      </c>
      <c r="S931" s="118" t="str">
        <f>IF($E931="","",IF(COUNTIF($E$7:$E2128,$E931)&gt;1,"",IFERROR(VLOOKUP($E931,Orders!$A:$I,9,FALSE),"")))</f>
        <v/>
      </c>
      <c r="T931" s="88" t="str">
        <f t="shared" si="14"/>
        <v/>
      </c>
      <c r="U931" s="88" t="str">
        <f>IF($F931="","",IF($E931="",T931,SUMIF(Sales!$E$7:$E$1506,$E931,Sales!$T$7:$T$1506)))</f>
        <v/>
      </c>
      <c r="V931" s="49" t="str">
        <f t="shared" si="15"/>
        <v/>
      </c>
      <c r="W931" s="49" t="str">
        <f t="array" ref="W931">IF($V931="","",SUMPRODUCT((Sales!$V$7:$V$1506&lt;&gt;"")*(Sales!$E$7:$E$1506&lt;$E931))+1)</f>
        <v/>
      </c>
      <c r="X931" s="49" t="str">
        <f t="shared" si="16"/>
        <v/>
      </c>
      <c r="Y931" s="49" t="str">
        <f t="shared" si="17"/>
        <v/>
      </c>
    </row>
    <row r="932" ht="15.75" customHeight="1">
      <c r="A932" s="82"/>
      <c r="B932" s="83"/>
      <c r="C932" s="83"/>
      <c r="D932" s="83"/>
      <c r="E932" s="83"/>
      <c r="F932" s="83"/>
      <c r="G932" s="83" t="str">
        <f>IF($F932="","",IFERROR(VLOOKUP($F932,Inventory!$A:$B,2,FALSE),""))</f>
        <v/>
      </c>
      <c r="H932" s="83"/>
      <c r="I932" s="84" t="str">
        <f t="shared" si="2"/>
        <v/>
      </c>
      <c r="J932" s="85" t="str">
        <f>IF($F932="","",IFERROR(VLOOKUP($F932,Inventory!$A:$K,11,FALSE),0))</f>
        <v/>
      </c>
      <c r="K932" s="85"/>
      <c r="L932" s="85" t="str">
        <f t="shared" si="12"/>
        <v/>
      </c>
      <c r="M932" s="83"/>
      <c r="N932" s="85" t="str">
        <f>IF($F932="","",IFERROR(VLOOKUP($F932,Inventory!$A:$I,9,FALSE),0))</f>
        <v/>
      </c>
      <c r="O932" s="85" t="str">
        <f t="shared" si="13"/>
        <v/>
      </c>
      <c r="P932" s="85" t="str">
        <f t="shared" si="5"/>
        <v/>
      </c>
      <c r="Q932" s="83"/>
      <c r="R932" s="118" t="str">
        <f>IF($E932="","",IF(COUNTIF($E$7:$E2129,$E932)&gt;1,"",IFERROR(VLOOKUP($E932,Orders!$A:$I,8,FALSE),"")))</f>
        <v/>
      </c>
      <c r="S932" s="118" t="str">
        <f>IF($E932="","",IF(COUNTIF($E$7:$E2129,$E932)&gt;1,"",IFERROR(VLOOKUP($E932,Orders!$A:$I,9,FALSE),"")))</f>
        <v/>
      </c>
      <c r="T932" s="88" t="str">
        <f t="shared" si="14"/>
        <v/>
      </c>
      <c r="U932" s="88" t="str">
        <f>IF($F932="","",IF($E932="",T932,SUMIF(Sales!$E$7:$E$1506,$E932,Sales!$T$7:$T$1506)))</f>
        <v/>
      </c>
      <c r="V932" s="49" t="str">
        <f t="shared" si="15"/>
        <v/>
      </c>
      <c r="W932" s="49" t="str">
        <f t="array" ref="W932">IF($V932="","",SUMPRODUCT((Sales!$V$7:$V$1506&lt;&gt;"")*(Sales!$E$7:$E$1506&lt;$E932))+1)</f>
        <v/>
      </c>
      <c r="X932" s="49" t="str">
        <f t="shared" si="16"/>
        <v/>
      </c>
      <c r="Y932" s="49" t="str">
        <f t="shared" si="17"/>
        <v/>
      </c>
    </row>
    <row r="933" ht="15.75" customHeight="1">
      <c r="A933" s="82"/>
      <c r="B933" s="83"/>
      <c r="C933" s="83"/>
      <c r="D933" s="83"/>
      <c r="E933" s="83"/>
      <c r="F933" s="83"/>
      <c r="G933" s="83" t="str">
        <f>IF($F933="","",IFERROR(VLOOKUP($F933,Inventory!$A:$B,2,FALSE),""))</f>
        <v/>
      </c>
      <c r="H933" s="83"/>
      <c r="I933" s="84" t="str">
        <f t="shared" si="2"/>
        <v/>
      </c>
      <c r="J933" s="85" t="str">
        <f>IF($F933="","",IFERROR(VLOOKUP($F933,Inventory!$A:$K,11,FALSE),0))</f>
        <v/>
      </c>
      <c r="K933" s="85"/>
      <c r="L933" s="85" t="str">
        <f t="shared" si="12"/>
        <v/>
      </c>
      <c r="M933" s="83"/>
      <c r="N933" s="85" t="str">
        <f>IF($F933="","",IFERROR(VLOOKUP($F933,Inventory!$A:$I,9,FALSE),0))</f>
        <v/>
      </c>
      <c r="O933" s="85" t="str">
        <f t="shared" si="13"/>
        <v/>
      </c>
      <c r="P933" s="85" t="str">
        <f t="shared" si="5"/>
        <v/>
      </c>
      <c r="Q933" s="83"/>
      <c r="R933" s="118" t="str">
        <f>IF($E933="","",IF(COUNTIF($E$7:$E2130,$E933)&gt;1,"",IFERROR(VLOOKUP($E933,Orders!$A:$I,8,FALSE),"")))</f>
        <v/>
      </c>
      <c r="S933" s="118" t="str">
        <f>IF($E933="","",IF(COUNTIF($E$7:$E2130,$E933)&gt;1,"",IFERROR(VLOOKUP($E933,Orders!$A:$I,9,FALSE),"")))</f>
        <v/>
      </c>
      <c r="T933" s="88" t="str">
        <f t="shared" si="14"/>
        <v/>
      </c>
      <c r="U933" s="88" t="str">
        <f>IF($F933="","",IF($E933="",T933,SUMIF(Sales!$E$7:$E$1506,$E933,Sales!$T$7:$T$1506)))</f>
        <v/>
      </c>
      <c r="V933" s="49" t="str">
        <f t="shared" si="15"/>
        <v/>
      </c>
      <c r="W933" s="49" t="str">
        <f t="array" ref="W933">IF($V933="","",SUMPRODUCT((Sales!$V$7:$V$1506&lt;&gt;"")*(Sales!$E$7:$E$1506&lt;$E933))+1)</f>
        <v/>
      </c>
      <c r="X933" s="49" t="str">
        <f t="shared" si="16"/>
        <v/>
      </c>
      <c r="Y933" s="49" t="str">
        <f t="shared" si="17"/>
        <v/>
      </c>
    </row>
    <row r="934" ht="15.75" customHeight="1">
      <c r="A934" s="82"/>
      <c r="B934" s="83"/>
      <c r="C934" s="83"/>
      <c r="D934" s="83"/>
      <c r="E934" s="83"/>
      <c r="F934" s="83"/>
      <c r="G934" s="83" t="str">
        <f>IF($F934="","",IFERROR(VLOOKUP($F934,Inventory!$A:$B,2,FALSE),""))</f>
        <v/>
      </c>
      <c r="H934" s="83"/>
      <c r="I934" s="84" t="str">
        <f t="shared" si="2"/>
        <v/>
      </c>
      <c r="J934" s="85" t="str">
        <f>IF($F934="","",IFERROR(VLOOKUP($F934,Inventory!$A:$K,11,FALSE),0))</f>
        <v/>
      </c>
      <c r="K934" s="85"/>
      <c r="L934" s="85" t="str">
        <f t="shared" si="12"/>
        <v/>
      </c>
      <c r="M934" s="83"/>
      <c r="N934" s="85" t="str">
        <f>IF($F934="","",IFERROR(VLOOKUP($F934,Inventory!$A:$I,9,FALSE),0))</f>
        <v/>
      </c>
      <c r="O934" s="85" t="str">
        <f t="shared" si="13"/>
        <v/>
      </c>
      <c r="P934" s="85" t="str">
        <f t="shared" si="5"/>
        <v/>
      </c>
      <c r="Q934" s="83"/>
      <c r="R934" s="118" t="str">
        <f>IF($E934="","",IF(COUNTIF($E$7:$E2131,$E934)&gt;1,"",IFERROR(VLOOKUP($E934,Orders!$A:$I,8,FALSE),"")))</f>
        <v/>
      </c>
      <c r="S934" s="118" t="str">
        <f>IF($E934="","",IF(COUNTIF($E$7:$E2131,$E934)&gt;1,"",IFERROR(VLOOKUP($E934,Orders!$A:$I,9,FALSE),"")))</f>
        <v/>
      </c>
      <c r="T934" s="88" t="str">
        <f t="shared" si="14"/>
        <v/>
      </c>
      <c r="U934" s="88" t="str">
        <f>IF($F934="","",IF($E934="",T934,SUMIF(Sales!$E$7:$E$1506,$E934,Sales!$T$7:$T$1506)))</f>
        <v/>
      </c>
      <c r="V934" s="49" t="str">
        <f t="shared" si="15"/>
        <v/>
      </c>
      <c r="W934" s="49" t="str">
        <f t="array" ref="W934">IF($V934="","",SUMPRODUCT((Sales!$V$7:$V$1506&lt;&gt;"")*(Sales!$E$7:$E$1506&lt;$E934))+1)</f>
        <v/>
      </c>
      <c r="X934" s="49" t="str">
        <f t="shared" si="16"/>
        <v/>
      </c>
      <c r="Y934" s="49" t="str">
        <f t="shared" si="17"/>
        <v/>
      </c>
    </row>
    <row r="935" ht="15.75" customHeight="1">
      <c r="A935" s="82"/>
      <c r="B935" s="83"/>
      <c r="C935" s="83"/>
      <c r="D935" s="83"/>
      <c r="E935" s="83"/>
      <c r="F935" s="83"/>
      <c r="G935" s="83" t="str">
        <f>IF($F935="","",IFERROR(VLOOKUP($F935,Inventory!$A:$B,2,FALSE),""))</f>
        <v/>
      </c>
      <c r="H935" s="83"/>
      <c r="I935" s="84" t="str">
        <f t="shared" si="2"/>
        <v/>
      </c>
      <c r="J935" s="85" t="str">
        <f>IF($F935="","",IFERROR(VLOOKUP($F935,Inventory!$A:$K,11,FALSE),0))</f>
        <v/>
      </c>
      <c r="K935" s="85"/>
      <c r="L935" s="85" t="str">
        <f t="shared" si="12"/>
        <v/>
      </c>
      <c r="M935" s="83"/>
      <c r="N935" s="85" t="str">
        <f>IF($F935="","",IFERROR(VLOOKUP($F935,Inventory!$A:$I,9,FALSE),0))</f>
        <v/>
      </c>
      <c r="O935" s="85" t="str">
        <f t="shared" si="13"/>
        <v/>
      </c>
      <c r="P935" s="85" t="str">
        <f t="shared" si="5"/>
        <v/>
      </c>
      <c r="Q935" s="83"/>
      <c r="R935" s="118" t="str">
        <f>IF($E935="","",IF(COUNTIF($E$7:$E2132,$E935)&gt;1,"",IFERROR(VLOOKUP($E935,Orders!$A:$I,8,FALSE),"")))</f>
        <v/>
      </c>
      <c r="S935" s="118" t="str">
        <f>IF($E935="","",IF(COUNTIF($E$7:$E2132,$E935)&gt;1,"",IFERROR(VLOOKUP($E935,Orders!$A:$I,9,FALSE),"")))</f>
        <v/>
      </c>
      <c r="T935" s="88" t="str">
        <f t="shared" si="14"/>
        <v/>
      </c>
      <c r="U935" s="88" t="str">
        <f>IF($F935="","",IF($E935="",T935,SUMIF(Sales!$E$7:$E$1506,$E935,Sales!$T$7:$T$1506)))</f>
        <v/>
      </c>
      <c r="V935" s="49" t="str">
        <f t="shared" si="15"/>
        <v/>
      </c>
      <c r="W935" s="49" t="str">
        <f t="array" ref="W935">IF($V935="","",SUMPRODUCT((Sales!$V$7:$V$1506&lt;&gt;"")*(Sales!$E$7:$E$1506&lt;$E935))+1)</f>
        <v/>
      </c>
      <c r="X935" s="49" t="str">
        <f t="shared" si="16"/>
        <v/>
      </c>
      <c r="Y935" s="49" t="str">
        <f t="shared" si="17"/>
        <v/>
      </c>
    </row>
    <row r="936" ht="15.75" customHeight="1">
      <c r="A936" s="82"/>
      <c r="B936" s="83"/>
      <c r="C936" s="83"/>
      <c r="D936" s="83"/>
      <c r="E936" s="83"/>
      <c r="F936" s="83"/>
      <c r="G936" s="83" t="str">
        <f>IF($F936="","",IFERROR(VLOOKUP($F936,Inventory!$A:$B,2,FALSE),""))</f>
        <v/>
      </c>
      <c r="H936" s="83"/>
      <c r="I936" s="84" t="str">
        <f t="shared" si="2"/>
        <v/>
      </c>
      <c r="J936" s="85" t="str">
        <f>IF($F936="","",IFERROR(VLOOKUP($F936,Inventory!$A:$K,11,FALSE),0))</f>
        <v/>
      </c>
      <c r="K936" s="85"/>
      <c r="L936" s="85" t="str">
        <f t="shared" si="12"/>
        <v/>
      </c>
      <c r="M936" s="83"/>
      <c r="N936" s="85" t="str">
        <f>IF($F936="","",IFERROR(VLOOKUP($F936,Inventory!$A:$I,9,FALSE),0))</f>
        <v/>
      </c>
      <c r="O936" s="85" t="str">
        <f t="shared" si="13"/>
        <v/>
      </c>
      <c r="P936" s="85" t="str">
        <f t="shared" si="5"/>
        <v/>
      </c>
      <c r="Q936" s="83"/>
      <c r="R936" s="118" t="str">
        <f>IF($E936="","",IF(COUNTIF($E$7:$E2133,$E936)&gt;1,"",IFERROR(VLOOKUP($E936,Orders!$A:$I,8,FALSE),"")))</f>
        <v/>
      </c>
      <c r="S936" s="118" t="str">
        <f>IF($E936="","",IF(COUNTIF($E$7:$E2133,$E936)&gt;1,"",IFERROR(VLOOKUP($E936,Orders!$A:$I,9,FALSE),"")))</f>
        <v/>
      </c>
      <c r="T936" s="88" t="str">
        <f t="shared" si="14"/>
        <v/>
      </c>
      <c r="U936" s="88" t="str">
        <f>IF($F936="","",IF($E936="",T936,SUMIF(Sales!$E$7:$E$1506,$E936,Sales!$T$7:$T$1506)))</f>
        <v/>
      </c>
      <c r="V936" s="49" t="str">
        <f t="shared" si="15"/>
        <v/>
      </c>
      <c r="W936" s="49" t="str">
        <f t="array" ref="W936">IF($V936="","",SUMPRODUCT((Sales!$V$7:$V$1506&lt;&gt;"")*(Sales!$E$7:$E$1506&lt;$E936))+1)</f>
        <v/>
      </c>
      <c r="X936" s="49" t="str">
        <f t="shared" si="16"/>
        <v/>
      </c>
      <c r="Y936" s="49" t="str">
        <f t="shared" si="17"/>
        <v/>
      </c>
    </row>
    <row r="937" ht="15.75" customHeight="1">
      <c r="A937" s="82"/>
      <c r="B937" s="83"/>
      <c r="C937" s="83"/>
      <c r="D937" s="83"/>
      <c r="E937" s="83"/>
      <c r="F937" s="83"/>
      <c r="G937" s="83" t="str">
        <f>IF($F937="","",IFERROR(VLOOKUP($F937,Inventory!$A:$B,2,FALSE),""))</f>
        <v/>
      </c>
      <c r="H937" s="83"/>
      <c r="I937" s="84" t="str">
        <f t="shared" si="2"/>
        <v/>
      </c>
      <c r="J937" s="85" t="str">
        <f>IF($F937="","",IFERROR(VLOOKUP($F937,Inventory!$A:$K,11,FALSE),0))</f>
        <v/>
      </c>
      <c r="K937" s="85"/>
      <c r="L937" s="85" t="str">
        <f t="shared" si="12"/>
        <v/>
      </c>
      <c r="M937" s="83"/>
      <c r="N937" s="85" t="str">
        <f>IF($F937="","",IFERROR(VLOOKUP($F937,Inventory!$A:$I,9,FALSE),0))</f>
        <v/>
      </c>
      <c r="O937" s="85" t="str">
        <f t="shared" si="13"/>
        <v/>
      </c>
      <c r="P937" s="85" t="str">
        <f t="shared" si="5"/>
        <v/>
      </c>
      <c r="Q937" s="83"/>
      <c r="R937" s="118" t="str">
        <f>IF($E937="","",IF(COUNTIF($E$7:$E2134,$E937)&gt;1,"",IFERROR(VLOOKUP($E937,Orders!$A:$I,8,FALSE),"")))</f>
        <v/>
      </c>
      <c r="S937" s="118" t="str">
        <f>IF($E937="","",IF(COUNTIF($E$7:$E2134,$E937)&gt;1,"",IFERROR(VLOOKUP($E937,Orders!$A:$I,9,FALSE),"")))</f>
        <v/>
      </c>
      <c r="T937" s="88" t="str">
        <f t="shared" si="14"/>
        <v/>
      </c>
      <c r="U937" s="88" t="str">
        <f>IF($F937="","",IF($E937="",T937,SUMIF(Sales!$E$7:$E$1506,$E937,Sales!$T$7:$T$1506)))</f>
        <v/>
      </c>
      <c r="V937" s="49" t="str">
        <f t="shared" si="15"/>
        <v/>
      </c>
      <c r="W937" s="49" t="str">
        <f t="array" ref="W937">IF($V937="","",SUMPRODUCT((Sales!$V$7:$V$1506&lt;&gt;"")*(Sales!$E$7:$E$1506&lt;$E937))+1)</f>
        <v/>
      </c>
      <c r="X937" s="49" t="str">
        <f t="shared" si="16"/>
        <v/>
      </c>
      <c r="Y937" s="49" t="str">
        <f t="shared" si="17"/>
        <v/>
      </c>
    </row>
    <row r="938" ht="15.75" customHeight="1">
      <c r="A938" s="82"/>
      <c r="B938" s="83"/>
      <c r="C938" s="83"/>
      <c r="D938" s="83"/>
      <c r="E938" s="83"/>
      <c r="F938" s="83"/>
      <c r="G938" s="83" t="str">
        <f>IF($F938="","",IFERROR(VLOOKUP($F938,Inventory!$A:$B,2,FALSE),""))</f>
        <v/>
      </c>
      <c r="H938" s="83"/>
      <c r="I938" s="84" t="str">
        <f t="shared" si="2"/>
        <v/>
      </c>
      <c r="J938" s="85" t="str">
        <f>IF($F938="","",IFERROR(VLOOKUP($F938,Inventory!$A:$K,11,FALSE),0))</f>
        <v/>
      </c>
      <c r="K938" s="85"/>
      <c r="L938" s="85" t="str">
        <f t="shared" si="12"/>
        <v/>
      </c>
      <c r="M938" s="83"/>
      <c r="N938" s="85" t="str">
        <f>IF($F938="","",IFERROR(VLOOKUP($F938,Inventory!$A:$I,9,FALSE),0))</f>
        <v/>
      </c>
      <c r="O938" s="85" t="str">
        <f t="shared" si="13"/>
        <v/>
      </c>
      <c r="P938" s="85" t="str">
        <f t="shared" si="5"/>
        <v/>
      </c>
      <c r="Q938" s="83"/>
      <c r="R938" s="118" t="str">
        <f>IF($E938="","",IF(COUNTIF($E$7:$E2135,$E938)&gt;1,"",IFERROR(VLOOKUP($E938,Orders!$A:$I,8,FALSE),"")))</f>
        <v/>
      </c>
      <c r="S938" s="118" t="str">
        <f>IF($E938="","",IF(COUNTIF($E$7:$E2135,$E938)&gt;1,"",IFERROR(VLOOKUP($E938,Orders!$A:$I,9,FALSE),"")))</f>
        <v/>
      </c>
      <c r="T938" s="88" t="str">
        <f t="shared" si="14"/>
        <v/>
      </c>
      <c r="U938" s="88" t="str">
        <f>IF($F938="","",IF($E938="",T938,SUMIF(Sales!$E$7:$E$1506,$E938,Sales!$T$7:$T$1506)))</f>
        <v/>
      </c>
      <c r="V938" s="49" t="str">
        <f t="shared" si="15"/>
        <v/>
      </c>
      <c r="W938" s="49" t="str">
        <f t="array" ref="W938">IF($V938="","",SUMPRODUCT((Sales!$V$7:$V$1506&lt;&gt;"")*(Sales!$E$7:$E$1506&lt;$E938))+1)</f>
        <v/>
      </c>
      <c r="X938" s="49" t="str">
        <f t="shared" si="16"/>
        <v/>
      </c>
      <c r="Y938" s="49" t="str">
        <f t="shared" si="17"/>
        <v/>
      </c>
    </row>
    <row r="939" ht="15.75" customHeight="1">
      <c r="A939" s="82"/>
      <c r="B939" s="83"/>
      <c r="C939" s="83"/>
      <c r="D939" s="83"/>
      <c r="E939" s="83"/>
      <c r="F939" s="83"/>
      <c r="G939" s="83" t="str">
        <f>IF($F939="","",IFERROR(VLOOKUP($F939,Inventory!$A:$B,2,FALSE),""))</f>
        <v/>
      </c>
      <c r="H939" s="83"/>
      <c r="I939" s="84" t="str">
        <f t="shared" si="2"/>
        <v/>
      </c>
      <c r="J939" s="85" t="str">
        <f>IF($F939="","",IFERROR(VLOOKUP($F939,Inventory!$A:$K,11,FALSE),0))</f>
        <v/>
      </c>
      <c r="K939" s="85"/>
      <c r="L939" s="85" t="str">
        <f t="shared" si="12"/>
        <v/>
      </c>
      <c r="M939" s="83"/>
      <c r="N939" s="85" t="str">
        <f>IF($F939="","",IFERROR(VLOOKUP($F939,Inventory!$A:$I,9,FALSE),0))</f>
        <v/>
      </c>
      <c r="O939" s="85" t="str">
        <f t="shared" si="13"/>
        <v/>
      </c>
      <c r="P939" s="85" t="str">
        <f t="shared" si="5"/>
        <v/>
      </c>
      <c r="Q939" s="83"/>
      <c r="R939" s="118" t="str">
        <f>IF($E939="","",IF(COUNTIF($E$7:$E2136,$E939)&gt;1,"",IFERROR(VLOOKUP($E939,Orders!$A:$I,8,FALSE),"")))</f>
        <v/>
      </c>
      <c r="S939" s="118" t="str">
        <f>IF($E939="","",IF(COUNTIF($E$7:$E2136,$E939)&gt;1,"",IFERROR(VLOOKUP($E939,Orders!$A:$I,9,FALSE),"")))</f>
        <v/>
      </c>
      <c r="T939" s="88" t="str">
        <f t="shared" si="14"/>
        <v/>
      </c>
      <c r="U939" s="88" t="str">
        <f>IF($F939="","",IF($E939="",T939,SUMIF(Sales!$E$7:$E$1506,$E939,Sales!$T$7:$T$1506)))</f>
        <v/>
      </c>
      <c r="V939" s="49" t="str">
        <f t="shared" si="15"/>
        <v/>
      </c>
      <c r="W939" s="49" t="str">
        <f t="array" ref="W939">IF($V939="","",SUMPRODUCT((Sales!$V$7:$V$1506&lt;&gt;"")*(Sales!$E$7:$E$1506&lt;$E939))+1)</f>
        <v/>
      </c>
      <c r="X939" s="49" t="str">
        <f t="shared" si="16"/>
        <v/>
      </c>
      <c r="Y939" s="49" t="str">
        <f t="shared" si="17"/>
        <v/>
      </c>
    </row>
    <row r="940" ht="15.75" customHeight="1">
      <c r="A940" s="82"/>
      <c r="B940" s="83"/>
      <c r="C940" s="83"/>
      <c r="D940" s="83"/>
      <c r="E940" s="83"/>
      <c r="F940" s="83"/>
      <c r="G940" s="83" t="str">
        <f>IF($F940="","",IFERROR(VLOOKUP($F940,Inventory!$A:$B,2,FALSE),""))</f>
        <v/>
      </c>
      <c r="H940" s="83"/>
      <c r="I940" s="84" t="str">
        <f t="shared" si="2"/>
        <v/>
      </c>
      <c r="J940" s="85" t="str">
        <f>IF($F940="","",IFERROR(VLOOKUP($F940,Inventory!$A:$K,11,FALSE),0))</f>
        <v/>
      </c>
      <c r="K940" s="85"/>
      <c r="L940" s="85" t="str">
        <f t="shared" si="12"/>
        <v/>
      </c>
      <c r="M940" s="83"/>
      <c r="N940" s="85" t="str">
        <f>IF($F940="","",IFERROR(VLOOKUP($F940,Inventory!$A:$I,9,FALSE),0))</f>
        <v/>
      </c>
      <c r="O940" s="85" t="str">
        <f t="shared" si="13"/>
        <v/>
      </c>
      <c r="P940" s="85" t="str">
        <f t="shared" si="5"/>
        <v/>
      </c>
      <c r="Q940" s="83"/>
      <c r="R940" s="118" t="str">
        <f>IF($E940="","",IF(COUNTIF($E$7:$E2137,$E940)&gt;1,"",IFERROR(VLOOKUP($E940,Orders!$A:$I,8,FALSE),"")))</f>
        <v/>
      </c>
      <c r="S940" s="118" t="str">
        <f>IF($E940="","",IF(COUNTIF($E$7:$E2137,$E940)&gt;1,"",IFERROR(VLOOKUP($E940,Orders!$A:$I,9,FALSE),"")))</f>
        <v/>
      </c>
      <c r="T940" s="88" t="str">
        <f t="shared" si="14"/>
        <v/>
      </c>
      <c r="U940" s="88" t="str">
        <f>IF($F940="","",IF($E940="",T940,SUMIF(Sales!$E$7:$E$1506,$E940,Sales!$T$7:$T$1506)))</f>
        <v/>
      </c>
      <c r="V940" s="49" t="str">
        <f t="shared" si="15"/>
        <v/>
      </c>
      <c r="W940" s="49" t="str">
        <f t="array" ref="W940">IF($V940="","",SUMPRODUCT((Sales!$V$7:$V$1506&lt;&gt;"")*(Sales!$E$7:$E$1506&lt;$E940))+1)</f>
        <v/>
      </c>
      <c r="X940" s="49" t="str">
        <f t="shared" si="16"/>
        <v/>
      </c>
      <c r="Y940" s="49" t="str">
        <f t="shared" si="17"/>
        <v/>
      </c>
    </row>
    <row r="941" ht="15.75" customHeight="1">
      <c r="A941" s="82"/>
      <c r="B941" s="83"/>
      <c r="C941" s="83"/>
      <c r="D941" s="83"/>
      <c r="E941" s="83"/>
      <c r="F941" s="83"/>
      <c r="G941" s="83" t="str">
        <f>IF($F941="","",IFERROR(VLOOKUP($F941,Inventory!$A:$B,2,FALSE),""))</f>
        <v/>
      </c>
      <c r="H941" s="83"/>
      <c r="I941" s="84" t="str">
        <f t="shared" si="2"/>
        <v/>
      </c>
      <c r="J941" s="85" t="str">
        <f>IF($F941="","",IFERROR(VLOOKUP($F941,Inventory!$A:$K,11,FALSE),0))</f>
        <v/>
      </c>
      <c r="K941" s="85"/>
      <c r="L941" s="85" t="str">
        <f t="shared" si="12"/>
        <v/>
      </c>
      <c r="M941" s="83"/>
      <c r="N941" s="85" t="str">
        <f>IF($F941="","",IFERROR(VLOOKUP($F941,Inventory!$A:$I,9,FALSE),0))</f>
        <v/>
      </c>
      <c r="O941" s="85" t="str">
        <f t="shared" si="13"/>
        <v/>
      </c>
      <c r="P941" s="85" t="str">
        <f t="shared" si="5"/>
        <v/>
      </c>
      <c r="Q941" s="83"/>
      <c r="R941" s="118" t="str">
        <f>IF($E941="","",IF(COUNTIF($E$7:$E2138,$E941)&gt;1,"",IFERROR(VLOOKUP($E941,Orders!$A:$I,8,FALSE),"")))</f>
        <v/>
      </c>
      <c r="S941" s="118" t="str">
        <f>IF($E941="","",IF(COUNTIF($E$7:$E2138,$E941)&gt;1,"",IFERROR(VLOOKUP($E941,Orders!$A:$I,9,FALSE),"")))</f>
        <v/>
      </c>
      <c r="T941" s="88" t="str">
        <f t="shared" si="14"/>
        <v/>
      </c>
      <c r="U941" s="88" t="str">
        <f>IF($F941="","",IF($E941="",T941,SUMIF(Sales!$E$7:$E$1506,$E941,Sales!$T$7:$T$1506)))</f>
        <v/>
      </c>
      <c r="V941" s="49" t="str">
        <f t="shared" si="15"/>
        <v/>
      </c>
      <c r="W941" s="49" t="str">
        <f t="array" ref="W941">IF($V941="","",SUMPRODUCT((Sales!$V$7:$V$1506&lt;&gt;"")*(Sales!$E$7:$E$1506&lt;$E941))+1)</f>
        <v/>
      </c>
      <c r="X941" s="49" t="str">
        <f t="shared" si="16"/>
        <v/>
      </c>
      <c r="Y941" s="49" t="str">
        <f t="shared" si="17"/>
        <v/>
      </c>
    </row>
    <row r="942" ht="15.75" customHeight="1">
      <c r="A942" s="82"/>
      <c r="B942" s="83"/>
      <c r="C942" s="83"/>
      <c r="D942" s="83"/>
      <c r="E942" s="83"/>
      <c r="F942" s="83"/>
      <c r="G942" s="83" t="str">
        <f>IF($F942="","",IFERROR(VLOOKUP($F942,Inventory!$A:$B,2,FALSE),""))</f>
        <v/>
      </c>
      <c r="H942" s="83"/>
      <c r="I942" s="84" t="str">
        <f t="shared" si="2"/>
        <v/>
      </c>
      <c r="J942" s="85" t="str">
        <f>IF($F942="","",IFERROR(VLOOKUP($F942,Inventory!$A:$K,11,FALSE),0))</f>
        <v/>
      </c>
      <c r="K942" s="85"/>
      <c r="L942" s="85" t="str">
        <f t="shared" si="12"/>
        <v/>
      </c>
      <c r="M942" s="83"/>
      <c r="N942" s="85" t="str">
        <f>IF($F942="","",IFERROR(VLOOKUP($F942,Inventory!$A:$I,9,FALSE),0))</f>
        <v/>
      </c>
      <c r="O942" s="85" t="str">
        <f t="shared" si="13"/>
        <v/>
      </c>
      <c r="P942" s="85" t="str">
        <f t="shared" si="5"/>
        <v/>
      </c>
      <c r="Q942" s="83"/>
      <c r="R942" s="118" t="str">
        <f>IF($E942="","",IF(COUNTIF($E$7:$E2139,$E942)&gt;1,"",IFERROR(VLOOKUP($E942,Orders!$A:$I,8,FALSE),"")))</f>
        <v/>
      </c>
      <c r="S942" s="118" t="str">
        <f>IF($E942="","",IF(COUNTIF($E$7:$E2139,$E942)&gt;1,"",IFERROR(VLOOKUP($E942,Orders!$A:$I,9,FALSE),"")))</f>
        <v/>
      </c>
      <c r="T942" s="88" t="str">
        <f t="shared" si="14"/>
        <v/>
      </c>
      <c r="U942" s="88" t="str">
        <f>IF($F942="","",IF($E942="",T942,SUMIF(Sales!$E$7:$E$1506,$E942,Sales!$T$7:$T$1506)))</f>
        <v/>
      </c>
      <c r="V942" s="49" t="str">
        <f t="shared" si="15"/>
        <v/>
      </c>
      <c r="W942" s="49" t="str">
        <f t="array" ref="W942">IF($V942="","",SUMPRODUCT((Sales!$V$7:$V$1506&lt;&gt;"")*(Sales!$E$7:$E$1506&lt;$E942))+1)</f>
        <v/>
      </c>
      <c r="X942" s="49" t="str">
        <f t="shared" si="16"/>
        <v/>
      </c>
      <c r="Y942" s="49" t="str">
        <f t="shared" si="17"/>
        <v/>
      </c>
    </row>
    <row r="943" ht="15.75" customHeight="1">
      <c r="A943" s="82"/>
      <c r="B943" s="83"/>
      <c r="C943" s="83"/>
      <c r="D943" s="83"/>
      <c r="E943" s="83"/>
      <c r="F943" s="83"/>
      <c r="G943" s="83" t="str">
        <f>IF($F943="","",IFERROR(VLOOKUP($F943,Inventory!$A:$B,2,FALSE),""))</f>
        <v/>
      </c>
      <c r="H943" s="83"/>
      <c r="I943" s="84" t="str">
        <f t="shared" si="2"/>
        <v/>
      </c>
      <c r="J943" s="85" t="str">
        <f>IF($F943="","",IFERROR(VLOOKUP($F943,Inventory!$A:$K,11,FALSE),0))</f>
        <v/>
      </c>
      <c r="K943" s="85"/>
      <c r="L943" s="85" t="str">
        <f t="shared" si="12"/>
        <v/>
      </c>
      <c r="M943" s="83"/>
      <c r="N943" s="85" t="str">
        <f>IF($F943="","",IFERROR(VLOOKUP($F943,Inventory!$A:$I,9,FALSE),0))</f>
        <v/>
      </c>
      <c r="O943" s="85" t="str">
        <f t="shared" si="13"/>
        <v/>
      </c>
      <c r="P943" s="85" t="str">
        <f t="shared" si="5"/>
        <v/>
      </c>
      <c r="Q943" s="83"/>
      <c r="R943" s="118" t="str">
        <f>IF($E943="","",IF(COUNTIF($E$7:$E2140,$E943)&gt;1,"",IFERROR(VLOOKUP($E943,Orders!$A:$I,8,FALSE),"")))</f>
        <v/>
      </c>
      <c r="S943" s="118" t="str">
        <f>IF($E943="","",IF(COUNTIF($E$7:$E2140,$E943)&gt;1,"",IFERROR(VLOOKUP($E943,Orders!$A:$I,9,FALSE),"")))</f>
        <v/>
      </c>
      <c r="T943" s="88" t="str">
        <f t="shared" si="14"/>
        <v/>
      </c>
      <c r="U943" s="88" t="str">
        <f>IF($F943="","",IF($E943="",T943,SUMIF(Sales!$E$7:$E$1506,$E943,Sales!$T$7:$T$1506)))</f>
        <v/>
      </c>
      <c r="V943" s="49" t="str">
        <f t="shared" si="15"/>
        <v/>
      </c>
      <c r="W943" s="49" t="str">
        <f t="array" ref="W943">IF($V943="","",SUMPRODUCT((Sales!$V$7:$V$1506&lt;&gt;"")*(Sales!$E$7:$E$1506&lt;$E943))+1)</f>
        <v/>
      </c>
      <c r="X943" s="49" t="str">
        <f t="shared" si="16"/>
        <v/>
      </c>
      <c r="Y943" s="49" t="str">
        <f t="shared" si="17"/>
        <v/>
      </c>
    </row>
    <row r="944" ht="15.75" customHeight="1">
      <c r="A944" s="82"/>
      <c r="B944" s="83"/>
      <c r="C944" s="83"/>
      <c r="D944" s="83"/>
      <c r="E944" s="83"/>
      <c r="F944" s="83"/>
      <c r="G944" s="83" t="str">
        <f>IF($F944="","",IFERROR(VLOOKUP($F944,Inventory!$A:$B,2,FALSE),""))</f>
        <v/>
      </c>
      <c r="H944" s="83"/>
      <c r="I944" s="84" t="str">
        <f t="shared" si="2"/>
        <v/>
      </c>
      <c r="J944" s="85" t="str">
        <f>IF($F944="","",IFERROR(VLOOKUP($F944,Inventory!$A:$K,11,FALSE),0))</f>
        <v/>
      </c>
      <c r="K944" s="85"/>
      <c r="L944" s="85" t="str">
        <f t="shared" si="12"/>
        <v/>
      </c>
      <c r="M944" s="83"/>
      <c r="N944" s="85" t="str">
        <f>IF($F944="","",IFERROR(VLOOKUP($F944,Inventory!$A:$I,9,FALSE),0))</f>
        <v/>
      </c>
      <c r="O944" s="85" t="str">
        <f t="shared" si="13"/>
        <v/>
      </c>
      <c r="P944" s="85" t="str">
        <f t="shared" si="5"/>
        <v/>
      </c>
      <c r="Q944" s="83"/>
      <c r="R944" s="118" t="str">
        <f>IF($E944="","",IF(COUNTIF($E$7:$E2141,$E944)&gt;1,"",IFERROR(VLOOKUP($E944,Orders!$A:$I,8,FALSE),"")))</f>
        <v/>
      </c>
      <c r="S944" s="118" t="str">
        <f>IF($E944="","",IF(COUNTIF($E$7:$E2141,$E944)&gt;1,"",IFERROR(VLOOKUP($E944,Orders!$A:$I,9,FALSE),"")))</f>
        <v/>
      </c>
      <c r="T944" s="88" t="str">
        <f t="shared" si="14"/>
        <v/>
      </c>
      <c r="U944" s="88" t="str">
        <f>IF($F944="","",IF($E944="",T944,SUMIF(Sales!$E$7:$E$1506,$E944,Sales!$T$7:$T$1506)))</f>
        <v/>
      </c>
      <c r="V944" s="49" t="str">
        <f t="shared" si="15"/>
        <v/>
      </c>
      <c r="W944" s="49" t="str">
        <f t="array" ref="W944">IF($V944="","",SUMPRODUCT((Sales!$V$7:$V$1506&lt;&gt;"")*(Sales!$E$7:$E$1506&lt;$E944))+1)</f>
        <v/>
      </c>
      <c r="X944" s="49" t="str">
        <f t="shared" si="16"/>
        <v/>
      </c>
      <c r="Y944" s="49" t="str">
        <f t="shared" si="17"/>
        <v/>
      </c>
    </row>
    <row r="945" ht="15.75" customHeight="1">
      <c r="A945" s="82"/>
      <c r="B945" s="83"/>
      <c r="C945" s="83"/>
      <c r="D945" s="83"/>
      <c r="E945" s="83"/>
      <c r="F945" s="83"/>
      <c r="G945" s="83" t="str">
        <f>IF($F945="","",IFERROR(VLOOKUP($F945,Inventory!$A:$B,2,FALSE),""))</f>
        <v/>
      </c>
      <c r="H945" s="83"/>
      <c r="I945" s="84" t="str">
        <f t="shared" si="2"/>
        <v/>
      </c>
      <c r="J945" s="85" t="str">
        <f>IF($F945="","",IFERROR(VLOOKUP($F945,Inventory!$A:$K,11,FALSE),0))</f>
        <v/>
      </c>
      <c r="K945" s="85"/>
      <c r="L945" s="85" t="str">
        <f t="shared" si="12"/>
        <v/>
      </c>
      <c r="M945" s="83"/>
      <c r="N945" s="85" t="str">
        <f>IF($F945="","",IFERROR(VLOOKUP($F945,Inventory!$A:$I,9,FALSE),0))</f>
        <v/>
      </c>
      <c r="O945" s="85" t="str">
        <f t="shared" si="13"/>
        <v/>
      </c>
      <c r="P945" s="85" t="str">
        <f t="shared" si="5"/>
        <v/>
      </c>
      <c r="Q945" s="83"/>
      <c r="R945" s="118" t="str">
        <f>IF($E945="","",IF(COUNTIF($E$7:$E2142,$E945)&gt;1,"",IFERROR(VLOOKUP($E945,Orders!$A:$I,8,FALSE),"")))</f>
        <v/>
      </c>
      <c r="S945" s="118" t="str">
        <f>IF($E945="","",IF(COUNTIF($E$7:$E2142,$E945)&gt;1,"",IFERROR(VLOOKUP($E945,Orders!$A:$I,9,FALSE),"")))</f>
        <v/>
      </c>
      <c r="T945" s="88" t="str">
        <f t="shared" si="14"/>
        <v/>
      </c>
      <c r="U945" s="88" t="str">
        <f>IF($F945="","",IF($E945="",T945,SUMIF(Sales!$E$7:$E$1506,$E945,Sales!$T$7:$T$1506)))</f>
        <v/>
      </c>
      <c r="V945" s="49" t="str">
        <f t="shared" si="15"/>
        <v/>
      </c>
      <c r="W945" s="49" t="str">
        <f t="array" ref="W945">IF($V945="","",SUMPRODUCT((Sales!$V$7:$V$1506&lt;&gt;"")*(Sales!$E$7:$E$1506&lt;$E945))+1)</f>
        <v/>
      </c>
      <c r="X945" s="49" t="str">
        <f t="shared" si="16"/>
        <v/>
      </c>
      <c r="Y945" s="49" t="str">
        <f t="shared" si="17"/>
        <v/>
      </c>
    </row>
    <row r="946" ht="15.75" customHeight="1">
      <c r="A946" s="82"/>
      <c r="B946" s="83"/>
      <c r="C946" s="83"/>
      <c r="D946" s="83"/>
      <c r="E946" s="83"/>
      <c r="F946" s="83"/>
      <c r="G946" s="83" t="str">
        <f>IF($F946="","",IFERROR(VLOOKUP($F946,Inventory!$A:$B,2,FALSE),""))</f>
        <v/>
      </c>
      <c r="H946" s="83"/>
      <c r="I946" s="84" t="str">
        <f t="shared" si="2"/>
        <v/>
      </c>
      <c r="J946" s="85" t="str">
        <f>IF($F946="","",IFERROR(VLOOKUP($F946,Inventory!$A:$K,11,FALSE),0))</f>
        <v/>
      </c>
      <c r="K946" s="85"/>
      <c r="L946" s="85" t="str">
        <f t="shared" si="12"/>
        <v/>
      </c>
      <c r="M946" s="83"/>
      <c r="N946" s="85" t="str">
        <f>IF($F946="","",IFERROR(VLOOKUP($F946,Inventory!$A:$I,9,FALSE),0))</f>
        <v/>
      </c>
      <c r="O946" s="85" t="str">
        <f t="shared" si="13"/>
        <v/>
      </c>
      <c r="P946" s="85" t="str">
        <f t="shared" si="5"/>
        <v/>
      </c>
      <c r="Q946" s="83"/>
      <c r="R946" s="118" t="str">
        <f>IF($E946="","",IF(COUNTIF($E$7:$E2143,$E946)&gt;1,"",IFERROR(VLOOKUP($E946,Orders!$A:$I,8,FALSE),"")))</f>
        <v/>
      </c>
      <c r="S946" s="118" t="str">
        <f>IF($E946="","",IF(COUNTIF($E$7:$E2143,$E946)&gt;1,"",IFERROR(VLOOKUP($E946,Orders!$A:$I,9,FALSE),"")))</f>
        <v/>
      </c>
      <c r="T946" s="88" t="str">
        <f t="shared" si="14"/>
        <v/>
      </c>
      <c r="U946" s="88" t="str">
        <f>IF($F946="","",IF($E946="",T946,SUMIF(Sales!$E$7:$E$1506,$E946,Sales!$T$7:$T$1506)))</f>
        <v/>
      </c>
      <c r="V946" s="49" t="str">
        <f t="shared" si="15"/>
        <v/>
      </c>
      <c r="W946" s="49" t="str">
        <f t="array" ref="W946">IF($V946="","",SUMPRODUCT((Sales!$V$7:$V$1506&lt;&gt;"")*(Sales!$E$7:$E$1506&lt;$E946))+1)</f>
        <v/>
      </c>
      <c r="X946" s="49" t="str">
        <f t="shared" si="16"/>
        <v/>
      </c>
      <c r="Y946" s="49" t="str">
        <f t="shared" si="17"/>
        <v/>
      </c>
    </row>
    <row r="947" ht="15.75" customHeight="1">
      <c r="A947" s="82"/>
      <c r="B947" s="83"/>
      <c r="C947" s="83"/>
      <c r="D947" s="83"/>
      <c r="E947" s="83"/>
      <c r="F947" s="83"/>
      <c r="G947" s="83" t="str">
        <f>IF($F947="","",IFERROR(VLOOKUP($F947,Inventory!$A:$B,2,FALSE),""))</f>
        <v/>
      </c>
      <c r="H947" s="83"/>
      <c r="I947" s="84" t="str">
        <f t="shared" si="2"/>
        <v/>
      </c>
      <c r="J947" s="85" t="str">
        <f>IF($F947="","",IFERROR(VLOOKUP($F947,Inventory!$A:$K,11,FALSE),0))</f>
        <v/>
      </c>
      <c r="K947" s="85"/>
      <c r="L947" s="85" t="str">
        <f t="shared" si="12"/>
        <v/>
      </c>
      <c r="M947" s="83"/>
      <c r="N947" s="85" t="str">
        <f>IF($F947="","",IFERROR(VLOOKUP($F947,Inventory!$A:$I,9,FALSE),0))</f>
        <v/>
      </c>
      <c r="O947" s="85" t="str">
        <f t="shared" si="13"/>
        <v/>
      </c>
      <c r="P947" s="85" t="str">
        <f t="shared" si="5"/>
        <v/>
      </c>
      <c r="Q947" s="83"/>
      <c r="R947" s="118" t="str">
        <f>IF($E947="","",IF(COUNTIF($E$7:$E2144,$E947)&gt;1,"",IFERROR(VLOOKUP($E947,Orders!$A:$I,8,FALSE),"")))</f>
        <v/>
      </c>
      <c r="S947" s="118" t="str">
        <f>IF($E947="","",IF(COUNTIF($E$7:$E2144,$E947)&gt;1,"",IFERROR(VLOOKUP($E947,Orders!$A:$I,9,FALSE),"")))</f>
        <v/>
      </c>
      <c r="T947" s="88" t="str">
        <f t="shared" si="14"/>
        <v/>
      </c>
      <c r="U947" s="88" t="str">
        <f>IF($F947="","",IF($E947="",T947,SUMIF(Sales!$E$7:$E$1506,$E947,Sales!$T$7:$T$1506)))</f>
        <v/>
      </c>
      <c r="V947" s="49" t="str">
        <f t="shared" si="15"/>
        <v/>
      </c>
      <c r="W947" s="49" t="str">
        <f t="array" ref="W947">IF($V947="","",SUMPRODUCT((Sales!$V$7:$V$1506&lt;&gt;"")*(Sales!$E$7:$E$1506&lt;$E947))+1)</f>
        <v/>
      </c>
      <c r="X947" s="49" t="str">
        <f t="shared" si="16"/>
        <v/>
      </c>
      <c r="Y947" s="49" t="str">
        <f t="shared" si="17"/>
        <v/>
      </c>
    </row>
    <row r="948" ht="15.75" customHeight="1">
      <c r="A948" s="82"/>
      <c r="B948" s="83"/>
      <c r="C948" s="83"/>
      <c r="D948" s="83"/>
      <c r="E948" s="83"/>
      <c r="F948" s="83"/>
      <c r="G948" s="83" t="str">
        <f>IF($F948="","",IFERROR(VLOOKUP($F948,Inventory!$A:$B,2,FALSE),""))</f>
        <v/>
      </c>
      <c r="H948" s="83"/>
      <c r="I948" s="84" t="str">
        <f t="shared" si="2"/>
        <v/>
      </c>
      <c r="J948" s="85" t="str">
        <f>IF($F948="","",IFERROR(VLOOKUP($F948,Inventory!$A:$K,11,FALSE),0))</f>
        <v/>
      </c>
      <c r="K948" s="85"/>
      <c r="L948" s="85" t="str">
        <f t="shared" si="12"/>
        <v/>
      </c>
      <c r="M948" s="83"/>
      <c r="N948" s="85" t="str">
        <f>IF($F948="","",IFERROR(VLOOKUP($F948,Inventory!$A:$I,9,FALSE),0))</f>
        <v/>
      </c>
      <c r="O948" s="85" t="str">
        <f t="shared" si="13"/>
        <v/>
      </c>
      <c r="P948" s="85" t="str">
        <f t="shared" si="5"/>
        <v/>
      </c>
      <c r="Q948" s="83"/>
      <c r="R948" s="118" t="str">
        <f>IF($E948="","",IF(COUNTIF($E$7:$E2145,$E948)&gt;1,"",IFERROR(VLOOKUP($E948,Orders!$A:$I,8,FALSE),"")))</f>
        <v/>
      </c>
      <c r="S948" s="118" t="str">
        <f>IF($E948="","",IF(COUNTIF($E$7:$E2145,$E948)&gt;1,"",IFERROR(VLOOKUP($E948,Orders!$A:$I,9,FALSE),"")))</f>
        <v/>
      </c>
      <c r="T948" s="88" t="str">
        <f t="shared" si="14"/>
        <v/>
      </c>
      <c r="U948" s="88" t="str">
        <f>IF($F948="","",IF($E948="",T948,SUMIF(Sales!$E$7:$E$1506,$E948,Sales!$T$7:$T$1506)))</f>
        <v/>
      </c>
      <c r="V948" s="49" t="str">
        <f t="shared" si="15"/>
        <v/>
      </c>
      <c r="W948" s="49" t="str">
        <f t="array" ref="W948">IF($V948="","",SUMPRODUCT((Sales!$V$7:$V$1506&lt;&gt;"")*(Sales!$E$7:$E$1506&lt;$E948))+1)</f>
        <v/>
      </c>
      <c r="X948" s="49" t="str">
        <f t="shared" si="16"/>
        <v/>
      </c>
      <c r="Y948" s="49" t="str">
        <f t="shared" si="17"/>
        <v/>
      </c>
    </row>
    <row r="949" ht="15.75" customHeight="1">
      <c r="A949" s="82"/>
      <c r="B949" s="83"/>
      <c r="C949" s="83"/>
      <c r="D949" s="83"/>
      <c r="E949" s="83"/>
      <c r="F949" s="83"/>
      <c r="G949" s="83" t="str">
        <f>IF($F949="","",IFERROR(VLOOKUP($F949,Inventory!$A:$B,2,FALSE),""))</f>
        <v/>
      </c>
      <c r="H949" s="83"/>
      <c r="I949" s="84" t="str">
        <f t="shared" si="2"/>
        <v/>
      </c>
      <c r="J949" s="85" t="str">
        <f>IF($F949="","",IFERROR(VLOOKUP($F949,Inventory!$A:$K,11,FALSE),0))</f>
        <v/>
      </c>
      <c r="K949" s="85"/>
      <c r="L949" s="85" t="str">
        <f t="shared" si="12"/>
        <v/>
      </c>
      <c r="M949" s="83"/>
      <c r="N949" s="85" t="str">
        <f>IF($F949="","",IFERROR(VLOOKUP($F949,Inventory!$A:$I,9,FALSE),0))</f>
        <v/>
      </c>
      <c r="O949" s="85" t="str">
        <f t="shared" si="13"/>
        <v/>
      </c>
      <c r="P949" s="85" t="str">
        <f t="shared" si="5"/>
        <v/>
      </c>
      <c r="Q949" s="83"/>
      <c r="R949" s="118" t="str">
        <f>IF($E949="","",IF(COUNTIF($E$7:$E2146,$E949)&gt;1,"",IFERROR(VLOOKUP($E949,Orders!$A:$I,8,FALSE),"")))</f>
        <v/>
      </c>
      <c r="S949" s="118" t="str">
        <f>IF($E949="","",IF(COUNTIF($E$7:$E2146,$E949)&gt;1,"",IFERROR(VLOOKUP($E949,Orders!$A:$I,9,FALSE),"")))</f>
        <v/>
      </c>
      <c r="T949" s="88" t="str">
        <f t="shared" si="14"/>
        <v/>
      </c>
      <c r="U949" s="88" t="str">
        <f>IF($F949="","",IF($E949="",T949,SUMIF(Sales!$E$7:$E$1506,$E949,Sales!$T$7:$T$1506)))</f>
        <v/>
      </c>
      <c r="V949" s="49" t="str">
        <f t="shared" si="15"/>
        <v/>
      </c>
      <c r="W949" s="49" t="str">
        <f t="array" ref="W949">IF($V949="","",SUMPRODUCT((Sales!$V$7:$V$1506&lt;&gt;"")*(Sales!$E$7:$E$1506&lt;$E949))+1)</f>
        <v/>
      </c>
      <c r="X949" s="49" t="str">
        <f t="shared" si="16"/>
        <v/>
      </c>
      <c r="Y949" s="49" t="str">
        <f t="shared" si="17"/>
        <v/>
      </c>
    </row>
    <row r="950" ht="15.75" customHeight="1">
      <c r="A950" s="82"/>
      <c r="B950" s="83"/>
      <c r="C950" s="83"/>
      <c r="D950" s="83"/>
      <c r="E950" s="83"/>
      <c r="F950" s="83"/>
      <c r="G950" s="83" t="str">
        <f>IF($F950="","",IFERROR(VLOOKUP($F950,Inventory!$A:$B,2,FALSE),""))</f>
        <v/>
      </c>
      <c r="H950" s="83"/>
      <c r="I950" s="84" t="str">
        <f t="shared" si="2"/>
        <v/>
      </c>
      <c r="J950" s="85" t="str">
        <f>IF($F950="","",IFERROR(VLOOKUP($F950,Inventory!$A:$K,11,FALSE),0))</f>
        <v/>
      </c>
      <c r="K950" s="85"/>
      <c r="L950" s="85" t="str">
        <f t="shared" si="12"/>
        <v/>
      </c>
      <c r="M950" s="83"/>
      <c r="N950" s="85" t="str">
        <f>IF($F950="","",IFERROR(VLOOKUP($F950,Inventory!$A:$I,9,FALSE),0))</f>
        <v/>
      </c>
      <c r="O950" s="85" t="str">
        <f t="shared" si="13"/>
        <v/>
      </c>
      <c r="P950" s="85" t="str">
        <f t="shared" si="5"/>
        <v/>
      </c>
      <c r="Q950" s="83"/>
      <c r="R950" s="118" t="str">
        <f>IF($E950="","",IF(COUNTIF($E$7:$E2147,$E950)&gt;1,"",IFERROR(VLOOKUP($E950,Orders!$A:$I,8,FALSE),"")))</f>
        <v/>
      </c>
      <c r="S950" s="118" t="str">
        <f>IF($E950="","",IF(COUNTIF($E$7:$E2147,$E950)&gt;1,"",IFERROR(VLOOKUP($E950,Orders!$A:$I,9,FALSE),"")))</f>
        <v/>
      </c>
      <c r="T950" s="88" t="str">
        <f t="shared" si="14"/>
        <v/>
      </c>
      <c r="U950" s="88" t="str">
        <f>IF($F950="","",IF($E950="",T950,SUMIF(Sales!$E$7:$E$1506,$E950,Sales!$T$7:$T$1506)))</f>
        <v/>
      </c>
      <c r="V950" s="49" t="str">
        <f t="shared" si="15"/>
        <v/>
      </c>
      <c r="W950" s="49" t="str">
        <f t="array" ref="W950">IF($V950="","",SUMPRODUCT((Sales!$V$7:$V$1506&lt;&gt;"")*(Sales!$E$7:$E$1506&lt;$E950))+1)</f>
        <v/>
      </c>
      <c r="X950" s="49" t="str">
        <f t="shared" si="16"/>
        <v/>
      </c>
      <c r="Y950" s="49" t="str">
        <f t="shared" si="17"/>
        <v/>
      </c>
    </row>
    <row r="951" ht="15.75" customHeight="1">
      <c r="A951" s="82"/>
      <c r="B951" s="83"/>
      <c r="C951" s="83"/>
      <c r="D951" s="83"/>
      <c r="E951" s="83"/>
      <c r="F951" s="83"/>
      <c r="G951" s="83" t="str">
        <f>IF($F951="","",IFERROR(VLOOKUP($F951,Inventory!$A:$B,2,FALSE),""))</f>
        <v/>
      </c>
      <c r="H951" s="83"/>
      <c r="I951" s="84" t="str">
        <f t="shared" si="2"/>
        <v/>
      </c>
      <c r="J951" s="85" t="str">
        <f>IF($F951="","",IFERROR(VLOOKUP($F951,Inventory!$A:$K,11,FALSE),0))</f>
        <v/>
      </c>
      <c r="K951" s="85"/>
      <c r="L951" s="85" t="str">
        <f t="shared" si="12"/>
        <v/>
      </c>
      <c r="M951" s="83"/>
      <c r="N951" s="85" t="str">
        <f>IF($F951="","",IFERROR(VLOOKUP($F951,Inventory!$A:$I,9,FALSE),0))</f>
        <v/>
      </c>
      <c r="O951" s="85" t="str">
        <f t="shared" si="13"/>
        <v/>
      </c>
      <c r="P951" s="85" t="str">
        <f t="shared" si="5"/>
        <v/>
      </c>
      <c r="Q951" s="83"/>
      <c r="R951" s="118" t="str">
        <f>IF($E951="","",IF(COUNTIF($E$7:$E2148,$E951)&gt;1,"",IFERROR(VLOOKUP($E951,Orders!$A:$I,8,FALSE),"")))</f>
        <v/>
      </c>
      <c r="S951" s="118" t="str">
        <f>IF($E951="","",IF(COUNTIF($E$7:$E2148,$E951)&gt;1,"",IFERROR(VLOOKUP($E951,Orders!$A:$I,9,FALSE),"")))</f>
        <v/>
      </c>
      <c r="T951" s="88" t="str">
        <f t="shared" si="14"/>
        <v/>
      </c>
      <c r="U951" s="88" t="str">
        <f>IF($F951="","",IF($E951="",T951,SUMIF(Sales!$E$7:$E$1506,$E951,Sales!$T$7:$T$1506)))</f>
        <v/>
      </c>
      <c r="V951" s="49" t="str">
        <f t="shared" si="15"/>
        <v/>
      </c>
      <c r="W951" s="49" t="str">
        <f t="array" ref="W951">IF($V951="","",SUMPRODUCT((Sales!$V$7:$V$1506&lt;&gt;"")*(Sales!$E$7:$E$1506&lt;$E951))+1)</f>
        <v/>
      </c>
      <c r="X951" s="49" t="str">
        <f t="shared" si="16"/>
        <v/>
      </c>
      <c r="Y951" s="49" t="str">
        <f t="shared" si="17"/>
        <v/>
      </c>
    </row>
    <row r="952" ht="15.75" customHeight="1">
      <c r="A952" s="82"/>
      <c r="B952" s="83"/>
      <c r="C952" s="83"/>
      <c r="D952" s="83"/>
      <c r="E952" s="83"/>
      <c r="F952" s="83"/>
      <c r="G952" s="83" t="str">
        <f>IF($F952="","",IFERROR(VLOOKUP($F952,Inventory!$A:$B,2,FALSE),""))</f>
        <v/>
      </c>
      <c r="H952" s="83"/>
      <c r="I952" s="84" t="str">
        <f t="shared" si="2"/>
        <v/>
      </c>
      <c r="J952" s="85" t="str">
        <f>IF($F952="","",IFERROR(VLOOKUP($F952,Inventory!$A:$K,11,FALSE),0))</f>
        <v/>
      </c>
      <c r="K952" s="85"/>
      <c r="L952" s="85" t="str">
        <f t="shared" si="12"/>
        <v/>
      </c>
      <c r="M952" s="83"/>
      <c r="N952" s="85" t="str">
        <f>IF($F952="","",IFERROR(VLOOKUP($F952,Inventory!$A:$I,9,FALSE),0))</f>
        <v/>
      </c>
      <c r="O952" s="85" t="str">
        <f t="shared" si="13"/>
        <v/>
      </c>
      <c r="P952" s="85" t="str">
        <f t="shared" si="5"/>
        <v/>
      </c>
      <c r="Q952" s="83"/>
      <c r="R952" s="118" t="str">
        <f>IF($E952="","",IF(COUNTIF($E$7:$E2149,$E952)&gt;1,"",IFERROR(VLOOKUP($E952,Orders!$A:$I,8,FALSE),"")))</f>
        <v/>
      </c>
      <c r="S952" s="118" t="str">
        <f>IF($E952="","",IF(COUNTIF($E$7:$E2149,$E952)&gt;1,"",IFERROR(VLOOKUP($E952,Orders!$A:$I,9,FALSE),"")))</f>
        <v/>
      </c>
      <c r="T952" s="88" t="str">
        <f t="shared" si="14"/>
        <v/>
      </c>
      <c r="U952" s="88" t="str">
        <f>IF($F952="","",IF($E952="",T952,SUMIF(Sales!$E$7:$E$1506,$E952,Sales!$T$7:$T$1506)))</f>
        <v/>
      </c>
      <c r="V952" s="49" t="str">
        <f t="shared" si="15"/>
        <v/>
      </c>
      <c r="W952" s="49" t="str">
        <f t="array" ref="W952">IF($V952="","",SUMPRODUCT((Sales!$V$7:$V$1506&lt;&gt;"")*(Sales!$E$7:$E$1506&lt;$E952))+1)</f>
        <v/>
      </c>
      <c r="X952" s="49" t="str">
        <f t="shared" si="16"/>
        <v/>
      </c>
      <c r="Y952" s="49" t="str">
        <f t="shared" si="17"/>
        <v/>
      </c>
    </row>
    <row r="953" ht="15.75" customHeight="1">
      <c r="A953" s="82"/>
      <c r="B953" s="83"/>
      <c r="C953" s="83"/>
      <c r="D953" s="83"/>
      <c r="E953" s="83"/>
      <c r="F953" s="83"/>
      <c r="G953" s="83" t="str">
        <f>IF($F953="","",IFERROR(VLOOKUP($F953,Inventory!$A:$B,2,FALSE),""))</f>
        <v/>
      </c>
      <c r="H953" s="83"/>
      <c r="I953" s="84" t="str">
        <f t="shared" si="2"/>
        <v/>
      </c>
      <c r="J953" s="85" t="str">
        <f>IF($F953="","",IFERROR(VLOOKUP($F953,Inventory!$A:$K,11,FALSE),0))</f>
        <v/>
      </c>
      <c r="K953" s="85"/>
      <c r="L953" s="85" t="str">
        <f t="shared" si="12"/>
        <v/>
      </c>
      <c r="M953" s="83"/>
      <c r="N953" s="85" t="str">
        <f>IF($F953="","",IFERROR(VLOOKUP($F953,Inventory!$A:$I,9,FALSE),0))</f>
        <v/>
      </c>
      <c r="O953" s="85" t="str">
        <f t="shared" si="13"/>
        <v/>
      </c>
      <c r="P953" s="85" t="str">
        <f t="shared" si="5"/>
        <v/>
      </c>
      <c r="Q953" s="83"/>
      <c r="R953" s="118" t="str">
        <f>IF($E953="","",IF(COUNTIF($E$7:$E2150,$E953)&gt;1,"",IFERROR(VLOOKUP($E953,Orders!$A:$I,8,FALSE),"")))</f>
        <v/>
      </c>
      <c r="S953" s="118" t="str">
        <f>IF($E953="","",IF(COUNTIF($E$7:$E2150,$E953)&gt;1,"",IFERROR(VLOOKUP($E953,Orders!$A:$I,9,FALSE),"")))</f>
        <v/>
      </c>
      <c r="T953" s="88" t="str">
        <f t="shared" si="14"/>
        <v/>
      </c>
      <c r="U953" s="88" t="str">
        <f>IF($F953="","",IF($E953="",T953,SUMIF(Sales!$E$7:$E$1506,$E953,Sales!$T$7:$T$1506)))</f>
        <v/>
      </c>
      <c r="V953" s="49" t="str">
        <f t="shared" si="15"/>
        <v/>
      </c>
      <c r="W953" s="49" t="str">
        <f t="array" ref="W953">IF($V953="","",SUMPRODUCT((Sales!$V$7:$V$1506&lt;&gt;"")*(Sales!$E$7:$E$1506&lt;$E953))+1)</f>
        <v/>
      </c>
      <c r="X953" s="49" t="str">
        <f t="shared" si="16"/>
        <v/>
      </c>
      <c r="Y953" s="49" t="str">
        <f t="shared" si="17"/>
        <v/>
      </c>
    </row>
    <row r="954" ht="15.75" customHeight="1">
      <c r="A954" s="82"/>
      <c r="B954" s="83"/>
      <c r="C954" s="83"/>
      <c r="D954" s="83"/>
      <c r="E954" s="83"/>
      <c r="F954" s="83"/>
      <c r="G954" s="83" t="str">
        <f>IF($F954="","",IFERROR(VLOOKUP($F954,Inventory!$A:$B,2,FALSE),""))</f>
        <v/>
      </c>
      <c r="H954" s="83"/>
      <c r="I954" s="84" t="str">
        <f t="shared" si="2"/>
        <v/>
      </c>
      <c r="J954" s="85" t="str">
        <f>IF($F954="","",IFERROR(VLOOKUP($F954,Inventory!$A:$K,11,FALSE),0))</f>
        <v/>
      </c>
      <c r="K954" s="85"/>
      <c r="L954" s="85" t="str">
        <f t="shared" si="12"/>
        <v/>
      </c>
      <c r="M954" s="83"/>
      <c r="N954" s="85" t="str">
        <f>IF($F954="","",IFERROR(VLOOKUP($F954,Inventory!$A:$I,9,FALSE),0))</f>
        <v/>
      </c>
      <c r="O954" s="85" t="str">
        <f t="shared" si="13"/>
        <v/>
      </c>
      <c r="P954" s="85" t="str">
        <f t="shared" si="5"/>
        <v/>
      </c>
      <c r="Q954" s="83"/>
      <c r="R954" s="118" t="str">
        <f>IF($E954="","",IF(COUNTIF($E$7:$E2151,$E954)&gt;1,"",IFERROR(VLOOKUP($E954,Orders!$A:$I,8,FALSE),"")))</f>
        <v/>
      </c>
      <c r="S954" s="118" t="str">
        <f>IF($E954="","",IF(COUNTIF($E$7:$E2151,$E954)&gt;1,"",IFERROR(VLOOKUP($E954,Orders!$A:$I,9,FALSE),"")))</f>
        <v/>
      </c>
      <c r="T954" s="88" t="str">
        <f t="shared" si="14"/>
        <v/>
      </c>
      <c r="U954" s="88" t="str">
        <f>IF($F954="","",IF($E954="",T954,SUMIF(Sales!$E$7:$E$1506,$E954,Sales!$T$7:$T$1506)))</f>
        <v/>
      </c>
      <c r="V954" s="49" t="str">
        <f t="shared" si="15"/>
        <v/>
      </c>
      <c r="W954" s="49" t="str">
        <f t="array" ref="W954">IF($V954="","",SUMPRODUCT((Sales!$V$7:$V$1506&lt;&gt;"")*(Sales!$E$7:$E$1506&lt;$E954))+1)</f>
        <v/>
      </c>
      <c r="X954" s="49" t="str">
        <f t="shared" si="16"/>
        <v/>
      </c>
      <c r="Y954" s="49" t="str">
        <f t="shared" si="17"/>
        <v/>
      </c>
    </row>
    <row r="955" ht="15.75" customHeight="1">
      <c r="A955" s="82"/>
      <c r="B955" s="83"/>
      <c r="C955" s="83"/>
      <c r="D955" s="83"/>
      <c r="E955" s="83"/>
      <c r="F955" s="83"/>
      <c r="G955" s="83" t="str">
        <f>IF($F955="","",IFERROR(VLOOKUP($F955,Inventory!$A:$B,2,FALSE),""))</f>
        <v/>
      </c>
      <c r="H955" s="83"/>
      <c r="I955" s="84" t="str">
        <f t="shared" si="2"/>
        <v/>
      </c>
      <c r="J955" s="85" t="str">
        <f>IF($F955="","",IFERROR(VLOOKUP($F955,Inventory!$A:$K,11,FALSE),0))</f>
        <v/>
      </c>
      <c r="K955" s="85"/>
      <c r="L955" s="85" t="str">
        <f t="shared" si="12"/>
        <v/>
      </c>
      <c r="M955" s="83"/>
      <c r="N955" s="85" t="str">
        <f>IF($F955="","",IFERROR(VLOOKUP($F955,Inventory!$A:$I,9,FALSE),0))</f>
        <v/>
      </c>
      <c r="O955" s="85" t="str">
        <f t="shared" si="13"/>
        <v/>
      </c>
      <c r="P955" s="85" t="str">
        <f t="shared" si="5"/>
        <v/>
      </c>
      <c r="Q955" s="83"/>
      <c r="R955" s="118" t="str">
        <f>IF($E955="","",IF(COUNTIF($E$7:$E2152,$E955)&gt;1,"",IFERROR(VLOOKUP($E955,Orders!$A:$I,8,FALSE),"")))</f>
        <v/>
      </c>
      <c r="S955" s="118" t="str">
        <f>IF($E955="","",IF(COUNTIF($E$7:$E2152,$E955)&gt;1,"",IFERROR(VLOOKUP($E955,Orders!$A:$I,9,FALSE),"")))</f>
        <v/>
      </c>
      <c r="T955" s="88" t="str">
        <f t="shared" si="14"/>
        <v/>
      </c>
      <c r="U955" s="88" t="str">
        <f>IF($F955="","",IF($E955="",T955,SUMIF(Sales!$E$7:$E$1506,$E955,Sales!$T$7:$T$1506)))</f>
        <v/>
      </c>
      <c r="V955" s="49" t="str">
        <f t="shared" si="15"/>
        <v/>
      </c>
      <c r="W955" s="49" t="str">
        <f t="array" ref="W955">IF($V955="","",SUMPRODUCT((Sales!$V$7:$V$1506&lt;&gt;"")*(Sales!$E$7:$E$1506&lt;$E955))+1)</f>
        <v/>
      </c>
      <c r="X955" s="49" t="str">
        <f t="shared" si="16"/>
        <v/>
      </c>
      <c r="Y955" s="49" t="str">
        <f t="shared" si="17"/>
        <v/>
      </c>
    </row>
    <row r="956" ht="15.75" customHeight="1">
      <c r="A956" s="82"/>
      <c r="B956" s="83"/>
      <c r="C956" s="83"/>
      <c r="D956" s="83"/>
      <c r="E956" s="83"/>
      <c r="F956" s="83"/>
      <c r="G956" s="83" t="str">
        <f>IF($F956="","",IFERROR(VLOOKUP($F956,Inventory!$A:$B,2,FALSE),""))</f>
        <v/>
      </c>
      <c r="H956" s="83"/>
      <c r="I956" s="84" t="str">
        <f t="shared" si="2"/>
        <v/>
      </c>
      <c r="J956" s="85" t="str">
        <f>IF($F956="","",IFERROR(VLOOKUP($F956,Inventory!$A:$K,11,FALSE),0))</f>
        <v/>
      </c>
      <c r="K956" s="85"/>
      <c r="L956" s="85" t="str">
        <f t="shared" si="12"/>
        <v/>
      </c>
      <c r="M956" s="83"/>
      <c r="N956" s="85" t="str">
        <f>IF($F956="","",IFERROR(VLOOKUP($F956,Inventory!$A:$I,9,FALSE),0))</f>
        <v/>
      </c>
      <c r="O956" s="85" t="str">
        <f t="shared" si="13"/>
        <v/>
      </c>
      <c r="P956" s="85" t="str">
        <f t="shared" si="5"/>
        <v/>
      </c>
      <c r="Q956" s="83"/>
      <c r="R956" s="118" t="str">
        <f>IF($E956="","",IF(COUNTIF($E$7:$E2153,$E956)&gt;1,"",IFERROR(VLOOKUP($E956,Orders!$A:$I,8,FALSE),"")))</f>
        <v/>
      </c>
      <c r="S956" s="118" t="str">
        <f>IF($E956="","",IF(COUNTIF($E$7:$E2153,$E956)&gt;1,"",IFERROR(VLOOKUP($E956,Orders!$A:$I,9,FALSE),"")))</f>
        <v/>
      </c>
      <c r="T956" s="88" t="str">
        <f t="shared" si="14"/>
        <v/>
      </c>
      <c r="U956" s="88" t="str">
        <f>IF($F956="","",IF($E956="",T956,SUMIF(Sales!$E$7:$E$1506,$E956,Sales!$T$7:$T$1506)))</f>
        <v/>
      </c>
      <c r="V956" s="49" t="str">
        <f t="shared" si="15"/>
        <v/>
      </c>
      <c r="W956" s="49" t="str">
        <f t="array" ref="W956">IF($V956="","",SUMPRODUCT((Sales!$V$7:$V$1506&lt;&gt;"")*(Sales!$E$7:$E$1506&lt;$E956))+1)</f>
        <v/>
      </c>
      <c r="X956" s="49" t="str">
        <f t="shared" si="16"/>
        <v/>
      </c>
      <c r="Y956" s="49" t="str">
        <f t="shared" si="17"/>
        <v/>
      </c>
    </row>
    <row r="957" ht="15.75" customHeight="1">
      <c r="A957" s="82"/>
      <c r="B957" s="83"/>
      <c r="C957" s="83"/>
      <c r="D957" s="83"/>
      <c r="E957" s="83"/>
      <c r="F957" s="83"/>
      <c r="G957" s="83" t="str">
        <f>IF($F957="","",IFERROR(VLOOKUP($F957,Inventory!$A:$B,2,FALSE),""))</f>
        <v/>
      </c>
      <c r="H957" s="83"/>
      <c r="I957" s="84" t="str">
        <f t="shared" si="2"/>
        <v/>
      </c>
      <c r="J957" s="85" t="str">
        <f>IF($F957="","",IFERROR(VLOOKUP($F957,Inventory!$A:$K,11,FALSE),0))</f>
        <v/>
      </c>
      <c r="K957" s="85"/>
      <c r="L957" s="85" t="str">
        <f t="shared" si="12"/>
        <v/>
      </c>
      <c r="M957" s="83"/>
      <c r="N957" s="85" t="str">
        <f>IF($F957="","",IFERROR(VLOOKUP($F957,Inventory!$A:$I,9,FALSE),0))</f>
        <v/>
      </c>
      <c r="O957" s="85" t="str">
        <f t="shared" si="13"/>
        <v/>
      </c>
      <c r="P957" s="85" t="str">
        <f t="shared" si="5"/>
        <v/>
      </c>
      <c r="Q957" s="83"/>
      <c r="R957" s="118" t="str">
        <f>IF($E957="","",IF(COUNTIF($E$7:$E2154,$E957)&gt;1,"",IFERROR(VLOOKUP($E957,Orders!$A:$I,8,FALSE),"")))</f>
        <v/>
      </c>
      <c r="S957" s="118" t="str">
        <f>IF($E957="","",IF(COUNTIF($E$7:$E2154,$E957)&gt;1,"",IFERROR(VLOOKUP($E957,Orders!$A:$I,9,FALSE),"")))</f>
        <v/>
      </c>
      <c r="T957" s="88" t="str">
        <f t="shared" si="14"/>
        <v/>
      </c>
      <c r="U957" s="88" t="str">
        <f>IF($F957="","",IF($E957="",T957,SUMIF(Sales!$E$7:$E$1506,$E957,Sales!$T$7:$T$1506)))</f>
        <v/>
      </c>
      <c r="V957" s="49" t="str">
        <f t="shared" si="15"/>
        <v/>
      </c>
      <c r="W957" s="49" t="str">
        <f t="array" ref="W957">IF($V957="","",SUMPRODUCT((Sales!$V$7:$V$1506&lt;&gt;"")*(Sales!$E$7:$E$1506&lt;$E957))+1)</f>
        <v/>
      </c>
      <c r="X957" s="49" t="str">
        <f t="shared" si="16"/>
        <v/>
      </c>
      <c r="Y957" s="49" t="str">
        <f t="shared" si="17"/>
        <v/>
      </c>
    </row>
    <row r="958" ht="15.75" customHeight="1">
      <c r="A958" s="82"/>
      <c r="B958" s="83"/>
      <c r="C958" s="83"/>
      <c r="D958" s="83"/>
      <c r="E958" s="83"/>
      <c r="F958" s="83"/>
      <c r="G958" s="83" t="str">
        <f>IF($F958="","",IFERROR(VLOOKUP($F958,Inventory!$A:$B,2,FALSE),""))</f>
        <v/>
      </c>
      <c r="H958" s="83"/>
      <c r="I958" s="84" t="str">
        <f t="shared" si="2"/>
        <v/>
      </c>
      <c r="J958" s="85" t="str">
        <f>IF($F958="","",IFERROR(VLOOKUP($F958,Inventory!$A:$K,11,FALSE),0))</f>
        <v/>
      </c>
      <c r="K958" s="85"/>
      <c r="L958" s="85" t="str">
        <f t="shared" si="12"/>
        <v/>
      </c>
      <c r="M958" s="83"/>
      <c r="N958" s="85" t="str">
        <f>IF($F958="","",IFERROR(VLOOKUP($F958,Inventory!$A:$I,9,FALSE),0))</f>
        <v/>
      </c>
      <c r="O958" s="85" t="str">
        <f t="shared" si="13"/>
        <v/>
      </c>
      <c r="P958" s="85" t="str">
        <f t="shared" si="5"/>
        <v/>
      </c>
      <c r="Q958" s="83"/>
      <c r="R958" s="118" t="str">
        <f>IF($E958="","",IF(COUNTIF($E$7:$E2155,$E958)&gt;1,"",IFERROR(VLOOKUP($E958,Orders!$A:$I,8,FALSE),"")))</f>
        <v/>
      </c>
      <c r="S958" s="118" t="str">
        <f>IF($E958="","",IF(COUNTIF($E$7:$E2155,$E958)&gt;1,"",IFERROR(VLOOKUP($E958,Orders!$A:$I,9,FALSE),"")))</f>
        <v/>
      </c>
      <c r="T958" s="88" t="str">
        <f t="shared" si="14"/>
        <v/>
      </c>
      <c r="U958" s="88" t="str">
        <f>IF($F958="","",IF($E958="",T958,SUMIF(Sales!$E$7:$E$1506,$E958,Sales!$T$7:$T$1506)))</f>
        <v/>
      </c>
      <c r="V958" s="49" t="str">
        <f t="shared" si="15"/>
        <v/>
      </c>
      <c r="W958" s="49" t="str">
        <f t="array" ref="W958">IF($V958="","",SUMPRODUCT((Sales!$V$7:$V$1506&lt;&gt;"")*(Sales!$E$7:$E$1506&lt;$E958))+1)</f>
        <v/>
      </c>
      <c r="X958" s="49" t="str">
        <f t="shared" si="16"/>
        <v/>
      </c>
      <c r="Y958" s="49" t="str">
        <f t="shared" si="17"/>
        <v/>
      </c>
    </row>
    <row r="959" ht="15.75" customHeight="1">
      <c r="A959" s="82"/>
      <c r="B959" s="83"/>
      <c r="C959" s="83"/>
      <c r="D959" s="83"/>
      <c r="E959" s="83"/>
      <c r="F959" s="83"/>
      <c r="G959" s="83" t="str">
        <f>IF($F959="","",IFERROR(VLOOKUP($F959,Inventory!$A:$B,2,FALSE),""))</f>
        <v/>
      </c>
      <c r="H959" s="83"/>
      <c r="I959" s="84" t="str">
        <f t="shared" si="2"/>
        <v/>
      </c>
      <c r="J959" s="85" t="str">
        <f>IF($F959="","",IFERROR(VLOOKUP($F959,Inventory!$A:$K,11,FALSE),0))</f>
        <v/>
      </c>
      <c r="K959" s="85"/>
      <c r="L959" s="85" t="str">
        <f t="shared" si="12"/>
        <v/>
      </c>
      <c r="M959" s="83"/>
      <c r="N959" s="85" t="str">
        <f>IF($F959="","",IFERROR(VLOOKUP($F959,Inventory!$A:$I,9,FALSE),0))</f>
        <v/>
      </c>
      <c r="O959" s="85" t="str">
        <f t="shared" si="13"/>
        <v/>
      </c>
      <c r="P959" s="85" t="str">
        <f t="shared" si="5"/>
        <v/>
      </c>
      <c r="Q959" s="83"/>
      <c r="R959" s="118" t="str">
        <f>IF($E959="","",IF(COUNTIF($E$7:$E2156,$E959)&gt;1,"",IFERROR(VLOOKUP($E959,Orders!$A:$I,8,FALSE),"")))</f>
        <v/>
      </c>
      <c r="S959" s="118" t="str">
        <f>IF($E959="","",IF(COUNTIF($E$7:$E2156,$E959)&gt;1,"",IFERROR(VLOOKUP($E959,Orders!$A:$I,9,FALSE),"")))</f>
        <v/>
      </c>
      <c r="T959" s="88" t="str">
        <f t="shared" si="14"/>
        <v/>
      </c>
      <c r="U959" s="88" t="str">
        <f>IF($F959="","",IF($E959="",T959,SUMIF(Sales!$E$7:$E$1506,$E959,Sales!$T$7:$T$1506)))</f>
        <v/>
      </c>
      <c r="V959" s="49" t="str">
        <f t="shared" si="15"/>
        <v/>
      </c>
      <c r="W959" s="49" t="str">
        <f t="array" ref="W959">IF($V959="","",SUMPRODUCT((Sales!$V$7:$V$1506&lt;&gt;"")*(Sales!$E$7:$E$1506&lt;$E959))+1)</f>
        <v/>
      </c>
      <c r="X959" s="49" t="str">
        <f t="shared" si="16"/>
        <v/>
      </c>
      <c r="Y959" s="49" t="str">
        <f t="shared" si="17"/>
        <v/>
      </c>
    </row>
    <row r="960" ht="15.75" customHeight="1">
      <c r="A960" s="82"/>
      <c r="B960" s="83"/>
      <c r="C960" s="83"/>
      <c r="D960" s="83"/>
      <c r="E960" s="83"/>
      <c r="F960" s="83"/>
      <c r="G960" s="83" t="str">
        <f>IF($F960="","",IFERROR(VLOOKUP($F960,Inventory!$A:$B,2,FALSE),""))</f>
        <v/>
      </c>
      <c r="H960" s="83"/>
      <c r="I960" s="84" t="str">
        <f t="shared" si="2"/>
        <v/>
      </c>
      <c r="J960" s="85" t="str">
        <f>IF($F960="","",IFERROR(VLOOKUP($F960,Inventory!$A:$K,11,FALSE),0))</f>
        <v/>
      </c>
      <c r="K960" s="85"/>
      <c r="L960" s="85" t="str">
        <f t="shared" si="12"/>
        <v/>
      </c>
      <c r="M960" s="83"/>
      <c r="N960" s="85" t="str">
        <f>IF($F960="","",IFERROR(VLOOKUP($F960,Inventory!$A:$I,9,FALSE),0))</f>
        <v/>
      </c>
      <c r="O960" s="85" t="str">
        <f t="shared" si="13"/>
        <v/>
      </c>
      <c r="P960" s="85" t="str">
        <f t="shared" si="5"/>
        <v/>
      </c>
      <c r="Q960" s="83"/>
      <c r="R960" s="118" t="str">
        <f>IF($E960="","",IF(COUNTIF($E$7:$E2157,$E960)&gt;1,"",IFERROR(VLOOKUP($E960,Orders!$A:$I,8,FALSE),"")))</f>
        <v/>
      </c>
      <c r="S960" s="118" t="str">
        <f>IF($E960="","",IF(COUNTIF($E$7:$E2157,$E960)&gt;1,"",IFERROR(VLOOKUP($E960,Orders!$A:$I,9,FALSE),"")))</f>
        <v/>
      </c>
      <c r="T960" s="88" t="str">
        <f t="shared" si="14"/>
        <v/>
      </c>
      <c r="U960" s="88" t="str">
        <f>IF($F960="","",IF($E960="",T960,SUMIF(Sales!$E$7:$E$1506,$E960,Sales!$T$7:$T$1506)))</f>
        <v/>
      </c>
      <c r="V960" s="49" t="str">
        <f t="shared" si="15"/>
        <v/>
      </c>
      <c r="W960" s="49" t="str">
        <f t="array" ref="W960">IF($V960="","",SUMPRODUCT((Sales!$V$7:$V$1506&lt;&gt;"")*(Sales!$E$7:$E$1506&lt;$E960))+1)</f>
        <v/>
      </c>
      <c r="X960" s="49" t="str">
        <f t="shared" si="16"/>
        <v/>
      </c>
      <c r="Y960" s="49" t="str">
        <f t="shared" si="17"/>
        <v/>
      </c>
    </row>
    <row r="961" ht="15.75" customHeight="1">
      <c r="A961" s="82"/>
      <c r="B961" s="83"/>
      <c r="C961" s="83"/>
      <c r="D961" s="83"/>
      <c r="E961" s="83"/>
      <c r="F961" s="83"/>
      <c r="G961" s="83" t="str">
        <f>IF($F961="","",IFERROR(VLOOKUP($F961,Inventory!$A:$B,2,FALSE),""))</f>
        <v/>
      </c>
      <c r="H961" s="83"/>
      <c r="I961" s="84" t="str">
        <f t="shared" si="2"/>
        <v/>
      </c>
      <c r="J961" s="85" t="str">
        <f>IF($F961="","",IFERROR(VLOOKUP($F961,Inventory!$A:$K,11,FALSE),0))</f>
        <v/>
      </c>
      <c r="K961" s="85"/>
      <c r="L961" s="85" t="str">
        <f t="shared" si="12"/>
        <v/>
      </c>
      <c r="M961" s="83"/>
      <c r="N961" s="85" t="str">
        <f>IF($F961="","",IFERROR(VLOOKUP($F961,Inventory!$A:$I,9,FALSE),0))</f>
        <v/>
      </c>
      <c r="O961" s="85" t="str">
        <f t="shared" si="13"/>
        <v/>
      </c>
      <c r="P961" s="85" t="str">
        <f t="shared" si="5"/>
        <v/>
      </c>
      <c r="Q961" s="83"/>
      <c r="R961" s="118" t="str">
        <f>IF($E961="","",IF(COUNTIF($E$7:$E2158,$E961)&gt;1,"",IFERROR(VLOOKUP($E961,Orders!$A:$I,8,FALSE),"")))</f>
        <v/>
      </c>
      <c r="S961" s="118" t="str">
        <f>IF($E961="","",IF(COUNTIF($E$7:$E2158,$E961)&gt;1,"",IFERROR(VLOOKUP($E961,Orders!$A:$I,9,FALSE),"")))</f>
        <v/>
      </c>
      <c r="T961" s="88" t="str">
        <f t="shared" si="14"/>
        <v/>
      </c>
      <c r="U961" s="88" t="str">
        <f>IF($F961="","",IF($E961="",T961,SUMIF(Sales!$E$7:$E$1506,$E961,Sales!$T$7:$T$1506)))</f>
        <v/>
      </c>
      <c r="V961" s="49" t="str">
        <f t="shared" si="15"/>
        <v/>
      </c>
      <c r="W961" s="49" t="str">
        <f t="array" ref="W961">IF($V961="","",SUMPRODUCT((Sales!$V$7:$V$1506&lt;&gt;"")*(Sales!$E$7:$E$1506&lt;$E961))+1)</f>
        <v/>
      </c>
      <c r="X961" s="49" t="str">
        <f t="shared" si="16"/>
        <v/>
      </c>
      <c r="Y961" s="49" t="str">
        <f t="shared" si="17"/>
        <v/>
      </c>
    </row>
    <row r="962" ht="15.75" customHeight="1">
      <c r="A962" s="82"/>
      <c r="B962" s="83"/>
      <c r="C962" s="83"/>
      <c r="D962" s="83"/>
      <c r="E962" s="83"/>
      <c r="F962" s="83"/>
      <c r="G962" s="83" t="str">
        <f>IF($F962="","",IFERROR(VLOOKUP($F962,Inventory!$A:$B,2,FALSE),""))</f>
        <v/>
      </c>
      <c r="H962" s="83"/>
      <c r="I962" s="84" t="str">
        <f t="shared" si="2"/>
        <v/>
      </c>
      <c r="J962" s="85" t="str">
        <f>IF($F962="","",IFERROR(VLOOKUP($F962,Inventory!$A:$K,11,FALSE),0))</f>
        <v/>
      </c>
      <c r="K962" s="85"/>
      <c r="L962" s="85" t="str">
        <f t="shared" si="12"/>
        <v/>
      </c>
      <c r="M962" s="83"/>
      <c r="N962" s="85" t="str">
        <f>IF($F962="","",IFERROR(VLOOKUP($F962,Inventory!$A:$I,9,FALSE),0))</f>
        <v/>
      </c>
      <c r="O962" s="85" t="str">
        <f t="shared" si="13"/>
        <v/>
      </c>
      <c r="P962" s="85" t="str">
        <f t="shared" si="5"/>
        <v/>
      </c>
      <c r="Q962" s="83"/>
      <c r="R962" s="118" t="str">
        <f>IF($E962="","",IF(COUNTIF($E$7:$E2159,$E962)&gt;1,"",IFERROR(VLOOKUP($E962,Orders!$A:$I,8,FALSE),"")))</f>
        <v/>
      </c>
      <c r="S962" s="118" t="str">
        <f>IF($E962="","",IF(COUNTIF($E$7:$E2159,$E962)&gt;1,"",IFERROR(VLOOKUP($E962,Orders!$A:$I,9,FALSE),"")))</f>
        <v/>
      </c>
      <c r="T962" s="88" t="str">
        <f t="shared" si="14"/>
        <v/>
      </c>
      <c r="U962" s="88" t="str">
        <f>IF($F962="","",IF($E962="",T962,SUMIF(Sales!$E$7:$E$1506,$E962,Sales!$T$7:$T$1506)))</f>
        <v/>
      </c>
      <c r="V962" s="49" t="str">
        <f t="shared" si="15"/>
        <v/>
      </c>
      <c r="W962" s="49" t="str">
        <f t="array" ref="W962">IF($V962="","",SUMPRODUCT((Sales!$V$7:$V$1506&lt;&gt;"")*(Sales!$E$7:$E$1506&lt;$E962))+1)</f>
        <v/>
      </c>
      <c r="X962" s="49" t="str">
        <f t="shared" si="16"/>
        <v/>
      </c>
      <c r="Y962" s="49" t="str">
        <f t="shared" si="17"/>
        <v/>
      </c>
    </row>
    <row r="963" ht="15.75" customHeight="1">
      <c r="A963" s="82"/>
      <c r="B963" s="83"/>
      <c r="C963" s="83"/>
      <c r="D963" s="83"/>
      <c r="E963" s="83"/>
      <c r="F963" s="83"/>
      <c r="G963" s="83" t="str">
        <f>IF($F963="","",IFERROR(VLOOKUP($F963,Inventory!$A:$B,2,FALSE),""))</f>
        <v/>
      </c>
      <c r="H963" s="83"/>
      <c r="I963" s="84" t="str">
        <f t="shared" si="2"/>
        <v/>
      </c>
      <c r="J963" s="85" t="str">
        <f>IF($F963="","",IFERROR(VLOOKUP($F963,Inventory!$A:$K,11,FALSE),0))</f>
        <v/>
      </c>
      <c r="K963" s="85"/>
      <c r="L963" s="85" t="str">
        <f t="shared" si="12"/>
        <v/>
      </c>
      <c r="M963" s="83"/>
      <c r="N963" s="85" t="str">
        <f>IF($F963="","",IFERROR(VLOOKUP($F963,Inventory!$A:$I,9,FALSE),0))</f>
        <v/>
      </c>
      <c r="O963" s="85" t="str">
        <f t="shared" si="13"/>
        <v/>
      </c>
      <c r="P963" s="85" t="str">
        <f t="shared" si="5"/>
        <v/>
      </c>
      <c r="Q963" s="83"/>
      <c r="R963" s="118" t="str">
        <f>IF($E963="","",IF(COUNTIF($E$7:$E2160,$E963)&gt;1,"",IFERROR(VLOOKUP($E963,Orders!$A:$I,8,FALSE),"")))</f>
        <v/>
      </c>
      <c r="S963" s="118" t="str">
        <f>IF($E963="","",IF(COUNTIF($E$7:$E2160,$E963)&gt;1,"",IFERROR(VLOOKUP($E963,Orders!$A:$I,9,FALSE),"")))</f>
        <v/>
      </c>
      <c r="T963" s="88" t="str">
        <f t="shared" si="14"/>
        <v/>
      </c>
      <c r="U963" s="88" t="str">
        <f>IF($F963="","",IF($E963="",T963,SUMIF(Sales!$E$7:$E$1506,$E963,Sales!$T$7:$T$1506)))</f>
        <v/>
      </c>
      <c r="V963" s="49" t="str">
        <f t="shared" si="15"/>
        <v/>
      </c>
      <c r="W963" s="49" t="str">
        <f t="array" ref="W963">IF($V963="","",SUMPRODUCT((Sales!$V$7:$V$1506&lt;&gt;"")*(Sales!$E$7:$E$1506&lt;$E963))+1)</f>
        <v/>
      </c>
      <c r="X963" s="49" t="str">
        <f t="shared" si="16"/>
        <v/>
      </c>
      <c r="Y963" s="49" t="str">
        <f t="shared" si="17"/>
        <v/>
      </c>
    </row>
    <row r="964" ht="15.75" customHeight="1">
      <c r="A964" s="82"/>
      <c r="B964" s="83"/>
      <c r="C964" s="83"/>
      <c r="D964" s="83"/>
      <c r="E964" s="83"/>
      <c r="F964" s="83"/>
      <c r="G964" s="83" t="str">
        <f>IF($F964="","",IFERROR(VLOOKUP($F964,Inventory!$A:$B,2,FALSE),""))</f>
        <v/>
      </c>
      <c r="H964" s="83"/>
      <c r="I964" s="84" t="str">
        <f t="shared" si="2"/>
        <v/>
      </c>
      <c r="J964" s="85" t="str">
        <f>IF($F964="","",IFERROR(VLOOKUP($F964,Inventory!$A:$K,11,FALSE),0))</f>
        <v/>
      </c>
      <c r="K964" s="85"/>
      <c r="L964" s="85" t="str">
        <f t="shared" si="12"/>
        <v/>
      </c>
      <c r="M964" s="83"/>
      <c r="N964" s="85" t="str">
        <f>IF($F964="","",IFERROR(VLOOKUP($F964,Inventory!$A:$I,9,FALSE),0))</f>
        <v/>
      </c>
      <c r="O964" s="85" t="str">
        <f t="shared" si="13"/>
        <v/>
      </c>
      <c r="P964" s="85" t="str">
        <f t="shared" si="5"/>
        <v/>
      </c>
      <c r="Q964" s="83"/>
      <c r="R964" s="118" t="str">
        <f>IF($E964="","",IF(COUNTIF($E$7:$E2161,$E964)&gt;1,"",IFERROR(VLOOKUP($E964,Orders!$A:$I,8,FALSE),"")))</f>
        <v/>
      </c>
      <c r="S964" s="118" t="str">
        <f>IF($E964="","",IF(COUNTIF($E$7:$E2161,$E964)&gt;1,"",IFERROR(VLOOKUP($E964,Orders!$A:$I,9,FALSE),"")))</f>
        <v/>
      </c>
      <c r="T964" s="88" t="str">
        <f t="shared" si="14"/>
        <v/>
      </c>
      <c r="U964" s="88" t="str">
        <f>IF($F964="","",IF($E964="",T964,SUMIF(Sales!$E$7:$E$1506,$E964,Sales!$T$7:$T$1506)))</f>
        <v/>
      </c>
      <c r="V964" s="49" t="str">
        <f t="shared" si="15"/>
        <v/>
      </c>
      <c r="W964" s="49" t="str">
        <f t="array" ref="W964">IF($V964="","",SUMPRODUCT((Sales!$V$7:$V$1506&lt;&gt;"")*(Sales!$E$7:$E$1506&lt;$E964))+1)</f>
        <v/>
      </c>
      <c r="X964" s="49" t="str">
        <f t="shared" si="16"/>
        <v/>
      </c>
      <c r="Y964" s="49" t="str">
        <f t="shared" si="17"/>
        <v/>
      </c>
    </row>
    <row r="965" ht="15.75" customHeight="1">
      <c r="A965" s="82"/>
      <c r="B965" s="83"/>
      <c r="C965" s="83"/>
      <c r="D965" s="83"/>
      <c r="E965" s="83"/>
      <c r="F965" s="83"/>
      <c r="G965" s="83" t="str">
        <f>IF($F965="","",IFERROR(VLOOKUP($F965,Inventory!$A:$B,2,FALSE),""))</f>
        <v/>
      </c>
      <c r="H965" s="83"/>
      <c r="I965" s="84" t="str">
        <f t="shared" si="2"/>
        <v/>
      </c>
      <c r="J965" s="85" t="str">
        <f>IF($F965="","",IFERROR(VLOOKUP($F965,Inventory!$A:$K,11,FALSE),0))</f>
        <v/>
      </c>
      <c r="K965" s="85"/>
      <c r="L965" s="85" t="str">
        <f t="shared" si="12"/>
        <v/>
      </c>
      <c r="M965" s="83"/>
      <c r="N965" s="85" t="str">
        <f>IF($F965="","",IFERROR(VLOOKUP($F965,Inventory!$A:$I,9,FALSE),0))</f>
        <v/>
      </c>
      <c r="O965" s="85" t="str">
        <f t="shared" si="13"/>
        <v/>
      </c>
      <c r="P965" s="85" t="str">
        <f t="shared" si="5"/>
        <v/>
      </c>
      <c r="Q965" s="83"/>
      <c r="R965" s="118" t="str">
        <f>IF($E965="","",IF(COUNTIF($E$7:$E2162,$E965)&gt;1,"",IFERROR(VLOOKUP($E965,Orders!$A:$I,8,FALSE),"")))</f>
        <v/>
      </c>
      <c r="S965" s="118" t="str">
        <f>IF($E965="","",IF(COUNTIF($E$7:$E2162,$E965)&gt;1,"",IFERROR(VLOOKUP($E965,Orders!$A:$I,9,FALSE),"")))</f>
        <v/>
      </c>
      <c r="T965" s="88" t="str">
        <f t="shared" si="14"/>
        <v/>
      </c>
      <c r="U965" s="88" t="str">
        <f>IF($F965="","",IF($E965="",T965,SUMIF(Sales!$E$7:$E$1506,$E965,Sales!$T$7:$T$1506)))</f>
        <v/>
      </c>
      <c r="V965" s="49" t="str">
        <f t="shared" si="15"/>
        <v/>
      </c>
      <c r="W965" s="49" t="str">
        <f t="array" ref="W965">IF($V965="","",SUMPRODUCT((Sales!$V$7:$V$1506&lt;&gt;"")*(Sales!$E$7:$E$1506&lt;$E965))+1)</f>
        <v/>
      </c>
      <c r="X965" s="49" t="str">
        <f t="shared" si="16"/>
        <v/>
      </c>
      <c r="Y965" s="49" t="str">
        <f t="shared" si="17"/>
        <v/>
      </c>
    </row>
    <row r="966" ht="15.75" customHeight="1">
      <c r="A966" s="82"/>
      <c r="B966" s="83"/>
      <c r="C966" s="83"/>
      <c r="D966" s="83"/>
      <c r="E966" s="83"/>
      <c r="F966" s="83"/>
      <c r="G966" s="83" t="str">
        <f>IF($F966="","",IFERROR(VLOOKUP($F966,Inventory!$A:$B,2,FALSE),""))</f>
        <v/>
      </c>
      <c r="H966" s="83"/>
      <c r="I966" s="84" t="str">
        <f t="shared" si="2"/>
        <v/>
      </c>
      <c r="J966" s="85" t="str">
        <f>IF($F966="","",IFERROR(VLOOKUP($F966,Inventory!$A:$K,11,FALSE),0))</f>
        <v/>
      </c>
      <c r="K966" s="85"/>
      <c r="L966" s="85" t="str">
        <f t="shared" si="12"/>
        <v/>
      </c>
      <c r="M966" s="83"/>
      <c r="N966" s="85" t="str">
        <f>IF($F966="","",IFERROR(VLOOKUP($F966,Inventory!$A:$I,9,FALSE),0))</f>
        <v/>
      </c>
      <c r="O966" s="85" t="str">
        <f t="shared" si="13"/>
        <v/>
      </c>
      <c r="P966" s="85" t="str">
        <f t="shared" si="5"/>
        <v/>
      </c>
      <c r="Q966" s="83"/>
      <c r="R966" s="118" t="str">
        <f>IF($E966="","",IF(COUNTIF($E$7:$E2163,$E966)&gt;1,"",IFERROR(VLOOKUP($E966,Orders!$A:$I,8,FALSE),"")))</f>
        <v/>
      </c>
      <c r="S966" s="118" t="str">
        <f>IF($E966="","",IF(COUNTIF($E$7:$E2163,$E966)&gt;1,"",IFERROR(VLOOKUP($E966,Orders!$A:$I,9,FALSE),"")))</f>
        <v/>
      </c>
      <c r="T966" s="88" t="str">
        <f t="shared" si="14"/>
        <v/>
      </c>
      <c r="U966" s="88" t="str">
        <f>IF($F966="","",IF($E966="",T966,SUMIF(Sales!$E$7:$E$1506,$E966,Sales!$T$7:$T$1506)))</f>
        <v/>
      </c>
      <c r="V966" s="49" t="str">
        <f t="shared" si="15"/>
        <v/>
      </c>
      <c r="W966" s="49" t="str">
        <f t="array" ref="W966">IF($V966="","",SUMPRODUCT((Sales!$V$7:$V$1506&lt;&gt;"")*(Sales!$E$7:$E$1506&lt;$E966))+1)</f>
        <v/>
      </c>
      <c r="X966" s="49" t="str">
        <f t="shared" si="16"/>
        <v/>
      </c>
      <c r="Y966" s="49" t="str">
        <f t="shared" si="17"/>
        <v/>
      </c>
    </row>
    <row r="967" ht="15.75" customHeight="1">
      <c r="A967" s="82"/>
      <c r="B967" s="83"/>
      <c r="C967" s="83"/>
      <c r="D967" s="83"/>
      <c r="E967" s="83"/>
      <c r="F967" s="83"/>
      <c r="G967" s="83" t="str">
        <f>IF($F967="","",IFERROR(VLOOKUP($F967,Inventory!$A:$B,2,FALSE),""))</f>
        <v/>
      </c>
      <c r="H967" s="83"/>
      <c r="I967" s="84" t="str">
        <f t="shared" si="2"/>
        <v/>
      </c>
      <c r="J967" s="85" t="str">
        <f>IF($F967="","",IFERROR(VLOOKUP($F967,Inventory!$A:$K,11,FALSE),0))</f>
        <v/>
      </c>
      <c r="K967" s="85"/>
      <c r="L967" s="85" t="str">
        <f t="shared" si="12"/>
        <v/>
      </c>
      <c r="M967" s="83"/>
      <c r="N967" s="85" t="str">
        <f>IF($F967="","",IFERROR(VLOOKUP($F967,Inventory!$A:$I,9,FALSE),0))</f>
        <v/>
      </c>
      <c r="O967" s="85" t="str">
        <f t="shared" si="13"/>
        <v/>
      </c>
      <c r="P967" s="85" t="str">
        <f t="shared" si="5"/>
        <v/>
      </c>
      <c r="Q967" s="83"/>
      <c r="R967" s="118" t="str">
        <f>IF($E967="","",IF(COUNTIF($E$7:$E2164,$E967)&gt;1,"",IFERROR(VLOOKUP($E967,Orders!$A:$I,8,FALSE),"")))</f>
        <v/>
      </c>
      <c r="S967" s="118" t="str">
        <f>IF($E967="","",IF(COUNTIF($E$7:$E2164,$E967)&gt;1,"",IFERROR(VLOOKUP($E967,Orders!$A:$I,9,FALSE),"")))</f>
        <v/>
      </c>
      <c r="T967" s="88" t="str">
        <f t="shared" si="14"/>
        <v/>
      </c>
      <c r="U967" s="88" t="str">
        <f>IF($F967="","",IF($E967="",T967,SUMIF(Sales!$E$7:$E$1506,$E967,Sales!$T$7:$T$1506)))</f>
        <v/>
      </c>
      <c r="V967" s="49" t="str">
        <f t="shared" si="15"/>
        <v/>
      </c>
      <c r="W967" s="49" t="str">
        <f t="array" ref="W967">IF($V967="","",SUMPRODUCT((Sales!$V$7:$V$1506&lt;&gt;"")*(Sales!$E$7:$E$1506&lt;$E967))+1)</f>
        <v/>
      </c>
      <c r="X967" s="49" t="str">
        <f t="shared" si="16"/>
        <v/>
      </c>
      <c r="Y967" s="49" t="str">
        <f t="shared" si="17"/>
        <v/>
      </c>
    </row>
    <row r="968" ht="15.75" customHeight="1">
      <c r="A968" s="82"/>
      <c r="B968" s="83"/>
      <c r="C968" s="83"/>
      <c r="D968" s="83"/>
      <c r="E968" s="83"/>
      <c r="F968" s="83"/>
      <c r="G968" s="83" t="str">
        <f>IF($F968="","",IFERROR(VLOOKUP($F968,Inventory!$A:$B,2,FALSE),""))</f>
        <v/>
      </c>
      <c r="H968" s="83"/>
      <c r="I968" s="84" t="str">
        <f t="shared" si="2"/>
        <v/>
      </c>
      <c r="J968" s="85" t="str">
        <f>IF($F968="","",IFERROR(VLOOKUP($F968,Inventory!$A:$K,11,FALSE),0))</f>
        <v/>
      </c>
      <c r="K968" s="85"/>
      <c r="L968" s="85" t="str">
        <f t="shared" si="12"/>
        <v/>
      </c>
      <c r="M968" s="83"/>
      <c r="N968" s="85" t="str">
        <f>IF($F968="","",IFERROR(VLOOKUP($F968,Inventory!$A:$I,9,FALSE),0))</f>
        <v/>
      </c>
      <c r="O968" s="85" t="str">
        <f t="shared" si="13"/>
        <v/>
      </c>
      <c r="P968" s="85" t="str">
        <f t="shared" si="5"/>
        <v/>
      </c>
      <c r="Q968" s="83"/>
      <c r="R968" s="118" t="str">
        <f>IF($E968="","",IF(COUNTIF($E$7:$E2165,$E968)&gt;1,"",IFERROR(VLOOKUP($E968,Orders!$A:$I,8,FALSE),"")))</f>
        <v/>
      </c>
      <c r="S968" s="118" t="str">
        <f>IF($E968="","",IF(COUNTIF($E$7:$E2165,$E968)&gt;1,"",IFERROR(VLOOKUP($E968,Orders!$A:$I,9,FALSE),"")))</f>
        <v/>
      </c>
      <c r="T968" s="88" t="str">
        <f t="shared" si="14"/>
        <v/>
      </c>
      <c r="U968" s="88" t="str">
        <f>IF($F968="","",IF($E968="",T968,SUMIF(Sales!$E$7:$E$1506,$E968,Sales!$T$7:$T$1506)))</f>
        <v/>
      </c>
      <c r="V968" s="49" t="str">
        <f t="shared" si="15"/>
        <v/>
      </c>
      <c r="W968" s="49" t="str">
        <f t="array" ref="W968">IF($V968="","",SUMPRODUCT((Sales!$V$7:$V$1506&lt;&gt;"")*(Sales!$E$7:$E$1506&lt;$E968))+1)</f>
        <v/>
      </c>
      <c r="X968" s="49" t="str">
        <f t="shared" si="16"/>
        <v/>
      </c>
      <c r="Y968" s="49" t="str">
        <f t="shared" si="17"/>
        <v/>
      </c>
    </row>
    <row r="969" ht="15.75" customHeight="1">
      <c r="A969" s="82"/>
      <c r="B969" s="83"/>
      <c r="C969" s="83"/>
      <c r="D969" s="83"/>
      <c r="E969" s="83"/>
      <c r="F969" s="83"/>
      <c r="G969" s="83" t="str">
        <f>IF($F969="","",IFERROR(VLOOKUP($F969,Inventory!$A:$B,2,FALSE),""))</f>
        <v/>
      </c>
      <c r="H969" s="83"/>
      <c r="I969" s="84" t="str">
        <f t="shared" si="2"/>
        <v/>
      </c>
      <c r="J969" s="85" t="str">
        <f>IF($F969="","",IFERROR(VLOOKUP($F969,Inventory!$A:$K,11,FALSE),0))</f>
        <v/>
      </c>
      <c r="K969" s="85"/>
      <c r="L969" s="85" t="str">
        <f t="shared" si="12"/>
        <v/>
      </c>
      <c r="M969" s="83"/>
      <c r="N969" s="85" t="str">
        <f>IF($F969="","",IFERROR(VLOOKUP($F969,Inventory!$A:$I,9,FALSE),0))</f>
        <v/>
      </c>
      <c r="O969" s="85" t="str">
        <f t="shared" si="13"/>
        <v/>
      </c>
      <c r="P969" s="85" t="str">
        <f t="shared" si="5"/>
        <v/>
      </c>
      <c r="Q969" s="83"/>
      <c r="R969" s="118" t="str">
        <f>IF($E969="","",IF(COUNTIF($E$7:$E2166,$E969)&gt;1,"",IFERROR(VLOOKUP($E969,Orders!$A:$I,8,FALSE),"")))</f>
        <v/>
      </c>
      <c r="S969" s="118" t="str">
        <f>IF($E969="","",IF(COUNTIF($E$7:$E2166,$E969)&gt;1,"",IFERROR(VLOOKUP($E969,Orders!$A:$I,9,FALSE),"")))</f>
        <v/>
      </c>
      <c r="T969" s="88" t="str">
        <f t="shared" si="14"/>
        <v/>
      </c>
      <c r="U969" s="88" t="str">
        <f>IF($F969="","",IF($E969="",T969,SUMIF(Sales!$E$7:$E$1506,$E969,Sales!$T$7:$T$1506)))</f>
        <v/>
      </c>
      <c r="V969" s="49" t="str">
        <f t="shared" si="15"/>
        <v/>
      </c>
      <c r="W969" s="49" t="str">
        <f t="array" ref="W969">IF($V969="","",SUMPRODUCT((Sales!$V$7:$V$1506&lt;&gt;"")*(Sales!$E$7:$E$1506&lt;$E969))+1)</f>
        <v/>
      </c>
      <c r="X969" s="49" t="str">
        <f t="shared" si="16"/>
        <v/>
      </c>
      <c r="Y969" s="49" t="str">
        <f t="shared" si="17"/>
        <v/>
      </c>
    </row>
    <row r="970" ht="15.75" customHeight="1">
      <c r="A970" s="82"/>
      <c r="B970" s="83"/>
      <c r="C970" s="83"/>
      <c r="D970" s="83"/>
      <c r="E970" s="83"/>
      <c r="F970" s="83"/>
      <c r="G970" s="83" t="str">
        <f>IF($F970="","",IFERROR(VLOOKUP($F970,Inventory!$A:$B,2,FALSE),""))</f>
        <v/>
      </c>
      <c r="H970" s="83"/>
      <c r="I970" s="84" t="str">
        <f t="shared" si="2"/>
        <v/>
      </c>
      <c r="J970" s="85" t="str">
        <f>IF($F970="","",IFERROR(VLOOKUP($F970,Inventory!$A:$K,11,FALSE),0))</f>
        <v/>
      </c>
      <c r="K970" s="85"/>
      <c r="L970" s="85" t="str">
        <f t="shared" si="12"/>
        <v/>
      </c>
      <c r="M970" s="83"/>
      <c r="N970" s="85" t="str">
        <f>IF($F970="","",IFERROR(VLOOKUP($F970,Inventory!$A:$I,9,FALSE),0))</f>
        <v/>
      </c>
      <c r="O970" s="85" t="str">
        <f t="shared" si="13"/>
        <v/>
      </c>
      <c r="P970" s="85" t="str">
        <f t="shared" si="5"/>
        <v/>
      </c>
      <c r="Q970" s="83"/>
      <c r="R970" s="118" t="str">
        <f>IF($E970="","",IF(COUNTIF($E$7:$E2167,$E970)&gt;1,"",IFERROR(VLOOKUP($E970,Orders!$A:$I,8,FALSE),"")))</f>
        <v/>
      </c>
      <c r="S970" s="118" t="str">
        <f>IF($E970="","",IF(COUNTIF($E$7:$E2167,$E970)&gt;1,"",IFERROR(VLOOKUP($E970,Orders!$A:$I,9,FALSE),"")))</f>
        <v/>
      </c>
      <c r="T970" s="88" t="str">
        <f t="shared" si="14"/>
        <v/>
      </c>
      <c r="U970" s="88" t="str">
        <f>IF($F970="","",IF($E970="",T970,SUMIF(Sales!$E$7:$E$1506,$E970,Sales!$T$7:$T$1506)))</f>
        <v/>
      </c>
      <c r="V970" s="49" t="str">
        <f t="shared" si="15"/>
        <v/>
      </c>
      <c r="W970" s="49" t="str">
        <f t="array" ref="W970">IF($V970="","",SUMPRODUCT((Sales!$V$7:$V$1506&lt;&gt;"")*(Sales!$E$7:$E$1506&lt;$E970))+1)</f>
        <v/>
      </c>
      <c r="X970" s="49" t="str">
        <f t="shared" si="16"/>
        <v/>
      </c>
      <c r="Y970" s="49" t="str">
        <f t="shared" si="17"/>
        <v/>
      </c>
    </row>
    <row r="971" ht="15.75" customHeight="1">
      <c r="A971" s="82"/>
      <c r="B971" s="83"/>
      <c r="C971" s="83"/>
      <c r="D971" s="83"/>
      <c r="E971" s="83"/>
      <c r="F971" s="83"/>
      <c r="G971" s="83" t="str">
        <f>IF($F971="","",IFERROR(VLOOKUP($F971,Inventory!$A:$B,2,FALSE),""))</f>
        <v/>
      </c>
      <c r="H971" s="83"/>
      <c r="I971" s="84" t="str">
        <f t="shared" si="2"/>
        <v/>
      </c>
      <c r="J971" s="85" t="str">
        <f>IF($F971="","",IFERROR(VLOOKUP($F971,Inventory!$A:$K,11,FALSE),0))</f>
        <v/>
      </c>
      <c r="K971" s="85"/>
      <c r="L971" s="85" t="str">
        <f t="shared" si="12"/>
        <v/>
      </c>
      <c r="M971" s="83"/>
      <c r="N971" s="85" t="str">
        <f>IF($F971="","",IFERROR(VLOOKUP($F971,Inventory!$A:$I,9,FALSE),0))</f>
        <v/>
      </c>
      <c r="O971" s="85" t="str">
        <f t="shared" si="13"/>
        <v/>
      </c>
      <c r="P971" s="85" t="str">
        <f t="shared" si="5"/>
        <v/>
      </c>
      <c r="Q971" s="83"/>
      <c r="R971" s="118" t="str">
        <f>IF($E971="","",IF(COUNTIF($E$7:$E2168,$E971)&gt;1,"",IFERROR(VLOOKUP($E971,Orders!$A:$I,8,FALSE),"")))</f>
        <v/>
      </c>
      <c r="S971" s="118" t="str">
        <f>IF($E971="","",IF(COUNTIF($E$7:$E2168,$E971)&gt;1,"",IFERROR(VLOOKUP($E971,Orders!$A:$I,9,FALSE),"")))</f>
        <v/>
      </c>
      <c r="T971" s="88" t="str">
        <f t="shared" si="14"/>
        <v/>
      </c>
      <c r="U971" s="88" t="str">
        <f>IF($F971="","",IF($E971="",T971,SUMIF(Sales!$E$7:$E$1506,$E971,Sales!$T$7:$T$1506)))</f>
        <v/>
      </c>
      <c r="V971" s="49" t="str">
        <f t="shared" si="15"/>
        <v/>
      </c>
      <c r="W971" s="49" t="str">
        <f t="array" ref="W971">IF($V971="","",SUMPRODUCT((Sales!$V$7:$V$1506&lt;&gt;"")*(Sales!$E$7:$E$1506&lt;$E971))+1)</f>
        <v/>
      </c>
      <c r="X971" s="49" t="str">
        <f t="shared" si="16"/>
        <v/>
      </c>
      <c r="Y971" s="49" t="str">
        <f t="shared" si="17"/>
        <v/>
      </c>
    </row>
    <row r="972" ht="15.75" customHeight="1">
      <c r="A972" s="82"/>
      <c r="B972" s="83"/>
      <c r="C972" s="83"/>
      <c r="D972" s="83"/>
      <c r="E972" s="83"/>
      <c r="F972" s="83"/>
      <c r="G972" s="83" t="str">
        <f>IF($F972="","",IFERROR(VLOOKUP($F972,Inventory!$A:$B,2,FALSE),""))</f>
        <v/>
      </c>
      <c r="H972" s="83"/>
      <c r="I972" s="84" t="str">
        <f t="shared" si="2"/>
        <v/>
      </c>
      <c r="J972" s="85" t="str">
        <f>IF($F972="","",IFERROR(VLOOKUP($F972,Inventory!$A:$K,11,FALSE),0))</f>
        <v/>
      </c>
      <c r="K972" s="85"/>
      <c r="L972" s="85" t="str">
        <f t="shared" si="12"/>
        <v/>
      </c>
      <c r="M972" s="83"/>
      <c r="N972" s="85" t="str">
        <f>IF($F972="","",IFERROR(VLOOKUP($F972,Inventory!$A:$I,9,FALSE),0))</f>
        <v/>
      </c>
      <c r="O972" s="85" t="str">
        <f t="shared" si="13"/>
        <v/>
      </c>
      <c r="P972" s="85" t="str">
        <f t="shared" si="5"/>
        <v/>
      </c>
      <c r="Q972" s="83"/>
      <c r="R972" s="118" t="str">
        <f>IF($E972="","",IF(COUNTIF($E$7:$E2169,$E972)&gt;1,"",IFERROR(VLOOKUP($E972,Orders!$A:$I,8,FALSE),"")))</f>
        <v/>
      </c>
      <c r="S972" s="118" t="str">
        <f>IF($E972="","",IF(COUNTIF($E$7:$E2169,$E972)&gt;1,"",IFERROR(VLOOKUP($E972,Orders!$A:$I,9,FALSE),"")))</f>
        <v/>
      </c>
      <c r="T972" s="88" t="str">
        <f t="shared" si="14"/>
        <v/>
      </c>
      <c r="U972" s="88" t="str">
        <f>IF($F972="","",IF($E972="",T972,SUMIF(Sales!$E$7:$E$1506,$E972,Sales!$T$7:$T$1506)))</f>
        <v/>
      </c>
      <c r="V972" s="49" t="str">
        <f t="shared" si="15"/>
        <v/>
      </c>
      <c r="W972" s="49" t="str">
        <f t="array" ref="W972">IF($V972="","",SUMPRODUCT((Sales!$V$7:$V$1506&lt;&gt;"")*(Sales!$E$7:$E$1506&lt;$E972))+1)</f>
        <v/>
      </c>
      <c r="X972" s="49" t="str">
        <f t="shared" si="16"/>
        <v/>
      </c>
      <c r="Y972" s="49" t="str">
        <f t="shared" si="17"/>
        <v/>
      </c>
    </row>
    <row r="973" ht="15.75" customHeight="1">
      <c r="A973" s="82"/>
      <c r="B973" s="83"/>
      <c r="C973" s="83"/>
      <c r="D973" s="83"/>
      <c r="E973" s="83"/>
      <c r="F973" s="83"/>
      <c r="G973" s="83" t="str">
        <f>IF($F973="","",IFERROR(VLOOKUP($F973,Inventory!$A:$B,2,FALSE),""))</f>
        <v/>
      </c>
      <c r="H973" s="83"/>
      <c r="I973" s="84" t="str">
        <f t="shared" si="2"/>
        <v/>
      </c>
      <c r="J973" s="85" t="str">
        <f>IF($F973="","",IFERROR(VLOOKUP($F973,Inventory!$A:$K,11,FALSE),0))</f>
        <v/>
      </c>
      <c r="K973" s="85"/>
      <c r="L973" s="85" t="str">
        <f t="shared" si="12"/>
        <v/>
      </c>
      <c r="M973" s="83"/>
      <c r="N973" s="85" t="str">
        <f>IF($F973="","",IFERROR(VLOOKUP($F973,Inventory!$A:$I,9,FALSE),0))</f>
        <v/>
      </c>
      <c r="O973" s="85" t="str">
        <f t="shared" si="13"/>
        <v/>
      </c>
      <c r="P973" s="85" t="str">
        <f t="shared" si="5"/>
        <v/>
      </c>
      <c r="Q973" s="83"/>
      <c r="R973" s="118" t="str">
        <f>IF($E973="","",IF(COUNTIF($E$7:$E2170,$E973)&gt;1,"",IFERROR(VLOOKUP($E973,Orders!$A:$I,8,FALSE),"")))</f>
        <v/>
      </c>
      <c r="S973" s="118" t="str">
        <f>IF($E973="","",IF(COUNTIF($E$7:$E2170,$E973)&gt;1,"",IFERROR(VLOOKUP($E973,Orders!$A:$I,9,FALSE),"")))</f>
        <v/>
      </c>
      <c r="T973" s="88" t="str">
        <f t="shared" si="14"/>
        <v/>
      </c>
      <c r="U973" s="88" t="str">
        <f>IF($F973="","",IF($E973="",T973,SUMIF(Sales!$E$7:$E$1506,$E973,Sales!$T$7:$T$1506)))</f>
        <v/>
      </c>
      <c r="V973" s="49" t="str">
        <f t="shared" si="15"/>
        <v/>
      </c>
      <c r="W973" s="49" t="str">
        <f t="array" ref="W973">IF($V973="","",SUMPRODUCT((Sales!$V$7:$V$1506&lt;&gt;"")*(Sales!$E$7:$E$1506&lt;$E973))+1)</f>
        <v/>
      </c>
      <c r="X973" s="49" t="str">
        <f t="shared" si="16"/>
        <v/>
      </c>
      <c r="Y973" s="49" t="str">
        <f t="shared" si="17"/>
        <v/>
      </c>
    </row>
    <row r="974" ht="15.75" customHeight="1">
      <c r="A974" s="82"/>
      <c r="B974" s="83"/>
      <c r="C974" s="83"/>
      <c r="D974" s="83"/>
      <c r="E974" s="83"/>
      <c r="F974" s="83"/>
      <c r="G974" s="83" t="str">
        <f>IF($F974="","",IFERROR(VLOOKUP($F974,Inventory!$A:$B,2,FALSE),""))</f>
        <v/>
      </c>
      <c r="H974" s="83"/>
      <c r="I974" s="84" t="str">
        <f t="shared" si="2"/>
        <v/>
      </c>
      <c r="J974" s="85" t="str">
        <f>IF($F974="","",IFERROR(VLOOKUP($F974,Inventory!$A:$K,11,FALSE),0))</f>
        <v/>
      </c>
      <c r="K974" s="85"/>
      <c r="L974" s="85" t="str">
        <f t="shared" si="12"/>
        <v/>
      </c>
      <c r="M974" s="83"/>
      <c r="N974" s="85" t="str">
        <f>IF($F974="","",IFERROR(VLOOKUP($F974,Inventory!$A:$I,9,FALSE),0))</f>
        <v/>
      </c>
      <c r="O974" s="85" t="str">
        <f t="shared" si="13"/>
        <v/>
      </c>
      <c r="P974" s="85" t="str">
        <f t="shared" si="5"/>
        <v/>
      </c>
      <c r="Q974" s="83"/>
      <c r="R974" s="118" t="str">
        <f>IF($E974="","",IF(COUNTIF($E$7:$E2171,$E974)&gt;1,"",IFERROR(VLOOKUP($E974,Orders!$A:$I,8,FALSE),"")))</f>
        <v/>
      </c>
      <c r="S974" s="118" t="str">
        <f>IF($E974="","",IF(COUNTIF($E$7:$E2171,$E974)&gt;1,"",IFERROR(VLOOKUP($E974,Orders!$A:$I,9,FALSE),"")))</f>
        <v/>
      </c>
      <c r="T974" s="88" t="str">
        <f t="shared" si="14"/>
        <v/>
      </c>
      <c r="U974" s="88" t="str">
        <f>IF($F974="","",IF($E974="",T974,SUMIF(Sales!$E$7:$E$1506,$E974,Sales!$T$7:$T$1506)))</f>
        <v/>
      </c>
      <c r="V974" s="49" t="str">
        <f t="shared" si="15"/>
        <v/>
      </c>
      <c r="W974" s="49" t="str">
        <f t="array" ref="W974">IF($V974="","",SUMPRODUCT((Sales!$V$7:$V$1506&lt;&gt;"")*(Sales!$E$7:$E$1506&lt;$E974))+1)</f>
        <v/>
      </c>
      <c r="X974" s="49" t="str">
        <f t="shared" si="16"/>
        <v/>
      </c>
      <c r="Y974" s="49" t="str">
        <f t="shared" si="17"/>
        <v/>
      </c>
    </row>
    <row r="975" ht="15.75" customHeight="1">
      <c r="A975" s="82"/>
      <c r="B975" s="83"/>
      <c r="C975" s="83"/>
      <c r="D975" s="83"/>
      <c r="E975" s="83"/>
      <c r="F975" s="83"/>
      <c r="G975" s="83" t="str">
        <f>IF($F975="","",IFERROR(VLOOKUP($F975,Inventory!$A:$B,2,FALSE),""))</f>
        <v/>
      </c>
      <c r="H975" s="83"/>
      <c r="I975" s="84" t="str">
        <f t="shared" si="2"/>
        <v/>
      </c>
      <c r="J975" s="85" t="str">
        <f>IF($F975="","",IFERROR(VLOOKUP($F975,Inventory!$A:$K,11,FALSE),0))</f>
        <v/>
      </c>
      <c r="K975" s="85"/>
      <c r="L975" s="85" t="str">
        <f t="shared" si="12"/>
        <v/>
      </c>
      <c r="M975" s="83"/>
      <c r="N975" s="85" t="str">
        <f>IF($F975="","",IFERROR(VLOOKUP($F975,Inventory!$A:$I,9,FALSE),0))</f>
        <v/>
      </c>
      <c r="O975" s="85" t="str">
        <f t="shared" si="13"/>
        <v/>
      </c>
      <c r="P975" s="85" t="str">
        <f t="shared" si="5"/>
        <v/>
      </c>
      <c r="Q975" s="83"/>
      <c r="R975" s="118" t="str">
        <f>IF($E975="","",IF(COUNTIF($E$7:$E2172,$E975)&gt;1,"",IFERROR(VLOOKUP($E975,Orders!$A:$I,8,FALSE),"")))</f>
        <v/>
      </c>
      <c r="S975" s="118" t="str">
        <f>IF($E975="","",IF(COUNTIF($E$7:$E2172,$E975)&gt;1,"",IFERROR(VLOOKUP($E975,Orders!$A:$I,9,FALSE),"")))</f>
        <v/>
      </c>
      <c r="T975" s="88" t="str">
        <f t="shared" si="14"/>
        <v/>
      </c>
      <c r="U975" s="88" t="str">
        <f>IF($F975="","",IF($E975="",T975,SUMIF(Sales!$E$7:$E$1506,$E975,Sales!$T$7:$T$1506)))</f>
        <v/>
      </c>
      <c r="V975" s="49" t="str">
        <f t="shared" si="15"/>
        <v/>
      </c>
      <c r="W975" s="49" t="str">
        <f t="array" ref="W975">IF($V975="","",SUMPRODUCT((Sales!$V$7:$V$1506&lt;&gt;"")*(Sales!$E$7:$E$1506&lt;$E975))+1)</f>
        <v/>
      </c>
      <c r="X975" s="49" t="str">
        <f t="shared" si="16"/>
        <v/>
      </c>
      <c r="Y975" s="49" t="str">
        <f t="shared" si="17"/>
        <v/>
      </c>
    </row>
    <row r="976" ht="15.75" customHeight="1">
      <c r="A976" s="82"/>
      <c r="B976" s="83"/>
      <c r="C976" s="83"/>
      <c r="D976" s="83"/>
      <c r="E976" s="83"/>
      <c r="F976" s="83"/>
      <c r="G976" s="83" t="str">
        <f>IF($F976="","",IFERROR(VLOOKUP($F976,Inventory!$A:$B,2,FALSE),""))</f>
        <v/>
      </c>
      <c r="H976" s="83"/>
      <c r="I976" s="84" t="str">
        <f t="shared" si="2"/>
        <v/>
      </c>
      <c r="J976" s="85" t="str">
        <f>IF($F976="","",IFERROR(VLOOKUP($F976,Inventory!$A:$K,11,FALSE),0))</f>
        <v/>
      </c>
      <c r="K976" s="85"/>
      <c r="L976" s="85" t="str">
        <f t="shared" si="12"/>
        <v/>
      </c>
      <c r="M976" s="83"/>
      <c r="N976" s="85" t="str">
        <f>IF($F976="","",IFERROR(VLOOKUP($F976,Inventory!$A:$I,9,FALSE),0))</f>
        <v/>
      </c>
      <c r="O976" s="85" t="str">
        <f t="shared" si="13"/>
        <v/>
      </c>
      <c r="P976" s="85" t="str">
        <f t="shared" si="5"/>
        <v/>
      </c>
      <c r="Q976" s="83"/>
      <c r="R976" s="118" t="str">
        <f>IF($E976="","",IF(COUNTIF($E$7:$E2173,$E976)&gt;1,"",IFERROR(VLOOKUP($E976,Orders!$A:$I,8,FALSE),"")))</f>
        <v/>
      </c>
      <c r="S976" s="118" t="str">
        <f>IF($E976="","",IF(COUNTIF($E$7:$E2173,$E976)&gt;1,"",IFERROR(VLOOKUP($E976,Orders!$A:$I,9,FALSE),"")))</f>
        <v/>
      </c>
      <c r="T976" s="88" t="str">
        <f t="shared" si="14"/>
        <v/>
      </c>
      <c r="U976" s="88" t="str">
        <f>IF($F976="","",IF($E976="",T976,SUMIF(Sales!$E$7:$E$1506,$E976,Sales!$T$7:$T$1506)))</f>
        <v/>
      </c>
      <c r="V976" s="49" t="str">
        <f t="shared" si="15"/>
        <v/>
      </c>
      <c r="W976" s="49" t="str">
        <f t="array" ref="W976">IF($V976="","",SUMPRODUCT((Sales!$V$7:$V$1506&lt;&gt;"")*(Sales!$E$7:$E$1506&lt;$E976))+1)</f>
        <v/>
      </c>
      <c r="X976" s="49" t="str">
        <f t="shared" si="16"/>
        <v/>
      </c>
      <c r="Y976" s="49" t="str">
        <f t="shared" si="17"/>
        <v/>
      </c>
    </row>
    <row r="977" ht="15.75" customHeight="1">
      <c r="A977" s="82"/>
      <c r="B977" s="83"/>
      <c r="C977" s="83"/>
      <c r="D977" s="83"/>
      <c r="E977" s="83"/>
      <c r="F977" s="83"/>
      <c r="G977" s="83" t="str">
        <f>IF($F977="","",IFERROR(VLOOKUP($F977,Inventory!$A:$B,2,FALSE),""))</f>
        <v/>
      </c>
      <c r="H977" s="83"/>
      <c r="I977" s="84" t="str">
        <f t="shared" si="2"/>
        <v/>
      </c>
      <c r="J977" s="85" t="str">
        <f>IF($F977="","",IFERROR(VLOOKUP($F977,Inventory!$A:$K,11,FALSE),0))</f>
        <v/>
      </c>
      <c r="K977" s="85"/>
      <c r="L977" s="85" t="str">
        <f t="shared" si="12"/>
        <v/>
      </c>
      <c r="M977" s="83"/>
      <c r="N977" s="85" t="str">
        <f>IF($F977="","",IFERROR(VLOOKUP($F977,Inventory!$A:$I,9,FALSE),0))</f>
        <v/>
      </c>
      <c r="O977" s="85" t="str">
        <f t="shared" si="13"/>
        <v/>
      </c>
      <c r="P977" s="85" t="str">
        <f t="shared" si="5"/>
        <v/>
      </c>
      <c r="Q977" s="83"/>
      <c r="R977" s="118" t="str">
        <f>IF($E977="","",IF(COUNTIF($E$7:$E2174,$E977)&gt;1,"",IFERROR(VLOOKUP($E977,Orders!$A:$I,8,FALSE),"")))</f>
        <v/>
      </c>
      <c r="S977" s="118" t="str">
        <f>IF($E977="","",IF(COUNTIF($E$7:$E2174,$E977)&gt;1,"",IFERROR(VLOOKUP($E977,Orders!$A:$I,9,FALSE),"")))</f>
        <v/>
      </c>
      <c r="T977" s="88" t="str">
        <f t="shared" si="14"/>
        <v/>
      </c>
      <c r="U977" s="88" t="str">
        <f>IF($F977="","",IF($E977="",T977,SUMIF(Sales!$E$7:$E$1506,$E977,Sales!$T$7:$T$1506)))</f>
        <v/>
      </c>
      <c r="V977" s="49" t="str">
        <f t="shared" si="15"/>
        <v/>
      </c>
      <c r="W977" s="49" t="str">
        <f t="array" ref="W977">IF($V977="","",SUMPRODUCT((Sales!$V$7:$V$1506&lt;&gt;"")*(Sales!$E$7:$E$1506&lt;$E977))+1)</f>
        <v/>
      </c>
      <c r="X977" s="49" t="str">
        <f t="shared" si="16"/>
        <v/>
      </c>
      <c r="Y977" s="49" t="str">
        <f t="shared" si="17"/>
        <v/>
      </c>
    </row>
    <row r="978" ht="15.75" customHeight="1">
      <c r="A978" s="82"/>
      <c r="B978" s="83"/>
      <c r="C978" s="83"/>
      <c r="D978" s="83"/>
      <c r="E978" s="83"/>
      <c r="F978" s="83"/>
      <c r="G978" s="83" t="str">
        <f>IF($F978="","",IFERROR(VLOOKUP($F978,Inventory!$A:$B,2,FALSE),""))</f>
        <v/>
      </c>
      <c r="H978" s="83"/>
      <c r="I978" s="84" t="str">
        <f t="shared" si="2"/>
        <v/>
      </c>
      <c r="J978" s="85" t="str">
        <f>IF($F978="","",IFERROR(VLOOKUP($F978,Inventory!$A:$K,11,FALSE),0))</f>
        <v/>
      </c>
      <c r="K978" s="85"/>
      <c r="L978" s="85" t="str">
        <f t="shared" si="12"/>
        <v/>
      </c>
      <c r="M978" s="83"/>
      <c r="N978" s="85" t="str">
        <f>IF($F978="","",IFERROR(VLOOKUP($F978,Inventory!$A:$I,9,FALSE),0))</f>
        <v/>
      </c>
      <c r="O978" s="85" t="str">
        <f t="shared" si="13"/>
        <v/>
      </c>
      <c r="P978" s="85" t="str">
        <f t="shared" si="5"/>
        <v/>
      </c>
      <c r="Q978" s="83"/>
      <c r="R978" s="118" t="str">
        <f>IF($E978="","",IF(COUNTIF($E$7:$E2175,$E978)&gt;1,"",IFERROR(VLOOKUP($E978,Orders!$A:$I,8,FALSE),"")))</f>
        <v/>
      </c>
      <c r="S978" s="118" t="str">
        <f>IF($E978="","",IF(COUNTIF($E$7:$E2175,$E978)&gt;1,"",IFERROR(VLOOKUP($E978,Orders!$A:$I,9,FALSE),"")))</f>
        <v/>
      </c>
      <c r="T978" s="88" t="str">
        <f t="shared" si="14"/>
        <v/>
      </c>
      <c r="U978" s="88" t="str">
        <f>IF($F978="","",IF($E978="",T978,SUMIF(Sales!$E$7:$E$1506,$E978,Sales!$T$7:$T$1506)))</f>
        <v/>
      </c>
      <c r="V978" s="49" t="str">
        <f t="shared" si="15"/>
        <v/>
      </c>
      <c r="W978" s="49" t="str">
        <f t="array" ref="W978">IF($V978="","",SUMPRODUCT((Sales!$V$7:$V$1506&lt;&gt;"")*(Sales!$E$7:$E$1506&lt;$E978))+1)</f>
        <v/>
      </c>
      <c r="X978" s="49" t="str">
        <f t="shared" si="16"/>
        <v/>
      </c>
      <c r="Y978" s="49" t="str">
        <f t="shared" si="17"/>
        <v/>
      </c>
    </row>
    <row r="979" ht="15.75" customHeight="1">
      <c r="A979" s="82"/>
      <c r="B979" s="83"/>
      <c r="C979" s="83"/>
      <c r="D979" s="83"/>
      <c r="E979" s="83"/>
      <c r="F979" s="83"/>
      <c r="G979" s="83" t="str">
        <f>IF($F979="","",IFERROR(VLOOKUP($F979,Inventory!$A:$B,2,FALSE),""))</f>
        <v/>
      </c>
      <c r="H979" s="83"/>
      <c r="I979" s="84" t="str">
        <f t="shared" si="2"/>
        <v/>
      </c>
      <c r="J979" s="85" t="str">
        <f>IF($F979="","",IFERROR(VLOOKUP($F979,Inventory!$A:$K,11,FALSE),0))</f>
        <v/>
      </c>
      <c r="K979" s="85"/>
      <c r="L979" s="85" t="str">
        <f t="shared" si="12"/>
        <v/>
      </c>
      <c r="M979" s="83"/>
      <c r="N979" s="85" t="str">
        <f>IF($F979="","",IFERROR(VLOOKUP($F979,Inventory!$A:$I,9,FALSE),0))</f>
        <v/>
      </c>
      <c r="O979" s="85" t="str">
        <f t="shared" si="13"/>
        <v/>
      </c>
      <c r="P979" s="85" t="str">
        <f t="shared" si="5"/>
        <v/>
      </c>
      <c r="Q979" s="83"/>
      <c r="R979" s="118" t="str">
        <f>IF($E979="","",IF(COUNTIF($E$7:$E2176,$E979)&gt;1,"",IFERROR(VLOOKUP($E979,Orders!$A:$I,8,FALSE),"")))</f>
        <v/>
      </c>
      <c r="S979" s="118" t="str">
        <f>IF($E979="","",IF(COUNTIF($E$7:$E2176,$E979)&gt;1,"",IFERROR(VLOOKUP($E979,Orders!$A:$I,9,FALSE),"")))</f>
        <v/>
      </c>
      <c r="T979" s="88" t="str">
        <f t="shared" si="14"/>
        <v/>
      </c>
      <c r="U979" s="88" t="str">
        <f>IF($F979="","",IF($E979="",T979,SUMIF(Sales!$E$7:$E$1506,$E979,Sales!$T$7:$T$1506)))</f>
        <v/>
      </c>
      <c r="V979" s="49" t="str">
        <f t="shared" si="15"/>
        <v/>
      </c>
      <c r="W979" s="49" t="str">
        <f t="array" ref="W979">IF($V979="","",SUMPRODUCT((Sales!$V$7:$V$1506&lt;&gt;"")*(Sales!$E$7:$E$1506&lt;$E979))+1)</f>
        <v/>
      </c>
      <c r="X979" s="49" t="str">
        <f t="shared" si="16"/>
        <v/>
      </c>
      <c r="Y979" s="49" t="str">
        <f t="shared" si="17"/>
        <v/>
      </c>
    </row>
    <row r="980" ht="15.75" customHeight="1">
      <c r="A980" s="82"/>
      <c r="B980" s="83"/>
      <c r="C980" s="83"/>
      <c r="D980" s="83"/>
      <c r="E980" s="83"/>
      <c r="F980" s="83"/>
      <c r="G980" s="83" t="str">
        <f>IF($F980="","",IFERROR(VLOOKUP($F980,Inventory!$A:$B,2,FALSE),""))</f>
        <v/>
      </c>
      <c r="H980" s="83"/>
      <c r="I980" s="84" t="str">
        <f t="shared" si="2"/>
        <v/>
      </c>
      <c r="J980" s="85" t="str">
        <f>IF($F980="","",IFERROR(VLOOKUP($F980,Inventory!$A:$K,11,FALSE),0))</f>
        <v/>
      </c>
      <c r="K980" s="85"/>
      <c r="L980" s="85" t="str">
        <f t="shared" si="12"/>
        <v/>
      </c>
      <c r="M980" s="83"/>
      <c r="N980" s="85" t="str">
        <f>IF($F980="","",IFERROR(VLOOKUP($F980,Inventory!$A:$I,9,FALSE),0))</f>
        <v/>
      </c>
      <c r="O980" s="85" t="str">
        <f t="shared" si="13"/>
        <v/>
      </c>
      <c r="P980" s="85" t="str">
        <f t="shared" si="5"/>
        <v/>
      </c>
      <c r="Q980" s="83"/>
      <c r="R980" s="118" t="str">
        <f>IF($E980="","",IF(COUNTIF($E$7:$E2177,$E980)&gt;1,"",IFERROR(VLOOKUP($E980,Orders!$A:$I,8,FALSE),"")))</f>
        <v/>
      </c>
      <c r="S980" s="118" t="str">
        <f>IF($E980="","",IF(COUNTIF($E$7:$E2177,$E980)&gt;1,"",IFERROR(VLOOKUP($E980,Orders!$A:$I,9,FALSE),"")))</f>
        <v/>
      </c>
      <c r="T980" s="88" t="str">
        <f t="shared" si="14"/>
        <v/>
      </c>
      <c r="U980" s="88" t="str">
        <f>IF($F980="","",IF($E980="",T980,SUMIF(Sales!$E$7:$E$1506,$E980,Sales!$T$7:$T$1506)))</f>
        <v/>
      </c>
      <c r="V980" s="49" t="str">
        <f t="shared" si="15"/>
        <v/>
      </c>
      <c r="W980" s="49" t="str">
        <f t="array" ref="W980">IF($V980="","",SUMPRODUCT((Sales!$V$7:$V$1506&lt;&gt;"")*(Sales!$E$7:$E$1506&lt;$E980))+1)</f>
        <v/>
      </c>
      <c r="X980" s="49" t="str">
        <f t="shared" si="16"/>
        <v/>
      </c>
      <c r="Y980" s="49" t="str">
        <f t="shared" si="17"/>
        <v/>
      </c>
    </row>
    <row r="981" ht="15.75" customHeight="1">
      <c r="A981" s="82"/>
      <c r="B981" s="83"/>
      <c r="C981" s="83"/>
      <c r="D981" s="83"/>
      <c r="E981" s="83"/>
      <c r="F981" s="83"/>
      <c r="G981" s="83" t="str">
        <f>IF($F981="","",IFERROR(VLOOKUP($F981,Inventory!$A:$B,2,FALSE),""))</f>
        <v/>
      </c>
      <c r="H981" s="83"/>
      <c r="I981" s="84" t="str">
        <f t="shared" si="2"/>
        <v/>
      </c>
      <c r="J981" s="85" t="str">
        <f>IF($F981="","",IFERROR(VLOOKUP($F981,Inventory!$A:$K,11,FALSE),0))</f>
        <v/>
      </c>
      <c r="K981" s="85"/>
      <c r="L981" s="85" t="str">
        <f t="shared" si="12"/>
        <v/>
      </c>
      <c r="M981" s="83"/>
      <c r="N981" s="85" t="str">
        <f>IF($F981="","",IFERROR(VLOOKUP($F981,Inventory!$A:$I,9,FALSE),0))</f>
        <v/>
      </c>
      <c r="O981" s="85" t="str">
        <f t="shared" si="13"/>
        <v/>
      </c>
      <c r="P981" s="85" t="str">
        <f t="shared" si="5"/>
        <v/>
      </c>
      <c r="Q981" s="83"/>
      <c r="R981" s="118" t="str">
        <f>IF($E981="","",IF(COUNTIF($E$7:$E2178,$E981)&gt;1,"",IFERROR(VLOOKUP($E981,Orders!$A:$I,8,FALSE),"")))</f>
        <v/>
      </c>
      <c r="S981" s="118" t="str">
        <f>IF($E981="","",IF(COUNTIF($E$7:$E2178,$E981)&gt;1,"",IFERROR(VLOOKUP($E981,Orders!$A:$I,9,FALSE),"")))</f>
        <v/>
      </c>
      <c r="T981" s="88" t="str">
        <f t="shared" si="14"/>
        <v/>
      </c>
      <c r="U981" s="88" t="str">
        <f>IF($F981="","",IF($E981="",T981,SUMIF(Sales!$E$7:$E$1506,$E981,Sales!$T$7:$T$1506)))</f>
        <v/>
      </c>
      <c r="V981" s="49" t="str">
        <f t="shared" si="15"/>
        <v/>
      </c>
      <c r="W981" s="49" t="str">
        <f t="array" ref="W981">IF($V981="","",SUMPRODUCT((Sales!$V$7:$V$1506&lt;&gt;"")*(Sales!$E$7:$E$1506&lt;$E981))+1)</f>
        <v/>
      </c>
      <c r="X981" s="49" t="str">
        <f t="shared" si="16"/>
        <v/>
      </c>
      <c r="Y981" s="49" t="str">
        <f t="shared" si="17"/>
        <v/>
      </c>
    </row>
    <row r="982" ht="15.75" customHeight="1">
      <c r="A982" s="82"/>
      <c r="B982" s="83"/>
      <c r="C982" s="83"/>
      <c r="D982" s="83"/>
      <c r="E982" s="83"/>
      <c r="F982" s="83"/>
      <c r="G982" s="83" t="str">
        <f>IF($F982="","",IFERROR(VLOOKUP($F982,Inventory!$A:$B,2,FALSE),""))</f>
        <v/>
      </c>
      <c r="H982" s="83"/>
      <c r="I982" s="84" t="str">
        <f t="shared" si="2"/>
        <v/>
      </c>
      <c r="J982" s="85" t="str">
        <f>IF($F982="","",IFERROR(VLOOKUP($F982,Inventory!$A:$K,11,FALSE),0))</f>
        <v/>
      </c>
      <c r="K982" s="85"/>
      <c r="L982" s="85" t="str">
        <f t="shared" si="12"/>
        <v/>
      </c>
      <c r="M982" s="83"/>
      <c r="N982" s="85" t="str">
        <f>IF($F982="","",IFERROR(VLOOKUP($F982,Inventory!$A:$I,9,FALSE),0))</f>
        <v/>
      </c>
      <c r="O982" s="85" t="str">
        <f t="shared" si="13"/>
        <v/>
      </c>
      <c r="P982" s="85" t="str">
        <f t="shared" si="5"/>
        <v/>
      </c>
      <c r="Q982" s="83"/>
      <c r="R982" s="118" t="str">
        <f>IF($E982="","",IF(COUNTIF($E$7:$E2179,$E982)&gt;1,"",IFERROR(VLOOKUP($E982,Orders!$A:$I,8,FALSE),"")))</f>
        <v/>
      </c>
      <c r="S982" s="118" t="str">
        <f>IF($E982="","",IF(COUNTIF($E$7:$E2179,$E982)&gt;1,"",IFERROR(VLOOKUP($E982,Orders!$A:$I,9,FALSE),"")))</f>
        <v/>
      </c>
      <c r="T982" s="88" t="str">
        <f t="shared" si="14"/>
        <v/>
      </c>
      <c r="U982" s="88" t="str">
        <f>IF($F982="","",IF($E982="",T982,SUMIF(Sales!$E$7:$E$1506,$E982,Sales!$T$7:$T$1506)))</f>
        <v/>
      </c>
      <c r="V982" s="49" t="str">
        <f t="shared" si="15"/>
        <v/>
      </c>
      <c r="W982" s="49" t="str">
        <f t="array" ref="W982">IF($V982="","",SUMPRODUCT((Sales!$V$7:$V$1506&lt;&gt;"")*(Sales!$E$7:$E$1506&lt;$E982))+1)</f>
        <v/>
      </c>
      <c r="X982" s="49" t="str">
        <f t="shared" si="16"/>
        <v/>
      </c>
      <c r="Y982" s="49" t="str">
        <f t="shared" si="17"/>
        <v/>
      </c>
    </row>
    <row r="983" ht="15.75" customHeight="1">
      <c r="A983" s="82"/>
      <c r="B983" s="83"/>
      <c r="C983" s="83"/>
      <c r="D983" s="83"/>
      <c r="E983" s="83"/>
      <c r="F983" s="83"/>
      <c r="G983" s="83" t="str">
        <f>IF($F983="","",IFERROR(VLOOKUP($F983,Inventory!$A:$B,2,FALSE),""))</f>
        <v/>
      </c>
      <c r="H983" s="83"/>
      <c r="I983" s="84" t="str">
        <f t="shared" si="2"/>
        <v/>
      </c>
      <c r="J983" s="85" t="str">
        <f>IF($F983="","",IFERROR(VLOOKUP($F983,Inventory!$A:$K,11,FALSE),0))</f>
        <v/>
      </c>
      <c r="K983" s="85"/>
      <c r="L983" s="85" t="str">
        <f t="shared" si="12"/>
        <v/>
      </c>
      <c r="M983" s="83"/>
      <c r="N983" s="85" t="str">
        <f>IF($F983="","",IFERROR(VLOOKUP($F983,Inventory!$A:$I,9,FALSE),0))</f>
        <v/>
      </c>
      <c r="O983" s="85" t="str">
        <f t="shared" si="13"/>
        <v/>
      </c>
      <c r="P983" s="85" t="str">
        <f t="shared" si="5"/>
        <v/>
      </c>
      <c r="Q983" s="83"/>
      <c r="R983" s="118" t="str">
        <f>IF($E983="","",IF(COUNTIF($E$7:$E2180,$E983)&gt;1,"",IFERROR(VLOOKUP($E983,Orders!$A:$I,8,FALSE),"")))</f>
        <v/>
      </c>
      <c r="S983" s="118" t="str">
        <f>IF($E983="","",IF(COUNTIF($E$7:$E2180,$E983)&gt;1,"",IFERROR(VLOOKUP($E983,Orders!$A:$I,9,FALSE),"")))</f>
        <v/>
      </c>
      <c r="T983" s="88" t="str">
        <f t="shared" si="14"/>
        <v/>
      </c>
      <c r="U983" s="88" t="str">
        <f>IF($F983="","",IF($E983="",T983,SUMIF(Sales!$E$7:$E$1506,$E983,Sales!$T$7:$T$1506)))</f>
        <v/>
      </c>
      <c r="V983" s="49" t="str">
        <f t="shared" si="15"/>
        <v/>
      </c>
      <c r="W983" s="49" t="str">
        <f t="array" ref="W983">IF($V983="","",SUMPRODUCT((Sales!$V$7:$V$1506&lt;&gt;"")*(Sales!$E$7:$E$1506&lt;$E983))+1)</f>
        <v/>
      </c>
      <c r="X983" s="49" t="str">
        <f t="shared" si="16"/>
        <v/>
      </c>
      <c r="Y983" s="49" t="str">
        <f t="shared" si="17"/>
        <v/>
      </c>
    </row>
    <row r="984" ht="15.75" customHeight="1">
      <c r="A984" s="82"/>
      <c r="B984" s="83"/>
      <c r="C984" s="83"/>
      <c r="D984" s="83"/>
      <c r="E984" s="83"/>
      <c r="F984" s="83"/>
      <c r="G984" s="83" t="str">
        <f>IF($F984="","",IFERROR(VLOOKUP($F984,Inventory!$A:$B,2,FALSE),""))</f>
        <v/>
      </c>
      <c r="H984" s="83"/>
      <c r="I984" s="84" t="str">
        <f t="shared" si="2"/>
        <v/>
      </c>
      <c r="J984" s="85" t="str">
        <f>IF($F984="","",IFERROR(VLOOKUP($F984,Inventory!$A:$K,11,FALSE),0))</f>
        <v/>
      </c>
      <c r="K984" s="85"/>
      <c r="L984" s="85" t="str">
        <f t="shared" si="12"/>
        <v/>
      </c>
      <c r="M984" s="83"/>
      <c r="N984" s="85" t="str">
        <f>IF($F984="","",IFERROR(VLOOKUP($F984,Inventory!$A:$I,9,FALSE),0))</f>
        <v/>
      </c>
      <c r="O984" s="85" t="str">
        <f t="shared" si="13"/>
        <v/>
      </c>
      <c r="P984" s="85" t="str">
        <f t="shared" si="5"/>
        <v/>
      </c>
      <c r="Q984" s="83"/>
      <c r="R984" s="118" t="str">
        <f>IF($E984="","",IF(COUNTIF($E$7:$E2181,$E984)&gt;1,"",IFERROR(VLOOKUP($E984,Orders!$A:$I,8,FALSE),"")))</f>
        <v/>
      </c>
      <c r="S984" s="118" t="str">
        <f>IF($E984="","",IF(COUNTIF($E$7:$E2181,$E984)&gt;1,"",IFERROR(VLOOKUP($E984,Orders!$A:$I,9,FALSE),"")))</f>
        <v/>
      </c>
      <c r="T984" s="88" t="str">
        <f t="shared" si="14"/>
        <v/>
      </c>
      <c r="U984" s="88" t="str">
        <f>IF($F984="","",IF($E984="",T984,SUMIF(Sales!$E$7:$E$1506,$E984,Sales!$T$7:$T$1506)))</f>
        <v/>
      </c>
      <c r="V984" s="49" t="str">
        <f t="shared" si="15"/>
        <v/>
      </c>
      <c r="W984" s="49" t="str">
        <f t="array" ref="W984">IF($V984="","",SUMPRODUCT((Sales!$V$7:$V$1506&lt;&gt;"")*(Sales!$E$7:$E$1506&lt;$E984))+1)</f>
        <v/>
      </c>
      <c r="X984" s="49" t="str">
        <f t="shared" si="16"/>
        <v/>
      </c>
      <c r="Y984" s="49" t="str">
        <f t="shared" si="17"/>
        <v/>
      </c>
    </row>
    <row r="985" ht="15.75" customHeight="1">
      <c r="A985" s="82"/>
      <c r="B985" s="83"/>
      <c r="C985" s="83"/>
      <c r="D985" s="83"/>
      <c r="E985" s="83"/>
      <c r="F985" s="83"/>
      <c r="G985" s="83" t="str">
        <f>IF($F985="","",IFERROR(VLOOKUP($F985,Inventory!$A:$B,2,FALSE),""))</f>
        <v/>
      </c>
      <c r="H985" s="83"/>
      <c r="I985" s="84" t="str">
        <f t="shared" si="2"/>
        <v/>
      </c>
      <c r="J985" s="85" t="str">
        <f>IF($F985="","",IFERROR(VLOOKUP($F985,Inventory!$A:$K,11,FALSE),0))</f>
        <v/>
      </c>
      <c r="K985" s="85"/>
      <c r="L985" s="85" t="str">
        <f t="shared" si="12"/>
        <v/>
      </c>
      <c r="M985" s="83"/>
      <c r="N985" s="85" t="str">
        <f>IF($F985="","",IFERROR(VLOOKUP($F985,Inventory!$A:$I,9,FALSE),0))</f>
        <v/>
      </c>
      <c r="O985" s="85" t="str">
        <f t="shared" si="13"/>
        <v/>
      </c>
      <c r="P985" s="85" t="str">
        <f t="shared" si="5"/>
        <v/>
      </c>
      <c r="Q985" s="83"/>
      <c r="R985" s="118" t="str">
        <f>IF($E985="","",IF(COUNTIF($E$7:$E2182,$E985)&gt;1,"",IFERROR(VLOOKUP($E985,Orders!$A:$I,8,FALSE),"")))</f>
        <v/>
      </c>
      <c r="S985" s="118" t="str">
        <f>IF($E985="","",IF(COUNTIF($E$7:$E2182,$E985)&gt;1,"",IFERROR(VLOOKUP($E985,Orders!$A:$I,9,FALSE),"")))</f>
        <v/>
      </c>
      <c r="T985" s="88" t="str">
        <f t="shared" si="14"/>
        <v/>
      </c>
      <c r="U985" s="88" t="str">
        <f>IF($F985="","",IF($E985="",T985,SUMIF(Sales!$E$7:$E$1506,$E985,Sales!$T$7:$T$1506)))</f>
        <v/>
      </c>
      <c r="V985" s="49" t="str">
        <f t="shared" si="15"/>
        <v/>
      </c>
      <c r="W985" s="49" t="str">
        <f t="array" ref="W985">IF($V985="","",SUMPRODUCT((Sales!$V$7:$V$1506&lt;&gt;"")*(Sales!$E$7:$E$1506&lt;$E985))+1)</f>
        <v/>
      </c>
      <c r="X985" s="49" t="str">
        <f t="shared" si="16"/>
        <v/>
      </c>
      <c r="Y985" s="49" t="str">
        <f t="shared" si="17"/>
        <v/>
      </c>
    </row>
    <row r="986" ht="15.75" customHeight="1">
      <c r="A986" s="82"/>
      <c r="B986" s="83"/>
      <c r="C986" s="83"/>
      <c r="D986" s="83"/>
      <c r="E986" s="83"/>
      <c r="F986" s="83"/>
      <c r="G986" s="83" t="str">
        <f>IF($F986="","",IFERROR(VLOOKUP($F986,Inventory!$A:$B,2,FALSE),""))</f>
        <v/>
      </c>
      <c r="H986" s="83"/>
      <c r="I986" s="84" t="str">
        <f t="shared" si="2"/>
        <v/>
      </c>
      <c r="J986" s="85" t="str">
        <f>IF($F986="","",IFERROR(VLOOKUP($F986,Inventory!$A:$K,11,FALSE),0))</f>
        <v/>
      </c>
      <c r="K986" s="85"/>
      <c r="L986" s="85" t="str">
        <f t="shared" si="12"/>
        <v/>
      </c>
      <c r="M986" s="83"/>
      <c r="N986" s="85" t="str">
        <f>IF($F986="","",IFERROR(VLOOKUP($F986,Inventory!$A:$I,9,FALSE),0))</f>
        <v/>
      </c>
      <c r="O986" s="85" t="str">
        <f t="shared" si="13"/>
        <v/>
      </c>
      <c r="P986" s="85" t="str">
        <f t="shared" si="5"/>
        <v/>
      </c>
      <c r="Q986" s="83"/>
      <c r="R986" s="118" t="str">
        <f>IF($E986="","",IF(COUNTIF($E$7:$E2183,$E986)&gt;1,"",IFERROR(VLOOKUP($E986,Orders!$A:$I,8,FALSE),"")))</f>
        <v/>
      </c>
      <c r="S986" s="118" t="str">
        <f>IF($E986="","",IF(COUNTIF($E$7:$E2183,$E986)&gt;1,"",IFERROR(VLOOKUP($E986,Orders!$A:$I,9,FALSE),"")))</f>
        <v/>
      </c>
      <c r="T986" s="88" t="str">
        <f t="shared" si="14"/>
        <v/>
      </c>
      <c r="U986" s="88" t="str">
        <f>IF($F986="","",IF($E986="",T986,SUMIF(Sales!$E$7:$E$1506,$E986,Sales!$T$7:$T$1506)))</f>
        <v/>
      </c>
      <c r="V986" s="49" t="str">
        <f t="shared" si="15"/>
        <v/>
      </c>
      <c r="W986" s="49" t="str">
        <f t="array" ref="W986">IF($V986="","",SUMPRODUCT((Sales!$V$7:$V$1506&lt;&gt;"")*(Sales!$E$7:$E$1506&lt;$E986))+1)</f>
        <v/>
      </c>
      <c r="X986" s="49" t="str">
        <f t="shared" si="16"/>
        <v/>
      </c>
      <c r="Y986" s="49" t="str">
        <f t="shared" si="17"/>
        <v/>
      </c>
    </row>
    <row r="987" ht="15.75" customHeight="1">
      <c r="A987" s="82"/>
      <c r="B987" s="83"/>
      <c r="C987" s="83"/>
      <c r="D987" s="83"/>
      <c r="E987" s="83"/>
      <c r="F987" s="83"/>
      <c r="G987" s="83" t="str">
        <f>IF($F987="","",IFERROR(VLOOKUP($F987,Inventory!$A:$B,2,FALSE),""))</f>
        <v/>
      </c>
      <c r="H987" s="83"/>
      <c r="I987" s="84" t="str">
        <f t="shared" si="2"/>
        <v/>
      </c>
      <c r="J987" s="85" t="str">
        <f>IF($F987="","",IFERROR(VLOOKUP($F987,Inventory!$A:$K,11,FALSE),0))</f>
        <v/>
      </c>
      <c r="K987" s="85"/>
      <c r="L987" s="85" t="str">
        <f t="shared" si="12"/>
        <v/>
      </c>
      <c r="M987" s="83"/>
      <c r="N987" s="85" t="str">
        <f>IF($F987="","",IFERROR(VLOOKUP($F987,Inventory!$A:$I,9,FALSE),0))</f>
        <v/>
      </c>
      <c r="O987" s="85" t="str">
        <f t="shared" si="13"/>
        <v/>
      </c>
      <c r="P987" s="85" t="str">
        <f t="shared" si="5"/>
        <v/>
      </c>
      <c r="Q987" s="83"/>
      <c r="R987" s="118" t="str">
        <f>IF($E987="","",IF(COUNTIF($E$7:$E2184,$E987)&gt;1,"",IFERROR(VLOOKUP($E987,Orders!$A:$I,8,FALSE),"")))</f>
        <v/>
      </c>
      <c r="S987" s="118" t="str">
        <f>IF($E987="","",IF(COUNTIF($E$7:$E2184,$E987)&gt;1,"",IFERROR(VLOOKUP($E987,Orders!$A:$I,9,FALSE),"")))</f>
        <v/>
      </c>
      <c r="T987" s="88" t="str">
        <f t="shared" si="14"/>
        <v/>
      </c>
      <c r="U987" s="88" t="str">
        <f>IF($F987="","",IF($E987="",T987,SUMIF(Sales!$E$7:$E$1506,$E987,Sales!$T$7:$T$1506)))</f>
        <v/>
      </c>
      <c r="V987" s="49" t="str">
        <f t="shared" si="15"/>
        <v/>
      </c>
      <c r="W987" s="49" t="str">
        <f t="array" ref="W987">IF($V987="","",SUMPRODUCT((Sales!$V$7:$V$1506&lt;&gt;"")*(Sales!$E$7:$E$1506&lt;$E987))+1)</f>
        <v/>
      </c>
      <c r="X987" s="49" t="str">
        <f t="shared" si="16"/>
        <v/>
      </c>
      <c r="Y987" s="49" t="str">
        <f t="shared" si="17"/>
        <v/>
      </c>
    </row>
    <row r="988" ht="15.75" customHeight="1">
      <c r="A988" s="82"/>
      <c r="B988" s="83"/>
      <c r="C988" s="83"/>
      <c r="D988" s="83"/>
      <c r="E988" s="83"/>
      <c r="F988" s="83"/>
      <c r="G988" s="83" t="str">
        <f>IF($F988="","",IFERROR(VLOOKUP($F988,Inventory!$A:$B,2,FALSE),""))</f>
        <v/>
      </c>
      <c r="H988" s="83"/>
      <c r="I988" s="84" t="str">
        <f t="shared" si="2"/>
        <v/>
      </c>
      <c r="J988" s="85" t="str">
        <f>IF($F988="","",IFERROR(VLOOKUP($F988,Inventory!$A:$K,11,FALSE),0))</f>
        <v/>
      </c>
      <c r="K988" s="85"/>
      <c r="L988" s="85" t="str">
        <f t="shared" si="12"/>
        <v/>
      </c>
      <c r="M988" s="83"/>
      <c r="N988" s="85" t="str">
        <f>IF($F988="","",IFERROR(VLOOKUP($F988,Inventory!$A:$I,9,FALSE),0))</f>
        <v/>
      </c>
      <c r="O988" s="85" t="str">
        <f t="shared" si="13"/>
        <v/>
      </c>
      <c r="P988" s="85" t="str">
        <f t="shared" si="5"/>
        <v/>
      </c>
      <c r="Q988" s="83"/>
      <c r="R988" s="118" t="str">
        <f>IF($E988="","",IF(COUNTIF($E$7:$E2185,$E988)&gt;1,"",IFERROR(VLOOKUP($E988,Orders!$A:$I,8,FALSE),"")))</f>
        <v/>
      </c>
      <c r="S988" s="118" t="str">
        <f>IF($E988="","",IF(COUNTIF($E$7:$E2185,$E988)&gt;1,"",IFERROR(VLOOKUP($E988,Orders!$A:$I,9,FALSE),"")))</f>
        <v/>
      </c>
      <c r="T988" s="88" t="str">
        <f t="shared" si="14"/>
        <v/>
      </c>
      <c r="U988" s="88" t="str">
        <f>IF($F988="","",IF($E988="",T988,SUMIF(Sales!$E$7:$E$1506,$E988,Sales!$T$7:$T$1506)))</f>
        <v/>
      </c>
      <c r="V988" s="49" t="str">
        <f t="shared" si="15"/>
        <v/>
      </c>
      <c r="W988" s="49" t="str">
        <f t="array" ref="W988">IF($V988="","",SUMPRODUCT((Sales!$V$7:$V$1506&lt;&gt;"")*(Sales!$E$7:$E$1506&lt;$E988))+1)</f>
        <v/>
      </c>
      <c r="X988" s="49" t="str">
        <f t="shared" si="16"/>
        <v/>
      </c>
      <c r="Y988" s="49" t="str">
        <f t="shared" si="17"/>
        <v/>
      </c>
    </row>
    <row r="989" ht="15.75" customHeight="1">
      <c r="A989" s="82"/>
      <c r="B989" s="83"/>
      <c r="C989" s="83"/>
      <c r="D989" s="83"/>
      <c r="E989" s="83"/>
      <c r="F989" s="83"/>
      <c r="G989" s="83" t="str">
        <f>IF($F989="","",IFERROR(VLOOKUP($F989,Inventory!$A:$B,2,FALSE),""))</f>
        <v/>
      </c>
      <c r="H989" s="83"/>
      <c r="I989" s="84" t="str">
        <f t="shared" si="2"/>
        <v/>
      </c>
      <c r="J989" s="85" t="str">
        <f>IF($F989="","",IFERROR(VLOOKUP($F989,Inventory!$A:$K,11,FALSE),0))</f>
        <v/>
      </c>
      <c r="K989" s="85"/>
      <c r="L989" s="85" t="str">
        <f t="shared" si="12"/>
        <v/>
      </c>
      <c r="M989" s="83"/>
      <c r="N989" s="85" t="str">
        <f>IF($F989="","",IFERROR(VLOOKUP($F989,Inventory!$A:$I,9,FALSE),0))</f>
        <v/>
      </c>
      <c r="O989" s="85" t="str">
        <f t="shared" si="13"/>
        <v/>
      </c>
      <c r="P989" s="85" t="str">
        <f t="shared" si="5"/>
        <v/>
      </c>
      <c r="Q989" s="83"/>
      <c r="R989" s="118" t="str">
        <f>IF($E989="","",IF(COUNTIF($E$7:$E2186,$E989)&gt;1,"",IFERROR(VLOOKUP($E989,Orders!$A:$I,8,FALSE),"")))</f>
        <v/>
      </c>
      <c r="S989" s="118" t="str">
        <f>IF($E989="","",IF(COUNTIF($E$7:$E2186,$E989)&gt;1,"",IFERROR(VLOOKUP($E989,Orders!$A:$I,9,FALSE),"")))</f>
        <v/>
      </c>
      <c r="T989" s="88" t="str">
        <f t="shared" si="14"/>
        <v/>
      </c>
      <c r="U989" s="88" t="str">
        <f>IF($F989="","",IF($E989="",T989,SUMIF(Sales!$E$7:$E$1506,$E989,Sales!$T$7:$T$1506)))</f>
        <v/>
      </c>
      <c r="V989" s="49" t="str">
        <f t="shared" si="15"/>
        <v/>
      </c>
      <c r="W989" s="49" t="str">
        <f t="array" ref="W989">IF($V989="","",SUMPRODUCT((Sales!$V$7:$V$1506&lt;&gt;"")*(Sales!$E$7:$E$1506&lt;$E989))+1)</f>
        <v/>
      </c>
      <c r="X989" s="49" t="str">
        <f t="shared" si="16"/>
        <v/>
      </c>
      <c r="Y989" s="49" t="str">
        <f t="shared" si="17"/>
        <v/>
      </c>
    </row>
    <row r="990" ht="15.75" customHeight="1">
      <c r="A990" s="82"/>
      <c r="B990" s="83"/>
      <c r="C990" s="83"/>
      <c r="D990" s="83"/>
      <c r="E990" s="83"/>
      <c r="F990" s="83"/>
      <c r="G990" s="83" t="str">
        <f>IF($F990="","",IFERROR(VLOOKUP($F990,Inventory!$A:$B,2,FALSE),""))</f>
        <v/>
      </c>
      <c r="H990" s="83"/>
      <c r="I990" s="84" t="str">
        <f t="shared" si="2"/>
        <v/>
      </c>
      <c r="J990" s="85" t="str">
        <f>IF($F990="","",IFERROR(VLOOKUP($F990,Inventory!$A:$K,11,FALSE),0))</f>
        <v/>
      </c>
      <c r="K990" s="85"/>
      <c r="L990" s="85" t="str">
        <f t="shared" si="12"/>
        <v/>
      </c>
      <c r="M990" s="83"/>
      <c r="N990" s="85" t="str">
        <f>IF($F990="","",IFERROR(VLOOKUP($F990,Inventory!$A:$I,9,FALSE),0))</f>
        <v/>
      </c>
      <c r="O990" s="85" t="str">
        <f t="shared" si="13"/>
        <v/>
      </c>
      <c r="P990" s="85" t="str">
        <f t="shared" si="5"/>
        <v/>
      </c>
      <c r="Q990" s="83"/>
      <c r="R990" s="118" t="str">
        <f>IF($E990="","",IF(COUNTIF($E$7:$E2187,$E990)&gt;1,"",IFERROR(VLOOKUP($E990,Orders!$A:$I,8,FALSE),"")))</f>
        <v/>
      </c>
      <c r="S990" s="118" t="str">
        <f>IF($E990="","",IF(COUNTIF($E$7:$E2187,$E990)&gt;1,"",IFERROR(VLOOKUP($E990,Orders!$A:$I,9,FALSE),"")))</f>
        <v/>
      </c>
      <c r="T990" s="88" t="str">
        <f t="shared" si="14"/>
        <v/>
      </c>
      <c r="U990" s="88" t="str">
        <f>IF($F990="","",IF($E990="",T990,SUMIF(Sales!$E$7:$E$1506,$E990,Sales!$T$7:$T$1506)))</f>
        <v/>
      </c>
      <c r="V990" s="49" t="str">
        <f t="shared" si="15"/>
        <v/>
      </c>
      <c r="W990" s="49" t="str">
        <f t="array" ref="W990">IF($V990="","",SUMPRODUCT((Sales!$V$7:$V$1506&lt;&gt;"")*(Sales!$E$7:$E$1506&lt;$E990))+1)</f>
        <v/>
      </c>
      <c r="X990" s="49" t="str">
        <f t="shared" si="16"/>
        <v/>
      </c>
      <c r="Y990" s="49" t="str">
        <f t="shared" si="17"/>
        <v/>
      </c>
    </row>
    <row r="991" ht="15.75" customHeight="1">
      <c r="A991" s="82"/>
      <c r="B991" s="83"/>
      <c r="C991" s="83"/>
      <c r="D991" s="83"/>
      <c r="E991" s="83"/>
      <c r="F991" s="83"/>
      <c r="G991" s="83" t="str">
        <f>IF($F991="","",IFERROR(VLOOKUP($F991,Inventory!$A:$B,2,FALSE),""))</f>
        <v/>
      </c>
      <c r="H991" s="83"/>
      <c r="I991" s="84" t="str">
        <f t="shared" si="2"/>
        <v/>
      </c>
      <c r="J991" s="85" t="str">
        <f>IF($F991="","",IFERROR(VLOOKUP($F991,Inventory!$A:$K,11,FALSE),0))</f>
        <v/>
      </c>
      <c r="K991" s="85"/>
      <c r="L991" s="85" t="str">
        <f t="shared" si="12"/>
        <v/>
      </c>
      <c r="M991" s="83"/>
      <c r="N991" s="85" t="str">
        <f>IF($F991="","",IFERROR(VLOOKUP($F991,Inventory!$A:$I,9,FALSE),0))</f>
        <v/>
      </c>
      <c r="O991" s="85" t="str">
        <f t="shared" si="13"/>
        <v/>
      </c>
      <c r="P991" s="85" t="str">
        <f t="shared" si="5"/>
        <v/>
      </c>
      <c r="Q991" s="83"/>
      <c r="R991" s="118" t="str">
        <f>IF($E991="","",IF(COUNTIF($E$7:$E2188,$E991)&gt;1,"",IFERROR(VLOOKUP($E991,Orders!$A:$I,8,FALSE),"")))</f>
        <v/>
      </c>
      <c r="S991" s="118" t="str">
        <f>IF($E991="","",IF(COUNTIF($E$7:$E2188,$E991)&gt;1,"",IFERROR(VLOOKUP($E991,Orders!$A:$I,9,FALSE),"")))</f>
        <v/>
      </c>
      <c r="T991" s="88" t="str">
        <f t="shared" si="14"/>
        <v/>
      </c>
      <c r="U991" s="88" t="str">
        <f>IF($F991="","",IF($E991="",T991,SUMIF(Sales!$E$7:$E$1506,$E991,Sales!$T$7:$T$1506)))</f>
        <v/>
      </c>
      <c r="V991" s="49" t="str">
        <f t="shared" si="15"/>
        <v/>
      </c>
      <c r="W991" s="49" t="str">
        <f t="array" ref="W991">IF($V991="","",SUMPRODUCT((Sales!$V$7:$V$1506&lt;&gt;"")*(Sales!$E$7:$E$1506&lt;$E991))+1)</f>
        <v/>
      </c>
      <c r="X991" s="49" t="str">
        <f t="shared" si="16"/>
        <v/>
      </c>
      <c r="Y991" s="49" t="str">
        <f t="shared" si="17"/>
        <v/>
      </c>
    </row>
    <row r="992" ht="15.75" customHeight="1">
      <c r="A992" s="82"/>
      <c r="B992" s="83"/>
      <c r="C992" s="83"/>
      <c r="D992" s="83"/>
      <c r="E992" s="83"/>
      <c r="F992" s="83"/>
      <c r="G992" s="83" t="str">
        <f>IF($F992="","",IFERROR(VLOOKUP($F992,Inventory!$A:$B,2,FALSE),""))</f>
        <v/>
      </c>
      <c r="H992" s="83"/>
      <c r="I992" s="84" t="str">
        <f t="shared" si="2"/>
        <v/>
      </c>
      <c r="J992" s="85" t="str">
        <f>IF($F992="","",IFERROR(VLOOKUP($F992,Inventory!$A:$K,11,FALSE),0))</f>
        <v/>
      </c>
      <c r="K992" s="85"/>
      <c r="L992" s="85" t="str">
        <f t="shared" si="12"/>
        <v/>
      </c>
      <c r="M992" s="83"/>
      <c r="N992" s="85" t="str">
        <f>IF($F992="","",IFERROR(VLOOKUP($F992,Inventory!$A:$I,9,FALSE),0))</f>
        <v/>
      </c>
      <c r="O992" s="85" t="str">
        <f t="shared" si="13"/>
        <v/>
      </c>
      <c r="P992" s="85" t="str">
        <f t="shared" si="5"/>
        <v/>
      </c>
      <c r="Q992" s="83"/>
      <c r="R992" s="118" t="str">
        <f>IF($E992="","",IF(COUNTIF($E$7:$E2189,$E992)&gt;1,"",IFERROR(VLOOKUP($E992,Orders!$A:$I,8,FALSE),"")))</f>
        <v/>
      </c>
      <c r="S992" s="118" t="str">
        <f>IF($E992="","",IF(COUNTIF($E$7:$E2189,$E992)&gt;1,"",IFERROR(VLOOKUP($E992,Orders!$A:$I,9,FALSE),"")))</f>
        <v/>
      </c>
      <c r="T992" s="88" t="str">
        <f t="shared" si="14"/>
        <v/>
      </c>
      <c r="U992" s="88" t="str">
        <f>IF($F992="","",IF($E992="",T992,SUMIF(Sales!$E$7:$E$1506,$E992,Sales!$T$7:$T$1506)))</f>
        <v/>
      </c>
      <c r="V992" s="49" t="str">
        <f t="shared" si="15"/>
        <v/>
      </c>
      <c r="W992" s="49" t="str">
        <f t="array" ref="W992">IF($V992="","",SUMPRODUCT((Sales!$V$7:$V$1506&lt;&gt;"")*(Sales!$E$7:$E$1506&lt;$E992))+1)</f>
        <v/>
      </c>
      <c r="X992" s="49" t="str">
        <f t="shared" si="16"/>
        <v/>
      </c>
      <c r="Y992" s="49" t="str">
        <f t="shared" si="17"/>
        <v/>
      </c>
    </row>
    <row r="993" ht="15.75" customHeight="1">
      <c r="A993" s="82"/>
      <c r="B993" s="83"/>
      <c r="C993" s="83"/>
      <c r="D993" s="83"/>
      <c r="E993" s="83"/>
      <c r="F993" s="83"/>
      <c r="G993" s="83" t="str">
        <f>IF($F993="","",IFERROR(VLOOKUP($F993,Inventory!$A:$B,2,FALSE),""))</f>
        <v/>
      </c>
      <c r="H993" s="83"/>
      <c r="I993" s="84" t="str">
        <f t="shared" si="2"/>
        <v/>
      </c>
      <c r="J993" s="85" t="str">
        <f>IF($F993="","",IFERROR(VLOOKUP($F993,Inventory!$A:$K,11,FALSE),0))</f>
        <v/>
      </c>
      <c r="K993" s="85"/>
      <c r="L993" s="85" t="str">
        <f t="shared" si="12"/>
        <v/>
      </c>
      <c r="M993" s="83"/>
      <c r="N993" s="85" t="str">
        <f>IF($F993="","",IFERROR(VLOOKUP($F993,Inventory!$A:$I,9,FALSE),0))</f>
        <v/>
      </c>
      <c r="O993" s="85" t="str">
        <f t="shared" si="13"/>
        <v/>
      </c>
      <c r="P993" s="85" t="str">
        <f t="shared" si="5"/>
        <v/>
      </c>
      <c r="Q993" s="83"/>
      <c r="R993" s="118" t="str">
        <f>IF($E993="","",IF(COUNTIF($E$7:$E2190,$E993)&gt;1,"",IFERROR(VLOOKUP($E993,Orders!$A:$I,8,FALSE),"")))</f>
        <v/>
      </c>
      <c r="S993" s="118" t="str">
        <f>IF($E993="","",IF(COUNTIF($E$7:$E2190,$E993)&gt;1,"",IFERROR(VLOOKUP($E993,Orders!$A:$I,9,FALSE),"")))</f>
        <v/>
      </c>
      <c r="T993" s="88" t="str">
        <f t="shared" si="14"/>
        <v/>
      </c>
      <c r="U993" s="88" t="str">
        <f>IF($F993="","",IF($E993="",T993,SUMIF(Sales!$E$7:$E$1506,$E993,Sales!$T$7:$T$1506)))</f>
        <v/>
      </c>
      <c r="V993" s="49" t="str">
        <f t="shared" si="15"/>
        <v/>
      </c>
      <c r="W993" s="49" t="str">
        <f t="array" ref="W993">IF($V993="","",SUMPRODUCT((Sales!$V$7:$V$1506&lt;&gt;"")*(Sales!$E$7:$E$1506&lt;$E993))+1)</f>
        <v/>
      </c>
      <c r="X993" s="49" t="str">
        <f t="shared" si="16"/>
        <v/>
      </c>
      <c r="Y993" s="49" t="str">
        <f t="shared" si="17"/>
        <v/>
      </c>
    </row>
    <row r="994" ht="15.0" customHeight="1">
      <c r="A994" s="82"/>
      <c r="B994" s="83"/>
      <c r="C994" s="83"/>
      <c r="D994" s="83"/>
      <c r="E994" s="83"/>
      <c r="F994" s="83"/>
      <c r="G994" s="83" t="str">
        <f>IF($F994="","",IFERROR(VLOOKUP($F994,Inventory!$A:$B,2,FALSE),""))</f>
        <v/>
      </c>
      <c r="H994" s="83"/>
      <c r="I994" s="84" t="str">
        <f t="shared" si="2"/>
        <v/>
      </c>
      <c r="J994" s="85" t="str">
        <f>IF($F994="","",IFERROR(VLOOKUP($F994,Inventory!$A:$K,11,FALSE),0))</f>
        <v/>
      </c>
      <c r="K994" s="85"/>
      <c r="L994" s="85" t="str">
        <f t="shared" si="12"/>
        <v/>
      </c>
      <c r="M994" s="83"/>
      <c r="N994" s="85" t="str">
        <f>IF($F994="","",IFERROR(VLOOKUP($F994,Inventory!$A:$I,9,FALSE),0))</f>
        <v/>
      </c>
      <c r="O994" s="85" t="str">
        <f t="shared" si="13"/>
        <v/>
      </c>
      <c r="P994" s="85" t="str">
        <f t="shared" si="5"/>
        <v/>
      </c>
      <c r="Q994" s="83"/>
      <c r="R994" s="118" t="str">
        <f>IF($E994="","",IF(COUNTIF($E$7:$E2191,$E994)&gt;1,"",IFERROR(VLOOKUP($E994,Orders!$A:$I,8,FALSE),"")))</f>
        <v/>
      </c>
      <c r="S994" s="118" t="str">
        <f>IF($E994="","",IF(COUNTIF($E$7:$E2191,$E994)&gt;1,"",IFERROR(VLOOKUP($E994,Orders!$A:$I,9,FALSE),"")))</f>
        <v/>
      </c>
      <c r="T994" s="88" t="str">
        <f t="shared" si="14"/>
        <v/>
      </c>
      <c r="U994" s="88" t="str">
        <f>IF($F994="","",IF($E994="",T994,SUMIF(Sales!$E$7:$E$1506,$E994,Sales!$T$7:$T$1506)))</f>
        <v/>
      </c>
      <c r="V994" s="49" t="str">
        <f t="shared" si="15"/>
        <v/>
      </c>
      <c r="W994" s="49" t="str">
        <f t="array" ref="W994">IF($V994="","",SUMPRODUCT((Sales!$V$7:$V$1506&lt;&gt;"")*(Sales!$E$7:$E$1506&lt;$E994))+1)</f>
        <v/>
      </c>
      <c r="X994" s="49" t="str">
        <f t="shared" si="16"/>
        <v/>
      </c>
      <c r="Y994" s="49" t="str">
        <f t="shared" si="17"/>
        <v/>
      </c>
    </row>
    <row r="995" ht="15.0" customHeight="1">
      <c r="A995" s="82"/>
      <c r="B995" s="83"/>
      <c r="C995" s="83"/>
      <c r="D995" s="83"/>
      <c r="E995" s="83"/>
      <c r="F995" s="83"/>
      <c r="G995" s="83" t="str">
        <f>IF($F995="","",IFERROR(VLOOKUP($F995,Inventory!$A:$B,2,FALSE),""))</f>
        <v/>
      </c>
      <c r="H995" s="83"/>
      <c r="I995" s="84" t="str">
        <f t="shared" si="2"/>
        <v/>
      </c>
      <c r="J995" s="85" t="str">
        <f>IF($F995="","",IFERROR(VLOOKUP($F995,Inventory!$A:$K,11,FALSE),0))</f>
        <v/>
      </c>
      <c r="K995" s="85"/>
      <c r="L995" s="85" t="str">
        <f t="shared" si="12"/>
        <v/>
      </c>
      <c r="M995" s="83"/>
      <c r="N995" s="85" t="str">
        <f>IF($F995="","",IFERROR(VLOOKUP($F995,Inventory!$A:$I,9,FALSE),0))</f>
        <v/>
      </c>
      <c r="O995" s="85" t="str">
        <f t="shared" si="13"/>
        <v/>
      </c>
      <c r="P995" s="85" t="str">
        <f t="shared" si="5"/>
        <v/>
      </c>
      <c r="Q995" s="83"/>
      <c r="R995" s="118" t="str">
        <f>IF($E995="","",IF(COUNTIF($E$7:$E2192,$E995)&gt;1,"",IFERROR(VLOOKUP($E995,Orders!$A:$I,8,FALSE),"")))</f>
        <v/>
      </c>
      <c r="S995" s="118" t="str">
        <f>IF($E995="","",IF(COUNTIF($E$7:$E2192,$E995)&gt;1,"",IFERROR(VLOOKUP($E995,Orders!$A:$I,9,FALSE),"")))</f>
        <v/>
      </c>
      <c r="T995" s="88" t="str">
        <f t="shared" si="14"/>
        <v/>
      </c>
      <c r="U995" s="88" t="str">
        <f>IF($F995="","",IF($E995="",T995,SUMIF(Sales!$E$7:$E$1506,$E995,Sales!$T$7:$T$1506)))</f>
        <v/>
      </c>
      <c r="V995" s="49" t="str">
        <f t="shared" si="15"/>
        <v/>
      </c>
      <c r="W995" s="49" t="str">
        <f t="array" ref="W995">IF($V995="","",SUMPRODUCT((Sales!$V$7:$V$1506&lt;&gt;"")*(Sales!$E$7:$E$1506&lt;$E995))+1)</f>
        <v/>
      </c>
      <c r="X995" s="49" t="str">
        <f t="shared" si="16"/>
        <v/>
      </c>
      <c r="Y995" s="49" t="str">
        <f t="shared" si="17"/>
        <v/>
      </c>
    </row>
    <row r="996" ht="15.0" customHeight="1">
      <c r="A996" s="82"/>
      <c r="B996" s="83"/>
      <c r="C996" s="83"/>
      <c r="D996" s="83"/>
      <c r="E996" s="83"/>
      <c r="F996" s="83"/>
      <c r="G996" s="83" t="str">
        <f>IF($F996="","",IFERROR(VLOOKUP($F996,Inventory!$A:$B,2,FALSE),""))</f>
        <v/>
      </c>
      <c r="H996" s="83"/>
      <c r="I996" s="84" t="str">
        <f t="shared" si="2"/>
        <v/>
      </c>
      <c r="J996" s="85" t="str">
        <f>IF($F996="","",IFERROR(VLOOKUP($F996,Inventory!$A:$K,11,FALSE),0))</f>
        <v/>
      </c>
      <c r="K996" s="85"/>
      <c r="L996" s="85" t="str">
        <f t="shared" si="12"/>
        <v/>
      </c>
      <c r="M996" s="83"/>
      <c r="N996" s="85" t="str">
        <f>IF($F996="","",IFERROR(VLOOKUP($F996,Inventory!$A:$I,9,FALSE),0))</f>
        <v/>
      </c>
      <c r="O996" s="85" t="str">
        <f t="shared" si="13"/>
        <v/>
      </c>
      <c r="P996" s="85" t="str">
        <f t="shared" si="5"/>
        <v/>
      </c>
      <c r="Q996" s="83"/>
      <c r="R996" s="118" t="str">
        <f>IF($E996="","",IF(COUNTIF($E$7:$E2193,$E996)&gt;1,"",IFERROR(VLOOKUP($E996,Orders!$A:$I,8,FALSE),"")))</f>
        <v/>
      </c>
      <c r="S996" s="118" t="str">
        <f>IF($E996="","",IF(COUNTIF($E$7:$E2193,$E996)&gt;1,"",IFERROR(VLOOKUP($E996,Orders!$A:$I,9,FALSE),"")))</f>
        <v/>
      </c>
      <c r="T996" s="88" t="str">
        <f t="shared" si="14"/>
        <v/>
      </c>
      <c r="U996" s="88" t="str">
        <f>IF($F996="","",IF($E996="",T996,SUMIF(Sales!$E$7:$E$1506,$E996,Sales!$T$7:$T$1506)))</f>
        <v/>
      </c>
      <c r="V996" s="49" t="str">
        <f t="shared" si="15"/>
        <v/>
      </c>
      <c r="W996" s="49" t="str">
        <f t="array" ref="W996">IF($V996="","",SUMPRODUCT((Sales!$V$7:$V$1506&lt;&gt;"")*(Sales!$E$7:$E$1506&lt;$E996))+1)</f>
        <v/>
      </c>
      <c r="X996" s="49" t="str">
        <f t="shared" si="16"/>
        <v/>
      </c>
      <c r="Y996" s="49" t="str">
        <f t="shared" si="17"/>
        <v/>
      </c>
    </row>
    <row r="997" ht="15.0" customHeight="1">
      <c r="A997" s="82"/>
      <c r="B997" s="83"/>
      <c r="C997" s="83"/>
      <c r="D997" s="83"/>
      <c r="E997" s="83"/>
      <c r="F997" s="83"/>
      <c r="G997" s="83" t="str">
        <f>IF($F997="","",IFERROR(VLOOKUP($F997,Inventory!$A:$B,2,FALSE),""))</f>
        <v/>
      </c>
      <c r="H997" s="83"/>
      <c r="I997" s="84" t="str">
        <f t="shared" si="2"/>
        <v/>
      </c>
      <c r="J997" s="85" t="str">
        <f>IF($F997="","",IFERROR(VLOOKUP($F997,Inventory!$A:$K,11,FALSE),0))</f>
        <v/>
      </c>
      <c r="K997" s="85"/>
      <c r="L997" s="85" t="str">
        <f t="shared" si="12"/>
        <v/>
      </c>
      <c r="M997" s="83"/>
      <c r="N997" s="85" t="str">
        <f>IF($F997="","",IFERROR(VLOOKUP($F997,Inventory!$A:$I,9,FALSE),0))</f>
        <v/>
      </c>
      <c r="O997" s="85" t="str">
        <f t="shared" si="13"/>
        <v/>
      </c>
      <c r="P997" s="85" t="str">
        <f t="shared" si="5"/>
        <v/>
      </c>
      <c r="Q997" s="83"/>
      <c r="R997" s="118" t="str">
        <f>IF($E997="","",IF(COUNTIF($E$7:$E2194,$E997)&gt;1,"",IFERROR(VLOOKUP($E997,Orders!$A:$I,8,FALSE),"")))</f>
        <v/>
      </c>
      <c r="S997" s="118" t="str">
        <f>IF($E997="","",IF(COUNTIF($E$7:$E2194,$E997)&gt;1,"",IFERROR(VLOOKUP($E997,Orders!$A:$I,9,FALSE),"")))</f>
        <v/>
      </c>
      <c r="T997" s="88" t="str">
        <f t="shared" si="14"/>
        <v/>
      </c>
      <c r="U997" s="88" t="str">
        <f>IF($F997="","",IF($E997="",T997,SUMIF(Sales!$E$7:$E$1506,$E997,Sales!$T$7:$T$1506)))</f>
        <v/>
      </c>
      <c r="V997" s="49" t="str">
        <f t="shared" si="15"/>
        <v/>
      </c>
      <c r="W997" s="49" t="str">
        <f t="array" ref="W997">IF($V997="","",SUMPRODUCT((Sales!$V$7:$V$1506&lt;&gt;"")*(Sales!$E$7:$E$1506&lt;$E997))+1)</f>
        <v/>
      </c>
      <c r="X997" s="49" t="str">
        <f t="shared" si="16"/>
        <v/>
      </c>
      <c r="Y997" s="49" t="str">
        <f t="shared" si="17"/>
        <v/>
      </c>
    </row>
    <row r="998" ht="15.0" customHeight="1">
      <c r="A998" s="82"/>
      <c r="B998" s="83"/>
      <c r="C998" s="83"/>
      <c r="D998" s="83"/>
      <c r="E998" s="83"/>
      <c r="F998" s="83"/>
      <c r="G998" s="83" t="str">
        <f>IF($F998="","",IFERROR(VLOOKUP($F998,Inventory!$A:$B,2,FALSE),""))</f>
        <v/>
      </c>
      <c r="H998" s="83"/>
      <c r="I998" s="84" t="str">
        <f t="shared" si="2"/>
        <v/>
      </c>
      <c r="J998" s="85" t="str">
        <f>IF($F998="","",IFERROR(VLOOKUP($F998,Inventory!$A:$K,11,FALSE),0))</f>
        <v/>
      </c>
      <c r="K998" s="85"/>
      <c r="L998" s="85" t="str">
        <f t="shared" si="12"/>
        <v/>
      </c>
      <c r="M998" s="83"/>
      <c r="N998" s="85" t="str">
        <f>IF($F998="","",IFERROR(VLOOKUP($F998,Inventory!$A:$I,9,FALSE),0))</f>
        <v/>
      </c>
      <c r="O998" s="85" t="str">
        <f t="shared" si="13"/>
        <v/>
      </c>
      <c r="P998" s="85" t="str">
        <f t="shared" si="5"/>
        <v/>
      </c>
      <c r="Q998" s="83"/>
      <c r="R998" s="118" t="str">
        <f>IF($E998="","",IF(COUNTIF($E$7:$E2195,$E998)&gt;1,"",IFERROR(VLOOKUP($E998,Orders!$A:$I,8,FALSE),"")))</f>
        <v/>
      </c>
      <c r="S998" s="118" t="str">
        <f>IF($E998="","",IF(COUNTIF($E$7:$E2195,$E998)&gt;1,"",IFERROR(VLOOKUP($E998,Orders!$A:$I,9,FALSE),"")))</f>
        <v/>
      </c>
      <c r="T998" s="88" t="str">
        <f t="shared" si="14"/>
        <v/>
      </c>
      <c r="U998" s="88" t="str">
        <f>IF($F998="","",IF($E998="",T998,SUMIF(Sales!$E$7:$E$1506,$E998,Sales!$T$7:$T$1506)))</f>
        <v/>
      </c>
      <c r="V998" s="49" t="str">
        <f t="shared" si="15"/>
        <v/>
      </c>
      <c r="W998" s="49" t="str">
        <f t="array" ref="W998">IF($V998="","",SUMPRODUCT((Sales!$V$7:$V$1506&lt;&gt;"")*(Sales!$E$7:$E$1506&lt;$E998))+1)</f>
        <v/>
      </c>
      <c r="X998" s="49" t="str">
        <f t="shared" si="16"/>
        <v/>
      </c>
      <c r="Y998" s="49" t="str">
        <f t="shared" si="17"/>
        <v/>
      </c>
    </row>
    <row r="999" ht="15.0" customHeight="1">
      <c r="A999" s="82"/>
      <c r="B999" s="83"/>
      <c r="C999" s="83"/>
      <c r="D999" s="83"/>
      <c r="E999" s="83"/>
      <c r="F999" s="83"/>
      <c r="G999" s="83" t="str">
        <f>IF($F999="","",IFERROR(VLOOKUP($F999,Inventory!$A:$B,2,FALSE),""))</f>
        <v/>
      </c>
      <c r="H999" s="83"/>
      <c r="I999" s="84" t="str">
        <f t="shared" si="2"/>
        <v/>
      </c>
      <c r="J999" s="85" t="str">
        <f>IF($F999="","",IFERROR(VLOOKUP($F999,Inventory!$A:$K,11,FALSE),0))</f>
        <v/>
      </c>
      <c r="K999" s="85"/>
      <c r="L999" s="85" t="str">
        <f t="shared" si="12"/>
        <v/>
      </c>
      <c r="M999" s="83"/>
      <c r="N999" s="85" t="str">
        <f>IF($F999="","",IFERROR(VLOOKUP($F999,Inventory!$A:$I,9,FALSE),0))</f>
        <v/>
      </c>
      <c r="O999" s="85" t="str">
        <f t="shared" si="13"/>
        <v/>
      </c>
      <c r="P999" s="85" t="str">
        <f t="shared" si="5"/>
        <v/>
      </c>
      <c r="Q999" s="83"/>
      <c r="R999" s="118" t="str">
        <f>IF($E999="","",IF(COUNTIF($E$7:$E2196,$E999)&gt;1,"",IFERROR(VLOOKUP($E999,Orders!$A:$I,8,FALSE),"")))</f>
        <v/>
      </c>
      <c r="S999" s="118" t="str">
        <f>IF($E999="","",IF(COUNTIF($E$7:$E2196,$E999)&gt;1,"",IFERROR(VLOOKUP($E999,Orders!$A:$I,9,FALSE),"")))</f>
        <v/>
      </c>
      <c r="T999" s="88" t="str">
        <f t="shared" si="14"/>
        <v/>
      </c>
      <c r="U999" s="88" t="str">
        <f>IF($F999="","",IF($E999="",T999,SUMIF(Sales!$E$7:$E$1506,$E999,Sales!$T$7:$T$1506)))</f>
        <v/>
      </c>
      <c r="V999" s="49" t="str">
        <f t="shared" si="15"/>
        <v/>
      </c>
      <c r="W999" s="49" t="str">
        <f t="array" ref="W999">IF($V999="","",SUMPRODUCT((Sales!$V$7:$V$1506&lt;&gt;"")*(Sales!$E$7:$E$1506&lt;$E999))+1)</f>
        <v/>
      </c>
      <c r="X999" s="49" t="str">
        <f t="shared" si="16"/>
        <v/>
      </c>
      <c r="Y999" s="49" t="str">
        <f t="shared" si="17"/>
        <v/>
      </c>
    </row>
    <row r="1000" ht="15.0" customHeight="1">
      <c r="A1000" s="82"/>
      <c r="B1000" s="83"/>
      <c r="C1000" s="83"/>
      <c r="D1000" s="83"/>
      <c r="E1000" s="83"/>
      <c r="F1000" s="83"/>
      <c r="G1000" s="83" t="str">
        <f>IF($F1000="","",IFERROR(VLOOKUP($F1000,Inventory!$A:$B,2,FALSE),""))</f>
        <v/>
      </c>
      <c r="H1000" s="83"/>
      <c r="I1000" s="84" t="str">
        <f t="shared" si="2"/>
        <v/>
      </c>
      <c r="J1000" s="85" t="str">
        <f>IF($F1000="","",IFERROR(VLOOKUP($F1000,Inventory!$A:$K,11,FALSE),0))</f>
        <v/>
      </c>
      <c r="K1000" s="85"/>
      <c r="L1000" s="85" t="str">
        <f t="shared" si="12"/>
        <v/>
      </c>
      <c r="M1000" s="83"/>
      <c r="N1000" s="85" t="str">
        <f>IF($F1000="","",IFERROR(VLOOKUP($F1000,Inventory!$A:$I,9,FALSE),0))</f>
        <v/>
      </c>
      <c r="O1000" s="85" t="str">
        <f t="shared" si="13"/>
        <v/>
      </c>
      <c r="P1000" s="85" t="str">
        <f t="shared" si="5"/>
        <v/>
      </c>
      <c r="Q1000" s="83"/>
      <c r="R1000" s="118" t="str">
        <f>IF($E1000="","",IF(COUNTIF($E$7:$E2197,$E1000)&gt;1,"",IFERROR(VLOOKUP($E1000,Orders!$A:$I,8,FALSE),"")))</f>
        <v/>
      </c>
      <c r="S1000" s="118" t="str">
        <f>IF($E1000="","",IF(COUNTIF($E$7:$E2197,$E1000)&gt;1,"",IFERROR(VLOOKUP($E1000,Orders!$A:$I,9,FALSE),"")))</f>
        <v/>
      </c>
      <c r="T1000" s="88" t="str">
        <f t="shared" si="14"/>
        <v/>
      </c>
      <c r="U1000" s="88" t="str">
        <f>IF($F1000="","",IF($E1000="",T1000,SUMIF(Sales!$E$7:$E$1506,$E1000,Sales!$T$7:$T$1506)))</f>
        <v/>
      </c>
      <c r="V1000" s="49" t="str">
        <f t="shared" si="15"/>
        <v/>
      </c>
      <c r="W1000" s="49" t="str">
        <f t="array" ref="W1000">IF($V1000="","",SUMPRODUCT((Sales!$V$7:$V$1506&lt;&gt;"")*(Sales!$E$7:$E$1506&lt;$E1000))+1)</f>
        <v/>
      </c>
      <c r="X1000" s="49" t="str">
        <f t="shared" si="16"/>
        <v/>
      </c>
      <c r="Y1000" s="49" t="str">
        <f t="shared" si="17"/>
        <v/>
      </c>
    </row>
    <row r="1001" ht="15.0" customHeight="1">
      <c r="A1001" s="82"/>
      <c r="B1001" s="83"/>
      <c r="C1001" s="83"/>
      <c r="D1001" s="83"/>
      <c r="E1001" s="83"/>
      <c r="F1001" s="83"/>
      <c r="G1001" s="83" t="str">
        <f>IF($F1001="","",IFERROR(VLOOKUP($F1001,Inventory!$A:$B,2,FALSE),""))</f>
        <v/>
      </c>
      <c r="H1001" s="83"/>
      <c r="I1001" s="84" t="str">
        <f t="shared" si="2"/>
        <v/>
      </c>
      <c r="J1001" s="85" t="str">
        <f>IF($F1001="","",IFERROR(VLOOKUP($F1001,Inventory!$A:$K,11,FALSE),0))</f>
        <v/>
      </c>
      <c r="K1001" s="85"/>
      <c r="L1001" s="85" t="str">
        <f t="shared" si="12"/>
        <v/>
      </c>
      <c r="M1001" s="83"/>
      <c r="N1001" s="85" t="str">
        <f>IF($F1001="","",IFERROR(VLOOKUP($F1001,Inventory!$A:$I,9,FALSE),0))</f>
        <v/>
      </c>
      <c r="O1001" s="85" t="str">
        <f t="shared" si="13"/>
        <v/>
      </c>
      <c r="P1001" s="85" t="str">
        <f t="shared" si="5"/>
        <v/>
      </c>
      <c r="Q1001" s="83"/>
      <c r="R1001" s="118" t="str">
        <f>IF($E1001="","",IF(COUNTIF($E$7:$E2198,$E1001)&gt;1,"",IFERROR(VLOOKUP($E1001,Orders!$A:$I,8,FALSE),"")))</f>
        <v/>
      </c>
      <c r="S1001" s="118" t="str">
        <f>IF($E1001="","",IF(COUNTIF($E$7:$E2198,$E1001)&gt;1,"",IFERROR(VLOOKUP($E1001,Orders!$A:$I,9,FALSE),"")))</f>
        <v/>
      </c>
      <c r="T1001" s="88" t="str">
        <f t="shared" si="14"/>
        <v/>
      </c>
      <c r="U1001" s="88" t="str">
        <f>IF($F1001="","",IF($E1001="",T1001,SUMIF(Sales!$E$7:$E$1506,$E1001,Sales!$T$7:$T$1506)))</f>
        <v/>
      </c>
      <c r="V1001" s="49" t="str">
        <f t="shared" si="15"/>
        <v/>
      </c>
      <c r="W1001" s="49" t="str">
        <f t="array" ref="W1001">IF($V1001="","",SUMPRODUCT((Sales!$V$7:$V$1506&lt;&gt;"")*(Sales!$E$7:$E$1506&lt;$E1001))+1)</f>
        <v/>
      </c>
      <c r="X1001" s="49" t="str">
        <f t="shared" si="16"/>
        <v/>
      </c>
      <c r="Y1001" s="49" t="str">
        <f t="shared" si="17"/>
        <v/>
      </c>
    </row>
    <row r="1002" ht="15.0" customHeight="1">
      <c r="A1002" s="82"/>
      <c r="B1002" s="83"/>
      <c r="C1002" s="83"/>
      <c r="D1002" s="83"/>
      <c r="E1002" s="83"/>
      <c r="F1002" s="83"/>
      <c r="G1002" s="83" t="str">
        <f>IF($F1002="","",IFERROR(VLOOKUP($F1002,Inventory!$A:$B,2,FALSE),""))</f>
        <v/>
      </c>
      <c r="H1002" s="83"/>
      <c r="I1002" s="84" t="str">
        <f t="shared" si="2"/>
        <v/>
      </c>
      <c r="J1002" s="85" t="str">
        <f>IF($F1002="","",IFERROR(VLOOKUP($F1002,Inventory!$A:$K,11,FALSE),0))</f>
        <v/>
      </c>
      <c r="K1002" s="85"/>
      <c r="L1002" s="85" t="str">
        <f t="shared" si="12"/>
        <v/>
      </c>
      <c r="M1002" s="83"/>
      <c r="N1002" s="85" t="str">
        <f>IF($F1002="","",IFERROR(VLOOKUP($F1002,Inventory!$A:$I,9,FALSE),0))</f>
        <v/>
      </c>
      <c r="O1002" s="85" t="str">
        <f t="shared" si="13"/>
        <v/>
      </c>
      <c r="P1002" s="85" t="str">
        <f t="shared" si="5"/>
        <v/>
      </c>
      <c r="Q1002" s="83"/>
      <c r="R1002" s="118" t="str">
        <f>IF($E1002="","",IF(COUNTIF($E$7:$E2199,$E1002)&gt;1,"",IFERROR(VLOOKUP($E1002,Orders!$A:$I,8,FALSE),"")))</f>
        <v/>
      </c>
      <c r="S1002" s="118" t="str">
        <f>IF($E1002="","",IF(COUNTIF($E$7:$E2199,$E1002)&gt;1,"",IFERROR(VLOOKUP($E1002,Orders!$A:$I,9,FALSE),"")))</f>
        <v/>
      </c>
      <c r="T1002" s="88" t="str">
        <f t="shared" si="14"/>
        <v/>
      </c>
      <c r="U1002" s="88" t="str">
        <f>IF($F1002="","",IF($E1002="",T1002,SUMIF(Sales!$E$7:$E$1506,$E1002,Sales!$T$7:$T$1506)))</f>
        <v/>
      </c>
      <c r="V1002" s="49" t="str">
        <f t="shared" si="15"/>
        <v/>
      </c>
      <c r="W1002" s="49" t="str">
        <f t="array" ref="W1002">IF($V1002="","",SUMPRODUCT((Sales!$V$7:$V$1506&lt;&gt;"")*(Sales!$E$7:$E$1506&lt;$E1002))+1)</f>
        <v/>
      </c>
      <c r="X1002" s="49" t="str">
        <f t="shared" si="16"/>
        <v/>
      </c>
      <c r="Y1002" s="49" t="str">
        <f t="shared" si="17"/>
        <v/>
      </c>
    </row>
    <row r="1003" ht="15.0" customHeight="1">
      <c r="A1003" s="82"/>
      <c r="B1003" s="83"/>
      <c r="C1003" s="83"/>
      <c r="D1003" s="83"/>
      <c r="E1003" s="83"/>
      <c r="F1003" s="83"/>
      <c r="G1003" s="83" t="str">
        <f>IF($F1003="","",IFERROR(VLOOKUP($F1003,Inventory!$A:$B,2,FALSE),""))</f>
        <v/>
      </c>
      <c r="H1003" s="83"/>
      <c r="I1003" s="84" t="str">
        <f t="shared" si="2"/>
        <v/>
      </c>
      <c r="J1003" s="85" t="str">
        <f>IF($F1003="","",IFERROR(VLOOKUP($F1003,Inventory!$A:$K,11,FALSE),0))</f>
        <v/>
      </c>
      <c r="K1003" s="85"/>
      <c r="L1003" s="85" t="str">
        <f t="shared" si="12"/>
        <v/>
      </c>
      <c r="M1003" s="83"/>
      <c r="N1003" s="85" t="str">
        <f>IF($F1003="","",IFERROR(VLOOKUP($F1003,Inventory!$A:$I,9,FALSE),0))</f>
        <v/>
      </c>
      <c r="O1003" s="85" t="str">
        <f t="shared" si="13"/>
        <v/>
      </c>
      <c r="P1003" s="85" t="str">
        <f t="shared" si="5"/>
        <v/>
      </c>
      <c r="Q1003" s="83"/>
      <c r="R1003" s="118" t="str">
        <f>IF($E1003="","",IF(COUNTIF($E$7:$E2200,$E1003)&gt;1,"",IFERROR(VLOOKUP($E1003,Orders!$A:$I,8,FALSE),"")))</f>
        <v/>
      </c>
      <c r="S1003" s="118" t="str">
        <f>IF($E1003="","",IF(COUNTIF($E$7:$E2200,$E1003)&gt;1,"",IFERROR(VLOOKUP($E1003,Orders!$A:$I,9,FALSE),"")))</f>
        <v/>
      </c>
      <c r="T1003" s="88" t="str">
        <f t="shared" si="14"/>
        <v/>
      </c>
      <c r="U1003" s="88" t="str">
        <f>IF($F1003="","",IF($E1003="",T1003,SUMIF(Sales!$E$7:$E$1506,$E1003,Sales!$T$7:$T$1506)))</f>
        <v/>
      </c>
      <c r="V1003" s="49" t="str">
        <f t="shared" si="15"/>
        <v/>
      </c>
      <c r="W1003" s="49" t="str">
        <f t="array" ref="W1003">IF($V1003="","",SUMPRODUCT((Sales!$V$7:$V$1506&lt;&gt;"")*(Sales!$E$7:$E$1506&lt;$E1003))+1)</f>
        <v/>
      </c>
      <c r="X1003" s="49" t="str">
        <f t="shared" si="16"/>
        <v/>
      </c>
      <c r="Y1003" s="49" t="str">
        <f t="shared" si="17"/>
        <v/>
      </c>
    </row>
    <row r="1004" ht="15.0" customHeight="1">
      <c r="A1004" s="82"/>
      <c r="B1004" s="83"/>
      <c r="C1004" s="83"/>
      <c r="D1004" s="83"/>
      <c r="E1004" s="83"/>
      <c r="F1004" s="83"/>
      <c r="G1004" s="83" t="str">
        <f>IF($F1004="","",IFERROR(VLOOKUP($F1004,Inventory!$A:$B,2,FALSE),""))</f>
        <v/>
      </c>
      <c r="H1004" s="83"/>
      <c r="I1004" s="84" t="str">
        <f t="shared" si="2"/>
        <v/>
      </c>
      <c r="J1004" s="85" t="str">
        <f>IF($F1004="","",IFERROR(VLOOKUP($F1004,Inventory!$A:$K,11,FALSE),0))</f>
        <v/>
      </c>
      <c r="K1004" s="85"/>
      <c r="L1004" s="85" t="str">
        <f t="shared" si="12"/>
        <v/>
      </c>
      <c r="M1004" s="83"/>
      <c r="N1004" s="85" t="str">
        <f>IF($F1004="","",IFERROR(VLOOKUP($F1004,Inventory!$A:$I,9,FALSE),0))</f>
        <v/>
      </c>
      <c r="O1004" s="85" t="str">
        <f t="shared" si="13"/>
        <v/>
      </c>
      <c r="P1004" s="85" t="str">
        <f t="shared" si="5"/>
        <v/>
      </c>
      <c r="Q1004" s="83"/>
      <c r="R1004" s="118" t="str">
        <f>IF($E1004="","",IF(COUNTIF($E$7:$E2201,$E1004)&gt;1,"",IFERROR(VLOOKUP($E1004,Orders!$A:$I,8,FALSE),"")))</f>
        <v/>
      </c>
      <c r="S1004" s="118" t="str">
        <f>IF($E1004="","",IF(COUNTIF($E$7:$E2201,$E1004)&gt;1,"",IFERROR(VLOOKUP($E1004,Orders!$A:$I,9,FALSE),"")))</f>
        <v/>
      </c>
      <c r="T1004" s="88" t="str">
        <f t="shared" si="14"/>
        <v/>
      </c>
      <c r="U1004" s="88" t="str">
        <f>IF($F1004="","",IF($E1004="",T1004,SUMIF(Sales!$E$7:$E$1506,$E1004,Sales!$T$7:$T$1506)))</f>
        <v/>
      </c>
      <c r="V1004" s="49" t="str">
        <f t="shared" si="15"/>
        <v/>
      </c>
      <c r="W1004" s="49" t="str">
        <f t="array" ref="W1004">IF($V1004="","",SUMPRODUCT((Sales!$V$7:$V$1506&lt;&gt;"")*(Sales!$E$7:$E$1506&lt;$E1004))+1)</f>
        <v/>
      </c>
      <c r="X1004" s="49" t="str">
        <f t="shared" si="16"/>
        <v/>
      </c>
      <c r="Y1004" s="49" t="str">
        <f t="shared" si="17"/>
        <v/>
      </c>
    </row>
    <row r="1005" ht="15.0" customHeight="1">
      <c r="A1005" s="82"/>
      <c r="B1005" s="83"/>
      <c r="C1005" s="83"/>
      <c r="D1005" s="83"/>
      <c r="E1005" s="83"/>
      <c r="F1005" s="83"/>
      <c r="G1005" s="83" t="str">
        <f>IF($F1005="","",IFERROR(VLOOKUP($F1005,Inventory!$A:$B,2,FALSE),""))</f>
        <v/>
      </c>
      <c r="H1005" s="83"/>
      <c r="I1005" s="84" t="str">
        <f t="shared" si="2"/>
        <v/>
      </c>
      <c r="J1005" s="85" t="str">
        <f>IF($F1005="","",IFERROR(VLOOKUP($F1005,Inventory!$A:$K,11,FALSE),0))</f>
        <v/>
      </c>
      <c r="K1005" s="85"/>
      <c r="L1005" s="85" t="str">
        <f t="shared" si="12"/>
        <v/>
      </c>
      <c r="M1005" s="83"/>
      <c r="N1005" s="85" t="str">
        <f>IF($F1005="","",IFERROR(VLOOKUP($F1005,Inventory!$A:$I,9,FALSE),0))</f>
        <v/>
      </c>
      <c r="O1005" s="85" t="str">
        <f t="shared" si="13"/>
        <v/>
      </c>
      <c r="P1005" s="85" t="str">
        <f t="shared" si="5"/>
        <v/>
      </c>
      <c r="Q1005" s="83"/>
      <c r="R1005" s="118" t="str">
        <f>IF($E1005="","",IF(COUNTIF($E$7:$E2202,$E1005)&gt;1,"",IFERROR(VLOOKUP($E1005,Orders!$A:$I,8,FALSE),"")))</f>
        <v/>
      </c>
      <c r="S1005" s="118" t="str">
        <f>IF($E1005="","",IF(COUNTIF($E$7:$E2202,$E1005)&gt;1,"",IFERROR(VLOOKUP($E1005,Orders!$A:$I,9,FALSE),"")))</f>
        <v/>
      </c>
      <c r="T1005" s="88" t="str">
        <f t="shared" si="14"/>
        <v/>
      </c>
      <c r="U1005" s="88" t="str">
        <f>IF($F1005="","",IF($E1005="",T1005,SUMIF(Sales!$E$7:$E$1506,$E1005,Sales!$T$7:$T$1506)))</f>
        <v/>
      </c>
      <c r="V1005" s="49" t="str">
        <f t="shared" si="15"/>
        <v/>
      </c>
      <c r="W1005" s="49" t="str">
        <f t="array" ref="W1005">IF($V1005="","",SUMPRODUCT((Sales!$V$7:$V$1506&lt;&gt;"")*(Sales!$E$7:$E$1506&lt;$E1005))+1)</f>
        <v/>
      </c>
      <c r="X1005" s="49" t="str">
        <f t="shared" si="16"/>
        <v/>
      </c>
      <c r="Y1005" s="49" t="str">
        <f t="shared" si="17"/>
        <v/>
      </c>
    </row>
    <row r="1006" ht="15.0" customHeight="1">
      <c r="A1006" s="82"/>
      <c r="B1006" s="83"/>
      <c r="C1006" s="83"/>
      <c r="D1006" s="83"/>
      <c r="E1006" s="83"/>
      <c r="F1006" s="83"/>
      <c r="G1006" s="83" t="str">
        <f>IF($F1006="","",IFERROR(VLOOKUP($F1006,Inventory!$A:$B,2,FALSE),""))</f>
        <v/>
      </c>
      <c r="H1006" s="83"/>
      <c r="I1006" s="84" t="str">
        <f t="shared" si="2"/>
        <v/>
      </c>
      <c r="J1006" s="85" t="str">
        <f>IF($F1006="","",IFERROR(VLOOKUP($F1006,Inventory!$A:$K,11,FALSE),0))</f>
        <v/>
      </c>
      <c r="K1006" s="85"/>
      <c r="L1006" s="85" t="str">
        <f t="shared" si="12"/>
        <v/>
      </c>
      <c r="M1006" s="83"/>
      <c r="N1006" s="85" t="str">
        <f>IF($F1006="","",IFERROR(VLOOKUP($F1006,Inventory!$A:$I,9,FALSE),0))</f>
        <v/>
      </c>
      <c r="O1006" s="85" t="str">
        <f t="shared" si="13"/>
        <v/>
      </c>
      <c r="P1006" s="85" t="str">
        <f t="shared" si="5"/>
        <v/>
      </c>
      <c r="Q1006" s="83"/>
      <c r="R1006" s="118" t="str">
        <f>IF($E1006="","",IF(COUNTIF($E$7:$E2203,$E1006)&gt;1,"",IFERROR(VLOOKUP($E1006,Orders!$A:$I,8,FALSE),"")))</f>
        <v/>
      </c>
      <c r="S1006" s="118" t="str">
        <f>IF($E1006="","",IF(COUNTIF($E$7:$E2203,$E1006)&gt;1,"",IFERROR(VLOOKUP($E1006,Orders!$A:$I,9,FALSE),"")))</f>
        <v/>
      </c>
      <c r="T1006" s="88" t="str">
        <f t="shared" si="14"/>
        <v/>
      </c>
      <c r="U1006" s="88" t="str">
        <f>IF($F1006="","",IF($E1006="",T1006,SUMIF(Sales!$E$7:$E$1506,$E1006,Sales!$T$7:$T$1506)))</f>
        <v/>
      </c>
      <c r="V1006" s="49" t="str">
        <f t="shared" si="15"/>
        <v/>
      </c>
      <c r="W1006" s="49" t="str">
        <f t="array" ref="W1006">IF($V1006="","",SUMPRODUCT((Sales!$V$7:$V$1506&lt;&gt;"")*(Sales!$E$7:$E$1506&lt;$E1006))+1)</f>
        <v/>
      </c>
      <c r="X1006" s="49" t="str">
        <f t="shared" si="16"/>
        <v/>
      </c>
      <c r="Y1006" s="49" t="str">
        <f t="shared" si="17"/>
        <v/>
      </c>
    </row>
    <row r="1007" ht="15.0" customHeight="1">
      <c r="A1007" s="82"/>
      <c r="B1007" s="83"/>
      <c r="C1007" s="83"/>
      <c r="D1007" s="83"/>
      <c r="E1007" s="83"/>
      <c r="F1007" s="83"/>
      <c r="G1007" s="83" t="str">
        <f>IF($F1007="","",IFERROR(VLOOKUP($F1007,Inventory!$A:$B,2,FALSE),""))</f>
        <v/>
      </c>
      <c r="H1007" s="83"/>
      <c r="I1007" s="84" t="str">
        <f t="shared" si="2"/>
        <v/>
      </c>
      <c r="J1007" s="85" t="str">
        <f>IF($F1007="","",IFERROR(VLOOKUP($F1007,Inventory!$A:$K,11,FALSE),0))</f>
        <v/>
      </c>
      <c r="K1007" s="85"/>
      <c r="L1007" s="85" t="str">
        <f t="shared" si="12"/>
        <v/>
      </c>
      <c r="M1007" s="83"/>
      <c r="N1007" s="85" t="str">
        <f>IF($F1007="","",IFERROR(VLOOKUP($F1007,Inventory!$A:$I,9,FALSE),0))</f>
        <v/>
      </c>
      <c r="O1007" s="85" t="str">
        <f t="shared" si="13"/>
        <v/>
      </c>
      <c r="P1007" s="85" t="str">
        <f t="shared" si="5"/>
        <v/>
      </c>
      <c r="Q1007" s="83"/>
      <c r="R1007" s="118" t="str">
        <f>IF($E1007="","",IF(COUNTIF($E$7:$E2204,$E1007)&gt;1,"",IFERROR(VLOOKUP($E1007,Orders!$A:$I,8,FALSE),"")))</f>
        <v/>
      </c>
      <c r="S1007" s="118" t="str">
        <f>IF($E1007="","",IF(COUNTIF($E$7:$E2204,$E1007)&gt;1,"",IFERROR(VLOOKUP($E1007,Orders!$A:$I,9,FALSE),"")))</f>
        <v/>
      </c>
      <c r="T1007" s="88" t="str">
        <f t="shared" si="14"/>
        <v/>
      </c>
      <c r="U1007" s="88" t="str">
        <f>IF($F1007="","",IF($E1007="",T1007,SUMIF(Sales!$E$7:$E$1506,$E1007,Sales!$T$7:$T$1506)))</f>
        <v/>
      </c>
      <c r="V1007" s="49" t="str">
        <f t="shared" si="15"/>
        <v/>
      </c>
      <c r="W1007" s="49" t="str">
        <f t="array" ref="W1007">IF($V1007="","",SUMPRODUCT((Sales!$V$7:$V$1506&lt;&gt;"")*(Sales!$E$7:$E$1506&lt;$E1007))+1)</f>
        <v/>
      </c>
      <c r="X1007" s="49" t="str">
        <f t="shared" si="16"/>
        <v/>
      </c>
      <c r="Y1007" s="49" t="str">
        <f t="shared" si="17"/>
        <v/>
      </c>
    </row>
    <row r="1008" ht="15.0" customHeight="1">
      <c r="A1008" s="82"/>
      <c r="B1008" s="83"/>
      <c r="C1008" s="83"/>
      <c r="D1008" s="83"/>
      <c r="E1008" s="83"/>
      <c r="F1008" s="83"/>
      <c r="G1008" s="83" t="str">
        <f>IF($F1008="","",IFERROR(VLOOKUP($F1008,Inventory!$A:$B,2,FALSE),""))</f>
        <v/>
      </c>
      <c r="H1008" s="83"/>
      <c r="I1008" s="84" t="str">
        <f t="shared" si="2"/>
        <v/>
      </c>
      <c r="J1008" s="85" t="str">
        <f>IF($F1008="","",IFERROR(VLOOKUP($F1008,Inventory!$A:$K,11,FALSE),0))</f>
        <v/>
      </c>
      <c r="K1008" s="85"/>
      <c r="L1008" s="85" t="str">
        <f t="shared" si="12"/>
        <v/>
      </c>
      <c r="M1008" s="83"/>
      <c r="N1008" s="85" t="str">
        <f>IF($F1008="","",IFERROR(VLOOKUP($F1008,Inventory!$A:$I,9,FALSE),0))</f>
        <v/>
      </c>
      <c r="O1008" s="85" t="str">
        <f t="shared" si="13"/>
        <v/>
      </c>
      <c r="P1008" s="85" t="str">
        <f t="shared" si="5"/>
        <v/>
      </c>
      <c r="Q1008" s="83"/>
      <c r="R1008" s="118" t="str">
        <f>IF($E1008="","",IF(COUNTIF($E$7:$E2205,$E1008)&gt;1,"",IFERROR(VLOOKUP($E1008,Orders!$A:$I,8,FALSE),"")))</f>
        <v/>
      </c>
      <c r="S1008" s="118" t="str">
        <f>IF($E1008="","",IF(COUNTIF($E$7:$E2205,$E1008)&gt;1,"",IFERROR(VLOOKUP($E1008,Orders!$A:$I,9,FALSE),"")))</f>
        <v/>
      </c>
      <c r="T1008" s="88" t="str">
        <f t="shared" si="14"/>
        <v/>
      </c>
      <c r="U1008" s="88" t="str">
        <f>IF($F1008="","",IF($E1008="",T1008,SUMIF(Sales!$E$7:$E$1506,$E1008,Sales!$T$7:$T$1506)))</f>
        <v/>
      </c>
      <c r="V1008" s="49" t="str">
        <f t="shared" si="15"/>
        <v/>
      </c>
      <c r="W1008" s="49" t="str">
        <f t="array" ref="W1008">IF($V1008="","",SUMPRODUCT((Sales!$V$7:$V$1506&lt;&gt;"")*(Sales!$E$7:$E$1506&lt;$E1008))+1)</f>
        <v/>
      </c>
      <c r="X1008" s="49" t="str">
        <f t="shared" si="16"/>
        <v/>
      </c>
      <c r="Y1008" s="49" t="str">
        <f t="shared" si="17"/>
        <v/>
      </c>
    </row>
    <row r="1009" ht="15.0" customHeight="1">
      <c r="A1009" s="82"/>
      <c r="B1009" s="83"/>
      <c r="C1009" s="83"/>
      <c r="D1009" s="83"/>
      <c r="E1009" s="83"/>
      <c r="F1009" s="83"/>
      <c r="G1009" s="83" t="str">
        <f>IF($F1009="","",IFERROR(VLOOKUP($F1009,Inventory!$A:$B,2,FALSE),""))</f>
        <v/>
      </c>
      <c r="H1009" s="83"/>
      <c r="I1009" s="84" t="str">
        <f t="shared" si="2"/>
        <v/>
      </c>
      <c r="J1009" s="85" t="str">
        <f>IF($F1009="","",IFERROR(VLOOKUP($F1009,Inventory!$A:$K,11,FALSE),0))</f>
        <v/>
      </c>
      <c r="K1009" s="85"/>
      <c r="L1009" s="85" t="str">
        <f t="shared" si="12"/>
        <v/>
      </c>
      <c r="M1009" s="83"/>
      <c r="N1009" s="85" t="str">
        <f>IF($F1009="","",IFERROR(VLOOKUP($F1009,Inventory!$A:$I,9,FALSE),0))</f>
        <v/>
      </c>
      <c r="O1009" s="85" t="str">
        <f t="shared" si="13"/>
        <v/>
      </c>
      <c r="P1009" s="85" t="str">
        <f t="shared" si="5"/>
        <v/>
      </c>
      <c r="Q1009" s="83"/>
      <c r="R1009" s="118" t="str">
        <f>IF($E1009="","",IF(COUNTIF($E$7:$E2206,$E1009)&gt;1,"",IFERROR(VLOOKUP($E1009,Orders!$A:$I,8,FALSE),"")))</f>
        <v/>
      </c>
      <c r="S1009" s="118" t="str">
        <f>IF($E1009="","",IF(COUNTIF($E$7:$E2206,$E1009)&gt;1,"",IFERROR(VLOOKUP($E1009,Orders!$A:$I,9,FALSE),"")))</f>
        <v/>
      </c>
      <c r="T1009" s="88" t="str">
        <f t="shared" si="14"/>
        <v/>
      </c>
      <c r="U1009" s="88" t="str">
        <f>IF($F1009="","",IF($E1009="",T1009,SUMIF(Sales!$E$7:$E$1506,$E1009,Sales!$T$7:$T$1506)))</f>
        <v/>
      </c>
      <c r="V1009" s="49" t="str">
        <f t="shared" si="15"/>
        <v/>
      </c>
      <c r="W1009" s="49" t="str">
        <f t="array" ref="W1009">IF($V1009="","",SUMPRODUCT((Sales!$V$7:$V$1506&lt;&gt;"")*(Sales!$E$7:$E$1506&lt;$E1009))+1)</f>
        <v/>
      </c>
      <c r="X1009" s="49" t="str">
        <f t="shared" si="16"/>
        <v/>
      </c>
      <c r="Y1009" s="49" t="str">
        <f t="shared" si="17"/>
        <v/>
      </c>
    </row>
    <row r="1010" ht="15.0" customHeight="1">
      <c r="A1010" s="82"/>
      <c r="B1010" s="83"/>
      <c r="C1010" s="83"/>
      <c r="D1010" s="83"/>
      <c r="E1010" s="83"/>
      <c r="F1010" s="83"/>
      <c r="G1010" s="83" t="str">
        <f>IF($F1010="","",IFERROR(VLOOKUP($F1010,Inventory!$A:$B,2,FALSE),""))</f>
        <v/>
      </c>
      <c r="H1010" s="83"/>
      <c r="I1010" s="84" t="str">
        <f t="shared" si="2"/>
        <v/>
      </c>
      <c r="J1010" s="85" t="str">
        <f>IF($F1010="","",IFERROR(VLOOKUP($F1010,Inventory!$A:$K,11,FALSE),0))</f>
        <v/>
      </c>
      <c r="K1010" s="85"/>
      <c r="L1010" s="85" t="str">
        <f t="shared" si="12"/>
        <v/>
      </c>
      <c r="M1010" s="83"/>
      <c r="N1010" s="85" t="str">
        <f>IF($F1010="","",IFERROR(VLOOKUP($F1010,Inventory!$A:$I,9,FALSE),0))</f>
        <v/>
      </c>
      <c r="O1010" s="85" t="str">
        <f t="shared" si="13"/>
        <v/>
      </c>
      <c r="P1010" s="85" t="str">
        <f t="shared" si="5"/>
        <v/>
      </c>
      <c r="Q1010" s="83"/>
      <c r="R1010" s="118" t="str">
        <f>IF($E1010="","",IF(COUNTIF($E$7:$E2207,$E1010)&gt;1,"",IFERROR(VLOOKUP($E1010,Orders!$A:$I,8,FALSE),"")))</f>
        <v/>
      </c>
      <c r="S1010" s="118" t="str">
        <f>IF($E1010="","",IF(COUNTIF($E$7:$E2207,$E1010)&gt;1,"",IFERROR(VLOOKUP($E1010,Orders!$A:$I,9,FALSE),"")))</f>
        <v/>
      </c>
      <c r="T1010" s="88" t="str">
        <f t="shared" si="14"/>
        <v/>
      </c>
      <c r="U1010" s="88" t="str">
        <f>IF($F1010="","",IF($E1010="",T1010,SUMIF(Sales!$E$7:$E$1506,$E1010,Sales!$T$7:$T$1506)))</f>
        <v/>
      </c>
      <c r="V1010" s="49" t="str">
        <f t="shared" si="15"/>
        <v/>
      </c>
      <c r="W1010" s="49" t="str">
        <f t="array" ref="W1010">IF($V1010="","",SUMPRODUCT((Sales!$V$7:$V$1506&lt;&gt;"")*(Sales!$E$7:$E$1506&lt;$E1010))+1)</f>
        <v/>
      </c>
      <c r="X1010" s="49" t="str">
        <f t="shared" si="16"/>
        <v/>
      </c>
      <c r="Y1010" s="49" t="str">
        <f t="shared" si="17"/>
        <v/>
      </c>
    </row>
    <row r="1011" ht="15.0" customHeight="1">
      <c r="A1011" s="82"/>
      <c r="B1011" s="83"/>
      <c r="C1011" s="83"/>
      <c r="D1011" s="83"/>
      <c r="E1011" s="83"/>
      <c r="F1011" s="83"/>
      <c r="G1011" s="83" t="str">
        <f>IF($F1011="","",IFERROR(VLOOKUP($F1011,Inventory!$A:$B,2,FALSE),""))</f>
        <v/>
      </c>
      <c r="H1011" s="83"/>
      <c r="I1011" s="84" t="str">
        <f t="shared" si="2"/>
        <v/>
      </c>
      <c r="J1011" s="85" t="str">
        <f>IF($F1011="","",IFERROR(VLOOKUP($F1011,Inventory!$A:$K,11,FALSE),0))</f>
        <v/>
      </c>
      <c r="K1011" s="85"/>
      <c r="L1011" s="85" t="str">
        <f t="shared" si="12"/>
        <v/>
      </c>
      <c r="M1011" s="83"/>
      <c r="N1011" s="85" t="str">
        <f>IF($F1011="","",IFERROR(VLOOKUP($F1011,Inventory!$A:$I,9,FALSE),0))</f>
        <v/>
      </c>
      <c r="O1011" s="85" t="str">
        <f t="shared" si="13"/>
        <v/>
      </c>
      <c r="P1011" s="85" t="str">
        <f t="shared" si="5"/>
        <v/>
      </c>
      <c r="Q1011" s="83"/>
      <c r="R1011" s="118" t="str">
        <f>IF($E1011="","",IF(COUNTIF($E$7:$E2208,$E1011)&gt;1,"",IFERROR(VLOOKUP($E1011,Orders!$A:$I,8,FALSE),"")))</f>
        <v/>
      </c>
      <c r="S1011" s="118" t="str">
        <f>IF($E1011="","",IF(COUNTIF($E$7:$E2208,$E1011)&gt;1,"",IFERROR(VLOOKUP($E1011,Orders!$A:$I,9,FALSE),"")))</f>
        <v/>
      </c>
      <c r="T1011" s="88" t="str">
        <f t="shared" si="14"/>
        <v/>
      </c>
      <c r="U1011" s="88" t="str">
        <f>IF($F1011="","",IF($E1011="",T1011,SUMIF(Sales!$E$7:$E$1506,$E1011,Sales!$T$7:$T$1506)))</f>
        <v/>
      </c>
      <c r="V1011" s="49" t="str">
        <f t="shared" si="15"/>
        <v/>
      </c>
      <c r="W1011" s="49" t="str">
        <f t="array" ref="W1011">IF($V1011="","",SUMPRODUCT((Sales!$V$7:$V$1506&lt;&gt;"")*(Sales!$E$7:$E$1506&lt;$E1011))+1)</f>
        <v/>
      </c>
      <c r="X1011" s="49" t="str">
        <f t="shared" si="16"/>
        <v/>
      </c>
      <c r="Y1011" s="49" t="str">
        <f t="shared" si="17"/>
        <v/>
      </c>
    </row>
    <row r="1012" ht="15.0" customHeight="1">
      <c r="A1012" s="82"/>
      <c r="B1012" s="83"/>
      <c r="C1012" s="83"/>
      <c r="D1012" s="83"/>
      <c r="E1012" s="83"/>
      <c r="F1012" s="83"/>
      <c r="G1012" s="83" t="str">
        <f>IF($F1012="","",IFERROR(VLOOKUP($F1012,Inventory!$A:$B,2,FALSE),""))</f>
        <v/>
      </c>
      <c r="H1012" s="83"/>
      <c r="I1012" s="84" t="str">
        <f t="shared" si="2"/>
        <v/>
      </c>
      <c r="J1012" s="85" t="str">
        <f>IF($F1012="","",IFERROR(VLOOKUP($F1012,Inventory!$A:$K,11,FALSE),0))</f>
        <v/>
      </c>
      <c r="K1012" s="85"/>
      <c r="L1012" s="85" t="str">
        <f t="shared" si="12"/>
        <v/>
      </c>
      <c r="M1012" s="83"/>
      <c r="N1012" s="85" t="str">
        <f>IF($F1012="","",IFERROR(VLOOKUP($F1012,Inventory!$A:$I,9,FALSE),0))</f>
        <v/>
      </c>
      <c r="O1012" s="85" t="str">
        <f t="shared" si="13"/>
        <v/>
      </c>
      <c r="P1012" s="85" t="str">
        <f t="shared" si="5"/>
        <v/>
      </c>
      <c r="Q1012" s="83"/>
      <c r="R1012" s="118" t="str">
        <f>IF($E1012="","",IF(COUNTIF($E$7:$E2209,$E1012)&gt;1,"",IFERROR(VLOOKUP($E1012,Orders!$A:$I,8,FALSE),"")))</f>
        <v/>
      </c>
      <c r="S1012" s="118" t="str">
        <f>IF($E1012="","",IF(COUNTIF($E$7:$E2209,$E1012)&gt;1,"",IFERROR(VLOOKUP($E1012,Orders!$A:$I,9,FALSE),"")))</f>
        <v/>
      </c>
      <c r="T1012" s="88" t="str">
        <f t="shared" si="14"/>
        <v/>
      </c>
      <c r="U1012" s="88" t="str">
        <f>IF($F1012="","",IF($E1012="",T1012,SUMIF(Sales!$E$7:$E$1506,$E1012,Sales!$T$7:$T$1506)))</f>
        <v/>
      </c>
      <c r="V1012" s="49" t="str">
        <f t="shared" si="15"/>
        <v/>
      </c>
      <c r="W1012" s="49" t="str">
        <f t="array" ref="W1012">IF($V1012="","",SUMPRODUCT((Sales!$V$7:$V$1506&lt;&gt;"")*(Sales!$E$7:$E$1506&lt;$E1012))+1)</f>
        <v/>
      </c>
      <c r="X1012" s="49" t="str">
        <f t="shared" si="16"/>
        <v/>
      </c>
      <c r="Y1012" s="49" t="str">
        <f t="shared" si="17"/>
        <v/>
      </c>
    </row>
    <row r="1013" ht="15.0" customHeight="1">
      <c r="A1013" s="82"/>
      <c r="B1013" s="83"/>
      <c r="C1013" s="83"/>
      <c r="D1013" s="83"/>
      <c r="E1013" s="83"/>
      <c r="F1013" s="83"/>
      <c r="G1013" s="83" t="str">
        <f>IF($F1013="","",IFERROR(VLOOKUP($F1013,Inventory!$A:$B,2,FALSE),""))</f>
        <v/>
      </c>
      <c r="H1013" s="83"/>
      <c r="I1013" s="84" t="str">
        <f t="shared" si="2"/>
        <v/>
      </c>
      <c r="J1013" s="85" t="str">
        <f>IF($F1013="","",IFERROR(VLOOKUP($F1013,Inventory!$A:$K,11,FALSE),0))</f>
        <v/>
      </c>
      <c r="K1013" s="85"/>
      <c r="L1013" s="85" t="str">
        <f t="shared" si="12"/>
        <v/>
      </c>
      <c r="M1013" s="83"/>
      <c r="N1013" s="85" t="str">
        <f>IF($F1013="","",IFERROR(VLOOKUP($F1013,Inventory!$A:$I,9,FALSE),0))</f>
        <v/>
      </c>
      <c r="O1013" s="85" t="str">
        <f t="shared" si="13"/>
        <v/>
      </c>
      <c r="P1013" s="85" t="str">
        <f t="shared" si="5"/>
        <v/>
      </c>
      <c r="Q1013" s="83"/>
      <c r="R1013" s="118" t="str">
        <f>IF($E1013="","",IF(COUNTIF($E$7:$E2210,$E1013)&gt;1,"",IFERROR(VLOOKUP($E1013,Orders!$A:$I,8,FALSE),"")))</f>
        <v/>
      </c>
      <c r="S1013" s="118" t="str">
        <f>IF($E1013="","",IF(COUNTIF($E$7:$E2210,$E1013)&gt;1,"",IFERROR(VLOOKUP($E1013,Orders!$A:$I,9,FALSE),"")))</f>
        <v/>
      </c>
      <c r="T1013" s="88" t="str">
        <f t="shared" si="14"/>
        <v/>
      </c>
      <c r="U1013" s="88" t="str">
        <f>IF($F1013="","",IF($E1013="",T1013,SUMIF(Sales!$E$7:$E$1506,$E1013,Sales!$T$7:$T$1506)))</f>
        <v/>
      </c>
      <c r="V1013" s="49" t="str">
        <f t="shared" si="15"/>
        <v/>
      </c>
      <c r="W1013" s="49" t="str">
        <f t="array" ref="W1013">IF($V1013="","",SUMPRODUCT((Sales!$V$7:$V$1506&lt;&gt;"")*(Sales!$E$7:$E$1506&lt;$E1013))+1)</f>
        <v/>
      </c>
      <c r="X1013" s="49" t="str">
        <f t="shared" si="16"/>
        <v/>
      </c>
      <c r="Y1013" s="49" t="str">
        <f t="shared" si="17"/>
        <v/>
      </c>
    </row>
    <row r="1014" ht="15.0" customHeight="1">
      <c r="A1014" s="82"/>
      <c r="B1014" s="83"/>
      <c r="C1014" s="83"/>
      <c r="D1014" s="83"/>
      <c r="E1014" s="83"/>
      <c r="F1014" s="83"/>
      <c r="G1014" s="83" t="str">
        <f>IF($F1014="","",IFERROR(VLOOKUP($F1014,Inventory!$A:$B,2,FALSE),""))</f>
        <v/>
      </c>
      <c r="H1014" s="83"/>
      <c r="I1014" s="84" t="str">
        <f t="shared" si="2"/>
        <v/>
      </c>
      <c r="J1014" s="85" t="str">
        <f>IF($F1014="","",IFERROR(VLOOKUP($F1014,Inventory!$A:$K,11,FALSE),0))</f>
        <v/>
      </c>
      <c r="K1014" s="85"/>
      <c r="L1014" s="85" t="str">
        <f t="shared" si="12"/>
        <v/>
      </c>
      <c r="M1014" s="83"/>
      <c r="N1014" s="85" t="str">
        <f>IF($F1014="","",IFERROR(VLOOKUP($F1014,Inventory!$A:$I,9,FALSE),0))</f>
        <v/>
      </c>
      <c r="O1014" s="85" t="str">
        <f t="shared" si="13"/>
        <v/>
      </c>
      <c r="P1014" s="85" t="str">
        <f t="shared" si="5"/>
        <v/>
      </c>
      <c r="Q1014" s="83"/>
      <c r="R1014" s="118" t="str">
        <f>IF($E1014="","",IF(COUNTIF($E$7:$E2211,$E1014)&gt;1,"",IFERROR(VLOOKUP($E1014,Orders!$A:$I,8,FALSE),"")))</f>
        <v/>
      </c>
      <c r="S1014" s="118" t="str">
        <f>IF($E1014="","",IF(COUNTIF($E$7:$E2211,$E1014)&gt;1,"",IFERROR(VLOOKUP($E1014,Orders!$A:$I,9,FALSE),"")))</f>
        <v/>
      </c>
      <c r="T1014" s="88" t="str">
        <f t="shared" si="14"/>
        <v/>
      </c>
      <c r="U1014" s="88" t="str">
        <f>IF($F1014="","",IF($E1014="",T1014,SUMIF(Sales!$E$7:$E$1506,$E1014,Sales!$T$7:$T$1506)))</f>
        <v/>
      </c>
      <c r="V1014" s="49" t="str">
        <f t="shared" si="15"/>
        <v/>
      </c>
      <c r="W1014" s="49" t="str">
        <f t="array" ref="W1014">IF($V1014="","",SUMPRODUCT((Sales!$V$7:$V$1506&lt;&gt;"")*(Sales!$E$7:$E$1506&lt;$E1014))+1)</f>
        <v/>
      </c>
      <c r="X1014" s="49" t="str">
        <f t="shared" si="16"/>
        <v/>
      </c>
      <c r="Y1014" s="49" t="str">
        <f t="shared" si="17"/>
        <v/>
      </c>
    </row>
    <row r="1015" ht="15.0" customHeight="1">
      <c r="A1015" s="82"/>
      <c r="B1015" s="83"/>
      <c r="C1015" s="83"/>
      <c r="D1015" s="83"/>
      <c r="E1015" s="83"/>
      <c r="F1015" s="83"/>
      <c r="G1015" s="83" t="str">
        <f>IF($F1015="","",IFERROR(VLOOKUP($F1015,Inventory!$A:$B,2,FALSE),""))</f>
        <v/>
      </c>
      <c r="H1015" s="83"/>
      <c r="I1015" s="84" t="str">
        <f t="shared" si="2"/>
        <v/>
      </c>
      <c r="J1015" s="85" t="str">
        <f>IF($F1015="","",IFERROR(VLOOKUP($F1015,Inventory!$A:$K,11,FALSE),0))</f>
        <v/>
      </c>
      <c r="K1015" s="85"/>
      <c r="L1015" s="85" t="str">
        <f t="shared" si="12"/>
        <v/>
      </c>
      <c r="M1015" s="83"/>
      <c r="N1015" s="85" t="str">
        <f>IF($F1015="","",IFERROR(VLOOKUP($F1015,Inventory!$A:$I,9,FALSE),0))</f>
        <v/>
      </c>
      <c r="O1015" s="85" t="str">
        <f t="shared" si="13"/>
        <v/>
      </c>
      <c r="P1015" s="85" t="str">
        <f t="shared" si="5"/>
        <v/>
      </c>
      <c r="Q1015" s="83"/>
      <c r="R1015" s="118" t="str">
        <f>IF($E1015="","",IF(COUNTIF($E$7:$E2212,$E1015)&gt;1,"",IFERROR(VLOOKUP($E1015,Orders!$A:$I,8,FALSE),"")))</f>
        <v/>
      </c>
      <c r="S1015" s="118" t="str">
        <f>IF($E1015="","",IF(COUNTIF($E$7:$E2212,$E1015)&gt;1,"",IFERROR(VLOOKUP($E1015,Orders!$A:$I,9,FALSE),"")))</f>
        <v/>
      </c>
      <c r="T1015" s="88" t="str">
        <f t="shared" si="14"/>
        <v/>
      </c>
      <c r="U1015" s="88" t="str">
        <f>IF($F1015="","",IF($E1015="",T1015,SUMIF(Sales!$E$7:$E$1506,$E1015,Sales!$T$7:$T$1506)))</f>
        <v/>
      </c>
      <c r="V1015" s="49" t="str">
        <f t="shared" si="15"/>
        <v/>
      </c>
      <c r="W1015" s="49" t="str">
        <f t="array" ref="W1015">IF($V1015="","",SUMPRODUCT((Sales!$V$7:$V$1506&lt;&gt;"")*(Sales!$E$7:$E$1506&lt;$E1015))+1)</f>
        <v/>
      </c>
      <c r="X1015" s="49" t="str">
        <f t="shared" si="16"/>
        <v/>
      </c>
      <c r="Y1015" s="49" t="str">
        <f t="shared" si="17"/>
        <v/>
      </c>
    </row>
    <row r="1016" ht="15.0" customHeight="1">
      <c r="A1016" s="82"/>
      <c r="B1016" s="83"/>
      <c r="C1016" s="83"/>
      <c r="D1016" s="83"/>
      <c r="E1016" s="83"/>
      <c r="F1016" s="83"/>
      <c r="G1016" s="83" t="str">
        <f>IF($F1016="","",IFERROR(VLOOKUP($F1016,Inventory!$A:$B,2,FALSE),""))</f>
        <v/>
      </c>
      <c r="H1016" s="83"/>
      <c r="I1016" s="84" t="str">
        <f t="shared" si="2"/>
        <v/>
      </c>
      <c r="J1016" s="85" t="str">
        <f>IF($F1016="","",IFERROR(VLOOKUP($F1016,Inventory!$A:$K,11,FALSE),0))</f>
        <v/>
      </c>
      <c r="K1016" s="85"/>
      <c r="L1016" s="85" t="str">
        <f t="shared" si="12"/>
        <v/>
      </c>
      <c r="M1016" s="83"/>
      <c r="N1016" s="85" t="str">
        <f>IF($F1016="","",IFERROR(VLOOKUP($F1016,Inventory!$A:$I,9,FALSE),0))</f>
        <v/>
      </c>
      <c r="O1016" s="85" t="str">
        <f t="shared" si="13"/>
        <v/>
      </c>
      <c r="P1016" s="85" t="str">
        <f t="shared" si="5"/>
        <v/>
      </c>
      <c r="Q1016" s="83"/>
      <c r="R1016" s="118" t="str">
        <f>IF($E1016="","",IF(COUNTIF($E$7:$E2213,$E1016)&gt;1,"",IFERROR(VLOOKUP($E1016,Orders!$A:$I,8,FALSE),"")))</f>
        <v/>
      </c>
      <c r="S1016" s="118" t="str">
        <f>IF($E1016="","",IF(COUNTIF($E$7:$E2213,$E1016)&gt;1,"",IFERROR(VLOOKUP($E1016,Orders!$A:$I,9,FALSE),"")))</f>
        <v/>
      </c>
      <c r="T1016" s="88" t="str">
        <f t="shared" si="14"/>
        <v/>
      </c>
      <c r="U1016" s="88" t="str">
        <f>IF($F1016="","",IF($E1016="",T1016,SUMIF(Sales!$E$7:$E$1506,$E1016,Sales!$T$7:$T$1506)))</f>
        <v/>
      </c>
      <c r="V1016" s="49" t="str">
        <f t="shared" si="15"/>
        <v/>
      </c>
      <c r="W1016" s="49" t="str">
        <f t="array" ref="W1016">IF($V1016="","",SUMPRODUCT((Sales!$V$7:$V$1506&lt;&gt;"")*(Sales!$E$7:$E$1506&lt;$E1016))+1)</f>
        <v/>
      </c>
      <c r="X1016" s="49" t="str">
        <f t="shared" si="16"/>
        <v/>
      </c>
      <c r="Y1016" s="49" t="str">
        <f t="shared" si="17"/>
        <v/>
      </c>
    </row>
    <row r="1017" ht="15.0" customHeight="1">
      <c r="A1017" s="82"/>
      <c r="B1017" s="83"/>
      <c r="C1017" s="83"/>
      <c r="D1017" s="83"/>
      <c r="E1017" s="83"/>
      <c r="F1017" s="83"/>
      <c r="G1017" s="83" t="str">
        <f>IF($F1017="","",IFERROR(VLOOKUP($F1017,Inventory!$A:$B,2,FALSE),""))</f>
        <v/>
      </c>
      <c r="H1017" s="83"/>
      <c r="I1017" s="84" t="str">
        <f t="shared" si="2"/>
        <v/>
      </c>
      <c r="J1017" s="85" t="str">
        <f>IF($F1017="","",IFERROR(VLOOKUP($F1017,Inventory!$A:$K,11,FALSE),0))</f>
        <v/>
      </c>
      <c r="K1017" s="85"/>
      <c r="L1017" s="85" t="str">
        <f t="shared" si="12"/>
        <v/>
      </c>
      <c r="M1017" s="83"/>
      <c r="N1017" s="85" t="str">
        <f>IF($F1017="","",IFERROR(VLOOKUP($F1017,Inventory!$A:$I,9,FALSE),0))</f>
        <v/>
      </c>
      <c r="O1017" s="85" t="str">
        <f t="shared" si="13"/>
        <v/>
      </c>
      <c r="P1017" s="85" t="str">
        <f t="shared" si="5"/>
        <v/>
      </c>
      <c r="Q1017" s="83"/>
      <c r="R1017" s="118" t="str">
        <f>IF($E1017="","",IF(COUNTIF($E$7:$E2214,$E1017)&gt;1,"",IFERROR(VLOOKUP($E1017,Orders!$A:$I,8,FALSE),"")))</f>
        <v/>
      </c>
      <c r="S1017" s="118" t="str">
        <f>IF($E1017="","",IF(COUNTIF($E$7:$E2214,$E1017)&gt;1,"",IFERROR(VLOOKUP($E1017,Orders!$A:$I,9,FALSE),"")))</f>
        <v/>
      </c>
      <c r="T1017" s="88" t="str">
        <f t="shared" si="14"/>
        <v/>
      </c>
      <c r="U1017" s="88" t="str">
        <f>IF($F1017="","",IF($E1017="",T1017,SUMIF(Sales!$E$7:$E$1506,$E1017,Sales!$T$7:$T$1506)))</f>
        <v/>
      </c>
      <c r="V1017" s="49" t="str">
        <f t="shared" si="15"/>
        <v/>
      </c>
      <c r="W1017" s="49" t="str">
        <f t="array" ref="W1017">IF($V1017="","",SUMPRODUCT((Sales!$V$7:$V$1506&lt;&gt;"")*(Sales!$E$7:$E$1506&lt;$E1017))+1)</f>
        <v/>
      </c>
      <c r="X1017" s="49" t="str">
        <f t="shared" si="16"/>
        <v/>
      </c>
      <c r="Y1017" s="49" t="str">
        <f t="shared" si="17"/>
        <v/>
      </c>
    </row>
    <row r="1018" ht="15.0" customHeight="1">
      <c r="A1018" s="82"/>
      <c r="B1018" s="83"/>
      <c r="C1018" s="83"/>
      <c r="D1018" s="83"/>
      <c r="E1018" s="83"/>
      <c r="F1018" s="83"/>
      <c r="G1018" s="83" t="str">
        <f>IF($F1018="","",IFERROR(VLOOKUP($F1018,Inventory!$A:$B,2,FALSE),""))</f>
        <v/>
      </c>
      <c r="H1018" s="83"/>
      <c r="I1018" s="84" t="str">
        <f t="shared" si="2"/>
        <v/>
      </c>
      <c r="J1018" s="85" t="str">
        <f>IF($F1018="","",IFERROR(VLOOKUP($F1018,Inventory!$A:$K,11,FALSE),0))</f>
        <v/>
      </c>
      <c r="K1018" s="85"/>
      <c r="L1018" s="85" t="str">
        <f t="shared" si="12"/>
        <v/>
      </c>
      <c r="M1018" s="83"/>
      <c r="N1018" s="85" t="str">
        <f>IF($F1018="","",IFERROR(VLOOKUP($F1018,Inventory!$A:$I,9,FALSE),0))</f>
        <v/>
      </c>
      <c r="O1018" s="85" t="str">
        <f t="shared" si="13"/>
        <v/>
      </c>
      <c r="P1018" s="85" t="str">
        <f t="shared" si="5"/>
        <v/>
      </c>
      <c r="Q1018" s="83"/>
      <c r="R1018" s="118" t="str">
        <f>IF($E1018="","",IF(COUNTIF($E$7:$E2215,$E1018)&gt;1,"",IFERROR(VLOOKUP($E1018,Orders!$A:$I,8,FALSE),"")))</f>
        <v/>
      </c>
      <c r="S1018" s="118" t="str">
        <f>IF($E1018="","",IF(COUNTIF($E$7:$E2215,$E1018)&gt;1,"",IFERROR(VLOOKUP($E1018,Orders!$A:$I,9,FALSE),"")))</f>
        <v/>
      </c>
      <c r="T1018" s="88" t="str">
        <f t="shared" si="14"/>
        <v/>
      </c>
      <c r="U1018" s="88" t="str">
        <f>IF($F1018="","",IF($E1018="",T1018,SUMIF(Sales!$E$7:$E$1506,$E1018,Sales!$T$7:$T$1506)))</f>
        <v/>
      </c>
      <c r="V1018" s="49" t="str">
        <f t="shared" si="15"/>
        <v/>
      </c>
      <c r="W1018" s="49" t="str">
        <f t="array" ref="W1018">IF($V1018="","",SUMPRODUCT((Sales!$V$7:$V$1506&lt;&gt;"")*(Sales!$E$7:$E$1506&lt;$E1018))+1)</f>
        <v/>
      </c>
      <c r="X1018" s="49" t="str">
        <f t="shared" si="16"/>
        <v/>
      </c>
      <c r="Y1018" s="49" t="str">
        <f t="shared" si="17"/>
        <v/>
      </c>
    </row>
    <row r="1019" ht="15.0" customHeight="1">
      <c r="A1019" s="82"/>
      <c r="B1019" s="83"/>
      <c r="C1019" s="83"/>
      <c r="D1019" s="83"/>
      <c r="E1019" s="83"/>
      <c r="F1019" s="83"/>
      <c r="G1019" s="83" t="str">
        <f>IF($F1019="","",IFERROR(VLOOKUP($F1019,Inventory!$A:$B,2,FALSE),""))</f>
        <v/>
      </c>
      <c r="H1019" s="83"/>
      <c r="I1019" s="84" t="str">
        <f t="shared" si="2"/>
        <v/>
      </c>
      <c r="J1019" s="85" t="str">
        <f>IF($F1019="","",IFERROR(VLOOKUP($F1019,Inventory!$A:$K,11,FALSE),0))</f>
        <v/>
      </c>
      <c r="K1019" s="85"/>
      <c r="L1019" s="85" t="str">
        <f t="shared" si="12"/>
        <v/>
      </c>
      <c r="M1019" s="83"/>
      <c r="N1019" s="85" t="str">
        <f>IF($F1019="","",IFERROR(VLOOKUP($F1019,Inventory!$A:$I,9,FALSE),0))</f>
        <v/>
      </c>
      <c r="O1019" s="85" t="str">
        <f t="shared" si="13"/>
        <v/>
      </c>
      <c r="P1019" s="85" t="str">
        <f t="shared" si="5"/>
        <v/>
      </c>
      <c r="Q1019" s="83"/>
      <c r="R1019" s="118" t="str">
        <f>IF($E1019="","",IF(COUNTIF($E$7:$E2216,$E1019)&gt;1,"",IFERROR(VLOOKUP($E1019,Orders!$A:$I,8,FALSE),"")))</f>
        <v/>
      </c>
      <c r="S1019" s="118" t="str">
        <f>IF($E1019="","",IF(COUNTIF($E$7:$E2216,$E1019)&gt;1,"",IFERROR(VLOOKUP($E1019,Orders!$A:$I,9,FALSE),"")))</f>
        <v/>
      </c>
      <c r="T1019" s="88" t="str">
        <f t="shared" si="14"/>
        <v/>
      </c>
      <c r="U1019" s="88" t="str">
        <f>IF($F1019="","",IF($E1019="",T1019,SUMIF(Sales!$E$7:$E$1506,$E1019,Sales!$T$7:$T$1506)))</f>
        <v/>
      </c>
      <c r="V1019" s="49" t="str">
        <f t="shared" si="15"/>
        <v/>
      </c>
      <c r="W1019" s="49" t="str">
        <f t="array" ref="W1019">IF($V1019="","",SUMPRODUCT((Sales!$V$7:$V$1506&lt;&gt;"")*(Sales!$E$7:$E$1506&lt;$E1019))+1)</f>
        <v/>
      </c>
      <c r="X1019" s="49" t="str">
        <f t="shared" si="16"/>
        <v/>
      </c>
      <c r="Y1019" s="49" t="str">
        <f t="shared" si="17"/>
        <v/>
      </c>
    </row>
    <row r="1020" ht="15.0" customHeight="1">
      <c r="A1020" s="82"/>
      <c r="B1020" s="83"/>
      <c r="C1020" s="83"/>
      <c r="D1020" s="83"/>
      <c r="E1020" s="83"/>
      <c r="F1020" s="83"/>
      <c r="G1020" s="83" t="str">
        <f>IF($F1020="","",IFERROR(VLOOKUP($F1020,Inventory!$A:$B,2,FALSE),""))</f>
        <v/>
      </c>
      <c r="H1020" s="83"/>
      <c r="I1020" s="84" t="str">
        <f t="shared" si="2"/>
        <v/>
      </c>
      <c r="J1020" s="85" t="str">
        <f>IF($F1020="","",IFERROR(VLOOKUP($F1020,Inventory!$A:$K,11,FALSE),0))</f>
        <v/>
      </c>
      <c r="K1020" s="85"/>
      <c r="L1020" s="85" t="str">
        <f t="shared" si="12"/>
        <v/>
      </c>
      <c r="M1020" s="83"/>
      <c r="N1020" s="85" t="str">
        <f>IF($F1020="","",IFERROR(VLOOKUP($F1020,Inventory!$A:$I,9,FALSE),0))</f>
        <v/>
      </c>
      <c r="O1020" s="85" t="str">
        <f t="shared" si="13"/>
        <v/>
      </c>
      <c r="P1020" s="85" t="str">
        <f t="shared" si="5"/>
        <v/>
      </c>
      <c r="Q1020" s="83"/>
      <c r="R1020" s="118" t="str">
        <f>IF($E1020="","",IF(COUNTIF($E$7:$E2217,$E1020)&gt;1,"",IFERROR(VLOOKUP($E1020,Orders!$A:$I,8,FALSE),"")))</f>
        <v/>
      </c>
      <c r="S1020" s="118" t="str">
        <f>IF($E1020="","",IF(COUNTIF($E$7:$E2217,$E1020)&gt;1,"",IFERROR(VLOOKUP($E1020,Orders!$A:$I,9,FALSE),"")))</f>
        <v/>
      </c>
      <c r="T1020" s="88" t="str">
        <f t="shared" si="14"/>
        <v/>
      </c>
      <c r="U1020" s="88" t="str">
        <f>IF($F1020="","",IF($E1020="",T1020,SUMIF(Sales!$E$7:$E$1506,$E1020,Sales!$T$7:$T$1506)))</f>
        <v/>
      </c>
      <c r="V1020" s="49" t="str">
        <f t="shared" si="15"/>
        <v/>
      </c>
      <c r="W1020" s="49" t="str">
        <f t="array" ref="W1020">IF($V1020="","",SUMPRODUCT((Sales!$V$7:$V$1506&lt;&gt;"")*(Sales!$E$7:$E$1506&lt;$E1020))+1)</f>
        <v/>
      </c>
      <c r="X1020" s="49" t="str">
        <f t="shared" si="16"/>
        <v/>
      </c>
      <c r="Y1020" s="49" t="str">
        <f t="shared" si="17"/>
        <v/>
      </c>
    </row>
    <row r="1021" ht="15.0" customHeight="1">
      <c r="A1021" s="82"/>
      <c r="B1021" s="83"/>
      <c r="C1021" s="83"/>
      <c r="D1021" s="83"/>
      <c r="E1021" s="83"/>
      <c r="F1021" s="83"/>
      <c r="G1021" s="83" t="str">
        <f>IF($F1021="","",IFERROR(VLOOKUP($F1021,Inventory!$A:$B,2,FALSE),""))</f>
        <v/>
      </c>
      <c r="H1021" s="83"/>
      <c r="I1021" s="84" t="str">
        <f t="shared" si="2"/>
        <v/>
      </c>
      <c r="J1021" s="85" t="str">
        <f>IF($F1021="","",IFERROR(VLOOKUP($F1021,Inventory!$A:$K,11,FALSE),0))</f>
        <v/>
      </c>
      <c r="K1021" s="85"/>
      <c r="L1021" s="85" t="str">
        <f t="shared" si="12"/>
        <v/>
      </c>
      <c r="M1021" s="83"/>
      <c r="N1021" s="85" t="str">
        <f>IF($F1021="","",IFERROR(VLOOKUP($F1021,Inventory!$A:$I,9,FALSE),0))</f>
        <v/>
      </c>
      <c r="O1021" s="85" t="str">
        <f t="shared" si="13"/>
        <v/>
      </c>
      <c r="P1021" s="85" t="str">
        <f t="shared" si="5"/>
        <v/>
      </c>
      <c r="Q1021" s="83"/>
      <c r="R1021" s="118" t="str">
        <f>IF($E1021="","",IF(COUNTIF($E$7:$E2218,$E1021)&gt;1,"",IFERROR(VLOOKUP($E1021,Orders!$A:$I,8,FALSE),"")))</f>
        <v/>
      </c>
      <c r="S1021" s="118" t="str">
        <f>IF($E1021="","",IF(COUNTIF($E$7:$E2218,$E1021)&gt;1,"",IFERROR(VLOOKUP($E1021,Orders!$A:$I,9,FALSE),"")))</f>
        <v/>
      </c>
      <c r="T1021" s="88" t="str">
        <f t="shared" si="14"/>
        <v/>
      </c>
      <c r="U1021" s="88" t="str">
        <f>IF($F1021="","",IF($E1021="",T1021,SUMIF(Sales!$E$7:$E$1506,$E1021,Sales!$T$7:$T$1506)))</f>
        <v/>
      </c>
      <c r="V1021" s="49" t="str">
        <f t="shared" si="15"/>
        <v/>
      </c>
      <c r="W1021" s="49" t="str">
        <f t="array" ref="W1021">IF($V1021="","",SUMPRODUCT((Sales!$V$7:$V$1506&lt;&gt;"")*(Sales!$E$7:$E$1506&lt;$E1021))+1)</f>
        <v/>
      </c>
      <c r="X1021" s="49" t="str">
        <f t="shared" si="16"/>
        <v/>
      </c>
      <c r="Y1021" s="49" t="str">
        <f t="shared" si="17"/>
        <v/>
      </c>
    </row>
    <row r="1022" ht="15.0" customHeight="1">
      <c r="A1022" s="82"/>
      <c r="B1022" s="83"/>
      <c r="C1022" s="83"/>
      <c r="D1022" s="83"/>
      <c r="E1022" s="83"/>
      <c r="F1022" s="83"/>
      <c r="G1022" s="83" t="str">
        <f>IF($F1022="","",IFERROR(VLOOKUP($F1022,Inventory!$A:$B,2,FALSE),""))</f>
        <v/>
      </c>
      <c r="H1022" s="83"/>
      <c r="I1022" s="84" t="str">
        <f t="shared" si="2"/>
        <v/>
      </c>
      <c r="J1022" s="85" t="str">
        <f>IF($F1022="","",IFERROR(VLOOKUP($F1022,Inventory!$A:$K,11,FALSE),0))</f>
        <v/>
      </c>
      <c r="K1022" s="85"/>
      <c r="L1022" s="85" t="str">
        <f t="shared" si="12"/>
        <v/>
      </c>
      <c r="M1022" s="83"/>
      <c r="N1022" s="85" t="str">
        <f>IF($F1022="","",IFERROR(VLOOKUP($F1022,Inventory!$A:$I,9,FALSE),0))</f>
        <v/>
      </c>
      <c r="O1022" s="85" t="str">
        <f t="shared" si="13"/>
        <v/>
      </c>
      <c r="P1022" s="85" t="str">
        <f t="shared" si="5"/>
        <v/>
      </c>
      <c r="Q1022" s="83"/>
      <c r="R1022" s="118" t="str">
        <f>IF($E1022="","",IF(COUNTIF($E$7:$E2219,$E1022)&gt;1,"",IFERROR(VLOOKUP($E1022,Orders!$A:$I,8,FALSE),"")))</f>
        <v/>
      </c>
      <c r="S1022" s="118" t="str">
        <f>IF($E1022="","",IF(COUNTIF($E$7:$E2219,$E1022)&gt;1,"",IFERROR(VLOOKUP($E1022,Orders!$A:$I,9,FALSE),"")))</f>
        <v/>
      </c>
      <c r="T1022" s="88" t="str">
        <f t="shared" si="14"/>
        <v/>
      </c>
      <c r="U1022" s="88" t="str">
        <f>IF($F1022="","",IF($E1022="",T1022,SUMIF(Sales!$E$7:$E$1506,$E1022,Sales!$T$7:$T$1506)))</f>
        <v/>
      </c>
      <c r="V1022" s="49" t="str">
        <f t="shared" si="15"/>
        <v/>
      </c>
      <c r="W1022" s="49" t="str">
        <f t="array" ref="W1022">IF($V1022="","",SUMPRODUCT((Sales!$V$7:$V$1506&lt;&gt;"")*(Sales!$E$7:$E$1506&lt;$E1022))+1)</f>
        <v/>
      </c>
      <c r="X1022" s="49" t="str">
        <f t="shared" si="16"/>
        <v/>
      </c>
      <c r="Y1022" s="49" t="str">
        <f t="shared" si="17"/>
        <v/>
      </c>
    </row>
    <row r="1023" ht="15.0" customHeight="1">
      <c r="A1023" s="82"/>
      <c r="B1023" s="83"/>
      <c r="C1023" s="83"/>
      <c r="D1023" s="83"/>
      <c r="E1023" s="83"/>
      <c r="F1023" s="83"/>
      <c r="G1023" s="83" t="str">
        <f>IF($F1023="","",IFERROR(VLOOKUP($F1023,Inventory!$A:$B,2,FALSE),""))</f>
        <v/>
      </c>
      <c r="H1023" s="83"/>
      <c r="I1023" s="84" t="str">
        <f t="shared" si="2"/>
        <v/>
      </c>
      <c r="J1023" s="85" t="str">
        <f>IF($F1023="","",IFERROR(VLOOKUP($F1023,Inventory!$A:$K,11,FALSE),0))</f>
        <v/>
      </c>
      <c r="K1023" s="85"/>
      <c r="L1023" s="85" t="str">
        <f t="shared" si="12"/>
        <v/>
      </c>
      <c r="M1023" s="83"/>
      <c r="N1023" s="85" t="str">
        <f>IF($F1023="","",IFERROR(VLOOKUP($F1023,Inventory!$A:$I,9,FALSE),0))</f>
        <v/>
      </c>
      <c r="O1023" s="85" t="str">
        <f t="shared" si="13"/>
        <v/>
      </c>
      <c r="P1023" s="85" t="str">
        <f t="shared" si="5"/>
        <v/>
      </c>
      <c r="Q1023" s="83"/>
      <c r="R1023" s="118" t="str">
        <f>IF($E1023="","",IF(COUNTIF($E$7:$E2220,$E1023)&gt;1,"",IFERROR(VLOOKUP($E1023,Orders!$A:$I,8,FALSE),"")))</f>
        <v/>
      </c>
      <c r="S1023" s="118" t="str">
        <f>IF($E1023="","",IF(COUNTIF($E$7:$E2220,$E1023)&gt;1,"",IFERROR(VLOOKUP($E1023,Orders!$A:$I,9,FALSE),"")))</f>
        <v/>
      </c>
      <c r="T1023" s="88" t="str">
        <f t="shared" si="14"/>
        <v/>
      </c>
      <c r="U1023" s="88" t="str">
        <f>IF($F1023="","",IF($E1023="",T1023,SUMIF(Sales!$E$7:$E$1506,$E1023,Sales!$T$7:$T$1506)))</f>
        <v/>
      </c>
      <c r="V1023" s="49" t="str">
        <f t="shared" si="15"/>
        <v/>
      </c>
      <c r="W1023" s="49" t="str">
        <f t="array" ref="W1023">IF($V1023="","",SUMPRODUCT((Sales!$V$7:$V$1506&lt;&gt;"")*(Sales!$E$7:$E$1506&lt;$E1023))+1)</f>
        <v/>
      </c>
      <c r="X1023" s="49" t="str">
        <f t="shared" si="16"/>
        <v/>
      </c>
      <c r="Y1023" s="49" t="str">
        <f t="shared" si="17"/>
        <v/>
      </c>
    </row>
    <row r="1024" ht="15.0" customHeight="1">
      <c r="A1024" s="82"/>
      <c r="B1024" s="83"/>
      <c r="C1024" s="83"/>
      <c r="D1024" s="83"/>
      <c r="E1024" s="83"/>
      <c r="F1024" s="83"/>
      <c r="G1024" s="83" t="str">
        <f>IF($F1024="","",IFERROR(VLOOKUP($F1024,Inventory!$A:$B,2,FALSE),""))</f>
        <v/>
      </c>
      <c r="H1024" s="83"/>
      <c r="I1024" s="84" t="str">
        <f t="shared" si="2"/>
        <v/>
      </c>
      <c r="J1024" s="85" t="str">
        <f>IF($F1024="","",IFERROR(VLOOKUP($F1024,Inventory!$A:$K,11,FALSE),0))</f>
        <v/>
      </c>
      <c r="K1024" s="85"/>
      <c r="L1024" s="85" t="str">
        <f t="shared" si="12"/>
        <v/>
      </c>
      <c r="M1024" s="83"/>
      <c r="N1024" s="85" t="str">
        <f>IF($F1024="","",IFERROR(VLOOKUP($F1024,Inventory!$A:$I,9,FALSE),0))</f>
        <v/>
      </c>
      <c r="O1024" s="85" t="str">
        <f t="shared" si="13"/>
        <v/>
      </c>
      <c r="P1024" s="85" t="str">
        <f t="shared" si="5"/>
        <v/>
      </c>
      <c r="Q1024" s="83"/>
      <c r="R1024" s="118" t="str">
        <f>IF($E1024="","",IF(COUNTIF($E$7:$E2221,$E1024)&gt;1,"",IFERROR(VLOOKUP($E1024,Orders!$A:$I,8,FALSE),"")))</f>
        <v/>
      </c>
      <c r="S1024" s="118" t="str">
        <f>IF($E1024="","",IF(COUNTIF($E$7:$E2221,$E1024)&gt;1,"",IFERROR(VLOOKUP($E1024,Orders!$A:$I,9,FALSE),"")))</f>
        <v/>
      </c>
      <c r="T1024" s="88" t="str">
        <f t="shared" si="14"/>
        <v/>
      </c>
      <c r="U1024" s="88" t="str">
        <f>IF($F1024="","",IF($E1024="",T1024,SUMIF(Sales!$E$7:$E$1506,$E1024,Sales!$T$7:$T$1506)))</f>
        <v/>
      </c>
      <c r="V1024" s="49" t="str">
        <f t="shared" si="15"/>
        <v/>
      </c>
      <c r="W1024" s="49" t="str">
        <f t="array" ref="W1024">IF($V1024="","",SUMPRODUCT((Sales!$V$7:$V$1506&lt;&gt;"")*(Sales!$E$7:$E$1506&lt;$E1024))+1)</f>
        <v/>
      </c>
      <c r="X1024" s="49" t="str">
        <f t="shared" si="16"/>
        <v/>
      </c>
      <c r="Y1024" s="49" t="str">
        <f t="shared" si="17"/>
        <v/>
      </c>
    </row>
    <row r="1025" ht="15.0" customHeight="1">
      <c r="A1025" s="82"/>
      <c r="B1025" s="83"/>
      <c r="C1025" s="83"/>
      <c r="D1025" s="83"/>
      <c r="E1025" s="83"/>
      <c r="F1025" s="83"/>
      <c r="G1025" s="83" t="str">
        <f>IF($F1025="","",IFERROR(VLOOKUP($F1025,Inventory!$A:$B,2,FALSE),""))</f>
        <v/>
      </c>
      <c r="H1025" s="83"/>
      <c r="I1025" s="84" t="str">
        <f t="shared" si="2"/>
        <v/>
      </c>
      <c r="J1025" s="85" t="str">
        <f>IF($F1025="","",IFERROR(VLOOKUP($F1025,Inventory!$A:$K,11,FALSE),0))</f>
        <v/>
      </c>
      <c r="K1025" s="85"/>
      <c r="L1025" s="85" t="str">
        <f t="shared" si="12"/>
        <v/>
      </c>
      <c r="M1025" s="83"/>
      <c r="N1025" s="85" t="str">
        <f>IF($F1025="","",IFERROR(VLOOKUP($F1025,Inventory!$A:$I,9,FALSE),0))</f>
        <v/>
      </c>
      <c r="O1025" s="85" t="str">
        <f t="shared" si="13"/>
        <v/>
      </c>
      <c r="P1025" s="85" t="str">
        <f t="shared" si="5"/>
        <v/>
      </c>
      <c r="Q1025" s="83"/>
      <c r="R1025" s="118" t="str">
        <f>IF($E1025="","",IF(COUNTIF($E$7:$E2222,$E1025)&gt;1,"",IFERROR(VLOOKUP($E1025,Orders!$A:$I,8,FALSE),"")))</f>
        <v/>
      </c>
      <c r="S1025" s="118" t="str">
        <f>IF($E1025="","",IF(COUNTIF($E$7:$E2222,$E1025)&gt;1,"",IFERROR(VLOOKUP($E1025,Orders!$A:$I,9,FALSE),"")))</f>
        <v/>
      </c>
      <c r="T1025" s="88" t="str">
        <f t="shared" si="14"/>
        <v/>
      </c>
      <c r="U1025" s="88" t="str">
        <f>IF($F1025="","",IF($E1025="",T1025,SUMIF(Sales!$E$7:$E$1506,$E1025,Sales!$T$7:$T$1506)))</f>
        <v/>
      </c>
      <c r="V1025" s="49" t="str">
        <f t="shared" si="15"/>
        <v/>
      </c>
      <c r="W1025" s="49" t="str">
        <f t="array" ref="W1025">IF($V1025="","",SUMPRODUCT((Sales!$V$7:$V$1506&lt;&gt;"")*(Sales!$E$7:$E$1506&lt;$E1025))+1)</f>
        <v/>
      </c>
      <c r="X1025" s="49" t="str">
        <f t="shared" si="16"/>
        <v/>
      </c>
      <c r="Y1025" s="49" t="str">
        <f t="shared" si="17"/>
        <v/>
      </c>
    </row>
    <row r="1026" ht="15.0" customHeight="1">
      <c r="A1026" s="82"/>
      <c r="B1026" s="83"/>
      <c r="C1026" s="83"/>
      <c r="D1026" s="83"/>
      <c r="E1026" s="83"/>
      <c r="F1026" s="83"/>
      <c r="G1026" s="83" t="str">
        <f>IF($F1026="","",IFERROR(VLOOKUP($F1026,Inventory!$A:$B,2,FALSE),""))</f>
        <v/>
      </c>
      <c r="H1026" s="83"/>
      <c r="I1026" s="84" t="str">
        <f t="shared" si="2"/>
        <v/>
      </c>
      <c r="J1026" s="85" t="str">
        <f>IF($F1026="","",IFERROR(VLOOKUP($F1026,Inventory!$A:$K,11,FALSE),0))</f>
        <v/>
      </c>
      <c r="K1026" s="85"/>
      <c r="L1026" s="85" t="str">
        <f t="shared" si="12"/>
        <v/>
      </c>
      <c r="M1026" s="83"/>
      <c r="N1026" s="85" t="str">
        <f>IF($F1026="","",IFERROR(VLOOKUP($F1026,Inventory!$A:$I,9,FALSE),0))</f>
        <v/>
      </c>
      <c r="O1026" s="85" t="str">
        <f t="shared" si="13"/>
        <v/>
      </c>
      <c r="P1026" s="85" t="str">
        <f t="shared" si="5"/>
        <v/>
      </c>
      <c r="Q1026" s="83"/>
      <c r="R1026" s="118" t="str">
        <f>IF($E1026="","",IF(COUNTIF($E$7:$E2223,$E1026)&gt;1,"",IFERROR(VLOOKUP($E1026,Orders!$A:$I,8,FALSE),"")))</f>
        <v/>
      </c>
      <c r="S1026" s="118" t="str">
        <f>IF($E1026="","",IF(COUNTIF($E$7:$E2223,$E1026)&gt;1,"",IFERROR(VLOOKUP($E1026,Orders!$A:$I,9,FALSE),"")))</f>
        <v/>
      </c>
      <c r="T1026" s="88" t="str">
        <f t="shared" si="14"/>
        <v/>
      </c>
      <c r="U1026" s="88" t="str">
        <f>IF($F1026="","",IF($E1026="",T1026,SUMIF(Sales!$E$7:$E$1506,$E1026,Sales!$T$7:$T$1506)))</f>
        <v/>
      </c>
      <c r="V1026" s="49" t="str">
        <f t="shared" si="15"/>
        <v/>
      </c>
      <c r="W1026" s="49" t="str">
        <f t="array" ref="W1026">IF($V1026="","",SUMPRODUCT((Sales!$V$7:$V$1506&lt;&gt;"")*(Sales!$E$7:$E$1506&lt;$E1026))+1)</f>
        <v/>
      </c>
      <c r="X1026" s="49" t="str">
        <f t="shared" si="16"/>
        <v/>
      </c>
      <c r="Y1026" s="49" t="str">
        <f t="shared" si="17"/>
        <v/>
      </c>
    </row>
    <row r="1027" ht="15.0" customHeight="1">
      <c r="A1027" s="82"/>
      <c r="B1027" s="83"/>
      <c r="C1027" s="83"/>
      <c r="D1027" s="83"/>
      <c r="E1027" s="83"/>
      <c r="F1027" s="83"/>
      <c r="G1027" s="83" t="str">
        <f>IF($F1027="","",IFERROR(VLOOKUP($F1027,Inventory!$A:$B,2,FALSE),""))</f>
        <v/>
      </c>
      <c r="H1027" s="83"/>
      <c r="I1027" s="84" t="str">
        <f t="shared" si="2"/>
        <v/>
      </c>
      <c r="J1027" s="85" t="str">
        <f>IF($F1027="","",IFERROR(VLOOKUP($F1027,Inventory!$A:$K,11,FALSE),0))</f>
        <v/>
      </c>
      <c r="K1027" s="85"/>
      <c r="L1027" s="85" t="str">
        <f t="shared" si="12"/>
        <v/>
      </c>
      <c r="M1027" s="83"/>
      <c r="N1027" s="85" t="str">
        <f>IF($F1027="","",IFERROR(VLOOKUP($F1027,Inventory!$A:$I,9,FALSE),0))</f>
        <v/>
      </c>
      <c r="O1027" s="85" t="str">
        <f t="shared" si="13"/>
        <v/>
      </c>
      <c r="P1027" s="85" t="str">
        <f t="shared" si="5"/>
        <v/>
      </c>
      <c r="Q1027" s="83"/>
      <c r="R1027" s="118" t="str">
        <f>IF($E1027="","",IF(COUNTIF($E$7:$E2224,$E1027)&gt;1,"",IFERROR(VLOOKUP($E1027,Orders!$A:$I,8,FALSE),"")))</f>
        <v/>
      </c>
      <c r="S1027" s="118" t="str">
        <f>IF($E1027="","",IF(COUNTIF($E$7:$E2224,$E1027)&gt;1,"",IFERROR(VLOOKUP($E1027,Orders!$A:$I,9,FALSE),"")))</f>
        <v/>
      </c>
      <c r="T1027" s="88" t="str">
        <f t="shared" si="14"/>
        <v/>
      </c>
      <c r="U1027" s="88" t="str">
        <f>IF($F1027="","",IF($E1027="",T1027,SUMIF(Sales!$E$7:$E$1506,$E1027,Sales!$T$7:$T$1506)))</f>
        <v/>
      </c>
      <c r="V1027" s="49" t="str">
        <f t="shared" si="15"/>
        <v/>
      </c>
      <c r="W1027" s="49" t="str">
        <f t="array" ref="W1027">IF($V1027="","",SUMPRODUCT((Sales!$V$7:$V$1506&lt;&gt;"")*(Sales!$E$7:$E$1506&lt;$E1027))+1)</f>
        <v/>
      </c>
      <c r="X1027" s="49" t="str">
        <f t="shared" si="16"/>
        <v/>
      </c>
      <c r="Y1027" s="49" t="str">
        <f t="shared" si="17"/>
        <v/>
      </c>
    </row>
    <row r="1028" ht="15.0" customHeight="1">
      <c r="A1028" s="82"/>
      <c r="B1028" s="83"/>
      <c r="C1028" s="83"/>
      <c r="D1028" s="83"/>
      <c r="E1028" s="83"/>
      <c r="F1028" s="83"/>
      <c r="G1028" s="83" t="str">
        <f>IF($F1028="","",IFERROR(VLOOKUP($F1028,Inventory!$A:$B,2,FALSE),""))</f>
        <v/>
      </c>
      <c r="H1028" s="83"/>
      <c r="I1028" s="84" t="str">
        <f t="shared" si="2"/>
        <v/>
      </c>
      <c r="J1028" s="85" t="str">
        <f>IF($F1028="","",IFERROR(VLOOKUP($F1028,Inventory!$A:$K,11,FALSE),0))</f>
        <v/>
      </c>
      <c r="K1028" s="85"/>
      <c r="L1028" s="85" t="str">
        <f t="shared" si="12"/>
        <v/>
      </c>
      <c r="M1028" s="83"/>
      <c r="N1028" s="85" t="str">
        <f>IF($F1028="","",IFERROR(VLOOKUP($F1028,Inventory!$A:$I,9,FALSE),0))</f>
        <v/>
      </c>
      <c r="O1028" s="85" t="str">
        <f t="shared" si="13"/>
        <v/>
      </c>
      <c r="P1028" s="85" t="str">
        <f t="shared" si="5"/>
        <v/>
      </c>
      <c r="Q1028" s="83"/>
      <c r="R1028" s="118" t="str">
        <f>IF($E1028="","",IF(COUNTIF($E$7:$E2225,$E1028)&gt;1,"",IFERROR(VLOOKUP($E1028,Orders!$A:$I,8,FALSE),"")))</f>
        <v/>
      </c>
      <c r="S1028" s="118" t="str">
        <f>IF($E1028="","",IF(COUNTIF($E$7:$E2225,$E1028)&gt;1,"",IFERROR(VLOOKUP($E1028,Orders!$A:$I,9,FALSE),"")))</f>
        <v/>
      </c>
      <c r="T1028" s="88" t="str">
        <f t="shared" si="14"/>
        <v/>
      </c>
      <c r="U1028" s="88" t="str">
        <f>IF($F1028="","",IF($E1028="",T1028,SUMIF(Sales!$E$7:$E$1506,$E1028,Sales!$T$7:$T$1506)))</f>
        <v/>
      </c>
      <c r="V1028" s="49" t="str">
        <f t="shared" si="15"/>
        <v/>
      </c>
      <c r="W1028" s="49" t="str">
        <f t="array" ref="W1028">IF($V1028="","",SUMPRODUCT((Sales!$V$7:$V$1506&lt;&gt;"")*(Sales!$E$7:$E$1506&lt;$E1028))+1)</f>
        <v/>
      </c>
      <c r="X1028" s="49" t="str">
        <f t="shared" si="16"/>
        <v/>
      </c>
      <c r="Y1028" s="49" t="str">
        <f t="shared" si="17"/>
        <v/>
      </c>
    </row>
    <row r="1029" ht="15.0" customHeight="1">
      <c r="A1029" s="82"/>
      <c r="B1029" s="83"/>
      <c r="C1029" s="83"/>
      <c r="D1029" s="83"/>
      <c r="E1029" s="83"/>
      <c r="F1029" s="83"/>
      <c r="G1029" s="83" t="str">
        <f>IF($F1029="","",IFERROR(VLOOKUP($F1029,Inventory!$A:$B,2,FALSE),""))</f>
        <v/>
      </c>
      <c r="H1029" s="83"/>
      <c r="I1029" s="84" t="str">
        <f t="shared" si="2"/>
        <v/>
      </c>
      <c r="J1029" s="85" t="str">
        <f>IF($F1029="","",IFERROR(VLOOKUP($F1029,Inventory!$A:$K,11,FALSE),0))</f>
        <v/>
      </c>
      <c r="K1029" s="85"/>
      <c r="L1029" s="85" t="str">
        <f t="shared" si="12"/>
        <v/>
      </c>
      <c r="M1029" s="83"/>
      <c r="N1029" s="85" t="str">
        <f>IF($F1029="","",IFERROR(VLOOKUP($F1029,Inventory!$A:$I,9,FALSE),0))</f>
        <v/>
      </c>
      <c r="O1029" s="85" t="str">
        <f t="shared" si="13"/>
        <v/>
      </c>
      <c r="P1029" s="85" t="str">
        <f t="shared" si="5"/>
        <v/>
      </c>
      <c r="Q1029" s="83"/>
      <c r="R1029" s="118" t="str">
        <f>IF($E1029="","",IF(COUNTIF($E$7:$E2226,$E1029)&gt;1,"",IFERROR(VLOOKUP($E1029,Orders!$A:$I,8,FALSE),"")))</f>
        <v/>
      </c>
      <c r="S1029" s="118" t="str">
        <f>IF($E1029="","",IF(COUNTIF($E$7:$E2226,$E1029)&gt;1,"",IFERROR(VLOOKUP($E1029,Orders!$A:$I,9,FALSE),"")))</f>
        <v/>
      </c>
      <c r="T1029" s="88" t="str">
        <f t="shared" si="14"/>
        <v/>
      </c>
      <c r="U1029" s="88" t="str">
        <f>IF($F1029="","",IF($E1029="",T1029,SUMIF(Sales!$E$7:$E$1506,$E1029,Sales!$T$7:$T$1506)))</f>
        <v/>
      </c>
      <c r="V1029" s="49" t="str">
        <f t="shared" si="15"/>
        <v/>
      </c>
      <c r="W1029" s="49" t="str">
        <f t="array" ref="W1029">IF($V1029="","",SUMPRODUCT((Sales!$V$7:$V$1506&lt;&gt;"")*(Sales!$E$7:$E$1506&lt;$E1029))+1)</f>
        <v/>
      </c>
      <c r="X1029" s="49" t="str">
        <f t="shared" si="16"/>
        <v/>
      </c>
      <c r="Y1029" s="49" t="str">
        <f t="shared" si="17"/>
        <v/>
      </c>
    </row>
    <row r="1030" ht="15.0" customHeight="1">
      <c r="A1030" s="82"/>
      <c r="B1030" s="83"/>
      <c r="C1030" s="83"/>
      <c r="D1030" s="83"/>
      <c r="E1030" s="83"/>
      <c r="F1030" s="83"/>
      <c r="G1030" s="83" t="str">
        <f>IF($F1030="","",IFERROR(VLOOKUP($F1030,Inventory!$A:$B,2,FALSE),""))</f>
        <v/>
      </c>
      <c r="H1030" s="83"/>
      <c r="I1030" s="84" t="str">
        <f t="shared" si="2"/>
        <v/>
      </c>
      <c r="J1030" s="85" t="str">
        <f>IF($F1030="","",IFERROR(VLOOKUP($F1030,Inventory!$A:$K,11,FALSE),0))</f>
        <v/>
      </c>
      <c r="K1030" s="85"/>
      <c r="L1030" s="85" t="str">
        <f t="shared" si="12"/>
        <v/>
      </c>
      <c r="M1030" s="83"/>
      <c r="N1030" s="85" t="str">
        <f>IF($F1030="","",IFERROR(VLOOKUP($F1030,Inventory!$A:$I,9,FALSE),0))</f>
        <v/>
      </c>
      <c r="O1030" s="85" t="str">
        <f t="shared" si="13"/>
        <v/>
      </c>
      <c r="P1030" s="85" t="str">
        <f t="shared" si="5"/>
        <v/>
      </c>
      <c r="Q1030" s="83"/>
      <c r="R1030" s="118" t="str">
        <f>IF($E1030="","",IF(COUNTIF($E$7:$E2227,$E1030)&gt;1,"",IFERROR(VLOOKUP($E1030,Orders!$A:$I,8,FALSE),"")))</f>
        <v/>
      </c>
      <c r="S1030" s="118" t="str">
        <f>IF($E1030="","",IF(COUNTIF($E$7:$E2227,$E1030)&gt;1,"",IFERROR(VLOOKUP($E1030,Orders!$A:$I,9,FALSE),"")))</f>
        <v/>
      </c>
      <c r="T1030" s="88" t="str">
        <f t="shared" si="14"/>
        <v/>
      </c>
      <c r="U1030" s="88" t="str">
        <f>IF($F1030="","",IF($E1030="",T1030,SUMIF(Sales!$E$7:$E$1506,$E1030,Sales!$T$7:$T$1506)))</f>
        <v/>
      </c>
      <c r="V1030" s="49" t="str">
        <f t="shared" si="15"/>
        <v/>
      </c>
      <c r="W1030" s="49" t="str">
        <f t="array" ref="W1030">IF($V1030="","",SUMPRODUCT((Sales!$V$7:$V$1506&lt;&gt;"")*(Sales!$E$7:$E$1506&lt;$E1030))+1)</f>
        <v/>
      </c>
      <c r="X1030" s="49" t="str">
        <f t="shared" si="16"/>
        <v/>
      </c>
      <c r="Y1030" s="49" t="str">
        <f t="shared" si="17"/>
        <v/>
      </c>
    </row>
    <row r="1031" ht="15.0" customHeight="1">
      <c r="A1031" s="82"/>
      <c r="B1031" s="83"/>
      <c r="C1031" s="83"/>
      <c r="D1031" s="83"/>
      <c r="E1031" s="83"/>
      <c r="F1031" s="83"/>
      <c r="G1031" s="83" t="str">
        <f>IF($F1031="","",IFERROR(VLOOKUP($F1031,Inventory!$A:$B,2,FALSE),""))</f>
        <v/>
      </c>
      <c r="H1031" s="83"/>
      <c r="I1031" s="84" t="str">
        <f t="shared" si="2"/>
        <v/>
      </c>
      <c r="J1031" s="85" t="str">
        <f>IF($F1031="","",IFERROR(VLOOKUP($F1031,Inventory!$A:$K,11,FALSE),0))</f>
        <v/>
      </c>
      <c r="K1031" s="85"/>
      <c r="L1031" s="85" t="str">
        <f t="shared" si="12"/>
        <v/>
      </c>
      <c r="M1031" s="83"/>
      <c r="N1031" s="85" t="str">
        <f>IF($F1031="","",IFERROR(VLOOKUP($F1031,Inventory!$A:$I,9,FALSE),0))</f>
        <v/>
      </c>
      <c r="O1031" s="85" t="str">
        <f t="shared" si="13"/>
        <v/>
      </c>
      <c r="P1031" s="85" t="str">
        <f t="shared" si="5"/>
        <v/>
      </c>
      <c r="Q1031" s="83"/>
      <c r="R1031" s="118" t="str">
        <f>IF($E1031="","",IF(COUNTIF($E$7:$E2228,$E1031)&gt;1,"",IFERROR(VLOOKUP($E1031,Orders!$A:$I,8,FALSE),"")))</f>
        <v/>
      </c>
      <c r="S1031" s="118" t="str">
        <f>IF($E1031="","",IF(COUNTIF($E$7:$E2228,$E1031)&gt;1,"",IFERROR(VLOOKUP($E1031,Orders!$A:$I,9,FALSE),"")))</f>
        <v/>
      </c>
      <c r="T1031" s="88" t="str">
        <f t="shared" si="14"/>
        <v/>
      </c>
      <c r="U1031" s="88" t="str">
        <f>IF($F1031="","",IF($E1031="",T1031,SUMIF(Sales!$E$7:$E$1506,$E1031,Sales!$T$7:$T$1506)))</f>
        <v/>
      </c>
      <c r="V1031" s="49" t="str">
        <f t="shared" si="15"/>
        <v/>
      </c>
      <c r="W1031" s="49" t="str">
        <f t="array" ref="W1031">IF($V1031="","",SUMPRODUCT((Sales!$V$7:$V$1506&lt;&gt;"")*(Sales!$E$7:$E$1506&lt;$E1031))+1)</f>
        <v/>
      </c>
      <c r="X1031" s="49" t="str">
        <f t="shared" si="16"/>
        <v/>
      </c>
      <c r="Y1031" s="49" t="str">
        <f t="shared" si="17"/>
        <v/>
      </c>
    </row>
    <row r="1032" ht="15.0" customHeight="1">
      <c r="A1032" s="82"/>
      <c r="B1032" s="83"/>
      <c r="C1032" s="83"/>
      <c r="D1032" s="83"/>
      <c r="E1032" s="83"/>
      <c r="F1032" s="83"/>
      <c r="G1032" s="83" t="str">
        <f>IF($F1032="","",IFERROR(VLOOKUP($F1032,Inventory!$A:$B,2,FALSE),""))</f>
        <v/>
      </c>
      <c r="H1032" s="83"/>
      <c r="I1032" s="84" t="str">
        <f t="shared" si="2"/>
        <v/>
      </c>
      <c r="J1032" s="85" t="str">
        <f>IF($F1032="","",IFERROR(VLOOKUP($F1032,Inventory!$A:$K,11,FALSE),0))</f>
        <v/>
      </c>
      <c r="K1032" s="85"/>
      <c r="L1032" s="85" t="str">
        <f t="shared" si="12"/>
        <v/>
      </c>
      <c r="M1032" s="83"/>
      <c r="N1032" s="85" t="str">
        <f>IF($F1032="","",IFERROR(VLOOKUP($F1032,Inventory!$A:$I,9,FALSE),0))</f>
        <v/>
      </c>
      <c r="O1032" s="85" t="str">
        <f t="shared" si="13"/>
        <v/>
      </c>
      <c r="P1032" s="85" t="str">
        <f t="shared" si="5"/>
        <v/>
      </c>
      <c r="Q1032" s="83"/>
      <c r="R1032" s="118" t="str">
        <f>IF($E1032="","",IF(COUNTIF($E$7:$E2229,$E1032)&gt;1,"",IFERROR(VLOOKUP($E1032,Orders!$A:$I,8,FALSE),"")))</f>
        <v/>
      </c>
      <c r="S1032" s="118" t="str">
        <f>IF($E1032="","",IF(COUNTIF($E$7:$E2229,$E1032)&gt;1,"",IFERROR(VLOOKUP($E1032,Orders!$A:$I,9,FALSE),"")))</f>
        <v/>
      </c>
      <c r="T1032" s="88" t="str">
        <f t="shared" si="14"/>
        <v/>
      </c>
      <c r="U1032" s="88" t="str">
        <f>IF($F1032="","",IF($E1032="",T1032,SUMIF(Sales!$E$7:$E$1506,$E1032,Sales!$T$7:$T$1506)))</f>
        <v/>
      </c>
      <c r="V1032" s="49" t="str">
        <f t="shared" si="15"/>
        <v/>
      </c>
      <c r="W1032" s="49" t="str">
        <f t="array" ref="W1032">IF($V1032="","",SUMPRODUCT((Sales!$V$7:$V$1506&lt;&gt;"")*(Sales!$E$7:$E$1506&lt;$E1032))+1)</f>
        <v/>
      </c>
      <c r="X1032" s="49" t="str">
        <f t="shared" si="16"/>
        <v/>
      </c>
      <c r="Y1032" s="49" t="str">
        <f t="shared" si="17"/>
        <v/>
      </c>
    </row>
    <row r="1033" ht="15.0" customHeight="1">
      <c r="A1033" s="82"/>
      <c r="B1033" s="83"/>
      <c r="C1033" s="83"/>
      <c r="D1033" s="83"/>
      <c r="E1033" s="83"/>
      <c r="F1033" s="83"/>
      <c r="G1033" s="83" t="str">
        <f>IF($F1033="","",IFERROR(VLOOKUP($F1033,Inventory!$A:$B,2,FALSE),""))</f>
        <v/>
      </c>
      <c r="H1033" s="83"/>
      <c r="I1033" s="84" t="str">
        <f t="shared" si="2"/>
        <v/>
      </c>
      <c r="J1033" s="85" t="str">
        <f>IF($F1033="","",IFERROR(VLOOKUP($F1033,Inventory!$A:$K,11,FALSE),0))</f>
        <v/>
      </c>
      <c r="K1033" s="85"/>
      <c r="L1033" s="85" t="str">
        <f t="shared" si="12"/>
        <v/>
      </c>
      <c r="M1033" s="83"/>
      <c r="N1033" s="85" t="str">
        <f>IF($F1033="","",IFERROR(VLOOKUP($F1033,Inventory!$A:$I,9,FALSE),0))</f>
        <v/>
      </c>
      <c r="O1033" s="85" t="str">
        <f t="shared" si="13"/>
        <v/>
      </c>
      <c r="P1033" s="85" t="str">
        <f t="shared" si="5"/>
        <v/>
      </c>
      <c r="Q1033" s="83"/>
      <c r="R1033" s="118" t="str">
        <f>IF($E1033="","",IF(COUNTIF($E$7:$E2230,$E1033)&gt;1,"",IFERROR(VLOOKUP($E1033,Orders!$A:$I,8,FALSE),"")))</f>
        <v/>
      </c>
      <c r="S1033" s="118" t="str">
        <f>IF($E1033="","",IF(COUNTIF($E$7:$E2230,$E1033)&gt;1,"",IFERROR(VLOOKUP($E1033,Orders!$A:$I,9,FALSE),"")))</f>
        <v/>
      </c>
      <c r="T1033" s="88" t="str">
        <f t="shared" si="14"/>
        <v/>
      </c>
      <c r="U1033" s="88" t="str">
        <f>IF($F1033="","",IF($E1033="",T1033,SUMIF(Sales!$E$7:$E$1506,$E1033,Sales!$T$7:$T$1506)))</f>
        <v/>
      </c>
      <c r="V1033" s="49" t="str">
        <f t="shared" si="15"/>
        <v/>
      </c>
      <c r="W1033" s="49" t="str">
        <f t="array" ref="W1033">IF($V1033="","",SUMPRODUCT((Sales!$V$7:$V$1506&lt;&gt;"")*(Sales!$E$7:$E$1506&lt;$E1033))+1)</f>
        <v/>
      </c>
      <c r="X1033" s="49" t="str">
        <f t="shared" si="16"/>
        <v/>
      </c>
      <c r="Y1033" s="49" t="str">
        <f t="shared" si="17"/>
        <v/>
      </c>
    </row>
    <row r="1034" ht="15.0" customHeight="1">
      <c r="A1034" s="82"/>
      <c r="B1034" s="83"/>
      <c r="C1034" s="83"/>
      <c r="D1034" s="83"/>
      <c r="E1034" s="83"/>
      <c r="F1034" s="83"/>
      <c r="G1034" s="83" t="str">
        <f>IF($F1034="","",IFERROR(VLOOKUP($F1034,Inventory!$A:$B,2,FALSE),""))</f>
        <v/>
      </c>
      <c r="H1034" s="83"/>
      <c r="I1034" s="84" t="str">
        <f t="shared" si="2"/>
        <v/>
      </c>
      <c r="J1034" s="85" t="str">
        <f>IF($F1034="","",IFERROR(VLOOKUP($F1034,Inventory!$A:$K,11,FALSE),0))</f>
        <v/>
      </c>
      <c r="K1034" s="85"/>
      <c r="L1034" s="85" t="str">
        <f t="shared" si="12"/>
        <v/>
      </c>
      <c r="M1034" s="83"/>
      <c r="N1034" s="85" t="str">
        <f>IF($F1034="","",IFERROR(VLOOKUP($F1034,Inventory!$A:$I,9,FALSE),0))</f>
        <v/>
      </c>
      <c r="O1034" s="85" t="str">
        <f t="shared" si="13"/>
        <v/>
      </c>
      <c r="P1034" s="85" t="str">
        <f t="shared" si="5"/>
        <v/>
      </c>
      <c r="Q1034" s="83"/>
      <c r="R1034" s="118" t="str">
        <f>IF($E1034="","",IF(COUNTIF($E$7:$E2231,$E1034)&gt;1,"",IFERROR(VLOOKUP($E1034,Orders!$A:$I,8,FALSE),"")))</f>
        <v/>
      </c>
      <c r="S1034" s="118" t="str">
        <f>IF($E1034="","",IF(COUNTIF($E$7:$E2231,$E1034)&gt;1,"",IFERROR(VLOOKUP($E1034,Orders!$A:$I,9,FALSE),"")))</f>
        <v/>
      </c>
      <c r="T1034" s="88" t="str">
        <f t="shared" si="14"/>
        <v/>
      </c>
      <c r="U1034" s="88" t="str">
        <f>IF($F1034="","",IF($E1034="",T1034,SUMIF(Sales!$E$7:$E$1506,$E1034,Sales!$T$7:$T$1506)))</f>
        <v/>
      </c>
      <c r="V1034" s="49" t="str">
        <f t="shared" si="15"/>
        <v/>
      </c>
      <c r="W1034" s="49" t="str">
        <f t="array" ref="W1034">IF($V1034="","",SUMPRODUCT((Sales!$V$7:$V$1506&lt;&gt;"")*(Sales!$E$7:$E$1506&lt;$E1034))+1)</f>
        <v/>
      </c>
      <c r="X1034" s="49" t="str">
        <f t="shared" si="16"/>
        <v/>
      </c>
      <c r="Y1034" s="49" t="str">
        <f t="shared" si="17"/>
        <v/>
      </c>
    </row>
    <row r="1035" ht="15.0" customHeight="1">
      <c r="A1035" s="82"/>
      <c r="B1035" s="83"/>
      <c r="C1035" s="83"/>
      <c r="D1035" s="83"/>
      <c r="E1035" s="83"/>
      <c r="F1035" s="83"/>
      <c r="G1035" s="83" t="str">
        <f>IF($F1035="","",IFERROR(VLOOKUP($F1035,Inventory!$A:$B,2,FALSE),""))</f>
        <v/>
      </c>
      <c r="H1035" s="83"/>
      <c r="I1035" s="84" t="str">
        <f t="shared" si="2"/>
        <v/>
      </c>
      <c r="J1035" s="85" t="str">
        <f>IF($F1035="","",IFERROR(VLOOKUP($F1035,Inventory!$A:$K,11,FALSE),0))</f>
        <v/>
      </c>
      <c r="K1035" s="85"/>
      <c r="L1035" s="85" t="str">
        <f t="shared" si="12"/>
        <v/>
      </c>
      <c r="M1035" s="83"/>
      <c r="N1035" s="85" t="str">
        <f>IF($F1035="","",IFERROR(VLOOKUP($F1035,Inventory!$A:$I,9,FALSE),0))</f>
        <v/>
      </c>
      <c r="O1035" s="85" t="str">
        <f t="shared" si="13"/>
        <v/>
      </c>
      <c r="P1035" s="85" t="str">
        <f t="shared" si="5"/>
        <v/>
      </c>
      <c r="Q1035" s="83"/>
      <c r="R1035" s="118" t="str">
        <f>IF($E1035="","",IF(COUNTIF($E$7:$E2232,$E1035)&gt;1,"",IFERROR(VLOOKUP($E1035,Orders!$A:$I,8,FALSE),"")))</f>
        <v/>
      </c>
      <c r="S1035" s="118" t="str">
        <f>IF($E1035="","",IF(COUNTIF($E$7:$E2232,$E1035)&gt;1,"",IFERROR(VLOOKUP($E1035,Orders!$A:$I,9,FALSE),"")))</f>
        <v/>
      </c>
      <c r="T1035" s="88" t="str">
        <f t="shared" si="14"/>
        <v/>
      </c>
      <c r="U1035" s="88" t="str">
        <f>IF($F1035="","",IF($E1035="",T1035,SUMIF(Sales!$E$7:$E$1506,$E1035,Sales!$T$7:$T$1506)))</f>
        <v/>
      </c>
      <c r="V1035" s="49" t="str">
        <f t="shared" si="15"/>
        <v/>
      </c>
      <c r="W1035" s="49" t="str">
        <f t="array" ref="W1035">IF($V1035="","",SUMPRODUCT((Sales!$V$7:$V$1506&lt;&gt;"")*(Sales!$E$7:$E$1506&lt;$E1035))+1)</f>
        <v/>
      </c>
      <c r="X1035" s="49" t="str">
        <f t="shared" si="16"/>
        <v/>
      </c>
      <c r="Y1035" s="49" t="str">
        <f t="shared" si="17"/>
        <v/>
      </c>
    </row>
    <row r="1036" ht="15.0" customHeight="1">
      <c r="A1036" s="82"/>
      <c r="B1036" s="83"/>
      <c r="C1036" s="83"/>
      <c r="D1036" s="83"/>
      <c r="E1036" s="83"/>
      <c r="F1036" s="83"/>
      <c r="G1036" s="83" t="str">
        <f>IF($F1036="","",IFERROR(VLOOKUP($F1036,Inventory!$A:$B,2,FALSE),""))</f>
        <v/>
      </c>
      <c r="H1036" s="83"/>
      <c r="I1036" s="84" t="str">
        <f t="shared" si="2"/>
        <v/>
      </c>
      <c r="J1036" s="85" t="str">
        <f>IF($F1036="","",IFERROR(VLOOKUP($F1036,Inventory!$A:$K,11,FALSE),0))</f>
        <v/>
      </c>
      <c r="K1036" s="85"/>
      <c r="L1036" s="85" t="str">
        <f t="shared" si="12"/>
        <v/>
      </c>
      <c r="M1036" s="83"/>
      <c r="N1036" s="85" t="str">
        <f>IF($F1036="","",IFERROR(VLOOKUP($F1036,Inventory!$A:$I,9,FALSE),0))</f>
        <v/>
      </c>
      <c r="O1036" s="85" t="str">
        <f t="shared" si="13"/>
        <v/>
      </c>
      <c r="P1036" s="85" t="str">
        <f t="shared" si="5"/>
        <v/>
      </c>
      <c r="Q1036" s="83"/>
      <c r="R1036" s="118" t="str">
        <f>IF($E1036="","",IF(COUNTIF($E$7:$E2233,$E1036)&gt;1,"",IFERROR(VLOOKUP($E1036,Orders!$A:$I,8,FALSE),"")))</f>
        <v/>
      </c>
      <c r="S1036" s="118" t="str">
        <f>IF($E1036="","",IF(COUNTIF($E$7:$E2233,$E1036)&gt;1,"",IFERROR(VLOOKUP($E1036,Orders!$A:$I,9,FALSE),"")))</f>
        <v/>
      </c>
      <c r="T1036" s="88" t="str">
        <f t="shared" si="14"/>
        <v/>
      </c>
      <c r="U1036" s="88" t="str">
        <f>IF($F1036="","",IF($E1036="",T1036,SUMIF(Sales!$E$7:$E$1506,$E1036,Sales!$T$7:$T$1506)))</f>
        <v/>
      </c>
      <c r="V1036" s="49" t="str">
        <f t="shared" si="15"/>
        <v/>
      </c>
      <c r="W1036" s="49" t="str">
        <f t="array" ref="W1036">IF($V1036="","",SUMPRODUCT((Sales!$V$7:$V$1506&lt;&gt;"")*(Sales!$E$7:$E$1506&lt;$E1036))+1)</f>
        <v/>
      </c>
      <c r="X1036" s="49" t="str">
        <f t="shared" si="16"/>
        <v/>
      </c>
      <c r="Y1036" s="49" t="str">
        <f t="shared" si="17"/>
        <v/>
      </c>
    </row>
    <row r="1037" ht="15.0" customHeight="1">
      <c r="A1037" s="82"/>
      <c r="B1037" s="83"/>
      <c r="C1037" s="83"/>
      <c r="D1037" s="83"/>
      <c r="E1037" s="83"/>
      <c r="F1037" s="83"/>
      <c r="G1037" s="83" t="str">
        <f>IF($F1037="","",IFERROR(VLOOKUP($F1037,Inventory!$A:$B,2,FALSE),""))</f>
        <v/>
      </c>
      <c r="H1037" s="83"/>
      <c r="I1037" s="84" t="str">
        <f t="shared" si="2"/>
        <v/>
      </c>
      <c r="J1037" s="85" t="str">
        <f>IF($F1037="","",IFERROR(VLOOKUP($F1037,Inventory!$A:$K,11,FALSE),0))</f>
        <v/>
      </c>
      <c r="K1037" s="85"/>
      <c r="L1037" s="85" t="str">
        <f t="shared" si="12"/>
        <v/>
      </c>
      <c r="M1037" s="83"/>
      <c r="N1037" s="85" t="str">
        <f>IF($F1037="","",IFERROR(VLOOKUP($F1037,Inventory!$A:$I,9,FALSE),0))</f>
        <v/>
      </c>
      <c r="O1037" s="85" t="str">
        <f t="shared" si="13"/>
        <v/>
      </c>
      <c r="P1037" s="85" t="str">
        <f t="shared" si="5"/>
        <v/>
      </c>
      <c r="Q1037" s="83"/>
      <c r="R1037" s="118" t="str">
        <f>IF($E1037="","",IF(COUNTIF($E$7:$E2234,$E1037)&gt;1,"",IFERROR(VLOOKUP($E1037,Orders!$A:$I,8,FALSE),"")))</f>
        <v/>
      </c>
      <c r="S1037" s="118" t="str">
        <f>IF($E1037="","",IF(COUNTIF($E$7:$E2234,$E1037)&gt;1,"",IFERROR(VLOOKUP($E1037,Orders!$A:$I,9,FALSE),"")))</f>
        <v/>
      </c>
      <c r="T1037" s="88" t="str">
        <f t="shared" si="14"/>
        <v/>
      </c>
      <c r="U1037" s="88" t="str">
        <f>IF($F1037="","",IF($E1037="",T1037,SUMIF(Sales!$E$7:$E$1506,$E1037,Sales!$T$7:$T$1506)))</f>
        <v/>
      </c>
      <c r="V1037" s="49" t="str">
        <f t="shared" si="15"/>
        <v/>
      </c>
      <c r="W1037" s="49" t="str">
        <f t="array" ref="W1037">IF($V1037="","",SUMPRODUCT((Sales!$V$7:$V$1506&lt;&gt;"")*(Sales!$E$7:$E$1506&lt;$E1037))+1)</f>
        <v/>
      </c>
      <c r="X1037" s="49" t="str">
        <f t="shared" si="16"/>
        <v/>
      </c>
      <c r="Y1037" s="49" t="str">
        <f t="shared" si="17"/>
        <v/>
      </c>
    </row>
    <row r="1038" ht="15.0" customHeight="1">
      <c r="A1038" s="82"/>
      <c r="B1038" s="83"/>
      <c r="C1038" s="83"/>
      <c r="D1038" s="83"/>
      <c r="E1038" s="83"/>
      <c r="F1038" s="83"/>
      <c r="G1038" s="83" t="str">
        <f>IF($F1038="","",IFERROR(VLOOKUP($F1038,Inventory!$A:$B,2,FALSE),""))</f>
        <v/>
      </c>
      <c r="H1038" s="83"/>
      <c r="I1038" s="84" t="str">
        <f t="shared" si="2"/>
        <v/>
      </c>
      <c r="J1038" s="85" t="str">
        <f>IF($F1038="","",IFERROR(VLOOKUP($F1038,Inventory!$A:$K,11,FALSE),0))</f>
        <v/>
      </c>
      <c r="K1038" s="85"/>
      <c r="L1038" s="85" t="str">
        <f t="shared" si="12"/>
        <v/>
      </c>
      <c r="M1038" s="83"/>
      <c r="N1038" s="85" t="str">
        <f>IF($F1038="","",IFERROR(VLOOKUP($F1038,Inventory!$A:$I,9,FALSE),0))</f>
        <v/>
      </c>
      <c r="O1038" s="85" t="str">
        <f t="shared" si="13"/>
        <v/>
      </c>
      <c r="P1038" s="85" t="str">
        <f t="shared" si="5"/>
        <v/>
      </c>
      <c r="Q1038" s="83"/>
      <c r="R1038" s="118" t="str">
        <f>IF($E1038="","",IF(COUNTIF($E$7:$E2235,$E1038)&gt;1,"",IFERROR(VLOOKUP($E1038,Orders!$A:$I,8,FALSE),"")))</f>
        <v/>
      </c>
      <c r="S1038" s="118" t="str">
        <f>IF($E1038="","",IF(COUNTIF($E$7:$E2235,$E1038)&gt;1,"",IFERROR(VLOOKUP($E1038,Orders!$A:$I,9,FALSE),"")))</f>
        <v/>
      </c>
      <c r="T1038" s="88" t="str">
        <f t="shared" si="14"/>
        <v/>
      </c>
      <c r="U1038" s="88" t="str">
        <f>IF($F1038="","",IF($E1038="",T1038,SUMIF(Sales!$E$7:$E$1506,$E1038,Sales!$T$7:$T$1506)))</f>
        <v/>
      </c>
      <c r="V1038" s="49" t="str">
        <f t="shared" si="15"/>
        <v/>
      </c>
      <c r="W1038" s="49" t="str">
        <f t="array" ref="W1038">IF($V1038="","",SUMPRODUCT((Sales!$V$7:$V$1506&lt;&gt;"")*(Sales!$E$7:$E$1506&lt;$E1038))+1)</f>
        <v/>
      </c>
      <c r="X1038" s="49" t="str">
        <f t="shared" si="16"/>
        <v/>
      </c>
      <c r="Y1038" s="49" t="str">
        <f t="shared" si="17"/>
        <v/>
      </c>
    </row>
    <row r="1039" ht="15.0" customHeight="1">
      <c r="A1039" s="82"/>
      <c r="B1039" s="83"/>
      <c r="C1039" s="83"/>
      <c r="D1039" s="83"/>
      <c r="E1039" s="83"/>
      <c r="F1039" s="83"/>
      <c r="G1039" s="83" t="str">
        <f>IF($F1039="","",IFERROR(VLOOKUP($F1039,Inventory!$A:$B,2,FALSE),""))</f>
        <v/>
      </c>
      <c r="H1039" s="83"/>
      <c r="I1039" s="84" t="str">
        <f t="shared" si="2"/>
        <v/>
      </c>
      <c r="J1039" s="85" t="str">
        <f>IF($F1039="","",IFERROR(VLOOKUP($F1039,Inventory!$A:$K,11,FALSE),0))</f>
        <v/>
      </c>
      <c r="K1039" s="85"/>
      <c r="L1039" s="85" t="str">
        <f t="shared" si="12"/>
        <v/>
      </c>
      <c r="M1039" s="83"/>
      <c r="N1039" s="85" t="str">
        <f>IF($F1039="","",IFERROR(VLOOKUP($F1039,Inventory!$A:$I,9,FALSE),0))</f>
        <v/>
      </c>
      <c r="O1039" s="85" t="str">
        <f t="shared" si="13"/>
        <v/>
      </c>
      <c r="P1039" s="85" t="str">
        <f t="shared" si="5"/>
        <v/>
      </c>
      <c r="Q1039" s="83"/>
      <c r="R1039" s="118" t="str">
        <f>IF($E1039="","",IF(COUNTIF($E$7:$E2236,$E1039)&gt;1,"",IFERROR(VLOOKUP($E1039,Orders!$A:$I,8,FALSE),"")))</f>
        <v/>
      </c>
      <c r="S1039" s="118" t="str">
        <f>IF($E1039="","",IF(COUNTIF($E$7:$E2236,$E1039)&gt;1,"",IFERROR(VLOOKUP($E1039,Orders!$A:$I,9,FALSE),"")))</f>
        <v/>
      </c>
      <c r="T1039" s="88" t="str">
        <f t="shared" si="14"/>
        <v/>
      </c>
      <c r="U1039" s="88" t="str">
        <f>IF($F1039="","",IF($E1039="",T1039,SUMIF(Sales!$E$7:$E$1506,$E1039,Sales!$T$7:$T$1506)))</f>
        <v/>
      </c>
      <c r="V1039" s="49" t="str">
        <f t="shared" si="15"/>
        <v/>
      </c>
      <c r="W1039" s="49" t="str">
        <f t="array" ref="W1039">IF($V1039="","",SUMPRODUCT((Sales!$V$7:$V$1506&lt;&gt;"")*(Sales!$E$7:$E$1506&lt;$E1039))+1)</f>
        <v/>
      </c>
      <c r="X1039" s="49" t="str">
        <f t="shared" si="16"/>
        <v/>
      </c>
      <c r="Y1039" s="49" t="str">
        <f t="shared" si="17"/>
        <v/>
      </c>
    </row>
    <row r="1040" ht="15.0" customHeight="1">
      <c r="A1040" s="82"/>
      <c r="B1040" s="83"/>
      <c r="C1040" s="83"/>
      <c r="D1040" s="83"/>
      <c r="E1040" s="83"/>
      <c r="F1040" s="83"/>
      <c r="G1040" s="83" t="str">
        <f>IF($F1040="","",IFERROR(VLOOKUP($F1040,Inventory!$A:$B,2,FALSE),""))</f>
        <v/>
      </c>
      <c r="H1040" s="83"/>
      <c r="I1040" s="84" t="str">
        <f t="shared" si="2"/>
        <v/>
      </c>
      <c r="J1040" s="85" t="str">
        <f>IF($F1040="","",IFERROR(VLOOKUP($F1040,Inventory!$A:$K,11,FALSE),0))</f>
        <v/>
      </c>
      <c r="K1040" s="85"/>
      <c r="L1040" s="85" t="str">
        <f t="shared" si="12"/>
        <v/>
      </c>
      <c r="M1040" s="83"/>
      <c r="N1040" s="85" t="str">
        <f>IF($F1040="","",IFERROR(VLOOKUP($F1040,Inventory!$A:$I,9,FALSE),0))</f>
        <v/>
      </c>
      <c r="O1040" s="85" t="str">
        <f t="shared" si="13"/>
        <v/>
      </c>
      <c r="P1040" s="85" t="str">
        <f t="shared" si="5"/>
        <v/>
      </c>
      <c r="Q1040" s="83"/>
      <c r="R1040" s="118" t="str">
        <f>IF($E1040="","",IF(COUNTIF($E$7:$E2237,$E1040)&gt;1,"",IFERROR(VLOOKUP($E1040,Orders!$A:$I,8,FALSE),"")))</f>
        <v/>
      </c>
      <c r="S1040" s="118" t="str">
        <f>IF($E1040="","",IF(COUNTIF($E$7:$E2237,$E1040)&gt;1,"",IFERROR(VLOOKUP($E1040,Orders!$A:$I,9,FALSE),"")))</f>
        <v/>
      </c>
      <c r="T1040" s="88" t="str">
        <f t="shared" si="14"/>
        <v/>
      </c>
      <c r="U1040" s="88" t="str">
        <f>IF($F1040="","",IF($E1040="",T1040,SUMIF(Sales!$E$7:$E$1506,$E1040,Sales!$T$7:$T$1506)))</f>
        <v/>
      </c>
      <c r="V1040" s="49" t="str">
        <f t="shared" si="15"/>
        <v/>
      </c>
      <c r="W1040" s="49" t="str">
        <f t="array" ref="W1040">IF($V1040="","",SUMPRODUCT((Sales!$V$7:$V$1506&lt;&gt;"")*(Sales!$E$7:$E$1506&lt;$E1040))+1)</f>
        <v/>
      </c>
      <c r="X1040" s="49" t="str">
        <f t="shared" si="16"/>
        <v/>
      </c>
      <c r="Y1040" s="49" t="str">
        <f t="shared" si="17"/>
        <v/>
      </c>
    </row>
    <row r="1041" ht="15.0" customHeight="1">
      <c r="A1041" s="82"/>
      <c r="B1041" s="83"/>
      <c r="C1041" s="83"/>
      <c r="D1041" s="83"/>
      <c r="E1041" s="83"/>
      <c r="F1041" s="83"/>
      <c r="G1041" s="83" t="str">
        <f>IF($F1041="","",IFERROR(VLOOKUP($F1041,Inventory!$A:$B,2,FALSE),""))</f>
        <v/>
      </c>
      <c r="H1041" s="83"/>
      <c r="I1041" s="84" t="str">
        <f t="shared" si="2"/>
        <v/>
      </c>
      <c r="J1041" s="85" t="str">
        <f>IF($F1041="","",IFERROR(VLOOKUP($F1041,Inventory!$A:$K,11,FALSE),0))</f>
        <v/>
      </c>
      <c r="K1041" s="85"/>
      <c r="L1041" s="85" t="str">
        <f t="shared" si="12"/>
        <v/>
      </c>
      <c r="M1041" s="83"/>
      <c r="N1041" s="85" t="str">
        <f>IF($F1041="","",IFERROR(VLOOKUP($F1041,Inventory!$A:$I,9,FALSE),0))</f>
        <v/>
      </c>
      <c r="O1041" s="85" t="str">
        <f t="shared" si="13"/>
        <v/>
      </c>
      <c r="P1041" s="85" t="str">
        <f t="shared" si="5"/>
        <v/>
      </c>
      <c r="Q1041" s="83"/>
      <c r="R1041" s="118" t="str">
        <f>IF($E1041="","",IF(COUNTIF($E$7:$E2238,$E1041)&gt;1,"",IFERROR(VLOOKUP($E1041,Orders!$A:$I,8,FALSE),"")))</f>
        <v/>
      </c>
      <c r="S1041" s="118" t="str">
        <f>IF($E1041="","",IF(COUNTIF($E$7:$E2238,$E1041)&gt;1,"",IFERROR(VLOOKUP($E1041,Orders!$A:$I,9,FALSE),"")))</f>
        <v/>
      </c>
      <c r="T1041" s="88" t="str">
        <f t="shared" si="14"/>
        <v/>
      </c>
      <c r="U1041" s="88" t="str">
        <f>IF($F1041="","",IF($E1041="",T1041,SUMIF(Sales!$E$7:$E$1506,$E1041,Sales!$T$7:$T$1506)))</f>
        <v/>
      </c>
      <c r="V1041" s="49" t="str">
        <f t="shared" si="15"/>
        <v/>
      </c>
      <c r="W1041" s="49" t="str">
        <f t="array" ref="W1041">IF($V1041="","",SUMPRODUCT((Sales!$V$7:$V$1506&lt;&gt;"")*(Sales!$E$7:$E$1506&lt;$E1041))+1)</f>
        <v/>
      </c>
      <c r="X1041" s="49" t="str">
        <f t="shared" si="16"/>
        <v/>
      </c>
      <c r="Y1041" s="49" t="str">
        <f t="shared" si="17"/>
        <v/>
      </c>
    </row>
    <row r="1042" ht="15.0" customHeight="1">
      <c r="A1042" s="82"/>
      <c r="B1042" s="83"/>
      <c r="C1042" s="83"/>
      <c r="D1042" s="83"/>
      <c r="E1042" s="83"/>
      <c r="F1042" s="83"/>
      <c r="G1042" s="83" t="str">
        <f>IF($F1042="","",IFERROR(VLOOKUP($F1042,Inventory!$A:$B,2,FALSE),""))</f>
        <v/>
      </c>
      <c r="H1042" s="83"/>
      <c r="I1042" s="84" t="str">
        <f t="shared" si="2"/>
        <v/>
      </c>
      <c r="J1042" s="85" t="str">
        <f>IF($F1042="","",IFERROR(VLOOKUP($F1042,Inventory!$A:$K,11,FALSE),0))</f>
        <v/>
      </c>
      <c r="K1042" s="85"/>
      <c r="L1042" s="85" t="str">
        <f t="shared" si="12"/>
        <v/>
      </c>
      <c r="M1042" s="83"/>
      <c r="N1042" s="85" t="str">
        <f>IF($F1042="","",IFERROR(VLOOKUP($F1042,Inventory!$A:$I,9,FALSE),0))</f>
        <v/>
      </c>
      <c r="O1042" s="85" t="str">
        <f t="shared" si="13"/>
        <v/>
      </c>
      <c r="P1042" s="85" t="str">
        <f t="shared" si="5"/>
        <v/>
      </c>
      <c r="Q1042" s="83"/>
      <c r="R1042" s="118" t="str">
        <f>IF($E1042="","",IF(COUNTIF($E$7:$E2239,$E1042)&gt;1,"",IFERROR(VLOOKUP($E1042,Orders!$A:$I,8,FALSE),"")))</f>
        <v/>
      </c>
      <c r="S1042" s="118" t="str">
        <f>IF($E1042="","",IF(COUNTIF($E$7:$E2239,$E1042)&gt;1,"",IFERROR(VLOOKUP($E1042,Orders!$A:$I,9,FALSE),"")))</f>
        <v/>
      </c>
      <c r="T1042" s="88" t="str">
        <f t="shared" si="14"/>
        <v/>
      </c>
      <c r="U1042" s="88" t="str">
        <f>IF($F1042="","",IF($E1042="",T1042,SUMIF(Sales!$E$7:$E$1506,$E1042,Sales!$T$7:$T$1506)))</f>
        <v/>
      </c>
      <c r="V1042" s="49" t="str">
        <f t="shared" si="15"/>
        <v/>
      </c>
      <c r="W1042" s="49" t="str">
        <f t="array" ref="W1042">IF($V1042="","",SUMPRODUCT((Sales!$V$7:$V$1506&lt;&gt;"")*(Sales!$E$7:$E$1506&lt;$E1042))+1)</f>
        <v/>
      </c>
      <c r="X1042" s="49" t="str">
        <f t="shared" si="16"/>
        <v/>
      </c>
      <c r="Y1042" s="49" t="str">
        <f t="shared" si="17"/>
        <v/>
      </c>
    </row>
    <row r="1043" ht="15.0" customHeight="1">
      <c r="A1043" s="82"/>
      <c r="B1043" s="83"/>
      <c r="C1043" s="83"/>
      <c r="D1043" s="83"/>
      <c r="E1043" s="83"/>
      <c r="F1043" s="83"/>
      <c r="G1043" s="83" t="str">
        <f>IF($F1043="","",IFERROR(VLOOKUP($F1043,Inventory!$A:$B,2,FALSE),""))</f>
        <v/>
      </c>
      <c r="H1043" s="83"/>
      <c r="I1043" s="84" t="str">
        <f t="shared" si="2"/>
        <v/>
      </c>
      <c r="J1043" s="85" t="str">
        <f>IF($F1043="","",IFERROR(VLOOKUP($F1043,Inventory!$A:$K,11,FALSE),0))</f>
        <v/>
      </c>
      <c r="K1043" s="85"/>
      <c r="L1043" s="85" t="str">
        <f t="shared" si="12"/>
        <v/>
      </c>
      <c r="M1043" s="83"/>
      <c r="N1043" s="85" t="str">
        <f>IF($F1043="","",IFERROR(VLOOKUP($F1043,Inventory!$A:$I,9,FALSE),0))</f>
        <v/>
      </c>
      <c r="O1043" s="85" t="str">
        <f t="shared" si="13"/>
        <v/>
      </c>
      <c r="P1043" s="85" t="str">
        <f t="shared" si="5"/>
        <v/>
      </c>
      <c r="Q1043" s="83"/>
      <c r="R1043" s="118" t="str">
        <f>IF($E1043="","",IF(COUNTIF($E$7:$E2240,$E1043)&gt;1,"",IFERROR(VLOOKUP($E1043,Orders!$A:$I,8,FALSE),"")))</f>
        <v/>
      </c>
      <c r="S1043" s="118" t="str">
        <f>IF($E1043="","",IF(COUNTIF($E$7:$E2240,$E1043)&gt;1,"",IFERROR(VLOOKUP($E1043,Orders!$A:$I,9,FALSE),"")))</f>
        <v/>
      </c>
      <c r="T1043" s="88" t="str">
        <f t="shared" si="14"/>
        <v/>
      </c>
      <c r="U1043" s="88" t="str">
        <f>IF($F1043="","",IF($E1043="",T1043,SUMIF(Sales!$E$7:$E$1506,$E1043,Sales!$T$7:$T$1506)))</f>
        <v/>
      </c>
      <c r="V1043" s="49" t="str">
        <f t="shared" si="15"/>
        <v/>
      </c>
      <c r="W1043" s="49" t="str">
        <f t="array" ref="W1043">IF($V1043="","",SUMPRODUCT((Sales!$V$7:$V$1506&lt;&gt;"")*(Sales!$E$7:$E$1506&lt;$E1043))+1)</f>
        <v/>
      </c>
      <c r="X1043" s="49" t="str">
        <f t="shared" si="16"/>
        <v/>
      </c>
      <c r="Y1043" s="49" t="str">
        <f t="shared" si="17"/>
        <v/>
      </c>
    </row>
    <row r="1044" ht="15.0" customHeight="1">
      <c r="A1044" s="82"/>
      <c r="B1044" s="83"/>
      <c r="C1044" s="83"/>
      <c r="D1044" s="83"/>
      <c r="E1044" s="83"/>
      <c r="F1044" s="83"/>
      <c r="G1044" s="83" t="str">
        <f>IF($F1044="","",IFERROR(VLOOKUP($F1044,Inventory!$A:$B,2,FALSE),""))</f>
        <v/>
      </c>
      <c r="H1044" s="83"/>
      <c r="I1044" s="84" t="str">
        <f t="shared" si="2"/>
        <v/>
      </c>
      <c r="J1044" s="85" t="str">
        <f>IF($F1044="","",IFERROR(VLOOKUP($F1044,Inventory!$A:$K,11,FALSE),0))</f>
        <v/>
      </c>
      <c r="K1044" s="85"/>
      <c r="L1044" s="85" t="str">
        <f t="shared" si="12"/>
        <v/>
      </c>
      <c r="M1044" s="83"/>
      <c r="N1044" s="85" t="str">
        <f>IF($F1044="","",IFERROR(VLOOKUP($F1044,Inventory!$A:$I,9,FALSE),0))</f>
        <v/>
      </c>
      <c r="O1044" s="85" t="str">
        <f t="shared" si="13"/>
        <v/>
      </c>
      <c r="P1044" s="85" t="str">
        <f t="shared" si="5"/>
        <v/>
      </c>
      <c r="Q1044" s="83"/>
      <c r="R1044" s="118" t="str">
        <f>IF($E1044="","",IF(COUNTIF($E$7:$E2241,$E1044)&gt;1,"",IFERROR(VLOOKUP($E1044,Orders!$A:$I,8,FALSE),"")))</f>
        <v/>
      </c>
      <c r="S1044" s="118" t="str">
        <f>IF($E1044="","",IF(COUNTIF($E$7:$E2241,$E1044)&gt;1,"",IFERROR(VLOOKUP($E1044,Orders!$A:$I,9,FALSE),"")))</f>
        <v/>
      </c>
      <c r="T1044" s="88" t="str">
        <f t="shared" si="14"/>
        <v/>
      </c>
      <c r="U1044" s="88" t="str">
        <f>IF($F1044="","",IF($E1044="",T1044,SUMIF(Sales!$E$7:$E$1506,$E1044,Sales!$T$7:$T$1506)))</f>
        <v/>
      </c>
      <c r="V1044" s="49" t="str">
        <f t="shared" si="15"/>
        <v/>
      </c>
      <c r="W1044" s="49" t="str">
        <f t="array" ref="W1044">IF($V1044="","",SUMPRODUCT((Sales!$V$7:$V$1506&lt;&gt;"")*(Sales!$E$7:$E$1506&lt;$E1044))+1)</f>
        <v/>
      </c>
      <c r="X1044" s="49" t="str">
        <f t="shared" si="16"/>
        <v/>
      </c>
      <c r="Y1044" s="49" t="str">
        <f t="shared" si="17"/>
        <v/>
      </c>
    </row>
    <row r="1045" ht="15.0" customHeight="1">
      <c r="A1045" s="82"/>
      <c r="B1045" s="83"/>
      <c r="C1045" s="83"/>
      <c r="D1045" s="83"/>
      <c r="E1045" s="83"/>
      <c r="F1045" s="83"/>
      <c r="G1045" s="83" t="str">
        <f>IF($F1045="","",IFERROR(VLOOKUP($F1045,Inventory!$A:$B,2,FALSE),""))</f>
        <v/>
      </c>
      <c r="H1045" s="83"/>
      <c r="I1045" s="84" t="str">
        <f t="shared" si="2"/>
        <v/>
      </c>
      <c r="J1045" s="85" t="str">
        <f>IF($F1045="","",IFERROR(VLOOKUP($F1045,Inventory!$A:$K,11,FALSE),0))</f>
        <v/>
      </c>
      <c r="K1045" s="85"/>
      <c r="L1045" s="85" t="str">
        <f t="shared" si="12"/>
        <v/>
      </c>
      <c r="M1045" s="83"/>
      <c r="N1045" s="85" t="str">
        <f>IF($F1045="","",IFERROR(VLOOKUP($F1045,Inventory!$A:$I,9,FALSE),0))</f>
        <v/>
      </c>
      <c r="O1045" s="85" t="str">
        <f t="shared" si="13"/>
        <v/>
      </c>
      <c r="P1045" s="85" t="str">
        <f t="shared" si="5"/>
        <v/>
      </c>
      <c r="Q1045" s="83"/>
      <c r="R1045" s="118" t="str">
        <f>IF($E1045="","",IF(COUNTIF($E$7:$E2242,$E1045)&gt;1,"",IFERROR(VLOOKUP($E1045,Orders!$A:$I,8,FALSE),"")))</f>
        <v/>
      </c>
      <c r="S1045" s="118" t="str">
        <f>IF($E1045="","",IF(COUNTIF($E$7:$E2242,$E1045)&gt;1,"",IFERROR(VLOOKUP($E1045,Orders!$A:$I,9,FALSE),"")))</f>
        <v/>
      </c>
      <c r="T1045" s="88" t="str">
        <f t="shared" si="14"/>
        <v/>
      </c>
      <c r="U1045" s="88" t="str">
        <f>IF($F1045="","",IF($E1045="",T1045,SUMIF(Sales!$E$7:$E$1506,$E1045,Sales!$T$7:$T$1506)))</f>
        <v/>
      </c>
      <c r="V1045" s="49" t="str">
        <f t="shared" si="15"/>
        <v/>
      </c>
      <c r="W1045" s="49" t="str">
        <f t="array" ref="W1045">IF($V1045="","",SUMPRODUCT((Sales!$V$7:$V$1506&lt;&gt;"")*(Sales!$E$7:$E$1506&lt;$E1045))+1)</f>
        <v/>
      </c>
      <c r="X1045" s="49" t="str">
        <f t="shared" si="16"/>
        <v/>
      </c>
      <c r="Y1045" s="49" t="str">
        <f t="shared" si="17"/>
        <v/>
      </c>
    </row>
    <row r="1046" ht="15.0" customHeight="1">
      <c r="A1046" s="82"/>
      <c r="B1046" s="83"/>
      <c r="C1046" s="83"/>
      <c r="D1046" s="83"/>
      <c r="E1046" s="83"/>
      <c r="F1046" s="83"/>
      <c r="G1046" s="83" t="str">
        <f>IF($F1046="","",IFERROR(VLOOKUP($F1046,Inventory!$A:$B,2,FALSE),""))</f>
        <v/>
      </c>
      <c r="H1046" s="83"/>
      <c r="I1046" s="84" t="str">
        <f t="shared" si="2"/>
        <v/>
      </c>
      <c r="J1046" s="85" t="str">
        <f>IF($F1046="","",IFERROR(VLOOKUP($F1046,Inventory!$A:$K,11,FALSE),0))</f>
        <v/>
      </c>
      <c r="K1046" s="85"/>
      <c r="L1046" s="85" t="str">
        <f t="shared" si="12"/>
        <v/>
      </c>
      <c r="M1046" s="83"/>
      <c r="N1046" s="85" t="str">
        <f>IF($F1046="","",IFERROR(VLOOKUP($F1046,Inventory!$A:$I,9,FALSE),0))</f>
        <v/>
      </c>
      <c r="O1046" s="85" t="str">
        <f t="shared" si="13"/>
        <v/>
      </c>
      <c r="P1046" s="85" t="str">
        <f t="shared" si="5"/>
        <v/>
      </c>
      <c r="Q1046" s="83"/>
      <c r="R1046" s="118" t="str">
        <f>IF($E1046="","",IF(COUNTIF($E$7:$E2243,$E1046)&gt;1,"",IFERROR(VLOOKUP($E1046,Orders!$A:$I,8,FALSE),"")))</f>
        <v/>
      </c>
      <c r="S1046" s="118" t="str">
        <f>IF($E1046="","",IF(COUNTIF($E$7:$E2243,$E1046)&gt;1,"",IFERROR(VLOOKUP($E1046,Orders!$A:$I,9,FALSE),"")))</f>
        <v/>
      </c>
      <c r="T1046" s="88" t="str">
        <f t="shared" si="14"/>
        <v/>
      </c>
      <c r="U1046" s="88" t="str">
        <f>IF($F1046="","",IF($E1046="",T1046,SUMIF(Sales!$E$7:$E$1506,$E1046,Sales!$T$7:$T$1506)))</f>
        <v/>
      </c>
      <c r="V1046" s="49" t="str">
        <f t="shared" si="15"/>
        <v/>
      </c>
      <c r="W1046" s="49" t="str">
        <f t="array" ref="W1046">IF($V1046="","",SUMPRODUCT((Sales!$V$7:$V$1506&lt;&gt;"")*(Sales!$E$7:$E$1506&lt;$E1046))+1)</f>
        <v/>
      </c>
      <c r="X1046" s="49" t="str">
        <f t="shared" si="16"/>
        <v/>
      </c>
      <c r="Y1046" s="49" t="str">
        <f t="shared" si="17"/>
        <v/>
      </c>
    </row>
    <row r="1047" ht="15.0" customHeight="1">
      <c r="A1047" s="82"/>
      <c r="B1047" s="83"/>
      <c r="C1047" s="83"/>
      <c r="D1047" s="83"/>
      <c r="E1047" s="83"/>
      <c r="F1047" s="83"/>
      <c r="G1047" s="83" t="str">
        <f>IF($F1047="","",IFERROR(VLOOKUP($F1047,Inventory!$A:$B,2,FALSE),""))</f>
        <v/>
      </c>
      <c r="H1047" s="83"/>
      <c r="I1047" s="84" t="str">
        <f t="shared" si="2"/>
        <v/>
      </c>
      <c r="J1047" s="85" t="str">
        <f>IF($F1047="","",IFERROR(VLOOKUP($F1047,Inventory!$A:$K,11,FALSE),0))</f>
        <v/>
      </c>
      <c r="K1047" s="85"/>
      <c r="L1047" s="85" t="str">
        <f t="shared" si="12"/>
        <v/>
      </c>
      <c r="M1047" s="83"/>
      <c r="N1047" s="85" t="str">
        <f>IF($F1047="","",IFERROR(VLOOKUP($F1047,Inventory!$A:$I,9,FALSE),0))</f>
        <v/>
      </c>
      <c r="O1047" s="85" t="str">
        <f t="shared" si="13"/>
        <v/>
      </c>
      <c r="P1047" s="85" t="str">
        <f t="shared" si="5"/>
        <v/>
      </c>
      <c r="Q1047" s="83"/>
      <c r="R1047" s="118" t="str">
        <f>IF($E1047="","",IF(COUNTIF($E$7:$E2244,$E1047)&gt;1,"",IFERROR(VLOOKUP($E1047,Orders!$A:$I,8,FALSE),"")))</f>
        <v/>
      </c>
      <c r="S1047" s="118" t="str">
        <f>IF($E1047="","",IF(COUNTIF($E$7:$E2244,$E1047)&gt;1,"",IFERROR(VLOOKUP($E1047,Orders!$A:$I,9,FALSE),"")))</f>
        <v/>
      </c>
      <c r="T1047" s="88" t="str">
        <f t="shared" si="14"/>
        <v/>
      </c>
      <c r="U1047" s="88" t="str">
        <f>IF($F1047="","",IF($E1047="",T1047,SUMIF(Sales!$E$7:$E$1506,$E1047,Sales!$T$7:$T$1506)))</f>
        <v/>
      </c>
      <c r="V1047" s="49" t="str">
        <f t="shared" si="15"/>
        <v/>
      </c>
      <c r="W1047" s="49" t="str">
        <f t="array" ref="W1047">IF($V1047="","",SUMPRODUCT((Sales!$V$7:$V$1506&lt;&gt;"")*(Sales!$E$7:$E$1506&lt;$E1047))+1)</f>
        <v/>
      </c>
      <c r="X1047" s="49" t="str">
        <f t="shared" si="16"/>
        <v/>
      </c>
      <c r="Y1047" s="49" t="str">
        <f t="shared" si="17"/>
        <v/>
      </c>
    </row>
    <row r="1048" ht="15.0" customHeight="1">
      <c r="A1048" s="82"/>
      <c r="B1048" s="83"/>
      <c r="C1048" s="83"/>
      <c r="D1048" s="83"/>
      <c r="E1048" s="83"/>
      <c r="F1048" s="83"/>
      <c r="G1048" s="83" t="str">
        <f>IF($F1048="","",IFERROR(VLOOKUP($F1048,Inventory!$A:$B,2,FALSE),""))</f>
        <v/>
      </c>
      <c r="H1048" s="83"/>
      <c r="I1048" s="84" t="str">
        <f t="shared" si="2"/>
        <v/>
      </c>
      <c r="J1048" s="85" t="str">
        <f>IF($F1048="","",IFERROR(VLOOKUP($F1048,Inventory!$A:$K,11,FALSE),0))</f>
        <v/>
      </c>
      <c r="K1048" s="85"/>
      <c r="L1048" s="85" t="str">
        <f t="shared" si="12"/>
        <v/>
      </c>
      <c r="M1048" s="83"/>
      <c r="N1048" s="85" t="str">
        <f>IF($F1048="","",IFERROR(VLOOKUP($F1048,Inventory!$A:$I,9,FALSE),0))</f>
        <v/>
      </c>
      <c r="O1048" s="85" t="str">
        <f t="shared" si="13"/>
        <v/>
      </c>
      <c r="P1048" s="85" t="str">
        <f t="shared" si="5"/>
        <v/>
      </c>
      <c r="Q1048" s="83"/>
      <c r="R1048" s="118" t="str">
        <f>IF($E1048="","",IF(COUNTIF($E$7:$E2245,$E1048)&gt;1,"",IFERROR(VLOOKUP($E1048,Orders!$A:$I,8,FALSE),"")))</f>
        <v/>
      </c>
      <c r="S1048" s="118" t="str">
        <f>IF($E1048="","",IF(COUNTIF($E$7:$E2245,$E1048)&gt;1,"",IFERROR(VLOOKUP($E1048,Orders!$A:$I,9,FALSE),"")))</f>
        <v/>
      </c>
      <c r="T1048" s="88" t="str">
        <f t="shared" si="14"/>
        <v/>
      </c>
      <c r="U1048" s="88" t="str">
        <f>IF($F1048="","",IF($E1048="",T1048,SUMIF(Sales!$E$7:$E$1506,$E1048,Sales!$T$7:$T$1506)))</f>
        <v/>
      </c>
      <c r="V1048" s="49" t="str">
        <f t="shared" si="15"/>
        <v/>
      </c>
      <c r="W1048" s="49" t="str">
        <f t="array" ref="W1048">IF($V1048="","",SUMPRODUCT((Sales!$V$7:$V$1506&lt;&gt;"")*(Sales!$E$7:$E$1506&lt;$E1048))+1)</f>
        <v/>
      </c>
      <c r="X1048" s="49" t="str">
        <f t="shared" si="16"/>
        <v/>
      </c>
      <c r="Y1048" s="49" t="str">
        <f t="shared" si="17"/>
        <v/>
      </c>
    </row>
    <row r="1049" ht="15.0" customHeight="1">
      <c r="A1049" s="82"/>
      <c r="B1049" s="83"/>
      <c r="C1049" s="83"/>
      <c r="D1049" s="83"/>
      <c r="E1049" s="83"/>
      <c r="F1049" s="83"/>
      <c r="G1049" s="83" t="str">
        <f>IF($F1049="","",IFERROR(VLOOKUP($F1049,Inventory!$A:$B,2,FALSE),""))</f>
        <v/>
      </c>
      <c r="H1049" s="83"/>
      <c r="I1049" s="84" t="str">
        <f t="shared" si="2"/>
        <v/>
      </c>
      <c r="J1049" s="85" t="str">
        <f>IF($F1049="","",IFERROR(VLOOKUP($F1049,Inventory!$A:$K,11,FALSE),0))</f>
        <v/>
      </c>
      <c r="K1049" s="85"/>
      <c r="L1049" s="85" t="str">
        <f t="shared" si="12"/>
        <v/>
      </c>
      <c r="M1049" s="83"/>
      <c r="N1049" s="85" t="str">
        <f>IF($F1049="","",IFERROR(VLOOKUP($F1049,Inventory!$A:$I,9,FALSE),0))</f>
        <v/>
      </c>
      <c r="O1049" s="85" t="str">
        <f t="shared" si="13"/>
        <v/>
      </c>
      <c r="P1049" s="85" t="str">
        <f t="shared" si="5"/>
        <v/>
      </c>
      <c r="Q1049" s="83"/>
      <c r="R1049" s="118" t="str">
        <f>IF($E1049="","",IF(COUNTIF($E$7:$E2246,$E1049)&gt;1,"",IFERROR(VLOOKUP($E1049,Orders!$A:$I,8,FALSE),"")))</f>
        <v/>
      </c>
      <c r="S1049" s="118" t="str">
        <f>IF($E1049="","",IF(COUNTIF($E$7:$E2246,$E1049)&gt;1,"",IFERROR(VLOOKUP($E1049,Orders!$A:$I,9,FALSE),"")))</f>
        <v/>
      </c>
      <c r="T1049" s="88" t="str">
        <f t="shared" si="14"/>
        <v/>
      </c>
      <c r="U1049" s="88" t="str">
        <f>IF($F1049="","",IF($E1049="",T1049,SUMIF(Sales!$E$7:$E$1506,$E1049,Sales!$T$7:$T$1506)))</f>
        <v/>
      </c>
      <c r="V1049" s="49" t="str">
        <f t="shared" si="15"/>
        <v/>
      </c>
      <c r="W1049" s="49" t="str">
        <f t="array" ref="W1049">IF($V1049="","",SUMPRODUCT((Sales!$V$7:$V$1506&lt;&gt;"")*(Sales!$E$7:$E$1506&lt;$E1049))+1)</f>
        <v/>
      </c>
      <c r="X1049" s="49" t="str">
        <f t="shared" si="16"/>
        <v/>
      </c>
      <c r="Y1049" s="49" t="str">
        <f t="shared" si="17"/>
        <v/>
      </c>
    </row>
    <row r="1050" ht="15.0" customHeight="1">
      <c r="A1050" s="82"/>
      <c r="B1050" s="83"/>
      <c r="C1050" s="83"/>
      <c r="D1050" s="83"/>
      <c r="E1050" s="83"/>
      <c r="F1050" s="83"/>
      <c r="G1050" s="83" t="str">
        <f>IF($F1050="","",IFERROR(VLOOKUP($F1050,Inventory!$A:$B,2,FALSE),""))</f>
        <v/>
      </c>
      <c r="H1050" s="83"/>
      <c r="I1050" s="84" t="str">
        <f t="shared" si="2"/>
        <v/>
      </c>
      <c r="J1050" s="85" t="str">
        <f>IF($F1050="","",IFERROR(VLOOKUP($F1050,Inventory!$A:$K,11,FALSE),0))</f>
        <v/>
      </c>
      <c r="K1050" s="85"/>
      <c r="L1050" s="85" t="str">
        <f t="shared" si="12"/>
        <v/>
      </c>
      <c r="M1050" s="83"/>
      <c r="N1050" s="85" t="str">
        <f>IF($F1050="","",IFERROR(VLOOKUP($F1050,Inventory!$A:$I,9,FALSE),0))</f>
        <v/>
      </c>
      <c r="O1050" s="85" t="str">
        <f t="shared" si="13"/>
        <v/>
      </c>
      <c r="P1050" s="85" t="str">
        <f t="shared" si="5"/>
        <v/>
      </c>
      <c r="Q1050" s="83"/>
      <c r="R1050" s="118" t="str">
        <f>IF($E1050="","",IF(COUNTIF($E$7:$E2247,$E1050)&gt;1,"",IFERROR(VLOOKUP($E1050,Orders!$A:$I,8,FALSE),"")))</f>
        <v/>
      </c>
      <c r="S1050" s="118" t="str">
        <f>IF($E1050="","",IF(COUNTIF($E$7:$E2247,$E1050)&gt;1,"",IFERROR(VLOOKUP($E1050,Orders!$A:$I,9,FALSE),"")))</f>
        <v/>
      </c>
      <c r="T1050" s="88" t="str">
        <f t="shared" si="14"/>
        <v/>
      </c>
      <c r="U1050" s="88" t="str">
        <f>IF($F1050="","",IF($E1050="",T1050,SUMIF(Sales!$E$7:$E$1506,$E1050,Sales!$T$7:$T$1506)))</f>
        <v/>
      </c>
      <c r="V1050" s="49" t="str">
        <f t="shared" si="15"/>
        <v/>
      </c>
      <c r="W1050" s="49" t="str">
        <f t="array" ref="W1050">IF($V1050="","",SUMPRODUCT((Sales!$V$7:$V$1506&lt;&gt;"")*(Sales!$E$7:$E$1506&lt;$E1050))+1)</f>
        <v/>
      </c>
      <c r="X1050" s="49" t="str">
        <f t="shared" si="16"/>
        <v/>
      </c>
      <c r="Y1050" s="49" t="str">
        <f t="shared" si="17"/>
        <v/>
      </c>
    </row>
    <row r="1051" ht="15.0" customHeight="1">
      <c r="A1051" s="82"/>
      <c r="B1051" s="83"/>
      <c r="C1051" s="83"/>
      <c r="D1051" s="83"/>
      <c r="E1051" s="83"/>
      <c r="F1051" s="83"/>
      <c r="G1051" s="83" t="str">
        <f>IF($F1051="","",IFERROR(VLOOKUP($F1051,Inventory!$A:$B,2,FALSE),""))</f>
        <v/>
      </c>
      <c r="H1051" s="83"/>
      <c r="I1051" s="84" t="str">
        <f t="shared" si="2"/>
        <v/>
      </c>
      <c r="J1051" s="85" t="str">
        <f>IF($F1051="","",IFERROR(VLOOKUP($F1051,Inventory!$A:$K,11,FALSE),0))</f>
        <v/>
      </c>
      <c r="K1051" s="85"/>
      <c r="L1051" s="85" t="str">
        <f t="shared" si="12"/>
        <v/>
      </c>
      <c r="M1051" s="83"/>
      <c r="N1051" s="85" t="str">
        <f>IF($F1051="","",IFERROR(VLOOKUP($F1051,Inventory!$A:$I,9,FALSE),0))</f>
        <v/>
      </c>
      <c r="O1051" s="85" t="str">
        <f t="shared" si="13"/>
        <v/>
      </c>
      <c r="P1051" s="85" t="str">
        <f t="shared" si="5"/>
        <v/>
      </c>
      <c r="Q1051" s="83"/>
      <c r="R1051" s="118" t="str">
        <f>IF($E1051="","",IF(COUNTIF($E$7:$E2248,$E1051)&gt;1,"",IFERROR(VLOOKUP($E1051,Orders!$A:$I,8,FALSE),"")))</f>
        <v/>
      </c>
      <c r="S1051" s="118" t="str">
        <f>IF($E1051="","",IF(COUNTIF($E$7:$E2248,$E1051)&gt;1,"",IFERROR(VLOOKUP($E1051,Orders!$A:$I,9,FALSE),"")))</f>
        <v/>
      </c>
      <c r="T1051" s="88" t="str">
        <f t="shared" si="14"/>
        <v/>
      </c>
      <c r="U1051" s="88" t="str">
        <f>IF($F1051="","",IF($E1051="",T1051,SUMIF(Sales!$E$7:$E$1506,$E1051,Sales!$T$7:$T$1506)))</f>
        <v/>
      </c>
      <c r="V1051" s="49" t="str">
        <f t="shared" si="15"/>
        <v/>
      </c>
      <c r="W1051" s="49" t="str">
        <f t="array" ref="W1051">IF($V1051="","",SUMPRODUCT((Sales!$V$7:$V$1506&lt;&gt;"")*(Sales!$E$7:$E$1506&lt;$E1051))+1)</f>
        <v/>
      </c>
      <c r="X1051" s="49" t="str">
        <f t="shared" si="16"/>
        <v/>
      </c>
      <c r="Y1051" s="49" t="str">
        <f t="shared" si="17"/>
        <v/>
      </c>
    </row>
    <row r="1052" ht="15.0" customHeight="1">
      <c r="A1052" s="82"/>
      <c r="B1052" s="83"/>
      <c r="C1052" s="83"/>
      <c r="D1052" s="83"/>
      <c r="E1052" s="83"/>
      <c r="F1052" s="83"/>
      <c r="G1052" s="83" t="str">
        <f>IF($F1052="","",IFERROR(VLOOKUP($F1052,Inventory!$A:$B,2,FALSE),""))</f>
        <v/>
      </c>
      <c r="H1052" s="83"/>
      <c r="I1052" s="84" t="str">
        <f t="shared" si="2"/>
        <v/>
      </c>
      <c r="J1052" s="85" t="str">
        <f>IF($F1052="","",IFERROR(VLOOKUP($F1052,Inventory!$A:$K,11,FALSE),0))</f>
        <v/>
      </c>
      <c r="K1052" s="85"/>
      <c r="L1052" s="85" t="str">
        <f t="shared" si="12"/>
        <v/>
      </c>
      <c r="M1052" s="83"/>
      <c r="N1052" s="85" t="str">
        <f>IF($F1052="","",IFERROR(VLOOKUP($F1052,Inventory!$A:$I,9,FALSE),0))</f>
        <v/>
      </c>
      <c r="O1052" s="85" t="str">
        <f t="shared" si="13"/>
        <v/>
      </c>
      <c r="P1052" s="85" t="str">
        <f t="shared" si="5"/>
        <v/>
      </c>
      <c r="Q1052" s="83"/>
      <c r="R1052" s="118" t="str">
        <f>IF($E1052="","",IF(COUNTIF($E$7:$E2249,$E1052)&gt;1,"",IFERROR(VLOOKUP($E1052,Orders!$A:$I,8,FALSE),"")))</f>
        <v/>
      </c>
      <c r="S1052" s="118" t="str">
        <f>IF($E1052="","",IF(COUNTIF($E$7:$E2249,$E1052)&gt;1,"",IFERROR(VLOOKUP($E1052,Orders!$A:$I,9,FALSE),"")))</f>
        <v/>
      </c>
      <c r="T1052" s="88" t="str">
        <f t="shared" si="14"/>
        <v/>
      </c>
      <c r="U1052" s="88" t="str">
        <f>IF($F1052="","",IF($E1052="",T1052,SUMIF(Sales!$E$7:$E$1506,$E1052,Sales!$T$7:$T$1506)))</f>
        <v/>
      </c>
      <c r="V1052" s="49" t="str">
        <f t="shared" si="15"/>
        <v/>
      </c>
      <c r="W1052" s="49" t="str">
        <f t="array" ref="W1052">IF($V1052="","",SUMPRODUCT((Sales!$V$7:$V$1506&lt;&gt;"")*(Sales!$E$7:$E$1506&lt;$E1052))+1)</f>
        <v/>
      </c>
      <c r="X1052" s="49" t="str">
        <f t="shared" si="16"/>
        <v/>
      </c>
      <c r="Y1052" s="49" t="str">
        <f t="shared" si="17"/>
        <v/>
      </c>
    </row>
    <row r="1053" ht="15.0" customHeight="1">
      <c r="A1053" s="82"/>
      <c r="B1053" s="83"/>
      <c r="C1053" s="83"/>
      <c r="D1053" s="83"/>
      <c r="E1053" s="83"/>
      <c r="F1053" s="83"/>
      <c r="G1053" s="83" t="str">
        <f>IF($F1053="","",IFERROR(VLOOKUP($F1053,Inventory!$A:$B,2,FALSE),""))</f>
        <v/>
      </c>
      <c r="H1053" s="83"/>
      <c r="I1053" s="84" t="str">
        <f t="shared" si="2"/>
        <v/>
      </c>
      <c r="J1053" s="85" t="str">
        <f>IF($F1053="","",IFERROR(VLOOKUP($F1053,Inventory!$A:$K,11,FALSE),0))</f>
        <v/>
      </c>
      <c r="K1053" s="85"/>
      <c r="L1053" s="85" t="str">
        <f t="shared" si="12"/>
        <v/>
      </c>
      <c r="M1053" s="83"/>
      <c r="N1053" s="85" t="str">
        <f>IF($F1053="","",IFERROR(VLOOKUP($F1053,Inventory!$A:$I,9,FALSE),0))</f>
        <v/>
      </c>
      <c r="O1053" s="85" t="str">
        <f t="shared" si="13"/>
        <v/>
      </c>
      <c r="P1053" s="85" t="str">
        <f t="shared" si="5"/>
        <v/>
      </c>
      <c r="Q1053" s="83"/>
      <c r="R1053" s="118" t="str">
        <f>IF($E1053="","",IF(COUNTIF($E$7:$E2250,$E1053)&gt;1,"",IFERROR(VLOOKUP($E1053,Orders!$A:$I,8,FALSE),"")))</f>
        <v/>
      </c>
      <c r="S1053" s="118" t="str">
        <f>IF($E1053="","",IF(COUNTIF($E$7:$E2250,$E1053)&gt;1,"",IFERROR(VLOOKUP($E1053,Orders!$A:$I,9,FALSE),"")))</f>
        <v/>
      </c>
      <c r="T1053" s="88" t="str">
        <f t="shared" si="14"/>
        <v/>
      </c>
      <c r="U1053" s="88" t="str">
        <f>IF($F1053="","",IF($E1053="",T1053,SUMIF(Sales!$E$7:$E$1506,$E1053,Sales!$T$7:$T$1506)))</f>
        <v/>
      </c>
      <c r="V1053" s="49" t="str">
        <f t="shared" si="15"/>
        <v/>
      </c>
      <c r="W1053" s="49" t="str">
        <f t="array" ref="W1053">IF($V1053="","",SUMPRODUCT((Sales!$V$7:$V$1506&lt;&gt;"")*(Sales!$E$7:$E$1506&lt;$E1053))+1)</f>
        <v/>
      </c>
      <c r="X1053" s="49" t="str">
        <f t="shared" si="16"/>
        <v/>
      </c>
      <c r="Y1053" s="49" t="str">
        <f t="shared" si="17"/>
        <v/>
      </c>
    </row>
    <row r="1054" ht="15.0" customHeight="1">
      <c r="A1054" s="82"/>
      <c r="B1054" s="83"/>
      <c r="C1054" s="83"/>
      <c r="D1054" s="83"/>
      <c r="E1054" s="83"/>
      <c r="F1054" s="83"/>
      <c r="G1054" s="83" t="str">
        <f>IF($F1054="","",IFERROR(VLOOKUP($F1054,Inventory!$A:$B,2,FALSE),""))</f>
        <v/>
      </c>
      <c r="H1054" s="83"/>
      <c r="I1054" s="84" t="str">
        <f t="shared" si="2"/>
        <v/>
      </c>
      <c r="J1054" s="85" t="str">
        <f>IF($F1054="","",IFERROR(VLOOKUP($F1054,Inventory!$A:$K,11,FALSE),0))</f>
        <v/>
      </c>
      <c r="K1054" s="85"/>
      <c r="L1054" s="85" t="str">
        <f t="shared" si="12"/>
        <v/>
      </c>
      <c r="M1054" s="83"/>
      <c r="N1054" s="85" t="str">
        <f>IF($F1054="","",IFERROR(VLOOKUP($F1054,Inventory!$A:$I,9,FALSE),0))</f>
        <v/>
      </c>
      <c r="O1054" s="85" t="str">
        <f t="shared" si="13"/>
        <v/>
      </c>
      <c r="P1054" s="85" t="str">
        <f t="shared" si="5"/>
        <v/>
      </c>
      <c r="Q1054" s="83"/>
      <c r="R1054" s="118" t="str">
        <f>IF($E1054="","",IF(COUNTIF($E$7:$E2251,$E1054)&gt;1,"",IFERROR(VLOOKUP($E1054,Orders!$A:$I,8,FALSE),"")))</f>
        <v/>
      </c>
      <c r="S1054" s="118" t="str">
        <f>IF($E1054="","",IF(COUNTIF($E$7:$E2251,$E1054)&gt;1,"",IFERROR(VLOOKUP($E1054,Orders!$A:$I,9,FALSE),"")))</f>
        <v/>
      </c>
      <c r="T1054" s="88" t="str">
        <f t="shared" si="14"/>
        <v/>
      </c>
      <c r="U1054" s="88" t="str">
        <f>IF($F1054="","",IF($E1054="",T1054,SUMIF(Sales!$E$7:$E$1506,$E1054,Sales!$T$7:$T$1506)))</f>
        <v/>
      </c>
      <c r="V1054" s="49" t="str">
        <f t="shared" si="15"/>
        <v/>
      </c>
      <c r="W1054" s="49" t="str">
        <f t="array" ref="W1054">IF($V1054="","",SUMPRODUCT((Sales!$V$7:$V$1506&lt;&gt;"")*(Sales!$E$7:$E$1506&lt;$E1054))+1)</f>
        <v/>
      </c>
      <c r="X1054" s="49" t="str">
        <f t="shared" si="16"/>
        <v/>
      </c>
      <c r="Y1054" s="49" t="str">
        <f t="shared" si="17"/>
        <v/>
      </c>
    </row>
    <row r="1055" ht="15.0" customHeight="1">
      <c r="A1055" s="82"/>
      <c r="B1055" s="83"/>
      <c r="C1055" s="83"/>
      <c r="D1055" s="83"/>
      <c r="E1055" s="83"/>
      <c r="F1055" s="83"/>
      <c r="G1055" s="83" t="str">
        <f>IF($F1055="","",IFERROR(VLOOKUP($F1055,Inventory!$A:$B,2,FALSE),""))</f>
        <v/>
      </c>
      <c r="H1055" s="83"/>
      <c r="I1055" s="84" t="str">
        <f t="shared" si="2"/>
        <v/>
      </c>
      <c r="J1055" s="85" t="str">
        <f>IF($F1055="","",IFERROR(VLOOKUP($F1055,Inventory!$A:$K,11,FALSE),0))</f>
        <v/>
      </c>
      <c r="K1055" s="85"/>
      <c r="L1055" s="85" t="str">
        <f t="shared" si="12"/>
        <v/>
      </c>
      <c r="M1055" s="83"/>
      <c r="N1055" s="85" t="str">
        <f>IF($F1055="","",IFERROR(VLOOKUP($F1055,Inventory!$A:$I,9,FALSE),0))</f>
        <v/>
      </c>
      <c r="O1055" s="85" t="str">
        <f t="shared" si="13"/>
        <v/>
      </c>
      <c r="P1055" s="85" t="str">
        <f t="shared" si="5"/>
        <v/>
      </c>
      <c r="Q1055" s="83"/>
      <c r="R1055" s="118" t="str">
        <f>IF($E1055="","",IF(COUNTIF($E$7:$E2252,$E1055)&gt;1,"",IFERROR(VLOOKUP($E1055,Orders!$A:$I,8,FALSE),"")))</f>
        <v/>
      </c>
      <c r="S1055" s="118" t="str">
        <f>IF($E1055="","",IF(COUNTIF($E$7:$E2252,$E1055)&gt;1,"",IFERROR(VLOOKUP($E1055,Orders!$A:$I,9,FALSE),"")))</f>
        <v/>
      </c>
      <c r="T1055" s="88" t="str">
        <f t="shared" si="14"/>
        <v/>
      </c>
      <c r="U1055" s="88" t="str">
        <f>IF($F1055="","",IF($E1055="",T1055,SUMIF(Sales!$E$7:$E$1506,$E1055,Sales!$T$7:$T$1506)))</f>
        <v/>
      </c>
      <c r="V1055" s="49" t="str">
        <f t="shared" si="15"/>
        <v/>
      </c>
      <c r="W1055" s="49" t="str">
        <f t="array" ref="W1055">IF($V1055="","",SUMPRODUCT((Sales!$V$7:$V$1506&lt;&gt;"")*(Sales!$E$7:$E$1506&lt;$E1055))+1)</f>
        <v/>
      </c>
      <c r="X1055" s="49" t="str">
        <f t="shared" si="16"/>
        <v/>
      </c>
      <c r="Y1055" s="49" t="str">
        <f t="shared" si="17"/>
        <v/>
      </c>
    </row>
    <row r="1056" ht="15.0" customHeight="1">
      <c r="A1056" s="82"/>
      <c r="B1056" s="83"/>
      <c r="C1056" s="83"/>
      <c r="D1056" s="83"/>
      <c r="E1056" s="83"/>
      <c r="F1056" s="83"/>
      <c r="G1056" s="83" t="str">
        <f>IF($F1056="","",IFERROR(VLOOKUP($F1056,Inventory!$A:$B,2,FALSE),""))</f>
        <v/>
      </c>
      <c r="H1056" s="83"/>
      <c r="I1056" s="84" t="str">
        <f t="shared" si="2"/>
        <v/>
      </c>
      <c r="J1056" s="85" t="str">
        <f>IF($F1056="","",IFERROR(VLOOKUP($F1056,Inventory!$A:$K,11,FALSE),0))</f>
        <v/>
      </c>
      <c r="K1056" s="85"/>
      <c r="L1056" s="85" t="str">
        <f t="shared" si="12"/>
        <v/>
      </c>
      <c r="M1056" s="83"/>
      <c r="N1056" s="85" t="str">
        <f>IF($F1056="","",IFERROR(VLOOKUP($F1056,Inventory!$A:$I,9,FALSE),0))</f>
        <v/>
      </c>
      <c r="O1056" s="85" t="str">
        <f t="shared" si="13"/>
        <v/>
      </c>
      <c r="P1056" s="85" t="str">
        <f t="shared" si="5"/>
        <v/>
      </c>
      <c r="Q1056" s="83"/>
      <c r="R1056" s="118" t="str">
        <f>IF($E1056="","",IF(COUNTIF($E$7:$E2253,$E1056)&gt;1,"",IFERROR(VLOOKUP($E1056,Orders!$A:$I,8,FALSE),"")))</f>
        <v/>
      </c>
      <c r="S1056" s="118" t="str">
        <f>IF($E1056="","",IF(COUNTIF($E$7:$E2253,$E1056)&gt;1,"",IFERROR(VLOOKUP($E1056,Orders!$A:$I,9,FALSE),"")))</f>
        <v/>
      </c>
      <c r="T1056" s="88" t="str">
        <f t="shared" si="14"/>
        <v/>
      </c>
      <c r="U1056" s="88" t="str">
        <f>IF($F1056="","",IF($E1056="",T1056,SUMIF(Sales!$E$7:$E$1506,$E1056,Sales!$T$7:$T$1506)))</f>
        <v/>
      </c>
      <c r="V1056" s="49" t="str">
        <f t="shared" si="15"/>
        <v/>
      </c>
      <c r="W1056" s="49" t="str">
        <f t="array" ref="W1056">IF($V1056="","",SUMPRODUCT((Sales!$V$7:$V$1506&lt;&gt;"")*(Sales!$E$7:$E$1506&lt;$E1056))+1)</f>
        <v/>
      </c>
      <c r="X1056" s="49" t="str">
        <f t="shared" si="16"/>
        <v/>
      </c>
      <c r="Y1056" s="49" t="str">
        <f t="shared" si="17"/>
        <v/>
      </c>
    </row>
    <row r="1057" ht="15.0" customHeight="1">
      <c r="A1057" s="82"/>
      <c r="B1057" s="83"/>
      <c r="C1057" s="83"/>
      <c r="D1057" s="83"/>
      <c r="E1057" s="83"/>
      <c r="F1057" s="83"/>
      <c r="G1057" s="83" t="str">
        <f>IF($F1057="","",IFERROR(VLOOKUP($F1057,Inventory!$A:$B,2,FALSE),""))</f>
        <v/>
      </c>
      <c r="H1057" s="83"/>
      <c r="I1057" s="84" t="str">
        <f t="shared" si="2"/>
        <v/>
      </c>
      <c r="J1057" s="85" t="str">
        <f>IF($F1057="","",IFERROR(VLOOKUP($F1057,Inventory!$A:$K,11,FALSE),0))</f>
        <v/>
      </c>
      <c r="K1057" s="85"/>
      <c r="L1057" s="85" t="str">
        <f t="shared" si="12"/>
        <v/>
      </c>
      <c r="M1057" s="83"/>
      <c r="N1057" s="85" t="str">
        <f>IF($F1057="","",IFERROR(VLOOKUP($F1057,Inventory!$A:$I,9,FALSE),0))</f>
        <v/>
      </c>
      <c r="O1057" s="85" t="str">
        <f t="shared" si="13"/>
        <v/>
      </c>
      <c r="P1057" s="85" t="str">
        <f t="shared" si="5"/>
        <v/>
      </c>
      <c r="Q1057" s="83"/>
      <c r="R1057" s="118" t="str">
        <f>IF($E1057="","",IF(COUNTIF($E$7:$E2254,$E1057)&gt;1,"",IFERROR(VLOOKUP($E1057,Orders!$A:$I,8,FALSE),"")))</f>
        <v/>
      </c>
      <c r="S1057" s="118" t="str">
        <f>IF($E1057="","",IF(COUNTIF($E$7:$E2254,$E1057)&gt;1,"",IFERROR(VLOOKUP($E1057,Orders!$A:$I,9,FALSE),"")))</f>
        <v/>
      </c>
      <c r="T1057" s="88" t="str">
        <f t="shared" si="14"/>
        <v/>
      </c>
      <c r="U1057" s="88" t="str">
        <f>IF($F1057="","",IF($E1057="",T1057,SUMIF(Sales!$E$7:$E$1506,$E1057,Sales!$T$7:$T$1506)))</f>
        <v/>
      </c>
      <c r="V1057" s="49" t="str">
        <f t="shared" si="15"/>
        <v/>
      </c>
      <c r="W1057" s="49" t="str">
        <f t="array" ref="W1057">IF($V1057="","",SUMPRODUCT((Sales!$V$7:$V$1506&lt;&gt;"")*(Sales!$E$7:$E$1506&lt;$E1057))+1)</f>
        <v/>
      </c>
      <c r="X1057" s="49" t="str">
        <f t="shared" si="16"/>
        <v/>
      </c>
      <c r="Y1057" s="49" t="str">
        <f t="shared" si="17"/>
        <v/>
      </c>
    </row>
    <row r="1058" ht="15.0" customHeight="1">
      <c r="A1058" s="82"/>
      <c r="B1058" s="83"/>
      <c r="C1058" s="83"/>
      <c r="D1058" s="83"/>
      <c r="E1058" s="83"/>
      <c r="F1058" s="83"/>
      <c r="G1058" s="83" t="str">
        <f>IF($F1058="","",IFERROR(VLOOKUP($F1058,Inventory!$A:$B,2,FALSE),""))</f>
        <v/>
      </c>
      <c r="H1058" s="83"/>
      <c r="I1058" s="84" t="str">
        <f t="shared" si="2"/>
        <v/>
      </c>
      <c r="J1058" s="85" t="str">
        <f>IF($F1058="","",IFERROR(VLOOKUP($F1058,Inventory!$A:$K,11,FALSE),0))</f>
        <v/>
      </c>
      <c r="K1058" s="85"/>
      <c r="L1058" s="85" t="str">
        <f t="shared" si="12"/>
        <v/>
      </c>
      <c r="M1058" s="83"/>
      <c r="N1058" s="85" t="str">
        <f>IF($F1058="","",IFERROR(VLOOKUP($F1058,Inventory!$A:$I,9,FALSE),0))</f>
        <v/>
      </c>
      <c r="O1058" s="85" t="str">
        <f t="shared" si="13"/>
        <v/>
      </c>
      <c r="P1058" s="85" t="str">
        <f t="shared" si="5"/>
        <v/>
      </c>
      <c r="Q1058" s="83"/>
      <c r="R1058" s="118" t="str">
        <f>IF($E1058="","",IF(COUNTIF($E$7:$E2255,$E1058)&gt;1,"",IFERROR(VLOOKUP($E1058,Orders!$A:$I,8,FALSE),"")))</f>
        <v/>
      </c>
      <c r="S1058" s="118" t="str">
        <f>IF($E1058="","",IF(COUNTIF($E$7:$E2255,$E1058)&gt;1,"",IFERROR(VLOOKUP($E1058,Orders!$A:$I,9,FALSE),"")))</f>
        <v/>
      </c>
      <c r="T1058" s="88" t="str">
        <f t="shared" si="14"/>
        <v/>
      </c>
      <c r="U1058" s="88" t="str">
        <f>IF($F1058="","",IF($E1058="",T1058,SUMIF(Sales!$E$7:$E$1506,$E1058,Sales!$T$7:$T$1506)))</f>
        <v/>
      </c>
      <c r="V1058" s="49" t="str">
        <f t="shared" si="15"/>
        <v/>
      </c>
      <c r="W1058" s="49" t="str">
        <f t="array" ref="W1058">IF($V1058="","",SUMPRODUCT((Sales!$V$7:$V$1506&lt;&gt;"")*(Sales!$E$7:$E$1506&lt;$E1058))+1)</f>
        <v/>
      </c>
      <c r="X1058" s="49" t="str">
        <f t="shared" si="16"/>
        <v/>
      </c>
      <c r="Y1058" s="49" t="str">
        <f t="shared" si="17"/>
        <v/>
      </c>
    </row>
    <row r="1059" ht="15.0" customHeight="1">
      <c r="A1059" s="82"/>
      <c r="B1059" s="83"/>
      <c r="C1059" s="83"/>
      <c r="D1059" s="83"/>
      <c r="E1059" s="83"/>
      <c r="F1059" s="83"/>
      <c r="G1059" s="83" t="str">
        <f>IF($F1059="","",IFERROR(VLOOKUP($F1059,Inventory!$A:$B,2,FALSE),""))</f>
        <v/>
      </c>
      <c r="H1059" s="83"/>
      <c r="I1059" s="84" t="str">
        <f t="shared" si="2"/>
        <v/>
      </c>
      <c r="J1059" s="85" t="str">
        <f>IF($F1059="","",IFERROR(VLOOKUP($F1059,Inventory!$A:$K,11,FALSE),0))</f>
        <v/>
      </c>
      <c r="K1059" s="85"/>
      <c r="L1059" s="85" t="str">
        <f t="shared" si="12"/>
        <v/>
      </c>
      <c r="M1059" s="83"/>
      <c r="N1059" s="85" t="str">
        <f>IF($F1059="","",IFERROR(VLOOKUP($F1059,Inventory!$A:$I,9,FALSE),0))</f>
        <v/>
      </c>
      <c r="O1059" s="85" t="str">
        <f t="shared" si="13"/>
        <v/>
      </c>
      <c r="P1059" s="85" t="str">
        <f t="shared" si="5"/>
        <v/>
      </c>
      <c r="Q1059" s="83"/>
      <c r="R1059" s="118" t="str">
        <f>IF($E1059="","",IF(COUNTIF($E$7:$E2256,$E1059)&gt;1,"",IFERROR(VLOOKUP($E1059,Orders!$A:$I,8,FALSE),"")))</f>
        <v/>
      </c>
      <c r="S1059" s="118" t="str">
        <f>IF($E1059="","",IF(COUNTIF($E$7:$E2256,$E1059)&gt;1,"",IFERROR(VLOOKUP($E1059,Orders!$A:$I,9,FALSE),"")))</f>
        <v/>
      </c>
      <c r="T1059" s="88" t="str">
        <f t="shared" si="14"/>
        <v/>
      </c>
      <c r="U1059" s="88" t="str">
        <f>IF($F1059="","",IF($E1059="",T1059,SUMIF(Sales!$E$7:$E$1506,$E1059,Sales!$T$7:$T$1506)))</f>
        <v/>
      </c>
      <c r="V1059" s="49" t="str">
        <f t="shared" si="15"/>
        <v/>
      </c>
      <c r="W1059" s="49" t="str">
        <f t="array" ref="W1059">IF($V1059="","",SUMPRODUCT((Sales!$V$7:$V$1506&lt;&gt;"")*(Sales!$E$7:$E$1506&lt;$E1059))+1)</f>
        <v/>
      </c>
      <c r="X1059" s="49" t="str">
        <f t="shared" si="16"/>
        <v/>
      </c>
      <c r="Y1059" s="49" t="str">
        <f t="shared" si="17"/>
        <v/>
      </c>
    </row>
    <row r="1060" ht="15.0" customHeight="1">
      <c r="A1060" s="82"/>
      <c r="B1060" s="83"/>
      <c r="C1060" s="83"/>
      <c r="D1060" s="83"/>
      <c r="E1060" s="83"/>
      <c r="F1060" s="83"/>
      <c r="G1060" s="83" t="str">
        <f>IF($F1060="","",IFERROR(VLOOKUP($F1060,Inventory!$A:$B,2,FALSE),""))</f>
        <v/>
      </c>
      <c r="H1060" s="83"/>
      <c r="I1060" s="84" t="str">
        <f t="shared" si="2"/>
        <v/>
      </c>
      <c r="J1060" s="85" t="str">
        <f>IF($F1060="","",IFERROR(VLOOKUP($F1060,Inventory!$A:$K,11,FALSE),0))</f>
        <v/>
      </c>
      <c r="K1060" s="85"/>
      <c r="L1060" s="85" t="str">
        <f t="shared" si="12"/>
        <v/>
      </c>
      <c r="M1060" s="83"/>
      <c r="N1060" s="85" t="str">
        <f>IF($F1060="","",IFERROR(VLOOKUP($F1060,Inventory!$A:$I,9,FALSE),0))</f>
        <v/>
      </c>
      <c r="O1060" s="85" t="str">
        <f t="shared" si="13"/>
        <v/>
      </c>
      <c r="P1060" s="85" t="str">
        <f t="shared" si="5"/>
        <v/>
      </c>
      <c r="Q1060" s="83"/>
      <c r="R1060" s="118" t="str">
        <f>IF($E1060="","",IF(COUNTIF($E$7:$E2257,$E1060)&gt;1,"",IFERROR(VLOOKUP($E1060,Orders!$A:$I,8,FALSE),"")))</f>
        <v/>
      </c>
      <c r="S1060" s="118" t="str">
        <f>IF($E1060="","",IF(COUNTIF($E$7:$E2257,$E1060)&gt;1,"",IFERROR(VLOOKUP($E1060,Orders!$A:$I,9,FALSE),"")))</f>
        <v/>
      </c>
      <c r="T1060" s="88" t="str">
        <f t="shared" si="14"/>
        <v/>
      </c>
      <c r="U1060" s="88" t="str">
        <f>IF($F1060="","",IF($E1060="",T1060,SUMIF(Sales!$E$7:$E$1506,$E1060,Sales!$T$7:$T$1506)))</f>
        <v/>
      </c>
      <c r="V1060" s="49" t="str">
        <f t="shared" si="15"/>
        <v/>
      </c>
      <c r="W1060" s="49" t="str">
        <f t="array" ref="W1060">IF($V1060="","",SUMPRODUCT((Sales!$V$7:$V$1506&lt;&gt;"")*(Sales!$E$7:$E$1506&lt;$E1060))+1)</f>
        <v/>
      </c>
      <c r="X1060" s="49" t="str">
        <f t="shared" si="16"/>
        <v/>
      </c>
      <c r="Y1060" s="49" t="str">
        <f t="shared" si="17"/>
        <v/>
      </c>
    </row>
    <row r="1061" ht="15.0" customHeight="1">
      <c r="A1061" s="82"/>
      <c r="B1061" s="83"/>
      <c r="C1061" s="83"/>
      <c r="D1061" s="83"/>
      <c r="E1061" s="83"/>
      <c r="F1061" s="83"/>
      <c r="G1061" s="83" t="str">
        <f>IF($F1061="","",IFERROR(VLOOKUP($F1061,Inventory!$A:$B,2,FALSE),""))</f>
        <v/>
      </c>
      <c r="H1061" s="83"/>
      <c r="I1061" s="84" t="str">
        <f t="shared" si="2"/>
        <v/>
      </c>
      <c r="J1061" s="85" t="str">
        <f>IF($F1061="","",IFERROR(VLOOKUP($F1061,Inventory!$A:$K,11,FALSE),0))</f>
        <v/>
      </c>
      <c r="K1061" s="85"/>
      <c r="L1061" s="85" t="str">
        <f t="shared" si="12"/>
        <v/>
      </c>
      <c r="M1061" s="83"/>
      <c r="N1061" s="85" t="str">
        <f>IF($F1061="","",IFERROR(VLOOKUP($F1061,Inventory!$A:$I,9,FALSE),0))</f>
        <v/>
      </c>
      <c r="O1061" s="85" t="str">
        <f t="shared" si="13"/>
        <v/>
      </c>
      <c r="P1061" s="85" t="str">
        <f t="shared" si="5"/>
        <v/>
      </c>
      <c r="Q1061" s="83"/>
      <c r="R1061" s="118" t="str">
        <f>IF($E1061="","",IF(COUNTIF($E$7:$E2258,$E1061)&gt;1,"",IFERROR(VLOOKUP($E1061,Orders!$A:$I,8,FALSE),"")))</f>
        <v/>
      </c>
      <c r="S1061" s="118" t="str">
        <f>IF($E1061="","",IF(COUNTIF($E$7:$E2258,$E1061)&gt;1,"",IFERROR(VLOOKUP($E1061,Orders!$A:$I,9,FALSE),"")))</f>
        <v/>
      </c>
      <c r="T1061" s="88" t="str">
        <f t="shared" si="14"/>
        <v/>
      </c>
      <c r="U1061" s="88" t="str">
        <f>IF($F1061="","",IF($E1061="",T1061,SUMIF(Sales!$E$7:$E$1506,$E1061,Sales!$T$7:$T$1506)))</f>
        <v/>
      </c>
      <c r="V1061" s="49" t="str">
        <f t="shared" si="15"/>
        <v/>
      </c>
      <c r="W1061" s="49" t="str">
        <f t="array" ref="W1061">IF($V1061="","",SUMPRODUCT((Sales!$V$7:$V$1506&lt;&gt;"")*(Sales!$E$7:$E$1506&lt;$E1061))+1)</f>
        <v/>
      </c>
      <c r="X1061" s="49" t="str">
        <f t="shared" si="16"/>
        <v/>
      </c>
      <c r="Y1061" s="49" t="str">
        <f t="shared" si="17"/>
        <v/>
      </c>
    </row>
    <row r="1062" ht="15.0" customHeight="1">
      <c r="A1062" s="82"/>
      <c r="B1062" s="83"/>
      <c r="C1062" s="83"/>
      <c r="D1062" s="83"/>
      <c r="E1062" s="83"/>
      <c r="F1062" s="83"/>
      <c r="G1062" s="83" t="str">
        <f>IF($F1062="","",IFERROR(VLOOKUP($F1062,Inventory!$A:$B,2,FALSE),""))</f>
        <v/>
      </c>
      <c r="H1062" s="83"/>
      <c r="I1062" s="84" t="str">
        <f t="shared" si="2"/>
        <v/>
      </c>
      <c r="J1062" s="85" t="str">
        <f>IF($F1062="","",IFERROR(VLOOKUP($F1062,Inventory!$A:$K,11,FALSE),0))</f>
        <v/>
      </c>
      <c r="K1062" s="85"/>
      <c r="L1062" s="85" t="str">
        <f t="shared" si="12"/>
        <v/>
      </c>
      <c r="M1062" s="83"/>
      <c r="N1062" s="85" t="str">
        <f>IF($F1062="","",IFERROR(VLOOKUP($F1062,Inventory!$A:$I,9,FALSE),0))</f>
        <v/>
      </c>
      <c r="O1062" s="85" t="str">
        <f t="shared" si="13"/>
        <v/>
      </c>
      <c r="P1062" s="85" t="str">
        <f t="shared" si="5"/>
        <v/>
      </c>
      <c r="Q1062" s="83"/>
      <c r="R1062" s="118" t="str">
        <f>IF($E1062="","",IF(COUNTIF($E$7:$E2259,$E1062)&gt;1,"",IFERROR(VLOOKUP($E1062,Orders!$A:$I,8,FALSE),"")))</f>
        <v/>
      </c>
      <c r="S1062" s="118" t="str">
        <f>IF($E1062="","",IF(COUNTIF($E$7:$E2259,$E1062)&gt;1,"",IFERROR(VLOOKUP($E1062,Orders!$A:$I,9,FALSE),"")))</f>
        <v/>
      </c>
      <c r="T1062" s="88" t="str">
        <f t="shared" si="14"/>
        <v/>
      </c>
      <c r="U1062" s="88" t="str">
        <f>IF($F1062="","",IF($E1062="",T1062,SUMIF(Sales!$E$7:$E$1506,$E1062,Sales!$T$7:$T$1506)))</f>
        <v/>
      </c>
      <c r="V1062" s="49" t="str">
        <f t="shared" si="15"/>
        <v/>
      </c>
      <c r="W1062" s="49" t="str">
        <f t="array" ref="W1062">IF($V1062="","",SUMPRODUCT((Sales!$V$7:$V$1506&lt;&gt;"")*(Sales!$E$7:$E$1506&lt;$E1062))+1)</f>
        <v/>
      </c>
      <c r="X1062" s="49" t="str">
        <f t="shared" si="16"/>
        <v/>
      </c>
      <c r="Y1062" s="49" t="str">
        <f t="shared" si="17"/>
        <v/>
      </c>
    </row>
    <row r="1063" ht="15.0" customHeight="1">
      <c r="A1063" s="82"/>
      <c r="B1063" s="83"/>
      <c r="C1063" s="83"/>
      <c r="D1063" s="83"/>
      <c r="E1063" s="83"/>
      <c r="F1063" s="83"/>
      <c r="G1063" s="83" t="str">
        <f>IF($F1063="","",IFERROR(VLOOKUP($F1063,Inventory!$A:$B,2,FALSE),""))</f>
        <v/>
      </c>
      <c r="H1063" s="83"/>
      <c r="I1063" s="84" t="str">
        <f t="shared" si="2"/>
        <v/>
      </c>
      <c r="J1063" s="85" t="str">
        <f>IF($F1063="","",IFERROR(VLOOKUP($F1063,Inventory!$A:$K,11,FALSE),0))</f>
        <v/>
      </c>
      <c r="K1063" s="85"/>
      <c r="L1063" s="85" t="str">
        <f t="shared" si="12"/>
        <v/>
      </c>
      <c r="M1063" s="83"/>
      <c r="N1063" s="85" t="str">
        <f>IF($F1063="","",IFERROR(VLOOKUP($F1063,Inventory!$A:$I,9,FALSE),0))</f>
        <v/>
      </c>
      <c r="O1063" s="85" t="str">
        <f t="shared" si="13"/>
        <v/>
      </c>
      <c r="P1063" s="85" t="str">
        <f t="shared" si="5"/>
        <v/>
      </c>
      <c r="Q1063" s="83"/>
      <c r="R1063" s="118" t="str">
        <f>IF($E1063="","",IF(COUNTIF($E$7:$E2260,$E1063)&gt;1,"",IFERROR(VLOOKUP($E1063,Orders!$A:$I,8,FALSE),"")))</f>
        <v/>
      </c>
      <c r="S1063" s="118" t="str">
        <f>IF($E1063="","",IF(COUNTIF($E$7:$E2260,$E1063)&gt;1,"",IFERROR(VLOOKUP($E1063,Orders!$A:$I,9,FALSE),"")))</f>
        <v/>
      </c>
      <c r="T1063" s="88" t="str">
        <f t="shared" si="14"/>
        <v/>
      </c>
      <c r="U1063" s="88" t="str">
        <f>IF($F1063="","",IF($E1063="",T1063,SUMIF(Sales!$E$7:$E$1506,$E1063,Sales!$T$7:$T$1506)))</f>
        <v/>
      </c>
      <c r="V1063" s="49" t="str">
        <f t="shared" si="15"/>
        <v/>
      </c>
      <c r="W1063" s="49" t="str">
        <f t="array" ref="W1063">IF($V1063="","",SUMPRODUCT((Sales!$V$7:$V$1506&lt;&gt;"")*(Sales!$E$7:$E$1506&lt;$E1063))+1)</f>
        <v/>
      </c>
      <c r="X1063" s="49" t="str">
        <f t="shared" si="16"/>
        <v/>
      </c>
      <c r="Y1063" s="49" t="str">
        <f t="shared" si="17"/>
        <v/>
      </c>
    </row>
    <row r="1064" ht="15.0" customHeight="1">
      <c r="A1064" s="82"/>
      <c r="B1064" s="83"/>
      <c r="C1064" s="83"/>
      <c r="D1064" s="83"/>
      <c r="E1064" s="83"/>
      <c r="F1064" s="83"/>
      <c r="G1064" s="83" t="str">
        <f>IF($F1064="","",IFERROR(VLOOKUP($F1064,Inventory!$A:$B,2,FALSE),""))</f>
        <v/>
      </c>
      <c r="H1064" s="83"/>
      <c r="I1064" s="84" t="str">
        <f t="shared" si="2"/>
        <v/>
      </c>
      <c r="J1064" s="85" t="str">
        <f>IF($F1064="","",IFERROR(VLOOKUP($F1064,Inventory!$A:$K,11,FALSE),0))</f>
        <v/>
      </c>
      <c r="K1064" s="85"/>
      <c r="L1064" s="85" t="str">
        <f t="shared" si="12"/>
        <v/>
      </c>
      <c r="M1064" s="83"/>
      <c r="N1064" s="85" t="str">
        <f>IF($F1064="","",IFERROR(VLOOKUP($F1064,Inventory!$A:$I,9,FALSE),0))</f>
        <v/>
      </c>
      <c r="O1064" s="85" t="str">
        <f t="shared" si="13"/>
        <v/>
      </c>
      <c r="P1064" s="85" t="str">
        <f t="shared" si="5"/>
        <v/>
      </c>
      <c r="Q1064" s="83"/>
      <c r="R1064" s="118" t="str">
        <f>IF($E1064="","",IF(COUNTIF($E$7:$E2261,$E1064)&gt;1,"",IFERROR(VLOOKUP($E1064,Orders!$A:$I,8,FALSE),"")))</f>
        <v/>
      </c>
      <c r="S1064" s="118" t="str">
        <f>IF($E1064="","",IF(COUNTIF($E$7:$E2261,$E1064)&gt;1,"",IFERROR(VLOOKUP($E1064,Orders!$A:$I,9,FALSE),"")))</f>
        <v/>
      </c>
      <c r="T1064" s="88" t="str">
        <f t="shared" si="14"/>
        <v/>
      </c>
      <c r="U1064" s="88" t="str">
        <f>IF($F1064="","",IF($E1064="",T1064,SUMIF(Sales!$E$7:$E$1506,$E1064,Sales!$T$7:$T$1506)))</f>
        <v/>
      </c>
      <c r="V1064" s="49" t="str">
        <f t="shared" si="15"/>
        <v/>
      </c>
      <c r="W1064" s="49" t="str">
        <f t="array" ref="W1064">IF($V1064="","",SUMPRODUCT((Sales!$V$7:$V$1506&lt;&gt;"")*(Sales!$E$7:$E$1506&lt;$E1064))+1)</f>
        <v/>
      </c>
      <c r="X1064" s="49" t="str">
        <f t="shared" si="16"/>
        <v/>
      </c>
      <c r="Y1064" s="49" t="str">
        <f t="shared" si="17"/>
        <v/>
      </c>
    </row>
    <row r="1065" ht="15.0" customHeight="1">
      <c r="A1065" s="82"/>
      <c r="B1065" s="83"/>
      <c r="C1065" s="83"/>
      <c r="D1065" s="83"/>
      <c r="E1065" s="83"/>
      <c r="F1065" s="83"/>
      <c r="G1065" s="83" t="str">
        <f>IF($F1065="","",IFERROR(VLOOKUP($F1065,Inventory!$A:$B,2,FALSE),""))</f>
        <v/>
      </c>
      <c r="H1065" s="83"/>
      <c r="I1065" s="84" t="str">
        <f t="shared" si="2"/>
        <v/>
      </c>
      <c r="J1065" s="85" t="str">
        <f>IF($F1065="","",IFERROR(VLOOKUP($F1065,Inventory!$A:$K,11,FALSE),0))</f>
        <v/>
      </c>
      <c r="K1065" s="85"/>
      <c r="L1065" s="85" t="str">
        <f t="shared" si="12"/>
        <v/>
      </c>
      <c r="M1065" s="83"/>
      <c r="N1065" s="85" t="str">
        <f>IF($F1065="","",IFERROR(VLOOKUP($F1065,Inventory!$A:$I,9,FALSE),0))</f>
        <v/>
      </c>
      <c r="O1065" s="85" t="str">
        <f t="shared" si="13"/>
        <v/>
      </c>
      <c r="P1065" s="85" t="str">
        <f t="shared" si="5"/>
        <v/>
      </c>
      <c r="Q1065" s="83"/>
      <c r="R1065" s="118" t="str">
        <f>IF($E1065="","",IF(COUNTIF($E$7:$E2262,$E1065)&gt;1,"",IFERROR(VLOOKUP($E1065,Orders!$A:$I,8,FALSE),"")))</f>
        <v/>
      </c>
      <c r="S1065" s="118" t="str">
        <f>IF($E1065="","",IF(COUNTIF($E$7:$E2262,$E1065)&gt;1,"",IFERROR(VLOOKUP($E1065,Orders!$A:$I,9,FALSE),"")))</f>
        <v/>
      </c>
      <c r="T1065" s="88" t="str">
        <f t="shared" si="14"/>
        <v/>
      </c>
      <c r="U1065" s="88" t="str">
        <f>IF($F1065="","",IF($E1065="",T1065,SUMIF(Sales!$E$7:$E$1506,$E1065,Sales!$T$7:$T$1506)))</f>
        <v/>
      </c>
      <c r="V1065" s="49" t="str">
        <f t="shared" si="15"/>
        <v/>
      </c>
      <c r="W1065" s="49" t="str">
        <f t="array" ref="W1065">IF($V1065="","",SUMPRODUCT((Sales!$V$7:$V$1506&lt;&gt;"")*(Sales!$E$7:$E$1506&lt;$E1065))+1)</f>
        <v/>
      </c>
      <c r="X1065" s="49" t="str">
        <f t="shared" si="16"/>
        <v/>
      </c>
      <c r="Y1065" s="49" t="str">
        <f t="shared" si="17"/>
        <v/>
      </c>
    </row>
    <row r="1066" ht="15.0" customHeight="1">
      <c r="A1066" s="82"/>
      <c r="B1066" s="83"/>
      <c r="C1066" s="83"/>
      <c r="D1066" s="83"/>
      <c r="E1066" s="83"/>
      <c r="F1066" s="83"/>
      <c r="G1066" s="83" t="str">
        <f>IF($F1066="","",IFERROR(VLOOKUP($F1066,Inventory!$A:$B,2,FALSE),""))</f>
        <v/>
      </c>
      <c r="H1066" s="83"/>
      <c r="I1066" s="84" t="str">
        <f t="shared" si="2"/>
        <v/>
      </c>
      <c r="J1066" s="85" t="str">
        <f>IF($F1066="","",IFERROR(VLOOKUP($F1066,Inventory!$A:$K,11,FALSE),0))</f>
        <v/>
      </c>
      <c r="K1066" s="85"/>
      <c r="L1066" s="85" t="str">
        <f t="shared" si="12"/>
        <v/>
      </c>
      <c r="M1066" s="83"/>
      <c r="N1066" s="85" t="str">
        <f>IF($F1066="","",IFERROR(VLOOKUP($F1066,Inventory!$A:$I,9,FALSE),0))</f>
        <v/>
      </c>
      <c r="O1066" s="85" t="str">
        <f t="shared" si="13"/>
        <v/>
      </c>
      <c r="P1066" s="85" t="str">
        <f t="shared" si="5"/>
        <v/>
      </c>
      <c r="Q1066" s="83"/>
      <c r="R1066" s="118" t="str">
        <f>IF($E1066="","",IF(COUNTIF($E$7:$E2263,$E1066)&gt;1,"",IFERROR(VLOOKUP($E1066,Orders!$A:$I,8,FALSE),"")))</f>
        <v/>
      </c>
      <c r="S1066" s="118" t="str">
        <f>IF($E1066="","",IF(COUNTIF($E$7:$E2263,$E1066)&gt;1,"",IFERROR(VLOOKUP($E1066,Orders!$A:$I,9,FALSE),"")))</f>
        <v/>
      </c>
      <c r="T1066" s="88" t="str">
        <f t="shared" si="14"/>
        <v/>
      </c>
      <c r="U1066" s="88" t="str">
        <f>IF($F1066="","",IF($E1066="",T1066,SUMIF(Sales!$E$7:$E$1506,$E1066,Sales!$T$7:$T$1506)))</f>
        <v/>
      </c>
      <c r="V1066" s="49" t="str">
        <f t="shared" si="15"/>
        <v/>
      </c>
      <c r="W1066" s="49" t="str">
        <f t="array" ref="W1066">IF($V1066="","",SUMPRODUCT((Sales!$V$7:$V$1506&lt;&gt;"")*(Sales!$E$7:$E$1506&lt;$E1066))+1)</f>
        <v/>
      </c>
      <c r="X1066" s="49" t="str">
        <f t="shared" si="16"/>
        <v/>
      </c>
      <c r="Y1066" s="49" t="str">
        <f t="shared" si="17"/>
        <v/>
      </c>
    </row>
    <row r="1067" ht="15.0" customHeight="1">
      <c r="A1067" s="82"/>
      <c r="B1067" s="83"/>
      <c r="C1067" s="83"/>
      <c r="D1067" s="83"/>
      <c r="E1067" s="83"/>
      <c r="F1067" s="83"/>
      <c r="G1067" s="83" t="str">
        <f>IF($F1067="","",IFERROR(VLOOKUP($F1067,Inventory!$A:$B,2,FALSE),""))</f>
        <v/>
      </c>
      <c r="H1067" s="83"/>
      <c r="I1067" s="84" t="str">
        <f t="shared" si="2"/>
        <v/>
      </c>
      <c r="J1067" s="85" t="str">
        <f>IF($F1067="","",IFERROR(VLOOKUP($F1067,Inventory!$A:$K,11,FALSE),0))</f>
        <v/>
      </c>
      <c r="K1067" s="85"/>
      <c r="L1067" s="85" t="str">
        <f t="shared" si="12"/>
        <v/>
      </c>
      <c r="M1067" s="83"/>
      <c r="N1067" s="85" t="str">
        <f>IF($F1067="","",IFERROR(VLOOKUP($F1067,Inventory!$A:$I,9,FALSE),0))</f>
        <v/>
      </c>
      <c r="O1067" s="85" t="str">
        <f t="shared" si="13"/>
        <v/>
      </c>
      <c r="P1067" s="85" t="str">
        <f t="shared" si="5"/>
        <v/>
      </c>
      <c r="Q1067" s="83"/>
      <c r="R1067" s="118" t="str">
        <f>IF($E1067="","",IF(COUNTIF($E$7:$E2264,$E1067)&gt;1,"",IFERROR(VLOOKUP($E1067,Orders!$A:$I,8,FALSE),"")))</f>
        <v/>
      </c>
      <c r="S1067" s="118" t="str">
        <f>IF($E1067="","",IF(COUNTIF($E$7:$E2264,$E1067)&gt;1,"",IFERROR(VLOOKUP($E1067,Orders!$A:$I,9,FALSE),"")))</f>
        <v/>
      </c>
      <c r="T1067" s="88" t="str">
        <f t="shared" si="14"/>
        <v/>
      </c>
      <c r="U1067" s="88" t="str">
        <f>IF($F1067="","",IF($E1067="",T1067,SUMIF(Sales!$E$7:$E$1506,$E1067,Sales!$T$7:$T$1506)))</f>
        <v/>
      </c>
      <c r="V1067" s="49" t="str">
        <f t="shared" si="15"/>
        <v/>
      </c>
      <c r="W1067" s="49" t="str">
        <f t="array" ref="W1067">IF($V1067="","",SUMPRODUCT((Sales!$V$7:$V$1506&lt;&gt;"")*(Sales!$E$7:$E$1506&lt;$E1067))+1)</f>
        <v/>
      </c>
      <c r="X1067" s="49" t="str">
        <f t="shared" si="16"/>
        <v/>
      </c>
      <c r="Y1067" s="49" t="str">
        <f t="shared" si="17"/>
        <v/>
      </c>
    </row>
    <row r="1068" ht="15.0" customHeight="1">
      <c r="A1068" s="82"/>
      <c r="B1068" s="83"/>
      <c r="C1068" s="83"/>
      <c r="D1068" s="83"/>
      <c r="E1068" s="83"/>
      <c r="F1068" s="83"/>
      <c r="G1068" s="83" t="str">
        <f>IF($F1068="","",IFERROR(VLOOKUP($F1068,Inventory!$A:$B,2,FALSE),""))</f>
        <v/>
      </c>
      <c r="H1068" s="83"/>
      <c r="I1068" s="84" t="str">
        <f t="shared" si="2"/>
        <v/>
      </c>
      <c r="J1068" s="85" t="str">
        <f>IF($F1068="","",IFERROR(VLOOKUP($F1068,Inventory!$A:$K,11,FALSE),0))</f>
        <v/>
      </c>
      <c r="K1068" s="85"/>
      <c r="L1068" s="85" t="str">
        <f t="shared" si="12"/>
        <v/>
      </c>
      <c r="M1068" s="83"/>
      <c r="N1068" s="85" t="str">
        <f>IF($F1068="","",IFERROR(VLOOKUP($F1068,Inventory!$A:$I,9,FALSE),0))</f>
        <v/>
      </c>
      <c r="O1068" s="85" t="str">
        <f t="shared" si="13"/>
        <v/>
      </c>
      <c r="P1068" s="85" t="str">
        <f t="shared" si="5"/>
        <v/>
      </c>
      <c r="Q1068" s="83"/>
      <c r="R1068" s="118" t="str">
        <f>IF($E1068="","",IF(COUNTIF($E$7:$E2265,$E1068)&gt;1,"",IFERROR(VLOOKUP($E1068,Orders!$A:$I,8,FALSE),"")))</f>
        <v/>
      </c>
      <c r="S1068" s="118" t="str">
        <f>IF($E1068="","",IF(COUNTIF($E$7:$E2265,$E1068)&gt;1,"",IFERROR(VLOOKUP($E1068,Orders!$A:$I,9,FALSE),"")))</f>
        <v/>
      </c>
      <c r="T1068" s="88" t="str">
        <f t="shared" si="14"/>
        <v/>
      </c>
      <c r="U1068" s="88" t="str">
        <f>IF($F1068="","",IF($E1068="",T1068,SUMIF(Sales!$E$7:$E$1506,$E1068,Sales!$T$7:$T$1506)))</f>
        <v/>
      </c>
      <c r="V1068" s="49" t="str">
        <f t="shared" si="15"/>
        <v/>
      </c>
      <c r="W1068" s="49" t="str">
        <f t="array" ref="W1068">IF($V1068="","",SUMPRODUCT((Sales!$V$7:$V$1506&lt;&gt;"")*(Sales!$E$7:$E$1506&lt;$E1068))+1)</f>
        <v/>
      </c>
      <c r="X1068" s="49" t="str">
        <f t="shared" si="16"/>
        <v/>
      </c>
      <c r="Y1068" s="49" t="str">
        <f t="shared" si="17"/>
        <v/>
      </c>
    </row>
    <row r="1069" ht="15.0" customHeight="1">
      <c r="A1069" s="82"/>
      <c r="B1069" s="83"/>
      <c r="C1069" s="83"/>
      <c r="D1069" s="83"/>
      <c r="E1069" s="83"/>
      <c r="F1069" s="83"/>
      <c r="G1069" s="83" t="str">
        <f>IF($F1069="","",IFERROR(VLOOKUP($F1069,Inventory!$A:$B,2,FALSE),""))</f>
        <v/>
      </c>
      <c r="H1069" s="83"/>
      <c r="I1069" s="84" t="str">
        <f t="shared" si="2"/>
        <v/>
      </c>
      <c r="J1069" s="85" t="str">
        <f>IF($F1069="","",IFERROR(VLOOKUP($F1069,Inventory!$A:$K,11,FALSE),0))</f>
        <v/>
      </c>
      <c r="K1069" s="85"/>
      <c r="L1069" s="85" t="str">
        <f t="shared" si="12"/>
        <v/>
      </c>
      <c r="M1069" s="83"/>
      <c r="N1069" s="85" t="str">
        <f>IF($F1069="","",IFERROR(VLOOKUP($F1069,Inventory!$A:$I,9,FALSE),0))</f>
        <v/>
      </c>
      <c r="O1069" s="85" t="str">
        <f t="shared" si="13"/>
        <v/>
      </c>
      <c r="P1069" s="85" t="str">
        <f t="shared" si="5"/>
        <v/>
      </c>
      <c r="Q1069" s="83"/>
      <c r="R1069" s="118" t="str">
        <f>IF($E1069="","",IF(COUNTIF($E$7:$E2266,$E1069)&gt;1,"",IFERROR(VLOOKUP($E1069,Orders!$A:$I,8,FALSE),"")))</f>
        <v/>
      </c>
      <c r="S1069" s="118" t="str">
        <f>IF($E1069="","",IF(COUNTIF($E$7:$E2266,$E1069)&gt;1,"",IFERROR(VLOOKUP($E1069,Orders!$A:$I,9,FALSE),"")))</f>
        <v/>
      </c>
      <c r="T1069" s="88" t="str">
        <f t="shared" si="14"/>
        <v/>
      </c>
      <c r="U1069" s="88" t="str">
        <f>IF($F1069="","",IF($E1069="",T1069,SUMIF(Sales!$E$7:$E$1506,$E1069,Sales!$T$7:$T$1506)))</f>
        <v/>
      </c>
      <c r="V1069" s="49" t="str">
        <f t="shared" si="15"/>
        <v/>
      </c>
      <c r="W1069" s="49" t="str">
        <f t="array" ref="W1069">IF($V1069="","",SUMPRODUCT((Sales!$V$7:$V$1506&lt;&gt;"")*(Sales!$E$7:$E$1506&lt;$E1069))+1)</f>
        <v/>
      </c>
      <c r="X1069" s="49" t="str">
        <f t="shared" si="16"/>
        <v/>
      </c>
      <c r="Y1069" s="49" t="str">
        <f t="shared" si="17"/>
        <v/>
      </c>
    </row>
    <row r="1070" ht="15.0" customHeight="1">
      <c r="A1070" s="82"/>
      <c r="B1070" s="83"/>
      <c r="C1070" s="83"/>
      <c r="D1070" s="83"/>
      <c r="E1070" s="83"/>
      <c r="F1070" s="83"/>
      <c r="G1070" s="83" t="str">
        <f>IF($F1070="","",IFERROR(VLOOKUP($F1070,Inventory!$A:$B,2,FALSE),""))</f>
        <v/>
      </c>
      <c r="H1070" s="83"/>
      <c r="I1070" s="84" t="str">
        <f t="shared" si="2"/>
        <v/>
      </c>
      <c r="J1070" s="85" t="str">
        <f>IF($F1070="","",IFERROR(VLOOKUP($F1070,Inventory!$A:$K,11,FALSE),0))</f>
        <v/>
      </c>
      <c r="K1070" s="85"/>
      <c r="L1070" s="85" t="str">
        <f t="shared" si="12"/>
        <v/>
      </c>
      <c r="M1070" s="83"/>
      <c r="N1070" s="85" t="str">
        <f>IF($F1070="","",IFERROR(VLOOKUP($F1070,Inventory!$A:$I,9,FALSE),0))</f>
        <v/>
      </c>
      <c r="O1070" s="85" t="str">
        <f t="shared" si="13"/>
        <v/>
      </c>
      <c r="P1070" s="85" t="str">
        <f t="shared" si="5"/>
        <v/>
      </c>
      <c r="Q1070" s="83"/>
      <c r="R1070" s="118" t="str">
        <f>IF($E1070="","",IF(COUNTIF($E$7:$E2267,$E1070)&gt;1,"",IFERROR(VLOOKUP($E1070,Orders!$A:$I,8,FALSE),"")))</f>
        <v/>
      </c>
      <c r="S1070" s="118" t="str">
        <f>IF($E1070="","",IF(COUNTIF($E$7:$E2267,$E1070)&gt;1,"",IFERROR(VLOOKUP($E1070,Orders!$A:$I,9,FALSE),"")))</f>
        <v/>
      </c>
      <c r="T1070" s="88" t="str">
        <f t="shared" si="14"/>
        <v/>
      </c>
      <c r="U1070" s="88" t="str">
        <f>IF($F1070="","",IF($E1070="",T1070,SUMIF(Sales!$E$7:$E$1506,$E1070,Sales!$T$7:$T$1506)))</f>
        <v/>
      </c>
      <c r="V1070" s="49" t="str">
        <f t="shared" si="15"/>
        <v/>
      </c>
      <c r="W1070" s="49" t="str">
        <f t="array" ref="W1070">IF($V1070="","",SUMPRODUCT((Sales!$V$7:$V$1506&lt;&gt;"")*(Sales!$E$7:$E$1506&lt;$E1070))+1)</f>
        <v/>
      </c>
      <c r="X1070" s="49" t="str">
        <f t="shared" si="16"/>
        <v/>
      </c>
      <c r="Y1070" s="49" t="str">
        <f t="shared" si="17"/>
        <v/>
      </c>
    </row>
    <row r="1071" ht="15.0" customHeight="1">
      <c r="A1071" s="82"/>
      <c r="B1071" s="83"/>
      <c r="C1071" s="83"/>
      <c r="D1071" s="83"/>
      <c r="E1071" s="83"/>
      <c r="F1071" s="83"/>
      <c r="G1071" s="83" t="str">
        <f>IF($F1071="","",IFERROR(VLOOKUP($F1071,Inventory!$A:$B,2,FALSE),""))</f>
        <v/>
      </c>
      <c r="H1071" s="83"/>
      <c r="I1071" s="84" t="str">
        <f t="shared" si="2"/>
        <v/>
      </c>
      <c r="J1071" s="85" t="str">
        <f>IF($F1071="","",IFERROR(VLOOKUP($F1071,Inventory!$A:$K,11,FALSE),0))</f>
        <v/>
      </c>
      <c r="K1071" s="85"/>
      <c r="L1071" s="85" t="str">
        <f t="shared" si="12"/>
        <v/>
      </c>
      <c r="M1071" s="83"/>
      <c r="N1071" s="85" t="str">
        <f>IF($F1071="","",IFERROR(VLOOKUP($F1071,Inventory!$A:$I,9,FALSE),0))</f>
        <v/>
      </c>
      <c r="O1071" s="85" t="str">
        <f t="shared" si="13"/>
        <v/>
      </c>
      <c r="P1071" s="85" t="str">
        <f t="shared" si="5"/>
        <v/>
      </c>
      <c r="Q1071" s="83"/>
      <c r="R1071" s="118" t="str">
        <f>IF($E1071="","",IF(COUNTIF($E$7:$E2268,$E1071)&gt;1,"",IFERROR(VLOOKUP($E1071,Orders!$A:$I,8,FALSE),"")))</f>
        <v/>
      </c>
      <c r="S1071" s="118" t="str">
        <f>IF($E1071="","",IF(COUNTIF($E$7:$E2268,$E1071)&gt;1,"",IFERROR(VLOOKUP($E1071,Orders!$A:$I,9,FALSE),"")))</f>
        <v/>
      </c>
      <c r="T1071" s="88" t="str">
        <f t="shared" si="14"/>
        <v/>
      </c>
      <c r="U1071" s="88" t="str">
        <f>IF($F1071="","",IF($E1071="",T1071,SUMIF(Sales!$E$7:$E$1506,$E1071,Sales!$T$7:$T$1506)))</f>
        <v/>
      </c>
      <c r="V1071" s="49" t="str">
        <f t="shared" si="15"/>
        <v/>
      </c>
      <c r="W1071" s="49" t="str">
        <f t="array" ref="W1071">IF($V1071="","",SUMPRODUCT((Sales!$V$7:$V$1506&lt;&gt;"")*(Sales!$E$7:$E$1506&lt;$E1071))+1)</f>
        <v/>
      </c>
      <c r="X1071" s="49" t="str">
        <f t="shared" si="16"/>
        <v/>
      </c>
      <c r="Y1071" s="49" t="str">
        <f t="shared" si="17"/>
        <v/>
      </c>
    </row>
    <row r="1072" ht="15.0" customHeight="1">
      <c r="A1072" s="82"/>
      <c r="B1072" s="83"/>
      <c r="C1072" s="83"/>
      <c r="D1072" s="83"/>
      <c r="E1072" s="83"/>
      <c r="F1072" s="83"/>
      <c r="G1072" s="83" t="str">
        <f>IF($F1072="","",IFERROR(VLOOKUP($F1072,Inventory!$A:$B,2,FALSE),""))</f>
        <v/>
      </c>
      <c r="H1072" s="83"/>
      <c r="I1072" s="84" t="str">
        <f t="shared" si="2"/>
        <v/>
      </c>
      <c r="J1072" s="85" t="str">
        <f>IF($F1072="","",IFERROR(VLOOKUP($F1072,Inventory!$A:$K,11,FALSE),0))</f>
        <v/>
      </c>
      <c r="K1072" s="85"/>
      <c r="L1072" s="85" t="str">
        <f t="shared" si="12"/>
        <v/>
      </c>
      <c r="M1072" s="83"/>
      <c r="N1072" s="85" t="str">
        <f>IF($F1072="","",IFERROR(VLOOKUP($F1072,Inventory!$A:$I,9,FALSE),0))</f>
        <v/>
      </c>
      <c r="O1072" s="85" t="str">
        <f t="shared" si="13"/>
        <v/>
      </c>
      <c r="P1072" s="85" t="str">
        <f t="shared" si="5"/>
        <v/>
      </c>
      <c r="Q1072" s="83"/>
      <c r="R1072" s="118" t="str">
        <f>IF($E1072="","",IF(COUNTIF($E$7:$E2269,$E1072)&gt;1,"",IFERROR(VLOOKUP($E1072,Orders!$A:$I,8,FALSE),"")))</f>
        <v/>
      </c>
      <c r="S1072" s="118" t="str">
        <f>IF($E1072="","",IF(COUNTIF($E$7:$E2269,$E1072)&gt;1,"",IFERROR(VLOOKUP($E1072,Orders!$A:$I,9,FALSE),"")))</f>
        <v/>
      </c>
      <c r="T1072" s="88" t="str">
        <f t="shared" si="14"/>
        <v/>
      </c>
      <c r="U1072" s="88" t="str">
        <f>IF($F1072="","",IF($E1072="",T1072,SUMIF(Sales!$E$7:$E$1506,$E1072,Sales!$T$7:$T$1506)))</f>
        <v/>
      </c>
      <c r="V1072" s="49" t="str">
        <f t="shared" si="15"/>
        <v/>
      </c>
      <c r="W1072" s="49" t="str">
        <f t="array" ref="W1072">IF($V1072="","",SUMPRODUCT((Sales!$V$7:$V$1506&lt;&gt;"")*(Sales!$E$7:$E$1506&lt;$E1072))+1)</f>
        <v/>
      </c>
      <c r="X1072" s="49" t="str">
        <f t="shared" si="16"/>
        <v/>
      </c>
      <c r="Y1072" s="49" t="str">
        <f t="shared" si="17"/>
        <v/>
      </c>
    </row>
    <row r="1073" ht="15.0" customHeight="1">
      <c r="A1073" s="82"/>
      <c r="B1073" s="83"/>
      <c r="C1073" s="83"/>
      <c r="D1073" s="83"/>
      <c r="E1073" s="83"/>
      <c r="F1073" s="83"/>
      <c r="G1073" s="83" t="str">
        <f>IF($F1073="","",IFERROR(VLOOKUP($F1073,Inventory!$A:$B,2,FALSE),""))</f>
        <v/>
      </c>
      <c r="H1073" s="83"/>
      <c r="I1073" s="84" t="str">
        <f t="shared" si="2"/>
        <v/>
      </c>
      <c r="J1073" s="85" t="str">
        <f>IF($F1073="","",IFERROR(VLOOKUP($F1073,Inventory!$A:$K,11,FALSE),0))</f>
        <v/>
      </c>
      <c r="K1073" s="85"/>
      <c r="L1073" s="85" t="str">
        <f t="shared" si="12"/>
        <v/>
      </c>
      <c r="M1073" s="83"/>
      <c r="N1073" s="85" t="str">
        <f>IF($F1073="","",IFERROR(VLOOKUP($F1073,Inventory!$A:$I,9,FALSE),0))</f>
        <v/>
      </c>
      <c r="O1073" s="85" t="str">
        <f t="shared" si="13"/>
        <v/>
      </c>
      <c r="P1073" s="85" t="str">
        <f t="shared" si="5"/>
        <v/>
      </c>
      <c r="Q1073" s="83"/>
      <c r="R1073" s="118" t="str">
        <f>IF($E1073="","",IF(COUNTIF($E$7:$E2270,$E1073)&gt;1,"",IFERROR(VLOOKUP($E1073,Orders!$A:$I,8,FALSE),"")))</f>
        <v/>
      </c>
      <c r="S1073" s="118" t="str">
        <f>IF($E1073="","",IF(COUNTIF($E$7:$E2270,$E1073)&gt;1,"",IFERROR(VLOOKUP($E1073,Orders!$A:$I,9,FALSE),"")))</f>
        <v/>
      </c>
      <c r="T1073" s="88" t="str">
        <f t="shared" si="14"/>
        <v/>
      </c>
      <c r="U1073" s="88" t="str">
        <f>IF($F1073="","",IF($E1073="",T1073,SUMIF(Sales!$E$7:$E$1506,$E1073,Sales!$T$7:$T$1506)))</f>
        <v/>
      </c>
      <c r="V1073" s="49" t="str">
        <f t="shared" si="15"/>
        <v/>
      </c>
      <c r="W1073" s="49" t="str">
        <f t="array" ref="W1073">IF($V1073="","",SUMPRODUCT((Sales!$V$7:$V$1506&lt;&gt;"")*(Sales!$E$7:$E$1506&lt;$E1073))+1)</f>
        <v/>
      </c>
      <c r="X1073" s="49" t="str">
        <f t="shared" si="16"/>
        <v/>
      </c>
      <c r="Y1073" s="49" t="str">
        <f t="shared" si="17"/>
        <v/>
      </c>
    </row>
    <row r="1074" ht="15.0" customHeight="1">
      <c r="A1074" s="82"/>
      <c r="B1074" s="83"/>
      <c r="C1074" s="83"/>
      <c r="D1074" s="83"/>
      <c r="E1074" s="83"/>
      <c r="F1074" s="83"/>
      <c r="G1074" s="83" t="str">
        <f>IF($F1074="","",IFERROR(VLOOKUP($F1074,Inventory!$A:$B,2,FALSE),""))</f>
        <v/>
      </c>
      <c r="H1074" s="83"/>
      <c r="I1074" s="84" t="str">
        <f t="shared" si="2"/>
        <v/>
      </c>
      <c r="J1074" s="85" t="str">
        <f>IF($F1074="","",IFERROR(VLOOKUP($F1074,Inventory!$A:$K,11,FALSE),0))</f>
        <v/>
      </c>
      <c r="K1074" s="85"/>
      <c r="L1074" s="85" t="str">
        <f t="shared" si="12"/>
        <v/>
      </c>
      <c r="M1074" s="83"/>
      <c r="N1074" s="85" t="str">
        <f>IF($F1074="","",IFERROR(VLOOKUP($F1074,Inventory!$A:$I,9,FALSE),0))</f>
        <v/>
      </c>
      <c r="O1074" s="85" t="str">
        <f t="shared" si="13"/>
        <v/>
      </c>
      <c r="P1074" s="85" t="str">
        <f t="shared" si="5"/>
        <v/>
      </c>
      <c r="Q1074" s="83"/>
      <c r="R1074" s="118" t="str">
        <f>IF($E1074="","",IF(COUNTIF($E$7:$E2271,$E1074)&gt;1,"",IFERROR(VLOOKUP($E1074,Orders!$A:$I,8,FALSE),"")))</f>
        <v/>
      </c>
      <c r="S1074" s="118" t="str">
        <f>IF($E1074="","",IF(COUNTIF($E$7:$E2271,$E1074)&gt;1,"",IFERROR(VLOOKUP($E1074,Orders!$A:$I,9,FALSE),"")))</f>
        <v/>
      </c>
      <c r="T1074" s="88" t="str">
        <f t="shared" si="14"/>
        <v/>
      </c>
      <c r="U1074" s="88" t="str">
        <f>IF($F1074="","",IF($E1074="",T1074,SUMIF(Sales!$E$7:$E$1506,$E1074,Sales!$T$7:$T$1506)))</f>
        <v/>
      </c>
      <c r="V1074" s="49" t="str">
        <f t="shared" si="15"/>
        <v/>
      </c>
      <c r="W1074" s="49" t="str">
        <f t="array" ref="W1074">IF($V1074="","",SUMPRODUCT((Sales!$V$7:$V$1506&lt;&gt;"")*(Sales!$E$7:$E$1506&lt;$E1074))+1)</f>
        <v/>
      </c>
      <c r="X1074" s="49" t="str">
        <f t="shared" si="16"/>
        <v/>
      </c>
      <c r="Y1074" s="49" t="str">
        <f t="shared" si="17"/>
        <v/>
      </c>
    </row>
    <row r="1075" ht="15.0" customHeight="1">
      <c r="A1075" s="82"/>
      <c r="B1075" s="83"/>
      <c r="C1075" s="83"/>
      <c r="D1075" s="83"/>
      <c r="E1075" s="83"/>
      <c r="F1075" s="83"/>
      <c r="G1075" s="83" t="str">
        <f>IF($F1075="","",IFERROR(VLOOKUP($F1075,Inventory!$A:$B,2,FALSE),""))</f>
        <v/>
      </c>
      <c r="H1075" s="83"/>
      <c r="I1075" s="84" t="str">
        <f t="shared" si="2"/>
        <v/>
      </c>
      <c r="J1075" s="85" t="str">
        <f>IF($F1075="","",IFERROR(VLOOKUP($F1075,Inventory!$A:$K,11,FALSE),0))</f>
        <v/>
      </c>
      <c r="K1075" s="85"/>
      <c r="L1075" s="85" t="str">
        <f t="shared" si="12"/>
        <v/>
      </c>
      <c r="M1075" s="83"/>
      <c r="N1075" s="85" t="str">
        <f>IF($F1075="","",IFERROR(VLOOKUP($F1075,Inventory!$A:$I,9,FALSE),0))</f>
        <v/>
      </c>
      <c r="O1075" s="85" t="str">
        <f t="shared" si="13"/>
        <v/>
      </c>
      <c r="P1075" s="85" t="str">
        <f t="shared" si="5"/>
        <v/>
      </c>
      <c r="Q1075" s="83"/>
      <c r="R1075" s="118" t="str">
        <f>IF($E1075="","",IF(COUNTIF($E$7:$E2272,$E1075)&gt;1,"",IFERROR(VLOOKUP($E1075,Orders!$A:$I,8,FALSE),"")))</f>
        <v/>
      </c>
      <c r="S1075" s="118" t="str">
        <f>IF($E1075="","",IF(COUNTIF($E$7:$E2272,$E1075)&gt;1,"",IFERROR(VLOOKUP($E1075,Orders!$A:$I,9,FALSE),"")))</f>
        <v/>
      </c>
      <c r="T1075" s="88" t="str">
        <f t="shared" si="14"/>
        <v/>
      </c>
      <c r="U1075" s="88" t="str">
        <f>IF($F1075="","",IF($E1075="",T1075,SUMIF(Sales!$E$7:$E$1506,$E1075,Sales!$T$7:$T$1506)))</f>
        <v/>
      </c>
      <c r="V1075" s="49" t="str">
        <f t="shared" si="15"/>
        <v/>
      </c>
      <c r="W1075" s="49" t="str">
        <f t="array" ref="W1075">IF($V1075="","",SUMPRODUCT((Sales!$V$7:$V$1506&lt;&gt;"")*(Sales!$E$7:$E$1506&lt;$E1075))+1)</f>
        <v/>
      </c>
      <c r="X1075" s="49" t="str">
        <f t="shared" si="16"/>
        <v/>
      </c>
      <c r="Y1075" s="49" t="str">
        <f t="shared" si="17"/>
        <v/>
      </c>
    </row>
    <row r="1076" ht="15.0" customHeight="1">
      <c r="A1076" s="82"/>
      <c r="B1076" s="83"/>
      <c r="C1076" s="83"/>
      <c r="D1076" s="83"/>
      <c r="E1076" s="83"/>
      <c r="F1076" s="83"/>
      <c r="G1076" s="83" t="str">
        <f>IF($F1076="","",IFERROR(VLOOKUP($F1076,Inventory!$A:$B,2,FALSE),""))</f>
        <v/>
      </c>
      <c r="H1076" s="83"/>
      <c r="I1076" s="84" t="str">
        <f t="shared" si="2"/>
        <v/>
      </c>
      <c r="J1076" s="85" t="str">
        <f>IF($F1076="","",IFERROR(VLOOKUP($F1076,Inventory!$A:$K,11,FALSE),0))</f>
        <v/>
      </c>
      <c r="K1076" s="85"/>
      <c r="L1076" s="85" t="str">
        <f t="shared" si="12"/>
        <v/>
      </c>
      <c r="M1076" s="83"/>
      <c r="N1076" s="85" t="str">
        <f>IF($F1076="","",IFERROR(VLOOKUP($F1076,Inventory!$A:$I,9,FALSE),0))</f>
        <v/>
      </c>
      <c r="O1076" s="85" t="str">
        <f t="shared" si="13"/>
        <v/>
      </c>
      <c r="P1076" s="85" t="str">
        <f t="shared" si="5"/>
        <v/>
      </c>
      <c r="Q1076" s="83"/>
      <c r="R1076" s="118" t="str">
        <f>IF($E1076="","",IF(COUNTIF($E$7:$E2273,$E1076)&gt;1,"",IFERROR(VLOOKUP($E1076,Orders!$A:$I,8,FALSE),"")))</f>
        <v/>
      </c>
      <c r="S1076" s="118" t="str">
        <f>IF($E1076="","",IF(COUNTIF($E$7:$E2273,$E1076)&gt;1,"",IFERROR(VLOOKUP($E1076,Orders!$A:$I,9,FALSE),"")))</f>
        <v/>
      </c>
      <c r="T1076" s="88" t="str">
        <f t="shared" si="14"/>
        <v/>
      </c>
      <c r="U1076" s="88" t="str">
        <f>IF($F1076="","",IF($E1076="",T1076,SUMIF(Sales!$E$7:$E$1506,$E1076,Sales!$T$7:$T$1506)))</f>
        <v/>
      </c>
      <c r="V1076" s="49" t="str">
        <f t="shared" si="15"/>
        <v/>
      </c>
      <c r="W1076" s="49" t="str">
        <f t="array" ref="W1076">IF($V1076="","",SUMPRODUCT((Sales!$V$7:$V$1506&lt;&gt;"")*(Sales!$E$7:$E$1506&lt;$E1076))+1)</f>
        <v/>
      </c>
      <c r="X1076" s="49" t="str">
        <f t="shared" si="16"/>
        <v/>
      </c>
      <c r="Y1076" s="49" t="str">
        <f t="shared" si="17"/>
        <v/>
      </c>
    </row>
    <row r="1077" ht="15.0" customHeight="1">
      <c r="A1077" s="82"/>
      <c r="B1077" s="83"/>
      <c r="C1077" s="83"/>
      <c r="D1077" s="83"/>
      <c r="E1077" s="83"/>
      <c r="F1077" s="83"/>
      <c r="G1077" s="83" t="str">
        <f>IF($F1077="","",IFERROR(VLOOKUP($F1077,Inventory!$A:$B,2,FALSE),""))</f>
        <v/>
      </c>
      <c r="H1077" s="83"/>
      <c r="I1077" s="84" t="str">
        <f t="shared" si="2"/>
        <v/>
      </c>
      <c r="J1077" s="85" t="str">
        <f>IF($F1077="","",IFERROR(VLOOKUP($F1077,Inventory!$A:$K,11,FALSE),0))</f>
        <v/>
      </c>
      <c r="K1077" s="85"/>
      <c r="L1077" s="85" t="str">
        <f t="shared" si="12"/>
        <v/>
      </c>
      <c r="M1077" s="83"/>
      <c r="N1077" s="85" t="str">
        <f>IF($F1077="","",IFERROR(VLOOKUP($F1077,Inventory!$A:$I,9,FALSE),0))</f>
        <v/>
      </c>
      <c r="O1077" s="85" t="str">
        <f t="shared" si="13"/>
        <v/>
      </c>
      <c r="P1077" s="85" t="str">
        <f t="shared" si="5"/>
        <v/>
      </c>
      <c r="Q1077" s="83"/>
      <c r="R1077" s="118" t="str">
        <f>IF($E1077="","",IF(COUNTIF($E$7:$E2274,$E1077)&gt;1,"",IFERROR(VLOOKUP($E1077,Orders!$A:$I,8,FALSE),"")))</f>
        <v/>
      </c>
      <c r="S1077" s="118" t="str">
        <f>IF($E1077="","",IF(COUNTIF($E$7:$E2274,$E1077)&gt;1,"",IFERROR(VLOOKUP($E1077,Orders!$A:$I,9,FALSE),"")))</f>
        <v/>
      </c>
      <c r="T1077" s="88" t="str">
        <f t="shared" si="14"/>
        <v/>
      </c>
      <c r="U1077" s="88" t="str">
        <f>IF($F1077="","",IF($E1077="",T1077,SUMIF(Sales!$E$7:$E$1506,$E1077,Sales!$T$7:$T$1506)))</f>
        <v/>
      </c>
      <c r="V1077" s="49" t="str">
        <f t="shared" si="15"/>
        <v/>
      </c>
      <c r="W1077" s="49" t="str">
        <f t="array" ref="W1077">IF($V1077="","",SUMPRODUCT((Sales!$V$7:$V$1506&lt;&gt;"")*(Sales!$E$7:$E$1506&lt;$E1077))+1)</f>
        <v/>
      </c>
      <c r="X1077" s="49" t="str">
        <f t="shared" si="16"/>
        <v/>
      </c>
      <c r="Y1077" s="49" t="str">
        <f t="shared" si="17"/>
        <v/>
      </c>
    </row>
    <row r="1078" ht="15.0" customHeight="1">
      <c r="A1078" s="82"/>
      <c r="B1078" s="83"/>
      <c r="C1078" s="83"/>
      <c r="D1078" s="83"/>
      <c r="E1078" s="83"/>
      <c r="F1078" s="83"/>
      <c r="G1078" s="83" t="str">
        <f>IF($F1078="","",IFERROR(VLOOKUP($F1078,Inventory!$A:$B,2,FALSE),""))</f>
        <v/>
      </c>
      <c r="H1078" s="83"/>
      <c r="I1078" s="84" t="str">
        <f t="shared" si="2"/>
        <v/>
      </c>
      <c r="J1078" s="85" t="str">
        <f>IF($F1078="","",IFERROR(VLOOKUP($F1078,Inventory!$A:$K,11,FALSE),0))</f>
        <v/>
      </c>
      <c r="K1078" s="85"/>
      <c r="L1078" s="85" t="str">
        <f t="shared" si="12"/>
        <v/>
      </c>
      <c r="M1078" s="83"/>
      <c r="N1078" s="85" t="str">
        <f>IF($F1078="","",IFERROR(VLOOKUP($F1078,Inventory!$A:$I,9,FALSE),0))</f>
        <v/>
      </c>
      <c r="O1078" s="85" t="str">
        <f t="shared" si="13"/>
        <v/>
      </c>
      <c r="P1078" s="85" t="str">
        <f t="shared" si="5"/>
        <v/>
      </c>
      <c r="Q1078" s="83"/>
      <c r="R1078" s="118" t="str">
        <f>IF($E1078="","",IF(COUNTIF($E$7:$E2275,$E1078)&gt;1,"",IFERROR(VLOOKUP($E1078,Orders!$A:$I,8,FALSE),"")))</f>
        <v/>
      </c>
      <c r="S1078" s="118" t="str">
        <f>IF($E1078="","",IF(COUNTIF($E$7:$E2275,$E1078)&gt;1,"",IFERROR(VLOOKUP($E1078,Orders!$A:$I,9,FALSE),"")))</f>
        <v/>
      </c>
      <c r="T1078" s="88" t="str">
        <f t="shared" si="14"/>
        <v/>
      </c>
      <c r="U1078" s="88" t="str">
        <f>IF($F1078="","",IF($E1078="",T1078,SUMIF(Sales!$E$7:$E$1506,$E1078,Sales!$T$7:$T$1506)))</f>
        <v/>
      </c>
      <c r="V1078" s="49" t="str">
        <f t="shared" si="15"/>
        <v/>
      </c>
      <c r="W1078" s="49" t="str">
        <f t="array" ref="W1078">IF($V1078="","",SUMPRODUCT((Sales!$V$7:$V$1506&lt;&gt;"")*(Sales!$E$7:$E$1506&lt;$E1078))+1)</f>
        <v/>
      </c>
      <c r="X1078" s="49" t="str">
        <f t="shared" si="16"/>
        <v/>
      </c>
      <c r="Y1078" s="49" t="str">
        <f t="shared" si="17"/>
        <v/>
      </c>
    </row>
    <row r="1079" ht="15.0" customHeight="1">
      <c r="A1079" s="82"/>
      <c r="B1079" s="83"/>
      <c r="C1079" s="83"/>
      <c r="D1079" s="83"/>
      <c r="E1079" s="83"/>
      <c r="F1079" s="83"/>
      <c r="G1079" s="83" t="str">
        <f>IF($F1079="","",IFERROR(VLOOKUP($F1079,Inventory!$A:$B,2,FALSE),""))</f>
        <v/>
      </c>
      <c r="H1079" s="83"/>
      <c r="I1079" s="84" t="str">
        <f t="shared" si="2"/>
        <v/>
      </c>
      <c r="J1079" s="85" t="str">
        <f>IF($F1079="","",IFERROR(VLOOKUP($F1079,Inventory!$A:$K,11,FALSE),0))</f>
        <v/>
      </c>
      <c r="K1079" s="85"/>
      <c r="L1079" s="85" t="str">
        <f t="shared" si="12"/>
        <v/>
      </c>
      <c r="M1079" s="83"/>
      <c r="N1079" s="85" t="str">
        <f>IF($F1079="","",IFERROR(VLOOKUP($F1079,Inventory!$A:$I,9,FALSE),0))</f>
        <v/>
      </c>
      <c r="O1079" s="85" t="str">
        <f t="shared" si="13"/>
        <v/>
      </c>
      <c r="P1079" s="85" t="str">
        <f t="shared" si="5"/>
        <v/>
      </c>
      <c r="Q1079" s="83"/>
      <c r="R1079" s="118" t="str">
        <f>IF($E1079="","",IF(COUNTIF($E$7:$E2276,$E1079)&gt;1,"",IFERROR(VLOOKUP($E1079,Orders!$A:$I,8,FALSE),"")))</f>
        <v/>
      </c>
      <c r="S1079" s="118" t="str">
        <f>IF($E1079="","",IF(COUNTIF($E$7:$E2276,$E1079)&gt;1,"",IFERROR(VLOOKUP($E1079,Orders!$A:$I,9,FALSE),"")))</f>
        <v/>
      </c>
      <c r="T1079" s="88" t="str">
        <f t="shared" si="14"/>
        <v/>
      </c>
      <c r="U1079" s="88" t="str">
        <f>IF($F1079="","",IF($E1079="",T1079,SUMIF(Sales!$E$7:$E$1506,$E1079,Sales!$T$7:$T$1506)))</f>
        <v/>
      </c>
      <c r="V1079" s="49" t="str">
        <f t="shared" si="15"/>
        <v/>
      </c>
      <c r="W1079" s="49" t="str">
        <f t="array" ref="W1079">IF($V1079="","",SUMPRODUCT((Sales!$V$7:$V$1506&lt;&gt;"")*(Sales!$E$7:$E$1506&lt;$E1079))+1)</f>
        <v/>
      </c>
      <c r="X1079" s="49" t="str">
        <f t="shared" si="16"/>
        <v/>
      </c>
      <c r="Y1079" s="49" t="str">
        <f t="shared" si="17"/>
        <v/>
      </c>
    </row>
    <row r="1080" ht="15.0" customHeight="1">
      <c r="A1080" s="82"/>
      <c r="B1080" s="83"/>
      <c r="C1080" s="83"/>
      <c r="D1080" s="83"/>
      <c r="E1080" s="83"/>
      <c r="F1080" s="83"/>
      <c r="G1080" s="83" t="str">
        <f>IF($F1080="","",IFERROR(VLOOKUP($F1080,Inventory!$A:$B,2,FALSE),""))</f>
        <v/>
      </c>
      <c r="H1080" s="83"/>
      <c r="I1080" s="84" t="str">
        <f t="shared" si="2"/>
        <v/>
      </c>
      <c r="J1080" s="85" t="str">
        <f>IF($F1080="","",IFERROR(VLOOKUP($F1080,Inventory!$A:$K,11,FALSE),0))</f>
        <v/>
      </c>
      <c r="K1080" s="85"/>
      <c r="L1080" s="85" t="str">
        <f t="shared" si="12"/>
        <v/>
      </c>
      <c r="M1080" s="83"/>
      <c r="N1080" s="85" t="str">
        <f>IF($F1080="","",IFERROR(VLOOKUP($F1080,Inventory!$A:$I,9,FALSE),0))</f>
        <v/>
      </c>
      <c r="O1080" s="85" t="str">
        <f t="shared" si="13"/>
        <v/>
      </c>
      <c r="P1080" s="85" t="str">
        <f t="shared" si="5"/>
        <v/>
      </c>
      <c r="Q1080" s="83"/>
      <c r="R1080" s="118" t="str">
        <f>IF($E1080="","",IF(COUNTIF($E$7:$E2277,$E1080)&gt;1,"",IFERROR(VLOOKUP($E1080,Orders!$A:$I,8,FALSE),"")))</f>
        <v/>
      </c>
      <c r="S1080" s="118" t="str">
        <f>IF($E1080="","",IF(COUNTIF($E$7:$E2277,$E1080)&gt;1,"",IFERROR(VLOOKUP($E1080,Orders!$A:$I,9,FALSE),"")))</f>
        <v/>
      </c>
      <c r="T1080" s="88" t="str">
        <f t="shared" si="14"/>
        <v/>
      </c>
      <c r="U1080" s="88" t="str">
        <f>IF($F1080="","",IF($E1080="",T1080,SUMIF(Sales!$E$7:$E$1506,$E1080,Sales!$T$7:$T$1506)))</f>
        <v/>
      </c>
      <c r="V1080" s="49" t="str">
        <f t="shared" si="15"/>
        <v/>
      </c>
      <c r="W1080" s="49" t="str">
        <f t="array" ref="W1080">IF($V1080="","",SUMPRODUCT((Sales!$V$7:$V$1506&lt;&gt;"")*(Sales!$E$7:$E$1506&lt;$E1080))+1)</f>
        <v/>
      </c>
      <c r="X1080" s="49" t="str">
        <f t="shared" si="16"/>
        <v/>
      </c>
      <c r="Y1080" s="49" t="str">
        <f t="shared" si="17"/>
        <v/>
      </c>
    </row>
    <row r="1081" ht="15.0" customHeight="1">
      <c r="A1081" s="82"/>
      <c r="B1081" s="83"/>
      <c r="C1081" s="83"/>
      <c r="D1081" s="83"/>
      <c r="E1081" s="83"/>
      <c r="F1081" s="83"/>
      <c r="G1081" s="83" t="str">
        <f>IF($F1081="","",IFERROR(VLOOKUP($F1081,Inventory!$A:$B,2,FALSE),""))</f>
        <v/>
      </c>
      <c r="H1081" s="83"/>
      <c r="I1081" s="84" t="str">
        <f t="shared" si="2"/>
        <v/>
      </c>
      <c r="J1081" s="85" t="str">
        <f>IF($F1081="","",IFERROR(VLOOKUP($F1081,Inventory!$A:$K,11,FALSE),0))</f>
        <v/>
      </c>
      <c r="K1081" s="85"/>
      <c r="L1081" s="85" t="str">
        <f t="shared" si="12"/>
        <v/>
      </c>
      <c r="M1081" s="83"/>
      <c r="N1081" s="85" t="str">
        <f>IF($F1081="","",IFERROR(VLOOKUP($F1081,Inventory!$A:$I,9,FALSE),0))</f>
        <v/>
      </c>
      <c r="O1081" s="85" t="str">
        <f t="shared" si="13"/>
        <v/>
      </c>
      <c r="P1081" s="85" t="str">
        <f t="shared" si="5"/>
        <v/>
      </c>
      <c r="Q1081" s="83"/>
      <c r="R1081" s="118" t="str">
        <f>IF($E1081="","",IF(COUNTIF($E$7:$E2278,$E1081)&gt;1,"",IFERROR(VLOOKUP($E1081,Orders!$A:$I,8,FALSE),"")))</f>
        <v/>
      </c>
      <c r="S1081" s="118" t="str">
        <f>IF($E1081="","",IF(COUNTIF($E$7:$E2278,$E1081)&gt;1,"",IFERROR(VLOOKUP($E1081,Orders!$A:$I,9,FALSE),"")))</f>
        <v/>
      </c>
      <c r="T1081" s="88" t="str">
        <f t="shared" si="14"/>
        <v/>
      </c>
      <c r="U1081" s="88" t="str">
        <f>IF($F1081="","",IF($E1081="",T1081,SUMIF(Sales!$E$7:$E$1506,$E1081,Sales!$T$7:$T$1506)))</f>
        <v/>
      </c>
      <c r="V1081" s="49" t="str">
        <f t="shared" si="15"/>
        <v/>
      </c>
      <c r="W1081" s="49" t="str">
        <f t="array" ref="W1081">IF($V1081="","",SUMPRODUCT((Sales!$V$7:$V$1506&lt;&gt;"")*(Sales!$E$7:$E$1506&lt;$E1081))+1)</f>
        <v/>
      </c>
      <c r="X1081" s="49" t="str">
        <f t="shared" si="16"/>
        <v/>
      </c>
      <c r="Y1081" s="49" t="str">
        <f t="shared" si="17"/>
        <v/>
      </c>
    </row>
    <row r="1082" ht="15.0" customHeight="1">
      <c r="A1082" s="82"/>
      <c r="B1082" s="83"/>
      <c r="C1082" s="83"/>
      <c r="D1082" s="83"/>
      <c r="E1082" s="83"/>
      <c r="F1082" s="83"/>
      <c r="G1082" s="83" t="str">
        <f>IF($F1082="","",IFERROR(VLOOKUP($F1082,Inventory!$A:$B,2,FALSE),""))</f>
        <v/>
      </c>
      <c r="H1082" s="83"/>
      <c r="I1082" s="84" t="str">
        <f t="shared" si="2"/>
        <v/>
      </c>
      <c r="J1082" s="85" t="str">
        <f>IF($F1082="","",IFERROR(VLOOKUP($F1082,Inventory!$A:$K,11,FALSE),0))</f>
        <v/>
      </c>
      <c r="K1082" s="85"/>
      <c r="L1082" s="85" t="str">
        <f t="shared" si="12"/>
        <v/>
      </c>
      <c r="M1082" s="83"/>
      <c r="N1082" s="85" t="str">
        <f>IF($F1082="","",IFERROR(VLOOKUP($F1082,Inventory!$A:$I,9,FALSE),0))</f>
        <v/>
      </c>
      <c r="O1082" s="85" t="str">
        <f t="shared" si="13"/>
        <v/>
      </c>
      <c r="P1082" s="85" t="str">
        <f t="shared" si="5"/>
        <v/>
      </c>
      <c r="Q1082" s="83"/>
      <c r="R1082" s="118" t="str">
        <f>IF($E1082="","",IF(COUNTIF($E$7:$E2279,$E1082)&gt;1,"",IFERROR(VLOOKUP($E1082,Orders!$A:$I,8,FALSE),"")))</f>
        <v/>
      </c>
      <c r="S1082" s="118" t="str">
        <f>IF($E1082="","",IF(COUNTIF($E$7:$E2279,$E1082)&gt;1,"",IFERROR(VLOOKUP($E1082,Orders!$A:$I,9,FALSE),"")))</f>
        <v/>
      </c>
      <c r="T1082" s="88" t="str">
        <f t="shared" si="14"/>
        <v/>
      </c>
      <c r="U1082" s="88" t="str">
        <f>IF($F1082="","",IF($E1082="",T1082,SUMIF(Sales!$E$7:$E$1506,$E1082,Sales!$T$7:$T$1506)))</f>
        <v/>
      </c>
      <c r="V1082" s="49" t="str">
        <f t="shared" si="15"/>
        <v/>
      </c>
      <c r="W1082" s="49" t="str">
        <f t="array" ref="W1082">IF($V1082="","",SUMPRODUCT((Sales!$V$7:$V$1506&lt;&gt;"")*(Sales!$E$7:$E$1506&lt;$E1082))+1)</f>
        <v/>
      </c>
      <c r="X1082" s="49" t="str">
        <f t="shared" si="16"/>
        <v/>
      </c>
      <c r="Y1082" s="49" t="str">
        <f t="shared" si="17"/>
        <v/>
      </c>
    </row>
    <row r="1083" ht="15.0" customHeight="1">
      <c r="A1083" s="82"/>
      <c r="B1083" s="83"/>
      <c r="C1083" s="83"/>
      <c r="D1083" s="83"/>
      <c r="E1083" s="83"/>
      <c r="F1083" s="83"/>
      <c r="G1083" s="83" t="str">
        <f>IF($F1083="","",IFERROR(VLOOKUP($F1083,Inventory!$A:$B,2,FALSE),""))</f>
        <v/>
      </c>
      <c r="H1083" s="83"/>
      <c r="I1083" s="84" t="str">
        <f t="shared" si="2"/>
        <v/>
      </c>
      <c r="J1083" s="85" t="str">
        <f>IF($F1083="","",IFERROR(VLOOKUP($F1083,Inventory!$A:$K,11,FALSE),0))</f>
        <v/>
      </c>
      <c r="K1083" s="85"/>
      <c r="L1083" s="85" t="str">
        <f t="shared" si="12"/>
        <v/>
      </c>
      <c r="M1083" s="83"/>
      <c r="N1083" s="85" t="str">
        <f>IF($F1083="","",IFERROR(VLOOKUP($F1083,Inventory!$A:$I,9,FALSE),0))</f>
        <v/>
      </c>
      <c r="O1083" s="85" t="str">
        <f t="shared" si="13"/>
        <v/>
      </c>
      <c r="P1083" s="85" t="str">
        <f t="shared" si="5"/>
        <v/>
      </c>
      <c r="Q1083" s="83"/>
      <c r="R1083" s="118" t="str">
        <f>IF($E1083="","",IF(COUNTIF($E$7:$E2280,$E1083)&gt;1,"",IFERROR(VLOOKUP($E1083,Orders!$A:$I,8,FALSE),"")))</f>
        <v/>
      </c>
      <c r="S1083" s="118" t="str">
        <f>IF($E1083="","",IF(COUNTIF($E$7:$E2280,$E1083)&gt;1,"",IFERROR(VLOOKUP($E1083,Orders!$A:$I,9,FALSE),"")))</f>
        <v/>
      </c>
      <c r="T1083" s="88" t="str">
        <f t="shared" si="14"/>
        <v/>
      </c>
      <c r="U1083" s="88" t="str">
        <f>IF($F1083="","",IF($E1083="",T1083,SUMIF(Sales!$E$7:$E$1506,$E1083,Sales!$T$7:$T$1506)))</f>
        <v/>
      </c>
      <c r="V1083" s="49" t="str">
        <f t="shared" si="15"/>
        <v/>
      </c>
      <c r="W1083" s="49" t="str">
        <f t="array" ref="W1083">IF($V1083="","",SUMPRODUCT((Sales!$V$7:$V$1506&lt;&gt;"")*(Sales!$E$7:$E$1506&lt;$E1083))+1)</f>
        <v/>
      </c>
      <c r="X1083" s="49" t="str">
        <f t="shared" si="16"/>
        <v/>
      </c>
      <c r="Y1083" s="49" t="str">
        <f t="shared" si="17"/>
        <v/>
      </c>
    </row>
    <row r="1084" ht="15.0" customHeight="1">
      <c r="A1084" s="82"/>
      <c r="B1084" s="83"/>
      <c r="C1084" s="83"/>
      <c r="D1084" s="83"/>
      <c r="E1084" s="83"/>
      <c r="F1084" s="83"/>
      <c r="G1084" s="83" t="str">
        <f>IF($F1084="","",IFERROR(VLOOKUP($F1084,Inventory!$A:$B,2,FALSE),""))</f>
        <v/>
      </c>
      <c r="H1084" s="83"/>
      <c r="I1084" s="84" t="str">
        <f t="shared" si="2"/>
        <v/>
      </c>
      <c r="J1084" s="85" t="str">
        <f>IF($F1084="","",IFERROR(VLOOKUP($F1084,Inventory!$A:$K,11,FALSE),0))</f>
        <v/>
      </c>
      <c r="K1084" s="85"/>
      <c r="L1084" s="85" t="str">
        <f t="shared" si="12"/>
        <v/>
      </c>
      <c r="M1084" s="83"/>
      <c r="N1084" s="85" t="str">
        <f>IF($F1084="","",IFERROR(VLOOKUP($F1084,Inventory!$A:$I,9,FALSE),0))</f>
        <v/>
      </c>
      <c r="O1084" s="85" t="str">
        <f t="shared" si="13"/>
        <v/>
      </c>
      <c r="P1084" s="85" t="str">
        <f t="shared" si="5"/>
        <v/>
      </c>
      <c r="Q1084" s="83"/>
      <c r="R1084" s="118" t="str">
        <f>IF($E1084="","",IF(COUNTIF($E$7:$E2281,$E1084)&gt;1,"",IFERROR(VLOOKUP($E1084,Orders!$A:$I,8,FALSE),"")))</f>
        <v/>
      </c>
      <c r="S1084" s="118" t="str">
        <f>IF($E1084="","",IF(COUNTIF($E$7:$E2281,$E1084)&gt;1,"",IFERROR(VLOOKUP($E1084,Orders!$A:$I,9,FALSE),"")))</f>
        <v/>
      </c>
      <c r="T1084" s="88" t="str">
        <f t="shared" si="14"/>
        <v/>
      </c>
      <c r="U1084" s="88" t="str">
        <f>IF($F1084="","",IF($E1084="",T1084,SUMIF(Sales!$E$7:$E$1506,$E1084,Sales!$T$7:$T$1506)))</f>
        <v/>
      </c>
      <c r="V1084" s="49" t="str">
        <f t="shared" si="15"/>
        <v/>
      </c>
      <c r="W1084" s="49" t="str">
        <f t="array" ref="W1084">IF($V1084="","",SUMPRODUCT((Sales!$V$7:$V$1506&lt;&gt;"")*(Sales!$E$7:$E$1506&lt;$E1084))+1)</f>
        <v/>
      </c>
      <c r="X1084" s="49" t="str">
        <f t="shared" si="16"/>
        <v/>
      </c>
      <c r="Y1084" s="49" t="str">
        <f t="shared" si="17"/>
        <v/>
      </c>
    </row>
    <row r="1085" ht="15.0" customHeight="1">
      <c r="A1085" s="82"/>
      <c r="B1085" s="83"/>
      <c r="C1085" s="83"/>
      <c r="D1085" s="83"/>
      <c r="E1085" s="83"/>
      <c r="F1085" s="83"/>
      <c r="G1085" s="83" t="str">
        <f>IF($F1085="","",IFERROR(VLOOKUP($F1085,Inventory!$A:$B,2,FALSE),""))</f>
        <v/>
      </c>
      <c r="H1085" s="83"/>
      <c r="I1085" s="84" t="str">
        <f t="shared" si="2"/>
        <v/>
      </c>
      <c r="J1085" s="85" t="str">
        <f>IF($F1085="","",IFERROR(VLOOKUP($F1085,Inventory!$A:$K,11,FALSE),0))</f>
        <v/>
      </c>
      <c r="K1085" s="85"/>
      <c r="L1085" s="85" t="str">
        <f t="shared" si="12"/>
        <v/>
      </c>
      <c r="M1085" s="83"/>
      <c r="N1085" s="85" t="str">
        <f>IF($F1085="","",IFERROR(VLOOKUP($F1085,Inventory!$A:$I,9,FALSE),0))</f>
        <v/>
      </c>
      <c r="O1085" s="85" t="str">
        <f t="shared" si="13"/>
        <v/>
      </c>
      <c r="P1085" s="85" t="str">
        <f t="shared" si="5"/>
        <v/>
      </c>
      <c r="Q1085" s="83"/>
      <c r="R1085" s="118" t="str">
        <f>IF($E1085="","",IF(COUNTIF($E$7:$E2282,$E1085)&gt;1,"",IFERROR(VLOOKUP($E1085,Orders!$A:$I,8,FALSE),"")))</f>
        <v/>
      </c>
      <c r="S1085" s="118" t="str">
        <f>IF($E1085="","",IF(COUNTIF($E$7:$E2282,$E1085)&gt;1,"",IFERROR(VLOOKUP($E1085,Orders!$A:$I,9,FALSE),"")))</f>
        <v/>
      </c>
      <c r="T1085" s="88" t="str">
        <f t="shared" si="14"/>
        <v/>
      </c>
      <c r="U1085" s="88" t="str">
        <f>IF($F1085="","",IF($E1085="",T1085,SUMIF(Sales!$E$7:$E$1506,$E1085,Sales!$T$7:$T$1506)))</f>
        <v/>
      </c>
      <c r="V1085" s="49" t="str">
        <f t="shared" si="15"/>
        <v/>
      </c>
      <c r="W1085" s="49" t="str">
        <f t="array" ref="W1085">IF($V1085="","",SUMPRODUCT((Sales!$V$7:$V$1506&lt;&gt;"")*(Sales!$E$7:$E$1506&lt;$E1085))+1)</f>
        <v/>
      </c>
      <c r="X1085" s="49" t="str">
        <f t="shared" si="16"/>
        <v/>
      </c>
      <c r="Y1085" s="49" t="str">
        <f t="shared" si="17"/>
        <v/>
      </c>
    </row>
    <row r="1086" ht="15.0" customHeight="1">
      <c r="A1086" s="82"/>
      <c r="B1086" s="83"/>
      <c r="C1086" s="83"/>
      <c r="D1086" s="83"/>
      <c r="E1086" s="83"/>
      <c r="F1086" s="83"/>
      <c r="G1086" s="83" t="str">
        <f>IF($F1086="","",IFERROR(VLOOKUP($F1086,Inventory!$A:$B,2,FALSE),""))</f>
        <v/>
      </c>
      <c r="H1086" s="83"/>
      <c r="I1086" s="84" t="str">
        <f t="shared" si="2"/>
        <v/>
      </c>
      <c r="J1086" s="85" t="str">
        <f>IF($F1086="","",IFERROR(VLOOKUP($F1086,Inventory!$A:$K,11,FALSE),0))</f>
        <v/>
      </c>
      <c r="K1086" s="85"/>
      <c r="L1086" s="85" t="str">
        <f t="shared" si="12"/>
        <v/>
      </c>
      <c r="M1086" s="83"/>
      <c r="N1086" s="85" t="str">
        <f>IF($F1086="","",IFERROR(VLOOKUP($F1086,Inventory!$A:$I,9,FALSE),0))</f>
        <v/>
      </c>
      <c r="O1086" s="85" t="str">
        <f t="shared" si="13"/>
        <v/>
      </c>
      <c r="P1086" s="85" t="str">
        <f t="shared" si="5"/>
        <v/>
      </c>
      <c r="Q1086" s="83"/>
      <c r="R1086" s="118" t="str">
        <f>IF($E1086="","",IF(COUNTIF($E$7:$E2283,$E1086)&gt;1,"",IFERROR(VLOOKUP($E1086,Orders!$A:$I,8,FALSE),"")))</f>
        <v/>
      </c>
      <c r="S1086" s="118" t="str">
        <f>IF($E1086="","",IF(COUNTIF($E$7:$E2283,$E1086)&gt;1,"",IFERROR(VLOOKUP($E1086,Orders!$A:$I,9,FALSE),"")))</f>
        <v/>
      </c>
      <c r="T1086" s="88" t="str">
        <f t="shared" si="14"/>
        <v/>
      </c>
      <c r="U1086" s="88" t="str">
        <f>IF($F1086="","",IF($E1086="",T1086,SUMIF(Sales!$E$7:$E$1506,$E1086,Sales!$T$7:$T$1506)))</f>
        <v/>
      </c>
      <c r="V1086" s="49" t="str">
        <f t="shared" si="15"/>
        <v/>
      </c>
      <c r="W1086" s="49" t="str">
        <f t="array" ref="W1086">IF($V1086="","",SUMPRODUCT((Sales!$V$7:$V$1506&lt;&gt;"")*(Sales!$E$7:$E$1506&lt;$E1086))+1)</f>
        <v/>
      </c>
      <c r="X1086" s="49" t="str">
        <f t="shared" si="16"/>
        <v/>
      </c>
      <c r="Y1086" s="49" t="str">
        <f t="shared" si="17"/>
        <v/>
      </c>
    </row>
    <row r="1087" ht="15.0" customHeight="1">
      <c r="A1087" s="82"/>
      <c r="B1087" s="83"/>
      <c r="C1087" s="83"/>
      <c r="D1087" s="83"/>
      <c r="E1087" s="83"/>
      <c r="F1087" s="83"/>
      <c r="G1087" s="83" t="str">
        <f>IF($F1087="","",IFERROR(VLOOKUP($F1087,Inventory!$A:$B,2,FALSE),""))</f>
        <v/>
      </c>
      <c r="H1087" s="83"/>
      <c r="I1087" s="84" t="str">
        <f t="shared" si="2"/>
        <v/>
      </c>
      <c r="J1087" s="85" t="str">
        <f>IF($F1087="","",IFERROR(VLOOKUP($F1087,Inventory!$A:$K,11,FALSE),0))</f>
        <v/>
      </c>
      <c r="K1087" s="85"/>
      <c r="L1087" s="85" t="str">
        <f t="shared" si="12"/>
        <v/>
      </c>
      <c r="M1087" s="83"/>
      <c r="N1087" s="85" t="str">
        <f>IF($F1087="","",IFERROR(VLOOKUP($F1087,Inventory!$A:$I,9,FALSE),0))</f>
        <v/>
      </c>
      <c r="O1087" s="85" t="str">
        <f t="shared" si="13"/>
        <v/>
      </c>
      <c r="P1087" s="85" t="str">
        <f t="shared" si="5"/>
        <v/>
      </c>
      <c r="Q1087" s="83"/>
      <c r="R1087" s="118" t="str">
        <f>IF($E1087="","",IF(COUNTIF($E$7:$E2284,$E1087)&gt;1,"",IFERROR(VLOOKUP($E1087,Orders!$A:$I,8,FALSE),"")))</f>
        <v/>
      </c>
      <c r="S1087" s="118" t="str">
        <f>IF($E1087="","",IF(COUNTIF($E$7:$E2284,$E1087)&gt;1,"",IFERROR(VLOOKUP($E1087,Orders!$A:$I,9,FALSE),"")))</f>
        <v/>
      </c>
      <c r="T1087" s="88" t="str">
        <f t="shared" si="14"/>
        <v/>
      </c>
      <c r="U1087" s="88" t="str">
        <f>IF($F1087="","",IF($E1087="",T1087,SUMIF(Sales!$E$7:$E$1506,$E1087,Sales!$T$7:$T$1506)))</f>
        <v/>
      </c>
      <c r="V1087" s="49" t="str">
        <f t="shared" si="15"/>
        <v/>
      </c>
      <c r="W1087" s="49" t="str">
        <f t="array" ref="W1087">IF($V1087="","",SUMPRODUCT((Sales!$V$7:$V$1506&lt;&gt;"")*(Sales!$E$7:$E$1506&lt;$E1087))+1)</f>
        <v/>
      </c>
      <c r="X1087" s="49" t="str">
        <f t="shared" si="16"/>
        <v/>
      </c>
      <c r="Y1087" s="49" t="str">
        <f t="shared" si="17"/>
        <v/>
      </c>
    </row>
    <row r="1088" ht="15.0" customHeight="1">
      <c r="A1088" s="82"/>
      <c r="B1088" s="83"/>
      <c r="C1088" s="83"/>
      <c r="D1088" s="83"/>
      <c r="E1088" s="83"/>
      <c r="F1088" s="83"/>
      <c r="G1088" s="83" t="str">
        <f>IF($F1088="","",IFERROR(VLOOKUP($F1088,Inventory!$A:$B,2,FALSE),""))</f>
        <v/>
      </c>
      <c r="H1088" s="83"/>
      <c r="I1088" s="84" t="str">
        <f t="shared" si="2"/>
        <v/>
      </c>
      <c r="J1088" s="85" t="str">
        <f>IF($F1088="","",IFERROR(VLOOKUP($F1088,Inventory!$A:$K,11,FALSE),0))</f>
        <v/>
      </c>
      <c r="K1088" s="85"/>
      <c r="L1088" s="85" t="str">
        <f t="shared" si="12"/>
        <v/>
      </c>
      <c r="M1088" s="83"/>
      <c r="N1088" s="85" t="str">
        <f>IF($F1088="","",IFERROR(VLOOKUP($F1088,Inventory!$A:$I,9,FALSE),0))</f>
        <v/>
      </c>
      <c r="O1088" s="85" t="str">
        <f t="shared" si="13"/>
        <v/>
      </c>
      <c r="P1088" s="85" t="str">
        <f t="shared" si="5"/>
        <v/>
      </c>
      <c r="Q1088" s="83"/>
      <c r="R1088" s="118" t="str">
        <f>IF($E1088="","",IF(COUNTIF($E$7:$E2285,$E1088)&gt;1,"",IFERROR(VLOOKUP($E1088,Orders!$A:$I,8,FALSE),"")))</f>
        <v/>
      </c>
      <c r="S1088" s="118" t="str">
        <f>IF($E1088="","",IF(COUNTIF($E$7:$E2285,$E1088)&gt;1,"",IFERROR(VLOOKUP($E1088,Orders!$A:$I,9,FALSE),"")))</f>
        <v/>
      </c>
      <c r="T1088" s="88" t="str">
        <f t="shared" si="14"/>
        <v/>
      </c>
      <c r="U1088" s="88" t="str">
        <f>IF($F1088="","",IF($E1088="",T1088,SUMIF(Sales!$E$7:$E$1506,$E1088,Sales!$T$7:$T$1506)))</f>
        <v/>
      </c>
      <c r="V1088" s="49" t="str">
        <f t="shared" si="15"/>
        <v/>
      </c>
      <c r="W1088" s="49" t="str">
        <f t="array" ref="W1088">IF($V1088="","",SUMPRODUCT((Sales!$V$7:$V$1506&lt;&gt;"")*(Sales!$E$7:$E$1506&lt;$E1088))+1)</f>
        <v/>
      </c>
      <c r="X1088" s="49" t="str">
        <f t="shared" si="16"/>
        <v/>
      </c>
      <c r="Y1088" s="49" t="str">
        <f t="shared" si="17"/>
        <v/>
      </c>
    </row>
    <row r="1089" ht="15.0" customHeight="1">
      <c r="A1089" s="82"/>
      <c r="B1089" s="83"/>
      <c r="C1089" s="83"/>
      <c r="D1089" s="83"/>
      <c r="E1089" s="83"/>
      <c r="F1089" s="83"/>
      <c r="G1089" s="83" t="str">
        <f>IF($F1089="","",IFERROR(VLOOKUP($F1089,Inventory!$A:$B,2,FALSE),""))</f>
        <v/>
      </c>
      <c r="H1089" s="83"/>
      <c r="I1089" s="84" t="str">
        <f t="shared" si="2"/>
        <v/>
      </c>
      <c r="J1089" s="85" t="str">
        <f>IF($F1089="","",IFERROR(VLOOKUP($F1089,Inventory!$A:$K,11,FALSE),0))</f>
        <v/>
      </c>
      <c r="K1089" s="85"/>
      <c r="L1089" s="85" t="str">
        <f t="shared" si="12"/>
        <v/>
      </c>
      <c r="M1089" s="83"/>
      <c r="N1089" s="85" t="str">
        <f>IF($F1089="","",IFERROR(VLOOKUP($F1089,Inventory!$A:$I,9,FALSE),0))</f>
        <v/>
      </c>
      <c r="O1089" s="85" t="str">
        <f t="shared" si="13"/>
        <v/>
      </c>
      <c r="P1089" s="85" t="str">
        <f t="shared" si="5"/>
        <v/>
      </c>
      <c r="Q1089" s="83"/>
      <c r="R1089" s="118" t="str">
        <f>IF($E1089="","",IF(COUNTIF($E$7:$E2286,$E1089)&gt;1,"",IFERROR(VLOOKUP($E1089,Orders!$A:$I,8,FALSE),"")))</f>
        <v/>
      </c>
      <c r="S1089" s="118" t="str">
        <f>IF($E1089="","",IF(COUNTIF($E$7:$E2286,$E1089)&gt;1,"",IFERROR(VLOOKUP($E1089,Orders!$A:$I,9,FALSE),"")))</f>
        <v/>
      </c>
      <c r="T1089" s="88" t="str">
        <f t="shared" si="14"/>
        <v/>
      </c>
      <c r="U1089" s="88" t="str">
        <f>IF($F1089="","",IF($E1089="",T1089,SUMIF(Sales!$E$7:$E$1506,$E1089,Sales!$T$7:$T$1506)))</f>
        <v/>
      </c>
      <c r="V1089" s="49" t="str">
        <f t="shared" si="15"/>
        <v/>
      </c>
      <c r="W1089" s="49" t="str">
        <f t="array" ref="W1089">IF($V1089="","",SUMPRODUCT((Sales!$V$7:$V$1506&lt;&gt;"")*(Sales!$E$7:$E$1506&lt;$E1089))+1)</f>
        <v/>
      </c>
      <c r="X1089" s="49" t="str">
        <f t="shared" si="16"/>
        <v/>
      </c>
      <c r="Y1089" s="49" t="str">
        <f t="shared" si="17"/>
        <v/>
      </c>
    </row>
    <row r="1090" ht="15.0" customHeight="1">
      <c r="A1090" s="82"/>
      <c r="B1090" s="83"/>
      <c r="C1090" s="83"/>
      <c r="D1090" s="83"/>
      <c r="E1090" s="83"/>
      <c r="F1090" s="83"/>
      <c r="G1090" s="83" t="str">
        <f>IF($F1090="","",IFERROR(VLOOKUP($F1090,Inventory!$A:$B,2,FALSE),""))</f>
        <v/>
      </c>
      <c r="H1090" s="83"/>
      <c r="I1090" s="84" t="str">
        <f t="shared" si="2"/>
        <v/>
      </c>
      <c r="J1090" s="85" t="str">
        <f>IF($F1090="","",IFERROR(VLOOKUP($F1090,Inventory!$A:$K,11,FALSE),0))</f>
        <v/>
      </c>
      <c r="K1090" s="85"/>
      <c r="L1090" s="85" t="str">
        <f t="shared" si="12"/>
        <v/>
      </c>
      <c r="M1090" s="83"/>
      <c r="N1090" s="85" t="str">
        <f>IF($F1090="","",IFERROR(VLOOKUP($F1090,Inventory!$A:$I,9,FALSE),0))</f>
        <v/>
      </c>
      <c r="O1090" s="85" t="str">
        <f t="shared" si="13"/>
        <v/>
      </c>
      <c r="P1090" s="85" t="str">
        <f t="shared" si="5"/>
        <v/>
      </c>
      <c r="Q1090" s="83"/>
      <c r="R1090" s="118" t="str">
        <f>IF($E1090="","",IF(COUNTIF($E$7:$E2287,$E1090)&gt;1,"",IFERROR(VLOOKUP($E1090,Orders!$A:$I,8,FALSE),"")))</f>
        <v/>
      </c>
      <c r="S1090" s="118" t="str">
        <f>IF($E1090="","",IF(COUNTIF($E$7:$E2287,$E1090)&gt;1,"",IFERROR(VLOOKUP($E1090,Orders!$A:$I,9,FALSE),"")))</f>
        <v/>
      </c>
      <c r="T1090" s="88" t="str">
        <f t="shared" si="14"/>
        <v/>
      </c>
      <c r="U1090" s="88" t="str">
        <f>IF($F1090="","",IF($E1090="",T1090,SUMIF(Sales!$E$7:$E$1506,$E1090,Sales!$T$7:$T$1506)))</f>
        <v/>
      </c>
      <c r="V1090" s="49" t="str">
        <f t="shared" si="15"/>
        <v/>
      </c>
      <c r="W1090" s="49" t="str">
        <f t="array" ref="W1090">IF($V1090="","",SUMPRODUCT((Sales!$V$7:$V$1506&lt;&gt;"")*(Sales!$E$7:$E$1506&lt;$E1090))+1)</f>
        <v/>
      </c>
      <c r="X1090" s="49" t="str">
        <f t="shared" si="16"/>
        <v/>
      </c>
      <c r="Y1090" s="49" t="str">
        <f t="shared" si="17"/>
        <v/>
      </c>
    </row>
    <row r="1091" ht="15.0" customHeight="1">
      <c r="A1091" s="82"/>
      <c r="B1091" s="83"/>
      <c r="C1091" s="83"/>
      <c r="D1091" s="83"/>
      <c r="E1091" s="83"/>
      <c r="F1091" s="83"/>
      <c r="G1091" s="83" t="str">
        <f>IF($F1091="","",IFERROR(VLOOKUP($F1091,Inventory!$A:$B,2,FALSE),""))</f>
        <v/>
      </c>
      <c r="H1091" s="83"/>
      <c r="I1091" s="84" t="str">
        <f t="shared" si="2"/>
        <v/>
      </c>
      <c r="J1091" s="85" t="str">
        <f>IF($F1091="","",IFERROR(VLOOKUP($F1091,Inventory!$A:$K,11,FALSE),0))</f>
        <v/>
      </c>
      <c r="K1091" s="85"/>
      <c r="L1091" s="85" t="str">
        <f t="shared" si="12"/>
        <v/>
      </c>
      <c r="M1091" s="83"/>
      <c r="N1091" s="85" t="str">
        <f>IF($F1091="","",IFERROR(VLOOKUP($F1091,Inventory!$A:$I,9,FALSE),0))</f>
        <v/>
      </c>
      <c r="O1091" s="85" t="str">
        <f t="shared" si="13"/>
        <v/>
      </c>
      <c r="P1091" s="85" t="str">
        <f t="shared" si="5"/>
        <v/>
      </c>
      <c r="Q1091" s="83"/>
      <c r="R1091" s="118" t="str">
        <f>IF($E1091="","",IF(COUNTIF($E$7:$E2288,$E1091)&gt;1,"",IFERROR(VLOOKUP($E1091,Orders!$A:$I,8,FALSE),"")))</f>
        <v/>
      </c>
      <c r="S1091" s="118" t="str">
        <f>IF($E1091="","",IF(COUNTIF($E$7:$E2288,$E1091)&gt;1,"",IFERROR(VLOOKUP($E1091,Orders!$A:$I,9,FALSE),"")))</f>
        <v/>
      </c>
      <c r="T1091" s="88" t="str">
        <f t="shared" si="14"/>
        <v/>
      </c>
      <c r="U1091" s="88" t="str">
        <f>IF($F1091="","",IF($E1091="",T1091,SUMIF(Sales!$E$7:$E$1506,$E1091,Sales!$T$7:$T$1506)))</f>
        <v/>
      </c>
      <c r="V1091" s="49" t="str">
        <f t="shared" si="15"/>
        <v/>
      </c>
      <c r="W1091" s="49" t="str">
        <f t="array" ref="W1091">IF($V1091="","",SUMPRODUCT((Sales!$V$7:$V$1506&lt;&gt;"")*(Sales!$E$7:$E$1506&lt;$E1091))+1)</f>
        <v/>
      </c>
      <c r="X1091" s="49" t="str">
        <f t="shared" si="16"/>
        <v/>
      </c>
      <c r="Y1091" s="49" t="str">
        <f t="shared" si="17"/>
        <v/>
      </c>
    </row>
    <row r="1092" ht="15.0" customHeight="1">
      <c r="A1092" s="82"/>
      <c r="B1092" s="83"/>
      <c r="C1092" s="83"/>
      <c r="D1092" s="83"/>
      <c r="E1092" s="83"/>
      <c r="F1092" s="83"/>
      <c r="G1092" s="83" t="str">
        <f>IF($F1092="","",IFERROR(VLOOKUP($F1092,Inventory!$A:$B,2,FALSE),""))</f>
        <v/>
      </c>
      <c r="H1092" s="83"/>
      <c r="I1092" s="84" t="str">
        <f t="shared" si="2"/>
        <v/>
      </c>
      <c r="J1092" s="85" t="str">
        <f>IF($F1092="","",IFERROR(VLOOKUP($F1092,Inventory!$A:$K,11,FALSE),0))</f>
        <v/>
      </c>
      <c r="K1092" s="85"/>
      <c r="L1092" s="85" t="str">
        <f t="shared" si="12"/>
        <v/>
      </c>
      <c r="M1092" s="83"/>
      <c r="N1092" s="85" t="str">
        <f>IF($F1092="","",IFERROR(VLOOKUP($F1092,Inventory!$A:$I,9,FALSE),0))</f>
        <v/>
      </c>
      <c r="O1092" s="85" t="str">
        <f t="shared" si="13"/>
        <v/>
      </c>
      <c r="P1092" s="85" t="str">
        <f t="shared" si="5"/>
        <v/>
      </c>
      <c r="Q1092" s="83"/>
      <c r="R1092" s="118" t="str">
        <f>IF($E1092="","",IF(COUNTIF($E$7:$E2289,$E1092)&gt;1,"",IFERROR(VLOOKUP($E1092,Orders!$A:$I,8,FALSE),"")))</f>
        <v/>
      </c>
      <c r="S1092" s="118" t="str">
        <f>IF($E1092="","",IF(COUNTIF($E$7:$E2289,$E1092)&gt;1,"",IFERROR(VLOOKUP($E1092,Orders!$A:$I,9,FALSE),"")))</f>
        <v/>
      </c>
      <c r="T1092" s="88" t="str">
        <f t="shared" si="14"/>
        <v/>
      </c>
      <c r="U1092" s="88" t="str">
        <f>IF($F1092="","",IF($E1092="",T1092,SUMIF(Sales!$E$7:$E$1506,$E1092,Sales!$T$7:$T$1506)))</f>
        <v/>
      </c>
      <c r="V1092" s="49" t="str">
        <f t="shared" si="15"/>
        <v/>
      </c>
      <c r="W1092" s="49" t="str">
        <f t="array" ref="W1092">IF($V1092="","",SUMPRODUCT((Sales!$V$7:$V$1506&lt;&gt;"")*(Sales!$E$7:$E$1506&lt;$E1092))+1)</f>
        <v/>
      </c>
      <c r="X1092" s="49" t="str">
        <f t="shared" si="16"/>
        <v/>
      </c>
      <c r="Y1092" s="49" t="str">
        <f t="shared" si="17"/>
        <v/>
      </c>
    </row>
    <row r="1093" ht="15.0" customHeight="1">
      <c r="A1093" s="82"/>
      <c r="B1093" s="83"/>
      <c r="C1093" s="83"/>
      <c r="D1093" s="83"/>
      <c r="E1093" s="83"/>
      <c r="F1093" s="83"/>
      <c r="G1093" s="83" t="str">
        <f>IF($F1093="","",IFERROR(VLOOKUP($F1093,Inventory!$A:$B,2,FALSE),""))</f>
        <v/>
      </c>
      <c r="H1093" s="83"/>
      <c r="I1093" s="84" t="str">
        <f t="shared" si="2"/>
        <v/>
      </c>
      <c r="J1093" s="85" t="str">
        <f>IF($F1093="","",IFERROR(VLOOKUP($F1093,Inventory!$A:$K,11,FALSE),0))</f>
        <v/>
      </c>
      <c r="K1093" s="85"/>
      <c r="L1093" s="85" t="str">
        <f t="shared" si="12"/>
        <v/>
      </c>
      <c r="M1093" s="83"/>
      <c r="N1093" s="85" t="str">
        <f>IF($F1093="","",IFERROR(VLOOKUP($F1093,Inventory!$A:$I,9,FALSE),0))</f>
        <v/>
      </c>
      <c r="O1093" s="85" t="str">
        <f t="shared" si="13"/>
        <v/>
      </c>
      <c r="P1093" s="85" t="str">
        <f t="shared" si="5"/>
        <v/>
      </c>
      <c r="Q1093" s="83"/>
      <c r="R1093" s="118" t="str">
        <f>IF($E1093="","",IF(COUNTIF($E$7:$E2290,$E1093)&gt;1,"",IFERROR(VLOOKUP($E1093,Orders!$A:$I,8,FALSE),"")))</f>
        <v/>
      </c>
      <c r="S1093" s="118" t="str">
        <f>IF($E1093="","",IF(COUNTIF($E$7:$E2290,$E1093)&gt;1,"",IFERROR(VLOOKUP($E1093,Orders!$A:$I,9,FALSE),"")))</f>
        <v/>
      </c>
      <c r="T1093" s="88" t="str">
        <f t="shared" si="14"/>
        <v/>
      </c>
      <c r="U1093" s="88" t="str">
        <f>IF($F1093="","",IF($E1093="",T1093,SUMIF(Sales!$E$7:$E$1506,$E1093,Sales!$T$7:$T$1506)))</f>
        <v/>
      </c>
      <c r="V1093" s="49" t="str">
        <f t="shared" si="15"/>
        <v/>
      </c>
      <c r="W1093" s="49" t="str">
        <f t="array" ref="W1093">IF($V1093="","",SUMPRODUCT((Sales!$V$7:$V$1506&lt;&gt;"")*(Sales!$E$7:$E$1506&lt;$E1093))+1)</f>
        <v/>
      </c>
      <c r="X1093" s="49" t="str">
        <f t="shared" si="16"/>
        <v/>
      </c>
      <c r="Y1093" s="49" t="str">
        <f t="shared" si="17"/>
        <v/>
      </c>
    </row>
    <row r="1094" ht="15.0" customHeight="1">
      <c r="A1094" s="82"/>
      <c r="B1094" s="83"/>
      <c r="C1094" s="83"/>
      <c r="D1094" s="83"/>
      <c r="E1094" s="83"/>
      <c r="F1094" s="83"/>
      <c r="G1094" s="83" t="str">
        <f>IF($F1094="","",IFERROR(VLOOKUP($F1094,Inventory!$A:$B,2,FALSE),""))</f>
        <v/>
      </c>
      <c r="H1094" s="83"/>
      <c r="I1094" s="84" t="str">
        <f t="shared" si="2"/>
        <v/>
      </c>
      <c r="J1094" s="85" t="str">
        <f>IF($F1094="","",IFERROR(VLOOKUP($F1094,Inventory!$A:$K,11,FALSE),0))</f>
        <v/>
      </c>
      <c r="K1094" s="85"/>
      <c r="L1094" s="85" t="str">
        <f t="shared" si="12"/>
        <v/>
      </c>
      <c r="M1094" s="83"/>
      <c r="N1094" s="85" t="str">
        <f>IF($F1094="","",IFERROR(VLOOKUP($F1094,Inventory!$A:$I,9,FALSE),0))</f>
        <v/>
      </c>
      <c r="O1094" s="85" t="str">
        <f t="shared" si="13"/>
        <v/>
      </c>
      <c r="P1094" s="85" t="str">
        <f t="shared" si="5"/>
        <v/>
      </c>
      <c r="Q1094" s="83"/>
      <c r="R1094" s="118" t="str">
        <f>IF($E1094="","",IF(COUNTIF($E$7:$E2291,$E1094)&gt;1,"",IFERROR(VLOOKUP($E1094,Orders!$A:$I,8,FALSE),"")))</f>
        <v/>
      </c>
      <c r="S1094" s="118" t="str">
        <f>IF($E1094="","",IF(COUNTIF($E$7:$E2291,$E1094)&gt;1,"",IFERROR(VLOOKUP($E1094,Orders!$A:$I,9,FALSE),"")))</f>
        <v/>
      </c>
      <c r="T1094" s="88" t="str">
        <f t="shared" si="14"/>
        <v/>
      </c>
      <c r="U1094" s="88" t="str">
        <f>IF($F1094="","",IF($E1094="",T1094,SUMIF(Sales!$E$7:$E$1506,$E1094,Sales!$T$7:$T$1506)))</f>
        <v/>
      </c>
      <c r="V1094" s="49" t="str">
        <f t="shared" si="15"/>
        <v/>
      </c>
      <c r="W1094" s="49" t="str">
        <f t="array" ref="W1094">IF($V1094="","",SUMPRODUCT((Sales!$V$7:$V$1506&lt;&gt;"")*(Sales!$E$7:$E$1506&lt;$E1094))+1)</f>
        <v/>
      </c>
      <c r="X1094" s="49" t="str">
        <f t="shared" si="16"/>
        <v/>
      </c>
      <c r="Y1094" s="49" t="str">
        <f t="shared" si="17"/>
        <v/>
      </c>
    </row>
    <row r="1095" ht="15.0" customHeight="1">
      <c r="A1095" s="82"/>
      <c r="B1095" s="83"/>
      <c r="C1095" s="83"/>
      <c r="D1095" s="83"/>
      <c r="E1095" s="83"/>
      <c r="F1095" s="83"/>
      <c r="G1095" s="83" t="str">
        <f>IF($F1095="","",IFERROR(VLOOKUP($F1095,Inventory!$A:$B,2,FALSE),""))</f>
        <v/>
      </c>
      <c r="H1095" s="83"/>
      <c r="I1095" s="84" t="str">
        <f t="shared" si="2"/>
        <v/>
      </c>
      <c r="J1095" s="85" t="str">
        <f>IF($F1095="","",IFERROR(VLOOKUP($F1095,Inventory!$A:$K,11,FALSE),0))</f>
        <v/>
      </c>
      <c r="K1095" s="85"/>
      <c r="L1095" s="85" t="str">
        <f t="shared" si="12"/>
        <v/>
      </c>
      <c r="M1095" s="83"/>
      <c r="N1095" s="85" t="str">
        <f>IF($F1095="","",IFERROR(VLOOKUP($F1095,Inventory!$A:$I,9,FALSE),0))</f>
        <v/>
      </c>
      <c r="O1095" s="85" t="str">
        <f t="shared" si="13"/>
        <v/>
      </c>
      <c r="P1095" s="85" t="str">
        <f t="shared" si="5"/>
        <v/>
      </c>
      <c r="Q1095" s="83"/>
      <c r="R1095" s="118" t="str">
        <f>IF($E1095="","",IF(COUNTIF($E$7:$E2292,$E1095)&gt;1,"",IFERROR(VLOOKUP($E1095,Orders!$A:$I,8,FALSE),"")))</f>
        <v/>
      </c>
      <c r="S1095" s="118" t="str">
        <f>IF($E1095="","",IF(COUNTIF($E$7:$E2292,$E1095)&gt;1,"",IFERROR(VLOOKUP($E1095,Orders!$A:$I,9,FALSE),"")))</f>
        <v/>
      </c>
      <c r="T1095" s="88" t="str">
        <f t="shared" si="14"/>
        <v/>
      </c>
      <c r="U1095" s="88" t="str">
        <f>IF($F1095="","",IF($E1095="",T1095,SUMIF(Sales!$E$7:$E$1506,$E1095,Sales!$T$7:$T$1506)))</f>
        <v/>
      </c>
      <c r="V1095" s="49" t="str">
        <f t="shared" si="15"/>
        <v/>
      </c>
      <c r="W1095" s="49" t="str">
        <f t="array" ref="W1095">IF($V1095="","",SUMPRODUCT((Sales!$V$7:$V$1506&lt;&gt;"")*(Sales!$E$7:$E$1506&lt;$E1095))+1)</f>
        <v/>
      </c>
      <c r="X1095" s="49" t="str">
        <f t="shared" si="16"/>
        <v/>
      </c>
      <c r="Y1095" s="49" t="str">
        <f t="shared" si="17"/>
        <v/>
      </c>
    </row>
    <row r="1096" ht="15.0" customHeight="1">
      <c r="A1096" s="82"/>
      <c r="B1096" s="83"/>
      <c r="C1096" s="83"/>
      <c r="D1096" s="83"/>
      <c r="E1096" s="83"/>
      <c r="F1096" s="83"/>
      <c r="G1096" s="83" t="str">
        <f>IF($F1096="","",IFERROR(VLOOKUP($F1096,Inventory!$A:$B,2,FALSE),""))</f>
        <v/>
      </c>
      <c r="H1096" s="83"/>
      <c r="I1096" s="84" t="str">
        <f t="shared" si="2"/>
        <v/>
      </c>
      <c r="J1096" s="85" t="str">
        <f>IF($F1096="","",IFERROR(VLOOKUP($F1096,Inventory!$A:$K,11,FALSE),0))</f>
        <v/>
      </c>
      <c r="K1096" s="85"/>
      <c r="L1096" s="85" t="str">
        <f t="shared" si="12"/>
        <v/>
      </c>
      <c r="M1096" s="83"/>
      <c r="N1096" s="85" t="str">
        <f>IF($F1096="","",IFERROR(VLOOKUP($F1096,Inventory!$A:$I,9,FALSE),0))</f>
        <v/>
      </c>
      <c r="O1096" s="85" t="str">
        <f t="shared" si="13"/>
        <v/>
      </c>
      <c r="P1096" s="85" t="str">
        <f t="shared" si="5"/>
        <v/>
      </c>
      <c r="Q1096" s="83"/>
      <c r="R1096" s="118" t="str">
        <f>IF($E1096="","",IF(COUNTIF($E$7:$E2293,$E1096)&gt;1,"",IFERROR(VLOOKUP($E1096,Orders!$A:$I,8,FALSE),"")))</f>
        <v/>
      </c>
      <c r="S1096" s="118" t="str">
        <f>IF($E1096="","",IF(COUNTIF($E$7:$E2293,$E1096)&gt;1,"",IFERROR(VLOOKUP($E1096,Orders!$A:$I,9,FALSE),"")))</f>
        <v/>
      </c>
      <c r="T1096" s="88" t="str">
        <f t="shared" si="14"/>
        <v/>
      </c>
      <c r="U1096" s="88" t="str">
        <f>IF($F1096="","",IF($E1096="",T1096,SUMIF(Sales!$E$7:$E$1506,$E1096,Sales!$T$7:$T$1506)))</f>
        <v/>
      </c>
      <c r="V1096" s="49" t="str">
        <f t="shared" si="15"/>
        <v/>
      </c>
      <c r="W1096" s="49" t="str">
        <f t="array" ref="W1096">IF($V1096="","",SUMPRODUCT((Sales!$V$7:$V$1506&lt;&gt;"")*(Sales!$E$7:$E$1506&lt;$E1096))+1)</f>
        <v/>
      </c>
      <c r="X1096" s="49" t="str">
        <f t="shared" si="16"/>
        <v/>
      </c>
      <c r="Y1096" s="49" t="str">
        <f t="shared" si="17"/>
        <v/>
      </c>
    </row>
    <row r="1097" ht="15.0" customHeight="1">
      <c r="A1097" s="82"/>
      <c r="B1097" s="83"/>
      <c r="C1097" s="83"/>
      <c r="D1097" s="83"/>
      <c r="E1097" s="83"/>
      <c r="F1097" s="83"/>
      <c r="G1097" s="83" t="str">
        <f>IF($F1097="","",IFERROR(VLOOKUP($F1097,Inventory!$A:$B,2,FALSE),""))</f>
        <v/>
      </c>
      <c r="H1097" s="83"/>
      <c r="I1097" s="84" t="str">
        <f t="shared" si="2"/>
        <v/>
      </c>
      <c r="J1097" s="85" t="str">
        <f>IF($F1097="","",IFERROR(VLOOKUP($F1097,Inventory!$A:$K,11,FALSE),0))</f>
        <v/>
      </c>
      <c r="K1097" s="85"/>
      <c r="L1097" s="85" t="str">
        <f t="shared" si="12"/>
        <v/>
      </c>
      <c r="M1097" s="83"/>
      <c r="N1097" s="85" t="str">
        <f>IF($F1097="","",IFERROR(VLOOKUP($F1097,Inventory!$A:$I,9,FALSE),0))</f>
        <v/>
      </c>
      <c r="O1097" s="85" t="str">
        <f t="shared" si="13"/>
        <v/>
      </c>
      <c r="P1097" s="85" t="str">
        <f t="shared" si="5"/>
        <v/>
      </c>
      <c r="Q1097" s="83"/>
      <c r="R1097" s="118" t="str">
        <f>IF($E1097="","",IF(COUNTIF($E$7:$E2294,$E1097)&gt;1,"",IFERROR(VLOOKUP($E1097,Orders!$A:$I,8,FALSE),"")))</f>
        <v/>
      </c>
      <c r="S1097" s="118" t="str">
        <f>IF($E1097="","",IF(COUNTIF($E$7:$E2294,$E1097)&gt;1,"",IFERROR(VLOOKUP($E1097,Orders!$A:$I,9,FALSE),"")))</f>
        <v/>
      </c>
      <c r="T1097" s="88" t="str">
        <f t="shared" si="14"/>
        <v/>
      </c>
      <c r="U1097" s="88" t="str">
        <f>IF($F1097="","",IF($E1097="",T1097,SUMIF(Sales!$E$7:$E$1506,$E1097,Sales!$T$7:$T$1506)))</f>
        <v/>
      </c>
      <c r="V1097" s="49" t="str">
        <f t="shared" si="15"/>
        <v/>
      </c>
      <c r="W1097" s="49" t="str">
        <f t="array" ref="W1097">IF($V1097="","",SUMPRODUCT((Sales!$V$7:$V$1506&lt;&gt;"")*(Sales!$E$7:$E$1506&lt;$E1097))+1)</f>
        <v/>
      </c>
      <c r="X1097" s="49" t="str">
        <f t="shared" si="16"/>
        <v/>
      </c>
      <c r="Y1097" s="49" t="str">
        <f t="shared" si="17"/>
        <v/>
      </c>
    </row>
    <row r="1098" ht="15.0" customHeight="1">
      <c r="A1098" s="82"/>
      <c r="B1098" s="83"/>
      <c r="C1098" s="83"/>
      <c r="D1098" s="83"/>
      <c r="E1098" s="83"/>
      <c r="F1098" s="83"/>
      <c r="G1098" s="83" t="str">
        <f>IF($F1098="","",IFERROR(VLOOKUP($F1098,Inventory!$A:$B,2,FALSE),""))</f>
        <v/>
      </c>
      <c r="H1098" s="83"/>
      <c r="I1098" s="84" t="str">
        <f t="shared" si="2"/>
        <v/>
      </c>
      <c r="J1098" s="85" t="str">
        <f>IF($F1098="","",IFERROR(VLOOKUP($F1098,Inventory!$A:$K,11,FALSE),0))</f>
        <v/>
      </c>
      <c r="K1098" s="85"/>
      <c r="L1098" s="85" t="str">
        <f t="shared" si="12"/>
        <v/>
      </c>
      <c r="M1098" s="83"/>
      <c r="N1098" s="85" t="str">
        <f>IF($F1098="","",IFERROR(VLOOKUP($F1098,Inventory!$A:$I,9,FALSE),0))</f>
        <v/>
      </c>
      <c r="O1098" s="85" t="str">
        <f t="shared" si="13"/>
        <v/>
      </c>
      <c r="P1098" s="85" t="str">
        <f t="shared" si="5"/>
        <v/>
      </c>
      <c r="Q1098" s="83"/>
      <c r="R1098" s="118" t="str">
        <f>IF($E1098="","",IF(COUNTIF($E$7:$E2295,$E1098)&gt;1,"",IFERROR(VLOOKUP($E1098,Orders!$A:$I,8,FALSE),"")))</f>
        <v/>
      </c>
      <c r="S1098" s="118" t="str">
        <f>IF($E1098="","",IF(COUNTIF($E$7:$E2295,$E1098)&gt;1,"",IFERROR(VLOOKUP($E1098,Orders!$A:$I,9,FALSE),"")))</f>
        <v/>
      </c>
      <c r="T1098" s="88" t="str">
        <f t="shared" si="14"/>
        <v/>
      </c>
      <c r="U1098" s="88" t="str">
        <f>IF($F1098="","",IF($E1098="",T1098,SUMIF(Sales!$E$7:$E$1506,$E1098,Sales!$T$7:$T$1506)))</f>
        <v/>
      </c>
      <c r="V1098" s="49" t="str">
        <f t="shared" si="15"/>
        <v/>
      </c>
      <c r="W1098" s="49" t="str">
        <f t="array" ref="W1098">IF($V1098="","",SUMPRODUCT((Sales!$V$7:$V$1506&lt;&gt;"")*(Sales!$E$7:$E$1506&lt;$E1098))+1)</f>
        <v/>
      </c>
      <c r="X1098" s="49" t="str">
        <f t="shared" si="16"/>
        <v/>
      </c>
      <c r="Y1098" s="49" t="str">
        <f t="shared" si="17"/>
        <v/>
      </c>
    </row>
    <row r="1099" ht="15.0" customHeight="1">
      <c r="A1099" s="82"/>
      <c r="B1099" s="83"/>
      <c r="C1099" s="83"/>
      <c r="D1099" s="83"/>
      <c r="E1099" s="83"/>
      <c r="F1099" s="83"/>
      <c r="G1099" s="83" t="str">
        <f>IF($F1099="","",IFERROR(VLOOKUP($F1099,Inventory!$A:$B,2,FALSE),""))</f>
        <v/>
      </c>
      <c r="H1099" s="83"/>
      <c r="I1099" s="84" t="str">
        <f t="shared" si="2"/>
        <v/>
      </c>
      <c r="J1099" s="85" t="str">
        <f>IF($F1099="","",IFERROR(VLOOKUP($F1099,Inventory!$A:$K,11,FALSE),0))</f>
        <v/>
      </c>
      <c r="K1099" s="85"/>
      <c r="L1099" s="85" t="str">
        <f t="shared" si="12"/>
        <v/>
      </c>
      <c r="M1099" s="83"/>
      <c r="N1099" s="85" t="str">
        <f>IF($F1099="","",IFERROR(VLOOKUP($F1099,Inventory!$A:$I,9,FALSE),0))</f>
        <v/>
      </c>
      <c r="O1099" s="85" t="str">
        <f t="shared" si="13"/>
        <v/>
      </c>
      <c r="P1099" s="85" t="str">
        <f t="shared" si="5"/>
        <v/>
      </c>
      <c r="Q1099" s="83"/>
      <c r="R1099" s="118" t="str">
        <f>IF($E1099="","",IF(COUNTIF($E$7:$E2296,$E1099)&gt;1,"",IFERROR(VLOOKUP($E1099,Orders!$A:$I,8,FALSE),"")))</f>
        <v/>
      </c>
      <c r="S1099" s="118" t="str">
        <f>IF($E1099="","",IF(COUNTIF($E$7:$E2296,$E1099)&gt;1,"",IFERROR(VLOOKUP($E1099,Orders!$A:$I,9,FALSE),"")))</f>
        <v/>
      </c>
      <c r="T1099" s="88" t="str">
        <f t="shared" si="14"/>
        <v/>
      </c>
      <c r="U1099" s="88" t="str">
        <f>IF($F1099="","",IF($E1099="",T1099,SUMIF(Sales!$E$7:$E$1506,$E1099,Sales!$T$7:$T$1506)))</f>
        <v/>
      </c>
      <c r="V1099" s="49" t="str">
        <f t="shared" si="15"/>
        <v/>
      </c>
      <c r="W1099" s="49" t="str">
        <f t="array" ref="W1099">IF($V1099="","",SUMPRODUCT((Sales!$V$7:$V$1506&lt;&gt;"")*(Sales!$E$7:$E$1506&lt;$E1099))+1)</f>
        <v/>
      </c>
      <c r="X1099" s="49" t="str">
        <f t="shared" si="16"/>
        <v/>
      </c>
      <c r="Y1099" s="49" t="str">
        <f t="shared" si="17"/>
        <v/>
      </c>
    </row>
    <row r="1100" ht="15.0" customHeight="1">
      <c r="A1100" s="82"/>
      <c r="B1100" s="83"/>
      <c r="C1100" s="83"/>
      <c r="D1100" s="83"/>
      <c r="E1100" s="83"/>
      <c r="F1100" s="83"/>
      <c r="G1100" s="83" t="str">
        <f>IF($F1100="","",IFERROR(VLOOKUP($F1100,Inventory!$A:$B,2,FALSE),""))</f>
        <v/>
      </c>
      <c r="H1100" s="83"/>
      <c r="I1100" s="84" t="str">
        <f t="shared" si="2"/>
        <v/>
      </c>
      <c r="J1100" s="85" t="str">
        <f>IF($F1100="","",IFERROR(VLOOKUP($F1100,Inventory!$A:$K,11,FALSE),0))</f>
        <v/>
      </c>
      <c r="K1100" s="85"/>
      <c r="L1100" s="85" t="str">
        <f t="shared" si="12"/>
        <v/>
      </c>
      <c r="M1100" s="83"/>
      <c r="N1100" s="85" t="str">
        <f>IF($F1100="","",IFERROR(VLOOKUP($F1100,Inventory!$A:$I,9,FALSE),0))</f>
        <v/>
      </c>
      <c r="O1100" s="85" t="str">
        <f t="shared" si="13"/>
        <v/>
      </c>
      <c r="P1100" s="85" t="str">
        <f t="shared" si="5"/>
        <v/>
      </c>
      <c r="Q1100" s="83"/>
      <c r="R1100" s="118" t="str">
        <f>IF($E1100="","",IF(COUNTIF($E$7:$E2297,$E1100)&gt;1,"",IFERROR(VLOOKUP($E1100,Orders!$A:$I,8,FALSE),"")))</f>
        <v/>
      </c>
      <c r="S1100" s="118" t="str">
        <f>IF($E1100="","",IF(COUNTIF($E$7:$E2297,$E1100)&gt;1,"",IFERROR(VLOOKUP($E1100,Orders!$A:$I,9,FALSE),"")))</f>
        <v/>
      </c>
      <c r="T1100" s="88" t="str">
        <f t="shared" si="14"/>
        <v/>
      </c>
      <c r="U1100" s="88" t="str">
        <f>IF($F1100="","",IF($E1100="",T1100,SUMIF(Sales!$E$7:$E$1506,$E1100,Sales!$T$7:$T$1506)))</f>
        <v/>
      </c>
      <c r="V1100" s="49" t="str">
        <f t="shared" si="15"/>
        <v/>
      </c>
      <c r="W1100" s="49" t="str">
        <f t="array" ref="W1100">IF($V1100="","",SUMPRODUCT((Sales!$V$7:$V$1506&lt;&gt;"")*(Sales!$E$7:$E$1506&lt;$E1100))+1)</f>
        <v/>
      </c>
      <c r="X1100" s="49" t="str">
        <f t="shared" si="16"/>
        <v/>
      </c>
      <c r="Y1100" s="49" t="str">
        <f t="shared" si="17"/>
        <v/>
      </c>
    </row>
    <row r="1101" ht="15.0" customHeight="1">
      <c r="A1101" s="82"/>
      <c r="B1101" s="83"/>
      <c r="C1101" s="83"/>
      <c r="D1101" s="83"/>
      <c r="E1101" s="83"/>
      <c r="F1101" s="83"/>
      <c r="G1101" s="83" t="str">
        <f>IF($F1101="","",IFERROR(VLOOKUP($F1101,Inventory!$A:$B,2,FALSE),""))</f>
        <v/>
      </c>
      <c r="H1101" s="83"/>
      <c r="I1101" s="84" t="str">
        <f t="shared" si="2"/>
        <v/>
      </c>
      <c r="J1101" s="85" t="str">
        <f>IF($F1101="","",IFERROR(VLOOKUP($F1101,Inventory!$A:$K,11,FALSE),0))</f>
        <v/>
      </c>
      <c r="K1101" s="85"/>
      <c r="L1101" s="85" t="str">
        <f t="shared" si="12"/>
        <v/>
      </c>
      <c r="M1101" s="83"/>
      <c r="N1101" s="85" t="str">
        <f>IF($F1101="","",IFERROR(VLOOKUP($F1101,Inventory!$A:$I,9,FALSE),0))</f>
        <v/>
      </c>
      <c r="O1101" s="85" t="str">
        <f t="shared" si="13"/>
        <v/>
      </c>
      <c r="P1101" s="85" t="str">
        <f t="shared" si="5"/>
        <v/>
      </c>
      <c r="Q1101" s="83"/>
      <c r="R1101" s="118" t="str">
        <f>IF($E1101="","",IF(COUNTIF($E$7:$E2298,$E1101)&gt;1,"",IFERROR(VLOOKUP($E1101,Orders!$A:$I,8,FALSE),"")))</f>
        <v/>
      </c>
      <c r="S1101" s="118" t="str">
        <f>IF($E1101="","",IF(COUNTIF($E$7:$E2298,$E1101)&gt;1,"",IFERROR(VLOOKUP($E1101,Orders!$A:$I,9,FALSE),"")))</f>
        <v/>
      </c>
      <c r="T1101" s="88" t="str">
        <f t="shared" si="14"/>
        <v/>
      </c>
      <c r="U1101" s="88" t="str">
        <f>IF($F1101="","",IF($E1101="",T1101,SUMIF(Sales!$E$7:$E$1506,$E1101,Sales!$T$7:$T$1506)))</f>
        <v/>
      </c>
      <c r="V1101" s="49" t="str">
        <f t="shared" si="15"/>
        <v/>
      </c>
      <c r="W1101" s="49" t="str">
        <f t="array" ref="W1101">IF($V1101="","",SUMPRODUCT((Sales!$V$7:$V$1506&lt;&gt;"")*(Sales!$E$7:$E$1506&lt;$E1101))+1)</f>
        <v/>
      </c>
      <c r="X1101" s="49" t="str">
        <f t="shared" si="16"/>
        <v/>
      </c>
      <c r="Y1101" s="49" t="str">
        <f t="shared" si="17"/>
        <v/>
      </c>
    </row>
    <row r="1102" ht="15.0" customHeight="1">
      <c r="A1102" s="82"/>
      <c r="B1102" s="83"/>
      <c r="C1102" s="83"/>
      <c r="D1102" s="83"/>
      <c r="E1102" s="83"/>
      <c r="F1102" s="83"/>
      <c r="G1102" s="83" t="str">
        <f>IF($F1102="","",IFERROR(VLOOKUP($F1102,Inventory!$A:$B,2,FALSE),""))</f>
        <v/>
      </c>
      <c r="H1102" s="83"/>
      <c r="I1102" s="84" t="str">
        <f t="shared" si="2"/>
        <v/>
      </c>
      <c r="J1102" s="85" t="str">
        <f>IF($F1102="","",IFERROR(VLOOKUP($F1102,Inventory!$A:$K,11,FALSE),0))</f>
        <v/>
      </c>
      <c r="K1102" s="85"/>
      <c r="L1102" s="85" t="str">
        <f t="shared" si="12"/>
        <v/>
      </c>
      <c r="M1102" s="83"/>
      <c r="N1102" s="85" t="str">
        <f>IF($F1102="","",IFERROR(VLOOKUP($F1102,Inventory!$A:$I,9,FALSE),0))</f>
        <v/>
      </c>
      <c r="O1102" s="85" t="str">
        <f t="shared" si="13"/>
        <v/>
      </c>
      <c r="P1102" s="85" t="str">
        <f t="shared" si="5"/>
        <v/>
      </c>
      <c r="Q1102" s="83"/>
      <c r="R1102" s="118" t="str">
        <f>IF($E1102="","",IF(COUNTIF($E$7:$E2299,$E1102)&gt;1,"",IFERROR(VLOOKUP($E1102,Orders!$A:$I,8,FALSE),"")))</f>
        <v/>
      </c>
      <c r="S1102" s="118" t="str">
        <f>IF($E1102="","",IF(COUNTIF($E$7:$E2299,$E1102)&gt;1,"",IFERROR(VLOOKUP($E1102,Orders!$A:$I,9,FALSE),"")))</f>
        <v/>
      </c>
      <c r="T1102" s="88" t="str">
        <f t="shared" si="14"/>
        <v/>
      </c>
      <c r="U1102" s="88" t="str">
        <f>IF($F1102="","",IF($E1102="",T1102,SUMIF(Sales!$E$7:$E$1506,$E1102,Sales!$T$7:$T$1506)))</f>
        <v/>
      </c>
      <c r="V1102" s="49" t="str">
        <f t="shared" si="15"/>
        <v/>
      </c>
      <c r="W1102" s="49" t="str">
        <f t="array" ref="W1102">IF($V1102="","",SUMPRODUCT((Sales!$V$7:$V$1506&lt;&gt;"")*(Sales!$E$7:$E$1506&lt;$E1102))+1)</f>
        <v/>
      </c>
      <c r="X1102" s="49" t="str">
        <f t="shared" si="16"/>
        <v/>
      </c>
      <c r="Y1102" s="49" t="str">
        <f t="shared" si="17"/>
        <v/>
      </c>
    </row>
    <row r="1103" ht="15.0" customHeight="1">
      <c r="A1103" s="82"/>
      <c r="B1103" s="83"/>
      <c r="C1103" s="83"/>
      <c r="D1103" s="83"/>
      <c r="E1103" s="83"/>
      <c r="F1103" s="83"/>
      <c r="G1103" s="83" t="str">
        <f>IF($F1103="","",IFERROR(VLOOKUP($F1103,Inventory!$A:$B,2,FALSE),""))</f>
        <v/>
      </c>
      <c r="H1103" s="83"/>
      <c r="I1103" s="84" t="str">
        <f t="shared" si="2"/>
        <v/>
      </c>
      <c r="J1103" s="85" t="str">
        <f>IF($F1103="","",IFERROR(VLOOKUP($F1103,Inventory!$A:$K,11,FALSE),0))</f>
        <v/>
      </c>
      <c r="K1103" s="85"/>
      <c r="L1103" s="85" t="str">
        <f t="shared" si="12"/>
        <v/>
      </c>
      <c r="M1103" s="83"/>
      <c r="N1103" s="85" t="str">
        <f>IF($F1103="","",IFERROR(VLOOKUP($F1103,Inventory!$A:$I,9,FALSE),0))</f>
        <v/>
      </c>
      <c r="O1103" s="85" t="str">
        <f t="shared" si="13"/>
        <v/>
      </c>
      <c r="P1103" s="85" t="str">
        <f t="shared" si="5"/>
        <v/>
      </c>
      <c r="Q1103" s="83"/>
      <c r="R1103" s="118" t="str">
        <f>IF($E1103="","",IF(COUNTIF($E$7:$E2300,$E1103)&gt;1,"",IFERROR(VLOOKUP($E1103,Orders!$A:$I,8,FALSE),"")))</f>
        <v/>
      </c>
      <c r="S1103" s="118" t="str">
        <f>IF($E1103="","",IF(COUNTIF($E$7:$E2300,$E1103)&gt;1,"",IFERROR(VLOOKUP($E1103,Orders!$A:$I,9,FALSE),"")))</f>
        <v/>
      </c>
      <c r="T1103" s="88" t="str">
        <f t="shared" si="14"/>
        <v/>
      </c>
      <c r="U1103" s="88" t="str">
        <f>IF($F1103="","",IF($E1103="",T1103,SUMIF(Sales!$E$7:$E$1506,$E1103,Sales!$T$7:$T$1506)))</f>
        <v/>
      </c>
      <c r="V1103" s="49" t="str">
        <f t="shared" si="15"/>
        <v/>
      </c>
      <c r="W1103" s="49" t="str">
        <f t="array" ref="W1103">IF($V1103="","",SUMPRODUCT((Sales!$V$7:$V$1506&lt;&gt;"")*(Sales!$E$7:$E$1506&lt;$E1103))+1)</f>
        <v/>
      </c>
      <c r="X1103" s="49" t="str">
        <f t="shared" si="16"/>
        <v/>
      </c>
      <c r="Y1103" s="49" t="str">
        <f t="shared" si="17"/>
        <v/>
      </c>
    </row>
    <row r="1104" ht="15.0" customHeight="1">
      <c r="A1104" s="82"/>
      <c r="B1104" s="83"/>
      <c r="C1104" s="83"/>
      <c r="D1104" s="83"/>
      <c r="E1104" s="83"/>
      <c r="F1104" s="83"/>
      <c r="G1104" s="83" t="str">
        <f>IF($F1104="","",IFERROR(VLOOKUP($F1104,Inventory!$A:$B,2,FALSE),""))</f>
        <v/>
      </c>
      <c r="H1104" s="83"/>
      <c r="I1104" s="84" t="str">
        <f t="shared" si="2"/>
        <v/>
      </c>
      <c r="J1104" s="85" t="str">
        <f>IF($F1104="","",IFERROR(VLOOKUP($F1104,Inventory!$A:$K,11,FALSE),0))</f>
        <v/>
      </c>
      <c r="K1104" s="85"/>
      <c r="L1104" s="85" t="str">
        <f t="shared" si="12"/>
        <v/>
      </c>
      <c r="M1104" s="83"/>
      <c r="N1104" s="85" t="str">
        <f>IF($F1104="","",IFERROR(VLOOKUP($F1104,Inventory!$A:$I,9,FALSE),0))</f>
        <v/>
      </c>
      <c r="O1104" s="85" t="str">
        <f t="shared" si="13"/>
        <v/>
      </c>
      <c r="P1104" s="85" t="str">
        <f t="shared" si="5"/>
        <v/>
      </c>
      <c r="Q1104" s="83"/>
      <c r="R1104" s="118" t="str">
        <f>IF($E1104="","",IF(COUNTIF($E$7:$E2301,$E1104)&gt;1,"",IFERROR(VLOOKUP($E1104,Orders!$A:$I,8,FALSE),"")))</f>
        <v/>
      </c>
      <c r="S1104" s="118" t="str">
        <f>IF($E1104="","",IF(COUNTIF($E$7:$E2301,$E1104)&gt;1,"",IFERROR(VLOOKUP($E1104,Orders!$A:$I,9,FALSE),"")))</f>
        <v/>
      </c>
      <c r="T1104" s="88" t="str">
        <f t="shared" si="14"/>
        <v/>
      </c>
      <c r="U1104" s="88" t="str">
        <f>IF($F1104="","",IF($E1104="",T1104,SUMIF(Sales!$E$7:$E$1506,$E1104,Sales!$T$7:$T$1506)))</f>
        <v/>
      </c>
      <c r="V1104" s="49" t="str">
        <f t="shared" si="15"/>
        <v/>
      </c>
      <c r="W1104" s="49" t="str">
        <f t="array" ref="W1104">IF($V1104="","",SUMPRODUCT((Sales!$V$7:$V$1506&lt;&gt;"")*(Sales!$E$7:$E$1506&lt;$E1104))+1)</f>
        <v/>
      </c>
      <c r="X1104" s="49" t="str">
        <f t="shared" si="16"/>
        <v/>
      </c>
      <c r="Y1104" s="49" t="str">
        <f t="shared" si="17"/>
        <v/>
      </c>
    </row>
    <row r="1105" ht="15.0" customHeight="1">
      <c r="A1105" s="82"/>
      <c r="B1105" s="83"/>
      <c r="C1105" s="83"/>
      <c r="D1105" s="83"/>
      <c r="E1105" s="83"/>
      <c r="F1105" s="83"/>
      <c r="G1105" s="83" t="str">
        <f>IF($F1105="","",IFERROR(VLOOKUP($F1105,Inventory!$A:$B,2,FALSE),""))</f>
        <v/>
      </c>
      <c r="H1105" s="83"/>
      <c r="I1105" s="84" t="str">
        <f t="shared" si="2"/>
        <v/>
      </c>
      <c r="J1105" s="85" t="str">
        <f>IF($F1105="","",IFERROR(VLOOKUP($F1105,Inventory!$A:$K,11,FALSE),0))</f>
        <v/>
      </c>
      <c r="K1105" s="85"/>
      <c r="L1105" s="85" t="str">
        <f t="shared" si="12"/>
        <v/>
      </c>
      <c r="M1105" s="83"/>
      <c r="N1105" s="85" t="str">
        <f>IF($F1105="","",IFERROR(VLOOKUP($F1105,Inventory!$A:$I,9,FALSE),0))</f>
        <v/>
      </c>
      <c r="O1105" s="85" t="str">
        <f t="shared" si="13"/>
        <v/>
      </c>
      <c r="P1105" s="85" t="str">
        <f t="shared" si="5"/>
        <v/>
      </c>
      <c r="Q1105" s="83"/>
      <c r="R1105" s="118" t="str">
        <f>IF($E1105="","",IF(COUNTIF($E$7:$E2302,$E1105)&gt;1,"",IFERROR(VLOOKUP($E1105,Orders!$A:$I,8,FALSE),"")))</f>
        <v/>
      </c>
      <c r="S1105" s="118" t="str">
        <f>IF($E1105="","",IF(COUNTIF($E$7:$E2302,$E1105)&gt;1,"",IFERROR(VLOOKUP($E1105,Orders!$A:$I,9,FALSE),"")))</f>
        <v/>
      </c>
      <c r="T1105" s="88" t="str">
        <f t="shared" si="14"/>
        <v/>
      </c>
      <c r="U1105" s="88" t="str">
        <f>IF($F1105="","",IF($E1105="",T1105,SUMIF(Sales!$E$7:$E$1506,$E1105,Sales!$T$7:$T$1506)))</f>
        <v/>
      </c>
      <c r="V1105" s="49" t="str">
        <f t="shared" si="15"/>
        <v/>
      </c>
      <c r="W1105" s="49" t="str">
        <f t="array" ref="W1105">IF($V1105="","",SUMPRODUCT((Sales!$V$7:$V$1506&lt;&gt;"")*(Sales!$E$7:$E$1506&lt;$E1105))+1)</f>
        <v/>
      </c>
      <c r="X1105" s="49" t="str">
        <f t="shared" si="16"/>
        <v/>
      </c>
      <c r="Y1105" s="49" t="str">
        <f t="shared" si="17"/>
        <v/>
      </c>
    </row>
    <row r="1106" ht="15.0" customHeight="1">
      <c r="A1106" s="82"/>
      <c r="B1106" s="83"/>
      <c r="C1106" s="83"/>
      <c r="D1106" s="83"/>
      <c r="E1106" s="83"/>
      <c r="F1106" s="83"/>
      <c r="G1106" s="83" t="str">
        <f>IF($F1106="","",IFERROR(VLOOKUP($F1106,Inventory!$A:$B,2,FALSE),""))</f>
        <v/>
      </c>
      <c r="H1106" s="83"/>
      <c r="I1106" s="84" t="str">
        <f t="shared" si="2"/>
        <v/>
      </c>
      <c r="J1106" s="85" t="str">
        <f>IF($F1106="","",IFERROR(VLOOKUP($F1106,Inventory!$A:$K,11,FALSE),0))</f>
        <v/>
      </c>
      <c r="K1106" s="85"/>
      <c r="L1106" s="85" t="str">
        <f t="shared" si="12"/>
        <v/>
      </c>
      <c r="M1106" s="83"/>
      <c r="N1106" s="85" t="str">
        <f>IF($F1106="","",IFERROR(VLOOKUP($F1106,Inventory!$A:$I,9,FALSE),0))</f>
        <v/>
      </c>
      <c r="O1106" s="85" t="str">
        <f t="shared" si="13"/>
        <v/>
      </c>
      <c r="P1106" s="85" t="str">
        <f t="shared" si="5"/>
        <v/>
      </c>
      <c r="Q1106" s="83"/>
      <c r="R1106" s="118" t="str">
        <f>IF($E1106="","",IF(COUNTIF($E$7:$E2303,$E1106)&gt;1,"",IFERROR(VLOOKUP($E1106,Orders!$A:$I,8,FALSE),"")))</f>
        <v/>
      </c>
      <c r="S1106" s="118" t="str">
        <f>IF($E1106="","",IF(COUNTIF($E$7:$E2303,$E1106)&gt;1,"",IFERROR(VLOOKUP($E1106,Orders!$A:$I,9,FALSE),"")))</f>
        <v/>
      </c>
      <c r="T1106" s="88" t="str">
        <f t="shared" si="14"/>
        <v/>
      </c>
      <c r="U1106" s="88" t="str">
        <f>IF($F1106="","",IF($E1106="",T1106,SUMIF(Sales!$E$7:$E$1506,$E1106,Sales!$T$7:$T$1506)))</f>
        <v/>
      </c>
      <c r="V1106" s="49" t="str">
        <f t="shared" si="15"/>
        <v/>
      </c>
      <c r="W1106" s="49" t="str">
        <f t="array" ref="W1106">IF($V1106="","",SUMPRODUCT((Sales!$V$7:$V$1506&lt;&gt;"")*(Sales!$E$7:$E$1506&lt;$E1106))+1)</f>
        <v/>
      </c>
      <c r="X1106" s="49" t="str">
        <f t="shared" si="16"/>
        <v/>
      </c>
      <c r="Y1106" s="49" t="str">
        <f t="shared" si="17"/>
        <v/>
      </c>
    </row>
    <row r="1107" ht="15.0" customHeight="1">
      <c r="A1107" s="82"/>
      <c r="B1107" s="83"/>
      <c r="C1107" s="83"/>
      <c r="D1107" s="83"/>
      <c r="E1107" s="83"/>
      <c r="F1107" s="83"/>
      <c r="G1107" s="83" t="str">
        <f>IF($F1107="","",IFERROR(VLOOKUP($F1107,Inventory!$A:$B,2,FALSE),""))</f>
        <v/>
      </c>
      <c r="H1107" s="83"/>
      <c r="I1107" s="84" t="str">
        <f t="shared" si="2"/>
        <v/>
      </c>
      <c r="J1107" s="85" t="str">
        <f>IF($F1107="","",IFERROR(VLOOKUP($F1107,Inventory!$A:$K,11,FALSE),0))</f>
        <v/>
      </c>
      <c r="K1107" s="85"/>
      <c r="L1107" s="85" t="str">
        <f t="shared" si="12"/>
        <v/>
      </c>
      <c r="M1107" s="83"/>
      <c r="N1107" s="85" t="str">
        <f>IF($F1107="","",IFERROR(VLOOKUP($F1107,Inventory!$A:$I,9,FALSE),0))</f>
        <v/>
      </c>
      <c r="O1107" s="85" t="str">
        <f t="shared" si="13"/>
        <v/>
      </c>
      <c r="P1107" s="85" t="str">
        <f t="shared" si="5"/>
        <v/>
      </c>
      <c r="Q1107" s="83"/>
      <c r="R1107" s="118" t="str">
        <f>IF($E1107="","",IF(COUNTIF($E$7:$E2304,$E1107)&gt;1,"",IFERROR(VLOOKUP($E1107,Orders!$A:$I,8,FALSE),"")))</f>
        <v/>
      </c>
      <c r="S1107" s="118" t="str">
        <f>IF($E1107="","",IF(COUNTIF($E$7:$E2304,$E1107)&gt;1,"",IFERROR(VLOOKUP($E1107,Orders!$A:$I,9,FALSE),"")))</f>
        <v/>
      </c>
      <c r="T1107" s="88" t="str">
        <f t="shared" si="14"/>
        <v/>
      </c>
      <c r="U1107" s="88" t="str">
        <f>IF($F1107="","",IF($E1107="",T1107,SUMIF(Sales!$E$7:$E$1506,$E1107,Sales!$T$7:$T$1506)))</f>
        <v/>
      </c>
      <c r="V1107" s="49" t="str">
        <f t="shared" si="15"/>
        <v/>
      </c>
      <c r="W1107" s="49" t="str">
        <f t="array" ref="W1107">IF($V1107="","",SUMPRODUCT((Sales!$V$7:$V$1506&lt;&gt;"")*(Sales!$E$7:$E$1506&lt;$E1107))+1)</f>
        <v/>
      </c>
      <c r="X1107" s="49" t="str">
        <f t="shared" si="16"/>
        <v/>
      </c>
      <c r="Y1107" s="49" t="str">
        <f t="shared" si="17"/>
        <v/>
      </c>
    </row>
    <row r="1108" ht="15.0" customHeight="1">
      <c r="A1108" s="82"/>
      <c r="B1108" s="83"/>
      <c r="C1108" s="83"/>
      <c r="D1108" s="83"/>
      <c r="E1108" s="83"/>
      <c r="F1108" s="83"/>
      <c r="G1108" s="83" t="str">
        <f>IF($F1108="","",IFERROR(VLOOKUP($F1108,Inventory!$A:$B,2,FALSE),""))</f>
        <v/>
      </c>
      <c r="H1108" s="83"/>
      <c r="I1108" s="84" t="str">
        <f t="shared" si="2"/>
        <v/>
      </c>
      <c r="J1108" s="85" t="str">
        <f>IF($F1108="","",IFERROR(VLOOKUP($F1108,Inventory!$A:$K,11,FALSE),0))</f>
        <v/>
      </c>
      <c r="K1108" s="85"/>
      <c r="L1108" s="85" t="str">
        <f t="shared" si="12"/>
        <v/>
      </c>
      <c r="M1108" s="83"/>
      <c r="N1108" s="85" t="str">
        <f>IF($F1108="","",IFERROR(VLOOKUP($F1108,Inventory!$A:$I,9,FALSE),0))</f>
        <v/>
      </c>
      <c r="O1108" s="85" t="str">
        <f t="shared" si="13"/>
        <v/>
      </c>
      <c r="P1108" s="85" t="str">
        <f t="shared" si="5"/>
        <v/>
      </c>
      <c r="Q1108" s="83"/>
      <c r="R1108" s="118" t="str">
        <f>IF($E1108="","",IF(COUNTIF($E$7:$E2305,$E1108)&gt;1,"",IFERROR(VLOOKUP($E1108,Orders!$A:$I,8,FALSE),"")))</f>
        <v/>
      </c>
      <c r="S1108" s="118" t="str">
        <f>IF($E1108="","",IF(COUNTIF($E$7:$E2305,$E1108)&gt;1,"",IFERROR(VLOOKUP($E1108,Orders!$A:$I,9,FALSE),"")))</f>
        <v/>
      </c>
      <c r="T1108" s="88" t="str">
        <f t="shared" si="14"/>
        <v/>
      </c>
      <c r="U1108" s="88" t="str">
        <f>IF($F1108="","",IF($E1108="",T1108,SUMIF(Sales!$E$7:$E$1506,$E1108,Sales!$T$7:$T$1506)))</f>
        <v/>
      </c>
      <c r="V1108" s="49" t="str">
        <f t="shared" si="15"/>
        <v/>
      </c>
      <c r="W1108" s="49" t="str">
        <f t="array" ref="W1108">IF($V1108="","",SUMPRODUCT((Sales!$V$7:$V$1506&lt;&gt;"")*(Sales!$E$7:$E$1506&lt;$E1108))+1)</f>
        <v/>
      </c>
      <c r="X1108" s="49" t="str">
        <f t="shared" si="16"/>
        <v/>
      </c>
      <c r="Y1108" s="49" t="str">
        <f t="shared" si="17"/>
        <v/>
      </c>
    </row>
    <row r="1109" ht="15.0" customHeight="1">
      <c r="A1109" s="82"/>
      <c r="B1109" s="83"/>
      <c r="C1109" s="83"/>
      <c r="D1109" s="83"/>
      <c r="E1109" s="83"/>
      <c r="F1109" s="83"/>
      <c r="G1109" s="83" t="str">
        <f>IF($F1109="","",IFERROR(VLOOKUP($F1109,Inventory!$A:$B,2,FALSE),""))</f>
        <v/>
      </c>
      <c r="H1109" s="83"/>
      <c r="I1109" s="84" t="str">
        <f t="shared" si="2"/>
        <v/>
      </c>
      <c r="J1109" s="85" t="str">
        <f>IF($F1109="","",IFERROR(VLOOKUP($F1109,Inventory!$A:$K,11,FALSE),0))</f>
        <v/>
      </c>
      <c r="K1109" s="85"/>
      <c r="L1109" s="85" t="str">
        <f t="shared" si="12"/>
        <v/>
      </c>
      <c r="M1109" s="83"/>
      <c r="N1109" s="85" t="str">
        <f>IF($F1109="","",IFERROR(VLOOKUP($F1109,Inventory!$A:$I,9,FALSE),0))</f>
        <v/>
      </c>
      <c r="O1109" s="85" t="str">
        <f t="shared" si="13"/>
        <v/>
      </c>
      <c r="P1109" s="85" t="str">
        <f t="shared" si="5"/>
        <v/>
      </c>
      <c r="Q1109" s="83"/>
      <c r="R1109" s="118" t="str">
        <f>IF($E1109="","",IF(COUNTIF($E$7:$E2306,$E1109)&gt;1,"",IFERROR(VLOOKUP($E1109,Orders!$A:$I,8,FALSE),"")))</f>
        <v/>
      </c>
      <c r="S1109" s="118" t="str">
        <f>IF($E1109="","",IF(COUNTIF($E$7:$E2306,$E1109)&gt;1,"",IFERROR(VLOOKUP($E1109,Orders!$A:$I,9,FALSE),"")))</f>
        <v/>
      </c>
      <c r="T1109" s="88" t="str">
        <f t="shared" si="14"/>
        <v/>
      </c>
      <c r="U1109" s="88" t="str">
        <f>IF($F1109="","",IF($E1109="",T1109,SUMIF(Sales!$E$7:$E$1506,$E1109,Sales!$T$7:$T$1506)))</f>
        <v/>
      </c>
      <c r="V1109" s="49" t="str">
        <f t="shared" si="15"/>
        <v/>
      </c>
      <c r="W1109" s="49" t="str">
        <f t="array" ref="W1109">IF($V1109="","",SUMPRODUCT((Sales!$V$7:$V$1506&lt;&gt;"")*(Sales!$E$7:$E$1506&lt;$E1109))+1)</f>
        <v/>
      </c>
      <c r="X1109" s="49" t="str">
        <f t="shared" si="16"/>
        <v/>
      </c>
      <c r="Y1109" s="49" t="str">
        <f t="shared" si="17"/>
        <v/>
      </c>
    </row>
    <row r="1110" ht="15.0" customHeight="1">
      <c r="A1110" s="82"/>
      <c r="B1110" s="83"/>
      <c r="C1110" s="83"/>
      <c r="D1110" s="83"/>
      <c r="E1110" s="83"/>
      <c r="F1110" s="83"/>
      <c r="G1110" s="83" t="str">
        <f>IF($F1110="","",IFERROR(VLOOKUP($F1110,Inventory!$A:$B,2,FALSE),""))</f>
        <v/>
      </c>
      <c r="H1110" s="83"/>
      <c r="I1110" s="84" t="str">
        <f t="shared" si="2"/>
        <v/>
      </c>
      <c r="J1110" s="85" t="str">
        <f>IF($F1110="","",IFERROR(VLOOKUP($F1110,Inventory!$A:$K,11,FALSE),0))</f>
        <v/>
      </c>
      <c r="K1110" s="85"/>
      <c r="L1110" s="85" t="str">
        <f t="shared" si="12"/>
        <v/>
      </c>
      <c r="M1110" s="83"/>
      <c r="N1110" s="85" t="str">
        <f>IF($F1110="","",IFERROR(VLOOKUP($F1110,Inventory!$A:$I,9,FALSE),0))</f>
        <v/>
      </c>
      <c r="O1110" s="85" t="str">
        <f t="shared" si="13"/>
        <v/>
      </c>
      <c r="P1110" s="85" t="str">
        <f t="shared" si="5"/>
        <v/>
      </c>
      <c r="Q1110" s="83"/>
      <c r="R1110" s="118" t="str">
        <f>IF($E1110="","",IF(COUNTIF($E$7:$E2307,$E1110)&gt;1,"",IFERROR(VLOOKUP($E1110,Orders!$A:$I,8,FALSE),"")))</f>
        <v/>
      </c>
      <c r="S1110" s="118" t="str">
        <f>IF($E1110="","",IF(COUNTIF($E$7:$E2307,$E1110)&gt;1,"",IFERROR(VLOOKUP($E1110,Orders!$A:$I,9,FALSE),"")))</f>
        <v/>
      </c>
      <c r="T1110" s="88" t="str">
        <f t="shared" si="14"/>
        <v/>
      </c>
      <c r="U1110" s="88" t="str">
        <f>IF($F1110="","",IF($E1110="",T1110,SUMIF(Sales!$E$7:$E$1506,$E1110,Sales!$T$7:$T$1506)))</f>
        <v/>
      </c>
      <c r="V1110" s="49" t="str">
        <f t="shared" si="15"/>
        <v/>
      </c>
      <c r="W1110" s="49" t="str">
        <f t="array" ref="W1110">IF($V1110="","",SUMPRODUCT((Sales!$V$7:$V$1506&lt;&gt;"")*(Sales!$E$7:$E$1506&lt;$E1110))+1)</f>
        <v/>
      </c>
      <c r="X1110" s="49" t="str">
        <f t="shared" si="16"/>
        <v/>
      </c>
      <c r="Y1110" s="49" t="str">
        <f t="shared" si="17"/>
        <v/>
      </c>
    </row>
    <row r="1111" ht="15.0" customHeight="1">
      <c r="A1111" s="82"/>
      <c r="B1111" s="83"/>
      <c r="C1111" s="83"/>
      <c r="D1111" s="83"/>
      <c r="E1111" s="83"/>
      <c r="F1111" s="83"/>
      <c r="G1111" s="83" t="str">
        <f>IF($F1111="","",IFERROR(VLOOKUP($F1111,Inventory!$A:$B,2,FALSE),""))</f>
        <v/>
      </c>
      <c r="H1111" s="83"/>
      <c r="I1111" s="84" t="str">
        <f t="shared" si="2"/>
        <v/>
      </c>
      <c r="J1111" s="85" t="str">
        <f>IF($F1111="","",IFERROR(VLOOKUP($F1111,Inventory!$A:$K,11,FALSE),0))</f>
        <v/>
      </c>
      <c r="K1111" s="85"/>
      <c r="L1111" s="85" t="str">
        <f t="shared" si="12"/>
        <v/>
      </c>
      <c r="M1111" s="83"/>
      <c r="N1111" s="85" t="str">
        <f>IF($F1111="","",IFERROR(VLOOKUP($F1111,Inventory!$A:$I,9,FALSE),0))</f>
        <v/>
      </c>
      <c r="O1111" s="85" t="str">
        <f t="shared" si="13"/>
        <v/>
      </c>
      <c r="P1111" s="85" t="str">
        <f t="shared" si="5"/>
        <v/>
      </c>
      <c r="Q1111" s="83"/>
      <c r="R1111" s="118" t="str">
        <f>IF($E1111="","",IF(COUNTIF($E$7:$E2308,$E1111)&gt;1,"",IFERROR(VLOOKUP($E1111,Orders!$A:$I,8,FALSE),"")))</f>
        <v/>
      </c>
      <c r="S1111" s="118" t="str">
        <f>IF($E1111="","",IF(COUNTIF($E$7:$E2308,$E1111)&gt;1,"",IFERROR(VLOOKUP($E1111,Orders!$A:$I,9,FALSE),"")))</f>
        <v/>
      </c>
      <c r="T1111" s="88" t="str">
        <f t="shared" si="14"/>
        <v/>
      </c>
      <c r="U1111" s="88" t="str">
        <f>IF($F1111="","",IF($E1111="",T1111,SUMIF(Sales!$E$7:$E$1506,$E1111,Sales!$T$7:$T$1506)))</f>
        <v/>
      </c>
      <c r="V1111" s="49" t="str">
        <f t="shared" si="15"/>
        <v/>
      </c>
      <c r="W1111" s="49" t="str">
        <f t="array" ref="W1111">IF($V1111="","",SUMPRODUCT((Sales!$V$7:$V$1506&lt;&gt;"")*(Sales!$E$7:$E$1506&lt;$E1111))+1)</f>
        <v/>
      </c>
      <c r="X1111" s="49" t="str">
        <f t="shared" si="16"/>
        <v/>
      </c>
      <c r="Y1111" s="49" t="str">
        <f t="shared" si="17"/>
        <v/>
      </c>
    </row>
    <row r="1112" ht="15.0" customHeight="1">
      <c r="A1112" s="82"/>
      <c r="B1112" s="83"/>
      <c r="C1112" s="83"/>
      <c r="D1112" s="83"/>
      <c r="E1112" s="83"/>
      <c r="F1112" s="83"/>
      <c r="G1112" s="83" t="str">
        <f>IF($F1112="","",IFERROR(VLOOKUP($F1112,Inventory!$A:$B,2,FALSE),""))</f>
        <v/>
      </c>
      <c r="H1112" s="83"/>
      <c r="I1112" s="84" t="str">
        <f t="shared" si="2"/>
        <v/>
      </c>
      <c r="J1112" s="85" t="str">
        <f>IF($F1112="","",IFERROR(VLOOKUP($F1112,Inventory!$A:$K,11,FALSE),0))</f>
        <v/>
      </c>
      <c r="K1112" s="85"/>
      <c r="L1112" s="85" t="str">
        <f t="shared" si="12"/>
        <v/>
      </c>
      <c r="M1112" s="83"/>
      <c r="N1112" s="85" t="str">
        <f>IF($F1112="","",IFERROR(VLOOKUP($F1112,Inventory!$A:$I,9,FALSE),0))</f>
        <v/>
      </c>
      <c r="O1112" s="85" t="str">
        <f t="shared" si="13"/>
        <v/>
      </c>
      <c r="P1112" s="85" t="str">
        <f t="shared" si="5"/>
        <v/>
      </c>
      <c r="Q1112" s="83"/>
      <c r="R1112" s="118" t="str">
        <f>IF($E1112="","",IF(COUNTIF($E$7:$E2309,$E1112)&gt;1,"",IFERROR(VLOOKUP($E1112,Orders!$A:$I,8,FALSE),"")))</f>
        <v/>
      </c>
      <c r="S1112" s="118" t="str">
        <f>IF($E1112="","",IF(COUNTIF($E$7:$E2309,$E1112)&gt;1,"",IFERROR(VLOOKUP($E1112,Orders!$A:$I,9,FALSE),"")))</f>
        <v/>
      </c>
      <c r="T1112" s="88" t="str">
        <f t="shared" si="14"/>
        <v/>
      </c>
      <c r="U1112" s="88" t="str">
        <f>IF($F1112="","",IF($E1112="",T1112,SUMIF(Sales!$E$7:$E$1506,$E1112,Sales!$T$7:$T$1506)))</f>
        <v/>
      </c>
      <c r="V1112" s="49" t="str">
        <f t="shared" si="15"/>
        <v/>
      </c>
      <c r="W1112" s="49" t="str">
        <f t="array" ref="W1112">IF($V1112="","",SUMPRODUCT((Sales!$V$7:$V$1506&lt;&gt;"")*(Sales!$E$7:$E$1506&lt;$E1112))+1)</f>
        <v/>
      </c>
      <c r="X1112" s="49" t="str">
        <f t="shared" si="16"/>
        <v/>
      </c>
      <c r="Y1112" s="49" t="str">
        <f t="shared" si="17"/>
        <v/>
      </c>
    </row>
    <row r="1113" ht="15.0" customHeight="1">
      <c r="A1113" s="82"/>
      <c r="B1113" s="83"/>
      <c r="C1113" s="83"/>
      <c r="D1113" s="83"/>
      <c r="E1113" s="83"/>
      <c r="F1113" s="83"/>
      <c r="G1113" s="83" t="str">
        <f>IF($F1113="","",IFERROR(VLOOKUP($F1113,Inventory!$A:$B,2,FALSE),""))</f>
        <v/>
      </c>
      <c r="H1113" s="83"/>
      <c r="I1113" s="84" t="str">
        <f t="shared" si="2"/>
        <v/>
      </c>
      <c r="J1113" s="85" t="str">
        <f>IF($F1113="","",IFERROR(VLOOKUP($F1113,Inventory!$A:$K,11,FALSE),0))</f>
        <v/>
      </c>
      <c r="K1113" s="85"/>
      <c r="L1113" s="85" t="str">
        <f t="shared" si="12"/>
        <v/>
      </c>
      <c r="M1113" s="83"/>
      <c r="N1113" s="85" t="str">
        <f>IF($F1113="","",IFERROR(VLOOKUP($F1113,Inventory!$A:$I,9,FALSE),0))</f>
        <v/>
      </c>
      <c r="O1113" s="85" t="str">
        <f t="shared" si="13"/>
        <v/>
      </c>
      <c r="P1113" s="85" t="str">
        <f t="shared" si="5"/>
        <v/>
      </c>
      <c r="Q1113" s="83"/>
      <c r="R1113" s="118" t="str">
        <f>IF($E1113="","",IF(COUNTIF($E$7:$E2310,$E1113)&gt;1,"",IFERROR(VLOOKUP($E1113,Orders!$A:$I,8,FALSE),"")))</f>
        <v/>
      </c>
      <c r="S1113" s="118" t="str">
        <f>IF($E1113="","",IF(COUNTIF($E$7:$E2310,$E1113)&gt;1,"",IFERROR(VLOOKUP($E1113,Orders!$A:$I,9,FALSE),"")))</f>
        <v/>
      </c>
      <c r="T1113" s="88" t="str">
        <f t="shared" si="14"/>
        <v/>
      </c>
      <c r="U1113" s="88" t="str">
        <f>IF($F1113="","",IF($E1113="",T1113,SUMIF(Sales!$E$7:$E$1506,$E1113,Sales!$T$7:$T$1506)))</f>
        <v/>
      </c>
      <c r="V1113" s="49" t="str">
        <f t="shared" si="15"/>
        <v/>
      </c>
      <c r="W1113" s="49" t="str">
        <f t="array" ref="W1113">IF($V1113="","",SUMPRODUCT((Sales!$V$7:$V$1506&lt;&gt;"")*(Sales!$E$7:$E$1506&lt;$E1113))+1)</f>
        <v/>
      </c>
      <c r="X1113" s="49" t="str">
        <f t="shared" si="16"/>
        <v/>
      </c>
      <c r="Y1113" s="49" t="str">
        <f t="shared" si="17"/>
        <v/>
      </c>
    </row>
    <row r="1114" ht="15.0" customHeight="1">
      <c r="A1114" s="82"/>
      <c r="B1114" s="83"/>
      <c r="C1114" s="83"/>
      <c r="D1114" s="83"/>
      <c r="E1114" s="83"/>
      <c r="F1114" s="83"/>
      <c r="G1114" s="83" t="str">
        <f>IF($F1114="","",IFERROR(VLOOKUP($F1114,Inventory!$A:$B,2,FALSE),""))</f>
        <v/>
      </c>
      <c r="H1114" s="83"/>
      <c r="I1114" s="84" t="str">
        <f t="shared" si="2"/>
        <v/>
      </c>
      <c r="J1114" s="85" t="str">
        <f>IF($F1114="","",IFERROR(VLOOKUP($F1114,Inventory!$A:$K,11,FALSE),0))</f>
        <v/>
      </c>
      <c r="K1114" s="85"/>
      <c r="L1114" s="85" t="str">
        <f t="shared" si="12"/>
        <v/>
      </c>
      <c r="M1114" s="83"/>
      <c r="N1114" s="85" t="str">
        <f>IF($F1114="","",IFERROR(VLOOKUP($F1114,Inventory!$A:$I,9,FALSE),0))</f>
        <v/>
      </c>
      <c r="O1114" s="85" t="str">
        <f t="shared" si="13"/>
        <v/>
      </c>
      <c r="P1114" s="85" t="str">
        <f t="shared" si="5"/>
        <v/>
      </c>
      <c r="Q1114" s="83"/>
      <c r="R1114" s="118" t="str">
        <f>IF($E1114="","",IF(COUNTIF($E$7:$E2311,$E1114)&gt;1,"",IFERROR(VLOOKUP($E1114,Orders!$A:$I,8,FALSE),"")))</f>
        <v/>
      </c>
      <c r="S1114" s="118" t="str">
        <f>IF($E1114="","",IF(COUNTIF($E$7:$E2311,$E1114)&gt;1,"",IFERROR(VLOOKUP($E1114,Orders!$A:$I,9,FALSE),"")))</f>
        <v/>
      </c>
      <c r="T1114" s="88" t="str">
        <f t="shared" si="14"/>
        <v/>
      </c>
      <c r="U1114" s="88" t="str">
        <f>IF($F1114="","",IF($E1114="",T1114,SUMIF(Sales!$E$7:$E$1506,$E1114,Sales!$T$7:$T$1506)))</f>
        <v/>
      </c>
      <c r="V1114" s="49" t="str">
        <f t="shared" si="15"/>
        <v/>
      </c>
      <c r="W1114" s="49" t="str">
        <f t="array" ref="W1114">IF($V1114="","",SUMPRODUCT((Sales!$V$7:$V$1506&lt;&gt;"")*(Sales!$E$7:$E$1506&lt;$E1114))+1)</f>
        <v/>
      </c>
      <c r="X1114" s="49" t="str">
        <f t="shared" si="16"/>
        <v/>
      </c>
      <c r="Y1114" s="49" t="str">
        <f t="shared" si="17"/>
        <v/>
      </c>
    </row>
    <row r="1115" ht="15.0" customHeight="1">
      <c r="A1115" s="82"/>
      <c r="B1115" s="83"/>
      <c r="C1115" s="83"/>
      <c r="D1115" s="83"/>
      <c r="E1115" s="83"/>
      <c r="F1115" s="83"/>
      <c r="G1115" s="83" t="str">
        <f>IF($F1115="","",IFERROR(VLOOKUP($F1115,Inventory!$A:$B,2,FALSE),""))</f>
        <v/>
      </c>
      <c r="H1115" s="83"/>
      <c r="I1115" s="84" t="str">
        <f t="shared" si="2"/>
        <v/>
      </c>
      <c r="J1115" s="85" t="str">
        <f>IF($F1115="","",IFERROR(VLOOKUP($F1115,Inventory!$A:$K,11,FALSE),0))</f>
        <v/>
      </c>
      <c r="K1115" s="85"/>
      <c r="L1115" s="85" t="str">
        <f t="shared" si="12"/>
        <v/>
      </c>
      <c r="M1115" s="83"/>
      <c r="N1115" s="85" t="str">
        <f>IF($F1115="","",IFERROR(VLOOKUP($F1115,Inventory!$A:$I,9,FALSE),0))</f>
        <v/>
      </c>
      <c r="O1115" s="85" t="str">
        <f t="shared" si="13"/>
        <v/>
      </c>
      <c r="P1115" s="85" t="str">
        <f t="shared" si="5"/>
        <v/>
      </c>
      <c r="Q1115" s="83"/>
      <c r="R1115" s="118" t="str">
        <f>IF($E1115="","",IF(COUNTIF($E$7:$E2312,$E1115)&gt;1,"",IFERROR(VLOOKUP($E1115,Orders!$A:$I,8,FALSE),"")))</f>
        <v/>
      </c>
      <c r="S1115" s="118" t="str">
        <f>IF($E1115="","",IF(COUNTIF($E$7:$E2312,$E1115)&gt;1,"",IFERROR(VLOOKUP($E1115,Orders!$A:$I,9,FALSE),"")))</f>
        <v/>
      </c>
      <c r="T1115" s="88" t="str">
        <f t="shared" si="14"/>
        <v/>
      </c>
      <c r="U1115" s="88" t="str">
        <f>IF($F1115="","",IF($E1115="",T1115,SUMIF(Sales!$E$7:$E$1506,$E1115,Sales!$T$7:$T$1506)))</f>
        <v/>
      </c>
      <c r="V1115" s="49" t="str">
        <f t="shared" si="15"/>
        <v/>
      </c>
      <c r="W1115" s="49" t="str">
        <f t="array" ref="W1115">IF($V1115="","",SUMPRODUCT((Sales!$V$7:$V$1506&lt;&gt;"")*(Sales!$E$7:$E$1506&lt;$E1115))+1)</f>
        <v/>
      </c>
      <c r="X1115" s="49" t="str">
        <f t="shared" si="16"/>
        <v/>
      </c>
      <c r="Y1115" s="49" t="str">
        <f t="shared" si="17"/>
        <v/>
      </c>
    </row>
    <row r="1116" ht="15.0" customHeight="1">
      <c r="A1116" s="82"/>
      <c r="B1116" s="83"/>
      <c r="C1116" s="83"/>
      <c r="D1116" s="83"/>
      <c r="E1116" s="83"/>
      <c r="F1116" s="83"/>
      <c r="G1116" s="83" t="str">
        <f>IF($F1116="","",IFERROR(VLOOKUP($F1116,Inventory!$A:$B,2,FALSE),""))</f>
        <v/>
      </c>
      <c r="H1116" s="83"/>
      <c r="I1116" s="84" t="str">
        <f t="shared" si="2"/>
        <v/>
      </c>
      <c r="J1116" s="85" t="str">
        <f>IF($F1116="","",IFERROR(VLOOKUP($F1116,Inventory!$A:$K,11,FALSE),0))</f>
        <v/>
      </c>
      <c r="K1116" s="85"/>
      <c r="L1116" s="85" t="str">
        <f t="shared" si="12"/>
        <v/>
      </c>
      <c r="M1116" s="83"/>
      <c r="N1116" s="85" t="str">
        <f>IF($F1116="","",IFERROR(VLOOKUP($F1116,Inventory!$A:$I,9,FALSE),0))</f>
        <v/>
      </c>
      <c r="O1116" s="85" t="str">
        <f t="shared" si="13"/>
        <v/>
      </c>
      <c r="P1116" s="85" t="str">
        <f t="shared" si="5"/>
        <v/>
      </c>
      <c r="Q1116" s="83"/>
      <c r="R1116" s="118" t="str">
        <f>IF($E1116="","",IF(COUNTIF($E$7:$E2313,$E1116)&gt;1,"",IFERROR(VLOOKUP($E1116,Orders!$A:$I,8,FALSE),"")))</f>
        <v/>
      </c>
      <c r="S1116" s="118" t="str">
        <f>IF($E1116="","",IF(COUNTIF($E$7:$E2313,$E1116)&gt;1,"",IFERROR(VLOOKUP($E1116,Orders!$A:$I,9,FALSE),"")))</f>
        <v/>
      </c>
      <c r="T1116" s="88" t="str">
        <f t="shared" si="14"/>
        <v/>
      </c>
      <c r="U1116" s="88" t="str">
        <f>IF($F1116="","",IF($E1116="",T1116,SUMIF(Sales!$E$7:$E$1506,$E1116,Sales!$T$7:$T$1506)))</f>
        <v/>
      </c>
      <c r="V1116" s="49" t="str">
        <f t="shared" si="15"/>
        <v/>
      </c>
      <c r="W1116" s="49" t="str">
        <f t="array" ref="W1116">IF($V1116="","",SUMPRODUCT((Sales!$V$7:$V$1506&lt;&gt;"")*(Sales!$E$7:$E$1506&lt;$E1116))+1)</f>
        <v/>
      </c>
      <c r="X1116" s="49" t="str">
        <f t="shared" si="16"/>
        <v/>
      </c>
      <c r="Y1116" s="49" t="str">
        <f t="shared" si="17"/>
        <v/>
      </c>
    </row>
    <row r="1117" ht="15.0" customHeight="1">
      <c r="A1117" s="82"/>
      <c r="B1117" s="83"/>
      <c r="C1117" s="83"/>
      <c r="D1117" s="83"/>
      <c r="E1117" s="83"/>
      <c r="F1117" s="83"/>
      <c r="G1117" s="83" t="str">
        <f>IF($F1117="","",IFERROR(VLOOKUP($F1117,Inventory!$A:$B,2,FALSE),""))</f>
        <v/>
      </c>
      <c r="H1117" s="83"/>
      <c r="I1117" s="84" t="str">
        <f t="shared" si="2"/>
        <v/>
      </c>
      <c r="J1117" s="85" t="str">
        <f>IF($F1117="","",IFERROR(VLOOKUP($F1117,Inventory!$A:$K,11,FALSE),0))</f>
        <v/>
      </c>
      <c r="K1117" s="85"/>
      <c r="L1117" s="85" t="str">
        <f t="shared" si="12"/>
        <v/>
      </c>
      <c r="M1117" s="83"/>
      <c r="N1117" s="85" t="str">
        <f>IF($F1117="","",IFERROR(VLOOKUP($F1117,Inventory!$A:$I,9,FALSE),0))</f>
        <v/>
      </c>
      <c r="O1117" s="85" t="str">
        <f t="shared" si="13"/>
        <v/>
      </c>
      <c r="P1117" s="85" t="str">
        <f t="shared" si="5"/>
        <v/>
      </c>
      <c r="Q1117" s="83"/>
      <c r="R1117" s="118" t="str">
        <f>IF($E1117="","",IF(COUNTIF($E$7:$E2314,$E1117)&gt;1,"",IFERROR(VLOOKUP($E1117,Orders!$A:$I,8,FALSE),"")))</f>
        <v/>
      </c>
      <c r="S1117" s="118" t="str">
        <f>IF($E1117="","",IF(COUNTIF($E$7:$E2314,$E1117)&gt;1,"",IFERROR(VLOOKUP($E1117,Orders!$A:$I,9,FALSE),"")))</f>
        <v/>
      </c>
      <c r="T1117" s="88" t="str">
        <f t="shared" si="14"/>
        <v/>
      </c>
      <c r="U1117" s="88" t="str">
        <f>IF($F1117="","",IF($E1117="",T1117,SUMIF(Sales!$E$7:$E$1506,$E1117,Sales!$T$7:$T$1506)))</f>
        <v/>
      </c>
      <c r="V1117" s="49" t="str">
        <f t="shared" si="15"/>
        <v/>
      </c>
      <c r="W1117" s="49" t="str">
        <f t="array" ref="W1117">IF($V1117="","",SUMPRODUCT((Sales!$V$7:$V$1506&lt;&gt;"")*(Sales!$E$7:$E$1506&lt;$E1117))+1)</f>
        <v/>
      </c>
      <c r="X1117" s="49" t="str">
        <f t="shared" si="16"/>
        <v/>
      </c>
      <c r="Y1117" s="49" t="str">
        <f t="shared" si="17"/>
        <v/>
      </c>
    </row>
    <row r="1118" ht="15.0" customHeight="1">
      <c r="A1118" s="82"/>
      <c r="B1118" s="83"/>
      <c r="C1118" s="83"/>
      <c r="D1118" s="83"/>
      <c r="E1118" s="83"/>
      <c r="F1118" s="83"/>
      <c r="G1118" s="83" t="str">
        <f>IF($F1118="","",IFERROR(VLOOKUP($F1118,Inventory!$A:$B,2,FALSE),""))</f>
        <v/>
      </c>
      <c r="H1118" s="83"/>
      <c r="I1118" s="84" t="str">
        <f t="shared" si="2"/>
        <v/>
      </c>
      <c r="J1118" s="85" t="str">
        <f>IF($F1118="","",IFERROR(VLOOKUP($F1118,Inventory!$A:$K,11,FALSE),0))</f>
        <v/>
      </c>
      <c r="K1118" s="85"/>
      <c r="L1118" s="85" t="str">
        <f t="shared" si="12"/>
        <v/>
      </c>
      <c r="M1118" s="83"/>
      <c r="N1118" s="85" t="str">
        <f>IF($F1118="","",IFERROR(VLOOKUP($F1118,Inventory!$A:$I,9,FALSE),0))</f>
        <v/>
      </c>
      <c r="O1118" s="85" t="str">
        <f t="shared" si="13"/>
        <v/>
      </c>
      <c r="P1118" s="85" t="str">
        <f t="shared" si="5"/>
        <v/>
      </c>
      <c r="Q1118" s="83"/>
      <c r="R1118" s="118" t="str">
        <f>IF($E1118="","",IF(COUNTIF($E$7:$E2315,$E1118)&gt;1,"",IFERROR(VLOOKUP($E1118,Orders!$A:$I,8,FALSE),"")))</f>
        <v/>
      </c>
      <c r="S1118" s="118" t="str">
        <f>IF($E1118="","",IF(COUNTIF($E$7:$E2315,$E1118)&gt;1,"",IFERROR(VLOOKUP($E1118,Orders!$A:$I,9,FALSE),"")))</f>
        <v/>
      </c>
      <c r="T1118" s="88" t="str">
        <f t="shared" si="14"/>
        <v/>
      </c>
      <c r="U1118" s="88" t="str">
        <f>IF($F1118="","",IF($E1118="",T1118,SUMIF(Sales!$E$7:$E$1506,$E1118,Sales!$T$7:$T$1506)))</f>
        <v/>
      </c>
      <c r="V1118" s="49" t="str">
        <f t="shared" si="15"/>
        <v/>
      </c>
      <c r="W1118" s="49" t="str">
        <f t="array" ref="W1118">IF($V1118="","",SUMPRODUCT((Sales!$V$7:$V$1506&lt;&gt;"")*(Sales!$E$7:$E$1506&lt;$E1118))+1)</f>
        <v/>
      </c>
      <c r="X1118" s="49" t="str">
        <f t="shared" si="16"/>
        <v/>
      </c>
      <c r="Y1118" s="49" t="str">
        <f t="shared" si="17"/>
        <v/>
      </c>
    </row>
    <row r="1119" ht="15.0" customHeight="1">
      <c r="A1119" s="82"/>
      <c r="B1119" s="83"/>
      <c r="C1119" s="83"/>
      <c r="D1119" s="83"/>
      <c r="E1119" s="83"/>
      <c r="F1119" s="83"/>
      <c r="G1119" s="83" t="str">
        <f>IF($F1119="","",IFERROR(VLOOKUP($F1119,Inventory!$A:$B,2,FALSE),""))</f>
        <v/>
      </c>
      <c r="H1119" s="83"/>
      <c r="I1119" s="84" t="str">
        <f t="shared" si="2"/>
        <v/>
      </c>
      <c r="J1119" s="85" t="str">
        <f>IF($F1119="","",IFERROR(VLOOKUP($F1119,Inventory!$A:$K,11,FALSE),0))</f>
        <v/>
      </c>
      <c r="K1119" s="85"/>
      <c r="L1119" s="85" t="str">
        <f t="shared" si="12"/>
        <v/>
      </c>
      <c r="M1119" s="83"/>
      <c r="N1119" s="85" t="str">
        <f>IF($F1119="","",IFERROR(VLOOKUP($F1119,Inventory!$A:$I,9,FALSE),0))</f>
        <v/>
      </c>
      <c r="O1119" s="85" t="str">
        <f t="shared" si="13"/>
        <v/>
      </c>
      <c r="P1119" s="85" t="str">
        <f t="shared" si="5"/>
        <v/>
      </c>
      <c r="Q1119" s="83"/>
      <c r="R1119" s="118" t="str">
        <f>IF($E1119="","",IF(COUNTIF($E$7:$E2316,$E1119)&gt;1,"",IFERROR(VLOOKUP($E1119,Orders!$A:$I,8,FALSE),"")))</f>
        <v/>
      </c>
      <c r="S1119" s="118" t="str">
        <f>IF($E1119="","",IF(COUNTIF($E$7:$E2316,$E1119)&gt;1,"",IFERROR(VLOOKUP($E1119,Orders!$A:$I,9,FALSE),"")))</f>
        <v/>
      </c>
      <c r="T1119" s="88" t="str">
        <f t="shared" si="14"/>
        <v/>
      </c>
      <c r="U1119" s="88" t="str">
        <f>IF($F1119="","",IF($E1119="",T1119,SUMIF(Sales!$E$7:$E$1506,$E1119,Sales!$T$7:$T$1506)))</f>
        <v/>
      </c>
      <c r="V1119" s="49" t="str">
        <f t="shared" si="15"/>
        <v/>
      </c>
      <c r="W1119" s="49" t="str">
        <f t="array" ref="W1119">IF($V1119="","",SUMPRODUCT((Sales!$V$7:$V$1506&lt;&gt;"")*(Sales!$E$7:$E$1506&lt;$E1119))+1)</f>
        <v/>
      </c>
      <c r="X1119" s="49" t="str">
        <f t="shared" si="16"/>
        <v/>
      </c>
      <c r="Y1119" s="49" t="str">
        <f t="shared" si="17"/>
        <v/>
      </c>
    </row>
    <row r="1120" ht="15.0" customHeight="1">
      <c r="A1120" s="82"/>
      <c r="B1120" s="83"/>
      <c r="C1120" s="83"/>
      <c r="D1120" s="83"/>
      <c r="E1120" s="83"/>
      <c r="F1120" s="83"/>
      <c r="G1120" s="83" t="str">
        <f>IF($F1120="","",IFERROR(VLOOKUP($F1120,Inventory!$A:$B,2,FALSE),""))</f>
        <v/>
      </c>
      <c r="H1120" s="83"/>
      <c r="I1120" s="84" t="str">
        <f t="shared" si="2"/>
        <v/>
      </c>
      <c r="J1120" s="85" t="str">
        <f>IF($F1120="","",IFERROR(VLOOKUP($F1120,Inventory!$A:$K,11,FALSE),0))</f>
        <v/>
      </c>
      <c r="K1120" s="85"/>
      <c r="L1120" s="85" t="str">
        <f t="shared" si="12"/>
        <v/>
      </c>
      <c r="M1120" s="83"/>
      <c r="N1120" s="85" t="str">
        <f>IF($F1120="","",IFERROR(VLOOKUP($F1120,Inventory!$A:$I,9,FALSE),0))</f>
        <v/>
      </c>
      <c r="O1120" s="85" t="str">
        <f t="shared" si="13"/>
        <v/>
      </c>
      <c r="P1120" s="85" t="str">
        <f t="shared" si="5"/>
        <v/>
      </c>
      <c r="Q1120" s="83"/>
      <c r="R1120" s="118" t="str">
        <f>IF($E1120="","",IF(COUNTIF($E$7:$E2317,$E1120)&gt;1,"",IFERROR(VLOOKUP($E1120,Orders!$A:$I,8,FALSE),"")))</f>
        <v/>
      </c>
      <c r="S1120" s="118" t="str">
        <f>IF($E1120="","",IF(COUNTIF($E$7:$E2317,$E1120)&gt;1,"",IFERROR(VLOOKUP($E1120,Orders!$A:$I,9,FALSE),"")))</f>
        <v/>
      </c>
      <c r="T1120" s="88" t="str">
        <f t="shared" si="14"/>
        <v/>
      </c>
      <c r="U1120" s="88" t="str">
        <f>IF($F1120="","",IF($E1120="",T1120,SUMIF(Sales!$E$7:$E$1506,$E1120,Sales!$T$7:$T$1506)))</f>
        <v/>
      </c>
      <c r="V1120" s="49" t="str">
        <f t="shared" si="15"/>
        <v/>
      </c>
      <c r="W1120" s="49" t="str">
        <f t="array" ref="W1120">IF($V1120="","",SUMPRODUCT((Sales!$V$7:$V$1506&lt;&gt;"")*(Sales!$E$7:$E$1506&lt;$E1120))+1)</f>
        <v/>
      </c>
      <c r="X1120" s="49" t="str">
        <f t="shared" si="16"/>
        <v/>
      </c>
      <c r="Y1120" s="49" t="str">
        <f t="shared" si="17"/>
        <v/>
      </c>
    </row>
    <row r="1121" ht="15.0" customHeight="1">
      <c r="A1121" s="82"/>
      <c r="B1121" s="83"/>
      <c r="C1121" s="83"/>
      <c r="D1121" s="83"/>
      <c r="E1121" s="83"/>
      <c r="F1121" s="83"/>
      <c r="G1121" s="83" t="str">
        <f>IF($F1121="","",IFERROR(VLOOKUP($F1121,Inventory!$A:$B,2,FALSE),""))</f>
        <v/>
      </c>
      <c r="H1121" s="83"/>
      <c r="I1121" s="84" t="str">
        <f t="shared" si="2"/>
        <v/>
      </c>
      <c r="J1121" s="85" t="str">
        <f>IF($F1121="","",IFERROR(VLOOKUP($F1121,Inventory!$A:$K,11,FALSE),0))</f>
        <v/>
      </c>
      <c r="K1121" s="85"/>
      <c r="L1121" s="85" t="str">
        <f t="shared" si="12"/>
        <v/>
      </c>
      <c r="M1121" s="83"/>
      <c r="N1121" s="85" t="str">
        <f>IF($F1121="","",IFERROR(VLOOKUP($F1121,Inventory!$A:$I,9,FALSE),0))</f>
        <v/>
      </c>
      <c r="O1121" s="85" t="str">
        <f t="shared" si="13"/>
        <v/>
      </c>
      <c r="P1121" s="85" t="str">
        <f t="shared" si="5"/>
        <v/>
      </c>
      <c r="Q1121" s="83"/>
      <c r="R1121" s="118" t="str">
        <f>IF($E1121="","",IF(COUNTIF($E$7:$E2318,$E1121)&gt;1,"",IFERROR(VLOOKUP($E1121,Orders!$A:$I,8,FALSE),"")))</f>
        <v/>
      </c>
      <c r="S1121" s="118" t="str">
        <f>IF($E1121="","",IF(COUNTIF($E$7:$E2318,$E1121)&gt;1,"",IFERROR(VLOOKUP($E1121,Orders!$A:$I,9,FALSE),"")))</f>
        <v/>
      </c>
      <c r="T1121" s="88" t="str">
        <f t="shared" si="14"/>
        <v/>
      </c>
      <c r="U1121" s="88" t="str">
        <f>IF($F1121="","",IF($E1121="",T1121,SUMIF(Sales!$E$7:$E$1506,$E1121,Sales!$T$7:$T$1506)))</f>
        <v/>
      </c>
      <c r="V1121" s="49" t="str">
        <f t="shared" si="15"/>
        <v/>
      </c>
      <c r="W1121" s="49" t="str">
        <f t="array" ref="W1121">IF($V1121="","",SUMPRODUCT((Sales!$V$7:$V$1506&lt;&gt;"")*(Sales!$E$7:$E$1506&lt;$E1121))+1)</f>
        <v/>
      </c>
      <c r="X1121" s="49" t="str">
        <f t="shared" si="16"/>
        <v/>
      </c>
      <c r="Y1121" s="49" t="str">
        <f t="shared" si="17"/>
        <v/>
      </c>
    </row>
    <row r="1122" ht="15.0" customHeight="1">
      <c r="A1122" s="82"/>
      <c r="B1122" s="83"/>
      <c r="C1122" s="83"/>
      <c r="D1122" s="83"/>
      <c r="E1122" s="83"/>
      <c r="F1122" s="83"/>
      <c r="G1122" s="83" t="str">
        <f>IF($F1122="","",IFERROR(VLOOKUP($F1122,Inventory!$A:$B,2,FALSE),""))</f>
        <v/>
      </c>
      <c r="H1122" s="83"/>
      <c r="I1122" s="84" t="str">
        <f t="shared" si="2"/>
        <v/>
      </c>
      <c r="J1122" s="85" t="str">
        <f>IF($F1122="","",IFERROR(VLOOKUP($F1122,Inventory!$A:$K,11,FALSE),0))</f>
        <v/>
      </c>
      <c r="K1122" s="85"/>
      <c r="L1122" s="85" t="str">
        <f t="shared" si="12"/>
        <v/>
      </c>
      <c r="M1122" s="83"/>
      <c r="N1122" s="85" t="str">
        <f>IF($F1122="","",IFERROR(VLOOKUP($F1122,Inventory!$A:$I,9,FALSE),0))</f>
        <v/>
      </c>
      <c r="O1122" s="85" t="str">
        <f t="shared" si="13"/>
        <v/>
      </c>
      <c r="P1122" s="85" t="str">
        <f t="shared" si="5"/>
        <v/>
      </c>
      <c r="Q1122" s="83"/>
      <c r="R1122" s="118" t="str">
        <f>IF($E1122="","",IF(COUNTIF($E$7:$E2319,$E1122)&gt;1,"",IFERROR(VLOOKUP($E1122,Orders!$A:$I,8,FALSE),"")))</f>
        <v/>
      </c>
      <c r="S1122" s="118" t="str">
        <f>IF($E1122="","",IF(COUNTIF($E$7:$E2319,$E1122)&gt;1,"",IFERROR(VLOOKUP($E1122,Orders!$A:$I,9,FALSE),"")))</f>
        <v/>
      </c>
      <c r="T1122" s="88" t="str">
        <f t="shared" si="14"/>
        <v/>
      </c>
      <c r="U1122" s="88" t="str">
        <f>IF($F1122="","",IF($E1122="",T1122,SUMIF(Sales!$E$7:$E$1506,$E1122,Sales!$T$7:$T$1506)))</f>
        <v/>
      </c>
      <c r="V1122" s="49" t="str">
        <f t="shared" si="15"/>
        <v/>
      </c>
      <c r="W1122" s="49" t="str">
        <f t="array" ref="W1122">IF($V1122="","",SUMPRODUCT((Sales!$V$7:$V$1506&lt;&gt;"")*(Sales!$E$7:$E$1506&lt;$E1122))+1)</f>
        <v/>
      </c>
      <c r="X1122" s="49" t="str">
        <f t="shared" si="16"/>
        <v/>
      </c>
      <c r="Y1122" s="49" t="str">
        <f t="shared" si="17"/>
        <v/>
      </c>
    </row>
    <row r="1123" ht="15.0" customHeight="1">
      <c r="A1123" s="82"/>
      <c r="B1123" s="83"/>
      <c r="C1123" s="83"/>
      <c r="D1123" s="83"/>
      <c r="E1123" s="83"/>
      <c r="F1123" s="83"/>
      <c r="G1123" s="83" t="str">
        <f>IF($F1123="","",IFERROR(VLOOKUP($F1123,Inventory!$A:$B,2,FALSE),""))</f>
        <v/>
      </c>
      <c r="H1123" s="83"/>
      <c r="I1123" s="84" t="str">
        <f t="shared" si="2"/>
        <v/>
      </c>
      <c r="J1123" s="85" t="str">
        <f>IF($F1123="","",IFERROR(VLOOKUP($F1123,Inventory!$A:$K,11,FALSE),0))</f>
        <v/>
      </c>
      <c r="K1123" s="85"/>
      <c r="L1123" s="85" t="str">
        <f t="shared" si="12"/>
        <v/>
      </c>
      <c r="M1123" s="83"/>
      <c r="N1123" s="85" t="str">
        <f>IF($F1123="","",IFERROR(VLOOKUP($F1123,Inventory!$A:$I,9,FALSE),0))</f>
        <v/>
      </c>
      <c r="O1123" s="85" t="str">
        <f t="shared" si="13"/>
        <v/>
      </c>
      <c r="P1123" s="85" t="str">
        <f t="shared" si="5"/>
        <v/>
      </c>
      <c r="Q1123" s="83"/>
      <c r="R1123" s="118" t="str">
        <f>IF($E1123="","",IF(COUNTIF($E$7:$E2320,$E1123)&gt;1,"",IFERROR(VLOOKUP($E1123,Orders!$A:$I,8,FALSE),"")))</f>
        <v/>
      </c>
      <c r="S1123" s="118" t="str">
        <f>IF($E1123="","",IF(COUNTIF($E$7:$E2320,$E1123)&gt;1,"",IFERROR(VLOOKUP($E1123,Orders!$A:$I,9,FALSE),"")))</f>
        <v/>
      </c>
      <c r="T1123" s="88" t="str">
        <f t="shared" si="14"/>
        <v/>
      </c>
      <c r="U1123" s="88" t="str">
        <f>IF($F1123="","",IF($E1123="",T1123,SUMIF(Sales!$E$7:$E$1506,$E1123,Sales!$T$7:$T$1506)))</f>
        <v/>
      </c>
      <c r="V1123" s="49" t="str">
        <f t="shared" si="15"/>
        <v/>
      </c>
      <c r="W1123" s="49" t="str">
        <f t="array" ref="W1123">IF($V1123="","",SUMPRODUCT((Sales!$V$7:$V$1506&lt;&gt;"")*(Sales!$E$7:$E$1506&lt;$E1123))+1)</f>
        <v/>
      </c>
      <c r="X1123" s="49" t="str">
        <f t="shared" si="16"/>
        <v/>
      </c>
      <c r="Y1123" s="49" t="str">
        <f t="shared" si="17"/>
        <v/>
      </c>
    </row>
    <row r="1124" ht="15.0" customHeight="1">
      <c r="A1124" s="82"/>
      <c r="B1124" s="83"/>
      <c r="C1124" s="83"/>
      <c r="D1124" s="83"/>
      <c r="E1124" s="83"/>
      <c r="F1124" s="83"/>
      <c r="G1124" s="83" t="str">
        <f>IF($F1124="","",IFERROR(VLOOKUP($F1124,Inventory!$A:$B,2,FALSE),""))</f>
        <v/>
      </c>
      <c r="H1124" s="83"/>
      <c r="I1124" s="84" t="str">
        <f t="shared" si="2"/>
        <v/>
      </c>
      <c r="J1124" s="85" t="str">
        <f>IF($F1124="","",IFERROR(VLOOKUP($F1124,Inventory!$A:$K,11,FALSE),0))</f>
        <v/>
      </c>
      <c r="K1124" s="85"/>
      <c r="L1124" s="85" t="str">
        <f t="shared" si="12"/>
        <v/>
      </c>
      <c r="M1124" s="83"/>
      <c r="N1124" s="85" t="str">
        <f>IF($F1124="","",IFERROR(VLOOKUP($F1124,Inventory!$A:$I,9,FALSE),0))</f>
        <v/>
      </c>
      <c r="O1124" s="85" t="str">
        <f t="shared" si="13"/>
        <v/>
      </c>
      <c r="P1124" s="85" t="str">
        <f t="shared" si="5"/>
        <v/>
      </c>
      <c r="Q1124" s="83"/>
      <c r="R1124" s="118" t="str">
        <f>IF($E1124="","",IF(COUNTIF($E$7:$E2321,$E1124)&gt;1,"",IFERROR(VLOOKUP($E1124,Orders!$A:$I,8,FALSE),"")))</f>
        <v/>
      </c>
      <c r="S1124" s="118" t="str">
        <f>IF($E1124="","",IF(COUNTIF($E$7:$E2321,$E1124)&gt;1,"",IFERROR(VLOOKUP($E1124,Orders!$A:$I,9,FALSE),"")))</f>
        <v/>
      </c>
      <c r="T1124" s="88" t="str">
        <f t="shared" si="14"/>
        <v/>
      </c>
      <c r="U1124" s="88" t="str">
        <f>IF($F1124="","",IF($E1124="",T1124,SUMIF(Sales!$E$7:$E$1506,$E1124,Sales!$T$7:$T$1506)))</f>
        <v/>
      </c>
      <c r="V1124" s="49" t="str">
        <f t="shared" si="15"/>
        <v/>
      </c>
      <c r="W1124" s="49" t="str">
        <f t="array" ref="W1124">IF($V1124="","",SUMPRODUCT((Sales!$V$7:$V$1506&lt;&gt;"")*(Sales!$E$7:$E$1506&lt;$E1124))+1)</f>
        <v/>
      </c>
      <c r="X1124" s="49" t="str">
        <f t="shared" si="16"/>
        <v/>
      </c>
      <c r="Y1124" s="49" t="str">
        <f t="shared" si="17"/>
        <v/>
      </c>
    </row>
    <row r="1125" ht="15.0" customHeight="1">
      <c r="A1125" s="82"/>
      <c r="B1125" s="83"/>
      <c r="C1125" s="83"/>
      <c r="D1125" s="83"/>
      <c r="E1125" s="83"/>
      <c r="F1125" s="83"/>
      <c r="G1125" s="83" t="str">
        <f>IF($F1125="","",IFERROR(VLOOKUP($F1125,Inventory!$A:$B,2,FALSE),""))</f>
        <v/>
      </c>
      <c r="H1125" s="83"/>
      <c r="I1125" s="84" t="str">
        <f t="shared" si="2"/>
        <v/>
      </c>
      <c r="J1125" s="85" t="str">
        <f>IF($F1125="","",IFERROR(VLOOKUP($F1125,Inventory!$A:$K,11,FALSE),0))</f>
        <v/>
      </c>
      <c r="K1125" s="85"/>
      <c r="L1125" s="85" t="str">
        <f t="shared" si="12"/>
        <v/>
      </c>
      <c r="M1125" s="83"/>
      <c r="N1125" s="85" t="str">
        <f>IF($F1125="","",IFERROR(VLOOKUP($F1125,Inventory!$A:$I,9,FALSE),0))</f>
        <v/>
      </c>
      <c r="O1125" s="85" t="str">
        <f t="shared" si="13"/>
        <v/>
      </c>
      <c r="P1125" s="85" t="str">
        <f t="shared" si="5"/>
        <v/>
      </c>
      <c r="Q1125" s="83"/>
      <c r="R1125" s="118" t="str">
        <f>IF($E1125="","",IF(COUNTIF($E$7:$E2322,$E1125)&gt;1,"",IFERROR(VLOOKUP($E1125,Orders!$A:$I,8,FALSE),"")))</f>
        <v/>
      </c>
      <c r="S1125" s="118" t="str">
        <f>IF($E1125="","",IF(COUNTIF($E$7:$E2322,$E1125)&gt;1,"",IFERROR(VLOOKUP($E1125,Orders!$A:$I,9,FALSE),"")))</f>
        <v/>
      </c>
      <c r="T1125" s="88" t="str">
        <f t="shared" si="14"/>
        <v/>
      </c>
      <c r="U1125" s="88" t="str">
        <f>IF($F1125="","",IF($E1125="",T1125,SUMIF(Sales!$E$7:$E$1506,$E1125,Sales!$T$7:$T$1506)))</f>
        <v/>
      </c>
      <c r="V1125" s="49" t="str">
        <f t="shared" si="15"/>
        <v/>
      </c>
      <c r="W1125" s="49" t="str">
        <f t="array" ref="W1125">IF($V1125="","",SUMPRODUCT((Sales!$V$7:$V$1506&lt;&gt;"")*(Sales!$E$7:$E$1506&lt;$E1125))+1)</f>
        <v/>
      </c>
      <c r="X1125" s="49" t="str">
        <f t="shared" si="16"/>
        <v/>
      </c>
      <c r="Y1125" s="49" t="str">
        <f t="shared" si="17"/>
        <v/>
      </c>
    </row>
    <row r="1126" ht="15.0" customHeight="1">
      <c r="A1126" s="82"/>
      <c r="B1126" s="83"/>
      <c r="C1126" s="83"/>
      <c r="D1126" s="83"/>
      <c r="E1126" s="83"/>
      <c r="F1126" s="83"/>
      <c r="G1126" s="83" t="str">
        <f>IF($F1126="","",IFERROR(VLOOKUP($F1126,Inventory!$A:$B,2,FALSE),""))</f>
        <v/>
      </c>
      <c r="H1126" s="83"/>
      <c r="I1126" s="84" t="str">
        <f t="shared" si="2"/>
        <v/>
      </c>
      <c r="J1126" s="85" t="str">
        <f>IF($F1126="","",IFERROR(VLOOKUP($F1126,Inventory!$A:$K,11,FALSE),0))</f>
        <v/>
      </c>
      <c r="K1126" s="85"/>
      <c r="L1126" s="85" t="str">
        <f t="shared" si="12"/>
        <v/>
      </c>
      <c r="M1126" s="83"/>
      <c r="N1126" s="85" t="str">
        <f>IF($F1126="","",IFERROR(VLOOKUP($F1126,Inventory!$A:$I,9,FALSE),0))</f>
        <v/>
      </c>
      <c r="O1126" s="85" t="str">
        <f t="shared" si="13"/>
        <v/>
      </c>
      <c r="P1126" s="85" t="str">
        <f t="shared" si="5"/>
        <v/>
      </c>
      <c r="Q1126" s="83"/>
      <c r="R1126" s="118" t="str">
        <f>IF($E1126="","",IF(COUNTIF($E$7:$E2323,$E1126)&gt;1,"",IFERROR(VLOOKUP($E1126,Orders!$A:$I,8,FALSE),"")))</f>
        <v/>
      </c>
      <c r="S1126" s="118" t="str">
        <f>IF($E1126="","",IF(COUNTIF($E$7:$E2323,$E1126)&gt;1,"",IFERROR(VLOOKUP($E1126,Orders!$A:$I,9,FALSE),"")))</f>
        <v/>
      </c>
      <c r="T1126" s="88" t="str">
        <f t="shared" si="14"/>
        <v/>
      </c>
      <c r="U1126" s="88" t="str">
        <f>IF($F1126="","",IF($E1126="",T1126,SUMIF(Sales!$E$7:$E$1506,$E1126,Sales!$T$7:$T$1506)))</f>
        <v/>
      </c>
      <c r="V1126" s="49" t="str">
        <f t="shared" si="15"/>
        <v/>
      </c>
      <c r="W1126" s="49" t="str">
        <f t="array" ref="W1126">IF($V1126="","",SUMPRODUCT((Sales!$V$7:$V$1506&lt;&gt;"")*(Sales!$E$7:$E$1506&lt;$E1126))+1)</f>
        <v/>
      </c>
      <c r="X1126" s="49" t="str">
        <f t="shared" si="16"/>
        <v/>
      </c>
      <c r="Y1126" s="49" t="str">
        <f t="shared" si="17"/>
        <v/>
      </c>
    </row>
    <row r="1127" ht="15.0" customHeight="1">
      <c r="A1127" s="82"/>
      <c r="B1127" s="83"/>
      <c r="C1127" s="83"/>
      <c r="D1127" s="83"/>
      <c r="E1127" s="83"/>
      <c r="F1127" s="83"/>
      <c r="G1127" s="83" t="str">
        <f>IF($F1127="","",IFERROR(VLOOKUP($F1127,Inventory!$A:$B,2,FALSE),""))</f>
        <v/>
      </c>
      <c r="H1127" s="83"/>
      <c r="I1127" s="84" t="str">
        <f t="shared" si="2"/>
        <v/>
      </c>
      <c r="J1127" s="85" t="str">
        <f>IF($F1127="","",IFERROR(VLOOKUP($F1127,Inventory!$A:$K,11,FALSE),0))</f>
        <v/>
      </c>
      <c r="K1127" s="85"/>
      <c r="L1127" s="85" t="str">
        <f t="shared" si="12"/>
        <v/>
      </c>
      <c r="M1127" s="83"/>
      <c r="N1127" s="85" t="str">
        <f>IF($F1127="","",IFERROR(VLOOKUP($F1127,Inventory!$A:$I,9,FALSE),0))</f>
        <v/>
      </c>
      <c r="O1127" s="85" t="str">
        <f t="shared" si="13"/>
        <v/>
      </c>
      <c r="P1127" s="85" t="str">
        <f t="shared" si="5"/>
        <v/>
      </c>
      <c r="Q1127" s="83"/>
      <c r="R1127" s="118" t="str">
        <f>IF($E1127="","",IF(COUNTIF($E$7:$E2324,$E1127)&gt;1,"",IFERROR(VLOOKUP($E1127,Orders!$A:$I,8,FALSE),"")))</f>
        <v/>
      </c>
      <c r="S1127" s="118" t="str">
        <f>IF($E1127="","",IF(COUNTIF($E$7:$E2324,$E1127)&gt;1,"",IFERROR(VLOOKUP($E1127,Orders!$A:$I,9,FALSE),"")))</f>
        <v/>
      </c>
      <c r="T1127" s="88" t="str">
        <f t="shared" si="14"/>
        <v/>
      </c>
      <c r="U1127" s="88" t="str">
        <f>IF($F1127="","",IF($E1127="",T1127,SUMIF(Sales!$E$7:$E$1506,$E1127,Sales!$T$7:$T$1506)))</f>
        <v/>
      </c>
      <c r="V1127" s="49" t="str">
        <f t="shared" si="15"/>
        <v/>
      </c>
      <c r="W1127" s="49" t="str">
        <f t="array" ref="W1127">IF($V1127="","",SUMPRODUCT((Sales!$V$7:$V$1506&lt;&gt;"")*(Sales!$E$7:$E$1506&lt;$E1127))+1)</f>
        <v/>
      </c>
      <c r="X1127" s="49" t="str">
        <f t="shared" si="16"/>
        <v/>
      </c>
      <c r="Y1127" s="49" t="str">
        <f t="shared" si="17"/>
        <v/>
      </c>
    </row>
    <row r="1128" ht="15.0" customHeight="1">
      <c r="A1128" s="82"/>
      <c r="B1128" s="83"/>
      <c r="C1128" s="83"/>
      <c r="D1128" s="83"/>
      <c r="E1128" s="83"/>
      <c r="F1128" s="83"/>
      <c r="G1128" s="83" t="str">
        <f>IF($F1128="","",IFERROR(VLOOKUP($F1128,Inventory!$A:$B,2,FALSE),""))</f>
        <v/>
      </c>
      <c r="H1128" s="83"/>
      <c r="I1128" s="84" t="str">
        <f t="shared" si="2"/>
        <v/>
      </c>
      <c r="J1128" s="85" t="str">
        <f>IF($F1128="","",IFERROR(VLOOKUP($F1128,Inventory!$A:$K,11,FALSE),0))</f>
        <v/>
      </c>
      <c r="K1128" s="85"/>
      <c r="L1128" s="85" t="str">
        <f t="shared" si="12"/>
        <v/>
      </c>
      <c r="M1128" s="83"/>
      <c r="N1128" s="85" t="str">
        <f>IF($F1128="","",IFERROR(VLOOKUP($F1128,Inventory!$A:$I,9,FALSE),0))</f>
        <v/>
      </c>
      <c r="O1128" s="85" t="str">
        <f t="shared" si="13"/>
        <v/>
      </c>
      <c r="P1128" s="85" t="str">
        <f t="shared" si="5"/>
        <v/>
      </c>
      <c r="Q1128" s="83"/>
      <c r="R1128" s="118" t="str">
        <f>IF($E1128="","",IF(COUNTIF($E$7:$E2325,$E1128)&gt;1,"",IFERROR(VLOOKUP($E1128,Orders!$A:$I,8,FALSE),"")))</f>
        <v/>
      </c>
      <c r="S1128" s="118" t="str">
        <f>IF($E1128="","",IF(COUNTIF($E$7:$E2325,$E1128)&gt;1,"",IFERROR(VLOOKUP($E1128,Orders!$A:$I,9,FALSE),"")))</f>
        <v/>
      </c>
      <c r="T1128" s="88" t="str">
        <f t="shared" si="14"/>
        <v/>
      </c>
      <c r="U1128" s="88" t="str">
        <f>IF($F1128="","",IF($E1128="",T1128,SUMIF(Sales!$E$7:$E$1506,$E1128,Sales!$T$7:$T$1506)))</f>
        <v/>
      </c>
      <c r="V1128" s="49" t="str">
        <f t="shared" si="15"/>
        <v/>
      </c>
      <c r="W1128" s="49" t="str">
        <f t="array" ref="W1128">IF($V1128="","",SUMPRODUCT((Sales!$V$7:$V$1506&lt;&gt;"")*(Sales!$E$7:$E$1506&lt;$E1128))+1)</f>
        <v/>
      </c>
      <c r="X1128" s="49" t="str">
        <f t="shared" si="16"/>
        <v/>
      </c>
      <c r="Y1128" s="49" t="str">
        <f t="shared" si="17"/>
        <v/>
      </c>
    </row>
    <row r="1129" ht="15.0" customHeight="1">
      <c r="A1129" s="82"/>
      <c r="B1129" s="83"/>
      <c r="C1129" s="83"/>
      <c r="D1129" s="83"/>
      <c r="E1129" s="83"/>
      <c r="F1129" s="83"/>
      <c r="G1129" s="83" t="str">
        <f>IF($F1129="","",IFERROR(VLOOKUP($F1129,Inventory!$A:$B,2,FALSE),""))</f>
        <v/>
      </c>
      <c r="H1129" s="83"/>
      <c r="I1129" s="84" t="str">
        <f t="shared" si="2"/>
        <v/>
      </c>
      <c r="J1129" s="85" t="str">
        <f>IF($F1129="","",IFERROR(VLOOKUP($F1129,Inventory!$A:$K,11,FALSE),0))</f>
        <v/>
      </c>
      <c r="K1129" s="85"/>
      <c r="L1129" s="85" t="str">
        <f t="shared" si="12"/>
        <v/>
      </c>
      <c r="M1129" s="83"/>
      <c r="N1129" s="85" t="str">
        <f>IF($F1129="","",IFERROR(VLOOKUP($F1129,Inventory!$A:$I,9,FALSE),0))</f>
        <v/>
      </c>
      <c r="O1129" s="85" t="str">
        <f t="shared" si="13"/>
        <v/>
      </c>
      <c r="P1129" s="85" t="str">
        <f t="shared" si="5"/>
        <v/>
      </c>
      <c r="Q1129" s="83"/>
      <c r="R1129" s="118" t="str">
        <f>IF($E1129="","",IF(COUNTIF($E$7:$E2326,$E1129)&gt;1,"",IFERROR(VLOOKUP($E1129,Orders!$A:$I,8,FALSE),"")))</f>
        <v/>
      </c>
      <c r="S1129" s="118" t="str">
        <f>IF($E1129="","",IF(COUNTIF($E$7:$E2326,$E1129)&gt;1,"",IFERROR(VLOOKUP($E1129,Orders!$A:$I,9,FALSE),"")))</f>
        <v/>
      </c>
      <c r="T1129" s="88" t="str">
        <f t="shared" si="14"/>
        <v/>
      </c>
      <c r="U1129" s="88" t="str">
        <f>IF($F1129="","",IF($E1129="",T1129,SUMIF(Sales!$E$7:$E$1506,$E1129,Sales!$T$7:$T$1506)))</f>
        <v/>
      </c>
      <c r="V1129" s="49" t="str">
        <f t="shared" si="15"/>
        <v/>
      </c>
      <c r="W1129" s="49" t="str">
        <f t="array" ref="W1129">IF($V1129="","",SUMPRODUCT((Sales!$V$7:$V$1506&lt;&gt;"")*(Sales!$E$7:$E$1506&lt;$E1129))+1)</f>
        <v/>
      </c>
      <c r="X1129" s="49" t="str">
        <f t="shared" si="16"/>
        <v/>
      </c>
      <c r="Y1129" s="49" t="str">
        <f t="shared" si="17"/>
        <v/>
      </c>
    </row>
    <row r="1130" ht="15.0" customHeight="1">
      <c r="A1130" s="82"/>
      <c r="B1130" s="83"/>
      <c r="C1130" s="83"/>
      <c r="D1130" s="83"/>
      <c r="E1130" s="83"/>
      <c r="F1130" s="83"/>
      <c r="G1130" s="83" t="str">
        <f>IF($F1130="","",IFERROR(VLOOKUP($F1130,Inventory!$A:$B,2,FALSE),""))</f>
        <v/>
      </c>
      <c r="H1130" s="83"/>
      <c r="I1130" s="84" t="str">
        <f t="shared" si="2"/>
        <v/>
      </c>
      <c r="J1130" s="85" t="str">
        <f>IF($F1130="","",IFERROR(VLOOKUP($F1130,Inventory!$A:$K,11,FALSE),0))</f>
        <v/>
      </c>
      <c r="K1130" s="85"/>
      <c r="L1130" s="85" t="str">
        <f t="shared" si="12"/>
        <v/>
      </c>
      <c r="M1130" s="83"/>
      <c r="N1130" s="85" t="str">
        <f>IF($F1130="","",IFERROR(VLOOKUP($F1130,Inventory!$A:$I,9,FALSE),0))</f>
        <v/>
      </c>
      <c r="O1130" s="85" t="str">
        <f t="shared" si="13"/>
        <v/>
      </c>
      <c r="P1130" s="85" t="str">
        <f t="shared" si="5"/>
        <v/>
      </c>
      <c r="Q1130" s="83"/>
      <c r="R1130" s="118" t="str">
        <f>IF($E1130="","",IF(COUNTIF($E$7:$E2327,$E1130)&gt;1,"",IFERROR(VLOOKUP($E1130,Orders!$A:$I,8,FALSE),"")))</f>
        <v/>
      </c>
      <c r="S1130" s="118" t="str">
        <f>IF($E1130="","",IF(COUNTIF($E$7:$E2327,$E1130)&gt;1,"",IFERROR(VLOOKUP($E1130,Orders!$A:$I,9,FALSE),"")))</f>
        <v/>
      </c>
      <c r="T1130" s="88" t="str">
        <f t="shared" si="14"/>
        <v/>
      </c>
      <c r="U1130" s="88" t="str">
        <f>IF($F1130="","",IF($E1130="",T1130,SUMIF(Sales!$E$7:$E$1506,$E1130,Sales!$T$7:$T$1506)))</f>
        <v/>
      </c>
      <c r="V1130" s="49" t="str">
        <f t="shared" si="15"/>
        <v/>
      </c>
      <c r="W1130" s="49" t="str">
        <f t="array" ref="W1130">IF($V1130="","",SUMPRODUCT((Sales!$V$7:$V$1506&lt;&gt;"")*(Sales!$E$7:$E$1506&lt;$E1130))+1)</f>
        <v/>
      </c>
      <c r="X1130" s="49" t="str">
        <f t="shared" si="16"/>
        <v/>
      </c>
      <c r="Y1130" s="49" t="str">
        <f t="shared" si="17"/>
        <v/>
      </c>
    </row>
    <row r="1131" ht="15.0" customHeight="1">
      <c r="A1131" s="82"/>
      <c r="B1131" s="83"/>
      <c r="C1131" s="83"/>
      <c r="D1131" s="83"/>
      <c r="E1131" s="83"/>
      <c r="F1131" s="83"/>
      <c r="G1131" s="83" t="str">
        <f>IF($F1131="","",IFERROR(VLOOKUP($F1131,Inventory!$A:$B,2,FALSE),""))</f>
        <v/>
      </c>
      <c r="H1131" s="83"/>
      <c r="I1131" s="84" t="str">
        <f t="shared" si="2"/>
        <v/>
      </c>
      <c r="J1131" s="85" t="str">
        <f>IF($F1131="","",IFERROR(VLOOKUP($F1131,Inventory!$A:$K,11,FALSE),0))</f>
        <v/>
      </c>
      <c r="K1131" s="85"/>
      <c r="L1131" s="85" t="str">
        <f t="shared" si="12"/>
        <v/>
      </c>
      <c r="M1131" s="83"/>
      <c r="N1131" s="85" t="str">
        <f>IF($F1131="","",IFERROR(VLOOKUP($F1131,Inventory!$A:$I,9,FALSE),0))</f>
        <v/>
      </c>
      <c r="O1131" s="85" t="str">
        <f t="shared" si="13"/>
        <v/>
      </c>
      <c r="P1131" s="85" t="str">
        <f t="shared" si="5"/>
        <v/>
      </c>
      <c r="Q1131" s="83"/>
      <c r="R1131" s="118" t="str">
        <f>IF($E1131="","",IF(COUNTIF($E$7:$E2328,$E1131)&gt;1,"",IFERROR(VLOOKUP($E1131,Orders!$A:$I,8,FALSE),"")))</f>
        <v/>
      </c>
      <c r="S1131" s="118" t="str">
        <f>IF($E1131="","",IF(COUNTIF($E$7:$E2328,$E1131)&gt;1,"",IFERROR(VLOOKUP($E1131,Orders!$A:$I,9,FALSE),"")))</f>
        <v/>
      </c>
      <c r="T1131" s="88" t="str">
        <f t="shared" si="14"/>
        <v/>
      </c>
      <c r="U1131" s="88" t="str">
        <f>IF($F1131="","",IF($E1131="",T1131,SUMIF(Sales!$E$7:$E$1506,$E1131,Sales!$T$7:$T$1506)))</f>
        <v/>
      </c>
      <c r="V1131" s="49" t="str">
        <f t="shared" si="15"/>
        <v/>
      </c>
      <c r="W1131" s="49" t="str">
        <f t="array" ref="W1131">IF($V1131="","",SUMPRODUCT((Sales!$V$7:$V$1506&lt;&gt;"")*(Sales!$E$7:$E$1506&lt;$E1131))+1)</f>
        <v/>
      </c>
      <c r="X1131" s="49" t="str">
        <f t="shared" si="16"/>
        <v/>
      </c>
      <c r="Y1131" s="49" t="str">
        <f t="shared" si="17"/>
        <v/>
      </c>
    </row>
    <row r="1132" ht="15.0" customHeight="1">
      <c r="A1132" s="82"/>
      <c r="B1132" s="83"/>
      <c r="C1132" s="83"/>
      <c r="D1132" s="83"/>
      <c r="E1132" s="83"/>
      <c r="F1132" s="83"/>
      <c r="G1132" s="83" t="str">
        <f>IF($F1132="","",IFERROR(VLOOKUP($F1132,Inventory!$A:$B,2,FALSE),""))</f>
        <v/>
      </c>
      <c r="H1132" s="83"/>
      <c r="I1132" s="84" t="str">
        <f t="shared" si="2"/>
        <v/>
      </c>
      <c r="J1132" s="85" t="str">
        <f>IF($F1132="","",IFERROR(VLOOKUP($F1132,Inventory!$A:$K,11,FALSE),0))</f>
        <v/>
      </c>
      <c r="K1132" s="85"/>
      <c r="L1132" s="85" t="str">
        <f t="shared" si="12"/>
        <v/>
      </c>
      <c r="M1132" s="83"/>
      <c r="N1132" s="85" t="str">
        <f>IF($F1132="","",IFERROR(VLOOKUP($F1132,Inventory!$A:$I,9,FALSE),0))</f>
        <v/>
      </c>
      <c r="O1132" s="85" t="str">
        <f t="shared" si="13"/>
        <v/>
      </c>
      <c r="P1132" s="85" t="str">
        <f t="shared" si="5"/>
        <v/>
      </c>
      <c r="Q1132" s="83"/>
      <c r="R1132" s="118" t="str">
        <f>IF($E1132="","",IF(COUNTIF($E$7:$E2329,$E1132)&gt;1,"",IFERROR(VLOOKUP($E1132,Orders!$A:$I,8,FALSE),"")))</f>
        <v/>
      </c>
      <c r="S1132" s="118" t="str">
        <f>IF($E1132="","",IF(COUNTIF($E$7:$E2329,$E1132)&gt;1,"",IFERROR(VLOOKUP($E1132,Orders!$A:$I,9,FALSE),"")))</f>
        <v/>
      </c>
      <c r="T1132" s="88" t="str">
        <f t="shared" si="14"/>
        <v/>
      </c>
      <c r="U1132" s="88" t="str">
        <f>IF($F1132="","",IF($E1132="",T1132,SUMIF(Sales!$E$7:$E$1506,$E1132,Sales!$T$7:$T$1506)))</f>
        <v/>
      </c>
      <c r="V1132" s="49" t="str">
        <f t="shared" si="15"/>
        <v/>
      </c>
      <c r="W1132" s="49" t="str">
        <f t="array" ref="W1132">IF($V1132="","",SUMPRODUCT((Sales!$V$7:$V$1506&lt;&gt;"")*(Sales!$E$7:$E$1506&lt;$E1132))+1)</f>
        <v/>
      </c>
      <c r="X1132" s="49" t="str">
        <f t="shared" si="16"/>
        <v/>
      </c>
      <c r="Y1132" s="49" t="str">
        <f t="shared" si="17"/>
        <v/>
      </c>
    </row>
    <row r="1133" ht="15.0" customHeight="1">
      <c r="A1133" s="82"/>
      <c r="B1133" s="83"/>
      <c r="C1133" s="83"/>
      <c r="D1133" s="83"/>
      <c r="E1133" s="83"/>
      <c r="F1133" s="83"/>
      <c r="G1133" s="83" t="str">
        <f>IF($F1133="","",IFERROR(VLOOKUP($F1133,Inventory!$A:$B,2,FALSE),""))</f>
        <v/>
      </c>
      <c r="H1133" s="83"/>
      <c r="I1133" s="84" t="str">
        <f t="shared" si="2"/>
        <v/>
      </c>
      <c r="J1133" s="85" t="str">
        <f>IF($F1133="","",IFERROR(VLOOKUP($F1133,Inventory!$A:$K,11,FALSE),0))</f>
        <v/>
      </c>
      <c r="K1133" s="85"/>
      <c r="L1133" s="85" t="str">
        <f t="shared" si="12"/>
        <v/>
      </c>
      <c r="M1133" s="83"/>
      <c r="N1133" s="85" t="str">
        <f>IF($F1133="","",IFERROR(VLOOKUP($F1133,Inventory!$A:$I,9,FALSE),0))</f>
        <v/>
      </c>
      <c r="O1133" s="85" t="str">
        <f t="shared" si="13"/>
        <v/>
      </c>
      <c r="P1133" s="85" t="str">
        <f t="shared" si="5"/>
        <v/>
      </c>
      <c r="Q1133" s="83"/>
      <c r="R1133" s="118" t="str">
        <f>IF($E1133="","",IF(COUNTIF($E$7:$E2330,$E1133)&gt;1,"",IFERROR(VLOOKUP($E1133,Orders!$A:$I,8,FALSE),"")))</f>
        <v/>
      </c>
      <c r="S1133" s="118" t="str">
        <f>IF($E1133="","",IF(COUNTIF($E$7:$E2330,$E1133)&gt;1,"",IFERROR(VLOOKUP($E1133,Orders!$A:$I,9,FALSE),"")))</f>
        <v/>
      </c>
      <c r="T1133" s="88" t="str">
        <f t="shared" si="14"/>
        <v/>
      </c>
      <c r="U1133" s="88" t="str">
        <f>IF($F1133="","",IF($E1133="",T1133,SUMIF(Sales!$E$7:$E$1506,$E1133,Sales!$T$7:$T$1506)))</f>
        <v/>
      </c>
      <c r="V1133" s="49" t="str">
        <f t="shared" si="15"/>
        <v/>
      </c>
      <c r="W1133" s="49" t="str">
        <f t="array" ref="W1133">IF($V1133="","",SUMPRODUCT((Sales!$V$7:$V$1506&lt;&gt;"")*(Sales!$E$7:$E$1506&lt;$E1133))+1)</f>
        <v/>
      </c>
      <c r="X1133" s="49" t="str">
        <f t="shared" si="16"/>
        <v/>
      </c>
      <c r="Y1133" s="49" t="str">
        <f t="shared" si="17"/>
        <v/>
      </c>
    </row>
    <row r="1134" ht="15.0" customHeight="1">
      <c r="A1134" s="82"/>
      <c r="B1134" s="83"/>
      <c r="C1134" s="83"/>
      <c r="D1134" s="83"/>
      <c r="E1134" s="83"/>
      <c r="F1134" s="83"/>
      <c r="G1134" s="83" t="str">
        <f>IF($F1134="","",IFERROR(VLOOKUP($F1134,Inventory!$A:$B,2,FALSE),""))</f>
        <v/>
      </c>
      <c r="H1134" s="83"/>
      <c r="I1134" s="84" t="str">
        <f t="shared" si="2"/>
        <v/>
      </c>
      <c r="J1134" s="85" t="str">
        <f>IF($F1134="","",IFERROR(VLOOKUP($F1134,Inventory!$A:$K,11,FALSE),0))</f>
        <v/>
      </c>
      <c r="K1134" s="85"/>
      <c r="L1134" s="85" t="str">
        <f t="shared" si="12"/>
        <v/>
      </c>
      <c r="M1134" s="83"/>
      <c r="N1134" s="85" t="str">
        <f>IF($F1134="","",IFERROR(VLOOKUP($F1134,Inventory!$A:$I,9,FALSE),0))</f>
        <v/>
      </c>
      <c r="O1134" s="85" t="str">
        <f t="shared" si="13"/>
        <v/>
      </c>
      <c r="P1134" s="85" t="str">
        <f t="shared" si="5"/>
        <v/>
      </c>
      <c r="Q1134" s="83"/>
      <c r="R1134" s="118" t="str">
        <f>IF($E1134="","",IF(COUNTIF($E$7:$E2331,$E1134)&gt;1,"",IFERROR(VLOOKUP($E1134,Orders!$A:$I,8,FALSE),"")))</f>
        <v/>
      </c>
      <c r="S1134" s="118" t="str">
        <f>IF($E1134="","",IF(COUNTIF($E$7:$E2331,$E1134)&gt;1,"",IFERROR(VLOOKUP($E1134,Orders!$A:$I,9,FALSE),"")))</f>
        <v/>
      </c>
      <c r="T1134" s="88" t="str">
        <f t="shared" si="14"/>
        <v/>
      </c>
      <c r="U1134" s="88" t="str">
        <f>IF($F1134="","",IF($E1134="",T1134,SUMIF(Sales!$E$7:$E$1506,$E1134,Sales!$T$7:$T$1506)))</f>
        <v/>
      </c>
      <c r="V1134" s="49" t="str">
        <f t="shared" si="15"/>
        <v/>
      </c>
      <c r="W1134" s="49" t="str">
        <f t="array" ref="W1134">IF($V1134="","",SUMPRODUCT((Sales!$V$7:$V$1506&lt;&gt;"")*(Sales!$E$7:$E$1506&lt;$E1134))+1)</f>
        <v/>
      </c>
      <c r="X1134" s="49" t="str">
        <f t="shared" si="16"/>
        <v/>
      </c>
      <c r="Y1134" s="49" t="str">
        <f t="shared" si="17"/>
        <v/>
      </c>
    </row>
    <row r="1135" ht="15.0" customHeight="1">
      <c r="A1135" s="82"/>
      <c r="B1135" s="83"/>
      <c r="C1135" s="83"/>
      <c r="D1135" s="83"/>
      <c r="E1135" s="83"/>
      <c r="F1135" s="83"/>
      <c r="G1135" s="83" t="str">
        <f>IF($F1135="","",IFERROR(VLOOKUP($F1135,Inventory!$A:$B,2,FALSE),""))</f>
        <v/>
      </c>
      <c r="H1135" s="83"/>
      <c r="I1135" s="84" t="str">
        <f t="shared" si="2"/>
        <v/>
      </c>
      <c r="J1135" s="85" t="str">
        <f>IF($F1135="","",IFERROR(VLOOKUP($F1135,Inventory!$A:$K,11,FALSE),0))</f>
        <v/>
      </c>
      <c r="K1135" s="85"/>
      <c r="L1135" s="85" t="str">
        <f t="shared" si="12"/>
        <v/>
      </c>
      <c r="M1135" s="83"/>
      <c r="N1135" s="85" t="str">
        <f>IF($F1135="","",IFERROR(VLOOKUP($F1135,Inventory!$A:$I,9,FALSE),0))</f>
        <v/>
      </c>
      <c r="O1135" s="85" t="str">
        <f t="shared" si="13"/>
        <v/>
      </c>
      <c r="P1135" s="85" t="str">
        <f t="shared" si="5"/>
        <v/>
      </c>
      <c r="Q1135" s="83"/>
      <c r="R1135" s="118" t="str">
        <f>IF($E1135="","",IF(COUNTIF($E$7:$E2332,$E1135)&gt;1,"",IFERROR(VLOOKUP($E1135,Orders!$A:$I,8,FALSE),"")))</f>
        <v/>
      </c>
      <c r="S1135" s="118" t="str">
        <f>IF($E1135="","",IF(COUNTIF($E$7:$E2332,$E1135)&gt;1,"",IFERROR(VLOOKUP($E1135,Orders!$A:$I,9,FALSE),"")))</f>
        <v/>
      </c>
      <c r="T1135" s="88" t="str">
        <f t="shared" si="14"/>
        <v/>
      </c>
      <c r="U1135" s="88" t="str">
        <f>IF($F1135="","",IF($E1135="",T1135,SUMIF(Sales!$E$7:$E$1506,$E1135,Sales!$T$7:$T$1506)))</f>
        <v/>
      </c>
      <c r="V1135" s="49" t="str">
        <f t="shared" si="15"/>
        <v/>
      </c>
      <c r="W1135" s="49" t="str">
        <f t="array" ref="W1135">IF($V1135="","",SUMPRODUCT((Sales!$V$7:$V$1506&lt;&gt;"")*(Sales!$E$7:$E$1506&lt;$E1135))+1)</f>
        <v/>
      </c>
      <c r="X1135" s="49" t="str">
        <f t="shared" si="16"/>
        <v/>
      </c>
      <c r="Y1135" s="49" t="str">
        <f t="shared" si="17"/>
        <v/>
      </c>
    </row>
    <row r="1136" ht="15.0" customHeight="1">
      <c r="A1136" s="82"/>
      <c r="B1136" s="83"/>
      <c r="C1136" s="83"/>
      <c r="D1136" s="83"/>
      <c r="E1136" s="83"/>
      <c r="F1136" s="83"/>
      <c r="G1136" s="83" t="str">
        <f>IF($F1136="","",IFERROR(VLOOKUP($F1136,Inventory!$A:$B,2,FALSE),""))</f>
        <v/>
      </c>
      <c r="H1136" s="83"/>
      <c r="I1136" s="84" t="str">
        <f t="shared" si="2"/>
        <v/>
      </c>
      <c r="J1136" s="85" t="str">
        <f>IF($F1136="","",IFERROR(VLOOKUP($F1136,Inventory!$A:$K,11,FALSE),0))</f>
        <v/>
      </c>
      <c r="K1136" s="85"/>
      <c r="L1136" s="85" t="str">
        <f t="shared" si="12"/>
        <v/>
      </c>
      <c r="M1136" s="83"/>
      <c r="N1136" s="85" t="str">
        <f>IF($F1136="","",IFERROR(VLOOKUP($F1136,Inventory!$A:$I,9,FALSE),0))</f>
        <v/>
      </c>
      <c r="O1136" s="85" t="str">
        <f t="shared" si="13"/>
        <v/>
      </c>
      <c r="P1136" s="85" t="str">
        <f t="shared" si="5"/>
        <v/>
      </c>
      <c r="Q1136" s="83"/>
      <c r="R1136" s="118" t="str">
        <f>IF($E1136="","",IF(COUNTIF($E$7:$E2333,$E1136)&gt;1,"",IFERROR(VLOOKUP($E1136,Orders!$A:$I,8,FALSE),"")))</f>
        <v/>
      </c>
      <c r="S1136" s="118" t="str">
        <f>IF($E1136="","",IF(COUNTIF($E$7:$E2333,$E1136)&gt;1,"",IFERROR(VLOOKUP($E1136,Orders!$A:$I,9,FALSE),"")))</f>
        <v/>
      </c>
      <c r="T1136" s="88" t="str">
        <f t="shared" si="14"/>
        <v/>
      </c>
      <c r="U1136" s="88" t="str">
        <f>IF($F1136="","",IF($E1136="",T1136,SUMIF(Sales!$E$7:$E$1506,$E1136,Sales!$T$7:$T$1506)))</f>
        <v/>
      </c>
      <c r="V1136" s="49" t="str">
        <f t="shared" si="15"/>
        <v/>
      </c>
      <c r="W1136" s="49" t="str">
        <f t="array" ref="W1136">IF($V1136="","",SUMPRODUCT((Sales!$V$7:$V$1506&lt;&gt;"")*(Sales!$E$7:$E$1506&lt;$E1136))+1)</f>
        <v/>
      </c>
      <c r="X1136" s="49" t="str">
        <f t="shared" si="16"/>
        <v/>
      </c>
      <c r="Y1136" s="49" t="str">
        <f t="shared" si="17"/>
        <v/>
      </c>
    </row>
    <row r="1137" ht="15.0" customHeight="1">
      <c r="A1137" s="82"/>
      <c r="B1137" s="83"/>
      <c r="C1137" s="83"/>
      <c r="D1137" s="83"/>
      <c r="E1137" s="83"/>
      <c r="F1137" s="83"/>
      <c r="G1137" s="83" t="str">
        <f>IF($F1137="","",IFERROR(VLOOKUP($F1137,Inventory!$A:$B,2,FALSE),""))</f>
        <v/>
      </c>
      <c r="H1137" s="83"/>
      <c r="I1137" s="84" t="str">
        <f t="shared" si="2"/>
        <v/>
      </c>
      <c r="J1137" s="85" t="str">
        <f>IF($F1137="","",IFERROR(VLOOKUP($F1137,Inventory!$A:$K,11,FALSE),0))</f>
        <v/>
      </c>
      <c r="K1137" s="85"/>
      <c r="L1137" s="85" t="str">
        <f t="shared" si="12"/>
        <v/>
      </c>
      <c r="M1137" s="83"/>
      <c r="N1137" s="85" t="str">
        <f>IF($F1137="","",IFERROR(VLOOKUP($F1137,Inventory!$A:$I,9,FALSE),0))</f>
        <v/>
      </c>
      <c r="O1137" s="85" t="str">
        <f t="shared" si="13"/>
        <v/>
      </c>
      <c r="P1137" s="85" t="str">
        <f t="shared" si="5"/>
        <v/>
      </c>
      <c r="Q1137" s="83"/>
      <c r="R1137" s="118" t="str">
        <f>IF($E1137="","",IF(COUNTIF($E$7:$E2334,$E1137)&gt;1,"",IFERROR(VLOOKUP($E1137,Orders!$A:$I,8,FALSE),"")))</f>
        <v/>
      </c>
      <c r="S1137" s="118" t="str">
        <f>IF($E1137="","",IF(COUNTIF($E$7:$E2334,$E1137)&gt;1,"",IFERROR(VLOOKUP($E1137,Orders!$A:$I,9,FALSE),"")))</f>
        <v/>
      </c>
      <c r="T1137" s="88" t="str">
        <f t="shared" si="14"/>
        <v/>
      </c>
      <c r="U1137" s="88" t="str">
        <f>IF($F1137="","",IF($E1137="",T1137,SUMIF(Sales!$E$7:$E$1506,$E1137,Sales!$T$7:$T$1506)))</f>
        <v/>
      </c>
      <c r="V1137" s="49" t="str">
        <f t="shared" si="15"/>
        <v/>
      </c>
      <c r="W1137" s="49" t="str">
        <f t="array" ref="W1137">IF($V1137="","",SUMPRODUCT((Sales!$V$7:$V$1506&lt;&gt;"")*(Sales!$E$7:$E$1506&lt;$E1137))+1)</f>
        <v/>
      </c>
      <c r="X1137" s="49" t="str">
        <f t="shared" si="16"/>
        <v/>
      </c>
      <c r="Y1137" s="49" t="str">
        <f t="shared" si="17"/>
        <v/>
      </c>
    </row>
    <row r="1138" ht="15.0" customHeight="1">
      <c r="A1138" s="82"/>
      <c r="B1138" s="83"/>
      <c r="C1138" s="83"/>
      <c r="D1138" s="83"/>
      <c r="E1138" s="83"/>
      <c r="F1138" s="83"/>
      <c r="G1138" s="83" t="str">
        <f>IF($F1138="","",IFERROR(VLOOKUP($F1138,Inventory!$A:$B,2,FALSE),""))</f>
        <v/>
      </c>
      <c r="H1138" s="83"/>
      <c r="I1138" s="84" t="str">
        <f t="shared" si="2"/>
        <v/>
      </c>
      <c r="J1138" s="85" t="str">
        <f>IF($F1138="","",IFERROR(VLOOKUP($F1138,Inventory!$A:$K,11,FALSE),0))</f>
        <v/>
      </c>
      <c r="K1138" s="85"/>
      <c r="L1138" s="85" t="str">
        <f t="shared" si="12"/>
        <v/>
      </c>
      <c r="M1138" s="83"/>
      <c r="N1138" s="85" t="str">
        <f>IF($F1138="","",IFERROR(VLOOKUP($F1138,Inventory!$A:$I,9,FALSE),0))</f>
        <v/>
      </c>
      <c r="O1138" s="85" t="str">
        <f t="shared" si="13"/>
        <v/>
      </c>
      <c r="P1138" s="85" t="str">
        <f t="shared" si="5"/>
        <v/>
      </c>
      <c r="Q1138" s="83"/>
      <c r="R1138" s="118" t="str">
        <f>IF($E1138="","",IF(COUNTIF($E$7:$E2335,$E1138)&gt;1,"",IFERROR(VLOOKUP($E1138,Orders!$A:$I,8,FALSE),"")))</f>
        <v/>
      </c>
      <c r="S1138" s="118" t="str">
        <f>IF($E1138="","",IF(COUNTIF($E$7:$E2335,$E1138)&gt;1,"",IFERROR(VLOOKUP($E1138,Orders!$A:$I,9,FALSE),"")))</f>
        <v/>
      </c>
      <c r="T1138" s="88" t="str">
        <f t="shared" si="14"/>
        <v/>
      </c>
      <c r="U1138" s="88" t="str">
        <f>IF($F1138="","",IF($E1138="",T1138,SUMIF(Sales!$E$7:$E$1506,$E1138,Sales!$T$7:$T$1506)))</f>
        <v/>
      </c>
      <c r="V1138" s="49" t="str">
        <f t="shared" si="15"/>
        <v/>
      </c>
      <c r="W1138" s="49" t="str">
        <f t="array" ref="W1138">IF($V1138="","",SUMPRODUCT((Sales!$V$7:$V$1506&lt;&gt;"")*(Sales!$E$7:$E$1506&lt;$E1138))+1)</f>
        <v/>
      </c>
      <c r="X1138" s="49" t="str">
        <f t="shared" si="16"/>
        <v/>
      </c>
      <c r="Y1138" s="49" t="str">
        <f t="shared" si="17"/>
        <v/>
      </c>
    </row>
    <row r="1139" ht="15.0" customHeight="1">
      <c r="A1139" s="82"/>
      <c r="B1139" s="83"/>
      <c r="C1139" s="83"/>
      <c r="D1139" s="83"/>
      <c r="E1139" s="83"/>
      <c r="F1139" s="83"/>
      <c r="G1139" s="83" t="str">
        <f>IF($F1139="","",IFERROR(VLOOKUP($F1139,Inventory!$A:$B,2,FALSE),""))</f>
        <v/>
      </c>
      <c r="H1139" s="83"/>
      <c r="I1139" s="84" t="str">
        <f t="shared" si="2"/>
        <v/>
      </c>
      <c r="J1139" s="85" t="str">
        <f>IF($F1139="","",IFERROR(VLOOKUP($F1139,Inventory!$A:$K,11,FALSE),0))</f>
        <v/>
      </c>
      <c r="K1139" s="85"/>
      <c r="L1139" s="85" t="str">
        <f t="shared" si="12"/>
        <v/>
      </c>
      <c r="M1139" s="83"/>
      <c r="N1139" s="85" t="str">
        <f>IF($F1139="","",IFERROR(VLOOKUP($F1139,Inventory!$A:$I,9,FALSE),0))</f>
        <v/>
      </c>
      <c r="O1139" s="85" t="str">
        <f t="shared" si="13"/>
        <v/>
      </c>
      <c r="P1139" s="85" t="str">
        <f t="shared" si="5"/>
        <v/>
      </c>
      <c r="Q1139" s="83"/>
      <c r="R1139" s="118" t="str">
        <f>IF($E1139="","",IF(COUNTIF($E$7:$E2336,$E1139)&gt;1,"",IFERROR(VLOOKUP($E1139,Orders!$A:$I,8,FALSE),"")))</f>
        <v/>
      </c>
      <c r="S1139" s="118" t="str">
        <f>IF($E1139="","",IF(COUNTIF($E$7:$E2336,$E1139)&gt;1,"",IFERROR(VLOOKUP($E1139,Orders!$A:$I,9,FALSE),"")))</f>
        <v/>
      </c>
      <c r="T1139" s="88" t="str">
        <f t="shared" si="14"/>
        <v/>
      </c>
      <c r="U1139" s="88" t="str">
        <f>IF($F1139="","",IF($E1139="",T1139,SUMIF(Sales!$E$7:$E$1506,$E1139,Sales!$T$7:$T$1506)))</f>
        <v/>
      </c>
      <c r="V1139" s="49" t="str">
        <f t="shared" si="15"/>
        <v/>
      </c>
      <c r="W1139" s="49" t="str">
        <f t="array" ref="W1139">IF($V1139="","",SUMPRODUCT((Sales!$V$7:$V$1506&lt;&gt;"")*(Sales!$E$7:$E$1506&lt;$E1139))+1)</f>
        <v/>
      </c>
      <c r="X1139" s="49" t="str">
        <f t="shared" si="16"/>
        <v/>
      </c>
      <c r="Y1139" s="49" t="str">
        <f t="shared" si="17"/>
        <v/>
      </c>
    </row>
    <row r="1140" ht="15.0" customHeight="1">
      <c r="A1140" s="82"/>
      <c r="B1140" s="83"/>
      <c r="C1140" s="83"/>
      <c r="D1140" s="83"/>
      <c r="E1140" s="83"/>
      <c r="F1140" s="83"/>
      <c r="G1140" s="83" t="str">
        <f>IF($F1140="","",IFERROR(VLOOKUP($F1140,Inventory!$A:$B,2,FALSE),""))</f>
        <v/>
      </c>
      <c r="H1140" s="83"/>
      <c r="I1140" s="84" t="str">
        <f t="shared" si="2"/>
        <v/>
      </c>
      <c r="J1140" s="85" t="str">
        <f>IF($F1140="","",IFERROR(VLOOKUP($F1140,Inventory!$A:$K,11,FALSE),0))</f>
        <v/>
      </c>
      <c r="K1140" s="85"/>
      <c r="L1140" s="85" t="str">
        <f t="shared" si="12"/>
        <v/>
      </c>
      <c r="M1140" s="83"/>
      <c r="N1140" s="85" t="str">
        <f>IF($F1140="","",IFERROR(VLOOKUP($F1140,Inventory!$A:$I,9,FALSE),0))</f>
        <v/>
      </c>
      <c r="O1140" s="85" t="str">
        <f t="shared" si="13"/>
        <v/>
      </c>
      <c r="P1140" s="85" t="str">
        <f t="shared" si="5"/>
        <v/>
      </c>
      <c r="Q1140" s="83"/>
      <c r="R1140" s="118" t="str">
        <f>IF($E1140="","",IF(COUNTIF($E$7:$E2337,$E1140)&gt;1,"",IFERROR(VLOOKUP($E1140,Orders!$A:$I,8,FALSE),"")))</f>
        <v/>
      </c>
      <c r="S1140" s="118" t="str">
        <f>IF($E1140="","",IF(COUNTIF($E$7:$E2337,$E1140)&gt;1,"",IFERROR(VLOOKUP($E1140,Orders!$A:$I,9,FALSE),"")))</f>
        <v/>
      </c>
      <c r="T1140" s="88" t="str">
        <f t="shared" si="14"/>
        <v/>
      </c>
      <c r="U1140" s="88" t="str">
        <f>IF($F1140="","",IF($E1140="",T1140,SUMIF(Sales!$E$7:$E$1506,$E1140,Sales!$T$7:$T$1506)))</f>
        <v/>
      </c>
      <c r="V1140" s="49" t="str">
        <f t="shared" si="15"/>
        <v/>
      </c>
      <c r="W1140" s="49" t="str">
        <f t="array" ref="W1140">IF($V1140="","",SUMPRODUCT((Sales!$V$7:$V$1506&lt;&gt;"")*(Sales!$E$7:$E$1506&lt;$E1140))+1)</f>
        <v/>
      </c>
      <c r="X1140" s="49" t="str">
        <f t="shared" si="16"/>
        <v/>
      </c>
      <c r="Y1140" s="49" t="str">
        <f t="shared" si="17"/>
        <v/>
      </c>
    </row>
    <row r="1141" ht="15.0" customHeight="1">
      <c r="A1141" s="82"/>
      <c r="B1141" s="83"/>
      <c r="C1141" s="83"/>
      <c r="D1141" s="83"/>
      <c r="E1141" s="83"/>
      <c r="F1141" s="83"/>
      <c r="G1141" s="83" t="str">
        <f>IF($F1141="","",IFERROR(VLOOKUP($F1141,Inventory!$A:$B,2,FALSE),""))</f>
        <v/>
      </c>
      <c r="H1141" s="83"/>
      <c r="I1141" s="84" t="str">
        <f t="shared" si="2"/>
        <v/>
      </c>
      <c r="J1141" s="85" t="str">
        <f>IF($F1141="","",IFERROR(VLOOKUP($F1141,Inventory!$A:$K,11,FALSE),0))</f>
        <v/>
      </c>
      <c r="K1141" s="85"/>
      <c r="L1141" s="85" t="str">
        <f t="shared" si="12"/>
        <v/>
      </c>
      <c r="M1141" s="83"/>
      <c r="N1141" s="85" t="str">
        <f>IF($F1141="","",IFERROR(VLOOKUP($F1141,Inventory!$A:$I,9,FALSE),0))</f>
        <v/>
      </c>
      <c r="O1141" s="85" t="str">
        <f t="shared" si="13"/>
        <v/>
      </c>
      <c r="P1141" s="85" t="str">
        <f t="shared" si="5"/>
        <v/>
      </c>
      <c r="Q1141" s="83"/>
      <c r="R1141" s="118" t="str">
        <f>IF($E1141="","",IF(COUNTIF($E$7:$E2338,$E1141)&gt;1,"",IFERROR(VLOOKUP($E1141,Orders!$A:$I,8,FALSE),"")))</f>
        <v/>
      </c>
      <c r="S1141" s="118" t="str">
        <f>IF($E1141="","",IF(COUNTIF($E$7:$E2338,$E1141)&gt;1,"",IFERROR(VLOOKUP($E1141,Orders!$A:$I,9,FALSE),"")))</f>
        <v/>
      </c>
      <c r="T1141" s="88" t="str">
        <f t="shared" si="14"/>
        <v/>
      </c>
      <c r="U1141" s="88" t="str">
        <f>IF($F1141="","",IF($E1141="",T1141,SUMIF(Sales!$E$7:$E$1506,$E1141,Sales!$T$7:$T$1506)))</f>
        <v/>
      </c>
      <c r="V1141" s="49" t="str">
        <f t="shared" si="15"/>
        <v/>
      </c>
      <c r="W1141" s="49" t="str">
        <f t="array" ref="W1141">IF($V1141="","",SUMPRODUCT((Sales!$V$7:$V$1506&lt;&gt;"")*(Sales!$E$7:$E$1506&lt;$E1141))+1)</f>
        <v/>
      </c>
      <c r="X1141" s="49" t="str">
        <f t="shared" si="16"/>
        <v/>
      </c>
      <c r="Y1141" s="49" t="str">
        <f t="shared" si="17"/>
        <v/>
      </c>
    </row>
    <row r="1142" ht="15.0" customHeight="1">
      <c r="A1142" s="82"/>
      <c r="B1142" s="83"/>
      <c r="C1142" s="83"/>
      <c r="D1142" s="83"/>
      <c r="E1142" s="83"/>
      <c r="F1142" s="83"/>
      <c r="G1142" s="83" t="str">
        <f>IF($F1142="","",IFERROR(VLOOKUP($F1142,Inventory!$A:$B,2,FALSE),""))</f>
        <v/>
      </c>
      <c r="H1142" s="83"/>
      <c r="I1142" s="84" t="str">
        <f t="shared" si="2"/>
        <v/>
      </c>
      <c r="J1142" s="85" t="str">
        <f>IF($F1142="","",IFERROR(VLOOKUP($F1142,Inventory!$A:$K,11,FALSE),0))</f>
        <v/>
      </c>
      <c r="K1142" s="85"/>
      <c r="L1142" s="85" t="str">
        <f t="shared" si="12"/>
        <v/>
      </c>
      <c r="M1142" s="83"/>
      <c r="N1142" s="85" t="str">
        <f>IF($F1142="","",IFERROR(VLOOKUP($F1142,Inventory!$A:$I,9,FALSE),0))</f>
        <v/>
      </c>
      <c r="O1142" s="85" t="str">
        <f t="shared" si="13"/>
        <v/>
      </c>
      <c r="P1142" s="85" t="str">
        <f t="shared" si="5"/>
        <v/>
      </c>
      <c r="Q1142" s="83"/>
      <c r="R1142" s="118" t="str">
        <f>IF($E1142="","",IF(COUNTIF($E$7:$E2339,$E1142)&gt;1,"",IFERROR(VLOOKUP($E1142,Orders!$A:$I,8,FALSE),"")))</f>
        <v/>
      </c>
      <c r="S1142" s="118" t="str">
        <f>IF($E1142="","",IF(COUNTIF($E$7:$E2339,$E1142)&gt;1,"",IFERROR(VLOOKUP($E1142,Orders!$A:$I,9,FALSE),"")))</f>
        <v/>
      </c>
      <c r="T1142" s="88" t="str">
        <f t="shared" si="14"/>
        <v/>
      </c>
      <c r="U1142" s="88" t="str">
        <f>IF($F1142="","",IF($E1142="",T1142,SUMIF(Sales!$E$7:$E$1506,$E1142,Sales!$T$7:$T$1506)))</f>
        <v/>
      </c>
      <c r="V1142" s="49" t="str">
        <f t="shared" si="15"/>
        <v/>
      </c>
      <c r="W1142" s="49" t="str">
        <f t="array" ref="W1142">IF($V1142="","",SUMPRODUCT((Sales!$V$7:$V$1506&lt;&gt;"")*(Sales!$E$7:$E$1506&lt;$E1142))+1)</f>
        <v/>
      </c>
      <c r="X1142" s="49" t="str">
        <f t="shared" si="16"/>
        <v/>
      </c>
      <c r="Y1142" s="49" t="str">
        <f t="shared" si="17"/>
        <v/>
      </c>
    </row>
    <row r="1143" ht="15.0" customHeight="1">
      <c r="A1143" s="82"/>
      <c r="B1143" s="83"/>
      <c r="C1143" s="83"/>
      <c r="D1143" s="83"/>
      <c r="E1143" s="83"/>
      <c r="F1143" s="83"/>
      <c r="G1143" s="83" t="str">
        <f>IF($F1143="","",IFERROR(VLOOKUP($F1143,Inventory!$A:$B,2,FALSE),""))</f>
        <v/>
      </c>
      <c r="H1143" s="83"/>
      <c r="I1143" s="84" t="str">
        <f t="shared" si="2"/>
        <v/>
      </c>
      <c r="J1143" s="85" t="str">
        <f>IF($F1143="","",IFERROR(VLOOKUP($F1143,Inventory!$A:$K,11,FALSE),0))</f>
        <v/>
      </c>
      <c r="K1143" s="85"/>
      <c r="L1143" s="85" t="str">
        <f t="shared" si="12"/>
        <v/>
      </c>
      <c r="M1143" s="83"/>
      <c r="N1143" s="85" t="str">
        <f>IF($F1143="","",IFERROR(VLOOKUP($F1143,Inventory!$A:$I,9,FALSE),0))</f>
        <v/>
      </c>
      <c r="O1143" s="85" t="str">
        <f t="shared" si="13"/>
        <v/>
      </c>
      <c r="P1143" s="85" t="str">
        <f t="shared" si="5"/>
        <v/>
      </c>
      <c r="Q1143" s="83"/>
      <c r="R1143" s="118" t="str">
        <f>IF($E1143="","",IF(COUNTIF($E$7:$E2340,$E1143)&gt;1,"",IFERROR(VLOOKUP($E1143,Orders!$A:$I,8,FALSE),"")))</f>
        <v/>
      </c>
      <c r="S1143" s="118" t="str">
        <f>IF($E1143="","",IF(COUNTIF($E$7:$E2340,$E1143)&gt;1,"",IFERROR(VLOOKUP($E1143,Orders!$A:$I,9,FALSE),"")))</f>
        <v/>
      </c>
      <c r="T1143" s="88" t="str">
        <f t="shared" si="14"/>
        <v/>
      </c>
      <c r="U1143" s="88" t="str">
        <f>IF($F1143="","",IF($E1143="",T1143,SUMIF(Sales!$E$7:$E$1506,$E1143,Sales!$T$7:$T$1506)))</f>
        <v/>
      </c>
      <c r="V1143" s="49" t="str">
        <f t="shared" si="15"/>
        <v/>
      </c>
      <c r="W1143" s="49" t="str">
        <f t="array" ref="W1143">IF($V1143="","",SUMPRODUCT((Sales!$V$7:$V$1506&lt;&gt;"")*(Sales!$E$7:$E$1506&lt;$E1143))+1)</f>
        <v/>
      </c>
      <c r="X1143" s="49" t="str">
        <f t="shared" si="16"/>
        <v/>
      </c>
      <c r="Y1143" s="49" t="str">
        <f t="shared" si="17"/>
        <v/>
      </c>
    </row>
    <row r="1144" ht="15.0" customHeight="1">
      <c r="A1144" s="82"/>
      <c r="B1144" s="83"/>
      <c r="C1144" s="83"/>
      <c r="D1144" s="83"/>
      <c r="E1144" s="83"/>
      <c r="F1144" s="83"/>
      <c r="G1144" s="83" t="str">
        <f>IF($F1144="","",IFERROR(VLOOKUP($F1144,Inventory!$A:$B,2,FALSE),""))</f>
        <v/>
      </c>
      <c r="H1144" s="83"/>
      <c r="I1144" s="84" t="str">
        <f t="shared" si="2"/>
        <v/>
      </c>
      <c r="J1144" s="85" t="str">
        <f>IF($F1144="","",IFERROR(VLOOKUP($F1144,Inventory!$A:$K,11,FALSE),0))</f>
        <v/>
      </c>
      <c r="K1144" s="85"/>
      <c r="L1144" s="85" t="str">
        <f t="shared" si="12"/>
        <v/>
      </c>
      <c r="M1144" s="83"/>
      <c r="N1144" s="85" t="str">
        <f>IF($F1144="","",IFERROR(VLOOKUP($F1144,Inventory!$A:$I,9,FALSE),0))</f>
        <v/>
      </c>
      <c r="O1144" s="85" t="str">
        <f t="shared" si="13"/>
        <v/>
      </c>
      <c r="P1144" s="85" t="str">
        <f t="shared" si="5"/>
        <v/>
      </c>
      <c r="Q1144" s="83"/>
      <c r="R1144" s="118" t="str">
        <f>IF($E1144="","",IF(COUNTIF($E$7:$E2341,$E1144)&gt;1,"",IFERROR(VLOOKUP($E1144,Orders!$A:$I,8,FALSE),"")))</f>
        <v/>
      </c>
      <c r="S1144" s="118" t="str">
        <f>IF($E1144="","",IF(COUNTIF($E$7:$E2341,$E1144)&gt;1,"",IFERROR(VLOOKUP($E1144,Orders!$A:$I,9,FALSE),"")))</f>
        <v/>
      </c>
      <c r="T1144" s="88" t="str">
        <f t="shared" si="14"/>
        <v/>
      </c>
      <c r="U1144" s="88" t="str">
        <f>IF($F1144="","",IF($E1144="",T1144,SUMIF(Sales!$E$7:$E$1506,$E1144,Sales!$T$7:$T$1506)))</f>
        <v/>
      </c>
      <c r="V1144" s="49" t="str">
        <f t="shared" si="15"/>
        <v/>
      </c>
      <c r="W1144" s="49" t="str">
        <f t="array" ref="W1144">IF($V1144="","",SUMPRODUCT((Sales!$V$7:$V$1506&lt;&gt;"")*(Sales!$E$7:$E$1506&lt;$E1144))+1)</f>
        <v/>
      </c>
      <c r="X1144" s="49" t="str">
        <f t="shared" si="16"/>
        <v/>
      </c>
      <c r="Y1144" s="49" t="str">
        <f t="shared" si="17"/>
        <v/>
      </c>
    </row>
    <row r="1145" ht="15.0" customHeight="1">
      <c r="A1145" s="82"/>
      <c r="B1145" s="83"/>
      <c r="C1145" s="83"/>
      <c r="D1145" s="83"/>
      <c r="E1145" s="83"/>
      <c r="F1145" s="83"/>
      <c r="G1145" s="83" t="str">
        <f>IF($F1145="","",IFERROR(VLOOKUP($F1145,Inventory!$A:$B,2,FALSE),""))</f>
        <v/>
      </c>
      <c r="H1145" s="83"/>
      <c r="I1145" s="84" t="str">
        <f t="shared" si="2"/>
        <v/>
      </c>
      <c r="J1145" s="85" t="str">
        <f>IF($F1145="","",IFERROR(VLOOKUP($F1145,Inventory!$A:$K,11,FALSE),0))</f>
        <v/>
      </c>
      <c r="K1145" s="85"/>
      <c r="L1145" s="85" t="str">
        <f t="shared" si="12"/>
        <v/>
      </c>
      <c r="M1145" s="83"/>
      <c r="N1145" s="85" t="str">
        <f>IF($F1145="","",IFERROR(VLOOKUP($F1145,Inventory!$A:$I,9,FALSE),0))</f>
        <v/>
      </c>
      <c r="O1145" s="85" t="str">
        <f t="shared" si="13"/>
        <v/>
      </c>
      <c r="P1145" s="85" t="str">
        <f t="shared" si="5"/>
        <v/>
      </c>
      <c r="Q1145" s="83"/>
      <c r="R1145" s="118" t="str">
        <f>IF($E1145="","",IF(COUNTIF($E$7:$E2342,$E1145)&gt;1,"",IFERROR(VLOOKUP($E1145,Orders!$A:$I,8,FALSE),"")))</f>
        <v/>
      </c>
      <c r="S1145" s="118" t="str">
        <f>IF($E1145="","",IF(COUNTIF($E$7:$E2342,$E1145)&gt;1,"",IFERROR(VLOOKUP($E1145,Orders!$A:$I,9,FALSE),"")))</f>
        <v/>
      </c>
      <c r="T1145" s="88" t="str">
        <f t="shared" si="14"/>
        <v/>
      </c>
      <c r="U1145" s="88" t="str">
        <f>IF($F1145="","",IF($E1145="",T1145,SUMIF(Sales!$E$7:$E$1506,$E1145,Sales!$T$7:$T$1506)))</f>
        <v/>
      </c>
      <c r="V1145" s="49" t="str">
        <f t="shared" si="15"/>
        <v/>
      </c>
      <c r="W1145" s="49" t="str">
        <f t="array" ref="W1145">IF($V1145="","",SUMPRODUCT((Sales!$V$7:$V$1506&lt;&gt;"")*(Sales!$E$7:$E$1506&lt;$E1145))+1)</f>
        <v/>
      </c>
      <c r="X1145" s="49" t="str">
        <f t="shared" si="16"/>
        <v/>
      </c>
      <c r="Y1145" s="49" t="str">
        <f t="shared" si="17"/>
        <v/>
      </c>
    </row>
    <row r="1146" ht="15.0" customHeight="1">
      <c r="A1146" s="82"/>
      <c r="B1146" s="83"/>
      <c r="C1146" s="83"/>
      <c r="D1146" s="83"/>
      <c r="E1146" s="83"/>
      <c r="F1146" s="83"/>
      <c r="G1146" s="83" t="str">
        <f>IF($F1146="","",IFERROR(VLOOKUP($F1146,Inventory!$A:$B,2,FALSE),""))</f>
        <v/>
      </c>
      <c r="H1146" s="83"/>
      <c r="I1146" s="84" t="str">
        <f t="shared" si="2"/>
        <v/>
      </c>
      <c r="J1146" s="85" t="str">
        <f>IF($F1146="","",IFERROR(VLOOKUP($F1146,Inventory!$A:$K,11,FALSE),0))</f>
        <v/>
      </c>
      <c r="K1146" s="85"/>
      <c r="L1146" s="85" t="str">
        <f t="shared" si="12"/>
        <v/>
      </c>
      <c r="M1146" s="83"/>
      <c r="N1146" s="85" t="str">
        <f>IF($F1146="","",IFERROR(VLOOKUP($F1146,Inventory!$A:$I,9,FALSE),0))</f>
        <v/>
      </c>
      <c r="O1146" s="85" t="str">
        <f t="shared" si="13"/>
        <v/>
      </c>
      <c r="P1146" s="85" t="str">
        <f t="shared" si="5"/>
        <v/>
      </c>
      <c r="Q1146" s="83"/>
      <c r="R1146" s="118" t="str">
        <f>IF($E1146="","",IF(COUNTIF($E$7:$E2343,$E1146)&gt;1,"",IFERROR(VLOOKUP($E1146,Orders!$A:$I,8,FALSE),"")))</f>
        <v/>
      </c>
      <c r="S1146" s="118" t="str">
        <f>IF($E1146="","",IF(COUNTIF($E$7:$E2343,$E1146)&gt;1,"",IFERROR(VLOOKUP($E1146,Orders!$A:$I,9,FALSE),"")))</f>
        <v/>
      </c>
      <c r="T1146" s="88" t="str">
        <f t="shared" si="14"/>
        <v/>
      </c>
      <c r="U1146" s="88" t="str">
        <f>IF($F1146="","",IF($E1146="",T1146,SUMIF(Sales!$E$7:$E$1506,$E1146,Sales!$T$7:$T$1506)))</f>
        <v/>
      </c>
      <c r="V1146" s="49" t="str">
        <f t="shared" si="15"/>
        <v/>
      </c>
      <c r="W1146" s="49" t="str">
        <f t="array" ref="W1146">IF($V1146="","",SUMPRODUCT((Sales!$V$7:$V$1506&lt;&gt;"")*(Sales!$E$7:$E$1506&lt;$E1146))+1)</f>
        <v/>
      </c>
      <c r="X1146" s="49" t="str">
        <f t="shared" si="16"/>
        <v/>
      </c>
      <c r="Y1146" s="49" t="str">
        <f t="shared" si="17"/>
        <v/>
      </c>
    </row>
    <row r="1147" ht="15.0" customHeight="1">
      <c r="A1147" s="82"/>
      <c r="B1147" s="83"/>
      <c r="C1147" s="83"/>
      <c r="D1147" s="83"/>
      <c r="E1147" s="83"/>
      <c r="F1147" s="83"/>
      <c r="G1147" s="83" t="str">
        <f>IF($F1147="","",IFERROR(VLOOKUP($F1147,Inventory!$A:$B,2,FALSE),""))</f>
        <v/>
      </c>
      <c r="H1147" s="83"/>
      <c r="I1147" s="84" t="str">
        <f t="shared" si="2"/>
        <v/>
      </c>
      <c r="J1147" s="85" t="str">
        <f>IF($F1147="","",IFERROR(VLOOKUP($F1147,Inventory!$A:$K,11,FALSE),0))</f>
        <v/>
      </c>
      <c r="K1147" s="85"/>
      <c r="L1147" s="85" t="str">
        <f t="shared" si="12"/>
        <v/>
      </c>
      <c r="M1147" s="83"/>
      <c r="N1147" s="85" t="str">
        <f>IF($F1147="","",IFERROR(VLOOKUP($F1147,Inventory!$A:$I,9,FALSE),0))</f>
        <v/>
      </c>
      <c r="O1147" s="85" t="str">
        <f t="shared" si="13"/>
        <v/>
      </c>
      <c r="P1147" s="85" t="str">
        <f t="shared" si="5"/>
        <v/>
      </c>
      <c r="Q1147" s="83"/>
      <c r="R1147" s="118" t="str">
        <f>IF($E1147="","",IF(COUNTIF($E$7:$E2344,$E1147)&gt;1,"",IFERROR(VLOOKUP($E1147,Orders!$A:$I,8,FALSE),"")))</f>
        <v/>
      </c>
      <c r="S1147" s="118" t="str">
        <f>IF($E1147="","",IF(COUNTIF($E$7:$E2344,$E1147)&gt;1,"",IFERROR(VLOOKUP($E1147,Orders!$A:$I,9,FALSE),"")))</f>
        <v/>
      </c>
      <c r="T1147" s="88" t="str">
        <f t="shared" si="14"/>
        <v/>
      </c>
      <c r="U1147" s="88" t="str">
        <f>IF($F1147="","",IF($E1147="",T1147,SUMIF(Sales!$E$7:$E$1506,$E1147,Sales!$T$7:$T$1506)))</f>
        <v/>
      </c>
      <c r="V1147" s="49" t="str">
        <f t="shared" si="15"/>
        <v/>
      </c>
      <c r="W1147" s="49" t="str">
        <f t="array" ref="W1147">IF($V1147="","",SUMPRODUCT((Sales!$V$7:$V$1506&lt;&gt;"")*(Sales!$E$7:$E$1506&lt;$E1147))+1)</f>
        <v/>
      </c>
      <c r="X1147" s="49" t="str">
        <f t="shared" si="16"/>
        <v/>
      </c>
      <c r="Y1147" s="49" t="str">
        <f t="shared" si="17"/>
        <v/>
      </c>
    </row>
    <row r="1148" ht="15.0" customHeight="1">
      <c r="A1148" s="82"/>
      <c r="B1148" s="83"/>
      <c r="C1148" s="83"/>
      <c r="D1148" s="83"/>
      <c r="E1148" s="83"/>
      <c r="F1148" s="83"/>
      <c r="G1148" s="83" t="str">
        <f>IF($F1148="","",IFERROR(VLOOKUP($F1148,Inventory!$A:$B,2,FALSE),""))</f>
        <v/>
      </c>
      <c r="H1148" s="83"/>
      <c r="I1148" s="84" t="str">
        <f t="shared" si="2"/>
        <v/>
      </c>
      <c r="J1148" s="85" t="str">
        <f>IF($F1148="","",IFERROR(VLOOKUP($F1148,Inventory!$A:$K,11,FALSE),0))</f>
        <v/>
      </c>
      <c r="K1148" s="85"/>
      <c r="L1148" s="85" t="str">
        <f t="shared" si="12"/>
        <v/>
      </c>
      <c r="M1148" s="83"/>
      <c r="N1148" s="85" t="str">
        <f>IF($F1148="","",IFERROR(VLOOKUP($F1148,Inventory!$A:$I,9,FALSE),0))</f>
        <v/>
      </c>
      <c r="O1148" s="85" t="str">
        <f t="shared" si="13"/>
        <v/>
      </c>
      <c r="P1148" s="85" t="str">
        <f t="shared" si="5"/>
        <v/>
      </c>
      <c r="Q1148" s="83"/>
      <c r="R1148" s="118" t="str">
        <f>IF($E1148="","",IF(COUNTIF($E$7:$E2345,$E1148)&gt;1,"",IFERROR(VLOOKUP($E1148,Orders!$A:$I,8,FALSE),"")))</f>
        <v/>
      </c>
      <c r="S1148" s="118" t="str">
        <f>IF($E1148="","",IF(COUNTIF($E$7:$E2345,$E1148)&gt;1,"",IFERROR(VLOOKUP($E1148,Orders!$A:$I,9,FALSE),"")))</f>
        <v/>
      </c>
      <c r="T1148" s="88" t="str">
        <f t="shared" si="14"/>
        <v/>
      </c>
      <c r="U1148" s="88" t="str">
        <f>IF($F1148="","",IF($E1148="",T1148,SUMIF(Sales!$E$7:$E$1506,$E1148,Sales!$T$7:$T$1506)))</f>
        <v/>
      </c>
      <c r="V1148" s="49" t="str">
        <f t="shared" si="15"/>
        <v/>
      </c>
      <c r="W1148" s="49" t="str">
        <f t="array" ref="W1148">IF($V1148="","",SUMPRODUCT((Sales!$V$7:$V$1506&lt;&gt;"")*(Sales!$E$7:$E$1506&lt;$E1148))+1)</f>
        <v/>
      </c>
      <c r="X1148" s="49" t="str">
        <f t="shared" si="16"/>
        <v/>
      </c>
      <c r="Y1148" s="49" t="str">
        <f t="shared" si="17"/>
        <v/>
      </c>
    </row>
    <row r="1149" ht="15.0" customHeight="1">
      <c r="A1149" s="82"/>
      <c r="B1149" s="83"/>
      <c r="C1149" s="83"/>
      <c r="D1149" s="83"/>
      <c r="E1149" s="83"/>
      <c r="F1149" s="83"/>
      <c r="G1149" s="83" t="str">
        <f>IF($F1149="","",IFERROR(VLOOKUP($F1149,Inventory!$A:$B,2,FALSE),""))</f>
        <v/>
      </c>
      <c r="H1149" s="83"/>
      <c r="I1149" s="84" t="str">
        <f t="shared" si="2"/>
        <v/>
      </c>
      <c r="J1149" s="85" t="str">
        <f>IF($F1149="","",IFERROR(VLOOKUP($F1149,Inventory!$A:$K,11,FALSE),0))</f>
        <v/>
      </c>
      <c r="K1149" s="85"/>
      <c r="L1149" s="85" t="str">
        <f t="shared" si="12"/>
        <v/>
      </c>
      <c r="M1149" s="83"/>
      <c r="N1149" s="85" t="str">
        <f>IF($F1149="","",IFERROR(VLOOKUP($F1149,Inventory!$A:$I,9,FALSE),0))</f>
        <v/>
      </c>
      <c r="O1149" s="85" t="str">
        <f t="shared" si="13"/>
        <v/>
      </c>
      <c r="P1149" s="85" t="str">
        <f t="shared" si="5"/>
        <v/>
      </c>
      <c r="Q1149" s="83"/>
      <c r="R1149" s="118" t="str">
        <f>IF($E1149="","",IF(COUNTIF($E$7:$E2346,$E1149)&gt;1,"",IFERROR(VLOOKUP($E1149,Orders!$A:$I,8,FALSE),"")))</f>
        <v/>
      </c>
      <c r="S1149" s="118" t="str">
        <f>IF($E1149="","",IF(COUNTIF($E$7:$E2346,$E1149)&gt;1,"",IFERROR(VLOOKUP($E1149,Orders!$A:$I,9,FALSE),"")))</f>
        <v/>
      </c>
      <c r="T1149" s="88" t="str">
        <f t="shared" si="14"/>
        <v/>
      </c>
      <c r="U1149" s="88" t="str">
        <f>IF($F1149="","",IF($E1149="",T1149,SUMIF(Sales!$E$7:$E$1506,$E1149,Sales!$T$7:$T$1506)))</f>
        <v/>
      </c>
      <c r="V1149" s="49" t="str">
        <f t="shared" si="15"/>
        <v/>
      </c>
      <c r="W1149" s="49" t="str">
        <f t="array" ref="W1149">IF($V1149="","",SUMPRODUCT((Sales!$V$7:$V$1506&lt;&gt;"")*(Sales!$E$7:$E$1506&lt;$E1149))+1)</f>
        <v/>
      </c>
      <c r="X1149" s="49" t="str">
        <f t="shared" si="16"/>
        <v/>
      </c>
      <c r="Y1149" s="49" t="str">
        <f t="shared" si="17"/>
        <v/>
      </c>
    </row>
    <row r="1150" ht="15.0" customHeight="1">
      <c r="A1150" s="82"/>
      <c r="B1150" s="83"/>
      <c r="C1150" s="83"/>
      <c r="D1150" s="83"/>
      <c r="E1150" s="83"/>
      <c r="F1150" s="83"/>
      <c r="G1150" s="83" t="str">
        <f>IF($F1150="","",IFERROR(VLOOKUP($F1150,Inventory!$A:$B,2,FALSE),""))</f>
        <v/>
      </c>
      <c r="H1150" s="83"/>
      <c r="I1150" s="84" t="str">
        <f t="shared" si="2"/>
        <v/>
      </c>
      <c r="J1150" s="85" t="str">
        <f>IF($F1150="","",IFERROR(VLOOKUP($F1150,Inventory!$A:$K,11,FALSE),0))</f>
        <v/>
      </c>
      <c r="K1150" s="85"/>
      <c r="L1150" s="85" t="str">
        <f t="shared" si="12"/>
        <v/>
      </c>
      <c r="M1150" s="83"/>
      <c r="N1150" s="85" t="str">
        <f>IF($F1150="","",IFERROR(VLOOKUP($F1150,Inventory!$A:$I,9,FALSE),0))</f>
        <v/>
      </c>
      <c r="O1150" s="85" t="str">
        <f t="shared" si="13"/>
        <v/>
      </c>
      <c r="P1150" s="85" t="str">
        <f t="shared" si="5"/>
        <v/>
      </c>
      <c r="Q1150" s="83"/>
      <c r="R1150" s="118" t="str">
        <f>IF($E1150="","",IF(COUNTIF($E$7:$E2347,$E1150)&gt;1,"",IFERROR(VLOOKUP($E1150,Orders!$A:$I,8,FALSE),"")))</f>
        <v/>
      </c>
      <c r="S1150" s="118" t="str">
        <f>IF($E1150="","",IF(COUNTIF($E$7:$E2347,$E1150)&gt;1,"",IFERROR(VLOOKUP($E1150,Orders!$A:$I,9,FALSE),"")))</f>
        <v/>
      </c>
      <c r="T1150" s="88" t="str">
        <f t="shared" si="14"/>
        <v/>
      </c>
      <c r="U1150" s="88" t="str">
        <f>IF($F1150="","",IF($E1150="",T1150,SUMIF(Sales!$E$7:$E$1506,$E1150,Sales!$T$7:$T$1506)))</f>
        <v/>
      </c>
      <c r="V1150" s="49" t="str">
        <f t="shared" si="15"/>
        <v/>
      </c>
      <c r="W1150" s="49" t="str">
        <f t="array" ref="W1150">IF($V1150="","",SUMPRODUCT((Sales!$V$7:$V$1506&lt;&gt;"")*(Sales!$E$7:$E$1506&lt;$E1150))+1)</f>
        <v/>
      </c>
      <c r="X1150" s="49" t="str">
        <f t="shared" si="16"/>
        <v/>
      </c>
      <c r="Y1150" s="49" t="str">
        <f t="shared" si="17"/>
        <v/>
      </c>
    </row>
    <row r="1151" ht="15.0" customHeight="1">
      <c r="A1151" s="82"/>
      <c r="B1151" s="83"/>
      <c r="C1151" s="83"/>
      <c r="D1151" s="83"/>
      <c r="E1151" s="83"/>
      <c r="F1151" s="83"/>
      <c r="G1151" s="83" t="str">
        <f>IF($F1151="","",IFERROR(VLOOKUP($F1151,Inventory!$A:$B,2,FALSE),""))</f>
        <v/>
      </c>
      <c r="H1151" s="83"/>
      <c r="I1151" s="84" t="str">
        <f t="shared" si="2"/>
        <v/>
      </c>
      <c r="J1151" s="85" t="str">
        <f>IF($F1151="","",IFERROR(VLOOKUP($F1151,Inventory!$A:$K,11,FALSE),0))</f>
        <v/>
      </c>
      <c r="K1151" s="85"/>
      <c r="L1151" s="85" t="str">
        <f t="shared" si="12"/>
        <v/>
      </c>
      <c r="M1151" s="83"/>
      <c r="N1151" s="85" t="str">
        <f>IF($F1151="","",IFERROR(VLOOKUP($F1151,Inventory!$A:$I,9,FALSE),0))</f>
        <v/>
      </c>
      <c r="O1151" s="85" t="str">
        <f t="shared" si="13"/>
        <v/>
      </c>
      <c r="P1151" s="85" t="str">
        <f t="shared" si="5"/>
        <v/>
      </c>
      <c r="Q1151" s="83"/>
      <c r="R1151" s="118" t="str">
        <f>IF($E1151="","",IF(COUNTIF($E$7:$E2348,$E1151)&gt;1,"",IFERROR(VLOOKUP($E1151,Orders!$A:$I,8,FALSE),"")))</f>
        <v/>
      </c>
      <c r="S1151" s="118" t="str">
        <f>IF($E1151="","",IF(COUNTIF($E$7:$E2348,$E1151)&gt;1,"",IFERROR(VLOOKUP($E1151,Orders!$A:$I,9,FALSE),"")))</f>
        <v/>
      </c>
      <c r="T1151" s="88" t="str">
        <f t="shared" si="14"/>
        <v/>
      </c>
      <c r="U1151" s="88" t="str">
        <f>IF($F1151="","",IF($E1151="",T1151,SUMIF(Sales!$E$7:$E$1506,$E1151,Sales!$T$7:$T$1506)))</f>
        <v/>
      </c>
      <c r="V1151" s="49" t="str">
        <f t="shared" si="15"/>
        <v/>
      </c>
      <c r="W1151" s="49" t="str">
        <f t="array" ref="W1151">IF($V1151="","",SUMPRODUCT((Sales!$V$7:$V$1506&lt;&gt;"")*(Sales!$E$7:$E$1506&lt;$E1151))+1)</f>
        <v/>
      </c>
      <c r="X1151" s="49" t="str">
        <f t="shared" si="16"/>
        <v/>
      </c>
      <c r="Y1151" s="49" t="str">
        <f t="shared" si="17"/>
        <v/>
      </c>
    </row>
    <row r="1152" ht="15.0" customHeight="1">
      <c r="A1152" s="82"/>
      <c r="B1152" s="83"/>
      <c r="C1152" s="83"/>
      <c r="D1152" s="83"/>
      <c r="E1152" s="83"/>
      <c r="F1152" s="83"/>
      <c r="G1152" s="83" t="str">
        <f>IF($F1152="","",IFERROR(VLOOKUP($F1152,Inventory!$A:$B,2,FALSE),""))</f>
        <v/>
      </c>
      <c r="H1152" s="83"/>
      <c r="I1152" s="84" t="str">
        <f t="shared" si="2"/>
        <v/>
      </c>
      <c r="J1152" s="85" t="str">
        <f>IF($F1152="","",IFERROR(VLOOKUP($F1152,Inventory!$A:$K,11,FALSE),0))</f>
        <v/>
      </c>
      <c r="K1152" s="85"/>
      <c r="L1152" s="85" t="str">
        <f t="shared" si="12"/>
        <v/>
      </c>
      <c r="M1152" s="83"/>
      <c r="N1152" s="85" t="str">
        <f>IF($F1152="","",IFERROR(VLOOKUP($F1152,Inventory!$A:$I,9,FALSE),0))</f>
        <v/>
      </c>
      <c r="O1152" s="85" t="str">
        <f t="shared" si="13"/>
        <v/>
      </c>
      <c r="P1152" s="85" t="str">
        <f t="shared" si="5"/>
        <v/>
      </c>
      <c r="Q1152" s="83"/>
      <c r="R1152" s="118" t="str">
        <f>IF($E1152="","",IF(COUNTIF($E$7:$E2349,$E1152)&gt;1,"",IFERROR(VLOOKUP($E1152,Orders!$A:$I,8,FALSE),"")))</f>
        <v/>
      </c>
      <c r="S1152" s="118" t="str">
        <f>IF($E1152="","",IF(COUNTIF($E$7:$E2349,$E1152)&gt;1,"",IFERROR(VLOOKUP($E1152,Orders!$A:$I,9,FALSE),"")))</f>
        <v/>
      </c>
      <c r="T1152" s="88" t="str">
        <f t="shared" si="14"/>
        <v/>
      </c>
      <c r="U1152" s="88" t="str">
        <f>IF($F1152="","",IF($E1152="",T1152,SUMIF(Sales!$E$7:$E$1506,$E1152,Sales!$T$7:$T$1506)))</f>
        <v/>
      </c>
      <c r="V1152" s="49" t="str">
        <f t="shared" si="15"/>
        <v/>
      </c>
      <c r="W1152" s="49" t="str">
        <f t="array" ref="W1152">IF($V1152="","",SUMPRODUCT((Sales!$V$7:$V$1506&lt;&gt;"")*(Sales!$E$7:$E$1506&lt;$E1152))+1)</f>
        <v/>
      </c>
      <c r="X1152" s="49" t="str">
        <f t="shared" si="16"/>
        <v/>
      </c>
      <c r="Y1152" s="49" t="str">
        <f t="shared" si="17"/>
        <v/>
      </c>
    </row>
    <row r="1153" ht="15.0" customHeight="1">
      <c r="A1153" s="82"/>
      <c r="B1153" s="83"/>
      <c r="C1153" s="83"/>
      <c r="D1153" s="83"/>
      <c r="E1153" s="83"/>
      <c r="F1153" s="83"/>
      <c r="G1153" s="83" t="str">
        <f>IF($F1153="","",IFERROR(VLOOKUP($F1153,Inventory!$A:$B,2,FALSE),""))</f>
        <v/>
      </c>
      <c r="H1153" s="83"/>
      <c r="I1153" s="84" t="str">
        <f t="shared" si="2"/>
        <v/>
      </c>
      <c r="J1153" s="85" t="str">
        <f>IF($F1153="","",IFERROR(VLOOKUP($F1153,Inventory!$A:$K,11,FALSE),0))</f>
        <v/>
      </c>
      <c r="K1153" s="85"/>
      <c r="L1153" s="85" t="str">
        <f t="shared" si="12"/>
        <v/>
      </c>
      <c r="M1153" s="83"/>
      <c r="N1153" s="85" t="str">
        <f>IF($F1153="","",IFERROR(VLOOKUP($F1153,Inventory!$A:$I,9,FALSE),0))</f>
        <v/>
      </c>
      <c r="O1153" s="85" t="str">
        <f t="shared" si="13"/>
        <v/>
      </c>
      <c r="P1153" s="85" t="str">
        <f t="shared" si="5"/>
        <v/>
      </c>
      <c r="Q1153" s="83"/>
      <c r="R1153" s="118" t="str">
        <f>IF($E1153="","",IF(COUNTIF($E$7:$E2350,$E1153)&gt;1,"",IFERROR(VLOOKUP($E1153,Orders!$A:$I,8,FALSE),"")))</f>
        <v/>
      </c>
      <c r="S1153" s="118" t="str">
        <f>IF($E1153="","",IF(COUNTIF($E$7:$E2350,$E1153)&gt;1,"",IFERROR(VLOOKUP($E1153,Orders!$A:$I,9,FALSE),"")))</f>
        <v/>
      </c>
      <c r="T1153" s="88" t="str">
        <f t="shared" si="14"/>
        <v/>
      </c>
      <c r="U1153" s="88" t="str">
        <f>IF($F1153="","",IF($E1153="",T1153,SUMIF(Sales!$E$7:$E$1506,$E1153,Sales!$T$7:$T$1506)))</f>
        <v/>
      </c>
      <c r="V1153" s="49" t="str">
        <f t="shared" si="15"/>
        <v/>
      </c>
      <c r="W1153" s="49" t="str">
        <f t="array" ref="W1153">IF($V1153="","",SUMPRODUCT((Sales!$V$7:$V$1506&lt;&gt;"")*(Sales!$E$7:$E$1506&lt;$E1153))+1)</f>
        <v/>
      </c>
      <c r="X1153" s="49" t="str">
        <f t="shared" si="16"/>
        <v/>
      </c>
      <c r="Y1153" s="49" t="str">
        <f t="shared" si="17"/>
        <v/>
      </c>
    </row>
    <row r="1154" ht="15.0" customHeight="1">
      <c r="A1154" s="82"/>
      <c r="B1154" s="83"/>
      <c r="C1154" s="83"/>
      <c r="D1154" s="83"/>
      <c r="E1154" s="83"/>
      <c r="F1154" s="83"/>
      <c r="G1154" s="83" t="str">
        <f>IF($F1154="","",IFERROR(VLOOKUP($F1154,Inventory!$A:$B,2,FALSE),""))</f>
        <v/>
      </c>
      <c r="H1154" s="83"/>
      <c r="I1154" s="84" t="str">
        <f t="shared" si="2"/>
        <v/>
      </c>
      <c r="J1154" s="85" t="str">
        <f>IF($F1154="","",IFERROR(VLOOKUP($F1154,Inventory!$A:$K,11,FALSE),0))</f>
        <v/>
      </c>
      <c r="K1154" s="85"/>
      <c r="L1154" s="85" t="str">
        <f t="shared" si="12"/>
        <v/>
      </c>
      <c r="M1154" s="83"/>
      <c r="N1154" s="85" t="str">
        <f>IF($F1154="","",IFERROR(VLOOKUP($F1154,Inventory!$A:$I,9,FALSE),0))</f>
        <v/>
      </c>
      <c r="O1154" s="85" t="str">
        <f t="shared" si="13"/>
        <v/>
      </c>
      <c r="P1154" s="85" t="str">
        <f t="shared" si="5"/>
        <v/>
      </c>
      <c r="Q1154" s="83"/>
      <c r="R1154" s="118" t="str">
        <f>IF($E1154="","",IF(COUNTIF($E$7:$E2351,$E1154)&gt;1,"",IFERROR(VLOOKUP($E1154,Orders!$A:$I,8,FALSE),"")))</f>
        <v/>
      </c>
      <c r="S1154" s="118" t="str">
        <f>IF($E1154="","",IF(COUNTIF($E$7:$E2351,$E1154)&gt;1,"",IFERROR(VLOOKUP($E1154,Orders!$A:$I,9,FALSE),"")))</f>
        <v/>
      </c>
      <c r="T1154" s="88" t="str">
        <f t="shared" si="14"/>
        <v/>
      </c>
      <c r="U1154" s="88" t="str">
        <f>IF($F1154="","",IF($E1154="",T1154,SUMIF(Sales!$E$7:$E$1506,$E1154,Sales!$T$7:$T$1506)))</f>
        <v/>
      </c>
      <c r="V1154" s="49" t="str">
        <f t="shared" si="15"/>
        <v/>
      </c>
      <c r="W1154" s="49" t="str">
        <f t="array" ref="W1154">IF($V1154="","",SUMPRODUCT((Sales!$V$7:$V$1506&lt;&gt;"")*(Sales!$E$7:$E$1506&lt;$E1154))+1)</f>
        <v/>
      </c>
      <c r="X1154" s="49" t="str">
        <f t="shared" si="16"/>
        <v/>
      </c>
      <c r="Y1154" s="49" t="str">
        <f t="shared" si="17"/>
        <v/>
      </c>
    </row>
    <row r="1155" ht="15.0" customHeight="1">
      <c r="A1155" s="82"/>
      <c r="B1155" s="83"/>
      <c r="C1155" s="83"/>
      <c r="D1155" s="83"/>
      <c r="E1155" s="83"/>
      <c r="F1155" s="83"/>
      <c r="G1155" s="83" t="str">
        <f>IF($F1155="","",IFERROR(VLOOKUP($F1155,Inventory!$A:$B,2,FALSE),""))</f>
        <v/>
      </c>
      <c r="H1155" s="83"/>
      <c r="I1155" s="84" t="str">
        <f t="shared" si="2"/>
        <v/>
      </c>
      <c r="J1155" s="85" t="str">
        <f>IF($F1155="","",IFERROR(VLOOKUP($F1155,Inventory!$A:$K,11,FALSE),0))</f>
        <v/>
      </c>
      <c r="K1155" s="85"/>
      <c r="L1155" s="85" t="str">
        <f t="shared" si="12"/>
        <v/>
      </c>
      <c r="M1155" s="83"/>
      <c r="N1155" s="85" t="str">
        <f>IF($F1155="","",IFERROR(VLOOKUP($F1155,Inventory!$A:$I,9,FALSE),0))</f>
        <v/>
      </c>
      <c r="O1155" s="85" t="str">
        <f t="shared" si="13"/>
        <v/>
      </c>
      <c r="P1155" s="85" t="str">
        <f t="shared" si="5"/>
        <v/>
      </c>
      <c r="Q1155" s="83"/>
      <c r="R1155" s="118" t="str">
        <f>IF($E1155="","",IF(COUNTIF($E$7:$E2352,$E1155)&gt;1,"",IFERROR(VLOOKUP($E1155,Orders!$A:$I,8,FALSE),"")))</f>
        <v/>
      </c>
      <c r="S1155" s="118" t="str">
        <f>IF($E1155="","",IF(COUNTIF($E$7:$E2352,$E1155)&gt;1,"",IFERROR(VLOOKUP($E1155,Orders!$A:$I,9,FALSE),"")))</f>
        <v/>
      </c>
      <c r="T1155" s="88" t="str">
        <f t="shared" si="14"/>
        <v/>
      </c>
      <c r="U1155" s="88" t="str">
        <f>IF($F1155="","",IF($E1155="",T1155,SUMIF(Sales!$E$7:$E$1506,$E1155,Sales!$T$7:$T$1506)))</f>
        <v/>
      </c>
      <c r="V1155" s="49" t="str">
        <f t="shared" si="15"/>
        <v/>
      </c>
      <c r="W1155" s="49" t="str">
        <f t="array" ref="W1155">IF($V1155="","",SUMPRODUCT((Sales!$V$7:$V$1506&lt;&gt;"")*(Sales!$E$7:$E$1506&lt;$E1155))+1)</f>
        <v/>
      </c>
      <c r="X1155" s="49" t="str">
        <f t="shared" si="16"/>
        <v/>
      </c>
      <c r="Y1155" s="49" t="str">
        <f t="shared" si="17"/>
        <v/>
      </c>
    </row>
    <row r="1156" ht="15.0" customHeight="1">
      <c r="A1156" s="82"/>
      <c r="B1156" s="83"/>
      <c r="C1156" s="83"/>
      <c r="D1156" s="83"/>
      <c r="E1156" s="83"/>
      <c r="F1156" s="83"/>
      <c r="G1156" s="83" t="str">
        <f>IF($F1156="","",IFERROR(VLOOKUP($F1156,Inventory!$A:$B,2,FALSE),""))</f>
        <v/>
      </c>
      <c r="H1156" s="83"/>
      <c r="I1156" s="84" t="str">
        <f t="shared" si="2"/>
        <v/>
      </c>
      <c r="J1156" s="85" t="str">
        <f>IF($F1156="","",IFERROR(VLOOKUP($F1156,Inventory!$A:$K,11,FALSE),0))</f>
        <v/>
      </c>
      <c r="K1156" s="85"/>
      <c r="L1156" s="85" t="str">
        <f t="shared" si="12"/>
        <v/>
      </c>
      <c r="M1156" s="83"/>
      <c r="N1156" s="85" t="str">
        <f>IF($F1156="","",IFERROR(VLOOKUP($F1156,Inventory!$A:$I,9,FALSE),0))</f>
        <v/>
      </c>
      <c r="O1156" s="85" t="str">
        <f t="shared" si="13"/>
        <v/>
      </c>
      <c r="P1156" s="85" t="str">
        <f t="shared" si="5"/>
        <v/>
      </c>
      <c r="Q1156" s="83"/>
      <c r="R1156" s="118" t="str">
        <f>IF($E1156="","",IF(COUNTIF($E$7:$E2353,$E1156)&gt;1,"",IFERROR(VLOOKUP($E1156,Orders!$A:$I,8,FALSE),"")))</f>
        <v/>
      </c>
      <c r="S1156" s="118" t="str">
        <f>IF($E1156="","",IF(COUNTIF($E$7:$E2353,$E1156)&gt;1,"",IFERROR(VLOOKUP($E1156,Orders!$A:$I,9,FALSE),"")))</f>
        <v/>
      </c>
      <c r="T1156" s="88" t="str">
        <f t="shared" si="14"/>
        <v/>
      </c>
      <c r="U1156" s="88" t="str">
        <f>IF($F1156="","",IF($E1156="",T1156,SUMIF(Sales!$E$7:$E$1506,$E1156,Sales!$T$7:$T$1506)))</f>
        <v/>
      </c>
      <c r="V1156" s="49" t="str">
        <f t="shared" si="15"/>
        <v/>
      </c>
      <c r="W1156" s="49" t="str">
        <f t="array" ref="W1156">IF($V1156="","",SUMPRODUCT((Sales!$V$7:$V$1506&lt;&gt;"")*(Sales!$E$7:$E$1506&lt;$E1156))+1)</f>
        <v/>
      </c>
      <c r="X1156" s="49" t="str">
        <f t="shared" si="16"/>
        <v/>
      </c>
      <c r="Y1156" s="49" t="str">
        <f t="shared" si="17"/>
        <v/>
      </c>
    </row>
    <row r="1157" ht="15.0" customHeight="1">
      <c r="A1157" s="82"/>
      <c r="B1157" s="83"/>
      <c r="C1157" s="83"/>
      <c r="D1157" s="83"/>
      <c r="E1157" s="83"/>
      <c r="F1157" s="83"/>
      <c r="G1157" s="83" t="str">
        <f>IF($F1157="","",IFERROR(VLOOKUP($F1157,Inventory!$A:$B,2,FALSE),""))</f>
        <v/>
      </c>
      <c r="H1157" s="83"/>
      <c r="I1157" s="84" t="str">
        <f t="shared" si="2"/>
        <v/>
      </c>
      <c r="J1157" s="85" t="str">
        <f>IF($F1157="","",IFERROR(VLOOKUP($F1157,Inventory!$A:$K,11,FALSE),0))</f>
        <v/>
      </c>
      <c r="K1157" s="85"/>
      <c r="L1157" s="85" t="str">
        <f t="shared" si="12"/>
        <v/>
      </c>
      <c r="M1157" s="83"/>
      <c r="N1157" s="85" t="str">
        <f>IF($F1157="","",IFERROR(VLOOKUP($F1157,Inventory!$A:$I,9,FALSE),0))</f>
        <v/>
      </c>
      <c r="O1157" s="85" t="str">
        <f t="shared" si="13"/>
        <v/>
      </c>
      <c r="P1157" s="85" t="str">
        <f t="shared" si="5"/>
        <v/>
      </c>
      <c r="Q1157" s="83"/>
      <c r="R1157" s="118" t="str">
        <f>IF($E1157="","",IF(COUNTIF($E$7:$E2354,$E1157)&gt;1,"",IFERROR(VLOOKUP($E1157,Orders!$A:$I,8,FALSE),"")))</f>
        <v/>
      </c>
      <c r="S1157" s="118" t="str">
        <f>IF($E1157="","",IF(COUNTIF($E$7:$E2354,$E1157)&gt;1,"",IFERROR(VLOOKUP($E1157,Orders!$A:$I,9,FALSE),"")))</f>
        <v/>
      </c>
      <c r="T1157" s="88" t="str">
        <f t="shared" si="14"/>
        <v/>
      </c>
      <c r="U1157" s="88" t="str">
        <f>IF($F1157="","",IF($E1157="",T1157,SUMIF(Sales!$E$7:$E$1506,$E1157,Sales!$T$7:$T$1506)))</f>
        <v/>
      </c>
      <c r="V1157" s="49" t="str">
        <f t="shared" si="15"/>
        <v/>
      </c>
      <c r="W1157" s="49" t="str">
        <f t="array" ref="W1157">IF($V1157="","",SUMPRODUCT((Sales!$V$7:$V$1506&lt;&gt;"")*(Sales!$E$7:$E$1506&lt;$E1157))+1)</f>
        <v/>
      </c>
      <c r="X1157" s="49" t="str">
        <f t="shared" si="16"/>
        <v/>
      </c>
      <c r="Y1157" s="49" t="str">
        <f t="shared" si="17"/>
        <v/>
      </c>
    </row>
    <row r="1158" ht="15.0" customHeight="1">
      <c r="A1158" s="82"/>
      <c r="B1158" s="83"/>
      <c r="C1158" s="83"/>
      <c r="D1158" s="83"/>
      <c r="E1158" s="83"/>
      <c r="F1158" s="83"/>
      <c r="G1158" s="83" t="str">
        <f>IF($F1158="","",IFERROR(VLOOKUP($F1158,Inventory!$A:$B,2,FALSE),""))</f>
        <v/>
      </c>
      <c r="H1158" s="83"/>
      <c r="I1158" s="84" t="str">
        <f t="shared" si="2"/>
        <v/>
      </c>
      <c r="J1158" s="85" t="str">
        <f>IF($F1158="","",IFERROR(VLOOKUP($F1158,Inventory!$A:$K,11,FALSE),0))</f>
        <v/>
      </c>
      <c r="K1158" s="85"/>
      <c r="L1158" s="85" t="str">
        <f t="shared" si="12"/>
        <v/>
      </c>
      <c r="M1158" s="83"/>
      <c r="N1158" s="85" t="str">
        <f>IF($F1158="","",IFERROR(VLOOKUP($F1158,Inventory!$A:$I,9,FALSE),0))</f>
        <v/>
      </c>
      <c r="O1158" s="85" t="str">
        <f t="shared" si="13"/>
        <v/>
      </c>
      <c r="P1158" s="85" t="str">
        <f t="shared" si="5"/>
        <v/>
      </c>
      <c r="Q1158" s="83"/>
      <c r="R1158" s="118" t="str">
        <f>IF($E1158="","",IF(COUNTIF($E$7:$E2355,$E1158)&gt;1,"",IFERROR(VLOOKUP($E1158,Orders!$A:$I,8,FALSE),"")))</f>
        <v/>
      </c>
      <c r="S1158" s="118" t="str">
        <f>IF($E1158="","",IF(COUNTIF($E$7:$E2355,$E1158)&gt;1,"",IFERROR(VLOOKUP($E1158,Orders!$A:$I,9,FALSE),"")))</f>
        <v/>
      </c>
      <c r="T1158" s="88" t="str">
        <f t="shared" si="14"/>
        <v/>
      </c>
      <c r="U1158" s="88" t="str">
        <f>IF($F1158="","",IF($E1158="",T1158,SUMIF(Sales!$E$7:$E$1506,$E1158,Sales!$T$7:$T$1506)))</f>
        <v/>
      </c>
      <c r="V1158" s="49" t="str">
        <f t="shared" si="15"/>
        <v/>
      </c>
      <c r="W1158" s="49" t="str">
        <f t="array" ref="W1158">IF($V1158="","",SUMPRODUCT((Sales!$V$7:$V$1506&lt;&gt;"")*(Sales!$E$7:$E$1506&lt;$E1158))+1)</f>
        <v/>
      </c>
      <c r="X1158" s="49" t="str">
        <f t="shared" si="16"/>
        <v/>
      </c>
      <c r="Y1158" s="49" t="str">
        <f t="shared" si="17"/>
        <v/>
      </c>
    </row>
    <row r="1159" ht="15.0" customHeight="1">
      <c r="A1159" s="82"/>
      <c r="B1159" s="83"/>
      <c r="C1159" s="83"/>
      <c r="D1159" s="83"/>
      <c r="E1159" s="83"/>
      <c r="F1159" s="83"/>
      <c r="G1159" s="83" t="str">
        <f>IF($F1159="","",IFERROR(VLOOKUP($F1159,Inventory!$A:$B,2,FALSE),""))</f>
        <v/>
      </c>
      <c r="H1159" s="83"/>
      <c r="I1159" s="84" t="str">
        <f t="shared" si="2"/>
        <v/>
      </c>
      <c r="J1159" s="85" t="str">
        <f>IF($F1159="","",IFERROR(VLOOKUP($F1159,Inventory!$A:$K,11,FALSE),0))</f>
        <v/>
      </c>
      <c r="K1159" s="85"/>
      <c r="L1159" s="85" t="str">
        <f t="shared" si="12"/>
        <v/>
      </c>
      <c r="M1159" s="83"/>
      <c r="N1159" s="85" t="str">
        <f>IF($F1159="","",IFERROR(VLOOKUP($F1159,Inventory!$A:$I,9,FALSE),0))</f>
        <v/>
      </c>
      <c r="O1159" s="85" t="str">
        <f t="shared" si="13"/>
        <v/>
      </c>
      <c r="P1159" s="85" t="str">
        <f t="shared" si="5"/>
        <v/>
      </c>
      <c r="Q1159" s="83"/>
      <c r="R1159" s="118" t="str">
        <f>IF($E1159="","",IF(COUNTIF($E$7:$E2356,$E1159)&gt;1,"",IFERROR(VLOOKUP($E1159,Orders!$A:$I,8,FALSE),"")))</f>
        <v/>
      </c>
      <c r="S1159" s="118" t="str">
        <f>IF($E1159="","",IF(COUNTIF($E$7:$E2356,$E1159)&gt;1,"",IFERROR(VLOOKUP($E1159,Orders!$A:$I,9,FALSE),"")))</f>
        <v/>
      </c>
      <c r="T1159" s="88" t="str">
        <f t="shared" si="14"/>
        <v/>
      </c>
      <c r="U1159" s="88" t="str">
        <f>IF($F1159="","",IF($E1159="",T1159,SUMIF(Sales!$E$7:$E$1506,$E1159,Sales!$T$7:$T$1506)))</f>
        <v/>
      </c>
      <c r="V1159" s="49" t="str">
        <f t="shared" si="15"/>
        <v/>
      </c>
      <c r="W1159" s="49" t="str">
        <f t="array" ref="W1159">IF($V1159="","",SUMPRODUCT((Sales!$V$7:$V$1506&lt;&gt;"")*(Sales!$E$7:$E$1506&lt;$E1159))+1)</f>
        <v/>
      </c>
      <c r="X1159" s="49" t="str">
        <f t="shared" si="16"/>
        <v/>
      </c>
      <c r="Y1159" s="49" t="str">
        <f t="shared" si="17"/>
        <v/>
      </c>
    </row>
    <row r="1160" ht="15.0" customHeight="1">
      <c r="A1160" s="82"/>
      <c r="B1160" s="83"/>
      <c r="C1160" s="83"/>
      <c r="D1160" s="83"/>
      <c r="E1160" s="83"/>
      <c r="F1160" s="83"/>
      <c r="G1160" s="83" t="str">
        <f>IF($F1160="","",IFERROR(VLOOKUP($F1160,Inventory!$A:$B,2,FALSE),""))</f>
        <v/>
      </c>
      <c r="H1160" s="83"/>
      <c r="I1160" s="84" t="str">
        <f t="shared" si="2"/>
        <v/>
      </c>
      <c r="J1160" s="85" t="str">
        <f>IF($F1160="","",IFERROR(VLOOKUP($F1160,Inventory!$A:$K,11,FALSE),0))</f>
        <v/>
      </c>
      <c r="K1160" s="85"/>
      <c r="L1160" s="85" t="str">
        <f t="shared" si="12"/>
        <v/>
      </c>
      <c r="M1160" s="83"/>
      <c r="N1160" s="85" t="str">
        <f>IF($F1160="","",IFERROR(VLOOKUP($F1160,Inventory!$A:$I,9,FALSE),0))</f>
        <v/>
      </c>
      <c r="O1160" s="85" t="str">
        <f t="shared" si="13"/>
        <v/>
      </c>
      <c r="P1160" s="85" t="str">
        <f t="shared" si="5"/>
        <v/>
      </c>
      <c r="Q1160" s="83"/>
      <c r="R1160" s="118" t="str">
        <f>IF($E1160="","",IF(COUNTIF($E$7:$E2357,$E1160)&gt;1,"",IFERROR(VLOOKUP($E1160,Orders!$A:$I,8,FALSE),"")))</f>
        <v/>
      </c>
      <c r="S1160" s="118" t="str">
        <f>IF($E1160="","",IF(COUNTIF($E$7:$E2357,$E1160)&gt;1,"",IFERROR(VLOOKUP($E1160,Orders!$A:$I,9,FALSE),"")))</f>
        <v/>
      </c>
      <c r="T1160" s="88" t="str">
        <f t="shared" si="14"/>
        <v/>
      </c>
      <c r="U1160" s="88" t="str">
        <f>IF($F1160="","",IF($E1160="",T1160,SUMIF(Sales!$E$7:$E$1506,$E1160,Sales!$T$7:$T$1506)))</f>
        <v/>
      </c>
      <c r="V1160" s="49" t="str">
        <f t="shared" si="15"/>
        <v/>
      </c>
      <c r="W1160" s="49" t="str">
        <f t="array" ref="W1160">IF($V1160="","",SUMPRODUCT((Sales!$V$7:$V$1506&lt;&gt;"")*(Sales!$E$7:$E$1506&lt;$E1160))+1)</f>
        <v/>
      </c>
      <c r="X1160" s="49" t="str">
        <f t="shared" si="16"/>
        <v/>
      </c>
      <c r="Y1160" s="49" t="str">
        <f t="shared" si="17"/>
        <v/>
      </c>
    </row>
    <row r="1161" ht="15.0" customHeight="1">
      <c r="A1161" s="82"/>
      <c r="B1161" s="83"/>
      <c r="C1161" s="83"/>
      <c r="D1161" s="83"/>
      <c r="E1161" s="83"/>
      <c r="F1161" s="83"/>
      <c r="G1161" s="83" t="str">
        <f>IF($F1161="","",IFERROR(VLOOKUP($F1161,Inventory!$A:$B,2,FALSE),""))</f>
        <v/>
      </c>
      <c r="H1161" s="83"/>
      <c r="I1161" s="84" t="str">
        <f t="shared" si="2"/>
        <v/>
      </c>
      <c r="J1161" s="85" t="str">
        <f>IF($F1161="","",IFERROR(VLOOKUP($F1161,Inventory!$A:$K,11,FALSE),0))</f>
        <v/>
      </c>
      <c r="K1161" s="85"/>
      <c r="L1161" s="85" t="str">
        <f t="shared" si="12"/>
        <v/>
      </c>
      <c r="M1161" s="83"/>
      <c r="N1161" s="85" t="str">
        <f>IF($F1161="","",IFERROR(VLOOKUP($F1161,Inventory!$A:$I,9,FALSE),0))</f>
        <v/>
      </c>
      <c r="O1161" s="85" t="str">
        <f t="shared" si="13"/>
        <v/>
      </c>
      <c r="P1161" s="85" t="str">
        <f t="shared" si="5"/>
        <v/>
      </c>
      <c r="Q1161" s="83"/>
      <c r="R1161" s="118" t="str">
        <f>IF($E1161="","",IF(COUNTIF($E$7:$E2358,$E1161)&gt;1,"",IFERROR(VLOOKUP($E1161,Orders!$A:$I,8,FALSE),"")))</f>
        <v/>
      </c>
      <c r="S1161" s="118" t="str">
        <f>IF($E1161="","",IF(COUNTIF($E$7:$E2358,$E1161)&gt;1,"",IFERROR(VLOOKUP($E1161,Orders!$A:$I,9,FALSE),"")))</f>
        <v/>
      </c>
      <c r="T1161" s="88" t="str">
        <f t="shared" si="14"/>
        <v/>
      </c>
      <c r="U1161" s="88" t="str">
        <f>IF($F1161="","",IF($E1161="",T1161,SUMIF(Sales!$E$7:$E$1506,$E1161,Sales!$T$7:$T$1506)))</f>
        <v/>
      </c>
      <c r="V1161" s="49" t="str">
        <f t="shared" si="15"/>
        <v/>
      </c>
      <c r="W1161" s="49" t="str">
        <f t="array" ref="W1161">IF($V1161="","",SUMPRODUCT((Sales!$V$7:$V$1506&lt;&gt;"")*(Sales!$E$7:$E$1506&lt;$E1161))+1)</f>
        <v/>
      </c>
      <c r="X1161" s="49" t="str">
        <f t="shared" si="16"/>
        <v/>
      </c>
      <c r="Y1161" s="49" t="str">
        <f t="shared" si="17"/>
        <v/>
      </c>
    </row>
    <row r="1162" ht="15.0" customHeight="1">
      <c r="A1162" s="82"/>
      <c r="B1162" s="83"/>
      <c r="C1162" s="83"/>
      <c r="D1162" s="83"/>
      <c r="E1162" s="83"/>
      <c r="F1162" s="83"/>
      <c r="G1162" s="83" t="str">
        <f>IF($F1162="","",IFERROR(VLOOKUP($F1162,Inventory!$A:$B,2,FALSE),""))</f>
        <v/>
      </c>
      <c r="H1162" s="83"/>
      <c r="I1162" s="84" t="str">
        <f t="shared" si="2"/>
        <v/>
      </c>
      <c r="J1162" s="85" t="str">
        <f>IF($F1162="","",IFERROR(VLOOKUP($F1162,Inventory!$A:$K,11,FALSE),0))</f>
        <v/>
      </c>
      <c r="K1162" s="85"/>
      <c r="L1162" s="85" t="str">
        <f t="shared" si="12"/>
        <v/>
      </c>
      <c r="M1162" s="83"/>
      <c r="N1162" s="85" t="str">
        <f>IF($F1162="","",IFERROR(VLOOKUP($F1162,Inventory!$A:$I,9,FALSE),0))</f>
        <v/>
      </c>
      <c r="O1162" s="85" t="str">
        <f t="shared" si="13"/>
        <v/>
      </c>
      <c r="P1162" s="85" t="str">
        <f t="shared" si="5"/>
        <v/>
      </c>
      <c r="Q1162" s="83"/>
      <c r="R1162" s="118" t="str">
        <f>IF($E1162="","",IF(COUNTIF($E$7:$E2359,$E1162)&gt;1,"",IFERROR(VLOOKUP($E1162,Orders!$A:$I,8,FALSE),"")))</f>
        <v/>
      </c>
      <c r="S1162" s="118" t="str">
        <f>IF($E1162="","",IF(COUNTIF($E$7:$E2359,$E1162)&gt;1,"",IFERROR(VLOOKUP($E1162,Orders!$A:$I,9,FALSE),"")))</f>
        <v/>
      </c>
      <c r="T1162" s="88" t="str">
        <f t="shared" si="14"/>
        <v/>
      </c>
      <c r="U1162" s="88" t="str">
        <f>IF($F1162="","",IF($E1162="",T1162,SUMIF(Sales!$E$7:$E$1506,$E1162,Sales!$T$7:$T$1506)))</f>
        <v/>
      </c>
      <c r="V1162" s="49" t="str">
        <f t="shared" si="15"/>
        <v/>
      </c>
      <c r="W1162" s="49" t="str">
        <f t="array" ref="W1162">IF($V1162="","",SUMPRODUCT((Sales!$V$7:$V$1506&lt;&gt;"")*(Sales!$E$7:$E$1506&lt;$E1162))+1)</f>
        <v/>
      </c>
      <c r="X1162" s="49" t="str">
        <f t="shared" si="16"/>
        <v/>
      </c>
      <c r="Y1162" s="49" t="str">
        <f t="shared" si="17"/>
        <v/>
      </c>
    </row>
    <row r="1163" ht="15.0" customHeight="1">
      <c r="A1163" s="82"/>
      <c r="B1163" s="83"/>
      <c r="C1163" s="83"/>
      <c r="D1163" s="83"/>
      <c r="E1163" s="83"/>
      <c r="F1163" s="83"/>
      <c r="G1163" s="83" t="str">
        <f>IF($F1163="","",IFERROR(VLOOKUP($F1163,Inventory!$A:$B,2,FALSE),""))</f>
        <v/>
      </c>
      <c r="H1163" s="83"/>
      <c r="I1163" s="84" t="str">
        <f t="shared" si="2"/>
        <v/>
      </c>
      <c r="J1163" s="85" t="str">
        <f>IF($F1163="","",IFERROR(VLOOKUP($F1163,Inventory!$A:$K,11,FALSE),0))</f>
        <v/>
      </c>
      <c r="K1163" s="85"/>
      <c r="L1163" s="85" t="str">
        <f t="shared" si="12"/>
        <v/>
      </c>
      <c r="M1163" s="83"/>
      <c r="N1163" s="85" t="str">
        <f>IF($F1163="","",IFERROR(VLOOKUP($F1163,Inventory!$A:$I,9,FALSE),0))</f>
        <v/>
      </c>
      <c r="O1163" s="85" t="str">
        <f t="shared" si="13"/>
        <v/>
      </c>
      <c r="P1163" s="85" t="str">
        <f t="shared" si="5"/>
        <v/>
      </c>
      <c r="Q1163" s="83"/>
      <c r="R1163" s="118" t="str">
        <f>IF($E1163="","",IF(COUNTIF($E$7:$E2360,$E1163)&gt;1,"",IFERROR(VLOOKUP($E1163,Orders!$A:$I,8,FALSE),"")))</f>
        <v/>
      </c>
      <c r="S1163" s="118" t="str">
        <f>IF($E1163="","",IF(COUNTIF($E$7:$E2360,$E1163)&gt;1,"",IFERROR(VLOOKUP($E1163,Orders!$A:$I,9,FALSE),"")))</f>
        <v/>
      </c>
      <c r="T1163" s="88" t="str">
        <f t="shared" si="14"/>
        <v/>
      </c>
      <c r="U1163" s="88" t="str">
        <f>IF($F1163="","",IF($E1163="",T1163,SUMIF(Sales!$E$7:$E$1506,$E1163,Sales!$T$7:$T$1506)))</f>
        <v/>
      </c>
      <c r="V1163" s="49" t="str">
        <f t="shared" si="15"/>
        <v/>
      </c>
      <c r="W1163" s="49" t="str">
        <f t="array" ref="W1163">IF($V1163="","",SUMPRODUCT((Sales!$V$7:$V$1506&lt;&gt;"")*(Sales!$E$7:$E$1506&lt;$E1163))+1)</f>
        <v/>
      </c>
      <c r="X1163" s="49" t="str">
        <f t="shared" si="16"/>
        <v/>
      </c>
      <c r="Y1163" s="49" t="str">
        <f t="shared" si="17"/>
        <v/>
      </c>
    </row>
    <row r="1164" ht="15.0" customHeight="1">
      <c r="A1164" s="82"/>
      <c r="B1164" s="83"/>
      <c r="C1164" s="83"/>
      <c r="D1164" s="83"/>
      <c r="E1164" s="83"/>
      <c r="F1164" s="83"/>
      <c r="G1164" s="83" t="str">
        <f>IF($F1164="","",IFERROR(VLOOKUP($F1164,Inventory!$A:$B,2,FALSE),""))</f>
        <v/>
      </c>
      <c r="H1164" s="83"/>
      <c r="I1164" s="84" t="str">
        <f t="shared" si="2"/>
        <v/>
      </c>
      <c r="J1164" s="85" t="str">
        <f>IF($F1164="","",IFERROR(VLOOKUP($F1164,Inventory!$A:$K,11,FALSE),0))</f>
        <v/>
      </c>
      <c r="K1164" s="85"/>
      <c r="L1164" s="85" t="str">
        <f t="shared" si="12"/>
        <v/>
      </c>
      <c r="M1164" s="83"/>
      <c r="N1164" s="85" t="str">
        <f>IF($F1164="","",IFERROR(VLOOKUP($F1164,Inventory!$A:$I,9,FALSE),0))</f>
        <v/>
      </c>
      <c r="O1164" s="85" t="str">
        <f t="shared" si="13"/>
        <v/>
      </c>
      <c r="P1164" s="85" t="str">
        <f t="shared" si="5"/>
        <v/>
      </c>
      <c r="Q1164" s="83"/>
      <c r="R1164" s="118" t="str">
        <f>IF($E1164="","",IF(COUNTIF($E$7:$E2361,$E1164)&gt;1,"",IFERROR(VLOOKUP($E1164,Orders!$A:$I,8,FALSE),"")))</f>
        <v/>
      </c>
      <c r="S1164" s="118" t="str">
        <f>IF($E1164="","",IF(COUNTIF($E$7:$E2361,$E1164)&gt;1,"",IFERROR(VLOOKUP($E1164,Orders!$A:$I,9,FALSE),"")))</f>
        <v/>
      </c>
      <c r="T1164" s="88" t="str">
        <f t="shared" si="14"/>
        <v/>
      </c>
      <c r="U1164" s="88" t="str">
        <f>IF($F1164="","",IF($E1164="",T1164,SUMIF(Sales!$E$7:$E$1506,$E1164,Sales!$T$7:$T$1506)))</f>
        <v/>
      </c>
      <c r="V1164" s="49" t="str">
        <f t="shared" si="15"/>
        <v/>
      </c>
      <c r="W1164" s="49" t="str">
        <f t="array" ref="W1164">IF($V1164="","",SUMPRODUCT((Sales!$V$7:$V$1506&lt;&gt;"")*(Sales!$E$7:$E$1506&lt;$E1164))+1)</f>
        <v/>
      </c>
      <c r="X1164" s="49" t="str">
        <f t="shared" si="16"/>
        <v/>
      </c>
      <c r="Y1164" s="49" t="str">
        <f t="shared" si="17"/>
        <v/>
      </c>
    </row>
    <row r="1165" ht="15.0" customHeight="1">
      <c r="A1165" s="82"/>
      <c r="B1165" s="83"/>
      <c r="C1165" s="83"/>
      <c r="D1165" s="83"/>
      <c r="E1165" s="83"/>
      <c r="F1165" s="83"/>
      <c r="G1165" s="83" t="str">
        <f>IF($F1165="","",IFERROR(VLOOKUP($F1165,Inventory!$A:$B,2,FALSE),""))</f>
        <v/>
      </c>
      <c r="H1165" s="83"/>
      <c r="I1165" s="84" t="str">
        <f t="shared" si="2"/>
        <v/>
      </c>
      <c r="J1165" s="85" t="str">
        <f>IF($F1165="","",IFERROR(VLOOKUP($F1165,Inventory!$A:$K,11,FALSE),0))</f>
        <v/>
      </c>
      <c r="K1165" s="85"/>
      <c r="L1165" s="85" t="str">
        <f t="shared" si="12"/>
        <v/>
      </c>
      <c r="M1165" s="83"/>
      <c r="N1165" s="85" t="str">
        <f>IF($F1165="","",IFERROR(VLOOKUP($F1165,Inventory!$A:$I,9,FALSE),0))</f>
        <v/>
      </c>
      <c r="O1165" s="85" t="str">
        <f t="shared" si="13"/>
        <v/>
      </c>
      <c r="P1165" s="85" t="str">
        <f t="shared" si="5"/>
        <v/>
      </c>
      <c r="Q1165" s="83"/>
      <c r="R1165" s="118" t="str">
        <f>IF($E1165="","",IF(COUNTIF($E$7:$E2362,$E1165)&gt;1,"",IFERROR(VLOOKUP($E1165,Orders!$A:$I,8,FALSE),"")))</f>
        <v/>
      </c>
      <c r="S1165" s="118" t="str">
        <f>IF($E1165="","",IF(COUNTIF($E$7:$E2362,$E1165)&gt;1,"",IFERROR(VLOOKUP($E1165,Orders!$A:$I,9,FALSE),"")))</f>
        <v/>
      </c>
      <c r="T1165" s="88" t="str">
        <f t="shared" si="14"/>
        <v/>
      </c>
      <c r="U1165" s="88" t="str">
        <f>IF($F1165="","",IF($E1165="",T1165,SUMIF(Sales!$E$7:$E$1506,$E1165,Sales!$T$7:$T$1506)))</f>
        <v/>
      </c>
      <c r="V1165" s="49" t="str">
        <f t="shared" si="15"/>
        <v/>
      </c>
      <c r="W1165" s="49" t="str">
        <f t="array" ref="W1165">IF($V1165="","",SUMPRODUCT((Sales!$V$7:$V$1506&lt;&gt;"")*(Sales!$E$7:$E$1506&lt;$E1165))+1)</f>
        <v/>
      </c>
      <c r="X1165" s="49" t="str">
        <f t="shared" si="16"/>
        <v/>
      </c>
      <c r="Y1165" s="49" t="str">
        <f t="shared" si="17"/>
        <v/>
      </c>
    </row>
    <row r="1166" ht="15.0" customHeight="1">
      <c r="A1166" s="82"/>
      <c r="B1166" s="83"/>
      <c r="C1166" s="83"/>
      <c r="D1166" s="83"/>
      <c r="E1166" s="83"/>
      <c r="F1166" s="83"/>
      <c r="G1166" s="83" t="str">
        <f>IF($F1166="","",IFERROR(VLOOKUP($F1166,Inventory!$A:$B,2,FALSE),""))</f>
        <v/>
      </c>
      <c r="H1166" s="83"/>
      <c r="I1166" s="84" t="str">
        <f t="shared" si="2"/>
        <v/>
      </c>
      <c r="J1166" s="85" t="str">
        <f>IF($F1166="","",IFERROR(VLOOKUP($F1166,Inventory!$A:$K,11,FALSE),0))</f>
        <v/>
      </c>
      <c r="K1166" s="85"/>
      <c r="L1166" s="85" t="str">
        <f t="shared" si="12"/>
        <v/>
      </c>
      <c r="M1166" s="83"/>
      <c r="N1166" s="85" t="str">
        <f>IF($F1166="","",IFERROR(VLOOKUP($F1166,Inventory!$A:$I,9,FALSE),0))</f>
        <v/>
      </c>
      <c r="O1166" s="85" t="str">
        <f t="shared" si="13"/>
        <v/>
      </c>
      <c r="P1166" s="85" t="str">
        <f t="shared" si="5"/>
        <v/>
      </c>
      <c r="Q1166" s="83"/>
      <c r="R1166" s="118" t="str">
        <f>IF($E1166="","",IF(COUNTIF($E$7:$E2363,$E1166)&gt;1,"",IFERROR(VLOOKUP($E1166,Orders!$A:$I,8,FALSE),"")))</f>
        <v/>
      </c>
      <c r="S1166" s="118" t="str">
        <f>IF($E1166="","",IF(COUNTIF($E$7:$E2363,$E1166)&gt;1,"",IFERROR(VLOOKUP($E1166,Orders!$A:$I,9,FALSE),"")))</f>
        <v/>
      </c>
      <c r="T1166" s="88" t="str">
        <f t="shared" si="14"/>
        <v/>
      </c>
      <c r="U1166" s="88" t="str">
        <f>IF($F1166="","",IF($E1166="",T1166,SUMIF(Sales!$E$7:$E$1506,$E1166,Sales!$T$7:$T$1506)))</f>
        <v/>
      </c>
      <c r="V1166" s="49" t="str">
        <f t="shared" si="15"/>
        <v/>
      </c>
      <c r="W1166" s="49" t="str">
        <f t="array" ref="W1166">IF($V1166="","",SUMPRODUCT((Sales!$V$7:$V$1506&lt;&gt;"")*(Sales!$E$7:$E$1506&lt;$E1166))+1)</f>
        <v/>
      </c>
      <c r="X1166" s="49" t="str">
        <f t="shared" si="16"/>
        <v/>
      </c>
      <c r="Y1166" s="49" t="str">
        <f t="shared" si="17"/>
        <v/>
      </c>
    </row>
    <row r="1167" ht="15.0" customHeight="1">
      <c r="A1167" s="82"/>
      <c r="B1167" s="83"/>
      <c r="C1167" s="83"/>
      <c r="D1167" s="83"/>
      <c r="E1167" s="83"/>
      <c r="F1167" s="83"/>
      <c r="G1167" s="83" t="str">
        <f>IF($F1167="","",IFERROR(VLOOKUP($F1167,Inventory!$A:$B,2,FALSE),""))</f>
        <v/>
      </c>
      <c r="H1167" s="83"/>
      <c r="I1167" s="84" t="str">
        <f t="shared" si="2"/>
        <v/>
      </c>
      <c r="J1167" s="85" t="str">
        <f>IF($F1167="","",IFERROR(VLOOKUP($F1167,Inventory!$A:$K,11,FALSE),0))</f>
        <v/>
      </c>
      <c r="K1167" s="85"/>
      <c r="L1167" s="85" t="str">
        <f t="shared" si="12"/>
        <v/>
      </c>
      <c r="M1167" s="83"/>
      <c r="N1167" s="85" t="str">
        <f>IF($F1167="","",IFERROR(VLOOKUP($F1167,Inventory!$A:$I,9,FALSE),0))</f>
        <v/>
      </c>
      <c r="O1167" s="85" t="str">
        <f t="shared" si="13"/>
        <v/>
      </c>
      <c r="P1167" s="85" t="str">
        <f t="shared" si="5"/>
        <v/>
      </c>
      <c r="Q1167" s="83"/>
      <c r="R1167" s="118" t="str">
        <f>IF($E1167="","",IF(COUNTIF($E$7:$E2364,$E1167)&gt;1,"",IFERROR(VLOOKUP($E1167,Orders!$A:$I,8,FALSE),"")))</f>
        <v/>
      </c>
      <c r="S1167" s="118" t="str">
        <f>IF($E1167="","",IF(COUNTIF($E$7:$E2364,$E1167)&gt;1,"",IFERROR(VLOOKUP($E1167,Orders!$A:$I,9,FALSE),"")))</f>
        <v/>
      </c>
      <c r="T1167" s="88" t="str">
        <f t="shared" si="14"/>
        <v/>
      </c>
      <c r="U1167" s="88" t="str">
        <f>IF($F1167="","",IF($E1167="",T1167,SUMIF(Sales!$E$7:$E$1506,$E1167,Sales!$T$7:$T$1506)))</f>
        <v/>
      </c>
      <c r="V1167" s="49" t="str">
        <f t="shared" si="15"/>
        <v/>
      </c>
      <c r="W1167" s="49" t="str">
        <f t="array" ref="W1167">IF($V1167="","",SUMPRODUCT((Sales!$V$7:$V$1506&lt;&gt;"")*(Sales!$E$7:$E$1506&lt;$E1167))+1)</f>
        <v/>
      </c>
      <c r="X1167" s="49" t="str">
        <f t="shared" si="16"/>
        <v/>
      </c>
      <c r="Y1167" s="49" t="str">
        <f t="shared" si="17"/>
        <v/>
      </c>
    </row>
    <row r="1168" ht="15.0" customHeight="1">
      <c r="A1168" s="82"/>
      <c r="B1168" s="83"/>
      <c r="C1168" s="83"/>
      <c r="D1168" s="83"/>
      <c r="E1168" s="83"/>
      <c r="F1168" s="83"/>
      <c r="G1168" s="83" t="str">
        <f>IF($F1168="","",IFERROR(VLOOKUP($F1168,Inventory!$A:$B,2,FALSE),""))</f>
        <v/>
      </c>
      <c r="H1168" s="83"/>
      <c r="I1168" s="84" t="str">
        <f t="shared" si="2"/>
        <v/>
      </c>
      <c r="J1168" s="85" t="str">
        <f>IF($F1168="","",IFERROR(VLOOKUP($F1168,Inventory!$A:$K,11,FALSE),0))</f>
        <v/>
      </c>
      <c r="K1168" s="85"/>
      <c r="L1168" s="85" t="str">
        <f t="shared" si="12"/>
        <v/>
      </c>
      <c r="M1168" s="83"/>
      <c r="N1168" s="85" t="str">
        <f>IF($F1168="","",IFERROR(VLOOKUP($F1168,Inventory!$A:$I,9,FALSE),0))</f>
        <v/>
      </c>
      <c r="O1168" s="85" t="str">
        <f t="shared" si="13"/>
        <v/>
      </c>
      <c r="P1168" s="85" t="str">
        <f t="shared" si="5"/>
        <v/>
      </c>
      <c r="Q1168" s="83"/>
      <c r="R1168" s="118" t="str">
        <f>IF($E1168="","",IF(COUNTIF($E$7:$E2365,$E1168)&gt;1,"",IFERROR(VLOOKUP($E1168,Orders!$A:$I,8,FALSE),"")))</f>
        <v/>
      </c>
      <c r="S1168" s="118" t="str">
        <f>IF($E1168="","",IF(COUNTIF($E$7:$E2365,$E1168)&gt;1,"",IFERROR(VLOOKUP($E1168,Orders!$A:$I,9,FALSE),"")))</f>
        <v/>
      </c>
      <c r="T1168" s="88" t="str">
        <f t="shared" si="14"/>
        <v/>
      </c>
      <c r="U1168" s="88" t="str">
        <f>IF($F1168="","",IF($E1168="",T1168,SUMIF(Sales!$E$7:$E$1506,$E1168,Sales!$T$7:$T$1506)))</f>
        <v/>
      </c>
      <c r="V1168" s="49" t="str">
        <f t="shared" si="15"/>
        <v/>
      </c>
      <c r="W1168" s="49" t="str">
        <f t="array" ref="W1168">IF($V1168="","",SUMPRODUCT((Sales!$V$7:$V$1506&lt;&gt;"")*(Sales!$E$7:$E$1506&lt;$E1168))+1)</f>
        <v/>
      </c>
      <c r="X1168" s="49" t="str">
        <f t="shared" si="16"/>
        <v/>
      </c>
      <c r="Y1168" s="49" t="str">
        <f t="shared" si="17"/>
        <v/>
      </c>
    </row>
    <row r="1169" ht="15.0" customHeight="1">
      <c r="A1169" s="82"/>
      <c r="B1169" s="83"/>
      <c r="C1169" s="83"/>
      <c r="D1169" s="83"/>
      <c r="E1169" s="83"/>
      <c r="F1169" s="83"/>
      <c r="G1169" s="83" t="str">
        <f>IF($F1169="","",IFERROR(VLOOKUP($F1169,Inventory!$A:$B,2,FALSE),""))</f>
        <v/>
      </c>
      <c r="H1169" s="83"/>
      <c r="I1169" s="84" t="str">
        <f t="shared" si="2"/>
        <v/>
      </c>
      <c r="J1169" s="85" t="str">
        <f>IF($F1169="","",IFERROR(VLOOKUP($F1169,Inventory!$A:$K,11,FALSE),0))</f>
        <v/>
      </c>
      <c r="K1169" s="85"/>
      <c r="L1169" s="85" t="str">
        <f t="shared" si="12"/>
        <v/>
      </c>
      <c r="M1169" s="83"/>
      <c r="N1169" s="85" t="str">
        <f>IF($F1169="","",IFERROR(VLOOKUP($F1169,Inventory!$A:$I,9,FALSE),0))</f>
        <v/>
      </c>
      <c r="O1169" s="85" t="str">
        <f t="shared" si="13"/>
        <v/>
      </c>
      <c r="P1169" s="85" t="str">
        <f t="shared" si="5"/>
        <v/>
      </c>
      <c r="Q1169" s="83"/>
      <c r="R1169" s="118" t="str">
        <f>IF($E1169="","",IF(COUNTIF($E$7:$E2366,$E1169)&gt;1,"",IFERROR(VLOOKUP($E1169,Orders!$A:$I,8,FALSE),"")))</f>
        <v/>
      </c>
      <c r="S1169" s="118" t="str">
        <f>IF($E1169="","",IF(COUNTIF($E$7:$E2366,$E1169)&gt;1,"",IFERROR(VLOOKUP($E1169,Orders!$A:$I,9,FALSE),"")))</f>
        <v/>
      </c>
      <c r="T1169" s="88" t="str">
        <f t="shared" si="14"/>
        <v/>
      </c>
      <c r="U1169" s="88" t="str">
        <f>IF($F1169="","",IF($E1169="",T1169,SUMIF(Sales!$E$7:$E$1506,$E1169,Sales!$T$7:$T$1506)))</f>
        <v/>
      </c>
      <c r="V1169" s="49" t="str">
        <f t="shared" si="15"/>
        <v/>
      </c>
      <c r="W1169" s="49" t="str">
        <f t="array" ref="W1169">IF($V1169="","",SUMPRODUCT((Sales!$V$7:$V$1506&lt;&gt;"")*(Sales!$E$7:$E$1506&lt;$E1169))+1)</f>
        <v/>
      </c>
      <c r="X1169" s="49" t="str">
        <f t="shared" si="16"/>
        <v/>
      </c>
      <c r="Y1169" s="49" t="str">
        <f t="shared" si="17"/>
        <v/>
      </c>
    </row>
    <row r="1170" ht="15.0" customHeight="1">
      <c r="A1170" s="82"/>
      <c r="B1170" s="83"/>
      <c r="C1170" s="83"/>
      <c r="D1170" s="83"/>
      <c r="E1170" s="83"/>
      <c r="F1170" s="83"/>
      <c r="G1170" s="83" t="str">
        <f>IF($F1170="","",IFERROR(VLOOKUP($F1170,Inventory!$A:$B,2,FALSE),""))</f>
        <v/>
      </c>
      <c r="H1170" s="83"/>
      <c r="I1170" s="84" t="str">
        <f t="shared" si="2"/>
        <v/>
      </c>
      <c r="J1170" s="85" t="str">
        <f>IF($F1170="","",IFERROR(VLOOKUP($F1170,Inventory!$A:$K,11,FALSE),0))</f>
        <v/>
      </c>
      <c r="K1170" s="85"/>
      <c r="L1170" s="85" t="str">
        <f t="shared" si="12"/>
        <v/>
      </c>
      <c r="M1170" s="83"/>
      <c r="N1170" s="85" t="str">
        <f>IF($F1170="","",IFERROR(VLOOKUP($F1170,Inventory!$A:$I,9,FALSE),0))</f>
        <v/>
      </c>
      <c r="O1170" s="85" t="str">
        <f t="shared" si="13"/>
        <v/>
      </c>
      <c r="P1170" s="85" t="str">
        <f t="shared" si="5"/>
        <v/>
      </c>
      <c r="Q1170" s="83"/>
      <c r="R1170" s="118" t="str">
        <f>IF($E1170="","",IF(COUNTIF($E$7:$E2367,$E1170)&gt;1,"",IFERROR(VLOOKUP($E1170,Orders!$A:$I,8,FALSE),"")))</f>
        <v/>
      </c>
      <c r="S1170" s="118" t="str">
        <f>IF($E1170="","",IF(COUNTIF($E$7:$E2367,$E1170)&gt;1,"",IFERROR(VLOOKUP($E1170,Orders!$A:$I,9,FALSE),"")))</f>
        <v/>
      </c>
      <c r="T1170" s="88" t="str">
        <f t="shared" si="14"/>
        <v/>
      </c>
      <c r="U1170" s="88" t="str">
        <f>IF($F1170="","",IF($E1170="",T1170,SUMIF(Sales!$E$7:$E$1506,$E1170,Sales!$T$7:$T$1506)))</f>
        <v/>
      </c>
      <c r="V1170" s="49" t="str">
        <f t="shared" si="15"/>
        <v/>
      </c>
      <c r="W1170" s="49" t="str">
        <f t="array" ref="W1170">IF($V1170="","",SUMPRODUCT((Sales!$V$7:$V$1506&lt;&gt;"")*(Sales!$E$7:$E$1506&lt;$E1170))+1)</f>
        <v/>
      </c>
      <c r="X1170" s="49" t="str">
        <f t="shared" si="16"/>
        <v/>
      </c>
      <c r="Y1170" s="49" t="str">
        <f t="shared" si="17"/>
        <v/>
      </c>
    </row>
    <row r="1171" ht="15.0" customHeight="1">
      <c r="A1171" s="82"/>
      <c r="B1171" s="83"/>
      <c r="C1171" s="83"/>
      <c r="D1171" s="83"/>
      <c r="E1171" s="83"/>
      <c r="F1171" s="83"/>
      <c r="G1171" s="83" t="str">
        <f>IF($F1171="","",IFERROR(VLOOKUP($F1171,Inventory!$A:$B,2,FALSE),""))</f>
        <v/>
      </c>
      <c r="H1171" s="83"/>
      <c r="I1171" s="84" t="str">
        <f t="shared" si="2"/>
        <v/>
      </c>
      <c r="J1171" s="85" t="str">
        <f>IF($F1171="","",IFERROR(VLOOKUP($F1171,Inventory!$A:$K,11,FALSE),0))</f>
        <v/>
      </c>
      <c r="K1171" s="85"/>
      <c r="L1171" s="85" t="str">
        <f t="shared" si="12"/>
        <v/>
      </c>
      <c r="M1171" s="83"/>
      <c r="N1171" s="85" t="str">
        <f>IF($F1171="","",IFERROR(VLOOKUP($F1171,Inventory!$A:$I,9,FALSE),0))</f>
        <v/>
      </c>
      <c r="O1171" s="85" t="str">
        <f t="shared" si="13"/>
        <v/>
      </c>
      <c r="P1171" s="85" t="str">
        <f t="shared" si="5"/>
        <v/>
      </c>
      <c r="Q1171" s="83"/>
      <c r="R1171" s="118" t="str">
        <f>IF($E1171="","",IF(COUNTIF($E$7:$E2368,$E1171)&gt;1,"",IFERROR(VLOOKUP($E1171,Orders!$A:$I,8,FALSE),"")))</f>
        <v/>
      </c>
      <c r="S1171" s="118" t="str">
        <f>IF($E1171="","",IF(COUNTIF($E$7:$E2368,$E1171)&gt;1,"",IFERROR(VLOOKUP($E1171,Orders!$A:$I,9,FALSE),"")))</f>
        <v/>
      </c>
      <c r="T1171" s="88" t="str">
        <f t="shared" si="14"/>
        <v/>
      </c>
      <c r="U1171" s="88" t="str">
        <f>IF($F1171="","",IF($E1171="",T1171,SUMIF(Sales!$E$7:$E$1506,$E1171,Sales!$T$7:$T$1506)))</f>
        <v/>
      </c>
      <c r="V1171" s="49" t="str">
        <f t="shared" si="15"/>
        <v/>
      </c>
      <c r="W1171" s="49" t="str">
        <f t="array" ref="W1171">IF($V1171="","",SUMPRODUCT((Sales!$V$7:$V$1506&lt;&gt;"")*(Sales!$E$7:$E$1506&lt;$E1171))+1)</f>
        <v/>
      </c>
      <c r="X1171" s="49" t="str">
        <f t="shared" si="16"/>
        <v/>
      </c>
      <c r="Y1171" s="49" t="str">
        <f t="shared" si="17"/>
        <v/>
      </c>
    </row>
    <row r="1172" ht="15.0" customHeight="1">
      <c r="A1172" s="82"/>
      <c r="B1172" s="83"/>
      <c r="C1172" s="83"/>
      <c r="D1172" s="83"/>
      <c r="E1172" s="83"/>
      <c r="F1172" s="83"/>
      <c r="G1172" s="83" t="str">
        <f>IF($F1172="","",IFERROR(VLOOKUP($F1172,Inventory!$A:$B,2,FALSE),""))</f>
        <v/>
      </c>
      <c r="H1172" s="83"/>
      <c r="I1172" s="84" t="str">
        <f t="shared" si="2"/>
        <v/>
      </c>
      <c r="J1172" s="85" t="str">
        <f>IF($F1172="","",IFERROR(VLOOKUP($F1172,Inventory!$A:$K,11,FALSE),0))</f>
        <v/>
      </c>
      <c r="K1172" s="85"/>
      <c r="L1172" s="85" t="str">
        <f t="shared" si="12"/>
        <v/>
      </c>
      <c r="M1172" s="83"/>
      <c r="N1172" s="85" t="str">
        <f>IF($F1172="","",IFERROR(VLOOKUP($F1172,Inventory!$A:$I,9,FALSE),0))</f>
        <v/>
      </c>
      <c r="O1172" s="85" t="str">
        <f t="shared" si="13"/>
        <v/>
      </c>
      <c r="P1172" s="85" t="str">
        <f t="shared" si="5"/>
        <v/>
      </c>
      <c r="Q1172" s="83"/>
      <c r="R1172" s="118" t="str">
        <f>IF($E1172="","",IF(COUNTIF($E$7:$E2369,$E1172)&gt;1,"",IFERROR(VLOOKUP($E1172,Orders!$A:$I,8,FALSE),"")))</f>
        <v/>
      </c>
      <c r="S1172" s="118" t="str">
        <f>IF($E1172="","",IF(COUNTIF($E$7:$E2369,$E1172)&gt;1,"",IFERROR(VLOOKUP($E1172,Orders!$A:$I,9,FALSE),"")))</f>
        <v/>
      </c>
      <c r="T1172" s="88" t="str">
        <f t="shared" si="14"/>
        <v/>
      </c>
      <c r="U1172" s="88" t="str">
        <f>IF($F1172="","",IF($E1172="",T1172,SUMIF(Sales!$E$7:$E$1506,$E1172,Sales!$T$7:$T$1506)))</f>
        <v/>
      </c>
      <c r="V1172" s="49" t="str">
        <f t="shared" si="15"/>
        <v/>
      </c>
      <c r="W1172" s="49" t="str">
        <f t="array" ref="W1172">IF($V1172="","",SUMPRODUCT((Sales!$V$7:$V$1506&lt;&gt;"")*(Sales!$E$7:$E$1506&lt;$E1172))+1)</f>
        <v/>
      </c>
      <c r="X1172" s="49" t="str">
        <f t="shared" si="16"/>
        <v/>
      </c>
      <c r="Y1172" s="49" t="str">
        <f t="shared" si="17"/>
        <v/>
      </c>
    </row>
    <row r="1173" ht="15.0" customHeight="1">
      <c r="A1173" s="82"/>
      <c r="B1173" s="83"/>
      <c r="C1173" s="83"/>
      <c r="D1173" s="83"/>
      <c r="E1173" s="83"/>
      <c r="F1173" s="83"/>
      <c r="G1173" s="83" t="str">
        <f>IF($F1173="","",IFERROR(VLOOKUP($F1173,Inventory!$A:$B,2,FALSE),""))</f>
        <v/>
      </c>
      <c r="H1173" s="83"/>
      <c r="I1173" s="84" t="str">
        <f t="shared" si="2"/>
        <v/>
      </c>
      <c r="J1173" s="85" t="str">
        <f>IF($F1173="","",IFERROR(VLOOKUP($F1173,Inventory!$A:$K,11,FALSE),0))</f>
        <v/>
      </c>
      <c r="K1173" s="85"/>
      <c r="L1173" s="85" t="str">
        <f t="shared" si="12"/>
        <v/>
      </c>
      <c r="M1173" s="83"/>
      <c r="N1173" s="85" t="str">
        <f>IF($F1173="","",IFERROR(VLOOKUP($F1173,Inventory!$A:$I,9,FALSE),0))</f>
        <v/>
      </c>
      <c r="O1173" s="85" t="str">
        <f t="shared" si="13"/>
        <v/>
      </c>
      <c r="P1173" s="85" t="str">
        <f t="shared" si="5"/>
        <v/>
      </c>
      <c r="Q1173" s="83"/>
      <c r="R1173" s="118" t="str">
        <f>IF($E1173="","",IF(COUNTIF($E$7:$E2370,$E1173)&gt;1,"",IFERROR(VLOOKUP($E1173,Orders!$A:$I,8,FALSE),"")))</f>
        <v/>
      </c>
      <c r="S1173" s="118" t="str">
        <f>IF($E1173="","",IF(COUNTIF($E$7:$E2370,$E1173)&gt;1,"",IFERROR(VLOOKUP($E1173,Orders!$A:$I,9,FALSE),"")))</f>
        <v/>
      </c>
      <c r="T1173" s="88" t="str">
        <f t="shared" si="14"/>
        <v/>
      </c>
      <c r="U1173" s="88" t="str">
        <f>IF($F1173="","",IF($E1173="",T1173,SUMIF(Sales!$E$7:$E$1506,$E1173,Sales!$T$7:$T$1506)))</f>
        <v/>
      </c>
      <c r="V1173" s="49" t="str">
        <f t="shared" si="15"/>
        <v/>
      </c>
      <c r="W1173" s="49" t="str">
        <f t="array" ref="W1173">IF($V1173="","",SUMPRODUCT((Sales!$V$7:$V$1506&lt;&gt;"")*(Sales!$E$7:$E$1506&lt;$E1173))+1)</f>
        <v/>
      </c>
      <c r="X1173" s="49" t="str">
        <f t="shared" si="16"/>
        <v/>
      </c>
      <c r="Y1173" s="49" t="str">
        <f t="shared" si="17"/>
        <v/>
      </c>
    </row>
    <row r="1174" ht="15.0" customHeight="1">
      <c r="A1174" s="82"/>
      <c r="B1174" s="83"/>
      <c r="C1174" s="83"/>
      <c r="D1174" s="83"/>
      <c r="E1174" s="83"/>
      <c r="F1174" s="83"/>
      <c r="G1174" s="83" t="str">
        <f>IF($F1174="","",IFERROR(VLOOKUP($F1174,Inventory!$A:$B,2,FALSE),""))</f>
        <v/>
      </c>
      <c r="H1174" s="83"/>
      <c r="I1174" s="84" t="str">
        <f t="shared" si="2"/>
        <v/>
      </c>
      <c r="J1174" s="85" t="str">
        <f>IF($F1174="","",IFERROR(VLOOKUP($F1174,Inventory!$A:$K,11,FALSE),0))</f>
        <v/>
      </c>
      <c r="K1174" s="85"/>
      <c r="L1174" s="85" t="str">
        <f t="shared" si="12"/>
        <v/>
      </c>
      <c r="M1174" s="83"/>
      <c r="N1174" s="85" t="str">
        <f>IF($F1174="","",IFERROR(VLOOKUP($F1174,Inventory!$A:$I,9,FALSE),0))</f>
        <v/>
      </c>
      <c r="O1174" s="85" t="str">
        <f t="shared" si="13"/>
        <v/>
      </c>
      <c r="P1174" s="85" t="str">
        <f t="shared" si="5"/>
        <v/>
      </c>
      <c r="Q1174" s="83"/>
      <c r="R1174" s="118" t="str">
        <f>IF($E1174="","",IF(COUNTIF($E$7:$E2371,$E1174)&gt;1,"",IFERROR(VLOOKUP($E1174,Orders!$A:$I,8,FALSE),"")))</f>
        <v/>
      </c>
      <c r="S1174" s="118" t="str">
        <f>IF($E1174="","",IF(COUNTIF($E$7:$E2371,$E1174)&gt;1,"",IFERROR(VLOOKUP($E1174,Orders!$A:$I,9,FALSE),"")))</f>
        <v/>
      </c>
      <c r="T1174" s="88" t="str">
        <f t="shared" si="14"/>
        <v/>
      </c>
      <c r="U1174" s="88" t="str">
        <f>IF($F1174="","",IF($E1174="",T1174,SUMIF(Sales!$E$7:$E$1506,$E1174,Sales!$T$7:$T$1506)))</f>
        <v/>
      </c>
      <c r="V1174" s="49" t="str">
        <f t="shared" si="15"/>
        <v/>
      </c>
      <c r="W1174" s="49" t="str">
        <f t="array" ref="W1174">IF($V1174="","",SUMPRODUCT((Sales!$V$7:$V$1506&lt;&gt;"")*(Sales!$E$7:$E$1506&lt;$E1174))+1)</f>
        <v/>
      </c>
      <c r="X1174" s="49" t="str">
        <f t="shared" si="16"/>
        <v/>
      </c>
      <c r="Y1174" s="49" t="str">
        <f t="shared" si="17"/>
        <v/>
      </c>
    </row>
    <row r="1175" ht="15.0" customHeight="1">
      <c r="A1175" s="82"/>
      <c r="B1175" s="83"/>
      <c r="C1175" s="83"/>
      <c r="D1175" s="83"/>
      <c r="E1175" s="83"/>
      <c r="F1175" s="83"/>
      <c r="G1175" s="83" t="str">
        <f>IF($F1175="","",IFERROR(VLOOKUP($F1175,Inventory!$A:$B,2,FALSE),""))</f>
        <v/>
      </c>
      <c r="H1175" s="83"/>
      <c r="I1175" s="84" t="str">
        <f t="shared" si="2"/>
        <v/>
      </c>
      <c r="J1175" s="85" t="str">
        <f>IF($F1175="","",IFERROR(VLOOKUP($F1175,Inventory!$A:$K,11,FALSE),0))</f>
        <v/>
      </c>
      <c r="K1175" s="85"/>
      <c r="L1175" s="85" t="str">
        <f t="shared" si="12"/>
        <v/>
      </c>
      <c r="M1175" s="83"/>
      <c r="N1175" s="85" t="str">
        <f>IF($F1175="","",IFERROR(VLOOKUP($F1175,Inventory!$A:$I,9,FALSE),0))</f>
        <v/>
      </c>
      <c r="O1175" s="85" t="str">
        <f t="shared" si="13"/>
        <v/>
      </c>
      <c r="P1175" s="85" t="str">
        <f t="shared" si="5"/>
        <v/>
      </c>
      <c r="Q1175" s="83"/>
      <c r="R1175" s="118" t="str">
        <f>IF($E1175="","",IF(COUNTIF($E$7:$E2372,$E1175)&gt;1,"",IFERROR(VLOOKUP($E1175,Orders!$A:$I,8,FALSE),"")))</f>
        <v/>
      </c>
      <c r="S1175" s="118" t="str">
        <f>IF($E1175="","",IF(COUNTIF($E$7:$E2372,$E1175)&gt;1,"",IFERROR(VLOOKUP($E1175,Orders!$A:$I,9,FALSE),"")))</f>
        <v/>
      </c>
      <c r="T1175" s="88" t="str">
        <f t="shared" si="14"/>
        <v/>
      </c>
      <c r="U1175" s="88" t="str">
        <f>IF($F1175="","",IF($E1175="",T1175,SUMIF(Sales!$E$7:$E$1506,$E1175,Sales!$T$7:$T$1506)))</f>
        <v/>
      </c>
      <c r="V1175" s="49" t="str">
        <f t="shared" si="15"/>
        <v/>
      </c>
      <c r="W1175" s="49" t="str">
        <f t="array" ref="W1175">IF($V1175="","",SUMPRODUCT((Sales!$V$7:$V$1506&lt;&gt;"")*(Sales!$E$7:$E$1506&lt;$E1175))+1)</f>
        <v/>
      </c>
      <c r="X1175" s="49" t="str">
        <f t="shared" si="16"/>
        <v/>
      </c>
      <c r="Y1175" s="49" t="str">
        <f t="shared" si="17"/>
        <v/>
      </c>
    </row>
    <row r="1176" ht="15.0" customHeight="1">
      <c r="A1176" s="82"/>
      <c r="B1176" s="83"/>
      <c r="C1176" s="83"/>
      <c r="D1176" s="83"/>
      <c r="E1176" s="83"/>
      <c r="F1176" s="83"/>
      <c r="G1176" s="83" t="str">
        <f>IF($F1176="","",IFERROR(VLOOKUP($F1176,Inventory!$A:$B,2,FALSE),""))</f>
        <v/>
      </c>
      <c r="H1176" s="83"/>
      <c r="I1176" s="84" t="str">
        <f t="shared" si="2"/>
        <v/>
      </c>
      <c r="J1176" s="85" t="str">
        <f>IF($F1176="","",IFERROR(VLOOKUP($F1176,Inventory!$A:$K,11,FALSE),0))</f>
        <v/>
      </c>
      <c r="K1176" s="85"/>
      <c r="L1176" s="85" t="str">
        <f t="shared" si="12"/>
        <v/>
      </c>
      <c r="M1176" s="83"/>
      <c r="N1176" s="85" t="str">
        <f>IF($F1176="","",IFERROR(VLOOKUP($F1176,Inventory!$A:$I,9,FALSE),0))</f>
        <v/>
      </c>
      <c r="O1176" s="85" t="str">
        <f t="shared" si="13"/>
        <v/>
      </c>
      <c r="P1176" s="85" t="str">
        <f t="shared" si="5"/>
        <v/>
      </c>
      <c r="Q1176" s="83"/>
      <c r="R1176" s="118" t="str">
        <f>IF($E1176="","",IF(COUNTIF($E$7:$E2373,$E1176)&gt;1,"",IFERROR(VLOOKUP($E1176,Orders!$A:$I,8,FALSE),"")))</f>
        <v/>
      </c>
      <c r="S1176" s="118" t="str">
        <f>IF($E1176="","",IF(COUNTIF($E$7:$E2373,$E1176)&gt;1,"",IFERROR(VLOOKUP($E1176,Orders!$A:$I,9,FALSE),"")))</f>
        <v/>
      </c>
      <c r="T1176" s="88" t="str">
        <f t="shared" si="14"/>
        <v/>
      </c>
      <c r="U1176" s="88" t="str">
        <f>IF($F1176="","",IF($E1176="",T1176,SUMIF(Sales!$E$7:$E$1506,$E1176,Sales!$T$7:$T$1506)))</f>
        <v/>
      </c>
      <c r="V1176" s="49" t="str">
        <f t="shared" si="15"/>
        <v/>
      </c>
      <c r="W1176" s="49" t="str">
        <f t="array" ref="W1176">IF($V1176="","",SUMPRODUCT((Sales!$V$7:$V$1506&lt;&gt;"")*(Sales!$E$7:$E$1506&lt;$E1176))+1)</f>
        <v/>
      </c>
      <c r="X1176" s="49" t="str">
        <f t="shared" si="16"/>
        <v/>
      </c>
      <c r="Y1176" s="49" t="str">
        <f t="shared" si="17"/>
        <v/>
      </c>
    </row>
    <row r="1177" ht="15.0" customHeight="1">
      <c r="A1177" s="82"/>
      <c r="B1177" s="83"/>
      <c r="C1177" s="83"/>
      <c r="D1177" s="83"/>
      <c r="E1177" s="83"/>
      <c r="F1177" s="83"/>
      <c r="G1177" s="83" t="str">
        <f>IF($F1177="","",IFERROR(VLOOKUP($F1177,Inventory!$A:$B,2,FALSE),""))</f>
        <v/>
      </c>
      <c r="H1177" s="83"/>
      <c r="I1177" s="84" t="str">
        <f t="shared" si="2"/>
        <v/>
      </c>
      <c r="J1177" s="85" t="str">
        <f>IF($F1177="","",IFERROR(VLOOKUP($F1177,Inventory!$A:$K,11,FALSE),0))</f>
        <v/>
      </c>
      <c r="K1177" s="85"/>
      <c r="L1177" s="85" t="str">
        <f t="shared" si="12"/>
        <v/>
      </c>
      <c r="M1177" s="83"/>
      <c r="N1177" s="85" t="str">
        <f>IF($F1177="","",IFERROR(VLOOKUP($F1177,Inventory!$A:$I,9,FALSE),0))</f>
        <v/>
      </c>
      <c r="O1177" s="85" t="str">
        <f t="shared" si="13"/>
        <v/>
      </c>
      <c r="P1177" s="85" t="str">
        <f t="shared" si="5"/>
        <v/>
      </c>
      <c r="Q1177" s="83"/>
      <c r="R1177" s="118" t="str">
        <f>IF($E1177="","",IF(COUNTIF($E$7:$E2374,$E1177)&gt;1,"",IFERROR(VLOOKUP($E1177,Orders!$A:$I,8,FALSE),"")))</f>
        <v/>
      </c>
      <c r="S1177" s="118" t="str">
        <f>IF($E1177="","",IF(COUNTIF($E$7:$E2374,$E1177)&gt;1,"",IFERROR(VLOOKUP($E1177,Orders!$A:$I,9,FALSE),"")))</f>
        <v/>
      </c>
      <c r="T1177" s="88" t="str">
        <f t="shared" si="14"/>
        <v/>
      </c>
      <c r="U1177" s="88" t="str">
        <f>IF($F1177="","",IF($E1177="",T1177,SUMIF(Sales!$E$7:$E$1506,$E1177,Sales!$T$7:$T$1506)))</f>
        <v/>
      </c>
      <c r="V1177" s="49" t="str">
        <f t="shared" si="15"/>
        <v/>
      </c>
      <c r="W1177" s="49" t="str">
        <f t="array" ref="W1177">IF($V1177="","",SUMPRODUCT((Sales!$V$7:$V$1506&lt;&gt;"")*(Sales!$E$7:$E$1506&lt;$E1177))+1)</f>
        <v/>
      </c>
      <c r="X1177" s="49" t="str">
        <f t="shared" si="16"/>
        <v/>
      </c>
      <c r="Y1177" s="49" t="str">
        <f t="shared" si="17"/>
        <v/>
      </c>
    </row>
    <row r="1178" ht="15.0" customHeight="1">
      <c r="A1178" s="82"/>
      <c r="B1178" s="83"/>
      <c r="C1178" s="83"/>
      <c r="D1178" s="83"/>
      <c r="E1178" s="83"/>
      <c r="F1178" s="83"/>
      <c r="G1178" s="83" t="str">
        <f>IF($F1178="","",IFERROR(VLOOKUP($F1178,Inventory!$A:$B,2,FALSE),""))</f>
        <v/>
      </c>
      <c r="H1178" s="83"/>
      <c r="I1178" s="84" t="str">
        <f t="shared" si="2"/>
        <v/>
      </c>
      <c r="J1178" s="85" t="str">
        <f>IF($F1178="","",IFERROR(VLOOKUP($F1178,Inventory!$A:$K,11,FALSE),0))</f>
        <v/>
      </c>
      <c r="K1178" s="85"/>
      <c r="L1178" s="85" t="str">
        <f t="shared" si="12"/>
        <v/>
      </c>
      <c r="M1178" s="83"/>
      <c r="N1178" s="85" t="str">
        <f>IF($F1178="","",IFERROR(VLOOKUP($F1178,Inventory!$A:$I,9,FALSE),0))</f>
        <v/>
      </c>
      <c r="O1178" s="85" t="str">
        <f t="shared" si="13"/>
        <v/>
      </c>
      <c r="P1178" s="85" t="str">
        <f t="shared" si="5"/>
        <v/>
      </c>
      <c r="Q1178" s="83"/>
      <c r="R1178" s="118" t="str">
        <f>IF($E1178="","",IF(COUNTIF($E$7:$E2375,$E1178)&gt;1,"",IFERROR(VLOOKUP($E1178,Orders!$A:$I,8,FALSE),"")))</f>
        <v/>
      </c>
      <c r="S1178" s="118" t="str">
        <f>IF($E1178="","",IF(COUNTIF($E$7:$E2375,$E1178)&gt;1,"",IFERROR(VLOOKUP($E1178,Orders!$A:$I,9,FALSE),"")))</f>
        <v/>
      </c>
      <c r="T1178" s="88" t="str">
        <f t="shared" si="14"/>
        <v/>
      </c>
      <c r="U1178" s="88" t="str">
        <f>IF($F1178="","",IF($E1178="",T1178,SUMIF(Sales!$E$7:$E$1506,$E1178,Sales!$T$7:$T$1506)))</f>
        <v/>
      </c>
      <c r="V1178" s="49" t="str">
        <f t="shared" si="15"/>
        <v/>
      </c>
      <c r="W1178" s="49" t="str">
        <f t="array" ref="W1178">IF($V1178="","",SUMPRODUCT((Sales!$V$7:$V$1506&lt;&gt;"")*(Sales!$E$7:$E$1506&lt;$E1178))+1)</f>
        <v/>
      </c>
      <c r="X1178" s="49" t="str">
        <f t="shared" si="16"/>
        <v/>
      </c>
      <c r="Y1178" s="49" t="str">
        <f t="shared" si="17"/>
        <v/>
      </c>
    </row>
    <row r="1179" ht="15.0" customHeight="1">
      <c r="A1179" s="82"/>
      <c r="B1179" s="83"/>
      <c r="C1179" s="83"/>
      <c r="D1179" s="83"/>
      <c r="E1179" s="83"/>
      <c r="F1179" s="83"/>
      <c r="G1179" s="83" t="str">
        <f>IF($F1179="","",IFERROR(VLOOKUP($F1179,Inventory!$A:$B,2,FALSE),""))</f>
        <v/>
      </c>
      <c r="H1179" s="83"/>
      <c r="I1179" s="84" t="str">
        <f t="shared" si="2"/>
        <v/>
      </c>
      <c r="J1179" s="85" t="str">
        <f>IF($F1179="","",IFERROR(VLOOKUP($F1179,Inventory!$A:$K,11,FALSE),0))</f>
        <v/>
      </c>
      <c r="K1179" s="85"/>
      <c r="L1179" s="85" t="str">
        <f t="shared" si="12"/>
        <v/>
      </c>
      <c r="M1179" s="83"/>
      <c r="N1179" s="85" t="str">
        <f>IF($F1179="","",IFERROR(VLOOKUP($F1179,Inventory!$A:$I,9,FALSE),0))</f>
        <v/>
      </c>
      <c r="O1179" s="85" t="str">
        <f t="shared" si="13"/>
        <v/>
      </c>
      <c r="P1179" s="85" t="str">
        <f t="shared" si="5"/>
        <v/>
      </c>
      <c r="Q1179" s="83"/>
      <c r="R1179" s="118" t="str">
        <f>IF($E1179="","",IF(COUNTIF($E$7:$E2376,$E1179)&gt;1,"",IFERROR(VLOOKUP($E1179,Orders!$A:$I,8,FALSE),"")))</f>
        <v/>
      </c>
      <c r="S1179" s="118" t="str">
        <f>IF($E1179="","",IF(COUNTIF($E$7:$E2376,$E1179)&gt;1,"",IFERROR(VLOOKUP($E1179,Orders!$A:$I,9,FALSE),"")))</f>
        <v/>
      </c>
      <c r="T1179" s="88" t="str">
        <f t="shared" si="14"/>
        <v/>
      </c>
      <c r="U1179" s="88" t="str">
        <f>IF($F1179="","",IF($E1179="",T1179,SUMIF(Sales!$E$7:$E$1506,$E1179,Sales!$T$7:$T$1506)))</f>
        <v/>
      </c>
      <c r="V1179" s="49" t="str">
        <f t="shared" si="15"/>
        <v/>
      </c>
      <c r="W1179" s="49" t="str">
        <f t="array" ref="W1179">IF($V1179="","",SUMPRODUCT((Sales!$V$7:$V$1506&lt;&gt;"")*(Sales!$E$7:$E$1506&lt;$E1179))+1)</f>
        <v/>
      </c>
      <c r="X1179" s="49" t="str">
        <f t="shared" si="16"/>
        <v/>
      </c>
      <c r="Y1179" s="49" t="str">
        <f t="shared" si="17"/>
        <v/>
      </c>
    </row>
    <row r="1180" ht="15.0" customHeight="1">
      <c r="A1180" s="82"/>
      <c r="B1180" s="83"/>
      <c r="C1180" s="83"/>
      <c r="D1180" s="83"/>
      <c r="E1180" s="83"/>
      <c r="F1180" s="83"/>
      <c r="G1180" s="83" t="str">
        <f>IF($F1180="","",IFERROR(VLOOKUP($F1180,Inventory!$A:$B,2,FALSE),""))</f>
        <v/>
      </c>
      <c r="H1180" s="83"/>
      <c r="I1180" s="84" t="str">
        <f t="shared" si="2"/>
        <v/>
      </c>
      <c r="J1180" s="85" t="str">
        <f>IF($F1180="","",IFERROR(VLOOKUP($F1180,Inventory!$A:$K,11,FALSE),0))</f>
        <v/>
      </c>
      <c r="K1180" s="85"/>
      <c r="L1180" s="85" t="str">
        <f t="shared" si="12"/>
        <v/>
      </c>
      <c r="M1180" s="83"/>
      <c r="N1180" s="85" t="str">
        <f>IF($F1180="","",IFERROR(VLOOKUP($F1180,Inventory!$A:$I,9,FALSE),0))</f>
        <v/>
      </c>
      <c r="O1180" s="85" t="str">
        <f t="shared" si="13"/>
        <v/>
      </c>
      <c r="P1180" s="85" t="str">
        <f t="shared" si="5"/>
        <v/>
      </c>
      <c r="Q1180" s="83"/>
      <c r="R1180" s="118" t="str">
        <f>IF($E1180="","",IF(COUNTIF($E$7:$E2377,$E1180)&gt;1,"",IFERROR(VLOOKUP($E1180,Orders!$A:$I,8,FALSE),"")))</f>
        <v/>
      </c>
      <c r="S1180" s="118" t="str">
        <f>IF($E1180="","",IF(COUNTIF($E$7:$E2377,$E1180)&gt;1,"",IFERROR(VLOOKUP($E1180,Orders!$A:$I,9,FALSE),"")))</f>
        <v/>
      </c>
      <c r="T1180" s="88" t="str">
        <f t="shared" si="14"/>
        <v/>
      </c>
      <c r="U1180" s="88" t="str">
        <f>IF($F1180="","",IF($E1180="",T1180,SUMIF(Sales!$E$7:$E$1506,$E1180,Sales!$T$7:$T$1506)))</f>
        <v/>
      </c>
      <c r="V1180" s="49" t="str">
        <f t="shared" si="15"/>
        <v/>
      </c>
      <c r="W1180" s="49" t="str">
        <f t="array" ref="W1180">IF($V1180="","",SUMPRODUCT((Sales!$V$7:$V$1506&lt;&gt;"")*(Sales!$E$7:$E$1506&lt;$E1180))+1)</f>
        <v/>
      </c>
      <c r="X1180" s="49" t="str">
        <f t="shared" si="16"/>
        <v/>
      </c>
      <c r="Y1180" s="49" t="str">
        <f t="shared" si="17"/>
        <v/>
      </c>
    </row>
    <row r="1181" ht="15.0" customHeight="1">
      <c r="A1181" s="82"/>
      <c r="B1181" s="83"/>
      <c r="C1181" s="83"/>
      <c r="D1181" s="83"/>
      <c r="E1181" s="83"/>
      <c r="F1181" s="83"/>
      <c r="G1181" s="83" t="str">
        <f>IF($F1181="","",IFERROR(VLOOKUP($F1181,Inventory!$A:$B,2,FALSE),""))</f>
        <v/>
      </c>
      <c r="H1181" s="83"/>
      <c r="I1181" s="84" t="str">
        <f t="shared" si="2"/>
        <v/>
      </c>
      <c r="J1181" s="85" t="str">
        <f>IF($F1181="","",IFERROR(VLOOKUP($F1181,Inventory!$A:$K,11,FALSE),0))</f>
        <v/>
      </c>
      <c r="K1181" s="85"/>
      <c r="L1181" s="85" t="str">
        <f t="shared" si="12"/>
        <v/>
      </c>
      <c r="M1181" s="83"/>
      <c r="N1181" s="85" t="str">
        <f>IF($F1181="","",IFERROR(VLOOKUP($F1181,Inventory!$A:$I,9,FALSE),0))</f>
        <v/>
      </c>
      <c r="O1181" s="85" t="str">
        <f t="shared" si="13"/>
        <v/>
      </c>
      <c r="P1181" s="85" t="str">
        <f t="shared" si="5"/>
        <v/>
      </c>
      <c r="Q1181" s="83"/>
      <c r="R1181" s="118" t="str">
        <f>IF($E1181="","",IF(COUNTIF($E$7:$E2378,$E1181)&gt;1,"",IFERROR(VLOOKUP($E1181,Orders!$A:$I,8,FALSE),"")))</f>
        <v/>
      </c>
      <c r="S1181" s="118" t="str">
        <f>IF($E1181="","",IF(COUNTIF($E$7:$E2378,$E1181)&gt;1,"",IFERROR(VLOOKUP($E1181,Orders!$A:$I,9,FALSE),"")))</f>
        <v/>
      </c>
      <c r="T1181" s="88" t="str">
        <f t="shared" si="14"/>
        <v/>
      </c>
      <c r="U1181" s="88" t="str">
        <f>IF($F1181="","",IF($E1181="",T1181,SUMIF(Sales!$E$7:$E$1506,$E1181,Sales!$T$7:$T$1506)))</f>
        <v/>
      </c>
      <c r="V1181" s="49" t="str">
        <f t="shared" si="15"/>
        <v/>
      </c>
      <c r="W1181" s="49" t="str">
        <f t="array" ref="W1181">IF($V1181="","",SUMPRODUCT((Sales!$V$7:$V$1506&lt;&gt;"")*(Sales!$E$7:$E$1506&lt;$E1181))+1)</f>
        <v/>
      </c>
      <c r="X1181" s="49" t="str">
        <f t="shared" si="16"/>
        <v/>
      </c>
      <c r="Y1181" s="49" t="str">
        <f t="shared" si="17"/>
        <v/>
      </c>
    </row>
    <row r="1182" ht="15.0" customHeight="1">
      <c r="A1182" s="82"/>
      <c r="B1182" s="83"/>
      <c r="C1182" s="83"/>
      <c r="D1182" s="83"/>
      <c r="E1182" s="83"/>
      <c r="F1182" s="83"/>
      <c r="G1182" s="83" t="str">
        <f>IF($F1182="","",IFERROR(VLOOKUP($F1182,Inventory!$A:$B,2,FALSE),""))</f>
        <v/>
      </c>
      <c r="H1182" s="83"/>
      <c r="I1182" s="84" t="str">
        <f t="shared" si="2"/>
        <v/>
      </c>
      <c r="J1182" s="85" t="str">
        <f>IF($F1182="","",IFERROR(VLOOKUP($F1182,Inventory!$A:$K,11,FALSE),0))</f>
        <v/>
      </c>
      <c r="K1182" s="85"/>
      <c r="L1182" s="85" t="str">
        <f t="shared" si="12"/>
        <v/>
      </c>
      <c r="M1182" s="83"/>
      <c r="N1182" s="85" t="str">
        <f>IF($F1182="","",IFERROR(VLOOKUP($F1182,Inventory!$A:$I,9,FALSE),0))</f>
        <v/>
      </c>
      <c r="O1182" s="85" t="str">
        <f t="shared" si="13"/>
        <v/>
      </c>
      <c r="P1182" s="85" t="str">
        <f t="shared" si="5"/>
        <v/>
      </c>
      <c r="Q1182" s="83"/>
      <c r="R1182" s="118" t="str">
        <f>IF($E1182="","",IF(COUNTIF($E$7:$E2379,$E1182)&gt;1,"",IFERROR(VLOOKUP($E1182,Orders!$A:$I,8,FALSE),"")))</f>
        <v/>
      </c>
      <c r="S1182" s="118" t="str">
        <f>IF($E1182="","",IF(COUNTIF($E$7:$E2379,$E1182)&gt;1,"",IFERROR(VLOOKUP($E1182,Orders!$A:$I,9,FALSE),"")))</f>
        <v/>
      </c>
      <c r="T1182" s="88" t="str">
        <f t="shared" si="14"/>
        <v/>
      </c>
      <c r="U1182" s="88" t="str">
        <f>IF($F1182="","",IF($E1182="",T1182,SUMIF(Sales!$E$7:$E$1506,$E1182,Sales!$T$7:$T$1506)))</f>
        <v/>
      </c>
      <c r="V1182" s="49" t="str">
        <f t="shared" si="15"/>
        <v/>
      </c>
      <c r="W1182" s="49" t="str">
        <f t="array" ref="W1182">IF($V1182="","",SUMPRODUCT((Sales!$V$7:$V$1506&lt;&gt;"")*(Sales!$E$7:$E$1506&lt;$E1182))+1)</f>
        <v/>
      </c>
      <c r="X1182" s="49" t="str">
        <f t="shared" si="16"/>
        <v/>
      </c>
      <c r="Y1182" s="49" t="str">
        <f t="shared" si="17"/>
        <v/>
      </c>
    </row>
    <row r="1183" ht="15.0" customHeight="1">
      <c r="A1183" s="82"/>
      <c r="B1183" s="83"/>
      <c r="C1183" s="83"/>
      <c r="D1183" s="83"/>
      <c r="E1183" s="83"/>
      <c r="F1183" s="83"/>
      <c r="G1183" s="83" t="str">
        <f>IF($F1183="","",IFERROR(VLOOKUP($F1183,Inventory!$A:$B,2,FALSE),""))</f>
        <v/>
      </c>
      <c r="H1183" s="83"/>
      <c r="I1183" s="84" t="str">
        <f t="shared" si="2"/>
        <v/>
      </c>
      <c r="J1183" s="85" t="str">
        <f>IF($F1183="","",IFERROR(VLOOKUP($F1183,Inventory!$A:$K,11,FALSE),0))</f>
        <v/>
      </c>
      <c r="K1183" s="85"/>
      <c r="L1183" s="85" t="str">
        <f t="shared" si="12"/>
        <v/>
      </c>
      <c r="M1183" s="83"/>
      <c r="N1183" s="85" t="str">
        <f>IF($F1183="","",IFERROR(VLOOKUP($F1183,Inventory!$A:$I,9,FALSE),0))</f>
        <v/>
      </c>
      <c r="O1183" s="85" t="str">
        <f t="shared" si="13"/>
        <v/>
      </c>
      <c r="P1183" s="85" t="str">
        <f t="shared" si="5"/>
        <v/>
      </c>
      <c r="Q1183" s="83"/>
      <c r="R1183" s="118" t="str">
        <f>IF($E1183="","",IF(COUNTIF($E$7:$E2380,$E1183)&gt;1,"",IFERROR(VLOOKUP($E1183,Orders!$A:$I,8,FALSE),"")))</f>
        <v/>
      </c>
      <c r="S1183" s="118" t="str">
        <f>IF($E1183="","",IF(COUNTIF($E$7:$E2380,$E1183)&gt;1,"",IFERROR(VLOOKUP($E1183,Orders!$A:$I,9,FALSE),"")))</f>
        <v/>
      </c>
      <c r="T1183" s="88" t="str">
        <f t="shared" si="14"/>
        <v/>
      </c>
      <c r="U1183" s="88" t="str">
        <f>IF($F1183="","",IF($E1183="",T1183,SUMIF(Sales!$E$7:$E$1506,$E1183,Sales!$T$7:$T$1506)))</f>
        <v/>
      </c>
      <c r="V1183" s="49" t="str">
        <f t="shared" si="15"/>
        <v/>
      </c>
      <c r="W1183" s="49" t="str">
        <f t="array" ref="W1183">IF($V1183="","",SUMPRODUCT((Sales!$V$7:$V$1506&lt;&gt;"")*(Sales!$E$7:$E$1506&lt;$E1183))+1)</f>
        <v/>
      </c>
      <c r="X1183" s="49" t="str">
        <f t="shared" si="16"/>
        <v/>
      </c>
      <c r="Y1183" s="49" t="str">
        <f t="shared" si="17"/>
        <v/>
      </c>
    </row>
    <row r="1184" ht="15.0" customHeight="1">
      <c r="A1184" s="82"/>
      <c r="B1184" s="83"/>
      <c r="C1184" s="83"/>
      <c r="D1184" s="83"/>
      <c r="E1184" s="83"/>
      <c r="F1184" s="83"/>
      <c r="G1184" s="83" t="str">
        <f>IF($F1184="","",IFERROR(VLOOKUP($F1184,Inventory!$A:$B,2,FALSE),""))</f>
        <v/>
      </c>
      <c r="H1184" s="83"/>
      <c r="I1184" s="84" t="str">
        <f t="shared" si="2"/>
        <v/>
      </c>
      <c r="J1184" s="85" t="str">
        <f>IF($F1184="","",IFERROR(VLOOKUP($F1184,Inventory!$A:$K,11,FALSE),0))</f>
        <v/>
      </c>
      <c r="K1184" s="85"/>
      <c r="L1184" s="85" t="str">
        <f t="shared" si="12"/>
        <v/>
      </c>
      <c r="M1184" s="83"/>
      <c r="N1184" s="85" t="str">
        <f>IF($F1184="","",IFERROR(VLOOKUP($F1184,Inventory!$A:$I,9,FALSE),0))</f>
        <v/>
      </c>
      <c r="O1184" s="85" t="str">
        <f t="shared" si="13"/>
        <v/>
      </c>
      <c r="P1184" s="85" t="str">
        <f t="shared" si="5"/>
        <v/>
      </c>
      <c r="Q1184" s="83"/>
      <c r="R1184" s="118" t="str">
        <f>IF($E1184="","",IF(COUNTIF($E$7:$E2381,$E1184)&gt;1,"",IFERROR(VLOOKUP($E1184,Orders!$A:$I,8,FALSE),"")))</f>
        <v/>
      </c>
      <c r="S1184" s="118" t="str">
        <f>IF($E1184="","",IF(COUNTIF($E$7:$E2381,$E1184)&gt;1,"",IFERROR(VLOOKUP($E1184,Orders!$A:$I,9,FALSE),"")))</f>
        <v/>
      </c>
      <c r="T1184" s="88" t="str">
        <f t="shared" si="14"/>
        <v/>
      </c>
      <c r="U1184" s="88" t="str">
        <f>IF($F1184="","",IF($E1184="",T1184,SUMIF(Sales!$E$7:$E$1506,$E1184,Sales!$T$7:$T$1506)))</f>
        <v/>
      </c>
      <c r="V1184" s="49" t="str">
        <f t="shared" si="15"/>
        <v/>
      </c>
      <c r="W1184" s="49" t="str">
        <f t="array" ref="W1184">IF($V1184="","",SUMPRODUCT((Sales!$V$7:$V$1506&lt;&gt;"")*(Sales!$E$7:$E$1506&lt;$E1184))+1)</f>
        <v/>
      </c>
      <c r="X1184" s="49" t="str">
        <f t="shared" si="16"/>
        <v/>
      </c>
      <c r="Y1184" s="49" t="str">
        <f t="shared" si="17"/>
        <v/>
      </c>
    </row>
    <row r="1185" ht="15.0" customHeight="1">
      <c r="A1185" s="82"/>
      <c r="B1185" s="83"/>
      <c r="C1185" s="83"/>
      <c r="D1185" s="83"/>
      <c r="E1185" s="83"/>
      <c r="F1185" s="83"/>
      <c r="G1185" s="83" t="str">
        <f>IF($F1185="","",IFERROR(VLOOKUP($F1185,Inventory!$A:$B,2,FALSE),""))</f>
        <v/>
      </c>
      <c r="H1185" s="83"/>
      <c r="I1185" s="84" t="str">
        <f t="shared" si="2"/>
        <v/>
      </c>
      <c r="J1185" s="85" t="str">
        <f>IF($F1185="","",IFERROR(VLOOKUP($F1185,Inventory!$A:$K,11,FALSE),0))</f>
        <v/>
      </c>
      <c r="K1185" s="85"/>
      <c r="L1185" s="85" t="str">
        <f t="shared" si="12"/>
        <v/>
      </c>
      <c r="M1185" s="83"/>
      <c r="N1185" s="85" t="str">
        <f>IF($F1185="","",IFERROR(VLOOKUP($F1185,Inventory!$A:$I,9,FALSE),0))</f>
        <v/>
      </c>
      <c r="O1185" s="85" t="str">
        <f t="shared" si="13"/>
        <v/>
      </c>
      <c r="P1185" s="85" t="str">
        <f t="shared" si="5"/>
        <v/>
      </c>
      <c r="Q1185" s="83"/>
      <c r="R1185" s="118" t="str">
        <f>IF($E1185="","",IF(COUNTIF($E$7:$E2382,$E1185)&gt;1,"",IFERROR(VLOOKUP($E1185,Orders!$A:$I,8,FALSE),"")))</f>
        <v/>
      </c>
      <c r="S1185" s="118" t="str">
        <f>IF($E1185="","",IF(COUNTIF($E$7:$E2382,$E1185)&gt;1,"",IFERROR(VLOOKUP($E1185,Orders!$A:$I,9,FALSE),"")))</f>
        <v/>
      </c>
      <c r="T1185" s="88" t="str">
        <f t="shared" si="14"/>
        <v/>
      </c>
      <c r="U1185" s="88" t="str">
        <f>IF($F1185="","",IF($E1185="",T1185,SUMIF(Sales!$E$7:$E$1506,$E1185,Sales!$T$7:$T$1506)))</f>
        <v/>
      </c>
      <c r="V1185" s="49" t="str">
        <f t="shared" si="15"/>
        <v/>
      </c>
      <c r="W1185" s="49" t="str">
        <f t="array" ref="W1185">IF($V1185="","",SUMPRODUCT((Sales!$V$7:$V$1506&lt;&gt;"")*(Sales!$E$7:$E$1506&lt;$E1185))+1)</f>
        <v/>
      </c>
      <c r="X1185" s="49" t="str">
        <f t="shared" si="16"/>
        <v/>
      </c>
      <c r="Y1185" s="49" t="str">
        <f t="shared" si="17"/>
        <v/>
      </c>
    </row>
    <row r="1186" ht="15.0" customHeight="1">
      <c r="A1186" s="82"/>
      <c r="B1186" s="83"/>
      <c r="C1186" s="83"/>
      <c r="D1186" s="83"/>
      <c r="E1186" s="83"/>
      <c r="F1186" s="83"/>
      <c r="G1186" s="83" t="str">
        <f>IF($F1186="","",IFERROR(VLOOKUP($F1186,Inventory!$A:$B,2,FALSE),""))</f>
        <v/>
      </c>
      <c r="H1186" s="83"/>
      <c r="I1186" s="84" t="str">
        <f t="shared" si="2"/>
        <v/>
      </c>
      <c r="J1186" s="85" t="str">
        <f>IF($F1186="","",IFERROR(VLOOKUP($F1186,Inventory!$A:$K,11,FALSE),0))</f>
        <v/>
      </c>
      <c r="K1186" s="85"/>
      <c r="L1186" s="85" t="str">
        <f t="shared" si="12"/>
        <v/>
      </c>
      <c r="M1186" s="83"/>
      <c r="N1186" s="85" t="str">
        <f>IF($F1186="","",IFERROR(VLOOKUP($F1186,Inventory!$A:$I,9,FALSE),0))</f>
        <v/>
      </c>
      <c r="O1186" s="85" t="str">
        <f t="shared" si="13"/>
        <v/>
      </c>
      <c r="P1186" s="85" t="str">
        <f t="shared" si="5"/>
        <v/>
      </c>
      <c r="Q1186" s="83"/>
      <c r="R1186" s="118" t="str">
        <f>IF($E1186="","",IF(COUNTIF($E$7:$E2383,$E1186)&gt;1,"",IFERROR(VLOOKUP($E1186,Orders!$A:$I,8,FALSE),"")))</f>
        <v/>
      </c>
      <c r="S1186" s="118" t="str">
        <f>IF($E1186="","",IF(COUNTIF($E$7:$E2383,$E1186)&gt;1,"",IFERROR(VLOOKUP($E1186,Orders!$A:$I,9,FALSE),"")))</f>
        <v/>
      </c>
      <c r="T1186" s="88" t="str">
        <f t="shared" si="14"/>
        <v/>
      </c>
      <c r="U1186" s="88" t="str">
        <f>IF($F1186="","",IF($E1186="",T1186,SUMIF(Sales!$E$7:$E$1506,$E1186,Sales!$T$7:$T$1506)))</f>
        <v/>
      </c>
      <c r="V1186" s="49" t="str">
        <f t="shared" si="15"/>
        <v/>
      </c>
      <c r="W1186" s="49" t="str">
        <f t="array" ref="W1186">IF($V1186="","",SUMPRODUCT((Sales!$V$7:$V$1506&lt;&gt;"")*(Sales!$E$7:$E$1506&lt;$E1186))+1)</f>
        <v/>
      </c>
      <c r="X1186" s="49" t="str">
        <f t="shared" si="16"/>
        <v/>
      </c>
      <c r="Y1186" s="49" t="str">
        <f t="shared" si="17"/>
        <v/>
      </c>
    </row>
    <row r="1187" ht="15.0" customHeight="1">
      <c r="A1187" s="82"/>
      <c r="B1187" s="83"/>
      <c r="C1187" s="83"/>
      <c r="D1187" s="83"/>
      <c r="E1187" s="83"/>
      <c r="F1187" s="83"/>
      <c r="G1187" s="83" t="str">
        <f>IF($F1187="","",IFERROR(VLOOKUP($F1187,Inventory!$A:$B,2,FALSE),""))</f>
        <v/>
      </c>
      <c r="H1187" s="83"/>
      <c r="I1187" s="84" t="str">
        <f t="shared" si="2"/>
        <v/>
      </c>
      <c r="J1187" s="85" t="str">
        <f>IF($F1187="","",IFERROR(VLOOKUP($F1187,Inventory!$A:$K,11,FALSE),0))</f>
        <v/>
      </c>
      <c r="K1187" s="85"/>
      <c r="L1187" s="85" t="str">
        <f t="shared" si="12"/>
        <v/>
      </c>
      <c r="M1187" s="83"/>
      <c r="N1187" s="85" t="str">
        <f>IF($F1187="","",IFERROR(VLOOKUP($F1187,Inventory!$A:$I,9,FALSE),0))</f>
        <v/>
      </c>
      <c r="O1187" s="85" t="str">
        <f t="shared" si="13"/>
        <v/>
      </c>
      <c r="P1187" s="85" t="str">
        <f t="shared" si="5"/>
        <v/>
      </c>
      <c r="Q1187" s="83"/>
      <c r="R1187" s="118" t="str">
        <f>IF($E1187="","",IF(COUNTIF($E$7:$E2384,$E1187)&gt;1,"",IFERROR(VLOOKUP($E1187,Orders!$A:$I,8,FALSE),"")))</f>
        <v/>
      </c>
      <c r="S1187" s="118" t="str">
        <f>IF($E1187="","",IF(COUNTIF($E$7:$E2384,$E1187)&gt;1,"",IFERROR(VLOOKUP($E1187,Orders!$A:$I,9,FALSE),"")))</f>
        <v/>
      </c>
      <c r="T1187" s="88" t="str">
        <f t="shared" si="14"/>
        <v/>
      </c>
      <c r="U1187" s="88" t="str">
        <f>IF($F1187="","",IF($E1187="",T1187,SUMIF(Sales!$E$7:$E$1506,$E1187,Sales!$T$7:$T$1506)))</f>
        <v/>
      </c>
      <c r="V1187" s="49" t="str">
        <f t="shared" si="15"/>
        <v/>
      </c>
      <c r="W1187" s="49" t="str">
        <f t="array" ref="W1187">IF($V1187="","",SUMPRODUCT((Sales!$V$7:$V$1506&lt;&gt;"")*(Sales!$E$7:$E$1506&lt;$E1187))+1)</f>
        <v/>
      </c>
      <c r="X1187" s="49" t="str">
        <f t="shared" si="16"/>
        <v/>
      </c>
      <c r="Y1187" s="49" t="str">
        <f t="shared" si="17"/>
        <v/>
      </c>
    </row>
    <row r="1188" ht="15.0" customHeight="1">
      <c r="A1188" s="82"/>
      <c r="B1188" s="83"/>
      <c r="C1188" s="83"/>
      <c r="D1188" s="83"/>
      <c r="E1188" s="83"/>
      <c r="F1188" s="83"/>
      <c r="G1188" s="83" t="str">
        <f>IF($F1188="","",IFERROR(VLOOKUP($F1188,Inventory!$A:$B,2,FALSE),""))</f>
        <v/>
      </c>
      <c r="H1188" s="83"/>
      <c r="I1188" s="84" t="str">
        <f t="shared" si="2"/>
        <v/>
      </c>
      <c r="J1188" s="85" t="str">
        <f>IF($F1188="","",IFERROR(VLOOKUP($F1188,Inventory!$A:$K,11,FALSE),0))</f>
        <v/>
      </c>
      <c r="K1188" s="85"/>
      <c r="L1188" s="85" t="str">
        <f t="shared" si="12"/>
        <v/>
      </c>
      <c r="M1188" s="83"/>
      <c r="N1188" s="85" t="str">
        <f>IF($F1188="","",IFERROR(VLOOKUP($F1188,Inventory!$A:$I,9,FALSE),0))</f>
        <v/>
      </c>
      <c r="O1188" s="85" t="str">
        <f t="shared" si="13"/>
        <v/>
      </c>
      <c r="P1188" s="85" t="str">
        <f t="shared" si="5"/>
        <v/>
      </c>
      <c r="Q1188" s="83"/>
      <c r="R1188" s="118" t="str">
        <f>IF($E1188="","",IF(COUNTIF($E$7:$E2385,$E1188)&gt;1,"",IFERROR(VLOOKUP($E1188,Orders!$A:$I,8,FALSE),"")))</f>
        <v/>
      </c>
      <c r="S1188" s="118" t="str">
        <f>IF($E1188="","",IF(COUNTIF($E$7:$E2385,$E1188)&gt;1,"",IFERROR(VLOOKUP($E1188,Orders!$A:$I,9,FALSE),"")))</f>
        <v/>
      </c>
      <c r="T1188" s="88" t="str">
        <f t="shared" si="14"/>
        <v/>
      </c>
      <c r="U1188" s="88" t="str">
        <f>IF($F1188="","",IF($E1188="",T1188,SUMIF(Sales!$E$7:$E$1506,$E1188,Sales!$T$7:$T$1506)))</f>
        <v/>
      </c>
      <c r="V1188" s="49" t="str">
        <f t="shared" si="15"/>
        <v/>
      </c>
      <c r="W1188" s="49" t="str">
        <f t="array" ref="W1188">IF($V1188="","",SUMPRODUCT((Sales!$V$7:$V$1506&lt;&gt;"")*(Sales!$E$7:$E$1506&lt;$E1188))+1)</f>
        <v/>
      </c>
      <c r="X1188" s="49" t="str">
        <f t="shared" si="16"/>
        <v/>
      </c>
      <c r="Y1188" s="49" t="str">
        <f t="shared" si="17"/>
        <v/>
      </c>
    </row>
    <row r="1189" ht="15.0" customHeight="1">
      <c r="A1189" s="82"/>
      <c r="B1189" s="83"/>
      <c r="C1189" s="83"/>
      <c r="D1189" s="83"/>
      <c r="E1189" s="83"/>
      <c r="F1189" s="83"/>
      <c r="G1189" s="83" t="str">
        <f>IF($F1189="","",IFERROR(VLOOKUP($F1189,Inventory!$A:$B,2,FALSE),""))</f>
        <v/>
      </c>
      <c r="H1189" s="83"/>
      <c r="I1189" s="84" t="str">
        <f t="shared" si="2"/>
        <v/>
      </c>
      <c r="J1189" s="85" t="str">
        <f>IF($F1189="","",IFERROR(VLOOKUP($F1189,Inventory!$A:$K,11,FALSE),0))</f>
        <v/>
      </c>
      <c r="K1189" s="85"/>
      <c r="L1189" s="85" t="str">
        <f t="shared" si="12"/>
        <v/>
      </c>
      <c r="M1189" s="83"/>
      <c r="N1189" s="85" t="str">
        <f>IF($F1189="","",IFERROR(VLOOKUP($F1189,Inventory!$A:$I,9,FALSE),0))</f>
        <v/>
      </c>
      <c r="O1189" s="85" t="str">
        <f t="shared" si="13"/>
        <v/>
      </c>
      <c r="P1189" s="85" t="str">
        <f t="shared" si="5"/>
        <v/>
      </c>
      <c r="Q1189" s="83"/>
      <c r="R1189" s="118" t="str">
        <f>IF($E1189="","",IF(COUNTIF($E$7:$E2386,$E1189)&gt;1,"",IFERROR(VLOOKUP($E1189,Orders!$A:$I,8,FALSE),"")))</f>
        <v/>
      </c>
      <c r="S1189" s="118" t="str">
        <f>IF($E1189="","",IF(COUNTIF($E$7:$E2386,$E1189)&gt;1,"",IFERROR(VLOOKUP($E1189,Orders!$A:$I,9,FALSE),"")))</f>
        <v/>
      </c>
      <c r="T1189" s="88" t="str">
        <f t="shared" si="14"/>
        <v/>
      </c>
      <c r="U1189" s="88" t="str">
        <f>IF($F1189="","",IF($E1189="",T1189,SUMIF(Sales!$E$7:$E$1506,$E1189,Sales!$T$7:$T$1506)))</f>
        <v/>
      </c>
      <c r="V1189" s="49" t="str">
        <f t="shared" si="15"/>
        <v/>
      </c>
      <c r="W1189" s="49" t="str">
        <f t="array" ref="W1189">IF($V1189="","",SUMPRODUCT((Sales!$V$7:$V$1506&lt;&gt;"")*(Sales!$E$7:$E$1506&lt;$E1189))+1)</f>
        <v/>
      </c>
      <c r="X1189" s="49" t="str">
        <f t="shared" si="16"/>
        <v/>
      </c>
      <c r="Y1189" s="49" t="str">
        <f t="shared" si="17"/>
        <v/>
      </c>
    </row>
    <row r="1190" ht="15.0" customHeight="1">
      <c r="A1190" s="82"/>
      <c r="B1190" s="83"/>
      <c r="C1190" s="83"/>
      <c r="D1190" s="83"/>
      <c r="E1190" s="83"/>
      <c r="F1190" s="83"/>
      <c r="G1190" s="83" t="str">
        <f>IF($F1190="","",IFERROR(VLOOKUP($F1190,Inventory!$A:$B,2,FALSE),""))</f>
        <v/>
      </c>
      <c r="H1190" s="83"/>
      <c r="I1190" s="84" t="str">
        <f t="shared" si="2"/>
        <v/>
      </c>
      <c r="J1190" s="85" t="str">
        <f>IF($F1190="","",IFERROR(VLOOKUP($F1190,Inventory!$A:$K,11,FALSE),0))</f>
        <v/>
      </c>
      <c r="K1190" s="85"/>
      <c r="L1190" s="85" t="str">
        <f t="shared" si="12"/>
        <v/>
      </c>
      <c r="M1190" s="83"/>
      <c r="N1190" s="85" t="str">
        <f>IF($F1190="","",IFERROR(VLOOKUP($F1190,Inventory!$A:$I,9,FALSE),0))</f>
        <v/>
      </c>
      <c r="O1190" s="85" t="str">
        <f t="shared" si="13"/>
        <v/>
      </c>
      <c r="P1190" s="85" t="str">
        <f t="shared" si="5"/>
        <v/>
      </c>
      <c r="Q1190" s="83"/>
      <c r="R1190" s="118" t="str">
        <f>IF($E1190="","",IF(COUNTIF($E$7:$E2387,$E1190)&gt;1,"",IFERROR(VLOOKUP($E1190,Orders!$A:$I,8,FALSE),"")))</f>
        <v/>
      </c>
      <c r="S1190" s="118" t="str">
        <f>IF($E1190="","",IF(COUNTIF($E$7:$E2387,$E1190)&gt;1,"",IFERROR(VLOOKUP($E1190,Orders!$A:$I,9,FALSE),"")))</f>
        <v/>
      </c>
      <c r="T1190" s="88" t="str">
        <f t="shared" si="14"/>
        <v/>
      </c>
      <c r="U1190" s="88" t="str">
        <f>IF($F1190="","",IF($E1190="",T1190,SUMIF(Sales!$E$7:$E$1506,$E1190,Sales!$T$7:$T$1506)))</f>
        <v/>
      </c>
      <c r="V1190" s="49" t="str">
        <f t="shared" si="15"/>
        <v/>
      </c>
      <c r="W1190" s="49" t="str">
        <f t="array" ref="W1190">IF($V1190="","",SUMPRODUCT((Sales!$V$7:$V$1506&lt;&gt;"")*(Sales!$E$7:$E$1506&lt;$E1190))+1)</f>
        <v/>
      </c>
      <c r="X1190" s="49" t="str">
        <f t="shared" si="16"/>
        <v/>
      </c>
      <c r="Y1190" s="49" t="str">
        <f t="shared" si="17"/>
        <v/>
      </c>
    </row>
    <row r="1191" ht="15.0" customHeight="1">
      <c r="A1191" s="82"/>
      <c r="B1191" s="83"/>
      <c r="C1191" s="83"/>
      <c r="D1191" s="83"/>
      <c r="E1191" s="83"/>
      <c r="F1191" s="83"/>
      <c r="G1191" s="83" t="str">
        <f>IF($F1191="","",IFERROR(VLOOKUP($F1191,Inventory!$A:$B,2,FALSE),""))</f>
        <v/>
      </c>
      <c r="H1191" s="83"/>
      <c r="I1191" s="84" t="str">
        <f t="shared" si="2"/>
        <v/>
      </c>
      <c r="J1191" s="85" t="str">
        <f>IF($F1191="","",IFERROR(VLOOKUP($F1191,Inventory!$A:$K,11,FALSE),0))</f>
        <v/>
      </c>
      <c r="K1191" s="85"/>
      <c r="L1191" s="85" t="str">
        <f t="shared" si="12"/>
        <v/>
      </c>
      <c r="M1191" s="83"/>
      <c r="N1191" s="85" t="str">
        <f>IF($F1191="","",IFERROR(VLOOKUP($F1191,Inventory!$A:$I,9,FALSE),0))</f>
        <v/>
      </c>
      <c r="O1191" s="85" t="str">
        <f t="shared" si="13"/>
        <v/>
      </c>
      <c r="P1191" s="85" t="str">
        <f t="shared" si="5"/>
        <v/>
      </c>
      <c r="Q1191" s="83"/>
      <c r="R1191" s="118" t="str">
        <f>IF($E1191="","",IF(COUNTIF($E$7:$E2388,$E1191)&gt;1,"",IFERROR(VLOOKUP($E1191,Orders!$A:$I,8,FALSE),"")))</f>
        <v/>
      </c>
      <c r="S1191" s="118" t="str">
        <f>IF($E1191="","",IF(COUNTIF($E$7:$E2388,$E1191)&gt;1,"",IFERROR(VLOOKUP($E1191,Orders!$A:$I,9,FALSE),"")))</f>
        <v/>
      </c>
      <c r="T1191" s="88" t="str">
        <f t="shared" si="14"/>
        <v/>
      </c>
      <c r="U1191" s="88" t="str">
        <f>IF($F1191="","",IF($E1191="",T1191,SUMIF(Sales!$E$7:$E$1506,$E1191,Sales!$T$7:$T$1506)))</f>
        <v/>
      </c>
      <c r="V1191" s="49" t="str">
        <f t="shared" si="15"/>
        <v/>
      </c>
      <c r="W1191" s="49" t="str">
        <f t="array" ref="W1191">IF($V1191="","",SUMPRODUCT((Sales!$V$7:$V$1506&lt;&gt;"")*(Sales!$E$7:$E$1506&lt;$E1191))+1)</f>
        <v/>
      </c>
      <c r="X1191" s="49" t="str">
        <f t="shared" si="16"/>
        <v/>
      </c>
      <c r="Y1191" s="49" t="str">
        <f t="shared" si="17"/>
        <v/>
      </c>
    </row>
    <row r="1192" ht="15.0" customHeight="1">
      <c r="A1192" s="82"/>
      <c r="B1192" s="83"/>
      <c r="C1192" s="83"/>
      <c r="D1192" s="83"/>
      <c r="E1192" s="83"/>
      <c r="F1192" s="83"/>
      <c r="G1192" s="83" t="str">
        <f>IF($F1192="","",IFERROR(VLOOKUP($F1192,Inventory!$A:$B,2,FALSE),""))</f>
        <v/>
      </c>
      <c r="H1192" s="83"/>
      <c r="I1192" s="84" t="str">
        <f t="shared" si="2"/>
        <v/>
      </c>
      <c r="J1192" s="85" t="str">
        <f>IF($F1192="","",IFERROR(VLOOKUP($F1192,Inventory!$A:$K,11,FALSE),0))</f>
        <v/>
      </c>
      <c r="K1192" s="85"/>
      <c r="L1192" s="85" t="str">
        <f t="shared" si="12"/>
        <v/>
      </c>
      <c r="M1192" s="83"/>
      <c r="N1192" s="85" t="str">
        <f>IF($F1192="","",IFERROR(VLOOKUP($F1192,Inventory!$A:$I,9,FALSE),0))</f>
        <v/>
      </c>
      <c r="O1192" s="85" t="str">
        <f t="shared" si="13"/>
        <v/>
      </c>
      <c r="P1192" s="85" t="str">
        <f t="shared" si="5"/>
        <v/>
      </c>
      <c r="Q1192" s="83"/>
      <c r="R1192" s="118" t="str">
        <f>IF($E1192="","",IF(COUNTIF($E$7:$E2389,$E1192)&gt;1,"",IFERROR(VLOOKUP($E1192,Orders!$A:$I,8,FALSE),"")))</f>
        <v/>
      </c>
      <c r="S1192" s="118" t="str">
        <f>IF($E1192="","",IF(COUNTIF($E$7:$E2389,$E1192)&gt;1,"",IFERROR(VLOOKUP($E1192,Orders!$A:$I,9,FALSE),"")))</f>
        <v/>
      </c>
      <c r="T1192" s="88" t="str">
        <f t="shared" si="14"/>
        <v/>
      </c>
      <c r="U1192" s="88" t="str">
        <f>IF($F1192="","",IF($E1192="",T1192,SUMIF(Sales!$E$7:$E$1506,$E1192,Sales!$T$7:$T$1506)))</f>
        <v/>
      </c>
      <c r="V1192" s="49" t="str">
        <f t="shared" si="15"/>
        <v/>
      </c>
      <c r="W1192" s="49" t="str">
        <f t="array" ref="W1192">IF($V1192="","",SUMPRODUCT((Sales!$V$7:$V$1506&lt;&gt;"")*(Sales!$E$7:$E$1506&lt;$E1192))+1)</f>
        <v/>
      </c>
      <c r="X1192" s="49" t="str">
        <f t="shared" si="16"/>
        <v/>
      </c>
      <c r="Y1192" s="49" t="str">
        <f t="shared" si="17"/>
        <v/>
      </c>
    </row>
    <row r="1193" ht="15.0" customHeight="1">
      <c r="A1193" s="82"/>
      <c r="B1193" s="83"/>
      <c r="C1193" s="83"/>
      <c r="D1193" s="83"/>
      <c r="E1193" s="83"/>
      <c r="F1193" s="83"/>
      <c r="G1193" s="83" t="str">
        <f>IF($F1193="","",IFERROR(VLOOKUP($F1193,Inventory!$A:$B,2,FALSE),""))</f>
        <v/>
      </c>
      <c r="H1193" s="83"/>
      <c r="I1193" s="84" t="str">
        <f t="shared" si="2"/>
        <v/>
      </c>
      <c r="J1193" s="85" t="str">
        <f>IF($F1193="","",IFERROR(VLOOKUP($F1193,Inventory!$A:$K,11,FALSE),0))</f>
        <v/>
      </c>
      <c r="K1193" s="85"/>
      <c r="L1193" s="85" t="str">
        <f t="shared" si="12"/>
        <v/>
      </c>
      <c r="M1193" s="83"/>
      <c r="N1193" s="85" t="str">
        <f>IF($F1193="","",IFERROR(VLOOKUP($F1193,Inventory!$A:$I,9,FALSE),0))</f>
        <v/>
      </c>
      <c r="O1193" s="85" t="str">
        <f t="shared" si="13"/>
        <v/>
      </c>
      <c r="P1193" s="85" t="str">
        <f t="shared" si="5"/>
        <v/>
      </c>
      <c r="Q1193" s="83"/>
      <c r="R1193" s="118" t="str">
        <f>IF($E1193="","",IF(COUNTIF($E$7:$E2390,$E1193)&gt;1,"",IFERROR(VLOOKUP($E1193,Orders!$A:$I,8,FALSE),"")))</f>
        <v/>
      </c>
      <c r="S1193" s="118" t="str">
        <f>IF($E1193="","",IF(COUNTIF($E$7:$E2390,$E1193)&gt;1,"",IFERROR(VLOOKUP($E1193,Orders!$A:$I,9,FALSE),"")))</f>
        <v/>
      </c>
      <c r="T1193" s="88" t="str">
        <f t="shared" si="14"/>
        <v/>
      </c>
      <c r="U1193" s="88" t="str">
        <f>IF($F1193="","",IF($E1193="",T1193,SUMIF(Sales!$E$7:$E$1506,$E1193,Sales!$T$7:$T$1506)))</f>
        <v/>
      </c>
      <c r="V1193" s="49" t="str">
        <f t="shared" si="15"/>
        <v/>
      </c>
      <c r="W1193" s="49" t="str">
        <f t="array" ref="W1193">IF($V1193="","",SUMPRODUCT((Sales!$V$7:$V$1506&lt;&gt;"")*(Sales!$E$7:$E$1506&lt;$E1193))+1)</f>
        <v/>
      </c>
      <c r="X1193" s="49" t="str">
        <f t="shared" si="16"/>
        <v/>
      </c>
      <c r="Y1193" s="49" t="str">
        <f t="shared" si="17"/>
        <v/>
      </c>
    </row>
    <row r="1194" ht="15.0" customHeight="1">
      <c r="A1194" s="82"/>
      <c r="B1194" s="83"/>
      <c r="C1194" s="83"/>
      <c r="D1194" s="83"/>
      <c r="E1194" s="83"/>
      <c r="F1194" s="83"/>
      <c r="G1194" s="83" t="str">
        <f>IF($F1194="","",IFERROR(VLOOKUP($F1194,Inventory!$A:$B,2,FALSE),""))</f>
        <v/>
      </c>
      <c r="H1194" s="83"/>
      <c r="I1194" s="84" t="str">
        <f t="shared" si="2"/>
        <v/>
      </c>
      <c r="J1194" s="85" t="str">
        <f>IF($F1194="","",IFERROR(VLOOKUP($F1194,Inventory!$A:$K,11,FALSE),0))</f>
        <v/>
      </c>
      <c r="K1194" s="85"/>
      <c r="L1194" s="85" t="str">
        <f t="shared" si="12"/>
        <v/>
      </c>
      <c r="M1194" s="83"/>
      <c r="N1194" s="85" t="str">
        <f>IF($F1194="","",IFERROR(VLOOKUP($F1194,Inventory!$A:$I,9,FALSE),0))</f>
        <v/>
      </c>
      <c r="O1194" s="85" t="str">
        <f t="shared" si="13"/>
        <v/>
      </c>
      <c r="P1194" s="85" t="str">
        <f t="shared" si="5"/>
        <v/>
      </c>
      <c r="Q1194" s="83"/>
      <c r="R1194" s="118" t="str">
        <f>IF($E1194="","",IF(COUNTIF($E$7:$E2391,$E1194)&gt;1,"",IFERROR(VLOOKUP($E1194,Orders!$A:$I,8,FALSE),"")))</f>
        <v/>
      </c>
      <c r="S1194" s="118" t="str">
        <f>IF($E1194="","",IF(COUNTIF($E$7:$E2391,$E1194)&gt;1,"",IFERROR(VLOOKUP($E1194,Orders!$A:$I,9,FALSE),"")))</f>
        <v/>
      </c>
      <c r="T1194" s="88" t="str">
        <f t="shared" si="14"/>
        <v/>
      </c>
      <c r="U1194" s="88" t="str">
        <f>IF($F1194="","",IF($E1194="",T1194,SUMIF(Sales!$E$7:$E$1506,$E1194,Sales!$T$7:$T$1506)))</f>
        <v/>
      </c>
      <c r="V1194" s="49" t="str">
        <f t="shared" si="15"/>
        <v/>
      </c>
      <c r="W1194" s="49" t="str">
        <f t="array" ref="W1194">IF($V1194="","",SUMPRODUCT((Sales!$V$7:$V$1506&lt;&gt;"")*(Sales!$E$7:$E$1506&lt;$E1194))+1)</f>
        <v/>
      </c>
      <c r="X1194" s="49" t="str">
        <f t="shared" si="16"/>
        <v/>
      </c>
      <c r="Y1194" s="49" t="str">
        <f t="shared" si="17"/>
        <v/>
      </c>
    </row>
    <row r="1195" ht="15.0" customHeight="1">
      <c r="A1195" s="82"/>
      <c r="B1195" s="83"/>
      <c r="C1195" s="83"/>
      <c r="D1195" s="83"/>
      <c r="E1195" s="83"/>
      <c r="F1195" s="83"/>
      <c r="G1195" s="83" t="str">
        <f>IF($F1195="","",IFERROR(VLOOKUP($F1195,Inventory!$A:$B,2,FALSE),""))</f>
        <v/>
      </c>
      <c r="H1195" s="83"/>
      <c r="I1195" s="84" t="str">
        <f t="shared" si="2"/>
        <v/>
      </c>
      <c r="J1195" s="85" t="str">
        <f>IF($F1195="","",IFERROR(VLOOKUP($F1195,Inventory!$A:$K,11,FALSE),0))</f>
        <v/>
      </c>
      <c r="K1195" s="85"/>
      <c r="L1195" s="85" t="str">
        <f t="shared" si="12"/>
        <v/>
      </c>
      <c r="M1195" s="83"/>
      <c r="N1195" s="85" t="str">
        <f>IF($F1195="","",IFERROR(VLOOKUP($F1195,Inventory!$A:$I,9,FALSE),0))</f>
        <v/>
      </c>
      <c r="O1195" s="85" t="str">
        <f t="shared" si="13"/>
        <v/>
      </c>
      <c r="P1195" s="85" t="str">
        <f t="shared" si="5"/>
        <v/>
      </c>
      <c r="Q1195" s="83"/>
      <c r="R1195" s="118" t="str">
        <f>IF($E1195="","",IF(COUNTIF($E$7:$E2392,$E1195)&gt;1,"",IFERROR(VLOOKUP($E1195,Orders!$A:$I,8,FALSE),"")))</f>
        <v/>
      </c>
      <c r="S1195" s="118" t="str">
        <f>IF($E1195="","",IF(COUNTIF($E$7:$E2392,$E1195)&gt;1,"",IFERROR(VLOOKUP($E1195,Orders!$A:$I,9,FALSE),"")))</f>
        <v/>
      </c>
      <c r="T1195" s="88" t="str">
        <f t="shared" si="14"/>
        <v/>
      </c>
      <c r="U1195" s="88" t="str">
        <f>IF($F1195="","",IF($E1195="",T1195,SUMIF(Sales!$E$7:$E$1506,$E1195,Sales!$T$7:$T$1506)))</f>
        <v/>
      </c>
      <c r="V1195" s="49" t="str">
        <f t="shared" si="15"/>
        <v/>
      </c>
      <c r="W1195" s="49" t="str">
        <f t="array" ref="W1195">IF($V1195="","",SUMPRODUCT((Sales!$V$7:$V$1506&lt;&gt;"")*(Sales!$E$7:$E$1506&lt;$E1195))+1)</f>
        <v/>
      </c>
      <c r="X1195" s="49" t="str">
        <f t="shared" si="16"/>
        <v/>
      </c>
      <c r="Y1195" s="49" t="str">
        <f t="shared" si="17"/>
        <v/>
      </c>
    </row>
    <row r="1196" ht="15.0" customHeight="1">
      <c r="A1196" s="82"/>
      <c r="B1196" s="83"/>
      <c r="C1196" s="83"/>
      <c r="D1196" s="83"/>
      <c r="E1196" s="83"/>
      <c r="F1196" s="83"/>
      <c r="G1196" s="83" t="str">
        <f>IF($F1196="","",IFERROR(VLOOKUP($F1196,Inventory!$A:$B,2,FALSE),""))</f>
        <v/>
      </c>
      <c r="H1196" s="83"/>
      <c r="I1196" s="84" t="str">
        <f t="shared" si="2"/>
        <v/>
      </c>
      <c r="J1196" s="85" t="str">
        <f>IF($F1196="","",IFERROR(VLOOKUP($F1196,Inventory!$A:$K,11,FALSE),0))</f>
        <v/>
      </c>
      <c r="K1196" s="85"/>
      <c r="L1196" s="85" t="str">
        <f t="shared" si="12"/>
        <v/>
      </c>
      <c r="M1196" s="83"/>
      <c r="N1196" s="85" t="str">
        <f>IF($F1196="","",IFERROR(VLOOKUP($F1196,Inventory!$A:$I,9,FALSE),0))</f>
        <v/>
      </c>
      <c r="O1196" s="85" t="str">
        <f t="shared" si="13"/>
        <v/>
      </c>
      <c r="P1196" s="85" t="str">
        <f t="shared" si="5"/>
        <v/>
      </c>
      <c r="Q1196" s="83"/>
      <c r="R1196" s="118" t="str">
        <f>IF($E1196="","",IF(COUNTIF($E$7:$E2393,$E1196)&gt;1,"",IFERROR(VLOOKUP($E1196,Orders!$A:$I,8,FALSE),"")))</f>
        <v/>
      </c>
      <c r="S1196" s="118" t="str">
        <f>IF($E1196="","",IF(COUNTIF($E$7:$E2393,$E1196)&gt;1,"",IFERROR(VLOOKUP($E1196,Orders!$A:$I,9,FALSE),"")))</f>
        <v/>
      </c>
      <c r="T1196" s="88" t="str">
        <f t="shared" si="14"/>
        <v/>
      </c>
      <c r="U1196" s="88" t="str">
        <f>IF($F1196="","",IF($E1196="",T1196,SUMIF(Sales!$E$7:$E$1506,$E1196,Sales!$T$7:$T$1506)))</f>
        <v/>
      </c>
      <c r="V1196" s="49" t="str">
        <f t="shared" si="15"/>
        <v/>
      </c>
      <c r="W1196" s="49" t="str">
        <f t="array" ref="W1196">IF($V1196="","",SUMPRODUCT((Sales!$V$7:$V$1506&lt;&gt;"")*(Sales!$E$7:$E$1506&lt;$E1196))+1)</f>
        <v/>
      </c>
      <c r="X1196" s="49" t="str">
        <f t="shared" si="16"/>
        <v/>
      </c>
      <c r="Y1196" s="49" t="str">
        <f t="shared" si="17"/>
        <v/>
      </c>
    </row>
    <row r="1197" ht="15.0" customHeight="1">
      <c r="A1197" s="82"/>
      <c r="B1197" s="83"/>
      <c r="C1197" s="83"/>
      <c r="D1197" s="83"/>
      <c r="E1197" s="83"/>
      <c r="F1197" s="83"/>
      <c r="G1197" s="83" t="str">
        <f>IF($F1197="","",IFERROR(VLOOKUP($F1197,Inventory!$A:$B,2,FALSE),""))</f>
        <v/>
      </c>
      <c r="H1197" s="83"/>
      <c r="I1197" s="84" t="str">
        <f t="shared" si="2"/>
        <v/>
      </c>
      <c r="J1197" s="85" t="str">
        <f>IF($F1197="","",IFERROR(VLOOKUP($F1197,Inventory!$A:$K,11,FALSE),0))</f>
        <v/>
      </c>
      <c r="K1197" s="85"/>
      <c r="L1197" s="85" t="str">
        <f t="shared" si="12"/>
        <v/>
      </c>
      <c r="M1197" s="83"/>
      <c r="N1197" s="85" t="str">
        <f>IF($F1197="","",IFERROR(VLOOKUP($F1197,Inventory!$A:$I,9,FALSE),0))</f>
        <v/>
      </c>
      <c r="O1197" s="85" t="str">
        <f t="shared" si="13"/>
        <v/>
      </c>
      <c r="P1197" s="85" t="str">
        <f t="shared" si="5"/>
        <v/>
      </c>
      <c r="Q1197" s="83"/>
      <c r="R1197" s="118" t="str">
        <f>IF($E1197="","",IF(COUNTIF($E$7:$E2394,$E1197)&gt;1,"",IFERROR(VLOOKUP($E1197,Orders!$A:$I,8,FALSE),"")))</f>
        <v/>
      </c>
      <c r="S1197" s="118" t="str">
        <f>IF($E1197="","",IF(COUNTIF($E$7:$E2394,$E1197)&gt;1,"",IFERROR(VLOOKUP($E1197,Orders!$A:$I,9,FALSE),"")))</f>
        <v/>
      </c>
      <c r="T1197" s="88" t="str">
        <f t="shared" si="14"/>
        <v/>
      </c>
      <c r="U1197" s="88" t="str">
        <f>IF($F1197="","",IF($E1197="",T1197,SUMIF(Sales!$E$7:$E$1506,$E1197,Sales!$T$7:$T$1506)))</f>
        <v/>
      </c>
      <c r="V1197" s="49" t="str">
        <f t="shared" si="15"/>
        <v/>
      </c>
      <c r="W1197" s="49" t="str">
        <f t="array" ref="W1197">IF($V1197="","",SUMPRODUCT((Sales!$V$7:$V$1506&lt;&gt;"")*(Sales!$E$7:$E$1506&lt;$E1197))+1)</f>
        <v/>
      </c>
      <c r="X1197" s="49" t="str">
        <f t="shared" si="16"/>
        <v/>
      </c>
      <c r="Y1197" s="49" t="str">
        <f t="shared" si="17"/>
        <v/>
      </c>
    </row>
    <row r="1198" ht="15.0" customHeight="1">
      <c r="A1198" s="82"/>
      <c r="B1198" s="83"/>
      <c r="C1198" s="83"/>
      <c r="D1198" s="83"/>
      <c r="E1198" s="83"/>
      <c r="F1198" s="83"/>
      <c r="G1198" s="83" t="str">
        <f>IF($F1198="","",IFERROR(VLOOKUP($F1198,Inventory!$A:$B,2,FALSE),""))</f>
        <v/>
      </c>
      <c r="H1198" s="83"/>
      <c r="I1198" s="84" t="str">
        <f t="shared" si="2"/>
        <v/>
      </c>
      <c r="J1198" s="85" t="str">
        <f>IF($F1198="","",IFERROR(VLOOKUP($F1198,Inventory!$A:$K,11,FALSE),0))</f>
        <v/>
      </c>
      <c r="K1198" s="85"/>
      <c r="L1198" s="85" t="str">
        <f t="shared" si="12"/>
        <v/>
      </c>
      <c r="M1198" s="83"/>
      <c r="N1198" s="85" t="str">
        <f>IF($F1198="","",IFERROR(VLOOKUP($F1198,Inventory!$A:$I,9,FALSE),0))</f>
        <v/>
      </c>
      <c r="O1198" s="85" t="str">
        <f t="shared" si="13"/>
        <v/>
      </c>
      <c r="P1198" s="85" t="str">
        <f t="shared" si="5"/>
        <v/>
      </c>
      <c r="Q1198" s="83"/>
      <c r="R1198" s="118" t="str">
        <f>IF($E1198="","",IF(COUNTIF($E$7:$E2395,$E1198)&gt;1,"",IFERROR(VLOOKUP($E1198,Orders!$A:$I,8,FALSE),"")))</f>
        <v/>
      </c>
      <c r="S1198" s="118" t="str">
        <f>IF($E1198="","",IF(COUNTIF($E$7:$E2395,$E1198)&gt;1,"",IFERROR(VLOOKUP($E1198,Orders!$A:$I,9,FALSE),"")))</f>
        <v/>
      </c>
      <c r="T1198" s="88" t="str">
        <f t="shared" si="14"/>
        <v/>
      </c>
      <c r="U1198" s="88" t="str">
        <f>IF($F1198="","",IF($E1198="",T1198,SUMIF(Sales!$E$7:$E$1506,$E1198,Sales!$T$7:$T$1506)))</f>
        <v/>
      </c>
      <c r="V1198" s="49" t="str">
        <f t="shared" si="15"/>
        <v/>
      </c>
      <c r="W1198" s="49" t="str">
        <f t="array" ref="W1198">IF($V1198="","",SUMPRODUCT((Sales!$V$7:$V$1506&lt;&gt;"")*(Sales!$E$7:$E$1506&lt;$E1198))+1)</f>
        <v/>
      </c>
      <c r="X1198" s="49" t="str">
        <f t="shared" si="16"/>
        <v/>
      </c>
      <c r="Y1198" s="49" t="str">
        <f t="shared" si="17"/>
        <v/>
      </c>
    </row>
    <row r="1199" ht="15.0" customHeight="1">
      <c r="A1199" s="82"/>
      <c r="B1199" s="83"/>
      <c r="C1199" s="83"/>
      <c r="D1199" s="83"/>
      <c r="E1199" s="83"/>
      <c r="F1199" s="83"/>
      <c r="G1199" s="83" t="str">
        <f>IF($F1199="","",IFERROR(VLOOKUP($F1199,Inventory!$A:$B,2,FALSE),""))</f>
        <v/>
      </c>
      <c r="H1199" s="83"/>
      <c r="I1199" s="84" t="str">
        <f t="shared" si="2"/>
        <v/>
      </c>
      <c r="J1199" s="85" t="str">
        <f>IF($F1199="","",IFERROR(VLOOKUP($F1199,Inventory!$A:$K,11,FALSE),0))</f>
        <v/>
      </c>
      <c r="K1199" s="85"/>
      <c r="L1199" s="85" t="str">
        <f t="shared" si="12"/>
        <v/>
      </c>
      <c r="M1199" s="83"/>
      <c r="N1199" s="85" t="str">
        <f>IF($F1199="","",IFERROR(VLOOKUP($F1199,Inventory!$A:$I,9,FALSE),0))</f>
        <v/>
      </c>
      <c r="O1199" s="85" t="str">
        <f t="shared" si="13"/>
        <v/>
      </c>
      <c r="P1199" s="85" t="str">
        <f t="shared" si="5"/>
        <v/>
      </c>
      <c r="Q1199" s="83"/>
      <c r="R1199" s="118" t="str">
        <f>IF($E1199="","",IF(COUNTIF($E$7:$E2396,$E1199)&gt;1,"",IFERROR(VLOOKUP($E1199,Orders!$A:$I,8,FALSE),"")))</f>
        <v/>
      </c>
      <c r="S1199" s="118" t="str">
        <f>IF($E1199="","",IF(COUNTIF($E$7:$E2396,$E1199)&gt;1,"",IFERROR(VLOOKUP($E1199,Orders!$A:$I,9,FALSE),"")))</f>
        <v/>
      </c>
      <c r="T1199" s="88" t="str">
        <f t="shared" si="14"/>
        <v/>
      </c>
      <c r="U1199" s="88" t="str">
        <f>IF($F1199="","",IF($E1199="",T1199,SUMIF(Sales!$E$7:$E$1506,$E1199,Sales!$T$7:$T$1506)))</f>
        <v/>
      </c>
      <c r="V1199" s="49" t="str">
        <f t="shared" si="15"/>
        <v/>
      </c>
      <c r="W1199" s="49" t="str">
        <f t="array" ref="W1199">IF($V1199="","",SUMPRODUCT((Sales!$V$7:$V$1506&lt;&gt;"")*(Sales!$E$7:$E$1506&lt;$E1199))+1)</f>
        <v/>
      </c>
      <c r="X1199" s="49" t="str">
        <f t="shared" si="16"/>
        <v/>
      </c>
      <c r="Y1199" s="49" t="str">
        <f t="shared" si="17"/>
        <v/>
      </c>
    </row>
    <row r="1200" ht="15.0" customHeight="1">
      <c r="A1200" s="82"/>
      <c r="B1200" s="83"/>
      <c r="C1200" s="83"/>
      <c r="D1200" s="83"/>
      <c r="E1200" s="83"/>
      <c r="F1200" s="83"/>
      <c r="G1200" s="83" t="str">
        <f>IF($F1200="","",IFERROR(VLOOKUP($F1200,Inventory!$A:$B,2,FALSE),""))</f>
        <v/>
      </c>
      <c r="H1200" s="83"/>
      <c r="I1200" s="84" t="str">
        <f t="shared" si="2"/>
        <v/>
      </c>
      <c r="J1200" s="85" t="str">
        <f>IF($F1200="","",IFERROR(VLOOKUP($F1200,Inventory!$A:$K,11,FALSE),0))</f>
        <v/>
      </c>
      <c r="K1200" s="85"/>
      <c r="L1200" s="85" t="str">
        <f t="shared" si="12"/>
        <v/>
      </c>
      <c r="M1200" s="83"/>
      <c r="N1200" s="85" t="str">
        <f>IF($F1200="","",IFERROR(VLOOKUP($F1200,Inventory!$A:$I,9,FALSE),0))</f>
        <v/>
      </c>
      <c r="O1200" s="85" t="str">
        <f t="shared" si="13"/>
        <v/>
      </c>
      <c r="P1200" s="85" t="str">
        <f t="shared" si="5"/>
        <v/>
      </c>
      <c r="Q1200" s="83"/>
      <c r="R1200" s="118" t="str">
        <f>IF($E1200="","",IF(COUNTIF($E$7:$E2397,$E1200)&gt;1,"",IFERROR(VLOOKUP($E1200,Orders!$A:$I,8,FALSE),"")))</f>
        <v/>
      </c>
      <c r="S1200" s="118" t="str">
        <f>IF($E1200="","",IF(COUNTIF($E$7:$E2397,$E1200)&gt;1,"",IFERROR(VLOOKUP($E1200,Orders!$A:$I,9,FALSE),"")))</f>
        <v/>
      </c>
      <c r="T1200" s="88" t="str">
        <f t="shared" si="14"/>
        <v/>
      </c>
      <c r="U1200" s="88" t="str">
        <f>IF($F1200="","",IF($E1200="",T1200,SUMIF(Sales!$E$7:$E$1506,$E1200,Sales!$T$7:$T$1506)))</f>
        <v/>
      </c>
      <c r="V1200" s="49" t="str">
        <f t="shared" si="15"/>
        <v/>
      </c>
      <c r="W1200" s="49" t="str">
        <f t="array" ref="W1200">IF($V1200="","",SUMPRODUCT((Sales!$V$7:$V$1506&lt;&gt;"")*(Sales!$E$7:$E$1506&lt;$E1200))+1)</f>
        <v/>
      </c>
      <c r="X1200" s="49" t="str">
        <f t="shared" si="16"/>
        <v/>
      </c>
      <c r="Y1200" s="49" t="str">
        <f t="shared" si="17"/>
        <v/>
      </c>
    </row>
    <row r="1201" ht="15.0" customHeight="1">
      <c r="A1201" s="82"/>
      <c r="B1201" s="83"/>
      <c r="C1201" s="83"/>
      <c r="D1201" s="83"/>
      <c r="E1201" s="83"/>
      <c r="F1201" s="83"/>
      <c r="G1201" s="83" t="str">
        <f>IF($F1201="","",IFERROR(VLOOKUP($F1201,Inventory!$A:$B,2,FALSE),""))</f>
        <v/>
      </c>
      <c r="H1201" s="83"/>
      <c r="I1201" s="84" t="str">
        <f t="shared" si="2"/>
        <v/>
      </c>
      <c r="J1201" s="85" t="str">
        <f>IF($F1201="","",IFERROR(VLOOKUP($F1201,Inventory!$A:$K,11,FALSE),0))</f>
        <v/>
      </c>
      <c r="K1201" s="85"/>
      <c r="L1201" s="85" t="str">
        <f t="shared" si="12"/>
        <v/>
      </c>
      <c r="M1201" s="83"/>
      <c r="N1201" s="85" t="str">
        <f>IF($F1201="","",IFERROR(VLOOKUP($F1201,Inventory!$A:$I,9,FALSE),0))</f>
        <v/>
      </c>
      <c r="O1201" s="85" t="str">
        <f t="shared" si="13"/>
        <v/>
      </c>
      <c r="P1201" s="85" t="str">
        <f t="shared" si="5"/>
        <v/>
      </c>
      <c r="Q1201" s="83"/>
      <c r="R1201" s="118" t="str">
        <f>IF($E1201="","",IF(COUNTIF($E$7:$E2398,$E1201)&gt;1,"",IFERROR(VLOOKUP($E1201,Orders!$A:$I,8,FALSE),"")))</f>
        <v/>
      </c>
      <c r="S1201" s="118" t="str">
        <f>IF($E1201="","",IF(COUNTIF($E$7:$E2398,$E1201)&gt;1,"",IFERROR(VLOOKUP($E1201,Orders!$A:$I,9,FALSE),"")))</f>
        <v/>
      </c>
      <c r="T1201" s="88" t="str">
        <f t="shared" si="14"/>
        <v/>
      </c>
      <c r="U1201" s="88" t="str">
        <f>IF($F1201="","",IF($E1201="",T1201,SUMIF(Sales!$E$7:$E$1506,$E1201,Sales!$T$7:$T$1506)))</f>
        <v/>
      </c>
      <c r="V1201" s="49" t="str">
        <f t="shared" si="15"/>
        <v/>
      </c>
      <c r="W1201" s="49" t="str">
        <f t="array" ref="W1201">IF($V1201="","",SUMPRODUCT((Sales!$V$7:$V$1506&lt;&gt;"")*(Sales!$E$7:$E$1506&lt;$E1201))+1)</f>
        <v/>
      </c>
      <c r="X1201" s="49" t="str">
        <f t="shared" si="16"/>
        <v/>
      </c>
      <c r="Y1201" s="49" t="str">
        <f t="shared" si="17"/>
        <v/>
      </c>
    </row>
    <row r="1202" ht="15.0" customHeight="1">
      <c r="A1202" s="82"/>
      <c r="B1202" s="83"/>
      <c r="C1202" s="83"/>
      <c r="D1202" s="83"/>
      <c r="E1202" s="83"/>
      <c r="F1202" s="83"/>
      <c r="G1202" s="83" t="str">
        <f>IF($F1202="","",IFERROR(VLOOKUP($F1202,Inventory!$A:$B,2,FALSE),""))</f>
        <v/>
      </c>
      <c r="H1202" s="83"/>
      <c r="I1202" s="84" t="str">
        <f t="shared" si="2"/>
        <v/>
      </c>
      <c r="J1202" s="85" t="str">
        <f>IF($F1202="","",IFERROR(VLOOKUP($F1202,Inventory!$A:$K,11,FALSE),0))</f>
        <v/>
      </c>
      <c r="K1202" s="85"/>
      <c r="L1202" s="85" t="str">
        <f t="shared" si="12"/>
        <v/>
      </c>
      <c r="M1202" s="83"/>
      <c r="N1202" s="85" t="str">
        <f>IF($F1202="","",IFERROR(VLOOKUP($F1202,Inventory!$A:$I,9,FALSE),0))</f>
        <v/>
      </c>
      <c r="O1202" s="85" t="str">
        <f t="shared" si="13"/>
        <v/>
      </c>
      <c r="P1202" s="85" t="str">
        <f t="shared" si="5"/>
        <v/>
      </c>
      <c r="Q1202" s="83"/>
      <c r="R1202" s="118" t="str">
        <f>IF($E1202="","",IF(COUNTIF($E$7:$E2399,$E1202)&gt;1,"",IFERROR(VLOOKUP($E1202,Orders!$A:$I,8,FALSE),"")))</f>
        <v/>
      </c>
      <c r="S1202" s="118" t="str">
        <f>IF($E1202="","",IF(COUNTIF($E$7:$E2399,$E1202)&gt;1,"",IFERROR(VLOOKUP($E1202,Orders!$A:$I,9,FALSE),"")))</f>
        <v/>
      </c>
      <c r="T1202" s="88" t="str">
        <f t="shared" si="14"/>
        <v/>
      </c>
      <c r="U1202" s="88" t="str">
        <f>IF($F1202="","",IF($E1202="",T1202,SUMIF(Sales!$E$7:$E$1506,$E1202,Sales!$T$7:$T$1506)))</f>
        <v/>
      </c>
      <c r="V1202" s="49" t="str">
        <f t="shared" si="15"/>
        <v/>
      </c>
      <c r="W1202" s="49" t="str">
        <f t="array" ref="W1202">IF($V1202="","",SUMPRODUCT((Sales!$V$7:$V$1506&lt;&gt;"")*(Sales!$E$7:$E$1506&lt;$E1202))+1)</f>
        <v/>
      </c>
      <c r="X1202" s="49" t="str">
        <f t="shared" si="16"/>
        <v/>
      </c>
      <c r="Y1202" s="49" t="str">
        <f t="shared" si="17"/>
        <v/>
      </c>
    </row>
    <row r="1203" ht="15.0" customHeight="1">
      <c r="A1203" s="82"/>
      <c r="B1203" s="83"/>
      <c r="C1203" s="83"/>
      <c r="D1203" s="83"/>
      <c r="E1203" s="83"/>
      <c r="F1203" s="83"/>
      <c r="G1203" s="83" t="str">
        <f>IF($F1203="","",IFERROR(VLOOKUP($F1203,Inventory!$A:$B,2,FALSE),""))</f>
        <v/>
      </c>
      <c r="H1203" s="83"/>
      <c r="I1203" s="84" t="str">
        <f t="shared" si="2"/>
        <v/>
      </c>
      <c r="J1203" s="85" t="str">
        <f>IF($F1203="","",IFERROR(VLOOKUP($F1203,Inventory!$A:$K,11,FALSE),0))</f>
        <v/>
      </c>
      <c r="K1203" s="85"/>
      <c r="L1203" s="85" t="str">
        <f t="shared" si="12"/>
        <v/>
      </c>
      <c r="M1203" s="83"/>
      <c r="N1203" s="85" t="str">
        <f>IF($F1203="","",IFERROR(VLOOKUP($F1203,Inventory!$A:$I,9,FALSE),0))</f>
        <v/>
      </c>
      <c r="O1203" s="85" t="str">
        <f t="shared" si="13"/>
        <v/>
      </c>
      <c r="P1203" s="85" t="str">
        <f t="shared" si="5"/>
        <v/>
      </c>
      <c r="Q1203" s="83"/>
      <c r="R1203" s="118" t="str">
        <f>IF($E1203="","",IF(COUNTIF($E$7:$E2400,$E1203)&gt;1,"",IFERROR(VLOOKUP($E1203,Orders!$A:$I,8,FALSE),"")))</f>
        <v/>
      </c>
      <c r="S1203" s="118" t="str">
        <f>IF($E1203="","",IF(COUNTIF($E$7:$E2400,$E1203)&gt;1,"",IFERROR(VLOOKUP($E1203,Orders!$A:$I,9,FALSE),"")))</f>
        <v/>
      </c>
      <c r="T1203" s="88" t="str">
        <f t="shared" si="14"/>
        <v/>
      </c>
      <c r="U1203" s="88" t="str">
        <f>IF($F1203="","",IF($E1203="",T1203,SUMIF(Sales!$E$7:$E$1506,$E1203,Sales!$T$7:$T$1506)))</f>
        <v/>
      </c>
      <c r="V1203" s="49" t="str">
        <f t="shared" si="15"/>
        <v/>
      </c>
      <c r="W1203" s="49" t="str">
        <f t="array" ref="W1203">IF($V1203="","",SUMPRODUCT((Sales!$V$7:$V$1506&lt;&gt;"")*(Sales!$E$7:$E$1506&lt;$E1203))+1)</f>
        <v/>
      </c>
      <c r="X1203" s="49" t="str">
        <f t="shared" si="16"/>
        <v/>
      </c>
      <c r="Y1203" s="49" t="str">
        <f t="shared" si="17"/>
        <v/>
      </c>
    </row>
    <row r="1204" ht="15.0" customHeight="1">
      <c r="A1204" s="82"/>
      <c r="B1204" s="83"/>
      <c r="C1204" s="83"/>
      <c r="D1204" s="83"/>
      <c r="E1204" s="83"/>
      <c r="F1204" s="83"/>
      <c r="G1204" s="83" t="str">
        <f>IF($F1204="","",IFERROR(VLOOKUP($F1204,Inventory!$A:$B,2,FALSE),""))</f>
        <v/>
      </c>
      <c r="H1204" s="83"/>
      <c r="I1204" s="84" t="str">
        <f t="shared" si="2"/>
        <v/>
      </c>
      <c r="J1204" s="85" t="str">
        <f>IF($F1204="","",IFERROR(VLOOKUP($F1204,Inventory!$A:$K,11,FALSE),0))</f>
        <v/>
      </c>
      <c r="K1204" s="85"/>
      <c r="L1204" s="85" t="str">
        <f t="shared" si="12"/>
        <v/>
      </c>
      <c r="M1204" s="83"/>
      <c r="N1204" s="85" t="str">
        <f>IF($F1204="","",IFERROR(VLOOKUP($F1204,Inventory!$A:$I,9,FALSE),0))</f>
        <v/>
      </c>
      <c r="O1204" s="85" t="str">
        <f t="shared" si="13"/>
        <v/>
      </c>
      <c r="P1204" s="85" t="str">
        <f t="shared" si="5"/>
        <v/>
      </c>
      <c r="Q1204" s="83"/>
      <c r="R1204" s="118" t="str">
        <f>IF($E1204="","",IF(COUNTIF($E$7:$E2401,$E1204)&gt;1,"",IFERROR(VLOOKUP($E1204,Orders!$A:$I,8,FALSE),"")))</f>
        <v/>
      </c>
      <c r="S1204" s="118" t="str">
        <f>IF($E1204="","",IF(COUNTIF($E$7:$E2401,$E1204)&gt;1,"",IFERROR(VLOOKUP($E1204,Orders!$A:$I,9,FALSE),"")))</f>
        <v/>
      </c>
      <c r="T1204" s="88" t="str">
        <f t="shared" si="14"/>
        <v/>
      </c>
      <c r="U1204" s="88" t="str">
        <f>IF($F1204="","",IF($E1204="",T1204,SUMIF(Sales!$E$7:$E$1506,$E1204,Sales!$T$7:$T$1506)))</f>
        <v/>
      </c>
      <c r="V1204" s="49" t="str">
        <f t="shared" si="15"/>
        <v/>
      </c>
      <c r="W1204" s="49" t="str">
        <f t="array" ref="W1204">IF($V1204="","",SUMPRODUCT((Sales!$V$7:$V$1506&lt;&gt;"")*(Sales!$E$7:$E$1506&lt;$E1204))+1)</f>
        <v/>
      </c>
      <c r="X1204" s="49" t="str">
        <f t="shared" si="16"/>
        <v/>
      </c>
      <c r="Y1204" s="49" t="str">
        <f t="shared" si="17"/>
        <v/>
      </c>
    </row>
    <row r="1205" ht="15.0" customHeight="1">
      <c r="A1205" s="82"/>
      <c r="B1205" s="83"/>
      <c r="C1205" s="83"/>
      <c r="D1205" s="83"/>
      <c r="E1205" s="83"/>
      <c r="F1205" s="83"/>
      <c r="G1205" s="83" t="str">
        <f>IF($F1205="","",IFERROR(VLOOKUP($F1205,Inventory!$A:$B,2,FALSE),""))</f>
        <v/>
      </c>
      <c r="H1205" s="83"/>
      <c r="I1205" s="84" t="str">
        <f t="shared" si="2"/>
        <v/>
      </c>
      <c r="J1205" s="85" t="str">
        <f>IF($F1205="","",IFERROR(VLOOKUP($F1205,Inventory!$A:$K,11,FALSE),0))</f>
        <v/>
      </c>
      <c r="K1205" s="85"/>
      <c r="L1205" s="85" t="str">
        <f t="shared" si="12"/>
        <v/>
      </c>
      <c r="M1205" s="83"/>
      <c r="N1205" s="85" t="str">
        <f>IF($F1205="","",IFERROR(VLOOKUP($F1205,Inventory!$A:$I,9,FALSE),0))</f>
        <v/>
      </c>
      <c r="O1205" s="85" t="str">
        <f t="shared" si="13"/>
        <v/>
      </c>
      <c r="P1205" s="85" t="str">
        <f t="shared" si="5"/>
        <v/>
      </c>
      <c r="Q1205" s="83"/>
      <c r="R1205" s="118" t="str">
        <f>IF($E1205="","",IF(COUNTIF($E$7:$E2402,$E1205)&gt;1,"",IFERROR(VLOOKUP($E1205,Orders!$A:$I,8,FALSE),"")))</f>
        <v/>
      </c>
      <c r="S1205" s="118" t="str">
        <f>IF($E1205="","",IF(COUNTIF($E$7:$E2402,$E1205)&gt;1,"",IFERROR(VLOOKUP($E1205,Orders!$A:$I,9,FALSE),"")))</f>
        <v/>
      </c>
      <c r="T1205" s="88" t="str">
        <f t="shared" si="14"/>
        <v/>
      </c>
      <c r="U1205" s="88" t="str">
        <f>IF($F1205="","",IF($E1205="",T1205,SUMIF(Sales!$E$7:$E$1506,$E1205,Sales!$T$7:$T$1506)))</f>
        <v/>
      </c>
      <c r="V1205" s="49" t="str">
        <f t="shared" si="15"/>
        <v/>
      </c>
      <c r="W1205" s="49" t="str">
        <f t="array" ref="W1205">IF($V1205="","",SUMPRODUCT((Sales!$V$7:$V$1506&lt;&gt;"")*(Sales!$E$7:$E$1506&lt;$E1205))+1)</f>
        <v/>
      </c>
      <c r="X1205" s="49" t="str">
        <f t="shared" si="16"/>
        <v/>
      </c>
      <c r="Y1205" s="49" t="str">
        <f t="shared" si="17"/>
        <v/>
      </c>
    </row>
    <row r="1206" ht="15.0" customHeight="1">
      <c r="A1206" s="82"/>
      <c r="B1206" s="83"/>
      <c r="C1206" s="83"/>
      <c r="D1206" s="83"/>
      <c r="E1206" s="83"/>
      <c r="F1206" s="83"/>
      <c r="G1206" s="83" t="str">
        <f>IF($F1206="","",IFERROR(VLOOKUP($F1206,Inventory!$A:$B,2,FALSE),""))</f>
        <v/>
      </c>
      <c r="H1206" s="83"/>
      <c r="I1206" s="84" t="str">
        <f t="shared" si="2"/>
        <v/>
      </c>
      <c r="J1206" s="85" t="str">
        <f>IF($F1206="","",IFERROR(VLOOKUP($F1206,Inventory!$A:$K,11,FALSE),0))</f>
        <v/>
      </c>
      <c r="K1206" s="85"/>
      <c r="L1206" s="85" t="str">
        <f t="shared" si="12"/>
        <v/>
      </c>
      <c r="M1206" s="83"/>
      <c r="N1206" s="85" t="str">
        <f>IF($F1206="","",IFERROR(VLOOKUP($F1206,Inventory!$A:$I,9,FALSE),0))</f>
        <v/>
      </c>
      <c r="O1206" s="85" t="str">
        <f t="shared" si="13"/>
        <v/>
      </c>
      <c r="P1206" s="85" t="str">
        <f t="shared" si="5"/>
        <v/>
      </c>
      <c r="Q1206" s="83"/>
      <c r="R1206" s="118" t="str">
        <f>IF($E1206="","",IF(COUNTIF($E$7:$E2403,$E1206)&gt;1,"",IFERROR(VLOOKUP($E1206,Orders!$A:$I,8,FALSE),"")))</f>
        <v/>
      </c>
      <c r="S1206" s="118" t="str">
        <f>IF($E1206="","",IF(COUNTIF($E$7:$E2403,$E1206)&gt;1,"",IFERROR(VLOOKUP($E1206,Orders!$A:$I,9,FALSE),"")))</f>
        <v/>
      </c>
      <c r="T1206" s="88" t="str">
        <f t="shared" si="14"/>
        <v/>
      </c>
      <c r="U1206" s="88" t="str">
        <f>IF($F1206="","",IF($E1206="",T1206,SUMIF(Sales!$E$7:$E$1506,$E1206,Sales!$T$7:$T$1506)))</f>
        <v/>
      </c>
      <c r="V1206" s="49" t="str">
        <f t="shared" si="15"/>
        <v/>
      </c>
      <c r="W1206" s="49" t="str">
        <f t="array" ref="W1206">IF($V1206="","",SUMPRODUCT((Sales!$V$7:$V$1506&lt;&gt;"")*(Sales!$E$7:$E$1506&lt;$E1206))+1)</f>
        <v/>
      </c>
      <c r="X1206" s="49" t="str">
        <f t="shared" si="16"/>
        <v/>
      </c>
      <c r="Y1206" s="49" t="str">
        <f t="shared" si="17"/>
        <v/>
      </c>
    </row>
    <row r="1207" ht="15.0" customHeight="1">
      <c r="A1207" s="82"/>
      <c r="B1207" s="83"/>
      <c r="C1207" s="83"/>
      <c r="D1207" s="83"/>
      <c r="E1207" s="83"/>
      <c r="F1207" s="83"/>
      <c r="G1207" s="83" t="str">
        <f>IF($F1207="","",IFERROR(VLOOKUP($F1207,Inventory!$A:$B,2,FALSE),""))</f>
        <v/>
      </c>
      <c r="H1207" s="83"/>
      <c r="I1207" s="84" t="str">
        <f t="shared" si="2"/>
        <v/>
      </c>
      <c r="J1207" s="85" t="str">
        <f>IF($F1207="","",IFERROR(VLOOKUP($F1207,Inventory!$A:$K,11,FALSE),0))</f>
        <v/>
      </c>
      <c r="K1207" s="85"/>
      <c r="L1207" s="85" t="str">
        <f t="shared" si="12"/>
        <v/>
      </c>
      <c r="M1207" s="83"/>
      <c r="N1207" s="85" t="str">
        <f>IF($F1207="","",IFERROR(VLOOKUP($F1207,Inventory!$A:$I,9,FALSE),0))</f>
        <v/>
      </c>
      <c r="O1207" s="85" t="str">
        <f t="shared" si="13"/>
        <v/>
      </c>
      <c r="P1207" s="85" t="str">
        <f t="shared" si="5"/>
        <v/>
      </c>
      <c r="Q1207" s="83"/>
      <c r="R1207" s="118" t="str">
        <f>IF($E1207="","",IF(COUNTIF($E$7:$E2404,$E1207)&gt;1,"",IFERROR(VLOOKUP($E1207,Orders!$A:$I,8,FALSE),"")))</f>
        <v/>
      </c>
      <c r="S1207" s="118" t="str">
        <f>IF($E1207="","",IF(COUNTIF($E$7:$E2404,$E1207)&gt;1,"",IFERROR(VLOOKUP($E1207,Orders!$A:$I,9,FALSE),"")))</f>
        <v/>
      </c>
      <c r="T1207" s="88" t="str">
        <f t="shared" si="14"/>
        <v/>
      </c>
      <c r="U1207" s="88" t="str">
        <f>IF($F1207="","",IF($E1207="",T1207,SUMIF(Sales!$E$7:$E$1506,$E1207,Sales!$T$7:$T$1506)))</f>
        <v/>
      </c>
      <c r="V1207" s="49" t="str">
        <f t="shared" si="15"/>
        <v/>
      </c>
      <c r="W1207" s="49" t="str">
        <f t="array" ref="W1207">IF($V1207="","",SUMPRODUCT((Sales!$V$7:$V$1506&lt;&gt;"")*(Sales!$E$7:$E$1506&lt;$E1207))+1)</f>
        <v/>
      </c>
      <c r="X1207" s="49" t="str">
        <f t="shared" si="16"/>
        <v/>
      </c>
      <c r="Y1207" s="49" t="str">
        <f t="shared" si="17"/>
        <v/>
      </c>
    </row>
    <row r="1208" ht="15.0" customHeight="1">
      <c r="A1208" s="82"/>
      <c r="B1208" s="83"/>
      <c r="C1208" s="83"/>
      <c r="D1208" s="83"/>
      <c r="E1208" s="83"/>
      <c r="F1208" s="83"/>
      <c r="G1208" s="83" t="str">
        <f>IF($F1208="","",IFERROR(VLOOKUP($F1208,Inventory!$A:$B,2,FALSE),""))</f>
        <v/>
      </c>
      <c r="H1208" s="83"/>
      <c r="I1208" s="84" t="str">
        <f t="shared" si="2"/>
        <v/>
      </c>
      <c r="J1208" s="85" t="str">
        <f>IF($F1208="","",IFERROR(VLOOKUP($F1208,Inventory!$A:$K,11,FALSE),0))</f>
        <v/>
      </c>
      <c r="K1208" s="85"/>
      <c r="L1208" s="85" t="str">
        <f t="shared" si="12"/>
        <v/>
      </c>
      <c r="M1208" s="83"/>
      <c r="N1208" s="85" t="str">
        <f>IF($F1208="","",IFERROR(VLOOKUP($F1208,Inventory!$A:$I,9,FALSE),0))</f>
        <v/>
      </c>
      <c r="O1208" s="85" t="str">
        <f t="shared" si="13"/>
        <v/>
      </c>
      <c r="P1208" s="85" t="str">
        <f t="shared" si="5"/>
        <v/>
      </c>
      <c r="Q1208" s="83"/>
      <c r="R1208" s="118" t="str">
        <f>IF($E1208="","",IF(COUNTIF($E$7:$E2405,$E1208)&gt;1,"",IFERROR(VLOOKUP($E1208,Orders!$A:$I,8,FALSE),"")))</f>
        <v/>
      </c>
      <c r="S1208" s="118" t="str">
        <f>IF($E1208="","",IF(COUNTIF($E$7:$E2405,$E1208)&gt;1,"",IFERROR(VLOOKUP($E1208,Orders!$A:$I,9,FALSE),"")))</f>
        <v/>
      </c>
      <c r="T1208" s="88" t="str">
        <f t="shared" si="14"/>
        <v/>
      </c>
      <c r="U1208" s="88" t="str">
        <f>IF($F1208="","",IF($E1208="",T1208,SUMIF(Sales!$E$7:$E$1506,$E1208,Sales!$T$7:$T$1506)))</f>
        <v/>
      </c>
      <c r="V1208" s="49" t="str">
        <f t="shared" si="15"/>
        <v/>
      </c>
      <c r="W1208" s="49" t="str">
        <f t="array" ref="W1208">IF($V1208="","",SUMPRODUCT((Sales!$V$7:$V$1506&lt;&gt;"")*(Sales!$E$7:$E$1506&lt;$E1208))+1)</f>
        <v/>
      </c>
      <c r="X1208" s="49" t="str">
        <f t="shared" si="16"/>
        <v/>
      </c>
      <c r="Y1208" s="49" t="str">
        <f t="shared" si="17"/>
        <v/>
      </c>
    </row>
    <row r="1209" ht="15.0" customHeight="1">
      <c r="A1209" s="82"/>
      <c r="B1209" s="83"/>
      <c r="C1209" s="83"/>
      <c r="D1209" s="83"/>
      <c r="E1209" s="83"/>
      <c r="F1209" s="83"/>
      <c r="G1209" s="83" t="str">
        <f>IF($F1209="","",IFERROR(VLOOKUP($F1209,Inventory!$A:$B,2,FALSE),""))</f>
        <v/>
      </c>
      <c r="H1209" s="83"/>
      <c r="I1209" s="84" t="str">
        <f t="shared" si="2"/>
        <v/>
      </c>
      <c r="J1209" s="85" t="str">
        <f>IF($F1209="","",IFERROR(VLOOKUP($F1209,Inventory!$A:$K,11,FALSE),0))</f>
        <v/>
      </c>
      <c r="K1209" s="85"/>
      <c r="L1209" s="85" t="str">
        <f t="shared" si="12"/>
        <v/>
      </c>
      <c r="M1209" s="83"/>
      <c r="N1209" s="85" t="str">
        <f>IF($F1209="","",IFERROR(VLOOKUP($F1209,Inventory!$A:$I,9,FALSE),0))</f>
        <v/>
      </c>
      <c r="O1209" s="85" t="str">
        <f t="shared" si="13"/>
        <v/>
      </c>
      <c r="P1209" s="85" t="str">
        <f t="shared" si="5"/>
        <v/>
      </c>
      <c r="Q1209" s="83"/>
      <c r="R1209" s="118" t="str">
        <f>IF($E1209="","",IF(COUNTIF($E$7:$E2406,$E1209)&gt;1,"",IFERROR(VLOOKUP($E1209,Orders!$A:$I,8,FALSE),"")))</f>
        <v/>
      </c>
      <c r="S1209" s="118" t="str">
        <f>IF($E1209="","",IF(COUNTIF($E$7:$E2406,$E1209)&gt;1,"",IFERROR(VLOOKUP($E1209,Orders!$A:$I,9,FALSE),"")))</f>
        <v/>
      </c>
      <c r="T1209" s="88" t="str">
        <f t="shared" si="14"/>
        <v/>
      </c>
      <c r="U1209" s="88" t="str">
        <f>IF($F1209="","",IF($E1209="",T1209,SUMIF(Sales!$E$7:$E$1506,$E1209,Sales!$T$7:$T$1506)))</f>
        <v/>
      </c>
      <c r="V1209" s="49" t="str">
        <f t="shared" si="15"/>
        <v/>
      </c>
      <c r="W1209" s="49" t="str">
        <f t="array" ref="W1209">IF($V1209="","",SUMPRODUCT((Sales!$V$7:$V$1506&lt;&gt;"")*(Sales!$E$7:$E$1506&lt;$E1209))+1)</f>
        <v/>
      </c>
      <c r="X1209" s="49" t="str">
        <f t="shared" si="16"/>
        <v/>
      </c>
      <c r="Y1209" s="49" t="str">
        <f t="shared" si="17"/>
        <v/>
      </c>
    </row>
    <row r="1210" ht="15.0" customHeight="1">
      <c r="A1210" s="82"/>
      <c r="B1210" s="83"/>
      <c r="C1210" s="83"/>
      <c r="D1210" s="83"/>
      <c r="E1210" s="83"/>
      <c r="F1210" s="83"/>
      <c r="G1210" s="83" t="str">
        <f>IF($F1210="","",IFERROR(VLOOKUP($F1210,Inventory!$A:$B,2,FALSE),""))</f>
        <v/>
      </c>
      <c r="H1210" s="83"/>
      <c r="I1210" s="84" t="str">
        <f t="shared" si="2"/>
        <v/>
      </c>
      <c r="J1210" s="85" t="str">
        <f>IF($F1210="","",IFERROR(VLOOKUP($F1210,Inventory!$A:$K,11,FALSE),0))</f>
        <v/>
      </c>
      <c r="K1210" s="85"/>
      <c r="L1210" s="85" t="str">
        <f t="shared" si="12"/>
        <v/>
      </c>
      <c r="M1210" s="83"/>
      <c r="N1210" s="85" t="str">
        <f>IF($F1210="","",IFERROR(VLOOKUP($F1210,Inventory!$A:$I,9,FALSE),0))</f>
        <v/>
      </c>
      <c r="O1210" s="85" t="str">
        <f t="shared" si="13"/>
        <v/>
      </c>
      <c r="P1210" s="85" t="str">
        <f t="shared" si="5"/>
        <v/>
      </c>
      <c r="Q1210" s="83"/>
      <c r="R1210" s="118" t="str">
        <f>IF($E1210="","",IF(COUNTIF($E$7:$E2407,$E1210)&gt;1,"",IFERROR(VLOOKUP($E1210,Orders!$A:$I,8,FALSE),"")))</f>
        <v/>
      </c>
      <c r="S1210" s="118" t="str">
        <f>IF($E1210="","",IF(COUNTIF($E$7:$E2407,$E1210)&gt;1,"",IFERROR(VLOOKUP($E1210,Orders!$A:$I,9,FALSE),"")))</f>
        <v/>
      </c>
      <c r="T1210" s="88" t="str">
        <f t="shared" si="14"/>
        <v/>
      </c>
      <c r="U1210" s="88" t="str">
        <f>IF($F1210="","",IF($E1210="",T1210,SUMIF(Sales!$E$7:$E$1506,$E1210,Sales!$T$7:$T$1506)))</f>
        <v/>
      </c>
      <c r="V1210" s="49" t="str">
        <f t="shared" si="15"/>
        <v/>
      </c>
      <c r="W1210" s="49" t="str">
        <f t="array" ref="W1210">IF($V1210="","",SUMPRODUCT((Sales!$V$7:$V$1506&lt;&gt;"")*(Sales!$E$7:$E$1506&lt;$E1210))+1)</f>
        <v/>
      </c>
      <c r="X1210" s="49" t="str">
        <f t="shared" si="16"/>
        <v/>
      </c>
      <c r="Y1210" s="49" t="str">
        <f t="shared" si="17"/>
        <v/>
      </c>
    </row>
    <row r="1211" ht="15.0" customHeight="1">
      <c r="A1211" s="82"/>
      <c r="B1211" s="83"/>
      <c r="C1211" s="83"/>
      <c r="D1211" s="83"/>
      <c r="E1211" s="83"/>
      <c r="F1211" s="83"/>
      <c r="G1211" s="83" t="str">
        <f>IF($F1211="","",IFERROR(VLOOKUP($F1211,Inventory!$A:$B,2,FALSE),""))</f>
        <v/>
      </c>
      <c r="H1211" s="83"/>
      <c r="I1211" s="84" t="str">
        <f t="shared" si="2"/>
        <v/>
      </c>
      <c r="J1211" s="85" t="str">
        <f>IF($F1211="","",IFERROR(VLOOKUP($F1211,Inventory!$A:$K,11,FALSE),0))</f>
        <v/>
      </c>
      <c r="K1211" s="85"/>
      <c r="L1211" s="85" t="str">
        <f t="shared" si="12"/>
        <v/>
      </c>
      <c r="M1211" s="83"/>
      <c r="N1211" s="85" t="str">
        <f>IF($F1211="","",IFERROR(VLOOKUP($F1211,Inventory!$A:$I,9,FALSE),0))</f>
        <v/>
      </c>
      <c r="O1211" s="85" t="str">
        <f t="shared" si="13"/>
        <v/>
      </c>
      <c r="P1211" s="85" t="str">
        <f t="shared" si="5"/>
        <v/>
      </c>
      <c r="Q1211" s="83"/>
      <c r="R1211" s="118" t="str">
        <f>IF($E1211="","",IF(COUNTIF($E$7:$E2408,$E1211)&gt;1,"",IFERROR(VLOOKUP($E1211,Orders!$A:$I,8,FALSE),"")))</f>
        <v/>
      </c>
      <c r="S1211" s="118" t="str">
        <f>IF($E1211="","",IF(COUNTIF($E$7:$E2408,$E1211)&gt;1,"",IFERROR(VLOOKUP($E1211,Orders!$A:$I,9,FALSE),"")))</f>
        <v/>
      </c>
      <c r="T1211" s="88" t="str">
        <f t="shared" si="14"/>
        <v/>
      </c>
      <c r="U1211" s="88" t="str">
        <f>IF($F1211="","",IF($E1211="",T1211,SUMIF(Sales!$E$7:$E$1506,$E1211,Sales!$T$7:$T$1506)))</f>
        <v/>
      </c>
      <c r="V1211" s="49" t="str">
        <f t="shared" si="15"/>
        <v/>
      </c>
      <c r="W1211" s="49" t="str">
        <f t="array" ref="W1211">IF($V1211="","",SUMPRODUCT((Sales!$V$7:$V$1506&lt;&gt;"")*(Sales!$E$7:$E$1506&lt;$E1211))+1)</f>
        <v/>
      </c>
      <c r="X1211" s="49" t="str">
        <f t="shared" si="16"/>
        <v/>
      </c>
      <c r="Y1211" s="49" t="str">
        <f t="shared" si="17"/>
        <v/>
      </c>
    </row>
    <row r="1212" ht="15.0" customHeight="1">
      <c r="A1212" s="82"/>
      <c r="B1212" s="83"/>
      <c r="C1212" s="83"/>
      <c r="D1212" s="83"/>
      <c r="E1212" s="83"/>
      <c r="F1212" s="83"/>
      <c r="G1212" s="83" t="str">
        <f>IF($F1212="","",IFERROR(VLOOKUP($F1212,Inventory!$A:$B,2,FALSE),""))</f>
        <v/>
      </c>
      <c r="H1212" s="83"/>
      <c r="I1212" s="84" t="str">
        <f t="shared" si="2"/>
        <v/>
      </c>
      <c r="J1212" s="85" t="str">
        <f>IF($F1212="","",IFERROR(VLOOKUP($F1212,Inventory!$A:$K,11,FALSE),0))</f>
        <v/>
      </c>
      <c r="K1212" s="85"/>
      <c r="L1212" s="85" t="str">
        <f t="shared" si="12"/>
        <v/>
      </c>
      <c r="M1212" s="83"/>
      <c r="N1212" s="85" t="str">
        <f>IF($F1212="","",IFERROR(VLOOKUP($F1212,Inventory!$A:$I,9,FALSE),0))</f>
        <v/>
      </c>
      <c r="O1212" s="85" t="str">
        <f t="shared" si="13"/>
        <v/>
      </c>
      <c r="P1212" s="85" t="str">
        <f t="shared" si="5"/>
        <v/>
      </c>
      <c r="Q1212" s="83"/>
      <c r="R1212" s="118" t="str">
        <f>IF($E1212="","",IF(COUNTIF($E$7:$E2409,$E1212)&gt;1,"",IFERROR(VLOOKUP($E1212,Orders!$A:$I,8,FALSE),"")))</f>
        <v/>
      </c>
      <c r="S1212" s="118" t="str">
        <f>IF($E1212="","",IF(COUNTIF($E$7:$E2409,$E1212)&gt;1,"",IFERROR(VLOOKUP($E1212,Orders!$A:$I,9,FALSE),"")))</f>
        <v/>
      </c>
      <c r="T1212" s="88" t="str">
        <f t="shared" si="14"/>
        <v/>
      </c>
      <c r="U1212" s="88" t="str">
        <f>IF($F1212="","",IF($E1212="",T1212,SUMIF(Sales!$E$7:$E$1506,$E1212,Sales!$T$7:$T$1506)))</f>
        <v/>
      </c>
      <c r="V1212" s="49" t="str">
        <f t="shared" si="15"/>
        <v/>
      </c>
      <c r="W1212" s="49" t="str">
        <f t="array" ref="W1212">IF($V1212="","",SUMPRODUCT((Sales!$V$7:$V$1506&lt;&gt;"")*(Sales!$E$7:$E$1506&lt;$E1212))+1)</f>
        <v/>
      </c>
      <c r="X1212" s="49" t="str">
        <f t="shared" si="16"/>
        <v/>
      </c>
      <c r="Y1212" s="49" t="str">
        <f t="shared" si="17"/>
        <v/>
      </c>
    </row>
    <row r="1213" ht="15.0" customHeight="1">
      <c r="A1213" s="82"/>
      <c r="B1213" s="83"/>
      <c r="C1213" s="83"/>
      <c r="D1213" s="83"/>
      <c r="E1213" s="83"/>
      <c r="F1213" s="83"/>
      <c r="G1213" s="83" t="str">
        <f>IF($F1213="","",IFERROR(VLOOKUP($F1213,Inventory!$A:$B,2,FALSE),""))</f>
        <v/>
      </c>
      <c r="H1213" s="83"/>
      <c r="I1213" s="84" t="str">
        <f t="shared" si="2"/>
        <v/>
      </c>
      <c r="J1213" s="85" t="str">
        <f>IF($F1213="","",IFERROR(VLOOKUP($F1213,Inventory!$A:$K,11,FALSE),0))</f>
        <v/>
      </c>
      <c r="K1213" s="85"/>
      <c r="L1213" s="85" t="str">
        <f t="shared" si="12"/>
        <v/>
      </c>
      <c r="M1213" s="83"/>
      <c r="N1213" s="85" t="str">
        <f>IF($F1213="","",IFERROR(VLOOKUP($F1213,Inventory!$A:$I,9,FALSE),0))</f>
        <v/>
      </c>
      <c r="O1213" s="85" t="str">
        <f t="shared" si="13"/>
        <v/>
      </c>
      <c r="P1213" s="85" t="str">
        <f t="shared" si="5"/>
        <v/>
      </c>
      <c r="Q1213" s="83"/>
      <c r="R1213" s="118" t="str">
        <f>IF($E1213="","",IF(COUNTIF($E$7:$E2410,$E1213)&gt;1,"",IFERROR(VLOOKUP($E1213,Orders!$A:$I,8,FALSE),"")))</f>
        <v/>
      </c>
      <c r="S1213" s="118" t="str">
        <f>IF($E1213="","",IF(COUNTIF($E$7:$E2410,$E1213)&gt;1,"",IFERROR(VLOOKUP($E1213,Orders!$A:$I,9,FALSE),"")))</f>
        <v/>
      </c>
      <c r="T1213" s="88" t="str">
        <f t="shared" si="14"/>
        <v/>
      </c>
      <c r="U1213" s="88" t="str">
        <f>IF($F1213="","",IF($E1213="",T1213,SUMIF(Sales!$E$7:$E$1506,$E1213,Sales!$T$7:$T$1506)))</f>
        <v/>
      </c>
      <c r="V1213" s="49" t="str">
        <f t="shared" si="15"/>
        <v/>
      </c>
      <c r="W1213" s="49" t="str">
        <f t="array" ref="W1213">IF($V1213="","",SUMPRODUCT((Sales!$V$7:$V$1506&lt;&gt;"")*(Sales!$E$7:$E$1506&lt;$E1213))+1)</f>
        <v/>
      </c>
      <c r="X1213" s="49" t="str">
        <f t="shared" si="16"/>
        <v/>
      </c>
      <c r="Y1213" s="49" t="str">
        <f t="shared" si="17"/>
        <v/>
      </c>
    </row>
    <row r="1214" ht="15.0" customHeight="1">
      <c r="A1214" s="82"/>
      <c r="B1214" s="83"/>
      <c r="C1214" s="83"/>
      <c r="D1214" s="83"/>
      <c r="E1214" s="83"/>
      <c r="F1214" s="83"/>
      <c r="G1214" s="83" t="str">
        <f>IF($F1214="","",IFERROR(VLOOKUP($F1214,Inventory!$A:$B,2,FALSE),""))</f>
        <v/>
      </c>
      <c r="H1214" s="83"/>
      <c r="I1214" s="84" t="str">
        <f t="shared" si="2"/>
        <v/>
      </c>
      <c r="J1214" s="85" t="str">
        <f>IF($F1214="","",IFERROR(VLOOKUP($F1214,Inventory!$A:$K,11,FALSE),0))</f>
        <v/>
      </c>
      <c r="K1214" s="85"/>
      <c r="L1214" s="85" t="str">
        <f t="shared" si="12"/>
        <v/>
      </c>
      <c r="M1214" s="83"/>
      <c r="N1214" s="85" t="str">
        <f>IF($F1214="","",IFERROR(VLOOKUP($F1214,Inventory!$A:$I,9,FALSE),0))</f>
        <v/>
      </c>
      <c r="O1214" s="85" t="str">
        <f t="shared" si="13"/>
        <v/>
      </c>
      <c r="P1214" s="85" t="str">
        <f t="shared" si="5"/>
        <v/>
      </c>
      <c r="Q1214" s="83"/>
      <c r="R1214" s="118" t="str">
        <f>IF($E1214="","",IF(COUNTIF($E$7:$E2411,$E1214)&gt;1,"",IFERROR(VLOOKUP($E1214,Orders!$A:$I,8,FALSE),"")))</f>
        <v/>
      </c>
      <c r="S1214" s="118" t="str">
        <f>IF($E1214="","",IF(COUNTIF($E$7:$E2411,$E1214)&gt;1,"",IFERROR(VLOOKUP($E1214,Orders!$A:$I,9,FALSE),"")))</f>
        <v/>
      </c>
      <c r="T1214" s="88" t="str">
        <f t="shared" si="14"/>
        <v/>
      </c>
      <c r="U1214" s="88" t="str">
        <f>IF($F1214="","",IF($E1214="",T1214,SUMIF(Sales!$E$7:$E$1506,$E1214,Sales!$T$7:$T$1506)))</f>
        <v/>
      </c>
      <c r="V1214" s="49" t="str">
        <f t="shared" si="15"/>
        <v/>
      </c>
      <c r="W1214" s="49" t="str">
        <f t="array" ref="W1214">IF($V1214="","",SUMPRODUCT((Sales!$V$7:$V$1506&lt;&gt;"")*(Sales!$E$7:$E$1506&lt;$E1214))+1)</f>
        <v/>
      </c>
      <c r="X1214" s="49" t="str">
        <f t="shared" si="16"/>
        <v/>
      </c>
      <c r="Y1214" s="49" t="str">
        <f t="shared" si="17"/>
        <v/>
      </c>
    </row>
    <row r="1215" ht="15.0" customHeight="1">
      <c r="A1215" s="82"/>
      <c r="B1215" s="83"/>
      <c r="C1215" s="83"/>
      <c r="D1215" s="83"/>
      <c r="E1215" s="83"/>
      <c r="F1215" s="83"/>
      <c r="G1215" s="83" t="str">
        <f>IF($F1215="","",IFERROR(VLOOKUP($F1215,Inventory!$A:$B,2,FALSE),""))</f>
        <v/>
      </c>
      <c r="H1215" s="83"/>
      <c r="I1215" s="84" t="str">
        <f t="shared" si="2"/>
        <v/>
      </c>
      <c r="J1215" s="85" t="str">
        <f>IF($F1215="","",IFERROR(VLOOKUP($F1215,Inventory!$A:$K,11,FALSE),0))</f>
        <v/>
      </c>
      <c r="K1215" s="85"/>
      <c r="L1215" s="85" t="str">
        <f t="shared" si="12"/>
        <v/>
      </c>
      <c r="M1215" s="83"/>
      <c r="N1215" s="85" t="str">
        <f>IF($F1215="","",IFERROR(VLOOKUP($F1215,Inventory!$A:$I,9,FALSE),0))</f>
        <v/>
      </c>
      <c r="O1215" s="85" t="str">
        <f t="shared" si="13"/>
        <v/>
      </c>
      <c r="P1215" s="85" t="str">
        <f t="shared" si="5"/>
        <v/>
      </c>
      <c r="Q1215" s="83"/>
      <c r="R1215" s="118" t="str">
        <f>IF($E1215="","",IF(COUNTIF($E$7:$E2412,$E1215)&gt;1,"",IFERROR(VLOOKUP($E1215,Orders!$A:$I,8,FALSE),"")))</f>
        <v/>
      </c>
      <c r="S1215" s="118" t="str">
        <f>IF($E1215="","",IF(COUNTIF($E$7:$E2412,$E1215)&gt;1,"",IFERROR(VLOOKUP($E1215,Orders!$A:$I,9,FALSE),"")))</f>
        <v/>
      </c>
      <c r="T1215" s="88" t="str">
        <f t="shared" si="14"/>
        <v/>
      </c>
      <c r="U1215" s="88" t="str">
        <f>IF($F1215="","",IF($E1215="",T1215,SUMIF(Sales!$E$7:$E$1506,$E1215,Sales!$T$7:$T$1506)))</f>
        <v/>
      </c>
      <c r="V1215" s="49" t="str">
        <f t="shared" si="15"/>
        <v/>
      </c>
      <c r="W1215" s="49" t="str">
        <f t="array" ref="W1215">IF($V1215="","",SUMPRODUCT((Sales!$V$7:$V$1506&lt;&gt;"")*(Sales!$E$7:$E$1506&lt;$E1215))+1)</f>
        <v/>
      </c>
      <c r="X1215" s="49" t="str">
        <f t="shared" si="16"/>
        <v/>
      </c>
      <c r="Y1215" s="49" t="str">
        <f t="shared" si="17"/>
        <v/>
      </c>
    </row>
    <row r="1216" ht="15.0" customHeight="1">
      <c r="A1216" s="82"/>
      <c r="B1216" s="83"/>
      <c r="C1216" s="83"/>
      <c r="D1216" s="83"/>
      <c r="E1216" s="83"/>
      <c r="F1216" s="83"/>
      <c r="G1216" s="83" t="str">
        <f>IF($F1216="","",IFERROR(VLOOKUP($F1216,Inventory!$A:$B,2,FALSE),""))</f>
        <v/>
      </c>
      <c r="H1216" s="83"/>
      <c r="I1216" s="84" t="str">
        <f t="shared" si="2"/>
        <v/>
      </c>
      <c r="J1216" s="85" t="str">
        <f>IF($F1216="","",IFERROR(VLOOKUP($F1216,Inventory!$A:$K,11,FALSE),0))</f>
        <v/>
      </c>
      <c r="K1216" s="85"/>
      <c r="L1216" s="85" t="str">
        <f t="shared" si="12"/>
        <v/>
      </c>
      <c r="M1216" s="83"/>
      <c r="N1216" s="85" t="str">
        <f>IF($F1216="","",IFERROR(VLOOKUP($F1216,Inventory!$A:$I,9,FALSE),0))</f>
        <v/>
      </c>
      <c r="O1216" s="85" t="str">
        <f t="shared" si="13"/>
        <v/>
      </c>
      <c r="P1216" s="85" t="str">
        <f t="shared" si="5"/>
        <v/>
      </c>
      <c r="Q1216" s="83"/>
      <c r="R1216" s="118" t="str">
        <f>IF($E1216="","",IF(COUNTIF($E$7:$E2413,$E1216)&gt;1,"",IFERROR(VLOOKUP($E1216,Orders!$A:$I,8,FALSE),"")))</f>
        <v/>
      </c>
      <c r="S1216" s="118" t="str">
        <f>IF($E1216="","",IF(COUNTIF($E$7:$E2413,$E1216)&gt;1,"",IFERROR(VLOOKUP($E1216,Orders!$A:$I,9,FALSE),"")))</f>
        <v/>
      </c>
      <c r="T1216" s="88" t="str">
        <f t="shared" si="14"/>
        <v/>
      </c>
      <c r="U1216" s="88" t="str">
        <f>IF($F1216="","",IF($E1216="",T1216,SUMIF(Sales!$E$7:$E$1506,$E1216,Sales!$T$7:$T$1506)))</f>
        <v/>
      </c>
      <c r="V1216" s="49" t="str">
        <f t="shared" si="15"/>
        <v/>
      </c>
      <c r="W1216" s="49" t="str">
        <f t="array" ref="W1216">IF($V1216="","",SUMPRODUCT((Sales!$V$7:$V$1506&lt;&gt;"")*(Sales!$E$7:$E$1506&lt;$E1216))+1)</f>
        <v/>
      </c>
      <c r="X1216" s="49" t="str">
        <f t="shared" si="16"/>
        <v/>
      </c>
      <c r="Y1216" s="49" t="str">
        <f t="shared" si="17"/>
        <v/>
      </c>
    </row>
    <row r="1217" ht="15.0" customHeight="1">
      <c r="A1217" s="82"/>
      <c r="B1217" s="83"/>
      <c r="C1217" s="83"/>
      <c r="D1217" s="83"/>
      <c r="E1217" s="83"/>
      <c r="F1217" s="83"/>
      <c r="G1217" s="83" t="str">
        <f>IF($F1217="","",IFERROR(VLOOKUP($F1217,Inventory!$A:$B,2,FALSE),""))</f>
        <v/>
      </c>
      <c r="H1217" s="83"/>
      <c r="I1217" s="84" t="str">
        <f t="shared" si="2"/>
        <v/>
      </c>
      <c r="J1217" s="85" t="str">
        <f>IF($F1217="","",IFERROR(VLOOKUP($F1217,Inventory!$A:$K,11,FALSE),0))</f>
        <v/>
      </c>
      <c r="K1217" s="85"/>
      <c r="L1217" s="85" t="str">
        <f t="shared" si="12"/>
        <v/>
      </c>
      <c r="M1217" s="83"/>
      <c r="N1217" s="85" t="str">
        <f>IF($F1217="","",IFERROR(VLOOKUP($F1217,Inventory!$A:$I,9,FALSE),0))</f>
        <v/>
      </c>
      <c r="O1217" s="85" t="str">
        <f t="shared" si="13"/>
        <v/>
      </c>
      <c r="P1217" s="85" t="str">
        <f t="shared" si="5"/>
        <v/>
      </c>
      <c r="Q1217" s="83"/>
      <c r="R1217" s="118" t="str">
        <f>IF($E1217="","",IF(COUNTIF($E$7:$E2414,$E1217)&gt;1,"",IFERROR(VLOOKUP($E1217,Orders!$A:$I,8,FALSE),"")))</f>
        <v/>
      </c>
      <c r="S1217" s="118" t="str">
        <f>IF($E1217="","",IF(COUNTIF($E$7:$E2414,$E1217)&gt;1,"",IFERROR(VLOOKUP($E1217,Orders!$A:$I,9,FALSE),"")))</f>
        <v/>
      </c>
      <c r="T1217" s="88" t="str">
        <f t="shared" si="14"/>
        <v/>
      </c>
      <c r="U1217" s="88" t="str">
        <f>IF($F1217="","",IF($E1217="",T1217,SUMIF(Sales!$E$7:$E$1506,$E1217,Sales!$T$7:$T$1506)))</f>
        <v/>
      </c>
      <c r="V1217" s="49" t="str">
        <f t="shared" si="15"/>
        <v/>
      </c>
      <c r="W1217" s="49" t="str">
        <f t="array" ref="W1217">IF($V1217="","",SUMPRODUCT((Sales!$V$7:$V$1506&lt;&gt;"")*(Sales!$E$7:$E$1506&lt;$E1217))+1)</f>
        <v/>
      </c>
      <c r="X1217" s="49" t="str">
        <f t="shared" si="16"/>
        <v/>
      </c>
      <c r="Y1217" s="49" t="str">
        <f t="shared" si="17"/>
        <v/>
      </c>
    </row>
    <row r="1218" ht="15.0" customHeight="1">
      <c r="A1218" s="82"/>
      <c r="B1218" s="83"/>
      <c r="C1218" s="83"/>
      <c r="D1218" s="83"/>
      <c r="E1218" s="83"/>
      <c r="F1218" s="83"/>
      <c r="G1218" s="83" t="str">
        <f>IF($F1218="","",IFERROR(VLOOKUP($F1218,Inventory!$A:$B,2,FALSE),""))</f>
        <v/>
      </c>
      <c r="H1218" s="83"/>
      <c r="I1218" s="84" t="str">
        <f t="shared" si="2"/>
        <v/>
      </c>
      <c r="J1218" s="85" t="str">
        <f>IF($F1218="","",IFERROR(VLOOKUP($F1218,Inventory!$A:$K,11,FALSE),0))</f>
        <v/>
      </c>
      <c r="K1218" s="85"/>
      <c r="L1218" s="85" t="str">
        <f t="shared" si="12"/>
        <v/>
      </c>
      <c r="M1218" s="83"/>
      <c r="N1218" s="85" t="str">
        <f>IF($F1218="","",IFERROR(VLOOKUP($F1218,Inventory!$A:$I,9,FALSE),0))</f>
        <v/>
      </c>
      <c r="O1218" s="85" t="str">
        <f t="shared" si="13"/>
        <v/>
      </c>
      <c r="P1218" s="85" t="str">
        <f t="shared" si="5"/>
        <v/>
      </c>
      <c r="Q1218" s="83"/>
      <c r="R1218" s="118" t="str">
        <f>IF($E1218="","",IF(COUNTIF($E$7:$E2415,$E1218)&gt;1,"",IFERROR(VLOOKUP($E1218,Orders!$A:$I,8,FALSE),"")))</f>
        <v/>
      </c>
      <c r="S1218" s="118" t="str">
        <f>IF($E1218="","",IF(COUNTIF($E$7:$E2415,$E1218)&gt;1,"",IFERROR(VLOOKUP($E1218,Orders!$A:$I,9,FALSE),"")))</f>
        <v/>
      </c>
      <c r="T1218" s="88" t="str">
        <f t="shared" si="14"/>
        <v/>
      </c>
      <c r="U1218" s="88" t="str">
        <f>IF($F1218="","",IF($E1218="",T1218,SUMIF(Sales!$E$7:$E$1506,$E1218,Sales!$T$7:$T$1506)))</f>
        <v/>
      </c>
      <c r="V1218" s="49" t="str">
        <f t="shared" si="15"/>
        <v/>
      </c>
      <c r="W1218" s="49" t="str">
        <f t="array" ref="W1218">IF($V1218="","",SUMPRODUCT((Sales!$V$7:$V$1506&lt;&gt;"")*(Sales!$E$7:$E$1506&lt;$E1218))+1)</f>
        <v/>
      </c>
      <c r="X1218" s="49" t="str">
        <f t="shared" si="16"/>
        <v/>
      </c>
      <c r="Y1218" s="49" t="str">
        <f t="shared" si="17"/>
        <v/>
      </c>
    </row>
    <row r="1219" ht="15.0" customHeight="1">
      <c r="A1219" s="82"/>
      <c r="B1219" s="83"/>
      <c r="C1219" s="83"/>
      <c r="D1219" s="83"/>
      <c r="E1219" s="83"/>
      <c r="F1219" s="83"/>
      <c r="G1219" s="83" t="str">
        <f>IF($F1219="","",IFERROR(VLOOKUP($F1219,Inventory!$A:$B,2,FALSE),""))</f>
        <v/>
      </c>
      <c r="H1219" s="83"/>
      <c r="I1219" s="84" t="str">
        <f t="shared" si="2"/>
        <v/>
      </c>
      <c r="J1219" s="85" t="str">
        <f>IF($F1219="","",IFERROR(VLOOKUP($F1219,Inventory!$A:$K,11,FALSE),0))</f>
        <v/>
      </c>
      <c r="K1219" s="85"/>
      <c r="L1219" s="85" t="str">
        <f t="shared" si="12"/>
        <v/>
      </c>
      <c r="M1219" s="83"/>
      <c r="N1219" s="85" t="str">
        <f>IF($F1219="","",IFERROR(VLOOKUP($F1219,Inventory!$A:$I,9,FALSE),0))</f>
        <v/>
      </c>
      <c r="O1219" s="85" t="str">
        <f t="shared" si="13"/>
        <v/>
      </c>
      <c r="P1219" s="85" t="str">
        <f t="shared" si="5"/>
        <v/>
      </c>
      <c r="Q1219" s="83"/>
      <c r="R1219" s="118" t="str">
        <f>IF($E1219="","",IF(COUNTIF($E$7:$E2416,$E1219)&gt;1,"",IFERROR(VLOOKUP($E1219,Orders!$A:$I,8,FALSE),"")))</f>
        <v/>
      </c>
      <c r="S1219" s="118" t="str">
        <f>IF($E1219="","",IF(COUNTIF($E$7:$E2416,$E1219)&gt;1,"",IFERROR(VLOOKUP($E1219,Orders!$A:$I,9,FALSE),"")))</f>
        <v/>
      </c>
      <c r="T1219" s="88" t="str">
        <f t="shared" si="14"/>
        <v/>
      </c>
      <c r="U1219" s="88" t="str">
        <f>IF($F1219="","",IF($E1219="",T1219,SUMIF(Sales!$E$7:$E$1506,$E1219,Sales!$T$7:$T$1506)))</f>
        <v/>
      </c>
      <c r="V1219" s="49" t="str">
        <f t="shared" si="15"/>
        <v/>
      </c>
      <c r="W1219" s="49" t="str">
        <f t="array" ref="W1219">IF($V1219="","",SUMPRODUCT((Sales!$V$7:$V$1506&lt;&gt;"")*(Sales!$E$7:$E$1506&lt;$E1219))+1)</f>
        <v/>
      </c>
      <c r="X1219" s="49" t="str">
        <f t="shared" si="16"/>
        <v/>
      </c>
      <c r="Y1219" s="49" t="str">
        <f t="shared" si="17"/>
        <v/>
      </c>
    </row>
    <row r="1220" ht="15.0" customHeight="1">
      <c r="A1220" s="82"/>
      <c r="B1220" s="83"/>
      <c r="C1220" s="83"/>
      <c r="D1220" s="83"/>
      <c r="E1220" s="83"/>
      <c r="F1220" s="83"/>
      <c r="G1220" s="83" t="str">
        <f>IF($F1220="","",IFERROR(VLOOKUP($F1220,Inventory!$A:$B,2,FALSE),""))</f>
        <v/>
      </c>
      <c r="H1220" s="83"/>
      <c r="I1220" s="84" t="str">
        <f t="shared" si="2"/>
        <v/>
      </c>
      <c r="J1220" s="85" t="str">
        <f>IF($F1220="","",IFERROR(VLOOKUP($F1220,Inventory!$A:$K,11,FALSE),0))</f>
        <v/>
      </c>
      <c r="K1220" s="85"/>
      <c r="L1220" s="85" t="str">
        <f t="shared" si="12"/>
        <v/>
      </c>
      <c r="M1220" s="83"/>
      <c r="N1220" s="85" t="str">
        <f>IF($F1220="","",IFERROR(VLOOKUP($F1220,Inventory!$A:$I,9,FALSE),0))</f>
        <v/>
      </c>
      <c r="O1220" s="85" t="str">
        <f t="shared" si="13"/>
        <v/>
      </c>
      <c r="P1220" s="85" t="str">
        <f t="shared" si="5"/>
        <v/>
      </c>
      <c r="Q1220" s="83"/>
      <c r="R1220" s="118" t="str">
        <f>IF($E1220="","",IF(COUNTIF($E$7:$E2417,$E1220)&gt;1,"",IFERROR(VLOOKUP($E1220,Orders!$A:$I,8,FALSE),"")))</f>
        <v/>
      </c>
      <c r="S1220" s="118" t="str">
        <f>IF($E1220="","",IF(COUNTIF($E$7:$E2417,$E1220)&gt;1,"",IFERROR(VLOOKUP($E1220,Orders!$A:$I,9,FALSE),"")))</f>
        <v/>
      </c>
      <c r="T1220" s="88" t="str">
        <f t="shared" si="14"/>
        <v/>
      </c>
      <c r="U1220" s="88" t="str">
        <f>IF($F1220="","",IF($E1220="",T1220,SUMIF(Sales!$E$7:$E$1506,$E1220,Sales!$T$7:$T$1506)))</f>
        <v/>
      </c>
      <c r="V1220" s="49" t="str">
        <f t="shared" si="15"/>
        <v/>
      </c>
      <c r="W1220" s="49" t="str">
        <f t="array" ref="W1220">IF($V1220="","",SUMPRODUCT((Sales!$V$7:$V$1506&lt;&gt;"")*(Sales!$E$7:$E$1506&lt;$E1220))+1)</f>
        <v/>
      </c>
      <c r="X1220" s="49" t="str">
        <f t="shared" si="16"/>
        <v/>
      </c>
      <c r="Y1220" s="49" t="str">
        <f t="shared" si="17"/>
        <v/>
      </c>
    </row>
    <row r="1221" ht="15.0" customHeight="1">
      <c r="A1221" s="82"/>
      <c r="B1221" s="83"/>
      <c r="C1221" s="83"/>
      <c r="D1221" s="83"/>
      <c r="E1221" s="83"/>
      <c r="F1221" s="83"/>
      <c r="G1221" s="83" t="str">
        <f>IF($F1221="","",IFERROR(VLOOKUP($F1221,Inventory!$A:$B,2,FALSE),""))</f>
        <v/>
      </c>
      <c r="H1221" s="83"/>
      <c r="I1221" s="84" t="str">
        <f t="shared" si="2"/>
        <v/>
      </c>
      <c r="J1221" s="85" t="str">
        <f>IF($F1221="","",IFERROR(VLOOKUP($F1221,Inventory!$A:$K,11,FALSE),0))</f>
        <v/>
      </c>
      <c r="K1221" s="85"/>
      <c r="L1221" s="85" t="str">
        <f t="shared" si="12"/>
        <v/>
      </c>
      <c r="M1221" s="83"/>
      <c r="N1221" s="85" t="str">
        <f>IF($F1221="","",IFERROR(VLOOKUP($F1221,Inventory!$A:$I,9,FALSE),0))</f>
        <v/>
      </c>
      <c r="O1221" s="85" t="str">
        <f t="shared" si="13"/>
        <v/>
      </c>
      <c r="P1221" s="85" t="str">
        <f t="shared" si="5"/>
        <v/>
      </c>
      <c r="Q1221" s="83"/>
      <c r="R1221" s="118" t="str">
        <f>IF($E1221="","",IF(COUNTIF($E$7:$E2418,$E1221)&gt;1,"",IFERROR(VLOOKUP($E1221,Orders!$A:$I,8,FALSE),"")))</f>
        <v/>
      </c>
      <c r="S1221" s="118" t="str">
        <f>IF($E1221="","",IF(COUNTIF($E$7:$E2418,$E1221)&gt;1,"",IFERROR(VLOOKUP($E1221,Orders!$A:$I,9,FALSE),"")))</f>
        <v/>
      </c>
      <c r="T1221" s="88" t="str">
        <f t="shared" si="14"/>
        <v/>
      </c>
      <c r="U1221" s="88" t="str">
        <f>IF($F1221="","",IF($E1221="",T1221,SUMIF(Sales!$E$7:$E$1506,$E1221,Sales!$T$7:$T$1506)))</f>
        <v/>
      </c>
      <c r="V1221" s="49" t="str">
        <f t="shared" si="15"/>
        <v/>
      </c>
      <c r="W1221" s="49" t="str">
        <f t="array" ref="W1221">IF($V1221="","",SUMPRODUCT((Sales!$V$7:$V$1506&lt;&gt;"")*(Sales!$E$7:$E$1506&lt;$E1221))+1)</f>
        <v/>
      </c>
      <c r="X1221" s="49" t="str">
        <f t="shared" si="16"/>
        <v/>
      </c>
      <c r="Y1221" s="49" t="str">
        <f t="shared" si="17"/>
        <v/>
      </c>
    </row>
    <row r="1222" ht="15.0" customHeight="1">
      <c r="A1222" s="82"/>
      <c r="B1222" s="83"/>
      <c r="C1222" s="83"/>
      <c r="D1222" s="83"/>
      <c r="E1222" s="83"/>
      <c r="F1222" s="83"/>
      <c r="G1222" s="83" t="str">
        <f>IF($F1222="","",IFERROR(VLOOKUP($F1222,Inventory!$A:$B,2,FALSE),""))</f>
        <v/>
      </c>
      <c r="H1222" s="83"/>
      <c r="I1222" s="84" t="str">
        <f t="shared" si="2"/>
        <v/>
      </c>
      <c r="J1222" s="85" t="str">
        <f>IF($F1222="","",IFERROR(VLOOKUP($F1222,Inventory!$A:$K,11,FALSE),0))</f>
        <v/>
      </c>
      <c r="K1222" s="85"/>
      <c r="L1222" s="85" t="str">
        <f t="shared" si="12"/>
        <v/>
      </c>
      <c r="M1222" s="83"/>
      <c r="N1222" s="85" t="str">
        <f>IF($F1222="","",IFERROR(VLOOKUP($F1222,Inventory!$A:$I,9,FALSE),0))</f>
        <v/>
      </c>
      <c r="O1222" s="85" t="str">
        <f t="shared" si="13"/>
        <v/>
      </c>
      <c r="P1222" s="85" t="str">
        <f t="shared" si="5"/>
        <v/>
      </c>
      <c r="Q1222" s="83"/>
      <c r="R1222" s="118" t="str">
        <f>IF($E1222="","",IF(COUNTIF($E$7:$E2419,$E1222)&gt;1,"",IFERROR(VLOOKUP($E1222,Orders!$A:$I,8,FALSE),"")))</f>
        <v/>
      </c>
      <c r="S1222" s="118" t="str">
        <f>IF($E1222="","",IF(COUNTIF($E$7:$E2419,$E1222)&gt;1,"",IFERROR(VLOOKUP($E1222,Orders!$A:$I,9,FALSE),"")))</f>
        <v/>
      </c>
      <c r="T1222" s="88" t="str">
        <f t="shared" si="14"/>
        <v/>
      </c>
      <c r="U1222" s="88" t="str">
        <f>IF($F1222="","",IF($E1222="",T1222,SUMIF(Sales!$E$7:$E$1506,$E1222,Sales!$T$7:$T$1506)))</f>
        <v/>
      </c>
      <c r="V1222" s="49" t="str">
        <f t="shared" si="15"/>
        <v/>
      </c>
      <c r="W1222" s="49" t="str">
        <f t="array" ref="W1222">IF($V1222="","",SUMPRODUCT((Sales!$V$7:$V$1506&lt;&gt;"")*(Sales!$E$7:$E$1506&lt;$E1222))+1)</f>
        <v/>
      </c>
      <c r="X1222" s="49" t="str">
        <f t="shared" si="16"/>
        <v/>
      </c>
      <c r="Y1222" s="49" t="str">
        <f t="shared" si="17"/>
        <v/>
      </c>
    </row>
    <row r="1223" ht="15.0" customHeight="1">
      <c r="A1223" s="82"/>
      <c r="B1223" s="83"/>
      <c r="C1223" s="83"/>
      <c r="D1223" s="83"/>
      <c r="E1223" s="83"/>
      <c r="F1223" s="83"/>
      <c r="G1223" s="83" t="str">
        <f>IF($F1223="","",IFERROR(VLOOKUP($F1223,Inventory!$A:$B,2,FALSE),""))</f>
        <v/>
      </c>
      <c r="H1223" s="83"/>
      <c r="I1223" s="84" t="str">
        <f t="shared" si="2"/>
        <v/>
      </c>
      <c r="J1223" s="85" t="str">
        <f>IF($F1223="","",IFERROR(VLOOKUP($F1223,Inventory!$A:$K,11,FALSE),0))</f>
        <v/>
      </c>
      <c r="K1223" s="85"/>
      <c r="L1223" s="85" t="str">
        <f t="shared" si="12"/>
        <v/>
      </c>
      <c r="M1223" s="83"/>
      <c r="N1223" s="85" t="str">
        <f>IF($F1223="","",IFERROR(VLOOKUP($F1223,Inventory!$A:$I,9,FALSE),0))</f>
        <v/>
      </c>
      <c r="O1223" s="85" t="str">
        <f t="shared" si="13"/>
        <v/>
      </c>
      <c r="P1223" s="85" t="str">
        <f t="shared" si="5"/>
        <v/>
      </c>
      <c r="Q1223" s="83"/>
      <c r="R1223" s="118" t="str">
        <f>IF($E1223="","",IF(COUNTIF($E$7:$E2420,$E1223)&gt;1,"",IFERROR(VLOOKUP($E1223,Orders!$A:$I,8,FALSE),"")))</f>
        <v/>
      </c>
      <c r="S1223" s="118" t="str">
        <f>IF($E1223="","",IF(COUNTIF($E$7:$E2420,$E1223)&gt;1,"",IFERROR(VLOOKUP($E1223,Orders!$A:$I,9,FALSE),"")))</f>
        <v/>
      </c>
      <c r="T1223" s="88" t="str">
        <f t="shared" si="14"/>
        <v/>
      </c>
      <c r="U1223" s="88" t="str">
        <f>IF($F1223="","",IF($E1223="",T1223,SUMIF(Sales!$E$7:$E$1506,$E1223,Sales!$T$7:$T$1506)))</f>
        <v/>
      </c>
      <c r="V1223" s="49" t="str">
        <f t="shared" si="15"/>
        <v/>
      </c>
      <c r="W1223" s="49" t="str">
        <f t="array" ref="W1223">IF($V1223="","",SUMPRODUCT((Sales!$V$7:$V$1506&lt;&gt;"")*(Sales!$E$7:$E$1506&lt;$E1223))+1)</f>
        <v/>
      </c>
      <c r="X1223" s="49" t="str">
        <f t="shared" si="16"/>
        <v/>
      </c>
      <c r="Y1223" s="49" t="str">
        <f t="shared" si="17"/>
        <v/>
      </c>
    </row>
    <row r="1224" ht="15.0" customHeight="1">
      <c r="A1224" s="82"/>
      <c r="B1224" s="83"/>
      <c r="C1224" s="83"/>
      <c r="D1224" s="83"/>
      <c r="E1224" s="83"/>
      <c r="F1224" s="83"/>
      <c r="G1224" s="83" t="str">
        <f>IF($F1224="","",IFERROR(VLOOKUP($F1224,Inventory!$A:$B,2,FALSE),""))</f>
        <v/>
      </c>
      <c r="H1224" s="83"/>
      <c r="I1224" s="84" t="str">
        <f t="shared" si="2"/>
        <v/>
      </c>
      <c r="J1224" s="85" t="str">
        <f>IF($F1224="","",IFERROR(VLOOKUP($F1224,Inventory!$A:$K,11,FALSE),0))</f>
        <v/>
      </c>
      <c r="K1224" s="85"/>
      <c r="L1224" s="85" t="str">
        <f t="shared" si="12"/>
        <v/>
      </c>
      <c r="M1224" s="83"/>
      <c r="N1224" s="85" t="str">
        <f>IF($F1224="","",IFERROR(VLOOKUP($F1224,Inventory!$A:$I,9,FALSE),0))</f>
        <v/>
      </c>
      <c r="O1224" s="85" t="str">
        <f t="shared" si="13"/>
        <v/>
      </c>
      <c r="P1224" s="85" t="str">
        <f t="shared" si="5"/>
        <v/>
      </c>
      <c r="Q1224" s="83"/>
      <c r="R1224" s="118" t="str">
        <f>IF($E1224="","",IF(COUNTIF($E$7:$E2421,$E1224)&gt;1,"",IFERROR(VLOOKUP($E1224,Orders!$A:$I,8,FALSE),"")))</f>
        <v/>
      </c>
      <c r="S1224" s="118" t="str">
        <f>IF($E1224="","",IF(COUNTIF($E$7:$E2421,$E1224)&gt;1,"",IFERROR(VLOOKUP($E1224,Orders!$A:$I,9,FALSE),"")))</f>
        <v/>
      </c>
      <c r="T1224" s="88" t="str">
        <f t="shared" si="14"/>
        <v/>
      </c>
      <c r="U1224" s="88" t="str">
        <f>IF($F1224="","",IF($E1224="",T1224,SUMIF(Sales!$E$7:$E$1506,$E1224,Sales!$T$7:$T$1506)))</f>
        <v/>
      </c>
      <c r="V1224" s="49" t="str">
        <f t="shared" si="15"/>
        <v/>
      </c>
      <c r="W1224" s="49" t="str">
        <f t="array" ref="W1224">IF($V1224="","",SUMPRODUCT((Sales!$V$7:$V$1506&lt;&gt;"")*(Sales!$E$7:$E$1506&lt;$E1224))+1)</f>
        <v/>
      </c>
      <c r="X1224" s="49" t="str">
        <f t="shared" si="16"/>
        <v/>
      </c>
      <c r="Y1224" s="49" t="str">
        <f t="shared" si="17"/>
        <v/>
      </c>
    </row>
    <row r="1225" ht="15.0" customHeight="1">
      <c r="A1225" s="82"/>
      <c r="B1225" s="83"/>
      <c r="C1225" s="83"/>
      <c r="D1225" s="83"/>
      <c r="E1225" s="83"/>
      <c r="F1225" s="83"/>
      <c r="G1225" s="83" t="str">
        <f>IF($F1225="","",IFERROR(VLOOKUP($F1225,Inventory!$A:$B,2,FALSE),""))</f>
        <v/>
      </c>
      <c r="H1225" s="83"/>
      <c r="I1225" s="84" t="str">
        <f t="shared" si="2"/>
        <v/>
      </c>
      <c r="J1225" s="85" t="str">
        <f>IF($F1225="","",IFERROR(VLOOKUP($F1225,Inventory!$A:$K,11,FALSE),0))</f>
        <v/>
      </c>
      <c r="K1225" s="85"/>
      <c r="L1225" s="85" t="str">
        <f t="shared" si="12"/>
        <v/>
      </c>
      <c r="M1225" s="83"/>
      <c r="N1225" s="85" t="str">
        <f>IF($F1225="","",IFERROR(VLOOKUP($F1225,Inventory!$A:$I,9,FALSE),0))</f>
        <v/>
      </c>
      <c r="O1225" s="85" t="str">
        <f t="shared" si="13"/>
        <v/>
      </c>
      <c r="P1225" s="85" t="str">
        <f t="shared" si="5"/>
        <v/>
      </c>
      <c r="Q1225" s="83"/>
      <c r="R1225" s="118" t="str">
        <f>IF($E1225="","",IF(COUNTIF($E$7:$E2422,$E1225)&gt;1,"",IFERROR(VLOOKUP($E1225,Orders!$A:$I,8,FALSE),"")))</f>
        <v/>
      </c>
      <c r="S1225" s="118" t="str">
        <f>IF($E1225="","",IF(COUNTIF($E$7:$E2422,$E1225)&gt;1,"",IFERROR(VLOOKUP($E1225,Orders!$A:$I,9,FALSE),"")))</f>
        <v/>
      </c>
      <c r="T1225" s="88" t="str">
        <f t="shared" si="14"/>
        <v/>
      </c>
      <c r="U1225" s="88" t="str">
        <f>IF($F1225="","",IF($E1225="",T1225,SUMIF(Sales!$E$7:$E$1506,$E1225,Sales!$T$7:$T$1506)))</f>
        <v/>
      </c>
      <c r="V1225" s="49" t="str">
        <f t="shared" si="15"/>
        <v/>
      </c>
      <c r="W1225" s="49" t="str">
        <f t="array" ref="W1225">IF($V1225="","",SUMPRODUCT((Sales!$V$7:$V$1506&lt;&gt;"")*(Sales!$E$7:$E$1506&lt;$E1225))+1)</f>
        <v/>
      </c>
      <c r="X1225" s="49" t="str">
        <f t="shared" si="16"/>
        <v/>
      </c>
      <c r="Y1225" s="49" t="str">
        <f t="shared" si="17"/>
        <v/>
      </c>
    </row>
    <row r="1226" ht="15.0" customHeight="1">
      <c r="A1226" s="82"/>
      <c r="B1226" s="83"/>
      <c r="C1226" s="83"/>
      <c r="D1226" s="83"/>
      <c r="E1226" s="83"/>
      <c r="F1226" s="83"/>
      <c r="G1226" s="83" t="str">
        <f>IF($F1226="","",IFERROR(VLOOKUP($F1226,Inventory!$A:$B,2,FALSE),""))</f>
        <v/>
      </c>
      <c r="H1226" s="83"/>
      <c r="I1226" s="84" t="str">
        <f t="shared" si="2"/>
        <v/>
      </c>
      <c r="J1226" s="85" t="str">
        <f>IF($F1226="","",IFERROR(VLOOKUP($F1226,Inventory!$A:$K,11,FALSE),0))</f>
        <v/>
      </c>
      <c r="K1226" s="85"/>
      <c r="L1226" s="85" t="str">
        <f t="shared" si="12"/>
        <v/>
      </c>
      <c r="M1226" s="83"/>
      <c r="N1226" s="85" t="str">
        <f>IF($F1226="","",IFERROR(VLOOKUP($F1226,Inventory!$A:$I,9,FALSE),0))</f>
        <v/>
      </c>
      <c r="O1226" s="85" t="str">
        <f t="shared" si="13"/>
        <v/>
      </c>
      <c r="P1226" s="85" t="str">
        <f t="shared" si="5"/>
        <v/>
      </c>
      <c r="Q1226" s="83"/>
      <c r="R1226" s="118" t="str">
        <f>IF($E1226="","",IF(COUNTIF($E$7:$E2423,$E1226)&gt;1,"",IFERROR(VLOOKUP($E1226,Orders!$A:$I,8,FALSE),"")))</f>
        <v/>
      </c>
      <c r="S1226" s="118" t="str">
        <f>IF($E1226="","",IF(COUNTIF($E$7:$E2423,$E1226)&gt;1,"",IFERROR(VLOOKUP($E1226,Orders!$A:$I,9,FALSE),"")))</f>
        <v/>
      </c>
      <c r="T1226" s="88" t="str">
        <f t="shared" si="14"/>
        <v/>
      </c>
      <c r="U1226" s="88" t="str">
        <f>IF($F1226="","",IF($E1226="",T1226,SUMIF(Sales!$E$7:$E$1506,$E1226,Sales!$T$7:$T$1506)))</f>
        <v/>
      </c>
      <c r="V1226" s="49" t="str">
        <f t="shared" si="15"/>
        <v/>
      </c>
      <c r="W1226" s="49" t="str">
        <f t="array" ref="W1226">IF($V1226="","",SUMPRODUCT((Sales!$V$7:$V$1506&lt;&gt;"")*(Sales!$E$7:$E$1506&lt;$E1226))+1)</f>
        <v/>
      </c>
      <c r="X1226" s="49" t="str">
        <f t="shared" si="16"/>
        <v/>
      </c>
      <c r="Y1226" s="49" t="str">
        <f t="shared" si="17"/>
        <v/>
      </c>
    </row>
    <row r="1227" ht="15.0" customHeight="1">
      <c r="A1227" s="82"/>
      <c r="B1227" s="83"/>
      <c r="C1227" s="83"/>
      <c r="D1227" s="83"/>
      <c r="E1227" s="83"/>
      <c r="F1227" s="83"/>
      <c r="G1227" s="83" t="str">
        <f>IF($F1227="","",IFERROR(VLOOKUP($F1227,Inventory!$A:$B,2,FALSE),""))</f>
        <v/>
      </c>
      <c r="H1227" s="83"/>
      <c r="I1227" s="84" t="str">
        <f t="shared" si="2"/>
        <v/>
      </c>
      <c r="J1227" s="85" t="str">
        <f>IF($F1227="","",IFERROR(VLOOKUP($F1227,Inventory!$A:$K,11,FALSE),0))</f>
        <v/>
      </c>
      <c r="K1227" s="85"/>
      <c r="L1227" s="85" t="str">
        <f t="shared" si="12"/>
        <v/>
      </c>
      <c r="M1227" s="83"/>
      <c r="N1227" s="85" t="str">
        <f>IF($F1227="","",IFERROR(VLOOKUP($F1227,Inventory!$A:$I,9,FALSE),0))</f>
        <v/>
      </c>
      <c r="O1227" s="85" t="str">
        <f t="shared" si="13"/>
        <v/>
      </c>
      <c r="P1227" s="85" t="str">
        <f t="shared" si="5"/>
        <v/>
      </c>
      <c r="Q1227" s="83"/>
      <c r="R1227" s="118" t="str">
        <f>IF($E1227="","",IF(COUNTIF($E$7:$E2424,$E1227)&gt;1,"",IFERROR(VLOOKUP($E1227,Orders!$A:$I,8,FALSE),"")))</f>
        <v/>
      </c>
      <c r="S1227" s="118" t="str">
        <f>IF($E1227="","",IF(COUNTIF($E$7:$E2424,$E1227)&gt;1,"",IFERROR(VLOOKUP($E1227,Orders!$A:$I,9,FALSE),"")))</f>
        <v/>
      </c>
      <c r="T1227" s="88" t="str">
        <f t="shared" si="14"/>
        <v/>
      </c>
      <c r="U1227" s="88" t="str">
        <f>IF($F1227="","",IF($E1227="",T1227,SUMIF(Sales!$E$7:$E$1506,$E1227,Sales!$T$7:$T$1506)))</f>
        <v/>
      </c>
      <c r="V1227" s="49" t="str">
        <f t="shared" si="15"/>
        <v/>
      </c>
      <c r="W1227" s="49" t="str">
        <f t="array" ref="W1227">IF($V1227="","",SUMPRODUCT((Sales!$V$7:$V$1506&lt;&gt;"")*(Sales!$E$7:$E$1506&lt;$E1227))+1)</f>
        <v/>
      </c>
      <c r="X1227" s="49" t="str">
        <f t="shared" si="16"/>
        <v/>
      </c>
      <c r="Y1227" s="49" t="str">
        <f t="shared" si="17"/>
        <v/>
      </c>
    </row>
    <row r="1228" ht="15.0" customHeight="1">
      <c r="A1228" s="82"/>
      <c r="B1228" s="83"/>
      <c r="C1228" s="83"/>
      <c r="D1228" s="83"/>
      <c r="E1228" s="83"/>
      <c r="F1228" s="83"/>
      <c r="G1228" s="83" t="str">
        <f>IF($F1228="","",IFERROR(VLOOKUP($F1228,Inventory!$A:$B,2,FALSE),""))</f>
        <v/>
      </c>
      <c r="H1228" s="83"/>
      <c r="I1228" s="84" t="str">
        <f t="shared" si="2"/>
        <v/>
      </c>
      <c r="J1228" s="85" t="str">
        <f>IF($F1228="","",IFERROR(VLOOKUP($F1228,Inventory!$A:$K,11,FALSE),0))</f>
        <v/>
      </c>
      <c r="K1228" s="85"/>
      <c r="L1228" s="85" t="str">
        <f t="shared" si="12"/>
        <v/>
      </c>
      <c r="M1228" s="83"/>
      <c r="N1228" s="85" t="str">
        <f>IF($F1228="","",IFERROR(VLOOKUP($F1228,Inventory!$A:$I,9,FALSE),0))</f>
        <v/>
      </c>
      <c r="O1228" s="85" t="str">
        <f t="shared" si="13"/>
        <v/>
      </c>
      <c r="P1228" s="85" t="str">
        <f t="shared" si="5"/>
        <v/>
      </c>
      <c r="Q1228" s="83"/>
      <c r="R1228" s="118" t="str">
        <f>IF($E1228="","",IF(COUNTIF($E$7:$E2425,$E1228)&gt;1,"",IFERROR(VLOOKUP($E1228,Orders!$A:$I,8,FALSE),"")))</f>
        <v/>
      </c>
      <c r="S1228" s="118" t="str">
        <f>IF($E1228="","",IF(COUNTIF($E$7:$E2425,$E1228)&gt;1,"",IFERROR(VLOOKUP($E1228,Orders!$A:$I,9,FALSE),"")))</f>
        <v/>
      </c>
      <c r="T1228" s="88" t="str">
        <f t="shared" si="14"/>
        <v/>
      </c>
      <c r="U1228" s="88" t="str">
        <f>IF($F1228="","",IF($E1228="",T1228,SUMIF(Sales!$E$7:$E$1506,$E1228,Sales!$T$7:$T$1506)))</f>
        <v/>
      </c>
      <c r="V1228" s="49" t="str">
        <f t="shared" si="15"/>
        <v/>
      </c>
      <c r="W1228" s="49" t="str">
        <f t="array" ref="W1228">IF($V1228="","",SUMPRODUCT((Sales!$V$7:$V$1506&lt;&gt;"")*(Sales!$E$7:$E$1506&lt;$E1228))+1)</f>
        <v/>
      </c>
      <c r="X1228" s="49" t="str">
        <f t="shared" si="16"/>
        <v/>
      </c>
      <c r="Y1228" s="49" t="str">
        <f t="shared" si="17"/>
        <v/>
      </c>
    </row>
    <row r="1229" ht="15.0" customHeight="1">
      <c r="A1229" s="82"/>
      <c r="B1229" s="83"/>
      <c r="C1229" s="83"/>
      <c r="D1229" s="83"/>
      <c r="E1229" s="83"/>
      <c r="F1229" s="83"/>
      <c r="G1229" s="83" t="str">
        <f>IF($F1229="","",IFERROR(VLOOKUP($F1229,Inventory!$A:$B,2,FALSE),""))</f>
        <v/>
      </c>
      <c r="H1229" s="83"/>
      <c r="I1229" s="84" t="str">
        <f t="shared" si="2"/>
        <v/>
      </c>
      <c r="J1229" s="85" t="str">
        <f>IF($F1229="","",IFERROR(VLOOKUP($F1229,Inventory!$A:$K,11,FALSE),0))</f>
        <v/>
      </c>
      <c r="K1229" s="85"/>
      <c r="L1229" s="85" t="str">
        <f t="shared" si="12"/>
        <v/>
      </c>
      <c r="M1229" s="83"/>
      <c r="N1229" s="85" t="str">
        <f>IF($F1229="","",IFERROR(VLOOKUP($F1229,Inventory!$A:$I,9,FALSE),0))</f>
        <v/>
      </c>
      <c r="O1229" s="85" t="str">
        <f t="shared" si="13"/>
        <v/>
      </c>
      <c r="P1229" s="85" t="str">
        <f t="shared" si="5"/>
        <v/>
      </c>
      <c r="Q1229" s="83"/>
      <c r="R1229" s="118" t="str">
        <f>IF($E1229="","",IF(COUNTIF($E$7:$E2426,$E1229)&gt;1,"",IFERROR(VLOOKUP($E1229,Orders!$A:$I,8,FALSE),"")))</f>
        <v/>
      </c>
      <c r="S1229" s="118" t="str">
        <f>IF($E1229="","",IF(COUNTIF($E$7:$E2426,$E1229)&gt;1,"",IFERROR(VLOOKUP($E1229,Orders!$A:$I,9,FALSE),"")))</f>
        <v/>
      </c>
      <c r="T1229" s="88" t="str">
        <f t="shared" si="14"/>
        <v/>
      </c>
      <c r="U1229" s="88" t="str">
        <f>IF($F1229="","",IF($E1229="",T1229,SUMIF(Sales!$E$7:$E$1506,$E1229,Sales!$T$7:$T$1506)))</f>
        <v/>
      </c>
      <c r="V1229" s="49" t="str">
        <f t="shared" si="15"/>
        <v/>
      </c>
      <c r="W1229" s="49" t="str">
        <f t="array" ref="W1229">IF($V1229="","",SUMPRODUCT((Sales!$V$7:$V$1506&lt;&gt;"")*(Sales!$E$7:$E$1506&lt;$E1229))+1)</f>
        <v/>
      </c>
      <c r="X1229" s="49" t="str">
        <f t="shared" si="16"/>
        <v/>
      </c>
      <c r="Y1229" s="49" t="str">
        <f t="shared" si="17"/>
        <v/>
      </c>
    </row>
    <row r="1230" ht="15.0" customHeight="1">
      <c r="A1230" s="82"/>
      <c r="B1230" s="83"/>
      <c r="C1230" s="83"/>
      <c r="D1230" s="83"/>
      <c r="E1230" s="83"/>
      <c r="F1230" s="83"/>
      <c r="G1230" s="83" t="str">
        <f>IF($F1230="","",IFERROR(VLOOKUP($F1230,Inventory!$A:$B,2,FALSE),""))</f>
        <v/>
      </c>
      <c r="H1230" s="83"/>
      <c r="I1230" s="84" t="str">
        <f t="shared" si="2"/>
        <v/>
      </c>
      <c r="J1230" s="85" t="str">
        <f>IF($F1230="","",IFERROR(VLOOKUP($F1230,Inventory!$A:$K,11,FALSE),0))</f>
        <v/>
      </c>
      <c r="K1230" s="85"/>
      <c r="L1230" s="85" t="str">
        <f t="shared" si="12"/>
        <v/>
      </c>
      <c r="M1230" s="83"/>
      <c r="N1230" s="85" t="str">
        <f>IF($F1230="","",IFERROR(VLOOKUP($F1230,Inventory!$A:$I,9,FALSE),0))</f>
        <v/>
      </c>
      <c r="O1230" s="85" t="str">
        <f t="shared" si="13"/>
        <v/>
      </c>
      <c r="P1230" s="85" t="str">
        <f t="shared" si="5"/>
        <v/>
      </c>
      <c r="Q1230" s="83"/>
      <c r="R1230" s="118" t="str">
        <f>IF($E1230="","",IF(COUNTIF($E$7:$E2427,$E1230)&gt;1,"",IFERROR(VLOOKUP($E1230,Orders!$A:$I,8,FALSE),"")))</f>
        <v/>
      </c>
      <c r="S1230" s="118" t="str">
        <f>IF($E1230="","",IF(COUNTIF($E$7:$E2427,$E1230)&gt;1,"",IFERROR(VLOOKUP($E1230,Orders!$A:$I,9,FALSE),"")))</f>
        <v/>
      </c>
      <c r="T1230" s="88" t="str">
        <f t="shared" si="14"/>
        <v/>
      </c>
      <c r="U1230" s="88" t="str">
        <f>IF($F1230="","",IF($E1230="",T1230,SUMIF(Sales!$E$7:$E$1506,$E1230,Sales!$T$7:$T$1506)))</f>
        <v/>
      </c>
      <c r="V1230" s="49" t="str">
        <f t="shared" si="15"/>
        <v/>
      </c>
      <c r="W1230" s="49" t="str">
        <f t="array" ref="W1230">IF($V1230="","",SUMPRODUCT((Sales!$V$7:$V$1506&lt;&gt;"")*(Sales!$E$7:$E$1506&lt;$E1230))+1)</f>
        <v/>
      </c>
      <c r="X1230" s="49" t="str">
        <f t="shared" si="16"/>
        <v/>
      </c>
      <c r="Y1230" s="49" t="str">
        <f t="shared" si="17"/>
        <v/>
      </c>
    </row>
    <row r="1231" ht="15.0" customHeight="1">
      <c r="A1231" s="82"/>
      <c r="B1231" s="83"/>
      <c r="C1231" s="83"/>
      <c r="D1231" s="83"/>
      <c r="E1231" s="83"/>
      <c r="F1231" s="83"/>
      <c r="G1231" s="83" t="str">
        <f>IF($F1231="","",IFERROR(VLOOKUP($F1231,Inventory!$A:$B,2,FALSE),""))</f>
        <v/>
      </c>
      <c r="H1231" s="83"/>
      <c r="I1231" s="84" t="str">
        <f t="shared" si="2"/>
        <v/>
      </c>
      <c r="J1231" s="85" t="str">
        <f>IF($F1231="","",IFERROR(VLOOKUP($F1231,Inventory!$A:$K,11,FALSE),0))</f>
        <v/>
      </c>
      <c r="K1231" s="85"/>
      <c r="L1231" s="85" t="str">
        <f t="shared" si="12"/>
        <v/>
      </c>
      <c r="M1231" s="83"/>
      <c r="N1231" s="85" t="str">
        <f>IF($F1231="","",IFERROR(VLOOKUP($F1231,Inventory!$A:$I,9,FALSE),0))</f>
        <v/>
      </c>
      <c r="O1231" s="85" t="str">
        <f t="shared" si="13"/>
        <v/>
      </c>
      <c r="P1231" s="85" t="str">
        <f t="shared" si="5"/>
        <v/>
      </c>
      <c r="Q1231" s="83"/>
      <c r="R1231" s="118" t="str">
        <f>IF($E1231="","",IF(COUNTIF($E$7:$E2428,$E1231)&gt;1,"",IFERROR(VLOOKUP($E1231,Orders!$A:$I,8,FALSE),"")))</f>
        <v/>
      </c>
      <c r="S1231" s="118" t="str">
        <f>IF($E1231="","",IF(COUNTIF($E$7:$E2428,$E1231)&gt;1,"",IFERROR(VLOOKUP($E1231,Orders!$A:$I,9,FALSE),"")))</f>
        <v/>
      </c>
      <c r="T1231" s="88" t="str">
        <f t="shared" si="14"/>
        <v/>
      </c>
      <c r="U1231" s="88" t="str">
        <f>IF($F1231="","",IF($E1231="",T1231,SUMIF(Sales!$E$7:$E$1506,$E1231,Sales!$T$7:$T$1506)))</f>
        <v/>
      </c>
      <c r="V1231" s="49" t="str">
        <f t="shared" si="15"/>
        <v/>
      </c>
      <c r="W1231" s="49" t="str">
        <f t="array" ref="W1231">IF($V1231="","",SUMPRODUCT((Sales!$V$7:$V$1506&lt;&gt;"")*(Sales!$E$7:$E$1506&lt;$E1231))+1)</f>
        <v/>
      </c>
      <c r="X1231" s="49" t="str">
        <f t="shared" si="16"/>
        <v/>
      </c>
      <c r="Y1231" s="49" t="str">
        <f t="shared" si="17"/>
        <v/>
      </c>
    </row>
    <row r="1232" ht="15.0" customHeight="1">
      <c r="A1232" s="82"/>
      <c r="B1232" s="83"/>
      <c r="C1232" s="83"/>
      <c r="D1232" s="83"/>
      <c r="E1232" s="83"/>
      <c r="F1232" s="83"/>
      <c r="G1232" s="83" t="str">
        <f>IF($F1232="","",IFERROR(VLOOKUP($F1232,Inventory!$A:$B,2,FALSE),""))</f>
        <v/>
      </c>
      <c r="H1232" s="83"/>
      <c r="I1232" s="84" t="str">
        <f t="shared" si="2"/>
        <v/>
      </c>
      <c r="J1232" s="85" t="str">
        <f>IF($F1232="","",IFERROR(VLOOKUP($F1232,Inventory!$A:$K,11,FALSE),0))</f>
        <v/>
      </c>
      <c r="K1232" s="85"/>
      <c r="L1232" s="85" t="str">
        <f t="shared" si="12"/>
        <v/>
      </c>
      <c r="M1232" s="83"/>
      <c r="N1232" s="85" t="str">
        <f>IF($F1232="","",IFERROR(VLOOKUP($F1232,Inventory!$A:$I,9,FALSE),0))</f>
        <v/>
      </c>
      <c r="O1232" s="85" t="str">
        <f t="shared" si="13"/>
        <v/>
      </c>
      <c r="P1232" s="85" t="str">
        <f t="shared" si="5"/>
        <v/>
      </c>
      <c r="Q1232" s="83"/>
      <c r="R1232" s="118" t="str">
        <f>IF($E1232="","",IF(COUNTIF($E$7:$E2429,$E1232)&gt;1,"",IFERROR(VLOOKUP($E1232,Orders!$A:$I,8,FALSE),"")))</f>
        <v/>
      </c>
      <c r="S1232" s="118" t="str">
        <f>IF($E1232="","",IF(COUNTIF($E$7:$E2429,$E1232)&gt;1,"",IFERROR(VLOOKUP($E1232,Orders!$A:$I,9,FALSE),"")))</f>
        <v/>
      </c>
      <c r="T1232" s="88" t="str">
        <f t="shared" si="14"/>
        <v/>
      </c>
      <c r="U1232" s="88" t="str">
        <f>IF($F1232="","",IF($E1232="",T1232,SUMIF(Sales!$E$7:$E$1506,$E1232,Sales!$T$7:$T$1506)))</f>
        <v/>
      </c>
      <c r="V1232" s="49" t="str">
        <f t="shared" si="15"/>
        <v/>
      </c>
      <c r="W1232" s="49" t="str">
        <f t="array" ref="W1232">IF($V1232="","",SUMPRODUCT((Sales!$V$7:$V$1506&lt;&gt;"")*(Sales!$E$7:$E$1506&lt;$E1232))+1)</f>
        <v/>
      </c>
      <c r="X1232" s="49" t="str">
        <f t="shared" si="16"/>
        <v/>
      </c>
      <c r="Y1232" s="49" t="str">
        <f t="shared" si="17"/>
        <v/>
      </c>
    </row>
    <row r="1233" ht="15.0" customHeight="1">
      <c r="A1233" s="82"/>
      <c r="B1233" s="83"/>
      <c r="C1233" s="83"/>
      <c r="D1233" s="83"/>
      <c r="E1233" s="83"/>
      <c r="F1233" s="83"/>
      <c r="G1233" s="83" t="str">
        <f>IF($F1233="","",IFERROR(VLOOKUP($F1233,Inventory!$A:$B,2,FALSE),""))</f>
        <v/>
      </c>
      <c r="H1233" s="83"/>
      <c r="I1233" s="84" t="str">
        <f t="shared" si="2"/>
        <v/>
      </c>
      <c r="J1233" s="85" t="str">
        <f>IF($F1233="","",IFERROR(VLOOKUP($F1233,Inventory!$A:$K,11,FALSE),0))</f>
        <v/>
      </c>
      <c r="K1233" s="85"/>
      <c r="L1233" s="85" t="str">
        <f t="shared" si="12"/>
        <v/>
      </c>
      <c r="M1233" s="83"/>
      <c r="N1233" s="85" t="str">
        <f>IF($F1233="","",IFERROR(VLOOKUP($F1233,Inventory!$A:$I,9,FALSE),0))</f>
        <v/>
      </c>
      <c r="O1233" s="85" t="str">
        <f t="shared" si="13"/>
        <v/>
      </c>
      <c r="P1233" s="85" t="str">
        <f t="shared" si="5"/>
        <v/>
      </c>
      <c r="Q1233" s="83"/>
      <c r="R1233" s="118" t="str">
        <f>IF($E1233="","",IF(COUNTIF($E$7:$E2430,$E1233)&gt;1,"",IFERROR(VLOOKUP($E1233,Orders!$A:$I,8,FALSE),"")))</f>
        <v/>
      </c>
      <c r="S1233" s="118" t="str">
        <f>IF($E1233="","",IF(COUNTIF($E$7:$E2430,$E1233)&gt;1,"",IFERROR(VLOOKUP($E1233,Orders!$A:$I,9,FALSE),"")))</f>
        <v/>
      </c>
      <c r="T1233" s="88" t="str">
        <f t="shared" si="14"/>
        <v/>
      </c>
      <c r="U1233" s="88" t="str">
        <f>IF($F1233="","",IF($E1233="",T1233,SUMIF(Sales!$E$7:$E$1506,$E1233,Sales!$T$7:$T$1506)))</f>
        <v/>
      </c>
      <c r="V1233" s="49" t="str">
        <f t="shared" si="15"/>
        <v/>
      </c>
      <c r="W1233" s="49" t="str">
        <f t="array" ref="W1233">IF($V1233="","",SUMPRODUCT((Sales!$V$7:$V$1506&lt;&gt;"")*(Sales!$E$7:$E$1506&lt;$E1233))+1)</f>
        <v/>
      </c>
      <c r="X1233" s="49" t="str">
        <f t="shared" si="16"/>
        <v/>
      </c>
      <c r="Y1233" s="49" t="str">
        <f t="shared" si="17"/>
        <v/>
      </c>
    </row>
    <row r="1234" ht="15.0" customHeight="1">
      <c r="A1234" s="82"/>
      <c r="B1234" s="83"/>
      <c r="C1234" s="83"/>
      <c r="D1234" s="83"/>
      <c r="E1234" s="83"/>
      <c r="F1234" s="83"/>
      <c r="G1234" s="83" t="str">
        <f>IF($F1234="","",IFERROR(VLOOKUP($F1234,Inventory!$A:$B,2,FALSE),""))</f>
        <v/>
      </c>
      <c r="H1234" s="83"/>
      <c r="I1234" s="84" t="str">
        <f t="shared" si="2"/>
        <v/>
      </c>
      <c r="J1234" s="85" t="str">
        <f>IF($F1234="","",IFERROR(VLOOKUP($F1234,Inventory!$A:$K,11,FALSE),0))</f>
        <v/>
      </c>
      <c r="K1234" s="85"/>
      <c r="L1234" s="85" t="str">
        <f t="shared" si="12"/>
        <v/>
      </c>
      <c r="M1234" s="83"/>
      <c r="N1234" s="85" t="str">
        <f>IF($F1234="","",IFERROR(VLOOKUP($F1234,Inventory!$A:$I,9,FALSE),0))</f>
        <v/>
      </c>
      <c r="O1234" s="85" t="str">
        <f t="shared" si="13"/>
        <v/>
      </c>
      <c r="P1234" s="85" t="str">
        <f t="shared" si="5"/>
        <v/>
      </c>
      <c r="Q1234" s="83"/>
      <c r="R1234" s="118" t="str">
        <f>IF($E1234="","",IF(COUNTIF($E$7:$E2431,$E1234)&gt;1,"",IFERROR(VLOOKUP($E1234,Orders!$A:$I,8,FALSE),"")))</f>
        <v/>
      </c>
      <c r="S1234" s="118" t="str">
        <f>IF($E1234="","",IF(COUNTIF($E$7:$E2431,$E1234)&gt;1,"",IFERROR(VLOOKUP($E1234,Orders!$A:$I,9,FALSE),"")))</f>
        <v/>
      </c>
      <c r="T1234" s="88" t="str">
        <f t="shared" si="14"/>
        <v/>
      </c>
      <c r="U1234" s="88" t="str">
        <f>IF($F1234="","",IF($E1234="",T1234,SUMIF(Sales!$E$7:$E$1506,$E1234,Sales!$T$7:$T$1506)))</f>
        <v/>
      </c>
      <c r="V1234" s="49" t="str">
        <f t="shared" si="15"/>
        <v/>
      </c>
      <c r="W1234" s="49" t="str">
        <f t="array" ref="W1234">IF($V1234="","",SUMPRODUCT((Sales!$V$7:$V$1506&lt;&gt;"")*(Sales!$E$7:$E$1506&lt;$E1234))+1)</f>
        <v/>
      </c>
      <c r="X1234" s="49" t="str">
        <f t="shared" si="16"/>
        <v/>
      </c>
      <c r="Y1234" s="49" t="str">
        <f t="shared" si="17"/>
        <v/>
      </c>
    </row>
    <row r="1235" ht="15.0" customHeight="1">
      <c r="A1235" s="82"/>
      <c r="B1235" s="83"/>
      <c r="C1235" s="83"/>
      <c r="D1235" s="83"/>
      <c r="E1235" s="83"/>
      <c r="F1235" s="83"/>
      <c r="G1235" s="83" t="str">
        <f>IF($F1235="","",IFERROR(VLOOKUP($F1235,Inventory!$A:$B,2,FALSE),""))</f>
        <v/>
      </c>
      <c r="H1235" s="83"/>
      <c r="I1235" s="84" t="str">
        <f t="shared" si="2"/>
        <v/>
      </c>
      <c r="J1235" s="85" t="str">
        <f>IF($F1235="","",IFERROR(VLOOKUP($F1235,Inventory!$A:$K,11,FALSE),0))</f>
        <v/>
      </c>
      <c r="K1235" s="85"/>
      <c r="L1235" s="85" t="str">
        <f t="shared" si="12"/>
        <v/>
      </c>
      <c r="M1235" s="83"/>
      <c r="N1235" s="85" t="str">
        <f>IF($F1235="","",IFERROR(VLOOKUP($F1235,Inventory!$A:$I,9,FALSE),0))</f>
        <v/>
      </c>
      <c r="O1235" s="85" t="str">
        <f t="shared" si="13"/>
        <v/>
      </c>
      <c r="P1235" s="85" t="str">
        <f t="shared" si="5"/>
        <v/>
      </c>
      <c r="Q1235" s="83"/>
      <c r="R1235" s="118" t="str">
        <f>IF($E1235="","",IF(COUNTIF($E$7:$E2432,$E1235)&gt;1,"",IFERROR(VLOOKUP($E1235,Orders!$A:$I,8,FALSE),"")))</f>
        <v/>
      </c>
      <c r="S1235" s="118" t="str">
        <f>IF($E1235="","",IF(COUNTIF($E$7:$E2432,$E1235)&gt;1,"",IFERROR(VLOOKUP($E1235,Orders!$A:$I,9,FALSE),"")))</f>
        <v/>
      </c>
      <c r="T1235" s="88" t="str">
        <f t="shared" si="14"/>
        <v/>
      </c>
      <c r="U1235" s="88" t="str">
        <f>IF($F1235="","",IF($E1235="",T1235,SUMIF(Sales!$E$7:$E$1506,$E1235,Sales!$T$7:$T$1506)))</f>
        <v/>
      </c>
      <c r="V1235" s="49" t="str">
        <f t="shared" si="15"/>
        <v/>
      </c>
      <c r="W1235" s="49" t="str">
        <f t="array" ref="W1235">IF($V1235="","",SUMPRODUCT((Sales!$V$7:$V$1506&lt;&gt;"")*(Sales!$E$7:$E$1506&lt;$E1235))+1)</f>
        <v/>
      </c>
      <c r="X1235" s="49" t="str">
        <f t="shared" si="16"/>
        <v/>
      </c>
      <c r="Y1235" s="49" t="str">
        <f t="shared" si="17"/>
        <v/>
      </c>
    </row>
    <row r="1236" ht="15.0" customHeight="1">
      <c r="A1236" s="82"/>
      <c r="B1236" s="83"/>
      <c r="C1236" s="83"/>
      <c r="D1236" s="83"/>
      <c r="E1236" s="83"/>
      <c r="F1236" s="83"/>
      <c r="G1236" s="83" t="str">
        <f>IF($F1236="","",IFERROR(VLOOKUP($F1236,Inventory!$A:$B,2,FALSE),""))</f>
        <v/>
      </c>
      <c r="H1236" s="83"/>
      <c r="I1236" s="84" t="str">
        <f t="shared" si="2"/>
        <v/>
      </c>
      <c r="J1236" s="85" t="str">
        <f>IF($F1236="","",IFERROR(VLOOKUP($F1236,Inventory!$A:$K,11,FALSE),0))</f>
        <v/>
      </c>
      <c r="K1236" s="85"/>
      <c r="L1236" s="85" t="str">
        <f t="shared" si="12"/>
        <v/>
      </c>
      <c r="M1236" s="83"/>
      <c r="N1236" s="85" t="str">
        <f>IF($F1236="","",IFERROR(VLOOKUP($F1236,Inventory!$A:$I,9,FALSE),0))</f>
        <v/>
      </c>
      <c r="O1236" s="85" t="str">
        <f t="shared" si="13"/>
        <v/>
      </c>
      <c r="P1236" s="85" t="str">
        <f t="shared" si="5"/>
        <v/>
      </c>
      <c r="Q1236" s="83"/>
      <c r="R1236" s="118" t="str">
        <f>IF($E1236="","",IF(COUNTIF($E$7:$E2433,$E1236)&gt;1,"",IFERROR(VLOOKUP($E1236,Orders!$A:$I,8,FALSE),"")))</f>
        <v/>
      </c>
      <c r="S1236" s="118" t="str">
        <f>IF($E1236="","",IF(COUNTIF($E$7:$E2433,$E1236)&gt;1,"",IFERROR(VLOOKUP($E1236,Orders!$A:$I,9,FALSE),"")))</f>
        <v/>
      </c>
      <c r="T1236" s="88" t="str">
        <f t="shared" si="14"/>
        <v/>
      </c>
      <c r="U1236" s="88" t="str">
        <f>IF($F1236="","",IF($E1236="",T1236,SUMIF(Sales!$E$7:$E$1506,$E1236,Sales!$T$7:$T$1506)))</f>
        <v/>
      </c>
      <c r="V1236" s="49" t="str">
        <f t="shared" si="15"/>
        <v/>
      </c>
      <c r="W1236" s="49" t="str">
        <f t="array" ref="W1236">IF($V1236="","",SUMPRODUCT((Sales!$V$7:$V$1506&lt;&gt;"")*(Sales!$E$7:$E$1506&lt;$E1236))+1)</f>
        <v/>
      </c>
      <c r="X1236" s="49" t="str">
        <f t="shared" si="16"/>
        <v/>
      </c>
      <c r="Y1236" s="49" t="str">
        <f t="shared" si="17"/>
        <v/>
      </c>
    </row>
    <row r="1237" ht="15.0" customHeight="1">
      <c r="A1237" s="82"/>
      <c r="B1237" s="83"/>
      <c r="C1237" s="83"/>
      <c r="D1237" s="83"/>
      <c r="E1237" s="83"/>
      <c r="F1237" s="83"/>
      <c r="G1237" s="83" t="str">
        <f>IF($F1237="","",IFERROR(VLOOKUP($F1237,Inventory!$A:$B,2,FALSE),""))</f>
        <v/>
      </c>
      <c r="H1237" s="83"/>
      <c r="I1237" s="84" t="str">
        <f t="shared" si="2"/>
        <v/>
      </c>
      <c r="J1237" s="85" t="str">
        <f>IF($F1237="","",IFERROR(VLOOKUP($F1237,Inventory!$A:$K,11,FALSE),0))</f>
        <v/>
      </c>
      <c r="K1237" s="85"/>
      <c r="L1237" s="85" t="str">
        <f t="shared" si="12"/>
        <v/>
      </c>
      <c r="M1237" s="83"/>
      <c r="N1237" s="85" t="str">
        <f>IF($F1237="","",IFERROR(VLOOKUP($F1237,Inventory!$A:$I,9,FALSE),0))</f>
        <v/>
      </c>
      <c r="O1237" s="85" t="str">
        <f t="shared" si="13"/>
        <v/>
      </c>
      <c r="P1237" s="85" t="str">
        <f t="shared" si="5"/>
        <v/>
      </c>
      <c r="Q1237" s="83"/>
      <c r="R1237" s="118" t="str">
        <f>IF($E1237="","",IF(COUNTIF($E$7:$E2434,$E1237)&gt;1,"",IFERROR(VLOOKUP($E1237,Orders!$A:$I,8,FALSE),"")))</f>
        <v/>
      </c>
      <c r="S1237" s="118" t="str">
        <f>IF($E1237="","",IF(COUNTIF($E$7:$E2434,$E1237)&gt;1,"",IFERROR(VLOOKUP($E1237,Orders!$A:$I,9,FALSE),"")))</f>
        <v/>
      </c>
      <c r="T1237" s="88" t="str">
        <f t="shared" si="14"/>
        <v/>
      </c>
      <c r="U1237" s="88" t="str">
        <f>IF($F1237="","",IF($E1237="",T1237,SUMIF(Sales!$E$7:$E$1506,$E1237,Sales!$T$7:$T$1506)))</f>
        <v/>
      </c>
      <c r="V1237" s="49" t="str">
        <f t="shared" si="15"/>
        <v/>
      </c>
      <c r="W1237" s="49" t="str">
        <f t="array" ref="W1237">IF($V1237="","",SUMPRODUCT((Sales!$V$7:$V$1506&lt;&gt;"")*(Sales!$E$7:$E$1506&lt;$E1237))+1)</f>
        <v/>
      </c>
      <c r="X1237" s="49" t="str">
        <f t="shared" si="16"/>
        <v/>
      </c>
      <c r="Y1237" s="49" t="str">
        <f t="shared" si="17"/>
        <v/>
      </c>
    </row>
    <row r="1238" ht="15.0" customHeight="1">
      <c r="A1238" s="82"/>
      <c r="B1238" s="83"/>
      <c r="C1238" s="83"/>
      <c r="D1238" s="83"/>
      <c r="E1238" s="83"/>
      <c r="F1238" s="83"/>
      <c r="G1238" s="83" t="str">
        <f>IF($F1238="","",IFERROR(VLOOKUP($F1238,Inventory!$A:$B,2,FALSE),""))</f>
        <v/>
      </c>
      <c r="H1238" s="83"/>
      <c r="I1238" s="84" t="str">
        <f t="shared" si="2"/>
        <v/>
      </c>
      <c r="J1238" s="85" t="str">
        <f>IF($F1238="","",IFERROR(VLOOKUP($F1238,Inventory!$A:$K,11,FALSE),0))</f>
        <v/>
      </c>
      <c r="K1238" s="85"/>
      <c r="L1238" s="85" t="str">
        <f t="shared" si="12"/>
        <v/>
      </c>
      <c r="M1238" s="83"/>
      <c r="N1238" s="85" t="str">
        <f>IF($F1238="","",IFERROR(VLOOKUP($F1238,Inventory!$A:$I,9,FALSE),0))</f>
        <v/>
      </c>
      <c r="O1238" s="85" t="str">
        <f t="shared" si="13"/>
        <v/>
      </c>
      <c r="P1238" s="85" t="str">
        <f t="shared" si="5"/>
        <v/>
      </c>
      <c r="Q1238" s="83"/>
      <c r="R1238" s="118" t="str">
        <f>IF($E1238="","",IF(COUNTIF($E$7:$E2435,$E1238)&gt;1,"",IFERROR(VLOOKUP($E1238,Orders!$A:$I,8,FALSE),"")))</f>
        <v/>
      </c>
      <c r="S1238" s="118" t="str">
        <f>IF($E1238="","",IF(COUNTIF($E$7:$E2435,$E1238)&gt;1,"",IFERROR(VLOOKUP($E1238,Orders!$A:$I,9,FALSE),"")))</f>
        <v/>
      </c>
      <c r="T1238" s="88" t="str">
        <f t="shared" si="14"/>
        <v/>
      </c>
      <c r="U1238" s="88" t="str">
        <f>IF($F1238="","",IF($E1238="",T1238,SUMIF(Sales!$E$7:$E$1506,$E1238,Sales!$T$7:$T$1506)))</f>
        <v/>
      </c>
      <c r="V1238" s="49" t="str">
        <f t="shared" si="15"/>
        <v/>
      </c>
      <c r="W1238" s="49" t="str">
        <f t="array" ref="W1238">IF($V1238="","",SUMPRODUCT((Sales!$V$7:$V$1506&lt;&gt;"")*(Sales!$E$7:$E$1506&lt;$E1238))+1)</f>
        <v/>
      </c>
      <c r="X1238" s="49" t="str">
        <f t="shared" si="16"/>
        <v/>
      </c>
      <c r="Y1238" s="49" t="str">
        <f t="shared" si="17"/>
        <v/>
      </c>
    </row>
    <row r="1239" ht="15.0" customHeight="1">
      <c r="A1239" s="82"/>
      <c r="B1239" s="83"/>
      <c r="C1239" s="83"/>
      <c r="D1239" s="83"/>
      <c r="E1239" s="83"/>
      <c r="F1239" s="83"/>
      <c r="G1239" s="83" t="str">
        <f>IF($F1239="","",IFERROR(VLOOKUP($F1239,Inventory!$A:$B,2,FALSE),""))</f>
        <v/>
      </c>
      <c r="H1239" s="83"/>
      <c r="I1239" s="84" t="str">
        <f t="shared" si="2"/>
        <v/>
      </c>
      <c r="J1239" s="85" t="str">
        <f>IF($F1239="","",IFERROR(VLOOKUP($F1239,Inventory!$A:$K,11,FALSE),0))</f>
        <v/>
      </c>
      <c r="K1239" s="85"/>
      <c r="L1239" s="85" t="str">
        <f t="shared" si="12"/>
        <v/>
      </c>
      <c r="M1239" s="83"/>
      <c r="N1239" s="85" t="str">
        <f>IF($F1239="","",IFERROR(VLOOKUP($F1239,Inventory!$A:$I,9,FALSE),0))</f>
        <v/>
      </c>
      <c r="O1239" s="85" t="str">
        <f t="shared" si="13"/>
        <v/>
      </c>
      <c r="P1239" s="85" t="str">
        <f t="shared" si="5"/>
        <v/>
      </c>
      <c r="Q1239" s="83"/>
      <c r="R1239" s="118" t="str">
        <f>IF($E1239="","",IF(COUNTIF($E$7:$E2436,$E1239)&gt;1,"",IFERROR(VLOOKUP($E1239,Orders!$A:$I,8,FALSE),"")))</f>
        <v/>
      </c>
      <c r="S1239" s="118" t="str">
        <f>IF($E1239="","",IF(COUNTIF($E$7:$E2436,$E1239)&gt;1,"",IFERROR(VLOOKUP($E1239,Orders!$A:$I,9,FALSE),"")))</f>
        <v/>
      </c>
      <c r="T1239" s="88" t="str">
        <f t="shared" si="14"/>
        <v/>
      </c>
      <c r="U1239" s="88" t="str">
        <f>IF($F1239="","",IF($E1239="",T1239,SUMIF(Sales!$E$7:$E$1506,$E1239,Sales!$T$7:$T$1506)))</f>
        <v/>
      </c>
      <c r="V1239" s="49" t="str">
        <f t="shared" si="15"/>
        <v/>
      </c>
      <c r="W1239" s="49" t="str">
        <f t="array" ref="W1239">IF($V1239="","",SUMPRODUCT((Sales!$V$7:$V$1506&lt;&gt;"")*(Sales!$E$7:$E$1506&lt;$E1239))+1)</f>
        <v/>
      </c>
      <c r="X1239" s="49" t="str">
        <f t="shared" si="16"/>
        <v/>
      </c>
      <c r="Y1239" s="49" t="str">
        <f t="shared" si="17"/>
        <v/>
      </c>
    </row>
    <row r="1240" ht="15.0" customHeight="1">
      <c r="A1240" s="82"/>
      <c r="B1240" s="83"/>
      <c r="C1240" s="83"/>
      <c r="D1240" s="83"/>
      <c r="E1240" s="83"/>
      <c r="F1240" s="83"/>
      <c r="G1240" s="83" t="str">
        <f>IF($F1240="","",IFERROR(VLOOKUP($F1240,Inventory!$A:$B,2,FALSE),""))</f>
        <v/>
      </c>
      <c r="H1240" s="83"/>
      <c r="I1240" s="84" t="str">
        <f t="shared" si="2"/>
        <v/>
      </c>
      <c r="J1240" s="85" t="str">
        <f>IF($F1240="","",IFERROR(VLOOKUP($F1240,Inventory!$A:$K,11,FALSE),0))</f>
        <v/>
      </c>
      <c r="K1240" s="85"/>
      <c r="L1240" s="85" t="str">
        <f t="shared" si="12"/>
        <v/>
      </c>
      <c r="M1240" s="83"/>
      <c r="N1240" s="85" t="str">
        <f>IF($F1240="","",IFERROR(VLOOKUP($F1240,Inventory!$A:$I,9,FALSE),0))</f>
        <v/>
      </c>
      <c r="O1240" s="85" t="str">
        <f t="shared" si="13"/>
        <v/>
      </c>
      <c r="P1240" s="85" t="str">
        <f t="shared" si="5"/>
        <v/>
      </c>
      <c r="Q1240" s="83"/>
      <c r="R1240" s="118" t="str">
        <f>IF($E1240="","",IF(COUNTIF($E$7:$E2437,$E1240)&gt;1,"",IFERROR(VLOOKUP($E1240,Orders!$A:$I,8,FALSE),"")))</f>
        <v/>
      </c>
      <c r="S1240" s="118" t="str">
        <f>IF($E1240="","",IF(COUNTIF($E$7:$E2437,$E1240)&gt;1,"",IFERROR(VLOOKUP($E1240,Orders!$A:$I,9,FALSE),"")))</f>
        <v/>
      </c>
      <c r="T1240" s="88" t="str">
        <f t="shared" si="14"/>
        <v/>
      </c>
      <c r="U1240" s="88" t="str">
        <f>IF($F1240="","",IF($E1240="",T1240,SUMIF(Sales!$E$7:$E$1506,$E1240,Sales!$T$7:$T$1506)))</f>
        <v/>
      </c>
      <c r="V1240" s="49" t="str">
        <f t="shared" si="15"/>
        <v/>
      </c>
      <c r="W1240" s="49" t="str">
        <f t="array" ref="W1240">IF($V1240="","",SUMPRODUCT((Sales!$V$7:$V$1506&lt;&gt;"")*(Sales!$E$7:$E$1506&lt;$E1240))+1)</f>
        <v/>
      </c>
      <c r="X1240" s="49" t="str">
        <f t="shared" si="16"/>
        <v/>
      </c>
      <c r="Y1240" s="49" t="str">
        <f t="shared" si="17"/>
        <v/>
      </c>
    </row>
    <row r="1241" ht="15.0" customHeight="1">
      <c r="A1241" s="82"/>
      <c r="B1241" s="83"/>
      <c r="C1241" s="83"/>
      <c r="D1241" s="83"/>
      <c r="E1241" s="83"/>
      <c r="F1241" s="83"/>
      <c r="G1241" s="83" t="str">
        <f>IF($F1241="","",IFERROR(VLOOKUP($F1241,Inventory!$A:$B,2,FALSE),""))</f>
        <v/>
      </c>
      <c r="H1241" s="83"/>
      <c r="I1241" s="84" t="str">
        <f t="shared" si="2"/>
        <v/>
      </c>
      <c r="J1241" s="85" t="str">
        <f>IF($F1241="","",IFERROR(VLOOKUP($F1241,Inventory!$A:$K,11,FALSE),0))</f>
        <v/>
      </c>
      <c r="K1241" s="85"/>
      <c r="L1241" s="85" t="str">
        <f t="shared" si="12"/>
        <v/>
      </c>
      <c r="M1241" s="83"/>
      <c r="N1241" s="85" t="str">
        <f>IF($F1241="","",IFERROR(VLOOKUP($F1241,Inventory!$A:$I,9,FALSE),0))</f>
        <v/>
      </c>
      <c r="O1241" s="85" t="str">
        <f t="shared" si="13"/>
        <v/>
      </c>
      <c r="P1241" s="85" t="str">
        <f t="shared" si="5"/>
        <v/>
      </c>
      <c r="Q1241" s="83"/>
      <c r="R1241" s="118" t="str">
        <f>IF($E1241="","",IF(COUNTIF($E$7:$E2438,$E1241)&gt;1,"",IFERROR(VLOOKUP($E1241,Orders!$A:$I,8,FALSE),"")))</f>
        <v/>
      </c>
      <c r="S1241" s="118" t="str">
        <f>IF($E1241="","",IF(COUNTIF($E$7:$E2438,$E1241)&gt;1,"",IFERROR(VLOOKUP($E1241,Orders!$A:$I,9,FALSE),"")))</f>
        <v/>
      </c>
      <c r="T1241" s="88" t="str">
        <f t="shared" si="14"/>
        <v/>
      </c>
      <c r="U1241" s="88" t="str">
        <f>IF($F1241="","",IF($E1241="",T1241,SUMIF(Sales!$E$7:$E$1506,$E1241,Sales!$T$7:$T$1506)))</f>
        <v/>
      </c>
      <c r="V1241" s="49" t="str">
        <f t="shared" si="15"/>
        <v/>
      </c>
      <c r="W1241" s="49" t="str">
        <f t="array" ref="W1241">IF($V1241="","",SUMPRODUCT((Sales!$V$7:$V$1506&lt;&gt;"")*(Sales!$E$7:$E$1506&lt;$E1241))+1)</f>
        <v/>
      </c>
      <c r="X1241" s="49" t="str">
        <f t="shared" si="16"/>
        <v/>
      </c>
      <c r="Y1241" s="49" t="str">
        <f t="shared" si="17"/>
        <v/>
      </c>
    </row>
    <row r="1242" ht="15.0" customHeight="1">
      <c r="A1242" s="82"/>
      <c r="B1242" s="83"/>
      <c r="C1242" s="83"/>
      <c r="D1242" s="83"/>
      <c r="E1242" s="83"/>
      <c r="F1242" s="83"/>
      <c r="G1242" s="83" t="str">
        <f>IF($F1242="","",IFERROR(VLOOKUP($F1242,Inventory!$A:$B,2,FALSE),""))</f>
        <v/>
      </c>
      <c r="H1242" s="83"/>
      <c r="I1242" s="84" t="str">
        <f t="shared" si="2"/>
        <v/>
      </c>
      <c r="J1242" s="85" t="str">
        <f>IF($F1242="","",IFERROR(VLOOKUP($F1242,Inventory!$A:$K,11,FALSE),0))</f>
        <v/>
      </c>
      <c r="K1242" s="85"/>
      <c r="L1242" s="85" t="str">
        <f t="shared" si="12"/>
        <v/>
      </c>
      <c r="M1242" s="83"/>
      <c r="N1242" s="85" t="str">
        <f>IF($F1242="","",IFERROR(VLOOKUP($F1242,Inventory!$A:$I,9,FALSE),0))</f>
        <v/>
      </c>
      <c r="O1242" s="85" t="str">
        <f t="shared" si="13"/>
        <v/>
      </c>
      <c r="P1242" s="85" t="str">
        <f t="shared" si="5"/>
        <v/>
      </c>
      <c r="Q1242" s="83"/>
      <c r="R1242" s="118" t="str">
        <f>IF($E1242="","",IF(COUNTIF($E$7:$E2439,$E1242)&gt;1,"",IFERROR(VLOOKUP($E1242,Orders!$A:$I,8,FALSE),"")))</f>
        <v/>
      </c>
      <c r="S1242" s="118" t="str">
        <f>IF($E1242="","",IF(COUNTIF($E$7:$E2439,$E1242)&gt;1,"",IFERROR(VLOOKUP($E1242,Orders!$A:$I,9,FALSE),"")))</f>
        <v/>
      </c>
      <c r="T1242" s="88" t="str">
        <f t="shared" si="14"/>
        <v/>
      </c>
      <c r="U1242" s="88" t="str">
        <f>IF($F1242="","",IF($E1242="",T1242,SUMIF(Sales!$E$7:$E$1506,$E1242,Sales!$T$7:$T$1506)))</f>
        <v/>
      </c>
      <c r="V1242" s="49" t="str">
        <f t="shared" si="15"/>
        <v/>
      </c>
      <c r="W1242" s="49" t="str">
        <f t="array" ref="W1242">IF($V1242="","",SUMPRODUCT((Sales!$V$7:$V$1506&lt;&gt;"")*(Sales!$E$7:$E$1506&lt;$E1242))+1)</f>
        <v/>
      </c>
      <c r="X1242" s="49" t="str">
        <f t="shared" si="16"/>
        <v/>
      </c>
      <c r="Y1242" s="49" t="str">
        <f t="shared" si="17"/>
        <v/>
      </c>
    </row>
    <row r="1243" ht="15.0" customHeight="1">
      <c r="A1243" s="82"/>
      <c r="B1243" s="83"/>
      <c r="C1243" s="83"/>
      <c r="D1243" s="83"/>
      <c r="E1243" s="83"/>
      <c r="F1243" s="83"/>
      <c r="G1243" s="83" t="str">
        <f>IF($F1243="","",IFERROR(VLOOKUP($F1243,Inventory!$A:$B,2,FALSE),""))</f>
        <v/>
      </c>
      <c r="H1243" s="83"/>
      <c r="I1243" s="84" t="str">
        <f t="shared" si="2"/>
        <v/>
      </c>
      <c r="J1243" s="85" t="str">
        <f>IF($F1243="","",IFERROR(VLOOKUP($F1243,Inventory!$A:$K,11,FALSE),0))</f>
        <v/>
      </c>
      <c r="K1243" s="85"/>
      <c r="L1243" s="85" t="str">
        <f t="shared" si="12"/>
        <v/>
      </c>
      <c r="M1243" s="83"/>
      <c r="N1243" s="85" t="str">
        <f>IF($F1243="","",IFERROR(VLOOKUP($F1243,Inventory!$A:$I,9,FALSE),0))</f>
        <v/>
      </c>
      <c r="O1243" s="85" t="str">
        <f t="shared" si="13"/>
        <v/>
      </c>
      <c r="P1243" s="85" t="str">
        <f t="shared" si="5"/>
        <v/>
      </c>
      <c r="Q1243" s="83"/>
      <c r="R1243" s="118" t="str">
        <f>IF($E1243="","",IF(COUNTIF($E$7:$E2440,$E1243)&gt;1,"",IFERROR(VLOOKUP($E1243,Orders!$A:$I,8,FALSE),"")))</f>
        <v/>
      </c>
      <c r="S1243" s="118" t="str">
        <f>IF($E1243="","",IF(COUNTIF($E$7:$E2440,$E1243)&gt;1,"",IFERROR(VLOOKUP($E1243,Orders!$A:$I,9,FALSE),"")))</f>
        <v/>
      </c>
      <c r="T1243" s="88" t="str">
        <f t="shared" si="14"/>
        <v/>
      </c>
      <c r="U1243" s="88" t="str">
        <f>IF($F1243="","",IF($E1243="",T1243,SUMIF(Sales!$E$7:$E$1506,$E1243,Sales!$T$7:$T$1506)))</f>
        <v/>
      </c>
      <c r="V1243" s="49" t="str">
        <f t="shared" si="15"/>
        <v/>
      </c>
      <c r="W1243" s="49" t="str">
        <f t="array" ref="W1243">IF($V1243="","",SUMPRODUCT((Sales!$V$7:$V$1506&lt;&gt;"")*(Sales!$E$7:$E$1506&lt;$E1243))+1)</f>
        <v/>
      </c>
      <c r="X1243" s="49" t="str">
        <f t="shared" si="16"/>
        <v/>
      </c>
      <c r="Y1243" s="49" t="str">
        <f t="shared" si="17"/>
        <v/>
      </c>
    </row>
    <row r="1244" ht="15.0" customHeight="1">
      <c r="A1244" s="82"/>
      <c r="B1244" s="83"/>
      <c r="C1244" s="83"/>
      <c r="D1244" s="83"/>
      <c r="E1244" s="83"/>
      <c r="F1244" s="83"/>
      <c r="G1244" s="83" t="str">
        <f>IF($F1244="","",IFERROR(VLOOKUP($F1244,Inventory!$A:$B,2,FALSE),""))</f>
        <v/>
      </c>
      <c r="H1244" s="83"/>
      <c r="I1244" s="84" t="str">
        <f t="shared" si="2"/>
        <v/>
      </c>
      <c r="J1244" s="85" t="str">
        <f>IF($F1244="","",IFERROR(VLOOKUP($F1244,Inventory!$A:$K,11,FALSE),0))</f>
        <v/>
      </c>
      <c r="K1244" s="85"/>
      <c r="L1244" s="85" t="str">
        <f t="shared" si="12"/>
        <v/>
      </c>
      <c r="M1244" s="83"/>
      <c r="N1244" s="85" t="str">
        <f>IF($F1244="","",IFERROR(VLOOKUP($F1244,Inventory!$A:$I,9,FALSE),0))</f>
        <v/>
      </c>
      <c r="O1244" s="85" t="str">
        <f t="shared" si="13"/>
        <v/>
      </c>
      <c r="P1244" s="85" t="str">
        <f t="shared" si="5"/>
        <v/>
      </c>
      <c r="Q1244" s="83"/>
      <c r="R1244" s="118" t="str">
        <f>IF($E1244="","",IF(COUNTIF($E$7:$E2441,$E1244)&gt;1,"",IFERROR(VLOOKUP($E1244,Orders!$A:$I,8,FALSE),"")))</f>
        <v/>
      </c>
      <c r="S1244" s="118" t="str">
        <f>IF($E1244="","",IF(COUNTIF($E$7:$E2441,$E1244)&gt;1,"",IFERROR(VLOOKUP($E1244,Orders!$A:$I,9,FALSE),"")))</f>
        <v/>
      </c>
      <c r="T1244" s="88" t="str">
        <f t="shared" si="14"/>
        <v/>
      </c>
      <c r="U1244" s="88" t="str">
        <f>IF($F1244="","",IF($E1244="",T1244,SUMIF(Sales!$E$7:$E$1506,$E1244,Sales!$T$7:$T$1506)))</f>
        <v/>
      </c>
      <c r="V1244" s="49" t="str">
        <f t="shared" si="15"/>
        <v/>
      </c>
      <c r="W1244" s="49" t="str">
        <f t="array" ref="W1244">IF($V1244="","",SUMPRODUCT((Sales!$V$7:$V$1506&lt;&gt;"")*(Sales!$E$7:$E$1506&lt;$E1244))+1)</f>
        <v/>
      </c>
      <c r="X1244" s="49" t="str">
        <f t="shared" si="16"/>
        <v/>
      </c>
      <c r="Y1244" s="49" t="str">
        <f t="shared" si="17"/>
        <v/>
      </c>
    </row>
    <row r="1245" ht="15.0" customHeight="1">
      <c r="A1245" s="82"/>
      <c r="B1245" s="83"/>
      <c r="C1245" s="83"/>
      <c r="D1245" s="83"/>
      <c r="E1245" s="83"/>
      <c r="F1245" s="83"/>
      <c r="G1245" s="83" t="str">
        <f>IF($F1245="","",IFERROR(VLOOKUP($F1245,Inventory!$A:$B,2,FALSE),""))</f>
        <v/>
      </c>
      <c r="H1245" s="83"/>
      <c r="I1245" s="84" t="str">
        <f t="shared" si="2"/>
        <v/>
      </c>
      <c r="J1245" s="85" t="str">
        <f>IF($F1245="","",IFERROR(VLOOKUP($F1245,Inventory!$A:$K,11,FALSE),0))</f>
        <v/>
      </c>
      <c r="K1245" s="85"/>
      <c r="L1245" s="85" t="str">
        <f t="shared" si="12"/>
        <v/>
      </c>
      <c r="M1245" s="83"/>
      <c r="N1245" s="85" t="str">
        <f>IF($F1245="","",IFERROR(VLOOKUP($F1245,Inventory!$A:$I,9,FALSE),0))</f>
        <v/>
      </c>
      <c r="O1245" s="85" t="str">
        <f t="shared" si="13"/>
        <v/>
      </c>
      <c r="P1245" s="85" t="str">
        <f t="shared" si="5"/>
        <v/>
      </c>
      <c r="Q1245" s="83"/>
      <c r="R1245" s="118" t="str">
        <f>IF($E1245="","",IF(COUNTIF($E$7:$E2442,$E1245)&gt;1,"",IFERROR(VLOOKUP($E1245,Orders!$A:$I,8,FALSE),"")))</f>
        <v/>
      </c>
      <c r="S1245" s="118" t="str">
        <f>IF($E1245="","",IF(COUNTIF($E$7:$E2442,$E1245)&gt;1,"",IFERROR(VLOOKUP($E1245,Orders!$A:$I,9,FALSE),"")))</f>
        <v/>
      </c>
      <c r="T1245" s="88" t="str">
        <f t="shared" si="14"/>
        <v/>
      </c>
      <c r="U1245" s="88" t="str">
        <f>IF($F1245="","",IF($E1245="",T1245,SUMIF(Sales!$E$7:$E$1506,$E1245,Sales!$T$7:$T$1506)))</f>
        <v/>
      </c>
      <c r="V1245" s="49" t="str">
        <f t="shared" si="15"/>
        <v/>
      </c>
      <c r="W1245" s="49" t="str">
        <f t="array" ref="W1245">IF($V1245="","",SUMPRODUCT((Sales!$V$7:$V$1506&lt;&gt;"")*(Sales!$E$7:$E$1506&lt;$E1245))+1)</f>
        <v/>
      </c>
      <c r="X1245" s="49" t="str">
        <f t="shared" si="16"/>
        <v/>
      </c>
      <c r="Y1245" s="49" t="str">
        <f t="shared" si="17"/>
        <v/>
      </c>
    </row>
    <row r="1246" ht="15.0" customHeight="1">
      <c r="A1246" s="82"/>
      <c r="B1246" s="83"/>
      <c r="C1246" s="83"/>
      <c r="D1246" s="83"/>
      <c r="E1246" s="83"/>
      <c r="F1246" s="83"/>
      <c r="G1246" s="83" t="str">
        <f>IF($F1246="","",IFERROR(VLOOKUP($F1246,Inventory!$A:$B,2,FALSE),""))</f>
        <v/>
      </c>
      <c r="H1246" s="83"/>
      <c r="I1246" s="84" t="str">
        <f t="shared" si="2"/>
        <v/>
      </c>
      <c r="J1246" s="85" t="str">
        <f>IF($F1246="","",IFERROR(VLOOKUP($F1246,Inventory!$A:$K,11,FALSE),0))</f>
        <v/>
      </c>
      <c r="K1246" s="85"/>
      <c r="L1246" s="85" t="str">
        <f t="shared" si="12"/>
        <v/>
      </c>
      <c r="M1246" s="83"/>
      <c r="N1246" s="85" t="str">
        <f>IF($F1246="","",IFERROR(VLOOKUP($F1246,Inventory!$A:$I,9,FALSE),0))</f>
        <v/>
      </c>
      <c r="O1246" s="85" t="str">
        <f t="shared" si="13"/>
        <v/>
      </c>
      <c r="P1246" s="85" t="str">
        <f t="shared" si="5"/>
        <v/>
      </c>
      <c r="Q1246" s="83"/>
      <c r="R1246" s="118" t="str">
        <f>IF($E1246="","",IF(COUNTIF($E$7:$E2443,$E1246)&gt;1,"",IFERROR(VLOOKUP($E1246,Orders!$A:$I,8,FALSE),"")))</f>
        <v/>
      </c>
      <c r="S1246" s="118" t="str">
        <f>IF($E1246="","",IF(COUNTIF($E$7:$E2443,$E1246)&gt;1,"",IFERROR(VLOOKUP($E1246,Orders!$A:$I,9,FALSE),"")))</f>
        <v/>
      </c>
      <c r="T1246" s="88" t="str">
        <f t="shared" si="14"/>
        <v/>
      </c>
      <c r="U1246" s="88" t="str">
        <f>IF($F1246="","",IF($E1246="",T1246,SUMIF(Sales!$E$7:$E$1506,$E1246,Sales!$T$7:$T$1506)))</f>
        <v/>
      </c>
      <c r="V1246" s="49" t="str">
        <f t="shared" si="15"/>
        <v/>
      </c>
      <c r="W1246" s="49" t="str">
        <f t="array" ref="W1246">IF($V1246="","",SUMPRODUCT((Sales!$V$7:$V$1506&lt;&gt;"")*(Sales!$E$7:$E$1506&lt;$E1246))+1)</f>
        <v/>
      </c>
      <c r="X1246" s="49" t="str">
        <f t="shared" si="16"/>
        <v/>
      </c>
      <c r="Y1246" s="49" t="str">
        <f t="shared" si="17"/>
        <v/>
      </c>
    </row>
    <row r="1247" ht="15.0" customHeight="1">
      <c r="A1247" s="82"/>
      <c r="B1247" s="83"/>
      <c r="C1247" s="83"/>
      <c r="D1247" s="83"/>
      <c r="E1247" s="83"/>
      <c r="F1247" s="83"/>
      <c r="G1247" s="83" t="str">
        <f>IF($F1247="","",IFERROR(VLOOKUP($F1247,Inventory!$A:$B,2,FALSE),""))</f>
        <v/>
      </c>
      <c r="H1247" s="83"/>
      <c r="I1247" s="84" t="str">
        <f t="shared" si="2"/>
        <v/>
      </c>
      <c r="J1247" s="85" t="str">
        <f>IF($F1247="","",IFERROR(VLOOKUP($F1247,Inventory!$A:$K,11,FALSE),0))</f>
        <v/>
      </c>
      <c r="K1247" s="85"/>
      <c r="L1247" s="85" t="str">
        <f t="shared" si="12"/>
        <v/>
      </c>
      <c r="M1247" s="83"/>
      <c r="N1247" s="85" t="str">
        <f>IF($F1247="","",IFERROR(VLOOKUP($F1247,Inventory!$A:$I,9,FALSE),0))</f>
        <v/>
      </c>
      <c r="O1247" s="85" t="str">
        <f t="shared" si="13"/>
        <v/>
      </c>
      <c r="P1247" s="85" t="str">
        <f t="shared" si="5"/>
        <v/>
      </c>
      <c r="Q1247" s="83"/>
      <c r="R1247" s="118" t="str">
        <f>IF($E1247="","",IF(COUNTIF($E$7:$E2444,$E1247)&gt;1,"",IFERROR(VLOOKUP($E1247,Orders!$A:$I,8,FALSE),"")))</f>
        <v/>
      </c>
      <c r="S1247" s="118" t="str">
        <f>IF($E1247="","",IF(COUNTIF($E$7:$E2444,$E1247)&gt;1,"",IFERROR(VLOOKUP($E1247,Orders!$A:$I,9,FALSE),"")))</f>
        <v/>
      </c>
      <c r="T1247" s="88" t="str">
        <f t="shared" si="14"/>
        <v/>
      </c>
      <c r="U1247" s="88" t="str">
        <f>IF($F1247="","",IF($E1247="",T1247,SUMIF(Sales!$E$7:$E$1506,$E1247,Sales!$T$7:$T$1506)))</f>
        <v/>
      </c>
      <c r="V1247" s="49" t="str">
        <f t="shared" si="15"/>
        <v/>
      </c>
      <c r="W1247" s="49" t="str">
        <f t="array" ref="W1247">IF($V1247="","",SUMPRODUCT((Sales!$V$7:$V$1506&lt;&gt;"")*(Sales!$E$7:$E$1506&lt;$E1247))+1)</f>
        <v/>
      </c>
      <c r="X1247" s="49" t="str">
        <f t="shared" si="16"/>
        <v/>
      </c>
      <c r="Y1247" s="49" t="str">
        <f t="shared" si="17"/>
        <v/>
      </c>
    </row>
    <row r="1248" ht="15.0" customHeight="1">
      <c r="A1248" s="82"/>
      <c r="B1248" s="83"/>
      <c r="C1248" s="83"/>
      <c r="D1248" s="83"/>
      <c r="E1248" s="83"/>
      <c r="F1248" s="83"/>
      <c r="G1248" s="83" t="str">
        <f>IF($F1248="","",IFERROR(VLOOKUP($F1248,Inventory!$A:$B,2,FALSE),""))</f>
        <v/>
      </c>
      <c r="H1248" s="83"/>
      <c r="I1248" s="84" t="str">
        <f t="shared" si="2"/>
        <v/>
      </c>
      <c r="J1248" s="85" t="str">
        <f>IF($F1248="","",IFERROR(VLOOKUP($F1248,Inventory!$A:$K,11,FALSE),0))</f>
        <v/>
      </c>
      <c r="K1248" s="85"/>
      <c r="L1248" s="85" t="str">
        <f t="shared" si="12"/>
        <v/>
      </c>
      <c r="M1248" s="83"/>
      <c r="N1248" s="85" t="str">
        <f>IF($F1248="","",IFERROR(VLOOKUP($F1248,Inventory!$A:$I,9,FALSE),0))</f>
        <v/>
      </c>
      <c r="O1248" s="85" t="str">
        <f t="shared" si="13"/>
        <v/>
      </c>
      <c r="P1248" s="85" t="str">
        <f t="shared" si="5"/>
        <v/>
      </c>
      <c r="Q1248" s="83"/>
      <c r="R1248" s="118" t="str">
        <f>IF($E1248="","",IF(COUNTIF($E$7:$E2445,$E1248)&gt;1,"",IFERROR(VLOOKUP($E1248,Orders!$A:$I,8,FALSE),"")))</f>
        <v/>
      </c>
      <c r="S1248" s="118" t="str">
        <f>IF($E1248="","",IF(COUNTIF($E$7:$E2445,$E1248)&gt;1,"",IFERROR(VLOOKUP($E1248,Orders!$A:$I,9,FALSE),"")))</f>
        <v/>
      </c>
      <c r="T1248" s="88" t="str">
        <f t="shared" si="14"/>
        <v/>
      </c>
      <c r="U1248" s="88" t="str">
        <f>IF($F1248="","",IF($E1248="",T1248,SUMIF(Sales!$E$7:$E$1506,$E1248,Sales!$T$7:$T$1506)))</f>
        <v/>
      </c>
      <c r="V1248" s="49" t="str">
        <f t="shared" si="15"/>
        <v/>
      </c>
      <c r="W1248" s="49" t="str">
        <f t="array" ref="W1248">IF($V1248="","",SUMPRODUCT((Sales!$V$7:$V$1506&lt;&gt;"")*(Sales!$E$7:$E$1506&lt;$E1248))+1)</f>
        <v/>
      </c>
      <c r="X1248" s="49" t="str">
        <f t="shared" si="16"/>
        <v/>
      </c>
      <c r="Y1248" s="49" t="str">
        <f t="shared" si="17"/>
        <v/>
      </c>
    </row>
    <row r="1249" ht="15.0" customHeight="1">
      <c r="A1249" s="82"/>
      <c r="B1249" s="83"/>
      <c r="C1249" s="83"/>
      <c r="D1249" s="83"/>
      <c r="E1249" s="83"/>
      <c r="F1249" s="83"/>
      <c r="G1249" s="83" t="str">
        <f>IF($F1249="","",IFERROR(VLOOKUP($F1249,Inventory!$A:$B,2,FALSE),""))</f>
        <v/>
      </c>
      <c r="H1249" s="83"/>
      <c r="I1249" s="84" t="str">
        <f t="shared" si="2"/>
        <v/>
      </c>
      <c r="J1249" s="85" t="str">
        <f>IF($F1249="","",IFERROR(VLOOKUP($F1249,Inventory!$A:$K,11,FALSE),0))</f>
        <v/>
      </c>
      <c r="K1249" s="85"/>
      <c r="L1249" s="85" t="str">
        <f t="shared" si="12"/>
        <v/>
      </c>
      <c r="M1249" s="83"/>
      <c r="N1249" s="85" t="str">
        <f>IF($F1249="","",IFERROR(VLOOKUP($F1249,Inventory!$A:$I,9,FALSE),0))</f>
        <v/>
      </c>
      <c r="O1249" s="85" t="str">
        <f t="shared" si="13"/>
        <v/>
      </c>
      <c r="P1249" s="85" t="str">
        <f t="shared" si="5"/>
        <v/>
      </c>
      <c r="Q1249" s="83"/>
      <c r="R1249" s="118" t="str">
        <f>IF($E1249="","",IF(COUNTIF($E$7:$E2446,$E1249)&gt;1,"",IFERROR(VLOOKUP($E1249,Orders!$A:$I,8,FALSE),"")))</f>
        <v/>
      </c>
      <c r="S1249" s="118" t="str">
        <f>IF($E1249="","",IF(COUNTIF($E$7:$E2446,$E1249)&gt;1,"",IFERROR(VLOOKUP($E1249,Orders!$A:$I,9,FALSE),"")))</f>
        <v/>
      </c>
      <c r="T1249" s="88" t="str">
        <f t="shared" si="14"/>
        <v/>
      </c>
      <c r="U1249" s="88" t="str">
        <f>IF($F1249="","",IF($E1249="",T1249,SUMIF(Sales!$E$7:$E$1506,$E1249,Sales!$T$7:$T$1506)))</f>
        <v/>
      </c>
      <c r="V1249" s="49" t="str">
        <f t="shared" si="15"/>
        <v/>
      </c>
      <c r="W1249" s="49" t="str">
        <f t="array" ref="W1249">IF($V1249="","",SUMPRODUCT((Sales!$V$7:$V$1506&lt;&gt;"")*(Sales!$E$7:$E$1506&lt;$E1249))+1)</f>
        <v/>
      </c>
      <c r="X1249" s="49" t="str">
        <f t="shared" si="16"/>
        <v/>
      </c>
      <c r="Y1249" s="49" t="str">
        <f t="shared" si="17"/>
        <v/>
      </c>
    </row>
    <row r="1250" ht="15.0" customHeight="1">
      <c r="A1250" s="82"/>
      <c r="B1250" s="83"/>
      <c r="C1250" s="83"/>
      <c r="D1250" s="83"/>
      <c r="E1250" s="83"/>
      <c r="F1250" s="83"/>
      <c r="G1250" s="83" t="str">
        <f>IF($F1250="","",IFERROR(VLOOKUP($F1250,Inventory!$A:$B,2,FALSE),""))</f>
        <v/>
      </c>
      <c r="H1250" s="83"/>
      <c r="I1250" s="84" t="str">
        <f t="shared" si="2"/>
        <v/>
      </c>
      <c r="J1250" s="85" t="str">
        <f>IF($F1250="","",IFERROR(VLOOKUP($F1250,Inventory!$A:$K,11,FALSE),0))</f>
        <v/>
      </c>
      <c r="K1250" s="85"/>
      <c r="L1250" s="85" t="str">
        <f t="shared" si="12"/>
        <v/>
      </c>
      <c r="M1250" s="83"/>
      <c r="N1250" s="85" t="str">
        <f>IF($F1250="","",IFERROR(VLOOKUP($F1250,Inventory!$A:$I,9,FALSE),0))</f>
        <v/>
      </c>
      <c r="O1250" s="85" t="str">
        <f t="shared" si="13"/>
        <v/>
      </c>
      <c r="P1250" s="85" t="str">
        <f t="shared" si="5"/>
        <v/>
      </c>
      <c r="Q1250" s="83"/>
      <c r="R1250" s="118" t="str">
        <f>IF($E1250="","",IF(COUNTIF($E$7:$E2447,$E1250)&gt;1,"",IFERROR(VLOOKUP($E1250,Orders!$A:$I,8,FALSE),"")))</f>
        <v/>
      </c>
      <c r="S1250" s="118" t="str">
        <f>IF($E1250="","",IF(COUNTIF($E$7:$E2447,$E1250)&gt;1,"",IFERROR(VLOOKUP($E1250,Orders!$A:$I,9,FALSE),"")))</f>
        <v/>
      </c>
      <c r="T1250" s="88" t="str">
        <f t="shared" si="14"/>
        <v/>
      </c>
      <c r="U1250" s="88" t="str">
        <f>IF($F1250="","",IF($E1250="",T1250,SUMIF(Sales!$E$7:$E$1506,$E1250,Sales!$T$7:$T$1506)))</f>
        <v/>
      </c>
      <c r="V1250" s="49" t="str">
        <f t="shared" si="15"/>
        <v/>
      </c>
      <c r="W1250" s="49" t="str">
        <f t="array" ref="W1250">IF($V1250="","",SUMPRODUCT((Sales!$V$7:$V$1506&lt;&gt;"")*(Sales!$E$7:$E$1506&lt;$E1250))+1)</f>
        <v/>
      </c>
      <c r="X1250" s="49" t="str">
        <f t="shared" si="16"/>
        <v/>
      </c>
      <c r="Y1250" s="49" t="str">
        <f t="shared" si="17"/>
        <v/>
      </c>
    </row>
    <row r="1251" ht="15.0" customHeight="1">
      <c r="A1251" s="82"/>
      <c r="B1251" s="83"/>
      <c r="C1251" s="83"/>
      <c r="D1251" s="83"/>
      <c r="E1251" s="83"/>
      <c r="F1251" s="83"/>
      <c r="G1251" s="83" t="str">
        <f>IF($F1251="","",IFERROR(VLOOKUP($F1251,Inventory!$A:$B,2,FALSE),""))</f>
        <v/>
      </c>
      <c r="H1251" s="83"/>
      <c r="I1251" s="84" t="str">
        <f t="shared" si="2"/>
        <v/>
      </c>
      <c r="J1251" s="85" t="str">
        <f>IF($F1251="","",IFERROR(VLOOKUP($F1251,Inventory!$A:$K,11,FALSE),0))</f>
        <v/>
      </c>
      <c r="K1251" s="85"/>
      <c r="L1251" s="85" t="str">
        <f t="shared" si="12"/>
        <v/>
      </c>
      <c r="M1251" s="83"/>
      <c r="N1251" s="85" t="str">
        <f>IF($F1251="","",IFERROR(VLOOKUP($F1251,Inventory!$A:$I,9,FALSE),0))</f>
        <v/>
      </c>
      <c r="O1251" s="85" t="str">
        <f t="shared" si="13"/>
        <v/>
      </c>
      <c r="P1251" s="85" t="str">
        <f t="shared" si="5"/>
        <v/>
      </c>
      <c r="Q1251" s="83"/>
      <c r="R1251" s="118" t="str">
        <f>IF($E1251="","",IF(COUNTIF($E$7:$E2448,$E1251)&gt;1,"",IFERROR(VLOOKUP($E1251,Orders!$A:$I,8,FALSE),"")))</f>
        <v/>
      </c>
      <c r="S1251" s="118" t="str">
        <f>IF($E1251="","",IF(COUNTIF($E$7:$E2448,$E1251)&gt;1,"",IFERROR(VLOOKUP($E1251,Orders!$A:$I,9,FALSE),"")))</f>
        <v/>
      </c>
      <c r="T1251" s="88" t="str">
        <f t="shared" si="14"/>
        <v/>
      </c>
      <c r="U1251" s="88" t="str">
        <f>IF($F1251="","",IF($E1251="",T1251,SUMIF(Sales!$E$7:$E$1506,$E1251,Sales!$T$7:$T$1506)))</f>
        <v/>
      </c>
      <c r="V1251" s="49" t="str">
        <f t="shared" si="15"/>
        <v/>
      </c>
      <c r="W1251" s="49" t="str">
        <f t="array" ref="W1251">IF($V1251="","",SUMPRODUCT((Sales!$V$7:$V$1506&lt;&gt;"")*(Sales!$E$7:$E$1506&lt;$E1251))+1)</f>
        <v/>
      </c>
      <c r="X1251" s="49" t="str">
        <f t="shared" si="16"/>
        <v/>
      </c>
      <c r="Y1251" s="49" t="str">
        <f t="shared" si="17"/>
        <v/>
      </c>
    </row>
    <row r="1252" ht="15.0" customHeight="1">
      <c r="A1252" s="82"/>
      <c r="B1252" s="83"/>
      <c r="C1252" s="83"/>
      <c r="D1252" s="83"/>
      <c r="E1252" s="83"/>
      <c r="F1252" s="83"/>
      <c r="G1252" s="83" t="str">
        <f>IF($F1252="","",IFERROR(VLOOKUP($F1252,Inventory!$A:$B,2,FALSE),""))</f>
        <v/>
      </c>
      <c r="H1252" s="83"/>
      <c r="I1252" s="84" t="str">
        <f t="shared" si="2"/>
        <v/>
      </c>
      <c r="J1252" s="85" t="str">
        <f>IF($F1252="","",IFERROR(VLOOKUP($F1252,Inventory!$A:$K,11,FALSE),0))</f>
        <v/>
      </c>
      <c r="K1252" s="85"/>
      <c r="L1252" s="85" t="str">
        <f t="shared" si="12"/>
        <v/>
      </c>
      <c r="M1252" s="83"/>
      <c r="N1252" s="85" t="str">
        <f>IF($F1252="","",IFERROR(VLOOKUP($F1252,Inventory!$A:$I,9,FALSE),0))</f>
        <v/>
      </c>
      <c r="O1252" s="85" t="str">
        <f t="shared" si="13"/>
        <v/>
      </c>
      <c r="P1252" s="85" t="str">
        <f t="shared" si="5"/>
        <v/>
      </c>
      <c r="Q1252" s="83"/>
      <c r="R1252" s="118" t="str">
        <f>IF($E1252="","",IF(COUNTIF($E$7:$E2449,$E1252)&gt;1,"",IFERROR(VLOOKUP($E1252,Orders!$A:$I,8,FALSE),"")))</f>
        <v/>
      </c>
      <c r="S1252" s="118" t="str">
        <f>IF($E1252="","",IF(COUNTIF($E$7:$E2449,$E1252)&gt;1,"",IFERROR(VLOOKUP($E1252,Orders!$A:$I,9,FALSE),"")))</f>
        <v/>
      </c>
      <c r="T1252" s="88" t="str">
        <f t="shared" si="14"/>
        <v/>
      </c>
      <c r="U1252" s="88" t="str">
        <f>IF($F1252="","",IF($E1252="",T1252,SUMIF(Sales!$E$7:$E$1506,$E1252,Sales!$T$7:$T$1506)))</f>
        <v/>
      </c>
      <c r="V1252" s="49" t="str">
        <f t="shared" si="15"/>
        <v/>
      </c>
      <c r="W1252" s="49" t="str">
        <f t="array" ref="W1252">IF($V1252="","",SUMPRODUCT((Sales!$V$7:$V$1506&lt;&gt;"")*(Sales!$E$7:$E$1506&lt;$E1252))+1)</f>
        <v/>
      </c>
      <c r="X1252" s="49" t="str">
        <f t="shared" si="16"/>
        <v/>
      </c>
      <c r="Y1252" s="49" t="str">
        <f t="shared" si="17"/>
        <v/>
      </c>
    </row>
    <row r="1253" ht="15.0" customHeight="1">
      <c r="A1253" s="82"/>
      <c r="B1253" s="83"/>
      <c r="C1253" s="83"/>
      <c r="D1253" s="83"/>
      <c r="E1253" s="83"/>
      <c r="F1253" s="83"/>
      <c r="G1253" s="83" t="str">
        <f>IF($F1253="","",IFERROR(VLOOKUP($F1253,Inventory!$A:$B,2,FALSE),""))</f>
        <v/>
      </c>
      <c r="H1253" s="83"/>
      <c r="I1253" s="84" t="str">
        <f t="shared" si="2"/>
        <v/>
      </c>
      <c r="J1253" s="85" t="str">
        <f>IF($F1253="","",IFERROR(VLOOKUP($F1253,Inventory!$A:$K,11,FALSE),0))</f>
        <v/>
      </c>
      <c r="K1253" s="85"/>
      <c r="L1253" s="85" t="str">
        <f t="shared" si="12"/>
        <v/>
      </c>
      <c r="M1253" s="83"/>
      <c r="N1253" s="85" t="str">
        <f>IF($F1253="","",IFERROR(VLOOKUP($F1253,Inventory!$A:$I,9,FALSE),0))</f>
        <v/>
      </c>
      <c r="O1253" s="85" t="str">
        <f t="shared" si="13"/>
        <v/>
      </c>
      <c r="P1253" s="85" t="str">
        <f t="shared" si="5"/>
        <v/>
      </c>
      <c r="Q1253" s="83"/>
      <c r="R1253" s="118" t="str">
        <f>IF($E1253="","",IF(COUNTIF($E$7:$E2450,$E1253)&gt;1,"",IFERROR(VLOOKUP($E1253,Orders!$A:$I,8,FALSE),"")))</f>
        <v/>
      </c>
      <c r="S1253" s="118" t="str">
        <f>IF($E1253="","",IF(COUNTIF($E$7:$E2450,$E1253)&gt;1,"",IFERROR(VLOOKUP($E1253,Orders!$A:$I,9,FALSE),"")))</f>
        <v/>
      </c>
      <c r="T1253" s="88" t="str">
        <f t="shared" si="14"/>
        <v/>
      </c>
      <c r="U1253" s="88" t="str">
        <f>IF($F1253="","",IF($E1253="",T1253,SUMIF(Sales!$E$7:$E$1506,$E1253,Sales!$T$7:$T$1506)))</f>
        <v/>
      </c>
      <c r="V1253" s="49" t="str">
        <f t="shared" si="15"/>
        <v/>
      </c>
      <c r="W1253" s="49" t="str">
        <f t="array" ref="W1253">IF($V1253="","",SUMPRODUCT((Sales!$V$7:$V$1506&lt;&gt;"")*(Sales!$E$7:$E$1506&lt;$E1253))+1)</f>
        <v/>
      </c>
      <c r="X1253" s="49" t="str">
        <f t="shared" si="16"/>
        <v/>
      </c>
      <c r="Y1253" s="49" t="str">
        <f t="shared" si="17"/>
        <v/>
      </c>
    </row>
    <row r="1254" ht="15.0" customHeight="1">
      <c r="A1254" s="82"/>
      <c r="B1254" s="83"/>
      <c r="C1254" s="83"/>
      <c r="D1254" s="83"/>
      <c r="E1254" s="83"/>
      <c r="F1254" s="83"/>
      <c r="G1254" s="83" t="str">
        <f>IF($F1254="","",IFERROR(VLOOKUP($F1254,Inventory!$A:$B,2,FALSE),""))</f>
        <v/>
      </c>
      <c r="H1254" s="83"/>
      <c r="I1254" s="84" t="str">
        <f t="shared" si="2"/>
        <v/>
      </c>
      <c r="J1254" s="85" t="str">
        <f>IF($F1254="","",IFERROR(VLOOKUP($F1254,Inventory!$A:$K,11,FALSE),0))</f>
        <v/>
      </c>
      <c r="K1254" s="85"/>
      <c r="L1254" s="85" t="str">
        <f t="shared" si="12"/>
        <v/>
      </c>
      <c r="M1254" s="83"/>
      <c r="N1254" s="85" t="str">
        <f>IF($F1254="","",IFERROR(VLOOKUP($F1254,Inventory!$A:$I,9,FALSE),0))</f>
        <v/>
      </c>
      <c r="O1254" s="85" t="str">
        <f t="shared" si="13"/>
        <v/>
      </c>
      <c r="P1254" s="85" t="str">
        <f t="shared" si="5"/>
        <v/>
      </c>
      <c r="Q1254" s="83"/>
      <c r="R1254" s="118" t="str">
        <f>IF($E1254="","",IF(COUNTIF($E$7:$E2451,$E1254)&gt;1,"",IFERROR(VLOOKUP($E1254,Orders!$A:$I,8,FALSE),"")))</f>
        <v/>
      </c>
      <c r="S1254" s="118" t="str">
        <f>IF($E1254="","",IF(COUNTIF($E$7:$E2451,$E1254)&gt;1,"",IFERROR(VLOOKUP($E1254,Orders!$A:$I,9,FALSE),"")))</f>
        <v/>
      </c>
      <c r="T1254" s="88" t="str">
        <f t="shared" si="14"/>
        <v/>
      </c>
      <c r="U1254" s="88" t="str">
        <f>IF($F1254="","",IF($E1254="",T1254,SUMIF(Sales!$E$7:$E$1506,$E1254,Sales!$T$7:$T$1506)))</f>
        <v/>
      </c>
      <c r="V1254" s="49" t="str">
        <f t="shared" si="15"/>
        <v/>
      </c>
      <c r="W1254" s="49" t="str">
        <f t="array" ref="W1254">IF($V1254="","",SUMPRODUCT((Sales!$V$7:$V$1506&lt;&gt;"")*(Sales!$E$7:$E$1506&lt;$E1254))+1)</f>
        <v/>
      </c>
      <c r="X1254" s="49" t="str">
        <f t="shared" si="16"/>
        <v/>
      </c>
      <c r="Y1254" s="49" t="str">
        <f t="shared" si="17"/>
        <v/>
      </c>
    </row>
    <row r="1255" ht="15.0" customHeight="1">
      <c r="A1255" s="82"/>
      <c r="B1255" s="83"/>
      <c r="C1255" s="83"/>
      <c r="D1255" s="83"/>
      <c r="E1255" s="83"/>
      <c r="F1255" s="83"/>
      <c r="G1255" s="83" t="str">
        <f>IF($F1255="","",IFERROR(VLOOKUP($F1255,Inventory!$A:$B,2,FALSE),""))</f>
        <v/>
      </c>
      <c r="H1255" s="83"/>
      <c r="I1255" s="84" t="str">
        <f t="shared" si="2"/>
        <v/>
      </c>
      <c r="J1255" s="85" t="str">
        <f>IF($F1255="","",IFERROR(VLOOKUP($F1255,Inventory!$A:$K,11,FALSE),0))</f>
        <v/>
      </c>
      <c r="K1255" s="85"/>
      <c r="L1255" s="85" t="str">
        <f t="shared" si="12"/>
        <v/>
      </c>
      <c r="M1255" s="83"/>
      <c r="N1255" s="85" t="str">
        <f>IF($F1255="","",IFERROR(VLOOKUP($F1255,Inventory!$A:$I,9,FALSE),0))</f>
        <v/>
      </c>
      <c r="O1255" s="85" t="str">
        <f t="shared" si="13"/>
        <v/>
      </c>
      <c r="P1255" s="85" t="str">
        <f t="shared" si="5"/>
        <v/>
      </c>
      <c r="Q1255" s="83"/>
      <c r="R1255" s="118" t="str">
        <f>IF($E1255="","",IF(COUNTIF($E$7:$E2452,$E1255)&gt;1,"",IFERROR(VLOOKUP($E1255,Orders!$A:$I,8,FALSE),"")))</f>
        <v/>
      </c>
      <c r="S1255" s="118" t="str">
        <f>IF($E1255="","",IF(COUNTIF($E$7:$E2452,$E1255)&gt;1,"",IFERROR(VLOOKUP($E1255,Orders!$A:$I,9,FALSE),"")))</f>
        <v/>
      </c>
      <c r="T1255" s="88" t="str">
        <f t="shared" si="14"/>
        <v/>
      </c>
      <c r="U1255" s="88" t="str">
        <f>IF($F1255="","",IF($E1255="",T1255,SUMIF(Sales!$E$7:$E$1506,$E1255,Sales!$T$7:$T$1506)))</f>
        <v/>
      </c>
      <c r="V1255" s="49" t="str">
        <f t="shared" si="15"/>
        <v/>
      </c>
      <c r="W1255" s="49" t="str">
        <f t="array" ref="W1255">IF($V1255="","",SUMPRODUCT((Sales!$V$7:$V$1506&lt;&gt;"")*(Sales!$E$7:$E$1506&lt;$E1255))+1)</f>
        <v/>
      </c>
      <c r="X1255" s="49" t="str">
        <f t="shared" si="16"/>
        <v/>
      </c>
      <c r="Y1255" s="49" t="str">
        <f t="shared" si="17"/>
        <v/>
      </c>
    </row>
    <row r="1256" ht="15.0" customHeight="1">
      <c r="A1256" s="82"/>
      <c r="B1256" s="83"/>
      <c r="C1256" s="83"/>
      <c r="D1256" s="83"/>
      <c r="E1256" s="83"/>
      <c r="F1256" s="83"/>
      <c r="G1256" s="83" t="str">
        <f>IF($F1256="","",IFERROR(VLOOKUP($F1256,Inventory!$A:$B,2,FALSE),""))</f>
        <v/>
      </c>
      <c r="H1256" s="83"/>
      <c r="I1256" s="84" t="str">
        <f t="shared" si="2"/>
        <v/>
      </c>
      <c r="J1256" s="85" t="str">
        <f>IF($F1256="","",IFERROR(VLOOKUP($F1256,Inventory!$A:$K,11,FALSE),0))</f>
        <v/>
      </c>
      <c r="K1256" s="85"/>
      <c r="L1256" s="85" t="str">
        <f t="shared" si="12"/>
        <v/>
      </c>
      <c r="M1256" s="83"/>
      <c r="N1256" s="85" t="str">
        <f>IF($F1256="","",IFERROR(VLOOKUP($F1256,Inventory!$A:$I,9,FALSE),0))</f>
        <v/>
      </c>
      <c r="O1256" s="85" t="str">
        <f t="shared" si="13"/>
        <v/>
      </c>
      <c r="P1256" s="85" t="str">
        <f t="shared" si="5"/>
        <v/>
      </c>
      <c r="Q1256" s="83"/>
      <c r="R1256" s="118" t="str">
        <f>IF($E1256="","",IF(COUNTIF($E$7:$E2453,$E1256)&gt;1,"",IFERROR(VLOOKUP($E1256,Orders!$A:$I,8,FALSE),"")))</f>
        <v/>
      </c>
      <c r="S1256" s="118" t="str">
        <f>IF($E1256="","",IF(COUNTIF($E$7:$E2453,$E1256)&gt;1,"",IFERROR(VLOOKUP($E1256,Orders!$A:$I,9,FALSE),"")))</f>
        <v/>
      </c>
      <c r="T1256" s="88" t="str">
        <f t="shared" si="14"/>
        <v/>
      </c>
      <c r="U1256" s="88" t="str">
        <f>IF($F1256="","",IF($E1256="",T1256,SUMIF(Sales!$E$7:$E$1506,$E1256,Sales!$T$7:$T$1506)))</f>
        <v/>
      </c>
      <c r="V1256" s="49" t="str">
        <f t="shared" si="15"/>
        <v/>
      </c>
      <c r="W1256" s="49" t="str">
        <f t="array" ref="W1256">IF($V1256="","",SUMPRODUCT((Sales!$V$7:$V$1506&lt;&gt;"")*(Sales!$E$7:$E$1506&lt;$E1256))+1)</f>
        <v/>
      </c>
      <c r="X1256" s="49" t="str">
        <f t="shared" si="16"/>
        <v/>
      </c>
      <c r="Y1256" s="49" t="str">
        <f t="shared" si="17"/>
        <v/>
      </c>
    </row>
    <row r="1257" ht="15.0" customHeight="1">
      <c r="A1257" s="82"/>
      <c r="B1257" s="83"/>
      <c r="C1257" s="83"/>
      <c r="D1257" s="83"/>
      <c r="E1257" s="83"/>
      <c r="F1257" s="83"/>
      <c r="G1257" s="83" t="str">
        <f>IF($F1257="","",IFERROR(VLOOKUP($F1257,Inventory!$A:$B,2,FALSE),""))</f>
        <v/>
      </c>
      <c r="H1257" s="83"/>
      <c r="I1257" s="84" t="str">
        <f t="shared" si="2"/>
        <v/>
      </c>
      <c r="J1257" s="85" t="str">
        <f>IF($F1257="","",IFERROR(VLOOKUP($F1257,Inventory!$A:$K,11,FALSE),0))</f>
        <v/>
      </c>
      <c r="K1257" s="85"/>
      <c r="L1257" s="85" t="str">
        <f t="shared" si="12"/>
        <v/>
      </c>
      <c r="M1257" s="83"/>
      <c r="N1257" s="85" t="str">
        <f>IF($F1257="","",IFERROR(VLOOKUP($F1257,Inventory!$A:$I,9,FALSE),0))</f>
        <v/>
      </c>
      <c r="O1257" s="85" t="str">
        <f t="shared" si="13"/>
        <v/>
      </c>
      <c r="P1257" s="85" t="str">
        <f t="shared" si="5"/>
        <v/>
      </c>
      <c r="Q1257" s="83"/>
      <c r="R1257" s="118" t="str">
        <f>IF($E1257="","",IF(COUNTIF($E$7:$E2454,$E1257)&gt;1,"",IFERROR(VLOOKUP($E1257,Orders!$A:$I,8,FALSE),"")))</f>
        <v/>
      </c>
      <c r="S1257" s="118" t="str">
        <f>IF($E1257="","",IF(COUNTIF($E$7:$E2454,$E1257)&gt;1,"",IFERROR(VLOOKUP($E1257,Orders!$A:$I,9,FALSE),"")))</f>
        <v/>
      </c>
      <c r="T1257" s="88" t="str">
        <f t="shared" si="14"/>
        <v/>
      </c>
      <c r="U1257" s="88" t="str">
        <f>IF($F1257="","",IF($E1257="",T1257,SUMIF(Sales!$E$7:$E$1506,$E1257,Sales!$T$7:$T$1506)))</f>
        <v/>
      </c>
      <c r="V1257" s="49" t="str">
        <f t="shared" si="15"/>
        <v/>
      </c>
      <c r="W1257" s="49" t="str">
        <f t="array" ref="W1257">IF($V1257="","",SUMPRODUCT((Sales!$V$7:$V$1506&lt;&gt;"")*(Sales!$E$7:$E$1506&lt;$E1257))+1)</f>
        <v/>
      </c>
      <c r="X1257" s="49" t="str">
        <f t="shared" si="16"/>
        <v/>
      </c>
      <c r="Y1257" s="49" t="str">
        <f t="shared" si="17"/>
        <v/>
      </c>
    </row>
    <row r="1258" ht="15.0" customHeight="1">
      <c r="A1258" s="82"/>
      <c r="B1258" s="83"/>
      <c r="C1258" s="83"/>
      <c r="D1258" s="83"/>
      <c r="E1258" s="83"/>
      <c r="F1258" s="83"/>
      <c r="G1258" s="83" t="str">
        <f>IF($F1258="","",IFERROR(VLOOKUP($F1258,Inventory!$A:$B,2,FALSE),""))</f>
        <v/>
      </c>
      <c r="H1258" s="83"/>
      <c r="I1258" s="84" t="str">
        <f t="shared" si="2"/>
        <v/>
      </c>
      <c r="J1258" s="85" t="str">
        <f>IF($F1258="","",IFERROR(VLOOKUP($F1258,Inventory!$A:$K,11,FALSE),0))</f>
        <v/>
      </c>
      <c r="K1258" s="85"/>
      <c r="L1258" s="85" t="str">
        <f t="shared" si="12"/>
        <v/>
      </c>
      <c r="M1258" s="83"/>
      <c r="N1258" s="85" t="str">
        <f>IF($F1258="","",IFERROR(VLOOKUP($F1258,Inventory!$A:$I,9,FALSE),0))</f>
        <v/>
      </c>
      <c r="O1258" s="85" t="str">
        <f t="shared" si="13"/>
        <v/>
      </c>
      <c r="P1258" s="85" t="str">
        <f t="shared" si="5"/>
        <v/>
      </c>
      <c r="Q1258" s="83"/>
      <c r="R1258" s="118" t="str">
        <f>IF($E1258="","",IF(COUNTIF($E$7:$E2455,$E1258)&gt;1,"",IFERROR(VLOOKUP($E1258,Orders!$A:$I,8,FALSE),"")))</f>
        <v/>
      </c>
      <c r="S1258" s="118" t="str">
        <f>IF($E1258="","",IF(COUNTIF($E$7:$E2455,$E1258)&gt;1,"",IFERROR(VLOOKUP($E1258,Orders!$A:$I,9,FALSE),"")))</f>
        <v/>
      </c>
      <c r="T1258" s="88" t="str">
        <f t="shared" si="14"/>
        <v/>
      </c>
      <c r="U1258" s="88" t="str">
        <f>IF($F1258="","",IF($E1258="",T1258,SUMIF(Sales!$E$7:$E$1506,$E1258,Sales!$T$7:$T$1506)))</f>
        <v/>
      </c>
      <c r="V1258" s="49" t="str">
        <f t="shared" si="15"/>
        <v/>
      </c>
      <c r="W1258" s="49" t="str">
        <f t="array" ref="W1258">IF($V1258="","",SUMPRODUCT((Sales!$V$7:$V$1506&lt;&gt;"")*(Sales!$E$7:$E$1506&lt;$E1258))+1)</f>
        <v/>
      </c>
      <c r="X1258" s="49" t="str">
        <f t="shared" si="16"/>
        <v/>
      </c>
      <c r="Y1258" s="49" t="str">
        <f t="shared" si="17"/>
        <v/>
      </c>
    </row>
    <row r="1259" ht="15.0" customHeight="1">
      <c r="A1259" s="82"/>
      <c r="B1259" s="83"/>
      <c r="C1259" s="83"/>
      <c r="D1259" s="83"/>
      <c r="E1259" s="83"/>
      <c r="F1259" s="83"/>
      <c r="G1259" s="83" t="str">
        <f>IF($F1259="","",IFERROR(VLOOKUP($F1259,Inventory!$A:$B,2,FALSE),""))</f>
        <v/>
      </c>
      <c r="H1259" s="83"/>
      <c r="I1259" s="84" t="str">
        <f t="shared" si="2"/>
        <v/>
      </c>
      <c r="J1259" s="85" t="str">
        <f>IF($F1259="","",IFERROR(VLOOKUP($F1259,Inventory!$A:$K,11,FALSE),0))</f>
        <v/>
      </c>
      <c r="K1259" s="85"/>
      <c r="L1259" s="85" t="str">
        <f t="shared" si="12"/>
        <v/>
      </c>
      <c r="M1259" s="83"/>
      <c r="N1259" s="85" t="str">
        <f>IF($F1259="","",IFERROR(VLOOKUP($F1259,Inventory!$A:$I,9,FALSE),0))</f>
        <v/>
      </c>
      <c r="O1259" s="85" t="str">
        <f t="shared" si="13"/>
        <v/>
      </c>
      <c r="P1259" s="85" t="str">
        <f t="shared" si="5"/>
        <v/>
      </c>
      <c r="Q1259" s="83"/>
      <c r="R1259" s="118" t="str">
        <f>IF($E1259="","",IF(COUNTIF($E$7:$E2456,$E1259)&gt;1,"",IFERROR(VLOOKUP($E1259,Orders!$A:$I,8,FALSE),"")))</f>
        <v/>
      </c>
      <c r="S1259" s="118" t="str">
        <f>IF($E1259="","",IF(COUNTIF($E$7:$E2456,$E1259)&gt;1,"",IFERROR(VLOOKUP($E1259,Orders!$A:$I,9,FALSE),"")))</f>
        <v/>
      </c>
      <c r="T1259" s="88" t="str">
        <f t="shared" si="14"/>
        <v/>
      </c>
      <c r="U1259" s="88" t="str">
        <f>IF($F1259="","",IF($E1259="",T1259,SUMIF(Sales!$E$7:$E$1506,$E1259,Sales!$T$7:$T$1506)))</f>
        <v/>
      </c>
      <c r="V1259" s="49" t="str">
        <f t="shared" si="15"/>
        <v/>
      </c>
      <c r="W1259" s="49" t="str">
        <f t="array" ref="W1259">IF($V1259="","",SUMPRODUCT((Sales!$V$7:$V$1506&lt;&gt;"")*(Sales!$E$7:$E$1506&lt;$E1259))+1)</f>
        <v/>
      </c>
      <c r="X1259" s="49" t="str">
        <f t="shared" si="16"/>
        <v/>
      </c>
      <c r="Y1259" s="49" t="str">
        <f t="shared" si="17"/>
        <v/>
      </c>
    </row>
    <row r="1260" ht="15.0" customHeight="1">
      <c r="A1260" s="82"/>
      <c r="B1260" s="83"/>
      <c r="C1260" s="83"/>
      <c r="D1260" s="83"/>
      <c r="E1260" s="83"/>
      <c r="F1260" s="83"/>
      <c r="G1260" s="83" t="str">
        <f>IF($F1260="","",IFERROR(VLOOKUP($F1260,Inventory!$A:$B,2,FALSE),""))</f>
        <v/>
      </c>
      <c r="H1260" s="83"/>
      <c r="I1260" s="84" t="str">
        <f t="shared" si="2"/>
        <v/>
      </c>
      <c r="J1260" s="85" t="str">
        <f>IF($F1260="","",IFERROR(VLOOKUP($F1260,Inventory!$A:$K,11,FALSE),0))</f>
        <v/>
      </c>
      <c r="K1260" s="85"/>
      <c r="L1260" s="85" t="str">
        <f t="shared" si="12"/>
        <v/>
      </c>
      <c r="M1260" s="83"/>
      <c r="N1260" s="85" t="str">
        <f>IF($F1260="","",IFERROR(VLOOKUP($F1260,Inventory!$A:$I,9,FALSE),0))</f>
        <v/>
      </c>
      <c r="O1260" s="85" t="str">
        <f t="shared" si="13"/>
        <v/>
      </c>
      <c r="P1260" s="85" t="str">
        <f t="shared" si="5"/>
        <v/>
      </c>
      <c r="Q1260" s="83"/>
      <c r="R1260" s="118" t="str">
        <f>IF($E1260="","",IF(COUNTIF($E$7:$E2457,$E1260)&gt;1,"",IFERROR(VLOOKUP($E1260,Orders!$A:$I,8,FALSE),"")))</f>
        <v/>
      </c>
      <c r="S1260" s="118" t="str">
        <f>IF($E1260="","",IF(COUNTIF($E$7:$E2457,$E1260)&gt;1,"",IFERROR(VLOOKUP($E1260,Orders!$A:$I,9,FALSE),"")))</f>
        <v/>
      </c>
      <c r="T1260" s="88" t="str">
        <f t="shared" si="14"/>
        <v/>
      </c>
      <c r="U1260" s="88" t="str">
        <f>IF($F1260="","",IF($E1260="",T1260,SUMIF(Sales!$E$7:$E$1506,$E1260,Sales!$T$7:$T$1506)))</f>
        <v/>
      </c>
      <c r="V1260" s="49" t="str">
        <f t="shared" si="15"/>
        <v/>
      </c>
      <c r="W1260" s="49" t="str">
        <f t="array" ref="W1260">IF($V1260="","",SUMPRODUCT((Sales!$V$7:$V$1506&lt;&gt;"")*(Sales!$E$7:$E$1506&lt;$E1260))+1)</f>
        <v/>
      </c>
      <c r="X1260" s="49" t="str">
        <f t="shared" si="16"/>
        <v/>
      </c>
      <c r="Y1260" s="49" t="str">
        <f t="shared" si="17"/>
        <v/>
      </c>
    </row>
    <row r="1261" ht="15.0" customHeight="1">
      <c r="A1261" s="82"/>
      <c r="B1261" s="83"/>
      <c r="C1261" s="83"/>
      <c r="D1261" s="83"/>
      <c r="E1261" s="83"/>
      <c r="F1261" s="83"/>
      <c r="G1261" s="83" t="str">
        <f>IF($F1261="","",IFERROR(VLOOKUP($F1261,Inventory!$A:$B,2,FALSE),""))</f>
        <v/>
      </c>
      <c r="H1261" s="83"/>
      <c r="I1261" s="84" t="str">
        <f t="shared" si="2"/>
        <v/>
      </c>
      <c r="J1261" s="85" t="str">
        <f>IF($F1261="","",IFERROR(VLOOKUP($F1261,Inventory!$A:$K,11,FALSE),0))</f>
        <v/>
      </c>
      <c r="K1261" s="85"/>
      <c r="L1261" s="85" t="str">
        <f t="shared" si="12"/>
        <v/>
      </c>
      <c r="M1261" s="83"/>
      <c r="N1261" s="85" t="str">
        <f>IF($F1261="","",IFERROR(VLOOKUP($F1261,Inventory!$A:$I,9,FALSE),0))</f>
        <v/>
      </c>
      <c r="O1261" s="85" t="str">
        <f t="shared" si="13"/>
        <v/>
      </c>
      <c r="P1261" s="85" t="str">
        <f t="shared" si="5"/>
        <v/>
      </c>
      <c r="Q1261" s="83"/>
      <c r="R1261" s="118" t="str">
        <f>IF($E1261="","",IF(COUNTIF($E$7:$E2458,$E1261)&gt;1,"",IFERROR(VLOOKUP($E1261,Orders!$A:$I,8,FALSE),"")))</f>
        <v/>
      </c>
      <c r="S1261" s="118" t="str">
        <f>IF($E1261="","",IF(COUNTIF($E$7:$E2458,$E1261)&gt;1,"",IFERROR(VLOOKUP($E1261,Orders!$A:$I,9,FALSE),"")))</f>
        <v/>
      </c>
      <c r="T1261" s="88" t="str">
        <f t="shared" si="14"/>
        <v/>
      </c>
      <c r="U1261" s="88" t="str">
        <f>IF($F1261="","",IF($E1261="",T1261,SUMIF(Sales!$E$7:$E$1506,$E1261,Sales!$T$7:$T$1506)))</f>
        <v/>
      </c>
      <c r="V1261" s="49" t="str">
        <f t="shared" si="15"/>
        <v/>
      </c>
      <c r="W1261" s="49" t="str">
        <f t="array" ref="W1261">IF($V1261="","",SUMPRODUCT((Sales!$V$7:$V$1506&lt;&gt;"")*(Sales!$E$7:$E$1506&lt;$E1261))+1)</f>
        <v/>
      </c>
      <c r="X1261" s="49" t="str">
        <f t="shared" si="16"/>
        <v/>
      </c>
      <c r="Y1261" s="49" t="str">
        <f t="shared" si="17"/>
        <v/>
      </c>
    </row>
    <row r="1262" ht="15.0" customHeight="1">
      <c r="A1262" s="82"/>
      <c r="B1262" s="83"/>
      <c r="C1262" s="83"/>
      <c r="D1262" s="83"/>
      <c r="E1262" s="83"/>
      <c r="F1262" s="83"/>
      <c r="G1262" s="83" t="str">
        <f>IF($F1262="","",IFERROR(VLOOKUP($F1262,Inventory!$A:$B,2,FALSE),""))</f>
        <v/>
      </c>
      <c r="H1262" s="83"/>
      <c r="I1262" s="84" t="str">
        <f t="shared" si="2"/>
        <v/>
      </c>
      <c r="J1262" s="85" t="str">
        <f>IF($F1262="","",IFERROR(VLOOKUP($F1262,Inventory!$A:$K,11,FALSE),0))</f>
        <v/>
      </c>
      <c r="K1262" s="85"/>
      <c r="L1262" s="85" t="str">
        <f t="shared" si="12"/>
        <v/>
      </c>
      <c r="M1262" s="83"/>
      <c r="N1262" s="85" t="str">
        <f>IF($F1262="","",IFERROR(VLOOKUP($F1262,Inventory!$A:$I,9,FALSE),0))</f>
        <v/>
      </c>
      <c r="O1262" s="85" t="str">
        <f t="shared" si="13"/>
        <v/>
      </c>
      <c r="P1262" s="85" t="str">
        <f t="shared" si="5"/>
        <v/>
      </c>
      <c r="Q1262" s="83"/>
      <c r="R1262" s="118" t="str">
        <f>IF($E1262="","",IF(COUNTIF($E$7:$E2459,$E1262)&gt;1,"",IFERROR(VLOOKUP($E1262,Orders!$A:$I,8,FALSE),"")))</f>
        <v/>
      </c>
      <c r="S1262" s="118" t="str">
        <f>IF($E1262="","",IF(COUNTIF($E$7:$E2459,$E1262)&gt;1,"",IFERROR(VLOOKUP($E1262,Orders!$A:$I,9,FALSE),"")))</f>
        <v/>
      </c>
      <c r="T1262" s="88" t="str">
        <f t="shared" si="14"/>
        <v/>
      </c>
      <c r="U1262" s="88" t="str">
        <f>IF($F1262="","",IF($E1262="",T1262,SUMIF(Sales!$E$7:$E$1506,$E1262,Sales!$T$7:$T$1506)))</f>
        <v/>
      </c>
      <c r="V1262" s="49" t="str">
        <f t="shared" si="15"/>
        <v/>
      </c>
      <c r="W1262" s="49" t="str">
        <f t="array" ref="W1262">IF($V1262="","",SUMPRODUCT((Sales!$V$7:$V$1506&lt;&gt;"")*(Sales!$E$7:$E$1506&lt;$E1262))+1)</f>
        <v/>
      </c>
      <c r="X1262" s="49" t="str">
        <f t="shared" si="16"/>
        <v/>
      </c>
      <c r="Y1262" s="49" t="str">
        <f t="shared" si="17"/>
        <v/>
      </c>
    </row>
    <row r="1263" ht="15.0" customHeight="1">
      <c r="A1263" s="82"/>
      <c r="B1263" s="83"/>
      <c r="C1263" s="83"/>
      <c r="D1263" s="83"/>
      <c r="E1263" s="83"/>
      <c r="F1263" s="83"/>
      <c r="G1263" s="83" t="str">
        <f>IF($F1263="","",IFERROR(VLOOKUP($F1263,Inventory!$A:$B,2,FALSE),""))</f>
        <v/>
      </c>
      <c r="H1263" s="83"/>
      <c r="I1263" s="84" t="str">
        <f t="shared" si="2"/>
        <v/>
      </c>
      <c r="J1263" s="85" t="str">
        <f>IF($F1263="","",IFERROR(VLOOKUP($F1263,Inventory!$A:$K,11,FALSE),0))</f>
        <v/>
      </c>
      <c r="K1263" s="85"/>
      <c r="L1263" s="85" t="str">
        <f t="shared" si="12"/>
        <v/>
      </c>
      <c r="M1263" s="83"/>
      <c r="N1263" s="85" t="str">
        <f>IF($F1263="","",IFERROR(VLOOKUP($F1263,Inventory!$A:$I,9,FALSE),0))</f>
        <v/>
      </c>
      <c r="O1263" s="85" t="str">
        <f t="shared" si="13"/>
        <v/>
      </c>
      <c r="P1263" s="85" t="str">
        <f t="shared" si="5"/>
        <v/>
      </c>
      <c r="Q1263" s="83"/>
      <c r="R1263" s="118" t="str">
        <f>IF($E1263="","",IF(COUNTIF($E$7:$E2460,$E1263)&gt;1,"",IFERROR(VLOOKUP($E1263,Orders!$A:$I,8,FALSE),"")))</f>
        <v/>
      </c>
      <c r="S1263" s="118" t="str">
        <f>IF($E1263="","",IF(COUNTIF($E$7:$E2460,$E1263)&gt;1,"",IFERROR(VLOOKUP($E1263,Orders!$A:$I,9,FALSE),"")))</f>
        <v/>
      </c>
      <c r="T1263" s="88" t="str">
        <f t="shared" si="14"/>
        <v/>
      </c>
      <c r="U1263" s="88" t="str">
        <f>IF($F1263="","",IF($E1263="",T1263,SUMIF(Sales!$E$7:$E$1506,$E1263,Sales!$T$7:$T$1506)))</f>
        <v/>
      </c>
      <c r="V1263" s="49" t="str">
        <f t="shared" si="15"/>
        <v/>
      </c>
      <c r="W1263" s="49" t="str">
        <f t="array" ref="W1263">IF($V1263="","",SUMPRODUCT((Sales!$V$7:$V$1506&lt;&gt;"")*(Sales!$E$7:$E$1506&lt;$E1263))+1)</f>
        <v/>
      </c>
      <c r="X1263" s="49" t="str">
        <f t="shared" si="16"/>
        <v/>
      </c>
      <c r="Y1263" s="49" t="str">
        <f t="shared" si="17"/>
        <v/>
      </c>
    </row>
    <row r="1264" ht="15.0" customHeight="1">
      <c r="A1264" s="82"/>
      <c r="B1264" s="83"/>
      <c r="C1264" s="83"/>
      <c r="D1264" s="83"/>
      <c r="E1264" s="83"/>
      <c r="F1264" s="83"/>
      <c r="G1264" s="83" t="str">
        <f>IF($F1264="","",IFERROR(VLOOKUP($F1264,Inventory!$A:$B,2,FALSE),""))</f>
        <v/>
      </c>
      <c r="H1264" s="83"/>
      <c r="I1264" s="84" t="str">
        <f t="shared" si="2"/>
        <v/>
      </c>
      <c r="J1264" s="85" t="str">
        <f>IF($F1264="","",IFERROR(VLOOKUP($F1264,Inventory!$A:$K,11,FALSE),0))</f>
        <v/>
      </c>
      <c r="K1264" s="85"/>
      <c r="L1264" s="85" t="str">
        <f t="shared" si="12"/>
        <v/>
      </c>
      <c r="M1264" s="83"/>
      <c r="N1264" s="85" t="str">
        <f>IF($F1264="","",IFERROR(VLOOKUP($F1264,Inventory!$A:$I,9,FALSE),0))</f>
        <v/>
      </c>
      <c r="O1264" s="85" t="str">
        <f t="shared" si="13"/>
        <v/>
      </c>
      <c r="P1264" s="85" t="str">
        <f t="shared" si="5"/>
        <v/>
      </c>
      <c r="Q1264" s="83"/>
      <c r="R1264" s="118" t="str">
        <f>IF($E1264="","",IF(COUNTIF($E$7:$E2461,$E1264)&gt;1,"",IFERROR(VLOOKUP($E1264,Orders!$A:$I,8,FALSE),"")))</f>
        <v/>
      </c>
      <c r="S1264" s="118" t="str">
        <f>IF($E1264="","",IF(COUNTIF($E$7:$E2461,$E1264)&gt;1,"",IFERROR(VLOOKUP($E1264,Orders!$A:$I,9,FALSE),"")))</f>
        <v/>
      </c>
      <c r="T1264" s="88" t="str">
        <f t="shared" si="14"/>
        <v/>
      </c>
      <c r="U1264" s="88" t="str">
        <f>IF($F1264="","",IF($E1264="",T1264,SUMIF(Sales!$E$7:$E$1506,$E1264,Sales!$T$7:$T$1506)))</f>
        <v/>
      </c>
      <c r="V1264" s="49" t="str">
        <f t="shared" si="15"/>
        <v/>
      </c>
      <c r="W1264" s="49" t="str">
        <f t="array" ref="W1264">IF($V1264="","",SUMPRODUCT((Sales!$V$7:$V$1506&lt;&gt;"")*(Sales!$E$7:$E$1506&lt;$E1264))+1)</f>
        <v/>
      </c>
      <c r="X1264" s="49" t="str">
        <f t="shared" si="16"/>
        <v/>
      </c>
      <c r="Y1264" s="49" t="str">
        <f t="shared" si="17"/>
        <v/>
      </c>
    </row>
    <row r="1265" ht="15.0" customHeight="1">
      <c r="A1265" s="82"/>
      <c r="B1265" s="83"/>
      <c r="C1265" s="83"/>
      <c r="D1265" s="83"/>
      <c r="E1265" s="83"/>
      <c r="F1265" s="83"/>
      <c r="G1265" s="83" t="str">
        <f>IF($F1265="","",IFERROR(VLOOKUP($F1265,Inventory!$A:$B,2,FALSE),""))</f>
        <v/>
      </c>
      <c r="H1265" s="83"/>
      <c r="I1265" s="84" t="str">
        <f t="shared" si="2"/>
        <v/>
      </c>
      <c r="J1265" s="85" t="str">
        <f>IF($F1265="","",IFERROR(VLOOKUP($F1265,Inventory!$A:$K,11,FALSE),0))</f>
        <v/>
      </c>
      <c r="K1265" s="85"/>
      <c r="L1265" s="85" t="str">
        <f t="shared" si="12"/>
        <v/>
      </c>
      <c r="M1265" s="83"/>
      <c r="N1265" s="85" t="str">
        <f>IF($F1265="","",IFERROR(VLOOKUP($F1265,Inventory!$A:$I,9,FALSE),0))</f>
        <v/>
      </c>
      <c r="O1265" s="85" t="str">
        <f t="shared" si="13"/>
        <v/>
      </c>
      <c r="P1265" s="85" t="str">
        <f t="shared" si="5"/>
        <v/>
      </c>
      <c r="Q1265" s="83"/>
      <c r="R1265" s="118" t="str">
        <f>IF($E1265="","",IF(COUNTIF($E$7:$E2462,$E1265)&gt;1,"",IFERROR(VLOOKUP($E1265,Orders!$A:$I,8,FALSE),"")))</f>
        <v/>
      </c>
      <c r="S1265" s="118" t="str">
        <f>IF($E1265="","",IF(COUNTIF($E$7:$E2462,$E1265)&gt;1,"",IFERROR(VLOOKUP($E1265,Orders!$A:$I,9,FALSE),"")))</f>
        <v/>
      </c>
      <c r="T1265" s="88" t="str">
        <f t="shared" si="14"/>
        <v/>
      </c>
      <c r="U1265" s="88" t="str">
        <f>IF($F1265="","",IF($E1265="",T1265,SUMIF(Sales!$E$7:$E$1506,$E1265,Sales!$T$7:$T$1506)))</f>
        <v/>
      </c>
      <c r="V1265" s="49" t="str">
        <f t="shared" si="15"/>
        <v/>
      </c>
      <c r="W1265" s="49" t="str">
        <f t="array" ref="W1265">IF($V1265="","",SUMPRODUCT((Sales!$V$7:$V$1506&lt;&gt;"")*(Sales!$E$7:$E$1506&lt;$E1265))+1)</f>
        <v/>
      </c>
      <c r="X1265" s="49" t="str">
        <f t="shared" si="16"/>
        <v/>
      </c>
      <c r="Y1265" s="49" t="str">
        <f t="shared" si="17"/>
        <v/>
      </c>
    </row>
    <row r="1266" ht="15.0" customHeight="1">
      <c r="A1266" s="82"/>
      <c r="B1266" s="83"/>
      <c r="C1266" s="83"/>
      <c r="D1266" s="83"/>
      <c r="E1266" s="83"/>
      <c r="F1266" s="83"/>
      <c r="G1266" s="83" t="str">
        <f>IF($F1266="","",IFERROR(VLOOKUP($F1266,Inventory!$A:$B,2,FALSE),""))</f>
        <v/>
      </c>
      <c r="H1266" s="83"/>
      <c r="I1266" s="84" t="str">
        <f t="shared" si="2"/>
        <v/>
      </c>
      <c r="J1266" s="85" t="str">
        <f>IF($F1266="","",IFERROR(VLOOKUP($F1266,Inventory!$A:$K,11,FALSE),0))</f>
        <v/>
      </c>
      <c r="K1266" s="85"/>
      <c r="L1266" s="85" t="str">
        <f t="shared" si="12"/>
        <v/>
      </c>
      <c r="M1266" s="83"/>
      <c r="N1266" s="85" t="str">
        <f>IF($F1266="","",IFERROR(VLOOKUP($F1266,Inventory!$A:$I,9,FALSE),0))</f>
        <v/>
      </c>
      <c r="O1266" s="85" t="str">
        <f t="shared" si="13"/>
        <v/>
      </c>
      <c r="P1266" s="85" t="str">
        <f t="shared" si="5"/>
        <v/>
      </c>
      <c r="Q1266" s="83"/>
      <c r="R1266" s="118" t="str">
        <f>IF($E1266="","",IF(COUNTIF($E$7:$E2463,$E1266)&gt;1,"",IFERROR(VLOOKUP($E1266,Orders!$A:$I,8,FALSE),"")))</f>
        <v/>
      </c>
      <c r="S1266" s="118" t="str">
        <f>IF($E1266="","",IF(COUNTIF($E$7:$E2463,$E1266)&gt;1,"",IFERROR(VLOOKUP($E1266,Orders!$A:$I,9,FALSE),"")))</f>
        <v/>
      </c>
      <c r="T1266" s="88" t="str">
        <f t="shared" si="14"/>
        <v/>
      </c>
      <c r="U1266" s="88" t="str">
        <f>IF($F1266="","",IF($E1266="",T1266,SUMIF(Sales!$E$7:$E$1506,$E1266,Sales!$T$7:$T$1506)))</f>
        <v/>
      </c>
      <c r="V1266" s="49" t="str">
        <f t="shared" si="15"/>
        <v/>
      </c>
      <c r="W1266" s="49" t="str">
        <f t="array" ref="W1266">IF($V1266="","",SUMPRODUCT((Sales!$V$7:$V$1506&lt;&gt;"")*(Sales!$E$7:$E$1506&lt;$E1266))+1)</f>
        <v/>
      </c>
      <c r="X1266" s="49" t="str">
        <f t="shared" si="16"/>
        <v/>
      </c>
      <c r="Y1266" s="49" t="str">
        <f t="shared" si="17"/>
        <v/>
      </c>
    </row>
    <row r="1267" ht="15.0" customHeight="1">
      <c r="A1267" s="82"/>
      <c r="B1267" s="83"/>
      <c r="C1267" s="83"/>
      <c r="D1267" s="83"/>
      <c r="E1267" s="83"/>
      <c r="F1267" s="83"/>
      <c r="G1267" s="83" t="str">
        <f>IF($F1267="","",IFERROR(VLOOKUP($F1267,Inventory!$A:$B,2,FALSE),""))</f>
        <v/>
      </c>
      <c r="H1267" s="83"/>
      <c r="I1267" s="84" t="str">
        <f t="shared" si="2"/>
        <v/>
      </c>
      <c r="J1267" s="85" t="str">
        <f>IF($F1267="","",IFERROR(VLOOKUP($F1267,Inventory!$A:$K,11,FALSE),0))</f>
        <v/>
      </c>
      <c r="K1267" s="85"/>
      <c r="L1267" s="85" t="str">
        <f t="shared" si="12"/>
        <v/>
      </c>
      <c r="M1267" s="83"/>
      <c r="N1267" s="85" t="str">
        <f>IF($F1267="","",IFERROR(VLOOKUP($F1267,Inventory!$A:$I,9,FALSE),0))</f>
        <v/>
      </c>
      <c r="O1267" s="85" t="str">
        <f t="shared" si="13"/>
        <v/>
      </c>
      <c r="P1267" s="85" t="str">
        <f t="shared" si="5"/>
        <v/>
      </c>
      <c r="Q1267" s="83"/>
      <c r="R1267" s="118" t="str">
        <f>IF($E1267="","",IF(COUNTIF($E$7:$E2464,$E1267)&gt;1,"",IFERROR(VLOOKUP($E1267,Orders!$A:$I,8,FALSE),"")))</f>
        <v/>
      </c>
      <c r="S1267" s="118" t="str">
        <f>IF($E1267="","",IF(COUNTIF($E$7:$E2464,$E1267)&gt;1,"",IFERROR(VLOOKUP($E1267,Orders!$A:$I,9,FALSE),"")))</f>
        <v/>
      </c>
      <c r="T1267" s="88" t="str">
        <f t="shared" si="14"/>
        <v/>
      </c>
      <c r="U1267" s="88" t="str">
        <f>IF($F1267="","",IF($E1267="",T1267,SUMIF(Sales!$E$7:$E$1506,$E1267,Sales!$T$7:$T$1506)))</f>
        <v/>
      </c>
      <c r="V1267" s="49" t="str">
        <f t="shared" si="15"/>
        <v/>
      </c>
      <c r="W1267" s="49" t="str">
        <f t="array" ref="W1267">IF($V1267="","",SUMPRODUCT((Sales!$V$7:$V$1506&lt;&gt;"")*(Sales!$E$7:$E$1506&lt;$E1267))+1)</f>
        <v/>
      </c>
      <c r="X1267" s="49" t="str">
        <f t="shared" si="16"/>
        <v/>
      </c>
      <c r="Y1267" s="49" t="str">
        <f t="shared" si="17"/>
        <v/>
      </c>
    </row>
    <row r="1268" ht="15.0" customHeight="1">
      <c r="A1268" s="82"/>
      <c r="B1268" s="83"/>
      <c r="C1268" s="83"/>
      <c r="D1268" s="83"/>
      <c r="E1268" s="83"/>
      <c r="F1268" s="83"/>
      <c r="G1268" s="83" t="str">
        <f>IF($F1268="","",IFERROR(VLOOKUP($F1268,Inventory!$A:$B,2,FALSE),""))</f>
        <v/>
      </c>
      <c r="H1268" s="83"/>
      <c r="I1268" s="84" t="str">
        <f t="shared" si="2"/>
        <v/>
      </c>
      <c r="J1268" s="85" t="str">
        <f>IF($F1268="","",IFERROR(VLOOKUP($F1268,Inventory!$A:$K,11,FALSE),0))</f>
        <v/>
      </c>
      <c r="K1268" s="85"/>
      <c r="L1268" s="85" t="str">
        <f t="shared" si="12"/>
        <v/>
      </c>
      <c r="M1268" s="83"/>
      <c r="N1268" s="85" t="str">
        <f>IF($F1268="","",IFERROR(VLOOKUP($F1268,Inventory!$A:$I,9,FALSE),0))</f>
        <v/>
      </c>
      <c r="O1268" s="85" t="str">
        <f t="shared" si="13"/>
        <v/>
      </c>
      <c r="P1268" s="85" t="str">
        <f t="shared" si="5"/>
        <v/>
      </c>
      <c r="Q1268" s="83"/>
      <c r="R1268" s="118" t="str">
        <f>IF($E1268="","",IF(COUNTIF($E$7:$E2465,$E1268)&gt;1,"",IFERROR(VLOOKUP($E1268,Orders!$A:$I,8,FALSE),"")))</f>
        <v/>
      </c>
      <c r="S1268" s="118" t="str">
        <f>IF($E1268="","",IF(COUNTIF($E$7:$E2465,$E1268)&gt;1,"",IFERROR(VLOOKUP($E1268,Orders!$A:$I,9,FALSE),"")))</f>
        <v/>
      </c>
      <c r="T1268" s="88" t="str">
        <f t="shared" si="14"/>
        <v/>
      </c>
      <c r="U1268" s="88" t="str">
        <f>IF($F1268="","",IF($E1268="",T1268,SUMIF(Sales!$E$7:$E$1506,$E1268,Sales!$T$7:$T$1506)))</f>
        <v/>
      </c>
      <c r="V1268" s="49" t="str">
        <f t="shared" si="15"/>
        <v/>
      </c>
      <c r="W1268" s="49" t="str">
        <f t="array" ref="W1268">IF($V1268="","",SUMPRODUCT((Sales!$V$7:$V$1506&lt;&gt;"")*(Sales!$E$7:$E$1506&lt;$E1268))+1)</f>
        <v/>
      </c>
      <c r="X1268" s="49" t="str">
        <f t="shared" si="16"/>
        <v/>
      </c>
      <c r="Y1268" s="49" t="str">
        <f t="shared" si="17"/>
        <v/>
      </c>
    </row>
    <row r="1269" ht="15.0" customHeight="1">
      <c r="A1269" s="82"/>
      <c r="B1269" s="83"/>
      <c r="C1269" s="83"/>
      <c r="D1269" s="83"/>
      <c r="E1269" s="83"/>
      <c r="F1269" s="83"/>
      <c r="G1269" s="83" t="str">
        <f>IF($F1269="","",IFERROR(VLOOKUP($F1269,Inventory!$A:$B,2,FALSE),""))</f>
        <v/>
      </c>
      <c r="H1269" s="83"/>
      <c r="I1269" s="84" t="str">
        <f t="shared" si="2"/>
        <v/>
      </c>
      <c r="J1269" s="85" t="str">
        <f>IF($F1269="","",IFERROR(VLOOKUP($F1269,Inventory!$A:$K,11,FALSE),0))</f>
        <v/>
      </c>
      <c r="K1269" s="85"/>
      <c r="L1269" s="85" t="str">
        <f t="shared" si="12"/>
        <v/>
      </c>
      <c r="M1269" s="83"/>
      <c r="N1269" s="85" t="str">
        <f>IF($F1269="","",IFERROR(VLOOKUP($F1269,Inventory!$A:$I,9,FALSE),0))</f>
        <v/>
      </c>
      <c r="O1269" s="85" t="str">
        <f t="shared" si="13"/>
        <v/>
      </c>
      <c r="P1269" s="85" t="str">
        <f t="shared" si="5"/>
        <v/>
      </c>
      <c r="Q1269" s="83"/>
      <c r="R1269" s="118" t="str">
        <f>IF($E1269="","",IF(COUNTIF($E$7:$E2466,$E1269)&gt;1,"",IFERROR(VLOOKUP($E1269,Orders!$A:$I,8,FALSE),"")))</f>
        <v/>
      </c>
      <c r="S1269" s="118" t="str">
        <f>IF($E1269="","",IF(COUNTIF($E$7:$E2466,$E1269)&gt;1,"",IFERROR(VLOOKUP($E1269,Orders!$A:$I,9,FALSE),"")))</f>
        <v/>
      </c>
      <c r="T1269" s="88" t="str">
        <f t="shared" si="14"/>
        <v/>
      </c>
      <c r="U1269" s="88" t="str">
        <f>IF($F1269="","",IF($E1269="",T1269,SUMIF(Sales!$E$7:$E$1506,$E1269,Sales!$T$7:$T$1506)))</f>
        <v/>
      </c>
      <c r="V1269" s="49" t="str">
        <f t="shared" si="15"/>
        <v/>
      </c>
      <c r="W1269" s="49" t="str">
        <f t="array" ref="W1269">IF($V1269="","",SUMPRODUCT((Sales!$V$7:$V$1506&lt;&gt;"")*(Sales!$E$7:$E$1506&lt;$E1269))+1)</f>
        <v/>
      </c>
      <c r="X1269" s="49" t="str">
        <f t="shared" si="16"/>
        <v/>
      </c>
      <c r="Y1269" s="49" t="str">
        <f t="shared" si="17"/>
        <v/>
      </c>
    </row>
    <row r="1270" ht="15.0" customHeight="1">
      <c r="A1270" s="82"/>
      <c r="B1270" s="83"/>
      <c r="C1270" s="83"/>
      <c r="D1270" s="83"/>
      <c r="E1270" s="83"/>
      <c r="F1270" s="83"/>
      <c r="G1270" s="83" t="str">
        <f>IF($F1270="","",IFERROR(VLOOKUP($F1270,Inventory!$A:$B,2,FALSE),""))</f>
        <v/>
      </c>
      <c r="H1270" s="83"/>
      <c r="I1270" s="84" t="str">
        <f t="shared" si="2"/>
        <v/>
      </c>
      <c r="J1270" s="85" t="str">
        <f>IF($F1270="","",IFERROR(VLOOKUP($F1270,Inventory!$A:$K,11,FALSE),0))</f>
        <v/>
      </c>
      <c r="K1270" s="85"/>
      <c r="L1270" s="85" t="str">
        <f t="shared" si="12"/>
        <v/>
      </c>
      <c r="M1270" s="83"/>
      <c r="N1270" s="85" t="str">
        <f>IF($F1270="","",IFERROR(VLOOKUP($F1270,Inventory!$A:$I,9,FALSE),0))</f>
        <v/>
      </c>
      <c r="O1270" s="85" t="str">
        <f t="shared" si="13"/>
        <v/>
      </c>
      <c r="P1270" s="85" t="str">
        <f t="shared" si="5"/>
        <v/>
      </c>
      <c r="Q1270" s="83"/>
      <c r="R1270" s="118" t="str">
        <f>IF($E1270="","",IF(COUNTIF($E$7:$E2467,$E1270)&gt;1,"",IFERROR(VLOOKUP($E1270,Orders!$A:$I,8,FALSE),"")))</f>
        <v/>
      </c>
      <c r="S1270" s="118" t="str">
        <f>IF($E1270="","",IF(COUNTIF($E$7:$E2467,$E1270)&gt;1,"",IFERROR(VLOOKUP($E1270,Orders!$A:$I,9,FALSE),"")))</f>
        <v/>
      </c>
      <c r="T1270" s="88" t="str">
        <f t="shared" si="14"/>
        <v/>
      </c>
      <c r="U1270" s="88" t="str">
        <f>IF($F1270="","",IF($E1270="",T1270,SUMIF(Sales!$E$7:$E$1506,$E1270,Sales!$T$7:$T$1506)))</f>
        <v/>
      </c>
      <c r="V1270" s="49" t="str">
        <f t="shared" si="15"/>
        <v/>
      </c>
      <c r="W1270" s="49" t="str">
        <f t="array" ref="W1270">IF($V1270="","",SUMPRODUCT((Sales!$V$7:$V$1506&lt;&gt;"")*(Sales!$E$7:$E$1506&lt;$E1270))+1)</f>
        <v/>
      </c>
      <c r="X1270" s="49" t="str">
        <f t="shared" si="16"/>
        <v/>
      </c>
      <c r="Y1270" s="49" t="str">
        <f t="shared" si="17"/>
        <v/>
      </c>
    </row>
    <row r="1271" ht="15.0" customHeight="1">
      <c r="A1271" s="82"/>
      <c r="B1271" s="83"/>
      <c r="C1271" s="83"/>
      <c r="D1271" s="83"/>
      <c r="E1271" s="83"/>
      <c r="F1271" s="83"/>
      <c r="G1271" s="83" t="str">
        <f>IF($F1271="","",IFERROR(VLOOKUP($F1271,Inventory!$A:$B,2,FALSE),""))</f>
        <v/>
      </c>
      <c r="H1271" s="83"/>
      <c r="I1271" s="84" t="str">
        <f t="shared" si="2"/>
        <v/>
      </c>
      <c r="J1271" s="85" t="str">
        <f>IF($F1271="","",IFERROR(VLOOKUP($F1271,Inventory!$A:$K,11,FALSE),0))</f>
        <v/>
      </c>
      <c r="K1271" s="85"/>
      <c r="L1271" s="85" t="str">
        <f t="shared" si="12"/>
        <v/>
      </c>
      <c r="M1271" s="83"/>
      <c r="N1271" s="85" t="str">
        <f>IF($F1271="","",IFERROR(VLOOKUP($F1271,Inventory!$A:$I,9,FALSE),0))</f>
        <v/>
      </c>
      <c r="O1271" s="85" t="str">
        <f t="shared" si="13"/>
        <v/>
      </c>
      <c r="P1271" s="85" t="str">
        <f t="shared" si="5"/>
        <v/>
      </c>
      <c r="Q1271" s="83"/>
      <c r="R1271" s="118" t="str">
        <f>IF($E1271="","",IF(COUNTIF($E$7:$E2468,$E1271)&gt;1,"",IFERROR(VLOOKUP($E1271,Orders!$A:$I,8,FALSE),"")))</f>
        <v/>
      </c>
      <c r="S1271" s="118" t="str">
        <f>IF($E1271="","",IF(COUNTIF($E$7:$E2468,$E1271)&gt;1,"",IFERROR(VLOOKUP($E1271,Orders!$A:$I,9,FALSE),"")))</f>
        <v/>
      </c>
      <c r="T1271" s="88" t="str">
        <f t="shared" si="14"/>
        <v/>
      </c>
      <c r="U1271" s="88" t="str">
        <f>IF($F1271="","",IF($E1271="",T1271,SUMIF(Sales!$E$7:$E$1506,$E1271,Sales!$T$7:$T$1506)))</f>
        <v/>
      </c>
      <c r="V1271" s="49" t="str">
        <f t="shared" si="15"/>
        <v/>
      </c>
      <c r="W1271" s="49" t="str">
        <f t="array" ref="W1271">IF($V1271="","",SUMPRODUCT((Sales!$V$7:$V$1506&lt;&gt;"")*(Sales!$E$7:$E$1506&lt;$E1271))+1)</f>
        <v/>
      </c>
      <c r="X1271" s="49" t="str">
        <f t="shared" si="16"/>
        <v/>
      </c>
      <c r="Y1271" s="49" t="str">
        <f t="shared" si="17"/>
        <v/>
      </c>
    </row>
    <row r="1272" ht="15.0" customHeight="1">
      <c r="A1272" s="82"/>
      <c r="B1272" s="83"/>
      <c r="C1272" s="83"/>
      <c r="D1272" s="83"/>
      <c r="E1272" s="83"/>
      <c r="F1272" s="83"/>
      <c r="G1272" s="83" t="str">
        <f>IF($F1272="","",IFERROR(VLOOKUP($F1272,Inventory!$A:$B,2,FALSE),""))</f>
        <v/>
      </c>
      <c r="H1272" s="83"/>
      <c r="I1272" s="84" t="str">
        <f t="shared" si="2"/>
        <v/>
      </c>
      <c r="J1272" s="85" t="str">
        <f>IF($F1272="","",IFERROR(VLOOKUP($F1272,Inventory!$A:$K,11,FALSE),0))</f>
        <v/>
      </c>
      <c r="K1272" s="85"/>
      <c r="L1272" s="85" t="str">
        <f t="shared" si="12"/>
        <v/>
      </c>
      <c r="M1272" s="83"/>
      <c r="N1272" s="85" t="str">
        <f>IF($F1272="","",IFERROR(VLOOKUP($F1272,Inventory!$A:$I,9,FALSE),0))</f>
        <v/>
      </c>
      <c r="O1272" s="85" t="str">
        <f t="shared" si="13"/>
        <v/>
      </c>
      <c r="P1272" s="85" t="str">
        <f t="shared" si="5"/>
        <v/>
      </c>
      <c r="Q1272" s="83"/>
      <c r="R1272" s="118" t="str">
        <f>IF($E1272="","",IF(COUNTIF($E$7:$E2469,$E1272)&gt;1,"",IFERROR(VLOOKUP($E1272,Orders!$A:$I,8,FALSE),"")))</f>
        <v/>
      </c>
      <c r="S1272" s="118" t="str">
        <f>IF($E1272="","",IF(COUNTIF($E$7:$E2469,$E1272)&gt;1,"",IFERROR(VLOOKUP($E1272,Orders!$A:$I,9,FALSE),"")))</f>
        <v/>
      </c>
      <c r="T1272" s="88" t="str">
        <f t="shared" si="14"/>
        <v/>
      </c>
      <c r="U1272" s="88" t="str">
        <f>IF($F1272="","",IF($E1272="",T1272,SUMIF(Sales!$E$7:$E$1506,$E1272,Sales!$T$7:$T$1506)))</f>
        <v/>
      </c>
      <c r="V1272" s="49" t="str">
        <f t="shared" si="15"/>
        <v/>
      </c>
      <c r="W1272" s="49" t="str">
        <f t="array" ref="W1272">IF($V1272="","",SUMPRODUCT((Sales!$V$7:$V$1506&lt;&gt;"")*(Sales!$E$7:$E$1506&lt;$E1272))+1)</f>
        <v/>
      </c>
      <c r="X1272" s="49" t="str">
        <f t="shared" si="16"/>
        <v/>
      </c>
      <c r="Y1272" s="49" t="str">
        <f t="shared" si="17"/>
        <v/>
      </c>
    </row>
    <row r="1273" ht="15.0" customHeight="1">
      <c r="A1273" s="82"/>
      <c r="B1273" s="83"/>
      <c r="C1273" s="83"/>
      <c r="D1273" s="83"/>
      <c r="E1273" s="83"/>
      <c r="F1273" s="83"/>
      <c r="G1273" s="83" t="str">
        <f>IF($F1273="","",IFERROR(VLOOKUP($F1273,Inventory!$A:$B,2,FALSE),""))</f>
        <v/>
      </c>
      <c r="H1273" s="83"/>
      <c r="I1273" s="84" t="str">
        <f t="shared" si="2"/>
        <v/>
      </c>
      <c r="J1273" s="85" t="str">
        <f>IF($F1273="","",IFERROR(VLOOKUP($F1273,Inventory!$A:$K,11,FALSE),0))</f>
        <v/>
      </c>
      <c r="K1273" s="85"/>
      <c r="L1273" s="85" t="str">
        <f t="shared" si="12"/>
        <v/>
      </c>
      <c r="M1273" s="83"/>
      <c r="N1273" s="85" t="str">
        <f>IF($F1273="","",IFERROR(VLOOKUP($F1273,Inventory!$A:$I,9,FALSE),0))</f>
        <v/>
      </c>
      <c r="O1273" s="85" t="str">
        <f t="shared" si="13"/>
        <v/>
      </c>
      <c r="P1273" s="85" t="str">
        <f t="shared" si="5"/>
        <v/>
      </c>
      <c r="Q1273" s="83"/>
      <c r="R1273" s="118" t="str">
        <f>IF($E1273="","",IF(COUNTIF($E$7:$E2470,$E1273)&gt;1,"",IFERROR(VLOOKUP($E1273,Orders!$A:$I,8,FALSE),"")))</f>
        <v/>
      </c>
      <c r="S1273" s="118" t="str">
        <f>IF($E1273="","",IF(COUNTIF($E$7:$E2470,$E1273)&gt;1,"",IFERROR(VLOOKUP($E1273,Orders!$A:$I,9,FALSE),"")))</f>
        <v/>
      </c>
      <c r="T1273" s="88" t="str">
        <f t="shared" si="14"/>
        <v/>
      </c>
      <c r="U1273" s="88" t="str">
        <f>IF($F1273="","",IF($E1273="",T1273,SUMIF(Sales!$E$7:$E$1506,$E1273,Sales!$T$7:$T$1506)))</f>
        <v/>
      </c>
      <c r="V1273" s="49" t="str">
        <f t="shared" si="15"/>
        <v/>
      </c>
      <c r="W1273" s="49" t="str">
        <f t="array" ref="W1273">IF($V1273="","",SUMPRODUCT((Sales!$V$7:$V$1506&lt;&gt;"")*(Sales!$E$7:$E$1506&lt;$E1273))+1)</f>
        <v/>
      </c>
      <c r="X1273" s="49" t="str">
        <f t="shared" si="16"/>
        <v/>
      </c>
      <c r="Y1273" s="49" t="str">
        <f t="shared" si="17"/>
        <v/>
      </c>
    </row>
    <row r="1274" ht="15.0" customHeight="1">
      <c r="A1274" s="82"/>
      <c r="B1274" s="83"/>
      <c r="C1274" s="83"/>
      <c r="D1274" s="83"/>
      <c r="E1274" s="83"/>
      <c r="F1274" s="83"/>
      <c r="G1274" s="83" t="str">
        <f>IF($F1274="","",IFERROR(VLOOKUP($F1274,Inventory!$A:$B,2,FALSE),""))</f>
        <v/>
      </c>
      <c r="H1274" s="83"/>
      <c r="I1274" s="84" t="str">
        <f t="shared" si="2"/>
        <v/>
      </c>
      <c r="J1274" s="85" t="str">
        <f>IF($F1274="","",IFERROR(VLOOKUP($F1274,Inventory!$A:$K,11,FALSE),0))</f>
        <v/>
      </c>
      <c r="K1274" s="85"/>
      <c r="L1274" s="85" t="str">
        <f t="shared" si="12"/>
        <v/>
      </c>
      <c r="M1274" s="83"/>
      <c r="N1274" s="85" t="str">
        <f>IF($F1274="","",IFERROR(VLOOKUP($F1274,Inventory!$A:$I,9,FALSE),0))</f>
        <v/>
      </c>
      <c r="O1274" s="85" t="str">
        <f t="shared" si="13"/>
        <v/>
      </c>
      <c r="P1274" s="85" t="str">
        <f t="shared" si="5"/>
        <v/>
      </c>
      <c r="Q1274" s="83"/>
      <c r="R1274" s="118" t="str">
        <f>IF($E1274="","",IF(COUNTIF($E$7:$E2471,$E1274)&gt;1,"",IFERROR(VLOOKUP($E1274,Orders!$A:$I,8,FALSE),"")))</f>
        <v/>
      </c>
      <c r="S1274" s="118" t="str">
        <f>IF($E1274="","",IF(COUNTIF($E$7:$E2471,$E1274)&gt;1,"",IFERROR(VLOOKUP($E1274,Orders!$A:$I,9,FALSE),"")))</f>
        <v/>
      </c>
      <c r="T1274" s="88" t="str">
        <f t="shared" si="14"/>
        <v/>
      </c>
      <c r="U1274" s="88" t="str">
        <f>IF($F1274="","",IF($E1274="",T1274,SUMIF(Sales!$E$7:$E$1506,$E1274,Sales!$T$7:$T$1506)))</f>
        <v/>
      </c>
      <c r="V1274" s="49" t="str">
        <f t="shared" si="15"/>
        <v/>
      </c>
      <c r="W1274" s="49" t="str">
        <f t="array" ref="W1274">IF($V1274="","",SUMPRODUCT((Sales!$V$7:$V$1506&lt;&gt;"")*(Sales!$E$7:$E$1506&lt;$E1274))+1)</f>
        <v/>
      </c>
      <c r="X1274" s="49" t="str">
        <f t="shared" si="16"/>
        <v/>
      </c>
      <c r="Y1274" s="49" t="str">
        <f t="shared" si="17"/>
        <v/>
      </c>
    </row>
    <row r="1275" ht="15.0" customHeight="1">
      <c r="A1275" s="82"/>
      <c r="B1275" s="83"/>
      <c r="C1275" s="83"/>
      <c r="D1275" s="83"/>
      <c r="E1275" s="83"/>
      <c r="F1275" s="83"/>
      <c r="G1275" s="83" t="str">
        <f>IF($F1275="","",IFERROR(VLOOKUP($F1275,Inventory!$A:$B,2,FALSE),""))</f>
        <v/>
      </c>
      <c r="H1275" s="83"/>
      <c r="I1275" s="84" t="str">
        <f t="shared" si="2"/>
        <v/>
      </c>
      <c r="J1275" s="85" t="str">
        <f>IF($F1275="","",IFERROR(VLOOKUP($F1275,Inventory!$A:$K,11,FALSE),0))</f>
        <v/>
      </c>
      <c r="K1275" s="85"/>
      <c r="L1275" s="85" t="str">
        <f t="shared" si="12"/>
        <v/>
      </c>
      <c r="M1275" s="83"/>
      <c r="N1275" s="85" t="str">
        <f>IF($F1275="","",IFERROR(VLOOKUP($F1275,Inventory!$A:$I,9,FALSE),0))</f>
        <v/>
      </c>
      <c r="O1275" s="85" t="str">
        <f t="shared" si="13"/>
        <v/>
      </c>
      <c r="P1275" s="85" t="str">
        <f t="shared" si="5"/>
        <v/>
      </c>
      <c r="Q1275" s="83"/>
      <c r="R1275" s="118" t="str">
        <f>IF($E1275="","",IF(COUNTIF($E$7:$E2472,$E1275)&gt;1,"",IFERROR(VLOOKUP($E1275,Orders!$A:$I,8,FALSE),"")))</f>
        <v/>
      </c>
      <c r="S1275" s="118" t="str">
        <f>IF($E1275="","",IF(COUNTIF($E$7:$E2472,$E1275)&gt;1,"",IFERROR(VLOOKUP($E1275,Orders!$A:$I,9,FALSE),"")))</f>
        <v/>
      </c>
      <c r="T1275" s="88" t="str">
        <f t="shared" si="14"/>
        <v/>
      </c>
      <c r="U1275" s="88" t="str">
        <f>IF($F1275="","",IF($E1275="",T1275,SUMIF(Sales!$E$7:$E$1506,$E1275,Sales!$T$7:$T$1506)))</f>
        <v/>
      </c>
      <c r="V1275" s="49" t="str">
        <f t="shared" si="15"/>
        <v/>
      </c>
      <c r="W1275" s="49" t="str">
        <f t="array" ref="W1275">IF($V1275="","",SUMPRODUCT((Sales!$V$7:$V$1506&lt;&gt;"")*(Sales!$E$7:$E$1506&lt;$E1275))+1)</f>
        <v/>
      </c>
      <c r="X1275" s="49" t="str">
        <f t="shared" si="16"/>
        <v/>
      </c>
      <c r="Y1275" s="49" t="str">
        <f t="shared" si="17"/>
        <v/>
      </c>
    </row>
    <row r="1276" ht="15.0" customHeight="1">
      <c r="A1276" s="82"/>
      <c r="B1276" s="83"/>
      <c r="C1276" s="83"/>
      <c r="D1276" s="83"/>
      <c r="E1276" s="83"/>
      <c r="F1276" s="83"/>
      <c r="G1276" s="83" t="str">
        <f>IF($F1276="","",IFERROR(VLOOKUP($F1276,Inventory!$A:$B,2,FALSE),""))</f>
        <v/>
      </c>
      <c r="H1276" s="83"/>
      <c r="I1276" s="84" t="str">
        <f t="shared" si="2"/>
        <v/>
      </c>
      <c r="J1276" s="85" t="str">
        <f>IF($F1276="","",IFERROR(VLOOKUP($F1276,Inventory!$A:$K,11,FALSE),0))</f>
        <v/>
      </c>
      <c r="K1276" s="85"/>
      <c r="L1276" s="85" t="str">
        <f t="shared" si="12"/>
        <v/>
      </c>
      <c r="M1276" s="83"/>
      <c r="N1276" s="85" t="str">
        <f>IF($F1276="","",IFERROR(VLOOKUP($F1276,Inventory!$A:$I,9,FALSE),0))</f>
        <v/>
      </c>
      <c r="O1276" s="85" t="str">
        <f t="shared" si="13"/>
        <v/>
      </c>
      <c r="P1276" s="85" t="str">
        <f t="shared" si="5"/>
        <v/>
      </c>
      <c r="Q1276" s="83"/>
      <c r="R1276" s="118" t="str">
        <f>IF($E1276="","",IF(COUNTIF($E$7:$E2473,$E1276)&gt;1,"",IFERROR(VLOOKUP($E1276,Orders!$A:$I,8,FALSE),"")))</f>
        <v/>
      </c>
      <c r="S1276" s="118" t="str">
        <f>IF($E1276="","",IF(COUNTIF($E$7:$E2473,$E1276)&gt;1,"",IFERROR(VLOOKUP($E1276,Orders!$A:$I,9,FALSE),"")))</f>
        <v/>
      </c>
      <c r="T1276" s="88" t="str">
        <f t="shared" si="14"/>
        <v/>
      </c>
      <c r="U1276" s="88" t="str">
        <f>IF($F1276="","",IF($E1276="",T1276,SUMIF(Sales!$E$7:$E$1506,$E1276,Sales!$T$7:$T$1506)))</f>
        <v/>
      </c>
      <c r="V1276" s="49" t="str">
        <f t="shared" si="15"/>
        <v/>
      </c>
      <c r="W1276" s="49" t="str">
        <f t="array" ref="W1276">IF($V1276="","",SUMPRODUCT((Sales!$V$7:$V$1506&lt;&gt;"")*(Sales!$E$7:$E$1506&lt;$E1276))+1)</f>
        <v/>
      </c>
      <c r="X1276" s="49" t="str">
        <f t="shared" si="16"/>
        <v/>
      </c>
      <c r="Y1276" s="49" t="str">
        <f t="shared" si="17"/>
        <v/>
      </c>
    </row>
    <row r="1277" ht="15.0" customHeight="1">
      <c r="A1277" s="82"/>
      <c r="B1277" s="83"/>
      <c r="C1277" s="83"/>
      <c r="D1277" s="83"/>
      <c r="E1277" s="83"/>
      <c r="F1277" s="83"/>
      <c r="G1277" s="83" t="str">
        <f>IF($F1277="","",IFERROR(VLOOKUP($F1277,Inventory!$A:$B,2,FALSE),""))</f>
        <v/>
      </c>
      <c r="H1277" s="83"/>
      <c r="I1277" s="84" t="str">
        <f t="shared" si="2"/>
        <v/>
      </c>
      <c r="J1277" s="85" t="str">
        <f>IF($F1277="","",IFERROR(VLOOKUP($F1277,Inventory!$A:$K,11,FALSE),0))</f>
        <v/>
      </c>
      <c r="K1277" s="85"/>
      <c r="L1277" s="85" t="str">
        <f t="shared" si="12"/>
        <v/>
      </c>
      <c r="M1277" s="83"/>
      <c r="N1277" s="85" t="str">
        <f>IF($F1277="","",IFERROR(VLOOKUP($F1277,Inventory!$A:$I,9,FALSE),0))</f>
        <v/>
      </c>
      <c r="O1277" s="85" t="str">
        <f t="shared" si="13"/>
        <v/>
      </c>
      <c r="P1277" s="85" t="str">
        <f t="shared" si="5"/>
        <v/>
      </c>
      <c r="Q1277" s="83"/>
      <c r="R1277" s="118" t="str">
        <f>IF($E1277="","",IF(COUNTIF($E$7:$E2474,$E1277)&gt;1,"",IFERROR(VLOOKUP($E1277,Orders!$A:$I,8,FALSE),"")))</f>
        <v/>
      </c>
      <c r="S1277" s="118" t="str">
        <f>IF($E1277="","",IF(COUNTIF($E$7:$E2474,$E1277)&gt;1,"",IFERROR(VLOOKUP($E1277,Orders!$A:$I,9,FALSE),"")))</f>
        <v/>
      </c>
      <c r="T1277" s="88" t="str">
        <f t="shared" si="14"/>
        <v/>
      </c>
      <c r="U1277" s="88" t="str">
        <f>IF($F1277="","",IF($E1277="",T1277,SUMIF(Sales!$E$7:$E$1506,$E1277,Sales!$T$7:$T$1506)))</f>
        <v/>
      </c>
      <c r="V1277" s="49" t="str">
        <f t="shared" si="15"/>
        <v/>
      </c>
      <c r="W1277" s="49" t="str">
        <f t="array" ref="W1277">IF($V1277="","",SUMPRODUCT((Sales!$V$7:$V$1506&lt;&gt;"")*(Sales!$E$7:$E$1506&lt;$E1277))+1)</f>
        <v/>
      </c>
      <c r="X1277" s="49" t="str">
        <f t="shared" si="16"/>
        <v/>
      </c>
      <c r="Y1277" s="49" t="str">
        <f t="shared" si="17"/>
        <v/>
      </c>
    </row>
    <row r="1278" ht="15.0" customHeight="1">
      <c r="A1278" s="82"/>
      <c r="B1278" s="83"/>
      <c r="C1278" s="83"/>
      <c r="D1278" s="83"/>
      <c r="E1278" s="83"/>
      <c r="F1278" s="83"/>
      <c r="G1278" s="83" t="str">
        <f>IF($F1278="","",IFERROR(VLOOKUP($F1278,Inventory!$A:$B,2,FALSE),""))</f>
        <v/>
      </c>
      <c r="H1278" s="83"/>
      <c r="I1278" s="84" t="str">
        <f t="shared" si="2"/>
        <v/>
      </c>
      <c r="J1278" s="85" t="str">
        <f>IF($F1278="","",IFERROR(VLOOKUP($F1278,Inventory!$A:$K,11,FALSE),0))</f>
        <v/>
      </c>
      <c r="K1278" s="85"/>
      <c r="L1278" s="85" t="str">
        <f t="shared" si="12"/>
        <v/>
      </c>
      <c r="M1278" s="83"/>
      <c r="N1278" s="85" t="str">
        <f>IF($F1278="","",IFERROR(VLOOKUP($F1278,Inventory!$A:$I,9,FALSE),0))</f>
        <v/>
      </c>
      <c r="O1278" s="85" t="str">
        <f t="shared" si="13"/>
        <v/>
      </c>
      <c r="P1278" s="85" t="str">
        <f t="shared" si="5"/>
        <v/>
      </c>
      <c r="Q1278" s="83"/>
      <c r="R1278" s="118" t="str">
        <f>IF($E1278="","",IF(COUNTIF($E$7:$E2475,$E1278)&gt;1,"",IFERROR(VLOOKUP($E1278,Orders!$A:$I,8,FALSE),"")))</f>
        <v/>
      </c>
      <c r="S1278" s="118" t="str">
        <f>IF($E1278="","",IF(COUNTIF($E$7:$E2475,$E1278)&gt;1,"",IFERROR(VLOOKUP($E1278,Orders!$A:$I,9,FALSE),"")))</f>
        <v/>
      </c>
      <c r="T1278" s="88" t="str">
        <f t="shared" si="14"/>
        <v/>
      </c>
      <c r="U1278" s="88" t="str">
        <f>IF($F1278="","",IF($E1278="",T1278,SUMIF(Sales!$E$7:$E$1506,$E1278,Sales!$T$7:$T$1506)))</f>
        <v/>
      </c>
      <c r="V1278" s="49" t="str">
        <f t="shared" si="15"/>
        <v/>
      </c>
      <c r="W1278" s="49" t="str">
        <f t="array" ref="W1278">IF($V1278="","",SUMPRODUCT((Sales!$V$7:$V$1506&lt;&gt;"")*(Sales!$E$7:$E$1506&lt;$E1278))+1)</f>
        <v/>
      </c>
      <c r="X1278" s="49" t="str">
        <f t="shared" si="16"/>
        <v/>
      </c>
      <c r="Y1278" s="49" t="str">
        <f t="shared" si="17"/>
        <v/>
      </c>
    </row>
    <row r="1279" ht="15.0" customHeight="1">
      <c r="A1279" s="82"/>
      <c r="B1279" s="83"/>
      <c r="C1279" s="83"/>
      <c r="D1279" s="83"/>
      <c r="E1279" s="83"/>
      <c r="F1279" s="83"/>
      <c r="G1279" s="83" t="str">
        <f>IF($F1279="","",IFERROR(VLOOKUP($F1279,Inventory!$A:$B,2,FALSE),""))</f>
        <v/>
      </c>
      <c r="H1279" s="83"/>
      <c r="I1279" s="84" t="str">
        <f t="shared" si="2"/>
        <v/>
      </c>
      <c r="J1279" s="85" t="str">
        <f>IF($F1279="","",IFERROR(VLOOKUP($F1279,Inventory!$A:$K,11,FALSE),0))</f>
        <v/>
      </c>
      <c r="K1279" s="85"/>
      <c r="L1279" s="85" t="str">
        <f t="shared" si="12"/>
        <v/>
      </c>
      <c r="M1279" s="83"/>
      <c r="N1279" s="85" t="str">
        <f>IF($F1279="","",IFERROR(VLOOKUP($F1279,Inventory!$A:$I,9,FALSE),0))</f>
        <v/>
      </c>
      <c r="O1279" s="85" t="str">
        <f t="shared" si="13"/>
        <v/>
      </c>
      <c r="P1279" s="85" t="str">
        <f t="shared" si="5"/>
        <v/>
      </c>
      <c r="Q1279" s="83"/>
      <c r="R1279" s="118" t="str">
        <f>IF($E1279="","",IF(COUNTIF($E$7:$E2476,$E1279)&gt;1,"",IFERROR(VLOOKUP($E1279,Orders!$A:$I,8,FALSE),"")))</f>
        <v/>
      </c>
      <c r="S1279" s="118" t="str">
        <f>IF($E1279="","",IF(COUNTIF($E$7:$E2476,$E1279)&gt;1,"",IFERROR(VLOOKUP($E1279,Orders!$A:$I,9,FALSE),"")))</f>
        <v/>
      </c>
      <c r="T1279" s="88" t="str">
        <f t="shared" si="14"/>
        <v/>
      </c>
      <c r="U1279" s="88" t="str">
        <f>IF($F1279="","",IF($E1279="",T1279,SUMIF(Sales!$E$7:$E$1506,$E1279,Sales!$T$7:$T$1506)))</f>
        <v/>
      </c>
      <c r="V1279" s="49" t="str">
        <f t="shared" si="15"/>
        <v/>
      </c>
      <c r="W1279" s="49" t="str">
        <f t="array" ref="W1279">IF($V1279="","",SUMPRODUCT((Sales!$V$7:$V$1506&lt;&gt;"")*(Sales!$E$7:$E$1506&lt;$E1279))+1)</f>
        <v/>
      </c>
      <c r="X1279" s="49" t="str">
        <f t="shared" si="16"/>
        <v/>
      </c>
      <c r="Y1279" s="49" t="str">
        <f t="shared" si="17"/>
        <v/>
      </c>
    </row>
    <row r="1280" ht="15.0" customHeight="1">
      <c r="A1280" s="82"/>
      <c r="B1280" s="83"/>
      <c r="C1280" s="83"/>
      <c r="D1280" s="83"/>
      <c r="E1280" s="83"/>
      <c r="F1280" s="83"/>
      <c r="G1280" s="83" t="str">
        <f>IF($F1280="","",IFERROR(VLOOKUP($F1280,Inventory!$A:$B,2,FALSE),""))</f>
        <v/>
      </c>
      <c r="H1280" s="83"/>
      <c r="I1280" s="84" t="str">
        <f t="shared" si="2"/>
        <v/>
      </c>
      <c r="J1280" s="85" t="str">
        <f>IF($F1280="","",IFERROR(VLOOKUP($F1280,Inventory!$A:$K,11,FALSE),0))</f>
        <v/>
      </c>
      <c r="K1280" s="85"/>
      <c r="L1280" s="85" t="str">
        <f t="shared" si="12"/>
        <v/>
      </c>
      <c r="M1280" s="83"/>
      <c r="N1280" s="85" t="str">
        <f>IF($F1280="","",IFERROR(VLOOKUP($F1280,Inventory!$A:$I,9,FALSE),0))</f>
        <v/>
      </c>
      <c r="O1280" s="85" t="str">
        <f t="shared" si="13"/>
        <v/>
      </c>
      <c r="P1280" s="85" t="str">
        <f t="shared" si="5"/>
        <v/>
      </c>
      <c r="Q1280" s="83"/>
      <c r="R1280" s="118" t="str">
        <f>IF($E1280="","",IF(COUNTIF($E$7:$E2477,$E1280)&gt;1,"",IFERROR(VLOOKUP($E1280,Orders!$A:$I,8,FALSE),"")))</f>
        <v/>
      </c>
      <c r="S1280" s="118" t="str">
        <f>IF($E1280="","",IF(COUNTIF($E$7:$E2477,$E1280)&gt;1,"",IFERROR(VLOOKUP($E1280,Orders!$A:$I,9,FALSE),"")))</f>
        <v/>
      </c>
      <c r="T1280" s="88" t="str">
        <f t="shared" si="14"/>
        <v/>
      </c>
      <c r="U1280" s="88" t="str">
        <f>IF($F1280="","",IF($E1280="",T1280,SUMIF(Sales!$E$7:$E$1506,$E1280,Sales!$T$7:$T$1506)))</f>
        <v/>
      </c>
      <c r="V1280" s="49" t="str">
        <f t="shared" si="15"/>
        <v/>
      </c>
      <c r="W1280" s="49" t="str">
        <f t="array" ref="W1280">IF($V1280="","",SUMPRODUCT((Sales!$V$7:$V$1506&lt;&gt;"")*(Sales!$E$7:$E$1506&lt;$E1280))+1)</f>
        <v/>
      </c>
      <c r="X1280" s="49" t="str">
        <f t="shared" si="16"/>
        <v/>
      </c>
      <c r="Y1280" s="49" t="str">
        <f t="shared" si="17"/>
        <v/>
      </c>
    </row>
    <row r="1281" ht="15.0" customHeight="1">
      <c r="A1281" s="82"/>
      <c r="B1281" s="83"/>
      <c r="C1281" s="83"/>
      <c r="D1281" s="83"/>
      <c r="E1281" s="83"/>
      <c r="F1281" s="83"/>
      <c r="G1281" s="83" t="str">
        <f>IF($F1281="","",IFERROR(VLOOKUP($F1281,Inventory!$A:$B,2,FALSE),""))</f>
        <v/>
      </c>
      <c r="H1281" s="83"/>
      <c r="I1281" s="84" t="str">
        <f t="shared" si="2"/>
        <v/>
      </c>
      <c r="J1281" s="85" t="str">
        <f>IF($F1281="","",IFERROR(VLOOKUP($F1281,Inventory!$A:$K,11,FALSE),0))</f>
        <v/>
      </c>
      <c r="K1281" s="85"/>
      <c r="L1281" s="85" t="str">
        <f t="shared" si="12"/>
        <v/>
      </c>
      <c r="M1281" s="83"/>
      <c r="N1281" s="85" t="str">
        <f>IF($F1281="","",IFERROR(VLOOKUP($F1281,Inventory!$A:$I,9,FALSE),0))</f>
        <v/>
      </c>
      <c r="O1281" s="85" t="str">
        <f t="shared" si="13"/>
        <v/>
      </c>
      <c r="P1281" s="85" t="str">
        <f t="shared" si="5"/>
        <v/>
      </c>
      <c r="Q1281" s="83"/>
      <c r="R1281" s="118" t="str">
        <f>IF($E1281="","",IF(COUNTIF($E$7:$E2478,$E1281)&gt;1,"",IFERROR(VLOOKUP($E1281,Orders!$A:$I,8,FALSE),"")))</f>
        <v/>
      </c>
      <c r="S1281" s="118" t="str">
        <f>IF($E1281="","",IF(COUNTIF($E$7:$E2478,$E1281)&gt;1,"",IFERROR(VLOOKUP($E1281,Orders!$A:$I,9,FALSE),"")))</f>
        <v/>
      </c>
      <c r="T1281" s="88" t="str">
        <f t="shared" si="14"/>
        <v/>
      </c>
      <c r="U1281" s="88" t="str">
        <f>IF($F1281="","",IF($E1281="",T1281,SUMIF(Sales!$E$7:$E$1506,$E1281,Sales!$T$7:$T$1506)))</f>
        <v/>
      </c>
      <c r="V1281" s="49" t="str">
        <f t="shared" si="15"/>
        <v/>
      </c>
      <c r="W1281" s="49" t="str">
        <f t="array" ref="W1281">IF($V1281="","",SUMPRODUCT((Sales!$V$7:$V$1506&lt;&gt;"")*(Sales!$E$7:$E$1506&lt;$E1281))+1)</f>
        <v/>
      </c>
      <c r="X1281" s="49" t="str">
        <f t="shared" si="16"/>
        <v/>
      </c>
      <c r="Y1281" s="49" t="str">
        <f t="shared" si="17"/>
        <v/>
      </c>
    </row>
    <row r="1282" ht="15.0" customHeight="1">
      <c r="A1282" s="82"/>
      <c r="B1282" s="83"/>
      <c r="C1282" s="83"/>
      <c r="D1282" s="83"/>
      <c r="E1282" s="83"/>
      <c r="F1282" s="83"/>
      <c r="G1282" s="83" t="str">
        <f>IF($F1282="","",IFERROR(VLOOKUP($F1282,Inventory!$A:$B,2,FALSE),""))</f>
        <v/>
      </c>
      <c r="H1282" s="83"/>
      <c r="I1282" s="84" t="str">
        <f t="shared" si="2"/>
        <v/>
      </c>
      <c r="J1282" s="85" t="str">
        <f>IF($F1282="","",IFERROR(VLOOKUP($F1282,Inventory!$A:$K,11,FALSE),0))</f>
        <v/>
      </c>
      <c r="K1282" s="85"/>
      <c r="L1282" s="85" t="str">
        <f t="shared" si="12"/>
        <v/>
      </c>
      <c r="M1282" s="83"/>
      <c r="N1282" s="85" t="str">
        <f>IF($F1282="","",IFERROR(VLOOKUP($F1282,Inventory!$A:$I,9,FALSE),0))</f>
        <v/>
      </c>
      <c r="O1282" s="85" t="str">
        <f t="shared" si="13"/>
        <v/>
      </c>
      <c r="P1282" s="85" t="str">
        <f t="shared" si="5"/>
        <v/>
      </c>
      <c r="Q1282" s="83"/>
      <c r="R1282" s="118" t="str">
        <f>IF($E1282="","",IF(COUNTIF($E$7:$E2479,$E1282)&gt;1,"",IFERROR(VLOOKUP($E1282,Orders!$A:$I,8,FALSE),"")))</f>
        <v/>
      </c>
      <c r="S1282" s="118" t="str">
        <f>IF($E1282="","",IF(COUNTIF($E$7:$E2479,$E1282)&gt;1,"",IFERROR(VLOOKUP($E1282,Orders!$A:$I,9,FALSE),"")))</f>
        <v/>
      </c>
      <c r="T1282" s="88" t="str">
        <f t="shared" si="14"/>
        <v/>
      </c>
      <c r="U1282" s="88" t="str">
        <f>IF($F1282="","",IF($E1282="",T1282,SUMIF(Sales!$E$7:$E$1506,$E1282,Sales!$T$7:$T$1506)))</f>
        <v/>
      </c>
      <c r="V1282" s="49" t="str">
        <f t="shared" si="15"/>
        <v/>
      </c>
      <c r="W1282" s="49" t="str">
        <f t="array" ref="W1282">IF($V1282="","",SUMPRODUCT((Sales!$V$7:$V$1506&lt;&gt;"")*(Sales!$E$7:$E$1506&lt;$E1282))+1)</f>
        <v/>
      </c>
      <c r="X1282" s="49" t="str">
        <f t="shared" si="16"/>
        <v/>
      </c>
      <c r="Y1282" s="49" t="str">
        <f t="shared" si="17"/>
        <v/>
      </c>
    </row>
    <row r="1283" ht="15.0" customHeight="1">
      <c r="A1283" s="82"/>
      <c r="B1283" s="83"/>
      <c r="C1283" s="83"/>
      <c r="D1283" s="83"/>
      <c r="E1283" s="83"/>
      <c r="F1283" s="83"/>
      <c r="G1283" s="83" t="str">
        <f>IF($F1283="","",IFERROR(VLOOKUP($F1283,Inventory!$A:$B,2,FALSE),""))</f>
        <v/>
      </c>
      <c r="H1283" s="83"/>
      <c r="I1283" s="84" t="str">
        <f t="shared" si="2"/>
        <v/>
      </c>
      <c r="J1283" s="85" t="str">
        <f>IF($F1283="","",IFERROR(VLOOKUP($F1283,Inventory!$A:$K,11,FALSE),0))</f>
        <v/>
      </c>
      <c r="K1283" s="85"/>
      <c r="L1283" s="85" t="str">
        <f t="shared" si="12"/>
        <v/>
      </c>
      <c r="M1283" s="83"/>
      <c r="N1283" s="85" t="str">
        <f>IF($F1283="","",IFERROR(VLOOKUP($F1283,Inventory!$A:$I,9,FALSE),0))</f>
        <v/>
      </c>
      <c r="O1283" s="85" t="str">
        <f t="shared" si="13"/>
        <v/>
      </c>
      <c r="P1283" s="85" t="str">
        <f t="shared" si="5"/>
        <v/>
      </c>
      <c r="Q1283" s="83"/>
      <c r="R1283" s="118" t="str">
        <f>IF($E1283="","",IF(COUNTIF($E$7:$E2480,$E1283)&gt;1,"",IFERROR(VLOOKUP($E1283,Orders!$A:$I,8,FALSE),"")))</f>
        <v/>
      </c>
      <c r="S1283" s="118" t="str">
        <f>IF($E1283="","",IF(COUNTIF($E$7:$E2480,$E1283)&gt;1,"",IFERROR(VLOOKUP($E1283,Orders!$A:$I,9,FALSE),"")))</f>
        <v/>
      </c>
      <c r="T1283" s="88" t="str">
        <f t="shared" si="14"/>
        <v/>
      </c>
      <c r="U1283" s="88" t="str">
        <f>IF($F1283="","",IF($E1283="",T1283,SUMIF(Sales!$E$7:$E$1506,$E1283,Sales!$T$7:$T$1506)))</f>
        <v/>
      </c>
      <c r="V1283" s="49" t="str">
        <f t="shared" si="15"/>
        <v/>
      </c>
      <c r="W1283" s="49" t="str">
        <f t="array" ref="W1283">IF($V1283="","",SUMPRODUCT((Sales!$V$7:$V$1506&lt;&gt;"")*(Sales!$E$7:$E$1506&lt;$E1283))+1)</f>
        <v/>
      </c>
      <c r="X1283" s="49" t="str">
        <f t="shared" si="16"/>
        <v/>
      </c>
      <c r="Y1283" s="49" t="str">
        <f t="shared" si="17"/>
        <v/>
      </c>
    </row>
    <row r="1284" ht="15.0" customHeight="1">
      <c r="A1284" s="82"/>
      <c r="B1284" s="83"/>
      <c r="C1284" s="83"/>
      <c r="D1284" s="83"/>
      <c r="E1284" s="83"/>
      <c r="F1284" s="83"/>
      <c r="G1284" s="83" t="str">
        <f>IF($F1284="","",IFERROR(VLOOKUP($F1284,Inventory!$A:$B,2,FALSE),""))</f>
        <v/>
      </c>
      <c r="H1284" s="83"/>
      <c r="I1284" s="84" t="str">
        <f t="shared" si="2"/>
        <v/>
      </c>
      <c r="J1284" s="85" t="str">
        <f>IF($F1284="","",IFERROR(VLOOKUP($F1284,Inventory!$A:$K,11,FALSE),0))</f>
        <v/>
      </c>
      <c r="K1284" s="85"/>
      <c r="L1284" s="85" t="str">
        <f t="shared" si="12"/>
        <v/>
      </c>
      <c r="M1284" s="83"/>
      <c r="N1284" s="85" t="str">
        <f>IF($F1284="","",IFERROR(VLOOKUP($F1284,Inventory!$A:$I,9,FALSE),0))</f>
        <v/>
      </c>
      <c r="O1284" s="85" t="str">
        <f t="shared" si="13"/>
        <v/>
      </c>
      <c r="P1284" s="85" t="str">
        <f t="shared" si="5"/>
        <v/>
      </c>
      <c r="Q1284" s="83"/>
      <c r="R1284" s="118" t="str">
        <f>IF($E1284="","",IF(COUNTIF($E$7:$E2481,$E1284)&gt;1,"",IFERROR(VLOOKUP($E1284,Orders!$A:$I,8,FALSE),"")))</f>
        <v/>
      </c>
      <c r="S1284" s="118" t="str">
        <f>IF($E1284="","",IF(COUNTIF($E$7:$E2481,$E1284)&gt;1,"",IFERROR(VLOOKUP($E1284,Orders!$A:$I,9,FALSE),"")))</f>
        <v/>
      </c>
      <c r="T1284" s="88" t="str">
        <f t="shared" si="14"/>
        <v/>
      </c>
      <c r="U1284" s="88" t="str">
        <f>IF($F1284="","",IF($E1284="",T1284,SUMIF(Sales!$E$7:$E$1506,$E1284,Sales!$T$7:$T$1506)))</f>
        <v/>
      </c>
      <c r="V1284" s="49" t="str">
        <f t="shared" si="15"/>
        <v/>
      </c>
      <c r="W1284" s="49" t="str">
        <f t="array" ref="W1284">IF($V1284="","",SUMPRODUCT((Sales!$V$7:$V$1506&lt;&gt;"")*(Sales!$E$7:$E$1506&lt;$E1284))+1)</f>
        <v/>
      </c>
      <c r="X1284" s="49" t="str">
        <f t="shared" si="16"/>
        <v/>
      </c>
      <c r="Y1284" s="49" t="str">
        <f t="shared" si="17"/>
        <v/>
      </c>
    </row>
    <row r="1285" ht="15.0" customHeight="1">
      <c r="A1285" s="82"/>
      <c r="B1285" s="83"/>
      <c r="C1285" s="83"/>
      <c r="D1285" s="83"/>
      <c r="E1285" s="83"/>
      <c r="F1285" s="83"/>
      <c r="G1285" s="83" t="str">
        <f>IF($F1285="","",IFERROR(VLOOKUP($F1285,Inventory!$A:$B,2,FALSE),""))</f>
        <v/>
      </c>
      <c r="H1285" s="83"/>
      <c r="I1285" s="84" t="str">
        <f t="shared" si="2"/>
        <v/>
      </c>
      <c r="J1285" s="85" t="str">
        <f>IF($F1285="","",IFERROR(VLOOKUP($F1285,Inventory!$A:$K,11,FALSE),0))</f>
        <v/>
      </c>
      <c r="K1285" s="85"/>
      <c r="L1285" s="85" t="str">
        <f t="shared" si="12"/>
        <v/>
      </c>
      <c r="M1285" s="83"/>
      <c r="N1285" s="85" t="str">
        <f>IF($F1285="","",IFERROR(VLOOKUP($F1285,Inventory!$A:$I,9,FALSE),0))</f>
        <v/>
      </c>
      <c r="O1285" s="85" t="str">
        <f t="shared" si="13"/>
        <v/>
      </c>
      <c r="P1285" s="85" t="str">
        <f t="shared" si="5"/>
        <v/>
      </c>
      <c r="Q1285" s="83"/>
      <c r="R1285" s="118" t="str">
        <f>IF($E1285="","",IF(COUNTIF($E$7:$E2482,$E1285)&gt;1,"",IFERROR(VLOOKUP($E1285,Orders!$A:$I,8,FALSE),"")))</f>
        <v/>
      </c>
      <c r="S1285" s="118" t="str">
        <f>IF($E1285="","",IF(COUNTIF($E$7:$E2482,$E1285)&gt;1,"",IFERROR(VLOOKUP($E1285,Orders!$A:$I,9,FALSE),"")))</f>
        <v/>
      </c>
      <c r="T1285" s="88" t="str">
        <f t="shared" si="14"/>
        <v/>
      </c>
      <c r="U1285" s="88" t="str">
        <f>IF($F1285="","",IF($E1285="",T1285,SUMIF(Sales!$E$7:$E$1506,$E1285,Sales!$T$7:$T$1506)))</f>
        <v/>
      </c>
      <c r="V1285" s="49" t="str">
        <f t="shared" si="15"/>
        <v/>
      </c>
      <c r="W1285" s="49" t="str">
        <f t="array" ref="W1285">IF($V1285="","",SUMPRODUCT((Sales!$V$7:$V$1506&lt;&gt;"")*(Sales!$E$7:$E$1506&lt;$E1285))+1)</f>
        <v/>
      </c>
      <c r="X1285" s="49" t="str">
        <f t="shared" si="16"/>
        <v/>
      </c>
      <c r="Y1285" s="49" t="str">
        <f t="shared" si="17"/>
        <v/>
      </c>
    </row>
    <row r="1286" ht="15.0" customHeight="1">
      <c r="A1286" s="82"/>
      <c r="B1286" s="83"/>
      <c r="C1286" s="83"/>
      <c r="D1286" s="83"/>
      <c r="E1286" s="83"/>
      <c r="F1286" s="83"/>
      <c r="G1286" s="83" t="str">
        <f>IF($F1286="","",IFERROR(VLOOKUP($F1286,Inventory!$A:$B,2,FALSE),""))</f>
        <v/>
      </c>
      <c r="H1286" s="83"/>
      <c r="I1286" s="84" t="str">
        <f t="shared" si="2"/>
        <v/>
      </c>
      <c r="J1286" s="85" t="str">
        <f>IF($F1286="","",IFERROR(VLOOKUP($F1286,Inventory!$A:$K,11,FALSE),0))</f>
        <v/>
      </c>
      <c r="K1286" s="85"/>
      <c r="L1286" s="85" t="str">
        <f t="shared" si="12"/>
        <v/>
      </c>
      <c r="M1286" s="83"/>
      <c r="N1286" s="85" t="str">
        <f>IF($F1286="","",IFERROR(VLOOKUP($F1286,Inventory!$A:$I,9,FALSE),0))</f>
        <v/>
      </c>
      <c r="O1286" s="85" t="str">
        <f t="shared" si="13"/>
        <v/>
      </c>
      <c r="P1286" s="85" t="str">
        <f t="shared" si="5"/>
        <v/>
      </c>
      <c r="Q1286" s="83"/>
      <c r="R1286" s="118" t="str">
        <f>IF($E1286="","",IF(COUNTIF($E$7:$E2483,$E1286)&gt;1,"",IFERROR(VLOOKUP($E1286,Orders!$A:$I,8,FALSE),"")))</f>
        <v/>
      </c>
      <c r="S1286" s="118" t="str">
        <f>IF($E1286="","",IF(COUNTIF($E$7:$E2483,$E1286)&gt;1,"",IFERROR(VLOOKUP($E1286,Orders!$A:$I,9,FALSE),"")))</f>
        <v/>
      </c>
      <c r="T1286" s="88" t="str">
        <f t="shared" si="14"/>
        <v/>
      </c>
      <c r="U1286" s="88" t="str">
        <f>IF($F1286="","",IF($E1286="",T1286,SUMIF(Sales!$E$7:$E$1506,$E1286,Sales!$T$7:$T$1506)))</f>
        <v/>
      </c>
      <c r="V1286" s="49" t="str">
        <f t="shared" si="15"/>
        <v/>
      </c>
      <c r="W1286" s="49" t="str">
        <f t="array" ref="W1286">IF($V1286="","",SUMPRODUCT((Sales!$V$7:$V$1506&lt;&gt;"")*(Sales!$E$7:$E$1506&lt;$E1286))+1)</f>
        <v/>
      </c>
      <c r="X1286" s="49" t="str">
        <f t="shared" si="16"/>
        <v/>
      </c>
      <c r="Y1286" s="49" t="str">
        <f t="shared" si="17"/>
        <v/>
      </c>
    </row>
    <row r="1287" ht="15.0" customHeight="1">
      <c r="A1287" s="82"/>
      <c r="B1287" s="83"/>
      <c r="C1287" s="83"/>
      <c r="D1287" s="83"/>
      <c r="E1287" s="83"/>
      <c r="F1287" s="83"/>
      <c r="G1287" s="83" t="str">
        <f>IF($F1287="","",IFERROR(VLOOKUP($F1287,Inventory!$A:$B,2,FALSE),""))</f>
        <v/>
      </c>
      <c r="H1287" s="83"/>
      <c r="I1287" s="84" t="str">
        <f t="shared" si="2"/>
        <v/>
      </c>
      <c r="J1287" s="85" t="str">
        <f>IF($F1287="","",IFERROR(VLOOKUP($F1287,Inventory!$A:$K,11,FALSE),0))</f>
        <v/>
      </c>
      <c r="K1287" s="85"/>
      <c r="L1287" s="85" t="str">
        <f t="shared" si="12"/>
        <v/>
      </c>
      <c r="M1287" s="83"/>
      <c r="N1287" s="85" t="str">
        <f>IF($F1287="","",IFERROR(VLOOKUP($F1287,Inventory!$A:$I,9,FALSE),0))</f>
        <v/>
      </c>
      <c r="O1287" s="85" t="str">
        <f t="shared" si="13"/>
        <v/>
      </c>
      <c r="P1287" s="85" t="str">
        <f t="shared" si="5"/>
        <v/>
      </c>
      <c r="Q1287" s="83"/>
      <c r="R1287" s="118" t="str">
        <f>IF($E1287="","",IF(COUNTIF($E$7:$E2484,$E1287)&gt;1,"",IFERROR(VLOOKUP($E1287,Orders!$A:$I,8,FALSE),"")))</f>
        <v/>
      </c>
      <c r="S1287" s="118" t="str">
        <f>IF($E1287="","",IF(COUNTIF($E$7:$E2484,$E1287)&gt;1,"",IFERROR(VLOOKUP($E1287,Orders!$A:$I,9,FALSE),"")))</f>
        <v/>
      </c>
      <c r="T1287" s="88" t="str">
        <f t="shared" si="14"/>
        <v/>
      </c>
      <c r="U1287" s="88" t="str">
        <f>IF($F1287="","",IF($E1287="",T1287,SUMIF(Sales!$E$7:$E$1506,$E1287,Sales!$T$7:$T$1506)))</f>
        <v/>
      </c>
      <c r="V1287" s="49" t="str">
        <f t="shared" si="15"/>
        <v/>
      </c>
      <c r="W1287" s="49" t="str">
        <f t="array" ref="W1287">IF($V1287="","",SUMPRODUCT((Sales!$V$7:$V$1506&lt;&gt;"")*(Sales!$E$7:$E$1506&lt;$E1287))+1)</f>
        <v/>
      </c>
      <c r="X1287" s="49" t="str">
        <f t="shared" si="16"/>
        <v/>
      </c>
      <c r="Y1287" s="49" t="str">
        <f t="shared" si="17"/>
        <v/>
      </c>
    </row>
    <row r="1288" ht="15.0" customHeight="1">
      <c r="A1288" s="82"/>
      <c r="B1288" s="83"/>
      <c r="C1288" s="83"/>
      <c r="D1288" s="83"/>
      <c r="E1288" s="83"/>
      <c r="F1288" s="83"/>
      <c r="G1288" s="83" t="str">
        <f>IF($F1288="","",IFERROR(VLOOKUP($F1288,Inventory!$A:$B,2,FALSE),""))</f>
        <v/>
      </c>
      <c r="H1288" s="83"/>
      <c r="I1288" s="84" t="str">
        <f t="shared" si="2"/>
        <v/>
      </c>
      <c r="J1288" s="85" t="str">
        <f>IF($F1288="","",IFERROR(VLOOKUP($F1288,Inventory!$A:$K,11,FALSE),0))</f>
        <v/>
      </c>
      <c r="K1288" s="85"/>
      <c r="L1288" s="85" t="str">
        <f t="shared" si="12"/>
        <v/>
      </c>
      <c r="M1288" s="83"/>
      <c r="N1288" s="85" t="str">
        <f>IF($F1288="","",IFERROR(VLOOKUP($F1288,Inventory!$A:$I,9,FALSE),0))</f>
        <v/>
      </c>
      <c r="O1288" s="85" t="str">
        <f t="shared" si="13"/>
        <v/>
      </c>
      <c r="P1288" s="85" t="str">
        <f t="shared" si="5"/>
        <v/>
      </c>
      <c r="Q1288" s="83"/>
      <c r="R1288" s="118" t="str">
        <f>IF($E1288="","",IF(COUNTIF($E$7:$E2485,$E1288)&gt;1,"",IFERROR(VLOOKUP($E1288,Orders!$A:$I,8,FALSE),"")))</f>
        <v/>
      </c>
      <c r="S1288" s="118" t="str">
        <f>IF($E1288="","",IF(COUNTIF($E$7:$E2485,$E1288)&gt;1,"",IFERROR(VLOOKUP($E1288,Orders!$A:$I,9,FALSE),"")))</f>
        <v/>
      </c>
      <c r="T1288" s="88" t="str">
        <f t="shared" si="14"/>
        <v/>
      </c>
      <c r="U1288" s="88" t="str">
        <f>IF($F1288="","",IF($E1288="",T1288,SUMIF(Sales!$E$7:$E$1506,$E1288,Sales!$T$7:$T$1506)))</f>
        <v/>
      </c>
      <c r="V1288" s="49" t="str">
        <f t="shared" si="15"/>
        <v/>
      </c>
      <c r="W1288" s="49" t="str">
        <f t="array" ref="W1288">IF($V1288="","",SUMPRODUCT((Sales!$V$7:$V$1506&lt;&gt;"")*(Sales!$E$7:$E$1506&lt;$E1288))+1)</f>
        <v/>
      </c>
      <c r="X1288" s="49" t="str">
        <f t="shared" si="16"/>
        <v/>
      </c>
      <c r="Y1288" s="49" t="str">
        <f t="shared" si="17"/>
        <v/>
      </c>
    </row>
    <row r="1289" ht="15.0" customHeight="1">
      <c r="A1289" s="82"/>
      <c r="B1289" s="83"/>
      <c r="C1289" s="83"/>
      <c r="D1289" s="83"/>
      <c r="E1289" s="83"/>
      <c r="F1289" s="83"/>
      <c r="G1289" s="83" t="str">
        <f>IF($F1289="","",IFERROR(VLOOKUP($F1289,Inventory!$A:$B,2,FALSE),""))</f>
        <v/>
      </c>
      <c r="H1289" s="83"/>
      <c r="I1289" s="84" t="str">
        <f t="shared" si="2"/>
        <v/>
      </c>
      <c r="J1289" s="85" t="str">
        <f>IF($F1289="","",IFERROR(VLOOKUP($F1289,Inventory!$A:$K,11,FALSE),0))</f>
        <v/>
      </c>
      <c r="K1289" s="85"/>
      <c r="L1289" s="85" t="str">
        <f t="shared" si="12"/>
        <v/>
      </c>
      <c r="M1289" s="83"/>
      <c r="N1289" s="85" t="str">
        <f>IF($F1289="","",IFERROR(VLOOKUP($F1289,Inventory!$A:$I,9,FALSE),0))</f>
        <v/>
      </c>
      <c r="O1289" s="85" t="str">
        <f t="shared" si="13"/>
        <v/>
      </c>
      <c r="P1289" s="85" t="str">
        <f t="shared" si="5"/>
        <v/>
      </c>
      <c r="Q1289" s="83"/>
      <c r="R1289" s="118" t="str">
        <f>IF($E1289="","",IF(COUNTIF($E$7:$E2486,$E1289)&gt;1,"",IFERROR(VLOOKUP($E1289,Orders!$A:$I,8,FALSE),"")))</f>
        <v/>
      </c>
      <c r="S1289" s="118" t="str">
        <f>IF($E1289="","",IF(COUNTIF($E$7:$E2486,$E1289)&gt;1,"",IFERROR(VLOOKUP($E1289,Orders!$A:$I,9,FALSE),"")))</f>
        <v/>
      </c>
      <c r="T1289" s="88" t="str">
        <f t="shared" si="14"/>
        <v/>
      </c>
      <c r="U1289" s="88" t="str">
        <f>IF($F1289="","",IF($E1289="",T1289,SUMIF(Sales!$E$7:$E$1506,$E1289,Sales!$T$7:$T$1506)))</f>
        <v/>
      </c>
      <c r="V1289" s="49" t="str">
        <f t="shared" si="15"/>
        <v/>
      </c>
      <c r="W1289" s="49" t="str">
        <f t="array" ref="W1289">IF($V1289="","",SUMPRODUCT((Sales!$V$7:$V$1506&lt;&gt;"")*(Sales!$E$7:$E$1506&lt;$E1289))+1)</f>
        <v/>
      </c>
      <c r="X1289" s="49" t="str">
        <f t="shared" si="16"/>
        <v/>
      </c>
      <c r="Y1289" s="49" t="str">
        <f t="shared" si="17"/>
        <v/>
      </c>
    </row>
    <row r="1290" ht="15.0" customHeight="1">
      <c r="A1290" s="82"/>
      <c r="B1290" s="83"/>
      <c r="C1290" s="83"/>
      <c r="D1290" s="83"/>
      <c r="E1290" s="83"/>
      <c r="F1290" s="83"/>
      <c r="G1290" s="83" t="str">
        <f>IF($F1290="","",IFERROR(VLOOKUP($F1290,Inventory!$A:$B,2,FALSE),""))</f>
        <v/>
      </c>
      <c r="H1290" s="83"/>
      <c r="I1290" s="84" t="str">
        <f t="shared" si="2"/>
        <v/>
      </c>
      <c r="J1290" s="85" t="str">
        <f>IF($F1290="","",IFERROR(VLOOKUP($F1290,Inventory!$A:$K,11,FALSE),0))</f>
        <v/>
      </c>
      <c r="K1290" s="85"/>
      <c r="L1290" s="85" t="str">
        <f t="shared" si="12"/>
        <v/>
      </c>
      <c r="M1290" s="83"/>
      <c r="N1290" s="85" t="str">
        <f>IF($F1290="","",IFERROR(VLOOKUP($F1290,Inventory!$A:$I,9,FALSE),0))</f>
        <v/>
      </c>
      <c r="O1290" s="85" t="str">
        <f t="shared" si="13"/>
        <v/>
      </c>
      <c r="P1290" s="85" t="str">
        <f t="shared" si="5"/>
        <v/>
      </c>
      <c r="Q1290" s="83"/>
      <c r="R1290" s="118" t="str">
        <f>IF($E1290="","",IF(COUNTIF($E$7:$E2487,$E1290)&gt;1,"",IFERROR(VLOOKUP($E1290,Orders!$A:$I,8,FALSE),"")))</f>
        <v/>
      </c>
      <c r="S1290" s="118" t="str">
        <f>IF($E1290="","",IF(COUNTIF($E$7:$E2487,$E1290)&gt;1,"",IFERROR(VLOOKUP($E1290,Orders!$A:$I,9,FALSE),"")))</f>
        <v/>
      </c>
      <c r="T1290" s="88" t="str">
        <f t="shared" si="14"/>
        <v/>
      </c>
      <c r="U1290" s="88" t="str">
        <f>IF($F1290="","",IF($E1290="",T1290,SUMIF(Sales!$E$7:$E$1506,$E1290,Sales!$T$7:$T$1506)))</f>
        <v/>
      </c>
      <c r="V1290" s="49" t="str">
        <f t="shared" si="15"/>
        <v/>
      </c>
      <c r="W1290" s="49" t="str">
        <f t="array" ref="W1290">IF($V1290="","",SUMPRODUCT((Sales!$V$7:$V$1506&lt;&gt;"")*(Sales!$E$7:$E$1506&lt;$E1290))+1)</f>
        <v/>
      </c>
      <c r="X1290" s="49" t="str">
        <f t="shared" si="16"/>
        <v/>
      </c>
      <c r="Y1290" s="49" t="str">
        <f t="shared" si="17"/>
        <v/>
      </c>
    </row>
    <row r="1291" ht="15.0" customHeight="1">
      <c r="A1291" s="82"/>
      <c r="B1291" s="83"/>
      <c r="C1291" s="83"/>
      <c r="D1291" s="83"/>
      <c r="E1291" s="83"/>
      <c r="F1291" s="83"/>
      <c r="G1291" s="83" t="str">
        <f>IF($F1291="","",IFERROR(VLOOKUP($F1291,Inventory!$A:$B,2,FALSE),""))</f>
        <v/>
      </c>
      <c r="H1291" s="83"/>
      <c r="I1291" s="84" t="str">
        <f t="shared" si="2"/>
        <v/>
      </c>
      <c r="J1291" s="85" t="str">
        <f>IF($F1291="","",IFERROR(VLOOKUP($F1291,Inventory!$A:$K,11,FALSE),0))</f>
        <v/>
      </c>
      <c r="K1291" s="85"/>
      <c r="L1291" s="85" t="str">
        <f t="shared" si="12"/>
        <v/>
      </c>
      <c r="M1291" s="83"/>
      <c r="N1291" s="85" t="str">
        <f>IF($F1291="","",IFERROR(VLOOKUP($F1291,Inventory!$A:$I,9,FALSE),0))</f>
        <v/>
      </c>
      <c r="O1291" s="85" t="str">
        <f t="shared" si="13"/>
        <v/>
      </c>
      <c r="P1291" s="85" t="str">
        <f t="shared" si="5"/>
        <v/>
      </c>
      <c r="Q1291" s="83"/>
      <c r="R1291" s="118" t="str">
        <f>IF($E1291="","",IF(COUNTIF($E$7:$E2488,$E1291)&gt;1,"",IFERROR(VLOOKUP($E1291,Orders!$A:$I,8,FALSE),"")))</f>
        <v/>
      </c>
      <c r="S1291" s="118" t="str">
        <f>IF($E1291="","",IF(COUNTIF($E$7:$E2488,$E1291)&gt;1,"",IFERROR(VLOOKUP($E1291,Orders!$A:$I,9,FALSE),"")))</f>
        <v/>
      </c>
      <c r="T1291" s="88" t="str">
        <f t="shared" si="14"/>
        <v/>
      </c>
      <c r="U1291" s="88" t="str">
        <f>IF($F1291="","",IF($E1291="",T1291,SUMIF(Sales!$E$7:$E$1506,$E1291,Sales!$T$7:$T$1506)))</f>
        <v/>
      </c>
      <c r="V1291" s="49" t="str">
        <f t="shared" si="15"/>
        <v/>
      </c>
      <c r="W1291" s="49" t="str">
        <f t="array" ref="W1291">IF($V1291="","",SUMPRODUCT((Sales!$V$7:$V$1506&lt;&gt;"")*(Sales!$E$7:$E$1506&lt;$E1291))+1)</f>
        <v/>
      </c>
      <c r="X1291" s="49" t="str">
        <f t="shared" si="16"/>
        <v/>
      </c>
      <c r="Y1291" s="49" t="str">
        <f t="shared" si="17"/>
        <v/>
      </c>
    </row>
    <row r="1292" ht="15.0" customHeight="1">
      <c r="A1292" s="82"/>
      <c r="B1292" s="83"/>
      <c r="C1292" s="83"/>
      <c r="D1292" s="83"/>
      <c r="E1292" s="83"/>
      <c r="F1292" s="83"/>
      <c r="G1292" s="83" t="str">
        <f>IF($F1292="","",IFERROR(VLOOKUP($F1292,Inventory!$A:$B,2,FALSE),""))</f>
        <v/>
      </c>
      <c r="H1292" s="83"/>
      <c r="I1292" s="84" t="str">
        <f t="shared" si="2"/>
        <v/>
      </c>
      <c r="J1292" s="85" t="str">
        <f>IF($F1292="","",IFERROR(VLOOKUP($F1292,Inventory!$A:$K,11,FALSE),0))</f>
        <v/>
      </c>
      <c r="K1292" s="85"/>
      <c r="L1292" s="85" t="str">
        <f t="shared" si="12"/>
        <v/>
      </c>
      <c r="M1292" s="83"/>
      <c r="N1292" s="85" t="str">
        <f>IF($F1292="","",IFERROR(VLOOKUP($F1292,Inventory!$A:$I,9,FALSE),0))</f>
        <v/>
      </c>
      <c r="O1292" s="85" t="str">
        <f t="shared" si="13"/>
        <v/>
      </c>
      <c r="P1292" s="85" t="str">
        <f t="shared" si="5"/>
        <v/>
      </c>
      <c r="Q1292" s="83"/>
      <c r="R1292" s="118" t="str">
        <f>IF($E1292="","",IF(COUNTIF($E$7:$E2489,$E1292)&gt;1,"",IFERROR(VLOOKUP($E1292,Orders!$A:$I,8,FALSE),"")))</f>
        <v/>
      </c>
      <c r="S1292" s="118" t="str">
        <f>IF($E1292="","",IF(COUNTIF($E$7:$E2489,$E1292)&gt;1,"",IFERROR(VLOOKUP($E1292,Orders!$A:$I,9,FALSE),"")))</f>
        <v/>
      </c>
      <c r="T1292" s="88" t="str">
        <f t="shared" si="14"/>
        <v/>
      </c>
      <c r="U1292" s="88" t="str">
        <f>IF($F1292="","",IF($E1292="",T1292,SUMIF(Sales!$E$7:$E$1506,$E1292,Sales!$T$7:$T$1506)))</f>
        <v/>
      </c>
      <c r="V1292" s="49" t="str">
        <f t="shared" si="15"/>
        <v/>
      </c>
      <c r="W1292" s="49" t="str">
        <f t="array" ref="W1292">IF($V1292="","",SUMPRODUCT((Sales!$V$7:$V$1506&lt;&gt;"")*(Sales!$E$7:$E$1506&lt;$E1292))+1)</f>
        <v/>
      </c>
      <c r="X1292" s="49" t="str">
        <f t="shared" si="16"/>
        <v/>
      </c>
      <c r="Y1292" s="49" t="str">
        <f t="shared" si="17"/>
        <v/>
      </c>
    </row>
    <row r="1293" ht="15.0" customHeight="1">
      <c r="A1293" s="82"/>
      <c r="B1293" s="83"/>
      <c r="C1293" s="83"/>
      <c r="D1293" s="83"/>
      <c r="E1293" s="83"/>
      <c r="F1293" s="83"/>
      <c r="G1293" s="83" t="str">
        <f>IF($F1293="","",IFERROR(VLOOKUP($F1293,Inventory!$A:$B,2,FALSE),""))</f>
        <v/>
      </c>
      <c r="H1293" s="83"/>
      <c r="I1293" s="84" t="str">
        <f t="shared" si="2"/>
        <v/>
      </c>
      <c r="J1293" s="85" t="str">
        <f>IF($F1293="","",IFERROR(VLOOKUP($F1293,Inventory!$A:$K,11,FALSE),0))</f>
        <v/>
      </c>
      <c r="K1293" s="85"/>
      <c r="L1293" s="85" t="str">
        <f t="shared" si="12"/>
        <v/>
      </c>
      <c r="M1293" s="83"/>
      <c r="N1293" s="85" t="str">
        <f>IF($F1293="","",IFERROR(VLOOKUP($F1293,Inventory!$A:$I,9,FALSE),0))</f>
        <v/>
      </c>
      <c r="O1293" s="85" t="str">
        <f t="shared" si="13"/>
        <v/>
      </c>
      <c r="P1293" s="85" t="str">
        <f t="shared" si="5"/>
        <v/>
      </c>
      <c r="Q1293" s="83"/>
      <c r="R1293" s="118" t="str">
        <f>IF($E1293="","",IF(COUNTIF($E$7:$E2490,$E1293)&gt;1,"",IFERROR(VLOOKUP($E1293,Orders!$A:$I,8,FALSE),"")))</f>
        <v/>
      </c>
      <c r="S1293" s="118" t="str">
        <f>IF($E1293="","",IF(COUNTIF($E$7:$E2490,$E1293)&gt;1,"",IFERROR(VLOOKUP($E1293,Orders!$A:$I,9,FALSE),"")))</f>
        <v/>
      </c>
      <c r="T1293" s="88" t="str">
        <f t="shared" si="14"/>
        <v/>
      </c>
      <c r="U1293" s="88" t="str">
        <f>IF($F1293="","",IF($E1293="",T1293,SUMIF(Sales!$E$7:$E$1506,$E1293,Sales!$T$7:$T$1506)))</f>
        <v/>
      </c>
      <c r="V1293" s="49" t="str">
        <f t="shared" si="15"/>
        <v/>
      </c>
      <c r="W1293" s="49" t="str">
        <f t="array" ref="W1293">IF($V1293="","",SUMPRODUCT((Sales!$V$7:$V$1506&lt;&gt;"")*(Sales!$E$7:$E$1506&lt;$E1293))+1)</f>
        <v/>
      </c>
      <c r="X1293" s="49" t="str">
        <f t="shared" si="16"/>
        <v/>
      </c>
      <c r="Y1293" s="49" t="str">
        <f t="shared" si="17"/>
        <v/>
      </c>
    </row>
    <row r="1294" ht="15.0" customHeight="1">
      <c r="A1294" s="82"/>
      <c r="B1294" s="83"/>
      <c r="C1294" s="83"/>
      <c r="D1294" s="83"/>
      <c r="E1294" s="83"/>
      <c r="F1294" s="83"/>
      <c r="G1294" s="83" t="str">
        <f>IF($F1294="","",IFERROR(VLOOKUP($F1294,Inventory!$A:$B,2,FALSE),""))</f>
        <v/>
      </c>
      <c r="H1294" s="83"/>
      <c r="I1294" s="84" t="str">
        <f t="shared" si="2"/>
        <v/>
      </c>
      <c r="J1294" s="85" t="str">
        <f>IF($F1294="","",IFERROR(VLOOKUP($F1294,Inventory!$A:$K,11,FALSE),0))</f>
        <v/>
      </c>
      <c r="K1294" s="85"/>
      <c r="L1294" s="85" t="str">
        <f t="shared" si="12"/>
        <v/>
      </c>
      <c r="M1294" s="83"/>
      <c r="N1294" s="85" t="str">
        <f>IF($F1294="","",IFERROR(VLOOKUP($F1294,Inventory!$A:$I,9,FALSE),0))</f>
        <v/>
      </c>
      <c r="O1294" s="85" t="str">
        <f t="shared" si="13"/>
        <v/>
      </c>
      <c r="P1294" s="85" t="str">
        <f t="shared" si="5"/>
        <v/>
      </c>
      <c r="Q1294" s="83"/>
      <c r="R1294" s="118" t="str">
        <f>IF($E1294="","",IF(COUNTIF($E$7:$E2491,$E1294)&gt;1,"",IFERROR(VLOOKUP($E1294,Orders!$A:$I,8,FALSE),"")))</f>
        <v/>
      </c>
      <c r="S1294" s="118" t="str">
        <f>IF($E1294="","",IF(COUNTIF($E$7:$E2491,$E1294)&gt;1,"",IFERROR(VLOOKUP($E1294,Orders!$A:$I,9,FALSE),"")))</f>
        <v/>
      </c>
      <c r="T1294" s="88" t="str">
        <f t="shared" si="14"/>
        <v/>
      </c>
      <c r="U1294" s="88" t="str">
        <f>IF($F1294="","",IF($E1294="",T1294,SUMIF(Sales!$E$7:$E$1506,$E1294,Sales!$T$7:$T$1506)))</f>
        <v/>
      </c>
      <c r="V1294" s="49" t="str">
        <f t="shared" si="15"/>
        <v/>
      </c>
      <c r="W1294" s="49" t="str">
        <f t="array" ref="W1294">IF($V1294="","",SUMPRODUCT((Sales!$V$7:$V$1506&lt;&gt;"")*(Sales!$E$7:$E$1506&lt;$E1294))+1)</f>
        <v/>
      </c>
      <c r="X1294" s="49" t="str">
        <f t="shared" si="16"/>
        <v/>
      </c>
      <c r="Y1294" s="49" t="str">
        <f t="shared" si="17"/>
        <v/>
      </c>
    </row>
    <row r="1295" ht="15.0" customHeight="1">
      <c r="A1295" s="82"/>
      <c r="B1295" s="83"/>
      <c r="C1295" s="83"/>
      <c r="D1295" s="83"/>
      <c r="E1295" s="83"/>
      <c r="F1295" s="83"/>
      <c r="G1295" s="83" t="str">
        <f>IF($F1295="","",IFERROR(VLOOKUP($F1295,Inventory!$A:$B,2,FALSE),""))</f>
        <v/>
      </c>
      <c r="H1295" s="83"/>
      <c r="I1295" s="84" t="str">
        <f t="shared" si="2"/>
        <v/>
      </c>
      <c r="J1295" s="85" t="str">
        <f>IF($F1295="","",IFERROR(VLOOKUP($F1295,Inventory!$A:$K,11,FALSE),0))</f>
        <v/>
      </c>
      <c r="K1295" s="85"/>
      <c r="L1295" s="85" t="str">
        <f t="shared" si="12"/>
        <v/>
      </c>
      <c r="M1295" s="83"/>
      <c r="N1295" s="85" t="str">
        <f>IF($F1295="","",IFERROR(VLOOKUP($F1295,Inventory!$A:$I,9,FALSE),0))</f>
        <v/>
      </c>
      <c r="O1295" s="85" t="str">
        <f t="shared" si="13"/>
        <v/>
      </c>
      <c r="P1295" s="85" t="str">
        <f t="shared" si="5"/>
        <v/>
      </c>
      <c r="Q1295" s="83"/>
      <c r="R1295" s="118" t="str">
        <f>IF($E1295="","",IF(COUNTIF($E$7:$E2492,$E1295)&gt;1,"",IFERROR(VLOOKUP($E1295,Orders!$A:$I,8,FALSE),"")))</f>
        <v/>
      </c>
      <c r="S1295" s="118" t="str">
        <f>IF($E1295="","",IF(COUNTIF($E$7:$E2492,$E1295)&gt;1,"",IFERROR(VLOOKUP($E1295,Orders!$A:$I,9,FALSE),"")))</f>
        <v/>
      </c>
      <c r="T1295" s="88" t="str">
        <f t="shared" si="14"/>
        <v/>
      </c>
      <c r="U1295" s="88" t="str">
        <f>IF($F1295="","",IF($E1295="",T1295,SUMIF(Sales!$E$7:$E$1506,$E1295,Sales!$T$7:$T$1506)))</f>
        <v/>
      </c>
      <c r="V1295" s="49" t="str">
        <f t="shared" si="15"/>
        <v/>
      </c>
      <c r="W1295" s="49" t="str">
        <f t="array" ref="W1295">IF($V1295="","",SUMPRODUCT((Sales!$V$7:$V$1506&lt;&gt;"")*(Sales!$E$7:$E$1506&lt;$E1295))+1)</f>
        <v/>
      </c>
      <c r="X1295" s="49" t="str">
        <f t="shared" si="16"/>
        <v/>
      </c>
      <c r="Y1295" s="49" t="str">
        <f t="shared" si="17"/>
        <v/>
      </c>
    </row>
    <row r="1296" ht="15.0" customHeight="1">
      <c r="A1296" s="82"/>
      <c r="B1296" s="83"/>
      <c r="C1296" s="83"/>
      <c r="D1296" s="83"/>
      <c r="E1296" s="83"/>
      <c r="F1296" s="83"/>
      <c r="G1296" s="83" t="str">
        <f>IF($F1296="","",IFERROR(VLOOKUP($F1296,Inventory!$A:$B,2,FALSE),""))</f>
        <v/>
      </c>
      <c r="H1296" s="83"/>
      <c r="I1296" s="84" t="str">
        <f t="shared" si="2"/>
        <v/>
      </c>
      <c r="J1296" s="85" t="str">
        <f>IF($F1296="","",IFERROR(VLOOKUP($F1296,Inventory!$A:$K,11,FALSE),0))</f>
        <v/>
      </c>
      <c r="K1296" s="85"/>
      <c r="L1296" s="85" t="str">
        <f t="shared" si="12"/>
        <v/>
      </c>
      <c r="M1296" s="83"/>
      <c r="N1296" s="85" t="str">
        <f>IF($F1296="","",IFERROR(VLOOKUP($F1296,Inventory!$A:$I,9,FALSE),0))</f>
        <v/>
      </c>
      <c r="O1296" s="85" t="str">
        <f t="shared" si="13"/>
        <v/>
      </c>
      <c r="P1296" s="85" t="str">
        <f t="shared" si="5"/>
        <v/>
      </c>
      <c r="Q1296" s="83"/>
      <c r="R1296" s="118" t="str">
        <f>IF($E1296="","",IF(COUNTIF($E$7:$E2493,$E1296)&gt;1,"",IFERROR(VLOOKUP($E1296,Orders!$A:$I,8,FALSE),"")))</f>
        <v/>
      </c>
      <c r="S1296" s="118" t="str">
        <f>IF($E1296="","",IF(COUNTIF($E$7:$E2493,$E1296)&gt;1,"",IFERROR(VLOOKUP($E1296,Orders!$A:$I,9,FALSE),"")))</f>
        <v/>
      </c>
      <c r="T1296" s="88" t="str">
        <f t="shared" si="14"/>
        <v/>
      </c>
      <c r="U1296" s="88" t="str">
        <f>IF($F1296="","",IF($E1296="",T1296,SUMIF(Sales!$E$7:$E$1506,$E1296,Sales!$T$7:$T$1506)))</f>
        <v/>
      </c>
      <c r="V1296" s="49" t="str">
        <f t="shared" si="15"/>
        <v/>
      </c>
      <c r="W1296" s="49" t="str">
        <f t="array" ref="W1296">IF($V1296="","",SUMPRODUCT((Sales!$V$7:$V$1506&lt;&gt;"")*(Sales!$E$7:$E$1506&lt;$E1296))+1)</f>
        <v/>
      </c>
      <c r="X1296" s="49" t="str">
        <f t="shared" si="16"/>
        <v/>
      </c>
      <c r="Y1296" s="49" t="str">
        <f t="shared" si="17"/>
        <v/>
      </c>
    </row>
    <row r="1297" ht="15.0" customHeight="1">
      <c r="A1297" s="82"/>
      <c r="B1297" s="83"/>
      <c r="C1297" s="83"/>
      <c r="D1297" s="83"/>
      <c r="E1297" s="83"/>
      <c r="F1297" s="83"/>
      <c r="G1297" s="83" t="str">
        <f>IF($F1297="","",IFERROR(VLOOKUP($F1297,Inventory!$A:$B,2,FALSE),""))</f>
        <v/>
      </c>
      <c r="H1297" s="83"/>
      <c r="I1297" s="84" t="str">
        <f t="shared" si="2"/>
        <v/>
      </c>
      <c r="J1297" s="85" t="str">
        <f>IF($F1297="","",IFERROR(VLOOKUP($F1297,Inventory!$A:$K,11,FALSE),0))</f>
        <v/>
      </c>
      <c r="K1297" s="85"/>
      <c r="L1297" s="85" t="str">
        <f t="shared" si="12"/>
        <v/>
      </c>
      <c r="M1297" s="83"/>
      <c r="N1297" s="85" t="str">
        <f>IF($F1297="","",IFERROR(VLOOKUP($F1297,Inventory!$A:$I,9,FALSE),0))</f>
        <v/>
      </c>
      <c r="O1297" s="85" t="str">
        <f t="shared" si="13"/>
        <v/>
      </c>
      <c r="P1297" s="85" t="str">
        <f t="shared" si="5"/>
        <v/>
      </c>
      <c r="Q1297" s="83"/>
      <c r="R1297" s="118" t="str">
        <f>IF($E1297="","",IF(COUNTIF($E$7:$E2494,$E1297)&gt;1,"",IFERROR(VLOOKUP($E1297,Orders!$A:$I,8,FALSE),"")))</f>
        <v/>
      </c>
      <c r="S1297" s="118" t="str">
        <f>IF($E1297="","",IF(COUNTIF($E$7:$E2494,$E1297)&gt;1,"",IFERROR(VLOOKUP($E1297,Orders!$A:$I,9,FALSE),"")))</f>
        <v/>
      </c>
      <c r="T1297" s="88" t="str">
        <f t="shared" si="14"/>
        <v/>
      </c>
      <c r="U1297" s="88" t="str">
        <f>IF($F1297="","",IF($E1297="",T1297,SUMIF(Sales!$E$7:$E$1506,$E1297,Sales!$T$7:$T$1506)))</f>
        <v/>
      </c>
      <c r="V1297" s="49" t="str">
        <f t="shared" si="15"/>
        <v/>
      </c>
      <c r="W1297" s="49" t="str">
        <f t="array" ref="W1297">IF($V1297="","",SUMPRODUCT((Sales!$V$7:$V$1506&lt;&gt;"")*(Sales!$E$7:$E$1506&lt;$E1297))+1)</f>
        <v/>
      </c>
      <c r="X1297" s="49" t="str">
        <f t="shared" si="16"/>
        <v/>
      </c>
      <c r="Y1297" s="49" t="str">
        <f t="shared" si="17"/>
        <v/>
      </c>
    </row>
    <row r="1298" ht="15.0" customHeight="1">
      <c r="A1298" s="82"/>
      <c r="B1298" s="83"/>
      <c r="C1298" s="83"/>
      <c r="D1298" s="83"/>
      <c r="E1298" s="83"/>
      <c r="F1298" s="83"/>
      <c r="G1298" s="83" t="str">
        <f>IF($F1298="","",IFERROR(VLOOKUP($F1298,Inventory!$A:$B,2,FALSE),""))</f>
        <v/>
      </c>
      <c r="H1298" s="83"/>
      <c r="I1298" s="84" t="str">
        <f t="shared" si="2"/>
        <v/>
      </c>
      <c r="J1298" s="85" t="str">
        <f>IF($F1298="","",IFERROR(VLOOKUP($F1298,Inventory!$A:$K,11,FALSE),0))</f>
        <v/>
      </c>
      <c r="K1298" s="85"/>
      <c r="L1298" s="85" t="str">
        <f t="shared" si="12"/>
        <v/>
      </c>
      <c r="M1298" s="83"/>
      <c r="N1298" s="85" t="str">
        <f>IF($F1298="","",IFERROR(VLOOKUP($F1298,Inventory!$A:$I,9,FALSE),0))</f>
        <v/>
      </c>
      <c r="O1298" s="85" t="str">
        <f t="shared" si="13"/>
        <v/>
      </c>
      <c r="P1298" s="85" t="str">
        <f t="shared" si="5"/>
        <v/>
      </c>
      <c r="Q1298" s="83"/>
      <c r="R1298" s="118" t="str">
        <f>IF($E1298="","",IF(COUNTIF($E$7:$E2495,$E1298)&gt;1,"",IFERROR(VLOOKUP($E1298,Orders!$A:$I,8,FALSE),"")))</f>
        <v/>
      </c>
      <c r="S1298" s="118" t="str">
        <f>IF($E1298="","",IF(COUNTIF($E$7:$E2495,$E1298)&gt;1,"",IFERROR(VLOOKUP($E1298,Orders!$A:$I,9,FALSE),"")))</f>
        <v/>
      </c>
      <c r="T1298" s="88" t="str">
        <f t="shared" si="14"/>
        <v/>
      </c>
      <c r="U1298" s="88" t="str">
        <f>IF($F1298="","",IF($E1298="",T1298,SUMIF(Sales!$E$7:$E$1506,$E1298,Sales!$T$7:$T$1506)))</f>
        <v/>
      </c>
      <c r="V1298" s="49" t="str">
        <f t="shared" si="15"/>
        <v/>
      </c>
      <c r="W1298" s="49" t="str">
        <f t="array" ref="W1298">IF($V1298="","",SUMPRODUCT((Sales!$V$7:$V$1506&lt;&gt;"")*(Sales!$E$7:$E$1506&lt;$E1298))+1)</f>
        <v/>
      </c>
      <c r="X1298" s="49" t="str">
        <f t="shared" si="16"/>
        <v/>
      </c>
      <c r="Y1298" s="49" t="str">
        <f t="shared" si="17"/>
        <v/>
      </c>
    </row>
    <row r="1299" ht="15.0" customHeight="1">
      <c r="A1299" s="82"/>
      <c r="B1299" s="83"/>
      <c r="C1299" s="83"/>
      <c r="D1299" s="83"/>
      <c r="E1299" s="83"/>
      <c r="F1299" s="83"/>
      <c r="G1299" s="83" t="str">
        <f>IF($F1299="","",IFERROR(VLOOKUP($F1299,Inventory!$A:$B,2,FALSE),""))</f>
        <v/>
      </c>
      <c r="H1299" s="83"/>
      <c r="I1299" s="84" t="str">
        <f t="shared" si="2"/>
        <v/>
      </c>
      <c r="J1299" s="85" t="str">
        <f>IF($F1299="","",IFERROR(VLOOKUP($F1299,Inventory!$A:$K,11,FALSE),0))</f>
        <v/>
      </c>
      <c r="K1299" s="85"/>
      <c r="L1299" s="85" t="str">
        <f t="shared" si="12"/>
        <v/>
      </c>
      <c r="M1299" s="83"/>
      <c r="N1299" s="85" t="str">
        <f>IF($F1299="","",IFERROR(VLOOKUP($F1299,Inventory!$A:$I,9,FALSE),0))</f>
        <v/>
      </c>
      <c r="O1299" s="85" t="str">
        <f t="shared" si="13"/>
        <v/>
      </c>
      <c r="P1299" s="85" t="str">
        <f t="shared" si="5"/>
        <v/>
      </c>
      <c r="Q1299" s="83"/>
      <c r="R1299" s="118" t="str">
        <f>IF($E1299="","",IF(COUNTIF($E$7:$E2496,$E1299)&gt;1,"",IFERROR(VLOOKUP($E1299,Orders!$A:$I,8,FALSE),"")))</f>
        <v/>
      </c>
      <c r="S1299" s="118" t="str">
        <f>IF($E1299="","",IF(COUNTIF($E$7:$E2496,$E1299)&gt;1,"",IFERROR(VLOOKUP($E1299,Orders!$A:$I,9,FALSE),"")))</f>
        <v/>
      </c>
      <c r="T1299" s="88" t="str">
        <f t="shared" si="14"/>
        <v/>
      </c>
      <c r="U1299" s="88" t="str">
        <f>IF($F1299="","",IF($E1299="",T1299,SUMIF(Sales!$E$7:$E$1506,$E1299,Sales!$T$7:$T$1506)))</f>
        <v/>
      </c>
      <c r="V1299" s="49" t="str">
        <f t="shared" si="15"/>
        <v/>
      </c>
      <c r="W1299" s="49" t="str">
        <f t="array" ref="W1299">IF($V1299="","",SUMPRODUCT((Sales!$V$7:$V$1506&lt;&gt;"")*(Sales!$E$7:$E$1506&lt;$E1299))+1)</f>
        <v/>
      </c>
      <c r="X1299" s="49" t="str">
        <f t="shared" si="16"/>
        <v/>
      </c>
      <c r="Y1299" s="49" t="str">
        <f t="shared" si="17"/>
        <v/>
      </c>
    </row>
    <row r="1300" ht="15.0" customHeight="1">
      <c r="A1300" s="82"/>
      <c r="B1300" s="83"/>
      <c r="C1300" s="83"/>
      <c r="D1300" s="83"/>
      <c r="E1300" s="83"/>
      <c r="F1300" s="83"/>
      <c r="G1300" s="83" t="str">
        <f>IF($F1300="","",IFERROR(VLOOKUP($F1300,Inventory!$A:$B,2,FALSE),""))</f>
        <v/>
      </c>
      <c r="H1300" s="83"/>
      <c r="I1300" s="84" t="str">
        <f t="shared" si="2"/>
        <v/>
      </c>
      <c r="J1300" s="85" t="str">
        <f>IF($F1300="","",IFERROR(VLOOKUP($F1300,Inventory!$A:$K,11,FALSE),0))</f>
        <v/>
      </c>
      <c r="K1300" s="85"/>
      <c r="L1300" s="85" t="str">
        <f t="shared" si="12"/>
        <v/>
      </c>
      <c r="M1300" s="83"/>
      <c r="N1300" s="85" t="str">
        <f>IF($F1300="","",IFERROR(VLOOKUP($F1300,Inventory!$A:$I,9,FALSE),0))</f>
        <v/>
      </c>
      <c r="O1300" s="85" t="str">
        <f t="shared" si="13"/>
        <v/>
      </c>
      <c r="P1300" s="85" t="str">
        <f t="shared" si="5"/>
        <v/>
      </c>
      <c r="Q1300" s="83"/>
      <c r="R1300" s="118" t="str">
        <f>IF($E1300="","",IF(COUNTIF($E$7:$E2497,$E1300)&gt;1,"",IFERROR(VLOOKUP($E1300,Orders!$A:$I,8,FALSE),"")))</f>
        <v/>
      </c>
      <c r="S1300" s="118" t="str">
        <f>IF($E1300="","",IF(COUNTIF($E$7:$E2497,$E1300)&gt;1,"",IFERROR(VLOOKUP($E1300,Orders!$A:$I,9,FALSE),"")))</f>
        <v/>
      </c>
      <c r="T1300" s="88" t="str">
        <f t="shared" si="14"/>
        <v/>
      </c>
      <c r="U1300" s="88" t="str">
        <f>IF($F1300="","",IF($E1300="",T1300,SUMIF(Sales!$E$7:$E$1506,$E1300,Sales!$T$7:$T$1506)))</f>
        <v/>
      </c>
      <c r="V1300" s="49" t="str">
        <f t="shared" si="15"/>
        <v/>
      </c>
      <c r="W1300" s="49" t="str">
        <f t="array" ref="W1300">IF($V1300="","",SUMPRODUCT((Sales!$V$7:$V$1506&lt;&gt;"")*(Sales!$E$7:$E$1506&lt;$E1300))+1)</f>
        <v/>
      </c>
      <c r="X1300" s="49" t="str">
        <f t="shared" si="16"/>
        <v/>
      </c>
      <c r="Y1300" s="49" t="str">
        <f t="shared" si="17"/>
        <v/>
      </c>
    </row>
    <row r="1301" ht="15.0" customHeight="1">
      <c r="A1301" s="82"/>
      <c r="B1301" s="83"/>
      <c r="C1301" s="83"/>
      <c r="D1301" s="83"/>
      <c r="E1301" s="83"/>
      <c r="F1301" s="83"/>
      <c r="G1301" s="83" t="str">
        <f>IF($F1301="","",IFERROR(VLOOKUP($F1301,Inventory!$A:$B,2,FALSE),""))</f>
        <v/>
      </c>
      <c r="H1301" s="83"/>
      <c r="I1301" s="84" t="str">
        <f t="shared" si="2"/>
        <v/>
      </c>
      <c r="J1301" s="85" t="str">
        <f>IF($F1301="","",IFERROR(VLOOKUP($F1301,Inventory!$A:$K,11,FALSE),0))</f>
        <v/>
      </c>
      <c r="K1301" s="85"/>
      <c r="L1301" s="85" t="str">
        <f t="shared" si="12"/>
        <v/>
      </c>
      <c r="M1301" s="83"/>
      <c r="N1301" s="85" t="str">
        <f>IF($F1301="","",IFERROR(VLOOKUP($F1301,Inventory!$A:$I,9,FALSE),0))</f>
        <v/>
      </c>
      <c r="O1301" s="85" t="str">
        <f t="shared" si="13"/>
        <v/>
      </c>
      <c r="P1301" s="85" t="str">
        <f t="shared" si="5"/>
        <v/>
      </c>
      <c r="Q1301" s="83"/>
      <c r="R1301" s="118" t="str">
        <f>IF($E1301="","",IF(COUNTIF($E$7:$E2498,$E1301)&gt;1,"",IFERROR(VLOOKUP($E1301,Orders!$A:$I,8,FALSE),"")))</f>
        <v/>
      </c>
      <c r="S1301" s="118" t="str">
        <f>IF($E1301="","",IF(COUNTIF($E$7:$E2498,$E1301)&gt;1,"",IFERROR(VLOOKUP($E1301,Orders!$A:$I,9,FALSE),"")))</f>
        <v/>
      </c>
      <c r="T1301" s="88" t="str">
        <f t="shared" si="14"/>
        <v/>
      </c>
      <c r="U1301" s="88" t="str">
        <f>IF($F1301="","",IF($E1301="",T1301,SUMIF(Sales!$E$7:$E$1506,$E1301,Sales!$T$7:$T$1506)))</f>
        <v/>
      </c>
      <c r="V1301" s="49" t="str">
        <f t="shared" si="15"/>
        <v/>
      </c>
      <c r="W1301" s="49" t="str">
        <f t="array" ref="W1301">IF($V1301="","",SUMPRODUCT((Sales!$V$7:$V$1506&lt;&gt;"")*(Sales!$E$7:$E$1506&lt;$E1301))+1)</f>
        <v/>
      </c>
      <c r="X1301" s="49" t="str">
        <f t="shared" si="16"/>
        <v/>
      </c>
      <c r="Y1301" s="49" t="str">
        <f t="shared" si="17"/>
        <v/>
      </c>
    </row>
    <row r="1302" ht="15.0" customHeight="1">
      <c r="A1302" s="82"/>
      <c r="B1302" s="83"/>
      <c r="C1302" s="83"/>
      <c r="D1302" s="83"/>
      <c r="E1302" s="83"/>
      <c r="F1302" s="83"/>
      <c r="G1302" s="83" t="str">
        <f>IF($F1302="","",IFERROR(VLOOKUP($F1302,Inventory!$A:$B,2,FALSE),""))</f>
        <v/>
      </c>
      <c r="H1302" s="83"/>
      <c r="I1302" s="84" t="str">
        <f t="shared" si="2"/>
        <v/>
      </c>
      <c r="J1302" s="85" t="str">
        <f>IF($F1302="","",IFERROR(VLOOKUP($F1302,Inventory!$A:$K,11,FALSE),0))</f>
        <v/>
      </c>
      <c r="K1302" s="85"/>
      <c r="L1302" s="85" t="str">
        <f t="shared" si="12"/>
        <v/>
      </c>
      <c r="M1302" s="83"/>
      <c r="N1302" s="85" t="str">
        <f>IF($F1302="","",IFERROR(VLOOKUP($F1302,Inventory!$A:$I,9,FALSE),0))</f>
        <v/>
      </c>
      <c r="O1302" s="85" t="str">
        <f t="shared" si="13"/>
        <v/>
      </c>
      <c r="P1302" s="85" t="str">
        <f t="shared" si="5"/>
        <v/>
      </c>
      <c r="Q1302" s="83"/>
      <c r="R1302" s="118" t="str">
        <f>IF($E1302="","",IF(COUNTIF($E$7:$E2499,$E1302)&gt;1,"",IFERROR(VLOOKUP($E1302,Orders!$A:$I,8,FALSE),"")))</f>
        <v/>
      </c>
      <c r="S1302" s="118" t="str">
        <f>IF($E1302="","",IF(COUNTIF($E$7:$E2499,$E1302)&gt;1,"",IFERROR(VLOOKUP($E1302,Orders!$A:$I,9,FALSE),"")))</f>
        <v/>
      </c>
      <c r="T1302" s="88" t="str">
        <f t="shared" si="14"/>
        <v/>
      </c>
      <c r="U1302" s="88" t="str">
        <f>IF($F1302="","",IF($E1302="",T1302,SUMIF(Sales!$E$7:$E$1506,$E1302,Sales!$T$7:$T$1506)))</f>
        <v/>
      </c>
      <c r="V1302" s="49" t="str">
        <f t="shared" si="15"/>
        <v/>
      </c>
      <c r="W1302" s="49" t="str">
        <f t="array" ref="W1302">IF($V1302="","",SUMPRODUCT((Sales!$V$7:$V$1506&lt;&gt;"")*(Sales!$E$7:$E$1506&lt;$E1302))+1)</f>
        <v/>
      </c>
      <c r="X1302" s="49" t="str">
        <f t="shared" si="16"/>
        <v/>
      </c>
      <c r="Y1302" s="49" t="str">
        <f t="shared" si="17"/>
        <v/>
      </c>
    </row>
    <row r="1303" ht="15.0" customHeight="1">
      <c r="A1303" s="82"/>
      <c r="B1303" s="83"/>
      <c r="C1303" s="83"/>
      <c r="D1303" s="83"/>
      <c r="E1303" s="83"/>
      <c r="F1303" s="83"/>
      <c r="G1303" s="83" t="str">
        <f>IF($F1303="","",IFERROR(VLOOKUP($F1303,Inventory!$A:$B,2,FALSE),""))</f>
        <v/>
      </c>
      <c r="H1303" s="83"/>
      <c r="I1303" s="84" t="str">
        <f t="shared" si="2"/>
        <v/>
      </c>
      <c r="J1303" s="85" t="str">
        <f>IF($F1303="","",IFERROR(VLOOKUP($F1303,Inventory!$A:$K,11,FALSE),0))</f>
        <v/>
      </c>
      <c r="K1303" s="85"/>
      <c r="L1303" s="85" t="str">
        <f t="shared" si="12"/>
        <v/>
      </c>
      <c r="M1303" s="83"/>
      <c r="N1303" s="85" t="str">
        <f>IF($F1303="","",IFERROR(VLOOKUP($F1303,Inventory!$A:$I,9,FALSE),0))</f>
        <v/>
      </c>
      <c r="O1303" s="85" t="str">
        <f t="shared" si="13"/>
        <v/>
      </c>
      <c r="P1303" s="85" t="str">
        <f t="shared" si="5"/>
        <v/>
      </c>
      <c r="Q1303" s="83"/>
      <c r="R1303" s="118" t="str">
        <f>IF($E1303="","",IF(COUNTIF($E$7:$E2500,$E1303)&gt;1,"",IFERROR(VLOOKUP($E1303,Orders!$A:$I,8,FALSE),"")))</f>
        <v/>
      </c>
      <c r="S1303" s="118" t="str">
        <f>IF($E1303="","",IF(COUNTIF($E$7:$E2500,$E1303)&gt;1,"",IFERROR(VLOOKUP($E1303,Orders!$A:$I,9,FALSE),"")))</f>
        <v/>
      </c>
      <c r="T1303" s="88" t="str">
        <f t="shared" si="14"/>
        <v/>
      </c>
      <c r="U1303" s="88" t="str">
        <f>IF($F1303="","",IF($E1303="",T1303,SUMIF(Sales!$E$7:$E$1506,$E1303,Sales!$T$7:$T$1506)))</f>
        <v/>
      </c>
      <c r="V1303" s="49" t="str">
        <f t="shared" si="15"/>
        <v/>
      </c>
      <c r="W1303" s="49" t="str">
        <f t="array" ref="W1303">IF($V1303="","",SUMPRODUCT((Sales!$V$7:$V$1506&lt;&gt;"")*(Sales!$E$7:$E$1506&lt;$E1303))+1)</f>
        <v/>
      </c>
      <c r="X1303" s="49" t="str">
        <f t="shared" si="16"/>
        <v/>
      </c>
      <c r="Y1303" s="49" t="str">
        <f t="shared" si="17"/>
        <v/>
      </c>
    </row>
    <row r="1304" ht="15.0" customHeight="1">
      <c r="A1304" s="82"/>
      <c r="B1304" s="83"/>
      <c r="C1304" s="83"/>
      <c r="D1304" s="83"/>
      <c r="E1304" s="83"/>
      <c r="F1304" s="83"/>
      <c r="G1304" s="83" t="str">
        <f>IF($F1304="","",IFERROR(VLOOKUP($F1304,Inventory!$A:$B,2,FALSE),""))</f>
        <v/>
      </c>
      <c r="H1304" s="83"/>
      <c r="I1304" s="84" t="str">
        <f t="shared" si="2"/>
        <v/>
      </c>
      <c r="J1304" s="85" t="str">
        <f>IF($F1304="","",IFERROR(VLOOKUP($F1304,Inventory!$A:$K,11,FALSE),0))</f>
        <v/>
      </c>
      <c r="K1304" s="85"/>
      <c r="L1304" s="85" t="str">
        <f t="shared" si="12"/>
        <v/>
      </c>
      <c r="M1304" s="83"/>
      <c r="N1304" s="85" t="str">
        <f>IF($F1304="","",IFERROR(VLOOKUP($F1304,Inventory!$A:$I,9,FALSE),0))</f>
        <v/>
      </c>
      <c r="O1304" s="85" t="str">
        <f t="shared" si="13"/>
        <v/>
      </c>
      <c r="P1304" s="85" t="str">
        <f t="shared" si="5"/>
        <v/>
      </c>
      <c r="Q1304" s="83"/>
      <c r="R1304" s="118" t="str">
        <f>IF($E1304="","",IF(COUNTIF($E$7:$E2501,$E1304)&gt;1,"",IFERROR(VLOOKUP($E1304,Orders!$A:$I,8,FALSE),"")))</f>
        <v/>
      </c>
      <c r="S1304" s="118" t="str">
        <f>IF($E1304="","",IF(COUNTIF($E$7:$E2501,$E1304)&gt;1,"",IFERROR(VLOOKUP($E1304,Orders!$A:$I,9,FALSE),"")))</f>
        <v/>
      </c>
      <c r="T1304" s="88" t="str">
        <f t="shared" si="14"/>
        <v/>
      </c>
      <c r="U1304" s="88" t="str">
        <f>IF($F1304="","",IF($E1304="",T1304,SUMIF(Sales!$E$7:$E$1506,$E1304,Sales!$T$7:$T$1506)))</f>
        <v/>
      </c>
      <c r="V1304" s="49" t="str">
        <f t="shared" si="15"/>
        <v/>
      </c>
      <c r="W1304" s="49" t="str">
        <f t="array" ref="W1304">IF($V1304="","",SUMPRODUCT((Sales!$V$7:$V$1506&lt;&gt;"")*(Sales!$E$7:$E$1506&lt;$E1304))+1)</f>
        <v/>
      </c>
      <c r="X1304" s="49" t="str">
        <f t="shared" si="16"/>
        <v/>
      </c>
      <c r="Y1304" s="49" t="str">
        <f t="shared" si="17"/>
        <v/>
      </c>
    </row>
    <row r="1305" ht="15.0" customHeight="1">
      <c r="A1305" s="82"/>
      <c r="B1305" s="83"/>
      <c r="C1305" s="83"/>
      <c r="D1305" s="83"/>
      <c r="E1305" s="83"/>
      <c r="F1305" s="83"/>
      <c r="G1305" s="83" t="str">
        <f>IF($F1305="","",IFERROR(VLOOKUP($F1305,Inventory!$A:$B,2,FALSE),""))</f>
        <v/>
      </c>
      <c r="H1305" s="83"/>
      <c r="I1305" s="84" t="str">
        <f t="shared" si="2"/>
        <v/>
      </c>
      <c r="J1305" s="85" t="str">
        <f>IF($F1305="","",IFERROR(VLOOKUP($F1305,Inventory!$A:$K,11,FALSE),0))</f>
        <v/>
      </c>
      <c r="K1305" s="85"/>
      <c r="L1305" s="85" t="str">
        <f t="shared" si="12"/>
        <v/>
      </c>
      <c r="M1305" s="83"/>
      <c r="N1305" s="85" t="str">
        <f>IF($F1305="","",IFERROR(VLOOKUP($F1305,Inventory!$A:$I,9,FALSE),0))</f>
        <v/>
      </c>
      <c r="O1305" s="85" t="str">
        <f t="shared" si="13"/>
        <v/>
      </c>
      <c r="P1305" s="85" t="str">
        <f t="shared" si="5"/>
        <v/>
      </c>
      <c r="Q1305" s="83"/>
      <c r="R1305" s="118" t="str">
        <f>IF($E1305="","",IF(COUNTIF($E$7:$E2502,$E1305)&gt;1,"",IFERROR(VLOOKUP($E1305,Orders!$A:$I,8,FALSE),"")))</f>
        <v/>
      </c>
      <c r="S1305" s="118" t="str">
        <f>IF($E1305="","",IF(COUNTIF($E$7:$E2502,$E1305)&gt;1,"",IFERROR(VLOOKUP($E1305,Orders!$A:$I,9,FALSE),"")))</f>
        <v/>
      </c>
      <c r="T1305" s="88" t="str">
        <f t="shared" si="14"/>
        <v/>
      </c>
      <c r="U1305" s="88" t="str">
        <f>IF($F1305="","",IF($E1305="",T1305,SUMIF(Sales!$E$7:$E$1506,$E1305,Sales!$T$7:$T$1506)))</f>
        <v/>
      </c>
      <c r="V1305" s="49" t="str">
        <f t="shared" si="15"/>
        <v/>
      </c>
      <c r="W1305" s="49" t="str">
        <f t="array" ref="W1305">IF($V1305="","",SUMPRODUCT((Sales!$V$7:$V$1506&lt;&gt;"")*(Sales!$E$7:$E$1506&lt;$E1305))+1)</f>
        <v/>
      </c>
      <c r="X1305" s="49" t="str">
        <f t="shared" si="16"/>
        <v/>
      </c>
      <c r="Y1305" s="49" t="str">
        <f t="shared" si="17"/>
        <v/>
      </c>
    </row>
    <row r="1306" ht="15.0" customHeight="1">
      <c r="A1306" s="82"/>
      <c r="B1306" s="83"/>
      <c r="C1306" s="83"/>
      <c r="D1306" s="83"/>
      <c r="E1306" s="83"/>
      <c r="F1306" s="83"/>
      <c r="G1306" s="83" t="str">
        <f>IF($F1306="","",IFERROR(VLOOKUP($F1306,Inventory!$A:$B,2,FALSE),""))</f>
        <v/>
      </c>
      <c r="H1306" s="83"/>
      <c r="I1306" s="84" t="str">
        <f t="shared" si="2"/>
        <v/>
      </c>
      <c r="J1306" s="85" t="str">
        <f>IF($F1306="","",IFERROR(VLOOKUP($F1306,Inventory!$A:$K,11,FALSE),0))</f>
        <v/>
      </c>
      <c r="K1306" s="85"/>
      <c r="L1306" s="85" t="str">
        <f t="shared" si="12"/>
        <v/>
      </c>
      <c r="M1306" s="83"/>
      <c r="N1306" s="85" t="str">
        <f>IF($F1306="","",IFERROR(VLOOKUP($F1306,Inventory!$A:$I,9,FALSE),0))</f>
        <v/>
      </c>
      <c r="O1306" s="85" t="str">
        <f t="shared" si="13"/>
        <v/>
      </c>
      <c r="P1306" s="85" t="str">
        <f t="shared" si="5"/>
        <v/>
      </c>
      <c r="Q1306" s="83"/>
      <c r="R1306" s="118" t="str">
        <f>IF($E1306="","",IF(COUNTIF($E$7:$E2503,$E1306)&gt;1,"",IFERROR(VLOOKUP($E1306,Orders!$A:$I,8,FALSE),"")))</f>
        <v/>
      </c>
      <c r="S1306" s="118" t="str">
        <f>IF($E1306="","",IF(COUNTIF($E$7:$E2503,$E1306)&gt;1,"",IFERROR(VLOOKUP($E1306,Orders!$A:$I,9,FALSE),"")))</f>
        <v/>
      </c>
      <c r="T1306" s="88" t="str">
        <f t="shared" si="14"/>
        <v/>
      </c>
      <c r="U1306" s="88" t="str">
        <f>IF($F1306="","",IF($E1306="",T1306,SUMIF(Sales!$E$7:$E$1506,$E1306,Sales!$T$7:$T$1506)))</f>
        <v/>
      </c>
      <c r="V1306" s="49" t="str">
        <f t="shared" si="15"/>
        <v/>
      </c>
      <c r="W1306" s="49" t="str">
        <f t="array" ref="W1306">IF($V1306="","",SUMPRODUCT((Sales!$V$7:$V$1506&lt;&gt;"")*(Sales!$E$7:$E$1506&lt;$E1306))+1)</f>
        <v/>
      </c>
      <c r="X1306" s="49" t="str">
        <f t="shared" si="16"/>
        <v/>
      </c>
      <c r="Y1306" s="49" t="str">
        <f t="shared" si="17"/>
        <v/>
      </c>
    </row>
    <row r="1307" ht="15.0" customHeight="1">
      <c r="A1307" s="82"/>
      <c r="B1307" s="83"/>
      <c r="C1307" s="83"/>
      <c r="D1307" s="83"/>
      <c r="E1307" s="83"/>
      <c r="F1307" s="83"/>
      <c r="G1307" s="83" t="str">
        <f>IF($F1307="","",IFERROR(VLOOKUP($F1307,Inventory!$A:$B,2,FALSE),""))</f>
        <v/>
      </c>
      <c r="H1307" s="83"/>
      <c r="I1307" s="84" t="str">
        <f t="shared" si="2"/>
        <v/>
      </c>
      <c r="J1307" s="85" t="str">
        <f>IF($F1307="","",IFERROR(VLOOKUP($F1307,Inventory!$A:$K,11,FALSE),0))</f>
        <v/>
      </c>
      <c r="K1307" s="85"/>
      <c r="L1307" s="85" t="str">
        <f t="shared" si="12"/>
        <v/>
      </c>
      <c r="M1307" s="83"/>
      <c r="N1307" s="85" t="str">
        <f>IF($F1307="","",IFERROR(VLOOKUP($F1307,Inventory!$A:$I,9,FALSE),0))</f>
        <v/>
      </c>
      <c r="O1307" s="85" t="str">
        <f t="shared" si="13"/>
        <v/>
      </c>
      <c r="P1307" s="85" t="str">
        <f t="shared" si="5"/>
        <v/>
      </c>
      <c r="Q1307" s="83"/>
      <c r="R1307" s="118" t="str">
        <f>IF($E1307="","",IF(COUNTIF($E$7:$E2504,$E1307)&gt;1,"",IFERROR(VLOOKUP($E1307,Orders!$A:$I,8,FALSE),"")))</f>
        <v/>
      </c>
      <c r="S1307" s="118" t="str">
        <f>IF($E1307="","",IF(COUNTIF($E$7:$E2504,$E1307)&gt;1,"",IFERROR(VLOOKUP($E1307,Orders!$A:$I,9,FALSE),"")))</f>
        <v/>
      </c>
      <c r="T1307" s="88" t="str">
        <f t="shared" si="14"/>
        <v/>
      </c>
      <c r="U1307" s="88" t="str">
        <f>IF($F1307="","",IF($E1307="",T1307,SUMIF(Sales!$E$7:$E$1506,$E1307,Sales!$T$7:$T$1506)))</f>
        <v/>
      </c>
      <c r="V1307" s="49" t="str">
        <f t="shared" si="15"/>
        <v/>
      </c>
      <c r="W1307" s="49" t="str">
        <f t="array" ref="W1307">IF($V1307="","",SUMPRODUCT((Sales!$V$7:$V$1506&lt;&gt;"")*(Sales!$E$7:$E$1506&lt;$E1307))+1)</f>
        <v/>
      </c>
      <c r="X1307" s="49" t="str">
        <f t="shared" si="16"/>
        <v/>
      </c>
      <c r="Y1307" s="49" t="str">
        <f t="shared" si="17"/>
        <v/>
      </c>
    </row>
    <row r="1308" ht="15.0" customHeight="1">
      <c r="A1308" s="82"/>
      <c r="B1308" s="83"/>
      <c r="C1308" s="83"/>
      <c r="D1308" s="83"/>
      <c r="E1308" s="83"/>
      <c r="F1308" s="83"/>
      <c r="G1308" s="83" t="str">
        <f>IF($F1308="","",IFERROR(VLOOKUP($F1308,Inventory!$A:$B,2,FALSE),""))</f>
        <v/>
      </c>
      <c r="H1308" s="83"/>
      <c r="I1308" s="84" t="str">
        <f t="shared" si="2"/>
        <v/>
      </c>
      <c r="J1308" s="85" t="str">
        <f>IF($F1308="","",IFERROR(VLOOKUP($F1308,Inventory!$A:$K,11,FALSE),0))</f>
        <v/>
      </c>
      <c r="K1308" s="85"/>
      <c r="L1308" s="85" t="str">
        <f t="shared" si="12"/>
        <v/>
      </c>
      <c r="M1308" s="83"/>
      <c r="N1308" s="85" t="str">
        <f>IF($F1308="","",IFERROR(VLOOKUP($F1308,Inventory!$A:$I,9,FALSE),0))</f>
        <v/>
      </c>
      <c r="O1308" s="85" t="str">
        <f t="shared" si="13"/>
        <v/>
      </c>
      <c r="P1308" s="85" t="str">
        <f t="shared" si="5"/>
        <v/>
      </c>
      <c r="Q1308" s="83"/>
      <c r="R1308" s="118" t="str">
        <f>IF($E1308="","",IF(COUNTIF($E$7:$E2505,$E1308)&gt;1,"",IFERROR(VLOOKUP($E1308,Orders!$A:$I,8,FALSE),"")))</f>
        <v/>
      </c>
      <c r="S1308" s="118" t="str">
        <f>IF($E1308="","",IF(COUNTIF($E$7:$E2505,$E1308)&gt;1,"",IFERROR(VLOOKUP($E1308,Orders!$A:$I,9,FALSE),"")))</f>
        <v/>
      </c>
      <c r="T1308" s="88" t="str">
        <f t="shared" si="14"/>
        <v/>
      </c>
      <c r="U1308" s="88" t="str">
        <f>IF($F1308="","",IF($E1308="",T1308,SUMIF(Sales!$E$7:$E$1506,$E1308,Sales!$T$7:$T$1506)))</f>
        <v/>
      </c>
      <c r="V1308" s="49" t="str">
        <f t="shared" si="15"/>
        <v/>
      </c>
      <c r="W1308" s="49" t="str">
        <f t="array" ref="W1308">IF($V1308="","",SUMPRODUCT((Sales!$V$7:$V$1506&lt;&gt;"")*(Sales!$E$7:$E$1506&lt;$E1308))+1)</f>
        <v/>
      </c>
      <c r="X1308" s="49" t="str">
        <f t="shared" si="16"/>
        <v/>
      </c>
      <c r="Y1308" s="49" t="str">
        <f t="shared" si="17"/>
        <v/>
      </c>
    </row>
    <row r="1309" ht="15.0" customHeight="1">
      <c r="A1309" s="82"/>
      <c r="B1309" s="83"/>
      <c r="C1309" s="83"/>
      <c r="D1309" s="83"/>
      <c r="E1309" s="83"/>
      <c r="F1309" s="83"/>
      <c r="G1309" s="83" t="str">
        <f>IF($F1309="","",IFERROR(VLOOKUP($F1309,Inventory!$A:$B,2,FALSE),""))</f>
        <v/>
      </c>
      <c r="H1309" s="83"/>
      <c r="I1309" s="84" t="str">
        <f t="shared" si="2"/>
        <v/>
      </c>
      <c r="J1309" s="85" t="str">
        <f>IF($F1309="","",IFERROR(VLOOKUP($F1309,Inventory!$A:$K,11,FALSE),0))</f>
        <v/>
      </c>
      <c r="K1309" s="85"/>
      <c r="L1309" s="85" t="str">
        <f t="shared" si="12"/>
        <v/>
      </c>
      <c r="M1309" s="83"/>
      <c r="N1309" s="85" t="str">
        <f>IF($F1309="","",IFERROR(VLOOKUP($F1309,Inventory!$A:$I,9,FALSE),0))</f>
        <v/>
      </c>
      <c r="O1309" s="85" t="str">
        <f t="shared" si="13"/>
        <v/>
      </c>
      <c r="P1309" s="85" t="str">
        <f t="shared" si="5"/>
        <v/>
      </c>
      <c r="Q1309" s="83"/>
      <c r="R1309" s="118" t="str">
        <f>IF($E1309="","",IF(COUNTIF($E$7:$E2506,$E1309)&gt;1,"",IFERROR(VLOOKUP($E1309,Orders!$A:$I,8,FALSE),"")))</f>
        <v/>
      </c>
      <c r="S1309" s="118" t="str">
        <f>IF($E1309="","",IF(COUNTIF($E$7:$E2506,$E1309)&gt;1,"",IFERROR(VLOOKUP($E1309,Orders!$A:$I,9,FALSE),"")))</f>
        <v/>
      </c>
      <c r="T1309" s="88" t="str">
        <f t="shared" si="14"/>
        <v/>
      </c>
      <c r="U1309" s="88" t="str">
        <f>IF($F1309="","",IF($E1309="",T1309,SUMIF(Sales!$E$7:$E$1506,$E1309,Sales!$T$7:$T$1506)))</f>
        <v/>
      </c>
      <c r="V1309" s="49" t="str">
        <f t="shared" si="15"/>
        <v/>
      </c>
      <c r="W1309" s="49" t="str">
        <f t="array" ref="W1309">IF($V1309="","",SUMPRODUCT((Sales!$V$7:$V$1506&lt;&gt;"")*(Sales!$E$7:$E$1506&lt;$E1309))+1)</f>
        <v/>
      </c>
      <c r="X1309" s="49" t="str">
        <f t="shared" si="16"/>
        <v/>
      </c>
      <c r="Y1309" s="49" t="str">
        <f t="shared" si="17"/>
        <v/>
      </c>
    </row>
    <row r="1310" ht="15.0" customHeight="1">
      <c r="A1310" s="82"/>
      <c r="B1310" s="83"/>
      <c r="C1310" s="83"/>
      <c r="D1310" s="83"/>
      <c r="E1310" s="83"/>
      <c r="F1310" s="83"/>
      <c r="G1310" s="83" t="str">
        <f>IF($F1310="","",IFERROR(VLOOKUP($F1310,Inventory!$A:$B,2,FALSE),""))</f>
        <v/>
      </c>
      <c r="H1310" s="83"/>
      <c r="I1310" s="84" t="str">
        <f t="shared" si="2"/>
        <v/>
      </c>
      <c r="J1310" s="85" t="str">
        <f>IF($F1310="","",IFERROR(VLOOKUP($F1310,Inventory!$A:$K,11,FALSE),0))</f>
        <v/>
      </c>
      <c r="K1310" s="85"/>
      <c r="L1310" s="85" t="str">
        <f t="shared" si="12"/>
        <v/>
      </c>
      <c r="M1310" s="83"/>
      <c r="N1310" s="85" t="str">
        <f>IF($F1310="","",IFERROR(VLOOKUP($F1310,Inventory!$A:$I,9,FALSE),0))</f>
        <v/>
      </c>
      <c r="O1310" s="85" t="str">
        <f t="shared" si="13"/>
        <v/>
      </c>
      <c r="P1310" s="85" t="str">
        <f t="shared" si="5"/>
        <v/>
      </c>
      <c r="Q1310" s="83"/>
      <c r="R1310" s="118" t="str">
        <f>IF($E1310="","",IF(COUNTIF($E$7:$E2507,$E1310)&gt;1,"",IFERROR(VLOOKUP($E1310,Orders!$A:$I,8,FALSE),"")))</f>
        <v/>
      </c>
      <c r="S1310" s="118" t="str">
        <f>IF($E1310="","",IF(COUNTIF($E$7:$E2507,$E1310)&gt;1,"",IFERROR(VLOOKUP($E1310,Orders!$A:$I,9,FALSE),"")))</f>
        <v/>
      </c>
      <c r="T1310" s="88" t="str">
        <f t="shared" si="14"/>
        <v/>
      </c>
      <c r="U1310" s="88" t="str">
        <f>IF($F1310="","",IF($E1310="",T1310,SUMIF(Sales!$E$7:$E$1506,$E1310,Sales!$T$7:$T$1506)))</f>
        <v/>
      </c>
      <c r="V1310" s="49" t="str">
        <f t="shared" si="15"/>
        <v/>
      </c>
      <c r="W1310" s="49" t="str">
        <f t="array" ref="W1310">IF($V1310="","",SUMPRODUCT((Sales!$V$7:$V$1506&lt;&gt;"")*(Sales!$E$7:$E$1506&lt;$E1310))+1)</f>
        <v/>
      </c>
      <c r="X1310" s="49" t="str">
        <f t="shared" si="16"/>
        <v/>
      </c>
      <c r="Y1310" s="49" t="str">
        <f t="shared" si="17"/>
        <v/>
      </c>
    </row>
    <row r="1311" ht="15.0" customHeight="1">
      <c r="A1311" s="82"/>
      <c r="B1311" s="83"/>
      <c r="C1311" s="83"/>
      <c r="D1311" s="83"/>
      <c r="E1311" s="83"/>
      <c r="F1311" s="83"/>
      <c r="G1311" s="83" t="str">
        <f>IF($F1311="","",IFERROR(VLOOKUP($F1311,Inventory!$A:$B,2,FALSE),""))</f>
        <v/>
      </c>
      <c r="H1311" s="83"/>
      <c r="I1311" s="84" t="str">
        <f t="shared" si="2"/>
        <v/>
      </c>
      <c r="J1311" s="85" t="str">
        <f>IF($F1311="","",IFERROR(VLOOKUP($F1311,Inventory!$A:$K,11,FALSE),0))</f>
        <v/>
      </c>
      <c r="K1311" s="85"/>
      <c r="L1311" s="85" t="str">
        <f t="shared" si="12"/>
        <v/>
      </c>
      <c r="M1311" s="83"/>
      <c r="N1311" s="85" t="str">
        <f>IF($F1311="","",IFERROR(VLOOKUP($F1311,Inventory!$A:$I,9,FALSE),0))</f>
        <v/>
      </c>
      <c r="O1311" s="85" t="str">
        <f t="shared" si="13"/>
        <v/>
      </c>
      <c r="P1311" s="85" t="str">
        <f t="shared" si="5"/>
        <v/>
      </c>
      <c r="Q1311" s="83"/>
      <c r="R1311" s="118" t="str">
        <f>IF($E1311="","",IF(COUNTIF($E$7:$E2508,$E1311)&gt;1,"",IFERROR(VLOOKUP($E1311,Orders!$A:$I,8,FALSE),"")))</f>
        <v/>
      </c>
      <c r="S1311" s="118" t="str">
        <f>IF($E1311="","",IF(COUNTIF($E$7:$E2508,$E1311)&gt;1,"",IFERROR(VLOOKUP($E1311,Orders!$A:$I,9,FALSE),"")))</f>
        <v/>
      </c>
      <c r="T1311" s="88" t="str">
        <f t="shared" si="14"/>
        <v/>
      </c>
      <c r="U1311" s="88" t="str">
        <f>IF($F1311="","",IF($E1311="",T1311,SUMIF(Sales!$E$7:$E$1506,$E1311,Sales!$T$7:$T$1506)))</f>
        <v/>
      </c>
      <c r="V1311" s="49" t="str">
        <f t="shared" si="15"/>
        <v/>
      </c>
      <c r="W1311" s="49" t="str">
        <f t="array" ref="W1311">IF($V1311="","",SUMPRODUCT((Sales!$V$7:$V$1506&lt;&gt;"")*(Sales!$E$7:$E$1506&lt;$E1311))+1)</f>
        <v/>
      </c>
      <c r="X1311" s="49" t="str">
        <f t="shared" si="16"/>
        <v/>
      </c>
      <c r="Y1311" s="49" t="str">
        <f t="shared" si="17"/>
        <v/>
      </c>
    </row>
    <row r="1312" ht="15.0" customHeight="1">
      <c r="A1312" s="82"/>
      <c r="B1312" s="83"/>
      <c r="C1312" s="83"/>
      <c r="D1312" s="83"/>
      <c r="E1312" s="83"/>
      <c r="F1312" s="83"/>
      <c r="G1312" s="83" t="str">
        <f>IF($F1312="","",IFERROR(VLOOKUP($F1312,Inventory!$A:$B,2,FALSE),""))</f>
        <v/>
      </c>
      <c r="H1312" s="83"/>
      <c r="I1312" s="84" t="str">
        <f t="shared" si="2"/>
        <v/>
      </c>
      <c r="J1312" s="85" t="str">
        <f>IF($F1312="","",IFERROR(VLOOKUP($F1312,Inventory!$A:$K,11,FALSE),0))</f>
        <v/>
      </c>
      <c r="K1312" s="85"/>
      <c r="L1312" s="85" t="str">
        <f t="shared" si="12"/>
        <v/>
      </c>
      <c r="M1312" s="83"/>
      <c r="N1312" s="85" t="str">
        <f>IF($F1312="","",IFERROR(VLOOKUP($F1312,Inventory!$A:$I,9,FALSE),0))</f>
        <v/>
      </c>
      <c r="O1312" s="85" t="str">
        <f t="shared" si="13"/>
        <v/>
      </c>
      <c r="P1312" s="85" t="str">
        <f t="shared" si="5"/>
        <v/>
      </c>
      <c r="Q1312" s="83"/>
      <c r="R1312" s="118" t="str">
        <f>IF($E1312="","",IF(COUNTIF($E$7:$E2509,$E1312)&gt;1,"",IFERROR(VLOOKUP($E1312,Orders!$A:$I,8,FALSE),"")))</f>
        <v/>
      </c>
      <c r="S1312" s="118" t="str">
        <f>IF($E1312="","",IF(COUNTIF($E$7:$E2509,$E1312)&gt;1,"",IFERROR(VLOOKUP($E1312,Orders!$A:$I,9,FALSE),"")))</f>
        <v/>
      </c>
      <c r="T1312" s="88" t="str">
        <f t="shared" si="14"/>
        <v/>
      </c>
      <c r="U1312" s="88" t="str">
        <f>IF($F1312="","",IF($E1312="",T1312,SUMIF(Sales!$E$7:$E$1506,$E1312,Sales!$T$7:$T$1506)))</f>
        <v/>
      </c>
      <c r="V1312" s="49" t="str">
        <f t="shared" si="15"/>
        <v/>
      </c>
      <c r="W1312" s="49" t="str">
        <f t="array" ref="W1312">IF($V1312="","",SUMPRODUCT((Sales!$V$7:$V$1506&lt;&gt;"")*(Sales!$E$7:$E$1506&lt;$E1312))+1)</f>
        <v/>
      </c>
      <c r="X1312" s="49" t="str">
        <f t="shared" si="16"/>
        <v/>
      </c>
      <c r="Y1312" s="49" t="str">
        <f t="shared" si="17"/>
        <v/>
      </c>
    </row>
    <row r="1313" ht="15.0" customHeight="1">
      <c r="A1313" s="82"/>
      <c r="B1313" s="83"/>
      <c r="C1313" s="83"/>
      <c r="D1313" s="83"/>
      <c r="E1313" s="83"/>
      <c r="F1313" s="83"/>
      <c r="G1313" s="83" t="str">
        <f>IF($F1313="","",IFERROR(VLOOKUP($F1313,Inventory!$A:$B,2,FALSE),""))</f>
        <v/>
      </c>
      <c r="H1313" s="83"/>
      <c r="I1313" s="84" t="str">
        <f t="shared" si="2"/>
        <v/>
      </c>
      <c r="J1313" s="85" t="str">
        <f>IF($F1313="","",IFERROR(VLOOKUP($F1313,Inventory!$A:$K,11,FALSE),0))</f>
        <v/>
      </c>
      <c r="K1313" s="85"/>
      <c r="L1313" s="85" t="str">
        <f t="shared" si="12"/>
        <v/>
      </c>
      <c r="M1313" s="83"/>
      <c r="N1313" s="85" t="str">
        <f>IF($F1313="","",IFERROR(VLOOKUP($F1313,Inventory!$A:$I,9,FALSE),0))</f>
        <v/>
      </c>
      <c r="O1313" s="85" t="str">
        <f t="shared" si="13"/>
        <v/>
      </c>
      <c r="P1313" s="85" t="str">
        <f t="shared" si="5"/>
        <v/>
      </c>
      <c r="Q1313" s="83"/>
      <c r="R1313" s="118" t="str">
        <f>IF($E1313="","",IF(COUNTIF($E$7:$E2510,$E1313)&gt;1,"",IFERROR(VLOOKUP($E1313,Orders!$A:$I,8,FALSE),"")))</f>
        <v/>
      </c>
      <c r="S1313" s="118" t="str">
        <f>IF($E1313="","",IF(COUNTIF($E$7:$E2510,$E1313)&gt;1,"",IFERROR(VLOOKUP($E1313,Orders!$A:$I,9,FALSE),"")))</f>
        <v/>
      </c>
      <c r="T1313" s="88" t="str">
        <f t="shared" si="14"/>
        <v/>
      </c>
      <c r="U1313" s="88" t="str">
        <f>IF($F1313="","",IF($E1313="",T1313,SUMIF(Sales!$E$7:$E$1506,$E1313,Sales!$T$7:$T$1506)))</f>
        <v/>
      </c>
      <c r="V1313" s="49" t="str">
        <f t="shared" si="15"/>
        <v/>
      </c>
      <c r="W1313" s="49" t="str">
        <f t="array" ref="W1313">IF($V1313="","",SUMPRODUCT((Sales!$V$7:$V$1506&lt;&gt;"")*(Sales!$E$7:$E$1506&lt;$E1313))+1)</f>
        <v/>
      </c>
      <c r="X1313" s="49" t="str">
        <f t="shared" si="16"/>
        <v/>
      </c>
      <c r="Y1313" s="49" t="str">
        <f t="shared" si="17"/>
        <v/>
      </c>
    </row>
    <row r="1314" ht="15.0" customHeight="1">
      <c r="A1314" s="82"/>
      <c r="B1314" s="83"/>
      <c r="C1314" s="83"/>
      <c r="D1314" s="83"/>
      <c r="E1314" s="83"/>
      <c r="F1314" s="83"/>
      <c r="G1314" s="83" t="str">
        <f>IF($F1314="","",IFERROR(VLOOKUP($F1314,Inventory!$A:$B,2,FALSE),""))</f>
        <v/>
      </c>
      <c r="H1314" s="83"/>
      <c r="I1314" s="84" t="str">
        <f t="shared" si="2"/>
        <v/>
      </c>
      <c r="J1314" s="85" t="str">
        <f>IF($F1314="","",IFERROR(VLOOKUP($F1314,Inventory!$A:$K,11,FALSE),0))</f>
        <v/>
      </c>
      <c r="K1314" s="85"/>
      <c r="L1314" s="85" t="str">
        <f t="shared" si="12"/>
        <v/>
      </c>
      <c r="M1314" s="83"/>
      <c r="N1314" s="85" t="str">
        <f>IF($F1314="","",IFERROR(VLOOKUP($F1314,Inventory!$A:$I,9,FALSE),0))</f>
        <v/>
      </c>
      <c r="O1314" s="85" t="str">
        <f t="shared" si="13"/>
        <v/>
      </c>
      <c r="P1314" s="85" t="str">
        <f t="shared" si="5"/>
        <v/>
      </c>
      <c r="Q1314" s="83"/>
      <c r="R1314" s="118" t="str">
        <f>IF($E1314="","",IF(COUNTIF($E$7:$E2511,$E1314)&gt;1,"",IFERROR(VLOOKUP($E1314,Orders!$A:$I,8,FALSE),"")))</f>
        <v/>
      </c>
      <c r="S1314" s="118" t="str">
        <f>IF($E1314="","",IF(COUNTIF($E$7:$E2511,$E1314)&gt;1,"",IFERROR(VLOOKUP($E1314,Orders!$A:$I,9,FALSE),"")))</f>
        <v/>
      </c>
      <c r="T1314" s="88" t="str">
        <f t="shared" si="14"/>
        <v/>
      </c>
      <c r="U1314" s="88" t="str">
        <f>IF($F1314="","",IF($E1314="",T1314,SUMIF(Sales!$E$7:$E$1506,$E1314,Sales!$T$7:$T$1506)))</f>
        <v/>
      </c>
      <c r="V1314" s="49" t="str">
        <f t="shared" si="15"/>
        <v/>
      </c>
      <c r="W1314" s="49" t="str">
        <f t="array" ref="W1314">IF($V1314="","",SUMPRODUCT((Sales!$V$7:$V$1506&lt;&gt;"")*(Sales!$E$7:$E$1506&lt;$E1314))+1)</f>
        <v/>
      </c>
      <c r="X1314" s="49" t="str">
        <f t="shared" si="16"/>
        <v/>
      </c>
      <c r="Y1314" s="49" t="str">
        <f t="shared" si="17"/>
        <v/>
      </c>
    </row>
    <row r="1315" ht="15.0" customHeight="1">
      <c r="A1315" s="82"/>
      <c r="B1315" s="83"/>
      <c r="C1315" s="83"/>
      <c r="D1315" s="83"/>
      <c r="E1315" s="83"/>
      <c r="F1315" s="83"/>
      <c r="G1315" s="83" t="str">
        <f>IF($F1315="","",IFERROR(VLOOKUP($F1315,Inventory!$A:$B,2,FALSE),""))</f>
        <v/>
      </c>
      <c r="H1315" s="83"/>
      <c r="I1315" s="84" t="str">
        <f t="shared" si="2"/>
        <v/>
      </c>
      <c r="J1315" s="85" t="str">
        <f>IF($F1315="","",IFERROR(VLOOKUP($F1315,Inventory!$A:$K,11,FALSE),0))</f>
        <v/>
      </c>
      <c r="K1315" s="85"/>
      <c r="L1315" s="85" t="str">
        <f t="shared" si="12"/>
        <v/>
      </c>
      <c r="M1315" s="83"/>
      <c r="N1315" s="85" t="str">
        <f>IF($F1315="","",IFERROR(VLOOKUP($F1315,Inventory!$A:$I,9,FALSE),0))</f>
        <v/>
      </c>
      <c r="O1315" s="85" t="str">
        <f t="shared" si="13"/>
        <v/>
      </c>
      <c r="P1315" s="85" t="str">
        <f t="shared" si="5"/>
        <v/>
      </c>
      <c r="Q1315" s="83"/>
      <c r="R1315" s="118" t="str">
        <f>IF($E1315="","",IF(COUNTIF($E$7:$E2512,$E1315)&gt;1,"",IFERROR(VLOOKUP($E1315,Orders!$A:$I,8,FALSE),"")))</f>
        <v/>
      </c>
      <c r="S1315" s="118" t="str">
        <f>IF($E1315="","",IF(COUNTIF($E$7:$E2512,$E1315)&gt;1,"",IFERROR(VLOOKUP($E1315,Orders!$A:$I,9,FALSE),"")))</f>
        <v/>
      </c>
      <c r="T1315" s="88" t="str">
        <f t="shared" si="14"/>
        <v/>
      </c>
      <c r="U1315" s="88" t="str">
        <f>IF($F1315="","",IF($E1315="",T1315,SUMIF(Sales!$E$7:$E$1506,$E1315,Sales!$T$7:$T$1506)))</f>
        <v/>
      </c>
      <c r="V1315" s="49" t="str">
        <f t="shared" si="15"/>
        <v/>
      </c>
      <c r="W1315" s="49" t="str">
        <f t="array" ref="W1315">IF($V1315="","",SUMPRODUCT((Sales!$V$7:$V$1506&lt;&gt;"")*(Sales!$E$7:$E$1506&lt;$E1315))+1)</f>
        <v/>
      </c>
      <c r="X1315" s="49" t="str">
        <f t="shared" si="16"/>
        <v/>
      </c>
      <c r="Y1315" s="49" t="str">
        <f t="shared" si="17"/>
        <v/>
      </c>
    </row>
    <row r="1316" ht="15.0" customHeight="1">
      <c r="A1316" s="82"/>
      <c r="B1316" s="83"/>
      <c r="C1316" s="83"/>
      <c r="D1316" s="83"/>
      <c r="E1316" s="83"/>
      <c r="F1316" s="83"/>
      <c r="G1316" s="83" t="str">
        <f>IF($F1316="","",IFERROR(VLOOKUP($F1316,Inventory!$A:$B,2,FALSE),""))</f>
        <v/>
      </c>
      <c r="H1316" s="83"/>
      <c r="I1316" s="84" t="str">
        <f t="shared" si="2"/>
        <v/>
      </c>
      <c r="J1316" s="85" t="str">
        <f>IF($F1316="","",IFERROR(VLOOKUP($F1316,Inventory!$A:$K,11,FALSE),0))</f>
        <v/>
      </c>
      <c r="K1316" s="85"/>
      <c r="L1316" s="85" t="str">
        <f t="shared" si="12"/>
        <v/>
      </c>
      <c r="M1316" s="83"/>
      <c r="N1316" s="85" t="str">
        <f>IF($F1316="","",IFERROR(VLOOKUP($F1316,Inventory!$A:$I,9,FALSE),0))</f>
        <v/>
      </c>
      <c r="O1316" s="85" t="str">
        <f t="shared" si="13"/>
        <v/>
      </c>
      <c r="P1316" s="85" t="str">
        <f t="shared" si="5"/>
        <v/>
      </c>
      <c r="Q1316" s="83"/>
      <c r="R1316" s="118" t="str">
        <f>IF($E1316="","",IF(COUNTIF($E$7:$E2513,$E1316)&gt;1,"",IFERROR(VLOOKUP($E1316,Orders!$A:$I,8,FALSE),"")))</f>
        <v/>
      </c>
      <c r="S1316" s="118" t="str">
        <f>IF($E1316="","",IF(COUNTIF($E$7:$E2513,$E1316)&gt;1,"",IFERROR(VLOOKUP($E1316,Orders!$A:$I,9,FALSE),"")))</f>
        <v/>
      </c>
      <c r="T1316" s="88" t="str">
        <f t="shared" si="14"/>
        <v/>
      </c>
      <c r="U1316" s="88" t="str">
        <f>IF($F1316="","",IF($E1316="",T1316,SUMIF(Sales!$E$7:$E$1506,$E1316,Sales!$T$7:$T$1506)))</f>
        <v/>
      </c>
      <c r="V1316" s="49" t="str">
        <f t="shared" si="15"/>
        <v/>
      </c>
      <c r="W1316" s="49" t="str">
        <f t="array" ref="W1316">IF($V1316="","",SUMPRODUCT((Sales!$V$7:$V$1506&lt;&gt;"")*(Sales!$E$7:$E$1506&lt;$E1316))+1)</f>
        <v/>
      </c>
      <c r="X1316" s="49" t="str">
        <f t="shared" si="16"/>
        <v/>
      </c>
      <c r="Y1316" s="49" t="str">
        <f t="shared" si="17"/>
        <v/>
      </c>
    </row>
    <row r="1317" ht="15.0" customHeight="1">
      <c r="A1317" s="82"/>
      <c r="B1317" s="83"/>
      <c r="C1317" s="83"/>
      <c r="D1317" s="83"/>
      <c r="E1317" s="83"/>
      <c r="F1317" s="83"/>
      <c r="G1317" s="83" t="str">
        <f>IF($F1317="","",IFERROR(VLOOKUP($F1317,Inventory!$A:$B,2,FALSE),""))</f>
        <v/>
      </c>
      <c r="H1317" s="83"/>
      <c r="I1317" s="84" t="str">
        <f t="shared" si="2"/>
        <v/>
      </c>
      <c r="J1317" s="85" t="str">
        <f>IF($F1317="","",IFERROR(VLOOKUP($F1317,Inventory!$A:$K,11,FALSE),0))</f>
        <v/>
      </c>
      <c r="K1317" s="85"/>
      <c r="L1317" s="85" t="str">
        <f t="shared" si="12"/>
        <v/>
      </c>
      <c r="M1317" s="83"/>
      <c r="N1317" s="85" t="str">
        <f>IF($F1317="","",IFERROR(VLOOKUP($F1317,Inventory!$A:$I,9,FALSE),0))</f>
        <v/>
      </c>
      <c r="O1317" s="85" t="str">
        <f t="shared" si="13"/>
        <v/>
      </c>
      <c r="P1317" s="85" t="str">
        <f t="shared" si="5"/>
        <v/>
      </c>
      <c r="Q1317" s="83"/>
      <c r="R1317" s="118" t="str">
        <f>IF($E1317="","",IF(COUNTIF($E$7:$E2514,$E1317)&gt;1,"",IFERROR(VLOOKUP($E1317,Orders!$A:$I,8,FALSE),"")))</f>
        <v/>
      </c>
      <c r="S1317" s="118" t="str">
        <f>IF($E1317="","",IF(COUNTIF($E$7:$E2514,$E1317)&gt;1,"",IFERROR(VLOOKUP($E1317,Orders!$A:$I,9,FALSE),"")))</f>
        <v/>
      </c>
      <c r="T1317" s="88" t="str">
        <f t="shared" si="14"/>
        <v/>
      </c>
      <c r="U1317" s="88" t="str">
        <f>IF($F1317="","",IF($E1317="",T1317,SUMIF(Sales!$E$7:$E$1506,$E1317,Sales!$T$7:$T$1506)))</f>
        <v/>
      </c>
      <c r="V1317" s="49" t="str">
        <f t="shared" si="15"/>
        <v/>
      </c>
      <c r="W1317" s="49" t="str">
        <f t="array" ref="W1317">IF($V1317="","",SUMPRODUCT((Sales!$V$7:$V$1506&lt;&gt;"")*(Sales!$E$7:$E$1506&lt;$E1317))+1)</f>
        <v/>
      </c>
      <c r="X1317" s="49" t="str">
        <f t="shared" si="16"/>
        <v/>
      </c>
      <c r="Y1317" s="49" t="str">
        <f t="shared" si="17"/>
        <v/>
      </c>
    </row>
    <row r="1318" ht="15.0" customHeight="1">
      <c r="A1318" s="82"/>
      <c r="B1318" s="83"/>
      <c r="C1318" s="83"/>
      <c r="D1318" s="83"/>
      <c r="E1318" s="83"/>
      <c r="F1318" s="83"/>
      <c r="G1318" s="83" t="str">
        <f>IF($F1318="","",IFERROR(VLOOKUP($F1318,Inventory!$A:$B,2,FALSE),""))</f>
        <v/>
      </c>
      <c r="H1318" s="83"/>
      <c r="I1318" s="84" t="str">
        <f t="shared" si="2"/>
        <v/>
      </c>
      <c r="J1318" s="85" t="str">
        <f>IF($F1318="","",IFERROR(VLOOKUP($F1318,Inventory!$A:$K,11,FALSE),0))</f>
        <v/>
      </c>
      <c r="K1318" s="85"/>
      <c r="L1318" s="85" t="str">
        <f t="shared" si="12"/>
        <v/>
      </c>
      <c r="M1318" s="83"/>
      <c r="N1318" s="85" t="str">
        <f>IF($F1318="","",IFERROR(VLOOKUP($F1318,Inventory!$A:$I,9,FALSE),0))</f>
        <v/>
      </c>
      <c r="O1318" s="85" t="str">
        <f t="shared" si="13"/>
        <v/>
      </c>
      <c r="P1318" s="85" t="str">
        <f t="shared" si="5"/>
        <v/>
      </c>
      <c r="Q1318" s="83"/>
      <c r="R1318" s="118" t="str">
        <f>IF($E1318="","",IF(COUNTIF($E$7:$E2515,$E1318)&gt;1,"",IFERROR(VLOOKUP($E1318,Orders!$A:$I,8,FALSE),"")))</f>
        <v/>
      </c>
      <c r="S1318" s="118" t="str">
        <f>IF($E1318="","",IF(COUNTIF($E$7:$E2515,$E1318)&gt;1,"",IFERROR(VLOOKUP($E1318,Orders!$A:$I,9,FALSE),"")))</f>
        <v/>
      </c>
      <c r="T1318" s="88" t="str">
        <f t="shared" si="14"/>
        <v/>
      </c>
      <c r="U1318" s="88" t="str">
        <f>IF($F1318="","",IF($E1318="",T1318,SUMIF(Sales!$E$7:$E$1506,$E1318,Sales!$T$7:$T$1506)))</f>
        <v/>
      </c>
      <c r="V1318" s="49" t="str">
        <f t="shared" si="15"/>
        <v/>
      </c>
      <c r="W1318" s="49" t="str">
        <f t="array" ref="W1318">IF($V1318="","",SUMPRODUCT((Sales!$V$7:$V$1506&lt;&gt;"")*(Sales!$E$7:$E$1506&lt;$E1318))+1)</f>
        <v/>
      </c>
      <c r="X1318" s="49" t="str">
        <f t="shared" si="16"/>
        <v/>
      </c>
      <c r="Y1318" s="49" t="str">
        <f t="shared" si="17"/>
        <v/>
      </c>
    </row>
    <row r="1319" ht="15.0" customHeight="1">
      <c r="A1319" s="82"/>
      <c r="B1319" s="83"/>
      <c r="C1319" s="83"/>
      <c r="D1319" s="83"/>
      <c r="E1319" s="83"/>
      <c r="F1319" s="83"/>
      <c r="G1319" s="83" t="str">
        <f>IF($F1319="","",IFERROR(VLOOKUP($F1319,Inventory!$A:$B,2,FALSE),""))</f>
        <v/>
      </c>
      <c r="H1319" s="83"/>
      <c r="I1319" s="84" t="str">
        <f t="shared" si="2"/>
        <v/>
      </c>
      <c r="J1319" s="85" t="str">
        <f>IF($F1319="","",IFERROR(VLOOKUP($F1319,Inventory!$A:$K,11,FALSE),0))</f>
        <v/>
      </c>
      <c r="K1319" s="85"/>
      <c r="L1319" s="85" t="str">
        <f t="shared" si="12"/>
        <v/>
      </c>
      <c r="M1319" s="83"/>
      <c r="N1319" s="85" t="str">
        <f>IF($F1319="","",IFERROR(VLOOKUP($F1319,Inventory!$A:$I,9,FALSE),0))</f>
        <v/>
      </c>
      <c r="O1319" s="85" t="str">
        <f t="shared" si="13"/>
        <v/>
      </c>
      <c r="P1319" s="85" t="str">
        <f t="shared" si="5"/>
        <v/>
      </c>
      <c r="Q1319" s="83"/>
      <c r="R1319" s="118" t="str">
        <f>IF($E1319="","",IF(COUNTIF($E$7:$E2516,$E1319)&gt;1,"",IFERROR(VLOOKUP($E1319,Orders!$A:$I,8,FALSE),"")))</f>
        <v/>
      </c>
      <c r="S1319" s="118" t="str">
        <f>IF($E1319="","",IF(COUNTIF($E$7:$E2516,$E1319)&gt;1,"",IFERROR(VLOOKUP($E1319,Orders!$A:$I,9,FALSE),"")))</f>
        <v/>
      </c>
      <c r="T1319" s="88" t="str">
        <f t="shared" si="14"/>
        <v/>
      </c>
      <c r="U1319" s="88" t="str">
        <f>IF($F1319="","",IF($E1319="",T1319,SUMIF(Sales!$E$7:$E$1506,$E1319,Sales!$T$7:$T$1506)))</f>
        <v/>
      </c>
      <c r="V1319" s="49" t="str">
        <f t="shared" si="15"/>
        <v/>
      </c>
      <c r="W1319" s="49" t="str">
        <f t="array" ref="W1319">IF($V1319="","",SUMPRODUCT((Sales!$V$7:$V$1506&lt;&gt;"")*(Sales!$E$7:$E$1506&lt;$E1319))+1)</f>
        <v/>
      </c>
      <c r="X1319" s="49" t="str">
        <f t="shared" si="16"/>
        <v/>
      </c>
      <c r="Y1319" s="49" t="str">
        <f t="shared" si="17"/>
        <v/>
      </c>
    </row>
    <row r="1320" ht="15.0" customHeight="1">
      <c r="A1320" s="82"/>
      <c r="B1320" s="83"/>
      <c r="C1320" s="83"/>
      <c r="D1320" s="83"/>
      <c r="E1320" s="83"/>
      <c r="F1320" s="83"/>
      <c r="G1320" s="83" t="str">
        <f>IF($F1320="","",IFERROR(VLOOKUP($F1320,Inventory!$A:$B,2,FALSE),""))</f>
        <v/>
      </c>
      <c r="H1320" s="83"/>
      <c r="I1320" s="84" t="str">
        <f t="shared" si="2"/>
        <v/>
      </c>
      <c r="J1320" s="85" t="str">
        <f>IF($F1320="","",IFERROR(VLOOKUP($F1320,Inventory!$A:$K,11,FALSE),0))</f>
        <v/>
      </c>
      <c r="K1320" s="85"/>
      <c r="L1320" s="85" t="str">
        <f t="shared" si="12"/>
        <v/>
      </c>
      <c r="M1320" s="83"/>
      <c r="N1320" s="85" t="str">
        <f>IF($F1320="","",IFERROR(VLOOKUP($F1320,Inventory!$A:$I,9,FALSE),0))</f>
        <v/>
      </c>
      <c r="O1320" s="85" t="str">
        <f t="shared" si="13"/>
        <v/>
      </c>
      <c r="P1320" s="85" t="str">
        <f t="shared" si="5"/>
        <v/>
      </c>
      <c r="Q1320" s="83"/>
      <c r="R1320" s="118" t="str">
        <f>IF($E1320="","",IF(COUNTIF($E$7:$E2517,$E1320)&gt;1,"",IFERROR(VLOOKUP($E1320,Orders!$A:$I,8,FALSE),"")))</f>
        <v/>
      </c>
      <c r="S1320" s="118" t="str">
        <f>IF($E1320="","",IF(COUNTIF($E$7:$E2517,$E1320)&gt;1,"",IFERROR(VLOOKUP($E1320,Orders!$A:$I,9,FALSE),"")))</f>
        <v/>
      </c>
      <c r="T1320" s="88" t="str">
        <f t="shared" si="14"/>
        <v/>
      </c>
      <c r="U1320" s="88" t="str">
        <f>IF($F1320="","",IF($E1320="",T1320,SUMIF(Sales!$E$7:$E$1506,$E1320,Sales!$T$7:$T$1506)))</f>
        <v/>
      </c>
      <c r="V1320" s="49" t="str">
        <f t="shared" si="15"/>
        <v/>
      </c>
      <c r="W1320" s="49" t="str">
        <f t="array" ref="W1320">IF($V1320="","",SUMPRODUCT((Sales!$V$7:$V$1506&lt;&gt;"")*(Sales!$E$7:$E$1506&lt;$E1320))+1)</f>
        <v/>
      </c>
      <c r="X1320" s="49" t="str">
        <f t="shared" si="16"/>
        <v/>
      </c>
      <c r="Y1320" s="49" t="str">
        <f t="shared" si="17"/>
        <v/>
      </c>
    </row>
    <row r="1321" ht="15.0" customHeight="1">
      <c r="A1321" s="82"/>
      <c r="B1321" s="83"/>
      <c r="C1321" s="83"/>
      <c r="D1321" s="83"/>
      <c r="E1321" s="83"/>
      <c r="F1321" s="83"/>
      <c r="G1321" s="83" t="str">
        <f>IF($F1321="","",IFERROR(VLOOKUP($F1321,Inventory!$A:$B,2,FALSE),""))</f>
        <v/>
      </c>
      <c r="H1321" s="83"/>
      <c r="I1321" s="84" t="str">
        <f t="shared" si="2"/>
        <v/>
      </c>
      <c r="J1321" s="85" t="str">
        <f>IF($F1321="","",IFERROR(VLOOKUP($F1321,Inventory!$A:$K,11,FALSE),0))</f>
        <v/>
      </c>
      <c r="K1321" s="85"/>
      <c r="L1321" s="85" t="str">
        <f t="shared" si="12"/>
        <v/>
      </c>
      <c r="M1321" s="83"/>
      <c r="N1321" s="85" t="str">
        <f>IF($F1321="","",IFERROR(VLOOKUP($F1321,Inventory!$A:$I,9,FALSE),0))</f>
        <v/>
      </c>
      <c r="O1321" s="85" t="str">
        <f t="shared" si="13"/>
        <v/>
      </c>
      <c r="P1321" s="85" t="str">
        <f t="shared" si="5"/>
        <v/>
      </c>
      <c r="Q1321" s="83"/>
      <c r="R1321" s="118" t="str">
        <f>IF($E1321="","",IF(COUNTIF($E$7:$E2518,$E1321)&gt;1,"",IFERROR(VLOOKUP($E1321,Orders!$A:$I,8,FALSE),"")))</f>
        <v/>
      </c>
      <c r="S1321" s="118" t="str">
        <f>IF($E1321="","",IF(COUNTIF($E$7:$E2518,$E1321)&gt;1,"",IFERROR(VLOOKUP($E1321,Orders!$A:$I,9,FALSE),"")))</f>
        <v/>
      </c>
      <c r="T1321" s="88" t="str">
        <f t="shared" si="14"/>
        <v/>
      </c>
      <c r="U1321" s="88" t="str">
        <f>IF($F1321="","",IF($E1321="",T1321,SUMIF(Sales!$E$7:$E$1506,$E1321,Sales!$T$7:$T$1506)))</f>
        <v/>
      </c>
      <c r="V1321" s="49" t="str">
        <f t="shared" si="15"/>
        <v/>
      </c>
      <c r="W1321" s="49" t="str">
        <f t="array" ref="W1321">IF($V1321="","",SUMPRODUCT((Sales!$V$7:$V$1506&lt;&gt;"")*(Sales!$E$7:$E$1506&lt;$E1321))+1)</f>
        <v/>
      </c>
      <c r="X1321" s="49" t="str">
        <f t="shared" si="16"/>
        <v/>
      </c>
      <c r="Y1321" s="49" t="str">
        <f t="shared" si="17"/>
        <v/>
      </c>
    </row>
    <row r="1322" ht="15.0" customHeight="1">
      <c r="A1322" s="82"/>
      <c r="B1322" s="83"/>
      <c r="C1322" s="83"/>
      <c r="D1322" s="83"/>
      <c r="E1322" s="83"/>
      <c r="F1322" s="83"/>
      <c r="G1322" s="83" t="str">
        <f>IF($F1322="","",IFERROR(VLOOKUP($F1322,Inventory!$A:$B,2,FALSE),""))</f>
        <v/>
      </c>
      <c r="H1322" s="83"/>
      <c r="I1322" s="84" t="str">
        <f t="shared" si="2"/>
        <v/>
      </c>
      <c r="J1322" s="85" t="str">
        <f>IF($F1322="","",IFERROR(VLOOKUP($F1322,Inventory!$A:$K,11,FALSE),0))</f>
        <v/>
      </c>
      <c r="K1322" s="85"/>
      <c r="L1322" s="85" t="str">
        <f t="shared" si="12"/>
        <v/>
      </c>
      <c r="M1322" s="83"/>
      <c r="N1322" s="85" t="str">
        <f>IF($F1322="","",IFERROR(VLOOKUP($F1322,Inventory!$A:$I,9,FALSE),0))</f>
        <v/>
      </c>
      <c r="O1322" s="85" t="str">
        <f t="shared" si="13"/>
        <v/>
      </c>
      <c r="P1322" s="85" t="str">
        <f t="shared" si="5"/>
        <v/>
      </c>
      <c r="Q1322" s="83"/>
      <c r="R1322" s="118" t="str">
        <f>IF($E1322="","",IF(COUNTIF($E$7:$E2519,$E1322)&gt;1,"",IFERROR(VLOOKUP($E1322,Orders!$A:$I,8,FALSE),"")))</f>
        <v/>
      </c>
      <c r="S1322" s="118" t="str">
        <f>IF($E1322="","",IF(COUNTIF($E$7:$E2519,$E1322)&gt;1,"",IFERROR(VLOOKUP($E1322,Orders!$A:$I,9,FALSE),"")))</f>
        <v/>
      </c>
      <c r="T1322" s="88" t="str">
        <f t="shared" si="14"/>
        <v/>
      </c>
      <c r="U1322" s="88" t="str">
        <f>IF($F1322="","",IF($E1322="",T1322,SUMIF(Sales!$E$7:$E$1506,$E1322,Sales!$T$7:$T$1506)))</f>
        <v/>
      </c>
      <c r="V1322" s="49" t="str">
        <f t="shared" si="15"/>
        <v/>
      </c>
      <c r="W1322" s="49" t="str">
        <f t="array" ref="W1322">IF($V1322="","",SUMPRODUCT((Sales!$V$7:$V$1506&lt;&gt;"")*(Sales!$E$7:$E$1506&lt;$E1322))+1)</f>
        <v/>
      </c>
      <c r="X1322" s="49" t="str">
        <f t="shared" si="16"/>
        <v/>
      </c>
      <c r="Y1322" s="49" t="str">
        <f t="shared" si="17"/>
        <v/>
      </c>
    </row>
    <row r="1323" ht="15.0" customHeight="1">
      <c r="A1323" s="82"/>
      <c r="B1323" s="83"/>
      <c r="C1323" s="83"/>
      <c r="D1323" s="83"/>
      <c r="E1323" s="83"/>
      <c r="F1323" s="83"/>
      <c r="G1323" s="83" t="str">
        <f>IF($F1323="","",IFERROR(VLOOKUP($F1323,Inventory!$A:$B,2,FALSE),""))</f>
        <v/>
      </c>
      <c r="H1323" s="83"/>
      <c r="I1323" s="84" t="str">
        <f t="shared" si="2"/>
        <v/>
      </c>
      <c r="J1323" s="85" t="str">
        <f>IF($F1323="","",IFERROR(VLOOKUP($F1323,Inventory!$A:$K,11,FALSE),0))</f>
        <v/>
      </c>
      <c r="K1323" s="85"/>
      <c r="L1323" s="85" t="str">
        <f t="shared" si="12"/>
        <v/>
      </c>
      <c r="M1323" s="83"/>
      <c r="N1323" s="85" t="str">
        <f>IF($F1323="","",IFERROR(VLOOKUP($F1323,Inventory!$A:$I,9,FALSE),0))</f>
        <v/>
      </c>
      <c r="O1323" s="85" t="str">
        <f t="shared" si="13"/>
        <v/>
      </c>
      <c r="P1323" s="85" t="str">
        <f t="shared" si="5"/>
        <v/>
      </c>
      <c r="Q1323" s="83"/>
      <c r="R1323" s="118" t="str">
        <f>IF($E1323="","",IF(COUNTIF($E$7:$E2520,$E1323)&gt;1,"",IFERROR(VLOOKUP($E1323,Orders!$A:$I,8,FALSE),"")))</f>
        <v/>
      </c>
      <c r="S1323" s="118" t="str">
        <f>IF($E1323="","",IF(COUNTIF($E$7:$E2520,$E1323)&gt;1,"",IFERROR(VLOOKUP($E1323,Orders!$A:$I,9,FALSE),"")))</f>
        <v/>
      </c>
      <c r="T1323" s="88" t="str">
        <f t="shared" si="14"/>
        <v/>
      </c>
      <c r="U1323" s="88" t="str">
        <f>IF($F1323="","",IF($E1323="",T1323,SUMIF(Sales!$E$7:$E$1506,$E1323,Sales!$T$7:$T$1506)))</f>
        <v/>
      </c>
      <c r="V1323" s="49" t="str">
        <f t="shared" si="15"/>
        <v/>
      </c>
      <c r="W1323" s="49" t="str">
        <f t="array" ref="W1323">IF($V1323="","",SUMPRODUCT((Sales!$V$7:$V$1506&lt;&gt;"")*(Sales!$E$7:$E$1506&lt;$E1323))+1)</f>
        <v/>
      </c>
      <c r="X1323" s="49" t="str">
        <f t="shared" si="16"/>
        <v/>
      </c>
      <c r="Y1323" s="49" t="str">
        <f t="shared" si="17"/>
        <v/>
      </c>
    </row>
    <row r="1324" ht="15.0" customHeight="1">
      <c r="A1324" s="82"/>
      <c r="B1324" s="83"/>
      <c r="C1324" s="83"/>
      <c r="D1324" s="83"/>
      <c r="E1324" s="83"/>
      <c r="F1324" s="83"/>
      <c r="G1324" s="83" t="str">
        <f>IF($F1324="","",IFERROR(VLOOKUP($F1324,Inventory!$A:$B,2,FALSE),""))</f>
        <v/>
      </c>
      <c r="H1324" s="83"/>
      <c r="I1324" s="84" t="str">
        <f t="shared" si="2"/>
        <v/>
      </c>
      <c r="J1324" s="85" t="str">
        <f>IF($F1324="","",IFERROR(VLOOKUP($F1324,Inventory!$A:$K,11,FALSE),0))</f>
        <v/>
      </c>
      <c r="K1324" s="85"/>
      <c r="L1324" s="85" t="str">
        <f t="shared" si="12"/>
        <v/>
      </c>
      <c r="M1324" s="83"/>
      <c r="N1324" s="85" t="str">
        <f>IF($F1324="","",IFERROR(VLOOKUP($F1324,Inventory!$A:$I,9,FALSE),0))</f>
        <v/>
      </c>
      <c r="O1324" s="85" t="str">
        <f t="shared" si="13"/>
        <v/>
      </c>
      <c r="P1324" s="85" t="str">
        <f t="shared" si="5"/>
        <v/>
      </c>
      <c r="Q1324" s="83"/>
      <c r="R1324" s="118" t="str">
        <f>IF($E1324="","",IF(COUNTIF($E$7:$E2521,$E1324)&gt;1,"",IFERROR(VLOOKUP($E1324,Orders!$A:$I,8,FALSE),"")))</f>
        <v/>
      </c>
      <c r="S1324" s="118" t="str">
        <f>IF($E1324="","",IF(COUNTIF($E$7:$E2521,$E1324)&gt;1,"",IFERROR(VLOOKUP($E1324,Orders!$A:$I,9,FALSE),"")))</f>
        <v/>
      </c>
      <c r="T1324" s="88" t="str">
        <f t="shared" si="14"/>
        <v/>
      </c>
      <c r="U1324" s="88" t="str">
        <f>IF($F1324="","",IF($E1324="",T1324,SUMIF(Sales!$E$7:$E$1506,$E1324,Sales!$T$7:$T$1506)))</f>
        <v/>
      </c>
      <c r="V1324" s="49" t="str">
        <f t="shared" si="15"/>
        <v/>
      </c>
      <c r="W1324" s="49" t="str">
        <f t="array" ref="W1324">IF($V1324="","",SUMPRODUCT((Sales!$V$7:$V$1506&lt;&gt;"")*(Sales!$E$7:$E$1506&lt;$E1324))+1)</f>
        <v/>
      </c>
      <c r="X1324" s="49" t="str">
        <f t="shared" si="16"/>
        <v/>
      </c>
      <c r="Y1324" s="49" t="str">
        <f t="shared" si="17"/>
        <v/>
      </c>
    </row>
    <row r="1325" ht="15.0" customHeight="1">
      <c r="A1325" s="82"/>
      <c r="B1325" s="83"/>
      <c r="C1325" s="83"/>
      <c r="D1325" s="83"/>
      <c r="E1325" s="83"/>
      <c r="F1325" s="83"/>
      <c r="G1325" s="83" t="str">
        <f>IF($F1325="","",IFERROR(VLOOKUP($F1325,Inventory!$A:$B,2,FALSE),""))</f>
        <v/>
      </c>
      <c r="H1325" s="83"/>
      <c r="I1325" s="84" t="str">
        <f t="shared" si="2"/>
        <v/>
      </c>
      <c r="J1325" s="85" t="str">
        <f>IF($F1325="","",IFERROR(VLOOKUP($F1325,Inventory!$A:$K,11,FALSE),0))</f>
        <v/>
      </c>
      <c r="K1325" s="85"/>
      <c r="L1325" s="85" t="str">
        <f t="shared" si="12"/>
        <v/>
      </c>
      <c r="M1325" s="83"/>
      <c r="N1325" s="85" t="str">
        <f>IF($F1325="","",IFERROR(VLOOKUP($F1325,Inventory!$A:$I,9,FALSE),0))</f>
        <v/>
      </c>
      <c r="O1325" s="85" t="str">
        <f t="shared" si="13"/>
        <v/>
      </c>
      <c r="P1325" s="85" t="str">
        <f t="shared" si="5"/>
        <v/>
      </c>
      <c r="Q1325" s="83"/>
      <c r="R1325" s="118" t="str">
        <f>IF($E1325="","",IF(COUNTIF($E$7:$E2522,$E1325)&gt;1,"",IFERROR(VLOOKUP($E1325,Orders!$A:$I,8,FALSE),"")))</f>
        <v/>
      </c>
      <c r="S1325" s="118" t="str">
        <f>IF($E1325="","",IF(COUNTIF($E$7:$E2522,$E1325)&gt;1,"",IFERROR(VLOOKUP($E1325,Orders!$A:$I,9,FALSE),"")))</f>
        <v/>
      </c>
      <c r="T1325" s="88" t="str">
        <f t="shared" si="14"/>
        <v/>
      </c>
      <c r="U1325" s="88" t="str">
        <f>IF($F1325="","",IF($E1325="",T1325,SUMIF(Sales!$E$7:$E$1506,$E1325,Sales!$T$7:$T$1506)))</f>
        <v/>
      </c>
      <c r="V1325" s="49" t="str">
        <f t="shared" si="15"/>
        <v/>
      </c>
      <c r="W1325" s="49" t="str">
        <f t="array" ref="W1325">IF($V1325="","",SUMPRODUCT((Sales!$V$7:$V$1506&lt;&gt;"")*(Sales!$E$7:$E$1506&lt;$E1325))+1)</f>
        <v/>
      </c>
      <c r="X1325" s="49" t="str">
        <f t="shared" si="16"/>
        <v/>
      </c>
      <c r="Y1325" s="49" t="str">
        <f t="shared" si="17"/>
        <v/>
      </c>
    </row>
    <row r="1326" ht="15.0" customHeight="1">
      <c r="A1326" s="82"/>
      <c r="B1326" s="83"/>
      <c r="C1326" s="83"/>
      <c r="D1326" s="83"/>
      <c r="E1326" s="83"/>
      <c r="F1326" s="83"/>
      <c r="G1326" s="83" t="str">
        <f>IF($F1326="","",IFERROR(VLOOKUP($F1326,Inventory!$A:$B,2,FALSE),""))</f>
        <v/>
      </c>
      <c r="H1326" s="83"/>
      <c r="I1326" s="84" t="str">
        <f t="shared" si="2"/>
        <v/>
      </c>
      <c r="J1326" s="85" t="str">
        <f>IF($F1326="","",IFERROR(VLOOKUP($F1326,Inventory!$A:$K,11,FALSE),0))</f>
        <v/>
      </c>
      <c r="K1326" s="85"/>
      <c r="L1326" s="85" t="str">
        <f t="shared" si="12"/>
        <v/>
      </c>
      <c r="M1326" s="83"/>
      <c r="N1326" s="85" t="str">
        <f>IF($F1326="","",IFERROR(VLOOKUP($F1326,Inventory!$A:$I,9,FALSE),0))</f>
        <v/>
      </c>
      <c r="O1326" s="85" t="str">
        <f t="shared" si="13"/>
        <v/>
      </c>
      <c r="P1326" s="85" t="str">
        <f t="shared" si="5"/>
        <v/>
      </c>
      <c r="Q1326" s="83"/>
      <c r="R1326" s="118" t="str">
        <f>IF($E1326="","",IF(COUNTIF($E$7:$E2523,$E1326)&gt;1,"",IFERROR(VLOOKUP($E1326,Orders!$A:$I,8,FALSE),"")))</f>
        <v/>
      </c>
      <c r="S1326" s="118" t="str">
        <f>IF($E1326="","",IF(COUNTIF($E$7:$E2523,$E1326)&gt;1,"",IFERROR(VLOOKUP($E1326,Orders!$A:$I,9,FALSE),"")))</f>
        <v/>
      </c>
      <c r="T1326" s="88" t="str">
        <f t="shared" si="14"/>
        <v/>
      </c>
      <c r="U1326" s="88" t="str">
        <f>IF($F1326="","",IF($E1326="",T1326,SUMIF(Sales!$E$7:$E$1506,$E1326,Sales!$T$7:$T$1506)))</f>
        <v/>
      </c>
      <c r="V1326" s="49" t="str">
        <f t="shared" si="15"/>
        <v/>
      </c>
      <c r="W1326" s="49" t="str">
        <f t="array" ref="W1326">IF($V1326="","",SUMPRODUCT((Sales!$V$7:$V$1506&lt;&gt;"")*(Sales!$E$7:$E$1506&lt;$E1326))+1)</f>
        <v/>
      </c>
      <c r="X1326" s="49" t="str">
        <f t="shared" si="16"/>
        <v/>
      </c>
      <c r="Y1326" s="49" t="str">
        <f t="shared" si="17"/>
        <v/>
      </c>
    </row>
    <row r="1327" ht="15.0" customHeight="1">
      <c r="A1327" s="82"/>
      <c r="B1327" s="83"/>
      <c r="C1327" s="83"/>
      <c r="D1327" s="83"/>
      <c r="E1327" s="83"/>
      <c r="F1327" s="83"/>
      <c r="G1327" s="83" t="str">
        <f>IF($F1327="","",IFERROR(VLOOKUP($F1327,Inventory!$A:$B,2,FALSE),""))</f>
        <v/>
      </c>
      <c r="H1327" s="83"/>
      <c r="I1327" s="84" t="str">
        <f t="shared" si="2"/>
        <v/>
      </c>
      <c r="J1327" s="85" t="str">
        <f>IF($F1327="","",IFERROR(VLOOKUP($F1327,Inventory!$A:$K,11,FALSE),0))</f>
        <v/>
      </c>
      <c r="K1327" s="85"/>
      <c r="L1327" s="85" t="str">
        <f t="shared" si="12"/>
        <v/>
      </c>
      <c r="M1327" s="83"/>
      <c r="N1327" s="85" t="str">
        <f>IF($F1327="","",IFERROR(VLOOKUP($F1327,Inventory!$A:$I,9,FALSE),0))</f>
        <v/>
      </c>
      <c r="O1327" s="85" t="str">
        <f t="shared" si="13"/>
        <v/>
      </c>
      <c r="P1327" s="85" t="str">
        <f t="shared" si="5"/>
        <v/>
      </c>
      <c r="Q1327" s="83"/>
      <c r="R1327" s="118" t="str">
        <f>IF($E1327="","",IF(COUNTIF($E$7:$E2524,$E1327)&gt;1,"",IFERROR(VLOOKUP($E1327,Orders!$A:$I,8,FALSE),"")))</f>
        <v/>
      </c>
      <c r="S1327" s="118" t="str">
        <f>IF($E1327="","",IF(COUNTIF($E$7:$E2524,$E1327)&gt;1,"",IFERROR(VLOOKUP($E1327,Orders!$A:$I,9,FALSE),"")))</f>
        <v/>
      </c>
      <c r="T1327" s="88" t="str">
        <f t="shared" si="14"/>
        <v/>
      </c>
      <c r="U1327" s="88" t="str">
        <f>IF($F1327="","",IF($E1327="",T1327,SUMIF(Sales!$E$7:$E$1506,$E1327,Sales!$T$7:$T$1506)))</f>
        <v/>
      </c>
      <c r="V1327" s="49" t="str">
        <f t="shared" si="15"/>
        <v/>
      </c>
      <c r="W1327" s="49" t="str">
        <f t="array" ref="W1327">IF($V1327="","",SUMPRODUCT((Sales!$V$7:$V$1506&lt;&gt;"")*(Sales!$E$7:$E$1506&lt;$E1327))+1)</f>
        <v/>
      </c>
      <c r="X1327" s="49" t="str">
        <f t="shared" si="16"/>
        <v/>
      </c>
      <c r="Y1327" s="49" t="str">
        <f t="shared" si="17"/>
        <v/>
      </c>
    </row>
    <row r="1328" ht="15.0" customHeight="1">
      <c r="A1328" s="82"/>
      <c r="B1328" s="83"/>
      <c r="C1328" s="83"/>
      <c r="D1328" s="83"/>
      <c r="E1328" s="83"/>
      <c r="F1328" s="83"/>
      <c r="G1328" s="83" t="str">
        <f>IF($F1328="","",IFERROR(VLOOKUP($F1328,Inventory!$A:$B,2,FALSE),""))</f>
        <v/>
      </c>
      <c r="H1328" s="83"/>
      <c r="I1328" s="84" t="str">
        <f t="shared" si="2"/>
        <v/>
      </c>
      <c r="J1328" s="85" t="str">
        <f>IF($F1328="","",IFERROR(VLOOKUP($F1328,Inventory!$A:$K,11,FALSE),0))</f>
        <v/>
      </c>
      <c r="K1328" s="85"/>
      <c r="L1328" s="85" t="str">
        <f t="shared" si="12"/>
        <v/>
      </c>
      <c r="M1328" s="83"/>
      <c r="N1328" s="85" t="str">
        <f>IF($F1328="","",IFERROR(VLOOKUP($F1328,Inventory!$A:$I,9,FALSE),0))</f>
        <v/>
      </c>
      <c r="O1328" s="85" t="str">
        <f t="shared" si="13"/>
        <v/>
      </c>
      <c r="P1328" s="85" t="str">
        <f t="shared" si="5"/>
        <v/>
      </c>
      <c r="Q1328" s="83"/>
      <c r="R1328" s="118" t="str">
        <f>IF($E1328="","",IF(COUNTIF($E$7:$E2525,$E1328)&gt;1,"",IFERROR(VLOOKUP($E1328,Orders!$A:$I,8,FALSE),"")))</f>
        <v/>
      </c>
      <c r="S1328" s="118" t="str">
        <f>IF($E1328="","",IF(COUNTIF($E$7:$E2525,$E1328)&gt;1,"",IFERROR(VLOOKUP($E1328,Orders!$A:$I,9,FALSE),"")))</f>
        <v/>
      </c>
      <c r="T1328" s="88" t="str">
        <f t="shared" si="14"/>
        <v/>
      </c>
      <c r="U1328" s="88" t="str">
        <f>IF($F1328="","",IF($E1328="",T1328,SUMIF(Sales!$E$7:$E$1506,$E1328,Sales!$T$7:$T$1506)))</f>
        <v/>
      </c>
      <c r="V1328" s="49" t="str">
        <f t="shared" si="15"/>
        <v/>
      </c>
      <c r="W1328" s="49" t="str">
        <f t="array" ref="W1328">IF($V1328="","",SUMPRODUCT((Sales!$V$7:$V$1506&lt;&gt;"")*(Sales!$E$7:$E$1506&lt;$E1328))+1)</f>
        <v/>
      </c>
      <c r="X1328" s="49" t="str">
        <f t="shared" si="16"/>
        <v/>
      </c>
      <c r="Y1328" s="49" t="str">
        <f t="shared" si="17"/>
        <v/>
      </c>
    </row>
    <row r="1329" ht="15.0" customHeight="1">
      <c r="A1329" s="82"/>
      <c r="B1329" s="83"/>
      <c r="C1329" s="83"/>
      <c r="D1329" s="83"/>
      <c r="E1329" s="83"/>
      <c r="F1329" s="83"/>
      <c r="G1329" s="83" t="str">
        <f>IF($F1329="","",IFERROR(VLOOKUP($F1329,Inventory!$A:$B,2,FALSE),""))</f>
        <v/>
      </c>
      <c r="H1329" s="83"/>
      <c r="I1329" s="84" t="str">
        <f t="shared" si="2"/>
        <v/>
      </c>
      <c r="J1329" s="85" t="str">
        <f>IF($F1329="","",IFERROR(VLOOKUP($F1329,Inventory!$A:$K,11,FALSE),0))</f>
        <v/>
      </c>
      <c r="K1329" s="85"/>
      <c r="L1329" s="85" t="str">
        <f t="shared" si="12"/>
        <v/>
      </c>
      <c r="M1329" s="83"/>
      <c r="N1329" s="85" t="str">
        <f>IF($F1329="","",IFERROR(VLOOKUP($F1329,Inventory!$A:$I,9,FALSE),0))</f>
        <v/>
      </c>
      <c r="O1329" s="85" t="str">
        <f t="shared" si="13"/>
        <v/>
      </c>
      <c r="P1329" s="85" t="str">
        <f t="shared" si="5"/>
        <v/>
      </c>
      <c r="Q1329" s="83"/>
      <c r="R1329" s="118" t="str">
        <f>IF($E1329="","",IF(COUNTIF($E$7:$E2526,$E1329)&gt;1,"",IFERROR(VLOOKUP($E1329,Orders!$A:$I,8,FALSE),"")))</f>
        <v/>
      </c>
      <c r="S1329" s="118" t="str">
        <f>IF($E1329="","",IF(COUNTIF($E$7:$E2526,$E1329)&gt;1,"",IFERROR(VLOOKUP($E1329,Orders!$A:$I,9,FALSE),"")))</f>
        <v/>
      </c>
      <c r="T1329" s="88" t="str">
        <f t="shared" si="14"/>
        <v/>
      </c>
      <c r="U1329" s="88" t="str">
        <f>IF($F1329="","",IF($E1329="",T1329,SUMIF(Sales!$E$7:$E$1506,$E1329,Sales!$T$7:$T$1506)))</f>
        <v/>
      </c>
      <c r="V1329" s="49" t="str">
        <f t="shared" si="15"/>
        <v/>
      </c>
      <c r="W1329" s="49" t="str">
        <f t="array" ref="W1329">IF($V1329="","",SUMPRODUCT((Sales!$V$7:$V$1506&lt;&gt;"")*(Sales!$E$7:$E$1506&lt;$E1329))+1)</f>
        <v/>
      </c>
      <c r="X1329" s="49" t="str">
        <f t="shared" si="16"/>
        <v/>
      </c>
      <c r="Y1329" s="49" t="str">
        <f t="shared" si="17"/>
        <v/>
      </c>
    </row>
    <row r="1330" ht="15.0" customHeight="1">
      <c r="A1330" s="82"/>
      <c r="B1330" s="83"/>
      <c r="C1330" s="83"/>
      <c r="D1330" s="83"/>
      <c r="E1330" s="83"/>
      <c r="F1330" s="83"/>
      <c r="G1330" s="83" t="str">
        <f>IF($F1330="","",IFERROR(VLOOKUP($F1330,Inventory!$A:$B,2,FALSE),""))</f>
        <v/>
      </c>
      <c r="H1330" s="83"/>
      <c r="I1330" s="84" t="str">
        <f t="shared" si="2"/>
        <v/>
      </c>
      <c r="J1330" s="85" t="str">
        <f>IF($F1330="","",IFERROR(VLOOKUP($F1330,Inventory!$A:$K,11,FALSE),0))</f>
        <v/>
      </c>
      <c r="K1330" s="85"/>
      <c r="L1330" s="85" t="str">
        <f t="shared" si="12"/>
        <v/>
      </c>
      <c r="M1330" s="83"/>
      <c r="N1330" s="85" t="str">
        <f>IF($F1330="","",IFERROR(VLOOKUP($F1330,Inventory!$A:$I,9,FALSE),0))</f>
        <v/>
      </c>
      <c r="O1330" s="85" t="str">
        <f t="shared" si="13"/>
        <v/>
      </c>
      <c r="P1330" s="85" t="str">
        <f t="shared" si="5"/>
        <v/>
      </c>
      <c r="Q1330" s="83"/>
      <c r="R1330" s="118" t="str">
        <f>IF($E1330="","",IF(COUNTIF($E$7:$E2527,$E1330)&gt;1,"",IFERROR(VLOOKUP($E1330,Orders!$A:$I,8,FALSE),"")))</f>
        <v/>
      </c>
      <c r="S1330" s="118" t="str">
        <f>IF($E1330="","",IF(COUNTIF($E$7:$E2527,$E1330)&gt;1,"",IFERROR(VLOOKUP($E1330,Orders!$A:$I,9,FALSE),"")))</f>
        <v/>
      </c>
      <c r="T1330" s="88" t="str">
        <f t="shared" si="14"/>
        <v/>
      </c>
      <c r="U1330" s="88" t="str">
        <f>IF($F1330="","",IF($E1330="",T1330,SUMIF(Sales!$E$7:$E$1506,$E1330,Sales!$T$7:$T$1506)))</f>
        <v/>
      </c>
      <c r="V1330" s="49" t="str">
        <f t="shared" si="15"/>
        <v/>
      </c>
      <c r="W1330" s="49" t="str">
        <f t="array" ref="W1330">IF($V1330="","",SUMPRODUCT((Sales!$V$7:$V$1506&lt;&gt;"")*(Sales!$E$7:$E$1506&lt;$E1330))+1)</f>
        <v/>
      </c>
      <c r="X1330" s="49" t="str">
        <f t="shared" si="16"/>
        <v/>
      </c>
      <c r="Y1330" s="49" t="str">
        <f t="shared" si="17"/>
        <v/>
      </c>
    </row>
    <row r="1331" ht="15.0" customHeight="1">
      <c r="A1331" s="82"/>
      <c r="B1331" s="83"/>
      <c r="C1331" s="83"/>
      <c r="D1331" s="83"/>
      <c r="E1331" s="83"/>
      <c r="F1331" s="83"/>
      <c r="G1331" s="83" t="str">
        <f>IF($F1331="","",IFERROR(VLOOKUP($F1331,Inventory!$A:$B,2,FALSE),""))</f>
        <v/>
      </c>
      <c r="H1331" s="83"/>
      <c r="I1331" s="84" t="str">
        <f t="shared" si="2"/>
        <v/>
      </c>
      <c r="J1331" s="85" t="str">
        <f>IF($F1331="","",IFERROR(VLOOKUP($F1331,Inventory!$A:$K,11,FALSE),0))</f>
        <v/>
      </c>
      <c r="K1331" s="85"/>
      <c r="L1331" s="85" t="str">
        <f t="shared" si="12"/>
        <v/>
      </c>
      <c r="M1331" s="83"/>
      <c r="N1331" s="85" t="str">
        <f>IF($F1331="","",IFERROR(VLOOKUP($F1331,Inventory!$A:$I,9,FALSE),0))</f>
        <v/>
      </c>
      <c r="O1331" s="85" t="str">
        <f t="shared" si="13"/>
        <v/>
      </c>
      <c r="P1331" s="85" t="str">
        <f t="shared" si="5"/>
        <v/>
      </c>
      <c r="Q1331" s="83"/>
      <c r="R1331" s="118" t="str">
        <f>IF($E1331="","",IF(COUNTIF($E$7:$E2528,$E1331)&gt;1,"",IFERROR(VLOOKUP($E1331,Orders!$A:$I,8,FALSE),"")))</f>
        <v/>
      </c>
      <c r="S1331" s="118" t="str">
        <f>IF($E1331="","",IF(COUNTIF($E$7:$E2528,$E1331)&gt;1,"",IFERROR(VLOOKUP($E1331,Orders!$A:$I,9,FALSE),"")))</f>
        <v/>
      </c>
      <c r="T1331" s="88" t="str">
        <f t="shared" si="14"/>
        <v/>
      </c>
      <c r="U1331" s="88" t="str">
        <f>IF($F1331="","",IF($E1331="",T1331,SUMIF(Sales!$E$7:$E$1506,$E1331,Sales!$T$7:$T$1506)))</f>
        <v/>
      </c>
      <c r="V1331" s="49" t="str">
        <f t="shared" si="15"/>
        <v/>
      </c>
      <c r="W1331" s="49" t="str">
        <f t="array" ref="W1331">IF($V1331="","",SUMPRODUCT((Sales!$V$7:$V$1506&lt;&gt;"")*(Sales!$E$7:$E$1506&lt;$E1331))+1)</f>
        <v/>
      </c>
      <c r="X1331" s="49" t="str">
        <f t="shared" si="16"/>
        <v/>
      </c>
      <c r="Y1331" s="49" t="str">
        <f t="shared" si="17"/>
        <v/>
      </c>
    </row>
    <row r="1332" ht="15.0" customHeight="1">
      <c r="A1332" s="82"/>
      <c r="B1332" s="83"/>
      <c r="C1332" s="83"/>
      <c r="D1332" s="83"/>
      <c r="E1332" s="83"/>
      <c r="F1332" s="83"/>
      <c r="G1332" s="83" t="str">
        <f>IF($F1332="","",IFERROR(VLOOKUP($F1332,Inventory!$A:$B,2,FALSE),""))</f>
        <v/>
      </c>
      <c r="H1332" s="83"/>
      <c r="I1332" s="84" t="str">
        <f t="shared" si="2"/>
        <v/>
      </c>
      <c r="J1332" s="85" t="str">
        <f>IF($F1332="","",IFERROR(VLOOKUP($F1332,Inventory!$A:$K,11,FALSE),0))</f>
        <v/>
      </c>
      <c r="K1332" s="85"/>
      <c r="L1332" s="85" t="str">
        <f t="shared" si="12"/>
        <v/>
      </c>
      <c r="M1332" s="83"/>
      <c r="N1332" s="85" t="str">
        <f>IF($F1332="","",IFERROR(VLOOKUP($F1332,Inventory!$A:$I,9,FALSE),0))</f>
        <v/>
      </c>
      <c r="O1332" s="85" t="str">
        <f t="shared" si="13"/>
        <v/>
      </c>
      <c r="P1332" s="85" t="str">
        <f t="shared" si="5"/>
        <v/>
      </c>
      <c r="Q1332" s="83"/>
      <c r="R1332" s="118" t="str">
        <f>IF($E1332="","",IF(COUNTIF($E$7:$E2529,$E1332)&gt;1,"",IFERROR(VLOOKUP($E1332,Orders!$A:$I,8,FALSE),"")))</f>
        <v/>
      </c>
      <c r="S1332" s="118" t="str">
        <f>IF($E1332="","",IF(COUNTIF($E$7:$E2529,$E1332)&gt;1,"",IFERROR(VLOOKUP($E1332,Orders!$A:$I,9,FALSE),"")))</f>
        <v/>
      </c>
      <c r="T1332" s="88" t="str">
        <f t="shared" si="14"/>
        <v/>
      </c>
      <c r="U1332" s="88" t="str">
        <f>IF($F1332="","",IF($E1332="",T1332,SUMIF(Sales!$E$7:$E$1506,$E1332,Sales!$T$7:$T$1506)))</f>
        <v/>
      </c>
      <c r="V1332" s="49" t="str">
        <f t="shared" si="15"/>
        <v/>
      </c>
      <c r="W1332" s="49" t="str">
        <f t="array" ref="W1332">IF($V1332="","",SUMPRODUCT((Sales!$V$7:$V$1506&lt;&gt;"")*(Sales!$E$7:$E$1506&lt;$E1332))+1)</f>
        <v/>
      </c>
      <c r="X1332" s="49" t="str">
        <f t="shared" si="16"/>
        <v/>
      </c>
      <c r="Y1332" s="49" t="str">
        <f t="shared" si="17"/>
        <v/>
      </c>
    </row>
    <row r="1333" ht="15.0" customHeight="1">
      <c r="A1333" s="82"/>
      <c r="B1333" s="83"/>
      <c r="C1333" s="83"/>
      <c r="D1333" s="83"/>
      <c r="E1333" s="83"/>
      <c r="F1333" s="83"/>
      <c r="G1333" s="83" t="str">
        <f>IF($F1333="","",IFERROR(VLOOKUP($F1333,Inventory!$A:$B,2,FALSE),""))</f>
        <v/>
      </c>
      <c r="H1333" s="83"/>
      <c r="I1333" s="84" t="str">
        <f t="shared" si="2"/>
        <v/>
      </c>
      <c r="J1333" s="85" t="str">
        <f>IF($F1333="","",IFERROR(VLOOKUP($F1333,Inventory!$A:$K,11,FALSE),0))</f>
        <v/>
      </c>
      <c r="K1333" s="85"/>
      <c r="L1333" s="85" t="str">
        <f t="shared" si="12"/>
        <v/>
      </c>
      <c r="M1333" s="83"/>
      <c r="N1333" s="85" t="str">
        <f>IF($F1333="","",IFERROR(VLOOKUP($F1333,Inventory!$A:$I,9,FALSE),0))</f>
        <v/>
      </c>
      <c r="O1333" s="85" t="str">
        <f t="shared" si="13"/>
        <v/>
      </c>
      <c r="P1333" s="85" t="str">
        <f t="shared" si="5"/>
        <v/>
      </c>
      <c r="Q1333" s="83"/>
      <c r="R1333" s="118" t="str">
        <f>IF($E1333="","",IF(COUNTIF($E$7:$E2530,$E1333)&gt;1,"",IFERROR(VLOOKUP($E1333,Orders!$A:$I,8,FALSE),"")))</f>
        <v/>
      </c>
      <c r="S1333" s="118" t="str">
        <f>IF($E1333="","",IF(COUNTIF($E$7:$E2530,$E1333)&gt;1,"",IFERROR(VLOOKUP($E1333,Orders!$A:$I,9,FALSE),"")))</f>
        <v/>
      </c>
      <c r="T1333" s="88" t="str">
        <f t="shared" si="14"/>
        <v/>
      </c>
      <c r="U1333" s="88" t="str">
        <f>IF($F1333="","",IF($E1333="",T1333,SUMIF(Sales!$E$7:$E$1506,$E1333,Sales!$T$7:$T$1506)))</f>
        <v/>
      </c>
      <c r="V1333" s="49" t="str">
        <f t="shared" si="15"/>
        <v/>
      </c>
      <c r="W1333" s="49" t="str">
        <f t="array" ref="W1333">IF($V1333="","",SUMPRODUCT((Sales!$V$7:$V$1506&lt;&gt;"")*(Sales!$E$7:$E$1506&lt;$E1333))+1)</f>
        <v/>
      </c>
      <c r="X1333" s="49" t="str">
        <f t="shared" si="16"/>
        <v/>
      </c>
      <c r="Y1333" s="49" t="str">
        <f t="shared" si="17"/>
        <v/>
      </c>
    </row>
    <row r="1334" ht="15.0" customHeight="1">
      <c r="A1334" s="82"/>
      <c r="B1334" s="83"/>
      <c r="C1334" s="83"/>
      <c r="D1334" s="83"/>
      <c r="E1334" s="83"/>
      <c r="F1334" s="83"/>
      <c r="G1334" s="83" t="str">
        <f>IF($F1334="","",IFERROR(VLOOKUP($F1334,Inventory!$A:$B,2,FALSE),""))</f>
        <v/>
      </c>
      <c r="H1334" s="83"/>
      <c r="I1334" s="84" t="str">
        <f t="shared" si="2"/>
        <v/>
      </c>
      <c r="J1334" s="85" t="str">
        <f>IF($F1334="","",IFERROR(VLOOKUP($F1334,Inventory!$A:$K,11,FALSE),0))</f>
        <v/>
      </c>
      <c r="K1334" s="85"/>
      <c r="L1334" s="85" t="str">
        <f t="shared" si="12"/>
        <v/>
      </c>
      <c r="M1334" s="83"/>
      <c r="N1334" s="85" t="str">
        <f>IF($F1334="","",IFERROR(VLOOKUP($F1334,Inventory!$A:$I,9,FALSE),0))</f>
        <v/>
      </c>
      <c r="O1334" s="85" t="str">
        <f t="shared" si="13"/>
        <v/>
      </c>
      <c r="P1334" s="85" t="str">
        <f t="shared" si="5"/>
        <v/>
      </c>
      <c r="Q1334" s="83"/>
      <c r="R1334" s="118" t="str">
        <f>IF($E1334="","",IF(COUNTIF($E$7:$E2531,$E1334)&gt;1,"",IFERROR(VLOOKUP($E1334,Orders!$A:$I,8,FALSE),"")))</f>
        <v/>
      </c>
      <c r="S1334" s="118" t="str">
        <f>IF($E1334="","",IF(COUNTIF($E$7:$E2531,$E1334)&gt;1,"",IFERROR(VLOOKUP($E1334,Orders!$A:$I,9,FALSE),"")))</f>
        <v/>
      </c>
      <c r="T1334" s="88" t="str">
        <f t="shared" si="14"/>
        <v/>
      </c>
      <c r="U1334" s="88" t="str">
        <f>IF($F1334="","",IF($E1334="",T1334,SUMIF(Sales!$E$7:$E$1506,$E1334,Sales!$T$7:$T$1506)))</f>
        <v/>
      </c>
      <c r="V1334" s="49" t="str">
        <f t="shared" si="15"/>
        <v/>
      </c>
      <c r="W1334" s="49" t="str">
        <f t="array" ref="W1334">IF($V1334="","",SUMPRODUCT((Sales!$V$7:$V$1506&lt;&gt;"")*(Sales!$E$7:$E$1506&lt;$E1334))+1)</f>
        <v/>
      </c>
      <c r="X1334" s="49" t="str">
        <f t="shared" si="16"/>
        <v/>
      </c>
      <c r="Y1334" s="49" t="str">
        <f t="shared" si="17"/>
        <v/>
      </c>
    </row>
    <row r="1335" ht="15.0" customHeight="1">
      <c r="A1335" s="82"/>
      <c r="B1335" s="83"/>
      <c r="C1335" s="83"/>
      <c r="D1335" s="83"/>
      <c r="E1335" s="83"/>
      <c r="F1335" s="83"/>
      <c r="G1335" s="83" t="str">
        <f>IF($F1335="","",IFERROR(VLOOKUP($F1335,Inventory!$A:$B,2,FALSE),""))</f>
        <v/>
      </c>
      <c r="H1335" s="83"/>
      <c r="I1335" s="84" t="str">
        <f t="shared" si="2"/>
        <v/>
      </c>
      <c r="J1335" s="85" t="str">
        <f>IF($F1335="","",IFERROR(VLOOKUP($F1335,Inventory!$A:$K,11,FALSE),0))</f>
        <v/>
      </c>
      <c r="K1335" s="85"/>
      <c r="L1335" s="85" t="str">
        <f t="shared" si="12"/>
        <v/>
      </c>
      <c r="M1335" s="83"/>
      <c r="N1335" s="85" t="str">
        <f>IF($F1335="","",IFERROR(VLOOKUP($F1335,Inventory!$A:$I,9,FALSE),0))</f>
        <v/>
      </c>
      <c r="O1335" s="85" t="str">
        <f t="shared" si="13"/>
        <v/>
      </c>
      <c r="P1335" s="85" t="str">
        <f t="shared" si="5"/>
        <v/>
      </c>
      <c r="Q1335" s="83"/>
      <c r="R1335" s="118" t="str">
        <f>IF($E1335="","",IF(COUNTIF($E$7:$E2532,$E1335)&gt;1,"",IFERROR(VLOOKUP($E1335,Orders!$A:$I,8,FALSE),"")))</f>
        <v/>
      </c>
      <c r="S1335" s="118" t="str">
        <f>IF($E1335="","",IF(COUNTIF($E$7:$E2532,$E1335)&gt;1,"",IFERROR(VLOOKUP($E1335,Orders!$A:$I,9,FALSE),"")))</f>
        <v/>
      </c>
      <c r="T1335" s="88" t="str">
        <f t="shared" si="14"/>
        <v/>
      </c>
      <c r="U1335" s="88" t="str">
        <f>IF($F1335="","",IF($E1335="",T1335,SUMIF(Sales!$E$7:$E$1506,$E1335,Sales!$T$7:$T$1506)))</f>
        <v/>
      </c>
      <c r="V1335" s="49" t="str">
        <f t="shared" si="15"/>
        <v/>
      </c>
      <c r="W1335" s="49" t="str">
        <f t="array" ref="W1335">IF($V1335="","",SUMPRODUCT((Sales!$V$7:$V$1506&lt;&gt;"")*(Sales!$E$7:$E$1506&lt;$E1335))+1)</f>
        <v/>
      </c>
      <c r="X1335" s="49" t="str">
        <f t="shared" si="16"/>
        <v/>
      </c>
      <c r="Y1335" s="49" t="str">
        <f t="shared" si="17"/>
        <v/>
      </c>
    </row>
    <row r="1336" ht="15.0" customHeight="1">
      <c r="A1336" s="82"/>
      <c r="B1336" s="83"/>
      <c r="C1336" s="83"/>
      <c r="D1336" s="83"/>
      <c r="E1336" s="83"/>
      <c r="F1336" s="83"/>
      <c r="G1336" s="83" t="str">
        <f>IF($F1336="","",IFERROR(VLOOKUP($F1336,Inventory!$A:$B,2,FALSE),""))</f>
        <v/>
      </c>
      <c r="H1336" s="83"/>
      <c r="I1336" s="84" t="str">
        <f t="shared" si="2"/>
        <v/>
      </c>
      <c r="J1336" s="85" t="str">
        <f>IF($F1336="","",IFERROR(VLOOKUP($F1336,Inventory!$A:$K,11,FALSE),0))</f>
        <v/>
      </c>
      <c r="K1336" s="85"/>
      <c r="L1336" s="85" t="str">
        <f t="shared" si="12"/>
        <v/>
      </c>
      <c r="M1336" s="83"/>
      <c r="N1336" s="85" t="str">
        <f>IF($F1336="","",IFERROR(VLOOKUP($F1336,Inventory!$A:$I,9,FALSE),0))</f>
        <v/>
      </c>
      <c r="O1336" s="85" t="str">
        <f t="shared" si="13"/>
        <v/>
      </c>
      <c r="P1336" s="85" t="str">
        <f t="shared" si="5"/>
        <v/>
      </c>
      <c r="Q1336" s="83"/>
      <c r="R1336" s="118" t="str">
        <f>IF($E1336="","",IF(COUNTIF($E$7:$E2533,$E1336)&gt;1,"",IFERROR(VLOOKUP($E1336,Orders!$A:$I,8,FALSE),"")))</f>
        <v/>
      </c>
      <c r="S1336" s="118" t="str">
        <f>IF($E1336="","",IF(COUNTIF($E$7:$E2533,$E1336)&gt;1,"",IFERROR(VLOOKUP($E1336,Orders!$A:$I,9,FALSE),"")))</f>
        <v/>
      </c>
      <c r="T1336" s="88" t="str">
        <f t="shared" si="14"/>
        <v/>
      </c>
      <c r="U1336" s="88" t="str">
        <f>IF($F1336="","",IF($E1336="",T1336,SUMIF(Sales!$E$7:$E$1506,$E1336,Sales!$T$7:$T$1506)))</f>
        <v/>
      </c>
      <c r="V1336" s="49" t="str">
        <f t="shared" si="15"/>
        <v/>
      </c>
      <c r="W1336" s="49" t="str">
        <f t="array" ref="W1336">IF($V1336="","",SUMPRODUCT((Sales!$V$7:$V$1506&lt;&gt;"")*(Sales!$E$7:$E$1506&lt;$E1336))+1)</f>
        <v/>
      </c>
      <c r="X1336" s="49" t="str">
        <f t="shared" si="16"/>
        <v/>
      </c>
      <c r="Y1336" s="49" t="str">
        <f t="shared" si="17"/>
        <v/>
      </c>
    </row>
    <row r="1337" ht="15.0" customHeight="1">
      <c r="A1337" s="82"/>
      <c r="B1337" s="83"/>
      <c r="C1337" s="83"/>
      <c r="D1337" s="83"/>
      <c r="E1337" s="83"/>
      <c r="F1337" s="83"/>
      <c r="G1337" s="83" t="str">
        <f>IF($F1337="","",IFERROR(VLOOKUP($F1337,Inventory!$A:$B,2,FALSE),""))</f>
        <v/>
      </c>
      <c r="H1337" s="83"/>
      <c r="I1337" s="84" t="str">
        <f t="shared" si="2"/>
        <v/>
      </c>
      <c r="J1337" s="85" t="str">
        <f>IF($F1337="","",IFERROR(VLOOKUP($F1337,Inventory!$A:$K,11,FALSE),0))</f>
        <v/>
      </c>
      <c r="K1337" s="85"/>
      <c r="L1337" s="85" t="str">
        <f t="shared" si="12"/>
        <v/>
      </c>
      <c r="M1337" s="83"/>
      <c r="N1337" s="85" t="str">
        <f>IF($F1337="","",IFERROR(VLOOKUP($F1337,Inventory!$A:$I,9,FALSE),0))</f>
        <v/>
      </c>
      <c r="O1337" s="85" t="str">
        <f t="shared" si="13"/>
        <v/>
      </c>
      <c r="P1337" s="85" t="str">
        <f t="shared" si="5"/>
        <v/>
      </c>
      <c r="Q1337" s="83"/>
      <c r="R1337" s="118" t="str">
        <f>IF($E1337="","",IF(COUNTIF($E$7:$E2534,$E1337)&gt;1,"",IFERROR(VLOOKUP($E1337,Orders!$A:$I,8,FALSE),"")))</f>
        <v/>
      </c>
      <c r="S1337" s="118" t="str">
        <f>IF($E1337="","",IF(COUNTIF($E$7:$E2534,$E1337)&gt;1,"",IFERROR(VLOOKUP($E1337,Orders!$A:$I,9,FALSE),"")))</f>
        <v/>
      </c>
      <c r="T1337" s="88" t="str">
        <f t="shared" si="14"/>
        <v/>
      </c>
      <c r="U1337" s="88" t="str">
        <f>IF($F1337="","",IF($E1337="",T1337,SUMIF(Sales!$E$7:$E$1506,$E1337,Sales!$T$7:$T$1506)))</f>
        <v/>
      </c>
      <c r="V1337" s="49" t="str">
        <f t="shared" si="15"/>
        <v/>
      </c>
      <c r="W1337" s="49" t="str">
        <f t="array" ref="W1337">IF($V1337="","",SUMPRODUCT((Sales!$V$7:$V$1506&lt;&gt;"")*(Sales!$E$7:$E$1506&lt;$E1337))+1)</f>
        <v/>
      </c>
      <c r="X1337" s="49" t="str">
        <f t="shared" si="16"/>
        <v/>
      </c>
      <c r="Y1337" s="49" t="str">
        <f t="shared" si="17"/>
        <v/>
      </c>
    </row>
    <row r="1338" ht="15.0" customHeight="1">
      <c r="A1338" s="82"/>
      <c r="B1338" s="83"/>
      <c r="C1338" s="83"/>
      <c r="D1338" s="83"/>
      <c r="E1338" s="83"/>
      <c r="F1338" s="83"/>
      <c r="G1338" s="83" t="str">
        <f>IF($F1338="","",IFERROR(VLOOKUP($F1338,Inventory!$A:$B,2,FALSE),""))</f>
        <v/>
      </c>
      <c r="H1338" s="83"/>
      <c r="I1338" s="84" t="str">
        <f t="shared" si="2"/>
        <v/>
      </c>
      <c r="J1338" s="85" t="str">
        <f>IF($F1338="","",IFERROR(VLOOKUP($F1338,Inventory!$A:$K,11,FALSE),0))</f>
        <v/>
      </c>
      <c r="K1338" s="85"/>
      <c r="L1338" s="85" t="str">
        <f t="shared" si="12"/>
        <v/>
      </c>
      <c r="M1338" s="83"/>
      <c r="N1338" s="85" t="str">
        <f>IF($F1338="","",IFERROR(VLOOKUP($F1338,Inventory!$A:$I,9,FALSE),0))</f>
        <v/>
      </c>
      <c r="O1338" s="85" t="str">
        <f t="shared" si="13"/>
        <v/>
      </c>
      <c r="P1338" s="85" t="str">
        <f t="shared" si="5"/>
        <v/>
      </c>
      <c r="Q1338" s="83"/>
      <c r="R1338" s="118" t="str">
        <f>IF($E1338="","",IF(COUNTIF($E$7:$E2535,$E1338)&gt;1,"",IFERROR(VLOOKUP($E1338,Orders!$A:$I,8,FALSE),"")))</f>
        <v/>
      </c>
      <c r="S1338" s="118" t="str">
        <f>IF($E1338="","",IF(COUNTIF($E$7:$E2535,$E1338)&gt;1,"",IFERROR(VLOOKUP($E1338,Orders!$A:$I,9,FALSE),"")))</f>
        <v/>
      </c>
      <c r="T1338" s="88" t="str">
        <f t="shared" si="14"/>
        <v/>
      </c>
      <c r="U1338" s="88" t="str">
        <f>IF($F1338="","",IF($E1338="",T1338,SUMIF(Sales!$E$7:$E$1506,$E1338,Sales!$T$7:$T$1506)))</f>
        <v/>
      </c>
      <c r="V1338" s="49" t="str">
        <f t="shared" si="15"/>
        <v/>
      </c>
      <c r="W1338" s="49" t="str">
        <f t="array" ref="W1338">IF($V1338="","",SUMPRODUCT((Sales!$V$7:$V$1506&lt;&gt;"")*(Sales!$E$7:$E$1506&lt;$E1338))+1)</f>
        <v/>
      </c>
      <c r="X1338" s="49" t="str">
        <f t="shared" si="16"/>
        <v/>
      </c>
      <c r="Y1338" s="49" t="str">
        <f t="shared" si="17"/>
        <v/>
      </c>
    </row>
    <row r="1339" ht="15.0" customHeight="1">
      <c r="A1339" s="82"/>
      <c r="B1339" s="83"/>
      <c r="C1339" s="83"/>
      <c r="D1339" s="83"/>
      <c r="E1339" s="83"/>
      <c r="F1339" s="83"/>
      <c r="G1339" s="83" t="str">
        <f>IF($F1339="","",IFERROR(VLOOKUP($F1339,Inventory!$A:$B,2,FALSE),""))</f>
        <v/>
      </c>
      <c r="H1339" s="83"/>
      <c r="I1339" s="84" t="str">
        <f t="shared" si="2"/>
        <v/>
      </c>
      <c r="J1339" s="85" t="str">
        <f>IF($F1339="","",IFERROR(VLOOKUP($F1339,Inventory!$A:$K,11,FALSE),0))</f>
        <v/>
      </c>
      <c r="K1339" s="85"/>
      <c r="L1339" s="85" t="str">
        <f t="shared" si="12"/>
        <v/>
      </c>
      <c r="M1339" s="83"/>
      <c r="N1339" s="85" t="str">
        <f>IF($F1339="","",IFERROR(VLOOKUP($F1339,Inventory!$A:$I,9,FALSE),0))</f>
        <v/>
      </c>
      <c r="O1339" s="85" t="str">
        <f t="shared" si="13"/>
        <v/>
      </c>
      <c r="P1339" s="85" t="str">
        <f t="shared" si="5"/>
        <v/>
      </c>
      <c r="Q1339" s="83"/>
      <c r="R1339" s="118" t="str">
        <f>IF($E1339="","",IF(COUNTIF($E$7:$E2536,$E1339)&gt;1,"",IFERROR(VLOOKUP($E1339,Orders!$A:$I,8,FALSE),"")))</f>
        <v/>
      </c>
      <c r="S1339" s="118" t="str">
        <f>IF($E1339="","",IF(COUNTIF($E$7:$E2536,$E1339)&gt;1,"",IFERROR(VLOOKUP($E1339,Orders!$A:$I,9,FALSE),"")))</f>
        <v/>
      </c>
      <c r="T1339" s="88" t="str">
        <f t="shared" si="14"/>
        <v/>
      </c>
      <c r="U1339" s="88" t="str">
        <f>IF($F1339="","",IF($E1339="",T1339,SUMIF(Sales!$E$7:$E$1506,$E1339,Sales!$T$7:$T$1506)))</f>
        <v/>
      </c>
      <c r="V1339" s="49" t="str">
        <f t="shared" si="15"/>
        <v/>
      </c>
      <c r="W1339" s="49" t="str">
        <f t="array" ref="W1339">IF($V1339="","",SUMPRODUCT((Sales!$V$7:$V$1506&lt;&gt;"")*(Sales!$E$7:$E$1506&lt;$E1339))+1)</f>
        <v/>
      </c>
      <c r="X1339" s="49" t="str">
        <f t="shared" si="16"/>
        <v/>
      </c>
      <c r="Y1339" s="49" t="str">
        <f t="shared" si="17"/>
        <v/>
      </c>
    </row>
    <row r="1340" ht="15.0" customHeight="1">
      <c r="A1340" s="82"/>
      <c r="B1340" s="83"/>
      <c r="C1340" s="83"/>
      <c r="D1340" s="83"/>
      <c r="E1340" s="83"/>
      <c r="F1340" s="83"/>
      <c r="G1340" s="83" t="str">
        <f>IF($F1340="","",IFERROR(VLOOKUP($F1340,Inventory!$A:$B,2,FALSE),""))</f>
        <v/>
      </c>
      <c r="H1340" s="83"/>
      <c r="I1340" s="84" t="str">
        <f t="shared" si="2"/>
        <v/>
      </c>
      <c r="J1340" s="85" t="str">
        <f>IF($F1340="","",IFERROR(VLOOKUP($F1340,Inventory!$A:$K,11,FALSE),0))</f>
        <v/>
      </c>
      <c r="K1340" s="85"/>
      <c r="L1340" s="85" t="str">
        <f t="shared" si="12"/>
        <v/>
      </c>
      <c r="M1340" s="83"/>
      <c r="N1340" s="85" t="str">
        <f>IF($F1340="","",IFERROR(VLOOKUP($F1340,Inventory!$A:$I,9,FALSE),0))</f>
        <v/>
      </c>
      <c r="O1340" s="85" t="str">
        <f t="shared" si="13"/>
        <v/>
      </c>
      <c r="P1340" s="85" t="str">
        <f t="shared" si="5"/>
        <v/>
      </c>
      <c r="Q1340" s="83"/>
      <c r="R1340" s="118" t="str">
        <f>IF($E1340="","",IF(COUNTIF($E$7:$E2537,$E1340)&gt;1,"",IFERROR(VLOOKUP($E1340,Orders!$A:$I,8,FALSE),"")))</f>
        <v/>
      </c>
      <c r="S1340" s="118" t="str">
        <f>IF($E1340="","",IF(COUNTIF($E$7:$E2537,$E1340)&gt;1,"",IFERROR(VLOOKUP($E1340,Orders!$A:$I,9,FALSE),"")))</f>
        <v/>
      </c>
      <c r="T1340" s="88" t="str">
        <f t="shared" si="14"/>
        <v/>
      </c>
      <c r="U1340" s="88" t="str">
        <f>IF($F1340="","",IF($E1340="",T1340,SUMIF(Sales!$E$7:$E$1506,$E1340,Sales!$T$7:$T$1506)))</f>
        <v/>
      </c>
      <c r="V1340" s="49" t="str">
        <f t="shared" si="15"/>
        <v/>
      </c>
      <c r="W1340" s="49" t="str">
        <f t="array" ref="W1340">IF($V1340="","",SUMPRODUCT((Sales!$V$7:$V$1506&lt;&gt;"")*(Sales!$E$7:$E$1506&lt;$E1340))+1)</f>
        <v/>
      </c>
      <c r="X1340" s="49" t="str">
        <f t="shared" si="16"/>
        <v/>
      </c>
      <c r="Y1340" s="49" t="str">
        <f t="shared" si="17"/>
        <v/>
      </c>
    </row>
    <row r="1341" ht="15.0" customHeight="1">
      <c r="A1341" s="82"/>
      <c r="B1341" s="83"/>
      <c r="C1341" s="83"/>
      <c r="D1341" s="83"/>
      <c r="E1341" s="83"/>
      <c r="F1341" s="83"/>
      <c r="G1341" s="83" t="str">
        <f>IF($F1341="","",IFERROR(VLOOKUP($F1341,Inventory!$A:$B,2,FALSE),""))</f>
        <v/>
      </c>
      <c r="H1341" s="83"/>
      <c r="I1341" s="84" t="str">
        <f t="shared" si="2"/>
        <v/>
      </c>
      <c r="J1341" s="85" t="str">
        <f>IF($F1341="","",IFERROR(VLOOKUP($F1341,Inventory!$A:$K,11,FALSE),0))</f>
        <v/>
      </c>
      <c r="K1341" s="85"/>
      <c r="L1341" s="85" t="str">
        <f t="shared" si="12"/>
        <v/>
      </c>
      <c r="M1341" s="83"/>
      <c r="N1341" s="85" t="str">
        <f>IF($F1341="","",IFERROR(VLOOKUP($F1341,Inventory!$A:$I,9,FALSE),0))</f>
        <v/>
      </c>
      <c r="O1341" s="85" t="str">
        <f t="shared" si="13"/>
        <v/>
      </c>
      <c r="P1341" s="85" t="str">
        <f t="shared" si="5"/>
        <v/>
      </c>
      <c r="Q1341" s="83"/>
      <c r="R1341" s="118" t="str">
        <f>IF($E1341="","",IF(COUNTIF($E$7:$E2538,$E1341)&gt;1,"",IFERROR(VLOOKUP($E1341,Orders!$A:$I,8,FALSE),"")))</f>
        <v/>
      </c>
      <c r="S1341" s="118" t="str">
        <f>IF($E1341="","",IF(COUNTIF($E$7:$E2538,$E1341)&gt;1,"",IFERROR(VLOOKUP($E1341,Orders!$A:$I,9,FALSE),"")))</f>
        <v/>
      </c>
      <c r="T1341" s="88" t="str">
        <f t="shared" si="14"/>
        <v/>
      </c>
      <c r="U1341" s="88" t="str">
        <f>IF($F1341="","",IF($E1341="",T1341,SUMIF(Sales!$E$7:$E$1506,$E1341,Sales!$T$7:$T$1506)))</f>
        <v/>
      </c>
      <c r="V1341" s="49" t="str">
        <f t="shared" si="15"/>
        <v/>
      </c>
      <c r="W1341" s="49" t="str">
        <f t="array" ref="W1341">IF($V1341="","",SUMPRODUCT((Sales!$V$7:$V$1506&lt;&gt;"")*(Sales!$E$7:$E$1506&lt;$E1341))+1)</f>
        <v/>
      </c>
      <c r="X1341" s="49" t="str">
        <f t="shared" si="16"/>
        <v/>
      </c>
      <c r="Y1341" s="49" t="str">
        <f t="shared" si="17"/>
        <v/>
      </c>
    </row>
    <row r="1342" ht="15.0" customHeight="1">
      <c r="A1342" s="82"/>
      <c r="B1342" s="83"/>
      <c r="C1342" s="83"/>
      <c r="D1342" s="83"/>
      <c r="E1342" s="83"/>
      <c r="F1342" s="83"/>
      <c r="G1342" s="83" t="str">
        <f>IF($F1342="","",IFERROR(VLOOKUP($F1342,Inventory!$A:$B,2,FALSE),""))</f>
        <v/>
      </c>
      <c r="H1342" s="83"/>
      <c r="I1342" s="84" t="str">
        <f t="shared" si="2"/>
        <v/>
      </c>
      <c r="J1342" s="85" t="str">
        <f>IF($F1342="","",IFERROR(VLOOKUP($F1342,Inventory!$A:$K,11,FALSE),0))</f>
        <v/>
      </c>
      <c r="K1342" s="85"/>
      <c r="L1342" s="85" t="str">
        <f t="shared" si="12"/>
        <v/>
      </c>
      <c r="M1342" s="83"/>
      <c r="N1342" s="85" t="str">
        <f>IF($F1342="","",IFERROR(VLOOKUP($F1342,Inventory!$A:$I,9,FALSE),0))</f>
        <v/>
      </c>
      <c r="O1342" s="85" t="str">
        <f t="shared" si="13"/>
        <v/>
      </c>
      <c r="P1342" s="85" t="str">
        <f t="shared" si="5"/>
        <v/>
      </c>
      <c r="Q1342" s="83"/>
      <c r="R1342" s="118" t="str">
        <f>IF($E1342="","",IF(COUNTIF($E$7:$E2539,$E1342)&gt;1,"",IFERROR(VLOOKUP($E1342,Orders!$A:$I,8,FALSE),"")))</f>
        <v/>
      </c>
      <c r="S1342" s="118" t="str">
        <f>IF($E1342="","",IF(COUNTIF($E$7:$E2539,$E1342)&gt;1,"",IFERROR(VLOOKUP($E1342,Orders!$A:$I,9,FALSE),"")))</f>
        <v/>
      </c>
      <c r="T1342" s="88" t="str">
        <f t="shared" si="14"/>
        <v/>
      </c>
      <c r="U1342" s="88" t="str">
        <f>IF($F1342="","",IF($E1342="",T1342,SUMIF(Sales!$E$7:$E$1506,$E1342,Sales!$T$7:$T$1506)))</f>
        <v/>
      </c>
      <c r="V1342" s="49" t="str">
        <f t="shared" si="15"/>
        <v/>
      </c>
      <c r="W1342" s="49" t="str">
        <f t="array" ref="W1342">IF($V1342="","",SUMPRODUCT((Sales!$V$7:$V$1506&lt;&gt;"")*(Sales!$E$7:$E$1506&lt;$E1342))+1)</f>
        <v/>
      </c>
      <c r="X1342" s="49" t="str">
        <f t="shared" si="16"/>
        <v/>
      </c>
      <c r="Y1342" s="49" t="str">
        <f t="shared" si="17"/>
        <v/>
      </c>
    </row>
    <row r="1343" ht="15.0" customHeight="1">
      <c r="A1343" s="82"/>
      <c r="B1343" s="83"/>
      <c r="C1343" s="83"/>
      <c r="D1343" s="83"/>
      <c r="E1343" s="83"/>
      <c r="F1343" s="83"/>
      <c r="G1343" s="83" t="str">
        <f>IF($F1343="","",IFERROR(VLOOKUP($F1343,Inventory!$A:$B,2,FALSE),""))</f>
        <v/>
      </c>
      <c r="H1343" s="83"/>
      <c r="I1343" s="84" t="str">
        <f t="shared" si="2"/>
        <v/>
      </c>
      <c r="J1343" s="85" t="str">
        <f>IF($F1343="","",IFERROR(VLOOKUP($F1343,Inventory!$A:$K,11,FALSE),0))</f>
        <v/>
      </c>
      <c r="K1343" s="85"/>
      <c r="L1343" s="85" t="str">
        <f t="shared" si="12"/>
        <v/>
      </c>
      <c r="M1343" s="83"/>
      <c r="N1343" s="85" t="str">
        <f>IF($F1343="","",IFERROR(VLOOKUP($F1343,Inventory!$A:$I,9,FALSE),0))</f>
        <v/>
      </c>
      <c r="O1343" s="85" t="str">
        <f t="shared" si="13"/>
        <v/>
      </c>
      <c r="P1343" s="85" t="str">
        <f t="shared" si="5"/>
        <v/>
      </c>
      <c r="Q1343" s="83"/>
      <c r="R1343" s="118" t="str">
        <f>IF($E1343="","",IF(COUNTIF($E$7:$E2540,$E1343)&gt;1,"",IFERROR(VLOOKUP($E1343,Orders!$A:$I,8,FALSE),"")))</f>
        <v/>
      </c>
      <c r="S1343" s="118" t="str">
        <f>IF($E1343="","",IF(COUNTIF($E$7:$E2540,$E1343)&gt;1,"",IFERROR(VLOOKUP($E1343,Orders!$A:$I,9,FALSE),"")))</f>
        <v/>
      </c>
      <c r="T1343" s="88" t="str">
        <f t="shared" si="14"/>
        <v/>
      </c>
      <c r="U1343" s="88" t="str">
        <f>IF($F1343="","",IF($E1343="",T1343,SUMIF(Sales!$E$7:$E$1506,$E1343,Sales!$T$7:$T$1506)))</f>
        <v/>
      </c>
      <c r="V1343" s="49" t="str">
        <f t="shared" si="15"/>
        <v/>
      </c>
      <c r="W1343" s="49" t="str">
        <f t="array" ref="W1343">IF($V1343="","",SUMPRODUCT((Sales!$V$7:$V$1506&lt;&gt;"")*(Sales!$E$7:$E$1506&lt;$E1343))+1)</f>
        <v/>
      </c>
      <c r="X1343" s="49" t="str">
        <f t="shared" si="16"/>
        <v/>
      </c>
      <c r="Y1343" s="49" t="str">
        <f t="shared" si="17"/>
        <v/>
      </c>
    </row>
    <row r="1344" ht="15.0" customHeight="1">
      <c r="A1344" s="82"/>
      <c r="B1344" s="83"/>
      <c r="C1344" s="83"/>
      <c r="D1344" s="83"/>
      <c r="E1344" s="83"/>
      <c r="F1344" s="83"/>
      <c r="G1344" s="83" t="str">
        <f>IF($F1344="","",IFERROR(VLOOKUP($F1344,Inventory!$A:$B,2,FALSE),""))</f>
        <v/>
      </c>
      <c r="H1344" s="83"/>
      <c r="I1344" s="84" t="str">
        <f t="shared" si="2"/>
        <v/>
      </c>
      <c r="J1344" s="85" t="str">
        <f>IF($F1344="","",IFERROR(VLOOKUP($F1344,Inventory!$A:$K,11,FALSE),0))</f>
        <v/>
      </c>
      <c r="K1344" s="85"/>
      <c r="L1344" s="85" t="str">
        <f t="shared" si="12"/>
        <v/>
      </c>
      <c r="M1344" s="83"/>
      <c r="N1344" s="85" t="str">
        <f>IF($F1344="","",IFERROR(VLOOKUP($F1344,Inventory!$A:$I,9,FALSE),0))</f>
        <v/>
      </c>
      <c r="O1344" s="85" t="str">
        <f t="shared" si="13"/>
        <v/>
      </c>
      <c r="P1344" s="85" t="str">
        <f t="shared" si="5"/>
        <v/>
      </c>
      <c r="Q1344" s="83"/>
      <c r="R1344" s="118" t="str">
        <f>IF($E1344="","",IF(COUNTIF($E$7:$E2541,$E1344)&gt;1,"",IFERROR(VLOOKUP($E1344,Orders!$A:$I,8,FALSE),"")))</f>
        <v/>
      </c>
      <c r="S1344" s="118" t="str">
        <f>IF($E1344="","",IF(COUNTIF($E$7:$E2541,$E1344)&gt;1,"",IFERROR(VLOOKUP($E1344,Orders!$A:$I,9,FALSE),"")))</f>
        <v/>
      </c>
      <c r="T1344" s="88" t="str">
        <f t="shared" si="14"/>
        <v/>
      </c>
      <c r="U1344" s="88" t="str">
        <f>IF($F1344="","",IF($E1344="",T1344,SUMIF(Sales!$E$7:$E$1506,$E1344,Sales!$T$7:$T$1506)))</f>
        <v/>
      </c>
      <c r="V1344" s="49" t="str">
        <f t="shared" si="15"/>
        <v/>
      </c>
      <c r="W1344" s="49" t="str">
        <f t="array" ref="W1344">IF($V1344="","",SUMPRODUCT((Sales!$V$7:$V$1506&lt;&gt;"")*(Sales!$E$7:$E$1506&lt;$E1344))+1)</f>
        <v/>
      </c>
      <c r="X1344" s="49" t="str">
        <f t="shared" si="16"/>
        <v/>
      </c>
      <c r="Y1344" s="49" t="str">
        <f t="shared" si="17"/>
        <v/>
      </c>
    </row>
    <row r="1345" ht="15.0" customHeight="1">
      <c r="A1345" s="82"/>
      <c r="B1345" s="83"/>
      <c r="C1345" s="83"/>
      <c r="D1345" s="83"/>
      <c r="E1345" s="83"/>
      <c r="F1345" s="83"/>
      <c r="G1345" s="83" t="str">
        <f>IF($F1345="","",IFERROR(VLOOKUP($F1345,Inventory!$A:$B,2,FALSE),""))</f>
        <v/>
      </c>
      <c r="H1345" s="83"/>
      <c r="I1345" s="84" t="str">
        <f t="shared" si="2"/>
        <v/>
      </c>
      <c r="J1345" s="85" t="str">
        <f>IF($F1345="","",IFERROR(VLOOKUP($F1345,Inventory!$A:$K,11,FALSE),0))</f>
        <v/>
      </c>
      <c r="K1345" s="85"/>
      <c r="L1345" s="85" t="str">
        <f t="shared" si="12"/>
        <v/>
      </c>
      <c r="M1345" s="83"/>
      <c r="N1345" s="85" t="str">
        <f>IF($F1345="","",IFERROR(VLOOKUP($F1345,Inventory!$A:$I,9,FALSE),0))</f>
        <v/>
      </c>
      <c r="O1345" s="85" t="str">
        <f t="shared" si="13"/>
        <v/>
      </c>
      <c r="P1345" s="85" t="str">
        <f t="shared" si="5"/>
        <v/>
      </c>
      <c r="Q1345" s="83"/>
      <c r="R1345" s="118" t="str">
        <f>IF($E1345="","",IF(COUNTIF($E$7:$E2542,$E1345)&gt;1,"",IFERROR(VLOOKUP($E1345,Orders!$A:$I,8,FALSE),"")))</f>
        <v/>
      </c>
      <c r="S1345" s="118" t="str">
        <f>IF($E1345="","",IF(COUNTIF($E$7:$E2542,$E1345)&gt;1,"",IFERROR(VLOOKUP($E1345,Orders!$A:$I,9,FALSE),"")))</f>
        <v/>
      </c>
      <c r="T1345" s="88" t="str">
        <f t="shared" si="14"/>
        <v/>
      </c>
      <c r="U1345" s="88" t="str">
        <f>IF($F1345="","",IF($E1345="",T1345,SUMIF(Sales!$E$7:$E$1506,$E1345,Sales!$T$7:$T$1506)))</f>
        <v/>
      </c>
      <c r="V1345" s="49" t="str">
        <f t="shared" si="15"/>
        <v/>
      </c>
      <c r="W1345" s="49" t="str">
        <f t="array" ref="W1345">IF($V1345="","",SUMPRODUCT((Sales!$V$7:$V$1506&lt;&gt;"")*(Sales!$E$7:$E$1506&lt;$E1345))+1)</f>
        <v/>
      </c>
      <c r="X1345" s="49" t="str">
        <f t="shared" si="16"/>
        <v/>
      </c>
      <c r="Y1345" s="49" t="str">
        <f t="shared" si="17"/>
        <v/>
      </c>
    </row>
    <row r="1346" ht="15.0" customHeight="1">
      <c r="A1346" s="82"/>
      <c r="B1346" s="83"/>
      <c r="C1346" s="83"/>
      <c r="D1346" s="83"/>
      <c r="E1346" s="83"/>
      <c r="F1346" s="83"/>
      <c r="G1346" s="83" t="str">
        <f>IF($F1346="","",IFERROR(VLOOKUP($F1346,Inventory!$A:$B,2,FALSE),""))</f>
        <v/>
      </c>
      <c r="H1346" s="83"/>
      <c r="I1346" s="84" t="str">
        <f t="shared" si="2"/>
        <v/>
      </c>
      <c r="J1346" s="85" t="str">
        <f>IF($F1346="","",IFERROR(VLOOKUP($F1346,Inventory!$A:$K,11,FALSE),0))</f>
        <v/>
      </c>
      <c r="K1346" s="85"/>
      <c r="L1346" s="85" t="str">
        <f t="shared" si="12"/>
        <v/>
      </c>
      <c r="M1346" s="83"/>
      <c r="N1346" s="85" t="str">
        <f>IF($F1346="","",IFERROR(VLOOKUP($F1346,Inventory!$A:$I,9,FALSE),0))</f>
        <v/>
      </c>
      <c r="O1346" s="85" t="str">
        <f t="shared" si="13"/>
        <v/>
      </c>
      <c r="P1346" s="85" t="str">
        <f t="shared" si="5"/>
        <v/>
      </c>
      <c r="Q1346" s="83"/>
      <c r="R1346" s="118" t="str">
        <f>IF($E1346="","",IF(COUNTIF($E$7:$E2543,$E1346)&gt;1,"",IFERROR(VLOOKUP($E1346,Orders!$A:$I,8,FALSE),"")))</f>
        <v/>
      </c>
      <c r="S1346" s="118" t="str">
        <f>IF($E1346="","",IF(COUNTIF($E$7:$E2543,$E1346)&gt;1,"",IFERROR(VLOOKUP($E1346,Orders!$A:$I,9,FALSE),"")))</f>
        <v/>
      </c>
      <c r="T1346" s="88" t="str">
        <f t="shared" si="14"/>
        <v/>
      </c>
      <c r="U1346" s="88" t="str">
        <f>IF($F1346="","",IF($E1346="",T1346,SUMIF(Sales!$E$7:$E$1506,$E1346,Sales!$T$7:$T$1506)))</f>
        <v/>
      </c>
      <c r="V1346" s="49" t="str">
        <f t="shared" si="15"/>
        <v/>
      </c>
      <c r="W1346" s="49" t="str">
        <f t="array" ref="W1346">IF($V1346="","",SUMPRODUCT((Sales!$V$7:$V$1506&lt;&gt;"")*(Sales!$E$7:$E$1506&lt;$E1346))+1)</f>
        <v/>
      </c>
      <c r="X1346" s="49" t="str">
        <f t="shared" si="16"/>
        <v/>
      </c>
      <c r="Y1346" s="49" t="str">
        <f t="shared" si="17"/>
        <v/>
      </c>
    </row>
    <row r="1347" ht="15.0" customHeight="1">
      <c r="A1347" s="82"/>
      <c r="B1347" s="83"/>
      <c r="C1347" s="83"/>
      <c r="D1347" s="83"/>
      <c r="E1347" s="83"/>
      <c r="F1347" s="83"/>
      <c r="G1347" s="83" t="str">
        <f>IF($F1347="","",IFERROR(VLOOKUP($F1347,Inventory!$A:$B,2,FALSE),""))</f>
        <v/>
      </c>
      <c r="H1347" s="83"/>
      <c r="I1347" s="84" t="str">
        <f t="shared" si="2"/>
        <v/>
      </c>
      <c r="J1347" s="85" t="str">
        <f>IF($F1347="","",IFERROR(VLOOKUP($F1347,Inventory!$A:$K,11,FALSE),0))</f>
        <v/>
      </c>
      <c r="K1347" s="85"/>
      <c r="L1347" s="85" t="str">
        <f t="shared" si="12"/>
        <v/>
      </c>
      <c r="M1347" s="83"/>
      <c r="N1347" s="85" t="str">
        <f>IF($F1347="","",IFERROR(VLOOKUP($F1347,Inventory!$A:$I,9,FALSE),0))</f>
        <v/>
      </c>
      <c r="O1347" s="85" t="str">
        <f t="shared" si="13"/>
        <v/>
      </c>
      <c r="P1347" s="85" t="str">
        <f t="shared" si="5"/>
        <v/>
      </c>
      <c r="Q1347" s="83"/>
      <c r="R1347" s="118" t="str">
        <f>IF($E1347="","",IF(COUNTIF($E$7:$E2544,$E1347)&gt;1,"",IFERROR(VLOOKUP($E1347,Orders!$A:$I,8,FALSE),"")))</f>
        <v/>
      </c>
      <c r="S1347" s="118" t="str">
        <f>IF($E1347="","",IF(COUNTIF($E$7:$E2544,$E1347)&gt;1,"",IFERROR(VLOOKUP($E1347,Orders!$A:$I,9,FALSE),"")))</f>
        <v/>
      </c>
      <c r="T1347" s="88" t="str">
        <f t="shared" si="14"/>
        <v/>
      </c>
      <c r="U1347" s="88" t="str">
        <f>IF($F1347="","",IF($E1347="",T1347,SUMIF(Sales!$E$7:$E$1506,$E1347,Sales!$T$7:$T$1506)))</f>
        <v/>
      </c>
      <c r="V1347" s="49" t="str">
        <f t="shared" si="15"/>
        <v/>
      </c>
      <c r="W1347" s="49" t="str">
        <f t="array" ref="W1347">IF($V1347="","",SUMPRODUCT((Sales!$V$7:$V$1506&lt;&gt;"")*(Sales!$E$7:$E$1506&lt;$E1347))+1)</f>
        <v/>
      </c>
      <c r="X1347" s="49" t="str">
        <f t="shared" si="16"/>
        <v/>
      </c>
      <c r="Y1347" s="49" t="str">
        <f t="shared" si="17"/>
        <v/>
      </c>
    </row>
    <row r="1348" ht="15.0" customHeight="1">
      <c r="A1348" s="82"/>
      <c r="B1348" s="83"/>
      <c r="C1348" s="83"/>
      <c r="D1348" s="83"/>
      <c r="E1348" s="83"/>
      <c r="F1348" s="83"/>
      <c r="G1348" s="83" t="str">
        <f>IF($F1348="","",IFERROR(VLOOKUP($F1348,Inventory!$A:$B,2,FALSE),""))</f>
        <v/>
      </c>
      <c r="H1348" s="83"/>
      <c r="I1348" s="84" t="str">
        <f t="shared" si="2"/>
        <v/>
      </c>
      <c r="J1348" s="85" t="str">
        <f>IF($F1348="","",IFERROR(VLOOKUP($F1348,Inventory!$A:$K,11,FALSE),0))</f>
        <v/>
      </c>
      <c r="K1348" s="85"/>
      <c r="L1348" s="85" t="str">
        <f t="shared" si="12"/>
        <v/>
      </c>
      <c r="M1348" s="83"/>
      <c r="N1348" s="85" t="str">
        <f>IF($F1348="","",IFERROR(VLOOKUP($F1348,Inventory!$A:$I,9,FALSE),0))</f>
        <v/>
      </c>
      <c r="O1348" s="85" t="str">
        <f t="shared" si="13"/>
        <v/>
      </c>
      <c r="P1348" s="85" t="str">
        <f t="shared" si="5"/>
        <v/>
      </c>
      <c r="Q1348" s="83"/>
      <c r="R1348" s="118" t="str">
        <f>IF($E1348="","",IF(COUNTIF($E$7:$E2545,$E1348)&gt;1,"",IFERROR(VLOOKUP($E1348,Orders!$A:$I,8,FALSE),"")))</f>
        <v/>
      </c>
      <c r="S1348" s="118" t="str">
        <f>IF($E1348="","",IF(COUNTIF($E$7:$E2545,$E1348)&gt;1,"",IFERROR(VLOOKUP($E1348,Orders!$A:$I,9,FALSE),"")))</f>
        <v/>
      </c>
      <c r="T1348" s="88" t="str">
        <f t="shared" si="14"/>
        <v/>
      </c>
      <c r="U1348" s="88" t="str">
        <f>IF($F1348="","",IF($E1348="",T1348,SUMIF(Sales!$E$7:$E$1506,$E1348,Sales!$T$7:$T$1506)))</f>
        <v/>
      </c>
      <c r="V1348" s="49" t="str">
        <f t="shared" si="15"/>
        <v/>
      </c>
      <c r="W1348" s="49" t="str">
        <f t="array" ref="W1348">IF($V1348="","",SUMPRODUCT((Sales!$V$7:$V$1506&lt;&gt;"")*(Sales!$E$7:$E$1506&lt;$E1348))+1)</f>
        <v/>
      </c>
      <c r="X1348" s="49" t="str">
        <f t="shared" si="16"/>
        <v/>
      </c>
      <c r="Y1348" s="49" t="str">
        <f t="shared" si="17"/>
        <v/>
      </c>
    </row>
    <row r="1349" ht="15.0" customHeight="1">
      <c r="A1349" s="82"/>
      <c r="B1349" s="83"/>
      <c r="C1349" s="83"/>
      <c r="D1349" s="83"/>
      <c r="E1349" s="83"/>
      <c r="F1349" s="83"/>
      <c r="G1349" s="83" t="str">
        <f>IF($F1349="","",IFERROR(VLOOKUP($F1349,Inventory!$A:$B,2,FALSE),""))</f>
        <v/>
      </c>
      <c r="H1349" s="83"/>
      <c r="I1349" s="84" t="str">
        <f t="shared" si="2"/>
        <v/>
      </c>
      <c r="J1349" s="85" t="str">
        <f>IF($F1349="","",IFERROR(VLOOKUP($F1349,Inventory!$A:$K,11,FALSE),0))</f>
        <v/>
      </c>
      <c r="K1349" s="85"/>
      <c r="L1349" s="85" t="str">
        <f t="shared" si="12"/>
        <v/>
      </c>
      <c r="M1349" s="83"/>
      <c r="N1349" s="85" t="str">
        <f>IF($F1349="","",IFERROR(VLOOKUP($F1349,Inventory!$A:$I,9,FALSE),0))</f>
        <v/>
      </c>
      <c r="O1349" s="85" t="str">
        <f t="shared" si="13"/>
        <v/>
      </c>
      <c r="P1349" s="85" t="str">
        <f t="shared" si="5"/>
        <v/>
      </c>
      <c r="Q1349" s="83"/>
      <c r="R1349" s="118" t="str">
        <f>IF($E1349="","",IF(COUNTIF($E$7:$E2546,$E1349)&gt;1,"",IFERROR(VLOOKUP($E1349,Orders!$A:$I,8,FALSE),"")))</f>
        <v/>
      </c>
      <c r="S1349" s="118" t="str">
        <f>IF($E1349="","",IF(COUNTIF($E$7:$E2546,$E1349)&gt;1,"",IFERROR(VLOOKUP($E1349,Orders!$A:$I,9,FALSE),"")))</f>
        <v/>
      </c>
      <c r="T1349" s="88" t="str">
        <f t="shared" si="14"/>
        <v/>
      </c>
      <c r="U1349" s="88" t="str">
        <f>IF($F1349="","",IF($E1349="",T1349,SUMIF(Sales!$E$7:$E$1506,$E1349,Sales!$T$7:$T$1506)))</f>
        <v/>
      </c>
      <c r="V1349" s="49" t="str">
        <f t="shared" si="15"/>
        <v/>
      </c>
      <c r="W1349" s="49" t="str">
        <f t="array" ref="W1349">IF($V1349="","",SUMPRODUCT((Sales!$V$7:$V$1506&lt;&gt;"")*(Sales!$E$7:$E$1506&lt;$E1349))+1)</f>
        <v/>
      </c>
      <c r="X1349" s="49" t="str">
        <f t="shared" si="16"/>
        <v/>
      </c>
      <c r="Y1349" s="49" t="str">
        <f t="shared" si="17"/>
        <v/>
      </c>
    </row>
    <row r="1350" ht="15.0" customHeight="1">
      <c r="A1350" s="82"/>
      <c r="B1350" s="83"/>
      <c r="C1350" s="83"/>
      <c r="D1350" s="83"/>
      <c r="E1350" s="83"/>
      <c r="F1350" s="83"/>
      <c r="G1350" s="83" t="str">
        <f>IF($F1350="","",IFERROR(VLOOKUP($F1350,Inventory!$A:$B,2,FALSE),""))</f>
        <v/>
      </c>
      <c r="H1350" s="83"/>
      <c r="I1350" s="84" t="str">
        <f t="shared" si="2"/>
        <v/>
      </c>
      <c r="J1350" s="85" t="str">
        <f>IF($F1350="","",IFERROR(VLOOKUP($F1350,Inventory!$A:$K,11,FALSE),0))</f>
        <v/>
      </c>
      <c r="K1350" s="85"/>
      <c r="L1350" s="85" t="str">
        <f t="shared" si="12"/>
        <v/>
      </c>
      <c r="M1350" s="83"/>
      <c r="N1350" s="85" t="str">
        <f>IF($F1350="","",IFERROR(VLOOKUP($F1350,Inventory!$A:$I,9,FALSE),0))</f>
        <v/>
      </c>
      <c r="O1350" s="85" t="str">
        <f t="shared" si="13"/>
        <v/>
      </c>
      <c r="P1350" s="85" t="str">
        <f t="shared" si="5"/>
        <v/>
      </c>
      <c r="Q1350" s="83"/>
      <c r="R1350" s="118" t="str">
        <f>IF($E1350="","",IF(COUNTIF($E$7:$E2547,$E1350)&gt;1,"",IFERROR(VLOOKUP($E1350,Orders!$A:$I,8,FALSE),"")))</f>
        <v/>
      </c>
      <c r="S1350" s="118" t="str">
        <f>IF($E1350="","",IF(COUNTIF($E$7:$E2547,$E1350)&gt;1,"",IFERROR(VLOOKUP($E1350,Orders!$A:$I,9,FALSE),"")))</f>
        <v/>
      </c>
      <c r="T1350" s="88" t="str">
        <f t="shared" si="14"/>
        <v/>
      </c>
      <c r="U1350" s="88" t="str">
        <f>IF($F1350="","",IF($E1350="",T1350,SUMIF(Sales!$E$7:$E$1506,$E1350,Sales!$T$7:$T$1506)))</f>
        <v/>
      </c>
      <c r="V1350" s="49" t="str">
        <f t="shared" si="15"/>
        <v/>
      </c>
      <c r="W1350" s="49" t="str">
        <f t="array" ref="W1350">IF($V1350="","",SUMPRODUCT((Sales!$V$7:$V$1506&lt;&gt;"")*(Sales!$E$7:$E$1506&lt;$E1350))+1)</f>
        <v/>
      </c>
      <c r="X1350" s="49" t="str">
        <f t="shared" si="16"/>
        <v/>
      </c>
      <c r="Y1350" s="49" t="str">
        <f t="shared" si="17"/>
        <v/>
      </c>
    </row>
    <row r="1351" ht="15.0" customHeight="1">
      <c r="A1351" s="82"/>
      <c r="B1351" s="83"/>
      <c r="C1351" s="83"/>
      <c r="D1351" s="83"/>
      <c r="E1351" s="83"/>
      <c r="F1351" s="83"/>
      <c r="G1351" s="83" t="str">
        <f>IF($F1351="","",IFERROR(VLOOKUP($F1351,Inventory!$A:$B,2,FALSE),""))</f>
        <v/>
      </c>
      <c r="H1351" s="83"/>
      <c r="I1351" s="84" t="str">
        <f t="shared" si="2"/>
        <v/>
      </c>
      <c r="J1351" s="85" t="str">
        <f>IF($F1351="","",IFERROR(VLOOKUP($F1351,Inventory!$A:$K,11,FALSE),0))</f>
        <v/>
      </c>
      <c r="K1351" s="85"/>
      <c r="L1351" s="85" t="str">
        <f t="shared" si="12"/>
        <v/>
      </c>
      <c r="M1351" s="83"/>
      <c r="N1351" s="85" t="str">
        <f>IF($F1351="","",IFERROR(VLOOKUP($F1351,Inventory!$A:$I,9,FALSE),0))</f>
        <v/>
      </c>
      <c r="O1351" s="85" t="str">
        <f t="shared" si="13"/>
        <v/>
      </c>
      <c r="P1351" s="85" t="str">
        <f t="shared" si="5"/>
        <v/>
      </c>
      <c r="Q1351" s="83"/>
      <c r="R1351" s="118" t="str">
        <f>IF($E1351="","",IF(COUNTIF($E$7:$E2548,$E1351)&gt;1,"",IFERROR(VLOOKUP($E1351,Orders!$A:$I,8,FALSE),"")))</f>
        <v/>
      </c>
      <c r="S1351" s="118" t="str">
        <f>IF($E1351="","",IF(COUNTIF($E$7:$E2548,$E1351)&gt;1,"",IFERROR(VLOOKUP($E1351,Orders!$A:$I,9,FALSE),"")))</f>
        <v/>
      </c>
      <c r="T1351" s="88" t="str">
        <f t="shared" si="14"/>
        <v/>
      </c>
      <c r="U1351" s="88" t="str">
        <f>IF($F1351="","",IF($E1351="",T1351,SUMIF(Sales!$E$7:$E$1506,$E1351,Sales!$T$7:$T$1506)))</f>
        <v/>
      </c>
      <c r="V1351" s="49" t="str">
        <f t="shared" si="15"/>
        <v/>
      </c>
      <c r="W1351" s="49" t="str">
        <f t="array" ref="W1351">IF($V1351="","",SUMPRODUCT((Sales!$V$7:$V$1506&lt;&gt;"")*(Sales!$E$7:$E$1506&lt;$E1351))+1)</f>
        <v/>
      </c>
      <c r="X1351" s="49" t="str">
        <f t="shared" si="16"/>
        <v/>
      </c>
      <c r="Y1351" s="49" t="str">
        <f t="shared" si="17"/>
        <v/>
      </c>
    </row>
    <row r="1352" ht="15.0" customHeight="1">
      <c r="A1352" s="82"/>
      <c r="B1352" s="83"/>
      <c r="C1352" s="83"/>
      <c r="D1352" s="83"/>
      <c r="E1352" s="83"/>
      <c r="F1352" s="83"/>
      <c r="G1352" s="83" t="str">
        <f>IF($F1352="","",IFERROR(VLOOKUP($F1352,Inventory!$A:$B,2,FALSE),""))</f>
        <v/>
      </c>
      <c r="H1352" s="83"/>
      <c r="I1352" s="84" t="str">
        <f t="shared" si="2"/>
        <v/>
      </c>
      <c r="J1352" s="85" t="str">
        <f>IF($F1352="","",IFERROR(VLOOKUP($F1352,Inventory!$A:$K,11,FALSE),0))</f>
        <v/>
      </c>
      <c r="K1352" s="85"/>
      <c r="L1352" s="85" t="str">
        <f t="shared" si="12"/>
        <v/>
      </c>
      <c r="M1352" s="83"/>
      <c r="N1352" s="85" t="str">
        <f>IF($F1352="","",IFERROR(VLOOKUP($F1352,Inventory!$A:$I,9,FALSE),0))</f>
        <v/>
      </c>
      <c r="O1352" s="85" t="str">
        <f t="shared" si="13"/>
        <v/>
      </c>
      <c r="P1352" s="85" t="str">
        <f t="shared" si="5"/>
        <v/>
      </c>
      <c r="Q1352" s="83"/>
      <c r="R1352" s="118" t="str">
        <f>IF($E1352="","",IF(COUNTIF($E$7:$E2549,$E1352)&gt;1,"",IFERROR(VLOOKUP($E1352,Orders!$A:$I,8,FALSE),"")))</f>
        <v/>
      </c>
      <c r="S1352" s="118" t="str">
        <f>IF($E1352="","",IF(COUNTIF($E$7:$E2549,$E1352)&gt;1,"",IFERROR(VLOOKUP($E1352,Orders!$A:$I,9,FALSE),"")))</f>
        <v/>
      </c>
      <c r="T1352" s="88" t="str">
        <f t="shared" si="14"/>
        <v/>
      </c>
      <c r="U1352" s="88" t="str">
        <f>IF($F1352="","",IF($E1352="",T1352,SUMIF(Sales!$E$7:$E$1506,$E1352,Sales!$T$7:$T$1506)))</f>
        <v/>
      </c>
      <c r="V1352" s="49" t="str">
        <f t="shared" si="15"/>
        <v/>
      </c>
      <c r="W1352" s="49" t="str">
        <f t="array" ref="W1352">IF($V1352="","",SUMPRODUCT((Sales!$V$7:$V$1506&lt;&gt;"")*(Sales!$E$7:$E$1506&lt;$E1352))+1)</f>
        <v/>
      </c>
      <c r="X1352" s="49" t="str">
        <f t="shared" si="16"/>
        <v/>
      </c>
      <c r="Y1352" s="49" t="str">
        <f t="shared" si="17"/>
        <v/>
      </c>
    </row>
    <row r="1353" ht="15.0" customHeight="1">
      <c r="A1353" s="82"/>
      <c r="B1353" s="83"/>
      <c r="C1353" s="83"/>
      <c r="D1353" s="83"/>
      <c r="E1353" s="83"/>
      <c r="F1353" s="83"/>
      <c r="G1353" s="83" t="str">
        <f>IF($F1353="","",IFERROR(VLOOKUP($F1353,Inventory!$A:$B,2,FALSE),""))</f>
        <v/>
      </c>
      <c r="H1353" s="83"/>
      <c r="I1353" s="84" t="str">
        <f t="shared" si="2"/>
        <v/>
      </c>
      <c r="J1353" s="85" t="str">
        <f>IF($F1353="","",IFERROR(VLOOKUP($F1353,Inventory!$A:$K,11,FALSE),0))</f>
        <v/>
      </c>
      <c r="K1353" s="85"/>
      <c r="L1353" s="85" t="str">
        <f t="shared" si="12"/>
        <v/>
      </c>
      <c r="M1353" s="83"/>
      <c r="N1353" s="85" t="str">
        <f>IF($F1353="","",IFERROR(VLOOKUP($F1353,Inventory!$A:$I,9,FALSE),0))</f>
        <v/>
      </c>
      <c r="O1353" s="85" t="str">
        <f t="shared" si="13"/>
        <v/>
      </c>
      <c r="P1353" s="85" t="str">
        <f t="shared" si="5"/>
        <v/>
      </c>
      <c r="Q1353" s="83"/>
      <c r="R1353" s="118" t="str">
        <f>IF($E1353="","",IF(COUNTIF($E$7:$E2550,$E1353)&gt;1,"",IFERROR(VLOOKUP($E1353,Orders!$A:$I,8,FALSE),"")))</f>
        <v/>
      </c>
      <c r="S1353" s="118" t="str">
        <f>IF($E1353="","",IF(COUNTIF($E$7:$E2550,$E1353)&gt;1,"",IFERROR(VLOOKUP($E1353,Orders!$A:$I,9,FALSE),"")))</f>
        <v/>
      </c>
      <c r="T1353" s="88" t="str">
        <f t="shared" si="14"/>
        <v/>
      </c>
      <c r="U1353" s="88" t="str">
        <f>IF($F1353="","",IF($E1353="",T1353,SUMIF(Sales!$E$7:$E$1506,$E1353,Sales!$T$7:$T$1506)))</f>
        <v/>
      </c>
      <c r="V1353" s="49" t="str">
        <f t="shared" si="15"/>
        <v/>
      </c>
      <c r="W1353" s="49" t="str">
        <f t="array" ref="W1353">IF($V1353="","",SUMPRODUCT((Sales!$V$7:$V$1506&lt;&gt;"")*(Sales!$E$7:$E$1506&lt;$E1353))+1)</f>
        <v/>
      </c>
      <c r="X1353" s="49" t="str">
        <f t="shared" si="16"/>
        <v/>
      </c>
      <c r="Y1353" s="49" t="str">
        <f t="shared" si="17"/>
        <v/>
      </c>
    </row>
    <row r="1354" ht="15.0" customHeight="1">
      <c r="A1354" s="82"/>
      <c r="B1354" s="83"/>
      <c r="C1354" s="83"/>
      <c r="D1354" s="83"/>
      <c r="E1354" s="83"/>
      <c r="F1354" s="83"/>
      <c r="G1354" s="83" t="str">
        <f>IF($F1354="","",IFERROR(VLOOKUP($F1354,Inventory!$A:$B,2,FALSE),""))</f>
        <v/>
      </c>
      <c r="H1354" s="83"/>
      <c r="I1354" s="84" t="str">
        <f t="shared" si="2"/>
        <v/>
      </c>
      <c r="J1354" s="85" t="str">
        <f>IF($F1354="","",IFERROR(VLOOKUP($F1354,Inventory!$A:$K,11,FALSE),0))</f>
        <v/>
      </c>
      <c r="K1354" s="85"/>
      <c r="L1354" s="85" t="str">
        <f t="shared" si="12"/>
        <v/>
      </c>
      <c r="M1354" s="83"/>
      <c r="N1354" s="85" t="str">
        <f>IF($F1354="","",IFERROR(VLOOKUP($F1354,Inventory!$A:$I,9,FALSE),0))</f>
        <v/>
      </c>
      <c r="O1354" s="85" t="str">
        <f t="shared" si="13"/>
        <v/>
      </c>
      <c r="P1354" s="85" t="str">
        <f t="shared" si="5"/>
        <v/>
      </c>
      <c r="Q1354" s="83"/>
      <c r="R1354" s="118" t="str">
        <f>IF($E1354="","",IF(COUNTIF($E$7:$E2551,$E1354)&gt;1,"",IFERROR(VLOOKUP($E1354,Orders!$A:$I,8,FALSE),"")))</f>
        <v/>
      </c>
      <c r="S1354" s="118" t="str">
        <f>IF($E1354="","",IF(COUNTIF($E$7:$E2551,$E1354)&gt;1,"",IFERROR(VLOOKUP($E1354,Orders!$A:$I,9,FALSE),"")))</f>
        <v/>
      </c>
      <c r="T1354" s="88" t="str">
        <f t="shared" si="14"/>
        <v/>
      </c>
      <c r="U1354" s="88" t="str">
        <f>IF($F1354="","",IF($E1354="",T1354,SUMIF(Sales!$E$7:$E$1506,$E1354,Sales!$T$7:$T$1506)))</f>
        <v/>
      </c>
      <c r="V1354" s="49" t="str">
        <f t="shared" si="15"/>
        <v/>
      </c>
      <c r="W1354" s="49" t="str">
        <f t="array" ref="W1354">IF($V1354="","",SUMPRODUCT((Sales!$V$7:$V$1506&lt;&gt;"")*(Sales!$E$7:$E$1506&lt;$E1354))+1)</f>
        <v/>
      </c>
      <c r="X1354" s="49" t="str">
        <f t="shared" si="16"/>
        <v/>
      </c>
      <c r="Y1354" s="49" t="str">
        <f t="shared" si="17"/>
        <v/>
      </c>
    </row>
    <row r="1355" ht="15.0" customHeight="1">
      <c r="A1355" s="82"/>
      <c r="B1355" s="83"/>
      <c r="C1355" s="83"/>
      <c r="D1355" s="83"/>
      <c r="E1355" s="83"/>
      <c r="F1355" s="83"/>
      <c r="G1355" s="83" t="str">
        <f>IF($F1355="","",IFERROR(VLOOKUP($F1355,Inventory!$A:$B,2,FALSE),""))</f>
        <v/>
      </c>
      <c r="H1355" s="83"/>
      <c r="I1355" s="84" t="str">
        <f t="shared" si="2"/>
        <v/>
      </c>
      <c r="J1355" s="85" t="str">
        <f>IF($F1355="","",IFERROR(VLOOKUP($F1355,Inventory!$A:$K,11,FALSE),0))</f>
        <v/>
      </c>
      <c r="K1355" s="85"/>
      <c r="L1355" s="85" t="str">
        <f t="shared" si="12"/>
        <v/>
      </c>
      <c r="M1355" s="83"/>
      <c r="N1355" s="85" t="str">
        <f>IF($F1355="","",IFERROR(VLOOKUP($F1355,Inventory!$A:$I,9,FALSE),0))</f>
        <v/>
      </c>
      <c r="O1355" s="85" t="str">
        <f t="shared" si="13"/>
        <v/>
      </c>
      <c r="P1355" s="85" t="str">
        <f t="shared" si="5"/>
        <v/>
      </c>
      <c r="Q1355" s="83"/>
      <c r="R1355" s="118" t="str">
        <f>IF($E1355="","",IF(COUNTIF($E$7:$E2552,$E1355)&gt;1,"",IFERROR(VLOOKUP($E1355,Orders!$A:$I,8,FALSE),"")))</f>
        <v/>
      </c>
      <c r="S1355" s="118" t="str">
        <f>IF($E1355="","",IF(COUNTIF($E$7:$E2552,$E1355)&gt;1,"",IFERROR(VLOOKUP($E1355,Orders!$A:$I,9,FALSE),"")))</f>
        <v/>
      </c>
      <c r="T1355" s="88" t="str">
        <f t="shared" si="14"/>
        <v/>
      </c>
      <c r="U1355" s="88" t="str">
        <f>IF($F1355="","",IF($E1355="",T1355,SUMIF(Sales!$E$7:$E$1506,$E1355,Sales!$T$7:$T$1506)))</f>
        <v/>
      </c>
      <c r="V1355" s="49" t="str">
        <f t="shared" si="15"/>
        <v/>
      </c>
      <c r="W1355" s="49" t="str">
        <f t="array" ref="W1355">IF($V1355="","",SUMPRODUCT((Sales!$V$7:$V$1506&lt;&gt;"")*(Sales!$E$7:$E$1506&lt;$E1355))+1)</f>
        <v/>
      </c>
      <c r="X1355" s="49" t="str">
        <f t="shared" si="16"/>
        <v/>
      </c>
      <c r="Y1355" s="49" t="str">
        <f t="shared" si="17"/>
        <v/>
      </c>
    </row>
    <row r="1356" ht="15.0" customHeight="1">
      <c r="A1356" s="82"/>
      <c r="B1356" s="83"/>
      <c r="C1356" s="83"/>
      <c r="D1356" s="83"/>
      <c r="E1356" s="83"/>
      <c r="F1356" s="83"/>
      <c r="G1356" s="83" t="str">
        <f>IF($F1356="","",IFERROR(VLOOKUP($F1356,Inventory!$A:$B,2,FALSE),""))</f>
        <v/>
      </c>
      <c r="H1356" s="83"/>
      <c r="I1356" s="84" t="str">
        <f t="shared" si="2"/>
        <v/>
      </c>
      <c r="J1356" s="85" t="str">
        <f>IF($F1356="","",IFERROR(VLOOKUP($F1356,Inventory!$A:$K,11,FALSE),0))</f>
        <v/>
      </c>
      <c r="K1356" s="85"/>
      <c r="L1356" s="85" t="str">
        <f t="shared" si="12"/>
        <v/>
      </c>
      <c r="M1356" s="83"/>
      <c r="N1356" s="85" t="str">
        <f>IF($F1356="","",IFERROR(VLOOKUP($F1356,Inventory!$A:$I,9,FALSE),0))</f>
        <v/>
      </c>
      <c r="O1356" s="85" t="str">
        <f t="shared" si="13"/>
        <v/>
      </c>
      <c r="P1356" s="85" t="str">
        <f t="shared" si="5"/>
        <v/>
      </c>
      <c r="Q1356" s="83"/>
      <c r="R1356" s="118" t="str">
        <f>IF($E1356="","",IF(COUNTIF($E$7:$E2553,$E1356)&gt;1,"",IFERROR(VLOOKUP($E1356,Orders!$A:$I,8,FALSE),"")))</f>
        <v/>
      </c>
      <c r="S1356" s="118" t="str">
        <f>IF($E1356="","",IF(COUNTIF($E$7:$E2553,$E1356)&gt;1,"",IFERROR(VLOOKUP($E1356,Orders!$A:$I,9,FALSE),"")))</f>
        <v/>
      </c>
      <c r="T1356" s="88" t="str">
        <f t="shared" si="14"/>
        <v/>
      </c>
      <c r="U1356" s="88" t="str">
        <f>IF($F1356="","",IF($E1356="",T1356,SUMIF(Sales!$E$7:$E$1506,$E1356,Sales!$T$7:$T$1506)))</f>
        <v/>
      </c>
      <c r="V1356" s="49" t="str">
        <f t="shared" si="15"/>
        <v/>
      </c>
      <c r="W1356" s="49" t="str">
        <f t="array" ref="W1356">IF($V1356="","",SUMPRODUCT((Sales!$V$7:$V$1506&lt;&gt;"")*(Sales!$E$7:$E$1506&lt;$E1356))+1)</f>
        <v/>
      </c>
      <c r="X1356" s="49" t="str">
        <f t="shared" si="16"/>
        <v/>
      </c>
      <c r="Y1356" s="49" t="str">
        <f t="shared" si="17"/>
        <v/>
      </c>
    </row>
    <row r="1357" ht="15.0" customHeight="1">
      <c r="A1357" s="82"/>
      <c r="B1357" s="83"/>
      <c r="C1357" s="83"/>
      <c r="D1357" s="83"/>
      <c r="E1357" s="83"/>
      <c r="F1357" s="83"/>
      <c r="G1357" s="83" t="str">
        <f>IF($F1357="","",IFERROR(VLOOKUP($F1357,Inventory!$A:$B,2,FALSE),""))</f>
        <v/>
      </c>
      <c r="H1357" s="83"/>
      <c r="I1357" s="84" t="str">
        <f t="shared" si="2"/>
        <v/>
      </c>
      <c r="J1357" s="85" t="str">
        <f>IF($F1357="","",IFERROR(VLOOKUP($F1357,Inventory!$A:$K,11,FALSE),0))</f>
        <v/>
      </c>
      <c r="K1357" s="85"/>
      <c r="L1357" s="85" t="str">
        <f t="shared" si="12"/>
        <v/>
      </c>
      <c r="M1357" s="83"/>
      <c r="N1357" s="85" t="str">
        <f>IF($F1357="","",IFERROR(VLOOKUP($F1357,Inventory!$A:$I,9,FALSE),0))</f>
        <v/>
      </c>
      <c r="O1357" s="85" t="str">
        <f t="shared" si="13"/>
        <v/>
      </c>
      <c r="P1357" s="85" t="str">
        <f t="shared" si="5"/>
        <v/>
      </c>
      <c r="Q1357" s="83"/>
      <c r="R1357" s="118" t="str">
        <f>IF($E1357="","",IF(COUNTIF($E$7:$E2554,$E1357)&gt;1,"",IFERROR(VLOOKUP($E1357,Orders!$A:$I,8,FALSE),"")))</f>
        <v/>
      </c>
      <c r="S1357" s="118" t="str">
        <f>IF($E1357="","",IF(COUNTIF($E$7:$E2554,$E1357)&gt;1,"",IFERROR(VLOOKUP($E1357,Orders!$A:$I,9,FALSE),"")))</f>
        <v/>
      </c>
      <c r="T1357" s="88" t="str">
        <f t="shared" si="14"/>
        <v/>
      </c>
      <c r="U1357" s="88" t="str">
        <f>IF($F1357="","",IF($E1357="",T1357,SUMIF(Sales!$E$7:$E$1506,$E1357,Sales!$T$7:$T$1506)))</f>
        <v/>
      </c>
      <c r="V1357" s="49" t="str">
        <f t="shared" si="15"/>
        <v/>
      </c>
      <c r="W1357" s="49" t="str">
        <f t="array" ref="W1357">IF($V1357="","",SUMPRODUCT((Sales!$V$7:$V$1506&lt;&gt;"")*(Sales!$E$7:$E$1506&lt;$E1357))+1)</f>
        <v/>
      </c>
      <c r="X1357" s="49" t="str">
        <f t="shared" si="16"/>
        <v/>
      </c>
      <c r="Y1357" s="49" t="str">
        <f t="shared" si="17"/>
        <v/>
      </c>
    </row>
    <row r="1358" ht="15.0" customHeight="1">
      <c r="A1358" s="82"/>
      <c r="B1358" s="83"/>
      <c r="C1358" s="83"/>
      <c r="D1358" s="83"/>
      <c r="E1358" s="83"/>
      <c r="F1358" s="83"/>
      <c r="G1358" s="83" t="str">
        <f>IF($F1358="","",IFERROR(VLOOKUP($F1358,Inventory!$A:$B,2,FALSE),""))</f>
        <v/>
      </c>
      <c r="H1358" s="83"/>
      <c r="I1358" s="84" t="str">
        <f t="shared" si="2"/>
        <v/>
      </c>
      <c r="J1358" s="85" t="str">
        <f>IF($F1358="","",IFERROR(VLOOKUP($F1358,Inventory!$A:$K,11,FALSE),0))</f>
        <v/>
      </c>
      <c r="K1358" s="85"/>
      <c r="L1358" s="85" t="str">
        <f t="shared" si="12"/>
        <v/>
      </c>
      <c r="M1358" s="83"/>
      <c r="N1358" s="85" t="str">
        <f>IF($F1358="","",IFERROR(VLOOKUP($F1358,Inventory!$A:$I,9,FALSE),0))</f>
        <v/>
      </c>
      <c r="O1358" s="85" t="str">
        <f t="shared" si="13"/>
        <v/>
      </c>
      <c r="P1358" s="85" t="str">
        <f t="shared" si="5"/>
        <v/>
      </c>
      <c r="Q1358" s="83"/>
      <c r="R1358" s="118" t="str">
        <f>IF($E1358="","",IF(COUNTIF($E$7:$E2555,$E1358)&gt;1,"",IFERROR(VLOOKUP($E1358,Orders!$A:$I,8,FALSE),"")))</f>
        <v/>
      </c>
      <c r="S1358" s="118" t="str">
        <f>IF($E1358="","",IF(COUNTIF($E$7:$E2555,$E1358)&gt;1,"",IFERROR(VLOOKUP($E1358,Orders!$A:$I,9,FALSE),"")))</f>
        <v/>
      </c>
      <c r="T1358" s="88" t="str">
        <f t="shared" si="14"/>
        <v/>
      </c>
      <c r="U1358" s="88" t="str">
        <f>IF($F1358="","",IF($E1358="",T1358,SUMIF(Sales!$E$7:$E$1506,$E1358,Sales!$T$7:$T$1506)))</f>
        <v/>
      </c>
      <c r="V1358" s="49" t="str">
        <f t="shared" si="15"/>
        <v/>
      </c>
      <c r="W1358" s="49" t="str">
        <f t="array" ref="W1358">IF($V1358="","",SUMPRODUCT((Sales!$V$7:$V$1506&lt;&gt;"")*(Sales!$E$7:$E$1506&lt;$E1358))+1)</f>
        <v/>
      </c>
      <c r="X1358" s="49" t="str">
        <f t="shared" si="16"/>
        <v/>
      </c>
      <c r="Y1358" s="49" t="str">
        <f t="shared" si="17"/>
        <v/>
      </c>
    </row>
    <row r="1359" ht="15.0" customHeight="1">
      <c r="A1359" s="82"/>
      <c r="B1359" s="83"/>
      <c r="C1359" s="83"/>
      <c r="D1359" s="83"/>
      <c r="E1359" s="83"/>
      <c r="F1359" s="83"/>
      <c r="G1359" s="83" t="str">
        <f>IF($F1359="","",IFERROR(VLOOKUP($F1359,Inventory!$A:$B,2,FALSE),""))</f>
        <v/>
      </c>
      <c r="H1359" s="83"/>
      <c r="I1359" s="84" t="str">
        <f t="shared" si="2"/>
        <v/>
      </c>
      <c r="J1359" s="85" t="str">
        <f>IF($F1359="","",IFERROR(VLOOKUP($F1359,Inventory!$A:$K,11,FALSE),0))</f>
        <v/>
      </c>
      <c r="K1359" s="85"/>
      <c r="L1359" s="85" t="str">
        <f t="shared" si="12"/>
        <v/>
      </c>
      <c r="M1359" s="83"/>
      <c r="N1359" s="85" t="str">
        <f>IF($F1359="","",IFERROR(VLOOKUP($F1359,Inventory!$A:$I,9,FALSE),0))</f>
        <v/>
      </c>
      <c r="O1359" s="85" t="str">
        <f t="shared" si="13"/>
        <v/>
      </c>
      <c r="P1359" s="85" t="str">
        <f t="shared" si="5"/>
        <v/>
      </c>
      <c r="Q1359" s="83"/>
      <c r="R1359" s="118" t="str">
        <f>IF($E1359="","",IF(COUNTIF($E$7:$E2556,$E1359)&gt;1,"",IFERROR(VLOOKUP($E1359,Orders!$A:$I,8,FALSE),"")))</f>
        <v/>
      </c>
      <c r="S1359" s="118" t="str">
        <f>IF($E1359="","",IF(COUNTIF($E$7:$E2556,$E1359)&gt;1,"",IFERROR(VLOOKUP($E1359,Orders!$A:$I,9,FALSE),"")))</f>
        <v/>
      </c>
      <c r="T1359" s="88" t="str">
        <f t="shared" si="14"/>
        <v/>
      </c>
      <c r="U1359" s="88" t="str">
        <f>IF($F1359="","",IF($E1359="",T1359,SUMIF(Sales!$E$7:$E$1506,$E1359,Sales!$T$7:$T$1506)))</f>
        <v/>
      </c>
      <c r="V1359" s="49" t="str">
        <f t="shared" si="15"/>
        <v/>
      </c>
      <c r="W1359" s="49" t="str">
        <f t="array" ref="W1359">IF($V1359="","",SUMPRODUCT((Sales!$V$7:$V$1506&lt;&gt;"")*(Sales!$E$7:$E$1506&lt;$E1359))+1)</f>
        <v/>
      </c>
      <c r="X1359" s="49" t="str">
        <f t="shared" si="16"/>
        <v/>
      </c>
      <c r="Y1359" s="49" t="str">
        <f t="shared" si="17"/>
        <v/>
      </c>
    </row>
    <row r="1360" ht="15.0" customHeight="1">
      <c r="A1360" s="82"/>
      <c r="B1360" s="83"/>
      <c r="C1360" s="83"/>
      <c r="D1360" s="83"/>
      <c r="E1360" s="83"/>
      <c r="F1360" s="83"/>
      <c r="G1360" s="83" t="str">
        <f>IF($F1360="","",IFERROR(VLOOKUP($F1360,Inventory!$A:$B,2,FALSE),""))</f>
        <v/>
      </c>
      <c r="H1360" s="83"/>
      <c r="I1360" s="84" t="str">
        <f t="shared" si="2"/>
        <v/>
      </c>
      <c r="J1360" s="85" t="str">
        <f>IF($F1360="","",IFERROR(VLOOKUP($F1360,Inventory!$A:$K,11,FALSE),0))</f>
        <v/>
      </c>
      <c r="K1360" s="85"/>
      <c r="L1360" s="85" t="str">
        <f t="shared" si="12"/>
        <v/>
      </c>
      <c r="M1360" s="83"/>
      <c r="N1360" s="85" t="str">
        <f>IF($F1360="","",IFERROR(VLOOKUP($F1360,Inventory!$A:$I,9,FALSE),0))</f>
        <v/>
      </c>
      <c r="O1360" s="85" t="str">
        <f t="shared" si="13"/>
        <v/>
      </c>
      <c r="P1360" s="85" t="str">
        <f t="shared" si="5"/>
        <v/>
      </c>
      <c r="Q1360" s="83"/>
      <c r="R1360" s="118" t="str">
        <f>IF($E1360="","",IF(COUNTIF($E$7:$E2557,$E1360)&gt;1,"",IFERROR(VLOOKUP($E1360,Orders!$A:$I,8,FALSE),"")))</f>
        <v/>
      </c>
      <c r="S1360" s="118" t="str">
        <f>IF($E1360="","",IF(COUNTIF($E$7:$E2557,$E1360)&gt;1,"",IFERROR(VLOOKUP($E1360,Orders!$A:$I,9,FALSE),"")))</f>
        <v/>
      </c>
      <c r="T1360" s="88" t="str">
        <f t="shared" si="14"/>
        <v/>
      </c>
      <c r="U1360" s="88" t="str">
        <f>IF($F1360="","",IF($E1360="",T1360,SUMIF(Sales!$E$7:$E$1506,$E1360,Sales!$T$7:$T$1506)))</f>
        <v/>
      </c>
      <c r="V1360" s="49" t="str">
        <f t="shared" si="15"/>
        <v/>
      </c>
      <c r="W1360" s="49" t="str">
        <f t="array" ref="W1360">IF($V1360="","",SUMPRODUCT((Sales!$V$7:$V$1506&lt;&gt;"")*(Sales!$E$7:$E$1506&lt;$E1360))+1)</f>
        <v/>
      </c>
      <c r="X1360" s="49" t="str">
        <f t="shared" si="16"/>
        <v/>
      </c>
      <c r="Y1360" s="49" t="str">
        <f t="shared" si="17"/>
        <v/>
      </c>
    </row>
    <row r="1361" ht="15.0" customHeight="1">
      <c r="A1361" s="82"/>
      <c r="B1361" s="83"/>
      <c r="C1361" s="83"/>
      <c r="D1361" s="83"/>
      <c r="E1361" s="83"/>
      <c r="F1361" s="83"/>
      <c r="G1361" s="83" t="str">
        <f>IF($F1361="","",IFERROR(VLOOKUP($F1361,Inventory!$A:$B,2,FALSE),""))</f>
        <v/>
      </c>
      <c r="H1361" s="83"/>
      <c r="I1361" s="84" t="str">
        <f t="shared" si="2"/>
        <v/>
      </c>
      <c r="J1361" s="85" t="str">
        <f>IF($F1361="","",IFERROR(VLOOKUP($F1361,Inventory!$A:$K,11,FALSE),0))</f>
        <v/>
      </c>
      <c r="K1361" s="85"/>
      <c r="L1361" s="85" t="str">
        <f t="shared" si="12"/>
        <v/>
      </c>
      <c r="M1361" s="83"/>
      <c r="N1361" s="85" t="str">
        <f>IF($F1361="","",IFERROR(VLOOKUP($F1361,Inventory!$A:$I,9,FALSE),0))</f>
        <v/>
      </c>
      <c r="O1361" s="85" t="str">
        <f t="shared" si="13"/>
        <v/>
      </c>
      <c r="P1361" s="85" t="str">
        <f t="shared" si="5"/>
        <v/>
      </c>
      <c r="Q1361" s="83"/>
      <c r="R1361" s="118" t="str">
        <f>IF($E1361="","",IF(COUNTIF($E$7:$E2558,$E1361)&gt;1,"",IFERROR(VLOOKUP($E1361,Orders!$A:$I,8,FALSE),"")))</f>
        <v/>
      </c>
      <c r="S1361" s="118" t="str">
        <f>IF($E1361="","",IF(COUNTIF($E$7:$E2558,$E1361)&gt;1,"",IFERROR(VLOOKUP($E1361,Orders!$A:$I,9,FALSE),"")))</f>
        <v/>
      </c>
      <c r="T1361" s="88" t="str">
        <f t="shared" si="14"/>
        <v/>
      </c>
      <c r="U1361" s="88" t="str">
        <f>IF($F1361="","",IF($E1361="",T1361,SUMIF(Sales!$E$7:$E$1506,$E1361,Sales!$T$7:$T$1506)))</f>
        <v/>
      </c>
      <c r="V1361" s="49" t="str">
        <f t="shared" si="15"/>
        <v/>
      </c>
      <c r="W1361" s="49" t="str">
        <f t="array" ref="W1361">IF($V1361="","",SUMPRODUCT((Sales!$V$7:$V$1506&lt;&gt;"")*(Sales!$E$7:$E$1506&lt;$E1361))+1)</f>
        <v/>
      </c>
      <c r="X1361" s="49" t="str">
        <f t="shared" si="16"/>
        <v/>
      </c>
      <c r="Y1361" s="49" t="str">
        <f t="shared" si="17"/>
        <v/>
      </c>
    </row>
    <row r="1362" ht="15.0" customHeight="1">
      <c r="A1362" s="82"/>
      <c r="B1362" s="83"/>
      <c r="C1362" s="83"/>
      <c r="D1362" s="83"/>
      <c r="E1362" s="83"/>
      <c r="F1362" s="83"/>
      <c r="G1362" s="83" t="str">
        <f>IF($F1362="","",IFERROR(VLOOKUP($F1362,Inventory!$A:$B,2,FALSE),""))</f>
        <v/>
      </c>
      <c r="H1362" s="83"/>
      <c r="I1362" s="84" t="str">
        <f t="shared" si="2"/>
        <v/>
      </c>
      <c r="J1362" s="85" t="str">
        <f>IF($F1362="","",IFERROR(VLOOKUP($F1362,Inventory!$A:$K,11,FALSE),0))</f>
        <v/>
      </c>
      <c r="K1362" s="85"/>
      <c r="L1362" s="85" t="str">
        <f t="shared" si="12"/>
        <v/>
      </c>
      <c r="M1362" s="83"/>
      <c r="N1362" s="85" t="str">
        <f>IF($F1362="","",IFERROR(VLOOKUP($F1362,Inventory!$A:$I,9,FALSE),0))</f>
        <v/>
      </c>
      <c r="O1362" s="85" t="str">
        <f t="shared" si="13"/>
        <v/>
      </c>
      <c r="P1362" s="85" t="str">
        <f t="shared" si="5"/>
        <v/>
      </c>
      <c r="Q1362" s="83"/>
      <c r="R1362" s="118" t="str">
        <f>IF($E1362="","",IF(COUNTIF($E$7:$E2559,$E1362)&gt;1,"",IFERROR(VLOOKUP($E1362,Orders!$A:$I,8,FALSE),"")))</f>
        <v/>
      </c>
      <c r="S1362" s="118" t="str">
        <f>IF($E1362="","",IF(COUNTIF($E$7:$E2559,$E1362)&gt;1,"",IFERROR(VLOOKUP($E1362,Orders!$A:$I,9,FALSE),"")))</f>
        <v/>
      </c>
      <c r="T1362" s="88" t="str">
        <f t="shared" si="14"/>
        <v/>
      </c>
      <c r="U1362" s="88" t="str">
        <f>IF($F1362="","",IF($E1362="",T1362,SUMIF(Sales!$E$7:$E$1506,$E1362,Sales!$T$7:$T$1506)))</f>
        <v/>
      </c>
      <c r="V1362" s="49" t="str">
        <f t="shared" si="15"/>
        <v/>
      </c>
      <c r="W1362" s="49" t="str">
        <f t="array" ref="W1362">IF($V1362="","",SUMPRODUCT((Sales!$V$7:$V$1506&lt;&gt;"")*(Sales!$E$7:$E$1506&lt;$E1362))+1)</f>
        <v/>
      </c>
      <c r="X1362" s="49" t="str">
        <f t="shared" si="16"/>
        <v/>
      </c>
      <c r="Y1362" s="49" t="str">
        <f t="shared" si="17"/>
        <v/>
      </c>
    </row>
    <row r="1363" ht="15.0" customHeight="1">
      <c r="A1363" s="82"/>
      <c r="B1363" s="83"/>
      <c r="C1363" s="83"/>
      <c r="D1363" s="83"/>
      <c r="E1363" s="83"/>
      <c r="F1363" s="83"/>
      <c r="G1363" s="83" t="str">
        <f>IF($F1363="","",IFERROR(VLOOKUP($F1363,Inventory!$A:$B,2,FALSE),""))</f>
        <v/>
      </c>
      <c r="H1363" s="83"/>
      <c r="I1363" s="84" t="str">
        <f t="shared" si="2"/>
        <v/>
      </c>
      <c r="J1363" s="85" t="str">
        <f>IF($F1363="","",IFERROR(VLOOKUP($F1363,Inventory!$A:$K,11,FALSE),0))</f>
        <v/>
      </c>
      <c r="K1363" s="85"/>
      <c r="L1363" s="85" t="str">
        <f t="shared" si="12"/>
        <v/>
      </c>
      <c r="M1363" s="83"/>
      <c r="N1363" s="85" t="str">
        <f>IF($F1363="","",IFERROR(VLOOKUP($F1363,Inventory!$A:$I,9,FALSE),0))</f>
        <v/>
      </c>
      <c r="O1363" s="85" t="str">
        <f t="shared" si="13"/>
        <v/>
      </c>
      <c r="P1363" s="85" t="str">
        <f t="shared" si="5"/>
        <v/>
      </c>
      <c r="Q1363" s="83"/>
      <c r="R1363" s="118" t="str">
        <f>IF($E1363="","",IF(COUNTIF($E$7:$E2560,$E1363)&gt;1,"",IFERROR(VLOOKUP($E1363,Orders!$A:$I,8,FALSE),"")))</f>
        <v/>
      </c>
      <c r="S1363" s="118" t="str">
        <f>IF($E1363="","",IF(COUNTIF($E$7:$E2560,$E1363)&gt;1,"",IFERROR(VLOOKUP($E1363,Orders!$A:$I,9,FALSE),"")))</f>
        <v/>
      </c>
      <c r="T1363" s="88" t="str">
        <f t="shared" si="14"/>
        <v/>
      </c>
      <c r="U1363" s="88" t="str">
        <f>IF($F1363="","",IF($E1363="",T1363,SUMIF(Sales!$E$7:$E$1506,$E1363,Sales!$T$7:$T$1506)))</f>
        <v/>
      </c>
      <c r="V1363" s="49" t="str">
        <f t="shared" si="15"/>
        <v/>
      </c>
      <c r="W1363" s="49" t="str">
        <f t="array" ref="W1363">IF($V1363="","",SUMPRODUCT((Sales!$V$7:$V$1506&lt;&gt;"")*(Sales!$E$7:$E$1506&lt;$E1363))+1)</f>
        <v/>
      </c>
      <c r="X1363" s="49" t="str">
        <f t="shared" si="16"/>
        <v/>
      </c>
      <c r="Y1363" s="49" t="str">
        <f t="shared" si="17"/>
        <v/>
      </c>
    </row>
    <row r="1364" ht="15.0" customHeight="1">
      <c r="A1364" s="82"/>
      <c r="B1364" s="83"/>
      <c r="C1364" s="83"/>
      <c r="D1364" s="83"/>
      <c r="E1364" s="83"/>
      <c r="F1364" s="83"/>
      <c r="G1364" s="83" t="str">
        <f>IF($F1364="","",IFERROR(VLOOKUP($F1364,Inventory!$A:$B,2,FALSE),""))</f>
        <v/>
      </c>
      <c r="H1364" s="83"/>
      <c r="I1364" s="84" t="str">
        <f t="shared" si="2"/>
        <v/>
      </c>
      <c r="J1364" s="85" t="str">
        <f>IF($F1364="","",IFERROR(VLOOKUP($F1364,Inventory!$A:$K,11,FALSE),0))</f>
        <v/>
      </c>
      <c r="K1364" s="85"/>
      <c r="L1364" s="85" t="str">
        <f t="shared" si="12"/>
        <v/>
      </c>
      <c r="M1364" s="83"/>
      <c r="N1364" s="85" t="str">
        <f>IF($F1364="","",IFERROR(VLOOKUP($F1364,Inventory!$A:$I,9,FALSE),0))</f>
        <v/>
      </c>
      <c r="O1364" s="85" t="str">
        <f t="shared" si="13"/>
        <v/>
      </c>
      <c r="P1364" s="85" t="str">
        <f t="shared" si="5"/>
        <v/>
      </c>
      <c r="Q1364" s="83"/>
      <c r="R1364" s="118" t="str">
        <f>IF($E1364="","",IF(COUNTIF($E$7:$E2561,$E1364)&gt;1,"",IFERROR(VLOOKUP($E1364,Orders!$A:$I,8,FALSE),"")))</f>
        <v/>
      </c>
      <c r="S1364" s="118" t="str">
        <f>IF($E1364="","",IF(COUNTIF($E$7:$E2561,$E1364)&gt;1,"",IFERROR(VLOOKUP($E1364,Orders!$A:$I,9,FALSE),"")))</f>
        <v/>
      </c>
      <c r="T1364" s="88" t="str">
        <f t="shared" si="14"/>
        <v/>
      </c>
      <c r="U1364" s="88" t="str">
        <f>IF($F1364="","",IF($E1364="",T1364,SUMIF(Sales!$E$7:$E$1506,$E1364,Sales!$T$7:$T$1506)))</f>
        <v/>
      </c>
      <c r="V1364" s="49" t="str">
        <f t="shared" si="15"/>
        <v/>
      </c>
      <c r="W1364" s="49" t="str">
        <f t="array" ref="W1364">IF($V1364="","",SUMPRODUCT((Sales!$V$7:$V$1506&lt;&gt;"")*(Sales!$E$7:$E$1506&lt;$E1364))+1)</f>
        <v/>
      </c>
      <c r="X1364" s="49" t="str">
        <f t="shared" si="16"/>
        <v/>
      </c>
      <c r="Y1364" s="49" t="str">
        <f t="shared" si="17"/>
        <v/>
      </c>
    </row>
    <row r="1365" ht="15.0" customHeight="1">
      <c r="A1365" s="82"/>
      <c r="B1365" s="83"/>
      <c r="C1365" s="83"/>
      <c r="D1365" s="83"/>
      <c r="E1365" s="83"/>
      <c r="F1365" s="83"/>
      <c r="G1365" s="83" t="str">
        <f>IF($F1365="","",IFERROR(VLOOKUP($F1365,Inventory!$A:$B,2,FALSE),""))</f>
        <v/>
      </c>
      <c r="H1365" s="83"/>
      <c r="I1365" s="84" t="str">
        <f t="shared" si="2"/>
        <v/>
      </c>
      <c r="J1365" s="85" t="str">
        <f>IF($F1365="","",IFERROR(VLOOKUP($F1365,Inventory!$A:$K,11,FALSE),0))</f>
        <v/>
      </c>
      <c r="K1365" s="85"/>
      <c r="L1365" s="85" t="str">
        <f t="shared" si="12"/>
        <v/>
      </c>
      <c r="M1365" s="83"/>
      <c r="N1365" s="85" t="str">
        <f>IF($F1365="","",IFERROR(VLOOKUP($F1365,Inventory!$A:$I,9,FALSE),0))</f>
        <v/>
      </c>
      <c r="O1365" s="85" t="str">
        <f t="shared" si="13"/>
        <v/>
      </c>
      <c r="P1365" s="85" t="str">
        <f t="shared" si="5"/>
        <v/>
      </c>
      <c r="Q1365" s="83"/>
      <c r="R1365" s="118" t="str">
        <f>IF($E1365="","",IF(COUNTIF($E$7:$E2562,$E1365)&gt;1,"",IFERROR(VLOOKUP($E1365,Orders!$A:$I,8,FALSE),"")))</f>
        <v/>
      </c>
      <c r="S1365" s="118" t="str">
        <f>IF($E1365="","",IF(COUNTIF($E$7:$E2562,$E1365)&gt;1,"",IFERROR(VLOOKUP($E1365,Orders!$A:$I,9,FALSE),"")))</f>
        <v/>
      </c>
      <c r="T1365" s="88" t="str">
        <f t="shared" si="14"/>
        <v/>
      </c>
      <c r="U1365" s="88" t="str">
        <f>IF($F1365="","",IF($E1365="",T1365,SUMIF(Sales!$E$7:$E$1506,$E1365,Sales!$T$7:$T$1506)))</f>
        <v/>
      </c>
      <c r="V1365" s="49" t="str">
        <f t="shared" si="15"/>
        <v/>
      </c>
      <c r="W1365" s="49" t="str">
        <f t="array" ref="W1365">IF($V1365="","",SUMPRODUCT((Sales!$V$7:$V$1506&lt;&gt;"")*(Sales!$E$7:$E$1506&lt;$E1365))+1)</f>
        <v/>
      </c>
      <c r="X1365" s="49" t="str">
        <f t="shared" si="16"/>
        <v/>
      </c>
      <c r="Y1365" s="49" t="str">
        <f t="shared" si="17"/>
        <v/>
      </c>
    </row>
    <row r="1366" ht="15.0" customHeight="1">
      <c r="A1366" s="82"/>
      <c r="B1366" s="83"/>
      <c r="C1366" s="83"/>
      <c r="D1366" s="83"/>
      <c r="E1366" s="83"/>
      <c r="F1366" s="83"/>
      <c r="G1366" s="83" t="str">
        <f>IF($F1366="","",IFERROR(VLOOKUP($F1366,Inventory!$A:$B,2,FALSE),""))</f>
        <v/>
      </c>
      <c r="H1366" s="83"/>
      <c r="I1366" s="84" t="str">
        <f t="shared" si="2"/>
        <v/>
      </c>
      <c r="J1366" s="85" t="str">
        <f>IF($F1366="","",IFERROR(VLOOKUP($F1366,Inventory!$A:$K,11,FALSE),0))</f>
        <v/>
      </c>
      <c r="K1366" s="85"/>
      <c r="L1366" s="85" t="str">
        <f t="shared" si="12"/>
        <v/>
      </c>
      <c r="M1366" s="83"/>
      <c r="N1366" s="85" t="str">
        <f>IF($F1366="","",IFERROR(VLOOKUP($F1366,Inventory!$A:$I,9,FALSE),0))</f>
        <v/>
      </c>
      <c r="O1366" s="85" t="str">
        <f t="shared" si="13"/>
        <v/>
      </c>
      <c r="P1366" s="85" t="str">
        <f t="shared" si="5"/>
        <v/>
      </c>
      <c r="Q1366" s="83"/>
      <c r="R1366" s="118" t="str">
        <f>IF($E1366="","",IF(COUNTIF($E$7:$E2563,$E1366)&gt;1,"",IFERROR(VLOOKUP($E1366,Orders!$A:$I,8,FALSE),"")))</f>
        <v/>
      </c>
      <c r="S1366" s="118" t="str">
        <f>IF($E1366="","",IF(COUNTIF($E$7:$E2563,$E1366)&gt;1,"",IFERROR(VLOOKUP($E1366,Orders!$A:$I,9,FALSE),"")))</f>
        <v/>
      </c>
      <c r="T1366" s="88" t="str">
        <f t="shared" si="14"/>
        <v/>
      </c>
      <c r="U1366" s="88" t="str">
        <f>IF($F1366="","",IF($E1366="",T1366,SUMIF(Sales!$E$7:$E$1506,$E1366,Sales!$T$7:$T$1506)))</f>
        <v/>
      </c>
      <c r="V1366" s="49" t="str">
        <f t="shared" si="15"/>
        <v/>
      </c>
      <c r="W1366" s="49" t="str">
        <f t="array" ref="W1366">IF($V1366="","",SUMPRODUCT((Sales!$V$7:$V$1506&lt;&gt;"")*(Sales!$E$7:$E$1506&lt;$E1366))+1)</f>
        <v/>
      </c>
      <c r="X1366" s="49" t="str">
        <f t="shared" si="16"/>
        <v/>
      </c>
      <c r="Y1366" s="49" t="str">
        <f t="shared" si="17"/>
        <v/>
      </c>
    </row>
    <row r="1367" ht="15.0" customHeight="1">
      <c r="A1367" s="82"/>
      <c r="B1367" s="83"/>
      <c r="C1367" s="83"/>
      <c r="D1367" s="83"/>
      <c r="E1367" s="83"/>
      <c r="F1367" s="83"/>
      <c r="G1367" s="83" t="str">
        <f>IF($F1367="","",IFERROR(VLOOKUP($F1367,Inventory!$A:$B,2,FALSE),""))</f>
        <v/>
      </c>
      <c r="H1367" s="83"/>
      <c r="I1367" s="84" t="str">
        <f t="shared" si="2"/>
        <v/>
      </c>
      <c r="J1367" s="85" t="str">
        <f>IF($F1367="","",IFERROR(VLOOKUP($F1367,Inventory!$A:$K,11,FALSE),0))</f>
        <v/>
      </c>
      <c r="K1367" s="85"/>
      <c r="L1367" s="85" t="str">
        <f t="shared" si="12"/>
        <v/>
      </c>
      <c r="M1367" s="83"/>
      <c r="N1367" s="85" t="str">
        <f>IF($F1367="","",IFERROR(VLOOKUP($F1367,Inventory!$A:$I,9,FALSE),0))</f>
        <v/>
      </c>
      <c r="O1367" s="85" t="str">
        <f t="shared" si="13"/>
        <v/>
      </c>
      <c r="P1367" s="85" t="str">
        <f t="shared" si="5"/>
        <v/>
      </c>
      <c r="Q1367" s="83"/>
      <c r="R1367" s="118" t="str">
        <f>IF($E1367="","",IF(COUNTIF($E$7:$E2564,$E1367)&gt;1,"",IFERROR(VLOOKUP($E1367,Orders!$A:$I,8,FALSE),"")))</f>
        <v/>
      </c>
      <c r="S1367" s="118" t="str">
        <f>IF($E1367="","",IF(COUNTIF($E$7:$E2564,$E1367)&gt;1,"",IFERROR(VLOOKUP($E1367,Orders!$A:$I,9,FALSE),"")))</f>
        <v/>
      </c>
      <c r="T1367" s="88" t="str">
        <f t="shared" si="14"/>
        <v/>
      </c>
      <c r="U1367" s="88" t="str">
        <f>IF($F1367="","",IF($E1367="",T1367,SUMIF(Sales!$E$7:$E$1506,$E1367,Sales!$T$7:$T$1506)))</f>
        <v/>
      </c>
      <c r="V1367" s="49" t="str">
        <f t="shared" si="15"/>
        <v/>
      </c>
      <c r="W1367" s="49" t="str">
        <f t="array" ref="W1367">IF($V1367="","",SUMPRODUCT((Sales!$V$7:$V$1506&lt;&gt;"")*(Sales!$E$7:$E$1506&lt;$E1367))+1)</f>
        <v/>
      </c>
      <c r="X1367" s="49" t="str">
        <f t="shared" si="16"/>
        <v/>
      </c>
      <c r="Y1367" s="49" t="str">
        <f t="shared" si="17"/>
        <v/>
      </c>
    </row>
    <row r="1368" ht="15.0" customHeight="1">
      <c r="A1368" s="82"/>
      <c r="B1368" s="83"/>
      <c r="C1368" s="83"/>
      <c r="D1368" s="83"/>
      <c r="E1368" s="83"/>
      <c r="F1368" s="83"/>
      <c r="G1368" s="83" t="str">
        <f>IF($F1368="","",IFERROR(VLOOKUP($F1368,Inventory!$A:$B,2,FALSE),""))</f>
        <v/>
      </c>
      <c r="H1368" s="83"/>
      <c r="I1368" s="84" t="str">
        <f t="shared" si="2"/>
        <v/>
      </c>
      <c r="J1368" s="85" t="str">
        <f>IF($F1368="","",IFERROR(VLOOKUP($F1368,Inventory!$A:$K,11,FALSE),0))</f>
        <v/>
      </c>
      <c r="K1368" s="85"/>
      <c r="L1368" s="85" t="str">
        <f t="shared" si="12"/>
        <v/>
      </c>
      <c r="M1368" s="83"/>
      <c r="N1368" s="85" t="str">
        <f>IF($F1368="","",IFERROR(VLOOKUP($F1368,Inventory!$A:$I,9,FALSE),0))</f>
        <v/>
      </c>
      <c r="O1368" s="85" t="str">
        <f t="shared" si="13"/>
        <v/>
      </c>
      <c r="P1368" s="85" t="str">
        <f t="shared" si="5"/>
        <v/>
      </c>
      <c r="Q1368" s="83"/>
      <c r="R1368" s="118" t="str">
        <f>IF($E1368="","",IF(COUNTIF($E$7:$E2565,$E1368)&gt;1,"",IFERROR(VLOOKUP($E1368,Orders!$A:$I,8,FALSE),"")))</f>
        <v/>
      </c>
      <c r="S1368" s="118" t="str">
        <f>IF($E1368="","",IF(COUNTIF($E$7:$E2565,$E1368)&gt;1,"",IFERROR(VLOOKUP($E1368,Orders!$A:$I,9,FALSE),"")))</f>
        <v/>
      </c>
      <c r="T1368" s="88" t="str">
        <f t="shared" si="14"/>
        <v/>
      </c>
      <c r="U1368" s="88" t="str">
        <f>IF($F1368="","",IF($E1368="",T1368,SUMIF(Sales!$E$7:$E$1506,$E1368,Sales!$T$7:$T$1506)))</f>
        <v/>
      </c>
      <c r="V1368" s="49" t="str">
        <f t="shared" si="15"/>
        <v/>
      </c>
      <c r="W1368" s="49" t="str">
        <f t="array" ref="W1368">IF($V1368="","",SUMPRODUCT((Sales!$V$7:$V$1506&lt;&gt;"")*(Sales!$E$7:$E$1506&lt;$E1368))+1)</f>
        <v/>
      </c>
      <c r="X1368" s="49" t="str">
        <f t="shared" si="16"/>
        <v/>
      </c>
      <c r="Y1368" s="49" t="str">
        <f t="shared" si="17"/>
        <v/>
      </c>
    </row>
    <row r="1369" ht="15.0" customHeight="1">
      <c r="A1369" s="82"/>
      <c r="B1369" s="83"/>
      <c r="C1369" s="83"/>
      <c r="D1369" s="83"/>
      <c r="E1369" s="83"/>
      <c r="F1369" s="83"/>
      <c r="G1369" s="83" t="str">
        <f>IF($F1369="","",IFERROR(VLOOKUP($F1369,Inventory!$A:$B,2,FALSE),""))</f>
        <v/>
      </c>
      <c r="H1369" s="83"/>
      <c r="I1369" s="84" t="str">
        <f t="shared" si="2"/>
        <v/>
      </c>
      <c r="J1369" s="85" t="str">
        <f>IF($F1369="","",IFERROR(VLOOKUP($F1369,Inventory!$A:$K,11,FALSE),0))</f>
        <v/>
      </c>
      <c r="K1369" s="85"/>
      <c r="L1369" s="85" t="str">
        <f t="shared" si="12"/>
        <v/>
      </c>
      <c r="M1369" s="83"/>
      <c r="N1369" s="85" t="str">
        <f>IF($F1369="","",IFERROR(VLOOKUP($F1369,Inventory!$A:$I,9,FALSE),0))</f>
        <v/>
      </c>
      <c r="O1369" s="85" t="str">
        <f t="shared" si="13"/>
        <v/>
      </c>
      <c r="P1369" s="85" t="str">
        <f t="shared" si="5"/>
        <v/>
      </c>
      <c r="Q1369" s="83"/>
      <c r="R1369" s="118" t="str">
        <f>IF($E1369="","",IF(COUNTIF($E$7:$E2566,$E1369)&gt;1,"",IFERROR(VLOOKUP($E1369,Orders!$A:$I,8,FALSE),"")))</f>
        <v/>
      </c>
      <c r="S1369" s="118" t="str">
        <f>IF($E1369="","",IF(COUNTIF($E$7:$E2566,$E1369)&gt;1,"",IFERROR(VLOOKUP($E1369,Orders!$A:$I,9,FALSE),"")))</f>
        <v/>
      </c>
      <c r="T1369" s="88" t="str">
        <f t="shared" si="14"/>
        <v/>
      </c>
      <c r="U1369" s="88" t="str">
        <f>IF($F1369="","",IF($E1369="",T1369,SUMIF(Sales!$E$7:$E$1506,$E1369,Sales!$T$7:$T$1506)))</f>
        <v/>
      </c>
      <c r="V1369" s="49" t="str">
        <f t="shared" si="15"/>
        <v/>
      </c>
      <c r="W1369" s="49" t="str">
        <f t="array" ref="W1369">IF($V1369="","",SUMPRODUCT((Sales!$V$7:$V$1506&lt;&gt;"")*(Sales!$E$7:$E$1506&lt;$E1369))+1)</f>
        <v/>
      </c>
      <c r="X1369" s="49" t="str">
        <f t="shared" si="16"/>
        <v/>
      </c>
      <c r="Y1369" s="49" t="str">
        <f t="shared" si="17"/>
        <v/>
      </c>
    </row>
    <row r="1370" ht="15.0" customHeight="1">
      <c r="A1370" s="82"/>
      <c r="B1370" s="83"/>
      <c r="C1370" s="83"/>
      <c r="D1370" s="83"/>
      <c r="E1370" s="83"/>
      <c r="F1370" s="83"/>
      <c r="G1370" s="83" t="str">
        <f>IF($F1370="","",IFERROR(VLOOKUP($F1370,Inventory!$A:$B,2,FALSE),""))</f>
        <v/>
      </c>
      <c r="H1370" s="83"/>
      <c r="I1370" s="84" t="str">
        <f t="shared" si="2"/>
        <v/>
      </c>
      <c r="J1370" s="85" t="str">
        <f>IF($F1370="","",IFERROR(VLOOKUP($F1370,Inventory!$A:$K,11,FALSE),0))</f>
        <v/>
      </c>
      <c r="K1370" s="85"/>
      <c r="L1370" s="85" t="str">
        <f t="shared" si="12"/>
        <v/>
      </c>
      <c r="M1370" s="83"/>
      <c r="N1370" s="85" t="str">
        <f>IF($F1370="","",IFERROR(VLOOKUP($F1370,Inventory!$A:$I,9,FALSE),0))</f>
        <v/>
      </c>
      <c r="O1370" s="85" t="str">
        <f t="shared" si="13"/>
        <v/>
      </c>
      <c r="P1370" s="85" t="str">
        <f t="shared" si="5"/>
        <v/>
      </c>
      <c r="Q1370" s="83"/>
      <c r="R1370" s="118" t="str">
        <f>IF($E1370="","",IF(COUNTIF($E$7:$E2567,$E1370)&gt;1,"",IFERROR(VLOOKUP($E1370,Orders!$A:$I,8,FALSE),"")))</f>
        <v/>
      </c>
      <c r="S1370" s="118" t="str">
        <f>IF($E1370="","",IF(COUNTIF($E$7:$E2567,$E1370)&gt;1,"",IFERROR(VLOOKUP($E1370,Orders!$A:$I,9,FALSE),"")))</f>
        <v/>
      </c>
      <c r="T1370" s="88" t="str">
        <f t="shared" si="14"/>
        <v/>
      </c>
      <c r="U1370" s="88" t="str">
        <f>IF($F1370="","",IF($E1370="",T1370,SUMIF(Sales!$E$7:$E$1506,$E1370,Sales!$T$7:$T$1506)))</f>
        <v/>
      </c>
      <c r="V1370" s="49" t="str">
        <f t="shared" si="15"/>
        <v/>
      </c>
      <c r="W1370" s="49" t="str">
        <f t="array" ref="W1370">IF($V1370="","",SUMPRODUCT((Sales!$V$7:$V$1506&lt;&gt;"")*(Sales!$E$7:$E$1506&lt;$E1370))+1)</f>
        <v/>
      </c>
      <c r="X1370" s="49" t="str">
        <f t="shared" si="16"/>
        <v/>
      </c>
      <c r="Y1370" s="49" t="str">
        <f t="shared" si="17"/>
        <v/>
      </c>
    </row>
    <row r="1371" ht="15.0" customHeight="1">
      <c r="A1371" s="82"/>
      <c r="B1371" s="83"/>
      <c r="C1371" s="83"/>
      <c r="D1371" s="83"/>
      <c r="E1371" s="83"/>
      <c r="F1371" s="83"/>
      <c r="G1371" s="83" t="str">
        <f>IF($F1371="","",IFERROR(VLOOKUP($F1371,Inventory!$A:$B,2,FALSE),""))</f>
        <v/>
      </c>
      <c r="H1371" s="83"/>
      <c r="I1371" s="84" t="str">
        <f t="shared" si="2"/>
        <v/>
      </c>
      <c r="J1371" s="85" t="str">
        <f>IF($F1371="","",IFERROR(VLOOKUP($F1371,Inventory!$A:$K,11,FALSE),0))</f>
        <v/>
      </c>
      <c r="K1371" s="85"/>
      <c r="L1371" s="85" t="str">
        <f t="shared" si="12"/>
        <v/>
      </c>
      <c r="M1371" s="83"/>
      <c r="N1371" s="85" t="str">
        <f>IF($F1371="","",IFERROR(VLOOKUP($F1371,Inventory!$A:$I,9,FALSE),0))</f>
        <v/>
      </c>
      <c r="O1371" s="85" t="str">
        <f t="shared" si="13"/>
        <v/>
      </c>
      <c r="P1371" s="85" t="str">
        <f t="shared" si="5"/>
        <v/>
      </c>
      <c r="Q1371" s="83"/>
      <c r="R1371" s="118" t="str">
        <f>IF($E1371="","",IF(COUNTIF($E$7:$E2568,$E1371)&gt;1,"",IFERROR(VLOOKUP($E1371,Orders!$A:$I,8,FALSE),"")))</f>
        <v/>
      </c>
      <c r="S1371" s="118" t="str">
        <f>IF($E1371="","",IF(COUNTIF($E$7:$E2568,$E1371)&gt;1,"",IFERROR(VLOOKUP($E1371,Orders!$A:$I,9,FALSE),"")))</f>
        <v/>
      </c>
      <c r="T1371" s="88" t="str">
        <f t="shared" si="14"/>
        <v/>
      </c>
      <c r="U1371" s="88" t="str">
        <f>IF($F1371="","",IF($E1371="",T1371,SUMIF(Sales!$E$7:$E$1506,$E1371,Sales!$T$7:$T$1506)))</f>
        <v/>
      </c>
      <c r="V1371" s="49" t="str">
        <f t="shared" si="15"/>
        <v/>
      </c>
      <c r="W1371" s="49" t="str">
        <f t="array" ref="W1371">IF($V1371="","",SUMPRODUCT((Sales!$V$7:$V$1506&lt;&gt;"")*(Sales!$E$7:$E$1506&lt;$E1371))+1)</f>
        <v/>
      </c>
      <c r="X1371" s="49" t="str">
        <f t="shared" si="16"/>
        <v/>
      </c>
      <c r="Y1371" s="49" t="str">
        <f t="shared" si="17"/>
        <v/>
      </c>
    </row>
    <row r="1372" ht="15.0" customHeight="1">
      <c r="A1372" s="82"/>
      <c r="B1372" s="83"/>
      <c r="C1372" s="83"/>
      <c r="D1372" s="83"/>
      <c r="E1372" s="83"/>
      <c r="F1372" s="83"/>
      <c r="G1372" s="83" t="str">
        <f>IF($F1372="","",IFERROR(VLOOKUP($F1372,Inventory!$A:$B,2,FALSE),""))</f>
        <v/>
      </c>
      <c r="H1372" s="83"/>
      <c r="I1372" s="84" t="str">
        <f t="shared" si="2"/>
        <v/>
      </c>
      <c r="J1372" s="85" t="str">
        <f>IF($F1372="","",IFERROR(VLOOKUP($F1372,Inventory!$A:$K,11,FALSE),0))</f>
        <v/>
      </c>
      <c r="K1372" s="85"/>
      <c r="L1372" s="85" t="str">
        <f t="shared" si="12"/>
        <v/>
      </c>
      <c r="M1372" s="83"/>
      <c r="N1372" s="85" t="str">
        <f>IF($F1372="","",IFERROR(VLOOKUP($F1372,Inventory!$A:$I,9,FALSE),0))</f>
        <v/>
      </c>
      <c r="O1372" s="85" t="str">
        <f t="shared" si="13"/>
        <v/>
      </c>
      <c r="P1372" s="85" t="str">
        <f t="shared" si="5"/>
        <v/>
      </c>
      <c r="Q1372" s="83"/>
      <c r="R1372" s="118" t="str">
        <f>IF($E1372="","",IF(COUNTIF($E$7:$E2569,$E1372)&gt;1,"",IFERROR(VLOOKUP($E1372,Orders!$A:$I,8,FALSE),"")))</f>
        <v/>
      </c>
      <c r="S1372" s="118" t="str">
        <f>IF($E1372="","",IF(COUNTIF($E$7:$E2569,$E1372)&gt;1,"",IFERROR(VLOOKUP($E1372,Orders!$A:$I,9,FALSE),"")))</f>
        <v/>
      </c>
      <c r="T1372" s="88" t="str">
        <f t="shared" si="14"/>
        <v/>
      </c>
      <c r="U1372" s="88" t="str">
        <f>IF($F1372="","",IF($E1372="",T1372,SUMIF(Sales!$E$7:$E$1506,$E1372,Sales!$T$7:$T$1506)))</f>
        <v/>
      </c>
      <c r="V1372" s="49" t="str">
        <f t="shared" si="15"/>
        <v/>
      </c>
      <c r="W1372" s="49" t="str">
        <f t="array" ref="W1372">IF($V1372="","",SUMPRODUCT((Sales!$V$7:$V$1506&lt;&gt;"")*(Sales!$E$7:$E$1506&lt;$E1372))+1)</f>
        <v/>
      </c>
      <c r="X1372" s="49" t="str">
        <f t="shared" si="16"/>
        <v/>
      </c>
      <c r="Y1372" s="49" t="str">
        <f t="shared" si="17"/>
        <v/>
      </c>
    </row>
    <row r="1373" ht="15.0" customHeight="1">
      <c r="A1373" s="82"/>
      <c r="B1373" s="83"/>
      <c r="C1373" s="83"/>
      <c r="D1373" s="83"/>
      <c r="E1373" s="83"/>
      <c r="F1373" s="83"/>
      <c r="G1373" s="83" t="str">
        <f>IF($F1373="","",IFERROR(VLOOKUP($F1373,Inventory!$A:$B,2,FALSE),""))</f>
        <v/>
      </c>
      <c r="H1373" s="83"/>
      <c r="I1373" s="84" t="str">
        <f t="shared" si="2"/>
        <v/>
      </c>
      <c r="J1373" s="85" t="str">
        <f>IF($F1373="","",IFERROR(VLOOKUP($F1373,Inventory!$A:$K,11,FALSE),0))</f>
        <v/>
      </c>
      <c r="K1373" s="85"/>
      <c r="L1373" s="85" t="str">
        <f t="shared" si="12"/>
        <v/>
      </c>
      <c r="M1373" s="83"/>
      <c r="N1373" s="85" t="str">
        <f>IF($F1373="","",IFERROR(VLOOKUP($F1373,Inventory!$A:$I,9,FALSE),0))</f>
        <v/>
      </c>
      <c r="O1373" s="85" t="str">
        <f t="shared" si="13"/>
        <v/>
      </c>
      <c r="P1373" s="85" t="str">
        <f t="shared" si="5"/>
        <v/>
      </c>
      <c r="Q1373" s="83"/>
      <c r="R1373" s="118" t="str">
        <f>IF($E1373="","",IF(COUNTIF($E$7:$E2570,$E1373)&gt;1,"",IFERROR(VLOOKUP($E1373,Orders!$A:$I,8,FALSE),"")))</f>
        <v/>
      </c>
      <c r="S1373" s="118" t="str">
        <f>IF($E1373="","",IF(COUNTIF($E$7:$E2570,$E1373)&gt;1,"",IFERROR(VLOOKUP($E1373,Orders!$A:$I,9,FALSE),"")))</f>
        <v/>
      </c>
      <c r="T1373" s="88" t="str">
        <f t="shared" si="14"/>
        <v/>
      </c>
      <c r="U1373" s="88" t="str">
        <f>IF($F1373="","",IF($E1373="",T1373,SUMIF(Sales!$E$7:$E$1506,$E1373,Sales!$T$7:$T$1506)))</f>
        <v/>
      </c>
      <c r="V1373" s="49" t="str">
        <f t="shared" si="15"/>
        <v/>
      </c>
      <c r="W1373" s="49" t="str">
        <f t="array" ref="W1373">IF($V1373="","",SUMPRODUCT((Sales!$V$7:$V$1506&lt;&gt;"")*(Sales!$E$7:$E$1506&lt;$E1373))+1)</f>
        <v/>
      </c>
      <c r="X1373" s="49" t="str">
        <f t="shared" si="16"/>
        <v/>
      </c>
      <c r="Y1373" s="49" t="str">
        <f t="shared" si="17"/>
        <v/>
      </c>
    </row>
    <row r="1374" ht="15.0" customHeight="1">
      <c r="A1374" s="82"/>
      <c r="B1374" s="83"/>
      <c r="C1374" s="83"/>
      <c r="D1374" s="83"/>
      <c r="E1374" s="83"/>
      <c r="F1374" s="83"/>
      <c r="G1374" s="83" t="str">
        <f>IF($F1374="","",IFERROR(VLOOKUP($F1374,Inventory!$A:$B,2,FALSE),""))</f>
        <v/>
      </c>
      <c r="H1374" s="83"/>
      <c r="I1374" s="84" t="str">
        <f t="shared" si="2"/>
        <v/>
      </c>
      <c r="J1374" s="85" t="str">
        <f>IF($F1374="","",IFERROR(VLOOKUP($F1374,Inventory!$A:$K,11,FALSE),0))</f>
        <v/>
      </c>
      <c r="K1374" s="85"/>
      <c r="L1374" s="85" t="str">
        <f t="shared" si="12"/>
        <v/>
      </c>
      <c r="M1374" s="83"/>
      <c r="N1374" s="85" t="str">
        <f>IF($F1374="","",IFERROR(VLOOKUP($F1374,Inventory!$A:$I,9,FALSE),0))</f>
        <v/>
      </c>
      <c r="O1374" s="85" t="str">
        <f t="shared" si="13"/>
        <v/>
      </c>
      <c r="P1374" s="85" t="str">
        <f t="shared" si="5"/>
        <v/>
      </c>
      <c r="Q1374" s="83"/>
      <c r="R1374" s="118" t="str">
        <f>IF($E1374="","",IF(COUNTIF($E$7:$E2571,$E1374)&gt;1,"",IFERROR(VLOOKUP($E1374,Orders!$A:$I,8,FALSE),"")))</f>
        <v/>
      </c>
      <c r="S1374" s="118" t="str">
        <f>IF($E1374="","",IF(COUNTIF($E$7:$E2571,$E1374)&gt;1,"",IFERROR(VLOOKUP($E1374,Orders!$A:$I,9,FALSE),"")))</f>
        <v/>
      </c>
      <c r="T1374" s="88" t="str">
        <f t="shared" si="14"/>
        <v/>
      </c>
      <c r="U1374" s="88" t="str">
        <f>IF($F1374="","",IF($E1374="",T1374,SUMIF(Sales!$E$7:$E$1506,$E1374,Sales!$T$7:$T$1506)))</f>
        <v/>
      </c>
      <c r="V1374" s="49" t="str">
        <f t="shared" si="15"/>
        <v/>
      </c>
      <c r="W1374" s="49" t="str">
        <f t="array" ref="W1374">IF($V1374="","",SUMPRODUCT((Sales!$V$7:$V$1506&lt;&gt;"")*(Sales!$E$7:$E$1506&lt;$E1374))+1)</f>
        <v/>
      </c>
      <c r="X1374" s="49" t="str">
        <f t="shared" si="16"/>
        <v/>
      </c>
      <c r="Y1374" s="49" t="str">
        <f t="shared" si="17"/>
        <v/>
      </c>
    </row>
    <row r="1375" ht="15.0" customHeight="1">
      <c r="A1375" s="82"/>
      <c r="B1375" s="83"/>
      <c r="C1375" s="83"/>
      <c r="D1375" s="83"/>
      <c r="E1375" s="83"/>
      <c r="F1375" s="83"/>
      <c r="G1375" s="83" t="str">
        <f>IF($F1375="","",IFERROR(VLOOKUP($F1375,Inventory!$A:$B,2,FALSE),""))</f>
        <v/>
      </c>
      <c r="H1375" s="83"/>
      <c r="I1375" s="84" t="str">
        <f t="shared" si="2"/>
        <v/>
      </c>
      <c r="J1375" s="85" t="str">
        <f>IF($F1375="","",IFERROR(VLOOKUP($F1375,Inventory!$A:$K,11,FALSE),0))</f>
        <v/>
      </c>
      <c r="K1375" s="85"/>
      <c r="L1375" s="85" t="str">
        <f t="shared" si="12"/>
        <v/>
      </c>
      <c r="M1375" s="83"/>
      <c r="N1375" s="85" t="str">
        <f>IF($F1375="","",IFERROR(VLOOKUP($F1375,Inventory!$A:$I,9,FALSE),0))</f>
        <v/>
      </c>
      <c r="O1375" s="85" t="str">
        <f t="shared" si="13"/>
        <v/>
      </c>
      <c r="P1375" s="85" t="str">
        <f t="shared" si="5"/>
        <v/>
      </c>
      <c r="Q1375" s="83"/>
      <c r="R1375" s="118" t="str">
        <f>IF($E1375="","",IF(COUNTIF($E$7:$E2572,$E1375)&gt;1,"",IFERROR(VLOOKUP($E1375,Orders!$A:$I,8,FALSE),"")))</f>
        <v/>
      </c>
      <c r="S1375" s="118" t="str">
        <f>IF($E1375="","",IF(COUNTIF($E$7:$E2572,$E1375)&gt;1,"",IFERROR(VLOOKUP($E1375,Orders!$A:$I,9,FALSE),"")))</f>
        <v/>
      </c>
      <c r="T1375" s="88" t="str">
        <f t="shared" si="14"/>
        <v/>
      </c>
      <c r="U1375" s="88" t="str">
        <f>IF($F1375="","",IF($E1375="",T1375,SUMIF(Sales!$E$7:$E$1506,$E1375,Sales!$T$7:$T$1506)))</f>
        <v/>
      </c>
      <c r="V1375" s="49" t="str">
        <f t="shared" si="15"/>
        <v/>
      </c>
      <c r="W1375" s="49" t="str">
        <f t="array" ref="W1375">IF($V1375="","",SUMPRODUCT((Sales!$V$7:$V$1506&lt;&gt;"")*(Sales!$E$7:$E$1506&lt;$E1375))+1)</f>
        <v/>
      </c>
      <c r="X1375" s="49" t="str">
        <f t="shared" si="16"/>
        <v/>
      </c>
      <c r="Y1375" s="49" t="str">
        <f t="shared" si="17"/>
        <v/>
      </c>
    </row>
    <row r="1376" ht="15.0" customHeight="1">
      <c r="A1376" s="82"/>
      <c r="B1376" s="83"/>
      <c r="C1376" s="83"/>
      <c r="D1376" s="83"/>
      <c r="E1376" s="83"/>
      <c r="F1376" s="83"/>
      <c r="G1376" s="83" t="str">
        <f>IF($F1376="","",IFERROR(VLOOKUP($F1376,Inventory!$A:$B,2,FALSE),""))</f>
        <v/>
      </c>
      <c r="H1376" s="83"/>
      <c r="I1376" s="84" t="str">
        <f t="shared" si="2"/>
        <v/>
      </c>
      <c r="J1376" s="85" t="str">
        <f>IF($F1376="","",IFERROR(VLOOKUP($F1376,Inventory!$A:$K,11,FALSE),0))</f>
        <v/>
      </c>
      <c r="K1376" s="85"/>
      <c r="L1376" s="85" t="str">
        <f t="shared" si="12"/>
        <v/>
      </c>
      <c r="M1376" s="83"/>
      <c r="N1376" s="85" t="str">
        <f>IF($F1376="","",IFERROR(VLOOKUP($F1376,Inventory!$A:$I,9,FALSE),0))</f>
        <v/>
      </c>
      <c r="O1376" s="85" t="str">
        <f t="shared" si="13"/>
        <v/>
      </c>
      <c r="P1376" s="85" t="str">
        <f t="shared" si="5"/>
        <v/>
      </c>
      <c r="Q1376" s="83"/>
      <c r="R1376" s="118" t="str">
        <f>IF($E1376="","",IF(COUNTIF($E$7:$E2573,$E1376)&gt;1,"",IFERROR(VLOOKUP($E1376,Orders!$A:$I,8,FALSE),"")))</f>
        <v/>
      </c>
      <c r="S1376" s="118" t="str">
        <f>IF($E1376="","",IF(COUNTIF($E$7:$E2573,$E1376)&gt;1,"",IFERROR(VLOOKUP($E1376,Orders!$A:$I,9,FALSE),"")))</f>
        <v/>
      </c>
      <c r="T1376" s="88" t="str">
        <f t="shared" si="14"/>
        <v/>
      </c>
      <c r="U1376" s="88" t="str">
        <f>IF($F1376="","",IF($E1376="",T1376,SUMIF(Sales!$E$7:$E$1506,$E1376,Sales!$T$7:$T$1506)))</f>
        <v/>
      </c>
      <c r="V1376" s="49" t="str">
        <f t="shared" si="15"/>
        <v/>
      </c>
      <c r="W1376" s="49" t="str">
        <f t="array" ref="W1376">IF($V1376="","",SUMPRODUCT((Sales!$V$7:$V$1506&lt;&gt;"")*(Sales!$E$7:$E$1506&lt;$E1376))+1)</f>
        <v/>
      </c>
      <c r="X1376" s="49" t="str">
        <f t="shared" si="16"/>
        <v/>
      </c>
      <c r="Y1376" s="49" t="str">
        <f t="shared" si="17"/>
        <v/>
      </c>
    </row>
    <row r="1377" ht="15.0" customHeight="1">
      <c r="A1377" s="82"/>
      <c r="B1377" s="83"/>
      <c r="C1377" s="83"/>
      <c r="D1377" s="83"/>
      <c r="E1377" s="83"/>
      <c r="F1377" s="83"/>
      <c r="G1377" s="83" t="str">
        <f>IF($F1377="","",IFERROR(VLOOKUP($F1377,Inventory!$A:$B,2,FALSE),""))</f>
        <v/>
      </c>
      <c r="H1377" s="83"/>
      <c r="I1377" s="84" t="str">
        <f t="shared" si="2"/>
        <v/>
      </c>
      <c r="J1377" s="85" t="str">
        <f>IF($F1377="","",IFERROR(VLOOKUP($F1377,Inventory!$A:$K,11,FALSE),0))</f>
        <v/>
      </c>
      <c r="K1377" s="85"/>
      <c r="L1377" s="85" t="str">
        <f t="shared" si="12"/>
        <v/>
      </c>
      <c r="M1377" s="83"/>
      <c r="N1377" s="85" t="str">
        <f>IF($F1377="","",IFERROR(VLOOKUP($F1377,Inventory!$A:$I,9,FALSE),0))</f>
        <v/>
      </c>
      <c r="O1377" s="85" t="str">
        <f t="shared" si="13"/>
        <v/>
      </c>
      <c r="P1377" s="85" t="str">
        <f t="shared" si="5"/>
        <v/>
      </c>
      <c r="Q1377" s="83"/>
      <c r="R1377" s="118" t="str">
        <f>IF($E1377="","",IF(COUNTIF($E$7:$E2574,$E1377)&gt;1,"",IFERROR(VLOOKUP($E1377,Orders!$A:$I,8,FALSE),"")))</f>
        <v/>
      </c>
      <c r="S1377" s="118" t="str">
        <f>IF($E1377="","",IF(COUNTIF($E$7:$E2574,$E1377)&gt;1,"",IFERROR(VLOOKUP($E1377,Orders!$A:$I,9,FALSE),"")))</f>
        <v/>
      </c>
      <c r="T1377" s="88" t="str">
        <f t="shared" si="14"/>
        <v/>
      </c>
      <c r="U1377" s="88" t="str">
        <f>IF($F1377="","",IF($E1377="",T1377,SUMIF(Sales!$E$7:$E$1506,$E1377,Sales!$T$7:$T$1506)))</f>
        <v/>
      </c>
      <c r="V1377" s="49" t="str">
        <f t="shared" si="15"/>
        <v/>
      </c>
      <c r="W1377" s="49" t="str">
        <f t="array" ref="W1377">IF($V1377="","",SUMPRODUCT((Sales!$V$7:$V$1506&lt;&gt;"")*(Sales!$E$7:$E$1506&lt;$E1377))+1)</f>
        <v/>
      </c>
      <c r="X1377" s="49" t="str">
        <f t="shared" si="16"/>
        <v/>
      </c>
      <c r="Y1377" s="49" t="str">
        <f t="shared" si="17"/>
        <v/>
      </c>
    </row>
    <row r="1378" ht="15.0" customHeight="1">
      <c r="A1378" s="82"/>
      <c r="B1378" s="83"/>
      <c r="C1378" s="83"/>
      <c r="D1378" s="83"/>
      <c r="E1378" s="83"/>
      <c r="F1378" s="83"/>
      <c r="G1378" s="83" t="str">
        <f>IF($F1378="","",IFERROR(VLOOKUP($F1378,Inventory!$A:$B,2,FALSE),""))</f>
        <v/>
      </c>
      <c r="H1378" s="83"/>
      <c r="I1378" s="84" t="str">
        <f t="shared" si="2"/>
        <v/>
      </c>
      <c r="J1378" s="85" t="str">
        <f>IF($F1378="","",IFERROR(VLOOKUP($F1378,Inventory!$A:$K,11,FALSE),0))</f>
        <v/>
      </c>
      <c r="K1378" s="85"/>
      <c r="L1378" s="85" t="str">
        <f t="shared" si="12"/>
        <v/>
      </c>
      <c r="M1378" s="83"/>
      <c r="N1378" s="85" t="str">
        <f>IF($F1378="","",IFERROR(VLOOKUP($F1378,Inventory!$A:$I,9,FALSE),0))</f>
        <v/>
      </c>
      <c r="O1378" s="85" t="str">
        <f t="shared" si="13"/>
        <v/>
      </c>
      <c r="P1378" s="85" t="str">
        <f t="shared" si="5"/>
        <v/>
      </c>
      <c r="Q1378" s="83"/>
      <c r="R1378" s="118" t="str">
        <f>IF($E1378="","",IF(COUNTIF($E$7:$E2575,$E1378)&gt;1,"",IFERROR(VLOOKUP($E1378,Orders!$A:$I,8,FALSE),"")))</f>
        <v/>
      </c>
      <c r="S1378" s="118" t="str">
        <f>IF($E1378="","",IF(COUNTIF($E$7:$E2575,$E1378)&gt;1,"",IFERROR(VLOOKUP($E1378,Orders!$A:$I,9,FALSE),"")))</f>
        <v/>
      </c>
      <c r="T1378" s="88" t="str">
        <f t="shared" si="14"/>
        <v/>
      </c>
      <c r="U1378" s="88" t="str">
        <f>IF($F1378="","",IF($E1378="",T1378,SUMIF(Sales!$E$7:$E$1506,$E1378,Sales!$T$7:$T$1506)))</f>
        <v/>
      </c>
      <c r="V1378" s="49" t="str">
        <f t="shared" si="15"/>
        <v/>
      </c>
      <c r="W1378" s="49" t="str">
        <f t="array" ref="W1378">IF($V1378="","",SUMPRODUCT((Sales!$V$7:$V$1506&lt;&gt;"")*(Sales!$E$7:$E$1506&lt;$E1378))+1)</f>
        <v/>
      </c>
      <c r="X1378" s="49" t="str">
        <f t="shared" si="16"/>
        <v/>
      </c>
      <c r="Y1378" s="49" t="str">
        <f t="shared" si="17"/>
        <v/>
      </c>
    </row>
    <row r="1379" ht="15.0" customHeight="1">
      <c r="A1379" s="82"/>
      <c r="B1379" s="83"/>
      <c r="C1379" s="83"/>
      <c r="D1379" s="83"/>
      <c r="E1379" s="83"/>
      <c r="F1379" s="83"/>
      <c r="G1379" s="83" t="str">
        <f>IF($F1379="","",IFERROR(VLOOKUP($F1379,Inventory!$A:$B,2,FALSE),""))</f>
        <v/>
      </c>
      <c r="H1379" s="83"/>
      <c r="I1379" s="84" t="str">
        <f t="shared" si="2"/>
        <v/>
      </c>
      <c r="J1379" s="85" t="str">
        <f>IF($F1379="","",IFERROR(VLOOKUP($F1379,Inventory!$A:$K,11,FALSE),0))</f>
        <v/>
      </c>
      <c r="K1379" s="85"/>
      <c r="L1379" s="85" t="str">
        <f t="shared" si="12"/>
        <v/>
      </c>
      <c r="M1379" s="83"/>
      <c r="N1379" s="85" t="str">
        <f>IF($F1379="","",IFERROR(VLOOKUP($F1379,Inventory!$A:$I,9,FALSE),0))</f>
        <v/>
      </c>
      <c r="O1379" s="85" t="str">
        <f t="shared" si="13"/>
        <v/>
      </c>
      <c r="P1379" s="85" t="str">
        <f t="shared" si="5"/>
        <v/>
      </c>
      <c r="Q1379" s="83"/>
      <c r="R1379" s="118" t="str">
        <f>IF($E1379="","",IF(COUNTIF($E$7:$E2576,$E1379)&gt;1,"",IFERROR(VLOOKUP($E1379,Orders!$A:$I,8,FALSE),"")))</f>
        <v/>
      </c>
      <c r="S1379" s="118" t="str">
        <f>IF($E1379="","",IF(COUNTIF($E$7:$E2576,$E1379)&gt;1,"",IFERROR(VLOOKUP($E1379,Orders!$A:$I,9,FALSE),"")))</f>
        <v/>
      </c>
      <c r="T1379" s="88" t="str">
        <f t="shared" si="14"/>
        <v/>
      </c>
      <c r="U1379" s="88" t="str">
        <f>IF($F1379="","",IF($E1379="",T1379,SUMIF(Sales!$E$7:$E$1506,$E1379,Sales!$T$7:$T$1506)))</f>
        <v/>
      </c>
      <c r="V1379" s="49" t="str">
        <f t="shared" si="15"/>
        <v/>
      </c>
      <c r="W1379" s="49" t="str">
        <f t="array" ref="W1379">IF($V1379="","",SUMPRODUCT((Sales!$V$7:$V$1506&lt;&gt;"")*(Sales!$E$7:$E$1506&lt;$E1379))+1)</f>
        <v/>
      </c>
      <c r="X1379" s="49" t="str">
        <f t="shared" si="16"/>
        <v/>
      </c>
      <c r="Y1379" s="49" t="str">
        <f t="shared" si="17"/>
        <v/>
      </c>
    </row>
    <row r="1380" ht="15.0" customHeight="1">
      <c r="A1380" s="82"/>
      <c r="B1380" s="83"/>
      <c r="C1380" s="83"/>
      <c r="D1380" s="83"/>
      <c r="E1380" s="83"/>
      <c r="F1380" s="83"/>
      <c r="G1380" s="83" t="str">
        <f>IF($F1380="","",IFERROR(VLOOKUP($F1380,Inventory!$A:$B,2,FALSE),""))</f>
        <v/>
      </c>
      <c r="H1380" s="83"/>
      <c r="I1380" s="84" t="str">
        <f t="shared" si="2"/>
        <v/>
      </c>
      <c r="J1380" s="85" t="str">
        <f>IF($F1380="","",IFERROR(VLOOKUP($F1380,Inventory!$A:$K,11,FALSE),0))</f>
        <v/>
      </c>
      <c r="K1380" s="85"/>
      <c r="L1380" s="85" t="str">
        <f t="shared" si="12"/>
        <v/>
      </c>
      <c r="M1380" s="83"/>
      <c r="N1380" s="85" t="str">
        <f>IF($F1380="","",IFERROR(VLOOKUP($F1380,Inventory!$A:$I,9,FALSE),0))</f>
        <v/>
      </c>
      <c r="O1380" s="85" t="str">
        <f t="shared" si="13"/>
        <v/>
      </c>
      <c r="P1380" s="85" t="str">
        <f t="shared" si="5"/>
        <v/>
      </c>
      <c r="Q1380" s="83"/>
      <c r="R1380" s="118" t="str">
        <f>IF($E1380="","",IF(COUNTIF($E$7:$E2577,$E1380)&gt;1,"",IFERROR(VLOOKUP($E1380,Orders!$A:$I,8,FALSE),"")))</f>
        <v/>
      </c>
      <c r="S1380" s="118" t="str">
        <f>IF($E1380="","",IF(COUNTIF($E$7:$E2577,$E1380)&gt;1,"",IFERROR(VLOOKUP($E1380,Orders!$A:$I,9,FALSE),"")))</f>
        <v/>
      </c>
      <c r="T1380" s="88" t="str">
        <f t="shared" si="14"/>
        <v/>
      </c>
      <c r="U1380" s="88" t="str">
        <f>IF($F1380="","",IF($E1380="",T1380,SUMIF(Sales!$E$7:$E$1506,$E1380,Sales!$T$7:$T$1506)))</f>
        <v/>
      </c>
      <c r="V1380" s="49" t="str">
        <f t="shared" si="15"/>
        <v/>
      </c>
      <c r="W1380" s="49" t="str">
        <f t="array" ref="W1380">IF($V1380="","",SUMPRODUCT((Sales!$V$7:$V$1506&lt;&gt;"")*(Sales!$E$7:$E$1506&lt;$E1380))+1)</f>
        <v/>
      </c>
      <c r="X1380" s="49" t="str">
        <f t="shared" si="16"/>
        <v/>
      </c>
      <c r="Y1380" s="49" t="str">
        <f t="shared" si="17"/>
        <v/>
      </c>
    </row>
    <row r="1381" ht="15.0" customHeight="1">
      <c r="A1381" s="82"/>
      <c r="B1381" s="83"/>
      <c r="C1381" s="83"/>
      <c r="D1381" s="83"/>
      <c r="E1381" s="83"/>
      <c r="F1381" s="83"/>
      <c r="G1381" s="83" t="str">
        <f>IF($F1381="","",IFERROR(VLOOKUP($F1381,Inventory!$A:$B,2,FALSE),""))</f>
        <v/>
      </c>
      <c r="H1381" s="83"/>
      <c r="I1381" s="84" t="str">
        <f t="shared" si="2"/>
        <v/>
      </c>
      <c r="J1381" s="85" t="str">
        <f>IF($F1381="","",IFERROR(VLOOKUP($F1381,Inventory!$A:$K,11,FALSE),0))</f>
        <v/>
      </c>
      <c r="K1381" s="85"/>
      <c r="L1381" s="85" t="str">
        <f t="shared" si="12"/>
        <v/>
      </c>
      <c r="M1381" s="83"/>
      <c r="N1381" s="85" t="str">
        <f>IF($F1381="","",IFERROR(VLOOKUP($F1381,Inventory!$A:$I,9,FALSE),0))</f>
        <v/>
      </c>
      <c r="O1381" s="85" t="str">
        <f t="shared" si="13"/>
        <v/>
      </c>
      <c r="P1381" s="85" t="str">
        <f t="shared" si="5"/>
        <v/>
      </c>
      <c r="Q1381" s="83"/>
      <c r="R1381" s="118" t="str">
        <f>IF($E1381="","",IF(COUNTIF($E$7:$E2578,$E1381)&gt;1,"",IFERROR(VLOOKUP($E1381,Orders!$A:$I,8,FALSE),"")))</f>
        <v/>
      </c>
      <c r="S1381" s="118" t="str">
        <f>IF($E1381="","",IF(COUNTIF($E$7:$E2578,$E1381)&gt;1,"",IFERROR(VLOOKUP($E1381,Orders!$A:$I,9,FALSE),"")))</f>
        <v/>
      </c>
      <c r="T1381" s="88" t="str">
        <f t="shared" si="14"/>
        <v/>
      </c>
      <c r="U1381" s="88" t="str">
        <f>IF($F1381="","",IF($E1381="",T1381,SUMIF(Sales!$E$7:$E$1506,$E1381,Sales!$T$7:$T$1506)))</f>
        <v/>
      </c>
      <c r="V1381" s="49" t="str">
        <f t="shared" si="15"/>
        <v/>
      </c>
      <c r="W1381" s="49" t="str">
        <f t="array" ref="W1381">IF($V1381="","",SUMPRODUCT((Sales!$V$7:$V$1506&lt;&gt;"")*(Sales!$E$7:$E$1506&lt;$E1381))+1)</f>
        <v/>
      </c>
      <c r="X1381" s="49" t="str">
        <f t="shared" si="16"/>
        <v/>
      </c>
      <c r="Y1381" s="49" t="str">
        <f t="shared" si="17"/>
        <v/>
      </c>
    </row>
    <row r="1382" ht="15.0" customHeight="1">
      <c r="A1382" s="82"/>
      <c r="B1382" s="83"/>
      <c r="C1382" s="83"/>
      <c r="D1382" s="83"/>
      <c r="E1382" s="83"/>
      <c r="F1382" s="83"/>
      <c r="G1382" s="83" t="str">
        <f>IF($F1382="","",IFERROR(VLOOKUP($F1382,Inventory!$A:$B,2,FALSE),""))</f>
        <v/>
      </c>
      <c r="H1382" s="83"/>
      <c r="I1382" s="84" t="str">
        <f t="shared" si="2"/>
        <v/>
      </c>
      <c r="J1382" s="85" t="str">
        <f>IF($F1382="","",IFERROR(VLOOKUP($F1382,Inventory!$A:$K,11,FALSE),0))</f>
        <v/>
      </c>
      <c r="K1382" s="85"/>
      <c r="L1382" s="85" t="str">
        <f t="shared" si="12"/>
        <v/>
      </c>
      <c r="M1382" s="83"/>
      <c r="N1382" s="85" t="str">
        <f>IF($F1382="","",IFERROR(VLOOKUP($F1382,Inventory!$A:$I,9,FALSE),0))</f>
        <v/>
      </c>
      <c r="O1382" s="85" t="str">
        <f t="shared" si="13"/>
        <v/>
      </c>
      <c r="P1382" s="85" t="str">
        <f t="shared" si="5"/>
        <v/>
      </c>
      <c r="Q1382" s="83"/>
      <c r="R1382" s="118" t="str">
        <f>IF($E1382="","",IF(COUNTIF($E$7:$E2579,$E1382)&gt;1,"",IFERROR(VLOOKUP($E1382,Orders!$A:$I,8,FALSE),"")))</f>
        <v/>
      </c>
      <c r="S1382" s="118" t="str">
        <f>IF($E1382="","",IF(COUNTIF($E$7:$E2579,$E1382)&gt;1,"",IFERROR(VLOOKUP($E1382,Orders!$A:$I,9,FALSE),"")))</f>
        <v/>
      </c>
      <c r="T1382" s="88" t="str">
        <f t="shared" si="14"/>
        <v/>
      </c>
      <c r="U1382" s="88" t="str">
        <f>IF($F1382="","",IF($E1382="",T1382,SUMIF(Sales!$E$7:$E$1506,$E1382,Sales!$T$7:$T$1506)))</f>
        <v/>
      </c>
      <c r="V1382" s="49" t="str">
        <f t="shared" si="15"/>
        <v/>
      </c>
      <c r="W1382" s="49" t="str">
        <f t="array" ref="W1382">IF($V1382="","",SUMPRODUCT((Sales!$V$7:$V$1506&lt;&gt;"")*(Sales!$E$7:$E$1506&lt;$E1382))+1)</f>
        <v/>
      </c>
      <c r="X1382" s="49" t="str">
        <f t="shared" si="16"/>
        <v/>
      </c>
      <c r="Y1382" s="49" t="str">
        <f t="shared" si="17"/>
        <v/>
      </c>
    </row>
    <row r="1383" ht="15.0" customHeight="1">
      <c r="A1383" s="82"/>
      <c r="B1383" s="83"/>
      <c r="C1383" s="83"/>
      <c r="D1383" s="83"/>
      <c r="E1383" s="83"/>
      <c r="F1383" s="83"/>
      <c r="G1383" s="83" t="str">
        <f>IF($F1383="","",IFERROR(VLOOKUP($F1383,Inventory!$A:$B,2,FALSE),""))</f>
        <v/>
      </c>
      <c r="H1383" s="83"/>
      <c r="I1383" s="84" t="str">
        <f t="shared" si="2"/>
        <v/>
      </c>
      <c r="J1383" s="85" t="str">
        <f>IF($F1383="","",IFERROR(VLOOKUP($F1383,Inventory!$A:$K,11,FALSE),0))</f>
        <v/>
      </c>
      <c r="K1383" s="85"/>
      <c r="L1383" s="85" t="str">
        <f t="shared" si="12"/>
        <v/>
      </c>
      <c r="M1383" s="83"/>
      <c r="N1383" s="85" t="str">
        <f>IF($F1383="","",IFERROR(VLOOKUP($F1383,Inventory!$A:$I,9,FALSE),0))</f>
        <v/>
      </c>
      <c r="O1383" s="85" t="str">
        <f t="shared" si="13"/>
        <v/>
      </c>
      <c r="P1383" s="85" t="str">
        <f t="shared" si="5"/>
        <v/>
      </c>
      <c r="Q1383" s="83"/>
      <c r="R1383" s="118" t="str">
        <f>IF($E1383="","",IF(COUNTIF($E$7:$E2580,$E1383)&gt;1,"",IFERROR(VLOOKUP($E1383,Orders!$A:$I,8,FALSE),"")))</f>
        <v/>
      </c>
      <c r="S1383" s="118" t="str">
        <f>IF($E1383="","",IF(COUNTIF($E$7:$E2580,$E1383)&gt;1,"",IFERROR(VLOOKUP($E1383,Orders!$A:$I,9,FALSE),"")))</f>
        <v/>
      </c>
      <c r="T1383" s="88" t="str">
        <f t="shared" si="14"/>
        <v/>
      </c>
      <c r="U1383" s="88" t="str">
        <f>IF($F1383="","",IF($E1383="",T1383,SUMIF(Sales!$E$7:$E$1506,$E1383,Sales!$T$7:$T$1506)))</f>
        <v/>
      </c>
      <c r="V1383" s="49" t="str">
        <f t="shared" si="15"/>
        <v/>
      </c>
      <c r="W1383" s="49" t="str">
        <f t="array" ref="W1383">IF($V1383="","",SUMPRODUCT((Sales!$V$7:$V$1506&lt;&gt;"")*(Sales!$E$7:$E$1506&lt;$E1383))+1)</f>
        <v/>
      </c>
      <c r="X1383" s="49" t="str">
        <f t="shared" si="16"/>
        <v/>
      </c>
      <c r="Y1383" s="49" t="str">
        <f t="shared" si="17"/>
        <v/>
      </c>
    </row>
    <row r="1384" ht="15.0" customHeight="1">
      <c r="A1384" s="82"/>
      <c r="B1384" s="83"/>
      <c r="C1384" s="83"/>
      <c r="D1384" s="83"/>
      <c r="E1384" s="83"/>
      <c r="F1384" s="83"/>
      <c r="G1384" s="83" t="str">
        <f>IF($F1384="","",IFERROR(VLOOKUP($F1384,Inventory!$A:$B,2,FALSE),""))</f>
        <v/>
      </c>
      <c r="H1384" s="83"/>
      <c r="I1384" s="84" t="str">
        <f t="shared" si="2"/>
        <v/>
      </c>
      <c r="J1384" s="85" t="str">
        <f>IF($F1384="","",IFERROR(VLOOKUP($F1384,Inventory!$A:$K,11,FALSE),0))</f>
        <v/>
      </c>
      <c r="K1384" s="85"/>
      <c r="L1384" s="85" t="str">
        <f t="shared" si="12"/>
        <v/>
      </c>
      <c r="M1384" s="83"/>
      <c r="N1384" s="85" t="str">
        <f>IF($F1384="","",IFERROR(VLOOKUP($F1384,Inventory!$A:$I,9,FALSE),0))</f>
        <v/>
      </c>
      <c r="O1384" s="85" t="str">
        <f t="shared" si="13"/>
        <v/>
      </c>
      <c r="P1384" s="85" t="str">
        <f t="shared" si="5"/>
        <v/>
      </c>
      <c r="Q1384" s="83"/>
      <c r="R1384" s="118" t="str">
        <f>IF($E1384="","",IF(COUNTIF($E$7:$E2581,$E1384)&gt;1,"",IFERROR(VLOOKUP($E1384,Orders!$A:$I,8,FALSE),"")))</f>
        <v/>
      </c>
      <c r="S1384" s="118" t="str">
        <f>IF($E1384="","",IF(COUNTIF($E$7:$E2581,$E1384)&gt;1,"",IFERROR(VLOOKUP($E1384,Orders!$A:$I,9,FALSE),"")))</f>
        <v/>
      </c>
      <c r="T1384" s="88" t="str">
        <f t="shared" si="14"/>
        <v/>
      </c>
      <c r="U1384" s="88" t="str">
        <f>IF($F1384="","",IF($E1384="",T1384,SUMIF(Sales!$E$7:$E$1506,$E1384,Sales!$T$7:$T$1506)))</f>
        <v/>
      </c>
      <c r="V1384" s="49" t="str">
        <f t="shared" si="15"/>
        <v/>
      </c>
      <c r="W1384" s="49" t="str">
        <f t="array" ref="W1384">IF($V1384="","",SUMPRODUCT((Sales!$V$7:$V$1506&lt;&gt;"")*(Sales!$E$7:$E$1506&lt;$E1384))+1)</f>
        <v/>
      </c>
      <c r="X1384" s="49" t="str">
        <f t="shared" si="16"/>
        <v/>
      </c>
      <c r="Y1384" s="49" t="str">
        <f t="shared" si="17"/>
        <v/>
      </c>
    </row>
    <row r="1385" ht="15.0" customHeight="1">
      <c r="A1385" s="82"/>
      <c r="B1385" s="83"/>
      <c r="C1385" s="83"/>
      <c r="D1385" s="83"/>
      <c r="E1385" s="83"/>
      <c r="F1385" s="83"/>
      <c r="G1385" s="83" t="str">
        <f>IF($F1385="","",IFERROR(VLOOKUP($F1385,Inventory!$A:$B,2,FALSE),""))</f>
        <v/>
      </c>
      <c r="H1385" s="83"/>
      <c r="I1385" s="84" t="str">
        <f t="shared" si="2"/>
        <v/>
      </c>
      <c r="J1385" s="85" t="str">
        <f>IF($F1385="","",IFERROR(VLOOKUP($F1385,Inventory!$A:$K,11,FALSE),0))</f>
        <v/>
      </c>
      <c r="K1385" s="85"/>
      <c r="L1385" s="85" t="str">
        <f t="shared" si="12"/>
        <v/>
      </c>
      <c r="M1385" s="83"/>
      <c r="N1385" s="85" t="str">
        <f>IF($F1385="","",IFERROR(VLOOKUP($F1385,Inventory!$A:$I,9,FALSE),0))</f>
        <v/>
      </c>
      <c r="O1385" s="85" t="str">
        <f t="shared" si="13"/>
        <v/>
      </c>
      <c r="P1385" s="85" t="str">
        <f t="shared" si="5"/>
        <v/>
      </c>
      <c r="Q1385" s="83"/>
      <c r="R1385" s="118" t="str">
        <f>IF($E1385="","",IF(COUNTIF($E$7:$E2582,$E1385)&gt;1,"",IFERROR(VLOOKUP($E1385,Orders!$A:$I,8,FALSE),"")))</f>
        <v/>
      </c>
      <c r="S1385" s="118" t="str">
        <f>IF($E1385="","",IF(COUNTIF($E$7:$E2582,$E1385)&gt;1,"",IFERROR(VLOOKUP($E1385,Orders!$A:$I,9,FALSE),"")))</f>
        <v/>
      </c>
      <c r="T1385" s="88" t="str">
        <f t="shared" si="14"/>
        <v/>
      </c>
      <c r="U1385" s="88" t="str">
        <f>IF($F1385="","",IF($E1385="",T1385,SUMIF(Sales!$E$7:$E$1506,$E1385,Sales!$T$7:$T$1506)))</f>
        <v/>
      </c>
      <c r="V1385" s="49" t="str">
        <f t="shared" si="15"/>
        <v/>
      </c>
      <c r="W1385" s="49" t="str">
        <f t="array" ref="W1385">IF($V1385="","",SUMPRODUCT((Sales!$V$7:$V$1506&lt;&gt;"")*(Sales!$E$7:$E$1506&lt;$E1385))+1)</f>
        <v/>
      </c>
      <c r="X1385" s="49" t="str">
        <f t="shared" si="16"/>
        <v/>
      </c>
      <c r="Y1385" s="49" t="str">
        <f t="shared" si="17"/>
        <v/>
      </c>
    </row>
    <row r="1386" ht="15.0" customHeight="1">
      <c r="A1386" s="82"/>
      <c r="B1386" s="83"/>
      <c r="C1386" s="83"/>
      <c r="D1386" s="83"/>
      <c r="E1386" s="83"/>
      <c r="F1386" s="83"/>
      <c r="G1386" s="83" t="str">
        <f>IF($F1386="","",IFERROR(VLOOKUP($F1386,Inventory!$A:$B,2,FALSE),""))</f>
        <v/>
      </c>
      <c r="H1386" s="83"/>
      <c r="I1386" s="84" t="str">
        <f t="shared" si="2"/>
        <v/>
      </c>
      <c r="J1386" s="85" t="str">
        <f>IF($F1386="","",IFERROR(VLOOKUP($F1386,Inventory!$A:$K,11,FALSE),0))</f>
        <v/>
      </c>
      <c r="K1386" s="85"/>
      <c r="L1386" s="85" t="str">
        <f t="shared" si="12"/>
        <v/>
      </c>
      <c r="M1386" s="83"/>
      <c r="N1386" s="85" t="str">
        <f>IF($F1386="","",IFERROR(VLOOKUP($F1386,Inventory!$A:$I,9,FALSE),0))</f>
        <v/>
      </c>
      <c r="O1386" s="85" t="str">
        <f t="shared" si="13"/>
        <v/>
      </c>
      <c r="P1386" s="85" t="str">
        <f t="shared" si="5"/>
        <v/>
      </c>
      <c r="Q1386" s="83"/>
      <c r="R1386" s="118" t="str">
        <f>IF($E1386="","",IF(COUNTIF($E$7:$E2583,$E1386)&gt;1,"",IFERROR(VLOOKUP($E1386,Orders!$A:$I,8,FALSE),"")))</f>
        <v/>
      </c>
      <c r="S1386" s="118" t="str">
        <f>IF($E1386="","",IF(COUNTIF($E$7:$E2583,$E1386)&gt;1,"",IFERROR(VLOOKUP($E1386,Orders!$A:$I,9,FALSE),"")))</f>
        <v/>
      </c>
      <c r="T1386" s="88" t="str">
        <f t="shared" si="14"/>
        <v/>
      </c>
      <c r="U1386" s="88" t="str">
        <f>IF($F1386="","",IF($E1386="",T1386,SUMIF(Sales!$E$7:$E$1506,$E1386,Sales!$T$7:$T$1506)))</f>
        <v/>
      </c>
      <c r="V1386" s="49" t="str">
        <f t="shared" si="15"/>
        <v/>
      </c>
      <c r="W1386" s="49" t="str">
        <f t="array" ref="W1386">IF($V1386="","",SUMPRODUCT((Sales!$V$7:$V$1506&lt;&gt;"")*(Sales!$E$7:$E$1506&lt;$E1386))+1)</f>
        <v/>
      </c>
      <c r="X1386" s="49" t="str">
        <f t="shared" si="16"/>
        <v/>
      </c>
      <c r="Y1386" s="49" t="str">
        <f t="shared" si="17"/>
        <v/>
      </c>
    </row>
    <row r="1387" ht="15.0" customHeight="1">
      <c r="A1387" s="82"/>
      <c r="B1387" s="83"/>
      <c r="C1387" s="83"/>
      <c r="D1387" s="83"/>
      <c r="E1387" s="83"/>
      <c r="F1387" s="83"/>
      <c r="G1387" s="83" t="str">
        <f>IF($F1387="","",IFERROR(VLOOKUP($F1387,Inventory!$A:$B,2,FALSE),""))</f>
        <v/>
      </c>
      <c r="H1387" s="83"/>
      <c r="I1387" s="84" t="str">
        <f t="shared" si="2"/>
        <v/>
      </c>
      <c r="J1387" s="85" t="str">
        <f>IF($F1387="","",IFERROR(VLOOKUP($F1387,Inventory!$A:$K,11,FALSE),0))</f>
        <v/>
      </c>
      <c r="K1387" s="85"/>
      <c r="L1387" s="85" t="str">
        <f t="shared" si="12"/>
        <v/>
      </c>
      <c r="M1387" s="83"/>
      <c r="N1387" s="85" t="str">
        <f>IF($F1387="","",IFERROR(VLOOKUP($F1387,Inventory!$A:$I,9,FALSE),0))</f>
        <v/>
      </c>
      <c r="O1387" s="85" t="str">
        <f t="shared" si="13"/>
        <v/>
      </c>
      <c r="P1387" s="85" t="str">
        <f t="shared" si="5"/>
        <v/>
      </c>
      <c r="Q1387" s="83"/>
      <c r="R1387" s="118" t="str">
        <f>IF($E1387="","",IF(COUNTIF($E$7:$E2584,$E1387)&gt;1,"",IFERROR(VLOOKUP($E1387,Orders!$A:$I,8,FALSE),"")))</f>
        <v/>
      </c>
      <c r="S1387" s="118" t="str">
        <f>IF($E1387="","",IF(COUNTIF($E$7:$E2584,$E1387)&gt;1,"",IFERROR(VLOOKUP($E1387,Orders!$A:$I,9,FALSE),"")))</f>
        <v/>
      </c>
      <c r="T1387" s="88" t="str">
        <f t="shared" si="14"/>
        <v/>
      </c>
      <c r="U1387" s="88" t="str">
        <f>IF($F1387="","",IF($E1387="",T1387,SUMIF(Sales!$E$7:$E$1506,$E1387,Sales!$T$7:$T$1506)))</f>
        <v/>
      </c>
      <c r="V1387" s="49" t="str">
        <f t="shared" si="15"/>
        <v/>
      </c>
      <c r="W1387" s="49" t="str">
        <f t="array" ref="W1387">IF($V1387="","",SUMPRODUCT((Sales!$V$7:$V$1506&lt;&gt;"")*(Sales!$E$7:$E$1506&lt;$E1387))+1)</f>
        <v/>
      </c>
      <c r="X1387" s="49" t="str">
        <f t="shared" si="16"/>
        <v/>
      </c>
      <c r="Y1387" s="49" t="str">
        <f t="shared" si="17"/>
        <v/>
      </c>
    </row>
    <row r="1388" ht="15.0" customHeight="1">
      <c r="A1388" s="82"/>
      <c r="B1388" s="83"/>
      <c r="C1388" s="83"/>
      <c r="D1388" s="83"/>
      <c r="E1388" s="83"/>
      <c r="F1388" s="83"/>
      <c r="G1388" s="83" t="str">
        <f>IF($F1388="","",IFERROR(VLOOKUP($F1388,Inventory!$A:$B,2,FALSE),""))</f>
        <v/>
      </c>
      <c r="H1388" s="83"/>
      <c r="I1388" s="84" t="str">
        <f t="shared" si="2"/>
        <v/>
      </c>
      <c r="J1388" s="85" t="str">
        <f>IF($F1388="","",IFERROR(VLOOKUP($F1388,Inventory!$A:$K,11,FALSE),0))</f>
        <v/>
      </c>
      <c r="K1388" s="85"/>
      <c r="L1388" s="85" t="str">
        <f t="shared" si="12"/>
        <v/>
      </c>
      <c r="M1388" s="83"/>
      <c r="N1388" s="85" t="str">
        <f>IF($F1388="","",IFERROR(VLOOKUP($F1388,Inventory!$A:$I,9,FALSE),0))</f>
        <v/>
      </c>
      <c r="O1388" s="85" t="str">
        <f t="shared" si="13"/>
        <v/>
      </c>
      <c r="P1388" s="85" t="str">
        <f t="shared" si="5"/>
        <v/>
      </c>
      <c r="Q1388" s="83"/>
      <c r="R1388" s="118" t="str">
        <f>IF($E1388="","",IF(COUNTIF($E$7:$E2585,$E1388)&gt;1,"",IFERROR(VLOOKUP($E1388,Orders!$A:$I,8,FALSE),"")))</f>
        <v/>
      </c>
      <c r="S1388" s="118" t="str">
        <f>IF($E1388="","",IF(COUNTIF($E$7:$E2585,$E1388)&gt;1,"",IFERROR(VLOOKUP($E1388,Orders!$A:$I,9,FALSE),"")))</f>
        <v/>
      </c>
      <c r="T1388" s="88" t="str">
        <f t="shared" si="14"/>
        <v/>
      </c>
      <c r="U1388" s="88" t="str">
        <f>IF($F1388="","",IF($E1388="",T1388,SUMIF(Sales!$E$7:$E$1506,$E1388,Sales!$T$7:$T$1506)))</f>
        <v/>
      </c>
      <c r="V1388" s="49" t="str">
        <f t="shared" si="15"/>
        <v/>
      </c>
      <c r="W1388" s="49" t="str">
        <f t="array" ref="W1388">IF($V1388="","",SUMPRODUCT((Sales!$V$7:$V$1506&lt;&gt;"")*(Sales!$E$7:$E$1506&lt;$E1388))+1)</f>
        <v/>
      </c>
      <c r="X1388" s="49" t="str">
        <f t="shared" si="16"/>
        <v/>
      </c>
      <c r="Y1388" s="49" t="str">
        <f t="shared" si="17"/>
        <v/>
      </c>
    </row>
    <row r="1389" ht="15.0" customHeight="1">
      <c r="A1389" s="82"/>
      <c r="B1389" s="83"/>
      <c r="C1389" s="83"/>
      <c r="D1389" s="83"/>
      <c r="E1389" s="83"/>
      <c r="F1389" s="83"/>
      <c r="G1389" s="83" t="str">
        <f>IF($F1389="","",IFERROR(VLOOKUP($F1389,Inventory!$A:$B,2,FALSE),""))</f>
        <v/>
      </c>
      <c r="H1389" s="83"/>
      <c r="I1389" s="84" t="str">
        <f t="shared" si="2"/>
        <v/>
      </c>
      <c r="J1389" s="85" t="str">
        <f>IF($F1389="","",IFERROR(VLOOKUP($F1389,Inventory!$A:$K,11,FALSE),0))</f>
        <v/>
      </c>
      <c r="K1389" s="85"/>
      <c r="L1389" s="85" t="str">
        <f t="shared" si="12"/>
        <v/>
      </c>
      <c r="M1389" s="83"/>
      <c r="N1389" s="85" t="str">
        <f>IF($F1389="","",IFERROR(VLOOKUP($F1389,Inventory!$A:$I,9,FALSE),0))</f>
        <v/>
      </c>
      <c r="O1389" s="85" t="str">
        <f t="shared" si="13"/>
        <v/>
      </c>
      <c r="P1389" s="85" t="str">
        <f t="shared" si="5"/>
        <v/>
      </c>
      <c r="Q1389" s="83"/>
      <c r="R1389" s="118" t="str">
        <f>IF($E1389="","",IF(COUNTIF($E$7:$E2586,$E1389)&gt;1,"",IFERROR(VLOOKUP($E1389,Orders!$A:$I,8,FALSE),"")))</f>
        <v/>
      </c>
      <c r="S1389" s="118" t="str">
        <f>IF($E1389="","",IF(COUNTIF($E$7:$E2586,$E1389)&gt;1,"",IFERROR(VLOOKUP($E1389,Orders!$A:$I,9,FALSE),"")))</f>
        <v/>
      </c>
      <c r="T1389" s="88" t="str">
        <f t="shared" si="14"/>
        <v/>
      </c>
      <c r="U1389" s="88" t="str">
        <f>IF($F1389="","",IF($E1389="",T1389,SUMIF(Sales!$E$7:$E$1506,$E1389,Sales!$T$7:$T$1506)))</f>
        <v/>
      </c>
      <c r="V1389" s="49" t="str">
        <f t="shared" si="15"/>
        <v/>
      </c>
      <c r="W1389" s="49" t="str">
        <f t="array" ref="W1389">IF($V1389="","",SUMPRODUCT((Sales!$V$7:$V$1506&lt;&gt;"")*(Sales!$E$7:$E$1506&lt;$E1389))+1)</f>
        <v/>
      </c>
      <c r="X1389" s="49" t="str">
        <f t="shared" si="16"/>
        <v/>
      </c>
      <c r="Y1389" s="49" t="str">
        <f t="shared" si="17"/>
        <v/>
      </c>
    </row>
    <row r="1390" ht="15.0" customHeight="1">
      <c r="A1390" s="82"/>
      <c r="B1390" s="83"/>
      <c r="C1390" s="83"/>
      <c r="D1390" s="83"/>
      <c r="E1390" s="83"/>
      <c r="F1390" s="83"/>
      <c r="G1390" s="83" t="str">
        <f>IF($F1390="","",IFERROR(VLOOKUP($F1390,Inventory!$A:$B,2,FALSE),""))</f>
        <v/>
      </c>
      <c r="H1390" s="83"/>
      <c r="I1390" s="84" t="str">
        <f t="shared" si="2"/>
        <v/>
      </c>
      <c r="J1390" s="85" t="str">
        <f>IF($F1390="","",IFERROR(VLOOKUP($F1390,Inventory!$A:$K,11,FALSE),0))</f>
        <v/>
      </c>
      <c r="K1390" s="85"/>
      <c r="L1390" s="85" t="str">
        <f t="shared" si="12"/>
        <v/>
      </c>
      <c r="M1390" s="83"/>
      <c r="N1390" s="85" t="str">
        <f>IF($F1390="","",IFERROR(VLOOKUP($F1390,Inventory!$A:$I,9,FALSE),0))</f>
        <v/>
      </c>
      <c r="O1390" s="85" t="str">
        <f t="shared" si="13"/>
        <v/>
      </c>
      <c r="P1390" s="85" t="str">
        <f t="shared" si="5"/>
        <v/>
      </c>
      <c r="Q1390" s="83"/>
      <c r="R1390" s="118" t="str">
        <f>IF($E1390="","",IF(COUNTIF($E$7:$E2587,$E1390)&gt;1,"",IFERROR(VLOOKUP($E1390,Orders!$A:$I,8,FALSE),"")))</f>
        <v/>
      </c>
      <c r="S1390" s="118" t="str">
        <f>IF($E1390="","",IF(COUNTIF($E$7:$E2587,$E1390)&gt;1,"",IFERROR(VLOOKUP($E1390,Orders!$A:$I,9,FALSE),"")))</f>
        <v/>
      </c>
      <c r="T1390" s="88" t="str">
        <f t="shared" si="14"/>
        <v/>
      </c>
      <c r="U1390" s="88" t="str">
        <f>IF($F1390="","",IF($E1390="",T1390,SUMIF(Sales!$E$7:$E$1506,$E1390,Sales!$T$7:$T$1506)))</f>
        <v/>
      </c>
      <c r="V1390" s="49" t="str">
        <f t="shared" si="15"/>
        <v/>
      </c>
      <c r="W1390" s="49" t="str">
        <f t="array" ref="W1390">IF($V1390="","",SUMPRODUCT((Sales!$V$7:$V$1506&lt;&gt;"")*(Sales!$E$7:$E$1506&lt;$E1390))+1)</f>
        <v/>
      </c>
      <c r="X1390" s="49" t="str">
        <f t="shared" si="16"/>
        <v/>
      </c>
      <c r="Y1390" s="49" t="str">
        <f t="shared" si="17"/>
        <v/>
      </c>
    </row>
    <row r="1391" ht="15.0" customHeight="1">
      <c r="A1391" s="82"/>
      <c r="B1391" s="83"/>
      <c r="C1391" s="83"/>
      <c r="D1391" s="83"/>
      <c r="E1391" s="83"/>
      <c r="F1391" s="83"/>
      <c r="G1391" s="83" t="str">
        <f>IF($F1391="","",IFERROR(VLOOKUP($F1391,Inventory!$A:$B,2,FALSE),""))</f>
        <v/>
      </c>
      <c r="H1391" s="83"/>
      <c r="I1391" s="84" t="str">
        <f t="shared" si="2"/>
        <v/>
      </c>
      <c r="J1391" s="85" t="str">
        <f>IF($F1391="","",IFERROR(VLOOKUP($F1391,Inventory!$A:$K,11,FALSE),0))</f>
        <v/>
      </c>
      <c r="K1391" s="85"/>
      <c r="L1391" s="85" t="str">
        <f t="shared" si="12"/>
        <v/>
      </c>
      <c r="M1391" s="83"/>
      <c r="N1391" s="85" t="str">
        <f>IF($F1391="","",IFERROR(VLOOKUP($F1391,Inventory!$A:$I,9,FALSE),0))</f>
        <v/>
      </c>
      <c r="O1391" s="85" t="str">
        <f t="shared" si="13"/>
        <v/>
      </c>
      <c r="P1391" s="85" t="str">
        <f t="shared" si="5"/>
        <v/>
      </c>
      <c r="Q1391" s="83"/>
      <c r="R1391" s="118" t="str">
        <f>IF($E1391="","",IF(COUNTIF($E$7:$E2588,$E1391)&gt;1,"",IFERROR(VLOOKUP($E1391,Orders!$A:$I,8,FALSE),"")))</f>
        <v/>
      </c>
      <c r="S1391" s="118" t="str">
        <f>IF($E1391="","",IF(COUNTIF($E$7:$E2588,$E1391)&gt;1,"",IFERROR(VLOOKUP($E1391,Orders!$A:$I,9,FALSE),"")))</f>
        <v/>
      </c>
      <c r="T1391" s="88" t="str">
        <f t="shared" si="14"/>
        <v/>
      </c>
      <c r="U1391" s="88" t="str">
        <f>IF($F1391="","",IF($E1391="",T1391,SUMIF(Sales!$E$7:$E$1506,$E1391,Sales!$T$7:$T$1506)))</f>
        <v/>
      </c>
      <c r="V1391" s="49" t="str">
        <f t="shared" si="15"/>
        <v/>
      </c>
      <c r="W1391" s="49" t="str">
        <f t="array" ref="W1391">IF($V1391="","",SUMPRODUCT((Sales!$V$7:$V$1506&lt;&gt;"")*(Sales!$E$7:$E$1506&lt;$E1391))+1)</f>
        <v/>
      </c>
      <c r="X1391" s="49" t="str">
        <f t="shared" si="16"/>
        <v/>
      </c>
      <c r="Y1391" s="49" t="str">
        <f t="shared" si="17"/>
        <v/>
      </c>
    </row>
    <row r="1392" ht="15.0" customHeight="1">
      <c r="A1392" s="82"/>
      <c r="B1392" s="83"/>
      <c r="C1392" s="83"/>
      <c r="D1392" s="83"/>
      <c r="E1392" s="83"/>
      <c r="F1392" s="83"/>
      <c r="G1392" s="83" t="str">
        <f>IF($F1392="","",IFERROR(VLOOKUP($F1392,Inventory!$A:$B,2,FALSE),""))</f>
        <v/>
      </c>
      <c r="H1392" s="83"/>
      <c r="I1392" s="84" t="str">
        <f t="shared" si="2"/>
        <v/>
      </c>
      <c r="J1392" s="85" t="str">
        <f>IF($F1392="","",IFERROR(VLOOKUP($F1392,Inventory!$A:$K,11,FALSE),0))</f>
        <v/>
      </c>
      <c r="K1392" s="85"/>
      <c r="L1392" s="85" t="str">
        <f t="shared" si="12"/>
        <v/>
      </c>
      <c r="M1392" s="83"/>
      <c r="N1392" s="85" t="str">
        <f>IF($F1392="","",IFERROR(VLOOKUP($F1392,Inventory!$A:$I,9,FALSE),0))</f>
        <v/>
      </c>
      <c r="O1392" s="85" t="str">
        <f t="shared" si="13"/>
        <v/>
      </c>
      <c r="P1392" s="85" t="str">
        <f t="shared" si="5"/>
        <v/>
      </c>
      <c r="Q1392" s="83"/>
      <c r="R1392" s="118" t="str">
        <f>IF($E1392="","",IF(COUNTIF($E$7:$E2589,$E1392)&gt;1,"",IFERROR(VLOOKUP($E1392,Orders!$A:$I,8,FALSE),"")))</f>
        <v/>
      </c>
      <c r="S1392" s="118" t="str">
        <f>IF($E1392="","",IF(COUNTIF($E$7:$E2589,$E1392)&gt;1,"",IFERROR(VLOOKUP($E1392,Orders!$A:$I,9,FALSE),"")))</f>
        <v/>
      </c>
      <c r="T1392" s="88" t="str">
        <f t="shared" si="14"/>
        <v/>
      </c>
      <c r="U1392" s="88" t="str">
        <f>IF($F1392="","",IF($E1392="",T1392,SUMIF(Sales!$E$7:$E$1506,$E1392,Sales!$T$7:$T$1506)))</f>
        <v/>
      </c>
      <c r="V1392" s="49" t="str">
        <f t="shared" si="15"/>
        <v/>
      </c>
      <c r="W1392" s="49" t="str">
        <f t="array" ref="W1392">IF($V1392="","",SUMPRODUCT((Sales!$V$7:$V$1506&lt;&gt;"")*(Sales!$E$7:$E$1506&lt;$E1392))+1)</f>
        <v/>
      </c>
      <c r="X1392" s="49" t="str">
        <f t="shared" si="16"/>
        <v/>
      </c>
      <c r="Y1392" s="49" t="str">
        <f t="shared" si="17"/>
        <v/>
      </c>
    </row>
    <row r="1393" ht="15.0" customHeight="1">
      <c r="A1393" s="82"/>
      <c r="B1393" s="83"/>
      <c r="C1393" s="83"/>
      <c r="D1393" s="83"/>
      <c r="E1393" s="83"/>
      <c r="F1393" s="83"/>
      <c r="G1393" s="83" t="str">
        <f>IF($F1393="","",IFERROR(VLOOKUP($F1393,Inventory!$A:$B,2,FALSE),""))</f>
        <v/>
      </c>
      <c r="H1393" s="83"/>
      <c r="I1393" s="84" t="str">
        <f t="shared" si="2"/>
        <v/>
      </c>
      <c r="J1393" s="85" t="str">
        <f>IF($F1393="","",IFERROR(VLOOKUP($F1393,Inventory!$A:$K,11,FALSE),0))</f>
        <v/>
      </c>
      <c r="K1393" s="85"/>
      <c r="L1393" s="85" t="str">
        <f t="shared" si="12"/>
        <v/>
      </c>
      <c r="M1393" s="83"/>
      <c r="N1393" s="85" t="str">
        <f>IF($F1393="","",IFERROR(VLOOKUP($F1393,Inventory!$A:$I,9,FALSE),0))</f>
        <v/>
      </c>
      <c r="O1393" s="85" t="str">
        <f t="shared" si="13"/>
        <v/>
      </c>
      <c r="P1393" s="85" t="str">
        <f t="shared" si="5"/>
        <v/>
      </c>
      <c r="Q1393" s="83"/>
      <c r="R1393" s="118" t="str">
        <f>IF($E1393="","",IF(COUNTIF($E$7:$E2590,$E1393)&gt;1,"",IFERROR(VLOOKUP($E1393,Orders!$A:$I,8,FALSE),"")))</f>
        <v/>
      </c>
      <c r="S1393" s="118" t="str">
        <f>IF($E1393="","",IF(COUNTIF($E$7:$E2590,$E1393)&gt;1,"",IFERROR(VLOOKUP($E1393,Orders!$A:$I,9,FALSE),"")))</f>
        <v/>
      </c>
      <c r="T1393" s="88" t="str">
        <f t="shared" si="14"/>
        <v/>
      </c>
      <c r="U1393" s="88" t="str">
        <f>IF($F1393="","",IF($E1393="",T1393,SUMIF(Sales!$E$7:$E$1506,$E1393,Sales!$T$7:$T$1506)))</f>
        <v/>
      </c>
      <c r="V1393" s="49" t="str">
        <f t="shared" si="15"/>
        <v/>
      </c>
      <c r="W1393" s="49" t="str">
        <f t="array" ref="W1393">IF($V1393="","",SUMPRODUCT((Sales!$V$7:$V$1506&lt;&gt;"")*(Sales!$E$7:$E$1506&lt;$E1393))+1)</f>
        <v/>
      </c>
      <c r="X1393" s="49" t="str">
        <f t="shared" si="16"/>
        <v/>
      </c>
      <c r="Y1393" s="49" t="str">
        <f t="shared" si="17"/>
        <v/>
      </c>
    </row>
    <row r="1394" ht="15.0" customHeight="1">
      <c r="A1394" s="82"/>
      <c r="B1394" s="83"/>
      <c r="C1394" s="83"/>
      <c r="D1394" s="83"/>
      <c r="E1394" s="83"/>
      <c r="F1394" s="83"/>
      <c r="G1394" s="83" t="str">
        <f>IF($F1394="","",IFERROR(VLOOKUP($F1394,Inventory!$A:$B,2,FALSE),""))</f>
        <v/>
      </c>
      <c r="H1394" s="83"/>
      <c r="I1394" s="84" t="str">
        <f t="shared" si="2"/>
        <v/>
      </c>
      <c r="J1394" s="85" t="str">
        <f>IF($F1394="","",IFERROR(VLOOKUP($F1394,Inventory!$A:$K,11,FALSE),0))</f>
        <v/>
      </c>
      <c r="K1394" s="85"/>
      <c r="L1394" s="85" t="str">
        <f t="shared" si="12"/>
        <v/>
      </c>
      <c r="M1394" s="83"/>
      <c r="N1394" s="85" t="str">
        <f>IF($F1394="","",IFERROR(VLOOKUP($F1394,Inventory!$A:$I,9,FALSE),0))</f>
        <v/>
      </c>
      <c r="O1394" s="85" t="str">
        <f t="shared" si="13"/>
        <v/>
      </c>
      <c r="P1394" s="85" t="str">
        <f t="shared" si="5"/>
        <v/>
      </c>
      <c r="Q1394" s="83"/>
      <c r="R1394" s="118" t="str">
        <f>IF($E1394="","",IF(COUNTIF($E$7:$E2591,$E1394)&gt;1,"",IFERROR(VLOOKUP($E1394,Orders!$A:$I,8,FALSE),"")))</f>
        <v/>
      </c>
      <c r="S1394" s="118" t="str">
        <f>IF($E1394="","",IF(COUNTIF($E$7:$E2591,$E1394)&gt;1,"",IFERROR(VLOOKUP($E1394,Orders!$A:$I,9,FALSE),"")))</f>
        <v/>
      </c>
      <c r="T1394" s="88" t="str">
        <f t="shared" si="14"/>
        <v/>
      </c>
      <c r="U1394" s="88" t="str">
        <f>IF($F1394="","",IF($E1394="",T1394,SUMIF(Sales!$E$7:$E$1506,$E1394,Sales!$T$7:$T$1506)))</f>
        <v/>
      </c>
      <c r="V1394" s="49" t="str">
        <f t="shared" si="15"/>
        <v/>
      </c>
      <c r="W1394" s="49" t="str">
        <f t="array" ref="W1394">IF($V1394="","",SUMPRODUCT((Sales!$V$7:$V$1506&lt;&gt;"")*(Sales!$E$7:$E$1506&lt;$E1394))+1)</f>
        <v/>
      </c>
      <c r="X1394" s="49" t="str">
        <f t="shared" si="16"/>
        <v/>
      </c>
      <c r="Y1394" s="49" t="str">
        <f t="shared" si="17"/>
        <v/>
      </c>
    </row>
    <row r="1395" ht="15.0" customHeight="1">
      <c r="A1395" s="82"/>
      <c r="B1395" s="83"/>
      <c r="C1395" s="83"/>
      <c r="D1395" s="83"/>
      <c r="E1395" s="83"/>
      <c r="F1395" s="83"/>
      <c r="G1395" s="83" t="str">
        <f>IF($F1395="","",IFERROR(VLOOKUP($F1395,Inventory!$A:$B,2,FALSE),""))</f>
        <v/>
      </c>
      <c r="H1395" s="83"/>
      <c r="I1395" s="84" t="str">
        <f t="shared" si="2"/>
        <v/>
      </c>
      <c r="J1395" s="85" t="str">
        <f>IF($F1395="","",IFERROR(VLOOKUP($F1395,Inventory!$A:$K,11,FALSE),0))</f>
        <v/>
      </c>
      <c r="K1395" s="85"/>
      <c r="L1395" s="85" t="str">
        <f t="shared" si="12"/>
        <v/>
      </c>
      <c r="M1395" s="83"/>
      <c r="N1395" s="85" t="str">
        <f>IF($F1395="","",IFERROR(VLOOKUP($F1395,Inventory!$A:$I,9,FALSE),0))</f>
        <v/>
      </c>
      <c r="O1395" s="85" t="str">
        <f t="shared" si="13"/>
        <v/>
      </c>
      <c r="P1395" s="85" t="str">
        <f t="shared" si="5"/>
        <v/>
      </c>
      <c r="Q1395" s="83"/>
      <c r="R1395" s="118" t="str">
        <f>IF($E1395="","",IF(COUNTIF($E$7:$E2592,$E1395)&gt;1,"",IFERROR(VLOOKUP($E1395,Orders!$A:$I,8,FALSE),"")))</f>
        <v/>
      </c>
      <c r="S1395" s="118" t="str">
        <f>IF($E1395="","",IF(COUNTIF($E$7:$E2592,$E1395)&gt;1,"",IFERROR(VLOOKUP($E1395,Orders!$A:$I,9,FALSE),"")))</f>
        <v/>
      </c>
      <c r="T1395" s="88" t="str">
        <f t="shared" si="14"/>
        <v/>
      </c>
      <c r="U1395" s="88" t="str">
        <f>IF($F1395="","",IF($E1395="",T1395,SUMIF(Sales!$E$7:$E$1506,$E1395,Sales!$T$7:$T$1506)))</f>
        <v/>
      </c>
      <c r="V1395" s="49" t="str">
        <f t="shared" si="15"/>
        <v/>
      </c>
      <c r="W1395" s="49" t="str">
        <f t="array" ref="W1395">IF($V1395="","",SUMPRODUCT((Sales!$V$7:$V$1506&lt;&gt;"")*(Sales!$E$7:$E$1506&lt;$E1395))+1)</f>
        <v/>
      </c>
      <c r="X1395" s="49" t="str">
        <f t="shared" si="16"/>
        <v/>
      </c>
      <c r="Y1395" s="49" t="str">
        <f t="shared" si="17"/>
        <v/>
      </c>
    </row>
    <row r="1396" ht="15.0" customHeight="1">
      <c r="A1396" s="82"/>
      <c r="B1396" s="83"/>
      <c r="C1396" s="83"/>
      <c r="D1396" s="83"/>
      <c r="E1396" s="83"/>
      <c r="F1396" s="83"/>
      <c r="G1396" s="83" t="str">
        <f>IF($F1396="","",IFERROR(VLOOKUP($F1396,Inventory!$A:$B,2,FALSE),""))</f>
        <v/>
      </c>
      <c r="H1396" s="83"/>
      <c r="I1396" s="84" t="str">
        <f t="shared" si="2"/>
        <v/>
      </c>
      <c r="J1396" s="85" t="str">
        <f>IF($F1396="","",IFERROR(VLOOKUP($F1396,Inventory!$A:$K,11,FALSE),0))</f>
        <v/>
      </c>
      <c r="K1396" s="85"/>
      <c r="L1396" s="85" t="str">
        <f t="shared" si="12"/>
        <v/>
      </c>
      <c r="M1396" s="83"/>
      <c r="N1396" s="85" t="str">
        <f>IF($F1396="","",IFERROR(VLOOKUP($F1396,Inventory!$A:$I,9,FALSE),0))</f>
        <v/>
      </c>
      <c r="O1396" s="85" t="str">
        <f t="shared" si="13"/>
        <v/>
      </c>
      <c r="P1396" s="85" t="str">
        <f t="shared" si="5"/>
        <v/>
      </c>
      <c r="Q1396" s="83"/>
      <c r="R1396" s="118" t="str">
        <f>IF($E1396="","",IF(COUNTIF($E$7:$E2593,$E1396)&gt;1,"",IFERROR(VLOOKUP($E1396,Orders!$A:$I,8,FALSE),"")))</f>
        <v/>
      </c>
      <c r="S1396" s="118" t="str">
        <f>IF($E1396="","",IF(COUNTIF($E$7:$E2593,$E1396)&gt;1,"",IFERROR(VLOOKUP($E1396,Orders!$A:$I,9,FALSE),"")))</f>
        <v/>
      </c>
      <c r="T1396" s="88" t="str">
        <f t="shared" si="14"/>
        <v/>
      </c>
      <c r="U1396" s="88" t="str">
        <f>IF($F1396="","",IF($E1396="",T1396,SUMIF(Sales!$E$7:$E$1506,$E1396,Sales!$T$7:$T$1506)))</f>
        <v/>
      </c>
      <c r="V1396" s="49" t="str">
        <f t="shared" si="15"/>
        <v/>
      </c>
      <c r="W1396" s="49" t="str">
        <f t="array" ref="W1396">IF($V1396="","",SUMPRODUCT((Sales!$V$7:$V$1506&lt;&gt;"")*(Sales!$E$7:$E$1506&lt;$E1396))+1)</f>
        <v/>
      </c>
      <c r="X1396" s="49" t="str">
        <f t="shared" si="16"/>
        <v/>
      </c>
      <c r="Y1396" s="49" t="str">
        <f t="shared" si="17"/>
        <v/>
      </c>
    </row>
    <row r="1397" ht="15.0" customHeight="1">
      <c r="A1397" s="82"/>
      <c r="B1397" s="83"/>
      <c r="C1397" s="83"/>
      <c r="D1397" s="83"/>
      <c r="E1397" s="83"/>
      <c r="F1397" s="83"/>
      <c r="G1397" s="83" t="str">
        <f>IF($F1397="","",IFERROR(VLOOKUP($F1397,Inventory!$A:$B,2,FALSE),""))</f>
        <v/>
      </c>
      <c r="H1397" s="83"/>
      <c r="I1397" s="84" t="str">
        <f t="shared" si="2"/>
        <v/>
      </c>
      <c r="J1397" s="85" t="str">
        <f>IF($F1397="","",IFERROR(VLOOKUP($F1397,Inventory!$A:$K,11,FALSE),0))</f>
        <v/>
      </c>
      <c r="K1397" s="85"/>
      <c r="L1397" s="85" t="str">
        <f t="shared" si="12"/>
        <v/>
      </c>
      <c r="M1397" s="83"/>
      <c r="N1397" s="85" t="str">
        <f>IF($F1397="","",IFERROR(VLOOKUP($F1397,Inventory!$A:$I,9,FALSE),0))</f>
        <v/>
      </c>
      <c r="O1397" s="85" t="str">
        <f t="shared" si="13"/>
        <v/>
      </c>
      <c r="P1397" s="85" t="str">
        <f t="shared" si="5"/>
        <v/>
      </c>
      <c r="Q1397" s="83"/>
      <c r="R1397" s="118" t="str">
        <f>IF($E1397="","",IF(COUNTIF($E$7:$E2594,$E1397)&gt;1,"",IFERROR(VLOOKUP($E1397,Orders!$A:$I,8,FALSE),"")))</f>
        <v/>
      </c>
      <c r="S1397" s="118" t="str">
        <f>IF($E1397="","",IF(COUNTIF($E$7:$E2594,$E1397)&gt;1,"",IFERROR(VLOOKUP($E1397,Orders!$A:$I,9,FALSE),"")))</f>
        <v/>
      </c>
      <c r="T1397" s="88" t="str">
        <f t="shared" si="14"/>
        <v/>
      </c>
      <c r="U1397" s="88" t="str">
        <f>IF($F1397="","",IF($E1397="",T1397,SUMIF(Sales!$E$7:$E$1506,$E1397,Sales!$T$7:$T$1506)))</f>
        <v/>
      </c>
      <c r="V1397" s="49" t="str">
        <f t="shared" si="15"/>
        <v/>
      </c>
      <c r="W1397" s="49" t="str">
        <f t="array" ref="W1397">IF($V1397="","",SUMPRODUCT((Sales!$V$7:$V$1506&lt;&gt;"")*(Sales!$E$7:$E$1506&lt;$E1397))+1)</f>
        <v/>
      </c>
      <c r="X1397" s="49" t="str">
        <f t="shared" si="16"/>
        <v/>
      </c>
      <c r="Y1397" s="49" t="str">
        <f t="shared" si="17"/>
        <v/>
      </c>
    </row>
    <row r="1398" ht="15.0" customHeight="1">
      <c r="A1398" s="82"/>
      <c r="B1398" s="83"/>
      <c r="C1398" s="83"/>
      <c r="D1398" s="83"/>
      <c r="E1398" s="83"/>
      <c r="F1398" s="83"/>
      <c r="G1398" s="83" t="str">
        <f>IF($F1398="","",IFERROR(VLOOKUP($F1398,Inventory!$A:$B,2,FALSE),""))</f>
        <v/>
      </c>
      <c r="H1398" s="83"/>
      <c r="I1398" s="84" t="str">
        <f t="shared" si="2"/>
        <v/>
      </c>
      <c r="J1398" s="85" t="str">
        <f>IF($F1398="","",IFERROR(VLOOKUP($F1398,Inventory!$A:$K,11,FALSE),0))</f>
        <v/>
      </c>
      <c r="K1398" s="85"/>
      <c r="L1398" s="85" t="str">
        <f t="shared" si="12"/>
        <v/>
      </c>
      <c r="M1398" s="83"/>
      <c r="N1398" s="85" t="str">
        <f>IF($F1398="","",IFERROR(VLOOKUP($F1398,Inventory!$A:$I,9,FALSE),0))</f>
        <v/>
      </c>
      <c r="O1398" s="85" t="str">
        <f t="shared" si="13"/>
        <v/>
      </c>
      <c r="P1398" s="85" t="str">
        <f t="shared" si="5"/>
        <v/>
      </c>
      <c r="Q1398" s="83"/>
      <c r="R1398" s="118" t="str">
        <f>IF($E1398="","",IF(COUNTIF($E$7:$E2595,$E1398)&gt;1,"",IFERROR(VLOOKUP($E1398,Orders!$A:$I,8,FALSE),"")))</f>
        <v/>
      </c>
      <c r="S1398" s="118" t="str">
        <f>IF($E1398="","",IF(COUNTIF($E$7:$E2595,$E1398)&gt;1,"",IFERROR(VLOOKUP($E1398,Orders!$A:$I,9,FALSE),"")))</f>
        <v/>
      </c>
      <c r="T1398" s="88" t="str">
        <f t="shared" si="14"/>
        <v/>
      </c>
      <c r="U1398" s="88" t="str">
        <f>IF($F1398="","",IF($E1398="",T1398,SUMIF(Sales!$E$7:$E$1506,$E1398,Sales!$T$7:$T$1506)))</f>
        <v/>
      </c>
      <c r="V1398" s="49" t="str">
        <f t="shared" si="15"/>
        <v/>
      </c>
      <c r="W1398" s="49" t="str">
        <f t="array" ref="W1398">IF($V1398="","",SUMPRODUCT((Sales!$V$7:$V$1506&lt;&gt;"")*(Sales!$E$7:$E$1506&lt;$E1398))+1)</f>
        <v/>
      </c>
      <c r="X1398" s="49" t="str">
        <f t="shared" si="16"/>
        <v/>
      </c>
      <c r="Y1398" s="49" t="str">
        <f t="shared" si="17"/>
        <v/>
      </c>
    </row>
    <row r="1399" ht="15.0" customHeight="1">
      <c r="A1399" s="82"/>
      <c r="B1399" s="83"/>
      <c r="C1399" s="83"/>
      <c r="D1399" s="83"/>
      <c r="E1399" s="83"/>
      <c r="F1399" s="83"/>
      <c r="G1399" s="83" t="str">
        <f>IF($F1399="","",IFERROR(VLOOKUP($F1399,Inventory!$A:$B,2,FALSE),""))</f>
        <v/>
      </c>
      <c r="H1399" s="83"/>
      <c r="I1399" s="84" t="str">
        <f t="shared" si="2"/>
        <v/>
      </c>
      <c r="J1399" s="85" t="str">
        <f>IF($F1399="","",IFERROR(VLOOKUP($F1399,Inventory!$A:$K,11,FALSE),0))</f>
        <v/>
      </c>
      <c r="K1399" s="85"/>
      <c r="L1399" s="85" t="str">
        <f t="shared" si="12"/>
        <v/>
      </c>
      <c r="M1399" s="83"/>
      <c r="N1399" s="85" t="str">
        <f>IF($F1399="","",IFERROR(VLOOKUP($F1399,Inventory!$A:$I,9,FALSE),0))</f>
        <v/>
      </c>
      <c r="O1399" s="85" t="str">
        <f t="shared" si="13"/>
        <v/>
      </c>
      <c r="P1399" s="85" t="str">
        <f t="shared" si="5"/>
        <v/>
      </c>
      <c r="Q1399" s="83"/>
      <c r="R1399" s="118" t="str">
        <f>IF($E1399="","",IF(COUNTIF($E$7:$E2596,$E1399)&gt;1,"",IFERROR(VLOOKUP($E1399,Orders!$A:$I,8,FALSE),"")))</f>
        <v/>
      </c>
      <c r="S1399" s="118" t="str">
        <f>IF($E1399="","",IF(COUNTIF($E$7:$E2596,$E1399)&gt;1,"",IFERROR(VLOOKUP($E1399,Orders!$A:$I,9,FALSE),"")))</f>
        <v/>
      </c>
      <c r="T1399" s="88" t="str">
        <f t="shared" si="14"/>
        <v/>
      </c>
      <c r="U1399" s="88" t="str">
        <f>IF($F1399="","",IF($E1399="",T1399,SUMIF(Sales!$E$7:$E$1506,$E1399,Sales!$T$7:$T$1506)))</f>
        <v/>
      </c>
      <c r="V1399" s="49" t="str">
        <f t="shared" si="15"/>
        <v/>
      </c>
      <c r="W1399" s="49" t="str">
        <f t="array" ref="W1399">IF($V1399="","",SUMPRODUCT((Sales!$V$7:$V$1506&lt;&gt;"")*(Sales!$E$7:$E$1506&lt;$E1399))+1)</f>
        <v/>
      </c>
      <c r="X1399" s="49" t="str">
        <f t="shared" si="16"/>
        <v/>
      </c>
      <c r="Y1399" s="49" t="str">
        <f t="shared" si="17"/>
        <v/>
      </c>
    </row>
    <row r="1400" ht="15.0" customHeight="1">
      <c r="A1400" s="82"/>
      <c r="B1400" s="83"/>
      <c r="C1400" s="83"/>
      <c r="D1400" s="83"/>
      <c r="E1400" s="83"/>
      <c r="F1400" s="83"/>
      <c r="G1400" s="83" t="str">
        <f>IF($F1400="","",IFERROR(VLOOKUP($F1400,Inventory!$A:$B,2,FALSE),""))</f>
        <v/>
      </c>
      <c r="H1400" s="83"/>
      <c r="I1400" s="84" t="str">
        <f t="shared" si="2"/>
        <v/>
      </c>
      <c r="J1400" s="85" t="str">
        <f>IF($F1400="","",IFERROR(VLOOKUP($F1400,Inventory!$A:$K,11,FALSE),0))</f>
        <v/>
      </c>
      <c r="K1400" s="85"/>
      <c r="L1400" s="85" t="str">
        <f t="shared" si="12"/>
        <v/>
      </c>
      <c r="M1400" s="83"/>
      <c r="N1400" s="85" t="str">
        <f>IF($F1400="","",IFERROR(VLOOKUP($F1400,Inventory!$A:$I,9,FALSE),0))</f>
        <v/>
      </c>
      <c r="O1400" s="85" t="str">
        <f t="shared" si="13"/>
        <v/>
      </c>
      <c r="P1400" s="85" t="str">
        <f t="shared" si="5"/>
        <v/>
      </c>
      <c r="Q1400" s="83"/>
      <c r="R1400" s="118" t="str">
        <f>IF($E1400="","",IF(COUNTIF($E$7:$E2597,$E1400)&gt;1,"",IFERROR(VLOOKUP($E1400,Orders!$A:$I,8,FALSE),"")))</f>
        <v/>
      </c>
      <c r="S1400" s="118" t="str">
        <f>IF($E1400="","",IF(COUNTIF($E$7:$E2597,$E1400)&gt;1,"",IFERROR(VLOOKUP($E1400,Orders!$A:$I,9,FALSE),"")))</f>
        <v/>
      </c>
      <c r="T1400" s="88" t="str">
        <f t="shared" si="14"/>
        <v/>
      </c>
      <c r="U1400" s="88" t="str">
        <f>IF($F1400="","",IF($E1400="",T1400,SUMIF(Sales!$E$7:$E$1506,$E1400,Sales!$T$7:$T$1506)))</f>
        <v/>
      </c>
      <c r="V1400" s="49" t="str">
        <f t="shared" si="15"/>
        <v/>
      </c>
      <c r="W1400" s="49" t="str">
        <f t="array" ref="W1400">IF($V1400="","",SUMPRODUCT((Sales!$V$7:$V$1506&lt;&gt;"")*(Sales!$E$7:$E$1506&lt;$E1400))+1)</f>
        <v/>
      </c>
      <c r="X1400" s="49" t="str">
        <f t="shared" si="16"/>
        <v/>
      </c>
      <c r="Y1400" s="49" t="str">
        <f t="shared" si="17"/>
        <v/>
      </c>
    </row>
    <row r="1401" ht="15.0" customHeight="1">
      <c r="A1401" s="82"/>
      <c r="B1401" s="83"/>
      <c r="C1401" s="83"/>
      <c r="D1401" s="83"/>
      <c r="E1401" s="83"/>
      <c r="F1401" s="83"/>
      <c r="G1401" s="83" t="str">
        <f>IF($F1401="","",IFERROR(VLOOKUP($F1401,Inventory!$A:$B,2,FALSE),""))</f>
        <v/>
      </c>
      <c r="H1401" s="83"/>
      <c r="I1401" s="84" t="str">
        <f t="shared" si="2"/>
        <v/>
      </c>
      <c r="J1401" s="85" t="str">
        <f>IF($F1401="","",IFERROR(VLOOKUP($F1401,Inventory!$A:$K,11,FALSE),0))</f>
        <v/>
      </c>
      <c r="K1401" s="85"/>
      <c r="L1401" s="85" t="str">
        <f t="shared" si="12"/>
        <v/>
      </c>
      <c r="M1401" s="83"/>
      <c r="N1401" s="85" t="str">
        <f>IF($F1401="","",IFERROR(VLOOKUP($F1401,Inventory!$A:$I,9,FALSE),0))</f>
        <v/>
      </c>
      <c r="O1401" s="85" t="str">
        <f t="shared" si="13"/>
        <v/>
      </c>
      <c r="P1401" s="85" t="str">
        <f t="shared" si="5"/>
        <v/>
      </c>
      <c r="Q1401" s="83"/>
      <c r="R1401" s="118" t="str">
        <f>IF($E1401="","",IF(COUNTIF($E$7:$E2598,$E1401)&gt;1,"",IFERROR(VLOOKUP($E1401,Orders!$A:$I,8,FALSE),"")))</f>
        <v/>
      </c>
      <c r="S1401" s="118" t="str">
        <f>IF($E1401="","",IF(COUNTIF($E$7:$E2598,$E1401)&gt;1,"",IFERROR(VLOOKUP($E1401,Orders!$A:$I,9,FALSE),"")))</f>
        <v/>
      </c>
      <c r="T1401" s="88" t="str">
        <f t="shared" si="14"/>
        <v/>
      </c>
      <c r="U1401" s="88" t="str">
        <f>IF($F1401="","",IF($E1401="",T1401,SUMIF(Sales!$E$7:$E$1506,$E1401,Sales!$T$7:$T$1506)))</f>
        <v/>
      </c>
      <c r="V1401" s="49" t="str">
        <f t="shared" si="15"/>
        <v/>
      </c>
      <c r="W1401" s="49" t="str">
        <f t="array" ref="W1401">IF($V1401="","",SUMPRODUCT((Sales!$V$7:$V$1506&lt;&gt;"")*(Sales!$E$7:$E$1506&lt;$E1401))+1)</f>
        <v/>
      </c>
      <c r="X1401" s="49" t="str">
        <f t="shared" si="16"/>
        <v/>
      </c>
      <c r="Y1401" s="49" t="str">
        <f t="shared" si="17"/>
        <v/>
      </c>
    </row>
    <row r="1402" ht="15.0" customHeight="1">
      <c r="A1402" s="82"/>
      <c r="B1402" s="83"/>
      <c r="C1402" s="83"/>
      <c r="D1402" s="83"/>
      <c r="E1402" s="83"/>
      <c r="F1402" s="83"/>
      <c r="G1402" s="83" t="str">
        <f>IF($F1402="","",IFERROR(VLOOKUP($F1402,Inventory!$A:$B,2,FALSE),""))</f>
        <v/>
      </c>
      <c r="H1402" s="83"/>
      <c r="I1402" s="84" t="str">
        <f t="shared" si="2"/>
        <v/>
      </c>
      <c r="J1402" s="85" t="str">
        <f>IF($F1402="","",IFERROR(VLOOKUP($F1402,Inventory!$A:$K,11,FALSE),0))</f>
        <v/>
      </c>
      <c r="K1402" s="85"/>
      <c r="L1402" s="85" t="str">
        <f t="shared" si="12"/>
        <v/>
      </c>
      <c r="M1402" s="83"/>
      <c r="N1402" s="85" t="str">
        <f>IF($F1402="","",IFERROR(VLOOKUP($F1402,Inventory!$A:$I,9,FALSE),0))</f>
        <v/>
      </c>
      <c r="O1402" s="85" t="str">
        <f t="shared" si="13"/>
        <v/>
      </c>
      <c r="P1402" s="85" t="str">
        <f t="shared" si="5"/>
        <v/>
      </c>
      <c r="Q1402" s="83"/>
      <c r="R1402" s="118" t="str">
        <f>IF($E1402="","",IF(COUNTIF($E$7:$E2599,$E1402)&gt;1,"",IFERROR(VLOOKUP($E1402,Orders!$A:$I,8,FALSE),"")))</f>
        <v/>
      </c>
      <c r="S1402" s="118" t="str">
        <f>IF($E1402="","",IF(COUNTIF($E$7:$E2599,$E1402)&gt;1,"",IFERROR(VLOOKUP($E1402,Orders!$A:$I,9,FALSE),"")))</f>
        <v/>
      </c>
      <c r="T1402" s="88" t="str">
        <f t="shared" si="14"/>
        <v/>
      </c>
      <c r="U1402" s="88" t="str">
        <f>IF($F1402="","",IF($E1402="",T1402,SUMIF(Sales!$E$7:$E$1506,$E1402,Sales!$T$7:$T$1506)))</f>
        <v/>
      </c>
      <c r="V1402" s="49" t="str">
        <f t="shared" si="15"/>
        <v/>
      </c>
      <c r="W1402" s="49" t="str">
        <f t="array" ref="W1402">IF($V1402="","",SUMPRODUCT((Sales!$V$7:$V$1506&lt;&gt;"")*(Sales!$E$7:$E$1506&lt;$E1402))+1)</f>
        <v/>
      </c>
      <c r="X1402" s="49" t="str">
        <f t="shared" si="16"/>
        <v/>
      </c>
      <c r="Y1402" s="49" t="str">
        <f t="shared" si="17"/>
        <v/>
      </c>
    </row>
    <row r="1403" ht="15.0" customHeight="1">
      <c r="A1403" s="82"/>
      <c r="B1403" s="83"/>
      <c r="C1403" s="83"/>
      <c r="D1403" s="83"/>
      <c r="E1403" s="83"/>
      <c r="F1403" s="83"/>
      <c r="G1403" s="83" t="str">
        <f>IF($F1403="","",IFERROR(VLOOKUP($F1403,Inventory!$A:$B,2,FALSE),""))</f>
        <v/>
      </c>
      <c r="H1403" s="83"/>
      <c r="I1403" s="84" t="str">
        <f t="shared" si="2"/>
        <v/>
      </c>
      <c r="J1403" s="85" t="str">
        <f>IF($F1403="","",IFERROR(VLOOKUP($F1403,Inventory!$A:$K,11,FALSE),0))</f>
        <v/>
      </c>
      <c r="K1403" s="85"/>
      <c r="L1403" s="85" t="str">
        <f t="shared" si="12"/>
        <v/>
      </c>
      <c r="M1403" s="83"/>
      <c r="N1403" s="85" t="str">
        <f>IF($F1403="","",IFERROR(VLOOKUP($F1403,Inventory!$A:$I,9,FALSE),0))</f>
        <v/>
      </c>
      <c r="O1403" s="85" t="str">
        <f t="shared" si="13"/>
        <v/>
      </c>
      <c r="P1403" s="85" t="str">
        <f t="shared" si="5"/>
        <v/>
      </c>
      <c r="Q1403" s="83"/>
      <c r="R1403" s="118" t="str">
        <f>IF($E1403="","",IF(COUNTIF($E$7:$E2600,$E1403)&gt;1,"",IFERROR(VLOOKUP($E1403,Orders!$A:$I,8,FALSE),"")))</f>
        <v/>
      </c>
      <c r="S1403" s="118" t="str">
        <f>IF($E1403="","",IF(COUNTIF($E$7:$E2600,$E1403)&gt;1,"",IFERROR(VLOOKUP($E1403,Orders!$A:$I,9,FALSE),"")))</f>
        <v/>
      </c>
      <c r="T1403" s="88" t="str">
        <f t="shared" si="14"/>
        <v/>
      </c>
      <c r="U1403" s="88" t="str">
        <f>IF($F1403="","",IF($E1403="",T1403,SUMIF(Sales!$E$7:$E$1506,$E1403,Sales!$T$7:$T$1506)))</f>
        <v/>
      </c>
      <c r="V1403" s="49" t="str">
        <f t="shared" si="15"/>
        <v/>
      </c>
      <c r="W1403" s="49" t="str">
        <f t="array" ref="W1403">IF($V1403="","",SUMPRODUCT((Sales!$V$7:$V$1506&lt;&gt;"")*(Sales!$E$7:$E$1506&lt;$E1403))+1)</f>
        <v/>
      </c>
      <c r="X1403" s="49" t="str">
        <f t="shared" si="16"/>
        <v/>
      </c>
      <c r="Y1403" s="49" t="str">
        <f t="shared" si="17"/>
        <v/>
      </c>
    </row>
    <row r="1404" ht="15.0" customHeight="1">
      <c r="A1404" s="82"/>
      <c r="B1404" s="83"/>
      <c r="C1404" s="83"/>
      <c r="D1404" s="83"/>
      <c r="E1404" s="83"/>
      <c r="F1404" s="83"/>
      <c r="G1404" s="83" t="str">
        <f>IF($F1404="","",IFERROR(VLOOKUP($F1404,Inventory!$A:$B,2,FALSE),""))</f>
        <v/>
      </c>
      <c r="H1404" s="83"/>
      <c r="I1404" s="84" t="str">
        <f t="shared" si="2"/>
        <v/>
      </c>
      <c r="J1404" s="85" t="str">
        <f>IF($F1404="","",IFERROR(VLOOKUP($F1404,Inventory!$A:$K,11,FALSE),0))</f>
        <v/>
      </c>
      <c r="K1404" s="85"/>
      <c r="L1404" s="85" t="str">
        <f t="shared" si="12"/>
        <v/>
      </c>
      <c r="M1404" s="83"/>
      <c r="N1404" s="85" t="str">
        <f>IF($F1404="","",IFERROR(VLOOKUP($F1404,Inventory!$A:$I,9,FALSE),0))</f>
        <v/>
      </c>
      <c r="O1404" s="85" t="str">
        <f t="shared" si="13"/>
        <v/>
      </c>
      <c r="P1404" s="85" t="str">
        <f t="shared" si="5"/>
        <v/>
      </c>
      <c r="Q1404" s="83"/>
      <c r="R1404" s="118" t="str">
        <f>IF($E1404="","",IF(COUNTIF($E$7:$E2601,$E1404)&gt;1,"",IFERROR(VLOOKUP($E1404,Orders!$A:$I,8,FALSE),"")))</f>
        <v/>
      </c>
      <c r="S1404" s="118" t="str">
        <f>IF($E1404="","",IF(COUNTIF($E$7:$E2601,$E1404)&gt;1,"",IFERROR(VLOOKUP($E1404,Orders!$A:$I,9,FALSE),"")))</f>
        <v/>
      </c>
      <c r="T1404" s="88" t="str">
        <f t="shared" si="14"/>
        <v/>
      </c>
      <c r="U1404" s="88" t="str">
        <f>IF($F1404="","",IF($E1404="",T1404,SUMIF(Sales!$E$7:$E$1506,$E1404,Sales!$T$7:$T$1506)))</f>
        <v/>
      </c>
      <c r="V1404" s="49" t="str">
        <f t="shared" si="15"/>
        <v/>
      </c>
      <c r="W1404" s="49" t="str">
        <f t="array" ref="W1404">IF($V1404="","",SUMPRODUCT((Sales!$V$7:$V$1506&lt;&gt;"")*(Sales!$E$7:$E$1506&lt;$E1404))+1)</f>
        <v/>
      </c>
      <c r="X1404" s="49" t="str">
        <f t="shared" si="16"/>
        <v/>
      </c>
      <c r="Y1404" s="49" t="str">
        <f t="shared" si="17"/>
        <v/>
      </c>
    </row>
    <row r="1405" ht="15.0" customHeight="1">
      <c r="A1405" s="82"/>
      <c r="B1405" s="83"/>
      <c r="C1405" s="83"/>
      <c r="D1405" s="83"/>
      <c r="E1405" s="83"/>
      <c r="F1405" s="83"/>
      <c r="G1405" s="83" t="str">
        <f>IF($F1405="","",IFERROR(VLOOKUP($F1405,Inventory!$A:$B,2,FALSE),""))</f>
        <v/>
      </c>
      <c r="H1405" s="83"/>
      <c r="I1405" s="84" t="str">
        <f t="shared" si="2"/>
        <v/>
      </c>
      <c r="J1405" s="85" t="str">
        <f>IF($F1405="","",IFERROR(VLOOKUP($F1405,Inventory!$A:$K,11,FALSE),0))</f>
        <v/>
      </c>
      <c r="K1405" s="85"/>
      <c r="L1405" s="85" t="str">
        <f t="shared" si="12"/>
        <v/>
      </c>
      <c r="M1405" s="83"/>
      <c r="N1405" s="85" t="str">
        <f>IF($F1405="","",IFERROR(VLOOKUP($F1405,Inventory!$A:$I,9,FALSE),0))</f>
        <v/>
      </c>
      <c r="O1405" s="85" t="str">
        <f t="shared" si="13"/>
        <v/>
      </c>
      <c r="P1405" s="85" t="str">
        <f t="shared" si="5"/>
        <v/>
      </c>
      <c r="Q1405" s="83"/>
      <c r="R1405" s="118" t="str">
        <f>IF($E1405="","",IF(COUNTIF($E$7:$E2602,$E1405)&gt;1,"",IFERROR(VLOOKUP($E1405,Orders!$A:$I,8,FALSE),"")))</f>
        <v/>
      </c>
      <c r="S1405" s="118" t="str">
        <f>IF($E1405="","",IF(COUNTIF($E$7:$E2602,$E1405)&gt;1,"",IFERROR(VLOOKUP($E1405,Orders!$A:$I,9,FALSE),"")))</f>
        <v/>
      </c>
      <c r="T1405" s="88" t="str">
        <f t="shared" si="14"/>
        <v/>
      </c>
      <c r="U1405" s="88" t="str">
        <f>IF($F1405="","",IF($E1405="",T1405,SUMIF(Sales!$E$7:$E$1506,$E1405,Sales!$T$7:$T$1506)))</f>
        <v/>
      </c>
      <c r="V1405" s="49" t="str">
        <f t="shared" si="15"/>
        <v/>
      </c>
      <c r="W1405" s="49" t="str">
        <f t="array" ref="W1405">IF($V1405="","",SUMPRODUCT((Sales!$V$7:$V$1506&lt;&gt;"")*(Sales!$E$7:$E$1506&lt;$E1405))+1)</f>
        <v/>
      </c>
      <c r="X1405" s="49" t="str">
        <f t="shared" si="16"/>
        <v/>
      </c>
      <c r="Y1405" s="49" t="str">
        <f t="shared" si="17"/>
        <v/>
      </c>
    </row>
    <row r="1406" ht="15.0" customHeight="1">
      <c r="A1406" s="82"/>
      <c r="B1406" s="83"/>
      <c r="C1406" s="83"/>
      <c r="D1406" s="83"/>
      <c r="E1406" s="83"/>
      <c r="F1406" s="83"/>
      <c r="G1406" s="83" t="str">
        <f>IF($F1406="","",IFERROR(VLOOKUP($F1406,Inventory!$A:$B,2,FALSE),""))</f>
        <v/>
      </c>
      <c r="H1406" s="83"/>
      <c r="I1406" s="84" t="str">
        <f t="shared" si="2"/>
        <v/>
      </c>
      <c r="J1406" s="85" t="str">
        <f>IF($F1406="","",IFERROR(VLOOKUP($F1406,Inventory!$A:$K,11,FALSE),0))</f>
        <v/>
      </c>
      <c r="K1406" s="85"/>
      <c r="L1406" s="85" t="str">
        <f t="shared" si="12"/>
        <v/>
      </c>
      <c r="M1406" s="83"/>
      <c r="N1406" s="85" t="str">
        <f>IF($F1406="","",IFERROR(VLOOKUP($F1406,Inventory!$A:$I,9,FALSE),0))</f>
        <v/>
      </c>
      <c r="O1406" s="85" t="str">
        <f t="shared" si="13"/>
        <v/>
      </c>
      <c r="P1406" s="85" t="str">
        <f t="shared" si="5"/>
        <v/>
      </c>
      <c r="Q1406" s="83"/>
      <c r="R1406" s="118" t="str">
        <f>IF($E1406="","",IF(COUNTIF($E$7:$E2603,$E1406)&gt;1,"",IFERROR(VLOOKUP($E1406,Orders!$A:$I,8,FALSE),"")))</f>
        <v/>
      </c>
      <c r="S1406" s="118" t="str">
        <f>IF($E1406="","",IF(COUNTIF($E$7:$E2603,$E1406)&gt;1,"",IFERROR(VLOOKUP($E1406,Orders!$A:$I,9,FALSE),"")))</f>
        <v/>
      </c>
      <c r="T1406" s="88" t="str">
        <f t="shared" si="14"/>
        <v/>
      </c>
      <c r="U1406" s="88" t="str">
        <f>IF($F1406="","",IF($E1406="",T1406,SUMIF(Sales!$E$7:$E$1506,$E1406,Sales!$T$7:$T$1506)))</f>
        <v/>
      </c>
      <c r="V1406" s="49" t="str">
        <f t="shared" si="15"/>
        <v/>
      </c>
      <c r="W1406" s="49" t="str">
        <f t="array" ref="W1406">IF($V1406="","",SUMPRODUCT((Sales!$V$7:$V$1506&lt;&gt;"")*(Sales!$E$7:$E$1506&lt;$E1406))+1)</f>
        <v/>
      </c>
      <c r="X1406" s="49" t="str">
        <f t="shared" si="16"/>
        <v/>
      </c>
      <c r="Y1406" s="49" t="str">
        <f t="shared" si="17"/>
        <v/>
      </c>
    </row>
    <row r="1407" ht="15.0" customHeight="1">
      <c r="A1407" s="82"/>
      <c r="B1407" s="83"/>
      <c r="C1407" s="83"/>
      <c r="D1407" s="83"/>
      <c r="E1407" s="83"/>
      <c r="F1407" s="83"/>
      <c r="G1407" s="83" t="str">
        <f>IF($F1407="","",IFERROR(VLOOKUP($F1407,Inventory!$A:$B,2,FALSE),""))</f>
        <v/>
      </c>
      <c r="H1407" s="83"/>
      <c r="I1407" s="84" t="str">
        <f t="shared" si="2"/>
        <v/>
      </c>
      <c r="J1407" s="85" t="str">
        <f>IF($F1407="","",IFERROR(VLOOKUP($F1407,Inventory!$A:$K,11,FALSE),0))</f>
        <v/>
      </c>
      <c r="K1407" s="85"/>
      <c r="L1407" s="85" t="str">
        <f t="shared" si="12"/>
        <v/>
      </c>
      <c r="M1407" s="83"/>
      <c r="N1407" s="85" t="str">
        <f>IF($F1407="","",IFERROR(VLOOKUP($F1407,Inventory!$A:$I,9,FALSE),0))</f>
        <v/>
      </c>
      <c r="O1407" s="85" t="str">
        <f t="shared" si="13"/>
        <v/>
      </c>
      <c r="P1407" s="85" t="str">
        <f t="shared" si="5"/>
        <v/>
      </c>
      <c r="Q1407" s="83"/>
      <c r="R1407" s="118" t="str">
        <f>IF($E1407="","",IF(COUNTIF($E$7:$E2604,$E1407)&gt;1,"",IFERROR(VLOOKUP($E1407,Orders!$A:$I,8,FALSE),"")))</f>
        <v/>
      </c>
      <c r="S1407" s="118" t="str">
        <f>IF($E1407="","",IF(COUNTIF($E$7:$E2604,$E1407)&gt;1,"",IFERROR(VLOOKUP($E1407,Orders!$A:$I,9,FALSE),"")))</f>
        <v/>
      </c>
      <c r="T1407" s="88" t="str">
        <f t="shared" si="14"/>
        <v/>
      </c>
      <c r="U1407" s="88" t="str">
        <f>IF($F1407="","",IF($E1407="",T1407,SUMIF(Sales!$E$7:$E$1506,$E1407,Sales!$T$7:$T$1506)))</f>
        <v/>
      </c>
      <c r="V1407" s="49" t="str">
        <f t="shared" si="15"/>
        <v/>
      </c>
      <c r="W1407" s="49" t="str">
        <f t="array" ref="W1407">IF($V1407="","",SUMPRODUCT((Sales!$V$7:$V$1506&lt;&gt;"")*(Sales!$E$7:$E$1506&lt;$E1407))+1)</f>
        <v/>
      </c>
      <c r="X1407" s="49" t="str">
        <f t="shared" si="16"/>
        <v/>
      </c>
      <c r="Y1407" s="49" t="str">
        <f t="shared" si="17"/>
        <v/>
      </c>
    </row>
    <row r="1408" ht="15.0" customHeight="1">
      <c r="A1408" s="82"/>
      <c r="B1408" s="83"/>
      <c r="C1408" s="83"/>
      <c r="D1408" s="83"/>
      <c r="E1408" s="83"/>
      <c r="F1408" s="83"/>
      <c r="G1408" s="83" t="str">
        <f>IF($F1408="","",IFERROR(VLOOKUP($F1408,Inventory!$A:$B,2,FALSE),""))</f>
        <v/>
      </c>
      <c r="H1408" s="83"/>
      <c r="I1408" s="84" t="str">
        <f t="shared" si="2"/>
        <v/>
      </c>
      <c r="J1408" s="85" t="str">
        <f>IF($F1408="","",IFERROR(VLOOKUP($F1408,Inventory!$A:$K,11,FALSE),0))</f>
        <v/>
      </c>
      <c r="K1408" s="85"/>
      <c r="L1408" s="85" t="str">
        <f t="shared" si="12"/>
        <v/>
      </c>
      <c r="M1408" s="83"/>
      <c r="N1408" s="85" t="str">
        <f>IF($F1408="","",IFERROR(VLOOKUP($F1408,Inventory!$A:$I,9,FALSE),0))</f>
        <v/>
      </c>
      <c r="O1408" s="85" t="str">
        <f t="shared" si="13"/>
        <v/>
      </c>
      <c r="P1408" s="85" t="str">
        <f t="shared" si="5"/>
        <v/>
      </c>
      <c r="Q1408" s="83"/>
      <c r="R1408" s="118" t="str">
        <f>IF($E1408="","",IF(COUNTIF($E$7:$E2605,$E1408)&gt;1,"",IFERROR(VLOOKUP($E1408,Orders!$A:$I,8,FALSE),"")))</f>
        <v/>
      </c>
      <c r="S1408" s="118" t="str">
        <f>IF($E1408="","",IF(COUNTIF($E$7:$E2605,$E1408)&gt;1,"",IFERROR(VLOOKUP($E1408,Orders!$A:$I,9,FALSE),"")))</f>
        <v/>
      </c>
      <c r="T1408" s="88" t="str">
        <f t="shared" si="14"/>
        <v/>
      </c>
      <c r="U1408" s="88" t="str">
        <f>IF($F1408="","",IF($E1408="",T1408,SUMIF(Sales!$E$7:$E$1506,$E1408,Sales!$T$7:$T$1506)))</f>
        <v/>
      </c>
      <c r="V1408" s="49" t="str">
        <f t="shared" si="15"/>
        <v/>
      </c>
      <c r="W1408" s="49" t="str">
        <f t="array" ref="W1408">IF($V1408="","",SUMPRODUCT((Sales!$V$7:$V$1506&lt;&gt;"")*(Sales!$E$7:$E$1506&lt;$E1408))+1)</f>
        <v/>
      </c>
      <c r="X1408" s="49" t="str">
        <f t="shared" si="16"/>
        <v/>
      </c>
      <c r="Y1408" s="49" t="str">
        <f t="shared" si="17"/>
        <v/>
      </c>
    </row>
    <row r="1409" ht="15.0" customHeight="1">
      <c r="A1409" s="82"/>
      <c r="B1409" s="83"/>
      <c r="C1409" s="83"/>
      <c r="D1409" s="83"/>
      <c r="E1409" s="83"/>
      <c r="F1409" s="83"/>
      <c r="G1409" s="83" t="str">
        <f>IF($F1409="","",IFERROR(VLOOKUP($F1409,Inventory!$A:$B,2,FALSE),""))</f>
        <v/>
      </c>
      <c r="H1409" s="83"/>
      <c r="I1409" s="84" t="str">
        <f t="shared" si="2"/>
        <v/>
      </c>
      <c r="J1409" s="85" t="str">
        <f>IF($F1409="","",IFERROR(VLOOKUP($F1409,Inventory!$A:$K,11,FALSE),0))</f>
        <v/>
      </c>
      <c r="K1409" s="85"/>
      <c r="L1409" s="85" t="str">
        <f t="shared" si="12"/>
        <v/>
      </c>
      <c r="M1409" s="83"/>
      <c r="N1409" s="85" t="str">
        <f>IF($F1409="","",IFERROR(VLOOKUP($F1409,Inventory!$A:$I,9,FALSE),0))</f>
        <v/>
      </c>
      <c r="O1409" s="85" t="str">
        <f t="shared" si="13"/>
        <v/>
      </c>
      <c r="P1409" s="85" t="str">
        <f t="shared" si="5"/>
        <v/>
      </c>
      <c r="Q1409" s="83"/>
      <c r="R1409" s="118" t="str">
        <f>IF($E1409="","",IF(COUNTIF($E$7:$E2606,$E1409)&gt;1,"",IFERROR(VLOOKUP($E1409,Orders!$A:$I,8,FALSE),"")))</f>
        <v/>
      </c>
      <c r="S1409" s="118" t="str">
        <f>IF($E1409="","",IF(COUNTIF($E$7:$E2606,$E1409)&gt;1,"",IFERROR(VLOOKUP($E1409,Orders!$A:$I,9,FALSE),"")))</f>
        <v/>
      </c>
      <c r="T1409" s="88" t="str">
        <f t="shared" si="14"/>
        <v/>
      </c>
      <c r="U1409" s="88" t="str">
        <f>IF($F1409="","",IF($E1409="",T1409,SUMIF(Sales!$E$7:$E$1506,$E1409,Sales!$T$7:$T$1506)))</f>
        <v/>
      </c>
      <c r="V1409" s="49" t="str">
        <f t="shared" si="15"/>
        <v/>
      </c>
      <c r="W1409" s="49" t="str">
        <f t="array" ref="W1409">IF($V1409="","",SUMPRODUCT((Sales!$V$7:$V$1506&lt;&gt;"")*(Sales!$E$7:$E$1506&lt;$E1409))+1)</f>
        <v/>
      </c>
      <c r="X1409" s="49" t="str">
        <f t="shared" si="16"/>
        <v/>
      </c>
      <c r="Y1409" s="49" t="str">
        <f t="shared" si="17"/>
        <v/>
      </c>
    </row>
    <row r="1410" ht="15.0" customHeight="1">
      <c r="A1410" s="82"/>
      <c r="B1410" s="83"/>
      <c r="C1410" s="83"/>
      <c r="D1410" s="83"/>
      <c r="E1410" s="83"/>
      <c r="F1410" s="83"/>
      <c r="G1410" s="83" t="str">
        <f>IF($F1410="","",IFERROR(VLOOKUP($F1410,Inventory!$A:$B,2,FALSE),""))</f>
        <v/>
      </c>
      <c r="H1410" s="83"/>
      <c r="I1410" s="84" t="str">
        <f t="shared" si="2"/>
        <v/>
      </c>
      <c r="J1410" s="85" t="str">
        <f>IF($F1410="","",IFERROR(VLOOKUP($F1410,Inventory!$A:$K,11,FALSE),0))</f>
        <v/>
      </c>
      <c r="K1410" s="85"/>
      <c r="L1410" s="85" t="str">
        <f t="shared" si="12"/>
        <v/>
      </c>
      <c r="M1410" s="83"/>
      <c r="N1410" s="85" t="str">
        <f>IF($F1410="","",IFERROR(VLOOKUP($F1410,Inventory!$A:$I,9,FALSE),0))</f>
        <v/>
      </c>
      <c r="O1410" s="85" t="str">
        <f t="shared" si="13"/>
        <v/>
      </c>
      <c r="P1410" s="85" t="str">
        <f t="shared" si="5"/>
        <v/>
      </c>
      <c r="Q1410" s="83"/>
      <c r="R1410" s="118" t="str">
        <f>IF($E1410="","",IF(COUNTIF($E$7:$E2607,$E1410)&gt;1,"",IFERROR(VLOOKUP($E1410,Orders!$A:$I,8,FALSE),"")))</f>
        <v/>
      </c>
      <c r="S1410" s="118" t="str">
        <f>IF($E1410="","",IF(COUNTIF($E$7:$E2607,$E1410)&gt;1,"",IFERROR(VLOOKUP($E1410,Orders!$A:$I,9,FALSE),"")))</f>
        <v/>
      </c>
      <c r="T1410" s="88" t="str">
        <f t="shared" si="14"/>
        <v/>
      </c>
      <c r="U1410" s="88" t="str">
        <f>IF($F1410="","",IF($E1410="",T1410,SUMIF(Sales!$E$7:$E$1506,$E1410,Sales!$T$7:$T$1506)))</f>
        <v/>
      </c>
      <c r="V1410" s="49" t="str">
        <f t="shared" si="15"/>
        <v/>
      </c>
      <c r="W1410" s="49" t="str">
        <f t="array" ref="W1410">IF($V1410="","",SUMPRODUCT((Sales!$V$7:$V$1506&lt;&gt;"")*(Sales!$E$7:$E$1506&lt;$E1410))+1)</f>
        <v/>
      </c>
      <c r="X1410" s="49" t="str">
        <f t="shared" si="16"/>
        <v/>
      </c>
      <c r="Y1410" s="49" t="str">
        <f t="shared" si="17"/>
        <v/>
      </c>
    </row>
    <row r="1411" ht="15.0" customHeight="1">
      <c r="A1411" s="82"/>
      <c r="B1411" s="83"/>
      <c r="C1411" s="83"/>
      <c r="D1411" s="83"/>
      <c r="E1411" s="83"/>
      <c r="F1411" s="83"/>
      <c r="G1411" s="83" t="str">
        <f>IF($F1411="","",IFERROR(VLOOKUP($F1411,Inventory!$A:$B,2,FALSE),""))</f>
        <v/>
      </c>
      <c r="H1411" s="83"/>
      <c r="I1411" s="84" t="str">
        <f t="shared" si="2"/>
        <v/>
      </c>
      <c r="J1411" s="85" t="str">
        <f>IF($F1411="","",IFERROR(VLOOKUP($F1411,Inventory!$A:$K,11,FALSE),0))</f>
        <v/>
      </c>
      <c r="K1411" s="85"/>
      <c r="L1411" s="85" t="str">
        <f t="shared" si="12"/>
        <v/>
      </c>
      <c r="M1411" s="83"/>
      <c r="N1411" s="85" t="str">
        <f>IF($F1411="","",IFERROR(VLOOKUP($F1411,Inventory!$A:$I,9,FALSE),0))</f>
        <v/>
      </c>
      <c r="O1411" s="85" t="str">
        <f t="shared" si="13"/>
        <v/>
      </c>
      <c r="P1411" s="85" t="str">
        <f t="shared" si="5"/>
        <v/>
      </c>
      <c r="Q1411" s="83"/>
      <c r="R1411" s="118" t="str">
        <f>IF($E1411="","",IF(COUNTIF($E$7:$E2608,$E1411)&gt;1,"",IFERROR(VLOOKUP($E1411,Orders!$A:$I,8,FALSE),"")))</f>
        <v/>
      </c>
      <c r="S1411" s="118" t="str">
        <f>IF($E1411="","",IF(COUNTIF($E$7:$E2608,$E1411)&gt;1,"",IFERROR(VLOOKUP($E1411,Orders!$A:$I,9,FALSE),"")))</f>
        <v/>
      </c>
      <c r="T1411" s="88" t="str">
        <f t="shared" si="14"/>
        <v/>
      </c>
      <c r="U1411" s="88" t="str">
        <f>IF($F1411="","",IF($E1411="",T1411,SUMIF(Sales!$E$7:$E$1506,$E1411,Sales!$T$7:$T$1506)))</f>
        <v/>
      </c>
      <c r="V1411" s="49" t="str">
        <f t="shared" si="15"/>
        <v/>
      </c>
      <c r="W1411" s="49" t="str">
        <f t="array" ref="W1411">IF($V1411="","",SUMPRODUCT((Sales!$V$7:$V$1506&lt;&gt;"")*(Sales!$E$7:$E$1506&lt;$E1411))+1)</f>
        <v/>
      </c>
      <c r="X1411" s="49" t="str">
        <f t="shared" si="16"/>
        <v/>
      </c>
      <c r="Y1411" s="49" t="str">
        <f t="shared" si="17"/>
        <v/>
      </c>
    </row>
    <row r="1412" ht="15.0" customHeight="1">
      <c r="A1412" s="82"/>
      <c r="B1412" s="83"/>
      <c r="C1412" s="83"/>
      <c r="D1412" s="83"/>
      <c r="E1412" s="83"/>
      <c r="F1412" s="83"/>
      <c r="G1412" s="83" t="str">
        <f>IF($F1412="","",IFERROR(VLOOKUP($F1412,Inventory!$A:$B,2,FALSE),""))</f>
        <v/>
      </c>
      <c r="H1412" s="83"/>
      <c r="I1412" s="84" t="str">
        <f t="shared" si="2"/>
        <v/>
      </c>
      <c r="J1412" s="85" t="str">
        <f>IF($F1412="","",IFERROR(VLOOKUP($F1412,Inventory!$A:$K,11,FALSE),0))</f>
        <v/>
      </c>
      <c r="K1412" s="85"/>
      <c r="L1412" s="85" t="str">
        <f t="shared" si="12"/>
        <v/>
      </c>
      <c r="M1412" s="83"/>
      <c r="N1412" s="85" t="str">
        <f>IF($F1412="","",IFERROR(VLOOKUP($F1412,Inventory!$A:$I,9,FALSE),0))</f>
        <v/>
      </c>
      <c r="O1412" s="85" t="str">
        <f t="shared" si="13"/>
        <v/>
      </c>
      <c r="P1412" s="85" t="str">
        <f t="shared" si="5"/>
        <v/>
      </c>
      <c r="Q1412" s="83"/>
      <c r="R1412" s="118" t="str">
        <f>IF($E1412="","",IF(COUNTIF($E$7:$E2609,$E1412)&gt;1,"",IFERROR(VLOOKUP($E1412,Orders!$A:$I,8,FALSE),"")))</f>
        <v/>
      </c>
      <c r="S1412" s="118" t="str">
        <f>IF($E1412="","",IF(COUNTIF($E$7:$E2609,$E1412)&gt;1,"",IFERROR(VLOOKUP($E1412,Orders!$A:$I,9,FALSE),"")))</f>
        <v/>
      </c>
      <c r="T1412" s="88" t="str">
        <f t="shared" si="14"/>
        <v/>
      </c>
      <c r="U1412" s="88" t="str">
        <f>IF($F1412="","",IF($E1412="",T1412,SUMIF(Sales!$E$7:$E$1506,$E1412,Sales!$T$7:$T$1506)))</f>
        <v/>
      </c>
      <c r="V1412" s="49" t="str">
        <f t="shared" si="15"/>
        <v/>
      </c>
      <c r="W1412" s="49" t="str">
        <f t="array" ref="W1412">IF($V1412="","",SUMPRODUCT((Sales!$V$7:$V$1506&lt;&gt;"")*(Sales!$E$7:$E$1506&lt;$E1412))+1)</f>
        <v/>
      </c>
      <c r="X1412" s="49" t="str">
        <f t="shared" si="16"/>
        <v/>
      </c>
      <c r="Y1412" s="49" t="str">
        <f t="shared" si="17"/>
        <v/>
      </c>
    </row>
    <row r="1413" ht="15.0" customHeight="1">
      <c r="A1413" s="82"/>
      <c r="B1413" s="83"/>
      <c r="C1413" s="83"/>
      <c r="D1413" s="83"/>
      <c r="E1413" s="83"/>
      <c r="F1413" s="83"/>
      <c r="G1413" s="83" t="str">
        <f>IF($F1413="","",IFERROR(VLOOKUP($F1413,Inventory!$A:$B,2,FALSE),""))</f>
        <v/>
      </c>
      <c r="H1413" s="83"/>
      <c r="I1413" s="84" t="str">
        <f t="shared" si="2"/>
        <v/>
      </c>
      <c r="J1413" s="85" t="str">
        <f>IF($F1413="","",IFERROR(VLOOKUP($F1413,Inventory!$A:$K,11,FALSE),0))</f>
        <v/>
      </c>
      <c r="K1413" s="85"/>
      <c r="L1413" s="85" t="str">
        <f t="shared" si="12"/>
        <v/>
      </c>
      <c r="M1413" s="83"/>
      <c r="N1413" s="85" t="str">
        <f>IF($F1413="","",IFERROR(VLOOKUP($F1413,Inventory!$A:$I,9,FALSE),0))</f>
        <v/>
      </c>
      <c r="O1413" s="85" t="str">
        <f t="shared" si="13"/>
        <v/>
      </c>
      <c r="P1413" s="85" t="str">
        <f t="shared" si="5"/>
        <v/>
      </c>
      <c r="Q1413" s="83"/>
      <c r="R1413" s="118" t="str">
        <f>IF($E1413="","",IF(COUNTIF($E$7:$E2610,$E1413)&gt;1,"",IFERROR(VLOOKUP($E1413,Orders!$A:$I,8,FALSE),"")))</f>
        <v/>
      </c>
      <c r="S1413" s="118" t="str">
        <f>IF($E1413="","",IF(COUNTIF($E$7:$E2610,$E1413)&gt;1,"",IFERROR(VLOOKUP($E1413,Orders!$A:$I,9,FALSE),"")))</f>
        <v/>
      </c>
      <c r="T1413" s="88" t="str">
        <f t="shared" si="14"/>
        <v/>
      </c>
      <c r="U1413" s="88" t="str">
        <f>IF($F1413="","",IF($E1413="",T1413,SUMIF(Sales!$E$7:$E$1506,$E1413,Sales!$T$7:$T$1506)))</f>
        <v/>
      </c>
      <c r="V1413" s="49" t="str">
        <f t="shared" si="15"/>
        <v/>
      </c>
      <c r="W1413" s="49" t="str">
        <f t="array" ref="W1413">IF($V1413="","",SUMPRODUCT((Sales!$V$7:$V$1506&lt;&gt;"")*(Sales!$E$7:$E$1506&lt;$E1413))+1)</f>
        <v/>
      </c>
      <c r="X1413" s="49" t="str">
        <f t="shared" si="16"/>
        <v/>
      </c>
      <c r="Y1413" s="49" t="str">
        <f t="shared" si="17"/>
        <v/>
      </c>
    </row>
    <row r="1414" ht="15.0" customHeight="1">
      <c r="A1414" s="82"/>
      <c r="B1414" s="83"/>
      <c r="C1414" s="83"/>
      <c r="D1414" s="83"/>
      <c r="E1414" s="83"/>
      <c r="F1414" s="83"/>
      <c r="G1414" s="83" t="str">
        <f>IF($F1414="","",IFERROR(VLOOKUP($F1414,Inventory!$A:$B,2,FALSE),""))</f>
        <v/>
      </c>
      <c r="H1414" s="83"/>
      <c r="I1414" s="84" t="str">
        <f t="shared" si="2"/>
        <v/>
      </c>
      <c r="J1414" s="85" t="str">
        <f>IF($F1414="","",IFERROR(VLOOKUP($F1414,Inventory!$A:$K,11,FALSE),0))</f>
        <v/>
      </c>
      <c r="K1414" s="85"/>
      <c r="L1414" s="85" t="str">
        <f t="shared" si="12"/>
        <v/>
      </c>
      <c r="M1414" s="83"/>
      <c r="N1414" s="85" t="str">
        <f>IF($F1414="","",IFERROR(VLOOKUP($F1414,Inventory!$A:$I,9,FALSE),0))</f>
        <v/>
      </c>
      <c r="O1414" s="85" t="str">
        <f t="shared" si="13"/>
        <v/>
      </c>
      <c r="P1414" s="85" t="str">
        <f t="shared" si="5"/>
        <v/>
      </c>
      <c r="Q1414" s="83"/>
      <c r="R1414" s="118" t="str">
        <f>IF($E1414="","",IF(COUNTIF($E$7:$E2611,$E1414)&gt;1,"",IFERROR(VLOOKUP($E1414,Orders!$A:$I,8,FALSE),"")))</f>
        <v/>
      </c>
      <c r="S1414" s="118" t="str">
        <f>IF($E1414="","",IF(COUNTIF($E$7:$E2611,$E1414)&gt;1,"",IFERROR(VLOOKUP($E1414,Orders!$A:$I,9,FALSE),"")))</f>
        <v/>
      </c>
      <c r="T1414" s="88" t="str">
        <f t="shared" si="14"/>
        <v/>
      </c>
      <c r="U1414" s="88" t="str">
        <f>IF($F1414="","",IF($E1414="",T1414,SUMIF(Sales!$E$7:$E$1506,$E1414,Sales!$T$7:$T$1506)))</f>
        <v/>
      </c>
      <c r="V1414" s="49" t="str">
        <f t="shared" si="15"/>
        <v/>
      </c>
      <c r="W1414" s="49" t="str">
        <f t="array" ref="W1414">IF($V1414="","",SUMPRODUCT((Sales!$V$7:$V$1506&lt;&gt;"")*(Sales!$E$7:$E$1506&lt;$E1414))+1)</f>
        <v/>
      </c>
      <c r="X1414" s="49" t="str">
        <f t="shared" si="16"/>
        <v/>
      </c>
      <c r="Y1414" s="49" t="str">
        <f t="shared" si="17"/>
        <v/>
      </c>
    </row>
    <row r="1415" ht="15.0" customHeight="1">
      <c r="A1415" s="82"/>
      <c r="B1415" s="83"/>
      <c r="C1415" s="83"/>
      <c r="D1415" s="83"/>
      <c r="E1415" s="83"/>
      <c r="F1415" s="83"/>
      <c r="G1415" s="83" t="str">
        <f>IF($F1415="","",IFERROR(VLOOKUP($F1415,Inventory!$A:$B,2,FALSE),""))</f>
        <v/>
      </c>
      <c r="H1415" s="83"/>
      <c r="I1415" s="84" t="str">
        <f t="shared" si="2"/>
        <v/>
      </c>
      <c r="J1415" s="85" t="str">
        <f>IF($F1415="","",IFERROR(VLOOKUP($F1415,Inventory!$A:$K,11,FALSE),0))</f>
        <v/>
      </c>
      <c r="K1415" s="85"/>
      <c r="L1415" s="85" t="str">
        <f t="shared" si="12"/>
        <v/>
      </c>
      <c r="M1415" s="83"/>
      <c r="N1415" s="85" t="str">
        <f>IF($F1415="","",IFERROR(VLOOKUP($F1415,Inventory!$A:$I,9,FALSE),0))</f>
        <v/>
      </c>
      <c r="O1415" s="85" t="str">
        <f t="shared" si="13"/>
        <v/>
      </c>
      <c r="P1415" s="85" t="str">
        <f t="shared" si="5"/>
        <v/>
      </c>
      <c r="Q1415" s="83"/>
      <c r="R1415" s="118" t="str">
        <f>IF($E1415="","",IF(COUNTIF($E$7:$E2612,$E1415)&gt;1,"",IFERROR(VLOOKUP($E1415,Orders!$A:$I,8,FALSE),"")))</f>
        <v/>
      </c>
      <c r="S1415" s="118" t="str">
        <f>IF($E1415="","",IF(COUNTIF($E$7:$E2612,$E1415)&gt;1,"",IFERROR(VLOOKUP($E1415,Orders!$A:$I,9,FALSE),"")))</f>
        <v/>
      </c>
      <c r="T1415" s="88" t="str">
        <f t="shared" si="14"/>
        <v/>
      </c>
      <c r="U1415" s="88" t="str">
        <f>IF($F1415="","",IF($E1415="",T1415,SUMIF(Sales!$E$7:$E$1506,$E1415,Sales!$T$7:$T$1506)))</f>
        <v/>
      </c>
      <c r="V1415" s="49" t="str">
        <f t="shared" si="15"/>
        <v/>
      </c>
      <c r="W1415" s="49" t="str">
        <f t="array" ref="W1415">IF($V1415="","",SUMPRODUCT((Sales!$V$7:$V$1506&lt;&gt;"")*(Sales!$E$7:$E$1506&lt;$E1415))+1)</f>
        <v/>
      </c>
      <c r="X1415" s="49" t="str">
        <f t="shared" si="16"/>
        <v/>
      </c>
      <c r="Y1415" s="49" t="str">
        <f t="shared" si="17"/>
        <v/>
      </c>
    </row>
    <row r="1416" ht="15.0" customHeight="1">
      <c r="A1416" s="82"/>
      <c r="B1416" s="83"/>
      <c r="C1416" s="83"/>
      <c r="D1416" s="83"/>
      <c r="E1416" s="83"/>
      <c r="F1416" s="83"/>
      <c r="G1416" s="83" t="str">
        <f>IF($F1416="","",IFERROR(VLOOKUP($F1416,Inventory!$A:$B,2,FALSE),""))</f>
        <v/>
      </c>
      <c r="H1416" s="83"/>
      <c r="I1416" s="84" t="str">
        <f t="shared" si="2"/>
        <v/>
      </c>
      <c r="J1416" s="85" t="str">
        <f>IF($F1416="","",IFERROR(VLOOKUP($F1416,Inventory!$A:$K,11,FALSE),0))</f>
        <v/>
      </c>
      <c r="K1416" s="85"/>
      <c r="L1416" s="85" t="str">
        <f t="shared" si="12"/>
        <v/>
      </c>
      <c r="M1416" s="83"/>
      <c r="N1416" s="85" t="str">
        <f>IF($F1416="","",IFERROR(VLOOKUP($F1416,Inventory!$A:$I,9,FALSE),0))</f>
        <v/>
      </c>
      <c r="O1416" s="85" t="str">
        <f t="shared" si="13"/>
        <v/>
      </c>
      <c r="P1416" s="85" t="str">
        <f t="shared" si="5"/>
        <v/>
      </c>
      <c r="Q1416" s="83"/>
      <c r="R1416" s="118" t="str">
        <f>IF($E1416="","",IF(COUNTIF($E$7:$E2613,$E1416)&gt;1,"",IFERROR(VLOOKUP($E1416,Orders!$A:$I,8,FALSE),"")))</f>
        <v/>
      </c>
      <c r="S1416" s="118" t="str">
        <f>IF($E1416="","",IF(COUNTIF($E$7:$E2613,$E1416)&gt;1,"",IFERROR(VLOOKUP($E1416,Orders!$A:$I,9,FALSE),"")))</f>
        <v/>
      </c>
      <c r="T1416" s="88" t="str">
        <f t="shared" si="14"/>
        <v/>
      </c>
      <c r="U1416" s="88" t="str">
        <f>IF($F1416="","",IF($E1416="",T1416,SUMIF(Sales!$E$7:$E$1506,$E1416,Sales!$T$7:$T$1506)))</f>
        <v/>
      </c>
      <c r="V1416" s="49" t="str">
        <f t="shared" si="15"/>
        <v/>
      </c>
      <c r="W1416" s="49" t="str">
        <f t="array" ref="W1416">IF($V1416="","",SUMPRODUCT((Sales!$V$7:$V$1506&lt;&gt;"")*(Sales!$E$7:$E$1506&lt;$E1416))+1)</f>
        <v/>
      </c>
      <c r="X1416" s="49" t="str">
        <f t="shared" si="16"/>
        <v/>
      </c>
      <c r="Y1416" s="49" t="str">
        <f t="shared" si="17"/>
        <v/>
      </c>
    </row>
    <row r="1417" ht="15.0" customHeight="1">
      <c r="A1417" s="82"/>
      <c r="B1417" s="83"/>
      <c r="C1417" s="83"/>
      <c r="D1417" s="83"/>
      <c r="E1417" s="83"/>
      <c r="F1417" s="83"/>
      <c r="G1417" s="83" t="str">
        <f>IF($F1417="","",IFERROR(VLOOKUP($F1417,Inventory!$A:$B,2,FALSE),""))</f>
        <v/>
      </c>
      <c r="H1417" s="83"/>
      <c r="I1417" s="84" t="str">
        <f t="shared" si="2"/>
        <v/>
      </c>
      <c r="J1417" s="85" t="str">
        <f>IF($F1417="","",IFERROR(VLOOKUP($F1417,Inventory!$A:$K,11,FALSE),0))</f>
        <v/>
      </c>
      <c r="K1417" s="85"/>
      <c r="L1417" s="85" t="str">
        <f t="shared" si="12"/>
        <v/>
      </c>
      <c r="M1417" s="83"/>
      <c r="N1417" s="85" t="str">
        <f>IF($F1417="","",IFERROR(VLOOKUP($F1417,Inventory!$A:$I,9,FALSE),0))</f>
        <v/>
      </c>
      <c r="O1417" s="85" t="str">
        <f t="shared" si="13"/>
        <v/>
      </c>
      <c r="P1417" s="85" t="str">
        <f t="shared" si="5"/>
        <v/>
      </c>
      <c r="Q1417" s="83"/>
      <c r="R1417" s="118" t="str">
        <f>IF($E1417="","",IF(COUNTIF($E$7:$E2614,$E1417)&gt;1,"",IFERROR(VLOOKUP($E1417,Orders!$A:$I,8,FALSE),"")))</f>
        <v/>
      </c>
      <c r="S1417" s="118" t="str">
        <f>IF($E1417="","",IF(COUNTIF($E$7:$E2614,$E1417)&gt;1,"",IFERROR(VLOOKUP($E1417,Orders!$A:$I,9,FALSE),"")))</f>
        <v/>
      </c>
      <c r="T1417" s="88" t="str">
        <f t="shared" si="14"/>
        <v/>
      </c>
      <c r="U1417" s="88" t="str">
        <f>IF($F1417="","",IF($E1417="",T1417,SUMIF(Sales!$E$7:$E$1506,$E1417,Sales!$T$7:$T$1506)))</f>
        <v/>
      </c>
      <c r="V1417" s="49" t="str">
        <f t="shared" si="15"/>
        <v/>
      </c>
      <c r="W1417" s="49" t="str">
        <f t="array" ref="W1417">IF($V1417="","",SUMPRODUCT((Sales!$V$7:$V$1506&lt;&gt;"")*(Sales!$E$7:$E$1506&lt;$E1417))+1)</f>
        <v/>
      </c>
      <c r="X1417" s="49" t="str">
        <f t="shared" si="16"/>
        <v/>
      </c>
      <c r="Y1417" s="49" t="str">
        <f t="shared" si="17"/>
        <v/>
      </c>
    </row>
    <row r="1418" ht="15.0" customHeight="1">
      <c r="A1418" s="82"/>
      <c r="B1418" s="83"/>
      <c r="C1418" s="83"/>
      <c r="D1418" s="83"/>
      <c r="E1418" s="83"/>
      <c r="F1418" s="83"/>
      <c r="G1418" s="83" t="str">
        <f>IF($F1418="","",IFERROR(VLOOKUP($F1418,Inventory!$A:$B,2,FALSE),""))</f>
        <v/>
      </c>
      <c r="H1418" s="83"/>
      <c r="I1418" s="84" t="str">
        <f t="shared" si="2"/>
        <v/>
      </c>
      <c r="J1418" s="85" t="str">
        <f>IF($F1418="","",IFERROR(VLOOKUP($F1418,Inventory!$A:$K,11,FALSE),0))</f>
        <v/>
      </c>
      <c r="K1418" s="85"/>
      <c r="L1418" s="85" t="str">
        <f t="shared" si="12"/>
        <v/>
      </c>
      <c r="M1418" s="83"/>
      <c r="N1418" s="85" t="str">
        <f>IF($F1418="","",IFERROR(VLOOKUP($F1418,Inventory!$A:$I,9,FALSE),0))</f>
        <v/>
      </c>
      <c r="O1418" s="85" t="str">
        <f t="shared" si="13"/>
        <v/>
      </c>
      <c r="P1418" s="85" t="str">
        <f t="shared" si="5"/>
        <v/>
      </c>
      <c r="Q1418" s="83"/>
      <c r="R1418" s="118" t="str">
        <f>IF($E1418="","",IF(COUNTIF($E$7:$E2615,$E1418)&gt;1,"",IFERROR(VLOOKUP($E1418,Orders!$A:$I,8,FALSE),"")))</f>
        <v/>
      </c>
      <c r="S1418" s="118" t="str">
        <f>IF($E1418="","",IF(COUNTIF($E$7:$E2615,$E1418)&gt;1,"",IFERROR(VLOOKUP($E1418,Orders!$A:$I,9,FALSE),"")))</f>
        <v/>
      </c>
      <c r="T1418" s="88" t="str">
        <f t="shared" si="14"/>
        <v/>
      </c>
      <c r="U1418" s="88" t="str">
        <f>IF($F1418="","",IF($E1418="",T1418,SUMIF(Sales!$E$7:$E$1506,$E1418,Sales!$T$7:$T$1506)))</f>
        <v/>
      </c>
      <c r="V1418" s="49" t="str">
        <f t="shared" si="15"/>
        <v/>
      </c>
      <c r="W1418" s="49" t="str">
        <f t="array" ref="W1418">IF($V1418="","",SUMPRODUCT((Sales!$V$7:$V$1506&lt;&gt;"")*(Sales!$E$7:$E$1506&lt;$E1418))+1)</f>
        <v/>
      </c>
      <c r="X1418" s="49" t="str">
        <f t="shared" si="16"/>
        <v/>
      </c>
      <c r="Y1418" s="49" t="str">
        <f t="shared" si="17"/>
        <v/>
      </c>
    </row>
    <row r="1419" ht="15.0" customHeight="1">
      <c r="A1419" s="82"/>
      <c r="B1419" s="83"/>
      <c r="C1419" s="83"/>
      <c r="D1419" s="83"/>
      <c r="E1419" s="83"/>
      <c r="F1419" s="83"/>
      <c r="G1419" s="83" t="str">
        <f>IF($F1419="","",IFERROR(VLOOKUP($F1419,Inventory!$A:$B,2,FALSE),""))</f>
        <v/>
      </c>
      <c r="H1419" s="83"/>
      <c r="I1419" s="84" t="str">
        <f t="shared" si="2"/>
        <v/>
      </c>
      <c r="J1419" s="85" t="str">
        <f>IF($F1419="","",IFERROR(VLOOKUP($F1419,Inventory!$A:$K,11,FALSE),0))</f>
        <v/>
      </c>
      <c r="K1419" s="85"/>
      <c r="L1419" s="85" t="str">
        <f t="shared" si="12"/>
        <v/>
      </c>
      <c r="M1419" s="83"/>
      <c r="N1419" s="85" t="str">
        <f>IF($F1419="","",IFERROR(VLOOKUP($F1419,Inventory!$A:$I,9,FALSE),0))</f>
        <v/>
      </c>
      <c r="O1419" s="85" t="str">
        <f t="shared" si="13"/>
        <v/>
      </c>
      <c r="P1419" s="85" t="str">
        <f t="shared" si="5"/>
        <v/>
      </c>
      <c r="Q1419" s="83"/>
      <c r="R1419" s="118" t="str">
        <f>IF($E1419="","",IF(COUNTIF($E$7:$E2616,$E1419)&gt;1,"",IFERROR(VLOOKUP($E1419,Orders!$A:$I,8,FALSE),"")))</f>
        <v/>
      </c>
      <c r="S1419" s="118" t="str">
        <f>IF($E1419="","",IF(COUNTIF($E$7:$E2616,$E1419)&gt;1,"",IFERROR(VLOOKUP($E1419,Orders!$A:$I,9,FALSE),"")))</f>
        <v/>
      </c>
      <c r="T1419" s="88" t="str">
        <f t="shared" si="14"/>
        <v/>
      </c>
      <c r="U1419" s="88" t="str">
        <f>IF($F1419="","",IF($E1419="",T1419,SUMIF(Sales!$E$7:$E$1506,$E1419,Sales!$T$7:$T$1506)))</f>
        <v/>
      </c>
      <c r="V1419" s="49" t="str">
        <f t="shared" si="15"/>
        <v/>
      </c>
      <c r="W1419" s="49" t="str">
        <f t="array" ref="W1419">IF($V1419="","",SUMPRODUCT((Sales!$V$7:$V$1506&lt;&gt;"")*(Sales!$E$7:$E$1506&lt;$E1419))+1)</f>
        <v/>
      </c>
      <c r="X1419" s="49" t="str">
        <f t="shared" si="16"/>
        <v/>
      </c>
      <c r="Y1419" s="49" t="str">
        <f t="shared" si="17"/>
        <v/>
      </c>
    </row>
    <row r="1420" ht="15.0" customHeight="1">
      <c r="A1420" s="82"/>
      <c r="B1420" s="83"/>
      <c r="C1420" s="83"/>
      <c r="D1420" s="83"/>
      <c r="E1420" s="83"/>
      <c r="F1420" s="83"/>
      <c r="G1420" s="83" t="str">
        <f>IF($F1420="","",IFERROR(VLOOKUP($F1420,Inventory!$A:$B,2,FALSE),""))</f>
        <v/>
      </c>
      <c r="H1420" s="83"/>
      <c r="I1420" s="84" t="str">
        <f t="shared" si="2"/>
        <v/>
      </c>
      <c r="J1420" s="85" t="str">
        <f>IF($F1420="","",IFERROR(VLOOKUP($F1420,Inventory!$A:$K,11,FALSE),0))</f>
        <v/>
      </c>
      <c r="K1420" s="85"/>
      <c r="L1420" s="85" t="str">
        <f t="shared" si="12"/>
        <v/>
      </c>
      <c r="M1420" s="83"/>
      <c r="N1420" s="85" t="str">
        <f>IF($F1420="","",IFERROR(VLOOKUP($F1420,Inventory!$A:$I,9,FALSE),0))</f>
        <v/>
      </c>
      <c r="O1420" s="85" t="str">
        <f t="shared" si="13"/>
        <v/>
      </c>
      <c r="P1420" s="85" t="str">
        <f t="shared" si="5"/>
        <v/>
      </c>
      <c r="Q1420" s="83"/>
      <c r="R1420" s="118" t="str">
        <f>IF($E1420="","",IF(COUNTIF($E$7:$E2617,$E1420)&gt;1,"",IFERROR(VLOOKUP($E1420,Orders!$A:$I,8,FALSE),"")))</f>
        <v/>
      </c>
      <c r="S1420" s="118" t="str">
        <f>IF($E1420="","",IF(COUNTIF($E$7:$E2617,$E1420)&gt;1,"",IFERROR(VLOOKUP($E1420,Orders!$A:$I,9,FALSE),"")))</f>
        <v/>
      </c>
      <c r="T1420" s="88" t="str">
        <f t="shared" si="14"/>
        <v/>
      </c>
      <c r="U1420" s="88" t="str">
        <f>IF($F1420="","",IF($E1420="",T1420,SUMIF(Sales!$E$7:$E$1506,$E1420,Sales!$T$7:$T$1506)))</f>
        <v/>
      </c>
      <c r="V1420" s="49" t="str">
        <f t="shared" si="15"/>
        <v/>
      </c>
      <c r="W1420" s="49" t="str">
        <f t="array" ref="W1420">IF($V1420="","",SUMPRODUCT((Sales!$V$7:$V$1506&lt;&gt;"")*(Sales!$E$7:$E$1506&lt;$E1420))+1)</f>
        <v/>
      </c>
      <c r="X1420" s="49" t="str">
        <f t="shared" si="16"/>
        <v/>
      </c>
      <c r="Y1420" s="49" t="str">
        <f t="shared" si="17"/>
        <v/>
      </c>
    </row>
    <row r="1421" ht="15.0" customHeight="1">
      <c r="A1421" s="82"/>
      <c r="B1421" s="83"/>
      <c r="C1421" s="83"/>
      <c r="D1421" s="83"/>
      <c r="E1421" s="83"/>
      <c r="F1421" s="83"/>
      <c r="G1421" s="83" t="str">
        <f>IF($F1421="","",IFERROR(VLOOKUP($F1421,Inventory!$A:$B,2,FALSE),""))</f>
        <v/>
      </c>
      <c r="H1421" s="83"/>
      <c r="I1421" s="84" t="str">
        <f t="shared" si="2"/>
        <v/>
      </c>
      <c r="J1421" s="85" t="str">
        <f>IF($F1421="","",IFERROR(VLOOKUP($F1421,Inventory!$A:$K,11,FALSE),0))</f>
        <v/>
      </c>
      <c r="K1421" s="85"/>
      <c r="L1421" s="85" t="str">
        <f t="shared" si="12"/>
        <v/>
      </c>
      <c r="M1421" s="83"/>
      <c r="N1421" s="85" t="str">
        <f>IF($F1421="","",IFERROR(VLOOKUP($F1421,Inventory!$A:$I,9,FALSE),0))</f>
        <v/>
      </c>
      <c r="O1421" s="85" t="str">
        <f t="shared" si="13"/>
        <v/>
      </c>
      <c r="P1421" s="85" t="str">
        <f t="shared" si="5"/>
        <v/>
      </c>
      <c r="Q1421" s="83"/>
      <c r="R1421" s="118" t="str">
        <f>IF($E1421="","",IF(COUNTIF($E$7:$E2618,$E1421)&gt;1,"",IFERROR(VLOOKUP($E1421,Orders!$A:$I,8,FALSE),"")))</f>
        <v/>
      </c>
      <c r="S1421" s="118" t="str">
        <f>IF($E1421="","",IF(COUNTIF($E$7:$E2618,$E1421)&gt;1,"",IFERROR(VLOOKUP($E1421,Orders!$A:$I,9,FALSE),"")))</f>
        <v/>
      </c>
      <c r="T1421" s="88" t="str">
        <f t="shared" si="14"/>
        <v/>
      </c>
      <c r="U1421" s="88" t="str">
        <f>IF($F1421="","",IF($E1421="",T1421,SUMIF(Sales!$E$7:$E$1506,$E1421,Sales!$T$7:$T$1506)))</f>
        <v/>
      </c>
      <c r="V1421" s="49" t="str">
        <f t="shared" si="15"/>
        <v/>
      </c>
      <c r="W1421" s="49" t="str">
        <f t="array" ref="W1421">IF($V1421="","",SUMPRODUCT((Sales!$V$7:$V$1506&lt;&gt;"")*(Sales!$E$7:$E$1506&lt;$E1421))+1)</f>
        <v/>
      </c>
      <c r="X1421" s="49" t="str">
        <f t="shared" si="16"/>
        <v/>
      </c>
      <c r="Y1421" s="49" t="str">
        <f t="shared" si="17"/>
        <v/>
      </c>
    </row>
    <row r="1422" ht="15.0" customHeight="1">
      <c r="A1422" s="82"/>
      <c r="B1422" s="83"/>
      <c r="C1422" s="83"/>
      <c r="D1422" s="83"/>
      <c r="E1422" s="83"/>
      <c r="F1422" s="83"/>
      <c r="G1422" s="83" t="str">
        <f>IF($F1422="","",IFERROR(VLOOKUP($F1422,Inventory!$A:$B,2,FALSE),""))</f>
        <v/>
      </c>
      <c r="H1422" s="83"/>
      <c r="I1422" s="84" t="str">
        <f t="shared" si="2"/>
        <v/>
      </c>
      <c r="J1422" s="85" t="str">
        <f>IF($F1422="","",IFERROR(VLOOKUP($F1422,Inventory!$A:$K,11,FALSE),0))</f>
        <v/>
      </c>
      <c r="K1422" s="85"/>
      <c r="L1422" s="85" t="str">
        <f t="shared" si="12"/>
        <v/>
      </c>
      <c r="M1422" s="83"/>
      <c r="N1422" s="85" t="str">
        <f>IF($F1422="","",IFERROR(VLOOKUP($F1422,Inventory!$A:$I,9,FALSE),0))</f>
        <v/>
      </c>
      <c r="O1422" s="85" t="str">
        <f t="shared" si="13"/>
        <v/>
      </c>
      <c r="P1422" s="85" t="str">
        <f t="shared" si="5"/>
        <v/>
      </c>
      <c r="Q1422" s="83"/>
      <c r="R1422" s="118" t="str">
        <f>IF($E1422="","",IF(COUNTIF($E$7:$E2619,$E1422)&gt;1,"",IFERROR(VLOOKUP($E1422,Orders!$A:$I,8,FALSE),"")))</f>
        <v/>
      </c>
      <c r="S1422" s="118" t="str">
        <f>IF($E1422="","",IF(COUNTIF($E$7:$E2619,$E1422)&gt;1,"",IFERROR(VLOOKUP($E1422,Orders!$A:$I,9,FALSE),"")))</f>
        <v/>
      </c>
      <c r="T1422" s="88" t="str">
        <f t="shared" si="14"/>
        <v/>
      </c>
      <c r="U1422" s="88" t="str">
        <f>IF($F1422="","",IF($E1422="",T1422,SUMIF(Sales!$E$7:$E$1506,$E1422,Sales!$T$7:$T$1506)))</f>
        <v/>
      </c>
      <c r="V1422" s="49" t="str">
        <f t="shared" si="15"/>
        <v/>
      </c>
      <c r="W1422" s="49" t="str">
        <f t="array" ref="W1422">IF($V1422="","",SUMPRODUCT((Sales!$V$7:$V$1506&lt;&gt;"")*(Sales!$E$7:$E$1506&lt;$E1422))+1)</f>
        <v/>
      </c>
      <c r="X1422" s="49" t="str">
        <f t="shared" si="16"/>
        <v/>
      </c>
      <c r="Y1422" s="49" t="str">
        <f t="shared" si="17"/>
        <v/>
      </c>
    </row>
    <row r="1423" ht="15.0" customHeight="1">
      <c r="A1423" s="82"/>
      <c r="B1423" s="83"/>
      <c r="C1423" s="83"/>
      <c r="D1423" s="83"/>
      <c r="E1423" s="83"/>
      <c r="F1423" s="83"/>
      <c r="G1423" s="83" t="str">
        <f>IF($F1423="","",IFERROR(VLOOKUP($F1423,Inventory!$A:$B,2,FALSE),""))</f>
        <v/>
      </c>
      <c r="H1423" s="83"/>
      <c r="I1423" s="84" t="str">
        <f t="shared" si="2"/>
        <v/>
      </c>
      <c r="J1423" s="85" t="str">
        <f>IF($F1423="","",IFERROR(VLOOKUP($F1423,Inventory!$A:$K,11,FALSE),0))</f>
        <v/>
      </c>
      <c r="K1423" s="85"/>
      <c r="L1423" s="85" t="str">
        <f t="shared" si="12"/>
        <v/>
      </c>
      <c r="M1423" s="83"/>
      <c r="N1423" s="85" t="str">
        <f>IF($F1423="","",IFERROR(VLOOKUP($F1423,Inventory!$A:$I,9,FALSE),0))</f>
        <v/>
      </c>
      <c r="O1423" s="85" t="str">
        <f t="shared" si="13"/>
        <v/>
      </c>
      <c r="P1423" s="85" t="str">
        <f t="shared" si="5"/>
        <v/>
      </c>
      <c r="Q1423" s="83"/>
      <c r="R1423" s="118" t="str">
        <f>IF($E1423="","",IF(COUNTIF($E$7:$E2620,$E1423)&gt;1,"",IFERROR(VLOOKUP($E1423,Orders!$A:$I,8,FALSE),"")))</f>
        <v/>
      </c>
      <c r="S1423" s="118" t="str">
        <f>IF($E1423="","",IF(COUNTIF($E$7:$E2620,$E1423)&gt;1,"",IFERROR(VLOOKUP($E1423,Orders!$A:$I,9,FALSE),"")))</f>
        <v/>
      </c>
      <c r="T1423" s="88" t="str">
        <f t="shared" si="14"/>
        <v/>
      </c>
      <c r="U1423" s="88" t="str">
        <f>IF($F1423="","",IF($E1423="",T1423,SUMIF(Sales!$E$7:$E$1506,$E1423,Sales!$T$7:$T$1506)))</f>
        <v/>
      </c>
      <c r="V1423" s="49" t="str">
        <f t="shared" si="15"/>
        <v/>
      </c>
      <c r="W1423" s="49" t="str">
        <f t="array" ref="W1423">IF($V1423="","",SUMPRODUCT((Sales!$V$7:$V$1506&lt;&gt;"")*(Sales!$E$7:$E$1506&lt;$E1423))+1)</f>
        <v/>
      </c>
      <c r="X1423" s="49" t="str">
        <f t="shared" si="16"/>
        <v/>
      </c>
      <c r="Y1423" s="49" t="str">
        <f t="shared" si="17"/>
        <v/>
      </c>
    </row>
    <row r="1424" ht="15.0" customHeight="1">
      <c r="A1424" s="82"/>
      <c r="B1424" s="83"/>
      <c r="C1424" s="83"/>
      <c r="D1424" s="83"/>
      <c r="E1424" s="83"/>
      <c r="F1424" s="83"/>
      <c r="G1424" s="83" t="str">
        <f>IF($F1424="","",IFERROR(VLOOKUP($F1424,Inventory!$A:$B,2,FALSE),""))</f>
        <v/>
      </c>
      <c r="H1424" s="83"/>
      <c r="I1424" s="84" t="str">
        <f t="shared" si="2"/>
        <v/>
      </c>
      <c r="J1424" s="85" t="str">
        <f>IF($F1424="","",IFERROR(VLOOKUP($F1424,Inventory!$A:$K,11,FALSE),0))</f>
        <v/>
      </c>
      <c r="K1424" s="85"/>
      <c r="L1424" s="85" t="str">
        <f t="shared" si="12"/>
        <v/>
      </c>
      <c r="M1424" s="83"/>
      <c r="N1424" s="85" t="str">
        <f>IF($F1424="","",IFERROR(VLOOKUP($F1424,Inventory!$A:$I,9,FALSE),0))</f>
        <v/>
      </c>
      <c r="O1424" s="85" t="str">
        <f t="shared" si="13"/>
        <v/>
      </c>
      <c r="P1424" s="85" t="str">
        <f t="shared" si="5"/>
        <v/>
      </c>
      <c r="Q1424" s="83"/>
      <c r="R1424" s="118" t="str">
        <f>IF($E1424="","",IF(COUNTIF($E$7:$E2621,$E1424)&gt;1,"",IFERROR(VLOOKUP($E1424,Orders!$A:$I,8,FALSE),"")))</f>
        <v/>
      </c>
      <c r="S1424" s="118" t="str">
        <f>IF($E1424="","",IF(COUNTIF($E$7:$E2621,$E1424)&gt;1,"",IFERROR(VLOOKUP($E1424,Orders!$A:$I,9,FALSE),"")))</f>
        <v/>
      </c>
      <c r="T1424" s="88" t="str">
        <f t="shared" si="14"/>
        <v/>
      </c>
      <c r="U1424" s="88" t="str">
        <f>IF($F1424="","",IF($E1424="",T1424,SUMIF(Sales!$E$7:$E$1506,$E1424,Sales!$T$7:$T$1506)))</f>
        <v/>
      </c>
      <c r="V1424" s="49" t="str">
        <f t="shared" si="15"/>
        <v/>
      </c>
      <c r="W1424" s="49" t="str">
        <f t="array" ref="W1424">IF($V1424="","",SUMPRODUCT((Sales!$V$7:$V$1506&lt;&gt;"")*(Sales!$E$7:$E$1506&lt;$E1424))+1)</f>
        <v/>
      </c>
      <c r="X1424" s="49" t="str">
        <f t="shared" si="16"/>
        <v/>
      </c>
      <c r="Y1424" s="49" t="str">
        <f t="shared" si="17"/>
        <v/>
      </c>
    </row>
    <row r="1425" ht="15.0" customHeight="1">
      <c r="A1425" s="82"/>
      <c r="B1425" s="83"/>
      <c r="C1425" s="83"/>
      <c r="D1425" s="83"/>
      <c r="E1425" s="83"/>
      <c r="F1425" s="83"/>
      <c r="G1425" s="83" t="str">
        <f>IF($F1425="","",IFERROR(VLOOKUP($F1425,Inventory!$A:$B,2,FALSE),""))</f>
        <v/>
      </c>
      <c r="H1425" s="83"/>
      <c r="I1425" s="84" t="str">
        <f t="shared" si="2"/>
        <v/>
      </c>
      <c r="J1425" s="85" t="str">
        <f>IF($F1425="","",IFERROR(VLOOKUP($F1425,Inventory!$A:$K,11,FALSE),0))</f>
        <v/>
      </c>
      <c r="K1425" s="85"/>
      <c r="L1425" s="85" t="str">
        <f t="shared" si="12"/>
        <v/>
      </c>
      <c r="M1425" s="83"/>
      <c r="N1425" s="85" t="str">
        <f>IF($F1425="","",IFERROR(VLOOKUP($F1425,Inventory!$A:$I,9,FALSE),0))</f>
        <v/>
      </c>
      <c r="O1425" s="85" t="str">
        <f t="shared" si="13"/>
        <v/>
      </c>
      <c r="P1425" s="85" t="str">
        <f t="shared" si="5"/>
        <v/>
      </c>
      <c r="Q1425" s="83"/>
      <c r="R1425" s="118" t="str">
        <f>IF($E1425="","",IF(COUNTIF($E$7:$E2622,$E1425)&gt;1,"",IFERROR(VLOOKUP($E1425,Orders!$A:$I,8,FALSE),"")))</f>
        <v/>
      </c>
      <c r="S1425" s="118" t="str">
        <f>IF($E1425="","",IF(COUNTIF($E$7:$E2622,$E1425)&gt;1,"",IFERROR(VLOOKUP($E1425,Orders!$A:$I,9,FALSE),"")))</f>
        <v/>
      </c>
      <c r="T1425" s="88" t="str">
        <f t="shared" si="14"/>
        <v/>
      </c>
      <c r="U1425" s="88" t="str">
        <f>IF($F1425="","",IF($E1425="",T1425,SUMIF(Sales!$E$7:$E$1506,$E1425,Sales!$T$7:$T$1506)))</f>
        <v/>
      </c>
      <c r="V1425" s="49" t="str">
        <f t="shared" si="15"/>
        <v/>
      </c>
      <c r="W1425" s="49" t="str">
        <f t="array" ref="W1425">IF($V1425="","",SUMPRODUCT((Sales!$V$7:$V$1506&lt;&gt;"")*(Sales!$E$7:$E$1506&lt;$E1425))+1)</f>
        <v/>
      </c>
      <c r="X1425" s="49" t="str">
        <f t="shared" si="16"/>
        <v/>
      </c>
      <c r="Y1425" s="49" t="str">
        <f t="shared" si="17"/>
        <v/>
      </c>
    </row>
    <row r="1426" ht="15.0" customHeight="1">
      <c r="A1426" s="82"/>
      <c r="B1426" s="83"/>
      <c r="C1426" s="83"/>
      <c r="D1426" s="83"/>
      <c r="E1426" s="83"/>
      <c r="F1426" s="83"/>
      <c r="G1426" s="83" t="str">
        <f>IF($F1426="","",IFERROR(VLOOKUP($F1426,Inventory!$A:$B,2,FALSE),""))</f>
        <v/>
      </c>
      <c r="H1426" s="83"/>
      <c r="I1426" s="84" t="str">
        <f t="shared" si="2"/>
        <v/>
      </c>
      <c r="J1426" s="85" t="str">
        <f>IF($F1426="","",IFERROR(VLOOKUP($F1426,Inventory!$A:$K,11,FALSE),0))</f>
        <v/>
      </c>
      <c r="K1426" s="85"/>
      <c r="L1426" s="85" t="str">
        <f t="shared" si="12"/>
        <v/>
      </c>
      <c r="M1426" s="83"/>
      <c r="N1426" s="85" t="str">
        <f>IF($F1426="","",IFERROR(VLOOKUP($F1426,Inventory!$A:$I,9,FALSE),0))</f>
        <v/>
      </c>
      <c r="O1426" s="85" t="str">
        <f t="shared" si="13"/>
        <v/>
      </c>
      <c r="P1426" s="85" t="str">
        <f t="shared" si="5"/>
        <v/>
      </c>
      <c r="Q1426" s="83"/>
      <c r="R1426" s="118" t="str">
        <f>IF($E1426="","",IF(COUNTIF($E$7:$E2623,$E1426)&gt;1,"",IFERROR(VLOOKUP($E1426,Orders!$A:$I,8,FALSE),"")))</f>
        <v/>
      </c>
      <c r="S1426" s="118" t="str">
        <f>IF($E1426="","",IF(COUNTIF($E$7:$E2623,$E1426)&gt;1,"",IFERROR(VLOOKUP($E1426,Orders!$A:$I,9,FALSE),"")))</f>
        <v/>
      </c>
      <c r="T1426" s="88" t="str">
        <f t="shared" si="14"/>
        <v/>
      </c>
      <c r="U1426" s="88" t="str">
        <f>IF($F1426="","",IF($E1426="",T1426,SUMIF(Sales!$E$7:$E$1506,$E1426,Sales!$T$7:$T$1506)))</f>
        <v/>
      </c>
      <c r="V1426" s="49" t="str">
        <f t="shared" si="15"/>
        <v/>
      </c>
      <c r="W1426" s="49" t="str">
        <f t="array" ref="W1426">IF($V1426="","",SUMPRODUCT((Sales!$V$7:$V$1506&lt;&gt;"")*(Sales!$E$7:$E$1506&lt;$E1426))+1)</f>
        <v/>
      </c>
      <c r="X1426" s="49" t="str">
        <f t="shared" si="16"/>
        <v/>
      </c>
      <c r="Y1426" s="49" t="str">
        <f t="shared" si="17"/>
        <v/>
      </c>
    </row>
    <row r="1427" ht="15.0" customHeight="1">
      <c r="A1427" s="82"/>
      <c r="B1427" s="83"/>
      <c r="C1427" s="83"/>
      <c r="D1427" s="83"/>
      <c r="E1427" s="83"/>
      <c r="F1427" s="83"/>
      <c r="G1427" s="83" t="str">
        <f>IF($F1427="","",IFERROR(VLOOKUP($F1427,Inventory!$A:$B,2,FALSE),""))</f>
        <v/>
      </c>
      <c r="H1427" s="83"/>
      <c r="I1427" s="84" t="str">
        <f t="shared" si="2"/>
        <v/>
      </c>
      <c r="J1427" s="85" t="str">
        <f>IF($F1427="","",IFERROR(VLOOKUP($F1427,Inventory!$A:$K,11,FALSE),0))</f>
        <v/>
      </c>
      <c r="K1427" s="85"/>
      <c r="L1427" s="85" t="str">
        <f t="shared" si="12"/>
        <v/>
      </c>
      <c r="M1427" s="83"/>
      <c r="N1427" s="85" t="str">
        <f>IF($F1427="","",IFERROR(VLOOKUP($F1427,Inventory!$A:$I,9,FALSE),0))</f>
        <v/>
      </c>
      <c r="O1427" s="85" t="str">
        <f t="shared" si="13"/>
        <v/>
      </c>
      <c r="P1427" s="85" t="str">
        <f t="shared" si="5"/>
        <v/>
      </c>
      <c r="Q1427" s="83"/>
      <c r="R1427" s="118" t="str">
        <f>IF($E1427="","",IF(COUNTIF($E$7:$E2624,$E1427)&gt;1,"",IFERROR(VLOOKUP($E1427,Orders!$A:$I,8,FALSE),"")))</f>
        <v/>
      </c>
      <c r="S1427" s="118" t="str">
        <f>IF($E1427="","",IF(COUNTIF($E$7:$E2624,$E1427)&gt;1,"",IFERROR(VLOOKUP($E1427,Orders!$A:$I,9,FALSE),"")))</f>
        <v/>
      </c>
      <c r="T1427" s="88" t="str">
        <f t="shared" si="14"/>
        <v/>
      </c>
      <c r="U1427" s="88" t="str">
        <f>IF($F1427="","",IF($E1427="",T1427,SUMIF(Sales!$E$7:$E$1506,$E1427,Sales!$T$7:$T$1506)))</f>
        <v/>
      </c>
      <c r="V1427" s="49" t="str">
        <f t="shared" si="15"/>
        <v/>
      </c>
      <c r="W1427" s="49" t="str">
        <f t="array" ref="W1427">IF($V1427="","",SUMPRODUCT((Sales!$V$7:$V$1506&lt;&gt;"")*(Sales!$E$7:$E$1506&lt;$E1427))+1)</f>
        <v/>
      </c>
      <c r="X1427" s="49" t="str">
        <f t="shared" si="16"/>
        <v/>
      </c>
      <c r="Y1427" s="49" t="str">
        <f t="shared" si="17"/>
        <v/>
      </c>
    </row>
    <row r="1428" ht="15.0" customHeight="1">
      <c r="A1428" s="82"/>
      <c r="B1428" s="83"/>
      <c r="C1428" s="83"/>
      <c r="D1428" s="83"/>
      <c r="E1428" s="83"/>
      <c r="F1428" s="83"/>
      <c r="G1428" s="83" t="str">
        <f>IF($F1428="","",IFERROR(VLOOKUP($F1428,Inventory!$A:$B,2,FALSE),""))</f>
        <v/>
      </c>
      <c r="H1428" s="83"/>
      <c r="I1428" s="84" t="str">
        <f t="shared" si="2"/>
        <v/>
      </c>
      <c r="J1428" s="85" t="str">
        <f>IF($F1428="","",IFERROR(VLOOKUP($F1428,Inventory!$A:$K,11,FALSE),0))</f>
        <v/>
      </c>
      <c r="K1428" s="85"/>
      <c r="L1428" s="85" t="str">
        <f t="shared" si="12"/>
        <v/>
      </c>
      <c r="M1428" s="83"/>
      <c r="N1428" s="85" t="str">
        <f>IF($F1428="","",IFERROR(VLOOKUP($F1428,Inventory!$A:$I,9,FALSE),0))</f>
        <v/>
      </c>
      <c r="O1428" s="85" t="str">
        <f t="shared" si="13"/>
        <v/>
      </c>
      <c r="P1428" s="85" t="str">
        <f t="shared" si="5"/>
        <v/>
      </c>
      <c r="Q1428" s="83"/>
      <c r="R1428" s="118" t="str">
        <f>IF($E1428="","",IF(COUNTIF($E$7:$E2625,$E1428)&gt;1,"",IFERROR(VLOOKUP($E1428,Orders!$A:$I,8,FALSE),"")))</f>
        <v/>
      </c>
      <c r="S1428" s="118" t="str">
        <f>IF($E1428="","",IF(COUNTIF($E$7:$E2625,$E1428)&gt;1,"",IFERROR(VLOOKUP($E1428,Orders!$A:$I,9,FALSE),"")))</f>
        <v/>
      </c>
      <c r="T1428" s="88" t="str">
        <f t="shared" si="14"/>
        <v/>
      </c>
      <c r="U1428" s="88" t="str">
        <f>IF($F1428="","",IF($E1428="",T1428,SUMIF(Sales!$E$7:$E$1506,$E1428,Sales!$T$7:$T$1506)))</f>
        <v/>
      </c>
      <c r="V1428" s="49" t="str">
        <f t="shared" si="15"/>
        <v/>
      </c>
      <c r="W1428" s="49" t="str">
        <f t="array" ref="W1428">IF($V1428="","",SUMPRODUCT((Sales!$V$7:$V$1506&lt;&gt;"")*(Sales!$E$7:$E$1506&lt;$E1428))+1)</f>
        <v/>
      </c>
      <c r="X1428" s="49" t="str">
        <f t="shared" si="16"/>
        <v/>
      </c>
      <c r="Y1428" s="49" t="str">
        <f t="shared" si="17"/>
        <v/>
      </c>
    </row>
    <row r="1429" ht="15.0" customHeight="1">
      <c r="A1429" s="82"/>
      <c r="B1429" s="83"/>
      <c r="C1429" s="83"/>
      <c r="D1429" s="83"/>
      <c r="E1429" s="83"/>
      <c r="F1429" s="83"/>
      <c r="G1429" s="83" t="str">
        <f>IF($F1429="","",IFERROR(VLOOKUP($F1429,Inventory!$A:$B,2,FALSE),""))</f>
        <v/>
      </c>
      <c r="H1429" s="83"/>
      <c r="I1429" s="84" t="str">
        <f t="shared" si="2"/>
        <v/>
      </c>
      <c r="J1429" s="85" t="str">
        <f>IF($F1429="","",IFERROR(VLOOKUP($F1429,Inventory!$A:$K,11,FALSE),0))</f>
        <v/>
      </c>
      <c r="K1429" s="85"/>
      <c r="L1429" s="85" t="str">
        <f t="shared" si="12"/>
        <v/>
      </c>
      <c r="M1429" s="83"/>
      <c r="N1429" s="85" t="str">
        <f>IF($F1429="","",IFERROR(VLOOKUP($F1429,Inventory!$A:$I,9,FALSE),0))</f>
        <v/>
      </c>
      <c r="O1429" s="85" t="str">
        <f t="shared" si="13"/>
        <v/>
      </c>
      <c r="P1429" s="85" t="str">
        <f t="shared" si="5"/>
        <v/>
      </c>
      <c r="Q1429" s="83"/>
      <c r="R1429" s="118" t="str">
        <f>IF($E1429="","",IF(COUNTIF($E$7:$E2626,$E1429)&gt;1,"",IFERROR(VLOOKUP($E1429,Orders!$A:$I,8,FALSE),"")))</f>
        <v/>
      </c>
      <c r="S1429" s="118" t="str">
        <f>IF($E1429="","",IF(COUNTIF($E$7:$E2626,$E1429)&gt;1,"",IFERROR(VLOOKUP($E1429,Orders!$A:$I,9,FALSE),"")))</f>
        <v/>
      </c>
      <c r="T1429" s="88" t="str">
        <f t="shared" si="14"/>
        <v/>
      </c>
      <c r="U1429" s="88" t="str">
        <f>IF($F1429="","",IF($E1429="",T1429,SUMIF(Sales!$E$7:$E$1506,$E1429,Sales!$T$7:$T$1506)))</f>
        <v/>
      </c>
      <c r="V1429" s="49" t="str">
        <f t="shared" si="15"/>
        <v/>
      </c>
      <c r="W1429" s="49" t="str">
        <f t="array" ref="W1429">IF($V1429="","",SUMPRODUCT((Sales!$V$7:$V$1506&lt;&gt;"")*(Sales!$E$7:$E$1506&lt;$E1429))+1)</f>
        <v/>
      </c>
      <c r="X1429" s="49" t="str">
        <f t="shared" si="16"/>
        <v/>
      </c>
      <c r="Y1429" s="49" t="str">
        <f t="shared" si="17"/>
        <v/>
      </c>
    </row>
    <row r="1430" ht="15.0" customHeight="1">
      <c r="A1430" s="82"/>
      <c r="B1430" s="83"/>
      <c r="C1430" s="83"/>
      <c r="D1430" s="83"/>
      <c r="E1430" s="83"/>
      <c r="F1430" s="83"/>
      <c r="G1430" s="83" t="str">
        <f>IF($F1430="","",IFERROR(VLOOKUP($F1430,Inventory!$A:$B,2,FALSE),""))</f>
        <v/>
      </c>
      <c r="H1430" s="83"/>
      <c r="I1430" s="84" t="str">
        <f t="shared" si="2"/>
        <v/>
      </c>
      <c r="J1430" s="85" t="str">
        <f>IF($F1430="","",IFERROR(VLOOKUP($F1430,Inventory!$A:$K,11,FALSE),0))</f>
        <v/>
      </c>
      <c r="K1430" s="85"/>
      <c r="L1430" s="85" t="str">
        <f t="shared" si="12"/>
        <v/>
      </c>
      <c r="M1430" s="83"/>
      <c r="N1430" s="85" t="str">
        <f>IF($F1430="","",IFERROR(VLOOKUP($F1430,Inventory!$A:$I,9,FALSE),0))</f>
        <v/>
      </c>
      <c r="O1430" s="85" t="str">
        <f t="shared" si="13"/>
        <v/>
      </c>
      <c r="P1430" s="85" t="str">
        <f t="shared" si="5"/>
        <v/>
      </c>
      <c r="Q1430" s="83"/>
      <c r="R1430" s="118" t="str">
        <f>IF($E1430="","",IF(COUNTIF($E$7:$E2627,$E1430)&gt;1,"",IFERROR(VLOOKUP($E1430,Orders!$A:$I,8,FALSE),"")))</f>
        <v/>
      </c>
      <c r="S1430" s="118" t="str">
        <f>IF($E1430="","",IF(COUNTIF($E$7:$E2627,$E1430)&gt;1,"",IFERROR(VLOOKUP($E1430,Orders!$A:$I,9,FALSE),"")))</f>
        <v/>
      </c>
      <c r="T1430" s="88" t="str">
        <f t="shared" si="14"/>
        <v/>
      </c>
      <c r="U1430" s="88" t="str">
        <f>IF($F1430="","",IF($E1430="",T1430,SUMIF(Sales!$E$7:$E$1506,$E1430,Sales!$T$7:$T$1506)))</f>
        <v/>
      </c>
      <c r="V1430" s="49" t="str">
        <f t="shared" si="15"/>
        <v/>
      </c>
      <c r="W1430" s="49" t="str">
        <f t="array" ref="W1430">IF($V1430="","",SUMPRODUCT((Sales!$V$7:$V$1506&lt;&gt;"")*(Sales!$E$7:$E$1506&lt;$E1430))+1)</f>
        <v/>
      </c>
      <c r="X1430" s="49" t="str">
        <f t="shared" si="16"/>
        <v/>
      </c>
      <c r="Y1430" s="49" t="str">
        <f t="shared" si="17"/>
        <v/>
      </c>
    </row>
    <row r="1431" ht="15.0" customHeight="1">
      <c r="A1431" s="82"/>
      <c r="B1431" s="83"/>
      <c r="C1431" s="83"/>
      <c r="D1431" s="83"/>
      <c r="E1431" s="83"/>
      <c r="F1431" s="83"/>
      <c r="G1431" s="83" t="str">
        <f>IF($F1431="","",IFERROR(VLOOKUP($F1431,Inventory!$A:$B,2,FALSE),""))</f>
        <v/>
      </c>
      <c r="H1431" s="83"/>
      <c r="I1431" s="84" t="str">
        <f t="shared" si="2"/>
        <v/>
      </c>
      <c r="J1431" s="85" t="str">
        <f>IF($F1431="","",IFERROR(VLOOKUP($F1431,Inventory!$A:$K,11,FALSE),0))</f>
        <v/>
      </c>
      <c r="K1431" s="85"/>
      <c r="L1431" s="85" t="str">
        <f t="shared" si="12"/>
        <v/>
      </c>
      <c r="M1431" s="83"/>
      <c r="N1431" s="85" t="str">
        <f>IF($F1431="","",IFERROR(VLOOKUP($F1431,Inventory!$A:$I,9,FALSE),0))</f>
        <v/>
      </c>
      <c r="O1431" s="85" t="str">
        <f t="shared" si="13"/>
        <v/>
      </c>
      <c r="P1431" s="85" t="str">
        <f t="shared" si="5"/>
        <v/>
      </c>
      <c r="Q1431" s="83"/>
      <c r="R1431" s="118" t="str">
        <f>IF($E1431="","",IF(COUNTIF($E$7:$E2628,$E1431)&gt;1,"",IFERROR(VLOOKUP($E1431,Orders!$A:$I,8,FALSE),"")))</f>
        <v/>
      </c>
      <c r="S1431" s="118" t="str">
        <f>IF($E1431="","",IF(COUNTIF($E$7:$E2628,$E1431)&gt;1,"",IFERROR(VLOOKUP($E1431,Orders!$A:$I,9,FALSE),"")))</f>
        <v/>
      </c>
      <c r="T1431" s="88" t="str">
        <f t="shared" si="14"/>
        <v/>
      </c>
      <c r="U1431" s="88" t="str">
        <f>IF($F1431="","",IF($E1431="",T1431,SUMIF(Sales!$E$7:$E$1506,$E1431,Sales!$T$7:$T$1506)))</f>
        <v/>
      </c>
      <c r="V1431" s="49" t="str">
        <f t="shared" si="15"/>
        <v/>
      </c>
      <c r="W1431" s="49" t="str">
        <f t="array" ref="W1431">IF($V1431="","",SUMPRODUCT((Sales!$V$7:$V$1506&lt;&gt;"")*(Sales!$E$7:$E$1506&lt;$E1431))+1)</f>
        <v/>
      </c>
      <c r="X1431" s="49" t="str">
        <f t="shared" si="16"/>
        <v/>
      </c>
      <c r="Y1431" s="49" t="str">
        <f t="shared" si="17"/>
        <v/>
      </c>
    </row>
    <row r="1432" ht="15.0" customHeight="1">
      <c r="A1432" s="82"/>
      <c r="B1432" s="83"/>
      <c r="C1432" s="83"/>
      <c r="D1432" s="83"/>
      <c r="E1432" s="83"/>
      <c r="F1432" s="83"/>
      <c r="G1432" s="83" t="str">
        <f>IF($F1432="","",IFERROR(VLOOKUP($F1432,Inventory!$A:$B,2,FALSE),""))</f>
        <v/>
      </c>
      <c r="H1432" s="83"/>
      <c r="I1432" s="84" t="str">
        <f t="shared" si="2"/>
        <v/>
      </c>
      <c r="J1432" s="85" t="str">
        <f>IF($F1432="","",IFERROR(VLOOKUP($F1432,Inventory!$A:$K,11,FALSE),0))</f>
        <v/>
      </c>
      <c r="K1432" s="85"/>
      <c r="L1432" s="85" t="str">
        <f t="shared" si="12"/>
        <v/>
      </c>
      <c r="M1432" s="83"/>
      <c r="N1432" s="85" t="str">
        <f>IF($F1432="","",IFERROR(VLOOKUP($F1432,Inventory!$A:$I,9,FALSE),0))</f>
        <v/>
      </c>
      <c r="O1432" s="85" t="str">
        <f t="shared" si="13"/>
        <v/>
      </c>
      <c r="P1432" s="85" t="str">
        <f t="shared" si="5"/>
        <v/>
      </c>
      <c r="Q1432" s="83"/>
      <c r="R1432" s="118" t="str">
        <f>IF($E1432="","",IF(COUNTIF($E$7:$E2629,$E1432)&gt;1,"",IFERROR(VLOOKUP($E1432,Orders!$A:$I,8,FALSE),"")))</f>
        <v/>
      </c>
      <c r="S1432" s="118" t="str">
        <f>IF($E1432="","",IF(COUNTIF($E$7:$E2629,$E1432)&gt;1,"",IFERROR(VLOOKUP($E1432,Orders!$A:$I,9,FALSE),"")))</f>
        <v/>
      </c>
      <c r="T1432" s="88" t="str">
        <f t="shared" si="14"/>
        <v/>
      </c>
      <c r="U1432" s="88" t="str">
        <f>IF($F1432="","",IF($E1432="",T1432,SUMIF(Sales!$E$7:$E$1506,$E1432,Sales!$T$7:$T$1506)))</f>
        <v/>
      </c>
      <c r="V1432" s="49" t="str">
        <f t="shared" si="15"/>
        <v/>
      </c>
      <c r="W1432" s="49" t="str">
        <f t="array" ref="W1432">IF($V1432="","",SUMPRODUCT((Sales!$V$7:$V$1506&lt;&gt;"")*(Sales!$E$7:$E$1506&lt;$E1432))+1)</f>
        <v/>
      </c>
      <c r="X1432" s="49" t="str">
        <f t="shared" si="16"/>
        <v/>
      </c>
      <c r="Y1432" s="49" t="str">
        <f t="shared" si="17"/>
        <v/>
      </c>
    </row>
    <row r="1433" ht="15.0" customHeight="1">
      <c r="A1433" s="82"/>
      <c r="B1433" s="83"/>
      <c r="C1433" s="83"/>
      <c r="D1433" s="83"/>
      <c r="E1433" s="83"/>
      <c r="F1433" s="83"/>
      <c r="G1433" s="83" t="str">
        <f>IF($F1433="","",IFERROR(VLOOKUP($F1433,Inventory!$A:$B,2,FALSE),""))</f>
        <v/>
      </c>
      <c r="H1433" s="83"/>
      <c r="I1433" s="84" t="str">
        <f t="shared" si="2"/>
        <v/>
      </c>
      <c r="J1433" s="85" t="str">
        <f>IF($F1433="","",IFERROR(VLOOKUP($F1433,Inventory!$A:$K,11,FALSE),0))</f>
        <v/>
      </c>
      <c r="K1433" s="85"/>
      <c r="L1433" s="85" t="str">
        <f t="shared" si="12"/>
        <v/>
      </c>
      <c r="M1433" s="83"/>
      <c r="N1433" s="85" t="str">
        <f>IF($F1433="","",IFERROR(VLOOKUP($F1433,Inventory!$A:$I,9,FALSE),0))</f>
        <v/>
      </c>
      <c r="O1433" s="85" t="str">
        <f t="shared" si="13"/>
        <v/>
      </c>
      <c r="P1433" s="85" t="str">
        <f t="shared" si="5"/>
        <v/>
      </c>
      <c r="Q1433" s="83"/>
      <c r="R1433" s="118" t="str">
        <f>IF($E1433="","",IF(COUNTIF($E$7:$E2630,$E1433)&gt;1,"",IFERROR(VLOOKUP($E1433,Orders!$A:$I,8,FALSE),"")))</f>
        <v/>
      </c>
      <c r="S1433" s="118" t="str">
        <f>IF($E1433="","",IF(COUNTIF($E$7:$E2630,$E1433)&gt;1,"",IFERROR(VLOOKUP($E1433,Orders!$A:$I,9,FALSE),"")))</f>
        <v/>
      </c>
      <c r="T1433" s="88" t="str">
        <f t="shared" si="14"/>
        <v/>
      </c>
      <c r="U1433" s="88" t="str">
        <f>IF($F1433="","",IF($E1433="",T1433,SUMIF(Sales!$E$7:$E$1506,$E1433,Sales!$T$7:$T$1506)))</f>
        <v/>
      </c>
      <c r="V1433" s="49" t="str">
        <f t="shared" si="15"/>
        <v/>
      </c>
      <c r="W1433" s="49" t="str">
        <f t="array" ref="W1433">IF($V1433="","",SUMPRODUCT((Sales!$V$7:$V$1506&lt;&gt;"")*(Sales!$E$7:$E$1506&lt;$E1433))+1)</f>
        <v/>
      </c>
      <c r="X1433" s="49" t="str">
        <f t="shared" si="16"/>
        <v/>
      </c>
      <c r="Y1433" s="49" t="str">
        <f t="shared" si="17"/>
        <v/>
      </c>
    </row>
    <row r="1434" ht="15.0" customHeight="1">
      <c r="A1434" s="82"/>
      <c r="B1434" s="83"/>
      <c r="C1434" s="83"/>
      <c r="D1434" s="83"/>
      <c r="E1434" s="83"/>
      <c r="F1434" s="83"/>
      <c r="G1434" s="83" t="str">
        <f>IF($F1434="","",IFERROR(VLOOKUP($F1434,Inventory!$A:$B,2,FALSE),""))</f>
        <v/>
      </c>
      <c r="H1434" s="83"/>
      <c r="I1434" s="84" t="str">
        <f t="shared" si="2"/>
        <v/>
      </c>
      <c r="J1434" s="85" t="str">
        <f>IF($F1434="","",IFERROR(VLOOKUP($F1434,Inventory!$A:$K,11,FALSE),0))</f>
        <v/>
      </c>
      <c r="K1434" s="85"/>
      <c r="L1434" s="85" t="str">
        <f t="shared" si="12"/>
        <v/>
      </c>
      <c r="M1434" s="83"/>
      <c r="N1434" s="85" t="str">
        <f>IF($F1434="","",IFERROR(VLOOKUP($F1434,Inventory!$A:$I,9,FALSE),0))</f>
        <v/>
      </c>
      <c r="O1434" s="85" t="str">
        <f t="shared" si="13"/>
        <v/>
      </c>
      <c r="P1434" s="85" t="str">
        <f t="shared" si="5"/>
        <v/>
      </c>
      <c r="Q1434" s="83"/>
      <c r="R1434" s="118" t="str">
        <f>IF($E1434="","",IF(COUNTIF($E$7:$E2631,$E1434)&gt;1,"",IFERROR(VLOOKUP($E1434,Orders!$A:$I,8,FALSE),"")))</f>
        <v/>
      </c>
      <c r="S1434" s="118" t="str">
        <f>IF($E1434="","",IF(COUNTIF($E$7:$E2631,$E1434)&gt;1,"",IFERROR(VLOOKUP($E1434,Orders!$A:$I,9,FALSE),"")))</f>
        <v/>
      </c>
      <c r="T1434" s="88" t="str">
        <f t="shared" si="14"/>
        <v/>
      </c>
      <c r="U1434" s="88" t="str">
        <f>IF($F1434="","",IF($E1434="",T1434,SUMIF(Sales!$E$7:$E$1506,$E1434,Sales!$T$7:$T$1506)))</f>
        <v/>
      </c>
      <c r="V1434" s="49" t="str">
        <f t="shared" si="15"/>
        <v/>
      </c>
      <c r="W1434" s="49" t="str">
        <f t="array" ref="W1434">IF($V1434="","",SUMPRODUCT((Sales!$V$7:$V$1506&lt;&gt;"")*(Sales!$E$7:$E$1506&lt;$E1434))+1)</f>
        <v/>
      </c>
      <c r="X1434" s="49" t="str">
        <f t="shared" si="16"/>
        <v/>
      </c>
      <c r="Y1434" s="49" t="str">
        <f t="shared" si="17"/>
        <v/>
      </c>
    </row>
    <row r="1435" ht="15.0" customHeight="1">
      <c r="A1435" s="82"/>
      <c r="B1435" s="83"/>
      <c r="C1435" s="83"/>
      <c r="D1435" s="83"/>
      <c r="E1435" s="83"/>
      <c r="F1435" s="83"/>
      <c r="G1435" s="83" t="str">
        <f>IF($F1435="","",IFERROR(VLOOKUP($F1435,Inventory!$A:$B,2,FALSE),""))</f>
        <v/>
      </c>
      <c r="H1435" s="83"/>
      <c r="I1435" s="84" t="str">
        <f t="shared" si="2"/>
        <v/>
      </c>
      <c r="J1435" s="85" t="str">
        <f>IF($F1435="","",IFERROR(VLOOKUP($F1435,Inventory!$A:$K,11,FALSE),0))</f>
        <v/>
      </c>
      <c r="K1435" s="85"/>
      <c r="L1435" s="85" t="str">
        <f t="shared" si="12"/>
        <v/>
      </c>
      <c r="M1435" s="83"/>
      <c r="N1435" s="85" t="str">
        <f>IF($F1435="","",IFERROR(VLOOKUP($F1435,Inventory!$A:$I,9,FALSE),0))</f>
        <v/>
      </c>
      <c r="O1435" s="85" t="str">
        <f t="shared" si="13"/>
        <v/>
      </c>
      <c r="P1435" s="85" t="str">
        <f t="shared" si="5"/>
        <v/>
      </c>
      <c r="Q1435" s="83"/>
      <c r="R1435" s="118" t="str">
        <f>IF($E1435="","",IF(COUNTIF($E$7:$E2632,$E1435)&gt;1,"",IFERROR(VLOOKUP($E1435,Orders!$A:$I,8,FALSE),"")))</f>
        <v/>
      </c>
      <c r="S1435" s="118" t="str">
        <f>IF($E1435="","",IF(COUNTIF($E$7:$E2632,$E1435)&gt;1,"",IFERROR(VLOOKUP($E1435,Orders!$A:$I,9,FALSE),"")))</f>
        <v/>
      </c>
      <c r="T1435" s="88" t="str">
        <f t="shared" si="14"/>
        <v/>
      </c>
      <c r="U1435" s="88" t="str">
        <f>IF($F1435="","",IF($E1435="",T1435,SUMIF(Sales!$E$7:$E$1506,$E1435,Sales!$T$7:$T$1506)))</f>
        <v/>
      </c>
      <c r="V1435" s="49" t="str">
        <f t="shared" si="15"/>
        <v/>
      </c>
      <c r="W1435" s="49" t="str">
        <f t="array" ref="W1435">IF($V1435="","",SUMPRODUCT((Sales!$V$7:$V$1506&lt;&gt;"")*(Sales!$E$7:$E$1506&lt;$E1435))+1)</f>
        <v/>
      </c>
      <c r="X1435" s="49" t="str">
        <f t="shared" si="16"/>
        <v/>
      </c>
      <c r="Y1435" s="49" t="str">
        <f t="shared" si="17"/>
        <v/>
      </c>
    </row>
    <row r="1436" ht="15.0" customHeight="1">
      <c r="A1436" s="82"/>
      <c r="B1436" s="83"/>
      <c r="C1436" s="83"/>
      <c r="D1436" s="83"/>
      <c r="E1436" s="83"/>
      <c r="F1436" s="83"/>
      <c r="G1436" s="83" t="str">
        <f>IF($F1436="","",IFERROR(VLOOKUP($F1436,Inventory!$A:$B,2,FALSE),""))</f>
        <v/>
      </c>
      <c r="H1436" s="83"/>
      <c r="I1436" s="84" t="str">
        <f t="shared" si="2"/>
        <v/>
      </c>
      <c r="J1436" s="85" t="str">
        <f>IF($F1436="","",IFERROR(VLOOKUP($F1436,Inventory!$A:$K,11,FALSE),0))</f>
        <v/>
      </c>
      <c r="K1436" s="85"/>
      <c r="L1436" s="85" t="str">
        <f t="shared" si="12"/>
        <v/>
      </c>
      <c r="M1436" s="83"/>
      <c r="N1436" s="85" t="str">
        <f>IF($F1436="","",IFERROR(VLOOKUP($F1436,Inventory!$A:$I,9,FALSE),0))</f>
        <v/>
      </c>
      <c r="O1436" s="85" t="str">
        <f t="shared" si="13"/>
        <v/>
      </c>
      <c r="P1436" s="85" t="str">
        <f t="shared" si="5"/>
        <v/>
      </c>
      <c r="Q1436" s="83"/>
      <c r="R1436" s="118" t="str">
        <f>IF($E1436="","",IF(COUNTIF($E$7:$E2633,$E1436)&gt;1,"",IFERROR(VLOOKUP($E1436,Orders!$A:$I,8,FALSE),"")))</f>
        <v/>
      </c>
      <c r="S1436" s="118" t="str">
        <f>IF($E1436="","",IF(COUNTIF($E$7:$E2633,$E1436)&gt;1,"",IFERROR(VLOOKUP($E1436,Orders!$A:$I,9,FALSE),"")))</f>
        <v/>
      </c>
      <c r="T1436" s="88" t="str">
        <f t="shared" si="14"/>
        <v/>
      </c>
      <c r="U1436" s="88" t="str">
        <f>IF($F1436="","",IF($E1436="",T1436,SUMIF(Sales!$E$7:$E$1506,$E1436,Sales!$T$7:$T$1506)))</f>
        <v/>
      </c>
      <c r="V1436" s="49" t="str">
        <f t="shared" si="15"/>
        <v/>
      </c>
      <c r="W1436" s="49" t="str">
        <f t="array" ref="W1436">IF($V1436="","",SUMPRODUCT((Sales!$V$7:$V$1506&lt;&gt;"")*(Sales!$E$7:$E$1506&lt;$E1436))+1)</f>
        <v/>
      </c>
      <c r="X1436" s="49" t="str">
        <f t="shared" si="16"/>
        <v/>
      </c>
      <c r="Y1436" s="49" t="str">
        <f t="shared" si="17"/>
        <v/>
      </c>
    </row>
    <row r="1437" ht="15.0" customHeight="1">
      <c r="A1437" s="82"/>
      <c r="B1437" s="83"/>
      <c r="C1437" s="83"/>
      <c r="D1437" s="83"/>
      <c r="E1437" s="83"/>
      <c r="F1437" s="83"/>
      <c r="G1437" s="83" t="str">
        <f>IF($F1437="","",IFERROR(VLOOKUP($F1437,Inventory!$A:$B,2,FALSE),""))</f>
        <v/>
      </c>
      <c r="H1437" s="83"/>
      <c r="I1437" s="84" t="str">
        <f t="shared" si="2"/>
        <v/>
      </c>
      <c r="J1437" s="85" t="str">
        <f>IF($F1437="","",IFERROR(VLOOKUP($F1437,Inventory!$A:$K,11,FALSE),0))</f>
        <v/>
      </c>
      <c r="K1437" s="85"/>
      <c r="L1437" s="85" t="str">
        <f t="shared" si="12"/>
        <v/>
      </c>
      <c r="M1437" s="83"/>
      <c r="N1437" s="85" t="str">
        <f>IF($F1437="","",IFERROR(VLOOKUP($F1437,Inventory!$A:$I,9,FALSE),0))</f>
        <v/>
      </c>
      <c r="O1437" s="85" t="str">
        <f t="shared" si="13"/>
        <v/>
      </c>
      <c r="P1437" s="85" t="str">
        <f t="shared" si="5"/>
        <v/>
      </c>
      <c r="Q1437" s="83"/>
      <c r="R1437" s="118" t="str">
        <f>IF($E1437="","",IF(COUNTIF($E$7:$E2634,$E1437)&gt;1,"",IFERROR(VLOOKUP($E1437,Orders!$A:$I,8,FALSE),"")))</f>
        <v/>
      </c>
      <c r="S1437" s="118" t="str">
        <f>IF($E1437="","",IF(COUNTIF($E$7:$E2634,$E1437)&gt;1,"",IFERROR(VLOOKUP($E1437,Orders!$A:$I,9,FALSE),"")))</f>
        <v/>
      </c>
      <c r="T1437" s="88" t="str">
        <f t="shared" si="14"/>
        <v/>
      </c>
      <c r="U1437" s="88" t="str">
        <f>IF($F1437="","",IF($E1437="",T1437,SUMIF(Sales!$E$7:$E$1506,$E1437,Sales!$T$7:$T$1506)))</f>
        <v/>
      </c>
      <c r="V1437" s="49" t="str">
        <f t="shared" si="15"/>
        <v/>
      </c>
      <c r="W1437" s="49" t="str">
        <f t="array" ref="W1437">IF($V1437="","",SUMPRODUCT((Sales!$V$7:$V$1506&lt;&gt;"")*(Sales!$E$7:$E$1506&lt;$E1437))+1)</f>
        <v/>
      </c>
      <c r="X1437" s="49" t="str">
        <f t="shared" si="16"/>
        <v/>
      </c>
      <c r="Y1437" s="49" t="str">
        <f t="shared" si="17"/>
        <v/>
      </c>
    </row>
    <row r="1438" ht="15.0" customHeight="1">
      <c r="A1438" s="82"/>
      <c r="B1438" s="83"/>
      <c r="C1438" s="83"/>
      <c r="D1438" s="83"/>
      <c r="E1438" s="83"/>
      <c r="F1438" s="83"/>
      <c r="G1438" s="83" t="str">
        <f>IF($F1438="","",IFERROR(VLOOKUP($F1438,Inventory!$A:$B,2,FALSE),""))</f>
        <v/>
      </c>
      <c r="H1438" s="83"/>
      <c r="I1438" s="84" t="str">
        <f t="shared" si="2"/>
        <v/>
      </c>
      <c r="J1438" s="85" t="str">
        <f>IF($F1438="","",IFERROR(VLOOKUP($F1438,Inventory!$A:$K,11,FALSE),0))</f>
        <v/>
      </c>
      <c r="K1438" s="85"/>
      <c r="L1438" s="85" t="str">
        <f t="shared" si="12"/>
        <v/>
      </c>
      <c r="M1438" s="83"/>
      <c r="N1438" s="85" t="str">
        <f>IF($F1438="","",IFERROR(VLOOKUP($F1438,Inventory!$A:$I,9,FALSE),0))</f>
        <v/>
      </c>
      <c r="O1438" s="85" t="str">
        <f t="shared" si="13"/>
        <v/>
      </c>
      <c r="P1438" s="85" t="str">
        <f t="shared" si="5"/>
        <v/>
      </c>
      <c r="Q1438" s="83"/>
      <c r="R1438" s="118" t="str">
        <f>IF($E1438="","",IF(COUNTIF($E$7:$E2635,$E1438)&gt;1,"",IFERROR(VLOOKUP($E1438,Orders!$A:$I,8,FALSE),"")))</f>
        <v/>
      </c>
      <c r="S1438" s="118" t="str">
        <f>IF($E1438="","",IF(COUNTIF($E$7:$E2635,$E1438)&gt;1,"",IFERROR(VLOOKUP($E1438,Orders!$A:$I,9,FALSE),"")))</f>
        <v/>
      </c>
      <c r="T1438" s="88" t="str">
        <f t="shared" si="14"/>
        <v/>
      </c>
      <c r="U1438" s="88" t="str">
        <f>IF($F1438="","",IF($E1438="",T1438,SUMIF(Sales!$E$7:$E$1506,$E1438,Sales!$T$7:$T$1506)))</f>
        <v/>
      </c>
      <c r="V1438" s="49" t="str">
        <f t="shared" si="15"/>
        <v/>
      </c>
      <c r="W1438" s="49" t="str">
        <f t="array" ref="W1438">IF($V1438="","",SUMPRODUCT((Sales!$V$7:$V$1506&lt;&gt;"")*(Sales!$E$7:$E$1506&lt;$E1438))+1)</f>
        <v/>
      </c>
      <c r="X1438" s="49" t="str">
        <f t="shared" si="16"/>
        <v/>
      </c>
      <c r="Y1438" s="49" t="str">
        <f t="shared" si="17"/>
        <v/>
      </c>
    </row>
    <row r="1439" ht="15.0" customHeight="1">
      <c r="A1439" s="82"/>
      <c r="B1439" s="83"/>
      <c r="C1439" s="83"/>
      <c r="D1439" s="83"/>
      <c r="E1439" s="83"/>
      <c r="F1439" s="83"/>
      <c r="G1439" s="83" t="str">
        <f>IF($F1439="","",IFERROR(VLOOKUP($F1439,Inventory!$A:$B,2,FALSE),""))</f>
        <v/>
      </c>
      <c r="H1439" s="83"/>
      <c r="I1439" s="84" t="str">
        <f t="shared" si="2"/>
        <v/>
      </c>
      <c r="J1439" s="85" t="str">
        <f>IF($F1439="","",IFERROR(VLOOKUP($F1439,Inventory!$A:$K,11,FALSE),0))</f>
        <v/>
      </c>
      <c r="K1439" s="85"/>
      <c r="L1439" s="85" t="str">
        <f t="shared" si="12"/>
        <v/>
      </c>
      <c r="M1439" s="83"/>
      <c r="N1439" s="85" t="str">
        <f>IF($F1439="","",IFERROR(VLOOKUP($F1439,Inventory!$A:$I,9,FALSE),0))</f>
        <v/>
      </c>
      <c r="O1439" s="85" t="str">
        <f t="shared" si="13"/>
        <v/>
      </c>
      <c r="P1439" s="85" t="str">
        <f t="shared" si="5"/>
        <v/>
      </c>
      <c r="Q1439" s="83"/>
      <c r="R1439" s="118" t="str">
        <f>IF($E1439="","",IF(COUNTIF($E$7:$E2636,$E1439)&gt;1,"",IFERROR(VLOOKUP($E1439,Orders!$A:$I,8,FALSE),"")))</f>
        <v/>
      </c>
      <c r="S1439" s="118" t="str">
        <f>IF($E1439="","",IF(COUNTIF($E$7:$E2636,$E1439)&gt;1,"",IFERROR(VLOOKUP($E1439,Orders!$A:$I,9,FALSE),"")))</f>
        <v/>
      </c>
      <c r="T1439" s="88" t="str">
        <f t="shared" si="14"/>
        <v/>
      </c>
      <c r="U1439" s="88" t="str">
        <f>IF($F1439="","",IF($E1439="",T1439,SUMIF(Sales!$E$7:$E$1506,$E1439,Sales!$T$7:$T$1506)))</f>
        <v/>
      </c>
      <c r="V1439" s="49" t="str">
        <f t="shared" si="15"/>
        <v/>
      </c>
      <c r="W1439" s="49" t="str">
        <f t="array" ref="W1439">IF($V1439="","",SUMPRODUCT((Sales!$V$7:$V$1506&lt;&gt;"")*(Sales!$E$7:$E$1506&lt;$E1439))+1)</f>
        <v/>
      </c>
      <c r="X1439" s="49" t="str">
        <f t="shared" si="16"/>
        <v/>
      </c>
      <c r="Y1439" s="49" t="str">
        <f t="shared" si="17"/>
        <v/>
      </c>
    </row>
    <row r="1440" ht="15.0" customHeight="1">
      <c r="A1440" s="82"/>
      <c r="B1440" s="83"/>
      <c r="C1440" s="83"/>
      <c r="D1440" s="83"/>
      <c r="E1440" s="83"/>
      <c r="F1440" s="83"/>
      <c r="G1440" s="83" t="str">
        <f>IF($F1440="","",IFERROR(VLOOKUP($F1440,Inventory!$A:$B,2,FALSE),""))</f>
        <v/>
      </c>
      <c r="H1440" s="83"/>
      <c r="I1440" s="84" t="str">
        <f t="shared" si="2"/>
        <v/>
      </c>
      <c r="J1440" s="85" t="str">
        <f>IF($F1440="","",IFERROR(VLOOKUP($F1440,Inventory!$A:$K,11,FALSE),0))</f>
        <v/>
      </c>
      <c r="K1440" s="85"/>
      <c r="L1440" s="85" t="str">
        <f t="shared" si="12"/>
        <v/>
      </c>
      <c r="M1440" s="83"/>
      <c r="N1440" s="85" t="str">
        <f>IF($F1440="","",IFERROR(VLOOKUP($F1440,Inventory!$A:$I,9,FALSE),0))</f>
        <v/>
      </c>
      <c r="O1440" s="85" t="str">
        <f t="shared" si="13"/>
        <v/>
      </c>
      <c r="P1440" s="85" t="str">
        <f t="shared" si="5"/>
        <v/>
      </c>
      <c r="Q1440" s="83"/>
      <c r="R1440" s="118" t="str">
        <f>IF($E1440="","",IF(COUNTIF($E$7:$E2637,$E1440)&gt;1,"",IFERROR(VLOOKUP($E1440,Orders!$A:$I,8,FALSE),"")))</f>
        <v/>
      </c>
      <c r="S1440" s="118" t="str">
        <f>IF($E1440="","",IF(COUNTIF($E$7:$E2637,$E1440)&gt;1,"",IFERROR(VLOOKUP($E1440,Orders!$A:$I,9,FALSE),"")))</f>
        <v/>
      </c>
      <c r="T1440" s="88" t="str">
        <f t="shared" si="14"/>
        <v/>
      </c>
      <c r="U1440" s="88" t="str">
        <f>IF($F1440="","",IF($E1440="",T1440,SUMIF(Sales!$E$7:$E$1506,$E1440,Sales!$T$7:$T$1506)))</f>
        <v/>
      </c>
      <c r="V1440" s="49" t="str">
        <f t="shared" si="15"/>
        <v/>
      </c>
      <c r="W1440" s="49" t="str">
        <f t="array" ref="W1440">IF($V1440="","",SUMPRODUCT((Sales!$V$7:$V$1506&lt;&gt;"")*(Sales!$E$7:$E$1506&lt;$E1440))+1)</f>
        <v/>
      </c>
      <c r="X1440" s="49" t="str">
        <f t="shared" si="16"/>
        <v/>
      </c>
      <c r="Y1440" s="49" t="str">
        <f t="shared" si="17"/>
        <v/>
      </c>
    </row>
    <row r="1441" ht="15.0" customHeight="1">
      <c r="A1441" s="82"/>
      <c r="B1441" s="83"/>
      <c r="C1441" s="83"/>
      <c r="D1441" s="83"/>
      <c r="E1441" s="83"/>
      <c r="F1441" s="83"/>
      <c r="G1441" s="83" t="str">
        <f>IF($F1441="","",IFERROR(VLOOKUP($F1441,Inventory!$A:$B,2,FALSE),""))</f>
        <v/>
      </c>
      <c r="H1441" s="83"/>
      <c r="I1441" s="84" t="str">
        <f t="shared" si="2"/>
        <v/>
      </c>
      <c r="J1441" s="85" t="str">
        <f>IF($F1441="","",IFERROR(VLOOKUP($F1441,Inventory!$A:$K,11,FALSE),0))</f>
        <v/>
      </c>
      <c r="K1441" s="85"/>
      <c r="L1441" s="85" t="str">
        <f t="shared" si="12"/>
        <v/>
      </c>
      <c r="M1441" s="83"/>
      <c r="N1441" s="85" t="str">
        <f>IF($F1441="","",IFERROR(VLOOKUP($F1441,Inventory!$A:$I,9,FALSE),0))</f>
        <v/>
      </c>
      <c r="O1441" s="85" t="str">
        <f t="shared" si="13"/>
        <v/>
      </c>
      <c r="P1441" s="85" t="str">
        <f t="shared" si="5"/>
        <v/>
      </c>
      <c r="Q1441" s="83"/>
      <c r="R1441" s="118" t="str">
        <f>IF($E1441="","",IF(COUNTIF($E$7:$E2638,$E1441)&gt;1,"",IFERROR(VLOOKUP($E1441,Orders!$A:$I,8,FALSE),"")))</f>
        <v/>
      </c>
      <c r="S1441" s="118" t="str">
        <f>IF($E1441="","",IF(COUNTIF($E$7:$E2638,$E1441)&gt;1,"",IFERROR(VLOOKUP($E1441,Orders!$A:$I,9,FALSE),"")))</f>
        <v/>
      </c>
      <c r="T1441" s="88" t="str">
        <f t="shared" si="14"/>
        <v/>
      </c>
      <c r="U1441" s="88" t="str">
        <f>IF($F1441="","",IF($E1441="",T1441,SUMIF(Sales!$E$7:$E$1506,$E1441,Sales!$T$7:$T$1506)))</f>
        <v/>
      </c>
      <c r="V1441" s="49" t="str">
        <f t="shared" si="15"/>
        <v/>
      </c>
      <c r="W1441" s="49" t="str">
        <f t="array" ref="W1441">IF($V1441="","",SUMPRODUCT((Sales!$V$7:$V$1506&lt;&gt;"")*(Sales!$E$7:$E$1506&lt;$E1441))+1)</f>
        <v/>
      </c>
      <c r="X1441" s="49" t="str">
        <f t="shared" si="16"/>
        <v/>
      </c>
      <c r="Y1441" s="49" t="str">
        <f t="shared" si="17"/>
        <v/>
      </c>
    </row>
    <row r="1442" ht="15.0" customHeight="1">
      <c r="A1442" s="82"/>
      <c r="B1442" s="83"/>
      <c r="C1442" s="83"/>
      <c r="D1442" s="83"/>
      <c r="E1442" s="83"/>
      <c r="F1442" s="83"/>
      <c r="G1442" s="83" t="str">
        <f>IF($F1442="","",IFERROR(VLOOKUP($F1442,Inventory!$A:$B,2,FALSE),""))</f>
        <v/>
      </c>
      <c r="H1442" s="83"/>
      <c r="I1442" s="84" t="str">
        <f t="shared" si="2"/>
        <v/>
      </c>
      <c r="J1442" s="85" t="str">
        <f>IF($F1442="","",IFERROR(VLOOKUP($F1442,Inventory!$A:$K,11,FALSE),0))</f>
        <v/>
      </c>
      <c r="K1442" s="85"/>
      <c r="L1442" s="85" t="str">
        <f t="shared" si="12"/>
        <v/>
      </c>
      <c r="M1442" s="83"/>
      <c r="N1442" s="85" t="str">
        <f>IF($F1442="","",IFERROR(VLOOKUP($F1442,Inventory!$A:$I,9,FALSE),0))</f>
        <v/>
      </c>
      <c r="O1442" s="85" t="str">
        <f t="shared" si="13"/>
        <v/>
      </c>
      <c r="P1442" s="85" t="str">
        <f t="shared" si="5"/>
        <v/>
      </c>
      <c r="Q1442" s="83"/>
      <c r="R1442" s="118" t="str">
        <f>IF($E1442="","",IF(COUNTIF($E$7:$E2639,$E1442)&gt;1,"",IFERROR(VLOOKUP($E1442,Orders!$A:$I,8,FALSE),"")))</f>
        <v/>
      </c>
      <c r="S1442" s="118" t="str">
        <f>IF($E1442="","",IF(COUNTIF($E$7:$E2639,$E1442)&gt;1,"",IFERROR(VLOOKUP($E1442,Orders!$A:$I,9,FALSE),"")))</f>
        <v/>
      </c>
      <c r="T1442" s="88" t="str">
        <f t="shared" si="14"/>
        <v/>
      </c>
      <c r="U1442" s="88" t="str">
        <f>IF($F1442="","",IF($E1442="",T1442,SUMIF(Sales!$E$7:$E$1506,$E1442,Sales!$T$7:$T$1506)))</f>
        <v/>
      </c>
      <c r="V1442" s="49" t="str">
        <f t="shared" si="15"/>
        <v/>
      </c>
      <c r="W1442" s="49" t="str">
        <f t="array" ref="W1442">IF($V1442="","",SUMPRODUCT((Sales!$V$7:$V$1506&lt;&gt;"")*(Sales!$E$7:$E$1506&lt;$E1442))+1)</f>
        <v/>
      </c>
      <c r="X1442" s="49" t="str">
        <f t="shared" si="16"/>
        <v/>
      </c>
      <c r="Y1442" s="49" t="str">
        <f t="shared" si="17"/>
        <v/>
      </c>
    </row>
    <row r="1443" ht="15.0" customHeight="1">
      <c r="A1443" s="82"/>
      <c r="B1443" s="83"/>
      <c r="C1443" s="83"/>
      <c r="D1443" s="83"/>
      <c r="E1443" s="83"/>
      <c r="F1443" s="83"/>
      <c r="G1443" s="83" t="str">
        <f>IF($F1443="","",IFERROR(VLOOKUP($F1443,Inventory!$A:$B,2,FALSE),""))</f>
        <v/>
      </c>
      <c r="H1443" s="83"/>
      <c r="I1443" s="84" t="str">
        <f t="shared" si="2"/>
        <v/>
      </c>
      <c r="J1443" s="85" t="str">
        <f>IF($F1443="","",IFERROR(VLOOKUP($F1443,Inventory!$A:$K,11,FALSE),0))</f>
        <v/>
      </c>
      <c r="K1443" s="85"/>
      <c r="L1443" s="85" t="str">
        <f t="shared" si="12"/>
        <v/>
      </c>
      <c r="M1443" s="83"/>
      <c r="N1443" s="85" t="str">
        <f>IF($F1443="","",IFERROR(VLOOKUP($F1443,Inventory!$A:$I,9,FALSE),0))</f>
        <v/>
      </c>
      <c r="O1443" s="85" t="str">
        <f t="shared" si="13"/>
        <v/>
      </c>
      <c r="P1443" s="85" t="str">
        <f t="shared" si="5"/>
        <v/>
      </c>
      <c r="Q1443" s="83"/>
      <c r="R1443" s="118" t="str">
        <f>IF($E1443="","",IF(COUNTIF($E$7:$E2640,$E1443)&gt;1,"",IFERROR(VLOOKUP($E1443,Orders!$A:$I,8,FALSE),"")))</f>
        <v/>
      </c>
      <c r="S1443" s="118" t="str">
        <f>IF($E1443="","",IF(COUNTIF($E$7:$E2640,$E1443)&gt;1,"",IFERROR(VLOOKUP($E1443,Orders!$A:$I,9,FALSE),"")))</f>
        <v/>
      </c>
      <c r="T1443" s="88" t="str">
        <f t="shared" si="14"/>
        <v/>
      </c>
      <c r="U1443" s="88" t="str">
        <f>IF($F1443="","",IF($E1443="",T1443,SUMIF(Sales!$E$7:$E$1506,$E1443,Sales!$T$7:$T$1506)))</f>
        <v/>
      </c>
      <c r="V1443" s="49" t="str">
        <f t="shared" si="15"/>
        <v/>
      </c>
      <c r="W1443" s="49" t="str">
        <f t="array" ref="W1443">IF($V1443="","",SUMPRODUCT((Sales!$V$7:$V$1506&lt;&gt;"")*(Sales!$E$7:$E$1506&lt;$E1443))+1)</f>
        <v/>
      </c>
      <c r="X1443" s="49" t="str">
        <f t="shared" si="16"/>
        <v/>
      </c>
      <c r="Y1443" s="49" t="str">
        <f t="shared" si="17"/>
        <v/>
      </c>
    </row>
    <row r="1444" ht="15.0" customHeight="1">
      <c r="A1444" s="82"/>
      <c r="B1444" s="83"/>
      <c r="C1444" s="83"/>
      <c r="D1444" s="83"/>
      <c r="E1444" s="83"/>
      <c r="F1444" s="83"/>
      <c r="G1444" s="83" t="str">
        <f>IF($F1444="","",IFERROR(VLOOKUP($F1444,Inventory!$A:$B,2,FALSE),""))</f>
        <v/>
      </c>
      <c r="H1444" s="83"/>
      <c r="I1444" s="84" t="str">
        <f t="shared" si="2"/>
        <v/>
      </c>
      <c r="J1444" s="85" t="str">
        <f>IF($F1444="","",IFERROR(VLOOKUP($F1444,Inventory!$A:$K,11,FALSE),0))</f>
        <v/>
      </c>
      <c r="K1444" s="85"/>
      <c r="L1444" s="85" t="str">
        <f t="shared" si="12"/>
        <v/>
      </c>
      <c r="M1444" s="83"/>
      <c r="N1444" s="85" t="str">
        <f>IF($F1444="","",IFERROR(VLOOKUP($F1444,Inventory!$A:$I,9,FALSE),0))</f>
        <v/>
      </c>
      <c r="O1444" s="85" t="str">
        <f t="shared" si="13"/>
        <v/>
      </c>
      <c r="P1444" s="85" t="str">
        <f t="shared" si="5"/>
        <v/>
      </c>
      <c r="Q1444" s="83"/>
      <c r="R1444" s="118" t="str">
        <f>IF($E1444="","",IF(COUNTIF($E$7:$E2641,$E1444)&gt;1,"",IFERROR(VLOOKUP($E1444,Orders!$A:$I,8,FALSE),"")))</f>
        <v/>
      </c>
      <c r="S1444" s="118" t="str">
        <f>IF($E1444="","",IF(COUNTIF($E$7:$E2641,$E1444)&gt;1,"",IFERROR(VLOOKUP($E1444,Orders!$A:$I,9,FALSE),"")))</f>
        <v/>
      </c>
      <c r="T1444" s="88" t="str">
        <f t="shared" si="14"/>
        <v/>
      </c>
      <c r="U1444" s="88" t="str">
        <f>IF($F1444="","",IF($E1444="",T1444,SUMIF(Sales!$E$7:$E$1506,$E1444,Sales!$T$7:$T$1506)))</f>
        <v/>
      </c>
      <c r="V1444" s="49" t="str">
        <f t="shared" si="15"/>
        <v/>
      </c>
      <c r="W1444" s="49" t="str">
        <f t="array" ref="W1444">IF($V1444="","",SUMPRODUCT((Sales!$V$7:$V$1506&lt;&gt;"")*(Sales!$E$7:$E$1506&lt;$E1444))+1)</f>
        <v/>
      </c>
      <c r="X1444" s="49" t="str">
        <f t="shared" si="16"/>
        <v/>
      </c>
      <c r="Y1444" s="49" t="str">
        <f t="shared" si="17"/>
        <v/>
      </c>
    </row>
    <row r="1445" ht="15.0" customHeight="1">
      <c r="A1445" s="82"/>
      <c r="B1445" s="83"/>
      <c r="C1445" s="83"/>
      <c r="D1445" s="83"/>
      <c r="E1445" s="83"/>
      <c r="F1445" s="83"/>
      <c r="G1445" s="83" t="str">
        <f>IF($F1445="","",IFERROR(VLOOKUP($F1445,Inventory!$A:$B,2,FALSE),""))</f>
        <v/>
      </c>
      <c r="H1445" s="83"/>
      <c r="I1445" s="84" t="str">
        <f t="shared" si="2"/>
        <v/>
      </c>
      <c r="J1445" s="85" t="str">
        <f>IF($F1445="","",IFERROR(VLOOKUP($F1445,Inventory!$A:$K,11,FALSE),0))</f>
        <v/>
      </c>
      <c r="K1445" s="85"/>
      <c r="L1445" s="85" t="str">
        <f t="shared" si="12"/>
        <v/>
      </c>
      <c r="M1445" s="83"/>
      <c r="N1445" s="85" t="str">
        <f>IF($F1445="","",IFERROR(VLOOKUP($F1445,Inventory!$A:$I,9,FALSE),0))</f>
        <v/>
      </c>
      <c r="O1445" s="85" t="str">
        <f t="shared" si="13"/>
        <v/>
      </c>
      <c r="P1445" s="85" t="str">
        <f t="shared" si="5"/>
        <v/>
      </c>
      <c r="Q1445" s="83"/>
      <c r="R1445" s="118" t="str">
        <f>IF($E1445="","",IF(COUNTIF($E$7:$E2642,$E1445)&gt;1,"",IFERROR(VLOOKUP($E1445,Orders!$A:$I,8,FALSE),"")))</f>
        <v/>
      </c>
      <c r="S1445" s="118" t="str">
        <f>IF($E1445="","",IF(COUNTIF($E$7:$E2642,$E1445)&gt;1,"",IFERROR(VLOOKUP($E1445,Orders!$A:$I,9,FALSE),"")))</f>
        <v/>
      </c>
      <c r="T1445" s="88" t="str">
        <f t="shared" si="14"/>
        <v/>
      </c>
      <c r="U1445" s="88" t="str">
        <f>IF($F1445="","",IF($E1445="",T1445,SUMIF(Sales!$E$7:$E$1506,$E1445,Sales!$T$7:$T$1506)))</f>
        <v/>
      </c>
      <c r="V1445" s="49" t="str">
        <f t="shared" si="15"/>
        <v/>
      </c>
      <c r="W1445" s="49" t="str">
        <f t="array" ref="W1445">IF($V1445="","",SUMPRODUCT((Sales!$V$7:$V$1506&lt;&gt;"")*(Sales!$E$7:$E$1506&lt;$E1445))+1)</f>
        <v/>
      </c>
      <c r="X1445" s="49" t="str">
        <f t="shared" si="16"/>
        <v/>
      </c>
      <c r="Y1445" s="49" t="str">
        <f t="shared" si="17"/>
        <v/>
      </c>
    </row>
    <row r="1446" ht="15.0" customHeight="1">
      <c r="A1446" s="82"/>
      <c r="B1446" s="83"/>
      <c r="C1446" s="83"/>
      <c r="D1446" s="83"/>
      <c r="E1446" s="83"/>
      <c r="F1446" s="83"/>
      <c r="G1446" s="83" t="str">
        <f>IF($F1446="","",IFERROR(VLOOKUP($F1446,Inventory!$A:$B,2,FALSE),""))</f>
        <v/>
      </c>
      <c r="H1446" s="83"/>
      <c r="I1446" s="84" t="str">
        <f t="shared" si="2"/>
        <v/>
      </c>
      <c r="J1446" s="85" t="str">
        <f>IF($F1446="","",IFERROR(VLOOKUP($F1446,Inventory!$A:$K,11,FALSE),0))</f>
        <v/>
      </c>
      <c r="K1446" s="85"/>
      <c r="L1446" s="85" t="str">
        <f t="shared" si="12"/>
        <v/>
      </c>
      <c r="M1446" s="83"/>
      <c r="N1446" s="85" t="str">
        <f>IF($F1446="","",IFERROR(VLOOKUP($F1446,Inventory!$A:$I,9,FALSE),0))</f>
        <v/>
      </c>
      <c r="O1446" s="85" t="str">
        <f t="shared" si="13"/>
        <v/>
      </c>
      <c r="P1446" s="85" t="str">
        <f t="shared" si="5"/>
        <v/>
      </c>
      <c r="Q1446" s="83"/>
      <c r="R1446" s="118" t="str">
        <f>IF($E1446="","",IF(COUNTIF($E$7:$E2643,$E1446)&gt;1,"",IFERROR(VLOOKUP($E1446,Orders!$A:$I,8,FALSE),"")))</f>
        <v/>
      </c>
      <c r="S1446" s="118" t="str">
        <f>IF($E1446="","",IF(COUNTIF($E$7:$E2643,$E1446)&gt;1,"",IFERROR(VLOOKUP($E1446,Orders!$A:$I,9,FALSE),"")))</f>
        <v/>
      </c>
      <c r="T1446" s="88" t="str">
        <f t="shared" si="14"/>
        <v/>
      </c>
      <c r="U1446" s="88" t="str">
        <f>IF($F1446="","",IF($E1446="",T1446,SUMIF(Sales!$E$7:$E$1506,$E1446,Sales!$T$7:$T$1506)))</f>
        <v/>
      </c>
      <c r="V1446" s="49" t="str">
        <f t="shared" si="15"/>
        <v/>
      </c>
      <c r="W1446" s="49" t="str">
        <f t="array" ref="W1446">IF($V1446="","",SUMPRODUCT((Sales!$V$7:$V$1506&lt;&gt;"")*(Sales!$E$7:$E$1506&lt;$E1446))+1)</f>
        <v/>
      </c>
      <c r="X1446" s="49" t="str">
        <f t="shared" si="16"/>
        <v/>
      </c>
      <c r="Y1446" s="49" t="str">
        <f t="shared" si="17"/>
        <v/>
      </c>
    </row>
    <row r="1447" ht="15.0" customHeight="1">
      <c r="A1447" s="82"/>
      <c r="B1447" s="83"/>
      <c r="C1447" s="83"/>
      <c r="D1447" s="83"/>
      <c r="E1447" s="83"/>
      <c r="F1447" s="83"/>
      <c r="G1447" s="83" t="str">
        <f>IF($F1447="","",IFERROR(VLOOKUP($F1447,Inventory!$A:$B,2,FALSE),""))</f>
        <v/>
      </c>
      <c r="H1447" s="83"/>
      <c r="I1447" s="84" t="str">
        <f t="shared" si="2"/>
        <v/>
      </c>
      <c r="J1447" s="85" t="str">
        <f>IF($F1447="","",IFERROR(VLOOKUP($F1447,Inventory!$A:$K,11,FALSE),0))</f>
        <v/>
      </c>
      <c r="K1447" s="85"/>
      <c r="L1447" s="85" t="str">
        <f t="shared" si="12"/>
        <v/>
      </c>
      <c r="M1447" s="83"/>
      <c r="N1447" s="85" t="str">
        <f>IF($F1447="","",IFERROR(VLOOKUP($F1447,Inventory!$A:$I,9,FALSE),0))</f>
        <v/>
      </c>
      <c r="O1447" s="85" t="str">
        <f t="shared" si="13"/>
        <v/>
      </c>
      <c r="P1447" s="85" t="str">
        <f t="shared" si="5"/>
        <v/>
      </c>
      <c r="Q1447" s="83"/>
      <c r="R1447" s="118" t="str">
        <f>IF($E1447="","",IF(COUNTIF($E$7:$E2644,$E1447)&gt;1,"",IFERROR(VLOOKUP($E1447,Orders!$A:$I,8,FALSE),"")))</f>
        <v/>
      </c>
      <c r="S1447" s="118" t="str">
        <f>IF($E1447="","",IF(COUNTIF($E$7:$E2644,$E1447)&gt;1,"",IFERROR(VLOOKUP($E1447,Orders!$A:$I,9,FALSE),"")))</f>
        <v/>
      </c>
      <c r="T1447" s="88" t="str">
        <f t="shared" si="14"/>
        <v/>
      </c>
      <c r="U1447" s="88" t="str">
        <f>IF($F1447="","",IF($E1447="",T1447,SUMIF(Sales!$E$7:$E$1506,$E1447,Sales!$T$7:$T$1506)))</f>
        <v/>
      </c>
      <c r="V1447" s="49" t="str">
        <f t="shared" si="15"/>
        <v/>
      </c>
      <c r="W1447" s="49" t="str">
        <f t="array" ref="W1447">IF($V1447="","",SUMPRODUCT((Sales!$V$7:$V$1506&lt;&gt;"")*(Sales!$E$7:$E$1506&lt;$E1447))+1)</f>
        <v/>
      </c>
      <c r="X1447" s="49" t="str">
        <f t="shared" si="16"/>
        <v/>
      </c>
      <c r="Y1447" s="49" t="str">
        <f t="shared" si="17"/>
        <v/>
      </c>
    </row>
    <row r="1448" ht="15.0" customHeight="1">
      <c r="A1448" s="82"/>
      <c r="B1448" s="83"/>
      <c r="C1448" s="83"/>
      <c r="D1448" s="83"/>
      <c r="E1448" s="83"/>
      <c r="F1448" s="83"/>
      <c r="G1448" s="83" t="str">
        <f>IF($F1448="","",IFERROR(VLOOKUP($F1448,Inventory!$A:$B,2,FALSE),""))</f>
        <v/>
      </c>
      <c r="H1448" s="83"/>
      <c r="I1448" s="84" t="str">
        <f t="shared" si="2"/>
        <v/>
      </c>
      <c r="J1448" s="85" t="str">
        <f>IF($F1448="","",IFERROR(VLOOKUP($F1448,Inventory!$A:$K,11,FALSE),0))</f>
        <v/>
      </c>
      <c r="K1448" s="85"/>
      <c r="L1448" s="85" t="str">
        <f t="shared" si="12"/>
        <v/>
      </c>
      <c r="M1448" s="83"/>
      <c r="N1448" s="85" t="str">
        <f>IF($F1448="","",IFERROR(VLOOKUP($F1448,Inventory!$A:$I,9,FALSE),0))</f>
        <v/>
      </c>
      <c r="O1448" s="85" t="str">
        <f t="shared" si="13"/>
        <v/>
      </c>
      <c r="P1448" s="85" t="str">
        <f t="shared" si="5"/>
        <v/>
      </c>
      <c r="Q1448" s="83"/>
      <c r="R1448" s="118" t="str">
        <f>IF($E1448="","",IF(COUNTIF($E$7:$E2645,$E1448)&gt;1,"",IFERROR(VLOOKUP($E1448,Orders!$A:$I,8,FALSE),"")))</f>
        <v/>
      </c>
      <c r="S1448" s="118" t="str">
        <f>IF($E1448="","",IF(COUNTIF($E$7:$E2645,$E1448)&gt;1,"",IFERROR(VLOOKUP($E1448,Orders!$A:$I,9,FALSE),"")))</f>
        <v/>
      </c>
      <c r="T1448" s="88" t="str">
        <f t="shared" si="14"/>
        <v/>
      </c>
      <c r="U1448" s="88" t="str">
        <f>IF($F1448="","",IF($E1448="",T1448,SUMIF(Sales!$E$7:$E$1506,$E1448,Sales!$T$7:$T$1506)))</f>
        <v/>
      </c>
      <c r="V1448" s="49" t="str">
        <f t="shared" si="15"/>
        <v/>
      </c>
      <c r="W1448" s="49" t="str">
        <f t="array" ref="W1448">IF($V1448="","",SUMPRODUCT((Sales!$V$7:$V$1506&lt;&gt;"")*(Sales!$E$7:$E$1506&lt;$E1448))+1)</f>
        <v/>
      </c>
      <c r="X1448" s="49" t="str">
        <f t="shared" si="16"/>
        <v/>
      </c>
      <c r="Y1448" s="49" t="str">
        <f t="shared" si="17"/>
        <v/>
      </c>
    </row>
    <row r="1449" ht="15.0" customHeight="1">
      <c r="A1449" s="82"/>
      <c r="B1449" s="83"/>
      <c r="C1449" s="83"/>
      <c r="D1449" s="83"/>
      <c r="E1449" s="83"/>
      <c r="F1449" s="83"/>
      <c r="G1449" s="83" t="str">
        <f>IF($F1449="","",IFERROR(VLOOKUP($F1449,Inventory!$A:$B,2,FALSE),""))</f>
        <v/>
      </c>
      <c r="H1449" s="83"/>
      <c r="I1449" s="84" t="str">
        <f t="shared" si="2"/>
        <v/>
      </c>
      <c r="J1449" s="85" t="str">
        <f>IF($F1449="","",IFERROR(VLOOKUP($F1449,Inventory!$A:$K,11,FALSE),0))</f>
        <v/>
      </c>
      <c r="K1449" s="85"/>
      <c r="L1449" s="85" t="str">
        <f t="shared" si="12"/>
        <v/>
      </c>
      <c r="M1449" s="83"/>
      <c r="N1449" s="85" t="str">
        <f>IF($F1449="","",IFERROR(VLOOKUP($F1449,Inventory!$A:$I,9,FALSE),0))</f>
        <v/>
      </c>
      <c r="O1449" s="85" t="str">
        <f t="shared" si="13"/>
        <v/>
      </c>
      <c r="P1449" s="85" t="str">
        <f t="shared" si="5"/>
        <v/>
      </c>
      <c r="Q1449" s="83"/>
      <c r="R1449" s="118" t="str">
        <f>IF($E1449="","",IF(COUNTIF($E$7:$E2646,$E1449)&gt;1,"",IFERROR(VLOOKUP($E1449,Orders!$A:$I,8,FALSE),"")))</f>
        <v/>
      </c>
      <c r="S1449" s="118" t="str">
        <f>IF($E1449="","",IF(COUNTIF($E$7:$E2646,$E1449)&gt;1,"",IFERROR(VLOOKUP($E1449,Orders!$A:$I,9,FALSE),"")))</f>
        <v/>
      </c>
      <c r="T1449" s="88" t="str">
        <f t="shared" si="14"/>
        <v/>
      </c>
      <c r="U1449" s="88" t="str">
        <f>IF($F1449="","",IF($E1449="",T1449,SUMIF(Sales!$E$7:$E$1506,$E1449,Sales!$T$7:$T$1506)))</f>
        <v/>
      </c>
      <c r="V1449" s="49" t="str">
        <f t="shared" si="15"/>
        <v/>
      </c>
      <c r="W1449" s="49" t="str">
        <f t="array" ref="W1449">IF($V1449="","",SUMPRODUCT((Sales!$V$7:$V$1506&lt;&gt;"")*(Sales!$E$7:$E$1506&lt;$E1449))+1)</f>
        <v/>
      </c>
      <c r="X1449" s="49" t="str">
        <f t="shared" si="16"/>
        <v/>
      </c>
      <c r="Y1449" s="49" t="str">
        <f t="shared" si="17"/>
        <v/>
      </c>
    </row>
    <row r="1450" ht="15.0" customHeight="1">
      <c r="A1450" s="82"/>
      <c r="B1450" s="83"/>
      <c r="C1450" s="83"/>
      <c r="D1450" s="83"/>
      <c r="E1450" s="83"/>
      <c r="F1450" s="83"/>
      <c r="G1450" s="83" t="str">
        <f>IF($F1450="","",IFERROR(VLOOKUP($F1450,Inventory!$A:$B,2,FALSE),""))</f>
        <v/>
      </c>
      <c r="H1450" s="83"/>
      <c r="I1450" s="84" t="str">
        <f t="shared" si="2"/>
        <v/>
      </c>
      <c r="J1450" s="85" t="str">
        <f>IF($F1450="","",IFERROR(VLOOKUP($F1450,Inventory!$A:$K,11,FALSE),0))</f>
        <v/>
      </c>
      <c r="K1450" s="85"/>
      <c r="L1450" s="85" t="str">
        <f t="shared" si="12"/>
        <v/>
      </c>
      <c r="M1450" s="83"/>
      <c r="N1450" s="85" t="str">
        <f>IF($F1450="","",IFERROR(VLOOKUP($F1450,Inventory!$A:$I,9,FALSE),0))</f>
        <v/>
      </c>
      <c r="O1450" s="85" t="str">
        <f t="shared" si="13"/>
        <v/>
      </c>
      <c r="P1450" s="85" t="str">
        <f t="shared" si="5"/>
        <v/>
      </c>
      <c r="Q1450" s="83"/>
      <c r="R1450" s="118" t="str">
        <f>IF($E1450="","",IF(COUNTIF($E$7:$E2647,$E1450)&gt;1,"",IFERROR(VLOOKUP($E1450,Orders!$A:$I,8,FALSE),"")))</f>
        <v/>
      </c>
      <c r="S1450" s="118" t="str">
        <f>IF($E1450="","",IF(COUNTIF($E$7:$E2647,$E1450)&gt;1,"",IFERROR(VLOOKUP($E1450,Orders!$A:$I,9,FALSE),"")))</f>
        <v/>
      </c>
      <c r="T1450" s="88" t="str">
        <f t="shared" si="14"/>
        <v/>
      </c>
      <c r="U1450" s="88" t="str">
        <f>IF($F1450="","",IF($E1450="",T1450,SUMIF(Sales!$E$7:$E$1506,$E1450,Sales!$T$7:$T$1506)))</f>
        <v/>
      </c>
      <c r="V1450" s="49" t="str">
        <f t="shared" si="15"/>
        <v/>
      </c>
      <c r="W1450" s="49" t="str">
        <f t="array" ref="W1450">IF($V1450="","",SUMPRODUCT((Sales!$V$7:$V$1506&lt;&gt;"")*(Sales!$E$7:$E$1506&lt;$E1450))+1)</f>
        <v/>
      </c>
      <c r="X1450" s="49" t="str">
        <f t="shared" si="16"/>
        <v/>
      </c>
      <c r="Y1450" s="49" t="str">
        <f t="shared" si="17"/>
        <v/>
      </c>
    </row>
    <row r="1451" ht="15.0" customHeight="1">
      <c r="A1451" s="82"/>
      <c r="B1451" s="83"/>
      <c r="C1451" s="83"/>
      <c r="D1451" s="83"/>
      <c r="E1451" s="83"/>
      <c r="F1451" s="83"/>
      <c r="G1451" s="83" t="str">
        <f>IF($F1451="","",IFERROR(VLOOKUP($F1451,Inventory!$A:$B,2,FALSE),""))</f>
        <v/>
      </c>
      <c r="H1451" s="83"/>
      <c r="I1451" s="84" t="str">
        <f t="shared" si="2"/>
        <v/>
      </c>
      <c r="J1451" s="85" t="str">
        <f>IF($F1451="","",IFERROR(VLOOKUP($F1451,Inventory!$A:$K,11,FALSE),0))</f>
        <v/>
      </c>
      <c r="K1451" s="85"/>
      <c r="L1451" s="85" t="str">
        <f t="shared" si="12"/>
        <v/>
      </c>
      <c r="M1451" s="83"/>
      <c r="N1451" s="85" t="str">
        <f>IF($F1451="","",IFERROR(VLOOKUP($F1451,Inventory!$A:$I,9,FALSE),0))</f>
        <v/>
      </c>
      <c r="O1451" s="85" t="str">
        <f t="shared" si="13"/>
        <v/>
      </c>
      <c r="P1451" s="85" t="str">
        <f t="shared" si="5"/>
        <v/>
      </c>
      <c r="Q1451" s="83"/>
      <c r="R1451" s="118" t="str">
        <f>IF($E1451="","",IF(COUNTIF($E$7:$E2648,$E1451)&gt;1,"",IFERROR(VLOOKUP($E1451,Orders!$A:$I,8,FALSE),"")))</f>
        <v/>
      </c>
      <c r="S1451" s="118" t="str">
        <f>IF($E1451="","",IF(COUNTIF($E$7:$E2648,$E1451)&gt;1,"",IFERROR(VLOOKUP($E1451,Orders!$A:$I,9,FALSE),"")))</f>
        <v/>
      </c>
      <c r="T1451" s="88" t="str">
        <f t="shared" si="14"/>
        <v/>
      </c>
      <c r="U1451" s="88" t="str">
        <f>IF($F1451="","",IF($E1451="",T1451,SUMIF(Sales!$E$7:$E$1506,$E1451,Sales!$T$7:$T$1506)))</f>
        <v/>
      </c>
      <c r="V1451" s="49" t="str">
        <f t="shared" si="15"/>
        <v/>
      </c>
      <c r="W1451" s="49" t="str">
        <f t="array" ref="W1451">IF($V1451="","",SUMPRODUCT((Sales!$V$7:$V$1506&lt;&gt;"")*(Sales!$E$7:$E$1506&lt;$E1451))+1)</f>
        <v/>
      </c>
      <c r="X1451" s="49" t="str">
        <f t="shared" si="16"/>
        <v/>
      </c>
      <c r="Y1451" s="49" t="str">
        <f t="shared" si="17"/>
        <v/>
      </c>
    </row>
    <row r="1452" ht="15.0" customHeight="1">
      <c r="A1452" s="82"/>
      <c r="B1452" s="83"/>
      <c r="C1452" s="83"/>
      <c r="D1452" s="83"/>
      <c r="E1452" s="83"/>
      <c r="F1452" s="83"/>
      <c r="G1452" s="83" t="str">
        <f>IF($F1452="","",IFERROR(VLOOKUP($F1452,Inventory!$A:$B,2,FALSE),""))</f>
        <v/>
      </c>
      <c r="H1452" s="83"/>
      <c r="I1452" s="84" t="str">
        <f t="shared" si="2"/>
        <v/>
      </c>
      <c r="J1452" s="85" t="str">
        <f>IF($F1452="","",IFERROR(VLOOKUP($F1452,Inventory!$A:$K,11,FALSE),0))</f>
        <v/>
      </c>
      <c r="K1452" s="85"/>
      <c r="L1452" s="85" t="str">
        <f t="shared" si="12"/>
        <v/>
      </c>
      <c r="M1452" s="83"/>
      <c r="N1452" s="85" t="str">
        <f>IF($F1452="","",IFERROR(VLOOKUP($F1452,Inventory!$A:$I,9,FALSE),0))</f>
        <v/>
      </c>
      <c r="O1452" s="85" t="str">
        <f t="shared" si="13"/>
        <v/>
      </c>
      <c r="P1452" s="85" t="str">
        <f t="shared" si="5"/>
        <v/>
      </c>
      <c r="Q1452" s="83"/>
      <c r="R1452" s="118" t="str">
        <f>IF($E1452="","",IF(COUNTIF($E$7:$E2649,$E1452)&gt;1,"",IFERROR(VLOOKUP($E1452,Orders!$A:$I,8,FALSE),"")))</f>
        <v/>
      </c>
      <c r="S1452" s="118" t="str">
        <f>IF($E1452="","",IF(COUNTIF($E$7:$E2649,$E1452)&gt;1,"",IFERROR(VLOOKUP($E1452,Orders!$A:$I,9,FALSE),"")))</f>
        <v/>
      </c>
      <c r="T1452" s="88" t="str">
        <f t="shared" si="14"/>
        <v/>
      </c>
      <c r="U1452" s="88" t="str">
        <f>IF($F1452="","",IF($E1452="",T1452,SUMIF(Sales!$E$7:$E$1506,$E1452,Sales!$T$7:$T$1506)))</f>
        <v/>
      </c>
      <c r="V1452" s="49" t="str">
        <f t="shared" si="15"/>
        <v/>
      </c>
      <c r="W1452" s="49" t="str">
        <f t="array" ref="W1452">IF($V1452="","",SUMPRODUCT((Sales!$V$7:$V$1506&lt;&gt;"")*(Sales!$E$7:$E$1506&lt;$E1452))+1)</f>
        <v/>
      </c>
      <c r="X1452" s="49" t="str">
        <f t="shared" si="16"/>
        <v/>
      </c>
      <c r="Y1452" s="49" t="str">
        <f t="shared" si="17"/>
        <v/>
      </c>
    </row>
    <row r="1453" ht="15.0" customHeight="1">
      <c r="A1453" s="82"/>
      <c r="B1453" s="83"/>
      <c r="C1453" s="83"/>
      <c r="D1453" s="83"/>
      <c r="E1453" s="83"/>
      <c r="F1453" s="83"/>
      <c r="G1453" s="83" t="str">
        <f>IF($F1453="","",IFERROR(VLOOKUP($F1453,Inventory!$A:$B,2,FALSE),""))</f>
        <v/>
      </c>
      <c r="H1453" s="83"/>
      <c r="I1453" s="84" t="str">
        <f t="shared" si="2"/>
        <v/>
      </c>
      <c r="J1453" s="85" t="str">
        <f>IF($F1453="","",IFERROR(VLOOKUP($F1453,Inventory!$A:$K,11,FALSE),0))</f>
        <v/>
      </c>
      <c r="K1453" s="85"/>
      <c r="L1453" s="85" t="str">
        <f t="shared" si="12"/>
        <v/>
      </c>
      <c r="M1453" s="83"/>
      <c r="N1453" s="85" t="str">
        <f>IF($F1453="","",IFERROR(VLOOKUP($F1453,Inventory!$A:$I,9,FALSE),0))</f>
        <v/>
      </c>
      <c r="O1453" s="85" t="str">
        <f t="shared" si="13"/>
        <v/>
      </c>
      <c r="P1453" s="85" t="str">
        <f t="shared" si="5"/>
        <v/>
      </c>
      <c r="Q1453" s="83"/>
      <c r="R1453" s="118" t="str">
        <f>IF($E1453="","",IF(COUNTIF($E$7:$E2650,$E1453)&gt;1,"",IFERROR(VLOOKUP($E1453,Orders!$A:$I,8,FALSE),"")))</f>
        <v/>
      </c>
      <c r="S1453" s="118" t="str">
        <f>IF($E1453="","",IF(COUNTIF($E$7:$E2650,$E1453)&gt;1,"",IFERROR(VLOOKUP($E1453,Orders!$A:$I,9,FALSE),"")))</f>
        <v/>
      </c>
      <c r="T1453" s="88" t="str">
        <f t="shared" si="14"/>
        <v/>
      </c>
      <c r="U1453" s="88" t="str">
        <f>IF($F1453="","",IF($E1453="",T1453,SUMIF(Sales!$E$7:$E$1506,$E1453,Sales!$T$7:$T$1506)))</f>
        <v/>
      </c>
      <c r="V1453" s="49" t="str">
        <f t="shared" si="15"/>
        <v/>
      </c>
      <c r="W1453" s="49" t="str">
        <f t="array" ref="W1453">IF($V1453="","",SUMPRODUCT((Sales!$V$7:$V$1506&lt;&gt;"")*(Sales!$E$7:$E$1506&lt;$E1453))+1)</f>
        <v/>
      </c>
      <c r="X1453" s="49" t="str">
        <f t="shared" si="16"/>
        <v/>
      </c>
      <c r="Y1453" s="49" t="str">
        <f t="shared" si="17"/>
        <v/>
      </c>
    </row>
    <row r="1454" ht="15.0" customHeight="1">
      <c r="A1454" s="82"/>
      <c r="B1454" s="83"/>
      <c r="C1454" s="83"/>
      <c r="D1454" s="83"/>
      <c r="E1454" s="83"/>
      <c r="F1454" s="83"/>
      <c r="G1454" s="83" t="str">
        <f>IF($F1454="","",IFERROR(VLOOKUP($F1454,Inventory!$A:$B,2,FALSE),""))</f>
        <v/>
      </c>
      <c r="H1454" s="83"/>
      <c r="I1454" s="84" t="str">
        <f t="shared" si="2"/>
        <v/>
      </c>
      <c r="J1454" s="85" t="str">
        <f>IF($F1454="","",IFERROR(VLOOKUP($F1454,Inventory!$A:$K,11,FALSE),0))</f>
        <v/>
      </c>
      <c r="K1454" s="85"/>
      <c r="L1454" s="85" t="str">
        <f t="shared" si="12"/>
        <v/>
      </c>
      <c r="M1454" s="83"/>
      <c r="N1454" s="85" t="str">
        <f>IF($F1454="","",IFERROR(VLOOKUP($F1454,Inventory!$A:$I,9,FALSE),0))</f>
        <v/>
      </c>
      <c r="O1454" s="85" t="str">
        <f t="shared" si="13"/>
        <v/>
      </c>
      <c r="P1454" s="85" t="str">
        <f t="shared" si="5"/>
        <v/>
      </c>
      <c r="Q1454" s="83"/>
      <c r="R1454" s="118" t="str">
        <f>IF($E1454="","",IF(COUNTIF($E$7:$E2651,$E1454)&gt;1,"",IFERROR(VLOOKUP($E1454,Orders!$A:$I,8,FALSE),"")))</f>
        <v/>
      </c>
      <c r="S1454" s="118" t="str">
        <f>IF($E1454="","",IF(COUNTIF($E$7:$E2651,$E1454)&gt;1,"",IFERROR(VLOOKUP($E1454,Orders!$A:$I,9,FALSE),"")))</f>
        <v/>
      </c>
      <c r="T1454" s="88" t="str">
        <f t="shared" si="14"/>
        <v/>
      </c>
      <c r="U1454" s="88" t="str">
        <f>IF($F1454="","",IF($E1454="",T1454,SUMIF(Sales!$E$7:$E$1506,$E1454,Sales!$T$7:$T$1506)))</f>
        <v/>
      </c>
      <c r="V1454" s="49" t="str">
        <f t="shared" si="15"/>
        <v/>
      </c>
      <c r="W1454" s="49" t="str">
        <f t="array" ref="W1454">IF($V1454="","",SUMPRODUCT((Sales!$V$7:$V$1506&lt;&gt;"")*(Sales!$E$7:$E$1506&lt;$E1454))+1)</f>
        <v/>
      </c>
      <c r="X1454" s="49" t="str">
        <f t="shared" si="16"/>
        <v/>
      </c>
      <c r="Y1454" s="49" t="str">
        <f t="shared" si="17"/>
        <v/>
      </c>
    </row>
    <row r="1455" ht="15.0" customHeight="1">
      <c r="A1455" s="82"/>
      <c r="B1455" s="83"/>
      <c r="C1455" s="83"/>
      <c r="D1455" s="83"/>
      <c r="E1455" s="83"/>
      <c r="F1455" s="83"/>
      <c r="G1455" s="83" t="str">
        <f>IF($F1455="","",IFERROR(VLOOKUP($F1455,Inventory!$A:$B,2,FALSE),""))</f>
        <v/>
      </c>
      <c r="H1455" s="83"/>
      <c r="I1455" s="84" t="str">
        <f t="shared" si="2"/>
        <v/>
      </c>
      <c r="J1455" s="85" t="str">
        <f>IF($F1455="","",IFERROR(VLOOKUP($F1455,Inventory!$A:$K,11,FALSE),0))</f>
        <v/>
      </c>
      <c r="K1455" s="85"/>
      <c r="L1455" s="85" t="str">
        <f t="shared" si="12"/>
        <v/>
      </c>
      <c r="M1455" s="83"/>
      <c r="N1455" s="85" t="str">
        <f>IF($F1455="","",IFERROR(VLOOKUP($F1455,Inventory!$A:$I,9,FALSE),0))</f>
        <v/>
      </c>
      <c r="O1455" s="85" t="str">
        <f t="shared" si="13"/>
        <v/>
      </c>
      <c r="P1455" s="85" t="str">
        <f t="shared" si="5"/>
        <v/>
      </c>
      <c r="Q1455" s="83"/>
      <c r="R1455" s="118" t="str">
        <f>IF($E1455="","",IF(COUNTIF($E$7:$E2652,$E1455)&gt;1,"",IFERROR(VLOOKUP($E1455,Orders!$A:$I,8,FALSE),"")))</f>
        <v/>
      </c>
      <c r="S1455" s="118" t="str">
        <f>IF($E1455="","",IF(COUNTIF($E$7:$E2652,$E1455)&gt;1,"",IFERROR(VLOOKUP($E1455,Orders!$A:$I,9,FALSE),"")))</f>
        <v/>
      </c>
      <c r="T1455" s="88" t="str">
        <f t="shared" si="14"/>
        <v/>
      </c>
      <c r="U1455" s="88" t="str">
        <f>IF($F1455="","",IF($E1455="",T1455,SUMIF(Sales!$E$7:$E$1506,$E1455,Sales!$T$7:$T$1506)))</f>
        <v/>
      </c>
      <c r="V1455" s="49" t="str">
        <f t="shared" si="15"/>
        <v/>
      </c>
      <c r="W1455" s="49" t="str">
        <f t="array" ref="W1455">IF($V1455="","",SUMPRODUCT((Sales!$V$7:$V$1506&lt;&gt;"")*(Sales!$E$7:$E$1506&lt;$E1455))+1)</f>
        <v/>
      </c>
      <c r="X1455" s="49" t="str">
        <f t="shared" si="16"/>
        <v/>
      </c>
      <c r="Y1455" s="49" t="str">
        <f t="shared" si="17"/>
        <v/>
      </c>
    </row>
    <row r="1456" ht="15.0" customHeight="1">
      <c r="A1456" s="82"/>
      <c r="B1456" s="83"/>
      <c r="C1456" s="83"/>
      <c r="D1456" s="83"/>
      <c r="E1456" s="83"/>
      <c r="F1456" s="83"/>
      <c r="G1456" s="83" t="str">
        <f>IF($F1456="","",IFERROR(VLOOKUP($F1456,Inventory!$A:$B,2,FALSE),""))</f>
        <v/>
      </c>
      <c r="H1456" s="83"/>
      <c r="I1456" s="84" t="str">
        <f t="shared" si="2"/>
        <v/>
      </c>
      <c r="J1456" s="85" t="str">
        <f>IF($F1456="","",IFERROR(VLOOKUP($F1456,Inventory!$A:$K,11,FALSE),0))</f>
        <v/>
      </c>
      <c r="K1456" s="85"/>
      <c r="L1456" s="85" t="str">
        <f t="shared" si="12"/>
        <v/>
      </c>
      <c r="M1456" s="83"/>
      <c r="N1456" s="85" t="str">
        <f>IF($F1456="","",IFERROR(VLOOKUP($F1456,Inventory!$A:$I,9,FALSE),0))</f>
        <v/>
      </c>
      <c r="O1456" s="85" t="str">
        <f t="shared" si="13"/>
        <v/>
      </c>
      <c r="P1456" s="85" t="str">
        <f t="shared" si="5"/>
        <v/>
      </c>
      <c r="Q1456" s="83"/>
      <c r="R1456" s="118" t="str">
        <f>IF($E1456="","",IF(COUNTIF($E$7:$E2653,$E1456)&gt;1,"",IFERROR(VLOOKUP($E1456,Orders!$A:$I,8,FALSE),"")))</f>
        <v/>
      </c>
      <c r="S1456" s="118" t="str">
        <f>IF($E1456="","",IF(COUNTIF($E$7:$E2653,$E1456)&gt;1,"",IFERROR(VLOOKUP($E1456,Orders!$A:$I,9,FALSE),"")))</f>
        <v/>
      </c>
      <c r="T1456" s="88" t="str">
        <f t="shared" si="14"/>
        <v/>
      </c>
      <c r="U1456" s="88" t="str">
        <f>IF($F1456="","",IF($E1456="",T1456,SUMIF(Sales!$E$7:$E$1506,$E1456,Sales!$T$7:$T$1506)))</f>
        <v/>
      </c>
      <c r="V1456" s="49" t="str">
        <f t="shared" si="15"/>
        <v/>
      </c>
      <c r="W1456" s="49" t="str">
        <f t="array" ref="W1456">IF($V1456="","",SUMPRODUCT((Sales!$V$7:$V$1506&lt;&gt;"")*(Sales!$E$7:$E$1506&lt;$E1456))+1)</f>
        <v/>
      </c>
      <c r="X1456" s="49" t="str">
        <f t="shared" si="16"/>
        <v/>
      </c>
      <c r="Y1456" s="49" t="str">
        <f t="shared" si="17"/>
        <v/>
      </c>
    </row>
    <row r="1457" ht="15.0" customHeight="1">
      <c r="A1457" s="82"/>
      <c r="B1457" s="83"/>
      <c r="C1457" s="83"/>
      <c r="D1457" s="83"/>
      <c r="E1457" s="83"/>
      <c r="F1457" s="83"/>
      <c r="G1457" s="83" t="str">
        <f>IF($F1457="","",IFERROR(VLOOKUP($F1457,Inventory!$A:$B,2,FALSE),""))</f>
        <v/>
      </c>
      <c r="H1457" s="83"/>
      <c r="I1457" s="84" t="str">
        <f t="shared" si="2"/>
        <v/>
      </c>
      <c r="J1457" s="85" t="str">
        <f>IF($F1457="","",IFERROR(VLOOKUP($F1457,Inventory!$A:$K,11,FALSE),0))</f>
        <v/>
      </c>
      <c r="K1457" s="85"/>
      <c r="L1457" s="85" t="str">
        <f t="shared" si="12"/>
        <v/>
      </c>
      <c r="M1457" s="83"/>
      <c r="N1457" s="85" t="str">
        <f>IF($F1457="","",IFERROR(VLOOKUP($F1457,Inventory!$A:$I,9,FALSE),0))</f>
        <v/>
      </c>
      <c r="O1457" s="85" t="str">
        <f t="shared" si="13"/>
        <v/>
      </c>
      <c r="P1457" s="85" t="str">
        <f t="shared" si="5"/>
        <v/>
      </c>
      <c r="Q1457" s="83"/>
      <c r="R1457" s="118" t="str">
        <f>IF($E1457="","",IF(COUNTIF($E$7:$E2654,$E1457)&gt;1,"",IFERROR(VLOOKUP($E1457,Orders!$A:$I,8,FALSE),"")))</f>
        <v/>
      </c>
      <c r="S1457" s="118" t="str">
        <f>IF($E1457="","",IF(COUNTIF($E$7:$E2654,$E1457)&gt;1,"",IFERROR(VLOOKUP($E1457,Orders!$A:$I,9,FALSE),"")))</f>
        <v/>
      </c>
      <c r="T1457" s="88" t="str">
        <f t="shared" si="14"/>
        <v/>
      </c>
      <c r="U1457" s="88" t="str">
        <f>IF($F1457="","",IF($E1457="",T1457,SUMIF(Sales!$E$7:$E$1506,$E1457,Sales!$T$7:$T$1506)))</f>
        <v/>
      </c>
      <c r="V1457" s="49" t="str">
        <f t="shared" si="15"/>
        <v/>
      </c>
      <c r="W1457" s="49" t="str">
        <f t="array" ref="W1457">IF($V1457="","",SUMPRODUCT((Sales!$V$7:$V$1506&lt;&gt;"")*(Sales!$E$7:$E$1506&lt;$E1457))+1)</f>
        <v/>
      </c>
      <c r="X1457" s="49" t="str">
        <f t="shared" si="16"/>
        <v/>
      </c>
      <c r="Y1457" s="49" t="str">
        <f t="shared" si="17"/>
        <v/>
      </c>
    </row>
    <row r="1458" ht="15.0" customHeight="1">
      <c r="A1458" s="82"/>
      <c r="B1458" s="83"/>
      <c r="C1458" s="83"/>
      <c r="D1458" s="83"/>
      <c r="E1458" s="83"/>
      <c r="F1458" s="83"/>
      <c r="G1458" s="83" t="str">
        <f>IF($F1458="","",IFERROR(VLOOKUP($F1458,Inventory!$A:$B,2,FALSE),""))</f>
        <v/>
      </c>
      <c r="H1458" s="83"/>
      <c r="I1458" s="84" t="str">
        <f t="shared" si="2"/>
        <v/>
      </c>
      <c r="J1458" s="85" t="str">
        <f>IF($F1458="","",IFERROR(VLOOKUP($F1458,Inventory!$A:$K,11,FALSE),0))</f>
        <v/>
      </c>
      <c r="K1458" s="85"/>
      <c r="L1458" s="85" t="str">
        <f t="shared" si="12"/>
        <v/>
      </c>
      <c r="M1458" s="83"/>
      <c r="N1458" s="85" t="str">
        <f>IF($F1458="","",IFERROR(VLOOKUP($F1458,Inventory!$A:$I,9,FALSE),0))</f>
        <v/>
      </c>
      <c r="O1458" s="85" t="str">
        <f t="shared" si="13"/>
        <v/>
      </c>
      <c r="P1458" s="85" t="str">
        <f t="shared" si="5"/>
        <v/>
      </c>
      <c r="Q1458" s="83"/>
      <c r="R1458" s="118" t="str">
        <f>IF($E1458="","",IF(COUNTIF($E$7:$E2655,$E1458)&gt;1,"",IFERROR(VLOOKUP($E1458,Orders!$A:$I,8,FALSE),"")))</f>
        <v/>
      </c>
      <c r="S1458" s="118" t="str">
        <f>IF($E1458="","",IF(COUNTIF($E$7:$E2655,$E1458)&gt;1,"",IFERROR(VLOOKUP($E1458,Orders!$A:$I,9,FALSE),"")))</f>
        <v/>
      </c>
      <c r="T1458" s="88" t="str">
        <f t="shared" si="14"/>
        <v/>
      </c>
      <c r="U1458" s="88" t="str">
        <f>IF($F1458="","",IF($E1458="",T1458,SUMIF(Sales!$E$7:$E$1506,$E1458,Sales!$T$7:$T$1506)))</f>
        <v/>
      </c>
      <c r="V1458" s="49" t="str">
        <f t="shared" si="15"/>
        <v/>
      </c>
      <c r="W1458" s="49" t="str">
        <f t="array" ref="W1458">IF($V1458="","",SUMPRODUCT((Sales!$V$7:$V$1506&lt;&gt;"")*(Sales!$E$7:$E$1506&lt;$E1458))+1)</f>
        <v/>
      </c>
      <c r="X1458" s="49" t="str">
        <f t="shared" si="16"/>
        <v/>
      </c>
      <c r="Y1458" s="49" t="str">
        <f t="shared" si="17"/>
        <v/>
      </c>
    </row>
    <row r="1459" ht="15.0" customHeight="1">
      <c r="A1459" s="82"/>
      <c r="B1459" s="83"/>
      <c r="C1459" s="83"/>
      <c r="D1459" s="83"/>
      <c r="E1459" s="83"/>
      <c r="F1459" s="83"/>
      <c r="G1459" s="83" t="str">
        <f>IF($F1459="","",IFERROR(VLOOKUP($F1459,Inventory!$A:$B,2,FALSE),""))</f>
        <v/>
      </c>
      <c r="H1459" s="83"/>
      <c r="I1459" s="84" t="str">
        <f t="shared" si="2"/>
        <v/>
      </c>
      <c r="J1459" s="85" t="str">
        <f>IF($F1459="","",IFERROR(VLOOKUP($F1459,Inventory!$A:$K,11,FALSE),0))</f>
        <v/>
      </c>
      <c r="K1459" s="85"/>
      <c r="L1459" s="85" t="str">
        <f t="shared" si="12"/>
        <v/>
      </c>
      <c r="M1459" s="83"/>
      <c r="N1459" s="85" t="str">
        <f>IF($F1459="","",IFERROR(VLOOKUP($F1459,Inventory!$A:$I,9,FALSE),0))</f>
        <v/>
      </c>
      <c r="O1459" s="85" t="str">
        <f t="shared" si="13"/>
        <v/>
      </c>
      <c r="P1459" s="85" t="str">
        <f t="shared" si="5"/>
        <v/>
      </c>
      <c r="Q1459" s="83"/>
      <c r="R1459" s="118" t="str">
        <f>IF($E1459="","",IF(COUNTIF($E$7:$E2656,$E1459)&gt;1,"",IFERROR(VLOOKUP($E1459,Orders!$A:$I,8,FALSE),"")))</f>
        <v/>
      </c>
      <c r="S1459" s="118" t="str">
        <f>IF($E1459="","",IF(COUNTIF($E$7:$E2656,$E1459)&gt;1,"",IFERROR(VLOOKUP($E1459,Orders!$A:$I,9,FALSE),"")))</f>
        <v/>
      </c>
      <c r="T1459" s="88" t="str">
        <f t="shared" si="14"/>
        <v/>
      </c>
      <c r="U1459" s="88" t="str">
        <f>IF($F1459="","",IF($E1459="",T1459,SUMIF(Sales!$E$7:$E$1506,$E1459,Sales!$T$7:$T$1506)))</f>
        <v/>
      </c>
      <c r="V1459" s="49" t="str">
        <f t="shared" si="15"/>
        <v/>
      </c>
      <c r="W1459" s="49" t="str">
        <f t="array" ref="W1459">IF($V1459="","",SUMPRODUCT((Sales!$V$7:$V$1506&lt;&gt;"")*(Sales!$E$7:$E$1506&lt;$E1459))+1)</f>
        <v/>
      </c>
      <c r="X1459" s="49" t="str">
        <f t="shared" si="16"/>
        <v/>
      </c>
      <c r="Y1459" s="49" t="str">
        <f t="shared" si="17"/>
        <v/>
      </c>
    </row>
    <row r="1460" ht="15.0" customHeight="1">
      <c r="A1460" s="82"/>
      <c r="B1460" s="83"/>
      <c r="C1460" s="83"/>
      <c r="D1460" s="83"/>
      <c r="E1460" s="83"/>
      <c r="F1460" s="83"/>
      <c r="G1460" s="83" t="str">
        <f>IF($F1460="","",IFERROR(VLOOKUP($F1460,Inventory!$A:$B,2,FALSE),""))</f>
        <v/>
      </c>
      <c r="H1460" s="83"/>
      <c r="I1460" s="84" t="str">
        <f t="shared" si="2"/>
        <v/>
      </c>
      <c r="J1460" s="85" t="str">
        <f>IF($F1460="","",IFERROR(VLOOKUP($F1460,Inventory!$A:$K,11,FALSE),0))</f>
        <v/>
      </c>
      <c r="K1460" s="85"/>
      <c r="L1460" s="85" t="str">
        <f t="shared" si="12"/>
        <v/>
      </c>
      <c r="M1460" s="83"/>
      <c r="N1460" s="85" t="str">
        <f>IF($F1460="","",IFERROR(VLOOKUP($F1460,Inventory!$A:$I,9,FALSE),0))</f>
        <v/>
      </c>
      <c r="O1460" s="85" t="str">
        <f t="shared" si="13"/>
        <v/>
      </c>
      <c r="P1460" s="85" t="str">
        <f t="shared" si="5"/>
        <v/>
      </c>
      <c r="Q1460" s="83"/>
      <c r="R1460" s="118" t="str">
        <f>IF($E1460="","",IF(COUNTIF($E$7:$E2657,$E1460)&gt;1,"",IFERROR(VLOOKUP($E1460,Orders!$A:$I,8,FALSE),"")))</f>
        <v/>
      </c>
      <c r="S1460" s="118" t="str">
        <f>IF($E1460="","",IF(COUNTIF($E$7:$E2657,$E1460)&gt;1,"",IFERROR(VLOOKUP($E1460,Orders!$A:$I,9,FALSE),"")))</f>
        <v/>
      </c>
      <c r="T1460" s="88" t="str">
        <f t="shared" si="14"/>
        <v/>
      </c>
      <c r="U1460" s="88" t="str">
        <f>IF($F1460="","",IF($E1460="",T1460,SUMIF(Sales!$E$7:$E$1506,$E1460,Sales!$T$7:$T$1506)))</f>
        <v/>
      </c>
      <c r="V1460" s="49" t="str">
        <f t="shared" si="15"/>
        <v/>
      </c>
      <c r="W1460" s="49" t="str">
        <f t="array" ref="W1460">IF($V1460="","",SUMPRODUCT((Sales!$V$7:$V$1506&lt;&gt;"")*(Sales!$E$7:$E$1506&lt;$E1460))+1)</f>
        <v/>
      </c>
      <c r="X1460" s="49" t="str">
        <f t="shared" si="16"/>
        <v/>
      </c>
      <c r="Y1460" s="49" t="str">
        <f t="shared" si="17"/>
        <v/>
      </c>
    </row>
    <row r="1461" ht="15.0" customHeight="1">
      <c r="A1461" s="82"/>
      <c r="B1461" s="83"/>
      <c r="C1461" s="83"/>
      <c r="D1461" s="83"/>
      <c r="E1461" s="83"/>
      <c r="F1461" s="83"/>
      <c r="G1461" s="83" t="str">
        <f>IF($F1461="","",IFERROR(VLOOKUP($F1461,Inventory!$A:$B,2,FALSE),""))</f>
        <v/>
      </c>
      <c r="H1461" s="83"/>
      <c r="I1461" s="84" t="str">
        <f t="shared" si="2"/>
        <v/>
      </c>
      <c r="J1461" s="85" t="str">
        <f>IF($F1461="","",IFERROR(VLOOKUP($F1461,Inventory!$A:$K,11,FALSE),0))</f>
        <v/>
      </c>
      <c r="K1461" s="85"/>
      <c r="L1461" s="85" t="str">
        <f t="shared" si="12"/>
        <v/>
      </c>
      <c r="M1461" s="83"/>
      <c r="N1461" s="85" t="str">
        <f>IF($F1461="","",IFERROR(VLOOKUP($F1461,Inventory!$A:$I,9,FALSE),0))</f>
        <v/>
      </c>
      <c r="O1461" s="85" t="str">
        <f t="shared" si="13"/>
        <v/>
      </c>
      <c r="P1461" s="85" t="str">
        <f t="shared" si="5"/>
        <v/>
      </c>
      <c r="Q1461" s="83"/>
      <c r="R1461" s="118" t="str">
        <f>IF($E1461="","",IF(COUNTIF($E$7:$E2658,$E1461)&gt;1,"",IFERROR(VLOOKUP($E1461,Orders!$A:$I,8,FALSE),"")))</f>
        <v/>
      </c>
      <c r="S1461" s="118" t="str">
        <f>IF($E1461="","",IF(COUNTIF($E$7:$E2658,$E1461)&gt;1,"",IFERROR(VLOOKUP($E1461,Orders!$A:$I,9,FALSE),"")))</f>
        <v/>
      </c>
      <c r="T1461" s="88" t="str">
        <f t="shared" si="14"/>
        <v/>
      </c>
      <c r="U1461" s="88" t="str">
        <f>IF($F1461="","",IF($E1461="",T1461,SUMIF(Sales!$E$7:$E$1506,$E1461,Sales!$T$7:$T$1506)))</f>
        <v/>
      </c>
      <c r="V1461" s="49" t="str">
        <f t="shared" si="15"/>
        <v/>
      </c>
      <c r="W1461" s="49" t="str">
        <f t="array" ref="W1461">IF($V1461="","",SUMPRODUCT((Sales!$V$7:$V$1506&lt;&gt;"")*(Sales!$E$7:$E$1506&lt;$E1461))+1)</f>
        <v/>
      </c>
      <c r="X1461" s="49" t="str">
        <f t="shared" si="16"/>
        <v/>
      </c>
      <c r="Y1461" s="49" t="str">
        <f t="shared" si="17"/>
        <v/>
      </c>
    </row>
    <row r="1462" ht="15.0" customHeight="1">
      <c r="A1462" s="82"/>
      <c r="B1462" s="83"/>
      <c r="C1462" s="83"/>
      <c r="D1462" s="83"/>
      <c r="E1462" s="83"/>
      <c r="F1462" s="83"/>
      <c r="G1462" s="83" t="str">
        <f>IF($F1462="","",IFERROR(VLOOKUP($F1462,Inventory!$A:$B,2,FALSE),""))</f>
        <v/>
      </c>
      <c r="H1462" s="83"/>
      <c r="I1462" s="84" t="str">
        <f t="shared" si="2"/>
        <v/>
      </c>
      <c r="J1462" s="85" t="str">
        <f>IF($F1462="","",IFERROR(VLOOKUP($F1462,Inventory!$A:$K,11,FALSE),0))</f>
        <v/>
      </c>
      <c r="K1462" s="85"/>
      <c r="L1462" s="85" t="str">
        <f t="shared" si="12"/>
        <v/>
      </c>
      <c r="M1462" s="83"/>
      <c r="N1462" s="85" t="str">
        <f>IF($F1462="","",IFERROR(VLOOKUP($F1462,Inventory!$A:$I,9,FALSE),0))</f>
        <v/>
      </c>
      <c r="O1462" s="85" t="str">
        <f t="shared" si="13"/>
        <v/>
      </c>
      <c r="P1462" s="85" t="str">
        <f t="shared" si="5"/>
        <v/>
      </c>
      <c r="Q1462" s="83"/>
      <c r="R1462" s="118" t="str">
        <f>IF($E1462="","",IF(COUNTIF($E$7:$E2659,$E1462)&gt;1,"",IFERROR(VLOOKUP($E1462,Orders!$A:$I,8,FALSE),"")))</f>
        <v/>
      </c>
      <c r="S1462" s="118" t="str">
        <f>IF($E1462="","",IF(COUNTIF($E$7:$E2659,$E1462)&gt;1,"",IFERROR(VLOOKUP($E1462,Orders!$A:$I,9,FALSE),"")))</f>
        <v/>
      </c>
      <c r="T1462" s="88" t="str">
        <f t="shared" si="14"/>
        <v/>
      </c>
      <c r="U1462" s="88" t="str">
        <f>IF($F1462="","",IF($E1462="",T1462,SUMIF(Sales!$E$7:$E$1506,$E1462,Sales!$T$7:$T$1506)))</f>
        <v/>
      </c>
      <c r="V1462" s="49" t="str">
        <f t="shared" si="15"/>
        <v/>
      </c>
      <c r="W1462" s="49" t="str">
        <f t="array" ref="W1462">IF($V1462="","",SUMPRODUCT((Sales!$V$7:$V$1506&lt;&gt;"")*(Sales!$E$7:$E$1506&lt;$E1462))+1)</f>
        <v/>
      </c>
      <c r="X1462" s="49" t="str">
        <f t="shared" si="16"/>
        <v/>
      </c>
      <c r="Y1462" s="49" t="str">
        <f t="shared" si="17"/>
        <v/>
      </c>
    </row>
    <row r="1463" ht="15.0" customHeight="1">
      <c r="A1463" s="82"/>
      <c r="B1463" s="83"/>
      <c r="C1463" s="83"/>
      <c r="D1463" s="83"/>
      <c r="E1463" s="83"/>
      <c r="F1463" s="83"/>
      <c r="G1463" s="83" t="str">
        <f>IF($F1463="","",IFERROR(VLOOKUP($F1463,Inventory!$A:$B,2,FALSE),""))</f>
        <v/>
      </c>
      <c r="H1463" s="83"/>
      <c r="I1463" s="84" t="str">
        <f t="shared" si="2"/>
        <v/>
      </c>
      <c r="J1463" s="85" t="str">
        <f>IF($F1463="","",IFERROR(VLOOKUP($F1463,Inventory!$A:$K,11,FALSE),0))</f>
        <v/>
      </c>
      <c r="K1463" s="85"/>
      <c r="L1463" s="85" t="str">
        <f t="shared" si="12"/>
        <v/>
      </c>
      <c r="M1463" s="83"/>
      <c r="N1463" s="85" t="str">
        <f>IF($F1463="","",IFERROR(VLOOKUP($F1463,Inventory!$A:$I,9,FALSE),0))</f>
        <v/>
      </c>
      <c r="O1463" s="85" t="str">
        <f t="shared" si="13"/>
        <v/>
      </c>
      <c r="P1463" s="85" t="str">
        <f t="shared" si="5"/>
        <v/>
      </c>
      <c r="Q1463" s="83"/>
      <c r="R1463" s="118" t="str">
        <f>IF($E1463="","",IF(COUNTIF($E$7:$E2660,$E1463)&gt;1,"",IFERROR(VLOOKUP($E1463,Orders!$A:$I,8,FALSE),"")))</f>
        <v/>
      </c>
      <c r="S1463" s="118" t="str">
        <f>IF($E1463="","",IF(COUNTIF($E$7:$E2660,$E1463)&gt;1,"",IFERROR(VLOOKUP($E1463,Orders!$A:$I,9,FALSE),"")))</f>
        <v/>
      </c>
      <c r="T1463" s="88" t="str">
        <f t="shared" si="14"/>
        <v/>
      </c>
      <c r="U1463" s="88" t="str">
        <f>IF($F1463="","",IF($E1463="",T1463,SUMIF(Sales!$E$7:$E$1506,$E1463,Sales!$T$7:$T$1506)))</f>
        <v/>
      </c>
      <c r="V1463" s="49" t="str">
        <f t="shared" si="15"/>
        <v/>
      </c>
      <c r="W1463" s="49" t="str">
        <f t="array" ref="W1463">IF($V1463="","",SUMPRODUCT((Sales!$V$7:$V$1506&lt;&gt;"")*(Sales!$E$7:$E$1506&lt;$E1463))+1)</f>
        <v/>
      </c>
      <c r="X1463" s="49" t="str">
        <f t="shared" si="16"/>
        <v/>
      </c>
      <c r="Y1463" s="49" t="str">
        <f t="shared" si="17"/>
        <v/>
      </c>
    </row>
    <row r="1464" ht="15.0" customHeight="1">
      <c r="A1464" s="82"/>
      <c r="B1464" s="83"/>
      <c r="C1464" s="83"/>
      <c r="D1464" s="83"/>
      <c r="E1464" s="83"/>
      <c r="F1464" s="83"/>
      <c r="G1464" s="83" t="str">
        <f>IF($F1464="","",IFERROR(VLOOKUP($F1464,Inventory!$A:$B,2,FALSE),""))</f>
        <v/>
      </c>
      <c r="H1464" s="83"/>
      <c r="I1464" s="84" t="str">
        <f t="shared" si="2"/>
        <v/>
      </c>
      <c r="J1464" s="85" t="str">
        <f>IF($F1464="","",IFERROR(VLOOKUP($F1464,Inventory!$A:$K,11,FALSE),0))</f>
        <v/>
      </c>
      <c r="K1464" s="85"/>
      <c r="L1464" s="85" t="str">
        <f t="shared" si="12"/>
        <v/>
      </c>
      <c r="M1464" s="83"/>
      <c r="N1464" s="85" t="str">
        <f>IF($F1464="","",IFERROR(VLOOKUP($F1464,Inventory!$A:$I,9,FALSE),0))</f>
        <v/>
      </c>
      <c r="O1464" s="85" t="str">
        <f t="shared" si="13"/>
        <v/>
      </c>
      <c r="P1464" s="85" t="str">
        <f t="shared" si="5"/>
        <v/>
      </c>
      <c r="Q1464" s="83"/>
      <c r="R1464" s="118" t="str">
        <f>IF($E1464="","",IF(COUNTIF($E$7:$E2661,$E1464)&gt;1,"",IFERROR(VLOOKUP($E1464,Orders!$A:$I,8,FALSE),"")))</f>
        <v/>
      </c>
      <c r="S1464" s="118" t="str">
        <f>IF($E1464="","",IF(COUNTIF($E$7:$E2661,$E1464)&gt;1,"",IFERROR(VLOOKUP($E1464,Orders!$A:$I,9,FALSE),"")))</f>
        <v/>
      </c>
      <c r="T1464" s="88" t="str">
        <f t="shared" si="14"/>
        <v/>
      </c>
      <c r="U1464" s="88" t="str">
        <f>IF($F1464="","",IF($E1464="",T1464,SUMIF(Sales!$E$7:$E$1506,$E1464,Sales!$T$7:$T$1506)))</f>
        <v/>
      </c>
      <c r="V1464" s="49" t="str">
        <f t="shared" si="15"/>
        <v/>
      </c>
      <c r="W1464" s="49" t="str">
        <f t="array" ref="W1464">IF($V1464="","",SUMPRODUCT((Sales!$V$7:$V$1506&lt;&gt;"")*(Sales!$E$7:$E$1506&lt;$E1464))+1)</f>
        <v/>
      </c>
      <c r="X1464" s="49" t="str">
        <f t="shared" si="16"/>
        <v/>
      </c>
      <c r="Y1464" s="49" t="str">
        <f t="shared" si="17"/>
        <v/>
      </c>
    </row>
    <row r="1465" ht="15.0" customHeight="1">
      <c r="A1465" s="82"/>
      <c r="B1465" s="83"/>
      <c r="C1465" s="83"/>
      <c r="D1465" s="83"/>
      <c r="E1465" s="83"/>
      <c r="F1465" s="83"/>
      <c r="G1465" s="83" t="str">
        <f>IF($F1465="","",IFERROR(VLOOKUP($F1465,Inventory!$A:$B,2,FALSE),""))</f>
        <v/>
      </c>
      <c r="H1465" s="83"/>
      <c r="I1465" s="84" t="str">
        <f t="shared" si="2"/>
        <v/>
      </c>
      <c r="J1465" s="85" t="str">
        <f>IF($F1465="","",IFERROR(VLOOKUP($F1465,Inventory!$A:$K,11,FALSE),0))</f>
        <v/>
      </c>
      <c r="K1465" s="85"/>
      <c r="L1465" s="85" t="str">
        <f t="shared" si="12"/>
        <v/>
      </c>
      <c r="M1465" s="83"/>
      <c r="N1465" s="85" t="str">
        <f>IF($F1465="","",IFERROR(VLOOKUP($F1465,Inventory!$A:$I,9,FALSE),0))</f>
        <v/>
      </c>
      <c r="O1465" s="85" t="str">
        <f t="shared" si="13"/>
        <v/>
      </c>
      <c r="P1465" s="85" t="str">
        <f t="shared" si="5"/>
        <v/>
      </c>
      <c r="Q1465" s="83"/>
      <c r="R1465" s="118" t="str">
        <f>IF($E1465="","",IF(COUNTIF($E$7:$E2662,$E1465)&gt;1,"",IFERROR(VLOOKUP($E1465,Orders!$A:$I,8,FALSE),"")))</f>
        <v/>
      </c>
      <c r="S1465" s="118" t="str">
        <f>IF($E1465="","",IF(COUNTIF($E$7:$E2662,$E1465)&gt;1,"",IFERROR(VLOOKUP($E1465,Orders!$A:$I,9,FALSE),"")))</f>
        <v/>
      </c>
      <c r="T1465" s="88" t="str">
        <f t="shared" si="14"/>
        <v/>
      </c>
      <c r="U1465" s="88" t="str">
        <f>IF($F1465="","",IF($E1465="",T1465,SUMIF(Sales!$E$7:$E$1506,$E1465,Sales!$T$7:$T$1506)))</f>
        <v/>
      </c>
      <c r="V1465" s="49" t="str">
        <f t="shared" si="15"/>
        <v/>
      </c>
      <c r="W1465" s="49" t="str">
        <f t="array" ref="W1465">IF($V1465="","",SUMPRODUCT((Sales!$V$7:$V$1506&lt;&gt;"")*(Sales!$E$7:$E$1506&lt;$E1465))+1)</f>
        <v/>
      </c>
      <c r="X1465" s="49" t="str">
        <f t="shared" si="16"/>
        <v/>
      </c>
      <c r="Y1465" s="49" t="str">
        <f t="shared" si="17"/>
        <v/>
      </c>
    </row>
    <row r="1466" ht="15.0" customHeight="1">
      <c r="A1466" s="82"/>
      <c r="B1466" s="83"/>
      <c r="C1466" s="83"/>
      <c r="D1466" s="83"/>
      <c r="E1466" s="83"/>
      <c r="F1466" s="83"/>
      <c r="G1466" s="83" t="str">
        <f>IF($F1466="","",IFERROR(VLOOKUP($F1466,Inventory!$A:$B,2,FALSE),""))</f>
        <v/>
      </c>
      <c r="H1466" s="83"/>
      <c r="I1466" s="84" t="str">
        <f t="shared" si="2"/>
        <v/>
      </c>
      <c r="J1466" s="85" t="str">
        <f>IF($F1466="","",IFERROR(VLOOKUP($F1466,Inventory!$A:$K,11,FALSE),0))</f>
        <v/>
      </c>
      <c r="K1466" s="85"/>
      <c r="L1466" s="85" t="str">
        <f t="shared" si="12"/>
        <v/>
      </c>
      <c r="M1466" s="83"/>
      <c r="N1466" s="85" t="str">
        <f>IF($F1466="","",IFERROR(VLOOKUP($F1466,Inventory!$A:$I,9,FALSE),0))</f>
        <v/>
      </c>
      <c r="O1466" s="85" t="str">
        <f t="shared" si="13"/>
        <v/>
      </c>
      <c r="P1466" s="85" t="str">
        <f t="shared" si="5"/>
        <v/>
      </c>
      <c r="Q1466" s="83"/>
      <c r="R1466" s="118" t="str">
        <f>IF($E1466="","",IF(COUNTIF($E$7:$E2663,$E1466)&gt;1,"",IFERROR(VLOOKUP($E1466,Orders!$A:$I,8,FALSE),"")))</f>
        <v/>
      </c>
      <c r="S1466" s="118" t="str">
        <f>IF($E1466="","",IF(COUNTIF($E$7:$E2663,$E1466)&gt;1,"",IFERROR(VLOOKUP($E1466,Orders!$A:$I,9,FALSE),"")))</f>
        <v/>
      </c>
      <c r="T1466" s="88" t="str">
        <f t="shared" si="14"/>
        <v/>
      </c>
      <c r="U1466" s="88" t="str">
        <f>IF($F1466="","",IF($E1466="",T1466,SUMIF(Sales!$E$7:$E$1506,$E1466,Sales!$T$7:$T$1506)))</f>
        <v/>
      </c>
      <c r="V1466" s="49" t="str">
        <f t="shared" si="15"/>
        <v/>
      </c>
      <c r="W1466" s="49" t="str">
        <f t="array" ref="W1466">IF($V1466="","",SUMPRODUCT((Sales!$V$7:$V$1506&lt;&gt;"")*(Sales!$E$7:$E$1506&lt;$E1466))+1)</f>
        <v/>
      </c>
      <c r="X1466" s="49" t="str">
        <f t="shared" si="16"/>
        <v/>
      </c>
      <c r="Y1466" s="49" t="str">
        <f t="shared" si="17"/>
        <v/>
      </c>
    </row>
    <row r="1467" ht="15.0" customHeight="1">
      <c r="A1467" s="82"/>
      <c r="B1467" s="83"/>
      <c r="C1467" s="83"/>
      <c r="D1467" s="83"/>
      <c r="E1467" s="83"/>
      <c r="F1467" s="83"/>
      <c r="G1467" s="83" t="str">
        <f>IF($F1467="","",IFERROR(VLOOKUP($F1467,Inventory!$A:$B,2,FALSE),""))</f>
        <v/>
      </c>
      <c r="H1467" s="83"/>
      <c r="I1467" s="84" t="str">
        <f t="shared" si="2"/>
        <v/>
      </c>
      <c r="J1467" s="85" t="str">
        <f>IF($F1467="","",IFERROR(VLOOKUP($F1467,Inventory!$A:$K,11,FALSE),0))</f>
        <v/>
      </c>
      <c r="K1467" s="85"/>
      <c r="L1467" s="85" t="str">
        <f t="shared" si="12"/>
        <v/>
      </c>
      <c r="M1467" s="83"/>
      <c r="N1467" s="85" t="str">
        <f>IF($F1467="","",IFERROR(VLOOKUP($F1467,Inventory!$A:$I,9,FALSE),0))</f>
        <v/>
      </c>
      <c r="O1467" s="85" t="str">
        <f t="shared" si="13"/>
        <v/>
      </c>
      <c r="P1467" s="85" t="str">
        <f t="shared" si="5"/>
        <v/>
      </c>
      <c r="Q1467" s="83"/>
      <c r="R1467" s="118" t="str">
        <f>IF($E1467="","",IF(COUNTIF($E$7:$E2664,$E1467)&gt;1,"",IFERROR(VLOOKUP($E1467,Orders!$A:$I,8,FALSE),"")))</f>
        <v/>
      </c>
      <c r="S1467" s="118" t="str">
        <f>IF($E1467="","",IF(COUNTIF($E$7:$E2664,$E1467)&gt;1,"",IFERROR(VLOOKUP($E1467,Orders!$A:$I,9,FALSE),"")))</f>
        <v/>
      </c>
      <c r="T1467" s="88" t="str">
        <f t="shared" si="14"/>
        <v/>
      </c>
      <c r="U1467" s="88" t="str">
        <f>IF($F1467="","",IF($E1467="",T1467,SUMIF(Sales!$E$7:$E$1506,$E1467,Sales!$T$7:$T$1506)))</f>
        <v/>
      </c>
      <c r="V1467" s="49" t="str">
        <f t="shared" si="15"/>
        <v/>
      </c>
      <c r="W1467" s="49" t="str">
        <f t="array" ref="W1467">IF($V1467="","",SUMPRODUCT((Sales!$V$7:$V$1506&lt;&gt;"")*(Sales!$E$7:$E$1506&lt;$E1467))+1)</f>
        <v/>
      </c>
      <c r="X1467" s="49" t="str">
        <f t="shared" si="16"/>
        <v/>
      </c>
      <c r="Y1467" s="49" t="str">
        <f t="shared" si="17"/>
        <v/>
      </c>
    </row>
    <row r="1468" ht="15.0" customHeight="1">
      <c r="A1468" s="82"/>
      <c r="B1468" s="83"/>
      <c r="C1468" s="83"/>
      <c r="D1468" s="83"/>
      <c r="E1468" s="83"/>
      <c r="F1468" s="83"/>
      <c r="G1468" s="83" t="str">
        <f>IF($F1468="","",IFERROR(VLOOKUP($F1468,Inventory!$A:$B,2,FALSE),""))</f>
        <v/>
      </c>
      <c r="H1468" s="83"/>
      <c r="I1468" s="84" t="str">
        <f t="shared" si="2"/>
        <v/>
      </c>
      <c r="J1468" s="85" t="str">
        <f>IF($F1468="","",IFERROR(VLOOKUP($F1468,Inventory!$A:$K,11,FALSE),0))</f>
        <v/>
      </c>
      <c r="K1468" s="85"/>
      <c r="L1468" s="85" t="str">
        <f t="shared" si="12"/>
        <v/>
      </c>
      <c r="M1468" s="83"/>
      <c r="N1468" s="85" t="str">
        <f>IF($F1468="","",IFERROR(VLOOKUP($F1468,Inventory!$A:$I,9,FALSE),0))</f>
        <v/>
      </c>
      <c r="O1468" s="85" t="str">
        <f t="shared" si="13"/>
        <v/>
      </c>
      <c r="P1468" s="85" t="str">
        <f t="shared" si="5"/>
        <v/>
      </c>
      <c r="Q1468" s="83"/>
      <c r="R1468" s="118" t="str">
        <f>IF($E1468="","",IF(COUNTIF($E$7:$E2665,$E1468)&gt;1,"",IFERROR(VLOOKUP($E1468,Orders!$A:$I,8,FALSE),"")))</f>
        <v/>
      </c>
      <c r="S1468" s="118" t="str">
        <f>IF($E1468="","",IF(COUNTIF($E$7:$E2665,$E1468)&gt;1,"",IFERROR(VLOOKUP($E1468,Orders!$A:$I,9,FALSE),"")))</f>
        <v/>
      </c>
      <c r="T1468" s="88" t="str">
        <f t="shared" si="14"/>
        <v/>
      </c>
      <c r="U1468" s="88" t="str">
        <f>IF($F1468="","",IF($E1468="",T1468,SUMIF(Sales!$E$7:$E$1506,$E1468,Sales!$T$7:$T$1506)))</f>
        <v/>
      </c>
      <c r="V1468" s="49" t="str">
        <f t="shared" si="15"/>
        <v/>
      </c>
      <c r="W1468" s="49" t="str">
        <f t="array" ref="W1468">IF($V1468="","",SUMPRODUCT((Sales!$V$7:$V$1506&lt;&gt;"")*(Sales!$E$7:$E$1506&lt;$E1468))+1)</f>
        <v/>
      </c>
      <c r="X1468" s="49" t="str">
        <f t="shared" si="16"/>
        <v/>
      </c>
      <c r="Y1468" s="49" t="str">
        <f t="shared" si="17"/>
        <v/>
      </c>
    </row>
    <row r="1469" ht="15.0" customHeight="1">
      <c r="A1469" s="82"/>
      <c r="B1469" s="83"/>
      <c r="C1469" s="83"/>
      <c r="D1469" s="83"/>
      <c r="E1469" s="83"/>
      <c r="F1469" s="83"/>
      <c r="G1469" s="83" t="str">
        <f>IF($F1469="","",IFERROR(VLOOKUP($F1469,Inventory!$A:$B,2,FALSE),""))</f>
        <v/>
      </c>
      <c r="H1469" s="83"/>
      <c r="I1469" s="84" t="str">
        <f t="shared" si="2"/>
        <v/>
      </c>
      <c r="J1469" s="85" t="str">
        <f>IF($F1469="","",IFERROR(VLOOKUP($F1469,Inventory!$A:$K,11,FALSE),0))</f>
        <v/>
      </c>
      <c r="K1469" s="85"/>
      <c r="L1469" s="85" t="str">
        <f t="shared" si="12"/>
        <v/>
      </c>
      <c r="M1469" s="83"/>
      <c r="N1469" s="85" t="str">
        <f>IF($F1469="","",IFERROR(VLOOKUP($F1469,Inventory!$A:$I,9,FALSE),0))</f>
        <v/>
      </c>
      <c r="O1469" s="85" t="str">
        <f t="shared" si="13"/>
        <v/>
      </c>
      <c r="P1469" s="85" t="str">
        <f t="shared" si="5"/>
        <v/>
      </c>
      <c r="Q1469" s="83"/>
      <c r="R1469" s="118" t="str">
        <f>IF($E1469="","",IF(COUNTIF($E$7:$E2666,$E1469)&gt;1,"",IFERROR(VLOOKUP($E1469,Orders!$A:$I,8,FALSE),"")))</f>
        <v/>
      </c>
      <c r="S1469" s="118" t="str">
        <f>IF($E1469="","",IF(COUNTIF($E$7:$E2666,$E1469)&gt;1,"",IFERROR(VLOOKUP($E1469,Orders!$A:$I,9,FALSE),"")))</f>
        <v/>
      </c>
      <c r="T1469" s="88" t="str">
        <f t="shared" si="14"/>
        <v/>
      </c>
      <c r="U1469" s="88" t="str">
        <f>IF($F1469="","",IF($E1469="",T1469,SUMIF(Sales!$E$7:$E$1506,$E1469,Sales!$T$7:$T$1506)))</f>
        <v/>
      </c>
      <c r="V1469" s="49" t="str">
        <f t="shared" si="15"/>
        <v/>
      </c>
      <c r="W1469" s="49" t="str">
        <f t="array" ref="W1469">IF($V1469="","",SUMPRODUCT((Sales!$V$7:$V$1506&lt;&gt;"")*(Sales!$E$7:$E$1506&lt;$E1469))+1)</f>
        <v/>
      </c>
      <c r="X1469" s="49" t="str">
        <f t="shared" si="16"/>
        <v/>
      </c>
      <c r="Y1469" s="49" t="str">
        <f t="shared" si="17"/>
        <v/>
      </c>
    </row>
    <row r="1470" ht="15.0" customHeight="1">
      <c r="A1470" s="82"/>
      <c r="B1470" s="83"/>
      <c r="C1470" s="83"/>
      <c r="D1470" s="83"/>
      <c r="E1470" s="83"/>
      <c r="F1470" s="83"/>
      <c r="G1470" s="83" t="str">
        <f>IF($F1470="","",IFERROR(VLOOKUP($F1470,Inventory!$A:$B,2,FALSE),""))</f>
        <v/>
      </c>
      <c r="H1470" s="83"/>
      <c r="I1470" s="84" t="str">
        <f t="shared" si="2"/>
        <v/>
      </c>
      <c r="J1470" s="85" t="str">
        <f>IF($F1470="","",IFERROR(VLOOKUP($F1470,Inventory!$A:$K,11,FALSE),0))</f>
        <v/>
      </c>
      <c r="K1470" s="85"/>
      <c r="L1470" s="85" t="str">
        <f t="shared" si="12"/>
        <v/>
      </c>
      <c r="M1470" s="83"/>
      <c r="N1470" s="85" t="str">
        <f>IF($F1470="","",IFERROR(VLOOKUP($F1470,Inventory!$A:$I,9,FALSE),0))</f>
        <v/>
      </c>
      <c r="O1470" s="85" t="str">
        <f t="shared" si="13"/>
        <v/>
      </c>
      <c r="P1470" s="85" t="str">
        <f t="shared" si="5"/>
        <v/>
      </c>
      <c r="Q1470" s="83"/>
      <c r="R1470" s="118" t="str">
        <f>IF($E1470="","",IF(COUNTIF($E$7:$E2667,$E1470)&gt;1,"",IFERROR(VLOOKUP($E1470,Orders!$A:$I,8,FALSE),"")))</f>
        <v/>
      </c>
      <c r="S1470" s="118" t="str">
        <f>IF($E1470="","",IF(COUNTIF($E$7:$E2667,$E1470)&gt;1,"",IFERROR(VLOOKUP($E1470,Orders!$A:$I,9,FALSE),"")))</f>
        <v/>
      </c>
      <c r="T1470" s="88" t="str">
        <f t="shared" si="14"/>
        <v/>
      </c>
      <c r="U1470" s="88" t="str">
        <f>IF($F1470="","",IF($E1470="",T1470,SUMIF(Sales!$E$7:$E$1506,$E1470,Sales!$T$7:$T$1506)))</f>
        <v/>
      </c>
      <c r="V1470" s="49" t="str">
        <f t="shared" si="15"/>
        <v/>
      </c>
      <c r="W1470" s="49" t="str">
        <f t="array" ref="W1470">IF($V1470="","",SUMPRODUCT((Sales!$V$7:$V$1506&lt;&gt;"")*(Sales!$E$7:$E$1506&lt;$E1470))+1)</f>
        <v/>
      </c>
      <c r="X1470" s="49" t="str">
        <f t="shared" si="16"/>
        <v/>
      </c>
      <c r="Y1470" s="49" t="str">
        <f t="shared" si="17"/>
        <v/>
      </c>
    </row>
    <row r="1471" ht="15.0" customHeight="1">
      <c r="A1471" s="82"/>
      <c r="B1471" s="83"/>
      <c r="C1471" s="83"/>
      <c r="D1471" s="83"/>
      <c r="E1471" s="83"/>
      <c r="F1471" s="83"/>
      <c r="G1471" s="83" t="str">
        <f>IF($F1471="","",IFERROR(VLOOKUP($F1471,Inventory!$A:$B,2,FALSE),""))</f>
        <v/>
      </c>
      <c r="H1471" s="83"/>
      <c r="I1471" s="84" t="str">
        <f t="shared" si="2"/>
        <v/>
      </c>
      <c r="J1471" s="85" t="str">
        <f>IF($F1471="","",IFERROR(VLOOKUP($F1471,Inventory!$A:$K,11,FALSE),0))</f>
        <v/>
      </c>
      <c r="K1471" s="85"/>
      <c r="L1471" s="85" t="str">
        <f t="shared" si="12"/>
        <v/>
      </c>
      <c r="M1471" s="83"/>
      <c r="N1471" s="85" t="str">
        <f>IF($F1471="","",IFERROR(VLOOKUP($F1471,Inventory!$A:$I,9,FALSE),0))</f>
        <v/>
      </c>
      <c r="O1471" s="85" t="str">
        <f t="shared" si="13"/>
        <v/>
      </c>
      <c r="P1471" s="85" t="str">
        <f t="shared" si="5"/>
        <v/>
      </c>
      <c r="Q1471" s="83"/>
      <c r="R1471" s="118" t="str">
        <f>IF($E1471="","",IF(COUNTIF($E$7:$E2668,$E1471)&gt;1,"",IFERROR(VLOOKUP($E1471,Orders!$A:$I,8,FALSE),"")))</f>
        <v/>
      </c>
      <c r="S1471" s="118" t="str">
        <f>IF($E1471="","",IF(COUNTIF($E$7:$E2668,$E1471)&gt;1,"",IFERROR(VLOOKUP($E1471,Orders!$A:$I,9,FALSE),"")))</f>
        <v/>
      </c>
      <c r="T1471" s="88" t="str">
        <f t="shared" si="14"/>
        <v/>
      </c>
      <c r="U1471" s="88" t="str">
        <f>IF($F1471="","",IF($E1471="",T1471,SUMIF(Sales!$E$7:$E$1506,$E1471,Sales!$T$7:$T$1506)))</f>
        <v/>
      </c>
      <c r="V1471" s="49" t="str">
        <f t="shared" si="15"/>
        <v/>
      </c>
      <c r="W1471" s="49" t="str">
        <f t="array" ref="W1471">IF($V1471="","",SUMPRODUCT((Sales!$V$7:$V$1506&lt;&gt;"")*(Sales!$E$7:$E$1506&lt;$E1471))+1)</f>
        <v/>
      </c>
      <c r="X1471" s="49" t="str">
        <f t="shared" si="16"/>
        <v/>
      </c>
      <c r="Y1471" s="49" t="str">
        <f t="shared" si="17"/>
        <v/>
      </c>
    </row>
    <row r="1472" ht="15.0" customHeight="1">
      <c r="A1472" s="82"/>
      <c r="B1472" s="83"/>
      <c r="C1472" s="83"/>
      <c r="D1472" s="83"/>
      <c r="E1472" s="83"/>
      <c r="F1472" s="83"/>
      <c r="G1472" s="83" t="str">
        <f>IF($F1472="","",IFERROR(VLOOKUP($F1472,Inventory!$A:$B,2,FALSE),""))</f>
        <v/>
      </c>
      <c r="H1472" s="83"/>
      <c r="I1472" s="84" t="str">
        <f t="shared" si="2"/>
        <v/>
      </c>
      <c r="J1472" s="85" t="str">
        <f>IF($F1472="","",IFERROR(VLOOKUP($F1472,Inventory!$A:$K,11,FALSE),0))</f>
        <v/>
      </c>
      <c r="K1472" s="85"/>
      <c r="L1472" s="85" t="str">
        <f t="shared" si="12"/>
        <v/>
      </c>
      <c r="M1472" s="83"/>
      <c r="N1472" s="85" t="str">
        <f>IF($F1472="","",IFERROR(VLOOKUP($F1472,Inventory!$A:$I,9,FALSE),0))</f>
        <v/>
      </c>
      <c r="O1472" s="85" t="str">
        <f t="shared" si="13"/>
        <v/>
      </c>
      <c r="P1472" s="85" t="str">
        <f t="shared" si="5"/>
        <v/>
      </c>
      <c r="Q1472" s="83"/>
      <c r="R1472" s="118" t="str">
        <f>IF($E1472="","",IF(COUNTIF($E$7:$E2669,$E1472)&gt;1,"",IFERROR(VLOOKUP($E1472,Orders!$A:$I,8,FALSE),"")))</f>
        <v/>
      </c>
      <c r="S1472" s="118" t="str">
        <f>IF($E1472="","",IF(COUNTIF($E$7:$E2669,$E1472)&gt;1,"",IFERROR(VLOOKUP($E1472,Orders!$A:$I,9,FALSE),"")))</f>
        <v/>
      </c>
      <c r="T1472" s="88" t="str">
        <f t="shared" si="14"/>
        <v/>
      </c>
      <c r="U1472" s="88" t="str">
        <f>IF($F1472="","",IF($E1472="",T1472,SUMIF(Sales!$E$7:$E$1506,$E1472,Sales!$T$7:$T$1506)))</f>
        <v/>
      </c>
      <c r="V1472" s="49" t="str">
        <f t="shared" si="15"/>
        <v/>
      </c>
      <c r="W1472" s="49" t="str">
        <f t="array" ref="W1472">IF($V1472="","",SUMPRODUCT((Sales!$V$7:$V$1506&lt;&gt;"")*(Sales!$E$7:$E$1506&lt;$E1472))+1)</f>
        <v/>
      </c>
      <c r="X1472" s="49" t="str">
        <f t="shared" si="16"/>
        <v/>
      </c>
      <c r="Y1472" s="49" t="str">
        <f t="shared" si="17"/>
        <v/>
      </c>
    </row>
    <row r="1473" ht="15.0" customHeight="1">
      <c r="A1473" s="82"/>
      <c r="B1473" s="83"/>
      <c r="C1473" s="83"/>
      <c r="D1473" s="83"/>
      <c r="E1473" s="83"/>
      <c r="F1473" s="83"/>
      <c r="G1473" s="83" t="str">
        <f>IF($F1473="","",IFERROR(VLOOKUP($F1473,Inventory!$A:$B,2,FALSE),""))</f>
        <v/>
      </c>
      <c r="H1473" s="83"/>
      <c r="I1473" s="84" t="str">
        <f t="shared" si="2"/>
        <v/>
      </c>
      <c r="J1473" s="85" t="str">
        <f>IF($F1473="","",IFERROR(VLOOKUP($F1473,Inventory!$A:$K,11,FALSE),0))</f>
        <v/>
      </c>
      <c r="K1473" s="85"/>
      <c r="L1473" s="85" t="str">
        <f t="shared" si="12"/>
        <v/>
      </c>
      <c r="M1473" s="83"/>
      <c r="N1473" s="85" t="str">
        <f>IF($F1473="","",IFERROR(VLOOKUP($F1473,Inventory!$A:$I,9,FALSE),0))</f>
        <v/>
      </c>
      <c r="O1473" s="85" t="str">
        <f t="shared" si="13"/>
        <v/>
      </c>
      <c r="P1473" s="85" t="str">
        <f t="shared" si="5"/>
        <v/>
      </c>
      <c r="Q1473" s="83"/>
      <c r="R1473" s="118" t="str">
        <f>IF($E1473="","",IF(COUNTIF($E$7:$E2670,$E1473)&gt;1,"",IFERROR(VLOOKUP($E1473,Orders!$A:$I,8,FALSE),"")))</f>
        <v/>
      </c>
      <c r="S1473" s="118" t="str">
        <f>IF($E1473="","",IF(COUNTIF($E$7:$E2670,$E1473)&gt;1,"",IFERROR(VLOOKUP($E1473,Orders!$A:$I,9,FALSE),"")))</f>
        <v/>
      </c>
      <c r="T1473" s="88" t="str">
        <f t="shared" si="14"/>
        <v/>
      </c>
      <c r="U1473" s="88" t="str">
        <f>IF($F1473="","",IF($E1473="",T1473,SUMIF(Sales!$E$7:$E$1506,$E1473,Sales!$T$7:$T$1506)))</f>
        <v/>
      </c>
      <c r="V1473" s="49" t="str">
        <f t="shared" si="15"/>
        <v/>
      </c>
      <c r="W1473" s="49" t="str">
        <f t="array" ref="W1473">IF($V1473="","",SUMPRODUCT((Sales!$V$7:$V$1506&lt;&gt;"")*(Sales!$E$7:$E$1506&lt;$E1473))+1)</f>
        <v/>
      </c>
      <c r="X1473" s="49" t="str">
        <f t="shared" si="16"/>
        <v/>
      </c>
      <c r="Y1473" s="49" t="str">
        <f t="shared" si="17"/>
        <v/>
      </c>
    </row>
    <row r="1474" ht="15.0" customHeight="1">
      <c r="A1474" s="82"/>
      <c r="B1474" s="83"/>
      <c r="C1474" s="83"/>
      <c r="D1474" s="83"/>
      <c r="E1474" s="83"/>
      <c r="F1474" s="83"/>
      <c r="G1474" s="83" t="str">
        <f>IF($F1474="","",IFERROR(VLOOKUP($F1474,Inventory!$A:$B,2,FALSE),""))</f>
        <v/>
      </c>
      <c r="H1474" s="83"/>
      <c r="I1474" s="84" t="str">
        <f t="shared" si="2"/>
        <v/>
      </c>
      <c r="J1474" s="85" t="str">
        <f>IF($F1474="","",IFERROR(VLOOKUP($F1474,Inventory!$A:$K,11,FALSE),0))</f>
        <v/>
      </c>
      <c r="K1474" s="85"/>
      <c r="L1474" s="85" t="str">
        <f t="shared" si="12"/>
        <v/>
      </c>
      <c r="M1474" s="83"/>
      <c r="N1474" s="85" t="str">
        <f>IF($F1474="","",IFERROR(VLOOKUP($F1474,Inventory!$A:$I,9,FALSE),0))</f>
        <v/>
      </c>
      <c r="O1474" s="85" t="str">
        <f t="shared" si="13"/>
        <v/>
      </c>
      <c r="P1474" s="85" t="str">
        <f t="shared" si="5"/>
        <v/>
      </c>
      <c r="Q1474" s="83"/>
      <c r="R1474" s="118" t="str">
        <f>IF($E1474="","",IF(COUNTIF($E$7:$E2671,$E1474)&gt;1,"",IFERROR(VLOOKUP($E1474,Orders!$A:$I,8,FALSE),"")))</f>
        <v/>
      </c>
      <c r="S1474" s="118" t="str">
        <f>IF($E1474="","",IF(COUNTIF($E$7:$E2671,$E1474)&gt;1,"",IFERROR(VLOOKUP($E1474,Orders!$A:$I,9,FALSE),"")))</f>
        <v/>
      </c>
      <c r="T1474" s="88" t="str">
        <f t="shared" si="14"/>
        <v/>
      </c>
      <c r="U1474" s="88" t="str">
        <f>IF($F1474="","",IF($E1474="",T1474,SUMIF(Sales!$E$7:$E$1506,$E1474,Sales!$T$7:$T$1506)))</f>
        <v/>
      </c>
      <c r="V1474" s="49" t="str">
        <f t="shared" si="15"/>
        <v/>
      </c>
      <c r="W1474" s="49" t="str">
        <f t="array" ref="W1474">IF($V1474="","",SUMPRODUCT((Sales!$V$7:$V$1506&lt;&gt;"")*(Sales!$E$7:$E$1506&lt;$E1474))+1)</f>
        <v/>
      </c>
      <c r="X1474" s="49" t="str">
        <f t="shared" si="16"/>
        <v/>
      </c>
      <c r="Y1474" s="49" t="str">
        <f t="shared" si="17"/>
        <v/>
      </c>
    </row>
    <row r="1475" ht="15.0" customHeight="1">
      <c r="A1475" s="82"/>
      <c r="B1475" s="83"/>
      <c r="C1475" s="83"/>
      <c r="D1475" s="83"/>
      <c r="E1475" s="83"/>
      <c r="F1475" s="83"/>
      <c r="G1475" s="83" t="str">
        <f>IF($F1475="","",IFERROR(VLOOKUP($F1475,Inventory!$A:$B,2,FALSE),""))</f>
        <v/>
      </c>
      <c r="H1475" s="83"/>
      <c r="I1475" s="84" t="str">
        <f t="shared" si="2"/>
        <v/>
      </c>
      <c r="J1475" s="85" t="str">
        <f>IF($F1475="","",IFERROR(VLOOKUP($F1475,Inventory!$A:$K,11,FALSE),0))</f>
        <v/>
      </c>
      <c r="K1475" s="85"/>
      <c r="L1475" s="85" t="str">
        <f t="shared" si="12"/>
        <v/>
      </c>
      <c r="M1475" s="83"/>
      <c r="N1475" s="85" t="str">
        <f>IF($F1475="","",IFERROR(VLOOKUP($F1475,Inventory!$A:$I,9,FALSE),0))</f>
        <v/>
      </c>
      <c r="O1475" s="85" t="str">
        <f t="shared" si="13"/>
        <v/>
      </c>
      <c r="P1475" s="85" t="str">
        <f t="shared" si="5"/>
        <v/>
      </c>
      <c r="Q1475" s="83"/>
      <c r="R1475" s="118" t="str">
        <f>IF($E1475="","",IF(COUNTIF($E$7:$E2672,$E1475)&gt;1,"",IFERROR(VLOOKUP($E1475,Orders!$A:$I,8,FALSE),"")))</f>
        <v/>
      </c>
      <c r="S1475" s="118" t="str">
        <f>IF($E1475="","",IF(COUNTIF($E$7:$E2672,$E1475)&gt;1,"",IFERROR(VLOOKUP($E1475,Orders!$A:$I,9,FALSE),"")))</f>
        <v/>
      </c>
      <c r="T1475" s="88" t="str">
        <f t="shared" si="14"/>
        <v/>
      </c>
      <c r="U1475" s="88" t="str">
        <f>IF($F1475="","",IF($E1475="",T1475,SUMIF(Sales!$E$7:$E$1506,$E1475,Sales!$T$7:$T$1506)))</f>
        <v/>
      </c>
      <c r="V1475" s="49" t="str">
        <f t="shared" si="15"/>
        <v/>
      </c>
      <c r="W1475" s="49" t="str">
        <f t="array" ref="W1475">IF($V1475="","",SUMPRODUCT((Sales!$V$7:$V$1506&lt;&gt;"")*(Sales!$E$7:$E$1506&lt;$E1475))+1)</f>
        <v/>
      </c>
      <c r="X1475" s="49" t="str">
        <f t="shared" si="16"/>
        <v/>
      </c>
      <c r="Y1475" s="49" t="str">
        <f t="shared" si="17"/>
        <v/>
      </c>
    </row>
    <row r="1476" ht="15.0" customHeight="1">
      <c r="A1476" s="82"/>
      <c r="B1476" s="83"/>
      <c r="C1476" s="83"/>
      <c r="D1476" s="83"/>
      <c r="E1476" s="83"/>
      <c r="F1476" s="83"/>
      <c r="G1476" s="83" t="str">
        <f>IF($F1476="","",IFERROR(VLOOKUP($F1476,Inventory!$A:$B,2,FALSE),""))</f>
        <v/>
      </c>
      <c r="H1476" s="83"/>
      <c r="I1476" s="84" t="str">
        <f t="shared" si="2"/>
        <v/>
      </c>
      <c r="J1476" s="85" t="str">
        <f>IF($F1476="","",IFERROR(VLOOKUP($F1476,Inventory!$A:$K,11,FALSE),0))</f>
        <v/>
      </c>
      <c r="K1476" s="85"/>
      <c r="L1476" s="85" t="str">
        <f t="shared" si="12"/>
        <v/>
      </c>
      <c r="M1476" s="83"/>
      <c r="N1476" s="85" t="str">
        <f>IF($F1476="","",IFERROR(VLOOKUP($F1476,Inventory!$A:$I,9,FALSE),0))</f>
        <v/>
      </c>
      <c r="O1476" s="85" t="str">
        <f t="shared" si="13"/>
        <v/>
      </c>
      <c r="P1476" s="85" t="str">
        <f t="shared" si="5"/>
        <v/>
      </c>
      <c r="Q1476" s="83"/>
      <c r="R1476" s="118" t="str">
        <f>IF($E1476="","",IF(COUNTIF($E$7:$E2673,$E1476)&gt;1,"",IFERROR(VLOOKUP($E1476,Orders!$A:$I,8,FALSE),"")))</f>
        <v/>
      </c>
      <c r="S1476" s="118" t="str">
        <f>IF($E1476="","",IF(COUNTIF($E$7:$E2673,$E1476)&gt;1,"",IFERROR(VLOOKUP($E1476,Orders!$A:$I,9,FALSE),"")))</f>
        <v/>
      </c>
      <c r="T1476" s="88" t="str">
        <f t="shared" si="14"/>
        <v/>
      </c>
      <c r="U1476" s="88" t="str">
        <f>IF($F1476="","",IF($E1476="",T1476,SUMIF(Sales!$E$7:$E$1506,$E1476,Sales!$T$7:$T$1506)))</f>
        <v/>
      </c>
      <c r="V1476" s="49" t="str">
        <f t="shared" si="15"/>
        <v/>
      </c>
      <c r="W1476" s="49" t="str">
        <f t="array" ref="W1476">IF($V1476="","",SUMPRODUCT((Sales!$V$7:$V$1506&lt;&gt;"")*(Sales!$E$7:$E$1506&lt;$E1476))+1)</f>
        <v/>
      </c>
      <c r="X1476" s="49" t="str">
        <f t="shared" si="16"/>
        <v/>
      </c>
      <c r="Y1476" s="49" t="str">
        <f t="shared" si="17"/>
        <v/>
      </c>
    </row>
    <row r="1477" ht="15.0" customHeight="1">
      <c r="A1477" s="82"/>
      <c r="B1477" s="83"/>
      <c r="C1477" s="83"/>
      <c r="D1477" s="83"/>
      <c r="E1477" s="83"/>
      <c r="F1477" s="83"/>
      <c r="G1477" s="83" t="str">
        <f>IF($F1477="","",IFERROR(VLOOKUP($F1477,Inventory!$A:$B,2,FALSE),""))</f>
        <v/>
      </c>
      <c r="H1477" s="83"/>
      <c r="I1477" s="84" t="str">
        <f t="shared" si="2"/>
        <v/>
      </c>
      <c r="J1477" s="85" t="str">
        <f>IF($F1477="","",IFERROR(VLOOKUP($F1477,Inventory!$A:$K,11,FALSE),0))</f>
        <v/>
      </c>
      <c r="K1477" s="85"/>
      <c r="L1477" s="85" t="str">
        <f t="shared" si="12"/>
        <v/>
      </c>
      <c r="M1477" s="83"/>
      <c r="N1477" s="85" t="str">
        <f>IF($F1477="","",IFERROR(VLOOKUP($F1477,Inventory!$A:$I,9,FALSE),0))</f>
        <v/>
      </c>
      <c r="O1477" s="85" t="str">
        <f t="shared" si="13"/>
        <v/>
      </c>
      <c r="P1477" s="85" t="str">
        <f t="shared" si="5"/>
        <v/>
      </c>
      <c r="Q1477" s="83"/>
      <c r="R1477" s="118" t="str">
        <f>IF($E1477="","",IF(COUNTIF($E$7:$E2674,$E1477)&gt;1,"",IFERROR(VLOOKUP($E1477,Orders!$A:$I,8,FALSE),"")))</f>
        <v/>
      </c>
      <c r="S1477" s="118" t="str">
        <f>IF($E1477="","",IF(COUNTIF($E$7:$E2674,$E1477)&gt;1,"",IFERROR(VLOOKUP($E1477,Orders!$A:$I,9,FALSE),"")))</f>
        <v/>
      </c>
      <c r="T1477" s="88" t="str">
        <f t="shared" si="14"/>
        <v/>
      </c>
      <c r="U1477" s="88" t="str">
        <f>IF($F1477="","",IF($E1477="",T1477,SUMIF(Sales!$E$7:$E$1506,$E1477,Sales!$T$7:$T$1506)))</f>
        <v/>
      </c>
      <c r="V1477" s="49" t="str">
        <f t="shared" si="15"/>
        <v/>
      </c>
      <c r="W1477" s="49" t="str">
        <f t="array" ref="W1477">IF($V1477="","",SUMPRODUCT((Sales!$V$7:$V$1506&lt;&gt;"")*(Sales!$E$7:$E$1506&lt;$E1477))+1)</f>
        <v/>
      </c>
      <c r="X1477" s="49" t="str">
        <f t="shared" si="16"/>
        <v/>
      </c>
      <c r="Y1477" s="49" t="str">
        <f t="shared" si="17"/>
        <v/>
      </c>
    </row>
    <row r="1478" ht="15.0" customHeight="1">
      <c r="A1478" s="82"/>
      <c r="B1478" s="83"/>
      <c r="C1478" s="83"/>
      <c r="D1478" s="83"/>
      <c r="E1478" s="83"/>
      <c r="F1478" s="83"/>
      <c r="G1478" s="83" t="str">
        <f>IF($F1478="","",IFERROR(VLOOKUP($F1478,Inventory!$A:$B,2,FALSE),""))</f>
        <v/>
      </c>
      <c r="H1478" s="83"/>
      <c r="I1478" s="84" t="str">
        <f t="shared" si="2"/>
        <v/>
      </c>
      <c r="J1478" s="85" t="str">
        <f>IF($F1478="","",IFERROR(VLOOKUP($F1478,Inventory!$A:$K,11,FALSE),0))</f>
        <v/>
      </c>
      <c r="K1478" s="85"/>
      <c r="L1478" s="85" t="str">
        <f t="shared" si="12"/>
        <v/>
      </c>
      <c r="M1478" s="83"/>
      <c r="N1478" s="85" t="str">
        <f>IF($F1478="","",IFERROR(VLOOKUP($F1478,Inventory!$A:$I,9,FALSE),0))</f>
        <v/>
      </c>
      <c r="O1478" s="85" t="str">
        <f t="shared" si="13"/>
        <v/>
      </c>
      <c r="P1478" s="85" t="str">
        <f t="shared" si="5"/>
        <v/>
      </c>
      <c r="Q1478" s="83"/>
      <c r="R1478" s="118" t="str">
        <f>IF($E1478="","",IF(COUNTIF($E$7:$E2675,$E1478)&gt;1,"",IFERROR(VLOOKUP($E1478,Orders!$A:$I,8,FALSE),"")))</f>
        <v/>
      </c>
      <c r="S1478" s="118" t="str">
        <f>IF($E1478="","",IF(COUNTIF($E$7:$E2675,$E1478)&gt;1,"",IFERROR(VLOOKUP($E1478,Orders!$A:$I,9,FALSE),"")))</f>
        <v/>
      </c>
      <c r="T1478" s="88" t="str">
        <f t="shared" si="14"/>
        <v/>
      </c>
      <c r="U1478" s="88" t="str">
        <f>IF($F1478="","",IF($E1478="",T1478,SUMIF(Sales!$E$7:$E$1506,$E1478,Sales!$T$7:$T$1506)))</f>
        <v/>
      </c>
      <c r="V1478" s="49" t="str">
        <f t="shared" si="15"/>
        <v/>
      </c>
      <c r="W1478" s="49" t="str">
        <f t="array" ref="W1478">IF($V1478="","",SUMPRODUCT((Sales!$V$7:$V$1506&lt;&gt;"")*(Sales!$E$7:$E$1506&lt;$E1478))+1)</f>
        <v/>
      </c>
      <c r="X1478" s="49" t="str">
        <f t="shared" si="16"/>
        <v/>
      </c>
      <c r="Y1478" s="49" t="str">
        <f t="shared" si="17"/>
        <v/>
      </c>
    </row>
    <row r="1479" ht="15.0" customHeight="1">
      <c r="A1479" s="82"/>
      <c r="B1479" s="83"/>
      <c r="C1479" s="83"/>
      <c r="D1479" s="83"/>
      <c r="E1479" s="83"/>
      <c r="F1479" s="83"/>
      <c r="G1479" s="83" t="str">
        <f>IF($F1479="","",IFERROR(VLOOKUP($F1479,Inventory!$A:$B,2,FALSE),""))</f>
        <v/>
      </c>
      <c r="H1479" s="83"/>
      <c r="I1479" s="84" t="str">
        <f t="shared" si="2"/>
        <v/>
      </c>
      <c r="J1479" s="85" t="str">
        <f>IF($F1479="","",IFERROR(VLOOKUP($F1479,Inventory!$A:$K,11,FALSE),0))</f>
        <v/>
      </c>
      <c r="K1479" s="85"/>
      <c r="L1479" s="85" t="str">
        <f t="shared" si="12"/>
        <v/>
      </c>
      <c r="M1479" s="83"/>
      <c r="N1479" s="85" t="str">
        <f>IF($F1479="","",IFERROR(VLOOKUP($F1479,Inventory!$A:$I,9,FALSE),0))</f>
        <v/>
      </c>
      <c r="O1479" s="85" t="str">
        <f t="shared" si="13"/>
        <v/>
      </c>
      <c r="P1479" s="85" t="str">
        <f t="shared" si="5"/>
        <v/>
      </c>
      <c r="Q1479" s="83"/>
      <c r="R1479" s="118" t="str">
        <f>IF($E1479="","",IF(COUNTIF($E$7:$E2676,$E1479)&gt;1,"",IFERROR(VLOOKUP($E1479,Orders!$A:$I,8,FALSE),"")))</f>
        <v/>
      </c>
      <c r="S1479" s="118" t="str">
        <f>IF($E1479="","",IF(COUNTIF($E$7:$E2676,$E1479)&gt;1,"",IFERROR(VLOOKUP($E1479,Orders!$A:$I,9,FALSE),"")))</f>
        <v/>
      </c>
      <c r="T1479" s="88" t="str">
        <f t="shared" si="14"/>
        <v/>
      </c>
      <c r="U1479" s="88" t="str">
        <f>IF($F1479="","",IF($E1479="",T1479,SUMIF(Sales!$E$7:$E$1506,$E1479,Sales!$T$7:$T$1506)))</f>
        <v/>
      </c>
      <c r="V1479" s="49" t="str">
        <f t="shared" si="15"/>
        <v/>
      </c>
      <c r="W1479" s="49" t="str">
        <f t="array" ref="W1479">IF($V1479="","",SUMPRODUCT((Sales!$V$7:$V$1506&lt;&gt;"")*(Sales!$E$7:$E$1506&lt;$E1479))+1)</f>
        <v/>
      </c>
      <c r="X1479" s="49" t="str">
        <f t="shared" si="16"/>
        <v/>
      </c>
      <c r="Y1479" s="49" t="str">
        <f t="shared" si="17"/>
        <v/>
      </c>
    </row>
    <row r="1480" ht="15.0" customHeight="1">
      <c r="A1480" s="82"/>
      <c r="B1480" s="83"/>
      <c r="C1480" s="83"/>
      <c r="D1480" s="83"/>
      <c r="E1480" s="83"/>
      <c r="F1480" s="83"/>
      <c r="G1480" s="83" t="str">
        <f>IF($F1480="","",IFERROR(VLOOKUP($F1480,Inventory!$A:$B,2,FALSE),""))</f>
        <v/>
      </c>
      <c r="H1480" s="83"/>
      <c r="I1480" s="84" t="str">
        <f t="shared" si="2"/>
        <v/>
      </c>
      <c r="J1480" s="85" t="str">
        <f>IF($F1480="","",IFERROR(VLOOKUP($F1480,Inventory!$A:$K,11,FALSE),0))</f>
        <v/>
      </c>
      <c r="K1480" s="85"/>
      <c r="L1480" s="85" t="str">
        <f t="shared" si="12"/>
        <v/>
      </c>
      <c r="M1480" s="83"/>
      <c r="N1480" s="85" t="str">
        <f>IF($F1480="","",IFERROR(VLOOKUP($F1480,Inventory!$A:$I,9,FALSE),0))</f>
        <v/>
      </c>
      <c r="O1480" s="85" t="str">
        <f t="shared" si="13"/>
        <v/>
      </c>
      <c r="P1480" s="85" t="str">
        <f t="shared" si="5"/>
        <v/>
      </c>
      <c r="Q1480" s="83"/>
      <c r="R1480" s="118" t="str">
        <f>IF($E1480="","",IF(COUNTIF($E$7:$E2677,$E1480)&gt;1,"",IFERROR(VLOOKUP($E1480,Orders!$A:$I,8,FALSE),"")))</f>
        <v/>
      </c>
      <c r="S1480" s="118" t="str">
        <f>IF($E1480="","",IF(COUNTIF($E$7:$E2677,$E1480)&gt;1,"",IFERROR(VLOOKUP($E1480,Orders!$A:$I,9,FALSE),"")))</f>
        <v/>
      </c>
      <c r="T1480" s="88" t="str">
        <f t="shared" si="14"/>
        <v/>
      </c>
      <c r="U1480" s="88" t="str">
        <f>IF($F1480="","",IF($E1480="",T1480,SUMIF(Sales!$E$7:$E$1506,$E1480,Sales!$T$7:$T$1506)))</f>
        <v/>
      </c>
      <c r="V1480" s="49" t="str">
        <f t="shared" si="15"/>
        <v/>
      </c>
      <c r="W1480" s="49" t="str">
        <f t="array" ref="W1480">IF($V1480="","",SUMPRODUCT((Sales!$V$7:$V$1506&lt;&gt;"")*(Sales!$E$7:$E$1506&lt;$E1480))+1)</f>
        <v/>
      </c>
      <c r="X1480" s="49" t="str">
        <f t="shared" si="16"/>
        <v/>
      </c>
      <c r="Y1480" s="49" t="str">
        <f t="shared" si="17"/>
        <v/>
      </c>
    </row>
    <row r="1481" ht="15.0" customHeight="1">
      <c r="A1481" s="82"/>
      <c r="B1481" s="83"/>
      <c r="C1481" s="83"/>
      <c r="D1481" s="83"/>
      <c r="E1481" s="83"/>
      <c r="F1481" s="83"/>
      <c r="G1481" s="83" t="str">
        <f>IF($F1481="","",IFERROR(VLOOKUP($F1481,Inventory!$A:$B,2,FALSE),""))</f>
        <v/>
      </c>
      <c r="H1481" s="83"/>
      <c r="I1481" s="84" t="str">
        <f t="shared" si="2"/>
        <v/>
      </c>
      <c r="J1481" s="85" t="str">
        <f>IF($F1481="","",IFERROR(VLOOKUP($F1481,Inventory!$A:$K,11,FALSE),0))</f>
        <v/>
      </c>
      <c r="K1481" s="85"/>
      <c r="L1481" s="85" t="str">
        <f t="shared" si="12"/>
        <v/>
      </c>
      <c r="M1481" s="83"/>
      <c r="N1481" s="85" t="str">
        <f>IF($F1481="","",IFERROR(VLOOKUP($F1481,Inventory!$A:$I,9,FALSE),0))</f>
        <v/>
      </c>
      <c r="O1481" s="85" t="str">
        <f t="shared" si="13"/>
        <v/>
      </c>
      <c r="P1481" s="85" t="str">
        <f t="shared" si="5"/>
        <v/>
      </c>
      <c r="Q1481" s="83"/>
      <c r="R1481" s="118" t="str">
        <f>IF($E1481="","",IF(COUNTIF($E$7:$E2678,$E1481)&gt;1,"",IFERROR(VLOOKUP($E1481,Orders!$A:$I,8,FALSE),"")))</f>
        <v/>
      </c>
      <c r="S1481" s="118" t="str">
        <f>IF($E1481="","",IF(COUNTIF($E$7:$E2678,$E1481)&gt;1,"",IFERROR(VLOOKUP($E1481,Orders!$A:$I,9,FALSE),"")))</f>
        <v/>
      </c>
      <c r="T1481" s="88" t="str">
        <f t="shared" si="14"/>
        <v/>
      </c>
      <c r="U1481" s="88" t="str">
        <f>IF($F1481="","",IF($E1481="",T1481,SUMIF(Sales!$E$7:$E$1506,$E1481,Sales!$T$7:$T$1506)))</f>
        <v/>
      </c>
      <c r="V1481" s="49" t="str">
        <f t="shared" si="15"/>
        <v/>
      </c>
      <c r="W1481" s="49" t="str">
        <f t="array" ref="W1481">IF($V1481="","",SUMPRODUCT((Sales!$V$7:$V$1506&lt;&gt;"")*(Sales!$E$7:$E$1506&lt;$E1481))+1)</f>
        <v/>
      </c>
      <c r="X1481" s="49" t="str">
        <f t="shared" si="16"/>
        <v/>
      </c>
      <c r="Y1481" s="49" t="str">
        <f t="shared" si="17"/>
        <v/>
      </c>
    </row>
    <row r="1482" ht="15.0" customHeight="1">
      <c r="A1482" s="82"/>
      <c r="B1482" s="83"/>
      <c r="C1482" s="83"/>
      <c r="D1482" s="83"/>
      <c r="E1482" s="83"/>
      <c r="F1482" s="83"/>
      <c r="G1482" s="83" t="str">
        <f>IF($F1482="","",IFERROR(VLOOKUP($F1482,Inventory!$A:$B,2,FALSE),""))</f>
        <v/>
      </c>
      <c r="H1482" s="83"/>
      <c r="I1482" s="84" t="str">
        <f t="shared" si="2"/>
        <v/>
      </c>
      <c r="J1482" s="85" t="str">
        <f>IF($F1482="","",IFERROR(VLOOKUP($F1482,Inventory!$A:$K,11,FALSE),0))</f>
        <v/>
      </c>
      <c r="K1482" s="85"/>
      <c r="L1482" s="85" t="str">
        <f t="shared" si="12"/>
        <v/>
      </c>
      <c r="M1482" s="83"/>
      <c r="N1482" s="85" t="str">
        <f>IF($F1482="","",IFERROR(VLOOKUP($F1482,Inventory!$A:$I,9,FALSE),0))</f>
        <v/>
      </c>
      <c r="O1482" s="85" t="str">
        <f t="shared" si="13"/>
        <v/>
      </c>
      <c r="P1482" s="85" t="str">
        <f t="shared" si="5"/>
        <v/>
      </c>
      <c r="Q1482" s="83"/>
      <c r="R1482" s="118" t="str">
        <f>IF($E1482="","",IF(COUNTIF($E$7:$E2679,$E1482)&gt;1,"",IFERROR(VLOOKUP($E1482,Orders!$A:$I,8,FALSE),"")))</f>
        <v/>
      </c>
      <c r="S1482" s="118" t="str">
        <f>IF($E1482="","",IF(COUNTIF($E$7:$E2679,$E1482)&gt;1,"",IFERROR(VLOOKUP($E1482,Orders!$A:$I,9,FALSE),"")))</f>
        <v/>
      </c>
      <c r="T1482" s="88" t="str">
        <f t="shared" si="14"/>
        <v/>
      </c>
      <c r="U1482" s="88" t="str">
        <f>IF($F1482="","",IF($E1482="",T1482,SUMIF(Sales!$E$7:$E$1506,$E1482,Sales!$T$7:$T$1506)))</f>
        <v/>
      </c>
      <c r="V1482" s="49" t="str">
        <f t="shared" si="15"/>
        <v/>
      </c>
      <c r="W1482" s="49" t="str">
        <f t="array" ref="W1482">IF($V1482="","",SUMPRODUCT((Sales!$V$7:$V$1506&lt;&gt;"")*(Sales!$E$7:$E$1506&lt;$E1482))+1)</f>
        <v/>
      </c>
      <c r="X1482" s="49" t="str">
        <f t="shared" si="16"/>
        <v/>
      </c>
      <c r="Y1482" s="49" t="str">
        <f t="shared" si="17"/>
        <v/>
      </c>
    </row>
    <row r="1483" ht="15.0" customHeight="1">
      <c r="A1483" s="82"/>
      <c r="B1483" s="83"/>
      <c r="C1483" s="83"/>
      <c r="D1483" s="83"/>
      <c r="E1483" s="83"/>
      <c r="F1483" s="83"/>
      <c r="G1483" s="83" t="str">
        <f>IF($F1483="","",IFERROR(VLOOKUP($F1483,Inventory!$A:$B,2,FALSE),""))</f>
        <v/>
      </c>
      <c r="H1483" s="83"/>
      <c r="I1483" s="84" t="str">
        <f t="shared" si="2"/>
        <v/>
      </c>
      <c r="J1483" s="85" t="str">
        <f>IF($F1483="","",IFERROR(VLOOKUP($F1483,Inventory!$A:$K,11,FALSE),0))</f>
        <v/>
      </c>
      <c r="K1483" s="85"/>
      <c r="L1483" s="85" t="str">
        <f t="shared" si="12"/>
        <v/>
      </c>
      <c r="M1483" s="83"/>
      <c r="N1483" s="85" t="str">
        <f>IF($F1483="","",IFERROR(VLOOKUP($F1483,Inventory!$A:$I,9,FALSE),0))</f>
        <v/>
      </c>
      <c r="O1483" s="85" t="str">
        <f t="shared" si="13"/>
        <v/>
      </c>
      <c r="P1483" s="85" t="str">
        <f t="shared" si="5"/>
        <v/>
      </c>
      <c r="Q1483" s="83"/>
      <c r="R1483" s="118" t="str">
        <f>IF($E1483="","",IF(COUNTIF($E$7:$E2680,$E1483)&gt;1,"",IFERROR(VLOOKUP($E1483,Orders!$A:$I,8,FALSE),"")))</f>
        <v/>
      </c>
      <c r="S1483" s="118" t="str">
        <f>IF($E1483="","",IF(COUNTIF($E$7:$E2680,$E1483)&gt;1,"",IFERROR(VLOOKUP($E1483,Orders!$A:$I,9,FALSE),"")))</f>
        <v/>
      </c>
      <c r="T1483" s="88" t="str">
        <f t="shared" si="14"/>
        <v/>
      </c>
      <c r="U1483" s="88" t="str">
        <f>IF($F1483="","",IF($E1483="",T1483,SUMIF(Sales!$E$7:$E$1506,$E1483,Sales!$T$7:$T$1506)))</f>
        <v/>
      </c>
      <c r="V1483" s="49" t="str">
        <f t="shared" si="15"/>
        <v/>
      </c>
      <c r="W1483" s="49" t="str">
        <f t="array" ref="W1483">IF($V1483="","",SUMPRODUCT((Sales!$V$7:$V$1506&lt;&gt;"")*(Sales!$E$7:$E$1506&lt;$E1483))+1)</f>
        <v/>
      </c>
      <c r="X1483" s="49" t="str">
        <f t="shared" si="16"/>
        <v/>
      </c>
      <c r="Y1483" s="49" t="str">
        <f t="shared" si="17"/>
        <v/>
      </c>
    </row>
    <row r="1484" ht="15.0" customHeight="1">
      <c r="A1484" s="82"/>
      <c r="B1484" s="83"/>
      <c r="C1484" s="83"/>
      <c r="D1484" s="83"/>
      <c r="E1484" s="83"/>
      <c r="F1484" s="83"/>
      <c r="G1484" s="83" t="str">
        <f>IF($F1484="","",IFERROR(VLOOKUP($F1484,Inventory!$A:$B,2,FALSE),""))</f>
        <v/>
      </c>
      <c r="H1484" s="83"/>
      <c r="I1484" s="84" t="str">
        <f t="shared" si="2"/>
        <v/>
      </c>
      <c r="J1484" s="85" t="str">
        <f>IF($F1484="","",IFERROR(VLOOKUP($F1484,Inventory!$A:$K,11,FALSE),0))</f>
        <v/>
      </c>
      <c r="K1484" s="85"/>
      <c r="L1484" s="85" t="str">
        <f t="shared" si="12"/>
        <v/>
      </c>
      <c r="M1484" s="83"/>
      <c r="N1484" s="85" t="str">
        <f>IF($F1484="","",IFERROR(VLOOKUP($F1484,Inventory!$A:$I,9,FALSE),0))</f>
        <v/>
      </c>
      <c r="O1484" s="85" t="str">
        <f t="shared" si="13"/>
        <v/>
      </c>
      <c r="P1484" s="85" t="str">
        <f t="shared" si="5"/>
        <v/>
      </c>
      <c r="Q1484" s="83"/>
      <c r="R1484" s="118" t="str">
        <f>IF($E1484="","",IF(COUNTIF($E$7:$E2681,$E1484)&gt;1,"",IFERROR(VLOOKUP($E1484,Orders!$A:$I,8,FALSE),"")))</f>
        <v/>
      </c>
      <c r="S1484" s="118" t="str">
        <f>IF($E1484="","",IF(COUNTIF($E$7:$E2681,$E1484)&gt;1,"",IFERROR(VLOOKUP($E1484,Orders!$A:$I,9,FALSE),"")))</f>
        <v/>
      </c>
      <c r="T1484" s="88" t="str">
        <f t="shared" si="14"/>
        <v/>
      </c>
      <c r="U1484" s="88" t="str">
        <f>IF($F1484="","",IF($E1484="",T1484,SUMIF(Sales!$E$7:$E$1506,$E1484,Sales!$T$7:$T$1506)))</f>
        <v/>
      </c>
      <c r="V1484" s="49" t="str">
        <f t="shared" si="15"/>
        <v/>
      </c>
      <c r="W1484" s="49" t="str">
        <f t="array" ref="W1484">IF($V1484="","",SUMPRODUCT((Sales!$V$7:$V$1506&lt;&gt;"")*(Sales!$E$7:$E$1506&lt;$E1484))+1)</f>
        <v/>
      </c>
      <c r="X1484" s="49" t="str">
        <f t="shared" si="16"/>
        <v/>
      </c>
      <c r="Y1484" s="49" t="str">
        <f t="shared" si="17"/>
        <v/>
      </c>
    </row>
    <row r="1485" ht="15.0" customHeight="1">
      <c r="A1485" s="82"/>
      <c r="B1485" s="83"/>
      <c r="C1485" s="83"/>
      <c r="D1485" s="83"/>
      <c r="E1485" s="83"/>
      <c r="F1485" s="83"/>
      <c r="G1485" s="83" t="str">
        <f>IF($F1485="","",IFERROR(VLOOKUP($F1485,Inventory!$A:$B,2,FALSE),""))</f>
        <v/>
      </c>
      <c r="H1485" s="83"/>
      <c r="I1485" s="84" t="str">
        <f t="shared" si="2"/>
        <v/>
      </c>
      <c r="J1485" s="85" t="str">
        <f>IF($F1485="","",IFERROR(VLOOKUP($F1485,Inventory!$A:$K,11,FALSE),0))</f>
        <v/>
      </c>
      <c r="K1485" s="85"/>
      <c r="L1485" s="85" t="str">
        <f t="shared" si="12"/>
        <v/>
      </c>
      <c r="M1485" s="83"/>
      <c r="N1485" s="85" t="str">
        <f>IF($F1485="","",IFERROR(VLOOKUP($F1485,Inventory!$A:$I,9,FALSE),0))</f>
        <v/>
      </c>
      <c r="O1485" s="85" t="str">
        <f t="shared" si="13"/>
        <v/>
      </c>
      <c r="P1485" s="85" t="str">
        <f t="shared" si="5"/>
        <v/>
      </c>
      <c r="Q1485" s="83"/>
      <c r="R1485" s="118" t="str">
        <f>IF($E1485="","",IF(COUNTIF($E$7:$E2682,$E1485)&gt;1,"",IFERROR(VLOOKUP($E1485,Orders!$A:$I,8,FALSE),"")))</f>
        <v/>
      </c>
      <c r="S1485" s="118" t="str">
        <f>IF($E1485="","",IF(COUNTIF($E$7:$E2682,$E1485)&gt;1,"",IFERROR(VLOOKUP($E1485,Orders!$A:$I,9,FALSE),"")))</f>
        <v/>
      </c>
      <c r="T1485" s="88" t="str">
        <f t="shared" si="14"/>
        <v/>
      </c>
      <c r="U1485" s="88" t="str">
        <f>IF($F1485="","",IF($E1485="",T1485,SUMIF(Sales!$E$7:$E$1506,$E1485,Sales!$T$7:$T$1506)))</f>
        <v/>
      </c>
      <c r="V1485" s="49" t="str">
        <f t="shared" si="15"/>
        <v/>
      </c>
      <c r="W1485" s="49" t="str">
        <f t="array" ref="W1485">IF($V1485="","",SUMPRODUCT((Sales!$V$7:$V$1506&lt;&gt;"")*(Sales!$E$7:$E$1506&lt;$E1485))+1)</f>
        <v/>
      </c>
      <c r="X1485" s="49" t="str">
        <f t="shared" si="16"/>
        <v/>
      </c>
      <c r="Y1485" s="49" t="str">
        <f t="shared" si="17"/>
        <v/>
      </c>
    </row>
    <row r="1486" ht="15.0" customHeight="1">
      <c r="A1486" s="82"/>
      <c r="B1486" s="83"/>
      <c r="C1486" s="83"/>
      <c r="D1486" s="83"/>
      <c r="E1486" s="83"/>
      <c r="F1486" s="83"/>
      <c r="G1486" s="83" t="str">
        <f>IF($F1486="","",IFERROR(VLOOKUP($F1486,Inventory!$A:$B,2,FALSE),""))</f>
        <v/>
      </c>
      <c r="H1486" s="83"/>
      <c r="I1486" s="84" t="str">
        <f t="shared" si="2"/>
        <v/>
      </c>
      <c r="J1486" s="85" t="str">
        <f>IF($F1486="","",IFERROR(VLOOKUP($F1486,Inventory!$A:$K,11,FALSE),0))</f>
        <v/>
      </c>
      <c r="K1486" s="85"/>
      <c r="L1486" s="85" t="str">
        <f t="shared" si="12"/>
        <v/>
      </c>
      <c r="M1486" s="83"/>
      <c r="N1486" s="85" t="str">
        <f>IF($F1486="","",IFERROR(VLOOKUP($F1486,Inventory!$A:$I,9,FALSE),0))</f>
        <v/>
      </c>
      <c r="O1486" s="85" t="str">
        <f t="shared" si="13"/>
        <v/>
      </c>
      <c r="P1486" s="85" t="str">
        <f t="shared" si="5"/>
        <v/>
      </c>
      <c r="Q1486" s="83"/>
      <c r="R1486" s="118" t="str">
        <f>IF($E1486="","",IF(COUNTIF($E$7:$E2683,$E1486)&gt;1,"",IFERROR(VLOOKUP($E1486,Orders!$A:$I,8,FALSE),"")))</f>
        <v/>
      </c>
      <c r="S1486" s="118" t="str">
        <f>IF($E1486="","",IF(COUNTIF($E$7:$E2683,$E1486)&gt;1,"",IFERROR(VLOOKUP($E1486,Orders!$A:$I,9,FALSE),"")))</f>
        <v/>
      </c>
      <c r="T1486" s="88" t="str">
        <f t="shared" si="14"/>
        <v/>
      </c>
      <c r="U1486" s="88" t="str">
        <f>IF($F1486="","",IF($E1486="",T1486,SUMIF(Sales!$E$7:$E$1506,$E1486,Sales!$T$7:$T$1506)))</f>
        <v/>
      </c>
      <c r="V1486" s="49" t="str">
        <f t="shared" si="15"/>
        <v/>
      </c>
      <c r="W1486" s="49" t="str">
        <f t="array" ref="W1486">IF($V1486="","",SUMPRODUCT((Sales!$V$7:$V$1506&lt;&gt;"")*(Sales!$E$7:$E$1506&lt;$E1486))+1)</f>
        <v/>
      </c>
      <c r="X1486" s="49" t="str">
        <f t="shared" si="16"/>
        <v/>
      </c>
      <c r="Y1486" s="49" t="str">
        <f t="shared" si="17"/>
        <v/>
      </c>
    </row>
    <row r="1487" ht="15.0" customHeight="1">
      <c r="A1487" s="82"/>
      <c r="B1487" s="83"/>
      <c r="C1487" s="83"/>
      <c r="D1487" s="83"/>
      <c r="E1487" s="83"/>
      <c r="F1487" s="83"/>
      <c r="G1487" s="83" t="str">
        <f>IF($F1487="","",IFERROR(VLOOKUP($F1487,Inventory!$A:$B,2,FALSE),""))</f>
        <v/>
      </c>
      <c r="H1487" s="83"/>
      <c r="I1487" s="84" t="str">
        <f t="shared" si="2"/>
        <v/>
      </c>
      <c r="J1487" s="85" t="str">
        <f>IF($F1487="","",IFERROR(VLOOKUP($F1487,Inventory!$A:$K,11,FALSE),0))</f>
        <v/>
      </c>
      <c r="K1487" s="85"/>
      <c r="L1487" s="85" t="str">
        <f t="shared" si="12"/>
        <v/>
      </c>
      <c r="M1487" s="83"/>
      <c r="N1487" s="85" t="str">
        <f>IF($F1487="","",IFERROR(VLOOKUP($F1487,Inventory!$A:$I,9,FALSE),0))</f>
        <v/>
      </c>
      <c r="O1487" s="85" t="str">
        <f t="shared" si="13"/>
        <v/>
      </c>
      <c r="P1487" s="85" t="str">
        <f t="shared" si="5"/>
        <v/>
      </c>
      <c r="Q1487" s="83"/>
      <c r="R1487" s="118" t="str">
        <f>IF($E1487="","",IF(COUNTIF($E$7:$E2684,$E1487)&gt;1,"",IFERROR(VLOOKUP($E1487,Orders!$A:$I,8,FALSE),"")))</f>
        <v/>
      </c>
      <c r="S1487" s="118" t="str">
        <f>IF($E1487="","",IF(COUNTIF($E$7:$E2684,$E1487)&gt;1,"",IFERROR(VLOOKUP($E1487,Orders!$A:$I,9,FALSE),"")))</f>
        <v/>
      </c>
      <c r="T1487" s="88" t="str">
        <f t="shared" si="14"/>
        <v/>
      </c>
      <c r="U1487" s="88" t="str">
        <f>IF($F1487="","",IF($E1487="",T1487,SUMIF(Sales!$E$7:$E$1506,$E1487,Sales!$T$7:$T$1506)))</f>
        <v/>
      </c>
      <c r="V1487" s="49" t="str">
        <f t="shared" si="15"/>
        <v/>
      </c>
      <c r="W1487" s="49" t="str">
        <f t="array" ref="W1487">IF($V1487="","",SUMPRODUCT((Sales!$V$7:$V$1506&lt;&gt;"")*(Sales!$E$7:$E$1506&lt;$E1487))+1)</f>
        <v/>
      </c>
      <c r="X1487" s="49" t="str">
        <f t="shared" si="16"/>
        <v/>
      </c>
      <c r="Y1487" s="49" t="str">
        <f t="shared" si="17"/>
        <v/>
      </c>
    </row>
    <row r="1488" ht="15.0" customHeight="1">
      <c r="A1488" s="82"/>
      <c r="B1488" s="83"/>
      <c r="C1488" s="83"/>
      <c r="D1488" s="83"/>
      <c r="E1488" s="83"/>
      <c r="F1488" s="83"/>
      <c r="G1488" s="83" t="str">
        <f>IF($F1488="","",IFERROR(VLOOKUP($F1488,Inventory!$A:$B,2,FALSE),""))</f>
        <v/>
      </c>
      <c r="H1488" s="83"/>
      <c r="I1488" s="84" t="str">
        <f t="shared" si="2"/>
        <v/>
      </c>
      <c r="J1488" s="85" t="str">
        <f>IF($F1488="","",IFERROR(VLOOKUP($F1488,Inventory!$A:$K,11,FALSE),0))</f>
        <v/>
      </c>
      <c r="K1488" s="85"/>
      <c r="L1488" s="85" t="str">
        <f t="shared" si="12"/>
        <v/>
      </c>
      <c r="M1488" s="83"/>
      <c r="N1488" s="85" t="str">
        <f>IF($F1488="","",IFERROR(VLOOKUP($F1488,Inventory!$A:$I,9,FALSE),0))</f>
        <v/>
      </c>
      <c r="O1488" s="85" t="str">
        <f t="shared" si="13"/>
        <v/>
      </c>
      <c r="P1488" s="85" t="str">
        <f t="shared" si="5"/>
        <v/>
      </c>
      <c r="Q1488" s="83"/>
      <c r="R1488" s="118" t="str">
        <f>IF($E1488="","",IF(COUNTIF($E$7:$E2685,$E1488)&gt;1,"",IFERROR(VLOOKUP($E1488,Orders!$A:$I,8,FALSE),"")))</f>
        <v/>
      </c>
      <c r="S1488" s="118" t="str">
        <f>IF($E1488="","",IF(COUNTIF($E$7:$E2685,$E1488)&gt;1,"",IFERROR(VLOOKUP($E1488,Orders!$A:$I,9,FALSE),"")))</f>
        <v/>
      </c>
      <c r="T1488" s="88" t="str">
        <f t="shared" si="14"/>
        <v/>
      </c>
      <c r="U1488" s="88" t="str">
        <f>IF($F1488="","",IF($E1488="",T1488,SUMIF(Sales!$E$7:$E$1506,$E1488,Sales!$T$7:$T$1506)))</f>
        <v/>
      </c>
      <c r="V1488" s="49" t="str">
        <f t="shared" si="15"/>
        <v/>
      </c>
      <c r="W1488" s="49" t="str">
        <f t="array" ref="W1488">IF($V1488="","",SUMPRODUCT((Sales!$V$7:$V$1506&lt;&gt;"")*(Sales!$E$7:$E$1506&lt;$E1488))+1)</f>
        <v/>
      </c>
      <c r="X1488" s="49" t="str">
        <f t="shared" si="16"/>
        <v/>
      </c>
      <c r="Y1488" s="49" t="str">
        <f t="shared" si="17"/>
        <v/>
      </c>
    </row>
    <row r="1489" ht="15.0" customHeight="1">
      <c r="A1489" s="82"/>
      <c r="B1489" s="83"/>
      <c r="C1489" s="83"/>
      <c r="D1489" s="83"/>
      <c r="E1489" s="83"/>
      <c r="F1489" s="83"/>
      <c r="G1489" s="83" t="str">
        <f>IF($F1489="","",IFERROR(VLOOKUP($F1489,Inventory!$A:$B,2,FALSE),""))</f>
        <v/>
      </c>
      <c r="H1489" s="83"/>
      <c r="I1489" s="84" t="str">
        <f t="shared" si="2"/>
        <v/>
      </c>
      <c r="J1489" s="85" t="str">
        <f>IF($F1489="","",IFERROR(VLOOKUP($F1489,Inventory!$A:$K,11,FALSE),0))</f>
        <v/>
      </c>
      <c r="K1489" s="85"/>
      <c r="L1489" s="85" t="str">
        <f t="shared" si="12"/>
        <v/>
      </c>
      <c r="M1489" s="83"/>
      <c r="N1489" s="85" t="str">
        <f>IF($F1489="","",IFERROR(VLOOKUP($F1489,Inventory!$A:$I,9,FALSE),0))</f>
        <v/>
      </c>
      <c r="O1489" s="85" t="str">
        <f t="shared" si="13"/>
        <v/>
      </c>
      <c r="P1489" s="85" t="str">
        <f t="shared" si="5"/>
        <v/>
      </c>
      <c r="Q1489" s="83"/>
      <c r="R1489" s="118" t="str">
        <f>IF($E1489="","",IF(COUNTIF($E$7:$E2686,$E1489)&gt;1,"",IFERROR(VLOOKUP($E1489,Orders!$A:$I,8,FALSE),"")))</f>
        <v/>
      </c>
      <c r="S1489" s="118" t="str">
        <f>IF($E1489="","",IF(COUNTIF($E$7:$E2686,$E1489)&gt;1,"",IFERROR(VLOOKUP($E1489,Orders!$A:$I,9,FALSE),"")))</f>
        <v/>
      </c>
      <c r="T1489" s="88" t="str">
        <f t="shared" si="14"/>
        <v/>
      </c>
      <c r="U1489" s="88" t="str">
        <f>IF($F1489="","",IF($E1489="",T1489,SUMIF(Sales!$E$7:$E$1506,$E1489,Sales!$T$7:$T$1506)))</f>
        <v/>
      </c>
      <c r="V1489" s="49" t="str">
        <f t="shared" si="15"/>
        <v/>
      </c>
      <c r="W1489" s="49" t="str">
        <f t="array" ref="W1489">IF($V1489="","",SUMPRODUCT((Sales!$V$7:$V$1506&lt;&gt;"")*(Sales!$E$7:$E$1506&lt;$E1489))+1)</f>
        <v/>
      </c>
      <c r="X1489" s="49" t="str">
        <f t="shared" si="16"/>
        <v/>
      </c>
      <c r="Y1489" s="49" t="str">
        <f t="shared" si="17"/>
        <v/>
      </c>
    </row>
    <row r="1490" ht="15.0" customHeight="1">
      <c r="A1490" s="82"/>
      <c r="B1490" s="83"/>
      <c r="C1490" s="83"/>
      <c r="D1490" s="83"/>
      <c r="E1490" s="83"/>
      <c r="F1490" s="83"/>
      <c r="G1490" s="83" t="str">
        <f>IF($F1490="","",IFERROR(VLOOKUP($F1490,Inventory!$A:$B,2,FALSE),""))</f>
        <v/>
      </c>
      <c r="H1490" s="83"/>
      <c r="I1490" s="84" t="str">
        <f t="shared" si="2"/>
        <v/>
      </c>
      <c r="J1490" s="85" t="str">
        <f>IF($F1490="","",IFERROR(VLOOKUP($F1490,Inventory!$A:$K,11,FALSE),0))</f>
        <v/>
      </c>
      <c r="K1490" s="85"/>
      <c r="L1490" s="85" t="str">
        <f t="shared" si="12"/>
        <v/>
      </c>
      <c r="M1490" s="83"/>
      <c r="N1490" s="85" t="str">
        <f>IF($F1490="","",IFERROR(VLOOKUP($F1490,Inventory!$A:$I,9,FALSE),0))</f>
        <v/>
      </c>
      <c r="O1490" s="85" t="str">
        <f t="shared" si="13"/>
        <v/>
      </c>
      <c r="P1490" s="85" t="str">
        <f t="shared" si="5"/>
        <v/>
      </c>
      <c r="Q1490" s="83"/>
      <c r="R1490" s="118" t="str">
        <f>IF($E1490="","",IF(COUNTIF($E$7:$E2687,$E1490)&gt;1,"",IFERROR(VLOOKUP($E1490,Orders!$A:$I,8,FALSE),"")))</f>
        <v/>
      </c>
      <c r="S1490" s="118" t="str">
        <f>IF($E1490="","",IF(COUNTIF($E$7:$E2687,$E1490)&gt;1,"",IFERROR(VLOOKUP($E1490,Orders!$A:$I,9,FALSE),"")))</f>
        <v/>
      </c>
      <c r="T1490" s="88" t="str">
        <f t="shared" si="14"/>
        <v/>
      </c>
      <c r="U1490" s="88" t="str">
        <f>IF($F1490="","",IF($E1490="",T1490,SUMIF(Sales!$E$7:$E$1506,$E1490,Sales!$T$7:$T$1506)))</f>
        <v/>
      </c>
      <c r="V1490" s="49" t="str">
        <f t="shared" si="15"/>
        <v/>
      </c>
      <c r="W1490" s="49" t="str">
        <f t="array" ref="W1490">IF($V1490="","",SUMPRODUCT((Sales!$V$7:$V$1506&lt;&gt;"")*(Sales!$E$7:$E$1506&lt;$E1490))+1)</f>
        <v/>
      </c>
      <c r="X1490" s="49" t="str">
        <f t="shared" si="16"/>
        <v/>
      </c>
      <c r="Y1490" s="49" t="str">
        <f t="shared" si="17"/>
        <v/>
      </c>
    </row>
    <row r="1491" ht="15.0" customHeight="1">
      <c r="A1491" s="82"/>
      <c r="B1491" s="83"/>
      <c r="C1491" s="83"/>
      <c r="D1491" s="83"/>
      <c r="E1491" s="83"/>
      <c r="F1491" s="83"/>
      <c r="G1491" s="83" t="str">
        <f>IF($F1491="","",IFERROR(VLOOKUP($F1491,Inventory!$A:$B,2,FALSE),""))</f>
        <v/>
      </c>
      <c r="H1491" s="83"/>
      <c r="I1491" s="84" t="str">
        <f t="shared" si="2"/>
        <v/>
      </c>
      <c r="J1491" s="85" t="str">
        <f>IF($F1491="","",IFERROR(VLOOKUP($F1491,Inventory!$A:$K,11,FALSE),0))</f>
        <v/>
      </c>
      <c r="K1491" s="85"/>
      <c r="L1491" s="85" t="str">
        <f t="shared" si="12"/>
        <v/>
      </c>
      <c r="M1491" s="83"/>
      <c r="N1491" s="85" t="str">
        <f>IF($F1491="","",IFERROR(VLOOKUP($F1491,Inventory!$A:$I,9,FALSE),0))</f>
        <v/>
      </c>
      <c r="O1491" s="85" t="str">
        <f t="shared" si="13"/>
        <v/>
      </c>
      <c r="P1491" s="85" t="str">
        <f t="shared" si="5"/>
        <v/>
      </c>
      <c r="Q1491" s="83"/>
      <c r="R1491" s="118" t="str">
        <f>IF($E1491="","",IF(COUNTIF($E$7:$E2688,$E1491)&gt;1,"",IFERROR(VLOOKUP($E1491,Orders!$A:$I,8,FALSE),"")))</f>
        <v/>
      </c>
      <c r="S1491" s="118" t="str">
        <f>IF($E1491="","",IF(COUNTIF($E$7:$E2688,$E1491)&gt;1,"",IFERROR(VLOOKUP($E1491,Orders!$A:$I,9,FALSE),"")))</f>
        <v/>
      </c>
      <c r="T1491" s="88" t="str">
        <f t="shared" si="14"/>
        <v/>
      </c>
      <c r="U1491" s="88" t="str">
        <f>IF($F1491="","",IF($E1491="",T1491,SUMIF(Sales!$E$7:$E$1506,$E1491,Sales!$T$7:$T$1506)))</f>
        <v/>
      </c>
      <c r="V1491" s="49" t="str">
        <f t="shared" si="15"/>
        <v/>
      </c>
      <c r="W1491" s="49" t="str">
        <f t="array" ref="W1491">IF($V1491="","",SUMPRODUCT((Sales!$V$7:$V$1506&lt;&gt;"")*(Sales!$E$7:$E$1506&lt;$E1491))+1)</f>
        <v/>
      </c>
      <c r="X1491" s="49" t="str">
        <f t="shared" si="16"/>
        <v/>
      </c>
      <c r="Y1491" s="49" t="str">
        <f t="shared" si="17"/>
        <v/>
      </c>
    </row>
    <row r="1492" ht="15.0" customHeight="1">
      <c r="A1492" s="82"/>
      <c r="B1492" s="83"/>
      <c r="C1492" s="83"/>
      <c r="D1492" s="83"/>
      <c r="E1492" s="83"/>
      <c r="F1492" s="83"/>
      <c r="G1492" s="83" t="str">
        <f>IF($F1492="","",IFERROR(VLOOKUP($F1492,Inventory!$A:$B,2,FALSE),""))</f>
        <v/>
      </c>
      <c r="H1492" s="83"/>
      <c r="I1492" s="84" t="str">
        <f t="shared" si="2"/>
        <v/>
      </c>
      <c r="J1492" s="85" t="str">
        <f>IF($F1492="","",IFERROR(VLOOKUP($F1492,Inventory!$A:$K,11,FALSE),0))</f>
        <v/>
      </c>
      <c r="K1492" s="85"/>
      <c r="L1492" s="85" t="str">
        <f t="shared" si="12"/>
        <v/>
      </c>
      <c r="M1492" s="83"/>
      <c r="N1492" s="85" t="str">
        <f>IF($F1492="","",IFERROR(VLOOKUP($F1492,Inventory!$A:$I,9,FALSE),0))</f>
        <v/>
      </c>
      <c r="O1492" s="85" t="str">
        <f t="shared" si="13"/>
        <v/>
      </c>
      <c r="P1492" s="85" t="str">
        <f t="shared" si="5"/>
        <v/>
      </c>
      <c r="Q1492" s="83"/>
      <c r="R1492" s="118" t="str">
        <f>IF($E1492="","",IF(COUNTIF($E$7:$E2689,$E1492)&gt;1,"",IFERROR(VLOOKUP($E1492,Orders!$A:$I,8,FALSE),"")))</f>
        <v/>
      </c>
      <c r="S1492" s="118" t="str">
        <f>IF($E1492="","",IF(COUNTIF($E$7:$E2689,$E1492)&gt;1,"",IFERROR(VLOOKUP($E1492,Orders!$A:$I,9,FALSE),"")))</f>
        <v/>
      </c>
      <c r="T1492" s="88" t="str">
        <f t="shared" si="14"/>
        <v/>
      </c>
      <c r="U1492" s="88" t="str">
        <f>IF($F1492="","",IF($E1492="",T1492,SUMIF(Sales!$E$7:$E$1506,$E1492,Sales!$T$7:$T$1506)))</f>
        <v/>
      </c>
      <c r="V1492" s="49" t="str">
        <f t="shared" si="15"/>
        <v/>
      </c>
      <c r="W1492" s="49" t="str">
        <f t="array" ref="W1492">IF($V1492="","",SUMPRODUCT((Sales!$V$7:$V$1506&lt;&gt;"")*(Sales!$E$7:$E$1506&lt;$E1492))+1)</f>
        <v/>
      </c>
      <c r="X1492" s="49" t="str">
        <f t="shared" si="16"/>
        <v/>
      </c>
      <c r="Y1492" s="49" t="str">
        <f t="shared" si="17"/>
        <v/>
      </c>
    </row>
    <row r="1493" ht="15.0" customHeight="1">
      <c r="A1493" s="82"/>
      <c r="B1493" s="83"/>
      <c r="C1493" s="83"/>
      <c r="D1493" s="83"/>
      <c r="E1493" s="83"/>
      <c r="F1493" s="83"/>
      <c r="G1493" s="83" t="str">
        <f>IF($F1493="","",IFERROR(VLOOKUP($F1493,Inventory!$A:$B,2,FALSE),""))</f>
        <v/>
      </c>
      <c r="H1493" s="83"/>
      <c r="I1493" s="84" t="str">
        <f t="shared" si="2"/>
        <v/>
      </c>
      <c r="J1493" s="85" t="str">
        <f>IF($F1493="","",IFERROR(VLOOKUP($F1493,Inventory!$A:$K,11,FALSE),0))</f>
        <v/>
      </c>
      <c r="K1493" s="85"/>
      <c r="L1493" s="85" t="str">
        <f t="shared" si="12"/>
        <v/>
      </c>
      <c r="M1493" s="83"/>
      <c r="N1493" s="85" t="str">
        <f>IF($F1493="","",IFERROR(VLOOKUP($F1493,Inventory!$A:$I,9,FALSE),0))</f>
        <v/>
      </c>
      <c r="O1493" s="85" t="str">
        <f t="shared" si="13"/>
        <v/>
      </c>
      <c r="P1493" s="85" t="str">
        <f t="shared" si="5"/>
        <v/>
      </c>
      <c r="Q1493" s="83"/>
      <c r="R1493" s="118" t="str">
        <f>IF($E1493="","",IF(COUNTIF($E$7:$E2690,$E1493)&gt;1,"",IFERROR(VLOOKUP($E1493,Orders!$A:$I,8,FALSE),"")))</f>
        <v/>
      </c>
      <c r="S1493" s="118" t="str">
        <f>IF($E1493="","",IF(COUNTIF($E$7:$E2690,$E1493)&gt;1,"",IFERROR(VLOOKUP($E1493,Orders!$A:$I,9,FALSE),"")))</f>
        <v/>
      </c>
      <c r="T1493" s="88" t="str">
        <f t="shared" si="14"/>
        <v/>
      </c>
      <c r="U1493" s="88" t="str">
        <f>IF($F1493="","",IF($E1493="",T1493,SUMIF(Sales!$E$7:$E$1506,$E1493,Sales!$T$7:$T$1506)))</f>
        <v/>
      </c>
      <c r="V1493" s="49" t="str">
        <f t="shared" si="15"/>
        <v/>
      </c>
      <c r="W1493" s="49" t="str">
        <f t="array" ref="W1493">IF($V1493="","",SUMPRODUCT((Sales!$V$7:$V$1506&lt;&gt;"")*(Sales!$E$7:$E$1506&lt;$E1493))+1)</f>
        <v/>
      </c>
      <c r="X1493" s="49" t="str">
        <f t="shared" si="16"/>
        <v/>
      </c>
      <c r="Y1493" s="49" t="str">
        <f t="shared" si="17"/>
        <v/>
      </c>
    </row>
    <row r="1494" ht="15.0" customHeight="1">
      <c r="A1494" s="82"/>
      <c r="B1494" s="83"/>
      <c r="C1494" s="83"/>
      <c r="D1494" s="83"/>
      <c r="E1494" s="83"/>
      <c r="F1494" s="83"/>
      <c r="G1494" s="83" t="str">
        <f>IF($F1494="","",IFERROR(VLOOKUP($F1494,Inventory!$A:$B,2,FALSE),""))</f>
        <v/>
      </c>
      <c r="H1494" s="83"/>
      <c r="I1494" s="84" t="str">
        <f t="shared" si="2"/>
        <v/>
      </c>
      <c r="J1494" s="85" t="str">
        <f>IF($F1494="","",IFERROR(VLOOKUP($F1494,Inventory!$A:$K,11,FALSE),0))</f>
        <v/>
      </c>
      <c r="K1494" s="85"/>
      <c r="L1494" s="85" t="str">
        <f t="shared" si="12"/>
        <v/>
      </c>
      <c r="M1494" s="83"/>
      <c r="N1494" s="85" t="str">
        <f>IF($F1494="","",IFERROR(VLOOKUP($F1494,Inventory!$A:$I,9,FALSE),0))</f>
        <v/>
      </c>
      <c r="O1494" s="85" t="str">
        <f t="shared" si="13"/>
        <v/>
      </c>
      <c r="P1494" s="85" t="str">
        <f t="shared" si="5"/>
        <v/>
      </c>
      <c r="Q1494" s="83"/>
      <c r="R1494" s="118" t="str">
        <f>IF($E1494="","",IF(COUNTIF($E$7:$E2691,$E1494)&gt;1,"",IFERROR(VLOOKUP($E1494,Orders!$A:$I,8,FALSE),"")))</f>
        <v/>
      </c>
      <c r="S1494" s="118" t="str">
        <f>IF($E1494="","",IF(COUNTIF($E$7:$E2691,$E1494)&gt;1,"",IFERROR(VLOOKUP($E1494,Orders!$A:$I,9,FALSE),"")))</f>
        <v/>
      </c>
      <c r="T1494" s="88" t="str">
        <f t="shared" si="14"/>
        <v/>
      </c>
      <c r="U1494" s="88" t="str">
        <f>IF($F1494="","",IF($E1494="",T1494,SUMIF(Sales!$E$7:$E$1506,$E1494,Sales!$T$7:$T$1506)))</f>
        <v/>
      </c>
      <c r="V1494" s="49" t="str">
        <f t="shared" si="15"/>
        <v/>
      </c>
      <c r="W1494" s="49" t="str">
        <f t="array" ref="W1494">IF($V1494="","",SUMPRODUCT((Sales!$V$7:$V$1506&lt;&gt;"")*(Sales!$E$7:$E$1506&lt;$E1494))+1)</f>
        <v/>
      </c>
      <c r="X1494" s="49" t="str">
        <f t="shared" si="16"/>
        <v/>
      </c>
      <c r="Y1494" s="49" t="str">
        <f t="shared" si="17"/>
        <v/>
      </c>
    </row>
    <row r="1495" ht="15.0" customHeight="1">
      <c r="A1495" s="82"/>
      <c r="B1495" s="83"/>
      <c r="C1495" s="83"/>
      <c r="D1495" s="83"/>
      <c r="E1495" s="83"/>
      <c r="F1495" s="83"/>
      <c r="G1495" s="83" t="str">
        <f>IF($F1495="","",IFERROR(VLOOKUP($F1495,Inventory!$A:$B,2,FALSE),""))</f>
        <v/>
      </c>
      <c r="H1495" s="83"/>
      <c r="I1495" s="84" t="str">
        <f t="shared" si="2"/>
        <v/>
      </c>
      <c r="J1495" s="85" t="str">
        <f>IF($F1495="","",IFERROR(VLOOKUP($F1495,Inventory!$A:$K,11,FALSE),0))</f>
        <v/>
      </c>
      <c r="K1495" s="85"/>
      <c r="L1495" s="85" t="str">
        <f t="shared" si="12"/>
        <v/>
      </c>
      <c r="M1495" s="83"/>
      <c r="N1495" s="85" t="str">
        <f>IF($F1495="","",IFERROR(VLOOKUP($F1495,Inventory!$A:$I,9,FALSE),0))</f>
        <v/>
      </c>
      <c r="O1495" s="85" t="str">
        <f t="shared" si="13"/>
        <v/>
      </c>
      <c r="P1495" s="85" t="str">
        <f t="shared" si="5"/>
        <v/>
      </c>
      <c r="Q1495" s="83"/>
      <c r="R1495" s="118" t="str">
        <f>IF($E1495="","",IF(COUNTIF($E$7:$E2692,$E1495)&gt;1,"",IFERROR(VLOOKUP($E1495,Orders!$A:$I,8,FALSE),"")))</f>
        <v/>
      </c>
      <c r="S1495" s="118" t="str">
        <f>IF($E1495="","",IF(COUNTIF($E$7:$E2692,$E1495)&gt;1,"",IFERROR(VLOOKUP($E1495,Orders!$A:$I,9,FALSE),"")))</f>
        <v/>
      </c>
      <c r="T1495" s="88" t="str">
        <f t="shared" si="14"/>
        <v/>
      </c>
      <c r="U1495" s="88" t="str">
        <f>IF($F1495="","",IF($E1495="",T1495,SUMIF(Sales!$E$7:$E$1506,$E1495,Sales!$T$7:$T$1506)))</f>
        <v/>
      </c>
      <c r="V1495" s="49" t="str">
        <f t="shared" si="15"/>
        <v/>
      </c>
      <c r="W1495" s="49" t="str">
        <f t="array" ref="W1495">IF($V1495="","",SUMPRODUCT((Sales!$V$7:$V$1506&lt;&gt;"")*(Sales!$E$7:$E$1506&lt;$E1495))+1)</f>
        <v/>
      </c>
      <c r="X1495" s="49" t="str">
        <f t="shared" si="16"/>
        <v/>
      </c>
      <c r="Y1495" s="49" t="str">
        <f t="shared" si="17"/>
        <v/>
      </c>
    </row>
    <row r="1496" ht="15.0" customHeight="1">
      <c r="A1496" s="82"/>
      <c r="B1496" s="83"/>
      <c r="C1496" s="83"/>
      <c r="D1496" s="83"/>
      <c r="E1496" s="83"/>
      <c r="F1496" s="83"/>
      <c r="G1496" s="83" t="str">
        <f>IF($F1496="","",IFERROR(VLOOKUP($F1496,Inventory!$A:$B,2,FALSE),""))</f>
        <v/>
      </c>
      <c r="H1496" s="83"/>
      <c r="I1496" s="84" t="str">
        <f t="shared" si="2"/>
        <v/>
      </c>
      <c r="J1496" s="85" t="str">
        <f>IF($F1496="","",IFERROR(VLOOKUP($F1496,Inventory!$A:$K,11,FALSE),0))</f>
        <v/>
      </c>
      <c r="K1496" s="85"/>
      <c r="L1496" s="85" t="str">
        <f t="shared" si="12"/>
        <v/>
      </c>
      <c r="M1496" s="83"/>
      <c r="N1496" s="85" t="str">
        <f>IF($F1496="","",IFERROR(VLOOKUP($F1496,Inventory!$A:$I,9,FALSE),0))</f>
        <v/>
      </c>
      <c r="O1496" s="85" t="str">
        <f t="shared" si="13"/>
        <v/>
      </c>
      <c r="P1496" s="85" t="str">
        <f t="shared" si="5"/>
        <v/>
      </c>
      <c r="Q1496" s="83"/>
      <c r="R1496" s="118" t="str">
        <f>IF($E1496="","",IF(COUNTIF($E$7:$E2693,$E1496)&gt;1,"",IFERROR(VLOOKUP($E1496,Orders!$A:$I,8,FALSE),"")))</f>
        <v/>
      </c>
      <c r="S1496" s="118" t="str">
        <f>IF($E1496="","",IF(COUNTIF($E$7:$E2693,$E1496)&gt;1,"",IFERROR(VLOOKUP($E1496,Orders!$A:$I,9,FALSE),"")))</f>
        <v/>
      </c>
      <c r="T1496" s="88" t="str">
        <f t="shared" si="14"/>
        <v/>
      </c>
      <c r="U1496" s="88" t="str">
        <f>IF($F1496="","",IF($E1496="",T1496,SUMIF(Sales!$E$7:$E$1506,$E1496,Sales!$T$7:$T$1506)))</f>
        <v/>
      </c>
      <c r="V1496" s="49" t="str">
        <f t="shared" si="15"/>
        <v/>
      </c>
      <c r="W1496" s="49" t="str">
        <f t="array" ref="W1496">IF($V1496="","",SUMPRODUCT((Sales!$V$7:$V$1506&lt;&gt;"")*(Sales!$E$7:$E$1506&lt;$E1496))+1)</f>
        <v/>
      </c>
      <c r="X1496" s="49" t="str">
        <f t="shared" si="16"/>
        <v/>
      </c>
      <c r="Y1496" s="49" t="str">
        <f t="shared" si="17"/>
        <v/>
      </c>
    </row>
    <row r="1497" ht="15.0" customHeight="1">
      <c r="A1497" s="82"/>
      <c r="B1497" s="83"/>
      <c r="C1497" s="83"/>
      <c r="D1497" s="83"/>
      <c r="E1497" s="83"/>
      <c r="F1497" s="83"/>
      <c r="G1497" s="83" t="str">
        <f>IF($F1497="","",IFERROR(VLOOKUP($F1497,Inventory!$A:$B,2,FALSE),""))</f>
        <v/>
      </c>
      <c r="H1497" s="83"/>
      <c r="I1497" s="84" t="str">
        <f t="shared" si="2"/>
        <v/>
      </c>
      <c r="J1497" s="85" t="str">
        <f>IF($F1497="","",IFERROR(VLOOKUP($F1497,Inventory!$A:$K,11,FALSE),0))</f>
        <v/>
      </c>
      <c r="K1497" s="85"/>
      <c r="L1497" s="85" t="str">
        <f t="shared" si="12"/>
        <v/>
      </c>
      <c r="M1497" s="83"/>
      <c r="N1497" s="85" t="str">
        <f>IF($F1497="","",IFERROR(VLOOKUP($F1497,Inventory!$A:$I,9,FALSE),0))</f>
        <v/>
      </c>
      <c r="O1497" s="85" t="str">
        <f t="shared" si="13"/>
        <v/>
      </c>
      <c r="P1497" s="85" t="str">
        <f t="shared" si="5"/>
        <v/>
      </c>
      <c r="Q1497" s="83"/>
      <c r="R1497" s="118" t="str">
        <f>IF($E1497="","",IF(COUNTIF($E$7:$E2694,$E1497)&gt;1,"",IFERROR(VLOOKUP($E1497,Orders!$A:$I,8,FALSE),"")))</f>
        <v/>
      </c>
      <c r="S1497" s="118" t="str">
        <f>IF($E1497="","",IF(COUNTIF($E$7:$E2694,$E1497)&gt;1,"",IFERROR(VLOOKUP($E1497,Orders!$A:$I,9,FALSE),"")))</f>
        <v/>
      </c>
      <c r="T1497" s="88" t="str">
        <f t="shared" si="14"/>
        <v/>
      </c>
      <c r="U1497" s="88" t="str">
        <f>IF($F1497="","",IF($E1497="",T1497,SUMIF(Sales!$E$7:$E$1506,$E1497,Sales!$T$7:$T$1506)))</f>
        <v/>
      </c>
      <c r="V1497" s="49" t="str">
        <f t="shared" si="15"/>
        <v/>
      </c>
      <c r="W1497" s="49" t="str">
        <f t="array" ref="W1497">IF($V1497="","",SUMPRODUCT((Sales!$V$7:$V$1506&lt;&gt;"")*(Sales!$E$7:$E$1506&lt;$E1497))+1)</f>
        <v/>
      </c>
      <c r="X1497" s="49" t="str">
        <f t="shared" si="16"/>
        <v/>
      </c>
      <c r="Y1497" s="49" t="str">
        <f t="shared" si="17"/>
        <v/>
      </c>
    </row>
    <row r="1498" ht="15.0" customHeight="1">
      <c r="A1498" s="82"/>
      <c r="B1498" s="83"/>
      <c r="C1498" s="83"/>
      <c r="D1498" s="83"/>
      <c r="E1498" s="83"/>
      <c r="F1498" s="83"/>
      <c r="G1498" s="83" t="str">
        <f>IF($F1498="","",IFERROR(VLOOKUP($F1498,Inventory!$A:$B,2,FALSE),""))</f>
        <v/>
      </c>
      <c r="H1498" s="83"/>
      <c r="I1498" s="84" t="str">
        <f t="shared" si="2"/>
        <v/>
      </c>
      <c r="J1498" s="85" t="str">
        <f>IF($F1498="","",IFERROR(VLOOKUP($F1498,Inventory!$A:$K,11,FALSE),0))</f>
        <v/>
      </c>
      <c r="K1498" s="85"/>
      <c r="L1498" s="85" t="str">
        <f t="shared" si="12"/>
        <v/>
      </c>
      <c r="M1498" s="83"/>
      <c r="N1498" s="85" t="str">
        <f>IF($F1498="","",IFERROR(VLOOKUP($F1498,Inventory!$A:$I,9,FALSE),0))</f>
        <v/>
      </c>
      <c r="O1498" s="85" t="str">
        <f t="shared" si="13"/>
        <v/>
      </c>
      <c r="P1498" s="85" t="str">
        <f t="shared" si="5"/>
        <v/>
      </c>
      <c r="Q1498" s="83"/>
      <c r="R1498" s="118" t="str">
        <f>IF($E1498="","",IF(COUNTIF($E$7:$E2695,$E1498)&gt;1,"",IFERROR(VLOOKUP($E1498,Orders!$A:$I,8,FALSE),"")))</f>
        <v/>
      </c>
      <c r="S1498" s="118" t="str">
        <f>IF($E1498="","",IF(COUNTIF($E$7:$E2695,$E1498)&gt;1,"",IFERROR(VLOOKUP($E1498,Orders!$A:$I,9,FALSE),"")))</f>
        <v/>
      </c>
      <c r="T1498" s="88" t="str">
        <f t="shared" si="14"/>
        <v/>
      </c>
      <c r="U1498" s="88" t="str">
        <f>IF($F1498="","",IF($E1498="",T1498,SUMIF(Sales!$E$7:$E$1506,$E1498,Sales!$T$7:$T$1506)))</f>
        <v/>
      </c>
      <c r="V1498" s="49" t="str">
        <f t="shared" si="15"/>
        <v/>
      </c>
      <c r="W1498" s="49" t="str">
        <f t="array" ref="W1498">IF($V1498="","",SUMPRODUCT((Sales!$V$7:$V$1506&lt;&gt;"")*(Sales!$E$7:$E$1506&lt;$E1498))+1)</f>
        <v/>
      </c>
      <c r="X1498" s="49" t="str">
        <f t="shared" si="16"/>
        <v/>
      </c>
      <c r="Y1498" s="49" t="str">
        <f t="shared" si="17"/>
        <v/>
      </c>
    </row>
    <row r="1499" ht="15.0" customHeight="1">
      <c r="A1499" s="82"/>
      <c r="B1499" s="83"/>
      <c r="C1499" s="83"/>
      <c r="D1499" s="83"/>
      <c r="E1499" s="83"/>
      <c r="F1499" s="83"/>
      <c r="G1499" s="83" t="str">
        <f>IF($F1499="","",IFERROR(VLOOKUP($F1499,Inventory!$A:$B,2,FALSE),""))</f>
        <v/>
      </c>
      <c r="H1499" s="83"/>
      <c r="I1499" s="84" t="str">
        <f t="shared" si="2"/>
        <v/>
      </c>
      <c r="J1499" s="85" t="str">
        <f>IF($F1499="","",IFERROR(VLOOKUP($F1499,Inventory!$A:$K,11,FALSE),0))</f>
        <v/>
      </c>
      <c r="K1499" s="85"/>
      <c r="L1499" s="85" t="str">
        <f t="shared" si="12"/>
        <v/>
      </c>
      <c r="M1499" s="83"/>
      <c r="N1499" s="85" t="str">
        <f>IF($F1499="","",IFERROR(VLOOKUP($F1499,Inventory!$A:$I,9,FALSE),0))</f>
        <v/>
      </c>
      <c r="O1499" s="85" t="str">
        <f t="shared" si="13"/>
        <v/>
      </c>
      <c r="P1499" s="85" t="str">
        <f t="shared" si="5"/>
        <v/>
      </c>
      <c r="Q1499" s="83"/>
      <c r="R1499" s="118" t="str">
        <f>IF($E1499="","",IF(COUNTIF($E$7:$E2696,$E1499)&gt;1,"",IFERROR(VLOOKUP($E1499,Orders!$A:$I,8,FALSE),"")))</f>
        <v/>
      </c>
      <c r="S1499" s="118" t="str">
        <f>IF($E1499="","",IF(COUNTIF($E$7:$E2696,$E1499)&gt;1,"",IFERROR(VLOOKUP($E1499,Orders!$A:$I,9,FALSE),"")))</f>
        <v/>
      </c>
      <c r="T1499" s="88" t="str">
        <f t="shared" si="14"/>
        <v/>
      </c>
      <c r="U1499" s="88" t="str">
        <f>IF($F1499="","",IF($E1499="",T1499,SUMIF(Sales!$E$7:$E$1506,$E1499,Sales!$T$7:$T$1506)))</f>
        <v/>
      </c>
      <c r="V1499" s="49" t="str">
        <f t="shared" si="15"/>
        <v/>
      </c>
      <c r="W1499" s="49" t="str">
        <f t="array" ref="W1499">IF($V1499="","",SUMPRODUCT((Sales!$V$7:$V$1506&lt;&gt;"")*(Sales!$E$7:$E$1506&lt;$E1499))+1)</f>
        <v/>
      </c>
      <c r="X1499" s="49" t="str">
        <f t="shared" si="16"/>
        <v/>
      </c>
      <c r="Y1499" s="49" t="str">
        <f t="shared" si="17"/>
        <v/>
      </c>
    </row>
    <row r="1500" ht="15.0" customHeight="1">
      <c r="A1500" s="82"/>
      <c r="B1500" s="83"/>
      <c r="C1500" s="83"/>
      <c r="D1500" s="83"/>
      <c r="E1500" s="83"/>
      <c r="F1500" s="83"/>
      <c r="G1500" s="83" t="str">
        <f>IF($F1500="","",IFERROR(VLOOKUP($F1500,Inventory!$A:$B,2,FALSE),""))</f>
        <v/>
      </c>
      <c r="H1500" s="83"/>
      <c r="I1500" s="84" t="str">
        <f t="shared" si="2"/>
        <v/>
      </c>
      <c r="J1500" s="85" t="str">
        <f>IF($F1500="","",IFERROR(VLOOKUP($F1500,Inventory!$A:$K,11,FALSE),0))</f>
        <v/>
      </c>
      <c r="K1500" s="85"/>
      <c r="L1500" s="85" t="str">
        <f t="shared" si="12"/>
        <v/>
      </c>
      <c r="M1500" s="83"/>
      <c r="N1500" s="85" t="str">
        <f>IF($F1500="","",IFERROR(VLOOKUP($F1500,Inventory!$A:$I,9,FALSE),0))</f>
        <v/>
      </c>
      <c r="O1500" s="85" t="str">
        <f t="shared" si="13"/>
        <v/>
      </c>
      <c r="P1500" s="85" t="str">
        <f t="shared" si="5"/>
        <v/>
      </c>
      <c r="Q1500" s="83"/>
      <c r="R1500" s="118" t="str">
        <f>IF($E1500="","",IF(COUNTIF($E$7:$E2697,$E1500)&gt;1,"",IFERROR(VLOOKUP($E1500,Orders!$A:$I,8,FALSE),"")))</f>
        <v/>
      </c>
      <c r="S1500" s="118" t="str">
        <f>IF($E1500="","",IF(COUNTIF($E$7:$E2697,$E1500)&gt;1,"",IFERROR(VLOOKUP($E1500,Orders!$A:$I,9,FALSE),"")))</f>
        <v/>
      </c>
      <c r="T1500" s="88" t="str">
        <f t="shared" si="14"/>
        <v/>
      </c>
      <c r="U1500" s="88" t="str">
        <f>IF($F1500="","",IF($E1500="",T1500,SUMIF(Sales!$E$7:$E$1506,$E1500,Sales!$T$7:$T$1506)))</f>
        <v/>
      </c>
      <c r="V1500" s="49" t="str">
        <f t="shared" si="15"/>
        <v/>
      </c>
      <c r="W1500" s="49" t="str">
        <f t="array" ref="W1500">IF($V1500="","",SUMPRODUCT((Sales!$V$7:$V$1506&lt;&gt;"")*(Sales!$E$7:$E$1506&lt;$E1500))+1)</f>
        <v/>
      </c>
      <c r="X1500" s="49" t="str">
        <f t="shared" si="16"/>
        <v/>
      </c>
      <c r="Y1500" s="49" t="str">
        <f t="shared" si="17"/>
        <v/>
      </c>
    </row>
    <row r="1501" ht="15.0" customHeight="1">
      <c r="A1501" s="82"/>
      <c r="B1501" s="83"/>
      <c r="C1501" s="83"/>
      <c r="D1501" s="83"/>
      <c r="E1501" s="83"/>
      <c r="F1501" s="83"/>
      <c r="G1501" s="83" t="str">
        <f>IF($F1501="","",IFERROR(VLOOKUP($F1501,Inventory!$A:$B,2,FALSE),""))</f>
        <v/>
      </c>
      <c r="H1501" s="83"/>
      <c r="I1501" s="84" t="str">
        <f t="shared" si="2"/>
        <v/>
      </c>
      <c r="J1501" s="85" t="str">
        <f>IF($F1501="","",IFERROR(VLOOKUP($F1501,Inventory!$A:$K,11,FALSE),0))</f>
        <v/>
      </c>
      <c r="K1501" s="85"/>
      <c r="L1501" s="85" t="str">
        <f t="shared" si="12"/>
        <v/>
      </c>
      <c r="M1501" s="83"/>
      <c r="N1501" s="85" t="str">
        <f>IF($F1501="","",IFERROR(VLOOKUP($F1501,Inventory!$A:$I,9,FALSE),0))</f>
        <v/>
      </c>
      <c r="O1501" s="85" t="str">
        <f t="shared" si="13"/>
        <v/>
      </c>
      <c r="P1501" s="85" t="str">
        <f t="shared" si="5"/>
        <v/>
      </c>
      <c r="Q1501" s="83"/>
      <c r="R1501" s="118" t="str">
        <f>IF($E1501="","",IF(COUNTIF($E$7:$E2698,$E1501)&gt;1,"",IFERROR(VLOOKUP($E1501,Orders!$A:$I,8,FALSE),"")))</f>
        <v/>
      </c>
      <c r="S1501" s="118" t="str">
        <f>IF($E1501="","",IF(COUNTIF($E$7:$E2698,$E1501)&gt;1,"",IFERROR(VLOOKUP($E1501,Orders!$A:$I,9,FALSE),"")))</f>
        <v/>
      </c>
      <c r="T1501" s="88" t="str">
        <f t="shared" si="14"/>
        <v/>
      </c>
      <c r="U1501" s="88" t="str">
        <f>IF($F1501="","",IF($E1501="",T1501,SUMIF(Sales!$E$7:$E$1506,$E1501,Sales!$T$7:$T$1506)))</f>
        <v/>
      </c>
      <c r="V1501" s="49" t="str">
        <f t="shared" si="15"/>
        <v/>
      </c>
      <c r="W1501" s="49" t="str">
        <f t="array" ref="W1501">IF($V1501="","",SUMPRODUCT((Sales!$V$7:$V$1506&lt;&gt;"")*(Sales!$E$7:$E$1506&lt;$E1501))+1)</f>
        <v/>
      </c>
      <c r="X1501" s="49" t="str">
        <f t="shared" si="16"/>
        <v/>
      </c>
      <c r="Y1501" s="49" t="str">
        <f t="shared" si="17"/>
        <v/>
      </c>
    </row>
    <row r="1502" ht="15.0" customHeight="1">
      <c r="A1502" s="82"/>
      <c r="B1502" s="83"/>
      <c r="C1502" s="83"/>
      <c r="D1502" s="83"/>
      <c r="E1502" s="83"/>
      <c r="F1502" s="83"/>
      <c r="G1502" s="83" t="str">
        <f>IF($F1502="","",IFERROR(VLOOKUP($F1502,Inventory!$A:$B,2,FALSE),""))</f>
        <v/>
      </c>
      <c r="H1502" s="83"/>
      <c r="I1502" s="84" t="str">
        <f t="shared" si="2"/>
        <v/>
      </c>
      <c r="J1502" s="85" t="str">
        <f>IF($F1502="","",IFERROR(VLOOKUP($F1502,Inventory!$A:$K,11,FALSE),0))</f>
        <v/>
      </c>
      <c r="K1502" s="85"/>
      <c r="L1502" s="85" t="str">
        <f t="shared" si="12"/>
        <v/>
      </c>
      <c r="M1502" s="83"/>
      <c r="N1502" s="85" t="str">
        <f>IF($F1502="","",IFERROR(VLOOKUP($F1502,Inventory!$A:$I,9,FALSE),0))</f>
        <v/>
      </c>
      <c r="O1502" s="85" t="str">
        <f t="shared" si="13"/>
        <v/>
      </c>
      <c r="P1502" s="85" t="str">
        <f t="shared" si="5"/>
        <v/>
      </c>
      <c r="Q1502" s="83"/>
      <c r="R1502" s="118" t="str">
        <f>IF($E1502="","",IF(COUNTIF($E$7:$E2699,$E1502)&gt;1,"",IFERROR(VLOOKUP($E1502,Orders!$A:$I,8,FALSE),"")))</f>
        <v/>
      </c>
      <c r="S1502" s="118" t="str">
        <f>IF($E1502="","",IF(COUNTIF($E$7:$E2699,$E1502)&gt;1,"",IFERROR(VLOOKUP($E1502,Orders!$A:$I,9,FALSE),"")))</f>
        <v/>
      </c>
      <c r="T1502" s="88" t="str">
        <f t="shared" si="14"/>
        <v/>
      </c>
      <c r="U1502" s="88" t="str">
        <f>IF($F1502="","",IF($E1502="",T1502,SUMIF(Sales!$E$7:$E$1506,$E1502,Sales!$T$7:$T$1506)))</f>
        <v/>
      </c>
      <c r="V1502" s="49" t="str">
        <f t="shared" si="15"/>
        <v/>
      </c>
      <c r="W1502" s="49" t="str">
        <f t="array" ref="W1502">IF($V1502="","",SUMPRODUCT((Sales!$V$7:$V$1506&lt;&gt;"")*(Sales!$E$7:$E$1506&lt;$E1502))+1)</f>
        <v/>
      </c>
      <c r="X1502" s="49" t="str">
        <f t="shared" si="16"/>
        <v/>
      </c>
      <c r="Y1502" s="49" t="str">
        <f t="shared" si="17"/>
        <v/>
      </c>
    </row>
    <row r="1503" ht="15.0" customHeight="1">
      <c r="A1503" s="82"/>
      <c r="B1503" s="83"/>
      <c r="C1503" s="83"/>
      <c r="D1503" s="83"/>
      <c r="E1503" s="83"/>
      <c r="F1503" s="83"/>
      <c r="G1503" s="83" t="str">
        <f>IF($F1503="","",IFERROR(VLOOKUP($F1503,Inventory!$A:$B,2,FALSE),""))</f>
        <v/>
      </c>
      <c r="H1503" s="83"/>
      <c r="I1503" s="84" t="str">
        <f t="shared" si="2"/>
        <v/>
      </c>
      <c r="J1503" s="85" t="str">
        <f>IF($F1503="","",IFERROR(VLOOKUP($F1503,Inventory!$A:$K,11,FALSE),0))</f>
        <v/>
      </c>
      <c r="K1503" s="85"/>
      <c r="L1503" s="85" t="str">
        <f t="shared" si="12"/>
        <v/>
      </c>
      <c r="M1503" s="83"/>
      <c r="N1503" s="85" t="str">
        <f>IF($F1503="","",IFERROR(VLOOKUP($F1503,Inventory!$A:$I,9,FALSE),0))</f>
        <v/>
      </c>
      <c r="O1503" s="85" t="str">
        <f t="shared" si="13"/>
        <v/>
      </c>
      <c r="P1503" s="85" t="str">
        <f t="shared" si="5"/>
        <v/>
      </c>
      <c r="Q1503" s="83"/>
      <c r="R1503" s="118" t="str">
        <f>IF($E1503="","",IF(COUNTIF($E$7:$E2700,$E1503)&gt;1,"",IFERROR(VLOOKUP($E1503,Orders!$A:$I,8,FALSE),"")))</f>
        <v/>
      </c>
      <c r="S1503" s="118" t="str">
        <f>IF($E1503="","",IF(COUNTIF($E$7:$E2700,$E1503)&gt;1,"",IFERROR(VLOOKUP($E1503,Orders!$A:$I,9,FALSE),"")))</f>
        <v/>
      </c>
      <c r="T1503" s="88" t="str">
        <f t="shared" si="14"/>
        <v/>
      </c>
      <c r="U1503" s="88" t="str">
        <f>IF($F1503="","",IF($E1503="",T1503,SUMIF(Sales!$E$7:$E$1506,$E1503,Sales!$T$7:$T$1506)))</f>
        <v/>
      </c>
      <c r="V1503" s="49" t="str">
        <f t="shared" si="15"/>
        <v/>
      </c>
      <c r="W1503" s="49" t="str">
        <f t="array" ref="W1503">IF($V1503="","",SUMPRODUCT((Sales!$V$7:$V$1506&lt;&gt;"")*(Sales!$E$7:$E$1506&lt;$E1503))+1)</f>
        <v/>
      </c>
      <c r="X1503" s="49" t="str">
        <f t="shared" si="16"/>
        <v/>
      </c>
      <c r="Y1503" s="49" t="str">
        <f t="shared" si="17"/>
        <v/>
      </c>
    </row>
    <row r="1504" ht="15.0" customHeight="1">
      <c r="A1504" s="82"/>
      <c r="B1504" s="83"/>
      <c r="C1504" s="83"/>
      <c r="D1504" s="83"/>
      <c r="E1504" s="83"/>
      <c r="F1504" s="83"/>
      <c r="G1504" s="83" t="str">
        <f>IF($F1504="","",IFERROR(VLOOKUP($F1504,Inventory!$A:$B,2,FALSE),""))</f>
        <v/>
      </c>
      <c r="H1504" s="83"/>
      <c r="I1504" s="84" t="str">
        <f t="shared" si="2"/>
        <v/>
      </c>
      <c r="J1504" s="85" t="str">
        <f>IF($F1504="","",IFERROR(VLOOKUP($F1504,Inventory!$A:$K,11,FALSE),0))</f>
        <v/>
      </c>
      <c r="K1504" s="85"/>
      <c r="L1504" s="85" t="str">
        <f t="shared" si="12"/>
        <v/>
      </c>
      <c r="M1504" s="83"/>
      <c r="N1504" s="85" t="str">
        <f>IF($F1504="","",IFERROR(VLOOKUP($F1504,Inventory!$A:$I,9,FALSE),0))</f>
        <v/>
      </c>
      <c r="O1504" s="85" t="str">
        <f t="shared" si="13"/>
        <v/>
      </c>
      <c r="P1504" s="85" t="str">
        <f t="shared" si="5"/>
        <v/>
      </c>
      <c r="Q1504" s="83"/>
      <c r="R1504" s="118" t="str">
        <f>IF($E1504="","",IF(COUNTIF($E$7:$E2701,$E1504)&gt;1,"",IFERROR(VLOOKUP($E1504,Orders!$A:$I,8,FALSE),"")))</f>
        <v/>
      </c>
      <c r="S1504" s="118" t="str">
        <f>IF($E1504="","",IF(COUNTIF($E$7:$E2701,$E1504)&gt;1,"",IFERROR(VLOOKUP($E1504,Orders!$A:$I,9,FALSE),"")))</f>
        <v/>
      </c>
      <c r="T1504" s="88" t="str">
        <f t="shared" si="14"/>
        <v/>
      </c>
      <c r="U1504" s="88" t="str">
        <f>IF($F1504="","",IF($E1504="",T1504,SUMIF(Sales!$E$7:$E$1506,$E1504,Sales!$T$7:$T$1506)))</f>
        <v/>
      </c>
      <c r="V1504" s="49" t="str">
        <f t="shared" si="15"/>
        <v/>
      </c>
      <c r="W1504" s="49" t="str">
        <f t="array" ref="W1504">IF($V1504="","",SUMPRODUCT((Sales!$V$7:$V$1506&lt;&gt;"")*(Sales!$E$7:$E$1506&lt;$E1504))+1)</f>
        <v/>
      </c>
      <c r="X1504" s="49" t="str">
        <f t="shared" si="16"/>
        <v/>
      </c>
      <c r="Y1504" s="49" t="str">
        <f t="shared" si="17"/>
        <v/>
      </c>
    </row>
    <row r="1505" ht="15.0" customHeight="1">
      <c r="A1505" s="82"/>
      <c r="B1505" s="83"/>
      <c r="C1505" s="83"/>
      <c r="D1505" s="83"/>
      <c r="E1505" s="83"/>
      <c r="F1505" s="83"/>
      <c r="G1505" s="83" t="str">
        <f>IF($F1505="","",IFERROR(VLOOKUP($F1505,Inventory!$A:$B,2,FALSE),""))</f>
        <v/>
      </c>
      <c r="H1505" s="83"/>
      <c r="I1505" s="84" t="str">
        <f t="shared" si="2"/>
        <v/>
      </c>
      <c r="J1505" s="85" t="str">
        <f>IF($F1505="","",IFERROR(VLOOKUP($F1505,Inventory!$A:$K,11,FALSE),0))</f>
        <v/>
      </c>
      <c r="K1505" s="85"/>
      <c r="L1505" s="85" t="str">
        <f t="shared" si="12"/>
        <v/>
      </c>
      <c r="M1505" s="83"/>
      <c r="N1505" s="85" t="str">
        <f>IF($F1505="","",IFERROR(VLOOKUP($F1505,Inventory!$A:$I,9,FALSE),0))</f>
        <v/>
      </c>
      <c r="O1505" s="85" t="str">
        <f t="shared" si="13"/>
        <v/>
      </c>
      <c r="P1505" s="85" t="str">
        <f t="shared" si="5"/>
        <v/>
      </c>
      <c r="Q1505" s="83"/>
      <c r="R1505" s="118" t="str">
        <f>IF($E1505="","",IF(COUNTIF($E$7:$E2702,$E1505)&gt;1,"",IFERROR(VLOOKUP($E1505,Orders!$A:$I,8,FALSE),"")))</f>
        <v/>
      </c>
      <c r="S1505" s="118" t="str">
        <f>IF($E1505="","",IF(COUNTIF($E$7:$E2702,$E1505)&gt;1,"",IFERROR(VLOOKUP($E1505,Orders!$A:$I,9,FALSE),"")))</f>
        <v/>
      </c>
      <c r="T1505" s="88" t="str">
        <f t="shared" si="14"/>
        <v/>
      </c>
      <c r="U1505" s="88" t="str">
        <f>IF($F1505="","",IF($E1505="",T1505,SUMIF(Sales!$E$7:$E$1506,$E1505,Sales!$T$7:$T$1506)))</f>
        <v/>
      </c>
      <c r="V1505" s="49" t="str">
        <f t="shared" si="15"/>
        <v/>
      </c>
      <c r="W1505" s="49" t="str">
        <f t="array" ref="W1505">IF($V1505="","",SUMPRODUCT((Sales!$V$7:$V$1506&lt;&gt;"")*(Sales!$E$7:$E$1506&lt;$E1505))+1)</f>
        <v/>
      </c>
      <c r="X1505" s="49" t="str">
        <f t="shared" si="16"/>
        <v/>
      </c>
      <c r="Y1505" s="49" t="str">
        <f t="shared" si="17"/>
        <v/>
      </c>
    </row>
    <row r="1506" ht="15.0" customHeight="1">
      <c r="A1506" s="82"/>
      <c r="B1506" s="83"/>
      <c r="C1506" s="83"/>
      <c r="D1506" s="83"/>
      <c r="E1506" s="83"/>
      <c r="F1506" s="83"/>
      <c r="G1506" s="83" t="str">
        <f>IF($F1506="","",IFERROR(VLOOKUP($F1506,Inventory!$A:$B,2,FALSE),""))</f>
        <v/>
      </c>
      <c r="H1506" s="83"/>
      <c r="I1506" s="84" t="str">
        <f t="shared" si="2"/>
        <v/>
      </c>
      <c r="J1506" s="85" t="str">
        <f>IF($F1506="","",IFERROR(VLOOKUP($F1506,Inventory!$A:$K,11,FALSE),0))</f>
        <v/>
      </c>
      <c r="K1506" s="85"/>
      <c r="L1506" s="85" t="str">
        <f t="shared" si="12"/>
        <v/>
      </c>
      <c r="M1506" s="83"/>
      <c r="N1506" s="85" t="str">
        <f>IF($F1506="","",IFERROR(VLOOKUP($F1506,Inventory!$A:$I,9,FALSE),0))</f>
        <v/>
      </c>
      <c r="O1506" s="85" t="str">
        <f t="shared" si="13"/>
        <v/>
      </c>
      <c r="P1506" s="85" t="str">
        <f t="shared" si="5"/>
        <v/>
      </c>
      <c r="Q1506" s="83"/>
      <c r="R1506" s="118" t="str">
        <f>IF($E1506="","",IF(COUNTIF($E$7:$E2703,$E1506)&gt;1,"",IFERROR(VLOOKUP($E1506,Orders!$A:$I,8,FALSE),"")))</f>
        <v/>
      </c>
      <c r="S1506" s="118" t="str">
        <f>IF($E1506="","",IF(COUNTIF($E$7:$E2703,$E1506)&gt;1,"",IFERROR(VLOOKUP($E1506,Orders!$A:$I,9,FALSE),"")))</f>
        <v/>
      </c>
      <c r="T1506" s="88" t="str">
        <f t="shared" si="14"/>
        <v/>
      </c>
      <c r="U1506" s="88" t="str">
        <f>IF($F1506="","",IF($E1506="",T1506,SUMIF(Sales!$E$7:$E$1506,$E1506,Sales!$T$7:$T$1506)))</f>
        <v/>
      </c>
      <c r="V1506" s="49" t="str">
        <f t="shared" si="15"/>
        <v/>
      </c>
      <c r="W1506" s="49" t="str">
        <f t="array" ref="W1506">IF($V1506="","",SUMPRODUCT((Sales!$V$7:$V$1506&lt;&gt;"")*(Sales!$E$7:$E$1506&lt;$E1506))+1)</f>
        <v/>
      </c>
      <c r="X1506" s="49" t="str">
        <f t="shared" si="16"/>
        <v/>
      </c>
      <c r="Y1506" s="49" t="str">
        <f t="shared" si="17"/>
        <v/>
      </c>
    </row>
  </sheetData>
  <customSheetViews>
    <customSheetView guid="{F309BC2B-FA57-4750-9E4D-F4002706CB96}" filter="1" showAutoFilter="1">
      <autoFilter ref="$A$6:$Y$1506"/>
    </customSheetView>
  </customSheetViews>
  <conditionalFormatting sqref="F515:F516 F520:F521 F525 F527 F529">
    <cfRule type="expression" dxfId="7" priority="1">
      <formula>AND($A515&lt;&gt;"",$H515=0)</formula>
    </cfRule>
  </conditionalFormatting>
  <conditionalFormatting sqref="F515:F516 F520:F521 F525 F527 F529">
    <cfRule type="expression" dxfId="8" priority="2">
      <formula>AND($A515&lt;&gt;"",$H515&lt;0)</formula>
    </cfRule>
  </conditionalFormatting>
  <conditionalFormatting sqref="A7:D313 E7:E309 F7:F315 G7:G1506 H7:H309 I7:J1506 K7:K309 L7:L1506 M7:M309 N7:P1506 Q7:U309 F318:F320 F323:F324 F328 F333 F335:F338 F340 F343 F347 F350 F352 F363 F365 F367 F372 F379 F383 F385:F386 F393:F394 F400 F403 F408 F507">
    <cfRule type="expression" dxfId="10" priority="3">
      <formula>$M7="Due"</formula>
    </cfRule>
  </conditionalFormatting>
  <conditionalFormatting sqref="M7:M309">
    <cfRule type="expression" dxfId="11" priority="4">
      <formula>$M7="Due"</formula>
    </cfRule>
  </conditionalFormatting>
  <conditionalFormatting sqref="A301">
    <cfRule type="expression" dxfId="10" priority="5">
      <formula>$M301="Due"</formula>
    </cfRule>
  </conditionalFormatting>
  <conditionalFormatting sqref="C301">
    <cfRule type="expression" dxfId="10" priority="6">
      <formula>$M302="Due"</formula>
    </cfRule>
  </conditionalFormatting>
  <conditionalFormatting sqref="F305">
    <cfRule type="expression" dxfId="10" priority="7">
      <formula>$M305="Due"</formula>
    </cfRule>
  </conditionalFormatting>
  <conditionalFormatting sqref="A302">
    <cfRule type="expression" dxfId="10" priority="8">
      <formula>$M302="Due"</formula>
    </cfRule>
  </conditionalFormatting>
  <conditionalFormatting sqref="A303">
    <cfRule type="expression" dxfId="10" priority="9">
      <formula>$M303="Due"</formula>
    </cfRule>
  </conditionalFormatting>
  <conditionalFormatting sqref="A304">
    <cfRule type="expression" dxfId="10" priority="10">
      <formula>$M304="Due"</formula>
    </cfRule>
  </conditionalFormatting>
  <conditionalFormatting sqref="A305">
    <cfRule type="expression" dxfId="10" priority="11">
      <formula>$M305="Due"</formula>
    </cfRule>
  </conditionalFormatting>
  <conditionalFormatting sqref="A306">
    <cfRule type="expression" dxfId="10" priority="12">
      <formula>$M306="Due"</formula>
    </cfRule>
  </conditionalFormatting>
  <conditionalFormatting sqref="A307">
    <cfRule type="expression" dxfId="10" priority="13">
      <formula>$M307="Due"</formula>
    </cfRule>
  </conditionalFormatting>
  <conditionalFormatting sqref="F308 F312">
    <cfRule type="expression" dxfId="10" priority="14">
      <formula>$M308="Due"</formula>
    </cfRule>
  </conditionalFormatting>
  <conditionalFormatting sqref="F309">
    <cfRule type="expression" dxfId="10" priority="15">
      <formula>$M309="Due"</formula>
    </cfRule>
  </conditionalFormatting>
  <conditionalFormatting sqref="A308">
    <cfRule type="expression" dxfId="10" priority="16">
      <formula>$M308="Due"</formula>
    </cfRule>
  </conditionalFormatting>
  <conditionalFormatting sqref="A309:A313">
    <cfRule type="expression" dxfId="10" priority="17">
      <formula>$M309="Due"</formula>
    </cfRule>
  </conditionalFormatting>
  <conditionalFormatting sqref="A310:F1506 H310:H1506 K310:K1506 M310:M1506 Q310:U1506">
    <cfRule type="expression" dxfId="10" priority="18">
      <formula>$M310="Due"</formula>
    </cfRule>
  </conditionalFormatting>
  <conditionalFormatting sqref="M310:M1506">
    <cfRule type="expression" dxfId="11" priority="19">
      <formula>$M310="Due"</formula>
    </cfRule>
  </conditionalFormatting>
  <conditionalFormatting sqref="F310:F1506">
    <cfRule type="expression" dxfId="10" priority="20">
      <formula>$M310="Due"</formula>
    </cfRule>
  </conditionalFormatting>
  <conditionalFormatting sqref="A310:A1506">
    <cfRule type="expression" dxfId="10" priority="21">
      <formula>$M310="Due"</formula>
    </cfRule>
  </conditionalFormatting>
  <dataValidations>
    <dataValidation type="list" allowBlank="1" showErrorMessage="1" sqref="F7:F1506">
      <formula1>$AA$7:$AA$256</formula1>
    </dataValidation>
    <dataValidation type="list" allowBlank="1" showErrorMessage="1" sqref="AD3">
      <formula1>$AG$1:$AG$3</formula1>
    </dataValidation>
    <dataValidation type="list" allowBlank="1" showErrorMessage="1" sqref="B7:B1506">
      <formula1>"Sale,Return,Gift"</formula1>
    </dataValidation>
    <dataValidation type="list" allowBlank="1" showErrorMessage="1" sqref="C7:C1506">
      <formula1>"Shop,Online"</formula1>
    </dataValidation>
    <dataValidation type="list" allowBlank="1" showErrorMessage="1" sqref="M7:M1506">
      <formula1>"Paid,Due"</formula1>
    </dataValidation>
    <dataValidation type="list" allowBlank="1" showErrorMessage="1" sqref="AD2">
      <formula1>$AF$1:$AF$3</formula1>
    </dataValidation>
    <dataValidation type="list" allowBlank="1" showErrorMessage="1" sqref="AD1">
      <formula1>"ALPHA,BRAVO,CHARLIE"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71"/>
    <col customWidth="1" min="2" max="10" width="17.57"/>
  </cols>
  <sheetData>
    <row r="1" ht="14.25" customHeight="1">
      <c r="A1" s="11" t="s">
        <v>474</v>
      </c>
    </row>
    <row r="2" ht="14.25" customHeight="1">
      <c r="A2" s="93" t="s">
        <v>476</v>
      </c>
    </row>
    <row r="3" ht="14.25" customHeight="1"/>
    <row r="4" ht="14.25" customHeight="1">
      <c r="A4" s="94" t="s">
        <v>478</v>
      </c>
      <c r="B4" s="94" t="s">
        <v>480</v>
      </c>
      <c r="C4" s="94" t="s">
        <v>481</v>
      </c>
      <c r="D4" s="94" t="s">
        <v>482</v>
      </c>
      <c r="E4" s="94" t="s">
        <v>483</v>
      </c>
      <c r="F4" s="94" t="s">
        <v>484</v>
      </c>
      <c r="G4" s="94" t="s">
        <v>485</v>
      </c>
      <c r="H4" s="94" t="s">
        <v>486</v>
      </c>
      <c r="I4" s="94" t="s">
        <v>487</v>
      </c>
      <c r="J4" s="94" t="s">
        <v>488</v>
      </c>
    </row>
    <row r="5" ht="14.25" customHeight="1">
      <c r="A5" s="95">
        <f>EOMONTH(MIN(Sales!$A$7:$A$1506),-1)+1</f>
        <v>46174</v>
      </c>
      <c r="B5" s="96">
        <f>SUMIFS(Sales!$L$7:$L$1506,Sales!$A$7:$A$1506,"&gt;="&amp;$A5,Sales!$A$7:$A$1506,"&lt;="&amp;EOMONTH($A5,0))</f>
        <v>770</v>
      </c>
      <c r="C5" s="96">
        <f>SUMIFS(Sales!$O$7:$O$1506,Sales!$A$7:$A$1506,"&gt;="&amp;$A5,Sales!$A$7:$A$1506,"&lt;="&amp;EOMONTH($A5,0))</f>
        <v>600</v>
      </c>
      <c r="D5" s="96">
        <f t="shared" ref="D5:D40" si="1">B5-C5</f>
        <v>170</v>
      </c>
      <c r="E5" s="96">
        <f>SUMIFS(Sales!$R$7:$R$1506,Sales!$A$7:$A$1506,"&gt;="&amp;$A5,Sales!$A$7:$A$1506,"&lt;="&amp;EOMONTH($A5,0))</f>
        <v>0</v>
      </c>
      <c r="F5" s="96">
        <f>SUMIFS(Sales!$S$7:$S$1506,Sales!$A$7:$A$1506,"&gt;="&amp;$A5,Sales!$A$7:$A$1506,"&lt;="&amp;EOMONTH($A5,0))</f>
        <v>0</v>
      </c>
      <c r="G5" s="96">
        <f t="shared" ref="G5:G40" si="2">D5+E5-F5</f>
        <v>170</v>
      </c>
      <c r="H5" s="96">
        <f>COUNTIFS(Sales!$A$7:$A$1506,"&gt;="&amp;$A5,Sales!$A$7:$A$1506,"&lt;="&amp;EOMONTH($A5,0))</f>
        <v>1</v>
      </c>
      <c r="I5" s="96">
        <f>COUNTIFS(Sales!$A$7:$A$1506,"&gt;="&amp;$A5,Sales!$A$7:$A$1506,"&lt;="&amp;EOMONTH($A5,0),Sales!$V$7:$V$1506,"&gt;0")</f>
        <v>0</v>
      </c>
      <c r="J5" s="45">
        <f t="shared" ref="J5:J41" si="3">IF(B5=0,"",G5/B5)</f>
        <v>0.2207792208</v>
      </c>
    </row>
    <row r="6" ht="14.25" customHeight="1">
      <c r="A6" s="95">
        <f t="shared" ref="A6:A40" si="4">EDATE($A$5,ROW()-5)</f>
        <v>46204</v>
      </c>
      <c r="B6" s="96">
        <f>SUMIFS(Sales!$L$7:$L$1506,Sales!$A$7:$A$1506,"&gt;="&amp;$A6,Sales!$A$7:$A$1506,"&lt;="&amp;EOMONTH($A6,0))</f>
        <v>53352</v>
      </c>
      <c r="C6" s="96">
        <f>SUMIFS(Sales!$O$7:$O$1506,Sales!$A$7:$A$1506,"&gt;="&amp;$A6,Sales!$A$7:$A$1506,"&lt;="&amp;EOMONTH($A6,0))</f>
        <v>43013.89209</v>
      </c>
      <c r="D6" s="96">
        <f t="shared" si="1"/>
        <v>10338.10791</v>
      </c>
      <c r="E6" s="96">
        <f>SUMIFS(Sales!$R$7:$R$1506,Sales!$A$7:$A$1506,"&gt;="&amp;$A6,Sales!$A$7:$A$1506,"&lt;="&amp;EOMONTH($A6,0))</f>
        <v>940</v>
      </c>
      <c r="F6" s="96">
        <f>SUMIFS(Sales!$S$7:$S$1506,Sales!$A$7:$A$1506,"&gt;="&amp;$A6,Sales!$A$7:$A$1506,"&lt;="&amp;EOMONTH($A6,0))</f>
        <v>879</v>
      </c>
      <c r="G6" s="96">
        <f t="shared" si="2"/>
        <v>10399.10791</v>
      </c>
      <c r="H6" s="96">
        <f>COUNTIFS(Sales!$A$7:$A$1506,"&gt;="&amp;$A6,Sales!$A$7:$A$1506,"&lt;="&amp;EOMONTH($A6,0))</f>
        <v>133</v>
      </c>
      <c r="I6" s="96">
        <f>COUNTIFS(Sales!$A$7:$A$1506,"&gt;="&amp;$A6,Sales!$A$7:$A$1506,"&lt;="&amp;EOMONTH($A6,0),Sales!$V$7:$V$1506,"&gt;0")</f>
        <v>9</v>
      </c>
      <c r="J6" s="45">
        <f t="shared" si="3"/>
        <v>0.1949150531</v>
      </c>
    </row>
    <row r="7" ht="14.25" customHeight="1">
      <c r="A7" s="95">
        <f t="shared" si="4"/>
        <v>46235</v>
      </c>
      <c r="B7" s="96">
        <f>SUMIFS(Sales!$L$7:$L$1506,Sales!$A$7:$A$1506,"&gt;="&amp;$A7,Sales!$A$7:$A$1506,"&lt;="&amp;EOMONTH($A7,0))</f>
        <v>87944.01062</v>
      </c>
      <c r="C7" s="96">
        <f>SUMIFS(Sales!$O$7:$O$1506,Sales!$A$7:$A$1506,"&gt;="&amp;$A7,Sales!$A$7:$A$1506,"&lt;="&amp;EOMONTH($A7,0))</f>
        <v>66853.083</v>
      </c>
      <c r="D7" s="96">
        <f t="shared" si="1"/>
        <v>21090.92762</v>
      </c>
      <c r="E7" s="96">
        <f>SUMIFS(Sales!$R$7:$R$1506,Sales!$A$7:$A$1506,"&gt;="&amp;$A7,Sales!$A$7:$A$1506,"&lt;="&amp;EOMONTH($A7,0))</f>
        <v>950</v>
      </c>
      <c r="F7" s="96">
        <f>SUMIFS(Sales!$S$7:$S$1506,Sales!$A$7:$A$1506,"&gt;="&amp;$A7,Sales!$A$7:$A$1506,"&lt;="&amp;EOMONTH($A7,0))</f>
        <v>1116</v>
      </c>
      <c r="G7" s="96">
        <f t="shared" si="2"/>
        <v>20924.92762</v>
      </c>
      <c r="H7" s="96">
        <f>COUNTIFS(Sales!$A$7:$A$1506,"&gt;="&amp;$A7,Sales!$A$7:$A$1506,"&lt;="&amp;EOMONTH($A7,0))</f>
        <v>354</v>
      </c>
      <c r="I7" s="96">
        <f>COUNTIFS(Sales!$A$7:$A$1506,"&gt;="&amp;$A7,Sales!$A$7:$A$1506,"&lt;="&amp;EOMONTH($A7,0),Sales!$V$7:$V$1506,"&gt;0")</f>
        <v>9</v>
      </c>
      <c r="J7" s="45">
        <f t="shared" si="3"/>
        <v>0.2379346526</v>
      </c>
    </row>
    <row r="8" ht="14.25" customHeight="1">
      <c r="A8" s="95">
        <f t="shared" si="4"/>
        <v>46266</v>
      </c>
      <c r="B8" s="96">
        <f>SUMIFS(Sales!$L$7:$L$1506,Sales!$A$7:$A$1506,"&gt;="&amp;$A8,Sales!$A$7:$A$1506,"&lt;="&amp;EOMONTH($A8,0))</f>
        <v>5644</v>
      </c>
      <c r="C8" s="96">
        <f>SUMIFS(Sales!$O$7:$O$1506,Sales!$A$7:$A$1506,"&gt;="&amp;$A8,Sales!$A$7:$A$1506,"&lt;="&amp;EOMONTH($A8,0))</f>
        <v>4258.904069</v>
      </c>
      <c r="D8" s="96">
        <f t="shared" si="1"/>
        <v>1385.095931</v>
      </c>
      <c r="E8" s="96">
        <f>SUMIFS(Sales!$R$7:$R$1506,Sales!$A$7:$A$1506,"&gt;="&amp;$A8,Sales!$A$7:$A$1506,"&lt;="&amp;EOMONTH($A8,0))</f>
        <v>0</v>
      </c>
      <c r="F8" s="96">
        <f>SUMIFS(Sales!$S$7:$S$1506,Sales!$A$7:$A$1506,"&gt;="&amp;$A8,Sales!$A$7:$A$1506,"&lt;="&amp;EOMONTH($A8,0))</f>
        <v>0</v>
      </c>
      <c r="G8" s="96">
        <f t="shared" si="2"/>
        <v>1385.095931</v>
      </c>
      <c r="H8" s="96">
        <f>COUNTIFS(Sales!$A$7:$A$1506,"&gt;="&amp;$A8,Sales!$A$7:$A$1506,"&lt;="&amp;EOMONTH($A8,0))</f>
        <v>23</v>
      </c>
      <c r="I8" s="96">
        <f>COUNTIFS(Sales!$A$7:$A$1506,"&gt;="&amp;$A8,Sales!$A$7:$A$1506,"&lt;="&amp;EOMONTH($A8,0),Sales!$V$7:$V$1506,"&gt;0")</f>
        <v>0</v>
      </c>
      <c r="J8" s="45">
        <f t="shared" si="3"/>
        <v>0.245410335</v>
      </c>
    </row>
    <row r="9" ht="14.25" customHeight="1">
      <c r="A9" s="95">
        <f t="shared" si="4"/>
        <v>46296</v>
      </c>
      <c r="B9" s="96">
        <f>SUMIFS(Sales!$L$7:$L$1506,Sales!$A$7:$A$1506,"&gt;="&amp;$A9,Sales!$A$7:$A$1506,"&lt;="&amp;EOMONTH($A9,0))</f>
        <v>0</v>
      </c>
      <c r="C9" s="96">
        <f>SUMIFS(Sales!$O$7:$O$1506,Sales!$A$7:$A$1506,"&gt;="&amp;$A9,Sales!$A$7:$A$1506,"&lt;="&amp;EOMONTH($A9,0))</f>
        <v>0</v>
      </c>
      <c r="D9" s="96">
        <f t="shared" si="1"/>
        <v>0</v>
      </c>
      <c r="E9" s="96">
        <f>SUMIFS(Sales!$R$7:$R$1506,Sales!$A$7:$A$1506,"&gt;="&amp;$A9,Sales!$A$7:$A$1506,"&lt;="&amp;EOMONTH($A9,0))</f>
        <v>0</v>
      </c>
      <c r="F9" s="96">
        <f>SUMIFS(Sales!$S$7:$S$1506,Sales!$A$7:$A$1506,"&gt;="&amp;$A9,Sales!$A$7:$A$1506,"&lt;="&amp;EOMONTH($A9,0))</f>
        <v>0</v>
      </c>
      <c r="G9" s="96">
        <f t="shared" si="2"/>
        <v>0</v>
      </c>
      <c r="H9" s="96">
        <f>COUNTIFS(Sales!$A$7:$A$1506,"&gt;="&amp;$A9,Sales!$A$7:$A$1506,"&lt;="&amp;EOMONTH($A9,0))</f>
        <v>0</v>
      </c>
      <c r="I9" s="96">
        <f>COUNTIFS(Sales!$A$7:$A$1506,"&gt;="&amp;$A9,Sales!$A$7:$A$1506,"&lt;="&amp;EOMONTH($A9,0),Sales!$V$7:$V$1506,"&gt;0")</f>
        <v>0</v>
      </c>
      <c r="J9" s="45" t="str">
        <f t="shared" si="3"/>
        <v/>
      </c>
    </row>
    <row r="10" ht="14.25" customHeight="1">
      <c r="A10" s="95">
        <f t="shared" si="4"/>
        <v>46327</v>
      </c>
      <c r="B10" s="96">
        <f>SUMIFS(Sales!$L$7:$L$1506,Sales!$A$7:$A$1506,"&gt;="&amp;$A10,Sales!$A$7:$A$1506,"&lt;="&amp;EOMONTH($A10,0))</f>
        <v>0</v>
      </c>
      <c r="C10" s="96">
        <f>SUMIFS(Sales!$O$7:$O$1506,Sales!$A$7:$A$1506,"&gt;="&amp;$A10,Sales!$A$7:$A$1506,"&lt;="&amp;EOMONTH($A10,0))</f>
        <v>0</v>
      </c>
      <c r="D10" s="96">
        <f t="shared" si="1"/>
        <v>0</v>
      </c>
      <c r="E10" s="96">
        <f>SUMIFS(Sales!$R$7:$R$1506,Sales!$A$7:$A$1506,"&gt;="&amp;$A10,Sales!$A$7:$A$1506,"&lt;="&amp;EOMONTH($A10,0))</f>
        <v>0</v>
      </c>
      <c r="F10" s="96">
        <f>SUMIFS(Sales!$S$7:$S$1506,Sales!$A$7:$A$1506,"&gt;="&amp;$A10,Sales!$A$7:$A$1506,"&lt;="&amp;EOMONTH($A10,0))</f>
        <v>0</v>
      </c>
      <c r="G10" s="96">
        <f t="shared" si="2"/>
        <v>0</v>
      </c>
      <c r="H10" s="96">
        <f>COUNTIFS(Sales!$A$7:$A$1506,"&gt;="&amp;$A10,Sales!$A$7:$A$1506,"&lt;="&amp;EOMONTH($A10,0))</f>
        <v>0</v>
      </c>
      <c r="I10" s="96">
        <f>COUNTIFS(Sales!$A$7:$A$1506,"&gt;="&amp;$A10,Sales!$A$7:$A$1506,"&lt;="&amp;EOMONTH($A10,0),Sales!$V$7:$V$1506,"&gt;0")</f>
        <v>0</v>
      </c>
      <c r="J10" s="45" t="str">
        <f t="shared" si="3"/>
        <v/>
      </c>
    </row>
    <row r="11" ht="14.25" customHeight="1">
      <c r="A11" s="95">
        <f t="shared" si="4"/>
        <v>46357</v>
      </c>
      <c r="B11" s="96">
        <f>SUMIFS(Sales!$L$7:$L$1506,Sales!$A$7:$A$1506,"&gt;="&amp;$A11,Sales!$A$7:$A$1506,"&lt;="&amp;EOMONTH($A11,0))</f>
        <v>0</v>
      </c>
      <c r="C11" s="96">
        <f>SUMIFS(Sales!$O$7:$O$1506,Sales!$A$7:$A$1506,"&gt;="&amp;$A11,Sales!$A$7:$A$1506,"&lt;="&amp;EOMONTH($A11,0))</f>
        <v>0</v>
      </c>
      <c r="D11" s="96">
        <f t="shared" si="1"/>
        <v>0</v>
      </c>
      <c r="E11" s="96">
        <f>SUMIFS(Sales!$R$7:$R$1506,Sales!$A$7:$A$1506,"&gt;="&amp;$A11,Sales!$A$7:$A$1506,"&lt;="&amp;EOMONTH($A11,0))</f>
        <v>0</v>
      </c>
      <c r="F11" s="96">
        <f>SUMIFS(Sales!$S$7:$S$1506,Sales!$A$7:$A$1506,"&gt;="&amp;$A11,Sales!$A$7:$A$1506,"&lt;="&amp;EOMONTH($A11,0))</f>
        <v>0</v>
      </c>
      <c r="G11" s="96">
        <f t="shared" si="2"/>
        <v>0</v>
      </c>
      <c r="H11" s="96">
        <f>COUNTIFS(Sales!$A$7:$A$1506,"&gt;="&amp;$A11,Sales!$A$7:$A$1506,"&lt;="&amp;EOMONTH($A11,0))</f>
        <v>0</v>
      </c>
      <c r="I11" s="96">
        <f>COUNTIFS(Sales!$A$7:$A$1506,"&gt;="&amp;$A11,Sales!$A$7:$A$1506,"&lt;="&amp;EOMONTH($A11,0),Sales!$V$7:$V$1506,"&gt;0")</f>
        <v>0</v>
      </c>
      <c r="J11" s="45" t="str">
        <f t="shared" si="3"/>
        <v/>
      </c>
    </row>
    <row r="12" ht="14.25" customHeight="1">
      <c r="A12" s="95">
        <f t="shared" si="4"/>
        <v>46388</v>
      </c>
      <c r="B12" s="96">
        <f>SUMIFS(Sales!$L$7:$L$1506,Sales!$A$7:$A$1506,"&gt;="&amp;$A12,Sales!$A$7:$A$1506,"&lt;="&amp;EOMONTH($A12,0))</f>
        <v>0</v>
      </c>
      <c r="C12" s="96">
        <f>SUMIFS(Sales!$O$7:$O$1506,Sales!$A$7:$A$1506,"&gt;="&amp;$A12,Sales!$A$7:$A$1506,"&lt;="&amp;EOMONTH($A12,0))</f>
        <v>0</v>
      </c>
      <c r="D12" s="96">
        <f t="shared" si="1"/>
        <v>0</v>
      </c>
      <c r="E12" s="96">
        <f>SUMIFS(Sales!$R$7:$R$1506,Sales!$A$7:$A$1506,"&gt;="&amp;$A12,Sales!$A$7:$A$1506,"&lt;="&amp;EOMONTH($A12,0))</f>
        <v>0</v>
      </c>
      <c r="F12" s="96">
        <f>SUMIFS(Sales!$S$7:$S$1506,Sales!$A$7:$A$1506,"&gt;="&amp;$A12,Sales!$A$7:$A$1506,"&lt;="&amp;EOMONTH($A12,0))</f>
        <v>0</v>
      </c>
      <c r="G12" s="96">
        <f t="shared" si="2"/>
        <v>0</v>
      </c>
      <c r="H12" s="96">
        <f>COUNTIFS(Sales!$A$7:$A$1506,"&gt;="&amp;$A12,Sales!$A$7:$A$1506,"&lt;="&amp;EOMONTH($A12,0))</f>
        <v>0</v>
      </c>
      <c r="I12" s="96">
        <f>COUNTIFS(Sales!$A$7:$A$1506,"&gt;="&amp;$A12,Sales!$A$7:$A$1506,"&lt;="&amp;EOMONTH($A12,0),Sales!$V$7:$V$1506,"&gt;0")</f>
        <v>0</v>
      </c>
      <c r="J12" s="45" t="str">
        <f t="shared" si="3"/>
        <v/>
      </c>
    </row>
    <row r="13" ht="14.25" customHeight="1">
      <c r="A13" s="95">
        <f t="shared" si="4"/>
        <v>46419</v>
      </c>
      <c r="B13" s="96">
        <f>SUMIFS(Sales!$L$7:$L$1506,Sales!$A$7:$A$1506,"&gt;="&amp;$A13,Sales!$A$7:$A$1506,"&lt;="&amp;EOMONTH($A13,0))</f>
        <v>0</v>
      </c>
      <c r="C13" s="96">
        <f>SUMIFS(Sales!$O$7:$O$1506,Sales!$A$7:$A$1506,"&gt;="&amp;$A13,Sales!$A$7:$A$1506,"&lt;="&amp;EOMONTH($A13,0))</f>
        <v>0</v>
      </c>
      <c r="D13" s="96">
        <f t="shared" si="1"/>
        <v>0</v>
      </c>
      <c r="E13" s="96">
        <f>SUMIFS(Sales!$R$7:$R$1506,Sales!$A$7:$A$1506,"&gt;="&amp;$A13,Sales!$A$7:$A$1506,"&lt;="&amp;EOMONTH($A13,0))</f>
        <v>0</v>
      </c>
      <c r="F13" s="96">
        <f>SUMIFS(Sales!$S$7:$S$1506,Sales!$A$7:$A$1506,"&gt;="&amp;$A13,Sales!$A$7:$A$1506,"&lt;="&amp;EOMONTH($A13,0))</f>
        <v>0</v>
      </c>
      <c r="G13" s="96">
        <f t="shared" si="2"/>
        <v>0</v>
      </c>
      <c r="H13" s="96">
        <f>COUNTIFS(Sales!$A$7:$A$1506,"&gt;="&amp;$A13,Sales!$A$7:$A$1506,"&lt;="&amp;EOMONTH($A13,0))</f>
        <v>0</v>
      </c>
      <c r="I13" s="96">
        <f>COUNTIFS(Sales!$A$7:$A$1506,"&gt;="&amp;$A13,Sales!$A$7:$A$1506,"&lt;="&amp;EOMONTH($A13,0),Sales!$V$7:$V$1506,"&gt;0")</f>
        <v>0</v>
      </c>
      <c r="J13" s="45" t="str">
        <f t="shared" si="3"/>
        <v/>
      </c>
    </row>
    <row r="14" ht="14.25" customHeight="1">
      <c r="A14" s="95">
        <f t="shared" si="4"/>
        <v>46447</v>
      </c>
      <c r="B14" s="96">
        <f>SUMIFS(Sales!$L$7:$L$1506,Sales!$A$7:$A$1506,"&gt;="&amp;$A14,Sales!$A$7:$A$1506,"&lt;="&amp;EOMONTH($A14,0))</f>
        <v>0</v>
      </c>
      <c r="C14" s="96">
        <f>SUMIFS(Sales!$O$7:$O$1506,Sales!$A$7:$A$1506,"&gt;="&amp;$A14,Sales!$A$7:$A$1506,"&lt;="&amp;EOMONTH($A14,0))</f>
        <v>0</v>
      </c>
      <c r="D14" s="96">
        <f t="shared" si="1"/>
        <v>0</v>
      </c>
      <c r="E14" s="96">
        <f>SUMIFS(Sales!$R$7:$R$1506,Sales!$A$7:$A$1506,"&gt;="&amp;$A14,Sales!$A$7:$A$1506,"&lt;="&amp;EOMONTH($A14,0))</f>
        <v>0</v>
      </c>
      <c r="F14" s="96">
        <f>SUMIFS(Sales!$S$7:$S$1506,Sales!$A$7:$A$1506,"&gt;="&amp;$A14,Sales!$A$7:$A$1506,"&lt;="&amp;EOMONTH($A14,0))</f>
        <v>0</v>
      </c>
      <c r="G14" s="96">
        <f t="shared" si="2"/>
        <v>0</v>
      </c>
      <c r="H14" s="96">
        <f>COUNTIFS(Sales!$A$7:$A$1506,"&gt;="&amp;$A14,Sales!$A$7:$A$1506,"&lt;="&amp;EOMONTH($A14,0))</f>
        <v>0</v>
      </c>
      <c r="I14" s="96">
        <f>COUNTIFS(Sales!$A$7:$A$1506,"&gt;="&amp;$A14,Sales!$A$7:$A$1506,"&lt;="&amp;EOMONTH($A14,0),Sales!$V$7:$V$1506,"&gt;0")</f>
        <v>0</v>
      </c>
      <c r="J14" s="45" t="str">
        <f t="shared" si="3"/>
        <v/>
      </c>
    </row>
    <row r="15" ht="14.25" customHeight="1">
      <c r="A15" s="95">
        <f t="shared" si="4"/>
        <v>46478</v>
      </c>
      <c r="B15" s="96">
        <f>SUMIFS(Sales!$L$7:$L$1506,Sales!$A$7:$A$1506,"&gt;="&amp;$A15,Sales!$A$7:$A$1506,"&lt;="&amp;EOMONTH($A15,0))</f>
        <v>0</v>
      </c>
      <c r="C15" s="96">
        <f>SUMIFS(Sales!$O$7:$O$1506,Sales!$A$7:$A$1506,"&gt;="&amp;$A15,Sales!$A$7:$A$1506,"&lt;="&amp;EOMONTH($A15,0))</f>
        <v>0</v>
      </c>
      <c r="D15" s="96">
        <f t="shared" si="1"/>
        <v>0</v>
      </c>
      <c r="E15" s="96">
        <f>SUMIFS(Sales!$R$7:$R$1506,Sales!$A$7:$A$1506,"&gt;="&amp;$A15,Sales!$A$7:$A$1506,"&lt;="&amp;EOMONTH($A15,0))</f>
        <v>0</v>
      </c>
      <c r="F15" s="96">
        <f>SUMIFS(Sales!$S$7:$S$1506,Sales!$A$7:$A$1506,"&gt;="&amp;$A15,Sales!$A$7:$A$1506,"&lt;="&amp;EOMONTH($A15,0))</f>
        <v>0</v>
      </c>
      <c r="G15" s="96">
        <f t="shared" si="2"/>
        <v>0</v>
      </c>
      <c r="H15" s="96">
        <f>COUNTIFS(Sales!$A$7:$A$1506,"&gt;="&amp;$A15,Sales!$A$7:$A$1506,"&lt;="&amp;EOMONTH($A15,0))</f>
        <v>0</v>
      </c>
      <c r="I15" s="96">
        <f>COUNTIFS(Sales!$A$7:$A$1506,"&gt;="&amp;$A15,Sales!$A$7:$A$1506,"&lt;="&amp;EOMONTH($A15,0),Sales!$V$7:$V$1506,"&gt;0")</f>
        <v>0</v>
      </c>
      <c r="J15" s="45" t="str">
        <f t="shared" si="3"/>
        <v/>
      </c>
    </row>
    <row r="16" ht="14.25" customHeight="1">
      <c r="A16" s="95">
        <f t="shared" si="4"/>
        <v>46508</v>
      </c>
      <c r="B16" s="96">
        <f>SUMIFS(Sales!$L$7:$L$1506,Sales!$A$7:$A$1506,"&gt;="&amp;$A16,Sales!$A$7:$A$1506,"&lt;="&amp;EOMONTH($A16,0))</f>
        <v>0</v>
      </c>
      <c r="C16" s="96">
        <f>SUMIFS(Sales!$O$7:$O$1506,Sales!$A$7:$A$1506,"&gt;="&amp;$A16,Sales!$A$7:$A$1506,"&lt;="&amp;EOMONTH($A16,0))</f>
        <v>0</v>
      </c>
      <c r="D16" s="96">
        <f t="shared" si="1"/>
        <v>0</v>
      </c>
      <c r="E16" s="96">
        <f>SUMIFS(Sales!$R$7:$R$1506,Sales!$A$7:$A$1506,"&gt;="&amp;$A16,Sales!$A$7:$A$1506,"&lt;="&amp;EOMONTH($A16,0))</f>
        <v>0</v>
      </c>
      <c r="F16" s="96">
        <f>SUMIFS(Sales!$S$7:$S$1506,Sales!$A$7:$A$1506,"&gt;="&amp;$A16,Sales!$A$7:$A$1506,"&lt;="&amp;EOMONTH($A16,0))</f>
        <v>0</v>
      </c>
      <c r="G16" s="96">
        <f t="shared" si="2"/>
        <v>0</v>
      </c>
      <c r="H16" s="96">
        <f>COUNTIFS(Sales!$A$7:$A$1506,"&gt;="&amp;$A16,Sales!$A$7:$A$1506,"&lt;="&amp;EOMONTH($A16,0))</f>
        <v>0</v>
      </c>
      <c r="I16" s="96">
        <f>COUNTIFS(Sales!$A$7:$A$1506,"&gt;="&amp;$A16,Sales!$A$7:$A$1506,"&lt;="&amp;EOMONTH($A16,0),Sales!$V$7:$V$1506,"&gt;0")</f>
        <v>0</v>
      </c>
      <c r="J16" s="45" t="str">
        <f t="shared" si="3"/>
        <v/>
      </c>
    </row>
    <row r="17" ht="14.25" customHeight="1">
      <c r="A17" s="95">
        <f t="shared" si="4"/>
        <v>46539</v>
      </c>
      <c r="B17" s="96">
        <f>SUMIFS(Sales!$L$7:$L$1506,Sales!$A$7:$A$1506,"&gt;="&amp;$A17,Sales!$A$7:$A$1506,"&lt;="&amp;EOMONTH($A17,0))</f>
        <v>0</v>
      </c>
      <c r="C17" s="96">
        <f>SUMIFS(Sales!$O$7:$O$1506,Sales!$A$7:$A$1506,"&gt;="&amp;$A17,Sales!$A$7:$A$1506,"&lt;="&amp;EOMONTH($A17,0))</f>
        <v>0</v>
      </c>
      <c r="D17" s="96">
        <f t="shared" si="1"/>
        <v>0</v>
      </c>
      <c r="E17" s="96">
        <f>SUMIFS(Sales!$R$7:$R$1506,Sales!$A$7:$A$1506,"&gt;="&amp;$A17,Sales!$A$7:$A$1506,"&lt;="&amp;EOMONTH($A17,0))</f>
        <v>0</v>
      </c>
      <c r="F17" s="96">
        <f>SUMIFS(Sales!$S$7:$S$1506,Sales!$A$7:$A$1506,"&gt;="&amp;$A17,Sales!$A$7:$A$1506,"&lt;="&amp;EOMONTH($A17,0))</f>
        <v>0</v>
      </c>
      <c r="G17" s="96">
        <f t="shared" si="2"/>
        <v>0</v>
      </c>
      <c r="H17" s="96">
        <f>COUNTIFS(Sales!$A$7:$A$1506,"&gt;="&amp;$A17,Sales!$A$7:$A$1506,"&lt;="&amp;EOMONTH($A17,0))</f>
        <v>0</v>
      </c>
      <c r="I17" s="96">
        <f>COUNTIFS(Sales!$A$7:$A$1506,"&gt;="&amp;$A17,Sales!$A$7:$A$1506,"&lt;="&amp;EOMONTH($A17,0),Sales!$V$7:$V$1506,"&gt;0")</f>
        <v>0</v>
      </c>
      <c r="J17" s="45" t="str">
        <f t="shared" si="3"/>
        <v/>
      </c>
    </row>
    <row r="18" ht="14.25" customHeight="1">
      <c r="A18" s="95">
        <f t="shared" si="4"/>
        <v>46569</v>
      </c>
      <c r="B18" s="96">
        <f>SUMIFS(Sales!$L$7:$L$1506,Sales!$A$7:$A$1506,"&gt;="&amp;$A18,Sales!$A$7:$A$1506,"&lt;="&amp;EOMONTH($A18,0))</f>
        <v>0</v>
      </c>
      <c r="C18" s="96">
        <f>SUMIFS(Sales!$O$7:$O$1506,Sales!$A$7:$A$1506,"&gt;="&amp;$A18,Sales!$A$7:$A$1506,"&lt;="&amp;EOMONTH($A18,0))</f>
        <v>0</v>
      </c>
      <c r="D18" s="96">
        <f t="shared" si="1"/>
        <v>0</v>
      </c>
      <c r="E18" s="96">
        <f>SUMIFS(Sales!$R$7:$R$1506,Sales!$A$7:$A$1506,"&gt;="&amp;$A18,Sales!$A$7:$A$1506,"&lt;="&amp;EOMONTH($A18,0))</f>
        <v>0</v>
      </c>
      <c r="F18" s="96">
        <f>SUMIFS(Sales!$S$7:$S$1506,Sales!$A$7:$A$1506,"&gt;="&amp;$A18,Sales!$A$7:$A$1506,"&lt;="&amp;EOMONTH($A18,0))</f>
        <v>0</v>
      </c>
      <c r="G18" s="96">
        <f t="shared" si="2"/>
        <v>0</v>
      </c>
      <c r="H18" s="96">
        <f>COUNTIFS(Sales!$A$7:$A$1506,"&gt;="&amp;$A18,Sales!$A$7:$A$1506,"&lt;="&amp;EOMONTH($A18,0))</f>
        <v>0</v>
      </c>
      <c r="I18" s="96">
        <f>COUNTIFS(Sales!$A$7:$A$1506,"&gt;="&amp;$A18,Sales!$A$7:$A$1506,"&lt;="&amp;EOMONTH($A18,0),Sales!$V$7:$V$1506,"&gt;0")</f>
        <v>0</v>
      </c>
      <c r="J18" s="45" t="str">
        <f t="shared" si="3"/>
        <v/>
      </c>
    </row>
    <row r="19" ht="14.25" customHeight="1">
      <c r="A19" s="95">
        <f t="shared" si="4"/>
        <v>46600</v>
      </c>
      <c r="B19" s="96">
        <f>SUMIFS(Sales!$L$7:$L$1506,Sales!$A$7:$A$1506,"&gt;="&amp;$A19,Sales!$A$7:$A$1506,"&lt;="&amp;EOMONTH($A19,0))</f>
        <v>0</v>
      </c>
      <c r="C19" s="96">
        <f>SUMIFS(Sales!$O$7:$O$1506,Sales!$A$7:$A$1506,"&gt;="&amp;$A19,Sales!$A$7:$A$1506,"&lt;="&amp;EOMONTH($A19,0))</f>
        <v>0</v>
      </c>
      <c r="D19" s="96">
        <f t="shared" si="1"/>
        <v>0</v>
      </c>
      <c r="E19" s="96">
        <f>SUMIFS(Sales!$R$7:$R$1506,Sales!$A$7:$A$1506,"&gt;="&amp;$A19,Sales!$A$7:$A$1506,"&lt;="&amp;EOMONTH($A19,0))</f>
        <v>0</v>
      </c>
      <c r="F19" s="96">
        <f>SUMIFS(Sales!$S$7:$S$1506,Sales!$A$7:$A$1506,"&gt;="&amp;$A19,Sales!$A$7:$A$1506,"&lt;="&amp;EOMONTH($A19,0))</f>
        <v>0</v>
      </c>
      <c r="G19" s="96">
        <f t="shared" si="2"/>
        <v>0</v>
      </c>
      <c r="H19" s="96">
        <f>COUNTIFS(Sales!$A$7:$A$1506,"&gt;="&amp;$A19,Sales!$A$7:$A$1506,"&lt;="&amp;EOMONTH($A19,0))</f>
        <v>0</v>
      </c>
      <c r="I19" s="96">
        <f>COUNTIFS(Sales!$A$7:$A$1506,"&gt;="&amp;$A19,Sales!$A$7:$A$1506,"&lt;="&amp;EOMONTH($A19,0),Sales!$V$7:$V$1506,"&gt;0")</f>
        <v>0</v>
      </c>
      <c r="J19" s="45" t="str">
        <f t="shared" si="3"/>
        <v/>
      </c>
    </row>
    <row r="20" ht="14.25" customHeight="1">
      <c r="A20" s="95">
        <f t="shared" si="4"/>
        <v>46631</v>
      </c>
      <c r="B20" s="96">
        <f>SUMIFS(Sales!$L$7:$L$1506,Sales!$A$7:$A$1506,"&gt;="&amp;$A20,Sales!$A$7:$A$1506,"&lt;="&amp;EOMONTH($A20,0))</f>
        <v>0</v>
      </c>
      <c r="C20" s="96">
        <f>SUMIFS(Sales!$O$7:$O$1506,Sales!$A$7:$A$1506,"&gt;="&amp;$A20,Sales!$A$7:$A$1506,"&lt;="&amp;EOMONTH($A20,0))</f>
        <v>0</v>
      </c>
      <c r="D20" s="96">
        <f t="shared" si="1"/>
        <v>0</v>
      </c>
      <c r="E20" s="96">
        <f>SUMIFS(Sales!$R$7:$R$1506,Sales!$A$7:$A$1506,"&gt;="&amp;$A20,Sales!$A$7:$A$1506,"&lt;="&amp;EOMONTH($A20,0))</f>
        <v>0</v>
      </c>
      <c r="F20" s="96">
        <f>SUMIFS(Sales!$S$7:$S$1506,Sales!$A$7:$A$1506,"&gt;="&amp;$A20,Sales!$A$7:$A$1506,"&lt;="&amp;EOMONTH($A20,0))</f>
        <v>0</v>
      </c>
      <c r="G20" s="96">
        <f t="shared" si="2"/>
        <v>0</v>
      </c>
      <c r="H20" s="96">
        <f>COUNTIFS(Sales!$A$7:$A$1506,"&gt;="&amp;$A20,Sales!$A$7:$A$1506,"&lt;="&amp;EOMONTH($A20,0))</f>
        <v>0</v>
      </c>
      <c r="I20" s="96">
        <f>COUNTIFS(Sales!$A$7:$A$1506,"&gt;="&amp;$A20,Sales!$A$7:$A$1506,"&lt;="&amp;EOMONTH($A20,0),Sales!$V$7:$V$1506,"&gt;0")</f>
        <v>0</v>
      </c>
      <c r="J20" s="45" t="str">
        <f t="shared" si="3"/>
        <v/>
      </c>
    </row>
    <row r="21" ht="14.25" customHeight="1">
      <c r="A21" s="95">
        <f t="shared" si="4"/>
        <v>46661</v>
      </c>
      <c r="B21" s="96">
        <f>SUMIFS(Sales!$L$7:$L$1506,Sales!$A$7:$A$1506,"&gt;="&amp;$A21,Sales!$A$7:$A$1506,"&lt;="&amp;EOMONTH($A21,0))</f>
        <v>0</v>
      </c>
      <c r="C21" s="96">
        <f>SUMIFS(Sales!$O$7:$O$1506,Sales!$A$7:$A$1506,"&gt;="&amp;$A21,Sales!$A$7:$A$1506,"&lt;="&amp;EOMONTH($A21,0))</f>
        <v>0</v>
      </c>
      <c r="D21" s="96">
        <f t="shared" si="1"/>
        <v>0</v>
      </c>
      <c r="E21" s="96">
        <f>SUMIFS(Sales!$R$7:$R$1506,Sales!$A$7:$A$1506,"&gt;="&amp;$A21,Sales!$A$7:$A$1506,"&lt;="&amp;EOMONTH($A21,0))</f>
        <v>0</v>
      </c>
      <c r="F21" s="96">
        <f>SUMIFS(Sales!$S$7:$S$1506,Sales!$A$7:$A$1506,"&gt;="&amp;$A21,Sales!$A$7:$A$1506,"&lt;="&amp;EOMONTH($A21,0))</f>
        <v>0</v>
      </c>
      <c r="G21" s="96">
        <f t="shared" si="2"/>
        <v>0</v>
      </c>
      <c r="H21" s="96">
        <f>COUNTIFS(Sales!$A$7:$A$1506,"&gt;="&amp;$A21,Sales!$A$7:$A$1506,"&lt;="&amp;EOMONTH($A21,0))</f>
        <v>0</v>
      </c>
      <c r="I21" s="96">
        <f>COUNTIFS(Sales!$A$7:$A$1506,"&gt;="&amp;$A21,Sales!$A$7:$A$1506,"&lt;="&amp;EOMONTH($A21,0),Sales!$V$7:$V$1506,"&gt;0")</f>
        <v>0</v>
      </c>
      <c r="J21" s="45" t="str">
        <f t="shared" si="3"/>
        <v/>
      </c>
    </row>
    <row r="22" ht="14.25" customHeight="1">
      <c r="A22" s="95">
        <f t="shared" si="4"/>
        <v>46692</v>
      </c>
      <c r="B22" s="96">
        <f>SUMIFS(Sales!$L$7:$L$1506,Sales!$A$7:$A$1506,"&gt;="&amp;$A22,Sales!$A$7:$A$1506,"&lt;="&amp;EOMONTH($A22,0))</f>
        <v>0</v>
      </c>
      <c r="C22" s="96">
        <f>SUMIFS(Sales!$O$7:$O$1506,Sales!$A$7:$A$1506,"&gt;="&amp;$A22,Sales!$A$7:$A$1506,"&lt;="&amp;EOMONTH($A22,0))</f>
        <v>0</v>
      </c>
      <c r="D22" s="96">
        <f t="shared" si="1"/>
        <v>0</v>
      </c>
      <c r="E22" s="96">
        <f>SUMIFS(Sales!$R$7:$R$1506,Sales!$A$7:$A$1506,"&gt;="&amp;$A22,Sales!$A$7:$A$1506,"&lt;="&amp;EOMONTH($A22,0))</f>
        <v>0</v>
      </c>
      <c r="F22" s="96">
        <f>SUMIFS(Sales!$S$7:$S$1506,Sales!$A$7:$A$1506,"&gt;="&amp;$A22,Sales!$A$7:$A$1506,"&lt;="&amp;EOMONTH($A22,0))</f>
        <v>0</v>
      </c>
      <c r="G22" s="96">
        <f t="shared" si="2"/>
        <v>0</v>
      </c>
      <c r="H22" s="96">
        <f>COUNTIFS(Sales!$A$7:$A$1506,"&gt;="&amp;$A22,Sales!$A$7:$A$1506,"&lt;="&amp;EOMONTH($A22,0))</f>
        <v>0</v>
      </c>
      <c r="I22" s="96">
        <f>COUNTIFS(Sales!$A$7:$A$1506,"&gt;="&amp;$A22,Sales!$A$7:$A$1506,"&lt;="&amp;EOMONTH($A22,0),Sales!$V$7:$V$1506,"&gt;0")</f>
        <v>0</v>
      </c>
      <c r="J22" s="45" t="str">
        <f t="shared" si="3"/>
        <v/>
      </c>
    </row>
    <row r="23" ht="14.25" customHeight="1">
      <c r="A23" s="95">
        <f t="shared" si="4"/>
        <v>46722</v>
      </c>
      <c r="B23" s="96">
        <f>SUMIFS(Sales!$L$7:$L$1506,Sales!$A$7:$A$1506,"&gt;="&amp;$A23,Sales!$A$7:$A$1506,"&lt;="&amp;EOMONTH($A23,0))</f>
        <v>0</v>
      </c>
      <c r="C23" s="96">
        <f>SUMIFS(Sales!$O$7:$O$1506,Sales!$A$7:$A$1506,"&gt;="&amp;$A23,Sales!$A$7:$A$1506,"&lt;="&amp;EOMONTH($A23,0))</f>
        <v>0</v>
      </c>
      <c r="D23" s="96">
        <f t="shared" si="1"/>
        <v>0</v>
      </c>
      <c r="E23" s="96">
        <f>SUMIFS(Sales!$R$7:$R$1506,Sales!$A$7:$A$1506,"&gt;="&amp;$A23,Sales!$A$7:$A$1506,"&lt;="&amp;EOMONTH($A23,0))</f>
        <v>0</v>
      </c>
      <c r="F23" s="96">
        <f>SUMIFS(Sales!$S$7:$S$1506,Sales!$A$7:$A$1506,"&gt;="&amp;$A23,Sales!$A$7:$A$1506,"&lt;="&amp;EOMONTH($A23,0))</f>
        <v>0</v>
      </c>
      <c r="G23" s="96">
        <f t="shared" si="2"/>
        <v>0</v>
      </c>
      <c r="H23" s="96">
        <f>COUNTIFS(Sales!$A$7:$A$1506,"&gt;="&amp;$A23,Sales!$A$7:$A$1506,"&lt;="&amp;EOMONTH($A23,0))</f>
        <v>0</v>
      </c>
      <c r="I23" s="96">
        <f>COUNTIFS(Sales!$A$7:$A$1506,"&gt;="&amp;$A23,Sales!$A$7:$A$1506,"&lt;="&amp;EOMONTH($A23,0),Sales!$V$7:$V$1506,"&gt;0")</f>
        <v>0</v>
      </c>
      <c r="J23" s="45" t="str">
        <f t="shared" si="3"/>
        <v/>
      </c>
    </row>
    <row r="24" ht="14.25" customHeight="1">
      <c r="A24" s="95">
        <f t="shared" si="4"/>
        <v>46753</v>
      </c>
      <c r="B24" s="96">
        <f>SUMIFS(Sales!$L$7:$L$1506,Sales!$A$7:$A$1506,"&gt;="&amp;$A24,Sales!$A$7:$A$1506,"&lt;="&amp;EOMONTH($A24,0))</f>
        <v>0</v>
      </c>
      <c r="C24" s="96">
        <f>SUMIFS(Sales!$O$7:$O$1506,Sales!$A$7:$A$1506,"&gt;="&amp;$A24,Sales!$A$7:$A$1506,"&lt;="&amp;EOMONTH($A24,0))</f>
        <v>0</v>
      </c>
      <c r="D24" s="96">
        <f t="shared" si="1"/>
        <v>0</v>
      </c>
      <c r="E24" s="96">
        <f>SUMIFS(Sales!$R$7:$R$1506,Sales!$A$7:$A$1506,"&gt;="&amp;$A24,Sales!$A$7:$A$1506,"&lt;="&amp;EOMONTH($A24,0))</f>
        <v>0</v>
      </c>
      <c r="F24" s="96">
        <f>SUMIFS(Sales!$S$7:$S$1506,Sales!$A$7:$A$1506,"&gt;="&amp;$A24,Sales!$A$7:$A$1506,"&lt;="&amp;EOMONTH($A24,0))</f>
        <v>0</v>
      </c>
      <c r="G24" s="96">
        <f t="shared" si="2"/>
        <v>0</v>
      </c>
      <c r="H24" s="96">
        <f>COUNTIFS(Sales!$A$7:$A$1506,"&gt;="&amp;$A24,Sales!$A$7:$A$1506,"&lt;="&amp;EOMONTH($A24,0))</f>
        <v>0</v>
      </c>
      <c r="I24" s="96">
        <f>COUNTIFS(Sales!$A$7:$A$1506,"&gt;="&amp;$A24,Sales!$A$7:$A$1506,"&lt;="&amp;EOMONTH($A24,0),Sales!$V$7:$V$1506,"&gt;0")</f>
        <v>0</v>
      </c>
      <c r="J24" s="45" t="str">
        <f t="shared" si="3"/>
        <v/>
      </c>
    </row>
    <row r="25" ht="14.25" customHeight="1">
      <c r="A25" s="95">
        <f t="shared" si="4"/>
        <v>46784</v>
      </c>
      <c r="B25" s="96">
        <f>SUMIFS(Sales!$L$7:$L$1506,Sales!$A$7:$A$1506,"&gt;="&amp;$A25,Sales!$A$7:$A$1506,"&lt;="&amp;EOMONTH($A25,0))</f>
        <v>0</v>
      </c>
      <c r="C25" s="96">
        <f>SUMIFS(Sales!$O$7:$O$1506,Sales!$A$7:$A$1506,"&gt;="&amp;$A25,Sales!$A$7:$A$1506,"&lt;="&amp;EOMONTH($A25,0))</f>
        <v>0</v>
      </c>
      <c r="D25" s="96">
        <f t="shared" si="1"/>
        <v>0</v>
      </c>
      <c r="E25" s="96">
        <f>SUMIFS(Sales!$R$7:$R$1506,Sales!$A$7:$A$1506,"&gt;="&amp;$A25,Sales!$A$7:$A$1506,"&lt;="&amp;EOMONTH($A25,0))</f>
        <v>0</v>
      </c>
      <c r="F25" s="96">
        <f>SUMIFS(Sales!$S$7:$S$1506,Sales!$A$7:$A$1506,"&gt;="&amp;$A25,Sales!$A$7:$A$1506,"&lt;="&amp;EOMONTH($A25,0))</f>
        <v>0</v>
      </c>
      <c r="G25" s="96">
        <f t="shared" si="2"/>
        <v>0</v>
      </c>
      <c r="H25" s="96">
        <f>COUNTIFS(Sales!$A$7:$A$1506,"&gt;="&amp;$A25,Sales!$A$7:$A$1506,"&lt;="&amp;EOMONTH($A25,0))</f>
        <v>0</v>
      </c>
      <c r="I25" s="96">
        <f>COUNTIFS(Sales!$A$7:$A$1506,"&gt;="&amp;$A25,Sales!$A$7:$A$1506,"&lt;="&amp;EOMONTH($A25,0),Sales!$V$7:$V$1506,"&gt;0")</f>
        <v>0</v>
      </c>
      <c r="J25" s="45" t="str">
        <f t="shared" si="3"/>
        <v/>
      </c>
    </row>
    <row r="26" ht="14.25" customHeight="1">
      <c r="A26" s="95">
        <f t="shared" si="4"/>
        <v>46813</v>
      </c>
      <c r="B26" s="96">
        <f>SUMIFS(Sales!$L$7:$L$1506,Sales!$A$7:$A$1506,"&gt;="&amp;$A26,Sales!$A$7:$A$1506,"&lt;="&amp;EOMONTH($A26,0))</f>
        <v>0</v>
      </c>
      <c r="C26" s="96">
        <f>SUMIFS(Sales!$O$7:$O$1506,Sales!$A$7:$A$1506,"&gt;="&amp;$A26,Sales!$A$7:$A$1506,"&lt;="&amp;EOMONTH($A26,0))</f>
        <v>0</v>
      </c>
      <c r="D26" s="96">
        <f t="shared" si="1"/>
        <v>0</v>
      </c>
      <c r="E26" s="96">
        <f>SUMIFS(Sales!$R$7:$R$1506,Sales!$A$7:$A$1506,"&gt;="&amp;$A26,Sales!$A$7:$A$1506,"&lt;="&amp;EOMONTH($A26,0))</f>
        <v>0</v>
      </c>
      <c r="F26" s="96">
        <f>SUMIFS(Sales!$S$7:$S$1506,Sales!$A$7:$A$1506,"&gt;="&amp;$A26,Sales!$A$7:$A$1506,"&lt;="&amp;EOMONTH($A26,0))</f>
        <v>0</v>
      </c>
      <c r="G26" s="96">
        <f t="shared" si="2"/>
        <v>0</v>
      </c>
      <c r="H26" s="96">
        <f>COUNTIFS(Sales!$A$7:$A$1506,"&gt;="&amp;$A26,Sales!$A$7:$A$1506,"&lt;="&amp;EOMONTH($A26,0))</f>
        <v>0</v>
      </c>
      <c r="I26" s="96">
        <f>COUNTIFS(Sales!$A$7:$A$1506,"&gt;="&amp;$A26,Sales!$A$7:$A$1506,"&lt;="&amp;EOMONTH($A26,0),Sales!$V$7:$V$1506,"&gt;0")</f>
        <v>0</v>
      </c>
      <c r="J26" s="45" t="str">
        <f t="shared" si="3"/>
        <v/>
      </c>
    </row>
    <row r="27" ht="14.25" customHeight="1">
      <c r="A27" s="95">
        <f t="shared" si="4"/>
        <v>46844</v>
      </c>
      <c r="B27" s="96">
        <f>SUMIFS(Sales!$L$7:$L$1506,Sales!$A$7:$A$1506,"&gt;="&amp;$A27,Sales!$A$7:$A$1506,"&lt;="&amp;EOMONTH($A27,0))</f>
        <v>0</v>
      </c>
      <c r="C27" s="96">
        <f>SUMIFS(Sales!$O$7:$O$1506,Sales!$A$7:$A$1506,"&gt;="&amp;$A27,Sales!$A$7:$A$1506,"&lt;="&amp;EOMONTH($A27,0))</f>
        <v>0</v>
      </c>
      <c r="D27" s="96">
        <f t="shared" si="1"/>
        <v>0</v>
      </c>
      <c r="E27" s="96">
        <f>SUMIFS(Sales!$R$7:$R$1506,Sales!$A$7:$A$1506,"&gt;="&amp;$A27,Sales!$A$7:$A$1506,"&lt;="&amp;EOMONTH($A27,0))</f>
        <v>0</v>
      </c>
      <c r="F27" s="96">
        <f>SUMIFS(Sales!$S$7:$S$1506,Sales!$A$7:$A$1506,"&gt;="&amp;$A27,Sales!$A$7:$A$1506,"&lt;="&amp;EOMONTH($A27,0))</f>
        <v>0</v>
      </c>
      <c r="G27" s="96">
        <f t="shared" si="2"/>
        <v>0</v>
      </c>
      <c r="H27" s="96">
        <f>COUNTIFS(Sales!$A$7:$A$1506,"&gt;="&amp;$A27,Sales!$A$7:$A$1506,"&lt;="&amp;EOMONTH($A27,0))</f>
        <v>0</v>
      </c>
      <c r="I27" s="96">
        <f>COUNTIFS(Sales!$A$7:$A$1506,"&gt;="&amp;$A27,Sales!$A$7:$A$1506,"&lt;="&amp;EOMONTH($A27,0),Sales!$V$7:$V$1506,"&gt;0")</f>
        <v>0</v>
      </c>
      <c r="J27" s="45" t="str">
        <f t="shared" si="3"/>
        <v/>
      </c>
    </row>
    <row r="28" ht="14.25" customHeight="1">
      <c r="A28" s="95">
        <f t="shared" si="4"/>
        <v>46874</v>
      </c>
      <c r="B28" s="96">
        <f>SUMIFS(Sales!$L$7:$L$1506,Sales!$A$7:$A$1506,"&gt;="&amp;$A28,Sales!$A$7:$A$1506,"&lt;="&amp;EOMONTH($A28,0))</f>
        <v>0</v>
      </c>
      <c r="C28" s="96">
        <f>SUMIFS(Sales!$O$7:$O$1506,Sales!$A$7:$A$1506,"&gt;="&amp;$A28,Sales!$A$7:$A$1506,"&lt;="&amp;EOMONTH($A28,0))</f>
        <v>0</v>
      </c>
      <c r="D28" s="96">
        <f t="shared" si="1"/>
        <v>0</v>
      </c>
      <c r="E28" s="96">
        <f>SUMIFS(Sales!$R$7:$R$1506,Sales!$A$7:$A$1506,"&gt;="&amp;$A28,Sales!$A$7:$A$1506,"&lt;="&amp;EOMONTH($A28,0))</f>
        <v>0</v>
      </c>
      <c r="F28" s="96">
        <f>SUMIFS(Sales!$S$7:$S$1506,Sales!$A$7:$A$1506,"&gt;="&amp;$A28,Sales!$A$7:$A$1506,"&lt;="&amp;EOMONTH($A28,0))</f>
        <v>0</v>
      </c>
      <c r="G28" s="96">
        <f t="shared" si="2"/>
        <v>0</v>
      </c>
      <c r="H28" s="96">
        <f>COUNTIFS(Sales!$A$7:$A$1506,"&gt;="&amp;$A28,Sales!$A$7:$A$1506,"&lt;="&amp;EOMONTH($A28,0))</f>
        <v>0</v>
      </c>
      <c r="I28" s="96">
        <f>COUNTIFS(Sales!$A$7:$A$1506,"&gt;="&amp;$A28,Sales!$A$7:$A$1506,"&lt;="&amp;EOMONTH($A28,0),Sales!$V$7:$V$1506,"&gt;0")</f>
        <v>0</v>
      </c>
      <c r="J28" s="45" t="str">
        <f t="shared" si="3"/>
        <v/>
      </c>
    </row>
    <row r="29" ht="14.25" customHeight="1">
      <c r="A29" s="95">
        <f t="shared" si="4"/>
        <v>46905</v>
      </c>
      <c r="B29" s="96">
        <f>SUMIFS(Sales!$L$7:$L$1506,Sales!$A$7:$A$1506,"&gt;="&amp;$A29,Sales!$A$7:$A$1506,"&lt;="&amp;EOMONTH($A29,0))</f>
        <v>0</v>
      </c>
      <c r="C29" s="96">
        <f>SUMIFS(Sales!$O$7:$O$1506,Sales!$A$7:$A$1506,"&gt;="&amp;$A29,Sales!$A$7:$A$1506,"&lt;="&amp;EOMONTH($A29,0))</f>
        <v>0</v>
      </c>
      <c r="D29" s="96">
        <f t="shared" si="1"/>
        <v>0</v>
      </c>
      <c r="E29" s="96">
        <f>SUMIFS(Sales!$R$7:$R$1506,Sales!$A$7:$A$1506,"&gt;="&amp;$A29,Sales!$A$7:$A$1506,"&lt;="&amp;EOMONTH($A29,0))</f>
        <v>0</v>
      </c>
      <c r="F29" s="96">
        <f>SUMIFS(Sales!$S$7:$S$1506,Sales!$A$7:$A$1506,"&gt;="&amp;$A29,Sales!$A$7:$A$1506,"&lt;="&amp;EOMONTH($A29,0))</f>
        <v>0</v>
      </c>
      <c r="G29" s="96">
        <f t="shared" si="2"/>
        <v>0</v>
      </c>
      <c r="H29" s="96">
        <f>COUNTIFS(Sales!$A$7:$A$1506,"&gt;="&amp;$A29,Sales!$A$7:$A$1506,"&lt;="&amp;EOMONTH($A29,0))</f>
        <v>0</v>
      </c>
      <c r="I29" s="96">
        <f>COUNTIFS(Sales!$A$7:$A$1506,"&gt;="&amp;$A29,Sales!$A$7:$A$1506,"&lt;="&amp;EOMONTH($A29,0),Sales!$V$7:$V$1506,"&gt;0")</f>
        <v>0</v>
      </c>
      <c r="J29" s="45" t="str">
        <f t="shared" si="3"/>
        <v/>
      </c>
    </row>
    <row r="30" ht="14.25" customHeight="1">
      <c r="A30" s="95">
        <f t="shared" si="4"/>
        <v>46935</v>
      </c>
      <c r="B30" s="96">
        <f>SUMIFS(Sales!$L$7:$L$1506,Sales!$A$7:$A$1506,"&gt;="&amp;$A30,Sales!$A$7:$A$1506,"&lt;="&amp;EOMONTH($A30,0))</f>
        <v>0</v>
      </c>
      <c r="C30" s="96">
        <f>SUMIFS(Sales!$O$7:$O$1506,Sales!$A$7:$A$1506,"&gt;="&amp;$A30,Sales!$A$7:$A$1506,"&lt;="&amp;EOMONTH($A30,0))</f>
        <v>0</v>
      </c>
      <c r="D30" s="96">
        <f t="shared" si="1"/>
        <v>0</v>
      </c>
      <c r="E30" s="96">
        <f>SUMIFS(Sales!$R$7:$R$1506,Sales!$A$7:$A$1506,"&gt;="&amp;$A30,Sales!$A$7:$A$1506,"&lt;="&amp;EOMONTH($A30,0))</f>
        <v>0</v>
      </c>
      <c r="F30" s="96">
        <f>SUMIFS(Sales!$S$7:$S$1506,Sales!$A$7:$A$1506,"&gt;="&amp;$A30,Sales!$A$7:$A$1506,"&lt;="&amp;EOMONTH($A30,0))</f>
        <v>0</v>
      </c>
      <c r="G30" s="96">
        <f t="shared" si="2"/>
        <v>0</v>
      </c>
      <c r="H30" s="96">
        <f>COUNTIFS(Sales!$A$7:$A$1506,"&gt;="&amp;$A30,Sales!$A$7:$A$1506,"&lt;="&amp;EOMONTH($A30,0))</f>
        <v>0</v>
      </c>
      <c r="I30" s="96">
        <f>COUNTIFS(Sales!$A$7:$A$1506,"&gt;="&amp;$A30,Sales!$A$7:$A$1506,"&lt;="&amp;EOMONTH($A30,0),Sales!$V$7:$V$1506,"&gt;0")</f>
        <v>0</v>
      </c>
      <c r="J30" s="45" t="str">
        <f t="shared" si="3"/>
        <v/>
      </c>
    </row>
    <row r="31" ht="14.25" customHeight="1">
      <c r="A31" s="95">
        <f t="shared" si="4"/>
        <v>46966</v>
      </c>
      <c r="B31" s="96">
        <f>SUMIFS(Sales!$L$7:$L$1506,Sales!$A$7:$A$1506,"&gt;="&amp;$A31,Sales!$A$7:$A$1506,"&lt;="&amp;EOMONTH($A31,0))</f>
        <v>0</v>
      </c>
      <c r="C31" s="96">
        <f>SUMIFS(Sales!$O$7:$O$1506,Sales!$A$7:$A$1506,"&gt;="&amp;$A31,Sales!$A$7:$A$1506,"&lt;="&amp;EOMONTH($A31,0))</f>
        <v>0</v>
      </c>
      <c r="D31" s="96">
        <f t="shared" si="1"/>
        <v>0</v>
      </c>
      <c r="E31" s="96">
        <f>SUMIFS(Sales!$R$7:$R$1506,Sales!$A$7:$A$1506,"&gt;="&amp;$A31,Sales!$A$7:$A$1506,"&lt;="&amp;EOMONTH($A31,0))</f>
        <v>0</v>
      </c>
      <c r="F31" s="96">
        <f>SUMIFS(Sales!$S$7:$S$1506,Sales!$A$7:$A$1506,"&gt;="&amp;$A31,Sales!$A$7:$A$1506,"&lt;="&amp;EOMONTH($A31,0))</f>
        <v>0</v>
      </c>
      <c r="G31" s="96">
        <f t="shared" si="2"/>
        <v>0</v>
      </c>
      <c r="H31" s="96">
        <f>COUNTIFS(Sales!$A$7:$A$1506,"&gt;="&amp;$A31,Sales!$A$7:$A$1506,"&lt;="&amp;EOMONTH($A31,0))</f>
        <v>0</v>
      </c>
      <c r="I31" s="96">
        <f>COUNTIFS(Sales!$A$7:$A$1506,"&gt;="&amp;$A31,Sales!$A$7:$A$1506,"&lt;="&amp;EOMONTH($A31,0),Sales!$V$7:$V$1506,"&gt;0")</f>
        <v>0</v>
      </c>
      <c r="J31" s="45" t="str">
        <f t="shared" si="3"/>
        <v/>
      </c>
    </row>
    <row r="32" ht="14.25" customHeight="1">
      <c r="A32" s="95">
        <f t="shared" si="4"/>
        <v>46997</v>
      </c>
      <c r="B32" s="96">
        <f>SUMIFS(Sales!$L$7:$L$1506,Sales!$A$7:$A$1506,"&gt;="&amp;$A32,Sales!$A$7:$A$1506,"&lt;="&amp;EOMONTH($A32,0))</f>
        <v>0</v>
      </c>
      <c r="C32" s="96">
        <f>SUMIFS(Sales!$O$7:$O$1506,Sales!$A$7:$A$1506,"&gt;="&amp;$A32,Sales!$A$7:$A$1506,"&lt;="&amp;EOMONTH($A32,0))</f>
        <v>0</v>
      </c>
      <c r="D32" s="96">
        <f t="shared" si="1"/>
        <v>0</v>
      </c>
      <c r="E32" s="96">
        <f>SUMIFS(Sales!$R$7:$R$1506,Sales!$A$7:$A$1506,"&gt;="&amp;$A32,Sales!$A$7:$A$1506,"&lt;="&amp;EOMONTH($A32,0))</f>
        <v>0</v>
      </c>
      <c r="F32" s="96">
        <f>SUMIFS(Sales!$S$7:$S$1506,Sales!$A$7:$A$1506,"&gt;="&amp;$A32,Sales!$A$7:$A$1506,"&lt;="&amp;EOMONTH($A32,0))</f>
        <v>0</v>
      </c>
      <c r="G32" s="96">
        <f t="shared" si="2"/>
        <v>0</v>
      </c>
      <c r="H32" s="96">
        <f>COUNTIFS(Sales!$A$7:$A$1506,"&gt;="&amp;$A32,Sales!$A$7:$A$1506,"&lt;="&amp;EOMONTH($A32,0))</f>
        <v>0</v>
      </c>
      <c r="I32" s="96">
        <f>COUNTIFS(Sales!$A$7:$A$1506,"&gt;="&amp;$A32,Sales!$A$7:$A$1506,"&lt;="&amp;EOMONTH($A32,0),Sales!$V$7:$V$1506,"&gt;0")</f>
        <v>0</v>
      </c>
      <c r="J32" s="45" t="str">
        <f t="shared" si="3"/>
        <v/>
      </c>
    </row>
    <row r="33" ht="14.25" customHeight="1">
      <c r="A33" s="95">
        <f t="shared" si="4"/>
        <v>47027</v>
      </c>
      <c r="B33" s="96">
        <f>SUMIFS(Sales!$L$7:$L$1506,Sales!$A$7:$A$1506,"&gt;="&amp;$A33,Sales!$A$7:$A$1506,"&lt;="&amp;EOMONTH($A33,0))</f>
        <v>0</v>
      </c>
      <c r="C33" s="96">
        <f>SUMIFS(Sales!$O$7:$O$1506,Sales!$A$7:$A$1506,"&gt;="&amp;$A33,Sales!$A$7:$A$1506,"&lt;="&amp;EOMONTH($A33,0))</f>
        <v>0</v>
      </c>
      <c r="D33" s="96">
        <f t="shared" si="1"/>
        <v>0</v>
      </c>
      <c r="E33" s="96">
        <f>SUMIFS(Sales!$R$7:$R$1506,Sales!$A$7:$A$1506,"&gt;="&amp;$A33,Sales!$A$7:$A$1506,"&lt;="&amp;EOMONTH($A33,0))</f>
        <v>0</v>
      </c>
      <c r="F33" s="96">
        <f>SUMIFS(Sales!$S$7:$S$1506,Sales!$A$7:$A$1506,"&gt;="&amp;$A33,Sales!$A$7:$A$1506,"&lt;="&amp;EOMONTH($A33,0))</f>
        <v>0</v>
      </c>
      <c r="G33" s="96">
        <f t="shared" si="2"/>
        <v>0</v>
      </c>
      <c r="H33" s="96">
        <f>COUNTIFS(Sales!$A$7:$A$1506,"&gt;="&amp;$A33,Sales!$A$7:$A$1506,"&lt;="&amp;EOMONTH($A33,0))</f>
        <v>0</v>
      </c>
      <c r="I33" s="96">
        <f>COUNTIFS(Sales!$A$7:$A$1506,"&gt;="&amp;$A33,Sales!$A$7:$A$1506,"&lt;="&amp;EOMONTH($A33,0),Sales!$V$7:$V$1506,"&gt;0")</f>
        <v>0</v>
      </c>
      <c r="J33" s="45" t="str">
        <f t="shared" si="3"/>
        <v/>
      </c>
    </row>
    <row r="34" ht="14.25" customHeight="1">
      <c r="A34" s="95">
        <f t="shared" si="4"/>
        <v>47058</v>
      </c>
      <c r="B34" s="96">
        <f>SUMIFS(Sales!$L$7:$L$1506,Sales!$A$7:$A$1506,"&gt;="&amp;$A34,Sales!$A$7:$A$1506,"&lt;="&amp;EOMONTH($A34,0))</f>
        <v>0</v>
      </c>
      <c r="C34" s="96">
        <f>SUMIFS(Sales!$O$7:$O$1506,Sales!$A$7:$A$1506,"&gt;="&amp;$A34,Sales!$A$7:$A$1506,"&lt;="&amp;EOMONTH($A34,0))</f>
        <v>0</v>
      </c>
      <c r="D34" s="96">
        <f t="shared" si="1"/>
        <v>0</v>
      </c>
      <c r="E34" s="96">
        <f>SUMIFS(Sales!$R$7:$R$1506,Sales!$A$7:$A$1506,"&gt;="&amp;$A34,Sales!$A$7:$A$1506,"&lt;="&amp;EOMONTH($A34,0))</f>
        <v>0</v>
      </c>
      <c r="F34" s="96">
        <f>SUMIFS(Sales!$S$7:$S$1506,Sales!$A$7:$A$1506,"&gt;="&amp;$A34,Sales!$A$7:$A$1506,"&lt;="&amp;EOMONTH($A34,0))</f>
        <v>0</v>
      </c>
      <c r="G34" s="96">
        <f t="shared" si="2"/>
        <v>0</v>
      </c>
      <c r="H34" s="96">
        <f>COUNTIFS(Sales!$A$7:$A$1506,"&gt;="&amp;$A34,Sales!$A$7:$A$1506,"&lt;="&amp;EOMONTH($A34,0))</f>
        <v>0</v>
      </c>
      <c r="I34" s="96">
        <f>COUNTIFS(Sales!$A$7:$A$1506,"&gt;="&amp;$A34,Sales!$A$7:$A$1506,"&lt;="&amp;EOMONTH($A34,0),Sales!$V$7:$V$1506,"&gt;0")</f>
        <v>0</v>
      </c>
      <c r="J34" s="45" t="str">
        <f t="shared" si="3"/>
        <v/>
      </c>
    </row>
    <row r="35" ht="14.25" customHeight="1">
      <c r="A35" s="95">
        <f t="shared" si="4"/>
        <v>47088</v>
      </c>
      <c r="B35" s="96">
        <f>SUMIFS(Sales!$L$7:$L$1506,Sales!$A$7:$A$1506,"&gt;="&amp;$A35,Sales!$A$7:$A$1506,"&lt;="&amp;EOMONTH($A35,0))</f>
        <v>0</v>
      </c>
      <c r="C35" s="96">
        <f>SUMIFS(Sales!$O$7:$O$1506,Sales!$A$7:$A$1506,"&gt;="&amp;$A35,Sales!$A$7:$A$1506,"&lt;="&amp;EOMONTH($A35,0))</f>
        <v>0</v>
      </c>
      <c r="D35" s="96">
        <f t="shared" si="1"/>
        <v>0</v>
      </c>
      <c r="E35" s="96">
        <f>SUMIFS(Sales!$R$7:$R$1506,Sales!$A$7:$A$1506,"&gt;="&amp;$A35,Sales!$A$7:$A$1506,"&lt;="&amp;EOMONTH($A35,0))</f>
        <v>0</v>
      </c>
      <c r="F35" s="96">
        <f>SUMIFS(Sales!$S$7:$S$1506,Sales!$A$7:$A$1506,"&gt;="&amp;$A35,Sales!$A$7:$A$1506,"&lt;="&amp;EOMONTH($A35,0))</f>
        <v>0</v>
      </c>
      <c r="G35" s="96">
        <f t="shared" si="2"/>
        <v>0</v>
      </c>
      <c r="H35" s="96">
        <f>COUNTIFS(Sales!$A$7:$A$1506,"&gt;="&amp;$A35,Sales!$A$7:$A$1506,"&lt;="&amp;EOMONTH($A35,0))</f>
        <v>0</v>
      </c>
      <c r="I35" s="96">
        <f>COUNTIFS(Sales!$A$7:$A$1506,"&gt;="&amp;$A35,Sales!$A$7:$A$1506,"&lt;="&amp;EOMONTH($A35,0),Sales!$V$7:$V$1506,"&gt;0")</f>
        <v>0</v>
      </c>
      <c r="J35" s="45" t="str">
        <f t="shared" si="3"/>
        <v/>
      </c>
    </row>
    <row r="36" ht="14.25" customHeight="1">
      <c r="A36" s="95">
        <f t="shared" si="4"/>
        <v>47119</v>
      </c>
      <c r="B36" s="96">
        <f>SUMIFS(Sales!$L$7:$L$1506,Sales!$A$7:$A$1506,"&gt;="&amp;$A36,Sales!$A$7:$A$1506,"&lt;="&amp;EOMONTH($A36,0))</f>
        <v>0</v>
      </c>
      <c r="C36" s="96">
        <f>SUMIFS(Sales!$O$7:$O$1506,Sales!$A$7:$A$1506,"&gt;="&amp;$A36,Sales!$A$7:$A$1506,"&lt;="&amp;EOMONTH($A36,0))</f>
        <v>0</v>
      </c>
      <c r="D36" s="96">
        <f t="shared" si="1"/>
        <v>0</v>
      </c>
      <c r="E36" s="96">
        <f>SUMIFS(Sales!$R$7:$R$1506,Sales!$A$7:$A$1506,"&gt;="&amp;$A36,Sales!$A$7:$A$1506,"&lt;="&amp;EOMONTH($A36,0))</f>
        <v>0</v>
      </c>
      <c r="F36" s="96">
        <f>SUMIFS(Sales!$S$7:$S$1506,Sales!$A$7:$A$1506,"&gt;="&amp;$A36,Sales!$A$7:$A$1506,"&lt;="&amp;EOMONTH($A36,0))</f>
        <v>0</v>
      </c>
      <c r="G36" s="96">
        <f t="shared" si="2"/>
        <v>0</v>
      </c>
      <c r="H36" s="96">
        <f>COUNTIFS(Sales!$A$7:$A$1506,"&gt;="&amp;$A36,Sales!$A$7:$A$1506,"&lt;="&amp;EOMONTH($A36,0))</f>
        <v>0</v>
      </c>
      <c r="I36" s="96">
        <f>COUNTIFS(Sales!$A$7:$A$1506,"&gt;="&amp;$A36,Sales!$A$7:$A$1506,"&lt;="&amp;EOMONTH($A36,0),Sales!$V$7:$V$1506,"&gt;0")</f>
        <v>0</v>
      </c>
      <c r="J36" s="45" t="str">
        <f t="shared" si="3"/>
        <v/>
      </c>
    </row>
    <row r="37" ht="14.25" customHeight="1">
      <c r="A37" s="95">
        <f t="shared" si="4"/>
        <v>47150</v>
      </c>
      <c r="B37" s="96">
        <f>SUMIFS(Sales!$L$7:$L$1506,Sales!$A$7:$A$1506,"&gt;="&amp;$A37,Sales!$A$7:$A$1506,"&lt;="&amp;EOMONTH($A37,0))</f>
        <v>0</v>
      </c>
      <c r="C37" s="96">
        <f>SUMIFS(Sales!$O$7:$O$1506,Sales!$A$7:$A$1506,"&gt;="&amp;$A37,Sales!$A$7:$A$1506,"&lt;="&amp;EOMONTH($A37,0))</f>
        <v>0</v>
      </c>
      <c r="D37" s="96">
        <f t="shared" si="1"/>
        <v>0</v>
      </c>
      <c r="E37" s="96">
        <f>SUMIFS(Sales!$R$7:$R$1506,Sales!$A$7:$A$1506,"&gt;="&amp;$A37,Sales!$A$7:$A$1506,"&lt;="&amp;EOMONTH($A37,0))</f>
        <v>0</v>
      </c>
      <c r="F37" s="96">
        <f>SUMIFS(Sales!$S$7:$S$1506,Sales!$A$7:$A$1506,"&gt;="&amp;$A37,Sales!$A$7:$A$1506,"&lt;="&amp;EOMONTH($A37,0))</f>
        <v>0</v>
      </c>
      <c r="G37" s="96">
        <f t="shared" si="2"/>
        <v>0</v>
      </c>
      <c r="H37" s="96">
        <f>COUNTIFS(Sales!$A$7:$A$1506,"&gt;="&amp;$A37,Sales!$A$7:$A$1506,"&lt;="&amp;EOMONTH($A37,0))</f>
        <v>0</v>
      </c>
      <c r="I37" s="96">
        <f>COUNTIFS(Sales!$A$7:$A$1506,"&gt;="&amp;$A37,Sales!$A$7:$A$1506,"&lt;="&amp;EOMONTH($A37,0),Sales!$V$7:$V$1506,"&gt;0")</f>
        <v>0</v>
      </c>
      <c r="J37" s="45" t="str">
        <f t="shared" si="3"/>
        <v/>
      </c>
    </row>
    <row r="38" ht="14.25" customHeight="1">
      <c r="A38" s="95">
        <f t="shared" si="4"/>
        <v>47178</v>
      </c>
      <c r="B38" s="96">
        <f>SUMIFS(Sales!$L$7:$L$1506,Sales!$A$7:$A$1506,"&gt;="&amp;$A38,Sales!$A$7:$A$1506,"&lt;="&amp;EOMONTH($A38,0))</f>
        <v>0</v>
      </c>
      <c r="C38" s="96">
        <f>SUMIFS(Sales!$O$7:$O$1506,Sales!$A$7:$A$1506,"&gt;="&amp;$A38,Sales!$A$7:$A$1506,"&lt;="&amp;EOMONTH($A38,0))</f>
        <v>0</v>
      </c>
      <c r="D38" s="96">
        <f t="shared" si="1"/>
        <v>0</v>
      </c>
      <c r="E38" s="96">
        <f>SUMIFS(Sales!$R$7:$R$1506,Sales!$A$7:$A$1506,"&gt;="&amp;$A38,Sales!$A$7:$A$1506,"&lt;="&amp;EOMONTH($A38,0))</f>
        <v>0</v>
      </c>
      <c r="F38" s="96">
        <f>SUMIFS(Sales!$S$7:$S$1506,Sales!$A$7:$A$1506,"&gt;="&amp;$A38,Sales!$A$7:$A$1506,"&lt;="&amp;EOMONTH($A38,0))</f>
        <v>0</v>
      </c>
      <c r="G38" s="96">
        <f t="shared" si="2"/>
        <v>0</v>
      </c>
      <c r="H38" s="96">
        <f>COUNTIFS(Sales!$A$7:$A$1506,"&gt;="&amp;$A38,Sales!$A$7:$A$1506,"&lt;="&amp;EOMONTH($A38,0))</f>
        <v>0</v>
      </c>
      <c r="I38" s="96">
        <f>COUNTIFS(Sales!$A$7:$A$1506,"&gt;="&amp;$A38,Sales!$A$7:$A$1506,"&lt;="&amp;EOMONTH($A38,0),Sales!$V$7:$V$1506,"&gt;0")</f>
        <v>0</v>
      </c>
      <c r="J38" s="45" t="str">
        <f t="shared" si="3"/>
        <v/>
      </c>
    </row>
    <row r="39" ht="14.25" customHeight="1">
      <c r="A39" s="95">
        <f t="shared" si="4"/>
        <v>47209</v>
      </c>
      <c r="B39" s="96">
        <f>SUMIFS(Sales!$L$7:$L$1506,Sales!$A$7:$A$1506,"&gt;="&amp;$A39,Sales!$A$7:$A$1506,"&lt;="&amp;EOMONTH($A39,0))</f>
        <v>0</v>
      </c>
      <c r="C39" s="96">
        <f>SUMIFS(Sales!$O$7:$O$1506,Sales!$A$7:$A$1506,"&gt;="&amp;$A39,Sales!$A$7:$A$1506,"&lt;="&amp;EOMONTH($A39,0))</f>
        <v>0</v>
      </c>
      <c r="D39" s="96">
        <f t="shared" si="1"/>
        <v>0</v>
      </c>
      <c r="E39" s="96">
        <f>SUMIFS(Sales!$R$7:$R$1506,Sales!$A$7:$A$1506,"&gt;="&amp;$A39,Sales!$A$7:$A$1506,"&lt;="&amp;EOMONTH($A39,0))</f>
        <v>0</v>
      </c>
      <c r="F39" s="96">
        <f>SUMIFS(Sales!$S$7:$S$1506,Sales!$A$7:$A$1506,"&gt;="&amp;$A39,Sales!$A$7:$A$1506,"&lt;="&amp;EOMONTH($A39,0))</f>
        <v>0</v>
      </c>
      <c r="G39" s="96">
        <f t="shared" si="2"/>
        <v>0</v>
      </c>
      <c r="H39" s="96">
        <f>COUNTIFS(Sales!$A$7:$A$1506,"&gt;="&amp;$A39,Sales!$A$7:$A$1506,"&lt;="&amp;EOMONTH($A39,0))</f>
        <v>0</v>
      </c>
      <c r="I39" s="96">
        <f>COUNTIFS(Sales!$A$7:$A$1506,"&gt;="&amp;$A39,Sales!$A$7:$A$1506,"&lt;="&amp;EOMONTH($A39,0),Sales!$V$7:$V$1506,"&gt;0")</f>
        <v>0</v>
      </c>
      <c r="J39" s="45" t="str">
        <f t="shared" si="3"/>
        <v/>
      </c>
    </row>
    <row r="40" ht="14.25" customHeight="1">
      <c r="A40" s="95">
        <f t="shared" si="4"/>
        <v>47239</v>
      </c>
      <c r="B40" s="96">
        <f>SUMIFS(Sales!$L$7:$L$1506,Sales!$A$7:$A$1506,"&gt;="&amp;$A40,Sales!$A$7:$A$1506,"&lt;="&amp;EOMONTH($A40,0))</f>
        <v>0</v>
      </c>
      <c r="C40" s="96">
        <f>SUMIFS(Sales!$O$7:$O$1506,Sales!$A$7:$A$1506,"&gt;="&amp;$A40,Sales!$A$7:$A$1506,"&lt;="&amp;EOMONTH($A40,0))</f>
        <v>0</v>
      </c>
      <c r="D40" s="96">
        <f t="shared" si="1"/>
        <v>0</v>
      </c>
      <c r="E40" s="96">
        <f>SUMIFS(Sales!$R$7:$R$1506,Sales!$A$7:$A$1506,"&gt;="&amp;$A40,Sales!$A$7:$A$1506,"&lt;="&amp;EOMONTH($A40,0))</f>
        <v>0</v>
      </c>
      <c r="F40" s="96">
        <f>SUMIFS(Sales!$S$7:$S$1506,Sales!$A$7:$A$1506,"&gt;="&amp;$A40,Sales!$A$7:$A$1506,"&lt;="&amp;EOMONTH($A40,0))</f>
        <v>0</v>
      </c>
      <c r="G40" s="96">
        <f t="shared" si="2"/>
        <v>0</v>
      </c>
      <c r="H40" s="96">
        <f>COUNTIFS(Sales!$A$7:$A$1506,"&gt;="&amp;$A40,Sales!$A$7:$A$1506,"&lt;="&amp;EOMONTH($A40,0))</f>
        <v>0</v>
      </c>
      <c r="I40" s="96">
        <f>COUNTIFS(Sales!$A$7:$A$1506,"&gt;="&amp;$A40,Sales!$A$7:$A$1506,"&lt;="&amp;EOMONTH($A40,0),Sales!$V$7:$V$1506,"&gt;0")</f>
        <v>0</v>
      </c>
      <c r="J40" s="45" t="str">
        <f t="shared" si="3"/>
        <v/>
      </c>
    </row>
    <row r="41" ht="14.25" customHeight="1">
      <c r="A41" s="104" t="s">
        <v>568</v>
      </c>
      <c r="B41" s="105">
        <f t="shared" ref="B41:I41" si="5">SUM(B5:B40)</f>
        <v>147710.0106</v>
      </c>
      <c r="C41" s="105">
        <f t="shared" si="5"/>
        <v>114725.8792</v>
      </c>
      <c r="D41" s="105">
        <f t="shared" si="5"/>
        <v>32984.13146</v>
      </c>
      <c r="E41" s="105">
        <f t="shared" si="5"/>
        <v>1890</v>
      </c>
      <c r="F41" s="105">
        <f t="shared" si="5"/>
        <v>1995</v>
      </c>
      <c r="G41" s="105">
        <f t="shared" si="5"/>
        <v>32879.13146</v>
      </c>
      <c r="H41" s="105">
        <f t="shared" si="5"/>
        <v>511</v>
      </c>
      <c r="I41" s="105">
        <f t="shared" si="5"/>
        <v>18</v>
      </c>
      <c r="J41" s="106">
        <f t="shared" si="3"/>
        <v>0.2225924386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71"/>
    <col customWidth="1" min="2" max="3" width="8.71"/>
    <col customWidth="1" min="4" max="4" width="43.71"/>
    <col customWidth="1" min="5" max="5" width="25.86"/>
    <col customWidth="1" min="6" max="6" width="24.14"/>
    <col customWidth="1" min="7" max="7" width="42.57"/>
    <col customWidth="1" min="8" max="11" width="8.71"/>
    <col customWidth="1" min="12" max="12" width="30.43"/>
    <col customWidth="1" min="13" max="14" width="8.71"/>
    <col customWidth="1" min="15" max="15" width="11.14"/>
  </cols>
  <sheetData>
    <row r="1" ht="14.25" customHeight="1">
      <c r="A1" s="11" t="str">
        <f>"SALES — "&amp;UPPER(TEXT($B$3,"mmmm yyyy"))</f>
        <v>SALES — JULY 2026</v>
      </c>
    </row>
    <row r="2" ht="14.25" customHeight="1">
      <c r="A2" s="107" t="s">
        <v>569</v>
      </c>
    </row>
    <row r="3" ht="14.25" customHeight="1">
      <c r="A3" s="15" t="s">
        <v>570</v>
      </c>
      <c r="B3" s="108">
        <v>46204.0</v>
      </c>
      <c r="D3" s="93" t="str">
        <f>"Lines this month: "&amp;COUNT($L$5:$L$504)&amp;"   |   Today's month: "&amp;TEXT(EOMONTH(TODAY(),-1)+1,"mmm-yyyy")</f>
        <v>Lines this month: 500   |   Today's month: Sep-2026</v>
      </c>
    </row>
    <row r="4" ht="14.25" customHeight="1">
      <c r="A4" s="94" t="s">
        <v>36</v>
      </c>
      <c r="B4" s="94" t="s">
        <v>43</v>
      </c>
      <c r="C4" s="94" t="s">
        <v>303</v>
      </c>
      <c r="D4" s="94" t="s">
        <v>304</v>
      </c>
      <c r="E4" s="94" t="s">
        <v>305</v>
      </c>
      <c r="F4" s="94" t="s">
        <v>307</v>
      </c>
      <c r="G4" s="94" t="s">
        <v>571</v>
      </c>
      <c r="H4" s="94" t="s">
        <v>59</v>
      </c>
      <c r="I4" s="94" t="s">
        <v>310</v>
      </c>
      <c r="J4" s="94" t="s">
        <v>152</v>
      </c>
      <c r="K4" s="94" t="s">
        <v>311</v>
      </c>
      <c r="L4" s="94" t="s">
        <v>312</v>
      </c>
      <c r="M4" s="94" t="s">
        <v>313</v>
      </c>
      <c r="O4" s="109" t="s">
        <v>572</v>
      </c>
    </row>
    <row r="5" ht="14.25" customHeight="1">
      <c r="A5" s="110">
        <f t="array" ref="A5">IFERROR(INDEX(Sales!$A$7:$A$1506,$O5),"")</f>
        <v>46219</v>
      </c>
      <c r="B5" s="19" t="str">
        <f t="array" ref="B5">IFERROR(INDEX(Sales!$B$7:$B$1506,$O5),"")</f>
        <v>Sale</v>
      </c>
      <c r="C5" s="19" t="str">
        <f t="array" ref="C5">IFERROR(INDEX(Sales!$C$7:$C$1506,$O5),"")</f>
        <v>Online</v>
      </c>
      <c r="D5" s="19" t="str">
        <f t="array" ref="D5">IFERROR(INDEX(Sales!$D$7:$D$1506,$O5),"")</f>
        <v>Samreen islam</v>
      </c>
      <c r="E5" s="19" t="str">
        <f t="array" ref="E5">IFERROR(IF(INDEX(Sales!$E$7:$E$1506,$O5)="","",INDEX(Sales!$E$7:$E$1506,$O5)),"")</f>
        <v>PAWF-260715-04EAA</v>
      </c>
      <c r="F5" s="19" t="str">
        <f t="array" ref="F5">IFERROR(INDEX(Sales!$F$7:$F$1506,$O5),"")</f>
        <v>FD-DRY-SMHRT-15KG-001</v>
      </c>
      <c r="G5" s="19" t="str">
        <f t="array" ref="G5">IFERROR(INDEX(Sales!$G$7:$G$1506,$O5),"")</f>
        <v>Smart Heart Adult Cat Food Chicken &amp; Tuna [15kg]</v>
      </c>
      <c r="H5" s="96">
        <f t="array" ref="H5">IFERROR(INDEX(Sales!$H$7:$H$1506,$O5),"")</f>
        <v>1</v>
      </c>
      <c r="I5" s="96">
        <f t="array" ref="I5">IFERROR(INDEX(Sales!$I$7:$I$1506,$O5),"")</f>
        <v>6400</v>
      </c>
      <c r="J5" s="96">
        <f t="array" ref="J5">IFERROR(INDEX(Sales!$J$7:$J$1506,$O5),"")</f>
        <v>6700</v>
      </c>
      <c r="K5" s="96">
        <f t="array" ref="K5">IFERROR(INDEX(Sales!$K$7:$K$1506,$O5),"")</f>
        <v>300</v>
      </c>
      <c r="L5" s="96">
        <f t="array" ref="L5">IFERROR(INDEX(Sales!$L$7:$L$1506,$O5),"")</f>
        <v>6400</v>
      </c>
      <c r="M5" s="19" t="str">
        <f t="array" ref="M5">IFERROR(INDEX(Sales!$M$7:$M$1506,$O5),"")</f>
        <v>Paid</v>
      </c>
      <c r="O5" s="111">
        <f>IFERROR(MATCH(TEXT($B$3,"yyyymm")&amp;"-"&amp;(ROW()-4),Sales!$Y$7:$Y$1506,0),"")</f>
        <v>1</v>
      </c>
    </row>
    <row r="6" ht="14.25" customHeight="1">
      <c r="A6" s="110">
        <f t="array" ref="A6">IFERROR(INDEX(Sales!$A$7:$A$1506,$O6),"")</f>
        <v>46219</v>
      </c>
      <c r="B6" s="19" t="str">
        <f t="array" ref="B6">IFERROR(INDEX(Sales!$B$7:$B$1506,$O6),"")</f>
        <v>Sale</v>
      </c>
      <c r="C6" s="19" t="str">
        <f t="array" ref="C6">IFERROR(INDEX(Sales!$C$7:$C$1506,$O6),"")</f>
        <v>Online</v>
      </c>
      <c r="D6" s="19" t="str">
        <f t="array" ref="D6">IFERROR(INDEX(Sales!$D$7:$D$1506,$O6),"")</f>
        <v>Samreen islam</v>
      </c>
      <c r="E6" s="19" t="str">
        <f t="array" ref="E6">IFERROR(IF(INDEX(Sales!$E$7:$E$1506,$O6)="","",INDEX(Sales!$E$7:$E$1506,$O6)),"")</f>
        <v>PAWF-260715-04EAA</v>
      </c>
      <c r="F6" s="19" t="str">
        <f t="array" ref="F6">IFERROR(INDEX(Sales!$F$7:$F$1506,$O6),"")</f>
        <v>FD-DRY-SMHRT-10KG-001</v>
      </c>
      <c r="G6" s="19" t="str">
        <f t="array" ref="G6">IFERROR(INDEX(Sales!$G$7:$G$1506,$O6),"")</f>
        <v>Smart Heart 10KG Chicken &amp; Tuna</v>
      </c>
      <c r="H6" s="96">
        <f t="array" ref="H6">IFERROR(INDEX(Sales!$H$7:$H$1506,$O6),"")</f>
        <v>2</v>
      </c>
      <c r="I6" s="96">
        <f t="array" ref="I6">IFERROR(INDEX(Sales!$I$7:$I$1506,$O6),"")</f>
        <v>4300</v>
      </c>
      <c r="J6" s="96">
        <f t="array" ref="J6">IFERROR(INDEX(Sales!$J$7:$J$1506,$O6),"")</f>
        <v>4700</v>
      </c>
      <c r="K6" s="96">
        <f t="array" ref="K6">IFERROR(INDEX(Sales!$K$7:$K$1506,$O6),"")</f>
        <v>400</v>
      </c>
      <c r="L6" s="96">
        <f t="array" ref="L6">IFERROR(INDEX(Sales!$L$7:$L$1506,$O6),"")</f>
        <v>8600</v>
      </c>
      <c r="M6" s="19" t="str">
        <f t="array" ref="M6">IFERROR(INDEX(Sales!$M$7:$M$1506,$O6),"")</f>
        <v>Paid</v>
      </c>
      <c r="O6" s="111">
        <f>IFERROR(MATCH(TEXT($B$3,"yyyymm")&amp;"-"&amp;(ROW()-4),Sales!$Y$7:$Y$1506,0),"")</f>
        <v>2</v>
      </c>
    </row>
    <row r="7" ht="14.25" customHeight="1">
      <c r="A7" s="110">
        <f t="array" ref="A7">IFERROR(INDEX(Sales!$A$7:$A$1506,$O7),"")</f>
        <v>46216</v>
      </c>
      <c r="B7" s="19" t="str">
        <f t="array" ref="B7">IFERROR(INDEX(Sales!$B$7:$B$1506,$O7),"")</f>
        <v>Sale</v>
      </c>
      <c r="C7" s="19" t="str">
        <f t="array" ref="C7">IFERROR(INDEX(Sales!$C$7:$C$1506,$O7),"")</f>
        <v>Online</v>
      </c>
      <c r="D7" s="19" t="str">
        <f t="array" ref="D7">IFERROR(INDEX(Sales!$D$7:$D$1506,$O7),"")</f>
        <v>Johura Hoque</v>
      </c>
      <c r="E7" s="19" t="str">
        <f t="array" ref="E7">IFERROR(IF(INDEX(Sales!$E$7:$E$1506,$O7)="","",INDEX(Sales!$E$7:$E$1506,$O7)),"")</f>
        <v>PAWF-260713-BAADD</v>
      </c>
      <c r="F7" s="19" t="str">
        <f t="array" ref="F7">IFERROR(INDEX(Sales!$F$7:$F$1506,$O7),"")</f>
        <v>AC-CJ-AR-001</v>
      </c>
      <c r="G7" s="19" t="str">
        <f t="array" ref="G7">IFERROR(INDEX(Sales!$G$7:$G$1506,$O7),"")</f>
        <v>Cat Jersey Argentina Medium</v>
      </c>
      <c r="H7" s="96">
        <f t="array" ref="H7">IFERROR(INDEX(Sales!$H$7:$H$1506,$O7),"")</f>
        <v>2</v>
      </c>
      <c r="I7" s="96">
        <f t="array" ref="I7">IFERROR(INDEX(Sales!$I$7:$I$1506,$O7),"")</f>
        <v>282</v>
      </c>
      <c r="J7" s="96">
        <f t="array" ref="J7">IFERROR(INDEX(Sales!$J$7:$J$1506,$O7),"")</f>
        <v>300</v>
      </c>
      <c r="K7" s="96">
        <f t="array" ref="K7">IFERROR(INDEX(Sales!$K$7:$K$1506,$O7),"")</f>
        <v>18</v>
      </c>
      <c r="L7" s="96">
        <f t="array" ref="L7">IFERROR(INDEX(Sales!$L$7:$L$1506,$O7),"")</f>
        <v>564</v>
      </c>
      <c r="M7" s="19" t="str">
        <f t="array" ref="M7">IFERROR(INDEX(Sales!$M$7:$M$1506,$O7),"")</f>
        <v>Paid</v>
      </c>
      <c r="O7" s="111">
        <f>IFERROR(MATCH(TEXT($B$3,"yyyymm")&amp;"-"&amp;(ROW()-4),Sales!$Y$7:$Y$1506,0),"")</f>
        <v>3</v>
      </c>
    </row>
    <row r="8" ht="14.25" customHeight="1">
      <c r="A8" s="110">
        <f t="array" ref="A8">IFERROR(INDEX(Sales!$A$7:$A$1506,$O8),"")</f>
        <v>46221</v>
      </c>
      <c r="B8" s="19" t="str">
        <f t="array" ref="B8">IFERROR(INDEX(Sales!$B$7:$B$1506,$O8),"")</f>
        <v>Sale</v>
      </c>
      <c r="C8" s="19" t="str">
        <f t="array" ref="C8">IFERROR(INDEX(Sales!$C$7:$C$1506,$O8),"")</f>
        <v>Online</v>
      </c>
      <c r="D8" s="19" t="str">
        <f t="array" ref="D8">IFERROR(INDEX(Sales!$D$7:$D$1506,$O8),"")</f>
        <v>Nadim</v>
      </c>
      <c r="E8" s="19" t="str">
        <f t="array" ref="E8">IFERROR(IF(INDEX(Sales!$E$7:$E$1506,$O8)="","",INDEX(Sales!$E$7:$E$1506,$O8)),"")</f>
        <v>PAWF-260718-8CA86</v>
      </c>
      <c r="F8" s="19" t="str">
        <f t="array" ref="F8">IFERROR(INDEX(Sales!$F$7:$F$1506,$O8),"")</f>
        <v>FD-DRY-SMHRT-15KG-001</v>
      </c>
      <c r="G8" s="19" t="str">
        <f t="array" ref="G8">IFERROR(INDEX(Sales!$G$7:$G$1506,$O8),"")</f>
        <v>Smart Heart Adult Cat Food Chicken &amp; Tuna [15kg]</v>
      </c>
      <c r="H8" s="96">
        <f t="array" ref="H8">IFERROR(INDEX(Sales!$H$7:$H$1506,$O8),"")</f>
        <v>1</v>
      </c>
      <c r="I8" s="96">
        <f t="array" ref="I8">IFERROR(INDEX(Sales!$I$7:$I$1506,$O8),"")</f>
        <v>6100</v>
      </c>
      <c r="J8" s="96">
        <f t="array" ref="J8">IFERROR(INDEX(Sales!$J$7:$J$1506,$O8),"")</f>
        <v>6700</v>
      </c>
      <c r="K8" s="96">
        <f t="array" ref="K8">IFERROR(INDEX(Sales!$K$7:$K$1506,$O8),"")</f>
        <v>600</v>
      </c>
      <c r="L8" s="96">
        <f t="array" ref="L8">IFERROR(INDEX(Sales!$L$7:$L$1506,$O8),"")</f>
        <v>6100</v>
      </c>
      <c r="M8" s="19" t="str">
        <f t="array" ref="M8">IFERROR(INDEX(Sales!$M$7:$M$1506,$O8),"")</f>
        <v>Paid</v>
      </c>
      <c r="O8" s="111">
        <f>IFERROR(MATCH(TEXT($B$3,"yyyymm")&amp;"-"&amp;(ROW()-4),Sales!$Y$7:$Y$1506,0),"")</f>
        <v>4</v>
      </c>
    </row>
    <row r="9" ht="14.25" customHeight="1">
      <c r="A9" s="110">
        <f t="array" ref="A9">IFERROR(INDEX(Sales!$A$7:$A$1506,$O9),"")</f>
        <v>46210</v>
      </c>
      <c r="B9" s="19" t="str">
        <f t="array" ref="B9">IFERROR(INDEX(Sales!$B$7:$B$1506,$O9),"")</f>
        <v>Sale</v>
      </c>
      <c r="C9" s="19" t="str">
        <f t="array" ref="C9">IFERROR(INDEX(Sales!$C$7:$C$1506,$O9),"")</f>
        <v>Shop</v>
      </c>
      <c r="D9" s="19" t="str">
        <f t="array" ref="D9">IFERROR(INDEX(Sales!$D$7:$D$1506,$O9),"")</f>
        <v>PawfectBD Shop</v>
      </c>
      <c r="E9" s="19" t="str">
        <f t="array" ref="E9">IFERROR(IF(INDEX(Sales!$E$7:$E$1506,$O9)="","",INDEX(Sales!$E$7:$E$1506,$O9)),"")</f>
        <v>PAWF-260719-979C1</v>
      </c>
      <c r="F9" s="19" t="str">
        <f t="array" ref="F9">IFERROR(INDEX(Sales!$F$7:$F$1506,$O9),"")</f>
        <v>TR-CRMY-15G-001</v>
      </c>
      <c r="G9" s="19" t="str">
        <f t="array" ref="G9">IFERROR(INDEX(Sales!$G$7:$G$1506,$O9),"")</f>
        <v>Creamy Treat 15G (Purry &amp; Hyper Paws)</v>
      </c>
      <c r="H9" s="96">
        <f t="array" ref="H9">IFERROR(INDEX(Sales!$H$7:$H$1506,$O9),"")</f>
        <v>40</v>
      </c>
      <c r="I9" s="96">
        <f t="array" ref="I9">IFERROR(INDEX(Sales!$I$7:$I$1506,$O9),"")</f>
        <v>19.5</v>
      </c>
      <c r="J9" s="96">
        <f t="array" ref="J9">IFERROR(INDEX(Sales!$J$7:$J$1506,$O9),"")</f>
        <v>20</v>
      </c>
      <c r="K9" s="96">
        <f t="array" ref="K9">IFERROR(INDEX(Sales!$K$7:$K$1506,$O9),"")</f>
        <v>0.5</v>
      </c>
      <c r="L9" s="96">
        <f t="array" ref="L9">IFERROR(INDEX(Sales!$L$7:$L$1506,$O9),"")</f>
        <v>780</v>
      </c>
      <c r="M9" s="19" t="str">
        <f t="array" ref="M9">IFERROR(INDEX(Sales!$M$7:$M$1506,$O9),"")</f>
        <v>Paid</v>
      </c>
      <c r="O9" s="111">
        <f>IFERROR(MATCH(TEXT($B$3,"yyyymm")&amp;"-"&amp;(ROW()-4),Sales!$Y$7:$Y$1506,0),"")</f>
        <v>5</v>
      </c>
    </row>
    <row r="10" ht="14.25" customHeight="1">
      <c r="A10" s="110">
        <f t="array" ref="A10">IFERROR(INDEX(Sales!$A$7:$A$1506,$O10),"")</f>
        <v>46211</v>
      </c>
      <c r="B10" s="19" t="str">
        <f t="array" ref="B10">IFERROR(INDEX(Sales!$B$7:$B$1506,$O10),"")</f>
        <v>Sale</v>
      </c>
      <c r="C10" s="19" t="str">
        <f t="array" ref="C10">IFERROR(INDEX(Sales!$C$7:$C$1506,$O10),"")</f>
        <v>Shop</v>
      </c>
      <c r="D10" s="19" t="str">
        <f t="array" ref="D10">IFERROR(INDEX(Sales!$D$7:$D$1506,$O10),"")</f>
        <v>PawfectBD Shop</v>
      </c>
      <c r="E10" s="19" t="str">
        <f t="array" ref="E10">IFERROR(IF(INDEX(Sales!$E$7:$E$1506,$O10)="","",INDEX(Sales!$E$7:$E$1506,$O10)),"")</f>
        <v>PAWF-260719-979C1</v>
      </c>
      <c r="F10" s="19" t="str">
        <f t="array" ref="F10">IFERROR(INDEX(Sales!$F$7:$F$1506,$O10),"")</f>
        <v>TR-CRMY-15G-001</v>
      </c>
      <c r="G10" s="19" t="str">
        <f t="array" ref="G10">IFERROR(INDEX(Sales!$G$7:$G$1506,$O10),"")</f>
        <v>Creamy Treat 15G (Purry &amp; Hyper Paws)</v>
      </c>
      <c r="H10" s="96">
        <f t="array" ref="H10">IFERROR(INDEX(Sales!$H$7:$H$1506,$O10),"")</f>
        <v>40</v>
      </c>
      <c r="I10" s="96">
        <f t="array" ref="I10">IFERROR(INDEX(Sales!$I$7:$I$1506,$O10),"")</f>
        <v>19.5</v>
      </c>
      <c r="J10" s="96">
        <f t="array" ref="J10">IFERROR(INDEX(Sales!$J$7:$J$1506,$O10),"")</f>
        <v>20</v>
      </c>
      <c r="K10" s="96">
        <f t="array" ref="K10">IFERROR(INDEX(Sales!$K$7:$K$1506,$O10),"")</f>
        <v>0.5</v>
      </c>
      <c r="L10" s="96">
        <f t="array" ref="L10">IFERROR(INDEX(Sales!$L$7:$L$1506,$O10),"")</f>
        <v>780</v>
      </c>
      <c r="M10" s="19" t="str">
        <f t="array" ref="M10">IFERROR(INDEX(Sales!$M$7:$M$1506,$O10),"")</f>
        <v>Paid</v>
      </c>
      <c r="O10" s="111">
        <f>IFERROR(MATCH(TEXT($B$3,"yyyymm")&amp;"-"&amp;(ROW()-4),Sales!$Y$7:$Y$1506,0),"")</f>
        <v>6</v>
      </c>
    </row>
    <row r="11" ht="14.25" customHeight="1">
      <c r="A11" s="110">
        <f t="array" ref="A11">IFERROR(INDEX(Sales!$A$7:$A$1506,$O11),"")</f>
        <v>46212</v>
      </c>
      <c r="B11" s="19" t="str">
        <f t="array" ref="B11">IFERROR(INDEX(Sales!$B$7:$B$1506,$O11),"")</f>
        <v>Sale</v>
      </c>
      <c r="C11" s="19" t="str">
        <f t="array" ref="C11">IFERROR(INDEX(Sales!$C$7:$C$1506,$O11),"")</f>
        <v>Shop</v>
      </c>
      <c r="D11" s="19" t="str">
        <f t="array" ref="D11">IFERROR(INDEX(Sales!$D$7:$D$1506,$O11),"")</f>
        <v>PawfectBD Shop</v>
      </c>
      <c r="E11" s="19" t="str">
        <f t="array" ref="E11">IFERROR(IF(INDEX(Sales!$E$7:$E$1506,$O11)="","",INDEX(Sales!$E$7:$E$1506,$O11)),"")</f>
        <v>PAWF-260719-FCE0C</v>
      </c>
      <c r="F11" s="19" t="str">
        <f t="array" ref="F11">IFERROR(INDEX(Sales!$F$7:$F$1506,$O11),"")</f>
        <v>FD-DRY-CHNK-OCFCK-1.5KG-001</v>
      </c>
      <c r="G11" s="19" t="str">
        <f t="array" ref="G11">IFERROR(INDEX(Sales!$G$7:$G$1506,$O11),"")</f>
        <v>Chonk All ages Ocean Fish with Chicken</v>
      </c>
      <c r="H11" s="96">
        <f t="array" ref="H11">IFERROR(INDEX(Sales!$H$7:$H$1506,$O11),"")</f>
        <v>1</v>
      </c>
      <c r="I11" s="96">
        <f t="array" ref="I11">IFERROR(INDEX(Sales!$I$7:$I$1506,$O11),"")</f>
        <v>500</v>
      </c>
      <c r="J11" s="96">
        <f t="array" ref="J11">IFERROR(INDEX(Sales!$J$7:$J$1506,$O11),"")</f>
        <v>500</v>
      </c>
      <c r="K11" s="96" t="str">
        <f t="array" ref="K11">IFERROR(INDEX(Sales!$K$7:$K$1506,$O11),"")</f>
        <v/>
      </c>
      <c r="L11" s="96">
        <f t="array" ref="L11">IFERROR(INDEX(Sales!$L$7:$L$1506,$O11),"")</f>
        <v>500</v>
      </c>
      <c r="M11" s="19" t="str">
        <f t="array" ref="M11">IFERROR(INDEX(Sales!$M$7:$M$1506,$O11),"")</f>
        <v>Paid</v>
      </c>
      <c r="O11" s="111">
        <f>IFERROR(MATCH(TEXT($B$3,"yyyymm")&amp;"-"&amp;(ROW()-4),Sales!$Y$7:$Y$1506,0),"")</f>
        <v>7</v>
      </c>
    </row>
    <row r="12" ht="14.25" customHeight="1">
      <c r="A12" s="110">
        <f t="array" ref="A12">IFERROR(INDEX(Sales!$A$7:$A$1506,$O12),"")</f>
        <v>46213</v>
      </c>
      <c r="B12" s="19" t="str">
        <f t="array" ref="B12">IFERROR(INDEX(Sales!$B$7:$B$1506,$O12),"")</f>
        <v>Sale</v>
      </c>
      <c r="C12" s="19" t="str">
        <f t="array" ref="C12">IFERROR(INDEX(Sales!$C$7:$C$1506,$O12),"")</f>
        <v>Shop</v>
      </c>
      <c r="D12" s="19" t="str">
        <f t="array" ref="D12">IFERROR(INDEX(Sales!$D$7:$D$1506,$O12),"")</f>
        <v>PawfectBD Shop</v>
      </c>
      <c r="E12" s="19" t="str">
        <f t="array" ref="E12">IFERROR(IF(INDEX(Sales!$E$7:$E$1506,$O12)="","",INDEX(Sales!$E$7:$E$1506,$O12)),"")</f>
        <v>PAWF-260719-FCE0C</v>
      </c>
      <c r="F12" s="19" t="str">
        <f t="array" ref="F12">IFERROR(INDEX(Sales!$F$7:$F$1506,$O12),"")</f>
        <v>FD-DRY-CHNK-TN-1.5KG-001</v>
      </c>
      <c r="G12" s="19" t="str">
        <f t="array" ref="G12">IFERROR(INDEX(Sales!$G$7:$G$1506,$O12),"")</f>
        <v>Chonk All ages Tuna</v>
      </c>
      <c r="H12" s="96">
        <f t="array" ref="H12">IFERROR(INDEX(Sales!$H$7:$H$1506,$O12),"")</f>
        <v>2</v>
      </c>
      <c r="I12" s="96">
        <f t="array" ref="I12">IFERROR(INDEX(Sales!$I$7:$I$1506,$O12),"")</f>
        <v>500</v>
      </c>
      <c r="J12" s="96">
        <f t="array" ref="J12">IFERROR(INDEX(Sales!$J$7:$J$1506,$O12),"")</f>
        <v>500</v>
      </c>
      <c r="K12" s="96" t="str">
        <f t="array" ref="K12">IFERROR(INDEX(Sales!$K$7:$K$1506,$O12),"")</f>
        <v/>
      </c>
      <c r="L12" s="96">
        <f t="array" ref="L12">IFERROR(INDEX(Sales!$L$7:$L$1506,$O12),"")</f>
        <v>1000</v>
      </c>
      <c r="M12" s="19" t="str">
        <f t="array" ref="M12">IFERROR(INDEX(Sales!$M$7:$M$1506,$O12),"")</f>
        <v>Paid</v>
      </c>
      <c r="O12" s="111">
        <f>IFERROR(MATCH(TEXT($B$3,"yyyymm")&amp;"-"&amp;(ROW()-4),Sales!$Y$7:$Y$1506,0),"")</f>
        <v>8</v>
      </c>
    </row>
    <row r="13" ht="14.25" customHeight="1">
      <c r="A13" s="110">
        <f t="array" ref="A13">IFERROR(INDEX(Sales!$A$7:$A$1506,$O13),"")</f>
        <v>46214</v>
      </c>
      <c r="B13" s="19" t="str">
        <f t="array" ref="B13">IFERROR(INDEX(Sales!$B$7:$B$1506,$O13),"")</f>
        <v>Sale</v>
      </c>
      <c r="C13" s="19" t="str">
        <f t="array" ref="C13">IFERROR(INDEX(Sales!$C$7:$C$1506,$O13),"")</f>
        <v>Shop</v>
      </c>
      <c r="D13" s="19" t="str">
        <f t="array" ref="D13">IFERROR(INDEX(Sales!$D$7:$D$1506,$O13),"")</f>
        <v>PawfectBD Shop</v>
      </c>
      <c r="E13" s="19" t="str">
        <f t="array" ref="E13">IFERROR(IF(INDEX(Sales!$E$7:$E$1506,$O13)="","",INDEX(Sales!$E$7:$E$1506,$O13)),"")</f>
        <v>PAWF-260719-0FD1A</v>
      </c>
      <c r="F13" s="19" t="str">
        <f t="array" ref="F13">IFERROR(INDEX(Sales!$F$7:$F$1506,$O13),"")</f>
        <v>FD-DRY-TRL-1KG-001</v>
      </c>
      <c r="G13" s="19" t="str">
        <f t="array" ref="G13">IFERROR(INDEX(Sales!$G$7:$G$1506,$O13),"")</f>
        <v>TRENDLINE Adult Chicken Cat Food 1-Kg</v>
      </c>
      <c r="H13" s="96">
        <f t="array" ref="H13">IFERROR(INDEX(Sales!$H$7:$H$1506,$O13),"")</f>
        <v>1</v>
      </c>
      <c r="I13" s="96">
        <f t="array" ref="I13">IFERROR(INDEX(Sales!$I$7:$I$1506,$O13),"")</f>
        <v>450</v>
      </c>
      <c r="J13" s="96">
        <f t="array" ref="J13">IFERROR(INDEX(Sales!$J$7:$J$1506,$O13),"")</f>
        <v>450</v>
      </c>
      <c r="K13" s="96" t="str">
        <f t="array" ref="K13">IFERROR(INDEX(Sales!$K$7:$K$1506,$O13),"")</f>
        <v/>
      </c>
      <c r="L13" s="96">
        <f t="array" ref="L13">IFERROR(INDEX(Sales!$L$7:$L$1506,$O13),"")</f>
        <v>450</v>
      </c>
      <c r="M13" s="19" t="str">
        <f t="array" ref="M13">IFERROR(INDEX(Sales!$M$7:$M$1506,$O13),"")</f>
        <v>Paid</v>
      </c>
      <c r="O13" s="111">
        <f>IFERROR(MATCH(TEXT($B$3,"yyyymm")&amp;"-"&amp;(ROW()-4),Sales!$Y$7:$Y$1506,0),"")</f>
        <v>9</v>
      </c>
    </row>
    <row r="14" ht="14.25" customHeight="1">
      <c r="A14" s="110">
        <f t="array" ref="A14">IFERROR(INDEX(Sales!$A$7:$A$1506,$O14),"")</f>
        <v>46215</v>
      </c>
      <c r="B14" s="19" t="str">
        <f t="array" ref="B14">IFERROR(INDEX(Sales!$B$7:$B$1506,$O14),"")</f>
        <v>Sale</v>
      </c>
      <c r="C14" s="19" t="str">
        <f t="array" ref="C14">IFERROR(INDEX(Sales!$C$7:$C$1506,$O14),"")</f>
        <v>Shop</v>
      </c>
      <c r="D14" s="19" t="str">
        <f t="array" ref="D14">IFERROR(INDEX(Sales!$D$7:$D$1506,$O14),"")</f>
        <v>PawfectBD Shop</v>
      </c>
      <c r="E14" s="19" t="str">
        <f t="array" ref="E14">IFERROR(IF(INDEX(Sales!$E$7:$E$1506,$O14)="","",INDEX(Sales!$E$7:$E$1506,$O14)),"")</f>
        <v>PAWF-260719-25FF0</v>
      </c>
      <c r="F14" s="19" t="str">
        <f t="array" ref="F14">IFERROR(INDEX(Sales!$F$7:$F$1506,$O14),"")</f>
        <v>LT-LM-DD-5L-001</v>
      </c>
      <c r="G14" s="19" t="str">
        <f t="array" ref="G14">IFERROR(INDEX(Sales!$G$7:$G$1506,$O14),"")</f>
        <v>Dodo Cat Litter 5L Lemon Flvor</v>
      </c>
      <c r="H14" s="96">
        <f t="array" ref="H14">IFERROR(INDEX(Sales!$H$7:$H$1506,$O14),"")</f>
        <v>1</v>
      </c>
      <c r="I14" s="96">
        <f t="array" ref="I14">IFERROR(INDEX(Sales!$I$7:$I$1506,$O14),"")</f>
        <v>280</v>
      </c>
      <c r="J14" s="96">
        <f t="array" ref="J14">IFERROR(INDEX(Sales!$J$7:$J$1506,$O14),"")</f>
        <v>320</v>
      </c>
      <c r="K14" s="96">
        <f t="array" ref="K14">IFERROR(INDEX(Sales!$K$7:$K$1506,$O14),"")</f>
        <v>40</v>
      </c>
      <c r="L14" s="96">
        <f t="array" ref="L14">IFERROR(INDEX(Sales!$L$7:$L$1506,$O14),"")</f>
        <v>280</v>
      </c>
      <c r="M14" s="19" t="str">
        <f t="array" ref="M14">IFERROR(INDEX(Sales!$M$7:$M$1506,$O14),"")</f>
        <v>Paid</v>
      </c>
      <c r="O14" s="111">
        <f>IFERROR(MATCH(TEXT($B$3,"yyyymm")&amp;"-"&amp;(ROW()-4),Sales!$Y$7:$Y$1506,0),"")</f>
        <v>10</v>
      </c>
    </row>
    <row r="15" ht="14.25" customHeight="1">
      <c r="A15" s="110">
        <f t="array" ref="A15">IFERROR(INDEX(Sales!$A$7:$A$1506,$O15),"")</f>
        <v>46216</v>
      </c>
      <c r="B15" s="19" t="str">
        <f t="array" ref="B15">IFERROR(INDEX(Sales!$B$7:$B$1506,$O15),"")</f>
        <v>Sale</v>
      </c>
      <c r="C15" s="19" t="str">
        <f t="array" ref="C15">IFERROR(INDEX(Sales!$C$7:$C$1506,$O15),"")</f>
        <v>Shop</v>
      </c>
      <c r="D15" s="19" t="str">
        <f t="array" ref="D15">IFERROR(INDEX(Sales!$D$7:$D$1506,$O15),"")</f>
        <v>PawfectBD Shop</v>
      </c>
      <c r="E15" s="19" t="str">
        <f t="array" ref="E15">IFERROR(IF(INDEX(Sales!$E$7:$E$1506,$O15)="","",INDEX(Sales!$E$7:$E$1506,$O15)),"")</f>
        <v>PAWF-260719-74AA3</v>
      </c>
      <c r="F15" s="19" t="str">
        <f t="array" ref="F15">IFERROR(INDEX(Sales!$F$7:$F$1506,$O15),"")</f>
        <v>FD-DRY-ZOI-1KG-001</v>
      </c>
      <c r="G15" s="19" t="str">
        <f t="array" ref="G15">IFERROR(INDEX(Sales!$G$7:$G$1506,$O15),"")</f>
        <v>Zoi Cat Food 1kg</v>
      </c>
      <c r="H15" s="96">
        <f t="array" ref="H15">IFERROR(INDEX(Sales!$H$7:$H$1506,$O15),"")</f>
        <v>1</v>
      </c>
      <c r="I15" s="96">
        <f t="array" ref="I15">IFERROR(INDEX(Sales!$I$7:$I$1506,$O15),"")</f>
        <v>315</v>
      </c>
      <c r="J15" s="96">
        <f t="array" ref="J15">IFERROR(INDEX(Sales!$J$7:$J$1506,$O15),"")</f>
        <v>380</v>
      </c>
      <c r="K15" s="96">
        <f t="array" ref="K15">IFERROR(INDEX(Sales!$K$7:$K$1506,$O15),"")</f>
        <v>65</v>
      </c>
      <c r="L15" s="96">
        <f t="array" ref="L15">IFERROR(INDEX(Sales!$L$7:$L$1506,$O15),"")</f>
        <v>315</v>
      </c>
      <c r="M15" s="19" t="str">
        <f t="array" ref="M15">IFERROR(INDEX(Sales!$M$7:$M$1506,$O15),"")</f>
        <v>Paid</v>
      </c>
      <c r="O15" s="111">
        <f>IFERROR(MATCH(TEXT($B$3,"yyyymm")&amp;"-"&amp;(ROW()-4),Sales!$Y$7:$Y$1506,0),"")</f>
        <v>11</v>
      </c>
    </row>
    <row r="16" ht="14.25" customHeight="1">
      <c r="A16" s="110">
        <f t="array" ref="A16">IFERROR(INDEX(Sales!$A$7:$A$1506,$O16),"")</f>
        <v>46217</v>
      </c>
      <c r="B16" s="19" t="str">
        <f t="array" ref="B16">IFERROR(INDEX(Sales!$B$7:$B$1506,$O16),"")</f>
        <v>Sale</v>
      </c>
      <c r="C16" s="19" t="str">
        <f t="array" ref="C16">IFERROR(INDEX(Sales!$C$7:$C$1506,$O16),"")</f>
        <v>Shop</v>
      </c>
      <c r="D16" s="19" t="str">
        <f t="array" ref="D16">IFERROR(INDEX(Sales!$D$7:$D$1506,$O16),"")</f>
        <v>PawfectBD Shop</v>
      </c>
      <c r="E16" s="19" t="str">
        <f t="array" ref="E16">IFERROR(IF(INDEX(Sales!$E$7:$E$1506,$O16)="","",INDEX(Sales!$E$7:$E$1506,$O16)),"")</f>
        <v>PAWF-260719-74AA3</v>
      </c>
      <c r="F16" s="19" t="str">
        <f t="array" ref="F16">IFERROR(INDEX(Sales!$F$7:$F$1506,$O16),"")</f>
        <v>FD-DRY-KVF-MV-500G-001</v>
      </c>
      <c r="G16" s="19" t="str">
        <f t="array" ref="G16">IFERROR(INDEX(Sales!$G$7:$G$1506,$O16),"")</f>
        <v>Kaniva Fusion Multiviamins Chicken &amp; Pumpkin 500gm</v>
      </c>
      <c r="H16" s="96">
        <f t="array" ref="H16">IFERROR(INDEX(Sales!$H$7:$H$1506,$O16),"")</f>
        <v>1</v>
      </c>
      <c r="I16" s="96">
        <f t="array" ref="I16">IFERROR(INDEX(Sales!$I$7:$I$1506,$O16),"")</f>
        <v>500</v>
      </c>
      <c r="J16" s="96">
        <f t="array" ref="J16">IFERROR(INDEX(Sales!$J$7:$J$1506,$O16),"")</f>
        <v>650</v>
      </c>
      <c r="K16" s="96">
        <f t="array" ref="K16">IFERROR(INDEX(Sales!$K$7:$K$1506,$O16),"")</f>
        <v>150</v>
      </c>
      <c r="L16" s="96">
        <f t="array" ref="L16">IFERROR(INDEX(Sales!$L$7:$L$1506,$O16),"")</f>
        <v>500</v>
      </c>
      <c r="M16" s="19" t="str">
        <f t="array" ref="M16">IFERROR(INDEX(Sales!$M$7:$M$1506,$O16),"")</f>
        <v>Paid</v>
      </c>
      <c r="O16" s="111">
        <f>IFERROR(MATCH(TEXT($B$3,"yyyymm")&amp;"-"&amp;(ROW()-4),Sales!$Y$7:$Y$1506,0),"")</f>
        <v>12</v>
      </c>
    </row>
    <row r="17" ht="14.25" customHeight="1">
      <c r="A17" s="110">
        <f t="array" ref="A17">IFERROR(INDEX(Sales!$A$7:$A$1506,$O17),"")</f>
        <v>46218</v>
      </c>
      <c r="B17" s="19" t="str">
        <f t="array" ref="B17">IFERROR(INDEX(Sales!$B$7:$B$1506,$O17),"")</f>
        <v>Sale</v>
      </c>
      <c r="C17" s="19" t="str">
        <f t="array" ref="C17">IFERROR(INDEX(Sales!$C$7:$C$1506,$O17),"")</f>
        <v>Shop</v>
      </c>
      <c r="D17" s="19" t="str">
        <f t="array" ref="D17">IFERROR(INDEX(Sales!$D$7:$D$1506,$O17),"")</f>
        <v>PawfectBD Shop</v>
      </c>
      <c r="E17" s="19" t="str">
        <f t="array" ref="E17">IFERROR(IF(INDEX(Sales!$E$7:$E$1506,$O17)="","",INDEX(Sales!$E$7:$E$1506,$O17)),"")</f>
        <v>PAWF-260719-C4018</v>
      </c>
      <c r="F17" s="19" t="str">
        <f t="array" ref="F17">IFERROR(INDEX(Sales!$F$7:$F$1506,$O17),"")</f>
        <v>FD-DRY-SMHRT-480G-002</v>
      </c>
      <c r="G17" s="19" t="str">
        <f t="array" ref="G17">IFERROR(INDEX(Sales!$G$7:$G$1506,$O17),"")</f>
        <v>Smart Heart Adult Cat Food Chicken &amp; Tuna [480G]</v>
      </c>
      <c r="H17" s="96">
        <f t="array" ref="H17">IFERROR(INDEX(Sales!$H$7:$H$1506,$O17),"")</f>
        <v>1</v>
      </c>
      <c r="I17" s="96">
        <f t="array" ref="I17">IFERROR(INDEX(Sales!$I$7:$I$1506,$O17),"")</f>
        <v>370</v>
      </c>
      <c r="J17" s="96">
        <f t="array" ref="J17">IFERROR(INDEX(Sales!$J$7:$J$1506,$O17),"")</f>
        <v>380</v>
      </c>
      <c r="K17" s="96">
        <f t="array" ref="K17">IFERROR(INDEX(Sales!$K$7:$K$1506,$O17),"")</f>
        <v>10</v>
      </c>
      <c r="L17" s="96">
        <f t="array" ref="L17">IFERROR(INDEX(Sales!$L$7:$L$1506,$O17),"")</f>
        <v>370</v>
      </c>
      <c r="M17" s="19" t="str">
        <f t="array" ref="M17">IFERROR(INDEX(Sales!$M$7:$M$1506,$O17),"")</f>
        <v>Paid</v>
      </c>
      <c r="O17" s="111">
        <f>IFERROR(MATCH(TEXT($B$3,"yyyymm")&amp;"-"&amp;(ROW()-4),Sales!$Y$7:$Y$1506,0),"")</f>
        <v>13</v>
      </c>
    </row>
    <row r="18" ht="14.25" customHeight="1">
      <c r="A18" s="110">
        <f t="array" ref="A18">IFERROR(INDEX(Sales!$A$7:$A$1506,$O18),"")</f>
        <v>46219</v>
      </c>
      <c r="B18" s="19" t="str">
        <f t="array" ref="B18">IFERROR(INDEX(Sales!$B$7:$B$1506,$O18),"")</f>
        <v>Sale</v>
      </c>
      <c r="C18" s="19" t="str">
        <f t="array" ref="C18">IFERROR(INDEX(Sales!$C$7:$C$1506,$O18),"")</f>
        <v>Shop</v>
      </c>
      <c r="D18" s="19" t="str">
        <f t="array" ref="D18">IFERROR(INDEX(Sales!$D$7:$D$1506,$O18),"")</f>
        <v>PawfectBD Shop</v>
      </c>
      <c r="E18" s="19" t="str">
        <f t="array" ref="E18">IFERROR(IF(INDEX(Sales!$E$7:$E$1506,$O18)="","",INDEX(Sales!$E$7:$E$1506,$O18)),"")</f>
        <v>PAWF-260719-187F5</v>
      </c>
      <c r="F18" s="19" t="str">
        <f t="array" ref="F18">IFERROR(INDEX(Sales!$F$7:$F$1506,$O18),"")</f>
        <v>AC-CB-001</v>
      </c>
      <c r="G18" s="19" t="str">
        <f t="array" ref="G18">IFERROR(INDEX(Sales!$G$7:$G$1506,$O18),"")</f>
        <v>Cat Belt</v>
      </c>
      <c r="H18" s="96">
        <f t="array" ref="H18">IFERROR(INDEX(Sales!$H$7:$H$1506,$O18),"")</f>
        <v>2</v>
      </c>
      <c r="I18" s="96">
        <f t="array" ref="I18">IFERROR(INDEX(Sales!$I$7:$I$1506,$O18),"")</f>
        <v>55</v>
      </c>
      <c r="J18" s="96">
        <f t="array" ref="J18">IFERROR(INDEX(Sales!$J$7:$J$1506,$O18),"")</f>
        <v>60</v>
      </c>
      <c r="K18" s="96">
        <f t="array" ref="K18">IFERROR(INDEX(Sales!$K$7:$K$1506,$O18),"")</f>
        <v>5</v>
      </c>
      <c r="L18" s="96">
        <f t="array" ref="L18">IFERROR(INDEX(Sales!$L$7:$L$1506,$O18),"")</f>
        <v>110</v>
      </c>
      <c r="M18" s="19" t="str">
        <f t="array" ref="M18">IFERROR(INDEX(Sales!$M$7:$M$1506,$O18),"")</f>
        <v>Paid</v>
      </c>
      <c r="O18" s="111">
        <f>IFERROR(MATCH(TEXT($B$3,"yyyymm")&amp;"-"&amp;(ROW()-4),Sales!$Y$7:$Y$1506,0),"")</f>
        <v>14</v>
      </c>
    </row>
    <row r="19" ht="14.25" customHeight="1">
      <c r="A19" s="110">
        <f t="array" ref="A19">IFERROR(INDEX(Sales!$A$7:$A$1506,$O19),"")</f>
        <v>46219</v>
      </c>
      <c r="B19" s="19" t="str">
        <f t="array" ref="B19">IFERROR(INDEX(Sales!$B$7:$B$1506,$O19),"")</f>
        <v>Gift</v>
      </c>
      <c r="C19" s="19" t="str">
        <f t="array" ref="C19">IFERROR(INDEX(Sales!$C$7:$C$1506,$O19),"")</f>
        <v>Shop</v>
      </c>
      <c r="D19" s="19" t="str">
        <f t="array" ref="D19">IFERROR(INDEX(Sales!$D$7:$D$1506,$O19),"")</f>
        <v>Nadim</v>
      </c>
      <c r="E19" s="19" t="str">
        <f t="array" ref="E19">IFERROR(IF(INDEX(Sales!$E$7:$E$1506,$O19)="","",INDEX(Sales!$E$7:$E$1506,$O19)),"")</f>
        <v>PAWF-260718-8CA86</v>
      </c>
      <c r="F19" s="19" t="str">
        <f t="array" ref="F19">IFERROR(INDEX(Sales!$F$7:$F$1506,$O19),"")</f>
        <v>LT-LM-DD-5L-001</v>
      </c>
      <c r="G19" s="19" t="str">
        <f t="array" ref="G19">IFERROR(INDEX(Sales!$G$7:$G$1506,$O19),"")</f>
        <v>Dodo Cat Litter 5L Lemon Flvor</v>
      </c>
      <c r="H19" s="96">
        <f t="array" ref="H19">IFERROR(INDEX(Sales!$H$7:$H$1506,$O19),"")</f>
        <v>1</v>
      </c>
      <c r="I19" s="96">
        <f t="array" ref="I19">IFERROR(INDEX(Sales!$I$7:$I$1506,$O19),"")</f>
        <v>0</v>
      </c>
      <c r="J19" s="96">
        <f t="array" ref="J19">IFERROR(INDEX(Sales!$J$7:$J$1506,$O19),"")</f>
        <v>320</v>
      </c>
      <c r="K19" s="96">
        <f t="array" ref="K19">IFERROR(INDEX(Sales!$K$7:$K$1506,$O19),"")</f>
        <v>320</v>
      </c>
      <c r="L19" s="96">
        <f t="array" ref="L19">IFERROR(INDEX(Sales!$L$7:$L$1506,$O19),"")</f>
        <v>0</v>
      </c>
      <c r="M19" s="19" t="str">
        <f t="array" ref="M19">IFERROR(INDEX(Sales!$M$7:$M$1506,$O19),"")</f>
        <v>Paid</v>
      </c>
      <c r="O19" s="111">
        <f>IFERROR(MATCH(TEXT($B$3,"yyyymm")&amp;"-"&amp;(ROW()-4),Sales!$Y$7:$Y$1506,0),"")</f>
        <v>15</v>
      </c>
    </row>
    <row r="20" ht="14.25" customHeight="1">
      <c r="A20" s="110">
        <f t="array" ref="A20">IFERROR(INDEX(Sales!$A$7:$A$1506,$O20),"")</f>
        <v>46220</v>
      </c>
      <c r="B20" s="19" t="str">
        <f t="array" ref="B20">IFERROR(INDEX(Sales!$B$7:$B$1506,$O20),"")</f>
        <v>Sale</v>
      </c>
      <c r="C20" s="19" t="str">
        <f t="array" ref="C20">IFERROR(INDEX(Sales!$C$7:$C$1506,$O20),"")</f>
        <v>Shop</v>
      </c>
      <c r="D20" s="19" t="str">
        <f t="array" ref="D20">IFERROR(INDEX(Sales!$D$7:$D$1506,$O20),"")</f>
        <v>PawfectBD Shop</v>
      </c>
      <c r="E20" s="19" t="str">
        <f t="array" ref="E20">IFERROR(IF(INDEX(Sales!$E$7:$E$1506,$O20)="","",INDEX(Sales!$E$7:$E$1506,$O20)),"")</f>
        <v>PAWF-260718-9DC96</v>
      </c>
      <c r="F20" s="19" t="str">
        <f t="array" ref="F20">IFERROR(INDEX(Sales!$F$7:$F$1506,$O20),"")</f>
        <v>FD-DRY-KTCN-400G-001</v>
      </c>
      <c r="G20" s="19" t="str">
        <f t="array" ref="G20">IFERROR(INDEX(Sales!$G$7:$G$1506,$O20),"")</f>
        <v>Kitchen Flavor Grain Free Kitten 400G</v>
      </c>
      <c r="H20" s="96">
        <f t="array" ref="H20">IFERROR(INDEX(Sales!$H$7:$H$1506,$O20),"")</f>
        <v>1</v>
      </c>
      <c r="I20" s="96">
        <f t="array" ref="I20">IFERROR(INDEX(Sales!$I$7:$I$1506,$O20),"")</f>
        <v>350</v>
      </c>
      <c r="J20" s="96">
        <f t="array" ref="J20">IFERROR(INDEX(Sales!$J$7:$J$1506,$O20),"")</f>
        <v>380</v>
      </c>
      <c r="K20" s="96">
        <f t="array" ref="K20">IFERROR(INDEX(Sales!$K$7:$K$1506,$O20),"")</f>
        <v>30</v>
      </c>
      <c r="L20" s="96">
        <f t="array" ref="L20">IFERROR(INDEX(Sales!$L$7:$L$1506,$O20),"")</f>
        <v>350</v>
      </c>
      <c r="M20" s="19" t="str">
        <f t="array" ref="M20">IFERROR(INDEX(Sales!$M$7:$M$1506,$O20),"")</f>
        <v>Paid</v>
      </c>
      <c r="O20" s="111">
        <f>IFERROR(MATCH(TEXT($B$3,"yyyymm")&amp;"-"&amp;(ROW()-4),Sales!$Y$7:$Y$1506,0),"")</f>
        <v>16</v>
      </c>
    </row>
    <row r="21" ht="14.25" customHeight="1">
      <c r="A21" s="110">
        <f t="array" ref="A21">IFERROR(INDEX(Sales!$A$7:$A$1506,$O21),"")</f>
        <v>46220</v>
      </c>
      <c r="B21" s="19" t="str">
        <f t="array" ref="B21">IFERROR(INDEX(Sales!$B$7:$B$1506,$O21),"")</f>
        <v>Sale</v>
      </c>
      <c r="C21" s="19" t="str">
        <f t="array" ref="C21">IFERROR(INDEX(Sales!$C$7:$C$1506,$O21),"")</f>
        <v>Shop</v>
      </c>
      <c r="D21" s="19" t="str">
        <f t="array" ref="D21">IFERROR(INDEX(Sales!$D$7:$D$1506,$O21),"")</f>
        <v>PawfectBD Shop</v>
      </c>
      <c r="E21" s="19" t="str">
        <f t="array" ref="E21">IFERROR(IF(INDEX(Sales!$E$7:$E$1506,$O21)="","",INDEX(Sales!$E$7:$E$1506,$O21)),"")</f>
        <v>PAWF-260718-9DC96</v>
      </c>
      <c r="F21" s="19" t="str">
        <f t="array" ref="F21">IFERROR(INDEX(Sales!$F$7:$F$1506,$O21),"")</f>
        <v>TR-CRMY-15G-001</v>
      </c>
      <c r="G21" s="19" t="str">
        <f t="array" ref="G21">IFERROR(INDEX(Sales!$G$7:$G$1506,$O21),"")</f>
        <v>Creamy Treat 15G (Purry &amp; Hyper Paws)</v>
      </c>
      <c r="H21" s="96">
        <f t="array" ref="H21">IFERROR(INDEX(Sales!$H$7:$H$1506,$O21),"")</f>
        <v>7</v>
      </c>
      <c r="I21" s="96">
        <f t="array" ref="I21">IFERROR(INDEX(Sales!$I$7:$I$1506,$O21),"")</f>
        <v>20</v>
      </c>
      <c r="J21" s="96">
        <f t="array" ref="J21">IFERROR(INDEX(Sales!$J$7:$J$1506,$O21),"")</f>
        <v>20</v>
      </c>
      <c r="K21" s="96" t="str">
        <f t="array" ref="K21">IFERROR(INDEX(Sales!$K$7:$K$1506,$O21),"")</f>
        <v/>
      </c>
      <c r="L21" s="96">
        <f t="array" ref="L21">IFERROR(INDEX(Sales!$L$7:$L$1506,$O21),"")</f>
        <v>140</v>
      </c>
      <c r="M21" s="19" t="str">
        <f t="array" ref="M21">IFERROR(INDEX(Sales!$M$7:$M$1506,$O21),"")</f>
        <v>Paid</v>
      </c>
      <c r="O21" s="111">
        <f>IFERROR(MATCH(TEXT($B$3,"yyyymm")&amp;"-"&amp;(ROW()-4),Sales!$Y$7:$Y$1506,0),"")</f>
        <v>17</v>
      </c>
    </row>
    <row r="22" ht="14.25" customHeight="1">
      <c r="A22" s="110">
        <f t="array" ref="A22">IFERROR(INDEX(Sales!$A$7:$A$1506,$O22),"")</f>
        <v>46220</v>
      </c>
      <c r="B22" s="19" t="str">
        <f t="array" ref="B22">IFERROR(INDEX(Sales!$B$7:$B$1506,$O22),"")</f>
        <v>Sale</v>
      </c>
      <c r="C22" s="19" t="str">
        <f t="array" ref="C22">IFERROR(INDEX(Sales!$C$7:$C$1506,$O22),"")</f>
        <v>Shop</v>
      </c>
      <c r="D22" s="19" t="str">
        <f t="array" ref="D22">IFERROR(INDEX(Sales!$D$7:$D$1506,$O22),"")</f>
        <v>PawfectBD Shop</v>
      </c>
      <c r="E22" s="19" t="str">
        <f t="array" ref="E22">IFERROR(IF(INDEX(Sales!$E$7:$E$1506,$O22)="","",INDEX(Sales!$E$7:$E$1506,$O22)),"")</f>
        <v>PAWF-260718-9DC96</v>
      </c>
      <c r="F22" s="19" t="str">
        <f t="array" ref="F22">IFERROR(INDEX(Sales!$F$7:$F$1506,$O22),"")</f>
        <v>TR-CRMY-15G-001</v>
      </c>
      <c r="G22" s="19" t="str">
        <f t="array" ref="G22">IFERROR(INDEX(Sales!$G$7:$G$1506,$O22),"")</f>
        <v>Creamy Treat 15G (Purry &amp; Hyper Paws)</v>
      </c>
      <c r="H22" s="96">
        <f t="array" ref="H22">IFERROR(INDEX(Sales!$H$7:$H$1506,$O22),"")</f>
        <v>8</v>
      </c>
      <c r="I22" s="96">
        <f t="array" ref="I22">IFERROR(INDEX(Sales!$I$7:$I$1506,$O22),"")</f>
        <v>20</v>
      </c>
      <c r="J22" s="96">
        <f t="array" ref="J22">IFERROR(INDEX(Sales!$J$7:$J$1506,$O22),"")</f>
        <v>20</v>
      </c>
      <c r="K22" s="96" t="str">
        <f t="array" ref="K22">IFERROR(INDEX(Sales!$K$7:$K$1506,$O22),"")</f>
        <v/>
      </c>
      <c r="L22" s="96">
        <f t="array" ref="L22">IFERROR(INDEX(Sales!$L$7:$L$1506,$O22),"")</f>
        <v>160</v>
      </c>
      <c r="M22" s="19" t="str">
        <f t="array" ref="M22">IFERROR(INDEX(Sales!$M$7:$M$1506,$O22),"")</f>
        <v>Paid</v>
      </c>
      <c r="O22" s="111">
        <f>IFERROR(MATCH(TEXT($B$3,"yyyymm")&amp;"-"&amp;(ROW()-4),Sales!$Y$7:$Y$1506,0),"")</f>
        <v>18</v>
      </c>
    </row>
    <row r="23" ht="14.25" customHeight="1">
      <c r="A23" s="110">
        <f t="array" ref="A23">IFERROR(INDEX(Sales!$A$7:$A$1506,$O23),"")</f>
        <v>46220</v>
      </c>
      <c r="B23" s="19" t="str">
        <f t="array" ref="B23">IFERROR(INDEX(Sales!$B$7:$B$1506,$O23),"")</f>
        <v>Sale</v>
      </c>
      <c r="C23" s="19" t="str">
        <f t="array" ref="C23">IFERROR(INDEX(Sales!$C$7:$C$1506,$O23),"")</f>
        <v>Shop</v>
      </c>
      <c r="D23" s="19" t="str">
        <f t="array" ref="D23">IFERROR(INDEX(Sales!$D$7:$D$1506,$O23),"")</f>
        <v>PawfectBD Shop</v>
      </c>
      <c r="E23" s="19" t="str">
        <f t="array" ref="E23">IFERROR(IF(INDEX(Sales!$E$7:$E$1506,$O23)="","",INDEX(Sales!$E$7:$E$1506,$O23)),"")</f>
        <v>PAWF-260718-9DC96</v>
      </c>
      <c r="F23" s="19" t="str">
        <f t="array" ref="F23">IFERROR(INDEX(Sales!$F$7:$F$1506,$O23),"")</f>
        <v>LT-LM-CZE-5L-001</v>
      </c>
      <c r="G23" s="19" t="str">
        <f t="array" ref="G23">IFERROR(INDEX(Sales!$G$7:$G$1506,$O23),"")</f>
        <v>Cozie Cat Litter Lemon 5L</v>
      </c>
      <c r="H23" s="96">
        <f t="array" ref="H23">IFERROR(INDEX(Sales!$H$7:$H$1506,$O23),"")</f>
        <v>1</v>
      </c>
      <c r="I23" s="96">
        <f t="array" ref="I23">IFERROR(INDEX(Sales!$I$7:$I$1506,$O23),"")</f>
        <v>340</v>
      </c>
      <c r="J23" s="96">
        <f t="array" ref="J23">IFERROR(INDEX(Sales!$J$7:$J$1506,$O23),"")</f>
        <v>370</v>
      </c>
      <c r="K23" s="96">
        <f t="array" ref="K23">IFERROR(INDEX(Sales!$K$7:$K$1506,$O23),"")</f>
        <v>30</v>
      </c>
      <c r="L23" s="96">
        <f t="array" ref="L23">IFERROR(INDEX(Sales!$L$7:$L$1506,$O23),"")</f>
        <v>340</v>
      </c>
      <c r="M23" s="19" t="str">
        <f t="array" ref="M23">IFERROR(INDEX(Sales!$M$7:$M$1506,$O23),"")</f>
        <v>Paid</v>
      </c>
      <c r="O23" s="111">
        <f>IFERROR(MATCH(TEXT($B$3,"yyyymm")&amp;"-"&amp;(ROW()-4),Sales!$Y$7:$Y$1506,0),"")</f>
        <v>19</v>
      </c>
    </row>
    <row r="24" ht="14.25" customHeight="1">
      <c r="A24" s="110">
        <f t="array" ref="A24">IFERROR(INDEX(Sales!$A$7:$A$1506,$O24),"")</f>
        <v>46221</v>
      </c>
      <c r="B24" s="19" t="str">
        <f t="array" ref="B24">IFERROR(INDEX(Sales!$B$7:$B$1506,$O24),"")</f>
        <v>Sale</v>
      </c>
      <c r="C24" s="19" t="str">
        <f t="array" ref="C24">IFERROR(INDEX(Sales!$C$7:$C$1506,$O24),"")</f>
        <v>Shop</v>
      </c>
      <c r="D24" s="19" t="str">
        <f t="array" ref="D24">IFERROR(INDEX(Sales!$D$7:$D$1506,$O24),"")</f>
        <v>PawfectBD Shop</v>
      </c>
      <c r="E24" s="19" t="str">
        <f t="array" ref="E24">IFERROR(IF(INDEX(Sales!$E$7:$E$1506,$O24)="","",INDEX(Sales!$E$7:$E$1506,$O24)),"")</f>
        <v>PAWF-260719-0AD9E</v>
      </c>
      <c r="F24" s="19" t="str">
        <f t="array" ref="F24">IFERROR(INDEX(Sales!$F$7:$F$1506,$O24),"")</f>
        <v>AC-HM-MD-001</v>
      </c>
      <c r="G24" s="19" t="str">
        <f t="array" ref="G24">IFERROR(INDEX(Sales!$G$7:$G$1506,$O24),"")</f>
        <v>Helminticide-L Deworming Tablet </v>
      </c>
      <c r="H24" s="96">
        <f t="array" ref="H24">IFERROR(INDEX(Sales!$H$7:$H$1506,$O24),"")</f>
        <v>1</v>
      </c>
      <c r="I24" s="96">
        <f t="array" ref="I24">IFERROR(INDEX(Sales!$I$7:$I$1506,$O24),"")</f>
        <v>50</v>
      </c>
      <c r="J24" s="96">
        <f t="array" ref="J24">IFERROR(INDEX(Sales!$J$7:$J$1506,$O24),"")</f>
        <v>50</v>
      </c>
      <c r="K24" s="96" t="str">
        <f t="array" ref="K24">IFERROR(INDEX(Sales!$K$7:$K$1506,$O24),"")</f>
        <v/>
      </c>
      <c r="L24" s="96">
        <f t="array" ref="L24">IFERROR(INDEX(Sales!$L$7:$L$1506,$O24),"")</f>
        <v>50</v>
      </c>
      <c r="M24" s="19" t="str">
        <f t="array" ref="M24">IFERROR(INDEX(Sales!$M$7:$M$1506,$O24),"")</f>
        <v>Paid</v>
      </c>
      <c r="O24" s="111">
        <f>IFERROR(MATCH(TEXT($B$3,"yyyymm")&amp;"-"&amp;(ROW()-4),Sales!$Y$7:$Y$1506,0),"")</f>
        <v>20</v>
      </c>
    </row>
    <row r="25" ht="14.25" customHeight="1">
      <c r="A25" s="110">
        <f t="array" ref="A25">IFERROR(INDEX(Sales!$A$7:$A$1506,$O25),"")</f>
        <v>46221</v>
      </c>
      <c r="B25" s="19" t="str">
        <f t="array" ref="B25">IFERROR(INDEX(Sales!$B$7:$B$1506,$O25),"")</f>
        <v>Sale</v>
      </c>
      <c r="C25" s="19" t="str">
        <f t="array" ref="C25">IFERROR(INDEX(Sales!$C$7:$C$1506,$O25),"")</f>
        <v>Shop</v>
      </c>
      <c r="D25" s="19" t="str">
        <f t="array" ref="D25">IFERROR(INDEX(Sales!$D$7:$D$1506,$O25),"")</f>
        <v>PawfectBD Shop</v>
      </c>
      <c r="E25" s="19" t="str">
        <f t="array" ref="E25">IFERROR(IF(INDEX(Sales!$E$7:$E$1506,$O25)="","",INDEX(Sales!$E$7:$E$1506,$O25)),"")</f>
        <v>PAWF-260719-0AD9E</v>
      </c>
      <c r="F25" s="19" t="str">
        <f t="array" ref="F25">IFERROR(INDEX(Sales!$F$7:$F$1506,$O25),"")</f>
        <v>TR-CRMY-15G-001</v>
      </c>
      <c r="G25" s="19" t="str">
        <f t="array" ref="G25">IFERROR(INDEX(Sales!$G$7:$G$1506,$O25),"")</f>
        <v>Creamy Treat 15G (Purry &amp; Hyper Paws)</v>
      </c>
      <c r="H25" s="96">
        <f t="array" ref="H25">IFERROR(INDEX(Sales!$H$7:$H$1506,$O25),"")</f>
        <v>5</v>
      </c>
      <c r="I25" s="96">
        <f t="array" ref="I25">IFERROR(INDEX(Sales!$I$7:$I$1506,$O25),"")</f>
        <v>20</v>
      </c>
      <c r="J25" s="96">
        <f t="array" ref="J25">IFERROR(INDEX(Sales!$J$7:$J$1506,$O25),"")</f>
        <v>20</v>
      </c>
      <c r="K25" s="96" t="str">
        <f t="array" ref="K25">IFERROR(INDEX(Sales!$K$7:$K$1506,$O25),"")</f>
        <v/>
      </c>
      <c r="L25" s="96">
        <f t="array" ref="L25">IFERROR(INDEX(Sales!$L$7:$L$1506,$O25),"")</f>
        <v>100</v>
      </c>
      <c r="M25" s="19" t="str">
        <f t="array" ref="M25">IFERROR(INDEX(Sales!$M$7:$M$1506,$O25),"")</f>
        <v>Paid</v>
      </c>
      <c r="O25" s="111">
        <f>IFERROR(MATCH(TEXT($B$3,"yyyymm")&amp;"-"&amp;(ROW()-4),Sales!$Y$7:$Y$1506,0),"")</f>
        <v>21</v>
      </c>
    </row>
    <row r="26" ht="14.25" customHeight="1">
      <c r="A26" s="110">
        <f t="array" ref="A26">IFERROR(INDEX(Sales!$A$7:$A$1506,$O26),"")</f>
        <v>46221</v>
      </c>
      <c r="B26" s="19" t="str">
        <f t="array" ref="B26">IFERROR(INDEX(Sales!$B$7:$B$1506,$O26),"")</f>
        <v>Sale</v>
      </c>
      <c r="C26" s="19" t="str">
        <f t="array" ref="C26">IFERROR(INDEX(Sales!$C$7:$C$1506,$O26),"")</f>
        <v>Shop</v>
      </c>
      <c r="D26" s="19" t="str">
        <f t="array" ref="D26">IFERROR(INDEX(Sales!$D$7:$D$1506,$O26),"")</f>
        <v>PawfectBD Shop</v>
      </c>
      <c r="E26" s="19" t="str">
        <f t="array" ref="E26">IFERROR(IF(INDEX(Sales!$E$7:$E$1506,$O26)="","",INDEX(Sales!$E$7:$E$1506,$O26)),"")</f>
        <v>PAWF-260718-0F82F</v>
      </c>
      <c r="F26" s="19" t="str">
        <f t="array" ref="F26">IFERROR(INDEX(Sales!$F$7:$F$1506,$O26),"")</f>
        <v>LT-AP-DD-25L-002</v>
      </c>
      <c r="G26" s="19" t="str">
        <f t="array" ref="G26">IFERROR(INDEX(Sales!$G$7:$G$1506,$O26),"")</f>
        <v>Dodo Cat Litter 25L Apple Flvor</v>
      </c>
      <c r="H26" s="96">
        <f t="array" ref="H26">IFERROR(INDEX(Sales!$H$7:$H$1506,$O26),"")</f>
        <v>1</v>
      </c>
      <c r="I26" s="96">
        <f t="array" ref="I26">IFERROR(INDEX(Sales!$I$7:$I$1506,$O26),"")</f>
        <v>1230</v>
      </c>
      <c r="J26" s="96">
        <f t="array" ref="J26">IFERROR(INDEX(Sales!$J$7:$J$1506,$O26),"")</f>
        <v>1450</v>
      </c>
      <c r="K26" s="96">
        <f t="array" ref="K26">IFERROR(INDEX(Sales!$K$7:$K$1506,$O26),"")</f>
        <v>220</v>
      </c>
      <c r="L26" s="96">
        <f t="array" ref="L26">IFERROR(INDEX(Sales!$L$7:$L$1506,$O26),"")</f>
        <v>1230</v>
      </c>
      <c r="M26" s="19" t="str">
        <f t="array" ref="M26">IFERROR(INDEX(Sales!$M$7:$M$1506,$O26),"")</f>
        <v>Paid</v>
      </c>
      <c r="O26" s="111">
        <f>IFERROR(MATCH(TEXT($B$3,"yyyymm")&amp;"-"&amp;(ROW()-4),Sales!$Y$7:$Y$1506,0),"")</f>
        <v>22</v>
      </c>
    </row>
    <row r="27" ht="14.25" customHeight="1">
      <c r="A27" s="110">
        <f t="array" ref="A27">IFERROR(INDEX(Sales!$A$7:$A$1506,$O27),"")</f>
        <v>46221</v>
      </c>
      <c r="B27" s="19" t="str">
        <f t="array" ref="B27">IFERROR(INDEX(Sales!$B$7:$B$1506,$O27),"")</f>
        <v>Sale</v>
      </c>
      <c r="C27" s="19" t="str">
        <f t="array" ref="C27">IFERROR(INDEX(Sales!$C$7:$C$1506,$O27),"")</f>
        <v>Shop</v>
      </c>
      <c r="D27" s="19" t="str">
        <f t="array" ref="D27">IFERROR(INDEX(Sales!$D$7:$D$1506,$O27),"")</f>
        <v>PawfectBD Shop</v>
      </c>
      <c r="E27" s="19" t="str">
        <f t="array" ref="E27">IFERROR(IF(INDEX(Sales!$E$7:$E$1506,$O27)="","",INDEX(Sales!$E$7:$E$1506,$O27)),"")</f>
        <v>PAWF-260718-0F82F</v>
      </c>
      <c r="F27" s="19" t="str">
        <f t="array" ref="F27">IFERROR(INDEX(Sales!$F$7:$F$1506,$O27),"")</f>
        <v>FD-WET-KTCN-001</v>
      </c>
      <c r="G27" s="19" t="str">
        <f t="array" ref="G27">IFERROR(INDEX(Sales!$G$7:$G$1506,$O27),"")</f>
        <v>Kitchen Flavor Pate Delight</v>
      </c>
      <c r="H27" s="96">
        <f t="array" ref="H27">IFERROR(INDEX(Sales!$H$7:$H$1506,$O27),"")</f>
        <v>2</v>
      </c>
      <c r="I27" s="96">
        <f t="array" ref="I27">IFERROR(INDEX(Sales!$I$7:$I$1506,$O27),"")</f>
        <v>145</v>
      </c>
      <c r="J27" s="96">
        <f t="array" ref="J27">IFERROR(INDEX(Sales!$J$7:$J$1506,$O27),"")</f>
        <v>150</v>
      </c>
      <c r="K27" s="96">
        <f t="array" ref="K27">IFERROR(INDEX(Sales!$K$7:$K$1506,$O27),"")</f>
        <v>5</v>
      </c>
      <c r="L27" s="96">
        <f t="array" ref="L27">IFERROR(INDEX(Sales!$L$7:$L$1506,$O27),"")</f>
        <v>290</v>
      </c>
      <c r="M27" s="19" t="str">
        <f t="array" ref="M27">IFERROR(INDEX(Sales!$M$7:$M$1506,$O27),"")</f>
        <v>Paid</v>
      </c>
      <c r="O27" s="111">
        <f>IFERROR(MATCH(TEXT($B$3,"yyyymm")&amp;"-"&amp;(ROW()-4),Sales!$Y$7:$Y$1506,0),"")</f>
        <v>23</v>
      </c>
    </row>
    <row r="28" ht="14.25" customHeight="1">
      <c r="A28" s="110">
        <f t="array" ref="A28">IFERROR(INDEX(Sales!$A$7:$A$1506,$O28),"")</f>
        <v>46221</v>
      </c>
      <c r="B28" s="19" t="str">
        <f t="array" ref="B28">IFERROR(INDEX(Sales!$B$7:$B$1506,$O28),"")</f>
        <v>Gift</v>
      </c>
      <c r="C28" s="19" t="str">
        <f t="array" ref="C28">IFERROR(INDEX(Sales!$C$7:$C$1506,$O28),"")</f>
        <v>Shop</v>
      </c>
      <c r="D28" s="19" t="str">
        <f t="array" ref="D28">IFERROR(INDEX(Sales!$D$7:$D$1506,$O28),"")</f>
        <v>PawfectBD Shop</v>
      </c>
      <c r="E28" s="19" t="str">
        <f t="array" ref="E28">IFERROR(IF(INDEX(Sales!$E$7:$E$1506,$O28)="","",INDEX(Sales!$E$7:$E$1506,$O28)),"")</f>
        <v>PAWF-260718-0F82F</v>
      </c>
      <c r="F28" s="19" t="str">
        <f t="array" ref="F28">IFERROR(INDEX(Sales!$F$7:$F$1506,$O28),"")</f>
        <v>AC-CJ-AR-002</v>
      </c>
      <c r="G28" s="19" t="str">
        <f t="array" ref="G28">IFERROR(INDEX(Sales!$G$7:$G$1506,$O28),"")</f>
        <v>Cat Jersey Argentina Large</v>
      </c>
      <c r="H28" s="96">
        <f t="array" ref="H28">IFERROR(INDEX(Sales!$H$7:$H$1506,$O28),"")</f>
        <v>1</v>
      </c>
      <c r="I28" s="96">
        <f t="array" ref="I28">IFERROR(INDEX(Sales!$I$7:$I$1506,$O28),"")</f>
        <v>0</v>
      </c>
      <c r="J28" s="96">
        <f t="array" ref="J28">IFERROR(INDEX(Sales!$J$7:$J$1506,$O28),"")</f>
        <v>300</v>
      </c>
      <c r="K28" s="96">
        <f t="array" ref="K28">IFERROR(INDEX(Sales!$K$7:$K$1506,$O28),"")</f>
        <v>300</v>
      </c>
      <c r="L28" s="96">
        <f t="array" ref="L28">IFERROR(INDEX(Sales!$L$7:$L$1506,$O28),"")</f>
        <v>0</v>
      </c>
      <c r="M28" s="19" t="str">
        <f t="array" ref="M28">IFERROR(INDEX(Sales!$M$7:$M$1506,$O28),"")</f>
        <v>Paid</v>
      </c>
      <c r="O28" s="111">
        <f>IFERROR(MATCH(TEXT($B$3,"yyyymm")&amp;"-"&amp;(ROW()-4),Sales!$Y$7:$Y$1506,0),"")</f>
        <v>24</v>
      </c>
    </row>
    <row r="29" ht="14.25" customHeight="1">
      <c r="A29" s="110">
        <f t="array" ref="A29">IFERROR(INDEX(Sales!$A$7:$A$1506,$O29),"")</f>
        <v>46221</v>
      </c>
      <c r="B29" s="19" t="str">
        <f t="array" ref="B29">IFERROR(INDEX(Sales!$B$7:$B$1506,$O29),"")</f>
        <v>Sale</v>
      </c>
      <c r="C29" s="19" t="str">
        <f t="array" ref="C29">IFERROR(INDEX(Sales!$C$7:$C$1506,$O29),"")</f>
        <v>Shop</v>
      </c>
      <c r="D29" s="19" t="str">
        <f t="array" ref="D29">IFERROR(INDEX(Sales!$D$7:$D$1506,$O29),"")</f>
        <v>PawfectBD Shop</v>
      </c>
      <c r="E29" s="19" t="str">
        <f t="array" ref="E29">IFERROR(IF(INDEX(Sales!$E$7:$E$1506,$O29)="","",INDEX(Sales!$E$7:$E$1506,$O29)),"")</f>
        <v>PAWF-260729-77F7C</v>
      </c>
      <c r="F29" s="19" t="str">
        <f t="array" ref="F29">IFERROR(INDEX(Sales!$F$7:$F$1506,$O29),"")</f>
        <v>LT-CF-DD-25L-001</v>
      </c>
      <c r="G29" s="19" t="str">
        <f t="array" ref="G29">IFERROR(INDEX(Sales!$G$7:$G$1506,$O29),"")</f>
        <v>L Favorite Cat Litter 25L Coffee Flvor</v>
      </c>
      <c r="H29" s="96">
        <f t="array" ref="H29">IFERROR(INDEX(Sales!$H$7:$H$1506,$O29),"")</f>
        <v>1</v>
      </c>
      <c r="I29" s="96">
        <f t="array" ref="I29">IFERROR(INDEX(Sales!$I$7:$I$1506,$O29),"")</f>
        <v>1445</v>
      </c>
      <c r="J29" s="96">
        <f t="array" ref="J29">IFERROR(INDEX(Sales!$J$7:$J$1506,$O29),"")</f>
        <v>1550</v>
      </c>
      <c r="K29" s="96">
        <f t="array" ref="K29">IFERROR(INDEX(Sales!$K$7:$K$1506,$O29),"")</f>
        <v>105</v>
      </c>
      <c r="L29" s="96">
        <f t="array" ref="L29">IFERROR(INDEX(Sales!$L$7:$L$1506,$O29),"")</f>
        <v>1445</v>
      </c>
      <c r="M29" s="19" t="str">
        <f t="array" ref="M29">IFERROR(INDEX(Sales!$M$7:$M$1506,$O29),"")</f>
        <v>Paid</v>
      </c>
      <c r="O29" s="111">
        <f>IFERROR(MATCH(TEXT($B$3,"yyyymm")&amp;"-"&amp;(ROW()-4),Sales!$Y$7:$Y$1506,0),"")</f>
        <v>25</v>
      </c>
    </row>
    <row r="30" ht="14.25" customHeight="1">
      <c r="A30" s="110">
        <f t="array" ref="A30">IFERROR(INDEX(Sales!$A$7:$A$1506,$O30),"")</f>
        <v>46219</v>
      </c>
      <c r="B30" s="19" t="str">
        <f t="array" ref="B30">IFERROR(INDEX(Sales!$B$7:$B$1506,$O30),"")</f>
        <v>Sale</v>
      </c>
      <c r="C30" s="19" t="str">
        <f t="array" ref="C30">IFERROR(INDEX(Sales!$C$7:$C$1506,$O30),"")</f>
        <v>Shop</v>
      </c>
      <c r="D30" s="19" t="str">
        <f t="array" ref="D30">IFERROR(INDEX(Sales!$D$7:$D$1506,$O30),"")</f>
        <v>PawfectBD Shop</v>
      </c>
      <c r="E30" s="19" t="str">
        <f t="array" ref="E30">IFERROR(IF(INDEX(Sales!$E$7:$E$1506,$O30)="","",INDEX(Sales!$E$7:$E$1506,$O30)),"")</f>
        <v>PAWF-260719-B6373</v>
      </c>
      <c r="F30" s="19" t="str">
        <f t="array" ref="F30">IFERROR(INDEX(Sales!$F$7:$F$1506,$O30),"")</f>
        <v>AC-LB-002</v>
      </c>
      <c r="G30" s="19" t="str">
        <f t="array" ref="G30">IFERROR(INDEX(Sales!$G$7:$G$1506,$O30),"")</f>
        <v>Cat Litter Box Medium</v>
      </c>
      <c r="H30" s="96">
        <f t="array" ref="H30">IFERROR(INDEX(Sales!$H$7:$H$1506,$O30),"")</f>
        <v>1</v>
      </c>
      <c r="I30" s="96">
        <f t="array" ref="I30">IFERROR(INDEX(Sales!$I$7:$I$1506,$O30),"")</f>
        <v>400</v>
      </c>
      <c r="J30" s="96">
        <f t="array" ref="J30">IFERROR(INDEX(Sales!$J$7:$J$1506,$O30),"")</f>
        <v>500</v>
      </c>
      <c r="K30" s="96">
        <f t="array" ref="K30">IFERROR(INDEX(Sales!$K$7:$K$1506,$O30),"")</f>
        <v>100</v>
      </c>
      <c r="L30" s="96">
        <f t="array" ref="L30">IFERROR(INDEX(Sales!$L$7:$L$1506,$O30),"")</f>
        <v>400</v>
      </c>
      <c r="M30" s="19" t="str">
        <f t="array" ref="M30">IFERROR(INDEX(Sales!$M$7:$M$1506,$O30),"")</f>
        <v>Paid</v>
      </c>
      <c r="O30" s="111">
        <f>IFERROR(MATCH(TEXT($B$3,"yyyymm")&amp;"-"&amp;(ROW()-4),Sales!$Y$7:$Y$1506,0),"")</f>
        <v>26</v>
      </c>
    </row>
    <row r="31" ht="14.25" customHeight="1">
      <c r="A31" s="110">
        <f t="array" ref="A31">IFERROR(INDEX(Sales!$A$7:$A$1506,$O31),"")</f>
        <v>46222</v>
      </c>
      <c r="B31" s="19" t="str">
        <f t="array" ref="B31">IFERROR(INDEX(Sales!$B$7:$B$1506,$O31),"")</f>
        <v>Sale</v>
      </c>
      <c r="C31" s="19" t="str">
        <f t="array" ref="C31">IFERROR(INDEX(Sales!$C$7:$C$1506,$O31),"")</f>
        <v>Shop</v>
      </c>
      <c r="D31" s="19" t="str">
        <f t="array" ref="D31">IFERROR(INDEX(Sales!$D$7:$D$1506,$O31),"")</f>
        <v>PawfectBD Shop</v>
      </c>
      <c r="E31" s="19" t="str">
        <f t="array" ref="E31">IFERROR(IF(INDEX(Sales!$E$7:$E$1506,$O31)="","",INDEX(Sales!$E$7:$E$1506,$O31)),"")</f>
        <v>PAWF-260726-FD0E4</v>
      </c>
      <c r="F31" s="19" t="str">
        <f t="array" ref="F31">IFERROR(INDEX(Sales!$F$7:$F$1506,$O31),"")</f>
        <v>PO-WET-SMHRT-TJ-85G-001</v>
      </c>
      <c r="G31" s="19" t="str">
        <f t="array" ref="G31">IFERROR(INDEX(Sales!$G$7:$G$1506,$O31),"")</f>
        <v>Smart Heart Pouch Tuna in Jelly Kitten</v>
      </c>
      <c r="H31" s="96">
        <f t="array" ref="H31">IFERROR(INDEX(Sales!$H$7:$H$1506,$O31),"")</f>
        <v>2</v>
      </c>
      <c r="I31" s="96">
        <f t="array" ref="I31">IFERROR(INDEX(Sales!$I$7:$I$1506,$O31),"")</f>
        <v>90</v>
      </c>
      <c r="J31" s="96">
        <f t="array" ref="J31">IFERROR(INDEX(Sales!$J$7:$J$1506,$O31),"")</f>
        <v>95</v>
      </c>
      <c r="K31" s="96">
        <f t="array" ref="K31">IFERROR(INDEX(Sales!$K$7:$K$1506,$O31),"")</f>
        <v>5</v>
      </c>
      <c r="L31" s="96">
        <f t="array" ref="L31">IFERROR(INDEX(Sales!$L$7:$L$1506,$O31),"")</f>
        <v>180</v>
      </c>
      <c r="M31" s="19" t="str">
        <f t="array" ref="M31">IFERROR(INDEX(Sales!$M$7:$M$1506,$O31),"")</f>
        <v>Paid</v>
      </c>
      <c r="O31" s="111">
        <f>IFERROR(MATCH(TEXT($B$3,"yyyymm")&amp;"-"&amp;(ROW()-4),Sales!$Y$7:$Y$1506,0),"")</f>
        <v>27</v>
      </c>
    </row>
    <row r="32" ht="14.25" customHeight="1">
      <c r="A32" s="110">
        <f t="array" ref="A32">IFERROR(INDEX(Sales!$A$7:$A$1506,$O32),"")</f>
        <v>46222</v>
      </c>
      <c r="B32" s="19" t="str">
        <f t="array" ref="B32">IFERROR(INDEX(Sales!$B$7:$B$1506,$O32),"")</f>
        <v>Sale</v>
      </c>
      <c r="C32" s="19" t="str">
        <f t="array" ref="C32">IFERROR(INDEX(Sales!$C$7:$C$1506,$O32),"")</f>
        <v>Shop</v>
      </c>
      <c r="D32" s="19" t="str">
        <f t="array" ref="D32">IFERROR(INDEX(Sales!$D$7:$D$1506,$O32),"")</f>
        <v>PawfectBD Shop</v>
      </c>
      <c r="E32" s="19" t="str">
        <f t="array" ref="E32">IFERROR(IF(INDEX(Sales!$E$7:$E$1506,$O32)="","",INDEX(Sales!$E$7:$E$1506,$O32)),"")</f>
        <v>PAWF-260726-FD0E4</v>
      </c>
      <c r="F32" s="19" t="str">
        <f t="array" ref="F32">IFERROR(INDEX(Sales!$F$7:$F$1506,$O32),"")</f>
        <v>PO-WET-WK-80G-001-KT</v>
      </c>
      <c r="G32" s="19" t="str">
        <f t="array" ref="G32">IFERROR(INDEX(Sales!$G$7:$G$1506,$O32),"")</f>
        <v>Whiskas Junior Tuna Flavor</v>
      </c>
      <c r="H32" s="96">
        <f t="array" ref="H32">IFERROR(INDEX(Sales!$H$7:$H$1506,$O32),"")</f>
        <v>1</v>
      </c>
      <c r="I32" s="96">
        <f t="array" ref="I32">IFERROR(INDEX(Sales!$I$7:$I$1506,$O32),"")</f>
        <v>90</v>
      </c>
      <c r="J32" s="96">
        <f t="array" ref="J32">IFERROR(INDEX(Sales!$J$7:$J$1506,$O32),"")</f>
        <v>95</v>
      </c>
      <c r="K32" s="96">
        <f t="array" ref="K32">IFERROR(INDEX(Sales!$K$7:$K$1506,$O32),"")</f>
        <v>5</v>
      </c>
      <c r="L32" s="96">
        <f t="array" ref="L32">IFERROR(INDEX(Sales!$L$7:$L$1506,$O32),"")</f>
        <v>90</v>
      </c>
      <c r="M32" s="19" t="str">
        <f t="array" ref="M32">IFERROR(INDEX(Sales!$M$7:$M$1506,$O32),"")</f>
        <v>Paid</v>
      </c>
      <c r="O32" s="111">
        <f>IFERROR(MATCH(TEXT($B$3,"yyyymm")&amp;"-"&amp;(ROW()-4),Sales!$Y$7:$Y$1506,0),"")</f>
        <v>28</v>
      </c>
    </row>
    <row r="33" ht="14.25" customHeight="1">
      <c r="A33" s="110">
        <f t="array" ref="A33">IFERROR(INDEX(Sales!$A$7:$A$1506,$O33),"")</f>
        <v>46222</v>
      </c>
      <c r="B33" s="19" t="str">
        <f t="array" ref="B33">IFERROR(INDEX(Sales!$B$7:$B$1506,$O33),"")</f>
        <v>Sale</v>
      </c>
      <c r="C33" s="19" t="str">
        <f t="array" ref="C33">IFERROR(INDEX(Sales!$C$7:$C$1506,$O33),"")</f>
        <v>Shop</v>
      </c>
      <c r="D33" s="19" t="str">
        <f t="array" ref="D33">IFERROR(INDEX(Sales!$D$7:$D$1506,$O33),"")</f>
        <v>PawfectBD Shop</v>
      </c>
      <c r="E33" s="19" t="str">
        <f t="array" ref="E33">IFERROR(IF(INDEX(Sales!$E$7:$E$1506,$O33)="","",INDEX(Sales!$E$7:$E$1506,$O33)),"")</f>
        <v>PAWF-260726-18C42</v>
      </c>
      <c r="F33" s="19" t="str">
        <f t="array" ref="F33">IFERROR(INDEX(Sales!$F$7:$F$1506,$O33),"")</f>
        <v>TR-CRMY-15G-001</v>
      </c>
      <c r="G33" s="19" t="str">
        <f t="array" ref="G33">IFERROR(INDEX(Sales!$G$7:$G$1506,$O33),"")</f>
        <v>Creamy Treat 15G (Purry &amp; Hyper Paws)</v>
      </c>
      <c r="H33" s="96">
        <f t="array" ref="H33">IFERROR(INDEX(Sales!$H$7:$H$1506,$O33),"")</f>
        <v>2</v>
      </c>
      <c r="I33" s="96">
        <f t="array" ref="I33">IFERROR(INDEX(Sales!$I$7:$I$1506,$O33),"")</f>
        <v>20</v>
      </c>
      <c r="J33" s="96">
        <f t="array" ref="J33">IFERROR(INDEX(Sales!$J$7:$J$1506,$O33),"")</f>
        <v>20</v>
      </c>
      <c r="K33" s="96" t="str">
        <f t="array" ref="K33">IFERROR(INDEX(Sales!$K$7:$K$1506,$O33),"")</f>
        <v/>
      </c>
      <c r="L33" s="96">
        <f t="array" ref="L33">IFERROR(INDEX(Sales!$L$7:$L$1506,$O33),"")</f>
        <v>40</v>
      </c>
      <c r="M33" s="19" t="str">
        <f t="array" ref="M33">IFERROR(INDEX(Sales!$M$7:$M$1506,$O33),"")</f>
        <v>Paid</v>
      </c>
      <c r="O33" s="111">
        <f>IFERROR(MATCH(TEXT($B$3,"yyyymm")&amp;"-"&amp;(ROW()-4),Sales!$Y$7:$Y$1506,0),"")</f>
        <v>29</v>
      </c>
    </row>
    <row r="34" ht="14.25" customHeight="1">
      <c r="A34" s="110">
        <f t="array" ref="A34">IFERROR(INDEX(Sales!$A$7:$A$1506,$O34),"")</f>
        <v>46222</v>
      </c>
      <c r="B34" s="19" t="str">
        <f t="array" ref="B34">IFERROR(INDEX(Sales!$B$7:$B$1506,$O34),"")</f>
        <v>Gift</v>
      </c>
      <c r="C34" s="19" t="str">
        <f t="array" ref="C34">IFERROR(INDEX(Sales!$C$7:$C$1506,$O34),"")</f>
        <v>Shop</v>
      </c>
      <c r="D34" s="19" t="str">
        <f t="array" ref="D34">IFERROR(INDEX(Sales!$D$7:$D$1506,$O34),"")</f>
        <v>PawfectBD Shop</v>
      </c>
      <c r="E34" s="19" t="str">
        <f t="array" ref="E34">IFERROR(IF(INDEX(Sales!$E$7:$E$1506,$O34)="","",INDEX(Sales!$E$7:$E$1506,$O34)),"")</f>
        <v>PAWF-260726-18C42</v>
      </c>
      <c r="F34" s="19" t="str">
        <f t="array" ref="F34">IFERROR(INDEX(Sales!$F$7:$F$1506,$O34),"")</f>
        <v>TR-CRMY-15G-001</v>
      </c>
      <c r="G34" s="19" t="str">
        <f t="array" ref="G34">IFERROR(INDEX(Sales!$G$7:$G$1506,$O34),"")</f>
        <v>Creamy Treat 15G (Purry &amp; Hyper Paws)</v>
      </c>
      <c r="H34" s="96">
        <f t="array" ref="H34">IFERROR(INDEX(Sales!$H$7:$H$1506,$O34),"")</f>
        <v>1</v>
      </c>
      <c r="I34" s="96">
        <f t="array" ref="I34">IFERROR(INDEX(Sales!$I$7:$I$1506,$O34),"")</f>
        <v>0</v>
      </c>
      <c r="J34" s="96">
        <f t="array" ref="J34">IFERROR(INDEX(Sales!$J$7:$J$1506,$O34),"")</f>
        <v>20</v>
      </c>
      <c r="K34" s="96">
        <f t="array" ref="K34">IFERROR(INDEX(Sales!$K$7:$K$1506,$O34),"")</f>
        <v>20</v>
      </c>
      <c r="L34" s="96">
        <f t="array" ref="L34">IFERROR(INDEX(Sales!$L$7:$L$1506,$O34),"")</f>
        <v>0</v>
      </c>
      <c r="M34" s="19" t="str">
        <f t="array" ref="M34">IFERROR(INDEX(Sales!$M$7:$M$1506,$O34),"")</f>
        <v>Paid</v>
      </c>
      <c r="O34" s="111">
        <f>IFERROR(MATCH(TEXT($B$3,"yyyymm")&amp;"-"&amp;(ROW()-4),Sales!$Y$7:$Y$1506,0),"")</f>
        <v>30</v>
      </c>
    </row>
    <row r="35" ht="14.25" customHeight="1">
      <c r="A35" s="110">
        <f t="array" ref="A35">IFERROR(INDEX(Sales!$A$7:$A$1506,$O35),"")</f>
        <v>46222</v>
      </c>
      <c r="B35" s="19" t="str">
        <f t="array" ref="B35">IFERROR(INDEX(Sales!$B$7:$B$1506,$O35),"")</f>
        <v>Sale</v>
      </c>
      <c r="C35" s="19" t="str">
        <f t="array" ref="C35">IFERROR(INDEX(Sales!$C$7:$C$1506,$O35),"")</f>
        <v>Shop</v>
      </c>
      <c r="D35" s="19" t="str">
        <f t="array" ref="D35">IFERROR(INDEX(Sales!$D$7:$D$1506,$O35),"")</f>
        <v>PawfectBD Shop</v>
      </c>
      <c r="E35" s="19" t="str">
        <f t="array" ref="E35">IFERROR(IF(INDEX(Sales!$E$7:$E$1506,$O35)="","",INDEX(Sales!$E$7:$E$1506,$O35)),"")</f>
        <v>PAWF-260726-65F27</v>
      </c>
      <c r="F35" s="19" t="str">
        <f t="array" ref="F35">IFERROR(INDEX(Sales!$F$7:$F$1506,$O35),"")</f>
        <v>LT-LM-CZE-5L-001</v>
      </c>
      <c r="G35" s="19" t="str">
        <f t="array" ref="G35">IFERROR(INDEX(Sales!$G$7:$G$1506,$O35),"")</f>
        <v>Cozie Cat Litter Lemon 5L</v>
      </c>
      <c r="H35" s="96">
        <f t="array" ref="H35">IFERROR(INDEX(Sales!$H$7:$H$1506,$O35),"")</f>
        <v>1</v>
      </c>
      <c r="I35" s="96">
        <f t="array" ref="I35">IFERROR(INDEX(Sales!$I$7:$I$1506,$O35),"")</f>
        <v>350</v>
      </c>
      <c r="J35" s="96">
        <f t="array" ref="J35">IFERROR(INDEX(Sales!$J$7:$J$1506,$O35),"")</f>
        <v>370</v>
      </c>
      <c r="K35" s="96">
        <f t="array" ref="K35">IFERROR(INDEX(Sales!$K$7:$K$1506,$O35),"")</f>
        <v>20</v>
      </c>
      <c r="L35" s="96">
        <f t="array" ref="L35">IFERROR(INDEX(Sales!$L$7:$L$1506,$O35),"")</f>
        <v>350</v>
      </c>
      <c r="M35" s="19" t="str">
        <f t="array" ref="M35">IFERROR(INDEX(Sales!$M$7:$M$1506,$O35),"")</f>
        <v>Paid</v>
      </c>
      <c r="O35" s="111">
        <f>IFERROR(MATCH(TEXT($B$3,"yyyymm")&amp;"-"&amp;(ROW()-4),Sales!$Y$7:$Y$1506,0),"")</f>
        <v>31</v>
      </c>
    </row>
    <row r="36" ht="14.25" customHeight="1">
      <c r="A36" s="110">
        <f t="array" ref="A36">IFERROR(INDEX(Sales!$A$7:$A$1506,$O36),"")</f>
        <v>46222</v>
      </c>
      <c r="B36" s="19" t="str">
        <f t="array" ref="B36">IFERROR(INDEX(Sales!$B$7:$B$1506,$O36),"")</f>
        <v>Gift</v>
      </c>
      <c r="C36" s="19" t="str">
        <f t="array" ref="C36">IFERROR(INDEX(Sales!$C$7:$C$1506,$O36),"")</f>
        <v>Shop</v>
      </c>
      <c r="D36" s="19" t="str">
        <f t="array" ref="D36">IFERROR(INDEX(Sales!$D$7:$D$1506,$O36),"")</f>
        <v>PawfectBD Shop</v>
      </c>
      <c r="E36" s="19" t="str">
        <f t="array" ref="E36">IFERROR(IF(INDEX(Sales!$E$7:$E$1506,$O36)="","",INDEX(Sales!$E$7:$E$1506,$O36)),"")</f>
        <v>PAWF-260726-65F27</v>
      </c>
      <c r="F36" s="19" t="str">
        <f t="array" ref="F36">IFERROR(INDEX(Sales!$F$7:$F$1506,$O36),"")</f>
        <v>AC-CS-002</v>
      </c>
      <c r="G36" s="19" t="str">
        <f t="array" ref="G36">IFERROR(INDEX(Sales!$G$7:$G$1506,$O36),"")</f>
        <v>Cat litter scooper</v>
      </c>
      <c r="H36" s="96">
        <f t="array" ref="H36">IFERROR(INDEX(Sales!$H$7:$H$1506,$O36),"")</f>
        <v>1</v>
      </c>
      <c r="I36" s="96">
        <f t="array" ref="I36">IFERROR(INDEX(Sales!$I$7:$I$1506,$O36),"")</f>
        <v>0</v>
      </c>
      <c r="J36" s="96">
        <f t="array" ref="J36">IFERROR(INDEX(Sales!$J$7:$J$1506,$O36),"")</f>
        <v>80</v>
      </c>
      <c r="K36" s="96">
        <f t="array" ref="K36">IFERROR(INDEX(Sales!$K$7:$K$1506,$O36),"")</f>
        <v>80</v>
      </c>
      <c r="L36" s="96">
        <f t="array" ref="L36">IFERROR(INDEX(Sales!$L$7:$L$1506,$O36),"")</f>
        <v>0</v>
      </c>
      <c r="M36" s="19" t="str">
        <f t="array" ref="M36">IFERROR(INDEX(Sales!$M$7:$M$1506,$O36),"")</f>
        <v>Paid</v>
      </c>
      <c r="O36" s="111">
        <f>IFERROR(MATCH(TEXT($B$3,"yyyymm")&amp;"-"&amp;(ROW()-4),Sales!$Y$7:$Y$1506,0),"")</f>
        <v>32</v>
      </c>
    </row>
    <row r="37" ht="14.25" customHeight="1">
      <c r="A37" s="110">
        <f t="array" ref="A37">IFERROR(INDEX(Sales!$A$7:$A$1506,$O37),"")</f>
        <v>46222</v>
      </c>
      <c r="B37" s="19" t="str">
        <f t="array" ref="B37">IFERROR(INDEX(Sales!$B$7:$B$1506,$O37),"")</f>
        <v>Sale</v>
      </c>
      <c r="C37" s="19" t="str">
        <f t="array" ref="C37">IFERROR(INDEX(Sales!$C$7:$C$1506,$O37),"")</f>
        <v>Shop</v>
      </c>
      <c r="D37" s="19" t="str">
        <f t="array" ref="D37">IFERROR(INDEX(Sales!$D$7:$D$1506,$O37),"")</f>
        <v>PawfectBD Shop</v>
      </c>
      <c r="E37" s="19" t="str">
        <f t="array" ref="E37">IFERROR(IF(INDEX(Sales!$E$7:$E$1506,$O37)="","",INDEX(Sales!$E$7:$E$1506,$O37)),"")</f>
        <v>PAWF-260726-65F27</v>
      </c>
      <c r="F37" s="19" t="str">
        <f t="array" ref="F37">IFERROR(INDEX(Sales!$F$7:$F$1506,$O37),"")</f>
        <v>AC-CF-001</v>
      </c>
      <c r="G37" s="19" t="str">
        <f t="array" ref="G37">IFERROR(INDEX(Sales!$G$7:$G$1506,$O37),"")</f>
        <v>China Flea </v>
      </c>
      <c r="H37" s="96">
        <f t="array" ref="H37">IFERROR(INDEX(Sales!$H$7:$H$1506,$O37),"")</f>
        <v>1</v>
      </c>
      <c r="I37" s="96">
        <f t="array" ref="I37">IFERROR(INDEX(Sales!$I$7:$I$1506,$O37),"")</f>
        <v>120</v>
      </c>
      <c r="J37" s="96">
        <f t="array" ref="J37">IFERROR(INDEX(Sales!$J$7:$J$1506,$O37),"")</f>
        <v>120</v>
      </c>
      <c r="K37" s="96" t="str">
        <f t="array" ref="K37">IFERROR(INDEX(Sales!$K$7:$K$1506,$O37),"")</f>
        <v/>
      </c>
      <c r="L37" s="96">
        <f t="array" ref="L37">IFERROR(INDEX(Sales!$L$7:$L$1506,$O37),"")</f>
        <v>120</v>
      </c>
      <c r="M37" s="19" t="str">
        <f t="array" ref="M37">IFERROR(INDEX(Sales!$M$7:$M$1506,$O37),"")</f>
        <v>Paid</v>
      </c>
      <c r="O37" s="111">
        <f>IFERROR(MATCH(TEXT($B$3,"yyyymm")&amp;"-"&amp;(ROW()-4),Sales!$Y$7:$Y$1506,0),"")</f>
        <v>33</v>
      </c>
    </row>
    <row r="38" ht="14.25" customHeight="1">
      <c r="A38" s="110">
        <f t="array" ref="A38">IFERROR(INDEX(Sales!$A$7:$A$1506,$O38),"")</f>
        <v>46222</v>
      </c>
      <c r="B38" s="19" t="str">
        <f t="array" ref="B38">IFERROR(INDEX(Sales!$B$7:$B$1506,$O38),"")</f>
        <v>Sale</v>
      </c>
      <c r="C38" s="19" t="str">
        <f t="array" ref="C38">IFERROR(INDEX(Sales!$C$7:$C$1506,$O38),"")</f>
        <v>Shop</v>
      </c>
      <c r="D38" s="19" t="str">
        <f t="array" ref="D38">IFERROR(INDEX(Sales!$D$7:$D$1506,$O38),"")</f>
        <v>PawfectBD Shop</v>
      </c>
      <c r="E38" s="19" t="str">
        <f t="array" ref="E38">IFERROR(IF(INDEX(Sales!$E$7:$E$1506,$O38)="","",INDEX(Sales!$E$7:$E$1506,$O38)),"")</f>
        <v>PAWF-260726-65F27</v>
      </c>
      <c r="F38" s="19" t="str">
        <f t="array" ref="F38">IFERROR(INDEX(Sales!$F$7:$F$1506,$O38),"")</f>
        <v>FD-DRY-SMHRT-450G-001</v>
      </c>
      <c r="G38" s="19" t="str">
        <f t="array" ref="G38">IFERROR(INDEX(Sales!$G$7:$G$1506,$O38),"")</f>
        <v>Smart Heart Kitten Food Chicken, Fish, Egg &amp; Milk 450gm</v>
      </c>
      <c r="H38" s="96">
        <f t="array" ref="H38">IFERROR(INDEX(Sales!$H$7:$H$1506,$O38),"")</f>
        <v>1</v>
      </c>
      <c r="I38" s="96">
        <f t="array" ref="I38">IFERROR(INDEX(Sales!$I$7:$I$1506,$O38),"")</f>
        <v>320</v>
      </c>
      <c r="J38" s="96">
        <f t="array" ref="J38">IFERROR(INDEX(Sales!$J$7:$J$1506,$O38),"")</f>
        <v>380</v>
      </c>
      <c r="K38" s="96">
        <f t="array" ref="K38">IFERROR(INDEX(Sales!$K$7:$K$1506,$O38),"")</f>
        <v>60</v>
      </c>
      <c r="L38" s="96">
        <f t="array" ref="L38">IFERROR(INDEX(Sales!$L$7:$L$1506,$O38),"")</f>
        <v>320</v>
      </c>
      <c r="M38" s="19" t="str">
        <f t="array" ref="M38">IFERROR(INDEX(Sales!$M$7:$M$1506,$O38),"")</f>
        <v>Paid</v>
      </c>
      <c r="O38" s="111">
        <f>IFERROR(MATCH(TEXT($B$3,"yyyymm")&amp;"-"&amp;(ROW()-4),Sales!$Y$7:$Y$1506,0),"")</f>
        <v>34</v>
      </c>
    </row>
    <row r="39" ht="14.25" customHeight="1">
      <c r="A39" s="110">
        <f t="array" ref="A39">IFERROR(INDEX(Sales!$A$7:$A$1506,$O39),"")</f>
        <v>46223</v>
      </c>
      <c r="B39" s="19" t="str">
        <f t="array" ref="B39">IFERROR(INDEX(Sales!$B$7:$B$1506,$O39),"")</f>
        <v>Sale</v>
      </c>
      <c r="C39" s="19" t="str">
        <f t="array" ref="C39">IFERROR(INDEX(Sales!$C$7:$C$1506,$O39),"")</f>
        <v>Shop</v>
      </c>
      <c r="D39" s="19" t="str">
        <f t="array" ref="D39">IFERROR(INDEX(Sales!$D$7:$D$1506,$O39),"")</f>
        <v>PawfectBD Shop</v>
      </c>
      <c r="E39" s="19" t="str">
        <f t="array" ref="E39">IFERROR(IF(INDEX(Sales!$E$7:$E$1506,$O39)="","",INDEX(Sales!$E$7:$E$1506,$O39)),"")</f>
        <v>PAWF-260726-3B7D4</v>
      </c>
      <c r="F39" s="19" t="str">
        <f t="array" ref="F39">IFERROR(INDEX(Sales!$F$7:$F$1506,$O39),"")</f>
        <v>TR-CRMY-15G-001</v>
      </c>
      <c r="G39" s="19" t="str">
        <f t="array" ref="G39">IFERROR(INDEX(Sales!$G$7:$G$1506,$O39),"")</f>
        <v>Creamy Treat 15G (Purry &amp; Hyper Paws)</v>
      </c>
      <c r="H39" s="96">
        <f t="array" ref="H39">IFERROR(INDEX(Sales!$H$7:$H$1506,$O39),"")</f>
        <v>5</v>
      </c>
      <c r="I39" s="96">
        <f t="array" ref="I39">IFERROR(INDEX(Sales!$I$7:$I$1506,$O39),"")</f>
        <v>20</v>
      </c>
      <c r="J39" s="96">
        <f t="array" ref="J39">IFERROR(INDEX(Sales!$J$7:$J$1506,$O39),"")</f>
        <v>20</v>
      </c>
      <c r="K39" s="96" t="str">
        <f t="array" ref="K39">IFERROR(INDEX(Sales!$K$7:$K$1506,$O39),"")</f>
        <v/>
      </c>
      <c r="L39" s="96">
        <f t="array" ref="L39">IFERROR(INDEX(Sales!$L$7:$L$1506,$O39),"")</f>
        <v>100</v>
      </c>
      <c r="M39" s="19" t="str">
        <f t="array" ref="M39">IFERROR(INDEX(Sales!$M$7:$M$1506,$O39),"")</f>
        <v>Paid</v>
      </c>
      <c r="O39" s="111">
        <f>IFERROR(MATCH(TEXT($B$3,"yyyymm")&amp;"-"&amp;(ROW()-4),Sales!$Y$7:$Y$1506,0),"")</f>
        <v>35</v>
      </c>
    </row>
    <row r="40" ht="14.25" customHeight="1">
      <c r="A40" s="110">
        <f t="array" ref="A40">IFERROR(INDEX(Sales!$A$7:$A$1506,$O40),"")</f>
        <v>46224</v>
      </c>
      <c r="B40" s="19" t="str">
        <f t="array" ref="B40">IFERROR(INDEX(Sales!$B$7:$B$1506,$O40),"")</f>
        <v>Sale</v>
      </c>
      <c r="C40" s="19" t="str">
        <f t="array" ref="C40">IFERROR(INDEX(Sales!$C$7:$C$1506,$O40),"")</f>
        <v>Shop</v>
      </c>
      <c r="D40" s="19" t="str">
        <f t="array" ref="D40">IFERROR(INDEX(Sales!$D$7:$D$1506,$O40),"")</f>
        <v>PawfectBD Shop</v>
      </c>
      <c r="E40" s="19" t="str">
        <f t="array" ref="E40">IFERROR(IF(INDEX(Sales!$E$7:$E$1506,$O40)="","",INDEX(Sales!$E$7:$E$1506,$O40)),"")</f>
        <v>PAWF-260726-A9C27</v>
      </c>
      <c r="F40" s="19" t="str">
        <f t="array" ref="F40">IFERROR(INDEX(Sales!$F$7:$F$1506,$O40),"")</f>
        <v>FD-DRY-KTCN-400G-002</v>
      </c>
      <c r="G40" s="19" t="str">
        <f t="array" ref="G40">IFERROR(INDEX(Sales!$G$7:$G$1506,$O40),"")</f>
        <v>Kitchen Flavor Grain Free Adult 400G</v>
      </c>
      <c r="H40" s="96">
        <f t="array" ref="H40">IFERROR(INDEX(Sales!$H$7:$H$1506,$O40),"")</f>
        <v>1</v>
      </c>
      <c r="I40" s="96">
        <f t="array" ref="I40">IFERROR(INDEX(Sales!$I$7:$I$1506,$O40),"")</f>
        <v>380</v>
      </c>
      <c r="J40" s="96">
        <f t="array" ref="J40">IFERROR(INDEX(Sales!$J$7:$J$1506,$O40),"")</f>
        <v>380</v>
      </c>
      <c r="K40" s="96" t="str">
        <f t="array" ref="K40">IFERROR(INDEX(Sales!$K$7:$K$1506,$O40),"")</f>
        <v/>
      </c>
      <c r="L40" s="96">
        <f t="array" ref="L40">IFERROR(INDEX(Sales!$L$7:$L$1506,$O40),"")</f>
        <v>380</v>
      </c>
      <c r="M40" s="19" t="str">
        <f t="array" ref="M40">IFERROR(INDEX(Sales!$M$7:$M$1506,$O40),"")</f>
        <v>Paid</v>
      </c>
      <c r="O40" s="111">
        <f>IFERROR(MATCH(TEXT($B$3,"yyyymm")&amp;"-"&amp;(ROW()-4),Sales!$Y$7:$Y$1506,0),"")</f>
        <v>36</v>
      </c>
    </row>
    <row r="41" ht="14.25" customHeight="1">
      <c r="A41" s="110">
        <f t="array" ref="A41">IFERROR(INDEX(Sales!$A$7:$A$1506,$O41),"")</f>
        <v>46224</v>
      </c>
      <c r="B41" s="19" t="str">
        <f t="array" ref="B41">IFERROR(INDEX(Sales!$B$7:$B$1506,$O41),"")</f>
        <v>Sale</v>
      </c>
      <c r="C41" s="19" t="str">
        <f t="array" ref="C41">IFERROR(INDEX(Sales!$C$7:$C$1506,$O41),"")</f>
        <v>Shop</v>
      </c>
      <c r="D41" s="19" t="str">
        <f t="array" ref="D41">IFERROR(INDEX(Sales!$D$7:$D$1506,$O41),"")</f>
        <v>PawfectBD Shop</v>
      </c>
      <c r="E41" s="19" t="str">
        <f t="array" ref="E41">IFERROR(IF(INDEX(Sales!$E$7:$E$1506,$O41)="","",INDEX(Sales!$E$7:$E$1506,$O41)),"")</f>
        <v>PAWF-260726-A9C27</v>
      </c>
      <c r="F41" s="19" t="str">
        <f t="array" ref="F41">IFERROR(INDEX(Sales!$F$7:$F$1506,$O41),"")</f>
        <v>TR-CRMY-15G-001</v>
      </c>
      <c r="G41" s="19" t="str">
        <f t="array" ref="G41">IFERROR(INDEX(Sales!$G$7:$G$1506,$O41),"")</f>
        <v>Creamy Treat 15G (Purry &amp; Hyper Paws)</v>
      </c>
      <c r="H41" s="96">
        <f t="array" ref="H41">IFERROR(INDEX(Sales!$H$7:$H$1506,$O41),"")</f>
        <v>1</v>
      </c>
      <c r="I41" s="96">
        <f t="array" ref="I41">IFERROR(INDEX(Sales!$I$7:$I$1506,$O41),"")</f>
        <v>20</v>
      </c>
      <c r="J41" s="96">
        <f t="array" ref="J41">IFERROR(INDEX(Sales!$J$7:$J$1506,$O41),"")</f>
        <v>20</v>
      </c>
      <c r="K41" s="96" t="str">
        <f t="array" ref="K41">IFERROR(INDEX(Sales!$K$7:$K$1506,$O41),"")</f>
        <v/>
      </c>
      <c r="L41" s="96">
        <f t="array" ref="L41">IFERROR(INDEX(Sales!$L$7:$L$1506,$O41),"")</f>
        <v>20</v>
      </c>
      <c r="M41" s="19" t="str">
        <f t="array" ref="M41">IFERROR(INDEX(Sales!$M$7:$M$1506,$O41),"")</f>
        <v>Paid</v>
      </c>
      <c r="O41" s="111">
        <f>IFERROR(MATCH(TEXT($B$3,"yyyymm")&amp;"-"&amp;(ROW()-4),Sales!$Y$7:$Y$1506,0),"")</f>
        <v>37</v>
      </c>
    </row>
    <row r="42" ht="14.25" customHeight="1">
      <c r="A42" s="110">
        <f t="array" ref="A42">IFERROR(INDEX(Sales!$A$7:$A$1506,$O42),"")</f>
        <v>46224</v>
      </c>
      <c r="B42" s="19" t="str">
        <f t="array" ref="B42">IFERROR(INDEX(Sales!$B$7:$B$1506,$O42),"")</f>
        <v>Sale</v>
      </c>
      <c r="C42" s="19" t="str">
        <f t="array" ref="C42">IFERROR(INDEX(Sales!$C$7:$C$1506,$O42),"")</f>
        <v>Shop</v>
      </c>
      <c r="D42" s="19" t="str">
        <f t="array" ref="D42">IFERROR(INDEX(Sales!$D$7:$D$1506,$O42),"")</f>
        <v>PawfectBD Shop</v>
      </c>
      <c r="E42" s="19" t="str">
        <f t="array" ref="E42">IFERROR(IF(INDEX(Sales!$E$7:$E$1506,$O42)="","",INDEX(Sales!$E$7:$E$1506,$O42)),"")</f>
        <v>PAWF-260726-A9C27</v>
      </c>
      <c r="F42" s="19" t="str">
        <f t="array" ref="F42">IFERROR(INDEX(Sales!$F$7:$F$1506,$O42),"")</f>
        <v>PO-WET-SMHRT-TJ-85G-001</v>
      </c>
      <c r="G42" s="19" t="str">
        <f t="array" ref="G42">IFERROR(INDEX(Sales!$G$7:$G$1506,$O42),"")</f>
        <v>Smart Heart Pouch Tuna in Jelly Kitten</v>
      </c>
      <c r="H42" s="96">
        <f t="array" ref="H42">IFERROR(INDEX(Sales!$H$7:$H$1506,$O42),"")</f>
        <v>1</v>
      </c>
      <c r="I42" s="96">
        <f t="array" ref="I42">IFERROR(INDEX(Sales!$I$7:$I$1506,$O42),"")</f>
        <v>95</v>
      </c>
      <c r="J42" s="96">
        <f t="array" ref="J42">IFERROR(INDEX(Sales!$J$7:$J$1506,$O42),"")</f>
        <v>95</v>
      </c>
      <c r="K42" s="96" t="str">
        <f t="array" ref="K42">IFERROR(INDEX(Sales!$K$7:$K$1506,$O42),"")</f>
        <v/>
      </c>
      <c r="L42" s="96">
        <f t="array" ref="L42">IFERROR(INDEX(Sales!$L$7:$L$1506,$O42),"")</f>
        <v>95</v>
      </c>
      <c r="M42" s="19" t="str">
        <f t="array" ref="M42">IFERROR(INDEX(Sales!$M$7:$M$1506,$O42),"")</f>
        <v>Paid</v>
      </c>
      <c r="O42" s="111">
        <f>IFERROR(MATCH(TEXT($B$3,"yyyymm")&amp;"-"&amp;(ROW()-4),Sales!$Y$7:$Y$1506,0),"")</f>
        <v>38</v>
      </c>
    </row>
    <row r="43" ht="14.25" customHeight="1">
      <c r="A43" s="110">
        <f t="array" ref="A43">IFERROR(INDEX(Sales!$A$7:$A$1506,$O43),"")</f>
        <v>46225</v>
      </c>
      <c r="B43" s="19" t="str">
        <f t="array" ref="B43">IFERROR(INDEX(Sales!$B$7:$B$1506,$O43),"")</f>
        <v>Return</v>
      </c>
      <c r="C43" s="19" t="str">
        <f t="array" ref="C43">IFERROR(INDEX(Sales!$C$7:$C$1506,$O43),"")</f>
        <v>Shop</v>
      </c>
      <c r="D43" s="19" t="str">
        <f t="array" ref="D43">IFERROR(INDEX(Sales!$D$7:$D$1506,$O43),"")</f>
        <v>PawfectBD Shop</v>
      </c>
      <c r="E43" s="19" t="str">
        <f t="array" ref="E43">IFERROR(IF(INDEX(Sales!$E$7:$E$1506,$O43)="","",INDEX(Sales!$E$7:$E$1506,$O43)),"")</f>
        <v/>
      </c>
      <c r="F43" s="19" t="str">
        <f t="array" ref="F43">IFERROR(INDEX(Sales!$F$7:$F$1506,$O43),"")</f>
        <v>FD-DRY-SMHRT-1.2KG-002</v>
      </c>
      <c r="G43" s="19" t="str">
        <f t="array" ref="G43">IFERROR(INDEX(Sales!$G$7:$G$1506,$O43),"")</f>
        <v>Smart Heart Adult Cat Food Chicken &amp; Tuna 1.2KG</v>
      </c>
      <c r="H43" s="96">
        <f t="array" ref="H43">IFERROR(INDEX(Sales!$H$7:$H$1506,$O43),"")</f>
        <v>1</v>
      </c>
      <c r="I43" s="96">
        <f t="array" ref="I43">IFERROR(INDEX(Sales!$I$7:$I$1506,$O43),"")</f>
        <v>770</v>
      </c>
      <c r="J43" s="96">
        <f t="array" ref="J43">IFERROR(INDEX(Sales!$J$7:$J$1506,$O43),"")</f>
        <v>770</v>
      </c>
      <c r="K43" s="96" t="str">
        <f t="array" ref="K43">IFERROR(INDEX(Sales!$K$7:$K$1506,$O43),"")</f>
        <v/>
      </c>
      <c r="L43" s="96">
        <f t="array" ref="L43">IFERROR(INDEX(Sales!$L$7:$L$1506,$O43),"")</f>
        <v>-770</v>
      </c>
      <c r="M43" s="19" t="str">
        <f t="array" ref="M43">IFERROR(INDEX(Sales!$M$7:$M$1506,$O43),"")</f>
        <v>Paid</v>
      </c>
      <c r="O43" s="111">
        <f>IFERROR(MATCH(TEXT($B$3,"yyyymm")&amp;"-"&amp;(ROW()-4),Sales!$Y$7:$Y$1506,0),"")</f>
        <v>40</v>
      </c>
    </row>
    <row r="44" ht="14.25" customHeight="1">
      <c r="A44" s="110">
        <f t="array" ref="A44">IFERROR(INDEX(Sales!$A$7:$A$1506,$O44),"")</f>
        <v>46225</v>
      </c>
      <c r="B44" s="19" t="str">
        <f t="array" ref="B44">IFERROR(INDEX(Sales!$B$7:$B$1506,$O44),"")</f>
        <v>Sale</v>
      </c>
      <c r="C44" s="19" t="str">
        <f t="array" ref="C44">IFERROR(INDEX(Sales!$C$7:$C$1506,$O44),"")</f>
        <v>Shop</v>
      </c>
      <c r="D44" s="19" t="str">
        <f t="array" ref="D44">IFERROR(INDEX(Sales!$D$7:$D$1506,$O44),"")</f>
        <v>PawfectBD Shop</v>
      </c>
      <c r="E44" s="19" t="str">
        <f t="array" ref="E44">IFERROR(IF(INDEX(Sales!$E$7:$E$1506,$O44)="","",INDEX(Sales!$E$7:$E$1506,$O44)),"")</f>
        <v/>
      </c>
      <c r="F44" s="19" t="str">
        <f t="array" ref="F44">IFERROR(INDEX(Sales!$F$7:$F$1506,$O44),"")</f>
        <v>FD-DRY-SMHRT-1.2KG-003</v>
      </c>
      <c r="G44" s="19" t="str">
        <f t="array" ref="G44">IFERROR(INDEX(Sales!$G$7:$G$1506,$O44),"")</f>
        <v>Smart Heart Kitten Cat Food Chicken &amp; Tuna 1.2KG</v>
      </c>
      <c r="H44" s="96">
        <f t="array" ref="H44">IFERROR(INDEX(Sales!$H$7:$H$1506,$O44),"")</f>
        <v>1</v>
      </c>
      <c r="I44" s="96">
        <f t="array" ref="I44">IFERROR(INDEX(Sales!$I$7:$I$1506,$O44),"")</f>
        <v>820</v>
      </c>
      <c r="J44" s="96">
        <f t="array" ref="J44">IFERROR(INDEX(Sales!$J$7:$J$1506,$O44),"")</f>
        <v>820</v>
      </c>
      <c r="K44" s="96" t="str">
        <f t="array" ref="K44">IFERROR(INDEX(Sales!$K$7:$K$1506,$O44),"")</f>
        <v/>
      </c>
      <c r="L44" s="96">
        <f t="array" ref="L44">IFERROR(INDEX(Sales!$L$7:$L$1506,$O44),"")</f>
        <v>820</v>
      </c>
      <c r="M44" s="19" t="str">
        <f t="array" ref="M44">IFERROR(INDEX(Sales!$M$7:$M$1506,$O44),"")</f>
        <v>Paid</v>
      </c>
      <c r="O44" s="111">
        <f>IFERROR(MATCH(TEXT($B$3,"yyyymm")&amp;"-"&amp;(ROW()-4),Sales!$Y$7:$Y$1506,0),"")</f>
        <v>41</v>
      </c>
    </row>
    <row r="45" ht="14.25" customHeight="1">
      <c r="A45" s="110">
        <f t="array" ref="A45">IFERROR(INDEX(Sales!$A$7:$A$1506,$O45),"")</f>
        <v>46225</v>
      </c>
      <c r="B45" s="19" t="str">
        <f t="array" ref="B45">IFERROR(INDEX(Sales!$B$7:$B$1506,$O45),"")</f>
        <v>Sale</v>
      </c>
      <c r="C45" s="19" t="str">
        <f t="array" ref="C45">IFERROR(INDEX(Sales!$C$7:$C$1506,$O45),"")</f>
        <v>Shop</v>
      </c>
      <c r="D45" s="19" t="str">
        <f t="array" ref="D45">IFERROR(INDEX(Sales!$D$7:$D$1506,$O45),"")</f>
        <v>PawfectBD Shop</v>
      </c>
      <c r="E45" s="19" t="str">
        <f t="array" ref="E45">IFERROR(IF(INDEX(Sales!$E$7:$E$1506,$O45)="","",INDEX(Sales!$E$7:$E$1506,$O45)),"")</f>
        <v/>
      </c>
      <c r="F45" s="19" t="str">
        <f t="array" ref="F45">IFERROR(INDEX(Sales!$F$7:$F$1506,$O45),"")</f>
        <v>AC-CF-001</v>
      </c>
      <c r="G45" s="19" t="str">
        <f t="array" ref="G45">IFERROR(INDEX(Sales!$G$7:$G$1506,$O45),"")</f>
        <v>China Flea </v>
      </c>
      <c r="H45" s="96">
        <f t="array" ref="H45">IFERROR(INDEX(Sales!$H$7:$H$1506,$O45),"")</f>
        <v>1</v>
      </c>
      <c r="I45" s="96">
        <f t="array" ref="I45">IFERROR(INDEX(Sales!$I$7:$I$1506,$O45),"")</f>
        <v>90</v>
      </c>
      <c r="J45" s="96">
        <f t="array" ref="J45">IFERROR(INDEX(Sales!$J$7:$J$1506,$O45),"")</f>
        <v>120</v>
      </c>
      <c r="K45" s="96">
        <f t="array" ref="K45">IFERROR(INDEX(Sales!$K$7:$K$1506,$O45),"")</f>
        <v>30</v>
      </c>
      <c r="L45" s="96">
        <f t="array" ref="L45">IFERROR(INDEX(Sales!$L$7:$L$1506,$O45),"")</f>
        <v>90</v>
      </c>
      <c r="M45" s="19" t="str">
        <f t="array" ref="M45">IFERROR(INDEX(Sales!$M$7:$M$1506,$O45),"")</f>
        <v>Paid</v>
      </c>
      <c r="O45" s="111">
        <f>IFERROR(MATCH(TEXT($B$3,"yyyymm")&amp;"-"&amp;(ROW()-4),Sales!$Y$7:$Y$1506,0),"")</f>
        <v>42</v>
      </c>
    </row>
    <row r="46" ht="14.25" customHeight="1">
      <c r="A46" s="110">
        <f t="array" ref="A46">IFERROR(INDEX(Sales!$A$7:$A$1506,$O46),"")</f>
        <v>46226</v>
      </c>
      <c r="B46" s="19" t="str">
        <f t="array" ref="B46">IFERROR(INDEX(Sales!$B$7:$B$1506,$O46),"")</f>
        <v>Sale</v>
      </c>
      <c r="C46" s="19" t="str">
        <f t="array" ref="C46">IFERROR(INDEX(Sales!$C$7:$C$1506,$O46),"")</f>
        <v>Shop</v>
      </c>
      <c r="D46" s="19" t="str">
        <f t="array" ref="D46">IFERROR(INDEX(Sales!$D$7:$D$1506,$O46),"")</f>
        <v>PawfectBD Shop</v>
      </c>
      <c r="E46" s="19" t="str">
        <f t="array" ref="E46">IFERROR(IF(INDEX(Sales!$E$7:$E$1506,$O46)="","",INDEX(Sales!$E$7:$E$1506,$O46)),"")</f>
        <v>PAWF-260729-5B3A8</v>
      </c>
      <c r="F46" s="19" t="str">
        <f t="array" ref="F46">IFERROR(INDEX(Sales!$F$7:$F$1506,$O46),"")</f>
        <v>TR-CRMY-15G-001</v>
      </c>
      <c r="G46" s="19" t="str">
        <f t="array" ref="G46">IFERROR(INDEX(Sales!$G$7:$G$1506,$O46),"")</f>
        <v>Creamy Treat 15G (Purry &amp; Hyper Paws)</v>
      </c>
      <c r="H46" s="96">
        <f t="array" ref="H46">IFERROR(INDEX(Sales!$H$7:$H$1506,$O46),"")</f>
        <v>2</v>
      </c>
      <c r="I46" s="96">
        <f t="array" ref="I46">IFERROR(INDEX(Sales!$I$7:$I$1506,$O46),"")</f>
        <v>20</v>
      </c>
      <c r="J46" s="96">
        <f t="array" ref="J46">IFERROR(INDEX(Sales!$J$7:$J$1506,$O46),"")</f>
        <v>20</v>
      </c>
      <c r="K46" s="96" t="str">
        <f t="array" ref="K46">IFERROR(INDEX(Sales!$K$7:$K$1506,$O46),"")</f>
        <v/>
      </c>
      <c r="L46" s="96">
        <f t="array" ref="L46">IFERROR(INDEX(Sales!$L$7:$L$1506,$O46),"")</f>
        <v>40</v>
      </c>
      <c r="M46" s="19" t="str">
        <f t="array" ref="M46">IFERROR(INDEX(Sales!$M$7:$M$1506,$O46),"")</f>
        <v>Paid</v>
      </c>
      <c r="O46" s="111">
        <f>IFERROR(MATCH(TEXT($B$3,"yyyymm")&amp;"-"&amp;(ROW()-4),Sales!$Y$7:$Y$1506,0),"")</f>
        <v>43</v>
      </c>
    </row>
    <row r="47" ht="14.25" customHeight="1">
      <c r="A47" s="110">
        <f t="array" ref="A47">IFERROR(INDEX(Sales!$A$7:$A$1506,$O47),"")</f>
        <v>46226</v>
      </c>
      <c r="B47" s="19" t="str">
        <f t="array" ref="B47">IFERROR(INDEX(Sales!$B$7:$B$1506,$O47),"")</f>
        <v>Sale</v>
      </c>
      <c r="C47" s="19" t="str">
        <f t="array" ref="C47">IFERROR(INDEX(Sales!$C$7:$C$1506,$O47),"")</f>
        <v>Shop</v>
      </c>
      <c r="D47" s="19" t="str">
        <f t="array" ref="D47">IFERROR(INDEX(Sales!$D$7:$D$1506,$O47),"")</f>
        <v>PawfectBD Shop</v>
      </c>
      <c r="E47" s="19" t="str">
        <f t="array" ref="E47">IFERROR(IF(INDEX(Sales!$E$7:$E$1506,$O47)="","",INDEX(Sales!$E$7:$E$1506,$O47)),"")</f>
        <v>PAWF-260729-5B3A8</v>
      </c>
      <c r="F47" s="19" t="str">
        <f t="array" ref="F47">IFERROR(INDEX(Sales!$F$7:$F$1506,$O47),"")</f>
        <v>LT-MX-DCLP-5L-002</v>
      </c>
      <c r="G47" s="19" t="str">
        <f t="array" ref="G47">IFERROR(INDEX(Sales!$G$7:$G$1506,$O47),"")</f>
        <v>Cat Litter Mix Flavor 5L DR. Clump</v>
      </c>
      <c r="H47" s="96">
        <f t="array" ref="H47">IFERROR(INDEX(Sales!$H$7:$H$1506,$O47),"")</f>
        <v>1</v>
      </c>
      <c r="I47" s="96">
        <f t="array" ref="I47">IFERROR(INDEX(Sales!$I$7:$I$1506,$O47),"")</f>
        <v>300</v>
      </c>
      <c r="J47" s="96">
        <f t="array" ref="J47">IFERROR(INDEX(Sales!$J$7:$J$1506,$O47),"")</f>
        <v>320</v>
      </c>
      <c r="K47" s="96">
        <f t="array" ref="K47">IFERROR(INDEX(Sales!$K$7:$K$1506,$O47),"")</f>
        <v>20</v>
      </c>
      <c r="L47" s="96">
        <f t="array" ref="L47">IFERROR(INDEX(Sales!$L$7:$L$1506,$O47),"")</f>
        <v>300</v>
      </c>
      <c r="M47" s="19" t="str">
        <f t="array" ref="M47">IFERROR(INDEX(Sales!$M$7:$M$1506,$O47),"")</f>
        <v>Paid</v>
      </c>
      <c r="O47" s="111">
        <f>IFERROR(MATCH(TEXT($B$3,"yyyymm")&amp;"-"&amp;(ROW()-4),Sales!$Y$7:$Y$1506,0),"")</f>
        <v>44</v>
      </c>
    </row>
    <row r="48" ht="14.25" customHeight="1">
      <c r="A48" s="110">
        <f t="array" ref="A48">IFERROR(INDEX(Sales!$A$7:$A$1506,$O48),"")</f>
        <v>46226</v>
      </c>
      <c r="B48" s="19" t="str">
        <f t="array" ref="B48">IFERROR(INDEX(Sales!$B$7:$B$1506,$O48),"")</f>
        <v>Sale</v>
      </c>
      <c r="C48" s="19" t="str">
        <f t="array" ref="C48">IFERROR(INDEX(Sales!$C$7:$C$1506,$O48),"")</f>
        <v>Shop</v>
      </c>
      <c r="D48" s="19" t="str">
        <f t="array" ref="D48">IFERROR(INDEX(Sales!$D$7:$D$1506,$O48),"")</f>
        <v>PawfectBD Shop</v>
      </c>
      <c r="E48" s="19" t="str">
        <f t="array" ref="E48">IFERROR(IF(INDEX(Sales!$E$7:$E$1506,$O48)="","",INDEX(Sales!$E$7:$E$1506,$O48)),"")</f>
        <v>PAWF-260729-5B3A8</v>
      </c>
      <c r="F48" s="19" t="str">
        <f t="array" ref="F48">IFERROR(INDEX(Sales!$F$7:$F$1506,$O48),"")</f>
        <v>PO-WET-SMHRT-TWC-85G-001</v>
      </c>
      <c r="G48" s="19" t="str">
        <f t="array" ref="G48">IFERROR(INDEX(Sales!$G$7:$G$1506,$O48),"")</f>
        <v>Smart Heart Pouch  Tuna With Chicken in Jelly</v>
      </c>
      <c r="H48" s="96">
        <f t="array" ref="H48">IFERROR(INDEX(Sales!$H$7:$H$1506,$O48),"")</f>
        <v>2</v>
      </c>
      <c r="I48" s="96">
        <f t="array" ref="I48">IFERROR(INDEX(Sales!$I$7:$I$1506,$O48),"")</f>
        <v>95</v>
      </c>
      <c r="J48" s="96">
        <f t="array" ref="J48">IFERROR(INDEX(Sales!$J$7:$J$1506,$O48),"")</f>
        <v>95</v>
      </c>
      <c r="K48" s="96" t="str">
        <f t="array" ref="K48">IFERROR(INDEX(Sales!$K$7:$K$1506,$O48),"")</f>
        <v/>
      </c>
      <c r="L48" s="96">
        <f t="array" ref="L48">IFERROR(INDEX(Sales!$L$7:$L$1506,$O48),"")</f>
        <v>190</v>
      </c>
      <c r="M48" s="19" t="str">
        <f t="array" ref="M48">IFERROR(INDEX(Sales!$M$7:$M$1506,$O48),"")</f>
        <v>Paid</v>
      </c>
      <c r="O48" s="111">
        <f>IFERROR(MATCH(TEXT($B$3,"yyyymm")&amp;"-"&amp;(ROW()-4),Sales!$Y$7:$Y$1506,0),"")</f>
        <v>45</v>
      </c>
    </row>
    <row r="49" ht="14.25" customHeight="1">
      <c r="A49" s="110">
        <f t="array" ref="A49">IFERROR(INDEX(Sales!$A$7:$A$1506,$O49),"")</f>
        <v>46226</v>
      </c>
      <c r="B49" s="19" t="str">
        <f t="array" ref="B49">IFERROR(INDEX(Sales!$B$7:$B$1506,$O49),"")</f>
        <v>Sale</v>
      </c>
      <c r="C49" s="19" t="str">
        <f t="array" ref="C49">IFERROR(INDEX(Sales!$C$7:$C$1506,$O49),"")</f>
        <v>Shop</v>
      </c>
      <c r="D49" s="19" t="str">
        <f t="array" ref="D49">IFERROR(INDEX(Sales!$D$7:$D$1506,$O49),"")</f>
        <v>PawfectBD Shop</v>
      </c>
      <c r="E49" s="19" t="str">
        <f t="array" ref="E49">IFERROR(IF(INDEX(Sales!$E$7:$E$1506,$O49)="","",INDEX(Sales!$E$7:$E$1506,$O49)),"")</f>
        <v>PAWF-260729-5B3A8</v>
      </c>
      <c r="F49" s="19" t="str">
        <f t="array" ref="F49">IFERROR(INDEX(Sales!$F$7:$F$1506,$O49),"")</f>
        <v>TR-CRMY-15G-001</v>
      </c>
      <c r="G49" s="19" t="str">
        <f t="array" ref="G49">IFERROR(INDEX(Sales!$G$7:$G$1506,$O49),"")</f>
        <v>Creamy Treat 15G (Purry &amp; Hyper Paws)</v>
      </c>
      <c r="H49" s="96">
        <f t="array" ref="H49">IFERROR(INDEX(Sales!$H$7:$H$1506,$O49),"")</f>
        <v>1</v>
      </c>
      <c r="I49" s="96">
        <f t="array" ref="I49">IFERROR(INDEX(Sales!$I$7:$I$1506,$O49),"")</f>
        <v>20</v>
      </c>
      <c r="J49" s="96">
        <f t="array" ref="J49">IFERROR(INDEX(Sales!$J$7:$J$1506,$O49),"")</f>
        <v>20</v>
      </c>
      <c r="K49" s="96" t="str">
        <f t="array" ref="K49">IFERROR(INDEX(Sales!$K$7:$K$1506,$O49),"")</f>
        <v/>
      </c>
      <c r="L49" s="96">
        <f t="array" ref="L49">IFERROR(INDEX(Sales!$L$7:$L$1506,$O49),"")</f>
        <v>20</v>
      </c>
      <c r="M49" s="19" t="str">
        <f t="array" ref="M49">IFERROR(INDEX(Sales!$M$7:$M$1506,$O49),"")</f>
        <v>Paid</v>
      </c>
      <c r="O49" s="111">
        <f>IFERROR(MATCH(TEXT($B$3,"yyyymm")&amp;"-"&amp;(ROW()-4),Sales!$Y$7:$Y$1506,0),"")</f>
        <v>46</v>
      </c>
    </row>
    <row r="50" ht="14.25" customHeight="1">
      <c r="A50" s="110">
        <f t="array" ref="A50">IFERROR(INDEX(Sales!$A$7:$A$1506,$O50),"")</f>
        <v>46226</v>
      </c>
      <c r="B50" s="19" t="str">
        <f t="array" ref="B50">IFERROR(INDEX(Sales!$B$7:$B$1506,$O50),"")</f>
        <v>Sale</v>
      </c>
      <c r="C50" s="19" t="str">
        <f t="array" ref="C50">IFERROR(INDEX(Sales!$C$7:$C$1506,$O50),"")</f>
        <v>Shop</v>
      </c>
      <c r="D50" s="19" t="str">
        <f t="array" ref="D50">IFERROR(INDEX(Sales!$D$7:$D$1506,$O50),"")</f>
        <v>PawfectBD Shop</v>
      </c>
      <c r="E50" s="19" t="str">
        <f t="array" ref="E50">IFERROR(IF(INDEX(Sales!$E$7:$E$1506,$O50)="","",INDEX(Sales!$E$7:$E$1506,$O50)),"")</f>
        <v>PAWF-260729-5B3A8</v>
      </c>
      <c r="F50" s="19" t="str">
        <f t="array" ref="F50">IFERROR(INDEX(Sales!$F$7:$F$1506,$O50),"")</f>
        <v>AC-CB-001</v>
      </c>
      <c r="G50" s="19" t="str">
        <f t="array" ref="G50">IFERROR(INDEX(Sales!$G$7:$G$1506,$O50),"")</f>
        <v>Cat Belt</v>
      </c>
      <c r="H50" s="96">
        <f t="array" ref="H50">IFERROR(INDEX(Sales!$H$7:$H$1506,$O50),"")</f>
        <v>2</v>
      </c>
      <c r="I50" s="96">
        <f t="array" ref="I50">IFERROR(INDEX(Sales!$I$7:$I$1506,$O50),"")</f>
        <v>50</v>
      </c>
      <c r="J50" s="96">
        <f t="array" ref="J50">IFERROR(INDEX(Sales!$J$7:$J$1506,$O50),"")</f>
        <v>60</v>
      </c>
      <c r="K50" s="96">
        <f t="array" ref="K50">IFERROR(INDEX(Sales!$K$7:$K$1506,$O50),"")</f>
        <v>10</v>
      </c>
      <c r="L50" s="96">
        <f t="array" ref="L50">IFERROR(INDEX(Sales!$L$7:$L$1506,$O50),"")</f>
        <v>100</v>
      </c>
      <c r="M50" s="19" t="str">
        <f t="array" ref="M50">IFERROR(INDEX(Sales!$M$7:$M$1506,$O50),"")</f>
        <v>Paid</v>
      </c>
      <c r="O50" s="111">
        <f>IFERROR(MATCH(TEXT($B$3,"yyyymm")&amp;"-"&amp;(ROW()-4),Sales!$Y$7:$Y$1506,0),"")</f>
        <v>47</v>
      </c>
    </row>
    <row r="51" ht="14.25" customHeight="1">
      <c r="A51" s="110">
        <f t="array" ref="A51">IFERROR(INDEX(Sales!$A$7:$A$1506,$O51),"")</f>
        <v>46226</v>
      </c>
      <c r="B51" s="19" t="str">
        <f t="array" ref="B51">IFERROR(INDEX(Sales!$B$7:$B$1506,$O51),"")</f>
        <v>Sale</v>
      </c>
      <c r="C51" s="19" t="str">
        <f t="array" ref="C51">IFERROR(INDEX(Sales!$C$7:$C$1506,$O51),"")</f>
        <v>Shop</v>
      </c>
      <c r="D51" s="19" t="str">
        <f t="array" ref="D51">IFERROR(INDEX(Sales!$D$7:$D$1506,$O51),"")</f>
        <v>PawfectBD Shop</v>
      </c>
      <c r="E51" s="19" t="str">
        <f t="array" ref="E51">IFERROR(IF(INDEX(Sales!$E$7:$E$1506,$O51)="","",INDEX(Sales!$E$7:$E$1506,$O51)),"")</f>
        <v>PAWF-260729-5B3A8</v>
      </c>
      <c r="F51" s="19" t="str">
        <f t="array" ref="F51">IFERROR(INDEX(Sales!$F$7:$F$1506,$O51),"")</f>
        <v>TR-CRMY-15G-001</v>
      </c>
      <c r="G51" s="19" t="str">
        <f t="array" ref="G51">IFERROR(INDEX(Sales!$G$7:$G$1506,$O51),"")</f>
        <v>Creamy Treat 15G (Purry &amp; Hyper Paws)</v>
      </c>
      <c r="H51" s="96">
        <f t="array" ref="H51">IFERROR(INDEX(Sales!$H$7:$H$1506,$O51),"")</f>
        <v>5</v>
      </c>
      <c r="I51" s="96">
        <f t="array" ref="I51">IFERROR(INDEX(Sales!$I$7:$I$1506,$O51),"")</f>
        <v>20</v>
      </c>
      <c r="J51" s="96">
        <f t="array" ref="J51">IFERROR(INDEX(Sales!$J$7:$J$1506,$O51),"")</f>
        <v>20</v>
      </c>
      <c r="K51" s="96" t="str">
        <f t="array" ref="K51">IFERROR(INDEX(Sales!$K$7:$K$1506,$O51),"")</f>
        <v/>
      </c>
      <c r="L51" s="96">
        <f t="array" ref="L51">IFERROR(INDEX(Sales!$L$7:$L$1506,$O51),"")</f>
        <v>100</v>
      </c>
      <c r="M51" s="19" t="str">
        <f t="array" ref="M51">IFERROR(INDEX(Sales!$M$7:$M$1506,$O51),"")</f>
        <v>Paid</v>
      </c>
      <c r="O51" s="111">
        <f>IFERROR(MATCH(TEXT($B$3,"yyyymm")&amp;"-"&amp;(ROW()-4),Sales!$Y$7:$Y$1506,0),"")</f>
        <v>48</v>
      </c>
    </row>
    <row r="52" ht="14.25" customHeight="1">
      <c r="A52" s="110">
        <f t="array" ref="A52">IFERROR(INDEX(Sales!$A$7:$A$1506,$O52),"")</f>
        <v>46226</v>
      </c>
      <c r="B52" s="19" t="str">
        <f t="array" ref="B52">IFERROR(INDEX(Sales!$B$7:$B$1506,$O52),"")</f>
        <v>Sale</v>
      </c>
      <c r="C52" s="19" t="str">
        <f t="array" ref="C52">IFERROR(INDEX(Sales!$C$7:$C$1506,$O52),"")</f>
        <v>Shop</v>
      </c>
      <c r="D52" s="19" t="str">
        <f t="array" ref="D52">IFERROR(INDEX(Sales!$D$7:$D$1506,$O52),"")</f>
        <v>PawfectBD Shop</v>
      </c>
      <c r="E52" s="19" t="str">
        <f t="array" ref="E52">IFERROR(IF(INDEX(Sales!$E$7:$E$1506,$O52)="","",INDEX(Sales!$E$7:$E$1506,$O52)),"")</f>
        <v>PAWF-260729-5B3A8</v>
      </c>
      <c r="F52" s="19" t="str">
        <f t="array" ref="F52">IFERROR(INDEX(Sales!$F$7:$F$1506,$O52),"")</f>
        <v>FD-DRY-ZOI-1KG-001</v>
      </c>
      <c r="G52" s="19" t="str">
        <f t="array" ref="G52">IFERROR(INDEX(Sales!$G$7:$G$1506,$O52),"")</f>
        <v>Zoi Cat Food 1kg</v>
      </c>
      <c r="H52" s="96">
        <f t="array" ref="H52">IFERROR(INDEX(Sales!$H$7:$H$1506,$O52),"")</f>
        <v>1</v>
      </c>
      <c r="I52" s="96">
        <f t="array" ref="I52">IFERROR(INDEX(Sales!$I$7:$I$1506,$O52),"")</f>
        <v>360</v>
      </c>
      <c r="J52" s="96">
        <f t="array" ref="J52">IFERROR(INDEX(Sales!$J$7:$J$1506,$O52),"")</f>
        <v>380</v>
      </c>
      <c r="K52" s="96">
        <f t="array" ref="K52">IFERROR(INDEX(Sales!$K$7:$K$1506,$O52),"")</f>
        <v>20</v>
      </c>
      <c r="L52" s="96">
        <f t="array" ref="L52">IFERROR(INDEX(Sales!$L$7:$L$1506,$O52),"")</f>
        <v>360</v>
      </c>
      <c r="M52" s="19" t="str">
        <f t="array" ref="M52">IFERROR(INDEX(Sales!$M$7:$M$1506,$O52),"")</f>
        <v>Paid</v>
      </c>
      <c r="O52" s="111">
        <f>IFERROR(MATCH(TEXT($B$3,"yyyymm")&amp;"-"&amp;(ROW()-4),Sales!$Y$7:$Y$1506,0),"")</f>
        <v>49</v>
      </c>
    </row>
    <row r="53" ht="14.25" customHeight="1">
      <c r="A53" s="110">
        <f t="array" ref="A53">IFERROR(INDEX(Sales!$A$7:$A$1506,$O53),"")</f>
        <v>46226</v>
      </c>
      <c r="B53" s="19" t="str">
        <f t="array" ref="B53">IFERROR(INDEX(Sales!$B$7:$B$1506,$O53),"")</f>
        <v>Sale</v>
      </c>
      <c r="C53" s="19" t="str">
        <f t="array" ref="C53">IFERROR(INDEX(Sales!$C$7:$C$1506,$O53),"")</f>
        <v>Shop</v>
      </c>
      <c r="D53" s="19" t="str">
        <f t="array" ref="D53">IFERROR(INDEX(Sales!$D$7:$D$1506,$O53),"")</f>
        <v>PawfectBD Shop</v>
      </c>
      <c r="E53" s="19" t="str">
        <f t="array" ref="E53">IFERROR(IF(INDEX(Sales!$E$7:$E$1506,$O53)="","",INDEX(Sales!$E$7:$E$1506,$O53)),"")</f>
        <v>PAWF-260729-5B3A8</v>
      </c>
      <c r="F53" s="19" t="str">
        <f t="array" ref="F53">IFERROR(INDEX(Sales!$F$7:$F$1506,$O53),"")</f>
        <v>FD-DRY-KTCN-400G-002</v>
      </c>
      <c r="G53" s="19" t="str">
        <f t="array" ref="G53">IFERROR(INDEX(Sales!$G$7:$G$1506,$O53),"")</f>
        <v>Kitchen Flavor Grain Free Adult 400G</v>
      </c>
      <c r="H53" s="96">
        <f t="array" ref="H53">IFERROR(INDEX(Sales!$H$7:$H$1506,$O53),"")</f>
        <v>1</v>
      </c>
      <c r="I53" s="96">
        <f t="array" ref="I53">IFERROR(INDEX(Sales!$I$7:$I$1506,$O53),"")</f>
        <v>360</v>
      </c>
      <c r="J53" s="96">
        <f t="array" ref="J53">IFERROR(INDEX(Sales!$J$7:$J$1506,$O53),"")</f>
        <v>380</v>
      </c>
      <c r="K53" s="96">
        <f t="array" ref="K53">IFERROR(INDEX(Sales!$K$7:$K$1506,$O53),"")</f>
        <v>20</v>
      </c>
      <c r="L53" s="96">
        <f t="array" ref="L53">IFERROR(INDEX(Sales!$L$7:$L$1506,$O53),"")</f>
        <v>360</v>
      </c>
      <c r="M53" s="19" t="str">
        <f t="array" ref="M53">IFERROR(INDEX(Sales!$M$7:$M$1506,$O53),"")</f>
        <v>Paid</v>
      </c>
      <c r="O53" s="111">
        <f>IFERROR(MATCH(TEXT($B$3,"yyyymm")&amp;"-"&amp;(ROW()-4),Sales!$Y$7:$Y$1506,0),"")</f>
        <v>50</v>
      </c>
    </row>
    <row r="54" ht="14.25" customHeight="1">
      <c r="A54" s="110">
        <f t="array" ref="A54">IFERROR(INDEX(Sales!$A$7:$A$1506,$O54),"")</f>
        <v>46226</v>
      </c>
      <c r="B54" s="19" t="str">
        <f t="array" ref="B54">IFERROR(INDEX(Sales!$B$7:$B$1506,$O54),"")</f>
        <v>Sale</v>
      </c>
      <c r="C54" s="19" t="str">
        <f t="array" ref="C54">IFERROR(INDEX(Sales!$C$7:$C$1506,$O54),"")</f>
        <v>Shop</v>
      </c>
      <c r="D54" s="19" t="str">
        <f t="array" ref="D54">IFERROR(INDEX(Sales!$D$7:$D$1506,$O54),"")</f>
        <v>PawfectBD Shop</v>
      </c>
      <c r="E54" s="19" t="str">
        <f t="array" ref="E54">IFERROR(IF(INDEX(Sales!$E$7:$E$1506,$O54)="","",INDEX(Sales!$E$7:$E$1506,$O54)),"")</f>
        <v>PAWF-260729-5B3A8</v>
      </c>
      <c r="F54" s="19" t="str">
        <f t="array" ref="F54">IFERROR(INDEX(Sales!$F$7:$F$1506,$O54),"")</f>
        <v>AC-CTOY-002</v>
      </c>
      <c r="G54" s="19" t="str">
        <f t="array" ref="G54">IFERROR(INDEX(Sales!$G$7:$G$1506,$O54),"")</f>
        <v>Cat Toy Rainbow Ball Spring</v>
      </c>
      <c r="H54" s="96">
        <f t="array" ref="H54">IFERROR(INDEX(Sales!$H$7:$H$1506,$O54),"")</f>
        <v>1</v>
      </c>
      <c r="I54" s="96">
        <f t="array" ref="I54">IFERROR(INDEX(Sales!$I$7:$I$1506,$O54),"")</f>
        <v>110</v>
      </c>
      <c r="J54" s="96">
        <f t="array" ref="J54">IFERROR(INDEX(Sales!$J$7:$J$1506,$O54),"")</f>
        <v>130</v>
      </c>
      <c r="K54" s="96">
        <f t="array" ref="K54">IFERROR(INDEX(Sales!$K$7:$K$1506,$O54),"")</f>
        <v>20</v>
      </c>
      <c r="L54" s="96">
        <f t="array" ref="L54">IFERROR(INDEX(Sales!$L$7:$L$1506,$O54),"")</f>
        <v>110</v>
      </c>
      <c r="M54" s="19" t="str">
        <f t="array" ref="M54">IFERROR(INDEX(Sales!$M$7:$M$1506,$O54),"")</f>
        <v>Paid</v>
      </c>
      <c r="O54" s="111">
        <f>IFERROR(MATCH(TEXT($B$3,"yyyymm")&amp;"-"&amp;(ROW()-4),Sales!$Y$7:$Y$1506,0),"")</f>
        <v>51</v>
      </c>
    </row>
    <row r="55" ht="14.25" customHeight="1">
      <c r="A55" s="110">
        <f t="array" ref="A55">IFERROR(INDEX(Sales!$A$7:$A$1506,$O55),"")</f>
        <v>46226</v>
      </c>
      <c r="B55" s="19" t="str">
        <f t="array" ref="B55">IFERROR(INDEX(Sales!$B$7:$B$1506,$O55),"")</f>
        <v>Sale</v>
      </c>
      <c r="C55" s="19" t="str">
        <f t="array" ref="C55">IFERROR(INDEX(Sales!$C$7:$C$1506,$O55),"")</f>
        <v>Shop</v>
      </c>
      <c r="D55" s="19" t="str">
        <f t="array" ref="D55">IFERROR(INDEX(Sales!$D$7:$D$1506,$O55),"")</f>
        <v>PawfectBD Shop</v>
      </c>
      <c r="E55" s="19" t="str">
        <f t="array" ref="E55">IFERROR(IF(INDEX(Sales!$E$7:$E$1506,$O55)="","",INDEX(Sales!$E$7:$E$1506,$O55)),"")</f>
        <v>PAWF-260729-5B3A8</v>
      </c>
      <c r="F55" s="19" t="str">
        <f t="array" ref="F55">IFERROR(INDEX(Sales!$F$7:$F$1506,$O55),"")</f>
        <v>TR-CKN-SMHRT-70G-001</v>
      </c>
      <c r="G55" s="19" t="str">
        <f t="array" ref="G55">IFERROR(INDEX(Sales!$G$7:$G$1506,$O55),"")</f>
        <v>Smart Heart Chicken Treat</v>
      </c>
      <c r="H55" s="96">
        <f t="array" ref="H55">IFERROR(INDEX(Sales!$H$7:$H$1506,$O55),"")</f>
        <v>2</v>
      </c>
      <c r="I55" s="96">
        <f t="array" ref="I55">IFERROR(INDEX(Sales!$I$7:$I$1506,$O55),"")</f>
        <v>60</v>
      </c>
      <c r="J55" s="96">
        <f t="array" ref="J55">IFERROR(INDEX(Sales!$J$7:$J$1506,$O55),"")</f>
        <v>65</v>
      </c>
      <c r="K55" s="96">
        <f t="array" ref="K55">IFERROR(INDEX(Sales!$K$7:$K$1506,$O55),"")</f>
        <v>5</v>
      </c>
      <c r="L55" s="96">
        <f t="array" ref="L55">IFERROR(INDEX(Sales!$L$7:$L$1506,$O55),"")</f>
        <v>120</v>
      </c>
      <c r="M55" s="19" t="str">
        <f t="array" ref="M55">IFERROR(INDEX(Sales!$M$7:$M$1506,$O55),"")</f>
        <v>Paid</v>
      </c>
      <c r="O55" s="111">
        <f>IFERROR(MATCH(TEXT($B$3,"yyyymm")&amp;"-"&amp;(ROW()-4),Sales!$Y$7:$Y$1506,0),"")</f>
        <v>52</v>
      </c>
    </row>
    <row r="56" ht="14.25" customHeight="1">
      <c r="A56" s="110">
        <f t="array" ref="A56">IFERROR(INDEX(Sales!$A$7:$A$1506,$O56),"")</f>
        <v>46226</v>
      </c>
      <c r="B56" s="19" t="str">
        <f t="array" ref="B56">IFERROR(INDEX(Sales!$B$7:$B$1506,$O56),"")</f>
        <v>Sale</v>
      </c>
      <c r="C56" s="19" t="str">
        <f t="array" ref="C56">IFERROR(INDEX(Sales!$C$7:$C$1506,$O56),"")</f>
        <v>Shop</v>
      </c>
      <c r="D56" s="19" t="str">
        <f t="array" ref="D56">IFERROR(INDEX(Sales!$D$7:$D$1506,$O56),"")</f>
        <v>PawfectBD Shop</v>
      </c>
      <c r="E56" s="19" t="str">
        <f t="array" ref="E56">IFERROR(IF(INDEX(Sales!$E$7:$E$1506,$O56)="","",INDEX(Sales!$E$7:$E$1506,$O56)),"")</f>
        <v>PAWF-260729-5B3A8</v>
      </c>
      <c r="F56" s="19" t="str">
        <f t="array" ref="F56">IFERROR(INDEX(Sales!$F$7:$F$1506,$O56),"")</f>
        <v>TR-CRMY-15G-001</v>
      </c>
      <c r="G56" s="19" t="str">
        <f t="array" ref="G56">IFERROR(INDEX(Sales!$G$7:$G$1506,$O56),"")</f>
        <v>Creamy Treat 15G (Purry &amp; Hyper Paws)</v>
      </c>
      <c r="H56" s="96">
        <f t="array" ref="H56">IFERROR(INDEX(Sales!$H$7:$H$1506,$O56),"")</f>
        <v>1</v>
      </c>
      <c r="I56" s="96">
        <f t="array" ref="I56">IFERROR(INDEX(Sales!$I$7:$I$1506,$O56),"")</f>
        <v>20</v>
      </c>
      <c r="J56" s="96">
        <f t="array" ref="J56">IFERROR(INDEX(Sales!$J$7:$J$1506,$O56),"")</f>
        <v>20</v>
      </c>
      <c r="K56" s="96" t="str">
        <f t="array" ref="K56">IFERROR(INDEX(Sales!$K$7:$K$1506,$O56),"")</f>
        <v/>
      </c>
      <c r="L56" s="96">
        <f t="array" ref="L56">IFERROR(INDEX(Sales!$L$7:$L$1506,$O56),"")</f>
        <v>20</v>
      </c>
      <c r="M56" s="19" t="str">
        <f t="array" ref="M56">IFERROR(INDEX(Sales!$M$7:$M$1506,$O56),"")</f>
        <v>Paid</v>
      </c>
      <c r="O56" s="111">
        <f>IFERROR(MATCH(TEXT($B$3,"yyyymm")&amp;"-"&amp;(ROW()-4),Sales!$Y$7:$Y$1506,0),"")</f>
        <v>53</v>
      </c>
    </row>
    <row r="57" ht="14.25" customHeight="1">
      <c r="A57" s="110">
        <f t="array" ref="A57">IFERROR(INDEX(Sales!$A$7:$A$1506,$O57),"")</f>
        <v>46226</v>
      </c>
      <c r="B57" s="19" t="str">
        <f t="array" ref="B57">IFERROR(INDEX(Sales!$B$7:$B$1506,$O57),"")</f>
        <v>Sale</v>
      </c>
      <c r="C57" s="19" t="str">
        <f t="array" ref="C57">IFERROR(INDEX(Sales!$C$7:$C$1506,$O57),"")</f>
        <v>Shop</v>
      </c>
      <c r="D57" s="19" t="str">
        <f t="array" ref="D57">IFERROR(INDEX(Sales!$D$7:$D$1506,$O57),"")</f>
        <v>PawfectBD Shop</v>
      </c>
      <c r="E57" s="19" t="str">
        <f t="array" ref="E57">IFERROR(IF(INDEX(Sales!$E$7:$E$1506,$O57)="","",INDEX(Sales!$E$7:$E$1506,$O57)),"")</f>
        <v>PAWF-260729-5B3A8</v>
      </c>
      <c r="F57" s="19" t="str">
        <f t="array" ref="F57">IFERROR(INDEX(Sales!$F$7:$F$1506,$O57),"")</f>
        <v>LT-MX-DCLP-5L-002</v>
      </c>
      <c r="G57" s="19" t="str">
        <f t="array" ref="G57">IFERROR(INDEX(Sales!$G$7:$G$1506,$O57),"")</f>
        <v>Cat Litter Mix Flavor 5L DR. Clump</v>
      </c>
      <c r="H57" s="96">
        <f t="array" ref="H57">IFERROR(INDEX(Sales!$H$7:$H$1506,$O57),"")</f>
        <v>1</v>
      </c>
      <c r="I57" s="96">
        <f t="array" ref="I57">IFERROR(INDEX(Sales!$I$7:$I$1506,$O57),"")</f>
        <v>280</v>
      </c>
      <c r="J57" s="96">
        <f t="array" ref="J57">IFERROR(INDEX(Sales!$J$7:$J$1506,$O57),"")</f>
        <v>320</v>
      </c>
      <c r="K57" s="96">
        <f t="array" ref="K57">IFERROR(INDEX(Sales!$K$7:$K$1506,$O57),"")</f>
        <v>40</v>
      </c>
      <c r="L57" s="96">
        <f t="array" ref="L57">IFERROR(INDEX(Sales!$L$7:$L$1506,$O57),"")</f>
        <v>280</v>
      </c>
      <c r="M57" s="19" t="str">
        <f t="array" ref="M57">IFERROR(INDEX(Sales!$M$7:$M$1506,$O57),"")</f>
        <v>Paid</v>
      </c>
      <c r="O57" s="111">
        <f>IFERROR(MATCH(TEXT($B$3,"yyyymm")&amp;"-"&amp;(ROW()-4),Sales!$Y$7:$Y$1506,0),"")</f>
        <v>54</v>
      </c>
    </row>
    <row r="58" ht="14.25" customHeight="1">
      <c r="A58" s="110">
        <f t="array" ref="A58">IFERROR(INDEX(Sales!$A$7:$A$1506,$O58),"")</f>
        <v>46227</v>
      </c>
      <c r="B58" s="19" t="str">
        <f t="array" ref="B58">IFERROR(INDEX(Sales!$B$7:$B$1506,$O58),"")</f>
        <v>Sale</v>
      </c>
      <c r="C58" s="19" t="str">
        <f t="array" ref="C58">IFERROR(INDEX(Sales!$C$7:$C$1506,$O58),"")</f>
        <v>Shop</v>
      </c>
      <c r="D58" s="19" t="str">
        <f t="array" ref="D58">IFERROR(INDEX(Sales!$D$7:$D$1506,$O58),"")</f>
        <v>PawfectBD Shop</v>
      </c>
      <c r="E58" s="19" t="str">
        <f t="array" ref="E58">IFERROR(IF(INDEX(Sales!$E$7:$E$1506,$O58)="","",INDEX(Sales!$E$7:$E$1506,$O58)),"")</f>
        <v/>
      </c>
      <c r="F58" s="19" t="str">
        <f t="array" ref="F58">IFERROR(INDEX(Sales!$F$7:$F$1506,$O58),"")</f>
        <v>AC-CMB-001</v>
      </c>
      <c r="G58" s="19" t="str">
        <f t="array" ref="G58">IFERROR(INDEX(Sales!$G$7:$G$1506,$O58),"")</f>
        <v>Pet Comb One Side</v>
      </c>
      <c r="H58" s="96">
        <f t="array" ref="H58">IFERROR(INDEX(Sales!$H$7:$H$1506,$O58),"")</f>
        <v>1</v>
      </c>
      <c r="I58" s="96">
        <f t="array" ref="I58">IFERROR(INDEX(Sales!$I$7:$I$1506,$O58),"")</f>
        <v>180</v>
      </c>
      <c r="J58" s="96">
        <f t="array" ref="J58">IFERROR(INDEX(Sales!$J$7:$J$1506,$O58),"")</f>
        <v>200</v>
      </c>
      <c r="K58" s="96">
        <f t="array" ref="K58">IFERROR(INDEX(Sales!$K$7:$K$1506,$O58),"")</f>
        <v>20</v>
      </c>
      <c r="L58" s="96">
        <f t="array" ref="L58">IFERROR(INDEX(Sales!$L$7:$L$1506,$O58),"")</f>
        <v>180</v>
      </c>
      <c r="M58" s="19" t="str">
        <f t="array" ref="M58">IFERROR(INDEX(Sales!$M$7:$M$1506,$O58),"")</f>
        <v>Paid</v>
      </c>
      <c r="O58" s="111">
        <f>IFERROR(MATCH(TEXT($B$3,"yyyymm")&amp;"-"&amp;(ROW()-4),Sales!$Y$7:$Y$1506,0),"")</f>
        <v>55</v>
      </c>
    </row>
    <row r="59" ht="14.25" customHeight="1">
      <c r="A59" s="110">
        <f t="array" ref="A59">IFERROR(INDEX(Sales!$A$7:$A$1506,$O59),"")</f>
        <v>46227</v>
      </c>
      <c r="B59" s="19" t="str">
        <f t="array" ref="B59">IFERROR(INDEX(Sales!$B$7:$B$1506,$O59),"")</f>
        <v>Sale</v>
      </c>
      <c r="C59" s="19" t="str">
        <f t="array" ref="C59">IFERROR(INDEX(Sales!$C$7:$C$1506,$O59),"")</f>
        <v>Shop</v>
      </c>
      <c r="D59" s="19" t="str">
        <f t="array" ref="D59">IFERROR(INDEX(Sales!$D$7:$D$1506,$O59),"")</f>
        <v>PawfectBD Shop</v>
      </c>
      <c r="E59" s="19" t="str">
        <f t="array" ref="E59">IFERROR(IF(INDEX(Sales!$E$7:$E$1506,$O59)="","",INDEX(Sales!$E$7:$E$1506,$O59)),"")</f>
        <v/>
      </c>
      <c r="F59" s="19" t="str">
        <f t="array" ref="F59">IFERROR(INDEX(Sales!$F$7:$F$1506,$O59),"")</f>
        <v>TR-CRMY-15G-001</v>
      </c>
      <c r="G59" s="19" t="str">
        <f t="array" ref="G59">IFERROR(INDEX(Sales!$G$7:$G$1506,$O59),"")</f>
        <v>Creamy Treat 15G (Purry &amp; Hyper Paws)</v>
      </c>
      <c r="H59" s="96">
        <f t="array" ref="H59">IFERROR(INDEX(Sales!$H$7:$H$1506,$O59),"")</f>
        <v>1</v>
      </c>
      <c r="I59" s="96">
        <f t="array" ref="I59">IFERROR(INDEX(Sales!$I$7:$I$1506,$O59),"")</f>
        <v>20</v>
      </c>
      <c r="J59" s="96">
        <f t="array" ref="J59">IFERROR(INDEX(Sales!$J$7:$J$1506,$O59),"")</f>
        <v>20</v>
      </c>
      <c r="K59" s="96" t="str">
        <f t="array" ref="K59">IFERROR(INDEX(Sales!$K$7:$K$1506,$O59),"")</f>
        <v/>
      </c>
      <c r="L59" s="96">
        <f t="array" ref="L59">IFERROR(INDEX(Sales!$L$7:$L$1506,$O59),"")</f>
        <v>20</v>
      </c>
      <c r="M59" s="19" t="str">
        <f t="array" ref="M59">IFERROR(INDEX(Sales!$M$7:$M$1506,$O59),"")</f>
        <v>Paid</v>
      </c>
      <c r="O59" s="111">
        <f>IFERROR(MATCH(TEXT($B$3,"yyyymm")&amp;"-"&amp;(ROW()-4),Sales!$Y$7:$Y$1506,0),"")</f>
        <v>56</v>
      </c>
    </row>
    <row r="60" ht="14.25" customHeight="1">
      <c r="A60" s="110">
        <f t="array" ref="A60">IFERROR(INDEX(Sales!$A$7:$A$1506,$O60),"")</f>
        <v>46227</v>
      </c>
      <c r="B60" s="19" t="str">
        <f t="array" ref="B60">IFERROR(INDEX(Sales!$B$7:$B$1506,$O60),"")</f>
        <v>Gift</v>
      </c>
      <c r="C60" s="19" t="str">
        <f t="array" ref="C60">IFERROR(INDEX(Sales!$C$7:$C$1506,$O60),"")</f>
        <v>Shop</v>
      </c>
      <c r="D60" s="19" t="str">
        <f t="array" ref="D60">IFERROR(INDEX(Sales!$D$7:$D$1506,$O60),"")</f>
        <v>PawfectBD Shop</v>
      </c>
      <c r="E60" s="19" t="str">
        <f t="array" ref="E60">IFERROR(IF(INDEX(Sales!$E$7:$E$1506,$O60)="","",INDEX(Sales!$E$7:$E$1506,$O60)),"")</f>
        <v/>
      </c>
      <c r="F60" s="19" t="str">
        <f t="array" ref="F60">IFERROR(INDEX(Sales!$F$7:$F$1506,$O60),"")</f>
        <v>TR-CRMY-15G-001</v>
      </c>
      <c r="G60" s="19" t="str">
        <f t="array" ref="G60">IFERROR(INDEX(Sales!$G$7:$G$1506,$O60),"")</f>
        <v>Creamy Treat 15G (Purry &amp; Hyper Paws)</v>
      </c>
      <c r="H60" s="96">
        <f t="array" ref="H60">IFERROR(INDEX(Sales!$H$7:$H$1506,$O60),"")</f>
        <v>2</v>
      </c>
      <c r="I60" s="96">
        <f t="array" ref="I60">IFERROR(INDEX(Sales!$I$7:$I$1506,$O60),"")</f>
        <v>0</v>
      </c>
      <c r="J60" s="96">
        <f t="array" ref="J60">IFERROR(INDEX(Sales!$J$7:$J$1506,$O60),"")</f>
        <v>20</v>
      </c>
      <c r="K60" s="96">
        <f t="array" ref="K60">IFERROR(INDEX(Sales!$K$7:$K$1506,$O60),"")</f>
        <v>20</v>
      </c>
      <c r="L60" s="96">
        <f t="array" ref="L60">IFERROR(INDEX(Sales!$L$7:$L$1506,$O60),"")</f>
        <v>0</v>
      </c>
      <c r="M60" s="19" t="str">
        <f t="array" ref="M60">IFERROR(INDEX(Sales!$M$7:$M$1506,$O60),"")</f>
        <v>Paid</v>
      </c>
      <c r="O60" s="111">
        <f>IFERROR(MATCH(TEXT($B$3,"yyyymm")&amp;"-"&amp;(ROW()-4),Sales!$Y$7:$Y$1506,0),"")</f>
        <v>57</v>
      </c>
    </row>
    <row r="61" ht="14.25" customHeight="1">
      <c r="A61" s="110">
        <f t="array" ref="A61">IFERROR(INDEX(Sales!$A$7:$A$1506,$O61),"")</f>
        <v>46227</v>
      </c>
      <c r="B61" s="19" t="str">
        <f t="array" ref="B61">IFERROR(INDEX(Sales!$B$7:$B$1506,$O61),"")</f>
        <v>Sale</v>
      </c>
      <c r="C61" s="19" t="str">
        <f t="array" ref="C61">IFERROR(INDEX(Sales!$C$7:$C$1506,$O61),"")</f>
        <v>Shop</v>
      </c>
      <c r="D61" s="19" t="str">
        <f t="array" ref="D61">IFERROR(INDEX(Sales!$D$7:$D$1506,$O61),"")</f>
        <v>PawfectBD Shop</v>
      </c>
      <c r="E61" s="19" t="str">
        <f t="array" ref="E61">IFERROR(IF(INDEX(Sales!$E$7:$E$1506,$O61)="","",INDEX(Sales!$E$7:$E$1506,$O61)),"")</f>
        <v/>
      </c>
      <c r="F61" s="19" t="str">
        <f t="array" ref="F61">IFERROR(INDEX(Sales!$F$7:$F$1506,$O61),"")</f>
        <v>FD-DRY-SMHRT-480G-002</v>
      </c>
      <c r="G61" s="19" t="str">
        <f t="array" ref="G61">IFERROR(INDEX(Sales!$G$7:$G$1506,$O61),"")</f>
        <v>Smart Heart Adult Cat Food Chicken &amp; Tuna [480G]</v>
      </c>
      <c r="H61" s="96">
        <f t="array" ref="H61">IFERROR(INDEX(Sales!$H$7:$H$1506,$O61),"")</f>
        <v>1</v>
      </c>
      <c r="I61" s="96">
        <f t="array" ref="I61">IFERROR(INDEX(Sales!$I$7:$I$1506,$O61),"")</f>
        <v>350</v>
      </c>
      <c r="J61" s="96">
        <f t="array" ref="J61">IFERROR(INDEX(Sales!$J$7:$J$1506,$O61),"")</f>
        <v>380</v>
      </c>
      <c r="K61" s="96">
        <f t="array" ref="K61">IFERROR(INDEX(Sales!$K$7:$K$1506,$O61),"")</f>
        <v>30</v>
      </c>
      <c r="L61" s="96">
        <f t="array" ref="L61">IFERROR(INDEX(Sales!$L$7:$L$1506,$O61),"")</f>
        <v>350</v>
      </c>
      <c r="M61" s="19" t="str">
        <f t="array" ref="M61">IFERROR(INDEX(Sales!$M$7:$M$1506,$O61),"")</f>
        <v>Paid</v>
      </c>
      <c r="O61" s="111">
        <f>IFERROR(MATCH(TEXT($B$3,"yyyymm")&amp;"-"&amp;(ROW()-4),Sales!$Y$7:$Y$1506,0),"")</f>
        <v>58</v>
      </c>
    </row>
    <row r="62" ht="14.25" customHeight="1">
      <c r="A62" s="110">
        <f t="array" ref="A62">IFERROR(INDEX(Sales!$A$7:$A$1506,$O62),"")</f>
        <v>46227</v>
      </c>
      <c r="B62" s="19" t="str">
        <f t="array" ref="B62">IFERROR(INDEX(Sales!$B$7:$B$1506,$O62),"")</f>
        <v>Sale</v>
      </c>
      <c r="C62" s="19" t="str">
        <f t="array" ref="C62">IFERROR(INDEX(Sales!$C$7:$C$1506,$O62),"")</f>
        <v>Shop</v>
      </c>
      <c r="D62" s="19" t="str">
        <f t="array" ref="D62">IFERROR(INDEX(Sales!$D$7:$D$1506,$O62),"")</f>
        <v>PawfectBD Shop</v>
      </c>
      <c r="E62" s="19" t="str">
        <f t="array" ref="E62">IFERROR(IF(INDEX(Sales!$E$7:$E$1506,$O62)="","",INDEX(Sales!$E$7:$E$1506,$O62)),"")</f>
        <v/>
      </c>
      <c r="F62" s="19" t="str">
        <f t="array" ref="F62">IFERROR(INDEX(Sales!$F$7:$F$1506,$O62),"")</f>
        <v>PO-WET-SMHRT-TWC-85G-001</v>
      </c>
      <c r="G62" s="19" t="str">
        <f t="array" ref="G62">IFERROR(INDEX(Sales!$G$7:$G$1506,$O62),"")</f>
        <v>Smart Heart Pouch  Tuna With Chicken in Jelly</v>
      </c>
      <c r="H62" s="96">
        <f t="array" ref="H62">IFERROR(INDEX(Sales!$H$7:$H$1506,$O62),"")</f>
        <v>5</v>
      </c>
      <c r="I62" s="96">
        <f t="array" ref="I62">IFERROR(INDEX(Sales!$I$7:$I$1506,$O62),"")</f>
        <v>90</v>
      </c>
      <c r="J62" s="96">
        <f t="array" ref="J62">IFERROR(INDEX(Sales!$J$7:$J$1506,$O62),"")</f>
        <v>95</v>
      </c>
      <c r="K62" s="96">
        <f t="array" ref="K62">IFERROR(INDEX(Sales!$K$7:$K$1506,$O62),"")</f>
        <v>5</v>
      </c>
      <c r="L62" s="96">
        <f t="array" ref="L62">IFERROR(INDEX(Sales!$L$7:$L$1506,$O62),"")</f>
        <v>450</v>
      </c>
      <c r="M62" s="19" t="str">
        <f t="array" ref="M62">IFERROR(INDEX(Sales!$M$7:$M$1506,$O62),"")</f>
        <v>Paid</v>
      </c>
      <c r="O62" s="111">
        <f>IFERROR(MATCH(TEXT($B$3,"yyyymm")&amp;"-"&amp;(ROW()-4),Sales!$Y$7:$Y$1506,0),"")</f>
        <v>59</v>
      </c>
    </row>
    <row r="63" ht="14.25" customHeight="1">
      <c r="A63" s="110">
        <f t="array" ref="A63">IFERROR(INDEX(Sales!$A$7:$A$1506,$O63),"")</f>
        <v>46227</v>
      </c>
      <c r="B63" s="19" t="str">
        <f t="array" ref="B63">IFERROR(INDEX(Sales!$B$7:$B$1506,$O63),"")</f>
        <v>Sale</v>
      </c>
      <c r="C63" s="19" t="str">
        <f t="array" ref="C63">IFERROR(INDEX(Sales!$C$7:$C$1506,$O63),"")</f>
        <v>Shop</v>
      </c>
      <c r="D63" s="19" t="str">
        <f t="array" ref="D63">IFERROR(INDEX(Sales!$D$7:$D$1506,$O63),"")</f>
        <v>PawfectBD Shop</v>
      </c>
      <c r="E63" s="19" t="str">
        <f t="array" ref="E63">IFERROR(IF(INDEX(Sales!$E$7:$E$1506,$O63)="","",INDEX(Sales!$E$7:$E$1506,$O63)),"")</f>
        <v/>
      </c>
      <c r="F63" s="19" t="str">
        <f t="array" ref="F63">IFERROR(INDEX(Sales!$F$7:$F$1506,$O63),"")</f>
        <v>PO-TP-70G-001</v>
      </c>
      <c r="G63" s="19" t="str">
        <f t="array" ref="G63">IFERROR(INDEX(Sales!$G$7:$G$1506,$O63),"")</f>
        <v>Taipet Chicken Tuna in Jelly</v>
      </c>
      <c r="H63" s="96">
        <f t="array" ref="H63">IFERROR(INDEX(Sales!$H$7:$H$1506,$O63),"")</f>
        <v>1</v>
      </c>
      <c r="I63" s="96">
        <f t="array" ref="I63">IFERROR(INDEX(Sales!$I$7:$I$1506,$O63),"")</f>
        <v>75</v>
      </c>
      <c r="J63" s="96">
        <f t="array" ref="J63">IFERROR(INDEX(Sales!$J$7:$J$1506,$O63),"")</f>
        <v>75</v>
      </c>
      <c r="K63" s="96" t="str">
        <f t="array" ref="K63">IFERROR(INDEX(Sales!$K$7:$K$1506,$O63),"")</f>
        <v/>
      </c>
      <c r="L63" s="96">
        <f t="array" ref="L63">IFERROR(INDEX(Sales!$L$7:$L$1506,$O63),"")</f>
        <v>75</v>
      </c>
      <c r="M63" s="19" t="str">
        <f t="array" ref="M63">IFERROR(INDEX(Sales!$M$7:$M$1506,$O63),"")</f>
        <v>Paid</v>
      </c>
      <c r="O63" s="111">
        <f>IFERROR(MATCH(TEXT($B$3,"yyyymm")&amp;"-"&amp;(ROW()-4),Sales!$Y$7:$Y$1506,0),"")</f>
        <v>60</v>
      </c>
    </row>
    <row r="64" ht="14.25" customHeight="1">
      <c r="A64" s="110">
        <f t="array" ref="A64">IFERROR(INDEX(Sales!$A$7:$A$1506,$O64),"")</f>
        <v>46227</v>
      </c>
      <c r="B64" s="19" t="str">
        <f t="array" ref="B64">IFERROR(INDEX(Sales!$B$7:$B$1506,$O64),"")</f>
        <v>Sale</v>
      </c>
      <c r="C64" s="19" t="str">
        <f t="array" ref="C64">IFERROR(INDEX(Sales!$C$7:$C$1506,$O64),"")</f>
        <v>Shop</v>
      </c>
      <c r="D64" s="19" t="str">
        <f t="array" ref="D64">IFERROR(INDEX(Sales!$D$7:$D$1506,$O64),"")</f>
        <v>PawfectBD Shop</v>
      </c>
      <c r="E64" s="19" t="str">
        <f t="array" ref="E64">IFERROR(IF(INDEX(Sales!$E$7:$E$1506,$O64)="","",INDEX(Sales!$E$7:$E$1506,$O64)),"")</f>
        <v/>
      </c>
      <c r="F64" s="19" t="str">
        <f t="array" ref="F64">IFERROR(INDEX(Sales!$F$7:$F$1506,$O64),"")</f>
        <v>AC-CB-001</v>
      </c>
      <c r="G64" s="19" t="str">
        <f t="array" ref="G64">IFERROR(INDEX(Sales!$G$7:$G$1506,$O64),"")</f>
        <v>Cat Belt</v>
      </c>
      <c r="H64" s="96">
        <f t="array" ref="H64">IFERROR(INDEX(Sales!$H$7:$H$1506,$O64),"")</f>
        <v>1</v>
      </c>
      <c r="I64" s="96">
        <f t="array" ref="I64">IFERROR(INDEX(Sales!$I$7:$I$1506,$O64),"")</f>
        <v>60</v>
      </c>
      <c r="J64" s="96">
        <f t="array" ref="J64">IFERROR(INDEX(Sales!$J$7:$J$1506,$O64),"")</f>
        <v>60</v>
      </c>
      <c r="K64" s="96" t="str">
        <f t="array" ref="K64">IFERROR(INDEX(Sales!$K$7:$K$1506,$O64),"")</f>
        <v/>
      </c>
      <c r="L64" s="96">
        <f t="array" ref="L64">IFERROR(INDEX(Sales!$L$7:$L$1506,$O64),"")</f>
        <v>60</v>
      </c>
      <c r="M64" s="19" t="str">
        <f t="array" ref="M64">IFERROR(INDEX(Sales!$M$7:$M$1506,$O64),"")</f>
        <v>Paid</v>
      </c>
      <c r="O64" s="111">
        <f>IFERROR(MATCH(TEXT($B$3,"yyyymm")&amp;"-"&amp;(ROW()-4),Sales!$Y$7:$Y$1506,0),"")</f>
        <v>61</v>
      </c>
    </row>
    <row r="65" ht="14.25" customHeight="1">
      <c r="A65" s="110">
        <f t="array" ref="A65">IFERROR(INDEX(Sales!$A$7:$A$1506,$O65),"")</f>
        <v>46227</v>
      </c>
      <c r="B65" s="19" t="str">
        <f t="array" ref="B65">IFERROR(INDEX(Sales!$B$7:$B$1506,$O65),"")</f>
        <v>Sale</v>
      </c>
      <c r="C65" s="19" t="str">
        <f t="array" ref="C65">IFERROR(INDEX(Sales!$C$7:$C$1506,$O65),"")</f>
        <v>Shop</v>
      </c>
      <c r="D65" s="19" t="str">
        <f t="array" ref="D65">IFERROR(INDEX(Sales!$D$7:$D$1506,$O65),"")</f>
        <v>PawfectBD Shop</v>
      </c>
      <c r="E65" s="19" t="str">
        <f t="array" ref="E65">IFERROR(IF(INDEX(Sales!$E$7:$E$1506,$O65)="","",INDEX(Sales!$E$7:$E$1506,$O65)),"")</f>
        <v/>
      </c>
      <c r="F65" s="19" t="str">
        <f t="array" ref="F65">IFERROR(INDEX(Sales!$F$7:$F$1506,$O65),"")</f>
        <v>FD-DRY-KVF-MV-500G-001</v>
      </c>
      <c r="G65" s="19" t="str">
        <f t="array" ref="G65">IFERROR(INDEX(Sales!$G$7:$G$1506,$O65),"")</f>
        <v>Kaniva Fusion Multiviamins Chicken &amp; Pumpkin 500gm</v>
      </c>
      <c r="H65" s="96">
        <f t="array" ref="H65">IFERROR(INDEX(Sales!$H$7:$H$1506,$O65),"")</f>
        <v>1</v>
      </c>
      <c r="I65" s="96">
        <f t="array" ref="I65">IFERROR(INDEX(Sales!$I$7:$I$1506,$O65),"")</f>
        <v>620</v>
      </c>
      <c r="J65" s="96">
        <f t="array" ref="J65">IFERROR(INDEX(Sales!$J$7:$J$1506,$O65),"")</f>
        <v>650</v>
      </c>
      <c r="K65" s="96">
        <f t="array" ref="K65">IFERROR(INDEX(Sales!$K$7:$K$1506,$O65),"")</f>
        <v>30</v>
      </c>
      <c r="L65" s="96">
        <f t="array" ref="L65">IFERROR(INDEX(Sales!$L$7:$L$1506,$O65),"")</f>
        <v>620</v>
      </c>
      <c r="M65" s="19" t="str">
        <f t="array" ref="M65">IFERROR(INDEX(Sales!$M$7:$M$1506,$O65),"")</f>
        <v>Paid</v>
      </c>
      <c r="O65" s="111">
        <f>IFERROR(MATCH(TEXT($B$3,"yyyymm")&amp;"-"&amp;(ROW()-4),Sales!$Y$7:$Y$1506,0),"")</f>
        <v>62</v>
      </c>
    </row>
    <row r="66" ht="14.25" customHeight="1">
      <c r="A66" s="110">
        <f t="array" ref="A66">IFERROR(INDEX(Sales!$A$7:$A$1506,$O66),"")</f>
        <v>46227</v>
      </c>
      <c r="B66" s="19" t="str">
        <f t="array" ref="B66">IFERROR(INDEX(Sales!$B$7:$B$1506,$O66),"")</f>
        <v>Sale</v>
      </c>
      <c r="C66" s="19" t="str">
        <f t="array" ref="C66">IFERROR(INDEX(Sales!$C$7:$C$1506,$O66),"")</f>
        <v>Shop</v>
      </c>
      <c r="D66" s="19" t="str">
        <f t="array" ref="D66">IFERROR(INDEX(Sales!$D$7:$D$1506,$O66),"")</f>
        <v>PawfectBD Shop</v>
      </c>
      <c r="E66" s="19" t="str">
        <f t="array" ref="E66">IFERROR(IF(INDEX(Sales!$E$7:$E$1506,$O66)="","",INDEX(Sales!$E$7:$E$1506,$O66)),"")</f>
        <v/>
      </c>
      <c r="F66" s="19" t="str">
        <f t="array" ref="F66">IFERROR(INDEX(Sales!$F$7:$F$1506,$O66),"")</f>
        <v>LT-MX-DCLP-5L-002</v>
      </c>
      <c r="G66" s="19" t="str">
        <f t="array" ref="G66">IFERROR(INDEX(Sales!$G$7:$G$1506,$O66),"")</f>
        <v>Cat Litter Mix Flavor 5L DR. Clump</v>
      </c>
      <c r="H66" s="96">
        <f t="array" ref="H66">IFERROR(INDEX(Sales!$H$7:$H$1506,$O66),"")</f>
        <v>1</v>
      </c>
      <c r="I66" s="96">
        <f t="array" ref="I66">IFERROR(INDEX(Sales!$I$7:$I$1506,$O66),"")</f>
        <v>300</v>
      </c>
      <c r="J66" s="96">
        <f t="array" ref="J66">IFERROR(INDEX(Sales!$J$7:$J$1506,$O66),"")</f>
        <v>320</v>
      </c>
      <c r="K66" s="96">
        <f t="array" ref="K66">IFERROR(INDEX(Sales!$K$7:$K$1506,$O66),"")</f>
        <v>20</v>
      </c>
      <c r="L66" s="96">
        <f t="array" ref="L66">IFERROR(INDEX(Sales!$L$7:$L$1506,$O66),"")</f>
        <v>300</v>
      </c>
      <c r="M66" s="19" t="str">
        <f t="array" ref="M66">IFERROR(INDEX(Sales!$M$7:$M$1506,$O66),"")</f>
        <v>Paid</v>
      </c>
      <c r="O66" s="111">
        <f>IFERROR(MATCH(TEXT($B$3,"yyyymm")&amp;"-"&amp;(ROW()-4),Sales!$Y$7:$Y$1506,0),"")</f>
        <v>63</v>
      </c>
    </row>
    <row r="67" ht="14.25" customHeight="1">
      <c r="A67" s="110">
        <f t="array" ref="A67">IFERROR(INDEX(Sales!$A$7:$A$1506,$O67),"")</f>
        <v>46227</v>
      </c>
      <c r="B67" s="19" t="str">
        <f t="array" ref="B67">IFERROR(INDEX(Sales!$B$7:$B$1506,$O67),"")</f>
        <v>Sale</v>
      </c>
      <c r="C67" s="19" t="str">
        <f t="array" ref="C67">IFERROR(INDEX(Sales!$C$7:$C$1506,$O67),"")</f>
        <v>Shop</v>
      </c>
      <c r="D67" s="19" t="str">
        <f t="array" ref="D67">IFERROR(INDEX(Sales!$D$7:$D$1506,$O67),"")</f>
        <v>PawfectBD Shop</v>
      </c>
      <c r="E67" s="19" t="str">
        <f t="array" ref="E67">IFERROR(IF(INDEX(Sales!$E$7:$E$1506,$O67)="","",INDEX(Sales!$E$7:$E$1506,$O67)),"")</f>
        <v/>
      </c>
      <c r="F67" s="19" t="str">
        <f t="array" ref="F67">IFERROR(INDEX(Sales!$F$7:$F$1506,$O67),"")</f>
        <v>PO-WET-NK-70G-001</v>
      </c>
      <c r="G67" s="19" t="str">
        <f t="array" ref="G67">IFERROR(INDEX(Sales!$G$7:$G$1506,$O67),"")</f>
        <v>Nekko Pouch Tuna in Jelly</v>
      </c>
      <c r="H67" s="96">
        <f t="array" ref="H67">IFERROR(INDEX(Sales!$H$7:$H$1506,$O67),"")</f>
        <v>2</v>
      </c>
      <c r="I67" s="96">
        <f t="array" ref="I67">IFERROR(INDEX(Sales!$I$7:$I$1506,$O67),"")</f>
        <v>82.5</v>
      </c>
      <c r="J67" s="96">
        <f t="array" ref="J67">IFERROR(INDEX(Sales!$J$7:$J$1506,$O67),"")</f>
        <v>90</v>
      </c>
      <c r="K67" s="96">
        <f t="array" ref="K67">IFERROR(INDEX(Sales!$K$7:$K$1506,$O67),"")</f>
        <v>7.5</v>
      </c>
      <c r="L67" s="96">
        <f t="array" ref="L67">IFERROR(INDEX(Sales!$L$7:$L$1506,$O67),"")</f>
        <v>165</v>
      </c>
      <c r="M67" s="19" t="str">
        <f t="array" ref="M67">IFERROR(INDEX(Sales!$M$7:$M$1506,$O67),"")</f>
        <v>Paid</v>
      </c>
      <c r="O67" s="111">
        <f>IFERROR(MATCH(TEXT($B$3,"yyyymm")&amp;"-"&amp;(ROW()-4),Sales!$Y$7:$Y$1506,0),"")</f>
        <v>64</v>
      </c>
    </row>
    <row r="68" ht="14.25" customHeight="1">
      <c r="A68" s="110">
        <f t="array" ref="A68">IFERROR(INDEX(Sales!$A$7:$A$1506,$O68),"")</f>
        <v>46228</v>
      </c>
      <c r="B68" s="19" t="str">
        <f t="array" ref="B68">IFERROR(INDEX(Sales!$B$7:$B$1506,$O68),"")</f>
        <v>Sale</v>
      </c>
      <c r="C68" s="19" t="str">
        <f t="array" ref="C68">IFERROR(INDEX(Sales!$C$7:$C$1506,$O68),"")</f>
        <v>Online</v>
      </c>
      <c r="D68" s="19" t="str">
        <f t="array" ref="D68">IFERROR(INDEX(Sales!$D$7:$D$1506,$O68),"")</f>
        <v>From Facebook</v>
      </c>
      <c r="E68" s="19" t="str">
        <f t="array" ref="E68">IFERROR(IF(INDEX(Sales!$E$7:$E$1506,$O68)="","",INDEX(Sales!$E$7:$E$1506,$O68)),"")</f>
        <v>PAWF-260725-A2D5A</v>
      </c>
      <c r="F68" s="19" t="str">
        <f t="array" ref="F68">IFERROR(INDEX(Sales!$F$7:$F$1506,$O68),"")</f>
        <v>FD-DRY-CHNK-OCFCK-1.5KG-001</v>
      </c>
      <c r="G68" s="19" t="str">
        <f t="array" ref="G68">IFERROR(INDEX(Sales!$G$7:$G$1506,$O68),"")</f>
        <v>Chonk All ages Ocean Fish with Chicken</v>
      </c>
      <c r="H68" s="96">
        <f t="array" ref="H68">IFERROR(INDEX(Sales!$H$7:$H$1506,$O68),"")</f>
        <v>1</v>
      </c>
      <c r="I68" s="96">
        <f t="array" ref="I68">IFERROR(INDEX(Sales!$I$7:$I$1506,$O68),"")</f>
        <v>493</v>
      </c>
      <c r="J68" s="96">
        <f t="array" ref="J68">IFERROR(INDEX(Sales!$J$7:$J$1506,$O68),"")</f>
        <v>500</v>
      </c>
      <c r="K68" s="96">
        <f t="array" ref="K68">IFERROR(INDEX(Sales!$K$7:$K$1506,$O68),"")</f>
        <v>7</v>
      </c>
      <c r="L68" s="96">
        <f t="array" ref="L68">IFERROR(INDEX(Sales!$L$7:$L$1506,$O68),"")</f>
        <v>493</v>
      </c>
      <c r="M68" s="19" t="str">
        <f t="array" ref="M68">IFERROR(INDEX(Sales!$M$7:$M$1506,$O68),"")</f>
        <v>Paid</v>
      </c>
      <c r="O68" s="111">
        <f>IFERROR(MATCH(TEXT($B$3,"yyyymm")&amp;"-"&amp;(ROW()-4),Sales!$Y$7:$Y$1506,0),"")</f>
        <v>65</v>
      </c>
    </row>
    <row r="69" ht="14.25" customHeight="1">
      <c r="A69" s="110">
        <f t="array" ref="A69">IFERROR(INDEX(Sales!$A$7:$A$1506,$O69),"")</f>
        <v>46228</v>
      </c>
      <c r="B69" s="19" t="str">
        <f t="array" ref="B69">IFERROR(INDEX(Sales!$B$7:$B$1506,$O69),"")</f>
        <v>Sale</v>
      </c>
      <c r="C69" s="19" t="str">
        <f t="array" ref="C69">IFERROR(INDEX(Sales!$C$7:$C$1506,$O69),"")</f>
        <v>Online</v>
      </c>
      <c r="D69" s="19" t="str">
        <f t="array" ref="D69">IFERROR(INDEX(Sales!$D$7:$D$1506,$O69),"")</f>
        <v>From Facebook</v>
      </c>
      <c r="E69" s="19" t="str">
        <f t="array" ref="E69">IFERROR(IF(INDEX(Sales!$E$7:$E$1506,$O69)="","",INDEX(Sales!$E$7:$E$1506,$O69)),"")</f>
        <v>PAWF-260725-A2D5A</v>
      </c>
      <c r="F69" s="19" t="str">
        <f t="array" ref="F69">IFERROR(INDEX(Sales!$F$7:$F$1506,$O69),"")</f>
        <v>FD-DRY-CHNK-CHKN-1.5KG-001</v>
      </c>
      <c r="G69" s="19" t="str">
        <f t="array" ref="G69">IFERROR(INDEX(Sales!$G$7:$G$1506,$O69),"")</f>
        <v>Chonk All ages Chicken</v>
      </c>
      <c r="H69" s="96">
        <f t="array" ref="H69">IFERROR(INDEX(Sales!$H$7:$H$1506,$O69),"")</f>
        <v>2</v>
      </c>
      <c r="I69" s="96">
        <f t="array" ref="I69">IFERROR(INDEX(Sales!$I$7:$I$1506,$O69),"")</f>
        <v>496.5</v>
      </c>
      <c r="J69" s="96">
        <f t="array" ref="J69">IFERROR(INDEX(Sales!$J$7:$J$1506,$O69),"")</f>
        <v>500</v>
      </c>
      <c r="K69" s="96">
        <f t="array" ref="K69">IFERROR(INDEX(Sales!$K$7:$K$1506,$O69),"")</f>
        <v>3.5</v>
      </c>
      <c r="L69" s="96">
        <f t="array" ref="L69">IFERROR(INDEX(Sales!$L$7:$L$1506,$O69),"")</f>
        <v>993</v>
      </c>
      <c r="M69" s="19" t="str">
        <f t="array" ref="M69">IFERROR(INDEX(Sales!$M$7:$M$1506,$O69),"")</f>
        <v>Paid</v>
      </c>
      <c r="O69" s="111">
        <f>IFERROR(MATCH(TEXT($B$3,"yyyymm")&amp;"-"&amp;(ROW()-4),Sales!$Y$7:$Y$1506,0),"")</f>
        <v>66</v>
      </c>
    </row>
    <row r="70" ht="14.25" customHeight="1">
      <c r="A70" s="110">
        <f t="array" ref="A70">IFERROR(INDEX(Sales!$A$7:$A$1506,$O70),"")</f>
        <v>46228</v>
      </c>
      <c r="B70" s="19" t="str">
        <f t="array" ref="B70">IFERROR(INDEX(Sales!$B$7:$B$1506,$O70),"")</f>
        <v>Sale</v>
      </c>
      <c r="C70" s="19" t="str">
        <f t="array" ref="C70">IFERROR(INDEX(Sales!$C$7:$C$1506,$O70),"")</f>
        <v>Online</v>
      </c>
      <c r="D70" s="19" t="str">
        <f t="array" ref="D70">IFERROR(INDEX(Sales!$D$7:$D$1506,$O70),"")</f>
        <v>From Facebook</v>
      </c>
      <c r="E70" s="19" t="str">
        <f t="array" ref="E70">IFERROR(IF(INDEX(Sales!$E$7:$E$1506,$O70)="","",INDEX(Sales!$E$7:$E$1506,$O70)),"")</f>
        <v>PAWF-260725-A2D5A</v>
      </c>
      <c r="F70" s="19" t="str">
        <f t="array" ref="F70">IFERROR(INDEX(Sales!$F$7:$F$1506,$O70),"")</f>
        <v>AC-SHAMP-002</v>
      </c>
      <c r="G70" s="19" t="str">
        <f t="array" ref="G70">IFERROR(INDEX(Sales!$G$7:$G$1506,$O70),"")</f>
        <v>Bengal Flea &amp; Tick Shampoo</v>
      </c>
      <c r="H70" s="96">
        <f t="array" ref="H70">IFERROR(INDEX(Sales!$H$7:$H$1506,$O70),"")</f>
        <v>1</v>
      </c>
      <c r="I70" s="96">
        <f t="array" ref="I70">IFERROR(INDEX(Sales!$I$7:$I$1506,$O70),"")</f>
        <v>394</v>
      </c>
      <c r="J70" s="96">
        <f t="array" ref="J70">IFERROR(INDEX(Sales!$J$7:$J$1506,$O70),"")</f>
        <v>400</v>
      </c>
      <c r="K70" s="96">
        <f t="array" ref="K70">IFERROR(INDEX(Sales!$K$7:$K$1506,$O70),"")</f>
        <v>6</v>
      </c>
      <c r="L70" s="96">
        <f t="array" ref="L70">IFERROR(INDEX(Sales!$L$7:$L$1506,$O70),"")</f>
        <v>394</v>
      </c>
      <c r="M70" s="19" t="str">
        <f t="array" ref="M70">IFERROR(INDEX(Sales!$M$7:$M$1506,$O70),"")</f>
        <v>Paid</v>
      </c>
      <c r="O70" s="111">
        <f>IFERROR(MATCH(TEXT($B$3,"yyyymm")&amp;"-"&amp;(ROW()-4),Sales!$Y$7:$Y$1506,0),"")</f>
        <v>67</v>
      </c>
    </row>
    <row r="71" ht="14.25" customHeight="1">
      <c r="A71" s="110">
        <f t="array" ref="A71">IFERROR(INDEX(Sales!$A$7:$A$1506,$O71),"")</f>
        <v>46228</v>
      </c>
      <c r="B71" s="19" t="str">
        <f t="array" ref="B71">IFERROR(INDEX(Sales!$B$7:$B$1506,$O71),"")</f>
        <v>Sale</v>
      </c>
      <c r="C71" s="19" t="str">
        <f t="array" ref="C71">IFERROR(INDEX(Sales!$C$7:$C$1506,$O71),"")</f>
        <v>Online</v>
      </c>
      <c r="D71" s="19" t="str">
        <f t="array" ref="D71">IFERROR(INDEX(Sales!$D$7:$D$1506,$O71),"")</f>
        <v>From Facebook</v>
      </c>
      <c r="E71" s="19" t="str">
        <f t="array" ref="E71">IFERROR(IF(INDEX(Sales!$E$7:$E$1506,$O71)="","",INDEX(Sales!$E$7:$E$1506,$O71)),"")</f>
        <v>PAWF-260723-EC10A</v>
      </c>
      <c r="F71" s="19" t="str">
        <f t="array" ref="F71">IFERROR(INDEX(Sales!$F$7:$F$1506,$O71),"")</f>
        <v>FD-DRY-CHNK-CHKN-1.5KG-001</v>
      </c>
      <c r="G71" s="19" t="str">
        <f t="array" ref="G71">IFERROR(INDEX(Sales!$G$7:$G$1506,$O71),"")</f>
        <v>Chonk All ages Chicken</v>
      </c>
      <c r="H71" s="96">
        <f t="array" ref="H71">IFERROR(INDEX(Sales!$H$7:$H$1506,$O71),"")</f>
        <v>1</v>
      </c>
      <c r="I71" s="96">
        <f t="array" ref="I71">IFERROR(INDEX(Sales!$I$7:$I$1506,$O71),"")</f>
        <v>499</v>
      </c>
      <c r="J71" s="96">
        <f t="array" ref="J71">IFERROR(INDEX(Sales!$J$7:$J$1506,$O71),"")</f>
        <v>500</v>
      </c>
      <c r="K71" s="96">
        <f t="array" ref="K71">IFERROR(INDEX(Sales!$K$7:$K$1506,$O71),"")</f>
        <v>1</v>
      </c>
      <c r="L71" s="96">
        <f t="array" ref="L71">IFERROR(INDEX(Sales!$L$7:$L$1506,$O71),"")</f>
        <v>499</v>
      </c>
      <c r="M71" s="19" t="str">
        <f t="array" ref="M71">IFERROR(INDEX(Sales!$M$7:$M$1506,$O71),"")</f>
        <v>Paid</v>
      </c>
      <c r="O71" s="111">
        <f>IFERROR(MATCH(TEXT($B$3,"yyyymm")&amp;"-"&amp;(ROW()-4),Sales!$Y$7:$Y$1506,0),"")</f>
        <v>68</v>
      </c>
    </row>
    <row r="72" ht="14.25" customHeight="1">
      <c r="A72" s="110">
        <f t="array" ref="A72">IFERROR(INDEX(Sales!$A$7:$A$1506,$O72),"")</f>
        <v>46228</v>
      </c>
      <c r="B72" s="19" t="str">
        <f t="array" ref="B72">IFERROR(INDEX(Sales!$B$7:$B$1506,$O72),"")</f>
        <v>Sale</v>
      </c>
      <c r="C72" s="19" t="str">
        <f t="array" ref="C72">IFERROR(INDEX(Sales!$C$7:$C$1506,$O72),"")</f>
        <v>Online</v>
      </c>
      <c r="D72" s="19" t="str">
        <f t="array" ref="D72">IFERROR(INDEX(Sales!$D$7:$D$1506,$O72),"")</f>
        <v>From Facebook</v>
      </c>
      <c r="E72" s="19" t="str">
        <f t="array" ref="E72">IFERROR(IF(INDEX(Sales!$E$7:$E$1506,$O72)="","",INDEX(Sales!$E$7:$E$1506,$O72)),"")</f>
        <v>PAWF-260723-EC10A</v>
      </c>
      <c r="F72" s="19" t="str">
        <f t="array" ref="F72">IFERROR(INDEX(Sales!$F$7:$F$1506,$O72),"")</f>
        <v>AC-PNC-SM-001</v>
      </c>
      <c r="G72" s="19" t="str">
        <f t="array" ref="G72">IFERROR(INDEX(Sales!$G$7:$G$1506,$O72),"")</f>
        <v>Pet Nail Clippers Small</v>
      </c>
      <c r="H72" s="96">
        <f t="array" ref="H72">IFERROR(INDEX(Sales!$H$7:$H$1506,$O72),"")</f>
        <v>1</v>
      </c>
      <c r="I72" s="96">
        <f t="array" ref="I72">IFERROR(INDEX(Sales!$I$7:$I$1506,$O72),"")</f>
        <v>160</v>
      </c>
      <c r="J72" s="96">
        <f t="array" ref="J72">IFERROR(INDEX(Sales!$J$7:$J$1506,$O72),"")</f>
        <v>180</v>
      </c>
      <c r="K72" s="96">
        <f t="array" ref="K72">IFERROR(INDEX(Sales!$K$7:$K$1506,$O72),"")</f>
        <v>20</v>
      </c>
      <c r="L72" s="96">
        <f t="array" ref="L72">IFERROR(INDEX(Sales!$L$7:$L$1506,$O72),"")</f>
        <v>160</v>
      </c>
      <c r="M72" s="19" t="str">
        <f t="array" ref="M72">IFERROR(INDEX(Sales!$M$7:$M$1506,$O72),"")</f>
        <v>Paid</v>
      </c>
      <c r="O72" s="111">
        <f>IFERROR(MATCH(TEXT($B$3,"yyyymm")&amp;"-"&amp;(ROW()-4),Sales!$Y$7:$Y$1506,0),"")</f>
        <v>69</v>
      </c>
    </row>
    <row r="73" ht="14.25" customHeight="1">
      <c r="A73" s="110">
        <f t="array" ref="A73">IFERROR(INDEX(Sales!$A$7:$A$1506,$O73),"")</f>
        <v>46228</v>
      </c>
      <c r="B73" s="19" t="str">
        <f t="array" ref="B73">IFERROR(INDEX(Sales!$B$7:$B$1506,$O73),"")</f>
        <v>Sale</v>
      </c>
      <c r="C73" s="19" t="str">
        <f t="array" ref="C73">IFERROR(INDEX(Sales!$C$7:$C$1506,$O73),"")</f>
        <v>Online</v>
      </c>
      <c r="D73" s="19" t="str">
        <f t="array" ref="D73">IFERROR(INDEX(Sales!$D$7:$D$1506,$O73),"")</f>
        <v>From Facebook</v>
      </c>
      <c r="E73" s="19" t="str">
        <f t="array" ref="E73">IFERROR(IF(INDEX(Sales!$E$7:$E$1506,$O73)="","",INDEX(Sales!$E$7:$E$1506,$O73)),"")</f>
        <v>PAWF-260723-EC10A</v>
      </c>
      <c r="F73" s="19" t="str">
        <f t="array" ref="F73">IFERROR(INDEX(Sales!$F$7:$F$1506,$O73),"")</f>
        <v>LT-LV-CZE-10L-001</v>
      </c>
      <c r="G73" s="19" t="str">
        <f t="array" ref="G73">IFERROR(INDEX(Sales!$G$7:$G$1506,$O73),"")</f>
        <v>Cozie Cat Litter Lavender 10L</v>
      </c>
      <c r="H73" s="96">
        <f t="array" ref="H73">IFERROR(INDEX(Sales!$H$7:$H$1506,$O73),"")</f>
        <v>1</v>
      </c>
      <c r="I73" s="96">
        <f t="array" ref="I73">IFERROR(INDEX(Sales!$I$7:$I$1506,$O73),"")</f>
        <v>679</v>
      </c>
      <c r="J73" s="96">
        <f t="array" ref="J73">IFERROR(INDEX(Sales!$J$7:$J$1506,$O73),"")</f>
        <v>700</v>
      </c>
      <c r="K73" s="96">
        <f t="array" ref="K73">IFERROR(INDEX(Sales!$K$7:$K$1506,$O73),"")</f>
        <v>21</v>
      </c>
      <c r="L73" s="96">
        <f t="array" ref="L73">IFERROR(INDEX(Sales!$L$7:$L$1506,$O73),"")</f>
        <v>679</v>
      </c>
      <c r="M73" s="19" t="str">
        <f t="array" ref="M73">IFERROR(INDEX(Sales!$M$7:$M$1506,$O73),"")</f>
        <v>Paid</v>
      </c>
      <c r="O73" s="111">
        <f>IFERROR(MATCH(TEXT($B$3,"yyyymm")&amp;"-"&amp;(ROW()-4),Sales!$Y$7:$Y$1506,0),"")</f>
        <v>70</v>
      </c>
    </row>
    <row r="74" ht="14.25" customHeight="1">
      <c r="A74" s="110">
        <f t="array" ref="A74">IFERROR(INDEX(Sales!$A$7:$A$1506,$O74),"")</f>
        <v>46228</v>
      </c>
      <c r="B74" s="19" t="str">
        <f t="array" ref="B74">IFERROR(INDEX(Sales!$B$7:$B$1506,$O74),"")</f>
        <v>Sale</v>
      </c>
      <c r="C74" s="19" t="str">
        <f t="array" ref="C74">IFERROR(INDEX(Sales!$C$7:$C$1506,$O74),"")</f>
        <v>Online</v>
      </c>
      <c r="D74" s="19" t="str">
        <f t="array" ref="D74">IFERROR(INDEX(Sales!$D$7:$D$1506,$O74),"")</f>
        <v>From Facebook</v>
      </c>
      <c r="E74" s="19" t="str">
        <f t="array" ref="E74">IFERROR(IF(INDEX(Sales!$E$7:$E$1506,$O74)="","",INDEX(Sales!$E$7:$E$1506,$O74)),"")</f>
        <v/>
      </c>
      <c r="F74" s="19" t="str">
        <f t="array" ref="F74">IFERROR(INDEX(Sales!$F$7:$F$1506,$O74),"")</f>
        <v>FD-DRY-SMHRT-450G-001</v>
      </c>
      <c r="G74" s="19" t="str">
        <f t="array" ref="G74">IFERROR(INDEX(Sales!$G$7:$G$1506,$O74),"")</f>
        <v>Smart Heart Kitten Food Chicken, Fish, Egg &amp; Milk 450gm</v>
      </c>
      <c r="H74" s="96">
        <f t="array" ref="H74">IFERROR(INDEX(Sales!$H$7:$H$1506,$O74),"")</f>
        <v>1</v>
      </c>
      <c r="I74" s="96">
        <f t="array" ref="I74">IFERROR(INDEX(Sales!$I$7:$I$1506,$O74),"")</f>
        <v>360</v>
      </c>
      <c r="J74" s="96">
        <f t="array" ref="J74">IFERROR(INDEX(Sales!$J$7:$J$1506,$O74),"")</f>
        <v>380</v>
      </c>
      <c r="K74" s="96">
        <f t="array" ref="K74">IFERROR(INDEX(Sales!$K$7:$K$1506,$O74),"")</f>
        <v>20</v>
      </c>
      <c r="L74" s="96">
        <f t="array" ref="L74">IFERROR(INDEX(Sales!$L$7:$L$1506,$O74),"")</f>
        <v>360</v>
      </c>
      <c r="M74" s="19" t="str">
        <f t="array" ref="M74">IFERROR(INDEX(Sales!$M$7:$M$1506,$O74),"")</f>
        <v>Paid</v>
      </c>
      <c r="O74" s="111">
        <f>IFERROR(MATCH(TEXT($B$3,"yyyymm")&amp;"-"&amp;(ROW()-4),Sales!$Y$7:$Y$1506,0),"")</f>
        <v>71</v>
      </c>
    </row>
    <row r="75" ht="14.25" customHeight="1">
      <c r="A75" s="110">
        <f t="array" ref="A75">IFERROR(INDEX(Sales!$A$7:$A$1506,$O75),"")</f>
        <v>46228</v>
      </c>
      <c r="B75" s="19" t="str">
        <f t="array" ref="B75">IFERROR(INDEX(Sales!$B$7:$B$1506,$O75),"")</f>
        <v>Sale</v>
      </c>
      <c r="C75" s="19" t="str">
        <f t="array" ref="C75">IFERROR(INDEX(Sales!$C$7:$C$1506,$O75),"")</f>
        <v>Online</v>
      </c>
      <c r="D75" s="19" t="str">
        <f t="array" ref="D75">IFERROR(INDEX(Sales!$D$7:$D$1506,$O75),"")</f>
        <v>From Facebook</v>
      </c>
      <c r="E75" s="19" t="str">
        <f t="array" ref="E75">IFERROR(IF(INDEX(Sales!$E$7:$E$1506,$O75)="","",INDEX(Sales!$E$7:$E$1506,$O75)),"")</f>
        <v/>
      </c>
      <c r="F75" s="19" t="str">
        <f t="array" ref="F75">IFERROR(INDEX(Sales!$F$7:$F$1506,$O75),"")</f>
        <v>TR-CRMY-15G-001</v>
      </c>
      <c r="G75" s="19" t="str">
        <f t="array" ref="G75">IFERROR(INDEX(Sales!$G$7:$G$1506,$O75),"")</f>
        <v>Creamy Treat 15G (Purry &amp; Hyper Paws)</v>
      </c>
      <c r="H75" s="96">
        <f t="array" ref="H75">IFERROR(INDEX(Sales!$H$7:$H$1506,$O75),"")</f>
        <v>3</v>
      </c>
      <c r="I75" s="96">
        <f t="array" ref="I75">IFERROR(INDEX(Sales!$I$7:$I$1506,$O75),"")</f>
        <v>20</v>
      </c>
      <c r="J75" s="96">
        <f t="array" ref="J75">IFERROR(INDEX(Sales!$J$7:$J$1506,$O75),"")</f>
        <v>20</v>
      </c>
      <c r="K75" s="96" t="str">
        <f t="array" ref="K75">IFERROR(INDEX(Sales!$K$7:$K$1506,$O75),"")</f>
        <v/>
      </c>
      <c r="L75" s="96">
        <f t="array" ref="L75">IFERROR(INDEX(Sales!$L$7:$L$1506,$O75),"")</f>
        <v>60</v>
      </c>
      <c r="M75" s="19" t="str">
        <f t="array" ref="M75">IFERROR(INDEX(Sales!$M$7:$M$1506,$O75),"")</f>
        <v>Paid</v>
      </c>
      <c r="O75" s="111">
        <f>IFERROR(MATCH(TEXT($B$3,"yyyymm")&amp;"-"&amp;(ROW()-4),Sales!$Y$7:$Y$1506,0),"")</f>
        <v>72</v>
      </c>
    </row>
    <row r="76" ht="14.25" customHeight="1">
      <c r="A76" s="110">
        <f t="array" ref="A76">IFERROR(INDEX(Sales!$A$7:$A$1506,$O76),"")</f>
        <v>46228</v>
      </c>
      <c r="B76" s="19" t="str">
        <f t="array" ref="B76">IFERROR(INDEX(Sales!$B$7:$B$1506,$O76),"")</f>
        <v>Sale</v>
      </c>
      <c r="C76" s="19" t="str">
        <f t="array" ref="C76">IFERROR(INDEX(Sales!$C$7:$C$1506,$O76),"")</f>
        <v>Shop</v>
      </c>
      <c r="D76" s="19" t="str">
        <f t="array" ref="D76">IFERROR(INDEX(Sales!$D$7:$D$1506,$O76),"")</f>
        <v>PawfectBD Shop</v>
      </c>
      <c r="E76" s="19" t="str">
        <f t="array" ref="E76">IFERROR(IF(INDEX(Sales!$E$7:$E$1506,$O76)="","",INDEX(Sales!$E$7:$E$1506,$O76)),"")</f>
        <v/>
      </c>
      <c r="F76" s="19" t="str">
        <f t="array" ref="F76">IFERROR(INDEX(Sales!$F$7:$F$1506,$O76),"")</f>
        <v>TR-CRMY-15G-001</v>
      </c>
      <c r="G76" s="19" t="str">
        <f t="array" ref="G76">IFERROR(INDEX(Sales!$G$7:$G$1506,$O76),"")</f>
        <v>Creamy Treat 15G (Purry &amp; Hyper Paws)</v>
      </c>
      <c r="H76" s="96">
        <f t="array" ref="H76">IFERROR(INDEX(Sales!$H$7:$H$1506,$O76),"")</f>
        <v>5</v>
      </c>
      <c r="I76" s="96">
        <f t="array" ref="I76">IFERROR(INDEX(Sales!$I$7:$I$1506,$O76),"")</f>
        <v>20</v>
      </c>
      <c r="J76" s="96">
        <f t="array" ref="J76">IFERROR(INDEX(Sales!$J$7:$J$1506,$O76),"")</f>
        <v>20</v>
      </c>
      <c r="K76" s="96" t="str">
        <f t="array" ref="K76">IFERROR(INDEX(Sales!$K$7:$K$1506,$O76),"")</f>
        <v/>
      </c>
      <c r="L76" s="96">
        <f t="array" ref="L76">IFERROR(INDEX(Sales!$L$7:$L$1506,$O76),"")</f>
        <v>100</v>
      </c>
      <c r="M76" s="19" t="str">
        <f t="array" ref="M76">IFERROR(INDEX(Sales!$M$7:$M$1506,$O76),"")</f>
        <v>Paid</v>
      </c>
      <c r="O76" s="111">
        <f>IFERROR(MATCH(TEXT($B$3,"yyyymm")&amp;"-"&amp;(ROW()-4),Sales!$Y$7:$Y$1506,0),"")</f>
        <v>73</v>
      </c>
    </row>
    <row r="77" ht="14.25" customHeight="1">
      <c r="A77" s="110">
        <f t="array" ref="A77">IFERROR(INDEX(Sales!$A$7:$A$1506,$O77),"")</f>
        <v>46228</v>
      </c>
      <c r="B77" s="19" t="str">
        <f t="array" ref="B77">IFERROR(INDEX(Sales!$B$7:$B$1506,$O77),"")</f>
        <v>Sale</v>
      </c>
      <c r="C77" s="19" t="str">
        <f t="array" ref="C77">IFERROR(INDEX(Sales!$C$7:$C$1506,$O77),"")</f>
        <v>Online</v>
      </c>
      <c r="D77" s="19" t="str">
        <f t="array" ref="D77">IFERROR(INDEX(Sales!$D$7:$D$1506,$O77),"")</f>
        <v>From Facebook</v>
      </c>
      <c r="E77" s="19" t="str">
        <f t="array" ref="E77">IFERROR(IF(INDEX(Sales!$E$7:$E$1506,$O77)="","",INDEX(Sales!$E$7:$E$1506,$O77)),"")</f>
        <v>PAWF-260725-A3949</v>
      </c>
      <c r="F77" s="19" t="str">
        <f t="array" ref="F77">IFERROR(INDEX(Sales!$F$7:$F$1506,$O77),"")</f>
        <v>FD-DRY-DR-DOG-3-0001</v>
      </c>
      <c r="G77" s="19" t="str">
        <f t="array" ref="G77">IFERROR(INDEX(Sales!$G$7:$G$1506,$O77),"")</f>
        <v>Drools Puppy Dog Food Chicken &amp; Egg 3kg</v>
      </c>
      <c r="H77" s="96">
        <f t="array" ref="H77">IFERROR(INDEX(Sales!$H$7:$H$1506,$O77),"")</f>
        <v>1</v>
      </c>
      <c r="I77" s="96">
        <f t="array" ref="I77">IFERROR(INDEX(Sales!$I$7:$I$1506,$O77),"")</f>
        <v>1400</v>
      </c>
      <c r="J77" s="96">
        <f t="array" ref="J77">IFERROR(INDEX(Sales!$J$7:$J$1506,$O77),"")</f>
        <v>1450</v>
      </c>
      <c r="K77" s="96">
        <f t="array" ref="K77">IFERROR(INDEX(Sales!$K$7:$K$1506,$O77),"")</f>
        <v>50</v>
      </c>
      <c r="L77" s="96">
        <f t="array" ref="L77">IFERROR(INDEX(Sales!$L$7:$L$1506,$O77),"")</f>
        <v>1400</v>
      </c>
      <c r="M77" s="19" t="str">
        <f t="array" ref="M77">IFERROR(INDEX(Sales!$M$7:$M$1506,$O77),"")</f>
        <v>Paid</v>
      </c>
      <c r="O77" s="111">
        <f>IFERROR(MATCH(TEXT($B$3,"yyyymm")&amp;"-"&amp;(ROW()-4),Sales!$Y$7:$Y$1506,0),"")</f>
        <v>74</v>
      </c>
    </row>
    <row r="78" ht="14.25" customHeight="1">
      <c r="A78" s="110">
        <f t="array" ref="A78">IFERROR(INDEX(Sales!$A$7:$A$1506,$O78),"")</f>
        <v>46228</v>
      </c>
      <c r="B78" s="19" t="str">
        <f t="array" ref="B78">IFERROR(INDEX(Sales!$B$7:$B$1506,$O78),"")</f>
        <v>Sale</v>
      </c>
      <c r="C78" s="19" t="str">
        <f t="array" ref="C78">IFERROR(INDEX(Sales!$C$7:$C$1506,$O78),"")</f>
        <v>Shop</v>
      </c>
      <c r="D78" s="19" t="str">
        <f t="array" ref="D78">IFERROR(INDEX(Sales!$D$7:$D$1506,$O78),"")</f>
        <v>PawfectBD Shop</v>
      </c>
      <c r="E78" s="19" t="str">
        <f t="array" ref="E78">IFERROR(IF(INDEX(Sales!$E$7:$E$1506,$O78)="","",INDEX(Sales!$E$7:$E$1506,$O78)),"")</f>
        <v/>
      </c>
      <c r="F78" s="19" t="str">
        <f t="array" ref="F78">IFERROR(INDEX(Sales!$F$7:$F$1506,$O78),"")</f>
        <v>TR-CRMY-15G-001</v>
      </c>
      <c r="G78" s="19" t="str">
        <f t="array" ref="G78">IFERROR(INDEX(Sales!$G$7:$G$1506,$O78),"")</f>
        <v>Creamy Treat 15G (Purry &amp; Hyper Paws)</v>
      </c>
      <c r="H78" s="96">
        <f t="array" ref="H78">IFERROR(INDEX(Sales!$H$7:$H$1506,$O78),"")</f>
        <v>8</v>
      </c>
      <c r="I78" s="96">
        <f t="array" ref="I78">IFERROR(INDEX(Sales!$I$7:$I$1506,$O78),"")</f>
        <v>18.75</v>
      </c>
      <c r="J78" s="96">
        <f t="array" ref="J78">IFERROR(INDEX(Sales!$J$7:$J$1506,$O78),"")</f>
        <v>20</v>
      </c>
      <c r="K78" s="96">
        <f t="array" ref="K78">IFERROR(INDEX(Sales!$K$7:$K$1506,$O78),"")</f>
        <v>1.25</v>
      </c>
      <c r="L78" s="96">
        <f t="array" ref="L78">IFERROR(INDEX(Sales!$L$7:$L$1506,$O78),"")</f>
        <v>150</v>
      </c>
      <c r="M78" s="19" t="str">
        <f t="array" ref="M78">IFERROR(INDEX(Sales!$M$7:$M$1506,$O78),"")</f>
        <v>Paid</v>
      </c>
      <c r="O78" s="111">
        <f>IFERROR(MATCH(TEXT($B$3,"yyyymm")&amp;"-"&amp;(ROW()-4),Sales!$Y$7:$Y$1506,0),"")</f>
        <v>75</v>
      </c>
    </row>
    <row r="79" ht="14.25" customHeight="1">
      <c r="A79" s="110">
        <f t="array" ref="A79">IFERROR(INDEX(Sales!$A$7:$A$1506,$O79),"")</f>
        <v>46228</v>
      </c>
      <c r="B79" s="19" t="str">
        <f t="array" ref="B79">IFERROR(INDEX(Sales!$B$7:$B$1506,$O79),"")</f>
        <v>Sale</v>
      </c>
      <c r="C79" s="19" t="str">
        <f t="array" ref="C79">IFERROR(INDEX(Sales!$C$7:$C$1506,$O79),"")</f>
        <v>Shop</v>
      </c>
      <c r="D79" s="19" t="str">
        <f t="array" ref="D79">IFERROR(INDEX(Sales!$D$7:$D$1506,$O79),"")</f>
        <v>PawfectBD Shop</v>
      </c>
      <c r="E79" s="19" t="str">
        <f t="array" ref="E79">IFERROR(IF(INDEX(Sales!$E$7:$E$1506,$O79)="","",INDEX(Sales!$E$7:$E$1506,$O79)),"")</f>
        <v/>
      </c>
      <c r="F79" s="19" t="str">
        <f t="array" ref="F79">IFERROR(INDEX(Sales!$F$7:$F$1506,$O79),"")</f>
        <v>AC-CB-HRNS-001</v>
      </c>
      <c r="G79" s="19" t="str">
        <f t="array" ref="G79">IFERROR(INDEX(Sales!$G$7:$G$1506,$O79),"")</f>
        <v>Cat Belt Harness </v>
      </c>
      <c r="H79" s="96">
        <f t="array" ref="H79">IFERROR(INDEX(Sales!$H$7:$H$1506,$O79),"")</f>
        <v>1</v>
      </c>
      <c r="I79" s="96">
        <f t="array" ref="I79">IFERROR(INDEX(Sales!$I$7:$I$1506,$O79),"")</f>
        <v>150</v>
      </c>
      <c r="J79" s="96">
        <f t="array" ref="J79">IFERROR(INDEX(Sales!$J$7:$J$1506,$O79),"")</f>
        <v>180</v>
      </c>
      <c r="K79" s="96">
        <f t="array" ref="K79">IFERROR(INDEX(Sales!$K$7:$K$1506,$O79),"")</f>
        <v>30</v>
      </c>
      <c r="L79" s="96">
        <f t="array" ref="L79">IFERROR(INDEX(Sales!$L$7:$L$1506,$O79),"")</f>
        <v>150</v>
      </c>
      <c r="M79" s="19" t="str">
        <f t="array" ref="M79">IFERROR(INDEX(Sales!$M$7:$M$1506,$O79),"")</f>
        <v>Paid</v>
      </c>
      <c r="O79" s="111">
        <f>IFERROR(MATCH(TEXT($B$3,"yyyymm")&amp;"-"&amp;(ROW()-4),Sales!$Y$7:$Y$1506,0),"")</f>
        <v>76</v>
      </c>
    </row>
    <row r="80" ht="14.25" customHeight="1">
      <c r="A80" s="110">
        <f t="array" ref="A80">IFERROR(INDEX(Sales!$A$7:$A$1506,$O80),"")</f>
        <v>46228</v>
      </c>
      <c r="B80" s="19" t="str">
        <f t="array" ref="B80">IFERROR(INDEX(Sales!$B$7:$B$1506,$O80),"")</f>
        <v>Sale</v>
      </c>
      <c r="C80" s="19" t="str">
        <f t="array" ref="C80">IFERROR(INDEX(Sales!$C$7:$C$1506,$O80),"")</f>
        <v>Shop</v>
      </c>
      <c r="D80" s="19" t="str">
        <f t="array" ref="D80">IFERROR(INDEX(Sales!$D$7:$D$1506,$O80),"")</f>
        <v>PawfectBD Shop</v>
      </c>
      <c r="E80" s="19" t="str">
        <f t="array" ref="E80">IFERROR(IF(INDEX(Sales!$E$7:$E$1506,$O80)="","",INDEX(Sales!$E$7:$E$1506,$O80)),"")</f>
        <v/>
      </c>
      <c r="F80" s="19" t="str">
        <f t="array" ref="F80">IFERROR(INDEX(Sales!$F$7:$F$1506,$O80),"")</f>
        <v>AC-CTOY-001</v>
      </c>
      <c r="G80" s="19" t="str">
        <f t="array" ref="G80">IFERROR(INDEX(Sales!$G$7:$G$1506,$O80),"")</f>
        <v>Wind up Mouse Toy</v>
      </c>
      <c r="H80" s="96">
        <f t="array" ref="H80">IFERROR(INDEX(Sales!$H$7:$H$1506,$O80),"")</f>
        <v>1</v>
      </c>
      <c r="I80" s="96">
        <f t="array" ref="I80">IFERROR(INDEX(Sales!$I$7:$I$1506,$O80),"")</f>
        <v>250</v>
      </c>
      <c r="J80" s="96">
        <f t="array" ref="J80">IFERROR(INDEX(Sales!$J$7:$J$1506,$O80),"")</f>
        <v>250</v>
      </c>
      <c r="K80" s="96" t="str">
        <f t="array" ref="K80">IFERROR(INDEX(Sales!$K$7:$K$1506,$O80),"")</f>
        <v/>
      </c>
      <c r="L80" s="96">
        <f t="array" ref="L80">IFERROR(INDEX(Sales!$L$7:$L$1506,$O80),"")</f>
        <v>250</v>
      </c>
      <c r="M80" s="19" t="str">
        <f t="array" ref="M80">IFERROR(INDEX(Sales!$M$7:$M$1506,$O80),"")</f>
        <v>Paid</v>
      </c>
      <c r="O80" s="111">
        <f>IFERROR(MATCH(TEXT($B$3,"yyyymm")&amp;"-"&amp;(ROW()-4),Sales!$Y$7:$Y$1506,0),"")</f>
        <v>77</v>
      </c>
    </row>
    <row r="81" ht="14.25" customHeight="1">
      <c r="A81" s="110">
        <f t="array" ref="A81">IFERROR(INDEX(Sales!$A$7:$A$1506,$O81),"")</f>
        <v>46228</v>
      </c>
      <c r="B81" s="19" t="str">
        <f t="array" ref="B81">IFERROR(INDEX(Sales!$B$7:$B$1506,$O81),"")</f>
        <v>Sale</v>
      </c>
      <c r="C81" s="19" t="str">
        <f t="array" ref="C81">IFERROR(INDEX(Sales!$C$7:$C$1506,$O81),"")</f>
        <v>Shop</v>
      </c>
      <c r="D81" s="19" t="str">
        <f t="array" ref="D81">IFERROR(INDEX(Sales!$D$7:$D$1506,$O81),"")</f>
        <v>PawfectBD Shop</v>
      </c>
      <c r="E81" s="19" t="str">
        <f t="array" ref="E81">IFERROR(IF(INDEX(Sales!$E$7:$E$1506,$O81)="","",INDEX(Sales!$E$7:$E$1506,$O81)),"")</f>
        <v/>
      </c>
      <c r="F81" s="19" t="str">
        <f t="array" ref="F81">IFERROR(INDEX(Sales!$F$7:$F$1506,$O81),"")</f>
        <v>LT-LM-CZE-5L-001</v>
      </c>
      <c r="G81" s="19" t="str">
        <f t="array" ref="G81">IFERROR(INDEX(Sales!$G$7:$G$1506,$O81),"")</f>
        <v>Cozie Cat Litter Lemon 5L</v>
      </c>
      <c r="H81" s="96">
        <f t="array" ref="H81">IFERROR(INDEX(Sales!$H$7:$H$1506,$O81),"")</f>
        <v>1</v>
      </c>
      <c r="I81" s="96">
        <f t="array" ref="I81">IFERROR(INDEX(Sales!$I$7:$I$1506,$O81),"")</f>
        <v>330</v>
      </c>
      <c r="J81" s="96">
        <f t="array" ref="J81">IFERROR(INDEX(Sales!$J$7:$J$1506,$O81),"")</f>
        <v>370</v>
      </c>
      <c r="K81" s="96">
        <f t="array" ref="K81">IFERROR(INDEX(Sales!$K$7:$K$1506,$O81),"")</f>
        <v>40</v>
      </c>
      <c r="L81" s="96">
        <f t="array" ref="L81">IFERROR(INDEX(Sales!$L$7:$L$1506,$O81),"")</f>
        <v>330</v>
      </c>
      <c r="M81" s="19" t="str">
        <f t="array" ref="M81">IFERROR(INDEX(Sales!$M$7:$M$1506,$O81),"")</f>
        <v>Paid</v>
      </c>
      <c r="O81" s="111">
        <f>IFERROR(MATCH(TEXT($B$3,"yyyymm")&amp;"-"&amp;(ROW()-4),Sales!$Y$7:$Y$1506,0),"")</f>
        <v>78</v>
      </c>
    </row>
    <row r="82" ht="14.25" customHeight="1">
      <c r="A82" s="110">
        <f t="array" ref="A82">IFERROR(INDEX(Sales!$A$7:$A$1506,$O82),"")</f>
        <v>46229</v>
      </c>
      <c r="B82" s="19" t="str">
        <f t="array" ref="B82">IFERROR(INDEX(Sales!$B$7:$B$1506,$O82),"")</f>
        <v>Sale</v>
      </c>
      <c r="C82" s="19" t="str">
        <f t="array" ref="C82">IFERROR(INDEX(Sales!$C$7:$C$1506,$O82),"")</f>
        <v>Shop</v>
      </c>
      <c r="D82" s="19" t="str">
        <f t="array" ref="D82">IFERROR(INDEX(Sales!$D$7:$D$1506,$O82),"")</f>
        <v>PawfectBD Shop</v>
      </c>
      <c r="E82" s="19" t="str">
        <f t="array" ref="E82">IFERROR(IF(INDEX(Sales!$E$7:$E$1506,$O82)="","",INDEX(Sales!$E$7:$E$1506,$O82)),"")</f>
        <v/>
      </c>
      <c r="F82" s="19" t="str">
        <f t="array" ref="F82">IFERROR(INDEX(Sales!$F$7:$F$1506,$O82),"")</f>
        <v>AC-CB-001</v>
      </c>
      <c r="G82" s="19" t="str">
        <f t="array" ref="G82">IFERROR(INDEX(Sales!$G$7:$G$1506,$O82),"")</f>
        <v>Cat Belt</v>
      </c>
      <c r="H82" s="96">
        <f t="array" ref="H82">IFERROR(INDEX(Sales!$H$7:$H$1506,$O82),"")</f>
        <v>1</v>
      </c>
      <c r="I82" s="96">
        <f t="array" ref="I82">IFERROR(INDEX(Sales!$I$7:$I$1506,$O82),"")</f>
        <v>50</v>
      </c>
      <c r="J82" s="96">
        <f t="array" ref="J82">IFERROR(INDEX(Sales!$J$7:$J$1506,$O82),"")</f>
        <v>60</v>
      </c>
      <c r="K82" s="96">
        <f t="array" ref="K82">IFERROR(INDEX(Sales!$K$7:$K$1506,$O82),"")</f>
        <v>10</v>
      </c>
      <c r="L82" s="96">
        <f t="array" ref="L82">IFERROR(INDEX(Sales!$L$7:$L$1506,$O82),"")</f>
        <v>50</v>
      </c>
      <c r="M82" s="19" t="str">
        <f t="array" ref="M82">IFERROR(INDEX(Sales!$M$7:$M$1506,$O82),"")</f>
        <v>Paid</v>
      </c>
      <c r="O82" s="111">
        <f>IFERROR(MATCH(TEXT($B$3,"yyyymm")&amp;"-"&amp;(ROW()-4),Sales!$Y$7:$Y$1506,0),"")</f>
        <v>79</v>
      </c>
    </row>
    <row r="83" ht="14.25" customHeight="1">
      <c r="A83" s="110">
        <f t="array" ref="A83">IFERROR(INDEX(Sales!$A$7:$A$1506,$O83),"")</f>
        <v>46229</v>
      </c>
      <c r="B83" s="19" t="str">
        <f t="array" ref="B83">IFERROR(INDEX(Sales!$B$7:$B$1506,$O83),"")</f>
        <v>Sale</v>
      </c>
      <c r="C83" s="19" t="str">
        <f t="array" ref="C83">IFERROR(INDEX(Sales!$C$7:$C$1506,$O83),"")</f>
        <v>Shop</v>
      </c>
      <c r="D83" s="19" t="str">
        <f t="array" ref="D83">IFERROR(INDEX(Sales!$D$7:$D$1506,$O83),"")</f>
        <v>PawfectBD Shop</v>
      </c>
      <c r="E83" s="19" t="str">
        <f t="array" ref="E83">IFERROR(IF(INDEX(Sales!$E$7:$E$1506,$O83)="","",INDEX(Sales!$E$7:$E$1506,$O83)),"")</f>
        <v/>
      </c>
      <c r="F83" s="19" t="str">
        <f t="array" ref="F83">IFERROR(INDEX(Sales!$F$7:$F$1506,$O83),"")</f>
        <v>TR-CRMY-15G-001</v>
      </c>
      <c r="G83" s="19" t="str">
        <f t="array" ref="G83">IFERROR(INDEX(Sales!$G$7:$G$1506,$O83),"")</f>
        <v>Creamy Treat 15G (Purry &amp; Hyper Paws)</v>
      </c>
      <c r="H83" s="96">
        <f t="array" ref="H83">IFERROR(INDEX(Sales!$H$7:$H$1506,$O83),"")</f>
        <v>5</v>
      </c>
      <c r="I83" s="96">
        <f t="array" ref="I83">IFERROR(INDEX(Sales!$I$7:$I$1506,$O83),"")</f>
        <v>20</v>
      </c>
      <c r="J83" s="96">
        <f t="array" ref="J83">IFERROR(INDEX(Sales!$J$7:$J$1506,$O83),"")</f>
        <v>20</v>
      </c>
      <c r="K83" s="96" t="str">
        <f t="array" ref="K83">IFERROR(INDEX(Sales!$K$7:$K$1506,$O83),"")</f>
        <v/>
      </c>
      <c r="L83" s="96">
        <f t="array" ref="L83">IFERROR(INDEX(Sales!$L$7:$L$1506,$O83),"")</f>
        <v>100</v>
      </c>
      <c r="M83" s="19" t="str">
        <f t="array" ref="M83">IFERROR(INDEX(Sales!$M$7:$M$1506,$O83),"")</f>
        <v>Paid</v>
      </c>
      <c r="O83" s="111">
        <f>IFERROR(MATCH(TEXT($B$3,"yyyymm")&amp;"-"&amp;(ROW()-4),Sales!$Y$7:$Y$1506,0),"")</f>
        <v>80</v>
      </c>
    </row>
    <row r="84" ht="14.25" customHeight="1">
      <c r="A84" s="110">
        <f t="array" ref="A84">IFERROR(INDEX(Sales!$A$7:$A$1506,$O84),"")</f>
        <v>46229</v>
      </c>
      <c r="B84" s="19" t="str">
        <f t="array" ref="B84">IFERROR(INDEX(Sales!$B$7:$B$1506,$O84),"")</f>
        <v>Sale</v>
      </c>
      <c r="C84" s="19" t="str">
        <f t="array" ref="C84">IFERROR(INDEX(Sales!$C$7:$C$1506,$O84),"")</f>
        <v>Shop</v>
      </c>
      <c r="D84" s="19" t="str">
        <f t="array" ref="D84">IFERROR(INDEX(Sales!$D$7:$D$1506,$O84),"")</f>
        <v>PawfectBD Shop</v>
      </c>
      <c r="E84" s="19" t="str">
        <f t="array" ref="E84">IFERROR(IF(INDEX(Sales!$E$7:$E$1506,$O84)="","",INDEX(Sales!$E$7:$E$1506,$O84)),"")</f>
        <v/>
      </c>
      <c r="F84" s="19" t="str">
        <f t="array" ref="F84">IFERROR(INDEX(Sales!$F$7:$F$1506,$O84),"")</f>
        <v>PO-TP-70G-001</v>
      </c>
      <c r="G84" s="19" t="str">
        <f t="array" ref="G84">IFERROR(INDEX(Sales!$G$7:$G$1506,$O84),"")</f>
        <v>Taipet Chicken Tuna in Jelly</v>
      </c>
      <c r="H84" s="96">
        <f t="array" ref="H84">IFERROR(INDEX(Sales!$H$7:$H$1506,$O84),"")</f>
        <v>1</v>
      </c>
      <c r="I84" s="96">
        <f t="array" ref="I84">IFERROR(INDEX(Sales!$I$7:$I$1506,$O84),"")</f>
        <v>70</v>
      </c>
      <c r="J84" s="96">
        <f t="array" ref="J84">IFERROR(INDEX(Sales!$J$7:$J$1506,$O84),"")</f>
        <v>75</v>
      </c>
      <c r="K84" s="96">
        <f t="array" ref="K84">IFERROR(INDEX(Sales!$K$7:$K$1506,$O84),"")</f>
        <v>5</v>
      </c>
      <c r="L84" s="96">
        <f t="array" ref="L84">IFERROR(INDEX(Sales!$L$7:$L$1506,$O84),"")</f>
        <v>70</v>
      </c>
      <c r="M84" s="19" t="str">
        <f t="array" ref="M84">IFERROR(INDEX(Sales!$M$7:$M$1506,$O84),"")</f>
        <v>Paid</v>
      </c>
      <c r="O84" s="111">
        <f>IFERROR(MATCH(TEXT($B$3,"yyyymm")&amp;"-"&amp;(ROW()-4),Sales!$Y$7:$Y$1506,0),"")</f>
        <v>81</v>
      </c>
    </row>
    <row r="85" ht="14.25" customHeight="1">
      <c r="A85" s="110">
        <f t="array" ref="A85">IFERROR(INDEX(Sales!$A$7:$A$1506,$O85),"")</f>
        <v>46229</v>
      </c>
      <c r="B85" s="19" t="str">
        <f t="array" ref="B85">IFERROR(INDEX(Sales!$B$7:$B$1506,$O85),"")</f>
        <v>Sale</v>
      </c>
      <c r="C85" s="19" t="str">
        <f t="array" ref="C85">IFERROR(INDEX(Sales!$C$7:$C$1506,$O85),"")</f>
        <v>Shop</v>
      </c>
      <c r="D85" s="19" t="str">
        <f t="array" ref="D85">IFERROR(INDEX(Sales!$D$7:$D$1506,$O85),"")</f>
        <v>PawfectBD Shop</v>
      </c>
      <c r="E85" s="19" t="str">
        <f t="array" ref="E85">IFERROR(IF(INDEX(Sales!$E$7:$E$1506,$O85)="","",INDEX(Sales!$E$7:$E$1506,$O85)),"")</f>
        <v/>
      </c>
      <c r="F85" s="19" t="str">
        <f t="array" ref="F85">IFERROR(INDEX(Sales!$F$7:$F$1506,$O85),"")</f>
        <v>TR-CRMY-15G-001</v>
      </c>
      <c r="G85" s="19" t="str">
        <f t="array" ref="G85">IFERROR(INDEX(Sales!$G$7:$G$1506,$O85),"")</f>
        <v>Creamy Treat 15G (Purry &amp; Hyper Paws)</v>
      </c>
      <c r="H85" s="96">
        <f t="array" ref="H85">IFERROR(INDEX(Sales!$H$7:$H$1506,$O85),"")</f>
        <v>5</v>
      </c>
      <c r="I85" s="96">
        <f t="array" ref="I85">IFERROR(INDEX(Sales!$I$7:$I$1506,$O85),"")</f>
        <v>20</v>
      </c>
      <c r="J85" s="96">
        <f t="array" ref="J85">IFERROR(INDEX(Sales!$J$7:$J$1506,$O85),"")</f>
        <v>20</v>
      </c>
      <c r="K85" s="96" t="str">
        <f t="array" ref="K85">IFERROR(INDEX(Sales!$K$7:$K$1506,$O85),"")</f>
        <v/>
      </c>
      <c r="L85" s="96">
        <f t="array" ref="L85">IFERROR(INDEX(Sales!$L$7:$L$1506,$O85),"")</f>
        <v>100</v>
      </c>
      <c r="M85" s="19" t="str">
        <f t="array" ref="M85">IFERROR(INDEX(Sales!$M$7:$M$1506,$O85),"")</f>
        <v>Paid</v>
      </c>
      <c r="O85" s="111">
        <f>IFERROR(MATCH(TEXT($B$3,"yyyymm")&amp;"-"&amp;(ROW()-4),Sales!$Y$7:$Y$1506,0),"")</f>
        <v>82</v>
      </c>
    </row>
    <row r="86" ht="14.25" customHeight="1">
      <c r="A86" s="110">
        <f t="array" ref="A86">IFERROR(INDEX(Sales!$A$7:$A$1506,$O86),"")</f>
        <v>46229</v>
      </c>
      <c r="B86" s="19" t="str">
        <f t="array" ref="B86">IFERROR(INDEX(Sales!$B$7:$B$1506,$O86),"")</f>
        <v>Sale</v>
      </c>
      <c r="C86" s="19" t="str">
        <f t="array" ref="C86">IFERROR(INDEX(Sales!$C$7:$C$1506,$O86),"")</f>
        <v>Shop</v>
      </c>
      <c r="D86" s="19" t="str">
        <f t="array" ref="D86">IFERROR(INDEX(Sales!$D$7:$D$1506,$O86),"")</f>
        <v>PawfectBD Shop</v>
      </c>
      <c r="E86" s="19" t="str">
        <f t="array" ref="E86">IFERROR(IF(INDEX(Sales!$E$7:$E$1506,$O86)="","",INDEX(Sales!$E$7:$E$1506,$O86)),"")</f>
        <v/>
      </c>
      <c r="F86" s="19" t="str">
        <f t="array" ref="F86">IFERROR(INDEX(Sales!$F$7:$F$1506,$O86),"")</f>
        <v>TR-CRMY-15G-001</v>
      </c>
      <c r="G86" s="19" t="str">
        <f t="array" ref="G86">IFERROR(INDEX(Sales!$G$7:$G$1506,$O86),"")</f>
        <v>Creamy Treat 15G (Purry &amp; Hyper Paws)</v>
      </c>
      <c r="H86" s="96">
        <f t="array" ref="H86">IFERROR(INDEX(Sales!$H$7:$H$1506,$O86),"")</f>
        <v>3</v>
      </c>
      <c r="I86" s="96">
        <f t="array" ref="I86">IFERROR(INDEX(Sales!$I$7:$I$1506,$O86),"")</f>
        <v>20</v>
      </c>
      <c r="J86" s="96">
        <f t="array" ref="J86">IFERROR(INDEX(Sales!$J$7:$J$1506,$O86),"")</f>
        <v>20</v>
      </c>
      <c r="K86" s="96" t="str">
        <f t="array" ref="K86">IFERROR(INDEX(Sales!$K$7:$K$1506,$O86),"")</f>
        <v/>
      </c>
      <c r="L86" s="96">
        <f t="array" ref="L86">IFERROR(INDEX(Sales!$L$7:$L$1506,$O86),"")</f>
        <v>60</v>
      </c>
      <c r="M86" s="19" t="str">
        <f t="array" ref="M86">IFERROR(INDEX(Sales!$M$7:$M$1506,$O86),"")</f>
        <v>Paid</v>
      </c>
      <c r="O86" s="111">
        <f>IFERROR(MATCH(TEXT($B$3,"yyyymm")&amp;"-"&amp;(ROW()-4),Sales!$Y$7:$Y$1506,0),"")</f>
        <v>83</v>
      </c>
    </row>
    <row r="87" ht="14.25" customHeight="1">
      <c r="A87" s="110">
        <f t="array" ref="A87">IFERROR(INDEX(Sales!$A$7:$A$1506,$O87),"")</f>
        <v>46229</v>
      </c>
      <c r="B87" s="19" t="str">
        <f t="array" ref="B87">IFERROR(INDEX(Sales!$B$7:$B$1506,$O87),"")</f>
        <v>Sale</v>
      </c>
      <c r="C87" s="19" t="str">
        <f t="array" ref="C87">IFERROR(INDEX(Sales!$C$7:$C$1506,$O87),"")</f>
        <v>Shop</v>
      </c>
      <c r="D87" s="19" t="str">
        <f t="array" ref="D87">IFERROR(INDEX(Sales!$D$7:$D$1506,$O87),"")</f>
        <v>Tanvir Bhai</v>
      </c>
      <c r="E87" s="19" t="str">
        <f t="array" ref="E87">IFERROR(IF(INDEX(Sales!$E$7:$E$1506,$O87)="","",INDEX(Sales!$E$7:$E$1506,$O87)),"")</f>
        <v/>
      </c>
      <c r="F87" s="19" t="str">
        <f t="array" ref="F87">IFERROR(INDEX(Sales!$F$7:$F$1506,$O87),"")</f>
        <v>FD-DRY-KTCN-1.5G-001</v>
      </c>
      <c r="G87" s="19" t="str">
        <f t="array" ref="G87">IFERROR(INDEX(Sales!$G$7:$G$1506,$O87),"")</f>
        <v>Kitchen Flavor Grain Free Adult 1.5KG</v>
      </c>
      <c r="H87" s="96">
        <f t="array" ref="H87">IFERROR(INDEX(Sales!$H$7:$H$1506,$O87),"")</f>
        <v>1</v>
      </c>
      <c r="I87" s="96">
        <f t="array" ref="I87">IFERROR(INDEX(Sales!$I$7:$I$1506,$O87),"")</f>
        <v>1210</v>
      </c>
      <c r="J87" s="96">
        <f t="array" ref="J87">IFERROR(INDEX(Sales!$J$7:$J$1506,$O87),"")</f>
        <v>1260</v>
      </c>
      <c r="K87" s="96">
        <f t="array" ref="K87">IFERROR(INDEX(Sales!$K$7:$K$1506,$O87),"")</f>
        <v>50</v>
      </c>
      <c r="L87" s="96">
        <f t="array" ref="L87">IFERROR(INDEX(Sales!$L$7:$L$1506,$O87),"")</f>
        <v>1210</v>
      </c>
      <c r="M87" s="19" t="str">
        <f t="array" ref="M87">IFERROR(INDEX(Sales!$M$7:$M$1506,$O87),"")</f>
        <v>Paid</v>
      </c>
      <c r="O87" s="111">
        <f>IFERROR(MATCH(TEXT($B$3,"yyyymm")&amp;"-"&amp;(ROW()-4),Sales!$Y$7:$Y$1506,0),"")</f>
        <v>84</v>
      </c>
    </row>
    <row r="88" ht="14.25" customHeight="1">
      <c r="A88" s="110">
        <f t="array" ref="A88">IFERROR(INDEX(Sales!$A$7:$A$1506,$O88),"")</f>
        <v>46229</v>
      </c>
      <c r="B88" s="19" t="str">
        <f t="array" ref="B88">IFERROR(INDEX(Sales!$B$7:$B$1506,$O88),"")</f>
        <v>Sale</v>
      </c>
      <c r="C88" s="19" t="str">
        <f t="array" ref="C88">IFERROR(INDEX(Sales!$C$7:$C$1506,$O88),"")</f>
        <v>Shop</v>
      </c>
      <c r="D88" s="19" t="str">
        <f t="array" ref="D88">IFERROR(INDEX(Sales!$D$7:$D$1506,$O88),"")</f>
        <v>Tanvir Bhai</v>
      </c>
      <c r="E88" s="19" t="str">
        <f t="array" ref="E88">IFERROR(IF(INDEX(Sales!$E$7:$E$1506,$O88)="","",INDEX(Sales!$E$7:$E$1506,$O88)),"")</f>
        <v/>
      </c>
      <c r="F88" s="19" t="str">
        <f t="array" ref="F88">IFERROR(INDEX(Sales!$F$7:$F$1506,$O88),"")</f>
        <v>TR-CRMY-15G-001</v>
      </c>
      <c r="G88" s="19" t="str">
        <f t="array" ref="G88">IFERROR(INDEX(Sales!$G$7:$G$1506,$O88),"")</f>
        <v>Creamy Treat 15G (Purry &amp; Hyper Paws)</v>
      </c>
      <c r="H88" s="96">
        <f t="array" ref="H88">IFERROR(INDEX(Sales!$H$7:$H$1506,$O88),"")</f>
        <v>2</v>
      </c>
      <c r="I88" s="96">
        <f t="array" ref="I88">IFERROR(INDEX(Sales!$I$7:$I$1506,$O88),"")</f>
        <v>20</v>
      </c>
      <c r="J88" s="96">
        <f t="array" ref="J88">IFERROR(INDEX(Sales!$J$7:$J$1506,$O88),"")</f>
        <v>20</v>
      </c>
      <c r="K88" s="96" t="str">
        <f t="array" ref="K88">IFERROR(INDEX(Sales!$K$7:$K$1506,$O88),"")</f>
        <v/>
      </c>
      <c r="L88" s="96">
        <f t="array" ref="L88">IFERROR(INDEX(Sales!$L$7:$L$1506,$O88),"")</f>
        <v>40</v>
      </c>
      <c r="M88" s="19" t="str">
        <f t="array" ref="M88">IFERROR(INDEX(Sales!$M$7:$M$1506,$O88),"")</f>
        <v>Paid</v>
      </c>
      <c r="O88" s="111">
        <f>IFERROR(MATCH(TEXT($B$3,"yyyymm")&amp;"-"&amp;(ROW()-4),Sales!$Y$7:$Y$1506,0),"")</f>
        <v>85</v>
      </c>
    </row>
    <row r="89" ht="14.25" customHeight="1">
      <c r="A89" s="110">
        <f t="array" ref="A89">IFERROR(INDEX(Sales!$A$7:$A$1506,$O89),"")</f>
        <v>46230</v>
      </c>
      <c r="B89" s="19" t="str">
        <f t="array" ref="B89">IFERROR(INDEX(Sales!$B$7:$B$1506,$O89),"")</f>
        <v>Sale</v>
      </c>
      <c r="C89" s="19" t="str">
        <f t="array" ref="C89">IFERROR(INDEX(Sales!$C$7:$C$1506,$O89),"")</f>
        <v>Shop</v>
      </c>
      <c r="D89" s="19" t="str">
        <f t="array" ref="D89">IFERROR(INDEX(Sales!$D$7:$D$1506,$O89),"")</f>
        <v>PawfectBD Shop</v>
      </c>
      <c r="E89" s="19" t="str">
        <f t="array" ref="E89">IFERROR(IF(INDEX(Sales!$E$7:$E$1506,$O89)="","",INDEX(Sales!$E$7:$E$1506,$O89)),"")</f>
        <v/>
      </c>
      <c r="F89" s="19" t="str">
        <f t="array" ref="F89">IFERROR(INDEX(Sales!$F$7:$F$1506,$O89),"")</f>
        <v>AC-SHAMP-002</v>
      </c>
      <c r="G89" s="19" t="str">
        <f t="array" ref="G89">IFERROR(INDEX(Sales!$G$7:$G$1506,$O89),"")</f>
        <v>Bengal Flea &amp; Tick Shampoo</v>
      </c>
      <c r="H89" s="96">
        <f t="array" ref="H89">IFERROR(INDEX(Sales!$H$7:$H$1506,$O89),"")</f>
        <v>1</v>
      </c>
      <c r="I89" s="96">
        <f t="array" ref="I89">IFERROR(INDEX(Sales!$I$7:$I$1506,$O89),"")</f>
        <v>380</v>
      </c>
      <c r="J89" s="96">
        <f t="array" ref="J89">IFERROR(INDEX(Sales!$J$7:$J$1506,$O89),"")</f>
        <v>400</v>
      </c>
      <c r="K89" s="96">
        <f t="array" ref="K89">IFERROR(INDEX(Sales!$K$7:$K$1506,$O89),"")</f>
        <v>20</v>
      </c>
      <c r="L89" s="96">
        <f t="array" ref="L89">IFERROR(INDEX(Sales!$L$7:$L$1506,$O89),"")</f>
        <v>380</v>
      </c>
      <c r="M89" s="19" t="str">
        <f t="array" ref="M89">IFERROR(INDEX(Sales!$M$7:$M$1506,$O89),"")</f>
        <v>Paid</v>
      </c>
      <c r="O89" s="111">
        <f>IFERROR(MATCH(TEXT($B$3,"yyyymm")&amp;"-"&amp;(ROW()-4),Sales!$Y$7:$Y$1506,0),"")</f>
        <v>86</v>
      </c>
    </row>
    <row r="90" ht="14.25" customHeight="1">
      <c r="A90" s="110">
        <f t="array" ref="A90">IFERROR(INDEX(Sales!$A$7:$A$1506,$O90),"")</f>
        <v>46230</v>
      </c>
      <c r="B90" s="19" t="str">
        <f t="array" ref="B90">IFERROR(INDEX(Sales!$B$7:$B$1506,$O90),"")</f>
        <v>Sale</v>
      </c>
      <c r="C90" s="19" t="str">
        <f t="array" ref="C90">IFERROR(INDEX(Sales!$C$7:$C$1506,$O90),"")</f>
        <v>Shop</v>
      </c>
      <c r="D90" s="19" t="str">
        <f t="array" ref="D90">IFERROR(INDEX(Sales!$D$7:$D$1506,$O90),"")</f>
        <v>PawfectBD Shop</v>
      </c>
      <c r="E90" s="19" t="str">
        <f t="array" ref="E90">IFERROR(IF(INDEX(Sales!$E$7:$E$1506,$O90)="","",INDEX(Sales!$E$7:$E$1506,$O90)),"")</f>
        <v/>
      </c>
      <c r="F90" s="19" t="str">
        <f t="array" ref="F90">IFERROR(INDEX(Sales!$F$7:$F$1506,$O90),"")</f>
        <v>FD-DRY-SMHRT-450G-001</v>
      </c>
      <c r="G90" s="19" t="str">
        <f t="array" ref="G90">IFERROR(INDEX(Sales!$G$7:$G$1506,$O90),"")</f>
        <v>Smart Heart Kitten Food Chicken, Fish, Egg &amp; Milk 450gm</v>
      </c>
      <c r="H90" s="96">
        <f t="array" ref="H90">IFERROR(INDEX(Sales!$H$7:$H$1506,$O90),"")</f>
        <v>1</v>
      </c>
      <c r="I90" s="96">
        <f t="array" ref="I90">IFERROR(INDEX(Sales!$I$7:$I$1506,$O90),"")</f>
        <v>350</v>
      </c>
      <c r="J90" s="96">
        <f t="array" ref="J90">IFERROR(INDEX(Sales!$J$7:$J$1506,$O90),"")</f>
        <v>380</v>
      </c>
      <c r="K90" s="96">
        <f t="array" ref="K90">IFERROR(INDEX(Sales!$K$7:$K$1506,$O90),"")</f>
        <v>30</v>
      </c>
      <c r="L90" s="96">
        <f t="array" ref="L90">IFERROR(INDEX(Sales!$L$7:$L$1506,$O90),"")</f>
        <v>350</v>
      </c>
      <c r="M90" s="19" t="str">
        <f t="array" ref="M90">IFERROR(INDEX(Sales!$M$7:$M$1506,$O90),"")</f>
        <v>Paid</v>
      </c>
      <c r="O90" s="111">
        <f>IFERROR(MATCH(TEXT($B$3,"yyyymm")&amp;"-"&amp;(ROW()-4),Sales!$Y$7:$Y$1506,0),"")</f>
        <v>87</v>
      </c>
    </row>
    <row r="91" ht="14.25" customHeight="1">
      <c r="A91" s="110">
        <f t="array" ref="A91">IFERROR(INDEX(Sales!$A$7:$A$1506,$O91),"")</f>
        <v>46230</v>
      </c>
      <c r="B91" s="19" t="str">
        <f t="array" ref="B91">IFERROR(INDEX(Sales!$B$7:$B$1506,$O91),"")</f>
        <v>Sale</v>
      </c>
      <c r="C91" s="19" t="str">
        <f t="array" ref="C91">IFERROR(INDEX(Sales!$C$7:$C$1506,$O91),"")</f>
        <v>Shop</v>
      </c>
      <c r="D91" s="19" t="str">
        <f t="array" ref="D91">IFERROR(INDEX(Sales!$D$7:$D$1506,$O91),"")</f>
        <v>PawfectBD Shop</v>
      </c>
      <c r="E91" s="19" t="str">
        <f t="array" ref="E91">IFERROR(IF(INDEX(Sales!$E$7:$E$1506,$O91)="","",INDEX(Sales!$E$7:$E$1506,$O91)),"")</f>
        <v/>
      </c>
      <c r="F91" s="19" t="str">
        <f t="array" ref="F91">IFERROR(INDEX(Sales!$F$7:$F$1506,$O91),"")</f>
        <v>TR-CRMY-15G-001</v>
      </c>
      <c r="G91" s="19" t="str">
        <f t="array" ref="G91">IFERROR(INDEX(Sales!$G$7:$G$1506,$O91),"")</f>
        <v>Creamy Treat 15G (Purry &amp; Hyper Paws)</v>
      </c>
      <c r="H91" s="96">
        <f t="array" ref="H91">IFERROR(INDEX(Sales!$H$7:$H$1506,$O91),"")</f>
        <v>5</v>
      </c>
      <c r="I91" s="96">
        <f t="array" ref="I91">IFERROR(INDEX(Sales!$I$7:$I$1506,$O91),"")</f>
        <v>20</v>
      </c>
      <c r="J91" s="96">
        <f t="array" ref="J91">IFERROR(INDEX(Sales!$J$7:$J$1506,$O91),"")</f>
        <v>20</v>
      </c>
      <c r="K91" s="96" t="str">
        <f t="array" ref="K91">IFERROR(INDEX(Sales!$K$7:$K$1506,$O91),"")</f>
        <v/>
      </c>
      <c r="L91" s="96">
        <f t="array" ref="L91">IFERROR(INDEX(Sales!$L$7:$L$1506,$O91),"")</f>
        <v>100</v>
      </c>
      <c r="M91" s="19" t="str">
        <f t="array" ref="M91">IFERROR(INDEX(Sales!$M$7:$M$1506,$O91),"")</f>
        <v>Paid</v>
      </c>
      <c r="O91" s="111">
        <f>IFERROR(MATCH(TEXT($B$3,"yyyymm")&amp;"-"&amp;(ROW()-4),Sales!$Y$7:$Y$1506,0),"")</f>
        <v>88</v>
      </c>
    </row>
    <row r="92" ht="14.25" customHeight="1">
      <c r="A92" s="110">
        <f t="array" ref="A92">IFERROR(INDEX(Sales!$A$7:$A$1506,$O92),"")</f>
        <v>46231</v>
      </c>
      <c r="B92" s="19" t="str">
        <f t="array" ref="B92">IFERROR(INDEX(Sales!$B$7:$B$1506,$O92),"")</f>
        <v>Sale</v>
      </c>
      <c r="C92" s="19" t="str">
        <f t="array" ref="C92">IFERROR(INDEX(Sales!$C$7:$C$1506,$O92),"")</f>
        <v>Shop</v>
      </c>
      <c r="D92" s="19" t="str">
        <f t="array" ref="D92">IFERROR(INDEX(Sales!$D$7:$D$1506,$O92),"")</f>
        <v>PawfectBD Shop</v>
      </c>
      <c r="E92" s="19" t="str">
        <f t="array" ref="E92">IFERROR(IF(INDEX(Sales!$E$7:$E$1506,$O92)="","",INDEX(Sales!$E$7:$E$1506,$O92)),"")</f>
        <v/>
      </c>
      <c r="F92" s="19" t="str">
        <f t="array" ref="F92">IFERROR(INDEX(Sales!$F$7:$F$1506,$O92),"")</f>
        <v>TR-CRMY-15G-001</v>
      </c>
      <c r="G92" s="19" t="str">
        <f t="array" ref="G92">IFERROR(INDEX(Sales!$G$7:$G$1506,$O92),"")</f>
        <v>Creamy Treat 15G (Purry &amp; Hyper Paws)</v>
      </c>
      <c r="H92" s="96">
        <f t="array" ref="H92">IFERROR(INDEX(Sales!$H$7:$H$1506,$O92),"")</f>
        <v>4</v>
      </c>
      <c r="I92" s="96">
        <f t="array" ref="I92">IFERROR(INDEX(Sales!$I$7:$I$1506,$O92),"")</f>
        <v>12.5</v>
      </c>
      <c r="J92" s="96">
        <f t="array" ref="J92">IFERROR(INDEX(Sales!$J$7:$J$1506,$O92),"")</f>
        <v>20</v>
      </c>
      <c r="K92" s="96">
        <f t="array" ref="K92">IFERROR(INDEX(Sales!$K$7:$K$1506,$O92),"")</f>
        <v>7.5</v>
      </c>
      <c r="L92" s="96">
        <f t="array" ref="L92">IFERROR(INDEX(Sales!$L$7:$L$1506,$O92),"")</f>
        <v>50</v>
      </c>
      <c r="M92" s="19" t="str">
        <f t="array" ref="M92">IFERROR(INDEX(Sales!$M$7:$M$1506,$O92),"")</f>
        <v>Paid</v>
      </c>
      <c r="O92" s="111">
        <f>IFERROR(MATCH(TEXT($B$3,"yyyymm")&amp;"-"&amp;(ROW()-4),Sales!$Y$7:$Y$1506,0),"")</f>
        <v>89</v>
      </c>
    </row>
    <row r="93" ht="14.25" customHeight="1">
      <c r="A93" s="110">
        <f t="array" ref="A93">IFERROR(INDEX(Sales!$A$7:$A$1506,$O93),"")</f>
        <v>46231</v>
      </c>
      <c r="B93" s="19" t="str">
        <f t="array" ref="B93">IFERROR(INDEX(Sales!$B$7:$B$1506,$O93),"")</f>
        <v>Sale</v>
      </c>
      <c r="C93" s="19" t="str">
        <f t="array" ref="C93">IFERROR(INDEX(Sales!$C$7:$C$1506,$O93),"")</f>
        <v>Shop</v>
      </c>
      <c r="D93" s="19" t="str">
        <f t="array" ref="D93">IFERROR(INDEX(Sales!$D$7:$D$1506,$O93),"")</f>
        <v>PawfectBD Shop</v>
      </c>
      <c r="E93" s="19" t="str">
        <f t="array" ref="E93">IFERROR(IF(INDEX(Sales!$E$7:$E$1506,$O93)="","",INDEX(Sales!$E$7:$E$1506,$O93)),"")</f>
        <v/>
      </c>
      <c r="F93" s="19" t="str">
        <f t="array" ref="F93">IFERROR(INDEX(Sales!$F$7:$F$1506,$O93),"")</f>
        <v>TR-CRMY-15G-001</v>
      </c>
      <c r="G93" s="19" t="str">
        <f t="array" ref="G93">IFERROR(INDEX(Sales!$G$7:$G$1506,$O93),"")</f>
        <v>Creamy Treat 15G (Purry &amp; Hyper Paws)</v>
      </c>
      <c r="H93" s="96">
        <f t="array" ref="H93">IFERROR(INDEX(Sales!$H$7:$H$1506,$O93),"")</f>
        <v>3</v>
      </c>
      <c r="I93" s="96">
        <f t="array" ref="I93">IFERROR(INDEX(Sales!$I$7:$I$1506,$O93),"")</f>
        <v>20</v>
      </c>
      <c r="J93" s="96">
        <f t="array" ref="J93">IFERROR(INDEX(Sales!$J$7:$J$1506,$O93),"")</f>
        <v>20</v>
      </c>
      <c r="K93" s="96" t="str">
        <f t="array" ref="K93">IFERROR(INDEX(Sales!$K$7:$K$1506,$O93),"")</f>
        <v/>
      </c>
      <c r="L93" s="96">
        <f t="array" ref="L93">IFERROR(INDEX(Sales!$L$7:$L$1506,$O93),"")</f>
        <v>60</v>
      </c>
      <c r="M93" s="19" t="str">
        <f t="array" ref="M93">IFERROR(INDEX(Sales!$M$7:$M$1506,$O93),"")</f>
        <v>Paid</v>
      </c>
      <c r="O93" s="111">
        <f>IFERROR(MATCH(TEXT($B$3,"yyyymm")&amp;"-"&amp;(ROW()-4),Sales!$Y$7:$Y$1506,0),"")</f>
        <v>90</v>
      </c>
    </row>
    <row r="94" ht="14.25" customHeight="1">
      <c r="A94" s="110">
        <f t="array" ref="A94">IFERROR(INDEX(Sales!$A$7:$A$1506,$O94),"")</f>
        <v>46231</v>
      </c>
      <c r="B94" s="19" t="str">
        <f t="array" ref="B94">IFERROR(INDEX(Sales!$B$7:$B$1506,$O94),"")</f>
        <v>Sale</v>
      </c>
      <c r="C94" s="19" t="str">
        <f t="array" ref="C94">IFERROR(INDEX(Sales!$C$7:$C$1506,$O94),"")</f>
        <v>Shop</v>
      </c>
      <c r="D94" s="19" t="str">
        <f t="array" ref="D94">IFERROR(INDEX(Sales!$D$7:$D$1506,$O94),"")</f>
        <v>PawfectBD Shop</v>
      </c>
      <c r="E94" s="19" t="str">
        <f t="array" ref="E94">IFERROR(IF(INDEX(Sales!$E$7:$E$1506,$O94)="","",INDEX(Sales!$E$7:$E$1506,$O94)),"")</f>
        <v/>
      </c>
      <c r="F94" s="19" t="str">
        <f t="array" ref="F94">IFERROR(INDEX(Sales!$F$7:$F$1506,$O94),"")</f>
        <v>TR-CRMY-15G-001</v>
      </c>
      <c r="G94" s="19" t="str">
        <f t="array" ref="G94">IFERROR(INDEX(Sales!$G$7:$G$1506,$O94),"")</f>
        <v>Creamy Treat 15G (Purry &amp; Hyper Paws)</v>
      </c>
      <c r="H94" s="96">
        <f t="array" ref="H94">IFERROR(INDEX(Sales!$H$7:$H$1506,$O94),"")</f>
        <v>1</v>
      </c>
      <c r="I94" s="96">
        <f t="array" ref="I94">IFERROR(INDEX(Sales!$I$7:$I$1506,$O94),"")</f>
        <v>20</v>
      </c>
      <c r="J94" s="96">
        <f t="array" ref="J94">IFERROR(INDEX(Sales!$J$7:$J$1506,$O94),"")</f>
        <v>20</v>
      </c>
      <c r="K94" s="96" t="str">
        <f t="array" ref="K94">IFERROR(INDEX(Sales!$K$7:$K$1506,$O94),"")</f>
        <v/>
      </c>
      <c r="L94" s="96">
        <f t="array" ref="L94">IFERROR(INDEX(Sales!$L$7:$L$1506,$O94),"")</f>
        <v>20</v>
      </c>
      <c r="M94" s="19" t="str">
        <f t="array" ref="M94">IFERROR(INDEX(Sales!$M$7:$M$1506,$O94),"")</f>
        <v>Paid</v>
      </c>
      <c r="O94" s="111">
        <f>IFERROR(MATCH(TEXT($B$3,"yyyymm")&amp;"-"&amp;(ROW()-4),Sales!$Y$7:$Y$1506,0),"")</f>
        <v>91</v>
      </c>
    </row>
    <row r="95" ht="14.25" customHeight="1">
      <c r="A95" s="110">
        <f t="array" ref="A95">IFERROR(INDEX(Sales!$A$7:$A$1506,$O95),"")</f>
        <v>46231</v>
      </c>
      <c r="B95" s="19" t="str">
        <f t="array" ref="B95">IFERROR(INDEX(Sales!$B$7:$B$1506,$O95),"")</f>
        <v>Sale</v>
      </c>
      <c r="C95" s="19" t="str">
        <f t="array" ref="C95">IFERROR(INDEX(Sales!$C$7:$C$1506,$O95),"")</f>
        <v>Shop</v>
      </c>
      <c r="D95" s="19" t="str">
        <f t="array" ref="D95">IFERROR(INDEX(Sales!$D$7:$D$1506,$O95),"")</f>
        <v>Nadim</v>
      </c>
      <c r="E95" s="19" t="str">
        <f t="array" ref="E95">IFERROR(IF(INDEX(Sales!$E$7:$E$1506,$O95)="","",INDEX(Sales!$E$7:$E$1506,$O95)),"")</f>
        <v/>
      </c>
      <c r="F95" s="19" t="str">
        <f t="array" ref="F95">IFERROR(INDEX(Sales!$F$7:$F$1506,$O95),"")</f>
        <v>TR-CRMY-15G-001</v>
      </c>
      <c r="G95" s="19" t="str">
        <f t="array" ref="G95">IFERROR(INDEX(Sales!$G$7:$G$1506,$O95),"")</f>
        <v>Creamy Treat 15G (Purry &amp; Hyper Paws)</v>
      </c>
      <c r="H95" s="96">
        <f t="array" ref="H95">IFERROR(INDEX(Sales!$H$7:$H$1506,$O95),"")</f>
        <v>1</v>
      </c>
      <c r="I95" s="96">
        <f t="array" ref="I95">IFERROR(INDEX(Sales!$I$7:$I$1506,$O95),"")</f>
        <v>10</v>
      </c>
      <c r="J95" s="96">
        <f t="array" ref="J95">IFERROR(INDEX(Sales!$J$7:$J$1506,$O95),"")</f>
        <v>20</v>
      </c>
      <c r="K95" s="96">
        <f t="array" ref="K95">IFERROR(INDEX(Sales!$K$7:$K$1506,$O95),"")</f>
        <v>10</v>
      </c>
      <c r="L95" s="96">
        <f t="array" ref="L95">IFERROR(INDEX(Sales!$L$7:$L$1506,$O95),"")</f>
        <v>10</v>
      </c>
      <c r="M95" s="19" t="str">
        <f t="array" ref="M95">IFERROR(INDEX(Sales!$M$7:$M$1506,$O95),"")</f>
        <v>Paid</v>
      </c>
      <c r="O95" s="111">
        <f>IFERROR(MATCH(TEXT($B$3,"yyyymm")&amp;"-"&amp;(ROW()-4),Sales!$Y$7:$Y$1506,0),"")</f>
        <v>92</v>
      </c>
    </row>
    <row r="96" ht="14.25" customHeight="1">
      <c r="A96" s="110">
        <f t="array" ref="A96">IFERROR(INDEX(Sales!$A$7:$A$1506,$O96),"")</f>
        <v>46231</v>
      </c>
      <c r="B96" s="19" t="str">
        <f t="array" ref="B96">IFERROR(INDEX(Sales!$B$7:$B$1506,$O96),"")</f>
        <v>Sale</v>
      </c>
      <c r="C96" s="19" t="str">
        <f t="array" ref="C96">IFERROR(INDEX(Sales!$C$7:$C$1506,$O96),"")</f>
        <v>Shop</v>
      </c>
      <c r="D96" s="19" t="str">
        <f t="array" ref="D96">IFERROR(INDEX(Sales!$D$7:$D$1506,$O96),"")</f>
        <v>Nadim</v>
      </c>
      <c r="E96" s="19" t="str">
        <f t="array" ref="E96">IFERROR(IF(INDEX(Sales!$E$7:$E$1506,$O96)="","",INDEX(Sales!$E$7:$E$1506,$O96)),"")</f>
        <v/>
      </c>
      <c r="F96" s="19" t="str">
        <f t="array" ref="F96">IFERROR(INDEX(Sales!$F$7:$F$1506,$O96),"")</f>
        <v>PO-WET-SMHRT-TWC-85G-001</v>
      </c>
      <c r="G96" s="19" t="str">
        <f t="array" ref="G96">IFERROR(INDEX(Sales!$G$7:$G$1506,$O96),"")</f>
        <v>Smart Heart Pouch  Tuna With Chicken in Jelly</v>
      </c>
      <c r="H96" s="96">
        <f t="array" ref="H96">IFERROR(INDEX(Sales!$H$7:$H$1506,$O96),"")</f>
        <v>1</v>
      </c>
      <c r="I96" s="96">
        <f t="array" ref="I96">IFERROR(INDEX(Sales!$I$7:$I$1506,$O96),"")</f>
        <v>90</v>
      </c>
      <c r="J96" s="96">
        <f t="array" ref="J96">IFERROR(INDEX(Sales!$J$7:$J$1506,$O96),"")</f>
        <v>95</v>
      </c>
      <c r="K96" s="96">
        <f t="array" ref="K96">IFERROR(INDEX(Sales!$K$7:$K$1506,$O96),"")</f>
        <v>5</v>
      </c>
      <c r="L96" s="96">
        <f t="array" ref="L96">IFERROR(INDEX(Sales!$L$7:$L$1506,$O96),"")</f>
        <v>90</v>
      </c>
      <c r="M96" s="19" t="str">
        <f t="array" ref="M96">IFERROR(INDEX(Sales!$M$7:$M$1506,$O96),"")</f>
        <v>Paid</v>
      </c>
      <c r="O96" s="111">
        <f>IFERROR(MATCH(TEXT($B$3,"yyyymm")&amp;"-"&amp;(ROW()-4),Sales!$Y$7:$Y$1506,0),"")</f>
        <v>93</v>
      </c>
    </row>
    <row r="97" ht="14.25" customHeight="1">
      <c r="A97" s="110">
        <f t="array" ref="A97">IFERROR(INDEX(Sales!$A$7:$A$1506,$O97),"")</f>
        <v>46219</v>
      </c>
      <c r="B97" s="19" t="str">
        <f t="array" ref="B97">IFERROR(INDEX(Sales!$B$7:$B$1506,$O97),"")</f>
        <v>Sale</v>
      </c>
      <c r="C97" s="19" t="str">
        <f t="array" ref="C97">IFERROR(INDEX(Sales!$C$7:$C$1506,$O97),"")</f>
        <v>Shop</v>
      </c>
      <c r="D97" s="19" t="str">
        <f t="array" ref="D97">IFERROR(INDEX(Sales!$D$7:$D$1506,$O97),"")</f>
        <v>PawfectBD Shop</v>
      </c>
      <c r="E97" s="19" t="str">
        <f t="array" ref="E97">IFERROR(IF(INDEX(Sales!$E$7:$E$1506,$O97)="","",INDEX(Sales!$E$7:$E$1506,$O97)),"")</f>
        <v/>
      </c>
      <c r="F97" s="19" t="str">
        <f t="array" ref="F97">IFERROR(INDEX(Sales!$F$7:$F$1506,$O97),"")</f>
        <v>LT-MX-DCLP-5L-002</v>
      </c>
      <c r="G97" s="19" t="str">
        <f t="array" ref="G97">IFERROR(INDEX(Sales!$G$7:$G$1506,$O97),"")</f>
        <v>Cat Litter Mix Flavor 5L DR. Clump</v>
      </c>
      <c r="H97" s="96">
        <f t="array" ref="H97">IFERROR(INDEX(Sales!$H$7:$H$1506,$O97),"")</f>
        <v>1</v>
      </c>
      <c r="I97" s="96">
        <f t="array" ref="I97">IFERROR(INDEX(Sales!$I$7:$I$1506,$O97),"")</f>
        <v>300</v>
      </c>
      <c r="J97" s="96">
        <f t="array" ref="J97">IFERROR(INDEX(Sales!$J$7:$J$1506,$O97),"")</f>
        <v>320</v>
      </c>
      <c r="K97" s="96">
        <f t="array" ref="K97">IFERROR(INDEX(Sales!$K$7:$K$1506,$O97),"")</f>
        <v>20</v>
      </c>
      <c r="L97" s="96">
        <f t="array" ref="L97">IFERROR(INDEX(Sales!$L$7:$L$1506,$O97),"")</f>
        <v>300</v>
      </c>
      <c r="M97" s="19" t="str">
        <f t="array" ref="M97">IFERROR(INDEX(Sales!$M$7:$M$1506,$O97),"")</f>
        <v>Paid</v>
      </c>
      <c r="O97" s="111">
        <f>IFERROR(MATCH(TEXT($B$3,"yyyymm")&amp;"-"&amp;(ROW()-4),Sales!$Y$7:$Y$1506,0),"")</f>
        <v>94</v>
      </c>
    </row>
    <row r="98" ht="14.25" customHeight="1">
      <c r="A98" s="110">
        <f t="array" ref="A98">IFERROR(INDEX(Sales!$A$7:$A$1506,$O98),"")</f>
        <v>46221</v>
      </c>
      <c r="B98" s="19" t="str">
        <f t="array" ref="B98">IFERROR(INDEX(Sales!$B$7:$B$1506,$O98),"")</f>
        <v>Sale</v>
      </c>
      <c r="C98" s="19" t="str">
        <f t="array" ref="C98">IFERROR(INDEX(Sales!$C$7:$C$1506,$O98),"")</f>
        <v>Shop</v>
      </c>
      <c r="D98" s="19" t="str">
        <f t="array" ref="D98">IFERROR(INDEX(Sales!$D$7:$D$1506,$O98),"")</f>
        <v>PawfectBD Shop</v>
      </c>
      <c r="E98" s="19" t="str">
        <f t="array" ref="E98">IFERROR(IF(INDEX(Sales!$E$7:$E$1506,$O98)="","",INDEX(Sales!$E$7:$E$1506,$O98)),"")</f>
        <v/>
      </c>
      <c r="F98" s="19" t="str">
        <f t="array" ref="F98">IFERROR(INDEX(Sales!$F$7:$F$1506,$O98),"")</f>
        <v>LT-MX-DCLP-5L-002</v>
      </c>
      <c r="G98" s="19" t="str">
        <f t="array" ref="G98">IFERROR(INDEX(Sales!$G$7:$G$1506,$O98),"")</f>
        <v>Cat Litter Mix Flavor 5L DR. Clump</v>
      </c>
      <c r="H98" s="96">
        <f t="array" ref="H98">IFERROR(INDEX(Sales!$H$7:$H$1506,$O98),"")</f>
        <v>1</v>
      </c>
      <c r="I98" s="96">
        <f t="array" ref="I98">IFERROR(INDEX(Sales!$I$7:$I$1506,$O98),"")</f>
        <v>300</v>
      </c>
      <c r="J98" s="96">
        <f t="array" ref="J98">IFERROR(INDEX(Sales!$J$7:$J$1506,$O98),"")</f>
        <v>320</v>
      </c>
      <c r="K98" s="96">
        <f t="array" ref="K98">IFERROR(INDEX(Sales!$K$7:$K$1506,$O98),"")</f>
        <v>20</v>
      </c>
      <c r="L98" s="96">
        <f t="array" ref="L98">IFERROR(INDEX(Sales!$L$7:$L$1506,$O98),"")</f>
        <v>300</v>
      </c>
      <c r="M98" s="19" t="str">
        <f t="array" ref="M98">IFERROR(INDEX(Sales!$M$7:$M$1506,$O98),"")</f>
        <v>Paid</v>
      </c>
      <c r="O98" s="111">
        <f>IFERROR(MATCH(TEXT($B$3,"yyyymm")&amp;"-"&amp;(ROW()-4),Sales!$Y$7:$Y$1506,0),"")</f>
        <v>95</v>
      </c>
    </row>
    <row r="99" ht="14.25" customHeight="1">
      <c r="A99" s="110">
        <f t="array" ref="A99">IFERROR(INDEX(Sales!$A$7:$A$1506,$O99),"")</f>
        <v>46232</v>
      </c>
      <c r="B99" s="19" t="str">
        <f t="array" ref="B99">IFERROR(INDEX(Sales!$B$7:$B$1506,$O99),"")</f>
        <v>Sale</v>
      </c>
      <c r="C99" s="19" t="str">
        <f t="array" ref="C99">IFERROR(INDEX(Sales!$C$7:$C$1506,$O99),"")</f>
        <v>Shop</v>
      </c>
      <c r="D99" s="19" t="str">
        <f t="array" ref="D99">IFERROR(INDEX(Sales!$D$7:$D$1506,$O99),"")</f>
        <v>PawfectBD Shop</v>
      </c>
      <c r="E99" s="19" t="str">
        <f t="array" ref="E99">IFERROR(IF(INDEX(Sales!$E$7:$E$1506,$O99)="","",INDEX(Sales!$E$7:$E$1506,$O99)),"")</f>
        <v/>
      </c>
      <c r="F99" s="19" t="str">
        <f t="array" ref="F99">IFERROR(INDEX(Sales!$F$7:$F$1506,$O99),"")</f>
        <v>TR-CRMY-15G-001</v>
      </c>
      <c r="G99" s="19" t="str">
        <f t="array" ref="G99">IFERROR(INDEX(Sales!$G$7:$G$1506,$O99),"")</f>
        <v>Creamy Treat 15G (Purry &amp; Hyper Paws)</v>
      </c>
      <c r="H99" s="96">
        <f t="array" ref="H99">IFERROR(INDEX(Sales!$H$7:$H$1506,$O99),"")</f>
        <v>2</v>
      </c>
      <c r="I99" s="96">
        <f t="array" ref="I99">IFERROR(INDEX(Sales!$I$7:$I$1506,$O99),"")</f>
        <v>20</v>
      </c>
      <c r="J99" s="96">
        <f t="array" ref="J99">IFERROR(INDEX(Sales!$J$7:$J$1506,$O99),"")</f>
        <v>20</v>
      </c>
      <c r="K99" s="96" t="str">
        <f t="array" ref="K99">IFERROR(INDEX(Sales!$K$7:$K$1506,$O99),"")</f>
        <v/>
      </c>
      <c r="L99" s="96">
        <f t="array" ref="L99">IFERROR(INDEX(Sales!$L$7:$L$1506,$O99),"")</f>
        <v>40</v>
      </c>
      <c r="M99" s="19" t="str">
        <f t="array" ref="M99">IFERROR(INDEX(Sales!$M$7:$M$1506,$O99),"")</f>
        <v>Paid</v>
      </c>
      <c r="O99" s="111">
        <f>IFERROR(MATCH(TEXT($B$3,"yyyymm")&amp;"-"&amp;(ROW()-4),Sales!$Y$7:$Y$1506,0),"")</f>
        <v>96</v>
      </c>
    </row>
    <row r="100" ht="14.25" customHeight="1">
      <c r="A100" s="110">
        <f t="array" ref="A100">IFERROR(INDEX(Sales!$A$7:$A$1506,$O100),"")</f>
        <v>46232</v>
      </c>
      <c r="B100" s="19" t="str">
        <f t="array" ref="B100">IFERROR(INDEX(Sales!$B$7:$B$1506,$O100),"")</f>
        <v>Sale</v>
      </c>
      <c r="C100" s="19" t="str">
        <f t="array" ref="C100">IFERROR(INDEX(Sales!$C$7:$C$1506,$O100),"")</f>
        <v>Shop</v>
      </c>
      <c r="D100" s="19" t="str">
        <f t="array" ref="D100">IFERROR(INDEX(Sales!$D$7:$D$1506,$O100),"")</f>
        <v>PawfectBD Shop</v>
      </c>
      <c r="E100" s="19" t="str">
        <f t="array" ref="E100">IFERROR(IF(INDEX(Sales!$E$7:$E$1506,$O100)="","",INDEX(Sales!$E$7:$E$1506,$O100)),"")</f>
        <v/>
      </c>
      <c r="F100" s="19" t="str">
        <f t="array" ref="F100">IFERROR(INDEX(Sales!$F$7:$F$1506,$O100),"")</f>
        <v>TR-CRMY-15G-001</v>
      </c>
      <c r="G100" s="19" t="str">
        <f t="array" ref="G100">IFERROR(INDEX(Sales!$G$7:$G$1506,$O100),"")</f>
        <v>Creamy Treat 15G (Purry &amp; Hyper Paws)</v>
      </c>
      <c r="H100" s="96">
        <f t="array" ref="H100">IFERROR(INDEX(Sales!$H$7:$H$1506,$O100),"")</f>
        <v>2</v>
      </c>
      <c r="I100" s="96">
        <f t="array" ref="I100">IFERROR(INDEX(Sales!$I$7:$I$1506,$O100),"")</f>
        <v>20</v>
      </c>
      <c r="J100" s="96">
        <f t="array" ref="J100">IFERROR(INDEX(Sales!$J$7:$J$1506,$O100),"")</f>
        <v>20</v>
      </c>
      <c r="K100" s="96" t="str">
        <f t="array" ref="K100">IFERROR(INDEX(Sales!$K$7:$K$1506,$O100),"")</f>
        <v/>
      </c>
      <c r="L100" s="96">
        <f t="array" ref="L100">IFERROR(INDEX(Sales!$L$7:$L$1506,$O100),"")</f>
        <v>40</v>
      </c>
      <c r="M100" s="19" t="str">
        <f t="array" ref="M100">IFERROR(INDEX(Sales!$M$7:$M$1506,$O100),"")</f>
        <v>Paid</v>
      </c>
      <c r="O100" s="111">
        <f>IFERROR(MATCH(TEXT($B$3,"yyyymm")&amp;"-"&amp;(ROW()-4),Sales!$Y$7:$Y$1506,0),"")</f>
        <v>97</v>
      </c>
    </row>
    <row r="101" ht="14.25" customHeight="1">
      <c r="A101" s="110">
        <f t="array" ref="A101">IFERROR(INDEX(Sales!$A$7:$A$1506,$O101),"")</f>
        <v>46232</v>
      </c>
      <c r="B101" s="19" t="str">
        <f t="array" ref="B101">IFERROR(INDEX(Sales!$B$7:$B$1506,$O101),"")</f>
        <v>Sale</v>
      </c>
      <c r="C101" s="19" t="str">
        <f t="array" ref="C101">IFERROR(INDEX(Sales!$C$7:$C$1506,$O101),"")</f>
        <v>Shop</v>
      </c>
      <c r="D101" s="19" t="str">
        <f t="array" ref="D101">IFERROR(INDEX(Sales!$D$7:$D$1506,$O101),"")</f>
        <v>PawfectBD Shop</v>
      </c>
      <c r="E101" s="19" t="str">
        <f t="array" ref="E101">IFERROR(IF(INDEX(Sales!$E$7:$E$1506,$O101)="","",INDEX(Sales!$E$7:$E$1506,$O101)),"")</f>
        <v/>
      </c>
      <c r="F101" s="19" t="str">
        <f t="array" ref="F101">IFERROR(INDEX(Sales!$F$7:$F$1506,$O101),"")</f>
        <v>TR-CRMY-15G-001</v>
      </c>
      <c r="G101" s="19" t="str">
        <f t="array" ref="G101">IFERROR(INDEX(Sales!$G$7:$G$1506,$O101),"")</f>
        <v>Creamy Treat 15G (Purry &amp; Hyper Paws)</v>
      </c>
      <c r="H101" s="96">
        <f t="array" ref="H101">IFERROR(INDEX(Sales!$H$7:$H$1506,$O101),"")</f>
        <v>2</v>
      </c>
      <c r="I101" s="96">
        <f t="array" ref="I101">IFERROR(INDEX(Sales!$I$7:$I$1506,$O101),"")</f>
        <v>20</v>
      </c>
      <c r="J101" s="96">
        <f t="array" ref="J101">IFERROR(INDEX(Sales!$J$7:$J$1506,$O101),"")</f>
        <v>20</v>
      </c>
      <c r="K101" s="96" t="str">
        <f t="array" ref="K101">IFERROR(INDEX(Sales!$K$7:$K$1506,$O101),"")</f>
        <v/>
      </c>
      <c r="L101" s="96">
        <f t="array" ref="L101">IFERROR(INDEX(Sales!$L$7:$L$1506,$O101),"")</f>
        <v>40</v>
      </c>
      <c r="M101" s="19" t="str">
        <f t="array" ref="M101">IFERROR(INDEX(Sales!$M$7:$M$1506,$O101),"")</f>
        <v>Paid</v>
      </c>
      <c r="O101" s="111">
        <f>IFERROR(MATCH(TEXT($B$3,"yyyymm")&amp;"-"&amp;(ROW()-4),Sales!$Y$7:$Y$1506,0),"")</f>
        <v>98</v>
      </c>
    </row>
    <row r="102" ht="14.25" customHeight="1">
      <c r="A102" s="110">
        <f t="array" ref="A102">IFERROR(INDEX(Sales!$A$7:$A$1506,$O102),"")</f>
        <v>46232</v>
      </c>
      <c r="B102" s="19" t="str">
        <f t="array" ref="B102">IFERROR(INDEX(Sales!$B$7:$B$1506,$O102),"")</f>
        <v>Sale</v>
      </c>
      <c r="C102" s="19" t="str">
        <f t="array" ref="C102">IFERROR(INDEX(Sales!$C$7:$C$1506,$O102),"")</f>
        <v>Shop</v>
      </c>
      <c r="D102" s="19" t="str">
        <f t="array" ref="D102">IFERROR(INDEX(Sales!$D$7:$D$1506,$O102),"")</f>
        <v>Tanvir Bhai</v>
      </c>
      <c r="E102" s="19" t="str">
        <f t="array" ref="E102">IFERROR(IF(INDEX(Sales!$E$7:$E$1506,$O102)="","",INDEX(Sales!$E$7:$E$1506,$O102)),"")</f>
        <v/>
      </c>
      <c r="F102" s="19" t="str">
        <f t="array" ref="F102">IFERROR(INDEX(Sales!$F$7:$F$1506,$O102),"")</f>
        <v>PO-PP-100G-001</v>
      </c>
      <c r="G102" s="19" t="str">
        <f t="array" ref="G102">IFERROR(INDEX(Sales!$G$7:$G$1506,$O102),"")</f>
        <v>Petmetro Pouch Complite Balance - Chicken Receipe - 100g</v>
      </c>
      <c r="H102" s="96">
        <f t="array" ref="H102">IFERROR(INDEX(Sales!$H$7:$H$1506,$O102),"")</f>
        <v>1</v>
      </c>
      <c r="I102" s="96">
        <f t="array" ref="I102">IFERROR(INDEX(Sales!$I$7:$I$1506,$O102),"")</f>
        <v>100</v>
      </c>
      <c r="J102" s="96">
        <f t="array" ref="J102">IFERROR(INDEX(Sales!$J$7:$J$1506,$O102),"")</f>
        <v>100</v>
      </c>
      <c r="K102" s="96" t="str">
        <f t="array" ref="K102">IFERROR(INDEX(Sales!$K$7:$K$1506,$O102),"")</f>
        <v/>
      </c>
      <c r="L102" s="96">
        <f t="array" ref="L102">IFERROR(INDEX(Sales!$L$7:$L$1506,$O102),"")</f>
        <v>100</v>
      </c>
      <c r="M102" s="19" t="str">
        <f t="array" ref="M102">IFERROR(INDEX(Sales!$M$7:$M$1506,$O102),"")</f>
        <v>Paid</v>
      </c>
      <c r="O102" s="111">
        <f>IFERROR(MATCH(TEXT($B$3,"yyyymm")&amp;"-"&amp;(ROW()-4),Sales!$Y$7:$Y$1506,0),"")</f>
        <v>99</v>
      </c>
    </row>
    <row r="103" ht="14.25" customHeight="1">
      <c r="A103" s="110">
        <f t="array" ref="A103">IFERROR(INDEX(Sales!$A$7:$A$1506,$O103),"")</f>
        <v>46232</v>
      </c>
      <c r="B103" s="19" t="str">
        <f t="array" ref="B103">IFERROR(INDEX(Sales!$B$7:$B$1506,$O103),"")</f>
        <v>Sale</v>
      </c>
      <c r="C103" s="19" t="str">
        <f t="array" ref="C103">IFERROR(INDEX(Sales!$C$7:$C$1506,$O103),"")</f>
        <v>Shop</v>
      </c>
      <c r="D103" s="19" t="str">
        <f t="array" ref="D103">IFERROR(INDEX(Sales!$D$7:$D$1506,$O103),"")</f>
        <v>PawfectBD Shop</v>
      </c>
      <c r="E103" s="19" t="str">
        <f t="array" ref="E103">IFERROR(IF(INDEX(Sales!$E$7:$E$1506,$O103)="","",INDEX(Sales!$E$7:$E$1506,$O103)),"")</f>
        <v/>
      </c>
      <c r="F103" s="19" t="str">
        <f t="array" ref="F103">IFERROR(INDEX(Sales!$F$7:$F$1506,$O103),"")</f>
        <v>FD-DRY-CHNK-CHKN-1.5KG-001</v>
      </c>
      <c r="G103" s="19" t="str">
        <f t="array" ref="G103">IFERROR(INDEX(Sales!$G$7:$G$1506,$O103),"")</f>
        <v>Chonk All ages Chicken</v>
      </c>
      <c r="H103" s="96">
        <f t="array" ref="H103">IFERROR(INDEX(Sales!$H$7:$H$1506,$O103),"")</f>
        <v>1</v>
      </c>
      <c r="I103" s="96">
        <f t="array" ref="I103">IFERROR(INDEX(Sales!$I$7:$I$1506,$O103),"")</f>
        <v>480</v>
      </c>
      <c r="J103" s="96">
        <f t="array" ref="J103">IFERROR(INDEX(Sales!$J$7:$J$1506,$O103),"")</f>
        <v>500</v>
      </c>
      <c r="K103" s="96">
        <f t="array" ref="K103">IFERROR(INDEX(Sales!$K$7:$K$1506,$O103),"")</f>
        <v>20</v>
      </c>
      <c r="L103" s="96">
        <f t="array" ref="L103">IFERROR(INDEX(Sales!$L$7:$L$1506,$O103),"")</f>
        <v>480</v>
      </c>
      <c r="M103" s="19" t="str">
        <f t="array" ref="M103">IFERROR(INDEX(Sales!$M$7:$M$1506,$O103),"")</f>
        <v>Paid</v>
      </c>
      <c r="O103" s="111">
        <f>IFERROR(MATCH(TEXT($B$3,"yyyymm")&amp;"-"&amp;(ROW()-4),Sales!$Y$7:$Y$1506,0),"")</f>
        <v>100</v>
      </c>
    </row>
    <row r="104" ht="14.25" customHeight="1">
      <c r="A104" s="110">
        <f t="array" ref="A104">IFERROR(INDEX(Sales!$A$7:$A$1506,$O104),"")</f>
        <v>46232</v>
      </c>
      <c r="B104" s="19" t="str">
        <f t="array" ref="B104">IFERROR(INDEX(Sales!$B$7:$B$1506,$O104),"")</f>
        <v>Sale</v>
      </c>
      <c r="C104" s="19" t="str">
        <f t="array" ref="C104">IFERROR(INDEX(Sales!$C$7:$C$1506,$O104),"")</f>
        <v>Shop</v>
      </c>
      <c r="D104" s="19" t="str">
        <f t="array" ref="D104">IFERROR(INDEX(Sales!$D$7:$D$1506,$O104),"")</f>
        <v>PawfectBD Shop</v>
      </c>
      <c r="E104" s="19" t="str">
        <f t="array" ref="E104">IFERROR(IF(INDEX(Sales!$E$7:$E$1506,$O104)="","",INDEX(Sales!$E$7:$E$1506,$O104)),"")</f>
        <v/>
      </c>
      <c r="F104" s="19" t="str">
        <f t="array" ref="F104">IFERROR(INDEX(Sales!$F$7:$F$1506,$O104),"")</f>
        <v>FD-DRY-KTCN-400G-001</v>
      </c>
      <c r="G104" s="19" t="str">
        <f t="array" ref="G104">IFERROR(INDEX(Sales!$G$7:$G$1506,$O104),"")</f>
        <v>Kitchen Flavor Grain Free Kitten 400G</v>
      </c>
      <c r="H104" s="96">
        <f t="array" ref="H104">IFERROR(INDEX(Sales!$H$7:$H$1506,$O104),"")</f>
        <v>1</v>
      </c>
      <c r="I104" s="96">
        <f t="array" ref="I104">IFERROR(INDEX(Sales!$I$7:$I$1506,$O104),"")</f>
        <v>350</v>
      </c>
      <c r="J104" s="96">
        <f t="array" ref="J104">IFERROR(INDEX(Sales!$J$7:$J$1506,$O104),"")</f>
        <v>380</v>
      </c>
      <c r="K104" s="96">
        <f t="array" ref="K104">IFERROR(INDEX(Sales!$K$7:$K$1506,$O104),"")</f>
        <v>30</v>
      </c>
      <c r="L104" s="96">
        <f t="array" ref="L104">IFERROR(INDEX(Sales!$L$7:$L$1506,$O104),"")</f>
        <v>350</v>
      </c>
      <c r="M104" s="19" t="str">
        <f t="array" ref="M104">IFERROR(INDEX(Sales!$M$7:$M$1506,$O104),"")</f>
        <v>Paid</v>
      </c>
      <c r="O104" s="111">
        <f>IFERROR(MATCH(TEXT($B$3,"yyyymm")&amp;"-"&amp;(ROW()-4),Sales!$Y$7:$Y$1506,0),"")</f>
        <v>101</v>
      </c>
    </row>
    <row r="105" ht="14.25" customHeight="1">
      <c r="A105" s="110">
        <f t="array" ref="A105">IFERROR(INDEX(Sales!$A$7:$A$1506,$O105),"")</f>
        <v>46232</v>
      </c>
      <c r="B105" s="19" t="str">
        <f t="array" ref="B105">IFERROR(INDEX(Sales!$B$7:$B$1506,$O105),"")</f>
        <v>Sale</v>
      </c>
      <c r="C105" s="19" t="str">
        <f t="array" ref="C105">IFERROR(INDEX(Sales!$C$7:$C$1506,$O105),"")</f>
        <v>Shop</v>
      </c>
      <c r="D105" s="19" t="str">
        <f t="array" ref="D105">IFERROR(INDEX(Sales!$D$7:$D$1506,$O105),"")</f>
        <v>PawfectBD Shop</v>
      </c>
      <c r="E105" s="19" t="str">
        <f t="array" ref="E105">IFERROR(IF(INDEX(Sales!$E$7:$E$1506,$O105)="","",INDEX(Sales!$E$7:$E$1506,$O105)),"")</f>
        <v/>
      </c>
      <c r="F105" s="19" t="str">
        <f t="array" ref="F105">IFERROR(INDEX(Sales!$F$7:$F$1506,$O105),"")</f>
        <v>PO-WET-WK-80G-001-KT</v>
      </c>
      <c r="G105" s="19" t="str">
        <f t="array" ref="G105">IFERROR(INDEX(Sales!$G$7:$G$1506,$O105),"")</f>
        <v>Whiskas Junior Tuna Flavor</v>
      </c>
      <c r="H105" s="96">
        <f t="array" ref="H105">IFERROR(INDEX(Sales!$H$7:$H$1506,$O105),"")</f>
        <v>1</v>
      </c>
      <c r="I105" s="96">
        <f t="array" ref="I105">IFERROR(INDEX(Sales!$I$7:$I$1506,$O105),"")</f>
        <v>95</v>
      </c>
      <c r="J105" s="96">
        <f t="array" ref="J105">IFERROR(INDEX(Sales!$J$7:$J$1506,$O105),"")</f>
        <v>95</v>
      </c>
      <c r="K105" s="96" t="str">
        <f t="array" ref="K105">IFERROR(INDEX(Sales!$K$7:$K$1506,$O105),"")</f>
        <v/>
      </c>
      <c r="L105" s="96">
        <f t="array" ref="L105">IFERROR(INDEX(Sales!$L$7:$L$1506,$O105),"")</f>
        <v>95</v>
      </c>
      <c r="M105" s="19" t="str">
        <f t="array" ref="M105">IFERROR(INDEX(Sales!$M$7:$M$1506,$O105),"")</f>
        <v>Paid</v>
      </c>
      <c r="O105" s="111">
        <f>IFERROR(MATCH(TEXT($B$3,"yyyymm")&amp;"-"&amp;(ROW()-4),Sales!$Y$7:$Y$1506,0),"")</f>
        <v>102</v>
      </c>
    </row>
    <row r="106" ht="14.25" customHeight="1">
      <c r="A106" s="110">
        <f t="array" ref="A106">IFERROR(INDEX(Sales!$A$7:$A$1506,$O106),"")</f>
        <v>46233</v>
      </c>
      <c r="B106" s="19" t="str">
        <f t="array" ref="B106">IFERROR(INDEX(Sales!$B$7:$B$1506,$O106),"")</f>
        <v>Sale</v>
      </c>
      <c r="C106" s="19" t="str">
        <f t="array" ref="C106">IFERROR(INDEX(Sales!$C$7:$C$1506,$O106),"")</f>
        <v>Shop</v>
      </c>
      <c r="D106" s="19" t="str">
        <f t="array" ref="D106">IFERROR(INDEX(Sales!$D$7:$D$1506,$O106),"")</f>
        <v>PawfectBD Shop</v>
      </c>
      <c r="E106" s="19" t="str">
        <f t="array" ref="E106">IFERROR(IF(INDEX(Sales!$E$7:$E$1506,$O106)="","",INDEX(Sales!$E$7:$E$1506,$O106)),"")</f>
        <v/>
      </c>
      <c r="F106" s="19" t="str">
        <f t="array" ref="F106">IFERROR(INDEX(Sales!$F$7:$F$1506,$O106),"")</f>
        <v>TR-CRMY-15G-001</v>
      </c>
      <c r="G106" s="19" t="str">
        <f t="array" ref="G106">IFERROR(INDEX(Sales!$G$7:$G$1506,$O106),"")</f>
        <v>Creamy Treat 15G (Purry &amp; Hyper Paws)</v>
      </c>
      <c r="H106" s="96">
        <f t="array" ref="H106">IFERROR(INDEX(Sales!$H$7:$H$1506,$O106),"")</f>
        <v>5</v>
      </c>
      <c r="I106" s="96">
        <f t="array" ref="I106">IFERROR(INDEX(Sales!$I$7:$I$1506,$O106),"")</f>
        <v>20</v>
      </c>
      <c r="J106" s="96">
        <f t="array" ref="J106">IFERROR(INDEX(Sales!$J$7:$J$1506,$O106),"")</f>
        <v>20</v>
      </c>
      <c r="K106" s="96" t="str">
        <f t="array" ref="K106">IFERROR(INDEX(Sales!$K$7:$K$1506,$O106),"")</f>
        <v/>
      </c>
      <c r="L106" s="96">
        <f t="array" ref="L106">IFERROR(INDEX(Sales!$L$7:$L$1506,$O106),"")</f>
        <v>100</v>
      </c>
      <c r="M106" s="19" t="str">
        <f t="array" ref="M106">IFERROR(INDEX(Sales!$M$7:$M$1506,$O106),"")</f>
        <v>Paid</v>
      </c>
      <c r="O106" s="111">
        <f>IFERROR(MATCH(TEXT($B$3,"yyyymm")&amp;"-"&amp;(ROW()-4),Sales!$Y$7:$Y$1506,0),"")</f>
        <v>103</v>
      </c>
    </row>
    <row r="107" ht="14.25" customHeight="1">
      <c r="A107" s="110">
        <f t="array" ref="A107">IFERROR(INDEX(Sales!$A$7:$A$1506,$O107),"")</f>
        <v>46233</v>
      </c>
      <c r="B107" s="19" t="str">
        <f t="array" ref="B107">IFERROR(INDEX(Sales!$B$7:$B$1506,$O107),"")</f>
        <v>Sale</v>
      </c>
      <c r="C107" s="19" t="str">
        <f t="array" ref="C107">IFERROR(INDEX(Sales!$C$7:$C$1506,$O107),"")</f>
        <v>Shop</v>
      </c>
      <c r="D107" s="19" t="str">
        <f t="array" ref="D107">IFERROR(INDEX(Sales!$D$7:$D$1506,$O107),"")</f>
        <v>PawfectBD Shop</v>
      </c>
      <c r="E107" s="19" t="str">
        <f t="array" ref="E107">IFERROR(IF(INDEX(Sales!$E$7:$E$1506,$O107)="","",INDEX(Sales!$E$7:$E$1506,$O107)),"")</f>
        <v/>
      </c>
      <c r="F107" s="19" t="str">
        <f t="array" ref="F107">IFERROR(INDEX(Sales!$F$7:$F$1506,$O107),"")</f>
        <v>LT-AP-PM-5L-001</v>
      </c>
      <c r="G107" s="19" t="str">
        <f t="array" ref="G107">IFERROR(INDEX(Sales!$G$7:$G$1506,$O107),"")</f>
        <v>PetMetro Cat Litter Apple 5L</v>
      </c>
      <c r="H107" s="96">
        <f t="array" ref="H107">IFERROR(INDEX(Sales!$H$7:$H$1506,$O107),"")</f>
        <v>1</v>
      </c>
      <c r="I107" s="96">
        <f t="array" ref="I107">IFERROR(INDEX(Sales!$I$7:$I$1506,$O107),"")</f>
        <v>270</v>
      </c>
      <c r="J107" s="96">
        <f t="array" ref="J107">IFERROR(INDEX(Sales!$J$7:$J$1506,$O107),"")</f>
        <v>280</v>
      </c>
      <c r="K107" s="96">
        <f t="array" ref="K107">IFERROR(INDEX(Sales!$K$7:$K$1506,$O107),"")</f>
        <v>10</v>
      </c>
      <c r="L107" s="96">
        <f t="array" ref="L107">IFERROR(INDEX(Sales!$L$7:$L$1506,$O107),"")</f>
        <v>270</v>
      </c>
      <c r="M107" s="19" t="str">
        <f t="array" ref="M107">IFERROR(INDEX(Sales!$M$7:$M$1506,$O107),"")</f>
        <v>Paid</v>
      </c>
      <c r="O107" s="111">
        <f>IFERROR(MATCH(TEXT($B$3,"yyyymm")&amp;"-"&amp;(ROW()-4),Sales!$Y$7:$Y$1506,0),"")</f>
        <v>104</v>
      </c>
    </row>
    <row r="108" ht="14.25" customHeight="1">
      <c r="A108" s="110">
        <f t="array" ref="A108">IFERROR(INDEX(Sales!$A$7:$A$1506,$O108),"")</f>
        <v>46233</v>
      </c>
      <c r="B108" s="19" t="str">
        <f t="array" ref="B108">IFERROR(INDEX(Sales!$B$7:$B$1506,$O108),"")</f>
        <v>Sale</v>
      </c>
      <c r="C108" s="19" t="str">
        <f t="array" ref="C108">IFERROR(INDEX(Sales!$C$7:$C$1506,$O108),"")</f>
        <v>Shop</v>
      </c>
      <c r="D108" s="19" t="str">
        <f t="array" ref="D108">IFERROR(INDEX(Sales!$D$7:$D$1506,$O108),"")</f>
        <v>PawfectBD Shop</v>
      </c>
      <c r="E108" s="19" t="str">
        <f t="array" ref="E108">IFERROR(IF(INDEX(Sales!$E$7:$E$1506,$O108)="","",INDEX(Sales!$E$7:$E$1506,$O108)),"")</f>
        <v/>
      </c>
      <c r="F108" s="19" t="str">
        <f t="array" ref="F108">IFERROR(INDEX(Sales!$F$7:$F$1506,$O108),"")</f>
        <v>AC-CS-002</v>
      </c>
      <c r="G108" s="19" t="str">
        <f t="array" ref="G108">IFERROR(INDEX(Sales!$G$7:$G$1506,$O108),"")</f>
        <v>Cat litter scooper</v>
      </c>
      <c r="H108" s="96">
        <f t="array" ref="H108">IFERROR(INDEX(Sales!$H$7:$H$1506,$O108),"")</f>
        <v>1</v>
      </c>
      <c r="I108" s="96">
        <f t="array" ref="I108">IFERROR(INDEX(Sales!$I$7:$I$1506,$O108),"")</f>
        <v>60</v>
      </c>
      <c r="J108" s="96">
        <f t="array" ref="J108">IFERROR(INDEX(Sales!$J$7:$J$1506,$O108),"")</f>
        <v>80</v>
      </c>
      <c r="K108" s="96">
        <f t="array" ref="K108">IFERROR(INDEX(Sales!$K$7:$K$1506,$O108),"")</f>
        <v>20</v>
      </c>
      <c r="L108" s="96">
        <f t="array" ref="L108">IFERROR(INDEX(Sales!$L$7:$L$1506,$O108),"")</f>
        <v>60</v>
      </c>
      <c r="M108" s="19" t="str">
        <f t="array" ref="M108">IFERROR(INDEX(Sales!$M$7:$M$1506,$O108),"")</f>
        <v>Paid</v>
      </c>
      <c r="O108" s="111">
        <f>IFERROR(MATCH(TEXT($B$3,"yyyymm")&amp;"-"&amp;(ROW()-4),Sales!$Y$7:$Y$1506,0),"")</f>
        <v>105</v>
      </c>
    </row>
    <row r="109" ht="14.25" customHeight="1">
      <c r="A109" s="110">
        <f t="array" ref="A109">IFERROR(INDEX(Sales!$A$7:$A$1506,$O109),"")</f>
        <v>46233</v>
      </c>
      <c r="B109" s="19" t="str">
        <f t="array" ref="B109">IFERROR(INDEX(Sales!$B$7:$B$1506,$O109),"")</f>
        <v>Sale</v>
      </c>
      <c r="C109" s="19" t="str">
        <f t="array" ref="C109">IFERROR(INDEX(Sales!$C$7:$C$1506,$O109),"")</f>
        <v>Shop</v>
      </c>
      <c r="D109" s="19" t="str">
        <f t="array" ref="D109">IFERROR(INDEX(Sales!$D$7:$D$1506,$O109),"")</f>
        <v>PawfectBD Shop</v>
      </c>
      <c r="E109" s="19" t="str">
        <f t="array" ref="E109">IFERROR(IF(INDEX(Sales!$E$7:$E$1506,$O109)="","",INDEX(Sales!$E$7:$E$1506,$O109)),"")</f>
        <v/>
      </c>
      <c r="F109" s="19" t="str">
        <f t="array" ref="F109">IFERROR(INDEX(Sales!$F$7:$F$1506,$O109),"")</f>
        <v>TR-CRMY-15G-001</v>
      </c>
      <c r="G109" s="19" t="str">
        <f t="array" ref="G109">IFERROR(INDEX(Sales!$G$7:$G$1506,$O109),"")</f>
        <v>Creamy Treat 15G (Purry &amp; Hyper Paws)</v>
      </c>
      <c r="H109" s="96">
        <f t="array" ref="H109">IFERROR(INDEX(Sales!$H$7:$H$1506,$O109),"")</f>
        <v>5</v>
      </c>
      <c r="I109" s="96">
        <f t="array" ref="I109">IFERROR(INDEX(Sales!$I$7:$I$1506,$O109),"")</f>
        <v>20</v>
      </c>
      <c r="J109" s="96">
        <f t="array" ref="J109">IFERROR(INDEX(Sales!$J$7:$J$1506,$O109),"")</f>
        <v>20</v>
      </c>
      <c r="K109" s="96" t="str">
        <f t="array" ref="K109">IFERROR(INDEX(Sales!$K$7:$K$1506,$O109),"")</f>
        <v/>
      </c>
      <c r="L109" s="96">
        <f t="array" ref="L109">IFERROR(INDEX(Sales!$L$7:$L$1506,$O109),"")</f>
        <v>100</v>
      </c>
      <c r="M109" s="19" t="str">
        <f t="array" ref="M109">IFERROR(INDEX(Sales!$M$7:$M$1506,$O109),"")</f>
        <v>Paid</v>
      </c>
      <c r="O109" s="111">
        <f>IFERROR(MATCH(TEXT($B$3,"yyyymm")&amp;"-"&amp;(ROW()-4),Sales!$Y$7:$Y$1506,0),"")</f>
        <v>106</v>
      </c>
    </row>
    <row r="110" ht="14.25" customHeight="1">
      <c r="A110" s="110">
        <f t="array" ref="A110">IFERROR(INDEX(Sales!$A$7:$A$1506,$O110),"")</f>
        <v>46233</v>
      </c>
      <c r="B110" s="19" t="str">
        <f t="array" ref="B110">IFERROR(INDEX(Sales!$B$7:$B$1506,$O110),"")</f>
        <v>Sale</v>
      </c>
      <c r="C110" s="19" t="str">
        <f t="array" ref="C110">IFERROR(INDEX(Sales!$C$7:$C$1506,$O110),"")</f>
        <v>Shop</v>
      </c>
      <c r="D110" s="19" t="str">
        <f t="array" ref="D110">IFERROR(INDEX(Sales!$D$7:$D$1506,$O110),"")</f>
        <v>PawfectBD Shop</v>
      </c>
      <c r="E110" s="19" t="str">
        <f t="array" ref="E110">IFERROR(IF(INDEX(Sales!$E$7:$E$1506,$O110)="","",INDEX(Sales!$E$7:$E$1506,$O110)),"")</f>
        <v/>
      </c>
      <c r="F110" s="19" t="str">
        <f t="array" ref="F110">IFERROR(INDEX(Sales!$F$7:$F$1506,$O110),"")</f>
        <v>PO-WET-NK-70G-001</v>
      </c>
      <c r="G110" s="19" t="str">
        <f t="array" ref="G110">IFERROR(INDEX(Sales!$G$7:$G$1506,$O110),"")</f>
        <v>Nekko Pouch Tuna in Jelly</v>
      </c>
      <c r="H110" s="96">
        <f t="array" ref="H110">IFERROR(INDEX(Sales!$H$7:$H$1506,$O110),"")</f>
        <v>1</v>
      </c>
      <c r="I110" s="96">
        <f t="array" ref="I110">IFERROR(INDEX(Sales!$I$7:$I$1506,$O110),"")</f>
        <v>80</v>
      </c>
      <c r="J110" s="96">
        <f t="array" ref="J110">IFERROR(INDEX(Sales!$J$7:$J$1506,$O110),"")</f>
        <v>90</v>
      </c>
      <c r="K110" s="96">
        <f t="array" ref="K110">IFERROR(INDEX(Sales!$K$7:$K$1506,$O110),"")</f>
        <v>10</v>
      </c>
      <c r="L110" s="96">
        <f t="array" ref="L110">IFERROR(INDEX(Sales!$L$7:$L$1506,$O110),"")</f>
        <v>80</v>
      </c>
      <c r="M110" s="19" t="str">
        <f t="array" ref="M110">IFERROR(INDEX(Sales!$M$7:$M$1506,$O110),"")</f>
        <v>Paid</v>
      </c>
      <c r="O110" s="111">
        <f>IFERROR(MATCH(TEXT($B$3,"yyyymm")&amp;"-"&amp;(ROW()-4),Sales!$Y$7:$Y$1506,0),"")</f>
        <v>107</v>
      </c>
    </row>
    <row r="111" ht="14.25" customHeight="1">
      <c r="A111" s="110">
        <f t="array" ref="A111">IFERROR(INDEX(Sales!$A$7:$A$1506,$O111),"")</f>
        <v>46233</v>
      </c>
      <c r="B111" s="19" t="str">
        <f t="array" ref="B111">IFERROR(INDEX(Sales!$B$7:$B$1506,$O111),"")</f>
        <v>Sale</v>
      </c>
      <c r="C111" s="19" t="str">
        <f t="array" ref="C111">IFERROR(INDEX(Sales!$C$7:$C$1506,$O111),"")</f>
        <v>Shop</v>
      </c>
      <c r="D111" s="19" t="str">
        <f t="array" ref="D111">IFERROR(INDEX(Sales!$D$7:$D$1506,$O111),"")</f>
        <v>PawfectBD Shop</v>
      </c>
      <c r="E111" s="19" t="str">
        <f t="array" ref="E111">IFERROR(IF(INDEX(Sales!$E$7:$E$1506,$O111)="","",INDEX(Sales!$E$7:$E$1506,$O111)),"")</f>
        <v/>
      </c>
      <c r="F111" s="19" t="str">
        <f t="array" ref="F111">IFERROR(INDEX(Sales!$F$7:$F$1506,$O111),"")</f>
        <v>PO-PP-100G-002</v>
      </c>
      <c r="G111" s="19" t="str">
        <f t="array" ref="G111">IFERROR(INDEX(Sales!$G$7:$G$1506,$O111),"")</f>
        <v>Petmetro Gino Pouch - Chicken &amp; Cat Grass - 100g</v>
      </c>
      <c r="H111" s="96">
        <f t="array" ref="H111">IFERROR(INDEX(Sales!$H$7:$H$1506,$O111),"")</f>
        <v>1</v>
      </c>
      <c r="I111" s="96">
        <f t="array" ref="I111">IFERROR(INDEX(Sales!$I$7:$I$1506,$O111),"")</f>
        <v>100</v>
      </c>
      <c r="J111" s="96">
        <f t="array" ref="J111">IFERROR(INDEX(Sales!$J$7:$J$1506,$O111),"")</f>
        <v>110</v>
      </c>
      <c r="K111" s="96">
        <f t="array" ref="K111">IFERROR(INDEX(Sales!$K$7:$K$1506,$O111),"")</f>
        <v>10</v>
      </c>
      <c r="L111" s="96">
        <f t="array" ref="L111">IFERROR(INDEX(Sales!$L$7:$L$1506,$O111),"")</f>
        <v>100</v>
      </c>
      <c r="M111" s="19" t="str">
        <f t="array" ref="M111">IFERROR(INDEX(Sales!$M$7:$M$1506,$O111),"")</f>
        <v>Paid</v>
      </c>
      <c r="O111" s="111">
        <f>IFERROR(MATCH(TEXT($B$3,"yyyymm")&amp;"-"&amp;(ROW()-4),Sales!$Y$7:$Y$1506,0),"")</f>
        <v>108</v>
      </c>
    </row>
    <row r="112" ht="14.25" customHeight="1">
      <c r="A112" s="110">
        <f t="array" ref="A112">IFERROR(INDEX(Sales!$A$7:$A$1506,$O112),"")</f>
        <v>46233</v>
      </c>
      <c r="B112" s="19" t="str">
        <f t="array" ref="B112">IFERROR(INDEX(Sales!$B$7:$B$1506,$O112),"")</f>
        <v>Sale</v>
      </c>
      <c r="C112" s="19" t="str">
        <f t="array" ref="C112">IFERROR(INDEX(Sales!$C$7:$C$1506,$O112),"")</f>
        <v>Shop</v>
      </c>
      <c r="D112" s="19" t="str">
        <f t="array" ref="D112">IFERROR(INDEX(Sales!$D$7:$D$1506,$O112),"")</f>
        <v>PawfectBD Shop</v>
      </c>
      <c r="E112" s="19" t="str">
        <f t="array" ref="E112">IFERROR(IF(INDEX(Sales!$E$7:$E$1506,$O112)="","",INDEX(Sales!$E$7:$E$1506,$O112)),"")</f>
        <v/>
      </c>
      <c r="F112" s="19" t="str">
        <f t="array" ref="F112">IFERROR(INDEX(Sales!$F$7:$F$1506,$O112),"")</f>
        <v>PO-PP-100G-001</v>
      </c>
      <c r="G112" s="19" t="str">
        <f t="array" ref="G112">IFERROR(INDEX(Sales!$G$7:$G$1506,$O112),"")</f>
        <v>Petmetro Pouch Complite Balance - Chicken Receipe - 100g</v>
      </c>
      <c r="H112" s="96">
        <f t="array" ref="H112">IFERROR(INDEX(Sales!$H$7:$H$1506,$O112),"")</f>
        <v>1</v>
      </c>
      <c r="I112" s="96">
        <f t="array" ref="I112">IFERROR(INDEX(Sales!$I$7:$I$1506,$O112),"")</f>
        <v>100</v>
      </c>
      <c r="J112" s="96">
        <f t="array" ref="J112">IFERROR(INDEX(Sales!$J$7:$J$1506,$O112),"")</f>
        <v>100</v>
      </c>
      <c r="K112" s="96" t="str">
        <f t="array" ref="K112">IFERROR(INDEX(Sales!$K$7:$K$1506,$O112),"")</f>
        <v/>
      </c>
      <c r="L112" s="96">
        <f t="array" ref="L112">IFERROR(INDEX(Sales!$L$7:$L$1506,$O112),"")</f>
        <v>100</v>
      </c>
      <c r="M112" s="19" t="str">
        <f t="array" ref="M112">IFERROR(INDEX(Sales!$M$7:$M$1506,$O112),"")</f>
        <v>Paid</v>
      </c>
      <c r="O112" s="111">
        <f>IFERROR(MATCH(TEXT($B$3,"yyyymm")&amp;"-"&amp;(ROW()-4),Sales!$Y$7:$Y$1506,0),"")</f>
        <v>109</v>
      </c>
    </row>
    <row r="113" ht="14.25" customHeight="1">
      <c r="A113" s="110">
        <f t="array" ref="A113">IFERROR(INDEX(Sales!$A$7:$A$1506,$O113),"")</f>
        <v>46233</v>
      </c>
      <c r="B113" s="19" t="str">
        <f t="array" ref="B113">IFERROR(INDEX(Sales!$B$7:$B$1506,$O113),"")</f>
        <v>Sale</v>
      </c>
      <c r="C113" s="19" t="str">
        <f t="array" ref="C113">IFERROR(INDEX(Sales!$C$7:$C$1506,$O113),"")</f>
        <v>Shop</v>
      </c>
      <c r="D113" s="19" t="str">
        <f t="array" ref="D113">IFERROR(INDEX(Sales!$D$7:$D$1506,$O113),"")</f>
        <v>PawfectBD Shop</v>
      </c>
      <c r="E113" s="19" t="str">
        <f t="array" ref="E113">IFERROR(IF(INDEX(Sales!$E$7:$E$1506,$O113)="","",INDEX(Sales!$E$7:$E$1506,$O113)),"")</f>
        <v/>
      </c>
      <c r="F113" s="19" t="str">
        <f t="array" ref="F113">IFERROR(INDEX(Sales!$F$7:$F$1506,$O113),"")</f>
        <v>AC-CN-001</v>
      </c>
      <c r="G113" s="19" t="str">
        <f t="array" ref="G113">IFERROR(INDEX(Sales!$G$7:$G$1506,$O113),"")</f>
        <v>Cat Nip</v>
      </c>
      <c r="H113" s="96">
        <f t="array" ref="H113">IFERROR(INDEX(Sales!$H$7:$H$1506,$O113),"")</f>
        <v>1</v>
      </c>
      <c r="I113" s="96">
        <f t="array" ref="I113">IFERROR(INDEX(Sales!$I$7:$I$1506,$O113),"")</f>
        <v>150</v>
      </c>
      <c r="J113" s="96">
        <f t="array" ref="J113">IFERROR(INDEX(Sales!$J$7:$J$1506,$O113),"")</f>
        <v>180</v>
      </c>
      <c r="K113" s="96">
        <f t="array" ref="K113">IFERROR(INDEX(Sales!$K$7:$K$1506,$O113),"")</f>
        <v>30</v>
      </c>
      <c r="L113" s="96">
        <f t="array" ref="L113">IFERROR(INDEX(Sales!$L$7:$L$1506,$O113),"")</f>
        <v>150</v>
      </c>
      <c r="M113" s="19" t="str">
        <f t="array" ref="M113">IFERROR(INDEX(Sales!$M$7:$M$1506,$O113),"")</f>
        <v>Paid</v>
      </c>
      <c r="O113" s="111">
        <f>IFERROR(MATCH(TEXT($B$3,"yyyymm")&amp;"-"&amp;(ROW()-4),Sales!$Y$7:$Y$1506,0),"")</f>
        <v>110</v>
      </c>
    </row>
    <row r="114" ht="14.25" customHeight="1">
      <c r="A114" s="110">
        <f t="array" ref="A114">IFERROR(INDEX(Sales!$A$7:$A$1506,$O114),"")</f>
        <v>46233</v>
      </c>
      <c r="B114" s="19" t="str">
        <f t="array" ref="B114">IFERROR(INDEX(Sales!$B$7:$B$1506,$O114),"")</f>
        <v>Sale</v>
      </c>
      <c r="C114" s="19" t="str">
        <f t="array" ref="C114">IFERROR(INDEX(Sales!$C$7:$C$1506,$O114),"")</f>
        <v>Shop</v>
      </c>
      <c r="D114" s="19" t="str">
        <f t="array" ref="D114">IFERROR(INDEX(Sales!$D$7:$D$1506,$O114),"")</f>
        <v>PawfectBD Shop</v>
      </c>
      <c r="E114" s="19" t="str">
        <f t="array" ref="E114">IFERROR(IF(INDEX(Sales!$E$7:$E$1506,$O114)="","",INDEX(Sales!$E$7:$E$1506,$O114)),"")</f>
        <v/>
      </c>
      <c r="F114" s="19" t="str">
        <f t="array" ref="F114">IFERROR(INDEX(Sales!$F$7:$F$1506,$O114),"")</f>
        <v>TR-CRMY-15G-001</v>
      </c>
      <c r="G114" s="19" t="str">
        <f t="array" ref="G114">IFERROR(INDEX(Sales!$G$7:$G$1506,$O114),"")</f>
        <v>Creamy Treat 15G (Purry &amp; Hyper Paws)</v>
      </c>
      <c r="H114" s="96">
        <f t="array" ref="H114">IFERROR(INDEX(Sales!$H$7:$H$1506,$O114),"")</f>
        <v>5</v>
      </c>
      <c r="I114" s="96">
        <f t="array" ref="I114">IFERROR(INDEX(Sales!$I$7:$I$1506,$O114),"")</f>
        <v>20</v>
      </c>
      <c r="J114" s="96">
        <f t="array" ref="J114">IFERROR(INDEX(Sales!$J$7:$J$1506,$O114),"")</f>
        <v>20</v>
      </c>
      <c r="K114" s="96" t="str">
        <f t="array" ref="K114">IFERROR(INDEX(Sales!$K$7:$K$1506,$O114),"")</f>
        <v/>
      </c>
      <c r="L114" s="96">
        <f t="array" ref="L114">IFERROR(INDEX(Sales!$L$7:$L$1506,$O114),"")</f>
        <v>100</v>
      </c>
      <c r="M114" s="19" t="str">
        <f t="array" ref="M114">IFERROR(INDEX(Sales!$M$7:$M$1506,$O114),"")</f>
        <v>Paid</v>
      </c>
      <c r="O114" s="111">
        <f>IFERROR(MATCH(TEXT($B$3,"yyyymm")&amp;"-"&amp;(ROW()-4),Sales!$Y$7:$Y$1506,0),"")</f>
        <v>111</v>
      </c>
    </row>
    <row r="115" ht="14.25" customHeight="1">
      <c r="A115" s="110">
        <f t="array" ref="A115">IFERROR(INDEX(Sales!$A$7:$A$1506,$O115),"")</f>
        <v>46233</v>
      </c>
      <c r="B115" s="19" t="str">
        <f t="array" ref="B115">IFERROR(INDEX(Sales!$B$7:$B$1506,$O115),"")</f>
        <v>Sale</v>
      </c>
      <c r="C115" s="19" t="str">
        <f t="array" ref="C115">IFERROR(INDEX(Sales!$C$7:$C$1506,$O115),"")</f>
        <v>Shop</v>
      </c>
      <c r="D115" s="19" t="str">
        <f t="array" ref="D115">IFERROR(INDEX(Sales!$D$7:$D$1506,$O115),"")</f>
        <v>PawfectBD Shop</v>
      </c>
      <c r="E115" s="19" t="str">
        <f t="array" ref="E115">IFERROR(IF(INDEX(Sales!$E$7:$E$1506,$O115)="","",INDEX(Sales!$E$7:$E$1506,$O115)),"")</f>
        <v/>
      </c>
      <c r="F115" s="19" t="str">
        <f t="array" ref="F115">IFERROR(INDEX(Sales!$F$7:$F$1506,$O115),"")</f>
        <v>TR-CRMY-15G-001</v>
      </c>
      <c r="G115" s="19" t="str">
        <f t="array" ref="G115">IFERROR(INDEX(Sales!$G$7:$G$1506,$O115),"")</f>
        <v>Creamy Treat 15G (Purry &amp; Hyper Paws)</v>
      </c>
      <c r="H115" s="96">
        <f t="array" ref="H115">IFERROR(INDEX(Sales!$H$7:$H$1506,$O115),"")</f>
        <v>5</v>
      </c>
      <c r="I115" s="96">
        <f t="array" ref="I115">IFERROR(INDEX(Sales!$I$7:$I$1506,$O115),"")</f>
        <v>20</v>
      </c>
      <c r="J115" s="96">
        <f t="array" ref="J115">IFERROR(INDEX(Sales!$J$7:$J$1506,$O115),"")</f>
        <v>20</v>
      </c>
      <c r="K115" s="96" t="str">
        <f t="array" ref="K115">IFERROR(INDEX(Sales!$K$7:$K$1506,$O115),"")</f>
        <v/>
      </c>
      <c r="L115" s="96">
        <f t="array" ref="L115">IFERROR(INDEX(Sales!$L$7:$L$1506,$O115),"")</f>
        <v>100</v>
      </c>
      <c r="M115" s="19" t="str">
        <f t="array" ref="M115">IFERROR(INDEX(Sales!$M$7:$M$1506,$O115),"")</f>
        <v>Paid</v>
      </c>
      <c r="O115" s="111">
        <f>IFERROR(MATCH(TEXT($B$3,"yyyymm")&amp;"-"&amp;(ROW()-4),Sales!$Y$7:$Y$1506,0),"")</f>
        <v>112</v>
      </c>
    </row>
    <row r="116" ht="14.25" customHeight="1">
      <c r="A116" s="110">
        <f t="array" ref="A116">IFERROR(INDEX(Sales!$A$7:$A$1506,$O116),"")</f>
        <v>46233</v>
      </c>
      <c r="B116" s="19" t="str">
        <f t="array" ref="B116">IFERROR(INDEX(Sales!$B$7:$B$1506,$O116),"")</f>
        <v>Sale</v>
      </c>
      <c r="C116" s="19" t="str">
        <f t="array" ref="C116">IFERROR(INDEX(Sales!$C$7:$C$1506,$O116),"")</f>
        <v>Shop</v>
      </c>
      <c r="D116" s="19" t="str">
        <f t="array" ref="D116">IFERROR(INDEX(Sales!$D$7:$D$1506,$O116),"")</f>
        <v>PawfectBD Shop</v>
      </c>
      <c r="E116" s="19" t="str">
        <f t="array" ref="E116">IFERROR(IF(INDEX(Sales!$E$7:$E$1506,$O116)="","",INDEX(Sales!$E$7:$E$1506,$O116)),"")</f>
        <v/>
      </c>
      <c r="F116" s="19" t="str">
        <f t="array" ref="F116">IFERROR(INDEX(Sales!$F$7:$F$1506,$O116),"")</f>
        <v>TR-CRMY-15G-001</v>
      </c>
      <c r="G116" s="19" t="str">
        <f t="array" ref="G116">IFERROR(INDEX(Sales!$G$7:$G$1506,$O116),"")</f>
        <v>Creamy Treat 15G (Purry &amp; Hyper Paws)</v>
      </c>
      <c r="H116" s="96">
        <f t="array" ref="H116">IFERROR(INDEX(Sales!$H$7:$H$1506,$O116),"")</f>
        <v>5</v>
      </c>
      <c r="I116" s="96">
        <f t="array" ref="I116">IFERROR(INDEX(Sales!$I$7:$I$1506,$O116),"")</f>
        <v>20</v>
      </c>
      <c r="J116" s="96">
        <f t="array" ref="J116">IFERROR(INDEX(Sales!$J$7:$J$1506,$O116),"")</f>
        <v>20</v>
      </c>
      <c r="K116" s="96" t="str">
        <f t="array" ref="K116">IFERROR(INDEX(Sales!$K$7:$K$1506,$O116),"")</f>
        <v/>
      </c>
      <c r="L116" s="96">
        <f t="array" ref="L116">IFERROR(INDEX(Sales!$L$7:$L$1506,$O116),"")</f>
        <v>100</v>
      </c>
      <c r="M116" s="19" t="str">
        <f t="array" ref="M116">IFERROR(INDEX(Sales!$M$7:$M$1506,$O116),"")</f>
        <v>Paid</v>
      </c>
      <c r="O116" s="111">
        <f>IFERROR(MATCH(TEXT($B$3,"yyyymm")&amp;"-"&amp;(ROW()-4),Sales!$Y$7:$Y$1506,0),"")</f>
        <v>113</v>
      </c>
    </row>
    <row r="117" ht="14.25" customHeight="1">
      <c r="A117" s="110">
        <f t="array" ref="A117">IFERROR(INDEX(Sales!$A$7:$A$1506,$O117),"")</f>
        <v>46233</v>
      </c>
      <c r="B117" s="19" t="str">
        <f t="array" ref="B117">IFERROR(INDEX(Sales!$B$7:$B$1506,$O117),"")</f>
        <v>Gift</v>
      </c>
      <c r="C117" s="19" t="str">
        <f t="array" ref="C117">IFERROR(INDEX(Sales!$C$7:$C$1506,$O117),"")</f>
        <v>Shop</v>
      </c>
      <c r="D117" s="19" t="str">
        <f t="array" ref="D117">IFERROR(INDEX(Sales!$D$7:$D$1506,$O117),"")</f>
        <v>PawfectBD Shop</v>
      </c>
      <c r="E117" s="19" t="str">
        <f t="array" ref="E117">IFERROR(IF(INDEX(Sales!$E$7:$E$1506,$O117)="","",INDEX(Sales!$E$7:$E$1506,$O117)),"")</f>
        <v/>
      </c>
      <c r="F117" s="19" t="str">
        <f t="array" ref="F117">IFERROR(INDEX(Sales!$F$7:$F$1506,$O117),"")</f>
        <v>TR-CRMY-15G-001</v>
      </c>
      <c r="G117" s="19" t="str">
        <f t="array" ref="G117">IFERROR(INDEX(Sales!$G$7:$G$1506,$O117),"")</f>
        <v>Creamy Treat 15G (Purry &amp; Hyper Paws)</v>
      </c>
      <c r="H117" s="96">
        <f t="array" ref="H117">IFERROR(INDEX(Sales!$H$7:$H$1506,$O117),"")</f>
        <v>1</v>
      </c>
      <c r="I117" s="96">
        <f t="array" ref="I117">IFERROR(INDEX(Sales!$I$7:$I$1506,$O117),"")</f>
        <v>0</v>
      </c>
      <c r="J117" s="96">
        <f t="array" ref="J117">IFERROR(INDEX(Sales!$J$7:$J$1506,$O117),"")</f>
        <v>20</v>
      </c>
      <c r="K117" s="96" t="str">
        <f t="array" ref="K117">IFERROR(INDEX(Sales!$K$7:$K$1506,$O117),"")</f>
        <v/>
      </c>
      <c r="L117" s="96">
        <f t="array" ref="L117">IFERROR(INDEX(Sales!$L$7:$L$1506,$O117),"")</f>
        <v>0</v>
      </c>
      <c r="M117" s="19" t="str">
        <f t="array" ref="M117">IFERROR(INDEX(Sales!$M$7:$M$1506,$O117),"")</f>
        <v>Paid</v>
      </c>
      <c r="O117" s="111">
        <f>IFERROR(MATCH(TEXT($B$3,"yyyymm")&amp;"-"&amp;(ROW()-4),Sales!$Y$7:$Y$1506,0),"")</f>
        <v>114</v>
      </c>
    </row>
    <row r="118" ht="14.25" customHeight="1">
      <c r="A118" s="110">
        <f t="array" ref="A118">IFERROR(INDEX(Sales!$A$7:$A$1506,$O118),"")</f>
        <v>46233</v>
      </c>
      <c r="B118" s="19" t="str">
        <f t="array" ref="B118">IFERROR(INDEX(Sales!$B$7:$B$1506,$O118),"")</f>
        <v>Sale</v>
      </c>
      <c r="C118" s="19" t="str">
        <f t="array" ref="C118">IFERROR(INDEX(Sales!$C$7:$C$1506,$O118),"")</f>
        <v>Shop</v>
      </c>
      <c r="D118" s="19" t="str">
        <f t="array" ref="D118">IFERROR(INDEX(Sales!$D$7:$D$1506,$O118),"")</f>
        <v>PawfectBD Shop</v>
      </c>
      <c r="E118" s="19" t="str">
        <f t="array" ref="E118">IFERROR(IF(INDEX(Sales!$E$7:$E$1506,$O118)="","",INDEX(Sales!$E$7:$E$1506,$O118)),"")</f>
        <v/>
      </c>
      <c r="F118" s="19" t="str">
        <f t="array" ref="F118">IFERROR(INDEX(Sales!$F$7:$F$1506,$O118),"")</f>
        <v>AC-PNC-SM-001</v>
      </c>
      <c r="G118" s="19" t="str">
        <f t="array" ref="G118">IFERROR(INDEX(Sales!$G$7:$G$1506,$O118),"")</f>
        <v>Pet Nail Clippers Small</v>
      </c>
      <c r="H118" s="96">
        <f t="array" ref="H118">IFERROR(INDEX(Sales!$H$7:$H$1506,$O118),"")</f>
        <v>1</v>
      </c>
      <c r="I118" s="96">
        <f t="array" ref="I118">IFERROR(INDEX(Sales!$I$7:$I$1506,$O118),"")</f>
        <v>150</v>
      </c>
      <c r="J118" s="96">
        <f t="array" ref="J118">IFERROR(INDEX(Sales!$J$7:$J$1506,$O118),"")</f>
        <v>180</v>
      </c>
      <c r="K118" s="96">
        <f t="array" ref="K118">IFERROR(INDEX(Sales!$K$7:$K$1506,$O118),"")</f>
        <v>30</v>
      </c>
      <c r="L118" s="96">
        <f t="array" ref="L118">IFERROR(INDEX(Sales!$L$7:$L$1506,$O118),"")</f>
        <v>150</v>
      </c>
      <c r="M118" s="19" t="str">
        <f t="array" ref="M118">IFERROR(INDEX(Sales!$M$7:$M$1506,$O118),"")</f>
        <v>Paid</v>
      </c>
      <c r="O118" s="111">
        <f>IFERROR(MATCH(TEXT($B$3,"yyyymm")&amp;"-"&amp;(ROW()-4),Sales!$Y$7:$Y$1506,0),"")</f>
        <v>115</v>
      </c>
    </row>
    <row r="119" ht="14.25" customHeight="1">
      <c r="A119" s="110">
        <f t="array" ref="A119">IFERROR(INDEX(Sales!$A$7:$A$1506,$O119),"")</f>
        <v>46233</v>
      </c>
      <c r="B119" s="19" t="str">
        <f t="array" ref="B119">IFERROR(INDEX(Sales!$B$7:$B$1506,$O119),"")</f>
        <v>Sale</v>
      </c>
      <c r="C119" s="19" t="str">
        <f t="array" ref="C119">IFERROR(INDEX(Sales!$C$7:$C$1506,$O119),"")</f>
        <v>Shop</v>
      </c>
      <c r="D119" s="19" t="str">
        <f t="array" ref="D119">IFERROR(INDEX(Sales!$D$7:$D$1506,$O119),"")</f>
        <v>PawfectBD Shop</v>
      </c>
      <c r="E119" s="19" t="str">
        <f t="array" ref="E119">IFERROR(IF(INDEX(Sales!$E$7:$E$1506,$O119)="","",INDEX(Sales!$E$7:$E$1506,$O119)),"")</f>
        <v/>
      </c>
      <c r="F119" s="19" t="str">
        <f t="array" ref="F119">IFERROR(INDEX(Sales!$F$7:$F$1506,$O119),"")</f>
        <v>TR-CRMY-15G-001</v>
      </c>
      <c r="G119" s="19" t="str">
        <f t="array" ref="G119">IFERROR(INDEX(Sales!$G$7:$G$1506,$O119),"")</f>
        <v>Creamy Treat 15G (Purry &amp; Hyper Paws)</v>
      </c>
      <c r="H119" s="96">
        <f t="array" ref="H119">IFERROR(INDEX(Sales!$H$7:$H$1506,$O119),"")</f>
        <v>1</v>
      </c>
      <c r="I119" s="96">
        <f t="array" ref="I119">IFERROR(INDEX(Sales!$I$7:$I$1506,$O119),"")</f>
        <v>20</v>
      </c>
      <c r="J119" s="96">
        <f t="array" ref="J119">IFERROR(INDEX(Sales!$J$7:$J$1506,$O119),"")</f>
        <v>20</v>
      </c>
      <c r="K119" s="96" t="str">
        <f t="array" ref="K119">IFERROR(INDEX(Sales!$K$7:$K$1506,$O119),"")</f>
        <v/>
      </c>
      <c r="L119" s="96">
        <f t="array" ref="L119">IFERROR(INDEX(Sales!$L$7:$L$1506,$O119),"")</f>
        <v>20</v>
      </c>
      <c r="M119" s="19" t="str">
        <f t="array" ref="M119">IFERROR(INDEX(Sales!$M$7:$M$1506,$O119),"")</f>
        <v>Paid</v>
      </c>
      <c r="O119" s="111">
        <f>IFERROR(MATCH(TEXT($B$3,"yyyymm")&amp;"-"&amp;(ROW()-4),Sales!$Y$7:$Y$1506,0),"")</f>
        <v>116</v>
      </c>
    </row>
    <row r="120" ht="14.25" customHeight="1">
      <c r="A120" s="110">
        <f t="array" ref="A120">IFERROR(INDEX(Sales!$A$7:$A$1506,$O120),"")</f>
        <v>46233</v>
      </c>
      <c r="B120" s="19" t="str">
        <f t="array" ref="B120">IFERROR(INDEX(Sales!$B$7:$B$1506,$O120),"")</f>
        <v>Sale</v>
      </c>
      <c r="C120" s="19" t="str">
        <f t="array" ref="C120">IFERROR(INDEX(Sales!$C$7:$C$1506,$O120),"")</f>
        <v>Online</v>
      </c>
      <c r="D120" s="19" t="str">
        <f t="array" ref="D120">IFERROR(INDEX(Sales!$D$7:$D$1506,$O120),"")</f>
        <v>Sabrina Karim</v>
      </c>
      <c r="E120" s="19" t="str">
        <f t="array" ref="E120">IFERROR(IF(INDEX(Sales!$E$7:$E$1506,$O120)="","",INDEX(Sales!$E$7:$E$1506,$O120)),"")</f>
        <v>PAWF-260729-ED44F</v>
      </c>
      <c r="F120" s="19" t="str">
        <f t="array" ref="F120">IFERROR(INDEX(Sales!$F$7:$F$1506,$O120),"")</f>
        <v>AC-SHAMP-002</v>
      </c>
      <c r="G120" s="19" t="str">
        <f t="array" ref="G120">IFERROR(INDEX(Sales!$G$7:$G$1506,$O120),"")</f>
        <v>Bengal Flea &amp; Tick Shampoo</v>
      </c>
      <c r="H120" s="96">
        <f t="array" ref="H120">IFERROR(INDEX(Sales!$H$7:$H$1506,$O120),"")</f>
        <v>1</v>
      </c>
      <c r="I120" s="96">
        <f t="array" ref="I120">IFERROR(INDEX(Sales!$I$7:$I$1506,$O120),"")</f>
        <v>380</v>
      </c>
      <c r="J120" s="96">
        <f t="array" ref="J120">IFERROR(INDEX(Sales!$J$7:$J$1506,$O120),"")</f>
        <v>400</v>
      </c>
      <c r="K120" s="96">
        <f t="array" ref="K120">IFERROR(INDEX(Sales!$K$7:$K$1506,$O120),"")</f>
        <v>20</v>
      </c>
      <c r="L120" s="96">
        <f t="array" ref="L120">IFERROR(INDEX(Sales!$L$7:$L$1506,$O120),"")</f>
        <v>380</v>
      </c>
      <c r="M120" s="19" t="str">
        <f t="array" ref="M120">IFERROR(INDEX(Sales!$M$7:$M$1506,$O120),"")</f>
        <v>Paid</v>
      </c>
      <c r="O120" s="111">
        <f>IFERROR(MATCH(TEXT($B$3,"yyyymm")&amp;"-"&amp;(ROW()-4),Sales!$Y$7:$Y$1506,0),"")</f>
        <v>117</v>
      </c>
    </row>
    <row r="121" ht="14.25" customHeight="1">
      <c r="A121" s="110">
        <f t="array" ref="A121">IFERROR(INDEX(Sales!$A$7:$A$1506,$O121),"")</f>
        <v>46234</v>
      </c>
      <c r="B121" s="19" t="str">
        <f t="array" ref="B121">IFERROR(INDEX(Sales!$B$7:$B$1506,$O121),"")</f>
        <v>Sale</v>
      </c>
      <c r="C121" s="19" t="str">
        <f t="array" ref="C121">IFERROR(INDEX(Sales!$C$7:$C$1506,$O121),"")</f>
        <v>Shop</v>
      </c>
      <c r="D121" s="19" t="str">
        <f t="array" ref="D121">IFERROR(INDEX(Sales!$D$7:$D$1506,$O121),"")</f>
        <v>PawfectBD Shop</v>
      </c>
      <c r="E121" s="19" t="str">
        <f t="array" ref="E121">IFERROR(IF(INDEX(Sales!$E$7:$E$1506,$O121)="","",INDEX(Sales!$E$7:$E$1506,$O121)),"")</f>
        <v/>
      </c>
      <c r="F121" s="19" t="str">
        <f t="array" ref="F121">IFERROR(INDEX(Sales!$F$7:$F$1506,$O121),"")</f>
        <v>AC-CB-002</v>
      </c>
      <c r="G121" s="19" t="str">
        <f t="array" ref="G121">IFERROR(INDEX(Sales!$G$7:$G$1506,$O121),"")</f>
        <v>Premium Pet Collar Multicolor</v>
      </c>
      <c r="H121" s="96">
        <f t="array" ref="H121">IFERROR(INDEX(Sales!$H$7:$H$1506,$O121),"")</f>
        <v>1</v>
      </c>
      <c r="I121" s="96">
        <f t="array" ref="I121">IFERROR(INDEX(Sales!$I$7:$I$1506,$O121),"")</f>
        <v>60</v>
      </c>
      <c r="J121" s="96">
        <f t="array" ref="J121">IFERROR(INDEX(Sales!$J$7:$J$1506,$O121),"")</f>
        <v>75</v>
      </c>
      <c r="K121" s="96">
        <f t="array" ref="K121">IFERROR(INDEX(Sales!$K$7:$K$1506,$O121),"")</f>
        <v>15</v>
      </c>
      <c r="L121" s="96">
        <f t="array" ref="L121">IFERROR(INDEX(Sales!$L$7:$L$1506,$O121),"")</f>
        <v>60</v>
      </c>
      <c r="M121" s="19" t="str">
        <f t="array" ref="M121">IFERROR(INDEX(Sales!$M$7:$M$1506,$O121),"")</f>
        <v>Paid</v>
      </c>
      <c r="O121" s="111">
        <f>IFERROR(MATCH(TEXT($B$3,"yyyymm")&amp;"-"&amp;(ROW()-4),Sales!$Y$7:$Y$1506,0),"")</f>
        <v>118</v>
      </c>
    </row>
    <row r="122" ht="14.25" customHeight="1">
      <c r="A122" s="110">
        <f t="array" ref="A122">IFERROR(INDEX(Sales!$A$7:$A$1506,$O122),"")</f>
        <v>46234</v>
      </c>
      <c r="B122" s="19" t="str">
        <f t="array" ref="B122">IFERROR(INDEX(Sales!$B$7:$B$1506,$O122),"")</f>
        <v>Sale</v>
      </c>
      <c r="C122" s="19" t="str">
        <f t="array" ref="C122">IFERROR(INDEX(Sales!$C$7:$C$1506,$O122),"")</f>
        <v>Shop</v>
      </c>
      <c r="D122" s="19" t="str">
        <f t="array" ref="D122">IFERROR(INDEX(Sales!$D$7:$D$1506,$O122),"")</f>
        <v>PawfectBD Shop</v>
      </c>
      <c r="E122" s="19" t="str">
        <f t="array" ref="E122">IFERROR(IF(INDEX(Sales!$E$7:$E$1506,$O122)="","",INDEX(Sales!$E$7:$E$1506,$O122)),"")</f>
        <v/>
      </c>
      <c r="F122" s="19" t="str">
        <f t="array" ref="F122">IFERROR(INDEX(Sales!$F$7:$F$1506,$O122),"")</f>
        <v>AC-SHAMP-002</v>
      </c>
      <c r="G122" s="19" t="str">
        <f t="array" ref="G122">IFERROR(INDEX(Sales!$G$7:$G$1506,$O122),"")</f>
        <v>Bengal Flea &amp; Tick Shampoo</v>
      </c>
      <c r="H122" s="96">
        <f t="array" ref="H122">IFERROR(INDEX(Sales!$H$7:$H$1506,$O122),"")</f>
        <v>1</v>
      </c>
      <c r="I122" s="96">
        <f t="array" ref="I122">IFERROR(INDEX(Sales!$I$7:$I$1506,$O122),"")</f>
        <v>350</v>
      </c>
      <c r="J122" s="96">
        <f t="array" ref="J122">IFERROR(INDEX(Sales!$J$7:$J$1506,$O122),"")</f>
        <v>400</v>
      </c>
      <c r="K122" s="96">
        <f t="array" ref="K122">IFERROR(INDEX(Sales!$K$7:$K$1506,$O122),"")</f>
        <v>50</v>
      </c>
      <c r="L122" s="96">
        <f t="array" ref="L122">IFERROR(INDEX(Sales!$L$7:$L$1506,$O122),"")</f>
        <v>350</v>
      </c>
      <c r="M122" s="19" t="str">
        <f t="array" ref="M122">IFERROR(INDEX(Sales!$M$7:$M$1506,$O122),"")</f>
        <v>Paid</v>
      </c>
      <c r="O122" s="111">
        <f>IFERROR(MATCH(TEXT($B$3,"yyyymm")&amp;"-"&amp;(ROW()-4),Sales!$Y$7:$Y$1506,0),"")</f>
        <v>119</v>
      </c>
    </row>
    <row r="123" ht="14.25" customHeight="1">
      <c r="A123" s="110">
        <f t="array" ref="A123">IFERROR(INDEX(Sales!$A$7:$A$1506,$O123),"")</f>
        <v>46234</v>
      </c>
      <c r="B123" s="19" t="str">
        <f t="array" ref="B123">IFERROR(INDEX(Sales!$B$7:$B$1506,$O123),"")</f>
        <v>Sale</v>
      </c>
      <c r="C123" s="19" t="str">
        <f t="array" ref="C123">IFERROR(INDEX(Sales!$C$7:$C$1506,$O123),"")</f>
        <v>Online</v>
      </c>
      <c r="D123" s="19" t="str">
        <f t="array" ref="D123">IFERROR(INDEX(Sales!$D$7:$D$1506,$O123),"")</f>
        <v>Farhana Faruque</v>
      </c>
      <c r="E123" s="19" t="str">
        <f t="array" ref="E123">IFERROR(IF(INDEX(Sales!$E$7:$E$1506,$O123)="","",INDEX(Sales!$E$7:$E$1506,$O123)),"")</f>
        <v>PAWF-260731-EC093</v>
      </c>
      <c r="F123" s="19" t="str">
        <f t="array" ref="F123">IFERROR(INDEX(Sales!$F$7:$F$1506,$O123),"")</f>
        <v>PO-WET-SMHRT-TJ-85G-001</v>
      </c>
      <c r="G123" s="19" t="str">
        <f t="array" ref="G123">IFERROR(INDEX(Sales!$G$7:$G$1506,$O123),"")</f>
        <v>Smart Heart Pouch Tuna in Jelly Kitten</v>
      </c>
      <c r="H123" s="96">
        <f t="array" ref="H123">IFERROR(INDEX(Sales!$H$7:$H$1506,$O123),"")</f>
        <v>1</v>
      </c>
      <c r="I123" s="96">
        <f t="array" ref="I123">IFERROR(INDEX(Sales!$I$7:$I$1506,$O123),"")</f>
        <v>80</v>
      </c>
      <c r="J123" s="96">
        <f t="array" ref="J123">IFERROR(INDEX(Sales!$J$7:$J$1506,$O123),"")</f>
        <v>95</v>
      </c>
      <c r="K123" s="96">
        <f t="array" ref="K123">IFERROR(INDEX(Sales!$K$7:$K$1506,$O123),"")</f>
        <v>15</v>
      </c>
      <c r="L123" s="96">
        <f t="array" ref="L123">IFERROR(INDEX(Sales!$L$7:$L$1506,$O123),"")</f>
        <v>80</v>
      </c>
      <c r="M123" s="19" t="str">
        <f t="array" ref="M123">IFERROR(INDEX(Sales!$M$7:$M$1506,$O123),"")</f>
        <v>Paid</v>
      </c>
      <c r="O123" s="111">
        <f>IFERROR(MATCH(TEXT($B$3,"yyyymm")&amp;"-"&amp;(ROW()-4),Sales!$Y$7:$Y$1506,0),"")</f>
        <v>120</v>
      </c>
    </row>
    <row r="124" ht="14.25" customHeight="1">
      <c r="A124" s="110">
        <f t="array" ref="A124">IFERROR(INDEX(Sales!$A$7:$A$1506,$O124),"")</f>
        <v>46234</v>
      </c>
      <c r="B124" s="19" t="str">
        <f t="array" ref="B124">IFERROR(INDEX(Sales!$B$7:$B$1506,$O124),"")</f>
        <v>Sale</v>
      </c>
      <c r="C124" s="19" t="str">
        <f t="array" ref="C124">IFERROR(INDEX(Sales!$C$7:$C$1506,$O124),"")</f>
        <v>Online</v>
      </c>
      <c r="D124" s="19" t="str">
        <f t="array" ref="D124">IFERROR(INDEX(Sales!$D$7:$D$1506,$O124),"")</f>
        <v>Farhana Faruque</v>
      </c>
      <c r="E124" s="19" t="str">
        <f t="array" ref="E124">IFERROR(IF(INDEX(Sales!$E$7:$E$1506,$O124)="","",INDEX(Sales!$E$7:$E$1506,$O124)),"")</f>
        <v>PAWF-260731-EC093</v>
      </c>
      <c r="F124" s="19" t="str">
        <f t="array" ref="F124">IFERROR(INDEX(Sales!$F$7:$F$1506,$O124),"")</f>
        <v>PO-WET-NK-70G-003-KT</v>
      </c>
      <c r="G124" s="19" t="str">
        <f t="array" ref="G124">IFERROR(INDEX(Sales!$G$7:$G$1506,$O124),"")</f>
        <v>Nekko Pouch 70G Tuna in Chicken Mousse For Kitten</v>
      </c>
      <c r="H124" s="96">
        <f t="array" ref="H124">IFERROR(INDEX(Sales!$H$7:$H$1506,$O124),"")</f>
        <v>1</v>
      </c>
      <c r="I124" s="96">
        <f t="array" ref="I124">IFERROR(INDEX(Sales!$I$7:$I$1506,$O124),"")</f>
        <v>85</v>
      </c>
      <c r="J124" s="96">
        <f t="array" ref="J124">IFERROR(INDEX(Sales!$J$7:$J$1506,$O124),"")</f>
        <v>90</v>
      </c>
      <c r="K124" s="96">
        <f t="array" ref="K124">IFERROR(INDEX(Sales!$K$7:$K$1506,$O124),"")</f>
        <v>5</v>
      </c>
      <c r="L124" s="96">
        <f t="array" ref="L124">IFERROR(INDEX(Sales!$L$7:$L$1506,$O124),"")</f>
        <v>85</v>
      </c>
      <c r="M124" s="19" t="str">
        <f t="array" ref="M124">IFERROR(INDEX(Sales!$M$7:$M$1506,$O124),"")</f>
        <v>Paid</v>
      </c>
      <c r="O124" s="111">
        <f>IFERROR(MATCH(TEXT($B$3,"yyyymm")&amp;"-"&amp;(ROW()-4),Sales!$Y$7:$Y$1506,0),"")</f>
        <v>121</v>
      </c>
    </row>
    <row r="125" ht="14.25" customHeight="1">
      <c r="A125" s="110">
        <f t="array" ref="A125">IFERROR(INDEX(Sales!$A$7:$A$1506,$O125),"")</f>
        <v>46234</v>
      </c>
      <c r="B125" s="19" t="str">
        <f t="array" ref="B125">IFERROR(INDEX(Sales!$B$7:$B$1506,$O125),"")</f>
        <v>Sale</v>
      </c>
      <c r="C125" s="19" t="str">
        <f t="array" ref="C125">IFERROR(INDEX(Sales!$C$7:$C$1506,$O125),"")</f>
        <v>Online</v>
      </c>
      <c r="D125" s="19" t="str">
        <f t="array" ref="D125">IFERROR(INDEX(Sales!$D$7:$D$1506,$O125),"")</f>
        <v>Farhana Faruque</v>
      </c>
      <c r="E125" s="19" t="str">
        <f t="array" ref="E125">IFERROR(IF(INDEX(Sales!$E$7:$E$1506,$O125)="","",INDEX(Sales!$E$7:$E$1506,$O125)),"")</f>
        <v>PAWF-260731-EC093</v>
      </c>
      <c r="F125" s="19" t="str">
        <f t="array" ref="F125">IFERROR(INDEX(Sales!$F$7:$F$1506,$O125),"")</f>
        <v>FD-WET-KTCN-001</v>
      </c>
      <c r="G125" s="19" t="str">
        <f t="array" ref="G125">IFERROR(INDEX(Sales!$G$7:$G$1506,$O125),"")</f>
        <v>Kitchen Flavor Pate Delight</v>
      </c>
      <c r="H125" s="96">
        <f t="array" ref="H125">IFERROR(INDEX(Sales!$H$7:$H$1506,$O125),"")</f>
        <v>1</v>
      </c>
      <c r="I125" s="96">
        <f t="array" ref="I125">IFERROR(INDEX(Sales!$I$7:$I$1506,$O125),"")</f>
        <v>130</v>
      </c>
      <c r="J125" s="96">
        <f t="array" ref="J125">IFERROR(INDEX(Sales!$J$7:$J$1506,$O125),"")</f>
        <v>150</v>
      </c>
      <c r="K125" s="96">
        <f t="array" ref="K125">IFERROR(INDEX(Sales!$K$7:$K$1506,$O125),"")</f>
        <v>20</v>
      </c>
      <c r="L125" s="96">
        <f t="array" ref="L125">IFERROR(INDEX(Sales!$L$7:$L$1506,$O125),"")</f>
        <v>130</v>
      </c>
      <c r="M125" s="19" t="str">
        <f t="array" ref="M125">IFERROR(INDEX(Sales!$M$7:$M$1506,$O125),"")</f>
        <v>Paid</v>
      </c>
      <c r="O125" s="111">
        <f>IFERROR(MATCH(TEXT($B$3,"yyyymm")&amp;"-"&amp;(ROW()-4),Sales!$Y$7:$Y$1506,0),"")</f>
        <v>122</v>
      </c>
    </row>
    <row r="126" ht="14.25" customHeight="1">
      <c r="A126" s="110">
        <f t="array" ref="A126">IFERROR(INDEX(Sales!$A$7:$A$1506,$O126),"")</f>
        <v>46234</v>
      </c>
      <c r="B126" s="19" t="str">
        <f t="array" ref="B126">IFERROR(INDEX(Sales!$B$7:$B$1506,$O126),"")</f>
        <v>Sale</v>
      </c>
      <c r="C126" s="19" t="str">
        <f t="array" ref="C126">IFERROR(INDEX(Sales!$C$7:$C$1506,$O126),"")</f>
        <v>Online</v>
      </c>
      <c r="D126" s="19" t="str">
        <f t="array" ref="D126">IFERROR(INDEX(Sales!$D$7:$D$1506,$O126),"")</f>
        <v>Farhana Faruque</v>
      </c>
      <c r="E126" s="19" t="str">
        <f t="array" ref="E126">IFERROR(IF(INDEX(Sales!$E$7:$E$1506,$O126)="","",INDEX(Sales!$E$7:$E$1506,$O126)),"")</f>
        <v>PAWF-260731-EC093</v>
      </c>
      <c r="F126" s="19" t="str">
        <f t="array" ref="F126">IFERROR(INDEX(Sales!$F$7:$F$1506,$O126),"")</f>
        <v>FD-DRY-KTCN-400G-001</v>
      </c>
      <c r="G126" s="19" t="str">
        <f t="array" ref="G126">IFERROR(INDEX(Sales!$G$7:$G$1506,$O126),"")</f>
        <v>Kitchen Flavor Grain Free Kitten 400G</v>
      </c>
      <c r="H126" s="96">
        <f t="array" ref="H126">IFERROR(INDEX(Sales!$H$7:$H$1506,$O126),"")</f>
        <v>1</v>
      </c>
      <c r="I126" s="96">
        <f t="array" ref="I126">IFERROR(INDEX(Sales!$I$7:$I$1506,$O126),"")</f>
        <v>350</v>
      </c>
      <c r="J126" s="96">
        <f t="array" ref="J126">IFERROR(INDEX(Sales!$J$7:$J$1506,$O126),"")</f>
        <v>380</v>
      </c>
      <c r="K126" s="96">
        <f t="array" ref="K126">IFERROR(INDEX(Sales!$K$7:$K$1506,$O126),"")</f>
        <v>30</v>
      </c>
      <c r="L126" s="96">
        <f t="array" ref="L126">IFERROR(INDEX(Sales!$L$7:$L$1506,$O126),"")</f>
        <v>350</v>
      </c>
      <c r="M126" s="19" t="str">
        <f t="array" ref="M126">IFERROR(INDEX(Sales!$M$7:$M$1506,$O126),"")</f>
        <v>Paid</v>
      </c>
      <c r="O126" s="111">
        <f>IFERROR(MATCH(TEXT($B$3,"yyyymm")&amp;"-"&amp;(ROW()-4),Sales!$Y$7:$Y$1506,0),"")</f>
        <v>123</v>
      </c>
    </row>
    <row r="127" ht="14.25" customHeight="1">
      <c r="A127" s="110">
        <f t="array" ref="A127">IFERROR(INDEX(Sales!$A$7:$A$1506,$O127),"")</f>
        <v>46234</v>
      </c>
      <c r="B127" s="19" t="str">
        <f t="array" ref="B127">IFERROR(INDEX(Sales!$B$7:$B$1506,$O127),"")</f>
        <v>Sale</v>
      </c>
      <c r="C127" s="19" t="str">
        <f t="array" ref="C127">IFERROR(INDEX(Sales!$C$7:$C$1506,$O127),"")</f>
        <v>Online</v>
      </c>
      <c r="D127" s="19" t="str">
        <f t="array" ref="D127">IFERROR(INDEX(Sales!$D$7:$D$1506,$O127),"")</f>
        <v>Farhana Faruque</v>
      </c>
      <c r="E127" s="19" t="str">
        <f t="array" ref="E127">IFERROR(IF(INDEX(Sales!$E$7:$E$1506,$O127)="","",INDEX(Sales!$E$7:$E$1506,$O127)),"")</f>
        <v>PAWF-260731-EC093</v>
      </c>
      <c r="F127" s="19" t="str">
        <f t="array" ref="F127">IFERROR(INDEX(Sales!$F$7:$F$1506,$O127),"")</f>
        <v>TR-CRMY-15G-001</v>
      </c>
      <c r="G127" s="19" t="str">
        <f t="array" ref="G127">IFERROR(INDEX(Sales!$G$7:$G$1506,$O127),"")</f>
        <v>Creamy Treat 15G (Purry &amp; Hyper Paws)</v>
      </c>
      <c r="H127" s="96">
        <f t="array" ref="H127">IFERROR(INDEX(Sales!$H$7:$H$1506,$O127),"")</f>
        <v>5</v>
      </c>
      <c r="I127" s="96">
        <f t="array" ref="I127">IFERROR(INDEX(Sales!$I$7:$I$1506,$O127),"")</f>
        <v>16</v>
      </c>
      <c r="J127" s="96">
        <f t="array" ref="J127">IFERROR(INDEX(Sales!$J$7:$J$1506,$O127),"")</f>
        <v>20</v>
      </c>
      <c r="K127" s="96">
        <f t="array" ref="K127">IFERROR(INDEX(Sales!$K$7:$K$1506,$O127),"")</f>
        <v>4</v>
      </c>
      <c r="L127" s="96">
        <f t="array" ref="L127">IFERROR(INDEX(Sales!$L$7:$L$1506,$O127),"")</f>
        <v>80</v>
      </c>
      <c r="M127" s="19" t="str">
        <f t="array" ref="M127">IFERROR(INDEX(Sales!$M$7:$M$1506,$O127),"")</f>
        <v>Paid</v>
      </c>
      <c r="O127" s="111">
        <f>IFERROR(MATCH(TEXT($B$3,"yyyymm")&amp;"-"&amp;(ROW()-4),Sales!$Y$7:$Y$1506,0),"")</f>
        <v>124</v>
      </c>
    </row>
    <row r="128" ht="14.25" customHeight="1">
      <c r="A128" s="110">
        <f t="array" ref="A128">IFERROR(INDEX(Sales!$A$7:$A$1506,$O128),"")</f>
        <v>46233</v>
      </c>
      <c r="B128" s="19" t="str">
        <f t="array" ref="B128">IFERROR(INDEX(Sales!$B$7:$B$1506,$O128),"")</f>
        <v>Sale</v>
      </c>
      <c r="C128" s="19" t="str">
        <f t="array" ref="C128">IFERROR(INDEX(Sales!$C$7:$C$1506,$O128),"")</f>
        <v>Online</v>
      </c>
      <c r="D128" s="19" t="str">
        <f t="array" ref="D128">IFERROR(INDEX(Sales!$D$7:$D$1506,$O128),"")</f>
        <v>Monami Tariq</v>
      </c>
      <c r="E128" s="19" t="str">
        <f t="array" ref="E128">IFERROR(IF(INDEX(Sales!$E$7:$E$1506,$O128)="","",INDEX(Sales!$E$7:$E$1506,$O128)),"")</f>
        <v>PAWF-260730-9CAB6</v>
      </c>
      <c r="F128" s="19" t="str">
        <f t="array" ref="F128">IFERROR(INDEX(Sales!$F$7:$F$1506,$O128),"")</f>
        <v>AC-CTOY-003</v>
      </c>
      <c r="G128" s="19" t="str">
        <f t="array" ref="G128">IFERROR(INDEX(Sales!$G$7:$G$1506,$O128),"")</f>
        <v>Cat Toy Long Wire (Fish, Ball )</v>
      </c>
      <c r="H128" s="96">
        <f t="array" ref="H128">IFERROR(INDEX(Sales!$H$7:$H$1506,$O128),"")</f>
        <v>1</v>
      </c>
      <c r="I128" s="96">
        <f t="array" ref="I128">IFERROR(INDEX(Sales!$I$7:$I$1506,$O128),"")</f>
        <v>130</v>
      </c>
      <c r="J128" s="96">
        <f t="array" ref="J128">IFERROR(INDEX(Sales!$J$7:$J$1506,$O128),"")</f>
        <v>130</v>
      </c>
      <c r="K128" s="96" t="str">
        <f t="array" ref="K128">IFERROR(INDEX(Sales!$K$7:$K$1506,$O128),"")</f>
        <v/>
      </c>
      <c r="L128" s="96">
        <f t="array" ref="L128">IFERROR(INDEX(Sales!$L$7:$L$1506,$O128),"")</f>
        <v>130</v>
      </c>
      <c r="M128" s="19" t="str">
        <f t="array" ref="M128">IFERROR(INDEX(Sales!$M$7:$M$1506,$O128),"")</f>
        <v>Paid</v>
      </c>
      <c r="O128" s="111">
        <f>IFERROR(MATCH(TEXT($B$3,"yyyymm")&amp;"-"&amp;(ROW()-4),Sales!$Y$7:$Y$1506,0),"")</f>
        <v>125</v>
      </c>
    </row>
    <row r="129" ht="14.25" customHeight="1">
      <c r="A129" s="110">
        <f t="array" ref="A129">IFERROR(INDEX(Sales!$A$7:$A$1506,$O129),"")</f>
        <v>46233</v>
      </c>
      <c r="B129" s="19" t="str">
        <f t="array" ref="B129">IFERROR(INDEX(Sales!$B$7:$B$1506,$O129),"")</f>
        <v>Sale</v>
      </c>
      <c r="C129" s="19" t="str">
        <f t="array" ref="C129">IFERROR(INDEX(Sales!$C$7:$C$1506,$O129),"")</f>
        <v>Online</v>
      </c>
      <c r="D129" s="19" t="str">
        <f t="array" ref="D129">IFERROR(INDEX(Sales!$D$7:$D$1506,$O129),"")</f>
        <v>Monami Tariq</v>
      </c>
      <c r="E129" s="19" t="str">
        <f t="array" ref="E129">IFERROR(IF(INDEX(Sales!$E$7:$E$1506,$O129)="","",INDEX(Sales!$E$7:$E$1506,$O129)),"")</f>
        <v>PAWF-260730-9CAB6</v>
      </c>
      <c r="F129" s="19" t="str">
        <f t="array" ref="F129">IFERROR(INDEX(Sales!$F$7:$F$1506,$O129),"")</f>
        <v>FD-DRY-KTCN-1.5G-001</v>
      </c>
      <c r="G129" s="19" t="str">
        <f t="array" ref="G129">IFERROR(INDEX(Sales!$G$7:$G$1506,$O129),"")</f>
        <v>Kitchen Flavor Grain Free Adult 1.5KG</v>
      </c>
      <c r="H129" s="96">
        <f t="array" ref="H129">IFERROR(INDEX(Sales!$H$7:$H$1506,$O129),"")</f>
        <v>1</v>
      </c>
      <c r="I129" s="96">
        <f t="array" ref="I129">IFERROR(INDEX(Sales!$I$7:$I$1506,$O129),"")</f>
        <v>1220</v>
      </c>
      <c r="J129" s="96">
        <f t="array" ref="J129">IFERROR(INDEX(Sales!$J$7:$J$1506,$O129),"")</f>
        <v>1260</v>
      </c>
      <c r="K129" s="96">
        <f t="array" ref="K129">IFERROR(INDEX(Sales!$K$7:$K$1506,$O129),"")</f>
        <v>40</v>
      </c>
      <c r="L129" s="96">
        <f t="array" ref="L129">IFERROR(INDEX(Sales!$L$7:$L$1506,$O129),"")</f>
        <v>1220</v>
      </c>
      <c r="M129" s="19" t="str">
        <f t="array" ref="M129">IFERROR(INDEX(Sales!$M$7:$M$1506,$O129),"")</f>
        <v>Paid</v>
      </c>
      <c r="O129" s="111">
        <f>IFERROR(MATCH(TEXT($B$3,"yyyymm")&amp;"-"&amp;(ROW()-4),Sales!$Y$7:$Y$1506,0),"")</f>
        <v>126</v>
      </c>
    </row>
    <row r="130" ht="14.25" customHeight="1">
      <c r="A130" s="110">
        <f t="array" ref="A130">IFERROR(INDEX(Sales!$A$7:$A$1506,$O130),"")</f>
        <v>46234</v>
      </c>
      <c r="B130" s="19" t="str">
        <f t="array" ref="B130">IFERROR(INDEX(Sales!$B$7:$B$1506,$O130),"")</f>
        <v>Sale</v>
      </c>
      <c r="C130" s="19" t="str">
        <f t="array" ref="C130">IFERROR(INDEX(Sales!$C$7:$C$1506,$O130),"")</f>
        <v>Online</v>
      </c>
      <c r="D130" s="19" t="str">
        <f t="array" ref="D130">IFERROR(INDEX(Sales!$D$7:$D$1506,$O130),"")</f>
        <v>Monami Tariq</v>
      </c>
      <c r="E130" s="19" t="str">
        <f t="array" ref="E130">IFERROR(IF(INDEX(Sales!$E$7:$E$1506,$O130)="","",INDEX(Sales!$E$7:$E$1506,$O130)),"")</f>
        <v>PAWF-260730-9CAB6</v>
      </c>
      <c r="F130" s="19" t="str">
        <f t="array" ref="F130">IFERROR(INDEX(Sales!$F$7:$F$1506,$O130),"")</f>
        <v>TR-CRMY-15G-001</v>
      </c>
      <c r="G130" s="19" t="str">
        <f t="array" ref="G130">IFERROR(INDEX(Sales!$G$7:$G$1506,$O130),"")</f>
        <v>Creamy Treat 15G (Purry &amp; Hyper Paws)</v>
      </c>
      <c r="H130" s="96">
        <f t="array" ref="H130">IFERROR(INDEX(Sales!$H$7:$H$1506,$O130),"")</f>
        <v>4</v>
      </c>
      <c r="I130" s="96">
        <f t="array" ref="I130">IFERROR(INDEX(Sales!$I$7:$I$1506,$O130),"")</f>
        <v>20</v>
      </c>
      <c r="J130" s="96">
        <f t="array" ref="J130">IFERROR(INDEX(Sales!$J$7:$J$1506,$O130),"")</f>
        <v>20</v>
      </c>
      <c r="K130" s="96" t="str">
        <f t="array" ref="K130">IFERROR(INDEX(Sales!$K$7:$K$1506,$O130),"")</f>
        <v/>
      </c>
      <c r="L130" s="96">
        <f t="array" ref="L130">IFERROR(INDEX(Sales!$L$7:$L$1506,$O130),"")</f>
        <v>80</v>
      </c>
      <c r="M130" s="19" t="str">
        <f t="array" ref="M130">IFERROR(INDEX(Sales!$M$7:$M$1506,$O130),"")</f>
        <v>Paid</v>
      </c>
      <c r="O130" s="111">
        <f>IFERROR(MATCH(TEXT($B$3,"yyyymm")&amp;"-"&amp;(ROW()-4),Sales!$Y$7:$Y$1506,0),"")</f>
        <v>127</v>
      </c>
    </row>
    <row r="131" ht="14.25" customHeight="1">
      <c r="A131" s="110">
        <f t="array" ref="A131">IFERROR(INDEX(Sales!$A$7:$A$1506,$O131),"")</f>
        <v>46234</v>
      </c>
      <c r="B131" s="19" t="str">
        <f t="array" ref="B131">IFERROR(INDEX(Sales!$B$7:$B$1506,$O131),"")</f>
        <v>Sale</v>
      </c>
      <c r="C131" s="19" t="str">
        <f t="array" ref="C131">IFERROR(INDEX(Sales!$C$7:$C$1506,$O131),"")</f>
        <v>Shop</v>
      </c>
      <c r="D131" s="19" t="str">
        <f t="array" ref="D131">IFERROR(INDEX(Sales!$D$7:$D$1506,$O131),"")</f>
        <v>PawfectBD Shop</v>
      </c>
      <c r="E131" s="19" t="str">
        <f t="array" ref="E131">IFERROR(IF(INDEX(Sales!$E$7:$E$1506,$O131)="","",INDEX(Sales!$E$7:$E$1506,$O131)),"")</f>
        <v/>
      </c>
      <c r="F131" s="19" t="str">
        <f t="array" ref="F131">IFERROR(INDEX(Sales!$F$7:$F$1506,$O131),"")</f>
        <v>LT-AP-PM-5L-002</v>
      </c>
      <c r="G131" s="19" t="str">
        <f t="array" ref="G131">IFERROR(INDEX(Sales!$G$7:$G$1506,$O131),"")</f>
        <v>PetMetro Cat Litter Coffee 5L</v>
      </c>
      <c r="H131" s="96">
        <f t="array" ref="H131">IFERROR(INDEX(Sales!$H$7:$H$1506,$O131),"")</f>
        <v>1</v>
      </c>
      <c r="I131" s="96">
        <f t="array" ref="I131">IFERROR(INDEX(Sales!$I$7:$I$1506,$O131),"")</f>
        <v>250</v>
      </c>
      <c r="J131" s="96">
        <f t="array" ref="J131">IFERROR(INDEX(Sales!$J$7:$J$1506,$O131),"")</f>
        <v>280</v>
      </c>
      <c r="K131" s="96">
        <f t="array" ref="K131">IFERROR(INDEX(Sales!$K$7:$K$1506,$O131),"")</f>
        <v>30</v>
      </c>
      <c r="L131" s="96">
        <f t="array" ref="L131">IFERROR(INDEX(Sales!$L$7:$L$1506,$O131),"")</f>
        <v>250</v>
      </c>
      <c r="M131" s="19" t="str">
        <f t="array" ref="M131">IFERROR(INDEX(Sales!$M$7:$M$1506,$O131),"")</f>
        <v>Paid</v>
      </c>
      <c r="O131" s="111">
        <f>IFERROR(MATCH(TEXT($B$3,"yyyymm")&amp;"-"&amp;(ROW()-4),Sales!$Y$7:$Y$1506,0),"")</f>
        <v>128</v>
      </c>
    </row>
    <row r="132" ht="14.25" customHeight="1">
      <c r="A132" s="110">
        <f t="array" ref="A132">IFERROR(INDEX(Sales!$A$7:$A$1506,$O132),"")</f>
        <v>46234</v>
      </c>
      <c r="B132" s="19" t="str">
        <f t="array" ref="B132">IFERROR(INDEX(Sales!$B$7:$B$1506,$O132),"")</f>
        <v>Sale</v>
      </c>
      <c r="C132" s="19" t="str">
        <f t="array" ref="C132">IFERROR(INDEX(Sales!$C$7:$C$1506,$O132),"")</f>
        <v>Shop</v>
      </c>
      <c r="D132" s="19" t="str">
        <f t="array" ref="D132">IFERROR(INDEX(Sales!$D$7:$D$1506,$O132),"")</f>
        <v>PawfectBD Shop</v>
      </c>
      <c r="E132" s="19" t="str">
        <f t="array" ref="E132">IFERROR(IF(INDEX(Sales!$E$7:$E$1506,$O132)="","",INDEX(Sales!$E$7:$E$1506,$O132)),"")</f>
        <v/>
      </c>
      <c r="F132" s="19" t="str">
        <f t="array" ref="F132">IFERROR(INDEX(Sales!$F$7:$F$1506,$O132),"")</f>
        <v>AC-CB-002</v>
      </c>
      <c r="G132" s="19" t="str">
        <f t="array" ref="G132">IFERROR(INDEX(Sales!$G$7:$G$1506,$O132),"")</f>
        <v>Premium Pet Collar Multicolor</v>
      </c>
      <c r="H132" s="96">
        <f t="array" ref="H132">IFERROR(INDEX(Sales!$H$7:$H$1506,$O132),"")</f>
        <v>1</v>
      </c>
      <c r="I132" s="96">
        <f t="array" ref="I132">IFERROR(INDEX(Sales!$I$7:$I$1506,$O132),"")</f>
        <v>65</v>
      </c>
      <c r="J132" s="96">
        <f t="array" ref="J132">IFERROR(INDEX(Sales!$J$7:$J$1506,$O132),"")</f>
        <v>75</v>
      </c>
      <c r="K132" s="96">
        <f t="array" ref="K132">IFERROR(INDEX(Sales!$K$7:$K$1506,$O132),"")</f>
        <v>10</v>
      </c>
      <c r="L132" s="96">
        <f t="array" ref="L132">IFERROR(INDEX(Sales!$L$7:$L$1506,$O132),"")</f>
        <v>65</v>
      </c>
      <c r="M132" s="19" t="str">
        <f t="array" ref="M132">IFERROR(INDEX(Sales!$M$7:$M$1506,$O132),"")</f>
        <v>Paid</v>
      </c>
      <c r="O132" s="111">
        <f>IFERROR(MATCH(TEXT($B$3,"yyyymm")&amp;"-"&amp;(ROW()-4),Sales!$Y$7:$Y$1506,0),"")</f>
        <v>129</v>
      </c>
    </row>
    <row r="133" ht="14.25" customHeight="1">
      <c r="A133" s="110">
        <f t="array" ref="A133">IFERROR(INDEX(Sales!$A$7:$A$1506,$O133),"")</f>
        <v>46234</v>
      </c>
      <c r="B133" s="19" t="str">
        <f t="array" ref="B133">IFERROR(INDEX(Sales!$B$7:$B$1506,$O133),"")</f>
        <v>Sale</v>
      </c>
      <c r="C133" s="19" t="str">
        <f t="array" ref="C133">IFERROR(INDEX(Sales!$C$7:$C$1506,$O133),"")</f>
        <v>Shop</v>
      </c>
      <c r="D133" s="19" t="str">
        <f t="array" ref="D133">IFERROR(INDEX(Sales!$D$7:$D$1506,$O133),"")</f>
        <v>PawfectBD Shop</v>
      </c>
      <c r="E133" s="19" t="str">
        <f t="array" ref="E133">IFERROR(IF(INDEX(Sales!$E$7:$E$1506,$O133)="","",INDEX(Sales!$E$7:$E$1506,$O133)),"")</f>
        <v/>
      </c>
      <c r="F133" s="19" t="str">
        <f t="array" ref="F133">IFERROR(INDEX(Sales!$F$7:$F$1506,$O133),"")</f>
        <v>TR-CRMY-15G-001</v>
      </c>
      <c r="G133" s="19" t="str">
        <f t="array" ref="G133">IFERROR(INDEX(Sales!$G$7:$G$1506,$O133),"")</f>
        <v>Creamy Treat 15G (Purry &amp; Hyper Paws)</v>
      </c>
      <c r="H133" s="96">
        <f t="array" ref="H133">IFERROR(INDEX(Sales!$H$7:$H$1506,$O133),"")</f>
        <v>2</v>
      </c>
      <c r="I133" s="96">
        <f t="array" ref="I133">IFERROR(INDEX(Sales!$I$7:$I$1506,$O133),"")</f>
        <v>20</v>
      </c>
      <c r="J133" s="96">
        <f t="array" ref="J133">IFERROR(INDEX(Sales!$J$7:$J$1506,$O133),"")</f>
        <v>20</v>
      </c>
      <c r="K133" s="96" t="str">
        <f t="array" ref="K133">IFERROR(INDEX(Sales!$K$7:$K$1506,$O133),"")</f>
        <v/>
      </c>
      <c r="L133" s="96">
        <f t="array" ref="L133">IFERROR(INDEX(Sales!$L$7:$L$1506,$O133),"")</f>
        <v>40</v>
      </c>
      <c r="M133" s="19" t="str">
        <f t="array" ref="M133">IFERROR(INDEX(Sales!$M$7:$M$1506,$O133),"")</f>
        <v>Paid</v>
      </c>
      <c r="O133" s="111">
        <f>IFERROR(MATCH(TEXT($B$3,"yyyymm")&amp;"-"&amp;(ROW()-4),Sales!$Y$7:$Y$1506,0),"")</f>
        <v>130</v>
      </c>
    </row>
    <row r="134" ht="14.25" customHeight="1">
      <c r="A134" s="110">
        <f t="array" ref="A134">IFERROR(INDEX(Sales!$A$7:$A$1506,$O134),"")</f>
        <v>46234</v>
      </c>
      <c r="B134" s="19" t="str">
        <f t="array" ref="B134">IFERROR(INDEX(Sales!$B$7:$B$1506,$O134),"")</f>
        <v>Sale</v>
      </c>
      <c r="C134" s="19" t="str">
        <f t="array" ref="C134">IFERROR(INDEX(Sales!$C$7:$C$1506,$O134),"")</f>
        <v>Shop</v>
      </c>
      <c r="D134" s="19" t="str">
        <f t="array" ref="D134">IFERROR(INDEX(Sales!$D$7:$D$1506,$O134),"")</f>
        <v>PawfectBD Shop</v>
      </c>
      <c r="E134" s="19" t="str">
        <f t="array" ref="E134">IFERROR(IF(INDEX(Sales!$E$7:$E$1506,$O134)="","",INDEX(Sales!$E$7:$E$1506,$O134)),"")</f>
        <v/>
      </c>
      <c r="F134" s="19" t="str">
        <f t="array" ref="F134">IFERROR(INDEX(Sales!$F$7:$F$1506,$O134),"")</f>
        <v>LT-AP-PM-5L-001</v>
      </c>
      <c r="G134" s="19" t="str">
        <f t="array" ref="G134">IFERROR(INDEX(Sales!$G$7:$G$1506,$O134),"")</f>
        <v>PetMetro Cat Litter Apple 5L</v>
      </c>
      <c r="H134" s="96">
        <f t="array" ref="H134">IFERROR(INDEX(Sales!$H$7:$H$1506,$O134),"")</f>
        <v>1</v>
      </c>
      <c r="I134" s="96">
        <f t="array" ref="I134">IFERROR(INDEX(Sales!$I$7:$I$1506,$O134),"")</f>
        <v>260</v>
      </c>
      <c r="J134" s="96">
        <f t="array" ref="J134">IFERROR(INDEX(Sales!$J$7:$J$1506,$O134),"")</f>
        <v>280</v>
      </c>
      <c r="K134" s="96">
        <f t="array" ref="K134">IFERROR(INDEX(Sales!$K$7:$K$1506,$O134),"")</f>
        <v>20</v>
      </c>
      <c r="L134" s="96">
        <f t="array" ref="L134">IFERROR(INDEX(Sales!$L$7:$L$1506,$O134),"")</f>
        <v>260</v>
      </c>
      <c r="M134" s="19" t="str">
        <f t="array" ref="M134">IFERROR(INDEX(Sales!$M$7:$M$1506,$O134),"")</f>
        <v>Paid</v>
      </c>
      <c r="O134" s="111">
        <f>IFERROR(MATCH(TEXT($B$3,"yyyymm")&amp;"-"&amp;(ROW()-4),Sales!$Y$7:$Y$1506,0),"")</f>
        <v>131</v>
      </c>
    </row>
    <row r="135" ht="14.25" customHeight="1">
      <c r="A135" s="110">
        <f t="array" ref="A135">IFERROR(INDEX(Sales!$A$7:$A$1506,$O135),"")</f>
        <v>46234</v>
      </c>
      <c r="B135" s="19" t="str">
        <f t="array" ref="B135">IFERROR(INDEX(Sales!$B$7:$B$1506,$O135),"")</f>
        <v>Sale</v>
      </c>
      <c r="C135" s="19" t="str">
        <f t="array" ref="C135">IFERROR(INDEX(Sales!$C$7:$C$1506,$O135),"")</f>
        <v>Shop</v>
      </c>
      <c r="D135" s="19" t="str">
        <f t="array" ref="D135">IFERROR(INDEX(Sales!$D$7:$D$1506,$O135),"")</f>
        <v>PawfectBD Shop</v>
      </c>
      <c r="E135" s="19" t="str">
        <f t="array" ref="E135">IFERROR(IF(INDEX(Sales!$E$7:$E$1506,$O135)="","",INDEX(Sales!$E$7:$E$1506,$O135)),"")</f>
        <v/>
      </c>
      <c r="F135" s="19" t="str">
        <f t="array" ref="F135">IFERROR(INDEX(Sales!$F$7:$F$1506,$O135),"")</f>
        <v>AC-CTOY-002</v>
      </c>
      <c r="G135" s="19" t="str">
        <f t="array" ref="G135">IFERROR(INDEX(Sales!$G$7:$G$1506,$O135),"")</f>
        <v>Cat Toy Rainbow Ball Spring</v>
      </c>
      <c r="H135" s="96">
        <f t="array" ref="H135">IFERROR(INDEX(Sales!$H$7:$H$1506,$O135),"")</f>
        <v>1</v>
      </c>
      <c r="I135" s="96">
        <f t="array" ref="I135">IFERROR(INDEX(Sales!$I$7:$I$1506,$O135),"")</f>
        <v>100</v>
      </c>
      <c r="J135" s="96">
        <f t="array" ref="J135">IFERROR(INDEX(Sales!$J$7:$J$1506,$O135),"")</f>
        <v>130</v>
      </c>
      <c r="K135" s="96">
        <f t="array" ref="K135">IFERROR(INDEX(Sales!$K$7:$K$1506,$O135),"")</f>
        <v>30</v>
      </c>
      <c r="L135" s="96">
        <f t="array" ref="L135">IFERROR(INDEX(Sales!$L$7:$L$1506,$O135),"")</f>
        <v>100</v>
      </c>
      <c r="M135" s="19" t="str">
        <f t="array" ref="M135">IFERROR(INDEX(Sales!$M$7:$M$1506,$O135),"")</f>
        <v>Paid</v>
      </c>
      <c r="O135" s="111">
        <f>IFERROR(MATCH(TEXT($B$3,"yyyymm")&amp;"-"&amp;(ROW()-4),Sales!$Y$7:$Y$1506,0),"")</f>
        <v>132</v>
      </c>
    </row>
    <row r="136" ht="14.25" customHeight="1">
      <c r="A136" s="110">
        <f t="array" ref="A136">IFERROR(INDEX(Sales!$A$7:$A$1506,$O136),"")</f>
        <v>46234</v>
      </c>
      <c r="B136" s="19" t="str">
        <f t="array" ref="B136">IFERROR(INDEX(Sales!$B$7:$B$1506,$O136),"")</f>
        <v>Sale</v>
      </c>
      <c r="C136" s="19" t="str">
        <f t="array" ref="C136">IFERROR(INDEX(Sales!$C$7:$C$1506,$O136),"")</f>
        <v>Shop</v>
      </c>
      <c r="D136" s="19" t="str">
        <f t="array" ref="D136">IFERROR(INDEX(Sales!$D$7:$D$1506,$O136),"")</f>
        <v>PawfectBD Shop</v>
      </c>
      <c r="E136" s="19" t="str">
        <f t="array" ref="E136">IFERROR(IF(INDEX(Sales!$E$7:$E$1506,$O136)="","",INDEX(Sales!$E$7:$E$1506,$O136)),"")</f>
        <v/>
      </c>
      <c r="F136" s="19" t="str">
        <f t="array" ref="F136">IFERROR(INDEX(Sales!$F$7:$F$1506,$O136),"")</f>
        <v>TR-CRMY-15G-001</v>
      </c>
      <c r="G136" s="19" t="str">
        <f t="array" ref="G136">IFERROR(INDEX(Sales!$G$7:$G$1506,$O136),"")</f>
        <v>Creamy Treat 15G (Purry &amp; Hyper Paws)</v>
      </c>
      <c r="H136" s="96">
        <f t="array" ref="H136">IFERROR(INDEX(Sales!$H$7:$H$1506,$O136),"")</f>
        <v>5</v>
      </c>
      <c r="I136" s="96">
        <f t="array" ref="I136">IFERROR(INDEX(Sales!$I$7:$I$1506,$O136),"")</f>
        <v>20</v>
      </c>
      <c r="J136" s="96">
        <f t="array" ref="J136">IFERROR(INDEX(Sales!$J$7:$J$1506,$O136),"")</f>
        <v>20</v>
      </c>
      <c r="K136" s="96" t="str">
        <f t="array" ref="K136">IFERROR(INDEX(Sales!$K$7:$K$1506,$O136),"")</f>
        <v/>
      </c>
      <c r="L136" s="96">
        <f t="array" ref="L136">IFERROR(INDEX(Sales!$L$7:$L$1506,$O136),"")</f>
        <v>100</v>
      </c>
      <c r="M136" s="19" t="str">
        <f t="array" ref="M136">IFERROR(INDEX(Sales!$M$7:$M$1506,$O136),"")</f>
        <v>Paid</v>
      </c>
      <c r="O136" s="111">
        <f>IFERROR(MATCH(TEXT($B$3,"yyyymm")&amp;"-"&amp;(ROW()-4),Sales!$Y$7:$Y$1506,0),"")</f>
        <v>133</v>
      </c>
    </row>
    <row r="137" ht="14.25" customHeight="1">
      <c r="A137" s="110">
        <f t="array" ref="A137">IFERROR(INDEX(Sales!$A$7:$A$1506,$O137),"")</f>
        <v>46234</v>
      </c>
      <c r="B137" s="19" t="str">
        <f t="array" ref="B137">IFERROR(INDEX(Sales!$B$7:$B$1506,$O137),"")</f>
        <v>Sale</v>
      </c>
      <c r="C137" s="19" t="str">
        <f t="array" ref="C137">IFERROR(INDEX(Sales!$C$7:$C$1506,$O137),"")</f>
        <v>Shop</v>
      </c>
      <c r="D137" s="19" t="str">
        <f t="array" ref="D137">IFERROR(INDEX(Sales!$D$7:$D$1506,$O137),"")</f>
        <v>PawfectBD Shop</v>
      </c>
      <c r="E137" s="19" t="str">
        <f t="array" ref="E137">IFERROR(IF(INDEX(Sales!$E$7:$E$1506,$O137)="","",INDEX(Sales!$E$7:$E$1506,$O137)),"")</f>
        <v/>
      </c>
      <c r="F137" s="19" t="str">
        <f t="array" ref="F137">IFERROR(INDEX(Sales!$F$7:$F$1506,$O137),"")</f>
        <v>AC-LB-002</v>
      </c>
      <c r="G137" s="19" t="str">
        <f t="array" ref="G137">IFERROR(INDEX(Sales!$G$7:$G$1506,$O137),"")</f>
        <v>Cat Litter Box Medium</v>
      </c>
      <c r="H137" s="96">
        <f t="array" ref="H137">IFERROR(INDEX(Sales!$H$7:$H$1506,$O137),"")</f>
        <v>1</v>
      </c>
      <c r="I137" s="96">
        <f t="array" ref="I137">IFERROR(INDEX(Sales!$I$7:$I$1506,$O137),"")</f>
        <v>400</v>
      </c>
      <c r="J137" s="96">
        <f t="array" ref="J137">IFERROR(INDEX(Sales!$J$7:$J$1506,$O137),"")</f>
        <v>500</v>
      </c>
      <c r="K137" s="96">
        <f t="array" ref="K137">IFERROR(INDEX(Sales!$K$7:$K$1506,$O137),"")</f>
        <v>100</v>
      </c>
      <c r="L137" s="96">
        <f t="array" ref="L137">IFERROR(INDEX(Sales!$L$7:$L$1506,$O137),"")</f>
        <v>400</v>
      </c>
      <c r="M137" s="19" t="str">
        <f t="array" ref="M137">IFERROR(INDEX(Sales!$M$7:$M$1506,$O137),"")</f>
        <v>Paid</v>
      </c>
      <c r="O137" s="111">
        <f>IFERROR(MATCH(TEXT($B$3,"yyyymm")&amp;"-"&amp;(ROW()-4),Sales!$Y$7:$Y$1506,0),"")</f>
        <v>134</v>
      </c>
    </row>
    <row r="138" ht="14.25" customHeight="1">
      <c r="A138" s="110">
        <f t="array" ref="A138">IFERROR(INDEX(Sales!$A$7:$A$1506,$O138),"")</f>
        <v>46219</v>
      </c>
      <c r="B138" s="19" t="str">
        <f t="array" ref="B138">IFERROR(INDEX(Sales!$B$7:$B$1506,$O138),"")</f>
        <v>Sale</v>
      </c>
      <c r="C138" s="19" t="str">
        <f t="array" ref="C138">IFERROR(INDEX(Sales!$C$7:$C$1506,$O138),"")</f>
        <v>Online</v>
      </c>
      <c r="D138" s="19" t="str">
        <f t="array" ref="D138">IFERROR(INDEX(Sales!$D$7:$D$1506,$O138),"")</f>
        <v>Samreen islam</v>
      </c>
      <c r="E138" s="19" t="str">
        <f t="array" ref="E138">IFERROR(IF(INDEX(Sales!$E$7:$E$1506,$O138)="","",INDEX(Sales!$E$7:$E$1506,$O138)),"")</f>
        <v>PAWF-260715-04EAA</v>
      </c>
      <c r="F138" s="19" t="str">
        <f t="array" ref="F138">IFERROR(INDEX(Sales!$F$7:$F$1506,$O138),"")</f>
        <v>FD-DRY-SMHRT-15KG-001</v>
      </c>
      <c r="G138" s="19" t="str">
        <f t="array" ref="G138">IFERROR(INDEX(Sales!$G$7:$G$1506,$O138),"")</f>
        <v>Smart Heart Adult Cat Food Chicken &amp; Tuna [15kg]</v>
      </c>
      <c r="H138" s="96">
        <f t="array" ref="H138">IFERROR(INDEX(Sales!$H$7:$H$1506,$O138),"")</f>
        <v>1</v>
      </c>
      <c r="I138" s="96">
        <f t="array" ref="I138">IFERROR(INDEX(Sales!$I$7:$I$1506,$O138),"")</f>
        <v>6400</v>
      </c>
      <c r="J138" s="96">
        <f t="array" ref="J138">IFERROR(INDEX(Sales!$J$7:$J$1506,$O138),"")</f>
        <v>6700</v>
      </c>
      <c r="K138" s="96">
        <f t="array" ref="K138">IFERROR(INDEX(Sales!$K$7:$K$1506,$O138),"")</f>
        <v>300</v>
      </c>
      <c r="L138" s="96">
        <f t="array" ref="L138">IFERROR(INDEX(Sales!$L$7:$L$1506,$O138),"")</f>
        <v>6400</v>
      </c>
      <c r="M138" s="19" t="str">
        <f t="array" ref="M138">IFERROR(INDEX(Sales!$M$7:$M$1506,$O138),"")</f>
        <v>Paid</v>
      </c>
      <c r="O138" s="111" t="str">
        <f>IFERROR(MATCH(TEXT($B$3,"yyyymm")&amp;"-"&amp;(ROW()-4),Sales!$Y$7:$Y$1506,0),"")</f>
        <v/>
      </c>
    </row>
    <row r="139" ht="14.25" customHeight="1">
      <c r="A139" s="110">
        <f t="array" ref="A139">IFERROR(INDEX(Sales!$A$7:$A$1506,$O139),"")</f>
        <v>46219</v>
      </c>
      <c r="B139" s="19" t="str">
        <f t="array" ref="B139">IFERROR(INDEX(Sales!$B$7:$B$1506,$O139),"")</f>
        <v>Sale</v>
      </c>
      <c r="C139" s="19" t="str">
        <f t="array" ref="C139">IFERROR(INDEX(Sales!$C$7:$C$1506,$O139),"")</f>
        <v>Online</v>
      </c>
      <c r="D139" s="19" t="str">
        <f t="array" ref="D139">IFERROR(INDEX(Sales!$D$7:$D$1506,$O139),"")</f>
        <v>Samreen islam</v>
      </c>
      <c r="E139" s="19" t="str">
        <f t="array" ref="E139">IFERROR(IF(INDEX(Sales!$E$7:$E$1506,$O139)="","",INDEX(Sales!$E$7:$E$1506,$O139)),"")</f>
        <v>PAWF-260715-04EAA</v>
      </c>
      <c r="F139" s="19" t="str">
        <f t="array" ref="F139">IFERROR(INDEX(Sales!$F$7:$F$1506,$O139),"")</f>
        <v>FD-DRY-SMHRT-15KG-001</v>
      </c>
      <c r="G139" s="19" t="str">
        <f t="array" ref="G139">IFERROR(INDEX(Sales!$G$7:$G$1506,$O139),"")</f>
        <v>Smart Heart Adult Cat Food Chicken &amp; Tuna [15kg]</v>
      </c>
      <c r="H139" s="96">
        <f t="array" ref="H139">IFERROR(INDEX(Sales!$H$7:$H$1506,$O139),"")</f>
        <v>1</v>
      </c>
      <c r="I139" s="96">
        <f t="array" ref="I139">IFERROR(INDEX(Sales!$I$7:$I$1506,$O139),"")</f>
        <v>6400</v>
      </c>
      <c r="J139" s="96">
        <f t="array" ref="J139">IFERROR(INDEX(Sales!$J$7:$J$1506,$O139),"")</f>
        <v>6700</v>
      </c>
      <c r="K139" s="96">
        <f t="array" ref="K139">IFERROR(INDEX(Sales!$K$7:$K$1506,$O139),"")</f>
        <v>300</v>
      </c>
      <c r="L139" s="96">
        <f t="array" ref="L139">IFERROR(INDEX(Sales!$L$7:$L$1506,$O139),"")</f>
        <v>6400</v>
      </c>
      <c r="M139" s="19" t="str">
        <f t="array" ref="M139">IFERROR(INDEX(Sales!$M$7:$M$1506,$O139),"")</f>
        <v>Paid</v>
      </c>
      <c r="O139" s="111" t="str">
        <f>IFERROR(MATCH(TEXT($B$3,"yyyymm")&amp;"-"&amp;(ROW()-4),Sales!$Y$7:$Y$1506,0),"")</f>
        <v/>
      </c>
    </row>
    <row r="140" ht="14.25" customHeight="1">
      <c r="A140" s="110">
        <f t="array" ref="A140">IFERROR(INDEX(Sales!$A$7:$A$1506,$O140),"")</f>
        <v>46219</v>
      </c>
      <c r="B140" s="19" t="str">
        <f t="array" ref="B140">IFERROR(INDEX(Sales!$B$7:$B$1506,$O140),"")</f>
        <v>Sale</v>
      </c>
      <c r="C140" s="19" t="str">
        <f t="array" ref="C140">IFERROR(INDEX(Sales!$C$7:$C$1506,$O140),"")</f>
        <v>Online</v>
      </c>
      <c r="D140" s="19" t="str">
        <f t="array" ref="D140">IFERROR(INDEX(Sales!$D$7:$D$1506,$O140),"")</f>
        <v>Samreen islam</v>
      </c>
      <c r="E140" s="19" t="str">
        <f t="array" ref="E140">IFERROR(IF(INDEX(Sales!$E$7:$E$1506,$O140)="","",INDEX(Sales!$E$7:$E$1506,$O140)),"")</f>
        <v>PAWF-260715-04EAA</v>
      </c>
      <c r="F140" s="19" t="str">
        <f t="array" ref="F140">IFERROR(INDEX(Sales!$F$7:$F$1506,$O140),"")</f>
        <v>FD-DRY-SMHRT-15KG-001</v>
      </c>
      <c r="G140" s="19" t="str">
        <f t="array" ref="G140">IFERROR(INDEX(Sales!$G$7:$G$1506,$O140),"")</f>
        <v>Smart Heart Adult Cat Food Chicken &amp; Tuna [15kg]</v>
      </c>
      <c r="H140" s="96">
        <f t="array" ref="H140">IFERROR(INDEX(Sales!$H$7:$H$1506,$O140),"")</f>
        <v>1</v>
      </c>
      <c r="I140" s="96">
        <f t="array" ref="I140">IFERROR(INDEX(Sales!$I$7:$I$1506,$O140),"")</f>
        <v>6400</v>
      </c>
      <c r="J140" s="96">
        <f t="array" ref="J140">IFERROR(INDEX(Sales!$J$7:$J$1506,$O140),"")</f>
        <v>6700</v>
      </c>
      <c r="K140" s="96">
        <f t="array" ref="K140">IFERROR(INDEX(Sales!$K$7:$K$1506,$O140),"")</f>
        <v>300</v>
      </c>
      <c r="L140" s="96">
        <f t="array" ref="L140">IFERROR(INDEX(Sales!$L$7:$L$1506,$O140),"")</f>
        <v>6400</v>
      </c>
      <c r="M140" s="19" t="str">
        <f t="array" ref="M140">IFERROR(INDEX(Sales!$M$7:$M$1506,$O140),"")</f>
        <v>Paid</v>
      </c>
      <c r="O140" s="111" t="str">
        <f>IFERROR(MATCH(TEXT($B$3,"yyyymm")&amp;"-"&amp;(ROW()-4),Sales!$Y$7:$Y$1506,0),"")</f>
        <v/>
      </c>
    </row>
    <row r="141" ht="14.25" customHeight="1">
      <c r="A141" s="110">
        <f t="array" ref="A141">IFERROR(INDEX(Sales!$A$7:$A$1506,$O141),"")</f>
        <v>46219</v>
      </c>
      <c r="B141" s="19" t="str">
        <f t="array" ref="B141">IFERROR(INDEX(Sales!$B$7:$B$1506,$O141),"")</f>
        <v>Sale</v>
      </c>
      <c r="C141" s="19" t="str">
        <f t="array" ref="C141">IFERROR(INDEX(Sales!$C$7:$C$1506,$O141),"")</f>
        <v>Online</v>
      </c>
      <c r="D141" s="19" t="str">
        <f t="array" ref="D141">IFERROR(INDEX(Sales!$D$7:$D$1506,$O141),"")</f>
        <v>Samreen islam</v>
      </c>
      <c r="E141" s="19" t="str">
        <f t="array" ref="E141">IFERROR(IF(INDEX(Sales!$E$7:$E$1506,$O141)="","",INDEX(Sales!$E$7:$E$1506,$O141)),"")</f>
        <v>PAWF-260715-04EAA</v>
      </c>
      <c r="F141" s="19" t="str">
        <f t="array" ref="F141">IFERROR(INDEX(Sales!$F$7:$F$1506,$O141),"")</f>
        <v>FD-DRY-SMHRT-15KG-001</v>
      </c>
      <c r="G141" s="19" t="str">
        <f t="array" ref="G141">IFERROR(INDEX(Sales!$G$7:$G$1506,$O141),"")</f>
        <v>Smart Heart Adult Cat Food Chicken &amp; Tuna [15kg]</v>
      </c>
      <c r="H141" s="96">
        <f t="array" ref="H141">IFERROR(INDEX(Sales!$H$7:$H$1506,$O141),"")</f>
        <v>1</v>
      </c>
      <c r="I141" s="96">
        <f t="array" ref="I141">IFERROR(INDEX(Sales!$I$7:$I$1506,$O141),"")</f>
        <v>6400</v>
      </c>
      <c r="J141" s="96">
        <f t="array" ref="J141">IFERROR(INDEX(Sales!$J$7:$J$1506,$O141),"")</f>
        <v>6700</v>
      </c>
      <c r="K141" s="96">
        <f t="array" ref="K141">IFERROR(INDEX(Sales!$K$7:$K$1506,$O141),"")</f>
        <v>300</v>
      </c>
      <c r="L141" s="96">
        <f t="array" ref="L141">IFERROR(INDEX(Sales!$L$7:$L$1506,$O141),"")</f>
        <v>6400</v>
      </c>
      <c r="M141" s="19" t="str">
        <f t="array" ref="M141">IFERROR(INDEX(Sales!$M$7:$M$1506,$O141),"")</f>
        <v>Paid</v>
      </c>
      <c r="O141" s="111" t="str">
        <f>IFERROR(MATCH(TEXT($B$3,"yyyymm")&amp;"-"&amp;(ROW()-4),Sales!$Y$7:$Y$1506,0),"")</f>
        <v/>
      </c>
    </row>
    <row r="142" ht="14.25" customHeight="1">
      <c r="A142" s="110">
        <f t="array" ref="A142">IFERROR(INDEX(Sales!$A$7:$A$1506,$O142),"")</f>
        <v>46219</v>
      </c>
      <c r="B142" s="19" t="str">
        <f t="array" ref="B142">IFERROR(INDEX(Sales!$B$7:$B$1506,$O142),"")</f>
        <v>Sale</v>
      </c>
      <c r="C142" s="19" t="str">
        <f t="array" ref="C142">IFERROR(INDEX(Sales!$C$7:$C$1506,$O142),"")</f>
        <v>Online</v>
      </c>
      <c r="D142" s="19" t="str">
        <f t="array" ref="D142">IFERROR(INDEX(Sales!$D$7:$D$1506,$O142),"")</f>
        <v>Samreen islam</v>
      </c>
      <c r="E142" s="19" t="str">
        <f t="array" ref="E142">IFERROR(IF(INDEX(Sales!$E$7:$E$1506,$O142)="","",INDEX(Sales!$E$7:$E$1506,$O142)),"")</f>
        <v>PAWF-260715-04EAA</v>
      </c>
      <c r="F142" s="19" t="str">
        <f t="array" ref="F142">IFERROR(INDEX(Sales!$F$7:$F$1506,$O142),"")</f>
        <v>FD-DRY-SMHRT-15KG-001</v>
      </c>
      <c r="G142" s="19" t="str">
        <f t="array" ref="G142">IFERROR(INDEX(Sales!$G$7:$G$1506,$O142),"")</f>
        <v>Smart Heart Adult Cat Food Chicken &amp; Tuna [15kg]</v>
      </c>
      <c r="H142" s="96">
        <f t="array" ref="H142">IFERROR(INDEX(Sales!$H$7:$H$1506,$O142),"")</f>
        <v>1</v>
      </c>
      <c r="I142" s="96">
        <f t="array" ref="I142">IFERROR(INDEX(Sales!$I$7:$I$1506,$O142),"")</f>
        <v>6400</v>
      </c>
      <c r="J142" s="96">
        <f t="array" ref="J142">IFERROR(INDEX(Sales!$J$7:$J$1506,$O142),"")</f>
        <v>6700</v>
      </c>
      <c r="K142" s="96">
        <f t="array" ref="K142">IFERROR(INDEX(Sales!$K$7:$K$1506,$O142),"")</f>
        <v>300</v>
      </c>
      <c r="L142" s="96">
        <f t="array" ref="L142">IFERROR(INDEX(Sales!$L$7:$L$1506,$O142),"")</f>
        <v>6400</v>
      </c>
      <c r="M142" s="19" t="str">
        <f t="array" ref="M142">IFERROR(INDEX(Sales!$M$7:$M$1506,$O142),"")</f>
        <v>Paid</v>
      </c>
      <c r="O142" s="111" t="str">
        <f>IFERROR(MATCH(TEXT($B$3,"yyyymm")&amp;"-"&amp;(ROW()-4),Sales!$Y$7:$Y$1506,0),"")</f>
        <v/>
      </c>
    </row>
    <row r="143" ht="14.25" customHeight="1">
      <c r="A143" s="110">
        <f t="array" ref="A143">IFERROR(INDEX(Sales!$A$7:$A$1506,$O143),"")</f>
        <v>46219</v>
      </c>
      <c r="B143" s="19" t="str">
        <f t="array" ref="B143">IFERROR(INDEX(Sales!$B$7:$B$1506,$O143),"")</f>
        <v>Sale</v>
      </c>
      <c r="C143" s="19" t="str">
        <f t="array" ref="C143">IFERROR(INDEX(Sales!$C$7:$C$1506,$O143),"")</f>
        <v>Online</v>
      </c>
      <c r="D143" s="19" t="str">
        <f t="array" ref="D143">IFERROR(INDEX(Sales!$D$7:$D$1506,$O143),"")</f>
        <v>Samreen islam</v>
      </c>
      <c r="E143" s="19" t="str">
        <f t="array" ref="E143">IFERROR(IF(INDEX(Sales!$E$7:$E$1506,$O143)="","",INDEX(Sales!$E$7:$E$1506,$O143)),"")</f>
        <v>PAWF-260715-04EAA</v>
      </c>
      <c r="F143" s="19" t="str">
        <f t="array" ref="F143">IFERROR(INDEX(Sales!$F$7:$F$1506,$O143),"")</f>
        <v>FD-DRY-SMHRT-15KG-001</v>
      </c>
      <c r="G143" s="19" t="str">
        <f t="array" ref="G143">IFERROR(INDEX(Sales!$G$7:$G$1506,$O143),"")</f>
        <v>Smart Heart Adult Cat Food Chicken &amp; Tuna [15kg]</v>
      </c>
      <c r="H143" s="96">
        <f t="array" ref="H143">IFERROR(INDEX(Sales!$H$7:$H$1506,$O143),"")</f>
        <v>1</v>
      </c>
      <c r="I143" s="96">
        <f t="array" ref="I143">IFERROR(INDEX(Sales!$I$7:$I$1506,$O143),"")</f>
        <v>6400</v>
      </c>
      <c r="J143" s="96">
        <f t="array" ref="J143">IFERROR(INDEX(Sales!$J$7:$J$1506,$O143),"")</f>
        <v>6700</v>
      </c>
      <c r="K143" s="96">
        <f t="array" ref="K143">IFERROR(INDEX(Sales!$K$7:$K$1506,$O143),"")</f>
        <v>300</v>
      </c>
      <c r="L143" s="96">
        <f t="array" ref="L143">IFERROR(INDEX(Sales!$L$7:$L$1506,$O143),"")</f>
        <v>6400</v>
      </c>
      <c r="M143" s="19" t="str">
        <f t="array" ref="M143">IFERROR(INDEX(Sales!$M$7:$M$1506,$O143),"")</f>
        <v>Paid</v>
      </c>
      <c r="O143" s="111" t="str">
        <f>IFERROR(MATCH(TEXT($B$3,"yyyymm")&amp;"-"&amp;(ROW()-4),Sales!$Y$7:$Y$1506,0),"")</f>
        <v/>
      </c>
    </row>
    <row r="144" ht="14.25" customHeight="1">
      <c r="A144" s="110">
        <f t="array" ref="A144">IFERROR(INDEX(Sales!$A$7:$A$1506,$O144),"")</f>
        <v>46219</v>
      </c>
      <c r="B144" s="19" t="str">
        <f t="array" ref="B144">IFERROR(INDEX(Sales!$B$7:$B$1506,$O144),"")</f>
        <v>Sale</v>
      </c>
      <c r="C144" s="19" t="str">
        <f t="array" ref="C144">IFERROR(INDEX(Sales!$C$7:$C$1506,$O144),"")</f>
        <v>Online</v>
      </c>
      <c r="D144" s="19" t="str">
        <f t="array" ref="D144">IFERROR(INDEX(Sales!$D$7:$D$1506,$O144),"")</f>
        <v>Samreen islam</v>
      </c>
      <c r="E144" s="19" t="str">
        <f t="array" ref="E144">IFERROR(IF(INDEX(Sales!$E$7:$E$1506,$O144)="","",INDEX(Sales!$E$7:$E$1506,$O144)),"")</f>
        <v>PAWF-260715-04EAA</v>
      </c>
      <c r="F144" s="19" t="str">
        <f t="array" ref="F144">IFERROR(INDEX(Sales!$F$7:$F$1506,$O144),"")</f>
        <v>FD-DRY-SMHRT-15KG-001</v>
      </c>
      <c r="G144" s="19" t="str">
        <f t="array" ref="G144">IFERROR(INDEX(Sales!$G$7:$G$1506,$O144),"")</f>
        <v>Smart Heart Adult Cat Food Chicken &amp; Tuna [15kg]</v>
      </c>
      <c r="H144" s="96">
        <f t="array" ref="H144">IFERROR(INDEX(Sales!$H$7:$H$1506,$O144),"")</f>
        <v>1</v>
      </c>
      <c r="I144" s="96">
        <f t="array" ref="I144">IFERROR(INDEX(Sales!$I$7:$I$1506,$O144),"")</f>
        <v>6400</v>
      </c>
      <c r="J144" s="96">
        <f t="array" ref="J144">IFERROR(INDEX(Sales!$J$7:$J$1506,$O144),"")</f>
        <v>6700</v>
      </c>
      <c r="K144" s="96">
        <f t="array" ref="K144">IFERROR(INDEX(Sales!$K$7:$K$1506,$O144),"")</f>
        <v>300</v>
      </c>
      <c r="L144" s="96">
        <f t="array" ref="L144">IFERROR(INDEX(Sales!$L$7:$L$1506,$O144),"")</f>
        <v>6400</v>
      </c>
      <c r="M144" s="19" t="str">
        <f t="array" ref="M144">IFERROR(INDEX(Sales!$M$7:$M$1506,$O144),"")</f>
        <v>Paid</v>
      </c>
      <c r="O144" s="111" t="str">
        <f>IFERROR(MATCH(TEXT($B$3,"yyyymm")&amp;"-"&amp;(ROW()-4),Sales!$Y$7:$Y$1506,0),"")</f>
        <v/>
      </c>
    </row>
    <row r="145" ht="14.25" customHeight="1">
      <c r="A145" s="110">
        <f t="array" ref="A145">IFERROR(INDEX(Sales!$A$7:$A$1506,$O145),"")</f>
        <v>46219</v>
      </c>
      <c r="B145" s="19" t="str">
        <f t="array" ref="B145">IFERROR(INDEX(Sales!$B$7:$B$1506,$O145),"")</f>
        <v>Sale</v>
      </c>
      <c r="C145" s="19" t="str">
        <f t="array" ref="C145">IFERROR(INDEX(Sales!$C$7:$C$1506,$O145),"")</f>
        <v>Online</v>
      </c>
      <c r="D145" s="19" t="str">
        <f t="array" ref="D145">IFERROR(INDEX(Sales!$D$7:$D$1506,$O145),"")</f>
        <v>Samreen islam</v>
      </c>
      <c r="E145" s="19" t="str">
        <f t="array" ref="E145">IFERROR(IF(INDEX(Sales!$E$7:$E$1506,$O145)="","",INDEX(Sales!$E$7:$E$1506,$O145)),"")</f>
        <v>PAWF-260715-04EAA</v>
      </c>
      <c r="F145" s="19" t="str">
        <f t="array" ref="F145">IFERROR(INDEX(Sales!$F$7:$F$1506,$O145),"")</f>
        <v>FD-DRY-SMHRT-15KG-001</v>
      </c>
      <c r="G145" s="19" t="str">
        <f t="array" ref="G145">IFERROR(INDEX(Sales!$G$7:$G$1506,$O145),"")</f>
        <v>Smart Heart Adult Cat Food Chicken &amp; Tuna [15kg]</v>
      </c>
      <c r="H145" s="96">
        <f t="array" ref="H145">IFERROR(INDEX(Sales!$H$7:$H$1506,$O145),"")</f>
        <v>1</v>
      </c>
      <c r="I145" s="96">
        <f t="array" ref="I145">IFERROR(INDEX(Sales!$I$7:$I$1506,$O145),"")</f>
        <v>6400</v>
      </c>
      <c r="J145" s="96">
        <f t="array" ref="J145">IFERROR(INDEX(Sales!$J$7:$J$1506,$O145),"")</f>
        <v>6700</v>
      </c>
      <c r="K145" s="96">
        <f t="array" ref="K145">IFERROR(INDEX(Sales!$K$7:$K$1506,$O145),"")</f>
        <v>300</v>
      </c>
      <c r="L145" s="96">
        <f t="array" ref="L145">IFERROR(INDEX(Sales!$L$7:$L$1506,$O145),"")</f>
        <v>6400</v>
      </c>
      <c r="M145" s="19" t="str">
        <f t="array" ref="M145">IFERROR(INDEX(Sales!$M$7:$M$1506,$O145),"")</f>
        <v>Paid</v>
      </c>
      <c r="O145" s="111" t="str">
        <f>IFERROR(MATCH(TEXT($B$3,"yyyymm")&amp;"-"&amp;(ROW()-4),Sales!$Y$7:$Y$1506,0),"")</f>
        <v/>
      </c>
    </row>
    <row r="146" ht="14.25" customHeight="1">
      <c r="A146" s="110">
        <f t="array" ref="A146">IFERROR(INDEX(Sales!$A$7:$A$1506,$O146),"")</f>
        <v>46219</v>
      </c>
      <c r="B146" s="19" t="str">
        <f t="array" ref="B146">IFERROR(INDEX(Sales!$B$7:$B$1506,$O146),"")</f>
        <v>Sale</v>
      </c>
      <c r="C146" s="19" t="str">
        <f t="array" ref="C146">IFERROR(INDEX(Sales!$C$7:$C$1506,$O146),"")</f>
        <v>Online</v>
      </c>
      <c r="D146" s="19" t="str">
        <f t="array" ref="D146">IFERROR(INDEX(Sales!$D$7:$D$1506,$O146),"")</f>
        <v>Samreen islam</v>
      </c>
      <c r="E146" s="19" t="str">
        <f t="array" ref="E146">IFERROR(IF(INDEX(Sales!$E$7:$E$1506,$O146)="","",INDEX(Sales!$E$7:$E$1506,$O146)),"")</f>
        <v>PAWF-260715-04EAA</v>
      </c>
      <c r="F146" s="19" t="str">
        <f t="array" ref="F146">IFERROR(INDEX(Sales!$F$7:$F$1506,$O146),"")</f>
        <v>FD-DRY-SMHRT-15KG-001</v>
      </c>
      <c r="G146" s="19" t="str">
        <f t="array" ref="G146">IFERROR(INDEX(Sales!$G$7:$G$1506,$O146),"")</f>
        <v>Smart Heart Adult Cat Food Chicken &amp; Tuna [15kg]</v>
      </c>
      <c r="H146" s="96">
        <f t="array" ref="H146">IFERROR(INDEX(Sales!$H$7:$H$1506,$O146),"")</f>
        <v>1</v>
      </c>
      <c r="I146" s="96">
        <f t="array" ref="I146">IFERROR(INDEX(Sales!$I$7:$I$1506,$O146),"")</f>
        <v>6400</v>
      </c>
      <c r="J146" s="96">
        <f t="array" ref="J146">IFERROR(INDEX(Sales!$J$7:$J$1506,$O146),"")</f>
        <v>6700</v>
      </c>
      <c r="K146" s="96">
        <f t="array" ref="K146">IFERROR(INDEX(Sales!$K$7:$K$1506,$O146),"")</f>
        <v>300</v>
      </c>
      <c r="L146" s="96">
        <f t="array" ref="L146">IFERROR(INDEX(Sales!$L$7:$L$1506,$O146),"")</f>
        <v>6400</v>
      </c>
      <c r="M146" s="19" t="str">
        <f t="array" ref="M146">IFERROR(INDEX(Sales!$M$7:$M$1506,$O146),"")</f>
        <v>Paid</v>
      </c>
      <c r="O146" s="111" t="str">
        <f>IFERROR(MATCH(TEXT($B$3,"yyyymm")&amp;"-"&amp;(ROW()-4),Sales!$Y$7:$Y$1506,0),"")</f>
        <v/>
      </c>
    </row>
    <row r="147" ht="14.25" customHeight="1">
      <c r="A147" s="110">
        <f t="array" ref="A147">IFERROR(INDEX(Sales!$A$7:$A$1506,$O147),"")</f>
        <v>46219</v>
      </c>
      <c r="B147" s="19" t="str">
        <f t="array" ref="B147">IFERROR(INDEX(Sales!$B$7:$B$1506,$O147),"")</f>
        <v>Sale</v>
      </c>
      <c r="C147" s="19" t="str">
        <f t="array" ref="C147">IFERROR(INDEX(Sales!$C$7:$C$1506,$O147),"")</f>
        <v>Online</v>
      </c>
      <c r="D147" s="19" t="str">
        <f t="array" ref="D147">IFERROR(INDEX(Sales!$D$7:$D$1506,$O147),"")</f>
        <v>Samreen islam</v>
      </c>
      <c r="E147" s="19" t="str">
        <f t="array" ref="E147">IFERROR(IF(INDEX(Sales!$E$7:$E$1506,$O147)="","",INDEX(Sales!$E$7:$E$1506,$O147)),"")</f>
        <v>PAWF-260715-04EAA</v>
      </c>
      <c r="F147" s="19" t="str">
        <f t="array" ref="F147">IFERROR(INDEX(Sales!$F$7:$F$1506,$O147),"")</f>
        <v>FD-DRY-SMHRT-15KG-001</v>
      </c>
      <c r="G147" s="19" t="str">
        <f t="array" ref="G147">IFERROR(INDEX(Sales!$G$7:$G$1506,$O147),"")</f>
        <v>Smart Heart Adult Cat Food Chicken &amp; Tuna [15kg]</v>
      </c>
      <c r="H147" s="96">
        <f t="array" ref="H147">IFERROR(INDEX(Sales!$H$7:$H$1506,$O147),"")</f>
        <v>1</v>
      </c>
      <c r="I147" s="96">
        <f t="array" ref="I147">IFERROR(INDEX(Sales!$I$7:$I$1506,$O147),"")</f>
        <v>6400</v>
      </c>
      <c r="J147" s="96">
        <f t="array" ref="J147">IFERROR(INDEX(Sales!$J$7:$J$1506,$O147),"")</f>
        <v>6700</v>
      </c>
      <c r="K147" s="96">
        <f t="array" ref="K147">IFERROR(INDEX(Sales!$K$7:$K$1506,$O147),"")</f>
        <v>300</v>
      </c>
      <c r="L147" s="96">
        <f t="array" ref="L147">IFERROR(INDEX(Sales!$L$7:$L$1506,$O147),"")</f>
        <v>6400</v>
      </c>
      <c r="M147" s="19" t="str">
        <f t="array" ref="M147">IFERROR(INDEX(Sales!$M$7:$M$1506,$O147),"")</f>
        <v>Paid</v>
      </c>
      <c r="O147" s="111" t="str">
        <f>IFERROR(MATCH(TEXT($B$3,"yyyymm")&amp;"-"&amp;(ROW()-4),Sales!$Y$7:$Y$1506,0),"")</f>
        <v/>
      </c>
    </row>
    <row r="148" ht="14.25" customHeight="1">
      <c r="A148" s="110">
        <f t="array" ref="A148">IFERROR(INDEX(Sales!$A$7:$A$1506,$O148),"")</f>
        <v>46219</v>
      </c>
      <c r="B148" s="19" t="str">
        <f t="array" ref="B148">IFERROR(INDEX(Sales!$B$7:$B$1506,$O148),"")</f>
        <v>Sale</v>
      </c>
      <c r="C148" s="19" t="str">
        <f t="array" ref="C148">IFERROR(INDEX(Sales!$C$7:$C$1506,$O148),"")</f>
        <v>Online</v>
      </c>
      <c r="D148" s="19" t="str">
        <f t="array" ref="D148">IFERROR(INDEX(Sales!$D$7:$D$1506,$O148),"")</f>
        <v>Samreen islam</v>
      </c>
      <c r="E148" s="19" t="str">
        <f t="array" ref="E148">IFERROR(IF(INDEX(Sales!$E$7:$E$1506,$O148)="","",INDEX(Sales!$E$7:$E$1506,$O148)),"")</f>
        <v>PAWF-260715-04EAA</v>
      </c>
      <c r="F148" s="19" t="str">
        <f t="array" ref="F148">IFERROR(INDEX(Sales!$F$7:$F$1506,$O148),"")</f>
        <v>FD-DRY-SMHRT-15KG-001</v>
      </c>
      <c r="G148" s="19" t="str">
        <f t="array" ref="G148">IFERROR(INDEX(Sales!$G$7:$G$1506,$O148),"")</f>
        <v>Smart Heart Adult Cat Food Chicken &amp; Tuna [15kg]</v>
      </c>
      <c r="H148" s="96">
        <f t="array" ref="H148">IFERROR(INDEX(Sales!$H$7:$H$1506,$O148),"")</f>
        <v>1</v>
      </c>
      <c r="I148" s="96">
        <f t="array" ref="I148">IFERROR(INDEX(Sales!$I$7:$I$1506,$O148),"")</f>
        <v>6400</v>
      </c>
      <c r="J148" s="96">
        <f t="array" ref="J148">IFERROR(INDEX(Sales!$J$7:$J$1506,$O148),"")</f>
        <v>6700</v>
      </c>
      <c r="K148" s="96">
        <f t="array" ref="K148">IFERROR(INDEX(Sales!$K$7:$K$1506,$O148),"")</f>
        <v>300</v>
      </c>
      <c r="L148" s="96">
        <f t="array" ref="L148">IFERROR(INDEX(Sales!$L$7:$L$1506,$O148),"")</f>
        <v>6400</v>
      </c>
      <c r="M148" s="19" t="str">
        <f t="array" ref="M148">IFERROR(INDEX(Sales!$M$7:$M$1506,$O148),"")</f>
        <v>Paid</v>
      </c>
      <c r="O148" s="111" t="str">
        <f>IFERROR(MATCH(TEXT($B$3,"yyyymm")&amp;"-"&amp;(ROW()-4),Sales!$Y$7:$Y$1506,0),"")</f>
        <v/>
      </c>
    </row>
    <row r="149" ht="14.25" customHeight="1">
      <c r="A149" s="110">
        <f t="array" ref="A149">IFERROR(INDEX(Sales!$A$7:$A$1506,$O149),"")</f>
        <v>46219</v>
      </c>
      <c r="B149" s="19" t="str">
        <f t="array" ref="B149">IFERROR(INDEX(Sales!$B$7:$B$1506,$O149),"")</f>
        <v>Sale</v>
      </c>
      <c r="C149" s="19" t="str">
        <f t="array" ref="C149">IFERROR(INDEX(Sales!$C$7:$C$1506,$O149),"")</f>
        <v>Online</v>
      </c>
      <c r="D149" s="19" t="str">
        <f t="array" ref="D149">IFERROR(INDEX(Sales!$D$7:$D$1506,$O149),"")</f>
        <v>Samreen islam</v>
      </c>
      <c r="E149" s="19" t="str">
        <f t="array" ref="E149">IFERROR(IF(INDEX(Sales!$E$7:$E$1506,$O149)="","",INDEX(Sales!$E$7:$E$1506,$O149)),"")</f>
        <v>PAWF-260715-04EAA</v>
      </c>
      <c r="F149" s="19" t="str">
        <f t="array" ref="F149">IFERROR(INDEX(Sales!$F$7:$F$1506,$O149),"")</f>
        <v>FD-DRY-SMHRT-15KG-001</v>
      </c>
      <c r="G149" s="19" t="str">
        <f t="array" ref="G149">IFERROR(INDEX(Sales!$G$7:$G$1506,$O149),"")</f>
        <v>Smart Heart Adult Cat Food Chicken &amp; Tuna [15kg]</v>
      </c>
      <c r="H149" s="96">
        <f t="array" ref="H149">IFERROR(INDEX(Sales!$H$7:$H$1506,$O149),"")</f>
        <v>1</v>
      </c>
      <c r="I149" s="96">
        <f t="array" ref="I149">IFERROR(INDEX(Sales!$I$7:$I$1506,$O149),"")</f>
        <v>6400</v>
      </c>
      <c r="J149" s="96">
        <f t="array" ref="J149">IFERROR(INDEX(Sales!$J$7:$J$1506,$O149),"")</f>
        <v>6700</v>
      </c>
      <c r="K149" s="96">
        <f t="array" ref="K149">IFERROR(INDEX(Sales!$K$7:$K$1506,$O149),"")</f>
        <v>300</v>
      </c>
      <c r="L149" s="96">
        <f t="array" ref="L149">IFERROR(INDEX(Sales!$L$7:$L$1506,$O149),"")</f>
        <v>6400</v>
      </c>
      <c r="M149" s="19" t="str">
        <f t="array" ref="M149">IFERROR(INDEX(Sales!$M$7:$M$1506,$O149),"")</f>
        <v>Paid</v>
      </c>
      <c r="O149" s="111" t="str">
        <f>IFERROR(MATCH(TEXT($B$3,"yyyymm")&amp;"-"&amp;(ROW()-4),Sales!$Y$7:$Y$1506,0),"")</f>
        <v/>
      </c>
    </row>
    <row r="150" ht="14.25" customHeight="1">
      <c r="A150" s="110">
        <f t="array" ref="A150">IFERROR(INDEX(Sales!$A$7:$A$1506,$O150),"")</f>
        <v>46219</v>
      </c>
      <c r="B150" s="19" t="str">
        <f t="array" ref="B150">IFERROR(INDEX(Sales!$B$7:$B$1506,$O150),"")</f>
        <v>Sale</v>
      </c>
      <c r="C150" s="19" t="str">
        <f t="array" ref="C150">IFERROR(INDEX(Sales!$C$7:$C$1506,$O150),"")</f>
        <v>Online</v>
      </c>
      <c r="D150" s="19" t="str">
        <f t="array" ref="D150">IFERROR(INDEX(Sales!$D$7:$D$1506,$O150),"")</f>
        <v>Samreen islam</v>
      </c>
      <c r="E150" s="19" t="str">
        <f t="array" ref="E150">IFERROR(IF(INDEX(Sales!$E$7:$E$1506,$O150)="","",INDEX(Sales!$E$7:$E$1506,$O150)),"")</f>
        <v>PAWF-260715-04EAA</v>
      </c>
      <c r="F150" s="19" t="str">
        <f t="array" ref="F150">IFERROR(INDEX(Sales!$F$7:$F$1506,$O150),"")</f>
        <v>FD-DRY-SMHRT-15KG-001</v>
      </c>
      <c r="G150" s="19" t="str">
        <f t="array" ref="G150">IFERROR(INDEX(Sales!$G$7:$G$1506,$O150),"")</f>
        <v>Smart Heart Adult Cat Food Chicken &amp; Tuna [15kg]</v>
      </c>
      <c r="H150" s="96">
        <f t="array" ref="H150">IFERROR(INDEX(Sales!$H$7:$H$1506,$O150),"")</f>
        <v>1</v>
      </c>
      <c r="I150" s="96">
        <f t="array" ref="I150">IFERROR(INDEX(Sales!$I$7:$I$1506,$O150),"")</f>
        <v>6400</v>
      </c>
      <c r="J150" s="96">
        <f t="array" ref="J150">IFERROR(INDEX(Sales!$J$7:$J$1506,$O150),"")</f>
        <v>6700</v>
      </c>
      <c r="K150" s="96">
        <f t="array" ref="K150">IFERROR(INDEX(Sales!$K$7:$K$1506,$O150),"")</f>
        <v>300</v>
      </c>
      <c r="L150" s="96">
        <f t="array" ref="L150">IFERROR(INDEX(Sales!$L$7:$L$1506,$O150),"")</f>
        <v>6400</v>
      </c>
      <c r="M150" s="19" t="str">
        <f t="array" ref="M150">IFERROR(INDEX(Sales!$M$7:$M$1506,$O150),"")</f>
        <v>Paid</v>
      </c>
      <c r="O150" s="111" t="str">
        <f>IFERROR(MATCH(TEXT($B$3,"yyyymm")&amp;"-"&amp;(ROW()-4),Sales!$Y$7:$Y$1506,0),"")</f>
        <v/>
      </c>
    </row>
    <row r="151" ht="14.25" customHeight="1">
      <c r="A151" s="110">
        <f t="array" ref="A151">IFERROR(INDEX(Sales!$A$7:$A$1506,$O151),"")</f>
        <v>46219</v>
      </c>
      <c r="B151" s="19" t="str">
        <f t="array" ref="B151">IFERROR(INDEX(Sales!$B$7:$B$1506,$O151),"")</f>
        <v>Sale</v>
      </c>
      <c r="C151" s="19" t="str">
        <f t="array" ref="C151">IFERROR(INDEX(Sales!$C$7:$C$1506,$O151),"")</f>
        <v>Online</v>
      </c>
      <c r="D151" s="19" t="str">
        <f t="array" ref="D151">IFERROR(INDEX(Sales!$D$7:$D$1506,$O151),"")</f>
        <v>Samreen islam</v>
      </c>
      <c r="E151" s="19" t="str">
        <f t="array" ref="E151">IFERROR(IF(INDEX(Sales!$E$7:$E$1506,$O151)="","",INDEX(Sales!$E$7:$E$1506,$O151)),"")</f>
        <v>PAWF-260715-04EAA</v>
      </c>
      <c r="F151" s="19" t="str">
        <f t="array" ref="F151">IFERROR(INDEX(Sales!$F$7:$F$1506,$O151),"")</f>
        <v>FD-DRY-SMHRT-15KG-001</v>
      </c>
      <c r="G151" s="19" t="str">
        <f t="array" ref="G151">IFERROR(INDEX(Sales!$G$7:$G$1506,$O151),"")</f>
        <v>Smart Heart Adult Cat Food Chicken &amp; Tuna [15kg]</v>
      </c>
      <c r="H151" s="96">
        <f t="array" ref="H151">IFERROR(INDEX(Sales!$H$7:$H$1506,$O151),"")</f>
        <v>1</v>
      </c>
      <c r="I151" s="96">
        <f t="array" ref="I151">IFERROR(INDEX(Sales!$I$7:$I$1506,$O151),"")</f>
        <v>6400</v>
      </c>
      <c r="J151" s="96">
        <f t="array" ref="J151">IFERROR(INDEX(Sales!$J$7:$J$1506,$O151),"")</f>
        <v>6700</v>
      </c>
      <c r="K151" s="96">
        <f t="array" ref="K151">IFERROR(INDEX(Sales!$K$7:$K$1506,$O151),"")</f>
        <v>300</v>
      </c>
      <c r="L151" s="96">
        <f t="array" ref="L151">IFERROR(INDEX(Sales!$L$7:$L$1506,$O151),"")</f>
        <v>6400</v>
      </c>
      <c r="M151" s="19" t="str">
        <f t="array" ref="M151">IFERROR(INDEX(Sales!$M$7:$M$1506,$O151),"")</f>
        <v>Paid</v>
      </c>
      <c r="O151" s="111" t="str">
        <f>IFERROR(MATCH(TEXT($B$3,"yyyymm")&amp;"-"&amp;(ROW()-4),Sales!$Y$7:$Y$1506,0),"")</f>
        <v/>
      </c>
    </row>
    <row r="152" ht="14.25" customHeight="1">
      <c r="A152" s="110">
        <f t="array" ref="A152">IFERROR(INDEX(Sales!$A$7:$A$1506,$O152),"")</f>
        <v>46219</v>
      </c>
      <c r="B152" s="19" t="str">
        <f t="array" ref="B152">IFERROR(INDEX(Sales!$B$7:$B$1506,$O152),"")</f>
        <v>Sale</v>
      </c>
      <c r="C152" s="19" t="str">
        <f t="array" ref="C152">IFERROR(INDEX(Sales!$C$7:$C$1506,$O152),"")</f>
        <v>Online</v>
      </c>
      <c r="D152" s="19" t="str">
        <f t="array" ref="D152">IFERROR(INDEX(Sales!$D$7:$D$1506,$O152),"")</f>
        <v>Samreen islam</v>
      </c>
      <c r="E152" s="19" t="str">
        <f t="array" ref="E152">IFERROR(IF(INDEX(Sales!$E$7:$E$1506,$O152)="","",INDEX(Sales!$E$7:$E$1506,$O152)),"")</f>
        <v>PAWF-260715-04EAA</v>
      </c>
      <c r="F152" s="19" t="str">
        <f t="array" ref="F152">IFERROR(INDEX(Sales!$F$7:$F$1506,$O152),"")</f>
        <v>FD-DRY-SMHRT-15KG-001</v>
      </c>
      <c r="G152" s="19" t="str">
        <f t="array" ref="G152">IFERROR(INDEX(Sales!$G$7:$G$1506,$O152),"")</f>
        <v>Smart Heart Adult Cat Food Chicken &amp; Tuna [15kg]</v>
      </c>
      <c r="H152" s="96">
        <f t="array" ref="H152">IFERROR(INDEX(Sales!$H$7:$H$1506,$O152),"")</f>
        <v>1</v>
      </c>
      <c r="I152" s="96">
        <f t="array" ref="I152">IFERROR(INDEX(Sales!$I$7:$I$1506,$O152),"")</f>
        <v>6400</v>
      </c>
      <c r="J152" s="96">
        <f t="array" ref="J152">IFERROR(INDEX(Sales!$J$7:$J$1506,$O152),"")</f>
        <v>6700</v>
      </c>
      <c r="K152" s="96">
        <f t="array" ref="K152">IFERROR(INDEX(Sales!$K$7:$K$1506,$O152),"")</f>
        <v>300</v>
      </c>
      <c r="L152" s="96">
        <f t="array" ref="L152">IFERROR(INDEX(Sales!$L$7:$L$1506,$O152),"")</f>
        <v>6400</v>
      </c>
      <c r="M152" s="19" t="str">
        <f t="array" ref="M152">IFERROR(INDEX(Sales!$M$7:$M$1506,$O152),"")</f>
        <v>Paid</v>
      </c>
      <c r="O152" s="111" t="str">
        <f>IFERROR(MATCH(TEXT($B$3,"yyyymm")&amp;"-"&amp;(ROW()-4),Sales!$Y$7:$Y$1506,0),"")</f>
        <v/>
      </c>
    </row>
    <row r="153" ht="14.25" customHeight="1">
      <c r="A153" s="110">
        <f t="array" ref="A153">IFERROR(INDEX(Sales!$A$7:$A$1506,$O153),"")</f>
        <v>46219</v>
      </c>
      <c r="B153" s="19" t="str">
        <f t="array" ref="B153">IFERROR(INDEX(Sales!$B$7:$B$1506,$O153),"")</f>
        <v>Sale</v>
      </c>
      <c r="C153" s="19" t="str">
        <f t="array" ref="C153">IFERROR(INDEX(Sales!$C$7:$C$1506,$O153),"")</f>
        <v>Online</v>
      </c>
      <c r="D153" s="19" t="str">
        <f t="array" ref="D153">IFERROR(INDEX(Sales!$D$7:$D$1506,$O153),"")</f>
        <v>Samreen islam</v>
      </c>
      <c r="E153" s="19" t="str">
        <f t="array" ref="E153">IFERROR(IF(INDEX(Sales!$E$7:$E$1506,$O153)="","",INDEX(Sales!$E$7:$E$1506,$O153)),"")</f>
        <v>PAWF-260715-04EAA</v>
      </c>
      <c r="F153" s="19" t="str">
        <f t="array" ref="F153">IFERROR(INDEX(Sales!$F$7:$F$1506,$O153),"")</f>
        <v>FD-DRY-SMHRT-15KG-001</v>
      </c>
      <c r="G153" s="19" t="str">
        <f t="array" ref="G153">IFERROR(INDEX(Sales!$G$7:$G$1506,$O153),"")</f>
        <v>Smart Heart Adult Cat Food Chicken &amp; Tuna [15kg]</v>
      </c>
      <c r="H153" s="96">
        <f t="array" ref="H153">IFERROR(INDEX(Sales!$H$7:$H$1506,$O153),"")</f>
        <v>1</v>
      </c>
      <c r="I153" s="96">
        <f t="array" ref="I153">IFERROR(INDEX(Sales!$I$7:$I$1506,$O153),"")</f>
        <v>6400</v>
      </c>
      <c r="J153" s="96">
        <f t="array" ref="J153">IFERROR(INDEX(Sales!$J$7:$J$1506,$O153),"")</f>
        <v>6700</v>
      </c>
      <c r="K153" s="96">
        <f t="array" ref="K153">IFERROR(INDEX(Sales!$K$7:$K$1506,$O153),"")</f>
        <v>300</v>
      </c>
      <c r="L153" s="96">
        <f t="array" ref="L153">IFERROR(INDEX(Sales!$L$7:$L$1506,$O153),"")</f>
        <v>6400</v>
      </c>
      <c r="M153" s="19" t="str">
        <f t="array" ref="M153">IFERROR(INDEX(Sales!$M$7:$M$1506,$O153),"")</f>
        <v>Paid</v>
      </c>
      <c r="O153" s="111" t="str">
        <f>IFERROR(MATCH(TEXT($B$3,"yyyymm")&amp;"-"&amp;(ROW()-4),Sales!$Y$7:$Y$1506,0),"")</f>
        <v/>
      </c>
    </row>
    <row r="154" ht="14.25" customHeight="1">
      <c r="A154" s="110">
        <f t="array" ref="A154">IFERROR(INDEX(Sales!$A$7:$A$1506,$O154),"")</f>
        <v>46219</v>
      </c>
      <c r="B154" s="19" t="str">
        <f t="array" ref="B154">IFERROR(INDEX(Sales!$B$7:$B$1506,$O154),"")</f>
        <v>Sale</v>
      </c>
      <c r="C154" s="19" t="str">
        <f t="array" ref="C154">IFERROR(INDEX(Sales!$C$7:$C$1506,$O154),"")</f>
        <v>Online</v>
      </c>
      <c r="D154" s="19" t="str">
        <f t="array" ref="D154">IFERROR(INDEX(Sales!$D$7:$D$1506,$O154),"")</f>
        <v>Samreen islam</v>
      </c>
      <c r="E154" s="19" t="str">
        <f t="array" ref="E154">IFERROR(IF(INDEX(Sales!$E$7:$E$1506,$O154)="","",INDEX(Sales!$E$7:$E$1506,$O154)),"")</f>
        <v>PAWF-260715-04EAA</v>
      </c>
      <c r="F154" s="19" t="str">
        <f t="array" ref="F154">IFERROR(INDEX(Sales!$F$7:$F$1506,$O154),"")</f>
        <v>FD-DRY-SMHRT-15KG-001</v>
      </c>
      <c r="G154" s="19" t="str">
        <f t="array" ref="G154">IFERROR(INDEX(Sales!$G$7:$G$1506,$O154),"")</f>
        <v>Smart Heart Adult Cat Food Chicken &amp; Tuna [15kg]</v>
      </c>
      <c r="H154" s="96">
        <f t="array" ref="H154">IFERROR(INDEX(Sales!$H$7:$H$1506,$O154),"")</f>
        <v>1</v>
      </c>
      <c r="I154" s="96">
        <f t="array" ref="I154">IFERROR(INDEX(Sales!$I$7:$I$1506,$O154),"")</f>
        <v>6400</v>
      </c>
      <c r="J154" s="96">
        <f t="array" ref="J154">IFERROR(INDEX(Sales!$J$7:$J$1506,$O154),"")</f>
        <v>6700</v>
      </c>
      <c r="K154" s="96">
        <f t="array" ref="K154">IFERROR(INDEX(Sales!$K$7:$K$1506,$O154),"")</f>
        <v>300</v>
      </c>
      <c r="L154" s="96">
        <f t="array" ref="L154">IFERROR(INDEX(Sales!$L$7:$L$1506,$O154),"")</f>
        <v>6400</v>
      </c>
      <c r="M154" s="19" t="str">
        <f t="array" ref="M154">IFERROR(INDEX(Sales!$M$7:$M$1506,$O154),"")</f>
        <v>Paid</v>
      </c>
      <c r="O154" s="111" t="str">
        <f>IFERROR(MATCH(TEXT($B$3,"yyyymm")&amp;"-"&amp;(ROW()-4),Sales!$Y$7:$Y$1506,0),"")</f>
        <v/>
      </c>
    </row>
    <row r="155" ht="14.25" customHeight="1">
      <c r="A155" s="110">
        <f t="array" ref="A155">IFERROR(INDEX(Sales!$A$7:$A$1506,$O155),"")</f>
        <v>46219</v>
      </c>
      <c r="B155" s="19" t="str">
        <f t="array" ref="B155">IFERROR(INDEX(Sales!$B$7:$B$1506,$O155),"")</f>
        <v>Sale</v>
      </c>
      <c r="C155" s="19" t="str">
        <f t="array" ref="C155">IFERROR(INDEX(Sales!$C$7:$C$1506,$O155),"")</f>
        <v>Online</v>
      </c>
      <c r="D155" s="19" t="str">
        <f t="array" ref="D155">IFERROR(INDEX(Sales!$D$7:$D$1506,$O155),"")</f>
        <v>Samreen islam</v>
      </c>
      <c r="E155" s="19" t="str">
        <f t="array" ref="E155">IFERROR(IF(INDEX(Sales!$E$7:$E$1506,$O155)="","",INDEX(Sales!$E$7:$E$1506,$O155)),"")</f>
        <v>PAWF-260715-04EAA</v>
      </c>
      <c r="F155" s="19" t="str">
        <f t="array" ref="F155">IFERROR(INDEX(Sales!$F$7:$F$1506,$O155),"")</f>
        <v>FD-DRY-SMHRT-15KG-001</v>
      </c>
      <c r="G155" s="19" t="str">
        <f t="array" ref="G155">IFERROR(INDEX(Sales!$G$7:$G$1506,$O155),"")</f>
        <v>Smart Heart Adult Cat Food Chicken &amp; Tuna [15kg]</v>
      </c>
      <c r="H155" s="96">
        <f t="array" ref="H155">IFERROR(INDEX(Sales!$H$7:$H$1506,$O155),"")</f>
        <v>1</v>
      </c>
      <c r="I155" s="96">
        <f t="array" ref="I155">IFERROR(INDEX(Sales!$I$7:$I$1506,$O155),"")</f>
        <v>6400</v>
      </c>
      <c r="J155" s="96">
        <f t="array" ref="J155">IFERROR(INDEX(Sales!$J$7:$J$1506,$O155),"")</f>
        <v>6700</v>
      </c>
      <c r="K155" s="96">
        <f t="array" ref="K155">IFERROR(INDEX(Sales!$K$7:$K$1506,$O155),"")</f>
        <v>300</v>
      </c>
      <c r="L155" s="96">
        <f t="array" ref="L155">IFERROR(INDEX(Sales!$L$7:$L$1506,$O155),"")</f>
        <v>6400</v>
      </c>
      <c r="M155" s="19" t="str">
        <f t="array" ref="M155">IFERROR(INDEX(Sales!$M$7:$M$1506,$O155),"")</f>
        <v>Paid</v>
      </c>
      <c r="O155" s="111" t="str">
        <f>IFERROR(MATCH(TEXT($B$3,"yyyymm")&amp;"-"&amp;(ROW()-4),Sales!$Y$7:$Y$1506,0),"")</f>
        <v/>
      </c>
    </row>
    <row r="156" ht="14.25" customHeight="1">
      <c r="A156" s="110">
        <f t="array" ref="A156">IFERROR(INDEX(Sales!$A$7:$A$1506,$O156),"")</f>
        <v>46219</v>
      </c>
      <c r="B156" s="19" t="str">
        <f t="array" ref="B156">IFERROR(INDEX(Sales!$B$7:$B$1506,$O156),"")</f>
        <v>Sale</v>
      </c>
      <c r="C156" s="19" t="str">
        <f t="array" ref="C156">IFERROR(INDEX(Sales!$C$7:$C$1506,$O156),"")</f>
        <v>Online</v>
      </c>
      <c r="D156" s="19" t="str">
        <f t="array" ref="D156">IFERROR(INDEX(Sales!$D$7:$D$1506,$O156),"")</f>
        <v>Samreen islam</v>
      </c>
      <c r="E156" s="19" t="str">
        <f t="array" ref="E156">IFERROR(IF(INDEX(Sales!$E$7:$E$1506,$O156)="","",INDEX(Sales!$E$7:$E$1506,$O156)),"")</f>
        <v>PAWF-260715-04EAA</v>
      </c>
      <c r="F156" s="19" t="str">
        <f t="array" ref="F156">IFERROR(INDEX(Sales!$F$7:$F$1506,$O156),"")</f>
        <v>FD-DRY-SMHRT-15KG-001</v>
      </c>
      <c r="G156" s="19" t="str">
        <f t="array" ref="G156">IFERROR(INDEX(Sales!$G$7:$G$1506,$O156),"")</f>
        <v>Smart Heart Adult Cat Food Chicken &amp; Tuna [15kg]</v>
      </c>
      <c r="H156" s="96">
        <f t="array" ref="H156">IFERROR(INDEX(Sales!$H$7:$H$1506,$O156),"")</f>
        <v>1</v>
      </c>
      <c r="I156" s="96">
        <f t="array" ref="I156">IFERROR(INDEX(Sales!$I$7:$I$1506,$O156),"")</f>
        <v>6400</v>
      </c>
      <c r="J156" s="96">
        <f t="array" ref="J156">IFERROR(INDEX(Sales!$J$7:$J$1506,$O156),"")</f>
        <v>6700</v>
      </c>
      <c r="K156" s="96">
        <f t="array" ref="K156">IFERROR(INDEX(Sales!$K$7:$K$1506,$O156),"")</f>
        <v>300</v>
      </c>
      <c r="L156" s="96">
        <f t="array" ref="L156">IFERROR(INDEX(Sales!$L$7:$L$1506,$O156),"")</f>
        <v>6400</v>
      </c>
      <c r="M156" s="19" t="str">
        <f t="array" ref="M156">IFERROR(INDEX(Sales!$M$7:$M$1506,$O156),"")</f>
        <v>Paid</v>
      </c>
      <c r="O156" s="111" t="str">
        <f>IFERROR(MATCH(TEXT($B$3,"yyyymm")&amp;"-"&amp;(ROW()-4),Sales!$Y$7:$Y$1506,0),"")</f>
        <v/>
      </c>
    </row>
    <row r="157" ht="14.25" customHeight="1">
      <c r="A157" s="110">
        <f t="array" ref="A157">IFERROR(INDEX(Sales!$A$7:$A$1506,$O157),"")</f>
        <v>46219</v>
      </c>
      <c r="B157" s="19" t="str">
        <f t="array" ref="B157">IFERROR(INDEX(Sales!$B$7:$B$1506,$O157),"")</f>
        <v>Sale</v>
      </c>
      <c r="C157" s="19" t="str">
        <f t="array" ref="C157">IFERROR(INDEX(Sales!$C$7:$C$1506,$O157),"")</f>
        <v>Online</v>
      </c>
      <c r="D157" s="19" t="str">
        <f t="array" ref="D157">IFERROR(INDEX(Sales!$D$7:$D$1506,$O157),"")</f>
        <v>Samreen islam</v>
      </c>
      <c r="E157" s="19" t="str">
        <f t="array" ref="E157">IFERROR(IF(INDEX(Sales!$E$7:$E$1506,$O157)="","",INDEX(Sales!$E$7:$E$1506,$O157)),"")</f>
        <v>PAWF-260715-04EAA</v>
      </c>
      <c r="F157" s="19" t="str">
        <f t="array" ref="F157">IFERROR(INDEX(Sales!$F$7:$F$1506,$O157),"")</f>
        <v>FD-DRY-SMHRT-15KG-001</v>
      </c>
      <c r="G157" s="19" t="str">
        <f t="array" ref="G157">IFERROR(INDEX(Sales!$G$7:$G$1506,$O157),"")</f>
        <v>Smart Heart Adult Cat Food Chicken &amp; Tuna [15kg]</v>
      </c>
      <c r="H157" s="96">
        <f t="array" ref="H157">IFERROR(INDEX(Sales!$H$7:$H$1506,$O157),"")</f>
        <v>1</v>
      </c>
      <c r="I157" s="96">
        <f t="array" ref="I157">IFERROR(INDEX(Sales!$I$7:$I$1506,$O157),"")</f>
        <v>6400</v>
      </c>
      <c r="J157" s="96">
        <f t="array" ref="J157">IFERROR(INDEX(Sales!$J$7:$J$1506,$O157),"")</f>
        <v>6700</v>
      </c>
      <c r="K157" s="96">
        <f t="array" ref="K157">IFERROR(INDEX(Sales!$K$7:$K$1506,$O157),"")</f>
        <v>300</v>
      </c>
      <c r="L157" s="96">
        <f t="array" ref="L157">IFERROR(INDEX(Sales!$L$7:$L$1506,$O157),"")</f>
        <v>6400</v>
      </c>
      <c r="M157" s="19" t="str">
        <f t="array" ref="M157">IFERROR(INDEX(Sales!$M$7:$M$1506,$O157),"")</f>
        <v>Paid</v>
      </c>
      <c r="O157" s="111" t="str">
        <f>IFERROR(MATCH(TEXT($B$3,"yyyymm")&amp;"-"&amp;(ROW()-4),Sales!$Y$7:$Y$1506,0),"")</f>
        <v/>
      </c>
    </row>
    <row r="158" ht="14.25" customHeight="1">
      <c r="A158" s="110">
        <f t="array" ref="A158">IFERROR(INDEX(Sales!$A$7:$A$1506,$O158),"")</f>
        <v>46219</v>
      </c>
      <c r="B158" s="19" t="str">
        <f t="array" ref="B158">IFERROR(INDEX(Sales!$B$7:$B$1506,$O158),"")</f>
        <v>Sale</v>
      </c>
      <c r="C158" s="19" t="str">
        <f t="array" ref="C158">IFERROR(INDEX(Sales!$C$7:$C$1506,$O158),"")</f>
        <v>Online</v>
      </c>
      <c r="D158" s="19" t="str">
        <f t="array" ref="D158">IFERROR(INDEX(Sales!$D$7:$D$1506,$O158),"")</f>
        <v>Samreen islam</v>
      </c>
      <c r="E158" s="19" t="str">
        <f t="array" ref="E158">IFERROR(IF(INDEX(Sales!$E$7:$E$1506,$O158)="","",INDEX(Sales!$E$7:$E$1506,$O158)),"")</f>
        <v>PAWF-260715-04EAA</v>
      </c>
      <c r="F158" s="19" t="str">
        <f t="array" ref="F158">IFERROR(INDEX(Sales!$F$7:$F$1506,$O158),"")</f>
        <v>FD-DRY-SMHRT-15KG-001</v>
      </c>
      <c r="G158" s="19" t="str">
        <f t="array" ref="G158">IFERROR(INDEX(Sales!$G$7:$G$1506,$O158),"")</f>
        <v>Smart Heart Adult Cat Food Chicken &amp; Tuna [15kg]</v>
      </c>
      <c r="H158" s="96">
        <f t="array" ref="H158">IFERROR(INDEX(Sales!$H$7:$H$1506,$O158),"")</f>
        <v>1</v>
      </c>
      <c r="I158" s="96">
        <f t="array" ref="I158">IFERROR(INDEX(Sales!$I$7:$I$1506,$O158),"")</f>
        <v>6400</v>
      </c>
      <c r="J158" s="96">
        <f t="array" ref="J158">IFERROR(INDEX(Sales!$J$7:$J$1506,$O158),"")</f>
        <v>6700</v>
      </c>
      <c r="K158" s="96">
        <f t="array" ref="K158">IFERROR(INDEX(Sales!$K$7:$K$1506,$O158),"")</f>
        <v>300</v>
      </c>
      <c r="L158" s="96">
        <f t="array" ref="L158">IFERROR(INDEX(Sales!$L$7:$L$1506,$O158),"")</f>
        <v>6400</v>
      </c>
      <c r="M158" s="19" t="str">
        <f t="array" ref="M158">IFERROR(INDEX(Sales!$M$7:$M$1506,$O158),"")</f>
        <v>Paid</v>
      </c>
      <c r="O158" s="111" t="str">
        <f>IFERROR(MATCH(TEXT($B$3,"yyyymm")&amp;"-"&amp;(ROW()-4),Sales!$Y$7:$Y$1506,0),"")</f>
        <v/>
      </c>
    </row>
    <row r="159" ht="14.25" customHeight="1">
      <c r="A159" s="110">
        <f t="array" ref="A159">IFERROR(INDEX(Sales!$A$7:$A$1506,$O159),"")</f>
        <v>46219</v>
      </c>
      <c r="B159" s="19" t="str">
        <f t="array" ref="B159">IFERROR(INDEX(Sales!$B$7:$B$1506,$O159),"")</f>
        <v>Sale</v>
      </c>
      <c r="C159" s="19" t="str">
        <f t="array" ref="C159">IFERROR(INDEX(Sales!$C$7:$C$1506,$O159),"")</f>
        <v>Online</v>
      </c>
      <c r="D159" s="19" t="str">
        <f t="array" ref="D159">IFERROR(INDEX(Sales!$D$7:$D$1506,$O159),"")</f>
        <v>Samreen islam</v>
      </c>
      <c r="E159" s="19" t="str">
        <f t="array" ref="E159">IFERROR(IF(INDEX(Sales!$E$7:$E$1506,$O159)="","",INDEX(Sales!$E$7:$E$1506,$O159)),"")</f>
        <v>PAWF-260715-04EAA</v>
      </c>
      <c r="F159" s="19" t="str">
        <f t="array" ref="F159">IFERROR(INDEX(Sales!$F$7:$F$1506,$O159),"")</f>
        <v>FD-DRY-SMHRT-15KG-001</v>
      </c>
      <c r="G159" s="19" t="str">
        <f t="array" ref="G159">IFERROR(INDEX(Sales!$G$7:$G$1506,$O159),"")</f>
        <v>Smart Heart Adult Cat Food Chicken &amp; Tuna [15kg]</v>
      </c>
      <c r="H159" s="96">
        <f t="array" ref="H159">IFERROR(INDEX(Sales!$H$7:$H$1506,$O159),"")</f>
        <v>1</v>
      </c>
      <c r="I159" s="96">
        <f t="array" ref="I159">IFERROR(INDEX(Sales!$I$7:$I$1506,$O159),"")</f>
        <v>6400</v>
      </c>
      <c r="J159" s="96">
        <f t="array" ref="J159">IFERROR(INDEX(Sales!$J$7:$J$1506,$O159),"")</f>
        <v>6700</v>
      </c>
      <c r="K159" s="96">
        <f t="array" ref="K159">IFERROR(INDEX(Sales!$K$7:$K$1506,$O159),"")</f>
        <v>300</v>
      </c>
      <c r="L159" s="96">
        <f t="array" ref="L159">IFERROR(INDEX(Sales!$L$7:$L$1506,$O159),"")</f>
        <v>6400</v>
      </c>
      <c r="M159" s="19" t="str">
        <f t="array" ref="M159">IFERROR(INDEX(Sales!$M$7:$M$1506,$O159),"")</f>
        <v>Paid</v>
      </c>
      <c r="O159" s="111" t="str">
        <f>IFERROR(MATCH(TEXT($B$3,"yyyymm")&amp;"-"&amp;(ROW()-4),Sales!$Y$7:$Y$1506,0),"")</f>
        <v/>
      </c>
    </row>
    <row r="160" ht="14.25" customHeight="1">
      <c r="A160" s="110">
        <f t="array" ref="A160">IFERROR(INDEX(Sales!$A$7:$A$1506,$O160),"")</f>
        <v>46219</v>
      </c>
      <c r="B160" s="19" t="str">
        <f t="array" ref="B160">IFERROR(INDEX(Sales!$B$7:$B$1506,$O160),"")</f>
        <v>Sale</v>
      </c>
      <c r="C160" s="19" t="str">
        <f t="array" ref="C160">IFERROR(INDEX(Sales!$C$7:$C$1506,$O160),"")</f>
        <v>Online</v>
      </c>
      <c r="D160" s="19" t="str">
        <f t="array" ref="D160">IFERROR(INDEX(Sales!$D$7:$D$1506,$O160),"")</f>
        <v>Samreen islam</v>
      </c>
      <c r="E160" s="19" t="str">
        <f t="array" ref="E160">IFERROR(IF(INDEX(Sales!$E$7:$E$1506,$O160)="","",INDEX(Sales!$E$7:$E$1506,$O160)),"")</f>
        <v>PAWF-260715-04EAA</v>
      </c>
      <c r="F160" s="19" t="str">
        <f t="array" ref="F160">IFERROR(INDEX(Sales!$F$7:$F$1506,$O160),"")</f>
        <v>FD-DRY-SMHRT-15KG-001</v>
      </c>
      <c r="G160" s="19" t="str">
        <f t="array" ref="G160">IFERROR(INDEX(Sales!$G$7:$G$1506,$O160),"")</f>
        <v>Smart Heart Adult Cat Food Chicken &amp; Tuna [15kg]</v>
      </c>
      <c r="H160" s="96">
        <f t="array" ref="H160">IFERROR(INDEX(Sales!$H$7:$H$1506,$O160),"")</f>
        <v>1</v>
      </c>
      <c r="I160" s="96">
        <f t="array" ref="I160">IFERROR(INDEX(Sales!$I$7:$I$1506,$O160),"")</f>
        <v>6400</v>
      </c>
      <c r="J160" s="96">
        <f t="array" ref="J160">IFERROR(INDEX(Sales!$J$7:$J$1506,$O160),"")</f>
        <v>6700</v>
      </c>
      <c r="K160" s="96">
        <f t="array" ref="K160">IFERROR(INDEX(Sales!$K$7:$K$1506,$O160),"")</f>
        <v>300</v>
      </c>
      <c r="L160" s="96">
        <f t="array" ref="L160">IFERROR(INDEX(Sales!$L$7:$L$1506,$O160),"")</f>
        <v>6400</v>
      </c>
      <c r="M160" s="19" t="str">
        <f t="array" ref="M160">IFERROR(INDEX(Sales!$M$7:$M$1506,$O160),"")</f>
        <v>Paid</v>
      </c>
      <c r="O160" s="111" t="str">
        <f>IFERROR(MATCH(TEXT($B$3,"yyyymm")&amp;"-"&amp;(ROW()-4),Sales!$Y$7:$Y$1506,0),"")</f>
        <v/>
      </c>
    </row>
    <row r="161" ht="14.25" customHeight="1">
      <c r="A161" s="110">
        <f t="array" ref="A161">IFERROR(INDEX(Sales!$A$7:$A$1506,$O161),"")</f>
        <v>46219</v>
      </c>
      <c r="B161" s="19" t="str">
        <f t="array" ref="B161">IFERROR(INDEX(Sales!$B$7:$B$1506,$O161),"")</f>
        <v>Sale</v>
      </c>
      <c r="C161" s="19" t="str">
        <f t="array" ref="C161">IFERROR(INDEX(Sales!$C$7:$C$1506,$O161),"")</f>
        <v>Online</v>
      </c>
      <c r="D161" s="19" t="str">
        <f t="array" ref="D161">IFERROR(INDEX(Sales!$D$7:$D$1506,$O161),"")</f>
        <v>Samreen islam</v>
      </c>
      <c r="E161" s="19" t="str">
        <f t="array" ref="E161">IFERROR(IF(INDEX(Sales!$E$7:$E$1506,$O161)="","",INDEX(Sales!$E$7:$E$1506,$O161)),"")</f>
        <v>PAWF-260715-04EAA</v>
      </c>
      <c r="F161" s="19" t="str">
        <f t="array" ref="F161">IFERROR(INDEX(Sales!$F$7:$F$1506,$O161),"")</f>
        <v>FD-DRY-SMHRT-15KG-001</v>
      </c>
      <c r="G161" s="19" t="str">
        <f t="array" ref="G161">IFERROR(INDEX(Sales!$G$7:$G$1506,$O161),"")</f>
        <v>Smart Heart Adult Cat Food Chicken &amp; Tuna [15kg]</v>
      </c>
      <c r="H161" s="96">
        <f t="array" ref="H161">IFERROR(INDEX(Sales!$H$7:$H$1506,$O161),"")</f>
        <v>1</v>
      </c>
      <c r="I161" s="96">
        <f t="array" ref="I161">IFERROR(INDEX(Sales!$I$7:$I$1506,$O161),"")</f>
        <v>6400</v>
      </c>
      <c r="J161" s="96">
        <f t="array" ref="J161">IFERROR(INDEX(Sales!$J$7:$J$1506,$O161),"")</f>
        <v>6700</v>
      </c>
      <c r="K161" s="96">
        <f t="array" ref="K161">IFERROR(INDEX(Sales!$K$7:$K$1506,$O161),"")</f>
        <v>300</v>
      </c>
      <c r="L161" s="96">
        <f t="array" ref="L161">IFERROR(INDEX(Sales!$L$7:$L$1506,$O161),"")</f>
        <v>6400</v>
      </c>
      <c r="M161" s="19" t="str">
        <f t="array" ref="M161">IFERROR(INDEX(Sales!$M$7:$M$1506,$O161),"")</f>
        <v>Paid</v>
      </c>
      <c r="O161" s="111" t="str">
        <f>IFERROR(MATCH(TEXT($B$3,"yyyymm")&amp;"-"&amp;(ROW()-4),Sales!$Y$7:$Y$1506,0),"")</f>
        <v/>
      </c>
    </row>
    <row r="162" ht="14.25" customHeight="1">
      <c r="A162" s="110">
        <f t="array" ref="A162">IFERROR(INDEX(Sales!$A$7:$A$1506,$O162),"")</f>
        <v>46219</v>
      </c>
      <c r="B162" s="19" t="str">
        <f t="array" ref="B162">IFERROR(INDEX(Sales!$B$7:$B$1506,$O162),"")</f>
        <v>Sale</v>
      </c>
      <c r="C162" s="19" t="str">
        <f t="array" ref="C162">IFERROR(INDEX(Sales!$C$7:$C$1506,$O162),"")</f>
        <v>Online</v>
      </c>
      <c r="D162" s="19" t="str">
        <f t="array" ref="D162">IFERROR(INDEX(Sales!$D$7:$D$1506,$O162),"")</f>
        <v>Samreen islam</v>
      </c>
      <c r="E162" s="19" t="str">
        <f t="array" ref="E162">IFERROR(IF(INDEX(Sales!$E$7:$E$1506,$O162)="","",INDEX(Sales!$E$7:$E$1506,$O162)),"")</f>
        <v>PAWF-260715-04EAA</v>
      </c>
      <c r="F162" s="19" t="str">
        <f t="array" ref="F162">IFERROR(INDEX(Sales!$F$7:$F$1506,$O162),"")</f>
        <v>FD-DRY-SMHRT-15KG-001</v>
      </c>
      <c r="G162" s="19" t="str">
        <f t="array" ref="G162">IFERROR(INDEX(Sales!$G$7:$G$1506,$O162),"")</f>
        <v>Smart Heart Adult Cat Food Chicken &amp; Tuna [15kg]</v>
      </c>
      <c r="H162" s="96">
        <f t="array" ref="H162">IFERROR(INDEX(Sales!$H$7:$H$1506,$O162),"")</f>
        <v>1</v>
      </c>
      <c r="I162" s="96">
        <f t="array" ref="I162">IFERROR(INDEX(Sales!$I$7:$I$1506,$O162),"")</f>
        <v>6400</v>
      </c>
      <c r="J162" s="96">
        <f t="array" ref="J162">IFERROR(INDEX(Sales!$J$7:$J$1506,$O162),"")</f>
        <v>6700</v>
      </c>
      <c r="K162" s="96">
        <f t="array" ref="K162">IFERROR(INDEX(Sales!$K$7:$K$1506,$O162),"")</f>
        <v>300</v>
      </c>
      <c r="L162" s="96">
        <f t="array" ref="L162">IFERROR(INDEX(Sales!$L$7:$L$1506,$O162),"")</f>
        <v>6400</v>
      </c>
      <c r="M162" s="19" t="str">
        <f t="array" ref="M162">IFERROR(INDEX(Sales!$M$7:$M$1506,$O162),"")</f>
        <v>Paid</v>
      </c>
      <c r="O162" s="111" t="str">
        <f>IFERROR(MATCH(TEXT($B$3,"yyyymm")&amp;"-"&amp;(ROW()-4),Sales!$Y$7:$Y$1506,0),"")</f>
        <v/>
      </c>
    </row>
    <row r="163" ht="14.25" customHeight="1">
      <c r="A163" s="110">
        <f t="array" ref="A163">IFERROR(INDEX(Sales!$A$7:$A$1506,$O163),"")</f>
        <v>46219</v>
      </c>
      <c r="B163" s="19" t="str">
        <f t="array" ref="B163">IFERROR(INDEX(Sales!$B$7:$B$1506,$O163),"")</f>
        <v>Sale</v>
      </c>
      <c r="C163" s="19" t="str">
        <f t="array" ref="C163">IFERROR(INDEX(Sales!$C$7:$C$1506,$O163),"")</f>
        <v>Online</v>
      </c>
      <c r="D163" s="19" t="str">
        <f t="array" ref="D163">IFERROR(INDEX(Sales!$D$7:$D$1506,$O163),"")</f>
        <v>Samreen islam</v>
      </c>
      <c r="E163" s="19" t="str">
        <f t="array" ref="E163">IFERROR(IF(INDEX(Sales!$E$7:$E$1506,$O163)="","",INDEX(Sales!$E$7:$E$1506,$O163)),"")</f>
        <v>PAWF-260715-04EAA</v>
      </c>
      <c r="F163" s="19" t="str">
        <f t="array" ref="F163">IFERROR(INDEX(Sales!$F$7:$F$1506,$O163),"")</f>
        <v>FD-DRY-SMHRT-15KG-001</v>
      </c>
      <c r="G163" s="19" t="str">
        <f t="array" ref="G163">IFERROR(INDEX(Sales!$G$7:$G$1506,$O163),"")</f>
        <v>Smart Heart Adult Cat Food Chicken &amp; Tuna [15kg]</v>
      </c>
      <c r="H163" s="96">
        <f t="array" ref="H163">IFERROR(INDEX(Sales!$H$7:$H$1506,$O163),"")</f>
        <v>1</v>
      </c>
      <c r="I163" s="96">
        <f t="array" ref="I163">IFERROR(INDEX(Sales!$I$7:$I$1506,$O163),"")</f>
        <v>6400</v>
      </c>
      <c r="J163" s="96">
        <f t="array" ref="J163">IFERROR(INDEX(Sales!$J$7:$J$1506,$O163),"")</f>
        <v>6700</v>
      </c>
      <c r="K163" s="96">
        <f t="array" ref="K163">IFERROR(INDEX(Sales!$K$7:$K$1506,$O163),"")</f>
        <v>300</v>
      </c>
      <c r="L163" s="96">
        <f t="array" ref="L163">IFERROR(INDEX(Sales!$L$7:$L$1506,$O163),"")</f>
        <v>6400</v>
      </c>
      <c r="M163" s="19" t="str">
        <f t="array" ref="M163">IFERROR(INDEX(Sales!$M$7:$M$1506,$O163),"")</f>
        <v>Paid</v>
      </c>
      <c r="O163" s="111" t="str">
        <f>IFERROR(MATCH(TEXT($B$3,"yyyymm")&amp;"-"&amp;(ROW()-4),Sales!$Y$7:$Y$1506,0),"")</f>
        <v/>
      </c>
    </row>
    <row r="164" ht="14.25" customHeight="1">
      <c r="A164" s="110">
        <f t="array" ref="A164">IFERROR(INDEX(Sales!$A$7:$A$1506,$O164),"")</f>
        <v>46219</v>
      </c>
      <c r="B164" s="19" t="str">
        <f t="array" ref="B164">IFERROR(INDEX(Sales!$B$7:$B$1506,$O164),"")</f>
        <v>Sale</v>
      </c>
      <c r="C164" s="19" t="str">
        <f t="array" ref="C164">IFERROR(INDEX(Sales!$C$7:$C$1506,$O164),"")</f>
        <v>Online</v>
      </c>
      <c r="D164" s="19" t="str">
        <f t="array" ref="D164">IFERROR(INDEX(Sales!$D$7:$D$1506,$O164),"")</f>
        <v>Samreen islam</v>
      </c>
      <c r="E164" s="19" t="str">
        <f t="array" ref="E164">IFERROR(IF(INDEX(Sales!$E$7:$E$1506,$O164)="","",INDEX(Sales!$E$7:$E$1506,$O164)),"")</f>
        <v>PAWF-260715-04EAA</v>
      </c>
      <c r="F164" s="19" t="str">
        <f t="array" ref="F164">IFERROR(INDEX(Sales!$F$7:$F$1506,$O164),"")</f>
        <v>FD-DRY-SMHRT-15KG-001</v>
      </c>
      <c r="G164" s="19" t="str">
        <f t="array" ref="G164">IFERROR(INDEX(Sales!$G$7:$G$1506,$O164),"")</f>
        <v>Smart Heart Adult Cat Food Chicken &amp; Tuna [15kg]</v>
      </c>
      <c r="H164" s="96">
        <f t="array" ref="H164">IFERROR(INDEX(Sales!$H$7:$H$1506,$O164),"")</f>
        <v>1</v>
      </c>
      <c r="I164" s="96">
        <f t="array" ref="I164">IFERROR(INDEX(Sales!$I$7:$I$1506,$O164),"")</f>
        <v>6400</v>
      </c>
      <c r="J164" s="96">
        <f t="array" ref="J164">IFERROR(INDEX(Sales!$J$7:$J$1506,$O164),"")</f>
        <v>6700</v>
      </c>
      <c r="K164" s="96">
        <f t="array" ref="K164">IFERROR(INDEX(Sales!$K$7:$K$1506,$O164),"")</f>
        <v>300</v>
      </c>
      <c r="L164" s="96">
        <f t="array" ref="L164">IFERROR(INDEX(Sales!$L$7:$L$1506,$O164),"")</f>
        <v>6400</v>
      </c>
      <c r="M164" s="19" t="str">
        <f t="array" ref="M164">IFERROR(INDEX(Sales!$M$7:$M$1506,$O164),"")</f>
        <v>Paid</v>
      </c>
      <c r="O164" s="111" t="str">
        <f>IFERROR(MATCH(TEXT($B$3,"yyyymm")&amp;"-"&amp;(ROW()-4),Sales!$Y$7:$Y$1506,0),"")</f>
        <v/>
      </c>
    </row>
    <row r="165" ht="14.25" customHeight="1">
      <c r="A165" s="110">
        <f t="array" ref="A165">IFERROR(INDEX(Sales!$A$7:$A$1506,$O165),"")</f>
        <v>46219</v>
      </c>
      <c r="B165" s="19" t="str">
        <f t="array" ref="B165">IFERROR(INDEX(Sales!$B$7:$B$1506,$O165),"")</f>
        <v>Sale</v>
      </c>
      <c r="C165" s="19" t="str">
        <f t="array" ref="C165">IFERROR(INDEX(Sales!$C$7:$C$1506,$O165),"")</f>
        <v>Online</v>
      </c>
      <c r="D165" s="19" t="str">
        <f t="array" ref="D165">IFERROR(INDEX(Sales!$D$7:$D$1506,$O165),"")</f>
        <v>Samreen islam</v>
      </c>
      <c r="E165" s="19" t="str">
        <f t="array" ref="E165">IFERROR(IF(INDEX(Sales!$E$7:$E$1506,$O165)="","",INDEX(Sales!$E$7:$E$1506,$O165)),"")</f>
        <v>PAWF-260715-04EAA</v>
      </c>
      <c r="F165" s="19" t="str">
        <f t="array" ref="F165">IFERROR(INDEX(Sales!$F$7:$F$1506,$O165),"")</f>
        <v>FD-DRY-SMHRT-15KG-001</v>
      </c>
      <c r="G165" s="19" t="str">
        <f t="array" ref="G165">IFERROR(INDEX(Sales!$G$7:$G$1506,$O165),"")</f>
        <v>Smart Heart Adult Cat Food Chicken &amp; Tuna [15kg]</v>
      </c>
      <c r="H165" s="96">
        <f t="array" ref="H165">IFERROR(INDEX(Sales!$H$7:$H$1506,$O165),"")</f>
        <v>1</v>
      </c>
      <c r="I165" s="96">
        <f t="array" ref="I165">IFERROR(INDEX(Sales!$I$7:$I$1506,$O165),"")</f>
        <v>6400</v>
      </c>
      <c r="J165" s="96">
        <f t="array" ref="J165">IFERROR(INDEX(Sales!$J$7:$J$1506,$O165),"")</f>
        <v>6700</v>
      </c>
      <c r="K165" s="96">
        <f t="array" ref="K165">IFERROR(INDEX(Sales!$K$7:$K$1506,$O165),"")</f>
        <v>300</v>
      </c>
      <c r="L165" s="96">
        <f t="array" ref="L165">IFERROR(INDEX(Sales!$L$7:$L$1506,$O165),"")</f>
        <v>6400</v>
      </c>
      <c r="M165" s="19" t="str">
        <f t="array" ref="M165">IFERROR(INDEX(Sales!$M$7:$M$1506,$O165),"")</f>
        <v>Paid</v>
      </c>
      <c r="O165" s="111" t="str">
        <f>IFERROR(MATCH(TEXT($B$3,"yyyymm")&amp;"-"&amp;(ROW()-4),Sales!$Y$7:$Y$1506,0),"")</f>
        <v/>
      </c>
    </row>
    <row r="166" ht="14.25" customHeight="1">
      <c r="A166" s="110">
        <f t="array" ref="A166">IFERROR(INDEX(Sales!$A$7:$A$1506,$O166),"")</f>
        <v>46219</v>
      </c>
      <c r="B166" s="19" t="str">
        <f t="array" ref="B166">IFERROR(INDEX(Sales!$B$7:$B$1506,$O166),"")</f>
        <v>Sale</v>
      </c>
      <c r="C166" s="19" t="str">
        <f t="array" ref="C166">IFERROR(INDEX(Sales!$C$7:$C$1506,$O166),"")</f>
        <v>Online</v>
      </c>
      <c r="D166" s="19" t="str">
        <f t="array" ref="D166">IFERROR(INDEX(Sales!$D$7:$D$1506,$O166),"")</f>
        <v>Samreen islam</v>
      </c>
      <c r="E166" s="19" t="str">
        <f t="array" ref="E166">IFERROR(IF(INDEX(Sales!$E$7:$E$1506,$O166)="","",INDEX(Sales!$E$7:$E$1506,$O166)),"")</f>
        <v>PAWF-260715-04EAA</v>
      </c>
      <c r="F166" s="19" t="str">
        <f t="array" ref="F166">IFERROR(INDEX(Sales!$F$7:$F$1506,$O166),"")</f>
        <v>FD-DRY-SMHRT-15KG-001</v>
      </c>
      <c r="G166" s="19" t="str">
        <f t="array" ref="G166">IFERROR(INDEX(Sales!$G$7:$G$1506,$O166),"")</f>
        <v>Smart Heart Adult Cat Food Chicken &amp; Tuna [15kg]</v>
      </c>
      <c r="H166" s="96">
        <f t="array" ref="H166">IFERROR(INDEX(Sales!$H$7:$H$1506,$O166),"")</f>
        <v>1</v>
      </c>
      <c r="I166" s="96">
        <f t="array" ref="I166">IFERROR(INDEX(Sales!$I$7:$I$1506,$O166),"")</f>
        <v>6400</v>
      </c>
      <c r="J166" s="96">
        <f t="array" ref="J166">IFERROR(INDEX(Sales!$J$7:$J$1506,$O166),"")</f>
        <v>6700</v>
      </c>
      <c r="K166" s="96">
        <f t="array" ref="K166">IFERROR(INDEX(Sales!$K$7:$K$1506,$O166),"")</f>
        <v>300</v>
      </c>
      <c r="L166" s="96">
        <f t="array" ref="L166">IFERROR(INDEX(Sales!$L$7:$L$1506,$O166),"")</f>
        <v>6400</v>
      </c>
      <c r="M166" s="19" t="str">
        <f t="array" ref="M166">IFERROR(INDEX(Sales!$M$7:$M$1506,$O166),"")</f>
        <v>Paid</v>
      </c>
      <c r="O166" s="111" t="str">
        <f>IFERROR(MATCH(TEXT($B$3,"yyyymm")&amp;"-"&amp;(ROW()-4),Sales!$Y$7:$Y$1506,0),"")</f>
        <v/>
      </c>
    </row>
    <row r="167" ht="14.25" customHeight="1">
      <c r="A167" s="110">
        <f t="array" ref="A167">IFERROR(INDEX(Sales!$A$7:$A$1506,$O167),"")</f>
        <v>46219</v>
      </c>
      <c r="B167" s="19" t="str">
        <f t="array" ref="B167">IFERROR(INDEX(Sales!$B$7:$B$1506,$O167),"")</f>
        <v>Sale</v>
      </c>
      <c r="C167" s="19" t="str">
        <f t="array" ref="C167">IFERROR(INDEX(Sales!$C$7:$C$1506,$O167),"")</f>
        <v>Online</v>
      </c>
      <c r="D167" s="19" t="str">
        <f t="array" ref="D167">IFERROR(INDEX(Sales!$D$7:$D$1506,$O167),"")</f>
        <v>Samreen islam</v>
      </c>
      <c r="E167" s="19" t="str">
        <f t="array" ref="E167">IFERROR(IF(INDEX(Sales!$E$7:$E$1506,$O167)="","",INDEX(Sales!$E$7:$E$1506,$O167)),"")</f>
        <v>PAWF-260715-04EAA</v>
      </c>
      <c r="F167" s="19" t="str">
        <f t="array" ref="F167">IFERROR(INDEX(Sales!$F$7:$F$1506,$O167),"")</f>
        <v>FD-DRY-SMHRT-15KG-001</v>
      </c>
      <c r="G167" s="19" t="str">
        <f t="array" ref="G167">IFERROR(INDEX(Sales!$G$7:$G$1506,$O167),"")</f>
        <v>Smart Heart Adult Cat Food Chicken &amp; Tuna [15kg]</v>
      </c>
      <c r="H167" s="96">
        <f t="array" ref="H167">IFERROR(INDEX(Sales!$H$7:$H$1506,$O167),"")</f>
        <v>1</v>
      </c>
      <c r="I167" s="96">
        <f t="array" ref="I167">IFERROR(INDEX(Sales!$I$7:$I$1506,$O167),"")</f>
        <v>6400</v>
      </c>
      <c r="J167" s="96">
        <f t="array" ref="J167">IFERROR(INDEX(Sales!$J$7:$J$1506,$O167),"")</f>
        <v>6700</v>
      </c>
      <c r="K167" s="96">
        <f t="array" ref="K167">IFERROR(INDEX(Sales!$K$7:$K$1506,$O167),"")</f>
        <v>300</v>
      </c>
      <c r="L167" s="96">
        <f t="array" ref="L167">IFERROR(INDEX(Sales!$L$7:$L$1506,$O167),"")</f>
        <v>6400</v>
      </c>
      <c r="M167" s="19" t="str">
        <f t="array" ref="M167">IFERROR(INDEX(Sales!$M$7:$M$1506,$O167),"")</f>
        <v>Paid</v>
      </c>
      <c r="O167" s="111" t="str">
        <f>IFERROR(MATCH(TEXT($B$3,"yyyymm")&amp;"-"&amp;(ROW()-4),Sales!$Y$7:$Y$1506,0),"")</f>
        <v/>
      </c>
    </row>
    <row r="168" ht="14.25" customHeight="1">
      <c r="A168" s="110">
        <f t="array" ref="A168">IFERROR(INDEX(Sales!$A$7:$A$1506,$O168),"")</f>
        <v>46219</v>
      </c>
      <c r="B168" s="19" t="str">
        <f t="array" ref="B168">IFERROR(INDEX(Sales!$B$7:$B$1506,$O168),"")</f>
        <v>Sale</v>
      </c>
      <c r="C168" s="19" t="str">
        <f t="array" ref="C168">IFERROR(INDEX(Sales!$C$7:$C$1506,$O168),"")</f>
        <v>Online</v>
      </c>
      <c r="D168" s="19" t="str">
        <f t="array" ref="D168">IFERROR(INDEX(Sales!$D$7:$D$1506,$O168),"")</f>
        <v>Samreen islam</v>
      </c>
      <c r="E168" s="19" t="str">
        <f t="array" ref="E168">IFERROR(IF(INDEX(Sales!$E$7:$E$1506,$O168)="","",INDEX(Sales!$E$7:$E$1506,$O168)),"")</f>
        <v>PAWF-260715-04EAA</v>
      </c>
      <c r="F168" s="19" t="str">
        <f t="array" ref="F168">IFERROR(INDEX(Sales!$F$7:$F$1506,$O168),"")</f>
        <v>FD-DRY-SMHRT-15KG-001</v>
      </c>
      <c r="G168" s="19" t="str">
        <f t="array" ref="G168">IFERROR(INDEX(Sales!$G$7:$G$1506,$O168),"")</f>
        <v>Smart Heart Adult Cat Food Chicken &amp; Tuna [15kg]</v>
      </c>
      <c r="H168" s="96">
        <f t="array" ref="H168">IFERROR(INDEX(Sales!$H$7:$H$1506,$O168),"")</f>
        <v>1</v>
      </c>
      <c r="I168" s="96">
        <f t="array" ref="I168">IFERROR(INDEX(Sales!$I$7:$I$1506,$O168),"")</f>
        <v>6400</v>
      </c>
      <c r="J168" s="96">
        <f t="array" ref="J168">IFERROR(INDEX(Sales!$J$7:$J$1506,$O168),"")</f>
        <v>6700</v>
      </c>
      <c r="K168" s="96">
        <f t="array" ref="K168">IFERROR(INDEX(Sales!$K$7:$K$1506,$O168),"")</f>
        <v>300</v>
      </c>
      <c r="L168" s="96">
        <f t="array" ref="L168">IFERROR(INDEX(Sales!$L$7:$L$1506,$O168),"")</f>
        <v>6400</v>
      </c>
      <c r="M168" s="19" t="str">
        <f t="array" ref="M168">IFERROR(INDEX(Sales!$M$7:$M$1506,$O168),"")</f>
        <v>Paid</v>
      </c>
      <c r="O168" s="111" t="str">
        <f>IFERROR(MATCH(TEXT($B$3,"yyyymm")&amp;"-"&amp;(ROW()-4),Sales!$Y$7:$Y$1506,0),"")</f>
        <v/>
      </c>
    </row>
    <row r="169" ht="14.25" customHeight="1">
      <c r="A169" s="110">
        <f t="array" ref="A169">IFERROR(INDEX(Sales!$A$7:$A$1506,$O169),"")</f>
        <v>46219</v>
      </c>
      <c r="B169" s="19" t="str">
        <f t="array" ref="B169">IFERROR(INDEX(Sales!$B$7:$B$1506,$O169),"")</f>
        <v>Sale</v>
      </c>
      <c r="C169" s="19" t="str">
        <f t="array" ref="C169">IFERROR(INDEX(Sales!$C$7:$C$1506,$O169),"")</f>
        <v>Online</v>
      </c>
      <c r="D169" s="19" t="str">
        <f t="array" ref="D169">IFERROR(INDEX(Sales!$D$7:$D$1506,$O169),"")</f>
        <v>Samreen islam</v>
      </c>
      <c r="E169" s="19" t="str">
        <f t="array" ref="E169">IFERROR(IF(INDEX(Sales!$E$7:$E$1506,$O169)="","",INDEX(Sales!$E$7:$E$1506,$O169)),"")</f>
        <v>PAWF-260715-04EAA</v>
      </c>
      <c r="F169" s="19" t="str">
        <f t="array" ref="F169">IFERROR(INDEX(Sales!$F$7:$F$1506,$O169),"")</f>
        <v>FD-DRY-SMHRT-15KG-001</v>
      </c>
      <c r="G169" s="19" t="str">
        <f t="array" ref="G169">IFERROR(INDEX(Sales!$G$7:$G$1506,$O169),"")</f>
        <v>Smart Heart Adult Cat Food Chicken &amp; Tuna [15kg]</v>
      </c>
      <c r="H169" s="96">
        <f t="array" ref="H169">IFERROR(INDEX(Sales!$H$7:$H$1506,$O169),"")</f>
        <v>1</v>
      </c>
      <c r="I169" s="96">
        <f t="array" ref="I169">IFERROR(INDEX(Sales!$I$7:$I$1506,$O169),"")</f>
        <v>6400</v>
      </c>
      <c r="J169" s="96">
        <f t="array" ref="J169">IFERROR(INDEX(Sales!$J$7:$J$1506,$O169),"")</f>
        <v>6700</v>
      </c>
      <c r="K169" s="96">
        <f t="array" ref="K169">IFERROR(INDEX(Sales!$K$7:$K$1506,$O169),"")</f>
        <v>300</v>
      </c>
      <c r="L169" s="96">
        <f t="array" ref="L169">IFERROR(INDEX(Sales!$L$7:$L$1506,$O169),"")</f>
        <v>6400</v>
      </c>
      <c r="M169" s="19" t="str">
        <f t="array" ref="M169">IFERROR(INDEX(Sales!$M$7:$M$1506,$O169),"")</f>
        <v>Paid</v>
      </c>
      <c r="O169" s="111" t="str">
        <f>IFERROR(MATCH(TEXT($B$3,"yyyymm")&amp;"-"&amp;(ROW()-4),Sales!$Y$7:$Y$1506,0),"")</f>
        <v/>
      </c>
    </row>
    <row r="170" ht="14.25" customHeight="1">
      <c r="A170" s="110">
        <f t="array" ref="A170">IFERROR(INDEX(Sales!$A$7:$A$1506,$O170),"")</f>
        <v>46219</v>
      </c>
      <c r="B170" s="19" t="str">
        <f t="array" ref="B170">IFERROR(INDEX(Sales!$B$7:$B$1506,$O170),"")</f>
        <v>Sale</v>
      </c>
      <c r="C170" s="19" t="str">
        <f t="array" ref="C170">IFERROR(INDEX(Sales!$C$7:$C$1506,$O170),"")</f>
        <v>Online</v>
      </c>
      <c r="D170" s="19" t="str">
        <f t="array" ref="D170">IFERROR(INDEX(Sales!$D$7:$D$1506,$O170),"")</f>
        <v>Samreen islam</v>
      </c>
      <c r="E170" s="19" t="str">
        <f t="array" ref="E170">IFERROR(IF(INDEX(Sales!$E$7:$E$1506,$O170)="","",INDEX(Sales!$E$7:$E$1506,$O170)),"")</f>
        <v>PAWF-260715-04EAA</v>
      </c>
      <c r="F170" s="19" t="str">
        <f t="array" ref="F170">IFERROR(INDEX(Sales!$F$7:$F$1506,$O170),"")</f>
        <v>FD-DRY-SMHRT-15KG-001</v>
      </c>
      <c r="G170" s="19" t="str">
        <f t="array" ref="G170">IFERROR(INDEX(Sales!$G$7:$G$1506,$O170),"")</f>
        <v>Smart Heart Adult Cat Food Chicken &amp; Tuna [15kg]</v>
      </c>
      <c r="H170" s="96">
        <f t="array" ref="H170">IFERROR(INDEX(Sales!$H$7:$H$1506,$O170),"")</f>
        <v>1</v>
      </c>
      <c r="I170" s="96">
        <f t="array" ref="I170">IFERROR(INDEX(Sales!$I$7:$I$1506,$O170),"")</f>
        <v>6400</v>
      </c>
      <c r="J170" s="96">
        <f t="array" ref="J170">IFERROR(INDEX(Sales!$J$7:$J$1506,$O170),"")</f>
        <v>6700</v>
      </c>
      <c r="K170" s="96">
        <f t="array" ref="K170">IFERROR(INDEX(Sales!$K$7:$K$1506,$O170),"")</f>
        <v>300</v>
      </c>
      <c r="L170" s="96">
        <f t="array" ref="L170">IFERROR(INDEX(Sales!$L$7:$L$1506,$O170),"")</f>
        <v>6400</v>
      </c>
      <c r="M170" s="19" t="str">
        <f t="array" ref="M170">IFERROR(INDEX(Sales!$M$7:$M$1506,$O170),"")</f>
        <v>Paid</v>
      </c>
      <c r="O170" s="111" t="str">
        <f>IFERROR(MATCH(TEXT($B$3,"yyyymm")&amp;"-"&amp;(ROW()-4),Sales!$Y$7:$Y$1506,0),"")</f>
        <v/>
      </c>
    </row>
    <row r="171" ht="14.25" customHeight="1">
      <c r="A171" s="110">
        <f t="array" ref="A171">IFERROR(INDEX(Sales!$A$7:$A$1506,$O171),"")</f>
        <v>46219</v>
      </c>
      <c r="B171" s="19" t="str">
        <f t="array" ref="B171">IFERROR(INDEX(Sales!$B$7:$B$1506,$O171),"")</f>
        <v>Sale</v>
      </c>
      <c r="C171" s="19" t="str">
        <f t="array" ref="C171">IFERROR(INDEX(Sales!$C$7:$C$1506,$O171),"")</f>
        <v>Online</v>
      </c>
      <c r="D171" s="19" t="str">
        <f t="array" ref="D171">IFERROR(INDEX(Sales!$D$7:$D$1506,$O171),"")</f>
        <v>Samreen islam</v>
      </c>
      <c r="E171" s="19" t="str">
        <f t="array" ref="E171">IFERROR(IF(INDEX(Sales!$E$7:$E$1506,$O171)="","",INDEX(Sales!$E$7:$E$1506,$O171)),"")</f>
        <v>PAWF-260715-04EAA</v>
      </c>
      <c r="F171" s="19" t="str">
        <f t="array" ref="F171">IFERROR(INDEX(Sales!$F$7:$F$1506,$O171),"")</f>
        <v>FD-DRY-SMHRT-15KG-001</v>
      </c>
      <c r="G171" s="19" t="str">
        <f t="array" ref="G171">IFERROR(INDEX(Sales!$G$7:$G$1506,$O171),"")</f>
        <v>Smart Heart Adult Cat Food Chicken &amp; Tuna [15kg]</v>
      </c>
      <c r="H171" s="96">
        <f t="array" ref="H171">IFERROR(INDEX(Sales!$H$7:$H$1506,$O171),"")</f>
        <v>1</v>
      </c>
      <c r="I171" s="96">
        <f t="array" ref="I171">IFERROR(INDEX(Sales!$I$7:$I$1506,$O171),"")</f>
        <v>6400</v>
      </c>
      <c r="J171" s="96">
        <f t="array" ref="J171">IFERROR(INDEX(Sales!$J$7:$J$1506,$O171),"")</f>
        <v>6700</v>
      </c>
      <c r="K171" s="96">
        <f t="array" ref="K171">IFERROR(INDEX(Sales!$K$7:$K$1506,$O171),"")</f>
        <v>300</v>
      </c>
      <c r="L171" s="96">
        <f t="array" ref="L171">IFERROR(INDEX(Sales!$L$7:$L$1506,$O171),"")</f>
        <v>6400</v>
      </c>
      <c r="M171" s="19" t="str">
        <f t="array" ref="M171">IFERROR(INDEX(Sales!$M$7:$M$1506,$O171),"")</f>
        <v>Paid</v>
      </c>
      <c r="O171" s="111" t="str">
        <f>IFERROR(MATCH(TEXT($B$3,"yyyymm")&amp;"-"&amp;(ROW()-4),Sales!$Y$7:$Y$1506,0),"")</f>
        <v/>
      </c>
    </row>
    <row r="172" ht="14.25" customHeight="1">
      <c r="A172" s="110">
        <f t="array" ref="A172">IFERROR(INDEX(Sales!$A$7:$A$1506,$O172),"")</f>
        <v>46219</v>
      </c>
      <c r="B172" s="19" t="str">
        <f t="array" ref="B172">IFERROR(INDEX(Sales!$B$7:$B$1506,$O172),"")</f>
        <v>Sale</v>
      </c>
      <c r="C172" s="19" t="str">
        <f t="array" ref="C172">IFERROR(INDEX(Sales!$C$7:$C$1506,$O172),"")</f>
        <v>Online</v>
      </c>
      <c r="D172" s="19" t="str">
        <f t="array" ref="D172">IFERROR(INDEX(Sales!$D$7:$D$1506,$O172),"")</f>
        <v>Samreen islam</v>
      </c>
      <c r="E172" s="19" t="str">
        <f t="array" ref="E172">IFERROR(IF(INDEX(Sales!$E$7:$E$1506,$O172)="","",INDEX(Sales!$E$7:$E$1506,$O172)),"")</f>
        <v>PAWF-260715-04EAA</v>
      </c>
      <c r="F172" s="19" t="str">
        <f t="array" ref="F172">IFERROR(INDEX(Sales!$F$7:$F$1506,$O172),"")</f>
        <v>FD-DRY-SMHRT-15KG-001</v>
      </c>
      <c r="G172" s="19" t="str">
        <f t="array" ref="G172">IFERROR(INDEX(Sales!$G$7:$G$1506,$O172),"")</f>
        <v>Smart Heart Adult Cat Food Chicken &amp; Tuna [15kg]</v>
      </c>
      <c r="H172" s="96">
        <f t="array" ref="H172">IFERROR(INDEX(Sales!$H$7:$H$1506,$O172),"")</f>
        <v>1</v>
      </c>
      <c r="I172" s="96">
        <f t="array" ref="I172">IFERROR(INDEX(Sales!$I$7:$I$1506,$O172),"")</f>
        <v>6400</v>
      </c>
      <c r="J172" s="96">
        <f t="array" ref="J172">IFERROR(INDEX(Sales!$J$7:$J$1506,$O172),"")</f>
        <v>6700</v>
      </c>
      <c r="K172" s="96">
        <f t="array" ref="K172">IFERROR(INDEX(Sales!$K$7:$K$1506,$O172),"")</f>
        <v>300</v>
      </c>
      <c r="L172" s="96">
        <f t="array" ref="L172">IFERROR(INDEX(Sales!$L$7:$L$1506,$O172),"")</f>
        <v>6400</v>
      </c>
      <c r="M172" s="19" t="str">
        <f t="array" ref="M172">IFERROR(INDEX(Sales!$M$7:$M$1506,$O172),"")</f>
        <v>Paid</v>
      </c>
      <c r="O172" s="111" t="str">
        <f>IFERROR(MATCH(TEXT($B$3,"yyyymm")&amp;"-"&amp;(ROW()-4),Sales!$Y$7:$Y$1506,0),"")</f>
        <v/>
      </c>
    </row>
    <row r="173" ht="14.25" customHeight="1">
      <c r="A173" s="110">
        <f t="array" ref="A173">IFERROR(INDEX(Sales!$A$7:$A$1506,$O173),"")</f>
        <v>46219</v>
      </c>
      <c r="B173" s="19" t="str">
        <f t="array" ref="B173">IFERROR(INDEX(Sales!$B$7:$B$1506,$O173),"")</f>
        <v>Sale</v>
      </c>
      <c r="C173" s="19" t="str">
        <f t="array" ref="C173">IFERROR(INDEX(Sales!$C$7:$C$1506,$O173),"")</f>
        <v>Online</v>
      </c>
      <c r="D173" s="19" t="str">
        <f t="array" ref="D173">IFERROR(INDEX(Sales!$D$7:$D$1506,$O173),"")</f>
        <v>Samreen islam</v>
      </c>
      <c r="E173" s="19" t="str">
        <f t="array" ref="E173">IFERROR(IF(INDEX(Sales!$E$7:$E$1506,$O173)="","",INDEX(Sales!$E$7:$E$1506,$O173)),"")</f>
        <v>PAWF-260715-04EAA</v>
      </c>
      <c r="F173" s="19" t="str">
        <f t="array" ref="F173">IFERROR(INDEX(Sales!$F$7:$F$1506,$O173),"")</f>
        <v>FD-DRY-SMHRT-15KG-001</v>
      </c>
      <c r="G173" s="19" t="str">
        <f t="array" ref="G173">IFERROR(INDEX(Sales!$G$7:$G$1506,$O173),"")</f>
        <v>Smart Heart Adult Cat Food Chicken &amp; Tuna [15kg]</v>
      </c>
      <c r="H173" s="96">
        <f t="array" ref="H173">IFERROR(INDEX(Sales!$H$7:$H$1506,$O173),"")</f>
        <v>1</v>
      </c>
      <c r="I173" s="96">
        <f t="array" ref="I173">IFERROR(INDEX(Sales!$I$7:$I$1506,$O173),"")</f>
        <v>6400</v>
      </c>
      <c r="J173" s="96">
        <f t="array" ref="J173">IFERROR(INDEX(Sales!$J$7:$J$1506,$O173),"")</f>
        <v>6700</v>
      </c>
      <c r="K173" s="96">
        <f t="array" ref="K173">IFERROR(INDEX(Sales!$K$7:$K$1506,$O173),"")</f>
        <v>300</v>
      </c>
      <c r="L173" s="96">
        <f t="array" ref="L173">IFERROR(INDEX(Sales!$L$7:$L$1506,$O173),"")</f>
        <v>6400</v>
      </c>
      <c r="M173" s="19" t="str">
        <f t="array" ref="M173">IFERROR(INDEX(Sales!$M$7:$M$1506,$O173),"")</f>
        <v>Paid</v>
      </c>
      <c r="O173" s="111" t="str">
        <f>IFERROR(MATCH(TEXT($B$3,"yyyymm")&amp;"-"&amp;(ROW()-4),Sales!$Y$7:$Y$1506,0),"")</f>
        <v/>
      </c>
    </row>
    <row r="174" ht="14.25" customHeight="1">
      <c r="A174" s="110">
        <f t="array" ref="A174">IFERROR(INDEX(Sales!$A$7:$A$1506,$O174),"")</f>
        <v>46219</v>
      </c>
      <c r="B174" s="19" t="str">
        <f t="array" ref="B174">IFERROR(INDEX(Sales!$B$7:$B$1506,$O174),"")</f>
        <v>Sale</v>
      </c>
      <c r="C174" s="19" t="str">
        <f t="array" ref="C174">IFERROR(INDEX(Sales!$C$7:$C$1506,$O174),"")</f>
        <v>Online</v>
      </c>
      <c r="D174" s="19" t="str">
        <f t="array" ref="D174">IFERROR(INDEX(Sales!$D$7:$D$1506,$O174),"")</f>
        <v>Samreen islam</v>
      </c>
      <c r="E174" s="19" t="str">
        <f t="array" ref="E174">IFERROR(IF(INDEX(Sales!$E$7:$E$1506,$O174)="","",INDEX(Sales!$E$7:$E$1506,$O174)),"")</f>
        <v>PAWF-260715-04EAA</v>
      </c>
      <c r="F174" s="19" t="str">
        <f t="array" ref="F174">IFERROR(INDEX(Sales!$F$7:$F$1506,$O174),"")</f>
        <v>FD-DRY-SMHRT-15KG-001</v>
      </c>
      <c r="G174" s="19" t="str">
        <f t="array" ref="G174">IFERROR(INDEX(Sales!$G$7:$G$1506,$O174),"")</f>
        <v>Smart Heart Adult Cat Food Chicken &amp; Tuna [15kg]</v>
      </c>
      <c r="H174" s="96">
        <f t="array" ref="H174">IFERROR(INDEX(Sales!$H$7:$H$1506,$O174),"")</f>
        <v>1</v>
      </c>
      <c r="I174" s="96">
        <f t="array" ref="I174">IFERROR(INDEX(Sales!$I$7:$I$1506,$O174),"")</f>
        <v>6400</v>
      </c>
      <c r="J174" s="96">
        <f t="array" ref="J174">IFERROR(INDEX(Sales!$J$7:$J$1506,$O174),"")</f>
        <v>6700</v>
      </c>
      <c r="K174" s="96">
        <f t="array" ref="K174">IFERROR(INDEX(Sales!$K$7:$K$1506,$O174),"")</f>
        <v>300</v>
      </c>
      <c r="L174" s="96">
        <f t="array" ref="L174">IFERROR(INDEX(Sales!$L$7:$L$1506,$O174),"")</f>
        <v>6400</v>
      </c>
      <c r="M174" s="19" t="str">
        <f t="array" ref="M174">IFERROR(INDEX(Sales!$M$7:$M$1506,$O174),"")</f>
        <v>Paid</v>
      </c>
      <c r="O174" s="111" t="str">
        <f>IFERROR(MATCH(TEXT($B$3,"yyyymm")&amp;"-"&amp;(ROW()-4),Sales!$Y$7:$Y$1506,0),"")</f>
        <v/>
      </c>
    </row>
    <row r="175" ht="14.25" customHeight="1">
      <c r="A175" s="110">
        <f t="array" ref="A175">IFERROR(INDEX(Sales!$A$7:$A$1506,$O175),"")</f>
        <v>46219</v>
      </c>
      <c r="B175" s="19" t="str">
        <f t="array" ref="B175">IFERROR(INDEX(Sales!$B$7:$B$1506,$O175),"")</f>
        <v>Sale</v>
      </c>
      <c r="C175" s="19" t="str">
        <f t="array" ref="C175">IFERROR(INDEX(Sales!$C$7:$C$1506,$O175),"")</f>
        <v>Online</v>
      </c>
      <c r="D175" s="19" t="str">
        <f t="array" ref="D175">IFERROR(INDEX(Sales!$D$7:$D$1506,$O175),"")</f>
        <v>Samreen islam</v>
      </c>
      <c r="E175" s="19" t="str">
        <f t="array" ref="E175">IFERROR(IF(INDEX(Sales!$E$7:$E$1506,$O175)="","",INDEX(Sales!$E$7:$E$1506,$O175)),"")</f>
        <v>PAWF-260715-04EAA</v>
      </c>
      <c r="F175" s="19" t="str">
        <f t="array" ref="F175">IFERROR(INDEX(Sales!$F$7:$F$1506,$O175),"")</f>
        <v>FD-DRY-SMHRT-15KG-001</v>
      </c>
      <c r="G175" s="19" t="str">
        <f t="array" ref="G175">IFERROR(INDEX(Sales!$G$7:$G$1506,$O175),"")</f>
        <v>Smart Heart Adult Cat Food Chicken &amp; Tuna [15kg]</v>
      </c>
      <c r="H175" s="96">
        <f t="array" ref="H175">IFERROR(INDEX(Sales!$H$7:$H$1506,$O175),"")</f>
        <v>1</v>
      </c>
      <c r="I175" s="96">
        <f t="array" ref="I175">IFERROR(INDEX(Sales!$I$7:$I$1506,$O175),"")</f>
        <v>6400</v>
      </c>
      <c r="J175" s="96">
        <f t="array" ref="J175">IFERROR(INDEX(Sales!$J$7:$J$1506,$O175),"")</f>
        <v>6700</v>
      </c>
      <c r="K175" s="96">
        <f t="array" ref="K175">IFERROR(INDEX(Sales!$K$7:$K$1506,$O175),"")</f>
        <v>300</v>
      </c>
      <c r="L175" s="96">
        <f t="array" ref="L175">IFERROR(INDEX(Sales!$L$7:$L$1506,$O175),"")</f>
        <v>6400</v>
      </c>
      <c r="M175" s="19" t="str">
        <f t="array" ref="M175">IFERROR(INDEX(Sales!$M$7:$M$1506,$O175),"")</f>
        <v>Paid</v>
      </c>
      <c r="O175" s="111" t="str">
        <f>IFERROR(MATCH(TEXT($B$3,"yyyymm")&amp;"-"&amp;(ROW()-4),Sales!$Y$7:$Y$1506,0),"")</f>
        <v/>
      </c>
    </row>
    <row r="176" ht="14.25" customHeight="1">
      <c r="A176" s="110">
        <f t="array" ref="A176">IFERROR(INDEX(Sales!$A$7:$A$1506,$O176),"")</f>
        <v>46219</v>
      </c>
      <c r="B176" s="19" t="str">
        <f t="array" ref="B176">IFERROR(INDEX(Sales!$B$7:$B$1506,$O176),"")</f>
        <v>Sale</v>
      </c>
      <c r="C176" s="19" t="str">
        <f t="array" ref="C176">IFERROR(INDEX(Sales!$C$7:$C$1506,$O176),"")</f>
        <v>Online</v>
      </c>
      <c r="D176" s="19" t="str">
        <f t="array" ref="D176">IFERROR(INDEX(Sales!$D$7:$D$1506,$O176),"")</f>
        <v>Samreen islam</v>
      </c>
      <c r="E176" s="19" t="str">
        <f t="array" ref="E176">IFERROR(IF(INDEX(Sales!$E$7:$E$1506,$O176)="","",INDEX(Sales!$E$7:$E$1506,$O176)),"")</f>
        <v>PAWF-260715-04EAA</v>
      </c>
      <c r="F176" s="19" t="str">
        <f t="array" ref="F176">IFERROR(INDEX(Sales!$F$7:$F$1506,$O176),"")</f>
        <v>FD-DRY-SMHRT-15KG-001</v>
      </c>
      <c r="G176" s="19" t="str">
        <f t="array" ref="G176">IFERROR(INDEX(Sales!$G$7:$G$1506,$O176),"")</f>
        <v>Smart Heart Adult Cat Food Chicken &amp; Tuna [15kg]</v>
      </c>
      <c r="H176" s="96">
        <f t="array" ref="H176">IFERROR(INDEX(Sales!$H$7:$H$1506,$O176),"")</f>
        <v>1</v>
      </c>
      <c r="I176" s="96">
        <f t="array" ref="I176">IFERROR(INDEX(Sales!$I$7:$I$1506,$O176),"")</f>
        <v>6400</v>
      </c>
      <c r="J176" s="96">
        <f t="array" ref="J176">IFERROR(INDEX(Sales!$J$7:$J$1506,$O176),"")</f>
        <v>6700</v>
      </c>
      <c r="K176" s="96">
        <f t="array" ref="K176">IFERROR(INDEX(Sales!$K$7:$K$1506,$O176),"")</f>
        <v>300</v>
      </c>
      <c r="L176" s="96">
        <f t="array" ref="L176">IFERROR(INDEX(Sales!$L$7:$L$1506,$O176),"")</f>
        <v>6400</v>
      </c>
      <c r="M176" s="19" t="str">
        <f t="array" ref="M176">IFERROR(INDEX(Sales!$M$7:$M$1506,$O176),"")</f>
        <v>Paid</v>
      </c>
      <c r="O176" s="111" t="str">
        <f>IFERROR(MATCH(TEXT($B$3,"yyyymm")&amp;"-"&amp;(ROW()-4),Sales!$Y$7:$Y$1506,0),"")</f>
        <v/>
      </c>
    </row>
    <row r="177" ht="14.25" customHeight="1">
      <c r="A177" s="110">
        <f t="array" ref="A177">IFERROR(INDEX(Sales!$A$7:$A$1506,$O177),"")</f>
        <v>46219</v>
      </c>
      <c r="B177" s="19" t="str">
        <f t="array" ref="B177">IFERROR(INDEX(Sales!$B$7:$B$1506,$O177),"")</f>
        <v>Sale</v>
      </c>
      <c r="C177" s="19" t="str">
        <f t="array" ref="C177">IFERROR(INDEX(Sales!$C$7:$C$1506,$O177),"")</f>
        <v>Online</v>
      </c>
      <c r="D177" s="19" t="str">
        <f t="array" ref="D177">IFERROR(INDEX(Sales!$D$7:$D$1506,$O177),"")</f>
        <v>Samreen islam</v>
      </c>
      <c r="E177" s="19" t="str">
        <f t="array" ref="E177">IFERROR(IF(INDEX(Sales!$E$7:$E$1506,$O177)="","",INDEX(Sales!$E$7:$E$1506,$O177)),"")</f>
        <v>PAWF-260715-04EAA</v>
      </c>
      <c r="F177" s="19" t="str">
        <f t="array" ref="F177">IFERROR(INDEX(Sales!$F$7:$F$1506,$O177),"")</f>
        <v>FD-DRY-SMHRT-15KG-001</v>
      </c>
      <c r="G177" s="19" t="str">
        <f t="array" ref="G177">IFERROR(INDEX(Sales!$G$7:$G$1506,$O177),"")</f>
        <v>Smart Heart Adult Cat Food Chicken &amp; Tuna [15kg]</v>
      </c>
      <c r="H177" s="96">
        <f t="array" ref="H177">IFERROR(INDEX(Sales!$H$7:$H$1506,$O177),"")</f>
        <v>1</v>
      </c>
      <c r="I177" s="96">
        <f t="array" ref="I177">IFERROR(INDEX(Sales!$I$7:$I$1506,$O177),"")</f>
        <v>6400</v>
      </c>
      <c r="J177" s="96">
        <f t="array" ref="J177">IFERROR(INDEX(Sales!$J$7:$J$1506,$O177),"")</f>
        <v>6700</v>
      </c>
      <c r="K177" s="96">
        <f t="array" ref="K177">IFERROR(INDEX(Sales!$K$7:$K$1506,$O177),"")</f>
        <v>300</v>
      </c>
      <c r="L177" s="96">
        <f t="array" ref="L177">IFERROR(INDEX(Sales!$L$7:$L$1506,$O177),"")</f>
        <v>6400</v>
      </c>
      <c r="M177" s="19" t="str">
        <f t="array" ref="M177">IFERROR(INDEX(Sales!$M$7:$M$1506,$O177),"")</f>
        <v>Paid</v>
      </c>
      <c r="O177" s="111" t="str">
        <f>IFERROR(MATCH(TEXT($B$3,"yyyymm")&amp;"-"&amp;(ROW()-4),Sales!$Y$7:$Y$1506,0),"")</f>
        <v/>
      </c>
    </row>
    <row r="178" ht="14.25" customHeight="1">
      <c r="A178" s="110">
        <f t="array" ref="A178">IFERROR(INDEX(Sales!$A$7:$A$1506,$O178),"")</f>
        <v>46219</v>
      </c>
      <c r="B178" s="19" t="str">
        <f t="array" ref="B178">IFERROR(INDEX(Sales!$B$7:$B$1506,$O178),"")</f>
        <v>Sale</v>
      </c>
      <c r="C178" s="19" t="str">
        <f t="array" ref="C178">IFERROR(INDEX(Sales!$C$7:$C$1506,$O178),"")</f>
        <v>Online</v>
      </c>
      <c r="D178" s="19" t="str">
        <f t="array" ref="D178">IFERROR(INDEX(Sales!$D$7:$D$1506,$O178),"")</f>
        <v>Samreen islam</v>
      </c>
      <c r="E178" s="19" t="str">
        <f t="array" ref="E178">IFERROR(IF(INDEX(Sales!$E$7:$E$1506,$O178)="","",INDEX(Sales!$E$7:$E$1506,$O178)),"")</f>
        <v>PAWF-260715-04EAA</v>
      </c>
      <c r="F178" s="19" t="str">
        <f t="array" ref="F178">IFERROR(INDEX(Sales!$F$7:$F$1506,$O178),"")</f>
        <v>FD-DRY-SMHRT-15KG-001</v>
      </c>
      <c r="G178" s="19" t="str">
        <f t="array" ref="G178">IFERROR(INDEX(Sales!$G$7:$G$1506,$O178),"")</f>
        <v>Smart Heart Adult Cat Food Chicken &amp; Tuna [15kg]</v>
      </c>
      <c r="H178" s="96">
        <f t="array" ref="H178">IFERROR(INDEX(Sales!$H$7:$H$1506,$O178),"")</f>
        <v>1</v>
      </c>
      <c r="I178" s="96">
        <f t="array" ref="I178">IFERROR(INDEX(Sales!$I$7:$I$1506,$O178),"")</f>
        <v>6400</v>
      </c>
      <c r="J178" s="96">
        <f t="array" ref="J178">IFERROR(INDEX(Sales!$J$7:$J$1506,$O178),"")</f>
        <v>6700</v>
      </c>
      <c r="K178" s="96">
        <f t="array" ref="K178">IFERROR(INDEX(Sales!$K$7:$K$1506,$O178),"")</f>
        <v>300</v>
      </c>
      <c r="L178" s="96">
        <f t="array" ref="L178">IFERROR(INDEX(Sales!$L$7:$L$1506,$O178),"")</f>
        <v>6400</v>
      </c>
      <c r="M178" s="19" t="str">
        <f t="array" ref="M178">IFERROR(INDEX(Sales!$M$7:$M$1506,$O178),"")</f>
        <v>Paid</v>
      </c>
      <c r="O178" s="111" t="str">
        <f>IFERROR(MATCH(TEXT($B$3,"yyyymm")&amp;"-"&amp;(ROW()-4),Sales!$Y$7:$Y$1506,0),"")</f>
        <v/>
      </c>
    </row>
    <row r="179" ht="14.25" customHeight="1">
      <c r="A179" s="110">
        <f t="array" ref="A179">IFERROR(INDEX(Sales!$A$7:$A$1506,$O179),"")</f>
        <v>46219</v>
      </c>
      <c r="B179" s="19" t="str">
        <f t="array" ref="B179">IFERROR(INDEX(Sales!$B$7:$B$1506,$O179),"")</f>
        <v>Sale</v>
      </c>
      <c r="C179" s="19" t="str">
        <f t="array" ref="C179">IFERROR(INDEX(Sales!$C$7:$C$1506,$O179),"")</f>
        <v>Online</v>
      </c>
      <c r="D179" s="19" t="str">
        <f t="array" ref="D179">IFERROR(INDEX(Sales!$D$7:$D$1506,$O179),"")</f>
        <v>Samreen islam</v>
      </c>
      <c r="E179" s="19" t="str">
        <f t="array" ref="E179">IFERROR(IF(INDEX(Sales!$E$7:$E$1506,$O179)="","",INDEX(Sales!$E$7:$E$1506,$O179)),"")</f>
        <v>PAWF-260715-04EAA</v>
      </c>
      <c r="F179" s="19" t="str">
        <f t="array" ref="F179">IFERROR(INDEX(Sales!$F$7:$F$1506,$O179),"")</f>
        <v>FD-DRY-SMHRT-15KG-001</v>
      </c>
      <c r="G179" s="19" t="str">
        <f t="array" ref="G179">IFERROR(INDEX(Sales!$G$7:$G$1506,$O179),"")</f>
        <v>Smart Heart Adult Cat Food Chicken &amp; Tuna [15kg]</v>
      </c>
      <c r="H179" s="96">
        <f t="array" ref="H179">IFERROR(INDEX(Sales!$H$7:$H$1506,$O179),"")</f>
        <v>1</v>
      </c>
      <c r="I179" s="96">
        <f t="array" ref="I179">IFERROR(INDEX(Sales!$I$7:$I$1506,$O179),"")</f>
        <v>6400</v>
      </c>
      <c r="J179" s="96">
        <f t="array" ref="J179">IFERROR(INDEX(Sales!$J$7:$J$1506,$O179),"")</f>
        <v>6700</v>
      </c>
      <c r="K179" s="96">
        <f t="array" ref="K179">IFERROR(INDEX(Sales!$K$7:$K$1506,$O179),"")</f>
        <v>300</v>
      </c>
      <c r="L179" s="96">
        <f t="array" ref="L179">IFERROR(INDEX(Sales!$L$7:$L$1506,$O179),"")</f>
        <v>6400</v>
      </c>
      <c r="M179" s="19" t="str">
        <f t="array" ref="M179">IFERROR(INDEX(Sales!$M$7:$M$1506,$O179),"")</f>
        <v>Paid</v>
      </c>
      <c r="O179" s="111" t="str">
        <f>IFERROR(MATCH(TEXT($B$3,"yyyymm")&amp;"-"&amp;(ROW()-4),Sales!$Y$7:$Y$1506,0),"")</f>
        <v/>
      </c>
    </row>
    <row r="180" ht="14.25" customHeight="1">
      <c r="A180" s="110">
        <f t="array" ref="A180">IFERROR(INDEX(Sales!$A$7:$A$1506,$O180),"")</f>
        <v>46219</v>
      </c>
      <c r="B180" s="19" t="str">
        <f t="array" ref="B180">IFERROR(INDEX(Sales!$B$7:$B$1506,$O180),"")</f>
        <v>Sale</v>
      </c>
      <c r="C180" s="19" t="str">
        <f t="array" ref="C180">IFERROR(INDEX(Sales!$C$7:$C$1506,$O180),"")</f>
        <v>Online</v>
      </c>
      <c r="D180" s="19" t="str">
        <f t="array" ref="D180">IFERROR(INDEX(Sales!$D$7:$D$1506,$O180),"")</f>
        <v>Samreen islam</v>
      </c>
      <c r="E180" s="19" t="str">
        <f t="array" ref="E180">IFERROR(IF(INDEX(Sales!$E$7:$E$1506,$O180)="","",INDEX(Sales!$E$7:$E$1506,$O180)),"")</f>
        <v>PAWF-260715-04EAA</v>
      </c>
      <c r="F180" s="19" t="str">
        <f t="array" ref="F180">IFERROR(INDEX(Sales!$F$7:$F$1506,$O180),"")</f>
        <v>FD-DRY-SMHRT-15KG-001</v>
      </c>
      <c r="G180" s="19" t="str">
        <f t="array" ref="G180">IFERROR(INDEX(Sales!$G$7:$G$1506,$O180),"")</f>
        <v>Smart Heart Adult Cat Food Chicken &amp; Tuna [15kg]</v>
      </c>
      <c r="H180" s="96">
        <f t="array" ref="H180">IFERROR(INDEX(Sales!$H$7:$H$1506,$O180),"")</f>
        <v>1</v>
      </c>
      <c r="I180" s="96">
        <f t="array" ref="I180">IFERROR(INDEX(Sales!$I$7:$I$1506,$O180),"")</f>
        <v>6400</v>
      </c>
      <c r="J180" s="96">
        <f t="array" ref="J180">IFERROR(INDEX(Sales!$J$7:$J$1506,$O180),"")</f>
        <v>6700</v>
      </c>
      <c r="K180" s="96">
        <f t="array" ref="K180">IFERROR(INDEX(Sales!$K$7:$K$1506,$O180),"")</f>
        <v>300</v>
      </c>
      <c r="L180" s="96">
        <f t="array" ref="L180">IFERROR(INDEX(Sales!$L$7:$L$1506,$O180),"")</f>
        <v>6400</v>
      </c>
      <c r="M180" s="19" t="str">
        <f t="array" ref="M180">IFERROR(INDEX(Sales!$M$7:$M$1506,$O180),"")</f>
        <v>Paid</v>
      </c>
      <c r="O180" s="111" t="str">
        <f>IFERROR(MATCH(TEXT($B$3,"yyyymm")&amp;"-"&amp;(ROW()-4),Sales!$Y$7:$Y$1506,0),"")</f>
        <v/>
      </c>
    </row>
    <row r="181" ht="14.25" customHeight="1">
      <c r="A181" s="110">
        <f t="array" ref="A181">IFERROR(INDEX(Sales!$A$7:$A$1506,$O181),"")</f>
        <v>46219</v>
      </c>
      <c r="B181" s="19" t="str">
        <f t="array" ref="B181">IFERROR(INDEX(Sales!$B$7:$B$1506,$O181),"")</f>
        <v>Sale</v>
      </c>
      <c r="C181" s="19" t="str">
        <f t="array" ref="C181">IFERROR(INDEX(Sales!$C$7:$C$1506,$O181),"")</f>
        <v>Online</v>
      </c>
      <c r="D181" s="19" t="str">
        <f t="array" ref="D181">IFERROR(INDEX(Sales!$D$7:$D$1506,$O181),"")</f>
        <v>Samreen islam</v>
      </c>
      <c r="E181" s="19" t="str">
        <f t="array" ref="E181">IFERROR(IF(INDEX(Sales!$E$7:$E$1506,$O181)="","",INDEX(Sales!$E$7:$E$1506,$O181)),"")</f>
        <v>PAWF-260715-04EAA</v>
      </c>
      <c r="F181" s="19" t="str">
        <f t="array" ref="F181">IFERROR(INDEX(Sales!$F$7:$F$1506,$O181),"")</f>
        <v>FD-DRY-SMHRT-15KG-001</v>
      </c>
      <c r="G181" s="19" t="str">
        <f t="array" ref="G181">IFERROR(INDEX(Sales!$G$7:$G$1506,$O181),"")</f>
        <v>Smart Heart Adult Cat Food Chicken &amp; Tuna [15kg]</v>
      </c>
      <c r="H181" s="96">
        <f t="array" ref="H181">IFERROR(INDEX(Sales!$H$7:$H$1506,$O181),"")</f>
        <v>1</v>
      </c>
      <c r="I181" s="96">
        <f t="array" ref="I181">IFERROR(INDEX(Sales!$I$7:$I$1506,$O181),"")</f>
        <v>6400</v>
      </c>
      <c r="J181" s="96">
        <f t="array" ref="J181">IFERROR(INDEX(Sales!$J$7:$J$1506,$O181),"")</f>
        <v>6700</v>
      </c>
      <c r="K181" s="96">
        <f t="array" ref="K181">IFERROR(INDEX(Sales!$K$7:$K$1506,$O181),"")</f>
        <v>300</v>
      </c>
      <c r="L181" s="96">
        <f t="array" ref="L181">IFERROR(INDEX(Sales!$L$7:$L$1506,$O181),"")</f>
        <v>6400</v>
      </c>
      <c r="M181" s="19" t="str">
        <f t="array" ref="M181">IFERROR(INDEX(Sales!$M$7:$M$1506,$O181),"")</f>
        <v>Paid</v>
      </c>
      <c r="O181" s="111" t="str">
        <f>IFERROR(MATCH(TEXT($B$3,"yyyymm")&amp;"-"&amp;(ROW()-4),Sales!$Y$7:$Y$1506,0),"")</f>
        <v/>
      </c>
    </row>
    <row r="182" ht="14.25" customHeight="1">
      <c r="A182" s="110">
        <f t="array" ref="A182">IFERROR(INDEX(Sales!$A$7:$A$1506,$O182),"")</f>
        <v>46219</v>
      </c>
      <c r="B182" s="19" t="str">
        <f t="array" ref="B182">IFERROR(INDEX(Sales!$B$7:$B$1506,$O182),"")</f>
        <v>Sale</v>
      </c>
      <c r="C182" s="19" t="str">
        <f t="array" ref="C182">IFERROR(INDEX(Sales!$C$7:$C$1506,$O182),"")</f>
        <v>Online</v>
      </c>
      <c r="D182" s="19" t="str">
        <f t="array" ref="D182">IFERROR(INDEX(Sales!$D$7:$D$1506,$O182),"")</f>
        <v>Samreen islam</v>
      </c>
      <c r="E182" s="19" t="str">
        <f t="array" ref="E182">IFERROR(IF(INDEX(Sales!$E$7:$E$1506,$O182)="","",INDEX(Sales!$E$7:$E$1506,$O182)),"")</f>
        <v>PAWF-260715-04EAA</v>
      </c>
      <c r="F182" s="19" t="str">
        <f t="array" ref="F182">IFERROR(INDEX(Sales!$F$7:$F$1506,$O182),"")</f>
        <v>FD-DRY-SMHRT-15KG-001</v>
      </c>
      <c r="G182" s="19" t="str">
        <f t="array" ref="G182">IFERROR(INDEX(Sales!$G$7:$G$1506,$O182),"")</f>
        <v>Smart Heart Adult Cat Food Chicken &amp; Tuna [15kg]</v>
      </c>
      <c r="H182" s="96">
        <f t="array" ref="H182">IFERROR(INDEX(Sales!$H$7:$H$1506,$O182),"")</f>
        <v>1</v>
      </c>
      <c r="I182" s="96">
        <f t="array" ref="I182">IFERROR(INDEX(Sales!$I$7:$I$1506,$O182),"")</f>
        <v>6400</v>
      </c>
      <c r="J182" s="96">
        <f t="array" ref="J182">IFERROR(INDEX(Sales!$J$7:$J$1506,$O182),"")</f>
        <v>6700</v>
      </c>
      <c r="K182" s="96">
        <f t="array" ref="K182">IFERROR(INDEX(Sales!$K$7:$K$1506,$O182),"")</f>
        <v>300</v>
      </c>
      <c r="L182" s="96">
        <f t="array" ref="L182">IFERROR(INDEX(Sales!$L$7:$L$1506,$O182),"")</f>
        <v>6400</v>
      </c>
      <c r="M182" s="19" t="str">
        <f t="array" ref="M182">IFERROR(INDEX(Sales!$M$7:$M$1506,$O182),"")</f>
        <v>Paid</v>
      </c>
      <c r="O182" s="111" t="str">
        <f>IFERROR(MATCH(TEXT($B$3,"yyyymm")&amp;"-"&amp;(ROW()-4),Sales!$Y$7:$Y$1506,0),"")</f>
        <v/>
      </c>
    </row>
    <row r="183" ht="14.25" customHeight="1">
      <c r="A183" s="110">
        <f t="array" ref="A183">IFERROR(INDEX(Sales!$A$7:$A$1506,$O183),"")</f>
        <v>46219</v>
      </c>
      <c r="B183" s="19" t="str">
        <f t="array" ref="B183">IFERROR(INDEX(Sales!$B$7:$B$1506,$O183),"")</f>
        <v>Sale</v>
      </c>
      <c r="C183" s="19" t="str">
        <f t="array" ref="C183">IFERROR(INDEX(Sales!$C$7:$C$1506,$O183),"")</f>
        <v>Online</v>
      </c>
      <c r="D183" s="19" t="str">
        <f t="array" ref="D183">IFERROR(INDEX(Sales!$D$7:$D$1506,$O183),"")</f>
        <v>Samreen islam</v>
      </c>
      <c r="E183" s="19" t="str">
        <f t="array" ref="E183">IFERROR(IF(INDEX(Sales!$E$7:$E$1506,$O183)="","",INDEX(Sales!$E$7:$E$1506,$O183)),"")</f>
        <v>PAWF-260715-04EAA</v>
      </c>
      <c r="F183" s="19" t="str">
        <f t="array" ref="F183">IFERROR(INDEX(Sales!$F$7:$F$1506,$O183),"")</f>
        <v>FD-DRY-SMHRT-15KG-001</v>
      </c>
      <c r="G183" s="19" t="str">
        <f t="array" ref="G183">IFERROR(INDEX(Sales!$G$7:$G$1506,$O183),"")</f>
        <v>Smart Heart Adult Cat Food Chicken &amp; Tuna [15kg]</v>
      </c>
      <c r="H183" s="96">
        <f t="array" ref="H183">IFERROR(INDEX(Sales!$H$7:$H$1506,$O183),"")</f>
        <v>1</v>
      </c>
      <c r="I183" s="96">
        <f t="array" ref="I183">IFERROR(INDEX(Sales!$I$7:$I$1506,$O183),"")</f>
        <v>6400</v>
      </c>
      <c r="J183" s="96">
        <f t="array" ref="J183">IFERROR(INDEX(Sales!$J$7:$J$1506,$O183),"")</f>
        <v>6700</v>
      </c>
      <c r="K183" s="96">
        <f t="array" ref="K183">IFERROR(INDEX(Sales!$K$7:$K$1506,$O183),"")</f>
        <v>300</v>
      </c>
      <c r="L183" s="96">
        <f t="array" ref="L183">IFERROR(INDEX(Sales!$L$7:$L$1506,$O183),"")</f>
        <v>6400</v>
      </c>
      <c r="M183" s="19" t="str">
        <f t="array" ref="M183">IFERROR(INDEX(Sales!$M$7:$M$1506,$O183),"")</f>
        <v>Paid</v>
      </c>
      <c r="O183" s="111" t="str">
        <f>IFERROR(MATCH(TEXT($B$3,"yyyymm")&amp;"-"&amp;(ROW()-4),Sales!$Y$7:$Y$1506,0),"")</f>
        <v/>
      </c>
    </row>
    <row r="184" ht="14.25" customHeight="1">
      <c r="A184" s="110">
        <f t="array" ref="A184">IFERROR(INDEX(Sales!$A$7:$A$1506,$O184),"")</f>
        <v>46219</v>
      </c>
      <c r="B184" s="19" t="str">
        <f t="array" ref="B184">IFERROR(INDEX(Sales!$B$7:$B$1506,$O184),"")</f>
        <v>Sale</v>
      </c>
      <c r="C184" s="19" t="str">
        <f t="array" ref="C184">IFERROR(INDEX(Sales!$C$7:$C$1506,$O184),"")</f>
        <v>Online</v>
      </c>
      <c r="D184" s="19" t="str">
        <f t="array" ref="D184">IFERROR(INDEX(Sales!$D$7:$D$1506,$O184),"")</f>
        <v>Samreen islam</v>
      </c>
      <c r="E184" s="19" t="str">
        <f t="array" ref="E184">IFERROR(IF(INDEX(Sales!$E$7:$E$1506,$O184)="","",INDEX(Sales!$E$7:$E$1506,$O184)),"")</f>
        <v>PAWF-260715-04EAA</v>
      </c>
      <c r="F184" s="19" t="str">
        <f t="array" ref="F184">IFERROR(INDEX(Sales!$F$7:$F$1506,$O184),"")</f>
        <v>FD-DRY-SMHRT-15KG-001</v>
      </c>
      <c r="G184" s="19" t="str">
        <f t="array" ref="G184">IFERROR(INDEX(Sales!$G$7:$G$1506,$O184),"")</f>
        <v>Smart Heart Adult Cat Food Chicken &amp; Tuna [15kg]</v>
      </c>
      <c r="H184" s="96">
        <f t="array" ref="H184">IFERROR(INDEX(Sales!$H$7:$H$1506,$O184),"")</f>
        <v>1</v>
      </c>
      <c r="I184" s="96">
        <f t="array" ref="I184">IFERROR(INDEX(Sales!$I$7:$I$1506,$O184),"")</f>
        <v>6400</v>
      </c>
      <c r="J184" s="96">
        <f t="array" ref="J184">IFERROR(INDEX(Sales!$J$7:$J$1506,$O184),"")</f>
        <v>6700</v>
      </c>
      <c r="K184" s="96">
        <f t="array" ref="K184">IFERROR(INDEX(Sales!$K$7:$K$1506,$O184),"")</f>
        <v>300</v>
      </c>
      <c r="L184" s="96">
        <f t="array" ref="L184">IFERROR(INDEX(Sales!$L$7:$L$1506,$O184),"")</f>
        <v>6400</v>
      </c>
      <c r="M184" s="19" t="str">
        <f t="array" ref="M184">IFERROR(INDEX(Sales!$M$7:$M$1506,$O184),"")</f>
        <v>Paid</v>
      </c>
      <c r="O184" s="111" t="str">
        <f>IFERROR(MATCH(TEXT($B$3,"yyyymm")&amp;"-"&amp;(ROW()-4),Sales!$Y$7:$Y$1506,0),"")</f>
        <v/>
      </c>
    </row>
    <row r="185" ht="14.25" customHeight="1">
      <c r="A185" s="110">
        <f t="array" ref="A185">IFERROR(INDEX(Sales!$A$7:$A$1506,$O185),"")</f>
        <v>46219</v>
      </c>
      <c r="B185" s="19" t="str">
        <f t="array" ref="B185">IFERROR(INDEX(Sales!$B$7:$B$1506,$O185),"")</f>
        <v>Sale</v>
      </c>
      <c r="C185" s="19" t="str">
        <f t="array" ref="C185">IFERROR(INDEX(Sales!$C$7:$C$1506,$O185),"")</f>
        <v>Online</v>
      </c>
      <c r="D185" s="19" t="str">
        <f t="array" ref="D185">IFERROR(INDEX(Sales!$D$7:$D$1506,$O185),"")</f>
        <v>Samreen islam</v>
      </c>
      <c r="E185" s="19" t="str">
        <f t="array" ref="E185">IFERROR(IF(INDEX(Sales!$E$7:$E$1506,$O185)="","",INDEX(Sales!$E$7:$E$1506,$O185)),"")</f>
        <v>PAWF-260715-04EAA</v>
      </c>
      <c r="F185" s="19" t="str">
        <f t="array" ref="F185">IFERROR(INDEX(Sales!$F$7:$F$1506,$O185),"")</f>
        <v>FD-DRY-SMHRT-15KG-001</v>
      </c>
      <c r="G185" s="19" t="str">
        <f t="array" ref="G185">IFERROR(INDEX(Sales!$G$7:$G$1506,$O185),"")</f>
        <v>Smart Heart Adult Cat Food Chicken &amp; Tuna [15kg]</v>
      </c>
      <c r="H185" s="96">
        <f t="array" ref="H185">IFERROR(INDEX(Sales!$H$7:$H$1506,$O185),"")</f>
        <v>1</v>
      </c>
      <c r="I185" s="96">
        <f t="array" ref="I185">IFERROR(INDEX(Sales!$I$7:$I$1506,$O185),"")</f>
        <v>6400</v>
      </c>
      <c r="J185" s="96">
        <f t="array" ref="J185">IFERROR(INDEX(Sales!$J$7:$J$1506,$O185),"")</f>
        <v>6700</v>
      </c>
      <c r="K185" s="96">
        <f t="array" ref="K185">IFERROR(INDEX(Sales!$K$7:$K$1506,$O185),"")</f>
        <v>300</v>
      </c>
      <c r="L185" s="96">
        <f t="array" ref="L185">IFERROR(INDEX(Sales!$L$7:$L$1506,$O185),"")</f>
        <v>6400</v>
      </c>
      <c r="M185" s="19" t="str">
        <f t="array" ref="M185">IFERROR(INDEX(Sales!$M$7:$M$1506,$O185),"")</f>
        <v>Paid</v>
      </c>
      <c r="O185" s="111" t="str">
        <f>IFERROR(MATCH(TEXT($B$3,"yyyymm")&amp;"-"&amp;(ROW()-4),Sales!$Y$7:$Y$1506,0),"")</f>
        <v/>
      </c>
    </row>
    <row r="186" ht="14.25" customHeight="1">
      <c r="A186" s="110">
        <f t="array" ref="A186">IFERROR(INDEX(Sales!$A$7:$A$1506,$O186),"")</f>
        <v>46219</v>
      </c>
      <c r="B186" s="19" t="str">
        <f t="array" ref="B186">IFERROR(INDEX(Sales!$B$7:$B$1506,$O186),"")</f>
        <v>Sale</v>
      </c>
      <c r="C186" s="19" t="str">
        <f t="array" ref="C186">IFERROR(INDEX(Sales!$C$7:$C$1506,$O186),"")</f>
        <v>Online</v>
      </c>
      <c r="D186" s="19" t="str">
        <f t="array" ref="D186">IFERROR(INDEX(Sales!$D$7:$D$1506,$O186),"")</f>
        <v>Samreen islam</v>
      </c>
      <c r="E186" s="19" t="str">
        <f t="array" ref="E186">IFERROR(IF(INDEX(Sales!$E$7:$E$1506,$O186)="","",INDEX(Sales!$E$7:$E$1506,$O186)),"")</f>
        <v>PAWF-260715-04EAA</v>
      </c>
      <c r="F186" s="19" t="str">
        <f t="array" ref="F186">IFERROR(INDEX(Sales!$F$7:$F$1506,$O186),"")</f>
        <v>FD-DRY-SMHRT-15KG-001</v>
      </c>
      <c r="G186" s="19" t="str">
        <f t="array" ref="G186">IFERROR(INDEX(Sales!$G$7:$G$1506,$O186),"")</f>
        <v>Smart Heart Adult Cat Food Chicken &amp; Tuna [15kg]</v>
      </c>
      <c r="H186" s="96">
        <f t="array" ref="H186">IFERROR(INDEX(Sales!$H$7:$H$1506,$O186),"")</f>
        <v>1</v>
      </c>
      <c r="I186" s="96">
        <f t="array" ref="I186">IFERROR(INDEX(Sales!$I$7:$I$1506,$O186),"")</f>
        <v>6400</v>
      </c>
      <c r="J186" s="96">
        <f t="array" ref="J186">IFERROR(INDEX(Sales!$J$7:$J$1506,$O186),"")</f>
        <v>6700</v>
      </c>
      <c r="K186" s="96">
        <f t="array" ref="K186">IFERROR(INDEX(Sales!$K$7:$K$1506,$O186),"")</f>
        <v>300</v>
      </c>
      <c r="L186" s="96">
        <f t="array" ref="L186">IFERROR(INDEX(Sales!$L$7:$L$1506,$O186),"")</f>
        <v>6400</v>
      </c>
      <c r="M186" s="19" t="str">
        <f t="array" ref="M186">IFERROR(INDEX(Sales!$M$7:$M$1506,$O186),"")</f>
        <v>Paid</v>
      </c>
      <c r="O186" s="111" t="str">
        <f>IFERROR(MATCH(TEXT($B$3,"yyyymm")&amp;"-"&amp;(ROW()-4),Sales!$Y$7:$Y$1506,0),"")</f>
        <v/>
      </c>
    </row>
    <row r="187" ht="14.25" customHeight="1">
      <c r="A187" s="110">
        <f t="array" ref="A187">IFERROR(INDEX(Sales!$A$7:$A$1506,$O187),"")</f>
        <v>46219</v>
      </c>
      <c r="B187" s="19" t="str">
        <f t="array" ref="B187">IFERROR(INDEX(Sales!$B$7:$B$1506,$O187),"")</f>
        <v>Sale</v>
      </c>
      <c r="C187" s="19" t="str">
        <f t="array" ref="C187">IFERROR(INDEX(Sales!$C$7:$C$1506,$O187),"")</f>
        <v>Online</v>
      </c>
      <c r="D187" s="19" t="str">
        <f t="array" ref="D187">IFERROR(INDEX(Sales!$D$7:$D$1506,$O187),"")</f>
        <v>Samreen islam</v>
      </c>
      <c r="E187" s="19" t="str">
        <f t="array" ref="E187">IFERROR(IF(INDEX(Sales!$E$7:$E$1506,$O187)="","",INDEX(Sales!$E$7:$E$1506,$O187)),"")</f>
        <v>PAWF-260715-04EAA</v>
      </c>
      <c r="F187" s="19" t="str">
        <f t="array" ref="F187">IFERROR(INDEX(Sales!$F$7:$F$1506,$O187),"")</f>
        <v>FD-DRY-SMHRT-15KG-001</v>
      </c>
      <c r="G187" s="19" t="str">
        <f t="array" ref="G187">IFERROR(INDEX(Sales!$G$7:$G$1506,$O187),"")</f>
        <v>Smart Heart Adult Cat Food Chicken &amp; Tuna [15kg]</v>
      </c>
      <c r="H187" s="96">
        <f t="array" ref="H187">IFERROR(INDEX(Sales!$H$7:$H$1506,$O187),"")</f>
        <v>1</v>
      </c>
      <c r="I187" s="96">
        <f t="array" ref="I187">IFERROR(INDEX(Sales!$I$7:$I$1506,$O187),"")</f>
        <v>6400</v>
      </c>
      <c r="J187" s="96">
        <f t="array" ref="J187">IFERROR(INDEX(Sales!$J$7:$J$1506,$O187),"")</f>
        <v>6700</v>
      </c>
      <c r="K187" s="96">
        <f t="array" ref="K187">IFERROR(INDEX(Sales!$K$7:$K$1506,$O187),"")</f>
        <v>300</v>
      </c>
      <c r="L187" s="96">
        <f t="array" ref="L187">IFERROR(INDEX(Sales!$L$7:$L$1506,$O187),"")</f>
        <v>6400</v>
      </c>
      <c r="M187" s="19" t="str">
        <f t="array" ref="M187">IFERROR(INDEX(Sales!$M$7:$M$1506,$O187),"")</f>
        <v>Paid</v>
      </c>
      <c r="O187" s="111" t="str">
        <f>IFERROR(MATCH(TEXT($B$3,"yyyymm")&amp;"-"&amp;(ROW()-4),Sales!$Y$7:$Y$1506,0),"")</f>
        <v/>
      </c>
    </row>
    <row r="188" ht="14.25" customHeight="1">
      <c r="A188" s="110">
        <f t="array" ref="A188">IFERROR(INDEX(Sales!$A$7:$A$1506,$O188),"")</f>
        <v>46219</v>
      </c>
      <c r="B188" s="19" t="str">
        <f t="array" ref="B188">IFERROR(INDEX(Sales!$B$7:$B$1506,$O188),"")</f>
        <v>Sale</v>
      </c>
      <c r="C188" s="19" t="str">
        <f t="array" ref="C188">IFERROR(INDEX(Sales!$C$7:$C$1506,$O188),"")</f>
        <v>Online</v>
      </c>
      <c r="D188" s="19" t="str">
        <f t="array" ref="D188">IFERROR(INDEX(Sales!$D$7:$D$1506,$O188),"")</f>
        <v>Samreen islam</v>
      </c>
      <c r="E188" s="19" t="str">
        <f t="array" ref="E188">IFERROR(IF(INDEX(Sales!$E$7:$E$1506,$O188)="","",INDEX(Sales!$E$7:$E$1506,$O188)),"")</f>
        <v>PAWF-260715-04EAA</v>
      </c>
      <c r="F188" s="19" t="str">
        <f t="array" ref="F188">IFERROR(INDEX(Sales!$F$7:$F$1506,$O188),"")</f>
        <v>FD-DRY-SMHRT-15KG-001</v>
      </c>
      <c r="G188" s="19" t="str">
        <f t="array" ref="G188">IFERROR(INDEX(Sales!$G$7:$G$1506,$O188),"")</f>
        <v>Smart Heart Adult Cat Food Chicken &amp; Tuna [15kg]</v>
      </c>
      <c r="H188" s="96">
        <f t="array" ref="H188">IFERROR(INDEX(Sales!$H$7:$H$1506,$O188),"")</f>
        <v>1</v>
      </c>
      <c r="I188" s="96">
        <f t="array" ref="I188">IFERROR(INDEX(Sales!$I$7:$I$1506,$O188),"")</f>
        <v>6400</v>
      </c>
      <c r="J188" s="96">
        <f t="array" ref="J188">IFERROR(INDEX(Sales!$J$7:$J$1506,$O188),"")</f>
        <v>6700</v>
      </c>
      <c r="K188" s="96">
        <f t="array" ref="K188">IFERROR(INDEX(Sales!$K$7:$K$1506,$O188),"")</f>
        <v>300</v>
      </c>
      <c r="L188" s="96">
        <f t="array" ref="L188">IFERROR(INDEX(Sales!$L$7:$L$1506,$O188),"")</f>
        <v>6400</v>
      </c>
      <c r="M188" s="19" t="str">
        <f t="array" ref="M188">IFERROR(INDEX(Sales!$M$7:$M$1506,$O188),"")</f>
        <v>Paid</v>
      </c>
      <c r="O188" s="111" t="str">
        <f>IFERROR(MATCH(TEXT($B$3,"yyyymm")&amp;"-"&amp;(ROW()-4),Sales!$Y$7:$Y$1506,0),"")</f>
        <v/>
      </c>
    </row>
    <row r="189" ht="14.25" customHeight="1">
      <c r="A189" s="110">
        <f t="array" ref="A189">IFERROR(INDEX(Sales!$A$7:$A$1506,$O189),"")</f>
        <v>46219</v>
      </c>
      <c r="B189" s="19" t="str">
        <f t="array" ref="B189">IFERROR(INDEX(Sales!$B$7:$B$1506,$O189),"")</f>
        <v>Sale</v>
      </c>
      <c r="C189" s="19" t="str">
        <f t="array" ref="C189">IFERROR(INDEX(Sales!$C$7:$C$1506,$O189),"")</f>
        <v>Online</v>
      </c>
      <c r="D189" s="19" t="str">
        <f t="array" ref="D189">IFERROR(INDEX(Sales!$D$7:$D$1506,$O189),"")</f>
        <v>Samreen islam</v>
      </c>
      <c r="E189" s="19" t="str">
        <f t="array" ref="E189">IFERROR(IF(INDEX(Sales!$E$7:$E$1506,$O189)="","",INDEX(Sales!$E$7:$E$1506,$O189)),"")</f>
        <v>PAWF-260715-04EAA</v>
      </c>
      <c r="F189" s="19" t="str">
        <f t="array" ref="F189">IFERROR(INDEX(Sales!$F$7:$F$1506,$O189),"")</f>
        <v>FD-DRY-SMHRT-15KG-001</v>
      </c>
      <c r="G189" s="19" t="str">
        <f t="array" ref="G189">IFERROR(INDEX(Sales!$G$7:$G$1506,$O189),"")</f>
        <v>Smart Heart Adult Cat Food Chicken &amp; Tuna [15kg]</v>
      </c>
      <c r="H189" s="96">
        <f t="array" ref="H189">IFERROR(INDEX(Sales!$H$7:$H$1506,$O189),"")</f>
        <v>1</v>
      </c>
      <c r="I189" s="96">
        <f t="array" ref="I189">IFERROR(INDEX(Sales!$I$7:$I$1506,$O189),"")</f>
        <v>6400</v>
      </c>
      <c r="J189" s="96">
        <f t="array" ref="J189">IFERROR(INDEX(Sales!$J$7:$J$1506,$O189),"")</f>
        <v>6700</v>
      </c>
      <c r="K189" s="96">
        <f t="array" ref="K189">IFERROR(INDEX(Sales!$K$7:$K$1506,$O189),"")</f>
        <v>300</v>
      </c>
      <c r="L189" s="96">
        <f t="array" ref="L189">IFERROR(INDEX(Sales!$L$7:$L$1506,$O189),"")</f>
        <v>6400</v>
      </c>
      <c r="M189" s="19" t="str">
        <f t="array" ref="M189">IFERROR(INDEX(Sales!$M$7:$M$1506,$O189),"")</f>
        <v>Paid</v>
      </c>
      <c r="O189" s="111" t="str">
        <f>IFERROR(MATCH(TEXT($B$3,"yyyymm")&amp;"-"&amp;(ROW()-4),Sales!$Y$7:$Y$1506,0),"")</f>
        <v/>
      </c>
    </row>
    <row r="190" ht="14.25" customHeight="1">
      <c r="A190" s="110">
        <f t="array" ref="A190">IFERROR(INDEX(Sales!$A$7:$A$1506,$O190),"")</f>
        <v>46219</v>
      </c>
      <c r="B190" s="19" t="str">
        <f t="array" ref="B190">IFERROR(INDEX(Sales!$B$7:$B$1506,$O190),"")</f>
        <v>Sale</v>
      </c>
      <c r="C190" s="19" t="str">
        <f t="array" ref="C190">IFERROR(INDEX(Sales!$C$7:$C$1506,$O190),"")</f>
        <v>Online</v>
      </c>
      <c r="D190" s="19" t="str">
        <f t="array" ref="D190">IFERROR(INDEX(Sales!$D$7:$D$1506,$O190),"")</f>
        <v>Samreen islam</v>
      </c>
      <c r="E190" s="19" t="str">
        <f t="array" ref="E190">IFERROR(IF(INDEX(Sales!$E$7:$E$1506,$O190)="","",INDEX(Sales!$E$7:$E$1506,$O190)),"")</f>
        <v>PAWF-260715-04EAA</v>
      </c>
      <c r="F190" s="19" t="str">
        <f t="array" ref="F190">IFERROR(INDEX(Sales!$F$7:$F$1506,$O190),"")</f>
        <v>FD-DRY-SMHRT-15KG-001</v>
      </c>
      <c r="G190" s="19" t="str">
        <f t="array" ref="G190">IFERROR(INDEX(Sales!$G$7:$G$1506,$O190),"")</f>
        <v>Smart Heart Adult Cat Food Chicken &amp; Tuna [15kg]</v>
      </c>
      <c r="H190" s="96">
        <f t="array" ref="H190">IFERROR(INDEX(Sales!$H$7:$H$1506,$O190),"")</f>
        <v>1</v>
      </c>
      <c r="I190" s="96">
        <f t="array" ref="I190">IFERROR(INDEX(Sales!$I$7:$I$1506,$O190),"")</f>
        <v>6400</v>
      </c>
      <c r="J190" s="96">
        <f t="array" ref="J190">IFERROR(INDEX(Sales!$J$7:$J$1506,$O190),"")</f>
        <v>6700</v>
      </c>
      <c r="K190" s="96">
        <f t="array" ref="K190">IFERROR(INDEX(Sales!$K$7:$K$1506,$O190),"")</f>
        <v>300</v>
      </c>
      <c r="L190" s="96">
        <f t="array" ref="L190">IFERROR(INDEX(Sales!$L$7:$L$1506,$O190),"")</f>
        <v>6400</v>
      </c>
      <c r="M190" s="19" t="str">
        <f t="array" ref="M190">IFERROR(INDEX(Sales!$M$7:$M$1506,$O190),"")</f>
        <v>Paid</v>
      </c>
      <c r="O190" s="111" t="str">
        <f>IFERROR(MATCH(TEXT($B$3,"yyyymm")&amp;"-"&amp;(ROW()-4),Sales!$Y$7:$Y$1506,0),"")</f>
        <v/>
      </c>
    </row>
    <row r="191" ht="14.25" customHeight="1">
      <c r="A191" s="110">
        <f t="array" ref="A191">IFERROR(INDEX(Sales!$A$7:$A$1506,$O191),"")</f>
        <v>46219</v>
      </c>
      <c r="B191" s="19" t="str">
        <f t="array" ref="B191">IFERROR(INDEX(Sales!$B$7:$B$1506,$O191),"")</f>
        <v>Sale</v>
      </c>
      <c r="C191" s="19" t="str">
        <f t="array" ref="C191">IFERROR(INDEX(Sales!$C$7:$C$1506,$O191),"")</f>
        <v>Online</v>
      </c>
      <c r="D191" s="19" t="str">
        <f t="array" ref="D191">IFERROR(INDEX(Sales!$D$7:$D$1506,$O191),"")</f>
        <v>Samreen islam</v>
      </c>
      <c r="E191" s="19" t="str">
        <f t="array" ref="E191">IFERROR(IF(INDEX(Sales!$E$7:$E$1506,$O191)="","",INDEX(Sales!$E$7:$E$1506,$O191)),"")</f>
        <v>PAWF-260715-04EAA</v>
      </c>
      <c r="F191" s="19" t="str">
        <f t="array" ref="F191">IFERROR(INDEX(Sales!$F$7:$F$1506,$O191),"")</f>
        <v>FD-DRY-SMHRT-15KG-001</v>
      </c>
      <c r="G191" s="19" t="str">
        <f t="array" ref="G191">IFERROR(INDEX(Sales!$G$7:$G$1506,$O191),"")</f>
        <v>Smart Heart Adult Cat Food Chicken &amp; Tuna [15kg]</v>
      </c>
      <c r="H191" s="96">
        <f t="array" ref="H191">IFERROR(INDEX(Sales!$H$7:$H$1506,$O191),"")</f>
        <v>1</v>
      </c>
      <c r="I191" s="96">
        <f t="array" ref="I191">IFERROR(INDEX(Sales!$I$7:$I$1506,$O191),"")</f>
        <v>6400</v>
      </c>
      <c r="J191" s="96">
        <f t="array" ref="J191">IFERROR(INDEX(Sales!$J$7:$J$1506,$O191),"")</f>
        <v>6700</v>
      </c>
      <c r="K191" s="96">
        <f t="array" ref="K191">IFERROR(INDEX(Sales!$K$7:$K$1506,$O191),"")</f>
        <v>300</v>
      </c>
      <c r="L191" s="96">
        <f t="array" ref="L191">IFERROR(INDEX(Sales!$L$7:$L$1506,$O191),"")</f>
        <v>6400</v>
      </c>
      <c r="M191" s="19" t="str">
        <f t="array" ref="M191">IFERROR(INDEX(Sales!$M$7:$M$1506,$O191),"")</f>
        <v>Paid</v>
      </c>
      <c r="O191" s="111" t="str">
        <f>IFERROR(MATCH(TEXT($B$3,"yyyymm")&amp;"-"&amp;(ROW()-4),Sales!$Y$7:$Y$1506,0),"")</f>
        <v/>
      </c>
    </row>
    <row r="192" ht="14.25" customHeight="1">
      <c r="A192" s="110">
        <f t="array" ref="A192">IFERROR(INDEX(Sales!$A$7:$A$1506,$O192),"")</f>
        <v>46219</v>
      </c>
      <c r="B192" s="19" t="str">
        <f t="array" ref="B192">IFERROR(INDEX(Sales!$B$7:$B$1506,$O192),"")</f>
        <v>Sale</v>
      </c>
      <c r="C192" s="19" t="str">
        <f t="array" ref="C192">IFERROR(INDEX(Sales!$C$7:$C$1506,$O192),"")</f>
        <v>Online</v>
      </c>
      <c r="D192" s="19" t="str">
        <f t="array" ref="D192">IFERROR(INDEX(Sales!$D$7:$D$1506,$O192),"")</f>
        <v>Samreen islam</v>
      </c>
      <c r="E192" s="19" t="str">
        <f t="array" ref="E192">IFERROR(IF(INDEX(Sales!$E$7:$E$1506,$O192)="","",INDEX(Sales!$E$7:$E$1506,$O192)),"")</f>
        <v>PAWF-260715-04EAA</v>
      </c>
      <c r="F192" s="19" t="str">
        <f t="array" ref="F192">IFERROR(INDEX(Sales!$F$7:$F$1506,$O192),"")</f>
        <v>FD-DRY-SMHRT-15KG-001</v>
      </c>
      <c r="G192" s="19" t="str">
        <f t="array" ref="G192">IFERROR(INDEX(Sales!$G$7:$G$1506,$O192),"")</f>
        <v>Smart Heart Adult Cat Food Chicken &amp; Tuna [15kg]</v>
      </c>
      <c r="H192" s="96">
        <f t="array" ref="H192">IFERROR(INDEX(Sales!$H$7:$H$1506,$O192),"")</f>
        <v>1</v>
      </c>
      <c r="I192" s="96">
        <f t="array" ref="I192">IFERROR(INDEX(Sales!$I$7:$I$1506,$O192),"")</f>
        <v>6400</v>
      </c>
      <c r="J192" s="96">
        <f t="array" ref="J192">IFERROR(INDEX(Sales!$J$7:$J$1506,$O192),"")</f>
        <v>6700</v>
      </c>
      <c r="K192" s="96">
        <f t="array" ref="K192">IFERROR(INDEX(Sales!$K$7:$K$1506,$O192),"")</f>
        <v>300</v>
      </c>
      <c r="L192" s="96">
        <f t="array" ref="L192">IFERROR(INDEX(Sales!$L$7:$L$1506,$O192),"")</f>
        <v>6400</v>
      </c>
      <c r="M192" s="19" t="str">
        <f t="array" ref="M192">IFERROR(INDEX(Sales!$M$7:$M$1506,$O192),"")</f>
        <v>Paid</v>
      </c>
      <c r="O192" s="111" t="str">
        <f>IFERROR(MATCH(TEXT($B$3,"yyyymm")&amp;"-"&amp;(ROW()-4),Sales!$Y$7:$Y$1506,0),"")</f>
        <v/>
      </c>
    </row>
    <row r="193" ht="14.25" customHeight="1">
      <c r="A193" s="110">
        <f t="array" ref="A193">IFERROR(INDEX(Sales!$A$7:$A$1506,$O193),"")</f>
        <v>46219</v>
      </c>
      <c r="B193" s="19" t="str">
        <f t="array" ref="B193">IFERROR(INDEX(Sales!$B$7:$B$1506,$O193),"")</f>
        <v>Sale</v>
      </c>
      <c r="C193" s="19" t="str">
        <f t="array" ref="C193">IFERROR(INDEX(Sales!$C$7:$C$1506,$O193),"")</f>
        <v>Online</v>
      </c>
      <c r="D193" s="19" t="str">
        <f t="array" ref="D193">IFERROR(INDEX(Sales!$D$7:$D$1506,$O193),"")</f>
        <v>Samreen islam</v>
      </c>
      <c r="E193" s="19" t="str">
        <f t="array" ref="E193">IFERROR(IF(INDEX(Sales!$E$7:$E$1506,$O193)="","",INDEX(Sales!$E$7:$E$1506,$O193)),"")</f>
        <v>PAWF-260715-04EAA</v>
      </c>
      <c r="F193" s="19" t="str">
        <f t="array" ref="F193">IFERROR(INDEX(Sales!$F$7:$F$1506,$O193),"")</f>
        <v>FD-DRY-SMHRT-15KG-001</v>
      </c>
      <c r="G193" s="19" t="str">
        <f t="array" ref="G193">IFERROR(INDEX(Sales!$G$7:$G$1506,$O193),"")</f>
        <v>Smart Heart Adult Cat Food Chicken &amp; Tuna [15kg]</v>
      </c>
      <c r="H193" s="96">
        <f t="array" ref="H193">IFERROR(INDEX(Sales!$H$7:$H$1506,$O193),"")</f>
        <v>1</v>
      </c>
      <c r="I193" s="96">
        <f t="array" ref="I193">IFERROR(INDEX(Sales!$I$7:$I$1506,$O193),"")</f>
        <v>6400</v>
      </c>
      <c r="J193" s="96">
        <f t="array" ref="J193">IFERROR(INDEX(Sales!$J$7:$J$1506,$O193),"")</f>
        <v>6700</v>
      </c>
      <c r="K193" s="96">
        <f t="array" ref="K193">IFERROR(INDEX(Sales!$K$7:$K$1506,$O193),"")</f>
        <v>300</v>
      </c>
      <c r="L193" s="96">
        <f t="array" ref="L193">IFERROR(INDEX(Sales!$L$7:$L$1506,$O193),"")</f>
        <v>6400</v>
      </c>
      <c r="M193" s="19" t="str">
        <f t="array" ref="M193">IFERROR(INDEX(Sales!$M$7:$M$1506,$O193),"")</f>
        <v>Paid</v>
      </c>
      <c r="O193" s="111" t="str">
        <f>IFERROR(MATCH(TEXT($B$3,"yyyymm")&amp;"-"&amp;(ROW()-4),Sales!$Y$7:$Y$1506,0),"")</f>
        <v/>
      </c>
    </row>
    <row r="194" ht="14.25" customHeight="1">
      <c r="A194" s="110">
        <f t="array" ref="A194">IFERROR(INDEX(Sales!$A$7:$A$1506,$O194),"")</f>
        <v>46219</v>
      </c>
      <c r="B194" s="19" t="str">
        <f t="array" ref="B194">IFERROR(INDEX(Sales!$B$7:$B$1506,$O194),"")</f>
        <v>Sale</v>
      </c>
      <c r="C194" s="19" t="str">
        <f t="array" ref="C194">IFERROR(INDEX(Sales!$C$7:$C$1506,$O194),"")</f>
        <v>Online</v>
      </c>
      <c r="D194" s="19" t="str">
        <f t="array" ref="D194">IFERROR(INDEX(Sales!$D$7:$D$1506,$O194),"")</f>
        <v>Samreen islam</v>
      </c>
      <c r="E194" s="19" t="str">
        <f t="array" ref="E194">IFERROR(IF(INDEX(Sales!$E$7:$E$1506,$O194)="","",INDEX(Sales!$E$7:$E$1506,$O194)),"")</f>
        <v>PAWF-260715-04EAA</v>
      </c>
      <c r="F194" s="19" t="str">
        <f t="array" ref="F194">IFERROR(INDEX(Sales!$F$7:$F$1506,$O194),"")</f>
        <v>FD-DRY-SMHRT-15KG-001</v>
      </c>
      <c r="G194" s="19" t="str">
        <f t="array" ref="G194">IFERROR(INDEX(Sales!$G$7:$G$1506,$O194),"")</f>
        <v>Smart Heart Adult Cat Food Chicken &amp; Tuna [15kg]</v>
      </c>
      <c r="H194" s="96">
        <f t="array" ref="H194">IFERROR(INDEX(Sales!$H$7:$H$1506,$O194),"")</f>
        <v>1</v>
      </c>
      <c r="I194" s="96">
        <f t="array" ref="I194">IFERROR(INDEX(Sales!$I$7:$I$1506,$O194),"")</f>
        <v>6400</v>
      </c>
      <c r="J194" s="96">
        <f t="array" ref="J194">IFERROR(INDEX(Sales!$J$7:$J$1506,$O194),"")</f>
        <v>6700</v>
      </c>
      <c r="K194" s="96">
        <f t="array" ref="K194">IFERROR(INDEX(Sales!$K$7:$K$1506,$O194),"")</f>
        <v>300</v>
      </c>
      <c r="L194" s="96">
        <f t="array" ref="L194">IFERROR(INDEX(Sales!$L$7:$L$1506,$O194),"")</f>
        <v>6400</v>
      </c>
      <c r="M194" s="19" t="str">
        <f t="array" ref="M194">IFERROR(INDEX(Sales!$M$7:$M$1506,$O194),"")</f>
        <v>Paid</v>
      </c>
      <c r="O194" s="111" t="str">
        <f>IFERROR(MATCH(TEXT($B$3,"yyyymm")&amp;"-"&amp;(ROW()-4),Sales!$Y$7:$Y$1506,0),"")</f>
        <v/>
      </c>
    </row>
    <row r="195" ht="14.25" customHeight="1">
      <c r="A195" s="110">
        <f t="array" ref="A195">IFERROR(INDEX(Sales!$A$7:$A$1506,$O195),"")</f>
        <v>46219</v>
      </c>
      <c r="B195" s="19" t="str">
        <f t="array" ref="B195">IFERROR(INDEX(Sales!$B$7:$B$1506,$O195),"")</f>
        <v>Sale</v>
      </c>
      <c r="C195" s="19" t="str">
        <f t="array" ref="C195">IFERROR(INDEX(Sales!$C$7:$C$1506,$O195),"")</f>
        <v>Online</v>
      </c>
      <c r="D195" s="19" t="str">
        <f t="array" ref="D195">IFERROR(INDEX(Sales!$D$7:$D$1506,$O195),"")</f>
        <v>Samreen islam</v>
      </c>
      <c r="E195" s="19" t="str">
        <f t="array" ref="E195">IFERROR(IF(INDEX(Sales!$E$7:$E$1506,$O195)="","",INDEX(Sales!$E$7:$E$1506,$O195)),"")</f>
        <v>PAWF-260715-04EAA</v>
      </c>
      <c r="F195" s="19" t="str">
        <f t="array" ref="F195">IFERROR(INDEX(Sales!$F$7:$F$1506,$O195),"")</f>
        <v>FD-DRY-SMHRT-15KG-001</v>
      </c>
      <c r="G195" s="19" t="str">
        <f t="array" ref="G195">IFERROR(INDEX(Sales!$G$7:$G$1506,$O195),"")</f>
        <v>Smart Heart Adult Cat Food Chicken &amp; Tuna [15kg]</v>
      </c>
      <c r="H195" s="96">
        <f t="array" ref="H195">IFERROR(INDEX(Sales!$H$7:$H$1506,$O195),"")</f>
        <v>1</v>
      </c>
      <c r="I195" s="96">
        <f t="array" ref="I195">IFERROR(INDEX(Sales!$I$7:$I$1506,$O195),"")</f>
        <v>6400</v>
      </c>
      <c r="J195" s="96">
        <f t="array" ref="J195">IFERROR(INDEX(Sales!$J$7:$J$1506,$O195),"")</f>
        <v>6700</v>
      </c>
      <c r="K195" s="96">
        <f t="array" ref="K195">IFERROR(INDEX(Sales!$K$7:$K$1506,$O195),"")</f>
        <v>300</v>
      </c>
      <c r="L195" s="96">
        <f t="array" ref="L195">IFERROR(INDEX(Sales!$L$7:$L$1506,$O195),"")</f>
        <v>6400</v>
      </c>
      <c r="M195" s="19" t="str">
        <f t="array" ref="M195">IFERROR(INDEX(Sales!$M$7:$M$1506,$O195),"")</f>
        <v>Paid</v>
      </c>
      <c r="O195" s="111" t="str">
        <f>IFERROR(MATCH(TEXT($B$3,"yyyymm")&amp;"-"&amp;(ROW()-4),Sales!$Y$7:$Y$1506,0),"")</f>
        <v/>
      </c>
    </row>
    <row r="196" ht="14.25" customHeight="1">
      <c r="A196" s="110">
        <f t="array" ref="A196">IFERROR(INDEX(Sales!$A$7:$A$1506,$O196),"")</f>
        <v>46219</v>
      </c>
      <c r="B196" s="19" t="str">
        <f t="array" ref="B196">IFERROR(INDEX(Sales!$B$7:$B$1506,$O196),"")</f>
        <v>Sale</v>
      </c>
      <c r="C196" s="19" t="str">
        <f t="array" ref="C196">IFERROR(INDEX(Sales!$C$7:$C$1506,$O196),"")</f>
        <v>Online</v>
      </c>
      <c r="D196" s="19" t="str">
        <f t="array" ref="D196">IFERROR(INDEX(Sales!$D$7:$D$1506,$O196),"")</f>
        <v>Samreen islam</v>
      </c>
      <c r="E196" s="19" t="str">
        <f t="array" ref="E196">IFERROR(IF(INDEX(Sales!$E$7:$E$1506,$O196)="","",INDEX(Sales!$E$7:$E$1506,$O196)),"")</f>
        <v>PAWF-260715-04EAA</v>
      </c>
      <c r="F196" s="19" t="str">
        <f t="array" ref="F196">IFERROR(INDEX(Sales!$F$7:$F$1506,$O196),"")</f>
        <v>FD-DRY-SMHRT-15KG-001</v>
      </c>
      <c r="G196" s="19" t="str">
        <f t="array" ref="G196">IFERROR(INDEX(Sales!$G$7:$G$1506,$O196),"")</f>
        <v>Smart Heart Adult Cat Food Chicken &amp; Tuna [15kg]</v>
      </c>
      <c r="H196" s="96">
        <f t="array" ref="H196">IFERROR(INDEX(Sales!$H$7:$H$1506,$O196),"")</f>
        <v>1</v>
      </c>
      <c r="I196" s="96">
        <f t="array" ref="I196">IFERROR(INDEX(Sales!$I$7:$I$1506,$O196),"")</f>
        <v>6400</v>
      </c>
      <c r="J196" s="96">
        <f t="array" ref="J196">IFERROR(INDEX(Sales!$J$7:$J$1506,$O196),"")</f>
        <v>6700</v>
      </c>
      <c r="K196" s="96">
        <f t="array" ref="K196">IFERROR(INDEX(Sales!$K$7:$K$1506,$O196),"")</f>
        <v>300</v>
      </c>
      <c r="L196" s="96">
        <f t="array" ref="L196">IFERROR(INDEX(Sales!$L$7:$L$1506,$O196),"")</f>
        <v>6400</v>
      </c>
      <c r="M196" s="19" t="str">
        <f t="array" ref="M196">IFERROR(INDEX(Sales!$M$7:$M$1506,$O196),"")</f>
        <v>Paid</v>
      </c>
      <c r="O196" s="111" t="str">
        <f>IFERROR(MATCH(TEXT($B$3,"yyyymm")&amp;"-"&amp;(ROW()-4),Sales!$Y$7:$Y$1506,0),"")</f>
        <v/>
      </c>
    </row>
    <row r="197" ht="14.25" customHeight="1">
      <c r="A197" s="110">
        <f t="array" ref="A197">IFERROR(INDEX(Sales!$A$7:$A$1506,$O197),"")</f>
        <v>46219</v>
      </c>
      <c r="B197" s="19" t="str">
        <f t="array" ref="B197">IFERROR(INDEX(Sales!$B$7:$B$1506,$O197),"")</f>
        <v>Sale</v>
      </c>
      <c r="C197" s="19" t="str">
        <f t="array" ref="C197">IFERROR(INDEX(Sales!$C$7:$C$1506,$O197),"")</f>
        <v>Online</v>
      </c>
      <c r="D197" s="19" t="str">
        <f t="array" ref="D197">IFERROR(INDEX(Sales!$D$7:$D$1506,$O197),"")</f>
        <v>Samreen islam</v>
      </c>
      <c r="E197" s="19" t="str">
        <f t="array" ref="E197">IFERROR(IF(INDEX(Sales!$E$7:$E$1506,$O197)="","",INDEX(Sales!$E$7:$E$1506,$O197)),"")</f>
        <v>PAWF-260715-04EAA</v>
      </c>
      <c r="F197" s="19" t="str">
        <f t="array" ref="F197">IFERROR(INDEX(Sales!$F$7:$F$1506,$O197),"")</f>
        <v>FD-DRY-SMHRT-15KG-001</v>
      </c>
      <c r="G197" s="19" t="str">
        <f t="array" ref="G197">IFERROR(INDEX(Sales!$G$7:$G$1506,$O197),"")</f>
        <v>Smart Heart Adult Cat Food Chicken &amp; Tuna [15kg]</v>
      </c>
      <c r="H197" s="96">
        <f t="array" ref="H197">IFERROR(INDEX(Sales!$H$7:$H$1506,$O197),"")</f>
        <v>1</v>
      </c>
      <c r="I197" s="96">
        <f t="array" ref="I197">IFERROR(INDEX(Sales!$I$7:$I$1506,$O197),"")</f>
        <v>6400</v>
      </c>
      <c r="J197" s="96">
        <f t="array" ref="J197">IFERROR(INDEX(Sales!$J$7:$J$1506,$O197),"")</f>
        <v>6700</v>
      </c>
      <c r="K197" s="96">
        <f t="array" ref="K197">IFERROR(INDEX(Sales!$K$7:$K$1506,$O197),"")</f>
        <v>300</v>
      </c>
      <c r="L197" s="96">
        <f t="array" ref="L197">IFERROR(INDEX(Sales!$L$7:$L$1506,$O197),"")</f>
        <v>6400</v>
      </c>
      <c r="M197" s="19" t="str">
        <f t="array" ref="M197">IFERROR(INDEX(Sales!$M$7:$M$1506,$O197),"")</f>
        <v>Paid</v>
      </c>
      <c r="O197" s="111" t="str">
        <f>IFERROR(MATCH(TEXT($B$3,"yyyymm")&amp;"-"&amp;(ROW()-4),Sales!$Y$7:$Y$1506,0),"")</f>
        <v/>
      </c>
    </row>
    <row r="198" ht="14.25" customHeight="1">
      <c r="A198" s="110">
        <f t="array" ref="A198">IFERROR(INDEX(Sales!$A$7:$A$1506,$O198),"")</f>
        <v>46219</v>
      </c>
      <c r="B198" s="19" t="str">
        <f t="array" ref="B198">IFERROR(INDEX(Sales!$B$7:$B$1506,$O198),"")</f>
        <v>Sale</v>
      </c>
      <c r="C198" s="19" t="str">
        <f t="array" ref="C198">IFERROR(INDEX(Sales!$C$7:$C$1506,$O198),"")</f>
        <v>Online</v>
      </c>
      <c r="D198" s="19" t="str">
        <f t="array" ref="D198">IFERROR(INDEX(Sales!$D$7:$D$1506,$O198),"")</f>
        <v>Samreen islam</v>
      </c>
      <c r="E198" s="19" t="str">
        <f t="array" ref="E198">IFERROR(IF(INDEX(Sales!$E$7:$E$1506,$O198)="","",INDEX(Sales!$E$7:$E$1506,$O198)),"")</f>
        <v>PAWF-260715-04EAA</v>
      </c>
      <c r="F198" s="19" t="str">
        <f t="array" ref="F198">IFERROR(INDEX(Sales!$F$7:$F$1506,$O198),"")</f>
        <v>FD-DRY-SMHRT-15KG-001</v>
      </c>
      <c r="G198" s="19" t="str">
        <f t="array" ref="G198">IFERROR(INDEX(Sales!$G$7:$G$1506,$O198),"")</f>
        <v>Smart Heart Adult Cat Food Chicken &amp; Tuna [15kg]</v>
      </c>
      <c r="H198" s="96">
        <f t="array" ref="H198">IFERROR(INDEX(Sales!$H$7:$H$1506,$O198),"")</f>
        <v>1</v>
      </c>
      <c r="I198" s="96">
        <f t="array" ref="I198">IFERROR(INDEX(Sales!$I$7:$I$1506,$O198),"")</f>
        <v>6400</v>
      </c>
      <c r="J198" s="96">
        <f t="array" ref="J198">IFERROR(INDEX(Sales!$J$7:$J$1506,$O198),"")</f>
        <v>6700</v>
      </c>
      <c r="K198" s="96">
        <f t="array" ref="K198">IFERROR(INDEX(Sales!$K$7:$K$1506,$O198),"")</f>
        <v>300</v>
      </c>
      <c r="L198" s="96">
        <f t="array" ref="L198">IFERROR(INDEX(Sales!$L$7:$L$1506,$O198),"")</f>
        <v>6400</v>
      </c>
      <c r="M198" s="19" t="str">
        <f t="array" ref="M198">IFERROR(INDEX(Sales!$M$7:$M$1506,$O198),"")</f>
        <v>Paid</v>
      </c>
      <c r="O198" s="111" t="str">
        <f>IFERROR(MATCH(TEXT($B$3,"yyyymm")&amp;"-"&amp;(ROW()-4),Sales!$Y$7:$Y$1506,0),"")</f>
        <v/>
      </c>
    </row>
    <row r="199" ht="14.25" customHeight="1">
      <c r="A199" s="110">
        <f t="array" ref="A199">IFERROR(INDEX(Sales!$A$7:$A$1506,$O199),"")</f>
        <v>46219</v>
      </c>
      <c r="B199" s="19" t="str">
        <f t="array" ref="B199">IFERROR(INDEX(Sales!$B$7:$B$1506,$O199),"")</f>
        <v>Sale</v>
      </c>
      <c r="C199" s="19" t="str">
        <f t="array" ref="C199">IFERROR(INDEX(Sales!$C$7:$C$1506,$O199),"")</f>
        <v>Online</v>
      </c>
      <c r="D199" s="19" t="str">
        <f t="array" ref="D199">IFERROR(INDEX(Sales!$D$7:$D$1506,$O199),"")</f>
        <v>Samreen islam</v>
      </c>
      <c r="E199" s="19" t="str">
        <f t="array" ref="E199">IFERROR(IF(INDEX(Sales!$E$7:$E$1506,$O199)="","",INDEX(Sales!$E$7:$E$1506,$O199)),"")</f>
        <v>PAWF-260715-04EAA</v>
      </c>
      <c r="F199" s="19" t="str">
        <f t="array" ref="F199">IFERROR(INDEX(Sales!$F$7:$F$1506,$O199),"")</f>
        <v>FD-DRY-SMHRT-15KG-001</v>
      </c>
      <c r="G199" s="19" t="str">
        <f t="array" ref="G199">IFERROR(INDEX(Sales!$G$7:$G$1506,$O199),"")</f>
        <v>Smart Heart Adult Cat Food Chicken &amp; Tuna [15kg]</v>
      </c>
      <c r="H199" s="96">
        <f t="array" ref="H199">IFERROR(INDEX(Sales!$H$7:$H$1506,$O199),"")</f>
        <v>1</v>
      </c>
      <c r="I199" s="96">
        <f t="array" ref="I199">IFERROR(INDEX(Sales!$I$7:$I$1506,$O199),"")</f>
        <v>6400</v>
      </c>
      <c r="J199" s="96">
        <f t="array" ref="J199">IFERROR(INDEX(Sales!$J$7:$J$1506,$O199),"")</f>
        <v>6700</v>
      </c>
      <c r="K199" s="96">
        <f t="array" ref="K199">IFERROR(INDEX(Sales!$K$7:$K$1506,$O199),"")</f>
        <v>300</v>
      </c>
      <c r="L199" s="96">
        <f t="array" ref="L199">IFERROR(INDEX(Sales!$L$7:$L$1506,$O199),"")</f>
        <v>6400</v>
      </c>
      <c r="M199" s="19" t="str">
        <f t="array" ref="M199">IFERROR(INDEX(Sales!$M$7:$M$1506,$O199),"")</f>
        <v>Paid</v>
      </c>
      <c r="O199" s="111" t="str">
        <f>IFERROR(MATCH(TEXT($B$3,"yyyymm")&amp;"-"&amp;(ROW()-4),Sales!$Y$7:$Y$1506,0),"")</f>
        <v/>
      </c>
    </row>
    <row r="200" ht="14.25" customHeight="1">
      <c r="A200" s="110">
        <f t="array" ref="A200">IFERROR(INDEX(Sales!$A$7:$A$1506,$O200),"")</f>
        <v>46219</v>
      </c>
      <c r="B200" s="19" t="str">
        <f t="array" ref="B200">IFERROR(INDEX(Sales!$B$7:$B$1506,$O200),"")</f>
        <v>Sale</v>
      </c>
      <c r="C200" s="19" t="str">
        <f t="array" ref="C200">IFERROR(INDEX(Sales!$C$7:$C$1506,$O200),"")</f>
        <v>Online</v>
      </c>
      <c r="D200" s="19" t="str">
        <f t="array" ref="D200">IFERROR(INDEX(Sales!$D$7:$D$1506,$O200),"")</f>
        <v>Samreen islam</v>
      </c>
      <c r="E200" s="19" t="str">
        <f t="array" ref="E200">IFERROR(IF(INDEX(Sales!$E$7:$E$1506,$O200)="","",INDEX(Sales!$E$7:$E$1506,$O200)),"")</f>
        <v>PAWF-260715-04EAA</v>
      </c>
      <c r="F200" s="19" t="str">
        <f t="array" ref="F200">IFERROR(INDEX(Sales!$F$7:$F$1506,$O200),"")</f>
        <v>FD-DRY-SMHRT-15KG-001</v>
      </c>
      <c r="G200" s="19" t="str">
        <f t="array" ref="G200">IFERROR(INDEX(Sales!$G$7:$G$1506,$O200),"")</f>
        <v>Smart Heart Adult Cat Food Chicken &amp; Tuna [15kg]</v>
      </c>
      <c r="H200" s="96">
        <f t="array" ref="H200">IFERROR(INDEX(Sales!$H$7:$H$1506,$O200),"")</f>
        <v>1</v>
      </c>
      <c r="I200" s="96">
        <f t="array" ref="I200">IFERROR(INDEX(Sales!$I$7:$I$1506,$O200),"")</f>
        <v>6400</v>
      </c>
      <c r="J200" s="96">
        <f t="array" ref="J200">IFERROR(INDEX(Sales!$J$7:$J$1506,$O200),"")</f>
        <v>6700</v>
      </c>
      <c r="K200" s="96">
        <f t="array" ref="K200">IFERROR(INDEX(Sales!$K$7:$K$1506,$O200),"")</f>
        <v>300</v>
      </c>
      <c r="L200" s="96">
        <f t="array" ref="L200">IFERROR(INDEX(Sales!$L$7:$L$1506,$O200),"")</f>
        <v>6400</v>
      </c>
      <c r="M200" s="19" t="str">
        <f t="array" ref="M200">IFERROR(INDEX(Sales!$M$7:$M$1506,$O200),"")</f>
        <v>Paid</v>
      </c>
      <c r="O200" s="111" t="str">
        <f>IFERROR(MATCH(TEXT($B$3,"yyyymm")&amp;"-"&amp;(ROW()-4),Sales!$Y$7:$Y$1506,0),"")</f>
        <v/>
      </c>
    </row>
    <row r="201" ht="14.25" customHeight="1">
      <c r="A201" s="110">
        <f t="array" ref="A201">IFERROR(INDEX(Sales!$A$7:$A$1506,$O201),"")</f>
        <v>46219</v>
      </c>
      <c r="B201" s="19" t="str">
        <f t="array" ref="B201">IFERROR(INDEX(Sales!$B$7:$B$1506,$O201),"")</f>
        <v>Sale</v>
      </c>
      <c r="C201" s="19" t="str">
        <f t="array" ref="C201">IFERROR(INDEX(Sales!$C$7:$C$1506,$O201),"")</f>
        <v>Online</v>
      </c>
      <c r="D201" s="19" t="str">
        <f t="array" ref="D201">IFERROR(INDEX(Sales!$D$7:$D$1506,$O201),"")</f>
        <v>Samreen islam</v>
      </c>
      <c r="E201" s="19" t="str">
        <f t="array" ref="E201">IFERROR(IF(INDEX(Sales!$E$7:$E$1506,$O201)="","",INDEX(Sales!$E$7:$E$1506,$O201)),"")</f>
        <v>PAWF-260715-04EAA</v>
      </c>
      <c r="F201" s="19" t="str">
        <f t="array" ref="F201">IFERROR(INDEX(Sales!$F$7:$F$1506,$O201),"")</f>
        <v>FD-DRY-SMHRT-15KG-001</v>
      </c>
      <c r="G201" s="19" t="str">
        <f t="array" ref="G201">IFERROR(INDEX(Sales!$G$7:$G$1506,$O201),"")</f>
        <v>Smart Heart Adult Cat Food Chicken &amp; Tuna [15kg]</v>
      </c>
      <c r="H201" s="96">
        <f t="array" ref="H201">IFERROR(INDEX(Sales!$H$7:$H$1506,$O201),"")</f>
        <v>1</v>
      </c>
      <c r="I201" s="96">
        <f t="array" ref="I201">IFERROR(INDEX(Sales!$I$7:$I$1506,$O201),"")</f>
        <v>6400</v>
      </c>
      <c r="J201" s="96">
        <f t="array" ref="J201">IFERROR(INDEX(Sales!$J$7:$J$1506,$O201),"")</f>
        <v>6700</v>
      </c>
      <c r="K201" s="96">
        <f t="array" ref="K201">IFERROR(INDEX(Sales!$K$7:$K$1506,$O201),"")</f>
        <v>300</v>
      </c>
      <c r="L201" s="96">
        <f t="array" ref="L201">IFERROR(INDEX(Sales!$L$7:$L$1506,$O201),"")</f>
        <v>6400</v>
      </c>
      <c r="M201" s="19" t="str">
        <f t="array" ref="M201">IFERROR(INDEX(Sales!$M$7:$M$1506,$O201),"")</f>
        <v>Paid</v>
      </c>
      <c r="O201" s="111" t="str">
        <f>IFERROR(MATCH(TEXT($B$3,"yyyymm")&amp;"-"&amp;(ROW()-4),Sales!$Y$7:$Y$1506,0),"")</f>
        <v/>
      </c>
    </row>
    <row r="202" ht="14.25" customHeight="1">
      <c r="A202" s="110">
        <f t="array" ref="A202">IFERROR(INDEX(Sales!$A$7:$A$1506,$O202),"")</f>
        <v>46219</v>
      </c>
      <c r="B202" s="19" t="str">
        <f t="array" ref="B202">IFERROR(INDEX(Sales!$B$7:$B$1506,$O202),"")</f>
        <v>Sale</v>
      </c>
      <c r="C202" s="19" t="str">
        <f t="array" ref="C202">IFERROR(INDEX(Sales!$C$7:$C$1506,$O202),"")</f>
        <v>Online</v>
      </c>
      <c r="D202" s="19" t="str">
        <f t="array" ref="D202">IFERROR(INDEX(Sales!$D$7:$D$1506,$O202),"")</f>
        <v>Samreen islam</v>
      </c>
      <c r="E202" s="19" t="str">
        <f t="array" ref="E202">IFERROR(IF(INDEX(Sales!$E$7:$E$1506,$O202)="","",INDEX(Sales!$E$7:$E$1506,$O202)),"")</f>
        <v>PAWF-260715-04EAA</v>
      </c>
      <c r="F202" s="19" t="str">
        <f t="array" ref="F202">IFERROR(INDEX(Sales!$F$7:$F$1506,$O202),"")</f>
        <v>FD-DRY-SMHRT-15KG-001</v>
      </c>
      <c r="G202" s="19" t="str">
        <f t="array" ref="G202">IFERROR(INDEX(Sales!$G$7:$G$1506,$O202),"")</f>
        <v>Smart Heart Adult Cat Food Chicken &amp; Tuna [15kg]</v>
      </c>
      <c r="H202" s="96">
        <f t="array" ref="H202">IFERROR(INDEX(Sales!$H$7:$H$1506,$O202),"")</f>
        <v>1</v>
      </c>
      <c r="I202" s="96">
        <f t="array" ref="I202">IFERROR(INDEX(Sales!$I$7:$I$1506,$O202),"")</f>
        <v>6400</v>
      </c>
      <c r="J202" s="96">
        <f t="array" ref="J202">IFERROR(INDEX(Sales!$J$7:$J$1506,$O202),"")</f>
        <v>6700</v>
      </c>
      <c r="K202" s="96">
        <f t="array" ref="K202">IFERROR(INDEX(Sales!$K$7:$K$1506,$O202),"")</f>
        <v>300</v>
      </c>
      <c r="L202" s="96">
        <f t="array" ref="L202">IFERROR(INDEX(Sales!$L$7:$L$1506,$O202),"")</f>
        <v>6400</v>
      </c>
      <c r="M202" s="19" t="str">
        <f t="array" ref="M202">IFERROR(INDEX(Sales!$M$7:$M$1506,$O202),"")</f>
        <v>Paid</v>
      </c>
      <c r="O202" s="111" t="str">
        <f>IFERROR(MATCH(TEXT($B$3,"yyyymm")&amp;"-"&amp;(ROW()-4),Sales!$Y$7:$Y$1506,0),"")</f>
        <v/>
      </c>
    </row>
    <row r="203" ht="14.25" customHeight="1">
      <c r="A203" s="110">
        <f t="array" ref="A203">IFERROR(INDEX(Sales!$A$7:$A$1506,$O203),"")</f>
        <v>46219</v>
      </c>
      <c r="B203" s="19" t="str">
        <f t="array" ref="B203">IFERROR(INDEX(Sales!$B$7:$B$1506,$O203),"")</f>
        <v>Sale</v>
      </c>
      <c r="C203" s="19" t="str">
        <f t="array" ref="C203">IFERROR(INDEX(Sales!$C$7:$C$1506,$O203),"")</f>
        <v>Online</v>
      </c>
      <c r="D203" s="19" t="str">
        <f t="array" ref="D203">IFERROR(INDEX(Sales!$D$7:$D$1506,$O203),"")</f>
        <v>Samreen islam</v>
      </c>
      <c r="E203" s="19" t="str">
        <f t="array" ref="E203">IFERROR(IF(INDEX(Sales!$E$7:$E$1506,$O203)="","",INDEX(Sales!$E$7:$E$1506,$O203)),"")</f>
        <v>PAWF-260715-04EAA</v>
      </c>
      <c r="F203" s="19" t="str">
        <f t="array" ref="F203">IFERROR(INDEX(Sales!$F$7:$F$1506,$O203),"")</f>
        <v>FD-DRY-SMHRT-15KG-001</v>
      </c>
      <c r="G203" s="19" t="str">
        <f t="array" ref="G203">IFERROR(INDEX(Sales!$G$7:$G$1506,$O203),"")</f>
        <v>Smart Heart Adult Cat Food Chicken &amp; Tuna [15kg]</v>
      </c>
      <c r="H203" s="96">
        <f t="array" ref="H203">IFERROR(INDEX(Sales!$H$7:$H$1506,$O203),"")</f>
        <v>1</v>
      </c>
      <c r="I203" s="96">
        <f t="array" ref="I203">IFERROR(INDEX(Sales!$I$7:$I$1506,$O203),"")</f>
        <v>6400</v>
      </c>
      <c r="J203" s="96">
        <f t="array" ref="J203">IFERROR(INDEX(Sales!$J$7:$J$1506,$O203),"")</f>
        <v>6700</v>
      </c>
      <c r="K203" s="96">
        <f t="array" ref="K203">IFERROR(INDEX(Sales!$K$7:$K$1506,$O203),"")</f>
        <v>300</v>
      </c>
      <c r="L203" s="96">
        <f t="array" ref="L203">IFERROR(INDEX(Sales!$L$7:$L$1506,$O203),"")</f>
        <v>6400</v>
      </c>
      <c r="M203" s="19" t="str">
        <f t="array" ref="M203">IFERROR(INDEX(Sales!$M$7:$M$1506,$O203),"")</f>
        <v>Paid</v>
      </c>
      <c r="O203" s="111" t="str">
        <f>IFERROR(MATCH(TEXT($B$3,"yyyymm")&amp;"-"&amp;(ROW()-4),Sales!$Y$7:$Y$1506,0),"")</f>
        <v/>
      </c>
    </row>
    <row r="204" ht="14.25" customHeight="1">
      <c r="A204" s="110">
        <f t="array" ref="A204">IFERROR(INDEX(Sales!$A$7:$A$1506,$O204),"")</f>
        <v>46219</v>
      </c>
      <c r="B204" s="19" t="str">
        <f t="array" ref="B204">IFERROR(INDEX(Sales!$B$7:$B$1506,$O204),"")</f>
        <v>Sale</v>
      </c>
      <c r="C204" s="19" t="str">
        <f t="array" ref="C204">IFERROR(INDEX(Sales!$C$7:$C$1506,$O204),"")</f>
        <v>Online</v>
      </c>
      <c r="D204" s="19" t="str">
        <f t="array" ref="D204">IFERROR(INDEX(Sales!$D$7:$D$1506,$O204),"")</f>
        <v>Samreen islam</v>
      </c>
      <c r="E204" s="19" t="str">
        <f t="array" ref="E204">IFERROR(IF(INDEX(Sales!$E$7:$E$1506,$O204)="","",INDEX(Sales!$E$7:$E$1506,$O204)),"")</f>
        <v>PAWF-260715-04EAA</v>
      </c>
      <c r="F204" s="19" t="str">
        <f t="array" ref="F204">IFERROR(INDEX(Sales!$F$7:$F$1506,$O204),"")</f>
        <v>FD-DRY-SMHRT-15KG-001</v>
      </c>
      <c r="G204" s="19" t="str">
        <f t="array" ref="G204">IFERROR(INDEX(Sales!$G$7:$G$1506,$O204),"")</f>
        <v>Smart Heart Adult Cat Food Chicken &amp; Tuna [15kg]</v>
      </c>
      <c r="H204" s="96">
        <f t="array" ref="H204">IFERROR(INDEX(Sales!$H$7:$H$1506,$O204),"")</f>
        <v>1</v>
      </c>
      <c r="I204" s="96">
        <f t="array" ref="I204">IFERROR(INDEX(Sales!$I$7:$I$1506,$O204),"")</f>
        <v>6400</v>
      </c>
      <c r="J204" s="96">
        <f t="array" ref="J204">IFERROR(INDEX(Sales!$J$7:$J$1506,$O204),"")</f>
        <v>6700</v>
      </c>
      <c r="K204" s="96">
        <f t="array" ref="K204">IFERROR(INDEX(Sales!$K$7:$K$1506,$O204),"")</f>
        <v>300</v>
      </c>
      <c r="L204" s="96">
        <f t="array" ref="L204">IFERROR(INDEX(Sales!$L$7:$L$1506,$O204),"")</f>
        <v>6400</v>
      </c>
      <c r="M204" s="19" t="str">
        <f t="array" ref="M204">IFERROR(INDEX(Sales!$M$7:$M$1506,$O204),"")</f>
        <v>Paid</v>
      </c>
      <c r="O204" s="111" t="str">
        <f>IFERROR(MATCH(TEXT($B$3,"yyyymm")&amp;"-"&amp;(ROW()-4),Sales!$Y$7:$Y$1506,0),"")</f>
        <v/>
      </c>
    </row>
    <row r="205" ht="14.25" customHeight="1">
      <c r="A205" s="110">
        <f t="array" ref="A205">IFERROR(INDEX(Sales!$A$7:$A$1506,$O205),"")</f>
        <v>46219</v>
      </c>
      <c r="B205" s="19" t="str">
        <f t="array" ref="B205">IFERROR(INDEX(Sales!$B$7:$B$1506,$O205),"")</f>
        <v>Sale</v>
      </c>
      <c r="C205" s="19" t="str">
        <f t="array" ref="C205">IFERROR(INDEX(Sales!$C$7:$C$1506,$O205),"")</f>
        <v>Online</v>
      </c>
      <c r="D205" s="19" t="str">
        <f t="array" ref="D205">IFERROR(INDEX(Sales!$D$7:$D$1506,$O205),"")</f>
        <v>Samreen islam</v>
      </c>
      <c r="E205" s="19" t="str">
        <f t="array" ref="E205">IFERROR(IF(INDEX(Sales!$E$7:$E$1506,$O205)="","",INDEX(Sales!$E$7:$E$1506,$O205)),"")</f>
        <v>PAWF-260715-04EAA</v>
      </c>
      <c r="F205" s="19" t="str">
        <f t="array" ref="F205">IFERROR(INDEX(Sales!$F$7:$F$1506,$O205),"")</f>
        <v>FD-DRY-SMHRT-15KG-001</v>
      </c>
      <c r="G205" s="19" t="str">
        <f t="array" ref="G205">IFERROR(INDEX(Sales!$G$7:$G$1506,$O205),"")</f>
        <v>Smart Heart Adult Cat Food Chicken &amp; Tuna [15kg]</v>
      </c>
      <c r="H205" s="96">
        <f t="array" ref="H205">IFERROR(INDEX(Sales!$H$7:$H$1506,$O205),"")</f>
        <v>1</v>
      </c>
      <c r="I205" s="96">
        <f t="array" ref="I205">IFERROR(INDEX(Sales!$I$7:$I$1506,$O205),"")</f>
        <v>6400</v>
      </c>
      <c r="J205" s="96">
        <f t="array" ref="J205">IFERROR(INDEX(Sales!$J$7:$J$1506,$O205),"")</f>
        <v>6700</v>
      </c>
      <c r="K205" s="96">
        <f t="array" ref="K205">IFERROR(INDEX(Sales!$K$7:$K$1506,$O205),"")</f>
        <v>300</v>
      </c>
      <c r="L205" s="96">
        <f t="array" ref="L205">IFERROR(INDEX(Sales!$L$7:$L$1506,$O205),"")</f>
        <v>6400</v>
      </c>
      <c r="M205" s="19" t="str">
        <f t="array" ref="M205">IFERROR(INDEX(Sales!$M$7:$M$1506,$O205),"")</f>
        <v>Paid</v>
      </c>
      <c r="O205" s="111" t="str">
        <f>IFERROR(MATCH(TEXT($B$3,"yyyymm")&amp;"-"&amp;(ROW()-4),Sales!$Y$7:$Y$1506,0),"")</f>
        <v/>
      </c>
    </row>
    <row r="206" ht="14.25" customHeight="1">
      <c r="A206" s="110">
        <f t="array" ref="A206">IFERROR(INDEX(Sales!$A$7:$A$1506,$O206),"")</f>
        <v>46219</v>
      </c>
      <c r="B206" s="19" t="str">
        <f t="array" ref="B206">IFERROR(INDEX(Sales!$B$7:$B$1506,$O206),"")</f>
        <v>Sale</v>
      </c>
      <c r="C206" s="19" t="str">
        <f t="array" ref="C206">IFERROR(INDEX(Sales!$C$7:$C$1506,$O206),"")</f>
        <v>Online</v>
      </c>
      <c r="D206" s="19" t="str">
        <f t="array" ref="D206">IFERROR(INDEX(Sales!$D$7:$D$1506,$O206),"")</f>
        <v>Samreen islam</v>
      </c>
      <c r="E206" s="19" t="str">
        <f t="array" ref="E206">IFERROR(IF(INDEX(Sales!$E$7:$E$1506,$O206)="","",INDEX(Sales!$E$7:$E$1506,$O206)),"")</f>
        <v>PAWF-260715-04EAA</v>
      </c>
      <c r="F206" s="19" t="str">
        <f t="array" ref="F206">IFERROR(INDEX(Sales!$F$7:$F$1506,$O206),"")</f>
        <v>FD-DRY-SMHRT-15KG-001</v>
      </c>
      <c r="G206" s="19" t="str">
        <f t="array" ref="G206">IFERROR(INDEX(Sales!$G$7:$G$1506,$O206),"")</f>
        <v>Smart Heart Adult Cat Food Chicken &amp; Tuna [15kg]</v>
      </c>
      <c r="H206" s="96">
        <f t="array" ref="H206">IFERROR(INDEX(Sales!$H$7:$H$1506,$O206),"")</f>
        <v>1</v>
      </c>
      <c r="I206" s="96">
        <f t="array" ref="I206">IFERROR(INDEX(Sales!$I$7:$I$1506,$O206),"")</f>
        <v>6400</v>
      </c>
      <c r="J206" s="96">
        <f t="array" ref="J206">IFERROR(INDEX(Sales!$J$7:$J$1506,$O206),"")</f>
        <v>6700</v>
      </c>
      <c r="K206" s="96">
        <f t="array" ref="K206">IFERROR(INDEX(Sales!$K$7:$K$1506,$O206),"")</f>
        <v>300</v>
      </c>
      <c r="L206" s="96">
        <f t="array" ref="L206">IFERROR(INDEX(Sales!$L$7:$L$1506,$O206),"")</f>
        <v>6400</v>
      </c>
      <c r="M206" s="19" t="str">
        <f t="array" ref="M206">IFERROR(INDEX(Sales!$M$7:$M$1506,$O206),"")</f>
        <v>Paid</v>
      </c>
      <c r="O206" s="111" t="str">
        <f>IFERROR(MATCH(TEXT($B$3,"yyyymm")&amp;"-"&amp;(ROW()-4),Sales!$Y$7:$Y$1506,0),"")</f>
        <v/>
      </c>
    </row>
    <row r="207" ht="14.25" customHeight="1">
      <c r="A207" s="110">
        <f t="array" ref="A207">IFERROR(INDEX(Sales!$A$7:$A$1506,$O207),"")</f>
        <v>46219</v>
      </c>
      <c r="B207" s="19" t="str">
        <f t="array" ref="B207">IFERROR(INDEX(Sales!$B$7:$B$1506,$O207),"")</f>
        <v>Sale</v>
      </c>
      <c r="C207" s="19" t="str">
        <f t="array" ref="C207">IFERROR(INDEX(Sales!$C$7:$C$1506,$O207),"")</f>
        <v>Online</v>
      </c>
      <c r="D207" s="19" t="str">
        <f t="array" ref="D207">IFERROR(INDEX(Sales!$D$7:$D$1506,$O207),"")</f>
        <v>Samreen islam</v>
      </c>
      <c r="E207" s="19" t="str">
        <f t="array" ref="E207">IFERROR(IF(INDEX(Sales!$E$7:$E$1506,$O207)="","",INDEX(Sales!$E$7:$E$1506,$O207)),"")</f>
        <v>PAWF-260715-04EAA</v>
      </c>
      <c r="F207" s="19" t="str">
        <f t="array" ref="F207">IFERROR(INDEX(Sales!$F$7:$F$1506,$O207),"")</f>
        <v>FD-DRY-SMHRT-15KG-001</v>
      </c>
      <c r="G207" s="19" t="str">
        <f t="array" ref="G207">IFERROR(INDEX(Sales!$G$7:$G$1506,$O207),"")</f>
        <v>Smart Heart Adult Cat Food Chicken &amp; Tuna [15kg]</v>
      </c>
      <c r="H207" s="96">
        <f t="array" ref="H207">IFERROR(INDEX(Sales!$H$7:$H$1506,$O207),"")</f>
        <v>1</v>
      </c>
      <c r="I207" s="96">
        <f t="array" ref="I207">IFERROR(INDEX(Sales!$I$7:$I$1506,$O207),"")</f>
        <v>6400</v>
      </c>
      <c r="J207" s="96">
        <f t="array" ref="J207">IFERROR(INDEX(Sales!$J$7:$J$1506,$O207),"")</f>
        <v>6700</v>
      </c>
      <c r="K207" s="96">
        <f t="array" ref="K207">IFERROR(INDEX(Sales!$K$7:$K$1506,$O207),"")</f>
        <v>300</v>
      </c>
      <c r="L207" s="96">
        <f t="array" ref="L207">IFERROR(INDEX(Sales!$L$7:$L$1506,$O207),"")</f>
        <v>6400</v>
      </c>
      <c r="M207" s="19" t="str">
        <f t="array" ref="M207">IFERROR(INDEX(Sales!$M$7:$M$1506,$O207),"")</f>
        <v>Paid</v>
      </c>
      <c r="O207" s="111" t="str">
        <f>IFERROR(MATCH(TEXT($B$3,"yyyymm")&amp;"-"&amp;(ROW()-4),Sales!$Y$7:$Y$1506,0),"")</f>
        <v/>
      </c>
    </row>
    <row r="208" ht="14.25" customHeight="1">
      <c r="A208" s="110">
        <f t="array" ref="A208">IFERROR(INDEX(Sales!$A$7:$A$1506,$O208),"")</f>
        <v>46219</v>
      </c>
      <c r="B208" s="19" t="str">
        <f t="array" ref="B208">IFERROR(INDEX(Sales!$B$7:$B$1506,$O208),"")</f>
        <v>Sale</v>
      </c>
      <c r="C208" s="19" t="str">
        <f t="array" ref="C208">IFERROR(INDEX(Sales!$C$7:$C$1506,$O208),"")</f>
        <v>Online</v>
      </c>
      <c r="D208" s="19" t="str">
        <f t="array" ref="D208">IFERROR(INDEX(Sales!$D$7:$D$1506,$O208),"")</f>
        <v>Samreen islam</v>
      </c>
      <c r="E208" s="19" t="str">
        <f t="array" ref="E208">IFERROR(IF(INDEX(Sales!$E$7:$E$1506,$O208)="","",INDEX(Sales!$E$7:$E$1506,$O208)),"")</f>
        <v>PAWF-260715-04EAA</v>
      </c>
      <c r="F208" s="19" t="str">
        <f t="array" ref="F208">IFERROR(INDEX(Sales!$F$7:$F$1506,$O208),"")</f>
        <v>FD-DRY-SMHRT-15KG-001</v>
      </c>
      <c r="G208" s="19" t="str">
        <f t="array" ref="G208">IFERROR(INDEX(Sales!$G$7:$G$1506,$O208),"")</f>
        <v>Smart Heart Adult Cat Food Chicken &amp; Tuna [15kg]</v>
      </c>
      <c r="H208" s="96">
        <f t="array" ref="H208">IFERROR(INDEX(Sales!$H$7:$H$1506,$O208),"")</f>
        <v>1</v>
      </c>
      <c r="I208" s="96">
        <f t="array" ref="I208">IFERROR(INDEX(Sales!$I$7:$I$1506,$O208),"")</f>
        <v>6400</v>
      </c>
      <c r="J208" s="96">
        <f t="array" ref="J208">IFERROR(INDEX(Sales!$J$7:$J$1506,$O208),"")</f>
        <v>6700</v>
      </c>
      <c r="K208" s="96">
        <f t="array" ref="K208">IFERROR(INDEX(Sales!$K$7:$K$1506,$O208),"")</f>
        <v>300</v>
      </c>
      <c r="L208" s="96">
        <f t="array" ref="L208">IFERROR(INDEX(Sales!$L$7:$L$1506,$O208),"")</f>
        <v>6400</v>
      </c>
      <c r="M208" s="19" t="str">
        <f t="array" ref="M208">IFERROR(INDEX(Sales!$M$7:$M$1506,$O208),"")</f>
        <v>Paid</v>
      </c>
      <c r="O208" s="111" t="str">
        <f>IFERROR(MATCH(TEXT($B$3,"yyyymm")&amp;"-"&amp;(ROW()-4),Sales!$Y$7:$Y$1506,0),"")</f>
        <v/>
      </c>
    </row>
    <row r="209" ht="14.25" customHeight="1">
      <c r="A209" s="110">
        <f t="array" ref="A209">IFERROR(INDEX(Sales!$A$7:$A$1506,$O209),"")</f>
        <v>46219</v>
      </c>
      <c r="B209" s="19" t="str">
        <f t="array" ref="B209">IFERROR(INDEX(Sales!$B$7:$B$1506,$O209),"")</f>
        <v>Sale</v>
      </c>
      <c r="C209" s="19" t="str">
        <f t="array" ref="C209">IFERROR(INDEX(Sales!$C$7:$C$1506,$O209),"")</f>
        <v>Online</v>
      </c>
      <c r="D209" s="19" t="str">
        <f t="array" ref="D209">IFERROR(INDEX(Sales!$D$7:$D$1506,$O209),"")</f>
        <v>Samreen islam</v>
      </c>
      <c r="E209" s="19" t="str">
        <f t="array" ref="E209">IFERROR(IF(INDEX(Sales!$E$7:$E$1506,$O209)="","",INDEX(Sales!$E$7:$E$1506,$O209)),"")</f>
        <v>PAWF-260715-04EAA</v>
      </c>
      <c r="F209" s="19" t="str">
        <f t="array" ref="F209">IFERROR(INDEX(Sales!$F$7:$F$1506,$O209),"")</f>
        <v>FD-DRY-SMHRT-15KG-001</v>
      </c>
      <c r="G209" s="19" t="str">
        <f t="array" ref="G209">IFERROR(INDEX(Sales!$G$7:$G$1506,$O209),"")</f>
        <v>Smart Heart Adult Cat Food Chicken &amp; Tuna [15kg]</v>
      </c>
      <c r="H209" s="96">
        <f t="array" ref="H209">IFERROR(INDEX(Sales!$H$7:$H$1506,$O209),"")</f>
        <v>1</v>
      </c>
      <c r="I209" s="96">
        <f t="array" ref="I209">IFERROR(INDEX(Sales!$I$7:$I$1506,$O209),"")</f>
        <v>6400</v>
      </c>
      <c r="J209" s="96">
        <f t="array" ref="J209">IFERROR(INDEX(Sales!$J$7:$J$1506,$O209),"")</f>
        <v>6700</v>
      </c>
      <c r="K209" s="96">
        <f t="array" ref="K209">IFERROR(INDEX(Sales!$K$7:$K$1506,$O209),"")</f>
        <v>300</v>
      </c>
      <c r="L209" s="96">
        <f t="array" ref="L209">IFERROR(INDEX(Sales!$L$7:$L$1506,$O209),"")</f>
        <v>6400</v>
      </c>
      <c r="M209" s="19" t="str">
        <f t="array" ref="M209">IFERROR(INDEX(Sales!$M$7:$M$1506,$O209),"")</f>
        <v>Paid</v>
      </c>
      <c r="O209" s="111" t="str">
        <f>IFERROR(MATCH(TEXT($B$3,"yyyymm")&amp;"-"&amp;(ROW()-4),Sales!$Y$7:$Y$1506,0),"")</f>
        <v/>
      </c>
    </row>
    <row r="210" ht="14.25" customHeight="1">
      <c r="A210" s="110">
        <f t="array" ref="A210">IFERROR(INDEX(Sales!$A$7:$A$1506,$O210),"")</f>
        <v>46219</v>
      </c>
      <c r="B210" s="19" t="str">
        <f t="array" ref="B210">IFERROR(INDEX(Sales!$B$7:$B$1506,$O210),"")</f>
        <v>Sale</v>
      </c>
      <c r="C210" s="19" t="str">
        <f t="array" ref="C210">IFERROR(INDEX(Sales!$C$7:$C$1506,$O210),"")</f>
        <v>Online</v>
      </c>
      <c r="D210" s="19" t="str">
        <f t="array" ref="D210">IFERROR(INDEX(Sales!$D$7:$D$1506,$O210),"")</f>
        <v>Samreen islam</v>
      </c>
      <c r="E210" s="19" t="str">
        <f t="array" ref="E210">IFERROR(IF(INDEX(Sales!$E$7:$E$1506,$O210)="","",INDEX(Sales!$E$7:$E$1506,$O210)),"")</f>
        <v>PAWF-260715-04EAA</v>
      </c>
      <c r="F210" s="19" t="str">
        <f t="array" ref="F210">IFERROR(INDEX(Sales!$F$7:$F$1506,$O210),"")</f>
        <v>FD-DRY-SMHRT-15KG-001</v>
      </c>
      <c r="G210" s="19" t="str">
        <f t="array" ref="G210">IFERROR(INDEX(Sales!$G$7:$G$1506,$O210),"")</f>
        <v>Smart Heart Adult Cat Food Chicken &amp; Tuna [15kg]</v>
      </c>
      <c r="H210" s="96">
        <f t="array" ref="H210">IFERROR(INDEX(Sales!$H$7:$H$1506,$O210),"")</f>
        <v>1</v>
      </c>
      <c r="I210" s="96">
        <f t="array" ref="I210">IFERROR(INDEX(Sales!$I$7:$I$1506,$O210),"")</f>
        <v>6400</v>
      </c>
      <c r="J210" s="96">
        <f t="array" ref="J210">IFERROR(INDEX(Sales!$J$7:$J$1506,$O210),"")</f>
        <v>6700</v>
      </c>
      <c r="K210" s="96">
        <f t="array" ref="K210">IFERROR(INDEX(Sales!$K$7:$K$1506,$O210),"")</f>
        <v>300</v>
      </c>
      <c r="L210" s="96">
        <f t="array" ref="L210">IFERROR(INDEX(Sales!$L$7:$L$1506,$O210),"")</f>
        <v>6400</v>
      </c>
      <c r="M210" s="19" t="str">
        <f t="array" ref="M210">IFERROR(INDEX(Sales!$M$7:$M$1506,$O210),"")</f>
        <v>Paid</v>
      </c>
      <c r="O210" s="111" t="str">
        <f>IFERROR(MATCH(TEXT($B$3,"yyyymm")&amp;"-"&amp;(ROW()-4),Sales!$Y$7:$Y$1506,0),"")</f>
        <v/>
      </c>
    </row>
    <row r="211" ht="14.25" customHeight="1">
      <c r="A211" s="110">
        <f t="array" ref="A211">IFERROR(INDEX(Sales!$A$7:$A$1506,$O211),"")</f>
        <v>46219</v>
      </c>
      <c r="B211" s="19" t="str">
        <f t="array" ref="B211">IFERROR(INDEX(Sales!$B$7:$B$1506,$O211),"")</f>
        <v>Sale</v>
      </c>
      <c r="C211" s="19" t="str">
        <f t="array" ref="C211">IFERROR(INDEX(Sales!$C$7:$C$1506,$O211),"")</f>
        <v>Online</v>
      </c>
      <c r="D211" s="19" t="str">
        <f t="array" ref="D211">IFERROR(INDEX(Sales!$D$7:$D$1506,$O211),"")</f>
        <v>Samreen islam</v>
      </c>
      <c r="E211" s="19" t="str">
        <f t="array" ref="E211">IFERROR(IF(INDEX(Sales!$E$7:$E$1506,$O211)="","",INDEX(Sales!$E$7:$E$1506,$O211)),"")</f>
        <v>PAWF-260715-04EAA</v>
      </c>
      <c r="F211" s="19" t="str">
        <f t="array" ref="F211">IFERROR(INDEX(Sales!$F$7:$F$1506,$O211),"")</f>
        <v>FD-DRY-SMHRT-15KG-001</v>
      </c>
      <c r="G211" s="19" t="str">
        <f t="array" ref="G211">IFERROR(INDEX(Sales!$G$7:$G$1506,$O211),"")</f>
        <v>Smart Heart Adult Cat Food Chicken &amp; Tuna [15kg]</v>
      </c>
      <c r="H211" s="96">
        <f t="array" ref="H211">IFERROR(INDEX(Sales!$H$7:$H$1506,$O211),"")</f>
        <v>1</v>
      </c>
      <c r="I211" s="96">
        <f t="array" ref="I211">IFERROR(INDEX(Sales!$I$7:$I$1506,$O211),"")</f>
        <v>6400</v>
      </c>
      <c r="J211" s="96">
        <f t="array" ref="J211">IFERROR(INDEX(Sales!$J$7:$J$1506,$O211),"")</f>
        <v>6700</v>
      </c>
      <c r="K211" s="96">
        <f t="array" ref="K211">IFERROR(INDEX(Sales!$K$7:$K$1506,$O211),"")</f>
        <v>300</v>
      </c>
      <c r="L211" s="96">
        <f t="array" ref="L211">IFERROR(INDEX(Sales!$L$7:$L$1506,$O211),"")</f>
        <v>6400</v>
      </c>
      <c r="M211" s="19" t="str">
        <f t="array" ref="M211">IFERROR(INDEX(Sales!$M$7:$M$1506,$O211),"")</f>
        <v>Paid</v>
      </c>
      <c r="O211" s="111" t="str">
        <f>IFERROR(MATCH(TEXT($B$3,"yyyymm")&amp;"-"&amp;(ROW()-4),Sales!$Y$7:$Y$1506,0),"")</f>
        <v/>
      </c>
    </row>
    <row r="212" ht="14.25" customHeight="1">
      <c r="A212" s="110">
        <f t="array" ref="A212">IFERROR(INDEX(Sales!$A$7:$A$1506,$O212),"")</f>
        <v>46219</v>
      </c>
      <c r="B212" s="19" t="str">
        <f t="array" ref="B212">IFERROR(INDEX(Sales!$B$7:$B$1506,$O212),"")</f>
        <v>Sale</v>
      </c>
      <c r="C212" s="19" t="str">
        <f t="array" ref="C212">IFERROR(INDEX(Sales!$C$7:$C$1506,$O212),"")</f>
        <v>Online</v>
      </c>
      <c r="D212" s="19" t="str">
        <f t="array" ref="D212">IFERROR(INDEX(Sales!$D$7:$D$1506,$O212),"")</f>
        <v>Samreen islam</v>
      </c>
      <c r="E212" s="19" t="str">
        <f t="array" ref="E212">IFERROR(IF(INDEX(Sales!$E$7:$E$1506,$O212)="","",INDEX(Sales!$E$7:$E$1506,$O212)),"")</f>
        <v>PAWF-260715-04EAA</v>
      </c>
      <c r="F212" s="19" t="str">
        <f t="array" ref="F212">IFERROR(INDEX(Sales!$F$7:$F$1506,$O212),"")</f>
        <v>FD-DRY-SMHRT-15KG-001</v>
      </c>
      <c r="G212" s="19" t="str">
        <f t="array" ref="G212">IFERROR(INDEX(Sales!$G$7:$G$1506,$O212),"")</f>
        <v>Smart Heart Adult Cat Food Chicken &amp; Tuna [15kg]</v>
      </c>
      <c r="H212" s="96">
        <f t="array" ref="H212">IFERROR(INDEX(Sales!$H$7:$H$1506,$O212),"")</f>
        <v>1</v>
      </c>
      <c r="I212" s="96">
        <f t="array" ref="I212">IFERROR(INDEX(Sales!$I$7:$I$1506,$O212),"")</f>
        <v>6400</v>
      </c>
      <c r="J212" s="96">
        <f t="array" ref="J212">IFERROR(INDEX(Sales!$J$7:$J$1506,$O212),"")</f>
        <v>6700</v>
      </c>
      <c r="K212" s="96">
        <f t="array" ref="K212">IFERROR(INDEX(Sales!$K$7:$K$1506,$O212),"")</f>
        <v>300</v>
      </c>
      <c r="L212" s="96">
        <f t="array" ref="L212">IFERROR(INDEX(Sales!$L$7:$L$1506,$O212),"")</f>
        <v>6400</v>
      </c>
      <c r="M212" s="19" t="str">
        <f t="array" ref="M212">IFERROR(INDEX(Sales!$M$7:$M$1506,$O212),"")</f>
        <v>Paid</v>
      </c>
      <c r="O212" s="111" t="str">
        <f>IFERROR(MATCH(TEXT($B$3,"yyyymm")&amp;"-"&amp;(ROW()-4),Sales!$Y$7:$Y$1506,0),"")</f>
        <v/>
      </c>
    </row>
    <row r="213" ht="14.25" customHeight="1">
      <c r="A213" s="110">
        <f t="array" ref="A213">IFERROR(INDEX(Sales!$A$7:$A$1506,$O213),"")</f>
        <v>46219</v>
      </c>
      <c r="B213" s="19" t="str">
        <f t="array" ref="B213">IFERROR(INDEX(Sales!$B$7:$B$1506,$O213),"")</f>
        <v>Sale</v>
      </c>
      <c r="C213" s="19" t="str">
        <f t="array" ref="C213">IFERROR(INDEX(Sales!$C$7:$C$1506,$O213),"")</f>
        <v>Online</v>
      </c>
      <c r="D213" s="19" t="str">
        <f t="array" ref="D213">IFERROR(INDEX(Sales!$D$7:$D$1506,$O213),"")</f>
        <v>Samreen islam</v>
      </c>
      <c r="E213" s="19" t="str">
        <f t="array" ref="E213">IFERROR(IF(INDEX(Sales!$E$7:$E$1506,$O213)="","",INDEX(Sales!$E$7:$E$1506,$O213)),"")</f>
        <v>PAWF-260715-04EAA</v>
      </c>
      <c r="F213" s="19" t="str">
        <f t="array" ref="F213">IFERROR(INDEX(Sales!$F$7:$F$1506,$O213),"")</f>
        <v>FD-DRY-SMHRT-15KG-001</v>
      </c>
      <c r="G213" s="19" t="str">
        <f t="array" ref="G213">IFERROR(INDEX(Sales!$G$7:$G$1506,$O213),"")</f>
        <v>Smart Heart Adult Cat Food Chicken &amp; Tuna [15kg]</v>
      </c>
      <c r="H213" s="96">
        <f t="array" ref="H213">IFERROR(INDEX(Sales!$H$7:$H$1506,$O213),"")</f>
        <v>1</v>
      </c>
      <c r="I213" s="96">
        <f t="array" ref="I213">IFERROR(INDEX(Sales!$I$7:$I$1506,$O213),"")</f>
        <v>6400</v>
      </c>
      <c r="J213" s="96">
        <f t="array" ref="J213">IFERROR(INDEX(Sales!$J$7:$J$1506,$O213),"")</f>
        <v>6700</v>
      </c>
      <c r="K213" s="96">
        <f t="array" ref="K213">IFERROR(INDEX(Sales!$K$7:$K$1506,$O213),"")</f>
        <v>300</v>
      </c>
      <c r="L213" s="96">
        <f t="array" ref="L213">IFERROR(INDEX(Sales!$L$7:$L$1506,$O213),"")</f>
        <v>6400</v>
      </c>
      <c r="M213" s="19" t="str">
        <f t="array" ref="M213">IFERROR(INDEX(Sales!$M$7:$M$1506,$O213),"")</f>
        <v>Paid</v>
      </c>
      <c r="O213" s="111" t="str">
        <f>IFERROR(MATCH(TEXT($B$3,"yyyymm")&amp;"-"&amp;(ROW()-4),Sales!$Y$7:$Y$1506,0),"")</f>
        <v/>
      </c>
    </row>
    <row r="214" ht="14.25" customHeight="1">
      <c r="A214" s="110">
        <f t="array" ref="A214">IFERROR(INDEX(Sales!$A$7:$A$1506,$O214),"")</f>
        <v>46219</v>
      </c>
      <c r="B214" s="19" t="str">
        <f t="array" ref="B214">IFERROR(INDEX(Sales!$B$7:$B$1506,$O214),"")</f>
        <v>Sale</v>
      </c>
      <c r="C214" s="19" t="str">
        <f t="array" ref="C214">IFERROR(INDEX(Sales!$C$7:$C$1506,$O214),"")</f>
        <v>Online</v>
      </c>
      <c r="D214" s="19" t="str">
        <f t="array" ref="D214">IFERROR(INDEX(Sales!$D$7:$D$1506,$O214),"")</f>
        <v>Samreen islam</v>
      </c>
      <c r="E214" s="19" t="str">
        <f t="array" ref="E214">IFERROR(IF(INDEX(Sales!$E$7:$E$1506,$O214)="","",INDEX(Sales!$E$7:$E$1506,$O214)),"")</f>
        <v>PAWF-260715-04EAA</v>
      </c>
      <c r="F214" s="19" t="str">
        <f t="array" ref="F214">IFERROR(INDEX(Sales!$F$7:$F$1506,$O214),"")</f>
        <v>FD-DRY-SMHRT-15KG-001</v>
      </c>
      <c r="G214" s="19" t="str">
        <f t="array" ref="G214">IFERROR(INDEX(Sales!$G$7:$G$1506,$O214),"")</f>
        <v>Smart Heart Adult Cat Food Chicken &amp; Tuna [15kg]</v>
      </c>
      <c r="H214" s="96">
        <f t="array" ref="H214">IFERROR(INDEX(Sales!$H$7:$H$1506,$O214),"")</f>
        <v>1</v>
      </c>
      <c r="I214" s="96">
        <f t="array" ref="I214">IFERROR(INDEX(Sales!$I$7:$I$1506,$O214),"")</f>
        <v>6400</v>
      </c>
      <c r="J214" s="96">
        <f t="array" ref="J214">IFERROR(INDEX(Sales!$J$7:$J$1506,$O214),"")</f>
        <v>6700</v>
      </c>
      <c r="K214" s="96">
        <f t="array" ref="K214">IFERROR(INDEX(Sales!$K$7:$K$1506,$O214),"")</f>
        <v>300</v>
      </c>
      <c r="L214" s="96">
        <f t="array" ref="L214">IFERROR(INDEX(Sales!$L$7:$L$1506,$O214),"")</f>
        <v>6400</v>
      </c>
      <c r="M214" s="19" t="str">
        <f t="array" ref="M214">IFERROR(INDEX(Sales!$M$7:$M$1506,$O214),"")</f>
        <v>Paid</v>
      </c>
      <c r="O214" s="111" t="str">
        <f>IFERROR(MATCH(TEXT($B$3,"yyyymm")&amp;"-"&amp;(ROW()-4),Sales!$Y$7:$Y$1506,0),"")</f>
        <v/>
      </c>
    </row>
    <row r="215" ht="14.25" customHeight="1">
      <c r="A215" s="110">
        <f t="array" ref="A215">IFERROR(INDEX(Sales!$A$7:$A$1506,$O215),"")</f>
        <v>46219</v>
      </c>
      <c r="B215" s="19" t="str">
        <f t="array" ref="B215">IFERROR(INDEX(Sales!$B$7:$B$1506,$O215),"")</f>
        <v>Sale</v>
      </c>
      <c r="C215" s="19" t="str">
        <f t="array" ref="C215">IFERROR(INDEX(Sales!$C$7:$C$1506,$O215),"")</f>
        <v>Online</v>
      </c>
      <c r="D215" s="19" t="str">
        <f t="array" ref="D215">IFERROR(INDEX(Sales!$D$7:$D$1506,$O215),"")</f>
        <v>Samreen islam</v>
      </c>
      <c r="E215" s="19" t="str">
        <f t="array" ref="E215">IFERROR(IF(INDEX(Sales!$E$7:$E$1506,$O215)="","",INDEX(Sales!$E$7:$E$1506,$O215)),"")</f>
        <v>PAWF-260715-04EAA</v>
      </c>
      <c r="F215" s="19" t="str">
        <f t="array" ref="F215">IFERROR(INDEX(Sales!$F$7:$F$1506,$O215),"")</f>
        <v>FD-DRY-SMHRT-15KG-001</v>
      </c>
      <c r="G215" s="19" t="str">
        <f t="array" ref="G215">IFERROR(INDEX(Sales!$G$7:$G$1506,$O215),"")</f>
        <v>Smart Heart Adult Cat Food Chicken &amp; Tuna [15kg]</v>
      </c>
      <c r="H215" s="96">
        <f t="array" ref="H215">IFERROR(INDEX(Sales!$H$7:$H$1506,$O215),"")</f>
        <v>1</v>
      </c>
      <c r="I215" s="96">
        <f t="array" ref="I215">IFERROR(INDEX(Sales!$I$7:$I$1506,$O215),"")</f>
        <v>6400</v>
      </c>
      <c r="J215" s="96">
        <f t="array" ref="J215">IFERROR(INDEX(Sales!$J$7:$J$1506,$O215),"")</f>
        <v>6700</v>
      </c>
      <c r="K215" s="96">
        <f t="array" ref="K215">IFERROR(INDEX(Sales!$K$7:$K$1506,$O215),"")</f>
        <v>300</v>
      </c>
      <c r="L215" s="96">
        <f t="array" ref="L215">IFERROR(INDEX(Sales!$L$7:$L$1506,$O215),"")</f>
        <v>6400</v>
      </c>
      <c r="M215" s="19" t="str">
        <f t="array" ref="M215">IFERROR(INDEX(Sales!$M$7:$M$1506,$O215),"")</f>
        <v>Paid</v>
      </c>
      <c r="O215" s="111" t="str">
        <f>IFERROR(MATCH(TEXT($B$3,"yyyymm")&amp;"-"&amp;(ROW()-4),Sales!$Y$7:$Y$1506,0),"")</f>
        <v/>
      </c>
    </row>
    <row r="216" ht="14.25" customHeight="1">
      <c r="A216" s="110">
        <f t="array" ref="A216">IFERROR(INDEX(Sales!$A$7:$A$1506,$O216),"")</f>
        <v>46219</v>
      </c>
      <c r="B216" s="19" t="str">
        <f t="array" ref="B216">IFERROR(INDEX(Sales!$B$7:$B$1506,$O216),"")</f>
        <v>Sale</v>
      </c>
      <c r="C216" s="19" t="str">
        <f t="array" ref="C216">IFERROR(INDEX(Sales!$C$7:$C$1506,$O216),"")</f>
        <v>Online</v>
      </c>
      <c r="D216" s="19" t="str">
        <f t="array" ref="D216">IFERROR(INDEX(Sales!$D$7:$D$1506,$O216),"")</f>
        <v>Samreen islam</v>
      </c>
      <c r="E216" s="19" t="str">
        <f t="array" ref="E216">IFERROR(IF(INDEX(Sales!$E$7:$E$1506,$O216)="","",INDEX(Sales!$E$7:$E$1506,$O216)),"")</f>
        <v>PAWF-260715-04EAA</v>
      </c>
      <c r="F216" s="19" t="str">
        <f t="array" ref="F216">IFERROR(INDEX(Sales!$F$7:$F$1506,$O216),"")</f>
        <v>FD-DRY-SMHRT-15KG-001</v>
      </c>
      <c r="G216" s="19" t="str">
        <f t="array" ref="G216">IFERROR(INDEX(Sales!$G$7:$G$1506,$O216),"")</f>
        <v>Smart Heart Adult Cat Food Chicken &amp; Tuna [15kg]</v>
      </c>
      <c r="H216" s="96">
        <f t="array" ref="H216">IFERROR(INDEX(Sales!$H$7:$H$1506,$O216),"")</f>
        <v>1</v>
      </c>
      <c r="I216" s="96">
        <f t="array" ref="I216">IFERROR(INDEX(Sales!$I$7:$I$1506,$O216),"")</f>
        <v>6400</v>
      </c>
      <c r="J216" s="96">
        <f t="array" ref="J216">IFERROR(INDEX(Sales!$J$7:$J$1506,$O216),"")</f>
        <v>6700</v>
      </c>
      <c r="K216" s="96">
        <f t="array" ref="K216">IFERROR(INDEX(Sales!$K$7:$K$1506,$O216),"")</f>
        <v>300</v>
      </c>
      <c r="L216" s="96">
        <f t="array" ref="L216">IFERROR(INDEX(Sales!$L$7:$L$1506,$O216),"")</f>
        <v>6400</v>
      </c>
      <c r="M216" s="19" t="str">
        <f t="array" ref="M216">IFERROR(INDEX(Sales!$M$7:$M$1506,$O216),"")</f>
        <v>Paid</v>
      </c>
      <c r="O216" s="111" t="str">
        <f>IFERROR(MATCH(TEXT($B$3,"yyyymm")&amp;"-"&amp;(ROW()-4),Sales!$Y$7:$Y$1506,0),"")</f>
        <v/>
      </c>
    </row>
    <row r="217" ht="14.25" customHeight="1">
      <c r="A217" s="110">
        <f t="array" ref="A217">IFERROR(INDEX(Sales!$A$7:$A$1506,$O217),"")</f>
        <v>46219</v>
      </c>
      <c r="B217" s="19" t="str">
        <f t="array" ref="B217">IFERROR(INDEX(Sales!$B$7:$B$1506,$O217),"")</f>
        <v>Sale</v>
      </c>
      <c r="C217" s="19" t="str">
        <f t="array" ref="C217">IFERROR(INDEX(Sales!$C$7:$C$1506,$O217),"")</f>
        <v>Online</v>
      </c>
      <c r="D217" s="19" t="str">
        <f t="array" ref="D217">IFERROR(INDEX(Sales!$D$7:$D$1506,$O217),"")</f>
        <v>Samreen islam</v>
      </c>
      <c r="E217" s="19" t="str">
        <f t="array" ref="E217">IFERROR(IF(INDEX(Sales!$E$7:$E$1506,$O217)="","",INDEX(Sales!$E$7:$E$1506,$O217)),"")</f>
        <v>PAWF-260715-04EAA</v>
      </c>
      <c r="F217" s="19" t="str">
        <f t="array" ref="F217">IFERROR(INDEX(Sales!$F$7:$F$1506,$O217),"")</f>
        <v>FD-DRY-SMHRT-15KG-001</v>
      </c>
      <c r="G217" s="19" t="str">
        <f t="array" ref="G217">IFERROR(INDEX(Sales!$G$7:$G$1506,$O217),"")</f>
        <v>Smart Heart Adult Cat Food Chicken &amp; Tuna [15kg]</v>
      </c>
      <c r="H217" s="96">
        <f t="array" ref="H217">IFERROR(INDEX(Sales!$H$7:$H$1506,$O217),"")</f>
        <v>1</v>
      </c>
      <c r="I217" s="96">
        <f t="array" ref="I217">IFERROR(INDEX(Sales!$I$7:$I$1506,$O217),"")</f>
        <v>6400</v>
      </c>
      <c r="J217" s="96">
        <f t="array" ref="J217">IFERROR(INDEX(Sales!$J$7:$J$1506,$O217),"")</f>
        <v>6700</v>
      </c>
      <c r="K217" s="96">
        <f t="array" ref="K217">IFERROR(INDEX(Sales!$K$7:$K$1506,$O217),"")</f>
        <v>300</v>
      </c>
      <c r="L217" s="96">
        <f t="array" ref="L217">IFERROR(INDEX(Sales!$L$7:$L$1506,$O217),"")</f>
        <v>6400</v>
      </c>
      <c r="M217" s="19" t="str">
        <f t="array" ref="M217">IFERROR(INDEX(Sales!$M$7:$M$1506,$O217),"")</f>
        <v>Paid</v>
      </c>
      <c r="O217" s="111" t="str">
        <f>IFERROR(MATCH(TEXT($B$3,"yyyymm")&amp;"-"&amp;(ROW()-4),Sales!$Y$7:$Y$1506,0),"")</f>
        <v/>
      </c>
    </row>
    <row r="218" ht="14.25" customHeight="1">
      <c r="A218" s="110">
        <f t="array" ref="A218">IFERROR(INDEX(Sales!$A$7:$A$1506,$O218),"")</f>
        <v>46219</v>
      </c>
      <c r="B218" s="19" t="str">
        <f t="array" ref="B218">IFERROR(INDEX(Sales!$B$7:$B$1506,$O218),"")</f>
        <v>Sale</v>
      </c>
      <c r="C218" s="19" t="str">
        <f t="array" ref="C218">IFERROR(INDEX(Sales!$C$7:$C$1506,$O218),"")</f>
        <v>Online</v>
      </c>
      <c r="D218" s="19" t="str">
        <f t="array" ref="D218">IFERROR(INDEX(Sales!$D$7:$D$1506,$O218),"")</f>
        <v>Samreen islam</v>
      </c>
      <c r="E218" s="19" t="str">
        <f t="array" ref="E218">IFERROR(IF(INDEX(Sales!$E$7:$E$1506,$O218)="","",INDEX(Sales!$E$7:$E$1506,$O218)),"")</f>
        <v>PAWF-260715-04EAA</v>
      </c>
      <c r="F218" s="19" t="str">
        <f t="array" ref="F218">IFERROR(INDEX(Sales!$F$7:$F$1506,$O218),"")</f>
        <v>FD-DRY-SMHRT-15KG-001</v>
      </c>
      <c r="G218" s="19" t="str">
        <f t="array" ref="G218">IFERROR(INDEX(Sales!$G$7:$G$1506,$O218),"")</f>
        <v>Smart Heart Adult Cat Food Chicken &amp; Tuna [15kg]</v>
      </c>
      <c r="H218" s="96">
        <f t="array" ref="H218">IFERROR(INDEX(Sales!$H$7:$H$1506,$O218),"")</f>
        <v>1</v>
      </c>
      <c r="I218" s="96">
        <f t="array" ref="I218">IFERROR(INDEX(Sales!$I$7:$I$1506,$O218),"")</f>
        <v>6400</v>
      </c>
      <c r="J218" s="96">
        <f t="array" ref="J218">IFERROR(INDEX(Sales!$J$7:$J$1506,$O218),"")</f>
        <v>6700</v>
      </c>
      <c r="K218" s="96">
        <f t="array" ref="K218">IFERROR(INDEX(Sales!$K$7:$K$1506,$O218),"")</f>
        <v>300</v>
      </c>
      <c r="L218" s="96">
        <f t="array" ref="L218">IFERROR(INDEX(Sales!$L$7:$L$1506,$O218),"")</f>
        <v>6400</v>
      </c>
      <c r="M218" s="19" t="str">
        <f t="array" ref="M218">IFERROR(INDEX(Sales!$M$7:$M$1506,$O218),"")</f>
        <v>Paid</v>
      </c>
      <c r="O218" s="111" t="str">
        <f>IFERROR(MATCH(TEXT($B$3,"yyyymm")&amp;"-"&amp;(ROW()-4),Sales!$Y$7:$Y$1506,0),"")</f>
        <v/>
      </c>
    </row>
    <row r="219" ht="14.25" customHeight="1">
      <c r="A219" s="110">
        <f t="array" ref="A219">IFERROR(INDEX(Sales!$A$7:$A$1506,$O219),"")</f>
        <v>46219</v>
      </c>
      <c r="B219" s="19" t="str">
        <f t="array" ref="B219">IFERROR(INDEX(Sales!$B$7:$B$1506,$O219),"")</f>
        <v>Sale</v>
      </c>
      <c r="C219" s="19" t="str">
        <f t="array" ref="C219">IFERROR(INDEX(Sales!$C$7:$C$1506,$O219),"")</f>
        <v>Online</v>
      </c>
      <c r="D219" s="19" t="str">
        <f t="array" ref="D219">IFERROR(INDEX(Sales!$D$7:$D$1506,$O219),"")</f>
        <v>Samreen islam</v>
      </c>
      <c r="E219" s="19" t="str">
        <f t="array" ref="E219">IFERROR(IF(INDEX(Sales!$E$7:$E$1506,$O219)="","",INDEX(Sales!$E$7:$E$1506,$O219)),"")</f>
        <v>PAWF-260715-04EAA</v>
      </c>
      <c r="F219" s="19" t="str">
        <f t="array" ref="F219">IFERROR(INDEX(Sales!$F$7:$F$1506,$O219),"")</f>
        <v>FD-DRY-SMHRT-15KG-001</v>
      </c>
      <c r="G219" s="19" t="str">
        <f t="array" ref="G219">IFERROR(INDEX(Sales!$G$7:$G$1506,$O219),"")</f>
        <v>Smart Heart Adult Cat Food Chicken &amp; Tuna [15kg]</v>
      </c>
      <c r="H219" s="96">
        <f t="array" ref="H219">IFERROR(INDEX(Sales!$H$7:$H$1506,$O219),"")</f>
        <v>1</v>
      </c>
      <c r="I219" s="96">
        <f t="array" ref="I219">IFERROR(INDEX(Sales!$I$7:$I$1506,$O219),"")</f>
        <v>6400</v>
      </c>
      <c r="J219" s="96">
        <f t="array" ref="J219">IFERROR(INDEX(Sales!$J$7:$J$1506,$O219),"")</f>
        <v>6700</v>
      </c>
      <c r="K219" s="96">
        <f t="array" ref="K219">IFERROR(INDEX(Sales!$K$7:$K$1506,$O219),"")</f>
        <v>300</v>
      </c>
      <c r="L219" s="96">
        <f t="array" ref="L219">IFERROR(INDEX(Sales!$L$7:$L$1506,$O219),"")</f>
        <v>6400</v>
      </c>
      <c r="M219" s="19" t="str">
        <f t="array" ref="M219">IFERROR(INDEX(Sales!$M$7:$M$1506,$O219),"")</f>
        <v>Paid</v>
      </c>
      <c r="O219" s="111" t="str">
        <f>IFERROR(MATCH(TEXT($B$3,"yyyymm")&amp;"-"&amp;(ROW()-4),Sales!$Y$7:$Y$1506,0),"")</f>
        <v/>
      </c>
    </row>
    <row r="220" ht="14.25" customHeight="1">
      <c r="A220" s="110">
        <f t="array" ref="A220">IFERROR(INDEX(Sales!$A$7:$A$1506,$O220),"")</f>
        <v>46219</v>
      </c>
      <c r="B220" s="19" t="str">
        <f t="array" ref="B220">IFERROR(INDEX(Sales!$B$7:$B$1506,$O220),"")</f>
        <v>Sale</v>
      </c>
      <c r="C220" s="19" t="str">
        <f t="array" ref="C220">IFERROR(INDEX(Sales!$C$7:$C$1506,$O220),"")</f>
        <v>Online</v>
      </c>
      <c r="D220" s="19" t="str">
        <f t="array" ref="D220">IFERROR(INDEX(Sales!$D$7:$D$1506,$O220),"")</f>
        <v>Samreen islam</v>
      </c>
      <c r="E220" s="19" t="str">
        <f t="array" ref="E220">IFERROR(IF(INDEX(Sales!$E$7:$E$1506,$O220)="","",INDEX(Sales!$E$7:$E$1506,$O220)),"")</f>
        <v>PAWF-260715-04EAA</v>
      </c>
      <c r="F220" s="19" t="str">
        <f t="array" ref="F220">IFERROR(INDEX(Sales!$F$7:$F$1506,$O220),"")</f>
        <v>FD-DRY-SMHRT-15KG-001</v>
      </c>
      <c r="G220" s="19" t="str">
        <f t="array" ref="G220">IFERROR(INDEX(Sales!$G$7:$G$1506,$O220),"")</f>
        <v>Smart Heart Adult Cat Food Chicken &amp; Tuna [15kg]</v>
      </c>
      <c r="H220" s="96">
        <f t="array" ref="H220">IFERROR(INDEX(Sales!$H$7:$H$1506,$O220),"")</f>
        <v>1</v>
      </c>
      <c r="I220" s="96">
        <f t="array" ref="I220">IFERROR(INDEX(Sales!$I$7:$I$1506,$O220),"")</f>
        <v>6400</v>
      </c>
      <c r="J220" s="96">
        <f t="array" ref="J220">IFERROR(INDEX(Sales!$J$7:$J$1506,$O220),"")</f>
        <v>6700</v>
      </c>
      <c r="K220" s="96">
        <f t="array" ref="K220">IFERROR(INDEX(Sales!$K$7:$K$1506,$O220),"")</f>
        <v>300</v>
      </c>
      <c r="L220" s="96">
        <f t="array" ref="L220">IFERROR(INDEX(Sales!$L$7:$L$1506,$O220),"")</f>
        <v>6400</v>
      </c>
      <c r="M220" s="19" t="str">
        <f t="array" ref="M220">IFERROR(INDEX(Sales!$M$7:$M$1506,$O220),"")</f>
        <v>Paid</v>
      </c>
      <c r="O220" s="111" t="str">
        <f>IFERROR(MATCH(TEXT($B$3,"yyyymm")&amp;"-"&amp;(ROW()-4),Sales!$Y$7:$Y$1506,0),"")</f>
        <v/>
      </c>
    </row>
    <row r="221" ht="14.25" customHeight="1">
      <c r="A221" s="110">
        <f t="array" ref="A221">IFERROR(INDEX(Sales!$A$7:$A$1506,$O221),"")</f>
        <v>46219</v>
      </c>
      <c r="B221" s="19" t="str">
        <f t="array" ref="B221">IFERROR(INDEX(Sales!$B$7:$B$1506,$O221),"")</f>
        <v>Sale</v>
      </c>
      <c r="C221" s="19" t="str">
        <f t="array" ref="C221">IFERROR(INDEX(Sales!$C$7:$C$1506,$O221),"")</f>
        <v>Online</v>
      </c>
      <c r="D221" s="19" t="str">
        <f t="array" ref="D221">IFERROR(INDEX(Sales!$D$7:$D$1506,$O221),"")</f>
        <v>Samreen islam</v>
      </c>
      <c r="E221" s="19" t="str">
        <f t="array" ref="E221">IFERROR(IF(INDEX(Sales!$E$7:$E$1506,$O221)="","",INDEX(Sales!$E$7:$E$1506,$O221)),"")</f>
        <v>PAWF-260715-04EAA</v>
      </c>
      <c r="F221" s="19" t="str">
        <f t="array" ref="F221">IFERROR(INDEX(Sales!$F$7:$F$1506,$O221),"")</f>
        <v>FD-DRY-SMHRT-15KG-001</v>
      </c>
      <c r="G221" s="19" t="str">
        <f t="array" ref="G221">IFERROR(INDEX(Sales!$G$7:$G$1506,$O221),"")</f>
        <v>Smart Heart Adult Cat Food Chicken &amp; Tuna [15kg]</v>
      </c>
      <c r="H221" s="96">
        <f t="array" ref="H221">IFERROR(INDEX(Sales!$H$7:$H$1506,$O221),"")</f>
        <v>1</v>
      </c>
      <c r="I221" s="96">
        <f t="array" ref="I221">IFERROR(INDEX(Sales!$I$7:$I$1506,$O221),"")</f>
        <v>6400</v>
      </c>
      <c r="J221" s="96">
        <f t="array" ref="J221">IFERROR(INDEX(Sales!$J$7:$J$1506,$O221),"")</f>
        <v>6700</v>
      </c>
      <c r="K221" s="96">
        <f t="array" ref="K221">IFERROR(INDEX(Sales!$K$7:$K$1506,$O221),"")</f>
        <v>300</v>
      </c>
      <c r="L221" s="96">
        <f t="array" ref="L221">IFERROR(INDEX(Sales!$L$7:$L$1506,$O221),"")</f>
        <v>6400</v>
      </c>
      <c r="M221" s="19" t="str">
        <f t="array" ref="M221">IFERROR(INDEX(Sales!$M$7:$M$1506,$O221),"")</f>
        <v>Paid</v>
      </c>
      <c r="O221" s="111" t="str">
        <f>IFERROR(MATCH(TEXT($B$3,"yyyymm")&amp;"-"&amp;(ROW()-4),Sales!$Y$7:$Y$1506,0),"")</f>
        <v/>
      </c>
    </row>
    <row r="222" ht="14.25" customHeight="1">
      <c r="A222" s="110">
        <f t="array" ref="A222">IFERROR(INDEX(Sales!$A$7:$A$1506,$O222),"")</f>
        <v>46219</v>
      </c>
      <c r="B222" s="19" t="str">
        <f t="array" ref="B222">IFERROR(INDEX(Sales!$B$7:$B$1506,$O222),"")</f>
        <v>Sale</v>
      </c>
      <c r="C222" s="19" t="str">
        <f t="array" ref="C222">IFERROR(INDEX(Sales!$C$7:$C$1506,$O222),"")</f>
        <v>Online</v>
      </c>
      <c r="D222" s="19" t="str">
        <f t="array" ref="D222">IFERROR(INDEX(Sales!$D$7:$D$1506,$O222),"")</f>
        <v>Samreen islam</v>
      </c>
      <c r="E222" s="19" t="str">
        <f t="array" ref="E222">IFERROR(IF(INDEX(Sales!$E$7:$E$1506,$O222)="","",INDEX(Sales!$E$7:$E$1506,$O222)),"")</f>
        <v>PAWF-260715-04EAA</v>
      </c>
      <c r="F222" s="19" t="str">
        <f t="array" ref="F222">IFERROR(INDEX(Sales!$F$7:$F$1506,$O222),"")</f>
        <v>FD-DRY-SMHRT-15KG-001</v>
      </c>
      <c r="G222" s="19" t="str">
        <f t="array" ref="G222">IFERROR(INDEX(Sales!$G$7:$G$1506,$O222),"")</f>
        <v>Smart Heart Adult Cat Food Chicken &amp; Tuna [15kg]</v>
      </c>
      <c r="H222" s="96">
        <f t="array" ref="H222">IFERROR(INDEX(Sales!$H$7:$H$1506,$O222),"")</f>
        <v>1</v>
      </c>
      <c r="I222" s="96">
        <f t="array" ref="I222">IFERROR(INDEX(Sales!$I$7:$I$1506,$O222),"")</f>
        <v>6400</v>
      </c>
      <c r="J222" s="96">
        <f t="array" ref="J222">IFERROR(INDEX(Sales!$J$7:$J$1506,$O222),"")</f>
        <v>6700</v>
      </c>
      <c r="K222" s="96">
        <f t="array" ref="K222">IFERROR(INDEX(Sales!$K$7:$K$1506,$O222),"")</f>
        <v>300</v>
      </c>
      <c r="L222" s="96">
        <f t="array" ref="L222">IFERROR(INDEX(Sales!$L$7:$L$1506,$O222),"")</f>
        <v>6400</v>
      </c>
      <c r="M222" s="19" t="str">
        <f t="array" ref="M222">IFERROR(INDEX(Sales!$M$7:$M$1506,$O222),"")</f>
        <v>Paid</v>
      </c>
      <c r="O222" s="111" t="str">
        <f>IFERROR(MATCH(TEXT($B$3,"yyyymm")&amp;"-"&amp;(ROW()-4),Sales!$Y$7:$Y$1506,0),"")</f>
        <v/>
      </c>
    </row>
    <row r="223" ht="14.25" customHeight="1">
      <c r="A223" s="110">
        <f t="array" ref="A223">IFERROR(INDEX(Sales!$A$7:$A$1506,$O223),"")</f>
        <v>46219</v>
      </c>
      <c r="B223" s="19" t="str">
        <f t="array" ref="B223">IFERROR(INDEX(Sales!$B$7:$B$1506,$O223),"")</f>
        <v>Sale</v>
      </c>
      <c r="C223" s="19" t="str">
        <f t="array" ref="C223">IFERROR(INDEX(Sales!$C$7:$C$1506,$O223),"")</f>
        <v>Online</v>
      </c>
      <c r="D223" s="19" t="str">
        <f t="array" ref="D223">IFERROR(INDEX(Sales!$D$7:$D$1506,$O223),"")</f>
        <v>Samreen islam</v>
      </c>
      <c r="E223" s="19" t="str">
        <f t="array" ref="E223">IFERROR(IF(INDEX(Sales!$E$7:$E$1506,$O223)="","",INDEX(Sales!$E$7:$E$1506,$O223)),"")</f>
        <v>PAWF-260715-04EAA</v>
      </c>
      <c r="F223" s="19" t="str">
        <f t="array" ref="F223">IFERROR(INDEX(Sales!$F$7:$F$1506,$O223),"")</f>
        <v>FD-DRY-SMHRT-15KG-001</v>
      </c>
      <c r="G223" s="19" t="str">
        <f t="array" ref="G223">IFERROR(INDEX(Sales!$G$7:$G$1506,$O223),"")</f>
        <v>Smart Heart Adult Cat Food Chicken &amp; Tuna [15kg]</v>
      </c>
      <c r="H223" s="96">
        <f t="array" ref="H223">IFERROR(INDEX(Sales!$H$7:$H$1506,$O223),"")</f>
        <v>1</v>
      </c>
      <c r="I223" s="96">
        <f t="array" ref="I223">IFERROR(INDEX(Sales!$I$7:$I$1506,$O223),"")</f>
        <v>6400</v>
      </c>
      <c r="J223" s="96">
        <f t="array" ref="J223">IFERROR(INDEX(Sales!$J$7:$J$1506,$O223),"")</f>
        <v>6700</v>
      </c>
      <c r="K223" s="96">
        <f t="array" ref="K223">IFERROR(INDEX(Sales!$K$7:$K$1506,$O223),"")</f>
        <v>300</v>
      </c>
      <c r="L223" s="96">
        <f t="array" ref="L223">IFERROR(INDEX(Sales!$L$7:$L$1506,$O223),"")</f>
        <v>6400</v>
      </c>
      <c r="M223" s="19" t="str">
        <f t="array" ref="M223">IFERROR(INDEX(Sales!$M$7:$M$1506,$O223),"")</f>
        <v>Paid</v>
      </c>
      <c r="O223" s="111" t="str">
        <f>IFERROR(MATCH(TEXT($B$3,"yyyymm")&amp;"-"&amp;(ROW()-4),Sales!$Y$7:$Y$1506,0),"")</f>
        <v/>
      </c>
    </row>
    <row r="224" ht="14.25" customHeight="1">
      <c r="A224" s="110">
        <f t="array" ref="A224">IFERROR(INDEX(Sales!$A$7:$A$1506,$O224),"")</f>
        <v>46219</v>
      </c>
      <c r="B224" s="19" t="str">
        <f t="array" ref="B224">IFERROR(INDEX(Sales!$B$7:$B$1506,$O224),"")</f>
        <v>Sale</v>
      </c>
      <c r="C224" s="19" t="str">
        <f t="array" ref="C224">IFERROR(INDEX(Sales!$C$7:$C$1506,$O224),"")</f>
        <v>Online</v>
      </c>
      <c r="D224" s="19" t="str">
        <f t="array" ref="D224">IFERROR(INDEX(Sales!$D$7:$D$1506,$O224),"")</f>
        <v>Samreen islam</v>
      </c>
      <c r="E224" s="19" t="str">
        <f t="array" ref="E224">IFERROR(IF(INDEX(Sales!$E$7:$E$1506,$O224)="","",INDEX(Sales!$E$7:$E$1506,$O224)),"")</f>
        <v>PAWF-260715-04EAA</v>
      </c>
      <c r="F224" s="19" t="str">
        <f t="array" ref="F224">IFERROR(INDEX(Sales!$F$7:$F$1506,$O224),"")</f>
        <v>FD-DRY-SMHRT-15KG-001</v>
      </c>
      <c r="G224" s="19" t="str">
        <f t="array" ref="G224">IFERROR(INDEX(Sales!$G$7:$G$1506,$O224),"")</f>
        <v>Smart Heart Adult Cat Food Chicken &amp; Tuna [15kg]</v>
      </c>
      <c r="H224" s="96">
        <f t="array" ref="H224">IFERROR(INDEX(Sales!$H$7:$H$1506,$O224),"")</f>
        <v>1</v>
      </c>
      <c r="I224" s="96">
        <f t="array" ref="I224">IFERROR(INDEX(Sales!$I$7:$I$1506,$O224),"")</f>
        <v>6400</v>
      </c>
      <c r="J224" s="96">
        <f t="array" ref="J224">IFERROR(INDEX(Sales!$J$7:$J$1506,$O224),"")</f>
        <v>6700</v>
      </c>
      <c r="K224" s="96">
        <f t="array" ref="K224">IFERROR(INDEX(Sales!$K$7:$K$1506,$O224),"")</f>
        <v>300</v>
      </c>
      <c r="L224" s="96">
        <f t="array" ref="L224">IFERROR(INDEX(Sales!$L$7:$L$1506,$O224),"")</f>
        <v>6400</v>
      </c>
      <c r="M224" s="19" t="str">
        <f t="array" ref="M224">IFERROR(INDEX(Sales!$M$7:$M$1506,$O224),"")</f>
        <v>Paid</v>
      </c>
      <c r="O224" s="111" t="str">
        <f>IFERROR(MATCH(TEXT($B$3,"yyyymm")&amp;"-"&amp;(ROW()-4),Sales!$Y$7:$Y$1506,0),"")</f>
        <v/>
      </c>
    </row>
    <row r="225" ht="14.25" customHeight="1">
      <c r="A225" s="110">
        <f t="array" ref="A225">IFERROR(INDEX(Sales!$A$7:$A$1506,$O225),"")</f>
        <v>46219</v>
      </c>
      <c r="B225" s="19" t="str">
        <f t="array" ref="B225">IFERROR(INDEX(Sales!$B$7:$B$1506,$O225),"")</f>
        <v>Sale</v>
      </c>
      <c r="C225" s="19" t="str">
        <f t="array" ref="C225">IFERROR(INDEX(Sales!$C$7:$C$1506,$O225),"")</f>
        <v>Online</v>
      </c>
      <c r="D225" s="19" t="str">
        <f t="array" ref="D225">IFERROR(INDEX(Sales!$D$7:$D$1506,$O225),"")</f>
        <v>Samreen islam</v>
      </c>
      <c r="E225" s="19" t="str">
        <f t="array" ref="E225">IFERROR(IF(INDEX(Sales!$E$7:$E$1506,$O225)="","",INDEX(Sales!$E$7:$E$1506,$O225)),"")</f>
        <v>PAWF-260715-04EAA</v>
      </c>
      <c r="F225" s="19" t="str">
        <f t="array" ref="F225">IFERROR(INDEX(Sales!$F$7:$F$1506,$O225),"")</f>
        <v>FD-DRY-SMHRT-15KG-001</v>
      </c>
      <c r="G225" s="19" t="str">
        <f t="array" ref="G225">IFERROR(INDEX(Sales!$G$7:$G$1506,$O225),"")</f>
        <v>Smart Heart Adult Cat Food Chicken &amp; Tuna [15kg]</v>
      </c>
      <c r="H225" s="96">
        <f t="array" ref="H225">IFERROR(INDEX(Sales!$H$7:$H$1506,$O225),"")</f>
        <v>1</v>
      </c>
      <c r="I225" s="96">
        <f t="array" ref="I225">IFERROR(INDEX(Sales!$I$7:$I$1506,$O225),"")</f>
        <v>6400</v>
      </c>
      <c r="J225" s="96">
        <f t="array" ref="J225">IFERROR(INDEX(Sales!$J$7:$J$1506,$O225),"")</f>
        <v>6700</v>
      </c>
      <c r="K225" s="96">
        <f t="array" ref="K225">IFERROR(INDEX(Sales!$K$7:$K$1506,$O225),"")</f>
        <v>300</v>
      </c>
      <c r="L225" s="96">
        <f t="array" ref="L225">IFERROR(INDEX(Sales!$L$7:$L$1506,$O225),"")</f>
        <v>6400</v>
      </c>
      <c r="M225" s="19" t="str">
        <f t="array" ref="M225">IFERROR(INDEX(Sales!$M$7:$M$1506,$O225),"")</f>
        <v>Paid</v>
      </c>
      <c r="O225" s="111" t="str">
        <f>IFERROR(MATCH(TEXT($B$3,"yyyymm")&amp;"-"&amp;(ROW()-4),Sales!$Y$7:$Y$1506,0),"")</f>
        <v/>
      </c>
    </row>
    <row r="226" ht="14.25" customHeight="1">
      <c r="A226" s="110">
        <f t="array" ref="A226">IFERROR(INDEX(Sales!$A$7:$A$1506,$O226),"")</f>
        <v>46219</v>
      </c>
      <c r="B226" s="19" t="str">
        <f t="array" ref="B226">IFERROR(INDEX(Sales!$B$7:$B$1506,$O226),"")</f>
        <v>Sale</v>
      </c>
      <c r="C226" s="19" t="str">
        <f t="array" ref="C226">IFERROR(INDEX(Sales!$C$7:$C$1506,$O226),"")</f>
        <v>Online</v>
      </c>
      <c r="D226" s="19" t="str">
        <f t="array" ref="D226">IFERROR(INDEX(Sales!$D$7:$D$1506,$O226),"")</f>
        <v>Samreen islam</v>
      </c>
      <c r="E226" s="19" t="str">
        <f t="array" ref="E226">IFERROR(IF(INDEX(Sales!$E$7:$E$1506,$O226)="","",INDEX(Sales!$E$7:$E$1506,$O226)),"")</f>
        <v>PAWF-260715-04EAA</v>
      </c>
      <c r="F226" s="19" t="str">
        <f t="array" ref="F226">IFERROR(INDEX(Sales!$F$7:$F$1506,$O226),"")</f>
        <v>FD-DRY-SMHRT-15KG-001</v>
      </c>
      <c r="G226" s="19" t="str">
        <f t="array" ref="G226">IFERROR(INDEX(Sales!$G$7:$G$1506,$O226),"")</f>
        <v>Smart Heart Adult Cat Food Chicken &amp; Tuna [15kg]</v>
      </c>
      <c r="H226" s="96">
        <f t="array" ref="H226">IFERROR(INDEX(Sales!$H$7:$H$1506,$O226),"")</f>
        <v>1</v>
      </c>
      <c r="I226" s="96">
        <f t="array" ref="I226">IFERROR(INDEX(Sales!$I$7:$I$1506,$O226),"")</f>
        <v>6400</v>
      </c>
      <c r="J226" s="96">
        <f t="array" ref="J226">IFERROR(INDEX(Sales!$J$7:$J$1506,$O226),"")</f>
        <v>6700</v>
      </c>
      <c r="K226" s="96">
        <f t="array" ref="K226">IFERROR(INDEX(Sales!$K$7:$K$1506,$O226),"")</f>
        <v>300</v>
      </c>
      <c r="L226" s="96">
        <f t="array" ref="L226">IFERROR(INDEX(Sales!$L$7:$L$1506,$O226),"")</f>
        <v>6400</v>
      </c>
      <c r="M226" s="19" t="str">
        <f t="array" ref="M226">IFERROR(INDEX(Sales!$M$7:$M$1506,$O226),"")</f>
        <v>Paid</v>
      </c>
      <c r="O226" s="111" t="str">
        <f>IFERROR(MATCH(TEXT($B$3,"yyyymm")&amp;"-"&amp;(ROW()-4),Sales!$Y$7:$Y$1506,0),"")</f>
        <v/>
      </c>
    </row>
    <row r="227" ht="14.25" customHeight="1">
      <c r="A227" s="110">
        <f t="array" ref="A227">IFERROR(INDEX(Sales!$A$7:$A$1506,$O227),"")</f>
        <v>46219</v>
      </c>
      <c r="B227" s="19" t="str">
        <f t="array" ref="B227">IFERROR(INDEX(Sales!$B$7:$B$1506,$O227),"")</f>
        <v>Sale</v>
      </c>
      <c r="C227" s="19" t="str">
        <f t="array" ref="C227">IFERROR(INDEX(Sales!$C$7:$C$1506,$O227),"")</f>
        <v>Online</v>
      </c>
      <c r="D227" s="19" t="str">
        <f t="array" ref="D227">IFERROR(INDEX(Sales!$D$7:$D$1506,$O227),"")</f>
        <v>Samreen islam</v>
      </c>
      <c r="E227" s="19" t="str">
        <f t="array" ref="E227">IFERROR(IF(INDEX(Sales!$E$7:$E$1506,$O227)="","",INDEX(Sales!$E$7:$E$1506,$O227)),"")</f>
        <v>PAWF-260715-04EAA</v>
      </c>
      <c r="F227" s="19" t="str">
        <f t="array" ref="F227">IFERROR(INDEX(Sales!$F$7:$F$1506,$O227),"")</f>
        <v>FD-DRY-SMHRT-15KG-001</v>
      </c>
      <c r="G227" s="19" t="str">
        <f t="array" ref="G227">IFERROR(INDEX(Sales!$G$7:$G$1506,$O227),"")</f>
        <v>Smart Heart Adult Cat Food Chicken &amp; Tuna [15kg]</v>
      </c>
      <c r="H227" s="96">
        <f t="array" ref="H227">IFERROR(INDEX(Sales!$H$7:$H$1506,$O227),"")</f>
        <v>1</v>
      </c>
      <c r="I227" s="96">
        <f t="array" ref="I227">IFERROR(INDEX(Sales!$I$7:$I$1506,$O227),"")</f>
        <v>6400</v>
      </c>
      <c r="J227" s="96">
        <f t="array" ref="J227">IFERROR(INDEX(Sales!$J$7:$J$1506,$O227),"")</f>
        <v>6700</v>
      </c>
      <c r="K227" s="96">
        <f t="array" ref="K227">IFERROR(INDEX(Sales!$K$7:$K$1506,$O227),"")</f>
        <v>300</v>
      </c>
      <c r="L227" s="96">
        <f t="array" ref="L227">IFERROR(INDEX(Sales!$L$7:$L$1506,$O227),"")</f>
        <v>6400</v>
      </c>
      <c r="M227" s="19" t="str">
        <f t="array" ref="M227">IFERROR(INDEX(Sales!$M$7:$M$1506,$O227),"")</f>
        <v>Paid</v>
      </c>
      <c r="O227" s="111" t="str">
        <f>IFERROR(MATCH(TEXT($B$3,"yyyymm")&amp;"-"&amp;(ROW()-4),Sales!$Y$7:$Y$1506,0),"")</f>
        <v/>
      </c>
    </row>
    <row r="228" ht="14.25" customHeight="1">
      <c r="A228" s="110">
        <f t="array" ref="A228">IFERROR(INDEX(Sales!$A$7:$A$1506,$O228),"")</f>
        <v>46219</v>
      </c>
      <c r="B228" s="19" t="str">
        <f t="array" ref="B228">IFERROR(INDEX(Sales!$B$7:$B$1506,$O228),"")</f>
        <v>Sale</v>
      </c>
      <c r="C228" s="19" t="str">
        <f t="array" ref="C228">IFERROR(INDEX(Sales!$C$7:$C$1506,$O228),"")</f>
        <v>Online</v>
      </c>
      <c r="D228" s="19" t="str">
        <f t="array" ref="D228">IFERROR(INDEX(Sales!$D$7:$D$1506,$O228),"")</f>
        <v>Samreen islam</v>
      </c>
      <c r="E228" s="19" t="str">
        <f t="array" ref="E228">IFERROR(IF(INDEX(Sales!$E$7:$E$1506,$O228)="","",INDEX(Sales!$E$7:$E$1506,$O228)),"")</f>
        <v>PAWF-260715-04EAA</v>
      </c>
      <c r="F228" s="19" t="str">
        <f t="array" ref="F228">IFERROR(INDEX(Sales!$F$7:$F$1506,$O228),"")</f>
        <v>FD-DRY-SMHRT-15KG-001</v>
      </c>
      <c r="G228" s="19" t="str">
        <f t="array" ref="G228">IFERROR(INDEX(Sales!$G$7:$G$1506,$O228),"")</f>
        <v>Smart Heart Adult Cat Food Chicken &amp; Tuna [15kg]</v>
      </c>
      <c r="H228" s="96">
        <f t="array" ref="H228">IFERROR(INDEX(Sales!$H$7:$H$1506,$O228),"")</f>
        <v>1</v>
      </c>
      <c r="I228" s="96">
        <f t="array" ref="I228">IFERROR(INDEX(Sales!$I$7:$I$1506,$O228),"")</f>
        <v>6400</v>
      </c>
      <c r="J228" s="96">
        <f t="array" ref="J228">IFERROR(INDEX(Sales!$J$7:$J$1506,$O228),"")</f>
        <v>6700</v>
      </c>
      <c r="K228" s="96">
        <f t="array" ref="K228">IFERROR(INDEX(Sales!$K$7:$K$1506,$O228),"")</f>
        <v>300</v>
      </c>
      <c r="L228" s="96">
        <f t="array" ref="L228">IFERROR(INDEX(Sales!$L$7:$L$1506,$O228),"")</f>
        <v>6400</v>
      </c>
      <c r="M228" s="19" t="str">
        <f t="array" ref="M228">IFERROR(INDEX(Sales!$M$7:$M$1506,$O228),"")</f>
        <v>Paid</v>
      </c>
      <c r="O228" s="111" t="str">
        <f>IFERROR(MATCH(TEXT($B$3,"yyyymm")&amp;"-"&amp;(ROW()-4),Sales!$Y$7:$Y$1506,0),"")</f>
        <v/>
      </c>
    </row>
    <row r="229" ht="14.25" customHeight="1">
      <c r="A229" s="110">
        <f t="array" ref="A229">IFERROR(INDEX(Sales!$A$7:$A$1506,$O229),"")</f>
        <v>46219</v>
      </c>
      <c r="B229" s="19" t="str">
        <f t="array" ref="B229">IFERROR(INDEX(Sales!$B$7:$B$1506,$O229),"")</f>
        <v>Sale</v>
      </c>
      <c r="C229" s="19" t="str">
        <f t="array" ref="C229">IFERROR(INDEX(Sales!$C$7:$C$1506,$O229),"")</f>
        <v>Online</v>
      </c>
      <c r="D229" s="19" t="str">
        <f t="array" ref="D229">IFERROR(INDEX(Sales!$D$7:$D$1506,$O229),"")</f>
        <v>Samreen islam</v>
      </c>
      <c r="E229" s="19" t="str">
        <f t="array" ref="E229">IFERROR(IF(INDEX(Sales!$E$7:$E$1506,$O229)="","",INDEX(Sales!$E$7:$E$1506,$O229)),"")</f>
        <v>PAWF-260715-04EAA</v>
      </c>
      <c r="F229" s="19" t="str">
        <f t="array" ref="F229">IFERROR(INDEX(Sales!$F$7:$F$1506,$O229),"")</f>
        <v>FD-DRY-SMHRT-15KG-001</v>
      </c>
      <c r="G229" s="19" t="str">
        <f t="array" ref="G229">IFERROR(INDEX(Sales!$G$7:$G$1506,$O229),"")</f>
        <v>Smart Heart Adult Cat Food Chicken &amp; Tuna [15kg]</v>
      </c>
      <c r="H229" s="96">
        <f t="array" ref="H229">IFERROR(INDEX(Sales!$H$7:$H$1506,$O229),"")</f>
        <v>1</v>
      </c>
      <c r="I229" s="96">
        <f t="array" ref="I229">IFERROR(INDEX(Sales!$I$7:$I$1506,$O229),"")</f>
        <v>6400</v>
      </c>
      <c r="J229" s="96">
        <f t="array" ref="J229">IFERROR(INDEX(Sales!$J$7:$J$1506,$O229),"")</f>
        <v>6700</v>
      </c>
      <c r="K229" s="96">
        <f t="array" ref="K229">IFERROR(INDEX(Sales!$K$7:$K$1506,$O229),"")</f>
        <v>300</v>
      </c>
      <c r="L229" s="96">
        <f t="array" ref="L229">IFERROR(INDEX(Sales!$L$7:$L$1506,$O229),"")</f>
        <v>6400</v>
      </c>
      <c r="M229" s="19" t="str">
        <f t="array" ref="M229">IFERROR(INDEX(Sales!$M$7:$M$1506,$O229),"")</f>
        <v>Paid</v>
      </c>
      <c r="O229" s="111" t="str">
        <f>IFERROR(MATCH(TEXT($B$3,"yyyymm")&amp;"-"&amp;(ROW()-4),Sales!$Y$7:$Y$1506,0),"")</f>
        <v/>
      </c>
    </row>
    <row r="230" ht="14.25" customHeight="1">
      <c r="A230" s="110">
        <f t="array" ref="A230">IFERROR(INDEX(Sales!$A$7:$A$1506,$O230),"")</f>
        <v>46219</v>
      </c>
      <c r="B230" s="19" t="str">
        <f t="array" ref="B230">IFERROR(INDEX(Sales!$B$7:$B$1506,$O230),"")</f>
        <v>Sale</v>
      </c>
      <c r="C230" s="19" t="str">
        <f t="array" ref="C230">IFERROR(INDEX(Sales!$C$7:$C$1506,$O230),"")</f>
        <v>Online</v>
      </c>
      <c r="D230" s="19" t="str">
        <f t="array" ref="D230">IFERROR(INDEX(Sales!$D$7:$D$1506,$O230),"")</f>
        <v>Samreen islam</v>
      </c>
      <c r="E230" s="19" t="str">
        <f t="array" ref="E230">IFERROR(IF(INDEX(Sales!$E$7:$E$1506,$O230)="","",INDEX(Sales!$E$7:$E$1506,$O230)),"")</f>
        <v>PAWF-260715-04EAA</v>
      </c>
      <c r="F230" s="19" t="str">
        <f t="array" ref="F230">IFERROR(INDEX(Sales!$F$7:$F$1506,$O230),"")</f>
        <v>FD-DRY-SMHRT-15KG-001</v>
      </c>
      <c r="G230" s="19" t="str">
        <f t="array" ref="G230">IFERROR(INDEX(Sales!$G$7:$G$1506,$O230),"")</f>
        <v>Smart Heart Adult Cat Food Chicken &amp; Tuna [15kg]</v>
      </c>
      <c r="H230" s="96">
        <f t="array" ref="H230">IFERROR(INDEX(Sales!$H$7:$H$1506,$O230),"")</f>
        <v>1</v>
      </c>
      <c r="I230" s="96">
        <f t="array" ref="I230">IFERROR(INDEX(Sales!$I$7:$I$1506,$O230),"")</f>
        <v>6400</v>
      </c>
      <c r="J230" s="96">
        <f t="array" ref="J230">IFERROR(INDEX(Sales!$J$7:$J$1506,$O230),"")</f>
        <v>6700</v>
      </c>
      <c r="K230" s="96">
        <f t="array" ref="K230">IFERROR(INDEX(Sales!$K$7:$K$1506,$O230),"")</f>
        <v>300</v>
      </c>
      <c r="L230" s="96">
        <f t="array" ref="L230">IFERROR(INDEX(Sales!$L$7:$L$1506,$O230),"")</f>
        <v>6400</v>
      </c>
      <c r="M230" s="19" t="str">
        <f t="array" ref="M230">IFERROR(INDEX(Sales!$M$7:$M$1506,$O230),"")</f>
        <v>Paid</v>
      </c>
      <c r="O230" s="111" t="str">
        <f>IFERROR(MATCH(TEXT($B$3,"yyyymm")&amp;"-"&amp;(ROW()-4),Sales!$Y$7:$Y$1506,0),"")</f>
        <v/>
      </c>
    </row>
    <row r="231" ht="14.25" customHeight="1">
      <c r="A231" s="110">
        <f t="array" ref="A231">IFERROR(INDEX(Sales!$A$7:$A$1506,$O231),"")</f>
        <v>46219</v>
      </c>
      <c r="B231" s="19" t="str">
        <f t="array" ref="B231">IFERROR(INDEX(Sales!$B$7:$B$1506,$O231),"")</f>
        <v>Sale</v>
      </c>
      <c r="C231" s="19" t="str">
        <f t="array" ref="C231">IFERROR(INDEX(Sales!$C$7:$C$1506,$O231),"")</f>
        <v>Online</v>
      </c>
      <c r="D231" s="19" t="str">
        <f t="array" ref="D231">IFERROR(INDEX(Sales!$D$7:$D$1506,$O231),"")</f>
        <v>Samreen islam</v>
      </c>
      <c r="E231" s="19" t="str">
        <f t="array" ref="E231">IFERROR(IF(INDEX(Sales!$E$7:$E$1506,$O231)="","",INDEX(Sales!$E$7:$E$1506,$O231)),"")</f>
        <v>PAWF-260715-04EAA</v>
      </c>
      <c r="F231" s="19" t="str">
        <f t="array" ref="F231">IFERROR(INDEX(Sales!$F$7:$F$1506,$O231),"")</f>
        <v>FD-DRY-SMHRT-15KG-001</v>
      </c>
      <c r="G231" s="19" t="str">
        <f t="array" ref="G231">IFERROR(INDEX(Sales!$G$7:$G$1506,$O231),"")</f>
        <v>Smart Heart Adult Cat Food Chicken &amp; Tuna [15kg]</v>
      </c>
      <c r="H231" s="96">
        <f t="array" ref="H231">IFERROR(INDEX(Sales!$H$7:$H$1506,$O231),"")</f>
        <v>1</v>
      </c>
      <c r="I231" s="96">
        <f t="array" ref="I231">IFERROR(INDEX(Sales!$I$7:$I$1506,$O231),"")</f>
        <v>6400</v>
      </c>
      <c r="J231" s="96">
        <f t="array" ref="J231">IFERROR(INDEX(Sales!$J$7:$J$1506,$O231),"")</f>
        <v>6700</v>
      </c>
      <c r="K231" s="96">
        <f t="array" ref="K231">IFERROR(INDEX(Sales!$K$7:$K$1506,$O231),"")</f>
        <v>300</v>
      </c>
      <c r="L231" s="96">
        <f t="array" ref="L231">IFERROR(INDEX(Sales!$L$7:$L$1506,$O231),"")</f>
        <v>6400</v>
      </c>
      <c r="M231" s="19" t="str">
        <f t="array" ref="M231">IFERROR(INDEX(Sales!$M$7:$M$1506,$O231),"")</f>
        <v>Paid</v>
      </c>
      <c r="O231" s="111" t="str">
        <f>IFERROR(MATCH(TEXT($B$3,"yyyymm")&amp;"-"&amp;(ROW()-4),Sales!$Y$7:$Y$1506,0),"")</f>
        <v/>
      </c>
    </row>
    <row r="232" ht="14.25" customHeight="1">
      <c r="A232" s="110">
        <f t="array" ref="A232">IFERROR(INDEX(Sales!$A$7:$A$1506,$O232),"")</f>
        <v>46219</v>
      </c>
      <c r="B232" s="19" t="str">
        <f t="array" ref="B232">IFERROR(INDEX(Sales!$B$7:$B$1506,$O232),"")</f>
        <v>Sale</v>
      </c>
      <c r="C232" s="19" t="str">
        <f t="array" ref="C232">IFERROR(INDEX(Sales!$C$7:$C$1506,$O232),"")</f>
        <v>Online</v>
      </c>
      <c r="D232" s="19" t="str">
        <f t="array" ref="D232">IFERROR(INDEX(Sales!$D$7:$D$1506,$O232),"")</f>
        <v>Samreen islam</v>
      </c>
      <c r="E232" s="19" t="str">
        <f t="array" ref="E232">IFERROR(IF(INDEX(Sales!$E$7:$E$1506,$O232)="","",INDEX(Sales!$E$7:$E$1506,$O232)),"")</f>
        <v>PAWF-260715-04EAA</v>
      </c>
      <c r="F232" s="19" t="str">
        <f t="array" ref="F232">IFERROR(INDEX(Sales!$F$7:$F$1506,$O232),"")</f>
        <v>FD-DRY-SMHRT-15KG-001</v>
      </c>
      <c r="G232" s="19" t="str">
        <f t="array" ref="G232">IFERROR(INDEX(Sales!$G$7:$G$1506,$O232),"")</f>
        <v>Smart Heart Adult Cat Food Chicken &amp; Tuna [15kg]</v>
      </c>
      <c r="H232" s="96">
        <f t="array" ref="H232">IFERROR(INDEX(Sales!$H$7:$H$1506,$O232),"")</f>
        <v>1</v>
      </c>
      <c r="I232" s="96">
        <f t="array" ref="I232">IFERROR(INDEX(Sales!$I$7:$I$1506,$O232),"")</f>
        <v>6400</v>
      </c>
      <c r="J232" s="96">
        <f t="array" ref="J232">IFERROR(INDEX(Sales!$J$7:$J$1506,$O232),"")</f>
        <v>6700</v>
      </c>
      <c r="K232" s="96">
        <f t="array" ref="K232">IFERROR(INDEX(Sales!$K$7:$K$1506,$O232),"")</f>
        <v>300</v>
      </c>
      <c r="L232" s="96">
        <f t="array" ref="L232">IFERROR(INDEX(Sales!$L$7:$L$1506,$O232),"")</f>
        <v>6400</v>
      </c>
      <c r="M232" s="19" t="str">
        <f t="array" ref="M232">IFERROR(INDEX(Sales!$M$7:$M$1506,$O232),"")</f>
        <v>Paid</v>
      </c>
      <c r="O232" s="111" t="str">
        <f>IFERROR(MATCH(TEXT($B$3,"yyyymm")&amp;"-"&amp;(ROW()-4),Sales!$Y$7:$Y$1506,0),"")</f>
        <v/>
      </c>
    </row>
    <row r="233" ht="14.25" customHeight="1">
      <c r="A233" s="110">
        <f t="array" ref="A233">IFERROR(INDEX(Sales!$A$7:$A$1506,$O233),"")</f>
        <v>46219</v>
      </c>
      <c r="B233" s="19" t="str">
        <f t="array" ref="B233">IFERROR(INDEX(Sales!$B$7:$B$1506,$O233),"")</f>
        <v>Sale</v>
      </c>
      <c r="C233" s="19" t="str">
        <f t="array" ref="C233">IFERROR(INDEX(Sales!$C$7:$C$1506,$O233),"")</f>
        <v>Online</v>
      </c>
      <c r="D233" s="19" t="str">
        <f t="array" ref="D233">IFERROR(INDEX(Sales!$D$7:$D$1506,$O233),"")</f>
        <v>Samreen islam</v>
      </c>
      <c r="E233" s="19" t="str">
        <f t="array" ref="E233">IFERROR(IF(INDEX(Sales!$E$7:$E$1506,$O233)="","",INDEX(Sales!$E$7:$E$1506,$O233)),"")</f>
        <v>PAWF-260715-04EAA</v>
      </c>
      <c r="F233" s="19" t="str">
        <f t="array" ref="F233">IFERROR(INDEX(Sales!$F$7:$F$1506,$O233),"")</f>
        <v>FD-DRY-SMHRT-15KG-001</v>
      </c>
      <c r="G233" s="19" t="str">
        <f t="array" ref="G233">IFERROR(INDEX(Sales!$G$7:$G$1506,$O233),"")</f>
        <v>Smart Heart Adult Cat Food Chicken &amp; Tuna [15kg]</v>
      </c>
      <c r="H233" s="96">
        <f t="array" ref="H233">IFERROR(INDEX(Sales!$H$7:$H$1506,$O233),"")</f>
        <v>1</v>
      </c>
      <c r="I233" s="96">
        <f t="array" ref="I233">IFERROR(INDEX(Sales!$I$7:$I$1506,$O233),"")</f>
        <v>6400</v>
      </c>
      <c r="J233" s="96">
        <f t="array" ref="J233">IFERROR(INDEX(Sales!$J$7:$J$1506,$O233),"")</f>
        <v>6700</v>
      </c>
      <c r="K233" s="96">
        <f t="array" ref="K233">IFERROR(INDEX(Sales!$K$7:$K$1506,$O233),"")</f>
        <v>300</v>
      </c>
      <c r="L233" s="96">
        <f t="array" ref="L233">IFERROR(INDEX(Sales!$L$7:$L$1506,$O233),"")</f>
        <v>6400</v>
      </c>
      <c r="M233" s="19" t="str">
        <f t="array" ref="M233">IFERROR(INDEX(Sales!$M$7:$M$1506,$O233),"")</f>
        <v>Paid</v>
      </c>
      <c r="O233" s="111" t="str">
        <f>IFERROR(MATCH(TEXT($B$3,"yyyymm")&amp;"-"&amp;(ROW()-4),Sales!$Y$7:$Y$1506,0),"")</f>
        <v/>
      </c>
    </row>
    <row r="234" ht="14.25" customHeight="1">
      <c r="A234" s="110">
        <f t="array" ref="A234">IFERROR(INDEX(Sales!$A$7:$A$1506,$O234),"")</f>
        <v>46219</v>
      </c>
      <c r="B234" s="19" t="str">
        <f t="array" ref="B234">IFERROR(INDEX(Sales!$B$7:$B$1506,$O234),"")</f>
        <v>Sale</v>
      </c>
      <c r="C234" s="19" t="str">
        <f t="array" ref="C234">IFERROR(INDEX(Sales!$C$7:$C$1506,$O234),"")</f>
        <v>Online</v>
      </c>
      <c r="D234" s="19" t="str">
        <f t="array" ref="D234">IFERROR(INDEX(Sales!$D$7:$D$1506,$O234),"")</f>
        <v>Samreen islam</v>
      </c>
      <c r="E234" s="19" t="str">
        <f t="array" ref="E234">IFERROR(IF(INDEX(Sales!$E$7:$E$1506,$O234)="","",INDEX(Sales!$E$7:$E$1506,$O234)),"")</f>
        <v>PAWF-260715-04EAA</v>
      </c>
      <c r="F234" s="19" t="str">
        <f t="array" ref="F234">IFERROR(INDEX(Sales!$F$7:$F$1506,$O234),"")</f>
        <v>FD-DRY-SMHRT-15KG-001</v>
      </c>
      <c r="G234" s="19" t="str">
        <f t="array" ref="G234">IFERROR(INDEX(Sales!$G$7:$G$1506,$O234),"")</f>
        <v>Smart Heart Adult Cat Food Chicken &amp; Tuna [15kg]</v>
      </c>
      <c r="H234" s="96">
        <f t="array" ref="H234">IFERROR(INDEX(Sales!$H$7:$H$1506,$O234),"")</f>
        <v>1</v>
      </c>
      <c r="I234" s="96">
        <f t="array" ref="I234">IFERROR(INDEX(Sales!$I$7:$I$1506,$O234),"")</f>
        <v>6400</v>
      </c>
      <c r="J234" s="96">
        <f t="array" ref="J234">IFERROR(INDEX(Sales!$J$7:$J$1506,$O234),"")</f>
        <v>6700</v>
      </c>
      <c r="K234" s="96">
        <f t="array" ref="K234">IFERROR(INDEX(Sales!$K$7:$K$1506,$O234),"")</f>
        <v>300</v>
      </c>
      <c r="L234" s="96">
        <f t="array" ref="L234">IFERROR(INDEX(Sales!$L$7:$L$1506,$O234),"")</f>
        <v>6400</v>
      </c>
      <c r="M234" s="19" t="str">
        <f t="array" ref="M234">IFERROR(INDEX(Sales!$M$7:$M$1506,$O234),"")</f>
        <v>Paid</v>
      </c>
      <c r="O234" s="111" t="str">
        <f>IFERROR(MATCH(TEXT($B$3,"yyyymm")&amp;"-"&amp;(ROW()-4),Sales!$Y$7:$Y$1506,0),"")</f>
        <v/>
      </c>
    </row>
    <row r="235" ht="14.25" customHeight="1">
      <c r="A235" s="110">
        <f t="array" ref="A235">IFERROR(INDEX(Sales!$A$7:$A$1506,$O235),"")</f>
        <v>46219</v>
      </c>
      <c r="B235" s="19" t="str">
        <f t="array" ref="B235">IFERROR(INDEX(Sales!$B$7:$B$1506,$O235),"")</f>
        <v>Sale</v>
      </c>
      <c r="C235" s="19" t="str">
        <f t="array" ref="C235">IFERROR(INDEX(Sales!$C$7:$C$1506,$O235),"")</f>
        <v>Online</v>
      </c>
      <c r="D235" s="19" t="str">
        <f t="array" ref="D235">IFERROR(INDEX(Sales!$D$7:$D$1506,$O235),"")</f>
        <v>Samreen islam</v>
      </c>
      <c r="E235" s="19" t="str">
        <f t="array" ref="E235">IFERROR(IF(INDEX(Sales!$E$7:$E$1506,$O235)="","",INDEX(Sales!$E$7:$E$1506,$O235)),"")</f>
        <v>PAWF-260715-04EAA</v>
      </c>
      <c r="F235" s="19" t="str">
        <f t="array" ref="F235">IFERROR(INDEX(Sales!$F$7:$F$1506,$O235),"")</f>
        <v>FD-DRY-SMHRT-15KG-001</v>
      </c>
      <c r="G235" s="19" t="str">
        <f t="array" ref="G235">IFERROR(INDEX(Sales!$G$7:$G$1506,$O235),"")</f>
        <v>Smart Heart Adult Cat Food Chicken &amp; Tuna [15kg]</v>
      </c>
      <c r="H235" s="96">
        <f t="array" ref="H235">IFERROR(INDEX(Sales!$H$7:$H$1506,$O235),"")</f>
        <v>1</v>
      </c>
      <c r="I235" s="96">
        <f t="array" ref="I235">IFERROR(INDEX(Sales!$I$7:$I$1506,$O235),"")</f>
        <v>6400</v>
      </c>
      <c r="J235" s="96">
        <f t="array" ref="J235">IFERROR(INDEX(Sales!$J$7:$J$1506,$O235),"")</f>
        <v>6700</v>
      </c>
      <c r="K235" s="96">
        <f t="array" ref="K235">IFERROR(INDEX(Sales!$K$7:$K$1506,$O235),"")</f>
        <v>300</v>
      </c>
      <c r="L235" s="96">
        <f t="array" ref="L235">IFERROR(INDEX(Sales!$L$7:$L$1506,$O235),"")</f>
        <v>6400</v>
      </c>
      <c r="M235" s="19" t="str">
        <f t="array" ref="M235">IFERROR(INDEX(Sales!$M$7:$M$1506,$O235),"")</f>
        <v>Paid</v>
      </c>
      <c r="O235" s="111" t="str">
        <f>IFERROR(MATCH(TEXT($B$3,"yyyymm")&amp;"-"&amp;(ROW()-4),Sales!$Y$7:$Y$1506,0),"")</f>
        <v/>
      </c>
    </row>
    <row r="236" ht="14.25" customHeight="1">
      <c r="A236" s="110">
        <f t="array" ref="A236">IFERROR(INDEX(Sales!$A$7:$A$1506,$O236),"")</f>
        <v>46219</v>
      </c>
      <c r="B236" s="19" t="str">
        <f t="array" ref="B236">IFERROR(INDEX(Sales!$B$7:$B$1506,$O236),"")</f>
        <v>Sale</v>
      </c>
      <c r="C236" s="19" t="str">
        <f t="array" ref="C236">IFERROR(INDEX(Sales!$C$7:$C$1506,$O236),"")</f>
        <v>Online</v>
      </c>
      <c r="D236" s="19" t="str">
        <f t="array" ref="D236">IFERROR(INDEX(Sales!$D$7:$D$1506,$O236),"")</f>
        <v>Samreen islam</v>
      </c>
      <c r="E236" s="19" t="str">
        <f t="array" ref="E236">IFERROR(IF(INDEX(Sales!$E$7:$E$1506,$O236)="","",INDEX(Sales!$E$7:$E$1506,$O236)),"")</f>
        <v>PAWF-260715-04EAA</v>
      </c>
      <c r="F236" s="19" t="str">
        <f t="array" ref="F236">IFERROR(INDEX(Sales!$F$7:$F$1506,$O236),"")</f>
        <v>FD-DRY-SMHRT-15KG-001</v>
      </c>
      <c r="G236" s="19" t="str">
        <f t="array" ref="G236">IFERROR(INDEX(Sales!$G$7:$G$1506,$O236),"")</f>
        <v>Smart Heart Adult Cat Food Chicken &amp; Tuna [15kg]</v>
      </c>
      <c r="H236" s="96">
        <f t="array" ref="H236">IFERROR(INDEX(Sales!$H$7:$H$1506,$O236),"")</f>
        <v>1</v>
      </c>
      <c r="I236" s="96">
        <f t="array" ref="I236">IFERROR(INDEX(Sales!$I$7:$I$1506,$O236),"")</f>
        <v>6400</v>
      </c>
      <c r="J236" s="96">
        <f t="array" ref="J236">IFERROR(INDEX(Sales!$J$7:$J$1506,$O236),"")</f>
        <v>6700</v>
      </c>
      <c r="K236" s="96">
        <f t="array" ref="K236">IFERROR(INDEX(Sales!$K$7:$K$1506,$O236),"")</f>
        <v>300</v>
      </c>
      <c r="L236" s="96">
        <f t="array" ref="L236">IFERROR(INDEX(Sales!$L$7:$L$1506,$O236),"")</f>
        <v>6400</v>
      </c>
      <c r="M236" s="19" t="str">
        <f t="array" ref="M236">IFERROR(INDEX(Sales!$M$7:$M$1506,$O236),"")</f>
        <v>Paid</v>
      </c>
      <c r="O236" s="111" t="str">
        <f>IFERROR(MATCH(TEXT($B$3,"yyyymm")&amp;"-"&amp;(ROW()-4),Sales!$Y$7:$Y$1506,0),"")</f>
        <v/>
      </c>
    </row>
    <row r="237" ht="14.25" customHeight="1">
      <c r="A237" s="110">
        <f t="array" ref="A237">IFERROR(INDEX(Sales!$A$7:$A$1506,$O237),"")</f>
        <v>46219</v>
      </c>
      <c r="B237" s="19" t="str">
        <f t="array" ref="B237">IFERROR(INDEX(Sales!$B$7:$B$1506,$O237),"")</f>
        <v>Sale</v>
      </c>
      <c r="C237" s="19" t="str">
        <f t="array" ref="C237">IFERROR(INDEX(Sales!$C$7:$C$1506,$O237),"")</f>
        <v>Online</v>
      </c>
      <c r="D237" s="19" t="str">
        <f t="array" ref="D237">IFERROR(INDEX(Sales!$D$7:$D$1506,$O237),"")</f>
        <v>Samreen islam</v>
      </c>
      <c r="E237" s="19" t="str">
        <f t="array" ref="E237">IFERROR(IF(INDEX(Sales!$E$7:$E$1506,$O237)="","",INDEX(Sales!$E$7:$E$1506,$O237)),"")</f>
        <v>PAWF-260715-04EAA</v>
      </c>
      <c r="F237" s="19" t="str">
        <f t="array" ref="F237">IFERROR(INDEX(Sales!$F$7:$F$1506,$O237),"")</f>
        <v>FD-DRY-SMHRT-15KG-001</v>
      </c>
      <c r="G237" s="19" t="str">
        <f t="array" ref="G237">IFERROR(INDEX(Sales!$G$7:$G$1506,$O237),"")</f>
        <v>Smart Heart Adult Cat Food Chicken &amp; Tuna [15kg]</v>
      </c>
      <c r="H237" s="96">
        <f t="array" ref="H237">IFERROR(INDEX(Sales!$H$7:$H$1506,$O237),"")</f>
        <v>1</v>
      </c>
      <c r="I237" s="96">
        <f t="array" ref="I237">IFERROR(INDEX(Sales!$I$7:$I$1506,$O237),"")</f>
        <v>6400</v>
      </c>
      <c r="J237" s="96">
        <f t="array" ref="J237">IFERROR(INDEX(Sales!$J$7:$J$1506,$O237),"")</f>
        <v>6700</v>
      </c>
      <c r="K237" s="96">
        <f t="array" ref="K237">IFERROR(INDEX(Sales!$K$7:$K$1506,$O237),"")</f>
        <v>300</v>
      </c>
      <c r="L237" s="96">
        <f t="array" ref="L237">IFERROR(INDEX(Sales!$L$7:$L$1506,$O237),"")</f>
        <v>6400</v>
      </c>
      <c r="M237" s="19" t="str">
        <f t="array" ref="M237">IFERROR(INDEX(Sales!$M$7:$M$1506,$O237),"")</f>
        <v>Paid</v>
      </c>
      <c r="O237" s="111" t="str">
        <f>IFERROR(MATCH(TEXT($B$3,"yyyymm")&amp;"-"&amp;(ROW()-4),Sales!$Y$7:$Y$1506,0),"")</f>
        <v/>
      </c>
    </row>
    <row r="238" ht="14.25" customHeight="1">
      <c r="A238" s="110">
        <f t="array" ref="A238">IFERROR(INDEX(Sales!$A$7:$A$1506,$O238),"")</f>
        <v>46219</v>
      </c>
      <c r="B238" s="19" t="str">
        <f t="array" ref="B238">IFERROR(INDEX(Sales!$B$7:$B$1506,$O238),"")</f>
        <v>Sale</v>
      </c>
      <c r="C238" s="19" t="str">
        <f t="array" ref="C238">IFERROR(INDEX(Sales!$C$7:$C$1506,$O238),"")</f>
        <v>Online</v>
      </c>
      <c r="D238" s="19" t="str">
        <f t="array" ref="D238">IFERROR(INDEX(Sales!$D$7:$D$1506,$O238),"")</f>
        <v>Samreen islam</v>
      </c>
      <c r="E238" s="19" t="str">
        <f t="array" ref="E238">IFERROR(IF(INDEX(Sales!$E$7:$E$1506,$O238)="","",INDEX(Sales!$E$7:$E$1506,$O238)),"")</f>
        <v>PAWF-260715-04EAA</v>
      </c>
      <c r="F238" s="19" t="str">
        <f t="array" ref="F238">IFERROR(INDEX(Sales!$F$7:$F$1506,$O238),"")</f>
        <v>FD-DRY-SMHRT-15KG-001</v>
      </c>
      <c r="G238" s="19" t="str">
        <f t="array" ref="G238">IFERROR(INDEX(Sales!$G$7:$G$1506,$O238),"")</f>
        <v>Smart Heart Adult Cat Food Chicken &amp; Tuna [15kg]</v>
      </c>
      <c r="H238" s="96">
        <f t="array" ref="H238">IFERROR(INDEX(Sales!$H$7:$H$1506,$O238),"")</f>
        <v>1</v>
      </c>
      <c r="I238" s="96">
        <f t="array" ref="I238">IFERROR(INDEX(Sales!$I$7:$I$1506,$O238),"")</f>
        <v>6400</v>
      </c>
      <c r="J238" s="96">
        <f t="array" ref="J238">IFERROR(INDEX(Sales!$J$7:$J$1506,$O238),"")</f>
        <v>6700</v>
      </c>
      <c r="K238" s="96">
        <f t="array" ref="K238">IFERROR(INDEX(Sales!$K$7:$K$1506,$O238),"")</f>
        <v>300</v>
      </c>
      <c r="L238" s="96">
        <f t="array" ref="L238">IFERROR(INDEX(Sales!$L$7:$L$1506,$O238),"")</f>
        <v>6400</v>
      </c>
      <c r="M238" s="19" t="str">
        <f t="array" ref="M238">IFERROR(INDEX(Sales!$M$7:$M$1506,$O238),"")</f>
        <v>Paid</v>
      </c>
      <c r="O238" s="111" t="str">
        <f>IFERROR(MATCH(TEXT($B$3,"yyyymm")&amp;"-"&amp;(ROW()-4),Sales!$Y$7:$Y$1506,0),"")</f>
        <v/>
      </c>
    </row>
    <row r="239" ht="14.25" customHeight="1">
      <c r="A239" s="110">
        <f t="array" ref="A239">IFERROR(INDEX(Sales!$A$7:$A$1506,$O239),"")</f>
        <v>46219</v>
      </c>
      <c r="B239" s="19" t="str">
        <f t="array" ref="B239">IFERROR(INDEX(Sales!$B$7:$B$1506,$O239),"")</f>
        <v>Sale</v>
      </c>
      <c r="C239" s="19" t="str">
        <f t="array" ref="C239">IFERROR(INDEX(Sales!$C$7:$C$1506,$O239),"")</f>
        <v>Online</v>
      </c>
      <c r="D239" s="19" t="str">
        <f t="array" ref="D239">IFERROR(INDEX(Sales!$D$7:$D$1506,$O239),"")</f>
        <v>Samreen islam</v>
      </c>
      <c r="E239" s="19" t="str">
        <f t="array" ref="E239">IFERROR(IF(INDEX(Sales!$E$7:$E$1506,$O239)="","",INDEX(Sales!$E$7:$E$1506,$O239)),"")</f>
        <v>PAWF-260715-04EAA</v>
      </c>
      <c r="F239" s="19" t="str">
        <f t="array" ref="F239">IFERROR(INDEX(Sales!$F$7:$F$1506,$O239),"")</f>
        <v>FD-DRY-SMHRT-15KG-001</v>
      </c>
      <c r="G239" s="19" t="str">
        <f t="array" ref="G239">IFERROR(INDEX(Sales!$G$7:$G$1506,$O239),"")</f>
        <v>Smart Heart Adult Cat Food Chicken &amp; Tuna [15kg]</v>
      </c>
      <c r="H239" s="96">
        <f t="array" ref="H239">IFERROR(INDEX(Sales!$H$7:$H$1506,$O239),"")</f>
        <v>1</v>
      </c>
      <c r="I239" s="96">
        <f t="array" ref="I239">IFERROR(INDEX(Sales!$I$7:$I$1506,$O239),"")</f>
        <v>6400</v>
      </c>
      <c r="J239" s="96">
        <f t="array" ref="J239">IFERROR(INDEX(Sales!$J$7:$J$1506,$O239),"")</f>
        <v>6700</v>
      </c>
      <c r="K239" s="96">
        <f t="array" ref="K239">IFERROR(INDEX(Sales!$K$7:$K$1506,$O239),"")</f>
        <v>300</v>
      </c>
      <c r="L239" s="96">
        <f t="array" ref="L239">IFERROR(INDEX(Sales!$L$7:$L$1506,$O239),"")</f>
        <v>6400</v>
      </c>
      <c r="M239" s="19" t="str">
        <f t="array" ref="M239">IFERROR(INDEX(Sales!$M$7:$M$1506,$O239),"")</f>
        <v>Paid</v>
      </c>
      <c r="O239" s="111" t="str">
        <f>IFERROR(MATCH(TEXT($B$3,"yyyymm")&amp;"-"&amp;(ROW()-4),Sales!$Y$7:$Y$1506,0),"")</f>
        <v/>
      </c>
    </row>
    <row r="240" ht="14.25" customHeight="1">
      <c r="A240" s="110">
        <f t="array" ref="A240">IFERROR(INDEX(Sales!$A$7:$A$1506,$O240),"")</f>
        <v>46219</v>
      </c>
      <c r="B240" s="19" t="str">
        <f t="array" ref="B240">IFERROR(INDEX(Sales!$B$7:$B$1506,$O240),"")</f>
        <v>Sale</v>
      </c>
      <c r="C240" s="19" t="str">
        <f t="array" ref="C240">IFERROR(INDEX(Sales!$C$7:$C$1506,$O240),"")</f>
        <v>Online</v>
      </c>
      <c r="D240" s="19" t="str">
        <f t="array" ref="D240">IFERROR(INDEX(Sales!$D$7:$D$1506,$O240),"")</f>
        <v>Samreen islam</v>
      </c>
      <c r="E240" s="19" t="str">
        <f t="array" ref="E240">IFERROR(IF(INDEX(Sales!$E$7:$E$1506,$O240)="","",INDEX(Sales!$E$7:$E$1506,$O240)),"")</f>
        <v>PAWF-260715-04EAA</v>
      </c>
      <c r="F240" s="19" t="str">
        <f t="array" ref="F240">IFERROR(INDEX(Sales!$F$7:$F$1506,$O240),"")</f>
        <v>FD-DRY-SMHRT-15KG-001</v>
      </c>
      <c r="G240" s="19" t="str">
        <f t="array" ref="G240">IFERROR(INDEX(Sales!$G$7:$G$1506,$O240),"")</f>
        <v>Smart Heart Adult Cat Food Chicken &amp; Tuna [15kg]</v>
      </c>
      <c r="H240" s="96">
        <f t="array" ref="H240">IFERROR(INDEX(Sales!$H$7:$H$1506,$O240),"")</f>
        <v>1</v>
      </c>
      <c r="I240" s="96">
        <f t="array" ref="I240">IFERROR(INDEX(Sales!$I$7:$I$1506,$O240),"")</f>
        <v>6400</v>
      </c>
      <c r="J240" s="96">
        <f t="array" ref="J240">IFERROR(INDEX(Sales!$J$7:$J$1506,$O240),"")</f>
        <v>6700</v>
      </c>
      <c r="K240" s="96">
        <f t="array" ref="K240">IFERROR(INDEX(Sales!$K$7:$K$1506,$O240),"")</f>
        <v>300</v>
      </c>
      <c r="L240" s="96">
        <f t="array" ref="L240">IFERROR(INDEX(Sales!$L$7:$L$1506,$O240),"")</f>
        <v>6400</v>
      </c>
      <c r="M240" s="19" t="str">
        <f t="array" ref="M240">IFERROR(INDEX(Sales!$M$7:$M$1506,$O240),"")</f>
        <v>Paid</v>
      </c>
      <c r="O240" s="111" t="str">
        <f>IFERROR(MATCH(TEXT($B$3,"yyyymm")&amp;"-"&amp;(ROW()-4),Sales!$Y$7:$Y$1506,0),"")</f>
        <v/>
      </c>
    </row>
    <row r="241" ht="14.25" customHeight="1">
      <c r="A241" s="110">
        <f t="array" ref="A241">IFERROR(INDEX(Sales!$A$7:$A$1506,$O241),"")</f>
        <v>46219</v>
      </c>
      <c r="B241" s="19" t="str">
        <f t="array" ref="B241">IFERROR(INDEX(Sales!$B$7:$B$1506,$O241),"")</f>
        <v>Sale</v>
      </c>
      <c r="C241" s="19" t="str">
        <f t="array" ref="C241">IFERROR(INDEX(Sales!$C$7:$C$1506,$O241),"")</f>
        <v>Online</v>
      </c>
      <c r="D241" s="19" t="str">
        <f t="array" ref="D241">IFERROR(INDEX(Sales!$D$7:$D$1506,$O241),"")</f>
        <v>Samreen islam</v>
      </c>
      <c r="E241" s="19" t="str">
        <f t="array" ref="E241">IFERROR(IF(INDEX(Sales!$E$7:$E$1506,$O241)="","",INDEX(Sales!$E$7:$E$1506,$O241)),"")</f>
        <v>PAWF-260715-04EAA</v>
      </c>
      <c r="F241" s="19" t="str">
        <f t="array" ref="F241">IFERROR(INDEX(Sales!$F$7:$F$1506,$O241),"")</f>
        <v>FD-DRY-SMHRT-15KG-001</v>
      </c>
      <c r="G241" s="19" t="str">
        <f t="array" ref="G241">IFERROR(INDEX(Sales!$G$7:$G$1506,$O241),"")</f>
        <v>Smart Heart Adult Cat Food Chicken &amp; Tuna [15kg]</v>
      </c>
      <c r="H241" s="96">
        <f t="array" ref="H241">IFERROR(INDEX(Sales!$H$7:$H$1506,$O241),"")</f>
        <v>1</v>
      </c>
      <c r="I241" s="96">
        <f t="array" ref="I241">IFERROR(INDEX(Sales!$I$7:$I$1506,$O241),"")</f>
        <v>6400</v>
      </c>
      <c r="J241" s="96">
        <f t="array" ref="J241">IFERROR(INDEX(Sales!$J$7:$J$1506,$O241),"")</f>
        <v>6700</v>
      </c>
      <c r="K241" s="96">
        <f t="array" ref="K241">IFERROR(INDEX(Sales!$K$7:$K$1506,$O241),"")</f>
        <v>300</v>
      </c>
      <c r="L241" s="96">
        <f t="array" ref="L241">IFERROR(INDEX(Sales!$L$7:$L$1506,$O241),"")</f>
        <v>6400</v>
      </c>
      <c r="M241" s="19" t="str">
        <f t="array" ref="M241">IFERROR(INDEX(Sales!$M$7:$M$1506,$O241),"")</f>
        <v>Paid</v>
      </c>
      <c r="O241" s="111" t="str">
        <f>IFERROR(MATCH(TEXT($B$3,"yyyymm")&amp;"-"&amp;(ROW()-4),Sales!$Y$7:$Y$1506,0),"")</f>
        <v/>
      </c>
    </row>
    <row r="242" ht="14.25" customHeight="1">
      <c r="A242" s="110">
        <f t="array" ref="A242">IFERROR(INDEX(Sales!$A$7:$A$1506,$O242),"")</f>
        <v>46219</v>
      </c>
      <c r="B242" s="19" t="str">
        <f t="array" ref="B242">IFERROR(INDEX(Sales!$B$7:$B$1506,$O242),"")</f>
        <v>Sale</v>
      </c>
      <c r="C242" s="19" t="str">
        <f t="array" ref="C242">IFERROR(INDEX(Sales!$C$7:$C$1506,$O242),"")</f>
        <v>Online</v>
      </c>
      <c r="D242" s="19" t="str">
        <f t="array" ref="D242">IFERROR(INDEX(Sales!$D$7:$D$1506,$O242),"")</f>
        <v>Samreen islam</v>
      </c>
      <c r="E242" s="19" t="str">
        <f t="array" ref="E242">IFERROR(IF(INDEX(Sales!$E$7:$E$1506,$O242)="","",INDEX(Sales!$E$7:$E$1506,$O242)),"")</f>
        <v>PAWF-260715-04EAA</v>
      </c>
      <c r="F242" s="19" t="str">
        <f t="array" ref="F242">IFERROR(INDEX(Sales!$F$7:$F$1506,$O242),"")</f>
        <v>FD-DRY-SMHRT-15KG-001</v>
      </c>
      <c r="G242" s="19" t="str">
        <f t="array" ref="G242">IFERROR(INDEX(Sales!$G$7:$G$1506,$O242),"")</f>
        <v>Smart Heart Adult Cat Food Chicken &amp; Tuna [15kg]</v>
      </c>
      <c r="H242" s="96">
        <f t="array" ref="H242">IFERROR(INDEX(Sales!$H$7:$H$1506,$O242),"")</f>
        <v>1</v>
      </c>
      <c r="I242" s="96">
        <f t="array" ref="I242">IFERROR(INDEX(Sales!$I$7:$I$1506,$O242),"")</f>
        <v>6400</v>
      </c>
      <c r="J242" s="96">
        <f t="array" ref="J242">IFERROR(INDEX(Sales!$J$7:$J$1506,$O242),"")</f>
        <v>6700</v>
      </c>
      <c r="K242" s="96">
        <f t="array" ref="K242">IFERROR(INDEX(Sales!$K$7:$K$1506,$O242),"")</f>
        <v>300</v>
      </c>
      <c r="L242" s="96">
        <f t="array" ref="L242">IFERROR(INDEX(Sales!$L$7:$L$1506,$O242),"")</f>
        <v>6400</v>
      </c>
      <c r="M242" s="19" t="str">
        <f t="array" ref="M242">IFERROR(INDEX(Sales!$M$7:$M$1506,$O242),"")</f>
        <v>Paid</v>
      </c>
      <c r="O242" s="111" t="str">
        <f>IFERROR(MATCH(TEXT($B$3,"yyyymm")&amp;"-"&amp;(ROW()-4),Sales!$Y$7:$Y$1506,0),"")</f>
        <v/>
      </c>
    </row>
    <row r="243" ht="14.25" customHeight="1">
      <c r="A243" s="110">
        <f t="array" ref="A243">IFERROR(INDEX(Sales!$A$7:$A$1506,$O243),"")</f>
        <v>46219</v>
      </c>
      <c r="B243" s="19" t="str">
        <f t="array" ref="B243">IFERROR(INDEX(Sales!$B$7:$B$1506,$O243),"")</f>
        <v>Sale</v>
      </c>
      <c r="C243" s="19" t="str">
        <f t="array" ref="C243">IFERROR(INDEX(Sales!$C$7:$C$1506,$O243),"")</f>
        <v>Online</v>
      </c>
      <c r="D243" s="19" t="str">
        <f t="array" ref="D243">IFERROR(INDEX(Sales!$D$7:$D$1506,$O243),"")</f>
        <v>Samreen islam</v>
      </c>
      <c r="E243" s="19" t="str">
        <f t="array" ref="E243">IFERROR(IF(INDEX(Sales!$E$7:$E$1506,$O243)="","",INDEX(Sales!$E$7:$E$1506,$O243)),"")</f>
        <v>PAWF-260715-04EAA</v>
      </c>
      <c r="F243" s="19" t="str">
        <f t="array" ref="F243">IFERROR(INDEX(Sales!$F$7:$F$1506,$O243),"")</f>
        <v>FD-DRY-SMHRT-15KG-001</v>
      </c>
      <c r="G243" s="19" t="str">
        <f t="array" ref="G243">IFERROR(INDEX(Sales!$G$7:$G$1506,$O243),"")</f>
        <v>Smart Heart Adult Cat Food Chicken &amp; Tuna [15kg]</v>
      </c>
      <c r="H243" s="96">
        <f t="array" ref="H243">IFERROR(INDEX(Sales!$H$7:$H$1506,$O243),"")</f>
        <v>1</v>
      </c>
      <c r="I243" s="96">
        <f t="array" ref="I243">IFERROR(INDEX(Sales!$I$7:$I$1506,$O243),"")</f>
        <v>6400</v>
      </c>
      <c r="J243" s="96">
        <f t="array" ref="J243">IFERROR(INDEX(Sales!$J$7:$J$1506,$O243),"")</f>
        <v>6700</v>
      </c>
      <c r="K243" s="96">
        <f t="array" ref="K243">IFERROR(INDEX(Sales!$K$7:$K$1506,$O243),"")</f>
        <v>300</v>
      </c>
      <c r="L243" s="96">
        <f t="array" ref="L243">IFERROR(INDEX(Sales!$L$7:$L$1506,$O243),"")</f>
        <v>6400</v>
      </c>
      <c r="M243" s="19" t="str">
        <f t="array" ref="M243">IFERROR(INDEX(Sales!$M$7:$M$1506,$O243),"")</f>
        <v>Paid</v>
      </c>
      <c r="O243" s="111" t="str">
        <f>IFERROR(MATCH(TEXT($B$3,"yyyymm")&amp;"-"&amp;(ROW()-4),Sales!$Y$7:$Y$1506,0),"")</f>
        <v/>
      </c>
    </row>
    <row r="244" ht="14.25" customHeight="1">
      <c r="A244" s="110">
        <f t="array" ref="A244">IFERROR(INDEX(Sales!$A$7:$A$1506,$O244),"")</f>
        <v>46219</v>
      </c>
      <c r="B244" s="19" t="str">
        <f t="array" ref="B244">IFERROR(INDEX(Sales!$B$7:$B$1506,$O244),"")</f>
        <v>Sale</v>
      </c>
      <c r="C244" s="19" t="str">
        <f t="array" ref="C244">IFERROR(INDEX(Sales!$C$7:$C$1506,$O244),"")</f>
        <v>Online</v>
      </c>
      <c r="D244" s="19" t="str">
        <f t="array" ref="D244">IFERROR(INDEX(Sales!$D$7:$D$1506,$O244),"")</f>
        <v>Samreen islam</v>
      </c>
      <c r="E244" s="19" t="str">
        <f t="array" ref="E244">IFERROR(IF(INDEX(Sales!$E$7:$E$1506,$O244)="","",INDEX(Sales!$E$7:$E$1506,$O244)),"")</f>
        <v>PAWF-260715-04EAA</v>
      </c>
      <c r="F244" s="19" t="str">
        <f t="array" ref="F244">IFERROR(INDEX(Sales!$F$7:$F$1506,$O244),"")</f>
        <v>FD-DRY-SMHRT-15KG-001</v>
      </c>
      <c r="G244" s="19" t="str">
        <f t="array" ref="G244">IFERROR(INDEX(Sales!$G$7:$G$1506,$O244),"")</f>
        <v>Smart Heart Adult Cat Food Chicken &amp; Tuna [15kg]</v>
      </c>
      <c r="H244" s="96">
        <f t="array" ref="H244">IFERROR(INDEX(Sales!$H$7:$H$1506,$O244),"")</f>
        <v>1</v>
      </c>
      <c r="I244" s="96">
        <f t="array" ref="I244">IFERROR(INDEX(Sales!$I$7:$I$1506,$O244),"")</f>
        <v>6400</v>
      </c>
      <c r="J244" s="96">
        <f t="array" ref="J244">IFERROR(INDEX(Sales!$J$7:$J$1506,$O244),"")</f>
        <v>6700</v>
      </c>
      <c r="K244" s="96">
        <f t="array" ref="K244">IFERROR(INDEX(Sales!$K$7:$K$1506,$O244),"")</f>
        <v>300</v>
      </c>
      <c r="L244" s="96">
        <f t="array" ref="L244">IFERROR(INDEX(Sales!$L$7:$L$1506,$O244),"")</f>
        <v>6400</v>
      </c>
      <c r="M244" s="19" t="str">
        <f t="array" ref="M244">IFERROR(INDEX(Sales!$M$7:$M$1506,$O244),"")</f>
        <v>Paid</v>
      </c>
      <c r="O244" s="111" t="str">
        <f>IFERROR(MATCH(TEXT($B$3,"yyyymm")&amp;"-"&amp;(ROW()-4),Sales!$Y$7:$Y$1506,0),"")</f>
        <v/>
      </c>
    </row>
    <row r="245" ht="14.25" customHeight="1">
      <c r="A245" s="110">
        <f t="array" ref="A245">IFERROR(INDEX(Sales!$A$7:$A$1506,$O245),"")</f>
        <v>46219</v>
      </c>
      <c r="B245" s="19" t="str">
        <f t="array" ref="B245">IFERROR(INDEX(Sales!$B$7:$B$1506,$O245),"")</f>
        <v>Sale</v>
      </c>
      <c r="C245" s="19" t="str">
        <f t="array" ref="C245">IFERROR(INDEX(Sales!$C$7:$C$1506,$O245),"")</f>
        <v>Online</v>
      </c>
      <c r="D245" s="19" t="str">
        <f t="array" ref="D245">IFERROR(INDEX(Sales!$D$7:$D$1506,$O245),"")</f>
        <v>Samreen islam</v>
      </c>
      <c r="E245" s="19" t="str">
        <f t="array" ref="E245">IFERROR(IF(INDEX(Sales!$E$7:$E$1506,$O245)="","",INDEX(Sales!$E$7:$E$1506,$O245)),"")</f>
        <v>PAWF-260715-04EAA</v>
      </c>
      <c r="F245" s="19" t="str">
        <f t="array" ref="F245">IFERROR(INDEX(Sales!$F$7:$F$1506,$O245),"")</f>
        <v>FD-DRY-SMHRT-15KG-001</v>
      </c>
      <c r="G245" s="19" t="str">
        <f t="array" ref="G245">IFERROR(INDEX(Sales!$G$7:$G$1506,$O245),"")</f>
        <v>Smart Heart Adult Cat Food Chicken &amp; Tuna [15kg]</v>
      </c>
      <c r="H245" s="96">
        <f t="array" ref="H245">IFERROR(INDEX(Sales!$H$7:$H$1506,$O245),"")</f>
        <v>1</v>
      </c>
      <c r="I245" s="96">
        <f t="array" ref="I245">IFERROR(INDEX(Sales!$I$7:$I$1506,$O245),"")</f>
        <v>6400</v>
      </c>
      <c r="J245" s="96">
        <f t="array" ref="J245">IFERROR(INDEX(Sales!$J$7:$J$1506,$O245),"")</f>
        <v>6700</v>
      </c>
      <c r="K245" s="96">
        <f t="array" ref="K245">IFERROR(INDEX(Sales!$K$7:$K$1506,$O245),"")</f>
        <v>300</v>
      </c>
      <c r="L245" s="96">
        <f t="array" ref="L245">IFERROR(INDEX(Sales!$L$7:$L$1506,$O245),"")</f>
        <v>6400</v>
      </c>
      <c r="M245" s="19" t="str">
        <f t="array" ref="M245">IFERROR(INDEX(Sales!$M$7:$M$1506,$O245),"")</f>
        <v>Paid</v>
      </c>
      <c r="O245" s="111" t="str">
        <f>IFERROR(MATCH(TEXT($B$3,"yyyymm")&amp;"-"&amp;(ROW()-4),Sales!$Y$7:$Y$1506,0),"")</f>
        <v/>
      </c>
    </row>
    <row r="246" ht="14.25" customHeight="1">
      <c r="A246" s="110">
        <f t="array" ref="A246">IFERROR(INDEX(Sales!$A$7:$A$1506,$O246),"")</f>
        <v>46219</v>
      </c>
      <c r="B246" s="19" t="str">
        <f t="array" ref="B246">IFERROR(INDEX(Sales!$B$7:$B$1506,$O246),"")</f>
        <v>Sale</v>
      </c>
      <c r="C246" s="19" t="str">
        <f t="array" ref="C246">IFERROR(INDEX(Sales!$C$7:$C$1506,$O246),"")</f>
        <v>Online</v>
      </c>
      <c r="D246" s="19" t="str">
        <f t="array" ref="D246">IFERROR(INDEX(Sales!$D$7:$D$1506,$O246),"")</f>
        <v>Samreen islam</v>
      </c>
      <c r="E246" s="19" t="str">
        <f t="array" ref="E246">IFERROR(IF(INDEX(Sales!$E$7:$E$1506,$O246)="","",INDEX(Sales!$E$7:$E$1506,$O246)),"")</f>
        <v>PAWF-260715-04EAA</v>
      </c>
      <c r="F246" s="19" t="str">
        <f t="array" ref="F246">IFERROR(INDEX(Sales!$F$7:$F$1506,$O246),"")</f>
        <v>FD-DRY-SMHRT-15KG-001</v>
      </c>
      <c r="G246" s="19" t="str">
        <f t="array" ref="G246">IFERROR(INDEX(Sales!$G$7:$G$1506,$O246),"")</f>
        <v>Smart Heart Adult Cat Food Chicken &amp; Tuna [15kg]</v>
      </c>
      <c r="H246" s="96">
        <f t="array" ref="H246">IFERROR(INDEX(Sales!$H$7:$H$1506,$O246),"")</f>
        <v>1</v>
      </c>
      <c r="I246" s="96">
        <f t="array" ref="I246">IFERROR(INDEX(Sales!$I$7:$I$1506,$O246),"")</f>
        <v>6400</v>
      </c>
      <c r="J246" s="96">
        <f t="array" ref="J246">IFERROR(INDEX(Sales!$J$7:$J$1506,$O246),"")</f>
        <v>6700</v>
      </c>
      <c r="K246" s="96">
        <f t="array" ref="K246">IFERROR(INDEX(Sales!$K$7:$K$1506,$O246),"")</f>
        <v>300</v>
      </c>
      <c r="L246" s="96">
        <f t="array" ref="L246">IFERROR(INDEX(Sales!$L$7:$L$1506,$O246),"")</f>
        <v>6400</v>
      </c>
      <c r="M246" s="19" t="str">
        <f t="array" ref="M246">IFERROR(INDEX(Sales!$M$7:$M$1506,$O246),"")</f>
        <v>Paid</v>
      </c>
      <c r="O246" s="111" t="str">
        <f>IFERROR(MATCH(TEXT($B$3,"yyyymm")&amp;"-"&amp;(ROW()-4),Sales!$Y$7:$Y$1506,0),"")</f>
        <v/>
      </c>
    </row>
    <row r="247" ht="14.25" customHeight="1">
      <c r="A247" s="110">
        <f t="array" ref="A247">IFERROR(INDEX(Sales!$A$7:$A$1506,$O247),"")</f>
        <v>46219</v>
      </c>
      <c r="B247" s="19" t="str">
        <f t="array" ref="B247">IFERROR(INDEX(Sales!$B$7:$B$1506,$O247),"")</f>
        <v>Sale</v>
      </c>
      <c r="C247" s="19" t="str">
        <f t="array" ref="C247">IFERROR(INDEX(Sales!$C$7:$C$1506,$O247),"")</f>
        <v>Online</v>
      </c>
      <c r="D247" s="19" t="str">
        <f t="array" ref="D247">IFERROR(INDEX(Sales!$D$7:$D$1506,$O247),"")</f>
        <v>Samreen islam</v>
      </c>
      <c r="E247" s="19" t="str">
        <f t="array" ref="E247">IFERROR(IF(INDEX(Sales!$E$7:$E$1506,$O247)="","",INDEX(Sales!$E$7:$E$1506,$O247)),"")</f>
        <v>PAWF-260715-04EAA</v>
      </c>
      <c r="F247" s="19" t="str">
        <f t="array" ref="F247">IFERROR(INDEX(Sales!$F$7:$F$1506,$O247),"")</f>
        <v>FD-DRY-SMHRT-15KG-001</v>
      </c>
      <c r="G247" s="19" t="str">
        <f t="array" ref="G247">IFERROR(INDEX(Sales!$G$7:$G$1506,$O247),"")</f>
        <v>Smart Heart Adult Cat Food Chicken &amp; Tuna [15kg]</v>
      </c>
      <c r="H247" s="96">
        <f t="array" ref="H247">IFERROR(INDEX(Sales!$H$7:$H$1506,$O247),"")</f>
        <v>1</v>
      </c>
      <c r="I247" s="96">
        <f t="array" ref="I247">IFERROR(INDEX(Sales!$I$7:$I$1506,$O247),"")</f>
        <v>6400</v>
      </c>
      <c r="J247" s="96">
        <f t="array" ref="J247">IFERROR(INDEX(Sales!$J$7:$J$1506,$O247),"")</f>
        <v>6700</v>
      </c>
      <c r="K247" s="96">
        <f t="array" ref="K247">IFERROR(INDEX(Sales!$K$7:$K$1506,$O247),"")</f>
        <v>300</v>
      </c>
      <c r="L247" s="96">
        <f t="array" ref="L247">IFERROR(INDEX(Sales!$L$7:$L$1506,$O247),"")</f>
        <v>6400</v>
      </c>
      <c r="M247" s="19" t="str">
        <f t="array" ref="M247">IFERROR(INDEX(Sales!$M$7:$M$1506,$O247),"")</f>
        <v>Paid</v>
      </c>
      <c r="O247" s="111" t="str">
        <f>IFERROR(MATCH(TEXT($B$3,"yyyymm")&amp;"-"&amp;(ROW()-4),Sales!$Y$7:$Y$1506,0),"")</f>
        <v/>
      </c>
    </row>
    <row r="248" ht="14.25" customHeight="1">
      <c r="A248" s="110">
        <f t="array" ref="A248">IFERROR(INDEX(Sales!$A$7:$A$1506,$O248),"")</f>
        <v>46219</v>
      </c>
      <c r="B248" s="19" t="str">
        <f t="array" ref="B248">IFERROR(INDEX(Sales!$B$7:$B$1506,$O248),"")</f>
        <v>Sale</v>
      </c>
      <c r="C248" s="19" t="str">
        <f t="array" ref="C248">IFERROR(INDEX(Sales!$C$7:$C$1506,$O248),"")</f>
        <v>Online</v>
      </c>
      <c r="D248" s="19" t="str">
        <f t="array" ref="D248">IFERROR(INDEX(Sales!$D$7:$D$1506,$O248),"")</f>
        <v>Samreen islam</v>
      </c>
      <c r="E248" s="19" t="str">
        <f t="array" ref="E248">IFERROR(IF(INDEX(Sales!$E$7:$E$1506,$O248)="","",INDEX(Sales!$E$7:$E$1506,$O248)),"")</f>
        <v>PAWF-260715-04EAA</v>
      </c>
      <c r="F248" s="19" t="str">
        <f t="array" ref="F248">IFERROR(INDEX(Sales!$F$7:$F$1506,$O248),"")</f>
        <v>FD-DRY-SMHRT-15KG-001</v>
      </c>
      <c r="G248" s="19" t="str">
        <f t="array" ref="G248">IFERROR(INDEX(Sales!$G$7:$G$1506,$O248),"")</f>
        <v>Smart Heart Adult Cat Food Chicken &amp; Tuna [15kg]</v>
      </c>
      <c r="H248" s="96">
        <f t="array" ref="H248">IFERROR(INDEX(Sales!$H$7:$H$1506,$O248),"")</f>
        <v>1</v>
      </c>
      <c r="I248" s="96">
        <f t="array" ref="I248">IFERROR(INDEX(Sales!$I$7:$I$1506,$O248),"")</f>
        <v>6400</v>
      </c>
      <c r="J248" s="96">
        <f t="array" ref="J248">IFERROR(INDEX(Sales!$J$7:$J$1506,$O248),"")</f>
        <v>6700</v>
      </c>
      <c r="K248" s="96">
        <f t="array" ref="K248">IFERROR(INDEX(Sales!$K$7:$K$1506,$O248),"")</f>
        <v>300</v>
      </c>
      <c r="L248" s="96">
        <f t="array" ref="L248">IFERROR(INDEX(Sales!$L$7:$L$1506,$O248),"")</f>
        <v>6400</v>
      </c>
      <c r="M248" s="19" t="str">
        <f t="array" ref="M248">IFERROR(INDEX(Sales!$M$7:$M$1506,$O248),"")</f>
        <v>Paid</v>
      </c>
      <c r="O248" s="111" t="str">
        <f>IFERROR(MATCH(TEXT($B$3,"yyyymm")&amp;"-"&amp;(ROW()-4),Sales!$Y$7:$Y$1506,0),"")</f>
        <v/>
      </c>
    </row>
    <row r="249" ht="14.25" customHeight="1">
      <c r="A249" s="110">
        <f t="array" ref="A249">IFERROR(INDEX(Sales!$A$7:$A$1506,$O249),"")</f>
        <v>46219</v>
      </c>
      <c r="B249" s="19" t="str">
        <f t="array" ref="B249">IFERROR(INDEX(Sales!$B$7:$B$1506,$O249),"")</f>
        <v>Sale</v>
      </c>
      <c r="C249" s="19" t="str">
        <f t="array" ref="C249">IFERROR(INDEX(Sales!$C$7:$C$1506,$O249),"")</f>
        <v>Online</v>
      </c>
      <c r="D249" s="19" t="str">
        <f t="array" ref="D249">IFERROR(INDEX(Sales!$D$7:$D$1506,$O249),"")</f>
        <v>Samreen islam</v>
      </c>
      <c r="E249" s="19" t="str">
        <f t="array" ref="E249">IFERROR(IF(INDEX(Sales!$E$7:$E$1506,$O249)="","",INDEX(Sales!$E$7:$E$1506,$O249)),"")</f>
        <v>PAWF-260715-04EAA</v>
      </c>
      <c r="F249" s="19" t="str">
        <f t="array" ref="F249">IFERROR(INDEX(Sales!$F$7:$F$1506,$O249),"")</f>
        <v>FD-DRY-SMHRT-15KG-001</v>
      </c>
      <c r="G249" s="19" t="str">
        <f t="array" ref="G249">IFERROR(INDEX(Sales!$G$7:$G$1506,$O249),"")</f>
        <v>Smart Heart Adult Cat Food Chicken &amp; Tuna [15kg]</v>
      </c>
      <c r="H249" s="96">
        <f t="array" ref="H249">IFERROR(INDEX(Sales!$H$7:$H$1506,$O249),"")</f>
        <v>1</v>
      </c>
      <c r="I249" s="96">
        <f t="array" ref="I249">IFERROR(INDEX(Sales!$I$7:$I$1506,$O249),"")</f>
        <v>6400</v>
      </c>
      <c r="J249" s="96">
        <f t="array" ref="J249">IFERROR(INDEX(Sales!$J$7:$J$1506,$O249),"")</f>
        <v>6700</v>
      </c>
      <c r="K249" s="96">
        <f t="array" ref="K249">IFERROR(INDEX(Sales!$K$7:$K$1506,$O249),"")</f>
        <v>300</v>
      </c>
      <c r="L249" s="96">
        <f t="array" ref="L249">IFERROR(INDEX(Sales!$L$7:$L$1506,$O249),"")</f>
        <v>6400</v>
      </c>
      <c r="M249" s="19" t="str">
        <f t="array" ref="M249">IFERROR(INDEX(Sales!$M$7:$M$1506,$O249),"")</f>
        <v>Paid</v>
      </c>
      <c r="O249" s="111" t="str">
        <f>IFERROR(MATCH(TEXT($B$3,"yyyymm")&amp;"-"&amp;(ROW()-4),Sales!$Y$7:$Y$1506,0),"")</f>
        <v/>
      </c>
    </row>
    <row r="250" ht="14.25" customHeight="1">
      <c r="A250" s="110">
        <f t="array" ref="A250">IFERROR(INDEX(Sales!$A$7:$A$1506,$O250),"")</f>
        <v>46219</v>
      </c>
      <c r="B250" s="19" t="str">
        <f t="array" ref="B250">IFERROR(INDEX(Sales!$B$7:$B$1506,$O250),"")</f>
        <v>Sale</v>
      </c>
      <c r="C250" s="19" t="str">
        <f t="array" ref="C250">IFERROR(INDEX(Sales!$C$7:$C$1506,$O250),"")</f>
        <v>Online</v>
      </c>
      <c r="D250" s="19" t="str">
        <f t="array" ref="D250">IFERROR(INDEX(Sales!$D$7:$D$1506,$O250),"")</f>
        <v>Samreen islam</v>
      </c>
      <c r="E250" s="19" t="str">
        <f t="array" ref="E250">IFERROR(IF(INDEX(Sales!$E$7:$E$1506,$O250)="","",INDEX(Sales!$E$7:$E$1506,$O250)),"")</f>
        <v>PAWF-260715-04EAA</v>
      </c>
      <c r="F250" s="19" t="str">
        <f t="array" ref="F250">IFERROR(INDEX(Sales!$F$7:$F$1506,$O250),"")</f>
        <v>FD-DRY-SMHRT-15KG-001</v>
      </c>
      <c r="G250" s="19" t="str">
        <f t="array" ref="G250">IFERROR(INDEX(Sales!$G$7:$G$1506,$O250),"")</f>
        <v>Smart Heart Adult Cat Food Chicken &amp; Tuna [15kg]</v>
      </c>
      <c r="H250" s="96">
        <f t="array" ref="H250">IFERROR(INDEX(Sales!$H$7:$H$1506,$O250),"")</f>
        <v>1</v>
      </c>
      <c r="I250" s="96">
        <f t="array" ref="I250">IFERROR(INDEX(Sales!$I$7:$I$1506,$O250),"")</f>
        <v>6400</v>
      </c>
      <c r="J250" s="96">
        <f t="array" ref="J250">IFERROR(INDEX(Sales!$J$7:$J$1506,$O250),"")</f>
        <v>6700</v>
      </c>
      <c r="K250" s="96">
        <f t="array" ref="K250">IFERROR(INDEX(Sales!$K$7:$K$1506,$O250),"")</f>
        <v>300</v>
      </c>
      <c r="L250" s="96">
        <f t="array" ref="L250">IFERROR(INDEX(Sales!$L$7:$L$1506,$O250),"")</f>
        <v>6400</v>
      </c>
      <c r="M250" s="19" t="str">
        <f t="array" ref="M250">IFERROR(INDEX(Sales!$M$7:$M$1506,$O250),"")</f>
        <v>Paid</v>
      </c>
      <c r="O250" s="111" t="str">
        <f>IFERROR(MATCH(TEXT($B$3,"yyyymm")&amp;"-"&amp;(ROW()-4),Sales!$Y$7:$Y$1506,0),"")</f>
        <v/>
      </c>
    </row>
    <row r="251" ht="14.25" customHeight="1">
      <c r="A251" s="110">
        <f t="array" ref="A251">IFERROR(INDEX(Sales!$A$7:$A$1506,$O251),"")</f>
        <v>46219</v>
      </c>
      <c r="B251" s="19" t="str">
        <f t="array" ref="B251">IFERROR(INDEX(Sales!$B$7:$B$1506,$O251),"")</f>
        <v>Sale</v>
      </c>
      <c r="C251" s="19" t="str">
        <f t="array" ref="C251">IFERROR(INDEX(Sales!$C$7:$C$1506,$O251),"")</f>
        <v>Online</v>
      </c>
      <c r="D251" s="19" t="str">
        <f t="array" ref="D251">IFERROR(INDEX(Sales!$D$7:$D$1506,$O251),"")</f>
        <v>Samreen islam</v>
      </c>
      <c r="E251" s="19" t="str">
        <f t="array" ref="E251">IFERROR(IF(INDEX(Sales!$E$7:$E$1506,$O251)="","",INDEX(Sales!$E$7:$E$1506,$O251)),"")</f>
        <v>PAWF-260715-04EAA</v>
      </c>
      <c r="F251" s="19" t="str">
        <f t="array" ref="F251">IFERROR(INDEX(Sales!$F$7:$F$1506,$O251),"")</f>
        <v>FD-DRY-SMHRT-15KG-001</v>
      </c>
      <c r="G251" s="19" t="str">
        <f t="array" ref="G251">IFERROR(INDEX(Sales!$G$7:$G$1506,$O251),"")</f>
        <v>Smart Heart Adult Cat Food Chicken &amp; Tuna [15kg]</v>
      </c>
      <c r="H251" s="96">
        <f t="array" ref="H251">IFERROR(INDEX(Sales!$H$7:$H$1506,$O251),"")</f>
        <v>1</v>
      </c>
      <c r="I251" s="96">
        <f t="array" ref="I251">IFERROR(INDEX(Sales!$I$7:$I$1506,$O251),"")</f>
        <v>6400</v>
      </c>
      <c r="J251" s="96">
        <f t="array" ref="J251">IFERROR(INDEX(Sales!$J$7:$J$1506,$O251),"")</f>
        <v>6700</v>
      </c>
      <c r="K251" s="96">
        <f t="array" ref="K251">IFERROR(INDEX(Sales!$K$7:$K$1506,$O251),"")</f>
        <v>300</v>
      </c>
      <c r="L251" s="96">
        <f t="array" ref="L251">IFERROR(INDEX(Sales!$L$7:$L$1506,$O251),"")</f>
        <v>6400</v>
      </c>
      <c r="M251" s="19" t="str">
        <f t="array" ref="M251">IFERROR(INDEX(Sales!$M$7:$M$1506,$O251),"")</f>
        <v>Paid</v>
      </c>
      <c r="O251" s="111" t="str">
        <f>IFERROR(MATCH(TEXT($B$3,"yyyymm")&amp;"-"&amp;(ROW()-4),Sales!$Y$7:$Y$1506,0),"")</f>
        <v/>
      </c>
    </row>
    <row r="252" ht="14.25" customHeight="1">
      <c r="A252" s="110">
        <f t="array" ref="A252">IFERROR(INDEX(Sales!$A$7:$A$1506,$O252),"")</f>
        <v>46219</v>
      </c>
      <c r="B252" s="19" t="str">
        <f t="array" ref="B252">IFERROR(INDEX(Sales!$B$7:$B$1506,$O252),"")</f>
        <v>Sale</v>
      </c>
      <c r="C252" s="19" t="str">
        <f t="array" ref="C252">IFERROR(INDEX(Sales!$C$7:$C$1506,$O252),"")</f>
        <v>Online</v>
      </c>
      <c r="D252" s="19" t="str">
        <f t="array" ref="D252">IFERROR(INDEX(Sales!$D$7:$D$1506,$O252),"")</f>
        <v>Samreen islam</v>
      </c>
      <c r="E252" s="19" t="str">
        <f t="array" ref="E252">IFERROR(IF(INDEX(Sales!$E$7:$E$1506,$O252)="","",INDEX(Sales!$E$7:$E$1506,$O252)),"")</f>
        <v>PAWF-260715-04EAA</v>
      </c>
      <c r="F252" s="19" t="str">
        <f t="array" ref="F252">IFERROR(INDEX(Sales!$F$7:$F$1506,$O252),"")</f>
        <v>FD-DRY-SMHRT-15KG-001</v>
      </c>
      <c r="G252" s="19" t="str">
        <f t="array" ref="G252">IFERROR(INDEX(Sales!$G$7:$G$1506,$O252),"")</f>
        <v>Smart Heart Adult Cat Food Chicken &amp; Tuna [15kg]</v>
      </c>
      <c r="H252" s="96">
        <f t="array" ref="H252">IFERROR(INDEX(Sales!$H$7:$H$1506,$O252),"")</f>
        <v>1</v>
      </c>
      <c r="I252" s="96">
        <f t="array" ref="I252">IFERROR(INDEX(Sales!$I$7:$I$1506,$O252),"")</f>
        <v>6400</v>
      </c>
      <c r="J252" s="96">
        <f t="array" ref="J252">IFERROR(INDEX(Sales!$J$7:$J$1506,$O252),"")</f>
        <v>6700</v>
      </c>
      <c r="K252" s="96">
        <f t="array" ref="K252">IFERROR(INDEX(Sales!$K$7:$K$1506,$O252),"")</f>
        <v>300</v>
      </c>
      <c r="L252" s="96">
        <f t="array" ref="L252">IFERROR(INDEX(Sales!$L$7:$L$1506,$O252),"")</f>
        <v>6400</v>
      </c>
      <c r="M252" s="19" t="str">
        <f t="array" ref="M252">IFERROR(INDEX(Sales!$M$7:$M$1506,$O252),"")</f>
        <v>Paid</v>
      </c>
      <c r="O252" s="111" t="str">
        <f>IFERROR(MATCH(TEXT($B$3,"yyyymm")&amp;"-"&amp;(ROW()-4),Sales!$Y$7:$Y$1506,0),"")</f>
        <v/>
      </c>
    </row>
    <row r="253" ht="14.25" customHeight="1">
      <c r="A253" s="110">
        <f t="array" ref="A253">IFERROR(INDEX(Sales!$A$7:$A$1506,$O253),"")</f>
        <v>46219</v>
      </c>
      <c r="B253" s="19" t="str">
        <f t="array" ref="B253">IFERROR(INDEX(Sales!$B$7:$B$1506,$O253),"")</f>
        <v>Sale</v>
      </c>
      <c r="C253" s="19" t="str">
        <f t="array" ref="C253">IFERROR(INDEX(Sales!$C$7:$C$1506,$O253),"")</f>
        <v>Online</v>
      </c>
      <c r="D253" s="19" t="str">
        <f t="array" ref="D253">IFERROR(INDEX(Sales!$D$7:$D$1506,$O253),"")</f>
        <v>Samreen islam</v>
      </c>
      <c r="E253" s="19" t="str">
        <f t="array" ref="E253">IFERROR(IF(INDEX(Sales!$E$7:$E$1506,$O253)="","",INDEX(Sales!$E$7:$E$1506,$O253)),"")</f>
        <v>PAWF-260715-04EAA</v>
      </c>
      <c r="F253" s="19" t="str">
        <f t="array" ref="F253">IFERROR(INDEX(Sales!$F$7:$F$1506,$O253),"")</f>
        <v>FD-DRY-SMHRT-15KG-001</v>
      </c>
      <c r="G253" s="19" t="str">
        <f t="array" ref="G253">IFERROR(INDEX(Sales!$G$7:$G$1506,$O253),"")</f>
        <v>Smart Heart Adult Cat Food Chicken &amp; Tuna [15kg]</v>
      </c>
      <c r="H253" s="96">
        <f t="array" ref="H253">IFERROR(INDEX(Sales!$H$7:$H$1506,$O253),"")</f>
        <v>1</v>
      </c>
      <c r="I253" s="96">
        <f t="array" ref="I253">IFERROR(INDEX(Sales!$I$7:$I$1506,$O253),"")</f>
        <v>6400</v>
      </c>
      <c r="J253" s="96">
        <f t="array" ref="J253">IFERROR(INDEX(Sales!$J$7:$J$1506,$O253),"")</f>
        <v>6700</v>
      </c>
      <c r="K253" s="96">
        <f t="array" ref="K253">IFERROR(INDEX(Sales!$K$7:$K$1506,$O253),"")</f>
        <v>300</v>
      </c>
      <c r="L253" s="96">
        <f t="array" ref="L253">IFERROR(INDEX(Sales!$L$7:$L$1506,$O253),"")</f>
        <v>6400</v>
      </c>
      <c r="M253" s="19" t="str">
        <f t="array" ref="M253">IFERROR(INDEX(Sales!$M$7:$M$1506,$O253),"")</f>
        <v>Paid</v>
      </c>
      <c r="O253" s="111" t="str">
        <f>IFERROR(MATCH(TEXT($B$3,"yyyymm")&amp;"-"&amp;(ROW()-4),Sales!$Y$7:$Y$1506,0),"")</f>
        <v/>
      </c>
    </row>
    <row r="254" ht="14.25" customHeight="1">
      <c r="A254" s="110">
        <f t="array" ref="A254">IFERROR(INDEX(Sales!$A$7:$A$1506,$O254),"")</f>
        <v>46219</v>
      </c>
      <c r="B254" s="19" t="str">
        <f t="array" ref="B254">IFERROR(INDEX(Sales!$B$7:$B$1506,$O254),"")</f>
        <v>Sale</v>
      </c>
      <c r="C254" s="19" t="str">
        <f t="array" ref="C254">IFERROR(INDEX(Sales!$C$7:$C$1506,$O254),"")</f>
        <v>Online</v>
      </c>
      <c r="D254" s="19" t="str">
        <f t="array" ref="D254">IFERROR(INDEX(Sales!$D$7:$D$1506,$O254),"")</f>
        <v>Samreen islam</v>
      </c>
      <c r="E254" s="19" t="str">
        <f t="array" ref="E254">IFERROR(IF(INDEX(Sales!$E$7:$E$1506,$O254)="","",INDEX(Sales!$E$7:$E$1506,$O254)),"")</f>
        <v>PAWF-260715-04EAA</v>
      </c>
      <c r="F254" s="19" t="str">
        <f t="array" ref="F254">IFERROR(INDEX(Sales!$F$7:$F$1506,$O254),"")</f>
        <v>FD-DRY-SMHRT-15KG-001</v>
      </c>
      <c r="G254" s="19" t="str">
        <f t="array" ref="G254">IFERROR(INDEX(Sales!$G$7:$G$1506,$O254),"")</f>
        <v>Smart Heart Adult Cat Food Chicken &amp; Tuna [15kg]</v>
      </c>
      <c r="H254" s="96">
        <f t="array" ref="H254">IFERROR(INDEX(Sales!$H$7:$H$1506,$O254),"")</f>
        <v>1</v>
      </c>
      <c r="I254" s="96">
        <f t="array" ref="I254">IFERROR(INDEX(Sales!$I$7:$I$1506,$O254),"")</f>
        <v>6400</v>
      </c>
      <c r="J254" s="96">
        <f t="array" ref="J254">IFERROR(INDEX(Sales!$J$7:$J$1506,$O254),"")</f>
        <v>6700</v>
      </c>
      <c r="K254" s="96">
        <f t="array" ref="K254">IFERROR(INDEX(Sales!$K$7:$K$1506,$O254),"")</f>
        <v>300</v>
      </c>
      <c r="L254" s="96">
        <f t="array" ref="L254">IFERROR(INDEX(Sales!$L$7:$L$1506,$O254),"")</f>
        <v>6400</v>
      </c>
      <c r="M254" s="19" t="str">
        <f t="array" ref="M254">IFERROR(INDEX(Sales!$M$7:$M$1506,$O254),"")</f>
        <v>Paid</v>
      </c>
      <c r="O254" s="111" t="str">
        <f>IFERROR(MATCH(TEXT($B$3,"yyyymm")&amp;"-"&amp;(ROW()-4),Sales!$Y$7:$Y$1506,0),"")</f>
        <v/>
      </c>
    </row>
    <row r="255" ht="14.25" customHeight="1">
      <c r="A255" s="110">
        <f t="array" ref="A255">IFERROR(INDEX(Sales!$A$7:$A$1506,$O255),"")</f>
        <v>46219</v>
      </c>
      <c r="B255" s="19" t="str">
        <f t="array" ref="B255">IFERROR(INDEX(Sales!$B$7:$B$1506,$O255),"")</f>
        <v>Sale</v>
      </c>
      <c r="C255" s="19" t="str">
        <f t="array" ref="C255">IFERROR(INDEX(Sales!$C$7:$C$1506,$O255),"")</f>
        <v>Online</v>
      </c>
      <c r="D255" s="19" t="str">
        <f t="array" ref="D255">IFERROR(INDEX(Sales!$D$7:$D$1506,$O255),"")</f>
        <v>Samreen islam</v>
      </c>
      <c r="E255" s="19" t="str">
        <f t="array" ref="E255">IFERROR(IF(INDEX(Sales!$E$7:$E$1506,$O255)="","",INDEX(Sales!$E$7:$E$1506,$O255)),"")</f>
        <v>PAWF-260715-04EAA</v>
      </c>
      <c r="F255" s="19" t="str">
        <f t="array" ref="F255">IFERROR(INDEX(Sales!$F$7:$F$1506,$O255),"")</f>
        <v>FD-DRY-SMHRT-15KG-001</v>
      </c>
      <c r="G255" s="19" t="str">
        <f t="array" ref="G255">IFERROR(INDEX(Sales!$G$7:$G$1506,$O255),"")</f>
        <v>Smart Heart Adult Cat Food Chicken &amp; Tuna [15kg]</v>
      </c>
      <c r="H255" s="96">
        <f t="array" ref="H255">IFERROR(INDEX(Sales!$H$7:$H$1506,$O255),"")</f>
        <v>1</v>
      </c>
      <c r="I255" s="96">
        <f t="array" ref="I255">IFERROR(INDEX(Sales!$I$7:$I$1506,$O255),"")</f>
        <v>6400</v>
      </c>
      <c r="J255" s="96">
        <f t="array" ref="J255">IFERROR(INDEX(Sales!$J$7:$J$1506,$O255),"")</f>
        <v>6700</v>
      </c>
      <c r="K255" s="96">
        <f t="array" ref="K255">IFERROR(INDEX(Sales!$K$7:$K$1506,$O255),"")</f>
        <v>300</v>
      </c>
      <c r="L255" s="96">
        <f t="array" ref="L255">IFERROR(INDEX(Sales!$L$7:$L$1506,$O255),"")</f>
        <v>6400</v>
      </c>
      <c r="M255" s="19" t="str">
        <f t="array" ref="M255">IFERROR(INDEX(Sales!$M$7:$M$1506,$O255),"")</f>
        <v>Paid</v>
      </c>
      <c r="O255" s="111" t="str">
        <f>IFERROR(MATCH(TEXT($B$3,"yyyymm")&amp;"-"&amp;(ROW()-4),Sales!$Y$7:$Y$1506,0),"")</f>
        <v/>
      </c>
    </row>
    <row r="256" ht="14.25" customHeight="1">
      <c r="A256" s="110">
        <f t="array" ref="A256">IFERROR(INDEX(Sales!$A$7:$A$1506,$O256),"")</f>
        <v>46219</v>
      </c>
      <c r="B256" s="19" t="str">
        <f t="array" ref="B256">IFERROR(INDEX(Sales!$B$7:$B$1506,$O256),"")</f>
        <v>Sale</v>
      </c>
      <c r="C256" s="19" t="str">
        <f t="array" ref="C256">IFERROR(INDEX(Sales!$C$7:$C$1506,$O256),"")</f>
        <v>Online</v>
      </c>
      <c r="D256" s="19" t="str">
        <f t="array" ref="D256">IFERROR(INDEX(Sales!$D$7:$D$1506,$O256),"")</f>
        <v>Samreen islam</v>
      </c>
      <c r="E256" s="19" t="str">
        <f t="array" ref="E256">IFERROR(IF(INDEX(Sales!$E$7:$E$1506,$O256)="","",INDEX(Sales!$E$7:$E$1506,$O256)),"")</f>
        <v>PAWF-260715-04EAA</v>
      </c>
      <c r="F256" s="19" t="str">
        <f t="array" ref="F256">IFERROR(INDEX(Sales!$F$7:$F$1506,$O256),"")</f>
        <v>FD-DRY-SMHRT-15KG-001</v>
      </c>
      <c r="G256" s="19" t="str">
        <f t="array" ref="G256">IFERROR(INDEX(Sales!$G$7:$G$1506,$O256),"")</f>
        <v>Smart Heart Adult Cat Food Chicken &amp; Tuna [15kg]</v>
      </c>
      <c r="H256" s="96">
        <f t="array" ref="H256">IFERROR(INDEX(Sales!$H$7:$H$1506,$O256),"")</f>
        <v>1</v>
      </c>
      <c r="I256" s="96">
        <f t="array" ref="I256">IFERROR(INDEX(Sales!$I$7:$I$1506,$O256),"")</f>
        <v>6400</v>
      </c>
      <c r="J256" s="96">
        <f t="array" ref="J256">IFERROR(INDEX(Sales!$J$7:$J$1506,$O256),"")</f>
        <v>6700</v>
      </c>
      <c r="K256" s="96">
        <f t="array" ref="K256">IFERROR(INDEX(Sales!$K$7:$K$1506,$O256),"")</f>
        <v>300</v>
      </c>
      <c r="L256" s="96">
        <f t="array" ref="L256">IFERROR(INDEX(Sales!$L$7:$L$1506,$O256),"")</f>
        <v>6400</v>
      </c>
      <c r="M256" s="19" t="str">
        <f t="array" ref="M256">IFERROR(INDEX(Sales!$M$7:$M$1506,$O256),"")</f>
        <v>Paid</v>
      </c>
      <c r="O256" s="111" t="str">
        <f>IFERROR(MATCH(TEXT($B$3,"yyyymm")&amp;"-"&amp;(ROW()-4),Sales!$Y$7:$Y$1506,0),"")</f>
        <v/>
      </c>
    </row>
    <row r="257" ht="14.25" customHeight="1">
      <c r="A257" s="110">
        <f t="array" ref="A257">IFERROR(INDEX(Sales!$A$7:$A$1506,$O257),"")</f>
        <v>46219</v>
      </c>
      <c r="B257" s="19" t="str">
        <f t="array" ref="B257">IFERROR(INDEX(Sales!$B$7:$B$1506,$O257),"")</f>
        <v>Sale</v>
      </c>
      <c r="C257" s="19" t="str">
        <f t="array" ref="C257">IFERROR(INDEX(Sales!$C$7:$C$1506,$O257),"")</f>
        <v>Online</v>
      </c>
      <c r="D257" s="19" t="str">
        <f t="array" ref="D257">IFERROR(INDEX(Sales!$D$7:$D$1506,$O257),"")</f>
        <v>Samreen islam</v>
      </c>
      <c r="E257" s="19" t="str">
        <f t="array" ref="E257">IFERROR(IF(INDEX(Sales!$E$7:$E$1506,$O257)="","",INDEX(Sales!$E$7:$E$1506,$O257)),"")</f>
        <v>PAWF-260715-04EAA</v>
      </c>
      <c r="F257" s="19" t="str">
        <f t="array" ref="F257">IFERROR(INDEX(Sales!$F$7:$F$1506,$O257),"")</f>
        <v>FD-DRY-SMHRT-15KG-001</v>
      </c>
      <c r="G257" s="19" t="str">
        <f t="array" ref="G257">IFERROR(INDEX(Sales!$G$7:$G$1506,$O257),"")</f>
        <v>Smart Heart Adult Cat Food Chicken &amp; Tuna [15kg]</v>
      </c>
      <c r="H257" s="96">
        <f t="array" ref="H257">IFERROR(INDEX(Sales!$H$7:$H$1506,$O257),"")</f>
        <v>1</v>
      </c>
      <c r="I257" s="96">
        <f t="array" ref="I257">IFERROR(INDEX(Sales!$I$7:$I$1506,$O257),"")</f>
        <v>6400</v>
      </c>
      <c r="J257" s="96">
        <f t="array" ref="J257">IFERROR(INDEX(Sales!$J$7:$J$1506,$O257),"")</f>
        <v>6700</v>
      </c>
      <c r="K257" s="96">
        <f t="array" ref="K257">IFERROR(INDEX(Sales!$K$7:$K$1506,$O257),"")</f>
        <v>300</v>
      </c>
      <c r="L257" s="96">
        <f t="array" ref="L257">IFERROR(INDEX(Sales!$L$7:$L$1506,$O257),"")</f>
        <v>6400</v>
      </c>
      <c r="M257" s="19" t="str">
        <f t="array" ref="M257">IFERROR(INDEX(Sales!$M$7:$M$1506,$O257),"")</f>
        <v>Paid</v>
      </c>
      <c r="O257" s="111" t="str">
        <f>IFERROR(MATCH(TEXT($B$3,"yyyymm")&amp;"-"&amp;(ROW()-4),Sales!$Y$7:$Y$1506,0),"")</f>
        <v/>
      </c>
    </row>
    <row r="258" ht="14.25" customHeight="1">
      <c r="A258" s="110">
        <f t="array" ref="A258">IFERROR(INDEX(Sales!$A$7:$A$1506,$O258),"")</f>
        <v>46219</v>
      </c>
      <c r="B258" s="19" t="str">
        <f t="array" ref="B258">IFERROR(INDEX(Sales!$B$7:$B$1506,$O258),"")</f>
        <v>Sale</v>
      </c>
      <c r="C258" s="19" t="str">
        <f t="array" ref="C258">IFERROR(INDEX(Sales!$C$7:$C$1506,$O258),"")</f>
        <v>Online</v>
      </c>
      <c r="D258" s="19" t="str">
        <f t="array" ref="D258">IFERROR(INDEX(Sales!$D$7:$D$1506,$O258),"")</f>
        <v>Samreen islam</v>
      </c>
      <c r="E258" s="19" t="str">
        <f t="array" ref="E258">IFERROR(IF(INDEX(Sales!$E$7:$E$1506,$O258)="","",INDEX(Sales!$E$7:$E$1506,$O258)),"")</f>
        <v>PAWF-260715-04EAA</v>
      </c>
      <c r="F258" s="19" t="str">
        <f t="array" ref="F258">IFERROR(INDEX(Sales!$F$7:$F$1506,$O258),"")</f>
        <v>FD-DRY-SMHRT-15KG-001</v>
      </c>
      <c r="G258" s="19" t="str">
        <f t="array" ref="G258">IFERROR(INDEX(Sales!$G$7:$G$1506,$O258),"")</f>
        <v>Smart Heart Adult Cat Food Chicken &amp; Tuna [15kg]</v>
      </c>
      <c r="H258" s="96">
        <f t="array" ref="H258">IFERROR(INDEX(Sales!$H$7:$H$1506,$O258),"")</f>
        <v>1</v>
      </c>
      <c r="I258" s="96">
        <f t="array" ref="I258">IFERROR(INDEX(Sales!$I$7:$I$1506,$O258),"")</f>
        <v>6400</v>
      </c>
      <c r="J258" s="96">
        <f t="array" ref="J258">IFERROR(INDEX(Sales!$J$7:$J$1506,$O258),"")</f>
        <v>6700</v>
      </c>
      <c r="K258" s="96">
        <f t="array" ref="K258">IFERROR(INDEX(Sales!$K$7:$K$1506,$O258),"")</f>
        <v>300</v>
      </c>
      <c r="L258" s="96">
        <f t="array" ref="L258">IFERROR(INDEX(Sales!$L$7:$L$1506,$O258),"")</f>
        <v>6400</v>
      </c>
      <c r="M258" s="19" t="str">
        <f t="array" ref="M258">IFERROR(INDEX(Sales!$M$7:$M$1506,$O258),"")</f>
        <v>Paid</v>
      </c>
      <c r="O258" s="111" t="str">
        <f>IFERROR(MATCH(TEXT($B$3,"yyyymm")&amp;"-"&amp;(ROW()-4),Sales!$Y$7:$Y$1506,0),"")</f>
        <v/>
      </c>
    </row>
    <row r="259" ht="14.25" customHeight="1">
      <c r="A259" s="110">
        <f t="array" ref="A259">IFERROR(INDEX(Sales!$A$7:$A$1506,$O259),"")</f>
        <v>46219</v>
      </c>
      <c r="B259" s="19" t="str">
        <f t="array" ref="B259">IFERROR(INDEX(Sales!$B$7:$B$1506,$O259),"")</f>
        <v>Sale</v>
      </c>
      <c r="C259" s="19" t="str">
        <f t="array" ref="C259">IFERROR(INDEX(Sales!$C$7:$C$1506,$O259),"")</f>
        <v>Online</v>
      </c>
      <c r="D259" s="19" t="str">
        <f t="array" ref="D259">IFERROR(INDEX(Sales!$D$7:$D$1506,$O259),"")</f>
        <v>Samreen islam</v>
      </c>
      <c r="E259" s="19" t="str">
        <f t="array" ref="E259">IFERROR(IF(INDEX(Sales!$E$7:$E$1506,$O259)="","",INDEX(Sales!$E$7:$E$1506,$O259)),"")</f>
        <v>PAWF-260715-04EAA</v>
      </c>
      <c r="F259" s="19" t="str">
        <f t="array" ref="F259">IFERROR(INDEX(Sales!$F$7:$F$1506,$O259),"")</f>
        <v>FD-DRY-SMHRT-15KG-001</v>
      </c>
      <c r="G259" s="19" t="str">
        <f t="array" ref="G259">IFERROR(INDEX(Sales!$G$7:$G$1506,$O259),"")</f>
        <v>Smart Heart Adult Cat Food Chicken &amp; Tuna [15kg]</v>
      </c>
      <c r="H259" s="96">
        <f t="array" ref="H259">IFERROR(INDEX(Sales!$H$7:$H$1506,$O259),"")</f>
        <v>1</v>
      </c>
      <c r="I259" s="96">
        <f t="array" ref="I259">IFERROR(INDEX(Sales!$I$7:$I$1506,$O259),"")</f>
        <v>6400</v>
      </c>
      <c r="J259" s="96">
        <f t="array" ref="J259">IFERROR(INDEX(Sales!$J$7:$J$1506,$O259),"")</f>
        <v>6700</v>
      </c>
      <c r="K259" s="96">
        <f t="array" ref="K259">IFERROR(INDEX(Sales!$K$7:$K$1506,$O259),"")</f>
        <v>300</v>
      </c>
      <c r="L259" s="96">
        <f t="array" ref="L259">IFERROR(INDEX(Sales!$L$7:$L$1506,$O259),"")</f>
        <v>6400</v>
      </c>
      <c r="M259" s="19" t="str">
        <f t="array" ref="M259">IFERROR(INDEX(Sales!$M$7:$M$1506,$O259),"")</f>
        <v>Paid</v>
      </c>
      <c r="O259" s="111" t="str">
        <f>IFERROR(MATCH(TEXT($B$3,"yyyymm")&amp;"-"&amp;(ROW()-4),Sales!$Y$7:$Y$1506,0),"")</f>
        <v/>
      </c>
    </row>
    <row r="260" ht="14.25" customHeight="1">
      <c r="A260" s="110">
        <f t="array" ref="A260">IFERROR(INDEX(Sales!$A$7:$A$1506,$O260),"")</f>
        <v>46219</v>
      </c>
      <c r="B260" s="19" t="str">
        <f t="array" ref="B260">IFERROR(INDEX(Sales!$B$7:$B$1506,$O260),"")</f>
        <v>Sale</v>
      </c>
      <c r="C260" s="19" t="str">
        <f t="array" ref="C260">IFERROR(INDEX(Sales!$C$7:$C$1506,$O260),"")</f>
        <v>Online</v>
      </c>
      <c r="D260" s="19" t="str">
        <f t="array" ref="D260">IFERROR(INDEX(Sales!$D$7:$D$1506,$O260),"")</f>
        <v>Samreen islam</v>
      </c>
      <c r="E260" s="19" t="str">
        <f t="array" ref="E260">IFERROR(IF(INDEX(Sales!$E$7:$E$1506,$O260)="","",INDEX(Sales!$E$7:$E$1506,$O260)),"")</f>
        <v>PAWF-260715-04EAA</v>
      </c>
      <c r="F260" s="19" t="str">
        <f t="array" ref="F260">IFERROR(INDEX(Sales!$F$7:$F$1506,$O260),"")</f>
        <v>FD-DRY-SMHRT-15KG-001</v>
      </c>
      <c r="G260" s="19" t="str">
        <f t="array" ref="G260">IFERROR(INDEX(Sales!$G$7:$G$1506,$O260),"")</f>
        <v>Smart Heart Adult Cat Food Chicken &amp; Tuna [15kg]</v>
      </c>
      <c r="H260" s="96">
        <f t="array" ref="H260">IFERROR(INDEX(Sales!$H$7:$H$1506,$O260),"")</f>
        <v>1</v>
      </c>
      <c r="I260" s="96">
        <f t="array" ref="I260">IFERROR(INDEX(Sales!$I$7:$I$1506,$O260),"")</f>
        <v>6400</v>
      </c>
      <c r="J260" s="96">
        <f t="array" ref="J260">IFERROR(INDEX(Sales!$J$7:$J$1506,$O260),"")</f>
        <v>6700</v>
      </c>
      <c r="K260" s="96">
        <f t="array" ref="K260">IFERROR(INDEX(Sales!$K$7:$K$1506,$O260),"")</f>
        <v>300</v>
      </c>
      <c r="L260" s="96">
        <f t="array" ref="L260">IFERROR(INDEX(Sales!$L$7:$L$1506,$O260),"")</f>
        <v>6400</v>
      </c>
      <c r="M260" s="19" t="str">
        <f t="array" ref="M260">IFERROR(INDEX(Sales!$M$7:$M$1506,$O260),"")</f>
        <v>Paid</v>
      </c>
      <c r="O260" s="111" t="str">
        <f>IFERROR(MATCH(TEXT($B$3,"yyyymm")&amp;"-"&amp;(ROW()-4),Sales!$Y$7:$Y$1506,0),"")</f>
        <v/>
      </c>
    </row>
    <row r="261" ht="14.25" customHeight="1">
      <c r="A261" s="110">
        <f t="array" ref="A261">IFERROR(INDEX(Sales!$A$7:$A$1506,$O261),"")</f>
        <v>46219</v>
      </c>
      <c r="B261" s="19" t="str">
        <f t="array" ref="B261">IFERROR(INDEX(Sales!$B$7:$B$1506,$O261),"")</f>
        <v>Sale</v>
      </c>
      <c r="C261" s="19" t="str">
        <f t="array" ref="C261">IFERROR(INDEX(Sales!$C$7:$C$1506,$O261),"")</f>
        <v>Online</v>
      </c>
      <c r="D261" s="19" t="str">
        <f t="array" ref="D261">IFERROR(INDEX(Sales!$D$7:$D$1506,$O261),"")</f>
        <v>Samreen islam</v>
      </c>
      <c r="E261" s="19" t="str">
        <f t="array" ref="E261">IFERROR(IF(INDEX(Sales!$E$7:$E$1506,$O261)="","",INDEX(Sales!$E$7:$E$1506,$O261)),"")</f>
        <v>PAWF-260715-04EAA</v>
      </c>
      <c r="F261" s="19" t="str">
        <f t="array" ref="F261">IFERROR(INDEX(Sales!$F$7:$F$1506,$O261),"")</f>
        <v>FD-DRY-SMHRT-15KG-001</v>
      </c>
      <c r="G261" s="19" t="str">
        <f t="array" ref="G261">IFERROR(INDEX(Sales!$G$7:$G$1506,$O261),"")</f>
        <v>Smart Heart Adult Cat Food Chicken &amp; Tuna [15kg]</v>
      </c>
      <c r="H261" s="96">
        <f t="array" ref="H261">IFERROR(INDEX(Sales!$H$7:$H$1506,$O261),"")</f>
        <v>1</v>
      </c>
      <c r="I261" s="96">
        <f t="array" ref="I261">IFERROR(INDEX(Sales!$I$7:$I$1506,$O261),"")</f>
        <v>6400</v>
      </c>
      <c r="J261" s="96">
        <f t="array" ref="J261">IFERROR(INDEX(Sales!$J$7:$J$1506,$O261),"")</f>
        <v>6700</v>
      </c>
      <c r="K261" s="96">
        <f t="array" ref="K261">IFERROR(INDEX(Sales!$K$7:$K$1506,$O261),"")</f>
        <v>300</v>
      </c>
      <c r="L261" s="96">
        <f t="array" ref="L261">IFERROR(INDEX(Sales!$L$7:$L$1506,$O261),"")</f>
        <v>6400</v>
      </c>
      <c r="M261" s="19" t="str">
        <f t="array" ref="M261">IFERROR(INDEX(Sales!$M$7:$M$1506,$O261),"")</f>
        <v>Paid</v>
      </c>
      <c r="O261" s="111" t="str">
        <f>IFERROR(MATCH(TEXT($B$3,"yyyymm")&amp;"-"&amp;(ROW()-4),Sales!$Y$7:$Y$1506,0),"")</f>
        <v/>
      </c>
    </row>
    <row r="262" ht="14.25" customHeight="1">
      <c r="A262" s="110">
        <f t="array" ref="A262">IFERROR(INDEX(Sales!$A$7:$A$1506,$O262),"")</f>
        <v>46219</v>
      </c>
      <c r="B262" s="19" t="str">
        <f t="array" ref="B262">IFERROR(INDEX(Sales!$B$7:$B$1506,$O262),"")</f>
        <v>Sale</v>
      </c>
      <c r="C262" s="19" t="str">
        <f t="array" ref="C262">IFERROR(INDEX(Sales!$C$7:$C$1506,$O262),"")</f>
        <v>Online</v>
      </c>
      <c r="D262" s="19" t="str">
        <f t="array" ref="D262">IFERROR(INDEX(Sales!$D$7:$D$1506,$O262),"")</f>
        <v>Samreen islam</v>
      </c>
      <c r="E262" s="19" t="str">
        <f t="array" ref="E262">IFERROR(IF(INDEX(Sales!$E$7:$E$1506,$O262)="","",INDEX(Sales!$E$7:$E$1506,$O262)),"")</f>
        <v>PAWF-260715-04EAA</v>
      </c>
      <c r="F262" s="19" t="str">
        <f t="array" ref="F262">IFERROR(INDEX(Sales!$F$7:$F$1506,$O262),"")</f>
        <v>FD-DRY-SMHRT-15KG-001</v>
      </c>
      <c r="G262" s="19" t="str">
        <f t="array" ref="G262">IFERROR(INDEX(Sales!$G$7:$G$1506,$O262),"")</f>
        <v>Smart Heart Adult Cat Food Chicken &amp; Tuna [15kg]</v>
      </c>
      <c r="H262" s="96">
        <f t="array" ref="H262">IFERROR(INDEX(Sales!$H$7:$H$1506,$O262),"")</f>
        <v>1</v>
      </c>
      <c r="I262" s="96">
        <f t="array" ref="I262">IFERROR(INDEX(Sales!$I$7:$I$1506,$O262),"")</f>
        <v>6400</v>
      </c>
      <c r="J262" s="96">
        <f t="array" ref="J262">IFERROR(INDEX(Sales!$J$7:$J$1506,$O262),"")</f>
        <v>6700</v>
      </c>
      <c r="K262" s="96">
        <f t="array" ref="K262">IFERROR(INDEX(Sales!$K$7:$K$1506,$O262),"")</f>
        <v>300</v>
      </c>
      <c r="L262" s="96">
        <f t="array" ref="L262">IFERROR(INDEX(Sales!$L$7:$L$1506,$O262),"")</f>
        <v>6400</v>
      </c>
      <c r="M262" s="19" t="str">
        <f t="array" ref="M262">IFERROR(INDEX(Sales!$M$7:$M$1506,$O262),"")</f>
        <v>Paid</v>
      </c>
      <c r="O262" s="111" t="str">
        <f>IFERROR(MATCH(TEXT($B$3,"yyyymm")&amp;"-"&amp;(ROW()-4),Sales!$Y$7:$Y$1506,0),"")</f>
        <v/>
      </c>
    </row>
    <row r="263" ht="14.25" customHeight="1">
      <c r="A263" s="110">
        <f t="array" ref="A263">IFERROR(INDEX(Sales!$A$7:$A$1506,$O263),"")</f>
        <v>46219</v>
      </c>
      <c r="B263" s="19" t="str">
        <f t="array" ref="B263">IFERROR(INDEX(Sales!$B$7:$B$1506,$O263),"")</f>
        <v>Sale</v>
      </c>
      <c r="C263" s="19" t="str">
        <f t="array" ref="C263">IFERROR(INDEX(Sales!$C$7:$C$1506,$O263),"")</f>
        <v>Online</v>
      </c>
      <c r="D263" s="19" t="str">
        <f t="array" ref="D263">IFERROR(INDEX(Sales!$D$7:$D$1506,$O263),"")</f>
        <v>Samreen islam</v>
      </c>
      <c r="E263" s="19" t="str">
        <f t="array" ref="E263">IFERROR(IF(INDEX(Sales!$E$7:$E$1506,$O263)="","",INDEX(Sales!$E$7:$E$1506,$O263)),"")</f>
        <v>PAWF-260715-04EAA</v>
      </c>
      <c r="F263" s="19" t="str">
        <f t="array" ref="F263">IFERROR(INDEX(Sales!$F$7:$F$1506,$O263),"")</f>
        <v>FD-DRY-SMHRT-15KG-001</v>
      </c>
      <c r="G263" s="19" t="str">
        <f t="array" ref="G263">IFERROR(INDEX(Sales!$G$7:$G$1506,$O263),"")</f>
        <v>Smart Heart Adult Cat Food Chicken &amp; Tuna [15kg]</v>
      </c>
      <c r="H263" s="96">
        <f t="array" ref="H263">IFERROR(INDEX(Sales!$H$7:$H$1506,$O263),"")</f>
        <v>1</v>
      </c>
      <c r="I263" s="96">
        <f t="array" ref="I263">IFERROR(INDEX(Sales!$I$7:$I$1506,$O263),"")</f>
        <v>6400</v>
      </c>
      <c r="J263" s="96">
        <f t="array" ref="J263">IFERROR(INDEX(Sales!$J$7:$J$1506,$O263),"")</f>
        <v>6700</v>
      </c>
      <c r="K263" s="96">
        <f t="array" ref="K263">IFERROR(INDEX(Sales!$K$7:$K$1506,$O263),"")</f>
        <v>300</v>
      </c>
      <c r="L263" s="96">
        <f t="array" ref="L263">IFERROR(INDEX(Sales!$L$7:$L$1506,$O263),"")</f>
        <v>6400</v>
      </c>
      <c r="M263" s="19" t="str">
        <f t="array" ref="M263">IFERROR(INDEX(Sales!$M$7:$M$1506,$O263),"")</f>
        <v>Paid</v>
      </c>
      <c r="O263" s="111" t="str">
        <f>IFERROR(MATCH(TEXT($B$3,"yyyymm")&amp;"-"&amp;(ROW()-4),Sales!$Y$7:$Y$1506,0),"")</f>
        <v/>
      </c>
    </row>
    <row r="264" ht="14.25" customHeight="1">
      <c r="A264" s="110">
        <f t="array" ref="A264">IFERROR(INDEX(Sales!$A$7:$A$1506,$O264),"")</f>
        <v>46219</v>
      </c>
      <c r="B264" s="19" t="str">
        <f t="array" ref="B264">IFERROR(INDEX(Sales!$B$7:$B$1506,$O264),"")</f>
        <v>Sale</v>
      </c>
      <c r="C264" s="19" t="str">
        <f t="array" ref="C264">IFERROR(INDEX(Sales!$C$7:$C$1506,$O264),"")</f>
        <v>Online</v>
      </c>
      <c r="D264" s="19" t="str">
        <f t="array" ref="D264">IFERROR(INDEX(Sales!$D$7:$D$1506,$O264),"")</f>
        <v>Samreen islam</v>
      </c>
      <c r="E264" s="19" t="str">
        <f t="array" ref="E264">IFERROR(IF(INDEX(Sales!$E$7:$E$1506,$O264)="","",INDEX(Sales!$E$7:$E$1506,$O264)),"")</f>
        <v>PAWF-260715-04EAA</v>
      </c>
      <c r="F264" s="19" t="str">
        <f t="array" ref="F264">IFERROR(INDEX(Sales!$F$7:$F$1506,$O264),"")</f>
        <v>FD-DRY-SMHRT-15KG-001</v>
      </c>
      <c r="G264" s="19" t="str">
        <f t="array" ref="G264">IFERROR(INDEX(Sales!$G$7:$G$1506,$O264),"")</f>
        <v>Smart Heart Adult Cat Food Chicken &amp; Tuna [15kg]</v>
      </c>
      <c r="H264" s="96">
        <f t="array" ref="H264">IFERROR(INDEX(Sales!$H$7:$H$1506,$O264),"")</f>
        <v>1</v>
      </c>
      <c r="I264" s="96">
        <f t="array" ref="I264">IFERROR(INDEX(Sales!$I$7:$I$1506,$O264),"")</f>
        <v>6400</v>
      </c>
      <c r="J264" s="96">
        <f t="array" ref="J264">IFERROR(INDEX(Sales!$J$7:$J$1506,$O264),"")</f>
        <v>6700</v>
      </c>
      <c r="K264" s="96">
        <f t="array" ref="K264">IFERROR(INDEX(Sales!$K$7:$K$1506,$O264),"")</f>
        <v>300</v>
      </c>
      <c r="L264" s="96">
        <f t="array" ref="L264">IFERROR(INDEX(Sales!$L$7:$L$1506,$O264),"")</f>
        <v>6400</v>
      </c>
      <c r="M264" s="19" t="str">
        <f t="array" ref="M264">IFERROR(INDEX(Sales!$M$7:$M$1506,$O264),"")</f>
        <v>Paid</v>
      </c>
      <c r="O264" s="111" t="str">
        <f>IFERROR(MATCH(TEXT($B$3,"yyyymm")&amp;"-"&amp;(ROW()-4),Sales!$Y$7:$Y$1506,0),"")</f>
        <v/>
      </c>
    </row>
    <row r="265" ht="14.25" customHeight="1">
      <c r="A265" s="110">
        <f t="array" ref="A265">IFERROR(INDEX(Sales!$A$7:$A$1506,$O265),"")</f>
        <v>46219</v>
      </c>
      <c r="B265" s="19" t="str">
        <f t="array" ref="B265">IFERROR(INDEX(Sales!$B$7:$B$1506,$O265),"")</f>
        <v>Sale</v>
      </c>
      <c r="C265" s="19" t="str">
        <f t="array" ref="C265">IFERROR(INDEX(Sales!$C$7:$C$1506,$O265),"")</f>
        <v>Online</v>
      </c>
      <c r="D265" s="19" t="str">
        <f t="array" ref="D265">IFERROR(INDEX(Sales!$D$7:$D$1506,$O265),"")</f>
        <v>Samreen islam</v>
      </c>
      <c r="E265" s="19" t="str">
        <f t="array" ref="E265">IFERROR(IF(INDEX(Sales!$E$7:$E$1506,$O265)="","",INDEX(Sales!$E$7:$E$1506,$O265)),"")</f>
        <v>PAWF-260715-04EAA</v>
      </c>
      <c r="F265" s="19" t="str">
        <f t="array" ref="F265">IFERROR(INDEX(Sales!$F$7:$F$1506,$O265),"")</f>
        <v>FD-DRY-SMHRT-15KG-001</v>
      </c>
      <c r="G265" s="19" t="str">
        <f t="array" ref="G265">IFERROR(INDEX(Sales!$G$7:$G$1506,$O265),"")</f>
        <v>Smart Heart Adult Cat Food Chicken &amp; Tuna [15kg]</v>
      </c>
      <c r="H265" s="96">
        <f t="array" ref="H265">IFERROR(INDEX(Sales!$H$7:$H$1506,$O265),"")</f>
        <v>1</v>
      </c>
      <c r="I265" s="96">
        <f t="array" ref="I265">IFERROR(INDEX(Sales!$I$7:$I$1506,$O265),"")</f>
        <v>6400</v>
      </c>
      <c r="J265" s="96">
        <f t="array" ref="J265">IFERROR(INDEX(Sales!$J$7:$J$1506,$O265),"")</f>
        <v>6700</v>
      </c>
      <c r="K265" s="96">
        <f t="array" ref="K265">IFERROR(INDEX(Sales!$K$7:$K$1506,$O265),"")</f>
        <v>300</v>
      </c>
      <c r="L265" s="96">
        <f t="array" ref="L265">IFERROR(INDEX(Sales!$L$7:$L$1506,$O265),"")</f>
        <v>6400</v>
      </c>
      <c r="M265" s="19" t="str">
        <f t="array" ref="M265">IFERROR(INDEX(Sales!$M$7:$M$1506,$O265),"")</f>
        <v>Paid</v>
      </c>
      <c r="O265" s="111" t="str">
        <f>IFERROR(MATCH(TEXT($B$3,"yyyymm")&amp;"-"&amp;(ROW()-4),Sales!$Y$7:$Y$1506,0),"")</f>
        <v/>
      </c>
    </row>
    <row r="266" ht="14.25" customHeight="1">
      <c r="A266" s="110">
        <f t="array" ref="A266">IFERROR(INDEX(Sales!$A$7:$A$1506,$O266),"")</f>
        <v>46219</v>
      </c>
      <c r="B266" s="19" t="str">
        <f t="array" ref="B266">IFERROR(INDEX(Sales!$B$7:$B$1506,$O266),"")</f>
        <v>Sale</v>
      </c>
      <c r="C266" s="19" t="str">
        <f t="array" ref="C266">IFERROR(INDEX(Sales!$C$7:$C$1506,$O266),"")</f>
        <v>Online</v>
      </c>
      <c r="D266" s="19" t="str">
        <f t="array" ref="D266">IFERROR(INDEX(Sales!$D$7:$D$1506,$O266),"")</f>
        <v>Samreen islam</v>
      </c>
      <c r="E266" s="19" t="str">
        <f t="array" ref="E266">IFERROR(IF(INDEX(Sales!$E$7:$E$1506,$O266)="","",INDEX(Sales!$E$7:$E$1506,$O266)),"")</f>
        <v>PAWF-260715-04EAA</v>
      </c>
      <c r="F266" s="19" t="str">
        <f t="array" ref="F266">IFERROR(INDEX(Sales!$F$7:$F$1506,$O266),"")</f>
        <v>FD-DRY-SMHRT-15KG-001</v>
      </c>
      <c r="G266" s="19" t="str">
        <f t="array" ref="G266">IFERROR(INDEX(Sales!$G$7:$G$1506,$O266),"")</f>
        <v>Smart Heart Adult Cat Food Chicken &amp; Tuna [15kg]</v>
      </c>
      <c r="H266" s="96">
        <f t="array" ref="H266">IFERROR(INDEX(Sales!$H$7:$H$1506,$O266),"")</f>
        <v>1</v>
      </c>
      <c r="I266" s="96">
        <f t="array" ref="I266">IFERROR(INDEX(Sales!$I$7:$I$1506,$O266),"")</f>
        <v>6400</v>
      </c>
      <c r="J266" s="96">
        <f t="array" ref="J266">IFERROR(INDEX(Sales!$J$7:$J$1506,$O266),"")</f>
        <v>6700</v>
      </c>
      <c r="K266" s="96">
        <f t="array" ref="K266">IFERROR(INDEX(Sales!$K$7:$K$1506,$O266),"")</f>
        <v>300</v>
      </c>
      <c r="L266" s="96">
        <f t="array" ref="L266">IFERROR(INDEX(Sales!$L$7:$L$1506,$O266),"")</f>
        <v>6400</v>
      </c>
      <c r="M266" s="19" t="str">
        <f t="array" ref="M266">IFERROR(INDEX(Sales!$M$7:$M$1506,$O266),"")</f>
        <v>Paid</v>
      </c>
      <c r="O266" s="111" t="str">
        <f>IFERROR(MATCH(TEXT($B$3,"yyyymm")&amp;"-"&amp;(ROW()-4),Sales!$Y$7:$Y$1506,0),"")</f>
        <v/>
      </c>
    </row>
    <row r="267" ht="14.25" customHeight="1">
      <c r="A267" s="110">
        <f t="array" ref="A267">IFERROR(INDEX(Sales!$A$7:$A$1506,$O267),"")</f>
        <v>46219</v>
      </c>
      <c r="B267" s="19" t="str">
        <f t="array" ref="B267">IFERROR(INDEX(Sales!$B$7:$B$1506,$O267),"")</f>
        <v>Sale</v>
      </c>
      <c r="C267" s="19" t="str">
        <f t="array" ref="C267">IFERROR(INDEX(Sales!$C$7:$C$1506,$O267),"")</f>
        <v>Online</v>
      </c>
      <c r="D267" s="19" t="str">
        <f t="array" ref="D267">IFERROR(INDEX(Sales!$D$7:$D$1506,$O267),"")</f>
        <v>Samreen islam</v>
      </c>
      <c r="E267" s="19" t="str">
        <f t="array" ref="E267">IFERROR(IF(INDEX(Sales!$E$7:$E$1506,$O267)="","",INDEX(Sales!$E$7:$E$1506,$O267)),"")</f>
        <v>PAWF-260715-04EAA</v>
      </c>
      <c r="F267" s="19" t="str">
        <f t="array" ref="F267">IFERROR(INDEX(Sales!$F$7:$F$1506,$O267),"")</f>
        <v>FD-DRY-SMHRT-15KG-001</v>
      </c>
      <c r="G267" s="19" t="str">
        <f t="array" ref="G267">IFERROR(INDEX(Sales!$G$7:$G$1506,$O267),"")</f>
        <v>Smart Heart Adult Cat Food Chicken &amp; Tuna [15kg]</v>
      </c>
      <c r="H267" s="96">
        <f t="array" ref="H267">IFERROR(INDEX(Sales!$H$7:$H$1506,$O267),"")</f>
        <v>1</v>
      </c>
      <c r="I267" s="96">
        <f t="array" ref="I267">IFERROR(INDEX(Sales!$I$7:$I$1506,$O267),"")</f>
        <v>6400</v>
      </c>
      <c r="J267" s="96">
        <f t="array" ref="J267">IFERROR(INDEX(Sales!$J$7:$J$1506,$O267),"")</f>
        <v>6700</v>
      </c>
      <c r="K267" s="96">
        <f t="array" ref="K267">IFERROR(INDEX(Sales!$K$7:$K$1506,$O267),"")</f>
        <v>300</v>
      </c>
      <c r="L267" s="96">
        <f t="array" ref="L267">IFERROR(INDEX(Sales!$L$7:$L$1506,$O267),"")</f>
        <v>6400</v>
      </c>
      <c r="M267" s="19" t="str">
        <f t="array" ref="M267">IFERROR(INDEX(Sales!$M$7:$M$1506,$O267),"")</f>
        <v>Paid</v>
      </c>
      <c r="O267" s="111" t="str">
        <f>IFERROR(MATCH(TEXT($B$3,"yyyymm")&amp;"-"&amp;(ROW()-4),Sales!$Y$7:$Y$1506,0),"")</f>
        <v/>
      </c>
    </row>
    <row r="268" ht="14.25" customHeight="1">
      <c r="A268" s="110">
        <f t="array" ref="A268">IFERROR(INDEX(Sales!$A$7:$A$1506,$O268),"")</f>
        <v>46219</v>
      </c>
      <c r="B268" s="19" t="str">
        <f t="array" ref="B268">IFERROR(INDEX(Sales!$B$7:$B$1506,$O268),"")</f>
        <v>Sale</v>
      </c>
      <c r="C268" s="19" t="str">
        <f t="array" ref="C268">IFERROR(INDEX(Sales!$C$7:$C$1506,$O268),"")</f>
        <v>Online</v>
      </c>
      <c r="D268" s="19" t="str">
        <f t="array" ref="D268">IFERROR(INDEX(Sales!$D$7:$D$1506,$O268),"")</f>
        <v>Samreen islam</v>
      </c>
      <c r="E268" s="19" t="str">
        <f t="array" ref="E268">IFERROR(IF(INDEX(Sales!$E$7:$E$1506,$O268)="","",INDEX(Sales!$E$7:$E$1506,$O268)),"")</f>
        <v>PAWF-260715-04EAA</v>
      </c>
      <c r="F268" s="19" t="str">
        <f t="array" ref="F268">IFERROR(INDEX(Sales!$F$7:$F$1506,$O268),"")</f>
        <v>FD-DRY-SMHRT-15KG-001</v>
      </c>
      <c r="G268" s="19" t="str">
        <f t="array" ref="G268">IFERROR(INDEX(Sales!$G$7:$G$1506,$O268),"")</f>
        <v>Smart Heart Adult Cat Food Chicken &amp; Tuna [15kg]</v>
      </c>
      <c r="H268" s="96">
        <f t="array" ref="H268">IFERROR(INDEX(Sales!$H$7:$H$1506,$O268),"")</f>
        <v>1</v>
      </c>
      <c r="I268" s="96">
        <f t="array" ref="I268">IFERROR(INDEX(Sales!$I$7:$I$1506,$O268),"")</f>
        <v>6400</v>
      </c>
      <c r="J268" s="96">
        <f t="array" ref="J268">IFERROR(INDEX(Sales!$J$7:$J$1506,$O268),"")</f>
        <v>6700</v>
      </c>
      <c r="K268" s="96">
        <f t="array" ref="K268">IFERROR(INDEX(Sales!$K$7:$K$1506,$O268),"")</f>
        <v>300</v>
      </c>
      <c r="L268" s="96">
        <f t="array" ref="L268">IFERROR(INDEX(Sales!$L$7:$L$1506,$O268),"")</f>
        <v>6400</v>
      </c>
      <c r="M268" s="19" t="str">
        <f t="array" ref="M268">IFERROR(INDEX(Sales!$M$7:$M$1506,$O268),"")</f>
        <v>Paid</v>
      </c>
      <c r="O268" s="111" t="str">
        <f>IFERROR(MATCH(TEXT($B$3,"yyyymm")&amp;"-"&amp;(ROW()-4),Sales!$Y$7:$Y$1506,0),"")</f>
        <v/>
      </c>
    </row>
    <row r="269" ht="14.25" customHeight="1">
      <c r="A269" s="110">
        <f t="array" ref="A269">IFERROR(INDEX(Sales!$A$7:$A$1506,$O269),"")</f>
        <v>46219</v>
      </c>
      <c r="B269" s="19" t="str">
        <f t="array" ref="B269">IFERROR(INDEX(Sales!$B$7:$B$1506,$O269),"")</f>
        <v>Sale</v>
      </c>
      <c r="C269" s="19" t="str">
        <f t="array" ref="C269">IFERROR(INDEX(Sales!$C$7:$C$1506,$O269),"")</f>
        <v>Online</v>
      </c>
      <c r="D269" s="19" t="str">
        <f t="array" ref="D269">IFERROR(INDEX(Sales!$D$7:$D$1506,$O269),"")</f>
        <v>Samreen islam</v>
      </c>
      <c r="E269" s="19" t="str">
        <f t="array" ref="E269">IFERROR(IF(INDEX(Sales!$E$7:$E$1506,$O269)="","",INDEX(Sales!$E$7:$E$1506,$O269)),"")</f>
        <v>PAWF-260715-04EAA</v>
      </c>
      <c r="F269" s="19" t="str">
        <f t="array" ref="F269">IFERROR(INDEX(Sales!$F$7:$F$1506,$O269),"")</f>
        <v>FD-DRY-SMHRT-15KG-001</v>
      </c>
      <c r="G269" s="19" t="str">
        <f t="array" ref="G269">IFERROR(INDEX(Sales!$G$7:$G$1506,$O269),"")</f>
        <v>Smart Heart Adult Cat Food Chicken &amp; Tuna [15kg]</v>
      </c>
      <c r="H269" s="96">
        <f t="array" ref="H269">IFERROR(INDEX(Sales!$H$7:$H$1506,$O269),"")</f>
        <v>1</v>
      </c>
      <c r="I269" s="96">
        <f t="array" ref="I269">IFERROR(INDEX(Sales!$I$7:$I$1506,$O269),"")</f>
        <v>6400</v>
      </c>
      <c r="J269" s="96">
        <f t="array" ref="J269">IFERROR(INDEX(Sales!$J$7:$J$1506,$O269),"")</f>
        <v>6700</v>
      </c>
      <c r="K269" s="96">
        <f t="array" ref="K269">IFERROR(INDEX(Sales!$K$7:$K$1506,$O269),"")</f>
        <v>300</v>
      </c>
      <c r="L269" s="96">
        <f t="array" ref="L269">IFERROR(INDEX(Sales!$L$7:$L$1506,$O269),"")</f>
        <v>6400</v>
      </c>
      <c r="M269" s="19" t="str">
        <f t="array" ref="M269">IFERROR(INDEX(Sales!$M$7:$M$1506,$O269),"")</f>
        <v>Paid</v>
      </c>
      <c r="O269" s="111" t="str">
        <f>IFERROR(MATCH(TEXT($B$3,"yyyymm")&amp;"-"&amp;(ROW()-4),Sales!$Y$7:$Y$1506,0),"")</f>
        <v/>
      </c>
    </row>
    <row r="270" ht="14.25" customHeight="1">
      <c r="A270" s="110">
        <f t="array" ref="A270">IFERROR(INDEX(Sales!$A$7:$A$1506,$O270),"")</f>
        <v>46219</v>
      </c>
      <c r="B270" s="19" t="str">
        <f t="array" ref="B270">IFERROR(INDEX(Sales!$B$7:$B$1506,$O270),"")</f>
        <v>Sale</v>
      </c>
      <c r="C270" s="19" t="str">
        <f t="array" ref="C270">IFERROR(INDEX(Sales!$C$7:$C$1506,$O270),"")</f>
        <v>Online</v>
      </c>
      <c r="D270" s="19" t="str">
        <f t="array" ref="D270">IFERROR(INDEX(Sales!$D$7:$D$1506,$O270),"")</f>
        <v>Samreen islam</v>
      </c>
      <c r="E270" s="19" t="str">
        <f t="array" ref="E270">IFERROR(IF(INDEX(Sales!$E$7:$E$1506,$O270)="","",INDEX(Sales!$E$7:$E$1506,$O270)),"")</f>
        <v>PAWF-260715-04EAA</v>
      </c>
      <c r="F270" s="19" t="str">
        <f t="array" ref="F270">IFERROR(INDEX(Sales!$F$7:$F$1506,$O270),"")</f>
        <v>FD-DRY-SMHRT-15KG-001</v>
      </c>
      <c r="G270" s="19" t="str">
        <f t="array" ref="G270">IFERROR(INDEX(Sales!$G$7:$G$1506,$O270),"")</f>
        <v>Smart Heart Adult Cat Food Chicken &amp; Tuna [15kg]</v>
      </c>
      <c r="H270" s="96">
        <f t="array" ref="H270">IFERROR(INDEX(Sales!$H$7:$H$1506,$O270),"")</f>
        <v>1</v>
      </c>
      <c r="I270" s="96">
        <f t="array" ref="I270">IFERROR(INDEX(Sales!$I$7:$I$1506,$O270),"")</f>
        <v>6400</v>
      </c>
      <c r="J270" s="96">
        <f t="array" ref="J270">IFERROR(INDEX(Sales!$J$7:$J$1506,$O270),"")</f>
        <v>6700</v>
      </c>
      <c r="K270" s="96">
        <f t="array" ref="K270">IFERROR(INDEX(Sales!$K$7:$K$1506,$O270),"")</f>
        <v>300</v>
      </c>
      <c r="L270" s="96">
        <f t="array" ref="L270">IFERROR(INDEX(Sales!$L$7:$L$1506,$O270),"")</f>
        <v>6400</v>
      </c>
      <c r="M270" s="19" t="str">
        <f t="array" ref="M270">IFERROR(INDEX(Sales!$M$7:$M$1506,$O270),"")</f>
        <v>Paid</v>
      </c>
      <c r="O270" s="111" t="str">
        <f>IFERROR(MATCH(TEXT($B$3,"yyyymm")&amp;"-"&amp;(ROW()-4),Sales!$Y$7:$Y$1506,0),"")</f>
        <v/>
      </c>
    </row>
    <row r="271" ht="14.25" customHeight="1">
      <c r="A271" s="110">
        <f t="array" ref="A271">IFERROR(INDEX(Sales!$A$7:$A$1506,$O271),"")</f>
        <v>46219</v>
      </c>
      <c r="B271" s="19" t="str">
        <f t="array" ref="B271">IFERROR(INDEX(Sales!$B$7:$B$1506,$O271),"")</f>
        <v>Sale</v>
      </c>
      <c r="C271" s="19" t="str">
        <f t="array" ref="C271">IFERROR(INDEX(Sales!$C$7:$C$1506,$O271),"")</f>
        <v>Online</v>
      </c>
      <c r="D271" s="19" t="str">
        <f t="array" ref="D271">IFERROR(INDEX(Sales!$D$7:$D$1506,$O271),"")</f>
        <v>Samreen islam</v>
      </c>
      <c r="E271" s="19" t="str">
        <f t="array" ref="E271">IFERROR(IF(INDEX(Sales!$E$7:$E$1506,$O271)="","",INDEX(Sales!$E$7:$E$1506,$O271)),"")</f>
        <v>PAWF-260715-04EAA</v>
      </c>
      <c r="F271" s="19" t="str">
        <f t="array" ref="F271">IFERROR(INDEX(Sales!$F$7:$F$1506,$O271),"")</f>
        <v>FD-DRY-SMHRT-15KG-001</v>
      </c>
      <c r="G271" s="19" t="str">
        <f t="array" ref="G271">IFERROR(INDEX(Sales!$G$7:$G$1506,$O271),"")</f>
        <v>Smart Heart Adult Cat Food Chicken &amp; Tuna [15kg]</v>
      </c>
      <c r="H271" s="96">
        <f t="array" ref="H271">IFERROR(INDEX(Sales!$H$7:$H$1506,$O271),"")</f>
        <v>1</v>
      </c>
      <c r="I271" s="96">
        <f t="array" ref="I271">IFERROR(INDEX(Sales!$I$7:$I$1506,$O271),"")</f>
        <v>6400</v>
      </c>
      <c r="J271" s="96">
        <f t="array" ref="J271">IFERROR(INDEX(Sales!$J$7:$J$1506,$O271),"")</f>
        <v>6700</v>
      </c>
      <c r="K271" s="96">
        <f t="array" ref="K271">IFERROR(INDEX(Sales!$K$7:$K$1506,$O271),"")</f>
        <v>300</v>
      </c>
      <c r="L271" s="96">
        <f t="array" ref="L271">IFERROR(INDEX(Sales!$L$7:$L$1506,$O271),"")</f>
        <v>6400</v>
      </c>
      <c r="M271" s="19" t="str">
        <f t="array" ref="M271">IFERROR(INDEX(Sales!$M$7:$M$1506,$O271),"")</f>
        <v>Paid</v>
      </c>
      <c r="O271" s="111" t="str">
        <f>IFERROR(MATCH(TEXT($B$3,"yyyymm")&amp;"-"&amp;(ROW()-4),Sales!$Y$7:$Y$1506,0),"")</f>
        <v/>
      </c>
    </row>
    <row r="272" ht="14.25" customHeight="1">
      <c r="A272" s="110">
        <f t="array" ref="A272">IFERROR(INDEX(Sales!$A$7:$A$1506,$O272),"")</f>
        <v>46219</v>
      </c>
      <c r="B272" s="19" t="str">
        <f t="array" ref="B272">IFERROR(INDEX(Sales!$B$7:$B$1506,$O272),"")</f>
        <v>Sale</v>
      </c>
      <c r="C272" s="19" t="str">
        <f t="array" ref="C272">IFERROR(INDEX(Sales!$C$7:$C$1506,$O272),"")</f>
        <v>Online</v>
      </c>
      <c r="D272" s="19" t="str">
        <f t="array" ref="D272">IFERROR(INDEX(Sales!$D$7:$D$1506,$O272),"")</f>
        <v>Samreen islam</v>
      </c>
      <c r="E272" s="19" t="str">
        <f t="array" ref="E272">IFERROR(IF(INDEX(Sales!$E$7:$E$1506,$O272)="","",INDEX(Sales!$E$7:$E$1506,$O272)),"")</f>
        <v>PAWF-260715-04EAA</v>
      </c>
      <c r="F272" s="19" t="str">
        <f t="array" ref="F272">IFERROR(INDEX(Sales!$F$7:$F$1506,$O272),"")</f>
        <v>FD-DRY-SMHRT-15KG-001</v>
      </c>
      <c r="G272" s="19" t="str">
        <f t="array" ref="G272">IFERROR(INDEX(Sales!$G$7:$G$1506,$O272),"")</f>
        <v>Smart Heart Adult Cat Food Chicken &amp; Tuna [15kg]</v>
      </c>
      <c r="H272" s="96">
        <f t="array" ref="H272">IFERROR(INDEX(Sales!$H$7:$H$1506,$O272),"")</f>
        <v>1</v>
      </c>
      <c r="I272" s="96">
        <f t="array" ref="I272">IFERROR(INDEX(Sales!$I$7:$I$1506,$O272),"")</f>
        <v>6400</v>
      </c>
      <c r="J272" s="96">
        <f t="array" ref="J272">IFERROR(INDEX(Sales!$J$7:$J$1506,$O272),"")</f>
        <v>6700</v>
      </c>
      <c r="K272" s="96">
        <f t="array" ref="K272">IFERROR(INDEX(Sales!$K$7:$K$1506,$O272),"")</f>
        <v>300</v>
      </c>
      <c r="L272" s="96">
        <f t="array" ref="L272">IFERROR(INDEX(Sales!$L$7:$L$1506,$O272),"")</f>
        <v>6400</v>
      </c>
      <c r="M272" s="19" t="str">
        <f t="array" ref="M272">IFERROR(INDEX(Sales!$M$7:$M$1506,$O272),"")</f>
        <v>Paid</v>
      </c>
      <c r="O272" s="111" t="str">
        <f>IFERROR(MATCH(TEXT($B$3,"yyyymm")&amp;"-"&amp;(ROW()-4),Sales!$Y$7:$Y$1506,0),"")</f>
        <v/>
      </c>
    </row>
    <row r="273" ht="14.25" customHeight="1">
      <c r="A273" s="110">
        <f t="array" ref="A273">IFERROR(INDEX(Sales!$A$7:$A$1506,$O273),"")</f>
        <v>46219</v>
      </c>
      <c r="B273" s="19" t="str">
        <f t="array" ref="B273">IFERROR(INDEX(Sales!$B$7:$B$1506,$O273),"")</f>
        <v>Sale</v>
      </c>
      <c r="C273" s="19" t="str">
        <f t="array" ref="C273">IFERROR(INDEX(Sales!$C$7:$C$1506,$O273),"")</f>
        <v>Online</v>
      </c>
      <c r="D273" s="19" t="str">
        <f t="array" ref="D273">IFERROR(INDEX(Sales!$D$7:$D$1506,$O273),"")</f>
        <v>Samreen islam</v>
      </c>
      <c r="E273" s="19" t="str">
        <f t="array" ref="E273">IFERROR(IF(INDEX(Sales!$E$7:$E$1506,$O273)="","",INDEX(Sales!$E$7:$E$1506,$O273)),"")</f>
        <v>PAWF-260715-04EAA</v>
      </c>
      <c r="F273" s="19" t="str">
        <f t="array" ref="F273">IFERROR(INDEX(Sales!$F$7:$F$1506,$O273),"")</f>
        <v>FD-DRY-SMHRT-15KG-001</v>
      </c>
      <c r="G273" s="19" t="str">
        <f t="array" ref="G273">IFERROR(INDEX(Sales!$G$7:$G$1506,$O273),"")</f>
        <v>Smart Heart Adult Cat Food Chicken &amp; Tuna [15kg]</v>
      </c>
      <c r="H273" s="96">
        <f t="array" ref="H273">IFERROR(INDEX(Sales!$H$7:$H$1506,$O273),"")</f>
        <v>1</v>
      </c>
      <c r="I273" s="96">
        <f t="array" ref="I273">IFERROR(INDEX(Sales!$I$7:$I$1506,$O273),"")</f>
        <v>6400</v>
      </c>
      <c r="J273" s="96">
        <f t="array" ref="J273">IFERROR(INDEX(Sales!$J$7:$J$1506,$O273),"")</f>
        <v>6700</v>
      </c>
      <c r="K273" s="96">
        <f t="array" ref="K273">IFERROR(INDEX(Sales!$K$7:$K$1506,$O273),"")</f>
        <v>300</v>
      </c>
      <c r="L273" s="96">
        <f t="array" ref="L273">IFERROR(INDEX(Sales!$L$7:$L$1506,$O273),"")</f>
        <v>6400</v>
      </c>
      <c r="M273" s="19" t="str">
        <f t="array" ref="M273">IFERROR(INDEX(Sales!$M$7:$M$1506,$O273),"")</f>
        <v>Paid</v>
      </c>
      <c r="O273" s="111" t="str">
        <f>IFERROR(MATCH(TEXT($B$3,"yyyymm")&amp;"-"&amp;(ROW()-4),Sales!$Y$7:$Y$1506,0),"")</f>
        <v/>
      </c>
    </row>
    <row r="274" ht="14.25" customHeight="1">
      <c r="A274" s="110">
        <f t="array" ref="A274">IFERROR(INDEX(Sales!$A$7:$A$1506,$O274),"")</f>
        <v>46219</v>
      </c>
      <c r="B274" s="19" t="str">
        <f t="array" ref="B274">IFERROR(INDEX(Sales!$B$7:$B$1506,$O274),"")</f>
        <v>Sale</v>
      </c>
      <c r="C274" s="19" t="str">
        <f t="array" ref="C274">IFERROR(INDEX(Sales!$C$7:$C$1506,$O274),"")</f>
        <v>Online</v>
      </c>
      <c r="D274" s="19" t="str">
        <f t="array" ref="D274">IFERROR(INDEX(Sales!$D$7:$D$1506,$O274),"")</f>
        <v>Samreen islam</v>
      </c>
      <c r="E274" s="19" t="str">
        <f t="array" ref="E274">IFERROR(IF(INDEX(Sales!$E$7:$E$1506,$O274)="","",INDEX(Sales!$E$7:$E$1506,$O274)),"")</f>
        <v>PAWF-260715-04EAA</v>
      </c>
      <c r="F274" s="19" t="str">
        <f t="array" ref="F274">IFERROR(INDEX(Sales!$F$7:$F$1506,$O274),"")</f>
        <v>FD-DRY-SMHRT-15KG-001</v>
      </c>
      <c r="G274" s="19" t="str">
        <f t="array" ref="G274">IFERROR(INDEX(Sales!$G$7:$G$1506,$O274),"")</f>
        <v>Smart Heart Adult Cat Food Chicken &amp; Tuna [15kg]</v>
      </c>
      <c r="H274" s="96">
        <f t="array" ref="H274">IFERROR(INDEX(Sales!$H$7:$H$1506,$O274),"")</f>
        <v>1</v>
      </c>
      <c r="I274" s="96">
        <f t="array" ref="I274">IFERROR(INDEX(Sales!$I$7:$I$1506,$O274),"")</f>
        <v>6400</v>
      </c>
      <c r="J274" s="96">
        <f t="array" ref="J274">IFERROR(INDEX(Sales!$J$7:$J$1506,$O274),"")</f>
        <v>6700</v>
      </c>
      <c r="K274" s="96">
        <f t="array" ref="K274">IFERROR(INDEX(Sales!$K$7:$K$1506,$O274),"")</f>
        <v>300</v>
      </c>
      <c r="L274" s="96">
        <f t="array" ref="L274">IFERROR(INDEX(Sales!$L$7:$L$1506,$O274),"")</f>
        <v>6400</v>
      </c>
      <c r="M274" s="19" t="str">
        <f t="array" ref="M274">IFERROR(INDEX(Sales!$M$7:$M$1506,$O274),"")</f>
        <v>Paid</v>
      </c>
      <c r="O274" s="111" t="str">
        <f>IFERROR(MATCH(TEXT($B$3,"yyyymm")&amp;"-"&amp;(ROW()-4),Sales!$Y$7:$Y$1506,0),"")</f>
        <v/>
      </c>
    </row>
    <row r="275" ht="14.25" customHeight="1">
      <c r="A275" s="110">
        <f t="array" ref="A275">IFERROR(INDEX(Sales!$A$7:$A$1506,$O275),"")</f>
        <v>46219</v>
      </c>
      <c r="B275" s="19" t="str">
        <f t="array" ref="B275">IFERROR(INDEX(Sales!$B$7:$B$1506,$O275),"")</f>
        <v>Sale</v>
      </c>
      <c r="C275" s="19" t="str">
        <f t="array" ref="C275">IFERROR(INDEX(Sales!$C$7:$C$1506,$O275),"")</f>
        <v>Online</v>
      </c>
      <c r="D275" s="19" t="str">
        <f t="array" ref="D275">IFERROR(INDEX(Sales!$D$7:$D$1506,$O275),"")</f>
        <v>Samreen islam</v>
      </c>
      <c r="E275" s="19" t="str">
        <f t="array" ref="E275">IFERROR(IF(INDEX(Sales!$E$7:$E$1506,$O275)="","",INDEX(Sales!$E$7:$E$1506,$O275)),"")</f>
        <v>PAWF-260715-04EAA</v>
      </c>
      <c r="F275" s="19" t="str">
        <f t="array" ref="F275">IFERROR(INDEX(Sales!$F$7:$F$1506,$O275),"")</f>
        <v>FD-DRY-SMHRT-15KG-001</v>
      </c>
      <c r="G275" s="19" t="str">
        <f t="array" ref="G275">IFERROR(INDEX(Sales!$G$7:$G$1506,$O275),"")</f>
        <v>Smart Heart Adult Cat Food Chicken &amp; Tuna [15kg]</v>
      </c>
      <c r="H275" s="96">
        <f t="array" ref="H275">IFERROR(INDEX(Sales!$H$7:$H$1506,$O275),"")</f>
        <v>1</v>
      </c>
      <c r="I275" s="96">
        <f t="array" ref="I275">IFERROR(INDEX(Sales!$I$7:$I$1506,$O275),"")</f>
        <v>6400</v>
      </c>
      <c r="J275" s="96">
        <f t="array" ref="J275">IFERROR(INDEX(Sales!$J$7:$J$1506,$O275),"")</f>
        <v>6700</v>
      </c>
      <c r="K275" s="96">
        <f t="array" ref="K275">IFERROR(INDEX(Sales!$K$7:$K$1506,$O275),"")</f>
        <v>300</v>
      </c>
      <c r="L275" s="96">
        <f t="array" ref="L275">IFERROR(INDEX(Sales!$L$7:$L$1506,$O275),"")</f>
        <v>6400</v>
      </c>
      <c r="M275" s="19" t="str">
        <f t="array" ref="M275">IFERROR(INDEX(Sales!$M$7:$M$1506,$O275),"")</f>
        <v>Paid</v>
      </c>
      <c r="O275" s="111" t="str">
        <f>IFERROR(MATCH(TEXT($B$3,"yyyymm")&amp;"-"&amp;(ROW()-4),Sales!$Y$7:$Y$1506,0),"")</f>
        <v/>
      </c>
    </row>
    <row r="276" ht="14.25" customHeight="1">
      <c r="A276" s="110">
        <f t="array" ref="A276">IFERROR(INDEX(Sales!$A$7:$A$1506,$O276),"")</f>
        <v>46219</v>
      </c>
      <c r="B276" s="19" t="str">
        <f t="array" ref="B276">IFERROR(INDEX(Sales!$B$7:$B$1506,$O276),"")</f>
        <v>Sale</v>
      </c>
      <c r="C276" s="19" t="str">
        <f t="array" ref="C276">IFERROR(INDEX(Sales!$C$7:$C$1506,$O276),"")</f>
        <v>Online</v>
      </c>
      <c r="D276" s="19" t="str">
        <f t="array" ref="D276">IFERROR(INDEX(Sales!$D$7:$D$1506,$O276),"")</f>
        <v>Samreen islam</v>
      </c>
      <c r="E276" s="19" t="str">
        <f t="array" ref="E276">IFERROR(IF(INDEX(Sales!$E$7:$E$1506,$O276)="","",INDEX(Sales!$E$7:$E$1506,$O276)),"")</f>
        <v>PAWF-260715-04EAA</v>
      </c>
      <c r="F276" s="19" t="str">
        <f t="array" ref="F276">IFERROR(INDEX(Sales!$F$7:$F$1506,$O276),"")</f>
        <v>FD-DRY-SMHRT-15KG-001</v>
      </c>
      <c r="G276" s="19" t="str">
        <f t="array" ref="G276">IFERROR(INDEX(Sales!$G$7:$G$1506,$O276),"")</f>
        <v>Smart Heart Adult Cat Food Chicken &amp; Tuna [15kg]</v>
      </c>
      <c r="H276" s="96">
        <f t="array" ref="H276">IFERROR(INDEX(Sales!$H$7:$H$1506,$O276),"")</f>
        <v>1</v>
      </c>
      <c r="I276" s="96">
        <f t="array" ref="I276">IFERROR(INDEX(Sales!$I$7:$I$1506,$O276),"")</f>
        <v>6400</v>
      </c>
      <c r="J276" s="96">
        <f t="array" ref="J276">IFERROR(INDEX(Sales!$J$7:$J$1506,$O276),"")</f>
        <v>6700</v>
      </c>
      <c r="K276" s="96">
        <f t="array" ref="K276">IFERROR(INDEX(Sales!$K$7:$K$1506,$O276),"")</f>
        <v>300</v>
      </c>
      <c r="L276" s="96">
        <f t="array" ref="L276">IFERROR(INDEX(Sales!$L$7:$L$1506,$O276),"")</f>
        <v>6400</v>
      </c>
      <c r="M276" s="19" t="str">
        <f t="array" ref="M276">IFERROR(INDEX(Sales!$M$7:$M$1506,$O276),"")</f>
        <v>Paid</v>
      </c>
      <c r="O276" s="111" t="str">
        <f>IFERROR(MATCH(TEXT($B$3,"yyyymm")&amp;"-"&amp;(ROW()-4),Sales!$Y$7:$Y$1506,0),"")</f>
        <v/>
      </c>
    </row>
    <row r="277" ht="14.25" customHeight="1">
      <c r="A277" s="110">
        <f t="array" ref="A277">IFERROR(INDEX(Sales!$A$7:$A$1506,$O277),"")</f>
        <v>46219</v>
      </c>
      <c r="B277" s="19" t="str">
        <f t="array" ref="B277">IFERROR(INDEX(Sales!$B$7:$B$1506,$O277),"")</f>
        <v>Sale</v>
      </c>
      <c r="C277" s="19" t="str">
        <f t="array" ref="C277">IFERROR(INDEX(Sales!$C$7:$C$1506,$O277),"")</f>
        <v>Online</v>
      </c>
      <c r="D277" s="19" t="str">
        <f t="array" ref="D277">IFERROR(INDEX(Sales!$D$7:$D$1506,$O277),"")</f>
        <v>Samreen islam</v>
      </c>
      <c r="E277" s="19" t="str">
        <f t="array" ref="E277">IFERROR(IF(INDEX(Sales!$E$7:$E$1506,$O277)="","",INDEX(Sales!$E$7:$E$1506,$O277)),"")</f>
        <v>PAWF-260715-04EAA</v>
      </c>
      <c r="F277" s="19" t="str">
        <f t="array" ref="F277">IFERROR(INDEX(Sales!$F$7:$F$1506,$O277),"")</f>
        <v>FD-DRY-SMHRT-15KG-001</v>
      </c>
      <c r="G277" s="19" t="str">
        <f t="array" ref="G277">IFERROR(INDEX(Sales!$G$7:$G$1506,$O277),"")</f>
        <v>Smart Heart Adult Cat Food Chicken &amp; Tuna [15kg]</v>
      </c>
      <c r="H277" s="96">
        <f t="array" ref="H277">IFERROR(INDEX(Sales!$H$7:$H$1506,$O277),"")</f>
        <v>1</v>
      </c>
      <c r="I277" s="96">
        <f t="array" ref="I277">IFERROR(INDEX(Sales!$I$7:$I$1506,$O277),"")</f>
        <v>6400</v>
      </c>
      <c r="J277" s="96">
        <f t="array" ref="J277">IFERROR(INDEX(Sales!$J$7:$J$1506,$O277),"")</f>
        <v>6700</v>
      </c>
      <c r="K277" s="96">
        <f t="array" ref="K277">IFERROR(INDEX(Sales!$K$7:$K$1506,$O277),"")</f>
        <v>300</v>
      </c>
      <c r="L277" s="96">
        <f t="array" ref="L277">IFERROR(INDEX(Sales!$L$7:$L$1506,$O277),"")</f>
        <v>6400</v>
      </c>
      <c r="M277" s="19" t="str">
        <f t="array" ref="M277">IFERROR(INDEX(Sales!$M$7:$M$1506,$O277),"")</f>
        <v>Paid</v>
      </c>
      <c r="O277" s="111" t="str">
        <f>IFERROR(MATCH(TEXT($B$3,"yyyymm")&amp;"-"&amp;(ROW()-4),Sales!$Y$7:$Y$1506,0),"")</f>
        <v/>
      </c>
    </row>
    <row r="278" ht="14.25" customHeight="1">
      <c r="A278" s="110">
        <f t="array" ref="A278">IFERROR(INDEX(Sales!$A$7:$A$1506,$O278),"")</f>
        <v>46219</v>
      </c>
      <c r="B278" s="19" t="str">
        <f t="array" ref="B278">IFERROR(INDEX(Sales!$B$7:$B$1506,$O278),"")</f>
        <v>Sale</v>
      </c>
      <c r="C278" s="19" t="str">
        <f t="array" ref="C278">IFERROR(INDEX(Sales!$C$7:$C$1506,$O278),"")</f>
        <v>Online</v>
      </c>
      <c r="D278" s="19" t="str">
        <f t="array" ref="D278">IFERROR(INDEX(Sales!$D$7:$D$1506,$O278),"")</f>
        <v>Samreen islam</v>
      </c>
      <c r="E278" s="19" t="str">
        <f t="array" ref="E278">IFERROR(IF(INDEX(Sales!$E$7:$E$1506,$O278)="","",INDEX(Sales!$E$7:$E$1506,$O278)),"")</f>
        <v>PAWF-260715-04EAA</v>
      </c>
      <c r="F278" s="19" t="str">
        <f t="array" ref="F278">IFERROR(INDEX(Sales!$F$7:$F$1506,$O278),"")</f>
        <v>FD-DRY-SMHRT-15KG-001</v>
      </c>
      <c r="G278" s="19" t="str">
        <f t="array" ref="G278">IFERROR(INDEX(Sales!$G$7:$G$1506,$O278),"")</f>
        <v>Smart Heart Adult Cat Food Chicken &amp; Tuna [15kg]</v>
      </c>
      <c r="H278" s="96">
        <f t="array" ref="H278">IFERROR(INDEX(Sales!$H$7:$H$1506,$O278),"")</f>
        <v>1</v>
      </c>
      <c r="I278" s="96">
        <f t="array" ref="I278">IFERROR(INDEX(Sales!$I$7:$I$1506,$O278),"")</f>
        <v>6400</v>
      </c>
      <c r="J278" s="96">
        <f t="array" ref="J278">IFERROR(INDEX(Sales!$J$7:$J$1506,$O278),"")</f>
        <v>6700</v>
      </c>
      <c r="K278" s="96">
        <f t="array" ref="K278">IFERROR(INDEX(Sales!$K$7:$K$1506,$O278),"")</f>
        <v>300</v>
      </c>
      <c r="L278" s="96">
        <f t="array" ref="L278">IFERROR(INDEX(Sales!$L$7:$L$1506,$O278),"")</f>
        <v>6400</v>
      </c>
      <c r="M278" s="19" t="str">
        <f t="array" ref="M278">IFERROR(INDEX(Sales!$M$7:$M$1506,$O278),"")</f>
        <v>Paid</v>
      </c>
      <c r="O278" s="111" t="str">
        <f>IFERROR(MATCH(TEXT($B$3,"yyyymm")&amp;"-"&amp;(ROW()-4),Sales!$Y$7:$Y$1506,0),"")</f>
        <v/>
      </c>
    </row>
    <row r="279" ht="14.25" customHeight="1">
      <c r="A279" s="110">
        <f t="array" ref="A279">IFERROR(INDEX(Sales!$A$7:$A$1506,$O279),"")</f>
        <v>46219</v>
      </c>
      <c r="B279" s="19" t="str">
        <f t="array" ref="B279">IFERROR(INDEX(Sales!$B$7:$B$1506,$O279),"")</f>
        <v>Sale</v>
      </c>
      <c r="C279" s="19" t="str">
        <f t="array" ref="C279">IFERROR(INDEX(Sales!$C$7:$C$1506,$O279),"")</f>
        <v>Online</v>
      </c>
      <c r="D279" s="19" t="str">
        <f t="array" ref="D279">IFERROR(INDEX(Sales!$D$7:$D$1506,$O279),"")</f>
        <v>Samreen islam</v>
      </c>
      <c r="E279" s="19" t="str">
        <f t="array" ref="E279">IFERROR(IF(INDEX(Sales!$E$7:$E$1506,$O279)="","",INDEX(Sales!$E$7:$E$1506,$O279)),"")</f>
        <v>PAWF-260715-04EAA</v>
      </c>
      <c r="F279" s="19" t="str">
        <f t="array" ref="F279">IFERROR(INDEX(Sales!$F$7:$F$1506,$O279),"")</f>
        <v>FD-DRY-SMHRT-15KG-001</v>
      </c>
      <c r="G279" s="19" t="str">
        <f t="array" ref="G279">IFERROR(INDEX(Sales!$G$7:$G$1506,$O279),"")</f>
        <v>Smart Heart Adult Cat Food Chicken &amp; Tuna [15kg]</v>
      </c>
      <c r="H279" s="96">
        <f t="array" ref="H279">IFERROR(INDEX(Sales!$H$7:$H$1506,$O279),"")</f>
        <v>1</v>
      </c>
      <c r="I279" s="96">
        <f t="array" ref="I279">IFERROR(INDEX(Sales!$I$7:$I$1506,$O279),"")</f>
        <v>6400</v>
      </c>
      <c r="J279" s="96">
        <f t="array" ref="J279">IFERROR(INDEX(Sales!$J$7:$J$1506,$O279),"")</f>
        <v>6700</v>
      </c>
      <c r="K279" s="96">
        <f t="array" ref="K279">IFERROR(INDEX(Sales!$K$7:$K$1506,$O279),"")</f>
        <v>300</v>
      </c>
      <c r="L279" s="96">
        <f t="array" ref="L279">IFERROR(INDEX(Sales!$L$7:$L$1506,$O279),"")</f>
        <v>6400</v>
      </c>
      <c r="M279" s="19" t="str">
        <f t="array" ref="M279">IFERROR(INDEX(Sales!$M$7:$M$1506,$O279),"")</f>
        <v>Paid</v>
      </c>
      <c r="O279" s="111" t="str">
        <f>IFERROR(MATCH(TEXT($B$3,"yyyymm")&amp;"-"&amp;(ROW()-4),Sales!$Y$7:$Y$1506,0),"")</f>
        <v/>
      </c>
    </row>
    <row r="280" ht="14.25" customHeight="1">
      <c r="A280" s="110">
        <f t="array" ref="A280">IFERROR(INDEX(Sales!$A$7:$A$1506,$O280),"")</f>
        <v>46219</v>
      </c>
      <c r="B280" s="19" t="str">
        <f t="array" ref="B280">IFERROR(INDEX(Sales!$B$7:$B$1506,$O280),"")</f>
        <v>Sale</v>
      </c>
      <c r="C280" s="19" t="str">
        <f t="array" ref="C280">IFERROR(INDEX(Sales!$C$7:$C$1506,$O280),"")</f>
        <v>Online</v>
      </c>
      <c r="D280" s="19" t="str">
        <f t="array" ref="D280">IFERROR(INDEX(Sales!$D$7:$D$1506,$O280),"")</f>
        <v>Samreen islam</v>
      </c>
      <c r="E280" s="19" t="str">
        <f t="array" ref="E280">IFERROR(IF(INDEX(Sales!$E$7:$E$1506,$O280)="","",INDEX(Sales!$E$7:$E$1506,$O280)),"")</f>
        <v>PAWF-260715-04EAA</v>
      </c>
      <c r="F280" s="19" t="str">
        <f t="array" ref="F280">IFERROR(INDEX(Sales!$F$7:$F$1506,$O280),"")</f>
        <v>FD-DRY-SMHRT-15KG-001</v>
      </c>
      <c r="G280" s="19" t="str">
        <f t="array" ref="G280">IFERROR(INDEX(Sales!$G$7:$G$1506,$O280),"")</f>
        <v>Smart Heart Adult Cat Food Chicken &amp; Tuna [15kg]</v>
      </c>
      <c r="H280" s="96">
        <f t="array" ref="H280">IFERROR(INDEX(Sales!$H$7:$H$1506,$O280),"")</f>
        <v>1</v>
      </c>
      <c r="I280" s="96">
        <f t="array" ref="I280">IFERROR(INDEX(Sales!$I$7:$I$1506,$O280),"")</f>
        <v>6400</v>
      </c>
      <c r="J280" s="96">
        <f t="array" ref="J280">IFERROR(INDEX(Sales!$J$7:$J$1506,$O280),"")</f>
        <v>6700</v>
      </c>
      <c r="K280" s="96">
        <f t="array" ref="K280">IFERROR(INDEX(Sales!$K$7:$K$1506,$O280),"")</f>
        <v>300</v>
      </c>
      <c r="L280" s="96">
        <f t="array" ref="L280">IFERROR(INDEX(Sales!$L$7:$L$1506,$O280),"")</f>
        <v>6400</v>
      </c>
      <c r="M280" s="19" t="str">
        <f t="array" ref="M280">IFERROR(INDEX(Sales!$M$7:$M$1506,$O280),"")</f>
        <v>Paid</v>
      </c>
      <c r="O280" s="111" t="str">
        <f>IFERROR(MATCH(TEXT($B$3,"yyyymm")&amp;"-"&amp;(ROW()-4),Sales!$Y$7:$Y$1506,0),"")</f>
        <v/>
      </c>
    </row>
    <row r="281" ht="14.25" customHeight="1">
      <c r="A281" s="110">
        <f t="array" ref="A281">IFERROR(INDEX(Sales!$A$7:$A$1506,$O281),"")</f>
        <v>46219</v>
      </c>
      <c r="B281" s="19" t="str">
        <f t="array" ref="B281">IFERROR(INDEX(Sales!$B$7:$B$1506,$O281),"")</f>
        <v>Sale</v>
      </c>
      <c r="C281" s="19" t="str">
        <f t="array" ref="C281">IFERROR(INDEX(Sales!$C$7:$C$1506,$O281),"")</f>
        <v>Online</v>
      </c>
      <c r="D281" s="19" t="str">
        <f t="array" ref="D281">IFERROR(INDEX(Sales!$D$7:$D$1506,$O281),"")</f>
        <v>Samreen islam</v>
      </c>
      <c r="E281" s="19" t="str">
        <f t="array" ref="E281">IFERROR(IF(INDEX(Sales!$E$7:$E$1506,$O281)="","",INDEX(Sales!$E$7:$E$1506,$O281)),"")</f>
        <v>PAWF-260715-04EAA</v>
      </c>
      <c r="F281" s="19" t="str">
        <f t="array" ref="F281">IFERROR(INDEX(Sales!$F$7:$F$1506,$O281),"")</f>
        <v>FD-DRY-SMHRT-15KG-001</v>
      </c>
      <c r="G281" s="19" t="str">
        <f t="array" ref="G281">IFERROR(INDEX(Sales!$G$7:$G$1506,$O281),"")</f>
        <v>Smart Heart Adult Cat Food Chicken &amp; Tuna [15kg]</v>
      </c>
      <c r="H281" s="96">
        <f t="array" ref="H281">IFERROR(INDEX(Sales!$H$7:$H$1506,$O281),"")</f>
        <v>1</v>
      </c>
      <c r="I281" s="96">
        <f t="array" ref="I281">IFERROR(INDEX(Sales!$I$7:$I$1506,$O281),"")</f>
        <v>6400</v>
      </c>
      <c r="J281" s="96">
        <f t="array" ref="J281">IFERROR(INDEX(Sales!$J$7:$J$1506,$O281),"")</f>
        <v>6700</v>
      </c>
      <c r="K281" s="96">
        <f t="array" ref="K281">IFERROR(INDEX(Sales!$K$7:$K$1506,$O281),"")</f>
        <v>300</v>
      </c>
      <c r="L281" s="96">
        <f t="array" ref="L281">IFERROR(INDEX(Sales!$L$7:$L$1506,$O281),"")</f>
        <v>6400</v>
      </c>
      <c r="M281" s="19" t="str">
        <f t="array" ref="M281">IFERROR(INDEX(Sales!$M$7:$M$1506,$O281),"")</f>
        <v>Paid</v>
      </c>
      <c r="O281" s="111" t="str">
        <f>IFERROR(MATCH(TEXT($B$3,"yyyymm")&amp;"-"&amp;(ROW()-4),Sales!$Y$7:$Y$1506,0),"")</f>
        <v/>
      </c>
    </row>
    <row r="282" ht="14.25" customHeight="1">
      <c r="A282" s="110">
        <f t="array" ref="A282">IFERROR(INDEX(Sales!$A$7:$A$1506,$O282),"")</f>
        <v>46219</v>
      </c>
      <c r="B282" s="19" t="str">
        <f t="array" ref="B282">IFERROR(INDEX(Sales!$B$7:$B$1506,$O282),"")</f>
        <v>Sale</v>
      </c>
      <c r="C282" s="19" t="str">
        <f t="array" ref="C282">IFERROR(INDEX(Sales!$C$7:$C$1506,$O282),"")</f>
        <v>Online</v>
      </c>
      <c r="D282" s="19" t="str">
        <f t="array" ref="D282">IFERROR(INDEX(Sales!$D$7:$D$1506,$O282),"")</f>
        <v>Samreen islam</v>
      </c>
      <c r="E282" s="19" t="str">
        <f t="array" ref="E282">IFERROR(IF(INDEX(Sales!$E$7:$E$1506,$O282)="","",INDEX(Sales!$E$7:$E$1506,$O282)),"")</f>
        <v>PAWF-260715-04EAA</v>
      </c>
      <c r="F282" s="19" t="str">
        <f t="array" ref="F282">IFERROR(INDEX(Sales!$F$7:$F$1506,$O282),"")</f>
        <v>FD-DRY-SMHRT-15KG-001</v>
      </c>
      <c r="G282" s="19" t="str">
        <f t="array" ref="G282">IFERROR(INDEX(Sales!$G$7:$G$1506,$O282),"")</f>
        <v>Smart Heart Adult Cat Food Chicken &amp; Tuna [15kg]</v>
      </c>
      <c r="H282" s="96">
        <f t="array" ref="H282">IFERROR(INDEX(Sales!$H$7:$H$1506,$O282),"")</f>
        <v>1</v>
      </c>
      <c r="I282" s="96">
        <f t="array" ref="I282">IFERROR(INDEX(Sales!$I$7:$I$1506,$O282),"")</f>
        <v>6400</v>
      </c>
      <c r="J282" s="96">
        <f t="array" ref="J282">IFERROR(INDEX(Sales!$J$7:$J$1506,$O282),"")</f>
        <v>6700</v>
      </c>
      <c r="K282" s="96">
        <f t="array" ref="K282">IFERROR(INDEX(Sales!$K$7:$K$1506,$O282),"")</f>
        <v>300</v>
      </c>
      <c r="L282" s="96">
        <f t="array" ref="L282">IFERROR(INDEX(Sales!$L$7:$L$1506,$O282),"")</f>
        <v>6400</v>
      </c>
      <c r="M282" s="19" t="str">
        <f t="array" ref="M282">IFERROR(INDEX(Sales!$M$7:$M$1506,$O282),"")</f>
        <v>Paid</v>
      </c>
      <c r="O282" s="111" t="str">
        <f>IFERROR(MATCH(TEXT($B$3,"yyyymm")&amp;"-"&amp;(ROW()-4),Sales!$Y$7:$Y$1506,0),"")</f>
        <v/>
      </c>
    </row>
    <row r="283" ht="14.25" customHeight="1">
      <c r="A283" s="110">
        <f t="array" ref="A283">IFERROR(INDEX(Sales!$A$7:$A$1506,$O283),"")</f>
        <v>46219</v>
      </c>
      <c r="B283" s="19" t="str">
        <f t="array" ref="B283">IFERROR(INDEX(Sales!$B$7:$B$1506,$O283),"")</f>
        <v>Sale</v>
      </c>
      <c r="C283" s="19" t="str">
        <f t="array" ref="C283">IFERROR(INDEX(Sales!$C$7:$C$1506,$O283),"")</f>
        <v>Online</v>
      </c>
      <c r="D283" s="19" t="str">
        <f t="array" ref="D283">IFERROR(INDEX(Sales!$D$7:$D$1506,$O283),"")</f>
        <v>Samreen islam</v>
      </c>
      <c r="E283" s="19" t="str">
        <f t="array" ref="E283">IFERROR(IF(INDEX(Sales!$E$7:$E$1506,$O283)="","",INDEX(Sales!$E$7:$E$1506,$O283)),"")</f>
        <v>PAWF-260715-04EAA</v>
      </c>
      <c r="F283" s="19" t="str">
        <f t="array" ref="F283">IFERROR(INDEX(Sales!$F$7:$F$1506,$O283),"")</f>
        <v>FD-DRY-SMHRT-15KG-001</v>
      </c>
      <c r="G283" s="19" t="str">
        <f t="array" ref="G283">IFERROR(INDEX(Sales!$G$7:$G$1506,$O283),"")</f>
        <v>Smart Heart Adult Cat Food Chicken &amp; Tuna [15kg]</v>
      </c>
      <c r="H283" s="96">
        <f t="array" ref="H283">IFERROR(INDEX(Sales!$H$7:$H$1506,$O283),"")</f>
        <v>1</v>
      </c>
      <c r="I283" s="96">
        <f t="array" ref="I283">IFERROR(INDEX(Sales!$I$7:$I$1506,$O283),"")</f>
        <v>6400</v>
      </c>
      <c r="J283" s="96">
        <f t="array" ref="J283">IFERROR(INDEX(Sales!$J$7:$J$1506,$O283),"")</f>
        <v>6700</v>
      </c>
      <c r="K283" s="96">
        <f t="array" ref="K283">IFERROR(INDEX(Sales!$K$7:$K$1506,$O283),"")</f>
        <v>300</v>
      </c>
      <c r="L283" s="96">
        <f t="array" ref="L283">IFERROR(INDEX(Sales!$L$7:$L$1506,$O283),"")</f>
        <v>6400</v>
      </c>
      <c r="M283" s="19" t="str">
        <f t="array" ref="M283">IFERROR(INDEX(Sales!$M$7:$M$1506,$O283),"")</f>
        <v>Paid</v>
      </c>
      <c r="O283" s="111" t="str">
        <f>IFERROR(MATCH(TEXT($B$3,"yyyymm")&amp;"-"&amp;(ROW()-4),Sales!$Y$7:$Y$1506,0),"")</f>
        <v/>
      </c>
    </row>
    <row r="284" ht="14.25" customHeight="1">
      <c r="A284" s="110">
        <f t="array" ref="A284">IFERROR(INDEX(Sales!$A$7:$A$1506,$O284),"")</f>
        <v>46219</v>
      </c>
      <c r="B284" s="19" t="str">
        <f t="array" ref="B284">IFERROR(INDEX(Sales!$B$7:$B$1506,$O284),"")</f>
        <v>Sale</v>
      </c>
      <c r="C284" s="19" t="str">
        <f t="array" ref="C284">IFERROR(INDEX(Sales!$C$7:$C$1506,$O284),"")</f>
        <v>Online</v>
      </c>
      <c r="D284" s="19" t="str">
        <f t="array" ref="D284">IFERROR(INDEX(Sales!$D$7:$D$1506,$O284),"")</f>
        <v>Samreen islam</v>
      </c>
      <c r="E284" s="19" t="str">
        <f t="array" ref="E284">IFERROR(IF(INDEX(Sales!$E$7:$E$1506,$O284)="","",INDEX(Sales!$E$7:$E$1506,$O284)),"")</f>
        <v>PAWF-260715-04EAA</v>
      </c>
      <c r="F284" s="19" t="str">
        <f t="array" ref="F284">IFERROR(INDEX(Sales!$F$7:$F$1506,$O284),"")</f>
        <v>FD-DRY-SMHRT-15KG-001</v>
      </c>
      <c r="G284" s="19" t="str">
        <f t="array" ref="G284">IFERROR(INDEX(Sales!$G$7:$G$1506,$O284),"")</f>
        <v>Smart Heart Adult Cat Food Chicken &amp; Tuna [15kg]</v>
      </c>
      <c r="H284" s="96">
        <f t="array" ref="H284">IFERROR(INDEX(Sales!$H$7:$H$1506,$O284),"")</f>
        <v>1</v>
      </c>
      <c r="I284" s="96">
        <f t="array" ref="I284">IFERROR(INDEX(Sales!$I$7:$I$1506,$O284),"")</f>
        <v>6400</v>
      </c>
      <c r="J284" s="96">
        <f t="array" ref="J284">IFERROR(INDEX(Sales!$J$7:$J$1506,$O284),"")</f>
        <v>6700</v>
      </c>
      <c r="K284" s="96">
        <f t="array" ref="K284">IFERROR(INDEX(Sales!$K$7:$K$1506,$O284),"")</f>
        <v>300</v>
      </c>
      <c r="L284" s="96">
        <f t="array" ref="L284">IFERROR(INDEX(Sales!$L$7:$L$1506,$O284),"")</f>
        <v>6400</v>
      </c>
      <c r="M284" s="19" t="str">
        <f t="array" ref="M284">IFERROR(INDEX(Sales!$M$7:$M$1506,$O284),"")</f>
        <v>Paid</v>
      </c>
      <c r="O284" s="111" t="str">
        <f>IFERROR(MATCH(TEXT($B$3,"yyyymm")&amp;"-"&amp;(ROW()-4),Sales!$Y$7:$Y$1506,0),"")</f>
        <v/>
      </c>
    </row>
    <row r="285" ht="14.25" customHeight="1">
      <c r="A285" s="110">
        <f t="array" ref="A285">IFERROR(INDEX(Sales!$A$7:$A$1506,$O285),"")</f>
        <v>46219</v>
      </c>
      <c r="B285" s="19" t="str">
        <f t="array" ref="B285">IFERROR(INDEX(Sales!$B$7:$B$1506,$O285),"")</f>
        <v>Sale</v>
      </c>
      <c r="C285" s="19" t="str">
        <f t="array" ref="C285">IFERROR(INDEX(Sales!$C$7:$C$1506,$O285),"")</f>
        <v>Online</v>
      </c>
      <c r="D285" s="19" t="str">
        <f t="array" ref="D285">IFERROR(INDEX(Sales!$D$7:$D$1506,$O285),"")</f>
        <v>Samreen islam</v>
      </c>
      <c r="E285" s="19" t="str">
        <f t="array" ref="E285">IFERROR(IF(INDEX(Sales!$E$7:$E$1506,$O285)="","",INDEX(Sales!$E$7:$E$1506,$O285)),"")</f>
        <v>PAWF-260715-04EAA</v>
      </c>
      <c r="F285" s="19" t="str">
        <f t="array" ref="F285">IFERROR(INDEX(Sales!$F$7:$F$1506,$O285),"")</f>
        <v>FD-DRY-SMHRT-15KG-001</v>
      </c>
      <c r="G285" s="19" t="str">
        <f t="array" ref="G285">IFERROR(INDEX(Sales!$G$7:$G$1506,$O285),"")</f>
        <v>Smart Heart Adult Cat Food Chicken &amp; Tuna [15kg]</v>
      </c>
      <c r="H285" s="96">
        <f t="array" ref="H285">IFERROR(INDEX(Sales!$H$7:$H$1506,$O285),"")</f>
        <v>1</v>
      </c>
      <c r="I285" s="96">
        <f t="array" ref="I285">IFERROR(INDEX(Sales!$I$7:$I$1506,$O285),"")</f>
        <v>6400</v>
      </c>
      <c r="J285" s="96">
        <f t="array" ref="J285">IFERROR(INDEX(Sales!$J$7:$J$1506,$O285),"")</f>
        <v>6700</v>
      </c>
      <c r="K285" s="96">
        <f t="array" ref="K285">IFERROR(INDEX(Sales!$K$7:$K$1506,$O285),"")</f>
        <v>300</v>
      </c>
      <c r="L285" s="96">
        <f t="array" ref="L285">IFERROR(INDEX(Sales!$L$7:$L$1506,$O285),"")</f>
        <v>6400</v>
      </c>
      <c r="M285" s="19" t="str">
        <f t="array" ref="M285">IFERROR(INDEX(Sales!$M$7:$M$1506,$O285),"")</f>
        <v>Paid</v>
      </c>
      <c r="O285" s="111" t="str">
        <f>IFERROR(MATCH(TEXT($B$3,"yyyymm")&amp;"-"&amp;(ROW()-4),Sales!$Y$7:$Y$1506,0),"")</f>
        <v/>
      </c>
    </row>
    <row r="286" ht="14.25" customHeight="1">
      <c r="A286" s="110">
        <f t="array" ref="A286">IFERROR(INDEX(Sales!$A$7:$A$1506,$O286),"")</f>
        <v>46219</v>
      </c>
      <c r="B286" s="19" t="str">
        <f t="array" ref="B286">IFERROR(INDEX(Sales!$B$7:$B$1506,$O286),"")</f>
        <v>Sale</v>
      </c>
      <c r="C286" s="19" t="str">
        <f t="array" ref="C286">IFERROR(INDEX(Sales!$C$7:$C$1506,$O286),"")</f>
        <v>Online</v>
      </c>
      <c r="D286" s="19" t="str">
        <f t="array" ref="D286">IFERROR(INDEX(Sales!$D$7:$D$1506,$O286),"")</f>
        <v>Samreen islam</v>
      </c>
      <c r="E286" s="19" t="str">
        <f t="array" ref="E286">IFERROR(IF(INDEX(Sales!$E$7:$E$1506,$O286)="","",INDEX(Sales!$E$7:$E$1506,$O286)),"")</f>
        <v>PAWF-260715-04EAA</v>
      </c>
      <c r="F286" s="19" t="str">
        <f t="array" ref="F286">IFERROR(INDEX(Sales!$F$7:$F$1506,$O286),"")</f>
        <v>FD-DRY-SMHRT-15KG-001</v>
      </c>
      <c r="G286" s="19" t="str">
        <f t="array" ref="G286">IFERROR(INDEX(Sales!$G$7:$G$1506,$O286),"")</f>
        <v>Smart Heart Adult Cat Food Chicken &amp; Tuna [15kg]</v>
      </c>
      <c r="H286" s="96">
        <f t="array" ref="H286">IFERROR(INDEX(Sales!$H$7:$H$1506,$O286),"")</f>
        <v>1</v>
      </c>
      <c r="I286" s="96">
        <f t="array" ref="I286">IFERROR(INDEX(Sales!$I$7:$I$1506,$O286),"")</f>
        <v>6400</v>
      </c>
      <c r="J286" s="96">
        <f t="array" ref="J286">IFERROR(INDEX(Sales!$J$7:$J$1506,$O286),"")</f>
        <v>6700</v>
      </c>
      <c r="K286" s="96">
        <f t="array" ref="K286">IFERROR(INDEX(Sales!$K$7:$K$1506,$O286),"")</f>
        <v>300</v>
      </c>
      <c r="L286" s="96">
        <f t="array" ref="L286">IFERROR(INDEX(Sales!$L$7:$L$1506,$O286),"")</f>
        <v>6400</v>
      </c>
      <c r="M286" s="19" t="str">
        <f t="array" ref="M286">IFERROR(INDEX(Sales!$M$7:$M$1506,$O286),"")</f>
        <v>Paid</v>
      </c>
      <c r="O286" s="111" t="str">
        <f>IFERROR(MATCH(TEXT($B$3,"yyyymm")&amp;"-"&amp;(ROW()-4),Sales!$Y$7:$Y$1506,0),"")</f>
        <v/>
      </c>
    </row>
    <row r="287" ht="14.25" customHeight="1">
      <c r="A287" s="110">
        <f t="array" ref="A287">IFERROR(INDEX(Sales!$A$7:$A$1506,$O287),"")</f>
        <v>46219</v>
      </c>
      <c r="B287" s="19" t="str">
        <f t="array" ref="B287">IFERROR(INDEX(Sales!$B$7:$B$1506,$O287),"")</f>
        <v>Sale</v>
      </c>
      <c r="C287" s="19" t="str">
        <f t="array" ref="C287">IFERROR(INDEX(Sales!$C$7:$C$1506,$O287),"")</f>
        <v>Online</v>
      </c>
      <c r="D287" s="19" t="str">
        <f t="array" ref="D287">IFERROR(INDEX(Sales!$D$7:$D$1506,$O287),"")</f>
        <v>Samreen islam</v>
      </c>
      <c r="E287" s="19" t="str">
        <f t="array" ref="E287">IFERROR(IF(INDEX(Sales!$E$7:$E$1506,$O287)="","",INDEX(Sales!$E$7:$E$1506,$O287)),"")</f>
        <v>PAWF-260715-04EAA</v>
      </c>
      <c r="F287" s="19" t="str">
        <f t="array" ref="F287">IFERROR(INDEX(Sales!$F$7:$F$1506,$O287),"")</f>
        <v>FD-DRY-SMHRT-15KG-001</v>
      </c>
      <c r="G287" s="19" t="str">
        <f t="array" ref="G287">IFERROR(INDEX(Sales!$G$7:$G$1506,$O287),"")</f>
        <v>Smart Heart Adult Cat Food Chicken &amp; Tuna [15kg]</v>
      </c>
      <c r="H287" s="96">
        <f t="array" ref="H287">IFERROR(INDEX(Sales!$H$7:$H$1506,$O287),"")</f>
        <v>1</v>
      </c>
      <c r="I287" s="96">
        <f t="array" ref="I287">IFERROR(INDEX(Sales!$I$7:$I$1506,$O287),"")</f>
        <v>6400</v>
      </c>
      <c r="J287" s="96">
        <f t="array" ref="J287">IFERROR(INDEX(Sales!$J$7:$J$1506,$O287),"")</f>
        <v>6700</v>
      </c>
      <c r="K287" s="96">
        <f t="array" ref="K287">IFERROR(INDEX(Sales!$K$7:$K$1506,$O287),"")</f>
        <v>300</v>
      </c>
      <c r="L287" s="96">
        <f t="array" ref="L287">IFERROR(INDEX(Sales!$L$7:$L$1506,$O287),"")</f>
        <v>6400</v>
      </c>
      <c r="M287" s="19" t="str">
        <f t="array" ref="M287">IFERROR(INDEX(Sales!$M$7:$M$1506,$O287),"")</f>
        <v>Paid</v>
      </c>
      <c r="O287" s="111" t="str">
        <f>IFERROR(MATCH(TEXT($B$3,"yyyymm")&amp;"-"&amp;(ROW()-4),Sales!$Y$7:$Y$1506,0),"")</f>
        <v/>
      </c>
    </row>
    <row r="288" ht="14.25" customHeight="1">
      <c r="A288" s="110">
        <f t="array" ref="A288">IFERROR(INDEX(Sales!$A$7:$A$1506,$O288),"")</f>
        <v>46219</v>
      </c>
      <c r="B288" s="19" t="str">
        <f t="array" ref="B288">IFERROR(INDEX(Sales!$B$7:$B$1506,$O288),"")</f>
        <v>Sale</v>
      </c>
      <c r="C288" s="19" t="str">
        <f t="array" ref="C288">IFERROR(INDEX(Sales!$C$7:$C$1506,$O288),"")</f>
        <v>Online</v>
      </c>
      <c r="D288" s="19" t="str">
        <f t="array" ref="D288">IFERROR(INDEX(Sales!$D$7:$D$1506,$O288),"")</f>
        <v>Samreen islam</v>
      </c>
      <c r="E288" s="19" t="str">
        <f t="array" ref="E288">IFERROR(IF(INDEX(Sales!$E$7:$E$1506,$O288)="","",INDEX(Sales!$E$7:$E$1506,$O288)),"")</f>
        <v>PAWF-260715-04EAA</v>
      </c>
      <c r="F288" s="19" t="str">
        <f t="array" ref="F288">IFERROR(INDEX(Sales!$F$7:$F$1506,$O288),"")</f>
        <v>FD-DRY-SMHRT-15KG-001</v>
      </c>
      <c r="G288" s="19" t="str">
        <f t="array" ref="G288">IFERROR(INDEX(Sales!$G$7:$G$1506,$O288),"")</f>
        <v>Smart Heart Adult Cat Food Chicken &amp; Tuna [15kg]</v>
      </c>
      <c r="H288" s="96">
        <f t="array" ref="H288">IFERROR(INDEX(Sales!$H$7:$H$1506,$O288),"")</f>
        <v>1</v>
      </c>
      <c r="I288" s="96">
        <f t="array" ref="I288">IFERROR(INDEX(Sales!$I$7:$I$1506,$O288),"")</f>
        <v>6400</v>
      </c>
      <c r="J288" s="96">
        <f t="array" ref="J288">IFERROR(INDEX(Sales!$J$7:$J$1506,$O288),"")</f>
        <v>6700</v>
      </c>
      <c r="K288" s="96">
        <f t="array" ref="K288">IFERROR(INDEX(Sales!$K$7:$K$1506,$O288),"")</f>
        <v>300</v>
      </c>
      <c r="L288" s="96">
        <f t="array" ref="L288">IFERROR(INDEX(Sales!$L$7:$L$1506,$O288),"")</f>
        <v>6400</v>
      </c>
      <c r="M288" s="19" t="str">
        <f t="array" ref="M288">IFERROR(INDEX(Sales!$M$7:$M$1506,$O288),"")</f>
        <v>Paid</v>
      </c>
      <c r="O288" s="111" t="str">
        <f>IFERROR(MATCH(TEXT($B$3,"yyyymm")&amp;"-"&amp;(ROW()-4),Sales!$Y$7:$Y$1506,0),"")</f>
        <v/>
      </c>
    </row>
    <row r="289" ht="14.25" customHeight="1">
      <c r="A289" s="110">
        <f t="array" ref="A289">IFERROR(INDEX(Sales!$A$7:$A$1506,$O289),"")</f>
        <v>46219</v>
      </c>
      <c r="B289" s="19" t="str">
        <f t="array" ref="B289">IFERROR(INDEX(Sales!$B$7:$B$1506,$O289),"")</f>
        <v>Sale</v>
      </c>
      <c r="C289" s="19" t="str">
        <f t="array" ref="C289">IFERROR(INDEX(Sales!$C$7:$C$1506,$O289),"")</f>
        <v>Online</v>
      </c>
      <c r="D289" s="19" t="str">
        <f t="array" ref="D289">IFERROR(INDEX(Sales!$D$7:$D$1506,$O289),"")</f>
        <v>Samreen islam</v>
      </c>
      <c r="E289" s="19" t="str">
        <f t="array" ref="E289">IFERROR(IF(INDEX(Sales!$E$7:$E$1506,$O289)="","",INDEX(Sales!$E$7:$E$1506,$O289)),"")</f>
        <v>PAWF-260715-04EAA</v>
      </c>
      <c r="F289" s="19" t="str">
        <f t="array" ref="F289">IFERROR(INDEX(Sales!$F$7:$F$1506,$O289),"")</f>
        <v>FD-DRY-SMHRT-15KG-001</v>
      </c>
      <c r="G289" s="19" t="str">
        <f t="array" ref="G289">IFERROR(INDEX(Sales!$G$7:$G$1506,$O289),"")</f>
        <v>Smart Heart Adult Cat Food Chicken &amp; Tuna [15kg]</v>
      </c>
      <c r="H289" s="96">
        <f t="array" ref="H289">IFERROR(INDEX(Sales!$H$7:$H$1506,$O289),"")</f>
        <v>1</v>
      </c>
      <c r="I289" s="96">
        <f t="array" ref="I289">IFERROR(INDEX(Sales!$I$7:$I$1506,$O289),"")</f>
        <v>6400</v>
      </c>
      <c r="J289" s="96">
        <f t="array" ref="J289">IFERROR(INDEX(Sales!$J$7:$J$1506,$O289),"")</f>
        <v>6700</v>
      </c>
      <c r="K289" s="96">
        <f t="array" ref="K289">IFERROR(INDEX(Sales!$K$7:$K$1506,$O289),"")</f>
        <v>300</v>
      </c>
      <c r="L289" s="96">
        <f t="array" ref="L289">IFERROR(INDEX(Sales!$L$7:$L$1506,$O289),"")</f>
        <v>6400</v>
      </c>
      <c r="M289" s="19" t="str">
        <f t="array" ref="M289">IFERROR(INDEX(Sales!$M$7:$M$1506,$O289),"")</f>
        <v>Paid</v>
      </c>
      <c r="O289" s="111" t="str">
        <f>IFERROR(MATCH(TEXT($B$3,"yyyymm")&amp;"-"&amp;(ROW()-4),Sales!$Y$7:$Y$1506,0),"")</f>
        <v/>
      </c>
    </row>
    <row r="290" ht="14.25" customHeight="1">
      <c r="A290" s="110">
        <f t="array" ref="A290">IFERROR(INDEX(Sales!$A$7:$A$1506,$O290),"")</f>
        <v>46219</v>
      </c>
      <c r="B290" s="19" t="str">
        <f t="array" ref="B290">IFERROR(INDEX(Sales!$B$7:$B$1506,$O290),"")</f>
        <v>Sale</v>
      </c>
      <c r="C290" s="19" t="str">
        <f t="array" ref="C290">IFERROR(INDEX(Sales!$C$7:$C$1506,$O290),"")</f>
        <v>Online</v>
      </c>
      <c r="D290" s="19" t="str">
        <f t="array" ref="D290">IFERROR(INDEX(Sales!$D$7:$D$1506,$O290),"")</f>
        <v>Samreen islam</v>
      </c>
      <c r="E290" s="19" t="str">
        <f t="array" ref="E290">IFERROR(IF(INDEX(Sales!$E$7:$E$1506,$O290)="","",INDEX(Sales!$E$7:$E$1506,$O290)),"")</f>
        <v>PAWF-260715-04EAA</v>
      </c>
      <c r="F290" s="19" t="str">
        <f t="array" ref="F290">IFERROR(INDEX(Sales!$F$7:$F$1506,$O290),"")</f>
        <v>FD-DRY-SMHRT-15KG-001</v>
      </c>
      <c r="G290" s="19" t="str">
        <f t="array" ref="G290">IFERROR(INDEX(Sales!$G$7:$G$1506,$O290),"")</f>
        <v>Smart Heart Adult Cat Food Chicken &amp; Tuna [15kg]</v>
      </c>
      <c r="H290" s="96">
        <f t="array" ref="H290">IFERROR(INDEX(Sales!$H$7:$H$1506,$O290),"")</f>
        <v>1</v>
      </c>
      <c r="I290" s="96">
        <f t="array" ref="I290">IFERROR(INDEX(Sales!$I$7:$I$1506,$O290),"")</f>
        <v>6400</v>
      </c>
      <c r="J290" s="96">
        <f t="array" ref="J290">IFERROR(INDEX(Sales!$J$7:$J$1506,$O290),"")</f>
        <v>6700</v>
      </c>
      <c r="K290" s="96">
        <f t="array" ref="K290">IFERROR(INDEX(Sales!$K$7:$K$1506,$O290),"")</f>
        <v>300</v>
      </c>
      <c r="L290" s="96">
        <f t="array" ref="L290">IFERROR(INDEX(Sales!$L$7:$L$1506,$O290),"")</f>
        <v>6400</v>
      </c>
      <c r="M290" s="19" t="str">
        <f t="array" ref="M290">IFERROR(INDEX(Sales!$M$7:$M$1506,$O290),"")</f>
        <v>Paid</v>
      </c>
      <c r="O290" s="111" t="str">
        <f>IFERROR(MATCH(TEXT($B$3,"yyyymm")&amp;"-"&amp;(ROW()-4),Sales!$Y$7:$Y$1506,0),"")</f>
        <v/>
      </c>
    </row>
    <row r="291" ht="14.25" customHeight="1">
      <c r="A291" s="110">
        <f t="array" ref="A291">IFERROR(INDEX(Sales!$A$7:$A$1506,$O291),"")</f>
        <v>46219</v>
      </c>
      <c r="B291" s="19" t="str">
        <f t="array" ref="B291">IFERROR(INDEX(Sales!$B$7:$B$1506,$O291),"")</f>
        <v>Sale</v>
      </c>
      <c r="C291" s="19" t="str">
        <f t="array" ref="C291">IFERROR(INDEX(Sales!$C$7:$C$1506,$O291),"")</f>
        <v>Online</v>
      </c>
      <c r="D291" s="19" t="str">
        <f t="array" ref="D291">IFERROR(INDEX(Sales!$D$7:$D$1506,$O291),"")</f>
        <v>Samreen islam</v>
      </c>
      <c r="E291" s="19" t="str">
        <f t="array" ref="E291">IFERROR(IF(INDEX(Sales!$E$7:$E$1506,$O291)="","",INDEX(Sales!$E$7:$E$1506,$O291)),"")</f>
        <v>PAWF-260715-04EAA</v>
      </c>
      <c r="F291" s="19" t="str">
        <f t="array" ref="F291">IFERROR(INDEX(Sales!$F$7:$F$1506,$O291),"")</f>
        <v>FD-DRY-SMHRT-15KG-001</v>
      </c>
      <c r="G291" s="19" t="str">
        <f t="array" ref="G291">IFERROR(INDEX(Sales!$G$7:$G$1506,$O291),"")</f>
        <v>Smart Heart Adult Cat Food Chicken &amp; Tuna [15kg]</v>
      </c>
      <c r="H291" s="96">
        <f t="array" ref="H291">IFERROR(INDEX(Sales!$H$7:$H$1506,$O291),"")</f>
        <v>1</v>
      </c>
      <c r="I291" s="96">
        <f t="array" ref="I291">IFERROR(INDEX(Sales!$I$7:$I$1506,$O291),"")</f>
        <v>6400</v>
      </c>
      <c r="J291" s="96">
        <f t="array" ref="J291">IFERROR(INDEX(Sales!$J$7:$J$1506,$O291),"")</f>
        <v>6700</v>
      </c>
      <c r="K291" s="96">
        <f t="array" ref="K291">IFERROR(INDEX(Sales!$K$7:$K$1506,$O291),"")</f>
        <v>300</v>
      </c>
      <c r="L291" s="96">
        <f t="array" ref="L291">IFERROR(INDEX(Sales!$L$7:$L$1506,$O291),"")</f>
        <v>6400</v>
      </c>
      <c r="M291" s="19" t="str">
        <f t="array" ref="M291">IFERROR(INDEX(Sales!$M$7:$M$1506,$O291),"")</f>
        <v>Paid</v>
      </c>
      <c r="O291" s="111" t="str">
        <f>IFERROR(MATCH(TEXT($B$3,"yyyymm")&amp;"-"&amp;(ROW()-4),Sales!$Y$7:$Y$1506,0),"")</f>
        <v/>
      </c>
    </row>
    <row r="292" ht="14.25" customHeight="1">
      <c r="A292" s="110">
        <f t="array" ref="A292">IFERROR(INDEX(Sales!$A$7:$A$1506,$O292),"")</f>
        <v>46219</v>
      </c>
      <c r="B292" s="19" t="str">
        <f t="array" ref="B292">IFERROR(INDEX(Sales!$B$7:$B$1506,$O292),"")</f>
        <v>Sale</v>
      </c>
      <c r="C292" s="19" t="str">
        <f t="array" ref="C292">IFERROR(INDEX(Sales!$C$7:$C$1506,$O292),"")</f>
        <v>Online</v>
      </c>
      <c r="D292" s="19" t="str">
        <f t="array" ref="D292">IFERROR(INDEX(Sales!$D$7:$D$1506,$O292),"")</f>
        <v>Samreen islam</v>
      </c>
      <c r="E292" s="19" t="str">
        <f t="array" ref="E292">IFERROR(IF(INDEX(Sales!$E$7:$E$1506,$O292)="","",INDEX(Sales!$E$7:$E$1506,$O292)),"")</f>
        <v>PAWF-260715-04EAA</v>
      </c>
      <c r="F292" s="19" t="str">
        <f t="array" ref="F292">IFERROR(INDEX(Sales!$F$7:$F$1506,$O292),"")</f>
        <v>FD-DRY-SMHRT-15KG-001</v>
      </c>
      <c r="G292" s="19" t="str">
        <f t="array" ref="G292">IFERROR(INDEX(Sales!$G$7:$G$1506,$O292),"")</f>
        <v>Smart Heart Adult Cat Food Chicken &amp; Tuna [15kg]</v>
      </c>
      <c r="H292" s="96">
        <f t="array" ref="H292">IFERROR(INDEX(Sales!$H$7:$H$1506,$O292),"")</f>
        <v>1</v>
      </c>
      <c r="I292" s="96">
        <f t="array" ref="I292">IFERROR(INDEX(Sales!$I$7:$I$1506,$O292),"")</f>
        <v>6400</v>
      </c>
      <c r="J292" s="96">
        <f t="array" ref="J292">IFERROR(INDEX(Sales!$J$7:$J$1506,$O292),"")</f>
        <v>6700</v>
      </c>
      <c r="K292" s="96">
        <f t="array" ref="K292">IFERROR(INDEX(Sales!$K$7:$K$1506,$O292),"")</f>
        <v>300</v>
      </c>
      <c r="L292" s="96">
        <f t="array" ref="L292">IFERROR(INDEX(Sales!$L$7:$L$1506,$O292),"")</f>
        <v>6400</v>
      </c>
      <c r="M292" s="19" t="str">
        <f t="array" ref="M292">IFERROR(INDEX(Sales!$M$7:$M$1506,$O292),"")</f>
        <v>Paid</v>
      </c>
      <c r="O292" s="111" t="str">
        <f>IFERROR(MATCH(TEXT($B$3,"yyyymm")&amp;"-"&amp;(ROW()-4),Sales!$Y$7:$Y$1506,0),"")</f>
        <v/>
      </c>
    </row>
    <row r="293" ht="14.25" customHeight="1">
      <c r="A293" s="110">
        <f t="array" ref="A293">IFERROR(INDEX(Sales!$A$7:$A$1506,$O293),"")</f>
        <v>46219</v>
      </c>
      <c r="B293" s="19" t="str">
        <f t="array" ref="B293">IFERROR(INDEX(Sales!$B$7:$B$1506,$O293),"")</f>
        <v>Sale</v>
      </c>
      <c r="C293" s="19" t="str">
        <f t="array" ref="C293">IFERROR(INDEX(Sales!$C$7:$C$1506,$O293),"")</f>
        <v>Online</v>
      </c>
      <c r="D293" s="19" t="str">
        <f t="array" ref="D293">IFERROR(INDEX(Sales!$D$7:$D$1506,$O293),"")</f>
        <v>Samreen islam</v>
      </c>
      <c r="E293" s="19" t="str">
        <f t="array" ref="E293">IFERROR(IF(INDEX(Sales!$E$7:$E$1506,$O293)="","",INDEX(Sales!$E$7:$E$1506,$O293)),"")</f>
        <v>PAWF-260715-04EAA</v>
      </c>
      <c r="F293" s="19" t="str">
        <f t="array" ref="F293">IFERROR(INDEX(Sales!$F$7:$F$1506,$O293),"")</f>
        <v>FD-DRY-SMHRT-15KG-001</v>
      </c>
      <c r="G293" s="19" t="str">
        <f t="array" ref="G293">IFERROR(INDEX(Sales!$G$7:$G$1506,$O293),"")</f>
        <v>Smart Heart Adult Cat Food Chicken &amp; Tuna [15kg]</v>
      </c>
      <c r="H293" s="96">
        <f t="array" ref="H293">IFERROR(INDEX(Sales!$H$7:$H$1506,$O293),"")</f>
        <v>1</v>
      </c>
      <c r="I293" s="96">
        <f t="array" ref="I293">IFERROR(INDEX(Sales!$I$7:$I$1506,$O293),"")</f>
        <v>6400</v>
      </c>
      <c r="J293" s="96">
        <f t="array" ref="J293">IFERROR(INDEX(Sales!$J$7:$J$1506,$O293),"")</f>
        <v>6700</v>
      </c>
      <c r="K293" s="96">
        <f t="array" ref="K293">IFERROR(INDEX(Sales!$K$7:$K$1506,$O293),"")</f>
        <v>300</v>
      </c>
      <c r="L293" s="96">
        <f t="array" ref="L293">IFERROR(INDEX(Sales!$L$7:$L$1506,$O293),"")</f>
        <v>6400</v>
      </c>
      <c r="M293" s="19" t="str">
        <f t="array" ref="M293">IFERROR(INDEX(Sales!$M$7:$M$1506,$O293),"")</f>
        <v>Paid</v>
      </c>
      <c r="O293" s="111" t="str">
        <f>IFERROR(MATCH(TEXT($B$3,"yyyymm")&amp;"-"&amp;(ROW()-4),Sales!$Y$7:$Y$1506,0),"")</f>
        <v/>
      </c>
    </row>
    <row r="294" ht="14.25" customHeight="1">
      <c r="A294" s="110">
        <f t="array" ref="A294">IFERROR(INDEX(Sales!$A$7:$A$1506,$O294),"")</f>
        <v>46219</v>
      </c>
      <c r="B294" s="19" t="str">
        <f t="array" ref="B294">IFERROR(INDEX(Sales!$B$7:$B$1506,$O294),"")</f>
        <v>Sale</v>
      </c>
      <c r="C294" s="19" t="str">
        <f t="array" ref="C294">IFERROR(INDEX(Sales!$C$7:$C$1506,$O294),"")</f>
        <v>Online</v>
      </c>
      <c r="D294" s="19" t="str">
        <f t="array" ref="D294">IFERROR(INDEX(Sales!$D$7:$D$1506,$O294),"")</f>
        <v>Samreen islam</v>
      </c>
      <c r="E294" s="19" t="str">
        <f t="array" ref="E294">IFERROR(IF(INDEX(Sales!$E$7:$E$1506,$O294)="","",INDEX(Sales!$E$7:$E$1506,$O294)),"")</f>
        <v>PAWF-260715-04EAA</v>
      </c>
      <c r="F294" s="19" t="str">
        <f t="array" ref="F294">IFERROR(INDEX(Sales!$F$7:$F$1506,$O294),"")</f>
        <v>FD-DRY-SMHRT-15KG-001</v>
      </c>
      <c r="G294" s="19" t="str">
        <f t="array" ref="G294">IFERROR(INDEX(Sales!$G$7:$G$1506,$O294),"")</f>
        <v>Smart Heart Adult Cat Food Chicken &amp; Tuna [15kg]</v>
      </c>
      <c r="H294" s="96">
        <f t="array" ref="H294">IFERROR(INDEX(Sales!$H$7:$H$1506,$O294),"")</f>
        <v>1</v>
      </c>
      <c r="I294" s="96">
        <f t="array" ref="I294">IFERROR(INDEX(Sales!$I$7:$I$1506,$O294),"")</f>
        <v>6400</v>
      </c>
      <c r="J294" s="96">
        <f t="array" ref="J294">IFERROR(INDEX(Sales!$J$7:$J$1506,$O294),"")</f>
        <v>6700</v>
      </c>
      <c r="K294" s="96">
        <f t="array" ref="K294">IFERROR(INDEX(Sales!$K$7:$K$1506,$O294),"")</f>
        <v>300</v>
      </c>
      <c r="L294" s="96">
        <f t="array" ref="L294">IFERROR(INDEX(Sales!$L$7:$L$1506,$O294),"")</f>
        <v>6400</v>
      </c>
      <c r="M294" s="19" t="str">
        <f t="array" ref="M294">IFERROR(INDEX(Sales!$M$7:$M$1506,$O294),"")</f>
        <v>Paid</v>
      </c>
      <c r="O294" s="111" t="str">
        <f>IFERROR(MATCH(TEXT($B$3,"yyyymm")&amp;"-"&amp;(ROW()-4),Sales!$Y$7:$Y$1506,0),"")</f>
        <v/>
      </c>
    </row>
    <row r="295" ht="14.25" customHeight="1">
      <c r="A295" s="110">
        <f t="array" ref="A295">IFERROR(INDEX(Sales!$A$7:$A$1506,$O295),"")</f>
        <v>46219</v>
      </c>
      <c r="B295" s="19" t="str">
        <f t="array" ref="B295">IFERROR(INDEX(Sales!$B$7:$B$1506,$O295),"")</f>
        <v>Sale</v>
      </c>
      <c r="C295" s="19" t="str">
        <f t="array" ref="C295">IFERROR(INDEX(Sales!$C$7:$C$1506,$O295),"")</f>
        <v>Online</v>
      </c>
      <c r="D295" s="19" t="str">
        <f t="array" ref="D295">IFERROR(INDEX(Sales!$D$7:$D$1506,$O295),"")</f>
        <v>Samreen islam</v>
      </c>
      <c r="E295" s="19" t="str">
        <f t="array" ref="E295">IFERROR(IF(INDEX(Sales!$E$7:$E$1506,$O295)="","",INDEX(Sales!$E$7:$E$1506,$O295)),"")</f>
        <v>PAWF-260715-04EAA</v>
      </c>
      <c r="F295" s="19" t="str">
        <f t="array" ref="F295">IFERROR(INDEX(Sales!$F$7:$F$1506,$O295),"")</f>
        <v>FD-DRY-SMHRT-15KG-001</v>
      </c>
      <c r="G295" s="19" t="str">
        <f t="array" ref="G295">IFERROR(INDEX(Sales!$G$7:$G$1506,$O295),"")</f>
        <v>Smart Heart Adult Cat Food Chicken &amp; Tuna [15kg]</v>
      </c>
      <c r="H295" s="96">
        <f t="array" ref="H295">IFERROR(INDEX(Sales!$H$7:$H$1506,$O295),"")</f>
        <v>1</v>
      </c>
      <c r="I295" s="96">
        <f t="array" ref="I295">IFERROR(INDEX(Sales!$I$7:$I$1506,$O295),"")</f>
        <v>6400</v>
      </c>
      <c r="J295" s="96">
        <f t="array" ref="J295">IFERROR(INDEX(Sales!$J$7:$J$1506,$O295),"")</f>
        <v>6700</v>
      </c>
      <c r="K295" s="96">
        <f t="array" ref="K295">IFERROR(INDEX(Sales!$K$7:$K$1506,$O295),"")</f>
        <v>300</v>
      </c>
      <c r="L295" s="96">
        <f t="array" ref="L295">IFERROR(INDEX(Sales!$L$7:$L$1506,$O295),"")</f>
        <v>6400</v>
      </c>
      <c r="M295" s="19" t="str">
        <f t="array" ref="M295">IFERROR(INDEX(Sales!$M$7:$M$1506,$O295),"")</f>
        <v>Paid</v>
      </c>
      <c r="O295" s="111" t="str">
        <f>IFERROR(MATCH(TEXT($B$3,"yyyymm")&amp;"-"&amp;(ROW()-4),Sales!$Y$7:$Y$1506,0),"")</f>
        <v/>
      </c>
    </row>
    <row r="296" ht="14.25" customHeight="1">
      <c r="A296" s="110">
        <f t="array" ref="A296">IFERROR(INDEX(Sales!$A$7:$A$1506,$O296),"")</f>
        <v>46219</v>
      </c>
      <c r="B296" s="19" t="str">
        <f t="array" ref="B296">IFERROR(INDEX(Sales!$B$7:$B$1506,$O296),"")</f>
        <v>Sale</v>
      </c>
      <c r="C296" s="19" t="str">
        <f t="array" ref="C296">IFERROR(INDEX(Sales!$C$7:$C$1506,$O296),"")</f>
        <v>Online</v>
      </c>
      <c r="D296" s="19" t="str">
        <f t="array" ref="D296">IFERROR(INDEX(Sales!$D$7:$D$1506,$O296),"")</f>
        <v>Samreen islam</v>
      </c>
      <c r="E296" s="19" t="str">
        <f t="array" ref="E296">IFERROR(IF(INDEX(Sales!$E$7:$E$1506,$O296)="","",INDEX(Sales!$E$7:$E$1506,$O296)),"")</f>
        <v>PAWF-260715-04EAA</v>
      </c>
      <c r="F296" s="19" t="str">
        <f t="array" ref="F296">IFERROR(INDEX(Sales!$F$7:$F$1506,$O296),"")</f>
        <v>FD-DRY-SMHRT-15KG-001</v>
      </c>
      <c r="G296" s="19" t="str">
        <f t="array" ref="G296">IFERROR(INDEX(Sales!$G$7:$G$1506,$O296),"")</f>
        <v>Smart Heart Adult Cat Food Chicken &amp; Tuna [15kg]</v>
      </c>
      <c r="H296" s="96">
        <f t="array" ref="H296">IFERROR(INDEX(Sales!$H$7:$H$1506,$O296),"")</f>
        <v>1</v>
      </c>
      <c r="I296" s="96">
        <f t="array" ref="I296">IFERROR(INDEX(Sales!$I$7:$I$1506,$O296),"")</f>
        <v>6400</v>
      </c>
      <c r="J296" s="96">
        <f t="array" ref="J296">IFERROR(INDEX(Sales!$J$7:$J$1506,$O296),"")</f>
        <v>6700</v>
      </c>
      <c r="K296" s="96">
        <f t="array" ref="K296">IFERROR(INDEX(Sales!$K$7:$K$1506,$O296),"")</f>
        <v>300</v>
      </c>
      <c r="L296" s="96">
        <f t="array" ref="L296">IFERROR(INDEX(Sales!$L$7:$L$1506,$O296),"")</f>
        <v>6400</v>
      </c>
      <c r="M296" s="19" t="str">
        <f t="array" ref="M296">IFERROR(INDEX(Sales!$M$7:$M$1506,$O296),"")</f>
        <v>Paid</v>
      </c>
      <c r="O296" s="111" t="str">
        <f>IFERROR(MATCH(TEXT($B$3,"yyyymm")&amp;"-"&amp;(ROW()-4),Sales!$Y$7:$Y$1506,0),"")</f>
        <v/>
      </c>
    </row>
    <row r="297" ht="14.25" customHeight="1">
      <c r="A297" s="110">
        <f t="array" ref="A297">IFERROR(INDEX(Sales!$A$7:$A$1506,$O297),"")</f>
        <v>46219</v>
      </c>
      <c r="B297" s="19" t="str">
        <f t="array" ref="B297">IFERROR(INDEX(Sales!$B$7:$B$1506,$O297),"")</f>
        <v>Sale</v>
      </c>
      <c r="C297" s="19" t="str">
        <f t="array" ref="C297">IFERROR(INDEX(Sales!$C$7:$C$1506,$O297),"")</f>
        <v>Online</v>
      </c>
      <c r="D297" s="19" t="str">
        <f t="array" ref="D297">IFERROR(INDEX(Sales!$D$7:$D$1506,$O297),"")</f>
        <v>Samreen islam</v>
      </c>
      <c r="E297" s="19" t="str">
        <f t="array" ref="E297">IFERROR(IF(INDEX(Sales!$E$7:$E$1506,$O297)="","",INDEX(Sales!$E$7:$E$1506,$O297)),"")</f>
        <v>PAWF-260715-04EAA</v>
      </c>
      <c r="F297" s="19" t="str">
        <f t="array" ref="F297">IFERROR(INDEX(Sales!$F$7:$F$1506,$O297),"")</f>
        <v>FD-DRY-SMHRT-15KG-001</v>
      </c>
      <c r="G297" s="19" t="str">
        <f t="array" ref="G297">IFERROR(INDEX(Sales!$G$7:$G$1506,$O297),"")</f>
        <v>Smart Heart Adult Cat Food Chicken &amp; Tuna [15kg]</v>
      </c>
      <c r="H297" s="96">
        <f t="array" ref="H297">IFERROR(INDEX(Sales!$H$7:$H$1506,$O297),"")</f>
        <v>1</v>
      </c>
      <c r="I297" s="96">
        <f t="array" ref="I297">IFERROR(INDEX(Sales!$I$7:$I$1506,$O297),"")</f>
        <v>6400</v>
      </c>
      <c r="J297" s="96">
        <f t="array" ref="J297">IFERROR(INDEX(Sales!$J$7:$J$1506,$O297),"")</f>
        <v>6700</v>
      </c>
      <c r="K297" s="96">
        <f t="array" ref="K297">IFERROR(INDEX(Sales!$K$7:$K$1506,$O297),"")</f>
        <v>300</v>
      </c>
      <c r="L297" s="96">
        <f t="array" ref="L297">IFERROR(INDEX(Sales!$L$7:$L$1506,$O297),"")</f>
        <v>6400</v>
      </c>
      <c r="M297" s="19" t="str">
        <f t="array" ref="M297">IFERROR(INDEX(Sales!$M$7:$M$1506,$O297),"")</f>
        <v>Paid</v>
      </c>
      <c r="O297" s="111" t="str">
        <f>IFERROR(MATCH(TEXT($B$3,"yyyymm")&amp;"-"&amp;(ROW()-4),Sales!$Y$7:$Y$1506,0),"")</f>
        <v/>
      </c>
    </row>
    <row r="298" ht="14.25" customHeight="1">
      <c r="A298" s="110">
        <f t="array" ref="A298">IFERROR(INDEX(Sales!$A$7:$A$1506,$O298),"")</f>
        <v>46219</v>
      </c>
      <c r="B298" s="19" t="str">
        <f t="array" ref="B298">IFERROR(INDEX(Sales!$B$7:$B$1506,$O298),"")</f>
        <v>Sale</v>
      </c>
      <c r="C298" s="19" t="str">
        <f t="array" ref="C298">IFERROR(INDEX(Sales!$C$7:$C$1506,$O298),"")</f>
        <v>Online</v>
      </c>
      <c r="D298" s="19" t="str">
        <f t="array" ref="D298">IFERROR(INDEX(Sales!$D$7:$D$1506,$O298),"")</f>
        <v>Samreen islam</v>
      </c>
      <c r="E298" s="19" t="str">
        <f t="array" ref="E298">IFERROR(IF(INDEX(Sales!$E$7:$E$1506,$O298)="","",INDEX(Sales!$E$7:$E$1506,$O298)),"")</f>
        <v>PAWF-260715-04EAA</v>
      </c>
      <c r="F298" s="19" t="str">
        <f t="array" ref="F298">IFERROR(INDEX(Sales!$F$7:$F$1506,$O298),"")</f>
        <v>FD-DRY-SMHRT-15KG-001</v>
      </c>
      <c r="G298" s="19" t="str">
        <f t="array" ref="G298">IFERROR(INDEX(Sales!$G$7:$G$1506,$O298),"")</f>
        <v>Smart Heart Adult Cat Food Chicken &amp; Tuna [15kg]</v>
      </c>
      <c r="H298" s="96">
        <f t="array" ref="H298">IFERROR(INDEX(Sales!$H$7:$H$1506,$O298),"")</f>
        <v>1</v>
      </c>
      <c r="I298" s="96">
        <f t="array" ref="I298">IFERROR(INDEX(Sales!$I$7:$I$1506,$O298),"")</f>
        <v>6400</v>
      </c>
      <c r="J298" s="96">
        <f t="array" ref="J298">IFERROR(INDEX(Sales!$J$7:$J$1506,$O298),"")</f>
        <v>6700</v>
      </c>
      <c r="K298" s="96">
        <f t="array" ref="K298">IFERROR(INDEX(Sales!$K$7:$K$1506,$O298),"")</f>
        <v>300</v>
      </c>
      <c r="L298" s="96">
        <f t="array" ref="L298">IFERROR(INDEX(Sales!$L$7:$L$1506,$O298),"")</f>
        <v>6400</v>
      </c>
      <c r="M298" s="19" t="str">
        <f t="array" ref="M298">IFERROR(INDEX(Sales!$M$7:$M$1506,$O298),"")</f>
        <v>Paid</v>
      </c>
      <c r="O298" s="111" t="str">
        <f>IFERROR(MATCH(TEXT($B$3,"yyyymm")&amp;"-"&amp;(ROW()-4),Sales!$Y$7:$Y$1506,0),"")</f>
        <v/>
      </c>
    </row>
    <row r="299" ht="14.25" customHeight="1">
      <c r="A299" s="110">
        <f t="array" ref="A299">IFERROR(INDEX(Sales!$A$7:$A$1506,$O299),"")</f>
        <v>46219</v>
      </c>
      <c r="B299" s="19" t="str">
        <f t="array" ref="B299">IFERROR(INDEX(Sales!$B$7:$B$1506,$O299),"")</f>
        <v>Sale</v>
      </c>
      <c r="C299" s="19" t="str">
        <f t="array" ref="C299">IFERROR(INDEX(Sales!$C$7:$C$1506,$O299),"")</f>
        <v>Online</v>
      </c>
      <c r="D299" s="19" t="str">
        <f t="array" ref="D299">IFERROR(INDEX(Sales!$D$7:$D$1506,$O299),"")</f>
        <v>Samreen islam</v>
      </c>
      <c r="E299" s="19" t="str">
        <f t="array" ref="E299">IFERROR(IF(INDEX(Sales!$E$7:$E$1506,$O299)="","",INDEX(Sales!$E$7:$E$1506,$O299)),"")</f>
        <v>PAWF-260715-04EAA</v>
      </c>
      <c r="F299" s="19" t="str">
        <f t="array" ref="F299">IFERROR(INDEX(Sales!$F$7:$F$1506,$O299),"")</f>
        <v>FD-DRY-SMHRT-15KG-001</v>
      </c>
      <c r="G299" s="19" t="str">
        <f t="array" ref="G299">IFERROR(INDEX(Sales!$G$7:$G$1506,$O299),"")</f>
        <v>Smart Heart Adult Cat Food Chicken &amp; Tuna [15kg]</v>
      </c>
      <c r="H299" s="96">
        <f t="array" ref="H299">IFERROR(INDEX(Sales!$H$7:$H$1506,$O299),"")</f>
        <v>1</v>
      </c>
      <c r="I299" s="96">
        <f t="array" ref="I299">IFERROR(INDEX(Sales!$I$7:$I$1506,$O299),"")</f>
        <v>6400</v>
      </c>
      <c r="J299" s="96">
        <f t="array" ref="J299">IFERROR(INDEX(Sales!$J$7:$J$1506,$O299),"")</f>
        <v>6700</v>
      </c>
      <c r="K299" s="96">
        <f t="array" ref="K299">IFERROR(INDEX(Sales!$K$7:$K$1506,$O299),"")</f>
        <v>300</v>
      </c>
      <c r="L299" s="96">
        <f t="array" ref="L299">IFERROR(INDEX(Sales!$L$7:$L$1506,$O299),"")</f>
        <v>6400</v>
      </c>
      <c r="M299" s="19" t="str">
        <f t="array" ref="M299">IFERROR(INDEX(Sales!$M$7:$M$1506,$O299),"")</f>
        <v>Paid</v>
      </c>
      <c r="O299" s="111" t="str">
        <f>IFERROR(MATCH(TEXT($B$3,"yyyymm")&amp;"-"&amp;(ROW()-4),Sales!$Y$7:$Y$1506,0),"")</f>
        <v/>
      </c>
    </row>
    <row r="300" ht="14.25" customHeight="1">
      <c r="A300" s="110">
        <f t="array" ref="A300">IFERROR(INDEX(Sales!$A$7:$A$1506,$O300),"")</f>
        <v>46219</v>
      </c>
      <c r="B300" s="19" t="str">
        <f t="array" ref="B300">IFERROR(INDEX(Sales!$B$7:$B$1506,$O300),"")</f>
        <v>Sale</v>
      </c>
      <c r="C300" s="19" t="str">
        <f t="array" ref="C300">IFERROR(INDEX(Sales!$C$7:$C$1506,$O300),"")</f>
        <v>Online</v>
      </c>
      <c r="D300" s="19" t="str">
        <f t="array" ref="D300">IFERROR(INDEX(Sales!$D$7:$D$1506,$O300),"")</f>
        <v>Samreen islam</v>
      </c>
      <c r="E300" s="19" t="str">
        <f t="array" ref="E300">IFERROR(IF(INDEX(Sales!$E$7:$E$1506,$O300)="","",INDEX(Sales!$E$7:$E$1506,$O300)),"")</f>
        <v>PAWF-260715-04EAA</v>
      </c>
      <c r="F300" s="19" t="str">
        <f t="array" ref="F300">IFERROR(INDEX(Sales!$F$7:$F$1506,$O300),"")</f>
        <v>FD-DRY-SMHRT-15KG-001</v>
      </c>
      <c r="G300" s="19" t="str">
        <f t="array" ref="G300">IFERROR(INDEX(Sales!$G$7:$G$1506,$O300),"")</f>
        <v>Smart Heart Adult Cat Food Chicken &amp; Tuna [15kg]</v>
      </c>
      <c r="H300" s="96">
        <f t="array" ref="H300">IFERROR(INDEX(Sales!$H$7:$H$1506,$O300),"")</f>
        <v>1</v>
      </c>
      <c r="I300" s="96">
        <f t="array" ref="I300">IFERROR(INDEX(Sales!$I$7:$I$1506,$O300),"")</f>
        <v>6400</v>
      </c>
      <c r="J300" s="96">
        <f t="array" ref="J300">IFERROR(INDEX(Sales!$J$7:$J$1506,$O300),"")</f>
        <v>6700</v>
      </c>
      <c r="K300" s="96">
        <f t="array" ref="K300">IFERROR(INDEX(Sales!$K$7:$K$1506,$O300),"")</f>
        <v>300</v>
      </c>
      <c r="L300" s="96">
        <f t="array" ref="L300">IFERROR(INDEX(Sales!$L$7:$L$1506,$O300),"")</f>
        <v>6400</v>
      </c>
      <c r="M300" s="19" t="str">
        <f t="array" ref="M300">IFERROR(INDEX(Sales!$M$7:$M$1506,$O300),"")</f>
        <v>Paid</v>
      </c>
      <c r="O300" s="111" t="str">
        <f>IFERROR(MATCH(TEXT($B$3,"yyyymm")&amp;"-"&amp;(ROW()-4),Sales!$Y$7:$Y$1506,0),"")</f>
        <v/>
      </c>
    </row>
    <row r="301" ht="14.25" customHeight="1">
      <c r="A301" s="110">
        <f t="array" ref="A301">IFERROR(INDEX(Sales!$A$7:$A$1506,$O301),"")</f>
        <v>46219</v>
      </c>
      <c r="B301" s="19" t="str">
        <f t="array" ref="B301">IFERROR(INDEX(Sales!$B$7:$B$1506,$O301),"")</f>
        <v>Sale</v>
      </c>
      <c r="C301" s="19" t="str">
        <f t="array" ref="C301">IFERROR(INDEX(Sales!$C$7:$C$1506,$O301),"")</f>
        <v>Online</v>
      </c>
      <c r="D301" s="19" t="str">
        <f t="array" ref="D301">IFERROR(INDEX(Sales!$D$7:$D$1506,$O301),"")</f>
        <v>Samreen islam</v>
      </c>
      <c r="E301" s="19" t="str">
        <f t="array" ref="E301">IFERROR(IF(INDEX(Sales!$E$7:$E$1506,$O301)="","",INDEX(Sales!$E$7:$E$1506,$O301)),"")</f>
        <v>PAWF-260715-04EAA</v>
      </c>
      <c r="F301" s="19" t="str">
        <f t="array" ref="F301">IFERROR(INDEX(Sales!$F$7:$F$1506,$O301),"")</f>
        <v>FD-DRY-SMHRT-15KG-001</v>
      </c>
      <c r="G301" s="19" t="str">
        <f t="array" ref="G301">IFERROR(INDEX(Sales!$G$7:$G$1506,$O301),"")</f>
        <v>Smart Heart Adult Cat Food Chicken &amp; Tuna [15kg]</v>
      </c>
      <c r="H301" s="96">
        <f t="array" ref="H301">IFERROR(INDEX(Sales!$H$7:$H$1506,$O301),"")</f>
        <v>1</v>
      </c>
      <c r="I301" s="96">
        <f t="array" ref="I301">IFERROR(INDEX(Sales!$I$7:$I$1506,$O301),"")</f>
        <v>6400</v>
      </c>
      <c r="J301" s="96">
        <f t="array" ref="J301">IFERROR(INDEX(Sales!$J$7:$J$1506,$O301),"")</f>
        <v>6700</v>
      </c>
      <c r="K301" s="96">
        <f t="array" ref="K301">IFERROR(INDEX(Sales!$K$7:$K$1506,$O301),"")</f>
        <v>300</v>
      </c>
      <c r="L301" s="96">
        <f t="array" ref="L301">IFERROR(INDEX(Sales!$L$7:$L$1506,$O301),"")</f>
        <v>6400</v>
      </c>
      <c r="M301" s="19" t="str">
        <f t="array" ref="M301">IFERROR(INDEX(Sales!$M$7:$M$1506,$O301),"")</f>
        <v>Paid</v>
      </c>
      <c r="O301" s="111" t="str">
        <f>IFERROR(MATCH(TEXT($B$3,"yyyymm")&amp;"-"&amp;(ROW()-4),Sales!$Y$7:$Y$1506,0),"")</f>
        <v/>
      </c>
    </row>
    <row r="302" ht="14.25" customHeight="1">
      <c r="A302" s="110">
        <f t="array" ref="A302">IFERROR(INDEX(Sales!$A$7:$A$1506,$O302),"")</f>
        <v>46219</v>
      </c>
      <c r="B302" s="19" t="str">
        <f t="array" ref="B302">IFERROR(INDEX(Sales!$B$7:$B$1506,$O302),"")</f>
        <v>Sale</v>
      </c>
      <c r="C302" s="19" t="str">
        <f t="array" ref="C302">IFERROR(INDEX(Sales!$C$7:$C$1506,$O302),"")</f>
        <v>Online</v>
      </c>
      <c r="D302" s="19" t="str">
        <f t="array" ref="D302">IFERROR(INDEX(Sales!$D$7:$D$1506,$O302),"")</f>
        <v>Samreen islam</v>
      </c>
      <c r="E302" s="19" t="str">
        <f t="array" ref="E302">IFERROR(IF(INDEX(Sales!$E$7:$E$1506,$O302)="","",INDEX(Sales!$E$7:$E$1506,$O302)),"")</f>
        <v>PAWF-260715-04EAA</v>
      </c>
      <c r="F302" s="19" t="str">
        <f t="array" ref="F302">IFERROR(INDEX(Sales!$F$7:$F$1506,$O302),"")</f>
        <v>FD-DRY-SMHRT-15KG-001</v>
      </c>
      <c r="G302" s="19" t="str">
        <f t="array" ref="G302">IFERROR(INDEX(Sales!$G$7:$G$1506,$O302),"")</f>
        <v>Smart Heart Adult Cat Food Chicken &amp; Tuna [15kg]</v>
      </c>
      <c r="H302" s="96">
        <f t="array" ref="H302">IFERROR(INDEX(Sales!$H$7:$H$1506,$O302),"")</f>
        <v>1</v>
      </c>
      <c r="I302" s="96">
        <f t="array" ref="I302">IFERROR(INDEX(Sales!$I$7:$I$1506,$O302),"")</f>
        <v>6400</v>
      </c>
      <c r="J302" s="96">
        <f t="array" ref="J302">IFERROR(INDEX(Sales!$J$7:$J$1506,$O302),"")</f>
        <v>6700</v>
      </c>
      <c r="K302" s="96">
        <f t="array" ref="K302">IFERROR(INDEX(Sales!$K$7:$K$1506,$O302),"")</f>
        <v>300</v>
      </c>
      <c r="L302" s="96">
        <f t="array" ref="L302">IFERROR(INDEX(Sales!$L$7:$L$1506,$O302),"")</f>
        <v>6400</v>
      </c>
      <c r="M302" s="19" t="str">
        <f t="array" ref="M302">IFERROR(INDEX(Sales!$M$7:$M$1506,$O302),"")</f>
        <v>Paid</v>
      </c>
      <c r="O302" s="111" t="str">
        <f>IFERROR(MATCH(TEXT($B$3,"yyyymm")&amp;"-"&amp;(ROW()-4),Sales!$Y$7:$Y$1506,0),"")</f>
        <v/>
      </c>
    </row>
    <row r="303" ht="14.25" customHeight="1">
      <c r="A303" s="110">
        <f t="array" ref="A303">IFERROR(INDEX(Sales!$A$7:$A$1506,$O303),"")</f>
        <v>46219</v>
      </c>
      <c r="B303" s="19" t="str">
        <f t="array" ref="B303">IFERROR(INDEX(Sales!$B$7:$B$1506,$O303),"")</f>
        <v>Sale</v>
      </c>
      <c r="C303" s="19" t="str">
        <f t="array" ref="C303">IFERROR(INDEX(Sales!$C$7:$C$1506,$O303),"")</f>
        <v>Online</v>
      </c>
      <c r="D303" s="19" t="str">
        <f t="array" ref="D303">IFERROR(INDEX(Sales!$D$7:$D$1506,$O303),"")</f>
        <v>Samreen islam</v>
      </c>
      <c r="E303" s="19" t="str">
        <f t="array" ref="E303">IFERROR(IF(INDEX(Sales!$E$7:$E$1506,$O303)="","",INDEX(Sales!$E$7:$E$1506,$O303)),"")</f>
        <v>PAWF-260715-04EAA</v>
      </c>
      <c r="F303" s="19" t="str">
        <f t="array" ref="F303">IFERROR(INDEX(Sales!$F$7:$F$1506,$O303),"")</f>
        <v>FD-DRY-SMHRT-15KG-001</v>
      </c>
      <c r="G303" s="19" t="str">
        <f t="array" ref="G303">IFERROR(INDEX(Sales!$G$7:$G$1506,$O303),"")</f>
        <v>Smart Heart Adult Cat Food Chicken &amp; Tuna [15kg]</v>
      </c>
      <c r="H303" s="96">
        <f t="array" ref="H303">IFERROR(INDEX(Sales!$H$7:$H$1506,$O303),"")</f>
        <v>1</v>
      </c>
      <c r="I303" s="96">
        <f t="array" ref="I303">IFERROR(INDEX(Sales!$I$7:$I$1506,$O303),"")</f>
        <v>6400</v>
      </c>
      <c r="J303" s="96">
        <f t="array" ref="J303">IFERROR(INDEX(Sales!$J$7:$J$1506,$O303),"")</f>
        <v>6700</v>
      </c>
      <c r="K303" s="96">
        <f t="array" ref="K303">IFERROR(INDEX(Sales!$K$7:$K$1506,$O303),"")</f>
        <v>300</v>
      </c>
      <c r="L303" s="96">
        <f t="array" ref="L303">IFERROR(INDEX(Sales!$L$7:$L$1506,$O303),"")</f>
        <v>6400</v>
      </c>
      <c r="M303" s="19" t="str">
        <f t="array" ref="M303">IFERROR(INDEX(Sales!$M$7:$M$1506,$O303),"")</f>
        <v>Paid</v>
      </c>
      <c r="O303" s="111" t="str">
        <f>IFERROR(MATCH(TEXT($B$3,"yyyymm")&amp;"-"&amp;(ROW()-4),Sales!$Y$7:$Y$1506,0),"")</f>
        <v/>
      </c>
    </row>
    <row r="304" ht="14.25" customHeight="1">
      <c r="A304" s="110">
        <f t="array" ref="A304">IFERROR(INDEX(Sales!$A$7:$A$1506,$O304),"")</f>
        <v>46219</v>
      </c>
      <c r="B304" s="19" t="str">
        <f t="array" ref="B304">IFERROR(INDEX(Sales!$B$7:$B$1506,$O304),"")</f>
        <v>Sale</v>
      </c>
      <c r="C304" s="19" t="str">
        <f t="array" ref="C304">IFERROR(INDEX(Sales!$C$7:$C$1506,$O304),"")</f>
        <v>Online</v>
      </c>
      <c r="D304" s="19" t="str">
        <f t="array" ref="D304">IFERROR(INDEX(Sales!$D$7:$D$1506,$O304),"")</f>
        <v>Samreen islam</v>
      </c>
      <c r="E304" s="19" t="str">
        <f t="array" ref="E304">IFERROR(IF(INDEX(Sales!$E$7:$E$1506,$O304)="","",INDEX(Sales!$E$7:$E$1506,$O304)),"")</f>
        <v>PAWF-260715-04EAA</v>
      </c>
      <c r="F304" s="19" t="str">
        <f t="array" ref="F304">IFERROR(INDEX(Sales!$F$7:$F$1506,$O304),"")</f>
        <v>FD-DRY-SMHRT-15KG-001</v>
      </c>
      <c r="G304" s="19" t="str">
        <f t="array" ref="G304">IFERROR(INDEX(Sales!$G$7:$G$1506,$O304),"")</f>
        <v>Smart Heart Adult Cat Food Chicken &amp; Tuna [15kg]</v>
      </c>
      <c r="H304" s="96">
        <f t="array" ref="H304">IFERROR(INDEX(Sales!$H$7:$H$1506,$O304),"")</f>
        <v>1</v>
      </c>
      <c r="I304" s="96">
        <f t="array" ref="I304">IFERROR(INDEX(Sales!$I$7:$I$1506,$O304),"")</f>
        <v>6400</v>
      </c>
      <c r="J304" s="96">
        <f t="array" ref="J304">IFERROR(INDEX(Sales!$J$7:$J$1506,$O304),"")</f>
        <v>6700</v>
      </c>
      <c r="K304" s="96">
        <f t="array" ref="K304">IFERROR(INDEX(Sales!$K$7:$K$1506,$O304),"")</f>
        <v>300</v>
      </c>
      <c r="L304" s="96">
        <f t="array" ref="L304">IFERROR(INDEX(Sales!$L$7:$L$1506,$O304),"")</f>
        <v>6400</v>
      </c>
      <c r="M304" s="19" t="str">
        <f t="array" ref="M304">IFERROR(INDEX(Sales!$M$7:$M$1506,$O304),"")</f>
        <v>Paid</v>
      </c>
      <c r="O304" s="111" t="str">
        <f>IFERROR(MATCH(TEXT($B$3,"yyyymm")&amp;"-"&amp;(ROW()-4),Sales!$Y$7:$Y$1506,0),"")</f>
        <v/>
      </c>
    </row>
    <row r="305" ht="14.25" customHeight="1">
      <c r="A305" s="110">
        <f t="array" ref="A305">IFERROR(INDEX(Sales!$A$7:$A$1506,$O305),"")</f>
        <v>46219</v>
      </c>
      <c r="B305" s="19" t="str">
        <f t="array" ref="B305">IFERROR(INDEX(Sales!$B$7:$B$1506,$O305),"")</f>
        <v>Sale</v>
      </c>
      <c r="C305" s="19" t="str">
        <f t="array" ref="C305">IFERROR(INDEX(Sales!$C$7:$C$1506,$O305),"")</f>
        <v>Online</v>
      </c>
      <c r="D305" s="19" t="str">
        <f t="array" ref="D305">IFERROR(INDEX(Sales!$D$7:$D$1506,$O305),"")</f>
        <v>Samreen islam</v>
      </c>
      <c r="E305" s="19" t="str">
        <f t="array" ref="E305">IFERROR(IF(INDEX(Sales!$E$7:$E$1506,$O305)="","",INDEX(Sales!$E$7:$E$1506,$O305)),"")</f>
        <v>PAWF-260715-04EAA</v>
      </c>
      <c r="F305" s="19" t="str">
        <f t="array" ref="F305">IFERROR(INDEX(Sales!$F$7:$F$1506,$O305),"")</f>
        <v>FD-DRY-SMHRT-15KG-001</v>
      </c>
      <c r="G305" s="19" t="str">
        <f t="array" ref="G305">IFERROR(INDEX(Sales!$G$7:$G$1506,$O305),"")</f>
        <v>Smart Heart Adult Cat Food Chicken &amp; Tuna [15kg]</v>
      </c>
      <c r="H305" s="96">
        <f t="array" ref="H305">IFERROR(INDEX(Sales!$H$7:$H$1506,$O305),"")</f>
        <v>1</v>
      </c>
      <c r="I305" s="96">
        <f t="array" ref="I305">IFERROR(INDEX(Sales!$I$7:$I$1506,$O305),"")</f>
        <v>6400</v>
      </c>
      <c r="J305" s="96">
        <f t="array" ref="J305">IFERROR(INDEX(Sales!$J$7:$J$1506,$O305),"")</f>
        <v>6700</v>
      </c>
      <c r="K305" s="96">
        <f t="array" ref="K305">IFERROR(INDEX(Sales!$K$7:$K$1506,$O305),"")</f>
        <v>300</v>
      </c>
      <c r="L305" s="96">
        <f t="array" ref="L305">IFERROR(INDEX(Sales!$L$7:$L$1506,$O305),"")</f>
        <v>6400</v>
      </c>
      <c r="M305" s="19" t="str">
        <f t="array" ref="M305">IFERROR(INDEX(Sales!$M$7:$M$1506,$O305),"")</f>
        <v>Paid</v>
      </c>
      <c r="O305" s="111" t="str">
        <f>IFERROR(MATCH(TEXT($B$3,"yyyymm")&amp;"-"&amp;(ROW()-4),Sales!$Y$7:$Y$1506,0),"")</f>
        <v/>
      </c>
    </row>
    <row r="306" ht="14.25" customHeight="1">
      <c r="A306" s="110">
        <f t="array" ref="A306">IFERROR(INDEX(Sales!$A$7:$A$1506,$O306),"")</f>
        <v>46219</v>
      </c>
      <c r="B306" s="19" t="str">
        <f t="array" ref="B306">IFERROR(INDEX(Sales!$B$7:$B$1506,$O306),"")</f>
        <v>Sale</v>
      </c>
      <c r="C306" s="19" t="str">
        <f t="array" ref="C306">IFERROR(INDEX(Sales!$C$7:$C$1506,$O306),"")</f>
        <v>Online</v>
      </c>
      <c r="D306" s="19" t="str">
        <f t="array" ref="D306">IFERROR(INDEX(Sales!$D$7:$D$1506,$O306),"")</f>
        <v>Samreen islam</v>
      </c>
      <c r="E306" s="19" t="str">
        <f t="array" ref="E306">IFERROR(IF(INDEX(Sales!$E$7:$E$1506,$O306)="","",INDEX(Sales!$E$7:$E$1506,$O306)),"")</f>
        <v>PAWF-260715-04EAA</v>
      </c>
      <c r="F306" s="19" t="str">
        <f t="array" ref="F306">IFERROR(INDEX(Sales!$F$7:$F$1506,$O306),"")</f>
        <v>FD-DRY-SMHRT-15KG-001</v>
      </c>
      <c r="G306" s="19" t="str">
        <f t="array" ref="G306">IFERROR(INDEX(Sales!$G$7:$G$1506,$O306),"")</f>
        <v>Smart Heart Adult Cat Food Chicken &amp; Tuna [15kg]</v>
      </c>
      <c r="H306" s="96">
        <f t="array" ref="H306">IFERROR(INDEX(Sales!$H$7:$H$1506,$O306),"")</f>
        <v>1</v>
      </c>
      <c r="I306" s="96">
        <f t="array" ref="I306">IFERROR(INDEX(Sales!$I$7:$I$1506,$O306),"")</f>
        <v>6400</v>
      </c>
      <c r="J306" s="96">
        <f t="array" ref="J306">IFERROR(INDEX(Sales!$J$7:$J$1506,$O306),"")</f>
        <v>6700</v>
      </c>
      <c r="K306" s="96">
        <f t="array" ref="K306">IFERROR(INDEX(Sales!$K$7:$K$1506,$O306),"")</f>
        <v>300</v>
      </c>
      <c r="L306" s="96">
        <f t="array" ref="L306">IFERROR(INDEX(Sales!$L$7:$L$1506,$O306),"")</f>
        <v>6400</v>
      </c>
      <c r="M306" s="19" t="str">
        <f t="array" ref="M306">IFERROR(INDEX(Sales!$M$7:$M$1506,$O306),"")</f>
        <v>Paid</v>
      </c>
      <c r="O306" s="111" t="str">
        <f>IFERROR(MATCH(TEXT($B$3,"yyyymm")&amp;"-"&amp;(ROW()-4),Sales!$Y$7:$Y$1506,0),"")</f>
        <v/>
      </c>
    </row>
    <row r="307" ht="14.25" customHeight="1">
      <c r="A307" s="110">
        <f t="array" ref="A307">IFERROR(INDEX(Sales!$A$7:$A$1506,$O307),"")</f>
        <v>46219</v>
      </c>
      <c r="B307" s="19" t="str">
        <f t="array" ref="B307">IFERROR(INDEX(Sales!$B$7:$B$1506,$O307),"")</f>
        <v>Sale</v>
      </c>
      <c r="C307" s="19" t="str">
        <f t="array" ref="C307">IFERROR(INDEX(Sales!$C$7:$C$1506,$O307),"")</f>
        <v>Online</v>
      </c>
      <c r="D307" s="19" t="str">
        <f t="array" ref="D307">IFERROR(INDEX(Sales!$D$7:$D$1506,$O307),"")</f>
        <v>Samreen islam</v>
      </c>
      <c r="E307" s="19" t="str">
        <f t="array" ref="E307">IFERROR(IF(INDEX(Sales!$E$7:$E$1506,$O307)="","",INDEX(Sales!$E$7:$E$1506,$O307)),"")</f>
        <v>PAWF-260715-04EAA</v>
      </c>
      <c r="F307" s="19" t="str">
        <f t="array" ref="F307">IFERROR(INDEX(Sales!$F$7:$F$1506,$O307),"")</f>
        <v>FD-DRY-SMHRT-15KG-001</v>
      </c>
      <c r="G307" s="19" t="str">
        <f t="array" ref="G307">IFERROR(INDEX(Sales!$G$7:$G$1506,$O307),"")</f>
        <v>Smart Heart Adult Cat Food Chicken &amp; Tuna [15kg]</v>
      </c>
      <c r="H307" s="96">
        <f t="array" ref="H307">IFERROR(INDEX(Sales!$H$7:$H$1506,$O307),"")</f>
        <v>1</v>
      </c>
      <c r="I307" s="96">
        <f t="array" ref="I307">IFERROR(INDEX(Sales!$I$7:$I$1506,$O307),"")</f>
        <v>6400</v>
      </c>
      <c r="J307" s="96">
        <f t="array" ref="J307">IFERROR(INDEX(Sales!$J$7:$J$1506,$O307),"")</f>
        <v>6700</v>
      </c>
      <c r="K307" s="96">
        <f t="array" ref="K307">IFERROR(INDEX(Sales!$K$7:$K$1506,$O307),"")</f>
        <v>300</v>
      </c>
      <c r="L307" s="96">
        <f t="array" ref="L307">IFERROR(INDEX(Sales!$L$7:$L$1506,$O307),"")</f>
        <v>6400</v>
      </c>
      <c r="M307" s="19" t="str">
        <f t="array" ref="M307">IFERROR(INDEX(Sales!$M$7:$M$1506,$O307),"")</f>
        <v>Paid</v>
      </c>
      <c r="O307" s="111" t="str">
        <f>IFERROR(MATCH(TEXT($B$3,"yyyymm")&amp;"-"&amp;(ROW()-4),Sales!$Y$7:$Y$1506,0),"")</f>
        <v/>
      </c>
    </row>
    <row r="308" ht="14.25" customHeight="1">
      <c r="A308" s="110">
        <f t="array" ref="A308">IFERROR(INDEX(Sales!$A$7:$A$1506,$O308),"")</f>
        <v>46219</v>
      </c>
      <c r="B308" s="19" t="str">
        <f t="array" ref="B308">IFERROR(INDEX(Sales!$B$7:$B$1506,$O308),"")</f>
        <v>Sale</v>
      </c>
      <c r="C308" s="19" t="str">
        <f t="array" ref="C308">IFERROR(INDEX(Sales!$C$7:$C$1506,$O308),"")</f>
        <v>Online</v>
      </c>
      <c r="D308" s="19" t="str">
        <f t="array" ref="D308">IFERROR(INDEX(Sales!$D$7:$D$1506,$O308),"")</f>
        <v>Samreen islam</v>
      </c>
      <c r="E308" s="19" t="str">
        <f t="array" ref="E308">IFERROR(IF(INDEX(Sales!$E$7:$E$1506,$O308)="","",INDEX(Sales!$E$7:$E$1506,$O308)),"")</f>
        <v>PAWF-260715-04EAA</v>
      </c>
      <c r="F308" s="19" t="str">
        <f t="array" ref="F308">IFERROR(INDEX(Sales!$F$7:$F$1506,$O308),"")</f>
        <v>FD-DRY-SMHRT-15KG-001</v>
      </c>
      <c r="G308" s="19" t="str">
        <f t="array" ref="G308">IFERROR(INDEX(Sales!$G$7:$G$1506,$O308),"")</f>
        <v>Smart Heart Adult Cat Food Chicken &amp; Tuna [15kg]</v>
      </c>
      <c r="H308" s="96">
        <f t="array" ref="H308">IFERROR(INDEX(Sales!$H$7:$H$1506,$O308),"")</f>
        <v>1</v>
      </c>
      <c r="I308" s="96">
        <f t="array" ref="I308">IFERROR(INDEX(Sales!$I$7:$I$1506,$O308),"")</f>
        <v>6400</v>
      </c>
      <c r="J308" s="96">
        <f t="array" ref="J308">IFERROR(INDEX(Sales!$J$7:$J$1506,$O308),"")</f>
        <v>6700</v>
      </c>
      <c r="K308" s="96">
        <f t="array" ref="K308">IFERROR(INDEX(Sales!$K$7:$K$1506,$O308),"")</f>
        <v>300</v>
      </c>
      <c r="L308" s="96">
        <f t="array" ref="L308">IFERROR(INDEX(Sales!$L$7:$L$1506,$O308),"")</f>
        <v>6400</v>
      </c>
      <c r="M308" s="19" t="str">
        <f t="array" ref="M308">IFERROR(INDEX(Sales!$M$7:$M$1506,$O308),"")</f>
        <v>Paid</v>
      </c>
      <c r="O308" s="111" t="str">
        <f>IFERROR(MATCH(TEXT($B$3,"yyyymm")&amp;"-"&amp;(ROW()-4),Sales!$Y$7:$Y$1506,0),"")</f>
        <v/>
      </c>
    </row>
    <row r="309" ht="14.25" customHeight="1">
      <c r="A309" s="110">
        <f t="array" ref="A309">IFERROR(INDEX(Sales!$A$7:$A$1506,$O309),"")</f>
        <v>46219</v>
      </c>
      <c r="B309" s="19" t="str">
        <f t="array" ref="B309">IFERROR(INDEX(Sales!$B$7:$B$1506,$O309),"")</f>
        <v>Sale</v>
      </c>
      <c r="C309" s="19" t="str">
        <f t="array" ref="C309">IFERROR(INDEX(Sales!$C$7:$C$1506,$O309),"")</f>
        <v>Online</v>
      </c>
      <c r="D309" s="19" t="str">
        <f t="array" ref="D309">IFERROR(INDEX(Sales!$D$7:$D$1506,$O309),"")</f>
        <v>Samreen islam</v>
      </c>
      <c r="E309" s="19" t="str">
        <f t="array" ref="E309">IFERROR(IF(INDEX(Sales!$E$7:$E$1506,$O309)="","",INDEX(Sales!$E$7:$E$1506,$O309)),"")</f>
        <v>PAWF-260715-04EAA</v>
      </c>
      <c r="F309" s="19" t="str">
        <f t="array" ref="F309">IFERROR(INDEX(Sales!$F$7:$F$1506,$O309),"")</f>
        <v>FD-DRY-SMHRT-15KG-001</v>
      </c>
      <c r="G309" s="19" t="str">
        <f t="array" ref="G309">IFERROR(INDEX(Sales!$G$7:$G$1506,$O309),"")</f>
        <v>Smart Heart Adult Cat Food Chicken &amp; Tuna [15kg]</v>
      </c>
      <c r="H309" s="96">
        <f t="array" ref="H309">IFERROR(INDEX(Sales!$H$7:$H$1506,$O309),"")</f>
        <v>1</v>
      </c>
      <c r="I309" s="96">
        <f t="array" ref="I309">IFERROR(INDEX(Sales!$I$7:$I$1506,$O309),"")</f>
        <v>6400</v>
      </c>
      <c r="J309" s="96">
        <f t="array" ref="J309">IFERROR(INDEX(Sales!$J$7:$J$1506,$O309),"")</f>
        <v>6700</v>
      </c>
      <c r="K309" s="96">
        <f t="array" ref="K309">IFERROR(INDEX(Sales!$K$7:$K$1506,$O309),"")</f>
        <v>300</v>
      </c>
      <c r="L309" s="96">
        <f t="array" ref="L309">IFERROR(INDEX(Sales!$L$7:$L$1506,$O309),"")</f>
        <v>6400</v>
      </c>
      <c r="M309" s="19" t="str">
        <f t="array" ref="M309">IFERROR(INDEX(Sales!$M$7:$M$1506,$O309),"")</f>
        <v>Paid</v>
      </c>
      <c r="O309" s="111" t="str">
        <f>IFERROR(MATCH(TEXT($B$3,"yyyymm")&amp;"-"&amp;(ROW()-4),Sales!$Y$7:$Y$1506,0),"")</f>
        <v/>
      </c>
    </row>
    <row r="310" ht="14.25" customHeight="1">
      <c r="A310" s="110">
        <f t="array" ref="A310">IFERROR(INDEX(Sales!$A$7:$A$1506,$O310),"")</f>
        <v>46219</v>
      </c>
      <c r="B310" s="19" t="str">
        <f t="array" ref="B310">IFERROR(INDEX(Sales!$B$7:$B$1506,$O310),"")</f>
        <v>Sale</v>
      </c>
      <c r="C310" s="19" t="str">
        <f t="array" ref="C310">IFERROR(INDEX(Sales!$C$7:$C$1506,$O310),"")</f>
        <v>Online</v>
      </c>
      <c r="D310" s="19" t="str">
        <f t="array" ref="D310">IFERROR(INDEX(Sales!$D$7:$D$1506,$O310),"")</f>
        <v>Samreen islam</v>
      </c>
      <c r="E310" s="19" t="str">
        <f t="array" ref="E310">IFERROR(IF(INDEX(Sales!$E$7:$E$1506,$O310)="","",INDEX(Sales!$E$7:$E$1506,$O310)),"")</f>
        <v>PAWF-260715-04EAA</v>
      </c>
      <c r="F310" s="19" t="str">
        <f t="array" ref="F310">IFERROR(INDEX(Sales!$F$7:$F$1506,$O310),"")</f>
        <v>FD-DRY-SMHRT-15KG-001</v>
      </c>
      <c r="G310" s="19" t="str">
        <f t="array" ref="G310">IFERROR(INDEX(Sales!$G$7:$G$1506,$O310),"")</f>
        <v>Smart Heart Adult Cat Food Chicken &amp; Tuna [15kg]</v>
      </c>
      <c r="H310" s="96">
        <f t="array" ref="H310">IFERROR(INDEX(Sales!$H$7:$H$1506,$O310),"")</f>
        <v>1</v>
      </c>
      <c r="I310" s="96">
        <f t="array" ref="I310">IFERROR(INDEX(Sales!$I$7:$I$1506,$O310),"")</f>
        <v>6400</v>
      </c>
      <c r="J310" s="96">
        <f t="array" ref="J310">IFERROR(INDEX(Sales!$J$7:$J$1506,$O310),"")</f>
        <v>6700</v>
      </c>
      <c r="K310" s="96">
        <f t="array" ref="K310">IFERROR(INDEX(Sales!$K$7:$K$1506,$O310),"")</f>
        <v>300</v>
      </c>
      <c r="L310" s="96">
        <f t="array" ref="L310">IFERROR(INDEX(Sales!$L$7:$L$1506,$O310),"")</f>
        <v>6400</v>
      </c>
      <c r="M310" s="19" t="str">
        <f t="array" ref="M310">IFERROR(INDEX(Sales!$M$7:$M$1506,$O310),"")</f>
        <v>Paid</v>
      </c>
      <c r="O310" s="111" t="str">
        <f>IFERROR(MATCH(TEXT($B$3,"yyyymm")&amp;"-"&amp;(ROW()-4),Sales!$Y$7:$Y$1506,0),"")</f>
        <v/>
      </c>
    </row>
    <row r="311" ht="14.25" customHeight="1">
      <c r="A311" s="110">
        <f t="array" ref="A311">IFERROR(INDEX(Sales!$A$7:$A$1506,$O311),"")</f>
        <v>46219</v>
      </c>
      <c r="B311" s="19" t="str">
        <f t="array" ref="B311">IFERROR(INDEX(Sales!$B$7:$B$1506,$O311),"")</f>
        <v>Sale</v>
      </c>
      <c r="C311" s="19" t="str">
        <f t="array" ref="C311">IFERROR(INDEX(Sales!$C$7:$C$1506,$O311),"")</f>
        <v>Online</v>
      </c>
      <c r="D311" s="19" t="str">
        <f t="array" ref="D311">IFERROR(INDEX(Sales!$D$7:$D$1506,$O311),"")</f>
        <v>Samreen islam</v>
      </c>
      <c r="E311" s="19" t="str">
        <f t="array" ref="E311">IFERROR(IF(INDEX(Sales!$E$7:$E$1506,$O311)="","",INDEX(Sales!$E$7:$E$1506,$O311)),"")</f>
        <v>PAWF-260715-04EAA</v>
      </c>
      <c r="F311" s="19" t="str">
        <f t="array" ref="F311">IFERROR(INDEX(Sales!$F$7:$F$1506,$O311),"")</f>
        <v>FD-DRY-SMHRT-15KG-001</v>
      </c>
      <c r="G311" s="19" t="str">
        <f t="array" ref="G311">IFERROR(INDEX(Sales!$G$7:$G$1506,$O311),"")</f>
        <v>Smart Heart Adult Cat Food Chicken &amp; Tuna [15kg]</v>
      </c>
      <c r="H311" s="96">
        <f t="array" ref="H311">IFERROR(INDEX(Sales!$H$7:$H$1506,$O311),"")</f>
        <v>1</v>
      </c>
      <c r="I311" s="96">
        <f t="array" ref="I311">IFERROR(INDEX(Sales!$I$7:$I$1506,$O311),"")</f>
        <v>6400</v>
      </c>
      <c r="J311" s="96">
        <f t="array" ref="J311">IFERROR(INDEX(Sales!$J$7:$J$1506,$O311),"")</f>
        <v>6700</v>
      </c>
      <c r="K311" s="96">
        <f t="array" ref="K311">IFERROR(INDEX(Sales!$K$7:$K$1506,$O311),"")</f>
        <v>300</v>
      </c>
      <c r="L311" s="96">
        <f t="array" ref="L311">IFERROR(INDEX(Sales!$L$7:$L$1506,$O311),"")</f>
        <v>6400</v>
      </c>
      <c r="M311" s="19" t="str">
        <f t="array" ref="M311">IFERROR(INDEX(Sales!$M$7:$M$1506,$O311),"")</f>
        <v>Paid</v>
      </c>
      <c r="O311" s="111" t="str">
        <f>IFERROR(MATCH(TEXT($B$3,"yyyymm")&amp;"-"&amp;(ROW()-4),Sales!$Y$7:$Y$1506,0),"")</f>
        <v/>
      </c>
    </row>
    <row r="312" ht="14.25" customHeight="1">
      <c r="A312" s="110">
        <f t="array" ref="A312">IFERROR(INDEX(Sales!$A$7:$A$1506,$O312),"")</f>
        <v>46219</v>
      </c>
      <c r="B312" s="19" t="str">
        <f t="array" ref="B312">IFERROR(INDEX(Sales!$B$7:$B$1506,$O312),"")</f>
        <v>Sale</v>
      </c>
      <c r="C312" s="19" t="str">
        <f t="array" ref="C312">IFERROR(INDEX(Sales!$C$7:$C$1506,$O312),"")</f>
        <v>Online</v>
      </c>
      <c r="D312" s="19" t="str">
        <f t="array" ref="D312">IFERROR(INDEX(Sales!$D$7:$D$1506,$O312),"")</f>
        <v>Samreen islam</v>
      </c>
      <c r="E312" s="19" t="str">
        <f t="array" ref="E312">IFERROR(IF(INDEX(Sales!$E$7:$E$1506,$O312)="","",INDEX(Sales!$E$7:$E$1506,$O312)),"")</f>
        <v>PAWF-260715-04EAA</v>
      </c>
      <c r="F312" s="19" t="str">
        <f t="array" ref="F312">IFERROR(INDEX(Sales!$F$7:$F$1506,$O312),"")</f>
        <v>FD-DRY-SMHRT-15KG-001</v>
      </c>
      <c r="G312" s="19" t="str">
        <f t="array" ref="G312">IFERROR(INDEX(Sales!$G$7:$G$1506,$O312),"")</f>
        <v>Smart Heart Adult Cat Food Chicken &amp; Tuna [15kg]</v>
      </c>
      <c r="H312" s="96">
        <f t="array" ref="H312">IFERROR(INDEX(Sales!$H$7:$H$1506,$O312),"")</f>
        <v>1</v>
      </c>
      <c r="I312" s="96">
        <f t="array" ref="I312">IFERROR(INDEX(Sales!$I$7:$I$1506,$O312),"")</f>
        <v>6400</v>
      </c>
      <c r="J312" s="96">
        <f t="array" ref="J312">IFERROR(INDEX(Sales!$J$7:$J$1506,$O312),"")</f>
        <v>6700</v>
      </c>
      <c r="K312" s="96">
        <f t="array" ref="K312">IFERROR(INDEX(Sales!$K$7:$K$1506,$O312),"")</f>
        <v>300</v>
      </c>
      <c r="L312" s="96">
        <f t="array" ref="L312">IFERROR(INDEX(Sales!$L$7:$L$1506,$O312),"")</f>
        <v>6400</v>
      </c>
      <c r="M312" s="19" t="str">
        <f t="array" ref="M312">IFERROR(INDEX(Sales!$M$7:$M$1506,$O312),"")</f>
        <v>Paid</v>
      </c>
      <c r="O312" s="111" t="str">
        <f>IFERROR(MATCH(TEXT($B$3,"yyyymm")&amp;"-"&amp;(ROW()-4),Sales!$Y$7:$Y$1506,0),"")</f>
        <v/>
      </c>
    </row>
    <row r="313" ht="14.25" customHeight="1">
      <c r="A313" s="110">
        <f t="array" ref="A313">IFERROR(INDEX(Sales!$A$7:$A$1506,$O313),"")</f>
        <v>46219</v>
      </c>
      <c r="B313" s="19" t="str">
        <f t="array" ref="B313">IFERROR(INDEX(Sales!$B$7:$B$1506,$O313),"")</f>
        <v>Sale</v>
      </c>
      <c r="C313" s="19" t="str">
        <f t="array" ref="C313">IFERROR(INDEX(Sales!$C$7:$C$1506,$O313),"")</f>
        <v>Online</v>
      </c>
      <c r="D313" s="19" t="str">
        <f t="array" ref="D313">IFERROR(INDEX(Sales!$D$7:$D$1506,$O313),"")</f>
        <v>Samreen islam</v>
      </c>
      <c r="E313" s="19" t="str">
        <f t="array" ref="E313">IFERROR(IF(INDEX(Sales!$E$7:$E$1506,$O313)="","",INDEX(Sales!$E$7:$E$1506,$O313)),"")</f>
        <v>PAWF-260715-04EAA</v>
      </c>
      <c r="F313" s="19" t="str">
        <f t="array" ref="F313">IFERROR(INDEX(Sales!$F$7:$F$1506,$O313),"")</f>
        <v>FD-DRY-SMHRT-15KG-001</v>
      </c>
      <c r="G313" s="19" t="str">
        <f t="array" ref="G313">IFERROR(INDEX(Sales!$G$7:$G$1506,$O313),"")</f>
        <v>Smart Heart Adult Cat Food Chicken &amp; Tuna [15kg]</v>
      </c>
      <c r="H313" s="96">
        <f t="array" ref="H313">IFERROR(INDEX(Sales!$H$7:$H$1506,$O313),"")</f>
        <v>1</v>
      </c>
      <c r="I313" s="96">
        <f t="array" ref="I313">IFERROR(INDEX(Sales!$I$7:$I$1506,$O313),"")</f>
        <v>6400</v>
      </c>
      <c r="J313" s="96">
        <f t="array" ref="J313">IFERROR(INDEX(Sales!$J$7:$J$1506,$O313),"")</f>
        <v>6700</v>
      </c>
      <c r="K313" s="96">
        <f t="array" ref="K313">IFERROR(INDEX(Sales!$K$7:$K$1506,$O313),"")</f>
        <v>300</v>
      </c>
      <c r="L313" s="96">
        <f t="array" ref="L313">IFERROR(INDEX(Sales!$L$7:$L$1506,$O313),"")</f>
        <v>6400</v>
      </c>
      <c r="M313" s="19" t="str">
        <f t="array" ref="M313">IFERROR(INDEX(Sales!$M$7:$M$1506,$O313),"")</f>
        <v>Paid</v>
      </c>
      <c r="O313" s="111" t="str">
        <f>IFERROR(MATCH(TEXT($B$3,"yyyymm")&amp;"-"&amp;(ROW()-4),Sales!$Y$7:$Y$1506,0),"")</f>
        <v/>
      </c>
    </row>
    <row r="314" ht="14.25" customHeight="1">
      <c r="A314" s="110">
        <f t="array" ref="A314">IFERROR(INDEX(Sales!$A$7:$A$1506,$O314),"")</f>
        <v>46219</v>
      </c>
      <c r="B314" s="19" t="str">
        <f t="array" ref="B314">IFERROR(INDEX(Sales!$B$7:$B$1506,$O314),"")</f>
        <v>Sale</v>
      </c>
      <c r="C314" s="19" t="str">
        <f t="array" ref="C314">IFERROR(INDEX(Sales!$C$7:$C$1506,$O314),"")</f>
        <v>Online</v>
      </c>
      <c r="D314" s="19" t="str">
        <f t="array" ref="D314">IFERROR(INDEX(Sales!$D$7:$D$1506,$O314),"")</f>
        <v>Samreen islam</v>
      </c>
      <c r="E314" s="19" t="str">
        <f t="array" ref="E314">IFERROR(IF(INDEX(Sales!$E$7:$E$1506,$O314)="","",INDEX(Sales!$E$7:$E$1506,$O314)),"")</f>
        <v>PAWF-260715-04EAA</v>
      </c>
      <c r="F314" s="19" t="str">
        <f t="array" ref="F314">IFERROR(INDEX(Sales!$F$7:$F$1506,$O314),"")</f>
        <v>FD-DRY-SMHRT-15KG-001</v>
      </c>
      <c r="G314" s="19" t="str">
        <f t="array" ref="G314">IFERROR(INDEX(Sales!$G$7:$G$1506,$O314),"")</f>
        <v>Smart Heart Adult Cat Food Chicken &amp; Tuna [15kg]</v>
      </c>
      <c r="H314" s="96">
        <f t="array" ref="H314">IFERROR(INDEX(Sales!$H$7:$H$1506,$O314),"")</f>
        <v>1</v>
      </c>
      <c r="I314" s="96">
        <f t="array" ref="I314">IFERROR(INDEX(Sales!$I$7:$I$1506,$O314),"")</f>
        <v>6400</v>
      </c>
      <c r="J314" s="96">
        <f t="array" ref="J314">IFERROR(INDEX(Sales!$J$7:$J$1506,$O314),"")</f>
        <v>6700</v>
      </c>
      <c r="K314" s="96">
        <f t="array" ref="K314">IFERROR(INDEX(Sales!$K$7:$K$1506,$O314),"")</f>
        <v>300</v>
      </c>
      <c r="L314" s="96">
        <f t="array" ref="L314">IFERROR(INDEX(Sales!$L$7:$L$1506,$O314),"")</f>
        <v>6400</v>
      </c>
      <c r="M314" s="19" t="str">
        <f t="array" ref="M314">IFERROR(INDEX(Sales!$M$7:$M$1506,$O314),"")</f>
        <v>Paid</v>
      </c>
      <c r="O314" s="111" t="str">
        <f>IFERROR(MATCH(TEXT($B$3,"yyyymm")&amp;"-"&amp;(ROW()-4),Sales!$Y$7:$Y$1506,0),"")</f>
        <v/>
      </c>
    </row>
    <row r="315" ht="14.25" customHeight="1">
      <c r="A315" s="110">
        <f t="array" ref="A315">IFERROR(INDEX(Sales!$A$7:$A$1506,$O315),"")</f>
        <v>46219</v>
      </c>
      <c r="B315" s="19" t="str">
        <f t="array" ref="B315">IFERROR(INDEX(Sales!$B$7:$B$1506,$O315),"")</f>
        <v>Sale</v>
      </c>
      <c r="C315" s="19" t="str">
        <f t="array" ref="C315">IFERROR(INDEX(Sales!$C$7:$C$1506,$O315),"")</f>
        <v>Online</v>
      </c>
      <c r="D315" s="19" t="str">
        <f t="array" ref="D315">IFERROR(INDEX(Sales!$D$7:$D$1506,$O315),"")</f>
        <v>Samreen islam</v>
      </c>
      <c r="E315" s="19" t="str">
        <f t="array" ref="E315">IFERROR(IF(INDEX(Sales!$E$7:$E$1506,$O315)="","",INDEX(Sales!$E$7:$E$1506,$O315)),"")</f>
        <v>PAWF-260715-04EAA</v>
      </c>
      <c r="F315" s="19" t="str">
        <f t="array" ref="F315">IFERROR(INDEX(Sales!$F$7:$F$1506,$O315),"")</f>
        <v>FD-DRY-SMHRT-15KG-001</v>
      </c>
      <c r="G315" s="19" t="str">
        <f t="array" ref="G315">IFERROR(INDEX(Sales!$G$7:$G$1506,$O315),"")</f>
        <v>Smart Heart Adult Cat Food Chicken &amp; Tuna [15kg]</v>
      </c>
      <c r="H315" s="96">
        <f t="array" ref="H315">IFERROR(INDEX(Sales!$H$7:$H$1506,$O315),"")</f>
        <v>1</v>
      </c>
      <c r="I315" s="96">
        <f t="array" ref="I315">IFERROR(INDEX(Sales!$I$7:$I$1506,$O315),"")</f>
        <v>6400</v>
      </c>
      <c r="J315" s="96">
        <f t="array" ref="J315">IFERROR(INDEX(Sales!$J$7:$J$1506,$O315),"")</f>
        <v>6700</v>
      </c>
      <c r="K315" s="96">
        <f t="array" ref="K315">IFERROR(INDEX(Sales!$K$7:$K$1506,$O315),"")</f>
        <v>300</v>
      </c>
      <c r="L315" s="96">
        <f t="array" ref="L315">IFERROR(INDEX(Sales!$L$7:$L$1506,$O315),"")</f>
        <v>6400</v>
      </c>
      <c r="M315" s="19" t="str">
        <f t="array" ref="M315">IFERROR(INDEX(Sales!$M$7:$M$1506,$O315),"")</f>
        <v>Paid</v>
      </c>
      <c r="O315" s="111" t="str">
        <f>IFERROR(MATCH(TEXT($B$3,"yyyymm")&amp;"-"&amp;(ROW()-4),Sales!$Y$7:$Y$1506,0),"")</f>
        <v/>
      </c>
    </row>
    <row r="316" ht="14.25" customHeight="1">
      <c r="A316" s="110">
        <f t="array" ref="A316">IFERROR(INDEX(Sales!$A$7:$A$1506,$O316),"")</f>
        <v>46219</v>
      </c>
      <c r="B316" s="19" t="str">
        <f t="array" ref="B316">IFERROR(INDEX(Sales!$B$7:$B$1506,$O316),"")</f>
        <v>Sale</v>
      </c>
      <c r="C316" s="19" t="str">
        <f t="array" ref="C316">IFERROR(INDEX(Sales!$C$7:$C$1506,$O316),"")</f>
        <v>Online</v>
      </c>
      <c r="D316" s="19" t="str">
        <f t="array" ref="D316">IFERROR(INDEX(Sales!$D$7:$D$1506,$O316),"")</f>
        <v>Samreen islam</v>
      </c>
      <c r="E316" s="19" t="str">
        <f t="array" ref="E316">IFERROR(IF(INDEX(Sales!$E$7:$E$1506,$O316)="","",INDEX(Sales!$E$7:$E$1506,$O316)),"")</f>
        <v>PAWF-260715-04EAA</v>
      </c>
      <c r="F316" s="19" t="str">
        <f t="array" ref="F316">IFERROR(INDEX(Sales!$F$7:$F$1506,$O316),"")</f>
        <v>FD-DRY-SMHRT-15KG-001</v>
      </c>
      <c r="G316" s="19" t="str">
        <f t="array" ref="G316">IFERROR(INDEX(Sales!$G$7:$G$1506,$O316),"")</f>
        <v>Smart Heart Adult Cat Food Chicken &amp; Tuna [15kg]</v>
      </c>
      <c r="H316" s="96">
        <f t="array" ref="H316">IFERROR(INDEX(Sales!$H$7:$H$1506,$O316),"")</f>
        <v>1</v>
      </c>
      <c r="I316" s="96">
        <f t="array" ref="I316">IFERROR(INDEX(Sales!$I$7:$I$1506,$O316),"")</f>
        <v>6400</v>
      </c>
      <c r="J316" s="96">
        <f t="array" ref="J316">IFERROR(INDEX(Sales!$J$7:$J$1506,$O316),"")</f>
        <v>6700</v>
      </c>
      <c r="K316" s="96">
        <f t="array" ref="K316">IFERROR(INDEX(Sales!$K$7:$K$1506,$O316),"")</f>
        <v>300</v>
      </c>
      <c r="L316" s="96">
        <f t="array" ref="L316">IFERROR(INDEX(Sales!$L$7:$L$1506,$O316),"")</f>
        <v>6400</v>
      </c>
      <c r="M316" s="19" t="str">
        <f t="array" ref="M316">IFERROR(INDEX(Sales!$M$7:$M$1506,$O316),"")</f>
        <v>Paid</v>
      </c>
      <c r="O316" s="111" t="str">
        <f>IFERROR(MATCH(TEXT($B$3,"yyyymm")&amp;"-"&amp;(ROW()-4),Sales!$Y$7:$Y$1506,0),"")</f>
        <v/>
      </c>
    </row>
    <row r="317" ht="14.25" customHeight="1">
      <c r="A317" s="110">
        <f t="array" ref="A317">IFERROR(INDEX(Sales!$A$7:$A$1506,$O317),"")</f>
        <v>46219</v>
      </c>
      <c r="B317" s="19" t="str">
        <f t="array" ref="B317">IFERROR(INDEX(Sales!$B$7:$B$1506,$O317),"")</f>
        <v>Sale</v>
      </c>
      <c r="C317" s="19" t="str">
        <f t="array" ref="C317">IFERROR(INDEX(Sales!$C$7:$C$1506,$O317),"")</f>
        <v>Online</v>
      </c>
      <c r="D317" s="19" t="str">
        <f t="array" ref="D317">IFERROR(INDEX(Sales!$D$7:$D$1506,$O317),"")</f>
        <v>Samreen islam</v>
      </c>
      <c r="E317" s="19" t="str">
        <f t="array" ref="E317">IFERROR(IF(INDEX(Sales!$E$7:$E$1506,$O317)="","",INDEX(Sales!$E$7:$E$1506,$O317)),"")</f>
        <v>PAWF-260715-04EAA</v>
      </c>
      <c r="F317" s="19" t="str">
        <f t="array" ref="F317">IFERROR(INDEX(Sales!$F$7:$F$1506,$O317),"")</f>
        <v>FD-DRY-SMHRT-15KG-001</v>
      </c>
      <c r="G317" s="19" t="str">
        <f t="array" ref="G317">IFERROR(INDEX(Sales!$G$7:$G$1506,$O317),"")</f>
        <v>Smart Heart Adult Cat Food Chicken &amp; Tuna [15kg]</v>
      </c>
      <c r="H317" s="96">
        <f t="array" ref="H317">IFERROR(INDEX(Sales!$H$7:$H$1506,$O317),"")</f>
        <v>1</v>
      </c>
      <c r="I317" s="96">
        <f t="array" ref="I317">IFERROR(INDEX(Sales!$I$7:$I$1506,$O317),"")</f>
        <v>6400</v>
      </c>
      <c r="J317" s="96">
        <f t="array" ref="J317">IFERROR(INDEX(Sales!$J$7:$J$1506,$O317),"")</f>
        <v>6700</v>
      </c>
      <c r="K317" s="96">
        <f t="array" ref="K317">IFERROR(INDEX(Sales!$K$7:$K$1506,$O317),"")</f>
        <v>300</v>
      </c>
      <c r="L317" s="96">
        <f t="array" ref="L317">IFERROR(INDEX(Sales!$L$7:$L$1506,$O317),"")</f>
        <v>6400</v>
      </c>
      <c r="M317" s="19" t="str">
        <f t="array" ref="M317">IFERROR(INDEX(Sales!$M$7:$M$1506,$O317),"")</f>
        <v>Paid</v>
      </c>
      <c r="O317" s="111" t="str">
        <f>IFERROR(MATCH(TEXT($B$3,"yyyymm")&amp;"-"&amp;(ROW()-4),Sales!$Y$7:$Y$1506,0),"")</f>
        <v/>
      </c>
    </row>
    <row r="318" ht="14.25" customHeight="1">
      <c r="A318" s="110">
        <f t="array" ref="A318">IFERROR(INDEX(Sales!$A$7:$A$1506,$O318),"")</f>
        <v>46219</v>
      </c>
      <c r="B318" s="19" t="str">
        <f t="array" ref="B318">IFERROR(INDEX(Sales!$B$7:$B$1506,$O318),"")</f>
        <v>Sale</v>
      </c>
      <c r="C318" s="19" t="str">
        <f t="array" ref="C318">IFERROR(INDEX(Sales!$C$7:$C$1506,$O318),"")</f>
        <v>Online</v>
      </c>
      <c r="D318" s="19" t="str">
        <f t="array" ref="D318">IFERROR(INDEX(Sales!$D$7:$D$1506,$O318),"")</f>
        <v>Samreen islam</v>
      </c>
      <c r="E318" s="19" t="str">
        <f t="array" ref="E318">IFERROR(IF(INDEX(Sales!$E$7:$E$1506,$O318)="","",INDEX(Sales!$E$7:$E$1506,$O318)),"")</f>
        <v>PAWF-260715-04EAA</v>
      </c>
      <c r="F318" s="19" t="str">
        <f t="array" ref="F318">IFERROR(INDEX(Sales!$F$7:$F$1506,$O318),"")</f>
        <v>FD-DRY-SMHRT-15KG-001</v>
      </c>
      <c r="G318" s="19" t="str">
        <f t="array" ref="G318">IFERROR(INDEX(Sales!$G$7:$G$1506,$O318),"")</f>
        <v>Smart Heart Adult Cat Food Chicken &amp; Tuna [15kg]</v>
      </c>
      <c r="H318" s="96">
        <f t="array" ref="H318">IFERROR(INDEX(Sales!$H$7:$H$1506,$O318),"")</f>
        <v>1</v>
      </c>
      <c r="I318" s="96">
        <f t="array" ref="I318">IFERROR(INDEX(Sales!$I$7:$I$1506,$O318),"")</f>
        <v>6400</v>
      </c>
      <c r="J318" s="96">
        <f t="array" ref="J318">IFERROR(INDEX(Sales!$J$7:$J$1506,$O318),"")</f>
        <v>6700</v>
      </c>
      <c r="K318" s="96">
        <f t="array" ref="K318">IFERROR(INDEX(Sales!$K$7:$K$1506,$O318),"")</f>
        <v>300</v>
      </c>
      <c r="L318" s="96">
        <f t="array" ref="L318">IFERROR(INDEX(Sales!$L$7:$L$1506,$O318),"")</f>
        <v>6400</v>
      </c>
      <c r="M318" s="19" t="str">
        <f t="array" ref="M318">IFERROR(INDEX(Sales!$M$7:$M$1506,$O318),"")</f>
        <v>Paid</v>
      </c>
      <c r="O318" s="111" t="str">
        <f>IFERROR(MATCH(TEXT($B$3,"yyyymm")&amp;"-"&amp;(ROW()-4),Sales!$Y$7:$Y$1506,0),"")</f>
        <v/>
      </c>
    </row>
    <row r="319" ht="14.25" customHeight="1">
      <c r="A319" s="110">
        <f t="array" ref="A319">IFERROR(INDEX(Sales!$A$7:$A$1506,$O319),"")</f>
        <v>46219</v>
      </c>
      <c r="B319" s="19" t="str">
        <f t="array" ref="B319">IFERROR(INDEX(Sales!$B$7:$B$1506,$O319),"")</f>
        <v>Sale</v>
      </c>
      <c r="C319" s="19" t="str">
        <f t="array" ref="C319">IFERROR(INDEX(Sales!$C$7:$C$1506,$O319),"")</f>
        <v>Online</v>
      </c>
      <c r="D319" s="19" t="str">
        <f t="array" ref="D319">IFERROR(INDEX(Sales!$D$7:$D$1506,$O319),"")</f>
        <v>Samreen islam</v>
      </c>
      <c r="E319" s="19" t="str">
        <f t="array" ref="E319">IFERROR(IF(INDEX(Sales!$E$7:$E$1506,$O319)="","",INDEX(Sales!$E$7:$E$1506,$O319)),"")</f>
        <v>PAWF-260715-04EAA</v>
      </c>
      <c r="F319" s="19" t="str">
        <f t="array" ref="F319">IFERROR(INDEX(Sales!$F$7:$F$1506,$O319),"")</f>
        <v>FD-DRY-SMHRT-15KG-001</v>
      </c>
      <c r="G319" s="19" t="str">
        <f t="array" ref="G319">IFERROR(INDEX(Sales!$G$7:$G$1506,$O319),"")</f>
        <v>Smart Heart Adult Cat Food Chicken &amp; Tuna [15kg]</v>
      </c>
      <c r="H319" s="96">
        <f t="array" ref="H319">IFERROR(INDEX(Sales!$H$7:$H$1506,$O319),"")</f>
        <v>1</v>
      </c>
      <c r="I319" s="96">
        <f t="array" ref="I319">IFERROR(INDEX(Sales!$I$7:$I$1506,$O319),"")</f>
        <v>6400</v>
      </c>
      <c r="J319" s="96">
        <f t="array" ref="J319">IFERROR(INDEX(Sales!$J$7:$J$1506,$O319),"")</f>
        <v>6700</v>
      </c>
      <c r="K319" s="96">
        <f t="array" ref="K319">IFERROR(INDEX(Sales!$K$7:$K$1506,$O319),"")</f>
        <v>300</v>
      </c>
      <c r="L319" s="96">
        <f t="array" ref="L319">IFERROR(INDEX(Sales!$L$7:$L$1506,$O319),"")</f>
        <v>6400</v>
      </c>
      <c r="M319" s="19" t="str">
        <f t="array" ref="M319">IFERROR(INDEX(Sales!$M$7:$M$1506,$O319),"")</f>
        <v>Paid</v>
      </c>
      <c r="O319" s="111" t="str">
        <f>IFERROR(MATCH(TEXT($B$3,"yyyymm")&amp;"-"&amp;(ROW()-4),Sales!$Y$7:$Y$1506,0),"")</f>
        <v/>
      </c>
    </row>
    <row r="320" ht="14.25" customHeight="1">
      <c r="A320" s="110">
        <f t="array" ref="A320">IFERROR(INDEX(Sales!$A$7:$A$1506,$O320),"")</f>
        <v>46219</v>
      </c>
      <c r="B320" s="19" t="str">
        <f t="array" ref="B320">IFERROR(INDEX(Sales!$B$7:$B$1506,$O320),"")</f>
        <v>Sale</v>
      </c>
      <c r="C320" s="19" t="str">
        <f t="array" ref="C320">IFERROR(INDEX(Sales!$C$7:$C$1506,$O320),"")</f>
        <v>Online</v>
      </c>
      <c r="D320" s="19" t="str">
        <f t="array" ref="D320">IFERROR(INDEX(Sales!$D$7:$D$1506,$O320),"")</f>
        <v>Samreen islam</v>
      </c>
      <c r="E320" s="19" t="str">
        <f t="array" ref="E320">IFERROR(IF(INDEX(Sales!$E$7:$E$1506,$O320)="","",INDEX(Sales!$E$7:$E$1506,$O320)),"")</f>
        <v>PAWF-260715-04EAA</v>
      </c>
      <c r="F320" s="19" t="str">
        <f t="array" ref="F320">IFERROR(INDEX(Sales!$F$7:$F$1506,$O320),"")</f>
        <v>FD-DRY-SMHRT-15KG-001</v>
      </c>
      <c r="G320" s="19" t="str">
        <f t="array" ref="G320">IFERROR(INDEX(Sales!$G$7:$G$1506,$O320),"")</f>
        <v>Smart Heart Adult Cat Food Chicken &amp; Tuna [15kg]</v>
      </c>
      <c r="H320" s="96">
        <f t="array" ref="H320">IFERROR(INDEX(Sales!$H$7:$H$1506,$O320),"")</f>
        <v>1</v>
      </c>
      <c r="I320" s="96">
        <f t="array" ref="I320">IFERROR(INDEX(Sales!$I$7:$I$1506,$O320),"")</f>
        <v>6400</v>
      </c>
      <c r="J320" s="96">
        <f t="array" ref="J320">IFERROR(INDEX(Sales!$J$7:$J$1506,$O320),"")</f>
        <v>6700</v>
      </c>
      <c r="K320" s="96">
        <f t="array" ref="K320">IFERROR(INDEX(Sales!$K$7:$K$1506,$O320),"")</f>
        <v>300</v>
      </c>
      <c r="L320" s="96">
        <f t="array" ref="L320">IFERROR(INDEX(Sales!$L$7:$L$1506,$O320),"")</f>
        <v>6400</v>
      </c>
      <c r="M320" s="19" t="str">
        <f t="array" ref="M320">IFERROR(INDEX(Sales!$M$7:$M$1506,$O320),"")</f>
        <v>Paid</v>
      </c>
      <c r="O320" s="111" t="str">
        <f>IFERROR(MATCH(TEXT($B$3,"yyyymm")&amp;"-"&amp;(ROW()-4),Sales!$Y$7:$Y$1506,0),"")</f>
        <v/>
      </c>
    </row>
    <row r="321" ht="14.25" customHeight="1">
      <c r="A321" s="110">
        <f t="array" ref="A321">IFERROR(INDEX(Sales!$A$7:$A$1506,$O321),"")</f>
        <v>46219</v>
      </c>
      <c r="B321" s="19" t="str">
        <f t="array" ref="B321">IFERROR(INDEX(Sales!$B$7:$B$1506,$O321),"")</f>
        <v>Sale</v>
      </c>
      <c r="C321" s="19" t="str">
        <f t="array" ref="C321">IFERROR(INDEX(Sales!$C$7:$C$1506,$O321),"")</f>
        <v>Online</v>
      </c>
      <c r="D321" s="19" t="str">
        <f t="array" ref="D321">IFERROR(INDEX(Sales!$D$7:$D$1506,$O321),"")</f>
        <v>Samreen islam</v>
      </c>
      <c r="E321" s="19" t="str">
        <f t="array" ref="E321">IFERROR(IF(INDEX(Sales!$E$7:$E$1506,$O321)="","",INDEX(Sales!$E$7:$E$1506,$O321)),"")</f>
        <v>PAWF-260715-04EAA</v>
      </c>
      <c r="F321" s="19" t="str">
        <f t="array" ref="F321">IFERROR(INDEX(Sales!$F$7:$F$1506,$O321),"")</f>
        <v>FD-DRY-SMHRT-15KG-001</v>
      </c>
      <c r="G321" s="19" t="str">
        <f t="array" ref="G321">IFERROR(INDEX(Sales!$G$7:$G$1506,$O321),"")</f>
        <v>Smart Heart Adult Cat Food Chicken &amp; Tuna [15kg]</v>
      </c>
      <c r="H321" s="96">
        <f t="array" ref="H321">IFERROR(INDEX(Sales!$H$7:$H$1506,$O321),"")</f>
        <v>1</v>
      </c>
      <c r="I321" s="96">
        <f t="array" ref="I321">IFERROR(INDEX(Sales!$I$7:$I$1506,$O321),"")</f>
        <v>6400</v>
      </c>
      <c r="J321" s="96">
        <f t="array" ref="J321">IFERROR(INDEX(Sales!$J$7:$J$1506,$O321),"")</f>
        <v>6700</v>
      </c>
      <c r="K321" s="96">
        <f t="array" ref="K321">IFERROR(INDEX(Sales!$K$7:$K$1506,$O321),"")</f>
        <v>300</v>
      </c>
      <c r="L321" s="96">
        <f t="array" ref="L321">IFERROR(INDEX(Sales!$L$7:$L$1506,$O321),"")</f>
        <v>6400</v>
      </c>
      <c r="M321" s="19" t="str">
        <f t="array" ref="M321">IFERROR(INDEX(Sales!$M$7:$M$1506,$O321),"")</f>
        <v>Paid</v>
      </c>
      <c r="O321" s="111" t="str">
        <f>IFERROR(MATCH(TEXT($B$3,"yyyymm")&amp;"-"&amp;(ROW()-4),Sales!$Y$7:$Y$1506,0),"")</f>
        <v/>
      </c>
    </row>
    <row r="322" ht="14.25" customHeight="1">
      <c r="A322" s="110">
        <f t="array" ref="A322">IFERROR(INDEX(Sales!$A$7:$A$1506,$O322),"")</f>
        <v>46219</v>
      </c>
      <c r="B322" s="19" t="str">
        <f t="array" ref="B322">IFERROR(INDEX(Sales!$B$7:$B$1506,$O322),"")</f>
        <v>Sale</v>
      </c>
      <c r="C322" s="19" t="str">
        <f t="array" ref="C322">IFERROR(INDEX(Sales!$C$7:$C$1506,$O322),"")</f>
        <v>Online</v>
      </c>
      <c r="D322" s="19" t="str">
        <f t="array" ref="D322">IFERROR(INDEX(Sales!$D$7:$D$1506,$O322),"")</f>
        <v>Samreen islam</v>
      </c>
      <c r="E322" s="19" t="str">
        <f t="array" ref="E322">IFERROR(IF(INDEX(Sales!$E$7:$E$1506,$O322)="","",INDEX(Sales!$E$7:$E$1506,$O322)),"")</f>
        <v>PAWF-260715-04EAA</v>
      </c>
      <c r="F322" s="19" t="str">
        <f t="array" ref="F322">IFERROR(INDEX(Sales!$F$7:$F$1506,$O322),"")</f>
        <v>FD-DRY-SMHRT-15KG-001</v>
      </c>
      <c r="G322" s="19" t="str">
        <f t="array" ref="G322">IFERROR(INDEX(Sales!$G$7:$G$1506,$O322),"")</f>
        <v>Smart Heart Adult Cat Food Chicken &amp; Tuna [15kg]</v>
      </c>
      <c r="H322" s="96">
        <f t="array" ref="H322">IFERROR(INDEX(Sales!$H$7:$H$1506,$O322),"")</f>
        <v>1</v>
      </c>
      <c r="I322" s="96">
        <f t="array" ref="I322">IFERROR(INDEX(Sales!$I$7:$I$1506,$O322),"")</f>
        <v>6400</v>
      </c>
      <c r="J322" s="96">
        <f t="array" ref="J322">IFERROR(INDEX(Sales!$J$7:$J$1506,$O322),"")</f>
        <v>6700</v>
      </c>
      <c r="K322" s="96">
        <f t="array" ref="K322">IFERROR(INDEX(Sales!$K$7:$K$1506,$O322),"")</f>
        <v>300</v>
      </c>
      <c r="L322" s="96">
        <f t="array" ref="L322">IFERROR(INDEX(Sales!$L$7:$L$1506,$O322),"")</f>
        <v>6400</v>
      </c>
      <c r="M322" s="19" t="str">
        <f t="array" ref="M322">IFERROR(INDEX(Sales!$M$7:$M$1506,$O322),"")</f>
        <v>Paid</v>
      </c>
      <c r="O322" s="111" t="str">
        <f>IFERROR(MATCH(TEXT($B$3,"yyyymm")&amp;"-"&amp;(ROW()-4),Sales!$Y$7:$Y$1506,0),"")</f>
        <v/>
      </c>
    </row>
    <row r="323" ht="14.25" customHeight="1">
      <c r="A323" s="110">
        <f t="array" ref="A323">IFERROR(INDEX(Sales!$A$7:$A$1506,$O323),"")</f>
        <v>46219</v>
      </c>
      <c r="B323" s="19" t="str">
        <f t="array" ref="B323">IFERROR(INDEX(Sales!$B$7:$B$1506,$O323),"")</f>
        <v>Sale</v>
      </c>
      <c r="C323" s="19" t="str">
        <f t="array" ref="C323">IFERROR(INDEX(Sales!$C$7:$C$1506,$O323),"")</f>
        <v>Online</v>
      </c>
      <c r="D323" s="19" t="str">
        <f t="array" ref="D323">IFERROR(INDEX(Sales!$D$7:$D$1506,$O323),"")</f>
        <v>Samreen islam</v>
      </c>
      <c r="E323" s="19" t="str">
        <f t="array" ref="E323">IFERROR(IF(INDEX(Sales!$E$7:$E$1506,$O323)="","",INDEX(Sales!$E$7:$E$1506,$O323)),"")</f>
        <v>PAWF-260715-04EAA</v>
      </c>
      <c r="F323" s="19" t="str">
        <f t="array" ref="F323">IFERROR(INDEX(Sales!$F$7:$F$1506,$O323),"")</f>
        <v>FD-DRY-SMHRT-15KG-001</v>
      </c>
      <c r="G323" s="19" t="str">
        <f t="array" ref="G323">IFERROR(INDEX(Sales!$G$7:$G$1506,$O323),"")</f>
        <v>Smart Heart Adult Cat Food Chicken &amp; Tuna [15kg]</v>
      </c>
      <c r="H323" s="96">
        <f t="array" ref="H323">IFERROR(INDEX(Sales!$H$7:$H$1506,$O323),"")</f>
        <v>1</v>
      </c>
      <c r="I323" s="96">
        <f t="array" ref="I323">IFERROR(INDEX(Sales!$I$7:$I$1506,$O323),"")</f>
        <v>6400</v>
      </c>
      <c r="J323" s="96">
        <f t="array" ref="J323">IFERROR(INDEX(Sales!$J$7:$J$1506,$O323),"")</f>
        <v>6700</v>
      </c>
      <c r="K323" s="96">
        <f t="array" ref="K323">IFERROR(INDEX(Sales!$K$7:$K$1506,$O323),"")</f>
        <v>300</v>
      </c>
      <c r="L323" s="96">
        <f t="array" ref="L323">IFERROR(INDEX(Sales!$L$7:$L$1506,$O323),"")</f>
        <v>6400</v>
      </c>
      <c r="M323" s="19" t="str">
        <f t="array" ref="M323">IFERROR(INDEX(Sales!$M$7:$M$1506,$O323),"")</f>
        <v>Paid</v>
      </c>
      <c r="O323" s="111" t="str">
        <f>IFERROR(MATCH(TEXT($B$3,"yyyymm")&amp;"-"&amp;(ROW()-4),Sales!$Y$7:$Y$1506,0),"")</f>
        <v/>
      </c>
    </row>
    <row r="324" ht="14.25" customHeight="1">
      <c r="A324" s="110">
        <f t="array" ref="A324">IFERROR(INDEX(Sales!$A$7:$A$1506,$O324),"")</f>
        <v>46219</v>
      </c>
      <c r="B324" s="19" t="str">
        <f t="array" ref="B324">IFERROR(INDEX(Sales!$B$7:$B$1506,$O324),"")</f>
        <v>Sale</v>
      </c>
      <c r="C324" s="19" t="str">
        <f t="array" ref="C324">IFERROR(INDEX(Sales!$C$7:$C$1506,$O324),"")</f>
        <v>Online</v>
      </c>
      <c r="D324" s="19" t="str">
        <f t="array" ref="D324">IFERROR(INDEX(Sales!$D$7:$D$1506,$O324),"")</f>
        <v>Samreen islam</v>
      </c>
      <c r="E324" s="19" t="str">
        <f t="array" ref="E324">IFERROR(IF(INDEX(Sales!$E$7:$E$1506,$O324)="","",INDEX(Sales!$E$7:$E$1506,$O324)),"")</f>
        <v>PAWF-260715-04EAA</v>
      </c>
      <c r="F324" s="19" t="str">
        <f t="array" ref="F324">IFERROR(INDEX(Sales!$F$7:$F$1506,$O324),"")</f>
        <v>FD-DRY-SMHRT-15KG-001</v>
      </c>
      <c r="G324" s="19" t="str">
        <f t="array" ref="G324">IFERROR(INDEX(Sales!$G$7:$G$1506,$O324),"")</f>
        <v>Smart Heart Adult Cat Food Chicken &amp; Tuna [15kg]</v>
      </c>
      <c r="H324" s="96">
        <f t="array" ref="H324">IFERROR(INDEX(Sales!$H$7:$H$1506,$O324),"")</f>
        <v>1</v>
      </c>
      <c r="I324" s="96">
        <f t="array" ref="I324">IFERROR(INDEX(Sales!$I$7:$I$1506,$O324),"")</f>
        <v>6400</v>
      </c>
      <c r="J324" s="96">
        <f t="array" ref="J324">IFERROR(INDEX(Sales!$J$7:$J$1506,$O324),"")</f>
        <v>6700</v>
      </c>
      <c r="K324" s="96">
        <f t="array" ref="K324">IFERROR(INDEX(Sales!$K$7:$K$1506,$O324),"")</f>
        <v>300</v>
      </c>
      <c r="L324" s="96">
        <f t="array" ref="L324">IFERROR(INDEX(Sales!$L$7:$L$1506,$O324),"")</f>
        <v>6400</v>
      </c>
      <c r="M324" s="19" t="str">
        <f t="array" ref="M324">IFERROR(INDEX(Sales!$M$7:$M$1506,$O324),"")</f>
        <v>Paid</v>
      </c>
      <c r="O324" s="111" t="str">
        <f>IFERROR(MATCH(TEXT($B$3,"yyyymm")&amp;"-"&amp;(ROW()-4),Sales!$Y$7:$Y$1506,0),"")</f>
        <v/>
      </c>
    </row>
    <row r="325" ht="14.25" customHeight="1">
      <c r="A325" s="110">
        <f t="array" ref="A325">IFERROR(INDEX(Sales!$A$7:$A$1506,$O325),"")</f>
        <v>46219</v>
      </c>
      <c r="B325" s="19" t="str">
        <f t="array" ref="B325">IFERROR(INDEX(Sales!$B$7:$B$1506,$O325),"")</f>
        <v>Sale</v>
      </c>
      <c r="C325" s="19" t="str">
        <f t="array" ref="C325">IFERROR(INDEX(Sales!$C$7:$C$1506,$O325),"")</f>
        <v>Online</v>
      </c>
      <c r="D325" s="19" t="str">
        <f t="array" ref="D325">IFERROR(INDEX(Sales!$D$7:$D$1506,$O325),"")</f>
        <v>Samreen islam</v>
      </c>
      <c r="E325" s="19" t="str">
        <f t="array" ref="E325">IFERROR(IF(INDEX(Sales!$E$7:$E$1506,$O325)="","",INDEX(Sales!$E$7:$E$1506,$O325)),"")</f>
        <v>PAWF-260715-04EAA</v>
      </c>
      <c r="F325" s="19" t="str">
        <f t="array" ref="F325">IFERROR(INDEX(Sales!$F$7:$F$1506,$O325),"")</f>
        <v>FD-DRY-SMHRT-15KG-001</v>
      </c>
      <c r="G325" s="19" t="str">
        <f t="array" ref="G325">IFERROR(INDEX(Sales!$G$7:$G$1506,$O325),"")</f>
        <v>Smart Heart Adult Cat Food Chicken &amp; Tuna [15kg]</v>
      </c>
      <c r="H325" s="96">
        <f t="array" ref="H325">IFERROR(INDEX(Sales!$H$7:$H$1506,$O325),"")</f>
        <v>1</v>
      </c>
      <c r="I325" s="96">
        <f t="array" ref="I325">IFERROR(INDEX(Sales!$I$7:$I$1506,$O325),"")</f>
        <v>6400</v>
      </c>
      <c r="J325" s="96">
        <f t="array" ref="J325">IFERROR(INDEX(Sales!$J$7:$J$1506,$O325),"")</f>
        <v>6700</v>
      </c>
      <c r="K325" s="96">
        <f t="array" ref="K325">IFERROR(INDEX(Sales!$K$7:$K$1506,$O325),"")</f>
        <v>300</v>
      </c>
      <c r="L325" s="96">
        <f t="array" ref="L325">IFERROR(INDEX(Sales!$L$7:$L$1506,$O325),"")</f>
        <v>6400</v>
      </c>
      <c r="M325" s="19" t="str">
        <f t="array" ref="M325">IFERROR(INDEX(Sales!$M$7:$M$1506,$O325),"")</f>
        <v>Paid</v>
      </c>
      <c r="O325" s="111" t="str">
        <f>IFERROR(MATCH(TEXT($B$3,"yyyymm")&amp;"-"&amp;(ROW()-4),Sales!$Y$7:$Y$1506,0),"")</f>
        <v/>
      </c>
    </row>
    <row r="326" ht="14.25" customHeight="1">
      <c r="A326" s="110">
        <f t="array" ref="A326">IFERROR(INDEX(Sales!$A$7:$A$1506,$O326),"")</f>
        <v>46219</v>
      </c>
      <c r="B326" s="19" t="str">
        <f t="array" ref="B326">IFERROR(INDEX(Sales!$B$7:$B$1506,$O326),"")</f>
        <v>Sale</v>
      </c>
      <c r="C326" s="19" t="str">
        <f t="array" ref="C326">IFERROR(INDEX(Sales!$C$7:$C$1506,$O326),"")</f>
        <v>Online</v>
      </c>
      <c r="D326" s="19" t="str">
        <f t="array" ref="D326">IFERROR(INDEX(Sales!$D$7:$D$1506,$O326),"")</f>
        <v>Samreen islam</v>
      </c>
      <c r="E326" s="19" t="str">
        <f t="array" ref="E326">IFERROR(IF(INDEX(Sales!$E$7:$E$1506,$O326)="","",INDEX(Sales!$E$7:$E$1506,$O326)),"")</f>
        <v>PAWF-260715-04EAA</v>
      </c>
      <c r="F326" s="19" t="str">
        <f t="array" ref="F326">IFERROR(INDEX(Sales!$F$7:$F$1506,$O326),"")</f>
        <v>FD-DRY-SMHRT-15KG-001</v>
      </c>
      <c r="G326" s="19" t="str">
        <f t="array" ref="G326">IFERROR(INDEX(Sales!$G$7:$G$1506,$O326),"")</f>
        <v>Smart Heart Adult Cat Food Chicken &amp; Tuna [15kg]</v>
      </c>
      <c r="H326" s="96">
        <f t="array" ref="H326">IFERROR(INDEX(Sales!$H$7:$H$1506,$O326),"")</f>
        <v>1</v>
      </c>
      <c r="I326" s="96">
        <f t="array" ref="I326">IFERROR(INDEX(Sales!$I$7:$I$1506,$O326),"")</f>
        <v>6400</v>
      </c>
      <c r="J326" s="96">
        <f t="array" ref="J326">IFERROR(INDEX(Sales!$J$7:$J$1506,$O326),"")</f>
        <v>6700</v>
      </c>
      <c r="K326" s="96">
        <f t="array" ref="K326">IFERROR(INDEX(Sales!$K$7:$K$1506,$O326),"")</f>
        <v>300</v>
      </c>
      <c r="L326" s="96">
        <f t="array" ref="L326">IFERROR(INDEX(Sales!$L$7:$L$1506,$O326),"")</f>
        <v>6400</v>
      </c>
      <c r="M326" s="19" t="str">
        <f t="array" ref="M326">IFERROR(INDEX(Sales!$M$7:$M$1506,$O326),"")</f>
        <v>Paid</v>
      </c>
      <c r="O326" s="111" t="str">
        <f>IFERROR(MATCH(TEXT($B$3,"yyyymm")&amp;"-"&amp;(ROW()-4),Sales!$Y$7:$Y$1506,0),"")</f>
        <v/>
      </c>
    </row>
    <row r="327" ht="14.25" customHeight="1">
      <c r="A327" s="110">
        <f t="array" ref="A327">IFERROR(INDEX(Sales!$A$7:$A$1506,$O327),"")</f>
        <v>46219</v>
      </c>
      <c r="B327" s="19" t="str">
        <f t="array" ref="B327">IFERROR(INDEX(Sales!$B$7:$B$1506,$O327),"")</f>
        <v>Sale</v>
      </c>
      <c r="C327" s="19" t="str">
        <f t="array" ref="C327">IFERROR(INDEX(Sales!$C$7:$C$1506,$O327),"")</f>
        <v>Online</v>
      </c>
      <c r="D327" s="19" t="str">
        <f t="array" ref="D327">IFERROR(INDEX(Sales!$D$7:$D$1506,$O327),"")</f>
        <v>Samreen islam</v>
      </c>
      <c r="E327" s="19" t="str">
        <f t="array" ref="E327">IFERROR(IF(INDEX(Sales!$E$7:$E$1506,$O327)="","",INDEX(Sales!$E$7:$E$1506,$O327)),"")</f>
        <v>PAWF-260715-04EAA</v>
      </c>
      <c r="F327" s="19" t="str">
        <f t="array" ref="F327">IFERROR(INDEX(Sales!$F$7:$F$1506,$O327),"")</f>
        <v>FD-DRY-SMHRT-15KG-001</v>
      </c>
      <c r="G327" s="19" t="str">
        <f t="array" ref="G327">IFERROR(INDEX(Sales!$G$7:$G$1506,$O327),"")</f>
        <v>Smart Heart Adult Cat Food Chicken &amp; Tuna [15kg]</v>
      </c>
      <c r="H327" s="96">
        <f t="array" ref="H327">IFERROR(INDEX(Sales!$H$7:$H$1506,$O327),"")</f>
        <v>1</v>
      </c>
      <c r="I327" s="96">
        <f t="array" ref="I327">IFERROR(INDEX(Sales!$I$7:$I$1506,$O327),"")</f>
        <v>6400</v>
      </c>
      <c r="J327" s="96">
        <f t="array" ref="J327">IFERROR(INDEX(Sales!$J$7:$J$1506,$O327),"")</f>
        <v>6700</v>
      </c>
      <c r="K327" s="96">
        <f t="array" ref="K327">IFERROR(INDEX(Sales!$K$7:$K$1506,$O327),"")</f>
        <v>300</v>
      </c>
      <c r="L327" s="96">
        <f t="array" ref="L327">IFERROR(INDEX(Sales!$L$7:$L$1506,$O327),"")</f>
        <v>6400</v>
      </c>
      <c r="M327" s="19" t="str">
        <f t="array" ref="M327">IFERROR(INDEX(Sales!$M$7:$M$1506,$O327),"")</f>
        <v>Paid</v>
      </c>
      <c r="O327" s="111" t="str">
        <f>IFERROR(MATCH(TEXT($B$3,"yyyymm")&amp;"-"&amp;(ROW()-4),Sales!$Y$7:$Y$1506,0),"")</f>
        <v/>
      </c>
    </row>
    <row r="328" ht="14.25" customHeight="1">
      <c r="A328" s="110">
        <f t="array" ref="A328">IFERROR(INDEX(Sales!$A$7:$A$1506,$O328),"")</f>
        <v>46219</v>
      </c>
      <c r="B328" s="19" t="str">
        <f t="array" ref="B328">IFERROR(INDEX(Sales!$B$7:$B$1506,$O328),"")</f>
        <v>Sale</v>
      </c>
      <c r="C328" s="19" t="str">
        <f t="array" ref="C328">IFERROR(INDEX(Sales!$C$7:$C$1506,$O328),"")</f>
        <v>Online</v>
      </c>
      <c r="D328" s="19" t="str">
        <f t="array" ref="D328">IFERROR(INDEX(Sales!$D$7:$D$1506,$O328),"")</f>
        <v>Samreen islam</v>
      </c>
      <c r="E328" s="19" t="str">
        <f t="array" ref="E328">IFERROR(IF(INDEX(Sales!$E$7:$E$1506,$O328)="","",INDEX(Sales!$E$7:$E$1506,$O328)),"")</f>
        <v>PAWF-260715-04EAA</v>
      </c>
      <c r="F328" s="19" t="str">
        <f t="array" ref="F328">IFERROR(INDEX(Sales!$F$7:$F$1506,$O328),"")</f>
        <v>FD-DRY-SMHRT-15KG-001</v>
      </c>
      <c r="G328" s="19" t="str">
        <f t="array" ref="G328">IFERROR(INDEX(Sales!$G$7:$G$1506,$O328),"")</f>
        <v>Smart Heart Adult Cat Food Chicken &amp; Tuna [15kg]</v>
      </c>
      <c r="H328" s="96">
        <f t="array" ref="H328">IFERROR(INDEX(Sales!$H$7:$H$1506,$O328),"")</f>
        <v>1</v>
      </c>
      <c r="I328" s="96">
        <f t="array" ref="I328">IFERROR(INDEX(Sales!$I$7:$I$1506,$O328),"")</f>
        <v>6400</v>
      </c>
      <c r="J328" s="96">
        <f t="array" ref="J328">IFERROR(INDEX(Sales!$J$7:$J$1506,$O328),"")</f>
        <v>6700</v>
      </c>
      <c r="K328" s="96">
        <f t="array" ref="K328">IFERROR(INDEX(Sales!$K$7:$K$1506,$O328),"")</f>
        <v>300</v>
      </c>
      <c r="L328" s="96">
        <f t="array" ref="L328">IFERROR(INDEX(Sales!$L$7:$L$1506,$O328),"")</f>
        <v>6400</v>
      </c>
      <c r="M328" s="19" t="str">
        <f t="array" ref="M328">IFERROR(INDEX(Sales!$M$7:$M$1506,$O328),"")</f>
        <v>Paid</v>
      </c>
      <c r="O328" s="111" t="str">
        <f>IFERROR(MATCH(TEXT($B$3,"yyyymm")&amp;"-"&amp;(ROW()-4),Sales!$Y$7:$Y$1506,0),"")</f>
        <v/>
      </c>
    </row>
    <row r="329" ht="14.25" customHeight="1">
      <c r="A329" s="110">
        <f t="array" ref="A329">IFERROR(INDEX(Sales!$A$7:$A$1506,$O329),"")</f>
        <v>46219</v>
      </c>
      <c r="B329" s="19" t="str">
        <f t="array" ref="B329">IFERROR(INDEX(Sales!$B$7:$B$1506,$O329),"")</f>
        <v>Sale</v>
      </c>
      <c r="C329" s="19" t="str">
        <f t="array" ref="C329">IFERROR(INDEX(Sales!$C$7:$C$1506,$O329),"")</f>
        <v>Online</v>
      </c>
      <c r="D329" s="19" t="str">
        <f t="array" ref="D329">IFERROR(INDEX(Sales!$D$7:$D$1506,$O329),"")</f>
        <v>Samreen islam</v>
      </c>
      <c r="E329" s="19" t="str">
        <f t="array" ref="E329">IFERROR(IF(INDEX(Sales!$E$7:$E$1506,$O329)="","",INDEX(Sales!$E$7:$E$1506,$O329)),"")</f>
        <v>PAWF-260715-04EAA</v>
      </c>
      <c r="F329" s="19" t="str">
        <f t="array" ref="F329">IFERROR(INDEX(Sales!$F$7:$F$1506,$O329),"")</f>
        <v>FD-DRY-SMHRT-15KG-001</v>
      </c>
      <c r="G329" s="19" t="str">
        <f t="array" ref="G329">IFERROR(INDEX(Sales!$G$7:$G$1506,$O329),"")</f>
        <v>Smart Heart Adult Cat Food Chicken &amp; Tuna [15kg]</v>
      </c>
      <c r="H329" s="96">
        <f t="array" ref="H329">IFERROR(INDEX(Sales!$H$7:$H$1506,$O329),"")</f>
        <v>1</v>
      </c>
      <c r="I329" s="96">
        <f t="array" ref="I329">IFERROR(INDEX(Sales!$I$7:$I$1506,$O329),"")</f>
        <v>6400</v>
      </c>
      <c r="J329" s="96">
        <f t="array" ref="J329">IFERROR(INDEX(Sales!$J$7:$J$1506,$O329),"")</f>
        <v>6700</v>
      </c>
      <c r="K329" s="96">
        <f t="array" ref="K329">IFERROR(INDEX(Sales!$K$7:$K$1506,$O329),"")</f>
        <v>300</v>
      </c>
      <c r="L329" s="96">
        <f t="array" ref="L329">IFERROR(INDEX(Sales!$L$7:$L$1506,$O329),"")</f>
        <v>6400</v>
      </c>
      <c r="M329" s="19" t="str">
        <f t="array" ref="M329">IFERROR(INDEX(Sales!$M$7:$M$1506,$O329),"")</f>
        <v>Paid</v>
      </c>
      <c r="O329" s="111" t="str">
        <f>IFERROR(MATCH(TEXT($B$3,"yyyymm")&amp;"-"&amp;(ROW()-4),Sales!$Y$7:$Y$1506,0),"")</f>
        <v/>
      </c>
    </row>
    <row r="330" ht="14.25" customHeight="1">
      <c r="A330" s="110">
        <f t="array" ref="A330">IFERROR(INDEX(Sales!$A$7:$A$1506,$O330),"")</f>
        <v>46219</v>
      </c>
      <c r="B330" s="19" t="str">
        <f t="array" ref="B330">IFERROR(INDEX(Sales!$B$7:$B$1506,$O330),"")</f>
        <v>Sale</v>
      </c>
      <c r="C330" s="19" t="str">
        <f t="array" ref="C330">IFERROR(INDEX(Sales!$C$7:$C$1506,$O330),"")</f>
        <v>Online</v>
      </c>
      <c r="D330" s="19" t="str">
        <f t="array" ref="D330">IFERROR(INDEX(Sales!$D$7:$D$1506,$O330),"")</f>
        <v>Samreen islam</v>
      </c>
      <c r="E330" s="19" t="str">
        <f t="array" ref="E330">IFERROR(IF(INDEX(Sales!$E$7:$E$1506,$O330)="","",INDEX(Sales!$E$7:$E$1506,$O330)),"")</f>
        <v>PAWF-260715-04EAA</v>
      </c>
      <c r="F330" s="19" t="str">
        <f t="array" ref="F330">IFERROR(INDEX(Sales!$F$7:$F$1506,$O330),"")</f>
        <v>FD-DRY-SMHRT-15KG-001</v>
      </c>
      <c r="G330" s="19" t="str">
        <f t="array" ref="G330">IFERROR(INDEX(Sales!$G$7:$G$1506,$O330),"")</f>
        <v>Smart Heart Adult Cat Food Chicken &amp; Tuna [15kg]</v>
      </c>
      <c r="H330" s="96">
        <f t="array" ref="H330">IFERROR(INDEX(Sales!$H$7:$H$1506,$O330),"")</f>
        <v>1</v>
      </c>
      <c r="I330" s="96">
        <f t="array" ref="I330">IFERROR(INDEX(Sales!$I$7:$I$1506,$O330),"")</f>
        <v>6400</v>
      </c>
      <c r="J330" s="96">
        <f t="array" ref="J330">IFERROR(INDEX(Sales!$J$7:$J$1506,$O330),"")</f>
        <v>6700</v>
      </c>
      <c r="K330" s="96">
        <f t="array" ref="K330">IFERROR(INDEX(Sales!$K$7:$K$1506,$O330),"")</f>
        <v>300</v>
      </c>
      <c r="L330" s="96">
        <f t="array" ref="L330">IFERROR(INDEX(Sales!$L$7:$L$1506,$O330),"")</f>
        <v>6400</v>
      </c>
      <c r="M330" s="19" t="str">
        <f t="array" ref="M330">IFERROR(INDEX(Sales!$M$7:$M$1506,$O330),"")</f>
        <v>Paid</v>
      </c>
      <c r="O330" s="111" t="str">
        <f>IFERROR(MATCH(TEXT($B$3,"yyyymm")&amp;"-"&amp;(ROW()-4),Sales!$Y$7:$Y$1506,0),"")</f>
        <v/>
      </c>
    </row>
    <row r="331" ht="14.25" customHeight="1">
      <c r="A331" s="110">
        <f t="array" ref="A331">IFERROR(INDEX(Sales!$A$7:$A$1506,$O331),"")</f>
        <v>46219</v>
      </c>
      <c r="B331" s="19" t="str">
        <f t="array" ref="B331">IFERROR(INDEX(Sales!$B$7:$B$1506,$O331),"")</f>
        <v>Sale</v>
      </c>
      <c r="C331" s="19" t="str">
        <f t="array" ref="C331">IFERROR(INDEX(Sales!$C$7:$C$1506,$O331),"")</f>
        <v>Online</v>
      </c>
      <c r="D331" s="19" t="str">
        <f t="array" ref="D331">IFERROR(INDEX(Sales!$D$7:$D$1506,$O331),"")</f>
        <v>Samreen islam</v>
      </c>
      <c r="E331" s="19" t="str">
        <f t="array" ref="E331">IFERROR(IF(INDEX(Sales!$E$7:$E$1506,$O331)="","",INDEX(Sales!$E$7:$E$1506,$O331)),"")</f>
        <v>PAWF-260715-04EAA</v>
      </c>
      <c r="F331" s="19" t="str">
        <f t="array" ref="F331">IFERROR(INDEX(Sales!$F$7:$F$1506,$O331),"")</f>
        <v>FD-DRY-SMHRT-15KG-001</v>
      </c>
      <c r="G331" s="19" t="str">
        <f t="array" ref="G331">IFERROR(INDEX(Sales!$G$7:$G$1506,$O331),"")</f>
        <v>Smart Heart Adult Cat Food Chicken &amp; Tuna [15kg]</v>
      </c>
      <c r="H331" s="96">
        <f t="array" ref="H331">IFERROR(INDEX(Sales!$H$7:$H$1506,$O331),"")</f>
        <v>1</v>
      </c>
      <c r="I331" s="96">
        <f t="array" ref="I331">IFERROR(INDEX(Sales!$I$7:$I$1506,$O331),"")</f>
        <v>6400</v>
      </c>
      <c r="J331" s="96">
        <f t="array" ref="J331">IFERROR(INDEX(Sales!$J$7:$J$1506,$O331),"")</f>
        <v>6700</v>
      </c>
      <c r="K331" s="96">
        <f t="array" ref="K331">IFERROR(INDEX(Sales!$K$7:$K$1506,$O331),"")</f>
        <v>300</v>
      </c>
      <c r="L331" s="96">
        <f t="array" ref="L331">IFERROR(INDEX(Sales!$L$7:$L$1506,$O331),"")</f>
        <v>6400</v>
      </c>
      <c r="M331" s="19" t="str">
        <f t="array" ref="M331">IFERROR(INDEX(Sales!$M$7:$M$1506,$O331),"")</f>
        <v>Paid</v>
      </c>
      <c r="O331" s="111" t="str">
        <f>IFERROR(MATCH(TEXT($B$3,"yyyymm")&amp;"-"&amp;(ROW()-4),Sales!$Y$7:$Y$1506,0),"")</f>
        <v/>
      </c>
    </row>
    <row r="332" ht="14.25" customHeight="1">
      <c r="A332" s="110">
        <f t="array" ref="A332">IFERROR(INDEX(Sales!$A$7:$A$1506,$O332),"")</f>
        <v>46219</v>
      </c>
      <c r="B332" s="19" t="str">
        <f t="array" ref="B332">IFERROR(INDEX(Sales!$B$7:$B$1506,$O332),"")</f>
        <v>Sale</v>
      </c>
      <c r="C332" s="19" t="str">
        <f t="array" ref="C332">IFERROR(INDEX(Sales!$C$7:$C$1506,$O332),"")</f>
        <v>Online</v>
      </c>
      <c r="D332" s="19" t="str">
        <f t="array" ref="D332">IFERROR(INDEX(Sales!$D$7:$D$1506,$O332),"")</f>
        <v>Samreen islam</v>
      </c>
      <c r="E332" s="19" t="str">
        <f t="array" ref="E332">IFERROR(IF(INDEX(Sales!$E$7:$E$1506,$O332)="","",INDEX(Sales!$E$7:$E$1506,$O332)),"")</f>
        <v>PAWF-260715-04EAA</v>
      </c>
      <c r="F332" s="19" t="str">
        <f t="array" ref="F332">IFERROR(INDEX(Sales!$F$7:$F$1506,$O332),"")</f>
        <v>FD-DRY-SMHRT-15KG-001</v>
      </c>
      <c r="G332" s="19" t="str">
        <f t="array" ref="G332">IFERROR(INDEX(Sales!$G$7:$G$1506,$O332),"")</f>
        <v>Smart Heart Adult Cat Food Chicken &amp; Tuna [15kg]</v>
      </c>
      <c r="H332" s="96">
        <f t="array" ref="H332">IFERROR(INDEX(Sales!$H$7:$H$1506,$O332),"")</f>
        <v>1</v>
      </c>
      <c r="I332" s="96">
        <f t="array" ref="I332">IFERROR(INDEX(Sales!$I$7:$I$1506,$O332),"")</f>
        <v>6400</v>
      </c>
      <c r="J332" s="96">
        <f t="array" ref="J332">IFERROR(INDEX(Sales!$J$7:$J$1506,$O332),"")</f>
        <v>6700</v>
      </c>
      <c r="K332" s="96">
        <f t="array" ref="K332">IFERROR(INDEX(Sales!$K$7:$K$1506,$O332),"")</f>
        <v>300</v>
      </c>
      <c r="L332" s="96">
        <f t="array" ref="L332">IFERROR(INDEX(Sales!$L$7:$L$1506,$O332),"")</f>
        <v>6400</v>
      </c>
      <c r="M332" s="19" t="str">
        <f t="array" ref="M332">IFERROR(INDEX(Sales!$M$7:$M$1506,$O332),"")</f>
        <v>Paid</v>
      </c>
      <c r="O332" s="111" t="str">
        <f>IFERROR(MATCH(TEXT($B$3,"yyyymm")&amp;"-"&amp;(ROW()-4),Sales!$Y$7:$Y$1506,0),"")</f>
        <v/>
      </c>
    </row>
    <row r="333" ht="14.25" customHeight="1">
      <c r="A333" s="110">
        <f t="array" ref="A333">IFERROR(INDEX(Sales!$A$7:$A$1506,$O333),"")</f>
        <v>46219</v>
      </c>
      <c r="B333" s="19" t="str">
        <f t="array" ref="B333">IFERROR(INDEX(Sales!$B$7:$B$1506,$O333),"")</f>
        <v>Sale</v>
      </c>
      <c r="C333" s="19" t="str">
        <f t="array" ref="C333">IFERROR(INDEX(Sales!$C$7:$C$1506,$O333),"")</f>
        <v>Online</v>
      </c>
      <c r="D333" s="19" t="str">
        <f t="array" ref="D333">IFERROR(INDEX(Sales!$D$7:$D$1506,$O333),"")</f>
        <v>Samreen islam</v>
      </c>
      <c r="E333" s="19" t="str">
        <f t="array" ref="E333">IFERROR(IF(INDEX(Sales!$E$7:$E$1506,$O333)="","",INDEX(Sales!$E$7:$E$1506,$O333)),"")</f>
        <v>PAWF-260715-04EAA</v>
      </c>
      <c r="F333" s="19" t="str">
        <f t="array" ref="F333">IFERROR(INDEX(Sales!$F$7:$F$1506,$O333),"")</f>
        <v>FD-DRY-SMHRT-15KG-001</v>
      </c>
      <c r="G333" s="19" t="str">
        <f t="array" ref="G333">IFERROR(INDEX(Sales!$G$7:$G$1506,$O333),"")</f>
        <v>Smart Heart Adult Cat Food Chicken &amp; Tuna [15kg]</v>
      </c>
      <c r="H333" s="96">
        <f t="array" ref="H333">IFERROR(INDEX(Sales!$H$7:$H$1506,$O333),"")</f>
        <v>1</v>
      </c>
      <c r="I333" s="96">
        <f t="array" ref="I333">IFERROR(INDEX(Sales!$I$7:$I$1506,$O333),"")</f>
        <v>6400</v>
      </c>
      <c r="J333" s="96">
        <f t="array" ref="J333">IFERROR(INDEX(Sales!$J$7:$J$1506,$O333),"")</f>
        <v>6700</v>
      </c>
      <c r="K333" s="96">
        <f t="array" ref="K333">IFERROR(INDEX(Sales!$K$7:$K$1506,$O333),"")</f>
        <v>300</v>
      </c>
      <c r="L333" s="96">
        <f t="array" ref="L333">IFERROR(INDEX(Sales!$L$7:$L$1506,$O333),"")</f>
        <v>6400</v>
      </c>
      <c r="M333" s="19" t="str">
        <f t="array" ref="M333">IFERROR(INDEX(Sales!$M$7:$M$1506,$O333),"")</f>
        <v>Paid</v>
      </c>
      <c r="O333" s="111" t="str">
        <f>IFERROR(MATCH(TEXT($B$3,"yyyymm")&amp;"-"&amp;(ROW()-4),Sales!$Y$7:$Y$1506,0),"")</f>
        <v/>
      </c>
    </row>
    <row r="334" ht="14.25" customHeight="1">
      <c r="A334" s="110">
        <f t="array" ref="A334">IFERROR(INDEX(Sales!$A$7:$A$1506,$O334),"")</f>
        <v>46219</v>
      </c>
      <c r="B334" s="19" t="str">
        <f t="array" ref="B334">IFERROR(INDEX(Sales!$B$7:$B$1506,$O334),"")</f>
        <v>Sale</v>
      </c>
      <c r="C334" s="19" t="str">
        <f t="array" ref="C334">IFERROR(INDEX(Sales!$C$7:$C$1506,$O334),"")</f>
        <v>Online</v>
      </c>
      <c r="D334" s="19" t="str">
        <f t="array" ref="D334">IFERROR(INDEX(Sales!$D$7:$D$1506,$O334),"")</f>
        <v>Samreen islam</v>
      </c>
      <c r="E334" s="19" t="str">
        <f t="array" ref="E334">IFERROR(IF(INDEX(Sales!$E$7:$E$1506,$O334)="","",INDEX(Sales!$E$7:$E$1506,$O334)),"")</f>
        <v>PAWF-260715-04EAA</v>
      </c>
      <c r="F334" s="19" t="str">
        <f t="array" ref="F334">IFERROR(INDEX(Sales!$F$7:$F$1506,$O334),"")</f>
        <v>FD-DRY-SMHRT-15KG-001</v>
      </c>
      <c r="G334" s="19" t="str">
        <f t="array" ref="G334">IFERROR(INDEX(Sales!$G$7:$G$1506,$O334),"")</f>
        <v>Smart Heart Adult Cat Food Chicken &amp; Tuna [15kg]</v>
      </c>
      <c r="H334" s="96">
        <f t="array" ref="H334">IFERROR(INDEX(Sales!$H$7:$H$1506,$O334),"")</f>
        <v>1</v>
      </c>
      <c r="I334" s="96">
        <f t="array" ref="I334">IFERROR(INDEX(Sales!$I$7:$I$1506,$O334),"")</f>
        <v>6400</v>
      </c>
      <c r="J334" s="96">
        <f t="array" ref="J334">IFERROR(INDEX(Sales!$J$7:$J$1506,$O334),"")</f>
        <v>6700</v>
      </c>
      <c r="K334" s="96">
        <f t="array" ref="K334">IFERROR(INDEX(Sales!$K$7:$K$1506,$O334),"")</f>
        <v>300</v>
      </c>
      <c r="L334" s="96">
        <f t="array" ref="L334">IFERROR(INDEX(Sales!$L$7:$L$1506,$O334),"")</f>
        <v>6400</v>
      </c>
      <c r="M334" s="19" t="str">
        <f t="array" ref="M334">IFERROR(INDEX(Sales!$M$7:$M$1506,$O334),"")</f>
        <v>Paid</v>
      </c>
      <c r="O334" s="111" t="str">
        <f>IFERROR(MATCH(TEXT($B$3,"yyyymm")&amp;"-"&amp;(ROW()-4),Sales!$Y$7:$Y$1506,0),"")</f>
        <v/>
      </c>
    </row>
    <row r="335" ht="14.25" customHeight="1">
      <c r="A335" s="110">
        <f t="array" ref="A335">IFERROR(INDEX(Sales!$A$7:$A$1506,$O335),"")</f>
        <v>46219</v>
      </c>
      <c r="B335" s="19" t="str">
        <f t="array" ref="B335">IFERROR(INDEX(Sales!$B$7:$B$1506,$O335),"")</f>
        <v>Sale</v>
      </c>
      <c r="C335" s="19" t="str">
        <f t="array" ref="C335">IFERROR(INDEX(Sales!$C$7:$C$1506,$O335),"")</f>
        <v>Online</v>
      </c>
      <c r="D335" s="19" t="str">
        <f t="array" ref="D335">IFERROR(INDEX(Sales!$D$7:$D$1506,$O335),"")</f>
        <v>Samreen islam</v>
      </c>
      <c r="E335" s="19" t="str">
        <f t="array" ref="E335">IFERROR(IF(INDEX(Sales!$E$7:$E$1506,$O335)="","",INDEX(Sales!$E$7:$E$1506,$O335)),"")</f>
        <v>PAWF-260715-04EAA</v>
      </c>
      <c r="F335" s="19" t="str">
        <f t="array" ref="F335">IFERROR(INDEX(Sales!$F$7:$F$1506,$O335),"")</f>
        <v>FD-DRY-SMHRT-15KG-001</v>
      </c>
      <c r="G335" s="19" t="str">
        <f t="array" ref="G335">IFERROR(INDEX(Sales!$G$7:$G$1506,$O335),"")</f>
        <v>Smart Heart Adult Cat Food Chicken &amp; Tuna [15kg]</v>
      </c>
      <c r="H335" s="96">
        <f t="array" ref="H335">IFERROR(INDEX(Sales!$H$7:$H$1506,$O335),"")</f>
        <v>1</v>
      </c>
      <c r="I335" s="96">
        <f t="array" ref="I335">IFERROR(INDEX(Sales!$I$7:$I$1506,$O335),"")</f>
        <v>6400</v>
      </c>
      <c r="J335" s="96">
        <f t="array" ref="J335">IFERROR(INDEX(Sales!$J$7:$J$1506,$O335),"")</f>
        <v>6700</v>
      </c>
      <c r="K335" s="96">
        <f t="array" ref="K335">IFERROR(INDEX(Sales!$K$7:$K$1506,$O335),"")</f>
        <v>300</v>
      </c>
      <c r="L335" s="96">
        <f t="array" ref="L335">IFERROR(INDEX(Sales!$L$7:$L$1506,$O335),"")</f>
        <v>6400</v>
      </c>
      <c r="M335" s="19" t="str">
        <f t="array" ref="M335">IFERROR(INDEX(Sales!$M$7:$M$1506,$O335),"")</f>
        <v>Paid</v>
      </c>
      <c r="O335" s="111" t="str">
        <f>IFERROR(MATCH(TEXT($B$3,"yyyymm")&amp;"-"&amp;(ROW()-4),Sales!$Y$7:$Y$1506,0),"")</f>
        <v/>
      </c>
    </row>
    <row r="336" ht="14.25" customHeight="1">
      <c r="A336" s="110">
        <f t="array" ref="A336">IFERROR(INDEX(Sales!$A$7:$A$1506,$O336),"")</f>
        <v>46219</v>
      </c>
      <c r="B336" s="19" t="str">
        <f t="array" ref="B336">IFERROR(INDEX(Sales!$B$7:$B$1506,$O336),"")</f>
        <v>Sale</v>
      </c>
      <c r="C336" s="19" t="str">
        <f t="array" ref="C336">IFERROR(INDEX(Sales!$C$7:$C$1506,$O336),"")</f>
        <v>Online</v>
      </c>
      <c r="D336" s="19" t="str">
        <f t="array" ref="D336">IFERROR(INDEX(Sales!$D$7:$D$1506,$O336),"")</f>
        <v>Samreen islam</v>
      </c>
      <c r="E336" s="19" t="str">
        <f t="array" ref="E336">IFERROR(IF(INDEX(Sales!$E$7:$E$1506,$O336)="","",INDEX(Sales!$E$7:$E$1506,$O336)),"")</f>
        <v>PAWF-260715-04EAA</v>
      </c>
      <c r="F336" s="19" t="str">
        <f t="array" ref="F336">IFERROR(INDEX(Sales!$F$7:$F$1506,$O336),"")</f>
        <v>FD-DRY-SMHRT-15KG-001</v>
      </c>
      <c r="G336" s="19" t="str">
        <f t="array" ref="G336">IFERROR(INDEX(Sales!$G$7:$G$1506,$O336),"")</f>
        <v>Smart Heart Adult Cat Food Chicken &amp; Tuna [15kg]</v>
      </c>
      <c r="H336" s="96">
        <f t="array" ref="H336">IFERROR(INDEX(Sales!$H$7:$H$1506,$O336),"")</f>
        <v>1</v>
      </c>
      <c r="I336" s="96">
        <f t="array" ref="I336">IFERROR(INDEX(Sales!$I$7:$I$1506,$O336),"")</f>
        <v>6400</v>
      </c>
      <c r="J336" s="96">
        <f t="array" ref="J336">IFERROR(INDEX(Sales!$J$7:$J$1506,$O336),"")</f>
        <v>6700</v>
      </c>
      <c r="K336" s="96">
        <f t="array" ref="K336">IFERROR(INDEX(Sales!$K$7:$K$1506,$O336),"")</f>
        <v>300</v>
      </c>
      <c r="L336" s="96">
        <f t="array" ref="L336">IFERROR(INDEX(Sales!$L$7:$L$1506,$O336),"")</f>
        <v>6400</v>
      </c>
      <c r="M336" s="19" t="str">
        <f t="array" ref="M336">IFERROR(INDEX(Sales!$M$7:$M$1506,$O336),"")</f>
        <v>Paid</v>
      </c>
      <c r="O336" s="111" t="str">
        <f>IFERROR(MATCH(TEXT($B$3,"yyyymm")&amp;"-"&amp;(ROW()-4),Sales!$Y$7:$Y$1506,0),"")</f>
        <v/>
      </c>
    </row>
    <row r="337" ht="14.25" customHeight="1">
      <c r="A337" s="110">
        <f t="array" ref="A337">IFERROR(INDEX(Sales!$A$7:$A$1506,$O337),"")</f>
        <v>46219</v>
      </c>
      <c r="B337" s="19" t="str">
        <f t="array" ref="B337">IFERROR(INDEX(Sales!$B$7:$B$1506,$O337),"")</f>
        <v>Sale</v>
      </c>
      <c r="C337" s="19" t="str">
        <f t="array" ref="C337">IFERROR(INDEX(Sales!$C$7:$C$1506,$O337),"")</f>
        <v>Online</v>
      </c>
      <c r="D337" s="19" t="str">
        <f t="array" ref="D337">IFERROR(INDEX(Sales!$D$7:$D$1506,$O337),"")</f>
        <v>Samreen islam</v>
      </c>
      <c r="E337" s="19" t="str">
        <f t="array" ref="E337">IFERROR(IF(INDEX(Sales!$E$7:$E$1506,$O337)="","",INDEX(Sales!$E$7:$E$1506,$O337)),"")</f>
        <v>PAWF-260715-04EAA</v>
      </c>
      <c r="F337" s="19" t="str">
        <f t="array" ref="F337">IFERROR(INDEX(Sales!$F$7:$F$1506,$O337),"")</f>
        <v>FD-DRY-SMHRT-15KG-001</v>
      </c>
      <c r="G337" s="19" t="str">
        <f t="array" ref="G337">IFERROR(INDEX(Sales!$G$7:$G$1506,$O337),"")</f>
        <v>Smart Heart Adult Cat Food Chicken &amp; Tuna [15kg]</v>
      </c>
      <c r="H337" s="96">
        <f t="array" ref="H337">IFERROR(INDEX(Sales!$H$7:$H$1506,$O337),"")</f>
        <v>1</v>
      </c>
      <c r="I337" s="96">
        <f t="array" ref="I337">IFERROR(INDEX(Sales!$I$7:$I$1506,$O337),"")</f>
        <v>6400</v>
      </c>
      <c r="J337" s="96">
        <f t="array" ref="J337">IFERROR(INDEX(Sales!$J$7:$J$1506,$O337),"")</f>
        <v>6700</v>
      </c>
      <c r="K337" s="96">
        <f t="array" ref="K337">IFERROR(INDEX(Sales!$K$7:$K$1506,$O337),"")</f>
        <v>300</v>
      </c>
      <c r="L337" s="96">
        <f t="array" ref="L337">IFERROR(INDEX(Sales!$L$7:$L$1506,$O337),"")</f>
        <v>6400</v>
      </c>
      <c r="M337" s="19" t="str">
        <f t="array" ref="M337">IFERROR(INDEX(Sales!$M$7:$M$1506,$O337),"")</f>
        <v>Paid</v>
      </c>
      <c r="O337" s="111" t="str">
        <f>IFERROR(MATCH(TEXT($B$3,"yyyymm")&amp;"-"&amp;(ROW()-4),Sales!$Y$7:$Y$1506,0),"")</f>
        <v/>
      </c>
    </row>
    <row r="338" ht="14.25" customHeight="1">
      <c r="A338" s="110">
        <f t="array" ref="A338">IFERROR(INDEX(Sales!$A$7:$A$1506,$O338),"")</f>
        <v>46219</v>
      </c>
      <c r="B338" s="19" t="str">
        <f t="array" ref="B338">IFERROR(INDEX(Sales!$B$7:$B$1506,$O338),"")</f>
        <v>Sale</v>
      </c>
      <c r="C338" s="19" t="str">
        <f t="array" ref="C338">IFERROR(INDEX(Sales!$C$7:$C$1506,$O338),"")</f>
        <v>Online</v>
      </c>
      <c r="D338" s="19" t="str">
        <f t="array" ref="D338">IFERROR(INDEX(Sales!$D$7:$D$1506,$O338),"")</f>
        <v>Samreen islam</v>
      </c>
      <c r="E338" s="19" t="str">
        <f t="array" ref="E338">IFERROR(IF(INDEX(Sales!$E$7:$E$1506,$O338)="","",INDEX(Sales!$E$7:$E$1506,$O338)),"")</f>
        <v>PAWF-260715-04EAA</v>
      </c>
      <c r="F338" s="19" t="str">
        <f t="array" ref="F338">IFERROR(INDEX(Sales!$F$7:$F$1506,$O338),"")</f>
        <v>FD-DRY-SMHRT-15KG-001</v>
      </c>
      <c r="G338" s="19" t="str">
        <f t="array" ref="G338">IFERROR(INDEX(Sales!$G$7:$G$1506,$O338),"")</f>
        <v>Smart Heart Adult Cat Food Chicken &amp; Tuna [15kg]</v>
      </c>
      <c r="H338" s="96">
        <f t="array" ref="H338">IFERROR(INDEX(Sales!$H$7:$H$1506,$O338),"")</f>
        <v>1</v>
      </c>
      <c r="I338" s="96">
        <f t="array" ref="I338">IFERROR(INDEX(Sales!$I$7:$I$1506,$O338),"")</f>
        <v>6400</v>
      </c>
      <c r="J338" s="96">
        <f t="array" ref="J338">IFERROR(INDEX(Sales!$J$7:$J$1506,$O338),"")</f>
        <v>6700</v>
      </c>
      <c r="K338" s="96">
        <f t="array" ref="K338">IFERROR(INDEX(Sales!$K$7:$K$1506,$O338),"")</f>
        <v>300</v>
      </c>
      <c r="L338" s="96">
        <f t="array" ref="L338">IFERROR(INDEX(Sales!$L$7:$L$1506,$O338),"")</f>
        <v>6400</v>
      </c>
      <c r="M338" s="19" t="str">
        <f t="array" ref="M338">IFERROR(INDEX(Sales!$M$7:$M$1506,$O338),"")</f>
        <v>Paid</v>
      </c>
      <c r="O338" s="111" t="str">
        <f>IFERROR(MATCH(TEXT($B$3,"yyyymm")&amp;"-"&amp;(ROW()-4),Sales!$Y$7:$Y$1506,0),"")</f>
        <v/>
      </c>
    </row>
    <row r="339" ht="14.25" customHeight="1">
      <c r="A339" s="110">
        <f t="array" ref="A339">IFERROR(INDEX(Sales!$A$7:$A$1506,$O339),"")</f>
        <v>46219</v>
      </c>
      <c r="B339" s="19" t="str">
        <f t="array" ref="B339">IFERROR(INDEX(Sales!$B$7:$B$1506,$O339),"")</f>
        <v>Sale</v>
      </c>
      <c r="C339" s="19" t="str">
        <f t="array" ref="C339">IFERROR(INDEX(Sales!$C$7:$C$1506,$O339),"")</f>
        <v>Online</v>
      </c>
      <c r="D339" s="19" t="str">
        <f t="array" ref="D339">IFERROR(INDEX(Sales!$D$7:$D$1506,$O339),"")</f>
        <v>Samreen islam</v>
      </c>
      <c r="E339" s="19" t="str">
        <f t="array" ref="E339">IFERROR(IF(INDEX(Sales!$E$7:$E$1506,$O339)="","",INDEX(Sales!$E$7:$E$1506,$O339)),"")</f>
        <v>PAWF-260715-04EAA</v>
      </c>
      <c r="F339" s="19" t="str">
        <f t="array" ref="F339">IFERROR(INDEX(Sales!$F$7:$F$1506,$O339),"")</f>
        <v>FD-DRY-SMHRT-15KG-001</v>
      </c>
      <c r="G339" s="19" t="str">
        <f t="array" ref="G339">IFERROR(INDEX(Sales!$G$7:$G$1506,$O339),"")</f>
        <v>Smart Heart Adult Cat Food Chicken &amp; Tuna [15kg]</v>
      </c>
      <c r="H339" s="96">
        <f t="array" ref="H339">IFERROR(INDEX(Sales!$H$7:$H$1506,$O339),"")</f>
        <v>1</v>
      </c>
      <c r="I339" s="96">
        <f t="array" ref="I339">IFERROR(INDEX(Sales!$I$7:$I$1506,$O339),"")</f>
        <v>6400</v>
      </c>
      <c r="J339" s="96">
        <f t="array" ref="J339">IFERROR(INDEX(Sales!$J$7:$J$1506,$O339),"")</f>
        <v>6700</v>
      </c>
      <c r="K339" s="96">
        <f t="array" ref="K339">IFERROR(INDEX(Sales!$K$7:$K$1506,$O339),"")</f>
        <v>300</v>
      </c>
      <c r="L339" s="96">
        <f t="array" ref="L339">IFERROR(INDEX(Sales!$L$7:$L$1506,$O339),"")</f>
        <v>6400</v>
      </c>
      <c r="M339" s="19" t="str">
        <f t="array" ref="M339">IFERROR(INDEX(Sales!$M$7:$M$1506,$O339),"")</f>
        <v>Paid</v>
      </c>
      <c r="O339" s="111" t="str">
        <f>IFERROR(MATCH(TEXT($B$3,"yyyymm")&amp;"-"&amp;(ROW()-4),Sales!$Y$7:$Y$1506,0),"")</f>
        <v/>
      </c>
    </row>
    <row r="340" ht="14.25" customHeight="1">
      <c r="A340" s="110">
        <f t="array" ref="A340">IFERROR(INDEX(Sales!$A$7:$A$1506,$O340),"")</f>
        <v>46219</v>
      </c>
      <c r="B340" s="19" t="str">
        <f t="array" ref="B340">IFERROR(INDEX(Sales!$B$7:$B$1506,$O340),"")</f>
        <v>Sale</v>
      </c>
      <c r="C340" s="19" t="str">
        <f t="array" ref="C340">IFERROR(INDEX(Sales!$C$7:$C$1506,$O340),"")</f>
        <v>Online</v>
      </c>
      <c r="D340" s="19" t="str">
        <f t="array" ref="D340">IFERROR(INDEX(Sales!$D$7:$D$1506,$O340),"")</f>
        <v>Samreen islam</v>
      </c>
      <c r="E340" s="19" t="str">
        <f t="array" ref="E340">IFERROR(IF(INDEX(Sales!$E$7:$E$1506,$O340)="","",INDEX(Sales!$E$7:$E$1506,$O340)),"")</f>
        <v>PAWF-260715-04EAA</v>
      </c>
      <c r="F340" s="19" t="str">
        <f t="array" ref="F340">IFERROR(INDEX(Sales!$F$7:$F$1506,$O340),"")</f>
        <v>FD-DRY-SMHRT-15KG-001</v>
      </c>
      <c r="G340" s="19" t="str">
        <f t="array" ref="G340">IFERROR(INDEX(Sales!$G$7:$G$1506,$O340),"")</f>
        <v>Smart Heart Adult Cat Food Chicken &amp; Tuna [15kg]</v>
      </c>
      <c r="H340" s="96">
        <f t="array" ref="H340">IFERROR(INDEX(Sales!$H$7:$H$1506,$O340),"")</f>
        <v>1</v>
      </c>
      <c r="I340" s="96">
        <f t="array" ref="I340">IFERROR(INDEX(Sales!$I$7:$I$1506,$O340),"")</f>
        <v>6400</v>
      </c>
      <c r="J340" s="96">
        <f t="array" ref="J340">IFERROR(INDEX(Sales!$J$7:$J$1506,$O340),"")</f>
        <v>6700</v>
      </c>
      <c r="K340" s="96">
        <f t="array" ref="K340">IFERROR(INDEX(Sales!$K$7:$K$1506,$O340),"")</f>
        <v>300</v>
      </c>
      <c r="L340" s="96">
        <f t="array" ref="L340">IFERROR(INDEX(Sales!$L$7:$L$1506,$O340),"")</f>
        <v>6400</v>
      </c>
      <c r="M340" s="19" t="str">
        <f t="array" ref="M340">IFERROR(INDEX(Sales!$M$7:$M$1506,$O340),"")</f>
        <v>Paid</v>
      </c>
      <c r="O340" s="111" t="str">
        <f>IFERROR(MATCH(TEXT($B$3,"yyyymm")&amp;"-"&amp;(ROW()-4),Sales!$Y$7:$Y$1506,0),"")</f>
        <v/>
      </c>
    </row>
    <row r="341" ht="14.25" customHeight="1">
      <c r="A341" s="110">
        <f t="array" ref="A341">IFERROR(INDEX(Sales!$A$7:$A$1506,$O341),"")</f>
        <v>46219</v>
      </c>
      <c r="B341" s="19" t="str">
        <f t="array" ref="B341">IFERROR(INDEX(Sales!$B$7:$B$1506,$O341),"")</f>
        <v>Sale</v>
      </c>
      <c r="C341" s="19" t="str">
        <f t="array" ref="C341">IFERROR(INDEX(Sales!$C$7:$C$1506,$O341),"")</f>
        <v>Online</v>
      </c>
      <c r="D341" s="19" t="str">
        <f t="array" ref="D341">IFERROR(INDEX(Sales!$D$7:$D$1506,$O341),"")</f>
        <v>Samreen islam</v>
      </c>
      <c r="E341" s="19" t="str">
        <f t="array" ref="E341">IFERROR(IF(INDEX(Sales!$E$7:$E$1506,$O341)="","",INDEX(Sales!$E$7:$E$1506,$O341)),"")</f>
        <v>PAWF-260715-04EAA</v>
      </c>
      <c r="F341" s="19" t="str">
        <f t="array" ref="F341">IFERROR(INDEX(Sales!$F$7:$F$1506,$O341),"")</f>
        <v>FD-DRY-SMHRT-15KG-001</v>
      </c>
      <c r="G341" s="19" t="str">
        <f t="array" ref="G341">IFERROR(INDEX(Sales!$G$7:$G$1506,$O341),"")</f>
        <v>Smart Heart Adult Cat Food Chicken &amp; Tuna [15kg]</v>
      </c>
      <c r="H341" s="96">
        <f t="array" ref="H341">IFERROR(INDEX(Sales!$H$7:$H$1506,$O341),"")</f>
        <v>1</v>
      </c>
      <c r="I341" s="96">
        <f t="array" ref="I341">IFERROR(INDEX(Sales!$I$7:$I$1506,$O341),"")</f>
        <v>6400</v>
      </c>
      <c r="J341" s="96">
        <f t="array" ref="J341">IFERROR(INDEX(Sales!$J$7:$J$1506,$O341),"")</f>
        <v>6700</v>
      </c>
      <c r="K341" s="96">
        <f t="array" ref="K341">IFERROR(INDEX(Sales!$K$7:$K$1506,$O341),"")</f>
        <v>300</v>
      </c>
      <c r="L341" s="96">
        <f t="array" ref="L341">IFERROR(INDEX(Sales!$L$7:$L$1506,$O341),"")</f>
        <v>6400</v>
      </c>
      <c r="M341" s="19" t="str">
        <f t="array" ref="M341">IFERROR(INDEX(Sales!$M$7:$M$1506,$O341),"")</f>
        <v>Paid</v>
      </c>
      <c r="O341" s="111" t="str">
        <f>IFERROR(MATCH(TEXT($B$3,"yyyymm")&amp;"-"&amp;(ROW()-4),Sales!$Y$7:$Y$1506,0),"")</f>
        <v/>
      </c>
    </row>
    <row r="342" ht="14.25" customHeight="1">
      <c r="A342" s="110">
        <f t="array" ref="A342">IFERROR(INDEX(Sales!$A$7:$A$1506,$O342),"")</f>
        <v>46219</v>
      </c>
      <c r="B342" s="19" t="str">
        <f t="array" ref="B342">IFERROR(INDEX(Sales!$B$7:$B$1506,$O342),"")</f>
        <v>Sale</v>
      </c>
      <c r="C342" s="19" t="str">
        <f t="array" ref="C342">IFERROR(INDEX(Sales!$C$7:$C$1506,$O342),"")</f>
        <v>Online</v>
      </c>
      <c r="D342" s="19" t="str">
        <f t="array" ref="D342">IFERROR(INDEX(Sales!$D$7:$D$1506,$O342),"")</f>
        <v>Samreen islam</v>
      </c>
      <c r="E342" s="19" t="str">
        <f t="array" ref="E342">IFERROR(IF(INDEX(Sales!$E$7:$E$1506,$O342)="","",INDEX(Sales!$E$7:$E$1506,$O342)),"")</f>
        <v>PAWF-260715-04EAA</v>
      </c>
      <c r="F342" s="19" t="str">
        <f t="array" ref="F342">IFERROR(INDEX(Sales!$F$7:$F$1506,$O342),"")</f>
        <v>FD-DRY-SMHRT-15KG-001</v>
      </c>
      <c r="G342" s="19" t="str">
        <f t="array" ref="G342">IFERROR(INDEX(Sales!$G$7:$G$1506,$O342),"")</f>
        <v>Smart Heart Adult Cat Food Chicken &amp; Tuna [15kg]</v>
      </c>
      <c r="H342" s="96">
        <f t="array" ref="H342">IFERROR(INDEX(Sales!$H$7:$H$1506,$O342),"")</f>
        <v>1</v>
      </c>
      <c r="I342" s="96">
        <f t="array" ref="I342">IFERROR(INDEX(Sales!$I$7:$I$1506,$O342),"")</f>
        <v>6400</v>
      </c>
      <c r="J342" s="96">
        <f t="array" ref="J342">IFERROR(INDEX(Sales!$J$7:$J$1506,$O342),"")</f>
        <v>6700</v>
      </c>
      <c r="K342" s="96">
        <f t="array" ref="K342">IFERROR(INDEX(Sales!$K$7:$K$1506,$O342),"")</f>
        <v>300</v>
      </c>
      <c r="L342" s="96">
        <f t="array" ref="L342">IFERROR(INDEX(Sales!$L$7:$L$1506,$O342),"")</f>
        <v>6400</v>
      </c>
      <c r="M342" s="19" t="str">
        <f t="array" ref="M342">IFERROR(INDEX(Sales!$M$7:$M$1506,$O342),"")</f>
        <v>Paid</v>
      </c>
      <c r="O342" s="111" t="str">
        <f>IFERROR(MATCH(TEXT($B$3,"yyyymm")&amp;"-"&amp;(ROW()-4),Sales!$Y$7:$Y$1506,0),"")</f>
        <v/>
      </c>
    </row>
    <row r="343" ht="14.25" customHeight="1">
      <c r="A343" s="110">
        <f t="array" ref="A343">IFERROR(INDEX(Sales!$A$7:$A$1506,$O343),"")</f>
        <v>46219</v>
      </c>
      <c r="B343" s="19" t="str">
        <f t="array" ref="B343">IFERROR(INDEX(Sales!$B$7:$B$1506,$O343),"")</f>
        <v>Sale</v>
      </c>
      <c r="C343" s="19" t="str">
        <f t="array" ref="C343">IFERROR(INDEX(Sales!$C$7:$C$1506,$O343),"")</f>
        <v>Online</v>
      </c>
      <c r="D343" s="19" t="str">
        <f t="array" ref="D343">IFERROR(INDEX(Sales!$D$7:$D$1506,$O343),"")</f>
        <v>Samreen islam</v>
      </c>
      <c r="E343" s="19" t="str">
        <f t="array" ref="E343">IFERROR(IF(INDEX(Sales!$E$7:$E$1506,$O343)="","",INDEX(Sales!$E$7:$E$1506,$O343)),"")</f>
        <v>PAWF-260715-04EAA</v>
      </c>
      <c r="F343" s="19" t="str">
        <f t="array" ref="F343">IFERROR(INDEX(Sales!$F$7:$F$1506,$O343),"")</f>
        <v>FD-DRY-SMHRT-15KG-001</v>
      </c>
      <c r="G343" s="19" t="str">
        <f t="array" ref="G343">IFERROR(INDEX(Sales!$G$7:$G$1506,$O343),"")</f>
        <v>Smart Heart Adult Cat Food Chicken &amp; Tuna [15kg]</v>
      </c>
      <c r="H343" s="96">
        <f t="array" ref="H343">IFERROR(INDEX(Sales!$H$7:$H$1506,$O343),"")</f>
        <v>1</v>
      </c>
      <c r="I343" s="96">
        <f t="array" ref="I343">IFERROR(INDEX(Sales!$I$7:$I$1506,$O343),"")</f>
        <v>6400</v>
      </c>
      <c r="J343" s="96">
        <f t="array" ref="J343">IFERROR(INDEX(Sales!$J$7:$J$1506,$O343),"")</f>
        <v>6700</v>
      </c>
      <c r="K343" s="96">
        <f t="array" ref="K343">IFERROR(INDEX(Sales!$K$7:$K$1506,$O343),"")</f>
        <v>300</v>
      </c>
      <c r="L343" s="96">
        <f t="array" ref="L343">IFERROR(INDEX(Sales!$L$7:$L$1506,$O343),"")</f>
        <v>6400</v>
      </c>
      <c r="M343" s="19" t="str">
        <f t="array" ref="M343">IFERROR(INDEX(Sales!$M$7:$M$1506,$O343),"")</f>
        <v>Paid</v>
      </c>
      <c r="O343" s="111" t="str">
        <f>IFERROR(MATCH(TEXT($B$3,"yyyymm")&amp;"-"&amp;(ROW()-4),Sales!$Y$7:$Y$1506,0),"")</f>
        <v/>
      </c>
    </row>
    <row r="344" ht="14.25" customHeight="1">
      <c r="A344" s="110">
        <f t="array" ref="A344">IFERROR(INDEX(Sales!$A$7:$A$1506,$O344),"")</f>
        <v>46219</v>
      </c>
      <c r="B344" s="19" t="str">
        <f t="array" ref="B344">IFERROR(INDEX(Sales!$B$7:$B$1506,$O344),"")</f>
        <v>Sale</v>
      </c>
      <c r="C344" s="19" t="str">
        <f t="array" ref="C344">IFERROR(INDEX(Sales!$C$7:$C$1506,$O344),"")</f>
        <v>Online</v>
      </c>
      <c r="D344" s="19" t="str">
        <f t="array" ref="D344">IFERROR(INDEX(Sales!$D$7:$D$1506,$O344),"")</f>
        <v>Samreen islam</v>
      </c>
      <c r="E344" s="19" t="str">
        <f t="array" ref="E344">IFERROR(IF(INDEX(Sales!$E$7:$E$1506,$O344)="","",INDEX(Sales!$E$7:$E$1506,$O344)),"")</f>
        <v>PAWF-260715-04EAA</v>
      </c>
      <c r="F344" s="19" t="str">
        <f t="array" ref="F344">IFERROR(INDEX(Sales!$F$7:$F$1506,$O344),"")</f>
        <v>FD-DRY-SMHRT-15KG-001</v>
      </c>
      <c r="G344" s="19" t="str">
        <f t="array" ref="G344">IFERROR(INDEX(Sales!$G$7:$G$1506,$O344),"")</f>
        <v>Smart Heart Adult Cat Food Chicken &amp; Tuna [15kg]</v>
      </c>
      <c r="H344" s="96">
        <f t="array" ref="H344">IFERROR(INDEX(Sales!$H$7:$H$1506,$O344),"")</f>
        <v>1</v>
      </c>
      <c r="I344" s="96">
        <f t="array" ref="I344">IFERROR(INDEX(Sales!$I$7:$I$1506,$O344),"")</f>
        <v>6400</v>
      </c>
      <c r="J344" s="96">
        <f t="array" ref="J344">IFERROR(INDEX(Sales!$J$7:$J$1506,$O344),"")</f>
        <v>6700</v>
      </c>
      <c r="K344" s="96">
        <f t="array" ref="K344">IFERROR(INDEX(Sales!$K$7:$K$1506,$O344),"")</f>
        <v>300</v>
      </c>
      <c r="L344" s="96">
        <f t="array" ref="L344">IFERROR(INDEX(Sales!$L$7:$L$1506,$O344),"")</f>
        <v>6400</v>
      </c>
      <c r="M344" s="19" t="str">
        <f t="array" ref="M344">IFERROR(INDEX(Sales!$M$7:$M$1506,$O344),"")</f>
        <v>Paid</v>
      </c>
      <c r="O344" s="111" t="str">
        <f>IFERROR(MATCH(TEXT($B$3,"yyyymm")&amp;"-"&amp;(ROW()-4),Sales!$Y$7:$Y$1506,0),"")</f>
        <v/>
      </c>
    </row>
    <row r="345" ht="14.25" customHeight="1">
      <c r="A345" s="110">
        <f t="array" ref="A345">IFERROR(INDEX(Sales!$A$7:$A$1506,$O345),"")</f>
        <v>46219</v>
      </c>
      <c r="B345" s="19" t="str">
        <f t="array" ref="B345">IFERROR(INDEX(Sales!$B$7:$B$1506,$O345),"")</f>
        <v>Sale</v>
      </c>
      <c r="C345" s="19" t="str">
        <f t="array" ref="C345">IFERROR(INDEX(Sales!$C$7:$C$1506,$O345),"")</f>
        <v>Online</v>
      </c>
      <c r="D345" s="19" t="str">
        <f t="array" ref="D345">IFERROR(INDEX(Sales!$D$7:$D$1506,$O345),"")</f>
        <v>Samreen islam</v>
      </c>
      <c r="E345" s="19" t="str">
        <f t="array" ref="E345">IFERROR(IF(INDEX(Sales!$E$7:$E$1506,$O345)="","",INDEX(Sales!$E$7:$E$1506,$O345)),"")</f>
        <v>PAWF-260715-04EAA</v>
      </c>
      <c r="F345" s="19" t="str">
        <f t="array" ref="F345">IFERROR(INDEX(Sales!$F$7:$F$1506,$O345),"")</f>
        <v>FD-DRY-SMHRT-15KG-001</v>
      </c>
      <c r="G345" s="19" t="str">
        <f t="array" ref="G345">IFERROR(INDEX(Sales!$G$7:$G$1506,$O345),"")</f>
        <v>Smart Heart Adult Cat Food Chicken &amp; Tuna [15kg]</v>
      </c>
      <c r="H345" s="96">
        <f t="array" ref="H345">IFERROR(INDEX(Sales!$H$7:$H$1506,$O345),"")</f>
        <v>1</v>
      </c>
      <c r="I345" s="96">
        <f t="array" ref="I345">IFERROR(INDEX(Sales!$I$7:$I$1506,$O345),"")</f>
        <v>6400</v>
      </c>
      <c r="J345" s="96">
        <f t="array" ref="J345">IFERROR(INDEX(Sales!$J$7:$J$1506,$O345),"")</f>
        <v>6700</v>
      </c>
      <c r="K345" s="96">
        <f t="array" ref="K345">IFERROR(INDEX(Sales!$K$7:$K$1506,$O345),"")</f>
        <v>300</v>
      </c>
      <c r="L345" s="96">
        <f t="array" ref="L345">IFERROR(INDEX(Sales!$L$7:$L$1506,$O345),"")</f>
        <v>6400</v>
      </c>
      <c r="M345" s="19" t="str">
        <f t="array" ref="M345">IFERROR(INDEX(Sales!$M$7:$M$1506,$O345),"")</f>
        <v>Paid</v>
      </c>
      <c r="O345" s="111" t="str">
        <f>IFERROR(MATCH(TEXT($B$3,"yyyymm")&amp;"-"&amp;(ROW()-4),Sales!$Y$7:$Y$1506,0),"")</f>
        <v/>
      </c>
    </row>
    <row r="346" ht="14.25" customHeight="1">
      <c r="A346" s="110">
        <f t="array" ref="A346">IFERROR(INDEX(Sales!$A$7:$A$1506,$O346),"")</f>
        <v>46219</v>
      </c>
      <c r="B346" s="19" t="str">
        <f t="array" ref="B346">IFERROR(INDEX(Sales!$B$7:$B$1506,$O346),"")</f>
        <v>Sale</v>
      </c>
      <c r="C346" s="19" t="str">
        <f t="array" ref="C346">IFERROR(INDEX(Sales!$C$7:$C$1506,$O346),"")</f>
        <v>Online</v>
      </c>
      <c r="D346" s="19" t="str">
        <f t="array" ref="D346">IFERROR(INDEX(Sales!$D$7:$D$1506,$O346),"")</f>
        <v>Samreen islam</v>
      </c>
      <c r="E346" s="19" t="str">
        <f t="array" ref="E346">IFERROR(IF(INDEX(Sales!$E$7:$E$1506,$O346)="","",INDEX(Sales!$E$7:$E$1506,$O346)),"")</f>
        <v>PAWF-260715-04EAA</v>
      </c>
      <c r="F346" s="19" t="str">
        <f t="array" ref="F346">IFERROR(INDEX(Sales!$F$7:$F$1506,$O346),"")</f>
        <v>FD-DRY-SMHRT-15KG-001</v>
      </c>
      <c r="G346" s="19" t="str">
        <f t="array" ref="G346">IFERROR(INDEX(Sales!$G$7:$G$1506,$O346),"")</f>
        <v>Smart Heart Adult Cat Food Chicken &amp; Tuna [15kg]</v>
      </c>
      <c r="H346" s="96">
        <f t="array" ref="H346">IFERROR(INDEX(Sales!$H$7:$H$1506,$O346),"")</f>
        <v>1</v>
      </c>
      <c r="I346" s="96">
        <f t="array" ref="I346">IFERROR(INDEX(Sales!$I$7:$I$1506,$O346),"")</f>
        <v>6400</v>
      </c>
      <c r="J346" s="96">
        <f t="array" ref="J346">IFERROR(INDEX(Sales!$J$7:$J$1506,$O346),"")</f>
        <v>6700</v>
      </c>
      <c r="K346" s="96">
        <f t="array" ref="K346">IFERROR(INDEX(Sales!$K$7:$K$1506,$O346),"")</f>
        <v>300</v>
      </c>
      <c r="L346" s="96">
        <f t="array" ref="L346">IFERROR(INDEX(Sales!$L$7:$L$1506,$O346),"")</f>
        <v>6400</v>
      </c>
      <c r="M346" s="19" t="str">
        <f t="array" ref="M346">IFERROR(INDEX(Sales!$M$7:$M$1506,$O346),"")</f>
        <v>Paid</v>
      </c>
      <c r="O346" s="111" t="str">
        <f>IFERROR(MATCH(TEXT($B$3,"yyyymm")&amp;"-"&amp;(ROW()-4),Sales!$Y$7:$Y$1506,0),"")</f>
        <v/>
      </c>
    </row>
    <row r="347" ht="14.25" customHeight="1">
      <c r="A347" s="110">
        <f t="array" ref="A347">IFERROR(INDEX(Sales!$A$7:$A$1506,$O347),"")</f>
        <v>46219</v>
      </c>
      <c r="B347" s="19" t="str">
        <f t="array" ref="B347">IFERROR(INDEX(Sales!$B$7:$B$1506,$O347),"")</f>
        <v>Sale</v>
      </c>
      <c r="C347" s="19" t="str">
        <f t="array" ref="C347">IFERROR(INDEX(Sales!$C$7:$C$1506,$O347),"")</f>
        <v>Online</v>
      </c>
      <c r="D347" s="19" t="str">
        <f t="array" ref="D347">IFERROR(INDEX(Sales!$D$7:$D$1506,$O347),"")</f>
        <v>Samreen islam</v>
      </c>
      <c r="E347" s="19" t="str">
        <f t="array" ref="E347">IFERROR(IF(INDEX(Sales!$E$7:$E$1506,$O347)="","",INDEX(Sales!$E$7:$E$1506,$O347)),"")</f>
        <v>PAWF-260715-04EAA</v>
      </c>
      <c r="F347" s="19" t="str">
        <f t="array" ref="F347">IFERROR(INDEX(Sales!$F$7:$F$1506,$O347),"")</f>
        <v>FD-DRY-SMHRT-15KG-001</v>
      </c>
      <c r="G347" s="19" t="str">
        <f t="array" ref="G347">IFERROR(INDEX(Sales!$G$7:$G$1506,$O347),"")</f>
        <v>Smart Heart Adult Cat Food Chicken &amp; Tuna [15kg]</v>
      </c>
      <c r="H347" s="96">
        <f t="array" ref="H347">IFERROR(INDEX(Sales!$H$7:$H$1506,$O347),"")</f>
        <v>1</v>
      </c>
      <c r="I347" s="96">
        <f t="array" ref="I347">IFERROR(INDEX(Sales!$I$7:$I$1506,$O347),"")</f>
        <v>6400</v>
      </c>
      <c r="J347" s="96">
        <f t="array" ref="J347">IFERROR(INDEX(Sales!$J$7:$J$1506,$O347),"")</f>
        <v>6700</v>
      </c>
      <c r="K347" s="96">
        <f t="array" ref="K347">IFERROR(INDEX(Sales!$K$7:$K$1506,$O347),"")</f>
        <v>300</v>
      </c>
      <c r="L347" s="96">
        <f t="array" ref="L347">IFERROR(INDEX(Sales!$L$7:$L$1506,$O347),"")</f>
        <v>6400</v>
      </c>
      <c r="M347" s="19" t="str">
        <f t="array" ref="M347">IFERROR(INDEX(Sales!$M$7:$M$1506,$O347),"")</f>
        <v>Paid</v>
      </c>
      <c r="O347" s="111" t="str">
        <f>IFERROR(MATCH(TEXT($B$3,"yyyymm")&amp;"-"&amp;(ROW()-4),Sales!$Y$7:$Y$1506,0),"")</f>
        <v/>
      </c>
    </row>
    <row r="348" ht="14.25" customHeight="1">
      <c r="A348" s="110">
        <f t="array" ref="A348">IFERROR(INDEX(Sales!$A$7:$A$1506,$O348),"")</f>
        <v>46219</v>
      </c>
      <c r="B348" s="19" t="str">
        <f t="array" ref="B348">IFERROR(INDEX(Sales!$B$7:$B$1506,$O348),"")</f>
        <v>Sale</v>
      </c>
      <c r="C348" s="19" t="str">
        <f t="array" ref="C348">IFERROR(INDEX(Sales!$C$7:$C$1506,$O348),"")</f>
        <v>Online</v>
      </c>
      <c r="D348" s="19" t="str">
        <f t="array" ref="D348">IFERROR(INDEX(Sales!$D$7:$D$1506,$O348),"")</f>
        <v>Samreen islam</v>
      </c>
      <c r="E348" s="19" t="str">
        <f t="array" ref="E348">IFERROR(IF(INDEX(Sales!$E$7:$E$1506,$O348)="","",INDEX(Sales!$E$7:$E$1506,$O348)),"")</f>
        <v>PAWF-260715-04EAA</v>
      </c>
      <c r="F348" s="19" t="str">
        <f t="array" ref="F348">IFERROR(INDEX(Sales!$F$7:$F$1506,$O348),"")</f>
        <v>FD-DRY-SMHRT-15KG-001</v>
      </c>
      <c r="G348" s="19" t="str">
        <f t="array" ref="G348">IFERROR(INDEX(Sales!$G$7:$G$1506,$O348),"")</f>
        <v>Smart Heart Adult Cat Food Chicken &amp; Tuna [15kg]</v>
      </c>
      <c r="H348" s="96">
        <f t="array" ref="H348">IFERROR(INDEX(Sales!$H$7:$H$1506,$O348),"")</f>
        <v>1</v>
      </c>
      <c r="I348" s="96">
        <f t="array" ref="I348">IFERROR(INDEX(Sales!$I$7:$I$1506,$O348),"")</f>
        <v>6400</v>
      </c>
      <c r="J348" s="96">
        <f t="array" ref="J348">IFERROR(INDEX(Sales!$J$7:$J$1506,$O348),"")</f>
        <v>6700</v>
      </c>
      <c r="K348" s="96">
        <f t="array" ref="K348">IFERROR(INDEX(Sales!$K$7:$K$1506,$O348),"")</f>
        <v>300</v>
      </c>
      <c r="L348" s="96">
        <f t="array" ref="L348">IFERROR(INDEX(Sales!$L$7:$L$1506,$O348),"")</f>
        <v>6400</v>
      </c>
      <c r="M348" s="19" t="str">
        <f t="array" ref="M348">IFERROR(INDEX(Sales!$M$7:$M$1506,$O348),"")</f>
        <v>Paid</v>
      </c>
      <c r="O348" s="111" t="str">
        <f>IFERROR(MATCH(TEXT($B$3,"yyyymm")&amp;"-"&amp;(ROW()-4),Sales!$Y$7:$Y$1506,0),"")</f>
        <v/>
      </c>
    </row>
    <row r="349" ht="14.25" customHeight="1">
      <c r="A349" s="110">
        <f t="array" ref="A349">IFERROR(INDEX(Sales!$A$7:$A$1506,$O349),"")</f>
        <v>46219</v>
      </c>
      <c r="B349" s="19" t="str">
        <f t="array" ref="B349">IFERROR(INDEX(Sales!$B$7:$B$1506,$O349),"")</f>
        <v>Sale</v>
      </c>
      <c r="C349" s="19" t="str">
        <f t="array" ref="C349">IFERROR(INDEX(Sales!$C$7:$C$1506,$O349),"")</f>
        <v>Online</v>
      </c>
      <c r="D349" s="19" t="str">
        <f t="array" ref="D349">IFERROR(INDEX(Sales!$D$7:$D$1506,$O349),"")</f>
        <v>Samreen islam</v>
      </c>
      <c r="E349" s="19" t="str">
        <f t="array" ref="E349">IFERROR(IF(INDEX(Sales!$E$7:$E$1506,$O349)="","",INDEX(Sales!$E$7:$E$1506,$O349)),"")</f>
        <v>PAWF-260715-04EAA</v>
      </c>
      <c r="F349" s="19" t="str">
        <f t="array" ref="F349">IFERROR(INDEX(Sales!$F$7:$F$1506,$O349),"")</f>
        <v>FD-DRY-SMHRT-15KG-001</v>
      </c>
      <c r="G349" s="19" t="str">
        <f t="array" ref="G349">IFERROR(INDEX(Sales!$G$7:$G$1506,$O349),"")</f>
        <v>Smart Heart Adult Cat Food Chicken &amp; Tuna [15kg]</v>
      </c>
      <c r="H349" s="96">
        <f t="array" ref="H349">IFERROR(INDEX(Sales!$H$7:$H$1506,$O349),"")</f>
        <v>1</v>
      </c>
      <c r="I349" s="96">
        <f t="array" ref="I349">IFERROR(INDEX(Sales!$I$7:$I$1506,$O349),"")</f>
        <v>6400</v>
      </c>
      <c r="J349" s="96">
        <f t="array" ref="J349">IFERROR(INDEX(Sales!$J$7:$J$1506,$O349),"")</f>
        <v>6700</v>
      </c>
      <c r="K349" s="96">
        <f t="array" ref="K349">IFERROR(INDEX(Sales!$K$7:$K$1506,$O349),"")</f>
        <v>300</v>
      </c>
      <c r="L349" s="96">
        <f t="array" ref="L349">IFERROR(INDEX(Sales!$L$7:$L$1506,$O349),"")</f>
        <v>6400</v>
      </c>
      <c r="M349" s="19" t="str">
        <f t="array" ref="M349">IFERROR(INDEX(Sales!$M$7:$M$1506,$O349),"")</f>
        <v>Paid</v>
      </c>
      <c r="O349" s="111" t="str">
        <f>IFERROR(MATCH(TEXT($B$3,"yyyymm")&amp;"-"&amp;(ROW()-4),Sales!$Y$7:$Y$1506,0),"")</f>
        <v/>
      </c>
    </row>
    <row r="350" ht="14.25" customHeight="1">
      <c r="A350" s="110">
        <f t="array" ref="A350">IFERROR(INDEX(Sales!$A$7:$A$1506,$O350),"")</f>
        <v>46219</v>
      </c>
      <c r="B350" s="19" t="str">
        <f t="array" ref="B350">IFERROR(INDEX(Sales!$B$7:$B$1506,$O350),"")</f>
        <v>Sale</v>
      </c>
      <c r="C350" s="19" t="str">
        <f t="array" ref="C350">IFERROR(INDEX(Sales!$C$7:$C$1506,$O350),"")</f>
        <v>Online</v>
      </c>
      <c r="D350" s="19" t="str">
        <f t="array" ref="D350">IFERROR(INDEX(Sales!$D$7:$D$1506,$O350),"")</f>
        <v>Samreen islam</v>
      </c>
      <c r="E350" s="19" t="str">
        <f t="array" ref="E350">IFERROR(IF(INDEX(Sales!$E$7:$E$1506,$O350)="","",INDEX(Sales!$E$7:$E$1506,$O350)),"")</f>
        <v>PAWF-260715-04EAA</v>
      </c>
      <c r="F350" s="19" t="str">
        <f t="array" ref="F350">IFERROR(INDEX(Sales!$F$7:$F$1506,$O350),"")</f>
        <v>FD-DRY-SMHRT-15KG-001</v>
      </c>
      <c r="G350" s="19" t="str">
        <f t="array" ref="G350">IFERROR(INDEX(Sales!$G$7:$G$1506,$O350),"")</f>
        <v>Smart Heart Adult Cat Food Chicken &amp; Tuna [15kg]</v>
      </c>
      <c r="H350" s="96">
        <f t="array" ref="H350">IFERROR(INDEX(Sales!$H$7:$H$1506,$O350),"")</f>
        <v>1</v>
      </c>
      <c r="I350" s="96">
        <f t="array" ref="I350">IFERROR(INDEX(Sales!$I$7:$I$1506,$O350),"")</f>
        <v>6400</v>
      </c>
      <c r="J350" s="96">
        <f t="array" ref="J350">IFERROR(INDEX(Sales!$J$7:$J$1506,$O350),"")</f>
        <v>6700</v>
      </c>
      <c r="K350" s="96">
        <f t="array" ref="K350">IFERROR(INDEX(Sales!$K$7:$K$1506,$O350),"")</f>
        <v>300</v>
      </c>
      <c r="L350" s="96">
        <f t="array" ref="L350">IFERROR(INDEX(Sales!$L$7:$L$1506,$O350),"")</f>
        <v>6400</v>
      </c>
      <c r="M350" s="19" t="str">
        <f t="array" ref="M350">IFERROR(INDEX(Sales!$M$7:$M$1506,$O350),"")</f>
        <v>Paid</v>
      </c>
      <c r="O350" s="111" t="str">
        <f>IFERROR(MATCH(TEXT($B$3,"yyyymm")&amp;"-"&amp;(ROW()-4),Sales!$Y$7:$Y$1506,0),"")</f>
        <v/>
      </c>
    </row>
    <row r="351" ht="14.25" customHeight="1">
      <c r="A351" s="110">
        <f t="array" ref="A351">IFERROR(INDEX(Sales!$A$7:$A$1506,$O351),"")</f>
        <v>46219</v>
      </c>
      <c r="B351" s="19" t="str">
        <f t="array" ref="B351">IFERROR(INDEX(Sales!$B$7:$B$1506,$O351),"")</f>
        <v>Sale</v>
      </c>
      <c r="C351" s="19" t="str">
        <f t="array" ref="C351">IFERROR(INDEX(Sales!$C$7:$C$1506,$O351),"")</f>
        <v>Online</v>
      </c>
      <c r="D351" s="19" t="str">
        <f t="array" ref="D351">IFERROR(INDEX(Sales!$D$7:$D$1506,$O351),"")</f>
        <v>Samreen islam</v>
      </c>
      <c r="E351" s="19" t="str">
        <f t="array" ref="E351">IFERROR(IF(INDEX(Sales!$E$7:$E$1506,$O351)="","",INDEX(Sales!$E$7:$E$1506,$O351)),"")</f>
        <v>PAWF-260715-04EAA</v>
      </c>
      <c r="F351" s="19" t="str">
        <f t="array" ref="F351">IFERROR(INDEX(Sales!$F$7:$F$1506,$O351),"")</f>
        <v>FD-DRY-SMHRT-15KG-001</v>
      </c>
      <c r="G351" s="19" t="str">
        <f t="array" ref="G351">IFERROR(INDEX(Sales!$G$7:$G$1506,$O351),"")</f>
        <v>Smart Heart Adult Cat Food Chicken &amp; Tuna [15kg]</v>
      </c>
      <c r="H351" s="96">
        <f t="array" ref="H351">IFERROR(INDEX(Sales!$H$7:$H$1506,$O351),"")</f>
        <v>1</v>
      </c>
      <c r="I351" s="96">
        <f t="array" ref="I351">IFERROR(INDEX(Sales!$I$7:$I$1506,$O351),"")</f>
        <v>6400</v>
      </c>
      <c r="J351" s="96">
        <f t="array" ref="J351">IFERROR(INDEX(Sales!$J$7:$J$1506,$O351),"")</f>
        <v>6700</v>
      </c>
      <c r="K351" s="96">
        <f t="array" ref="K351">IFERROR(INDEX(Sales!$K$7:$K$1506,$O351),"")</f>
        <v>300</v>
      </c>
      <c r="L351" s="96">
        <f t="array" ref="L351">IFERROR(INDEX(Sales!$L$7:$L$1506,$O351),"")</f>
        <v>6400</v>
      </c>
      <c r="M351" s="19" t="str">
        <f t="array" ref="M351">IFERROR(INDEX(Sales!$M$7:$M$1506,$O351),"")</f>
        <v>Paid</v>
      </c>
      <c r="O351" s="111" t="str">
        <f>IFERROR(MATCH(TEXT($B$3,"yyyymm")&amp;"-"&amp;(ROW()-4),Sales!$Y$7:$Y$1506,0),"")</f>
        <v/>
      </c>
    </row>
    <row r="352" ht="14.25" customHeight="1">
      <c r="A352" s="110">
        <f t="array" ref="A352">IFERROR(INDEX(Sales!$A$7:$A$1506,$O352),"")</f>
        <v>46219</v>
      </c>
      <c r="B352" s="19" t="str">
        <f t="array" ref="B352">IFERROR(INDEX(Sales!$B$7:$B$1506,$O352),"")</f>
        <v>Sale</v>
      </c>
      <c r="C352" s="19" t="str">
        <f t="array" ref="C352">IFERROR(INDEX(Sales!$C$7:$C$1506,$O352),"")</f>
        <v>Online</v>
      </c>
      <c r="D352" s="19" t="str">
        <f t="array" ref="D352">IFERROR(INDEX(Sales!$D$7:$D$1506,$O352),"")</f>
        <v>Samreen islam</v>
      </c>
      <c r="E352" s="19" t="str">
        <f t="array" ref="E352">IFERROR(IF(INDEX(Sales!$E$7:$E$1506,$O352)="","",INDEX(Sales!$E$7:$E$1506,$O352)),"")</f>
        <v>PAWF-260715-04EAA</v>
      </c>
      <c r="F352" s="19" t="str">
        <f t="array" ref="F352">IFERROR(INDEX(Sales!$F$7:$F$1506,$O352),"")</f>
        <v>FD-DRY-SMHRT-15KG-001</v>
      </c>
      <c r="G352" s="19" t="str">
        <f t="array" ref="G352">IFERROR(INDEX(Sales!$G$7:$G$1506,$O352),"")</f>
        <v>Smart Heart Adult Cat Food Chicken &amp; Tuna [15kg]</v>
      </c>
      <c r="H352" s="96">
        <f t="array" ref="H352">IFERROR(INDEX(Sales!$H$7:$H$1506,$O352),"")</f>
        <v>1</v>
      </c>
      <c r="I352" s="96">
        <f t="array" ref="I352">IFERROR(INDEX(Sales!$I$7:$I$1506,$O352),"")</f>
        <v>6400</v>
      </c>
      <c r="J352" s="96">
        <f t="array" ref="J352">IFERROR(INDEX(Sales!$J$7:$J$1506,$O352),"")</f>
        <v>6700</v>
      </c>
      <c r="K352" s="96">
        <f t="array" ref="K352">IFERROR(INDEX(Sales!$K$7:$K$1506,$O352),"")</f>
        <v>300</v>
      </c>
      <c r="L352" s="96">
        <f t="array" ref="L352">IFERROR(INDEX(Sales!$L$7:$L$1506,$O352),"")</f>
        <v>6400</v>
      </c>
      <c r="M352" s="19" t="str">
        <f t="array" ref="M352">IFERROR(INDEX(Sales!$M$7:$M$1506,$O352),"")</f>
        <v>Paid</v>
      </c>
      <c r="O352" s="111" t="str">
        <f>IFERROR(MATCH(TEXT($B$3,"yyyymm")&amp;"-"&amp;(ROW()-4),Sales!$Y$7:$Y$1506,0),"")</f>
        <v/>
      </c>
    </row>
    <row r="353" ht="14.25" customHeight="1">
      <c r="A353" s="110">
        <f t="array" ref="A353">IFERROR(INDEX(Sales!$A$7:$A$1506,$O353),"")</f>
        <v>46219</v>
      </c>
      <c r="B353" s="19" t="str">
        <f t="array" ref="B353">IFERROR(INDEX(Sales!$B$7:$B$1506,$O353),"")</f>
        <v>Sale</v>
      </c>
      <c r="C353" s="19" t="str">
        <f t="array" ref="C353">IFERROR(INDEX(Sales!$C$7:$C$1506,$O353),"")</f>
        <v>Online</v>
      </c>
      <c r="D353" s="19" t="str">
        <f t="array" ref="D353">IFERROR(INDEX(Sales!$D$7:$D$1506,$O353),"")</f>
        <v>Samreen islam</v>
      </c>
      <c r="E353" s="19" t="str">
        <f t="array" ref="E353">IFERROR(IF(INDEX(Sales!$E$7:$E$1506,$O353)="","",INDEX(Sales!$E$7:$E$1506,$O353)),"")</f>
        <v>PAWF-260715-04EAA</v>
      </c>
      <c r="F353" s="19" t="str">
        <f t="array" ref="F353">IFERROR(INDEX(Sales!$F$7:$F$1506,$O353),"")</f>
        <v>FD-DRY-SMHRT-15KG-001</v>
      </c>
      <c r="G353" s="19" t="str">
        <f t="array" ref="G353">IFERROR(INDEX(Sales!$G$7:$G$1506,$O353),"")</f>
        <v>Smart Heart Adult Cat Food Chicken &amp; Tuna [15kg]</v>
      </c>
      <c r="H353" s="96">
        <f t="array" ref="H353">IFERROR(INDEX(Sales!$H$7:$H$1506,$O353),"")</f>
        <v>1</v>
      </c>
      <c r="I353" s="96">
        <f t="array" ref="I353">IFERROR(INDEX(Sales!$I$7:$I$1506,$O353),"")</f>
        <v>6400</v>
      </c>
      <c r="J353" s="96">
        <f t="array" ref="J353">IFERROR(INDEX(Sales!$J$7:$J$1506,$O353),"")</f>
        <v>6700</v>
      </c>
      <c r="K353" s="96">
        <f t="array" ref="K353">IFERROR(INDEX(Sales!$K$7:$K$1506,$O353),"")</f>
        <v>300</v>
      </c>
      <c r="L353" s="96">
        <f t="array" ref="L353">IFERROR(INDEX(Sales!$L$7:$L$1506,$O353),"")</f>
        <v>6400</v>
      </c>
      <c r="M353" s="19" t="str">
        <f t="array" ref="M353">IFERROR(INDEX(Sales!$M$7:$M$1506,$O353),"")</f>
        <v>Paid</v>
      </c>
      <c r="O353" s="111" t="str">
        <f>IFERROR(MATCH(TEXT($B$3,"yyyymm")&amp;"-"&amp;(ROW()-4),Sales!$Y$7:$Y$1506,0),"")</f>
        <v/>
      </c>
    </row>
    <row r="354" ht="14.25" customHeight="1">
      <c r="A354" s="110">
        <f t="array" ref="A354">IFERROR(INDEX(Sales!$A$7:$A$1506,$O354),"")</f>
        <v>46219</v>
      </c>
      <c r="B354" s="19" t="str">
        <f t="array" ref="B354">IFERROR(INDEX(Sales!$B$7:$B$1506,$O354),"")</f>
        <v>Sale</v>
      </c>
      <c r="C354" s="19" t="str">
        <f t="array" ref="C354">IFERROR(INDEX(Sales!$C$7:$C$1506,$O354),"")</f>
        <v>Online</v>
      </c>
      <c r="D354" s="19" t="str">
        <f t="array" ref="D354">IFERROR(INDEX(Sales!$D$7:$D$1506,$O354),"")</f>
        <v>Samreen islam</v>
      </c>
      <c r="E354" s="19" t="str">
        <f t="array" ref="E354">IFERROR(IF(INDEX(Sales!$E$7:$E$1506,$O354)="","",INDEX(Sales!$E$7:$E$1506,$O354)),"")</f>
        <v>PAWF-260715-04EAA</v>
      </c>
      <c r="F354" s="19" t="str">
        <f t="array" ref="F354">IFERROR(INDEX(Sales!$F$7:$F$1506,$O354),"")</f>
        <v>FD-DRY-SMHRT-15KG-001</v>
      </c>
      <c r="G354" s="19" t="str">
        <f t="array" ref="G354">IFERROR(INDEX(Sales!$G$7:$G$1506,$O354),"")</f>
        <v>Smart Heart Adult Cat Food Chicken &amp; Tuna [15kg]</v>
      </c>
      <c r="H354" s="96">
        <f t="array" ref="H354">IFERROR(INDEX(Sales!$H$7:$H$1506,$O354),"")</f>
        <v>1</v>
      </c>
      <c r="I354" s="96">
        <f t="array" ref="I354">IFERROR(INDEX(Sales!$I$7:$I$1506,$O354),"")</f>
        <v>6400</v>
      </c>
      <c r="J354" s="96">
        <f t="array" ref="J354">IFERROR(INDEX(Sales!$J$7:$J$1506,$O354),"")</f>
        <v>6700</v>
      </c>
      <c r="K354" s="96">
        <f t="array" ref="K354">IFERROR(INDEX(Sales!$K$7:$K$1506,$O354),"")</f>
        <v>300</v>
      </c>
      <c r="L354" s="96">
        <f t="array" ref="L354">IFERROR(INDEX(Sales!$L$7:$L$1506,$O354),"")</f>
        <v>6400</v>
      </c>
      <c r="M354" s="19" t="str">
        <f t="array" ref="M354">IFERROR(INDEX(Sales!$M$7:$M$1506,$O354),"")</f>
        <v>Paid</v>
      </c>
      <c r="O354" s="111" t="str">
        <f>IFERROR(MATCH(TEXT($B$3,"yyyymm")&amp;"-"&amp;(ROW()-4),Sales!$Y$7:$Y$1506,0),"")</f>
        <v/>
      </c>
    </row>
    <row r="355" ht="14.25" customHeight="1">
      <c r="A355" s="110">
        <f t="array" ref="A355">IFERROR(INDEX(Sales!$A$7:$A$1506,$O355),"")</f>
        <v>46219</v>
      </c>
      <c r="B355" s="19" t="str">
        <f t="array" ref="B355">IFERROR(INDEX(Sales!$B$7:$B$1506,$O355),"")</f>
        <v>Sale</v>
      </c>
      <c r="C355" s="19" t="str">
        <f t="array" ref="C355">IFERROR(INDEX(Sales!$C$7:$C$1506,$O355),"")</f>
        <v>Online</v>
      </c>
      <c r="D355" s="19" t="str">
        <f t="array" ref="D355">IFERROR(INDEX(Sales!$D$7:$D$1506,$O355),"")</f>
        <v>Samreen islam</v>
      </c>
      <c r="E355" s="19" t="str">
        <f t="array" ref="E355">IFERROR(IF(INDEX(Sales!$E$7:$E$1506,$O355)="","",INDEX(Sales!$E$7:$E$1506,$O355)),"")</f>
        <v>PAWF-260715-04EAA</v>
      </c>
      <c r="F355" s="19" t="str">
        <f t="array" ref="F355">IFERROR(INDEX(Sales!$F$7:$F$1506,$O355),"")</f>
        <v>FD-DRY-SMHRT-15KG-001</v>
      </c>
      <c r="G355" s="19" t="str">
        <f t="array" ref="G355">IFERROR(INDEX(Sales!$G$7:$G$1506,$O355),"")</f>
        <v>Smart Heart Adult Cat Food Chicken &amp; Tuna [15kg]</v>
      </c>
      <c r="H355" s="96">
        <f t="array" ref="H355">IFERROR(INDEX(Sales!$H$7:$H$1506,$O355),"")</f>
        <v>1</v>
      </c>
      <c r="I355" s="96">
        <f t="array" ref="I355">IFERROR(INDEX(Sales!$I$7:$I$1506,$O355),"")</f>
        <v>6400</v>
      </c>
      <c r="J355" s="96">
        <f t="array" ref="J355">IFERROR(INDEX(Sales!$J$7:$J$1506,$O355),"")</f>
        <v>6700</v>
      </c>
      <c r="K355" s="96">
        <f t="array" ref="K355">IFERROR(INDEX(Sales!$K$7:$K$1506,$O355),"")</f>
        <v>300</v>
      </c>
      <c r="L355" s="96">
        <f t="array" ref="L355">IFERROR(INDEX(Sales!$L$7:$L$1506,$O355),"")</f>
        <v>6400</v>
      </c>
      <c r="M355" s="19" t="str">
        <f t="array" ref="M355">IFERROR(INDEX(Sales!$M$7:$M$1506,$O355),"")</f>
        <v>Paid</v>
      </c>
      <c r="O355" s="111" t="str">
        <f>IFERROR(MATCH(TEXT($B$3,"yyyymm")&amp;"-"&amp;(ROW()-4),Sales!$Y$7:$Y$1506,0),"")</f>
        <v/>
      </c>
    </row>
    <row r="356" ht="14.25" customHeight="1">
      <c r="A356" s="110">
        <f t="array" ref="A356">IFERROR(INDEX(Sales!$A$7:$A$1506,$O356),"")</f>
        <v>46219</v>
      </c>
      <c r="B356" s="19" t="str">
        <f t="array" ref="B356">IFERROR(INDEX(Sales!$B$7:$B$1506,$O356),"")</f>
        <v>Sale</v>
      </c>
      <c r="C356" s="19" t="str">
        <f t="array" ref="C356">IFERROR(INDEX(Sales!$C$7:$C$1506,$O356),"")</f>
        <v>Online</v>
      </c>
      <c r="D356" s="19" t="str">
        <f t="array" ref="D356">IFERROR(INDEX(Sales!$D$7:$D$1506,$O356),"")</f>
        <v>Samreen islam</v>
      </c>
      <c r="E356" s="19" t="str">
        <f t="array" ref="E356">IFERROR(IF(INDEX(Sales!$E$7:$E$1506,$O356)="","",INDEX(Sales!$E$7:$E$1506,$O356)),"")</f>
        <v>PAWF-260715-04EAA</v>
      </c>
      <c r="F356" s="19" t="str">
        <f t="array" ref="F356">IFERROR(INDEX(Sales!$F$7:$F$1506,$O356),"")</f>
        <v>FD-DRY-SMHRT-15KG-001</v>
      </c>
      <c r="G356" s="19" t="str">
        <f t="array" ref="G356">IFERROR(INDEX(Sales!$G$7:$G$1506,$O356),"")</f>
        <v>Smart Heart Adult Cat Food Chicken &amp; Tuna [15kg]</v>
      </c>
      <c r="H356" s="96">
        <f t="array" ref="H356">IFERROR(INDEX(Sales!$H$7:$H$1506,$O356),"")</f>
        <v>1</v>
      </c>
      <c r="I356" s="96">
        <f t="array" ref="I356">IFERROR(INDEX(Sales!$I$7:$I$1506,$O356),"")</f>
        <v>6400</v>
      </c>
      <c r="J356" s="96">
        <f t="array" ref="J356">IFERROR(INDEX(Sales!$J$7:$J$1506,$O356),"")</f>
        <v>6700</v>
      </c>
      <c r="K356" s="96">
        <f t="array" ref="K356">IFERROR(INDEX(Sales!$K$7:$K$1506,$O356),"")</f>
        <v>300</v>
      </c>
      <c r="L356" s="96">
        <f t="array" ref="L356">IFERROR(INDEX(Sales!$L$7:$L$1506,$O356),"")</f>
        <v>6400</v>
      </c>
      <c r="M356" s="19" t="str">
        <f t="array" ref="M356">IFERROR(INDEX(Sales!$M$7:$M$1506,$O356),"")</f>
        <v>Paid</v>
      </c>
      <c r="O356" s="111" t="str">
        <f>IFERROR(MATCH(TEXT($B$3,"yyyymm")&amp;"-"&amp;(ROW()-4),Sales!$Y$7:$Y$1506,0),"")</f>
        <v/>
      </c>
    </row>
    <row r="357" ht="14.25" customHeight="1">
      <c r="A357" s="110">
        <f t="array" ref="A357">IFERROR(INDEX(Sales!$A$7:$A$1506,$O357),"")</f>
        <v>46219</v>
      </c>
      <c r="B357" s="19" t="str">
        <f t="array" ref="B357">IFERROR(INDEX(Sales!$B$7:$B$1506,$O357),"")</f>
        <v>Sale</v>
      </c>
      <c r="C357" s="19" t="str">
        <f t="array" ref="C357">IFERROR(INDEX(Sales!$C$7:$C$1506,$O357),"")</f>
        <v>Online</v>
      </c>
      <c r="D357" s="19" t="str">
        <f t="array" ref="D357">IFERROR(INDEX(Sales!$D$7:$D$1506,$O357),"")</f>
        <v>Samreen islam</v>
      </c>
      <c r="E357" s="19" t="str">
        <f t="array" ref="E357">IFERROR(IF(INDEX(Sales!$E$7:$E$1506,$O357)="","",INDEX(Sales!$E$7:$E$1506,$O357)),"")</f>
        <v>PAWF-260715-04EAA</v>
      </c>
      <c r="F357" s="19" t="str">
        <f t="array" ref="F357">IFERROR(INDEX(Sales!$F$7:$F$1506,$O357),"")</f>
        <v>FD-DRY-SMHRT-15KG-001</v>
      </c>
      <c r="G357" s="19" t="str">
        <f t="array" ref="G357">IFERROR(INDEX(Sales!$G$7:$G$1506,$O357),"")</f>
        <v>Smart Heart Adult Cat Food Chicken &amp; Tuna [15kg]</v>
      </c>
      <c r="H357" s="96">
        <f t="array" ref="H357">IFERROR(INDEX(Sales!$H$7:$H$1506,$O357),"")</f>
        <v>1</v>
      </c>
      <c r="I357" s="96">
        <f t="array" ref="I357">IFERROR(INDEX(Sales!$I$7:$I$1506,$O357),"")</f>
        <v>6400</v>
      </c>
      <c r="J357" s="96">
        <f t="array" ref="J357">IFERROR(INDEX(Sales!$J$7:$J$1506,$O357),"")</f>
        <v>6700</v>
      </c>
      <c r="K357" s="96">
        <f t="array" ref="K357">IFERROR(INDEX(Sales!$K$7:$K$1506,$O357),"")</f>
        <v>300</v>
      </c>
      <c r="L357" s="96">
        <f t="array" ref="L357">IFERROR(INDEX(Sales!$L$7:$L$1506,$O357),"")</f>
        <v>6400</v>
      </c>
      <c r="M357" s="19" t="str">
        <f t="array" ref="M357">IFERROR(INDEX(Sales!$M$7:$M$1506,$O357),"")</f>
        <v>Paid</v>
      </c>
      <c r="O357" s="111" t="str">
        <f>IFERROR(MATCH(TEXT($B$3,"yyyymm")&amp;"-"&amp;(ROW()-4),Sales!$Y$7:$Y$1506,0),"")</f>
        <v/>
      </c>
    </row>
    <row r="358" ht="14.25" customHeight="1">
      <c r="A358" s="110">
        <f t="array" ref="A358">IFERROR(INDEX(Sales!$A$7:$A$1506,$O358),"")</f>
        <v>46219</v>
      </c>
      <c r="B358" s="19" t="str">
        <f t="array" ref="B358">IFERROR(INDEX(Sales!$B$7:$B$1506,$O358),"")</f>
        <v>Sale</v>
      </c>
      <c r="C358" s="19" t="str">
        <f t="array" ref="C358">IFERROR(INDEX(Sales!$C$7:$C$1506,$O358),"")</f>
        <v>Online</v>
      </c>
      <c r="D358" s="19" t="str">
        <f t="array" ref="D358">IFERROR(INDEX(Sales!$D$7:$D$1506,$O358),"")</f>
        <v>Samreen islam</v>
      </c>
      <c r="E358" s="19" t="str">
        <f t="array" ref="E358">IFERROR(IF(INDEX(Sales!$E$7:$E$1506,$O358)="","",INDEX(Sales!$E$7:$E$1506,$O358)),"")</f>
        <v>PAWF-260715-04EAA</v>
      </c>
      <c r="F358" s="19" t="str">
        <f t="array" ref="F358">IFERROR(INDEX(Sales!$F$7:$F$1506,$O358),"")</f>
        <v>FD-DRY-SMHRT-15KG-001</v>
      </c>
      <c r="G358" s="19" t="str">
        <f t="array" ref="G358">IFERROR(INDEX(Sales!$G$7:$G$1506,$O358),"")</f>
        <v>Smart Heart Adult Cat Food Chicken &amp; Tuna [15kg]</v>
      </c>
      <c r="H358" s="96">
        <f t="array" ref="H358">IFERROR(INDEX(Sales!$H$7:$H$1506,$O358),"")</f>
        <v>1</v>
      </c>
      <c r="I358" s="96">
        <f t="array" ref="I358">IFERROR(INDEX(Sales!$I$7:$I$1506,$O358),"")</f>
        <v>6400</v>
      </c>
      <c r="J358" s="96">
        <f t="array" ref="J358">IFERROR(INDEX(Sales!$J$7:$J$1506,$O358),"")</f>
        <v>6700</v>
      </c>
      <c r="K358" s="96">
        <f t="array" ref="K358">IFERROR(INDEX(Sales!$K$7:$K$1506,$O358),"")</f>
        <v>300</v>
      </c>
      <c r="L358" s="96">
        <f t="array" ref="L358">IFERROR(INDEX(Sales!$L$7:$L$1506,$O358),"")</f>
        <v>6400</v>
      </c>
      <c r="M358" s="19" t="str">
        <f t="array" ref="M358">IFERROR(INDEX(Sales!$M$7:$M$1506,$O358),"")</f>
        <v>Paid</v>
      </c>
      <c r="O358" s="111" t="str">
        <f>IFERROR(MATCH(TEXT($B$3,"yyyymm")&amp;"-"&amp;(ROW()-4),Sales!$Y$7:$Y$1506,0),"")</f>
        <v/>
      </c>
    </row>
    <row r="359" ht="14.25" customHeight="1">
      <c r="A359" s="110">
        <f t="array" ref="A359">IFERROR(INDEX(Sales!$A$7:$A$1506,$O359),"")</f>
        <v>46219</v>
      </c>
      <c r="B359" s="19" t="str">
        <f t="array" ref="B359">IFERROR(INDEX(Sales!$B$7:$B$1506,$O359),"")</f>
        <v>Sale</v>
      </c>
      <c r="C359" s="19" t="str">
        <f t="array" ref="C359">IFERROR(INDEX(Sales!$C$7:$C$1506,$O359),"")</f>
        <v>Online</v>
      </c>
      <c r="D359" s="19" t="str">
        <f t="array" ref="D359">IFERROR(INDEX(Sales!$D$7:$D$1506,$O359),"")</f>
        <v>Samreen islam</v>
      </c>
      <c r="E359" s="19" t="str">
        <f t="array" ref="E359">IFERROR(IF(INDEX(Sales!$E$7:$E$1506,$O359)="","",INDEX(Sales!$E$7:$E$1506,$O359)),"")</f>
        <v>PAWF-260715-04EAA</v>
      </c>
      <c r="F359" s="19" t="str">
        <f t="array" ref="F359">IFERROR(INDEX(Sales!$F$7:$F$1506,$O359),"")</f>
        <v>FD-DRY-SMHRT-15KG-001</v>
      </c>
      <c r="G359" s="19" t="str">
        <f t="array" ref="G359">IFERROR(INDEX(Sales!$G$7:$G$1506,$O359),"")</f>
        <v>Smart Heart Adult Cat Food Chicken &amp; Tuna [15kg]</v>
      </c>
      <c r="H359" s="96">
        <f t="array" ref="H359">IFERROR(INDEX(Sales!$H$7:$H$1506,$O359),"")</f>
        <v>1</v>
      </c>
      <c r="I359" s="96">
        <f t="array" ref="I359">IFERROR(INDEX(Sales!$I$7:$I$1506,$O359),"")</f>
        <v>6400</v>
      </c>
      <c r="J359" s="96">
        <f t="array" ref="J359">IFERROR(INDEX(Sales!$J$7:$J$1506,$O359),"")</f>
        <v>6700</v>
      </c>
      <c r="K359" s="96">
        <f t="array" ref="K359">IFERROR(INDEX(Sales!$K$7:$K$1506,$O359),"")</f>
        <v>300</v>
      </c>
      <c r="L359" s="96">
        <f t="array" ref="L359">IFERROR(INDEX(Sales!$L$7:$L$1506,$O359),"")</f>
        <v>6400</v>
      </c>
      <c r="M359" s="19" t="str">
        <f t="array" ref="M359">IFERROR(INDEX(Sales!$M$7:$M$1506,$O359),"")</f>
        <v>Paid</v>
      </c>
      <c r="O359" s="111" t="str">
        <f>IFERROR(MATCH(TEXT($B$3,"yyyymm")&amp;"-"&amp;(ROW()-4),Sales!$Y$7:$Y$1506,0),"")</f>
        <v/>
      </c>
    </row>
    <row r="360" ht="14.25" customHeight="1">
      <c r="A360" s="110">
        <f t="array" ref="A360">IFERROR(INDEX(Sales!$A$7:$A$1506,$O360),"")</f>
        <v>46219</v>
      </c>
      <c r="B360" s="19" t="str">
        <f t="array" ref="B360">IFERROR(INDEX(Sales!$B$7:$B$1506,$O360),"")</f>
        <v>Sale</v>
      </c>
      <c r="C360" s="19" t="str">
        <f t="array" ref="C360">IFERROR(INDEX(Sales!$C$7:$C$1506,$O360),"")</f>
        <v>Online</v>
      </c>
      <c r="D360" s="19" t="str">
        <f t="array" ref="D360">IFERROR(INDEX(Sales!$D$7:$D$1506,$O360),"")</f>
        <v>Samreen islam</v>
      </c>
      <c r="E360" s="19" t="str">
        <f t="array" ref="E360">IFERROR(IF(INDEX(Sales!$E$7:$E$1506,$O360)="","",INDEX(Sales!$E$7:$E$1506,$O360)),"")</f>
        <v>PAWF-260715-04EAA</v>
      </c>
      <c r="F360" s="19" t="str">
        <f t="array" ref="F360">IFERROR(INDEX(Sales!$F$7:$F$1506,$O360),"")</f>
        <v>FD-DRY-SMHRT-15KG-001</v>
      </c>
      <c r="G360" s="19" t="str">
        <f t="array" ref="G360">IFERROR(INDEX(Sales!$G$7:$G$1506,$O360),"")</f>
        <v>Smart Heart Adult Cat Food Chicken &amp; Tuna [15kg]</v>
      </c>
      <c r="H360" s="96">
        <f t="array" ref="H360">IFERROR(INDEX(Sales!$H$7:$H$1506,$O360),"")</f>
        <v>1</v>
      </c>
      <c r="I360" s="96">
        <f t="array" ref="I360">IFERROR(INDEX(Sales!$I$7:$I$1506,$O360),"")</f>
        <v>6400</v>
      </c>
      <c r="J360" s="96">
        <f t="array" ref="J360">IFERROR(INDEX(Sales!$J$7:$J$1506,$O360),"")</f>
        <v>6700</v>
      </c>
      <c r="K360" s="96">
        <f t="array" ref="K360">IFERROR(INDEX(Sales!$K$7:$K$1506,$O360),"")</f>
        <v>300</v>
      </c>
      <c r="L360" s="96">
        <f t="array" ref="L360">IFERROR(INDEX(Sales!$L$7:$L$1506,$O360),"")</f>
        <v>6400</v>
      </c>
      <c r="M360" s="19" t="str">
        <f t="array" ref="M360">IFERROR(INDEX(Sales!$M$7:$M$1506,$O360),"")</f>
        <v>Paid</v>
      </c>
      <c r="O360" s="111" t="str">
        <f>IFERROR(MATCH(TEXT($B$3,"yyyymm")&amp;"-"&amp;(ROW()-4),Sales!$Y$7:$Y$1506,0),"")</f>
        <v/>
      </c>
    </row>
    <row r="361" ht="14.25" customHeight="1">
      <c r="A361" s="110">
        <f t="array" ref="A361">IFERROR(INDEX(Sales!$A$7:$A$1506,$O361),"")</f>
        <v>46219</v>
      </c>
      <c r="B361" s="19" t="str">
        <f t="array" ref="B361">IFERROR(INDEX(Sales!$B$7:$B$1506,$O361),"")</f>
        <v>Sale</v>
      </c>
      <c r="C361" s="19" t="str">
        <f t="array" ref="C361">IFERROR(INDEX(Sales!$C$7:$C$1506,$O361),"")</f>
        <v>Online</v>
      </c>
      <c r="D361" s="19" t="str">
        <f t="array" ref="D361">IFERROR(INDEX(Sales!$D$7:$D$1506,$O361),"")</f>
        <v>Samreen islam</v>
      </c>
      <c r="E361" s="19" t="str">
        <f t="array" ref="E361">IFERROR(IF(INDEX(Sales!$E$7:$E$1506,$O361)="","",INDEX(Sales!$E$7:$E$1506,$O361)),"")</f>
        <v>PAWF-260715-04EAA</v>
      </c>
      <c r="F361" s="19" t="str">
        <f t="array" ref="F361">IFERROR(INDEX(Sales!$F$7:$F$1506,$O361),"")</f>
        <v>FD-DRY-SMHRT-15KG-001</v>
      </c>
      <c r="G361" s="19" t="str">
        <f t="array" ref="G361">IFERROR(INDEX(Sales!$G$7:$G$1506,$O361),"")</f>
        <v>Smart Heart Adult Cat Food Chicken &amp; Tuna [15kg]</v>
      </c>
      <c r="H361" s="96">
        <f t="array" ref="H361">IFERROR(INDEX(Sales!$H$7:$H$1506,$O361),"")</f>
        <v>1</v>
      </c>
      <c r="I361" s="96">
        <f t="array" ref="I361">IFERROR(INDEX(Sales!$I$7:$I$1506,$O361),"")</f>
        <v>6400</v>
      </c>
      <c r="J361" s="96">
        <f t="array" ref="J361">IFERROR(INDEX(Sales!$J$7:$J$1506,$O361),"")</f>
        <v>6700</v>
      </c>
      <c r="K361" s="96">
        <f t="array" ref="K361">IFERROR(INDEX(Sales!$K$7:$K$1506,$O361),"")</f>
        <v>300</v>
      </c>
      <c r="L361" s="96">
        <f t="array" ref="L361">IFERROR(INDEX(Sales!$L$7:$L$1506,$O361),"")</f>
        <v>6400</v>
      </c>
      <c r="M361" s="19" t="str">
        <f t="array" ref="M361">IFERROR(INDEX(Sales!$M$7:$M$1506,$O361),"")</f>
        <v>Paid</v>
      </c>
      <c r="O361" s="111" t="str">
        <f>IFERROR(MATCH(TEXT($B$3,"yyyymm")&amp;"-"&amp;(ROW()-4),Sales!$Y$7:$Y$1506,0),"")</f>
        <v/>
      </c>
    </row>
    <row r="362" ht="14.25" customHeight="1">
      <c r="A362" s="110">
        <f t="array" ref="A362">IFERROR(INDEX(Sales!$A$7:$A$1506,$O362),"")</f>
        <v>46219</v>
      </c>
      <c r="B362" s="19" t="str">
        <f t="array" ref="B362">IFERROR(INDEX(Sales!$B$7:$B$1506,$O362),"")</f>
        <v>Sale</v>
      </c>
      <c r="C362" s="19" t="str">
        <f t="array" ref="C362">IFERROR(INDEX(Sales!$C$7:$C$1506,$O362),"")</f>
        <v>Online</v>
      </c>
      <c r="D362" s="19" t="str">
        <f t="array" ref="D362">IFERROR(INDEX(Sales!$D$7:$D$1506,$O362),"")</f>
        <v>Samreen islam</v>
      </c>
      <c r="E362" s="19" t="str">
        <f t="array" ref="E362">IFERROR(IF(INDEX(Sales!$E$7:$E$1506,$O362)="","",INDEX(Sales!$E$7:$E$1506,$O362)),"")</f>
        <v>PAWF-260715-04EAA</v>
      </c>
      <c r="F362" s="19" t="str">
        <f t="array" ref="F362">IFERROR(INDEX(Sales!$F$7:$F$1506,$O362),"")</f>
        <v>FD-DRY-SMHRT-15KG-001</v>
      </c>
      <c r="G362" s="19" t="str">
        <f t="array" ref="G362">IFERROR(INDEX(Sales!$G$7:$G$1506,$O362),"")</f>
        <v>Smart Heart Adult Cat Food Chicken &amp; Tuna [15kg]</v>
      </c>
      <c r="H362" s="96">
        <f t="array" ref="H362">IFERROR(INDEX(Sales!$H$7:$H$1506,$O362),"")</f>
        <v>1</v>
      </c>
      <c r="I362" s="96">
        <f t="array" ref="I362">IFERROR(INDEX(Sales!$I$7:$I$1506,$O362),"")</f>
        <v>6400</v>
      </c>
      <c r="J362" s="96">
        <f t="array" ref="J362">IFERROR(INDEX(Sales!$J$7:$J$1506,$O362),"")</f>
        <v>6700</v>
      </c>
      <c r="K362" s="96">
        <f t="array" ref="K362">IFERROR(INDEX(Sales!$K$7:$K$1506,$O362),"")</f>
        <v>300</v>
      </c>
      <c r="L362" s="96">
        <f t="array" ref="L362">IFERROR(INDEX(Sales!$L$7:$L$1506,$O362),"")</f>
        <v>6400</v>
      </c>
      <c r="M362" s="19" t="str">
        <f t="array" ref="M362">IFERROR(INDEX(Sales!$M$7:$M$1506,$O362),"")</f>
        <v>Paid</v>
      </c>
      <c r="O362" s="111" t="str">
        <f>IFERROR(MATCH(TEXT($B$3,"yyyymm")&amp;"-"&amp;(ROW()-4),Sales!$Y$7:$Y$1506,0),"")</f>
        <v/>
      </c>
    </row>
    <row r="363" ht="14.25" customHeight="1">
      <c r="A363" s="110">
        <f t="array" ref="A363">IFERROR(INDEX(Sales!$A$7:$A$1506,$O363),"")</f>
        <v>46219</v>
      </c>
      <c r="B363" s="19" t="str">
        <f t="array" ref="B363">IFERROR(INDEX(Sales!$B$7:$B$1506,$O363),"")</f>
        <v>Sale</v>
      </c>
      <c r="C363" s="19" t="str">
        <f t="array" ref="C363">IFERROR(INDEX(Sales!$C$7:$C$1506,$O363),"")</f>
        <v>Online</v>
      </c>
      <c r="D363" s="19" t="str">
        <f t="array" ref="D363">IFERROR(INDEX(Sales!$D$7:$D$1506,$O363),"")</f>
        <v>Samreen islam</v>
      </c>
      <c r="E363" s="19" t="str">
        <f t="array" ref="E363">IFERROR(IF(INDEX(Sales!$E$7:$E$1506,$O363)="","",INDEX(Sales!$E$7:$E$1506,$O363)),"")</f>
        <v>PAWF-260715-04EAA</v>
      </c>
      <c r="F363" s="19" t="str">
        <f t="array" ref="F363">IFERROR(INDEX(Sales!$F$7:$F$1506,$O363),"")</f>
        <v>FD-DRY-SMHRT-15KG-001</v>
      </c>
      <c r="G363" s="19" t="str">
        <f t="array" ref="G363">IFERROR(INDEX(Sales!$G$7:$G$1506,$O363),"")</f>
        <v>Smart Heart Adult Cat Food Chicken &amp; Tuna [15kg]</v>
      </c>
      <c r="H363" s="96">
        <f t="array" ref="H363">IFERROR(INDEX(Sales!$H$7:$H$1506,$O363),"")</f>
        <v>1</v>
      </c>
      <c r="I363" s="96">
        <f t="array" ref="I363">IFERROR(INDEX(Sales!$I$7:$I$1506,$O363),"")</f>
        <v>6400</v>
      </c>
      <c r="J363" s="96">
        <f t="array" ref="J363">IFERROR(INDEX(Sales!$J$7:$J$1506,$O363),"")</f>
        <v>6700</v>
      </c>
      <c r="K363" s="96">
        <f t="array" ref="K363">IFERROR(INDEX(Sales!$K$7:$K$1506,$O363),"")</f>
        <v>300</v>
      </c>
      <c r="L363" s="96">
        <f t="array" ref="L363">IFERROR(INDEX(Sales!$L$7:$L$1506,$O363),"")</f>
        <v>6400</v>
      </c>
      <c r="M363" s="19" t="str">
        <f t="array" ref="M363">IFERROR(INDEX(Sales!$M$7:$M$1506,$O363),"")</f>
        <v>Paid</v>
      </c>
      <c r="O363" s="111" t="str">
        <f>IFERROR(MATCH(TEXT($B$3,"yyyymm")&amp;"-"&amp;(ROW()-4),Sales!$Y$7:$Y$1506,0),"")</f>
        <v/>
      </c>
    </row>
    <row r="364" ht="14.25" customHeight="1">
      <c r="A364" s="110">
        <f t="array" ref="A364">IFERROR(INDEX(Sales!$A$7:$A$1506,$O364),"")</f>
        <v>46219</v>
      </c>
      <c r="B364" s="19" t="str">
        <f t="array" ref="B364">IFERROR(INDEX(Sales!$B$7:$B$1506,$O364),"")</f>
        <v>Sale</v>
      </c>
      <c r="C364" s="19" t="str">
        <f t="array" ref="C364">IFERROR(INDEX(Sales!$C$7:$C$1506,$O364),"")</f>
        <v>Online</v>
      </c>
      <c r="D364" s="19" t="str">
        <f t="array" ref="D364">IFERROR(INDEX(Sales!$D$7:$D$1506,$O364),"")</f>
        <v>Samreen islam</v>
      </c>
      <c r="E364" s="19" t="str">
        <f t="array" ref="E364">IFERROR(IF(INDEX(Sales!$E$7:$E$1506,$O364)="","",INDEX(Sales!$E$7:$E$1506,$O364)),"")</f>
        <v>PAWF-260715-04EAA</v>
      </c>
      <c r="F364" s="19" t="str">
        <f t="array" ref="F364">IFERROR(INDEX(Sales!$F$7:$F$1506,$O364),"")</f>
        <v>FD-DRY-SMHRT-15KG-001</v>
      </c>
      <c r="G364" s="19" t="str">
        <f t="array" ref="G364">IFERROR(INDEX(Sales!$G$7:$G$1506,$O364),"")</f>
        <v>Smart Heart Adult Cat Food Chicken &amp; Tuna [15kg]</v>
      </c>
      <c r="H364" s="96">
        <f t="array" ref="H364">IFERROR(INDEX(Sales!$H$7:$H$1506,$O364),"")</f>
        <v>1</v>
      </c>
      <c r="I364" s="96">
        <f t="array" ref="I364">IFERROR(INDEX(Sales!$I$7:$I$1506,$O364),"")</f>
        <v>6400</v>
      </c>
      <c r="J364" s="96">
        <f t="array" ref="J364">IFERROR(INDEX(Sales!$J$7:$J$1506,$O364),"")</f>
        <v>6700</v>
      </c>
      <c r="K364" s="96">
        <f t="array" ref="K364">IFERROR(INDEX(Sales!$K$7:$K$1506,$O364),"")</f>
        <v>300</v>
      </c>
      <c r="L364" s="96">
        <f t="array" ref="L364">IFERROR(INDEX(Sales!$L$7:$L$1506,$O364),"")</f>
        <v>6400</v>
      </c>
      <c r="M364" s="19" t="str">
        <f t="array" ref="M364">IFERROR(INDEX(Sales!$M$7:$M$1506,$O364),"")</f>
        <v>Paid</v>
      </c>
      <c r="O364" s="111" t="str">
        <f>IFERROR(MATCH(TEXT($B$3,"yyyymm")&amp;"-"&amp;(ROW()-4),Sales!$Y$7:$Y$1506,0),"")</f>
        <v/>
      </c>
    </row>
    <row r="365" ht="14.25" customHeight="1">
      <c r="A365" s="110">
        <f t="array" ref="A365">IFERROR(INDEX(Sales!$A$7:$A$1506,$O365),"")</f>
        <v>46219</v>
      </c>
      <c r="B365" s="19" t="str">
        <f t="array" ref="B365">IFERROR(INDEX(Sales!$B$7:$B$1506,$O365),"")</f>
        <v>Sale</v>
      </c>
      <c r="C365" s="19" t="str">
        <f t="array" ref="C365">IFERROR(INDEX(Sales!$C$7:$C$1506,$O365),"")</f>
        <v>Online</v>
      </c>
      <c r="D365" s="19" t="str">
        <f t="array" ref="D365">IFERROR(INDEX(Sales!$D$7:$D$1506,$O365),"")</f>
        <v>Samreen islam</v>
      </c>
      <c r="E365" s="19" t="str">
        <f t="array" ref="E365">IFERROR(IF(INDEX(Sales!$E$7:$E$1506,$O365)="","",INDEX(Sales!$E$7:$E$1506,$O365)),"")</f>
        <v>PAWF-260715-04EAA</v>
      </c>
      <c r="F365" s="19" t="str">
        <f t="array" ref="F365">IFERROR(INDEX(Sales!$F$7:$F$1506,$O365),"")</f>
        <v>FD-DRY-SMHRT-15KG-001</v>
      </c>
      <c r="G365" s="19" t="str">
        <f t="array" ref="G365">IFERROR(INDEX(Sales!$G$7:$G$1506,$O365),"")</f>
        <v>Smart Heart Adult Cat Food Chicken &amp; Tuna [15kg]</v>
      </c>
      <c r="H365" s="96">
        <f t="array" ref="H365">IFERROR(INDEX(Sales!$H$7:$H$1506,$O365),"")</f>
        <v>1</v>
      </c>
      <c r="I365" s="96">
        <f t="array" ref="I365">IFERROR(INDEX(Sales!$I$7:$I$1506,$O365),"")</f>
        <v>6400</v>
      </c>
      <c r="J365" s="96">
        <f t="array" ref="J365">IFERROR(INDEX(Sales!$J$7:$J$1506,$O365),"")</f>
        <v>6700</v>
      </c>
      <c r="K365" s="96">
        <f t="array" ref="K365">IFERROR(INDEX(Sales!$K$7:$K$1506,$O365),"")</f>
        <v>300</v>
      </c>
      <c r="L365" s="96">
        <f t="array" ref="L365">IFERROR(INDEX(Sales!$L$7:$L$1506,$O365),"")</f>
        <v>6400</v>
      </c>
      <c r="M365" s="19" t="str">
        <f t="array" ref="M365">IFERROR(INDEX(Sales!$M$7:$M$1506,$O365),"")</f>
        <v>Paid</v>
      </c>
      <c r="O365" s="111" t="str">
        <f>IFERROR(MATCH(TEXT($B$3,"yyyymm")&amp;"-"&amp;(ROW()-4),Sales!$Y$7:$Y$1506,0),"")</f>
        <v/>
      </c>
    </row>
    <row r="366" ht="14.25" customHeight="1">
      <c r="A366" s="110">
        <f t="array" ref="A366">IFERROR(INDEX(Sales!$A$7:$A$1506,$O366),"")</f>
        <v>46219</v>
      </c>
      <c r="B366" s="19" t="str">
        <f t="array" ref="B366">IFERROR(INDEX(Sales!$B$7:$B$1506,$O366),"")</f>
        <v>Sale</v>
      </c>
      <c r="C366" s="19" t="str">
        <f t="array" ref="C366">IFERROR(INDEX(Sales!$C$7:$C$1506,$O366),"")</f>
        <v>Online</v>
      </c>
      <c r="D366" s="19" t="str">
        <f t="array" ref="D366">IFERROR(INDEX(Sales!$D$7:$D$1506,$O366),"")</f>
        <v>Samreen islam</v>
      </c>
      <c r="E366" s="19" t="str">
        <f t="array" ref="E366">IFERROR(IF(INDEX(Sales!$E$7:$E$1506,$O366)="","",INDEX(Sales!$E$7:$E$1506,$O366)),"")</f>
        <v>PAWF-260715-04EAA</v>
      </c>
      <c r="F366" s="19" t="str">
        <f t="array" ref="F366">IFERROR(INDEX(Sales!$F$7:$F$1506,$O366),"")</f>
        <v>FD-DRY-SMHRT-15KG-001</v>
      </c>
      <c r="G366" s="19" t="str">
        <f t="array" ref="G366">IFERROR(INDEX(Sales!$G$7:$G$1506,$O366),"")</f>
        <v>Smart Heart Adult Cat Food Chicken &amp; Tuna [15kg]</v>
      </c>
      <c r="H366" s="96">
        <f t="array" ref="H366">IFERROR(INDEX(Sales!$H$7:$H$1506,$O366),"")</f>
        <v>1</v>
      </c>
      <c r="I366" s="96">
        <f t="array" ref="I366">IFERROR(INDEX(Sales!$I$7:$I$1506,$O366),"")</f>
        <v>6400</v>
      </c>
      <c r="J366" s="96">
        <f t="array" ref="J366">IFERROR(INDEX(Sales!$J$7:$J$1506,$O366),"")</f>
        <v>6700</v>
      </c>
      <c r="K366" s="96">
        <f t="array" ref="K366">IFERROR(INDEX(Sales!$K$7:$K$1506,$O366),"")</f>
        <v>300</v>
      </c>
      <c r="L366" s="96">
        <f t="array" ref="L366">IFERROR(INDEX(Sales!$L$7:$L$1506,$O366),"")</f>
        <v>6400</v>
      </c>
      <c r="M366" s="19" t="str">
        <f t="array" ref="M366">IFERROR(INDEX(Sales!$M$7:$M$1506,$O366),"")</f>
        <v>Paid</v>
      </c>
      <c r="O366" s="111" t="str">
        <f>IFERROR(MATCH(TEXT($B$3,"yyyymm")&amp;"-"&amp;(ROW()-4),Sales!$Y$7:$Y$1506,0),"")</f>
        <v/>
      </c>
    </row>
    <row r="367" ht="14.25" customHeight="1">
      <c r="A367" s="110">
        <f t="array" ref="A367">IFERROR(INDEX(Sales!$A$7:$A$1506,$O367),"")</f>
        <v>46219</v>
      </c>
      <c r="B367" s="19" t="str">
        <f t="array" ref="B367">IFERROR(INDEX(Sales!$B$7:$B$1506,$O367),"")</f>
        <v>Sale</v>
      </c>
      <c r="C367" s="19" t="str">
        <f t="array" ref="C367">IFERROR(INDEX(Sales!$C$7:$C$1506,$O367),"")</f>
        <v>Online</v>
      </c>
      <c r="D367" s="19" t="str">
        <f t="array" ref="D367">IFERROR(INDEX(Sales!$D$7:$D$1506,$O367),"")</f>
        <v>Samreen islam</v>
      </c>
      <c r="E367" s="19" t="str">
        <f t="array" ref="E367">IFERROR(IF(INDEX(Sales!$E$7:$E$1506,$O367)="","",INDEX(Sales!$E$7:$E$1506,$O367)),"")</f>
        <v>PAWF-260715-04EAA</v>
      </c>
      <c r="F367" s="19" t="str">
        <f t="array" ref="F367">IFERROR(INDEX(Sales!$F$7:$F$1506,$O367),"")</f>
        <v>FD-DRY-SMHRT-15KG-001</v>
      </c>
      <c r="G367" s="19" t="str">
        <f t="array" ref="G367">IFERROR(INDEX(Sales!$G$7:$G$1506,$O367),"")</f>
        <v>Smart Heart Adult Cat Food Chicken &amp; Tuna [15kg]</v>
      </c>
      <c r="H367" s="96">
        <f t="array" ref="H367">IFERROR(INDEX(Sales!$H$7:$H$1506,$O367),"")</f>
        <v>1</v>
      </c>
      <c r="I367" s="96">
        <f t="array" ref="I367">IFERROR(INDEX(Sales!$I$7:$I$1506,$O367),"")</f>
        <v>6400</v>
      </c>
      <c r="J367" s="96">
        <f t="array" ref="J367">IFERROR(INDEX(Sales!$J$7:$J$1506,$O367),"")</f>
        <v>6700</v>
      </c>
      <c r="K367" s="96">
        <f t="array" ref="K367">IFERROR(INDEX(Sales!$K$7:$K$1506,$O367),"")</f>
        <v>300</v>
      </c>
      <c r="L367" s="96">
        <f t="array" ref="L367">IFERROR(INDEX(Sales!$L$7:$L$1506,$O367),"")</f>
        <v>6400</v>
      </c>
      <c r="M367" s="19" t="str">
        <f t="array" ref="M367">IFERROR(INDEX(Sales!$M$7:$M$1506,$O367),"")</f>
        <v>Paid</v>
      </c>
      <c r="O367" s="111" t="str">
        <f>IFERROR(MATCH(TEXT($B$3,"yyyymm")&amp;"-"&amp;(ROW()-4),Sales!$Y$7:$Y$1506,0),"")</f>
        <v/>
      </c>
    </row>
    <row r="368" ht="14.25" customHeight="1">
      <c r="A368" s="110">
        <f t="array" ref="A368">IFERROR(INDEX(Sales!$A$7:$A$1506,$O368),"")</f>
        <v>46219</v>
      </c>
      <c r="B368" s="19" t="str">
        <f t="array" ref="B368">IFERROR(INDEX(Sales!$B$7:$B$1506,$O368),"")</f>
        <v>Sale</v>
      </c>
      <c r="C368" s="19" t="str">
        <f t="array" ref="C368">IFERROR(INDEX(Sales!$C$7:$C$1506,$O368),"")</f>
        <v>Online</v>
      </c>
      <c r="D368" s="19" t="str">
        <f t="array" ref="D368">IFERROR(INDEX(Sales!$D$7:$D$1506,$O368),"")</f>
        <v>Samreen islam</v>
      </c>
      <c r="E368" s="19" t="str">
        <f t="array" ref="E368">IFERROR(IF(INDEX(Sales!$E$7:$E$1506,$O368)="","",INDEX(Sales!$E$7:$E$1506,$O368)),"")</f>
        <v>PAWF-260715-04EAA</v>
      </c>
      <c r="F368" s="19" t="str">
        <f t="array" ref="F368">IFERROR(INDEX(Sales!$F$7:$F$1506,$O368),"")</f>
        <v>FD-DRY-SMHRT-15KG-001</v>
      </c>
      <c r="G368" s="19" t="str">
        <f t="array" ref="G368">IFERROR(INDEX(Sales!$G$7:$G$1506,$O368),"")</f>
        <v>Smart Heart Adult Cat Food Chicken &amp; Tuna [15kg]</v>
      </c>
      <c r="H368" s="96">
        <f t="array" ref="H368">IFERROR(INDEX(Sales!$H$7:$H$1506,$O368),"")</f>
        <v>1</v>
      </c>
      <c r="I368" s="96">
        <f t="array" ref="I368">IFERROR(INDEX(Sales!$I$7:$I$1506,$O368),"")</f>
        <v>6400</v>
      </c>
      <c r="J368" s="96">
        <f t="array" ref="J368">IFERROR(INDEX(Sales!$J$7:$J$1506,$O368),"")</f>
        <v>6700</v>
      </c>
      <c r="K368" s="96">
        <f t="array" ref="K368">IFERROR(INDEX(Sales!$K$7:$K$1506,$O368),"")</f>
        <v>300</v>
      </c>
      <c r="L368" s="96">
        <f t="array" ref="L368">IFERROR(INDEX(Sales!$L$7:$L$1506,$O368),"")</f>
        <v>6400</v>
      </c>
      <c r="M368" s="19" t="str">
        <f t="array" ref="M368">IFERROR(INDEX(Sales!$M$7:$M$1506,$O368),"")</f>
        <v>Paid</v>
      </c>
      <c r="O368" s="111" t="str">
        <f>IFERROR(MATCH(TEXT($B$3,"yyyymm")&amp;"-"&amp;(ROW()-4),Sales!$Y$7:$Y$1506,0),"")</f>
        <v/>
      </c>
    </row>
    <row r="369" ht="14.25" customHeight="1">
      <c r="A369" s="110">
        <f t="array" ref="A369">IFERROR(INDEX(Sales!$A$7:$A$1506,$O369),"")</f>
        <v>46219</v>
      </c>
      <c r="B369" s="19" t="str">
        <f t="array" ref="B369">IFERROR(INDEX(Sales!$B$7:$B$1506,$O369),"")</f>
        <v>Sale</v>
      </c>
      <c r="C369" s="19" t="str">
        <f t="array" ref="C369">IFERROR(INDEX(Sales!$C$7:$C$1506,$O369),"")</f>
        <v>Online</v>
      </c>
      <c r="D369" s="19" t="str">
        <f t="array" ref="D369">IFERROR(INDEX(Sales!$D$7:$D$1506,$O369),"")</f>
        <v>Samreen islam</v>
      </c>
      <c r="E369" s="19" t="str">
        <f t="array" ref="E369">IFERROR(IF(INDEX(Sales!$E$7:$E$1506,$O369)="","",INDEX(Sales!$E$7:$E$1506,$O369)),"")</f>
        <v>PAWF-260715-04EAA</v>
      </c>
      <c r="F369" s="19" t="str">
        <f t="array" ref="F369">IFERROR(INDEX(Sales!$F$7:$F$1506,$O369),"")</f>
        <v>FD-DRY-SMHRT-15KG-001</v>
      </c>
      <c r="G369" s="19" t="str">
        <f t="array" ref="G369">IFERROR(INDEX(Sales!$G$7:$G$1506,$O369),"")</f>
        <v>Smart Heart Adult Cat Food Chicken &amp; Tuna [15kg]</v>
      </c>
      <c r="H369" s="96">
        <f t="array" ref="H369">IFERROR(INDEX(Sales!$H$7:$H$1506,$O369),"")</f>
        <v>1</v>
      </c>
      <c r="I369" s="96">
        <f t="array" ref="I369">IFERROR(INDEX(Sales!$I$7:$I$1506,$O369),"")</f>
        <v>6400</v>
      </c>
      <c r="J369" s="96">
        <f t="array" ref="J369">IFERROR(INDEX(Sales!$J$7:$J$1506,$O369),"")</f>
        <v>6700</v>
      </c>
      <c r="K369" s="96">
        <f t="array" ref="K369">IFERROR(INDEX(Sales!$K$7:$K$1506,$O369),"")</f>
        <v>300</v>
      </c>
      <c r="L369" s="96">
        <f t="array" ref="L369">IFERROR(INDEX(Sales!$L$7:$L$1506,$O369),"")</f>
        <v>6400</v>
      </c>
      <c r="M369" s="19" t="str">
        <f t="array" ref="M369">IFERROR(INDEX(Sales!$M$7:$M$1506,$O369),"")</f>
        <v>Paid</v>
      </c>
      <c r="O369" s="111" t="str">
        <f>IFERROR(MATCH(TEXT($B$3,"yyyymm")&amp;"-"&amp;(ROW()-4),Sales!$Y$7:$Y$1506,0),"")</f>
        <v/>
      </c>
    </row>
    <row r="370" ht="14.25" customHeight="1">
      <c r="A370" s="110">
        <f t="array" ref="A370">IFERROR(INDEX(Sales!$A$7:$A$1506,$O370),"")</f>
        <v>46219</v>
      </c>
      <c r="B370" s="19" t="str">
        <f t="array" ref="B370">IFERROR(INDEX(Sales!$B$7:$B$1506,$O370),"")</f>
        <v>Sale</v>
      </c>
      <c r="C370" s="19" t="str">
        <f t="array" ref="C370">IFERROR(INDEX(Sales!$C$7:$C$1506,$O370),"")</f>
        <v>Online</v>
      </c>
      <c r="D370" s="19" t="str">
        <f t="array" ref="D370">IFERROR(INDEX(Sales!$D$7:$D$1506,$O370),"")</f>
        <v>Samreen islam</v>
      </c>
      <c r="E370" s="19" t="str">
        <f t="array" ref="E370">IFERROR(IF(INDEX(Sales!$E$7:$E$1506,$O370)="","",INDEX(Sales!$E$7:$E$1506,$O370)),"")</f>
        <v>PAWF-260715-04EAA</v>
      </c>
      <c r="F370" s="19" t="str">
        <f t="array" ref="F370">IFERROR(INDEX(Sales!$F$7:$F$1506,$O370),"")</f>
        <v>FD-DRY-SMHRT-15KG-001</v>
      </c>
      <c r="G370" s="19" t="str">
        <f t="array" ref="G370">IFERROR(INDEX(Sales!$G$7:$G$1506,$O370),"")</f>
        <v>Smart Heart Adult Cat Food Chicken &amp; Tuna [15kg]</v>
      </c>
      <c r="H370" s="96">
        <f t="array" ref="H370">IFERROR(INDEX(Sales!$H$7:$H$1506,$O370),"")</f>
        <v>1</v>
      </c>
      <c r="I370" s="96">
        <f t="array" ref="I370">IFERROR(INDEX(Sales!$I$7:$I$1506,$O370),"")</f>
        <v>6400</v>
      </c>
      <c r="J370" s="96">
        <f t="array" ref="J370">IFERROR(INDEX(Sales!$J$7:$J$1506,$O370),"")</f>
        <v>6700</v>
      </c>
      <c r="K370" s="96">
        <f t="array" ref="K370">IFERROR(INDEX(Sales!$K$7:$K$1506,$O370),"")</f>
        <v>300</v>
      </c>
      <c r="L370" s="96">
        <f t="array" ref="L370">IFERROR(INDEX(Sales!$L$7:$L$1506,$O370),"")</f>
        <v>6400</v>
      </c>
      <c r="M370" s="19" t="str">
        <f t="array" ref="M370">IFERROR(INDEX(Sales!$M$7:$M$1506,$O370),"")</f>
        <v>Paid</v>
      </c>
      <c r="O370" s="111" t="str">
        <f>IFERROR(MATCH(TEXT($B$3,"yyyymm")&amp;"-"&amp;(ROW()-4),Sales!$Y$7:$Y$1506,0),"")</f>
        <v/>
      </c>
    </row>
    <row r="371" ht="14.25" customHeight="1">
      <c r="A371" s="110">
        <f t="array" ref="A371">IFERROR(INDEX(Sales!$A$7:$A$1506,$O371),"")</f>
        <v>46219</v>
      </c>
      <c r="B371" s="19" t="str">
        <f t="array" ref="B371">IFERROR(INDEX(Sales!$B$7:$B$1506,$O371),"")</f>
        <v>Sale</v>
      </c>
      <c r="C371" s="19" t="str">
        <f t="array" ref="C371">IFERROR(INDEX(Sales!$C$7:$C$1506,$O371),"")</f>
        <v>Online</v>
      </c>
      <c r="D371" s="19" t="str">
        <f t="array" ref="D371">IFERROR(INDEX(Sales!$D$7:$D$1506,$O371),"")</f>
        <v>Samreen islam</v>
      </c>
      <c r="E371" s="19" t="str">
        <f t="array" ref="E371">IFERROR(IF(INDEX(Sales!$E$7:$E$1506,$O371)="","",INDEX(Sales!$E$7:$E$1506,$O371)),"")</f>
        <v>PAWF-260715-04EAA</v>
      </c>
      <c r="F371" s="19" t="str">
        <f t="array" ref="F371">IFERROR(INDEX(Sales!$F$7:$F$1506,$O371),"")</f>
        <v>FD-DRY-SMHRT-15KG-001</v>
      </c>
      <c r="G371" s="19" t="str">
        <f t="array" ref="G371">IFERROR(INDEX(Sales!$G$7:$G$1506,$O371),"")</f>
        <v>Smart Heart Adult Cat Food Chicken &amp; Tuna [15kg]</v>
      </c>
      <c r="H371" s="96">
        <f t="array" ref="H371">IFERROR(INDEX(Sales!$H$7:$H$1506,$O371),"")</f>
        <v>1</v>
      </c>
      <c r="I371" s="96">
        <f t="array" ref="I371">IFERROR(INDEX(Sales!$I$7:$I$1506,$O371),"")</f>
        <v>6400</v>
      </c>
      <c r="J371" s="96">
        <f t="array" ref="J371">IFERROR(INDEX(Sales!$J$7:$J$1506,$O371),"")</f>
        <v>6700</v>
      </c>
      <c r="K371" s="96">
        <f t="array" ref="K371">IFERROR(INDEX(Sales!$K$7:$K$1506,$O371),"")</f>
        <v>300</v>
      </c>
      <c r="L371" s="96">
        <f t="array" ref="L371">IFERROR(INDEX(Sales!$L$7:$L$1506,$O371),"")</f>
        <v>6400</v>
      </c>
      <c r="M371" s="19" t="str">
        <f t="array" ref="M371">IFERROR(INDEX(Sales!$M$7:$M$1506,$O371),"")</f>
        <v>Paid</v>
      </c>
      <c r="O371" s="111" t="str">
        <f>IFERROR(MATCH(TEXT($B$3,"yyyymm")&amp;"-"&amp;(ROW()-4),Sales!$Y$7:$Y$1506,0),"")</f>
        <v/>
      </c>
    </row>
    <row r="372" ht="14.25" customHeight="1">
      <c r="A372" s="110">
        <f t="array" ref="A372">IFERROR(INDEX(Sales!$A$7:$A$1506,$O372),"")</f>
        <v>46219</v>
      </c>
      <c r="B372" s="19" t="str">
        <f t="array" ref="B372">IFERROR(INDEX(Sales!$B$7:$B$1506,$O372),"")</f>
        <v>Sale</v>
      </c>
      <c r="C372" s="19" t="str">
        <f t="array" ref="C372">IFERROR(INDEX(Sales!$C$7:$C$1506,$O372),"")</f>
        <v>Online</v>
      </c>
      <c r="D372" s="19" t="str">
        <f t="array" ref="D372">IFERROR(INDEX(Sales!$D$7:$D$1506,$O372),"")</f>
        <v>Samreen islam</v>
      </c>
      <c r="E372" s="19" t="str">
        <f t="array" ref="E372">IFERROR(IF(INDEX(Sales!$E$7:$E$1506,$O372)="","",INDEX(Sales!$E$7:$E$1506,$O372)),"")</f>
        <v>PAWF-260715-04EAA</v>
      </c>
      <c r="F372" s="19" t="str">
        <f t="array" ref="F372">IFERROR(INDEX(Sales!$F$7:$F$1506,$O372),"")</f>
        <v>FD-DRY-SMHRT-15KG-001</v>
      </c>
      <c r="G372" s="19" t="str">
        <f t="array" ref="G372">IFERROR(INDEX(Sales!$G$7:$G$1506,$O372),"")</f>
        <v>Smart Heart Adult Cat Food Chicken &amp; Tuna [15kg]</v>
      </c>
      <c r="H372" s="96">
        <f t="array" ref="H372">IFERROR(INDEX(Sales!$H$7:$H$1506,$O372),"")</f>
        <v>1</v>
      </c>
      <c r="I372" s="96">
        <f t="array" ref="I372">IFERROR(INDEX(Sales!$I$7:$I$1506,$O372),"")</f>
        <v>6400</v>
      </c>
      <c r="J372" s="96">
        <f t="array" ref="J372">IFERROR(INDEX(Sales!$J$7:$J$1506,$O372),"")</f>
        <v>6700</v>
      </c>
      <c r="K372" s="96">
        <f t="array" ref="K372">IFERROR(INDEX(Sales!$K$7:$K$1506,$O372),"")</f>
        <v>300</v>
      </c>
      <c r="L372" s="96">
        <f t="array" ref="L372">IFERROR(INDEX(Sales!$L$7:$L$1506,$O372),"")</f>
        <v>6400</v>
      </c>
      <c r="M372" s="19" t="str">
        <f t="array" ref="M372">IFERROR(INDEX(Sales!$M$7:$M$1506,$O372),"")</f>
        <v>Paid</v>
      </c>
      <c r="O372" s="111" t="str">
        <f>IFERROR(MATCH(TEXT($B$3,"yyyymm")&amp;"-"&amp;(ROW()-4),Sales!$Y$7:$Y$1506,0),"")</f>
        <v/>
      </c>
    </row>
    <row r="373" ht="14.25" customHeight="1">
      <c r="A373" s="110">
        <f t="array" ref="A373">IFERROR(INDEX(Sales!$A$7:$A$1506,$O373),"")</f>
        <v>46219</v>
      </c>
      <c r="B373" s="19" t="str">
        <f t="array" ref="B373">IFERROR(INDEX(Sales!$B$7:$B$1506,$O373),"")</f>
        <v>Sale</v>
      </c>
      <c r="C373" s="19" t="str">
        <f t="array" ref="C373">IFERROR(INDEX(Sales!$C$7:$C$1506,$O373),"")</f>
        <v>Online</v>
      </c>
      <c r="D373" s="19" t="str">
        <f t="array" ref="D373">IFERROR(INDEX(Sales!$D$7:$D$1506,$O373),"")</f>
        <v>Samreen islam</v>
      </c>
      <c r="E373" s="19" t="str">
        <f t="array" ref="E373">IFERROR(IF(INDEX(Sales!$E$7:$E$1506,$O373)="","",INDEX(Sales!$E$7:$E$1506,$O373)),"")</f>
        <v>PAWF-260715-04EAA</v>
      </c>
      <c r="F373" s="19" t="str">
        <f t="array" ref="F373">IFERROR(INDEX(Sales!$F$7:$F$1506,$O373),"")</f>
        <v>FD-DRY-SMHRT-15KG-001</v>
      </c>
      <c r="G373" s="19" t="str">
        <f t="array" ref="G373">IFERROR(INDEX(Sales!$G$7:$G$1506,$O373),"")</f>
        <v>Smart Heart Adult Cat Food Chicken &amp; Tuna [15kg]</v>
      </c>
      <c r="H373" s="96">
        <f t="array" ref="H373">IFERROR(INDEX(Sales!$H$7:$H$1506,$O373),"")</f>
        <v>1</v>
      </c>
      <c r="I373" s="96">
        <f t="array" ref="I373">IFERROR(INDEX(Sales!$I$7:$I$1506,$O373),"")</f>
        <v>6400</v>
      </c>
      <c r="J373" s="96">
        <f t="array" ref="J373">IFERROR(INDEX(Sales!$J$7:$J$1506,$O373),"")</f>
        <v>6700</v>
      </c>
      <c r="K373" s="96">
        <f t="array" ref="K373">IFERROR(INDEX(Sales!$K$7:$K$1506,$O373),"")</f>
        <v>300</v>
      </c>
      <c r="L373" s="96">
        <f t="array" ref="L373">IFERROR(INDEX(Sales!$L$7:$L$1506,$O373),"")</f>
        <v>6400</v>
      </c>
      <c r="M373" s="19" t="str">
        <f t="array" ref="M373">IFERROR(INDEX(Sales!$M$7:$M$1506,$O373),"")</f>
        <v>Paid</v>
      </c>
      <c r="O373" s="111" t="str">
        <f>IFERROR(MATCH(TEXT($B$3,"yyyymm")&amp;"-"&amp;(ROW()-4),Sales!$Y$7:$Y$1506,0),"")</f>
        <v/>
      </c>
    </row>
    <row r="374" ht="14.25" customHeight="1">
      <c r="A374" s="110">
        <f t="array" ref="A374">IFERROR(INDEX(Sales!$A$7:$A$1506,$O374),"")</f>
        <v>46219</v>
      </c>
      <c r="B374" s="19" t="str">
        <f t="array" ref="B374">IFERROR(INDEX(Sales!$B$7:$B$1506,$O374),"")</f>
        <v>Sale</v>
      </c>
      <c r="C374" s="19" t="str">
        <f t="array" ref="C374">IFERROR(INDEX(Sales!$C$7:$C$1506,$O374),"")</f>
        <v>Online</v>
      </c>
      <c r="D374" s="19" t="str">
        <f t="array" ref="D374">IFERROR(INDEX(Sales!$D$7:$D$1506,$O374),"")</f>
        <v>Samreen islam</v>
      </c>
      <c r="E374" s="19" t="str">
        <f t="array" ref="E374">IFERROR(IF(INDEX(Sales!$E$7:$E$1506,$O374)="","",INDEX(Sales!$E$7:$E$1506,$O374)),"")</f>
        <v>PAWF-260715-04EAA</v>
      </c>
      <c r="F374" s="19" t="str">
        <f t="array" ref="F374">IFERROR(INDEX(Sales!$F$7:$F$1506,$O374),"")</f>
        <v>FD-DRY-SMHRT-15KG-001</v>
      </c>
      <c r="G374" s="19" t="str">
        <f t="array" ref="G374">IFERROR(INDEX(Sales!$G$7:$G$1506,$O374),"")</f>
        <v>Smart Heart Adult Cat Food Chicken &amp; Tuna [15kg]</v>
      </c>
      <c r="H374" s="96">
        <f t="array" ref="H374">IFERROR(INDEX(Sales!$H$7:$H$1506,$O374),"")</f>
        <v>1</v>
      </c>
      <c r="I374" s="96">
        <f t="array" ref="I374">IFERROR(INDEX(Sales!$I$7:$I$1506,$O374),"")</f>
        <v>6400</v>
      </c>
      <c r="J374" s="96">
        <f t="array" ref="J374">IFERROR(INDEX(Sales!$J$7:$J$1506,$O374),"")</f>
        <v>6700</v>
      </c>
      <c r="K374" s="96">
        <f t="array" ref="K374">IFERROR(INDEX(Sales!$K$7:$K$1506,$O374),"")</f>
        <v>300</v>
      </c>
      <c r="L374" s="96">
        <f t="array" ref="L374">IFERROR(INDEX(Sales!$L$7:$L$1506,$O374),"")</f>
        <v>6400</v>
      </c>
      <c r="M374" s="19" t="str">
        <f t="array" ref="M374">IFERROR(INDEX(Sales!$M$7:$M$1506,$O374),"")</f>
        <v>Paid</v>
      </c>
      <c r="O374" s="111" t="str">
        <f>IFERROR(MATCH(TEXT($B$3,"yyyymm")&amp;"-"&amp;(ROW()-4),Sales!$Y$7:$Y$1506,0),"")</f>
        <v/>
      </c>
    </row>
    <row r="375" ht="14.25" customHeight="1">
      <c r="A375" s="110">
        <f t="array" ref="A375">IFERROR(INDEX(Sales!$A$7:$A$1506,$O375),"")</f>
        <v>46219</v>
      </c>
      <c r="B375" s="19" t="str">
        <f t="array" ref="B375">IFERROR(INDEX(Sales!$B$7:$B$1506,$O375),"")</f>
        <v>Sale</v>
      </c>
      <c r="C375" s="19" t="str">
        <f t="array" ref="C375">IFERROR(INDEX(Sales!$C$7:$C$1506,$O375),"")</f>
        <v>Online</v>
      </c>
      <c r="D375" s="19" t="str">
        <f t="array" ref="D375">IFERROR(INDEX(Sales!$D$7:$D$1506,$O375),"")</f>
        <v>Samreen islam</v>
      </c>
      <c r="E375" s="19" t="str">
        <f t="array" ref="E375">IFERROR(IF(INDEX(Sales!$E$7:$E$1506,$O375)="","",INDEX(Sales!$E$7:$E$1506,$O375)),"")</f>
        <v>PAWF-260715-04EAA</v>
      </c>
      <c r="F375" s="19" t="str">
        <f t="array" ref="F375">IFERROR(INDEX(Sales!$F$7:$F$1506,$O375),"")</f>
        <v>FD-DRY-SMHRT-15KG-001</v>
      </c>
      <c r="G375" s="19" t="str">
        <f t="array" ref="G375">IFERROR(INDEX(Sales!$G$7:$G$1506,$O375),"")</f>
        <v>Smart Heart Adult Cat Food Chicken &amp; Tuna [15kg]</v>
      </c>
      <c r="H375" s="96">
        <f t="array" ref="H375">IFERROR(INDEX(Sales!$H$7:$H$1506,$O375),"")</f>
        <v>1</v>
      </c>
      <c r="I375" s="96">
        <f t="array" ref="I375">IFERROR(INDEX(Sales!$I$7:$I$1506,$O375),"")</f>
        <v>6400</v>
      </c>
      <c r="J375" s="96">
        <f t="array" ref="J375">IFERROR(INDEX(Sales!$J$7:$J$1506,$O375),"")</f>
        <v>6700</v>
      </c>
      <c r="K375" s="96">
        <f t="array" ref="K375">IFERROR(INDEX(Sales!$K$7:$K$1506,$O375),"")</f>
        <v>300</v>
      </c>
      <c r="L375" s="96">
        <f t="array" ref="L375">IFERROR(INDEX(Sales!$L$7:$L$1506,$O375),"")</f>
        <v>6400</v>
      </c>
      <c r="M375" s="19" t="str">
        <f t="array" ref="M375">IFERROR(INDEX(Sales!$M$7:$M$1506,$O375),"")</f>
        <v>Paid</v>
      </c>
      <c r="O375" s="111" t="str">
        <f>IFERROR(MATCH(TEXT($B$3,"yyyymm")&amp;"-"&amp;(ROW()-4),Sales!$Y$7:$Y$1506,0),"")</f>
        <v/>
      </c>
    </row>
    <row r="376" ht="14.25" customHeight="1">
      <c r="A376" s="110">
        <f t="array" ref="A376">IFERROR(INDEX(Sales!$A$7:$A$1506,$O376),"")</f>
        <v>46219</v>
      </c>
      <c r="B376" s="19" t="str">
        <f t="array" ref="B376">IFERROR(INDEX(Sales!$B$7:$B$1506,$O376),"")</f>
        <v>Sale</v>
      </c>
      <c r="C376" s="19" t="str">
        <f t="array" ref="C376">IFERROR(INDEX(Sales!$C$7:$C$1506,$O376),"")</f>
        <v>Online</v>
      </c>
      <c r="D376" s="19" t="str">
        <f t="array" ref="D376">IFERROR(INDEX(Sales!$D$7:$D$1506,$O376),"")</f>
        <v>Samreen islam</v>
      </c>
      <c r="E376" s="19" t="str">
        <f t="array" ref="E376">IFERROR(IF(INDEX(Sales!$E$7:$E$1506,$O376)="","",INDEX(Sales!$E$7:$E$1506,$O376)),"")</f>
        <v>PAWF-260715-04EAA</v>
      </c>
      <c r="F376" s="19" t="str">
        <f t="array" ref="F376">IFERROR(INDEX(Sales!$F$7:$F$1506,$O376),"")</f>
        <v>FD-DRY-SMHRT-15KG-001</v>
      </c>
      <c r="G376" s="19" t="str">
        <f t="array" ref="G376">IFERROR(INDEX(Sales!$G$7:$G$1506,$O376),"")</f>
        <v>Smart Heart Adult Cat Food Chicken &amp; Tuna [15kg]</v>
      </c>
      <c r="H376" s="96">
        <f t="array" ref="H376">IFERROR(INDEX(Sales!$H$7:$H$1506,$O376),"")</f>
        <v>1</v>
      </c>
      <c r="I376" s="96">
        <f t="array" ref="I376">IFERROR(INDEX(Sales!$I$7:$I$1506,$O376),"")</f>
        <v>6400</v>
      </c>
      <c r="J376" s="96">
        <f t="array" ref="J376">IFERROR(INDEX(Sales!$J$7:$J$1506,$O376),"")</f>
        <v>6700</v>
      </c>
      <c r="K376" s="96">
        <f t="array" ref="K376">IFERROR(INDEX(Sales!$K$7:$K$1506,$O376),"")</f>
        <v>300</v>
      </c>
      <c r="L376" s="96">
        <f t="array" ref="L376">IFERROR(INDEX(Sales!$L$7:$L$1506,$O376),"")</f>
        <v>6400</v>
      </c>
      <c r="M376" s="19" t="str">
        <f t="array" ref="M376">IFERROR(INDEX(Sales!$M$7:$M$1506,$O376),"")</f>
        <v>Paid</v>
      </c>
      <c r="O376" s="111" t="str">
        <f>IFERROR(MATCH(TEXT($B$3,"yyyymm")&amp;"-"&amp;(ROW()-4),Sales!$Y$7:$Y$1506,0),"")</f>
        <v/>
      </c>
    </row>
    <row r="377" ht="14.25" customHeight="1">
      <c r="A377" s="110">
        <f t="array" ref="A377">IFERROR(INDEX(Sales!$A$7:$A$1506,$O377),"")</f>
        <v>46219</v>
      </c>
      <c r="B377" s="19" t="str">
        <f t="array" ref="B377">IFERROR(INDEX(Sales!$B$7:$B$1506,$O377),"")</f>
        <v>Sale</v>
      </c>
      <c r="C377" s="19" t="str">
        <f t="array" ref="C377">IFERROR(INDEX(Sales!$C$7:$C$1506,$O377),"")</f>
        <v>Online</v>
      </c>
      <c r="D377" s="19" t="str">
        <f t="array" ref="D377">IFERROR(INDEX(Sales!$D$7:$D$1506,$O377),"")</f>
        <v>Samreen islam</v>
      </c>
      <c r="E377" s="19" t="str">
        <f t="array" ref="E377">IFERROR(IF(INDEX(Sales!$E$7:$E$1506,$O377)="","",INDEX(Sales!$E$7:$E$1506,$O377)),"")</f>
        <v>PAWF-260715-04EAA</v>
      </c>
      <c r="F377" s="19" t="str">
        <f t="array" ref="F377">IFERROR(INDEX(Sales!$F$7:$F$1506,$O377),"")</f>
        <v>FD-DRY-SMHRT-15KG-001</v>
      </c>
      <c r="G377" s="19" t="str">
        <f t="array" ref="G377">IFERROR(INDEX(Sales!$G$7:$G$1506,$O377),"")</f>
        <v>Smart Heart Adult Cat Food Chicken &amp; Tuna [15kg]</v>
      </c>
      <c r="H377" s="96">
        <f t="array" ref="H377">IFERROR(INDEX(Sales!$H$7:$H$1506,$O377),"")</f>
        <v>1</v>
      </c>
      <c r="I377" s="96">
        <f t="array" ref="I377">IFERROR(INDEX(Sales!$I$7:$I$1506,$O377),"")</f>
        <v>6400</v>
      </c>
      <c r="J377" s="96">
        <f t="array" ref="J377">IFERROR(INDEX(Sales!$J$7:$J$1506,$O377),"")</f>
        <v>6700</v>
      </c>
      <c r="K377" s="96">
        <f t="array" ref="K377">IFERROR(INDEX(Sales!$K$7:$K$1506,$O377),"")</f>
        <v>300</v>
      </c>
      <c r="L377" s="96">
        <f t="array" ref="L377">IFERROR(INDEX(Sales!$L$7:$L$1506,$O377),"")</f>
        <v>6400</v>
      </c>
      <c r="M377" s="19" t="str">
        <f t="array" ref="M377">IFERROR(INDEX(Sales!$M$7:$M$1506,$O377),"")</f>
        <v>Paid</v>
      </c>
      <c r="O377" s="111" t="str">
        <f>IFERROR(MATCH(TEXT($B$3,"yyyymm")&amp;"-"&amp;(ROW()-4),Sales!$Y$7:$Y$1506,0),"")</f>
        <v/>
      </c>
    </row>
    <row r="378" ht="14.25" customHeight="1">
      <c r="A378" s="110">
        <f t="array" ref="A378">IFERROR(INDEX(Sales!$A$7:$A$1506,$O378),"")</f>
        <v>46219</v>
      </c>
      <c r="B378" s="19" t="str">
        <f t="array" ref="B378">IFERROR(INDEX(Sales!$B$7:$B$1506,$O378),"")</f>
        <v>Sale</v>
      </c>
      <c r="C378" s="19" t="str">
        <f t="array" ref="C378">IFERROR(INDEX(Sales!$C$7:$C$1506,$O378),"")</f>
        <v>Online</v>
      </c>
      <c r="D378" s="19" t="str">
        <f t="array" ref="D378">IFERROR(INDEX(Sales!$D$7:$D$1506,$O378),"")</f>
        <v>Samreen islam</v>
      </c>
      <c r="E378" s="19" t="str">
        <f t="array" ref="E378">IFERROR(IF(INDEX(Sales!$E$7:$E$1506,$O378)="","",INDEX(Sales!$E$7:$E$1506,$O378)),"")</f>
        <v>PAWF-260715-04EAA</v>
      </c>
      <c r="F378" s="19" t="str">
        <f t="array" ref="F378">IFERROR(INDEX(Sales!$F$7:$F$1506,$O378),"")</f>
        <v>FD-DRY-SMHRT-15KG-001</v>
      </c>
      <c r="G378" s="19" t="str">
        <f t="array" ref="G378">IFERROR(INDEX(Sales!$G$7:$G$1506,$O378),"")</f>
        <v>Smart Heart Adult Cat Food Chicken &amp; Tuna [15kg]</v>
      </c>
      <c r="H378" s="96">
        <f t="array" ref="H378">IFERROR(INDEX(Sales!$H$7:$H$1506,$O378),"")</f>
        <v>1</v>
      </c>
      <c r="I378" s="96">
        <f t="array" ref="I378">IFERROR(INDEX(Sales!$I$7:$I$1506,$O378),"")</f>
        <v>6400</v>
      </c>
      <c r="J378" s="96">
        <f t="array" ref="J378">IFERROR(INDEX(Sales!$J$7:$J$1506,$O378),"")</f>
        <v>6700</v>
      </c>
      <c r="K378" s="96">
        <f t="array" ref="K378">IFERROR(INDEX(Sales!$K$7:$K$1506,$O378),"")</f>
        <v>300</v>
      </c>
      <c r="L378" s="96">
        <f t="array" ref="L378">IFERROR(INDEX(Sales!$L$7:$L$1506,$O378),"")</f>
        <v>6400</v>
      </c>
      <c r="M378" s="19" t="str">
        <f t="array" ref="M378">IFERROR(INDEX(Sales!$M$7:$M$1506,$O378),"")</f>
        <v>Paid</v>
      </c>
      <c r="O378" s="111" t="str">
        <f>IFERROR(MATCH(TEXT($B$3,"yyyymm")&amp;"-"&amp;(ROW()-4),Sales!$Y$7:$Y$1506,0),"")</f>
        <v/>
      </c>
    </row>
    <row r="379" ht="14.25" customHeight="1">
      <c r="A379" s="110">
        <f t="array" ref="A379">IFERROR(INDEX(Sales!$A$7:$A$1506,$O379),"")</f>
        <v>46219</v>
      </c>
      <c r="B379" s="19" t="str">
        <f t="array" ref="B379">IFERROR(INDEX(Sales!$B$7:$B$1506,$O379),"")</f>
        <v>Sale</v>
      </c>
      <c r="C379" s="19" t="str">
        <f t="array" ref="C379">IFERROR(INDEX(Sales!$C$7:$C$1506,$O379),"")</f>
        <v>Online</v>
      </c>
      <c r="D379" s="19" t="str">
        <f t="array" ref="D379">IFERROR(INDEX(Sales!$D$7:$D$1506,$O379),"")</f>
        <v>Samreen islam</v>
      </c>
      <c r="E379" s="19" t="str">
        <f t="array" ref="E379">IFERROR(IF(INDEX(Sales!$E$7:$E$1506,$O379)="","",INDEX(Sales!$E$7:$E$1506,$O379)),"")</f>
        <v>PAWF-260715-04EAA</v>
      </c>
      <c r="F379" s="19" t="str">
        <f t="array" ref="F379">IFERROR(INDEX(Sales!$F$7:$F$1506,$O379),"")</f>
        <v>FD-DRY-SMHRT-15KG-001</v>
      </c>
      <c r="G379" s="19" t="str">
        <f t="array" ref="G379">IFERROR(INDEX(Sales!$G$7:$G$1506,$O379),"")</f>
        <v>Smart Heart Adult Cat Food Chicken &amp; Tuna [15kg]</v>
      </c>
      <c r="H379" s="96">
        <f t="array" ref="H379">IFERROR(INDEX(Sales!$H$7:$H$1506,$O379),"")</f>
        <v>1</v>
      </c>
      <c r="I379" s="96">
        <f t="array" ref="I379">IFERROR(INDEX(Sales!$I$7:$I$1506,$O379),"")</f>
        <v>6400</v>
      </c>
      <c r="J379" s="96">
        <f t="array" ref="J379">IFERROR(INDEX(Sales!$J$7:$J$1506,$O379),"")</f>
        <v>6700</v>
      </c>
      <c r="K379" s="96">
        <f t="array" ref="K379">IFERROR(INDEX(Sales!$K$7:$K$1506,$O379),"")</f>
        <v>300</v>
      </c>
      <c r="L379" s="96">
        <f t="array" ref="L379">IFERROR(INDEX(Sales!$L$7:$L$1506,$O379),"")</f>
        <v>6400</v>
      </c>
      <c r="M379" s="19" t="str">
        <f t="array" ref="M379">IFERROR(INDEX(Sales!$M$7:$M$1506,$O379),"")</f>
        <v>Paid</v>
      </c>
      <c r="O379" s="111" t="str">
        <f>IFERROR(MATCH(TEXT($B$3,"yyyymm")&amp;"-"&amp;(ROW()-4),Sales!$Y$7:$Y$1506,0),"")</f>
        <v/>
      </c>
    </row>
    <row r="380" ht="14.25" customHeight="1">
      <c r="A380" s="110">
        <f t="array" ref="A380">IFERROR(INDEX(Sales!$A$7:$A$1506,$O380),"")</f>
        <v>46219</v>
      </c>
      <c r="B380" s="19" t="str">
        <f t="array" ref="B380">IFERROR(INDEX(Sales!$B$7:$B$1506,$O380),"")</f>
        <v>Sale</v>
      </c>
      <c r="C380" s="19" t="str">
        <f t="array" ref="C380">IFERROR(INDEX(Sales!$C$7:$C$1506,$O380),"")</f>
        <v>Online</v>
      </c>
      <c r="D380" s="19" t="str">
        <f t="array" ref="D380">IFERROR(INDEX(Sales!$D$7:$D$1506,$O380),"")</f>
        <v>Samreen islam</v>
      </c>
      <c r="E380" s="19" t="str">
        <f t="array" ref="E380">IFERROR(IF(INDEX(Sales!$E$7:$E$1506,$O380)="","",INDEX(Sales!$E$7:$E$1506,$O380)),"")</f>
        <v>PAWF-260715-04EAA</v>
      </c>
      <c r="F380" s="19" t="str">
        <f t="array" ref="F380">IFERROR(INDEX(Sales!$F$7:$F$1506,$O380),"")</f>
        <v>FD-DRY-SMHRT-15KG-001</v>
      </c>
      <c r="G380" s="19" t="str">
        <f t="array" ref="G380">IFERROR(INDEX(Sales!$G$7:$G$1506,$O380),"")</f>
        <v>Smart Heart Adult Cat Food Chicken &amp; Tuna [15kg]</v>
      </c>
      <c r="H380" s="96">
        <f t="array" ref="H380">IFERROR(INDEX(Sales!$H$7:$H$1506,$O380),"")</f>
        <v>1</v>
      </c>
      <c r="I380" s="96">
        <f t="array" ref="I380">IFERROR(INDEX(Sales!$I$7:$I$1506,$O380),"")</f>
        <v>6400</v>
      </c>
      <c r="J380" s="96">
        <f t="array" ref="J380">IFERROR(INDEX(Sales!$J$7:$J$1506,$O380),"")</f>
        <v>6700</v>
      </c>
      <c r="K380" s="96">
        <f t="array" ref="K380">IFERROR(INDEX(Sales!$K$7:$K$1506,$O380),"")</f>
        <v>300</v>
      </c>
      <c r="L380" s="96">
        <f t="array" ref="L380">IFERROR(INDEX(Sales!$L$7:$L$1506,$O380),"")</f>
        <v>6400</v>
      </c>
      <c r="M380" s="19" t="str">
        <f t="array" ref="M380">IFERROR(INDEX(Sales!$M$7:$M$1506,$O380),"")</f>
        <v>Paid</v>
      </c>
      <c r="O380" s="111" t="str">
        <f>IFERROR(MATCH(TEXT($B$3,"yyyymm")&amp;"-"&amp;(ROW()-4),Sales!$Y$7:$Y$1506,0),"")</f>
        <v/>
      </c>
    </row>
    <row r="381" ht="14.25" customHeight="1">
      <c r="A381" s="110">
        <f t="array" ref="A381">IFERROR(INDEX(Sales!$A$7:$A$1506,$O381),"")</f>
        <v>46219</v>
      </c>
      <c r="B381" s="19" t="str">
        <f t="array" ref="B381">IFERROR(INDEX(Sales!$B$7:$B$1506,$O381),"")</f>
        <v>Sale</v>
      </c>
      <c r="C381" s="19" t="str">
        <f t="array" ref="C381">IFERROR(INDEX(Sales!$C$7:$C$1506,$O381),"")</f>
        <v>Online</v>
      </c>
      <c r="D381" s="19" t="str">
        <f t="array" ref="D381">IFERROR(INDEX(Sales!$D$7:$D$1506,$O381),"")</f>
        <v>Samreen islam</v>
      </c>
      <c r="E381" s="19" t="str">
        <f t="array" ref="E381">IFERROR(IF(INDEX(Sales!$E$7:$E$1506,$O381)="","",INDEX(Sales!$E$7:$E$1506,$O381)),"")</f>
        <v>PAWF-260715-04EAA</v>
      </c>
      <c r="F381" s="19" t="str">
        <f t="array" ref="F381">IFERROR(INDEX(Sales!$F$7:$F$1506,$O381),"")</f>
        <v>FD-DRY-SMHRT-15KG-001</v>
      </c>
      <c r="G381" s="19" t="str">
        <f t="array" ref="G381">IFERROR(INDEX(Sales!$G$7:$G$1506,$O381),"")</f>
        <v>Smart Heart Adult Cat Food Chicken &amp; Tuna [15kg]</v>
      </c>
      <c r="H381" s="96">
        <f t="array" ref="H381">IFERROR(INDEX(Sales!$H$7:$H$1506,$O381),"")</f>
        <v>1</v>
      </c>
      <c r="I381" s="96">
        <f t="array" ref="I381">IFERROR(INDEX(Sales!$I$7:$I$1506,$O381),"")</f>
        <v>6400</v>
      </c>
      <c r="J381" s="96">
        <f t="array" ref="J381">IFERROR(INDEX(Sales!$J$7:$J$1506,$O381),"")</f>
        <v>6700</v>
      </c>
      <c r="K381" s="96">
        <f t="array" ref="K381">IFERROR(INDEX(Sales!$K$7:$K$1506,$O381),"")</f>
        <v>300</v>
      </c>
      <c r="L381" s="96">
        <f t="array" ref="L381">IFERROR(INDEX(Sales!$L$7:$L$1506,$O381),"")</f>
        <v>6400</v>
      </c>
      <c r="M381" s="19" t="str">
        <f t="array" ref="M381">IFERROR(INDEX(Sales!$M$7:$M$1506,$O381),"")</f>
        <v>Paid</v>
      </c>
      <c r="O381" s="111" t="str">
        <f>IFERROR(MATCH(TEXT($B$3,"yyyymm")&amp;"-"&amp;(ROW()-4),Sales!$Y$7:$Y$1506,0),"")</f>
        <v/>
      </c>
    </row>
    <row r="382" ht="14.25" customHeight="1">
      <c r="A382" s="110">
        <f t="array" ref="A382">IFERROR(INDEX(Sales!$A$7:$A$1506,$O382),"")</f>
        <v>46219</v>
      </c>
      <c r="B382" s="19" t="str">
        <f t="array" ref="B382">IFERROR(INDEX(Sales!$B$7:$B$1506,$O382),"")</f>
        <v>Sale</v>
      </c>
      <c r="C382" s="19" t="str">
        <f t="array" ref="C382">IFERROR(INDEX(Sales!$C$7:$C$1506,$O382),"")</f>
        <v>Online</v>
      </c>
      <c r="D382" s="19" t="str">
        <f t="array" ref="D382">IFERROR(INDEX(Sales!$D$7:$D$1506,$O382),"")</f>
        <v>Samreen islam</v>
      </c>
      <c r="E382" s="19" t="str">
        <f t="array" ref="E382">IFERROR(IF(INDEX(Sales!$E$7:$E$1506,$O382)="","",INDEX(Sales!$E$7:$E$1506,$O382)),"")</f>
        <v>PAWF-260715-04EAA</v>
      </c>
      <c r="F382" s="19" t="str">
        <f t="array" ref="F382">IFERROR(INDEX(Sales!$F$7:$F$1506,$O382),"")</f>
        <v>FD-DRY-SMHRT-15KG-001</v>
      </c>
      <c r="G382" s="19" t="str">
        <f t="array" ref="G382">IFERROR(INDEX(Sales!$G$7:$G$1506,$O382),"")</f>
        <v>Smart Heart Adult Cat Food Chicken &amp; Tuna [15kg]</v>
      </c>
      <c r="H382" s="96">
        <f t="array" ref="H382">IFERROR(INDEX(Sales!$H$7:$H$1506,$O382),"")</f>
        <v>1</v>
      </c>
      <c r="I382" s="96">
        <f t="array" ref="I382">IFERROR(INDEX(Sales!$I$7:$I$1506,$O382),"")</f>
        <v>6400</v>
      </c>
      <c r="J382" s="96">
        <f t="array" ref="J382">IFERROR(INDEX(Sales!$J$7:$J$1506,$O382),"")</f>
        <v>6700</v>
      </c>
      <c r="K382" s="96">
        <f t="array" ref="K382">IFERROR(INDEX(Sales!$K$7:$K$1506,$O382),"")</f>
        <v>300</v>
      </c>
      <c r="L382" s="96">
        <f t="array" ref="L382">IFERROR(INDEX(Sales!$L$7:$L$1506,$O382),"")</f>
        <v>6400</v>
      </c>
      <c r="M382" s="19" t="str">
        <f t="array" ref="M382">IFERROR(INDEX(Sales!$M$7:$M$1506,$O382),"")</f>
        <v>Paid</v>
      </c>
      <c r="O382" s="111" t="str">
        <f>IFERROR(MATCH(TEXT($B$3,"yyyymm")&amp;"-"&amp;(ROW()-4),Sales!$Y$7:$Y$1506,0),"")</f>
        <v/>
      </c>
    </row>
    <row r="383" ht="14.25" customHeight="1">
      <c r="A383" s="110">
        <f t="array" ref="A383">IFERROR(INDEX(Sales!$A$7:$A$1506,$O383),"")</f>
        <v>46219</v>
      </c>
      <c r="B383" s="19" t="str">
        <f t="array" ref="B383">IFERROR(INDEX(Sales!$B$7:$B$1506,$O383),"")</f>
        <v>Sale</v>
      </c>
      <c r="C383" s="19" t="str">
        <f t="array" ref="C383">IFERROR(INDEX(Sales!$C$7:$C$1506,$O383),"")</f>
        <v>Online</v>
      </c>
      <c r="D383" s="19" t="str">
        <f t="array" ref="D383">IFERROR(INDEX(Sales!$D$7:$D$1506,$O383),"")</f>
        <v>Samreen islam</v>
      </c>
      <c r="E383" s="19" t="str">
        <f t="array" ref="E383">IFERROR(IF(INDEX(Sales!$E$7:$E$1506,$O383)="","",INDEX(Sales!$E$7:$E$1506,$O383)),"")</f>
        <v>PAWF-260715-04EAA</v>
      </c>
      <c r="F383" s="19" t="str">
        <f t="array" ref="F383">IFERROR(INDEX(Sales!$F$7:$F$1506,$O383),"")</f>
        <v>FD-DRY-SMHRT-15KG-001</v>
      </c>
      <c r="G383" s="19" t="str">
        <f t="array" ref="G383">IFERROR(INDEX(Sales!$G$7:$G$1506,$O383),"")</f>
        <v>Smart Heart Adult Cat Food Chicken &amp; Tuna [15kg]</v>
      </c>
      <c r="H383" s="96">
        <f t="array" ref="H383">IFERROR(INDEX(Sales!$H$7:$H$1506,$O383),"")</f>
        <v>1</v>
      </c>
      <c r="I383" s="96">
        <f t="array" ref="I383">IFERROR(INDEX(Sales!$I$7:$I$1506,$O383),"")</f>
        <v>6400</v>
      </c>
      <c r="J383" s="96">
        <f t="array" ref="J383">IFERROR(INDEX(Sales!$J$7:$J$1506,$O383),"")</f>
        <v>6700</v>
      </c>
      <c r="K383" s="96">
        <f t="array" ref="K383">IFERROR(INDEX(Sales!$K$7:$K$1506,$O383),"")</f>
        <v>300</v>
      </c>
      <c r="L383" s="96">
        <f t="array" ref="L383">IFERROR(INDEX(Sales!$L$7:$L$1506,$O383),"")</f>
        <v>6400</v>
      </c>
      <c r="M383" s="19" t="str">
        <f t="array" ref="M383">IFERROR(INDEX(Sales!$M$7:$M$1506,$O383),"")</f>
        <v>Paid</v>
      </c>
      <c r="O383" s="111" t="str">
        <f>IFERROR(MATCH(TEXT($B$3,"yyyymm")&amp;"-"&amp;(ROW()-4),Sales!$Y$7:$Y$1506,0),"")</f>
        <v/>
      </c>
    </row>
    <row r="384" ht="14.25" customHeight="1">
      <c r="A384" s="110">
        <f t="array" ref="A384">IFERROR(INDEX(Sales!$A$7:$A$1506,$O384),"")</f>
        <v>46219</v>
      </c>
      <c r="B384" s="19" t="str">
        <f t="array" ref="B384">IFERROR(INDEX(Sales!$B$7:$B$1506,$O384),"")</f>
        <v>Sale</v>
      </c>
      <c r="C384" s="19" t="str">
        <f t="array" ref="C384">IFERROR(INDEX(Sales!$C$7:$C$1506,$O384),"")</f>
        <v>Online</v>
      </c>
      <c r="D384" s="19" t="str">
        <f t="array" ref="D384">IFERROR(INDEX(Sales!$D$7:$D$1506,$O384),"")</f>
        <v>Samreen islam</v>
      </c>
      <c r="E384" s="19" t="str">
        <f t="array" ref="E384">IFERROR(IF(INDEX(Sales!$E$7:$E$1506,$O384)="","",INDEX(Sales!$E$7:$E$1506,$O384)),"")</f>
        <v>PAWF-260715-04EAA</v>
      </c>
      <c r="F384" s="19" t="str">
        <f t="array" ref="F384">IFERROR(INDEX(Sales!$F$7:$F$1506,$O384),"")</f>
        <v>FD-DRY-SMHRT-15KG-001</v>
      </c>
      <c r="G384" s="19" t="str">
        <f t="array" ref="G384">IFERROR(INDEX(Sales!$G$7:$G$1506,$O384),"")</f>
        <v>Smart Heart Adult Cat Food Chicken &amp; Tuna [15kg]</v>
      </c>
      <c r="H384" s="96">
        <f t="array" ref="H384">IFERROR(INDEX(Sales!$H$7:$H$1506,$O384),"")</f>
        <v>1</v>
      </c>
      <c r="I384" s="96">
        <f t="array" ref="I384">IFERROR(INDEX(Sales!$I$7:$I$1506,$O384),"")</f>
        <v>6400</v>
      </c>
      <c r="J384" s="96">
        <f t="array" ref="J384">IFERROR(INDEX(Sales!$J$7:$J$1506,$O384),"")</f>
        <v>6700</v>
      </c>
      <c r="K384" s="96">
        <f t="array" ref="K384">IFERROR(INDEX(Sales!$K$7:$K$1506,$O384),"")</f>
        <v>300</v>
      </c>
      <c r="L384" s="96">
        <f t="array" ref="L384">IFERROR(INDEX(Sales!$L$7:$L$1506,$O384),"")</f>
        <v>6400</v>
      </c>
      <c r="M384" s="19" t="str">
        <f t="array" ref="M384">IFERROR(INDEX(Sales!$M$7:$M$1506,$O384),"")</f>
        <v>Paid</v>
      </c>
      <c r="O384" s="111" t="str">
        <f>IFERROR(MATCH(TEXT($B$3,"yyyymm")&amp;"-"&amp;(ROW()-4),Sales!$Y$7:$Y$1506,0),"")</f>
        <v/>
      </c>
    </row>
    <row r="385" ht="14.25" customHeight="1">
      <c r="A385" s="110">
        <f t="array" ref="A385">IFERROR(INDEX(Sales!$A$7:$A$1506,$O385),"")</f>
        <v>46219</v>
      </c>
      <c r="B385" s="19" t="str">
        <f t="array" ref="B385">IFERROR(INDEX(Sales!$B$7:$B$1506,$O385),"")</f>
        <v>Sale</v>
      </c>
      <c r="C385" s="19" t="str">
        <f t="array" ref="C385">IFERROR(INDEX(Sales!$C$7:$C$1506,$O385),"")</f>
        <v>Online</v>
      </c>
      <c r="D385" s="19" t="str">
        <f t="array" ref="D385">IFERROR(INDEX(Sales!$D$7:$D$1506,$O385),"")</f>
        <v>Samreen islam</v>
      </c>
      <c r="E385" s="19" t="str">
        <f t="array" ref="E385">IFERROR(IF(INDEX(Sales!$E$7:$E$1506,$O385)="","",INDEX(Sales!$E$7:$E$1506,$O385)),"")</f>
        <v>PAWF-260715-04EAA</v>
      </c>
      <c r="F385" s="19" t="str">
        <f t="array" ref="F385">IFERROR(INDEX(Sales!$F$7:$F$1506,$O385),"")</f>
        <v>FD-DRY-SMHRT-15KG-001</v>
      </c>
      <c r="G385" s="19" t="str">
        <f t="array" ref="G385">IFERROR(INDEX(Sales!$G$7:$G$1506,$O385),"")</f>
        <v>Smart Heart Adult Cat Food Chicken &amp; Tuna [15kg]</v>
      </c>
      <c r="H385" s="96">
        <f t="array" ref="H385">IFERROR(INDEX(Sales!$H$7:$H$1506,$O385),"")</f>
        <v>1</v>
      </c>
      <c r="I385" s="96">
        <f t="array" ref="I385">IFERROR(INDEX(Sales!$I$7:$I$1506,$O385),"")</f>
        <v>6400</v>
      </c>
      <c r="J385" s="96">
        <f t="array" ref="J385">IFERROR(INDEX(Sales!$J$7:$J$1506,$O385),"")</f>
        <v>6700</v>
      </c>
      <c r="K385" s="96">
        <f t="array" ref="K385">IFERROR(INDEX(Sales!$K$7:$K$1506,$O385),"")</f>
        <v>300</v>
      </c>
      <c r="L385" s="96">
        <f t="array" ref="L385">IFERROR(INDEX(Sales!$L$7:$L$1506,$O385),"")</f>
        <v>6400</v>
      </c>
      <c r="M385" s="19" t="str">
        <f t="array" ref="M385">IFERROR(INDEX(Sales!$M$7:$M$1506,$O385),"")</f>
        <v>Paid</v>
      </c>
      <c r="O385" s="111" t="str">
        <f>IFERROR(MATCH(TEXT($B$3,"yyyymm")&amp;"-"&amp;(ROW()-4),Sales!$Y$7:$Y$1506,0),"")</f>
        <v/>
      </c>
    </row>
    <row r="386" ht="14.25" customHeight="1">
      <c r="A386" s="110">
        <f t="array" ref="A386">IFERROR(INDEX(Sales!$A$7:$A$1506,$O386),"")</f>
        <v>46219</v>
      </c>
      <c r="B386" s="19" t="str">
        <f t="array" ref="B386">IFERROR(INDEX(Sales!$B$7:$B$1506,$O386),"")</f>
        <v>Sale</v>
      </c>
      <c r="C386" s="19" t="str">
        <f t="array" ref="C386">IFERROR(INDEX(Sales!$C$7:$C$1506,$O386),"")</f>
        <v>Online</v>
      </c>
      <c r="D386" s="19" t="str">
        <f t="array" ref="D386">IFERROR(INDEX(Sales!$D$7:$D$1506,$O386),"")</f>
        <v>Samreen islam</v>
      </c>
      <c r="E386" s="19" t="str">
        <f t="array" ref="E386">IFERROR(IF(INDEX(Sales!$E$7:$E$1506,$O386)="","",INDEX(Sales!$E$7:$E$1506,$O386)),"")</f>
        <v>PAWF-260715-04EAA</v>
      </c>
      <c r="F386" s="19" t="str">
        <f t="array" ref="F386">IFERROR(INDEX(Sales!$F$7:$F$1506,$O386),"")</f>
        <v>FD-DRY-SMHRT-15KG-001</v>
      </c>
      <c r="G386" s="19" t="str">
        <f t="array" ref="G386">IFERROR(INDEX(Sales!$G$7:$G$1506,$O386),"")</f>
        <v>Smart Heart Adult Cat Food Chicken &amp; Tuna [15kg]</v>
      </c>
      <c r="H386" s="96">
        <f t="array" ref="H386">IFERROR(INDEX(Sales!$H$7:$H$1506,$O386),"")</f>
        <v>1</v>
      </c>
      <c r="I386" s="96">
        <f t="array" ref="I386">IFERROR(INDEX(Sales!$I$7:$I$1506,$O386),"")</f>
        <v>6400</v>
      </c>
      <c r="J386" s="96">
        <f t="array" ref="J386">IFERROR(INDEX(Sales!$J$7:$J$1506,$O386),"")</f>
        <v>6700</v>
      </c>
      <c r="K386" s="96">
        <f t="array" ref="K386">IFERROR(INDEX(Sales!$K$7:$K$1506,$O386),"")</f>
        <v>300</v>
      </c>
      <c r="L386" s="96">
        <f t="array" ref="L386">IFERROR(INDEX(Sales!$L$7:$L$1506,$O386),"")</f>
        <v>6400</v>
      </c>
      <c r="M386" s="19" t="str">
        <f t="array" ref="M386">IFERROR(INDEX(Sales!$M$7:$M$1506,$O386),"")</f>
        <v>Paid</v>
      </c>
      <c r="O386" s="111" t="str">
        <f>IFERROR(MATCH(TEXT($B$3,"yyyymm")&amp;"-"&amp;(ROW()-4),Sales!$Y$7:$Y$1506,0),"")</f>
        <v/>
      </c>
    </row>
    <row r="387" ht="14.25" customHeight="1">
      <c r="A387" s="110">
        <f t="array" ref="A387">IFERROR(INDEX(Sales!$A$7:$A$1506,$O387),"")</f>
        <v>46219</v>
      </c>
      <c r="B387" s="19" t="str">
        <f t="array" ref="B387">IFERROR(INDEX(Sales!$B$7:$B$1506,$O387),"")</f>
        <v>Sale</v>
      </c>
      <c r="C387" s="19" t="str">
        <f t="array" ref="C387">IFERROR(INDEX(Sales!$C$7:$C$1506,$O387),"")</f>
        <v>Online</v>
      </c>
      <c r="D387" s="19" t="str">
        <f t="array" ref="D387">IFERROR(INDEX(Sales!$D$7:$D$1506,$O387),"")</f>
        <v>Samreen islam</v>
      </c>
      <c r="E387" s="19" t="str">
        <f t="array" ref="E387">IFERROR(IF(INDEX(Sales!$E$7:$E$1506,$O387)="","",INDEX(Sales!$E$7:$E$1506,$O387)),"")</f>
        <v>PAWF-260715-04EAA</v>
      </c>
      <c r="F387" s="19" t="str">
        <f t="array" ref="F387">IFERROR(INDEX(Sales!$F$7:$F$1506,$O387),"")</f>
        <v>FD-DRY-SMHRT-15KG-001</v>
      </c>
      <c r="G387" s="19" t="str">
        <f t="array" ref="G387">IFERROR(INDEX(Sales!$G$7:$G$1506,$O387),"")</f>
        <v>Smart Heart Adult Cat Food Chicken &amp; Tuna [15kg]</v>
      </c>
      <c r="H387" s="96">
        <f t="array" ref="H387">IFERROR(INDEX(Sales!$H$7:$H$1506,$O387),"")</f>
        <v>1</v>
      </c>
      <c r="I387" s="96">
        <f t="array" ref="I387">IFERROR(INDEX(Sales!$I$7:$I$1506,$O387),"")</f>
        <v>6400</v>
      </c>
      <c r="J387" s="96">
        <f t="array" ref="J387">IFERROR(INDEX(Sales!$J$7:$J$1506,$O387),"")</f>
        <v>6700</v>
      </c>
      <c r="K387" s="96">
        <f t="array" ref="K387">IFERROR(INDEX(Sales!$K$7:$K$1506,$O387),"")</f>
        <v>300</v>
      </c>
      <c r="L387" s="96">
        <f t="array" ref="L387">IFERROR(INDEX(Sales!$L$7:$L$1506,$O387),"")</f>
        <v>6400</v>
      </c>
      <c r="M387" s="19" t="str">
        <f t="array" ref="M387">IFERROR(INDEX(Sales!$M$7:$M$1506,$O387),"")</f>
        <v>Paid</v>
      </c>
      <c r="O387" s="111" t="str">
        <f>IFERROR(MATCH(TEXT($B$3,"yyyymm")&amp;"-"&amp;(ROW()-4),Sales!$Y$7:$Y$1506,0),"")</f>
        <v/>
      </c>
    </row>
    <row r="388" ht="14.25" customHeight="1">
      <c r="A388" s="110">
        <f t="array" ref="A388">IFERROR(INDEX(Sales!$A$7:$A$1506,$O388),"")</f>
        <v>46219</v>
      </c>
      <c r="B388" s="19" t="str">
        <f t="array" ref="B388">IFERROR(INDEX(Sales!$B$7:$B$1506,$O388),"")</f>
        <v>Sale</v>
      </c>
      <c r="C388" s="19" t="str">
        <f t="array" ref="C388">IFERROR(INDEX(Sales!$C$7:$C$1506,$O388),"")</f>
        <v>Online</v>
      </c>
      <c r="D388" s="19" t="str">
        <f t="array" ref="D388">IFERROR(INDEX(Sales!$D$7:$D$1506,$O388),"")</f>
        <v>Samreen islam</v>
      </c>
      <c r="E388" s="19" t="str">
        <f t="array" ref="E388">IFERROR(IF(INDEX(Sales!$E$7:$E$1506,$O388)="","",INDEX(Sales!$E$7:$E$1506,$O388)),"")</f>
        <v>PAWF-260715-04EAA</v>
      </c>
      <c r="F388" s="19" t="str">
        <f t="array" ref="F388">IFERROR(INDEX(Sales!$F$7:$F$1506,$O388),"")</f>
        <v>FD-DRY-SMHRT-15KG-001</v>
      </c>
      <c r="G388" s="19" t="str">
        <f t="array" ref="G388">IFERROR(INDEX(Sales!$G$7:$G$1506,$O388),"")</f>
        <v>Smart Heart Adult Cat Food Chicken &amp; Tuna [15kg]</v>
      </c>
      <c r="H388" s="96">
        <f t="array" ref="H388">IFERROR(INDEX(Sales!$H$7:$H$1506,$O388),"")</f>
        <v>1</v>
      </c>
      <c r="I388" s="96">
        <f t="array" ref="I388">IFERROR(INDEX(Sales!$I$7:$I$1506,$O388),"")</f>
        <v>6400</v>
      </c>
      <c r="J388" s="96">
        <f t="array" ref="J388">IFERROR(INDEX(Sales!$J$7:$J$1506,$O388),"")</f>
        <v>6700</v>
      </c>
      <c r="K388" s="96">
        <f t="array" ref="K388">IFERROR(INDEX(Sales!$K$7:$K$1506,$O388),"")</f>
        <v>300</v>
      </c>
      <c r="L388" s="96">
        <f t="array" ref="L388">IFERROR(INDEX(Sales!$L$7:$L$1506,$O388),"")</f>
        <v>6400</v>
      </c>
      <c r="M388" s="19" t="str">
        <f t="array" ref="M388">IFERROR(INDEX(Sales!$M$7:$M$1506,$O388),"")</f>
        <v>Paid</v>
      </c>
      <c r="O388" s="111" t="str">
        <f>IFERROR(MATCH(TEXT($B$3,"yyyymm")&amp;"-"&amp;(ROW()-4),Sales!$Y$7:$Y$1506,0),"")</f>
        <v/>
      </c>
    </row>
    <row r="389" ht="14.25" customHeight="1">
      <c r="A389" s="110">
        <f t="array" ref="A389">IFERROR(INDEX(Sales!$A$7:$A$1506,$O389),"")</f>
        <v>46219</v>
      </c>
      <c r="B389" s="19" t="str">
        <f t="array" ref="B389">IFERROR(INDEX(Sales!$B$7:$B$1506,$O389),"")</f>
        <v>Sale</v>
      </c>
      <c r="C389" s="19" t="str">
        <f t="array" ref="C389">IFERROR(INDEX(Sales!$C$7:$C$1506,$O389),"")</f>
        <v>Online</v>
      </c>
      <c r="D389" s="19" t="str">
        <f t="array" ref="D389">IFERROR(INDEX(Sales!$D$7:$D$1506,$O389),"")</f>
        <v>Samreen islam</v>
      </c>
      <c r="E389" s="19" t="str">
        <f t="array" ref="E389">IFERROR(IF(INDEX(Sales!$E$7:$E$1506,$O389)="","",INDEX(Sales!$E$7:$E$1506,$O389)),"")</f>
        <v>PAWF-260715-04EAA</v>
      </c>
      <c r="F389" s="19" t="str">
        <f t="array" ref="F389">IFERROR(INDEX(Sales!$F$7:$F$1506,$O389),"")</f>
        <v>FD-DRY-SMHRT-15KG-001</v>
      </c>
      <c r="G389" s="19" t="str">
        <f t="array" ref="G389">IFERROR(INDEX(Sales!$G$7:$G$1506,$O389),"")</f>
        <v>Smart Heart Adult Cat Food Chicken &amp; Tuna [15kg]</v>
      </c>
      <c r="H389" s="96">
        <f t="array" ref="H389">IFERROR(INDEX(Sales!$H$7:$H$1506,$O389),"")</f>
        <v>1</v>
      </c>
      <c r="I389" s="96">
        <f t="array" ref="I389">IFERROR(INDEX(Sales!$I$7:$I$1506,$O389),"")</f>
        <v>6400</v>
      </c>
      <c r="J389" s="96">
        <f t="array" ref="J389">IFERROR(INDEX(Sales!$J$7:$J$1506,$O389),"")</f>
        <v>6700</v>
      </c>
      <c r="K389" s="96">
        <f t="array" ref="K389">IFERROR(INDEX(Sales!$K$7:$K$1506,$O389),"")</f>
        <v>300</v>
      </c>
      <c r="L389" s="96">
        <f t="array" ref="L389">IFERROR(INDEX(Sales!$L$7:$L$1506,$O389),"")</f>
        <v>6400</v>
      </c>
      <c r="M389" s="19" t="str">
        <f t="array" ref="M389">IFERROR(INDEX(Sales!$M$7:$M$1506,$O389),"")</f>
        <v>Paid</v>
      </c>
      <c r="O389" s="111" t="str">
        <f>IFERROR(MATCH(TEXT($B$3,"yyyymm")&amp;"-"&amp;(ROW()-4),Sales!$Y$7:$Y$1506,0),"")</f>
        <v/>
      </c>
    </row>
    <row r="390" ht="14.25" customHeight="1">
      <c r="A390" s="110">
        <f t="array" ref="A390">IFERROR(INDEX(Sales!$A$7:$A$1506,$O390),"")</f>
        <v>46219</v>
      </c>
      <c r="B390" s="19" t="str">
        <f t="array" ref="B390">IFERROR(INDEX(Sales!$B$7:$B$1506,$O390),"")</f>
        <v>Sale</v>
      </c>
      <c r="C390" s="19" t="str">
        <f t="array" ref="C390">IFERROR(INDEX(Sales!$C$7:$C$1506,$O390),"")</f>
        <v>Online</v>
      </c>
      <c r="D390" s="19" t="str">
        <f t="array" ref="D390">IFERROR(INDEX(Sales!$D$7:$D$1506,$O390),"")</f>
        <v>Samreen islam</v>
      </c>
      <c r="E390" s="19" t="str">
        <f t="array" ref="E390">IFERROR(IF(INDEX(Sales!$E$7:$E$1506,$O390)="","",INDEX(Sales!$E$7:$E$1506,$O390)),"")</f>
        <v>PAWF-260715-04EAA</v>
      </c>
      <c r="F390" s="19" t="str">
        <f t="array" ref="F390">IFERROR(INDEX(Sales!$F$7:$F$1506,$O390),"")</f>
        <v>FD-DRY-SMHRT-15KG-001</v>
      </c>
      <c r="G390" s="19" t="str">
        <f t="array" ref="G390">IFERROR(INDEX(Sales!$G$7:$G$1506,$O390),"")</f>
        <v>Smart Heart Adult Cat Food Chicken &amp; Tuna [15kg]</v>
      </c>
      <c r="H390" s="96">
        <f t="array" ref="H390">IFERROR(INDEX(Sales!$H$7:$H$1506,$O390),"")</f>
        <v>1</v>
      </c>
      <c r="I390" s="96">
        <f t="array" ref="I390">IFERROR(INDEX(Sales!$I$7:$I$1506,$O390),"")</f>
        <v>6400</v>
      </c>
      <c r="J390" s="96">
        <f t="array" ref="J390">IFERROR(INDEX(Sales!$J$7:$J$1506,$O390),"")</f>
        <v>6700</v>
      </c>
      <c r="K390" s="96">
        <f t="array" ref="K390">IFERROR(INDEX(Sales!$K$7:$K$1506,$O390),"")</f>
        <v>300</v>
      </c>
      <c r="L390" s="96">
        <f t="array" ref="L390">IFERROR(INDEX(Sales!$L$7:$L$1506,$O390),"")</f>
        <v>6400</v>
      </c>
      <c r="M390" s="19" t="str">
        <f t="array" ref="M390">IFERROR(INDEX(Sales!$M$7:$M$1506,$O390),"")</f>
        <v>Paid</v>
      </c>
      <c r="O390" s="111" t="str">
        <f>IFERROR(MATCH(TEXT($B$3,"yyyymm")&amp;"-"&amp;(ROW()-4),Sales!$Y$7:$Y$1506,0),"")</f>
        <v/>
      </c>
    </row>
    <row r="391" ht="14.25" customHeight="1">
      <c r="A391" s="110">
        <f t="array" ref="A391">IFERROR(INDEX(Sales!$A$7:$A$1506,$O391),"")</f>
        <v>46219</v>
      </c>
      <c r="B391" s="19" t="str">
        <f t="array" ref="B391">IFERROR(INDEX(Sales!$B$7:$B$1506,$O391),"")</f>
        <v>Sale</v>
      </c>
      <c r="C391" s="19" t="str">
        <f t="array" ref="C391">IFERROR(INDEX(Sales!$C$7:$C$1506,$O391),"")</f>
        <v>Online</v>
      </c>
      <c r="D391" s="19" t="str">
        <f t="array" ref="D391">IFERROR(INDEX(Sales!$D$7:$D$1506,$O391),"")</f>
        <v>Samreen islam</v>
      </c>
      <c r="E391" s="19" t="str">
        <f t="array" ref="E391">IFERROR(IF(INDEX(Sales!$E$7:$E$1506,$O391)="","",INDEX(Sales!$E$7:$E$1506,$O391)),"")</f>
        <v>PAWF-260715-04EAA</v>
      </c>
      <c r="F391" s="19" t="str">
        <f t="array" ref="F391">IFERROR(INDEX(Sales!$F$7:$F$1506,$O391),"")</f>
        <v>FD-DRY-SMHRT-15KG-001</v>
      </c>
      <c r="G391" s="19" t="str">
        <f t="array" ref="G391">IFERROR(INDEX(Sales!$G$7:$G$1506,$O391),"")</f>
        <v>Smart Heart Adult Cat Food Chicken &amp; Tuna [15kg]</v>
      </c>
      <c r="H391" s="96">
        <f t="array" ref="H391">IFERROR(INDEX(Sales!$H$7:$H$1506,$O391),"")</f>
        <v>1</v>
      </c>
      <c r="I391" s="96">
        <f t="array" ref="I391">IFERROR(INDEX(Sales!$I$7:$I$1506,$O391),"")</f>
        <v>6400</v>
      </c>
      <c r="J391" s="96">
        <f t="array" ref="J391">IFERROR(INDEX(Sales!$J$7:$J$1506,$O391),"")</f>
        <v>6700</v>
      </c>
      <c r="K391" s="96">
        <f t="array" ref="K391">IFERROR(INDEX(Sales!$K$7:$K$1506,$O391),"")</f>
        <v>300</v>
      </c>
      <c r="L391" s="96">
        <f t="array" ref="L391">IFERROR(INDEX(Sales!$L$7:$L$1506,$O391),"")</f>
        <v>6400</v>
      </c>
      <c r="M391" s="19" t="str">
        <f t="array" ref="M391">IFERROR(INDEX(Sales!$M$7:$M$1506,$O391),"")</f>
        <v>Paid</v>
      </c>
      <c r="O391" s="111" t="str">
        <f>IFERROR(MATCH(TEXT($B$3,"yyyymm")&amp;"-"&amp;(ROW()-4),Sales!$Y$7:$Y$1506,0),"")</f>
        <v/>
      </c>
    </row>
    <row r="392" ht="14.25" customHeight="1">
      <c r="A392" s="110">
        <f t="array" ref="A392">IFERROR(INDEX(Sales!$A$7:$A$1506,$O392),"")</f>
        <v>46219</v>
      </c>
      <c r="B392" s="19" t="str">
        <f t="array" ref="B392">IFERROR(INDEX(Sales!$B$7:$B$1506,$O392),"")</f>
        <v>Sale</v>
      </c>
      <c r="C392" s="19" t="str">
        <f t="array" ref="C392">IFERROR(INDEX(Sales!$C$7:$C$1506,$O392),"")</f>
        <v>Online</v>
      </c>
      <c r="D392" s="19" t="str">
        <f t="array" ref="D392">IFERROR(INDEX(Sales!$D$7:$D$1506,$O392),"")</f>
        <v>Samreen islam</v>
      </c>
      <c r="E392" s="19" t="str">
        <f t="array" ref="E392">IFERROR(IF(INDEX(Sales!$E$7:$E$1506,$O392)="","",INDEX(Sales!$E$7:$E$1506,$O392)),"")</f>
        <v>PAWF-260715-04EAA</v>
      </c>
      <c r="F392" s="19" t="str">
        <f t="array" ref="F392">IFERROR(INDEX(Sales!$F$7:$F$1506,$O392),"")</f>
        <v>FD-DRY-SMHRT-15KG-001</v>
      </c>
      <c r="G392" s="19" t="str">
        <f t="array" ref="G392">IFERROR(INDEX(Sales!$G$7:$G$1506,$O392),"")</f>
        <v>Smart Heart Adult Cat Food Chicken &amp; Tuna [15kg]</v>
      </c>
      <c r="H392" s="96">
        <f t="array" ref="H392">IFERROR(INDEX(Sales!$H$7:$H$1506,$O392),"")</f>
        <v>1</v>
      </c>
      <c r="I392" s="96">
        <f t="array" ref="I392">IFERROR(INDEX(Sales!$I$7:$I$1506,$O392),"")</f>
        <v>6400</v>
      </c>
      <c r="J392" s="96">
        <f t="array" ref="J392">IFERROR(INDEX(Sales!$J$7:$J$1506,$O392),"")</f>
        <v>6700</v>
      </c>
      <c r="K392" s="96">
        <f t="array" ref="K392">IFERROR(INDEX(Sales!$K$7:$K$1506,$O392),"")</f>
        <v>300</v>
      </c>
      <c r="L392" s="96">
        <f t="array" ref="L392">IFERROR(INDEX(Sales!$L$7:$L$1506,$O392),"")</f>
        <v>6400</v>
      </c>
      <c r="M392" s="19" t="str">
        <f t="array" ref="M392">IFERROR(INDEX(Sales!$M$7:$M$1506,$O392),"")</f>
        <v>Paid</v>
      </c>
      <c r="O392" s="111" t="str">
        <f>IFERROR(MATCH(TEXT($B$3,"yyyymm")&amp;"-"&amp;(ROW()-4),Sales!$Y$7:$Y$1506,0),"")</f>
        <v/>
      </c>
    </row>
    <row r="393" ht="14.25" customHeight="1">
      <c r="A393" s="110">
        <f t="array" ref="A393">IFERROR(INDEX(Sales!$A$7:$A$1506,$O393),"")</f>
        <v>46219</v>
      </c>
      <c r="B393" s="19" t="str">
        <f t="array" ref="B393">IFERROR(INDEX(Sales!$B$7:$B$1506,$O393),"")</f>
        <v>Sale</v>
      </c>
      <c r="C393" s="19" t="str">
        <f t="array" ref="C393">IFERROR(INDEX(Sales!$C$7:$C$1506,$O393),"")</f>
        <v>Online</v>
      </c>
      <c r="D393" s="19" t="str">
        <f t="array" ref="D393">IFERROR(INDEX(Sales!$D$7:$D$1506,$O393),"")</f>
        <v>Samreen islam</v>
      </c>
      <c r="E393" s="19" t="str">
        <f t="array" ref="E393">IFERROR(IF(INDEX(Sales!$E$7:$E$1506,$O393)="","",INDEX(Sales!$E$7:$E$1506,$O393)),"")</f>
        <v>PAWF-260715-04EAA</v>
      </c>
      <c r="F393" s="19" t="str">
        <f t="array" ref="F393">IFERROR(INDEX(Sales!$F$7:$F$1506,$O393),"")</f>
        <v>FD-DRY-SMHRT-15KG-001</v>
      </c>
      <c r="G393" s="19" t="str">
        <f t="array" ref="G393">IFERROR(INDEX(Sales!$G$7:$G$1506,$O393),"")</f>
        <v>Smart Heart Adult Cat Food Chicken &amp; Tuna [15kg]</v>
      </c>
      <c r="H393" s="96">
        <f t="array" ref="H393">IFERROR(INDEX(Sales!$H$7:$H$1506,$O393),"")</f>
        <v>1</v>
      </c>
      <c r="I393" s="96">
        <f t="array" ref="I393">IFERROR(INDEX(Sales!$I$7:$I$1506,$O393),"")</f>
        <v>6400</v>
      </c>
      <c r="J393" s="96">
        <f t="array" ref="J393">IFERROR(INDEX(Sales!$J$7:$J$1506,$O393),"")</f>
        <v>6700</v>
      </c>
      <c r="K393" s="96">
        <f t="array" ref="K393">IFERROR(INDEX(Sales!$K$7:$K$1506,$O393),"")</f>
        <v>300</v>
      </c>
      <c r="L393" s="96">
        <f t="array" ref="L393">IFERROR(INDEX(Sales!$L$7:$L$1506,$O393),"")</f>
        <v>6400</v>
      </c>
      <c r="M393" s="19" t="str">
        <f t="array" ref="M393">IFERROR(INDEX(Sales!$M$7:$M$1506,$O393),"")</f>
        <v>Paid</v>
      </c>
      <c r="O393" s="111" t="str">
        <f>IFERROR(MATCH(TEXT($B$3,"yyyymm")&amp;"-"&amp;(ROW()-4),Sales!$Y$7:$Y$1506,0),"")</f>
        <v/>
      </c>
    </row>
    <row r="394" ht="14.25" customHeight="1">
      <c r="A394" s="110">
        <f t="array" ref="A394">IFERROR(INDEX(Sales!$A$7:$A$1506,$O394),"")</f>
        <v>46219</v>
      </c>
      <c r="B394" s="19" t="str">
        <f t="array" ref="B394">IFERROR(INDEX(Sales!$B$7:$B$1506,$O394),"")</f>
        <v>Sale</v>
      </c>
      <c r="C394" s="19" t="str">
        <f t="array" ref="C394">IFERROR(INDEX(Sales!$C$7:$C$1506,$O394),"")</f>
        <v>Online</v>
      </c>
      <c r="D394" s="19" t="str">
        <f t="array" ref="D394">IFERROR(INDEX(Sales!$D$7:$D$1506,$O394),"")</f>
        <v>Samreen islam</v>
      </c>
      <c r="E394" s="19" t="str">
        <f t="array" ref="E394">IFERROR(IF(INDEX(Sales!$E$7:$E$1506,$O394)="","",INDEX(Sales!$E$7:$E$1506,$O394)),"")</f>
        <v>PAWF-260715-04EAA</v>
      </c>
      <c r="F394" s="19" t="str">
        <f t="array" ref="F394">IFERROR(INDEX(Sales!$F$7:$F$1506,$O394),"")</f>
        <v>FD-DRY-SMHRT-15KG-001</v>
      </c>
      <c r="G394" s="19" t="str">
        <f t="array" ref="G394">IFERROR(INDEX(Sales!$G$7:$G$1506,$O394),"")</f>
        <v>Smart Heart Adult Cat Food Chicken &amp; Tuna [15kg]</v>
      </c>
      <c r="H394" s="96">
        <f t="array" ref="H394">IFERROR(INDEX(Sales!$H$7:$H$1506,$O394),"")</f>
        <v>1</v>
      </c>
      <c r="I394" s="96">
        <f t="array" ref="I394">IFERROR(INDEX(Sales!$I$7:$I$1506,$O394),"")</f>
        <v>6400</v>
      </c>
      <c r="J394" s="96">
        <f t="array" ref="J394">IFERROR(INDEX(Sales!$J$7:$J$1506,$O394),"")</f>
        <v>6700</v>
      </c>
      <c r="K394" s="96">
        <f t="array" ref="K394">IFERROR(INDEX(Sales!$K$7:$K$1506,$O394),"")</f>
        <v>300</v>
      </c>
      <c r="L394" s="96">
        <f t="array" ref="L394">IFERROR(INDEX(Sales!$L$7:$L$1506,$O394),"")</f>
        <v>6400</v>
      </c>
      <c r="M394" s="19" t="str">
        <f t="array" ref="M394">IFERROR(INDEX(Sales!$M$7:$M$1506,$O394),"")</f>
        <v>Paid</v>
      </c>
      <c r="O394" s="111" t="str">
        <f>IFERROR(MATCH(TEXT($B$3,"yyyymm")&amp;"-"&amp;(ROW()-4),Sales!$Y$7:$Y$1506,0),"")</f>
        <v/>
      </c>
    </row>
    <row r="395" ht="14.25" customHeight="1">
      <c r="A395" s="110">
        <f t="array" ref="A395">IFERROR(INDEX(Sales!$A$7:$A$1506,$O395),"")</f>
        <v>46219</v>
      </c>
      <c r="B395" s="19" t="str">
        <f t="array" ref="B395">IFERROR(INDEX(Sales!$B$7:$B$1506,$O395),"")</f>
        <v>Sale</v>
      </c>
      <c r="C395" s="19" t="str">
        <f t="array" ref="C395">IFERROR(INDEX(Sales!$C$7:$C$1506,$O395),"")</f>
        <v>Online</v>
      </c>
      <c r="D395" s="19" t="str">
        <f t="array" ref="D395">IFERROR(INDEX(Sales!$D$7:$D$1506,$O395),"")</f>
        <v>Samreen islam</v>
      </c>
      <c r="E395" s="19" t="str">
        <f t="array" ref="E395">IFERROR(IF(INDEX(Sales!$E$7:$E$1506,$O395)="","",INDEX(Sales!$E$7:$E$1506,$O395)),"")</f>
        <v>PAWF-260715-04EAA</v>
      </c>
      <c r="F395" s="19" t="str">
        <f t="array" ref="F395">IFERROR(INDEX(Sales!$F$7:$F$1506,$O395),"")</f>
        <v>FD-DRY-SMHRT-15KG-001</v>
      </c>
      <c r="G395" s="19" t="str">
        <f t="array" ref="G395">IFERROR(INDEX(Sales!$G$7:$G$1506,$O395),"")</f>
        <v>Smart Heart Adult Cat Food Chicken &amp; Tuna [15kg]</v>
      </c>
      <c r="H395" s="96">
        <f t="array" ref="H395">IFERROR(INDEX(Sales!$H$7:$H$1506,$O395),"")</f>
        <v>1</v>
      </c>
      <c r="I395" s="96">
        <f t="array" ref="I395">IFERROR(INDEX(Sales!$I$7:$I$1506,$O395),"")</f>
        <v>6400</v>
      </c>
      <c r="J395" s="96">
        <f t="array" ref="J395">IFERROR(INDEX(Sales!$J$7:$J$1506,$O395),"")</f>
        <v>6700</v>
      </c>
      <c r="K395" s="96">
        <f t="array" ref="K395">IFERROR(INDEX(Sales!$K$7:$K$1506,$O395),"")</f>
        <v>300</v>
      </c>
      <c r="L395" s="96">
        <f t="array" ref="L395">IFERROR(INDEX(Sales!$L$7:$L$1506,$O395),"")</f>
        <v>6400</v>
      </c>
      <c r="M395" s="19" t="str">
        <f t="array" ref="M395">IFERROR(INDEX(Sales!$M$7:$M$1506,$O395),"")</f>
        <v>Paid</v>
      </c>
      <c r="O395" s="111" t="str">
        <f>IFERROR(MATCH(TEXT($B$3,"yyyymm")&amp;"-"&amp;(ROW()-4),Sales!$Y$7:$Y$1506,0),"")</f>
        <v/>
      </c>
    </row>
    <row r="396" ht="14.25" customHeight="1">
      <c r="A396" s="110">
        <f t="array" ref="A396">IFERROR(INDEX(Sales!$A$7:$A$1506,$O396),"")</f>
        <v>46219</v>
      </c>
      <c r="B396" s="19" t="str">
        <f t="array" ref="B396">IFERROR(INDEX(Sales!$B$7:$B$1506,$O396),"")</f>
        <v>Sale</v>
      </c>
      <c r="C396" s="19" t="str">
        <f t="array" ref="C396">IFERROR(INDEX(Sales!$C$7:$C$1506,$O396),"")</f>
        <v>Online</v>
      </c>
      <c r="D396" s="19" t="str">
        <f t="array" ref="D396">IFERROR(INDEX(Sales!$D$7:$D$1506,$O396),"")</f>
        <v>Samreen islam</v>
      </c>
      <c r="E396" s="19" t="str">
        <f t="array" ref="E396">IFERROR(IF(INDEX(Sales!$E$7:$E$1506,$O396)="","",INDEX(Sales!$E$7:$E$1506,$O396)),"")</f>
        <v>PAWF-260715-04EAA</v>
      </c>
      <c r="F396" s="19" t="str">
        <f t="array" ref="F396">IFERROR(INDEX(Sales!$F$7:$F$1506,$O396),"")</f>
        <v>FD-DRY-SMHRT-15KG-001</v>
      </c>
      <c r="G396" s="19" t="str">
        <f t="array" ref="G396">IFERROR(INDEX(Sales!$G$7:$G$1506,$O396),"")</f>
        <v>Smart Heart Adult Cat Food Chicken &amp; Tuna [15kg]</v>
      </c>
      <c r="H396" s="96">
        <f t="array" ref="H396">IFERROR(INDEX(Sales!$H$7:$H$1506,$O396),"")</f>
        <v>1</v>
      </c>
      <c r="I396" s="96">
        <f t="array" ref="I396">IFERROR(INDEX(Sales!$I$7:$I$1506,$O396),"")</f>
        <v>6400</v>
      </c>
      <c r="J396" s="96">
        <f t="array" ref="J396">IFERROR(INDEX(Sales!$J$7:$J$1506,$O396),"")</f>
        <v>6700</v>
      </c>
      <c r="K396" s="96">
        <f t="array" ref="K396">IFERROR(INDEX(Sales!$K$7:$K$1506,$O396),"")</f>
        <v>300</v>
      </c>
      <c r="L396" s="96">
        <f t="array" ref="L396">IFERROR(INDEX(Sales!$L$7:$L$1506,$O396),"")</f>
        <v>6400</v>
      </c>
      <c r="M396" s="19" t="str">
        <f t="array" ref="M396">IFERROR(INDEX(Sales!$M$7:$M$1506,$O396),"")</f>
        <v>Paid</v>
      </c>
      <c r="O396" s="111" t="str">
        <f>IFERROR(MATCH(TEXT($B$3,"yyyymm")&amp;"-"&amp;(ROW()-4),Sales!$Y$7:$Y$1506,0),"")</f>
        <v/>
      </c>
    </row>
    <row r="397" ht="14.25" customHeight="1">
      <c r="A397" s="110">
        <f t="array" ref="A397">IFERROR(INDEX(Sales!$A$7:$A$1506,$O397),"")</f>
        <v>46219</v>
      </c>
      <c r="B397" s="19" t="str">
        <f t="array" ref="B397">IFERROR(INDEX(Sales!$B$7:$B$1506,$O397),"")</f>
        <v>Sale</v>
      </c>
      <c r="C397" s="19" t="str">
        <f t="array" ref="C397">IFERROR(INDEX(Sales!$C$7:$C$1506,$O397),"")</f>
        <v>Online</v>
      </c>
      <c r="D397" s="19" t="str">
        <f t="array" ref="D397">IFERROR(INDEX(Sales!$D$7:$D$1506,$O397),"")</f>
        <v>Samreen islam</v>
      </c>
      <c r="E397" s="19" t="str">
        <f t="array" ref="E397">IFERROR(IF(INDEX(Sales!$E$7:$E$1506,$O397)="","",INDEX(Sales!$E$7:$E$1506,$O397)),"")</f>
        <v>PAWF-260715-04EAA</v>
      </c>
      <c r="F397" s="19" t="str">
        <f t="array" ref="F397">IFERROR(INDEX(Sales!$F$7:$F$1506,$O397),"")</f>
        <v>FD-DRY-SMHRT-15KG-001</v>
      </c>
      <c r="G397" s="19" t="str">
        <f t="array" ref="G397">IFERROR(INDEX(Sales!$G$7:$G$1506,$O397),"")</f>
        <v>Smart Heart Adult Cat Food Chicken &amp; Tuna [15kg]</v>
      </c>
      <c r="H397" s="96">
        <f t="array" ref="H397">IFERROR(INDEX(Sales!$H$7:$H$1506,$O397),"")</f>
        <v>1</v>
      </c>
      <c r="I397" s="96">
        <f t="array" ref="I397">IFERROR(INDEX(Sales!$I$7:$I$1506,$O397),"")</f>
        <v>6400</v>
      </c>
      <c r="J397" s="96">
        <f t="array" ref="J397">IFERROR(INDEX(Sales!$J$7:$J$1506,$O397),"")</f>
        <v>6700</v>
      </c>
      <c r="K397" s="96">
        <f t="array" ref="K397">IFERROR(INDEX(Sales!$K$7:$K$1506,$O397),"")</f>
        <v>300</v>
      </c>
      <c r="L397" s="96">
        <f t="array" ref="L397">IFERROR(INDEX(Sales!$L$7:$L$1506,$O397),"")</f>
        <v>6400</v>
      </c>
      <c r="M397" s="19" t="str">
        <f t="array" ref="M397">IFERROR(INDEX(Sales!$M$7:$M$1506,$O397),"")</f>
        <v>Paid</v>
      </c>
      <c r="O397" s="111" t="str">
        <f>IFERROR(MATCH(TEXT($B$3,"yyyymm")&amp;"-"&amp;(ROW()-4),Sales!$Y$7:$Y$1506,0),"")</f>
        <v/>
      </c>
    </row>
    <row r="398" ht="14.25" customHeight="1">
      <c r="A398" s="110">
        <f t="array" ref="A398">IFERROR(INDEX(Sales!$A$7:$A$1506,$O398),"")</f>
        <v>46219</v>
      </c>
      <c r="B398" s="19" t="str">
        <f t="array" ref="B398">IFERROR(INDEX(Sales!$B$7:$B$1506,$O398),"")</f>
        <v>Sale</v>
      </c>
      <c r="C398" s="19" t="str">
        <f t="array" ref="C398">IFERROR(INDEX(Sales!$C$7:$C$1506,$O398),"")</f>
        <v>Online</v>
      </c>
      <c r="D398" s="19" t="str">
        <f t="array" ref="D398">IFERROR(INDEX(Sales!$D$7:$D$1506,$O398),"")</f>
        <v>Samreen islam</v>
      </c>
      <c r="E398" s="19" t="str">
        <f t="array" ref="E398">IFERROR(IF(INDEX(Sales!$E$7:$E$1506,$O398)="","",INDEX(Sales!$E$7:$E$1506,$O398)),"")</f>
        <v>PAWF-260715-04EAA</v>
      </c>
      <c r="F398" s="19" t="str">
        <f t="array" ref="F398">IFERROR(INDEX(Sales!$F$7:$F$1506,$O398),"")</f>
        <v>FD-DRY-SMHRT-15KG-001</v>
      </c>
      <c r="G398" s="19" t="str">
        <f t="array" ref="G398">IFERROR(INDEX(Sales!$G$7:$G$1506,$O398),"")</f>
        <v>Smart Heart Adult Cat Food Chicken &amp; Tuna [15kg]</v>
      </c>
      <c r="H398" s="96">
        <f t="array" ref="H398">IFERROR(INDEX(Sales!$H$7:$H$1506,$O398),"")</f>
        <v>1</v>
      </c>
      <c r="I398" s="96">
        <f t="array" ref="I398">IFERROR(INDEX(Sales!$I$7:$I$1506,$O398),"")</f>
        <v>6400</v>
      </c>
      <c r="J398" s="96">
        <f t="array" ref="J398">IFERROR(INDEX(Sales!$J$7:$J$1506,$O398),"")</f>
        <v>6700</v>
      </c>
      <c r="K398" s="96">
        <f t="array" ref="K398">IFERROR(INDEX(Sales!$K$7:$K$1506,$O398),"")</f>
        <v>300</v>
      </c>
      <c r="L398" s="96">
        <f t="array" ref="L398">IFERROR(INDEX(Sales!$L$7:$L$1506,$O398),"")</f>
        <v>6400</v>
      </c>
      <c r="M398" s="19" t="str">
        <f t="array" ref="M398">IFERROR(INDEX(Sales!$M$7:$M$1506,$O398),"")</f>
        <v>Paid</v>
      </c>
      <c r="O398" s="111" t="str">
        <f>IFERROR(MATCH(TEXT($B$3,"yyyymm")&amp;"-"&amp;(ROW()-4),Sales!$Y$7:$Y$1506,0),"")</f>
        <v/>
      </c>
    </row>
    <row r="399" ht="14.25" customHeight="1">
      <c r="A399" s="110">
        <f t="array" ref="A399">IFERROR(INDEX(Sales!$A$7:$A$1506,$O399),"")</f>
        <v>46219</v>
      </c>
      <c r="B399" s="19" t="str">
        <f t="array" ref="B399">IFERROR(INDEX(Sales!$B$7:$B$1506,$O399),"")</f>
        <v>Sale</v>
      </c>
      <c r="C399" s="19" t="str">
        <f t="array" ref="C399">IFERROR(INDEX(Sales!$C$7:$C$1506,$O399),"")</f>
        <v>Online</v>
      </c>
      <c r="D399" s="19" t="str">
        <f t="array" ref="D399">IFERROR(INDEX(Sales!$D$7:$D$1506,$O399),"")</f>
        <v>Samreen islam</v>
      </c>
      <c r="E399" s="19" t="str">
        <f t="array" ref="E399">IFERROR(IF(INDEX(Sales!$E$7:$E$1506,$O399)="","",INDEX(Sales!$E$7:$E$1506,$O399)),"")</f>
        <v>PAWF-260715-04EAA</v>
      </c>
      <c r="F399" s="19" t="str">
        <f t="array" ref="F399">IFERROR(INDEX(Sales!$F$7:$F$1506,$O399),"")</f>
        <v>FD-DRY-SMHRT-15KG-001</v>
      </c>
      <c r="G399" s="19" t="str">
        <f t="array" ref="G399">IFERROR(INDEX(Sales!$G$7:$G$1506,$O399),"")</f>
        <v>Smart Heart Adult Cat Food Chicken &amp; Tuna [15kg]</v>
      </c>
      <c r="H399" s="96">
        <f t="array" ref="H399">IFERROR(INDEX(Sales!$H$7:$H$1506,$O399),"")</f>
        <v>1</v>
      </c>
      <c r="I399" s="96">
        <f t="array" ref="I399">IFERROR(INDEX(Sales!$I$7:$I$1506,$O399),"")</f>
        <v>6400</v>
      </c>
      <c r="J399" s="96">
        <f t="array" ref="J399">IFERROR(INDEX(Sales!$J$7:$J$1506,$O399),"")</f>
        <v>6700</v>
      </c>
      <c r="K399" s="96">
        <f t="array" ref="K399">IFERROR(INDEX(Sales!$K$7:$K$1506,$O399),"")</f>
        <v>300</v>
      </c>
      <c r="L399" s="96">
        <f t="array" ref="L399">IFERROR(INDEX(Sales!$L$7:$L$1506,$O399),"")</f>
        <v>6400</v>
      </c>
      <c r="M399" s="19" t="str">
        <f t="array" ref="M399">IFERROR(INDEX(Sales!$M$7:$M$1506,$O399),"")</f>
        <v>Paid</v>
      </c>
      <c r="O399" s="111" t="str">
        <f>IFERROR(MATCH(TEXT($B$3,"yyyymm")&amp;"-"&amp;(ROW()-4),Sales!$Y$7:$Y$1506,0),"")</f>
        <v/>
      </c>
    </row>
    <row r="400" ht="14.25" customHeight="1">
      <c r="A400" s="110">
        <f t="array" ref="A400">IFERROR(INDEX(Sales!$A$7:$A$1506,$O400),"")</f>
        <v>46219</v>
      </c>
      <c r="B400" s="19" t="str">
        <f t="array" ref="B400">IFERROR(INDEX(Sales!$B$7:$B$1506,$O400),"")</f>
        <v>Sale</v>
      </c>
      <c r="C400" s="19" t="str">
        <f t="array" ref="C400">IFERROR(INDEX(Sales!$C$7:$C$1506,$O400),"")</f>
        <v>Online</v>
      </c>
      <c r="D400" s="19" t="str">
        <f t="array" ref="D400">IFERROR(INDEX(Sales!$D$7:$D$1506,$O400),"")</f>
        <v>Samreen islam</v>
      </c>
      <c r="E400" s="19" t="str">
        <f t="array" ref="E400">IFERROR(IF(INDEX(Sales!$E$7:$E$1506,$O400)="","",INDEX(Sales!$E$7:$E$1506,$O400)),"")</f>
        <v>PAWF-260715-04EAA</v>
      </c>
      <c r="F400" s="19" t="str">
        <f t="array" ref="F400">IFERROR(INDEX(Sales!$F$7:$F$1506,$O400),"")</f>
        <v>FD-DRY-SMHRT-15KG-001</v>
      </c>
      <c r="G400" s="19" t="str">
        <f t="array" ref="G400">IFERROR(INDEX(Sales!$G$7:$G$1506,$O400),"")</f>
        <v>Smart Heart Adult Cat Food Chicken &amp; Tuna [15kg]</v>
      </c>
      <c r="H400" s="96">
        <f t="array" ref="H400">IFERROR(INDEX(Sales!$H$7:$H$1506,$O400),"")</f>
        <v>1</v>
      </c>
      <c r="I400" s="96">
        <f t="array" ref="I400">IFERROR(INDEX(Sales!$I$7:$I$1506,$O400),"")</f>
        <v>6400</v>
      </c>
      <c r="J400" s="96">
        <f t="array" ref="J400">IFERROR(INDEX(Sales!$J$7:$J$1506,$O400),"")</f>
        <v>6700</v>
      </c>
      <c r="K400" s="96">
        <f t="array" ref="K400">IFERROR(INDEX(Sales!$K$7:$K$1506,$O400),"")</f>
        <v>300</v>
      </c>
      <c r="L400" s="96">
        <f t="array" ref="L400">IFERROR(INDEX(Sales!$L$7:$L$1506,$O400),"")</f>
        <v>6400</v>
      </c>
      <c r="M400" s="19" t="str">
        <f t="array" ref="M400">IFERROR(INDEX(Sales!$M$7:$M$1506,$O400),"")</f>
        <v>Paid</v>
      </c>
      <c r="O400" s="111" t="str">
        <f>IFERROR(MATCH(TEXT($B$3,"yyyymm")&amp;"-"&amp;(ROW()-4),Sales!$Y$7:$Y$1506,0),"")</f>
        <v/>
      </c>
    </row>
    <row r="401" ht="14.25" customHeight="1">
      <c r="A401" s="110">
        <f t="array" ref="A401">IFERROR(INDEX(Sales!$A$7:$A$1506,$O401),"")</f>
        <v>46219</v>
      </c>
      <c r="B401" s="19" t="str">
        <f t="array" ref="B401">IFERROR(INDEX(Sales!$B$7:$B$1506,$O401),"")</f>
        <v>Sale</v>
      </c>
      <c r="C401" s="19" t="str">
        <f t="array" ref="C401">IFERROR(INDEX(Sales!$C$7:$C$1506,$O401),"")</f>
        <v>Online</v>
      </c>
      <c r="D401" s="19" t="str">
        <f t="array" ref="D401">IFERROR(INDEX(Sales!$D$7:$D$1506,$O401),"")</f>
        <v>Samreen islam</v>
      </c>
      <c r="E401" s="19" t="str">
        <f t="array" ref="E401">IFERROR(IF(INDEX(Sales!$E$7:$E$1506,$O401)="","",INDEX(Sales!$E$7:$E$1506,$O401)),"")</f>
        <v>PAWF-260715-04EAA</v>
      </c>
      <c r="F401" s="19" t="str">
        <f t="array" ref="F401">IFERROR(INDEX(Sales!$F$7:$F$1506,$O401),"")</f>
        <v>FD-DRY-SMHRT-15KG-001</v>
      </c>
      <c r="G401" s="19" t="str">
        <f t="array" ref="G401">IFERROR(INDEX(Sales!$G$7:$G$1506,$O401),"")</f>
        <v>Smart Heart Adult Cat Food Chicken &amp; Tuna [15kg]</v>
      </c>
      <c r="H401" s="96">
        <f t="array" ref="H401">IFERROR(INDEX(Sales!$H$7:$H$1506,$O401),"")</f>
        <v>1</v>
      </c>
      <c r="I401" s="96">
        <f t="array" ref="I401">IFERROR(INDEX(Sales!$I$7:$I$1506,$O401),"")</f>
        <v>6400</v>
      </c>
      <c r="J401" s="96">
        <f t="array" ref="J401">IFERROR(INDEX(Sales!$J$7:$J$1506,$O401),"")</f>
        <v>6700</v>
      </c>
      <c r="K401" s="96">
        <f t="array" ref="K401">IFERROR(INDEX(Sales!$K$7:$K$1506,$O401),"")</f>
        <v>300</v>
      </c>
      <c r="L401" s="96">
        <f t="array" ref="L401">IFERROR(INDEX(Sales!$L$7:$L$1506,$O401),"")</f>
        <v>6400</v>
      </c>
      <c r="M401" s="19" t="str">
        <f t="array" ref="M401">IFERROR(INDEX(Sales!$M$7:$M$1506,$O401),"")</f>
        <v>Paid</v>
      </c>
      <c r="O401" s="111" t="str">
        <f>IFERROR(MATCH(TEXT($B$3,"yyyymm")&amp;"-"&amp;(ROW()-4),Sales!$Y$7:$Y$1506,0),"")</f>
        <v/>
      </c>
    </row>
    <row r="402" ht="14.25" customHeight="1">
      <c r="A402" s="110">
        <f t="array" ref="A402">IFERROR(INDEX(Sales!$A$7:$A$1506,$O402),"")</f>
        <v>46219</v>
      </c>
      <c r="B402" s="19" t="str">
        <f t="array" ref="B402">IFERROR(INDEX(Sales!$B$7:$B$1506,$O402),"")</f>
        <v>Sale</v>
      </c>
      <c r="C402" s="19" t="str">
        <f t="array" ref="C402">IFERROR(INDEX(Sales!$C$7:$C$1506,$O402),"")</f>
        <v>Online</v>
      </c>
      <c r="D402" s="19" t="str">
        <f t="array" ref="D402">IFERROR(INDEX(Sales!$D$7:$D$1506,$O402),"")</f>
        <v>Samreen islam</v>
      </c>
      <c r="E402" s="19" t="str">
        <f t="array" ref="E402">IFERROR(IF(INDEX(Sales!$E$7:$E$1506,$O402)="","",INDEX(Sales!$E$7:$E$1506,$O402)),"")</f>
        <v>PAWF-260715-04EAA</v>
      </c>
      <c r="F402" s="19" t="str">
        <f t="array" ref="F402">IFERROR(INDEX(Sales!$F$7:$F$1506,$O402),"")</f>
        <v>FD-DRY-SMHRT-15KG-001</v>
      </c>
      <c r="G402" s="19" t="str">
        <f t="array" ref="G402">IFERROR(INDEX(Sales!$G$7:$G$1506,$O402),"")</f>
        <v>Smart Heart Adult Cat Food Chicken &amp; Tuna [15kg]</v>
      </c>
      <c r="H402" s="96">
        <f t="array" ref="H402">IFERROR(INDEX(Sales!$H$7:$H$1506,$O402),"")</f>
        <v>1</v>
      </c>
      <c r="I402" s="96">
        <f t="array" ref="I402">IFERROR(INDEX(Sales!$I$7:$I$1506,$O402),"")</f>
        <v>6400</v>
      </c>
      <c r="J402" s="96">
        <f t="array" ref="J402">IFERROR(INDEX(Sales!$J$7:$J$1506,$O402),"")</f>
        <v>6700</v>
      </c>
      <c r="K402" s="96">
        <f t="array" ref="K402">IFERROR(INDEX(Sales!$K$7:$K$1506,$O402),"")</f>
        <v>300</v>
      </c>
      <c r="L402" s="96">
        <f t="array" ref="L402">IFERROR(INDEX(Sales!$L$7:$L$1506,$O402),"")</f>
        <v>6400</v>
      </c>
      <c r="M402" s="19" t="str">
        <f t="array" ref="M402">IFERROR(INDEX(Sales!$M$7:$M$1506,$O402),"")</f>
        <v>Paid</v>
      </c>
      <c r="O402" s="111" t="str">
        <f>IFERROR(MATCH(TEXT($B$3,"yyyymm")&amp;"-"&amp;(ROW()-4),Sales!$Y$7:$Y$1506,0),"")</f>
        <v/>
      </c>
    </row>
    <row r="403" ht="14.25" customHeight="1">
      <c r="A403" s="110">
        <f t="array" ref="A403">IFERROR(INDEX(Sales!$A$7:$A$1506,$O403),"")</f>
        <v>46219</v>
      </c>
      <c r="B403" s="19" t="str">
        <f t="array" ref="B403">IFERROR(INDEX(Sales!$B$7:$B$1506,$O403),"")</f>
        <v>Sale</v>
      </c>
      <c r="C403" s="19" t="str">
        <f t="array" ref="C403">IFERROR(INDEX(Sales!$C$7:$C$1506,$O403),"")</f>
        <v>Online</v>
      </c>
      <c r="D403" s="19" t="str">
        <f t="array" ref="D403">IFERROR(INDEX(Sales!$D$7:$D$1506,$O403),"")</f>
        <v>Samreen islam</v>
      </c>
      <c r="E403" s="19" t="str">
        <f t="array" ref="E403">IFERROR(IF(INDEX(Sales!$E$7:$E$1506,$O403)="","",INDEX(Sales!$E$7:$E$1506,$O403)),"")</f>
        <v>PAWF-260715-04EAA</v>
      </c>
      <c r="F403" s="19" t="str">
        <f t="array" ref="F403">IFERROR(INDEX(Sales!$F$7:$F$1506,$O403),"")</f>
        <v>FD-DRY-SMHRT-15KG-001</v>
      </c>
      <c r="G403" s="19" t="str">
        <f t="array" ref="G403">IFERROR(INDEX(Sales!$G$7:$G$1506,$O403),"")</f>
        <v>Smart Heart Adult Cat Food Chicken &amp; Tuna [15kg]</v>
      </c>
      <c r="H403" s="96">
        <f t="array" ref="H403">IFERROR(INDEX(Sales!$H$7:$H$1506,$O403),"")</f>
        <v>1</v>
      </c>
      <c r="I403" s="96">
        <f t="array" ref="I403">IFERROR(INDEX(Sales!$I$7:$I$1506,$O403),"")</f>
        <v>6400</v>
      </c>
      <c r="J403" s="96">
        <f t="array" ref="J403">IFERROR(INDEX(Sales!$J$7:$J$1506,$O403),"")</f>
        <v>6700</v>
      </c>
      <c r="K403" s="96">
        <f t="array" ref="K403">IFERROR(INDEX(Sales!$K$7:$K$1506,$O403),"")</f>
        <v>300</v>
      </c>
      <c r="L403" s="96">
        <f t="array" ref="L403">IFERROR(INDEX(Sales!$L$7:$L$1506,$O403),"")</f>
        <v>6400</v>
      </c>
      <c r="M403" s="19" t="str">
        <f t="array" ref="M403">IFERROR(INDEX(Sales!$M$7:$M$1506,$O403),"")</f>
        <v>Paid</v>
      </c>
      <c r="O403" s="111" t="str">
        <f>IFERROR(MATCH(TEXT($B$3,"yyyymm")&amp;"-"&amp;(ROW()-4),Sales!$Y$7:$Y$1506,0),"")</f>
        <v/>
      </c>
    </row>
    <row r="404" ht="14.25" customHeight="1">
      <c r="A404" s="110">
        <f t="array" ref="A404">IFERROR(INDEX(Sales!$A$7:$A$1506,$O404),"")</f>
        <v>46219</v>
      </c>
      <c r="B404" s="19" t="str">
        <f t="array" ref="B404">IFERROR(INDEX(Sales!$B$7:$B$1506,$O404),"")</f>
        <v>Sale</v>
      </c>
      <c r="C404" s="19" t="str">
        <f t="array" ref="C404">IFERROR(INDEX(Sales!$C$7:$C$1506,$O404),"")</f>
        <v>Online</v>
      </c>
      <c r="D404" s="19" t="str">
        <f t="array" ref="D404">IFERROR(INDEX(Sales!$D$7:$D$1506,$O404),"")</f>
        <v>Samreen islam</v>
      </c>
      <c r="E404" s="19" t="str">
        <f t="array" ref="E404">IFERROR(IF(INDEX(Sales!$E$7:$E$1506,$O404)="","",INDEX(Sales!$E$7:$E$1506,$O404)),"")</f>
        <v>PAWF-260715-04EAA</v>
      </c>
      <c r="F404" s="19" t="str">
        <f t="array" ref="F404">IFERROR(INDEX(Sales!$F$7:$F$1506,$O404),"")</f>
        <v>FD-DRY-SMHRT-15KG-001</v>
      </c>
      <c r="G404" s="19" t="str">
        <f t="array" ref="G404">IFERROR(INDEX(Sales!$G$7:$G$1506,$O404),"")</f>
        <v>Smart Heart Adult Cat Food Chicken &amp; Tuna [15kg]</v>
      </c>
      <c r="H404" s="96">
        <f t="array" ref="H404">IFERROR(INDEX(Sales!$H$7:$H$1506,$O404),"")</f>
        <v>1</v>
      </c>
      <c r="I404" s="96">
        <f t="array" ref="I404">IFERROR(INDEX(Sales!$I$7:$I$1506,$O404),"")</f>
        <v>6400</v>
      </c>
      <c r="J404" s="96">
        <f t="array" ref="J404">IFERROR(INDEX(Sales!$J$7:$J$1506,$O404),"")</f>
        <v>6700</v>
      </c>
      <c r="K404" s="96">
        <f t="array" ref="K404">IFERROR(INDEX(Sales!$K$7:$K$1506,$O404),"")</f>
        <v>300</v>
      </c>
      <c r="L404" s="96">
        <f t="array" ref="L404">IFERROR(INDEX(Sales!$L$7:$L$1506,$O404),"")</f>
        <v>6400</v>
      </c>
      <c r="M404" s="19" t="str">
        <f t="array" ref="M404">IFERROR(INDEX(Sales!$M$7:$M$1506,$O404),"")</f>
        <v>Paid</v>
      </c>
      <c r="O404" s="111" t="str">
        <f>IFERROR(MATCH(TEXT($B$3,"yyyymm")&amp;"-"&amp;(ROW()-4),Sales!$Y$7:$Y$1506,0),"")</f>
        <v/>
      </c>
    </row>
    <row r="405" ht="14.25" customHeight="1">
      <c r="A405" s="110">
        <f t="array" ref="A405">IFERROR(INDEX(Sales!$A$7:$A$1506,$O405),"")</f>
        <v>46219</v>
      </c>
      <c r="B405" s="19" t="str">
        <f t="array" ref="B405">IFERROR(INDEX(Sales!$B$7:$B$1506,$O405),"")</f>
        <v>Sale</v>
      </c>
      <c r="C405" s="19" t="str">
        <f t="array" ref="C405">IFERROR(INDEX(Sales!$C$7:$C$1506,$O405),"")</f>
        <v>Online</v>
      </c>
      <c r="D405" s="19" t="str">
        <f t="array" ref="D405">IFERROR(INDEX(Sales!$D$7:$D$1506,$O405),"")</f>
        <v>Samreen islam</v>
      </c>
      <c r="E405" s="19" t="str">
        <f t="array" ref="E405">IFERROR(IF(INDEX(Sales!$E$7:$E$1506,$O405)="","",INDEX(Sales!$E$7:$E$1506,$O405)),"")</f>
        <v>PAWF-260715-04EAA</v>
      </c>
      <c r="F405" s="19" t="str">
        <f t="array" ref="F405">IFERROR(INDEX(Sales!$F$7:$F$1506,$O405),"")</f>
        <v>FD-DRY-SMHRT-15KG-001</v>
      </c>
      <c r="G405" s="19" t="str">
        <f t="array" ref="G405">IFERROR(INDEX(Sales!$G$7:$G$1506,$O405),"")</f>
        <v>Smart Heart Adult Cat Food Chicken &amp; Tuna [15kg]</v>
      </c>
      <c r="H405" s="96">
        <f t="array" ref="H405">IFERROR(INDEX(Sales!$H$7:$H$1506,$O405),"")</f>
        <v>1</v>
      </c>
      <c r="I405" s="96">
        <f t="array" ref="I405">IFERROR(INDEX(Sales!$I$7:$I$1506,$O405),"")</f>
        <v>6400</v>
      </c>
      <c r="J405" s="96">
        <f t="array" ref="J405">IFERROR(INDEX(Sales!$J$7:$J$1506,$O405),"")</f>
        <v>6700</v>
      </c>
      <c r="K405" s="96">
        <f t="array" ref="K405">IFERROR(INDEX(Sales!$K$7:$K$1506,$O405),"")</f>
        <v>300</v>
      </c>
      <c r="L405" s="96">
        <f t="array" ref="L405">IFERROR(INDEX(Sales!$L$7:$L$1506,$O405),"")</f>
        <v>6400</v>
      </c>
      <c r="M405" s="19" t="str">
        <f t="array" ref="M405">IFERROR(INDEX(Sales!$M$7:$M$1506,$O405),"")</f>
        <v>Paid</v>
      </c>
      <c r="O405" s="111" t="str">
        <f>IFERROR(MATCH(TEXT($B$3,"yyyymm")&amp;"-"&amp;(ROW()-4),Sales!$Y$7:$Y$1506,0),"")</f>
        <v/>
      </c>
    </row>
    <row r="406" ht="14.25" customHeight="1">
      <c r="A406" s="110">
        <f t="array" ref="A406">IFERROR(INDEX(Sales!$A$7:$A$1506,$O406),"")</f>
        <v>46219</v>
      </c>
      <c r="B406" s="19" t="str">
        <f t="array" ref="B406">IFERROR(INDEX(Sales!$B$7:$B$1506,$O406),"")</f>
        <v>Sale</v>
      </c>
      <c r="C406" s="19" t="str">
        <f t="array" ref="C406">IFERROR(INDEX(Sales!$C$7:$C$1506,$O406),"")</f>
        <v>Online</v>
      </c>
      <c r="D406" s="19" t="str">
        <f t="array" ref="D406">IFERROR(INDEX(Sales!$D$7:$D$1506,$O406),"")</f>
        <v>Samreen islam</v>
      </c>
      <c r="E406" s="19" t="str">
        <f t="array" ref="E406">IFERROR(IF(INDEX(Sales!$E$7:$E$1506,$O406)="","",INDEX(Sales!$E$7:$E$1506,$O406)),"")</f>
        <v>PAWF-260715-04EAA</v>
      </c>
      <c r="F406" s="19" t="str">
        <f t="array" ref="F406">IFERROR(INDEX(Sales!$F$7:$F$1506,$O406),"")</f>
        <v>FD-DRY-SMHRT-15KG-001</v>
      </c>
      <c r="G406" s="19" t="str">
        <f t="array" ref="G406">IFERROR(INDEX(Sales!$G$7:$G$1506,$O406),"")</f>
        <v>Smart Heart Adult Cat Food Chicken &amp; Tuna [15kg]</v>
      </c>
      <c r="H406" s="96">
        <f t="array" ref="H406">IFERROR(INDEX(Sales!$H$7:$H$1506,$O406),"")</f>
        <v>1</v>
      </c>
      <c r="I406" s="96">
        <f t="array" ref="I406">IFERROR(INDEX(Sales!$I$7:$I$1506,$O406),"")</f>
        <v>6400</v>
      </c>
      <c r="J406" s="96">
        <f t="array" ref="J406">IFERROR(INDEX(Sales!$J$7:$J$1506,$O406),"")</f>
        <v>6700</v>
      </c>
      <c r="K406" s="96">
        <f t="array" ref="K406">IFERROR(INDEX(Sales!$K$7:$K$1506,$O406),"")</f>
        <v>300</v>
      </c>
      <c r="L406" s="96">
        <f t="array" ref="L406">IFERROR(INDEX(Sales!$L$7:$L$1506,$O406),"")</f>
        <v>6400</v>
      </c>
      <c r="M406" s="19" t="str">
        <f t="array" ref="M406">IFERROR(INDEX(Sales!$M$7:$M$1506,$O406),"")</f>
        <v>Paid</v>
      </c>
      <c r="O406" s="111" t="str">
        <f>IFERROR(MATCH(TEXT($B$3,"yyyymm")&amp;"-"&amp;(ROW()-4),Sales!$Y$7:$Y$1506,0),"")</f>
        <v/>
      </c>
    </row>
    <row r="407" ht="14.25" customHeight="1">
      <c r="A407" s="110">
        <f t="array" ref="A407">IFERROR(INDEX(Sales!$A$7:$A$1506,$O407),"")</f>
        <v>46219</v>
      </c>
      <c r="B407" s="19" t="str">
        <f t="array" ref="B407">IFERROR(INDEX(Sales!$B$7:$B$1506,$O407),"")</f>
        <v>Sale</v>
      </c>
      <c r="C407" s="19" t="str">
        <f t="array" ref="C407">IFERROR(INDEX(Sales!$C$7:$C$1506,$O407),"")</f>
        <v>Online</v>
      </c>
      <c r="D407" s="19" t="str">
        <f t="array" ref="D407">IFERROR(INDEX(Sales!$D$7:$D$1506,$O407),"")</f>
        <v>Samreen islam</v>
      </c>
      <c r="E407" s="19" t="str">
        <f t="array" ref="E407">IFERROR(IF(INDEX(Sales!$E$7:$E$1506,$O407)="","",INDEX(Sales!$E$7:$E$1506,$O407)),"")</f>
        <v>PAWF-260715-04EAA</v>
      </c>
      <c r="F407" s="19" t="str">
        <f t="array" ref="F407">IFERROR(INDEX(Sales!$F$7:$F$1506,$O407),"")</f>
        <v>FD-DRY-SMHRT-15KG-001</v>
      </c>
      <c r="G407" s="19" t="str">
        <f t="array" ref="G407">IFERROR(INDEX(Sales!$G$7:$G$1506,$O407),"")</f>
        <v>Smart Heart Adult Cat Food Chicken &amp; Tuna [15kg]</v>
      </c>
      <c r="H407" s="96">
        <f t="array" ref="H407">IFERROR(INDEX(Sales!$H$7:$H$1506,$O407),"")</f>
        <v>1</v>
      </c>
      <c r="I407" s="96">
        <f t="array" ref="I407">IFERROR(INDEX(Sales!$I$7:$I$1506,$O407),"")</f>
        <v>6400</v>
      </c>
      <c r="J407" s="96">
        <f t="array" ref="J407">IFERROR(INDEX(Sales!$J$7:$J$1506,$O407),"")</f>
        <v>6700</v>
      </c>
      <c r="K407" s="96">
        <f t="array" ref="K407">IFERROR(INDEX(Sales!$K$7:$K$1506,$O407),"")</f>
        <v>300</v>
      </c>
      <c r="L407" s="96">
        <f t="array" ref="L407">IFERROR(INDEX(Sales!$L$7:$L$1506,$O407),"")</f>
        <v>6400</v>
      </c>
      <c r="M407" s="19" t="str">
        <f t="array" ref="M407">IFERROR(INDEX(Sales!$M$7:$M$1506,$O407),"")</f>
        <v>Paid</v>
      </c>
      <c r="O407" s="111" t="str">
        <f>IFERROR(MATCH(TEXT($B$3,"yyyymm")&amp;"-"&amp;(ROW()-4),Sales!$Y$7:$Y$1506,0),"")</f>
        <v/>
      </c>
    </row>
    <row r="408" ht="14.25" customHeight="1">
      <c r="A408" s="110">
        <f t="array" ref="A408">IFERROR(INDEX(Sales!$A$7:$A$1506,$O408),"")</f>
        <v>46219</v>
      </c>
      <c r="B408" s="19" t="str">
        <f t="array" ref="B408">IFERROR(INDEX(Sales!$B$7:$B$1506,$O408),"")</f>
        <v>Sale</v>
      </c>
      <c r="C408" s="19" t="str">
        <f t="array" ref="C408">IFERROR(INDEX(Sales!$C$7:$C$1506,$O408),"")</f>
        <v>Online</v>
      </c>
      <c r="D408" s="19" t="str">
        <f t="array" ref="D408">IFERROR(INDEX(Sales!$D$7:$D$1506,$O408),"")</f>
        <v>Samreen islam</v>
      </c>
      <c r="E408" s="19" t="str">
        <f t="array" ref="E408">IFERROR(IF(INDEX(Sales!$E$7:$E$1506,$O408)="","",INDEX(Sales!$E$7:$E$1506,$O408)),"")</f>
        <v>PAWF-260715-04EAA</v>
      </c>
      <c r="F408" s="19" t="str">
        <f t="array" ref="F408">IFERROR(INDEX(Sales!$F$7:$F$1506,$O408),"")</f>
        <v>FD-DRY-SMHRT-15KG-001</v>
      </c>
      <c r="G408" s="19" t="str">
        <f t="array" ref="G408">IFERROR(INDEX(Sales!$G$7:$G$1506,$O408),"")</f>
        <v>Smart Heart Adult Cat Food Chicken &amp; Tuna [15kg]</v>
      </c>
      <c r="H408" s="96">
        <f t="array" ref="H408">IFERROR(INDEX(Sales!$H$7:$H$1506,$O408),"")</f>
        <v>1</v>
      </c>
      <c r="I408" s="96">
        <f t="array" ref="I408">IFERROR(INDEX(Sales!$I$7:$I$1506,$O408),"")</f>
        <v>6400</v>
      </c>
      <c r="J408" s="96">
        <f t="array" ref="J408">IFERROR(INDEX(Sales!$J$7:$J$1506,$O408),"")</f>
        <v>6700</v>
      </c>
      <c r="K408" s="96">
        <f t="array" ref="K408">IFERROR(INDEX(Sales!$K$7:$K$1506,$O408),"")</f>
        <v>300</v>
      </c>
      <c r="L408" s="96">
        <f t="array" ref="L408">IFERROR(INDEX(Sales!$L$7:$L$1506,$O408),"")</f>
        <v>6400</v>
      </c>
      <c r="M408" s="19" t="str">
        <f t="array" ref="M408">IFERROR(INDEX(Sales!$M$7:$M$1506,$O408),"")</f>
        <v>Paid</v>
      </c>
      <c r="O408" s="111" t="str">
        <f>IFERROR(MATCH(TEXT($B$3,"yyyymm")&amp;"-"&amp;(ROW()-4),Sales!$Y$7:$Y$1506,0),"")</f>
        <v/>
      </c>
    </row>
    <row r="409" ht="14.25" customHeight="1">
      <c r="A409" s="110">
        <f t="array" ref="A409">IFERROR(INDEX(Sales!$A$7:$A$1506,$O409),"")</f>
        <v>46219</v>
      </c>
      <c r="B409" s="19" t="str">
        <f t="array" ref="B409">IFERROR(INDEX(Sales!$B$7:$B$1506,$O409),"")</f>
        <v>Sale</v>
      </c>
      <c r="C409" s="19" t="str">
        <f t="array" ref="C409">IFERROR(INDEX(Sales!$C$7:$C$1506,$O409),"")</f>
        <v>Online</v>
      </c>
      <c r="D409" s="19" t="str">
        <f t="array" ref="D409">IFERROR(INDEX(Sales!$D$7:$D$1506,$O409),"")</f>
        <v>Samreen islam</v>
      </c>
      <c r="E409" s="19" t="str">
        <f t="array" ref="E409">IFERROR(IF(INDEX(Sales!$E$7:$E$1506,$O409)="","",INDEX(Sales!$E$7:$E$1506,$O409)),"")</f>
        <v>PAWF-260715-04EAA</v>
      </c>
      <c r="F409" s="19" t="str">
        <f t="array" ref="F409">IFERROR(INDEX(Sales!$F$7:$F$1506,$O409),"")</f>
        <v>FD-DRY-SMHRT-15KG-001</v>
      </c>
      <c r="G409" s="19" t="str">
        <f t="array" ref="G409">IFERROR(INDEX(Sales!$G$7:$G$1506,$O409),"")</f>
        <v>Smart Heart Adult Cat Food Chicken &amp; Tuna [15kg]</v>
      </c>
      <c r="H409" s="96">
        <f t="array" ref="H409">IFERROR(INDEX(Sales!$H$7:$H$1506,$O409),"")</f>
        <v>1</v>
      </c>
      <c r="I409" s="96">
        <f t="array" ref="I409">IFERROR(INDEX(Sales!$I$7:$I$1506,$O409),"")</f>
        <v>6400</v>
      </c>
      <c r="J409" s="96">
        <f t="array" ref="J409">IFERROR(INDEX(Sales!$J$7:$J$1506,$O409),"")</f>
        <v>6700</v>
      </c>
      <c r="K409" s="96">
        <f t="array" ref="K409">IFERROR(INDEX(Sales!$K$7:$K$1506,$O409),"")</f>
        <v>300</v>
      </c>
      <c r="L409" s="96">
        <f t="array" ref="L409">IFERROR(INDEX(Sales!$L$7:$L$1506,$O409),"")</f>
        <v>6400</v>
      </c>
      <c r="M409" s="19" t="str">
        <f t="array" ref="M409">IFERROR(INDEX(Sales!$M$7:$M$1506,$O409),"")</f>
        <v>Paid</v>
      </c>
      <c r="O409" s="111" t="str">
        <f>IFERROR(MATCH(TEXT($B$3,"yyyymm")&amp;"-"&amp;(ROW()-4),Sales!$Y$7:$Y$1506,0),"")</f>
        <v/>
      </c>
    </row>
    <row r="410" ht="14.25" customHeight="1">
      <c r="A410" s="110">
        <f t="array" ref="A410">IFERROR(INDEX(Sales!$A$7:$A$1506,$O410),"")</f>
        <v>46219</v>
      </c>
      <c r="B410" s="19" t="str">
        <f t="array" ref="B410">IFERROR(INDEX(Sales!$B$7:$B$1506,$O410),"")</f>
        <v>Sale</v>
      </c>
      <c r="C410" s="19" t="str">
        <f t="array" ref="C410">IFERROR(INDEX(Sales!$C$7:$C$1506,$O410),"")</f>
        <v>Online</v>
      </c>
      <c r="D410" s="19" t="str">
        <f t="array" ref="D410">IFERROR(INDEX(Sales!$D$7:$D$1506,$O410),"")</f>
        <v>Samreen islam</v>
      </c>
      <c r="E410" s="19" t="str">
        <f t="array" ref="E410">IFERROR(IF(INDEX(Sales!$E$7:$E$1506,$O410)="","",INDEX(Sales!$E$7:$E$1506,$O410)),"")</f>
        <v>PAWF-260715-04EAA</v>
      </c>
      <c r="F410" s="19" t="str">
        <f t="array" ref="F410">IFERROR(INDEX(Sales!$F$7:$F$1506,$O410),"")</f>
        <v>FD-DRY-SMHRT-15KG-001</v>
      </c>
      <c r="G410" s="19" t="str">
        <f t="array" ref="G410">IFERROR(INDEX(Sales!$G$7:$G$1506,$O410),"")</f>
        <v>Smart Heart Adult Cat Food Chicken &amp; Tuna [15kg]</v>
      </c>
      <c r="H410" s="96">
        <f t="array" ref="H410">IFERROR(INDEX(Sales!$H$7:$H$1506,$O410),"")</f>
        <v>1</v>
      </c>
      <c r="I410" s="96">
        <f t="array" ref="I410">IFERROR(INDEX(Sales!$I$7:$I$1506,$O410),"")</f>
        <v>6400</v>
      </c>
      <c r="J410" s="96">
        <f t="array" ref="J410">IFERROR(INDEX(Sales!$J$7:$J$1506,$O410),"")</f>
        <v>6700</v>
      </c>
      <c r="K410" s="96">
        <f t="array" ref="K410">IFERROR(INDEX(Sales!$K$7:$K$1506,$O410),"")</f>
        <v>300</v>
      </c>
      <c r="L410" s="96">
        <f t="array" ref="L410">IFERROR(INDEX(Sales!$L$7:$L$1506,$O410),"")</f>
        <v>6400</v>
      </c>
      <c r="M410" s="19" t="str">
        <f t="array" ref="M410">IFERROR(INDEX(Sales!$M$7:$M$1506,$O410),"")</f>
        <v>Paid</v>
      </c>
      <c r="O410" s="111" t="str">
        <f>IFERROR(MATCH(TEXT($B$3,"yyyymm")&amp;"-"&amp;(ROW()-4),Sales!$Y$7:$Y$1506,0),"")</f>
        <v/>
      </c>
    </row>
    <row r="411" ht="14.25" customHeight="1">
      <c r="A411" s="110">
        <f t="array" ref="A411">IFERROR(INDEX(Sales!$A$7:$A$1506,$O411),"")</f>
        <v>46219</v>
      </c>
      <c r="B411" s="19" t="str">
        <f t="array" ref="B411">IFERROR(INDEX(Sales!$B$7:$B$1506,$O411),"")</f>
        <v>Sale</v>
      </c>
      <c r="C411" s="19" t="str">
        <f t="array" ref="C411">IFERROR(INDEX(Sales!$C$7:$C$1506,$O411),"")</f>
        <v>Online</v>
      </c>
      <c r="D411" s="19" t="str">
        <f t="array" ref="D411">IFERROR(INDEX(Sales!$D$7:$D$1506,$O411),"")</f>
        <v>Samreen islam</v>
      </c>
      <c r="E411" s="19" t="str">
        <f t="array" ref="E411">IFERROR(IF(INDEX(Sales!$E$7:$E$1506,$O411)="","",INDEX(Sales!$E$7:$E$1506,$O411)),"")</f>
        <v>PAWF-260715-04EAA</v>
      </c>
      <c r="F411" s="19" t="str">
        <f t="array" ref="F411">IFERROR(INDEX(Sales!$F$7:$F$1506,$O411),"")</f>
        <v>FD-DRY-SMHRT-15KG-001</v>
      </c>
      <c r="G411" s="19" t="str">
        <f t="array" ref="G411">IFERROR(INDEX(Sales!$G$7:$G$1506,$O411),"")</f>
        <v>Smart Heart Adult Cat Food Chicken &amp; Tuna [15kg]</v>
      </c>
      <c r="H411" s="96">
        <f t="array" ref="H411">IFERROR(INDEX(Sales!$H$7:$H$1506,$O411),"")</f>
        <v>1</v>
      </c>
      <c r="I411" s="96">
        <f t="array" ref="I411">IFERROR(INDEX(Sales!$I$7:$I$1506,$O411),"")</f>
        <v>6400</v>
      </c>
      <c r="J411" s="96">
        <f t="array" ref="J411">IFERROR(INDEX(Sales!$J$7:$J$1506,$O411),"")</f>
        <v>6700</v>
      </c>
      <c r="K411" s="96">
        <f t="array" ref="K411">IFERROR(INDEX(Sales!$K$7:$K$1506,$O411),"")</f>
        <v>300</v>
      </c>
      <c r="L411" s="96">
        <f t="array" ref="L411">IFERROR(INDEX(Sales!$L$7:$L$1506,$O411),"")</f>
        <v>6400</v>
      </c>
      <c r="M411" s="19" t="str">
        <f t="array" ref="M411">IFERROR(INDEX(Sales!$M$7:$M$1506,$O411),"")</f>
        <v>Paid</v>
      </c>
      <c r="O411" s="111" t="str">
        <f>IFERROR(MATCH(TEXT($B$3,"yyyymm")&amp;"-"&amp;(ROW()-4),Sales!$Y$7:$Y$1506,0),"")</f>
        <v/>
      </c>
    </row>
    <row r="412" ht="14.25" customHeight="1">
      <c r="A412" s="110">
        <f t="array" ref="A412">IFERROR(INDEX(Sales!$A$7:$A$1506,$O412),"")</f>
        <v>46219</v>
      </c>
      <c r="B412" s="19" t="str">
        <f t="array" ref="B412">IFERROR(INDEX(Sales!$B$7:$B$1506,$O412),"")</f>
        <v>Sale</v>
      </c>
      <c r="C412" s="19" t="str">
        <f t="array" ref="C412">IFERROR(INDEX(Sales!$C$7:$C$1506,$O412),"")</f>
        <v>Online</v>
      </c>
      <c r="D412" s="19" t="str">
        <f t="array" ref="D412">IFERROR(INDEX(Sales!$D$7:$D$1506,$O412),"")</f>
        <v>Samreen islam</v>
      </c>
      <c r="E412" s="19" t="str">
        <f t="array" ref="E412">IFERROR(IF(INDEX(Sales!$E$7:$E$1506,$O412)="","",INDEX(Sales!$E$7:$E$1506,$O412)),"")</f>
        <v>PAWF-260715-04EAA</v>
      </c>
      <c r="F412" s="19" t="str">
        <f t="array" ref="F412">IFERROR(INDEX(Sales!$F$7:$F$1506,$O412),"")</f>
        <v>FD-DRY-SMHRT-15KG-001</v>
      </c>
      <c r="G412" s="19" t="str">
        <f t="array" ref="G412">IFERROR(INDEX(Sales!$G$7:$G$1506,$O412),"")</f>
        <v>Smart Heart Adult Cat Food Chicken &amp; Tuna [15kg]</v>
      </c>
      <c r="H412" s="96">
        <f t="array" ref="H412">IFERROR(INDEX(Sales!$H$7:$H$1506,$O412),"")</f>
        <v>1</v>
      </c>
      <c r="I412" s="96">
        <f t="array" ref="I412">IFERROR(INDEX(Sales!$I$7:$I$1506,$O412),"")</f>
        <v>6400</v>
      </c>
      <c r="J412" s="96">
        <f t="array" ref="J412">IFERROR(INDEX(Sales!$J$7:$J$1506,$O412),"")</f>
        <v>6700</v>
      </c>
      <c r="K412" s="96">
        <f t="array" ref="K412">IFERROR(INDEX(Sales!$K$7:$K$1506,$O412),"")</f>
        <v>300</v>
      </c>
      <c r="L412" s="96">
        <f t="array" ref="L412">IFERROR(INDEX(Sales!$L$7:$L$1506,$O412),"")</f>
        <v>6400</v>
      </c>
      <c r="M412" s="19" t="str">
        <f t="array" ref="M412">IFERROR(INDEX(Sales!$M$7:$M$1506,$O412),"")</f>
        <v>Paid</v>
      </c>
      <c r="O412" s="111" t="str">
        <f>IFERROR(MATCH(TEXT($B$3,"yyyymm")&amp;"-"&amp;(ROW()-4),Sales!$Y$7:$Y$1506,0),"")</f>
        <v/>
      </c>
    </row>
    <row r="413" ht="14.25" customHeight="1">
      <c r="A413" s="110">
        <f t="array" ref="A413">IFERROR(INDEX(Sales!$A$7:$A$1506,$O413),"")</f>
        <v>46219</v>
      </c>
      <c r="B413" s="19" t="str">
        <f t="array" ref="B413">IFERROR(INDEX(Sales!$B$7:$B$1506,$O413),"")</f>
        <v>Sale</v>
      </c>
      <c r="C413" s="19" t="str">
        <f t="array" ref="C413">IFERROR(INDEX(Sales!$C$7:$C$1506,$O413),"")</f>
        <v>Online</v>
      </c>
      <c r="D413" s="19" t="str">
        <f t="array" ref="D413">IFERROR(INDEX(Sales!$D$7:$D$1506,$O413),"")</f>
        <v>Samreen islam</v>
      </c>
      <c r="E413" s="19" t="str">
        <f t="array" ref="E413">IFERROR(IF(INDEX(Sales!$E$7:$E$1506,$O413)="","",INDEX(Sales!$E$7:$E$1506,$O413)),"")</f>
        <v>PAWF-260715-04EAA</v>
      </c>
      <c r="F413" s="19" t="str">
        <f t="array" ref="F413">IFERROR(INDEX(Sales!$F$7:$F$1506,$O413),"")</f>
        <v>FD-DRY-SMHRT-15KG-001</v>
      </c>
      <c r="G413" s="19" t="str">
        <f t="array" ref="G413">IFERROR(INDEX(Sales!$G$7:$G$1506,$O413),"")</f>
        <v>Smart Heart Adult Cat Food Chicken &amp; Tuna [15kg]</v>
      </c>
      <c r="H413" s="96">
        <f t="array" ref="H413">IFERROR(INDEX(Sales!$H$7:$H$1506,$O413),"")</f>
        <v>1</v>
      </c>
      <c r="I413" s="96">
        <f t="array" ref="I413">IFERROR(INDEX(Sales!$I$7:$I$1506,$O413),"")</f>
        <v>6400</v>
      </c>
      <c r="J413" s="96">
        <f t="array" ref="J413">IFERROR(INDEX(Sales!$J$7:$J$1506,$O413),"")</f>
        <v>6700</v>
      </c>
      <c r="K413" s="96">
        <f t="array" ref="K413">IFERROR(INDEX(Sales!$K$7:$K$1506,$O413),"")</f>
        <v>300</v>
      </c>
      <c r="L413" s="96">
        <f t="array" ref="L413">IFERROR(INDEX(Sales!$L$7:$L$1506,$O413),"")</f>
        <v>6400</v>
      </c>
      <c r="M413" s="19" t="str">
        <f t="array" ref="M413">IFERROR(INDEX(Sales!$M$7:$M$1506,$O413),"")</f>
        <v>Paid</v>
      </c>
      <c r="O413" s="111" t="str">
        <f>IFERROR(MATCH(TEXT($B$3,"yyyymm")&amp;"-"&amp;(ROW()-4),Sales!$Y$7:$Y$1506,0),"")</f>
        <v/>
      </c>
    </row>
    <row r="414" ht="14.25" customHeight="1">
      <c r="A414" s="110">
        <f t="array" ref="A414">IFERROR(INDEX(Sales!$A$7:$A$1506,$O414),"")</f>
        <v>46219</v>
      </c>
      <c r="B414" s="19" t="str">
        <f t="array" ref="B414">IFERROR(INDEX(Sales!$B$7:$B$1506,$O414),"")</f>
        <v>Sale</v>
      </c>
      <c r="C414" s="19" t="str">
        <f t="array" ref="C414">IFERROR(INDEX(Sales!$C$7:$C$1506,$O414),"")</f>
        <v>Online</v>
      </c>
      <c r="D414" s="19" t="str">
        <f t="array" ref="D414">IFERROR(INDEX(Sales!$D$7:$D$1506,$O414),"")</f>
        <v>Samreen islam</v>
      </c>
      <c r="E414" s="19" t="str">
        <f t="array" ref="E414">IFERROR(IF(INDEX(Sales!$E$7:$E$1506,$O414)="","",INDEX(Sales!$E$7:$E$1506,$O414)),"")</f>
        <v>PAWF-260715-04EAA</v>
      </c>
      <c r="F414" s="19" t="str">
        <f t="array" ref="F414">IFERROR(INDEX(Sales!$F$7:$F$1506,$O414),"")</f>
        <v>FD-DRY-SMHRT-15KG-001</v>
      </c>
      <c r="G414" s="19" t="str">
        <f t="array" ref="G414">IFERROR(INDEX(Sales!$G$7:$G$1506,$O414),"")</f>
        <v>Smart Heart Adult Cat Food Chicken &amp; Tuna [15kg]</v>
      </c>
      <c r="H414" s="96">
        <f t="array" ref="H414">IFERROR(INDEX(Sales!$H$7:$H$1506,$O414),"")</f>
        <v>1</v>
      </c>
      <c r="I414" s="96">
        <f t="array" ref="I414">IFERROR(INDEX(Sales!$I$7:$I$1506,$O414),"")</f>
        <v>6400</v>
      </c>
      <c r="J414" s="96">
        <f t="array" ref="J414">IFERROR(INDEX(Sales!$J$7:$J$1506,$O414),"")</f>
        <v>6700</v>
      </c>
      <c r="K414" s="96">
        <f t="array" ref="K414">IFERROR(INDEX(Sales!$K$7:$K$1506,$O414),"")</f>
        <v>300</v>
      </c>
      <c r="L414" s="96">
        <f t="array" ref="L414">IFERROR(INDEX(Sales!$L$7:$L$1506,$O414),"")</f>
        <v>6400</v>
      </c>
      <c r="M414" s="19" t="str">
        <f t="array" ref="M414">IFERROR(INDEX(Sales!$M$7:$M$1506,$O414),"")</f>
        <v>Paid</v>
      </c>
      <c r="O414" s="111" t="str">
        <f>IFERROR(MATCH(TEXT($B$3,"yyyymm")&amp;"-"&amp;(ROW()-4),Sales!$Y$7:$Y$1506,0),"")</f>
        <v/>
      </c>
    </row>
    <row r="415" ht="14.25" customHeight="1">
      <c r="A415" s="110">
        <f t="array" ref="A415">IFERROR(INDEX(Sales!$A$7:$A$1506,$O415),"")</f>
        <v>46219</v>
      </c>
      <c r="B415" s="19" t="str">
        <f t="array" ref="B415">IFERROR(INDEX(Sales!$B$7:$B$1506,$O415),"")</f>
        <v>Sale</v>
      </c>
      <c r="C415" s="19" t="str">
        <f t="array" ref="C415">IFERROR(INDEX(Sales!$C$7:$C$1506,$O415),"")</f>
        <v>Online</v>
      </c>
      <c r="D415" s="19" t="str">
        <f t="array" ref="D415">IFERROR(INDEX(Sales!$D$7:$D$1506,$O415),"")</f>
        <v>Samreen islam</v>
      </c>
      <c r="E415" s="19" t="str">
        <f t="array" ref="E415">IFERROR(IF(INDEX(Sales!$E$7:$E$1506,$O415)="","",INDEX(Sales!$E$7:$E$1506,$O415)),"")</f>
        <v>PAWF-260715-04EAA</v>
      </c>
      <c r="F415" s="19" t="str">
        <f t="array" ref="F415">IFERROR(INDEX(Sales!$F$7:$F$1506,$O415),"")</f>
        <v>FD-DRY-SMHRT-15KG-001</v>
      </c>
      <c r="G415" s="19" t="str">
        <f t="array" ref="G415">IFERROR(INDEX(Sales!$G$7:$G$1506,$O415),"")</f>
        <v>Smart Heart Adult Cat Food Chicken &amp; Tuna [15kg]</v>
      </c>
      <c r="H415" s="96">
        <f t="array" ref="H415">IFERROR(INDEX(Sales!$H$7:$H$1506,$O415),"")</f>
        <v>1</v>
      </c>
      <c r="I415" s="96">
        <f t="array" ref="I415">IFERROR(INDEX(Sales!$I$7:$I$1506,$O415),"")</f>
        <v>6400</v>
      </c>
      <c r="J415" s="96">
        <f t="array" ref="J415">IFERROR(INDEX(Sales!$J$7:$J$1506,$O415),"")</f>
        <v>6700</v>
      </c>
      <c r="K415" s="96">
        <f t="array" ref="K415">IFERROR(INDEX(Sales!$K$7:$K$1506,$O415),"")</f>
        <v>300</v>
      </c>
      <c r="L415" s="96">
        <f t="array" ref="L415">IFERROR(INDEX(Sales!$L$7:$L$1506,$O415),"")</f>
        <v>6400</v>
      </c>
      <c r="M415" s="19" t="str">
        <f t="array" ref="M415">IFERROR(INDEX(Sales!$M$7:$M$1506,$O415),"")</f>
        <v>Paid</v>
      </c>
      <c r="O415" s="111" t="str">
        <f>IFERROR(MATCH(TEXT($B$3,"yyyymm")&amp;"-"&amp;(ROW()-4),Sales!$Y$7:$Y$1506,0),"")</f>
        <v/>
      </c>
    </row>
    <row r="416" ht="14.25" customHeight="1">
      <c r="A416" s="110">
        <f t="array" ref="A416">IFERROR(INDEX(Sales!$A$7:$A$1506,$O416),"")</f>
        <v>46219</v>
      </c>
      <c r="B416" s="19" t="str">
        <f t="array" ref="B416">IFERROR(INDEX(Sales!$B$7:$B$1506,$O416),"")</f>
        <v>Sale</v>
      </c>
      <c r="C416" s="19" t="str">
        <f t="array" ref="C416">IFERROR(INDEX(Sales!$C$7:$C$1506,$O416),"")</f>
        <v>Online</v>
      </c>
      <c r="D416" s="19" t="str">
        <f t="array" ref="D416">IFERROR(INDEX(Sales!$D$7:$D$1506,$O416),"")</f>
        <v>Samreen islam</v>
      </c>
      <c r="E416" s="19" t="str">
        <f t="array" ref="E416">IFERROR(IF(INDEX(Sales!$E$7:$E$1506,$O416)="","",INDEX(Sales!$E$7:$E$1506,$O416)),"")</f>
        <v>PAWF-260715-04EAA</v>
      </c>
      <c r="F416" s="19" t="str">
        <f t="array" ref="F416">IFERROR(INDEX(Sales!$F$7:$F$1506,$O416),"")</f>
        <v>FD-DRY-SMHRT-15KG-001</v>
      </c>
      <c r="G416" s="19" t="str">
        <f t="array" ref="G416">IFERROR(INDEX(Sales!$G$7:$G$1506,$O416),"")</f>
        <v>Smart Heart Adult Cat Food Chicken &amp; Tuna [15kg]</v>
      </c>
      <c r="H416" s="96">
        <f t="array" ref="H416">IFERROR(INDEX(Sales!$H$7:$H$1506,$O416),"")</f>
        <v>1</v>
      </c>
      <c r="I416" s="96">
        <f t="array" ref="I416">IFERROR(INDEX(Sales!$I$7:$I$1506,$O416),"")</f>
        <v>6400</v>
      </c>
      <c r="J416" s="96">
        <f t="array" ref="J416">IFERROR(INDEX(Sales!$J$7:$J$1506,$O416),"")</f>
        <v>6700</v>
      </c>
      <c r="K416" s="96">
        <f t="array" ref="K416">IFERROR(INDEX(Sales!$K$7:$K$1506,$O416),"")</f>
        <v>300</v>
      </c>
      <c r="L416" s="96">
        <f t="array" ref="L416">IFERROR(INDEX(Sales!$L$7:$L$1506,$O416),"")</f>
        <v>6400</v>
      </c>
      <c r="M416" s="19" t="str">
        <f t="array" ref="M416">IFERROR(INDEX(Sales!$M$7:$M$1506,$O416),"")</f>
        <v>Paid</v>
      </c>
      <c r="O416" s="111" t="str">
        <f>IFERROR(MATCH(TEXT($B$3,"yyyymm")&amp;"-"&amp;(ROW()-4),Sales!$Y$7:$Y$1506,0),"")</f>
        <v/>
      </c>
    </row>
    <row r="417" ht="14.25" customHeight="1">
      <c r="A417" s="110">
        <f t="array" ref="A417">IFERROR(INDEX(Sales!$A$7:$A$1506,$O417),"")</f>
        <v>46219</v>
      </c>
      <c r="B417" s="19" t="str">
        <f t="array" ref="B417">IFERROR(INDEX(Sales!$B$7:$B$1506,$O417),"")</f>
        <v>Sale</v>
      </c>
      <c r="C417" s="19" t="str">
        <f t="array" ref="C417">IFERROR(INDEX(Sales!$C$7:$C$1506,$O417),"")</f>
        <v>Online</v>
      </c>
      <c r="D417" s="19" t="str">
        <f t="array" ref="D417">IFERROR(INDEX(Sales!$D$7:$D$1506,$O417),"")</f>
        <v>Samreen islam</v>
      </c>
      <c r="E417" s="19" t="str">
        <f t="array" ref="E417">IFERROR(IF(INDEX(Sales!$E$7:$E$1506,$O417)="","",INDEX(Sales!$E$7:$E$1506,$O417)),"")</f>
        <v>PAWF-260715-04EAA</v>
      </c>
      <c r="F417" s="19" t="str">
        <f t="array" ref="F417">IFERROR(INDEX(Sales!$F$7:$F$1506,$O417),"")</f>
        <v>FD-DRY-SMHRT-15KG-001</v>
      </c>
      <c r="G417" s="19" t="str">
        <f t="array" ref="G417">IFERROR(INDEX(Sales!$G$7:$G$1506,$O417),"")</f>
        <v>Smart Heart Adult Cat Food Chicken &amp; Tuna [15kg]</v>
      </c>
      <c r="H417" s="96">
        <f t="array" ref="H417">IFERROR(INDEX(Sales!$H$7:$H$1506,$O417),"")</f>
        <v>1</v>
      </c>
      <c r="I417" s="96">
        <f t="array" ref="I417">IFERROR(INDEX(Sales!$I$7:$I$1506,$O417),"")</f>
        <v>6400</v>
      </c>
      <c r="J417" s="96">
        <f t="array" ref="J417">IFERROR(INDEX(Sales!$J$7:$J$1506,$O417),"")</f>
        <v>6700</v>
      </c>
      <c r="K417" s="96">
        <f t="array" ref="K417">IFERROR(INDEX(Sales!$K$7:$K$1506,$O417),"")</f>
        <v>300</v>
      </c>
      <c r="L417" s="96">
        <f t="array" ref="L417">IFERROR(INDEX(Sales!$L$7:$L$1506,$O417),"")</f>
        <v>6400</v>
      </c>
      <c r="M417" s="19" t="str">
        <f t="array" ref="M417">IFERROR(INDEX(Sales!$M$7:$M$1506,$O417),"")</f>
        <v>Paid</v>
      </c>
      <c r="O417" s="111" t="str">
        <f>IFERROR(MATCH(TEXT($B$3,"yyyymm")&amp;"-"&amp;(ROW()-4),Sales!$Y$7:$Y$1506,0),"")</f>
        <v/>
      </c>
    </row>
    <row r="418" ht="14.25" customHeight="1">
      <c r="A418" s="110">
        <f t="array" ref="A418">IFERROR(INDEX(Sales!$A$7:$A$1506,$O418),"")</f>
        <v>46219</v>
      </c>
      <c r="B418" s="19" t="str">
        <f t="array" ref="B418">IFERROR(INDEX(Sales!$B$7:$B$1506,$O418),"")</f>
        <v>Sale</v>
      </c>
      <c r="C418" s="19" t="str">
        <f t="array" ref="C418">IFERROR(INDEX(Sales!$C$7:$C$1506,$O418),"")</f>
        <v>Online</v>
      </c>
      <c r="D418" s="19" t="str">
        <f t="array" ref="D418">IFERROR(INDEX(Sales!$D$7:$D$1506,$O418),"")</f>
        <v>Samreen islam</v>
      </c>
      <c r="E418" s="19" t="str">
        <f t="array" ref="E418">IFERROR(IF(INDEX(Sales!$E$7:$E$1506,$O418)="","",INDEX(Sales!$E$7:$E$1506,$O418)),"")</f>
        <v>PAWF-260715-04EAA</v>
      </c>
      <c r="F418" s="19" t="str">
        <f t="array" ref="F418">IFERROR(INDEX(Sales!$F$7:$F$1506,$O418),"")</f>
        <v>FD-DRY-SMHRT-15KG-001</v>
      </c>
      <c r="G418" s="19" t="str">
        <f t="array" ref="G418">IFERROR(INDEX(Sales!$G$7:$G$1506,$O418),"")</f>
        <v>Smart Heart Adult Cat Food Chicken &amp; Tuna [15kg]</v>
      </c>
      <c r="H418" s="96">
        <f t="array" ref="H418">IFERROR(INDEX(Sales!$H$7:$H$1506,$O418),"")</f>
        <v>1</v>
      </c>
      <c r="I418" s="96">
        <f t="array" ref="I418">IFERROR(INDEX(Sales!$I$7:$I$1506,$O418),"")</f>
        <v>6400</v>
      </c>
      <c r="J418" s="96">
        <f t="array" ref="J418">IFERROR(INDEX(Sales!$J$7:$J$1506,$O418),"")</f>
        <v>6700</v>
      </c>
      <c r="K418" s="96">
        <f t="array" ref="K418">IFERROR(INDEX(Sales!$K$7:$K$1506,$O418),"")</f>
        <v>300</v>
      </c>
      <c r="L418" s="96">
        <f t="array" ref="L418">IFERROR(INDEX(Sales!$L$7:$L$1506,$O418),"")</f>
        <v>6400</v>
      </c>
      <c r="M418" s="19" t="str">
        <f t="array" ref="M418">IFERROR(INDEX(Sales!$M$7:$M$1506,$O418),"")</f>
        <v>Paid</v>
      </c>
      <c r="O418" s="111" t="str">
        <f>IFERROR(MATCH(TEXT($B$3,"yyyymm")&amp;"-"&amp;(ROW()-4),Sales!$Y$7:$Y$1506,0),"")</f>
        <v/>
      </c>
    </row>
    <row r="419" ht="14.25" customHeight="1">
      <c r="A419" s="110">
        <f t="array" ref="A419">IFERROR(INDEX(Sales!$A$7:$A$1506,$O419),"")</f>
        <v>46219</v>
      </c>
      <c r="B419" s="19" t="str">
        <f t="array" ref="B419">IFERROR(INDEX(Sales!$B$7:$B$1506,$O419),"")</f>
        <v>Sale</v>
      </c>
      <c r="C419" s="19" t="str">
        <f t="array" ref="C419">IFERROR(INDEX(Sales!$C$7:$C$1506,$O419),"")</f>
        <v>Online</v>
      </c>
      <c r="D419" s="19" t="str">
        <f t="array" ref="D419">IFERROR(INDEX(Sales!$D$7:$D$1506,$O419),"")</f>
        <v>Samreen islam</v>
      </c>
      <c r="E419" s="19" t="str">
        <f t="array" ref="E419">IFERROR(IF(INDEX(Sales!$E$7:$E$1506,$O419)="","",INDEX(Sales!$E$7:$E$1506,$O419)),"")</f>
        <v>PAWF-260715-04EAA</v>
      </c>
      <c r="F419" s="19" t="str">
        <f t="array" ref="F419">IFERROR(INDEX(Sales!$F$7:$F$1506,$O419),"")</f>
        <v>FD-DRY-SMHRT-15KG-001</v>
      </c>
      <c r="G419" s="19" t="str">
        <f t="array" ref="G419">IFERROR(INDEX(Sales!$G$7:$G$1506,$O419),"")</f>
        <v>Smart Heart Adult Cat Food Chicken &amp; Tuna [15kg]</v>
      </c>
      <c r="H419" s="96">
        <f t="array" ref="H419">IFERROR(INDEX(Sales!$H$7:$H$1506,$O419),"")</f>
        <v>1</v>
      </c>
      <c r="I419" s="96">
        <f t="array" ref="I419">IFERROR(INDEX(Sales!$I$7:$I$1506,$O419),"")</f>
        <v>6400</v>
      </c>
      <c r="J419" s="96">
        <f t="array" ref="J419">IFERROR(INDEX(Sales!$J$7:$J$1506,$O419),"")</f>
        <v>6700</v>
      </c>
      <c r="K419" s="96">
        <f t="array" ref="K419">IFERROR(INDEX(Sales!$K$7:$K$1506,$O419),"")</f>
        <v>300</v>
      </c>
      <c r="L419" s="96">
        <f t="array" ref="L419">IFERROR(INDEX(Sales!$L$7:$L$1506,$O419),"")</f>
        <v>6400</v>
      </c>
      <c r="M419" s="19" t="str">
        <f t="array" ref="M419">IFERROR(INDEX(Sales!$M$7:$M$1506,$O419),"")</f>
        <v>Paid</v>
      </c>
      <c r="O419" s="111" t="str">
        <f>IFERROR(MATCH(TEXT($B$3,"yyyymm")&amp;"-"&amp;(ROW()-4),Sales!$Y$7:$Y$1506,0),"")</f>
        <v/>
      </c>
    </row>
    <row r="420" ht="14.25" customHeight="1">
      <c r="A420" s="110">
        <f t="array" ref="A420">IFERROR(INDEX(Sales!$A$7:$A$1506,$O420),"")</f>
        <v>46219</v>
      </c>
      <c r="B420" s="19" t="str">
        <f t="array" ref="B420">IFERROR(INDEX(Sales!$B$7:$B$1506,$O420),"")</f>
        <v>Sale</v>
      </c>
      <c r="C420" s="19" t="str">
        <f t="array" ref="C420">IFERROR(INDEX(Sales!$C$7:$C$1506,$O420),"")</f>
        <v>Online</v>
      </c>
      <c r="D420" s="19" t="str">
        <f t="array" ref="D420">IFERROR(INDEX(Sales!$D$7:$D$1506,$O420),"")</f>
        <v>Samreen islam</v>
      </c>
      <c r="E420" s="19" t="str">
        <f t="array" ref="E420">IFERROR(IF(INDEX(Sales!$E$7:$E$1506,$O420)="","",INDEX(Sales!$E$7:$E$1506,$O420)),"")</f>
        <v>PAWF-260715-04EAA</v>
      </c>
      <c r="F420" s="19" t="str">
        <f t="array" ref="F420">IFERROR(INDEX(Sales!$F$7:$F$1506,$O420),"")</f>
        <v>FD-DRY-SMHRT-15KG-001</v>
      </c>
      <c r="G420" s="19" t="str">
        <f t="array" ref="G420">IFERROR(INDEX(Sales!$G$7:$G$1506,$O420),"")</f>
        <v>Smart Heart Adult Cat Food Chicken &amp; Tuna [15kg]</v>
      </c>
      <c r="H420" s="96">
        <f t="array" ref="H420">IFERROR(INDEX(Sales!$H$7:$H$1506,$O420),"")</f>
        <v>1</v>
      </c>
      <c r="I420" s="96">
        <f t="array" ref="I420">IFERROR(INDEX(Sales!$I$7:$I$1506,$O420),"")</f>
        <v>6400</v>
      </c>
      <c r="J420" s="96">
        <f t="array" ref="J420">IFERROR(INDEX(Sales!$J$7:$J$1506,$O420),"")</f>
        <v>6700</v>
      </c>
      <c r="K420" s="96">
        <f t="array" ref="K420">IFERROR(INDEX(Sales!$K$7:$K$1506,$O420),"")</f>
        <v>300</v>
      </c>
      <c r="L420" s="96">
        <f t="array" ref="L420">IFERROR(INDEX(Sales!$L$7:$L$1506,$O420),"")</f>
        <v>6400</v>
      </c>
      <c r="M420" s="19" t="str">
        <f t="array" ref="M420">IFERROR(INDEX(Sales!$M$7:$M$1506,$O420),"")</f>
        <v>Paid</v>
      </c>
      <c r="O420" s="111" t="str">
        <f>IFERROR(MATCH(TEXT($B$3,"yyyymm")&amp;"-"&amp;(ROW()-4),Sales!$Y$7:$Y$1506,0),"")</f>
        <v/>
      </c>
    </row>
    <row r="421" ht="14.25" customHeight="1">
      <c r="A421" s="110">
        <f t="array" ref="A421">IFERROR(INDEX(Sales!$A$7:$A$1506,$O421),"")</f>
        <v>46219</v>
      </c>
      <c r="B421" s="19" t="str">
        <f t="array" ref="B421">IFERROR(INDEX(Sales!$B$7:$B$1506,$O421),"")</f>
        <v>Sale</v>
      </c>
      <c r="C421" s="19" t="str">
        <f t="array" ref="C421">IFERROR(INDEX(Sales!$C$7:$C$1506,$O421),"")</f>
        <v>Online</v>
      </c>
      <c r="D421" s="19" t="str">
        <f t="array" ref="D421">IFERROR(INDEX(Sales!$D$7:$D$1506,$O421),"")</f>
        <v>Samreen islam</v>
      </c>
      <c r="E421" s="19" t="str">
        <f t="array" ref="E421">IFERROR(IF(INDEX(Sales!$E$7:$E$1506,$O421)="","",INDEX(Sales!$E$7:$E$1506,$O421)),"")</f>
        <v>PAWF-260715-04EAA</v>
      </c>
      <c r="F421" s="19" t="str">
        <f t="array" ref="F421">IFERROR(INDEX(Sales!$F$7:$F$1506,$O421),"")</f>
        <v>FD-DRY-SMHRT-15KG-001</v>
      </c>
      <c r="G421" s="19" t="str">
        <f t="array" ref="G421">IFERROR(INDEX(Sales!$G$7:$G$1506,$O421),"")</f>
        <v>Smart Heart Adult Cat Food Chicken &amp; Tuna [15kg]</v>
      </c>
      <c r="H421" s="96">
        <f t="array" ref="H421">IFERROR(INDEX(Sales!$H$7:$H$1506,$O421),"")</f>
        <v>1</v>
      </c>
      <c r="I421" s="96">
        <f t="array" ref="I421">IFERROR(INDEX(Sales!$I$7:$I$1506,$O421),"")</f>
        <v>6400</v>
      </c>
      <c r="J421" s="96">
        <f t="array" ref="J421">IFERROR(INDEX(Sales!$J$7:$J$1506,$O421),"")</f>
        <v>6700</v>
      </c>
      <c r="K421" s="96">
        <f t="array" ref="K421">IFERROR(INDEX(Sales!$K$7:$K$1506,$O421),"")</f>
        <v>300</v>
      </c>
      <c r="L421" s="96">
        <f t="array" ref="L421">IFERROR(INDEX(Sales!$L$7:$L$1506,$O421),"")</f>
        <v>6400</v>
      </c>
      <c r="M421" s="19" t="str">
        <f t="array" ref="M421">IFERROR(INDEX(Sales!$M$7:$M$1506,$O421),"")</f>
        <v>Paid</v>
      </c>
      <c r="O421" s="111" t="str">
        <f>IFERROR(MATCH(TEXT($B$3,"yyyymm")&amp;"-"&amp;(ROW()-4),Sales!$Y$7:$Y$1506,0),"")</f>
        <v/>
      </c>
    </row>
    <row r="422" ht="14.25" customHeight="1">
      <c r="A422" s="110">
        <f t="array" ref="A422">IFERROR(INDEX(Sales!$A$7:$A$1506,$O422),"")</f>
        <v>46219</v>
      </c>
      <c r="B422" s="19" t="str">
        <f t="array" ref="B422">IFERROR(INDEX(Sales!$B$7:$B$1506,$O422),"")</f>
        <v>Sale</v>
      </c>
      <c r="C422" s="19" t="str">
        <f t="array" ref="C422">IFERROR(INDEX(Sales!$C$7:$C$1506,$O422),"")</f>
        <v>Online</v>
      </c>
      <c r="D422" s="19" t="str">
        <f t="array" ref="D422">IFERROR(INDEX(Sales!$D$7:$D$1506,$O422),"")</f>
        <v>Samreen islam</v>
      </c>
      <c r="E422" s="19" t="str">
        <f t="array" ref="E422">IFERROR(IF(INDEX(Sales!$E$7:$E$1506,$O422)="","",INDEX(Sales!$E$7:$E$1506,$O422)),"")</f>
        <v>PAWF-260715-04EAA</v>
      </c>
      <c r="F422" s="19" t="str">
        <f t="array" ref="F422">IFERROR(INDEX(Sales!$F$7:$F$1506,$O422),"")</f>
        <v>FD-DRY-SMHRT-15KG-001</v>
      </c>
      <c r="G422" s="19" t="str">
        <f t="array" ref="G422">IFERROR(INDEX(Sales!$G$7:$G$1506,$O422),"")</f>
        <v>Smart Heart Adult Cat Food Chicken &amp; Tuna [15kg]</v>
      </c>
      <c r="H422" s="96">
        <f t="array" ref="H422">IFERROR(INDEX(Sales!$H$7:$H$1506,$O422),"")</f>
        <v>1</v>
      </c>
      <c r="I422" s="96">
        <f t="array" ref="I422">IFERROR(INDEX(Sales!$I$7:$I$1506,$O422),"")</f>
        <v>6400</v>
      </c>
      <c r="J422" s="96">
        <f t="array" ref="J422">IFERROR(INDEX(Sales!$J$7:$J$1506,$O422),"")</f>
        <v>6700</v>
      </c>
      <c r="K422" s="96">
        <f t="array" ref="K422">IFERROR(INDEX(Sales!$K$7:$K$1506,$O422),"")</f>
        <v>300</v>
      </c>
      <c r="L422" s="96">
        <f t="array" ref="L422">IFERROR(INDEX(Sales!$L$7:$L$1506,$O422),"")</f>
        <v>6400</v>
      </c>
      <c r="M422" s="19" t="str">
        <f t="array" ref="M422">IFERROR(INDEX(Sales!$M$7:$M$1506,$O422),"")</f>
        <v>Paid</v>
      </c>
      <c r="O422" s="111" t="str">
        <f>IFERROR(MATCH(TEXT($B$3,"yyyymm")&amp;"-"&amp;(ROW()-4),Sales!$Y$7:$Y$1506,0),"")</f>
        <v/>
      </c>
    </row>
    <row r="423" ht="14.25" customHeight="1">
      <c r="A423" s="110">
        <f t="array" ref="A423">IFERROR(INDEX(Sales!$A$7:$A$1506,$O423),"")</f>
        <v>46219</v>
      </c>
      <c r="B423" s="19" t="str">
        <f t="array" ref="B423">IFERROR(INDEX(Sales!$B$7:$B$1506,$O423),"")</f>
        <v>Sale</v>
      </c>
      <c r="C423" s="19" t="str">
        <f t="array" ref="C423">IFERROR(INDEX(Sales!$C$7:$C$1506,$O423),"")</f>
        <v>Online</v>
      </c>
      <c r="D423" s="19" t="str">
        <f t="array" ref="D423">IFERROR(INDEX(Sales!$D$7:$D$1506,$O423),"")</f>
        <v>Samreen islam</v>
      </c>
      <c r="E423" s="19" t="str">
        <f t="array" ref="E423">IFERROR(IF(INDEX(Sales!$E$7:$E$1506,$O423)="","",INDEX(Sales!$E$7:$E$1506,$O423)),"")</f>
        <v>PAWF-260715-04EAA</v>
      </c>
      <c r="F423" s="19" t="str">
        <f t="array" ref="F423">IFERROR(INDEX(Sales!$F$7:$F$1506,$O423),"")</f>
        <v>FD-DRY-SMHRT-15KG-001</v>
      </c>
      <c r="G423" s="19" t="str">
        <f t="array" ref="G423">IFERROR(INDEX(Sales!$G$7:$G$1506,$O423),"")</f>
        <v>Smart Heart Adult Cat Food Chicken &amp; Tuna [15kg]</v>
      </c>
      <c r="H423" s="96">
        <f t="array" ref="H423">IFERROR(INDEX(Sales!$H$7:$H$1506,$O423),"")</f>
        <v>1</v>
      </c>
      <c r="I423" s="96">
        <f t="array" ref="I423">IFERROR(INDEX(Sales!$I$7:$I$1506,$O423),"")</f>
        <v>6400</v>
      </c>
      <c r="J423" s="96">
        <f t="array" ref="J423">IFERROR(INDEX(Sales!$J$7:$J$1506,$O423),"")</f>
        <v>6700</v>
      </c>
      <c r="K423" s="96">
        <f t="array" ref="K423">IFERROR(INDEX(Sales!$K$7:$K$1506,$O423),"")</f>
        <v>300</v>
      </c>
      <c r="L423" s="96">
        <f t="array" ref="L423">IFERROR(INDEX(Sales!$L$7:$L$1506,$O423),"")</f>
        <v>6400</v>
      </c>
      <c r="M423" s="19" t="str">
        <f t="array" ref="M423">IFERROR(INDEX(Sales!$M$7:$M$1506,$O423),"")</f>
        <v>Paid</v>
      </c>
      <c r="O423" s="111" t="str">
        <f>IFERROR(MATCH(TEXT($B$3,"yyyymm")&amp;"-"&amp;(ROW()-4),Sales!$Y$7:$Y$1506,0),"")</f>
        <v/>
      </c>
    </row>
    <row r="424" ht="14.25" customHeight="1">
      <c r="A424" s="110">
        <f t="array" ref="A424">IFERROR(INDEX(Sales!$A$7:$A$1506,$O424),"")</f>
        <v>46219</v>
      </c>
      <c r="B424" s="19" t="str">
        <f t="array" ref="B424">IFERROR(INDEX(Sales!$B$7:$B$1506,$O424),"")</f>
        <v>Sale</v>
      </c>
      <c r="C424" s="19" t="str">
        <f t="array" ref="C424">IFERROR(INDEX(Sales!$C$7:$C$1506,$O424),"")</f>
        <v>Online</v>
      </c>
      <c r="D424" s="19" t="str">
        <f t="array" ref="D424">IFERROR(INDEX(Sales!$D$7:$D$1506,$O424),"")</f>
        <v>Samreen islam</v>
      </c>
      <c r="E424" s="19" t="str">
        <f t="array" ref="E424">IFERROR(IF(INDEX(Sales!$E$7:$E$1506,$O424)="","",INDEX(Sales!$E$7:$E$1506,$O424)),"")</f>
        <v>PAWF-260715-04EAA</v>
      </c>
      <c r="F424" s="19" t="str">
        <f t="array" ref="F424">IFERROR(INDEX(Sales!$F$7:$F$1506,$O424),"")</f>
        <v>FD-DRY-SMHRT-15KG-001</v>
      </c>
      <c r="G424" s="19" t="str">
        <f t="array" ref="G424">IFERROR(INDEX(Sales!$G$7:$G$1506,$O424),"")</f>
        <v>Smart Heart Adult Cat Food Chicken &amp; Tuna [15kg]</v>
      </c>
      <c r="H424" s="96">
        <f t="array" ref="H424">IFERROR(INDEX(Sales!$H$7:$H$1506,$O424),"")</f>
        <v>1</v>
      </c>
      <c r="I424" s="96">
        <f t="array" ref="I424">IFERROR(INDEX(Sales!$I$7:$I$1506,$O424),"")</f>
        <v>6400</v>
      </c>
      <c r="J424" s="96">
        <f t="array" ref="J424">IFERROR(INDEX(Sales!$J$7:$J$1506,$O424),"")</f>
        <v>6700</v>
      </c>
      <c r="K424" s="96">
        <f t="array" ref="K424">IFERROR(INDEX(Sales!$K$7:$K$1506,$O424),"")</f>
        <v>300</v>
      </c>
      <c r="L424" s="96">
        <f t="array" ref="L424">IFERROR(INDEX(Sales!$L$7:$L$1506,$O424),"")</f>
        <v>6400</v>
      </c>
      <c r="M424" s="19" t="str">
        <f t="array" ref="M424">IFERROR(INDEX(Sales!$M$7:$M$1506,$O424),"")</f>
        <v>Paid</v>
      </c>
      <c r="O424" s="111" t="str">
        <f>IFERROR(MATCH(TEXT($B$3,"yyyymm")&amp;"-"&amp;(ROW()-4),Sales!$Y$7:$Y$1506,0),"")</f>
        <v/>
      </c>
    </row>
    <row r="425" ht="14.25" customHeight="1">
      <c r="A425" s="110">
        <f t="array" ref="A425">IFERROR(INDEX(Sales!$A$7:$A$1506,$O425),"")</f>
        <v>46219</v>
      </c>
      <c r="B425" s="19" t="str">
        <f t="array" ref="B425">IFERROR(INDEX(Sales!$B$7:$B$1506,$O425),"")</f>
        <v>Sale</v>
      </c>
      <c r="C425" s="19" t="str">
        <f t="array" ref="C425">IFERROR(INDEX(Sales!$C$7:$C$1506,$O425),"")</f>
        <v>Online</v>
      </c>
      <c r="D425" s="19" t="str">
        <f t="array" ref="D425">IFERROR(INDEX(Sales!$D$7:$D$1506,$O425),"")</f>
        <v>Samreen islam</v>
      </c>
      <c r="E425" s="19" t="str">
        <f t="array" ref="E425">IFERROR(IF(INDEX(Sales!$E$7:$E$1506,$O425)="","",INDEX(Sales!$E$7:$E$1506,$O425)),"")</f>
        <v>PAWF-260715-04EAA</v>
      </c>
      <c r="F425" s="19" t="str">
        <f t="array" ref="F425">IFERROR(INDEX(Sales!$F$7:$F$1506,$O425),"")</f>
        <v>FD-DRY-SMHRT-15KG-001</v>
      </c>
      <c r="G425" s="19" t="str">
        <f t="array" ref="G425">IFERROR(INDEX(Sales!$G$7:$G$1506,$O425),"")</f>
        <v>Smart Heart Adult Cat Food Chicken &amp; Tuna [15kg]</v>
      </c>
      <c r="H425" s="96">
        <f t="array" ref="H425">IFERROR(INDEX(Sales!$H$7:$H$1506,$O425),"")</f>
        <v>1</v>
      </c>
      <c r="I425" s="96">
        <f t="array" ref="I425">IFERROR(INDEX(Sales!$I$7:$I$1506,$O425),"")</f>
        <v>6400</v>
      </c>
      <c r="J425" s="96">
        <f t="array" ref="J425">IFERROR(INDEX(Sales!$J$7:$J$1506,$O425),"")</f>
        <v>6700</v>
      </c>
      <c r="K425" s="96">
        <f t="array" ref="K425">IFERROR(INDEX(Sales!$K$7:$K$1506,$O425),"")</f>
        <v>300</v>
      </c>
      <c r="L425" s="96">
        <f t="array" ref="L425">IFERROR(INDEX(Sales!$L$7:$L$1506,$O425),"")</f>
        <v>6400</v>
      </c>
      <c r="M425" s="19" t="str">
        <f t="array" ref="M425">IFERROR(INDEX(Sales!$M$7:$M$1506,$O425),"")</f>
        <v>Paid</v>
      </c>
      <c r="O425" s="111" t="str">
        <f>IFERROR(MATCH(TEXT($B$3,"yyyymm")&amp;"-"&amp;(ROW()-4),Sales!$Y$7:$Y$1506,0),"")</f>
        <v/>
      </c>
    </row>
    <row r="426" ht="14.25" customHeight="1">
      <c r="A426" s="110">
        <f t="array" ref="A426">IFERROR(INDEX(Sales!$A$7:$A$1506,$O426),"")</f>
        <v>46219</v>
      </c>
      <c r="B426" s="19" t="str">
        <f t="array" ref="B426">IFERROR(INDEX(Sales!$B$7:$B$1506,$O426),"")</f>
        <v>Sale</v>
      </c>
      <c r="C426" s="19" t="str">
        <f t="array" ref="C426">IFERROR(INDEX(Sales!$C$7:$C$1506,$O426),"")</f>
        <v>Online</v>
      </c>
      <c r="D426" s="19" t="str">
        <f t="array" ref="D426">IFERROR(INDEX(Sales!$D$7:$D$1506,$O426),"")</f>
        <v>Samreen islam</v>
      </c>
      <c r="E426" s="19" t="str">
        <f t="array" ref="E426">IFERROR(IF(INDEX(Sales!$E$7:$E$1506,$O426)="","",INDEX(Sales!$E$7:$E$1506,$O426)),"")</f>
        <v>PAWF-260715-04EAA</v>
      </c>
      <c r="F426" s="19" t="str">
        <f t="array" ref="F426">IFERROR(INDEX(Sales!$F$7:$F$1506,$O426),"")</f>
        <v>FD-DRY-SMHRT-15KG-001</v>
      </c>
      <c r="G426" s="19" t="str">
        <f t="array" ref="G426">IFERROR(INDEX(Sales!$G$7:$G$1506,$O426),"")</f>
        <v>Smart Heart Adult Cat Food Chicken &amp; Tuna [15kg]</v>
      </c>
      <c r="H426" s="96">
        <f t="array" ref="H426">IFERROR(INDEX(Sales!$H$7:$H$1506,$O426),"")</f>
        <v>1</v>
      </c>
      <c r="I426" s="96">
        <f t="array" ref="I426">IFERROR(INDEX(Sales!$I$7:$I$1506,$O426),"")</f>
        <v>6400</v>
      </c>
      <c r="J426" s="96">
        <f t="array" ref="J426">IFERROR(INDEX(Sales!$J$7:$J$1506,$O426),"")</f>
        <v>6700</v>
      </c>
      <c r="K426" s="96">
        <f t="array" ref="K426">IFERROR(INDEX(Sales!$K$7:$K$1506,$O426),"")</f>
        <v>300</v>
      </c>
      <c r="L426" s="96">
        <f t="array" ref="L426">IFERROR(INDEX(Sales!$L$7:$L$1506,$O426),"")</f>
        <v>6400</v>
      </c>
      <c r="M426" s="19" t="str">
        <f t="array" ref="M426">IFERROR(INDEX(Sales!$M$7:$M$1506,$O426),"")</f>
        <v>Paid</v>
      </c>
      <c r="O426" s="111" t="str">
        <f>IFERROR(MATCH(TEXT($B$3,"yyyymm")&amp;"-"&amp;(ROW()-4),Sales!$Y$7:$Y$1506,0),"")</f>
        <v/>
      </c>
    </row>
    <row r="427" ht="14.25" customHeight="1">
      <c r="A427" s="110">
        <f t="array" ref="A427">IFERROR(INDEX(Sales!$A$7:$A$1506,$O427),"")</f>
        <v>46219</v>
      </c>
      <c r="B427" s="19" t="str">
        <f t="array" ref="B427">IFERROR(INDEX(Sales!$B$7:$B$1506,$O427),"")</f>
        <v>Sale</v>
      </c>
      <c r="C427" s="19" t="str">
        <f t="array" ref="C427">IFERROR(INDEX(Sales!$C$7:$C$1506,$O427),"")</f>
        <v>Online</v>
      </c>
      <c r="D427" s="19" t="str">
        <f t="array" ref="D427">IFERROR(INDEX(Sales!$D$7:$D$1506,$O427),"")</f>
        <v>Samreen islam</v>
      </c>
      <c r="E427" s="19" t="str">
        <f t="array" ref="E427">IFERROR(IF(INDEX(Sales!$E$7:$E$1506,$O427)="","",INDEX(Sales!$E$7:$E$1506,$O427)),"")</f>
        <v>PAWF-260715-04EAA</v>
      </c>
      <c r="F427" s="19" t="str">
        <f t="array" ref="F427">IFERROR(INDEX(Sales!$F$7:$F$1506,$O427),"")</f>
        <v>FD-DRY-SMHRT-15KG-001</v>
      </c>
      <c r="G427" s="19" t="str">
        <f t="array" ref="G427">IFERROR(INDEX(Sales!$G$7:$G$1506,$O427),"")</f>
        <v>Smart Heart Adult Cat Food Chicken &amp; Tuna [15kg]</v>
      </c>
      <c r="H427" s="96">
        <f t="array" ref="H427">IFERROR(INDEX(Sales!$H$7:$H$1506,$O427),"")</f>
        <v>1</v>
      </c>
      <c r="I427" s="96">
        <f t="array" ref="I427">IFERROR(INDEX(Sales!$I$7:$I$1506,$O427),"")</f>
        <v>6400</v>
      </c>
      <c r="J427" s="96">
        <f t="array" ref="J427">IFERROR(INDEX(Sales!$J$7:$J$1506,$O427),"")</f>
        <v>6700</v>
      </c>
      <c r="K427" s="96">
        <f t="array" ref="K427">IFERROR(INDEX(Sales!$K$7:$K$1506,$O427),"")</f>
        <v>300</v>
      </c>
      <c r="L427" s="96">
        <f t="array" ref="L427">IFERROR(INDEX(Sales!$L$7:$L$1506,$O427),"")</f>
        <v>6400</v>
      </c>
      <c r="M427" s="19" t="str">
        <f t="array" ref="M427">IFERROR(INDEX(Sales!$M$7:$M$1506,$O427),"")</f>
        <v>Paid</v>
      </c>
      <c r="O427" s="111" t="str">
        <f>IFERROR(MATCH(TEXT($B$3,"yyyymm")&amp;"-"&amp;(ROW()-4),Sales!$Y$7:$Y$1506,0),"")</f>
        <v/>
      </c>
    </row>
    <row r="428" ht="14.25" customHeight="1">
      <c r="A428" s="110">
        <f t="array" ref="A428">IFERROR(INDEX(Sales!$A$7:$A$1506,$O428),"")</f>
        <v>46219</v>
      </c>
      <c r="B428" s="19" t="str">
        <f t="array" ref="B428">IFERROR(INDEX(Sales!$B$7:$B$1506,$O428),"")</f>
        <v>Sale</v>
      </c>
      <c r="C428" s="19" t="str">
        <f t="array" ref="C428">IFERROR(INDEX(Sales!$C$7:$C$1506,$O428),"")</f>
        <v>Online</v>
      </c>
      <c r="D428" s="19" t="str">
        <f t="array" ref="D428">IFERROR(INDEX(Sales!$D$7:$D$1506,$O428),"")</f>
        <v>Samreen islam</v>
      </c>
      <c r="E428" s="19" t="str">
        <f t="array" ref="E428">IFERROR(IF(INDEX(Sales!$E$7:$E$1506,$O428)="","",INDEX(Sales!$E$7:$E$1506,$O428)),"")</f>
        <v>PAWF-260715-04EAA</v>
      </c>
      <c r="F428" s="19" t="str">
        <f t="array" ref="F428">IFERROR(INDEX(Sales!$F$7:$F$1506,$O428),"")</f>
        <v>FD-DRY-SMHRT-15KG-001</v>
      </c>
      <c r="G428" s="19" t="str">
        <f t="array" ref="G428">IFERROR(INDEX(Sales!$G$7:$G$1506,$O428),"")</f>
        <v>Smart Heart Adult Cat Food Chicken &amp; Tuna [15kg]</v>
      </c>
      <c r="H428" s="96">
        <f t="array" ref="H428">IFERROR(INDEX(Sales!$H$7:$H$1506,$O428),"")</f>
        <v>1</v>
      </c>
      <c r="I428" s="96">
        <f t="array" ref="I428">IFERROR(INDEX(Sales!$I$7:$I$1506,$O428),"")</f>
        <v>6400</v>
      </c>
      <c r="J428" s="96">
        <f t="array" ref="J428">IFERROR(INDEX(Sales!$J$7:$J$1506,$O428),"")</f>
        <v>6700</v>
      </c>
      <c r="K428" s="96">
        <f t="array" ref="K428">IFERROR(INDEX(Sales!$K$7:$K$1506,$O428),"")</f>
        <v>300</v>
      </c>
      <c r="L428" s="96">
        <f t="array" ref="L428">IFERROR(INDEX(Sales!$L$7:$L$1506,$O428),"")</f>
        <v>6400</v>
      </c>
      <c r="M428" s="19" t="str">
        <f t="array" ref="M428">IFERROR(INDEX(Sales!$M$7:$M$1506,$O428),"")</f>
        <v>Paid</v>
      </c>
      <c r="O428" s="111" t="str">
        <f>IFERROR(MATCH(TEXT($B$3,"yyyymm")&amp;"-"&amp;(ROW()-4),Sales!$Y$7:$Y$1506,0),"")</f>
        <v/>
      </c>
    </row>
    <row r="429" ht="14.25" customHeight="1">
      <c r="A429" s="110">
        <f t="array" ref="A429">IFERROR(INDEX(Sales!$A$7:$A$1506,$O429),"")</f>
        <v>46219</v>
      </c>
      <c r="B429" s="19" t="str">
        <f t="array" ref="B429">IFERROR(INDEX(Sales!$B$7:$B$1506,$O429),"")</f>
        <v>Sale</v>
      </c>
      <c r="C429" s="19" t="str">
        <f t="array" ref="C429">IFERROR(INDEX(Sales!$C$7:$C$1506,$O429),"")</f>
        <v>Online</v>
      </c>
      <c r="D429" s="19" t="str">
        <f t="array" ref="D429">IFERROR(INDEX(Sales!$D$7:$D$1506,$O429),"")</f>
        <v>Samreen islam</v>
      </c>
      <c r="E429" s="19" t="str">
        <f t="array" ref="E429">IFERROR(IF(INDEX(Sales!$E$7:$E$1506,$O429)="","",INDEX(Sales!$E$7:$E$1506,$O429)),"")</f>
        <v>PAWF-260715-04EAA</v>
      </c>
      <c r="F429" s="19" t="str">
        <f t="array" ref="F429">IFERROR(INDEX(Sales!$F$7:$F$1506,$O429),"")</f>
        <v>FD-DRY-SMHRT-15KG-001</v>
      </c>
      <c r="G429" s="19" t="str">
        <f t="array" ref="G429">IFERROR(INDEX(Sales!$G$7:$G$1506,$O429),"")</f>
        <v>Smart Heart Adult Cat Food Chicken &amp; Tuna [15kg]</v>
      </c>
      <c r="H429" s="96">
        <f t="array" ref="H429">IFERROR(INDEX(Sales!$H$7:$H$1506,$O429),"")</f>
        <v>1</v>
      </c>
      <c r="I429" s="96">
        <f t="array" ref="I429">IFERROR(INDEX(Sales!$I$7:$I$1506,$O429),"")</f>
        <v>6400</v>
      </c>
      <c r="J429" s="96">
        <f t="array" ref="J429">IFERROR(INDEX(Sales!$J$7:$J$1506,$O429),"")</f>
        <v>6700</v>
      </c>
      <c r="K429" s="96">
        <f t="array" ref="K429">IFERROR(INDEX(Sales!$K$7:$K$1506,$O429),"")</f>
        <v>300</v>
      </c>
      <c r="L429" s="96">
        <f t="array" ref="L429">IFERROR(INDEX(Sales!$L$7:$L$1506,$O429),"")</f>
        <v>6400</v>
      </c>
      <c r="M429" s="19" t="str">
        <f t="array" ref="M429">IFERROR(INDEX(Sales!$M$7:$M$1506,$O429),"")</f>
        <v>Paid</v>
      </c>
      <c r="O429" s="111" t="str">
        <f>IFERROR(MATCH(TEXT($B$3,"yyyymm")&amp;"-"&amp;(ROW()-4),Sales!$Y$7:$Y$1506,0),"")</f>
        <v/>
      </c>
    </row>
    <row r="430" ht="14.25" customHeight="1">
      <c r="A430" s="110">
        <f t="array" ref="A430">IFERROR(INDEX(Sales!$A$7:$A$1506,$O430),"")</f>
        <v>46219</v>
      </c>
      <c r="B430" s="19" t="str">
        <f t="array" ref="B430">IFERROR(INDEX(Sales!$B$7:$B$1506,$O430),"")</f>
        <v>Sale</v>
      </c>
      <c r="C430" s="19" t="str">
        <f t="array" ref="C430">IFERROR(INDEX(Sales!$C$7:$C$1506,$O430),"")</f>
        <v>Online</v>
      </c>
      <c r="D430" s="19" t="str">
        <f t="array" ref="D430">IFERROR(INDEX(Sales!$D$7:$D$1506,$O430),"")</f>
        <v>Samreen islam</v>
      </c>
      <c r="E430" s="19" t="str">
        <f t="array" ref="E430">IFERROR(IF(INDEX(Sales!$E$7:$E$1506,$O430)="","",INDEX(Sales!$E$7:$E$1506,$O430)),"")</f>
        <v>PAWF-260715-04EAA</v>
      </c>
      <c r="F430" s="19" t="str">
        <f t="array" ref="F430">IFERROR(INDEX(Sales!$F$7:$F$1506,$O430),"")</f>
        <v>FD-DRY-SMHRT-15KG-001</v>
      </c>
      <c r="G430" s="19" t="str">
        <f t="array" ref="G430">IFERROR(INDEX(Sales!$G$7:$G$1506,$O430),"")</f>
        <v>Smart Heart Adult Cat Food Chicken &amp; Tuna [15kg]</v>
      </c>
      <c r="H430" s="96">
        <f t="array" ref="H430">IFERROR(INDEX(Sales!$H$7:$H$1506,$O430),"")</f>
        <v>1</v>
      </c>
      <c r="I430" s="96">
        <f t="array" ref="I430">IFERROR(INDEX(Sales!$I$7:$I$1506,$O430),"")</f>
        <v>6400</v>
      </c>
      <c r="J430" s="96">
        <f t="array" ref="J430">IFERROR(INDEX(Sales!$J$7:$J$1506,$O430),"")</f>
        <v>6700</v>
      </c>
      <c r="K430" s="96">
        <f t="array" ref="K430">IFERROR(INDEX(Sales!$K$7:$K$1506,$O430),"")</f>
        <v>300</v>
      </c>
      <c r="L430" s="96">
        <f t="array" ref="L430">IFERROR(INDEX(Sales!$L$7:$L$1506,$O430),"")</f>
        <v>6400</v>
      </c>
      <c r="M430" s="19" t="str">
        <f t="array" ref="M430">IFERROR(INDEX(Sales!$M$7:$M$1506,$O430),"")</f>
        <v>Paid</v>
      </c>
      <c r="O430" s="111" t="str">
        <f>IFERROR(MATCH(TEXT($B$3,"yyyymm")&amp;"-"&amp;(ROW()-4),Sales!$Y$7:$Y$1506,0),"")</f>
        <v/>
      </c>
    </row>
    <row r="431" ht="14.25" customHeight="1">
      <c r="A431" s="110">
        <f t="array" ref="A431">IFERROR(INDEX(Sales!$A$7:$A$1506,$O431),"")</f>
        <v>46219</v>
      </c>
      <c r="B431" s="19" t="str">
        <f t="array" ref="B431">IFERROR(INDEX(Sales!$B$7:$B$1506,$O431),"")</f>
        <v>Sale</v>
      </c>
      <c r="C431" s="19" t="str">
        <f t="array" ref="C431">IFERROR(INDEX(Sales!$C$7:$C$1506,$O431),"")</f>
        <v>Online</v>
      </c>
      <c r="D431" s="19" t="str">
        <f t="array" ref="D431">IFERROR(INDEX(Sales!$D$7:$D$1506,$O431),"")</f>
        <v>Samreen islam</v>
      </c>
      <c r="E431" s="19" t="str">
        <f t="array" ref="E431">IFERROR(IF(INDEX(Sales!$E$7:$E$1506,$O431)="","",INDEX(Sales!$E$7:$E$1506,$O431)),"")</f>
        <v>PAWF-260715-04EAA</v>
      </c>
      <c r="F431" s="19" t="str">
        <f t="array" ref="F431">IFERROR(INDEX(Sales!$F$7:$F$1506,$O431),"")</f>
        <v>FD-DRY-SMHRT-15KG-001</v>
      </c>
      <c r="G431" s="19" t="str">
        <f t="array" ref="G431">IFERROR(INDEX(Sales!$G$7:$G$1506,$O431),"")</f>
        <v>Smart Heart Adult Cat Food Chicken &amp; Tuna [15kg]</v>
      </c>
      <c r="H431" s="96">
        <f t="array" ref="H431">IFERROR(INDEX(Sales!$H$7:$H$1506,$O431),"")</f>
        <v>1</v>
      </c>
      <c r="I431" s="96">
        <f t="array" ref="I431">IFERROR(INDEX(Sales!$I$7:$I$1506,$O431),"")</f>
        <v>6400</v>
      </c>
      <c r="J431" s="96">
        <f t="array" ref="J431">IFERROR(INDEX(Sales!$J$7:$J$1506,$O431),"")</f>
        <v>6700</v>
      </c>
      <c r="K431" s="96">
        <f t="array" ref="K431">IFERROR(INDEX(Sales!$K$7:$K$1506,$O431),"")</f>
        <v>300</v>
      </c>
      <c r="L431" s="96">
        <f t="array" ref="L431">IFERROR(INDEX(Sales!$L$7:$L$1506,$O431),"")</f>
        <v>6400</v>
      </c>
      <c r="M431" s="19" t="str">
        <f t="array" ref="M431">IFERROR(INDEX(Sales!$M$7:$M$1506,$O431),"")</f>
        <v>Paid</v>
      </c>
      <c r="O431" s="111" t="str">
        <f>IFERROR(MATCH(TEXT($B$3,"yyyymm")&amp;"-"&amp;(ROW()-4),Sales!$Y$7:$Y$1506,0),"")</f>
        <v/>
      </c>
    </row>
    <row r="432" ht="14.25" customHeight="1">
      <c r="A432" s="110">
        <f t="array" ref="A432">IFERROR(INDEX(Sales!$A$7:$A$1506,$O432),"")</f>
        <v>46219</v>
      </c>
      <c r="B432" s="19" t="str">
        <f t="array" ref="B432">IFERROR(INDEX(Sales!$B$7:$B$1506,$O432),"")</f>
        <v>Sale</v>
      </c>
      <c r="C432" s="19" t="str">
        <f t="array" ref="C432">IFERROR(INDEX(Sales!$C$7:$C$1506,$O432),"")</f>
        <v>Online</v>
      </c>
      <c r="D432" s="19" t="str">
        <f t="array" ref="D432">IFERROR(INDEX(Sales!$D$7:$D$1506,$O432),"")</f>
        <v>Samreen islam</v>
      </c>
      <c r="E432" s="19" t="str">
        <f t="array" ref="E432">IFERROR(IF(INDEX(Sales!$E$7:$E$1506,$O432)="","",INDEX(Sales!$E$7:$E$1506,$O432)),"")</f>
        <v>PAWF-260715-04EAA</v>
      </c>
      <c r="F432" s="19" t="str">
        <f t="array" ref="F432">IFERROR(INDEX(Sales!$F$7:$F$1506,$O432),"")</f>
        <v>FD-DRY-SMHRT-15KG-001</v>
      </c>
      <c r="G432" s="19" t="str">
        <f t="array" ref="G432">IFERROR(INDEX(Sales!$G$7:$G$1506,$O432),"")</f>
        <v>Smart Heart Adult Cat Food Chicken &amp; Tuna [15kg]</v>
      </c>
      <c r="H432" s="96">
        <f t="array" ref="H432">IFERROR(INDEX(Sales!$H$7:$H$1506,$O432),"")</f>
        <v>1</v>
      </c>
      <c r="I432" s="96">
        <f t="array" ref="I432">IFERROR(INDEX(Sales!$I$7:$I$1506,$O432),"")</f>
        <v>6400</v>
      </c>
      <c r="J432" s="96">
        <f t="array" ref="J432">IFERROR(INDEX(Sales!$J$7:$J$1506,$O432),"")</f>
        <v>6700</v>
      </c>
      <c r="K432" s="96">
        <f t="array" ref="K432">IFERROR(INDEX(Sales!$K$7:$K$1506,$O432),"")</f>
        <v>300</v>
      </c>
      <c r="L432" s="96">
        <f t="array" ref="L432">IFERROR(INDEX(Sales!$L$7:$L$1506,$O432),"")</f>
        <v>6400</v>
      </c>
      <c r="M432" s="19" t="str">
        <f t="array" ref="M432">IFERROR(INDEX(Sales!$M$7:$M$1506,$O432),"")</f>
        <v>Paid</v>
      </c>
      <c r="O432" s="111" t="str">
        <f>IFERROR(MATCH(TEXT($B$3,"yyyymm")&amp;"-"&amp;(ROW()-4),Sales!$Y$7:$Y$1506,0),"")</f>
        <v/>
      </c>
    </row>
    <row r="433" ht="14.25" customHeight="1">
      <c r="A433" s="110">
        <f t="array" ref="A433">IFERROR(INDEX(Sales!$A$7:$A$1506,$O433),"")</f>
        <v>46219</v>
      </c>
      <c r="B433" s="19" t="str">
        <f t="array" ref="B433">IFERROR(INDEX(Sales!$B$7:$B$1506,$O433),"")</f>
        <v>Sale</v>
      </c>
      <c r="C433" s="19" t="str">
        <f t="array" ref="C433">IFERROR(INDEX(Sales!$C$7:$C$1506,$O433),"")</f>
        <v>Online</v>
      </c>
      <c r="D433" s="19" t="str">
        <f t="array" ref="D433">IFERROR(INDEX(Sales!$D$7:$D$1506,$O433),"")</f>
        <v>Samreen islam</v>
      </c>
      <c r="E433" s="19" t="str">
        <f t="array" ref="E433">IFERROR(IF(INDEX(Sales!$E$7:$E$1506,$O433)="","",INDEX(Sales!$E$7:$E$1506,$O433)),"")</f>
        <v>PAWF-260715-04EAA</v>
      </c>
      <c r="F433" s="19" t="str">
        <f t="array" ref="F433">IFERROR(INDEX(Sales!$F$7:$F$1506,$O433),"")</f>
        <v>FD-DRY-SMHRT-15KG-001</v>
      </c>
      <c r="G433" s="19" t="str">
        <f t="array" ref="G433">IFERROR(INDEX(Sales!$G$7:$G$1506,$O433),"")</f>
        <v>Smart Heart Adult Cat Food Chicken &amp; Tuna [15kg]</v>
      </c>
      <c r="H433" s="96">
        <f t="array" ref="H433">IFERROR(INDEX(Sales!$H$7:$H$1506,$O433),"")</f>
        <v>1</v>
      </c>
      <c r="I433" s="96">
        <f t="array" ref="I433">IFERROR(INDEX(Sales!$I$7:$I$1506,$O433),"")</f>
        <v>6400</v>
      </c>
      <c r="J433" s="96">
        <f t="array" ref="J433">IFERROR(INDEX(Sales!$J$7:$J$1506,$O433),"")</f>
        <v>6700</v>
      </c>
      <c r="K433" s="96">
        <f t="array" ref="K433">IFERROR(INDEX(Sales!$K$7:$K$1506,$O433),"")</f>
        <v>300</v>
      </c>
      <c r="L433" s="96">
        <f t="array" ref="L433">IFERROR(INDEX(Sales!$L$7:$L$1506,$O433),"")</f>
        <v>6400</v>
      </c>
      <c r="M433" s="19" t="str">
        <f t="array" ref="M433">IFERROR(INDEX(Sales!$M$7:$M$1506,$O433),"")</f>
        <v>Paid</v>
      </c>
      <c r="O433" s="111" t="str">
        <f>IFERROR(MATCH(TEXT($B$3,"yyyymm")&amp;"-"&amp;(ROW()-4),Sales!$Y$7:$Y$1506,0),"")</f>
        <v/>
      </c>
    </row>
    <row r="434" ht="14.25" customHeight="1">
      <c r="A434" s="110">
        <f t="array" ref="A434">IFERROR(INDEX(Sales!$A$7:$A$1506,$O434),"")</f>
        <v>46219</v>
      </c>
      <c r="B434" s="19" t="str">
        <f t="array" ref="B434">IFERROR(INDEX(Sales!$B$7:$B$1506,$O434),"")</f>
        <v>Sale</v>
      </c>
      <c r="C434" s="19" t="str">
        <f t="array" ref="C434">IFERROR(INDEX(Sales!$C$7:$C$1506,$O434),"")</f>
        <v>Online</v>
      </c>
      <c r="D434" s="19" t="str">
        <f t="array" ref="D434">IFERROR(INDEX(Sales!$D$7:$D$1506,$O434),"")</f>
        <v>Samreen islam</v>
      </c>
      <c r="E434" s="19" t="str">
        <f t="array" ref="E434">IFERROR(IF(INDEX(Sales!$E$7:$E$1506,$O434)="","",INDEX(Sales!$E$7:$E$1506,$O434)),"")</f>
        <v>PAWF-260715-04EAA</v>
      </c>
      <c r="F434" s="19" t="str">
        <f t="array" ref="F434">IFERROR(INDEX(Sales!$F$7:$F$1506,$O434),"")</f>
        <v>FD-DRY-SMHRT-15KG-001</v>
      </c>
      <c r="G434" s="19" t="str">
        <f t="array" ref="G434">IFERROR(INDEX(Sales!$G$7:$G$1506,$O434),"")</f>
        <v>Smart Heart Adult Cat Food Chicken &amp; Tuna [15kg]</v>
      </c>
      <c r="H434" s="96">
        <f t="array" ref="H434">IFERROR(INDEX(Sales!$H$7:$H$1506,$O434),"")</f>
        <v>1</v>
      </c>
      <c r="I434" s="96">
        <f t="array" ref="I434">IFERROR(INDEX(Sales!$I$7:$I$1506,$O434),"")</f>
        <v>6400</v>
      </c>
      <c r="J434" s="96">
        <f t="array" ref="J434">IFERROR(INDEX(Sales!$J$7:$J$1506,$O434),"")</f>
        <v>6700</v>
      </c>
      <c r="K434" s="96">
        <f t="array" ref="K434">IFERROR(INDEX(Sales!$K$7:$K$1506,$O434),"")</f>
        <v>300</v>
      </c>
      <c r="L434" s="96">
        <f t="array" ref="L434">IFERROR(INDEX(Sales!$L$7:$L$1506,$O434),"")</f>
        <v>6400</v>
      </c>
      <c r="M434" s="19" t="str">
        <f t="array" ref="M434">IFERROR(INDEX(Sales!$M$7:$M$1506,$O434),"")</f>
        <v>Paid</v>
      </c>
      <c r="O434" s="111" t="str">
        <f>IFERROR(MATCH(TEXT($B$3,"yyyymm")&amp;"-"&amp;(ROW()-4),Sales!$Y$7:$Y$1506,0),"")</f>
        <v/>
      </c>
    </row>
    <row r="435" ht="14.25" customHeight="1">
      <c r="A435" s="110">
        <f t="array" ref="A435">IFERROR(INDEX(Sales!$A$7:$A$1506,$O435),"")</f>
        <v>46219</v>
      </c>
      <c r="B435" s="19" t="str">
        <f t="array" ref="B435">IFERROR(INDEX(Sales!$B$7:$B$1506,$O435),"")</f>
        <v>Sale</v>
      </c>
      <c r="C435" s="19" t="str">
        <f t="array" ref="C435">IFERROR(INDEX(Sales!$C$7:$C$1506,$O435),"")</f>
        <v>Online</v>
      </c>
      <c r="D435" s="19" t="str">
        <f t="array" ref="D435">IFERROR(INDEX(Sales!$D$7:$D$1506,$O435),"")</f>
        <v>Samreen islam</v>
      </c>
      <c r="E435" s="19" t="str">
        <f t="array" ref="E435">IFERROR(IF(INDEX(Sales!$E$7:$E$1506,$O435)="","",INDEX(Sales!$E$7:$E$1506,$O435)),"")</f>
        <v>PAWF-260715-04EAA</v>
      </c>
      <c r="F435" s="19" t="str">
        <f t="array" ref="F435">IFERROR(INDEX(Sales!$F$7:$F$1506,$O435),"")</f>
        <v>FD-DRY-SMHRT-15KG-001</v>
      </c>
      <c r="G435" s="19" t="str">
        <f t="array" ref="G435">IFERROR(INDEX(Sales!$G$7:$G$1506,$O435),"")</f>
        <v>Smart Heart Adult Cat Food Chicken &amp; Tuna [15kg]</v>
      </c>
      <c r="H435" s="96">
        <f t="array" ref="H435">IFERROR(INDEX(Sales!$H$7:$H$1506,$O435),"")</f>
        <v>1</v>
      </c>
      <c r="I435" s="96">
        <f t="array" ref="I435">IFERROR(INDEX(Sales!$I$7:$I$1506,$O435),"")</f>
        <v>6400</v>
      </c>
      <c r="J435" s="96">
        <f t="array" ref="J435">IFERROR(INDEX(Sales!$J$7:$J$1506,$O435),"")</f>
        <v>6700</v>
      </c>
      <c r="K435" s="96">
        <f t="array" ref="K435">IFERROR(INDEX(Sales!$K$7:$K$1506,$O435),"")</f>
        <v>300</v>
      </c>
      <c r="L435" s="96">
        <f t="array" ref="L435">IFERROR(INDEX(Sales!$L$7:$L$1506,$O435),"")</f>
        <v>6400</v>
      </c>
      <c r="M435" s="19" t="str">
        <f t="array" ref="M435">IFERROR(INDEX(Sales!$M$7:$M$1506,$O435),"")</f>
        <v>Paid</v>
      </c>
      <c r="O435" s="111" t="str">
        <f>IFERROR(MATCH(TEXT($B$3,"yyyymm")&amp;"-"&amp;(ROW()-4),Sales!$Y$7:$Y$1506,0),"")</f>
        <v/>
      </c>
    </row>
    <row r="436" ht="14.25" customHeight="1">
      <c r="A436" s="110">
        <f t="array" ref="A436">IFERROR(INDEX(Sales!$A$7:$A$1506,$O436),"")</f>
        <v>46219</v>
      </c>
      <c r="B436" s="19" t="str">
        <f t="array" ref="B436">IFERROR(INDEX(Sales!$B$7:$B$1506,$O436),"")</f>
        <v>Sale</v>
      </c>
      <c r="C436" s="19" t="str">
        <f t="array" ref="C436">IFERROR(INDEX(Sales!$C$7:$C$1506,$O436),"")</f>
        <v>Online</v>
      </c>
      <c r="D436" s="19" t="str">
        <f t="array" ref="D436">IFERROR(INDEX(Sales!$D$7:$D$1506,$O436),"")</f>
        <v>Samreen islam</v>
      </c>
      <c r="E436" s="19" t="str">
        <f t="array" ref="E436">IFERROR(IF(INDEX(Sales!$E$7:$E$1506,$O436)="","",INDEX(Sales!$E$7:$E$1506,$O436)),"")</f>
        <v>PAWF-260715-04EAA</v>
      </c>
      <c r="F436" s="19" t="str">
        <f t="array" ref="F436">IFERROR(INDEX(Sales!$F$7:$F$1506,$O436),"")</f>
        <v>FD-DRY-SMHRT-15KG-001</v>
      </c>
      <c r="G436" s="19" t="str">
        <f t="array" ref="G436">IFERROR(INDEX(Sales!$G$7:$G$1506,$O436),"")</f>
        <v>Smart Heart Adult Cat Food Chicken &amp; Tuna [15kg]</v>
      </c>
      <c r="H436" s="96">
        <f t="array" ref="H436">IFERROR(INDEX(Sales!$H$7:$H$1506,$O436),"")</f>
        <v>1</v>
      </c>
      <c r="I436" s="96">
        <f t="array" ref="I436">IFERROR(INDEX(Sales!$I$7:$I$1506,$O436),"")</f>
        <v>6400</v>
      </c>
      <c r="J436" s="96">
        <f t="array" ref="J436">IFERROR(INDEX(Sales!$J$7:$J$1506,$O436),"")</f>
        <v>6700</v>
      </c>
      <c r="K436" s="96">
        <f t="array" ref="K436">IFERROR(INDEX(Sales!$K$7:$K$1506,$O436),"")</f>
        <v>300</v>
      </c>
      <c r="L436" s="96">
        <f t="array" ref="L436">IFERROR(INDEX(Sales!$L$7:$L$1506,$O436),"")</f>
        <v>6400</v>
      </c>
      <c r="M436" s="19" t="str">
        <f t="array" ref="M436">IFERROR(INDEX(Sales!$M$7:$M$1506,$O436),"")</f>
        <v>Paid</v>
      </c>
      <c r="O436" s="111" t="str">
        <f>IFERROR(MATCH(TEXT($B$3,"yyyymm")&amp;"-"&amp;(ROW()-4),Sales!$Y$7:$Y$1506,0),"")</f>
        <v/>
      </c>
    </row>
    <row r="437" ht="14.25" customHeight="1">
      <c r="A437" s="110">
        <f t="array" ref="A437">IFERROR(INDEX(Sales!$A$7:$A$1506,$O437),"")</f>
        <v>46219</v>
      </c>
      <c r="B437" s="19" t="str">
        <f t="array" ref="B437">IFERROR(INDEX(Sales!$B$7:$B$1506,$O437),"")</f>
        <v>Sale</v>
      </c>
      <c r="C437" s="19" t="str">
        <f t="array" ref="C437">IFERROR(INDEX(Sales!$C$7:$C$1506,$O437),"")</f>
        <v>Online</v>
      </c>
      <c r="D437" s="19" t="str">
        <f t="array" ref="D437">IFERROR(INDEX(Sales!$D$7:$D$1506,$O437),"")</f>
        <v>Samreen islam</v>
      </c>
      <c r="E437" s="19" t="str">
        <f t="array" ref="E437">IFERROR(IF(INDEX(Sales!$E$7:$E$1506,$O437)="","",INDEX(Sales!$E$7:$E$1506,$O437)),"")</f>
        <v>PAWF-260715-04EAA</v>
      </c>
      <c r="F437" s="19" t="str">
        <f t="array" ref="F437">IFERROR(INDEX(Sales!$F$7:$F$1506,$O437),"")</f>
        <v>FD-DRY-SMHRT-15KG-001</v>
      </c>
      <c r="G437" s="19" t="str">
        <f t="array" ref="G437">IFERROR(INDEX(Sales!$G$7:$G$1506,$O437),"")</f>
        <v>Smart Heart Adult Cat Food Chicken &amp; Tuna [15kg]</v>
      </c>
      <c r="H437" s="96">
        <f t="array" ref="H437">IFERROR(INDEX(Sales!$H$7:$H$1506,$O437),"")</f>
        <v>1</v>
      </c>
      <c r="I437" s="96">
        <f t="array" ref="I437">IFERROR(INDEX(Sales!$I$7:$I$1506,$O437),"")</f>
        <v>6400</v>
      </c>
      <c r="J437" s="96">
        <f t="array" ref="J437">IFERROR(INDEX(Sales!$J$7:$J$1506,$O437),"")</f>
        <v>6700</v>
      </c>
      <c r="K437" s="96">
        <f t="array" ref="K437">IFERROR(INDEX(Sales!$K$7:$K$1506,$O437),"")</f>
        <v>300</v>
      </c>
      <c r="L437" s="96">
        <f t="array" ref="L437">IFERROR(INDEX(Sales!$L$7:$L$1506,$O437),"")</f>
        <v>6400</v>
      </c>
      <c r="M437" s="19" t="str">
        <f t="array" ref="M437">IFERROR(INDEX(Sales!$M$7:$M$1506,$O437),"")</f>
        <v>Paid</v>
      </c>
      <c r="O437" s="111" t="str">
        <f>IFERROR(MATCH(TEXT($B$3,"yyyymm")&amp;"-"&amp;(ROW()-4),Sales!$Y$7:$Y$1506,0),"")</f>
        <v/>
      </c>
    </row>
    <row r="438" ht="14.25" customHeight="1">
      <c r="A438" s="110">
        <f t="array" ref="A438">IFERROR(INDEX(Sales!$A$7:$A$1506,$O438),"")</f>
        <v>46219</v>
      </c>
      <c r="B438" s="19" t="str">
        <f t="array" ref="B438">IFERROR(INDEX(Sales!$B$7:$B$1506,$O438),"")</f>
        <v>Sale</v>
      </c>
      <c r="C438" s="19" t="str">
        <f t="array" ref="C438">IFERROR(INDEX(Sales!$C$7:$C$1506,$O438),"")</f>
        <v>Online</v>
      </c>
      <c r="D438" s="19" t="str">
        <f t="array" ref="D438">IFERROR(INDEX(Sales!$D$7:$D$1506,$O438),"")</f>
        <v>Samreen islam</v>
      </c>
      <c r="E438" s="19" t="str">
        <f t="array" ref="E438">IFERROR(IF(INDEX(Sales!$E$7:$E$1506,$O438)="","",INDEX(Sales!$E$7:$E$1506,$O438)),"")</f>
        <v>PAWF-260715-04EAA</v>
      </c>
      <c r="F438" s="19" t="str">
        <f t="array" ref="F438">IFERROR(INDEX(Sales!$F$7:$F$1506,$O438),"")</f>
        <v>FD-DRY-SMHRT-15KG-001</v>
      </c>
      <c r="G438" s="19" t="str">
        <f t="array" ref="G438">IFERROR(INDEX(Sales!$G$7:$G$1506,$O438),"")</f>
        <v>Smart Heart Adult Cat Food Chicken &amp; Tuna [15kg]</v>
      </c>
      <c r="H438" s="96">
        <f t="array" ref="H438">IFERROR(INDEX(Sales!$H$7:$H$1506,$O438),"")</f>
        <v>1</v>
      </c>
      <c r="I438" s="96">
        <f t="array" ref="I438">IFERROR(INDEX(Sales!$I$7:$I$1506,$O438),"")</f>
        <v>6400</v>
      </c>
      <c r="J438" s="96">
        <f t="array" ref="J438">IFERROR(INDEX(Sales!$J$7:$J$1506,$O438),"")</f>
        <v>6700</v>
      </c>
      <c r="K438" s="96">
        <f t="array" ref="K438">IFERROR(INDEX(Sales!$K$7:$K$1506,$O438),"")</f>
        <v>300</v>
      </c>
      <c r="L438" s="96">
        <f t="array" ref="L438">IFERROR(INDEX(Sales!$L$7:$L$1506,$O438),"")</f>
        <v>6400</v>
      </c>
      <c r="M438" s="19" t="str">
        <f t="array" ref="M438">IFERROR(INDEX(Sales!$M$7:$M$1506,$O438),"")</f>
        <v>Paid</v>
      </c>
      <c r="O438" s="111" t="str">
        <f>IFERROR(MATCH(TEXT($B$3,"yyyymm")&amp;"-"&amp;(ROW()-4),Sales!$Y$7:$Y$1506,0),"")</f>
        <v/>
      </c>
    </row>
    <row r="439" ht="14.25" customHeight="1">
      <c r="A439" s="110">
        <f t="array" ref="A439">IFERROR(INDEX(Sales!$A$7:$A$1506,$O439),"")</f>
        <v>46219</v>
      </c>
      <c r="B439" s="19" t="str">
        <f t="array" ref="B439">IFERROR(INDEX(Sales!$B$7:$B$1506,$O439),"")</f>
        <v>Sale</v>
      </c>
      <c r="C439" s="19" t="str">
        <f t="array" ref="C439">IFERROR(INDEX(Sales!$C$7:$C$1506,$O439),"")</f>
        <v>Online</v>
      </c>
      <c r="D439" s="19" t="str">
        <f t="array" ref="D439">IFERROR(INDEX(Sales!$D$7:$D$1506,$O439),"")</f>
        <v>Samreen islam</v>
      </c>
      <c r="E439" s="19" t="str">
        <f t="array" ref="E439">IFERROR(IF(INDEX(Sales!$E$7:$E$1506,$O439)="","",INDEX(Sales!$E$7:$E$1506,$O439)),"")</f>
        <v>PAWF-260715-04EAA</v>
      </c>
      <c r="F439" s="19" t="str">
        <f t="array" ref="F439">IFERROR(INDEX(Sales!$F$7:$F$1506,$O439),"")</f>
        <v>FD-DRY-SMHRT-15KG-001</v>
      </c>
      <c r="G439" s="19" t="str">
        <f t="array" ref="G439">IFERROR(INDEX(Sales!$G$7:$G$1506,$O439),"")</f>
        <v>Smart Heart Adult Cat Food Chicken &amp; Tuna [15kg]</v>
      </c>
      <c r="H439" s="96">
        <f t="array" ref="H439">IFERROR(INDEX(Sales!$H$7:$H$1506,$O439),"")</f>
        <v>1</v>
      </c>
      <c r="I439" s="96">
        <f t="array" ref="I439">IFERROR(INDEX(Sales!$I$7:$I$1506,$O439),"")</f>
        <v>6400</v>
      </c>
      <c r="J439" s="96">
        <f t="array" ref="J439">IFERROR(INDEX(Sales!$J$7:$J$1506,$O439),"")</f>
        <v>6700</v>
      </c>
      <c r="K439" s="96">
        <f t="array" ref="K439">IFERROR(INDEX(Sales!$K$7:$K$1506,$O439),"")</f>
        <v>300</v>
      </c>
      <c r="L439" s="96">
        <f t="array" ref="L439">IFERROR(INDEX(Sales!$L$7:$L$1506,$O439),"")</f>
        <v>6400</v>
      </c>
      <c r="M439" s="19" t="str">
        <f t="array" ref="M439">IFERROR(INDEX(Sales!$M$7:$M$1506,$O439),"")</f>
        <v>Paid</v>
      </c>
      <c r="O439" s="111" t="str">
        <f>IFERROR(MATCH(TEXT($B$3,"yyyymm")&amp;"-"&amp;(ROW()-4),Sales!$Y$7:$Y$1506,0),"")</f>
        <v/>
      </c>
    </row>
    <row r="440" ht="14.25" customHeight="1">
      <c r="A440" s="110">
        <f t="array" ref="A440">IFERROR(INDEX(Sales!$A$7:$A$1506,$O440),"")</f>
        <v>46219</v>
      </c>
      <c r="B440" s="19" t="str">
        <f t="array" ref="B440">IFERROR(INDEX(Sales!$B$7:$B$1506,$O440),"")</f>
        <v>Sale</v>
      </c>
      <c r="C440" s="19" t="str">
        <f t="array" ref="C440">IFERROR(INDEX(Sales!$C$7:$C$1506,$O440),"")</f>
        <v>Online</v>
      </c>
      <c r="D440" s="19" t="str">
        <f t="array" ref="D440">IFERROR(INDEX(Sales!$D$7:$D$1506,$O440),"")</f>
        <v>Samreen islam</v>
      </c>
      <c r="E440" s="19" t="str">
        <f t="array" ref="E440">IFERROR(IF(INDEX(Sales!$E$7:$E$1506,$O440)="","",INDEX(Sales!$E$7:$E$1506,$O440)),"")</f>
        <v>PAWF-260715-04EAA</v>
      </c>
      <c r="F440" s="19" t="str">
        <f t="array" ref="F440">IFERROR(INDEX(Sales!$F$7:$F$1506,$O440),"")</f>
        <v>FD-DRY-SMHRT-15KG-001</v>
      </c>
      <c r="G440" s="19" t="str">
        <f t="array" ref="G440">IFERROR(INDEX(Sales!$G$7:$G$1506,$O440),"")</f>
        <v>Smart Heart Adult Cat Food Chicken &amp; Tuna [15kg]</v>
      </c>
      <c r="H440" s="96">
        <f t="array" ref="H440">IFERROR(INDEX(Sales!$H$7:$H$1506,$O440),"")</f>
        <v>1</v>
      </c>
      <c r="I440" s="96">
        <f t="array" ref="I440">IFERROR(INDEX(Sales!$I$7:$I$1506,$O440),"")</f>
        <v>6400</v>
      </c>
      <c r="J440" s="96">
        <f t="array" ref="J440">IFERROR(INDEX(Sales!$J$7:$J$1506,$O440),"")</f>
        <v>6700</v>
      </c>
      <c r="K440" s="96">
        <f t="array" ref="K440">IFERROR(INDEX(Sales!$K$7:$K$1506,$O440),"")</f>
        <v>300</v>
      </c>
      <c r="L440" s="96">
        <f t="array" ref="L440">IFERROR(INDEX(Sales!$L$7:$L$1506,$O440),"")</f>
        <v>6400</v>
      </c>
      <c r="M440" s="19" t="str">
        <f t="array" ref="M440">IFERROR(INDEX(Sales!$M$7:$M$1506,$O440),"")</f>
        <v>Paid</v>
      </c>
      <c r="O440" s="111" t="str">
        <f>IFERROR(MATCH(TEXT($B$3,"yyyymm")&amp;"-"&amp;(ROW()-4),Sales!$Y$7:$Y$1506,0),"")</f>
        <v/>
      </c>
    </row>
    <row r="441" ht="14.25" customHeight="1">
      <c r="A441" s="110">
        <f t="array" ref="A441">IFERROR(INDEX(Sales!$A$7:$A$1506,$O441),"")</f>
        <v>46219</v>
      </c>
      <c r="B441" s="19" t="str">
        <f t="array" ref="B441">IFERROR(INDEX(Sales!$B$7:$B$1506,$O441),"")</f>
        <v>Sale</v>
      </c>
      <c r="C441" s="19" t="str">
        <f t="array" ref="C441">IFERROR(INDEX(Sales!$C$7:$C$1506,$O441),"")</f>
        <v>Online</v>
      </c>
      <c r="D441" s="19" t="str">
        <f t="array" ref="D441">IFERROR(INDEX(Sales!$D$7:$D$1506,$O441),"")</f>
        <v>Samreen islam</v>
      </c>
      <c r="E441" s="19" t="str">
        <f t="array" ref="E441">IFERROR(IF(INDEX(Sales!$E$7:$E$1506,$O441)="","",INDEX(Sales!$E$7:$E$1506,$O441)),"")</f>
        <v>PAWF-260715-04EAA</v>
      </c>
      <c r="F441" s="19" t="str">
        <f t="array" ref="F441">IFERROR(INDEX(Sales!$F$7:$F$1506,$O441),"")</f>
        <v>FD-DRY-SMHRT-15KG-001</v>
      </c>
      <c r="G441" s="19" t="str">
        <f t="array" ref="G441">IFERROR(INDEX(Sales!$G$7:$G$1506,$O441),"")</f>
        <v>Smart Heart Adult Cat Food Chicken &amp; Tuna [15kg]</v>
      </c>
      <c r="H441" s="96">
        <f t="array" ref="H441">IFERROR(INDEX(Sales!$H$7:$H$1506,$O441),"")</f>
        <v>1</v>
      </c>
      <c r="I441" s="96">
        <f t="array" ref="I441">IFERROR(INDEX(Sales!$I$7:$I$1506,$O441),"")</f>
        <v>6400</v>
      </c>
      <c r="J441" s="96">
        <f t="array" ref="J441">IFERROR(INDEX(Sales!$J$7:$J$1506,$O441),"")</f>
        <v>6700</v>
      </c>
      <c r="K441" s="96">
        <f t="array" ref="K441">IFERROR(INDEX(Sales!$K$7:$K$1506,$O441),"")</f>
        <v>300</v>
      </c>
      <c r="L441" s="96">
        <f t="array" ref="L441">IFERROR(INDEX(Sales!$L$7:$L$1506,$O441),"")</f>
        <v>6400</v>
      </c>
      <c r="M441" s="19" t="str">
        <f t="array" ref="M441">IFERROR(INDEX(Sales!$M$7:$M$1506,$O441),"")</f>
        <v>Paid</v>
      </c>
      <c r="O441" s="111" t="str">
        <f>IFERROR(MATCH(TEXT($B$3,"yyyymm")&amp;"-"&amp;(ROW()-4),Sales!$Y$7:$Y$1506,0),"")</f>
        <v/>
      </c>
    </row>
    <row r="442" ht="14.25" customHeight="1">
      <c r="A442" s="110">
        <f t="array" ref="A442">IFERROR(INDEX(Sales!$A$7:$A$1506,$O442),"")</f>
        <v>46219</v>
      </c>
      <c r="B442" s="19" t="str">
        <f t="array" ref="B442">IFERROR(INDEX(Sales!$B$7:$B$1506,$O442),"")</f>
        <v>Sale</v>
      </c>
      <c r="C442" s="19" t="str">
        <f t="array" ref="C442">IFERROR(INDEX(Sales!$C$7:$C$1506,$O442),"")</f>
        <v>Online</v>
      </c>
      <c r="D442" s="19" t="str">
        <f t="array" ref="D442">IFERROR(INDEX(Sales!$D$7:$D$1506,$O442),"")</f>
        <v>Samreen islam</v>
      </c>
      <c r="E442" s="19" t="str">
        <f t="array" ref="E442">IFERROR(IF(INDEX(Sales!$E$7:$E$1506,$O442)="","",INDEX(Sales!$E$7:$E$1506,$O442)),"")</f>
        <v>PAWF-260715-04EAA</v>
      </c>
      <c r="F442" s="19" t="str">
        <f t="array" ref="F442">IFERROR(INDEX(Sales!$F$7:$F$1506,$O442),"")</f>
        <v>FD-DRY-SMHRT-15KG-001</v>
      </c>
      <c r="G442" s="19" t="str">
        <f t="array" ref="G442">IFERROR(INDEX(Sales!$G$7:$G$1506,$O442),"")</f>
        <v>Smart Heart Adult Cat Food Chicken &amp; Tuna [15kg]</v>
      </c>
      <c r="H442" s="96">
        <f t="array" ref="H442">IFERROR(INDEX(Sales!$H$7:$H$1506,$O442),"")</f>
        <v>1</v>
      </c>
      <c r="I442" s="96">
        <f t="array" ref="I442">IFERROR(INDEX(Sales!$I$7:$I$1506,$O442),"")</f>
        <v>6400</v>
      </c>
      <c r="J442" s="96">
        <f t="array" ref="J442">IFERROR(INDEX(Sales!$J$7:$J$1506,$O442),"")</f>
        <v>6700</v>
      </c>
      <c r="K442" s="96">
        <f t="array" ref="K442">IFERROR(INDEX(Sales!$K$7:$K$1506,$O442),"")</f>
        <v>300</v>
      </c>
      <c r="L442" s="96">
        <f t="array" ref="L442">IFERROR(INDEX(Sales!$L$7:$L$1506,$O442),"")</f>
        <v>6400</v>
      </c>
      <c r="M442" s="19" t="str">
        <f t="array" ref="M442">IFERROR(INDEX(Sales!$M$7:$M$1506,$O442),"")</f>
        <v>Paid</v>
      </c>
      <c r="O442" s="111" t="str">
        <f>IFERROR(MATCH(TEXT($B$3,"yyyymm")&amp;"-"&amp;(ROW()-4),Sales!$Y$7:$Y$1506,0),"")</f>
        <v/>
      </c>
    </row>
    <row r="443" ht="14.25" customHeight="1">
      <c r="A443" s="110">
        <f t="array" ref="A443">IFERROR(INDEX(Sales!$A$7:$A$1506,$O443),"")</f>
        <v>46219</v>
      </c>
      <c r="B443" s="19" t="str">
        <f t="array" ref="B443">IFERROR(INDEX(Sales!$B$7:$B$1506,$O443),"")</f>
        <v>Sale</v>
      </c>
      <c r="C443" s="19" t="str">
        <f t="array" ref="C443">IFERROR(INDEX(Sales!$C$7:$C$1506,$O443),"")</f>
        <v>Online</v>
      </c>
      <c r="D443" s="19" t="str">
        <f t="array" ref="D443">IFERROR(INDEX(Sales!$D$7:$D$1506,$O443),"")</f>
        <v>Samreen islam</v>
      </c>
      <c r="E443" s="19" t="str">
        <f t="array" ref="E443">IFERROR(IF(INDEX(Sales!$E$7:$E$1506,$O443)="","",INDEX(Sales!$E$7:$E$1506,$O443)),"")</f>
        <v>PAWF-260715-04EAA</v>
      </c>
      <c r="F443" s="19" t="str">
        <f t="array" ref="F443">IFERROR(INDEX(Sales!$F$7:$F$1506,$O443),"")</f>
        <v>FD-DRY-SMHRT-15KG-001</v>
      </c>
      <c r="G443" s="19" t="str">
        <f t="array" ref="G443">IFERROR(INDEX(Sales!$G$7:$G$1506,$O443),"")</f>
        <v>Smart Heart Adult Cat Food Chicken &amp; Tuna [15kg]</v>
      </c>
      <c r="H443" s="96">
        <f t="array" ref="H443">IFERROR(INDEX(Sales!$H$7:$H$1506,$O443),"")</f>
        <v>1</v>
      </c>
      <c r="I443" s="96">
        <f t="array" ref="I443">IFERROR(INDEX(Sales!$I$7:$I$1506,$O443),"")</f>
        <v>6400</v>
      </c>
      <c r="J443" s="96">
        <f t="array" ref="J443">IFERROR(INDEX(Sales!$J$7:$J$1506,$O443),"")</f>
        <v>6700</v>
      </c>
      <c r="K443" s="96">
        <f t="array" ref="K443">IFERROR(INDEX(Sales!$K$7:$K$1506,$O443),"")</f>
        <v>300</v>
      </c>
      <c r="L443" s="96">
        <f t="array" ref="L443">IFERROR(INDEX(Sales!$L$7:$L$1506,$O443),"")</f>
        <v>6400</v>
      </c>
      <c r="M443" s="19" t="str">
        <f t="array" ref="M443">IFERROR(INDEX(Sales!$M$7:$M$1506,$O443),"")</f>
        <v>Paid</v>
      </c>
      <c r="O443" s="111" t="str">
        <f>IFERROR(MATCH(TEXT($B$3,"yyyymm")&amp;"-"&amp;(ROW()-4),Sales!$Y$7:$Y$1506,0),"")</f>
        <v/>
      </c>
    </row>
    <row r="444" ht="14.25" customHeight="1">
      <c r="A444" s="110">
        <f t="array" ref="A444">IFERROR(INDEX(Sales!$A$7:$A$1506,$O444),"")</f>
        <v>46219</v>
      </c>
      <c r="B444" s="19" t="str">
        <f t="array" ref="B444">IFERROR(INDEX(Sales!$B$7:$B$1506,$O444),"")</f>
        <v>Sale</v>
      </c>
      <c r="C444" s="19" t="str">
        <f t="array" ref="C444">IFERROR(INDEX(Sales!$C$7:$C$1506,$O444),"")</f>
        <v>Online</v>
      </c>
      <c r="D444" s="19" t="str">
        <f t="array" ref="D444">IFERROR(INDEX(Sales!$D$7:$D$1506,$O444),"")</f>
        <v>Samreen islam</v>
      </c>
      <c r="E444" s="19" t="str">
        <f t="array" ref="E444">IFERROR(IF(INDEX(Sales!$E$7:$E$1506,$O444)="","",INDEX(Sales!$E$7:$E$1506,$O444)),"")</f>
        <v>PAWF-260715-04EAA</v>
      </c>
      <c r="F444" s="19" t="str">
        <f t="array" ref="F444">IFERROR(INDEX(Sales!$F$7:$F$1506,$O444),"")</f>
        <v>FD-DRY-SMHRT-15KG-001</v>
      </c>
      <c r="G444" s="19" t="str">
        <f t="array" ref="G444">IFERROR(INDEX(Sales!$G$7:$G$1506,$O444),"")</f>
        <v>Smart Heart Adult Cat Food Chicken &amp; Tuna [15kg]</v>
      </c>
      <c r="H444" s="96">
        <f t="array" ref="H444">IFERROR(INDEX(Sales!$H$7:$H$1506,$O444),"")</f>
        <v>1</v>
      </c>
      <c r="I444" s="96">
        <f t="array" ref="I444">IFERROR(INDEX(Sales!$I$7:$I$1506,$O444),"")</f>
        <v>6400</v>
      </c>
      <c r="J444" s="96">
        <f t="array" ref="J444">IFERROR(INDEX(Sales!$J$7:$J$1506,$O444),"")</f>
        <v>6700</v>
      </c>
      <c r="K444" s="96">
        <f t="array" ref="K444">IFERROR(INDEX(Sales!$K$7:$K$1506,$O444),"")</f>
        <v>300</v>
      </c>
      <c r="L444" s="96">
        <f t="array" ref="L444">IFERROR(INDEX(Sales!$L$7:$L$1506,$O444),"")</f>
        <v>6400</v>
      </c>
      <c r="M444" s="19" t="str">
        <f t="array" ref="M444">IFERROR(INDEX(Sales!$M$7:$M$1506,$O444),"")</f>
        <v>Paid</v>
      </c>
      <c r="O444" s="111" t="str">
        <f>IFERROR(MATCH(TEXT($B$3,"yyyymm")&amp;"-"&amp;(ROW()-4),Sales!$Y$7:$Y$1506,0),"")</f>
        <v/>
      </c>
    </row>
    <row r="445" ht="14.25" customHeight="1">
      <c r="A445" s="110">
        <f t="array" ref="A445">IFERROR(INDEX(Sales!$A$7:$A$1506,$O445),"")</f>
        <v>46219</v>
      </c>
      <c r="B445" s="19" t="str">
        <f t="array" ref="B445">IFERROR(INDEX(Sales!$B$7:$B$1506,$O445),"")</f>
        <v>Sale</v>
      </c>
      <c r="C445" s="19" t="str">
        <f t="array" ref="C445">IFERROR(INDEX(Sales!$C$7:$C$1506,$O445),"")</f>
        <v>Online</v>
      </c>
      <c r="D445" s="19" t="str">
        <f t="array" ref="D445">IFERROR(INDEX(Sales!$D$7:$D$1506,$O445),"")</f>
        <v>Samreen islam</v>
      </c>
      <c r="E445" s="19" t="str">
        <f t="array" ref="E445">IFERROR(IF(INDEX(Sales!$E$7:$E$1506,$O445)="","",INDEX(Sales!$E$7:$E$1506,$O445)),"")</f>
        <v>PAWF-260715-04EAA</v>
      </c>
      <c r="F445" s="19" t="str">
        <f t="array" ref="F445">IFERROR(INDEX(Sales!$F$7:$F$1506,$O445),"")</f>
        <v>FD-DRY-SMHRT-15KG-001</v>
      </c>
      <c r="G445" s="19" t="str">
        <f t="array" ref="G445">IFERROR(INDEX(Sales!$G$7:$G$1506,$O445),"")</f>
        <v>Smart Heart Adult Cat Food Chicken &amp; Tuna [15kg]</v>
      </c>
      <c r="H445" s="96">
        <f t="array" ref="H445">IFERROR(INDEX(Sales!$H$7:$H$1506,$O445),"")</f>
        <v>1</v>
      </c>
      <c r="I445" s="96">
        <f t="array" ref="I445">IFERROR(INDEX(Sales!$I$7:$I$1506,$O445),"")</f>
        <v>6400</v>
      </c>
      <c r="J445" s="96">
        <f t="array" ref="J445">IFERROR(INDEX(Sales!$J$7:$J$1506,$O445),"")</f>
        <v>6700</v>
      </c>
      <c r="K445" s="96">
        <f t="array" ref="K445">IFERROR(INDEX(Sales!$K$7:$K$1506,$O445),"")</f>
        <v>300</v>
      </c>
      <c r="L445" s="96">
        <f t="array" ref="L445">IFERROR(INDEX(Sales!$L$7:$L$1506,$O445),"")</f>
        <v>6400</v>
      </c>
      <c r="M445" s="19" t="str">
        <f t="array" ref="M445">IFERROR(INDEX(Sales!$M$7:$M$1506,$O445),"")</f>
        <v>Paid</v>
      </c>
      <c r="O445" s="111" t="str">
        <f>IFERROR(MATCH(TEXT($B$3,"yyyymm")&amp;"-"&amp;(ROW()-4),Sales!$Y$7:$Y$1506,0),"")</f>
        <v/>
      </c>
    </row>
    <row r="446" ht="14.25" customHeight="1">
      <c r="A446" s="110">
        <f t="array" ref="A446">IFERROR(INDEX(Sales!$A$7:$A$1506,$O446),"")</f>
        <v>46219</v>
      </c>
      <c r="B446" s="19" t="str">
        <f t="array" ref="B446">IFERROR(INDEX(Sales!$B$7:$B$1506,$O446),"")</f>
        <v>Sale</v>
      </c>
      <c r="C446" s="19" t="str">
        <f t="array" ref="C446">IFERROR(INDEX(Sales!$C$7:$C$1506,$O446),"")</f>
        <v>Online</v>
      </c>
      <c r="D446" s="19" t="str">
        <f t="array" ref="D446">IFERROR(INDEX(Sales!$D$7:$D$1506,$O446),"")</f>
        <v>Samreen islam</v>
      </c>
      <c r="E446" s="19" t="str">
        <f t="array" ref="E446">IFERROR(IF(INDEX(Sales!$E$7:$E$1506,$O446)="","",INDEX(Sales!$E$7:$E$1506,$O446)),"")</f>
        <v>PAWF-260715-04EAA</v>
      </c>
      <c r="F446" s="19" t="str">
        <f t="array" ref="F446">IFERROR(INDEX(Sales!$F$7:$F$1506,$O446),"")</f>
        <v>FD-DRY-SMHRT-15KG-001</v>
      </c>
      <c r="G446" s="19" t="str">
        <f t="array" ref="G446">IFERROR(INDEX(Sales!$G$7:$G$1506,$O446),"")</f>
        <v>Smart Heart Adult Cat Food Chicken &amp; Tuna [15kg]</v>
      </c>
      <c r="H446" s="96">
        <f t="array" ref="H446">IFERROR(INDEX(Sales!$H$7:$H$1506,$O446),"")</f>
        <v>1</v>
      </c>
      <c r="I446" s="96">
        <f t="array" ref="I446">IFERROR(INDEX(Sales!$I$7:$I$1506,$O446),"")</f>
        <v>6400</v>
      </c>
      <c r="J446" s="96">
        <f t="array" ref="J446">IFERROR(INDEX(Sales!$J$7:$J$1506,$O446),"")</f>
        <v>6700</v>
      </c>
      <c r="K446" s="96">
        <f t="array" ref="K446">IFERROR(INDEX(Sales!$K$7:$K$1506,$O446),"")</f>
        <v>300</v>
      </c>
      <c r="L446" s="96">
        <f t="array" ref="L446">IFERROR(INDEX(Sales!$L$7:$L$1506,$O446),"")</f>
        <v>6400</v>
      </c>
      <c r="M446" s="19" t="str">
        <f t="array" ref="M446">IFERROR(INDEX(Sales!$M$7:$M$1506,$O446),"")</f>
        <v>Paid</v>
      </c>
      <c r="O446" s="111" t="str">
        <f>IFERROR(MATCH(TEXT($B$3,"yyyymm")&amp;"-"&amp;(ROW()-4),Sales!$Y$7:$Y$1506,0),"")</f>
        <v/>
      </c>
    </row>
    <row r="447" ht="14.25" customHeight="1">
      <c r="A447" s="110">
        <f t="array" ref="A447">IFERROR(INDEX(Sales!$A$7:$A$1506,$O447),"")</f>
        <v>46219</v>
      </c>
      <c r="B447" s="19" t="str">
        <f t="array" ref="B447">IFERROR(INDEX(Sales!$B$7:$B$1506,$O447),"")</f>
        <v>Sale</v>
      </c>
      <c r="C447" s="19" t="str">
        <f t="array" ref="C447">IFERROR(INDEX(Sales!$C$7:$C$1506,$O447),"")</f>
        <v>Online</v>
      </c>
      <c r="D447" s="19" t="str">
        <f t="array" ref="D447">IFERROR(INDEX(Sales!$D$7:$D$1506,$O447),"")</f>
        <v>Samreen islam</v>
      </c>
      <c r="E447" s="19" t="str">
        <f t="array" ref="E447">IFERROR(IF(INDEX(Sales!$E$7:$E$1506,$O447)="","",INDEX(Sales!$E$7:$E$1506,$O447)),"")</f>
        <v>PAWF-260715-04EAA</v>
      </c>
      <c r="F447" s="19" t="str">
        <f t="array" ref="F447">IFERROR(INDEX(Sales!$F$7:$F$1506,$O447),"")</f>
        <v>FD-DRY-SMHRT-15KG-001</v>
      </c>
      <c r="G447" s="19" t="str">
        <f t="array" ref="G447">IFERROR(INDEX(Sales!$G$7:$G$1506,$O447),"")</f>
        <v>Smart Heart Adult Cat Food Chicken &amp; Tuna [15kg]</v>
      </c>
      <c r="H447" s="96">
        <f t="array" ref="H447">IFERROR(INDEX(Sales!$H$7:$H$1506,$O447),"")</f>
        <v>1</v>
      </c>
      <c r="I447" s="96">
        <f t="array" ref="I447">IFERROR(INDEX(Sales!$I$7:$I$1506,$O447),"")</f>
        <v>6400</v>
      </c>
      <c r="J447" s="96">
        <f t="array" ref="J447">IFERROR(INDEX(Sales!$J$7:$J$1506,$O447),"")</f>
        <v>6700</v>
      </c>
      <c r="K447" s="96">
        <f t="array" ref="K447">IFERROR(INDEX(Sales!$K$7:$K$1506,$O447),"")</f>
        <v>300</v>
      </c>
      <c r="L447" s="96">
        <f t="array" ref="L447">IFERROR(INDEX(Sales!$L$7:$L$1506,$O447),"")</f>
        <v>6400</v>
      </c>
      <c r="M447" s="19" t="str">
        <f t="array" ref="M447">IFERROR(INDEX(Sales!$M$7:$M$1506,$O447),"")</f>
        <v>Paid</v>
      </c>
      <c r="O447" s="111" t="str">
        <f>IFERROR(MATCH(TEXT($B$3,"yyyymm")&amp;"-"&amp;(ROW()-4),Sales!$Y$7:$Y$1506,0),"")</f>
        <v/>
      </c>
    </row>
    <row r="448" ht="14.25" customHeight="1">
      <c r="A448" s="110">
        <f t="array" ref="A448">IFERROR(INDEX(Sales!$A$7:$A$1506,$O448),"")</f>
        <v>46219</v>
      </c>
      <c r="B448" s="19" t="str">
        <f t="array" ref="B448">IFERROR(INDEX(Sales!$B$7:$B$1506,$O448),"")</f>
        <v>Sale</v>
      </c>
      <c r="C448" s="19" t="str">
        <f t="array" ref="C448">IFERROR(INDEX(Sales!$C$7:$C$1506,$O448),"")</f>
        <v>Online</v>
      </c>
      <c r="D448" s="19" t="str">
        <f t="array" ref="D448">IFERROR(INDEX(Sales!$D$7:$D$1506,$O448),"")</f>
        <v>Samreen islam</v>
      </c>
      <c r="E448" s="19" t="str">
        <f t="array" ref="E448">IFERROR(IF(INDEX(Sales!$E$7:$E$1506,$O448)="","",INDEX(Sales!$E$7:$E$1506,$O448)),"")</f>
        <v>PAWF-260715-04EAA</v>
      </c>
      <c r="F448" s="19" t="str">
        <f t="array" ref="F448">IFERROR(INDEX(Sales!$F$7:$F$1506,$O448),"")</f>
        <v>FD-DRY-SMHRT-15KG-001</v>
      </c>
      <c r="G448" s="19" t="str">
        <f t="array" ref="G448">IFERROR(INDEX(Sales!$G$7:$G$1506,$O448),"")</f>
        <v>Smart Heart Adult Cat Food Chicken &amp; Tuna [15kg]</v>
      </c>
      <c r="H448" s="96">
        <f t="array" ref="H448">IFERROR(INDEX(Sales!$H$7:$H$1506,$O448),"")</f>
        <v>1</v>
      </c>
      <c r="I448" s="96">
        <f t="array" ref="I448">IFERROR(INDEX(Sales!$I$7:$I$1506,$O448),"")</f>
        <v>6400</v>
      </c>
      <c r="J448" s="96">
        <f t="array" ref="J448">IFERROR(INDEX(Sales!$J$7:$J$1506,$O448),"")</f>
        <v>6700</v>
      </c>
      <c r="K448" s="96">
        <f t="array" ref="K448">IFERROR(INDEX(Sales!$K$7:$K$1506,$O448),"")</f>
        <v>300</v>
      </c>
      <c r="L448" s="96">
        <f t="array" ref="L448">IFERROR(INDEX(Sales!$L$7:$L$1506,$O448),"")</f>
        <v>6400</v>
      </c>
      <c r="M448" s="19" t="str">
        <f t="array" ref="M448">IFERROR(INDEX(Sales!$M$7:$M$1506,$O448),"")</f>
        <v>Paid</v>
      </c>
      <c r="O448" s="111" t="str">
        <f>IFERROR(MATCH(TEXT($B$3,"yyyymm")&amp;"-"&amp;(ROW()-4),Sales!$Y$7:$Y$1506,0),"")</f>
        <v/>
      </c>
    </row>
    <row r="449" ht="14.25" customHeight="1">
      <c r="A449" s="110">
        <f t="array" ref="A449">IFERROR(INDEX(Sales!$A$7:$A$1506,$O449),"")</f>
        <v>46219</v>
      </c>
      <c r="B449" s="19" t="str">
        <f t="array" ref="B449">IFERROR(INDEX(Sales!$B$7:$B$1506,$O449),"")</f>
        <v>Sale</v>
      </c>
      <c r="C449" s="19" t="str">
        <f t="array" ref="C449">IFERROR(INDEX(Sales!$C$7:$C$1506,$O449),"")</f>
        <v>Online</v>
      </c>
      <c r="D449" s="19" t="str">
        <f t="array" ref="D449">IFERROR(INDEX(Sales!$D$7:$D$1506,$O449),"")</f>
        <v>Samreen islam</v>
      </c>
      <c r="E449" s="19" t="str">
        <f t="array" ref="E449">IFERROR(IF(INDEX(Sales!$E$7:$E$1506,$O449)="","",INDEX(Sales!$E$7:$E$1506,$O449)),"")</f>
        <v>PAWF-260715-04EAA</v>
      </c>
      <c r="F449" s="19" t="str">
        <f t="array" ref="F449">IFERROR(INDEX(Sales!$F$7:$F$1506,$O449),"")</f>
        <v>FD-DRY-SMHRT-15KG-001</v>
      </c>
      <c r="G449" s="19" t="str">
        <f t="array" ref="G449">IFERROR(INDEX(Sales!$G$7:$G$1506,$O449),"")</f>
        <v>Smart Heart Adult Cat Food Chicken &amp; Tuna [15kg]</v>
      </c>
      <c r="H449" s="96">
        <f t="array" ref="H449">IFERROR(INDEX(Sales!$H$7:$H$1506,$O449),"")</f>
        <v>1</v>
      </c>
      <c r="I449" s="96">
        <f t="array" ref="I449">IFERROR(INDEX(Sales!$I$7:$I$1506,$O449),"")</f>
        <v>6400</v>
      </c>
      <c r="J449" s="96">
        <f t="array" ref="J449">IFERROR(INDEX(Sales!$J$7:$J$1506,$O449),"")</f>
        <v>6700</v>
      </c>
      <c r="K449" s="96">
        <f t="array" ref="K449">IFERROR(INDEX(Sales!$K$7:$K$1506,$O449),"")</f>
        <v>300</v>
      </c>
      <c r="L449" s="96">
        <f t="array" ref="L449">IFERROR(INDEX(Sales!$L$7:$L$1506,$O449),"")</f>
        <v>6400</v>
      </c>
      <c r="M449" s="19" t="str">
        <f t="array" ref="M449">IFERROR(INDEX(Sales!$M$7:$M$1506,$O449),"")</f>
        <v>Paid</v>
      </c>
      <c r="O449" s="111" t="str">
        <f>IFERROR(MATCH(TEXT($B$3,"yyyymm")&amp;"-"&amp;(ROW()-4),Sales!$Y$7:$Y$1506,0),"")</f>
        <v/>
      </c>
    </row>
    <row r="450" ht="14.25" customHeight="1">
      <c r="A450" s="110">
        <f t="array" ref="A450">IFERROR(INDEX(Sales!$A$7:$A$1506,$O450),"")</f>
        <v>46219</v>
      </c>
      <c r="B450" s="19" t="str">
        <f t="array" ref="B450">IFERROR(INDEX(Sales!$B$7:$B$1506,$O450),"")</f>
        <v>Sale</v>
      </c>
      <c r="C450" s="19" t="str">
        <f t="array" ref="C450">IFERROR(INDEX(Sales!$C$7:$C$1506,$O450),"")</f>
        <v>Online</v>
      </c>
      <c r="D450" s="19" t="str">
        <f t="array" ref="D450">IFERROR(INDEX(Sales!$D$7:$D$1506,$O450),"")</f>
        <v>Samreen islam</v>
      </c>
      <c r="E450" s="19" t="str">
        <f t="array" ref="E450">IFERROR(IF(INDEX(Sales!$E$7:$E$1506,$O450)="","",INDEX(Sales!$E$7:$E$1506,$O450)),"")</f>
        <v>PAWF-260715-04EAA</v>
      </c>
      <c r="F450" s="19" t="str">
        <f t="array" ref="F450">IFERROR(INDEX(Sales!$F$7:$F$1506,$O450),"")</f>
        <v>FD-DRY-SMHRT-15KG-001</v>
      </c>
      <c r="G450" s="19" t="str">
        <f t="array" ref="G450">IFERROR(INDEX(Sales!$G$7:$G$1506,$O450),"")</f>
        <v>Smart Heart Adult Cat Food Chicken &amp; Tuna [15kg]</v>
      </c>
      <c r="H450" s="96">
        <f t="array" ref="H450">IFERROR(INDEX(Sales!$H$7:$H$1506,$O450),"")</f>
        <v>1</v>
      </c>
      <c r="I450" s="96">
        <f t="array" ref="I450">IFERROR(INDEX(Sales!$I$7:$I$1506,$O450),"")</f>
        <v>6400</v>
      </c>
      <c r="J450" s="96">
        <f t="array" ref="J450">IFERROR(INDEX(Sales!$J$7:$J$1506,$O450),"")</f>
        <v>6700</v>
      </c>
      <c r="K450" s="96">
        <f t="array" ref="K450">IFERROR(INDEX(Sales!$K$7:$K$1506,$O450),"")</f>
        <v>300</v>
      </c>
      <c r="L450" s="96">
        <f t="array" ref="L450">IFERROR(INDEX(Sales!$L$7:$L$1506,$O450),"")</f>
        <v>6400</v>
      </c>
      <c r="M450" s="19" t="str">
        <f t="array" ref="M450">IFERROR(INDEX(Sales!$M$7:$M$1506,$O450),"")</f>
        <v>Paid</v>
      </c>
      <c r="O450" s="111" t="str">
        <f>IFERROR(MATCH(TEXT($B$3,"yyyymm")&amp;"-"&amp;(ROW()-4),Sales!$Y$7:$Y$1506,0),"")</f>
        <v/>
      </c>
    </row>
    <row r="451" ht="14.25" customHeight="1">
      <c r="A451" s="110">
        <f t="array" ref="A451">IFERROR(INDEX(Sales!$A$7:$A$1506,$O451),"")</f>
        <v>46219</v>
      </c>
      <c r="B451" s="19" t="str">
        <f t="array" ref="B451">IFERROR(INDEX(Sales!$B$7:$B$1506,$O451),"")</f>
        <v>Sale</v>
      </c>
      <c r="C451" s="19" t="str">
        <f t="array" ref="C451">IFERROR(INDEX(Sales!$C$7:$C$1506,$O451),"")</f>
        <v>Online</v>
      </c>
      <c r="D451" s="19" t="str">
        <f t="array" ref="D451">IFERROR(INDEX(Sales!$D$7:$D$1506,$O451),"")</f>
        <v>Samreen islam</v>
      </c>
      <c r="E451" s="19" t="str">
        <f t="array" ref="E451">IFERROR(IF(INDEX(Sales!$E$7:$E$1506,$O451)="","",INDEX(Sales!$E$7:$E$1506,$O451)),"")</f>
        <v>PAWF-260715-04EAA</v>
      </c>
      <c r="F451" s="19" t="str">
        <f t="array" ref="F451">IFERROR(INDEX(Sales!$F$7:$F$1506,$O451),"")</f>
        <v>FD-DRY-SMHRT-15KG-001</v>
      </c>
      <c r="G451" s="19" t="str">
        <f t="array" ref="G451">IFERROR(INDEX(Sales!$G$7:$G$1506,$O451),"")</f>
        <v>Smart Heart Adult Cat Food Chicken &amp; Tuna [15kg]</v>
      </c>
      <c r="H451" s="96">
        <f t="array" ref="H451">IFERROR(INDEX(Sales!$H$7:$H$1506,$O451),"")</f>
        <v>1</v>
      </c>
      <c r="I451" s="96">
        <f t="array" ref="I451">IFERROR(INDEX(Sales!$I$7:$I$1506,$O451),"")</f>
        <v>6400</v>
      </c>
      <c r="J451" s="96">
        <f t="array" ref="J451">IFERROR(INDEX(Sales!$J$7:$J$1506,$O451),"")</f>
        <v>6700</v>
      </c>
      <c r="K451" s="96">
        <f t="array" ref="K451">IFERROR(INDEX(Sales!$K$7:$K$1506,$O451),"")</f>
        <v>300</v>
      </c>
      <c r="L451" s="96">
        <f t="array" ref="L451">IFERROR(INDEX(Sales!$L$7:$L$1506,$O451),"")</f>
        <v>6400</v>
      </c>
      <c r="M451" s="19" t="str">
        <f t="array" ref="M451">IFERROR(INDEX(Sales!$M$7:$M$1506,$O451),"")</f>
        <v>Paid</v>
      </c>
      <c r="O451" s="111" t="str">
        <f>IFERROR(MATCH(TEXT($B$3,"yyyymm")&amp;"-"&amp;(ROW()-4),Sales!$Y$7:$Y$1506,0),"")</f>
        <v/>
      </c>
    </row>
    <row r="452" ht="14.25" customHeight="1">
      <c r="A452" s="110">
        <f t="array" ref="A452">IFERROR(INDEX(Sales!$A$7:$A$1506,$O452),"")</f>
        <v>46219</v>
      </c>
      <c r="B452" s="19" t="str">
        <f t="array" ref="B452">IFERROR(INDEX(Sales!$B$7:$B$1506,$O452),"")</f>
        <v>Sale</v>
      </c>
      <c r="C452" s="19" t="str">
        <f t="array" ref="C452">IFERROR(INDEX(Sales!$C$7:$C$1506,$O452),"")</f>
        <v>Online</v>
      </c>
      <c r="D452" s="19" t="str">
        <f t="array" ref="D452">IFERROR(INDEX(Sales!$D$7:$D$1506,$O452),"")</f>
        <v>Samreen islam</v>
      </c>
      <c r="E452" s="19" t="str">
        <f t="array" ref="E452">IFERROR(IF(INDEX(Sales!$E$7:$E$1506,$O452)="","",INDEX(Sales!$E$7:$E$1506,$O452)),"")</f>
        <v>PAWF-260715-04EAA</v>
      </c>
      <c r="F452" s="19" t="str">
        <f t="array" ref="F452">IFERROR(INDEX(Sales!$F$7:$F$1506,$O452),"")</f>
        <v>FD-DRY-SMHRT-15KG-001</v>
      </c>
      <c r="G452" s="19" t="str">
        <f t="array" ref="G452">IFERROR(INDEX(Sales!$G$7:$G$1506,$O452),"")</f>
        <v>Smart Heart Adult Cat Food Chicken &amp; Tuna [15kg]</v>
      </c>
      <c r="H452" s="96">
        <f t="array" ref="H452">IFERROR(INDEX(Sales!$H$7:$H$1506,$O452),"")</f>
        <v>1</v>
      </c>
      <c r="I452" s="96">
        <f t="array" ref="I452">IFERROR(INDEX(Sales!$I$7:$I$1506,$O452),"")</f>
        <v>6400</v>
      </c>
      <c r="J452" s="96">
        <f t="array" ref="J452">IFERROR(INDEX(Sales!$J$7:$J$1506,$O452),"")</f>
        <v>6700</v>
      </c>
      <c r="K452" s="96">
        <f t="array" ref="K452">IFERROR(INDEX(Sales!$K$7:$K$1506,$O452),"")</f>
        <v>300</v>
      </c>
      <c r="L452" s="96">
        <f t="array" ref="L452">IFERROR(INDEX(Sales!$L$7:$L$1506,$O452),"")</f>
        <v>6400</v>
      </c>
      <c r="M452" s="19" t="str">
        <f t="array" ref="M452">IFERROR(INDEX(Sales!$M$7:$M$1506,$O452),"")</f>
        <v>Paid</v>
      </c>
      <c r="O452" s="111" t="str">
        <f>IFERROR(MATCH(TEXT($B$3,"yyyymm")&amp;"-"&amp;(ROW()-4),Sales!$Y$7:$Y$1506,0),"")</f>
        <v/>
      </c>
    </row>
    <row r="453" ht="14.25" customHeight="1">
      <c r="A453" s="110">
        <f t="array" ref="A453">IFERROR(INDEX(Sales!$A$7:$A$1506,$O453),"")</f>
        <v>46219</v>
      </c>
      <c r="B453" s="19" t="str">
        <f t="array" ref="B453">IFERROR(INDEX(Sales!$B$7:$B$1506,$O453),"")</f>
        <v>Sale</v>
      </c>
      <c r="C453" s="19" t="str">
        <f t="array" ref="C453">IFERROR(INDEX(Sales!$C$7:$C$1506,$O453),"")</f>
        <v>Online</v>
      </c>
      <c r="D453" s="19" t="str">
        <f t="array" ref="D453">IFERROR(INDEX(Sales!$D$7:$D$1506,$O453),"")</f>
        <v>Samreen islam</v>
      </c>
      <c r="E453" s="19" t="str">
        <f t="array" ref="E453">IFERROR(IF(INDEX(Sales!$E$7:$E$1506,$O453)="","",INDEX(Sales!$E$7:$E$1506,$O453)),"")</f>
        <v>PAWF-260715-04EAA</v>
      </c>
      <c r="F453" s="19" t="str">
        <f t="array" ref="F453">IFERROR(INDEX(Sales!$F$7:$F$1506,$O453),"")</f>
        <v>FD-DRY-SMHRT-15KG-001</v>
      </c>
      <c r="G453" s="19" t="str">
        <f t="array" ref="G453">IFERROR(INDEX(Sales!$G$7:$G$1506,$O453),"")</f>
        <v>Smart Heart Adult Cat Food Chicken &amp; Tuna [15kg]</v>
      </c>
      <c r="H453" s="96">
        <f t="array" ref="H453">IFERROR(INDEX(Sales!$H$7:$H$1506,$O453),"")</f>
        <v>1</v>
      </c>
      <c r="I453" s="96">
        <f t="array" ref="I453">IFERROR(INDEX(Sales!$I$7:$I$1506,$O453),"")</f>
        <v>6400</v>
      </c>
      <c r="J453" s="96">
        <f t="array" ref="J453">IFERROR(INDEX(Sales!$J$7:$J$1506,$O453),"")</f>
        <v>6700</v>
      </c>
      <c r="K453" s="96">
        <f t="array" ref="K453">IFERROR(INDEX(Sales!$K$7:$K$1506,$O453),"")</f>
        <v>300</v>
      </c>
      <c r="L453" s="96">
        <f t="array" ref="L453">IFERROR(INDEX(Sales!$L$7:$L$1506,$O453),"")</f>
        <v>6400</v>
      </c>
      <c r="M453" s="19" t="str">
        <f t="array" ref="M453">IFERROR(INDEX(Sales!$M$7:$M$1506,$O453),"")</f>
        <v>Paid</v>
      </c>
      <c r="O453" s="111" t="str">
        <f>IFERROR(MATCH(TEXT($B$3,"yyyymm")&amp;"-"&amp;(ROW()-4),Sales!$Y$7:$Y$1506,0),"")</f>
        <v/>
      </c>
    </row>
    <row r="454" ht="14.25" customHeight="1">
      <c r="A454" s="110">
        <f t="array" ref="A454">IFERROR(INDEX(Sales!$A$7:$A$1506,$O454),"")</f>
        <v>46219</v>
      </c>
      <c r="B454" s="19" t="str">
        <f t="array" ref="B454">IFERROR(INDEX(Sales!$B$7:$B$1506,$O454),"")</f>
        <v>Sale</v>
      </c>
      <c r="C454" s="19" t="str">
        <f t="array" ref="C454">IFERROR(INDEX(Sales!$C$7:$C$1506,$O454),"")</f>
        <v>Online</v>
      </c>
      <c r="D454" s="19" t="str">
        <f t="array" ref="D454">IFERROR(INDEX(Sales!$D$7:$D$1506,$O454),"")</f>
        <v>Samreen islam</v>
      </c>
      <c r="E454" s="19" t="str">
        <f t="array" ref="E454">IFERROR(IF(INDEX(Sales!$E$7:$E$1506,$O454)="","",INDEX(Sales!$E$7:$E$1506,$O454)),"")</f>
        <v>PAWF-260715-04EAA</v>
      </c>
      <c r="F454" s="19" t="str">
        <f t="array" ref="F454">IFERROR(INDEX(Sales!$F$7:$F$1506,$O454),"")</f>
        <v>FD-DRY-SMHRT-15KG-001</v>
      </c>
      <c r="G454" s="19" t="str">
        <f t="array" ref="G454">IFERROR(INDEX(Sales!$G$7:$G$1506,$O454),"")</f>
        <v>Smart Heart Adult Cat Food Chicken &amp; Tuna [15kg]</v>
      </c>
      <c r="H454" s="96">
        <f t="array" ref="H454">IFERROR(INDEX(Sales!$H$7:$H$1506,$O454),"")</f>
        <v>1</v>
      </c>
      <c r="I454" s="96">
        <f t="array" ref="I454">IFERROR(INDEX(Sales!$I$7:$I$1506,$O454),"")</f>
        <v>6400</v>
      </c>
      <c r="J454" s="96">
        <f t="array" ref="J454">IFERROR(INDEX(Sales!$J$7:$J$1506,$O454),"")</f>
        <v>6700</v>
      </c>
      <c r="K454" s="96">
        <f t="array" ref="K454">IFERROR(INDEX(Sales!$K$7:$K$1506,$O454),"")</f>
        <v>300</v>
      </c>
      <c r="L454" s="96">
        <f t="array" ref="L454">IFERROR(INDEX(Sales!$L$7:$L$1506,$O454),"")</f>
        <v>6400</v>
      </c>
      <c r="M454" s="19" t="str">
        <f t="array" ref="M454">IFERROR(INDEX(Sales!$M$7:$M$1506,$O454),"")</f>
        <v>Paid</v>
      </c>
      <c r="O454" s="111" t="str">
        <f>IFERROR(MATCH(TEXT($B$3,"yyyymm")&amp;"-"&amp;(ROW()-4),Sales!$Y$7:$Y$1506,0),"")</f>
        <v/>
      </c>
    </row>
    <row r="455" ht="14.25" customHeight="1">
      <c r="A455" s="110">
        <f t="array" ref="A455">IFERROR(INDEX(Sales!$A$7:$A$1506,$O455),"")</f>
        <v>46219</v>
      </c>
      <c r="B455" s="19" t="str">
        <f t="array" ref="B455">IFERROR(INDEX(Sales!$B$7:$B$1506,$O455),"")</f>
        <v>Sale</v>
      </c>
      <c r="C455" s="19" t="str">
        <f t="array" ref="C455">IFERROR(INDEX(Sales!$C$7:$C$1506,$O455),"")</f>
        <v>Online</v>
      </c>
      <c r="D455" s="19" t="str">
        <f t="array" ref="D455">IFERROR(INDEX(Sales!$D$7:$D$1506,$O455),"")</f>
        <v>Samreen islam</v>
      </c>
      <c r="E455" s="19" t="str">
        <f t="array" ref="E455">IFERROR(IF(INDEX(Sales!$E$7:$E$1506,$O455)="","",INDEX(Sales!$E$7:$E$1506,$O455)),"")</f>
        <v>PAWF-260715-04EAA</v>
      </c>
      <c r="F455" s="19" t="str">
        <f t="array" ref="F455">IFERROR(INDEX(Sales!$F$7:$F$1506,$O455),"")</f>
        <v>FD-DRY-SMHRT-15KG-001</v>
      </c>
      <c r="G455" s="19" t="str">
        <f t="array" ref="G455">IFERROR(INDEX(Sales!$G$7:$G$1506,$O455),"")</f>
        <v>Smart Heart Adult Cat Food Chicken &amp; Tuna [15kg]</v>
      </c>
      <c r="H455" s="96">
        <f t="array" ref="H455">IFERROR(INDEX(Sales!$H$7:$H$1506,$O455),"")</f>
        <v>1</v>
      </c>
      <c r="I455" s="96">
        <f t="array" ref="I455">IFERROR(INDEX(Sales!$I$7:$I$1506,$O455),"")</f>
        <v>6400</v>
      </c>
      <c r="J455" s="96">
        <f t="array" ref="J455">IFERROR(INDEX(Sales!$J$7:$J$1506,$O455),"")</f>
        <v>6700</v>
      </c>
      <c r="K455" s="96">
        <f t="array" ref="K455">IFERROR(INDEX(Sales!$K$7:$K$1506,$O455),"")</f>
        <v>300</v>
      </c>
      <c r="L455" s="96">
        <f t="array" ref="L455">IFERROR(INDEX(Sales!$L$7:$L$1506,$O455),"")</f>
        <v>6400</v>
      </c>
      <c r="M455" s="19" t="str">
        <f t="array" ref="M455">IFERROR(INDEX(Sales!$M$7:$M$1506,$O455),"")</f>
        <v>Paid</v>
      </c>
      <c r="O455" s="111" t="str">
        <f>IFERROR(MATCH(TEXT($B$3,"yyyymm")&amp;"-"&amp;(ROW()-4),Sales!$Y$7:$Y$1506,0),"")</f>
        <v/>
      </c>
    </row>
    <row r="456" ht="14.25" customHeight="1">
      <c r="A456" s="110">
        <f t="array" ref="A456">IFERROR(INDEX(Sales!$A$7:$A$1506,$O456),"")</f>
        <v>46219</v>
      </c>
      <c r="B456" s="19" t="str">
        <f t="array" ref="B456">IFERROR(INDEX(Sales!$B$7:$B$1506,$O456),"")</f>
        <v>Sale</v>
      </c>
      <c r="C456" s="19" t="str">
        <f t="array" ref="C456">IFERROR(INDEX(Sales!$C$7:$C$1506,$O456),"")</f>
        <v>Online</v>
      </c>
      <c r="D456" s="19" t="str">
        <f t="array" ref="D456">IFERROR(INDEX(Sales!$D$7:$D$1506,$O456),"")</f>
        <v>Samreen islam</v>
      </c>
      <c r="E456" s="19" t="str">
        <f t="array" ref="E456">IFERROR(IF(INDEX(Sales!$E$7:$E$1506,$O456)="","",INDEX(Sales!$E$7:$E$1506,$O456)),"")</f>
        <v>PAWF-260715-04EAA</v>
      </c>
      <c r="F456" s="19" t="str">
        <f t="array" ref="F456">IFERROR(INDEX(Sales!$F$7:$F$1506,$O456),"")</f>
        <v>FD-DRY-SMHRT-15KG-001</v>
      </c>
      <c r="G456" s="19" t="str">
        <f t="array" ref="G456">IFERROR(INDEX(Sales!$G$7:$G$1506,$O456),"")</f>
        <v>Smart Heart Adult Cat Food Chicken &amp; Tuna [15kg]</v>
      </c>
      <c r="H456" s="96">
        <f t="array" ref="H456">IFERROR(INDEX(Sales!$H$7:$H$1506,$O456),"")</f>
        <v>1</v>
      </c>
      <c r="I456" s="96">
        <f t="array" ref="I456">IFERROR(INDEX(Sales!$I$7:$I$1506,$O456),"")</f>
        <v>6400</v>
      </c>
      <c r="J456" s="96">
        <f t="array" ref="J456">IFERROR(INDEX(Sales!$J$7:$J$1506,$O456),"")</f>
        <v>6700</v>
      </c>
      <c r="K456" s="96">
        <f t="array" ref="K456">IFERROR(INDEX(Sales!$K$7:$K$1506,$O456),"")</f>
        <v>300</v>
      </c>
      <c r="L456" s="96">
        <f t="array" ref="L456">IFERROR(INDEX(Sales!$L$7:$L$1506,$O456),"")</f>
        <v>6400</v>
      </c>
      <c r="M456" s="19" t="str">
        <f t="array" ref="M456">IFERROR(INDEX(Sales!$M$7:$M$1506,$O456),"")</f>
        <v>Paid</v>
      </c>
      <c r="O456" s="111" t="str">
        <f>IFERROR(MATCH(TEXT($B$3,"yyyymm")&amp;"-"&amp;(ROW()-4),Sales!$Y$7:$Y$1506,0),"")</f>
        <v/>
      </c>
    </row>
    <row r="457" ht="14.25" customHeight="1">
      <c r="A457" s="110">
        <f t="array" ref="A457">IFERROR(INDEX(Sales!$A$7:$A$1506,$O457),"")</f>
        <v>46219</v>
      </c>
      <c r="B457" s="19" t="str">
        <f t="array" ref="B457">IFERROR(INDEX(Sales!$B$7:$B$1506,$O457),"")</f>
        <v>Sale</v>
      </c>
      <c r="C457" s="19" t="str">
        <f t="array" ref="C457">IFERROR(INDEX(Sales!$C$7:$C$1506,$O457),"")</f>
        <v>Online</v>
      </c>
      <c r="D457" s="19" t="str">
        <f t="array" ref="D457">IFERROR(INDEX(Sales!$D$7:$D$1506,$O457),"")</f>
        <v>Samreen islam</v>
      </c>
      <c r="E457" s="19" t="str">
        <f t="array" ref="E457">IFERROR(IF(INDEX(Sales!$E$7:$E$1506,$O457)="","",INDEX(Sales!$E$7:$E$1506,$O457)),"")</f>
        <v>PAWF-260715-04EAA</v>
      </c>
      <c r="F457" s="19" t="str">
        <f t="array" ref="F457">IFERROR(INDEX(Sales!$F$7:$F$1506,$O457),"")</f>
        <v>FD-DRY-SMHRT-15KG-001</v>
      </c>
      <c r="G457" s="19" t="str">
        <f t="array" ref="G457">IFERROR(INDEX(Sales!$G$7:$G$1506,$O457),"")</f>
        <v>Smart Heart Adult Cat Food Chicken &amp; Tuna [15kg]</v>
      </c>
      <c r="H457" s="96">
        <f t="array" ref="H457">IFERROR(INDEX(Sales!$H$7:$H$1506,$O457),"")</f>
        <v>1</v>
      </c>
      <c r="I457" s="96">
        <f t="array" ref="I457">IFERROR(INDEX(Sales!$I$7:$I$1506,$O457),"")</f>
        <v>6400</v>
      </c>
      <c r="J457" s="96">
        <f t="array" ref="J457">IFERROR(INDEX(Sales!$J$7:$J$1506,$O457),"")</f>
        <v>6700</v>
      </c>
      <c r="K457" s="96">
        <f t="array" ref="K457">IFERROR(INDEX(Sales!$K$7:$K$1506,$O457),"")</f>
        <v>300</v>
      </c>
      <c r="L457" s="96">
        <f t="array" ref="L457">IFERROR(INDEX(Sales!$L$7:$L$1506,$O457),"")</f>
        <v>6400</v>
      </c>
      <c r="M457" s="19" t="str">
        <f t="array" ref="M457">IFERROR(INDEX(Sales!$M$7:$M$1506,$O457),"")</f>
        <v>Paid</v>
      </c>
      <c r="O457" s="111" t="str">
        <f>IFERROR(MATCH(TEXT($B$3,"yyyymm")&amp;"-"&amp;(ROW()-4),Sales!$Y$7:$Y$1506,0),"")</f>
        <v/>
      </c>
    </row>
    <row r="458" ht="14.25" customHeight="1">
      <c r="A458" s="110">
        <f t="array" ref="A458">IFERROR(INDEX(Sales!$A$7:$A$1506,$O458),"")</f>
        <v>46219</v>
      </c>
      <c r="B458" s="19" t="str">
        <f t="array" ref="B458">IFERROR(INDEX(Sales!$B$7:$B$1506,$O458),"")</f>
        <v>Sale</v>
      </c>
      <c r="C458" s="19" t="str">
        <f t="array" ref="C458">IFERROR(INDEX(Sales!$C$7:$C$1506,$O458),"")</f>
        <v>Online</v>
      </c>
      <c r="D458" s="19" t="str">
        <f t="array" ref="D458">IFERROR(INDEX(Sales!$D$7:$D$1506,$O458),"")</f>
        <v>Samreen islam</v>
      </c>
      <c r="E458" s="19" t="str">
        <f t="array" ref="E458">IFERROR(IF(INDEX(Sales!$E$7:$E$1506,$O458)="","",INDEX(Sales!$E$7:$E$1506,$O458)),"")</f>
        <v>PAWF-260715-04EAA</v>
      </c>
      <c r="F458" s="19" t="str">
        <f t="array" ref="F458">IFERROR(INDEX(Sales!$F$7:$F$1506,$O458),"")</f>
        <v>FD-DRY-SMHRT-15KG-001</v>
      </c>
      <c r="G458" s="19" t="str">
        <f t="array" ref="G458">IFERROR(INDEX(Sales!$G$7:$G$1506,$O458),"")</f>
        <v>Smart Heart Adult Cat Food Chicken &amp; Tuna [15kg]</v>
      </c>
      <c r="H458" s="96">
        <f t="array" ref="H458">IFERROR(INDEX(Sales!$H$7:$H$1506,$O458),"")</f>
        <v>1</v>
      </c>
      <c r="I458" s="96">
        <f t="array" ref="I458">IFERROR(INDEX(Sales!$I$7:$I$1506,$O458),"")</f>
        <v>6400</v>
      </c>
      <c r="J458" s="96">
        <f t="array" ref="J458">IFERROR(INDEX(Sales!$J$7:$J$1506,$O458),"")</f>
        <v>6700</v>
      </c>
      <c r="K458" s="96">
        <f t="array" ref="K458">IFERROR(INDEX(Sales!$K$7:$K$1506,$O458),"")</f>
        <v>300</v>
      </c>
      <c r="L458" s="96">
        <f t="array" ref="L458">IFERROR(INDEX(Sales!$L$7:$L$1506,$O458),"")</f>
        <v>6400</v>
      </c>
      <c r="M458" s="19" t="str">
        <f t="array" ref="M458">IFERROR(INDEX(Sales!$M$7:$M$1506,$O458),"")</f>
        <v>Paid</v>
      </c>
      <c r="O458" s="111" t="str">
        <f>IFERROR(MATCH(TEXT($B$3,"yyyymm")&amp;"-"&amp;(ROW()-4),Sales!$Y$7:$Y$1506,0),"")</f>
        <v/>
      </c>
    </row>
    <row r="459" ht="14.25" customHeight="1">
      <c r="A459" s="110">
        <f t="array" ref="A459">IFERROR(INDEX(Sales!$A$7:$A$1506,$O459),"")</f>
        <v>46219</v>
      </c>
      <c r="B459" s="19" t="str">
        <f t="array" ref="B459">IFERROR(INDEX(Sales!$B$7:$B$1506,$O459),"")</f>
        <v>Sale</v>
      </c>
      <c r="C459" s="19" t="str">
        <f t="array" ref="C459">IFERROR(INDEX(Sales!$C$7:$C$1506,$O459),"")</f>
        <v>Online</v>
      </c>
      <c r="D459" s="19" t="str">
        <f t="array" ref="D459">IFERROR(INDEX(Sales!$D$7:$D$1506,$O459),"")</f>
        <v>Samreen islam</v>
      </c>
      <c r="E459" s="19" t="str">
        <f t="array" ref="E459">IFERROR(IF(INDEX(Sales!$E$7:$E$1506,$O459)="","",INDEX(Sales!$E$7:$E$1506,$O459)),"")</f>
        <v>PAWF-260715-04EAA</v>
      </c>
      <c r="F459" s="19" t="str">
        <f t="array" ref="F459">IFERROR(INDEX(Sales!$F$7:$F$1506,$O459),"")</f>
        <v>FD-DRY-SMHRT-15KG-001</v>
      </c>
      <c r="G459" s="19" t="str">
        <f t="array" ref="G459">IFERROR(INDEX(Sales!$G$7:$G$1506,$O459),"")</f>
        <v>Smart Heart Adult Cat Food Chicken &amp; Tuna [15kg]</v>
      </c>
      <c r="H459" s="96">
        <f t="array" ref="H459">IFERROR(INDEX(Sales!$H$7:$H$1506,$O459),"")</f>
        <v>1</v>
      </c>
      <c r="I459" s="96">
        <f t="array" ref="I459">IFERROR(INDEX(Sales!$I$7:$I$1506,$O459),"")</f>
        <v>6400</v>
      </c>
      <c r="J459" s="96">
        <f t="array" ref="J459">IFERROR(INDEX(Sales!$J$7:$J$1506,$O459),"")</f>
        <v>6700</v>
      </c>
      <c r="K459" s="96">
        <f t="array" ref="K459">IFERROR(INDEX(Sales!$K$7:$K$1506,$O459),"")</f>
        <v>300</v>
      </c>
      <c r="L459" s="96">
        <f t="array" ref="L459">IFERROR(INDEX(Sales!$L$7:$L$1506,$O459),"")</f>
        <v>6400</v>
      </c>
      <c r="M459" s="19" t="str">
        <f t="array" ref="M459">IFERROR(INDEX(Sales!$M$7:$M$1506,$O459),"")</f>
        <v>Paid</v>
      </c>
      <c r="O459" s="111" t="str">
        <f>IFERROR(MATCH(TEXT($B$3,"yyyymm")&amp;"-"&amp;(ROW()-4),Sales!$Y$7:$Y$1506,0),"")</f>
        <v/>
      </c>
    </row>
    <row r="460" ht="14.25" customHeight="1">
      <c r="A460" s="110">
        <f t="array" ref="A460">IFERROR(INDEX(Sales!$A$7:$A$1506,$O460),"")</f>
        <v>46219</v>
      </c>
      <c r="B460" s="19" t="str">
        <f t="array" ref="B460">IFERROR(INDEX(Sales!$B$7:$B$1506,$O460),"")</f>
        <v>Sale</v>
      </c>
      <c r="C460" s="19" t="str">
        <f t="array" ref="C460">IFERROR(INDEX(Sales!$C$7:$C$1506,$O460),"")</f>
        <v>Online</v>
      </c>
      <c r="D460" s="19" t="str">
        <f t="array" ref="D460">IFERROR(INDEX(Sales!$D$7:$D$1506,$O460),"")</f>
        <v>Samreen islam</v>
      </c>
      <c r="E460" s="19" t="str">
        <f t="array" ref="E460">IFERROR(IF(INDEX(Sales!$E$7:$E$1506,$O460)="","",INDEX(Sales!$E$7:$E$1506,$O460)),"")</f>
        <v>PAWF-260715-04EAA</v>
      </c>
      <c r="F460" s="19" t="str">
        <f t="array" ref="F460">IFERROR(INDEX(Sales!$F$7:$F$1506,$O460),"")</f>
        <v>FD-DRY-SMHRT-15KG-001</v>
      </c>
      <c r="G460" s="19" t="str">
        <f t="array" ref="G460">IFERROR(INDEX(Sales!$G$7:$G$1506,$O460),"")</f>
        <v>Smart Heart Adult Cat Food Chicken &amp; Tuna [15kg]</v>
      </c>
      <c r="H460" s="96">
        <f t="array" ref="H460">IFERROR(INDEX(Sales!$H$7:$H$1506,$O460),"")</f>
        <v>1</v>
      </c>
      <c r="I460" s="96">
        <f t="array" ref="I460">IFERROR(INDEX(Sales!$I$7:$I$1506,$O460),"")</f>
        <v>6400</v>
      </c>
      <c r="J460" s="96">
        <f t="array" ref="J460">IFERROR(INDEX(Sales!$J$7:$J$1506,$O460),"")</f>
        <v>6700</v>
      </c>
      <c r="K460" s="96">
        <f t="array" ref="K460">IFERROR(INDEX(Sales!$K$7:$K$1506,$O460),"")</f>
        <v>300</v>
      </c>
      <c r="L460" s="96">
        <f t="array" ref="L460">IFERROR(INDEX(Sales!$L$7:$L$1506,$O460),"")</f>
        <v>6400</v>
      </c>
      <c r="M460" s="19" t="str">
        <f t="array" ref="M460">IFERROR(INDEX(Sales!$M$7:$M$1506,$O460),"")</f>
        <v>Paid</v>
      </c>
      <c r="O460" s="111" t="str">
        <f>IFERROR(MATCH(TEXT($B$3,"yyyymm")&amp;"-"&amp;(ROW()-4),Sales!$Y$7:$Y$1506,0),"")</f>
        <v/>
      </c>
    </row>
    <row r="461" ht="14.25" customHeight="1">
      <c r="A461" s="110">
        <f t="array" ref="A461">IFERROR(INDEX(Sales!$A$7:$A$1506,$O461),"")</f>
        <v>46219</v>
      </c>
      <c r="B461" s="19" t="str">
        <f t="array" ref="B461">IFERROR(INDEX(Sales!$B$7:$B$1506,$O461),"")</f>
        <v>Sale</v>
      </c>
      <c r="C461" s="19" t="str">
        <f t="array" ref="C461">IFERROR(INDEX(Sales!$C$7:$C$1506,$O461),"")</f>
        <v>Online</v>
      </c>
      <c r="D461" s="19" t="str">
        <f t="array" ref="D461">IFERROR(INDEX(Sales!$D$7:$D$1506,$O461),"")</f>
        <v>Samreen islam</v>
      </c>
      <c r="E461" s="19" t="str">
        <f t="array" ref="E461">IFERROR(IF(INDEX(Sales!$E$7:$E$1506,$O461)="","",INDEX(Sales!$E$7:$E$1506,$O461)),"")</f>
        <v>PAWF-260715-04EAA</v>
      </c>
      <c r="F461" s="19" t="str">
        <f t="array" ref="F461">IFERROR(INDEX(Sales!$F$7:$F$1506,$O461),"")</f>
        <v>FD-DRY-SMHRT-15KG-001</v>
      </c>
      <c r="G461" s="19" t="str">
        <f t="array" ref="G461">IFERROR(INDEX(Sales!$G$7:$G$1506,$O461),"")</f>
        <v>Smart Heart Adult Cat Food Chicken &amp; Tuna [15kg]</v>
      </c>
      <c r="H461" s="96">
        <f t="array" ref="H461">IFERROR(INDEX(Sales!$H$7:$H$1506,$O461),"")</f>
        <v>1</v>
      </c>
      <c r="I461" s="96">
        <f t="array" ref="I461">IFERROR(INDEX(Sales!$I$7:$I$1506,$O461),"")</f>
        <v>6400</v>
      </c>
      <c r="J461" s="96">
        <f t="array" ref="J461">IFERROR(INDEX(Sales!$J$7:$J$1506,$O461),"")</f>
        <v>6700</v>
      </c>
      <c r="K461" s="96">
        <f t="array" ref="K461">IFERROR(INDEX(Sales!$K$7:$K$1506,$O461),"")</f>
        <v>300</v>
      </c>
      <c r="L461" s="96">
        <f t="array" ref="L461">IFERROR(INDEX(Sales!$L$7:$L$1506,$O461),"")</f>
        <v>6400</v>
      </c>
      <c r="M461" s="19" t="str">
        <f t="array" ref="M461">IFERROR(INDEX(Sales!$M$7:$M$1506,$O461),"")</f>
        <v>Paid</v>
      </c>
      <c r="O461" s="111" t="str">
        <f>IFERROR(MATCH(TEXT($B$3,"yyyymm")&amp;"-"&amp;(ROW()-4),Sales!$Y$7:$Y$1506,0),"")</f>
        <v/>
      </c>
    </row>
    <row r="462" ht="14.25" customHeight="1">
      <c r="A462" s="110">
        <f t="array" ref="A462">IFERROR(INDEX(Sales!$A$7:$A$1506,$O462),"")</f>
        <v>46219</v>
      </c>
      <c r="B462" s="19" t="str">
        <f t="array" ref="B462">IFERROR(INDEX(Sales!$B$7:$B$1506,$O462),"")</f>
        <v>Sale</v>
      </c>
      <c r="C462" s="19" t="str">
        <f t="array" ref="C462">IFERROR(INDEX(Sales!$C$7:$C$1506,$O462),"")</f>
        <v>Online</v>
      </c>
      <c r="D462" s="19" t="str">
        <f t="array" ref="D462">IFERROR(INDEX(Sales!$D$7:$D$1506,$O462),"")</f>
        <v>Samreen islam</v>
      </c>
      <c r="E462" s="19" t="str">
        <f t="array" ref="E462">IFERROR(IF(INDEX(Sales!$E$7:$E$1506,$O462)="","",INDEX(Sales!$E$7:$E$1506,$O462)),"")</f>
        <v>PAWF-260715-04EAA</v>
      </c>
      <c r="F462" s="19" t="str">
        <f t="array" ref="F462">IFERROR(INDEX(Sales!$F$7:$F$1506,$O462),"")</f>
        <v>FD-DRY-SMHRT-15KG-001</v>
      </c>
      <c r="G462" s="19" t="str">
        <f t="array" ref="G462">IFERROR(INDEX(Sales!$G$7:$G$1506,$O462),"")</f>
        <v>Smart Heart Adult Cat Food Chicken &amp; Tuna [15kg]</v>
      </c>
      <c r="H462" s="96">
        <f t="array" ref="H462">IFERROR(INDEX(Sales!$H$7:$H$1506,$O462),"")</f>
        <v>1</v>
      </c>
      <c r="I462" s="96">
        <f t="array" ref="I462">IFERROR(INDEX(Sales!$I$7:$I$1506,$O462),"")</f>
        <v>6400</v>
      </c>
      <c r="J462" s="96">
        <f t="array" ref="J462">IFERROR(INDEX(Sales!$J$7:$J$1506,$O462),"")</f>
        <v>6700</v>
      </c>
      <c r="K462" s="96">
        <f t="array" ref="K462">IFERROR(INDEX(Sales!$K$7:$K$1506,$O462),"")</f>
        <v>300</v>
      </c>
      <c r="L462" s="96">
        <f t="array" ref="L462">IFERROR(INDEX(Sales!$L$7:$L$1506,$O462),"")</f>
        <v>6400</v>
      </c>
      <c r="M462" s="19" t="str">
        <f t="array" ref="M462">IFERROR(INDEX(Sales!$M$7:$M$1506,$O462),"")</f>
        <v>Paid</v>
      </c>
      <c r="O462" s="111" t="str">
        <f>IFERROR(MATCH(TEXT($B$3,"yyyymm")&amp;"-"&amp;(ROW()-4),Sales!$Y$7:$Y$1506,0),"")</f>
        <v/>
      </c>
    </row>
    <row r="463" ht="14.25" customHeight="1">
      <c r="A463" s="110">
        <f t="array" ref="A463">IFERROR(INDEX(Sales!$A$7:$A$1506,$O463),"")</f>
        <v>46219</v>
      </c>
      <c r="B463" s="19" t="str">
        <f t="array" ref="B463">IFERROR(INDEX(Sales!$B$7:$B$1506,$O463),"")</f>
        <v>Sale</v>
      </c>
      <c r="C463" s="19" t="str">
        <f t="array" ref="C463">IFERROR(INDEX(Sales!$C$7:$C$1506,$O463),"")</f>
        <v>Online</v>
      </c>
      <c r="D463" s="19" t="str">
        <f t="array" ref="D463">IFERROR(INDEX(Sales!$D$7:$D$1506,$O463),"")</f>
        <v>Samreen islam</v>
      </c>
      <c r="E463" s="19" t="str">
        <f t="array" ref="E463">IFERROR(IF(INDEX(Sales!$E$7:$E$1506,$O463)="","",INDEX(Sales!$E$7:$E$1506,$O463)),"")</f>
        <v>PAWF-260715-04EAA</v>
      </c>
      <c r="F463" s="19" t="str">
        <f t="array" ref="F463">IFERROR(INDEX(Sales!$F$7:$F$1506,$O463),"")</f>
        <v>FD-DRY-SMHRT-15KG-001</v>
      </c>
      <c r="G463" s="19" t="str">
        <f t="array" ref="G463">IFERROR(INDEX(Sales!$G$7:$G$1506,$O463),"")</f>
        <v>Smart Heart Adult Cat Food Chicken &amp; Tuna [15kg]</v>
      </c>
      <c r="H463" s="96">
        <f t="array" ref="H463">IFERROR(INDEX(Sales!$H$7:$H$1506,$O463),"")</f>
        <v>1</v>
      </c>
      <c r="I463" s="96">
        <f t="array" ref="I463">IFERROR(INDEX(Sales!$I$7:$I$1506,$O463),"")</f>
        <v>6400</v>
      </c>
      <c r="J463" s="96">
        <f t="array" ref="J463">IFERROR(INDEX(Sales!$J$7:$J$1506,$O463),"")</f>
        <v>6700</v>
      </c>
      <c r="K463" s="96">
        <f t="array" ref="K463">IFERROR(INDEX(Sales!$K$7:$K$1506,$O463),"")</f>
        <v>300</v>
      </c>
      <c r="L463" s="96">
        <f t="array" ref="L463">IFERROR(INDEX(Sales!$L$7:$L$1506,$O463),"")</f>
        <v>6400</v>
      </c>
      <c r="M463" s="19" t="str">
        <f t="array" ref="M463">IFERROR(INDEX(Sales!$M$7:$M$1506,$O463),"")</f>
        <v>Paid</v>
      </c>
      <c r="O463" s="111" t="str">
        <f>IFERROR(MATCH(TEXT($B$3,"yyyymm")&amp;"-"&amp;(ROW()-4),Sales!$Y$7:$Y$1506,0),"")</f>
        <v/>
      </c>
    </row>
    <row r="464" ht="14.25" customHeight="1">
      <c r="A464" s="110">
        <f t="array" ref="A464">IFERROR(INDEX(Sales!$A$7:$A$1506,$O464),"")</f>
        <v>46219</v>
      </c>
      <c r="B464" s="19" t="str">
        <f t="array" ref="B464">IFERROR(INDEX(Sales!$B$7:$B$1506,$O464),"")</f>
        <v>Sale</v>
      </c>
      <c r="C464" s="19" t="str">
        <f t="array" ref="C464">IFERROR(INDEX(Sales!$C$7:$C$1506,$O464),"")</f>
        <v>Online</v>
      </c>
      <c r="D464" s="19" t="str">
        <f t="array" ref="D464">IFERROR(INDEX(Sales!$D$7:$D$1506,$O464),"")</f>
        <v>Samreen islam</v>
      </c>
      <c r="E464" s="19" t="str">
        <f t="array" ref="E464">IFERROR(IF(INDEX(Sales!$E$7:$E$1506,$O464)="","",INDEX(Sales!$E$7:$E$1506,$O464)),"")</f>
        <v>PAWF-260715-04EAA</v>
      </c>
      <c r="F464" s="19" t="str">
        <f t="array" ref="F464">IFERROR(INDEX(Sales!$F$7:$F$1506,$O464),"")</f>
        <v>FD-DRY-SMHRT-15KG-001</v>
      </c>
      <c r="G464" s="19" t="str">
        <f t="array" ref="G464">IFERROR(INDEX(Sales!$G$7:$G$1506,$O464),"")</f>
        <v>Smart Heart Adult Cat Food Chicken &amp; Tuna [15kg]</v>
      </c>
      <c r="H464" s="96">
        <f t="array" ref="H464">IFERROR(INDEX(Sales!$H$7:$H$1506,$O464),"")</f>
        <v>1</v>
      </c>
      <c r="I464" s="96">
        <f t="array" ref="I464">IFERROR(INDEX(Sales!$I$7:$I$1506,$O464),"")</f>
        <v>6400</v>
      </c>
      <c r="J464" s="96">
        <f t="array" ref="J464">IFERROR(INDEX(Sales!$J$7:$J$1506,$O464),"")</f>
        <v>6700</v>
      </c>
      <c r="K464" s="96">
        <f t="array" ref="K464">IFERROR(INDEX(Sales!$K$7:$K$1506,$O464),"")</f>
        <v>300</v>
      </c>
      <c r="L464" s="96">
        <f t="array" ref="L464">IFERROR(INDEX(Sales!$L$7:$L$1506,$O464),"")</f>
        <v>6400</v>
      </c>
      <c r="M464" s="19" t="str">
        <f t="array" ref="M464">IFERROR(INDEX(Sales!$M$7:$M$1506,$O464),"")</f>
        <v>Paid</v>
      </c>
      <c r="O464" s="111" t="str">
        <f>IFERROR(MATCH(TEXT($B$3,"yyyymm")&amp;"-"&amp;(ROW()-4),Sales!$Y$7:$Y$1506,0),"")</f>
        <v/>
      </c>
    </row>
    <row r="465" ht="14.25" customHeight="1">
      <c r="A465" s="110">
        <f t="array" ref="A465">IFERROR(INDEX(Sales!$A$7:$A$1506,$O465),"")</f>
        <v>46219</v>
      </c>
      <c r="B465" s="19" t="str">
        <f t="array" ref="B465">IFERROR(INDEX(Sales!$B$7:$B$1506,$O465),"")</f>
        <v>Sale</v>
      </c>
      <c r="C465" s="19" t="str">
        <f t="array" ref="C465">IFERROR(INDEX(Sales!$C$7:$C$1506,$O465),"")</f>
        <v>Online</v>
      </c>
      <c r="D465" s="19" t="str">
        <f t="array" ref="D465">IFERROR(INDEX(Sales!$D$7:$D$1506,$O465),"")</f>
        <v>Samreen islam</v>
      </c>
      <c r="E465" s="19" t="str">
        <f t="array" ref="E465">IFERROR(IF(INDEX(Sales!$E$7:$E$1506,$O465)="","",INDEX(Sales!$E$7:$E$1506,$O465)),"")</f>
        <v>PAWF-260715-04EAA</v>
      </c>
      <c r="F465" s="19" t="str">
        <f t="array" ref="F465">IFERROR(INDEX(Sales!$F$7:$F$1506,$O465),"")</f>
        <v>FD-DRY-SMHRT-15KG-001</v>
      </c>
      <c r="G465" s="19" t="str">
        <f t="array" ref="G465">IFERROR(INDEX(Sales!$G$7:$G$1506,$O465),"")</f>
        <v>Smart Heart Adult Cat Food Chicken &amp; Tuna [15kg]</v>
      </c>
      <c r="H465" s="96">
        <f t="array" ref="H465">IFERROR(INDEX(Sales!$H$7:$H$1506,$O465),"")</f>
        <v>1</v>
      </c>
      <c r="I465" s="96">
        <f t="array" ref="I465">IFERROR(INDEX(Sales!$I$7:$I$1506,$O465),"")</f>
        <v>6400</v>
      </c>
      <c r="J465" s="96">
        <f t="array" ref="J465">IFERROR(INDEX(Sales!$J$7:$J$1506,$O465),"")</f>
        <v>6700</v>
      </c>
      <c r="K465" s="96">
        <f t="array" ref="K465">IFERROR(INDEX(Sales!$K$7:$K$1506,$O465),"")</f>
        <v>300</v>
      </c>
      <c r="L465" s="96">
        <f t="array" ref="L465">IFERROR(INDEX(Sales!$L$7:$L$1506,$O465),"")</f>
        <v>6400</v>
      </c>
      <c r="M465" s="19" t="str">
        <f t="array" ref="M465">IFERROR(INDEX(Sales!$M$7:$M$1506,$O465),"")</f>
        <v>Paid</v>
      </c>
      <c r="O465" s="111" t="str">
        <f>IFERROR(MATCH(TEXT($B$3,"yyyymm")&amp;"-"&amp;(ROW()-4),Sales!$Y$7:$Y$1506,0),"")</f>
        <v/>
      </c>
    </row>
    <row r="466" ht="14.25" customHeight="1">
      <c r="A466" s="110">
        <f t="array" ref="A466">IFERROR(INDEX(Sales!$A$7:$A$1506,$O466),"")</f>
        <v>46219</v>
      </c>
      <c r="B466" s="19" t="str">
        <f t="array" ref="B466">IFERROR(INDEX(Sales!$B$7:$B$1506,$O466),"")</f>
        <v>Sale</v>
      </c>
      <c r="C466" s="19" t="str">
        <f t="array" ref="C466">IFERROR(INDEX(Sales!$C$7:$C$1506,$O466),"")</f>
        <v>Online</v>
      </c>
      <c r="D466" s="19" t="str">
        <f t="array" ref="D466">IFERROR(INDEX(Sales!$D$7:$D$1506,$O466),"")</f>
        <v>Samreen islam</v>
      </c>
      <c r="E466" s="19" t="str">
        <f t="array" ref="E466">IFERROR(IF(INDEX(Sales!$E$7:$E$1506,$O466)="","",INDEX(Sales!$E$7:$E$1506,$O466)),"")</f>
        <v>PAWF-260715-04EAA</v>
      </c>
      <c r="F466" s="19" t="str">
        <f t="array" ref="F466">IFERROR(INDEX(Sales!$F$7:$F$1506,$O466),"")</f>
        <v>FD-DRY-SMHRT-15KG-001</v>
      </c>
      <c r="G466" s="19" t="str">
        <f t="array" ref="G466">IFERROR(INDEX(Sales!$G$7:$G$1506,$O466),"")</f>
        <v>Smart Heart Adult Cat Food Chicken &amp; Tuna [15kg]</v>
      </c>
      <c r="H466" s="96">
        <f t="array" ref="H466">IFERROR(INDEX(Sales!$H$7:$H$1506,$O466),"")</f>
        <v>1</v>
      </c>
      <c r="I466" s="96">
        <f t="array" ref="I466">IFERROR(INDEX(Sales!$I$7:$I$1506,$O466),"")</f>
        <v>6400</v>
      </c>
      <c r="J466" s="96">
        <f t="array" ref="J466">IFERROR(INDEX(Sales!$J$7:$J$1506,$O466),"")</f>
        <v>6700</v>
      </c>
      <c r="K466" s="96">
        <f t="array" ref="K466">IFERROR(INDEX(Sales!$K$7:$K$1506,$O466),"")</f>
        <v>300</v>
      </c>
      <c r="L466" s="96">
        <f t="array" ref="L466">IFERROR(INDEX(Sales!$L$7:$L$1506,$O466),"")</f>
        <v>6400</v>
      </c>
      <c r="M466" s="19" t="str">
        <f t="array" ref="M466">IFERROR(INDEX(Sales!$M$7:$M$1506,$O466),"")</f>
        <v>Paid</v>
      </c>
      <c r="O466" s="111" t="str">
        <f>IFERROR(MATCH(TEXT($B$3,"yyyymm")&amp;"-"&amp;(ROW()-4),Sales!$Y$7:$Y$1506,0),"")</f>
        <v/>
      </c>
    </row>
    <row r="467" ht="14.25" customHeight="1">
      <c r="A467" s="110">
        <f t="array" ref="A467">IFERROR(INDEX(Sales!$A$7:$A$1506,$O467),"")</f>
        <v>46219</v>
      </c>
      <c r="B467" s="19" t="str">
        <f t="array" ref="B467">IFERROR(INDEX(Sales!$B$7:$B$1506,$O467),"")</f>
        <v>Sale</v>
      </c>
      <c r="C467" s="19" t="str">
        <f t="array" ref="C467">IFERROR(INDEX(Sales!$C$7:$C$1506,$O467),"")</f>
        <v>Online</v>
      </c>
      <c r="D467" s="19" t="str">
        <f t="array" ref="D467">IFERROR(INDEX(Sales!$D$7:$D$1506,$O467),"")</f>
        <v>Samreen islam</v>
      </c>
      <c r="E467" s="19" t="str">
        <f t="array" ref="E467">IFERROR(IF(INDEX(Sales!$E$7:$E$1506,$O467)="","",INDEX(Sales!$E$7:$E$1506,$O467)),"")</f>
        <v>PAWF-260715-04EAA</v>
      </c>
      <c r="F467" s="19" t="str">
        <f t="array" ref="F467">IFERROR(INDEX(Sales!$F$7:$F$1506,$O467),"")</f>
        <v>FD-DRY-SMHRT-15KG-001</v>
      </c>
      <c r="G467" s="19" t="str">
        <f t="array" ref="G467">IFERROR(INDEX(Sales!$G$7:$G$1506,$O467),"")</f>
        <v>Smart Heart Adult Cat Food Chicken &amp; Tuna [15kg]</v>
      </c>
      <c r="H467" s="96">
        <f t="array" ref="H467">IFERROR(INDEX(Sales!$H$7:$H$1506,$O467),"")</f>
        <v>1</v>
      </c>
      <c r="I467" s="96">
        <f t="array" ref="I467">IFERROR(INDEX(Sales!$I$7:$I$1506,$O467),"")</f>
        <v>6400</v>
      </c>
      <c r="J467" s="96">
        <f t="array" ref="J467">IFERROR(INDEX(Sales!$J$7:$J$1506,$O467),"")</f>
        <v>6700</v>
      </c>
      <c r="K467" s="96">
        <f t="array" ref="K467">IFERROR(INDEX(Sales!$K$7:$K$1506,$O467),"")</f>
        <v>300</v>
      </c>
      <c r="L467" s="96">
        <f t="array" ref="L467">IFERROR(INDEX(Sales!$L$7:$L$1506,$O467),"")</f>
        <v>6400</v>
      </c>
      <c r="M467" s="19" t="str">
        <f t="array" ref="M467">IFERROR(INDEX(Sales!$M$7:$M$1506,$O467),"")</f>
        <v>Paid</v>
      </c>
      <c r="O467" s="111" t="str">
        <f>IFERROR(MATCH(TEXT($B$3,"yyyymm")&amp;"-"&amp;(ROW()-4),Sales!$Y$7:$Y$1506,0),"")</f>
        <v/>
      </c>
    </row>
    <row r="468" ht="14.25" customHeight="1">
      <c r="A468" s="110">
        <f t="array" ref="A468">IFERROR(INDEX(Sales!$A$7:$A$1506,$O468),"")</f>
        <v>46219</v>
      </c>
      <c r="B468" s="19" t="str">
        <f t="array" ref="B468">IFERROR(INDEX(Sales!$B$7:$B$1506,$O468),"")</f>
        <v>Sale</v>
      </c>
      <c r="C468" s="19" t="str">
        <f t="array" ref="C468">IFERROR(INDEX(Sales!$C$7:$C$1506,$O468),"")</f>
        <v>Online</v>
      </c>
      <c r="D468" s="19" t="str">
        <f t="array" ref="D468">IFERROR(INDEX(Sales!$D$7:$D$1506,$O468),"")</f>
        <v>Samreen islam</v>
      </c>
      <c r="E468" s="19" t="str">
        <f t="array" ref="E468">IFERROR(IF(INDEX(Sales!$E$7:$E$1506,$O468)="","",INDEX(Sales!$E$7:$E$1506,$O468)),"")</f>
        <v>PAWF-260715-04EAA</v>
      </c>
      <c r="F468" s="19" t="str">
        <f t="array" ref="F468">IFERROR(INDEX(Sales!$F$7:$F$1506,$O468),"")</f>
        <v>FD-DRY-SMHRT-15KG-001</v>
      </c>
      <c r="G468" s="19" t="str">
        <f t="array" ref="G468">IFERROR(INDEX(Sales!$G$7:$G$1506,$O468),"")</f>
        <v>Smart Heart Adult Cat Food Chicken &amp; Tuna [15kg]</v>
      </c>
      <c r="H468" s="96">
        <f t="array" ref="H468">IFERROR(INDEX(Sales!$H$7:$H$1506,$O468),"")</f>
        <v>1</v>
      </c>
      <c r="I468" s="96">
        <f t="array" ref="I468">IFERROR(INDEX(Sales!$I$7:$I$1506,$O468),"")</f>
        <v>6400</v>
      </c>
      <c r="J468" s="96">
        <f t="array" ref="J468">IFERROR(INDEX(Sales!$J$7:$J$1506,$O468),"")</f>
        <v>6700</v>
      </c>
      <c r="K468" s="96">
        <f t="array" ref="K468">IFERROR(INDEX(Sales!$K$7:$K$1506,$O468),"")</f>
        <v>300</v>
      </c>
      <c r="L468" s="96">
        <f t="array" ref="L468">IFERROR(INDEX(Sales!$L$7:$L$1506,$O468),"")</f>
        <v>6400</v>
      </c>
      <c r="M468" s="19" t="str">
        <f t="array" ref="M468">IFERROR(INDEX(Sales!$M$7:$M$1506,$O468),"")</f>
        <v>Paid</v>
      </c>
      <c r="O468" s="111" t="str">
        <f>IFERROR(MATCH(TEXT($B$3,"yyyymm")&amp;"-"&amp;(ROW()-4),Sales!$Y$7:$Y$1506,0),"")</f>
        <v/>
      </c>
    </row>
    <row r="469" ht="14.25" customHeight="1">
      <c r="A469" s="110">
        <f t="array" ref="A469">IFERROR(INDEX(Sales!$A$7:$A$1506,$O469),"")</f>
        <v>46219</v>
      </c>
      <c r="B469" s="19" t="str">
        <f t="array" ref="B469">IFERROR(INDEX(Sales!$B$7:$B$1506,$O469),"")</f>
        <v>Sale</v>
      </c>
      <c r="C469" s="19" t="str">
        <f t="array" ref="C469">IFERROR(INDEX(Sales!$C$7:$C$1506,$O469),"")</f>
        <v>Online</v>
      </c>
      <c r="D469" s="19" t="str">
        <f t="array" ref="D469">IFERROR(INDEX(Sales!$D$7:$D$1506,$O469),"")</f>
        <v>Samreen islam</v>
      </c>
      <c r="E469" s="19" t="str">
        <f t="array" ref="E469">IFERROR(IF(INDEX(Sales!$E$7:$E$1506,$O469)="","",INDEX(Sales!$E$7:$E$1506,$O469)),"")</f>
        <v>PAWF-260715-04EAA</v>
      </c>
      <c r="F469" s="19" t="str">
        <f t="array" ref="F469">IFERROR(INDEX(Sales!$F$7:$F$1506,$O469),"")</f>
        <v>FD-DRY-SMHRT-15KG-001</v>
      </c>
      <c r="G469" s="19" t="str">
        <f t="array" ref="G469">IFERROR(INDEX(Sales!$G$7:$G$1506,$O469),"")</f>
        <v>Smart Heart Adult Cat Food Chicken &amp; Tuna [15kg]</v>
      </c>
      <c r="H469" s="96">
        <f t="array" ref="H469">IFERROR(INDEX(Sales!$H$7:$H$1506,$O469),"")</f>
        <v>1</v>
      </c>
      <c r="I469" s="96">
        <f t="array" ref="I469">IFERROR(INDEX(Sales!$I$7:$I$1506,$O469),"")</f>
        <v>6400</v>
      </c>
      <c r="J469" s="96">
        <f t="array" ref="J469">IFERROR(INDEX(Sales!$J$7:$J$1506,$O469),"")</f>
        <v>6700</v>
      </c>
      <c r="K469" s="96">
        <f t="array" ref="K469">IFERROR(INDEX(Sales!$K$7:$K$1506,$O469),"")</f>
        <v>300</v>
      </c>
      <c r="L469" s="96">
        <f t="array" ref="L469">IFERROR(INDEX(Sales!$L$7:$L$1506,$O469),"")</f>
        <v>6400</v>
      </c>
      <c r="M469" s="19" t="str">
        <f t="array" ref="M469">IFERROR(INDEX(Sales!$M$7:$M$1506,$O469),"")</f>
        <v>Paid</v>
      </c>
      <c r="O469" s="111" t="str">
        <f>IFERROR(MATCH(TEXT($B$3,"yyyymm")&amp;"-"&amp;(ROW()-4),Sales!$Y$7:$Y$1506,0),"")</f>
        <v/>
      </c>
    </row>
    <row r="470" ht="14.25" customHeight="1">
      <c r="A470" s="110">
        <f t="array" ref="A470">IFERROR(INDEX(Sales!$A$7:$A$1506,$O470),"")</f>
        <v>46219</v>
      </c>
      <c r="B470" s="19" t="str">
        <f t="array" ref="B470">IFERROR(INDEX(Sales!$B$7:$B$1506,$O470),"")</f>
        <v>Sale</v>
      </c>
      <c r="C470" s="19" t="str">
        <f t="array" ref="C470">IFERROR(INDEX(Sales!$C$7:$C$1506,$O470),"")</f>
        <v>Online</v>
      </c>
      <c r="D470" s="19" t="str">
        <f t="array" ref="D470">IFERROR(INDEX(Sales!$D$7:$D$1506,$O470),"")</f>
        <v>Samreen islam</v>
      </c>
      <c r="E470" s="19" t="str">
        <f t="array" ref="E470">IFERROR(IF(INDEX(Sales!$E$7:$E$1506,$O470)="","",INDEX(Sales!$E$7:$E$1506,$O470)),"")</f>
        <v>PAWF-260715-04EAA</v>
      </c>
      <c r="F470" s="19" t="str">
        <f t="array" ref="F470">IFERROR(INDEX(Sales!$F$7:$F$1506,$O470),"")</f>
        <v>FD-DRY-SMHRT-15KG-001</v>
      </c>
      <c r="G470" s="19" t="str">
        <f t="array" ref="G470">IFERROR(INDEX(Sales!$G$7:$G$1506,$O470),"")</f>
        <v>Smart Heart Adult Cat Food Chicken &amp; Tuna [15kg]</v>
      </c>
      <c r="H470" s="96">
        <f t="array" ref="H470">IFERROR(INDEX(Sales!$H$7:$H$1506,$O470),"")</f>
        <v>1</v>
      </c>
      <c r="I470" s="96">
        <f t="array" ref="I470">IFERROR(INDEX(Sales!$I$7:$I$1506,$O470),"")</f>
        <v>6400</v>
      </c>
      <c r="J470" s="96">
        <f t="array" ref="J470">IFERROR(INDEX(Sales!$J$7:$J$1506,$O470),"")</f>
        <v>6700</v>
      </c>
      <c r="K470" s="96">
        <f t="array" ref="K470">IFERROR(INDEX(Sales!$K$7:$K$1506,$O470),"")</f>
        <v>300</v>
      </c>
      <c r="L470" s="96">
        <f t="array" ref="L470">IFERROR(INDEX(Sales!$L$7:$L$1506,$O470),"")</f>
        <v>6400</v>
      </c>
      <c r="M470" s="19" t="str">
        <f t="array" ref="M470">IFERROR(INDEX(Sales!$M$7:$M$1506,$O470),"")</f>
        <v>Paid</v>
      </c>
      <c r="O470" s="111" t="str">
        <f>IFERROR(MATCH(TEXT($B$3,"yyyymm")&amp;"-"&amp;(ROW()-4),Sales!$Y$7:$Y$1506,0),"")</f>
        <v/>
      </c>
    </row>
    <row r="471" ht="14.25" customHeight="1">
      <c r="A471" s="110">
        <f t="array" ref="A471">IFERROR(INDEX(Sales!$A$7:$A$1506,$O471),"")</f>
        <v>46219</v>
      </c>
      <c r="B471" s="19" t="str">
        <f t="array" ref="B471">IFERROR(INDEX(Sales!$B$7:$B$1506,$O471),"")</f>
        <v>Sale</v>
      </c>
      <c r="C471" s="19" t="str">
        <f t="array" ref="C471">IFERROR(INDEX(Sales!$C$7:$C$1506,$O471),"")</f>
        <v>Online</v>
      </c>
      <c r="D471" s="19" t="str">
        <f t="array" ref="D471">IFERROR(INDEX(Sales!$D$7:$D$1506,$O471),"")</f>
        <v>Samreen islam</v>
      </c>
      <c r="E471" s="19" t="str">
        <f t="array" ref="E471">IFERROR(IF(INDEX(Sales!$E$7:$E$1506,$O471)="","",INDEX(Sales!$E$7:$E$1506,$O471)),"")</f>
        <v>PAWF-260715-04EAA</v>
      </c>
      <c r="F471" s="19" t="str">
        <f t="array" ref="F471">IFERROR(INDEX(Sales!$F$7:$F$1506,$O471),"")</f>
        <v>FD-DRY-SMHRT-15KG-001</v>
      </c>
      <c r="G471" s="19" t="str">
        <f t="array" ref="G471">IFERROR(INDEX(Sales!$G$7:$G$1506,$O471),"")</f>
        <v>Smart Heart Adult Cat Food Chicken &amp; Tuna [15kg]</v>
      </c>
      <c r="H471" s="96">
        <f t="array" ref="H471">IFERROR(INDEX(Sales!$H$7:$H$1506,$O471),"")</f>
        <v>1</v>
      </c>
      <c r="I471" s="96">
        <f t="array" ref="I471">IFERROR(INDEX(Sales!$I$7:$I$1506,$O471),"")</f>
        <v>6400</v>
      </c>
      <c r="J471" s="96">
        <f t="array" ref="J471">IFERROR(INDEX(Sales!$J$7:$J$1506,$O471),"")</f>
        <v>6700</v>
      </c>
      <c r="K471" s="96">
        <f t="array" ref="K471">IFERROR(INDEX(Sales!$K$7:$K$1506,$O471),"")</f>
        <v>300</v>
      </c>
      <c r="L471" s="96">
        <f t="array" ref="L471">IFERROR(INDEX(Sales!$L$7:$L$1506,$O471),"")</f>
        <v>6400</v>
      </c>
      <c r="M471" s="19" t="str">
        <f t="array" ref="M471">IFERROR(INDEX(Sales!$M$7:$M$1506,$O471),"")</f>
        <v>Paid</v>
      </c>
      <c r="O471" s="111" t="str">
        <f>IFERROR(MATCH(TEXT($B$3,"yyyymm")&amp;"-"&amp;(ROW()-4),Sales!$Y$7:$Y$1506,0),"")</f>
        <v/>
      </c>
    </row>
    <row r="472" ht="14.25" customHeight="1">
      <c r="A472" s="110">
        <f t="array" ref="A472">IFERROR(INDEX(Sales!$A$7:$A$1506,$O472),"")</f>
        <v>46219</v>
      </c>
      <c r="B472" s="19" t="str">
        <f t="array" ref="B472">IFERROR(INDEX(Sales!$B$7:$B$1506,$O472),"")</f>
        <v>Sale</v>
      </c>
      <c r="C472" s="19" t="str">
        <f t="array" ref="C472">IFERROR(INDEX(Sales!$C$7:$C$1506,$O472),"")</f>
        <v>Online</v>
      </c>
      <c r="D472" s="19" t="str">
        <f t="array" ref="D472">IFERROR(INDEX(Sales!$D$7:$D$1506,$O472),"")</f>
        <v>Samreen islam</v>
      </c>
      <c r="E472" s="19" t="str">
        <f t="array" ref="E472">IFERROR(IF(INDEX(Sales!$E$7:$E$1506,$O472)="","",INDEX(Sales!$E$7:$E$1506,$O472)),"")</f>
        <v>PAWF-260715-04EAA</v>
      </c>
      <c r="F472" s="19" t="str">
        <f t="array" ref="F472">IFERROR(INDEX(Sales!$F$7:$F$1506,$O472),"")</f>
        <v>FD-DRY-SMHRT-15KG-001</v>
      </c>
      <c r="G472" s="19" t="str">
        <f t="array" ref="G472">IFERROR(INDEX(Sales!$G$7:$G$1506,$O472),"")</f>
        <v>Smart Heart Adult Cat Food Chicken &amp; Tuna [15kg]</v>
      </c>
      <c r="H472" s="96">
        <f t="array" ref="H472">IFERROR(INDEX(Sales!$H$7:$H$1506,$O472),"")</f>
        <v>1</v>
      </c>
      <c r="I472" s="96">
        <f t="array" ref="I472">IFERROR(INDEX(Sales!$I$7:$I$1506,$O472),"")</f>
        <v>6400</v>
      </c>
      <c r="J472" s="96">
        <f t="array" ref="J472">IFERROR(INDEX(Sales!$J$7:$J$1506,$O472),"")</f>
        <v>6700</v>
      </c>
      <c r="K472" s="96">
        <f t="array" ref="K472">IFERROR(INDEX(Sales!$K$7:$K$1506,$O472),"")</f>
        <v>300</v>
      </c>
      <c r="L472" s="96">
        <f t="array" ref="L472">IFERROR(INDEX(Sales!$L$7:$L$1506,$O472),"")</f>
        <v>6400</v>
      </c>
      <c r="M472" s="19" t="str">
        <f t="array" ref="M472">IFERROR(INDEX(Sales!$M$7:$M$1506,$O472),"")</f>
        <v>Paid</v>
      </c>
      <c r="O472" s="111" t="str">
        <f>IFERROR(MATCH(TEXT($B$3,"yyyymm")&amp;"-"&amp;(ROW()-4),Sales!$Y$7:$Y$1506,0),"")</f>
        <v/>
      </c>
    </row>
    <row r="473" ht="14.25" customHeight="1">
      <c r="A473" s="110">
        <f t="array" ref="A473">IFERROR(INDEX(Sales!$A$7:$A$1506,$O473),"")</f>
        <v>46219</v>
      </c>
      <c r="B473" s="19" t="str">
        <f t="array" ref="B473">IFERROR(INDEX(Sales!$B$7:$B$1506,$O473),"")</f>
        <v>Sale</v>
      </c>
      <c r="C473" s="19" t="str">
        <f t="array" ref="C473">IFERROR(INDEX(Sales!$C$7:$C$1506,$O473),"")</f>
        <v>Online</v>
      </c>
      <c r="D473" s="19" t="str">
        <f t="array" ref="D473">IFERROR(INDEX(Sales!$D$7:$D$1506,$O473),"")</f>
        <v>Samreen islam</v>
      </c>
      <c r="E473" s="19" t="str">
        <f t="array" ref="E473">IFERROR(IF(INDEX(Sales!$E$7:$E$1506,$O473)="","",INDEX(Sales!$E$7:$E$1506,$O473)),"")</f>
        <v>PAWF-260715-04EAA</v>
      </c>
      <c r="F473" s="19" t="str">
        <f t="array" ref="F473">IFERROR(INDEX(Sales!$F$7:$F$1506,$O473),"")</f>
        <v>FD-DRY-SMHRT-15KG-001</v>
      </c>
      <c r="G473" s="19" t="str">
        <f t="array" ref="G473">IFERROR(INDEX(Sales!$G$7:$G$1506,$O473),"")</f>
        <v>Smart Heart Adult Cat Food Chicken &amp; Tuna [15kg]</v>
      </c>
      <c r="H473" s="96">
        <f t="array" ref="H473">IFERROR(INDEX(Sales!$H$7:$H$1506,$O473),"")</f>
        <v>1</v>
      </c>
      <c r="I473" s="96">
        <f t="array" ref="I473">IFERROR(INDEX(Sales!$I$7:$I$1506,$O473),"")</f>
        <v>6400</v>
      </c>
      <c r="J473" s="96">
        <f t="array" ref="J473">IFERROR(INDEX(Sales!$J$7:$J$1506,$O473),"")</f>
        <v>6700</v>
      </c>
      <c r="K473" s="96">
        <f t="array" ref="K473">IFERROR(INDEX(Sales!$K$7:$K$1506,$O473),"")</f>
        <v>300</v>
      </c>
      <c r="L473" s="96">
        <f t="array" ref="L473">IFERROR(INDEX(Sales!$L$7:$L$1506,$O473),"")</f>
        <v>6400</v>
      </c>
      <c r="M473" s="19" t="str">
        <f t="array" ref="M473">IFERROR(INDEX(Sales!$M$7:$M$1506,$O473),"")</f>
        <v>Paid</v>
      </c>
      <c r="O473" s="111" t="str">
        <f>IFERROR(MATCH(TEXT($B$3,"yyyymm")&amp;"-"&amp;(ROW()-4),Sales!$Y$7:$Y$1506,0),"")</f>
        <v/>
      </c>
    </row>
    <row r="474" ht="14.25" customHeight="1">
      <c r="A474" s="110">
        <f t="array" ref="A474">IFERROR(INDEX(Sales!$A$7:$A$1506,$O474),"")</f>
        <v>46219</v>
      </c>
      <c r="B474" s="19" t="str">
        <f t="array" ref="B474">IFERROR(INDEX(Sales!$B$7:$B$1506,$O474),"")</f>
        <v>Sale</v>
      </c>
      <c r="C474" s="19" t="str">
        <f t="array" ref="C474">IFERROR(INDEX(Sales!$C$7:$C$1506,$O474),"")</f>
        <v>Online</v>
      </c>
      <c r="D474" s="19" t="str">
        <f t="array" ref="D474">IFERROR(INDEX(Sales!$D$7:$D$1506,$O474),"")</f>
        <v>Samreen islam</v>
      </c>
      <c r="E474" s="19" t="str">
        <f t="array" ref="E474">IFERROR(IF(INDEX(Sales!$E$7:$E$1506,$O474)="","",INDEX(Sales!$E$7:$E$1506,$O474)),"")</f>
        <v>PAWF-260715-04EAA</v>
      </c>
      <c r="F474" s="19" t="str">
        <f t="array" ref="F474">IFERROR(INDEX(Sales!$F$7:$F$1506,$O474),"")</f>
        <v>FD-DRY-SMHRT-15KG-001</v>
      </c>
      <c r="G474" s="19" t="str">
        <f t="array" ref="G474">IFERROR(INDEX(Sales!$G$7:$G$1506,$O474),"")</f>
        <v>Smart Heart Adult Cat Food Chicken &amp; Tuna [15kg]</v>
      </c>
      <c r="H474" s="96">
        <f t="array" ref="H474">IFERROR(INDEX(Sales!$H$7:$H$1506,$O474),"")</f>
        <v>1</v>
      </c>
      <c r="I474" s="96">
        <f t="array" ref="I474">IFERROR(INDEX(Sales!$I$7:$I$1506,$O474),"")</f>
        <v>6400</v>
      </c>
      <c r="J474" s="96">
        <f t="array" ref="J474">IFERROR(INDEX(Sales!$J$7:$J$1506,$O474),"")</f>
        <v>6700</v>
      </c>
      <c r="K474" s="96">
        <f t="array" ref="K474">IFERROR(INDEX(Sales!$K$7:$K$1506,$O474),"")</f>
        <v>300</v>
      </c>
      <c r="L474" s="96">
        <f t="array" ref="L474">IFERROR(INDEX(Sales!$L$7:$L$1506,$O474),"")</f>
        <v>6400</v>
      </c>
      <c r="M474" s="19" t="str">
        <f t="array" ref="M474">IFERROR(INDEX(Sales!$M$7:$M$1506,$O474),"")</f>
        <v>Paid</v>
      </c>
      <c r="O474" s="111" t="str">
        <f>IFERROR(MATCH(TEXT($B$3,"yyyymm")&amp;"-"&amp;(ROW()-4),Sales!$Y$7:$Y$1506,0),"")</f>
        <v/>
      </c>
    </row>
    <row r="475" ht="14.25" customHeight="1">
      <c r="A475" s="110">
        <f t="array" ref="A475">IFERROR(INDEX(Sales!$A$7:$A$1506,$O475),"")</f>
        <v>46219</v>
      </c>
      <c r="B475" s="19" t="str">
        <f t="array" ref="B475">IFERROR(INDEX(Sales!$B$7:$B$1506,$O475),"")</f>
        <v>Sale</v>
      </c>
      <c r="C475" s="19" t="str">
        <f t="array" ref="C475">IFERROR(INDEX(Sales!$C$7:$C$1506,$O475),"")</f>
        <v>Online</v>
      </c>
      <c r="D475" s="19" t="str">
        <f t="array" ref="D475">IFERROR(INDEX(Sales!$D$7:$D$1506,$O475),"")</f>
        <v>Samreen islam</v>
      </c>
      <c r="E475" s="19" t="str">
        <f t="array" ref="E475">IFERROR(IF(INDEX(Sales!$E$7:$E$1506,$O475)="","",INDEX(Sales!$E$7:$E$1506,$O475)),"")</f>
        <v>PAWF-260715-04EAA</v>
      </c>
      <c r="F475" s="19" t="str">
        <f t="array" ref="F475">IFERROR(INDEX(Sales!$F$7:$F$1506,$O475),"")</f>
        <v>FD-DRY-SMHRT-15KG-001</v>
      </c>
      <c r="G475" s="19" t="str">
        <f t="array" ref="G475">IFERROR(INDEX(Sales!$G$7:$G$1506,$O475),"")</f>
        <v>Smart Heart Adult Cat Food Chicken &amp; Tuna [15kg]</v>
      </c>
      <c r="H475" s="96">
        <f t="array" ref="H475">IFERROR(INDEX(Sales!$H$7:$H$1506,$O475),"")</f>
        <v>1</v>
      </c>
      <c r="I475" s="96">
        <f t="array" ref="I475">IFERROR(INDEX(Sales!$I$7:$I$1506,$O475),"")</f>
        <v>6400</v>
      </c>
      <c r="J475" s="96">
        <f t="array" ref="J475">IFERROR(INDEX(Sales!$J$7:$J$1506,$O475),"")</f>
        <v>6700</v>
      </c>
      <c r="K475" s="96">
        <f t="array" ref="K475">IFERROR(INDEX(Sales!$K$7:$K$1506,$O475),"")</f>
        <v>300</v>
      </c>
      <c r="L475" s="96">
        <f t="array" ref="L475">IFERROR(INDEX(Sales!$L$7:$L$1506,$O475),"")</f>
        <v>6400</v>
      </c>
      <c r="M475" s="19" t="str">
        <f t="array" ref="M475">IFERROR(INDEX(Sales!$M$7:$M$1506,$O475),"")</f>
        <v>Paid</v>
      </c>
      <c r="O475" s="111" t="str">
        <f>IFERROR(MATCH(TEXT($B$3,"yyyymm")&amp;"-"&amp;(ROW()-4),Sales!$Y$7:$Y$1506,0),"")</f>
        <v/>
      </c>
    </row>
    <row r="476" ht="14.25" customHeight="1">
      <c r="A476" s="110">
        <f t="array" ref="A476">IFERROR(INDEX(Sales!$A$7:$A$1506,$O476),"")</f>
        <v>46219</v>
      </c>
      <c r="B476" s="19" t="str">
        <f t="array" ref="B476">IFERROR(INDEX(Sales!$B$7:$B$1506,$O476),"")</f>
        <v>Sale</v>
      </c>
      <c r="C476" s="19" t="str">
        <f t="array" ref="C476">IFERROR(INDEX(Sales!$C$7:$C$1506,$O476),"")</f>
        <v>Online</v>
      </c>
      <c r="D476" s="19" t="str">
        <f t="array" ref="D476">IFERROR(INDEX(Sales!$D$7:$D$1506,$O476),"")</f>
        <v>Samreen islam</v>
      </c>
      <c r="E476" s="19" t="str">
        <f t="array" ref="E476">IFERROR(IF(INDEX(Sales!$E$7:$E$1506,$O476)="","",INDEX(Sales!$E$7:$E$1506,$O476)),"")</f>
        <v>PAWF-260715-04EAA</v>
      </c>
      <c r="F476" s="19" t="str">
        <f t="array" ref="F476">IFERROR(INDEX(Sales!$F$7:$F$1506,$O476),"")</f>
        <v>FD-DRY-SMHRT-15KG-001</v>
      </c>
      <c r="G476" s="19" t="str">
        <f t="array" ref="G476">IFERROR(INDEX(Sales!$G$7:$G$1506,$O476),"")</f>
        <v>Smart Heart Adult Cat Food Chicken &amp; Tuna [15kg]</v>
      </c>
      <c r="H476" s="96">
        <f t="array" ref="H476">IFERROR(INDEX(Sales!$H$7:$H$1506,$O476),"")</f>
        <v>1</v>
      </c>
      <c r="I476" s="96">
        <f t="array" ref="I476">IFERROR(INDEX(Sales!$I$7:$I$1506,$O476),"")</f>
        <v>6400</v>
      </c>
      <c r="J476" s="96">
        <f t="array" ref="J476">IFERROR(INDEX(Sales!$J$7:$J$1506,$O476),"")</f>
        <v>6700</v>
      </c>
      <c r="K476" s="96">
        <f t="array" ref="K476">IFERROR(INDEX(Sales!$K$7:$K$1506,$O476),"")</f>
        <v>300</v>
      </c>
      <c r="L476" s="96">
        <f t="array" ref="L476">IFERROR(INDEX(Sales!$L$7:$L$1506,$O476),"")</f>
        <v>6400</v>
      </c>
      <c r="M476" s="19" t="str">
        <f t="array" ref="M476">IFERROR(INDEX(Sales!$M$7:$M$1506,$O476),"")</f>
        <v>Paid</v>
      </c>
      <c r="O476" s="111" t="str">
        <f>IFERROR(MATCH(TEXT($B$3,"yyyymm")&amp;"-"&amp;(ROW()-4),Sales!$Y$7:$Y$1506,0),"")</f>
        <v/>
      </c>
    </row>
    <row r="477" ht="14.25" customHeight="1">
      <c r="A477" s="110">
        <f t="array" ref="A477">IFERROR(INDEX(Sales!$A$7:$A$1506,$O477),"")</f>
        <v>46219</v>
      </c>
      <c r="B477" s="19" t="str">
        <f t="array" ref="B477">IFERROR(INDEX(Sales!$B$7:$B$1506,$O477),"")</f>
        <v>Sale</v>
      </c>
      <c r="C477" s="19" t="str">
        <f t="array" ref="C477">IFERROR(INDEX(Sales!$C$7:$C$1506,$O477),"")</f>
        <v>Online</v>
      </c>
      <c r="D477" s="19" t="str">
        <f t="array" ref="D477">IFERROR(INDEX(Sales!$D$7:$D$1506,$O477),"")</f>
        <v>Samreen islam</v>
      </c>
      <c r="E477" s="19" t="str">
        <f t="array" ref="E477">IFERROR(IF(INDEX(Sales!$E$7:$E$1506,$O477)="","",INDEX(Sales!$E$7:$E$1506,$O477)),"")</f>
        <v>PAWF-260715-04EAA</v>
      </c>
      <c r="F477" s="19" t="str">
        <f t="array" ref="F477">IFERROR(INDEX(Sales!$F$7:$F$1506,$O477),"")</f>
        <v>FD-DRY-SMHRT-15KG-001</v>
      </c>
      <c r="G477" s="19" t="str">
        <f t="array" ref="G477">IFERROR(INDEX(Sales!$G$7:$G$1506,$O477),"")</f>
        <v>Smart Heart Adult Cat Food Chicken &amp; Tuna [15kg]</v>
      </c>
      <c r="H477" s="96">
        <f t="array" ref="H477">IFERROR(INDEX(Sales!$H$7:$H$1506,$O477),"")</f>
        <v>1</v>
      </c>
      <c r="I477" s="96">
        <f t="array" ref="I477">IFERROR(INDEX(Sales!$I$7:$I$1506,$O477),"")</f>
        <v>6400</v>
      </c>
      <c r="J477" s="96">
        <f t="array" ref="J477">IFERROR(INDEX(Sales!$J$7:$J$1506,$O477),"")</f>
        <v>6700</v>
      </c>
      <c r="K477" s="96">
        <f t="array" ref="K477">IFERROR(INDEX(Sales!$K$7:$K$1506,$O477),"")</f>
        <v>300</v>
      </c>
      <c r="L477" s="96">
        <f t="array" ref="L477">IFERROR(INDEX(Sales!$L$7:$L$1506,$O477),"")</f>
        <v>6400</v>
      </c>
      <c r="M477" s="19" t="str">
        <f t="array" ref="M477">IFERROR(INDEX(Sales!$M$7:$M$1506,$O477),"")</f>
        <v>Paid</v>
      </c>
      <c r="O477" s="111" t="str">
        <f>IFERROR(MATCH(TEXT($B$3,"yyyymm")&amp;"-"&amp;(ROW()-4),Sales!$Y$7:$Y$1506,0),"")</f>
        <v/>
      </c>
    </row>
    <row r="478" ht="14.25" customHeight="1">
      <c r="A478" s="110">
        <f t="array" ref="A478">IFERROR(INDEX(Sales!$A$7:$A$1506,$O478),"")</f>
        <v>46219</v>
      </c>
      <c r="B478" s="19" t="str">
        <f t="array" ref="B478">IFERROR(INDEX(Sales!$B$7:$B$1506,$O478),"")</f>
        <v>Sale</v>
      </c>
      <c r="C478" s="19" t="str">
        <f t="array" ref="C478">IFERROR(INDEX(Sales!$C$7:$C$1506,$O478),"")</f>
        <v>Online</v>
      </c>
      <c r="D478" s="19" t="str">
        <f t="array" ref="D478">IFERROR(INDEX(Sales!$D$7:$D$1506,$O478),"")</f>
        <v>Samreen islam</v>
      </c>
      <c r="E478" s="19" t="str">
        <f t="array" ref="E478">IFERROR(IF(INDEX(Sales!$E$7:$E$1506,$O478)="","",INDEX(Sales!$E$7:$E$1506,$O478)),"")</f>
        <v>PAWF-260715-04EAA</v>
      </c>
      <c r="F478" s="19" t="str">
        <f t="array" ref="F478">IFERROR(INDEX(Sales!$F$7:$F$1506,$O478),"")</f>
        <v>FD-DRY-SMHRT-15KG-001</v>
      </c>
      <c r="G478" s="19" t="str">
        <f t="array" ref="G478">IFERROR(INDEX(Sales!$G$7:$G$1506,$O478),"")</f>
        <v>Smart Heart Adult Cat Food Chicken &amp; Tuna [15kg]</v>
      </c>
      <c r="H478" s="96">
        <f t="array" ref="H478">IFERROR(INDEX(Sales!$H$7:$H$1506,$O478),"")</f>
        <v>1</v>
      </c>
      <c r="I478" s="96">
        <f t="array" ref="I478">IFERROR(INDEX(Sales!$I$7:$I$1506,$O478),"")</f>
        <v>6400</v>
      </c>
      <c r="J478" s="96">
        <f t="array" ref="J478">IFERROR(INDEX(Sales!$J$7:$J$1506,$O478),"")</f>
        <v>6700</v>
      </c>
      <c r="K478" s="96">
        <f t="array" ref="K478">IFERROR(INDEX(Sales!$K$7:$K$1506,$O478),"")</f>
        <v>300</v>
      </c>
      <c r="L478" s="96">
        <f t="array" ref="L478">IFERROR(INDEX(Sales!$L$7:$L$1506,$O478),"")</f>
        <v>6400</v>
      </c>
      <c r="M478" s="19" t="str">
        <f t="array" ref="M478">IFERROR(INDEX(Sales!$M$7:$M$1506,$O478),"")</f>
        <v>Paid</v>
      </c>
      <c r="O478" s="111" t="str">
        <f>IFERROR(MATCH(TEXT($B$3,"yyyymm")&amp;"-"&amp;(ROW()-4),Sales!$Y$7:$Y$1506,0),"")</f>
        <v/>
      </c>
    </row>
    <row r="479" ht="14.25" customHeight="1">
      <c r="A479" s="110">
        <f t="array" ref="A479">IFERROR(INDEX(Sales!$A$7:$A$1506,$O479),"")</f>
        <v>46219</v>
      </c>
      <c r="B479" s="19" t="str">
        <f t="array" ref="B479">IFERROR(INDEX(Sales!$B$7:$B$1506,$O479),"")</f>
        <v>Sale</v>
      </c>
      <c r="C479" s="19" t="str">
        <f t="array" ref="C479">IFERROR(INDEX(Sales!$C$7:$C$1506,$O479),"")</f>
        <v>Online</v>
      </c>
      <c r="D479" s="19" t="str">
        <f t="array" ref="D479">IFERROR(INDEX(Sales!$D$7:$D$1506,$O479),"")</f>
        <v>Samreen islam</v>
      </c>
      <c r="E479" s="19" t="str">
        <f t="array" ref="E479">IFERROR(IF(INDEX(Sales!$E$7:$E$1506,$O479)="","",INDEX(Sales!$E$7:$E$1506,$O479)),"")</f>
        <v>PAWF-260715-04EAA</v>
      </c>
      <c r="F479" s="19" t="str">
        <f t="array" ref="F479">IFERROR(INDEX(Sales!$F$7:$F$1506,$O479),"")</f>
        <v>FD-DRY-SMHRT-15KG-001</v>
      </c>
      <c r="G479" s="19" t="str">
        <f t="array" ref="G479">IFERROR(INDEX(Sales!$G$7:$G$1506,$O479),"")</f>
        <v>Smart Heart Adult Cat Food Chicken &amp; Tuna [15kg]</v>
      </c>
      <c r="H479" s="96">
        <f t="array" ref="H479">IFERROR(INDEX(Sales!$H$7:$H$1506,$O479),"")</f>
        <v>1</v>
      </c>
      <c r="I479" s="96">
        <f t="array" ref="I479">IFERROR(INDEX(Sales!$I$7:$I$1506,$O479),"")</f>
        <v>6400</v>
      </c>
      <c r="J479" s="96">
        <f t="array" ref="J479">IFERROR(INDEX(Sales!$J$7:$J$1506,$O479),"")</f>
        <v>6700</v>
      </c>
      <c r="K479" s="96">
        <f t="array" ref="K479">IFERROR(INDEX(Sales!$K$7:$K$1506,$O479),"")</f>
        <v>300</v>
      </c>
      <c r="L479" s="96">
        <f t="array" ref="L479">IFERROR(INDEX(Sales!$L$7:$L$1506,$O479),"")</f>
        <v>6400</v>
      </c>
      <c r="M479" s="19" t="str">
        <f t="array" ref="M479">IFERROR(INDEX(Sales!$M$7:$M$1506,$O479),"")</f>
        <v>Paid</v>
      </c>
      <c r="O479" s="111" t="str">
        <f>IFERROR(MATCH(TEXT($B$3,"yyyymm")&amp;"-"&amp;(ROW()-4),Sales!$Y$7:$Y$1506,0),"")</f>
        <v/>
      </c>
    </row>
    <row r="480" ht="14.25" customHeight="1">
      <c r="A480" s="110">
        <f t="array" ref="A480">IFERROR(INDEX(Sales!$A$7:$A$1506,$O480),"")</f>
        <v>46219</v>
      </c>
      <c r="B480" s="19" t="str">
        <f t="array" ref="B480">IFERROR(INDEX(Sales!$B$7:$B$1506,$O480),"")</f>
        <v>Sale</v>
      </c>
      <c r="C480" s="19" t="str">
        <f t="array" ref="C480">IFERROR(INDEX(Sales!$C$7:$C$1506,$O480),"")</f>
        <v>Online</v>
      </c>
      <c r="D480" s="19" t="str">
        <f t="array" ref="D480">IFERROR(INDEX(Sales!$D$7:$D$1506,$O480),"")</f>
        <v>Samreen islam</v>
      </c>
      <c r="E480" s="19" t="str">
        <f t="array" ref="E480">IFERROR(IF(INDEX(Sales!$E$7:$E$1506,$O480)="","",INDEX(Sales!$E$7:$E$1506,$O480)),"")</f>
        <v>PAWF-260715-04EAA</v>
      </c>
      <c r="F480" s="19" t="str">
        <f t="array" ref="F480">IFERROR(INDEX(Sales!$F$7:$F$1506,$O480),"")</f>
        <v>FD-DRY-SMHRT-15KG-001</v>
      </c>
      <c r="G480" s="19" t="str">
        <f t="array" ref="G480">IFERROR(INDEX(Sales!$G$7:$G$1506,$O480),"")</f>
        <v>Smart Heart Adult Cat Food Chicken &amp; Tuna [15kg]</v>
      </c>
      <c r="H480" s="96">
        <f t="array" ref="H480">IFERROR(INDEX(Sales!$H$7:$H$1506,$O480),"")</f>
        <v>1</v>
      </c>
      <c r="I480" s="96">
        <f t="array" ref="I480">IFERROR(INDEX(Sales!$I$7:$I$1506,$O480),"")</f>
        <v>6400</v>
      </c>
      <c r="J480" s="96">
        <f t="array" ref="J480">IFERROR(INDEX(Sales!$J$7:$J$1506,$O480),"")</f>
        <v>6700</v>
      </c>
      <c r="K480" s="96">
        <f t="array" ref="K480">IFERROR(INDEX(Sales!$K$7:$K$1506,$O480),"")</f>
        <v>300</v>
      </c>
      <c r="L480" s="96">
        <f t="array" ref="L480">IFERROR(INDEX(Sales!$L$7:$L$1506,$O480),"")</f>
        <v>6400</v>
      </c>
      <c r="M480" s="19" t="str">
        <f t="array" ref="M480">IFERROR(INDEX(Sales!$M$7:$M$1506,$O480),"")</f>
        <v>Paid</v>
      </c>
      <c r="O480" s="111" t="str">
        <f>IFERROR(MATCH(TEXT($B$3,"yyyymm")&amp;"-"&amp;(ROW()-4),Sales!$Y$7:$Y$1506,0),"")</f>
        <v/>
      </c>
    </row>
    <row r="481" ht="14.25" customHeight="1">
      <c r="A481" s="110">
        <f t="array" ref="A481">IFERROR(INDEX(Sales!$A$7:$A$1506,$O481),"")</f>
        <v>46219</v>
      </c>
      <c r="B481" s="19" t="str">
        <f t="array" ref="B481">IFERROR(INDEX(Sales!$B$7:$B$1506,$O481),"")</f>
        <v>Sale</v>
      </c>
      <c r="C481" s="19" t="str">
        <f t="array" ref="C481">IFERROR(INDEX(Sales!$C$7:$C$1506,$O481),"")</f>
        <v>Online</v>
      </c>
      <c r="D481" s="19" t="str">
        <f t="array" ref="D481">IFERROR(INDEX(Sales!$D$7:$D$1506,$O481),"")</f>
        <v>Samreen islam</v>
      </c>
      <c r="E481" s="19" t="str">
        <f t="array" ref="E481">IFERROR(IF(INDEX(Sales!$E$7:$E$1506,$O481)="","",INDEX(Sales!$E$7:$E$1506,$O481)),"")</f>
        <v>PAWF-260715-04EAA</v>
      </c>
      <c r="F481" s="19" t="str">
        <f t="array" ref="F481">IFERROR(INDEX(Sales!$F$7:$F$1506,$O481),"")</f>
        <v>FD-DRY-SMHRT-15KG-001</v>
      </c>
      <c r="G481" s="19" t="str">
        <f t="array" ref="G481">IFERROR(INDEX(Sales!$G$7:$G$1506,$O481),"")</f>
        <v>Smart Heart Adult Cat Food Chicken &amp; Tuna [15kg]</v>
      </c>
      <c r="H481" s="96">
        <f t="array" ref="H481">IFERROR(INDEX(Sales!$H$7:$H$1506,$O481),"")</f>
        <v>1</v>
      </c>
      <c r="I481" s="96">
        <f t="array" ref="I481">IFERROR(INDEX(Sales!$I$7:$I$1506,$O481),"")</f>
        <v>6400</v>
      </c>
      <c r="J481" s="96">
        <f t="array" ref="J481">IFERROR(INDEX(Sales!$J$7:$J$1506,$O481),"")</f>
        <v>6700</v>
      </c>
      <c r="K481" s="96">
        <f t="array" ref="K481">IFERROR(INDEX(Sales!$K$7:$K$1506,$O481),"")</f>
        <v>300</v>
      </c>
      <c r="L481" s="96">
        <f t="array" ref="L481">IFERROR(INDEX(Sales!$L$7:$L$1506,$O481),"")</f>
        <v>6400</v>
      </c>
      <c r="M481" s="19" t="str">
        <f t="array" ref="M481">IFERROR(INDEX(Sales!$M$7:$M$1506,$O481),"")</f>
        <v>Paid</v>
      </c>
      <c r="O481" s="111" t="str">
        <f>IFERROR(MATCH(TEXT($B$3,"yyyymm")&amp;"-"&amp;(ROW()-4),Sales!$Y$7:$Y$1506,0),"")</f>
        <v/>
      </c>
    </row>
    <row r="482" ht="14.25" customHeight="1">
      <c r="A482" s="110">
        <f t="array" ref="A482">IFERROR(INDEX(Sales!$A$7:$A$1506,$O482),"")</f>
        <v>46219</v>
      </c>
      <c r="B482" s="19" t="str">
        <f t="array" ref="B482">IFERROR(INDEX(Sales!$B$7:$B$1506,$O482),"")</f>
        <v>Sale</v>
      </c>
      <c r="C482" s="19" t="str">
        <f t="array" ref="C482">IFERROR(INDEX(Sales!$C$7:$C$1506,$O482),"")</f>
        <v>Online</v>
      </c>
      <c r="D482" s="19" t="str">
        <f t="array" ref="D482">IFERROR(INDEX(Sales!$D$7:$D$1506,$O482),"")</f>
        <v>Samreen islam</v>
      </c>
      <c r="E482" s="19" t="str">
        <f t="array" ref="E482">IFERROR(IF(INDEX(Sales!$E$7:$E$1506,$O482)="","",INDEX(Sales!$E$7:$E$1506,$O482)),"")</f>
        <v>PAWF-260715-04EAA</v>
      </c>
      <c r="F482" s="19" t="str">
        <f t="array" ref="F482">IFERROR(INDEX(Sales!$F$7:$F$1506,$O482),"")</f>
        <v>FD-DRY-SMHRT-15KG-001</v>
      </c>
      <c r="G482" s="19" t="str">
        <f t="array" ref="G482">IFERROR(INDEX(Sales!$G$7:$G$1506,$O482),"")</f>
        <v>Smart Heart Adult Cat Food Chicken &amp; Tuna [15kg]</v>
      </c>
      <c r="H482" s="96">
        <f t="array" ref="H482">IFERROR(INDEX(Sales!$H$7:$H$1506,$O482),"")</f>
        <v>1</v>
      </c>
      <c r="I482" s="96">
        <f t="array" ref="I482">IFERROR(INDEX(Sales!$I$7:$I$1506,$O482),"")</f>
        <v>6400</v>
      </c>
      <c r="J482" s="96">
        <f t="array" ref="J482">IFERROR(INDEX(Sales!$J$7:$J$1506,$O482),"")</f>
        <v>6700</v>
      </c>
      <c r="K482" s="96">
        <f t="array" ref="K482">IFERROR(INDEX(Sales!$K$7:$K$1506,$O482),"")</f>
        <v>300</v>
      </c>
      <c r="L482" s="96">
        <f t="array" ref="L482">IFERROR(INDEX(Sales!$L$7:$L$1506,$O482),"")</f>
        <v>6400</v>
      </c>
      <c r="M482" s="19" t="str">
        <f t="array" ref="M482">IFERROR(INDEX(Sales!$M$7:$M$1506,$O482),"")</f>
        <v>Paid</v>
      </c>
      <c r="O482" s="111" t="str">
        <f>IFERROR(MATCH(TEXT($B$3,"yyyymm")&amp;"-"&amp;(ROW()-4),Sales!$Y$7:$Y$1506,0),"")</f>
        <v/>
      </c>
    </row>
    <row r="483" ht="14.25" customHeight="1">
      <c r="A483" s="110">
        <f t="array" ref="A483">IFERROR(INDEX(Sales!$A$7:$A$1506,$O483),"")</f>
        <v>46219</v>
      </c>
      <c r="B483" s="19" t="str">
        <f t="array" ref="B483">IFERROR(INDEX(Sales!$B$7:$B$1506,$O483),"")</f>
        <v>Sale</v>
      </c>
      <c r="C483" s="19" t="str">
        <f t="array" ref="C483">IFERROR(INDEX(Sales!$C$7:$C$1506,$O483),"")</f>
        <v>Online</v>
      </c>
      <c r="D483" s="19" t="str">
        <f t="array" ref="D483">IFERROR(INDEX(Sales!$D$7:$D$1506,$O483),"")</f>
        <v>Samreen islam</v>
      </c>
      <c r="E483" s="19" t="str">
        <f t="array" ref="E483">IFERROR(IF(INDEX(Sales!$E$7:$E$1506,$O483)="","",INDEX(Sales!$E$7:$E$1506,$O483)),"")</f>
        <v>PAWF-260715-04EAA</v>
      </c>
      <c r="F483" s="19" t="str">
        <f t="array" ref="F483">IFERROR(INDEX(Sales!$F$7:$F$1506,$O483),"")</f>
        <v>FD-DRY-SMHRT-15KG-001</v>
      </c>
      <c r="G483" s="19" t="str">
        <f t="array" ref="G483">IFERROR(INDEX(Sales!$G$7:$G$1506,$O483),"")</f>
        <v>Smart Heart Adult Cat Food Chicken &amp; Tuna [15kg]</v>
      </c>
      <c r="H483" s="96">
        <f t="array" ref="H483">IFERROR(INDEX(Sales!$H$7:$H$1506,$O483),"")</f>
        <v>1</v>
      </c>
      <c r="I483" s="96">
        <f t="array" ref="I483">IFERROR(INDEX(Sales!$I$7:$I$1506,$O483),"")</f>
        <v>6400</v>
      </c>
      <c r="J483" s="96">
        <f t="array" ref="J483">IFERROR(INDEX(Sales!$J$7:$J$1506,$O483),"")</f>
        <v>6700</v>
      </c>
      <c r="K483" s="96">
        <f t="array" ref="K483">IFERROR(INDEX(Sales!$K$7:$K$1506,$O483),"")</f>
        <v>300</v>
      </c>
      <c r="L483" s="96">
        <f t="array" ref="L483">IFERROR(INDEX(Sales!$L$7:$L$1506,$O483),"")</f>
        <v>6400</v>
      </c>
      <c r="M483" s="19" t="str">
        <f t="array" ref="M483">IFERROR(INDEX(Sales!$M$7:$M$1506,$O483),"")</f>
        <v>Paid</v>
      </c>
      <c r="O483" s="111" t="str">
        <f>IFERROR(MATCH(TEXT($B$3,"yyyymm")&amp;"-"&amp;(ROW()-4),Sales!$Y$7:$Y$1506,0),"")</f>
        <v/>
      </c>
    </row>
    <row r="484" ht="14.25" customHeight="1">
      <c r="A484" s="110">
        <f t="array" ref="A484">IFERROR(INDEX(Sales!$A$7:$A$1506,$O484),"")</f>
        <v>46219</v>
      </c>
      <c r="B484" s="19" t="str">
        <f t="array" ref="B484">IFERROR(INDEX(Sales!$B$7:$B$1506,$O484),"")</f>
        <v>Sale</v>
      </c>
      <c r="C484" s="19" t="str">
        <f t="array" ref="C484">IFERROR(INDEX(Sales!$C$7:$C$1506,$O484),"")</f>
        <v>Online</v>
      </c>
      <c r="D484" s="19" t="str">
        <f t="array" ref="D484">IFERROR(INDEX(Sales!$D$7:$D$1506,$O484),"")</f>
        <v>Samreen islam</v>
      </c>
      <c r="E484" s="19" t="str">
        <f t="array" ref="E484">IFERROR(IF(INDEX(Sales!$E$7:$E$1506,$O484)="","",INDEX(Sales!$E$7:$E$1506,$O484)),"")</f>
        <v>PAWF-260715-04EAA</v>
      </c>
      <c r="F484" s="19" t="str">
        <f t="array" ref="F484">IFERROR(INDEX(Sales!$F$7:$F$1506,$O484),"")</f>
        <v>FD-DRY-SMHRT-15KG-001</v>
      </c>
      <c r="G484" s="19" t="str">
        <f t="array" ref="G484">IFERROR(INDEX(Sales!$G$7:$G$1506,$O484),"")</f>
        <v>Smart Heart Adult Cat Food Chicken &amp; Tuna [15kg]</v>
      </c>
      <c r="H484" s="96">
        <f t="array" ref="H484">IFERROR(INDEX(Sales!$H$7:$H$1506,$O484),"")</f>
        <v>1</v>
      </c>
      <c r="I484" s="96">
        <f t="array" ref="I484">IFERROR(INDEX(Sales!$I$7:$I$1506,$O484),"")</f>
        <v>6400</v>
      </c>
      <c r="J484" s="96">
        <f t="array" ref="J484">IFERROR(INDEX(Sales!$J$7:$J$1506,$O484),"")</f>
        <v>6700</v>
      </c>
      <c r="K484" s="96">
        <f t="array" ref="K484">IFERROR(INDEX(Sales!$K$7:$K$1506,$O484),"")</f>
        <v>300</v>
      </c>
      <c r="L484" s="96">
        <f t="array" ref="L484">IFERROR(INDEX(Sales!$L$7:$L$1506,$O484),"")</f>
        <v>6400</v>
      </c>
      <c r="M484" s="19" t="str">
        <f t="array" ref="M484">IFERROR(INDEX(Sales!$M$7:$M$1506,$O484),"")</f>
        <v>Paid</v>
      </c>
      <c r="O484" s="111" t="str">
        <f>IFERROR(MATCH(TEXT($B$3,"yyyymm")&amp;"-"&amp;(ROW()-4),Sales!$Y$7:$Y$1506,0),"")</f>
        <v/>
      </c>
    </row>
    <row r="485" ht="14.25" customHeight="1">
      <c r="A485" s="110">
        <f t="array" ref="A485">IFERROR(INDEX(Sales!$A$7:$A$1506,$O485),"")</f>
        <v>46219</v>
      </c>
      <c r="B485" s="19" t="str">
        <f t="array" ref="B485">IFERROR(INDEX(Sales!$B$7:$B$1506,$O485),"")</f>
        <v>Sale</v>
      </c>
      <c r="C485" s="19" t="str">
        <f t="array" ref="C485">IFERROR(INDEX(Sales!$C$7:$C$1506,$O485),"")</f>
        <v>Online</v>
      </c>
      <c r="D485" s="19" t="str">
        <f t="array" ref="D485">IFERROR(INDEX(Sales!$D$7:$D$1506,$O485),"")</f>
        <v>Samreen islam</v>
      </c>
      <c r="E485" s="19" t="str">
        <f t="array" ref="E485">IFERROR(IF(INDEX(Sales!$E$7:$E$1506,$O485)="","",INDEX(Sales!$E$7:$E$1506,$O485)),"")</f>
        <v>PAWF-260715-04EAA</v>
      </c>
      <c r="F485" s="19" t="str">
        <f t="array" ref="F485">IFERROR(INDEX(Sales!$F$7:$F$1506,$O485),"")</f>
        <v>FD-DRY-SMHRT-15KG-001</v>
      </c>
      <c r="G485" s="19" t="str">
        <f t="array" ref="G485">IFERROR(INDEX(Sales!$G$7:$G$1506,$O485),"")</f>
        <v>Smart Heart Adult Cat Food Chicken &amp; Tuna [15kg]</v>
      </c>
      <c r="H485" s="96">
        <f t="array" ref="H485">IFERROR(INDEX(Sales!$H$7:$H$1506,$O485),"")</f>
        <v>1</v>
      </c>
      <c r="I485" s="96">
        <f t="array" ref="I485">IFERROR(INDEX(Sales!$I$7:$I$1506,$O485),"")</f>
        <v>6400</v>
      </c>
      <c r="J485" s="96">
        <f t="array" ref="J485">IFERROR(INDEX(Sales!$J$7:$J$1506,$O485),"")</f>
        <v>6700</v>
      </c>
      <c r="K485" s="96">
        <f t="array" ref="K485">IFERROR(INDEX(Sales!$K$7:$K$1506,$O485),"")</f>
        <v>300</v>
      </c>
      <c r="L485" s="96">
        <f t="array" ref="L485">IFERROR(INDEX(Sales!$L$7:$L$1506,$O485),"")</f>
        <v>6400</v>
      </c>
      <c r="M485" s="19" t="str">
        <f t="array" ref="M485">IFERROR(INDEX(Sales!$M$7:$M$1506,$O485),"")</f>
        <v>Paid</v>
      </c>
      <c r="O485" s="111" t="str">
        <f>IFERROR(MATCH(TEXT($B$3,"yyyymm")&amp;"-"&amp;(ROW()-4),Sales!$Y$7:$Y$1506,0),"")</f>
        <v/>
      </c>
    </row>
    <row r="486" ht="14.25" customHeight="1">
      <c r="A486" s="110">
        <f t="array" ref="A486">IFERROR(INDEX(Sales!$A$7:$A$1506,$O486),"")</f>
        <v>46219</v>
      </c>
      <c r="B486" s="19" t="str">
        <f t="array" ref="B486">IFERROR(INDEX(Sales!$B$7:$B$1506,$O486),"")</f>
        <v>Sale</v>
      </c>
      <c r="C486" s="19" t="str">
        <f t="array" ref="C486">IFERROR(INDEX(Sales!$C$7:$C$1506,$O486),"")</f>
        <v>Online</v>
      </c>
      <c r="D486" s="19" t="str">
        <f t="array" ref="D486">IFERROR(INDEX(Sales!$D$7:$D$1506,$O486),"")</f>
        <v>Samreen islam</v>
      </c>
      <c r="E486" s="19" t="str">
        <f t="array" ref="E486">IFERROR(IF(INDEX(Sales!$E$7:$E$1506,$O486)="","",INDEX(Sales!$E$7:$E$1506,$O486)),"")</f>
        <v>PAWF-260715-04EAA</v>
      </c>
      <c r="F486" s="19" t="str">
        <f t="array" ref="F486">IFERROR(INDEX(Sales!$F$7:$F$1506,$O486),"")</f>
        <v>FD-DRY-SMHRT-15KG-001</v>
      </c>
      <c r="G486" s="19" t="str">
        <f t="array" ref="G486">IFERROR(INDEX(Sales!$G$7:$G$1506,$O486),"")</f>
        <v>Smart Heart Adult Cat Food Chicken &amp; Tuna [15kg]</v>
      </c>
      <c r="H486" s="96">
        <f t="array" ref="H486">IFERROR(INDEX(Sales!$H$7:$H$1506,$O486),"")</f>
        <v>1</v>
      </c>
      <c r="I486" s="96">
        <f t="array" ref="I486">IFERROR(INDEX(Sales!$I$7:$I$1506,$O486),"")</f>
        <v>6400</v>
      </c>
      <c r="J486" s="96">
        <f t="array" ref="J486">IFERROR(INDEX(Sales!$J$7:$J$1506,$O486),"")</f>
        <v>6700</v>
      </c>
      <c r="K486" s="96">
        <f t="array" ref="K486">IFERROR(INDEX(Sales!$K$7:$K$1506,$O486),"")</f>
        <v>300</v>
      </c>
      <c r="L486" s="96">
        <f t="array" ref="L486">IFERROR(INDEX(Sales!$L$7:$L$1506,$O486),"")</f>
        <v>6400</v>
      </c>
      <c r="M486" s="19" t="str">
        <f t="array" ref="M486">IFERROR(INDEX(Sales!$M$7:$M$1506,$O486),"")</f>
        <v>Paid</v>
      </c>
      <c r="O486" s="111" t="str">
        <f>IFERROR(MATCH(TEXT($B$3,"yyyymm")&amp;"-"&amp;(ROW()-4),Sales!$Y$7:$Y$1506,0),"")</f>
        <v/>
      </c>
    </row>
    <row r="487" ht="14.25" customHeight="1">
      <c r="A487" s="110">
        <f t="array" ref="A487">IFERROR(INDEX(Sales!$A$7:$A$1506,$O487),"")</f>
        <v>46219</v>
      </c>
      <c r="B487" s="19" t="str">
        <f t="array" ref="B487">IFERROR(INDEX(Sales!$B$7:$B$1506,$O487),"")</f>
        <v>Sale</v>
      </c>
      <c r="C487" s="19" t="str">
        <f t="array" ref="C487">IFERROR(INDEX(Sales!$C$7:$C$1506,$O487),"")</f>
        <v>Online</v>
      </c>
      <c r="D487" s="19" t="str">
        <f t="array" ref="D487">IFERROR(INDEX(Sales!$D$7:$D$1506,$O487),"")</f>
        <v>Samreen islam</v>
      </c>
      <c r="E487" s="19" t="str">
        <f t="array" ref="E487">IFERROR(IF(INDEX(Sales!$E$7:$E$1506,$O487)="","",INDEX(Sales!$E$7:$E$1506,$O487)),"")</f>
        <v>PAWF-260715-04EAA</v>
      </c>
      <c r="F487" s="19" t="str">
        <f t="array" ref="F487">IFERROR(INDEX(Sales!$F$7:$F$1506,$O487),"")</f>
        <v>FD-DRY-SMHRT-15KG-001</v>
      </c>
      <c r="G487" s="19" t="str">
        <f t="array" ref="G487">IFERROR(INDEX(Sales!$G$7:$G$1506,$O487),"")</f>
        <v>Smart Heart Adult Cat Food Chicken &amp; Tuna [15kg]</v>
      </c>
      <c r="H487" s="96">
        <f t="array" ref="H487">IFERROR(INDEX(Sales!$H$7:$H$1506,$O487),"")</f>
        <v>1</v>
      </c>
      <c r="I487" s="96">
        <f t="array" ref="I487">IFERROR(INDEX(Sales!$I$7:$I$1506,$O487),"")</f>
        <v>6400</v>
      </c>
      <c r="J487" s="96">
        <f t="array" ref="J487">IFERROR(INDEX(Sales!$J$7:$J$1506,$O487),"")</f>
        <v>6700</v>
      </c>
      <c r="K487" s="96">
        <f t="array" ref="K487">IFERROR(INDEX(Sales!$K$7:$K$1506,$O487),"")</f>
        <v>300</v>
      </c>
      <c r="L487" s="96">
        <f t="array" ref="L487">IFERROR(INDEX(Sales!$L$7:$L$1506,$O487),"")</f>
        <v>6400</v>
      </c>
      <c r="M487" s="19" t="str">
        <f t="array" ref="M487">IFERROR(INDEX(Sales!$M$7:$M$1506,$O487),"")</f>
        <v>Paid</v>
      </c>
      <c r="O487" s="111" t="str">
        <f>IFERROR(MATCH(TEXT($B$3,"yyyymm")&amp;"-"&amp;(ROW()-4),Sales!$Y$7:$Y$1506,0),"")</f>
        <v/>
      </c>
    </row>
    <row r="488" ht="14.25" customHeight="1">
      <c r="A488" s="110">
        <f t="array" ref="A488">IFERROR(INDEX(Sales!$A$7:$A$1506,$O488),"")</f>
        <v>46219</v>
      </c>
      <c r="B488" s="19" t="str">
        <f t="array" ref="B488">IFERROR(INDEX(Sales!$B$7:$B$1506,$O488),"")</f>
        <v>Sale</v>
      </c>
      <c r="C488" s="19" t="str">
        <f t="array" ref="C488">IFERROR(INDEX(Sales!$C$7:$C$1506,$O488),"")</f>
        <v>Online</v>
      </c>
      <c r="D488" s="19" t="str">
        <f t="array" ref="D488">IFERROR(INDEX(Sales!$D$7:$D$1506,$O488),"")</f>
        <v>Samreen islam</v>
      </c>
      <c r="E488" s="19" t="str">
        <f t="array" ref="E488">IFERROR(IF(INDEX(Sales!$E$7:$E$1506,$O488)="","",INDEX(Sales!$E$7:$E$1506,$O488)),"")</f>
        <v>PAWF-260715-04EAA</v>
      </c>
      <c r="F488" s="19" t="str">
        <f t="array" ref="F488">IFERROR(INDEX(Sales!$F$7:$F$1506,$O488),"")</f>
        <v>FD-DRY-SMHRT-15KG-001</v>
      </c>
      <c r="G488" s="19" t="str">
        <f t="array" ref="G488">IFERROR(INDEX(Sales!$G$7:$G$1506,$O488),"")</f>
        <v>Smart Heart Adult Cat Food Chicken &amp; Tuna [15kg]</v>
      </c>
      <c r="H488" s="96">
        <f t="array" ref="H488">IFERROR(INDEX(Sales!$H$7:$H$1506,$O488),"")</f>
        <v>1</v>
      </c>
      <c r="I488" s="96">
        <f t="array" ref="I488">IFERROR(INDEX(Sales!$I$7:$I$1506,$O488),"")</f>
        <v>6400</v>
      </c>
      <c r="J488" s="96">
        <f t="array" ref="J488">IFERROR(INDEX(Sales!$J$7:$J$1506,$O488),"")</f>
        <v>6700</v>
      </c>
      <c r="K488" s="96">
        <f t="array" ref="K488">IFERROR(INDEX(Sales!$K$7:$K$1506,$O488),"")</f>
        <v>300</v>
      </c>
      <c r="L488" s="96">
        <f t="array" ref="L488">IFERROR(INDEX(Sales!$L$7:$L$1506,$O488),"")</f>
        <v>6400</v>
      </c>
      <c r="M488" s="19" t="str">
        <f t="array" ref="M488">IFERROR(INDEX(Sales!$M$7:$M$1506,$O488),"")</f>
        <v>Paid</v>
      </c>
      <c r="O488" s="111" t="str">
        <f>IFERROR(MATCH(TEXT($B$3,"yyyymm")&amp;"-"&amp;(ROW()-4),Sales!$Y$7:$Y$1506,0),"")</f>
        <v/>
      </c>
    </row>
    <row r="489" ht="14.25" customHeight="1">
      <c r="A489" s="110">
        <f t="array" ref="A489">IFERROR(INDEX(Sales!$A$7:$A$1506,$O489),"")</f>
        <v>46219</v>
      </c>
      <c r="B489" s="19" t="str">
        <f t="array" ref="B489">IFERROR(INDEX(Sales!$B$7:$B$1506,$O489),"")</f>
        <v>Sale</v>
      </c>
      <c r="C489" s="19" t="str">
        <f t="array" ref="C489">IFERROR(INDEX(Sales!$C$7:$C$1506,$O489),"")</f>
        <v>Online</v>
      </c>
      <c r="D489" s="19" t="str">
        <f t="array" ref="D489">IFERROR(INDEX(Sales!$D$7:$D$1506,$O489),"")</f>
        <v>Samreen islam</v>
      </c>
      <c r="E489" s="19" t="str">
        <f t="array" ref="E489">IFERROR(IF(INDEX(Sales!$E$7:$E$1506,$O489)="","",INDEX(Sales!$E$7:$E$1506,$O489)),"")</f>
        <v>PAWF-260715-04EAA</v>
      </c>
      <c r="F489" s="19" t="str">
        <f t="array" ref="F489">IFERROR(INDEX(Sales!$F$7:$F$1506,$O489),"")</f>
        <v>FD-DRY-SMHRT-15KG-001</v>
      </c>
      <c r="G489" s="19" t="str">
        <f t="array" ref="G489">IFERROR(INDEX(Sales!$G$7:$G$1506,$O489),"")</f>
        <v>Smart Heart Adult Cat Food Chicken &amp; Tuna [15kg]</v>
      </c>
      <c r="H489" s="96">
        <f t="array" ref="H489">IFERROR(INDEX(Sales!$H$7:$H$1506,$O489),"")</f>
        <v>1</v>
      </c>
      <c r="I489" s="96">
        <f t="array" ref="I489">IFERROR(INDEX(Sales!$I$7:$I$1506,$O489),"")</f>
        <v>6400</v>
      </c>
      <c r="J489" s="96">
        <f t="array" ref="J489">IFERROR(INDEX(Sales!$J$7:$J$1506,$O489),"")</f>
        <v>6700</v>
      </c>
      <c r="K489" s="96">
        <f t="array" ref="K489">IFERROR(INDEX(Sales!$K$7:$K$1506,$O489),"")</f>
        <v>300</v>
      </c>
      <c r="L489" s="96">
        <f t="array" ref="L489">IFERROR(INDEX(Sales!$L$7:$L$1506,$O489),"")</f>
        <v>6400</v>
      </c>
      <c r="M489" s="19" t="str">
        <f t="array" ref="M489">IFERROR(INDEX(Sales!$M$7:$M$1506,$O489),"")</f>
        <v>Paid</v>
      </c>
      <c r="O489" s="111" t="str">
        <f>IFERROR(MATCH(TEXT($B$3,"yyyymm")&amp;"-"&amp;(ROW()-4),Sales!$Y$7:$Y$1506,0),"")</f>
        <v/>
      </c>
    </row>
    <row r="490" ht="14.25" customHeight="1">
      <c r="A490" s="110">
        <f t="array" ref="A490">IFERROR(INDEX(Sales!$A$7:$A$1506,$O490),"")</f>
        <v>46219</v>
      </c>
      <c r="B490" s="19" t="str">
        <f t="array" ref="B490">IFERROR(INDEX(Sales!$B$7:$B$1506,$O490),"")</f>
        <v>Sale</v>
      </c>
      <c r="C490" s="19" t="str">
        <f t="array" ref="C490">IFERROR(INDEX(Sales!$C$7:$C$1506,$O490),"")</f>
        <v>Online</v>
      </c>
      <c r="D490" s="19" t="str">
        <f t="array" ref="D490">IFERROR(INDEX(Sales!$D$7:$D$1506,$O490),"")</f>
        <v>Samreen islam</v>
      </c>
      <c r="E490" s="19" t="str">
        <f t="array" ref="E490">IFERROR(IF(INDEX(Sales!$E$7:$E$1506,$O490)="","",INDEX(Sales!$E$7:$E$1506,$O490)),"")</f>
        <v>PAWF-260715-04EAA</v>
      </c>
      <c r="F490" s="19" t="str">
        <f t="array" ref="F490">IFERROR(INDEX(Sales!$F$7:$F$1506,$O490),"")</f>
        <v>FD-DRY-SMHRT-15KG-001</v>
      </c>
      <c r="G490" s="19" t="str">
        <f t="array" ref="G490">IFERROR(INDEX(Sales!$G$7:$G$1506,$O490),"")</f>
        <v>Smart Heart Adult Cat Food Chicken &amp; Tuna [15kg]</v>
      </c>
      <c r="H490" s="96">
        <f t="array" ref="H490">IFERROR(INDEX(Sales!$H$7:$H$1506,$O490),"")</f>
        <v>1</v>
      </c>
      <c r="I490" s="96">
        <f t="array" ref="I490">IFERROR(INDEX(Sales!$I$7:$I$1506,$O490),"")</f>
        <v>6400</v>
      </c>
      <c r="J490" s="96">
        <f t="array" ref="J490">IFERROR(INDEX(Sales!$J$7:$J$1506,$O490),"")</f>
        <v>6700</v>
      </c>
      <c r="K490" s="96">
        <f t="array" ref="K490">IFERROR(INDEX(Sales!$K$7:$K$1506,$O490),"")</f>
        <v>300</v>
      </c>
      <c r="L490" s="96">
        <f t="array" ref="L490">IFERROR(INDEX(Sales!$L$7:$L$1506,$O490),"")</f>
        <v>6400</v>
      </c>
      <c r="M490" s="19" t="str">
        <f t="array" ref="M490">IFERROR(INDEX(Sales!$M$7:$M$1506,$O490),"")</f>
        <v>Paid</v>
      </c>
      <c r="O490" s="111" t="str">
        <f>IFERROR(MATCH(TEXT($B$3,"yyyymm")&amp;"-"&amp;(ROW()-4),Sales!$Y$7:$Y$1506,0),"")</f>
        <v/>
      </c>
    </row>
    <row r="491" ht="14.25" customHeight="1">
      <c r="A491" s="110">
        <f t="array" ref="A491">IFERROR(INDEX(Sales!$A$7:$A$1506,$O491),"")</f>
        <v>46219</v>
      </c>
      <c r="B491" s="19" t="str">
        <f t="array" ref="B491">IFERROR(INDEX(Sales!$B$7:$B$1506,$O491),"")</f>
        <v>Sale</v>
      </c>
      <c r="C491" s="19" t="str">
        <f t="array" ref="C491">IFERROR(INDEX(Sales!$C$7:$C$1506,$O491),"")</f>
        <v>Online</v>
      </c>
      <c r="D491" s="19" t="str">
        <f t="array" ref="D491">IFERROR(INDEX(Sales!$D$7:$D$1506,$O491),"")</f>
        <v>Samreen islam</v>
      </c>
      <c r="E491" s="19" t="str">
        <f t="array" ref="E491">IFERROR(IF(INDEX(Sales!$E$7:$E$1506,$O491)="","",INDEX(Sales!$E$7:$E$1506,$O491)),"")</f>
        <v>PAWF-260715-04EAA</v>
      </c>
      <c r="F491" s="19" t="str">
        <f t="array" ref="F491">IFERROR(INDEX(Sales!$F$7:$F$1506,$O491),"")</f>
        <v>FD-DRY-SMHRT-15KG-001</v>
      </c>
      <c r="G491" s="19" t="str">
        <f t="array" ref="G491">IFERROR(INDEX(Sales!$G$7:$G$1506,$O491),"")</f>
        <v>Smart Heart Adult Cat Food Chicken &amp; Tuna [15kg]</v>
      </c>
      <c r="H491" s="96">
        <f t="array" ref="H491">IFERROR(INDEX(Sales!$H$7:$H$1506,$O491),"")</f>
        <v>1</v>
      </c>
      <c r="I491" s="96">
        <f t="array" ref="I491">IFERROR(INDEX(Sales!$I$7:$I$1506,$O491),"")</f>
        <v>6400</v>
      </c>
      <c r="J491" s="96">
        <f t="array" ref="J491">IFERROR(INDEX(Sales!$J$7:$J$1506,$O491),"")</f>
        <v>6700</v>
      </c>
      <c r="K491" s="96">
        <f t="array" ref="K491">IFERROR(INDEX(Sales!$K$7:$K$1506,$O491),"")</f>
        <v>300</v>
      </c>
      <c r="L491" s="96">
        <f t="array" ref="L491">IFERROR(INDEX(Sales!$L$7:$L$1506,$O491),"")</f>
        <v>6400</v>
      </c>
      <c r="M491" s="19" t="str">
        <f t="array" ref="M491">IFERROR(INDEX(Sales!$M$7:$M$1506,$O491),"")</f>
        <v>Paid</v>
      </c>
      <c r="O491" s="111" t="str">
        <f>IFERROR(MATCH(TEXT($B$3,"yyyymm")&amp;"-"&amp;(ROW()-4),Sales!$Y$7:$Y$1506,0),"")</f>
        <v/>
      </c>
    </row>
    <row r="492" ht="14.25" customHeight="1">
      <c r="A492" s="110">
        <f t="array" ref="A492">IFERROR(INDEX(Sales!$A$7:$A$1506,$O492),"")</f>
        <v>46219</v>
      </c>
      <c r="B492" s="19" t="str">
        <f t="array" ref="B492">IFERROR(INDEX(Sales!$B$7:$B$1506,$O492),"")</f>
        <v>Sale</v>
      </c>
      <c r="C492" s="19" t="str">
        <f t="array" ref="C492">IFERROR(INDEX(Sales!$C$7:$C$1506,$O492),"")</f>
        <v>Online</v>
      </c>
      <c r="D492" s="19" t="str">
        <f t="array" ref="D492">IFERROR(INDEX(Sales!$D$7:$D$1506,$O492),"")</f>
        <v>Samreen islam</v>
      </c>
      <c r="E492" s="19" t="str">
        <f t="array" ref="E492">IFERROR(IF(INDEX(Sales!$E$7:$E$1506,$O492)="","",INDEX(Sales!$E$7:$E$1506,$O492)),"")</f>
        <v>PAWF-260715-04EAA</v>
      </c>
      <c r="F492" s="19" t="str">
        <f t="array" ref="F492">IFERROR(INDEX(Sales!$F$7:$F$1506,$O492),"")</f>
        <v>FD-DRY-SMHRT-15KG-001</v>
      </c>
      <c r="G492" s="19" t="str">
        <f t="array" ref="G492">IFERROR(INDEX(Sales!$G$7:$G$1506,$O492),"")</f>
        <v>Smart Heart Adult Cat Food Chicken &amp; Tuna [15kg]</v>
      </c>
      <c r="H492" s="96">
        <f t="array" ref="H492">IFERROR(INDEX(Sales!$H$7:$H$1506,$O492),"")</f>
        <v>1</v>
      </c>
      <c r="I492" s="96">
        <f t="array" ref="I492">IFERROR(INDEX(Sales!$I$7:$I$1506,$O492),"")</f>
        <v>6400</v>
      </c>
      <c r="J492" s="96">
        <f t="array" ref="J492">IFERROR(INDEX(Sales!$J$7:$J$1506,$O492),"")</f>
        <v>6700</v>
      </c>
      <c r="K492" s="96">
        <f t="array" ref="K492">IFERROR(INDEX(Sales!$K$7:$K$1506,$O492),"")</f>
        <v>300</v>
      </c>
      <c r="L492" s="96">
        <f t="array" ref="L492">IFERROR(INDEX(Sales!$L$7:$L$1506,$O492),"")</f>
        <v>6400</v>
      </c>
      <c r="M492" s="19" t="str">
        <f t="array" ref="M492">IFERROR(INDEX(Sales!$M$7:$M$1506,$O492),"")</f>
        <v>Paid</v>
      </c>
      <c r="O492" s="111" t="str">
        <f>IFERROR(MATCH(TEXT($B$3,"yyyymm")&amp;"-"&amp;(ROW()-4),Sales!$Y$7:$Y$1506,0),"")</f>
        <v/>
      </c>
    </row>
    <row r="493" ht="14.25" customHeight="1">
      <c r="A493" s="110">
        <f t="array" ref="A493">IFERROR(INDEX(Sales!$A$7:$A$1506,$O493),"")</f>
        <v>46219</v>
      </c>
      <c r="B493" s="19" t="str">
        <f t="array" ref="B493">IFERROR(INDEX(Sales!$B$7:$B$1506,$O493),"")</f>
        <v>Sale</v>
      </c>
      <c r="C493" s="19" t="str">
        <f t="array" ref="C493">IFERROR(INDEX(Sales!$C$7:$C$1506,$O493),"")</f>
        <v>Online</v>
      </c>
      <c r="D493" s="19" t="str">
        <f t="array" ref="D493">IFERROR(INDEX(Sales!$D$7:$D$1506,$O493),"")</f>
        <v>Samreen islam</v>
      </c>
      <c r="E493" s="19" t="str">
        <f t="array" ref="E493">IFERROR(IF(INDEX(Sales!$E$7:$E$1506,$O493)="","",INDEX(Sales!$E$7:$E$1506,$O493)),"")</f>
        <v>PAWF-260715-04EAA</v>
      </c>
      <c r="F493" s="19" t="str">
        <f t="array" ref="F493">IFERROR(INDEX(Sales!$F$7:$F$1506,$O493),"")</f>
        <v>FD-DRY-SMHRT-15KG-001</v>
      </c>
      <c r="G493" s="19" t="str">
        <f t="array" ref="G493">IFERROR(INDEX(Sales!$G$7:$G$1506,$O493),"")</f>
        <v>Smart Heart Adult Cat Food Chicken &amp; Tuna [15kg]</v>
      </c>
      <c r="H493" s="96">
        <f t="array" ref="H493">IFERROR(INDEX(Sales!$H$7:$H$1506,$O493),"")</f>
        <v>1</v>
      </c>
      <c r="I493" s="96">
        <f t="array" ref="I493">IFERROR(INDEX(Sales!$I$7:$I$1506,$O493),"")</f>
        <v>6400</v>
      </c>
      <c r="J493" s="96">
        <f t="array" ref="J493">IFERROR(INDEX(Sales!$J$7:$J$1506,$O493),"")</f>
        <v>6700</v>
      </c>
      <c r="K493" s="96">
        <f t="array" ref="K493">IFERROR(INDEX(Sales!$K$7:$K$1506,$O493),"")</f>
        <v>300</v>
      </c>
      <c r="L493" s="96">
        <f t="array" ref="L493">IFERROR(INDEX(Sales!$L$7:$L$1506,$O493),"")</f>
        <v>6400</v>
      </c>
      <c r="M493" s="19" t="str">
        <f t="array" ref="M493">IFERROR(INDEX(Sales!$M$7:$M$1506,$O493),"")</f>
        <v>Paid</v>
      </c>
      <c r="O493" s="111" t="str">
        <f>IFERROR(MATCH(TEXT($B$3,"yyyymm")&amp;"-"&amp;(ROW()-4),Sales!$Y$7:$Y$1506,0),"")</f>
        <v/>
      </c>
    </row>
    <row r="494" ht="14.25" customHeight="1">
      <c r="A494" s="110">
        <f t="array" ref="A494">IFERROR(INDEX(Sales!$A$7:$A$1506,$O494),"")</f>
        <v>46219</v>
      </c>
      <c r="B494" s="19" t="str">
        <f t="array" ref="B494">IFERROR(INDEX(Sales!$B$7:$B$1506,$O494),"")</f>
        <v>Sale</v>
      </c>
      <c r="C494" s="19" t="str">
        <f t="array" ref="C494">IFERROR(INDEX(Sales!$C$7:$C$1506,$O494),"")</f>
        <v>Online</v>
      </c>
      <c r="D494" s="19" t="str">
        <f t="array" ref="D494">IFERROR(INDEX(Sales!$D$7:$D$1506,$O494),"")</f>
        <v>Samreen islam</v>
      </c>
      <c r="E494" s="19" t="str">
        <f t="array" ref="E494">IFERROR(IF(INDEX(Sales!$E$7:$E$1506,$O494)="","",INDEX(Sales!$E$7:$E$1506,$O494)),"")</f>
        <v>PAWF-260715-04EAA</v>
      </c>
      <c r="F494" s="19" t="str">
        <f t="array" ref="F494">IFERROR(INDEX(Sales!$F$7:$F$1506,$O494),"")</f>
        <v>FD-DRY-SMHRT-15KG-001</v>
      </c>
      <c r="G494" s="19" t="str">
        <f t="array" ref="G494">IFERROR(INDEX(Sales!$G$7:$G$1506,$O494),"")</f>
        <v>Smart Heart Adult Cat Food Chicken &amp; Tuna [15kg]</v>
      </c>
      <c r="H494" s="96">
        <f t="array" ref="H494">IFERROR(INDEX(Sales!$H$7:$H$1506,$O494),"")</f>
        <v>1</v>
      </c>
      <c r="I494" s="96">
        <f t="array" ref="I494">IFERROR(INDEX(Sales!$I$7:$I$1506,$O494),"")</f>
        <v>6400</v>
      </c>
      <c r="J494" s="96">
        <f t="array" ref="J494">IFERROR(INDEX(Sales!$J$7:$J$1506,$O494),"")</f>
        <v>6700</v>
      </c>
      <c r="K494" s="96">
        <f t="array" ref="K494">IFERROR(INDEX(Sales!$K$7:$K$1506,$O494),"")</f>
        <v>300</v>
      </c>
      <c r="L494" s="96">
        <f t="array" ref="L494">IFERROR(INDEX(Sales!$L$7:$L$1506,$O494),"")</f>
        <v>6400</v>
      </c>
      <c r="M494" s="19" t="str">
        <f t="array" ref="M494">IFERROR(INDEX(Sales!$M$7:$M$1506,$O494),"")</f>
        <v>Paid</v>
      </c>
      <c r="O494" s="111" t="str">
        <f>IFERROR(MATCH(TEXT($B$3,"yyyymm")&amp;"-"&amp;(ROW()-4),Sales!$Y$7:$Y$1506,0),"")</f>
        <v/>
      </c>
    </row>
    <row r="495" ht="14.25" customHeight="1">
      <c r="A495" s="110">
        <f t="array" ref="A495">IFERROR(INDEX(Sales!$A$7:$A$1506,$O495),"")</f>
        <v>46219</v>
      </c>
      <c r="B495" s="19" t="str">
        <f t="array" ref="B495">IFERROR(INDEX(Sales!$B$7:$B$1506,$O495),"")</f>
        <v>Sale</v>
      </c>
      <c r="C495" s="19" t="str">
        <f t="array" ref="C495">IFERROR(INDEX(Sales!$C$7:$C$1506,$O495),"")</f>
        <v>Online</v>
      </c>
      <c r="D495" s="19" t="str">
        <f t="array" ref="D495">IFERROR(INDEX(Sales!$D$7:$D$1506,$O495),"")</f>
        <v>Samreen islam</v>
      </c>
      <c r="E495" s="19" t="str">
        <f t="array" ref="E495">IFERROR(IF(INDEX(Sales!$E$7:$E$1506,$O495)="","",INDEX(Sales!$E$7:$E$1506,$O495)),"")</f>
        <v>PAWF-260715-04EAA</v>
      </c>
      <c r="F495" s="19" t="str">
        <f t="array" ref="F495">IFERROR(INDEX(Sales!$F$7:$F$1506,$O495),"")</f>
        <v>FD-DRY-SMHRT-15KG-001</v>
      </c>
      <c r="G495" s="19" t="str">
        <f t="array" ref="G495">IFERROR(INDEX(Sales!$G$7:$G$1506,$O495),"")</f>
        <v>Smart Heart Adult Cat Food Chicken &amp; Tuna [15kg]</v>
      </c>
      <c r="H495" s="96">
        <f t="array" ref="H495">IFERROR(INDEX(Sales!$H$7:$H$1506,$O495),"")</f>
        <v>1</v>
      </c>
      <c r="I495" s="96">
        <f t="array" ref="I495">IFERROR(INDEX(Sales!$I$7:$I$1506,$O495),"")</f>
        <v>6400</v>
      </c>
      <c r="J495" s="96">
        <f t="array" ref="J495">IFERROR(INDEX(Sales!$J$7:$J$1506,$O495),"")</f>
        <v>6700</v>
      </c>
      <c r="K495" s="96">
        <f t="array" ref="K495">IFERROR(INDEX(Sales!$K$7:$K$1506,$O495),"")</f>
        <v>300</v>
      </c>
      <c r="L495" s="96">
        <f t="array" ref="L495">IFERROR(INDEX(Sales!$L$7:$L$1506,$O495),"")</f>
        <v>6400</v>
      </c>
      <c r="M495" s="19" t="str">
        <f t="array" ref="M495">IFERROR(INDEX(Sales!$M$7:$M$1506,$O495),"")</f>
        <v>Paid</v>
      </c>
      <c r="O495" s="111" t="str">
        <f>IFERROR(MATCH(TEXT($B$3,"yyyymm")&amp;"-"&amp;(ROW()-4),Sales!$Y$7:$Y$1506,0),"")</f>
        <v/>
      </c>
    </row>
    <row r="496" ht="14.25" customHeight="1">
      <c r="A496" s="110">
        <f t="array" ref="A496">IFERROR(INDEX(Sales!$A$7:$A$1506,$O496),"")</f>
        <v>46219</v>
      </c>
      <c r="B496" s="19" t="str">
        <f t="array" ref="B496">IFERROR(INDEX(Sales!$B$7:$B$1506,$O496),"")</f>
        <v>Sale</v>
      </c>
      <c r="C496" s="19" t="str">
        <f t="array" ref="C496">IFERROR(INDEX(Sales!$C$7:$C$1506,$O496),"")</f>
        <v>Online</v>
      </c>
      <c r="D496" s="19" t="str">
        <f t="array" ref="D496">IFERROR(INDEX(Sales!$D$7:$D$1506,$O496),"")</f>
        <v>Samreen islam</v>
      </c>
      <c r="E496" s="19" t="str">
        <f t="array" ref="E496">IFERROR(IF(INDEX(Sales!$E$7:$E$1506,$O496)="","",INDEX(Sales!$E$7:$E$1506,$O496)),"")</f>
        <v>PAWF-260715-04EAA</v>
      </c>
      <c r="F496" s="19" t="str">
        <f t="array" ref="F496">IFERROR(INDEX(Sales!$F$7:$F$1506,$O496),"")</f>
        <v>FD-DRY-SMHRT-15KG-001</v>
      </c>
      <c r="G496" s="19" t="str">
        <f t="array" ref="G496">IFERROR(INDEX(Sales!$G$7:$G$1506,$O496),"")</f>
        <v>Smart Heart Adult Cat Food Chicken &amp; Tuna [15kg]</v>
      </c>
      <c r="H496" s="96">
        <f t="array" ref="H496">IFERROR(INDEX(Sales!$H$7:$H$1506,$O496),"")</f>
        <v>1</v>
      </c>
      <c r="I496" s="96">
        <f t="array" ref="I496">IFERROR(INDEX(Sales!$I$7:$I$1506,$O496),"")</f>
        <v>6400</v>
      </c>
      <c r="J496" s="96">
        <f t="array" ref="J496">IFERROR(INDEX(Sales!$J$7:$J$1506,$O496),"")</f>
        <v>6700</v>
      </c>
      <c r="K496" s="96">
        <f t="array" ref="K496">IFERROR(INDEX(Sales!$K$7:$K$1506,$O496),"")</f>
        <v>300</v>
      </c>
      <c r="L496" s="96">
        <f t="array" ref="L496">IFERROR(INDEX(Sales!$L$7:$L$1506,$O496),"")</f>
        <v>6400</v>
      </c>
      <c r="M496" s="19" t="str">
        <f t="array" ref="M496">IFERROR(INDEX(Sales!$M$7:$M$1506,$O496),"")</f>
        <v>Paid</v>
      </c>
      <c r="O496" s="111" t="str">
        <f>IFERROR(MATCH(TEXT($B$3,"yyyymm")&amp;"-"&amp;(ROW()-4),Sales!$Y$7:$Y$1506,0),"")</f>
        <v/>
      </c>
    </row>
    <row r="497" ht="14.25" customHeight="1">
      <c r="A497" s="110">
        <f t="array" ref="A497">IFERROR(INDEX(Sales!$A$7:$A$1506,$O497),"")</f>
        <v>46219</v>
      </c>
      <c r="B497" s="19" t="str">
        <f t="array" ref="B497">IFERROR(INDEX(Sales!$B$7:$B$1506,$O497),"")</f>
        <v>Sale</v>
      </c>
      <c r="C497" s="19" t="str">
        <f t="array" ref="C497">IFERROR(INDEX(Sales!$C$7:$C$1506,$O497),"")</f>
        <v>Online</v>
      </c>
      <c r="D497" s="19" t="str">
        <f t="array" ref="D497">IFERROR(INDEX(Sales!$D$7:$D$1506,$O497),"")</f>
        <v>Samreen islam</v>
      </c>
      <c r="E497" s="19" t="str">
        <f t="array" ref="E497">IFERROR(IF(INDEX(Sales!$E$7:$E$1506,$O497)="","",INDEX(Sales!$E$7:$E$1506,$O497)),"")</f>
        <v>PAWF-260715-04EAA</v>
      </c>
      <c r="F497" s="19" t="str">
        <f t="array" ref="F497">IFERROR(INDEX(Sales!$F$7:$F$1506,$O497),"")</f>
        <v>FD-DRY-SMHRT-15KG-001</v>
      </c>
      <c r="G497" s="19" t="str">
        <f t="array" ref="G497">IFERROR(INDEX(Sales!$G$7:$G$1506,$O497),"")</f>
        <v>Smart Heart Adult Cat Food Chicken &amp; Tuna [15kg]</v>
      </c>
      <c r="H497" s="96">
        <f t="array" ref="H497">IFERROR(INDEX(Sales!$H$7:$H$1506,$O497),"")</f>
        <v>1</v>
      </c>
      <c r="I497" s="96">
        <f t="array" ref="I497">IFERROR(INDEX(Sales!$I$7:$I$1506,$O497),"")</f>
        <v>6400</v>
      </c>
      <c r="J497" s="96">
        <f t="array" ref="J497">IFERROR(INDEX(Sales!$J$7:$J$1506,$O497),"")</f>
        <v>6700</v>
      </c>
      <c r="K497" s="96">
        <f t="array" ref="K497">IFERROR(INDEX(Sales!$K$7:$K$1506,$O497),"")</f>
        <v>300</v>
      </c>
      <c r="L497" s="96">
        <f t="array" ref="L497">IFERROR(INDEX(Sales!$L$7:$L$1506,$O497),"")</f>
        <v>6400</v>
      </c>
      <c r="M497" s="19" t="str">
        <f t="array" ref="M497">IFERROR(INDEX(Sales!$M$7:$M$1506,$O497),"")</f>
        <v>Paid</v>
      </c>
      <c r="O497" s="111" t="str">
        <f>IFERROR(MATCH(TEXT($B$3,"yyyymm")&amp;"-"&amp;(ROW()-4),Sales!$Y$7:$Y$1506,0),"")</f>
        <v/>
      </c>
    </row>
    <row r="498" ht="14.25" customHeight="1">
      <c r="A498" s="110">
        <f t="array" ref="A498">IFERROR(INDEX(Sales!$A$7:$A$1506,$O498),"")</f>
        <v>46219</v>
      </c>
      <c r="B498" s="19" t="str">
        <f t="array" ref="B498">IFERROR(INDEX(Sales!$B$7:$B$1506,$O498),"")</f>
        <v>Sale</v>
      </c>
      <c r="C498" s="19" t="str">
        <f t="array" ref="C498">IFERROR(INDEX(Sales!$C$7:$C$1506,$O498),"")</f>
        <v>Online</v>
      </c>
      <c r="D498" s="19" t="str">
        <f t="array" ref="D498">IFERROR(INDEX(Sales!$D$7:$D$1506,$O498),"")</f>
        <v>Samreen islam</v>
      </c>
      <c r="E498" s="19" t="str">
        <f t="array" ref="E498">IFERROR(IF(INDEX(Sales!$E$7:$E$1506,$O498)="","",INDEX(Sales!$E$7:$E$1506,$O498)),"")</f>
        <v>PAWF-260715-04EAA</v>
      </c>
      <c r="F498" s="19" t="str">
        <f t="array" ref="F498">IFERROR(INDEX(Sales!$F$7:$F$1506,$O498),"")</f>
        <v>FD-DRY-SMHRT-15KG-001</v>
      </c>
      <c r="G498" s="19" t="str">
        <f t="array" ref="G498">IFERROR(INDEX(Sales!$G$7:$G$1506,$O498),"")</f>
        <v>Smart Heart Adult Cat Food Chicken &amp; Tuna [15kg]</v>
      </c>
      <c r="H498" s="96">
        <f t="array" ref="H498">IFERROR(INDEX(Sales!$H$7:$H$1506,$O498),"")</f>
        <v>1</v>
      </c>
      <c r="I498" s="96">
        <f t="array" ref="I498">IFERROR(INDEX(Sales!$I$7:$I$1506,$O498),"")</f>
        <v>6400</v>
      </c>
      <c r="J498" s="96">
        <f t="array" ref="J498">IFERROR(INDEX(Sales!$J$7:$J$1506,$O498),"")</f>
        <v>6700</v>
      </c>
      <c r="K498" s="96">
        <f t="array" ref="K498">IFERROR(INDEX(Sales!$K$7:$K$1506,$O498),"")</f>
        <v>300</v>
      </c>
      <c r="L498" s="96">
        <f t="array" ref="L498">IFERROR(INDEX(Sales!$L$7:$L$1506,$O498),"")</f>
        <v>6400</v>
      </c>
      <c r="M498" s="19" t="str">
        <f t="array" ref="M498">IFERROR(INDEX(Sales!$M$7:$M$1506,$O498),"")</f>
        <v>Paid</v>
      </c>
      <c r="O498" s="111" t="str">
        <f>IFERROR(MATCH(TEXT($B$3,"yyyymm")&amp;"-"&amp;(ROW()-4),Sales!$Y$7:$Y$1506,0),"")</f>
        <v/>
      </c>
    </row>
    <row r="499" ht="14.25" customHeight="1">
      <c r="A499" s="110">
        <f t="array" ref="A499">IFERROR(INDEX(Sales!$A$7:$A$1506,$O499),"")</f>
        <v>46219</v>
      </c>
      <c r="B499" s="19" t="str">
        <f t="array" ref="B499">IFERROR(INDEX(Sales!$B$7:$B$1506,$O499),"")</f>
        <v>Sale</v>
      </c>
      <c r="C499" s="19" t="str">
        <f t="array" ref="C499">IFERROR(INDEX(Sales!$C$7:$C$1506,$O499),"")</f>
        <v>Online</v>
      </c>
      <c r="D499" s="19" t="str">
        <f t="array" ref="D499">IFERROR(INDEX(Sales!$D$7:$D$1506,$O499),"")</f>
        <v>Samreen islam</v>
      </c>
      <c r="E499" s="19" t="str">
        <f t="array" ref="E499">IFERROR(IF(INDEX(Sales!$E$7:$E$1506,$O499)="","",INDEX(Sales!$E$7:$E$1506,$O499)),"")</f>
        <v>PAWF-260715-04EAA</v>
      </c>
      <c r="F499" s="19" t="str">
        <f t="array" ref="F499">IFERROR(INDEX(Sales!$F$7:$F$1506,$O499),"")</f>
        <v>FD-DRY-SMHRT-15KG-001</v>
      </c>
      <c r="G499" s="19" t="str">
        <f t="array" ref="G499">IFERROR(INDEX(Sales!$G$7:$G$1506,$O499),"")</f>
        <v>Smart Heart Adult Cat Food Chicken &amp; Tuna [15kg]</v>
      </c>
      <c r="H499" s="96">
        <f t="array" ref="H499">IFERROR(INDEX(Sales!$H$7:$H$1506,$O499),"")</f>
        <v>1</v>
      </c>
      <c r="I499" s="96">
        <f t="array" ref="I499">IFERROR(INDEX(Sales!$I$7:$I$1506,$O499),"")</f>
        <v>6400</v>
      </c>
      <c r="J499" s="96">
        <f t="array" ref="J499">IFERROR(INDEX(Sales!$J$7:$J$1506,$O499),"")</f>
        <v>6700</v>
      </c>
      <c r="K499" s="96">
        <f t="array" ref="K499">IFERROR(INDEX(Sales!$K$7:$K$1506,$O499),"")</f>
        <v>300</v>
      </c>
      <c r="L499" s="96">
        <f t="array" ref="L499">IFERROR(INDEX(Sales!$L$7:$L$1506,$O499),"")</f>
        <v>6400</v>
      </c>
      <c r="M499" s="19" t="str">
        <f t="array" ref="M499">IFERROR(INDEX(Sales!$M$7:$M$1506,$O499),"")</f>
        <v>Paid</v>
      </c>
      <c r="O499" s="111" t="str">
        <f>IFERROR(MATCH(TEXT($B$3,"yyyymm")&amp;"-"&amp;(ROW()-4),Sales!$Y$7:$Y$1506,0),"")</f>
        <v/>
      </c>
    </row>
    <row r="500" ht="14.25" customHeight="1">
      <c r="A500" s="110">
        <f t="array" ref="A500">IFERROR(INDEX(Sales!$A$7:$A$1506,$O500),"")</f>
        <v>46219</v>
      </c>
      <c r="B500" s="19" t="str">
        <f t="array" ref="B500">IFERROR(INDEX(Sales!$B$7:$B$1506,$O500),"")</f>
        <v>Sale</v>
      </c>
      <c r="C500" s="19" t="str">
        <f t="array" ref="C500">IFERROR(INDEX(Sales!$C$7:$C$1506,$O500),"")</f>
        <v>Online</v>
      </c>
      <c r="D500" s="19" t="str">
        <f t="array" ref="D500">IFERROR(INDEX(Sales!$D$7:$D$1506,$O500),"")</f>
        <v>Samreen islam</v>
      </c>
      <c r="E500" s="19" t="str">
        <f t="array" ref="E500">IFERROR(IF(INDEX(Sales!$E$7:$E$1506,$O500)="","",INDEX(Sales!$E$7:$E$1506,$O500)),"")</f>
        <v>PAWF-260715-04EAA</v>
      </c>
      <c r="F500" s="19" t="str">
        <f t="array" ref="F500">IFERROR(INDEX(Sales!$F$7:$F$1506,$O500),"")</f>
        <v>FD-DRY-SMHRT-15KG-001</v>
      </c>
      <c r="G500" s="19" t="str">
        <f t="array" ref="G500">IFERROR(INDEX(Sales!$G$7:$G$1506,$O500),"")</f>
        <v>Smart Heart Adult Cat Food Chicken &amp; Tuna [15kg]</v>
      </c>
      <c r="H500" s="96">
        <f t="array" ref="H500">IFERROR(INDEX(Sales!$H$7:$H$1506,$O500),"")</f>
        <v>1</v>
      </c>
      <c r="I500" s="96">
        <f t="array" ref="I500">IFERROR(INDEX(Sales!$I$7:$I$1506,$O500),"")</f>
        <v>6400</v>
      </c>
      <c r="J500" s="96">
        <f t="array" ref="J500">IFERROR(INDEX(Sales!$J$7:$J$1506,$O500),"")</f>
        <v>6700</v>
      </c>
      <c r="K500" s="96">
        <f t="array" ref="K500">IFERROR(INDEX(Sales!$K$7:$K$1506,$O500),"")</f>
        <v>300</v>
      </c>
      <c r="L500" s="96">
        <f t="array" ref="L500">IFERROR(INDEX(Sales!$L$7:$L$1506,$O500),"")</f>
        <v>6400</v>
      </c>
      <c r="M500" s="19" t="str">
        <f t="array" ref="M500">IFERROR(INDEX(Sales!$M$7:$M$1506,$O500),"")</f>
        <v>Paid</v>
      </c>
      <c r="O500" s="111" t="str">
        <f>IFERROR(MATCH(TEXT($B$3,"yyyymm")&amp;"-"&amp;(ROW()-4),Sales!$Y$7:$Y$1506,0),"")</f>
        <v/>
      </c>
    </row>
    <row r="501" ht="14.25" customHeight="1">
      <c r="A501" s="110">
        <f t="array" ref="A501">IFERROR(INDEX(Sales!$A$7:$A$1506,$O501),"")</f>
        <v>46219</v>
      </c>
      <c r="B501" s="19" t="str">
        <f t="array" ref="B501">IFERROR(INDEX(Sales!$B$7:$B$1506,$O501),"")</f>
        <v>Sale</v>
      </c>
      <c r="C501" s="19" t="str">
        <f t="array" ref="C501">IFERROR(INDEX(Sales!$C$7:$C$1506,$O501),"")</f>
        <v>Online</v>
      </c>
      <c r="D501" s="19" t="str">
        <f t="array" ref="D501">IFERROR(INDEX(Sales!$D$7:$D$1506,$O501),"")</f>
        <v>Samreen islam</v>
      </c>
      <c r="E501" s="19" t="str">
        <f t="array" ref="E501">IFERROR(IF(INDEX(Sales!$E$7:$E$1506,$O501)="","",INDEX(Sales!$E$7:$E$1506,$O501)),"")</f>
        <v>PAWF-260715-04EAA</v>
      </c>
      <c r="F501" s="19" t="str">
        <f t="array" ref="F501">IFERROR(INDEX(Sales!$F$7:$F$1506,$O501),"")</f>
        <v>FD-DRY-SMHRT-15KG-001</v>
      </c>
      <c r="G501" s="19" t="str">
        <f t="array" ref="G501">IFERROR(INDEX(Sales!$G$7:$G$1506,$O501),"")</f>
        <v>Smart Heart Adult Cat Food Chicken &amp; Tuna [15kg]</v>
      </c>
      <c r="H501" s="96">
        <f t="array" ref="H501">IFERROR(INDEX(Sales!$H$7:$H$1506,$O501),"")</f>
        <v>1</v>
      </c>
      <c r="I501" s="96">
        <f t="array" ref="I501">IFERROR(INDEX(Sales!$I$7:$I$1506,$O501),"")</f>
        <v>6400</v>
      </c>
      <c r="J501" s="96">
        <f t="array" ref="J501">IFERROR(INDEX(Sales!$J$7:$J$1506,$O501),"")</f>
        <v>6700</v>
      </c>
      <c r="K501" s="96">
        <f t="array" ref="K501">IFERROR(INDEX(Sales!$K$7:$K$1506,$O501),"")</f>
        <v>300</v>
      </c>
      <c r="L501" s="96">
        <f t="array" ref="L501">IFERROR(INDEX(Sales!$L$7:$L$1506,$O501),"")</f>
        <v>6400</v>
      </c>
      <c r="M501" s="19" t="str">
        <f t="array" ref="M501">IFERROR(INDEX(Sales!$M$7:$M$1506,$O501),"")</f>
        <v>Paid</v>
      </c>
      <c r="O501" s="111" t="str">
        <f>IFERROR(MATCH(TEXT($B$3,"yyyymm")&amp;"-"&amp;(ROW()-4),Sales!$Y$7:$Y$1506,0),"")</f>
        <v/>
      </c>
    </row>
    <row r="502" ht="14.25" customHeight="1">
      <c r="A502" s="110">
        <f t="array" ref="A502">IFERROR(INDEX(Sales!$A$7:$A$1506,$O502),"")</f>
        <v>46219</v>
      </c>
      <c r="B502" s="19" t="str">
        <f t="array" ref="B502">IFERROR(INDEX(Sales!$B$7:$B$1506,$O502),"")</f>
        <v>Sale</v>
      </c>
      <c r="C502" s="19" t="str">
        <f t="array" ref="C502">IFERROR(INDEX(Sales!$C$7:$C$1506,$O502),"")</f>
        <v>Online</v>
      </c>
      <c r="D502" s="19" t="str">
        <f t="array" ref="D502">IFERROR(INDEX(Sales!$D$7:$D$1506,$O502),"")</f>
        <v>Samreen islam</v>
      </c>
      <c r="E502" s="19" t="str">
        <f t="array" ref="E502">IFERROR(IF(INDEX(Sales!$E$7:$E$1506,$O502)="","",INDEX(Sales!$E$7:$E$1506,$O502)),"")</f>
        <v>PAWF-260715-04EAA</v>
      </c>
      <c r="F502" s="19" t="str">
        <f t="array" ref="F502">IFERROR(INDEX(Sales!$F$7:$F$1506,$O502),"")</f>
        <v>FD-DRY-SMHRT-15KG-001</v>
      </c>
      <c r="G502" s="19" t="str">
        <f t="array" ref="G502">IFERROR(INDEX(Sales!$G$7:$G$1506,$O502),"")</f>
        <v>Smart Heart Adult Cat Food Chicken &amp; Tuna [15kg]</v>
      </c>
      <c r="H502" s="96">
        <f t="array" ref="H502">IFERROR(INDEX(Sales!$H$7:$H$1506,$O502),"")</f>
        <v>1</v>
      </c>
      <c r="I502" s="96">
        <f t="array" ref="I502">IFERROR(INDEX(Sales!$I$7:$I$1506,$O502),"")</f>
        <v>6400</v>
      </c>
      <c r="J502" s="96">
        <f t="array" ref="J502">IFERROR(INDEX(Sales!$J$7:$J$1506,$O502),"")</f>
        <v>6700</v>
      </c>
      <c r="K502" s="96">
        <f t="array" ref="K502">IFERROR(INDEX(Sales!$K$7:$K$1506,$O502),"")</f>
        <v>300</v>
      </c>
      <c r="L502" s="96">
        <f t="array" ref="L502">IFERROR(INDEX(Sales!$L$7:$L$1506,$O502),"")</f>
        <v>6400</v>
      </c>
      <c r="M502" s="19" t="str">
        <f t="array" ref="M502">IFERROR(INDEX(Sales!$M$7:$M$1506,$O502),"")</f>
        <v>Paid</v>
      </c>
      <c r="O502" s="111" t="str">
        <f>IFERROR(MATCH(TEXT($B$3,"yyyymm")&amp;"-"&amp;(ROW()-4),Sales!$Y$7:$Y$1506,0),"")</f>
        <v/>
      </c>
    </row>
    <row r="503" ht="14.25" customHeight="1">
      <c r="A503" s="110">
        <f t="array" ref="A503">IFERROR(INDEX(Sales!$A$7:$A$1506,$O503),"")</f>
        <v>46219</v>
      </c>
      <c r="B503" s="19" t="str">
        <f t="array" ref="B503">IFERROR(INDEX(Sales!$B$7:$B$1506,$O503),"")</f>
        <v>Sale</v>
      </c>
      <c r="C503" s="19" t="str">
        <f t="array" ref="C503">IFERROR(INDEX(Sales!$C$7:$C$1506,$O503),"")</f>
        <v>Online</v>
      </c>
      <c r="D503" s="19" t="str">
        <f t="array" ref="D503">IFERROR(INDEX(Sales!$D$7:$D$1506,$O503),"")</f>
        <v>Samreen islam</v>
      </c>
      <c r="E503" s="19" t="str">
        <f t="array" ref="E503">IFERROR(IF(INDEX(Sales!$E$7:$E$1506,$O503)="","",INDEX(Sales!$E$7:$E$1506,$O503)),"")</f>
        <v>PAWF-260715-04EAA</v>
      </c>
      <c r="F503" s="19" t="str">
        <f t="array" ref="F503">IFERROR(INDEX(Sales!$F$7:$F$1506,$O503),"")</f>
        <v>FD-DRY-SMHRT-15KG-001</v>
      </c>
      <c r="G503" s="19" t="str">
        <f t="array" ref="G503">IFERROR(INDEX(Sales!$G$7:$G$1506,$O503),"")</f>
        <v>Smart Heart Adult Cat Food Chicken &amp; Tuna [15kg]</v>
      </c>
      <c r="H503" s="96">
        <f t="array" ref="H503">IFERROR(INDEX(Sales!$H$7:$H$1506,$O503),"")</f>
        <v>1</v>
      </c>
      <c r="I503" s="96">
        <f t="array" ref="I503">IFERROR(INDEX(Sales!$I$7:$I$1506,$O503),"")</f>
        <v>6400</v>
      </c>
      <c r="J503" s="96">
        <f t="array" ref="J503">IFERROR(INDEX(Sales!$J$7:$J$1506,$O503),"")</f>
        <v>6700</v>
      </c>
      <c r="K503" s="96">
        <f t="array" ref="K503">IFERROR(INDEX(Sales!$K$7:$K$1506,$O503),"")</f>
        <v>300</v>
      </c>
      <c r="L503" s="96">
        <f t="array" ref="L503">IFERROR(INDEX(Sales!$L$7:$L$1506,$O503),"")</f>
        <v>6400</v>
      </c>
      <c r="M503" s="19" t="str">
        <f t="array" ref="M503">IFERROR(INDEX(Sales!$M$7:$M$1506,$O503),"")</f>
        <v>Paid</v>
      </c>
      <c r="O503" s="111" t="str">
        <f>IFERROR(MATCH(TEXT($B$3,"yyyymm")&amp;"-"&amp;(ROW()-4),Sales!$Y$7:$Y$1506,0),"")</f>
        <v/>
      </c>
    </row>
    <row r="504" ht="14.25" customHeight="1">
      <c r="A504" s="110">
        <f t="array" ref="A504">IFERROR(INDEX(Sales!$A$7:$A$1506,$O504),"")</f>
        <v>46219</v>
      </c>
      <c r="B504" s="19" t="str">
        <f t="array" ref="B504">IFERROR(INDEX(Sales!$B$7:$B$1506,$O504),"")</f>
        <v>Sale</v>
      </c>
      <c r="C504" s="19" t="str">
        <f t="array" ref="C504">IFERROR(INDEX(Sales!$C$7:$C$1506,$O504),"")</f>
        <v>Online</v>
      </c>
      <c r="D504" s="19" t="str">
        <f t="array" ref="D504">IFERROR(INDEX(Sales!$D$7:$D$1506,$O504),"")</f>
        <v>Samreen islam</v>
      </c>
      <c r="E504" s="19" t="str">
        <f t="array" ref="E504">IFERROR(IF(INDEX(Sales!$E$7:$E$1506,$O504)="","",INDEX(Sales!$E$7:$E$1506,$O504)),"")</f>
        <v>PAWF-260715-04EAA</v>
      </c>
      <c r="F504" s="19" t="str">
        <f t="array" ref="F504">IFERROR(INDEX(Sales!$F$7:$F$1506,$O504),"")</f>
        <v>FD-DRY-SMHRT-15KG-001</v>
      </c>
      <c r="G504" s="19" t="str">
        <f t="array" ref="G504">IFERROR(INDEX(Sales!$G$7:$G$1506,$O504),"")</f>
        <v>Smart Heart Adult Cat Food Chicken &amp; Tuna [15kg]</v>
      </c>
      <c r="H504" s="96">
        <f t="array" ref="H504">IFERROR(INDEX(Sales!$H$7:$H$1506,$O504),"")</f>
        <v>1</v>
      </c>
      <c r="I504" s="96">
        <f t="array" ref="I504">IFERROR(INDEX(Sales!$I$7:$I$1506,$O504),"")</f>
        <v>6400</v>
      </c>
      <c r="J504" s="96">
        <f t="array" ref="J504">IFERROR(INDEX(Sales!$J$7:$J$1506,$O504),"")</f>
        <v>6700</v>
      </c>
      <c r="K504" s="96">
        <f t="array" ref="K504">IFERROR(INDEX(Sales!$K$7:$K$1506,$O504),"")</f>
        <v>300</v>
      </c>
      <c r="L504" s="96">
        <f t="array" ref="L504">IFERROR(INDEX(Sales!$L$7:$L$1506,$O504),"")</f>
        <v>6400</v>
      </c>
      <c r="M504" s="19" t="str">
        <f t="array" ref="M504">IFERROR(INDEX(Sales!$M$7:$M$1506,$O504),"")</f>
        <v>Paid</v>
      </c>
      <c r="O504" s="111" t="str">
        <f>IFERROR(MATCH(TEXT($B$3,"yyyymm")&amp;"-"&amp;(ROW()-4),Sales!$Y$7:$Y$1506,0),"")</f>
        <v/>
      </c>
    </row>
    <row r="505" ht="14.25" customHeight="1">
      <c r="H505" s="96"/>
      <c r="I505" s="96"/>
      <c r="J505" s="96"/>
      <c r="K505" s="96"/>
      <c r="L505" s="96"/>
    </row>
    <row r="506" ht="14.25" customHeight="1">
      <c r="A506" s="25" t="s">
        <v>718</v>
      </c>
      <c r="B506" s="25"/>
      <c r="C506" s="25"/>
      <c r="D506" s="25"/>
      <c r="E506" s="25"/>
      <c r="F506" s="25"/>
      <c r="G506" s="25"/>
      <c r="H506" s="105">
        <f>SUM(H5:H504)</f>
        <v>689</v>
      </c>
      <c r="I506" s="105"/>
      <c r="J506" s="105"/>
      <c r="K506" s="105"/>
      <c r="L506" s="105">
        <f>SUM(L5:L504)</f>
        <v>2402152</v>
      </c>
      <c r="M506" s="25"/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">
      <formula1>'Monthly Summary'!$A$5:$A$40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29"/>
    <col customWidth="1" min="2" max="8" width="14.43"/>
    <col customWidth="1" min="9" max="9" width="70.29"/>
  </cols>
  <sheetData>
    <row r="1" ht="14.25" customHeight="1">
      <c r="A1" s="11" t="s">
        <v>598</v>
      </c>
    </row>
    <row r="2" ht="14.25" customHeight="1">
      <c r="A2" s="93" t="s">
        <v>599</v>
      </c>
    </row>
    <row r="3" ht="14.25" customHeight="1"/>
    <row r="4" ht="14.25" customHeight="1">
      <c r="A4" s="94" t="s">
        <v>36</v>
      </c>
      <c r="B4" s="94" t="s">
        <v>600</v>
      </c>
      <c r="C4" s="94" t="s">
        <v>601</v>
      </c>
      <c r="D4" s="94" t="s">
        <v>602</v>
      </c>
      <c r="E4" s="94" t="s">
        <v>603</v>
      </c>
      <c r="F4" s="94" t="s">
        <v>604</v>
      </c>
      <c r="G4" s="94" t="s">
        <v>605</v>
      </c>
      <c r="H4" s="94" t="s">
        <v>606</v>
      </c>
      <c r="I4" s="94" t="s">
        <v>607</v>
      </c>
    </row>
    <row r="5" ht="14.25" customHeight="1">
      <c r="A5" s="110">
        <v>46235.0</v>
      </c>
      <c r="B5" s="119">
        <v>1600.0</v>
      </c>
      <c r="C5" s="119">
        <v>0.0</v>
      </c>
      <c r="D5" s="119">
        <v>0.0</v>
      </c>
      <c r="E5" s="119">
        <v>0.0</v>
      </c>
      <c r="F5" s="96">
        <f t="shared" ref="F5:F19" si="1">B5-C5-D5+E5</f>
        <v>1600</v>
      </c>
      <c r="G5" s="120">
        <f>SUMIFS(Sales!$L$7:$L$1506,Sales!$A$7:$A$1506,$A5)</f>
        <v>1600</v>
      </c>
      <c r="H5" s="96">
        <f t="shared" ref="H5:H20" si="2">ROUND(G5-F5,0)</f>
        <v>0</v>
      </c>
      <c r="I5" s="121" t="s">
        <v>608</v>
      </c>
    </row>
    <row r="6" ht="14.25" customHeight="1">
      <c r="A6" s="110">
        <v>46236.0</v>
      </c>
      <c r="B6" s="119">
        <v>2431.0</v>
      </c>
      <c r="C6" s="119">
        <v>46.0</v>
      </c>
      <c r="D6" s="119">
        <v>0.0</v>
      </c>
      <c r="E6" s="119">
        <v>0.0</v>
      </c>
      <c r="F6" s="96">
        <f t="shared" si="1"/>
        <v>2385</v>
      </c>
      <c r="G6" s="120">
        <f>SUMIFS(Sales!$L$7:$L$1506,Sales!$A$7:$A$1506,$A6)</f>
        <v>2385</v>
      </c>
      <c r="H6" s="96">
        <f t="shared" si="2"/>
        <v>0</v>
      </c>
      <c r="I6" s="121" t="s">
        <v>609</v>
      </c>
    </row>
    <row r="7" ht="14.25" customHeight="1">
      <c r="A7" s="110">
        <v>46237.0</v>
      </c>
      <c r="B7" s="119">
        <v>5985.0</v>
      </c>
      <c r="C7" s="119">
        <v>3500.0</v>
      </c>
      <c r="D7" s="119">
        <v>0.0</v>
      </c>
      <c r="E7" s="119">
        <v>0.0</v>
      </c>
      <c r="F7" s="96">
        <f t="shared" si="1"/>
        <v>2485</v>
      </c>
      <c r="G7" s="120">
        <f>SUMIFS(Sales!$L$7:$L$1506,Sales!$A$7:$A$1506,$A7)</f>
        <v>2485</v>
      </c>
      <c r="H7" s="96">
        <f t="shared" si="2"/>
        <v>0</v>
      </c>
      <c r="I7" s="121" t="s">
        <v>610</v>
      </c>
    </row>
    <row r="8" ht="14.25" customHeight="1">
      <c r="A8" s="110">
        <v>46238.0</v>
      </c>
      <c r="B8" s="119">
        <v>2055.0</v>
      </c>
      <c r="C8" s="119">
        <v>80.0</v>
      </c>
      <c r="D8" s="119">
        <v>0.0</v>
      </c>
      <c r="E8" s="119">
        <v>0.0</v>
      </c>
      <c r="F8" s="96">
        <f t="shared" si="1"/>
        <v>1975</v>
      </c>
      <c r="G8" s="120">
        <f>SUMIFS(Sales!$L$7:$L$1506,Sales!$A$7:$A$1506,$A8)</f>
        <v>1975.001</v>
      </c>
      <c r="H8" s="96">
        <f t="shared" si="2"/>
        <v>0</v>
      </c>
      <c r="I8" s="121" t="s">
        <v>611</v>
      </c>
    </row>
    <row r="9" ht="14.25" customHeight="1">
      <c r="A9" s="110">
        <v>46239.0</v>
      </c>
      <c r="B9" s="119">
        <v>3180.0</v>
      </c>
      <c r="C9" s="119">
        <v>0.0</v>
      </c>
      <c r="D9" s="119">
        <v>0.0</v>
      </c>
      <c r="E9" s="119">
        <v>0.0</v>
      </c>
      <c r="F9" s="96">
        <f t="shared" si="1"/>
        <v>3180</v>
      </c>
      <c r="G9" s="120">
        <f>SUMIFS(Sales!$L$7:$L$1506,Sales!$A$7:$A$1506,$A9)</f>
        <v>3180.002</v>
      </c>
      <c r="H9" s="96">
        <f t="shared" si="2"/>
        <v>0</v>
      </c>
      <c r="I9" s="121" t="s">
        <v>608</v>
      </c>
    </row>
    <row r="10" ht="14.25" customHeight="1">
      <c r="A10" s="110">
        <v>46240.0</v>
      </c>
      <c r="B10" s="119">
        <v>1217.0</v>
      </c>
      <c r="C10" s="119">
        <v>0.0</v>
      </c>
      <c r="D10" s="119">
        <v>0.0</v>
      </c>
      <c r="E10" s="119">
        <v>70.0</v>
      </c>
      <c r="F10" s="96">
        <f t="shared" si="1"/>
        <v>1287</v>
      </c>
      <c r="G10" s="120">
        <f>SUMIFS(Sales!$L$7:$L$1506,Sales!$A$7:$A$1506,$A10)</f>
        <v>1287</v>
      </c>
      <c r="H10" s="96">
        <f t="shared" si="2"/>
        <v>0</v>
      </c>
      <c r="I10" s="121" t="s">
        <v>612</v>
      </c>
    </row>
    <row r="11" ht="14.25" customHeight="1">
      <c r="A11" s="110">
        <v>46241.0</v>
      </c>
      <c r="B11" s="119">
        <v>940.0</v>
      </c>
      <c r="C11" s="119">
        <v>0.0</v>
      </c>
      <c r="D11" s="119">
        <v>0.0</v>
      </c>
      <c r="E11" s="119">
        <v>0.0</v>
      </c>
      <c r="F11" s="96">
        <f t="shared" si="1"/>
        <v>940</v>
      </c>
      <c r="G11" s="120">
        <f>SUMIFS(Sales!$L$7:$L$1506,Sales!$A$7:$A$1506,$A11)</f>
        <v>940</v>
      </c>
      <c r="H11" s="96">
        <f t="shared" si="2"/>
        <v>0</v>
      </c>
      <c r="I11" s="121" t="s">
        <v>608</v>
      </c>
    </row>
    <row r="12" ht="14.25" customHeight="1">
      <c r="A12" s="110">
        <v>46242.0</v>
      </c>
      <c r="B12" s="119">
        <v>5580.0</v>
      </c>
      <c r="C12" s="119">
        <v>0.0</v>
      </c>
      <c r="D12" s="119">
        <v>0.0</v>
      </c>
      <c r="E12" s="119">
        <v>0.0</v>
      </c>
      <c r="F12" s="96">
        <f t="shared" si="1"/>
        <v>5580</v>
      </c>
      <c r="G12" s="120">
        <f>SUMIFS(Sales!$L$7:$L$1506,Sales!$A$7:$A$1506,$A12)</f>
        <v>5580</v>
      </c>
      <c r="H12" s="96">
        <f t="shared" si="2"/>
        <v>0</v>
      </c>
      <c r="I12" s="121" t="s">
        <v>608</v>
      </c>
    </row>
    <row r="13" ht="14.25" customHeight="1">
      <c r="A13" s="110">
        <v>46243.0</v>
      </c>
      <c r="B13" s="119">
        <v>2115.0</v>
      </c>
      <c r="C13" s="119">
        <v>0.0</v>
      </c>
      <c r="D13" s="119">
        <v>0.0</v>
      </c>
      <c r="E13" s="119">
        <v>0.0</v>
      </c>
      <c r="F13" s="96">
        <f t="shared" si="1"/>
        <v>2115</v>
      </c>
      <c r="G13" s="120">
        <f>SUMIFS(Sales!$L$7:$L$1506,Sales!$A$7:$A$1506,$A13)</f>
        <v>2115.002</v>
      </c>
      <c r="H13" s="96">
        <f t="shared" si="2"/>
        <v>0</v>
      </c>
      <c r="I13" s="121" t="s">
        <v>608</v>
      </c>
    </row>
    <row r="14" ht="14.25" customHeight="1">
      <c r="A14" s="110">
        <v>46244.0</v>
      </c>
      <c r="B14" s="119">
        <v>1360.0</v>
      </c>
      <c r="C14" s="119">
        <v>0.0</v>
      </c>
      <c r="D14" s="119">
        <v>0.0</v>
      </c>
      <c r="E14" s="119">
        <v>0.0</v>
      </c>
      <c r="F14" s="96">
        <f t="shared" si="1"/>
        <v>1360</v>
      </c>
      <c r="G14" s="120">
        <f>SUMIFS(Sales!$L$7:$L$1506,Sales!$A$7:$A$1506,$A14)</f>
        <v>1360</v>
      </c>
      <c r="H14" s="96">
        <f t="shared" si="2"/>
        <v>0</v>
      </c>
      <c r="I14" s="121" t="s">
        <v>608</v>
      </c>
    </row>
    <row r="15" ht="14.25" customHeight="1">
      <c r="A15" s="110">
        <v>46245.0</v>
      </c>
      <c r="B15" s="119">
        <v>2090.0</v>
      </c>
      <c r="C15" s="119">
        <v>0.0</v>
      </c>
      <c r="D15" s="119">
        <v>0.0</v>
      </c>
      <c r="E15" s="119">
        <v>0.0</v>
      </c>
      <c r="F15" s="96">
        <f t="shared" si="1"/>
        <v>2090</v>
      </c>
      <c r="G15" s="120">
        <f>SUMIFS(Sales!$L$7:$L$1506,Sales!$A$7:$A$1506,$A15)</f>
        <v>2090</v>
      </c>
      <c r="H15" s="96">
        <f t="shared" si="2"/>
        <v>0</v>
      </c>
      <c r="I15" s="121" t="s">
        <v>613</v>
      </c>
    </row>
    <row r="16" ht="14.25" customHeight="1">
      <c r="A16" s="110">
        <v>46246.0</v>
      </c>
      <c r="B16" s="119">
        <v>2230.0</v>
      </c>
      <c r="C16" s="119">
        <v>0.0</v>
      </c>
      <c r="D16" s="119">
        <v>0.0</v>
      </c>
      <c r="E16" s="119">
        <v>0.0</v>
      </c>
      <c r="F16" s="96">
        <f t="shared" si="1"/>
        <v>2230</v>
      </c>
      <c r="G16" s="120">
        <f>SUMIFS(Sales!$L$7:$L$1506,Sales!$A$7:$A$1506,$A16)</f>
        <v>2230.0004</v>
      </c>
      <c r="H16" s="96">
        <f t="shared" si="2"/>
        <v>0</v>
      </c>
      <c r="I16" s="121" t="s">
        <v>614</v>
      </c>
    </row>
    <row r="17" ht="14.25" customHeight="1">
      <c r="A17" s="110">
        <v>46247.0</v>
      </c>
      <c r="B17" s="119">
        <v>2130.0</v>
      </c>
      <c r="C17" s="119">
        <v>0.0</v>
      </c>
      <c r="D17" s="119">
        <v>0.0</v>
      </c>
      <c r="E17" s="119">
        <v>0.0</v>
      </c>
      <c r="F17" s="96">
        <f t="shared" si="1"/>
        <v>2130</v>
      </c>
      <c r="G17" s="120">
        <f>SUMIFS(Sales!$L$7:$L$1506,Sales!$A$7:$A$1506,$A17)</f>
        <v>2129.999</v>
      </c>
      <c r="H17" s="96">
        <f t="shared" si="2"/>
        <v>0</v>
      </c>
      <c r="I17" s="121" t="s">
        <v>608</v>
      </c>
    </row>
    <row r="18" ht="14.25" customHeight="1">
      <c r="A18" s="110">
        <v>46248.0</v>
      </c>
      <c r="B18" s="119">
        <v>1370.0</v>
      </c>
      <c r="C18" s="119">
        <v>0.0</v>
      </c>
      <c r="D18" s="119">
        <v>0.0</v>
      </c>
      <c r="E18" s="119">
        <v>0.0</v>
      </c>
      <c r="F18" s="96">
        <f t="shared" si="1"/>
        <v>1370</v>
      </c>
      <c r="G18" s="120">
        <f>SUMIFS(Sales!$L$7:$L$1506,Sales!$A$7:$A$1506,$A18)</f>
        <v>1370</v>
      </c>
      <c r="H18" s="96">
        <f t="shared" si="2"/>
        <v>0</v>
      </c>
      <c r="I18" s="121" t="s">
        <v>608</v>
      </c>
    </row>
    <row r="19" ht="14.25" customHeight="1">
      <c r="A19" s="110">
        <v>46249.0</v>
      </c>
      <c r="B19" s="119">
        <v>5757.0</v>
      </c>
      <c r="C19" s="119">
        <v>0.0</v>
      </c>
      <c r="D19" s="119">
        <v>0.0</v>
      </c>
      <c r="E19" s="119">
        <v>0.0</v>
      </c>
      <c r="F19" s="96">
        <f t="shared" si="1"/>
        <v>5757</v>
      </c>
      <c r="G19" s="120">
        <f>SUMIFS(Sales!$L$7:$L$1506,Sales!$A$7:$A$1506,$A19)</f>
        <v>5757</v>
      </c>
      <c r="H19" s="96">
        <f t="shared" si="2"/>
        <v>0</v>
      </c>
      <c r="I19" s="121" t="s">
        <v>615</v>
      </c>
    </row>
    <row r="20" ht="14.25" customHeight="1">
      <c r="A20" s="25" t="s">
        <v>616</v>
      </c>
      <c r="B20" s="105">
        <f t="shared" ref="B20:G20" si="3">SUM(B5:B19)</f>
        <v>40040</v>
      </c>
      <c r="C20" s="105">
        <f t="shared" si="3"/>
        <v>3626</v>
      </c>
      <c r="D20" s="105">
        <f t="shared" si="3"/>
        <v>0</v>
      </c>
      <c r="E20" s="105">
        <f t="shared" si="3"/>
        <v>70</v>
      </c>
      <c r="F20" s="105">
        <f t="shared" si="3"/>
        <v>36484</v>
      </c>
      <c r="G20" s="105">
        <f t="shared" si="3"/>
        <v>36484.0044</v>
      </c>
      <c r="H20" s="105">
        <f t="shared" si="2"/>
        <v>0</v>
      </c>
      <c r="I20" s="25"/>
    </row>
    <row r="21" ht="14.25" customHeight="1"/>
    <row r="22" ht="14.25" customHeight="1">
      <c r="A22" s="15" t="s">
        <v>617</v>
      </c>
    </row>
    <row r="23" ht="14.25" customHeight="1">
      <c r="A23" s="122" t="s">
        <v>618</v>
      </c>
    </row>
    <row r="24" ht="14.25" customHeight="1">
      <c r="A24" s="122" t="s">
        <v>619</v>
      </c>
    </row>
    <row r="25" ht="14.25" customHeight="1">
      <c r="A25" s="122" t="s">
        <v>620</v>
      </c>
    </row>
    <row r="26" ht="14.25" customHeight="1">
      <c r="A26" s="122" t="s">
        <v>621</v>
      </c>
    </row>
    <row r="27" ht="14.25" customHeight="1">
      <c r="A27" s="122" t="s">
        <v>622</v>
      </c>
    </row>
    <row r="28" ht="14.25" customHeight="1">
      <c r="A28" s="122" t="s">
        <v>623</v>
      </c>
    </row>
    <row r="29" ht="14.25" customHeight="1">
      <c r="A29" s="122" t="s">
        <v>624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5.57"/>
    <col customWidth="1" min="2" max="2" width="22.29"/>
    <col customWidth="1" min="3" max="3" width="61.14"/>
    <col customWidth="1" min="4" max="6" width="8.71"/>
  </cols>
  <sheetData>
    <row r="1">
      <c r="A1" s="123" t="s">
        <v>625</v>
      </c>
    </row>
    <row r="2" ht="14.25" customHeight="1">
      <c r="A2" s="124" t="str">
        <f>IF(B7&gt;=0,"You are making "&amp;TEXT(B7,"Tk #,##0")&amp;" profit.","You are losing "&amp;TEXT(-B7,"Tk #,##0")&amp;" right now.")</f>
        <v>You are losing Tk 4,656 right now.</v>
      </c>
    </row>
    <row r="3" ht="21.75" customHeight="1"/>
    <row r="4" ht="21.75" customHeight="1">
      <c r="A4" s="63" t="s">
        <v>626</v>
      </c>
      <c r="B4" s="125"/>
      <c r="C4" s="125"/>
    </row>
    <row r="5" ht="21.75" customHeight="1">
      <c r="A5" s="15" t="s">
        <v>627</v>
      </c>
      <c r="B5" s="126">
        <f>B14</f>
        <v>204923.0106</v>
      </c>
      <c r="C5" s="26" t="s">
        <v>628</v>
      </c>
    </row>
    <row r="6" ht="21.75" customHeight="1">
      <c r="A6" s="15" t="s">
        <v>629</v>
      </c>
      <c r="B6" s="126">
        <f>B21</f>
        <v>209579.4721</v>
      </c>
      <c r="C6" s="26" t="s">
        <v>630</v>
      </c>
    </row>
    <row r="7" ht="21.75" customHeight="1">
      <c r="A7" s="127" t="s">
        <v>631</v>
      </c>
      <c r="B7" s="128">
        <f>B5-B6</f>
        <v>-4656.461497</v>
      </c>
      <c r="C7" s="35" t="str">
        <f>IF(B7&gt;=0,"Good — money in is bigger","Money out is bigger than money in")</f>
        <v>Money out is bigger than money in</v>
      </c>
    </row>
    <row r="8" ht="14.25" customHeight="1">
      <c r="A8" s="15" t="s">
        <v>632</v>
      </c>
      <c r="B8" s="129" t="str">
        <f>IF(B7&gt;0,"YES","NO")</f>
        <v>NO</v>
      </c>
      <c r="C8" s="26" t="str">
        <f>IF(B7&gt;0,"Yes — see the split below","Not yet — the business is at a loss")</f>
        <v>Not yet — the business is at a loss</v>
      </c>
    </row>
    <row r="9" ht="14.25" customHeight="1">
      <c r="A9" s="15" t="s">
        <v>633</v>
      </c>
      <c r="B9" s="126">
        <f>B26</f>
        <v>50525.004</v>
      </c>
      <c r="C9" s="26" t="s">
        <v>634</v>
      </c>
    </row>
    <row r="10" ht="14.25" customHeight="1"/>
    <row r="11" ht="14.25" customHeight="1">
      <c r="A11" s="63" t="s">
        <v>635</v>
      </c>
      <c r="B11" s="125"/>
      <c r="C11" s="125"/>
    </row>
    <row r="12" ht="14.25" customHeight="1">
      <c r="A12" s="15" t="s">
        <v>636</v>
      </c>
      <c r="B12" s="126">
        <f>SUM(Sales!$L$7:$L$1506)</f>
        <v>147710.0106</v>
      </c>
      <c r="C12" s="26" t="s">
        <v>637</v>
      </c>
    </row>
    <row r="13" ht="14.25" customHeight="1">
      <c r="A13" s="15" t="s">
        <v>638</v>
      </c>
      <c r="B13" s="126">
        <f>SUM('Shop Ledger'!$K$5:$K$1004)</f>
        <v>57213</v>
      </c>
      <c r="C13" s="26" t="s">
        <v>639</v>
      </c>
    </row>
    <row r="14" ht="14.25" customHeight="1">
      <c r="A14" s="130" t="s">
        <v>640</v>
      </c>
      <c r="B14" s="131">
        <f>SUM(B12:B13)</f>
        <v>204923.0106</v>
      </c>
      <c r="C14" s="132"/>
    </row>
    <row r="15" ht="14.25" customHeight="1"/>
    <row r="16" ht="14.25" customHeight="1">
      <c r="A16" s="63" t="s">
        <v>641</v>
      </c>
      <c r="B16" s="125"/>
      <c r="C16" s="125"/>
    </row>
    <row r="17" ht="13.5" customHeight="1">
      <c r="A17" s="15" t="s">
        <v>642</v>
      </c>
      <c r="B17" s="126">
        <f>SUM(Sales!$O$7:$O$1506)</f>
        <v>114725.8792</v>
      </c>
    </row>
    <row r="18" ht="14.25" customHeight="1">
      <c r="A18" s="15" t="s">
        <v>643</v>
      </c>
      <c r="B18" s="126">
        <f>SUM('Shop Ledger'!$M$5:$M$1004)</f>
        <v>52026.59296</v>
      </c>
    </row>
    <row r="19" ht="14.25" customHeight="1">
      <c r="A19" s="15" t="s">
        <v>644</v>
      </c>
      <c r="B19" s="126">
        <f>SUM(Sales!$S$7:$S$1506)-SUM(Sales!$R$7:$R$1506)</f>
        <v>105</v>
      </c>
      <c r="C19" s="26" t="str">
        <f>IF(B19&gt;0,"You paid "&amp;TEXT(B19,"Tk #,##0")&amp;" more than customers paid you","Customers cover your delivery — good")</f>
        <v>You paid Tk 105 more than customers paid you</v>
      </c>
    </row>
    <row r="20">
      <c r="A20" s="15" t="s">
        <v>645</v>
      </c>
      <c r="B20" s="126">
        <f>SUM(Expenses!$D$5:$D$1004)</f>
        <v>42722</v>
      </c>
      <c r="C20" s="26" t="s">
        <v>646</v>
      </c>
    </row>
    <row r="21" ht="15.75" customHeight="1">
      <c r="A21" s="130" t="s">
        <v>647</v>
      </c>
      <c r="B21" s="131">
        <f>SUM(B17:B20)</f>
        <v>209579.4721</v>
      </c>
      <c r="C21" s="132"/>
    </row>
    <row r="22" ht="14.25" customHeight="1"/>
    <row r="23" ht="14.25" customHeight="1">
      <c r="A23" s="63" t="s">
        <v>648</v>
      </c>
      <c r="B23" s="125"/>
      <c r="C23" s="125"/>
    </row>
    <row r="24" ht="14.25" customHeight="1">
      <c r="A24" s="15" t="s">
        <v>649</v>
      </c>
      <c r="B24" s="126">
        <f>SUMIFS(Sales!$L$7:$L$1506,Sales!$M$7:$M$1506,"Due")</f>
        <v>6812.004</v>
      </c>
      <c r="C24" s="26" t="s">
        <v>650</v>
      </c>
    </row>
    <row r="25" ht="14.25" customHeight="1">
      <c r="A25" s="15" t="s">
        <v>651</v>
      </c>
      <c r="B25" s="126">
        <f>'Shop Summary'!D35</f>
        <v>43713</v>
      </c>
      <c r="C25" s="26" t="s">
        <v>652</v>
      </c>
    </row>
    <row r="26" ht="14.25" customHeight="1">
      <c r="A26" s="130" t="s">
        <v>653</v>
      </c>
      <c r="B26" s="131">
        <f>B24+B25</f>
        <v>50525.004</v>
      </c>
      <c r="C26" s="132"/>
    </row>
    <row r="27" ht="14.25" customHeight="1"/>
    <row r="28" ht="14.25" customHeight="1">
      <c r="A28" s="63" t="s">
        <v>654</v>
      </c>
      <c r="B28" s="125"/>
      <c r="C28" s="125"/>
    </row>
    <row r="29" ht="14.25" customHeight="1">
      <c r="A29" s="15" t="s">
        <v>655</v>
      </c>
      <c r="B29" s="133">
        <v>0.5</v>
      </c>
      <c r="C29" s="26" t="s">
        <v>656</v>
      </c>
    </row>
    <row r="30" ht="14.25" customHeight="1">
      <c r="A30" s="15" t="s">
        <v>657</v>
      </c>
      <c r="B30" s="45">
        <f>1-B29</f>
        <v>0.5</v>
      </c>
    </row>
    <row r="31" ht="14.25" customHeight="1">
      <c r="A31" s="15" t="s">
        <v>658</v>
      </c>
      <c r="B31" s="134" t="str">
        <f t="shared" ref="B31:B32" si="1">IF($B$7&lt;=0,"",$B$7*B29)</f>
        <v/>
      </c>
      <c r="C31" s="135" t="str">
        <f>IF($B$7&lt;=0,"Nothing to withdraw — the business is at a loss","")</f>
        <v>Nothing to withdraw — the business is at a loss</v>
      </c>
    </row>
    <row r="32" ht="14.25" customHeight="1">
      <c r="A32" s="15" t="s">
        <v>659</v>
      </c>
      <c r="B32" s="134" t="str">
        <f t="shared" si="1"/>
        <v/>
      </c>
    </row>
    <row r="33" ht="14.25" customHeight="1">
      <c r="A33" s="15" t="s">
        <v>660</v>
      </c>
      <c r="B33" s="126" t="str">
        <f t="shared" ref="B33:B35" si="2">IF($B$32="","",$B$32/3)</f>
        <v/>
      </c>
      <c r="C33" s="26" t="s">
        <v>661</v>
      </c>
    </row>
    <row r="34" ht="14.25" customHeight="1">
      <c r="A34" s="15" t="s">
        <v>662</v>
      </c>
      <c r="B34" s="126" t="str">
        <f t="shared" si="2"/>
        <v/>
      </c>
    </row>
    <row r="35" ht="14.25" customHeight="1">
      <c r="A35" s="15" t="s">
        <v>663</v>
      </c>
      <c r="B35" s="126" t="str">
        <f t="shared" si="2"/>
        <v/>
      </c>
    </row>
    <row r="36" ht="14.25" customHeight="1"/>
    <row r="37" ht="14.25" customHeight="1">
      <c r="A37" s="136" t="s">
        <v>664</v>
      </c>
      <c r="B37" s="137"/>
      <c r="C37" s="138" t="s">
        <v>665</v>
      </c>
    </row>
    <row r="38" ht="14.25" customHeight="1">
      <c r="A38" s="15" t="s">
        <v>666</v>
      </c>
      <c r="B38" s="126">
        <f>SUMIF(Sales!$B$7:$B$1506,"Gift",Sales!$O$7:$O$1506)</f>
        <v>428.3267067</v>
      </c>
    </row>
    <row r="39" ht="14.25" customHeight="1">
      <c r="A39" s="15" t="s">
        <v>667</v>
      </c>
      <c r="B39" s="126">
        <f t="array" ref="B39">SUMPRODUCT((Sales!$B$7:$B$1506="Gift")*Sales!$H$7:$H$1506*Sales!$J$7:$J$1506)</f>
        <v>880</v>
      </c>
    </row>
    <row r="40" ht="14.25" customHeight="1">
      <c r="A40" s="15" t="s">
        <v>668</v>
      </c>
      <c r="B40" s="126">
        <f t="array" ref="B40">SUMPRODUCT((Sales!$B$7:$B$1506="Sale")*Sales!$H$7:$H$1506*Sales!$K$7:$K$1506)</f>
        <v>13504.98938</v>
      </c>
    </row>
    <row r="41" ht="14.25" customHeight="1">
      <c r="A41" s="15" t="s">
        <v>669</v>
      </c>
      <c r="B41" s="134">
        <f>B38+B40</f>
        <v>13933.31609</v>
      </c>
      <c r="C41" s="26" t="str">
        <f>IF(B14=0,"","That is "&amp;TEXT(B41/B14*100,"0.0")&amp;" out of every Tk 100 of sales")</f>
        <v>That is 6.8 out of every Tk 100 of sales</v>
      </c>
    </row>
    <row r="42" ht="14.25" customHeight="1"/>
    <row r="43" ht="14.25" customHeight="1">
      <c r="A43" s="136" t="s">
        <v>670</v>
      </c>
      <c r="B43" s="137"/>
      <c r="C43" s="137"/>
    </row>
    <row r="44" ht="14.25" customHeight="1">
      <c r="A44" s="15" t="s">
        <v>671</v>
      </c>
      <c r="B44" s="126">
        <f>SUM(Sales!$T$7:$T$1506)</f>
        <v>32731.09453</v>
      </c>
      <c r="C44" s="26" t="s">
        <v>672</v>
      </c>
    </row>
    <row r="45" ht="14.25" customHeight="1">
      <c r="A45" s="15" t="s">
        <v>673</v>
      </c>
      <c r="B45" s="126">
        <f>B13-B18</f>
        <v>5186.407039</v>
      </c>
      <c r="C45" s="26" t="s">
        <v>674</v>
      </c>
    </row>
    <row r="46" ht="14.25" customHeight="1">
      <c r="A46" s="15" t="s">
        <v>675</v>
      </c>
      <c r="B46" s="126">
        <f>-B20</f>
        <v>-42722</v>
      </c>
      <c r="C46" s="26" t="s">
        <v>676</v>
      </c>
    </row>
    <row r="47" ht="14.25" customHeight="1">
      <c r="A47" s="139" t="s">
        <v>677</v>
      </c>
      <c r="B47" s="140">
        <f>SUM(B44:B46)</f>
        <v>-4804.498427</v>
      </c>
      <c r="C47" s="35" t="str">
        <f>IF(ROUND(B47-B7,2)=0,"Matches the answer at the top","Does not match — check")</f>
        <v>Does not match — check</v>
      </c>
    </row>
    <row r="48" ht="14.25" customHeight="1"/>
    <row r="49" ht="14.25" customHeight="1">
      <c r="A49" s="15" t="s">
        <v>678</v>
      </c>
      <c r="B49" s="45">
        <f>IF(B13=0,0,(B13-B18)/B13)</f>
        <v>0.09065084927</v>
      </c>
    </row>
    <row r="50" ht="14.25" customHeight="1">
      <c r="A50" s="15" t="s">
        <v>679</v>
      </c>
      <c r="B50" s="126">
        <f>B25*B49</f>
        <v>3962.620574</v>
      </c>
    </row>
    <row r="51" ht="14.25" customHeight="1">
      <c r="A51" s="15" t="s">
        <v>680</v>
      </c>
      <c r="B51" s="45">
        <f>IF(B14=0,"",B7/B14)</f>
        <v>-0.02272298012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3.57"/>
    <col customWidth="1" min="2" max="2" width="12.14"/>
    <col customWidth="1" min="3" max="3" width="14.71"/>
    <col customWidth="1" min="4" max="4" width="12.29"/>
    <col customWidth="1" min="5" max="5" width="17.0"/>
    <col customWidth="1" min="6" max="6" width="15.57"/>
    <col customWidth="1" min="7" max="7" width="18.43"/>
    <col customWidth="1" min="8" max="8" width="31.71"/>
    <col customWidth="1" min="9" max="9" width="25.29"/>
    <col customWidth="1" min="10" max="10" width="27.29"/>
    <col customWidth="1" min="11" max="11" width="16.14"/>
    <col customWidth="1" min="12" max="12" width="16.71"/>
    <col customWidth="1" min="13" max="13" width="9.71"/>
    <col customWidth="1" min="14" max="14" width="90.0"/>
    <col customWidth="1" min="15" max="15" width="32.71"/>
    <col customWidth="1" min="16" max="16" width="26.29"/>
  </cols>
  <sheetData>
    <row r="1" ht="14.25" customHeight="1">
      <c r="A1" s="11" t="s">
        <v>681</v>
      </c>
    </row>
    <row r="2" ht="14.25" customHeight="1">
      <c r="A2" s="2" t="s">
        <v>682</v>
      </c>
      <c r="N2" s="2" t="s">
        <v>683</v>
      </c>
    </row>
    <row r="3" ht="14.25" customHeight="1">
      <c r="A3" s="14" t="s">
        <v>25</v>
      </c>
      <c r="B3" s="15"/>
      <c r="C3" s="15"/>
      <c r="D3" s="15"/>
      <c r="E3" s="143">
        <f>SUM(Orders!$E$5:$E$1004)</f>
        <v>82</v>
      </c>
      <c r="F3" s="18">
        <f>SUM(Orders!$F$5:$F$1004)</f>
        <v>39054</v>
      </c>
      <c r="G3" s="18">
        <f>SUM(Orders!$G$5:$G$1004)</f>
        <v>6169.078524</v>
      </c>
      <c r="H3" s="15"/>
      <c r="I3" s="15"/>
      <c r="J3" s="18">
        <f>SUM(Orders!$J$5:$J$1004)</f>
        <v>6064.078524</v>
      </c>
      <c r="K3" s="15"/>
      <c r="L3" s="15"/>
      <c r="M3" s="15"/>
      <c r="N3" s="15"/>
      <c r="O3" s="15"/>
      <c r="P3" s="15"/>
    </row>
    <row r="4" ht="14.25" customHeight="1">
      <c r="A4" s="144" t="s">
        <v>305</v>
      </c>
      <c r="B4" s="145" t="s">
        <v>36</v>
      </c>
      <c r="C4" s="145" t="s">
        <v>304</v>
      </c>
      <c r="D4" s="145" t="s">
        <v>303</v>
      </c>
      <c r="E4" s="145" t="s">
        <v>684</v>
      </c>
      <c r="F4" s="145" t="s">
        <v>685</v>
      </c>
      <c r="G4" s="145" t="s">
        <v>482</v>
      </c>
      <c r="H4" s="146" t="s">
        <v>686</v>
      </c>
      <c r="I4" s="146" t="s">
        <v>687</v>
      </c>
      <c r="J4" s="145" t="s">
        <v>688</v>
      </c>
      <c r="K4" s="145" t="s">
        <v>313</v>
      </c>
      <c r="L4" s="147" t="s">
        <v>488</v>
      </c>
      <c r="M4" s="148" t="s">
        <v>155</v>
      </c>
      <c r="N4" s="149" t="s">
        <v>689</v>
      </c>
      <c r="O4" s="149" t="s">
        <v>690</v>
      </c>
      <c r="P4" s="150" t="s">
        <v>691</v>
      </c>
    </row>
    <row r="5" ht="14.25" customHeight="1">
      <c r="A5" s="151" t="str">
        <f t="array" ref="A5">IFERROR(INDEX(Sales!$E$7:$E$1506,MATCH(ROW()-4,Sales!$W$7:$W$1506,0)),"")</f>
        <v>PAWF-260713-BAADD</v>
      </c>
      <c r="B5" s="152">
        <f t="array" ref="B5">IF($A5="","",IFERROR(INDEX(Sales!$A:$A,MATCH($A5,Sales!$E:$E,0)),""))</f>
        <v>46216</v>
      </c>
      <c r="C5" s="153" t="str">
        <f t="array" ref="C5">IF($A5="","",IFERROR(INDEX(Sales!$D:$D,MATCH($A5,Sales!$E:$E,0)),""))</f>
        <v>Johura Hoque</v>
      </c>
      <c r="D5" s="153" t="str">
        <f t="array" ref="D5">IF($A5="","",IFERROR(INDEX(Sales!$C:$C,MATCH($A5,Sales!$E:$E,0)),""))</f>
        <v>Online</v>
      </c>
      <c r="E5" s="154">
        <f>IF($A5="","",SUMIFS(Sales!$H:$H,Sales!$E:$E,$A5,Sales!$B:$B,"&lt;&gt;Return"))</f>
        <v>2</v>
      </c>
      <c r="F5" s="155">
        <f>IF($A5="","",SUMIF(Sales!$E:$E,$A5,Sales!$L:$L))</f>
        <v>564</v>
      </c>
      <c r="G5" s="155">
        <f>IF($A5="","",SUMIF(Sales!$E:$E,$A5,Sales!$P:$P))</f>
        <v>284</v>
      </c>
      <c r="H5" s="156">
        <f t="array" ref="H5">IF($A5="","",IFERROR(INDEX(Orders!$O$5:$O$1004,MATCH($A5,Orders!$N$5:$N$1004,0)),""))</f>
        <v>80</v>
      </c>
      <c r="I5" s="156">
        <f t="array" ref="I5">IF($A5="","",IFERROR(INDEX(Orders!$P$5:$P$1004,MATCH($A5,Orders!$N$5:$N$1004,0)),""))</f>
        <v>36</v>
      </c>
      <c r="J5" s="157">
        <f t="shared" ref="J5:J1004" si="1">IF($A5="","",G5+IF(H5="",0,H5)-IF(I5="",0,I5))</f>
        <v>328</v>
      </c>
      <c r="K5" s="153" t="str">
        <f t="array" ref="K5">IF($A5="","",IFERROR(INDEX(Sales!$M:$M,MATCH($A5,Sales!$E:$E,0)),""))</f>
        <v>Paid</v>
      </c>
      <c r="L5" s="158">
        <f t="shared" ref="L5:L1004" si="2">IF(OR($A5="",F5=0),"",J5/F5)</f>
        <v>0.5815602837</v>
      </c>
      <c r="N5" s="49" t="str">
        <f t="array" ref="N5">IFERROR(INDEX(Sales!$E$7:$E$1506,MATCH(ROW()-4,Sales!$V$7:$V$1506,0)),"")</f>
        <v>PAWF-260715-04EAA</v>
      </c>
      <c r="O5" s="67">
        <v>200.0</v>
      </c>
      <c r="P5" s="67">
        <v>200.0</v>
      </c>
    </row>
    <row r="6" ht="14.25" customHeight="1">
      <c r="A6" s="151" t="str">
        <f t="array" ref="A6">IFERROR(INDEX(Sales!$E$7:$E$1506,MATCH(ROW()-4,Sales!$W$7:$W$1506,0)),"")</f>
        <v>PAWF-260715-04EAA</v>
      </c>
      <c r="B6" s="152">
        <f t="array" ref="B6">IF($A6="","",IFERROR(INDEX(Sales!$A:$A,MATCH($A6,Sales!$E:$E,0)),""))</f>
        <v>46219</v>
      </c>
      <c r="C6" s="153" t="str">
        <f t="array" ref="C6">IF($A6="","",IFERROR(INDEX(Sales!$D:$D,MATCH($A6,Sales!$E:$E,0)),""))</f>
        <v>Samreen islam</v>
      </c>
      <c r="D6" s="153" t="str">
        <f t="array" ref="D6">IF($A6="","",IFERROR(INDEX(Sales!$C:$C,MATCH($A6,Sales!$E:$E,0)),""))</f>
        <v>Online</v>
      </c>
      <c r="E6" s="154">
        <f>IF($A6="","",SUMIFS(Sales!$H:$H,Sales!$E:$E,$A6,Sales!$B:$B,"&lt;&gt;Return"))</f>
        <v>3</v>
      </c>
      <c r="F6" s="155">
        <f>IF($A6="","",SUMIF(Sales!$E:$E,$A6,Sales!$L:$L))</f>
        <v>15000</v>
      </c>
      <c r="G6" s="155">
        <f>IF($A6="","",SUMIF(Sales!$E:$E,$A6,Sales!$P:$P))</f>
        <v>1100</v>
      </c>
      <c r="H6" s="156">
        <f t="array" ref="H6">IF($A6="","",IFERROR(INDEX(Orders!$O$5:$O$1004,MATCH($A6,Orders!$N$5:$N$1004,0)),""))</f>
        <v>200</v>
      </c>
      <c r="I6" s="156">
        <f t="array" ref="I6">IF($A6="","",IFERROR(INDEX(Orders!$P$5:$P$1004,MATCH($A6,Orders!$N$5:$N$1004,0)),""))</f>
        <v>200</v>
      </c>
      <c r="J6" s="157">
        <f t="shared" si="1"/>
        <v>1100</v>
      </c>
      <c r="K6" s="153" t="str">
        <f t="array" ref="K6">IF($A6="","",IFERROR(INDEX(Sales!$M:$M,MATCH($A6,Sales!$E:$E,0)),""))</f>
        <v>Paid</v>
      </c>
      <c r="L6" s="158">
        <f t="shared" si="2"/>
        <v>0.07333333333</v>
      </c>
      <c r="N6" s="49" t="str">
        <f t="array" ref="N6">IFERROR(INDEX(Sales!$E$7:$E$1506,MATCH(ROW()-4,Sales!$V$7:$V$1506,0)),"")</f>
        <v>PAWF-260713-BAADD</v>
      </c>
      <c r="O6" s="67">
        <v>80.0</v>
      </c>
      <c r="P6" s="67">
        <v>36.0</v>
      </c>
    </row>
    <row r="7" ht="14.25" customHeight="1">
      <c r="A7" s="151" t="str">
        <f t="array" ref="A7">IFERROR(INDEX(Sales!$E$7:$E$1506,MATCH(ROW()-4,Sales!$W$7:$W$1506,0)),"")</f>
        <v>PAWF-260718-8CA86</v>
      </c>
      <c r="B7" s="152">
        <f t="array" ref="B7">IF($A7="","",IFERROR(INDEX(Sales!$A:$A,MATCH($A7,Sales!$E:$E,0)),""))</f>
        <v>46221</v>
      </c>
      <c r="C7" s="153" t="str">
        <f t="array" ref="C7">IF($A7="","",IFERROR(INDEX(Sales!$D:$D,MATCH($A7,Sales!$E:$E,0)),""))</f>
        <v>Nadim</v>
      </c>
      <c r="D7" s="153" t="str">
        <f t="array" ref="D7">IF($A7="","",IFERROR(INDEX(Sales!$C:$C,MATCH($A7,Sales!$E:$E,0)),""))</f>
        <v>Online</v>
      </c>
      <c r="E7" s="154">
        <f>IF($A7="","",SUMIFS(Sales!$H:$H,Sales!$E:$E,$A7,Sales!$B:$B,"&lt;&gt;Return"))</f>
        <v>2</v>
      </c>
      <c r="F7" s="155">
        <f>IF($A7="","",SUMIF(Sales!$E:$E,$A7,Sales!$L:$L))</f>
        <v>6100</v>
      </c>
      <c r="G7" s="155">
        <f>IF($A7="","",SUMIF(Sales!$E:$E,$A7,Sales!$P:$P))</f>
        <v>220</v>
      </c>
      <c r="H7" s="156">
        <f t="array" ref="H7">IF($A7="","",IFERROR(INDEX(Orders!$O$5:$O$1004,MATCH($A7,Orders!$N$5:$N$1004,0)),""))</f>
        <v>0</v>
      </c>
      <c r="I7" s="156">
        <f t="array" ref="I7">IF($A7="","",IFERROR(INDEX(Orders!$P$5:$P$1004,MATCH($A7,Orders!$N$5:$N$1004,0)),""))</f>
        <v>0</v>
      </c>
      <c r="J7" s="157">
        <f t="shared" si="1"/>
        <v>220</v>
      </c>
      <c r="K7" s="153" t="str">
        <f t="array" ref="K7">IF($A7="","",IFERROR(INDEX(Sales!$M:$M,MATCH($A7,Sales!$E:$E,0)),""))</f>
        <v>Paid</v>
      </c>
      <c r="L7" s="158">
        <f t="shared" si="2"/>
        <v>0.03606557377</v>
      </c>
      <c r="N7" s="49" t="str">
        <f t="array" ref="N7">IFERROR(INDEX(Sales!$E$7:$E$1506,MATCH(ROW()-4,Sales!$V$7:$V$1506,0)),"")</f>
        <v>PAWF-260718-8CA86</v>
      </c>
      <c r="O7" s="67">
        <v>0.0</v>
      </c>
      <c r="P7" s="67">
        <v>0.0</v>
      </c>
    </row>
    <row r="8" ht="14.25" customHeight="1">
      <c r="A8" s="151" t="str">
        <f t="array" ref="A8">IFERROR(INDEX(Sales!$E$7:$E$1506,MATCH(ROW()-4,Sales!$W$7:$W$1506,0)),"")</f>
        <v>PAWF-260723-EC10A</v>
      </c>
      <c r="B8" s="152">
        <f t="array" ref="B8">IF($A8="","",IFERROR(INDEX(Sales!$A:$A,MATCH($A8,Sales!$E:$E,0)),""))</f>
        <v>46228</v>
      </c>
      <c r="C8" s="153" t="str">
        <f t="array" ref="C8">IF($A8="","",IFERROR(INDEX(Sales!$D:$D,MATCH($A8,Sales!$E:$E,0)),""))</f>
        <v>From Facebook</v>
      </c>
      <c r="D8" s="153" t="str">
        <f t="array" ref="D8">IF($A8="","",IFERROR(INDEX(Sales!$C:$C,MATCH($A8,Sales!$E:$E,0)),""))</f>
        <v>Online</v>
      </c>
      <c r="E8" s="154">
        <f>IF($A8="","",SUMIFS(Sales!$H:$H,Sales!$E:$E,$A8,Sales!$B:$B,"&lt;&gt;Return"))</f>
        <v>3</v>
      </c>
      <c r="F8" s="155">
        <f>IF($A8="","",SUMIF(Sales!$E:$E,$A8,Sales!$L:$L))</f>
        <v>1338</v>
      </c>
      <c r="G8" s="155">
        <f>IF($A8="","",SUMIF(Sales!$E:$E,$A8,Sales!$P:$P))</f>
        <v>368</v>
      </c>
      <c r="H8" s="156">
        <f t="array" ref="H8">IF($A8="","",IFERROR(INDEX(Orders!$O$5:$O$1004,MATCH($A8,Orders!$N$5:$N$1004,0)),""))</f>
        <v>150</v>
      </c>
      <c r="I8" s="156">
        <f t="array" ref="I8">IF($A8="","",IFERROR(INDEX(Orders!$P$5:$P$1004,MATCH($A8,Orders!$N$5:$N$1004,0)),""))</f>
        <v>310</v>
      </c>
      <c r="J8" s="157">
        <f t="shared" si="1"/>
        <v>208</v>
      </c>
      <c r="K8" s="153" t="str">
        <f t="array" ref="K8">IF($A8="","",IFERROR(INDEX(Sales!$M:$M,MATCH($A8,Sales!$E:$E,0)),""))</f>
        <v>Paid</v>
      </c>
      <c r="L8" s="158">
        <f t="shared" si="2"/>
        <v>0.1554559043</v>
      </c>
      <c r="N8" s="49" t="str">
        <f t="array" ref="N8">IFERROR(INDEX(Sales!$E$7:$E$1506,MATCH(ROW()-4,Sales!$V$7:$V$1506,0)),"")</f>
        <v>PAWF-260725-A2D5A</v>
      </c>
      <c r="O8" s="67">
        <v>120.0</v>
      </c>
      <c r="P8" s="67">
        <v>125.0</v>
      </c>
    </row>
    <row r="9" ht="14.25" customHeight="1">
      <c r="A9" s="151" t="str">
        <f t="array" ref="A9">IFERROR(INDEX(Sales!$E$7:$E$1506,MATCH(ROW()-4,Sales!$W$7:$W$1506,0)),"")</f>
        <v>PAWF-260725-A2D5A</v>
      </c>
      <c r="B9" s="152">
        <f t="array" ref="B9">IF($A9="","",IFERROR(INDEX(Sales!$A:$A,MATCH($A9,Sales!$E:$E,0)),""))</f>
        <v>46228</v>
      </c>
      <c r="C9" s="153" t="str">
        <f t="array" ref="C9">IF($A9="","",IFERROR(INDEX(Sales!$D:$D,MATCH($A9,Sales!$E:$E,0)),""))</f>
        <v>From Facebook</v>
      </c>
      <c r="D9" s="153" t="str">
        <f t="array" ref="D9">IF($A9="","",IFERROR(INDEX(Sales!$C:$C,MATCH($A9,Sales!$E:$E,0)),""))</f>
        <v>Online</v>
      </c>
      <c r="E9" s="154">
        <f>IF($A9="","",SUMIFS(Sales!$H:$H,Sales!$E:$E,$A9,Sales!$B:$B,"&lt;&gt;Return"))</f>
        <v>4</v>
      </c>
      <c r="F9" s="155">
        <f>IF($A9="","",SUMIF(Sales!$E:$E,$A9,Sales!$L:$L))</f>
        <v>1880</v>
      </c>
      <c r="G9" s="155">
        <f>IF($A9="","",SUMIF(Sales!$E:$E,$A9,Sales!$P:$P))</f>
        <v>440</v>
      </c>
      <c r="H9" s="156">
        <f t="array" ref="H9">IF($A9="","",IFERROR(INDEX(Orders!$O$5:$O$1004,MATCH($A9,Orders!$N$5:$N$1004,0)),""))</f>
        <v>120</v>
      </c>
      <c r="I9" s="156">
        <f t="array" ref="I9">IF($A9="","",IFERROR(INDEX(Orders!$P$5:$P$1004,MATCH($A9,Orders!$N$5:$N$1004,0)),""))</f>
        <v>125</v>
      </c>
      <c r="J9" s="157">
        <f t="shared" si="1"/>
        <v>435</v>
      </c>
      <c r="K9" s="153" t="str">
        <f t="array" ref="K9">IF($A9="","",IFERROR(INDEX(Sales!$M:$M,MATCH($A9,Sales!$E:$E,0)),""))</f>
        <v>Paid</v>
      </c>
      <c r="L9" s="158">
        <f t="shared" si="2"/>
        <v>0.2313829787</v>
      </c>
      <c r="N9" s="49" t="str">
        <f t="array" ref="N9">IFERROR(INDEX(Sales!$E$7:$E$1506,MATCH(ROW()-4,Sales!$V$7:$V$1506,0)),"")</f>
        <v>PAWF-260723-EC10A</v>
      </c>
      <c r="O9" s="67">
        <v>150.0</v>
      </c>
      <c r="P9" s="67">
        <v>310.0</v>
      </c>
    </row>
    <row r="10" ht="14.25" customHeight="1">
      <c r="A10" s="151" t="str">
        <f t="array" ref="A10">IFERROR(INDEX(Sales!$E$7:$E$1506,MATCH(ROW()-4,Sales!$W$7:$W$1506,0)),"")</f>
        <v>PAWF-260725-A3949</v>
      </c>
      <c r="B10" s="152">
        <f t="array" ref="B10">IF($A10="","",IFERROR(INDEX(Sales!$A:$A,MATCH($A10,Sales!$E:$E,0)),""))</f>
        <v>46228</v>
      </c>
      <c r="C10" s="153" t="str">
        <f t="array" ref="C10">IF($A10="","",IFERROR(INDEX(Sales!$D:$D,MATCH($A10,Sales!$E:$E,0)),""))</f>
        <v>From Facebook</v>
      </c>
      <c r="D10" s="153" t="str">
        <f t="array" ref="D10">IF($A10="","",IFERROR(INDEX(Sales!$C:$C,MATCH($A10,Sales!$E:$E,0)),""))</f>
        <v>Online</v>
      </c>
      <c r="E10" s="154">
        <f>IF($A10="","",SUMIFS(Sales!$H:$H,Sales!$E:$E,$A10,Sales!$B:$B,"&lt;&gt;Return"))</f>
        <v>1</v>
      </c>
      <c r="F10" s="155">
        <f>IF($A10="","",SUMIF(Sales!$E:$E,$A10,Sales!$L:$L))</f>
        <v>1400</v>
      </c>
      <c r="G10" s="155">
        <f>IF($A10="","",SUMIF(Sales!$E:$E,$A10,Sales!$P:$P))</f>
        <v>350</v>
      </c>
      <c r="H10" s="156">
        <f t="array" ref="H10">IF($A10="","",IFERROR(INDEX(Orders!$O$5:$O$1004,MATCH($A10,Orders!$N$5:$N$1004,0)),""))</f>
        <v>150</v>
      </c>
      <c r="I10" s="156">
        <f t="array" ref="I10">IF($A10="","",IFERROR(INDEX(Orders!$P$5:$P$1004,MATCH($A10,Orders!$N$5:$N$1004,0)),""))</f>
        <v>94</v>
      </c>
      <c r="J10" s="157">
        <f t="shared" si="1"/>
        <v>406</v>
      </c>
      <c r="K10" s="153" t="str">
        <f t="array" ref="K10">IF($A10="","",IFERROR(INDEX(Sales!$M:$M,MATCH($A10,Sales!$E:$E,0)),""))</f>
        <v>Paid</v>
      </c>
      <c r="L10" s="158">
        <f t="shared" si="2"/>
        <v>0.29</v>
      </c>
      <c r="N10" s="49" t="str">
        <f t="array" ref="N10">IFERROR(INDEX(Sales!$E$7:$E$1506,MATCH(ROW()-4,Sales!$V$7:$V$1506,0)),"")</f>
        <v>PAWF-260725-A3949</v>
      </c>
      <c r="O10" s="67">
        <v>150.0</v>
      </c>
      <c r="P10" s="67">
        <v>94.0</v>
      </c>
    </row>
    <row r="11" ht="14.25" customHeight="1">
      <c r="A11" s="151" t="str">
        <f t="array" ref="A11">IFERROR(INDEX(Sales!$E$7:$E$1506,MATCH(ROW()-4,Sales!$W$7:$W$1506,0)),"")</f>
        <v>PAWF-260729-ED44F</v>
      </c>
      <c r="B11" s="152">
        <f t="array" ref="B11">IF($A11="","",IFERROR(INDEX(Sales!$A:$A,MATCH($A11,Sales!$E:$E,0)),""))</f>
        <v>46233</v>
      </c>
      <c r="C11" s="153" t="str">
        <f t="array" ref="C11">IF($A11="","",IFERROR(INDEX(Sales!$D:$D,MATCH($A11,Sales!$E:$E,0)),""))</f>
        <v>Sabrina Karim</v>
      </c>
      <c r="D11" s="153" t="str">
        <f t="array" ref="D11">IF($A11="","",IFERROR(INDEX(Sales!$C:$C,MATCH($A11,Sales!$E:$E,0)),""))</f>
        <v>Online</v>
      </c>
      <c r="E11" s="154">
        <f>IF($A11="","",SUMIFS(Sales!$H:$H,Sales!$E:$E,$A11,Sales!$B:$B,"&lt;&gt;Return"))</f>
        <v>1</v>
      </c>
      <c r="F11" s="155">
        <f>IF($A11="","",SUMIF(Sales!$E:$E,$A11,Sales!$L:$L))</f>
        <v>380</v>
      </c>
      <c r="G11" s="155">
        <f>IF($A11="","",SUMIF(Sales!$E:$E,$A11,Sales!$P:$P))</f>
        <v>140</v>
      </c>
      <c r="H11" s="156">
        <f t="array" ref="H11">IF($A11="","",IFERROR(INDEX(Orders!$O$5:$O$1004,MATCH($A11,Orders!$N$5:$N$1004,0)),""))</f>
        <v>80</v>
      </c>
      <c r="I11" s="156">
        <f t="array" ref="I11">IF($A11="","",IFERROR(INDEX(Orders!$P$5:$P$1004,MATCH($A11,Orders!$N$5:$N$1004,0)),""))</f>
        <v>80</v>
      </c>
      <c r="J11" s="157">
        <f t="shared" si="1"/>
        <v>140</v>
      </c>
      <c r="K11" s="153" t="str">
        <f t="array" ref="K11">IF($A11="","",IFERROR(INDEX(Sales!$M:$M,MATCH($A11,Sales!$E:$E,0)),""))</f>
        <v>Paid</v>
      </c>
      <c r="L11" s="158">
        <f t="shared" si="2"/>
        <v>0.3684210526</v>
      </c>
      <c r="N11" s="49" t="str">
        <f t="array" ref="N11">IFERROR(INDEX(Sales!$E$7:$E$1506,MATCH(ROW()-4,Sales!$V$7:$V$1506,0)),"")</f>
        <v>PAWF-260729-ED44F</v>
      </c>
      <c r="O11" s="67">
        <v>80.0</v>
      </c>
      <c r="P11" s="67">
        <v>80.0</v>
      </c>
    </row>
    <row r="12" ht="14.25" customHeight="1">
      <c r="A12" s="151" t="str">
        <f t="array" ref="A12">IFERROR(INDEX(Sales!$E$7:$E$1506,MATCH(ROW()-4,Sales!$W$7:$W$1506,0)),"")</f>
        <v>PAWF-260730-9CAB6</v>
      </c>
      <c r="B12" s="152">
        <f t="array" ref="B12">IF($A12="","",IFERROR(INDEX(Sales!$A:$A,MATCH($A12,Sales!$E:$E,0)),""))</f>
        <v>46233</v>
      </c>
      <c r="C12" s="153" t="str">
        <f t="array" ref="C12">IF($A12="","",IFERROR(INDEX(Sales!$D:$D,MATCH($A12,Sales!$E:$E,0)),""))</f>
        <v>Monami Tariq</v>
      </c>
      <c r="D12" s="153" t="str">
        <f t="array" ref="D12">IF($A12="","",IFERROR(INDEX(Sales!$C:$C,MATCH($A12,Sales!$E:$E,0)),""))</f>
        <v>Online</v>
      </c>
      <c r="E12" s="154">
        <f>IF($A12="","",SUMIFS(Sales!$H:$H,Sales!$E:$E,$A12,Sales!$B:$B,"&lt;&gt;Return"))</f>
        <v>6</v>
      </c>
      <c r="F12" s="155">
        <f>IF($A12="","",SUMIF(Sales!$E:$E,$A12,Sales!$L:$L))</f>
        <v>1430</v>
      </c>
      <c r="G12" s="155">
        <f>IF($A12="","",SUMIF(Sales!$E:$E,$A12,Sales!$P:$P))</f>
        <v>327.4103526</v>
      </c>
      <c r="H12" s="156">
        <f t="array" ref="H12">IF($A12="","",IFERROR(INDEX(Orders!$O$5:$O$1004,MATCH($A12,Orders!$N$5:$N$1004,0)),""))</f>
        <v>80</v>
      </c>
      <c r="I12" s="156">
        <f t="array" ref="I12">IF($A12="","",IFERROR(INDEX(Orders!$P$5:$P$1004,MATCH($A12,Orders!$N$5:$N$1004,0)),""))</f>
        <v>0</v>
      </c>
      <c r="J12" s="157">
        <f t="shared" si="1"/>
        <v>407.4103526</v>
      </c>
      <c r="K12" s="153" t="str">
        <f t="array" ref="K12">IF($A12="","",IFERROR(INDEX(Sales!$M:$M,MATCH($A12,Sales!$E:$E,0)),""))</f>
        <v>Paid</v>
      </c>
      <c r="L12" s="158">
        <f t="shared" si="2"/>
        <v>0.2849023445</v>
      </c>
      <c r="N12" s="49" t="str">
        <f t="array" ref="N12">IFERROR(INDEX(Sales!$E$7:$E$1506,MATCH(ROW()-4,Sales!$V$7:$V$1506,0)),"")</f>
        <v>PAWF-260731-EC093</v>
      </c>
      <c r="O12" s="67">
        <v>80.0</v>
      </c>
      <c r="P12" s="67">
        <v>34.0</v>
      </c>
    </row>
    <row r="13" ht="14.25" customHeight="1">
      <c r="A13" s="151" t="str">
        <f t="array" ref="A13">IFERROR(INDEX(Sales!$E$7:$E$1506,MATCH(ROW()-4,Sales!$W$7:$W$1506,0)),"")</f>
        <v>PAWF-260731-EC093</v>
      </c>
      <c r="B13" s="152">
        <f t="array" ref="B13">IF($A13="","",IFERROR(INDEX(Sales!$A:$A,MATCH($A13,Sales!$E:$E,0)),""))</f>
        <v>46234</v>
      </c>
      <c r="C13" s="153" t="str">
        <f t="array" ref="C13">IF($A13="","",IFERROR(INDEX(Sales!$D:$D,MATCH($A13,Sales!$E:$E,0)),""))</f>
        <v>Farhana Faruque</v>
      </c>
      <c r="D13" s="153" t="str">
        <f t="array" ref="D13">IF($A13="","",IFERROR(INDEX(Sales!$C:$C,MATCH($A13,Sales!$E:$E,0)),""))</f>
        <v>Online</v>
      </c>
      <c r="E13" s="154">
        <f>IF($A13="","",SUMIFS(Sales!$H:$H,Sales!$E:$E,$A13,Sales!$B:$B,"&lt;&gt;Return"))</f>
        <v>9</v>
      </c>
      <c r="F13" s="155">
        <f>IF($A13="","",SUMIF(Sales!$E:$E,$A13,Sales!$L:$L))</f>
        <v>725</v>
      </c>
      <c r="G13" s="155">
        <f>IF($A13="","",SUMIF(Sales!$E:$E,$A13,Sales!$P:$P))</f>
        <v>147.0905269</v>
      </c>
      <c r="H13" s="156">
        <f t="array" ref="H13">IF($A13="","",IFERROR(INDEX(Orders!$O$5:$O$1004,MATCH($A13,Orders!$N$5:$N$1004,0)),""))</f>
        <v>80</v>
      </c>
      <c r="I13" s="156">
        <f t="array" ref="I13">IF($A13="","",IFERROR(INDEX(Orders!$P$5:$P$1004,MATCH($A13,Orders!$N$5:$N$1004,0)),""))</f>
        <v>34</v>
      </c>
      <c r="J13" s="157">
        <f t="shared" si="1"/>
        <v>193.0905269</v>
      </c>
      <c r="K13" s="153" t="str">
        <f t="array" ref="K13">IF($A13="","",IFERROR(INDEX(Sales!$M:$M,MATCH($A13,Sales!$E:$E,0)),""))</f>
        <v>Paid</v>
      </c>
      <c r="L13" s="158">
        <f t="shared" si="2"/>
        <v>0.2663317613</v>
      </c>
      <c r="N13" s="49" t="str">
        <f t="array" ref="N13">IFERROR(INDEX(Sales!$E$7:$E$1506,MATCH(ROW()-4,Sales!$V$7:$V$1506,0)),"")</f>
        <v>PAWF-260730-9CAB6</v>
      </c>
      <c r="O13" s="67">
        <v>80.0</v>
      </c>
      <c r="P13" s="67">
        <v>0.0</v>
      </c>
    </row>
    <row r="14" ht="14.25" customHeight="1">
      <c r="A14" s="151" t="str">
        <f t="array" ref="A14">IFERROR(INDEX(Sales!$E$7:$E$1506,MATCH(ROW()-4,Sales!$W$7:$W$1506,0)),"")</f>
        <v>PAWF-260801-E2E23</v>
      </c>
      <c r="B14" s="152">
        <f t="array" ref="B14">IF($A14="","",IFERROR(INDEX(Sales!$A:$A,MATCH($A14,Sales!$E:$E,0)),""))</f>
        <v>46240</v>
      </c>
      <c r="C14" s="153" t="str">
        <f t="array" ref="C14">IF($A14="","",IFERROR(INDEX(Sales!$D:$D,MATCH($A14,Sales!$E:$E,0)),""))</f>
        <v>Abir</v>
      </c>
      <c r="D14" s="153" t="str">
        <f t="array" ref="D14">IF($A14="","",IFERROR(INDEX(Sales!$C:$C,MATCH($A14,Sales!$E:$E,0)),""))</f>
        <v>Online</v>
      </c>
      <c r="E14" s="154">
        <f>IF($A14="","",SUMIFS(Sales!$H:$H,Sales!$E:$E,$A14,Sales!$B:$B,"&lt;&gt;Return"))</f>
        <v>14</v>
      </c>
      <c r="F14" s="155">
        <f>IF($A14="","",SUMIF(Sales!$E:$E,$A14,Sales!$L:$L))</f>
        <v>817</v>
      </c>
      <c r="G14" s="155">
        <f>IF($A14="","",SUMIF(Sales!$E:$E,$A14,Sales!$P:$P))</f>
        <v>245.5258815</v>
      </c>
      <c r="H14" s="156">
        <f t="array" ref="H14">IF($A14="","",IFERROR(INDEX(Orders!$O$5:$O$1004,MATCH($A14,Orders!$N$5:$N$1004,0)),""))</f>
        <v>150</v>
      </c>
      <c r="I14" s="156">
        <f t="array" ref="I14">IF($A14="","",IFERROR(INDEX(Orders!$P$5:$P$1004,MATCH($A14,Orders!$N$5:$N$1004,0)),""))</f>
        <v>115</v>
      </c>
      <c r="J14" s="157">
        <f t="shared" si="1"/>
        <v>280.5258815</v>
      </c>
      <c r="K14" s="153" t="str">
        <f t="array" ref="K14">IF($A14="","",IFERROR(INDEX(Sales!$M:$M,MATCH($A14,Sales!$E:$E,0)),""))</f>
        <v>Paid</v>
      </c>
      <c r="L14" s="158">
        <f t="shared" si="2"/>
        <v>0.343360932</v>
      </c>
      <c r="N14" s="49" t="str">
        <f t="array" ref="N14">IFERROR(INDEX(Sales!$E$7:$E$1506,MATCH(ROW()-4,Sales!$V$7:$V$1506,0)),"")</f>
        <v>PAWF-260802-FFD57</v>
      </c>
      <c r="O14" s="67">
        <v>50.0</v>
      </c>
      <c r="P14" s="67">
        <v>50.0</v>
      </c>
    </row>
    <row r="15" ht="14.25" customHeight="1">
      <c r="A15" s="151" t="str">
        <f t="array" ref="A15">IFERROR(INDEX(Sales!$E$7:$E$1506,MATCH(ROW()-4,Sales!$W$7:$W$1506,0)),"")</f>
        <v>PAWF-260802-D5CC2</v>
      </c>
      <c r="B15" s="152">
        <f t="array" ref="B15">IF($A15="","",IFERROR(INDEX(Sales!$A:$A,MATCH($A15,Sales!$E:$E,0)),""))</f>
        <v>46238</v>
      </c>
      <c r="C15" s="153" t="str">
        <f t="array" ref="C15">IF($A15="","",IFERROR(INDEX(Sales!$D:$D,MATCH($A15,Sales!$E:$E,0)),""))</f>
        <v>Amy</v>
      </c>
      <c r="D15" s="153" t="str">
        <f t="array" ref="D15">IF($A15="","",IFERROR(INDEX(Sales!$C:$C,MATCH($A15,Sales!$E:$E,0)),""))</f>
        <v>Online</v>
      </c>
      <c r="E15" s="154">
        <f>IF($A15="","",SUMIFS(Sales!$H:$H,Sales!$E:$E,$A15,Sales!$B:$B,"&lt;&gt;Return"))</f>
        <v>1</v>
      </c>
      <c r="F15" s="155">
        <f>IF($A15="","",SUMIF(Sales!$E:$E,$A15,Sales!$L:$L))</f>
        <v>620</v>
      </c>
      <c r="G15" s="155">
        <f>IF($A15="","",SUMIF(Sales!$E:$E,$A15,Sales!$P:$P))</f>
        <v>170</v>
      </c>
      <c r="H15" s="156">
        <f t="array" ref="H15">IF($A15="","",IFERROR(INDEX(Orders!$O$5:$O$1004,MATCH($A15,Orders!$N$5:$N$1004,0)),""))</f>
        <v>80</v>
      </c>
      <c r="I15" s="156">
        <f t="array" ref="I15">IF($A15="","",IFERROR(INDEX(Orders!$P$5:$P$1004,MATCH($A15,Orders!$N$5:$N$1004,0)),""))</f>
        <v>105</v>
      </c>
      <c r="J15" s="157">
        <f t="shared" si="1"/>
        <v>145</v>
      </c>
      <c r="K15" s="153" t="str">
        <f t="array" ref="K15">IF($A15="","",IFERROR(INDEX(Sales!$M:$M,MATCH($A15,Sales!$E:$E,0)),""))</f>
        <v>Paid</v>
      </c>
      <c r="L15" s="158">
        <f t="shared" si="2"/>
        <v>0.2338709677</v>
      </c>
      <c r="N15" s="49" t="str">
        <f t="array" ref="N15">IFERROR(INDEX(Sales!$E$7:$E$1506,MATCH(ROW()-4,Sales!$V$7:$V$1506,0)),"")</f>
        <v>PAWF-260802-D5CC2</v>
      </c>
      <c r="O15" s="67">
        <v>80.0</v>
      </c>
      <c r="P15" s="67">
        <v>105.0</v>
      </c>
    </row>
    <row r="16" ht="14.25" customHeight="1">
      <c r="A16" s="151" t="str">
        <f t="array" ref="A16">IFERROR(INDEX(Sales!$E$7:$E$1506,MATCH(ROW()-4,Sales!$W$7:$W$1506,0)),"")</f>
        <v>PAWF-260802-FFD57</v>
      </c>
      <c r="B16" s="152">
        <f t="array" ref="B16">IF($A16="","",IFERROR(INDEX(Sales!$A:$A,MATCH($A16,Sales!$E:$E,0)),""))</f>
        <v>46236</v>
      </c>
      <c r="C16" s="153" t="str">
        <f t="array" ref="C16">IF($A16="","",IFERROR(INDEX(Sales!$D:$D,MATCH($A16,Sales!$E:$E,0)),""))</f>
        <v>Ishrat Tabassum</v>
      </c>
      <c r="D16" s="153" t="str">
        <f t="array" ref="D16">IF($A16="","",IFERROR(INDEX(Sales!$C:$C,MATCH($A16,Sales!$E:$E,0)),""))</f>
        <v>Online</v>
      </c>
      <c r="E16" s="154">
        <f>IF($A16="","",SUMIFS(Sales!$H:$H,Sales!$E:$E,$A16,Sales!$B:$B,"&lt;&gt;Return"))</f>
        <v>1</v>
      </c>
      <c r="F16" s="155">
        <f>IF($A16="","",SUMIF(Sales!$E:$E,$A16,Sales!$L:$L))</f>
        <v>370</v>
      </c>
      <c r="G16" s="155">
        <f>IF($A16="","",SUMIF(Sales!$E:$E,$A16,Sales!$P:$P))</f>
        <v>140</v>
      </c>
      <c r="H16" s="156">
        <f t="array" ref="H16">IF($A16="","",IFERROR(INDEX(Orders!$O$5:$O$1004,MATCH($A16,Orders!$N$5:$N$1004,0)),""))</f>
        <v>50</v>
      </c>
      <c r="I16" s="156">
        <f t="array" ref="I16">IF($A16="","",IFERROR(INDEX(Orders!$P$5:$P$1004,MATCH($A16,Orders!$N$5:$N$1004,0)),""))</f>
        <v>50</v>
      </c>
      <c r="J16" s="157">
        <f t="shared" si="1"/>
        <v>140</v>
      </c>
      <c r="K16" s="153" t="str">
        <f t="array" ref="K16">IF($A16="","",IFERROR(INDEX(Sales!$M:$M,MATCH($A16,Sales!$E:$E,0)),""))</f>
        <v>Paid</v>
      </c>
      <c r="L16" s="158">
        <f t="shared" si="2"/>
        <v>0.3783783784</v>
      </c>
      <c r="N16" s="49" t="str">
        <f t="array" ref="N16">IFERROR(INDEX(Sales!$E$7:$E$1506,MATCH(ROW()-4,Sales!$V$7:$V$1506,0)),"")</f>
        <v>PAWF-260801-E2E23</v>
      </c>
      <c r="O16" s="67">
        <v>150.0</v>
      </c>
      <c r="P16" s="67">
        <v>115.0</v>
      </c>
    </row>
    <row r="17" ht="14.25" customHeight="1">
      <c r="A17" s="151" t="str">
        <f t="array" ref="A17">IFERROR(INDEX(Sales!$E$7:$E$1506,MATCH(ROW()-4,Sales!$W$7:$W$1506,0)),"")</f>
        <v>PAWF-260806-86FCD</v>
      </c>
      <c r="B17" s="152">
        <f t="array" ref="B17">IF($A17="","",IFERROR(INDEX(Sales!$A:$A,MATCH($A17,Sales!$E:$E,0)),""))</f>
        <v>46242</v>
      </c>
      <c r="C17" s="153" t="str">
        <f t="array" ref="C17">IF($A17="","",IFERROR(INDEX(Sales!$D:$D,MATCH($A17,Sales!$E:$E,0)),""))</f>
        <v>Monami Tariq</v>
      </c>
      <c r="D17" s="153" t="str">
        <f t="array" ref="D17">IF($A17="","",IFERROR(INDEX(Sales!$C:$C,MATCH($A17,Sales!$E:$E,0)),""))</f>
        <v>Online</v>
      </c>
      <c r="E17" s="154">
        <f>IF($A17="","",SUMIFS(Sales!$H:$H,Sales!$E:$E,$A17,Sales!$B:$B,"&lt;&gt;Return"))</f>
        <v>3</v>
      </c>
      <c r="F17" s="155">
        <f>IF($A17="","",SUMIF(Sales!$E:$E,$A17,Sales!$L:$L))</f>
        <v>3750</v>
      </c>
      <c r="G17" s="155">
        <f>IF($A17="","",SUMIF(Sales!$E:$E,$A17,Sales!$P:$P))</f>
        <v>780</v>
      </c>
      <c r="H17" s="156">
        <f t="array" ref="H17">IF($A17="","",IFERROR(INDEX(Orders!$O$5:$O$1004,MATCH($A17,Orders!$N$5:$N$1004,0)),""))</f>
        <v>80</v>
      </c>
      <c r="I17" s="156">
        <f t="array" ref="I17">IF($A17="","",IFERROR(INDEX(Orders!$P$5:$P$1004,MATCH($A17,Orders!$N$5:$N$1004,0)),""))</f>
        <v>0</v>
      </c>
      <c r="J17" s="157">
        <f t="shared" si="1"/>
        <v>860</v>
      </c>
      <c r="K17" s="153" t="str">
        <f t="array" ref="K17">IF($A17="","",IFERROR(INDEX(Sales!$M:$M,MATCH($A17,Sales!$E:$E,0)),""))</f>
        <v>Paid</v>
      </c>
      <c r="L17" s="158">
        <f t="shared" si="2"/>
        <v>0.2293333333</v>
      </c>
      <c r="N17" s="49" t="str">
        <f t="array" ref="N17">IFERROR(INDEX(Sales!$E$7:$E$1506,MATCH(ROW()-4,Sales!$V$7:$V$1506,0)),"")</f>
        <v>PAWF-260806-86FCD</v>
      </c>
      <c r="O17" s="67">
        <v>80.0</v>
      </c>
      <c r="P17" s="67">
        <v>0.0</v>
      </c>
    </row>
    <row r="18" ht="14.25" customHeight="1">
      <c r="A18" s="151" t="str">
        <f t="array" ref="A18">IFERROR(INDEX(Sales!$E$7:$E$1506,MATCH(ROW()-4,Sales!$W$7:$W$1506,0)),"")</f>
        <v>PAWF-260809-FB6B6</v>
      </c>
      <c r="B18" s="152">
        <f t="array" ref="B18">IF($A18="","",IFERROR(INDEX(Sales!$A:$A,MATCH($A18,Sales!$E:$E,0)),""))</f>
        <v>46243</v>
      </c>
      <c r="C18" s="153" t="str">
        <f t="array" ref="C18">IF($A18="","",IFERROR(INDEX(Sales!$D:$D,MATCH($A18,Sales!$E:$E,0)),""))</f>
        <v>সাইদুর রহমান</v>
      </c>
      <c r="D18" s="153" t="str">
        <f t="array" ref="D18">IF($A18="","",IFERROR(INDEX(Sales!$C:$C,MATCH($A18,Sales!$E:$E,0)),""))</f>
        <v>Online</v>
      </c>
      <c r="E18" s="154">
        <f>IF($A18="","",SUMIFS(Sales!$H:$H,Sales!$E:$E,$A18,Sales!$B:$B,"&lt;&gt;Return"))</f>
        <v>3</v>
      </c>
      <c r="F18" s="155">
        <f>IF($A18="","",SUMIF(Sales!$E:$E,$A18,Sales!$L:$L))</f>
        <v>990</v>
      </c>
      <c r="G18" s="155">
        <f>IF($A18="","",SUMIF(Sales!$E:$E,$A18,Sales!$P:$P))</f>
        <v>260</v>
      </c>
      <c r="H18" s="156">
        <f t="array" ref="H18">IF($A18="","",IFERROR(INDEX(Orders!$O$5:$O$1004,MATCH($A18,Orders!$N$5:$N$1004,0)),""))</f>
        <v>150</v>
      </c>
      <c r="I18" s="156">
        <f t="array" ref="I18">IF($A18="","",IFERROR(INDEX(Orders!$P$5:$P$1004,MATCH($A18,Orders!$N$5:$N$1004,0)),""))</f>
        <v>155</v>
      </c>
      <c r="J18" s="157">
        <f t="shared" si="1"/>
        <v>255</v>
      </c>
      <c r="K18" s="153" t="str">
        <f t="array" ref="K18">IF($A18="","",IFERROR(INDEX(Sales!$M:$M,MATCH($A18,Sales!$E:$E,0)),""))</f>
        <v>Paid</v>
      </c>
      <c r="L18" s="158">
        <f t="shared" si="2"/>
        <v>0.2575757576</v>
      </c>
      <c r="N18" s="49" t="str">
        <f t="array" ref="N18">IFERROR(INDEX(Sales!$E$7:$E$1506,MATCH(ROW()-4,Sales!$V$7:$V$1506,0)),"")</f>
        <v>PAWF-260809-FB6B6</v>
      </c>
      <c r="O18" s="67">
        <v>150.0</v>
      </c>
      <c r="P18" s="67">
        <v>155.0</v>
      </c>
    </row>
    <row r="19" ht="14.25" customHeight="1">
      <c r="A19" s="151" t="str">
        <f t="array" ref="A19">IFERROR(INDEX(Sales!$E$7:$E$1506,MATCH(ROW()-4,Sales!$W$7:$W$1506,0)),"")</f>
        <v>PAWF-260814-40B5E</v>
      </c>
      <c r="B19" s="152">
        <f t="array" ref="B19">IF($A19="","",IFERROR(INDEX(Sales!$A:$A,MATCH($A19,Sales!$E:$E,0)),""))</f>
        <v>46248</v>
      </c>
      <c r="C19" s="153" t="str">
        <f t="array" ref="C19">IF($A19="","",IFERROR(INDEX(Sales!$D:$D,MATCH($A19,Sales!$E:$E,0)),""))</f>
        <v>Ishrat Tabassum</v>
      </c>
      <c r="D19" s="153" t="str">
        <f t="array" ref="D19">IF($A19="","",IFERROR(INDEX(Sales!$C:$C,MATCH($A19,Sales!$E:$E,0)),""))</f>
        <v>Online</v>
      </c>
      <c r="E19" s="154">
        <f>IF($A19="","",SUMIFS(Sales!$H:$H,Sales!$E:$E,$A19,Sales!$B:$B,"&lt;&gt;Return"))</f>
        <v>2</v>
      </c>
      <c r="F19" s="155">
        <f>IF($A19="","",SUMIF(Sales!$E:$E,$A19,Sales!$L:$L))</f>
        <v>620</v>
      </c>
      <c r="G19" s="155">
        <f>IF($A19="","",SUMIF(Sales!$E:$E,$A19,Sales!$P:$P))</f>
        <v>160</v>
      </c>
      <c r="H19" s="156">
        <f t="array" ref="H19">IF($A19="","",IFERROR(INDEX(Orders!$O$5:$O$1004,MATCH($A19,Orders!$N$5:$N$1004,0)),""))</f>
        <v>60</v>
      </c>
      <c r="I19" s="156">
        <f t="array" ref="I19">IF($A19="","",IFERROR(INDEX(Orders!$P$5:$P$1004,MATCH($A19,Orders!$N$5:$N$1004,0)),""))</f>
        <v>40</v>
      </c>
      <c r="J19" s="157">
        <f t="shared" si="1"/>
        <v>180</v>
      </c>
      <c r="K19" s="153" t="str">
        <f t="array" ref="K19">IF($A19="","",IFERROR(INDEX(Sales!$M:$M,MATCH($A19,Sales!$E:$E,0)),""))</f>
        <v>Paid</v>
      </c>
      <c r="L19" s="158">
        <f t="shared" si="2"/>
        <v>0.2903225806</v>
      </c>
      <c r="N19" s="49" t="str">
        <f t="array" ref="N19">IFERROR(INDEX(Sales!$E$7:$E$1506,MATCH(ROW()-4,Sales!$V$7:$V$1506,0)),"")</f>
        <v>PAWF-260814-40B5E</v>
      </c>
      <c r="O19" s="67">
        <v>60.0</v>
      </c>
      <c r="P19" s="67">
        <v>40.0</v>
      </c>
    </row>
    <row r="20" ht="14.25" customHeight="1">
      <c r="A20" s="151" t="str">
        <f t="array" ref="A20">IFERROR(INDEX(Sales!$E$7:$E$1506,MATCH(ROW()-4,Sales!$W$7:$W$1506,0)),"")</f>
        <v>PAWF-260816-083DB</v>
      </c>
      <c r="B20" s="152">
        <f t="array" ref="B20">IF($A20="","",IFERROR(INDEX(Sales!$A:$A,MATCH($A20,Sales!$E:$E,0)),""))</f>
        <v>46250</v>
      </c>
      <c r="C20" s="153" t="str">
        <f t="array" ref="C20">IF($A20="","",IFERROR(INDEX(Sales!$D:$D,MATCH($A20,Sales!$E:$E,0)),""))</f>
        <v>Abir</v>
      </c>
      <c r="D20" s="153" t="str">
        <f t="array" ref="D20">IF($A20="","",IFERROR(INDEX(Sales!$C:$C,MATCH($A20,Sales!$E:$E,0)),""))</f>
        <v>Online</v>
      </c>
      <c r="E20" s="154">
        <f>IF($A20="","",SUMIFS(Sales!$H:$H,Sales!$E:$E,$A20,Sales!$B:$B,"&lt;&gt;Return"))</f>
        <v>25</v>
      </c>
      <c r="F20" s="155">
        <f>IF($A20="","",SUMIF(Sales!$E:$E,$A20,Sales!$L:$L))</f>
        <v>1810</v>
      </c>
      <c r="G20" s="155">
        <f>IF($A20="","",SUMIF(Sales!$E:$E,$A20,Sales!$P:$P))</f>
        <v>677.0517629</v>
      </c>
      <c r="H20" s="156">
        <f t="array" ref="H20">IF($A20="","",IFERROR(INDEX(Orders!$O$5:$O$1004,MATCH($A20,Orders!$N$5:$N$1004,0)),""))</f>
        <v>150</v>
      </c>
      <c r="I20" s="156">
        <f t="array" ref="I20">IF($A20="","",IFERROR(INDEX(Orders!$P$5:$P$1004,MATCH($A20,Orders!$N$5:$N$1004,0)),""))</f>
        <v>343</v>
      </c>
      <c r="J20" s="157">
        <f t="shared" si="1"/>
        <v>484.0517629</v>
      </c>
      <c r="K20" s="153" t="str">
        <f t="array" ref="K20">IF($A20="","",IFERROR(INDEX(Sales!$M:$M,MATCH($A20,Sales!$E:$E,0)),""))</f>
        <v>Paid</v>
      </c>
      <c r="L20" s="158">
        <f t="shared" si="2"/>
        <v>0.2674319132</v>
      </c>
      <c r="N20" s="49" t="str">
        <f t="array" ref="N20">IFERROR(INDEX(Sales!$E$7:$E$1506,MATCH(ROW()-4,Sales!$V$7:$V$1506,0)),"")</f>
        <v>PAWF-260816-083DB</v>
      </c>
      <c r="O20" s="67">
        <v>150.0</v>
      </c>
      <c r="P20" s="67">
        <v>343.0</v>
      </c>
    </row>
    <row r="21" ht="14.25" customHeight="1">
      <c r="A21" s="151" t="str">
        <f t="array" ref="A21">IFERROR(INDEX(Sales!$E$7:$E$1506,MATCH(ROW()-4,Sales!$W$7:$W$1506,0)),"")</f>
        <v>PAWF-260818-FA891</v>
      </c>
      <c r="B21" s="152">
        <f t="array" ref="B21">IF($A21="","",IFERROR(INDEX(Sales!$A:$A,MATCH($A21,Sales!$E:$E,0)),""))</f>
        <v>46252</v>
      </c>
      <c r="C21" s="153" t="str">
        <f t="array" ref="C21">IF($A21="","",IFERROR(INDEX(Sales!$D:$D,MATCH($A21,Sales!$E:$E,0)),""))</f>
        <v>KH. Tahib</v>
      </c>
      <c r="D21" s="153" t="str">
        <f t="array" ref="D21">IF($A21="","",IFERROR(INDEX(Sales!$C:$C,MATCH($A21,Sales!$E:$E,0)),""))</f>
        <v>Online</v>
      </c>
      <c r="E21" s="154">
        <f>IF($A21="","",SUMIFS(Sales!$H:$H,Sales!$E:$E,$A21,Sales!$B:$B,"&lt;&gt;Return"))</f>
        <v>1</v>
      </c>
      <c r="F21" s="155">
        <f>IF($A21="","",SUMIF(Sales!$E:$E,$A21,Sales!$L:$L))</f>
        <v>640</v>
      </c>
      <c r="G21" s="155">
        <f>IF($A21="","",SUMIF(Sales!$E:$E,$A21,Sales!$P:$P))</f>
        <v>190</v>
      </c>
      <c r="H21" s="156">
        <f t="array" ref="H21">IF($A21="","",IFERROR(INDEX(Orders!$O$5:$O$1004,MATCH($A21,Orders!$N$5:$N$1004,0)),""))</f>
        <v>150</v>
      </c>
      <c r="I21" s="156">
        <f t="array" ref="I21">IF($A21="","",IFERROR(INDEX(Orders!$P$5:$P$1004,MATCH($A21,Orders!$N$5:$N$1004,0)),""))</f>
        <v>228</v>
      </c>
      <c r="J21" s="157">
        <f t="shared" si="1"/>
        <v>112</v>
      </c>
      <c r="K21" s="153" t="str">
        <f t="array" ref="K21">IF($A21="","",IFERROR(INDEX(Sales!$M:$M,MATCH($A21,Sales!$E:$E,0)),""))</f>
        <v>Paid</v>
      </c>
      <c r="L21" s="158">
        <f t="shared" si="2"/>
        <v>0.175</v>
      </c>
      <c r="N21" s="49" t="str">
        <f t="array" ref="N21">IFERROR(INDEX(Sales!$E$7:$E$1506,MATCH(ROW()-4,Sales!$V$7:$V$1506,0)),"")</f>
        <v>PAWF-260818-FA891</v>
      </c>
      <c r="O21" s="67">
        <v>150.0</v>
      </c>
      <c r="P21" s="67">
        <v>228.0</v>
      </c>
    </row>
    <row r="22" ht="14.25" customHeight="1">
      <c r="A22" s="151" t="str">
        <f t="array" ref="A22">IFERROR(INDEX(Sales!$E$7:$E$1506,MATCH(ROW()-4,Sales!$W$7:$W$1506,0)),"")</f>
        <v>PAWF-260825-4DFC3</v>
      </c>
      <c r="B22" s="152">
        <f t="array" ref="B22">IF($A22="","",IFERROR(INDEX(Sales!$A:$A,MATCH($A22,Sales!$E:$E,0)),""))</f>
        <v>46259</v>
      </c>
      <c r="C22" s="153" t="str">
        <f t="array" ref="C22">IF($A22="","",IFERROR(INDEX(Sales!$D:$D,MATCH($A22,Sales!$E:$E,0)),""))</f>
        <v>Ishrat Tabassum</v>
      </c>
      <c r="D22" s="153" t="str">
        <f t="array" ref="D22">IF($A22="","",IFERROR(INDEX(Sales!$C:$C,MATCH($A22,Sales!$E:$E,0)),""))</f>
        <v>Online</v>
      </c>
      <c r="E22" s="154">
        <f>IF($A22="","",SUMIFS(Sales!$H:$H,Sales!$E:$E,$A22,Sales!$B:$B,"&lt;&gt;Return"))</f>
        <v>1</v>
      </c>
      <c r="F22" s="155">
        <f>IF($A22="","",SUMIF(Sales!$E:$E,$A22,Sales!$L:$L))</f>
        <v>620</v>
      </c>
      <c r="G22" s="155">
        <f>IF($A22="","",SUMIF(Sales!$E:$E,$A22,Sales!$P:$P))</f>
        <v>170</v>
      </c>
      <c r="H22" s="156">
        <f t="array" ref="H22">IF($A22="","",IFERROR(INDEX(Orders!$O$5:$O$1004,MATCH($A22,Orders!$N$5:$N$1004,0)),""))</f>
        <v>80</v>
      </c>
      <c r="I22" s="156">
        <f t="array" ref="I22">IF($A22="","",IFERROR(INDEX(Orders!$P$5:$P$1004,MATCH($A22,Orders!$N$5:$N$1004,0)),""))</f>
        <v>80</v>
      </c>
      <c r="J22" s="157">
        <f t="shared" si="1"/>
        <v>170</v>
      </c>
      <c r="K22" s="153" t="str">
        <f t="array" ref="K22">IF($A22="","",IFERROR(INDEX(Sales!$M:$M,MATCH($A22,Sales!$E:$E,0)),""))</f>
        <v>Paid</v>
      </c>
      <c r="L22" s="158">
        <f t="shared" si="2"/>
        <v>0.2741935484</v>
      </c>
      <c r="N22" s="49" t="str">
        <f t="array" ref="N22">IFERROR(INDEX(Sales!$E$7:$E$1506,MATCH(ROW()-4,Sales!$V$7:$V$1506,0)),"")</f>
        <v>PAWF-260825-4DFC3</v>
      </c>
      <c r="O22" s="160">
        <v>80.0</v>
      </c>
      <c r="P22" s="160">
        <v>80.0</v>
      </c>
    </row>
    <row r="23" ht="14.25" customHeight="1">
      <c r="A23" s="151" t="str">
        <f t="array" ref="A23">IFERROR(INDEX(Sales!$E$7:$E$1506,MATCH(ROW()-4,Sales!$W$7:$W$1506,0)),"")</f>
        <v/>
      </c>
      <c r="B23" s="152" t="str">
        <f t="array" ref="B23">IF($A23="","",IFERROR(INDEX(Sales!$A:$A,MATCH($A23,Sales!$E:$E,0)),""))</f>
        <v/>
      </c>
      <c r="C23" s="153" t="str">
        <f t="array" ref="C23">IF($A23="","",IFERROR(INDEX(Sales!$D:$D,MATCH($A23,Sales!$E:$E,0)),""))</f>
        <v/>
      </c>
      <c r="D23" s="153" t="str">
        <f t="array" ref="D23">IF($A23="","",IFERROR(INDEX(Sales!$C:$C,MATCH($A23,Sales!$E:$E,0)),""))</f>
        <v/>
      </c>
      <c r="E23" s="154" t="str">
        <f>IF($A23="","",SUMIFS(Sales!$H:$H,Sales!$E:$E,$A23,Sales!$B:$B,"&lt;&gt;Return"))</f>
        <v/>
      </c>
      <c r="F23" s="155" t="str">
        <f>IF($A23="","",SUMIF(Sales!$E:$E,$A23,Sales!$L:$L))</f>
        <v/>
      </c>
      <c r="G23" s="155" t="str">
        <f>IF($A23="","",SUMIF(Sales!$E:$E,$A23,Sales!$P:$P))</f>
        <v/>
      </c>
      <c r="H23" s="156" t="str">
        <f t="array" ref="H23">IF($A23="","",IFERROR(INDEX(Orders!$O$5:$O$1004,MATCH($A23,Orders!$N$5:$N$1004,0)),""))</f>
        <v/>
      </c>
      <c r="I23" s="156" t="str">
        <f t="array" ref="I23">IF($A23="","",IFERROR(INDEX(Orders!$P$5:$P$1004,MATCH($A23,Orders!$N$5:$N$1004,0)),""))</f>
        <v/>
      </c>
      <c r="J23" s="157" t="str">
        <f t="shared" si="1"/>
        <v/>
      </c>
      <c r="K23" s="153" t="str">
        <f t="array" ref="K23">IF($A23="","",IFERROR(INDEX(Sales!$M:$M,MATCH($A23,Sales!$E:$E,0)),""))</f>
        <v/>
      </c>
      <c r="L23" s="158" t="str">
        <f t="shared" si="2"/>
        <v/>
      </c>
      <c r="N23" s="49" t="str">
        <f t="array" ref="N23">IFERROR(INDEX(Sales!$E$7:$E$1506,MATCH(ROW()-4,Sales!$V$7:$V$1506,0)),"")</f>
        <v/>
      </c>
      <c r="O23" s="160">
        <v>80.0</v>
      </c>
      <c r="P23" s="160">
        <v>80.0</v>
      </c>
    </row>
    <row r="24" ht="14.25" customHeight="1">
      <c r="A24" s="151" t="str">
        <f t="array" ref="A24">IFERROR(INDEX(Sales!$E$7:$E$1506,MATCH(ROW()-4,Sales!$W$7:$W$1506,0)),"")</f>
        <v/>
      </c>
      <c r="B24" s="152" t="str">
        <f t="array" ref="B24">IF($A24="","",IFERROR(INDEX(Sales!$A:$A,MATCH($A24,Sales!$E:$E,0)),""))</f>
        <v/>
      </c>
      <c r="C24" s="153" t="str">
        <f t="array" ref="C24">IF($A24="","",IFERROR(INDEX(Sales!$D:$D,MATCH($A24,Sales!$E:$E,0)),""))</f>
        <v/>
      </c>
      <c r="D24" s="153" t="str">
        <f t="array" ref="D24">IF($A24="","",IFERROR(INDEX(Sales!$C:$C,MATCH($A24,Sales!$E:$E,0)),""))</f>
        <v/>
      </c>
      <c r="E24" s="154" t="str">
        <f>IF($A24="","",SUMIFS(Sales!$H:$H,Sales!$E:$E,$A24,Sales!$B:$B,"&lt;&gt;Return"))</f>
        <v/>
      </c>
      <c r="F24" s="155" t="str">
        <f>IF($A24="","",SUMIF(Sales!$E:$E,$A24,Sales!$L:$L))</f>
        <v/>
      </c>
      <c r="G24" s="155" t="str">
        <f>IF($A24="","",SUMIF(Sales!$E:$E,$A24,Sales!$P:$P))</f>
        <v/>
      </c>
      <c r="H24" s="156" t="str">
        <f t="array" ref="H24">IF($A24="","",IFERROR(INDEX(Orders!$O$5:$O$1004,MATCH($A24,Orders!$N$5:$N$1004,0)),""))</f>
        <v/>
      </c>
      <c r="I24" s="156" t="str">
        <f t="array" ref="I24">IF($A24="","",IFERROR(INDEX(Orders!$P$5:$P$1004,MATCH($A24,Orders!$N$5:$N$1004,0)),""))</f>
        <v/>
      </c>
      <c r="J24" s="157" t="str">
        <f t="shared" si="1"/>
        <v/>
      </c>
      <c r="K24" s="153" t="str">
        <f t="array" ref="K24">IF($A24="","",IFERROR(INDEX(Sales!$M:$M,MATCH($A24,Sales!$E:$E,0)),""))</f>
        <v/>
      </c>
      <c r="L24" s="158" t="str">
        <f t="shared" si="2"/>
        <v/>
      </c>
      <c r="N24" s="49" t="str">
        <f t="array" ref="N24">IFERROR(INDEX(Sales!$E$7:$E$1506,MATCH(ROW()-4,Sales!$V$7:$V$1506,0)),"")</f>
        <v/>
      </c>
      <c r="O24" s="67"/>
      <c r="P24" s="67"/>
    </row>
    <row r="25" ht="14.25" customHeight="1">
      <c r="A25" s="151" t="str">
        <f t="array" ref="A25">IFERROR(INDEX(Sales!$E$7:$E$1506,MATCH(ROW()-4,Sales!$W$7:$W$1506,0)),"")</f>
        <v/>
      </c>
      <c r="B25" s="152" t="str">
        <f t="array" ref="B25">IF($A25="","",IFERROR(INDEX(Sales!$A:$A,MATCH($A25,Sales!$E:$E,0)),""))</f>
        <v/>
      </c>
      <c r="C25" s="153" t="str">
        <f t="array" ref="C25">IF($A25="","",IFERROR(INDEX(Sales!$D:$D,MATCH($A25,Sales!$E:$E,0)),""))</f>
        <v/>
      </c>
      <c r="D25" s="153" t="str">
        <f t="array" ref="D25">IF($A25="","",IFERROR(INDEX(Sales!$C:$C,MATCH($A25,Sales!$E:$E,0)),""))</f>
        <v/>
      </c>
      <c r="E25" s="154" t="str">
        <f>IF($A25="","",SUMIFS(Sales!$H:$H,Sales!$E:$E,$A25,Sales!$B:$B,"&lt;&gt;Return"))</f>
        <v/>
      </c>
      <c r="F25" s="155" t="str">
        <f>IF($A25="","",SUMIF(Sales!$E:$E,$A25,Sales!$L:$L))</f>
        <v/>
      </c>
      <c r="G25" s="155" t="str">
        <f>IF($A25="","",SUMIF(Sales!$E:$E,$A25,Sales!$P:$P))</f>
        <v/>
      </c>
      <c r="H25" s="156" t="str">
        <f t="array" ref="H25">IF($A25="","",IFERROR(INDEX(Orders!$O$5:$O$1004,MATCH($A25,Orders!$N$5:$N$1004,0)),""))</f>
        <v/>
      </c>
      <c r="I25" s="156" t="str">
        <f t="array" ref="I25">IF($A25="","",IFERROR(INDEX(Orders!$P$5:$P$1004,MATCH($A25,Orders!$N$5:$N$1004,0)),""))</f>
        <v/>
      </c>
      <c r="J25" s="157" t="str">
        <f t="shared" si="1"/>
        <v/>
      </c>
      <c r="K25" s="153" t="str">
        <f t="array" ref="K25">IF($A25="","",IFERROR(INDEX(Sales!$M:$M,MATCH($A25,Sales!$E:$E,0)),""))</f>
        <v/>
      </c>
      <c r="L25" s="158" t="str">
        <f t="shared" si="2"/>
        <v/>
      </c>
      <c r="N25" s="49" t="str">
        <f t="array" ref="N25">IFERROR(INDEX(Sales!$E$7:$E$1506,MATCH(ROW()-4,Sales!$V$7:$V$1506,0)),"")</f>
        <v/>
      </c>
      <c r="O25" s="67"/>
      <c r="P25" s="67"/>
    </row>
    <row r="26" ht="14.25" customHeight="1">
      <c r="A26" s="151" t="str">
        <f t="array" ref="A26">IFERROR(INDEX(Sales!$E$7:$E$1506,MATCH(ROW()-4,Sales!$W$7:$W$1506,0)),"")</f>
        <v/>
      </c>
      <c r="B26" s="152" t="str">
        <f t="array" ref="B26">IF($A26="","",IFERROR(INDEX(Sales!$A:$A,MATCH($A26,Sales!$E:$E,0)),""))</f>
        <v/>
      </c>
      <c r="C26" s="153" t="str">
        <f t="array" ref="C26">IF($A26="","",IFERROR(INDEX(Sales!$D:$D,MATCH($A26,Sales!$E:$E,0)),""))</f>
        <v/>
      </c>
      <c r="D26" s="153" t="str">
        <f t="array" ref="D26">IF($A26="","",IFERROR(INDEX(Sales!$C:$C,MATCH($A26,Sales!$E:$E,0)),""))</f>
        <v/>
      </c>
      <c r="E26" s="154" t="str">
        <f>IF($A26="","",SUMIFS(Sales!$H:$H,Sales!$E:$E,$A26,Sales!$B:$B,"&lt;&gt;Return"))</f>
        <v/>
      </c>
      <c r="F26" s="155" t="str">
        <f>IF($A26="","",SUMIF(Sales!$E:$E,$A26,Sales!$L:$L))</f>
        <v/>
      </c>
      <c r="G26" s="155" t="str">
        <f>IF($A26="","",SUMIF(Sales!$E:$E,$A26,Sales!$P:$P))</f>
        <v/>
      </c>
      <c r="H26" s="156" t="str">
        <f t="array" ref="H26">IF($A26="","",IFERROR(INDEX(Orders!$O$5:$O$1004,MATCH($A26,Orders!$N$5:$N$1004,0)),""))</f>
        <v/>
      </c>
      <c r="I26" s="156" t="str">
        <f t="array" ref="I26">IF($A26="","",IFERROR(INDEX(Orders!$P$5:$P$1004,MATCH($A26,Orders!$N$5:$N$1004,0)),""))</f>
        <v/>
      </c>
      <c r="J26" s="157" t="str">
        <f t="shared" si="1"/>
        <v/>
      </c>
      <c r="K26" s="153" t="str">
        <f t="array" ref="K26">IF($A26="","",IFERROR(INDEX(Sales!$M:$M,MATCH($A26,Sales!$E:$E,0)),""))</f>
        <v/>
      </c>
      <c r="L26" s="158" t="str">
        <f t="shared" si="2"/>
        <v/>
      </c>
      <c r="N26" s="49" t="str">
        <f t="array" ref="N26">IFERROR(INDEX(Sales!$E$7:$E$1506,MATCH(ROW()-4,Sales!$V$7:$V$1506,0)),"")</f>
        <v/>
      </c>
      <c r="O26" s="67"/>
      <c r="P26" s="67"/>
    </row>
    <row r="27" ht="14.25" customHeight="1">
      <c r="A27" s="151" t="str">
        <f t="array" ref="A27">IFERROR(INDEX(Sales!$E$7:$E$1506,MATCH(ROW()-4,Sales!$W$7:$W$1506,0)),"")</f>
        <v/>
      </c>
      <c r="B27" s="152" t="str">
        <f t="array" ref="B27">IF($A27="","",IFERROR(INDEX(Sales!$A:$A,MATCH($A27,Sales!$E:$E,0)),""))</f>
        <v/>
      </c>
      <c r="C27" s="153" t="str">
        <f t="array" ref="C27">IF($A27="","",IFERROR(INDEX(Sales!$D:$D,MATCH($A27,Sales!$E:$E,0)),""))</f>
        <v/>
      </c>
      <c r="D27" s="153" t="str">
        <f t="array" ref="D27">IF($A27="","",IFERROR(INDEX(Sales!$C:$C,MATCH($A27,Sales!$E:$E,0)),""))</f>
        <v/>
      </c>
      <c r="E27" s="154" t="str">
        <f>IF($A27="","",SUMIFS(Sales!$H:$H,Sales!$E:$E,$A27,Sales!$B:$B,"&lt;&gt;Return"))</f>
        <v/>
      </c>
      <c r="F27" s="155" t="str">
        <f>IF($A27="","",SUMIF(Sales!$E:$E,$A27,Sales!$L:$L))</f>
        <v/>
      </c>
      <c r="G27" s="155" t="str">
        <f>IF($A27="","",SUMIF(Sales!$E:$E,$A27,Sales!$P:$P))</f>
        <v/>
      </c>
      <c r="H27" s="156" t="str">
        <f t="array" ref="H27">IF($A27="","",IFERROR(INDEX(Orders!$O$5:$O$1004,MATCH($A27,Orders!$N$5:$N$1004,0)),""))</f>
        <v/>
      </c>
      <c r="I27" s="156" t="str">
        <f t="array" ref="I27">IF($A27="","",IFERROR(INDEX(Orders!$P$5:$P$1004,MATCH($A27,Orders!$N$5:$N$1004,0)),""))</f>
        <v/>
      </c>
      <c r="J27" s="157" t="str">
        <f t="shared" si="1"/>
        <v/>
      </c>
      <c r="K27" s="153" t="str">
        <f t="array" ref="K27">IF($A27="","",IFERROR(INDEX(Sales!$M:$M,MATCH($A27,Sales!$E:$E,0)),""))</f>
        <v/>
      </c>
      <c r="L27" s="158" t="str">
        <f t="shared" si="2"/>
        <v/>
      </c>
      <c r="N27" s="49" t="str">
        <f t="array" ref="N27">IFERROR(INDEX(Sales!$E$7:$E$1506,MATCH(ROW()-4,Sales!$V$7:$V$1506,0)),"")</f>
        <v/>
      </c>
      <c r="O27" s="67"/>
      <c r="P27" s="67"/>
    </row>
    <row r="28" ht="14.25" customHeight="1">
      <c r="A28" s="151" t="str">
        <f t="array" ref="A28">IFERROR(INDEX(Sales!$E$7:$E$1506,MATCH(ROW()-4,Sales!$W$7:$W$1506,0)),"")</f>
        <v/>
      </c>
      <c r="B28" s="152" t="str">
        <f t="array" ref="B28">IF($A28="","",IFERROR(INDEX(Sales!$A:$A,MATCH($A28,Sales!$E:$E,0)),""))</f>
        <v/>
      </c>
      <c r="C28" s="153" t="str">
        <f t="array" ref="C28">IF($A28="","",IFERROR(INDEX(Sales!$D:$D,MATCH($A28,Sales!$E:$E,0)),""))</f>
        <v/>
      </c>
      <c r="D28" s="153" t="str">
        <f t="array" ref="D28">IF($A28="","",IFERROR(INDEX(Sales!$C:$C,MATCH($A28,Sales!$E:$E,0)),""))</f>
        <v/>
      </c>
      <c r="E28" s="154" t="str">
        <f>IF($A28="","",SUMIFS(Sales!$H:$H,Sales!$E:$E,$A28,Sales!$B:$B,"&lt;&gt;Return"))</f>
        <v/>
      </c>
      <c r="F28" s="155" t="str">
        <f>IF($A28="","",SUMIF(Sales!$E:$E,$A28,Sales!$L:$L))</f>
        <v/>
      </c>
      <c r="G28" s="155" t="str">
        <f>IF($A28="","",SUMIF(Sales!$E:$E,$A28,Sales!$P:$P))</f>
        <v/>
      </c>
      <c r="H28" s="156" t="str">
        <f t="array" ref="H28">IF($A28="","",IFERROR(INDEX(Orders!$O$5:$O$1004,MATCH($A28,Orders!$N$5:$N$1004,0)),""))</f>
        <v/>
      </c>
      <c r="I28" s="156" t="str">
        <f t="array" ref="I28">IF($A28="","",IFERROR(INDEX(Orders!$P$5:$P$1004,MATCH($A28,Orders!$N$5:$N$1004,0)),""))</f>
        <v/>
      </c>
      <c r="J28" s="157" t="str">
        <f t="shared" si="1"/>
        <v/>
      </c>
      <c r="K28" s="153" t="str">
        <f t="array" ref="K28">IF($A28="","",IFERROR(INDEX(Sales!$M:$M,MATCH($A28,Sales!$E:$E,0)),""))</f>
        <v/>
      </c>
      <c r="L28" s="158" t="str">
        <f t="shared" si="2"/>
        <v/>
      </c>
      <c r="N28" s="49" t="str">
        <f t="array" ref="N28">IFERROR(INDEX(Sales!$E$7:$E$1506,MATCH(ROW()-4,Sales!$V$7:$V$1506,0)),"")</f>
        <v/>
      </c>
      <c r="O28" s="67"/>
      <c r="P28" s="67"/>
    </row>
    <row r="29" ht="14.25" customHeight="1">
      <c r="A29" s="151" t="str">
        <f t="array" ref="A29">IFERROR(INDEX(Sales!$E$7:$E$1506,MATCH(ROW()-4,Sales!$W$7:$W$1506,0)),"")</f>
        <v/>
      </c>
      <c r="B29" s="152" t="str">
        <f t="array" ref="B29">IF($A29="","",IFERROR(INDEX(Sales!$A:$A,MATCH($A29,Sales!$E:$E,0)),""))</f>
        <v/>
      </c>
      <c r="C29" s="153" t="str">
        <f t="array" ref="C29">IF($A29="","",IFERROR(INDEX(Sales!$D:$D,MATCH($A29,Sales!$E:$E,0)),""))</f>
        <v/>
      </c>
      <c r="D29" s="153" t="str">
        <f t="array" ref="D29">IF($A29="","",IFERROR(INDEX(Sales!$C:$C,MATCH($A29,Sales!$E:$E,0)),""))</f>
        <v/>
      </c>
      <c r="E29" s="154" t="str">
        <f>IF($A29="","",SUMIFS(Sales!$H:$H,Sales!$E:$E,$A29,Sales!$B:$B,"&lt;&gt;Return"))</f>
        <v/>
      </c>
      <c r="F29" s="155" t="str">
        <f>IF($A29="","",SUMIF(Sales!$E:$E,$A29,Sales!$L:$L))</f>
        <v/>
      </c>
      <c r="G29" s="155" t="str">
        <f>IF($A29="","",SUMIF(Sales!$E:$E,$A29,Sales!$P:$P))</f>
        <v/>
      </c>
      <c r="H29" s="156" t="str">
        <f t="array" ref="H29">IF($A29="","",IFERROR(INDEX(Orders!$O$5:$O$1004,MATCH($A29,Orders!$N$5:$N$1004,0)),""))</f>
        <v/>
      </c>
      <c r="I29" s="156" t="str">
        <f t="array" ref="I29">IF($A29="","",IFERROR(INDEX(Orders!$P$5:$P$1004,MATCH($A29,Orders!$N$5:$N$1004,0)),""))</f>
        <v/>
      </c>
      <c r="J29" s="157" t="str">
        <f t="shared" si="1"/>
        <v/>
      </c>
      <c r="K29" s="153" t="str">
        <f t="array" ref="K29">IF($A29="","",IFERROR(INDEX(Sales!$M:$M,MATCH($A29,Sales!$E:$E,0)),""))</f>
        <v/>
      </c>
      <c r="L29" s="158" t="str">
        <f t="shared" si="2"/>
        <v/>
      </c>
      <c r="N29" s="49" t="str">
        <f t="array" ref="N29">IFERROR(INDEX(Sales!$E$7:$E$1506,MATCH(ROW()-4,Sales!$V$7:$V$1506,0)),"")</f>
        <v/>
      </c>
      <c r="O29" s="67"/>
      <c r="P29" s="67"/>
    </row>
    <row r="30" ht="14.25" customHeight="1">
      <c r="A30" s="151" t="str">
        <f t="array" ref="A30">IFERROR(INDEX(Sales!$E$7:$E$1506,MATCH(ROW()-4,Sales!$W$7:$W$1506,0)),"")</f>
        <v/>
      </c>
      <c r="B30" s="152" t="str">
        <f t="array" ref="B30">IF($A30="","",IFERROR(INDEX(Sales!$A:$A,MATCH($A30,Sales!$E:$E,0)),""))</f>
        <v/>
      </c>
      <c r="C30" s="153" t="str">
        <f t="array" ref="C30">IF($A30="","",IFERROR(INDEX(Sales!$D:$D,MATCH($A30,Sales!$E:$E,0)),""))</f>
        <v/>
      </c>
      <c r="D30" s="153" t="str">
        <f t="array" ref="D30">IF($A30="","",IFERROR(INDEX(Sales!$C:$C,MATCH($A30,Sales!$E:$E,0)),""))</f>
        <v/>
      </c>
      <c r="E30" s="154" t="str">
        <f>IF($A30="","",SUMIFS(Sales!$H:$H,Sales!$E:$E,$A30,Sales!$B:$B,"&lt;&gt;Return"))</f>
        <v/>
      </c>
      <c r="F30" s="155" t="str">
        <f>IF($A30="","",SUMIF(Sales!$E:$E,$A30,Sales!$L:$L))</f>
        <v/>
      </c>
      <c r="G30" s="155" t="str">
        <f>IF($A30="","",SUMIF(Sales!$E:$E,$A30,Sales!$P:$P))</f>
        <v/>
      </c>
      <c r="H30" s="156" t="str">
        <f t="array" ref="H30">IF($A30="","",IFERROR(INDEX(Orders!$O$5:$O$1004,MATCH($A30,Orders!$N$5:$N$1004,0)),""))</f>
        <v/>
      </c>
      <c r="I30" s="156" t="str">
        <f t="array" ref="I30">IF($A30="","",IFERROR(INDEX(Orders!$P$5:$P$1004,MATCH($A30,Orders!$N$5:$N$1004,0)),""))</f>
        <v/>
      </c>
      <c r="J30" s="157" t="str">
        <f t="shared" si="1"/>
        <v/>
      </c>
      <c r="K30" s="153" t="str">
        <f t="array" ref="K30">IF($A30="","",IFERROR(INDEX(Sales!$M:$M,MATCH($A30,Sales!$E:$E,0)),""))</f>
        <v/>
      </c>
      <c r="L30" s="158" t="str">
        <f t="shared" si="2"/>
        <v/>
      </c>
      <c r="N30" s="49" t="str">
        <f t="array" ref="N30">IFERROR(INDEX(Sales!$E$7:$E$1506,MATCH(ROW()-4,Sales!$V$7:$V$1506,0)),"")</f>
        <v/>
      </c>
      <c r="O30" s="67"/>
      <c r="P30" s="67"/>
    </row>
    <row r="31" ht="14.25" customHeight="1">
      <c r="A31" s="151" t="str">
        <f t="array" ref="A31">IFERROR(INDEX(Sales!$E$7:$E$1506,MATCH(ROW()-4,Sales!$W$7:$W$1506,0)),"")</f>
        <v/>
      </c>
      <c r="B31" s="152" t="str">
        <f t="array" ref="B31">IF($A31="","",IFERROR(INDEX(Sales!$A:$A,MATCH($A31,Sales!$E:$E,0)),""))</f>
        <v/>
      </c>
      <c r="C31" s="153" t="str">
        <f t="array" ref="C31">IF($A31="","",IFERROR(INDEX(Sales!$D:$D,MATCH($A31,Sales!$E:$E,0)),""))</f>
        <v/>
      </c>
      <c r="D31" s="153" t="str">
        <f t="array" ref="D31">IF($A31="","",IFERROR(INDEX(Sales!$C:$C,MATCH($A31,Sales!$E:$E,0)),""))</f>
        <v/>
      </c>
      <c r="E31" s="154" t="str">
        <f>IF($A31="","",SUMIFS(Sales!$H:$H,Sales!$E:$E,$A31,Sales!$B:$B,"&lt;&gt;Return"))</f>
        <v/>
      </c>
      <c r="F31" s="155" t="str">
        <f>IF($A31="","",SUMIF(Sales!$E:$E,$A31,Sales!$L:$L))</f>
        <v/>
      </c>
      <c r="G31" s="155" t="str">
        <f>IF($A31="","",SUMIF(Sales!$E:$E,$A31,Sales!$P:$P))</f>
        <v/>
      </c>
      <c r="H31" s="156" t="str">
        <f t="array" ref="H31">IF($A31="","",IFERROR(INDEX(Orders!$O$5:$O$1004,MATCH($A31,Orders!$N$5:$N$1004,0)),""))</f>
        <v/>
      </c>
      <c r="I31" s="156" t="str">
        <f t="array" ref="I31">IF($A31="","",IFERROR(INDEX(Orders!$P$5:$P$1004,MATCH($A31,Orders!$N$5:$N$1004,0)),""))</f>
        <v/>
      </c>
      <c r="J31" s="157" t="str">
        <f t="shared" si="1"/>
        <v/>
      </c>
      <c r="K31" s="153" t="str">
        <f t="array" ref="K31">IF($A31="","",IFERROR(INDEX(Sales!$M:$M,MATCH($A31,Sales!$E:$E,0)),""))</f>
        <v/>
      </c>
      <c r="L31" s="158" t="str">
        <f t="shared" si="2"/>
        <v/>
      </c>
      <c r="N31" s="49" t="str">
        <f t="array" ref="N31">IFERROR(INDEX(Sales!$E$7:$E$1506,MATCH(ROW()-4,Sales!$V$7:$V$1506,0)),"")</f>
        <v/>
      </c>
      <c r="O31" s="67"/>
      <c r="P31" s="67"/>
    </row>
    <row r="32" ht="14.25" customHeight="1">
      <c r="A32" s="151" t="str">
        <f t="array" ref="A32">IFERROR(INDEX(Sales!$E$7:$E$1506,MATCH(ROW()-4,Sales!$W$7:$W$1506,0)),"")</f>
        <v/>
      </c>
      <c r="B32" s="152" t="str">
        <f t="array" ref="B32">IF($A32="","",IFERROR(INDEX(Sales!$A:$A,MATCH($A32,Sales!$E:$E,0)),""))</f>
        <v/>
      </c>
      <c r="C32" s="153" t="str">
        <f t="array" ref="C32">IF($A32="","",IFERROR(INDEX(Sales!$D:$D,MATCH($A32,Sales!$E:$E,0)),""))</f>
        <v/>
      </c>
      <c r="D32" s="153" t="str">
        <f t="array" ref="D32">IF($A32="","",IFERROR(INDEX(Sales!$C:$C,MATCH($A32,Sales!$E:$E,0)),""))</f>
        <v/>
      </c>
      <c r="E32" s="154" t="str">
        <f>IF($A32="","",SUMIFS(Sales!$H:$H,Sales!$E:$E,$A32,Sales!$B:$B,"&lt;&gt;Return"))</f>
        <v/>
      </c>
      <c r="F32" s="155" t="str">
        <f>IF($A32="","",SUMIF(Sales!$E:$E,$A32,Sales!$L:$L))</f>
        <v/>
      </c>
      <c r="G32" s="155" t="str">
        <f>IF($A32="","",SUMIF(Sales!$E:$E,$A32,Sales!$P:$P))</f>
        <v/>
      </c>
      <c r="H32" s="156" t="str">
        <f t="array" ref="H32">IF($A32="","",IFERROR(INDEX(Orders!$O$5:$O$1004,MATCH($A32,Orders!$N$5:$N$1004,0)),""))</f>
        <v/>
      </c>
      <c r="I32" s="156" t="str">
        <f t="array" ref="I32">IF($A32="","",IFERROR(INDEX(Orders!$P$5:$P$1004,MATCH($A32,Orders!$N$5:$N$1004,0)),""))</f>
        <v/>
      </c>
      <c r="J32" s="157" t="str">
        <f t="shared" si="1"/>
        <v/>
      </c>
      <c r="K32" s="153" t="str">
        <f t="array" ref="K32">IF($A32="","",IFERROR(INDEX(Sales!$M:$M,MATCH($A32,Sales!$E:$E,0)),""))</f>
        <v/>
      </c>
      <c r="L32" s="158" t="str">
        <f t="shared" si="2"/>
        <v/>
      </c>
      <c r="N32" s="49" t="str">
        <f t="array" ref="N32">IFERROR(INDEX(Sales!$E$7:$E$1506,MATCH(ROW()-4,Sales!$V$7:$V$1506,0)),"")</f>
        <v/>
      </c>
      <c r="O32" s="67"/>
      <c r="P32" s="67"/>
    </row>
    <row r="33" ht="14.25" customHeight="1">
      <c r="A33" s="151" t="str">
        <f t="array" ref="A33">IFERROR(INDEX(Sales!$E$7:$E$1506,MATCH(ROW()-4,Sales!$W$7:$W$1506,0)),"")</f>
        <v/>
      </c>
      <c r="B33" s="152" t="str">
        <f t="array" ref="B33">IF($A33="","",IFERROR(INDEX(Sales!$A:$A,MATCH($A33,Sales!$E:$E,0)),""))</f>
        <v/>
      </c>
      <c r="C33" s="153" t="str">
        <f t="array" ref="C33">IF($A33="","",IFERROR(INDEX(Sales!$D:$D,MATCH($A33,Sales!$E:$E,0)),""))</f>
        <v/>
      </c>
      <c r="D33" s="153" t="str">
        <f t="array" ref="D33">IF($A33="","",IFERROR(INDEX(Sales!$C:$C,MATCH($A33,Sales!$E:$E,0)),""))</f>
        <v/>
      </c>
      <c r="E33" s="154" t="str">
        <f>IF($A33="","",SUMIFS(Sales!$H:$H,Sales!$E:$E,$A33,Sales!$B:$B,"&lt;&gt;Return"))</f>
        <v/>
      </c>
      <c r="F33" s="155" t="str">
        <f>IF($A33="","",SUMIF(Sales!$E:$E,$A33,Sales!$L:$L))</f>
        <v/>
      </c>
      <c r="G33" s="155" t="str">
        <f>IF($A33="","",SUMIF(Sales!$E:$E,$A33,Sales!$P:$P))</f>
        <v/>
      </c>
      <c r="H33" s="156" t="str">
        <f t="array" ref="H33">IF($A33="","",IFERROR(INDEX(Orders!$O$5:$O$1004,MATCH($A33,Orders!$N$5:$N$1004,0)),""))</f>
        <v/>
      </c>
      <c r="I33" s="156" t="str">
        <f t="array" ref="I33">IF($A33="","",IFERROR(INDEX(Orders!$P$5:$P$1004,MATCH($A33,Orders!$N$5:$N$1004,0)),""))</f>
        <v/>
      </c>
      <c r="J33" s="157" t="str">
        <f t="shared" si="1"/>
        <v/>
      </c>
      <c r="K33" s="153" t="str">
        <f t="array" ref="K33">IF($A33="","",IFERROR(INDEX(Sales!$M:$M,MATCH($A33,Sales!$E:$E,0)),""))</f>
        <v/>
      </c>
      <c r="L33" s="158" t="str">
        <f t="shared" si="2"/>
        <v/>
      </c>
      <c r="N33" s="49" t="str">
        <f t="array" ref="N33">IFERROR(INDEX(Sales!$E$7:$E$1506,MATCH(ROW()-4,Sales!$V$7:$V$1506,0)),"")</f>
        <v/>
      </c>
      <c r="O33" s="67"/>
      <c r="P33" s="67"/>
    </row>
    <row r="34" ht="14.25" customHeight="1">
      <c r="A34" s="151" t="str">
        <f t="array" ref="A34">IFERROR(INDEX(Sales!$E$7:$E$1506,MATCH(ROW()-4,Sales!$W$7:$W$1506,0)),"")</f>
        <v/>
      </c>
      <c r="B34" s="152" t="str">
        <f t="array" ref="B34">IF($A34="","",IFERROR(INDEX(Sales!$A:$A,MATCH($A34,Sales!$E:$E,0)),""))</f>
        <v/>
      </c>
      <c r="C34" s="153" t="str">
        <f t="array" ref="C34">IF($A34="","",IFERROR(INDEX(Sales!$D:$D,MATCH($A34,Sales!$E:$E,0)),""))</f>
        <v/>
      </c>
      <c r="D34" s="153" t="str">
        <f t="array" ref="D34">IF($A34="","",IFERROR(INDEX(Sales!$C:$C,MATCH($A34,Sales!$E:$E,0)),""))</f>
        <v/>
      </c>
      <c r="E34" s="154" t="str">
        <f>IF($A34="","",SUMIFS(Sales!$H:$H,Sales!$E:$E,$A34,Sales!$B:$B,"&lt;&gt;Return"))</f>
        <v/>
      </c>
      <c r="F34" s="155" t="str">
        <f>IF($A34="","",SUMIF(Sales!$E:$E,$A34,Sales!$L:$L))</f>
        <v/>
      </c>
      <c r="G34" s="155" t="str">
        <f>IF($A34="","",SUMIF(Sales!$E:$E,$A34,Sales!$P:$P))</f>
        <v/>
      </c>
      <c r="H34" s="156" t="str">
        <f t="array" ref="H34">IF($A34="","",IFERROR(INDEX(Orders!$O$5:$O$1004,MATCH($A34,Orders!$N$5:$N$1004,0)),""))</f>
        <v/>
      </c>
      <c r="I34" s="156" t="str">
        <f t="array" ref="I34">IF($A34="","",IFERROR(INDEX(Orders!$P$5:$P$1004,MATCH($A34,Orders!$N$5:$N$1004,0)),""))</f>
        <v/>
      </c>
      <c r="J34" s="157" t="str">
        <f t="shared" si="1"/>
        <v/>
      </c>
      <c r="K34" s="153" t="str">
        <f t="array" ref="K34">IF($A34="","",IFERROR(INDEX(Sales!$M:$M,MATCH($A34,Sales!$E:$E,0)),""))</f>
        <v/>
      </c>
      <c r="L34" s="158" t="str">
        <f t="shared" si="2"/>
        <v/>
      </c>
      <c r="N34" s="49" t="str">
        <f t="array" ref="N34">IFERROR(INDEX(Sales!$E$7:$E$1506,MATCH(ROW()-4,Sales!$V$7:$V$1506,0)),"")</f>
        <v/>
      </c>
      <c r="O34" s="67"/>
      <c r="P34" s="67"/>
    </row>
    <row r="35" ht="14.25" customHeight="1">
      <c r="A35" s="151" t="str">
        <f t="array" ref="A35">IFERROR(INDEX(Sales!$E$7:$E$1506,MATCH(ROW()-4,Sales!$W$7:$W$1506,0)),"")</f>
        <v/>
      </c>
      <c r="B35" s="152" t="str">
        <f t="array" ref="B35">IF($A35="","",IFERROR(INDEX(Sales!$A:$A,MATCH($A35,Sales!$E:$E,0)),""))</f>
        <v/>
      </c>
      <c r="C35" s="153" t="str">
        <f t="array" ref="C35">IF($A35="","",IFERROR(INDEX(Sales!$D:$D,MATCH($A35,Sales!$E:$E,0)),""))</f>
        <v/>
      </c>
      <c r="D35" s="153" t="str">
        <f t="array" ref="D35">IF($A35="","",IFERROR(INDEX(Sales!$C:$C,MATCH($A35,Sales!$E:$E,0)),""))</f>
        <v/>
      </c>
      <c r="E35" s="154" t="str">
        <f>IF($A35="","",SUMIFS(Sales!$H:$H,Sales!$E:$E,$A35,Sales!$B:$B,"&lt;&gt;Return"))</f>
        <v/>
      </c>
      <c r="F35" s="155" t="str">
        <f>IF($A35="","",SUMIF(Sales!$E:$E,$A35,Sales!$L:$L))</f>
        <v/>
      </c>
      <c r="G35" s="155" t="str">
        <f>IF($A35="","",SUMIF(Sales!$E:$E,$A35,Sales!$P:$P))</f>
        <v/>
      </c>
      <c r="H35" s="156" t="str">
        <f t="array" ref="H35">IF($A35="","",IFERROR(INDEX(Orders!$O$5:$O$1004,MATCH($A35,Orders!$N$5:$N$1004,0)),""))</f>
        <v/>
      </c>
      <c r="I35" s="156" t="str">
        <f t="array" ref="I35">IF($A35="","",IFERROR(INDEX(Orders!$P$5:$P$1004,MATCH($A35,Orders!$N$5:$N$1004,0)),""))</f>
        <v/>
      </c>
      <c r="J35" s="157" t="str">
        <f t="shared" si="1"/>
        <v/>
      </c>
      <c r="K35" s="153" t="str">
        <f t="array" ref="K35">IF($A35="","",IFERROR(INDEX(Sales!$M:$M,MATCH($A35,Sales!$E:$E,0)),""))</f>
        <v/>
      </c>
      <c r="L35" s="158" t="str">
        <f t="shared" si="2"/>
        <v/>
      </c>
      <c r="N35" s="49" t="str">
        <f t="array" ref="N35">IFERROR(INDEX(Sales!$E$7:$E$1506,MATCH(ROW()-4,Sales!$V$7:$V$1506,0)),"")</f>
        <v/>
      </c>
      <c r="O35" s="67"/>
      <c r="P35" s="67"/>
    </row>
    <row r="36" ht="14.25" customHeight="1">
      <c r="A36" s="151" t="str">
        <f t="array" ref="A36">IFERROR(INDEX(Sales!$E$7:$E$1506,MATCH(ROW()-4,Sales!$W$7:$W$1506,0)),"")</f>
        <v/>
      </c>
      <c r="B36" s="152" t="str">
        <f t="array" ref="B36">IF($A36="","",IFERROR(INDEX(Sales!$A:$A,MATCH($A36,Sales!$E:$E,0)),""))</f>
        <v/>
      </c>
      <c r="C36" s="153" t="str">
        <f t="array" ref="C36">IF($A36="","",IFERROR(INDEX(Sales!$D:$D,MATCH($A36,Sales!$E:$E,0)),""))</f>
        <v/>
      </c>
      <c r="D36" s="153" t="str">
        <f t="array" ref="D36">IF($A36="","",IFERROR(INDEX(Sales!$C:$C,MATCH($A36,Sales!$E:$E,0)),""))</f>
        <v/>
      </c>
      <c r="E36" s="154" t="str">
        <f>IF($A36="","",SUMIFS(Sales!$H:$H,Sales!$E:$E,$A36,Sales!$B:$B,"&lt;&gt;Return"))</f>
        <v/>
      </c>
      <c r="F36" s="155" t="str">
        <f>IF($A36="","",SUMIF(Sales!$E:$E,$A36,Sales!$L:$L))</f>
        <v/>
      </c>
      <c r="G36" s="155" t="str">
        <f>IF($A36="","",SUMIF(Sales!$E:$E,$A36,Sales!$P:$P))</f>
        <v/>
      </c>
      <c r="H36" s="156" t="str">
        <f t="array" ref="H36">IF($A36="","",IFERROR(INDEX(Orders!$O$5:$O$1004,MATCH($A36,Orders!$N$5:$N$1004,0)),""))</f>
        <v/>
      </c>
      <c r="I36" s="156" t="str">
        <f t="array" ref="I36">IF($A36="","",IFERROR(INDEX(Orders!$P$5:$P$1004,MATCH($A36,Orders!$N$5:$N$1004,0)),""))</f>
        <v/>
      </c>
      <c r="J36" s="157" t="str">
        <f t="shared" si="1"/>
        <v/>
      </c>
      <c r="K36" s="153" t="str">
        <f t="array" ref="K36">IF($A36="","",IFERROR(INDEX(Sales!$M:$M,MATCH($A36,Sales!$E:$E,0)),""))</f>
        <v/>
      </c>
      <c r="L36" s="158" t="str">
        <f t="shared" si="2"/>
        <v/>
      </c>
      <c r="N36" s="49" t="str">
        <f t="array" ref="N36">IFERROR(INDEX(Sales!$E$7:$E$1506,MATCH(ROW()-4,Sales!$V$7:$V$1506,0)),"")</f>
        <v/>
      </c>
      <c r="O36" s="67"/>
      <c r="P36" s="67"/>
    </row>
    <row r="37" ht="14.25" customHeight="1">
      <c r="A37" s="151" t="str">
        <f t="array" ref="A37">IFERROR(INDEX(Sales!$E$7:$E$1506,MATCH(ROW()-4,Sales!$W$7:$W$1506,0)),"")</f>
        <v/>
      </c>
      <c r="B37" s="152" t="str">
        <f t="array" ref="B37">IF($A37="","",IFERROR(INDEX(Sales!$A:$A,MATCH($A37,Sales!$E:$E,0)),""))</f>
        <v/>
      </c>
      <c r="C37" s="153" t="str">
        <f t="array" ref="C37">IF($A37="","",IFERROR(INDEX(Sales!$D:$D,MATCH($A37,Sales!$E:$E,0)),""))</f>
        <v/>
      </c>
      <c r="D37" s="153" t="str">
        <f t="array" ref="D37">IF($A37="","",IFERROR(INDEX(Sales!$C:$C,MATCH($A37,Sales!$E:$E,0)),""))</f>
        <v/>
      </c>
      <c r="E37" s="154" t="str">
        <f>IF($A37="","",SUMIFS(Sales!$H:$H,Sales!$E:$E,$A37,Sales!$B:$B,"&lt;&gt;Return"))</f>
        <v/>
      </c>
      <c r="F37" s="155" t="str">
        <f>IF($A37="","",SUMIF(Sales!$E:$E,$A37,Sales!$L:$L))</f>
        <v/>
      </c>
      <c r="G37" s="155" t="str">
        <f>IF($A37="","",SUMIF(Sales!$E:$E,$A37,Sales!$P:$P))</f>
        <v/>
      </c>
      <c r="H37" s="156" t="str">
        <f t="array" ref="H37">IF($A37="","",IFERROR(INDEX(Orders!$O$5:$O$1004,MATCH($A37,Orders!$N$5:$N$1004,0)),""))</f>
        <v/>
      </c>
      <c r="I37" s="156" t="str">
        <f t="array" ref="I37">IF($A37="","",IFERROR(INDEX(Orders!$P$5:$P$1004,MATCH($A37,Orders!$N$5:$N$1004,0)),""))</f>
        <v/>
      </c>
      <c r="J37" s="157" t="str">
        <f t="shared" si="1"/>
        <v/>
      </c>
      <c r="K37" s="153" t="str">
        <f t="array" ref="K37">IF($A37="","",IFERROR(INDEX(Sales!$M:$M,MATCH($A37,Sales!$E:$E,0)),""))</f>
        <v/>
      </c>
      <c r="L37" s="158" t="str">
        <f t="shared" si="2"/>
        <v/>
      </c>
      <c r="N37" s="49" t="str">
        <f t="array" ref="N37">IFERROR(INDEX(Sales!$E$7:$E$1506,MATCH(ROW()-4,Sales!$V$7:$V$1506,0)),"")</f>
        <v/>
      </c>
      <c r="O37" s="67"/>
      <c r="P37" s="67"/>
    </row>
    <row r="38" ht="14.25" customHeight="1">
      <c r="A38" s="151" t="str">
        <f t="array" ref="A38">IFERROR(INDEX(Sales!$E$7:$E$1506,MATCH(ROW()-4,Sales!$W$7:$W$1506,0)),"")</f>
        <v/>
      </c>
      <c r="B38" s="152" t="str">
        <f t="array" ref="B38">IF($A38="","",IFERROR(INDEX(Sales!$A:$A,MATCH($A38,Sales!$E:$E,0)),""))</f>
        <v/>
      </c>
      <c r="C38" s="153" t="str">
        <f t="array" ref="C38">IF($A38="","",IFERROR(INDEX(Sales!$D:$D,MATCH($A38,Sales!$E:$E,0)),""))</f>
        <v/>
      </c>
      <c r="D38" s="153" t="str">
        <f t="array" ref="D38">IF($A38="","",IFERROR(INDEX(Sales!$C:$C,MATCH($A38,Sales!$E:$E,0)),""))</f>
        <v/>
      </c>
      <c r="E38" s="154" t="str">
        <f>IF($A38="","",SUMIFS(Sales!$H:$H,Sales!$E:$E,$A38,Sales!$B:$B,"&lt;&gt;Return"))</f>
        <v/>
      </c>
      <c r="F38" s="155" t="str">
        <f>IF($A38="","",SUMIF(Sales!$E:$E,$A38,Sales!$L:$L))</f>
        <v/>
      </c>
      <c r="G38" s="155" t="str">
        <f>IF($A38="","",SUMIF(Sales!$E:$E,$A38,Sales!$P:$P))</f>
        <v/>
      </c>
      <c r="H38" s="156" t="str">
        <f t="array" ref="H38">IF($A38="","",IFERROR(INDEX(Orders!$O$5:$O$1004,MATCH($A38,Orders!$N$5:$N$1004,0)),""))</f>
        <v/>
      </c>
      <c r="I38" s="156" t="str">
        <f t="array" ref="I38">IF($A38="","",IFERROR(INDEX(Orders!$P$5:$P$1004,MATCH($A38,Orders!$N$5:$N$1004,0)),""))</f>
        <v/>
      </c>
      <c r="J38" s="157" t="str">
        <f t="shared" si="1"/>
        <v/>
      </c>
      <c r="K38" s="153" t="str">
        <f t="array" ref="K38">IF($A38="","",IFERROR(INDEX(Sales!$M:$M,MATCH($A38,Sales!$E:$E,0)),""))</f>
        <v/>
      </c>
      <c r="L38" s="158" t="str">
        <f t="shared" si="2"/>
        <v/>
      </c>
      <c r="N38" s="49" t="str">
        <f t="array" ref="N38">IFERROR(INDEX(Sales!$E$7:$E$1506,MATCH(ROW()-4,Sales!$V$7:$V$1506,0)),"")</f>
        <v/>
      </c>
      <c r="O38" s="67"/>
      <c r="P38" s="67"/>
    </row>
    <row r="39" ht="14.25" customHeight="1">
      <c r="A39" s="151" t="str">
        <f t="array" ref="A39">IFERROR(INDEX(Sales!$E$7:$E$1506,MATCH(ROW()-4,Sales!$W$7:$W$1506,0)),"")</f>
        <v/>
      </c>
      <c r="B39" s="152" t="str">
        <f t="array" ref="B39">IF($A39="","",IFERROR(INDEX(Sales!$A:$A,MATCH($A39,Sales!$E:$E,0)),""))</f>
        <v/>
      </c>
      <c r="C39" s="153" t="str">
        <f t="array" ref="C39">IF($A39="","",IFERROR(INDEX(Sales!$D:$D,MATCH($A39,Sales!$E:$E,0)),""))</f>
        <v/>
      </c>
      <c r="D39" s="153" t="str">
        <f t="array" ref="D39">IF($A39="","",IFERROR(INDEX(Sales!$C:$C,MATCH($A39,Sales!$E:$E,0)),""))</f>
        <v/>
      </c>
      <c r="E39" s="154" t="str">
        <f>IF($A39="","",SUMIFS(Sales!$H:$H,Sales!$E:$E,$A39,Sales!$B:$B,"&lt;&gt;Return"))</f>
        <v/>
      </c>
      <c r="F39" s="155" t="str">
        <f>IF($A39="","",SUMIF(Sales!$E:$E,$A39,Sales!$L:$L))</f>
        <v/>
      </c>
      <c r="G39" s="155" t="str">
        <f>IF($A39="","",SUMIF(Sales!$E:$E,$A39,Sales!$P:$P))</f>
        <v/>
      </c>
      <c r="H39" s="156" t="str">
        <f t="array" ref="H39">IF($A39="","",IFERROR(INDEX(Orders!$O$5:$O$1004,MATCH($A39,Orders!$N$5:$N$1004,0)),""))</f>
        <v/>
      </c>
      <c r="I39" s="156" t="str">
        <f t="array" ref="I39">IF($A39="","",IFERROR(INDEX(Orders!$P$5:$P$1004,MATCH($A39,Orders!$N$5:$N$1004,0)),""))</f>
        <v/>
      </c>
      <c r="J39" s="157" t="str">
        <f t="shared" si="1"/>
        <v/>
      </c>
      <c r="K39" s="153" t="str">
        <f t="array" ref="K39">IF($A39="","",IFERROR(INDEX(Sales!$M:$M,MATCH($A39,Sales!$E:$E,0)),""))</f>
        <v/>
      </c>
      <c r="L39" s="158" t="str">
        <f t="shared" si="2"/>
        <v/>
      </c>
      <c r="N39" s="49" t="str">
        <f t="array" ref="N39">IFERROR(INDEX(Sales!$E$7:$E$1506,MATCH(ROW()-4,Sales!$V$7:$V$1506,0)),"")</f>
        <v/>
      </c>
      <c r="O39" s="67"/>
      <c r="P39" s="67"/>
    </row>
    <row r="40" ht="14.25" customHeight="1">
      <c r="A40" s="151" t="str">
        <f t="array" ref="A40">IFERROR(INDEX(Sales!$E$7:$E$1506,MATCH(ROW()-4,Sales!$W$7:$W$1506,0)),"")</f>
        <v/>
      </c>
      <c r="B40" s="152" t="str">
        <f t="array" ref="B40">IF($A40="","",IFERROR(INDEX(Sales!$A:$A,MATCH($A40,Sales!$E:$E,0)),""))</f>
        <v/>
      </c>
      <c r="C40" s="153" t="str">
        <f t="array" ref="C40">IF($A40="","",IFERROR(INDEX(Sales!$D:$D,MATCH($A40,Sales!$E:$E,0)),""))</f>
        <v/>
      </c>
      <c r="D40" s="153" t="str">
        <f t="array" ref="D40">IF($A40="","",IFERROR(INDEX(Sales!$C:$C,MATCH($A40,Sales!$E:$E,0)),""))</f>
        <v/>
      </c>
      <c r="E40" s="154" t="str">
        <f>IF($A40="","",SUMIFS(Sales!$H:$H,Sales!$E:$E,$A40,Sales!$B:$B,"&lt;&gt;Return"))</f>
        <v/>
      </c>
      <c r="F40" s="155" t="str">
        <f>IF($A40="","",SUMIF(Sales!$E:$E,$A40,Sales!$L:$L))</f>
        <v/>
      </c>
      <c r="G40" s="155" t="str">
        <f>IF($A40="","",SUMIF(Sales!$E:$E,$A40,Sales!$P:$P))</f>
        <v/>
      </c>
      <c r="H40" s="156" t="str">
        <f t="array" ref="H40">IF($A40="","",IFERROR(INDEX(Orders!$O$5:$O$1004,MATCH($A40,Orders!$N$5:$N$1004,0)),""))</f>
        <v/>
      </c>
      <c r="I40" s="156" t="str">
        <f t="array" ref="I40">IF($A40="","",IFERROR(INDEX(Orders!$P$5:$P$1004,MATCH($A40,Orders!$N$5:$N$1004,0)),""))</f>
        <v/>
      </c>
      <c r="J40" s="157" t="str">
        <f t="shared" si="1"/>
        <v/>
      </c>
      <c r="K40" s="153" t="str">
        <f t="array" ref="K40">IF($A40="","",IFERROR(INDEX(Sales!$M:$M,MATCH($A40,Sales!$E:$E,0)),""))</f>
        <v/>
      </c>
      <c r="L40" s="158" t="str">
        <f t="shared" si="2"/>
        <v/>
      </c>
      <c r="N40" s="49" t="str">
        <f t="array" ref="N40">IFERROR(INDEX(Sales!$E$7:$E$1506,MATCH(ROW()-4,Sales!$V$7:$V$1506,0)),"")</f>
        <v/>
      </c>
      <c r="O40" s="67"/>
      <c r="P40" s="67"/>
    </row>
    <row r="41" ht="14.25" customHeight="1">
      <c r="A41" s="151" t="str">
        <f t="array" ref="A41">IFERROR(INDEX(Sales!$E$7:$E$1506,MATCH(ROW()-4,Sales!$W$7:$W$1506,0)),"")</f>
        <v/>
      </c>
      <c r="B41" s="152" t="str">
        <f t="array" ref="B41">IF($A41="","",IFERROR(INDEX(Sales!$A:$A,MATCH($A41,Sales!$E:$E,0)),""))</f>
        <v/>
      </c>
      <c r="C41" s="153" t="str">
        <f t="array" ref="C41">IF($A41="","",IFERROR(INDEX(Sales!$D:$D,MATCH($A41,Sales!$E:$E,0)),""))</f>
        <v/>
      </c>
      <c r="D41" s="153" t="str">
        <f t="array" ref="D41">IF($A41="","",IFERROR(INDEX(Sales!$C:$C,MATCH($A41,Sales!$E:$E,0)),""))</f>
        <v/>
      </c>
      <c r="E41" s="154" t="str">
        <f>IF($A41="","",SUMIFS(Sales!$H:$H,Sales!$E:$E,$A41,Sales!$B:$B,"&lt;&gt;Return"))</f>
        <v/>
      </c>
      <c r="F41" s="155" t="str">
        <f>IF($A41="","",SUMIF(Sales!$E:$E,$A41,Sales!$L:$L))</f>
        <v/>
      </c>
      <c r="G41" s="155" t="str">
        <f>IF($A41="","",SUMIF(Sales!$E:$E,$A41,Sales!$P:$P))</f>
        <v/>
      </c>
      <c r="H41" s="156" t="str">
        <f t="array" ref="H41">IF($A41="","",IFERROR(INDEX(Orders!$O$5:$O$1004,MATCH($A41,Orders!$N$5:$N$1004,0)),""))</f>
        <v/>
      </c>
      <c r="I41" s="156" t="str">
        <f t="array" ref="I41">IF($A41="","",IFERROR(INDEX(Orders!$P$5:$P$1004,MATCH($A41,Orders!$N$5:$N$1004,0)),""))</f>
        <v/>
      </c>
      <c r="J41" s="157" t="str">
        <f t="shared" si="1"/>
        <v/>
      </c>
      <c r="K41" s="153" t="str">
        <f t="array" ref="K41">IF($A41="","",IFERROR(INDEX(Sales!$M:$M,MATCH($A41,Sales!$E:$E,0)),""))</f>
        <v/>
      </c>
      <c r="L41" s="158" t="str">
        <f t="shared" si="2"/>
        <v/>
      </c>
      <c r="N41" s="49" t="str">
        <f t="array" ref="N41">IFERROR(INDEX(Sales!$E$7:$E$1506,MATCH(ROW()-4,Sales!$V$7:$V$1506,0)),"")</f>
        <v/>
      </c>
      <c r="O41" s="67"/>
      <c r="P41" s="67"/>
    </row>
    <row r="42" ht="14.25" customHeight="1">
      <c r="A42" s="151" t="str">
        <f t="array" ref="A42">IFERROR(INDEX(Sales!$E$7:$E$1506,MATCH(ROW()-4,Sales!$W$7:$W$1506,0)),"")</f>
        <v/>
      </c>
      <c r="B42" s="152" t="str">
        <f t="array" ref="B42">IF($A42="","",IFERROR(INDEX(Sales!$A:$A,MATCH($A42,Sales!$E:$E,0)),""))</f>
        <v/>
      </c>
      <c r="C42" s="153" t="str">
        <f t="array" ref="C42">IF($A42="","",IFERROR(INDEX(Sales!$D:$D,MATCH($A42,Sales!$E:$E,0)),""))</f>
        <v/>
      </c>
      <c r="D42" s="153" t="str">
        <f t="array" ref="D42">IF($A42="","",IFERROR(INDEX(Sales!$C:$C,MATCH($A42,Sales!$E:$E,0)),""))</f>
        <v/>
      </c>
      <c r="E42" s="154" t="str">
        <f>IF($A42="","",SUMIFS(Sales!$H:$H,Sales!$E:$E,$A42,Sales!$B:$B,"&lt;&gt;Return"))</f>
        <v/>
      </c>
      <c r="F42" s="155" t="str">
        <f>IF($A42="","",SUMIF(Sales!$E:$E,$A42,Sales!$L:$L))</f>
        <v/>
      </c>
      <c r="G42" s="155" t="str">
        <f>IF($A42="","",SUMIF(Sales!$E:$E,$A42,Sales!$P:$P))</f>
        <v/>
      </c>
      <c r="H42" s="156" t="str">
        <f t="array" ref="H42">IF($A42="","",IFERROR(INDEX(Orders!$O$5:$O$1004,MATCH($A42,Orders!$N$5:$N$1004,0)),""))</f>
        <v/>
      </c>
      <c r="I42" s="156" t="str">
        <f t="array" ref="I42">IF($A42="","",IFERROR(INDEX(Orders!$P$5:$P$1004,MATCH($A42,Orders!$N$5:$N$1004,0)),""))</f>
        <v/>
      </c>
      <c r="J42" s="157" t="str">
        <f t="shared" si="1"/>
        <v/>
      </c>
      <c r="K42" s="153" t="str">
        <f t="array" ref="K42">IF($A42="","",IFERROR(INDEX(Sales!$M:$M,MATCH($A42,Sales!$E:$E,0)),""))</f>
        <v/>
      </c>
      <c r="L42" s="158" t="str">
        <f t="shared" si="2"/>
        <v/>
      </c>
      <c r="N42" s="49" t="str">
        <f t="array" ref="N42">IFERROR(INDEX(Sales!$E$7:$E$1506,MATCH(ROW()-4,Sales!$V$7:$V$1506,0)),"")</f>
        <v/>
      </c>
      <c r="O42" s="67"/>
      <c r="P42" s="67"/>
    </row>
    <row r="43" ht="14.25" customHeight="1">
      <c r="A43" s="151" t="str">
        <f t="array" ref="A43">IFERROR(INDEX(Sales!$E$7:$E$1506,MATCH(ROW()-4,Sales!$W$7:$W$1506,0)),"")</f>
        <v/>
      </c>
      <c r="B43" s="152" t="str">
        <f t="array" ref="B43">IF($A43="","",IFERROR(INDEX(Sales!$A:$A,MATCH($A43,Sales!$E:$E,0)),""))</f>
        <v/>
      </c>
      <c r="C43" s="153" t="str">
        <f t="array" ref="C43">IF($A43="","",IFERROR(INDEX(Sales!$D:$D,MATCH($A43,Sales!$E:$E,0)),""))</f>
        <v/>
      </c>
      <c r="D43" s="153" t="str">
        <f t="array" ref="D43">IF($A43="","",IFERROR(INDEX(Sales!$C:$C,MATCH($A43,Sales!$E:$E,0)),""))</f>
        <v/>
      </c>
      <c r="E43" s="154" t="str">
        <f>IF($A43="","",SUMIFS(Sales!$H:$H,Sales!$E:$E,$A43,Sales!$B:$B,"&lt;&gt;Return"))</f>
        <v/>
      </c>
      <c r="F43" s="155" t="str">
        <f>IF($A43="","",SUMIF(Sales!$E:$E,$A43,Sales!$L:$L))</f>
        <v/>
      </c>
      <c r="G43" s="155" t="str">
        <f>IF($A43="","",SUMIF(Sales!$E:$E,$A43,Sales!$P:$P))</f>
        <v/>
      </c>
      <c r="H43" s="156" t="str">
        <f t="array" ref="H43">IF($A43="","",IFERROR(INDEX(Orders!$O$5:$O$1004,MATCH($A43,Orders!$N$5:$N$1004,0)),""))</f>
        <v/>
      </c>
      <c r="I43" s="156" t="str">
        <f t="array" ref="I43">IF($A43="","",IFERROR(INDEX(Orders!$P$5:$P$1004,MATCH($A43,Orders!$N$5:$N$1004,0)),""))</f>
        <v/>
      </c>
      <c r="J43" s="157" t="str">
        <f t="shared" si="1"/>
        <v/>
      </c>
      <c r="K43" s="153" t="str">
        <f t="array" ref="K43">IF($A43="","",IFERROR(INDEX(Sales!$M:$M,MATCH($A43,Sales!$E:$E,0)),""))</f>
        <v/>
      </c>
      <c r="L43" s="158" t="str">
        <f t="shared" si="2"/>
        <v/>
      </c>
      <c r="N43" s="49" t="str">
        <f t="array" ref="N43">IFERROR(INDEX(Sales!$E$7:$E$1506,MATCH(ROW()-4,Sales!$V$7:$V$1506,0)),"")</f>
        <v/>
      </c>
      <c r="O43" s="67"/>
      <c r="P43" s="67"/>
    </row>
    <row r="44" ht="14.25" customHeight="1">
      <c r="A44" s="151" t="str">
        <f t="array" ref="A44">IFERROR(INDEX(Sales!$E$7:$E$1506,MATCH(ROW()-4,Sales!$W$7:$W$1506,0)),"")</f>
        <v/>
      </c>
      <c r="B44" s="152" t="str">
        <f t="array" ref="B44">IF($A44="","",IFERROR(INDEX(Sales!$A:$A,MATCH($A44,Sales!$E:$E,0)),""))</f>
        <v/>
      </c>
      <c r="C44" s="153" t="str">
        <f t="array" ref="C44">IF($A44="","",IFERROR(INDEX(Sales!$D:$D,MATCH($A44,Sales!$E:$E,0)),""))</f>
        <v/>
      </c>
      <c r="D44" s="153" t="str">
        <f t="array" ref="D44">IF($A44="","",IFERROR(INDEX(Sales!$C:$C,MATCH($A44,Sales!$E:$E,0)),""))</f>
        <v/>
      </c>
      <c r="E44" s="154" t="str">
        <f>IF($A44="","",SUMIFS(Sales!$H:$H,Sales!$E:$E,$A44,Sales!$B:$B,"&lt;&gt;Return"))</f>
        <v/>
      </c>
      <c r="F44" s="155" t="str">
        <f>IF($A44="","",SUMIF(Sales!$E:$E,$A44,Sales!$L:$L))</f>
        <v/>
      </c>
      <c r="G44" s="155" t="str">
        <f>IF($A44="","",SUMIF(Sales!$E:$E,$A44,Sales!$P:$P))</f>
        <v/>
      </c>
      <c r="H44" s="156" t="str">
        <f t="array" ref="H44">IF($A44="","",IFERROR(INDEX(Orders!$O$5:$O$1004,MATCH($A44,Orders!$N$5:$N$1004,0)),""))</f>
        <v/>
      </c>
      <c r="I44" s="156" t="str">
        <f t="array" ref="I44">IF($A44="","",IFERROR(INDEX(Orders!$P$5:$P$1004,MATCH($A44,Orders!$N$5:$N$1004,0)),""))</f>
        <v/>
      </c>
      <c r="J44" s="157" t="str">
        <f t="shared" si="1"/>
        <v/>
      </c>
      <c r="K44" s="153" t="str">
        <f t="array" ref="K44">IF($A44="","",IFERROR(INDEX(Sales!$M:$M,MATCH($A44,Sales!$E:$E,0)),""))</f>
        <v/>
      </c>
      <c r="L44" s="158" t="str">
        <f t="shared" si="2"/>
        <v/>
      </c>
      <c r="N44" s="49" t="str">
        <f t="array" ref="N44">IFERROR(INDEX(Sales!$E$7:$E$1506,MATCH(ROW()-4,Sales!$V$7:$V$1506,0)),"")</f>
        <v/>
      </c>
      <c r="O44" s="67"/>
      <c r="P44" s="67"/>
    </row>
    <row r="45" ht="14.25" customHeight="1">
      <c r="A45" s="151" t="str">
        <f t="array" ref="A45">IFERROR(INDEX(Sales!$E$7:$E$1506,MATCH(ROW()-4,Sales!$W$7:$W$1506,0)),"")</f>
        <v/>
      </c>
      <c r="B45" s="152" t="str">
        <f t="array" ref="B45">IF($A45="","",IFERROR(INDEX(Sales!$A:$A,MATCH($A45,Sales!$E:$E,0)),""))</f>
        <v/>
      </c>
      <c r="C45" s="153" t="str">
        <f t="array" ref="C45">IF($A45="","",IFERROR(INDEX(Sales!$D:$D,MATCH($A45,Sales!$E:$E,0)),""))</f>
        <v/>
      </c>
      <c r="D45" s="153" t="str">
        <f t="array" ref="D45">IF($A45="","",IFERROR(INDEX(Sales!$C:$C,MATCH($A45,Sales!$E:$E,0)),""))</f>
        <v/>
      </c>
      <c r="E45" s="154" t="str">
        <f>IF($A45="","",SUMIFS(Sales!$H:$H,Sales!$E:$E,$A45,Sales!$B:$B,"&lt;&gt;Return"))</f>
        <v/>
      </c>
      <c r="F45" s="155" t="str">
        <f>IF($A45="","",SUMIF(Sales!$E:$E,$A45,Sales!$L:$L))</f>
        <v/>
      </c>
      <c r="G45" s="155" t="str">
        <f>IF($A45="","",SUMIF(Sales!$E:$E,$A45,Sales!$P:$P))</f>
        <v/>
      </c>
      <c r="H45" s="156" t="str">
        <f t="array" ref="H45">IF($A45="","",IFERROR(INDEX(Orders!$O$5:$O$1004,MATCH($A45,Orders!$N$5:$N$1004,0)),""))</f>
        <v/>
      </c>
      <c r="I45" s="156" t="str">
        <f t="array" ref="I45">IF($A45="","",IFERROR(INDEX(Orders!$P$5:$P$1004,MATCH($A45,Orders!$N$5:$N$1004,0)),""))</f>
        <v/>
      </c>
      <c r="J45" s="157" t="str">
        <f t="shared" si="1"/>
        <v/>
      </c>
      <c r="K45" s="153" t="str">
        <f t="array" ref="K45">IF($A45="","",IFERROR(INDEX(Sales!$M:$M,MATCH($A45,Sales!$E:$E,0)),""))</f>
        <v/>
      </c>
      <c r="L45" s="158" t="str">
        <f t="shared" si="2"/>
        <v/>
      </c>
      <c r="N45" s="49" t="str">
        <f t="array" ref="N45">IFERROR(INDEX(Sales!$E$7:$E$1506,MATCH(ROW()-4,Sales!$V$7:$V$1506,0)),"")</f>
        <v/>
      </c>
      <c r="O45" s="67"/>
      <c r="P45" s="67"/>
    </row>
    <row r="46" ht="14.25" customHeight="1">
      <c r="A46" s="151" t="str">
        <f t="array" ref="A46">IFERROR(INDEX(Sales!$E$7:$E$1506,MATCH(ROW()-4,Sales!$W$7:$W$1506,0)),"")</f>
        <v/>
      </c>
      <c r="B46" s="152" t="str">
        <f t="array" ref="B46">IF($A46="","",IFERROR(INDEX(Sales!$A:$A,MATCH($A46,Sales!$E:$E,0)),""))</f>
        <v/>
      </c>
      <c r="C46" s="153" t="str">
        <f t="array" ref="C46">IF($A46="","",IFERROR(INDEX(Sales!$D:$D,MATCH($A46,Sales!$E:$E,0)),""))</f>
        <v/>
      </c>
      <c r="D46" s="153" t="str">
        <f t="array" ref="D46">IF($A46="","",IFERROR(INDEX(Sales!$C:$C,MATCH($A46,Sales!$E:$E,0)),""))</f>
        <v/>
      </c>
      <c r="E46" s="154" t="str">
        <f>IF($A46="","",SUMIFS(Sales!$H:$H,Sales!$E:$E,$A46,Sales!$B:$B,"&lt;&gt;Return"))</f>
        <v/>
      </c>
      <c r="F46" s="155" t="str">
        <f>IF($A46="","",SUMIF(Sales!$E:$E,$A46,Sales!$L:$L))</f>
        <v/>
      </c>
      <c r="G46" s="155" t="str">
        <f>IF($A46="","",SUMIF(Sales!$E:$E,$A46,Sales!$P:$P))</f>
        <v/>
      </c>
      <c r="H46" s="156" t="str">
        <f t="array" ref="H46">IF($A46="","",IFERROR(INDEX(Orders!$O$5:$O$1004,MATCH($A46,Orders!$N$5:$N$1004,0)),""))</f>
        <v/>
      </c>
      <c r="I46" s="156" t="str">
        <f t="array" ref="I46">IF($A46="","",IFERROR(INDEX(Orders!$P$5:$P$1004,MATCH($A46,Orders!$N$5:$N$1004,0)),""))</f>
        <v/>
      </c>
      <c r="J46" s="157" t="str">
        <f t="shared" si="1"/>
        <v/>
      </c>
      <c r="K46" s="153" t="str">
        <f t="array" ref="K46">IF($A46="","",IFERROR(INDEX(Sales!$M:$M,MATCH($A46,Sales!$E:$E,0)),""))</f>
        <v/>
      </c>
      <c r="L46" s="158" t="str">
        <f t="shared" si="2"/>
        <v/>
      </c>
      <c r="N46" s="49" t="str">
        <f t="array" ref="N46">IFERROR(INDEX(Sales!$E$7:$E$1506,MATCH(ROW()-4,Sales!$V$7:$V$1506,0)),"")</f>
        <v/>
      </c>
      <c r="O46" s="67"/>
      <c r="P46" s="67"/>
    </row>
    <row r="47" ht="14.25" customHeight="1">
      <c r="A47" s="151" t="str">
        <f t="array" ref="A47">IFERROR(INDEX(Sales!$E$7:$E$1506,MATCH(ROW()-4,Sales!$W$7:$W$1506,0)),"")</f>
        <v/>
      </c>
      <c r="B47" s="152" t="str">
        <f t="array" ref="B47">IF($A47="","",IFERROR(INDEX(Sales!$A:$A,MATCH($A47,Sales!$E:$E,0)),""))</f>
        <v/>
      </c>
      <c r="C47" s="153" t="str">
        <f t="array" ref="C47">IF($A47="","",IFERROR(INDEX(Sales!$D:$D,MATCH($A47,Sales!$E:$E,0)),""))</f>
        <v/>
      </c>
      <c r="D47" s="153" t="str">
        <f t="array" ref="D47">IF($A47="","",IFERROR(INDEX(Sales!$C:$C,MATCH($A47,Sales!$E:$E,0)),""))</f>
        <v/>
      </c>
      <c r="E47" s="154" t="str">
        <f>IF($A47="","",SUMIFS(Sales!$H:$H,Sales!$E:$E,$A47,Sales!$B:$B,"&lt;&gt;Return"))</f>
        <v/>
      </c>
      <c r="F47" s="155" t="str">
        <f>IF($A47="","",SUMIF(Sales!$E:$E,$A47,Sales!$L:$L))</f>
        <v/>
      </c>
      <c r="G47" s="155" t="str">
        <f>IF($A47="","",SUMIF(Sales!$E:$E,$A47,Sales!$P:$P))</f>
        <v/>
      </c>
      <c r="H47" s="156" t="str">
        <f t="array" ref="H47">IF($A47="","",IFERROR(INDEX(Orders!$O$5:$O$1004,MATCH($A47,Orders!$N$5:$N$1004,0)),""))</f>
        <v/>
      </c>
      <c r="I47" s="156" t="str">
        <f t="array" ref="I47">IF($A47="","",IFERROR(INDEX(Orders!$P$5:$P$1004,MATCH($A47,Orders!$N$5:$N$1004,0)),""))</f>
        <v/>
      </c>
      <c r="J47" s="157" t="str">
        <f t="shared" si="1"/>
        <v/>
      </c>
      <c r="K47" s="153" t="str">
        <f t="array" ref="K47">IF($A47="","",IFERROR(INDEX(Sales!$M:$M,MATCH($A47,Sales!$E:$E,0)),""))</f>
        <v/>
      </c>
      <c r="L47" s="158" t="str">
        <f t="shared" si="2"/>
        <v/>
      </c>
      <c r="N47" s="49" t="str">
        <f t="array" ref="N47">IFERROR(INDEX(Sales!$E$7:$E$1506,MATCH(ROW()-4,Sales!$V$7:$V$1506,0)),"")</f>
        <v/>
      </c>
      <c r="O47" s="67"/>
      <c r="P47" s="67"/>
    </row>
    <row r="48" ht="14.25" customHeight="1">
      <c r="A48" s="151" t="str">
        <f t="array" ref="A48">IFERROR(INDEX(Sales!$E$7:$E$1506,MATCH(ROW()-4,Sales!$W$7:$W$1506,0)),"")</f>
        <v/>
      </c>
      <c r="B48" s="152" t="str">
        <f t="array" ref="B48">IF($A48="","",IFERROR(INDEX(Sales!$A:$A,MATCH($A48,Sales!$E:$E,0)),""))</f>
        <v/>
      </c>
      <c r="C48" s="153" t="str">
        <f t="array" ref="C48">IF($A48="","",IFERROR(INDEX(Sales!$D:$D,MATCH($A48,Sales!$E:$E,0)),""))</f>
        <v/>
      </c>
      <c r="D48" s="153" t="str">
        <f t="array" ref="D48">IF($A48="","",IFERROR(INDEX(Sales!$C:$C,MATCH($A48,Sales!$E:$E,0)),""))</f>
        <v/>
      </c>
      <c r="E48" s="154" t="str">
        <f>IF($A48="","",SUMIFS(Sales!$H:$H,Sales!$E:$E,$A48,Sales!$B:$B,"&lt;&gt;Return"))</f>
        <v/>
      </c>
      <c r="F48" s="155" t="str">
        <f>IF($A48="","",SUMIF(Sales!$E:$E,$A48,Sales!$L:$L))</f>
        <v/>
      </c>
      <c r="G48" s="155" t="str">
        <f>IF($A48="","",SUMIF(Sales!$E:$E,$A48,Sales!$P:$P))</f>
        <v/>
      </c>
      <c r="H48" s="156" t="str">
        <f t="array" ref="H48">IF($A48="","",IFERROR(INDEX(Orders!$O$5:$O$1004,MATCH($A48,Orders!$N$5:$N$1004,0)),""))</f>
        <v/>
      </c>
      <c r="I48" s="156" t="str">
        <f t="array" ref="I48">IF($A48="","",IFERROR(INDEX(Orders!$P$5:$P$1004,MATCH($A48,Orders!$N$5:$N$1004,0)),""))</f>
        <v/>
      </c>
      <c r="J48" s="157" t="str">
        <f t="shared" si="1"/>
        <v/>
      </c>
      <c r="K48" s="153" t="str">
        <f t="array" ref="K48">IF($A48="","",IFERROR(INDEX(Sales!$M:$M,MATCH($A48,Sales!$E:$E,0)),""))</f>
        <v/>
      </c>
      <c r="L48" s="158" t="str">
        <f t="shared" si="2"/>
        <v/>
      </c>
      <c r="N48" s="49" t="str">
        <f t="array" ref="N48">IFERROR(INDEX(Sales!$E$7:$E$1506,MATCH(ROW()-4,Sales!$V$7:$V$1506,0)),"")</f>
        <v/>
      </c>
      <c r="O48" s="67"/>
      <c r="P48" s="67"/>
    </row>
    <row r="49" ht="14.25" customHeight="1">
      <c r="A49" s="151" t="str">
        <f t="array" ref="A49">IFERROR(INDEX(Sales!$E$7:$E$1506,MATCH(ROW()-4,Sales!$W$7:$W$1506,0)),"")</f>
        <v/>
      </c>
      <c r="B49" s="152" t="str">
        <f t="array" ref="B49">IF($A49="","",IFERROR(INDEX(Sales!$A:$A,MATCH($A49,Sales!$E:$E,0)),""))</f>
        <v/>
      </c>
      <c r="C49" s="153" t="str">
        <f t="array" ref="C49">IF($A49="","",IFERROR(INDEX(Sales!$D:$D,MATCH($A49,Sales!$E:$E,0)),""))</f>
        <v/>
      </c>
      <c r="D49" s="153" t="str">
        <f t="array" ref="D49">IF($A49="","",IFERROR(INDEX(Sales!$C:$C,MATCH($A49,Sales!$E:$E,0)),""))</f>
        <v/>
      </c>
      <c r="E49" s="154" t="str">
        <f>IF($A49="","",SUMIFS(Sales!$H:$H,Sales!$E:$E,$A49,Sales!$B:$B,"&lt;&gt;Return"))</f>
        <v/>
      </c>
      <c r="F49" s="155" t="str">
        <f>IF($A49="","",SUMIF(Sales!$E:$E,$A49,Sales!$L:$L))</f>
        <v/>
      </c>
      <c r="G49" s="155" t="str">
        <f>IF($A49="","",SUMIF(Sales!$E:$E,$A49,Sales!$P:$P))</f>
        <v/>
      </c>
      <c r="H49" s="156" t="str">
        <f t="array" ref="H49">IF($A49="","",IFERROR(INDEX(Orders!$O$5:$O$1004,MATCH($A49,Orders!$N$5:$N$1004,0)),""))</f>
        <v/>
      </c>
      <c r="I49" s="156" t="str">
        <f t="array" ref="I49">IF($A49="","",IFERROR(INDEX(Orders!$P$5:$P$1004,MATCH($A49,Orders!$N$5:$N$1004,0)),""))</f>
        <v/>
      </c>
      <c r="J49" s="157" t="str">
        <f t="shared" si="1"/>
        <v/>
      </c>
      <c r="K49" s="153" t="str">
        <f t="array" ref="K49">IF($A49="","",IFERROR(INDEX(Sales!$M:$M,MATCH($A49,Sales!$E:$E,0)),""))</f>
        <v/>
      </c>
      <c r="L49" s="158" t="str">
        <f t="shared" si="2"/>
        <v/>
      </c>
      <c r="N49" s="49" t="str">
        <f t="array" ref="N49">IFERROR(INDEX(Sales!$E$7:$E$1506,MATCH(ROW()-4,Sales!$V$7:$V$1506,0)),"")</f>
        <v/>
      </c>
      <c r="O49" s="67"/>
      <c r="P49" s="67"/>
    </row>
    <row r="50" ht="14.25" customHeight="1">
      <c r="A50" s="151" t="str">
        <f t="array" ref="A50">IFERROR(INDEX(Sales!$E$7:$E$1506,MATCH(ROW()-4,Sales!$W$7:$W$1506,0)),"")</f>
        <v/>
      </c>
      <c r="B50" s="152" t="str">
        <f t="array" ref="B50">IF($A50="","",IFERROR(INDEX(Sales!$A:$A,MATCH($A50,Sales!$E:$E,0)),""))</f>
        <v/>
      </c>
      <c r="C50" s="153" t="str">
        <f t="array" ref="C50">IF($A50="","",IFERROR(INDEX(Sales!$D:$D,MATCH($A50,Sales!$E:$E,0)),""))</f>
        <v/>
      </c>
      <c r="D50" s="153" t="str">
        <f t="array" ref="D50">IF($A50="","",IFERROR(INDEX(Sales!$C:$C,MATCH($A50,Sales!$E:$E,0)),""))</f>
        <v/>
      </c>
      <c r="E50" s="154" t="str">
        <f>IF($A50="","",SUMIFS(Sales!$H:$H,Sales!$E:$E,$A50,Sales!$B:$B,"&lt;&gt;Return"))</f>
        <v/>
      </c>
      <c r="F50" s="155" t="str">
        <f>IF($A50="","",SUMIF(Sales!$E:$E,$A50,Sales!$L:$L))</f>
        <v/>
      </c>
      <c r="G50" s="155" t="str">
        <f>IF($A50="","",SUMIF(Sales!$E:$E,$A50,Sales!$P:$P))</f>
        <v/>
      </c>
      <c r="H50" s="156" t="str">
        <f t="array" ref="H50">IF($A50="","",IFERROR(INDEX(Orders!$O$5:$O$1004,MATCH($A50,Orders!$N$5:$N$1004,0)),""))</f>
        <v/>
      </c>
      <c r="I50" s="156" t="str">
        <f t="array" ref="I50">IF($A50="","",IFERROR(INDEX(Orders!$P$5:$P$1004,MATCH($A50,Orders!$N$5:$N$1004,0)),""))</f>
        <v/>
      </c>
      <c r="J50" s="157" t="str">
        <f t="shared" si="1"/>
        <v/>
      </c>
      <c r="K50" s="153" t="str">
        <f t="array" ref="K50">IF($A50="","",IFERROR(INDEX(Sales!$M:$M,MATCH($A50,Sales!$E:$E,0)),""))</f>
        <v/>
      </c>
      <c r="L50" s="158" t="str">
        <f t="shared" si="2"/>
        <v/>
      </c>
      <c r="N50" s="49" t="str">
        <f t="array" ref="N50">IFERROR(INDEX(Sales!$E$7:$E$1506,MATCH(ROW()-4,Sales!$V$7:$V$1506,0)),"")</f>
        <v/>
      </c>
      <c r="O50" s="67"/>
      <c r="P50" s="67"/>
    </row>
    <row r="51" ht="14.25" customHeight="1">
      <c r="A51" s="151" t="str">
        <f t="array" ref="A51">IFERROR(INDEX(Sales!$E$7:$E$1506,MATCH(ROW()-4,Sales!$W$7:$W$1506,0)),"")</f>
        <v/>
      </c>
      <c r="B51" s="152" t="str">
        <f t="array" ref="B51">IF($A51="","",IFERROR(INDEX(Sales!$A:$A,MATCH($A51,Sales!$E:$E,0)),""))</f>
        <v/>
      </c>
      <c r="C51" s="153" t="str">
        <f t="array" ref="C51">IF($A51="","",IFERROR(INDEX(Sales!$D:$D,MATCH($A51,Sales!$E:$E,0)),""))</f>
        <v/>
      </c>
      <c r="D51" s="153" t="str">
        <f t="array" ref="D51">IF($A51="","",IFERROR(INDEX(Sales!$C:$C,MATCH($A51,Sales!$E:$E,0)),""))</f>
        <v/>
      </c>
      <c r="E51" s="154" t="str">
        <f>IF($A51="","",SUMIFS(Sales!$H:$H,Sales!$E:$E,$A51,Sales!$B:$B,"&lt;&gt;Return"))</f>
        <v/>
      </c>
      <c r="F51" s="155" t="str">
        <f>IF($A51="","",SUMIF(Sales!$E:$E,$A51,Sales!$L:$L))</f>
        <v/>
      </c>
      <c r="G51" s="155" t="str">
        <f>IF($A51="","",SUMIF(Sales!$E:$E,$A51,Sales!$P:$P))</f>
        <v/>
      </c>
      <c r="H51" s="156" t="str">
        <f t="array" ref="H51">IF($A51="","",IFERROR(INDEX(Orders!$O$5:$O$1004,MATCH($A51,Orders!$N$5:$N$1004,0)),""))</f>
        <v/>
      </c>
      <c r="I51" s="156" t="str">
        <f t="array" ref="I51">IF($A51="","",IFERROR(INDEX(Orders!$P$5:$P$1004,MATCH($A51,Orders!$N$5:$N$1004,0)),""))</f>
        <v/>
      </c>
      <c r="J51" s="157" t="str">
        <f t="shared" si="1"/>
        <v/>
      </c>
      <c r="K51" s="153" t="str">
        <f t="array" ref="K51">IF($A51="","",IFERROR(INDEX(Sales!$M:$M,MATCH($A51,Sales!$E:$E,0)),""))</f>
        <v/>
      </c>
      <c r="L51" s="158" t="str">
        <f t="shared" si="2"/>
        <v/>
      </c>
      <c r="N51" s="49" t="str">
        <f t="array" ref="N51">IFERROR(INDEX(Sales!$E$7:$E$1506,MATCH(ROW()-4,Sales!$V$7:$V$1506,0)),"")</f>
        <v/>
      </c>
      <c r="O51" s="67"/>
      <c r="P51" s="67"/>
    </row>
    <row r="52" ht="14.25" customHeight="1">
      <c r="A52" s="151" t="str">
        <f t="array" ref="A52">IFERROR(INDEX(Sales!$E$7:$E$1506,MATCH(ROW()-4,Sales!$W$7:$W$1506,0)),"")</f>
        <v/>
      </c>
      <c r="B52" s="152" t="str">
        <f t="array" ref="B52">IF($A52="","",IFERROR(INDEX(Sales!$A:$A,MATCH($A52,Sales!$E:$E,0)),""))</f>
        <v/>
      </c>
      <c r="C52" s="153" t="str">
        <f t="array" ref="C52">IF($A52="","",IFERROR(INDEX(Sales!$D:$D,MATCH($A52,Sales!$E:$E,0)),""))</f>
        <v/>
      </c>
      <c r="D52" s="153" t="str">
        <f t="array" ref="D52">IF($A52="","",IFERROR(INDEX(Sales!$C:$C,MATCH($A52,Sales!$E:$E,0)),""))</f>
        <v/>
      </c>
      <c r="E52" s="154" t="str">
        <f>IF($A52="","",SUMIFS(Sales!$H:$H,Sales!$E:$E,$A52,Sales!$B:$B,"&lt;&gt;Return"))</f>
        <v/>
      </c>
      <c r="F52" s="155" t="str">
        <f>IF($A52="","",SUMIF(Sales!$E:$E,$A52,Sales!$L:$L))</f>
        <v/>
      </c>
      <c r="G52" s="155" t="str">
        <f>IF($A52="","",SUMIF(Sales!$E:$E,$A52,Sales!$P:$P))</f>
        <v/>
      </c>
      <c r="H52" s="156" t="str">
        <f t="array" ref="H52">IF($A52="","",IFERROR(INDEX(Orders!$O$5:$O$1004,MATCH($A52,Orders!$N$5:$N$1004,0)),""))</f>
        <v/>
      </c>
      <c r="I52" s="156" t="str">
        <f t="array" ref="I52">IF($A52="","",IFERROR(INDEX(Orders!$P$5:$P$1004,MATCH($A52,Orders!$N$5:$N$1004,0)),""))</f>
        <v/>
      </c>
      <c r="J52" s="157" t="str">
        <f t="shared" si="1"/>
        <v/>
      </c>
      <c r="K52" s="153" t="str">
        <f t="array" ref="K52">IF($A52="","",IFERROR(INDEX(Sales!$M:$M,MATCH($A52,Sales!$E:$E,0)),""))</f>
        <v/>
      </c>
      <c r="L52" s="158" t="str">
        <f t="shared" si="2"/>
        <v/>
      </c>
      <c r="N52" s="49" t="str">
        <f t="array" ref="N52">IFERROR(INDEX(Sales!$E$7:$E$1506,MATCH(ROW()-4,Sales!$V$7:$V$1506,0)),"")</f>
        <v/>
      </c>
      <c r="O52" s="67"/>
      <c r="P52" s="67"/>
    </row>
    <row r="53" ht="14.25" customHeight="1">
      <c r="A53" s="151" t="str">
        <f t="array" ref="A53">IFERROR(INDEX(Sales!$E$7:$E$1506,MATCH(ROW()-4,Sales!$W$7:$W$1506,0)),"")</f>
        <v/>
      </c>
      <c r="B53" s="152" t="str">
        <f t="array" ref="B53">IF($A53="","",IFERROR(INDEX(Sales!$A:$A,MATCH($A53,Sales!$E:$E,0)),""))</f>
        <v/>
      </c>
      <c r="C53" s="153" t="str">
        <f t="array" ref="C53">IF($A53="","",IFERROR(INDEX(Sales!$D:$D,MATCH($A53,Sales!$E:$E,0)),""))</f>
        <v/>
      </c>
      <c r="D53" s="153" t="str">
        <f t="array" ref="D53">IF($A53="","",IFERROR(INDEX(Sales!$C:$C,MATCH($A53,Sales!$E:$E,0)),""))</f>
        <v/>
      </c>
      <c r="E53" s="154" t="str">
        <f>IF($A53="","",SUMIFS(Sales!$H:$H,Sales!$E:$E,$A53,Sales!$B:$B,"&lt;&gt;Return"))</f>
        <v/>
      </c>
      <c r="F53" s="155" t="str">
        <f>IF($A53="","",SUMIF(Sales!$E:$E,$A53,Sales!$L:$L))</f>
        <v/>
      </c>
      <c r="G53" s="155" t="str">
        <f>IF($A53="","",SUMIF(Sales!$E:$E,$A53,Sales!$P:$P))</f>
        <v/>
      </c>
      <c r="H53" s="156" t="str">
        <f t="array" ref="H53">IF($A53="","",IFERROR(INDEX(Orders!$O$5:$O$1004,MATCH($A53,Orders!$N$5:$N$1004,0)),""))</f>
        <v/>
      </c>
      <c r="I53" s="156" t="str">
        <f t="array" ref="I53">IF($A53="","",IFERROR(INDEX(Orders!$P$5:$P$1004,MATCH($A53,Orders!$N$5:$N$1004,0)),""))</f>
        <v/>
      </c>
      <c r="J53" s="157" t="str">
        <f t="shared" si="1"/>
        <v/>
      </c>
      <c r="K53" s="153" t="str">
        <f t="array" ref="K53">IF($A53="","",IFERROR(INDEX(Sales!$M:$M,MATCH($A53,Sales!$E:$E,0)),""))</f>
        <v/>
      </c>
      <c r="L53" s="158" t="str">
        <f t="shared" si="2"/>
        <v/>
      </c>
      <c r="N53" s="49" t="str">
        <f t="array" ref="N53">IFERROR(INDEX(Sales!$E$7:$E$1506,MATCH(ROW()-4,Sales!$V$7:$V$1506,0)),"")</f>
        <v/>
      </c>
      <c r="O53" s="67"/>
      <c r="P53" s="67"/>
    </row>
    <row r="54" ht="14.25" customHeight="1">
      <c r="A54" s="151" t="str">
        <f t="array" ref="A54">IFERROR(INDEX(Sales!$E$7:$E$1506,MATCH(ROW()-4,Sales!$W$7:$W$1506,0)),"")</f>
        <v/>
      </c>
      <c r="B54" s="152" t="str">
        <f t="array" ref="B54">IF($A54="","",IFERROR(INDEX(Sales!$A:$A,MATCH($A54,Sales!$E:$E,0)),""))</f>
        <v/>
      </c>
      <c r="C54" s="153" t="str">
        <f t="array" ref="C54">IF($A54="","",IFERROR(INDEX(Sales!$D:$D,MATCH($A54,Sales!$E:$E,0)),""))</f>
        <v/>
      </c>
      <c r="D54" s="153" t="str">
        <f t="array" ref="D54">IF($A54="","",IFERROR(INDEX(Sales!$C:$C,MATCH($A54,Sales!$E:$E,0)),""))</f>
        <v/>
      </c>
      <c r="E54" s="154" t="str">
        <f>IF($A54="","",SUMIFS(Sales!$H:$H,Sales!$E:$E,$A54,Sales!$B:$B,"&lt;&gt;Return"))</f>
        <v/>
      </c>
      <c r="F54" s="155" t="str">
        <f>IF($A54="","",SUMIF(Sales!$E:$E,$A54,Sales!$L:$L))</f>
        <v/>
      </c>
      <c r="G54" s="155" t="str">
        <f>IF($A54="","",SUMIF(Sales!$E:$E,$A54,Sales!$P:$P))</f>
        <v/>
      </c>
      <c r="H54" s="156" t="str">
        <f t="array" ref="H54">IF($A54="","",IFERROR(INDEX(Orders!$O$5:$O$1004,MATCH($A54,Orders!$N$5:$N$1004,0)),""))</f>
        <v/>
      </c>
      <c r="I54" s="156" t="str">
        <f t="array" ref="I54">IF($A54="","",IFERROR(INDEX(Orders!$P$5:$P$1004,MATCH($A54,Orders!$N$5:$N$1004,0)),""))</f>
        <v/>
      </c>
      <c r="J54" s="157" t="str">
        <f t="shared" si="1"/>
        <v/>
      </c>
      <c r="K54" s="153" t="str">
        <f t="array" ref="K54">IF($A54="","",IFERROR(INDEX(Sales!$M:$M,MATCH($A54,Sales!$E:$E,0)),""))</f>
        <v/>
      </c>
      <c r="L54" s="158" t="str">
        <f t="shared" si="2"/>
        <v/>
      </c>
      <c r="N54" s="49" t="str">
        <f t="array" ref="N54">IFERROR(INDEX(Sales!$E$7:$E$1506,MATCH(ROW()-4,Sales!$V$7:$V$1506,0)),"")</f>
        <v/>
      </c>
      <c r="O54" s="67"/>
      <c r="P54" s="67"/>
    </row>
    <row r="55" ht="14.25" customHeight="1">
      <c r="A55" s="151" t="str">
        <f t="array" ref="A55">IFERROR(INDEX(Sales!$E$7:$E$1506,MATCH(ROW()-4,Sales!$W$7:$W$1506,0)),"")</f>
        <v/>
      </c>
      <c r="B55" s="152" t="str">
        <f t="array" ref="B55">IF($A55="","",IFERROR(INDEX(Sales!$A:$A,MATCH($A55,Sales!$E:$E,0)),""))</f>
        <v/>
      </c>
      <c r="C55" s="153" t="str">
        <f t="array" ref="C55">IF($A55="","",IFERROR(INDEX(Sales!$D:$D,MATCH($A55,Sales!$E:$E,0)),""))</f>
        <v/>
      </c>
      <c r="D55" s="153" t="str">
        <f t="array" ref="D55">IF($A55="","",IFERROR(INDEX(Sales!$C:$C,MATCH($A55,Sales!$E:$E,0)),""))</f>
        <v/>
      </c>
      <c r="E55" s="154" t="str">
        <f>IF($A55="","",SUMIFS(Sales!$H:$H,Sales!$E:$E,$A55,Sales!$B:$B,"&lt;&gt;Return"))</f>
        <v/>
      </c>
      <c r="F55" s="155" t="str">
        <f>IF($A55="","",SUMIF(Sales!$E:$E,$A55,Sales!$L:$L))</f>
        <v/>
      </c>
      <c r="G55" s="155" t="str">
        <f>IF($A55="","",SUMIF(Sales!$E:$E,$A55,Sales!$P:$P))</f>
        <v/>
      </c>
      <c r="H55" s="156" t="str">
        <f t="array" ref="H55">IF($A55="","",IFERROR(INDEX(Orders!$O$5:$O$1004,MATCH($A55,Orders!$N$5:$N$1004,0)),""))</f>
        <v/>
      </c>
      <c r="I55" s="156" t="str">
        <f t="array" ref="I55">IF($A55="","",IFERROR(INDEX(Orders!$P$5:$P$1004,MATCH($A55,Orders!$N$5:$N$1004,0)),""))</f>
        <v/>
      </c>
      <c r="J55" s="157" t="str">
        <f t="shared" si="1"/>
        <v/>
      </c>
      <c r="K55" s="153" t="str">
        <f t="array" ref="K55">IF($A55="","",IFERROR(INDEX(Sales!$M:$M,MATCH($A55,Sales!$E:$E,0)),""))</f>
        <v/>
      </c>
      <c r="L55" s="158" t="str">
        <f t="shared" si="2"/>
        <v/>
      </c>
      <c r="N55" s="49" t="str">
        <f t="array" ref="N55">IFERROR(INDEX(Sales!$E$7:$E$1506,MATCH(ROW()-4,Sales!$V$7:$V$1506,0)),"")</f>
        <v/>
      </c>
      <c r="O55" s="67"/>
      <c r="P55" s="67"/>
    </row>
    <row r="56" ht="14.25" customHeight="1">
      <c r="A56" s="151" t="str">
        <f t="array" ref="A56">IFERROR(INDEX(Sales!$E$7:$E$1506,MATCH(ROW()-4,Sales!$W$7:$W$1506,0)),"")</f>
        <v/>
      </c>
      <c r="B56" s="152" t="str">
        <f t="array" ref="B56">IF($A56="","",IFERROR(INDEX(Sales!$A:$A,MATCH($A56,Sales!$E:$E,0)),""))</f>
        <v/>
      </c>
      <c r="C56" s="153" t="str">
        <f t="array" ref="C56">IF($A56="","",IFERROR(INDEX(Sales!$D:$D,MATCH($A56,Sales!$E:$E,0)),""))</f>
        <v/>
      </c>
      <c r="D56" s="153" t="str">
        <f t="array" ref="D56">IF($A56="","",IFERROR(INDEX(Sales!$C:$C,MATCH($A56,Sales!$E:$E,0)),""))</f>
        <v/>
      </c>
      <c r="E56" s="154" t="str">
        <f>IF($A56="","",SUMIFS(Sales!$H:$H,Sales!$E:$E,$A56,Sales!$B:$B,"&lt;&gt;Return"))</f>
        <v/>
      </c>
      <c r="F56" s="155" t="str">
        <f>IF($A56="","",SUMIF(Sales!$E:$E,$A56,Sales!$L:$L))</f>
        <v/>
      </c>
      <c r="G56" s="155" t="str">
        <f>IF($A56="","",SUMIF(Sales!$E:$E,$A56,Sales!$P:$P))</f>
        <v/>
      </c>
      <c r="H56" s="156" t="str">
        <f t="array" ref="H56">IF($A56="","",IFERROR(INDEX(Orders!$O$5:$O$1004,MATCH($A56,Orders!$N$5:$N$1004,0)),""))</f>
        <v/>
      </c>
      <c r="I56" s="156" t="str">
        <f t="array" ref="I56">IF($A56="","",IFERROR(INDEX(Orders!$P$5:$P$1004,MATCH($A56,Orders!$N$5:$N$1004,0)),""))</f>
        <v/>
      </c>
      <c r="J56" s="157" t="str">
        <f t="shared" si="1"/>
        <v/>
      </c>
      <c r="K56" s="153" t="str">
        <f t="array" ref="K56">IF($A56="","",IFERROR(INDEX(Sales!$M:$M,MATCH($A56,Sales!$E:$E,0)),""))</f>
        <v/>
      </c>
      <c r="L56" s="158" t="str">
        <f t="shared" si="2"/>
        <v/>
      </c>
      <c r="N56" s="49" t="str">
        <f t="array" ref="N56">IFERROR(INDEX(Sales!$E$7:$E$1506,MATCH(ROW()-4,Sales!$V$7:$V$1506,0)),"")</f>
        <v/>
      </c>
      <c r="O56" s="67"/>
      <c r="P56" s="67"/>
    </row>
    <row r="57" ht="14.25" customHeight="1">
      <c r="A57" s="151" t="str">
        <f t="array" ref="A57">IFERROR(INDEX(Sales!$E$7:$E$1506,MATCH(ROW()-4,Sales!$W$7:$W$1506,0)),"")</f>
        <v/>
      </c>
      <c r="B57" s="152" t="str">
        <f t="array" ref="B57">IF($A57="","",IFERROR(INDEX(Sales!$A:$A,MATCH($A57,Sales!$E:$E,0)),""))</f>
        <v/>
      </c>
      <c r="C57" s="153" t="str">
        <f t="array" ref="C57">IF($A57="","",IFERROR(INDEX(Sales!$D:$D,MATCH($A57,Sales!$E:$E,0)),""))</f>
        <v/>
      </c>
      <c r="D57" s="153" t="str">
        <f t="array" ref="D57">IF($A57="","",IFERROR(INDEX(Sales!$C:$C,MATCH($A57,Sales!$E:$E,0)),""))</f>
        <v/>
      </c>
      <c r="E57" s="154" t="str">
        <f>IF($A57="","",SUMIFS(Sales!$H:$H,Sales!$E:$E,$A57,Sales!$B:$B,"&lt;&gt;Return"))</f>
        <v/>
      </c>
      <c r="F57" s="155" t="str">
        <f>IF($A57="","",SUMIF(Sales!$E:$E,$A57,Sales!$L:$L))</f>
        <v/>
      </c>
      <c r="G57" s="155" t="str">
        <f>IF($A57="","",SUMIF(Sales!$E:$E,$A57,Sales!$P:$P))</f>
        <v/>
      </c>
      <c r="H57" s="156" t="str">
        <f t="array" ref="H57">IF($A57="","",IFERROR(INDEX(Orders!$O$5:$O$1004,MATCH($A57,Orders!$N$5:$N$1004,0)),""))</f>
        <v/>
      </c>
      <c r="I57" s="156" t="str">
        <f t="array" ref="I57">IF($A57="","",IFERROR(INDEX(Orders!$P$5:$P$1004,MATCH($A57,Orders!$N$5:$N$1004,0)),""))</f>
        <v/>
      </c>
      <c r="J57" s="157" t="str">
        <f t="shared" si="1"/>
        <v/>
      </c>
      <c r="K57" s="153" t="str">
        <f t="array" ref="K57">IF($A57="","",IFERROR(INDEX(Sales!$M:$M,MATCH($A57,Sales!$E:$E,0)),""))</f>
        <v/>
      </c>
      <c r="L57" s="158" t="str">
        <f t="shared" si="2"/>
        <v/>
      </c>
      <c r="N57" s="49" t="str">
        <f t="array" ref="N57">IFERROR(INDEX(Sales!$E$7:$E$1506,MATCH(ROW()-4,Sales!$V$7:$V$1506,0)),"")</f>
        <v/>
      </c>
      <c r="O57" s="67"/>
      <c r="P57" s="67"/>
    </row>
    <row r="58" ht="14.25" customHeight="1">
      <c r="A58" s="151" t="str">
        <f t="array" ref="A58">IFERROR(INDEX(Sales!$E$7:$E$1506,MATCH(ROW()-4,Sales!$W$7:$W$1506,0)),"")</f>
        <v/>
      </c>
      <c r="B58" s="152" t="str">
        <f t="array" ref="B58">IF($A58="","",IFERROR(INDEX(Sales!$A:$A,MATCH($A58,Sales!$E:$E,0)),""))</f>
        <v/>
      </c>
      <c r="C58" s="153" t="str">
        <f t="array" ref="C58">IF($A58="","",IFERROR(INDEX(Sales!$D:$D,MATCH($A58,Sales!$E:$E,0)),""))</f>
        <v/>
      </c>
      <c r="D58" s="153" t="str">
        <f t="array" ref="D58">IF($A58="","",IFERROR(INDEX(Sales!$C:$C,MATCH($A58,Sales!$E:$E,0)),""))</f>
        <v/>
      </c>
      <c r="E58" s="154" t="str">
        <f>IF($A58="","",SUMIFS(Sales!$H:$H,Sales!$E:$E,$A58,Sales!$B:$B,"&lt;&gt;Return"))</f>
        <v/>
      </c>
      <c r="F58" s="155" t="str">
        <f>IF($A58="","",SUMIF(Sales!$E:$E,$A58,Sales!$L:$L))</f>
        <v/>
      </c>
      <c r="G58" s="155" t="str">
        <f>IF($A58="","",SUMIF(Sales!$E:$E,$A58,Sales!$P:$P))</f>
        <v/>
      </c>
      <c r="H58" s="156" t="str">
        <f t="array" ref="H58">IF($A58="","",IFERROR(INDEX(Orders!$O$5:$O$1004,MATCH($A58,Orders!$N$5:$N$1004,0)),""))</f>
        <v/>
      </c>
      <c r="I58" s="156" t="str">
        <f t="array" ref="I58">IF($A58="","",IFERROR(INDEX(Orders!$P$5:$P$1004,MATCH($A58,Orders!$N$5:$N$1004,0)),""))</f>
        <v/>
      </c>
      <c r="J58" s="157" t="str">
        <f t="shared" si="1"/>
        <v/>
      </c>
      <c r="K58" s="153" t="str">
        <f t="array" ref="K58">IF($A58="","",IFERROR(INDEX(Sales!$M:$M,MATCH($A58,Sales!$E:$E,0)),""))</f>
        <v/>
      </c>
      <c r="L58" s="158" t="str">
        <f t="shared" si="2"/>
        <v/>
      </c>
      <c r="N58" s="49" t="str">
        <f t="array" ref="N58">IFERROR(INDEX(Sales!$E$7:$E$1506,MATCH(ROW()-4,Sales!$V$7:$V$1506,0)),"")</f>
        <v/>
      </c>
      <c r="O58" s="67"/>
      <c r="P58" s="67"/>
    </row>
    <row r="59" ht="14.25" customHeight="1">
      <c r="A59" s="151" t="str">
        <f t="array" ref="A59">IFERROR(INDEX(Sales!$E$7:$E$1506,MATCH(ROW()-4,Sales!$W$7:$W$1506,0)),"")</f>
        <v/>
      </c>
      <c r="B59" s="152" t="str">
        <f t="array" ref="B59">IF($A59="","",IFERROR(INDEX(Sales!$A:$A,MATCH($A59,Sales!$E:$E,0)),""))</f>
        <v/>
      </c>
      <c r="C59" s="153" t="str">
        <f t="array" ref="C59">IF($A59="","",IFERROR(INDEX(Sales!$D:$D,MATCH($A59,Sales!$E:$E,0)),""))</f>
        <v/>
      </c>
      <c r="D59" s="153" t="str">
        <f t="array" ref="D59">IF($A59="","",IFERROR(INDEX(Sales!$C:$C,MATCH($A59,Sales!$E:$E,0)),""))</f>
        <v/>
      </c>
      <c r="E59" s="154" t="str">
        <f>IF($A59="","",SUMIFS(Sales!$H:$H,Sales!$E:$E,$A59,Sales!$B:$B,"&lt;&gt;Return"))</f>
        <v/>
      </c>
      <c r="F59" s="155" t="str">
        <f>IF($A59="","",SUMIF(Sales!$E:$E,$A59,Sales!$L:$L))</f>
        <v/>
      </c>
      <c r="G59" s="155" t="str">
        <f>IF($A59="","",SUMIF(Sales!$E:$E,$A59,Sales!$P:$P))</f>
        <v/>
      </c>
      <c r="H59" s="156" t="str">
        <f t="array" ref="H59">IF($A59="","",IFERROR(INDEX(Orders!$O$5:$O$1004,MATCH($A59,Orders!$N$5:$N$1004,0)),""))</f>
        <v/>
      </c>
      <c r="I59" s="156" t="str">
        <f t="array" ref="I59">IF($A59="","",IFERROR(INDEX(Orders!$P$5:$P$1004,MATCH($A59,Orders!$N$5:$N$1004,0)),""))</f>
        <v/>
      </c>
      <c r="J59" s="157" t="str">
        <f t="shared" si="1"/>
        <v/>
      </c>
      <c r="K59" s="153" t="str">
        <f t="array" ref="K59">IF($A59="","",IFERROR(INDEX(Sales!$M:$M,MATCH($A59,Sales!$E:$E,0)),""))</f>
        <v/>
      </c>
      <c r="L59" s="158" t="str">
        <f t="shared" si="2"/>
        <v/>
      </c>
      <c r="N59" s="49" t="str">
        <f t="array" ref="N59">IFERROR(INDEX(Sales!$E$7:$E$1506,MATCH(ROW()-4,Sales!$V$7:$V$1506,0)),"")</f>
        <v/>
      </c>
      <c r="O59" s="67"/>
      <c r="P59" s="67"/>
    </row>
    <row r="60" ht="14.25" customHeight="1">
      <c r="A60" s="151" t="str">
        <f t="array" ref="A60">IFERROR(INDEX(Sales!$E$7:$E$1506,MATCH(ROW()-4,Sales!$W$7:$W$1506,0)),"")</f>
        <v/>
      </c>
      <c r="B60" s="152" t="str">
        <f t="array" ref="B60">IF($A60="","",IFERROR(INDEX(Sales!$A:$A,MATCH($A60,Sales!$E:$E,0)),""))</f>
        <v/>
      </c>
      <c r="C60" s="153" t="str">
        <f t="array" ref="C60">IF($A60="","",IFERROR(INDEX(Sales!$D:$D,MATCH($A60,Sales!$E:$E,0)),""))</f>
        <v/>
      </c>
      <c r="D60" s="153" t="str">
        <f t="array" ref="D60">IF($A60="","",IFERROR(INDEX(Sales!$C:$C,MATCH($A60,Sales!$E:$E,0)),""))</f>
        <v/>
      </c>
      <c r="E60" s="154" t="str">
        <f>IF($A60="","",SUMIFS(Sales!$H:$H,Sales!$E:$E,$A60,Sales!$B:$B,"&lt;&gt;Return"))</f>
        <v/>
      </c>
      <c r="F60" s="155" t="str">
        <f>IF($A60="","",SUMIF(Sales!$E:$E,$A60,Sales!$L:$L))</f>
        <v/>
      </c>
      <c r="G60" s="155" t="str">
        <f>IF($A60="","",SUMIF(Sales!$E:$E,$A60,Sales!$P:$P))</f>
        <v/>
      </c>
      <c r="H60" s="156" t="str">
        <f t="array" ref="H60">IF($A60="","",IFERROR(INDEX(Orders!$O$5:$O$1004,MATCH($A60,Orders!$N$5:$N$1004,0)),""))</f>
        <v/>
      </c>
      <c r="I60" s="156" t="str">
        <f t="array" ref="I60">IF($A60="","",IFERROR(INDEX(Orders!$P$5:$P$1004,MATCH($A60,Orders!$N$5:$N$1004,0)),""))</f>
        <v/>
      </c>
      <c r="J60" s="157" t="str">
        <f t="shared" si="1"/>
        <v/>
      </c>
      <c r="K60" s="153" t="str">
        <f t="array" ref="K60">IF($A60="","",IFERROR(INDEX(Sales!$M:$M,MATCH($A60,Sales!$E:$E,0)),""))</f>
        <v/>
      </c>
      <c r="L60" s="158" t="str">
        <f t="shared" si="2"/>
        <v/>
      </c>
      <c r="N60" s="49" t="str">
        <f t="array" ref="N60">IFERROR(INDEX(Sales!$E$7:$E$1506,MATCH(ROW()-4,Sales!$V$7:$V$1506,0)),"")</f>
        <v/>
      </c>
      <c r="O60" s="67"/>
      <c r="P60" s="67"/>
    </row>
    <row r="61" ht="14.25" customHeight="1">
      <c r="A61" s="151" t="str">
        <f t="array" ref="A61">IFERROR(INDEX(Sales!$E$7:$E$1506,MATCH(ROW()-4,Sales!$W$7:$W$1506,0)),"")</f>
        <v/>
      </c>
      <c r="B61" s="152" t="str">
        <f t="array" ref="B61">IF($A61="","",IFERROR(INDEX(Sales!$A:$A,MATCH($A61,Sales!$E:$E,0)),""))</f>
        <v/>
      </c>
      <c r="C61" s="153" t="str">
        <f t="array" ref="C61">IF($A61="","",IFERROR(INDEX(Sales!$D:$D,MATCH($A61,Sales!$E:$E,0)),""))</f>
        <v/>
      </c>
      <c r="D61" s="153" t="str">
        <f t="array" ref="D61">IF($A61="","",IFERROR(INDEX(Sales!$C:$C,MATCH($A61,Sales!$E:$E,0)),""))</f>
        <v/>
      </c>
      <c r="E61" s="154" t="str">
        <f>IF($A61="","",SUMIFS(Sales!$H:$H,Sales!$E:$E,$A61,Sales!$B:$B,"&lt;&gt;Return"))</f>
        <v/>
      </c>
      <c r="F61" s="155" t="str">
        <f>IF($A61="","",SUMIF(Sales!$E:$E,$A61,Sales!$L:$L))</f>
        <v/>
      </c>
      <c r="G61" s="155" t="str">
        <f>IF($A61="","",SUMIF(Sales!$E:$E,$A61,Sales!$P:$P))</f>
        <v/>
      </c>
      <c r="H61" s="156" t="str">
        <f t="array" ref="H61">IF($A61="","",IFERROR(INDEX(Orders!$O$5:$O$1004,MATCH($A61,Orders!$N$5:$N$1004,0)),""))</f>
        <v/>
      </c>
      <c r="I61" s="156" t="str">
        <f t="array" ref="I61">IF($A61="","",IFERROR(INDEX(Orders!$P$5:$P$1004,MATCH($A61,Orders!$N$5:$N$1004,0)),""))</f>
        <v/>
      </c>
      <c r="J61" s="157" t="str">
        <f t="shared" si="1"/>
        <v/>
      </c>
      <c r="K61" s="153" t="str">
        <f t="array" ref="K61">IF($A61="","",IFERROR(INDEX(Sales!$M:$M,MATCH($A61,Sales!$E:$E,0)),""))</f>
        <v/>
      </c>
      <c r="L61" s="158" t="str">
        <f t="shared" si="2"/>
        <v/>
      </c>
      <c r="N61" s="49" t="str">
        <f t="array" ref="N61">IFERROR(INDEX(Sales!$E$7:$E$1506,MATCH(ROW()-4,Sales!$V$7:$V$1506,0)),"")</f>
        <v/>
      </c>
      <c r="O61" s="67"/>
      <c r="P61" s="67"/>
    </row>
    <row r="62" ht="14.25" customHeight="1">
      <c r="A62" s="151" t="str">
        <f t="array" ref="A62">IFERROR(INDEX(Sales!$E$7:$E$1506,MATCH(ROW()-4,Sales!$W$7:$W$1506,0)),"")</f>
        <v/>
      </c>
      <c r="B62" s="152" t="str">
        <f t="array" ref="B62">IF($A62="","",IFERROR(INDEX(Sales!$A:$A,MATCH($A62,Sales!$E:$E,0)),""))</f>
        <v/>
      </c>
      <c r="C62" s="153" t="str">
        <f t="array" ref="C62">IF($A62="","",IFERROR(INDEX(Sales!$D:$D,MATCH($A62,Sales!$E:$E,0)),""))</f>
        <v/>
      </c>
      <c r="D62" s="153" t="str">
        <f t="array" ref="D62">IF($A62="","",IFERROR(INDEX(Sales!$C:$C,MATCH($A62,Sales!$E:$E,0)),""))</f>
        <v/>
      </c>
      <c r="E62" s="154" t="str">
        <f>IF($A62="","",SUMIFS(Sales!$H:$H,Sales!$E:$E,$A62,Sales!$B:$B,"&lt;&gt;Return"))</f>
        <v/>
      </c>
      <c r="F62" s="155" t="str">
        <f>IF($A62="","",SUMIF(Sales!$E:$E,$A62,Sales!$L:$L))</f>
        <v/>
      </c>
      <c r="G62" s="155" t="str">
        <f>IF($A62="","",SUMIF(Sales!$E:$E,$A62,Sales!$P:$P))</f>
        <v/>
      </c>
      <c r="H62" s="156" t="str">
        <f t="array" ref="H62">IF($A62="","",IFERROR(INDEX(Orders!$O$5:$O$1004,MATCH($A62,Orders!$N$5:$N$1004,0)),""))</f>
        <v/>
      </c>
      <c r="I62" s="156" t="str">
        <f t="array" ref="I62">IF($A62="","",IFERROR(INDEX(Orders!$P$5:$P$1004,MATCH($A62,Orders!$N$5:$N$1004,0)),""))</f>
        <v/>
      </c>
      <c r="J62" s="157" t="str">
        <f t="shared" si="1"/>
        <v/>
      </c>
      <c r="K62" s="153" t="str">
        <f t="array" ref="K62">IF($A62="","",IFERROR(INDEX(Sales!$M:$M,MATCH($A62,Sales!$E:$E,0)),""))</f>
        <v/>
      </c>
      <c r="L62" s="158" t="str">
        <f t="shared" si="2"/>
        <v/>
      </c>
      <c r="N62" s="49" t="str">
        <f t="array" ref="N62">IFERROR(INDEX(Sales!$E$7:$E$1506,MATCH(ROW()-4,Sales!$V$7:$V$1506,0)),"")</f>
        <v/>
      </c>
      <c r="O62" s="67"/>
      <c r="P62" s="67"/>
    </row>
    <row r="63" ht="14.25" customHeight="1">
      <c r="A63" s="151" t="str">
        <f t="array" ref="A63">IFERROR(INDEX(Sales!$E$7:$E$1506,MATCH(ROW()-4,Sales!$W$7:$W$1506,0)),"")</f>
        <v/>
      </c>
      <c r="B63" s="152" t="str">
        <f t="array" ref="B63">IF($A63="","",IFERROR(INDEX(Sales!$A:$A,MATCH($A63,Sales!$E:$E,0)),""))</f>
        <v/>
      </c>
      <c r="C63" s="153" t="str">
        <f t="array" ref="C63">IF($A63="","",IFERROR(INDEX(Sales!$D:$D,MATCH($A63,Sales!$E:$E,0)),""))</f>
        <v/>
      </c>
      <c r="D63" s="153" t="str">
        <f t="array" ref="D63">IF($A63="","",IFERROR(INDEX(Sales!$C:$C,MATCH($A63,Sales!$E:$E,0)),""))</f>
        <v/>
      </c>
      <c r="E63" s="154" t="str">
        <f>IF($A63="","",SUMIFS(Sales!$H:$H,Sales!$E:$E,$A63,Sales!$B:$B,"&lt;&gt;Return"))</f>
        <v/>
      </c>
      <c r="F63" s="155" t="str">
        <f>IF($A63="","",SUMIF(Sales!$E:$E,$A63,Sales!$L:$L))</f>
        <v/>
      </c>
      <c r="G63" s="155" t="str">
        <f>IF($A63="","",SUMIF(Sales!$E:$E,$A63,Sales!$P:$P))</f>
        <v/>
      </c>
      <c r="H63" s="156" t="str">
        <f t="array" ref="H63">IF($A63="","",IFERROR(INDEX(Orders!$O$5:$O$1004,MATCH($A63,Orders!$N$5:$N$1004,0)),""))</f>
        <v/>
      </c>
      <c r="I63" s="156" t="str">
        <f t="array" ref="I63">IF($A63="","",IFERROR(INDEX(Orders!$P$5:$P$1004,MATCH($A63,Orders!$N$5:$N$1004,0)),""))</f>
        <v/>
      </c>
      <c r="J63" s="157" t="str">
        <f t="shared" si="1"/>
        <v/>
      </c>
      <c r="K63" s="153" t="str">
        <f t="array" ref="K63">IF($A63="","",IFERROR(INDEX(Sales!$M:$M,MATCH($A63,Sales!$E:$E,0)),""))</f>
        <v/>
      </c>
      <c r="L63" s="158" t="str">
        <f t="shared" si="2"/>
        <v/>
      </c>
      <c r="N63" s="49" t="str">
        <f t="array" ref="N63">IFERROR(INDEX(Sales!$E$7:$E$1506,MATCH(ROW()-4,Sales!$V$7:$V$1506,0)),"")</f>
        <v/>
      </c>
      <c r="O63" s="67"/>
      <c r="P63" s="67"/>
    </row>
    <row r="64" ht="14.25" customHeight="1">
      <c r="A64" s="151" t="str">
        <f t="array" ref="A64">IFERROR(INDEX(Sales!$E$7:$E$1506,MATCH(ROW()-4,Sales!$W$7:$W$1506,0)),"")</f>
        <v/>
      </c>
      <c r="B64" s="152" t="str">
        <f t="array" ref="B64">IF($A64="","",IFERROR(INDEX(Sales!$A:$A,MATCH($A64,Sales!$E:$E,0)),""))</f>
        <v/>
      </c>
      <c r="C64" s="153" t="str">
        <f t="array" ref="C64">IF($A64="","",IFERROR(INDEX(Sales!$D:$D,MATCH($A64,Sales!$E:$E,0)),""))</f>
        <v/>
      </c>
      <c r="D64" s="153" t="str">
        <f t="array" ref="D64">IF($A64="","",IFERROR(INDEX(Sales!$C:$C,MATCH($A64,Sales!$E:$E,0)),""))</f>
        <v/>
      </c>
      <c r="E64" s="154" t="str">
        <f>IF($A64="","",SUMIFS(Sales!$H:$H,Sales!$E:$E,$A64,Sales!$B:$B,"&lt;&gt;Return"))</f>
        <v/>
      </c>
      <c r="F64" s="155" t="str">
        <f>IF($A64="","",SUMIF(Sales!$E:$E,$A64,Sales!$L:$L))</f>
        <v/>
      </c>
      <c r="G64" s="155" t="str">
        <f>IF($A64="","",SUMIF(Sales!$E:$E,$A64,Sales!$P:$P))</f>
        <v/>
      </c>
      <c r="H64" s="156" t="str">
        <f t="array" ref="H64">IF($A64="","",IFERROR(INDEX(Orders!$O$5:$O$1004,MATCH($A64,Orders!$N$5:$N$1004,0)),""))</f>
        <v/>
      </c>
      <c r="I64" s="156" t="str">
        <f t="array" ref="I64">IF($A64="","",IFERROR(INDEX(Orders!$P$5:$P$1004,MATCH($A64,Orders!$N$5:$N$1004,0)),""))</f>
        <v/>
      </c>
      <c r="J64" s="157" t="str">
        <f t="shared" si="1"/>
        <v/>
      </c>
      <c r="K64" s="153" t="str">
        <f t="array" ref="K64">IF($A64="","",IFERROR(INDEX(Sales!$M:$M,MATCH($A64,Sales!$E:$E,0)),""))</f>
        <v/>
      </c>
      <c r="L64" s="158" t="str">
        <f t="shared" si="2"/>
        <v/>
      </c>
      <c r="N64" s="49" t="str">
        <f t="array" ref="N64">IFERROR(INDEX(Sales!$E$7:$E$1506,MATCH(ROW()-4,Sales!$V$7:$V$1506,0)),"")</f>
        <v/>
      </c>
      <c r="O64" s="67"/>
      <c r="P64" s="67"/>
    </row>
    <row r="65" ht="14.25" customHeight="1">
      <c r="A65" s="151" t="str">
        <f t="array" ref="A65">IFERROR(INDEX(Sales!$E$7:$E$1506,MATCH(ROW()-4,Sales!$W$7:$W$1506,0)),"")</f>
        <v/>
      </c>
      <c r="B65" s="152" t="str">
        <f t="array" ref="B65">IF($A65="","",IFERROR(INDEX(Sales!$A:$A,MATCH($A65,Sales!$E:$E,0)),""))</f>
        <v/>
      </c>
      <c r="C65" s="153" t="str">
        <f t="array" ref="C65">IF($A65="","",IFERROR(INDEX(Sales!$D:$D,MATCH($A65,Sales!$E:$E,0)),""))</f>
        <v/>
      </c>
      <c r="D65" s="153" t="str">
        <f t="array" ref="D65">IF($A65="","",IFERROR(INDEX(Sales!$C:$C,MATCH($A65,Sales!$E:$E,0)),""))</f>
        <v/>
      </c>
      <c r="E65" s="154" t="str">
        <f>IF($A65="","",SUMIFS(Sales!$H:$H,Sales!$E:$E,$A65,Sales!$B:$B,"&lt;&gt;Return"))</f>
        <v/>
      </c>
      <c r="F65" s="155" t="str">
        <f>IF($A65="","",SUMIF(Sales!$E:$E,$A65,Sales!$L:$L))</f>
        <v/>
      </c>
      <c r="G65" s="155" t="str">
        <f>IF($A65="","",SUMIF(Sales!$E:$E,$A65,Sales!$P:$P))</f>
        <v/>
      </c>
      <c r="H65" s="156" t="str">
        <f t="array" ref="H65">IF($A65="","",IFERROR(INDEX(Orders!$O$5:$O$1004,MATCH($A65,Orders!$N$5:$N$1004,0)),""))</f>
        <v/>
      </c>
      <c r="I65" s="156" t="str">
        <f t="array" ref="I65">IF($A65="","",IFERROR(INDEX(Orders!$P$5:$P$1004,MATCH($A65,Orders!$N$5:$N$1004,0)),""))</f>
        <v/>
      </c>
      <c r="J65" s="157" t="str">
        <f t="shared" si="1"/>
        <v/>
      </c>
      <c r="K65" s="153" t="str">
        <f t="array" ref="K65">IF($A65="","",IFERROR(INDEX(Sales!$M:$M,MATCH($A65,Sales!$E:$E,0)),""))</f>
        <v/>
      </c>
      <c r="L65" s="158" t="str">
        <f t="shared" si="2"/>
        <v/>
      </c>
      <c r="N65" s="49" t="str">
        <f t="array" ref="N65">IFERROR(INDEX(Sales!$E$7:$E$1506,MATCH(ROW()-4,Sales!$V$7:$V$1506,0)),"")</f>
        <v/>
      </c>
      <c r="O65" s="67"/>
      <c r="P65" s="67"/>
    </row>
    <row r="66" ht="14.25" customHeight="1">
      <c r="A66" s="151" t="str">
        <f t="array" ref="A66">IFERROR(INDEX(Sales!$E$7:$E$1506,MATCH(ROW()-4,Sales!$W$7:$W$1506,0)),"")</f>
        <v/>
      </c>
      <c r="B66" s="152" t="str">
        <f t="array" ref="B66">IF($A66="","",IFERROR(INDEX(Sales!$A:$A,MATCH($A66,Sales!$E:$E,0)),""))</f>
        <v/>
      </c>
      <c r="C66" s="153" t="str">
        <f t="array" ref="C66">IF($A66="","",IFERROR(INDEX(Sales!$D:$D,MATCH($A66,Sales!$E:$E,0)),""))</f>
        <v/>
      </c>
      <c r="D66" s="153" t="str">
        <f t="array" ref="D66">IF($A66="","",IFERROR(INDEX(Sales!$C:$C,MATCH($A66,Sales!$E:$E,0)),""))</f>
        <v/>
      </c>
      <c r="E66" s="154" t="str">
        <f>IF($A66="","",SUMIFS(Sales!$H:$H,Sales!$E:$E,$A66,Sales!$B:$B,"&lt;&gt;Return"))</f>
        <v/>
      </c>
      <c r="F66" s="155" t="str">
        <f>IF($A66="","",SUMIF(Sales!$E:$E,$A66,Sales!$L:$L))</f>
        <v/>
      </c>
      <c r="G66" s="155" t="str">
        <f>IF($A66="","",SUMIF(Sales!$E:$E,$A66,Sales!$P:$P))</f>
        <v/>
      </c>
      <c r="H66" s="156" t="str">
        <f t="array" ref="H66">IF($A66="","",IFERROR(INDEX(Orders!$O$5:$O$1004,MATCH($A66,Orders!$N$5:$N$1004,0)),""))</f>
        <v/>
      </c>
      <c r="I66" s="156" t="str">
        <f t="array" ref="I66">IF($A66="","",IFERROR(INDEX(Orders!$P$5:$P$1004,MATCH($A66,Orders!$N$5:$N$1004,0)),""))</f>
        <v/>
      </c>
      <c r="J66" s="157" t="str">
        <f t="shared" si="1"/>
        <v/>
      </c>
      <c r="K66" s="153" t="str">
        <f t="array" ref="K66">IF($A66="","",IFERROR(INDEX(Sales!$M:$M,MATCH($A66,Sales!$E:$E,0)),""))</f>
        <v/>
      </c>
      <c r="L66" s="158" t="str">
        <f t="shared" si="2"/>
        <v/>
      </c>
      <c r="N66" s="49" t="str">
        <f t="array" ref="N66">IFERROR(INDEX(Sales!$E$7:$E$1506,MATCH(ROW()-4,Sales!$V$7:$V$1506,0)),"")</f>
        <v/>
      </c>
      <c r="O66" s="67"/>
      <c r="P66" s="67"/>
    </row>
    <row r="67" ht="14.25" customHeight="1">
      <c r="A67" s="151" t="str">
        <f t="array" ref="A67">IFERROR(INDEX(Sales!$E$7:$E$1506,MATCH(ROW()-4,Sales!$W$7:$W$1506,0)),"")</f>
        <v/>
      </c>
      <c r="B67" s="152" t="str">
        <f t="array" ref="B67">IF($A67="","",IFERROR(INDEX(Sales!$A:$A,MATCH($A67,Sales!$E:$E,0)),""))</f>
        <v/>
      </c>
      <c r="C67" s="153" t="str">
        <f t="array" ref="C67">IF($A67="","",IFERROR(INDEX(Sales!$D:$D,MATCH($A67,Sales!$E:$E,0)),""))</f>
        <v/>
      </c>
      <c r="D67" s="153" t="str">
        <f t="array" ref="D67">IF($A67="","",IFERROR(INDEX(Sales!$C:$C,MATCH($A67,Sales!$E:$E,0)),""))</f>
        <v/>
      </c>
      <c r="E67" s="154" t="str">
        <f>IF($A67="","",SUMIFS(Sales!$H:$H,Sales!$E:$E,$A67,Sales!$B:$B,"&lt;&gt;Return"))</f>
        <v/>
      </c>
      <c r="F67" s="155" t="str">
        <f>IF($A67="","",SUMIF(Sales!$E:$E,$A67,Sales!$L:$L))</f>
        <v/>
      </c>
      <c r="G67" s="155" t="str">
        <f>IF($A67="","",SUMIF(Sales!$E:$E,$A67,Sales!$P:$P))</f>
        <v/>
      </c>
      <c r="H67" s="156" t="str">
        <f t="array" ref="H67">IF($A67="","",IFERROR(INDEX(Orders!$O$5:$O$1004,MATCH($A67,Orders!$N$5:$N$1004,0)),""))</f>
        <v/>
      </c>
      <c r="I67" s="156" t="str">
        <f t="array" ref="I67">IF($A67="","",IFERROR(INDEX(Orders!$P$5:$P$1004,MATCH($A67,Orders!$N$5:$N$1004,0)),""))</f>
        <v/>
      </c>
      <c r="J67" s="157" t="str">
        <f t="shared" si="1"/>
        <v/>
      </c>
      <c r="K67" s="153" t="str">
        <f t="array" ref="K67">IF($A67="","",IFERROR(INDEX(Sales!$M:$M,MATCH($A67,Sales!$E:$E,0)),""))</f>
        <v/>
      </c>
      <c r="L67" s="158" t="str">
        <f t="shared" si="2"/>
        <v/>
      </c>
      <c r="N67" s="49" t="str">
        <f t="array" ref="N67">IFERROR(INDEX(Sales!$E$7:$E$1506,MATCH(ROW()-4,Sales!$V$7:$V$1506,0)),"")</f>
        <v/>
      </c>
      <c r="O67" s="67"/>
      <c r="P67" s="67"/>
    </row>
    <row r="68" ht="14.25" customHeight="1">
      <c r="A68" s="151" t="str">
        <f t="array" ref="A68">IFERROR(INDEX(Sales!$E$7:$E$1506,MATCH(ROW()-4,Sales!$W$7:$W$1506,0)),"")</f>
        <v/>
      </c>
      <c r="B68" s="152" t="str">
        <f t="array" ref="B68">IF($A68="","",IFERROR(INDEX(Sales!$A:$A,MATCH($A68,Sales!$E:$E,0)),""))</f>
        <v/>
      </c>
      <c r="C68" s="153" t="str">
        <f t="array" ref="C68">IF($A68="","",IFERROR(INDEX(Sales!$D:$D,MATCH($A68,Sales!$E:$E,0)),""))</f>
        <v/>
      </c>
      <c r="D68" s="153" t="str">
        <f t="array" ref="D68">IF($A68="","",IFERROR(INDEX(Sales!$C:$C,MATCH($A68,Sales!$E:$E,0)),""))</f>
        <v/>
      </c>
      <c r="E68" s="154" t="str">
        <f>IF($A68="","",SUMIFS(Sales!$H:$H,Sales!$E:$E,$A68,Sales!$B:$B,"&lt;&gt;Return"))</f>
        <v/>
      </c>
      <c r="F68" s="155" t="str">
        <f>IF($A68="","",SUMIF(Sales!$E:$E,$A68,Sales!$L:$L))</f>
        <v/>
      </c>
      <c r="G68" s="155" t="str">
        <f>IF($A68="","",SUMIF(Sales!$E:$E,$A68,Sales!$P:$P))</f>
        <v/>
      </c>
      <c r="H68" s="156" t="str">
        <f t="array" ref="H68">IF($A68="","",IFERROR(INDEX(Orders!$O$5:$O$1004,MATCH($A68,Orders!$N$5:$N$1004,0)),""))</f>
        <v/>
      </c>
      <c r="I68" s="156" t="str">
        <f t="array" ref="I68">IF($A68="","",IFERROR(INDEX(Orders!$P$5:$P$1004,MATCH($A68,Orders!$N$5:$N$1004,0)),""))</f>
        <v/>
      </c>
      <c r="J68" s="157" t="str">
        <f t="shared" si="1"/>
        <v/>
      </c>
      <c r="K68" s="153" t="str">
        <f t="array" ref="K68">IF($A68="","",IFERROR(INDEX(Sales!$M:$M,MATCH($A68,Sales!$E:$E,0)),""))</f>
        <v/>
      </c>
      <c r="L68" s="158" t="str">
        <f t="shared" si="2"/>
        <v/>
      </c>
      <c r="N68" s="49" t="str">
        <f t="array" ref="N68">IFERROR(INDEX(Sales!$E$7:$E$1506,MATCH(ROW()-4,Sales!$V$7:$V$1506,0)),"")</f>
        <v/>
      </c>
      <c r="O68" s="67"/>
      <c r="P68" s="67"/>
    </row>
    <row r="69" ht="14.25" customHeight="1">
      <c r="A69" s="151" t="str">
        <f t="array" ref="A69">IFERROR(INDEX(Sales!$E$7:$E$1506,MATCH(ROW()-4,Sales!$W$7:$W$1506,0)),"")</f>
        <v/>
      </c>
      <c r="B69" s="152" t="str">
        <f t="array" ref="B69">IF($A69="","",IFERROR(INDEX(Sales!$A:$A,MATCH($A69,Sales!$E:$E,0)),""))</f>
        <v/>
      </c>
      <c r="C69" s="153" t="str">
        <f t="array" ref="C69">IF($A69="","",IFERROR(INDEX(Sales!$D:$D,MATCH($A69,Sales!$E:$E,0)),""))</f>
        <v/>
      </c>
      <c r="D69" s="153" t="str">
        <f t="array" ref="D69">IF($A69="","",IFERROR(INDEX(Sales!$C:$C,MATCH($A69,Sales!$E:$E,0)),""))</f>
        <v/>
      </c>
      <c r="E69" s="154" t="str">
        <f>IF($A69="","",SUMIFS(Sales!$H:$H,Sales!$E:$E,$A69,Sales!$B:$B,"&lt;&gt;Return"))</f>
        <v/>
      </c>
      <c r="F69" s="155" t="str">
        <f>IF($A69="","",SUMIF(Sales!$E:$E,$A69,Sales!$L:$L))</f>
        <v/>
      </c>
      <c r="G69" s="155" t="str">
        <f>IF($A69="","",SUMIF(Sales!$E:$E,$A69,Sales!$P:$P))</f>
        <v/>
      </c>
      <c r="H69" s="156" t="str">
        <f t="array" ref="H69">IF($A69="","",IFERROR(INDEX(Orders!$O$5:$O$1004,MATCH($A69,Orders!$N$5:$N$1004,0)),""))</f>
        <v/>
      </c>
      <c r="I69" s="156" t="str">
        <f t="array" ref="I69">IF($A69="","",IFERROR(INDEX(Orders!$P$5:$P$1004,MATCH($A69,Orders!$N$5:$N$1004,0)),""))</f>
        <v/>
      </c>
      <c r="J69" s="157" t="str">
        <f t="shared" si="1"/>
        <v/>
      </c>
      <c r="K69" s="153" t="str">
        <f t="array" ref="K69">IF($A69="","",IFERROR(INDEX(Sales!$M:$M,MATCH($A69,Sales!$E:$E,0)),""))</f>
        <v/>
      </c>
      <c r="L69" s="158" t="str">
        <f t="shared" si="2"/>
        <v/>
      </c>
      <c r="N69" s="49" t="str">
        <f t="array" ref="N69">IFERROR(INDEX(Sales!$E$7:$E$1506,MATCH(ROW()-4,Sales!$V$7:$V$1506,0)),"")</f>
        <v/>
      </c>
      <c r="O69" s="67"/>
      <c r="P69" s="67"/>
    </row>
    <row r="70" ht="14.25" customHeight="1">
      <c r="A70" s="151" t="str">
        <f t="array" ref="A70">IFERROR(INDEX(Sales!$E$7:$E$1506,MATCH(ROW()-4,Sales!$W$7:$W$1506,0)),"")</f>
        <v/>
      </c>
      <c r="B70" s="152" t="str">
        <f t="array" ref="B70">IF($A70="","",IFERROR(INDEX(Sales!$A:$A,MATCH($A70,Sales!$E:$E,0)),""))</f>
        <v/>
      </c>
      <c r="C70" s="153" t="str">
        <f t="array" ref="C70">IF($A70="","",IFERROR(INDEX(Sales!$D:$D,MATCH($A70,Sales!$E:$E,0)),""))</f>
        <v/>
      </c>
      <c r="D70" s="153" t="str">
        <f t="array" ref="D70">IF($A70="","",IFERROR(INDEX(Sales!$C:$C,MATCH($A70,Sales!$E:$E,0)),""))</f>
        <v/>
      </c>
      <c r="E70" s="154" t="str">
        <f>IF($A70="","",SUMIFS(Sales!$H:$H,Sales!$E:$E,$A70,Sales!$B:$B,"&lt;&gt;Return"))</f>
        <v/>
      </c>
      <c r="F70" s="155" t="str">
        <f>IF($A70="","",SUMIF(Sales!$E:$E,$A70,Sales!$L:$L))</f>
        <v/>
      </c>
      <c r="G70" s="155" t="str">
        <f>IF($A70="","",SUMIF(Sales!$E:$E,$A70,Sales!$P:$P))</f>
        <v/>
      </c>
      <c r="H70" s="156" t="str">
        <f t="array" ref="H70">IF($A70="","",IFERROR(INDEX(Orders!$O$5:$O$1004,MATCH($A70,Orders!$N$5:$N$1004,0)),""))</f>
        <v/>
      </c>
      <c r="I70" s="156" t="str">
        <f t="array" ref="I70">IF($A70="","",IFERROR(INDEX(Orders!$P$5:$P$1004,MATCH($A70,Orders!$N$5:$N$1004,0)),""))</f>
        <v/>
      </c>
      <c r="J70" s="157" t="str">
        <f t="shared" si="1"/>
        <v/>
      </c>
      <c r="K70" s="153" t="str">
        <f t="array" ref="K70">IF($A70="","",IFERROR(INDEX(Sales!$M:$M,MATCH($A70,Sales!$E:$E,0)),""))</f>
        <v/>
      </c>
      <c r="L70" s="158" t="str">
        <f t="shared" si="2"/>
        <v/>
      </c>
      <c r="N70" s="49" t="str">
        <f t="array" ref="N70">IFERROR(INDEX(Sales!$E$7:$E$1506,MATCH(ROW()-4,Sales!$V$7:$V$1506,0)),"")</f>
        <v/>
      </c>
      <c r="O70" s="67"/>
      <c r="P70" s="67"/>
    </row>
    <row r="71" ht="14.25" customHeight="1">
      <c r="A71" s="151" t="str">
        <f t="array" ref="A71">IFERROR(INDEX(Sales!$E$7:$E$1506,MATCH(ROW()-4,Sales!$W$7:$W$1506,0)),"")</f>
        <v/>
      </c>
      <c r="B71" s="152" t="str">
        <f t="array" ref="B71">IF($A71="","",IFERROR(INDEX(Sales!$A:$A,MATCH($A71,Sales!$E:$E,0)),""))</f>
        <v/>
      </c>
      <c r="C71" s="153" t="str">
        <f t="array" ref="C71">IF($A71="","",IFERROR(INDEX(Sales!$D:$D,MATCH($A71,Sales!$E:$E,0)),""))</f>
        <v/>
      </c>
      <c r="D71" s="153" t="str">
        <f t="array" ref="D71">IF($A71="","",IFERROR(INDEX(Sales!$C:$C,MATCH($A71,Sales!$E:$E,0)),""))</f>
        <v/>
      </c>
      <c r="E71" s="154" t="str">
        <f>IF($A71="","",SUMIFS(Sales!$H:$H,Sales!$E:$E,$A71,Sales!$B:$B,"&lt;&gt;Return"))</f>
        <v/>
      </c>
      <c r="F71" s="155" t="str">
        <f>IF($A71="","",SUMIF(Sales!$E:$E,$A71,Sales!$L:$L))</f>
        <v/>
      </c>
      <c r="G71" s="155" t="str">
        <f>IF($A71="","",SUMIF(Sales!$E:$E,$A71,Sales!$P:$P))</f>
        <v/>
      </c>
      <c r="H71" s="156" t="str">
        <f t="array" ref="H71">IF($A71="","",IFERROR(INDEX(Orders!$O$5:$O$1004,MATCH($A71,Orders!$N$5:$N$1004,0)),""))</f>
        <v/>
      </c>
      <c r="I71" s="156" t="str">
        <f t="array" ref="I71">IF($A71="","",IFERROR(INDEX(Orders!$P$5:$P$1004,MATCH($A71,Orders!$N$5:$N$1004,0)),""))</f>
        <v/>
      </c>
      <c r="J71" s="157" t="str">
        <f t="shared" si="1"/>
        <v/>
      </c>
      <c r="K71" s="153" t="str">
        <f t="array" ref="K71">IF($A71="","",IFERROR(INDEX(Sales!$M:$M,MATCH($A71,Sales!$E:$E,0)),""))</f>
        <v/>
      </c>
      <c r="L71" s="158" t="str">
        <f t="shared" si="2"/>
        <v/>
      </c>
      <c r="N71" s="49" t="str">
        <f t="array" ref="N71">IFERROR(INDEX(Sales!$E$7:$E$1506,MATCH(ROW()-4,Sales!$V$7:$V$1506,0)),"")</f>
        <v/>
      </c>
      <c r="O71" s="67"/>
      <c r="P71" s="67"/>
    </row>
    <row r="72" ht="14.25" customHeight="1">
      <c r="A72" s="151" t="str">
        <f t="array" ref="A72">IFERROR(INDEX(Sales!$E$7:$E$1506,MATCH(ROW()-4,Sales!$W$7:$W$1506,0)),"")</f>
        <v/>
      </c>
      <c r="B72" s="152" t="str">
        <f t="array" ref="B72">IF($A72="","",IFERROR(INDEX(Sales!$A:$A,MATCH($A72,Sales!$E:$E,0)),""))</f>
        <v/>
      </c>
      <c r="C72" s="153" t="str">
        <f t="array" ref="C72">IF($A72="","",IFERROR(INDEX(Sales!$D:$D,MATCH($A72,Sales!$E:$E,0)),""))</f>
        <v/>
      </c>
      <c r="D72" s="153" t="str">
        <f t="array" ref="D72">IF($A72="","",IFERROR(INDEX(Sales!$C:$C,MATCH($A72,Sales!$E:$E,0)),""))</f>
        <v/>
      </c>
      <c r="E72" s="154" t="str">
        <f>IF($A72="","",SUMIFS(Sales!$H:$H,Sales!$E:$E,$A72,Sales!$B:$B,"&lt;&gt;Return"))</f>
        <v/>
      </c>
      <c r="F72" s="155" t="str">
        <f>IF($A72="","",SUMIF(Sales!$E:$E,$A72,Sales!$L:$L))</f>
        <v/>
      </c>
      <c r="G72" s="155" t="str">
        <f>IF($A72="","",SUMIF(Sales!$E:$E,$A72,Sales!$P:$P))</f>
        <v/>
      </c>
      <c r="H72" s="156" t="str">
        <f t="array" ref="H72">IF($A72="","",IFERROR(INDEX(Orders!$O$5:$O$1004,MATCH($A72,Orders!$N$5:$N$1004,0)),""))</f>
        <v/>
      </c>
      <c r="I72" s="156" t="str">
        <f t="array" ref="I72">IF($A72="","",IFERROR(INDEX(Orders!$P$5:$P$1004,MATCH($A72,Orders!$N$5:$N$1004,0)),""))</f>
        <v/>
      </c>
      <c r="J72" s="157" t="str">
        <f t="shared" si="1"/>
        <v/>
      </c>
      <c r="K72" s="153" t="str">
        <f t="array" ref="K72">IF($A72="","",IFERROR(INDEX(Sales!$M:$M,MATCH($A72,Sales!$E:$E,0)),""))</f>
        <v/>
      </c>
      <c r="L72" s="158" t="str">
        <f t="shared" si="2"/>
        <v/>
      </c>
      <c r="N72" s="49" t="str">
        <f t="array" ref="N72">IFERROR(INDEX(Sales!$E$7:$E$1506,MATCH(ROW()-4,Sales!$V$7:$V$1506,0)),"")</f>
        <v/>
      </c>
      <c r="O72" s="67"/>
      <c r="P72" s="67"/>
    </row>
    <row r="73" ht="14.25" customHeight="1">
      <c r="A73" s="151" t="str">
        <f t="array" ref="A73">IFERROR(INDEX(Sales!$E$7:$E$1506,MATCH(ROW()-4,Sales!$W$7:$W$1506,0)),"")</f>
        <v/>
      </c>
      <c r="B73" s="152" t="str">
        <f t="array" ref="B73">IF($A73="","",IFERROR(INDEX(Sales!$A:$A,MATCH($A73,Sales!$E:$E,0)),""))</f>
        <v/>
      </c>
      <c r="C73" s="153" t="str">
        <f t="array" ref="C73">IF($A73="","",IFERROR(INDEX(Sales!$D:$D,MATCH($A73,Sales!$E:$E,0)),""))</f>
        <v/>
      </c>
      <c r="D73" s="153" t="str">
        <f t="array" ref="D73">IF($A73="","",IFERROR(INDEX(Sales!$C:$C,MATCH($A73,Sales!$E:$E,0)),""))</f>
        <v/>
      </c>
      <c r="E73" s="154" t="str">
        <f>IF($A73="","",SUMIFS(Sales!$H:$H,Sales!$E:$E,$A73,Sales!$B:$B,"&lt;&gt;Return"))</f>
        <v/>
      </c>
      <c r="F73" s="155" t="str">
        <f>IF($A73="","",SUMIF(Sales!$E:$E,$A73,Sales!$L:$L))</f>
        <v/>
      </c>
      <c r="G73" s="155" t="str">
        <f>IF($A73="","",SUMIF(Sales!$E:$E,$A73,Sales!$P:$P))</f>
        <v/>
      </c>
      <c r="H73" s="156" t="str">
        <f t="array" ref="H73">IF($A73="","",IFERROR(INDEX(Orders!$O$5:$O$1004,MATCH($A73,Orders!$N$5:$N$1004,0)),""))</f>
        <v/>
      </c>
      <c r="I73" s="156" t="str">
        <f t="array" ref="I73">IF($A73="","",IFERROR(INDEX(Orders!$P$5:$P$1004,MATCH($A73,Orders!$N$5:$N$1004,0)),""))</f>
        <v/>
      </c>
      <c r="J73" s="157" t="str">
        <f t="shared" si="1"/>
        <v/>
      </c>
      <c r="K73" s="153" t="str">
        <f t="array" ref="K73">IF($A73="","",IFERROR(INDEX(Sales!$M:$M,MATCH($A73,Sales!$E:$E,0)),""))</f>
        <v/>
      </c>
      <c r="L73" s="158" t="str">
        <f t="shared" si="2"/>
        <v/>
      </c>
      <c r="N73" s="49" t="str">
        <f t="array" ref="N73">IFERROR(INDEX(Sales!$E$7:$E$1506,MATCH(ROW()-4,Sales!$V$7:$V$1506,0)),"")</f>
        <v/>
      </c>
      <c r="O73" s="67"/>
      <c r="P73" s="67"/>
    </row>
    <row r="74" ht="14.25" customHeight="1">
      <c r="A74" s="151" t="str">
        <f t="array" ref="A74">IFERROR(INDEX(Sales!$E$7:$E$1506,MATCH(ROW()-4,Sales!$W$7:$W$1506,0)),"")</f>
        <v/>
      </c>
      <c r="B74" s="152" t="str">
        <f t="array" ref="B74">IF($A74="","",IFERROR(INDEX(Sales!$A:$A,MATCH($A74,Sales!$E:$E,0)),""))</f>
        <v/>
      </c>
      <c r="C74" s="153" t="str">
        <f t="array" ref="C74">IF($A74="","",IFERROR(INDEX(Sales!$D:$D,MATCH($A74,Sales!$E:$E,0)),""))</f>
        <v/>
      </c>
      <c r="D74" s="153" t="str">
        <f t="array" ref="D74">IF($A74="","",IFERROR(INDEX(Sales!$C:$C,MATCH($A74,Sales!$E:$E,0)),""))</f>
        <v/>
      </c>
      <c r="E74" s="154" t="str">
        <f>IF($A74="","",SUMIFS(Sales!$H:$H,Sales!$E:$E,$A74,Sales!$B:$B,"&lt;&gt;Return"))</f>
        <v/>
      </c>
      <c r="F74" s="155" t="str">
        <f>IF($A74="","",SUMIF(Sales!$E:$E,$A74,Sales!$L:$L))</f>
        <v/>
      </c>
      <c r="G74" s="155" t="str">
        <f>IF($A74="","",SUMIF(Sales!$E:$E,$A74,Sales!$P:$P))</f>
        <v/>
      </c>
      <c r="H74" s="156" t="str">
        <f t="array" ref="H74">IF($A74="","",IFERROR(INDEX(Orders!$O$5:$O$1004,MATCH($A74,Orders!$N$5:$N$1004,0)),""))</f>
        <v/>
      </c>
      <c r="I74" s="156" t="str">
        <f t="array" ref="I74">IF($A74="","",IFERROR(INDEX(Orders!$P$5:$P$1004,MATCH($A74,Orders!$N$5:$N$1004,0)),""))</f>
        <v/>
      </c>
      <c r="J74" s="157" t="str">
        <f t="shared" si="1"/>
        <v/>
      </c>
      <c r="K74" s="153" t="str">
        <f t="array" ref="K74">IF($A74="","",IFERROR(INDEX(Sales!$M:$M,MATCH($A74,Sales!$E:$E,0)),""))</f>
        <v/>
      </c>
      <c r="L74" s="158" t="str">
        <f t="shared" si="2"/>
        <v/>
      </c>
      <c r="N74" s="49" t="str">
        <f t="array" ref="N74">IFERROR(INDEX(Sales!$E$7:$E$1506,MATCH(ROW()-4,Sales!$V$7:$V$1506,0)),"")</f>
        <v/>
      </c>
      <c r="O74" s="67"/>
      <c r="P74" s="67"/>
    </row>
    <row r="75" ht="14.25" customHeight="1">
      <c r="A75" s="151" t="str">
        <f t="array" ref="A75">IFERROR(INDEX(Sales!$E$7:$E$1506,MATCH(ROW()-4,Sales!$W$7:$W$1506,0)),"")</f>
        <v/>
      </c>
      <c r="B75" s="152" t="str">
        <f t="array" ref="B75">IF($A75="","",IFERROR(INDEX(Sales!$A:$A,MATCH($A75,Sales!$E:$E,0)),""))</f>
        <v/>
      </c>
      <c r="C75" s="153" t="str">
        <f t="array" ref="C75">IF($A75="","",IFERROR(INDEX(Sales!$D:$D,MATCH($A75,Sales!$E:$E,0)),""))</f>
        <v/>
      </c>
      <c r="D75" s="153" t="str">
        <f t="array" ref="D75">IF($A75="","",IFERROR(INDEX(Sales!$C:$C,MATCH($A75,Sales!$E:$E,0)),""))</f>
        <v/>
      </c>
      <c r="E75" s="154" t="str">
        <f>IF($A75="","",SUMIFS(Sales!$H:$H,Sales!$E:$E,$A75,Sales!$B:$B,"&lt;&gt;Return"))</f>
        <v/>
      </c>
      <c r="F75" s="155" t="str">
        <f>IF($A75="","",SUMIF(Sales!$E:$E,$A75,Sales!$L:$L))</f>
        <v/>
      </c>
      <c r="G75" s="155" t="str">
        <f>IF($A75="","",SUMIF(Sales!$E:$E,$A75,Sales!$P:$P))</f>
        <v/>
      </c>
      <c r="H75" s="156" t="str">
        <f t="array" ref="H75">IF($A75="","",IFERROR(INDEX(Orders!$O$5:$O$1004,MATCH($A75,Orders!$N$5:$N$1004,0)),""))</f>
        <v/>
      </c>
      <c r="I75" s="156" t="str">
        <f t="array" ref="I75">IF($A75="","",IFERROR(INDEX(Orders!$P$5:$P$1004,MATCH($A75,Orders!$N$5:$N$1004,0)),""))</f>
        <v/>
      </c>
      <c r="J75" s="157" t="str">
        <f t="shared" si="1"/>
        <v/>
      </c>
      <c r="K75" s="153" t="str">
        <f t="array" ref="K75">IF($A75="","",IFERROR(INDEX(Sales!$M:$M,MATCH($A75,Sales!$E:$E,0)),""))</f>
        <v/>
      </c>
      <c r="L75" s="158" t="str">
        <f t="shared" si="2"/>
        <v/>
      </c>
      <c r="N75" s="49" t="str">
        <f t="array" ref="N75">IFERROR(INDEX(Sales!$E$7:$E$1506,MATCH(ROW()-4,Sales!$V$7:$V$1506,0)),"")</f>
        <v/>
      </c>
      <c r="O75" s="67"/>
      <c r="P75" s="67"/>
    </row>
    <row r="76" ht="14.25" customHeight="1">
      <c r="A76" s="151" t="str">
        <f t="array" ref="A76">IFERROR(INDEX(Sales!$E$7:$E$1506,MATCH(ROW()-4,Sales!$W$7:$W$1506,0)),"")</f>
        <v/>
      </c>
      <c r="B76" s="152" t="str">
        <f t="array" ref="B76">IF($A76="","",IFERROR(INDEX(Sales!$A:$A,MATCH($A76,Sales!$E:$E,0)),""))</f>
        <v/>
      </c>
      <c r="C76" s="153" t="str">
        <f t="array" ref="C76">IF($A76="","",IFERROR(INDEX(Sales!$D:$D,MATCH($A76,Sales!$E:$E,0)),""))</f>
        <v/>
      </c>
      <c r="D76" s="153" t="str">
        <f t="array" ref="D76">IF($A76="","",IFERROR(INDEX(Sales!$C:$C,MATCH($A76,Sales!$E:$E,0)),""))</f>
        <v/>
      </c>
      <c r="E76" s="154" t="str">
        <f>IF($A76="","",SUMIFS(Sales!$H:$H,Sales!$E:$E,$A76,Sales!$B:$B,"&lt;&gt;Return"))</f>
        <v/>
      </c>
      <c r="F76" s="155" t="str">
        <f>IF($A76="","",SUMIF(Sales!$E:$E,$A76,Sales!$L:$L))</f>
        <v/>
      </c>
      <c r="G76" s="155" t="str">
        <f>IF($A76="","",SUMIF(Sales!$E:$E,$A76,Sales!$P:$P))</f>
        <v/>
      </c>
      <c r="H76" s="156" t="str">
        <f t="array" ref="H76">IF($A76="","",IFERROR(INDEX(Orders!$O$5:$O$1004,MATCH($A76,Orders!$N$5:$N$1004,0)),""))</f>
        <v/>
      </c>
      <c r="I76" s="156" t="str">
        <f t="array" ref="I76">IF($A76="","",IFERROR(INDEX(Orders!$P$5:$P$1004,MATCH($A76,Orders!$N$5:$N$1004,0)),""))</f>
        <v/>
      </c>
      <c r="J76" s="157" t="str">
        <f t="shared" si="1"/>
        <v/>
      </c>
      <c r="K76" s="153" t="str">
        <f t="array" ref="K76">IF($A76="","",IFERROR(INDEX(Sales!$M:$M,MATCH($A76,Sales!$E:$E,0)),""))</f>
        <v/>
      </c>
      <c r="L76" s="158" t="str">
        <f t="shared" si="2"/>
        <v/>
      </c>
      <c r="N76" s="49" t="str">
        <f t="array" ref="N76">IFERROR(INDEX(Sales!$E$7:$E$1506,MATCH(ROW()-4,Sales!$V$7:$V$1506,0)),"")</f>
        <v/>
      </c>
      <c r="O76" s="67"/>
      <c r="P76" s="67"/>
    </row>
    <row r="77" ht="14.25" customHeight="1">
      <c r="A77" s="151" t="str">
        <f t="array" ref="A77">IFERROR(INDEX(Sales!$E$7:$E$1506,MATCH(ROW()-4,Sales!$W$7:$W$1506,0)),"")</f>
        <v/>
      </c>
      <c r="B77" s="152" t="str">
        <f t="array" ref="B77">IF($A77="","",IFERROR(INDEX(Sales!$A:$A,MATCH($A77,Sales!$E:$E,0)),""))</f>
        <v/>
      </c>
      <c r="C77" s="153" t="str">
        <f t="array" ref="C77">IF($A77="","",IFERROR(INDEX(Sales!$D:$D,MATCH($A77,Sales!$E:$E,0)),""))</f>
        <v/>
      </c>
      <c r="D77" s="153" t="str">
        <f t="array" ref="D77">IF($A77="","",IFERROR(INDEX(Sales!$C:$C,MATCH($A77,Sales!$E:$E,0)),""))</f>
        <v/>
      </c>
      <c r="E77" s="154" t="str">
        <f>IF($A77="","",SUMIFS(Sales!$H:$H,Sales!$E:$E,$A77,Sales!$B:$B,"&lt;&gt;Return"))</f>
        <v/>
      </c>
      <c r="F77" s="155" t="str">
        <f>IF($A77="","",SUMIF(Sales!$E:$E,$A77,Sales!$L:$L))</f>
        <v/>
      </c>
      <c r="G77" s="155" t="str">
        <f>IF($A77="","",SUMIF(Sales!$E:$E,$A77,Sales!$P:$P))</f>
        <v/>
      </c>
      <c r="H77" s="156" t="str">
        <f t="array" ref="H77">IF($A77="","",IFERROR(INDEX(Orders!$O$5:$O$1004,MATCH($A77,Orders!$N$5:$N$1004,0)),""))</f>
        <v/>
      </c>
      <c r="I77" s="156" t="str">
        <f t="array" ref="I77">IF($A77="","",IFERROR(INDEX(Orders!$P$5:$P$1004,MATCH($A77,Orders!$N$5:$N$1004,0)),""))</f>
        <v/>
      </c>
      <c r="J77" s="157" t="str">
        <f t="shared" si="1"/>
        <v/>
      </c>
      <c r="K77" s="153" t="str">
        <f t="array" ref="K77">IF($A77="","",IFERROR(INDEX(Sales!$M:$M,MATCH($A77,Sales!$E:$E,0)),""))</f>
        <v/>
      </c>
      <c r="L77" s="158" t="str">
        <f t="shared" si="2"/>
        <v/>
      </c>
      <c r="N77" s="49" t="str">
        <f t="array" ref="N77">IFERROR(INDEX(Sales!$E$7:$E$1506,MATCH(ROW()-4,Sales!$V$7:$V$1506,0)),"")</f>
        <v/>
      </c>
      <c r="O77" s="67"/>
      <c r="P77" s="67"/>
    </row>
    <row r="78" ht="14.25" customHeight="1">
      <c r="A78" s="151" t="str">
        <f t="array" ref="A78">IFERROR(INDEX(Sales!$E$7:$E$1506,MATCH(ROW()-4,Sales!$W$7:$W$1506,0)),"")</f>
        <v/>
      </c>
      <c r="B78" s="152" t="str">
        <f t="array" ref="B78">IF($A78="","",IFERROR(INDEX(Sales!$A:$A,MATCH($A78,Sales!$E:$E,0)),""))</f>
        <v/>
      </c>
      <c r="C78" s="153" t="str">
        <f t="array" ref="C78">IF($A78="","",IFERROR(INDEX(Sales!$D:$D,MATCH($A78,Sales!$E:$E,0)),""))</f>
        <v/>
      </c>
      <c r="D78" s="153" t="str">
        <f t="array" ref="D78">IF($A78="","",IFERROR(INDEX(Sales!$C:$C,MATCH($A78,Sales!$E:$E,0)),""))</f>
        <v/>
      </c>
      <c r="E78" s="154" t="str">
        <f>IF($A78="","",SUMIFS(Sales!$H:$H,Sales!$E:$E,$A78,Sales!$B:$B,"&lt;&gt;Return"))</f>
        <v/>
      </c>
      <c r="F78" s="155" t="str">
        <f>IF($A78="","",SUMIF(Sales!$E:$E,$A78,Sales!$L:$L))</f>
        <v/>
      </c>
      <c r="G78" s="155" t="str">
        <f>IF($A78="","",SUMIF(Sales!$E:$E,$A78,Sales!$P:$P))</f>
        <v/>
      </c>
      <c r="H78" s="156" t="str">
        <f t="array" ref="H78">IF($A78="","",IFERROR(INDEX(Orders!$O$5:$O$1004,MATCH($A78,Orders!$N$5:$N$1004,0)),""))</f>
        <v/>
      </c>
      <c r="I78" s="156" t="str">
        <f t="array" ref="I78">IF($A78="","",IFERROR(INDEX(Orders!$P$5:$P$1004,MATCH($A78,Orders!$N$5:$N$1004,0)),""))</f>
        <v/>
      </c>
      <c r="J78" s="157" t="str">
        <f t="shared" si="1"/>
        <v/>
      </c>
      <c r="K78" s="153" t="str">
        <f t="array" ref="K78">IF($A78="","",IFERROR(INDEX(Sales!$M:$M,MATCH($A78,Sales!$E:$E,0)),""))</f>
        <v/>
      </c>
      <c r="L78" s="158" t="str">
        <f t="shared" si="2"/>
        <v/>
      </c>
      <c r="N78" s="49" t="str">
        <f t="array" ref="N78">IFERROR(INDEX(Sales!$E$7:$E$1506,MATCH(ROW()-4,Sales!$V$7:$V$1506,0)),"")</f>
        <v/>
      </c>
      <c r="O78" s="67"/>
      <c r="P78" s="67"/>
    </row>
    <row r="79" ht="14.25" customHeight="1">
      <c r="A79" s="151" t="str">
        <f t="array" ref="A79">IFERROR(INDEX(Sales!$E$7:$E$1506,MATCH(ROW()-4,Sales!$W$7:$W$1506,0)),"")</f>
        <v/>
      </c>
      <c r="B79" s="152" t="str">
        <f t="array" ref="B79">IF($A79="","",IFERROR(INDEX(Sales!$A:$A,MATCH($A79,Sales!$E:$E,0)),""))</f>
        <v/>
      </c>
      <c r="C79" s="153" t="str">
        <f t="array" ref="C79">IF($A79="","",IFERROR(INDEX(Sales!$D:$D,MATCH($A79,Sales!$E:$E,0)),""))</f>
        <v/>
      </c>
      <c r="D79" s="153" t="str">
        <f t="array" ref="D79">IF($A79="","",IFERROR(INDEX(Sales!$C:$C,MATCH($A79,Sales!$E:$E,0)),""))</f>
        <v/>
      </c>
      <c r="E79" s="154" t="str">
        <f>IF($A79="","",SUMIFS(Sales!$H:$H,Sales!$E:$E,$A79,Sales!$B:$B,"&lt;&gt;Return"))</f>
        <v/>
      </c>
      <c r="F79" s="155" t="str">
        <f>IF($A79="","",SUMIF(Sales!$E:$E,$A79,Sales!$L:$L))</f>
        <v/>
      </c>
      <c r="G79" s="155" t="str">
        <f>IF($A79="","",SUMIF(Sales!$E:$E,$A79,Sales!$P:$P))</f>
        <v/>
      </c>
      <c r="H79" s="156" t="str">
        <f t="array" ref="H79">IF($A79="","",IFERROR(INDEX(Orders!$O$5:$O$1004,MATCH($A79,Orders!$N$5:$N$1004,0)),""))</f>
        <v/>
      </c>
      <c r="I79" s="156" t="str">
        <f t="array" ref="I79">IF($A79="","",IFERROR(INDEX(Orders!$P$5:$P$1004,MATCH($A79,Orders!$N$5:$N$1004,0)),""))</f>
        <v/>
      </c>
      <c r="J79" s="157" t="str">
        <f t="shared" si="1"/>
        <v/>
      </c>
      <c r="K79" s="153" t="str">
        <f t="array" ref="K79">IF($A79="","",IFERROR(INDEX(Sales!$M:$M,MATCH($A79,Sales!$E:$E,0)),""))</f>
        <v/>
      </c>
      <c r="L79" s="158" t="str">
        <f t="shared" si="2"/>
        <v/>
      </c>
      <c r="N79" s="49" t="str">
        <f t="array" ref="N79">IFERROR(INDEX(Sales!$E$7:$E$1506,MATCH(ROW()-4,Sales!$V$7:$V$1506,0)),"")</f>
        <v/>
      </c>
      <c r="O79" s="67"/>
      <c r="P79" s="67"/>
    </row>
    <row r="80" ht="14.25" customHeight="1">
      <c r="A80" s="151" t="str">
        <f t="array" ref="A80">IFERROR(INDEX(Sales!$E$7:$E$1506,MATCH(ROW()-4,Sales!$W$7:$W$1506,0)),"")</f>
        <v/>
      </c>
      <c r="B80" s="152" t="str">
        <f t="array" ref="B80">IF($A80="","",IFERROR(INDEX(Sales!$A:$A,MATCH($A80,Sales!$E:$E,0)),""))</f>
        <v/>
      </c>
      <c r="C80" s="153" t="str">
        <f t="array" ref="C80">IF($A80="","",IFERROR(INDEX(Sales!$D:$D,MATCH($A80,Sales!$E:$E,0)),""))</f>
        <v/>
      </c>
      <c r="D80" s="153" t="str">
        <f t="array" ref="D80">IF($A80="","",IFERROR(INDEX(Sales!$C:$C,MATCH($A80,Sales!$E:$E,0)),""))</f>
        <v/>
      </c>
      <c r="E80" s="154" t="str">
        <f>IF($A80="","",SUMIFS(Sales!$H:$H,Sales!$E:$E,$A80,Sales!$B:$B,"&lt;&gt;Return"))</f>
        <v/>
      </c>
      <c r="F80" s="155" t="str">
        <f>IF($A80="","",SUMIF(Sales!$E:$E,$A80,Sales!$L:$L))</f>
        <v/>
      </c>
      <c r="G80" s="155" t="str">
        <f>IF($A80="","",SUMIF(Sales!$E:$E,$A80,Sales!$P:$P))</f>
        <v/>
      </c>
      <c r="H80" s="156" t="str">
        <f t="array" ref="H80">IF($A80="","",IFERROR(INDEX(Orders!$O$5:$O$1004,MATCH($A80,Orders!$N$5:$N$1004,0)),""))</f>
        <v/>
      </c>
      <c r="I80" s="156" t="str">
        <f t="array" ref="I80">IF($A80="","",IFERROR(INDEX(Orders!$P$5:$P$1004,MATCH($A80,Orders!$N$5:$N$1004,0)),""))</f>
        <v/>
      </c>
      <c r="J80" s="157" t="str">
        <f t="shared" si="1"/>
        <v/>
      </c>
      <c r="K80" s="153" t="str">
        <f t="array" ref="K80">IF($A80="","",IFERROR(INDEX(Sales!$M:$M,MATCH($A80,Sales!$E:$E,0)),""))</f>
        <v/>
      </c>
      <c r="L80" s="158" t="str">
        <f t="shared" si="2"/>
        <v/>
      </c>
      <c r="N80" s="49" t="str">
        <f t="array" ref="N80">IFERROR(INDEX(Sales!$E$7:$E$1506,MATCH(ROW()-4,Sales!$V$7:$V$1506,0)),"")</f>
        <v/>
      </c>
      <c r="O80" s="67"/>
      <c r="P80" s="67"/>
    </row>
    <row r="81" ht="14.25" customHeight="1">
      <c r="A81" s="151" t="str">
        <f t="array" ref="A81">IFERROR(INDEX(Sales!$E$7:$E$1506,MATCH(ROW()-4,Sales!$W$7:$W$1506,0)),"")</f>
        <v/>
      </c>
      <c r="B81" s="152" t="str">
        <f t="array" ref="B81">IF($A81="","",IFERROR(INDEX(Sales!$A:$A,MATCH($A81,Sales!$E:$E,0)),""))</f>
        <v/>
      </c>
      <c r="C81" s="153" t="str">
        <f t="array" ref="C81">IF($A81="","",IFERROR(INDEX(Sales!$D:$D,MATCH($A81,Sales!$E:$E,0)),""))</f>
        <v/>
      </c>
      <c r="D81" s="153" t="str">
        <f t="array" ref="D81">IF($A81="","",IFERROR(INDEX(Sales!$C:$C,MATCH($A81,Sales!$E:$E,0)),""))</f>
        <v/>
      </c>
      <c r="E81" s="154" t="str">
        <f>IF($A81="","",SUMIFS(Sales!$H:$H,Sales!$E:$E,$A81,Sales!$B:$B,"&lt;&gt;Return"))</f>
        <v/>
      </c>
      <c r="F81" s="155" t="str">
        <f>IF($A81="","",SUMIF(Sales!$E:$E,$A81,Sales!$L:$L))</f>
        <v/>
      </c>
      <c r="G81" s="155" t="str">
        <f>IF($A81="","",SUMIF(Sales!$E:$E,$A81,Sales!$P:$P))</f>
        <v/>
      </c>
      <c r="H81" s="156" t="str">
        <f t="array" ref="H81">IF($A81="","",IFERROR(INDEX(Orders!$O$5:$O$1004,MATCH($A81,Orders!$N$5:$N$1004,0)),""))</f>
        <v/>
      </c>
      <c r="I81" s="156" t="str">
        <f t="array" ref="I81">IF($A81="","",IFERROR(INDEX(Orders!$P$5:$P$1004,MATCH($A81,Orders!$N$5:$N$1004,0)),""))</f>
        <v/>
      </c>
      <c r="J81" s="157" t="str">
        <f t="shared" si="1"/>
        <v/>
      </c>
      <c r="K81" s="153" t="str">
        <f t="array" ref="K81">IF($A81="","",IFERROR(INDEX(Sales!$M:$M,MATCH($A81,Sales!$E:$E,0)),""))</f>
        <v/>
      </c>
      <c r="L81" s="158" t="str">
        <f t="shared" si="2"/>
        <v/>
      </c>
      <c r="N81" s="49" t="str">
        <f t="array" ref="N81">IFERROR(INDEX(Sales!$E$7:$E$1506,MATCH(ROW()-4,Sales!$V$7:$V$1506,0)),"")</f>
        <v/>
      </c>
      <c r="O81" s="67"/>
      <c r="P81" s="67"/>
    </row>
    <row r="82" ht="14.25" customHeight="1">
      <c r="A82" s="151" t="str">
        <f t="array" ref="A82">IFERROR(INDEX(Sales!$E$7:$E$1506,MATCH(ROW()-4,Sales!$W$7:$W$1506,0)),"")</f>
        <v/>
      </c>
      <c r="B82" s="152" t="str">
        <f t="array" ref="B82">IF($A82="","",IFERROR(INDEX(Sales!$A:$A,MATCH($A82,Sales!$E:$E,0)),""))</f>
        <v/>
      </c>
      <c r="C82" s="153" t="str">
        <f t="array" ref="C82">IF($A82="","",IFERROR(INDEX(Sales!$D:$D,MATCH($A82,Sales!$E:$E,0)),""))</f>
        <v/>
      </c>
      <c r="D82" s="153" t="str">
        <f t="array" ref="D82">IF($A82="","",IFERROR(INDEX(Sales!$C:$C,MATCH($A82,Sales!$E:$E,0)),""))</f>
        <v/>
      </c>
      <c r="E82" s="154" t="str">
        <f>IF($A82="","",SUMIFS(Sales!$H:$H,Sales!$E:$E,$A82,Sales!$B:$B,"&lt;&gt;Return"))</f>
        <v/>
      </c>
      <c r="F82" s="155" t="str">
        <f>IF($A82="","",SUMIF(Sales!$E:$E,$A82,Sales!$L:$L))</f>
        <v/>
      </c>
      <c r="G82" s="155" t="str">
        <f>IF($A82="","",SUMIF(Sales!$E:$E,$A82,Sales!$P:$P))</f>
        <v/>
      </c>
      <c r="H82" s="156" t="str">
        <f t="array" ref="H82">IF($A82="","",IFERROR(INDEX(Orders!$O$5:$O$1004,MATCH($A82,Orders!$N$5:$N$1004,0)),""))</f>
        <v/>
      </c>
      <c r="I82" s="156" t="str">
        <f t="array" ref="I82">IF($A82="","",IFERROR(INDEX(Orders!$P$5:$P$1004,MATCH($A82,Orders!$N$5:$N$1004,0)),""))</f>
        <v/>
      </c>
      <c r="J82" s="157" t="str">
        <f t="shared" si="1"/>
        <v/>
      </c>
      <c r="K82" s="153" t="str">
        <f t="array" ref="K82">IF($A82="","",IFERROR(INDEX(Sales!$M:$M,MATCH($A82,Sales!$E:$E,0)),""))</f>
        <v/>
      </c>
      <c r="L82" s="158" t="str">
        <f t="shared" si="2"/>
        <v/>
      </c>
      <c r="N82" s="49" t="str">
        <f t="array" ref="N82">IFERROR(INDEX(Sales!$E$7:$E$1506,MATCH(ROW()-4,Sales!$V$7:$V$1506,0)),"")</f>
        <v/>
      </c>
      <c r="O82" s="67"/>
      <c r="P82" s="67"/>
    </row>
    <row r="83" ht="14.25" customHeight="1">
      <c r="A83" s="151" t="str">
        <f t="array" ref="A83">IFERROR(INDEX(Sales!$E$7:$E$1506,MATCH(ROW()-4,Sales!$W$7:$W$1506,0)),"")</f>
        <v/>
      </c>
      <c r="B83" s="152" t="str">
        <f t="array" ref="B83">IF($A83="","",IFERROR(INDEX(Sales!$A:$A,MATCH($A83,Sales!$E:$E,0)),""))</f>
        <v/>
      </c>
      <c r="C83" s="153" t="str">
        <f t="array" ref="C83">IF($A83="","",IFERROR(INDEX(Sales!$D:$D,MATCH($A83,Sales!$E:$E,0)),""))</f>
        <v/>
      </c>
      <c r="D83" s="153" t="str">
        <f t="array" ref="D83">IF($A83="","",IFERROR(INDEX(Sales!$C:$C,MATCH($A83,Sales!$E:$E,0)),""))</f>
        <v/>
      </c>
      <c r="E83" s="154" t="str">
        <f>IF($A83="","",SUMIFS(Sales!$H:$H,Sales!$E:$E,$A83,Sales!$B:$B,"&lt;&gt;Return"))</f>
        <v/>
      </c>
      <c r="F83" s="155" t="str">
        <f>IF($A83="","",SUMIF(Sales!$E:$E,$A83,Sales!$L:$L))</f>
        <v/>
      </c>
      <c r="G83" s="155" t="str">
        <f>IF($A83="","",SUMIF(Sales!$E:$E,$A83,Sales!$P:$P))</f>
        <v/>
      </c>
      <c r="H83" s="156" t="str">
        <f t="array" ref="H83">IF($A83="","",IFERROR(INDEX(Orders!$O$5:$O$1004,MATCH($A83,Orders!$N$5:$N$1004,0)),""))</f>
        <v/>
      </c>
      <c r="I83" s="156" t="str">
        <f t="array" ref="I83">IF($A83="","",IFERROR(INDEX(Orders!$P$5:$P$1004,MATCH($A83,Orders!$N$5:$N$1004,0)),""))</f>
        <v/>
      </c>
      <c r="J83" s="157" t="str">
        <f t="shared" si="1"/>
        <v/>
      </c>
      <c r="K83" s="153" t="str">
        <f t="array" ref="K83">IF($A83="","",IFERROR(INDEX(Sales!$M:$M,MATCH($A83,Sales!$E:$E,0)),""))</f>
        <v/>
      </c>
      <c r="L83" s="158" t="str">
        <f t="shared" si="2"/>
        <v/>
      </c>
      <c r="N83" s="49" t="str">
        <f t="array" ref="N83">IFERROR(INDEX(Sales!$E$7:$E$1506,MATCH(ROW()-4,Sales!$V$7:$V$1506,0)),"")</f>
        <v/>
      </c>
      <c r="O83" s="67"/>
      <c r="P83" s="67"/>
    </row>
    <row r="84" ht="14.25" customHeight="1">
      <c r="A84" s="151" t="str">
        <f t="array" ref="A84">IFERROR(INDEX(Sales!$E$7:$E$1506,MATCH(ROW()-4,Sales!$W$7:$W$1506,0)),"")</f>
        <v/>
      </c>
      <c r="B84" s="152" t="str">
        <f t="array" ref="B84">IF($A84="","",IFERROR(INDEX(Sales!$A:$A,MATCH($A84,Sales!$E:$E,0)),""))</f>
        <v/>
      </c>
      <c r="C84" s="153" t="str">
        <f t="array" ref="C84">IF($A84="","",IFERROR(INDEX(Sales!$D:$D,MATCH($A84,Sales!$E:$E,0)),""))</f>
        <v/>
      </c>
      <c r="D84" s="153" t="str">
        <f t="array" ref="D84">IF($A84="","",IFERROR(INDEX(Sales!$C:$C,MATCH($A84,Sales!$E:$E,0)),""))</f>
        <v/>
      </c>
      <c r="E84" s="154" t="str">
        <f>IF($A84="","",SUMIFS(Sales!$H:$H,Sales!$E:$E,$A84,Sales!$B:$B,"&lt;&gt;Return"))</f>
        <v/>
      </c>
      <c r="F84" s="155" t="str">
        <f>IF($A84="","",SUMIF(Sales!$E:$E,$A84,Sales!$L:$L))</f>
        <v/>
      </c>
      <c r="G84" s="155" t="str">
        <f>IF($A84="","",SUMIF(Sales!$E:$E,$A84,Sales!$P:$P))</f>
        <v/>
      </c>
      <c r="H84" s="156" t="str">
        <f t="array" ref="H84">IF($A84="","",IFERROR(INDEX(Orders!$O$5:$O$1004,MATCH($A84,Orders!$N$5:$N$1004,0)),""))</f>
        <v/>
      </c>
      <c r="I84" s="156" t="str">
        <f t="array" ref="I84">IF($A84="","",IFERROR(INDEX(Orders!$P$5:$P$1004,MATCH($A84,Orders!$N$5:$N$1004,0)),""))</f>
        <v/>
      </c>
      <c r="J84" s="157" t="str">
        <f t="shared" si="1"/>
        <v/>
      </c>
      <c r="K84" s="153" t="str">
        <f t="array" ref="K84">IF($A84="","",IFERROR(INDEX(Sales!$M:$M,MATCH($A84,Sales!$E:$E,0)),""))</f>
        <v/>
      </c>
      <c r="L84" s="158" t="str">
        <f t="shared" si="2"/>
        <v/>
      </c>
      <c r="N84" s="49" t="str">
        <f t="array" ref="N84">IFERROR(INDEX(Sales!$E$7:$E$1506,MATCH(ROW()-4,Sales!$V$7:$V$1506,0)),"")</f>
        <v/>
      </c>
      <c r="O84" s="67"/>
      <c r="P84" s="67"/>
    </row>
    <row r="85" ht="14.25" customHeight="1">
      <c r="A85" s="151" t="str">
        <f t="array" ref="A85">IFERROR(INDEX(Sales!$E$7:$E$1506,MATCH(ROW()-4,Sales!$W$7:$W$1506,0)),"")</f>
        <v/>
      </c>
      <c r="B85" s="152" t="str">
        <f t="array" ref="B85">IF($A85="","",IFERROR(INDEX(Sales!$A:$A,MATCH($A85,Sales!$E:$E,0)),""))</f>
        <v/>
      </c>
      <c r="C85" s="153" t="str">
        <f t="array" ref="C85">IF($A85="","",IFERROR(INDEX(Sales!$D:$D,MATCH($A85,Sales!$E:$E,0)),""))</f>
        <v/>
      </c>
      <c r="D85" s="153" t="str">
        <f t="array" ref="D85">IF($A85="","",IFERROR(INDEX(Sales!$C:$C,MATCH($A85,Sales!$E:$E,0)),""))</f>
        <v/>
      </c>
      <c r="E85" s="154" t="str">
        <f>IF($A85="","",SUMIFS(Sales!$H:$H,Sales!$E:$E,$A85,Sales!$B:$B,"&lt;&gt;Return"))</f>
        <v/>
      </c>
      <c r="F85" s="155" t="str">
        <f>IF($A85="","",SUMIF(Sales!$E:$E,$A85,Sales!$L:$L))</f>
        <v/>
      </c>
      <c r="G85" s="155" t="str">
        <f>IF($A85="","",SUMIF(Sales!$E:$E,$A85,Sales!$P:$P))</f>
        <v/>
      </c>
      <c r="H85" s="156" t="str">
        <f t="array" ref="H85">IF($A85="","",IFERROR(INDEX(Orders!$O$5:$O$1004,MATCH($A85,Orders!$N$5:$N$1004,0)),""))</f>
        <v/>
      </c>
      <c r="I85" s="156" t="str">
        <f t="array" ref="I85">IF($A85="","",IFERROR(INDEX(Orders!$P$5:$P$1004,MATCH($A85,Orders!$N$5:$N$1004,0)),""))</f>
        <v/>
      </c>
      <c r="J85" s="157" t="str">
        <f t="shared" si="1"/>
        <v/>
      </c>
      <c r="K85" s="153" t="str">
        <f t="array" ref="K85">IF($A85="","",IFERROR(INDEX(Sales!$M:$M,MATCH($A85,Sales!$E:$E,0)),""))</f>
        <v/>
      </c>
      <c r="L85" s="158" t="str">
        <f t="shared" si="2"/>
        <v/>
      </c>
      <c r="N85" s="49" t="str">
        <f t="array" ref="N85">IFERROR(INDEX(Sales!$E$7:$E$1506,MATCH(ROW()-4,Sales!$V$7:$V$1506,0)),"")</f>
        <v/>
      </c>
      <c r="O85" s="67"/>
      <c r="P85" s="67"/>
    </row>
    <row r="86" ht="14.25" customHeight="1">
      <c r="A86" s="151" t="str">
        <f t="array" ref="A86">IFERROR(INDEX(Sales!$E$7:$E$1506,MATCH(ROW()-4,Sales!$W$7:$W$1506,0)),"")</f>
        <v/>
      </c>
      <c r="B86" s="152" t="str">
        <f t="array" ref="B86">IF($A86="","",IFERROR(INDEX(Sales!$A:$A,MATCH($A86,Sales!$E:$E,0)),""))</f>
        <v/>
      </c>
      <c r="C86" s="153" t="str">
        <f t="array" ref="C86">IF($A86="","",IFERROR(INDEX(Sales!$D:$D,MATCH($A86,Sales!$E:$E,0)),""))</f>
        <v/>
      </c>
      <c r="D86" s="153" t="str">
        <f t="array" ref="D86">IF($A86="","",IFERROR(INDEX(Sales!$C:$C,MATCH($A86,Sales!$E:$E,0)),""))</f>
        <v/>
      </c>
      <c r="E86" s="154" t="str">
        <f>IF($A86="","",SUMIFS(Sales!$H:$H,Sales!$E:$E,$A86,Sales!$B:$B,"&lt;&gt;Return"))</f>
        <v/>
      </c>
      <c r="F86" s="155" t="str">
        <f>IF($A86="","",SUMIF(Sales!$E:$E,$A86,Sales!$L:$L))</f>
        <v/>
      </c>
      <c r="G86" s="155" t="str">
        <f>IF($A86="","",SUMIF(Sales!$E:$E,$A86,Sales!$P:$P))</f>
        <v/>
      </c>
      <c r="H86" s="156" t="str">
        <f t="array" ref="H86">IF($A86="","",IFERROR(INDEX(Orders!$O$5:$O$1004,MATCH($A86,Orders!$N$5:$N$1004,0)),""))</f>
        <v/>
      </c>
      <c r="I86" s="156" t="str">
        <f t="array" ref="I86">IF($A86="","",IFERROR(INDEX(Orders!$P$5:$P$1004,MATCH($A86,Orders!$N$5:$N$1004,0)),""))</f>
        <v/>
      </c>
      <c r="J86" s="157" t="str">
        <f t="shared" si="1"/>
        <v/>
      </c>
      <c r="K86" s="153" t="str">
        <f t="array" ref="K86">IF($A86="","",IFERROR(INDEX(Sales!$M:$M,MATCH($A86,Sales!$E:$E,0)),""))</f>
        <v/>
      </c>
      <c r="L86" s="158" t="str">
        <f t="shared" si="2"/>
        <v/>
      </c>
      <c r="N86" s="49" t="str">
        <f t="array" ref="N86">IFERROR(INDEX(Sales!$E$7:$E$1506,MATCH(ROW()-4,Sales!$V$7:$V$1506,0)),"")</f>
        <v/>
      </c>
      <c r="O86" s="67"/>
      <c r="P86" s="67"/>
    </row>
    <row r="87" ht="14.25" customHeight="1">
      <c r="A87" s="151" t="str">
        <f t="array" ref="A87">IFERROR(INDEX(Sales!$E$7:$E$1506,MATCH(ROW()-4,Sales!$W$7:$W$1506,0)),"")</f>
        <v/>
      </c>
      <c r="B87" s="152" t="str">
        <f t="array" ref="B87">IF($A87="","",IFERROR(INDEX(Sales!$A:$A,MATCH($A87,Sales!$E:$E,0)),""))</f>
        <v/>
      </c>
      <c r="C87" s="153" t="str">
        <f t="array" ref="C87">IF($A87="","",IFERROR(INDEX(Sales!$D:$D,MATCH($A87,Sales!$E:$E,0)),""))</f>
        <v/>
      </c>
      <c r="D87" s="153" t="str">
        <f t="array" ref="D87">IF($A87="","",IFERROR(INDEX(Sales!$C:$C,MATCH($A87,Sales!$E:$E,0)),""))</f>
        <v/>
      </c>
      <c r="E87" s="154" t="str">
        <f>IF($A87="","",SUMIFS(Sales!$H:$H,Sales!$E:$E,$A87,Sales!$B:$B,"&lt;&gt;Return"))</f>
        <v/>
      </c>
      <c r="F87" s="155" t="str">
        <f>IF($A87="","",SUMIF(Sales!$E:$E,$A87,Sales!$L:$L))</f>
        <v/>
      </c>
      <c r="G87" s="155" t="str">
        <f>IF($A87="","",SUMIF(Sales!$E:$E,$A87,Sales!$P:$P))</f>
        <v/>
      </c>
      <c r="H87" s="156" t="str">
        <f t="array" ref="H87">IF($A87="","",IFERROR(INDEX(Orders!$O$5:$O$1004,MATCH($A87,Orders!$N$5:$N$1004,0)),""))</f>
        <v/>
      </c>
      <c r="I87" s="156" t="str">
        <f t="array" ref="I87">IF($A87="","",IFERROR(INDEX(Orders!$P$5:$P$1004,MATCH($A87,Orders!$N$5:$N$1004,0)),""))</f>
        <v/>
      </c>
      <c r="J87" s="157" t="str">
        <f t="shared" si="1"/>
        <v/>
      </c>
      <c r="K87" s="153" t="str">
        <f t="array" ref="K87">IF($A87="","",IFERROR(INDEX(Sales!$M:$M,MATCH($A87,Sales!$E:$E,0)),""))</f>
        <v/>
      </c>
      <c r="L87" s="158" t="str">
        <f t="shared" si="2"/>
        <v/>
      </c>
      <c r="N87" s="49" t="str">
        <f t="array" ref="N87">IFERROR(INDEX(Sales!$E$7:$E$1506,MATCH(ROW()-4,Sales!$V$7:$V$1506,0)),"")</f>
        <v/>
      </c>
      <c r="O87" s="67"/>
      <c r="P87" s="67"/>
    </row>
    <row r="88" ht="14.25" customHeight="1">
      <c r="A88" s="151" t="str">
        <f t="array" ref="A88">IFERROR(INDEX(Sales!$E$7:$E$1506,MATCH(ROW()-4,Sales!$W$7:$W$1506,0)),"")</f>
        <v/>
      </c>
      <c r="B88" s="152" t="str">
        <f t="array" ref="B88">IF($A88="","",IFERROR(INDEX(Sales!$A:$A,MATCH($A88,Sales!$E:$E,0)),""))</f>
        <v/>
      </c>
      <c r="C88" s="153" t="str">
        <f t="array" ref="C88">IF($A88="","",IFERROR(INDEX(Sales!$D:$D,MATCH($A88,Sales!$E:$E,0)),""))</f>
        <v/>
      </c>
      <c r="D88" s="153" t="str">
        <f t="array" ref="D88">IF($A88="","",IFERROR(INDEX(Sales!$C:$C,MATCH($A88,Sales!$E:$E,0)),""))</f>
        <v/>
      </c>
      <c r="E88" s="154" t="str">
        <f>IF($A88="","",SUMIFS(Sales!$H:$H,Sales!$E:$E,$A88,Sales!$B:$B,"&lt;&gt;Return"))</f>
        <v/>
      </c>
      <c r="F88" s="155" t="str">
        <f>IF($A88="","",SUMIF(Sales!$E:$E,$A88,Sales!$L:$L))</f>
        <v/>
      </c>
      <c r="G88" s="155" t="str">
        <f>IF($A88="","",SUMIF(Sales!$E:$E,$A88,Sales!$P:$P))</f>
        <v/>
      </c>
      <c r="H88" s="156" t="str">
        <f t="array" ref="H88">IF($A88="","",IFERROR(INDEX(Orders!$O$5:$O$1004,MATCH($A88,Orders!$N$5:$N$1004,0)),""))</f>
        <v/>
      </c>
      <c r="I88" s="156" t="str">
        <f t="array" ref="I88">IF($A88="","",IFERROR(INDEX(Orders!$P$5:$P$1004,MATCH($A88,Orders!$N$5:$N$1004,0)),""))</f>
        <v/>
      </c>
      <c r="J88" s="157" t="str">
        <f t="shared" si="1"/>
        <v/>
      </c>
      <c r="K88" s="153" t="str">
        <f t="array" ref="K88">IF($A88="","",IFERROR(INDEX(Sales!$M:$M,MATCH($A88,Sales!$E:$E,0)),""))</f>
        <v/>
      </c>
      <c r="L88" s="158" t="str">
        <f t="shared" si="2"/>
        <v/>
      </c>
      <c r="N88" s="49" t="str">
        <f t="array" ref="N88">IFERROR(INDEX(Sales!$E$7:$E$1506,MATCH(ROW()-4,Sales!$V$7:$V$1506,0)),"")</f>
        <v/>
      </c>
      <c r="O88" s="67"/>
      <c r="P88" s="67"/>
    </row>
    <row r="89" ht="14.25" customHeight="1">
      <c r="A89" s="151" t="str">
        <f t="array" ref="A89">IFERROR(INDEX(Sales!$E$7:$E$1506,MATCH(ROW()-4,Sales!$W$7:$W$1506,0)),"")</f>
        <v/>
      </c>
      <c r="B89" s="152" t="str">
        <f t="array" ref="B89">IF($A89="","",IFERROR(INDEX(Sales!$A:$A,MATCH($A89,Sales!$E:$E,0)),""))</f>
        <v/>
      </c>
      <c r="C89" s="153" t="str">
        <f t="array" ref="C89">IF($A89="","",IFERROR(INDEX(Sales!$D:$D,MATCH($A89,Sales!$E:$E,0)),""))</f>
        <v/>
      </c>
      <c r="D89" s="153" t="str">
        <f t="array" ref="D89">IF($A89="","",IFERROR(INDEX(Sales!$C:$C,MATCH($A89,Sales!$E:$E,0)),""))</f>
        <v/>
      </c>
      <c r="E89" s="154" t="str">
        <f>IF($A89="","",SUMIFS(Sales!$H:$H,Sales!$E:$E,$A89,Sales!$B:$B,"&lt;&gt;Return"))</f>
        <v/>
      </c>
      <c r="F89" s="155" t="str">
        <f>IF($A89="","",SUMIF(Sales!$E:$E,$A89,Sales!$L:$L))</f>
        <v/>
      </c>
      <c r="G89" s="155" t="str">
        <f>IF($A89="","",SUMIF(Sales!$E:$E,$A89,Sales!$P:$P))</f>
        <v/>
      </c>
      <c r="H89" s="156" t="str">
        <f t="array" ref="H89">IF($A89="","",IFERROR(INDEX(Orders!$O$5:$O$1004,MATCH($A89,Orders!$N$5:$N$1004,0)),""))</f>
        <v/>
      </c>
      <c r="I89" s="156" t="str">
        <f t="array" ref="I89">IF($A89="","",IFERROR(INDEX(Orders!$P$5:$P$1004,MATCH($A89,Orders!$N$5:$N$1004,0)),""))</f>
        <v/>
      </c>
      <c r="J89" s="157" t="str">
        <f t="shared" si="1"/>
        <v/>
      </c>
      <c r="K89" s="153" t="str">
        <f t="array" ref="K89">IF($A89="","",IFERROR(INDEX(Sales!$M:$M,MATCH($A89,Sales!$E:$E,0)),""))</f>
        <v/>
      </c>
      <c r="L89" s="158" t="str">
        <f t="shared" si="2"/>
        <v/>
      </c>
      <c r="N89" s="49" t="str">
        <f t="array" ref="N89">IFERROR(INDEX(Sales!$E$7:$E$1506,MATCH(ROW()-4,Sales!$V$7:$V$1506,0)),"")</f>
        <v/>
      </c>
      <c r="O89" s="67"/>
      <c r="P89" s="67"/>
    </row>
    <row r="90" ht="14.25" customHeight="1">
      <c r="A90" s="151" t="str">
        <f t="array" ref="A90">IFERROR(INDEX(Sales!$E$7:$E$1506,MATCH(ROW()-4,Sales!$W$7:$W$1506,0)),"")</f>
        <v/>
      </c>
      <c r="B90" s="152" t="str">
        <f t="array" ref="B90">IF($A90="","",IFERROR(INDEX(Sales!$A:$A,MATCH($A90,Sales!$E:$E,0)),""))</f>
        <v/>
      </c>
      <c r="C90" s="153" t="str">
        <f t="array" ref="C90">IF($A90="","",IFERROR(INDEX(Sales!$D:$D,MATCH($A90,Sales!$E:$E,0)),""))</f>
        <v/>
      </c>
      <c r="D90" s="153" t="str">
        <f t="array" ref="D90">IF($A90="","",IFERROR(INDEX(Sales!$C:$C,MATCH($A90,Sales!$E:$E,0)),""))</f>
        <v/>
      </c>
      <c r="E90" s="154" t="str">
        <f>IF($A90="","",SUMIFS(Sales!$H:$H,Sales!$E:$E,$A90,Sales!$B:$B,"&lt;&gt;Return"))</f>
        <v/>
      </c>
      <c r="F90" s="155" t="str">
        <f>IF($A90="","",SUMIF(Sales!$E:$E,$A90,Sales!$L:$L))</f>
        <v/>
      </c>
      <c r="G90" s="155" t="str">
        <f>IF($A90="","",SUMIF(Sales!$E:$E,$A90,Sales!$P:$P))</f>
        <v/>
      </c>
      <c r="H90" s="156" t="str">
        <f t="array" ref="H90">IF($A90="","",IFERROR(INDEX(Orders!$O$5:$O$1004,MATCH($A90,Orders!$N$5:$N$1004,0)),""))</f>
        <v/>
      </c>
      <c r="I90" s="156" t="str">
        <f t="array" ref="I90">IF($A90="","",IFERROR(INDEX(Orders!$P$5:$P$1004,MATCH($A90,Orders!$N$5:$N$1004,0)),""))</f>
        <v/>
      </c>
      <c r="J90" s="157" t="str">
        <f t="shared" si="1"/>
        <v/>
      </c>
      <c r="K90" s="153" t="str">
        <f t="array" ref="K90">IF($A90="","",IFERROR(INDEX(Sales!$M:$M,MATCH($A90,Sales!$E:$E,0)),""))</f>
        <v/>
      </c>
      <c r="L90" s="158" t="str">
        <f t="shared" si="2"/>
        <v/>
      </c>
      <c r="N90" s="49" t="str">
        <f t="array" ref="N90">IFERROR(INDEX(Sales!$E$7:$E$1506,MATCH(ROW()-4,Sales!$V$7:$V$1506,0)),"")</f>
        <v/>
      </c>
      <c r="O90" s="67"/>
      <c r="P90" s="67"/>
    </row>
    <row r="91" ht="14.25" customHeight="1">
      <c r="A91" s="151" t="str">
        <f t="array" ref="A91">IFERROR(INDEX(Sales!$E$7:$E$1506,MATCH(ROW()-4,Sales!$W$7:$W$1506,0)),"")</f>
        <v/>
      </c>
      <c r="B91" s="152" t="str">
        <f t="array" ref="B91">IF($A91="","",IFERROR(INDEX(Sales!$A:$A,MATCH($A91,Sales!$E:$E,0)),""))</f>
        <v/>
      </c>
      <c r="C91" s="153" t="str">
        <f t="array" ref="C91">IF($A91="","",IFERROR(INDEX(Sales!$D:$D,MATCH($A91,Sales!$E:$E,0)),""))</f>
        <v/>
      </c>
      <c r="D91" s="153" t="str">
        <f t="array" ref="D91">IF($A91="","",IFERROR(INDEX(Sales!$C:$C,MATCH($A91,Sales!$E:$E,0)),""))</f>
        <v/>
      </c>
      <c r="E91" s="154" t="str">
        <f>IF($A91="","",SUMIFS(Sales!$H:$H,Sales!$E:$E,$A91,Sales!$B:$B,"&lt;&gt;Return"))</f>
        <v/>
      </c>
      <c r="F91" s="155" t="str">
        <f>IF($A91="","",SUMIF(Sales!$E:$E,$A91,Sales!$L:$L))</f>
        <v/>
      </c>
      <c r="G91" s="155" t="str">
        <f>IF($A91="","",SUMIF(Sales!$E:$E,$A91,Sales!$P:$P))</f>
        <v/>
      </c>
      <c r="H91" s="156" t="str">
        <f t="array" ref="H91">IF($A91="","",IFERROR(INDEX(Orders!$O$5:$O$1004,MATCH($A91,Orders!$N$5:$N$1004,0)),""))</f>
        <v/>
      </c>
      <c r="I91" s="156" t="str">
        <f t="array" ref="I91">IF($A91="","",IFERROR(INDEX(Orders!$P$5:$P$1004,MATCH($A91,Orders!$N$5:$N$1004,0)),""))</f>
        <v/>
      </c>
      <c r="J91" s="157" t="str">
        <f t="shared" si="1"/>
        <v/>
      </c>
      <c r="K91" s="153" t="str">
        <f t="array" ref="K91">IF($A91="","",IFERROR(INDEX(Sales!$M:$M,MATCH($A91,Sales!$E:$E,0)),""))</f>
        <v/>
      </c>
      <c r="L91" s="158" t="str">
        <f t="shared" si="2"/>
        <v/>
      </c>
      <c r="N91" s="49" t="str">
        <f t="array" ref="N91">IFERROR(INDEX(Sales!$E$7:$E$1506,MATCH(ROW()-4,Sales!$V$7:$V$1506,0)),"")</f>
        <v/>
      </c>
      <c r="O91" s="67"/>
      <c r="P91" s="67"/>
    </row>
    <row r="92" ht="14.25" customHeight="1">
      <c r="A92" s="151" t="str">
        <f t="array" ref="A92">IFERROR(INDEX(Sales!$E$7:$E$1506,MATCH(ROW()-4,Sales!$W$7:$W$1506,0)),"")</f>
        <v/>
      </c>
      <c r="B92" s="152" t="str">
        <f t="array" ref="B92">IF($A92="","",IFERROR(INDEX(Sales!$A:$A,MATCH($A92,Sales!$E:$E,0)),""))</f>
        <v/>
      </c>
      <c r="C92" s="153" t="str">
        <f t="array" ref="C92">IF($A92="","",IFERROR(INDEX(Sales!$D:$D,MATCH($A92,Sales!$E:$E,0)),""))</f>
        <v/>
      </c>
      <c r="D92" s="153" t="str">
        <f t="array" ref="D92">IF($A92="","",IFERROR(INDEX(Sales!$C:$C,MATCH($A92,Sales!$E:$E,0)),""))</f>
        <v/>
      </c>
      <c r="E92" s="154" t="str">
        <f>IF($A92="","",SUMIFS(Sales!$H:$H,Sales!$E:$E,$A92,Sales!$B:$B,"&lt;&gt;Return"))</f>
        <v/>
      </c>
      <c r="F92" s="155" t="str">
        <f>IF($A92="","",SUMIF(Sales!$E:$E,$A92,Sales!$L:$L))</f>
        <v/>
      </c>
      <c r="G92" s="155" t="str">
        <f>IF($A92="","",SUMIF(Sales!$E:$E,$A92,Sales!$P:$P))</f>
        <v/>
      </c>
      <c r="H92" s="156" t="str">
        <f t="array" ref="H92">IF($A92="","",IFERROR(INDEX(Orders!$O$5:$O$1004,MATCH($A92,Orders!$N$5:$N$1004,0)),""))</f>
        <v/>
      </c>
      <c r="I92" s="156" t="str">
        <f t="array" ref="I92">IF($A92="","",IFERROR(INDEX(Orders!$P$5:$P$1004,MATCH($A92,Orders!$N$5:$N$1004,0)),""))</f>
        <v/>
      </c>
      <c r="J92" s="157" t="str">
        <f t="shared" si="1"/>
        <v/>
      </c>
      <c r="K92" s="153" t="str">
        <f t="array" ref="K92">IF($A92="","",IFERROR(INDEX(Sales!$M:$M,MATCH($A92,Sales!$E:$E,0)),""))</f>
        <v/>
      </c>
      <c r="L92" s="158" t="str">
        <f t="shared" si="2"/>
        <v/>
      </c>
      <c r="N92" s="49" t="str">
        <f t="array" ref="N92">IFERROR(INDEX(Sales!$E$7:$E$1506,MATCH(ROW()-4,Sales!$V$7:$V$1506,0)),"")</f>
        <v/>
      </c>
      <c r="O92" s="67"/>
      <c r="P92" s="67"/>
    </row>
    <row r="93" ht="14.25" customHeight="1">
      <c r="A93" s="151" t="str">
        <f t="array" ref="A93">IFERROR(INDEX(Sales!$E$7:$E$1506,MATCH(ROW()-4,Sales!$W$7:$W$1506,0)),"")</f>
        <v/>
      </c>
      <c r="B93" s="152" t="str">
        <f t="array" ref="B93">IF($A93="","",IFERROR(INDEX(Sales!$A:$A,MATCH($A93,Sales!$E:$E,0)),""))</f>
        <v/>
      </c>
      <c r="C93" s="153" t="str">
        <f t="array" ref="C93">IF($A93="","",IFERROR(INDEX(Sales!$D:$D,MATCH($A93,Sales!$E:$E,0)),""))</f>
        <v/>
      </c>
      <c r="D93" s="153" t="str">
        <f t="array" ref="D93">IF($A93="","",IFERROR(INDEX(Sales!$C:$C,MATCH($A93,Sales!$E:$E,0)),""))</f>
        <v/>
      </c>
      <c r="E93" s="154" t="str">
        <f>IF($A93="","",SUMIFS(Sales!$H:$H,Sales!$E:$E,$A93,Sales!$B:$B,"&lt;&gt;Return"))</f>
        <v/>
      </c>
      <c r="F93" s="155" t="str">
        <f>IF($A93="","",SUMIF(Sales!$E:$E,$A93,Sales!$L:$L))</f>
        <v/>
      </c>
      <c r="G93" s="155" t="str">
        <f>IF($A93="","",SUMIF(Sales!$E:$E,$A93,Sales!$P:$P))</f>
        <v/>
      </c>
      <c r="H93" s="156" t="str">
        <f t="array" ref="H93">IF($A93="","",IFERROR(INDEX(Orders!$O$5:$O$1004,MATCH($A93,Orders!$N$5:$N$1004,0)),""))</f>
        <v/>
      </c>
      <c r="I93" s="156" t="str">
        <f t="array" ref="I93">IF($A93="","",IFERROR(INDEX(Orders!$P$5:$P$1004,MATCH($A93,Orders!$N$5:$N$1004,0)),""))</f>
        <v/>
      </c>
      <c r="J93" s="157" t="str">
        <f t="shared" si="1"/>
        <v/>
      </c>
      <c r="K93" s="153" t="str">
        <f t="array" ref="K93">IF($A93="","",IFERROR(INDEX(Sales!$M:$M,MATCH($A93,Sales!$E:$E,0)),""))</f>
        <v/>
      </c>
      <c r="L93" s="158" t="str">
        <f t="shared" si="2"/>
        <v/>
      </c>
      <c r="N93" s="49" t="str">
        <f t="array" ref="N93">IFERROR(INDEX(Sales!$E$7:$E$1506,MATCH(ROW()-4,Sales!$V$7:$V$1506,0)),"")</f>
        <v/>
      </c>
      <c r="O93" s="67"/>
      <c r="P93" s="67"/>
    </row>
    <row r="94" ht="14.25" customHeight="1">
      <c r="A94" s="151" t="str">
        <f t="array" ref="A94">IFERROR(INDEX(Sales!$E$7:$E$1506,MATCH(ROW()-4,Sales!$W$7:$W$1506,0)),"")</f>
        <v/>
      </c>
      <c r="B94" s="152" t="str">
        <f t="array" ref="B94">IF($A94="","",IFERROR(INDEX(Sales!$A:$A,MATCH($A94,Sales!$E:$E,0)),""))</f>
        <v/>
      </c>
      <c r="C94" s="153" t="str">
        <f t="array" ref="C94">IF($A94="","",IFERROR(INDEX(Sales!$D:$D,MATCH($A94,Sales!$E:$E,0)),""))</f>
        <v/>
      </c>
      <c r="D94" s="153" t="str">
        <f t="array" ref="D94">IF($A94="","",IFERROR(INDEX(Sales!$C:$C,MATCH($A94,Sales!$E:$E,0)),""))</f>
        <v/>
      </c>
      <c r="E94" s="154" t="str">
        <f>IF($A94="","",SUMIFS(Sales!$H:$H,Sales!$E:$E,$A94,Sales!$B:$B,"&lt;&gt;Return"))</f>
        <v/>
      </c>
      <c r="F94" s="155" t="str">
        <f>IF($A94="","",SUMIF(Sales!$E:$E,$A94,Sales!$L:$L))</f>
        <v/>
      </c>
      <c r="G94" s="155" t="str">
        <f>IF($A94="","",SUMIF(Sales!$E:$E,$A94,Sales!$P:$P))</f>
        <v/>
      </c>
      <c r="H94" s="156" t="str">
        <f t="array" ref="H94">IF($A94="","",IFERROR(INDEX(Orders!$O$5:$O$1004,MATCH($A94,Orders!$N$5:$N$1004,0)),""))</f>
        <v/>
      </c>
      <c r="I94" s="156" t="str">
        <f t="array" ref="I94">IF($A94="","",IFERROR(INDEX(Orders!$P$5:$P$1004,MATCH($A94,Orders!$N$5:$N$1004,0)),""))</f>
        <v/>
      </c>
      <c r="J94" s="157" t="str">
        <f t="shared" si="1"/>
        <v/>
      </c>
      <c r="K94" s="153" t="str">
        <f t="array" ref="K94">IF($A94="","",IFERROR(INDEX(Sales!$M:$M,MATCH($A94,Sales!$E:$E,0)),""))</f>
        <v/>
      </c>
      <c r="L94" s="158" t="str">
        <f t="shared" si="2"/>
        <v/>
      </c>
      <c r="N94" s="49" t="str">
        <f t="array" ref="N94">IFERROR(INDEX(Sales!$E$7:$E$1506,MATCH(ROW()-4,Sales!$V$7:$V$1506,0)),"")</f>
        <v/>
      </c>
      <c r="O94" s="67"/>
      <c r="P94" s="67"/>
    </row>
    <row r="95" ht="14.25" customHeight="1">
      <c r="A95" s="151" t="str">
        <f t="array" ref="A95">IFERROR(INDEX(Sales!$E$7:$E$1506,MATCH(ROW()-4,Sales!$W$7:$W$1506,0)),"")</f>
        <v/>
      </c>
      <c r="B95" s="152" t="str">
        <f t="array" ref="B95">IF($A95="","",IFERROR(INDEX(Sales!$A:$A,MATCH($A95,Sales!$E:$E,0)),""))</f>
        <v/>
      </c>
      <c r="C95" s="153" t="str">
        <f t="array" ref="C95">IF($A95="","",IFERROR(INDEX(Sales!$D:$D,MATCH($A95,Sales!$E:$E,0)),""))</f>
        <v/>
      </c>
      <c r="D95" s="153" t="str">
        <f t="array" ref="D95">IF($A95="","",IFERROR(INDEX(Sales!$C:$C,MATCH($A95,Sales!$E:$E,0)),""))</f>
        <v/>
      </c>
      <c r="E95" s="154" t="str">
        <f>IF($A95="","",SUMIFS(Sales!$H:$H,Sales!$E:$E,$A95,Sales!$B:$B,"&lt;&gt;Return"))</f>
        <v/>
      </c>
      <c r="F95" s="155" t="str">
        <f>IF($A95="","",SUMIF(Sales!$E:$E,$A95,Sales!$L:$L))</f>
        <v/>
      </c>
      <c r="G95" s="155" t="str">
        <f>IF($A95="","",SUMIF(Sales!$E:$E,$A95,Sales!$P:$P))</f>
        <v/>
      </c>
      <c r="H95" s="156" t="str">
        <f t="array" ref="H95">IF($A95="","",IFERROR(INDEX(Orders!$O$5:$O$1004,MATCH($A95,Orders!$N$5:$N$1004,0)),""))</f>
        <v/>
      </c>
      <c r="I95" s="156" t="str">
        <f t="array" ref="I95">IF($A95="","",IFERROR(INDEX(Orders!$P$5:$P$1004,MATCH($A95,Orders!$N$5:$N$1004,0)),""))</f>
        <v/>
      </c>
      <c r="J95" s="157" t="str">
        <f t="shared" si="1"/>
        <v/>
      </c>
      <c r="K95" s="153" t="str">
        <f t="array" ref="K95">IF($A95="","",IFERROR(INDEX(Sales!$M:$M,MATCH($A95,Sales!$E:$E,0)),""))</f>
        <v/>
      </c>
      <c r="L95" s="158" t="str">
        <f t="shared" si="2"/>
        <v/>
      </c>
      <c r="N95" s="49" t="str">
        <f t="array" ref="N95">IFERROR(INDEX(Sales!$E$7:$E$1506,MATCH(ROW()-4,Sales!$V$7:$V$1506,0)),"")</f>
        <v/>
      </c>
      <c r="O95" s="67"/>
      <c r="P95" s="67"/>
    </row>
    <row r="96" ht="14.25" customHeight="1">
      <c r="A96" s="151" t="str">
        <f t="array" ref="A96">IFERROR(INDEX(Sales!$E$7:$E$1506,MATCH(ROW()-4,Sales!$W$7:$W$1506,0)),"")</f>
        <v/>
      </c>
      <c r="B96" s="152" t="str">
        <f t="array" ref="B96">IF($A96="","",IFERROR(INDEX(Sales!$A:$A,MATCH($A96,Sales!$E:$E,0)),""))</f>
        <v/>
      </c>
      <c r="C96" s="153" t="str">
        <f t="array" ref="C96">IF($A96="","",IFERROR(INDEX(Sales!$D:$D,MATCH($A96,Sales!$E:$E,0)),""))</f>
        <v/>
      </c>
      <c r="D96" s="153" t="str">
        <f t="array" ref="D96">IF($A96="","",IFERROR(INDEX(Sales!$C:$C,MATCH($A96,Sales!$E:$E,0)),""))</f>
        <v/>
      </c>
      <c r="E96" s="154" t="str">
        <f>IF($A96="","",SUMIFS(Sales!$H:$H,Sales!$E:$E,$A96,Sales!$B:$B,"&lt;&gt;Return"))</f>
        <v/>
      </c>
      <c r="F96" s="155" t="str">
        <f>IF($A96="","",SUMIF(Sales!$E:$E,$A96,Sales!$L:$L))</f>
        <v/>
      </c>
      <c r="G96" s="155" t="str">
        <f>IF($A96="","",SUMIF(Sales!$E:$E,$A96,Sales!$P:$P))</f>
        <v/>
      </c>
      <c r="H96" s="156" t="str">
        <f t="array" ref="H96">IF($A96="","",IFERROR(INDEX(Orders!$O$5:$O$1004,MATCH($A96,Orders!$N$5:$N$1004,0)),""))</f>
        <v/>
      </c>
      <c r="I96" s="156" t="str">
        <f t="array" ref="I96">IF($A96="","",IFERROR(INDEX(Orders!$P$5:$P$1004,MATCH($A96,Orders!$N$5:$N$1004,0)),""))</f>
        <v/>
      </c>
      <c r="J96" s="157" t="str">
        <f t="shared" si="1"/>
        <v/>
      </c>
      <c r="K96" s="153" t="str">
        <f t="array" ref="K96">IF($A96="","",IFERROR(INDEX(Sales!$M:$M,MATCH($A96,Sales!$E:$E,0)),""))</f>
        <v/>
      </c>
      <c r="L96" s="158" t="str">
        <f t="shared" si="2"/>
        <v/>
      </c>
      <c r="N96" s="49" t="str">
        <f t="array" ref="N96">IFERROR(INDEX(Sales!$E$7:$E$1506,MATCH(ROW()-4,Sales!$V$7:$V$1506,0)),"")</f>
        <v/>
      </c>
      <c r="O96" s="67"/>
      <c r="P96" s="67"/>
    </row>
    <row r="97" ht="14.25" customHeight="1">
      <c r="A97" s="151" t="str">
        <f t="array" ref="A97">IFERROR(INDEX(Sales!$E$7:$E$1506,MATCH(ROW()-4,Sales!$W$7:$W$1506,0)),"")</f>
        <v/>
      </c>
      <c r="B97" s="152" t="str">
        <f t="array" ref="B97">IF($A97="","",IFERROR(INDEX(Sales!$A:$A,MATCH($A97,Sales!$E:$E,0)),""))</f>
        <v/>
      </c>
      <c r="C97" s="153" t="str">
        <f t="array" ref="C97">IF($A97="","",IFERROR(INDEX(Sales!$D:$D,MATCH($A97,Sales!$E:$E,0)),""))</f>
        <v/>
      </c>
      <c r="D97" s="153" t="str">
        <f t="array" ref="D97">IF($A97="","",IFERROR(INDEX(Sales!$C:$C,MATCH($A97,Sales!$E:$E,0)),""))</f>
        <v/>
      </c>
      <c r="E97" s="154" t="str">
        <f>IF($A97="","",SUMIFS(Sales!$H:$H,Sales!$E:$E,$A97,Sales!$B:$B,"&lt;&gt;Return"))</f>
        <v/>
      </c>
      <c r="F97" s="155" t="str">
        <f>IF($A97="","",SUMIF(Sales!$E:$E,$A97,Sales!$L:$L))</f>
        <v/>
      </c>
      <c r="G97" s="155" t="str">
        <f>IF($A97="","",SUMIF(Sales!$E:$E,$A97,Sales!$P:$P))</f>
        <v/>
      </c>
      <c r="H97" s="156" t="str">
        <f t="array" ref="H97">IF($A97="","",IFERROR(INDEX(Orders!$O$5:$O$1004,MATCH($A97,Orders!$N$5:$N$1004,0)),""))</f>
        <v/>
      </c>
      <c r="I97" s="156" t="str">
        <f t="array" ref="I97">IF($A97="","",IFERROR(INDEX(Orders!$P$5:$P$1004,MATCH($A97,Orders!$N$5:$N$1004,0)),""))</f>
        <v/>
      </c>
      <c r="J97" s="157" t="str">
        <f t="shared" si="1"/>
        <v/>
      </c>
      <c r="K97" s="153" t="str">
        <f t="array" ref="K97">IF($A97="","",IFERROR(INDEX(Sales!$M:$M,MATCH($A97,Sales!$E:$E,0)),""))</f>
        <v/>
      </c>
      <c r="L97" s="158" t="str">
        <f t="shared" si="2"/>
        <v/>
      </c>
      <c r="N97" s="49" t="str">
        <f t="array" ref="N97">IFERROR(INDEX(Sales!$E$7:$E$1506,MATCH(ROW()-4,Sales!$V$7:$V$1506,0)),"")</f>
        <v/>
      </c>
      <c r="O97" s="67"/>
      <c r="P97" s="67"/>
    </row>
    <row r="98" ht="14.25" customHeight="1">
      <c r="A98" s="151" t="str">
        <f t="array" ref="A98">IFERROR(INDEX(Sales!$E$7:$E$1506,MATCH(ROW()-4,Sales!$W$7:$W$1506,0)),"")</f>
        <v/>
      </c>
      <c r="B98" s="152" t="str">
        <f t="array" ref="B98">IF($A98="","",IFERROR(INDEX(Sales!$A:$A,MATCH($A98,Sales!$E:$E,0)),""))</f>
        <v/>
      </c>
      <c r="C98" s="153" t="str">
        <f t="array" ref="C98">IF($A98="","",IFERROR(INDEX(Sales!$D:$D,MATCH($A98,Sales!$E:$E,0)),""))</f>
        <v/>
      </c>
      <c r="D98" s="153" t="str">
        <f t="array" ref="D98">IF($A98="","",IFERROR(INDEX(Sales!$C:$C,MATCH($A98,Sales!$E:$E,0)),""))</f>
        <v/>
      </c>
      <c r="E98" s="154" t="str">
        <f>IF($A98="","",SUMIFS(Sales!$H:$H,Sales!$E:$E,$A98,Sales!$B:$B,"&lt;&gt;Return"))</f>
        <v/>
      </c>
      <c r="F98" s="155" t="str">
        <f>IF($A98="","",SUMIF(Sales!$E:$E,$A98,Sales!$L:$L))</f>
        <v/>
      </c>
      <c r="G98" s="155" t="str">
        <f>IF($A98="","",SUMIF(Sales!$E:$E,$A98,Sales!$P:$P))</f>
        <v/>
      </c>
      <c r="H98" s="156" t="str">
        <f t="array" ref="H98">IF($A98="","",IFERROR(INDEX(Orders!$O$5:$O$1004,MATCH($A98,Orders!$N$5:$N$1004,0)),""))</f>
        <v/>
      </c>
      <c r="I98" s="156" t="str">
        <f t="array" ref="I98">IF($A98="","",IFERROR(INDEX(Orders!$P$5:$P$1004,MATCH($A98,Orders!$N$5:$N$1004,0)),""))</f>
        <v/>
      </c>
      <c r="J98" s="157" t="str">
        <f t="shared" si="1"/>
        <v/>
      </c>
      <c r="K98" s="153" t="str">
        <f t="array" ref="K98">IF($A98="","",IFERROR(INDEX(Sales!$M:$M,MATCH($A98,Sales!$E:$E,0)),""))</f>
        <v/>
      </c>
      <c r="L98" s="158" t="str">
        <f t="shared" si="2"/>
        <v/>
      </c>
      <c r="N98" s="49" t="str">
        <f t="array" ref="N98">IFERROR(INDEX(Sales!$E$7:$E$1506,MATCH(ROW()-4,Sales!$V$7:$V$1506,0)),"")</f>
        <v/>
      </c>
      <c r="O98" s="67"/>
      <c r="P98" s="67"/>
    </row>
    <row r="99" ht="14.25" customHeight="1">
      <c r="A99" s="151" t="str">
        <f t="array" ref="A99">IFERROR(INDEX(Sales!$E$7:$E$1506,MATCH(ROW()-4,Sales!$W$7:$W$1506,0)),"")</f>
        <v/>
      </c>
      <c r="B99" s="152" t="str">
        <f t="array" ref="B99">IF($A99="","",IFERROR(INDEX(Sales!$A:$A,MATCH($A99,Sales!$E:$E,0)),""))</f>
        <v/>
      </c>
      <c r="C99" s="153" t="str">
        <f t="array" ref="C99">IF($A99="","",IFERROR(INDEX(Sales!$D:$D,MATCH($A99,Sales!$E:$E,0)),""))</f>
        <v/>
      </c>
      <c r="D99" s="153" t="str">
        <f t="array" ref="D99">IF($A99="","",IFERROR(INDEX(Sales!$C:$C,MATCH($A99,Sales!$E:$E,0)),""))</f>
        <v/>
      </c>
      <c r="E99" s="154" t="str">
        <f>IF($A99="","",SUMIFS(Sales!$H:$H,Sales!$E:$E,$A99,Sales!$B:$B,"&lt;&gt;Return"))</f>
        <v/>
      </c>
      <c r="F99" s="155" t="str">
        <f>IF($A99="","",SUMIF(Sales!$E:$E,$A99,Sales!$L:$L))</f>
        <v/>
      </c>
      <c r="G99" s="155" t="str">
        <f>IF($A99="","",SUMIF(Sales!$E:$E,$A99,Sales!$P:$P))</f>
        <v/>
      </c>
      <c r="H99" s="156" t="str">
        <f t="array" ref="H99">IF($A99="","",IFERROR(INDEX(Orders!$O$5:$O$1004,MATCH($A99,Orders!$N$5:$N$1004,0)),""))</f>
        <v/>
      </c>
      <c r="I99" s="156" t="str">
        <f t="array" ref="I99">IF($A99="","",IFERROR(INDEX(Orders!$P$5:$P$1004,MATCH($A99,Orders!$N$5:$N$1004,0)),""))</f>
        <v/>
      </c>
      <c r="J99" s="157" t="str">
        <f t="shared" si="1"/>
        <v/>
      </c>
      <c r="K99" s="153" t="str">
        <f t="array" ref="K99">IF($A99="","",IFERROR(INDEX(Sales!$M:$M,MATCH($A99,Sales!$E:$E,0)),""))</f>
        <v/>
      </c>
      <c r="L99" s="158" t="str">
        <f t="shared" si="2"/>
        <v/>
      </c>
      <c r="N99" s="49" t="str">
        <f t="array" ref="N99">IFERROR(INDEX(Sales!$E$7:$E$1506,MATCH(ROW()-4,Sales!$V$7:$V$1506,0)),"")</f>
        <v/>
      </c>
      <c r="O99" s="67"/>
      <c r="P99" s="67"/>
    </row>
    <row r="100" ht="14.25" customHeight="1">
      <c r="A100" s="151" t="str">
        <f t="array" ref="A100">IFERROR(INDEX(Sales!$E$7:$E$1506,MATCH(ROW()-4,Sales!$W$7:$W$1506,0)),"")</f>
        <v/>
      </c>
      <c r="B100" s="152" t="str">
        <f t="array" ref="B100">IF($A100="","",IFERROR(INDEX(Sales!$A:$A,MATCH($A100,Sales!$E:$E,0)),""))</f>
        <v/>
      </c>
      <c r="C100" s="153" t="str">
        <f t="array" ref="C100">IF($A100="","",IFERROR(INDEX(Sales!$D:$D,MATCH($A100,Sales!$E:$E,0)),""))</f>
        <v/>
      </c>
      <c r="D100" s="153" t="str">
        <f t="array" ref="D100">IF($A100="","",IFERROR(INDEX(Sales!$C:$C,MATCH($A100,Sales!$E:$E,0)),""))</f>
        <v/>
      </c>
      <c r="E100" s="154" t="str">
        <f>IF($A100="","",SUMIFS(Sales!$H:$H,Sales!$E:$E,$A100,Sales!$B:$B,"&lt;&gt;Return"))</f>
        <v/>
      </c>
      <c r="F100" s="155" t="str">
        <f>IF($A100="","",SUMIF(Sales!$E:$E,$A100,Sales!$L:$L))</f>
        <v/>
      </c>
      <c r="G100" s="155" t="str">
        <f>IF($A100="","",SUMIF(Sales!$E:$E,$A100,Sales!$P:$P))</f>
        <v/>
      </c>
      <c r="H100" s="156" t="str">
        <f t="array" ref="H100">IF($A100="","",IFERROR(INDEX(Orders!$O$5:$O$1004,MATCH($A100,Orders!$N$5:$N$1004,0)),""))</f>
        <v/>
      </c>
      <c r="I100" s="156" t="str">
        <f t="array" ref="I100">IF($A100="","",IFERROR(INDEX(Orders!$P$5:$P$1004,MATCH($A100,Orders!$N$5:$N$1004,0)),""))</f>
        <v/>
      </c>
      <c r="J100" s="157" t="str">
        <f t="shared" si="1"/>
        <v/>
      </c>
      <c r="K100" s="153" t="str">
        <f t="array" ref="K100">IF($A100="","",IFERROR(INDEX(Sales!$M:$M,MATCH($A100,Sales!$E:$E,0)),""))</f>
        <v/>
      </c>
      <c r="L100" s="158" t="str">
        <f t="shared" si="2"/>
        <v/>
      </c>
      <c r="N100" s="49" t="str">
        <f t="array" ref="N100">IFERROR(INDEX(Sales!$E$7:$E$1506,MATCH(ROW()-4,Sales!$V$7:$V$1506,0)),"")</f>
        <v/>
      </c>
      <c r="O100" s="67"/>
      <c r="P100" s="67"/>
    </row>
    <row r="101" ht="14.25" customHeight="1">
      <c r="A101" s="151" t="str">
        <f t="array" ref="A101">IFERROR(INDEX(Sales!$E$7:$E$1506,MATCH(ROW()-4,Sales!$W$7:$W$1506,0)),"")</f>
        <v/>
      </c>
      <c r="B101" s="152" t="str">
        <f t="array" ref="B101">IF($A101="","",IFERROR(INDEX(Sales!$A:$A,MATCH($A101,Sales!$E:$E,0)),""))</f>
        <v/>
      </c>
      <c r="C101" s="153" t="str">
        <f t="array" ref="C101">IF($A101="","",IFERROR(INDEX(Sales!$D:$D,MATCH($A101,Sales!$E:$E,0)),""))</f>
        <v/>
      </c>
      <c r="D101" s="153" t="str">
        <f t="array" ref="D101">IF($A101="","",IFERROR(INDEX(Sales!$C:$C,MATCH($A101,Sales!$E:$E,0)),""))</f>
        <v/>
      </c>
      <c r="E101" s="154" t="str">
        <f>IF($A101="","",SUMIFS(Sales!$H:$H,Sales!$E:$E,$A101,Sales!$B:$B,"&lt;&gt;Return"))</f>
        <v/>
      </c>
      <c r="F101" s="155" t="str">
        <f>IF($A101="","",SUMIF(Sales!$E:$E,$A101,Sales!$L:$L))</f>
        <v/>
      </c>
      <c r="G101" s="155" t="str">
        <f>IF($A101="","",SUMIF(Sales!$E:$E,$A101,Sales!$P:$P))</f>
        <v/>
      </c>
      <c r="H101" s="156" t="str">
        <f t="array" ref="H101">IF($A101="","",IFERROR(INDEX(Orders!$O$5:$O$1004,MATCH($A101,Orders!$N$5:$N$1004,0)),""))</f>
        <v/>
      </c>
      <c r="I101" s="156" t="str">
        <f t="array" ref="I101">IF($A101="","",IFERROR(INDEX(Orders!$P$5:$P$1004,MATCH($A101,Orders!$N$5:$N$1004,0)),""))</f>
        <v/>
      </c>
      <c r="J101" s="157" t="str">
        <f t="shared" si="1"/>
        <v/>
      </c>
      <c r="K101" s="153" t="str">
        <f t="array" ref="K101">IF($A101="","",IFERROR(INDEX(Sales!$M:$M,MATCH($A101,Sales!$E:$E,0)),""))</f>
        <v/>
      </c>
      <c r="L101" s="158" t="str">
        <f t="shared" si="2"/>
        <v/>
      </c>
      <c r="N101" s="49" t="str">
        <f t="array" ref="N101">IFERROR(INDEX(Sales!$E$7:$E$1506,MATCH(ROW()-4,Sales!$V$7:$V$1506,0)),"")</f>
        <v/>
      </c>
      <c r="O101" s="67"/>
      <c r="P101" s="67"/>
    </row>
    <row r="102" ht="14.25" customHeight="1">
      <c r="A102" s="151" t="str">
        <f t="array" ref="A102">IFERROR(INDEX(Sales!$E$7:$E$1506,MATCH(ROW()-4,Sales!$W$7:$W$1506,0)),"")</f>
        <v/>
      </c>
      <c r="B102" s="152" t="str">
        <f t="array" ref="B102">IF($A102="","",IFERROR(INDEX(Sales!$A:$A,MATCH($A102,Sales!$E:$E,0)),""))</f>
        <v/>
      </c>
      <c r="C102" s="153" t="str">
        <f t="array" ref="C102">IF($A102="","",IFERROR(INDEX(Sales!$D:$D,MATCH($A102,Sales!$E:$E,0)),""))</f>
        <v/>
      </c>
      <c r="D102" s="153" t="str">
        <f t="array" ref="D102">IF($A102="","",IFERROR(INDEX(Sales!$C:$C,MATCH($A102,Sales!$E:$E,0)),""))</f>
        <v/>
      </c>
      <c r="E102" s="154" t="str">
        <f>IF($A102="","",SUMIFS(Sales!$H:$H,Sales!$E:$E,$A102,Sales!$B:$B,"&lt;&gt;Return"))</f>
        <v/>
      </c>
      <c r="F102" s="155" t="str">
        <f>IF($A102="","",SUMIF(Sales!$E:$E,$A102,Sales!$L:$L))</f>
        <v/>
      </c>
      <c r="G102" s="155" t="str">
        <f>IF($A102="","",SUMIF(Sales!$E:$E,$A102,Sales!$P:$P))</f>
        <v/>
      </c>
      <c r="H102" s="156" t="str">
        <f t="array" ref="H102">IF($A102="","",IFERROR(INDEX(Orders!$O$5:$O$1004,MATCH($A102,Orders!$N$5:$N$1004,0)),""))</f>
        <v/>
      </c>
      <c r="I102" s="156" t="str">
        <f t="array" ref="I102">IF($A102="","",IFERROR(INDEX(Orders!$P$5:$P$1004,MATCH($A102,Orders!$N$5:$N$1004,0)),""))</f>
        <v/>
      </c>
      <c r="J102" s="157" t="str">
        <f t="shared" si="1"/>
        <v/>
      </c>
      <c r="K102" s="153" t="str">
        <f t="array" ref="K102">IF($A102="","",IFERROR(INDEX(Sales!$M:$M,MATCH($A102,Sales!$E:$E,0)),""))</f>
        <v/>
      </c>
      <c r="L102" s="158" t="str">
        <f t="shared" si="2"/>
        <v/>
      </c>
      <c r="N102" s="49" t="str">
        <f t="array" ref="N102">IFERROR(INDEX(Sales!$E$7:$E$1506,MATCH(ROW()-4,Sales!$V$7:$V$1506,0)),"")</f>
        <v/>
      </c>
      <c r="O102" s="67"/>
      <c r="P102" s="67"/>
    </row>
    <row r="103" ht="14.25" customHeight="1">
      <c r="A103" s="151" t="str">
        <f t="array" ref="A103">IFERROR(INDEX(Sales!$E$7:$E$1506,MATCH(ROW()-4,Sales!$W$7:$W$1506,0)),"")</f>
        <v/>
      </c>
      <c r="B103" s="152" t="str">
        <f t="array" ref="B103">IF($A103="","",IFERROR(INDEX(Sales!$A:$A,MATCH($A103,Sales!$E:$E,0)),""))</f>
        <v/>
      </c>
      <c r="C103" s="153" t="str">
        <f t="array" ref="C103">IF($A103="","",IFERROR(INDEX(Sales!$D:$D,MATCH($A103,Sales!$E:$E,0)),""))</f>
        <v/>
      </c>
      <c r="D103" s="153" t="str">
        <f t="array" ref="D103">IF($A103="","",IFERROR(INDEX(Sales!$C:$C,MATCH($A103,Sales!$E:$E,0)),""))</f>
        <v/>
      </c>
      <c r="E103" s="154" t="str">
        <f>IF($A103="","",SUMIFS(Sales!$H:$H,Sales!$E:$E,$A103,Sales!$B:$B,"&lt;&gt;Return"))</f>
        <v/>
      </c>
      <c r="F103" s="155" t="str">
        <f>IF($A103="","",SUMIF(Sales!$E:$E,$A103,Sales!$L:$L))</f>
        <v/>
      </c>
      <c r="G103" s="155" t="str">
        <f>IF($A103="","",SUMIF(Sales!$E:$E,$A103,Sales!$P:$P))</f>
        <v/>
      </c>
      <c r="H103" s="156" t="str">
        <f t="array" ref="H103">IF($A103="","",IFERROR(INDEX(Orders!$O$5:$O$1004,MATCH($A103,Orders!$N$5:$N$1004,0)),""))</f>
        <v/>
      </c>
      <c r="I103" s="156" t="str">
        <f t="array" ref="I103">IF($A103="","",IFERROR(INDEX(Orders!$P$5:$P$1004,MATCH($A103,Orders!$N$5:$N$1004,0)),""))</f>
        <v/>
      </c>
      <c r="J103" s="157" t="str">
        <f t="shared" si="1"/>
        <v/>
      </c>
      <c r="K103" s="153" t="str">
        <f t="array" ref="K103">IF($A103="","",IFERROR(INDEX(Sales!$M:$M,MATCH($A103,Sales!$E:$E,0)),""))</f>
        <v/>
      </c>
      <c r="L103" s="158" t="str">
        <f t="shared" si="2"/>
        <v/>
      </c>
      <c r="N103" s="49" t="str">
        <f t="array" ref="N103">IFERROR(INDEX(Sales!$E$7:$E$1506,MATCH(ROW()-4,Sales!$V$7:$V$1506,0)),"")</f>
        <v/>
      </c>
      <c r="O103" s="67"/>
      <c r="P103" s="67"/>
    </row>
    <row r="104" ht="14.25" customHeight="1">
      <c r="A104" s="151" t="str">
        <f t="array" ref="A104">IFERROR(INDEX(Sales!$E$7:$E$1506,MATCH(ROW()-4,Sales!$W$7:$W$1506,0)),"")</f>
        <v/>
      </c>
      <c r="B104" s="152" t="str">
        <f t="array" ref="B104">IF($A104="","",IFERROR(INDEX(Sales!$A:$A,MATCH($A104,Sales!$E:$E,0)),""))</f>
        <v/>
      </c>
      <c r="C104" s="153" t="str">
        <f t="array" ref="C104">IF($A104="","",IFERROR(INDEX(Sales!$D:$D,MATCH($A104,Sales!$E:$E,0)),""))</f>
        <v/>
      </c>
      <c r="D104" s="153" t="str">
        <f t="array" ref="D104">IF($A104="","",IFERROR(INDEX(Sales!$C:$C,MATCH($A104,Sales!$E:$E,0)),""))</f>
        <v/>
      </c>
      <c r="E104" s="154" t="str">
        <f>IF($A104="","",SUMIFS(Sales!$H:$H,Sales!$E:$E,$A104,Sales!$B:$B,"&lt;&gt;Return"))</f>
        <v/>
      </c>
      <c r="F104" s="155" t="str">
        <f>IF($A104="","",SUMIF(Sales!$E:$E,$A104,Sales!$L:$L))</f>
        <v/>
      </c>
      <c r="G104" s="155" t="str">
        <f>IF($A104="","",SUMIF(Sales!$E:$E,$A104,Sales!$P:$P))</f>
        <v/>
      </c>
      <c r="H104" s="156" t="str">
        <f t="array" ref="H104">IF($A104="","",IFERROR(INDEX(Orders!$O$5:$O$1004,MATCH($A104,Orders!$N$5:$N$1004,0)),""))</f>
        <v/>
      </c>
      <c r="I104" s="156" t="str">
        <f t="array" ref="I104">IF($A104="","",IFERROR(INDEX(Orders!$P$5:$P$1004,MATCH($A104,Orders!$N$5:$N$1004,0)),""))</f>
        <v/>
      </c>
      <c r="J104" s="157" t="str">
        <f t="shared" si="1"/>
        <v/>
      </c>
      <c r="K104" s="153" t="str">
        <f t="array" ref="K104">IF($A104="","",IFERROR(INDEX(Sales!$M:$M,MATCH($A104,Sales!$E:$E,0)),""))</f>
        <v/>
      </c>
      <c r="L104" s="158" t="str">
        <f t="shared" si="2"/>
        <v/>
      </c>
      <c r="N104" s="49" t="str">
        <f t="array" ref="N104">IFERROR(INDEX(Sales!$E$7:$E$1506,MATCH(ROW()-4,Sales!$V$7:$V$1506,0)),"")</f>
        <v/>
      </c>
      <c r="O104" s="67"/>
      <c r="P104" s="67"/>
    </row>
    <row r="105" ht="14.25" customHeight="1">
      <c r="A105" s="151" t="str">
        <f t="array" ref="A105">IFERROR(INDEX(Sales!$E$7:$E$1506,MATCH(ROW()-4,Sales!$W$7:$W$1506,0)),"")</f>
        <v/>
      </c>
      <c r="B105" s="152" t="str">
        <f t="array" ref="B105">IF($A105="","",IFERROR(INDEX(Sales!$A:$A,MATCH($A105,Sales!$E:$E,0)),""))</f>
        <v/>
      </c>
      <c r="C105" s="153" t="str">
        <f t="array" ref="C105">IF($A105="","",IFERROR(INDEX(Sales!$D:$D,MATCH($A105,Sales!$E:$E,0)),""))</f>
        <v/>
      </c>
      <c r="D105" s="153" t="str">
        <f t="array" ref="D105">IF($A105="","",IFERROR(INDEX(Sales!$C:$C,MATCH($A105,Sales!$E:$E,0)),""))</f>
        <v/>
      </c>
      <c r="E105" s="154" t="str">
        <f>IF($A105="","",SUMIFS(Sales!$H:$H,Sales!$E:$E,$A105,Sales!$B:$B,"&lt;&gt;Return"))</f>
        <v/>
      </c>
      <c r="F105" s="155" t="str">
        <f>IF($A105="","",SUMIF(Sales!$E:$E,$A105,Sales!$L:$L))</f>
        <v/>
      </c>
      <c r="G105" s="155" t="str">
        <f>IF($A105="","",SUMIF(Sales!$E:$E,$A105,Sales!$P:$P))</f>
        <v/>
      </c>
      <c r="H105" s="156" t="str">
        <f t="array" ref="H105">IF($A105="","",IFERROR(INDEX(Orders!$O$5:$O$1004,MATCH($A105,Orders!$N$5:$N$1004,0)),""))</f>
        <v/>
      </c>
      <c r="I105" s="156" t="str">
        <f t="array" ref="I105">IF($A105="","",IFERROR(INDEX(Orders!$P$5:$P$1004,MATCH($A105,Orders!$N$5:$N$1004,0)),""))</f>
        <v/>
      </c>
      <c r="J105" s="157" t="str">
        <f t="shared" si="1"/>
        <v/>
      </c>
      <c r="K105" s="153" t="str">
        <f t="array" ref="K105">IF($A105="","",IFERROR(INDEX(Sales!$M:$M,MATCH($A105,Sales!$E:$E,0)),""))</f>
        <v/>
      </c>
      <c r="L105" s="158" t="str">
        <f t="shared" si="2"/>
        <v/>
      </c>
      <c r="N105" s="49" t="str">
        <f t="array" ref="N105">IFERROR(INDEX(Sales!$E$7:$E$1506,MATCH(ROW()-4,Sales!$V$7:$V$1506,0)),"")</f>
        <v/>
      </c>
      <c r="O105" s="67"/>
      <c r="P105" s="67"/>
    </row>
    <row r="106" ht="14.25" customHeight="1">
      <c r="A106" s="151" t="str">
        <f t="array" ref="A106">IFERROR(INDEX(Sales!$E$7:$E$1506,MATCH(ROW()-4,Sales!$W$7:$W$1506,0)),"")</f>
        <v/>
      </c>
      <c r="B106" s="152" t="str">
        <f t="array" ref="B106">IF($A106="","",IFERROR(INDEX(Sales!$A:$A,MATCH($A106,Sales!$E:$E,0)),""))</f>
        <v/>
      </c>
      <c r="C106" s="153" t="str">
        <f t="array" ref="C106">IF($A106="","",IFERROR(INDEX(Sales!$D:$D,MATCH($A106,Sales!$E:$E,0)),""))</f>
        <v/>
      </c>
      <c r="D106" s="153" t="str">
        <f t="array" ref="D106">IF($A106="","",IFERROR(INDEX(Sales!$C:$C,MATCH($A106,Sales!$E:$E,0)),""))</f>
        <v/>
      </c>
      <c r="E106" s="154" t="str">
        <f>IF($A106="","",SUMIFS(Sales!$H:$H,Sales!$E:$E,$A106,Sales!$B:$B,"&lt;&gt;Return"))</f>
        <v/>
      </c>
      <c r="F106" s="155" t="str">
        <f>IF($A106="","",SUMIF(Sales!$E:$E,$A106,Sales!$L:$L))</f>
        <v/>
      </c>
      <c r="G106" s="155" t="str">
        <f>IF($A106="","",SUMIF(Sales!$E:$E,$A106,Sales!$P:$P))</f>
        <v/>
      </c>
      <c r="H106" s="156" t="str">
        <f t="array" ref="H106">IF($A106="","",IFERROR(INDEX(Orders!$O$5:$O$1004,MATCH($A106,Orders!$N$5:$N$1004,0)),""))</f>
        <v/>
      </c>
      <c r="I106" s="156" t="str">
        <f t="array" ref="I106">IF($A106="","",IFERROR(INDEX(Orders!$P$5:$P$1004,MATCH($A106,Orders!$N$5:$N$1004,0)),""))</f>
        <v/>
      </c>
      <c r="J106" s="157" t="str">
        <f t="shared" si="1"/>
        <v/>
      </c>
      <c r="K106" s="153" t="str">
        <f t="array" ref="K106">IF($A106="","",IFERROR(INDEX(Sales!$M:$M,MATCH($A106,Sales!$E:$E,0)),""))</f>
        <v/>
      </c>
      <c r="L106" s="158" t="str">
        <f t="shared" si="2"/>
        <v/>
      </c>
      <c r="N106" s="49" t="str">
        <f t="array" ref="N106">IFERROR(INDEX(Sales!$E$7:$E$1506,MATCH(ROW()-4,Sales!$V$7:$V$1506,0)),"")</f>
        <v/>
      </c>
      <c r="O106" s="67"/>
      <c r="P106" s="67"/>
    </row>
    <row r="107" ht="14.25" customHeight="1">
      <c r="A107" s="151" t="str">
        <f t="array" ref="A107">IFERROR(INDEX(Sales!$E$7:$E$1506,MATCH(ROW()-4,Sales!$W$7:$W$1506,0)),"")</f>
        <v/>
      </c>
      <c r="B107" s="152" t="str">
        <f t="array" ref="B107">IF($A107="","",IFERROR(INDEX(Sales!$A:$A,MATCH($A107,Sales!$E:$E,0)),""))</f>
        <v/>
      </c>
      <c r="C107" s="153" t="str">
        <f t="array" ref="C107">IF($A107="","",IFERROR(INDEX(Sales!$D:$D,MATCH($A107,Sales!$E:$E,0)),""))</f>
        <v/>
      </c>
      <c r="D107" s="153" t="str">
        <f t="array" ref="D107">IF($A107="","",IFERROR(INDEX(Sales!$C:$C,MATCH($A107,Sales!$E:$E,0)),""))</f>
        <v/>
      </c>
      <c r="E107" s="154" t="str">
        <f>IF($A107="","",SUMIFS(Sales!$H:$H,Sales!$E:$E,$A107,Sales!$B:$B,"&lt;&gt;Return"))</f>
        <v/>
      </c>
      <c r="F107" s="155" t="str">
        <f>IF($A107="","",SUMIF(Sales!$E:$E,$A107,Sales!$L:$L))</f>
        <v/>
      </c>
      <c r="G107" s="155" t="str">
        <f>IF($A107="","",SUMIF(Sales!$E:$E,$A107,Sales!$P:$P))</f>
        <v/>
      </c>
      <c r="H107" s="156" t="str">
        <f t="array" ref="H107">IF($A107="","",IFERROR(INDEX(Orders!$O$5:$O$1004,MATCH($A107,Orders!$N$5:$N$1004,0)),""))</f>
        <v/>
      </c>
      <c r="I107" s="156" t="str">
        <f t="array" ref="I107">IF($A107="","",IFERROR(INDEX(Orders!$P$5:$P$1004,MATCH($A107,Orders!$N$5:$N$1004,0)),""))</f>
        <v/>
      </c>
      <c r="J107" s="157" t="str">
        <f t="shared" si="1"/>
        <v/>
      </c>
      <c r="K107" s="153" t="str">
        <f t="array" ref="K107">IF($A107="","",IFERROR(INDEX(Sales!$M:$M,MATCH($A107,Sales!$E:$E,0)),""))</f>
        <v/>
      </c>
      <c r="L107" s="158" t="str">
        <f t="shared" si="2"/>
        <v/>
      </c>
      <c r="N107" s="49" t="str">
        <f t="array" ref="N107">IFERROR(INDEX(Sales!$E$7:$E$1506,MATCH(ROW()-4,Sales!$V$7:$V$1506,0)),"")</f>
        <v/>
      </c>
      <c r="O107" s="67"/>
      <c r="P107" s="67"/>
    </row>
    <row r="108" ht="14.25" customHeight="1">
      <c r="A108" s="151" t="str">
        <f t="array" ref="A108">IFERROR(INDEX(Sales!$E$7:$E$1506,MATCH(ROW()-4,Sales!$W$7:$W$1506,0)),"")</f>
        <v/>
      </c>
      <c r="B108" s="152" t="str">
        <f t="array" ref="B108">IF($A108="","",IFERROR(INDEX(Sales!$A:$A,MATCH($A108,Sales!$E:$E,0)),""))</f>
        <v/>
      </c>
      <c r="C108" s="153" t="str">
        <f t="array" ref="C108">IF($A108="","",IFERROR(INDEX(Sales!$D:$D,MATCH($A108,Sales!$E:$E,0)),""))</f>
        <v/>
      </c>
      <c r="D108" s="153" t="str">
        <f t="array" ref="D108">IF($A108="","",IFERROR(INDEX(Sales!$C:$C,MATCH($A108,Sales!$E:$E,0)),""))</f>
        <v/>
      </c>
      <c r="E108" s="154" t="str">
        <f>IF($A108="","",SUMIFS(Sales!$H:$H,Sales!$E:$E,$A108,Sales!$B:$B,"&lt;&gt;Return"))</f>
        <v/>
      </c>
      <c r="F108" s="155" t="str">
        <f>IF($A108="","",SUMIF(Sales!$E:$E,$A108,Sales!$L:$L))</f>
        <v/>
      </c>
      <c r="G108" s="155" t="str">
        <f>IF($A108="","",SUMIF(Sales!$E:$E,$A108,Sales!$P:$P))</f>
        <v/>
      </c>
      <c r="H108" s="156" t="str">
        <f t="array" ref="H108">IF($A108="","",IFERROR(INDEX(Orders!$O$5:$O$1004,MATCH($A108,Orders!$N$5:$N$1004,0)),""))</f>
        <v/>
      </c>
      <c r="I108" s="156" t="str">
        <f t="array" ref="I108">IF($A108="","",IFERROR(INDEX(Orders!$P$5:$P$1004,MATCH($A108,Orders!$N$5:$N$1004,0)),""))</f>
        <v/>
      </c>
      <c r="J108" s="157" t="str">
        <f t="shared" si="1"/>
        <v/>
      </c>
      <c r="K108" s="153" t="str">
        <f t="array" ref="K108">IF($A108="","",IFERROR(INDEX(Sales!$M:$M,MATCH($A108,Sales!$E:$E,0)),""))</f>
        <v/>
      </c>
      <c r="L108" s="158" t="str">
        <f t="shared" si="2"/>
        <v/>
      </c>
      <c r="N108" s="49" t="str">
        <f t="array" ref="N108">IFERROR(INDEX(Sales!$E$7:$E$1506,MATCH(ROW()-4,Sales!$V$7:$V$1506,0)),"")</f>
        <v/>
      </c>
      <c r="O108" s="67"/>
      <c r="P108" s="67"/>
    </row>
    <row r="109" ht="14.25" customHeight="1">
      <c r="A109" s="151" t="str">
        <f t="array" ref="A109">IFERROR(INDEX(Sales!$E$7:$E$1506,MATCH(ROW()-4,Sales!$W$7:$W$1506,0)),"")</f>
        <v/>
      </c>
      <c r="B109" s="152" t="str">
        <f t="array" ref="B109">IF($A109="","",IFERROR(INDEX(Sales!$A:$A,MATCH($A109,Sales!$E:$E,0)),""))</f>
        <v/>
      </c>
      <c r="C109" s="153" t="str">
        <f t="array" ref="C109">IF($A109="","",IFERROR(INDEX(Sales!$D:$D,MATCH($A109,Sales!$E:$E,0)),""))</f>
        <v/>
      </c>
      <c r="D109" s="153" t="str">
        <f t="array" ref="D109">IF($A109="","",IFERROR(INDEX(Sales!$C:$C,MATCH($A109,Sales!$E:$E,0)),""))</f>
        <v/>
      </c>
      <c r="E109" s="154" t="str">
        <f>IF($A109="","",SUMIFS(Sales!$H:$H,Sales!$E:$E,$A109,Sales!$B:$B,"&lt;&gt;Return"))</f>
        <v/>
      </c>
      <c r="F109" s="155" t="str">
        <f>IF($A109="","",SUMIF(Sales!$E:$E,$A109,Sales!$L:$L))</f>
        <v/>
      </c>
      <c r="G109" s="155" t="str">
        <f>IF($A109="","",SUMIF(Sales!$E:$E,$A109,Sales!$P:$P))</f>
        <v/>
      </c>
      <c r="H109" s="156" t="str">
        <f t="array" ref="H109">IF($A109="","",IFERROR(INDEX(Orders!$O$5:$O$1004,MATCH($A109,Orders!$N$5:$N$1004,0)),""))</f>
        <v/>
      </c>
      <c r="I109" s="156" t="str">
        <f t="array" ref="I109">IF($A109="","",IFERROR(INDEX(Orders!$P$5:$P$1004,MATCH($A109,Orders!$N$5:$N$1004,0)),""))</f>
        <v/>
      </c>
      <c r="J109" s="157" t="str">
        <f t="shared" si="1"/>
        <v/>
      </c>
      <c r="K109" s="153" t="str">
        <f t="array" ref="K109">IF($A109="","",IFERROR(INDEX(Sales!$M:$M,MATCH($A109,Sales!$E:$E,0)),""))</f>
        <v/>
      </c>
      <c r="L109" s="158" t="str">
        <f t="shared" si="2"/>
        <v/>
      </c>
      <c r="N109" s="49" t="str">
        <f t="array" ref="N109">IFERROR(INDEX(Sales!$E$7:$E$1506,MATCH(ROW()-4,Sales!$V$7:$V$1506,0)),"")</f>
        <v/>
      </c>
      <c r="O109" s="67"/>
      <c r="P109" s="67"/>
    </row>
    <row r="110" ht="14.25" customHeight="1">
      <c r="A110" s="151" t="str">
        <f t="array" ref="A110">IFERROR(INDEX(Sales!$E$7:$E$1506,MATCH(ROW()-4,Sales!$W$7:$W$1506,0)),"")</f>
        <v/>
      </c>
      <c r="B110" s="152" t="str">
        <f t="array" ref="B110">IF($A110="","",IFERROR(INDEX(Sales!$A:$A,MATCH($A110,Sales!$E:$E,0)),""))</f>
        <v/>
      </c>
      <c r="C110" s="153" t="str">
        <f t="array" ref="C110">IF($A110="","",IFERROR(INDEX(Sales!$D:$D,MATCH($A110,Sales!$E:$E,0)),""))</f>
        <v/>
      </c>
      <c r="D110" s="153" t="str">
        <f t="array" ref="D110">IF($A110="","",IFERROR(INDEX(Sales!$C:$C,MATCH($A110,Sales!$E:$E,0)),""))</f>
        <v/>
      </c>
      <c r="E110" s="154" t="str">
        <f>IF($A110="","",SUMIFS(Sales!$H:$H,Sales!$E:$E,$A110,Sales!$B:$B,"&lt;&gt;Return"))</f>
        <v/>
      </c>
      <c r="F110" s="155" t="str">
        <f>IF($A110="","",SUMIF(Sales!$E:$E,$A110,Sales!$L:$L))</f>
        <v/>
      </c>
      <c r="G110" s="155" t="str">
        <f>IF($A110="","",SUMIF(Sales!$E:$E,$A110,Sales!$P:$P))</f>
        <v/>
      </c>
      <c r="H110" s="156" t="str">
        <f t="array" ref="H110">IF($A110="","",IFERROR(INDEX(Orders!$O$5:$O$1004,MATCH($A110,Orders!$N$5:$N$1004,0)),""))</f>
        <v/>
      </c>
      <c r="I110" s="156" t="str">
        <f t="array" ref="I110">IF($A110="","",IFERROR(INDEX(Orders!$P$5:$P$1004,MATCH($A110,Orders!$N$5:$N$1004,0)),""))</f>
        <v/>
      </c>
      <c r="J110" s="157" t="str">
        <f t="shared" si="1"/>
        <v/>
      </c>
      <c r="K110" s="153" t="str">
        <f t="array" ref="K110">IF($A110="","",IFERROR(INDEX(Sales!$M:$M,MATCH($A110,Sales!$E:$E,0)),""))</f>
        <v/>
      </c>
      <c r="L110" s="158" t="str">
        <f t="shared" si="2"/>
        <v/>
      </c>
      <c r="N110" s="49" t="str">
        <f t="array" ref="N110">IFERROR(INDEX(Sales!$E$7:$E$1506,MATCH(ROW()-4,Sales!$V$7:$V$1506,0)),"")</f>
        <v/>
      </c>
      <c r="O110" s="67"/>
      <c r="P110" s="67"/>
    </row>
    <row r="111" ht="14.25" customHeight="1">
      <c r="A111" s="151" t="str">
        <f t="array" ref="A111">IFERROR(INDEX(Sales!$E$7:$E$1506,MATCH(ROW()-4,Sales!$W$7:$W$1506,0)),"")</f>
        <v/>
      </c>
      <c r="B111" s="152" t="str">
        <f t="array" ref="B111">IF($A111="","",IFERROR(INDEX(Sales!$A:$A,MATCH($A111,Sales!$E:$E,0)),""))</f>
        <v/>
      </c>
      <c r="C111" s="153" t="str">
        <f t="array" ref="C111">IF($A111="","",IFERROR(INDEX(Sales!$D:$D,MATCH($A111,Sales!$E:$E,0)),""))</f>
        <v/>
      </c>
      <c r="D111" s="153" t="str">
        <f t="array" ref="D111">IF($A111="","",IFERROR(INDEX(Sales!$C:$C,MATCH($A111,Sales!$E:$E,0)),""))</f>
        <v/>
      </c>
      <c r="E111" s="154" t="str">
        <f>IF($A111="","",SUMIFS(Sales!$H:$H,Sales!$E:$E,$A111,Sales!$B:$B,"&lt;&gt;Return"))</f>
        <v/>
      </c>
      <c r="F111" s="155" t="str">
        <f>IF($A111="","",SUMIF(Sales!$E:$E,$A111,Sales!$L:$L))</f>
        <v/>
      </c>
      <c r="G111" s="155" t="str">
        <f>IF($A111="","",SUMIF(Sales!$E:$E,$A111,Sales!$P:$P))</f>
        <v/>
      </c>
      <c r="H111" s="156" t="str">
        <f t="array" ref="H111">IF($A111="","",IFERROR(INDEX(Orders!$O$5:$O$1004,MATCH($A111,Orders!$N$5:$N$1004,0)),""))</f>
        <v/>
      </c>
      <c r="I111" s="156" t="str">
        <f t="array" ref="I111">IF($A111="","",IFERROR(INDEX(Orders!$P$5:$P$1004,MATCH($A111,Orders!$N$5:$N$1004,0)),""))</f>
        <v/>
      </c>
      <c r="J111" s="157" t="str">
        <f t="shared" si="1"/>
        <v/>
      </c>
      <c r="K111" s="153" t="str">
        <f t="array" ref="K111">IF($A111="","",IFERROR(INDEX(Sales!$M:$M,MATCH($A111,Sales!$E:$E,0)),""))</f>
        <v/>
      </c>
      <c r="L111" s="158" t="str">
        <f t="shared" si="2"/>
        <v/>
      </c>
      <c r="N111" s="49" t="str">
        <f t="array" ref="N111">IFERROR(INDEX(Sales!$E$7:$E$1506,MATCH(ROW()-4,Sales!$V$7:$V$1506,0)),"")</f>
        <v/>
      </c>
      <c r="O111" s="67"/>
      <c r="P111" s="67"/>
    </row>
    <row r="112" ht="14.25" customHeight="1">
      <c r="A112" s="151" t="str">
        <f t="array" ref="A112">IFERROR(INDEX(Sales!$E$7:$E$1506,MATCH(ROW()-4,Sales!$W$7:$W$1506,0)),"")</f>
        <v/>
      </c>
      <c r="B112" s="152" t="str">
        <f t="array" ref="B112">IF($A112="","",IFERROR(INDEX(Sales!$A:$A,MATCH($A112,Sales!$E:$E,0)),""))</f>
        <v/>
      </c>
      <c r="C112" s="153" t="str">
        <f t="array" ref="C112">IF($A112="","",IFERROR(INDEX(Sales!$D:$D,MATCH($A112,Sales!$E:$E,0)),""))</f>
        <v/>
      </c>
      <c r="D112" s="153" t="str">
        <f t="array" ref="D112">IF($A112="","",IFERROR(INDEX(Sales!$C:$C,MATCH($A112,Sales!$E:$E,0)),""))</f>
        <v/>
      </c>
      <c r="E112" s="154" t="str">
        <f>IF($A112="","",SUMIFS(Sales!$H:$H,Sales!$E:$E,$A112,Sales!$B:$B,"&lt;&gt;Return"))</f>
        <v/>
      </c>
      <c r="F112" s="155" t="str">
        <f>IF($A112="","",SUMIF(Sales!$E:$E,$A112,Sales!$L:$L))</f>
        <v/>
      </c>
      <c r="G112" s="155" t="str">
        <f>IF($A112="","",SUMIF(Sales!$E:$E,$A112,Sales!$P:$P))</f>
        <v/>
      </c>
      <c r="H112" s="156" t="str">
        <f t="array" ref="H112">IF($A112="","",IFERROR(INDEX(Orders!$O$5:$O$1004,MATCH($A112,Orders!$N$5:$N$1004,0)),""))</f>
        <v/>
      </c>
      <c r="I112" s="156" t="str">
        <f t="array" ref="I112">IF($A112="","",IFERROR(INDEX(Orders!$P$5:$P$1004,MATCH($A112,Orders!$N$5:$N$1004,0)),""))</f>
        <v/>
      </c>
      <c r="J112" s="157" t="str">
        <f t="shared" si="1"/>
        <v/>
      </c>
      <c r="K112" s="153" t="str">
        <f t="array" ref="K112">IF($A112="","",IFERROR(INDEX(Sales!$M:$M,MATCH($A112,Sales!$E:$E,0)),""))</f>
        <v/>
      </c>
      <c r="L112" s="158" t="str">
        <f t="shared" si="2"/>
        <v/>
      </c>
      <c r="N112" s="49" t="str">
        <f t="array" ref="N112">IFERROR(INDEX(Sales!$E$7:$E$1506,MATCH(ROW()-4,Sales!$V$7:$V$1506,0)),"")</f>
        <v/>
      </c>
      <c r="O112" s="67"/>
      <c r="P112" s="67"/>
    </row>
    <row r="113" ht="14.25" customHeight="1">
      <c r="A113" s="151" t="str">
        <f t="array" ref="A113">IFERROR(INDEX(Sales!$E$7:$E$1506,MATCH(ROW()-4,Sales!$W$7:$W$1506,0)),"")</f>
        <v/>
      </c>
      <c r="B113" s="152" t="str">
        <f t="array" ref="B113">IF($A113="","",IFERROR(INDEX(Sales!$A:$A,MATCH($A113,Sales!$E:$E,0)),""))</f>
        <v/>
      </c>
      <c r="C113" s="153" t="str">
        <f t="array" ref="C113">IF($A113="","",IFERROR(INDEX(Sales!$D:$D,MATCH($A113,Sales!$E:$E,0)),""))</f>
        <v/>
      </c>
      <c r="D113" s="153" t="str">
        <f t="array" ref="D113">IF($A113="","",IFERROR(INDEX(Sales!$C:$C,MATCH($A113,Sales!$E:$E,0)),""))</f>
        <v/>
      </c>
      <c r="E113" s="154" t="str">
        <f>IF($A113="","",SUMIFS(Sales!$H:$H,Sales!$E:$E,$A113,Sales!$B:$B,"&lt;&gt;Return"))</f>
        <v/>
      </c>
      <c r="F113" s="155" t="str">
        <f>IF($A113="","",SUMIF(Sales!$E:$E,$A113,Sales!$L:$L))</f>
        <v/>
      </c>
      <c r="G113" s="155" t="str">
        <f>IF($A113="","",SUMIF(Sales!$E:$E,$A113,Sales!$P:$P))</f>
        <v/>
      </c>
      <c r="H113" s="156" t="str">
        <f t="array" ref="H113">IF($A113="","",IFERROR(INDEX(Orders!$O$5:$O$1004,MATCH($A113,Orders!$N$5:$N$1004,0)),""))</f>
        <v/>
      </c>
      <c r="I113" s="156" t="str">
        <f t="array" ref="I113">IF($A113="","",IFERROR(INDEX(Orders!$P$5:$P$1004,MATCH($A113,Orders!$N$5:$N$1004,0)),""))</f>
        <v/>
      </c>
      <c r="J113" s="157" t="str">
        <f t="shared" si="1"/>
        <v/>
      </c>
      <c r="K113" s="153" t="str">
        <f t="array" ref="K113">IF($A113="","",IFERROR(INDEX(Sales!$M:$M,MATCH($A113,Sales!$E:$E,0)),""))</f>
        <v/>
      </c>
      <c r="L113" s="158" t="str">
        <f t="shared" si="2"/>
        <v/>
      </c>
      <c r="N113" s="49" t="str">
        <f t="array" ref="N113">IFERROR(INDEX(Sales!$E$7:$E$1506,MATCH(ROW()-4,Sales!$V$7:$V$1506,0)),"")</f>
        <v/>
      </c>
      <c r="O113" s="67"/>
      <c r="P113" s="67"/>
    </row>
    <row r="114" ht="14.25" customHeight="1">
      <c r="A114" s="151" t="str">
        <f t="array" ref="A114">IFERROR(INDEX(Sales!$E$7:$E$1506,MATCH(ROW()-4,Sales!$W$7:$W$1506,0)),"")</f>
        <v/>
      </c>
      <c r="B114" s="152" t="str">
        <f t="array" ref="B114">IF($A114="","",IFERROR(INDEX(Sales!$A:$A,MATCH($A114,Sales!$E:$E,0)),""))</f>
        <v/>
      </c>
      <c r="C114" s="153" t="str">
        <f t="array" ref="C114">IF($A114="","",IFERROR(INDEX(Sales!$D:$D,MATCH($A114,Sales!$E:$E,0)),""))</f>
        <v/>
      </c>
      <c r="D114" s="153" t="str">
        <f t="array" ref="D114">IF($A114="","",IFERROR(INDEX(Sales!$C:$C,MATCH($A114,Sales!$E:$E,0)),""))</f>
        <v/>
      </c>
      <c r="E114" s="154" t="str">
        <f>IF($A114="","",SUMIFS(Sales!$H:$H,Sales!$E:$E,$A114,Sales!$B:$B,"&lt;&gt;Return"))</f>
        <v/>
      </c>
      <c r="F114" s="155" t="str">
        <f>IF($A114="","",SUMIF(Sales!$E:$E,$A114,Sales!$L:$L))</f>
        <v/>
      </c>
      <c r="G114" s="155" t="str">
        <f>IF($A114="","",SUMIF(Sales!$E:$E,$A114,Sales!$P:$P))</f>
        <v/>
      </c>
      <c r="H114" s="156" t="str">
        <f t="array" ref="H114">IF($A114="","",IFERROR(INDEX(Orders!$O$5:$O$1004,MATCH($A114,Orders!$N$5:$N$1004,0)),""))</f>
        <v/>
      </c>
      <c r="I114" s="156" t="str">
        <f t="array" ref="I114">IF($A114="","",IFERROR(INDEX(Orders!$P$5:$P$1004,MATCH($A114,Orders!$N$5:$N$1004,0)),""))</f>
        <v/>
      </c>
      <c r="J114" s="157" t="str">
        <f t="shared" si="1"/>
        <v/>
      </c>
      <c r="K114" s="153" t="str">
        <f t="array" ref="K114">IF($A114="","",IFERROR(INDEX(Sales!$M:$M,MATCH($A114,Sales!$E:$E,0)),""))</f>
        <v/>
      </c>
      <c r="L114" s="158" t="str">
        <f t="shared" si="2"/>
        <v/>
      </c>
      <c r="N114" s="49" t="str">
        <f t="array" ref="N114">IFERROR(INDEX(Sales!$E$7:$E$1506,MATCH(ROW()-4,Sales!$V$7:$V$1506,0)),"")</f>
        <v/>
      </c>
      <c r="O114" s="67"/>
      <c r="P114" s="67"/>
    </row>
    <row r="115" ht="14.25" customHeight="1">
      <c r="A115" s="151" t="str">
        <f t="array" ref="A115">IFERROR(INDEX(Sales!$E$7:$E$1506,MATCH(ROW()-4,Sales!$W$7:$W$1506,0)),"")</f>
        <v/>
      </c>
      <c r="B115" s="152" t="str">
        <f t="array" ref="B115">IF($A115="","",IFERROR(INDEX(Sales!$A:$A,MATCH($A115,Sales!$E:$E,0)),""))</f>
        <v/>
      </c>
      <c r="C115" s="153" t="str">
        <f t="array" ref="C115">IF($A115="","",IFERROR(INDEX(Sales!$D:$D,MATCH($A115,Sales!$E:$E,0)),""))</f>
        <v/>
      </c>
      <c r="D115" s="153" t="str">
        <f t="array" ref="D115">IF($A115="","",IFERROR(INDEX(Sales!$C:$C,MATCH($A115,Sales!$E:$E,0)),""))</f>
        <v/>
      </c>
      <c r="E115" s="154" t="str">
        <f>IF($A115="","",SUMIFS(Sales!$H:$H,Sales!$E:$E,$A115,Sales!$B:$B,"&lt;&gt;Return"))</f>
        <v/>
      </c>
      <c r="F115" s="155" t="str">
        <f>IF($A115="","",SUMIF(Sales!$E:$E,$A115,Sales!$L:$L))</f>
        <v/>
      </c>
      <c r="G115" s="155" t="str">
        <f>IF($A115="","",SUMIF(Sales!$E:$E,$A115,Sales!$P:$P))</f>
        <v/>
      </c>
      <c r="H115" s="156" t="str">
        <f t="array" ref="H115">IF($A115="","",IFERROR(INDEX(Orders!$O$5:$O$1004,MATCH($A115,Orders!$N$5:$N$1004,0)),""))</f>
        <v/>
      </c>
      <c r="I115" s="156" t="str">
        <f t="array" ref="I115">IF($A115="","",IFERROR(INDEX(Orders!$P$5:$P$1004,MATCH($A115,Orders!$N$5:$N$1004,0)),""))</f>
        <v/>
      </c>
      <c r="J115" s="157" t="str">
        <f t="shared" si="1"/>
        <v/>
      </c>
      <c r="K115" s="153" t="str">
        <f t="array" ref="K115">IF($A115="","",IFERROR(INDEX(Sales!$M:$M,MATCH($A115,Sales!$E:$E,0)),""))</f>
        <v/>
      </c>
      <c r="L115" s="158" t="str">
        <f t="shared" si="2"/>
        <v/>
      </c>
      <c r="N115" s="49" t="str">
        <f t="array" ref="N115">IFERROR(INDEX(Sales!$E$7:$E$1506,MATCH(ROW()-4,Sales!$V$7:$V$1506,0)),"")</f>
        <v/>
      </c>
      <c r="O115" s="67"/>
      <c r="P115" s="67"/>
    </row>
    <row r="116" ht="14.25" customHeight="1">
      <c r="A116" s="151" t="str">
        <f t="array" ref="A116">IFERROR(INDEX(Sales!$E$7:$E$1506,MATCH(ROW()-4,Sales!$W$7:$W$1506,0)),"")</f>
        <v/>
      </c>
      <c r="B116" s="152" t="str">
        <f t="array" ref="B116">IF($A116="","",IFERROR(INDEX(Sales!$A:$A,MATCH($A116,Sales!$E:$E,0)),""))</f>
        <v/>
      </c>
      <c r="C116" s="153" t="str">
        <f t="array" ref="C116">IF($A116="","",IFERROR(INDEX(Sales!$D:$D,MATCH($A116,Sales!$E:$E,0)),""))</f>
        <v/>
      </c>
      <c r="D116" s="153" t="str">
        <f t="array" ref="D116">IF($A116="","",IFERROR(INDEX(Sales!$C:$C,MATCH($A116,Sales!$E:$E,0)),""))</f>
        <v/>
      </c>
      <c r="E116" s="154" t="str">
        <f>IF($A116="","",SUMIFS(Sales!$H:$H,Sales!$E:$E,$A116,Sales!$B:$B,"&lt;&gt;Return"))</f>
        <v/>
      </c>
      <c r="F116" s="155" t="str">
        <f>IF($A116="","",SUMIF(Sales!$E:$E,$A116,Sales!$L:$L))</f>
        <v/>
      </c>
      <c r="G116" s="155" t="str">
        <f>IF($A116="","",SUMIF(Sales!$E:$E,$A116,Sales!$P:$P))</f>
        <v/>
      </c>
      <c r="H116" s="156" t="str">
        <f t="array" ref="H116">IF($A116="","",IFERROR(INDEX(Orders!$O$5:$O$1004,MATCH($A116,Orders!$N$5:$N$1004,0)),""))</f>
        <v/>
      </c>
      <c r="I116" s="156" t="str">
        <f t="array" ref="I116">IF($A116="","",IFERROR(INDEX(Orders!$P$5:$P$1004,MATCH($A116,Orders!$N$5:$N$1004,0)),""))</f>
        <v/>
      </c>
      <c r="J116" s="157" t="str">
        <f t="shared" si="1"/>
        <v/>
      </c>
      <c r="K116" s="153" t="str">
        <f t="array" ref="K116">IF($A116="","",IFERROR(INDEX(Sales!$M:$M,MATCH($A116,Sales!$E:$E,0)),""))</f>
        <v/>
      </c>
      <c r="L116" s="158" t="str">
        <f t="shared" si="2"/>
        <v/>
      </c>
      <c r="N116" s="49" t="str">
        <f t="array" ref="N116">IFERROR(INDEX(Sales!$E$7:$E$1506,MATCH(ROW()-4,Sales!$V$7:$V$1506,0)),"")</f>
        <v/>
      </c>
      <c r="O116" s="67"/>
      <c r="P116" s="67"/>
    </row>
    <row r="117" ht="14.25" customHeight="1">
      <c r="A117" s="151" t="str">
        <f t="array" ref="A117">IFERROR(INDEX(Sales!$E$7:$E$1506,MATCH(ROW()-4,Sales!$W$7:$W$1506,0)),"")</f>
        <v/>
      </c>
      <c r="B117" s="152" t="str">
        <f t="array" ref="B117">IF($A117="","",IFERROR(INDEX(Sales!$A:$A,MATCH($A117,Sales!$E:$E,0)),""))</f>
        <v/>
      </c>
      <c r="C117" s="153" t="str">
        <f t="array" ref="C117">IF($A117="","",IFERROR(INDEX(Sales!$D:$D,MATCH($A117,Sales!$E:$E,0)),""))</f>
        <v/>
      </c>
      <c r="D117" s="153" t="str">
        <f t="array" ref="D117">IF($A117="","",IFERROR(INDEX(Sales!$C:$C,MATCH($A117,Sales!$E:$E,0)),""))</f>
        <v/>
      </c>
      <c r="E117" s="154" t="str">
        <f>IF($A117="","",SUMIFS(Sales!$H:$H,Sales!$E:$E,$A117,Sales!$B:$B,"&lt;&gt;Return"))</f>
        <v/>
      </c>
      <c r="F117" s="155" t="str">
        <f>IF($A117="","",SUMIF(Sales!$E:$E,$A117,Sales!$L:$L))</f>
        <v/>
      </c>
      <c r="G117" s="155" t="str">
        <f>IF($A117="","",SUMIF(Sales!$E:$E,$A117,Sales!$P:$P))</f>
        <v/>
      </c>
      <c r="H117" s="156" t="str">
        <f t="array" ref="H117">IF($A117="","",IFERROR(INDEX(Orders!$O$5:$O$1004,MATCH($A117,Orders!$N$5:$N$1004,0)),""))</f>
        <v/>
      </c>
      <c r="I117" s="156" t="str">
        <f t="array" ref="I117">IF($A117="","",IFERROR(INDEX(Orders!$P$5:$P$1004,MATCH($A117,Orders!$N$5:$N$1004,0)),""))</f>
        <v/>
      </c>
      <c r="J117" s="157" t="str">
        <f t="shared" si="1"/>
        <v/>
      </c>
      <c r="K117" s="153" t="str">
        <f t="array" ref="K117">IF($A117="","",IFERROR(INDEX(Sales!$M:$M,MATCH($A117,Sales!$E:$E,0)),""))</f>
        <v/>
      </c>
      <c r="L117" s="158" t="str">
        <f t="shared" si="2"/>
        <v/>
      </c>
      <c r="N117" s="49" t="str">
        <f t="array" ref="N117">IFERROR(INDEX(Sales!$E$7:$E$1506,MATCH(ROW()-4,Sales!$V$7:$V$1506,0)),"")</f>
        <v/>
      </c>
      <c r="O117" s="67"/>
      <c r="P117" s="67"/>
    </row>
    <row r="118" ht="14.25" customHeight="1">
      <c r="A118" s="151" t="str">
        <f t="array" ref="A118">IFERROR(INDEX(Sales!$E$7:$E$1506,MATCH(ROW()-4,Sales!$W$7:$W$1506,0)),"")</f>
        <v/>
      </c>
      <c r="B118" s="152" t="str">
        <f t="array" ref="B118">IF($A118="","",IFERROR(INDEX(Sales!$A:$A,MATCH($A118,Sales!$E:$E,0)),""))</f>
        <v/>
      </c>
      <c r="C118" s="153" t="str">
        <f t="array" ref="C118">IF($A118="","",IFERROR(INDEX(Sales!$D:$D,MATCH($A118,Sales!$E:$E,0)),""))</f>
        <v/>
      </c>
      <c r="D118" s="153" t="str">
        <f t="array" ref="D118">IF($A118="","",IFERROR(INDEX(Sales!$C:$C,MATCH($A118,Sales!$E:$E,0)),""))</f>
        <v/>
      </c>
      <c r="E118" s="154" t="str">
        <f>IF($A118="","",SUMIFS(Sales!$H:$H,Sales!$E:$E,$A118,Sales!$B:$B,"&lt;&gt;Return"))</f>
        <v/>
      </c>
      <c r="F118" s="155" t="str">
        <f>IF($A118="","",SUMIF(Sales!$E:$E,$A118,Sales!$L:$L))</f>
        <v/>
      </c>
      <c r="G118" s="155" t="str">
        <f>IF($A118="","",SUMIF(Sales!$E:$E,$A118,Sales!$P:$P))</f>
        <v/>
      </c>
      <c r="H118" s="156" t="str">
        <f t="array" ref="H118">IF($A118="","",IFERROR(INDEX(Orders!$O$5:$O$1004,MATCH($A118,Orders!$N$5:$N$1004,0)),""))</f>
        <v/>
      </c>
      <c r="I118" s="156" t="str">
        <f t="array" ref="I118">IF($A118="","",IFERROR(INDEX(Orders!$P$5:$P$1004,MATCH($A118,Orders!$N$5:$N$1004,0)),""))</f>
        <v/>
      </c>
      <c r="J118" s="157" t="str">
        <f t="shared" si="1"/>
        <v/>
      </c>
      <c r="K118" s="153" t="str">
        <f t="array" ref="K118">IF($A118="","",IFERROR(INDEX(Sales!$M:$M,MATCH($A118,Sales!$E:$E,0)),""))</f>
        <v/>
      </c>
      <c r="L118" s="158" t="str">
        <f t="shared" si="2"/>
        <v/>
      </c>
      <c r="N118" s="49" t="str">
        <f t="array" ref="N118">IFERROR(INDEX(Sales!$E$7:$E$1506,MATCH(ROW()-4,Sales!$V$7:$V$1506,0)),"")</f>
        <v/>
      </c>
      <c r="O118" s="67"/>
      <c r="P118" s="67"/>
    </row>
    <row r="119" ht="14.25" customHeight="1">
      <c r="A119" s="151" t="str">
        <f t="array" ref="A119">IFERROR(INDEX(Sales!$E$7:$E$1506,MATCH(ROW()-4,Sales!$W$7:$W$1506,0)),"")</f>
        <v/>
      </c>
      <c r="B119" s="152" t="str">
        <f t="array" ref="B119">IF($A119="","",IFERROR(INDEX(Sales!$A:$A,MATCH($A119,Sales!$E:$E,0)),""))</f>
        <v/>
      </c>
      <c r="C119" s="153" t="str">
        <f t="array" ref="C119">IF($A119="","",IFERROR(INDEX(Sales!$D:$D,MATCH($A119,Sales!$E:$E,0)),""))</f>
        <v/>
      </c>
      <c r="D119" s="153" t="str">
        <f t="array" ref="D119">IF($A119="","",IFERROR(INDEX(Sales!$C:$C,MATCH($A119,Sales!$E:$E,0)),""))</f>
        <v/>
      </c>
      <c r="E119" s="154" t="str">
        <f>IF($A119="","",SUMIFS(Sales!$H:$H,Sales!$E:$E,$A119,Sales!$B:$B,"&lt;&gt;Return"))</f>
        <v/>
      </c>
      <c r="F119" s="155" t="str">
        <f>IF($A119="","",SUMIF(Sales!$E:$E,$A119,Sales!$L:$L))</f>
        <v/>
      </c>
      <c r="G119" s="155" t="str">
        <f>IF($A119="","",SUMIF(Sales!$E:$E,$A119,Sales!$P:$P))</f>
        <v/>
      </c>
      <c r="H119" s="156" t="str">
        <f t="array" ref="H119">IF($A119="","",IFERROR(INDEX(Orders!$O$5:$O$1004,MATCH($A119,Orders!$N$5:$N$1004,0)),""))</f>
        <v/>
      </c>
      <c r="I119" s="156" t="str">
        <f t="array" ref="I119">IF($A119="","",IFERROR(INDEX(Orders!$P$5:$P$1004,MATCH($A119,Orders!$N$5:$N$1004,0)),""))</f>
        <v/>
      </c>
      <c r="J119" s="157" t="str">
        <f t="shared" si="1"/>
        <v/>
      </c>
      <c r="K119" s="153" t="str">
        <f t="array" ref="K119">IF($A119="","",IFERROR(INDEX(Sales!$M:$M,MATCH($A119,Sales!$E:$E,0)),""))</f>
        <v/>
      </c>
      <c r="L119" s="158" t="str">
        <f t="shared" si="2"/>
        <v/>
      </c>
      <c r="N119" s="49" t="str">
        <f t="array" ref="N119">IFERROR(INDEX(Sales!$E$7:$E$1506,MATCH(ROW()-4,Sales!$V$7:$V$1506,0)),"")</f>
        <v/>
      </c>
      <c r="O119" s="67"/>
      <c r="P119" s="67"/>
    </row>
    <row r="120" ht="14.25" customHeight="1">
      <c r="A120" s="151" t="str">
        <f t="array" ref="A120">IFERROR(INDEX(Sales!$E$7:$E$1506,MATCH(ROW()-4,Sales!$W$7:$W$1506,0)),"")</f>
        <v/>
      </c>
      <c r="B120" s="152" t="str">
        <f t="array" ref="B120">IF($A120="","",IFERROR(INDEX(Sales!$A:$A,MATCH($A120,Sales!$E:$E,0)),""))</f>
        <v/>
      </c>
      <c r="C120" s="153" t="str">
        <f t="array" ref="C120">IF($A120="","",IFERROR(INDEX(Sales!$D:$D,MATCH($A120,Sales!$E:$E,0)),""))</f>
        <v/>
      </c>
      <c r="D120" s="153" t="str">
        <f t="array" ref="D120">IF($A120="","",IFERROR(INDEX(Sales!$C:$C,MATCH($A120,Sales!$E:$E,0)),""))</f>
        <v/>
      </c>
      <c r="E120" s="154" t="str">
        <f>IF($A120="","",SUMIFS(Sales!$H:$H,Sales!$E:$E,$A120,Sales!$B:$B,"&lt;&gt;Return"))</f>
        <v/>
      </c>
      <c r="F120" s="155" t="str">
        <f>IF($A120="","",SUMIF(Sales!$E:$E,$A120,Sales!$L:$L))</f>
        <v/>
      </c>
      <c r="G120" s="155" t="str">
        <f>IF($A120="","",SUMIF(Sales!$E:$E,$A120,Sales!$P:$P))</f>
        <v/>
      </c>
      <c r="H120" s="156" t="str">
        <f t="array" ref="H120">IF($A120="","",IFERROR(INDEX(Orders!$O$5:$O$1004,MATCH($A120,Orders!$N$5:$N$1004,0)),""))</f>
        <v/>
      </c>
      <c r="I120" s="156" t="str">
        <f t="array" ref="I120">IF($A120="","",IFERROR(INDEX(Orders!$P$5:$P$1004,MATCH($A120,Orders!$N$5:$N$1004,0)),""))</f>
        <v/>
      </c>
      <c r="J120" s="157" t="str">
        <f t="shared" si="1"/>
        <v/>
      </c>
      <c r="K120" s="153" t="str">
        <f t="array" ref="K120">IF($A120="","",IFERROR(INDEX(Sales!$M:$M,MATCH($A120,Sales!$E:$E,0)),""))</f>
        <v/>
      </c>
      <c r="L120" s="158" t="str">
        <f t="shared" si="2"/>
        <v/>
      </c>
      <c r="N120" s="49" t="str">
        <f t="array" ref="N120">IFERROR(INDEX(Sales!$E$7:$E$1506,MATCH(ROW()-4,Sales!$V$7:$V$1506,0)),"")</f>
        <v/>
      </c>
      <c r="O120" s="67"/>
      <c r="P120" s="67"/>
    </row>
    <row r="121" ht="14.25" customHeight="1">
      <c r="A121" s="151" t="str">
        <f t="array" ref="A121">IFERROR(INDEX(Sales!$E$7:$E$1506,MATCH(ROW()-4,Sales!$W$7:$W$1506,0)),"")</f>
        <v/>
      </c>
      <c r="B121" s="152" t="str">
        <f t="array" ref="B121">IF($A121="","",IFERROR(INDEX(Sales!$A:$A,MATCH($A121,Sales!$E:$E,0)),""))</f>
        <v/>
      </c>
      <c r="C121" s="153" t="str">
        <f t="array" ref="C121">IF($A121="","",IFERROR(INDEX(Sales!$D:$D,MATCH($A121,Sales!$E:$E,0)),""))</f>
        <v/>
      </c>
      <c r="D121" s="153" t="str">
        <f t="array" ref="D121">IF($A121="","",IFERROR(INDEX(Sales!$C:$C,MATCH($A121,Sales!$E:$E,0)),""))</f>
        <v/>
      </c>
      <c r="E121" s="154" t="str">
        <f>IF($A121="","",SUMIFS(Sales!$H:$H,Sales!$E:$E,$A121,Sales!$B:$B,"&lt;&gt;Return"))</f>
        <v/>
      </c>
      <c r="F121" s="155" t="str">
        <f>IF($A121="","",SUMIF(Sales!$E:$E,$A121,Sales!$L:$L))</f>
        <v/>
      </c>
      <c r="G121" s="155" t="str">
        <f>IF($A121="","",SUMIF(Sales!$E:$E,$A121,Sales!$P:$P))</f>
        <v/>
      </c>
      <c r="H121" s="156" t="str">
        <f t="array" ref="H121">IF($A121="","",IFERROR(INDEX(Orders!$O$5:$O$1004,MATCH($A121,Orders!$N$5:$N$1004,0)),""))</f>
        <v/>
      </c>
      <c r="I121" s="156" t="str">
        <f t="array" ref="I121">IF($A121="","",IFERROR(INDEX(Orders!$P$5:$P$1004,MATCH($A121,Orders!$N$5:$N$1004,0)),""))</f>
        <v/>
      </c>
      <c r="J121" s="157" t="str">
        <f t="shared" si="1"/>
        <v/>
      </c>
      <c r="K121" s="153" t="str">
        <f t="array" ref="K121">IF($A121="","",IFERROR(INDEX(Sales!$M:$M,MATCH($A121,Sales!$E:$E,0)),""))</f>
        <v/>
      </c>
      <c r="L121" s="158" t="str">
        <f t="shared" si="2"/>
        <v/>
      </c>
      <c r="N121" s="49" t="str">
        <f t="array" ref="N121">IFERROR(INDEX(Sales!$E$7:$E$1506,MATCH(ROW()-4,Sales!$V$7:$V$1506,0)),"")</f>
        <v/>
      </c>
      <c r="O121" s="67"/>
      <c r="P121" s="67"/>
    </row>
    <row r="122" ht="14.25" customHeight="1">
      <c r="A122" s="151" t="str">
        <f t="array" ref="A122">IFERROR(INDEX(Sales!$E$7:$E$1506,MATCH(ROW()-4,Sales!$W$7:$W$1506,0)),"")</f>
        <v/>
      </c>
      <c r="B122" s="152" t="str">
        <f t="array" ref="B122">IF($A122="","",IFERROR(INDEX(Sales!$A:$A,MATCH($A122,Sales!$E:$E,0)),""))</f>
        <v/>
      </c>
      <c r="C122" s="153" t="str">
        <f t="array" ref="C122">IF($A122="","",IFERROR(INDEX(Sales!$D:$D,MATCH($A122,Sales!$E:$E,0)),""))</f>
        <v/>
      </c>
      <c r="D122" s="153" t="str">
        <f t="array" ref="D122">IF($A122="","",IFERROR(INDEX(Sales!$C:$C,MATCH($A122,Sales!$E:$E,0)),""))</f>
        <v/>
      </c>
      <c r="E122" s="154" t="str">
        <f>IF($A122="","",SUMIFS(Sales!$H:$H,Sales!$E:$E,$A122,Sales!$B:$B,"&lt;&gt;Return"))</f>
        <v/>
      </c>
      <c r="F122" s="155" t="str">
        <f>IF($A122="","",SUMIF(Sales!$E:$E,$A122,Sales!$L:$L))</f>
        <v/>
      </c>
      <c r="G122" s="155" t="str">
        <f>IF($A122="","",SUMIF(Sales!$E:$E,$A122,Sales!$P:$P))</f>
        <v/>
      </c>
      <c r="H122" s="156" t="str">
        <f t="array" ref="H122">IF($A122="","",IFERROR(INDEX(Orders!$O$5:$O$1004,MATCH($A122,Orders!$N$5:$N$1004,0)),""))</f>
        <v/>
      </c>
      <c r="I122" s="156" t="str">
        <f t="array" ref="I122">IF($A122="","",IFERROR(INDEX(Orders!$P$5:$P$1004,MATCH($A122,Orders!$N$5:$N$1004,0)),""))</f>
        <v/>
      </c>
      <c r="J122" s="157" t="str">
        <f t="shared" si="1"/>
        <v/>
      </c>
      <c r="K122" s="153" t="str">
        <f t="array" ref="K122">IF($A122="","",IFERROR(INDEX(Sales!$M:$M,MATCH($A122,Sales!$E:$E,0)),""))</f>
        <v/>
      </c>
      <c r="L122" s="158" t="str">
        <f t="shared" si="2"/>
        <v/>
      </c>
      <c r="N122" s="49" t="str">
        <f t="array" ref="N122">IFERROR(INDEX(Sales!$E$7:$E$1506,MATCH(ROW()-4,Sales!$V$7:$V$1506,0)),"")</f>
        <v/>
      </c>
      <c r="O122" s="67"/>
      <c r="P122" s="67"/>
    </row>
    <row r="123" ht="14.25" customHeight="1">
      <c r="A123" s="151" t="str">
        <f t="array" ref="A123">IFERROR(INDEX(Sales!$E$7:$E$1506,MATCH(ROW()-4,Sales!$W$7:$W$1506,0)),"")</f>
        <v/>
      </c>
      <c r="B123" s="152" t="str">
        <f t="array" ref="B123">IF($A123="","",IFERROR(INDEX(Sales!$A:$A,MATCH($A123,Sales!$E:$E,0)),""))</f>
        <v/>
      </c>
      <c r="C123" s="153" t="str">
        <f t="array" ref="C123">IF($A123="","",IFERROR(INDEX(Sales!$D:$D,MATCH($A123,Sales!$E:$E,0)),""))</f>
        <v/>
      </c>
      <c r="D123" s="153" t="str">
        <f t="array" ref="D123">IF($A123="","",IFERROR(INDEX(Sales!$C:$C,MATCH($A123,Sales!$E:$E,0)),""))</f>
        <v/>
      </c>
      <c r="E123" s="154" t="str">
        <f>IF($A123="","",SUMIFS(Sales!$H:$H,Sales!$E:$E,$A123,Sales!$B:$B,"&lt;&gt;Return"))</f>
        <v/>
      </c>
      <c r="F123" s="155" t="str">
        <f>IF($A123="","",SUMIF(Sales!$E:$E,$A123,Sales!$L:$L))</f>
        <v/>
      </c>
      <c r="G123" s="155" t="str">
        <f>IF($A123="","",SUMIF(Sales!$E:$E,$A123,Sales!$P:$P))</f>
        <v/>
      </c>
      <c r="H123" s="156" t="str">
        <f t="array" ref="H123">IF($A123="","",IFERROR(INDEX(Orders!$O$5:$O$1004,MATCH($A123,Orders!$N$5:$N$1004,0)),""))</f>
        <v/>
      </c>
      <c r="I123" s="156" t="str">
        <f t="array" ref="I123">IF($A123="","",IFERROR(INDEX(Orders!$P$5:$P$1004,MATCH($A123,Orders!$N$5:$N$1004,0)),""))</f>
        <v/>
      </c>
      <c r="J123" s="157" t="str">
        <f t="shared" si="1"/>
        <v/>
      </c>
      <c r="K123" s="153" t="str">
        <f t="array" ref="K123">IF($A123="","",IFERROR(INDEX(Sales!$M:$M,MATCH($A123,Sales!$E:$E,0)),""))</f>
        <v/>
      </c>
      <c r="L123" s="158" t="str">
        <f t="shared" si="2"/>
        <v/>
      </c>
      <c r="N123" s="49" t="str">
        <f t="array" ref="N123">IFERROR(INDEX(Sales!$E$7:$E$1506,MATCH(ROW()-4,Sales!$V$7:$V$1506,0)),"")</f>
        <v/>
      </c>
      <c r="O123" s="67"/>
      <c r="P123" s="67"/>
    </row>
    <row r="124" ht="14.25" customHeight="1">
      <c r="A124" s="151" t="str">
        <f t="array" ref="A124">IFERROR(INDEX(Sales!$E$7:$E$1506,MATCH(ROW()-4,Sales!$W$7:$W$1506,0)),"")</f>
        <v/>
      </c>
      <c r="B124" s="152" t="str">
        <f t="array" ref="B124">IF($A124="","",IFERROR(INDEX(Sales!$A:$A,MATCH($A124,Sales!$E:$E,0)),""))</f>
        <v/>
      </c>
      <c r="C124" s="153" t="str">
        <f t="array" ref="C124">IF($A124="","",IFERROR(INDEX(Sales!$D:$D,MATCH($A124,Sales!$E:$E,0)),""))</f>
        <v/>
      </c>
      <c r="D124" s="153" t="str">
        <f t="array" ref="D124">IF($A124="","",IFERROR(INDEX(Sales!$C:$C,MATCH($A124,Sales!$E:$E,0)),""))</f>
        <v/>
      </c>
      <c r="E124" s="154" t="str">
        <f>IF($A124="","",SUMIFS(Sales!$H:$H,Sales!$E:$E,$A124,Sales!$B:$B,"&lt;&gt;Return"))</f>
        <v/>
      </c>
      <c r="F124" s="155" t="str">
        <f>IF($A124="","",SUMIF(Sales!$E:$E,$A124,Sales!$L:$L))</f>
        <v/>
      </c>
      <c r="G124" s="155" t="str">
        <f>IF($A124="","",SUMIF(Sales!$E:$E,$A124,Sales!$P:$P))</f>
        <v/>
      </c>
      <c r="H124" s="156" t="str">
        <f t="array" ref="H124">IF($A124="","",IFERROR(INDEX(Orders!$O$5:$O$1004,MATCH($A124,Orders!$N$5:$N$1004,0)),""))</f>
        <v/>
      </c>
      <c r="I124" s="156" t="str">
        <f t="array" ref="I124">IF($A124="","",IFERROR(INDEX(Orders!$P$5:$P$1004,MATCH($A124,Orders!$N$5:$N$1004,0)),""))</f>
        <v/>
      </c>
      <c r="J124" s="157" t="str">
        <f t="shared" si="1"/>
        <v/>
      </c>
      <c r="K124" s="153" t="str">
        <f t="array" ref="K124">IF($A124="","",IFERROR(INDEX(Sales!$M:$M,MATCH($A124,Sales!$E:$E,0)),""))</f>
        <v/>
      </c>
      <c r="L124" s="158" t="str">
        <f t="shared" si="2"/>
        <v/>
      </c>
      <c r="N124" s="49" t="str">
        <f t="array" ref="N124">IFERROR(INDEX(Sales!$E$7:$E$1506,MATCH(ROW()-4,Sales!$V$7:$V$1506,0)),"")</f>
        <v/>
      </c>
      <c r="O124" s="67"/>
      <c r="P124" s="67"/>
    </row>
    <row r="125" ht="14.25" customHeight="1">
      <c r="A125" s="151" t="str">
        <f t="array" ref="A125">IFERROR(INDEX(Sales!$E$7:$E$1506,MATCH(ROW()-4,Sales!$W$7:$W$1506,0)),"")</f>
        <v/>
      </c>
      <c r="B125" s="152" t="str">
        <f t="array" ref="B125">IF($A125="","",IFERROR(INDEX(Sales!$A:$A,MATCH($A125,Sales!$E:$E,0)),""))</f>
        <v/>
      </c>
      <c r="C125" s="153" t="str">
        <f t="array" ref="C125">IF($A125="","",IFERROR(INDEX(Sales!$D:$D,MATCH($A125,Sales!$E:$E,0)),""))</f>
        <v/>
      </c>
      <c r="D125" s="153" t="str">
        <f t="array" ref="D125">IF($A125="","",IFERROR(INDEX(Sales!$C:$C,MATCH($A125,Sales!$E:$E,0)),""))</f>
        <v/>
      </c>
      <c r="E125" s="154" t="str">
        <f>IF($A125="","",SUMIFS(Sales!$H:$H,Sales!$E:$E,$A125,Sales!$B:$B,"&lt;&gt;Return"))</f>
        <v/>
      </c>
      <c r="F125" s="155" t="str">
        <f>IF($A125="","",SUMIF(Sales!$E:$E,$A125,Sales!$L:$L))</f>
        <v/>
      </c>
      <c r="G125" s="155" t="str">
        <f>IF($A125="","",SUMIF(Sales!$E:$E,$A125,Sales!$P:$P))</f>
        <v/>
      </c>
      <c r="H125" s="156" t="str">
        <f t="array" ref="H125">IF($A125="","",IFERROR(INDEX(Orders!$O$5:$O$1004,MATCH($A125,Orders!$N$5:$N$1004,0)),""))</f>
        <v/>
      </c>
      <c r="I125" s="156" t="str">
        <f t="array" ref="I125">IF($A125="","",IFERROR(INDEX(Orders!$P$5:$P$1004,MATCH($A125,Orders!$N$5:$N$1004,0)),""))</f>
        <v/>
      </c>
      <c r="J125" s="157" t="str">
        <f t="shared" si="1"/>
        <v/>
      </c>
      <c r="K125" s="153" t="str">
        <f t="array" ref="K125">IF($A125="","",IFERROR(INDEX(Sales!$M:$M,MATCH($A125,Sales!$E:$E,0)),""))</f>
        <v/>
      </c>
      <c r="L125" s="158" t="str">
        <f t="shared" si="2"/>
        <v/>
      </c>
      <c r="N125" s="49" t="str">
        <f t="array" ref="N125">IFERROR(INDEX(Sales!$E$7:$E$1506,MATCH(ROW()-4,Sales!$V$7:$V$1506,0)),"")</f>
        <v/>
      </c>
      <c r="O125" s="67"/>
      <c r="P125" s="67"/>
    </row>
    <row r="126" ht="14.25" customHeight="1">
      <c r="A126" s="151" t="str">
        <f t="array" ref="A126">IFERROR(INDEX(Sales!$E$7:$E$1506,MATCH(ROW()-4,Sales!$W$7:$W$1506,0)),"")</f>
        <v/>
      </c>
      <c r="B126" s="152" t="str">
        <f t="array" ref="B126">IF($A126="","",IFERROR(INDEX(Sales!$A:$A,MATCH($A126,Sales!$E:$E,0)),""))</f>
        <v/>
      </c>
      <c r="C126" s="153" t="str">
        <f t="array" ref="C126">IF($A126="","",IFERROR(INDEX(Sales!$D:$D,MATCH($A126,Sales!$E:$E,0)),""))</f>
        <v/>
      </c>
      <c r="D126" s="153" t="str">
        <f t="array" ref="D126">IF($A126="","",IFERROR(INDEX(Sales!$C:$C,MATCH($A126,Sales!$E:$E,0)),""))</f>
        <v/>
      </c>
      <c r="E126" s="154" t="str">
        <f>IF($A126="","",SUMIFS(Sales!$H:$H,Sales!$E:$E,$A126,Sales!$B:$B,"&lt;&gt;Return"))</f>
        <v/>
      </c>
      <c r="F126" s="155" t="str">
        <f>IF($A126="","",SUMIF(Sales!$E:$E,$A126,Sales!$L:$L))</f>
        <v/>
      </c>
      <c r="G126" s="155" t="str">
        <f>IF($A126="","",SUMIF(Sales!$E:$E,$A126,Sales!$P:$P))</f>
        <v/>
      </c>
      <c r="H126" s="156" t="str">
        <f t="array" ref="H126">IF($A126="","",IFERROR(INDEX(Orders!$O$5:$O$1004,MATCH($A126,Orders!$N$5:$N$1004,0)),""))</f>
        <v/>
      </c>
      <c r="I126" s="156" t="str">
        <f t="array" ref="I126">IF($A126="","",IFERROR(INDEX(Orders!$P$5:$P$1004,MATCH($A126,Orders!$N$5:$N$1004,0)),""))</f>
        <v/>
      </c>
      <c r="J126" s="157" t="str">
        <f t="shared" si="1"/>
        <v/>
      </c>
      <c r="K126" s="153" t="str">
        <f t="array" ref="K126">IF($A126="","",IFERROR(INDEX(Sales!$M:$M,MATCH($A126,Sales!$E:$E,0)),""))</f>
        <v/>
      </c>
      <c r="L126" s="158" t="str">
        <f t="shared" si="2"/>
        <v/>
      </c>
      <c r="N126" s="49" t="str">
        <f t="array" ref="N126">IFERROR(INDEX(Sales!$E$7:$E$1506,MATCH(ROW()-4,Sales!$V$7:$V$1506,0)),"")</f>
        <v/>
      </c>
      <c r="O126" s="67"/>
      <c r="P126" s="67"/>
    </row>
    <row r="127" ht="14.25" customHeight="1">
      <c r="A127" s="151" t="str">
        <f t="array" ref="A127">IFERROR(INDEX(Sales!$E$7:$E$1506,MATCH(ROW()-4,Sales!$W$7:$W$1506,0)),"")</f>
        <v/>
      </c>
      <c r="B127" s="152" t="str">
        <f t="array" ref="B127">IF($A127="","",IFERROR(INDEX(Sales!$A:$A,MATCH($A127,Sales!$E:$E,0)),""))</f>
        <v/>
      </c>
      <c r="C127" s="153" t="str">
        <f t="array" ref="C127">IF($A127="","",IFERROR(INDEX(Sales!$D:$D,MATCH($A127,Sales!$E:$E,0)),""))</f>
        <v/>
      </c>
      <c r="D127" s="153" t="str">
        <f t="array" ref="D127">IF($A127="","",IFERROR(INDEX(Sales!$C:$C,MATCH($A127,Sales!$E:$E,0)),""))</f>
        <v/>
      </c>
      <c r="E127" s="154" t="str">
        <f>IF($A127="","",SUMIFS(Sales!$H:$H,Sales!$E:$E,$A127,Sales!$B:$B,"&lt;&gt;Return"))</f>
        <v/>
      </c>
      <c r="F127" s="155" t="str">
        <f>IF($A127="","",SUMIF(Sales!$E:$E,$A127,Sales!$L:$L))</f>
        <v/>
      </c>
      <c r="G127" s="155" t="str">
        <f>IF($A127="","",SUMIF(Sales!$E:$E,$A127,Sales!$P:$P))</f>
        <v/>
      </c>
      <c r="H127" s="156" t="str">
        <f t="array" ref="H127">IF($A127="","",IFERROR(INDEX(Orders!$O$5:$O$1004,MATCH($A127,Orders!$N$5:$N$1004,0)),""))</f>
        <v/>
      </c>
      <c r="I127" s="156" t="str">
        <f t="array" ref="I127">IF($A127="","",IFERROR(INDEX(Orders!$P$5:$P$1004,MATCH($A127,Orders!$N$5:$N$1004,0)),""))</f>
        <v/>
      </c>
      <c r="J127" s="157" t="str">
        <f t="shared" si="1"/>
        <v/>
      </c>
      <c r="K127" s="153" t="str">
        <f t="array" ref="K127">IF($A127="","",IFERROR(INDEX(Sales!$M:$M,MATCH($A127,Sales!$E:$E,0)),""))</f>
        <v/>
      </c>
      <c r="L127" s="158" t="str">
        <f t="shared" si="2"/>
        <v/>
      </c>
      <c r="N127" s="49" t="str">
        <f t="array" ref="N127">IFERROR(INDEX(Sales!$E$7:$E$1506,MATCH(ROW()-4,Sales!$V$7:$V$1506,0)),"")</f>
        <v/>
      </c>
      <c r="O127" s="67"/>
      <c r="P127" s="67"/>
    </row>
    <row r="128" ht="14.25" customHeight="1">
      <c r="A128" s="151" t="str">
        <f t="array" ref="A128">IFERROR(INDEX(Sales!$E$7:$E$1506,MATCH(ROW()-4,Sales!$W$7:$W$1506,0)),"")</f>
        <v/>
      </c>
      <c r="B128" s="152" t="str">
        <f t="array" ref="B128">IF($A128="","",IFERROR(INDEX(Sales!$A:$A,MATCH($A128,Sales!$E:$E,0)),""))</f>
        <v/>
      </c>
      <c r="C128" s="153" t="str">
        <f t="array" ref="C128">IF($A128="","",IFERROR(INDEX(Sales!$D:$D,MATCH($A128,Sales!$E:$E,0)),""))</f>
        <v/>
      </c>
      <c r="D128" s="153" t="str">
        <f t="array" ref="D128">IF($A128="","",IFERROR(INDEX(Sales!$C:$C,MATCH($A128,Sales!$E:$E,0)),""))</f>
        <v/>
      </c>
      <c r="E128" s="154" t="str">
        <f>IF($A128="","",SUMIFS(Sales!$H:$H,Sales!$E:$E,$A128,Sales!$B:$B,"&lt;&gt;Return"))</f>
        <v/>
      </c>
      <c r="F128" s="155" t="str">
        <f>IF($A128="","",SUMIF(Sales!$E:$E,$A128,Sales!$L:$L))</f>
        <v/>
      </c>
      <c r="G128" s="155" t="str">
        <f>IF($A128="","",SUMIF(Sales!$E:$E,$A128,Sales!$P:$P))</f>
        <v/>
      </c>
      <c r="H128" s="156" t="str">
        <f t="array" ref="H128">IF($A128="","",IFERROR(INDEX(Orders!$O$5:$O$1004,MATCH($A128,Orders!$N$5:$N$1004,0)),""))</f>
        <v/>
      </c>
      <c r="I128" s="156" t="str">
        <f t="array" ref="I128">IF($A128="","",IFERROR(INDEX(Orders!$P$5:$P$1004,MATCH($A128,Orders!$N$5:$N$1004,0)),""))</f>
        <v/>
      </c>
      <c r="J128" s="157" t="str">
        <f t="shared" si="1"/>
        <v/>
      </c>
      <c r="K128" s="153" t="str">
        <f t="array" ref="K128">IF($A128="","",IFERROR(INDEX(Sales!$M:$M,MATCH($A128,Sales!$E:$E,0)),""))</f>
        <v/>
      </c>
      <c r="L128" s="158" t="str">
        <f t="shared" si="2"/>
        <v/>
      </c>
      <c r="N128" s="49" t="str">
        <f t="array" ref="N128">IFERROR(INDEX(Sales!$E$7:$E$1506,MATCH(ROW()-4,Sales!$V$7:$V$1506,0)),"")</f>
        <v/>
      </c>
      <c r="O128" s="67"/>
      <c r="P128" s="67"/>
    </row>
    <row r="129" ht="14.25" customHeight="1">
      <c r="A129" s="151" t="str">
        <f t="array" ref="A129">IFERROR(INDEX(Sales!$E$7:$E$1506,MATCH(ROW()-4,Sales!$W$7:$W$1506,0)),"")</f>
        <v/>
      </c>
      <c r="B129" s="152" t="str">
        <f t="array" ref="B129">IF($A129="","",IFERROR(INDEX(Sales!$A:$A,MATCH($A129,Sales!$E:$E,0)),""))</f>
        <v/>
      </c>
      <c r="C129" s="153" t="str">
        <f t="array" ref="C129">IF($A129="","",IFERROR(INDEX(Sales!$D:$D,MATCH($A129,Sales!$E:$E,0)),""))</f>
        <v/>
      </c>
      <c r="D129" s="153" t="str">
        <f t="array" ref="D129">IF($A129="","",IFERROR(INDEX(Sales!$C:$C,MATCH($A129,Sales!$E:$E,0)),""))</f>
        <v/>
      </c>
      <c r="E129" s="154" t="str">
        <f>IF($A129="","",SUMIFS(Sales!$H:$H,Sales!$E:$E,$A129,Sales!$B:$B,"&lt;&gt;Return"))</f>
        <v/>
      </c>
      <c r="F129" s="155" t="str">
        <f>IF($A129="","",SUMIF(Sales!$E:$E,$A129,Sales!$L:$L))</f>
        <v/>
      </c>
      <c r="G129" s="155" t="str">
        <f>IF($A129="","",SUMIF(Sales!$E:$E,$A129,Sales!$P:$P))</f>
        <v/>
      </c>
      <c r="H129" s="156" t="str">
        <f t="array" ref="H129">IF($A129="","",IFERROR(INDEX(Orders!$O$5:$O$1004,MATCH($A129,Orders!$N$5:$N$1004,0)),""))</f>
        <v/>
      </c>
      <c r="I129" s="156" t="str">
        <f t="array" ref="I129">IF($A129="","",IFERROR(INDEX(Orders!$P$5:$P$1004,MATCH($A129,Orders!$N$5:$N$1004,0)),""))</f>
        <v/>
      </c>
      <c r="J129" s="157" t="str">
        <f t="shared" si="1"/>
        <v/>
      </c>
      <c r="K129" s="153" t="str">
        <f t="array" ref="K129">IF($A129="","",IFERROR(INDEX(Sales!$M:$M,MATCH($A129,Sales!$E:$E,0)),""))</f>
        <v/>
      </c>
      <c r="L129" s="158" t="str">
        <f t="shared" si="2"/>
        <v/>
      </c>
      <c r="N129" s="49" t="str">
        <f t="array" ref="N129">IFERROR(INDEX(Sales!$E$7:$E$1506,MATCH(ROW()-4,Sales!$V$7:$V$1506,0)),"")</f>
        <v/>
      </c>
      <c r="O129" s="67"/>
      <c r="P129" s="67"/>
    </row>
    <row r="130" ht="14.25" customHeight="1">
      <c r="A130" s="151" t="str">
        <f t="array" ref="A130">IFERROR(INDEX(Sales!$E$7:$E$1506,MATCH(ROW()-4,Sales!$W$7:$W$1506,0)),"")</f>
        <v/>
      </c>
      <c r="B130" s="152" t="str">
        <f t="array" ref="B130">IF($A130="","",IFERROR(INDEX(Sales!$A:$A,MATCH($A130,Sales!$E:$E,0)),""))</f>
        <v/>
      </c>
      <c r="C130" s="153" t="str">
        <f t="array" ref="C130">IF($A130="","",IFERROR(INDEX(Sales!$D:$D,MATCH($A130,Sales!$E:$E,0)),""))</f>
        <v/>
      </c>
      <c r="D130" s="153" t="str">
        <f t="array" ref="D130">IF($A130="","",IFERROR(INDEX(Sales!$C:$C,MATCH($A130,Sales!$E:$E,0)),""))</f>
        <v/>
      </c>
      <c r="E130" s="154" t="str">
        <f>IF($A130="","",SUMIFS(Sales!$H:$H,Sales!$E:$E,$A130,Sales!$B:$B,"&lt;&gt;Return"))</f>
        <v/>
      </c>
      <c r="F130" s="155" t="str">
        <f>IF($A130="","",SUMIF(Sales!$E:$E,$A130,Sales!$L:$L))</f>
        <v/>
      </c>
      <c r="G130" s="155" t="str">
        <f>IF($A130="","",SUMIF(Sales!$E:$E,$A130,Sales!$P:$P))</f>
        <v/>
      </c>
      <c r="H130" s="156" t="str">
        <f t="array" ref="H130">IF($A130="","",IFERROR(INDEX(Orders!$O$5:$O$1004,MATCH($A130,Orders!$N$5:$N$1004,0)),""))</f>
        <v/>
      </c>
      <c r="I130" s="156" t="str">
        <f t="array" ref="I130">IF($A130="","",IFERROR(INDEX(Orders!$P$5:$P$1004,MATCH($A130,Orders!$N$5:$N$1004,0)),""))</f>
        <v/>
      </c>
      <c r="J130" s="157" t="str">
        <f t="shared" si="1"/>
        <v/>
      </c>
      <c r="K130" s="153" t="str">
        <f t="array" ref="K130">IF($A130="","",IFERROR(INDEX(Sales!$M:$M,MATCH($A130,Sales!$E:$E,0)),""))</f>
        <v/>
      </c>
      <c r="L130" s="158" t="str">
        <f t="shared" si="2"/>
        <v/>
      </c>
      <c r="N130" s="49" t="str">
        <f t="array" ref="N130">IFERROR(INDEX(Sales!$E$7:$E$1506,MATCH(ROW()-4,Sales!$V$7:$V$1506,0)),"")</f>
        <v/>
      </c>
      <c r="O130" s="67"/>
      <c r="P130" s="67"/>
    </row>
    <row r="131" ht="14.25" customHeight="1">
      <c r="A131" s="151" t="str">
        <f t="array" ref="A131">IFERROR(INDEX(Sales!$E$7:$E$1506,MATCH(ROW()-4,Sales!$W$7:$W$1506,0)),"")</f>
        <v/>
      </c>
      <c r="B131" s="152" t="str">
        <f t="array" ref="B131">IF($A131="","",IFERROR(INDEX(Sales!$A:$A,MATCH($A131,Sales!$E:$E,0)),""))</f>
        <v/>
      </c>
      <c r="C131" s="153" t="str">
        <f t="array" ref="C131">IF($A131="","",IFERROR(INDEX(Sales!$D:$D,MATCH($A131,Sales!$E:$E,0)),""))</f>
        <v/>
      </c>
      <c r="D131" s="153" t="str">
        <f t="array" ref="D131">IF($A131="","",IFERROR(INDEX(Sales!$C:$C,MATCH($A131,Sales!$E:$E,0)),""))</f>
        <v/>
      </c>
      <c r="E131" s="154" t="str">
        <f>IF($A131="","",SUMIFS(Sales!$H:$H,Sales!$E:$E,$A131,Sales!$B:$B,"&lt;&gt;Return"))</f>
        <v/>
      </c>
      <c r="F131" s="155" t="str">
        <f>IF($A131="","",SUMIF(Sales!$E:$E,$A131,Sales!$L:$L))</f>
        <v/>
      </c>
      <c r="G131" s="155" t="str">
        <f>IF($A131="","",SUMIF(Sales!$E:$E,$A131,Sales!$P:$P))</f>
        <v/>
      </c>
      <c r="H131" s="156" t="str">
        <f t="array" ref="H131">IF($A131="","",IFERROR(INDEX(Orders!$O$5:$O$1004,MATCH($A131,Orders!$N$5:$N$1004,0)),""))</f>
        <v/>
      </c>
      <c r="I131" s="156" t="str">
        <f t="array" ref="I131">IF($A131="","",IFERROR(INDEX(Orders!$P$5:$P$1004,MATCH($A131,Orders!$N$5:$N$1004,0)),""))</f>
        <v/>
      </c>
      <c r="J131" s="157" t="str">
        <f t="shared" si="1"/>
        <v/>
      </c>
      <c r="K131" s="153" t="str">
        <f t="array" ref="K131">IF($A131="","",IFERROR(INDEX(Sales!$M:$M,MATCH($A131,Sales!$E:$E,0)),""))</f>
        <v/>
      </c>
      <c r="L131" s="158" t="str">
        <f t="shared" si="2"/>
        <v/>
      </c>
      <c r="N131" s="49" t="str">
        <f t="array" ref="N131">IFERROR(INDEX(Sales!$E$7:$E$1506,MATCH(ROW()-4,Sales!$V$7:$V$1506,0)),"")</f>
        <v/>
      </c>
      <c r="O131" s="67"/>
      <c r="P131" s="67"/>
    </row>
    <row r="132" ht="14.25" customHeight="1">
      <c r="A132" s="151" t="str">
        <f t="array" ref="A132">IFERROR(INDEX(Sales!$E$7:$E$1506,MATCH(ROW()-4,Sales!$W$7:$W$1506,0)),"")</f>
        <v/>
      </c>
      <c r="B132" s="152" t="str">
        <f t="array" ref="B132">IF($A132="","",IFERROR(INDEX(Sales!$A:$A,MATCH($A132,Sales!$E:$E,0)),""))</f>
        <v/>
      </c>
      <c r="C132" s="153" t="str">
        <f t="array" ref="C132">IF($A132="","",IFERROR(INDEX(Sales!$D:$D,MATCH($A132,Sales!$E:$E,0)),""))</f>
        <v/>
      </c>
      <c r="D132" s="153" t="str">
        <f t="array" ref="D132">IF($A132="","",IFERROR(INDEX(Sales!$C:$C,MATCH($A132,Sales!$E:$E,0)),""))</f>
        <v/>
      </c>
      <c r="E132" s="154" t="str">
        <f>IF($A132="","",SUMIFS(Sales!$H:$H,Sales!$E:$E,$A132,Sales!$B:$B,"&lt;&gt;Return"))</f>
        <v/>
      </c>
      <c r="F132" s="155" t="str">
        <f>IF($A132="","",SUMIF(Sales!$E:$E,$A132,Sales!$L:$L))</f>
        <v/>
      </c>
      <c r="G132" s="155" t="str">
        <f>IF($A132="","",SUMIF(Sales!$E:$E,$A132,Sales!$P:$P))</f>
        <v/>
      </c>
      <c r="H132" s="156" t="str">
        <f t="array" ref="H132">IF($A132="","",IFERROR(INDEX(Orders!$O$5:$O$1004,MATCH($A132,Orders!$N$5:$N$1004,0)),""))</f>
        <v/>
      </c>
      <c r="I132" s="156" t="str">
        <f t="array" ref="I132">IF($A132="","",IFERROR(INDEX(Orders!$P$5:$P$1004,MATCH($A132,Orders!$N$5:$N$1004,0)),""))</f>
        <v/>
      </c>
      <c r="J132" s="157" t="str">
        <f t="shared" si="1"/>
        <v/>
      </c>
      <c r="K132" s="153" t="str">
        <f t="array" ref="K132">IF($A132="","",IFERROR(INDEX(Sales!$M:$M,MATCH($A132,Sales!$E:$E,0)),""))</f>
        <v/>
      </c>
      <c r="L132" s="158" t="str">
        <f t="shared" si="2"/>
        <v/>
      </c>
      <c r="N132" s="49" t="str">
        <f t="array" ref="N132">IFERROR(INDEX(Sales!$E$7:$E$1506,MATCH(ROW()-4,Sales!$V$7:$V$1506,0)),"")</f>
        <v/>
      </c>
      <c r="O132" s="67"/>
      <c r="P132" s="67"/>
    </row>
    <row r="133" ht="14.25" customHeight="1">
      <c r="A133" s="151" t="str">
        <f t="array" ref="A133">IFERROR(INDEX(Sales!$E$7:$E$1506,MATCH(ROW()-4,Sales!$W$7:$W$1506,0)),"")</f>
        <v/>
      </c>
      <c r="B133" s="152" t="str">
        <f t="array" ref="B133">IF($A133="","",IFERROR(INDEX(Sales!$A:$A,MATCH($A133,Sales!$E:$E,0)),""))</f>
        <v/>
      </c>
      <c r="C133" s="153" t="str">
        <f t="array" ref="C133">IF($A133="","",IFERROR(INDEX(Sales!$D:$D,MATCH($A133,Sales!$E:$E,0)),""))</f>
        <v/>
      </c>
      <c r="D133" s="153" t="str">
        <f t="array" ref="D133">IF($A133="","",IFERROR(INDEX(Sales!$C:$C,MATCH($A133,Sales!$E:$E,0)),""))</f>
        <v/>
      </c>
      <c r="E133" s="154" t="str">
        <f>IF($A133="","",SUMIFS(Sales!$H:$H,Sales!$E:$E,$A133,Sales!$B:$B,"&lt;&gt;Return"))</f>
        <v/>
      </c>
      <c r="F133" s="155" t="str">
        <f>IF($A133="","",SUMIF(Sales!$E:$E,$A133,Sales!$L:$L))</f>
        <v/>
      </c>
      <c r="G133" s="155" t="str">
        <f>IF($A133="","",SUMIF(Sales!$E:$E,$A133,Sales!$P:$P))</f>
        <v/>
      </c>
      <c r="H133" s="156" t="str">
        <f t="array" ref="H133">IF($A133="","",IFERROR(INDEX(Orders!$O$5:$O$1004,MATCH($A133,Orders!$N$5:$N$1004,0)),""))</f>
        <v/>
      </c>
      <c r="I133" s="156" t="str">
        <f t="array" ref="I133">IF($A133="","",IFERROR(INDEX(Orders!$P$5:$P$1004,MATCH($A133,Orders!$N$5:$N$1004,0)),""))</f>
        <v/>
      </c>
      <c r="J133" s="157" t="str">
        <f t="shared" si="1"/>
        <v/>
      </c>
      <c r="K133" s="153" t="str">
        <f t="array" ref="K133">IF($A133="","",IFERROR(INDEX(Sales!$M:$M,MATCH($A133,Sales!$E:$E,0)),""))</f>
        <v/>
      </c>
      <c r="L133" s="158" t="str">
        <f t="shared" si="2"/>
        <v/>
      </c>
      <c r="N133" s="49" t="str">
        <f t="array" ref="N133">IFERROR(INDEX(Sales!$E$7:$E$1506,MATCH(ROW()-4,Sales!$V$7:$V$1506,0)),"")</f>
        <v/>
      </c>
      <c r="O133" s="67"/>
      <c r="P133" s="67"/>
    </row>
    <row r="134" ht="14.25" customHeight="1">
      <c r="A134" s="151" t="str">
        <f t="array" ref="A134">IFERROR(INDEX(Sales!$E$7:$E$1506,MATCH(ROW()-4,Sales!$W$7:$W$1506,0)),"")</f>
        <v/>
      </c>
      <c r="B134" s="152" t="str">
        <f t="array" ref="B134">IF($A134="","",IFERROR(INDEX(Sales!$A:$A,MATCH($A134,Sales!$E:$E,0)),""))</f>
        <v/>
      </c>
      <c r="C134" s="153" t="str">
        <f t="array" ref="C134">IF($A134="","",IFERROR(INDEX(Sales!$D:$D,MATCH($A134,Sales!$E:$E,0)),""))</f>
        <v/>
      </c>
      <c r="D134" s="153" t="str">
        <f t="array" ref="D134">IF($A134="","",IFERROR(INDEX(Sales!$C:$C,MATCH($A134,Sales!$E:$E,0)),""))</f>
        <v/>
      </c>
      <c r="E134" s="154" t="str">
        <f>IF($A134="","",SUMIFS(Sales!$H:$H,Sales!$E:$E,$A134,Sales!$B:$B,"&lt;&gt;Return"))</f>
        <v/>
      </c>
      <c r="F134" s="155" t="str">
        <f>IF($A134="","",SUMIF(Sales!$E:$E,$A134,Sales!$L:$L))</f>
        <v/>
      </c>
      <c r="G134" s="155" t="str">
        <f>IF($A134="","",SUMIF(Sales!$E:$E,$A134,Sales!$P:$P))</f>
        <v/>
      </c>
      <c r="H134" s="156" t="str">
        <f t="array" ref="H134">IF($A134="","",IFERROR(INDEX(Orders!$O$5:$O$1004,MATCH($A134,Orders!$N$5:$N$1004,0)),""))</f>
        <v/>
      </c>
      <c r="I134" s="156" t="str">
        <f t="array" ref="I134">IF($A134="","",IFERROR(INDEX(Orders!$P$5:$P$1004,MATCH($A134,Orders!$N$5:$N$1004,0)),""))</f>
        <v/>
      </c>
      <c r="J134" s="157" t="str">
        <f t="shared" si="1"/>
        <v/>
      </c>
      <c r="K134" s="153" t="str">
        <f t="array" ref="K134">IF($A134="","",IFERROR(INDEX(Sales!$M:$M,MATCH($A134,Sales!$E:$E,0)),""))</f>
        <v/>
      </c>
      <c r="L134" s="158" t="str">
        <f t="shared" si="2"/>
        <v/>
      </c>
      <c r="N134" s="49" t="str">
        <f t="array" ref="N134">IFERROR(INDEX(Sales!$E$7:$E$1506,MATCH(ROW()-4,Sales!$V$7:$V$1506,0)),"")</f>
        <v/>
      </c>
      <c r="O134" s="67"/>
      <c r="P134" s="67"/>
    </row>
    <row r="135" ht="14.25" customHeight="1">
      <c r="A135" s="151" t="str">
        <f t="array" ref="A135">IFERROR(INDEX(Sales!$E$7:$E$1506,MATCH(ROW()-4,Sales!$W$7:$W$1506,0)),"")</f>
        <v/>
      </c>
      <c r="B135" s="152" t="str">
        <f t="array" ref="B135">IF($A135="","",IFERROR(INDEX(Sales!$A:$A,MATCH($A135,Sales!$E:$E,0)),""))</f>
        <v/>
      </c>
      <c r="C135" s="153" t="str">
        <f t="array" ref="C135">IF($A135="","",IFERROR(INDEX(Sales!$D:$D,MATCH($A135,Sales!$E:$E,0)),""))</f>
        <v/>
      </c>
      <c r="D135" s="153" t="str">
        <f t="array" ref="D135">IF($A135="","",IFERROR(INDEX(Sales!$C:$C,MATCH($A135,Sales!$E:$E,0)),""))</f>
        <v/>
      </c>
      <c r="E135" s="154" t="str">
        <f>IF($A135="","",SUMIFS(Sales!$H:$H,Sales!$E:$E,$A135,Sales!$B:$B,"&lt;&gt;Return"))</f>
        <v/>
      </c>
      <c r="F135" s="155" t="str">
        <f>IF($A135="","",SUMIF(Sales!$E:$E,$A135,Sales!$L:$L))</f>
        <v/>
      </c>
      <c r="G135" s="155" t="str">
        <f>IF($A135="","",SUMIF(Sales!$E:$E,$A135,Sales!$P:$P))</f>
        <v/>
      </c>
      <c r="H135" s="156" t="str">
        <f t="array" ref="H135">IF($A135="","",IFERROR(INDEX(Orders!$O$5:$O$1004,MATCH($A135,Orders!$N$5:$N$1004,0)),""))</f>
        <v/>
      </c>
      <c r="I135" s="156" t="str">
        <f t="array" ref="I135">IF($A135="","",IFERROR(INDEX(Orders!$P$5:$P$1004,MATCH($A135,Orders!$N$5:$N$1004,0)),""))</f>
        <v/>
      </c>
      <c r="J135" s="157" t="str">
        <f t="shared" si="1"/>
        <v/>
      </c>
      <c r="K135" s="153" t="str">
        <f t="array" ref="K135">IF($A135="","",IFERROR(INDEX(Sales!$M:$M,MATCH($A135,Sales!$E:$E,0)),""))</f>
        <v/>
      </c>
      <c r="L135" s="158" t="str">
        <f t="shared" si="2"/>
        <v/>
      </c>
      <c r="N135" s="49" t="str">
        <f t="array" ref="N135">IFERROR(INDEX(Sales!$E$7:$E$1506,MATCH(ROW()-4,Sales!$V$7:$V$1506,0)),"")</f>
        <v/>
      </c>
      <c r="O135" s="67"/>
      <c r="P135" s="67"/>
    </row>
    <row r="136" ht="14.25" customHeight="1">
      <c r="A136" s="151" t="str">
        <f t="array" ref="A136">IFERROR(INDEX(Sales!$E$7:$E$1506,MATCH(ROW()-4,Sales!$W$7:$W$1506,0)),"")</f>
        <v/>
      </c>
      <c r="B136" s="152" t="str">
        <f t="array" ref="B136">IF($A136="","",IFERROR(INDEX(Sales!$A:$A,MATCH($A136,Sales!$E:$E,0)),""))</f>
        <v/>
      </c>
      <c r="C136" s="153" t="str">
        <f t="array" ref="C136">IF($A136="","",IFERROR(INDEX(Sales!$D:$D,MATCH($A136,Sales!$E:$E,0)),""))</f>
        <v/>
      </c>
      <c r="D136" s="153" t="str">
        <f t="array" ref="D136">IF($A136="","",IFERROR(INDEX(Sales!$C:$C,MATCH($A136,Sales!$E:$E,0)),""))</f>
        <v/>
      </c>
      <c r="E136" s="154" t="str">
        <f>IF($A136="","",SUMIFS(Sales!$H:$H,Sales!$E:$E,$A136,Sales!$B:$B,"&lt;&gt;Return"))</f>
        <v/>
      </c>
      <c r="F136" s="155" t="str">
        <f>IF($A136="","",SUMIF(Sales!$E:$E,$A136,Sales!$L:$L))</f>
        <v/>
      </c>
      <c r="G136" s="155" t="str">
        <f>IF($A136="","",SUMIF(Sales!$E:$E,$A136,Sales!$P:$P))</f>
        <v/>
      </c>
      <c r="H136" s="156" t="str">
        <f t="array" ref="H136">IF($A136="","",IFERROR(INDEX(Orders!$O$5:$O$1004,MATCH($A136,Orders!$N$5:$N$1004,0)),""))</f>
        <v/>
      </c>
      <c r="I136" s="156" t="str">
        <f t="array" ref="I136">IF($A136="","",IFERROR(INDEX(Orders!$P$5:$P$1004,MATCH($A136,Orders!$N$5:$N$1004,0)),""))</f>
        <v/>
      </c>
      <c r="J136" s="157" t="str">
        <f t="shared" si="1"/>
        <v/>
      </c>
      <c r="K136" s="153" t="str">
        <f t="array" ref="K136">IF($A136="","",IFERROR(INDEX(Sales!$M:$M,MATCH($A136,Sales!$E:$E,0)),""))</f>
        <v/>
      </c>
      <c r="L136" s="158" t="str">
        <f t="shared" si="2"/>
        <v/>
      </c>
      <c r="N136" s="49" t="str">
        <f t="array" ref="N136">IFERROR(INDEX(Sales!$E$7:$E$1506,MATCH(ROW()-4,Sales!$V$7:$V$1506,0)),"")</f>
        <v/>
      </c>
      <c r="O136" s="67"/>
      <c r="P136" s="67"/>
    </row>
    <row r="137" ht="14.25" customHeight="1">
      <c r="A137" s="151" t="str">
        <f t="array" ref="A137">IFERROR(INDEX(Sales!$E$7:$E$1506,MATCH(ROW()-4,Sales!$W$7:$W$1506,0)),"")</f>
        <v/>
      </c>
      <c r="B137" s="152" t="str">
        <f t="array" ref="B137">IF($A137="","",IFERROR(INDEX(Sales!$A:$A,MATCH($A137,Sales!$E:$E,0)),""))</f>
        <v/>
      </c>
      <c r="C137" s="153" t="str">
        <f t="array" ref="C137">IF($A137="","",IFERROR(INDEX(Sales!$D:$D,MATCH($A137,Sales!$E:$E,0)),""))</f>
        <v/>
      </c>
      <c r="D137" s="153" t="str">
        <f t="array" ref="D137">IF($A137="","",IFERROR(INDEX(Sales!$C:$C,MATCH($A137,Sales!$E:$E,0)),""))</f>
        <v/>
      </c>
      <c r="E137" s="154" t="str">
        <f>IF($A137="","",SUMIFS(Sales!$H:$H,Sales!$E:$E,$A137,Sales!$B:$B,"&lt;&gt;Return"))</f>
        <v/>
      </c>
      <c r="F137" s="155" t="str">
        <f>IF($A137="","",SUMIF(Sales!$E:$E,$A137,Sales!$L:$L))</f>
        <v/>
      </c>
      <c r="G137" s="155" t="str">
        <f>IF($A137="","",SUMIF(Sales!$E:$E,$A137,Sales!$P:$P))</f>
        <v/>
      </c>
      <c r="H137" s="156" t="str">
        <f t="array" ref="H137">IF($A137="","",IFERROR(INDEX(Orders!$O$5:$O$1004,MATCH($A137,Orders!$N$5:$N$1004,0)),""))</f>
        <v/>
      </c>
      <c r="I137" s="156" t="str">
        <f t="array" ref="I137">IF($A137="","",IFERROR(INDEX(Orders!$P$5:$P$1004,MATCH($A137,Orders!$N$5:$N$1004,0)),""))</f>
        <v/>
      </c>
      <c r="J137" s="157" t="str">
        <f t="shared" si="1"/>
        <v/>
      </c>
      <c r="K137" s="153" t="str">
        <f t="array" ref="K137">IF($A137="","",IFERROR(INDEX(Sales!$M:$M,MATCH($A137,Sales!$E:$E,0)),""))</f>
        <v/>
      </c>
      <c r="L137" s="158" t="str">
        <f t="shared" si="2"/>
        <v/>
      </c>
      <c r="N137" s="49" t="str">
        <f t="array" ref="N137">IFERROR(INDEX(Sales!$E$7:$E$1506,MATCH(ROW()-4,Sales!$V$7:$V$1506,0)),"")</f>
        <v/>
      </c>
      <c r="O137" s="67"/>
      <c r="P137" s="67"/>
    </row>
    <row r="138" ht="14.25" customHeight="1">
      <c r="A138" s="151" t="str">
        <f t="array" ref="A138">IFERROR(INDEX(Sales!$E$7:$E$1506,MATCH(ROW()-4,Sales!$W$7:$W$1506,0)),"")</f>
        <v/>
      </c>
      <c r="B138" s="152" t="str">
        <f t="array" ref="B138">IF($A138="","",IFERROR(INDEX(Sales!$A:$A,MATCH($A138,Sales!$E:$E,0)),""))</f>
        <v/>
      </c>
      <c r="C138" s="153" t="str">
        <f t="array" ref="C138">IF($A138="","",IFERROR(INDEX(Sales!$D:$D,MATCH($A138,Sales!$E:$E,0)),""))</f>
        <v/>
      </c>
      <c r="D138" s="153" t="str">
        <f t="array" ref="D138">IF($A138="","",IFERROR(INDEX(Sales!$C:$C,MATCH($A138,Sales!$E:$E,0)),""))</f>
        <v/>
      </c>
      <c r="E138" s="154" t="str">
        <f>IF($A138="","",SUMIFS(Sales!$H:$H,Sales!$E:$E,$A138,Sales!$B:$B,"&lt;&gt;Return"))</f>
        <v/>
      </c>
      <c r="F138" s="155" t="str">
        <f>IF($A138="","",SUMIF(Sales!$E:$E,$A138,Sales!$L:$L))</f>
        <v/>
      </c>
      <c r="G138" s="155" t="str">
        <f>IF($A138="","",SUMIF(Sales!$E:$E,$A138,Sales!$P:$P))</f>
        <v/>
      </c>
      <c r="H138" s="156" t="str">
        <f t="array" ref="H138">IF($A138="","",IFERROR(INDEX(Orders!$O$5:$O$1004,MATCH($A138,Orders!$N$5:$N$1004,0)),""))</f>
        <v/>
      </c>
      <c r="I138" s="156" t="str">
        <f t="array" ref="I138">IF($A138="","",IFERROR(INDEX(Orders!$P$5:$P$1004,MATCH($A138,Orders!$N$5:$N$1004,0)),""))</f>
        <v/>
      </c>
      <c r="J138" s="157" t="str">
        <f t="shared" si="1"/>
        <v/>
      </c>
      <c r="K138" s="153" t="str">
        <f t="array" ref="K138">IF($A138="","",IFERROR(INDEX(Sales!$M:$M,MATCH($A138,Sales!$E:$E,0)),""))</f>
        <v/>
      </c>
      <c r="L138" s="158" t="str">
        <f t="shared" si="2"/>
        <v/>
      </c>
      <c r="N138" s="49" t="str">
        <f t="array" ref="N138">IFERROR(INDEX(Sales!$E$7:$E$1506,MATCH(ROW()-4,Sales!$V$7:$V$1506,0)),"")</f>
        <v/>
      </c>
      <c r="O138" s="67"/>
      <c r="P138" s="67"/>
    </row>
    <row r="139" ht="14.25" customHeight="1">
      <c r="A139" s="151" t="str">
        <f t="array" ref="A139">IFERROR(INDEX(Sales!$E$7:$E$1506,MATCH(ROW()-4,Sales!$W$7:$W$1506,0)),"")</f>
        <v/>
      </c>
      <c r="B139" s="152" t="str">
        <f t="array" ref="B139">IF($A139="","",IFERROR(INDEX(Sales!$A:$A,MATCH($A139,Sales!$E:$E,0)),""))</f>
        <v/>
      </c>
      <c r="C139" s="153" t="str">
        <f t="array" ref="C139">IF($A139="","",IFERROR(INDEX(Sales!$D:$D,MATCH($A139,Sales!$E:$E,0)),""))</f>
        <v/>
      </c>
      <c r="D139" s="153" t="str">
        <f t="array" ref="D139">IF($A139="","",IFERROR(INDEX(Sales!$C:$C,MATCH($A139,Sales!$E:$E,0)),""))</f>
        <v/>
      </c>
      <c r="E139" s="154" t="str">
        <f>IF($A139="","",SUMIFS(Sales!$H:$H,Sales!$E:$E,$A139,Sales!$B:$B,"&lt;&gt;Return"))</f>
        <v/>
      </c>
      <c r="F139" s="155" t="str">
        <f>IF($A139="","",SUMIF(Sales!$E:$E,$A139,Sales!$L:$L))</f>
        <v/>
      </c>
      <c r="G139" s="155" t="str">
        <f>IF($A139="","",SUMIF(Sales!$E:$E,$A139,Sales!$P:$P))</f>
        <v/>
      </c>
      <c r="H139" s="156" t="str">
        <f t="array" ref="H139">IF($A139="","",IFERROR(INDEX(Orders!$O$5:$O$1004,MATCH($A139,Orders!$N$5:$N$1004,0)),""))</f>
        <v/>
      </c>
      <c r="I139" s="156" t="str">
        <f t="array" ref="I139">IF($A139="","",IFERROR(INDEX(Orders!$P$5:$P$1004,MATCH($A139,Orders!$N$5:$N$1004,0)),""))</f>
        <v/>
      </c>
      <c r="J139" s="157" t="str">
        <f t="shared" si="1"/>
        <v/>
      </c>
      <c r="K139" s="153" t="str">
        <f t="array" ref="K139">IF($A139="","",IFERROR(INDEX(Sales!$M:$M,MATCH($A139,Sales!$E:$E,0)),""))</f>
        <v/>
      </c>
      <c r="L139" s="158" t="str">
        <f t="shared" si="2"/>
        <v/>
      </c>
      <c r="N139" s="49" t="str">
        <f t="array" ref="N139">IFERROR(INDEX(Sales!$E$7:$E$1506,MATCH(ROW()-4,Sales!$V$7:$V$1506,0)),"")</f>
        <v/>
      </c>
      <c r="O139" s="67"/>
      <c r="P139" s="67"/>
    </row>
    <row r="140" ht="14.25" customHeight="1">
      <c r="A140" s="151" t="str">
        <f t="array" ref="A140">IFERROR(INDEX(Sales!$E$7:$E$1506,MATCH(ROW()-4,Sales!$W$7:$W$1506,0)),"")</f>
        <v/>
      </c>
      <c r="B140" s="152" t="str">
        <f t="array" ref="B140">IF($A140="","",IFERROR(INDEX(Sales!$A:$A,MATCH($A140,Sales!$E:$E,0)),""))</f>
        <v/>
      </c>
      <c r="C140" s="153" t="str">
        <f t="array" ref="C140">IF($A140="","",IFERROR(INDEX(Sales!$D:$D,MATCH($A140,Sales!$E:$E,0)),""))</f>
        <v/>
      </c>
      <c r="D140" s="153" t="str">
        <f t="array" ref="D140">IF($A140="","",IFERROR(INDEX(Sales!$C:$C,MATCH($A140,Sales!$E:$E,0)),""))</f>
        <v/>
      </c>
      <c r="E140" s="154" t="str">
        <f>IF($A140="","",SUMIFS(Sales!$H:$H,Sales!$E:$E,$A140,Sales!$B:$B,"&lt;&gt;Return"))</f>
        <v/>
      </c>
      <c r="F140" s="155" t="str">
        <f>IF($A140="","",SUMIF(Sales!$E:$E,$A140,Sales!$L:$L))</f>
        <v/>
      </c>
      <c r="G140" s="155" t="str">
        <f>IF($A140="","",SUMIF(Sales!$E:$E,$A140,Sales!$P:$P))</f>
        <v/>
      </c>
      <c r="H140" s="156" t="str">
        <f t="array" ref="H140">IF($A140="","",IFERROR(INDEX(Orders!$O$5:$O$1004,MATCH($A140,Orders!$N$5:$N$1004,0)),""))</f>
        <v/>
      </c>
      <c r="I140" s="156" t="str">
        <f t="array" ref="I140">IF($A140="","",IFERROR(INDEX(Orders!$P$5:$P$1004,MATCH($A140,Orders!$N$5:$N$1004,0)),""))</f>
        <v/>
      </c>
      <c r="J140" s="157" t="str">
        <f t="shared" si="1"/>
        <v/>
      </c>
      <c r="K140" s="153" t="str">
        <f t="array" ref="K140">IF($A140="","",IFERROR(INDEX(Sales!$M:$M,MATCH($A140,Sales!$E:$E,0)),""))</f>
        <v/>
      </c>
      <c r="L140" s="158" t="str">
        <f t="shared" si="2"/>
        <v/>
      </c>
      <c r="N140" s="49" t="str">
        <f t="array" ref="N140">IFERROR(INDEX(Sales!$E$7:$E$1506,MATCH(ROW()-4,Sales!$V$7:$V$1506,0)),"")</f>
        <v/>
      </c>
      <c r="O140" s="67"/>
      <c r="P140" s="67"/>
    </row>
    <row r="141" ht="14.25" customHeight="1">
      <c r="A141" s="151" t="str">
        <f t="array" ref="A141">IFERROR(INDEX(Sales!$E$7:$E$1506,MATCH(ROW()-4,Sales!$W$7:$W$1506,0)),"")</f>
        <v/>
      </c>
      <c r="B141" s="152" t="str">
        <f t="array" ref="B141">IF($A141="","",IFERROR(INDEX(Sales!$A:$A,MATCH($A141,Sales!$E:$E,0)),""))</f>
        <v/>
      </c>
      <c r="C141" s="153" t="str">
        <f t="array" ref="C141">IF($A141="","",IFERROR(INDEX(Sales!$D:$D,MATCH($A141,Sales!$E:$E,0)),""))</f>
        <v/>
      </c>
      <c r="D141" s="153" t="str">
        <f t="array" ref="D141">IF($A141="","",IFERROR(INDEX(Sales!$C:$C,MATCH($A141,Sales!$E:$E,0)),""))</f>
        <v/>
      </c>
      <c r="E141" s="154" t="str">
        <f>IF($A141="","",SUMIFS(Sales!$H:$H,Sales!$E:$E,$A141,Sales!$B:$B,"&lt;&gt;Return"))</f>
        <v/>
      </c>
      <c r="F141" s="155" t="str">
        <f>IF($A141="","",SUMIF(Sales!$E:$E,$A141,Sales!$L:$L))</f>
        <v/>
      </c>
      <c r="G141" s="155" t="str">
        <f>IF($A141="","",SUMIF(Sales!$E:$E,$A141,Sales!$P:$P))</f>
        <v/>
      </c>
      <c r="H141" s="156" t="str">
        <f t="array" ref="H141">IF($A141="","",IFERROR(INDEX(Orders!$O$5:$O$1004,MATCH($A141,Orders!$N$5:$N$1004,0)),""))</f>
        <v/>
      </c>
      <c r="I141" s="156" t="str">
        <f t="array" ref="I141">IF($A141="","",IFERROR(INDEX(Orders!$P$5:$P$1004,MATCH($A141,Orders!$N$5:$N$1004,0)),""))</f>
        <v/>
      </c>
      <c r="J141" s="157" t="str">
        <f t="shared" si="1"/>
        <v/>
      </c>
      <c r="K141" s="153" t="str">
        <f t="array" ref="K141">IF($A141="","",IFERROR(INDEX(Sales!$M:$M,MATCH($A141,Sales!$E:$E,0)),""))</f>
        <v/>
      </c>
      <c r="L141" s="158" t="str">
        <f t="shared" si="2"/>
        <v/>
      </c>
      <c r="N141" s="49" t="str">
        <f t="array" ref="N141">IFERROR(INDEX(Sales!$E$7:$E$1506,MATCH(ROW()-4,Sales!$V$7:$V$1506,0)),"")</f>
        <v/>
      </c>
      <c r="O141" s="67"/>
      <c r="P141" s="67"/>
    </row>
    <row r="142" ht="14.25" customHeight="1">
      <c r="A142" s="151" t="str">
        <f t="array" ref="A142">IFERROR(INDEX(Sales!$E$7:$E$1506,MATCH(ROW()-4,Sales!$W$7:$W$1506,0)),"")</f>
        <v/>
      </c>
      <c r="B142" s="152" t="str">
        <f t="array" ref="B142">IF($A142="","",IFERROR(INDEX(Sales!$A:$A,MATCH($A142,Sales!$E:$E,0)),""))</f>
        <v/>
      </c>
      <c r="C142" s="153" t="str">
        <f t="array" ref="C142">IF($A142="","",IFERROR(INDEX(Sales!$D:$D,MATCH($A142,Sales!$E:$E,0)),""))</f>
        <v/>
      </c>
      <c r="D142" s="153" t="str">
        <f t="array" ref="D142">IF($A142="","",IFERROR(INDEX(Sales!$C:$C,MATCH($A142,Sales!$E:$E,0)),""))</f>
        <v/>
      </c>
      <c r="E142" s="154" t="str">
        <f>IF($A142="","",SUMIFS(Sales!$H:$H,Sales!$E:$E,$A142,Sales!$B:$B,"&lt;&gt;Return"))</f>
        <v/>
      </c>
      <c r="F142" s="155" t="str">
        <f>IF($A142="","",SUMIF(Sales!$E:$E,$A142,Sales!$L:$L))</f>
        <v/>
      </c>
      <c r="G142" s="155" t="str">
        <f>IF($A142="","",SUMIF(Sales!$E:$E,$A142,Sales!$P:$P))</f>
        <v/>
      </c>
      <c r="H142" s="156" t="str">
        <f t="array" ref="H142">IF($A142="","",IFERROR(INDEX(Orders!$O$5:$O$1004,MATCH($A142,Orders!$N$5:$N$1004,0)),""))</f>
        <v/>
      </c>
      <c r="I142" s="156" t="str">
        <f t="array" ref="I142">IF($A142="","",IFERROR(INDEX(Orders!$P$5:$P$1004,MATCH($A142,Orders!$N$5:$N$1004,0)),""))</f>
        <v/>
      </c>
      <c r="J142" s="157" t="str">
        <f t="shared" si="1"/>
        <v/>
      </c>
      <c r="K142" s="153" t="str">
        <f t="array" ref="K142">IF($A142="","",IFERROR(INDEX(Sales!$M:$M,MATCH($A142,Sales!$E:$E,0)),""))</f>
        <v/>
      </c>
      <c r="L142" s="158" t="str">
        <f t="shared" si="2"/>
        <v/>
      </c>
      <c r="N142" s="49" t="str">
        <f t="array" ref="N142">IFERROR(INDEX(Sales!$E$7:$E$1506,MATCH(ROW()-4,Sales!$V$7:$V$1506,0)),"")</f>
        <v/>
      </c>
      <c r="O142" s="67"/>
      <c r="P142" s="67"/>
    </row>
    <row r="143" ht="14.25" customHeight="1">
      <c r="A143" s="151" t="str">
        <f t="array" ref="A143">IFERROR(INDEX(Sales!$E$7:$E$1506,MATCH(ROW()-4,Sales!$W$7:$W$1506,0)),"")</f>
        <v/>
      </c>
      <c r="B143" s="152" t="str">
        <f t="array" ref="B143">IF($A143="","",IFERROR(INDEX(Sales!$A:$A,MATCH($A143,Sales!$E:$E,0)),""))</f>
        <v/>
      </c>
      <c r="C143" s="153" t="str">
        <f t="array" ref="C143">IF($A143="","",IFERROR(INDEX(Sales!$D:$D,MATCH($A143,Sales!$E:$E,0)),""))</f>
        <v/>
      </c>
      <c r="D143" s="153" t="str">
        <f t="array" ref="D143">IF($A143="","",IFERROR(INDEX(Sales!$C:$C,MATCH($A143,Sales!$E:$E,0)),""))</f>
        <v/>
      </c>
      <c r="E143" s="154" t="str">
        <f>IF($A143="","",SUMIFS(Sales!$H:$H,Sales!$E:$E,$A143,Sales!$B:$B,"&lt;&gt;Return"))</f>
        <v/>
      </c>
      <c r="F143" s="155" t="str">
        <f>IF($A143="","",SUMIF(Sales!$E:$E,$A143,Sales!$L:$L))</f>
        <v/>
      </c>
      <c r="G143" s="155" t="str">
        <f>IF($A143="","",SUMIF(Sales!$E:$E,$A143,Sales!$P:$P))</f>
        <v/>
      </c>
      <c r="H143" s="156" t="str">
        <f t="array" ref="H143">IF($A143="","",IFERROR(INDEX(Orders!$O$5:$O$1004,MATCH($A143,Orders!$N$5:$N$1004,0)),""))</f>
        <v/>
      </c>
      <c r="I143" s="156" t="str">
        <f t="array" ref="I143">IF($A143="","",IFERROR(INDEX(Orders!$P$5:$P$1004,MATCH($A143,Orders!$N$5:$N$1004,0)),""))</f>
        <v/>
      </c>
      <c r="J143" s="157" t="str">
        <f t="shared" si="1"/>
        <v/>
      </c>
      <c r="K143" s="153" t="str">
        <f t="array" ref="K143">IF($A143="","",IFERROR(INDEX(Sales!$M:$M,MATCH($A143,Sales!$E:$E,0)),""))</f>
        <v/>
      </c>
      <c r="L143" s="158" t="str">
        <f t="shared" si="2"/>
        <v/>
      </c>
      <c r="N143" s="49" t="str">
        <f t="array" ref="N143">IFERROR(INDEX(Sales!$E$7:$E$1506,MATCH(ROW()-4,Sales!$V$7:$V$1506,0)),"")</f>
        <v/>
      </c>
      <c r="O143" s="67"/>
      <c r="P143" s="67"/>
    </row>
    <row r="144" ht="14.25" customHeight="1">
      <c r="A144" s="151" t="str">
        <f t="array" ref="A144">IFERROR(INDEX(Sales!$E$7:$E$1506,MATCH(ROW()-4,Sales!$W$7:$W$1506,0)),"")</f>
        <v/>
      </c>
      <c r="B144" s="152" t="str">
        <f t="array" ref="B144">IF($A144="","",IFERROR(INDEX(Sales!$A:$A,MATCH($A144,Sales!$E:$E,0)),""))</f>
        <v/>
      </c>
      <c r="C144" s="153" t="str">
        <f t="array" ref="C144">IF($A144="","",IFERROR(INDEX(Sales!$D:$D,MATCH($A144,Sales!$E:$E,0)),""))</f>
        <v/>
      </c>
      <c r="D144" s="153" t="str">
        <f t="array" ref="D144">IF($A144="","",IFERROR(INDEX(Sales!$C:$C,MATCH($A144,Sales!$E:$E,0)),""))</f>
        <v/>
      </c>
      <c r="E144" s="154" t="str">
        <f>IF($A144="","",SUMIFS(Sales!$H:$H,Sales!$E:$E,$A144,Sales!$B:$B,"&lt;&gt;Return"))</f>
        <v/>
      </c>
      <c r="F144" s="155" t="str">
        <f>IF($A144="","",SUMIF(Sales!$E:$E,$A144,Sales!$L:$L))</f>
        <v/>
      </c>
      <c r="G144" s="155" t="str">
        <f>IF($A144="","",SUMIF(Sales!$E:$E,$A144,Sales!$P:$P))</f>
        <v/>
      </c>
      <c r="H144" s="156" t="str">
        <f t="array" ref="H144">IF($A144="","",IFERROR(INDEX(Orders!$O$5:$O$1004,MATCH($A144,Orders!$N$5:$N$1004,0)),""))</f>
        <v/>
      </c>
      <c r="I144" s="156" t="str">
        <f t="array" ref="I144">IF($A144="","",IFERROR(INDEX(Orders!$P$5:$P$1004,MATCH($A144,Orders!$N$5:$N$1004,0)),""))</f>
        <v/>
      </c>
      <c r="J144" s="157" t="str">
        <f t="shared" si="1"/>
        <v/>
      </c>
      <c r="K144" s="153" t="str">
        <f t="array" ref="K144">IF($A144="","",IFERROR(INDEX(Sales!$M:$M,MATCH($A144,Sales!$E:$E,0)),""))</f>
        <v/>
      </c>
      <c r="L144" s="158" t="str">
        <f t="shared" si="2"/>
        <v/>
      </c>
      <c r="N144" s="49" t="str">
        <f t="array" ref="N144">IFERROR(INDEX(Sales!$E$7:$E$1506,MATCH(ROW()-4,Sales!$V$7:$V$1506,0)),"")</f>
        <v/>
      </c>
      <c r="O144" s="67"/>
      <c r="P144" s="67"/>
    </row>
    <row r="145" ht="14.25" customHeight="1">
      <c r="A145" s="151" t="str">
        <f t="array" ref="A145">IFERROR(INDEX(Sales!$E$7:$E$1506,MATCH(ROW()-4,Sales!$W$7:$W$1506,0)),"")</f>
        <v/>
      </c>
      <c r="B145" s="152" t="str">
        <f t="array" ref="B145">IF($A145="","",IFERROR(INDEX(Sales!$A:$A,MATCH($A145,Sales!$E:$E,0)),""))</f>
        <v/>
      </c>
      <c r="C145" s="153" t="str">
        <f t="array" ref="C145">IF($A145="","",IFERROR(INDEX(Sales!$D:$D,MATCH($A145,Sales!$E:$E,0)),""))</f>
        <v/>
      </c>
      <c r="D145" s="153" t="str">
        <f t="array" ref="D145">IF($A145="","",IFERROR(INDEX(Sales!$C:$C,MATCH($A145,Sales!$E:$E,0)),""))</f>
        <v/>
      </c>
      <c r="E145" s="154" t="str">
        <f>IF($A145="","",SUMIFS(Sales!$H:$H,Sales!$E:$E,$A145,Sales!$B:$B,"&lt;&gt;Return"))</f>
        <v/>
      </c>
      <c r="F145" s="155" t="str">
        <f>IF($A145="","",SUMIF(Sales!$E:$E,$A145,Sales!$L:$L))</f>
        <v/>
      </c>
      <c r="G145" s="155" t="str">
        <f>IF($A145="","",SUMIF(Sales!$E:$E,$A145,Sales!$P:$P))</f>
        <v/>
      </c>
      <c r="H145" s="156" t="str">
        <f t="array" ref="H145">IF($A145="","",IFERROR(INDEX(Orders!$O$5:$O$1004,MATCH($A145,Orders!$N$5:$N$1004,0)),""))</f>
        <v/>
      </c>
      <c r="I145" s="156" t="str">
        <f t="array" ref="I145">IF($A145="","",IFERROR(INDEX(Orders!$P$5:$P$1004,MATCH($A145,Orders!$N$5:$N$1004,0)),""))</f>
        <v/>
      </c>
      <c r="J145" s="157" t="str">
        <f t="shared" si="1"/>
        <v/>
      </c>
      <c r="K145" s="153" t="str">
        <f t="array" ref="K145">IF($A145="","",IFERROR(INDEX(Sales!$M:$M,MATCH($A145,Sales!$E:$E,0)),""))</f>
        <v/>
      </c>
      <c r="L145" s="158" t="str">
        <f t="shared" si="2"/>
        <v/>
      </c>
      <c r="N145" s="49" t="str">
        <f t="array" ref="N145">IFERROR(INDEX(Sales!$E$7:$E$1506,MATCH(ROW()-4,Sales!$V$7:$V$1506,0)),"")</f>
        <v/>
      </c>
      <c r="O145" s="67"/>
      <c r="P145" s="67"/>
    </row>
    <row r="146" ht="14.25" customHeight="1">
      <c r="A146" s="151" t="str">
        <f t="array" ref="A146">IFERROR(INDEX(Sales!$E$7:$E$1506,MATCH(ROW()-4,Sales!$W$7:$W$1506,0)),"")</f>
        <v/>
      </c>
      <c r="B146" s="152" t="str">
        <f t="array" ref="B146">IF($A146="","",IFERROR(INDEX(Sales!$A:$A,MATCH($A146,Sales!$E:$E,0)),""))</f>
        <v/>
      </c>
      <c r="C146" s="153" t="str">
        <f t="array" ref="C146">IF($A146="","",IFERROR(INDEX(Sales!$D:$D,MATCH($A146,Sales!$E:$E,0)),""))</f>
        <v/>
      </c>
      <c r="D146" s="153" t="str">
        <f t="array" ref="D146">IF($A146="","",IFERROR(INDEX(Sales!$C:$C,MATCH($A146,Sales!$E:$E,0)),""))</f>
        <v/>
      </c>
      <c r="E146" s="154" t="str">
        <f>IF($A146="","",SUMIFS(Sales!$H:$H,Sales!$E:$E,$A146,Sales!$B:$B,"&lt;&gt;Return"))</f>
        <v/>
      </c>
      <c r="F146" s="155" t="str">
        <f>IF($A146="","",SUMIF(Sales!$E:$E,$A146,Sales!$L:$L))</f>
        <v/>
      </c>
      <c r="G146" s="155" t="str">
        <f>IF($A146="","",SUMIF(Sales!$E:$E,$A146,Sales!$P:$P))</f>
        <v/>
      </c>
      <c r="H146" s="156" t="str">
        <f t="array" ref="H146">IF($A146="","",IFERROR(INDEX(Orders!$O$5:$O$1004,MATCH($A146,Orders!$N$5:$N$1004,0)),""))</f>
        <v/>
      </c>
      <c r="I146" s="156" t="str">
        <f t="array" ref="I146">IF($A146="","",IFERROR(INDEX(Orders!$P$5:$P$1004,MATCH($A146,Orders!$N$5:$N$1004,0)),""))</f>
        <v/>
      </c>
      <c r="J146" s="157" t="str">
        <f t="shared" si="1"/>
        <v/>
      </c>
      <c r="K146" s="153" t="str">
        <f t="array" ref="K146">IF($A146="","",IFERROR(INDEX(Sales!$M:$M,MATCH($A146,Sales!$E:$E,0)),""))</f>
        <v/>
      </c>
      <c r="L146" s="158" t="str">
        <f t="shared" si="2"/>
        <v/>
      </c>
      <c r="N146" s="49" t="str">
        <f t="array" ref="N146">IFERROR(INDEX(Sales!$E$7:$E$1506,MATCH(ROW()-4,Sales!$V$7:$V$1506,0)),"")</f>
        <v/>
      </c>
      <c r="O146" s="67"/>
      <c r="P146" s="67"/>
    </row>
    <row r="147" ht="14.25" customHeight="1">
      <c r="A147" s="151" t="str">
        <f t="array" ref="A147">IFERROR(INDEX(Sales!$E$7:$E$1506,MATCH(ROW()-4,Sales!$W$7:$W$1506,0)),"")</f>
        <v/>
      </c>
      <c r="B147" s="152" t="str">
        <f t="array" ref="B147">IF($A147="","",IFERROR(INDEX(Sales!$A:$A,MATCH($A147,Sales!$E:$E,0)),""))</f>
        <v/>
      </c>
      <c r="C147" s="153" t="str">
        <f t="array" ref="C147">IF($A147="","",IFERROR(INDEX(Sales!$D:$D,MATCH($A147,Sales!$E:$E,0)),""))</f>
        <v/>
      </c>
      <c r="D147" s="153" t="str">
        <f t="array" ref="D147">IF($A147="","",IFERROR(INDEX(Sales!$C:$C,MATCH($A147,Sales!$E:$E,0)),""))</f>
        <v/>
      </c>
      <c r="E147" s="154" t="str">
        <f>IF($A147="","",SUMIFS(Sales!$H:$H,Sales!$E:$E,$A147,Sales!$B:$B,"&lt;&gt;Return"))</f>
        <v/>
      </c>
      <c r="F147" s="155" t="str">
        <f>IF($A147="","",SUMIF(Sales!$E:$E,$A147,Sales!$L:$L))</f>
        <v/>
      </c>
      <c r="G147" s="155" t="str">
        <f>IF($A147="","",SUMIF(Sales!$E:$E,$A147,Sales!$P:$P))</f>
        <v/>
      </c>
      <c r="H147" s="156" t="str">
        <f t="array" ref="H147">IF($A147="","",IFERROR(INDEX(Orders!$O$5:$O$1004,MATCH($A147,Orders!$N$5:$N$1004,0)),""))</f>
        <v/>
      </c>
      <c r="I147" s="156" t="str">
        <f t="array" ref="I147">IF($A147="","",IFERROR(INDEX(Orders!$P$5:$P$1004,MATCH($A147,Orders!$N$5:$N$1004,0)),""))</f>
        <v/>
      </c>
      <c r="J147" s="157" t="str">
        <f t="shared" si="1"/>
        <v/>
      </c>
      <c r="K147" s="153" t="str">
        <f t="array" ref="K147">IF($A147="","",IFERROR(INDEX(Sales!$M:$M,MATCH($A147,Sales!$E:$E,0)),""))</f>
        <v/>
      </c>
      <c r="L147" s="158" t="str">
        <f t="shared" si="2"/>
        <v/>
      </c>
      <c r="N147" s="49" t="str">
        <f t="array" ref="N147">IFERROR(INDEX(Sales!$E$7:$E$1506,MATCH(ROW()-4,Sales!$V$7:$V$1506,0)),"")</f>
        <v/>
      </c>
      <c r="O147" s="67"/>
      <c r="P147" s="67"/>
    </row>
    <row r="148" ht="14.25" customHeight="1">
      <c r="A148" s="151" t="str">
        <f t="array" ref="A148">IFERROR(INDEX(Sales!$E$7:$E$1506,MATCH(ROW()-4,Sales!$W$7:$W$1506,0)),"")</f>
        <v/>
      </c>
      <c r="B148" s="152" t="str">
        <f t="array" ref="B148">IF($A148="","",IFERROR(INDEX(Sales!$A:$A,MATCH($A148,Sales!$E:$E,0)),""))</f>
        <v/>
      </c>
      <c r="C148" s="153" t="str">
        <f t="array" ref="C148">IF($A148="","",IFERROR(INDEX(Sales!$D:$D,MATCH($A148,Sales!$E:$E,0)),""))</f>
        <v/>
      </c>
      <c r="D148" s="153" t="str">
        <f t="array" ref="D148">IF($A148="","",IFERROR(INDEX(Sales!$C:$C,MATCH($A148,Sales!$E:$E,0)),""))</f>
        <v/>
      </c>
      <c r="E148" s="154" t="str">
        <f>IF($A148="","",SUMIFS(Sales!$H:$H,Sales!$E:$E,$A148,Sales!$B:$B,"&lt;&gt;Return"))</f>
        <v/>
      </c>
      <c r="F148" s="155" t="str">
        <f>IF($A148="","",SUMIF(Sales!$E:$E,$A148,Sales!$L:$L))</f>
        <v/>
      </c>
      <c r="G148" s="155" t="str">
        <f>IF($A148="","",SUMIF(Sales!$E:$E,$A148,Sales!$P:$P))</f>
        <v/>
      </c>
      <c r="H148" s="156" t="str">
        <f t="array" ref="H148">IF($A148="","",IFERROR(INDEX(Orders!$O$5:$O$1004,MATCH($A148,Orders!$N$5:$N$1004,0)),""))</f>
        <v/>
      </c>
      <c r="I148" s="156" t="str">
        <f t="array" ref="I148">IF($A148="","",IFERROR(INDEX(Orders!$P$5:$P$1004,MATCH($A148,Orders!$N$5:$N$1004,0)),""))</f>
        <v/>
      </c>
      <c r="J148" s="157" t="str">
        <f t="shared" si="1"/>
        <v/>
      </c>
      <c r="K148" s="153" t="str">
        <f t="array" ref="K148">IF($A148="","",IFERROR(INDEX(Sales!$M:$M,MATCH($A148,Sales!$E:$E,0)),""))</f>
        <v/>
      </c>
      <c r="L148" s="158" t="str">
        <f t="shared" si="2"/>
        <v/>
      </c>
      <c r="N148" s="49" t="str">
        <f t="array" ref="N148">IFERROR(INDEX(Sales!$E$7:$E$1506,MATCH(ROW()-4,Sales!$V$7:$V$1506,0)),"")</f>
        <v/>
      </c>
      <c r="O148" s="67"/>
      <c r="P148" s="67"/>
    </row>
    <row r="149" ht="14.25" customHeight="1">
      <c r="A149" s="151" t="str">
        <f t="array" ref="A149">IFERROR(INDEX(Sales!$E$7:$E$1506,MATCH(ROW()-4,Sales!$W$7:$W$1506,0)),"")</f>
        <v/>
      </c>
      <c r="B149" s="152" t="str">
        <f t="array" ref="B149">IF($A149="","",IFERROR(INDEX(Sales!$A:$A,MATCH($A149,Sales!$E:$E,0)),""))</f>
        <v/>
      </c>
      <c r="C149" s="153" t="str">
        <f t="array" ref="C149">IF($A149="","",IFERROR(INDEX(Sales!$D:$D,MATCH($A149,Sales!$E:$E,0)),""))</f>
        <v/>
      </c>
      <c r="D149" s="153" t="str">
        <f t="array" ref="D149">IF($A149="","",IFERROR(INDEX(Sales!$C:$C,MATCH($A149,Sales!$E:$E,0)),""))</f>
        <v/>
      </c>
      <c r="E149" s="154" t="str">
        <f>IF($A149="","",SUMIFS(Sales!$H:$H,Sales!$E:$E,$A149,Sales!$B:$B,"&lt;&gt;Return"))</f>
        <v/>
      </c>
      <c r="F149" s="155" t="str">
        <f>IF($A149="","",SUMIF(Sales!$E:$E,$A149,Sales!$L:$L))</f>
        <v/>
      </c>
      <c r="G149" s="155" t="str">
        <f>IF($A149="","",SUMIF(Sales!$E:$E,$A149,Sales!$P:$P))</f>
        <v/>
      </c>
      <c r="H149" s="156" t="str">
        <f t="array" ref="H149">IF($A149="","",IFERROR(INDEX(Orders!$O$5:$O$1004,MATCH($A149,Orders!$N$5:$N$1004,0)),""))</f>
        <v/>
      </c>
      <c r="I149" s="156" t="str">
        <f t="array" ref="I149">IF($A149="","",IFERROR(INDEX(Orders!$P$5:$P$1004,MATCH($A149,Orders!$N$5:$N$1004,0)),""))</f>
        <v/>
      </c>
      <c r="J149" s="157" t="str">
        <f t="shared" si="1"/>
        <v/>
      </c>
      <c r="K149" s="153" t="str">
        <f t="array" ref="K149">IF($A149="","",IFERROR(INDEX(Sales!$M:$M,MATCH($A149,Sales!$E:$E,0)),""))</f>
        <v/>
      </c>
      <c r="L149" s="158" t="str">
        <f t="shared" si="2"/>
        <v/>
      </c>
      <c r="N149" s="49" t="str">
        <f t="array" ref="N149">IFERROR(INDEX(Sales!$E$7:$E$1506,MATCH(ROW()-4,Sales!$V$7:$V$1506,0)),"")</f>
        <v/>
      </c>
      <c r="O149" s="67"/>
      <c r="P149" s="67"/>
    </row>
    <row r="150" ht="14.25" customHeight="1">
      <c r="A150" s="151" t="str">
        <f t="array" ref="A150">IFERROR(INDEX(Sales!$E$7:$E$1506,MATCH(ROW()-4,Sales!$W$7:$W$1506,0)),"")</f>
        <v/>
      </c>
      <c r="B150" s="152" t="str">
        <f t="array" ref="B150">IF($A150="","",IFERROR(INDEX(Sales!$A:$A,MATCH($A150,Sales!$E:$E,0)),""))</f>
        <v/>
      </c>
      <c r="C150" s="153" t="str">
        <f t="array" ref="C150">IF($A150="","",IFERROR(INDEX(Sales!$D:$D,MATCH($A150,Sales!$E:$E,0)),""))</f>
        <v/>
      </c>
      <c r="D150" s="153" t="str">
        <f t="array" ref="D150">IF($A150="","",IFERROR(INDEX(Sales!$C:$C,MATCH($A150,Sales!$E:$E,0)),""))</f>
        <v/>
      </c>
      <c r="E150" s="154" t="str">
        <f>IF($A150="","",SUMIFS(Sales!$H:$H,Sales!$E:$E,$A150,Sales!$B:$B,"&lt;&gt;Return"))</f>
        <v/>
      </c>
      <c r="F150" s="155" t="str">
        <f>IF($A150="","",SUMIF(Sales!$E:$E,$A150,Sales!$L:$L))</f>
        <v/>
      </c>
      <c r="G150" s="155" t="str">
        <f>IF($A150="","",SUMIF(Sales!$E:$E,$A150,Sales!$P:$P))</f>
        <v/>
      </c>
      <c r="H150" s="156" t="str">
        <f t="array" ref="H150">IF($A150="","",IFERROR(INDEX(Orders!$O$5:$O$1004,MATCH($A150,Orders!$N$5:$N$1004,0)),""))</f>
        <v/>
      </c>
      <c r="I150" s="156" t="str">
        <f t="array" ref="I150">IF($A150="","",IFERROR(INDEX(Orders!$P$5:$P$1004,MATCH($A150,Orders!$N$5:$N$1004,0)),""))</f>
        <v/>
      </c>
      <c r="J150" s="157" t="str">
        <f t="shared" si="1"/>
        <v/>
      </c>
      <c r="K150" s="153" t="str">
        <f t="array" ref="K150">IF($A150="","",IFERROR(INDEX(Sales!$M:$M,MATCH($A150,Sales!$E:$E,0)),""))</f>
        <v/>
      </c>
      <c r="L150" s="158" t="str">
        <f t="shared" si="2"/>
        <v/>
      </c>
      <c r="N150" s="49" t="str">
        <f t="array" ref="N150">IFERROR(INDEX(Sales!$E$7:$E$1506,MATCH(ROW()-4,Sales!$V$7:$V$1506,0)),"")</f>
        <v/>
      </c>
      <c r="O150" s="67"/>
      <c r="P150" s="67"/>
    </row>
    <row r="151" ht="14.25" customHeight="1">
      <c r="A151" s="151" t="str">
        <f t="array" ref="A151">IFERROR(INDEX(Sales!$E$7:$E$1506,MATCH(ROW()-4,Sales!$W$7:$W$1506,0)),"")</f>
        <v/>
      </c>
      <c r="B151" s="152" t="str">
        <f t="array" ref="B151">IF($A151="","",IFERROR(INDEX(Sales!$A:$A,MATCH($A151,Sales!$E:$E,0)),""))</f>
        <v/>
      </c>
      <c r="C151" s="153" t="str">
        <f t="array" ref="C151">IF($A151="","",IFERROR(INDEX(Sales!$D:$D,MATCH($A151,Sales!$E:$E,0)),""))</f>
        <v/>
      </c>
      <c r="D151" s="153" t="str">
        <f t="array" ref="D151">IF($A151="","",IFERROR(INDEX(Sales!$C:$C,MATCH($A151,Sales!$E:$E,0)),""))</f>
        <v/>
      </c>
      <c r="E151" s="154" t="str">
        <f>IF($A151="","",SUMIFS(Sales!$H:$H,Sales!$E:$E,$A151,Sales!$B:$B,"&lt;&gt;Return"))</f>
        <v/>
      </c>
      <c r="F151" s="155" t="str">
        <f>IF($A151="","",SUMIF(Sales!$E:$E,$A151,Sales!$L:$L))</f>
        <v/>
      </c>
      <c r="G151" s="155" t="str">
        <f>IF($A151="","",SUMIF(Sales!$E:$E,$A151,Sales!$P:$P))</f>
        <v/>
      </c>
      <c r="H151" s="156" t="str">
        <f t="array" ref="H151">IF($A151="","",IFERROR(INDEX(Orders!$O$5:$O$1004,MATCH($A151,Orders!$N$5:$N$1004,0)),""))</f>
        <v/>
      </c>
      <c r="I151" s="156" t="str">
        <f t="array" ref="I151">IF($A151="","",IFERROR(INDEX(Orders!$P$5:$P$1004,MATCH($A151,Orders!$N$5:$N$1004,0)),""))</f>
        <v/>
      </c>
      <c r="J151" s="157" t="str">
        <f t="shared" si="1"/>
        <v/>
      </c>
      <c r="K151" s="153" t="str">
        <f t="array" ref="K151">IF($A151="","",IFERROR(INDEX(Sales!$M:$M,MATCH($A151,Sales!$E:$E,0)),""))</f>
        <v/>
      </c>
      <c r="L151" s="158" t="str">
        <f t="shared" si="2"/>
        <v/>
      </c>
      <c r="N151" s="49" t="str">
        <f t="array" ref="N151">IFERROR(INDEX(Sales!$E$7:$E$1506,MATCH(ROW()-4,Sales!$V$7:$V$1506,0)),"")</f>
        <v/>
      </c>
      <c r="O151" s="67"/>
      <c r="P151" s="67"/>
    </row>
    <row r="152" ht="14.25" customHeight="1">
      <c r="A152" s="151" t="str">
        <f t="array" ref="A152">IFERROR(INDEX(Sales!$E$7:$E$1506,MATCH(ROW()-4,Sales!$W$7:$W$1506,0)),"")</f>
        <v/>
      </c>
      <c r="B152" s="152" t="str">
        <f t="array" ref="B152">IF($A152="","",IFERROR(INDEX(Sales!$A:$A,MATCH($A152,Sales!$E:$E,0)),""))</f>
        <v/>
      </c>
      <c r="C152" s="153" t="str">
        <f t="array" ref="C152">IF($A152="","",IFERROR(INDEX(Sales!$D:$D,MATCH($A152,Sales!$E:$E,0)),""))</f>
        <v/>
      </c>
      <c r="D152" s="153" t="str">
        <f t="array" ref="D152">IF($A152="","",IFERROR(INDEX(Sales!$C:$C,MATCH($A152,Sales!$E:$E,0)),""))</f>
        <v/>
      </c>
      <c r="E152" s="154" t="str">
        <f>IF($A152="","",SUMIFS(Sales!$H:$H,Sales!$E:$E,$A152,Sales!$B:$B,"&lt;&gt;Return"))</f>
        <v/>
      </c>
      <c r="F152" s="155" t="str">
        <f>IF($A152="","",SUMIF(Sales!$E:$E,$A152,Sales!$L:$L))</f>
        <v/>
      </c>
      <c r="G152" s="155" t="str">
        <f>IF($A152="","",SUMIF(Sales!$E:$E,$A152,Sales!$P:$P))</f>
        <v/>
      </c>
      <c r="H152" s="156" t="str">
        <f t="array" ref="H152">IF($A152="","",IFERROR(INDEX(Orders!$O$5:$O$1004,MATCH($A152,Orders!$N$5:$N$1004,0)),""))</f>
        <v/>
      </c>
      <c r="I152" s="156" t="str">
        <f t="array" ref="I152">IF($A152="","",IFERROR(INDEX(Orders!$P$5:$P$1004,MATCH($A152,Orders!$N$5:$N$1004,0)),""))</f>
        <v/>
      </c>
      <c r="J152" s="157" t="str">
        <f t="shared" si="1"/>
        <v/>
      </c>
      <c r="K152" s="153" t="str">
        <f t="array" ref="K152">IF($A152="","",IFERROR(INDEX(Sales!$M:$M,MATCH($A152,Sales!$E:$E,0)),""))</f>
        <v/>
      </c>
      <c r="L152" s="158" t="str">
        <f t="shared" si="2"/>
        <v/>
      </c>
      <c r="N152" s="49" t="str">
        <f t="array" ref="N152">IFERROR(INDEX(Sales!$E$7:$E$1506,MATCH(ROW()-4,Sales!$V$7:$V$1506,0)),"")</f>
        <v/>
      </c>
      <c r="O152" s="67"/>
      <c r="P152" s="67"/>
    </row>
    <row r="153" ht="14.25" customHeight="1">
      <c r="A153" s="151" t="str">
        <f t="array" ref="A153">IFERROR(INDEX(Sales!$E$7:$E$1506,MATCH(ROW()-4,Sales!$W$7:$W$1506,0)),"")</f>
        <v/>
      </c>
      <c r="B153" s="152" t="str">
        <f t="array" ref="B153">IF($A153="","",IFERROR(INDEX(Sales!$A:$A,MATCH($A153,Sales!$E:$E,0)),""))</f>
        <v/>
      </c>
      <c r="C153" s="153" t="str">
        <f t="array" ref="C153">IF($A153="","",IFERROR(INDEX(Sales!$D:$D,MATCH($A153,Sales!$E:$E,0)),""))</f>
        <v/>
      </c>
      <c r="D153" s="153" t="str">
        <f t="array" ref="D153">IF($A153="","",IFERROR(INDEX(Sales!$C:$C,MATCH($A153,Sales!$E:$E,0)),""))</f>
        <v/>
      </c>
      <c r="E153" s="154" t="str">
        <f>IF($A153="","",SUMIFS(Sales!$H:$H,Sales!$E:$E,$A153,Sales!$B:$B,"&lt;&gt;Return"))</f>
        <v/>
      </c>
      <c r="F153" s="155" t="str">
        <f>IF($A153="","",SUMIF(Sales!$E:$E,$A153,Sales!$L:$L))</f>
        <v/>
      </c>
      <c r="G153" s="155" t="str">
        <f>IF($A153="","",SUMIF(Sales!$E:$E,$A153,Sales!$P:$P))</f>
        <v/>
      </c>
      <c r="H153" s="156" t="str">
        <f t="array" ref="H153">IF($A153="","",IFERROR(INDEX(Orders!$O$5:$O$1004,MATCH($A153,Orders!$N$5:$N$1004,0)),""))</f>
        <v/>
      </c>
      <c r="I153" s="156" t="str">
        <f t="array" ref="I153">IF($A153="","",IFERROR(INDEX(Orders!$P$5:$P$1004,MATCH($A153,Orders!$N$5:$N$1004,0)),""))</f>
        <v/>
      </c>
      <c r="J153" s="157" t="str">
        <f t="shared" si="1"/>
        <v/>
      </c>
      <c r="K153" s="153" t="str">
        <f t="array" ref="K153">IF($A153="","",IFERROR(INDEX(Sales!$M:$M,MATCH($A153,Sales!$E:$E,0)),""))</f>
        <v/>
      </c>
      <c r="L153" s="158" t="str">
        <f t="shared" si="2"/>
        <v/>
      </c>
      <c r="N153" s="49" t="str">
        <f t="array" ref="N153">IFERROR(INDEX(Sales!$E$7:$E$1506,MATCH(ROW()-4,Sales!$V$7:$V$1506,0)),"")</f>
        <v/>
      </c>
      <c r="O153" s="67"/>
      <c r="P153" s="67"/>
    </row>
    <row r="154" ht="14.25" customHeight="1">
      <c r="A154" s="151" t="str">
        <f t="array" ref="A154">IFERROR(INDEX(Sales!$E$7:$E$1506,MATCH(ROW()-4,Sales!$W$7:$W$1506,0)),"")</f>
        <v/>
      </c>
      <c r="B154" s="152" t="str">
        <f t="array" ref="B154">IF($A154="","",IFERROR(INDEX(Sales!$A:$A,MATCH($A154,Sales!$E:$E,0)),""))</f>
        <v/>
      </c>
      <c r="C154" s="153" t="str">
        <f t="array" ref="C154">IF($A154="","",IFERROR(INDEX(Sales!$D:$D,MATCH($A154,Sales!$E:$E,0)),""))</f>
        <v/>
      </c>
      <c r="D154" s="153" t="str">
        <f t="array" ref="D154">IF($A154="","",IFERROR(INDEX(Sales!$C:$C,MATCH($A154,Sales!$E:$E,0)),""))</f>
        <v/>
      </c>
      <c r="E154" s="154" t="str">
        <f>IF($A154="","",SUMIFS(Sales!$H:$H,Sales!$E:$E,$A154,Sales!$B:$B,"&lt;&gt;Return"))</f>
        <v/>
      </c>
      <c r="F154" s="155" t="str">
        <f>IF($A154="","",SUMIF(Sales!$E:$E,$A154,Sales!$L:$L))</f>
        <v/>
      </c>
      <c r="G154" s="155" t="str">
        <f>IF($A154="","",SUMIF(Sales!$E:$E,$A154,Sales!$P:$P))</f>
        <v/>
      </c>
      <c r="H154" s="156" t="str">
        <f t="array" ref="H154">IF($A154="","",IFERROR(INDEX(Orders!$O$5:$O$1004,MATCH($A154,Orders!$N$5:$N$1004,0)),""))</f>
        <v/>
      </c>
      <c r="I154" s="156" t="str">
        <f t="array" ref="I154">IF($A154="","",IFERROR(INDEX(Orders!$P$5:$P$1004,MATCH($A154,Orders!$N$5:$N$1004,0)),""))</f>
        <v/>
      </c>
      <c r="J154" s="157" t="str">
        <f t="shared" si="1"/>
        <v/>
      </c>
      <c r="K154" s="153" t="str">
        <f t="array" ref="K154">IF($A154="","",IFERROR(INDEX(Sales!$M:$M,MATCH($A154,Sales!$E:$E,0)),""))</f>
        <v/>
      </c>
      <c r="L154" s="158" t="str">
        <f t="shared" si="2"/>
        <v/>
      </c>
      <c r="N154" s="49" t="str">
        <f t="array" ref="N154">IFERROR(INDEX(Sales!$E$7:$E$1506,MATCH(ROW()-4,Sales!$V$7:$V$1506,0)),"")</f>
        <v/>
      </c>
      <c r="O154" s="67"/>
      <c r="P154" s="67"/>
    </row>
    <row r="155" ht="14.25" customHeight="1">
      <c r="A155" s="151" t="str">
        <f t="array" ref="A155">IFERROR(INDEX(Sales!$E$7:$E$1506,MATCH(ROW()-4,Sales!$W$7:$W$1506,0)),"")</f>
        <v/>
      </c>
      <c r="B155" s="152" t="str">
        <f t="array" ref="B155">IF($A155="","",IFERROR(INDEX(Sales!$A:$A,MATCH($A155,Sales!$E:$E,0)),""))</f>
        <v/>
      </c>
      <c r="C155" s="153" t="str">
        <f t="array" ref="C155">IF($A155="","",IFERROR(INDEX(Sales!$D:$D,MATCH($A155,Sales!$E:$E,0)),""))</f>
        <v/>
      </c>
      <c r="D155" s="153" t="str">
        <f t="array" ref="D155">IF($A155="","",IFERROR(INDEX(Sales!$C:$C,MATCH($A155,Sales!$E:$E,0)),""))</f>
        <v/>
      </c>
      <c r="E155" s="154" t="str">
        <f>IF($A155="","",SUMIFS(Sales!$H:$H,Sales!$E:$E,$A155,Sales!$B:$B,"&lt;&gt;Return"))</f>
        <v/>
      </c>
      <c r="F155" s="155" t="str">
        <f>IF($A155="","",SUMIF(Sales!$E:$E,$A155,Sales!$L:$L))</f>
        <v/>
      </c>
      <c r="G155" s="155" t="str">
        <f>IF($A155="","",SUMIF(Sales!$E:$E,$A155,Sales!$P:$P))</f>
        <v/>
      </c>
      <c r="H155" s="156" t="str">
        <f t="array" ref="H155">IF($A155="","",IFERROR(INDEX(Orders!$O$5:$O$1004,MATCH($A155,Orders!$N$5:$N$1004,0)),""))</f>
        <v/>
      </c>
      <c r="I155" s="156" t="str">
        <f t="array" ref="I155">IF($A155="","",IFERROR(INDEX(Orders!$P$5:$P$1004,MATCH($A155,Orders!$N$5:$N$1004,0)),""))</f>
        <v/>
      </c>
      <c r="J155" s="157" t="str">
        <f t="shared" si="1"/>
        <v/>
      </c>
      <c r="K155" s="153" t="str">
        <f t="array" ref="K155">IF($A155="","",IFERROR(INDEX(Sales!$M:$M,MATCH($A155,Sales!$E:$E,0)),""))</f>
        <v/>
      </c>
      <c r="L155" s="158" t="str">
        <f t="shared" si="2"/>
        <v/>
      </c>
      <c r="N155" s="49" t="str">
        <f t="array" ref="N155">IFERROR(INDEX(Sales!$E$7:$E$1506,MATCH(ROW()-4,Sales!$V$7:$V$1506,0)),"")</f>
        <v/>
      </c>
      <c r="O155" s="67"/>
      <c r="P155" s="67"/>
    </row>
    <row r="156" ht="14.25" customHeight="1">
      <c r="A156" s="151" t="str">
        <f t="array" ref="A156">IFERROR(INDEX(Sales!$E$7:$E$1506,MATCH(ROW()-4,Sales!$W$7:$W$1506,0)),"")</f>
        <v/>
      </c>
      <c r="B156" s="152" t="str">
        <f t="array" ref="B156">IF($A156="","",IFERROR(INDEX(Sales!$A:$A,MATCH($A156,Sales!$E:$E,0)),""))</f>
        <v/>
      </c>
      <c r="C156" s="153" t="str">
        <f t="array" ref="C156">IF($A156="","",IFERROR(INDEX(Sales!$D:$D,MATCH($A156,Sales!$E:$E,0)),""))</f>
        <v/>
      </c>
      <c r="D156" s="153" t="str">
        <f t="array" ref="D156">IF($A156="","",IFERROR(INDEX(Sales!$C:$C,MATCH($A156,Sales!$E:$E,0)),""))</f>
        <v/>
      </c>
      <c r="E156" s="154" t="str">
        <f>IF($A156="","",SUMIFS(Sales!$H:$H,Sales!$E:$E,$A156,Sales!$B:$B,"&lt;&gt;Return"))</f>
        <v/>
      </c>
      <c r="F156" s="155" t="str">
        <f>IF($A156="","",SUMIF(Sales!$E:$E,$A156,Sales!$L:$L))</f>
        <v/>
      </c>
      <c r="G156" s="155" t="str">
        <f>IF($A156="","",SUMIF(Sales!$E:$E,$A156,Sales!$P:$P))</f>
        <v/>
      </c>
      <c r="H156" s="156" t="str">
        <f t="array" ref="H156">IF($A156="","",IFERROR(INDEX(Orders!$O$5:$O$1004,MATCH($A156,Orders!$N$5:$N$1004,0)),""))</f>
        <v/>
      </c>
      <c r="I156" s="156" t="str">
        <f t="array" ref="I156">IF($A156="","",IFERROR(INDEX(Orders!$P$5:$P$1004,MATCH($A156,Orders!$N$5:$N$1004,0)),""))</f>
        <v/>
      </c>
      <c r="J156" s="157" t="str">
        <f t="shared" si="1"/>
        <v/>
      </c>
      <c r="K156" s="153" t="str">
        <f t="array" ref="K156">IF($A156="","",IFERROR(INDEX(Sales!$M:$M,MATCH($A156,Sales!$E:$E,0)),""))</f>
        <v/>
      </c>
      <c r="L156" s="158" t="str">
        <f t="shared" si="2"/>
        <v/>
      </c>
      <c r="N156" s="49" t="str">
        <f t="array" ref="N156">IFERROR(INDEX(Sales!$E$7:$E$1506,MATCH(ROW()-4,Sales!$V$7:$V$1506,0)),"")</f>
        <v/>
      </c>
      <c r="O156" s="67"/>
      <c r="P156" s="67"/>
    </row>
    <row r="157" ht="14.25" customHeight="1">
      <c r="A157" s="151" t="str">
        <f t="array" ref="A157">IFERROR(INDEX(Sales!$E$7:$E$1506,MATCH(ROW()-4,Sales!$W$7:$W$1506,0)),"")</f>
        <v/>
      </c>
      <c r="B157" s="152" t="str">
        <f t="array" ref="B157">IF($A157="","",IFERROR(INDEX(Sales!$A:$A,MATCH($A157,Sales!$E:$E,0)),""))</f>
        <v/>
      </c>
      <c r="C157" s="153" t="str">
        <f t="array" ref="C157">IF($A157="","",IFERROR(INDEX(Sales!$D:$D,MATCH($A157,Sales!$E:$E,0)),""))</f>
        <v/>
      </c>
      <c r="D157" s="153" t="str">
        <f t="array" ref="D157">IF($A157="","",IFERROR(INDEX(Sales!$C:$C,MATCH($A157,Sales!$E:$E,0)),""))</f>
        <v/>
      </c>
      <c r="E157" s="154" t="str">
        <f>IF($A157="","",SUMIFS(Sales!$H:$H,Sales!$E:$E,$A157,Sales!$B:$B,"&lt;&gt;Return"))</f>
        <v/>
      </c>
      <c r="F157" s="155" t="str">
        <f>IF($A157="","",SUMIF(Sales!$E:$E,$A157,Sales!$L:$L))</f>
        <v/>
      </c>
      <c r="G157" s="155" t="str">
        <f>IF($A157="","",SUMIF(Sales!$E:$E,$A157,Sales!$P:$P))</f>
        <v/>
      </c>
      <c r="H157" s="156" t="str">
        <f t="array" ref="H157">IF($A157="","",IFERROR(INDEX(Orders!$O$5:$O$1004,MATCH($A157,Orders!$N$5:$N$1004,0)),""))</f>
        <v/>
      </c>
      <c r="I157" s="156" t="str">
        <f t="array" ref="I157">IF($A157="","",IFERROR(INDEX(Orders!$P$5:$P$1004,MATCH($A157,Orders!$N$5:$N$1004,0)),""))</f>
        <v/>
      </c>
      <c r="J157" s="157" t="str">
        <f t="shared" si="1"/>
        <v/>
      </c>
      <c r="K157" s="153" t="str">
        <f t="array" ref="K157">IF($A157="","",IFERROR(INDEX(Sales!$M:$M,MATCH($A157,Sales!$E:$E,0)),""))</f>
        <v/>
      </c>
      <c r="L157" s="158" t="str">
        <f t="shared" si="2"/>
        <v/>
      </c>
      <c r="N157" s="49" t="str">
        <f t="array" ref="N157">IFERROR(INDEX(Sales!$E$7:$E$1506,MATCH(ROW()-4,Sales!$V$7:$V$1506,0)),"")</f>
        <v/>
      </c>
      <c r="O157" s="67"/>
      <c r="P157" s="67"/>
    </row>
    <row r="158" ht="14.25" customHeight="1">
      <c r="A158" s="151" t="str">
        <f t="array" ref="A158">IFERROR(INDEX(Sales!$E$7:$E$1506,MATCH(ROW()-4,Sales!$W$7:$W$1506,0)),"")</f>
        <v/>
      </c>
      <c r="B158" s="152" t="str">
        <f t="array" ref="B158">IF($A158="","",IFERROR(INDEX(Sales!$A:$A,MATCH($A158,Sales!$E:$E,0)),""))</f>
        <v/>
      </c>
      <c r="C158" s="153" t="str">
        <f t="array" ref="C158">IF($A158="","",IFERROR(INDEX(Sales!$D:$D,MATCH($A158,Sales!$E:$E,0)),""))</f>
        <v/>
      </c>
      <c r="D158" s="153" t="str">
        <f t="array" ref="D158">IF($A158="","",IFERROR(INDEX(Sales!$C:$C,MATCH($A158,Sales!$E:$E,0)),""))</f>
        <v/>
      </c>
      <c r="E158" s="154" t="str">
        <f>IF($A158="","",SUMIFS(Sales!$H:$H,Sales!$E:$E,$A158,Sales!$B:$B,"&lt;&gt;Return"))</f>
        <v/>
      </c>
      <c r="F158" s="155" t="str">
        <f>IF($A158="","",SUMIF(Sales!$E:$E,$A158,Sales!$L:$L))</f>
        <v/>
      </c>
      <c r="G158" s="155" t="str">
        <f>IF($A158="","",SUMIF(Sales!$E:$E,$A158,Sales!$P:$P))</f>
        <v/>
      </c>
      <c r="H158" s="156" t="str">
        <f t="array" ref="H158">IF($A158="","",IFERROR(INDEX(Orders!$O$5:$O$1004,MATCH($A158,Orders!$N$5:$N$1004,0)),""))</f>
        <v/>
      </c>
      <c r="I158" s="156" t="str">
        <f t="array" ref="I158">IF($A158="","",IFERROR(INDEX(Orders!$P$5:$P$1004,MATCH($A158,Orders!$N$5:$N$1004,0)),""))</f>
        <v/>
      </c>
      <c r="J158" s="157" t="str">
        <f t="shared" si="1"/>
        <v/>
      </c>
      <c r="K158" s="153" t="str">
        <f t="array" ref="K158">IF($A158="","",IFERROR(INDEX(Sales!$M:$M,MATCH($A158,Sales!$E:$E,0)),""))</f>
        <v/>
      </c>
      <c r="L158" s="158" t="str">
        <f t="shared" si="2"/>
        <v/>
      </c>
      <c r="N158" s="49" t="str">
        <f t="array" ref="N158">IFERROR(INDEX(Sales!$E$7:$E$1506,MATCH(ROW()-4,Sales!$V$7:$V$1506,0)),"")</f>
        <v/>
      </c>
      <c r="O158" s="67"/>
      <c r="P158" s="67"/>
    </row>
    <row r="159" ht="14.25" customHeight="1">
      <c r="A159" s="151" t="str">
        <f t="array" ref="A159">IFERROR(INDEX(Sales!$E$7:$E$1506,MATCH(ROW()-4,Sales!$W$7:$W$1506,0)),"")</f>
        <v/>
      </c>
      <c r="B159" s="152" t="str">
        <f t="array" ref="B159">IF($A159="","",IFERROR(INDEX(Sales!$A:$A,MATCH($A159,Sales!$E:$E,0)),""))</f>
        <v/>
      </c>
      <c r="C159" s="153" t="str">
        <f t="array" ref="C159">IF($A159="","",IFERROR(INDEX(Sales!$D:$D,MATCH($A159,Sales!$E:$E,0)),""))</f>
        <v/>
      </c>
      <c r="D159" s="153" t="str">
        <f t="array" ref="D159">IF($A159="","",IFERROR(INDEX(Sales!$C:$C,MATCH($A159,Sales!$E:$E,0)),""))</f>
        <v/>
      </c>
      <c r="E159" s="154" t="str">
        <f>IF($A159="","",SUMIFS(Sales!$H:$H,Sales!$E:$E,$A159,Sales!$B:$B,"&lt;&gt;Return"))</f>
        <v/>
      </c>
      <c r="F159" s="155" t="str">
        <f>IF($A159="","",SUMIF(Sales!$E:$E,$A159,Sales!$L:$L))</f>
        <v/>
      </c>
      <c r="G159" s="155" t="str">
        <f>IF($A159="","",SUMIF(Sales!$E:$E,$A159,Sales!$P:$P))</f>
        <v/>
      </c>
      <c r="H159" s="156" t="str">
        <f t="array" ref="H159">IF($A159="","",IFERROR(INDEX(Orders!$O$5:$O$1004,MATCH($A159,Orders!$N$5:$N$1004,0)),""))</f>
        <v/>
      </c>
      <c r="I159" s="156" t="str">
        <f t="array" ref="I159">IF($A159="","",IFERROR(INDEX(Orders!$P$5:$P$1004,MATCH($A159,Orders!$N$5:$N$1004,0)),""))</f>
        <v/>
      </c>
      <c r="J159" s="157" t="str">
        <f t="shared" si="1"/>
        <v/>
      </c>
      <c r="K159" s="153" t="str">
        <f t="array" ref="K159">IF($A159="","",IFERROR(INDEX(Sales!$M:$M,MATCH($A159,Sales!$E:$E,0)),""))</f>
        <v/>
      </c>
      <c r="L159" s="158" t="str">
        <f t="shared" si="2"/>
        <v/>
      </c>
      <c r="N159" s="49" t="str">
        <f t="array" ref="N159">IFERROR(INDEX(Sales!$E$7:$E$1506,MATCH(ROW()-4,Sales!$V$7:$V$1506,0)),"")</f>
        <v/>
      </c>
      <c r="O159" s="67"/>
      <c r="P159" s="67"/>
    </row>
    <row r="160" ht="14.25" customHeight="1">
      <c r="A160" s="151" t="str">
        <f t="array" ref="A160">IFERROR(INDEX(Sales!$E$7:$E$1506,MATCH(ROW()-4,Sales!$W$7:$W$1506,0)),"")</f>
        <v/>
      </c>
      <c r="B160" s="152" t="str">
        <f t="array" ref="B160">IF($A160="","",IFERROR(INDEX(Sales!$A:$A,MATCH($A160,Sales!$E:$E,0)),""))</f>
        <v/>
      </c>
      <c r="C160" s="153" t="str">
        <f t="array" ref="C160">IF($A160="","",IFERROR(INDEX(Sales!$D:$D,MATCH($A160,Sales!$E:$E,0)),""))</f>
        <v/>
      </c>
      <c r="D160" s="153" t="str">
        <f t="array" ref="D160">IF($A160="","",IFERROR(INDEX(Sales!$C:$C,MATCH($A160,Sales!$E:$E,0)),""))</f>
        <v/>
      </c>
      <c r="E160" s="154" t="str">
        <f>IF($A160="","",SUMIFS(Sales!$H:$H,Sales!$E:$E,$A160,Sales!$B:$B,"&lt;&gt;Return"))</f>
        <v/>
      </c>
      <c r="F160" s="155" t="str">
        <f>IF($A160="","",SUMIF(Sales!$E:$E,$A160,Sales!$L:$L))</f>
        <v/>
      </c>
      <c r="G160" s="155" t="str">
        <f>IF($A160="","",SUMIF(Sales!$E:$E,$A160,Sales!$P:$P))</f>
        <v/>
      </c>
      <c r="H160" s="156" t="str">
        <f t="array" ref="H160">IF($A160="","",IFERROR(INDEX(Orders!$O$5:$O$1004,MATCH($A160,Orders!$N$5:$N$1004,0)),""))</f>
        <v/>
      </c>
      <c r="I160" s="156" t="str">
        <f t="array" ref="I160">IF($A160="","",IFERROR(INDEX(Orders!$P$5:$P$1004,MATCH($A160,Orders!$N$5:$N$1004,0)),""))</f>
        <v/>
      </c>
      <c r="J160" s="157" t="str">
        <f t="shared" si="1"/>
        <v/>
      </c>
      <c r="K160" s="153" t="str">
        <f t="array" ref="K160">IF($A160="","",IFERROR(INDEX(Sales!$M:$M,MATCH($A160,Sales!$E:$E,0)),""))</f>
        <v/>
      </c>
      <c r="L160" s="158" t="str">
        <f t="shared" si="2"/>
        <v/>
      </c>
      <c r="N160" s="49" t="str">
        <f t="array" ref="N160">IFERROR(INDEX(Sales!$E$7:$E$1506,MATCH(ROW()-4,Sales!$V$7:$V$1506,0)),"")</f>
        <v/>
      </c>
      <c r="O160" s="67"/>
      <c r="P160" s="67"/>
    </row>
    <row r="161" ht="14.25" customHeight="1">
      <c r="A161" s="151" t="str">
        <f t="array" ref="A161">IFERROR(INDEX(Sales!$E$7:$E$1506,MATCH(ROW()-4,Sales!$W$7:$W$1506,0)),"")</f>
        <v/>
      </c>
      <c r="B161" s="152" t="str">
        <f t="array" ref="B161">IF($A161="","",IFERROR(INDEX(Sales!$A:$A,MATCH($A161,Sales!$E:$E,0)),""))</f>
        <v/>
      </c>
      <c r="C161" s="153" t="str">
        <f t="array" ref="C161">IF($A161="","",IFERROR(INDEX(Sales!$D:$D,MATCH($A161,Sales!$E:$E,0)),""))</f>
        <v/>
      </c>
      <c r="D161" s="153" t="str">
        <f t="array" ref="D161">IF($A161="","",IFERROR(INDEX(Sales!$C:$C,MATCH($A161,Sales!$E:$E,0)),""))</f>
        <v/>
      </c>
      <c r="E161" s="154" t="str">
        <f>IF($A161="","",SUMIFS(Sales!$H:$H,Sales!$E:$E,$A161,Sales!$B:$B,"&lt;&gt;Return"))</f>
        <v/>
      </c>
      <c r="F161" s="155" t="str">
        <f>IF($A161="","",SUMIF(Sales!$E:$E,$A161,Sales!$L:$L))</f>
        <v/>
      </c>
      <c r="G161" s="155" t="str">
        <f>IF($A161="","",SUMIF(Sales!$E:$E,$A161,Sales!$P:$P))</f>
        <v/>
      </c>
      <c r="H161" s="156" t="str">
        <f t="array" ref="H161">IF($A161="","",IFERROR(INDEX(Orders!$O$5:$O$1004,MATCH($A161,Orders!$N$5:$N$1004,0)),""))</f>
        <v/>
      </c>
      <c r="I161" s="156" t="str">
        <f t="array" ref="I161">IF($A161="","",IFERROR(INDEX(Orders!$P$5:$P$1004,MATCH($A161,Orders!$N$5:$N$1004,0)),""))</f>
        <v/>
      </c>
      <c r="J161" s="157" t="str">
        <f t="shared" si="1"/>
        <v/>
      </c>
      <c r="K161" s="153" t="str">
        <f t="array" ref="K161">IF($A161="","",IFERROR(INDEX(Sales!$M:$M,MATCH($A161,Sales!$E:$E,0)),""))</f>
        <v/>
      </c>
      <c r="L161" s="158" t="str">
        <f t="shared" si="2"/>
        <v/>
      </c>
      <c r="N161" s="49" t="str">
        <f t="array" ref="N161">IFERROR(INDEX(Sales!$E$7:$E$1506,MATCH(ROW()-4,Sales!$V$7:$V$1506,0)),"")</f>
        <v/>
      </c>
      <c r="O161" s="67"/>
      <c r="P161" s="67"/>
    </row>
    <row r="162" ht="14.25" customHeight="1">
      <c r="A162" s="151" t="str">
        <f t="array" ref="A162">IFERROR(INDEX(Sales!$E$7:$E$1506,MATCH(ROW()-4,Sales!$W$7:$W$1506,0)),"")</f>
        <v/>
      </c>
      <c r="B162" s="152" t="str">
        <f t="array" ref="B162">IF($A162="","",IFERROR(INDEX(Sales!$A:$A,MATCH($A162,Sales!$E:$E,0)),""))</f>
        <v/>
      </c>
      <c r="C162" s="153" t="str">
        <f t="array" ref="C162">IF($A162="","",IFERROR(INDEX(Sales!$D:$D,MATCH($A162,Sales!$E:$E,0)),""))</f>
        <v/>
      </c>
      <c r="D162" s="153" t="str">
        <f t="array" ref="D162">IF($A162="","",IFERROR(INDEX(Sales!$C:$C,MATCH($A162,Sales!$E:$E,0)),""))</f>
        <v/>
      </c>
      <c r="E162" s="154" t="str">
        <f>IF($A162="","",SUMIFS(Sales!$H:$H,Sales!$E:$E,$A162,Sales!$B:$B,"&lt;&gt;Return"))</f>
        <v/>
      </c>
      <c r="F162" s="155" t="str">
        <f>IF($A162="","",SUMIF(Sales!$E:$E,$A162,Sales!$L:$L))</f>
        <v/>
      </c>
      <c r="G162" s="155" t="str">
        <f>IF($A162="","",SUMIF(Sales!$E:$E,$A162,Sales!$P:$P))</f>
        <v/>
      </c>
      <c r="H162" s="156" t="str">
        <f t="array" ref="H162">IF($A162="","",IFERROR(INDEX(Orders!$O$5:$O$1004,MATCH($A162,Orders!$N$5:$N$1004,0)),""))</f>
        <v/>
      </c>
      <c r="I162" s="156" t="str">
        <f t="array" ref="I162">IF($A162="","",IFERROR(INDEX(Orders!$P$5:$P$1004,MATCH($A162,Orders!$N$5:$N$1004,0)),""))</f>
        <v/>
      </c>
      <c r="J162" s="157" t="str">
        <f t="shared" si="1"/>
        <v/>
      </c>
      <c r="K162" s="153" t="str">
        <f t="array" ref="K162">IF($A162="","",IFERROR(INDEX(Sales!$M:$M,MATCH($A162,Sales!$E:$E,0)),""))</f>
        <v/>
      </c>
      <c r="L162" s="158" t="str">
        <f t="shared" si="2"/>
        <v/>
      </c>
      <c r="N162" s="49" t="str">
        <f t="array" ref="N162">IFERROR(INDEX(Sales!$E$7:$E$1506,MATCH(ROW()-4,Sales!$V$7:$V$1506,0)),"")</f>
        <v/>
      </c>
      <c r="O162" s="67"/>
      <c r="P162" s="67"/>
    </row>
    <row r="163" ht="14.25" customHeight="1">
      <c r="A163" s="151" t="str">
        <f t="array" ref="A163">IFERROR(INDEX(Sales!$E$7:$E$1506,MATCH(ROW()-4,Sales!$W$7:$W$1506,0)),"")</f>
        <v/>
      </c>
      <c r="B163" s="152" t="str">
        <f t="array" ref="B163">IF($A163="","",IFERROR(INDEX(Sales!$A:$A,MATCH($A163,Sales!$E:$E,0)),""))</f>
        <v/>
      </c>
      <c r="C163" s="153" t="str">
        <f t="array" ref="C163">IF($A163="","",IFERROR(INDEX(Sales!$D:$D,MATCH($A163,Sales!$E:$E,0)),""))</f>
        <v/>
      </c>
      <c r="D163" s="153" t="str">
        <f t="array" ref="D163">IF($A163="","",IFERROR(INDEX(Sales!$C:$C,MATCH($A163,Sales!$E:$E,0)),""))</f>
        <v/>
      </c>
      <c r="E163" s="154" t="str">
        <f>IF($A163="","",SUMIFS(Sales!$H:$H,Sales!$E:$E,$A163,Sales!$B:$B,"&lt;&gt;Return"))</f>
        <v/>
      </c>
      <c r="F163" s="155" t="str">
        <f>IF($A163="","",SUMIF(Sales!$E:$E,$A163,Sales!$L:$L))</f>
        <v/>
      </c>
      <c r="G163" s="155" t="str">
        <f>IF($A163="","",SUMIF(Sales!$E:$E,$A163,Sales!$P:$P))</f>
        <v/>
      </c>
      <c r="H163" s="156" t="str">
        <f t="array" ref="H163">IF($A163="","",IFERROR(INDEX(Orders!$O$5:$O$1004,MATCH($A163,Orders!$N$5:$N$1004,0)),""))</f>
        <v/>
      </c>
      <c r="I163" s="156" t="str">
        <f t="array" ref="I163">IF($A163="","",IFERROR(INDEX(Orders!$P$5:$P$1004,MATCH($A163,Orders!$N$5:$N$1004,0)),""))</f>
        <v/>
      </c>
      <c r="J163" s="157" t="str">
        <f t="shared" si="1"/>
        <v/>
      </c>
      <c r="K163" s="153" t="str">
        <f t="array" ref="K163">IF($A163="","",IFERROR(INDEX(Sales!$M:$M,MATCH($A163,Sales!$E:$E,0)),""))</f>
        <v/>
      </c>
      <c r="L163" s="158" t="str">
        <f t="shared" si="2"/>
        <v/>
      </c>
      <c r="N163" s="49" t="str">
        <f t="array" ref="N163">IFERROR(INDEX(Sales!$E$7:$E$1506,MATCH(ROW()-4,Sales!$V$7:$V$1506,0)),"")</f>
        <v/>
      </c>
      <c r="O163" s="67"/>
      <c r="P163" s="67"/>
    </row>
    <row r="164" ht="14.25" customHeight="1">
      <c r="A164" s="151" t="str">
        <f t="array" ref="A164">IFERROR(INDEX(Sales!$E$7:$E$1506,MATCH(ROW()-4,Sales!$W$7:$W$1506,0)),"")</f>
        <v/>
      </c>
      <c r="B164" s="152" t="str">
        <f t="array" ref="B164">IF($A164="","",IFERROR(INDEX(Sales!$A:$A,MATCH($A164,Sales!$E:$E,0)),""))</f>
        <v/>
      </c>
      <c r="C164" s="153" t="str">
        <f t="array" ref="C164">IF($A164="","",IFERROR(INDEX(Sales!$D:$D,MATCH($A164,Sales!$E:$E,0)),""))</f>
        <v/>
      </c>
      <c r="D164" s="153" t="str">
        <f t="array" ref="D164">IF($A164="","",IFERROR(INDEX(Sales!$C:$C,MATCH($A164,Sales!$E:$E,0)),""))</f>
        <v/>
      </c>
      <c r="E164" s="154" t="str">
        <f>IF($A164="","",SUMIFS(Sales!$H:$H,Sales!$E:$E,$A164,Sales!$B:$B,"&lt;&gt;Return"))</f>
        <v/>
      </c>
      <c r="F164" s="155" t="str">
        <f>IF($A164="","",SUMIF(Sales!$E:$E,$A164,Sales!$L:$L))</f>
        <v/>
      </c>
      <c r="G164" s="155" t="str">
        <f>IF($A164="","",SUMIF(Sales!$E:$E,$A164,Sales!$P:$P))</f>
        <v/>
      </c>
      <c r="H164" s="156" t="str">
        <f t="array" ref="H164">IF($A164="","",IFERROR(INDEX(Orders!$O$5:$O$1004,MATCH($A164,Orders!$N$5:$N$1004,0)),""))</f>
        <v/>
      </c>
      <c r="I164" s="156" t="str">
        <f t="array" ref="I164">IF($A164="","",IFERROR(INDEX(Orders!$P$5:$P$1004,MATCH($A164,Orders!$N$5:$N$1004,0)),""))</f>
        <v/>
      </c>
      <c r="J164" s="157" t="str">
        <f t="shared" si="1"/>
        <v/>
      </c>
      <c r="K164" s="153" t="str">
        <f t="array" ref="K164">IF($A164="","",IFERROR(INDEX(Sales!$M:$M,MATCH($A164,Sales!$E:$E,0)),""))</f>
        <v/>
      </c>
      <c r="L164" s="158" t="str">
        <f t="shared" si="2"/>
        <v/>
      </c>
      <c r="N164" s="49" t="str">
        <f t="array" ref="N164">IFERROR(INDEX(Sales!$E$7:$E$1506,MATCH(ROW()-4,Sales!$V$7:$V$1506,0)),"")</f>
        <v/>
      </c>
      <c r="O164" s="67"/>
      <c r="P164" s="67"/>
    </row>
    <row r="165" ht="14.25" customHeight="1">
      <c r="A165" s="151" t="str">
        <f t="array" ref="A165">IFERROR(INDEX(Sales!$E$7:$E$1506,MATCH(ROW()-4,Sales!$W$7:$W$1506,0)),"")</f>
        <v/>
      </c>
      <c r="B165" s="152" t="str">
        <f t="array" ref="B165">IF($A165="","",IFERROR(INDEX(Sales!$A:$A,MATCH($A165,Sales!$E:$E,0)),""))</f>
        <v/>
      </c>
      <c r="C165" s="153" t="str">
        <f t="array" ref="C165">IF($A165="","",IFERROR(INDEX(Sales!$D:$D,MATCH($A165,Sales!$E:$E,0)),""))</f>
        <v/>
      </c>
      <c r="D165" s="153" t="str">
        <f t="array" ref="D165">IF($A165="","",IFERROR(INDEX(Sales!$C:$C,MATCH($A165,Sales!$E:$E,0)),""))</f>
        <v/>
      </c>
      <c r="E165" s="154" t="str">
        <f>IF($A165="","",SUMIFS(Sales!$H:$H,Sales!$E:$E,$A165,Sales!$B:$B,"&lt;&gt;Return"))</f>
        <v/>
      </c>
      <c r="F165" s="155" t="str">
        <f>IF($A165="","",SUMIF(Sales!$E:$E,$A165,Sales!$L:$L))</f>
        <v/>
      </c>
      <c r="G165" s="155" t="str">
        <f>IF($A165="","",SUMIF(Sales!$E:$E,$A165,Sales!$P:$P))</f>
        <v/>
      </c>
      <c r="H165" s="156" t="str">
        <f t="array" ref="H165">IF($A165="","",IFERROR(INDEX(Orders!$O$5:$O$1004,MATCH($A165,Orders!$N$5:$N$1004,0)),""))</f>
        <v/>
      </c>
      <c r="I165" s="156" t="str">
        <f t="array" ref="I165">IF($A165="","",IFERROR(INDEX(Orders!$P$5:$P$1004,MATCH($A165,Orders!$N$5:$N$1004,0)),""))</f>
        <v/>
      </c>
      <c r="J165" s="157" t="str">
        <f t="shared" si="1"/>
        <v/>
      </c>
      <c r="K165" s="153" t="str">
        <f t="array" ref="K165">IF($A165="","",IFERROR(INDEX(Sales!$M:$M,MATCH($A165,Sales!$E:$E,0)),""))</f>
        <v/>
      </c>
      <c r="L165" s="158" t="str">
        <f t="shared" si="2"/>
        <v/>
      </c>
      <c r="N165" s="49" t="str">
        <f t="array" ref="N165">IFERROR(INDEX(Sales!$E$7:$E$1506,MATCH(ROW()-4,Sales!$V$7:$V$1506,0)),"")</f>
        <v/>
      </c>
      <c r="O165" s="67"/>
      <c r="P165" s="67"/>
    </row>
    <row r="166" ht="14.25" customHeight="1">
      <c r="A166" s="151" t="str">
        <f t="array" ref="A166">IFERROR(INDEX(Sales!$E$7:$E$1506,MATCH(ROW()-4,Sales!$W$7:$W$1506,0)),"")</f>
        <v/>
      </c>
      <c r="B166" s="152" t="str">
        <f t="array" ref="B166">IF($A166="","",IFERROR(INDEX(Sales!$A:$A,MATCH($A166,Sales!$E:$E,0)),""))</f>
        <v/>
      </c>
      <c r="C166" s="153" t="str">
        <f t="array" ref="C166">IF($A166="","",IFERROR(INDEX(Sales!$D:$D,MATCH($A166,Sales!$E:$E,0)),""))</f>
        <v/>
      </c>
      <c r="D166" s="153" t="str">
        <f t="array" ref="D166">IF($A166="","",IFERROR(INDEX(Sales!$C:$C,MATCH($A166,Sales!$E:$E,0)),""))</f>
        <v/>
      </c>
      <c r="E166" s="154" t="str">
        <f>IF($A166="","",SUMIFS(Sales!$H:$H,Sales!$E:$E,$A166,Sales!$B:$B,"&lt;&gt;Return"))</f>
        <v/>
      </c>
      <c r="F166" s="155" t="str">
        <f>IF($A166="","",SUMIF(Sales!$E:$E,$A166,Sales!$L:$L))</f>
        <v/>
      </c>
      <c r="G166" s="155" t="str">
        <f>IF($A166="","",SUMIF(Sales!$E:$E,$A166,Sales!$P:$P))</f>
        <v/>
      </c>
      <c r="H166" s="156" t="str">
        <f t="array" ref="H166">IF($A166="","",IFERROR(INDEX(Orders!$O$5:$O$1004,MATCH($A166,Orders!$N$5:$N$1004,0)),""))</f>
        <v/>
      </c>
      <c r="I166" s="156" t="str">
        <f t="array" ref="I166">IF($A166="","",IFERROR(INDEX(Orders!$P$5:$P$1004,MATCH($A166,Orders!$N$5:$N$1004,0)),""))</f>
        <v/>
      </c>
      <c r="J166" s="157" t="str">
        <f t="shared" si="1"/>
        <v/>
      </c>
      <c r="K166" s="153" t="str">
        <f t="array" ref="K166">IF($A166="","",IFERROR(INDEX(Sales!$M:$M,MATCH($A166,Sales!$E:$E,0)),""))</f>
        <v/>
      </c>
      <c r="L166" s="158" t="str">
        <f t="shared" si="2"/>
        <v/>
      </c>
      <c r="N166" s="49" t="str">
        <f t="array" ref="N166">IFERROR(INDEX(Sales!$E$7:$E$1506,MATCH(ROW()-4,Sales!$V$7:$V$1506,0)),"")</f>
        <v/>
      </c>
      <c r="O166" s="67"/>
      <c r="P166" s="67"/>
    </row>
    <row r="167" ht="14.25" customHeight="1">
      <c r="A167" s="151" t="str">
        <f t="array" ref="A167">IFERROR(INDEX(Sales!$E$7:$E$1506,MATCH(ROW()-4,Sales!$W$7:$W$1506,0)),"")</f>
        <v/>
      </c>
      <c r="B167" s="152" t="str">
        <f t="array" ref="B167">IF($A167="","",IFERROR(INDEX(Sales!$A:$A,MATCH($A167,Sales!$E:$E,0)),""))</f>
        <v/>
      </c>
      <c r="C167" s="153" t="str">
        <f t="array" ref="C167">IF($A167="","",IFERROR(INDEX(Sales!$D:$D,MATCH($A167,Sales!$E:$E,0)),""))</f>
        <v/>
      </c>
      <c r="D167" s="153" t="str">
        <f t="array" ref="D167">IF($A167="","",IFERROR(INDEX(Sales!$C:$C,MATCH($A167,Sales!$E:$E,0)),""))</f>
        <v/>
      </c>
      <c r="E167" s="154" t="str">
        <f>IF($A167="","",SUMIFS(Sales!$H:$H,Sales!$E:$E,$A167,Sales!$B:$B,"&lt;&gt;Return"))</f>
        <v/>
      </c>
      <c r="F167" s="155" t="str">
        <f>IF($A167="","",SUMIF(Sales!$E:$E,$A167,Sales!$L:$L))</f>
        <v/>
      </c>
      <c r="G167" s="155" t="str">
        <f>IF($A167="","",SUMIF(Sales!$E:$E,$A167,Sales!$P:$P))</f>
        <v/>
      </c>
      <c r="H167" s="156" t="str">
        <f t="array" ref="H167">IF($A167="","",IFERROR(INDEX(Orders!$O$5:$O$1004,MATCH($A167,Orders!$N$5:$N$1004,0)),""))</f>
        <v/>
      </c>
      <c r="I167" s="156" t="str">
        <f t="array" ref="I167">IF($A167="","",IFERROR(INDEX(Orders!$P$5:$P$1004,MATCH($A167,Orders!$N$5:$N$1004,0)),""))</f>
        <v/>
      </c>
      <c r="J167" s="157" t="str">
        <f t="shared" si="1"/>
        <v/>
      </c>
      <c r="K167" s="153" t="str">
        <f t="array" ref="K167">IF($A167="","",IFERROR(INDEX(Sales!$M:$M,MATCH($A167,Sales!$E:$E,0)),""))</f>
        <v/>
      </c>
      <c r="L167" s="158" t="str">
        <f t="shared" si="2"/>
        <v/>
      </c>
      <c r="N167" s="49" t="str">
        <f t="array" ref="N167">IFERROR(INDEX(Sales!$E$7:$E$1506,MATCH(ROW()-4,Sales!$V$7:$V$1506,0)),"")</f>
        <v/>
      </c>
      <c r="O167" s="67"/>
      <c r="P167" s="67"/>
    </row>
    <row r="168" ht="14.25" customHeight="1">
      <c r="A168" s="151" t="str">
        <f t="array" ref="A168">IFERROR(INDEX(Sales!$E$7:$E$1506,MATCH(ROW()-4,Sales!$W$7:$W$1506,0)),"")</f>
        <v/>
      </c>
      <c r="B168" s="152" t="str">
        <f t="array" ref="B168">IF($A168="","",IFERROR(INDEX(Sales!$A:$A,MATCH($A168,Sales!$E:$E,0)),""))</f>
        <v/>
      </c>
      <c r="C168" s="153" t="str">
        <f t="array" ref="C168">IF($A168="","",IFERROR(INDEX(Sales!$D:$D,MATCH($A168,Sales!$E:$E,0)),""))</f>
        <v/>
      </c>
      <c r="D168" s="153" t="str">
        <f t="array" ref="D168">IF($A168="","",IFERROR(INDEX(Sales!$C:$C,MATCH($A168,Sales!$E:$E,0)),""))</f>
        <v/>
      </c>
      <c r="E168" s="154" t="str">
        <f>IF($A168="","",SUMIFS(Sales!$H:$H,Sales!$E:$E,$A168,Sales!$B:$B,"&lt;&gt;Return"))</f>
        <v/>
      </c>
      <c r="F168" s="155" t="str">
        <f>IF($A168="","",SUMIF(Sales!$E:$E,$A168,Sales!$L:$L))</f>
        <v/>
      </c>
      <c r="G168" s="155" t="str">
        <f>IF($A168="","",SUMIF(Sales!$E:$E,$A168,Sales!$P:$P))</f>
        <v/>
      </c>
      <c r="H168" s="156" t="str">
        <f t="array" ref="H168">IF($A168="","",IFERROR(INDEX(Orders!$O$5:$O$1004,MATCH($A168,Orders!$N$5:$N$1004,0)),""))</f>
        <v/>
      </c>
      <c r="I168" s="156" t="str">
        <f t="array" ref="I168">IF($A168="","",IFERROR(INDEX(Orders!$P$5:$P$1004,MATCH($A168,Orders!$N$5:$N$1004,0)),""))</f>
        <v/>
      </c>
      <c r="J168" s="157" t="str">
        <f t="shared" si="1"/>
        <v/>
      </c>
      <c r="K168" s="153" t="str">
        <f t="array" ref="K168">IF($A168="","",IFERROR(INDEX(Sales!$M:$M,MATCH($A168,Sales!$E:$E,0)),""))</f>
        <v/>
      </c>
      <c r="L168" s="158" t="str">
        <f t="shared" si="2"/>
        <v/>
      </c>
      <c r="N168" s="49" t="str">
        <f t="array" ref="N168">IFERROR(INDEX(Sales!$E$7:$E$1506,MATCH(ROW()-4,Sales!$V$7:$V$1506,0)),"")</f>
        <v/>
      </c>
      <c r="O168" s="67"/>
      <c r="P168" s="67"/>
    </row>
    <row r="169" ht="14.25" customHeight="1">
      <c r="A169" s="151" t="str">
        <f t="array" ref="A169">IFERROR(INDEX(Sales!$E$7:$E$1506,MATCH(ROW()-4,Sales!$W$7:$W$1506,0)),"")</f>
        <v/>
      </c>
      <c r="B169" s="152" t="str">
        <f t="array" ref="B169">IF($A169="","",IFERROR(INDEX(Sales!$A:$A,MATCH($A169,Sales!$E:$E,0)),""))</f>
        <v/>
      </c>
      <c r="C169" s="153" t="str">
        <f t="array" ref="C169">IF($A169="","",IFERROR(INDEX(Sales!$D:$D,MATCH($A169,Sales!$E:$E,0)),""))</f>
        <v/>
      </c>
      <c r="D169" s="153" t="str">
        <f t="array" ref="D169">IF($A169="","",IFERROR(INDEX(Sales!$C:$C,MATCH($A169,Sales!$E:$E,0)),""))</f>
        <v/>
      </c>
      <c r="E169" s="154" t="str">
        <f>IF($A169="","",SUMIFS(Sales!$H:$H,Sales!$E:$E,$A169,Sales!$B:$B,"&lt;&gt;Return"))</f>
        <v/>
      </c>
      <c r="F169" s="155" t="str">
        <f>IF($A169="","",SUMIF(Sales!$E:$E,$A169,Sales!$L:$L))</f>
        <v/>
      </c>
      <c r="G169" s="155" t="str">
        <f>IF($A169="","",SUMIF(Sales!$E:$E,$A169,Sales!$P:$P))</f>
        <v/>
      </c>
      <c r="H169" s="156" t="str">
        <f t="array" ref="H169">IF($A169="","",IFERROR(INDEX(Orders!$O$5:$O$1004,MATCH($A169,Orders!$N$5:$N$1004,0)),""))</f>
        <v/>
      </c>
      <c r="I169" s="156" t="str">
        <f t="array" ref="I169">IF($A169="","",IFERROR(INDEX(Orders!$P$5:$P$1004,MATCH($A169,Orders!$N$5:$N$1004,0)),""))</f>
        <v/>
      </c>
      <c r="J169" s="157" t="str">
        <f t="shared" si="1"/>
        <v/>
      </c>
      <c r="K169" s="153" t="str">
        <f t="array" ref="K169">IF($A169="","",IFERROR(INDEX(Sales!$M:$M,MATCH($A169,Sales!$E:$E,0)),""))</f>
        <v/>
      </c>
      <c r="L169" s="158" t="str">
        <f t="shared" si="2"/>
        <v/>
      </c>
      <c r="N169" s="49" t="str">
        <f t="array" ref="N169">IFERROR(INDEX(Sales!$E$7:$E$1506,MATCH(ROW()-4,Sales!$V$7:$V$1506,0)),"")</f>
        <v/>
      </c>
      <c r="O169" s="67"/>
      <c r="P169" s="67"/>
    </row>
    <row r="170" ht="14.25" customHeight="1">
      <c r="A170" s="151" t="str">
        <f t="array" ref="A170">IFERROR(INDEX(Sales!$E$7:$E$1506,MATCH(ROW()-4,Sales!$W$7:$W$1506,0)),"")</f>
        <v/>
      </c>
      <c r="B170" s="152" t="str">
        <f t="array" ref="B170">IF($A170="","",IFERROR(INDEX(Sales!$A:$A,MATCH($A170,Sales!$E:$E,0)),""))</f>
        <v/>
      </c>
      <c r="C170" s="153" t="str">
        <f t="array" ref="C170">IF($A170="","",IFERROR(INDEX(Sales!$D:$D,MATCH($A170,Sales!$E:$E,0)),""))</f>
        <v/>
      </c>
      <c r="D170" s="153" t="str">
        <f t="array" ref="D170">IF($A170="","",IFERROR(INDEX(Sales!$C:$C,MATCH($A170,Sales!$E:$E,0)),""))</f>
        <v/>
      </c>
      <c r="E170" s="154" t="str">
        <f>IF($A170="","",SUMIFS(Sales!$H:$H,Sales!$E:$E,$A170,Sales!$B:$B,"&lt;&gt;Return"))</f>
        <v/>
      </c>
      <c r="F170" s="155" t="str">
        <f>IF($A170="","",SUMIF(Sales!$E:$E,$A170,Sales!$L:$L))</f>
        <v/>
      </c>
      <c r="G170" s="155" t="str">
        <f>IF($A170="","",SUMIF(Sales!$E:$E,$A170,Sales!$P:$P))</f>
        <v/>
      </c>
      <c r="H170" s="156" t="str">
        <f t="array" ref="H170">IF($A170="","",IFERROR(INDEX(Orders!$O$5:$O$1004,MATCH($A170,Orders!$N$5:$N$1004,0)),""))</f>
        <v/>
      </c>
      <c r="I170" s="156" t="str">
        <f t="array" ref="I170">IF($A170="","",IFERROR(INDEX(Orders!$P$5:$P$1004,MATCH($A170,Orders!$N$5:$N$1004,0)),""))</f>
        <v/>
      </c>
      <c r="J170" s="157" t="str">
        <f t="shared" si="1"/>
        <v/>
      </c>
      <c r="K170" s="153" t="str">
        <f t="array" ref="K170">IF($A170="","",IFERROR(INDEX(Sales!$M:$M,MATCH($A170,Sales!$E:$E,0)),""))</f>
        <v/>
      </c>
      <c r="L170" s="158" t="str">
        <f t="shared" si="2"/>
        <v/>
      </c>
      <c r="N170" s="49" t="str">
        <f t="array" ref="N170">IFERROR(INDEX(Sales!$E$7:$E$1506,MATCH(ROW()-4,Sales!$V$7:$V$1506,0)),"")</f>
        <v/>
      </c>
      <c r="O170" s="67"/>
      <c r="P170" s="67"/>
    </row>
    <row r="171" ht="14.25" customHeight="1">
      <c r="A171" s="151" t="str">
        <f t="array" ref="A171">IFERROR(INDEX(Sales!$E$7:$E$1506,MATCH(ROW()-4,Sales!$W$7:$W$1506,0)),"")</f>
        <v/>
      </c>
      <c r="B171" s="152" t="str">
        <f t="array" ref="B171">IF($A171="","",IFERROR(INDEX(Sales!$A:$A,MATCH($A171,Sales!$E:$E,0)),""))</f>
        <v/>
      </c>
      <c r="C171" s="153" t="str">
        <f t="array" ref="C171">IF($A171="","",IFERROR(INDEX(Sales!$D:$D,MATCH($A171,Sales!$E:$E,0)),""))</f>
        <v/>
      </c>
      <c r="D171" s="153" t="str">
        <f t="array" ref="D171">IF($A171="","",IFERROR(INDEX(Sales!$C:$C,MATCH($A171,Sales!$E:$E,0)),""))</f>
        <v/>
      </c>
      <c r="E171" s="154" t="str">
        <f>IF($A171="","",SUMIFS(Sales!$H:$H,Sales!$E:$E,$A171,Sales!$B:$B,"&lt;&gt;Return"))</f>
        <v/>
      </c>
      <c r="F171" s="155" t="str">
        <f>IF($A171="","",SUMIF(Sales!$E:$E,$A171,Sales!$L:$L))</f>
        <v/>
      </c>
      <c r="G171" s="155" t="str">
        <f>IF($A171="","",SUMIF(Sales!$E:$E,$A171,Sales!$P:$P))</f>
        <v/>
      </c>
      <c r="H171" s="156" t="str">
        <f t="array" ref="H171">IF($A171="","",IFERROR(INDEX(Orders!$O$5:$O$1004,MATCH($A171,Orders!$N$5:$N$1004,0)),""))</f>
        <v/>
      </c>
      <c r="I171" s="156" t="str">
        <f t="array" ref="I171">IF($A171="","",IFERROR(INDEX(Orders!$P$5:$P$1004,MATCH($A171,Orders!$N$5:$N$1004,0)),""))</f>
        <v/>
      </c>
      <c r="J171" s="157" t="str">
        <f t="shared" si="1"/>
        <v/>
      </c>
      <c r="K171" s="153" t="str">
        <f t="array" ref="K171">IF($A171="","",IFERROR(INDEX(Sales!$M:$M,MATCH($A171,Sales!$E:$E,0)),""))</f>
        <v/>
      </c>
      <c r="L171" s="158" t="str">
        <f t="shared" si="2"/>
        <v/>
      </c>
      <c r="N171" s="49" t="str">
        <f t="array" ref="N171">IFERROR(INDEX(Sales!$E$7:$E$1506,MATCH(ROW()-4,Sales!$V$7:$V$1506,0)),"")</f>
        <v/>
      </c>
      <c r="O171" s="67"/>
      <c r="P171" s="67"/>
    </row>
    <row r="172" ht="14.25" customHeight="1">
      <c r="A172" s="151" t="str">
        <f t="array" ref="A172">IFERROR(INDEX(Sales!$E$7:$E$1506,MATCH(ROW()-4,Sales!$W$7:$W$1506,0)),"")</f>
        <v/>
      </c>
      <c r="B172" s="152" t="str">
        <f t="array" ref="B172">IF($A172="","",IFERROR(INDEX(Sales!$A:$A,MATCH($A172,Sales!$E:$E,0)),""))</f>
        <v/>
      </c>
      <c r="C172" s="153" t="str">
        <f t="array" ref="C172">IF($A172="","",IFERROR(INDEX(Sales!$D:$D,MATCH($A172,Sales!$E:$E,0)),""))</f>
        <v/>
      </c>
      <c r="D172" s="153" t="str">
        <f t="array" ref="D172">IF($A172="","",IFERROR(INDEX(Sales!$C:$C,MATCH($A172,Sales!$E:$E,0)),""))</f>
        <v/>
      </c>
      <c r="E172" s="154" t="str">
        <f>IF($A172="","",SUMIFS(Sales!$H:$H,Sales!$E:$E,$A172,Sales!$B:$B,"&lt;&gt;Return"))</f>
        <v/>
      </c>
      <c r="F172" s="155" t="str">
        <f>IF($A172="","",SUMIF(Sales!$E:$E,$A172,Sales!$L:$L))</f>
        <v/>
      </c>
      <c r="G172" s="155" t="str">
        <f>IF($A172="","",SUMIF(Sales!$E:$E,$A172,Sales!$P:$P))</f>
        <v/>
      </c>
      <c r="H172" s="156" t="str">
        <f t="array" ref="H172">IF($A172="","",IFERROR(INDEX(Orders!$O$5:$O$1004,MATCH($A172,Orders!$N$5:$N$1004,0)),""))</f>
        <v/>
      </c>
      <c r="I172" s="156" t="str">
        <f t="array" ref="I172">IF($A172="","",IFERROR(INDEX(Orders!$P$5:$P$1004,MATCH($A172,Orders!$N$5:$N$1004,0)),""))</f>
        <v/>
      </c>
      <c r="J172" s="157" t="str">
        <f t="shared" si="1"/>
        <v/>
      </c>
      <c r="K172" s="153" t="str">
        <f t="array" ref="K172">IF($A172="","",IFERROR(INDEX(Sales!$M:$M,MATCH($A172,Sales!$E:$E,0)),""))</f>
        <v/>
      </c>
      <c r="L172" s="158" t="str">
        <f t="shared" si="2"/>
        <v/>
      </c>
      <c r="N172" s="49" t="str">
        <f t="array" ref="N172">IFERROR(INDEX(Sales!$E$7:$E$1506,MATCH(ROW()-4,Sales!$V$7:$V$1506,0)),"")</f>
        <v/>
      </c>
      <c r="O172" s="67"/>
      <c r="P172" s="67"/>
    </row>
    <row r="173" ht="14.25" customHeight="1">
      <c r="A173" s="151" t="str">
        <f t="array" ref="A173">IFERROR(INDEX(Sales!$E$7:$E$1506,MATCH(ROW()-4,Sales!$W$7:$W$1506,0)),"")</f>
        <v/>
      </c>
      <c r="B173" s="152" t="str">
        <f t="array" ref="B173">IF($A173="","",IFERROR(INDEX(Sales!$A:$A,MATCH($A173,Sales!$E:$E,0)),""))</f>
        <v/>
      </c>
      <c r="C173" s="153" t="str">
        <f t="array" ref="C173">IF($A173="","",IFERROR(INDEX(Sales!$D:$D,MATCH($A173,Sales!$E:$E,0)),""))</f>
        <v/>
      </c>
      <c r="D173" s="153" t="str">
        <f t="array" ref="D173">IF($A173="","",IFERROR(INDEX(Sales!$C:$C,MATCH($A173,Sales!$E:$E,0)),""))</f>
        <v/>
      </c>
      <c r="E173" s="154" t="str">
        <f>IF($A173="","",SUMIFS(Sales!$H:$H,Sales!$E:$E,$A173,Sales!$B:$B,"&lt;&gt;Return"))</f>
        <v/>
      </c>
      <c r="F173" s="155" t="str">
        <f>IF($A173="","",SUMIF(Sales!$E:$E,$A173,Sales!$L:$L))</f>
        <v/>
      </c>
      <c r="G173" s="155" t="str">
        <f>IF($A173="","",SUMIF(Sales!$E:$E,$A173,Sales!$P:$P))</f>
        <v/>
      </c>
      <c r="H173" s="156" t="str">
        <f t="array" ref="H173">IF($A173="","",IFERROR(INDEX(Orders!$O$5:$O$1004,MATCH($A173,Orders!$N$5:$N$1004,0)),""))</f>
        <v/>
      </c>
      <c r="I173" s="156" t="str">
        <f t="array" ref="I173">IF($A173="","",IFERROR(INDEX(Orders!$P$5:$P$1004,MATCH($A173,Orders!$N$5:$N$1004,0)),""))</f>
        <v/>
      </c>
      <c r="J173" s="157" t="str">
        <f t="shared" si="1"/>
        <v/>
      </c>
      <c r="K173" s="153" t="str">
        <f t="array" ref="K173">IF($A173="","",IFERROR(INDEX(Sales!$M:$M,MATCH($A173,Sales!$E:$E,0)),""))</f>
        <v/>
      </c>
      <c r="L173" s="158" t="str">
        <f t="shared" si="2"/>
        <v/>
      </c>
      <c r="N173" s="49" t="str">
        <f t="array" ref="N173">IFERROR(INDEX(Sales!$E$7:$E$1506,MATCH(ROW()-4,Sales!$V$7:$V$1506,0)),"")</f>
        <v/>
      </c>
      <c r="O173" s="67"/>
      <c r="P173" s="67"/>
    </row>
    <row r="174" ht="14.25" customHeight="1">
      <c r="A174" s="151" t="str">
        <f t="array" ref="A174">IFERROR(INDEX(Sales!$E$7:$E$1506,MATCH(ROW()-4,Sales!$W$7:$W$1506,0)),"")</f>
        <v/>
      </c>
      <c r="B174" s="152" t="str">
        <f t="array" ref="B174">IF($A174="","",IFERROR(INDEX(Sales!$A:$A,MATCH($A174,Sales!$E:$E,0)),""))</f>
        <v/>
      </c>
      <c r="C174" s="153" t="str">
        <f t="array" ref="C174">IF($A174="","",IFERROR(INDEX(Sales!$D:$D,MATCH($A174,Sales!$E:$E,0)),""))</f>
        <v/>
      </c>
      <c r="D174" s="153" t="str">
        <f t="array" ref="D174">IF($A174="","",IFERROR(INDEX(Sales!$C:$C,MATCH($A174,Sales!$E:$E,0)),""))</f>
        <v/>
      </c>
      <c r="E174" s="154" t="str">
        <f>IF($A174="","",SUMIFS(Sales!$H:$H,Sales!$E:$E,$A174,Sales!$B:$B,"&lt;&gt;Return"))</f>
        <v/>
      </c>
      <c r="F174" s="155" t="str">
        <f>IF($A174="","",SUMIF(Sales!$E:$E,$A174,Sales!$L:$L))</f>
        <v/>
      </c>
      <c r="G174" s="155" t="str">
        <f>IF($A174="","",SUMIF(Sales!$E:$E,$A174,Sales!$P:$P))</f>
        <v/>
      </c>
      <c r="H174" s="156" t="str">
        <f t="array" ref="H174">IF($A174="","",IFERROR(INDEX(Orders!$O$5:$O$1004,MATCH($A174,Orders!$N$5:$N$1004,0)),""))</f>
        <v/>
      </c>
      <c r="I174" s="156" t="str">
        <f t="array" ref="I174">IF($A174="","",IFERROR(INDEX(Orders!$P$5:$P$1004,MATCH($A174,Orders!$N$5:$N$1004,0)),""))</f>
        <v/>
      </c>
      <c r="J174" s="157" t="str">
        <f t="shared" si="1"/>
        <v/>
      </c>
      <c r="K174" s="153" t="str">
        <f t="array" ref="K174">IF($A174="","",IFERROR(INDEX(Sales!$M:$M,MATCH($A174,Sales!$E:$E,0)),""))</f>
        <v/>
      </c>
      <c r="L174" s="158" t="str">
        <f t="shared" si="2"/>
        <v/>
      </c>
      <c r="N174" s="49" t="str">
        <f t="array" ref="N174">IFERROR(INDEX(Sales!$E$7:$E$1506,MATCH(ROW()-4,Sales!$V$7:$V$1506,0)),"")</f>
        <v/>
      </c>
      <c r="O174" s="67"/>
      <c r="P174" s="67"/>
    </row>
    <row r="175" ht="14.25" customHeight="1">
      <c r="A175" s="151" t="str">
        <f t="array" ref="A175">IFERROR(INDEX(Sales!$E$7:$E$1506,MATCH(ROW()-4,Sales!$W$7:$W$1506,0)),"")</f>
        <v/>
      </c>
      <c r="B175" s="152" t="str">
        <f t="array" ref="B175">IF($A175="","",IFERROR(INDEX(Sales!$A:$A,MATCH($A175,Sales!$E:$E,0)),""))</f>
        <v/>
      </c>
      <c r="C175" s="153" t="str">
        <f t="array" ref="C175">IF($A175="","",IFERROR(INDEX(Sales!$D:$D,MATCH($A175,Sales!$E:$E,0)),""))</f>
        <v/>
      </c>
      <c r="D175" s="153" t="str">
        <f t="array" ref="D175">IF($A175="","",IFERROR(INDEX(Sales!$C:$C,MATCH($A175,Sales!$E:$E,0)),""))</f>
        <v/>
      </c>
      <c r="E175" s="154" t="str">
        <f>IF($A175="","",SUMIFS(Sales!$H:$H,Sales!$E:$E,$A175,Sales!$B:$B,"&lt;&gt;Return"))</f>
        <v/>
      </c>
      <c r="F175" s="155" t="str">
        <f>IF($A175="","",SUMIF(Sales!$E:$E,$A175,Sales!$L:$L))</f>
        <v/>
      </c>
      <c r="G175" s="155" t="str">
        <f>IF($A175="","",SUMIF(Sales!$E:$E,$A175,Sales!$P:$P))</f>
        <v/>
      </c>
      <c r="H175" s="156" t="str">
        <f t="array" ref="H175">IF($A175="","",IFERROR(INDEX(Orders!$O$5:$O$1004,MATCH($A175,Orders!$N$5:$N$1004,0)),""))</f>
        <v/>
      </c>
      <c r="I175" s="156" t="str">
        <f t="array" ref="I175">IF($A175="","",IFERROR(INDEX(Orders!$P$5:$P$1004,MATCH($A175,Orders!$N$5:$N$1004,0)),""))</f>
        <v/>
      </c>
      <c r="J175" s="157" t="str">
        <f t="shared" si="1"/>
        <v/>
      </c>
      <c r="K175" s="153" t="str">
        <f t="array" ref="K175">IF($A175="","",IFERROR(INDEX(Sales!$M:$M,MATCH($A175,Sales!$E:$E,0)),""))</f>
        <v/>
      </c>
      <c r="L175" s="158" t="str">
        <f t="shared" si="2"/>
        <v/>
      </c>
      <c r="N175" s="49" t="str">
        <f t="array" ref="N175">IFERROR(INDEX(Sales!$E$7:$E$1506,MATCH(ROW()-4,Sales!$V$7:$V$1506,0)),"")</f>
        <v/>
      </c>
      <c r="O175" s="67"/>
      <c r="P175" s="67"/>
    </row>
    <row r="176" ht="14.25" customHeight="1">
      <c r="A176" s="151" t="str">
        <f t="array" ref="A176">IFERROR(INDEX(Sales!$E$7:$E$1506,MATCH(ROW()-4,Sales!$W$7:$W$1506,0)),"")</f>
        <v/>
      </c>
      <c r="B176" s="152" t="str">
        <f t="array" ref="B176">IF($A176="","",IFERROR(INDEX(Sales!$A:$A,MATCH($A176,Sales!$E:$E,0)),""))</f>
        <v/>
      </c>
      <c r="C176" s="153" t="str">
        <f t="array" ref="C176">IF($A176="","",IFERROR(INDEX(Sales!$D:$D,MATCH($A176,Sales!$E:$E,0)),""))</f>
        <v/>
      </c>
      <c r="D176" s="153" t="str">
        <f t="array" ref="D176">IF($A176="","",IFERROR(INDEX(Sales!$C:$C,MATCH($A176,Sales!$E:$E,0)),""))</f>
        <v/>
      </c>
      <c r="E176" s="154" t="str">
        <f>IF($A176="","",SUMIFS(Sales!$H:$H,Sales!$E:$E,$A176,Sales!$B:$B,"&lt;&gt;Return"))</f>
        <v/>
      </c>
      <c r="F176" s="155" t="str">
        <f>IF($A176="","",SUMIF(Sales!$E:$E,$A176,Sales!$L:$L))</f>
        <v/>
      </c>
      <c r="G176" s="155" t="str">
        <f>IF($A176="","",SUMIF(Sales!$E:$E,$A176,Sales!$P:$P))</f>
        <v/>
      </c>
      <c r="H176" s="156" t="str">
        <f t="array" ref="H176">IF($A176="","",IFERROR(INDEX(Orders!$O$5:$O$1004,MATCH($A176,Orders!$N$5:$N$1004,0)),""))</f>
        <v/>
      </c>
      <c r="I176" s="156" t="str">
        <f t="array" ref="I176">IF($A176="","",IFERROR(INDEX(Orders!$P$5:$P$1004,MATCH($A176,Orders!$N$5:$N$1004,0)),""))</f>
        <v/>
      </c>
      <c r="J176" s="157" t="str">
        <f t="shared" si="1"/>
        <v/>
      </c>
      <c r="K176" s="153" t="str">
        <f t="array" ref="K176">IF($A176="","",IFERROR(INDEX(Sales!$M:$M,MATCH($A176,Sales!$E:$E,0)),""))</f>
        <v/>
      </c>
      <c r="L176" s="158" t="str">
        <f t="shared" si="2"/>
        <v/>
      </c>
      <c r="N176" s="49" t="str">
        <f t="array" ref="N176">IFERROR(INDEX(Sales!$E$7:$E$1506,MATCH(ROW()-4,Sales!$V$7:$V$1506,0)),"")</f>
        <v/>
      </c>
      <c r="O176" s="67"/>
      <c r="P176" s="67"/>
    </row>
    <row r="177" ht="14.25" customHeight="1">
      <c r="A177" s="151" t="str">
        <f t="array" ref="A177">IFERROR(INDEX(Sales!$E$7:$E$1506,MATCH(ROW()-4,Sales!$W$7:$W$1506,0)),"")</f>
        <v/>
      </c>
      <c r="B177" s="152" t="str">
        <f t="array" ref="B177">IF($A177="","",IFERROR(INDEX(Sales!$A:$A,MATCH($A177,Sales!$E:$E,0)),""))</f>
        <v/>
      </c>
      <c r="C177" s="153" t="str">
        <f t="array" ref="C177">IF($A177="","",IFERROR(INDEX(Sales!$D:$D,MATCH($A177,Sales!$E:$E,0)),""))</f>
        <v/>
      </c>
      <c r="D177" s="153" t="str">
        <f t="array" ref="D177">IF($A177="","",IFERROR(INDEX(Sales!$C:$C,MATCH($A177,Sales!$E:$E,0)),""))</f>
        <v/>
      </c>
      <c r="E177" s="154" t="str">
        <f>IF($A177="","",SUMIFS(Sales!$H:$H,Sales!$E:$E,$A177,Sales!$B:$B,"&lt;&gt;Return"))</f>
        <v/>
      </c>
      <c r="F177" s="155" t="str">
        <f>IF($A177="","",SUMIF(Sales!$E:$E,$A177,Sales!$L:$L))</f>
        <v/>
      </c>
      <c r="G177" s="155" t="str">
        <f>IF($A177="","",SUMIF(Sales!$E:$E,$A177,Sales!$P:$P))</f>
        <v/>
      </c>
      <c r="H177" s="156" t="str">
        <f t="array" ref="H177">IF($A177="","",IFERROR(INDEX(Orders!$O$5:$O$1004,MATCH($A177,Orders!$N$5:$N$1004,0)),""))</f>
        <v/>
      </c>
      <c r="I177" s="156" t="str">
        <f t="array" ref="I177">IF($A177="","",IFERROR(INDEX(Orders!$P$5:$P$1004,MATCH($A177,Orders!$N$5:$N$1004,0)),""))</f>
        <v/>
      </c>
      <c r="J177" s="157" t="str">
        <f t="shared" si="1"/>
        <v/>
      </c>
      <c r="K177" s="153" t="str">
        <f t="array" ref="K177">IF($A177="","",IFERROR(INDEX(Sales!$M:$M,MATCH($A177,Sales!$E:$E,0)),""))</f>
        <v/>
      </c>
      <c r="L177" s="158" t="str">
        <f t="shared" si="2"/>
        <v/>
      </c>
      <c r="N177" s="49" t="str">
        <f t="array" ref="N177">IFERROR(INDEX(Sales!$E$7:$E$1506,MATCH(ROW()-4,Sales!$V$7:$V$1506,0)),"")</f>
        <v/>
      </c>
      <c r="O177" s="67"/>
      <c r="P177" s="67"/>
    </row>
    <row r="178" ht="14.25" customHeight="1">
      <c r="A178" s="151" t="str">
        <f t="array" ref="A178">IFERROR(INDEX(Sales!$E$7:$E$1506,MATCH(ROW()-4,Sales!$W$7:$W$1506,0)),"")</f>
        <v/>
      </c>
      <c r="B178" s="152" t="str">
        <f t="array" ref="B178">IF($A178="","",IFERROR(INDEX(Sales!$A:$A,MATCH($A178,Sales!$E:$E,0)),""))</f>
        <v/>
      </c>
      <c r="C178" s="153" t="str">
        <f t="array" ref="C178">IF($A178="","",IFERROR(INDEX(Sales!$D:$D,MATCH($A178,Sales!$E:$E,0)),""))</f>
        <v/>
      </c>
      <c r="D178" s="153" t="str">
        <f t="array" ref="D178">IF($A178="","",IFERROR(INDEX(Sales!$C:$C,MATCH($A178,Sales!$E:$E,0)),""))</f>
        <v/>
      </c>
      <c r="E178" s="154" t="str">
        <f>IF($A178="","",SUMIFS(Sales!$H:$H,Sales!$E:$E,$A178,Sales!$B:$B,"&lt;&gt;Return"))</f>
        <v/>
      </c>
      <c r="F178" s="155" t="str">
        <f>IF($A178="","",SUMIF(Sales!$E:$E,$A178,Sales!$L:$L))</f>
        <v/>
      </c>
      <c r="G178" s="155" t="str">
        <f>IF($A178="","",SUMIF(Sales!$E:$E,$A178,Sales!$P:$P))</f>
        <v/>
      </c>
      <c r="H178" s="156" t="str">
        <f t="array" ref="H178">IF($A178="","",IFERROR(INDEX(Orders!$O$5:$O$1004,MATCH($A178,Orders!$N$5:$N$1004,0)),""))</f>
        <v/>
      </c>
      <c r="I178" s="156" t="str">
        <f t="array" ref="I178">IF($A178="","",IFERROR(INDEX(Orders!$P$5:$P$1004,MATCH($A178,Orders!$N$5:$N$1004,0)),""))</f>
        <v/>
      </c>
      <c r="J178" s="157" t="str">
        <f t="shared" si="1"/>
        <v/>
      </c>
      <c r="K178" s="153" t="str">
        <f t="array" ref="K178">IF($A178="","",IFERROR(INDEX(Sales!$M:$M,MATCH($A178,Sales!$E:$E,0)),""))</f>
        <v/>
      </c>
      <c r="L178" s="158" t="str">
        <f t="shared" si="2"/>
        <v/>
      </c>
      <c r="N178" s="49" t="str">
        <f t="array" ref="N178">IFERROR(INDEX(Sales!$E$7:$E$1506,MATCH(ROW()-4,Sales!$V$7:$V$1506,0)),"")</f>
        <v/>
      </c>
      <c r="O178" s="67"/>
      <c r="P178" s="67"/>
    </row>
    <row r="179" ht="14.25" customHeight="1">
      <c r="A179" s="151" t="str">
        <f t="array" ref="A179">IFERROR(INDEX(Sales!$E$7:$E$1506,MATCH(ROW()-4,Sales!$W$7:$W$1506,0)),"")</f>
        <v/>
      </c>
      <c r="B179" s="152" t="str">
        <f t="array" ref="B179">IF($A179="","",IFERROR(INDEX(Sales!$A:$A,MATCH($A179,Sales!$E:$E,0)),""))</f>
        <v/>
      </c>
      <c r="C179" s="153" t="str">
        <f t="array" ref="C179">IF($A179="","",IFERROR(INDEX(Sales!$D:$D,MATCH($A179,Sales!$E:$E,0)),""))</f>
        <v/>
      </c>
      <c r="D179" s="153" t="str">
        <f t="array" ref="D179">IF($A179="","",IFERROR(INDEX(Sales!$C:$C,MATCH($A179,Sales!$E:$E,0)),""))</f>
        <v/>
      </c>
      <c r="E179" s="154" t="str">
        <f>IF($A179="","",SUMIFS(Sales!$H:$H,Sales!$E:$E,$A179,Sales!$B:$B,"&lt;&gt;Return"))</f>
        <v/>
      </c>
      <c r="F179" s="155" t="str">
        <f>IF($A179="","",SUMIF(Sales!$E:$E,$A179,Sales!$L:$L))</f>
        <v/>
      </c>
      <c r="G179" s="155" t="str">
        <f>IF($A179="","",SUMIF(Sales!$E:$E,$A179,Sales!$P:$P))</f>
        <v/>
      </c>
      <c r="H179" s="156" t="str">
        <f t="array" ref="H179">IF($A179="","",IFERROR(INDEX(Orders!$O$5:$O$1004,MATCH($A179,Orders!$N$5:$N$1004,0)),""))</f>
        <v/>
      </c>
      <c r="I179" s="156" t="str">
        <f t="array" ref="I179">IF($A179="","",IFERROR(INDEX(Orders!$P$5:$P$1004,MATCH($A179,Orders!$N$5:$N$1004,0)),""))</f>
        <v/>
      </c>
      <c r="J179" s="157" t="str">
        <f t="shared" si="1"/>
        <v/>
      </c>
      <c r="K179" s="153" t="str">
        <f t="array" ref="K179">IF($A179="","",IFERROR(INDEX(Sales!$M:$M,MATCH($A179,Sales!$E:$E,0)),""))</f>
        <v/>
      </c>
      <c r="L179" s="158" t="str">
        <f t="shared" si="2"/>
        <v/>
      </c>
      <c r="N179" s="49" t="str">
        <f t="array" ref="N179">IFERROR(INDEX(Sales!$E$7:$E$1506,MATCH(ROW()-4,Sales!$V$7:$V$1506,0)),"")</f>
        <v/>
      </c>
      <c r="O179" s="67"/>
      <c r="P179" s="67"/>
    </row>
    <row r="180" ht="14.25" customHeight="1">
      <c r="A180" s="151" t="str">
        <f t="array" ref="A180">IFERROR(INDEX(Sales!$E$7:$E$1506,MATCH(ROW()-4,Sales!$W$7:$W$1506,0)),"")</f>
        <v/>
      </c>
      <c r="B180" s="152" t="str">
        <f t="array" ref="B180">IF($A180="","",IFERROR(INDEX(Sales!$A:$A,MATCH($A180,Sales!$E:$E,0)),""))</f>
        <v/>
      </c>
      <c r="C180" s="153" t="str">
        <f t="array" ref="C180">IF($A180="","",IFERROR(INDEX(Sales!$D:$D,MATCH($A180,Sales!$E:$E,0)),""))</f>
        <v/>
      </c>
      <c r="D180" s="153" t="str">
        <f t="array" ref="D180">IF($A180="","",IFERROR(INDEX(Sales!$C:$C,MATCH($A180,Sales!$E:$E,0)),""))</f>
        <v/>
      </c>
      <c r="E180" s="154" t="str">
        <f>IF($A180="","",SUMIFS(Sales!$H:$H,Sales!$E:$E,$A180,Sales!$B:$B,"&lt;&gt;Return"))</f>
        <v/>
      </c>
      <c r="F180" s="155" t="str">
        <f>IF($A180="","",SUMIF(Sales!$E:$E,$A180,Sales!$L:$L))</f>
        <v/>
      </c>
      <c r="G180" s="155" t="str">
        <f>IF($A180="","",SUMIF(Sales!$E:$E,$A180,Sales!$P:$P))</f>
        <v/>
      </c>
      <c r="H180" s="156" t="str">
        <f t="array" ref="H180">IF($A180="","",IFERROR(INDEX(Orders!$O$5:$O$1004,MATCH($A180,Orders!$N$5:$N$1004,0)),""))</f>
        <v/>
      </c>
      <c r="I180" s="156" t="str">
        <f t="array" ref="I180">IF($A180="","",IFERROR(INDEX(Orders!$P$5:$P$1004,MATCH($A180,Orders!$N$5:$N$1004,0)),""))</f>
        <v/>
      </c>
      <c r="J180" s="157" t="str">
        <f t="shared" si="1"/>
        <v/>
      </c>
      <c r="K180" s="153" t="str">
        <f t="array" ref="K180">IF($A180="","",IFERROR(INDEX(Sales!$M:$M,MATCH($A180,Sales!$E:$E,0)),""))</f>
        <v/>
      </c>
      <c r="L180" s="158" t="str">
        <f t="shared" si="2"/>
        <v/>
      </c>
      <c r="N180" s="49" t="str">
        <f t="array" ref="N180">IFERROR(INDEX(Sales!$E$7:$E$1506,MATCH(ROW()-4,Sales!$V$7:$V$1506,0)),"")</f>
        <v/>
      </c>
      <c r="O180" s="67"/>
      <c r="P180" s="67"/>
    </row>
    <row r="181" ht="14.25" customHeight="1">
      <c r="A181" s="151" t="str">
        <f t="array" ref="A181">IFERROR(INDEX(Sales!$E$7:$E$1506,MATCH(ROW()-4,Sales!$W$7:$W$1506,0)),"")</f>
        <v/>
      </c>
      <c r="B181" s="152" t="str">
        <f t="array" ref="B181">IF($A181="","",IFERROR(INDEX(Sales!$A:$A,MATCH($A181,Sales!$E:$E,0)),""))</f>
        <v/>
      </c>
      <c r="C181" s="153" t="str">
        <f t="array" ref="C181">IF($A181="","",IFERROR(INDEX(Sales!$D:$D,MATCH($A181,Sales!$E:$E,0)),""))</f>
        <v/>
      </c>
      <c r="D181" s="153" t="str">
        <f t="array" ref="D181">IF($A181="","",IFERROR(INDEX(Sales!$C:$C,MATCH($A181,Sales!$E:$E,0)),""))</f>
        <v/>
      </c>
      <c r="E181" s="154" t="str">
        <f>IF($A181="","",SUMIFS(Sales!$H:$H,Sales!$E:$E,$A181,Sales!$B:$B,"&lt;&gt;Return"))</f>
        <v/>
      </c>
      <c r="F181" s="155" t="str">
        <f>IF($A181="","",SUMIF(Sales!$E:$E,$A181,Sales!$L:$L))</f>
        <v/>
      </c>
      <c r="G181" s="155" t="str">
        <f>IF($A181="","",SUMIF(Sales!$E:$E,$A181,Sales!$P:$P))</f>
        <v/>
      </c>
      <c r="H181" s="156" t="str">
        <f t="array" ref="H181">IF($A181="","",IFERROR(INDEX(Orders!$O$5:$O$1004,MATCH($A181,Orders!$N$5:$N$1004,0)),""))</f>
        <v/>
      </c>
      <c r="I181" s="156" t="str">
        <f t="array" ref="I181">IF($A181="","",IFERROR(INDEX(Orders!$P$5:$P$1004,MATCH($A181,Orders!$N$5:$N$1004,0)),""))</f>
        <v/>
      </c>
      <c r="J181" s="157" t="str">
        <f t="shared" si="1"/>
        <v/>
      </c>
      <c r="K181" s="153" t="str">
        <f t="array" ref="K181">IF($A181="","",IFERROR(INDEX(Sales!$M:$M,MATCH($A181,Sales!$E:$E,0)),""))</f>
        <v/>
      </c>
      <c r="L181" s="158" t="str">
        <f t="shared" si="2"/>
        <v/>
      </c>
      <c r="N181" s="49" t="str">
        <f t="array" ref="N181">IFERROR(INDEX(Sales!$E$7:$E$1506,MATCH(ROW()-4,Sales!$V$7:$V$1506,0)),"")</f>
        <v/>
      </c>
      <c r="O181" s="67"/>
      <c r="P181" s="67"/>
    </row>
    <row r="182" ht="14.25" customHeight="1">
      <c r="A182" s="151" t="str">
        <f t="array" ref="A182">IFERROR(INDEX(Sales!$E$7:$E$1506,MATCH(ROW()-4,Sales!$W$7:$W$1506,0)),"")</f>
        <v/>
      </c>
      <c r="B182" s="152" t="str">
        <f t="array" ref="B182">IF($A182="","",IFERROR(INDEX(Sales!$A:$A,MATCH($A182,Sales!$E:$E,0)),""))</f>
        <v/>
      </c>
      <c r="C182" s="153" t="str">
        <f t="array" ref="C182">IF($A182="","",IFERROR(INDEX(Sales!$D:$D,MATCH($A182,Sales!$E:$E,0)),""))</f>
        <v/>
      </c>
      <c r="D182" s="153" t="str">
        <f t="array" ref="D182">IF($A182="","",IFERROR(INDEX(Sales!$C:$C,MATCH($A182,Sales!$E:$E,0)),""))</f>
        <v/>
      </c>
      <c r="E182" s="154" t="str">
        <f>IF($A182="","",SUMIFS(Sales!$H:$H,Sales!$E:$E,$A182,Sales!$B:$B,"&lt;&gt;Return"))</f>
        <v/>
      </c>
      <c r="F182" s="155" t="str">
        <f>IF($A182="","",SUMIF(Sales!$E:$E,$A182,Sales!$L:$L))</f>
        <v/>
      </c>
      <c r="G182" s="155" t="str">
        <f>IF($A182="","",SUMIF(Sales!$E:$E,$A182,Sales!$P:$P))</f>
        <v/>
      </c>
      <c r="H182" s="156" t="str">
        <f t="array" ref="H182">IF($A182="","",IFERROR(INDEX(Orders!$O$5:$O$1004,MATCH($A182,Orders!$N$5:$N$1004,0)),""))</f>
        <v/>
      </c>
      <c r="I182" s="156" t="str">
        <f t="array" ref="I182">IF($A182="","",IFERROR(INDEX(Orders!$P$5:$P$1004,MATCH($A182,Orders!$N$5:$N$1004,0)),""))</f>
        <v/>
      </c>
      <c r="J182" s="157" t="str">
        <f t="shared" si="1"/>
        <v/>
      </c>
      <c r="K182" s="153" t="str">
        <f t="array" ref="K182">IF($A182="","",IFERROR(INDEX(Sales!$M:$M,MATCH($A182,Sales!$E:$E,0)),""))</f>
        <v/>
      </c>
      <c r="L182" s="158" t="str">
        <f t="shared" si="2"/>
        <v/>
      </c>
      <c r="N182" s="49" t="str">
        <f t="array" ref="N182">IFERROR(INDEX(Sales!$E$7:$E$1506,MATCH(ROW()-4,Sales!$V$7:$V$1506,0)),"")</f>
        <v/>
      </c>
      <c r="O182" s="67"/>
      <c r="P182" s="67"/>
    </row>
    <row r="183" ht="14.25" customHeight="1">
      <c r="A183" s="151" t="str">
        <f t="array" ref="A183">IFERROR(INDEX(Sales!$E$7:$E$1506,MATCH(ROW()-4,Sales!$W$7:$W$1506,0)),"")</f>
        <v/>
      </c>
      <c r="B183" s="152" t="str">
        <f t="array" ref="B183">IF($A183="","",IFERROR(INDEX(Sales!$A:$A,MATCH($A183,Sales!$E:$E,0)),""))</f>
        <v/>
      </c>
      <c r="C183" s="153" t="str">
        <f t="array" ref="C183">IF($A183="","",IFERROR(INDEX(Sales!$D:$D,MATCH($A183,Sales!$E:$E,0)),""))</f>
        <v/>
      </c>
      <c r="D183" s="153" t="str">
        <f t="array" ref="D183">IF($A183="","",IFERROR(INDEX(Sales!$C:$C,MATCH($A183,Sales!$E:$E,0)),""))</f>
        <v/>
      </c>
      <c r="E183" s="154" t="str">
        <f>IF($A183="","",SUMIFS(Sales!$H:$H,Sales!$E:$E,$A183,Sales!$B:$B,"&lt;&gt;Return"))</f>
        <v/>
      </c>
      <c r="F183" s="155" t="str">
        <f>IF($A183="","",SUMIF(Sales!$E:$E,$A183,Sales!$L:$L))</f>
        <v/>
      </c>
      <c r="G183" s="155" t="str">
        <f>IF($A183="","",SUMIF(Sales!$E:$E,$A183,Sales!$P:$P))</f>
        <v/>
      </c>
      <c r="H183" s="156" t="str">
        <f t="array" ref="H183">IF($A183="","",IFERROR(INDEX(Orders!$O$5:$O$1004,MATCH($A183,Orders!$N$5:$N$1004,0)),""))</f>
        <v/>
      </c>
      <c r="I183" s="156" t="str">
        <f t="array" ref="I183">IF($A183="","",IFERROR(INDEX(Orders!$P$5:$P$1004,MATCH($A183,Orders!$N$5:$N$1004,0)),""))</f>
        <v/>
      </c>
      <c r="J183" s="157" t="str">
        <f t="shared" si="1"/>
        <v/>
      </c>
      <c r="K183" s="153" t="str">
        <f t="array" ref="K183">IF($A183="","",IFERROR(INDEX(Sales!$M:$M,MATCH($A183,Sales!$E:$E,0)),""))</f>
        <v/>
      </c>
      <c r="L183" s="158" t="str">
        <f t="shared" si="2"/>
        <v/>
      </c>
      <c r="N183" s="49" t="str">
        <f t="array" ref="N183">IFERROR(INDEX(Sales!$E$7:$E$1506,MATCH(ROW()-4,Sales!$V$7:$V$1506,0)),"")</f>
        <v/>
      </c>
      <c r="O183" s="67"/>
      <c r="P183" s="67"/>
    </row>
    <row r="184" ht="14.25" customHeight="1">
      <c r="A184" s="151" t="str">
        <f t="array" ref="A184">IFERROR(INDEX(Sales!$E$7:$E$1506,MATCH(ROW()-4,Sales!$W$7:$W$1506,0)),"")</f>
        <v/>
      </c>
      <c r="B184" s="152" t="str">
        <f t="array" ref="B184">IF($A184="","",IFERROR(INDEX(Sales!$A:$A,MATCH($A184,Sales!$E:$E,0)),""))</f>
        <v/>
      </c>
      <c r="C184" s="153" t="str">
        <f t="array" ref="C184">IF($A184="","",IFERROR(INDEX(Sales!$D:$D,MATCH($A184,Sales!$E:$E,0)),""))</f>
        <v/>
      </c>
      <c r="D184" s="153" t="str">
        <f t="array" ref="D184">IF($A184="","",IFERROR(INDEX(Sales!$C:$C,MATCH($A184,Sales!$E:$E,0)),""))</f>
        <v/>
      </c>
      <c r="E184" s="154" t="str">
        <f>IF($A184="","",SUMIFS(Sales!$H:$H,Sales!$E:$E,$A184,Sales!$B:$B,"&lt;&gt;Return"))</f>
        <v/>
      </c>
      <c r="F184" s="155" t="str">
        <f>IF($A184="","",SUMIF(Sales!$E:$E,$A184,Sales!$L:$L))</f>
        <v/>
      </c>
      <c r="G184" s="155" t="str">
        <f>IF($A184="","",SUMIF(Sales!$E:$E,$A184,Sales!$P:$P))</f>
        <v/>
      </c>
      <c r="H184" s="156" t="str">
        <f t="array" ref="H184">IF($A184="","",IFERROR(INDEX(Orders!$O$5:$O$1004,MATCH($A184,Orders!$N$5:$N$1004,0)),""))</f>
        <v/>
      </c>
      <c r="I184" s="156" t="str">
        <f t="array" ref="I184">IF($A184="","",IFERROR(INDEX(Orders!$P$5:$P$1004,MATCH($A184,Orders!$N$5:$N$1004,0)),""))</f>
        <v/>
      </c>
      <c r="J184" s="157" t="str">
        <f t="shared" si="1"/>
        <v/>
      </c>
      <c r="K184" s="153" t="str">
        <f t="array" ref="K184">IF($A184="","",IFERROR(INDEX(Sales!$M:$M,MATCH($A184,Sales!$E:$E,0)),""))</f>
        <v/>
      </c>
      <c r="L184" s="158" t="str">
        <f t="shared" si="2"/>
        <v/>
      </c>
      <c r="N184" s="49" t="str">
        <f t="array" ref="N184">IFERROR(INDEX(Sales!$E$7:$E$1506,MATCH(ROW()-4,Sales!$V$7:$V$1506,0)),"")</f>
        <v/>
      </c>
      <c r="O184" s="67"/>
      <c r="P184" s="67"/>
    </row>
    <row r="185" ht="14.25" customHeight="1">
      <c r="A185" s="151" t="str">
        <f t="array" ref="A185">IFERROR(INDEX(Sales!$E$7:$E$1506,MATCH(ROW()-4,Sales!$W$7:$W$1506,0)),"")</f>
        <v/>
      </c>
      <c r="B185" s="152" t="str">
        <f t="array" ref="B185">IF($A185="","",IFERROR(INDEX(Sales!$A:$A,MATCH($A185,Sales!$E:$E,0)),""))</f>
        <v/>
      </c>
      <c r="C185" s="153" t="str">
        <f t="array" ref="C185">IF($A185="","",IFERROR(INDEX(Sales!$D:$D,MATCH($A185,Sales!$E:$E,0)),""))</f>
        <v/>
      </c>
      <c r="D185" s="153" t="str">
        <f t="array" ref="D185">IF($A185="","",IFERROR(INDEX(Sales!$C:$C,MATCH($A185,Sales!$E:$E,0)),""))</f>
        <v/>
      </c>
      <c r="E185" s="154" t="str">
        <f>IF($A185="","",SUMIFS(Sales!$H:$H,Sales!$E:$E,$A185,Sales!$B:$B,"&lt;&gt;Return"))</f>
        <v/>
      </c>
      <c r="F185" s="155" t="str">
        <f>IF($A185="","",SUMIF(Sales!$E:$E,$A185,Sales!$L:$L))</f>
        <v/>
      </c>
      <c r="G185" s="155" t="str">
        <f>IF($A185="","",SUMIF(Sales!$E:$E,$A185,Sales!$P:$P))</f>
        <v/>
      </c>
      <c r="H185" s="156" t="str">
        <f t="array" ref="H185">IF($A185="","",IFERROR(INDEX(Orders!$O$5:$O$1004,MATCH($A185,Orders!$N$5:$N$1004,0)),""))</f>
        <v/>
      </c>
      <c r="I185" s="156" t="str">
        <f t="array" ref="I185">IF($A185="","",IFERROR(INDEX(Orders!$P$5:$P$1004,MATCH($A185,Orders!$N$5:$N$1004,0)),""))</f>
        <v/>
      </c>
      <c r="J185" s="157" t="str">
        <f t="shared" si="1"/>
        <v/>
      </c>
      <c r="K185" s="153" t="str">
        <f t="array" ref="K185">IF($A185="","",IFERROR(INDEX(Sales!$M:$M,MATCH($A185,Sales!$E:$E,0)),""))</f>
        <v/>
      </c>
      <c r="L185" s="158" t="str">
        <f t="shared" si="2"/>
        <v/>
      </c>
      <c r="N185" s="49" t="str">
        <f t="array" ref="N185">IFERROR(INDEX(Sales!$E$7:$E$1506,MATCH(ROW()-4,Sales!$V$7:$V$1506,0)),"")</f>
        <v/>
      </c>
      <c r="O185" s="67"/>
      <c r="P185" s="67"/>
    </row>
    <row r="186" ht="14.25" customHeight="1">
      <c r="A186" s="151" t="str">
        <f t="array" ref="A186">IFERROR(INDEX(Sales!$E$7:$E$1506,MATCH(ROW()-4,Sales!$W$7:$W$1506,0)),"")</f>
        <v/>
      </c>
      <c r="B186" s="152" t="str">
        <f t="array" ref="B186">IF($A186="","",IFERROR(INDEX(Sales!$A:$A,MATCH($A186,Sales!$E:$E,0)),""))</f>
        <v/>
      </c>
      <c r="C186" s="153" t="str">
        <f t="array" ref="C186">IF($A186="","",IFERROR(INDEX(Sales!$D:$D,MATCH($A186,Sales!$E:$E,0)),""))</f>
        <v/>
      </c>
      <c r="D186" s="153" t="str">
        <f t="array" ref="D186">IF($A186="","",IFERROR(INDEX(Sales!$C:$C,MATCH($A186,Sales!$E:$E,0)),""))</f>
        <v/>
      </c>
      <c r="E186" s="154" t="str">
        <f>IF($A186="","",SUMIFS(Sales!$H:$H,Sales!$E:$E,$A186,Sales!$B:$B,"&lt;&gt;Return"))</f>
        <v/>
      </c>
      <c r="F186" s="155" t="str">
        <f>IF($A186="","",SUMIF(Sales!$E:$E,$A186,Sales!$L:$L))</f>
        <v/>
      </c>
      <c r="G186" s="155" t="str">
        <f>IF($A186="","",SUMIF(Sales!$E:$E,$A186,Sales!$P:$P))</f>
        <v/>
      </c>
      <c r="H186" s="156" t="str">
        <f t="array" ref="H186">IF($A186="","",IFERROR(INDEX(Orders!$O$5:$O$1004,MATCH($A186,Orders!$N$5:$N$1004,0)),""))</f>
        <v/>
      </c>
      <c r="I186" s="156" t="str">
        <f t="array" ref="I186">IF($A186="","",IFERROR(INDEX(Orders!$P$5:$P$1004,MATCH($A186,Orders!$N$5:$N$1004,0)),""))</f>
        <v/>
      </c>
      <c r="J186" s="157" t="str">
        <f t="shared" si="1"/>
        <v/>
      </c>
      <c r="K186" s="153" t="str">
        <f t="array" ref="K186">IF($A186="","",IFERROR(INDEX(Sales!$M:$M,MATCH($A186,Sales!$E:$E,0)),""))</f>
        <v/>
      </c>
      <c r="L186" s="158" t="str">
        <f t="shared" si="2"/>
        <v/>
      </c>
      <c r="N186" s="49" t="str">
        <f t="array" ref="N186">IFERROR(INDEX(Sales!$E$7:$E$1506,MATCH(ROW()-4,Sales!$V$7:$V$1506,0)),"")</f>
        <v/>
      </c>
      <c r="O186" s="67"/>
      <c r="P186" s="67"/>
    </row>
    <row r="187" ht="14.25" customHeight="1">
      <c r="A187" s="151" t="str">
        <f t="array" ref="A187">IFERROR(INDEX(Sales!$E$7:$E$1506,MATCH(ROW()-4,Sales!$W$7:$W$1506,0)),"")</f>
        <v/>
      </c>
      <c r="B187" s="152" t="str">
        <f t="array" ref="B187">IF($A187="","",IFERROR(INDEX(Sales!$A:$A,MATCH($A187,Sales!$E:$E,0)),""))</f>
        <v/>
      </c>
      <c r="C187" s="153" t="str">
        <f t="array" ref="C187">IF($A187="","",IFERROR(INDEX(Sales!$D:$D,MATCH($A187,Sales!$E:$E,0)),""))</f>
        <v/>
      </c>
      <c r="D187" s="153" t="str">
        <f t="array" ref="D187">IF($A187="","",IFERROR(INDEX(Sales!$C:$C,MATCH($A187,Sales!$E:$E,0)),""))</f>
        <v/>
      </c>
      <c r="E187" s="154" t="str">
        <f>IF($A187="","",SUMIFS(Sales!$H:$H,Sales!$E:$E,$A187,Sales!$B:$B,"&lt;&gt;Return"))</f>
        <v/>
      </c>
      <c r="F187" s="155" t="str">
        <f>IF($A187="","",SUMIF(Sales!$E:$E,$A187,Sales!$L:$L))</f>
        <v/>
      </c>
      <c r="G187" s="155" t="str">
        <f>IF($A187="","",SUMIF(Sales!$E:$E,$A187,Sales!$P:$P))</f>
        <v/>
      </c>
      <c r="H187" s="156" t="str">
        <f t="array" ref="H187">IF($A187="","",IFERROR(INDEX(Orders!$O$5:$O$1004,MATCH($A187,Orders!$N$5:$N$1004,0)),""))</f>
        <v/>
      </c>
      <c r="I187" s="156" t="str">
        <f t="array" ref="I187">IF($A187="","",IFERROR(INDEX(Orders!$P$5:$P$1004,MATCH($A187,Orders!$N$5:$N$1004,0)),""))</f>
        <v/>
      </c>
      <c r="J187" s="157" t="str">
        <f t="shared" si="1"/>
        <v/>
      </c>
      <c r="K187" s="153" t="str">
        <f t="array" ref="K187">IF($A187="","",IFERROR(INDEX(Sales!$M:$M,MATCH($A187,Sales!$E:$E,0)),""))</f>
        <v/>
      </c>
      <c r="L187" s="158" t="str">
        <f t="shared" si="2"/>
        <v/>
      </c>
      <c r="N187" s="49" t="str">
        <f t="array" ref="N187">IFERROR(INDEX(Sales!$E$7:$E$1506,MATCH(ROW()-4,Sales!$V$7:$V$1506,0)),"")</f>
        <v/>
      </c>
      <c r="O187" s="67"/>
      <c r="P187" s="67"/>
    </row>
    <row r="188" ht="14.25" customHeight="1">
      <c r="A188" s="151" t="str">
        <f t="array" ref="A188">IFERROR(INDEX(Sales!$E$7:$E$1506,MATCH(ROW()-4,Sales!$W$7:$W$1506,0)),"")</f>
        <v/>
      </c>
      <c r="B188" s="152" t="str">
        <f t="array" ref="B188">IF($A188="","",IFERROR(INDEX(Sales!$A:$A,MATCH($A188,Sales!$E:$E,0)),""))</f>
        <v/>
      </c>
      <c r="C188" s="153" t="str">
        <f t="array" ref="C188">IF($A188="","",IFERROR(INDEX(Sales!$D:$D,MATCH($A188,Sales!$E:$E,0)),""))</f>
        <v/>
      </c>
      <c r="D188" s="153" t="str">
        <f t="array" ref="D188">IF($A188="","",IFERROR(INDEX(Sales!$C:$C,MATCH($A188,Sales!$E:$E,0)),""))</f>
        <v/>
      </c>
      <c r="E188" s="154" t="str">
        <f>IF($A188="","",SUMIFS(Sales!$H:$H,Sales!$E:$E,$A188,Sales!$B:$B,"&lt;&gt;Return"))</f>
        <v/>
      </c>
      <c r="F188" s="155" t="str">
        <f>IF($A188="","",SUMIF(Sales!$E:$E,$A188,Sales!$L:$L))</f>
        <v/>
      </c>
      <c r="G188" s="155" t="str">
        <f>IF($A188="","",SUMIF(Sales!$E:$E,$A188,Sales!$P:$P))</f>
        <v/>
      </c>
      <c r="H188" s="156" t="str">
        <f t="array" ref="H188">IF($A188="","",IFERROR(INDEX(Orders!$O$5:$O$1004,MATCH($A188,Orders!$N$5:$N$1004,0)),""))</f>
        <v/>
      </c>
      <c r="I188" s="156" t="str">
        <f t="array" ref="I188">IF($A188="","",IFERROR(INDEX(Orders!$P$5:$P$1004,MATCH($A188,Orders!$N$5:$N$1004,0)),""))</f>
        <v/>
      </c>
      <c r="J188" s="157" t="str">
        <f t="shared" si="1"/>
        <v/>
      </c>
      <c r="K188" s="153" t="str">
        <f t="array" ref="K188">IF($A188="","",IFERROR(INDEX(Sales!$M:$M,MATCH($A188,Sales!$E:$E,0)),""))</f>
        <v/>
      </c>
      <c r="L188" s="158" t="str">
        <f t="shared" si="2"/>
        <v/>
      </c>
      <c r="N188" s="49" t="str">
        <f t="array" ref="N188">IFERROR(INDEX(Sales!$E$7:$E$1506,MATCH(ROW()-4,Sales!$V$7:$V$1506,0)),"")</f>
        <v/>
      </c>
      <c r="O188" s="67"/>
      <c r="P188" s="67"/>
    </row>
    <row r="189" ht="14.25" customHeight="1">
      <c r="A189" s="151" t="str">
        <f t="array" ref="A189">IFERROR(INDEX(Sales!$E$7:$E$1506,MATCH(ROW()-4,Sales!$W$7:$W$1506,0)),"")</f>
        <v/>
      </c>
      <c r="B189" s="152" t="str">
        <f t="array" ref="B189">IF($A189="","",IFERROR(INDEX(Sales!$A:$A,MATCH($A189,Sales!$E:$E,0)),""))</f>
        <v/>
      </c>
      <c r="C189" s="153" t="str">
        <f t="array" ref="C189">IF($A189="","",IFERROR(INDEX(Sales!$D:$D,MATCH($A189,Sales!$E:$E,0)),""))</f>
        <v/>
      </c>
      <c r="D189" s="153" t="str">
        <f t="array" ref="D189">IF($A189="","",IFERROR(INDEX(Sales!$C:$C,MATCH($A189,Sales!$E:$E,0)),""))</f>
        <v/>
      </c>
      <c r="E189" s="154" t="str">
        <f>IF($A189="","",SUMIFS(Sales!$H:$H,Sales!$E:$E,$A189,Sales!$B:$B,"&lt;&gt;Return"))</f>
        <v/>
      </c>
      <c r="F189" s="155" t="str">
        <f>IF($A189="","",SUMIF(Sales!$E:$E,$A189,Sales!$L:$L))</f>
        <v/>
      </c>
      <c r="G189" s="155" t="str">
        <f>IF($A189="","",SUMIF(Sales!$E:$E,$A189,Sales!$P:$P))</f>
        <v/>
      </c>
      <c r="H189" s="156" t="str">
        <f t="array" ref="H189">IF($A189="","",IFERROR(INDEX(Orders!$O$5:$O$1004,MATCH($A189,Orders!$N$5:$N$1004,0)),""))</f>
        <v/>
      </c>
      <c r="I189" s="156" t="str">
        <f t="array" ref="I189">IF($A189="","",IFERROR(INDEX(Orders!$P$5:$P$1004,MATCH($A189,Orders!$N$5:$N$1004,0)),""))</f>
        <v/>
      </c>
      <c r="J189" s="157" t="str">
        <f t="shared" si="1"/>
        <v/>
      </c>
      <c r="K189" s="153" t="str">
        <f t="array" ref="K189">IF($A189="","",IFERROR(INDEX(Sales!$M:$M,MATCH($A189,Sales!$E:$E,0)),""))</f>
        <v/>
      </c>
      <c r="L189" s="158" t="str">
        <f t="shared" si="2"/>
        <v/>
      </c>
      <c r="N189" s="49" t="str">
        <f t="array" ref="N189">IFERROR(INDEX(Sales!$E$7:$E$1506,MATCH(ROW()-4,Sales!$V$7:$V$1506,0)),"")</f>
        <v/>
      </c>
      <c r="O189" s="67"/>
      <c r="P189" s="67"/>
    </row>
    <row r="190" ht="14.25" customHeight="1">
      <c r="A190" s="151" t="str">
        <f t="array" ref="A190">IFERROR(INDEX(Sales!$E$7:$E$1506,MATCH(ROW()-4,Sales!$W$7:$W$1506,0)),"")</f>
        <v/>
      </c>
      <c r="B190" s="152" t="str">
        <f t="array" ref="B190">IF($A190="","",IFERROR(INDEX(Sales!$A:$A,MATCH($A190,Sales!$E:$E,0)),""))</f>
        <v/>
      </c>
      <c r="C190" s="153" t="str">
        <f t="array" ref="C190">IF($A190="","",IFERROR(INDEX(Sales!$D:$D,MATCH($A190,Sales!$E:$E,0)),""))</f>
        <v/>
      </c>
      <c r="D190" s="153" t="str">
        <f t="array" ref="D190">IF($A190="","",IFERROR(INDEX(Sales!$C:$C,MATCH($A190,Sales!$E:$E,0)),""))</f>
        <v/>
      </c>
      <c r="E190" s="154" t="str">
        <f>IF($A190="","",SUMIFS(Sales!$H:$H,Sales!$E:$E,$A190,Sales!$B:$B,"&lt;&gt;Return"))</f>
        <v/>
      </c>
      <c r="F190" s="155" t="str">
        <f>IF($A190="","",SUMIF(Sales!$E:$E,$A190,Sales!$L:$L))</f>
        <v/>
      </c>
      <c r="G190" s="155" t="str">
        <f>IF($A190="","",SUMIF(Sales!$E:$E,$A190,Sales!$P:$P))</f>
        <v/>
      </c>
      <c r="H190" s="156" t="str">
        <f t="array" ref="H190">IF($A190="","",IFERROR(INDEX(Orders!$O$5:$O$1004,MATCH($A190,Orders!$N$5:$N$1004,0)),""))</f>
        <v/>
      </c>
      <c r="I190" s="156" t="str">
        <f t="array" ref="I190">IF($A190="","",IFERROR(INDEX(Orders!$P$5:$P$1004,MATCH($A190,Orders!$N$5:$N$1004,0)),""))</f>
        <v/>
      </c>
      <c r="J190" s="157" t="str">
        <f t="shared" si="1"/>
        <v/>
      </c>
      <c r="K190" s="153" t="str">
        <f t="array" ref="K190">IF($A190="","",IFERROR(INDEX(Sales!$M:$M,MATCH($A190,Sales!$E:$E,0)),""))</f>
        <v/>
      </c>
      <c r="L190" s="158" t="str">
        <f t="shared" si="2"/>
        <v/>
      </c>
      <c r="N190" s="49" t="str">
        <f t="array" ref="N190">IFERROR(INDEX(Sales!$E$7:$E$1506,MATCH(ROW()-4,Sales!$V$7:$V$1506,0)),"")</f>
        <v/>
      </c>
      <c r="O190" s="67"/>
      <c r="P190" s="67"/>
    </row>
    <row r="191" ht="14.25" customHeight="1">
      <c r="A191" s="151" t="str">
        <f t="array" ref="A191">IFERROR(INDEX(Sales!$E$7:$E$1506,MATCH(ROW()-4,Sales!$W$7:$W$1506,0)),"")</f>
        <v/>
      </c>
      <c r="B191" s="152" t="str">
        <f t="array" ref="B191">IF($A191="","",IFERROR(INDEX(Sales!$A:$A,MATCH($A191,Sales!$E:$E,0)),""))</f>
        <v/>
      </c>
      <c r="C191" s="153" t="str">
        <f t="array" ref="C191">IF($A191="","",IFERROR(INDEX(Sales!$D:$D,MATCH($A191,Sales!$E:$E,0)),""))</f>
        <v/>
      </c>
      <c r="D191" s="153" t="str">
        <f t="array" ref="D191">IF($A191="","",IFERROR(INDEX(Sales!$C:$C,MATCH($A191,Sales!$E:$E,0)),""))</f>
        <v/>
      </c>
      <c r="E191" s="154" t="str">
        <f>IF($A191="","",SUMIFS(Sales!$H:$H,Sales!$E:$E,$A191,Sales!$B:$B,"&lt;&gt;Return"))</f>
        <v/>
      </c>
      <c r="F191" s="155" t="str">
        <f>IF($A191="","",SUMIF(Sales!$E:$E,$A191,Sales!$L:$L))</f>
        <v/>
      </c>
      <c r="G191" s="155" t="str">
        <f>IF($A191="","",SUMIF(Sales!$E:$E,$A191,Sales!$P:$P))</f>
        <v/>
      </c>
      <c r="H191" s="156" t="str">
        <f t="array" ref="H191">IF($A191="","",IFERROR(INDEX(Orders!$O$5:$O$1004,MATCH($A191,Orders!$N$5:$N$1004,0)),""))</f>
        <v/>
      </c>
      <c r="I191" s="156" t="str">
        <f t="array" ref="I191">IF($A191="","",IFERROR(INDEX(Orders!$P$5:$P$1004,MATCH($A191,Orders!$N$5:$N$1004,0)),""))</f>
        <v/>
      </c>
      <c r="J191" s="157" t="str">
        <f t="shared" si="1"/>
        <v/>
      </c>
      <c r="K191" s="153" t="str">
        <f t="array" ref="K191">IF($A191="","",IFERROR(INDEX(Sales!$M:$M,MATCH($A191,Sales!$E:$E,0)),""))</f>
        <v/>
      </c>
      <c r="L191" s="158" t="str">
        <f t="shared" si="2"/>
        <v/>
      </c>
      <c r="N191" s="49" t="str">
        <f t="array" ref="N191">IFERROR(INDEX(Sales!$E$7:$E$1506,MATCH(ROW()-4,Sales!$V$7:$V$1506,0)),"")</f>
        <v/>
      </c>
      <c r="O191" s="67"/>
      <c r="P191" s="67"/>
    </row>
    <row r="192" ht="14.25" customHeight="1">
      <c r="A192" s="151" t="str">
        <f t="array" ref="A192">IFERROR(INDEX(Sales!$E$7:$E$1506,MATCH(ROW()-4,Sales!$W$7:$W$1506,0)),"")</f>
        <v/>
      </c>
      <c r="B192" s="152" t="str">
        <f t="array" ref="B192">IF($A192="","",IFERROR(INDEX(Sales!$A:$A,MATCH($A192,Sales!$E:$E,0)),""))</f>
        <v/>
      </c>
      <c r="C192" s="153" t="str">
        <f t="array" ref="C192">IF($A192="","",IFERROR(INDEX(Sales!$D:$D,MATCH($A192,Sales!$E:$E,0)),""))</f>
        <v/>
      </c>
      <c r="D192" s="153" t="str">
        <f t="array" ref="D192">IF($A192="","",IFERROR(INDEX(Sales!$C:$C,MATCH($A192,Sales!$E:$E,0)),""))</f>
        <v/>
      </c>
      <c r="E192" s="154" t="str">
        <f>IF($A192="","",SUMIFS(Sales!$H:$H,Sales!$E:$E,$A192,Sales!$B:$B,"&lt;&gt;Return"))</f>
        <v/>
      </c>
      <c r="F192" s="155" t="str">
        <f>IF($A192="","",SUMIF(Sales!$E:$E,$A192,Sales!$L:$L))</f>
        <v/>
      </c>
      <c r="G192" s="155" t="str">
        <f>IF($A192="","",SUMIF(Sales!$E:$E,$A192,Sales!$P:$P))</f>
        <v/>
      </c>
      <c r="H192" s="156" t="str">
        <f t="array" ref="H192">IF($A192="","",IFERROR(INDEX(Orders!$O$5:$O$1004,MATCH($A192,Orders!$N$5:$N$1004,0)),""))</f>
        <v/>
      </c>
      <c r="I192" s="156" t="str">
        <f t="array" ref="I192">IF($A192="","",IFERROR(INDEX(Orders!$P$5:$P$1004,MATCH($A192,Orders!$N$5:$N$1004,0)),""))</f>
        <v/>
      </c>
      <c r="J192" s="157" t="str">
        <f t="shared" si="1"/>
        <v/>
      </c>
      <c r="K192" s="153" t="str">
        <f t="array" ref="K192">IF($A192="","",IFERROR(INDEX(Sales!$M:$M,MATCH($A192,Sales!$E:$E,0)),""))</f>
        <v/>
      </c>
      <c r="L192" s="158" t="str">
        <f t="shared" si="2"/>
        <v/>
      </c>
      <c r="N192" s="49" t="str">
        <f t="array" ref="N192">IFERROR(INDEX(Sales!$E$7:$E$1506,MATCH(ROW()-4,Sales!$V$7:$V$1506,0)),"")</f>
        <v/>
      </c>
      <c r="O192" s="67"/>
      <c r="P192" s="67"/>
    </row>
    <row r="193" ht="14.25" customHeight="1">
      <c r="A193" s="151" t="str">
        <f t="array" ref="A193">IFERROR(INDEX(Sales!$E$7:$E$1506,MATCH(ROW()-4,Sales!$W$7:$W$1506,0)),"")</f>
        <v/>
      </c>
      <c r="B193" s="152" t="str">
        <f t="array" ref="B193">IF($A193="","",IFERROR(INDEX(Sales!$A:$A,MATCH($A193,Sales!$E:$E,0)),""))</f>
        <v/>
      </c>
      <c r="C193" s="153" t="str">
        <f t="array" ref="C193">IF($A193="","",IFERROR(INDEX(Sales!$D:$D,MATCH($A193,Sales!$E:$E,0)),""))</f>
        <v/>
      </c>
      <c r="D193" s="153" t="str">
        <f t="array" ref="D193">IF($A193="","",IFERROR(INDEX(Sales!$C:$C,MATCH($A193,Sales!$E:$E,0)),""))</f>
        <v/>
      </c>
      <c r="E193" s="154" t="str">
        <f>IF($A193="","",SUMIFS(Sales!$H:$H,Sales!$E:$E,$A193,Sales!$B:$B,"&lt;&gt;Return"))</f>
        <v/>
      </c>
      <c r="F193" s="155" t="str">
        <f>IF($A193="","",SUMIF(Sales!$E:$E,$A193,Sales!$L:$L))</f>
        <v/>
      </c>
      <c r="G193" s="155" t="str">
        <f>IF($A193="","",SUMIF(Sales!$E:$E,$A193,Sales!$P:$P))</f>
        <v/>
      </c>
      <c r="H193" s="156" t="str">
        <f t="array" ref="H193">IF($A193="","",IFERROR(INDEX(Orders!$O$5:$O$1004,MATCH($A193,Orders!$N$5:$N$1004,0)),""))</f>
        <v/>
      </c>
      <c r="I193" s="156" t="str">
        <f t="array" ref="I193">IF($A193="","",IFERROR(INDEX(Orders!$P$5:$P$1004,MATCH($A193,Orders!$N$5:$N$1004,0)),""))</f>
        <v/>
      </c>
      <c r="J193" s="157" t="str">
        <f t="shared" si="1"/>
        <v/>
      </c>
      <c r="K193" s="153" t="str">
        <f t="array" ref="K193">IF($A193="","",IFERROR(INDEX(Sales!$M:$M,MATCH($A193,Sales!$E:$E,0)),""))</f>
        <v/>
      </c>
      <c r="L193" s="158" t="str">
        <f t="shared" si="2"/>
        <v/>
      </c>
      <c r="N193" s="49" t="str">
        <f t="array" ref="N193">IFERROR(INDEX(Sales!$E$7:$E$1506,MATCH(ROW()-4,Sales!$V$7:$V$1506,0)),"")</f>
        <v/>
      </c>
      <c r="O193" s="67"/>
      <c r="P193" s="67"/>
    </row>
    <row r="194" ht="14.25" customHeight="1">
      <c r="A194" s="151" t="str">
        <f t="array" ref="A194">IFERROR(INDEX(Sales!$E$7:$E$1506,MATCH(ROW()-4,Sales!$W$7:$W$1506,0)),"")</f>
        <v/>
      </c>
      <c r="B194" s="152" t="str">
        <f t="array" ref="B194">IF($A194="","",IFERROR(INDEX(Sales!$A:$A,MATCH($A194,Sales!$E:$E,0)),""))</f>
        <v/>
      </c>
      <c r="C194" s="153" t="str">
        <f t="array" ref="C194">IF($A194="","",IFERROR(INDEX(Sales!$D:$D,MATCH($A194,Sales!$E:$E,0)),""))</f>
        <v/>
      </c>
      <c r="D194" s="153" t="str">
        <f t="array" ref="D194">IF($A194="","",IFERROR(INDEX(Sales!$C:$C,MATCH($A194,Sales!$E:$E,0)),""))</f>
        <v/>
      </c>
      <c r="E194" s="154" t="str">
        <f>IF($A194="","",SUMIFS(Sales!$H:$H,Sales!$E:$E,$A194,Sales!$B:$B,"&lt;&gt;Return"))</f>
        <v/>
      </c>
      <c r="F194" s="155" t="str">
        <f>IF($A194="","",SUMIF(Sales!$E:$E,$A194,Sales!$L:$L))</f>
        <v/>
      </c>
      <c r="G194" s="155" t="str">
        <f>IF($A194="","",SUMIF(Sales!$E:$E,$A194,Sales!$P:$P))</f>
        <v/>
      </c>
      <c r="H194" s="156" t="str">
        <f t="array" ref="H194">IF($A194="","",IFERROR(INDEX(Orders!$O$5:$O$1004,MATCH($A194,Orders!$N$5:$N$1004,0)),""))</f>
        <v/>
      </c>
      <c r="I194" s="156" t="str">
        <f t="array" ref="I194">IF($A194="","",IFERROR(INDEX(Orders!$P$5:$P$1004,MATCH($A194,Orders!$N$5:$N$1004,0)),""))</f>
        <v/>
      </c>
      <c r="J194" s="157" t="str">
        <f t="shared" si="1"/>
        <v/>
      </c>
      <c r="K194" s="153" t="str">
        <f t="array" ref="K194">IF($A194="","",IFERROR(INDEX(Sales!$M:$M,MATCH($A194,Sales!$E:$E,0)),""))</f>
        <v/>
      </c>
      <c r="L194" s="158" t="str">
        <f t="shared" si="2"/>
        <v/>
      </c>
      <c r="N194" s="49" t="str">
        <f t="array" ref="N194">IFERROR(INDEX(Sales!$E$7:$E$1506,MATCH(ROW()-4,Sales!$V$7:$V$1506,0)),"")</f>
        <v/>
      </c>
      <c r="O194" s="67"/>
      <c r="P194" s="67"/>
    </row>
    <row r="195" ht="14.25" customHeight="1">
      <c r="A195" s="151" t="str">
        <f t="array" ref="A195">IFERROR(INDEX(Sales!$E$7:$E$1506,MATCH(ROW()-4,Sales!$W$7:$W$1506,0)),"")</f>
        <v/>
      </c>
      <c r="B195" s="152" t="str">
        <f t="array" ref="B195">IF($A195="","",IFERROR(INDEX(Sales!$A:$A,MATCH($A195,Sales!$E:$E,0)),""))</f>
        <v/>
      </c>
      <c r="C195" s="153" t="str">
        <f t="array" ref="C195">IF($A195="","",IFERROR(INDEX(Sales!$D:$D,MATCH($A195,Sales!$E:$E,0)),""))</f>
        <v/>
      </c>
      <c r="D195" s="153" t="str">
        <f t="array" ref="D195">IF($A195="","",IFERROR(INDEX(Sales!$C:$C,MATCH($A195,Sales!$E:$E,0)),""))</f>
        <v/>
      </c>
      <c r="E195" s="154" t="str">
        <f>IF($A195="","",SUMIFS(Sales!$H:$H,Sales!$E:$E,$A195,Sales!$B:$B,"&lt;&gt;Return"))</f>
        <v/>
      </c>
      <c r="F195" s="155" t="str">
        <f>IF($A195="","",SUMIF(Sales!$E:$E,$A195,Sales!$L:$L))</f>
        <v/>
      </c>
      <c r="G195" s="155" t="str">
        <f>IF($A195="","",SUMIF(Sales!$E:$E,$A195,Sales!$P:$P))</f>
        <v/>
      </c>
      <c r="H195" s="156" t="str">
        <f t="array" ref="H195">IF($A195="","",IFERROR(INDEX(Orders!$O$5:$O$1004,MATCH($A195,Orders!$N$5:$N$1004,0)),""))</f>
        <v/>
      </c>
      <c r="I195" s="156" t="str">
        <f t="array" ref="I195">IF($A195="","",IFERROR(INDEX(Orders!$P$5:$P$1004,MATCH($A195,Orders!$N$5:$N$1004,0)),""))</f>
        <v/>
      </c>
      <c r="J195" s="157" t="str">
        <f t="shared" si="1"/>
        <v/>
      </c>
      <c r="K195" s="153" t="str">
        <f t="array" ref="K195">IF($A195="","",IFERROR(INDEX(Sales!$M:$M,MATCH($A195,Sales!$E:$E,0)),""))</f>
        <v/>
      </c>
      <c r="L195" s="158" t="str">
        <f t="shared" si="2"/>
        <v/>
      </c>
      <c r="N195" s="49" t="str">
        <f t="array" ref="N195">IFERROR(INDEX(Sales!$E$7:$E$1506,MATCH(ROW()-4,Sales!$V$7:$V$1506,0)),"")</f>
        <v/>
      </c>
      <c r="O195" s="67"/>
      <c r="P195" s="67"/>
    </row>
    <row r="196" ht="14.25" customHeight="1">
      <c r="A196" s="151" t="str">
        <f t="array" ref="A196">IFERROR(INDEX(Sales!$E$7:$E$1506,MATCH(ROW()-4,Sales!$W$7:$W$1506,0)),"")</f>
        <v/>
      </c>
      <c r="B196" s="152" t="str">
        <f t="array" ref="B196">IF($A196="","",IFERROR(INDEX(Sales!$A:$A,MATCH($A196,Sales!$E:$E,0)),""))</f>
        <v/>
      </c>
      <c r="C196" s="153" t="str">
        <f t="array" ref="C196">IF($A196="","",IFERROR(INDEX(Sales!$D:$D,MATCH($A196,Sales!$E:$E,0)),""))</f>
        <v/>
      </c>
      <c r="D196" s="153" t="str">
        <f t="array" ref="D196">IF($A196="","",IFERROR(INDEX(Sales!$C:$C,MATCH($A196,Sales!$E:$E,0)),""))</f>
        <v/>
      </c>
      <c r="E196" s="154" t="str">
        <f>IF($A196="","",SUMIFS(Sales!$H:$H,Sales!$E:$E,$A196,Sales!$B:$B,"&lt;&gt;Return"))</f>
        <v/>
      </c>
      <c r="F196" s="155" t="str">
        <f>IF($A196="","",SUMIF(Sales!$E:$E,$A196,Sales!$L:$L))</f>
        <v/>
      </c>
      <c r="G196" s="155" t="str">
        <f>IF($A196="","",SUMIF(Sales!$E:$E,$A196,Sales!$P:$P))</f>
        <v/>
      </c>
      <c r="H196" s="156" t="str">
        <f t="array" ref="H196">IF($A196="","",IFERROR(INDEX(Orders!$O$5:$O$1004,MATCH($A196,Orders!$N$5:$N$1004,0)),""))</f>
        <v/>
      </c>
      <c r="I196" s="156" t="str">
        <f t="array" ref="I196">IF($A196="","",IFERROR(INDEX(Orders!$P$5:$P$1004,MATCH($A196,Orders!$N$5:$N$1004,0)),""))</f>
        <v/>
      </c>
      <c r="J196" s="157" t="str">
        <f t="shared" si="1"/>
        <v/>
      </c>
      <c r="K196" s="153" t="str">
        <f t="array" ref="K196">IF($A196="","",IFERROR(INDEX(Sales!$M:$M,MATCH($A196,Sales!$E:$E,0)),""))</f>
        <v/>
      </c>
      <c r="L196" s="158" t="str">
        <f t="shared" si="2"/>
        <v/>
      </c>
      <c r="N196" s="49" t="str">
        <f t="array" ref="N196">IFERROR(INDEX(Sales!$E$7:$E$1506,MATCH(ROW()-4,Sales!$V$7:$V$1506,0)),"")</f>
        <v/>
      </c>
      <c r="O196" s="67"/>
      <c r="P196" s="67"/>
    </row>
    <row r="197" ht="14.25" customHeight="1">
      <c r="A197" s="151" t="str">
        <f t="array" ref="A197">IFERROR(INDEX(Sales!$E$7:$E$1506,MATCH(ROW()-4,Sales!$W$7:$W$1506,0)),"")</f>
        <v/>
      </c>
      <c r="B197" s="152" t="str">
        <f t="array" ref="B197">IF($A197="","",IFERROR(INDEX(Sales!$A:$A,MATCH($A197,Sales!$E:$E,0)),""))</f>
        <v/>
      </c>
      <c r="C197" s="153" t="str">
        <f t="array" ref="C197">IF($A197="","",IFERROR(INDEX(Sales!$D:$D,MATCH($A197,Sales!$E:$E,0)),""))</f>
        <v/>
      </c>
      <c r="D197" s="153" t="str">
        <f t="array" ref="D197">IF($A197="","",IFERROR(INDEX(Sales!$C:$C,MATCH($A197,Sales!$E:$E,0)),""))</f>
        <v/>
      </c>
      <c r="E197" s="154" t="str">
        <f>IF($A197="","",SUMIFS(Sales!$H:$H,Sales!$E:$E,$A197,Sales!$B:$B,"&lt;&gt;Return"))</f>
        <v/>
      </c>
      <c r="F197" s="155" t="str">
        <f>IF($A197="","",SUMIF(Sales!$E:$E,$A197,Sales!$L:$L))</f>
        <v/>
      </c>
      <c r="G197" s="155" t="str">
        <f>IF($A197="","",SUMIF(Sales!$E:$E,$A197,Sales!$P:$P))</f>
        <v/>
      </c>
      <c r="H197" s="156" t="str">
        <f t="array" ref="H197">IF($A197="","",IFERROR(INDEX(Orders!$O$5:$O$1004,MATCH($A197,Orders!$N$5:$N$1004,0)),""))</f>
        <v/>
      </c>
      <c r="I197" s="156" t="str">
        <f t="array" ref="I197">IF($A197="","",IFERROR(INDEX(Orders!$P$5:$P$1004,MATCH($A197,Orders!$N$5:$N$1004,0)),""))</f>
        <v/>
      </c>
      <c r="J197" s="157" t="str">
        <f t="shared" si="1"/>
        <v/>
      </c>
      <c r="K197" s="153" t="str">
        <f t="array" ref="K197">IF($A197="","",IFERROR(INDEX(Sales!$M:$M,MATCH($A197,Sales!$E:$E,0)),""))</f>
        <v/>
      </c>
      <c r="L197" s="158" t="str">
        <f t="shared" si="2"/>
        <v/>
      </c>
      <c r="N197" s="49" t="str">
        <f t="array" ref="N197">IFERROR(INDEX(Sales!$E$7:$E$1506,MATCH(ROW()-4,Sales!$V$7:$V$1506,0)),"")</f>
        <v/>
      </c>
      <c r="O197" s="67"/>
      <c r="P197" s="67"/>
    </row>
    <row r="198" ht="14.25" customHeight="1">
      <c r="A198" s="151" t="str">
        <f t="array" ref="A198">IFERROR(INDEX(Sales!$E$7:$E$1506,MATCH(ROW()-4,Sales!$W$7:$W$1506,0)),"")</f>
        <v/>
      </c>
      <c r="B198" s="152" t="str">
        <f t="array" ref="B198">IF($A198="","",IFERROR(INDEX(Sales!$A:$A,MATCH($A198,Sales!$E:$E,0)),""))</f>
        <v/>
      </c>
      <c r="C198" s="153" t="str">
        <f t="array" ref="C198">IF($A198="","",IFERROR(INDEX(Sales!$D:$D,MATCH($A198,Sales!$E:$E,0)),""))</f>
        <v/>
      </c>
      <c r="D198" s="153" t="str">
        <f t="array" ref="D198">IF($A198="","",IFERROR(INDEX(Sales!$C:$C,MATCH($A198,Sales!$E:$E,0)),""))</f>
        <v/>
      </c>
      <c r="E198" s="154" t="str">
        <f>IF($A198="","",SUMIFS(Sales!$H:$H,Sales!$E:$E,$A198,Sales!$B:$B,"&lt;&gt;Return"))</f>
        <v/>
      </c>
      <c r="F198" s="155" t="str">
        <f>IF($A198="","",SUMIF(Sales!$E:$E,$A198,Sales!$L:$L))</f>
        <v/>
      </c>
      <c r="G198" s="155" t="str">
        <f>IF($A198="","",SUMIF(Sales!$E:$E,$A198,Sales!$P:$P))</f>
        <v/>
      </c>
      <c r="H198" s="156" t="str">
        <f t="array" ref="H198">IF($A198="","",IFERROR(INDEX(Orders!$O$5:$O$1004,MATCH($A198,Orders!$N$5:$N$1004,0)),""))</f>
        <v/>
      </c>
      <c r="I198" s="156" t="str">
        <f t="array" ref="I198">IF($A198="","",IFERROR(INDEX(Orders!$P$5:$P$1004,MATCH($A198,Orders!$N$5:$N$1004,0)),""))</f>
        <v/>
      </c>
      <c r="J198" s="157" t="str">
        <f t="shared" si="1"/>
        <v/>
      </c>
      <c r="K198" s="153" t="str">
        <f t="array" ref="K198">IF($A198="","",IFERROR(INDEX(Sales!$M:$M,MATCH($A198,Sales!$E:$E,0)),""))</f>
        <v/>
      </c>
      <c r="L198" s="158" t="str">
        <f t="shared" si="2"/>
        <v/>
      </c>
      <c r="N198" s="49" t="str">
        <f t="array" ref="N198">IFERROR(INDEX(Sales!$E$7:$E$1506,MATCH(ROW()-4,Sales!$V$7:$V$1506,0)),"")</f>
        <v/>
      </c>
      <c r="O198" s="67"/>
      <c r="P198" s="67"/>
    </row>
    <row r="199" ht="14.25" customHeight="1">
      <c r="A199" s="151" t="str">
        <f t="array" ref="A199">IFERROR(INDEX(Sales!$E$7:$E$1506,MATCH(ROW()-4,Sales!$W$7:$W$1506,0)),"")</f>
        <v/>
      </c>
      <c r="B199" s="152" t="str">
        <f t="array" ref="B199">IF($A199="","",IFERROR(INDEX(Sales!$A:$A,MATCH($A199,Sales!$E:$E,0)),""))</f>
        <v/>
      </c>
      <c r="C199" s="153" t="str">
        <f t="array" ref="C199">IF($A199="","",IFERROR(INDEX(Sales!$D:$D,MATCH($A199,Sales!$E:$E,0)),""))</f>
        <v/>
      </c>
      <c r="D199" s="153" t="str">
        <f t="array" ref="D199">IF($A199="","",IFERROR(INDEX(Sales!$C:$C,MATCH($A199,Sales!$E:$E,0)),""))</f>
        <v/>
      </c>
      <c r="E199" s="154" t="str">
        <f>IF($A199="","",SUMIFS(Sales!$H:$H,Sales!$E:$E,$A199,Sales!$B:$B,"&lt;&gt;Return"))</f>
        <v/>
      </c>
      <c r="F199" s="155" t="str">
        <f>IF($A199="","",SUMIF(Sales!$E:$E,$A199,Sales!$L:$L))</f>
        <v/>
      </c>
      <c r="G199" s="155" t="str">
        <f>IF($A199="","",SUMIF(Sales!$E:$E,$A199,Sales!$P:$P))</f>
        <v/>
      </c>
      <c r="H199" s="156" t="str">
        <f t="array" ref="H199">IF($A199="","",IFERROR(INDEX(Orders!$O$5:$O$1004,MATCH($A199,Orders!$N$5:$N$1004,0)),""))</f>
        <v/>
      </c>
      <c r="I199" s="156" t="str">
        <f t="array" ref="I199">IF($A199="","",IFERROR(INDEX(Orders!$P$5:$P$1004,MATCH($A199,Orders!$N$5:$N$1004,0)),""))</f>
        <v/>
      </c>
      <c r="J199" s="157" t="str">
        <f t="shared" si="1"/>
        <v/>
      </c>
      <c r="K199" s="153" t="str">
        <f t="array" ref="K199">IF($A199="","",IFERROR(INDEX(Sales!$M:$M,MATCH($A199,Sales!$E:$E,0)),""))</f>
        <v/>
      </c>
      <c r="L199" s="158" t="str">
        <f t="shared" si="2"/>
        <v/>
      </c>
      <c r="N199" s="49" t="str">
        <f t="array" ref="N199">IFERROR(INDEX(Sales!$E$7:$E$1506,MATCH(ROW()-4,Sales!$V$7:$V$1506,0)),"")</f>
        <v/>
      </c>
      <c r="O199" s="67"/>
      <c r="P199" s="67"/>
    </row>
    <row r="200" ht="14.25" customHeight="1">
      <c r="A200" s="151" t="str">
        <f t="array" ref="A200">IFERROR(INDEX(Sales!$E$7:$E$1506,MATCH(ROW()-4,Sales!$W$7:$W$1506,0)),"")</f>
        <v/>
      </c>
      <c r="B200" s="152" t="str">
        <f t="array" ref="B200">IF($A200="","",IFERROR(INDEX(Sales!$A:$A,MATCH($A200,Sales!$E:$E,0)),""))</f>
        <v/>
      </c>
      <c r="C200" s="153" t="str">
        <f t="array" ref="C200">IF($A200="","",IFERROR(INDEX(Sales!$D:$D,MATCH($A200,Sales!$E:$E,0)),""))</f>
        <v/>
      </c>
      <c r="D200" s="153" t="str">
        <f t="array" ref="D200">IF($A200="","",IFERROR(INDEX(Sales!$C:$C,MATCH($A200,Sales!$E:$E,0)),""))</f>
        <v/>
      </c>
      <c r="E200" s="154" t="str">
        <f>IF($A200="","",SUMIFS(Sales!$H:$H,Sales!$E:$E,$A200,Sales!$B:$B,"&lt;&gt;Return"))</f>
        <v/>
      </c>
      <c r="F200" s="155" t="str">
        <f>IF($A200="","",SUMIF(Sales!$E:$E,$A200,Sales!$L:$L))</f>
        <v/>
      </c>
      <c r="G200" s="155" t="str">
        <f>IF($A200="","",SUMIF(Sales!$E:$E,$A200,Sales!$P:$P))</f>
        <v/>
      </c>
      <c r="H200" s="156" t="str">
        <f t="array" ref="H200">IF($A200="","",IFERROR(INDEX(Orders!$O$5:$O$1004,MATCH($A200,Orders!$N$5:$N$1004,0)),""))</f>
        <v/>
      </c>
      <c r="I200" s="156" t="str">
        <f t="array" ref="I200">IF($A200="","",IFERROR(INDEX(Orders!$P$5:$P$1004,MATCH($A200,Orders!$N$5:$N$1004,0)),""))</f>
        <v/>
      </c>
      <c r="J200" s="157" t="str">
        <f t="shared" si="1"/>
        <v/>
      </c>
      <c r="K200" s="153" t="str">
        <f t="array" ref="K200">IF($A200="","",IFERROR(INDEX(Sales!$M:$M,MATCH($A200,Sales!$E:$E,0)),""))</f>
        <v/>
      </c>
      <c r="L200" s="158" t="str">
        <f t="shared" si="2"/>
        <v/>
      </c>
      <c r="N200" s="49" t="str">
        <f t="array" ref="N200">IFERROR(INDEX(Sales!$E$7:$E$1506,MATCH(ROW()-4,Sales!$V$7:$V$1506,0)),"")</f>
        <v/>
      </c>
      <c r="O200" s="67"/>
      <c r="P200" s="67"/>
    </row>
    <row r="201" ht="14.25" customHeight="1">
      <c r="A201" s="151" t="str">
        <f t="array" ref="A201">IFERROR(INDEX(Sales!$E$7:$E$1506,MATCH(ROW()-4,Sales!$W$7:$W$1506,0)),"")</f>
        <v/>
      </c>
      <c r="B201" s="152" t="str">
        <f t="array" ref="B201">IF($A201="","",IFERROR(INDEX(Sales!$A:$A,MATCH($A201,Sales!$E:$E,0)),""))</f>
        <v/>
      </c>
      <c r="C201" s="153" t="str">
        <f t="array" ref="C201">IF($A201="","",IFERROR(INDEX(Sales!$D:$D,MATCH($A201,Sales!$E:$E,0)),""))</f>
        <v/>
      </c>
      <c r="D201" s="153" t="str">
        <f t="array" ref="D201">IF($A201="","",IFERROR(INDEX(Sales!$C:$C,MATCH($A201,Sales!$E:$E,0)),""))</f>
        <v/>
      </c>
      <c r="E201" s="154" t="str">
        <f>IF($A201="","",SUMIFS(Sales!$H:$H,Sales!$E:$E,$A201,Sales!$B:$B,"&lt;&gt;Return"))</f>
        <v/>
      </c>
      <c r="F201" s="155" t="str">
        <f>IF($A201="","",SUMIF(Sales!$E:$E,$A201,Sales!$L:$L))</f>
        <v/>
      </c>
      <c r="G201" s="155" t="str">
        <f>IF($A201="","",SUMIF(Sales!$E:$E,$A201,Sales!$P:$P))</f>
        <v/>
      </c>
      <c r="H201" s="156" t="str">
        <f t="array" ref="H201">IF($A201="","",IFERROR(INDEX(Orders!$O$5:$O$1004,MATCH($A201,Orders!$N$5:$N$1004,0)),""))</f>
        <v/>
      </c>
      <c r="I201" s="156" t="str">
        <f t="array" ref="I201">IF($A201="","",IFERROR(INDEX(Orders!$P$5:$P$1004,MATCH($A201,Orders!$N$5:$N$1004,0)),""))</f>
        <v/>
      </c>
      <c r="J201" s="157" t="str">
        <f t="shared" si="1"/>
        <v/>
      </c>
      <c r="K201" s="153" t="str">
        <f t="array" ref="K201">IF($A201="","",IFERROR(INDEX(Sales!$M:$M,MATCH($A201,Sales!$E:$E,0)),""))</f>
        <v/>
      </c>
      <c r="L201" s="158" t="str">
        <f t="shared" si="2"/>
        <v/>
      </c>
      <c r="N201" s="49" t="str">
        <f t="array" ref="N201">IFERROR(INDEX(Sales!$E$7:$E$1506,MATCH(ROW()-4,Sales!$V$7:$V$1506,0)),"")</f>
        <v/>
      </c>
      <c r="O201" s="67"/>
      <c r="P201" s="67"/>
    </row>
    <row r="202" ht="14.25" customHeight="1">
      <c r="A202" s="151" t="str">
        <f t="array" ref="A202">IFERROR(INDEX(Sales!$E$7:$E$1506,MATCH(ROW()-4,Sales!$W$7:$W$1506,0)),"")</f>
        <v/>
      </c>
      <c r="B202" s="152" t="str">
        <f t="array" ref="B202">IF($A202="","",IFERROR(INDEX(Sales!$A:$A,MATCH($A202,Sales!$E:$E,0)),""))</f>
        <v/>
      </c>
      <c r="C202" s="153" t="str">
        <f t="array" ref="C202">IF($A202="","",IFERROR(INDEX(Sales!$D:$D,MATCH($A202,Sales!$E:$E,0)),""))</f>
        <v/>
      </c>
      <c r="D202" s="153" t="str">
        <f t="array" ref="D202">IF($A202="","",IFERROR(INDEX(Sales!$C:$C,MATCH($A202,Sales!$E:$E,0)),""))</f>
        <v/>
      </c>
      <c r="E202" s="154" t="str">
        <f>IF($A202="","",SUMIFS(Sales!$H:$H,Sales!$E:$E,$A202,Sales!$B:$B,"&lt;&gt;Return"))</f>
        <v/>
      </c>
      <c r="F202" s="155" t="str">
        <f>IF($A202="","",SUMIF(Sales!$E:$E,$A202,Sales!$L:$L))</f>
        <v/>
      </c>
      <c r="G202" s="155" t="str">
        <f>IF($A202="","",SUMIF(Sales!$E:$E,$A202,Sales!$P:$P))</f>
        <v/>
      </c>
      <c r="H202" s="156" t="str">
        <f t="array" ref="H202">IF($A202="","",IFERROR(INDEX(Orders!$O$5:$O$1004,MATCH($A202,Orders!$N$5:$N$1004,0)),""))</f>
        <v/>
      </c>
      <c r="I202" s="156" t="str">
        <f t="array" ref="I202">IF($A202="","",IFERROR(INDEX(Orders!$P$5:$P$1004,MATCH($A202,Orders!$N$5:$N$1004,0)),""))</f>
        <v/>
      </c>
      <c r="J202" s="157" t="str">
        <f t="shared" si="1"/>
        <v/>
      </c>
      <c r="K202" s="153" t="str">
        <f t="array" ref="K202">IF($A202="","",IFERROR(INDEX(Sales!$M:$M,MATCH($A202,Sales!$E:$E,0)),""))</f>
        <v/>
      </c>
      <c r="L202" s="158" t="str">
        <f t="shared" si="2"/>
        <v/>
      </c>
      <c r="N202" s="49" t="str">
        <f t="array" ref="N202">IFERROR(INDEX(Sales!$E$7:$E$1506,MATCH(ROW()-4,Sales!$V$7:$V$1506,0)),"")</f>
        <v/>
      </c>
      <c r="O202" s="67"/>
      <c r="P202" s="67"/>
    </row>
    <row r="203" ht="14.25" customHeight="1">
      <c r="A203" s="151" t="str">
        <f t="array" ref="A203">IFERROR(INDEX(Sales!$E$7:$E$1506,MATCH(ROW()-4,Sales!$W$7:$W$1506,0)),"")</f>
        <v/>
      </c>
      <c r="B203" s="152" t="str">
        <f t="array" ref="B203">IF($A203="","",IFERROR(INDEX(Sales!$A:$A,MATCH($A203,Sales!$E:$E,0)),""))</f>
        <v/>
      </c>
      <c r="C203" s="153" t="str">
        <f t="array" ref="C203">IF($A203="","",IFERROR(INDEX(Sales!$D:$D,MATCH($A203,Sales!$E:$E,0)),""))</f>
        <v/>
      </c>
      <c r="D203" s="153" t="str">
        <f t="array" ref="D203">IF($A203="","",IFERROR(INDEX(Sales!$C:$C,MATCH($A203,Sales!$E:$E,0)),""))</f>
        <v/>
      </c>
      <c r="E203" s="154" t="str">
        <f>IF($A203="","",SUMIFS(Sales!$H:$H,Sales!$E:$E,$A203,Sales!$B:$B,"&lt;&gt;Return"))</f>
        <v/>
      </c>
      <c r="F203" s="155" t="str">
        <f>IF($A203="","",SUMIF(Sales!$E:$E,$A203,Sales!$L:$L))</f>
        <v/>
      </c>
      <c r="G203" s="155" t="str">
        <f>IF($A203="","",SUMIF(Sales!$E:$E,$A203,Sales!$P:$P))</f>
        <v/>
      </c>
      <c r="H203" s="156" t="str">
        <f t="array" ref="H203">IF($A203="","",IFERROR(INDEX(Orders!$O$5:$O$1004,MATCH($A203,Orders!$N$5:$N$1004,0)),""))</f>
        <v/>
      </c>
      <c r="I203" s="156" t="str">
        <f t="array" ref="I203">IF($A203="","",IFERROR(INDEX(Orders!$P$5:$P$1004,MATCH($A203,Orders!$N$5:$N$1004,0)),""))</f>
        <v/>
      </c>
      <c r="J203" s="157" t="str">
        <f t="shared" si="1"/>
        <v/>
      </c>
      <c r="K203" s="153" t="str">
        <f t="array" ref="K203">IF($A203="","",IFERROR(INDEX(Sales!$M:$M,MATCH($A203,Sales!$E:$E,0)),""))</f>
        <v/>
      </c>
      <c r="L203" s="158" t="str">
        <f t="shared" si="2"/>
        <v/>
      </c>
      <c r="N203" s="49" t="str">
        <f t="array" ref="N203">IFERROR(INDEX(Sales!$E$7:$E$1506,MATCH(ROW()-4,Sales!$V$7:$V$1506,0)),"")</f>
        <v/>
      </c>
      <c r="O203" s="67"/>
      <c r="P203" s="67"/>
    </row>
    <row r="204" ht="14.25" customHeight="1">
      <c r="A204" s="151" t="str">
        <f t="array" ref="A204">IFERROR(INDEX(Sales!$E$7:$E$1506,MATCH(ROW()-4,Sales!$W$7:$W$1506,0)),"")</f>
        <v/>
      </c>
      <c r="B204" s="152" t="str">
        <f t="array" ref="B204">IF($A204="","",IFERROR(INDEX(Sales!$A:$A,MATCH($A204,Sales!$E:$E,0)),""))</f>
        <v/>
      </c>
      <c r="C204" s="153" t="str">
        <f t="array" ref="C204">IF($A204="","",IFERROR(INDEX(Sales!$D:$D,MATCH($A204,Sales!$E:$E,0)),""))</f>
        <v/>
      </c>
      <c r="D204" s="153" t="str">
        <f t="array" ref="D204">IF($A204="","",IFERROR(INDEX(Sales!$C:$C,MATCH($A204,Sales!$E:$E,0)),""))</f>
        <v/>
      </c>
      <c r="E204" s="154" t="str">
        <f>IF($A204="","",SUMIFS(Sales!$H:$H,Sales!$E:$E,$A204,Sales!$B:$B,"&lt;&gt;Return"))</f>
        <v/>
      </c>
      <c r="F204" s="155" t="str">
        <f>IF($A204="","",SUMIF(Sales!$E:$E,$A204,Sales!$L:$L))</f>
        <v/>
      </c>
      <c r="G204" s="155" t="str">
        <f>IF($A204="","",SUMIF(Sales!$E:$E,$A204,Sales!$P:$P))</f>
        <v/>
      </c>
      <c r="H204" s="156" t="str">
        <f t="array" ref="H204">IF($A204="","",IFERROR(INDEX(Orders!$O$5:$O$1004,MATCH($A204,Orders!$N$5:$N$1004,0)),""))</f>
        <v/>
      </c>
      <c r="I204" s="156" t="str">
        <f t="array" ref="I204">IF($A204="","",IFERROR(INDEX(Orders!$P$5:$P$1004,MATCH($A204,Orders!$N$5:$N$1004,0)),""))</f>
        <v/>
      </c>
      <c r="J204" s="157" t="str">
        <f t="shared" si="1"/>
        <v/>
      </c>
      <c r="K204" s="153" t="str">
        <f t="array" ref="K204">IF($A204="","",IFERROR(INDEX(Sales!$M:$M,MATCH($A204,Sales!$E:$E,0)),""))</f>
        <v/>
      </c>
      <c r="L204" s="158" t="str">
        <f t="shared" si="2"/>
        <v/>
      </c>
      <c r="N204" s="49" t="str">
        <f t="array" ref="N204">IFERROR(INDEX(Sales!$E$7:$E$1506,MATCH(ROW()-4,Sales!$V$7:$V$1506,0)),"")</f>
        <v/>
      </c>
      <c r="O204" s="67"/>
      <c r="P204" s="67"/>
    </row>
    <row r="205" ht="14.25" customHeight="1">
      <c r="A205" s="151" t="str">
        <f t="array" ref="A205">IFERROR(INDEX(Sales!$E$7:$E$1506,MATCH(ROW()-4,Sales!$W$7:$W$1506,0)),"")</f>
        <v/>
      </c>
      <c r="B205" s="152" t="str">
        <f t="array" ref="B205">IF($A205="","",IFERROR(INDEX(Sales!$A:$A,MATCH($A205,Sales!$E:$E,0)),""))</f>
        <v/>
      </c>
      <c r="C205" s="153" t="str">
        <f t="array" ref="C205">IF($A205="","",IFERROR(INDEX(Sales!$D:$D,MATCH($A205,Sales!$E:$E,0)),""))</f>
        <v/>
      </c>
      <c r="D205" s="153" t="str">
        <f t="array" ref="D205">IF($A205="","",IFERROR(INDEX(Sales!$C:$C,MATCH($A205,Sales!$E:$E,0)),""))</f>
        <v/>
      </c>
      <c r="E205" s="154" t="str">
        <f>IF($A205="","",SUMIFS(Sales!$H:$H,Sales!$E:$E,$A205,Sales!$B:$B,"&lt;&gt;Return"))</f>
        <v/>
      </c>
      <c r="F205" s="155" t="str">
        <f>IF($A205="","",SUMIF(Sales!$E:$E,$A205,Sales!$L:$L))</f>
        <v/>
      </c>
      <c r="G205" s="155" t="str">
        <f>IF($A205="","",SUMIF(Sales!$E:$E,$A205,Sales!$P:$P))</f>
        <v/>
      </c>
      <c r="H205" s="156" t="str">
        <f t="array" ref="H205">IF($A205="","",IFERROR(INDEX(Orders!$O$5:$O$1004,MATCH($A205,Orders!$N$5:$N$1004,0)),""))</f>
        <v/>
      </c>
      <c r="I205" s="156" t="str">
        <f t="array" ref="I205">IF($A205="","",IFERROR(INDEX(Orders!$P$5:$P$1004,MATCH($A205,Orders!$N$5:$N$1004,0)),""))</f>
        <v/>
      </c>
      <c r="J205" s="157" t="str">
        <f t="shared" si="1"/>
        <v/>
      </c>
      <c r="K205" s="153" t="str">
        <f t="array" ref="K205">IF($A205="","",IFERROR(INDEX(Sales!$M:$M,MATCH($A205,Sales!$E:$E,0)),""))</f>
        <v/>
      </c>
      <c r="L205" s="158" t="str">
        <f t="shared" si="2"/>
        <v/>
      </c>
      <c r="N205" s="49" t="str">
        <f t="array" ref="N205">IFERROR(INDEX(Sales!$E$7:$E$1506,MATCH(ROW()-4,Sales!$V$7:$V$1506,0)),"")</f>
        <v/>
      </c>
      <c r="O205" s="67"/>
      <c r="P205" s="67"/>
    </row>
    <row r="206" ht="14.25" customHeight="1">
      <c r="A206" s="151" t="str">
        <f t="array" ref="A206">IFERROR(INDEX(Sales!$E$7:$E$1506,MATCH(ROW()-4,Sales!$W$7:$W$1506,0)),"")</f>
        <v/>
      </c>
      <c r="B206" s="152" t="str">
        <f t="array" ref="B206">IF($A206="","",IFERROR(INDEX(Sales!$A:$A,MATCH($A206,Sales!$E:$E,0)),""))</f>
        <v/>
      </c>
      <c r="C206" s="153" t="str">
        <f t="array" ref="C206">IF($A206="","",IFERROR(INDEX(Sales!$D:$D,MATCH($A206,Sales!$E:$E,0)),""))</f>
        <v/>
      </c>
      <c r="D206" s="153" t="str">
        <f t="array" ref="D206">IF($A206="","",IFERROR(INDEX(Sales!$C:$C,MATCH($A206,Sales!$E:$E,0)),""))</f>
        <v/>
      </c>
      <c r="E206" s="154" t="str">
        <f>IF($A206="","",SUMIFS(Sales!$H:$H,Sales!$E:$E,$A206,Sales!$B:$B,"&lt;&gt;Return"))</f>
        <v/>
      </c>
      <c r="F206" s="155" t="str">
        <f>IF($A206="","",SUMIF(Sales!$E:$E,$A206,Sales!$L:$L))</f>
        <v/>
      </c>
      <c r="G206" s="155" t="str">
        <f>IF($A206="","",SUMIF(Sales!$E:$E,$A206,Sales!$P:$P))</f>
        <v/>
      </c>
      <c r="H206" s="156" t="str">
        <f t="array" ref="H206">IF($A206="","",IFERROR(INDEX(Orders!$O$5:$O$1004,MATCH($A206,Orders!$N$5:$N$1004,0)),""))</f>
        <v/>
      </c>
      <c r="I206" s="156" t="str">
        <f t="array" ref="I206">IF($A206="","",IFERROR(INDEX(Orders!$P$5:$P$1004,MATCH($A206,Orders!$N$5:$N$1004,0)),""))</f>
        <v/>
      </c>
      <c r="J206" s="157" t="str">
        <f t="shared" si="1"/>
        <v/>
      </c>
      <c r="K206" s="153" t="str">
        <f t="array" ref="K206">IF($A206="","",IFERROR(INDEX(Sales!$M:$M,MATCH($A206,Sales!$E:$E,0)),""))</f>
        <v/>
      </c>
      <c r="L206" s="158" t="str">
        <f t="shared" si="2"/>
        <v/>
      </c>
      <c r="N206" s="49" t="str">
        <f t="array" ref="N206">IFERROR(INDEX(Sales!$E$7:$E$1506,MATCH(ROW()-4,Sales!$V$7:$V$1506,0)),"")</f>
        <v/>
      </c>
      <c r="O206" s="67"/>
      <c r="P206" s="67"/>
    </row>
    <row r="207" ht="14.25" customHeight="1">
      <c r="A207" s="151" t="str">
        <f t="array" ref="A207">IFERROR(INDEX(Sales!$E$7:$E$1506,MATCH(ROW()-4,Sales!$W$7:$W$1506,0)),"")</f>
        <v/>
      </c>
      <c r="B207" s="152" t="str">
        <f t="array" ref="B207">IF($A207="","",IFERROR(INDEX(Sales!$A:$A,MATCH($A207,Sales!$E:$E,0)),""))</f>
        <v/>
      </c>
      <c r="C207" s="153" t="str">
        <f t="array" ref="C207">IF($A207="","",IFERROR(INDEX(Sales!$D:$D,MATCH($A207,Sales!$E:$E,0)),""))</f>
        <v/>
      </c>
      <c r="D207" s="153" t="str">
        <f t="array" ref="D207">IF($A207="","",IFERROR(INDEX(Sales!$C:$C,MATCH($A207,Sales!$E:$E,0)),""))</f>
        <v/>
      </c>
      <c r="E207" s="154" t="str">
        <f>IF($A207="","",SUMIFS(Sales!$H:$H,Sales!$E:$E,$A207,Sales!$B:$B,"&lt;&gt;Return"))</f>
        <v/>
      </c>
      <c r="F207" s="155" t="str">
        <f>IF($A207="","",SUMIF(Sales!$E:$E,$A207,Sales!$L:$L))</f>
        <v/>
      </c>
      <c r="G207" s="155" t="str">
        <f>IF($A207="","",SUMIF(Sales!$E:$E,$A207,Sales!$P:$P))</f>
        <v/>
      </c>
      <c r="H207" s="156" t="str">
        <f t="array" ref="H207">IF($A207="","",IFERROR(INDEX(Orders!$O$5:$O$1004,MATCH($A207,Orders!$N$5:$N$1004,0)),""))</f>
        <v/>
      </c>
      <c r="I207" s="156" t="str">
        <f t="array" ref="I207">IF($A207="","",IFERROR(INDEX(Orders!$P$5:$P$1004,MATCH($A207,Orders!$N$5:$N$1004,0)),""))</f>
        <v/>
      </c>
      <c r="J207" s="157" t="str">
        <f t="shared" si="1"/>
        <v/>
      </c>
      <c r="K207" s="153" t="str">
        <f t="array" ref="K207">IF($A207="","",IFERROR(INDEX(Sales!$M:$M,MATCH($A207,Sales!$E:$E,0)),""))</f>
        <v/>
      </c>
      <c r="L207" s="158" t="str">
        <f t="shared" si="2"/>
        <v/>
      </c>
      <c r="N207" s="49" t="str">
        <f t="array" ref="N207">IFERROR(INDEX(Sales!$E$7:$E$1506,MATCH(ROW()-4,Sales!$V$7:$V$1506,0)),"")</f>
        <v/>
      </c>
      <c r="O207" s="67"/>
      <c r="P207" s="67"/>
    </row>
    <row r="208" ht="14.25" customHeight="1">
      <c r="A208" s="151" t="str">
        <f t="array" ref="A208">IFERROR(INDEX(Sales!$E$7:$E$1506,MATCH(ROW()-4,Sales!$W$7:$W$1506,0)),"")</f>
        <v/>
      </c>
      <c r="B208" s="152" t="str">
        <f t="array" ref="B208">IF($A208="","",IFERROR(INDEX(Sales!$A:$A,MATCH($A208,Sales!$E:$E,0)),""))</f>
        <v/>
      </c>
      <c r="C208" s="153" t="str">
        <f t="array" ref="C208">IF($A208="","",IFERROR(INDEX(Sales!$D:$D,MATCH($A208,Sales!$E:$E,0)),""))</f>
        <v/>
      </c>
      <c r="D208" s="153" t="str">
        <f t="array" ref="D208">IF($A208="","",IFERROR(INDEX(Sales!$C:$C,MATCH($A208,Sales!$E:$E,0)),""))</f>
        <v/>
      </c>
      <c r="E208" s="154" t="str">
        <f>IF($A208="","",SUMIFS(Sales!$H:$H,Sales!$E:$E,$A208,Sales!$B:$B,"&lt;&gt;Return"))</f>
        <v/>
      </c>
      <c r="F208" s="155" t="str">
        <f>IF($A208="","",SUMIF(Sales!$E:$E,$A208,Sales!$L:$L))</f>
        <v/>
      </c>
      <c r="G208" s="155" t="str">
        <f>IF($A208="","",SUMIF(Sales!$E:$E,$A208,Sales!$P:$P))</f>
        <v/>
      </c>
      <c r="H208" s="156" t="str">
        <f t="array" ref="H208">IF($A208="","",IFERROR(INDEX(Orders!$O$5:$O$1004,MATCH($A208,Orders!$N$5:$N$1004,0)),""))</f>
        <v/>
      </c>
      <c r="I208" s="156" t="str">
        <f t="array" ref="I208">IF($A208="","",IFERROR(INDEX(Orders!$P$5:$P$1004,MATCH($A208,Orders!$N$5:$N$1004,0)),""))</f>
        <v/>
      </c>
      <c r="J208" s="157" t="str">
        <f t="shared" si="1"/>
        <v/>
      </c>
      <c r="K208" s="153" t="str">
        <f t="array" ref="K208">IF($A208="","",IFERROR(INDEX(Sales!$M:$M,MATCH($A208,Sales!$E:$E,0)),""))</f>
        <v/>
      </c>
      <c r="L208" s="158" t="str">
        <f t="shared" si="2"/>
        <v/>
      </c>
      <c r="N208" s="49" t="str">
        <f t="array" ref="N208">IFERROR(INDEX(Sales!$E$7:$E$1506,MATCH(ROW()-4,Sales!$V$7:$V$1506,0)),"")</f>
        <v/>
      </c>
      <c r="O208" s="67"/>
      <c r="P208" s="67"/>
    </row>
    <row r="209" ht="14.25" customHeight="1">
      <c r="A209" s="151" t="str">
        <f t="array" ref="A209">IFERROR(INDEX(Sales!$E$7:$E$1506,MATCH(ROW()-4,Sales!$W$7:$W$1506,0)),"")</f>
        <v/>
      </c>
      <c r="B209" s="152" t="str">
        <f t="array" ref="B209">IF($A209="","",IFERROR(INDEX(Sales!$A:$A,MATCH($A209,Sales!$E:$E,0)),""))</f>
        <v/>
      </c>
      <c r="C209" s="153" t="str">
        <f t="array" ref="C209">IF($A209="","",IFERROR(INDEX(Sales!$D:$D,MATCH($A209,Sales!$E:$E,0)),""))</f>
        <v/>
      </c>
      <c r="D209" s="153" t="str">
        <f t="array" ref="D209">IF($A209="","",IFERROR(INDEX(Sales!$C:$C,MATCH($A209,Sales!$E:$E,0)),""))</f>
        <v/>
      </c>
      <c r="E209" s="154" t="str">
        <f>IF($A209="","",SUMIFS(Sales!$H:$H,Sales!$E:$E,$A209,Sales!$B:$B,"&lt;&gt;Return"))</f>
        <v/>
      </c>
      <c r="F209" s="155" t="str">
        <f>IF($A209="","",SUMIF(Sales!$E:$E,$A209,Sales!$L:$L))</f>
        <v/>
      </c>
      <c r="G209" s="155" t="str">
        <f>IF($A209="","",SUMIF(Sales!$E:$E,$A209,Sales!$P:$P))</f>
        <v/>
      </c>
      <c r="H209" s="156" t="str">
        <f t="array" ref="H209">IF($A209="","",IFERROR(INDEX(Orders!$O$5:$O$1004,MATCH($A209,Orders!$N$5:$N$1004,0)),""))</f>
        <v/>
      </c>
      <c r="I209" s="156" t="str">
        <f t="array" ref="I209">IF($A209="","",IFERROR(INDEX(Orders!$P$5:$P$1004,MATCH($A209,Orders!$N$5:$N$1004,0)),""))</f>
        <v/>
      </c>
      <c r="J209" s="157" t="str">
        <f t="shared" si="1"/>
        <v/>
      </c>
      <c r="K209" s="153" t="str">
        <f t="array" ref="K209">IF($A209="","",IFERROR(INDEX(Sales!$M:$M,MATCH($A209,Sales!$E:$E,0)),""))</f>
        <v/>
      </c>
      <c r="L209" s="158" t="str">
        <f t="shared" si="2"/>
        <v/>
      </c>
      <c r="N209" s="49" t="str">
        <f t="array" ref="N209">IFERROR(INDEX(Sales!$E$7:$E$1506,MATCH(ROW()-4,Sales!$V$7:$V$1506,0)),"")</f>
        <v/>
      </c>
      <c r="O209" s="67"/>
      <c r="P209" s="67"/>
    </row>
    <row r="210" ht="14.25" customHeight="1">
      <c r="A210" s="151" t="str">
        <f t="array" ref="A210">IFERROR(INDEX(Sales!$E$7:$E$1506,MATCH(ROW()-4,Sales!$W$7:$W$1506,0)),"")</f>
        <v/>
      </c>
      <c r="B210" s="152" t="str">
        <f t="array" ref="B210">IF($A210="","",IFERROR(INDEX(Sales!$A:$A,MATCH($A210,Sales!$E:$E,0)),""))</f>
        <v/>
      </c>
      <c r="C210" s="153" t="str">
        <f t="array" ref="C210">IF($A210="","",IFERROR(INDEX(Sales!$D:$D,MATCH($A210,Sales!$E:$E,0)),""))</f>
        <v/>
      </c>
      <c r="D210" s="153" t="str">
        <f t="array" ref="D210">IF($A210="","",IFERROR(INDEX(Sales!$C:$C,MATCH($A210,Sales!$E:$E,0)),""))</f>
        <v/>
      </c>
      <c r="E210" s="154" t="str">
        <f>IF($A210="","",SUMIFS(Sales!$H:$H,Sales!$E:$E,$A210,Sales!$B:$B,"&lt;&gt;Return"))</f>
        <v/>
      </c>
      <c r="F210" s="155" t="str">
        <f>IF($A210="","",SUMIF(Sales!$E:$E,$A210,Sales!$L:$L))</f>
        <v/>
      </c>
      <c r="G210" s="155" t="str">
        <f>IF($A210="","",SUMIF(Sales!$E:$E,$A210,Sales!$P:$P))</f>
        <v/>
      </c>
      <c r="H210" s="156" t="str">
        <f t="array" ref="H210">IF($A210="","",IFERROR(INDEX(Orders!$O$5:$O$1004,MATCH($A210,Orders!$N$5:$N$1004,0)),""))</f>
        <v/>
      </c>
      <c r="I210" s="156" t="str">
        <f t="array" ref="I210">IF($A210="","",IFERROR(INDEX(Orders!$P$5:$P$1004,MATCH($A210,Orders!$N$5:$N$1004,0)),""))</f>
        <v/>
      </c>
      <c r="J210" s="157" t="str">
        <f t="shared" si="1"/>
        <v/>
      </c>
      <c r="K210" s="153" t="str">
        <f t="array" ref="K210">IF($A210="","",IFERROR(INDEX(Sales!$M:$M,MATCH($A210,Sales!$E:$E,0)),""))</f>
        <v/>
      </c>
      <c r="L210" s="158" t="str">
        <f t="shared" si="2"/>
        <v/>
      </c>
      <c r="N210" s="49" t="str">
        <f t="array" ref="N210">IFERROR(INDEX(Sales!$E$7:$E$1506,MATCH(ROW()-4,Sales!$V$7:$V$1506,0)),"")</f>
        <v/>
      </c>
      <c r="O210" s="67"/>
      <c r="P210" s="67"/>
    </row>
    <row r="211" ht="14.25" customHeight="1">
      <c r="A211" s="151" t="str">
        <f t="array" ref="A211">IFERROR(INDEX(Sales!$E$7:$E$1506,MATCH(ROW()-4,Sales!$W$7:$W$1506,0)),"")</f>
        <v/>
      </c>
      <c r="B211" s="152" t="str">
        <f t="array" ref="B211">IF($A211="","",IFERROR(INDEX(Sales!$A:$A,MATCH($A211,Sales!$E:$E,0)),""))</f>
        <v/>
      </c>
      <c r="C211" s="153" t="str">
        <f t="array" ref="C211">IF($A211="","",IFERROR(INDEX(Sales!$D:$D,MATCH($A211,Sales!$E:$E,0)),""))</f>
        <v/>
      </c>
      <c r="D211" s="153" t="str">
        <f t="array" ref="D211">IF($A211="","",IFERROR(INDEX(Sales!$C:$C,MATCH($A211,Sales!$E:$E,0)),""))</f>
        <v/>
      </c>
      <c r="E211" s="154" t="str">
        <f>IF($A211="","",SUMIFS(Sales!$H:$H,Sales!$E:$E,$A211,Sales!$B:$B,"&lt;&gt;Return"))</f>
        <v/>
      </c>
      <c r="F211" s="155" t="str">
        <f>IF($A211="","",SUMIF(Sales!$E:$E,$A211,Sales!$L:$L))</f>
        <v/>
      </c>
      <c r="G211" s="155" t="str">
        <f>IF($A211="","",SUMIF(Sales!$E:$E,$A211,Sales!$P:$P))</f>
        <v/>
      </c>
      <c r="H211" s="156" t="str">
        <f t="array" ref="H211">IF($A211="","",IFERROR(INDEX(Orders!$O$5:$O$1004,MATCH($A211,Orders!$N$5:$N$1004,0)),""))</f>
        <v/>
      </c>
      <c r="I211" s="156" t="str">
        <f t="array" ref="I211">IF($A211="","",IFERROR(INDEX(Orders!$P$5:$P$1004,MATCH($A211,Orders!$N$5:$N$1004,0)),""))</f>
        <v/>
      </c>
      <c r="J211" s="157" t="str">
        <f t="shared" si="1"/>
        <v/>
      </c>
      <c r="K211" s="153" t="str">
        <f t="array" ref="K211">IF($A211="","",IFERROR(INDEX(Sales!$M:$M,MATCH($A211,Sales!$E:$E,0)),""))</f>
        <v/>
      </c>
      <c r="L211" s="158" t="str">
        <f t="shared" si="2"/>
        <v/>
      </c>
      <c r="N211" s="49" t="str">
        <f t="array" ref="N211">IFERROR(INDEX(Sales!$E$7:$E$1506,MATCH(ROW()-4,Sales!$V$7:$V$1506,0)),"")</f>
        <v/>
      </c>
      <c r="O211" s="67"/>
      <c r="P211" s="67"/>
    </row>
    <row r="212" ht="14.25" customHeight="1">
      <c r="A212" s="151" t="str">
        <f t="array" ref="A212">IFERROR(INDEX(Sales!$E$7:$E$1506,MATCH(ROW()-4,Sales!$W$7:$W$1506,0)),"")</f>
        <v/>
      </c>
      <c r="B212" s="152" t="str">
        <f t="array" ref="B212">IF($A212="","",IFERROR(INDEX(Sales!$A:$A,MATCH($A212,Sales!$E:$E,0)),""))</f>
        <v/>
      </c>
      <c r="C212" s="153" t="str">
        <f t="array" ref="C212">IF($A212="","",IFERROR(INDEX(Sales!$D:$D,MATCH($A212,Sales!$E:$E,0)),""))</f>
        <v/>
      </c>
      <c r="D212" s="153" t="str">
        <f t="array" ref="D212">IF($A212="","",IFERROR(INDEX(Sales!$C:$C,MATCH($A212,Sales!$E:$E,0)),""))</f>
        <v/>
      </c>
      <c r="E212" s="154" t="str">
        <f>IF($A212="","",SUMIFS(Sales!$H:$H,Sales!$E:$E,$A212,Sales!$B:$B,"&lt;&gt;Return"))</f>
        <v/>
      </c>
      <c r="F212" s="155" t="str">
        <f>IF($A212="","",SUMIF(Sales!$E:$E,$A212,Sales!$L:$L))</f>
        <v/>
      </c>
      <c r="G212" s="155" t="str">
        <f>IF($A212="","",SUMIF(Sales!$E:$E,$A212,Sales!$P:$P))</f>
        <v/>
      </c>
      <c r="H212" s="156" t="str">
        <f t="array" ref="H212">IF($A212="","",IFERROR(INDEX(Orders!$O$5:$O$1004,MATCH($A212,Orders!$N$5:$N$1004,0)),""))</f>
        <v/>
      </c>
      <c r="I212" s="156" t="str">
        <f t="array" ref="I212">IF($A212="","",IFERROR(INDEX(Orders!$P$5:$P$1004,MATCH($A212,Orders!$N$5:$N$1004,0)),""))</f>
        <v/>
      </c>
      <c r="J212" s="157" t="str">
        <f t="shared" si="1"/>
        <v/>
      </c>
      <c r="K212" s="153" t="str">
        <f t="array" ref="K212">IF($A212="","",IFERROR(INDEX(Sales!$M:$M,MATCH($A212,Sales!$E:$E,0)),""))</f>
        <v/>
      </c>
      <c r="L212" s="158" t="str">
        <f t="shared" si="2"/>
        <v/>
      </c>
      <c r="N212" s="49" t="str">
        <f t="array" ref="N212">IFERROR(INDEX(Sales!$E$7:$E$1506,MATCH(ROW()-4,Sales!$V$7:$V$1506,0)),"")</f>
        <v/>
      </c>
      <c r="O212" s="67"/>
      <c r="P212" s="67"/>
    </row>
    <row r="213" ht="14.25" customHeight="1">
      <c r="A213" s="151" t="str">
        <f t="array" ref="A213">IFERROR(INDEX(Sales!$E$7:$E$1506,MATCH(ROW()-4,Sales!$W$7:$W$1506,0)),"")</f>
        <v/>
      </c>
      <c r="B213" s="152" t="str">
        <f t="array" ref="B213">IF($A213="","",IFERROR(INDEX(Sales!$A:$A,MATCH($A213,Sales!$E:$E,0)),""))</f>
        <v/>
      </c>
      <c r="C213" s="153" t="str">
        <f t="array" ref="C213">IF($A213="","",IFERROR(INDEX(Sales!$D:$D,MATCH($A213,Sales!$E:$E,0)),""))</f>
        <v/>
      </c>
      <c r="D213" s="153" t="str">
        <f t="array" ref="D213">IF($A213="","",IFERROR(INDEX(Sales!$C:$C,MATCH($A213,Sales!$E:$E,0)),""))</f>
        <v/>
      </c>
      <c r="E213" s="154" t="str">
        <f>IF($A213="","",SUMIFS(Sales!$H:$H,Sales!$E:$E,$A213,Sales!$B:$B,"&lt;&gt;Return"))</f>
        <v/>
      </c>
      <c r="F213" s="155" t="str">
        <f>IF($A213="","",SUMIF(Sales!$E:$E,$A213,Sales!$L:$L))</f>
        <v/>
      </c>
      <c r="G213" s="155" t="str">
        <f>IF($A213="","",SUMIF(Sales!$E:$E,$A213,Sales!$P:$P))</f>
        <v/>
      </c>
      <c r="H213" s="156" t="str">
        <f t="array" ref="H213">IF($A213="","",IFERROR(INDEX(Orders!$O$5:$O$1004,MATCH($A213,Orders!$N$5:$N$1004,0)),""))</f>
        <v/>
      </c>
      <c r="I213" s="156" t="str">
        <f t="array" ref="I213">IF($A213="","",IFERROR(INDEX(Orders!$P$5:$P$1004,MATCH($A213,Orders!$N$5:$N$1004,0)),""))</f>
        <v/>
      </c>
      <c r="J213" s="157" t="str">
        <f t="shared" si="1"/>
        <v/>
      </c>
      <c r="K213" s="153" t="str">
        <f t="array" ref="K213">IF($A213="","",IFERROR(INDEX(Sales!$M:$M,MATCH($A213,Sales!$E:$E,0)),""))</f>
        <v/>
      </c>
      <c r="L213" s="158" t="str">
        <f t="shared" si="2"/>
        <v/>
      </c>
      <c r="N213" s="49" t="str">
        <f t="array" ref="N213">IFERROR(INDEX(Sales!$E$7:$E$1506,MATCH(ROW()-4,Sales!$V$7:$V$1506,0)),"")</f>
        <v/>
      </c>
      <c r="O213" s="67"/>
      <c r="P213" s="67"/>
    </row>
    <row r="214" ht="14.25" customHeight="1">
      <c r="A214" s="151" t="str">
        <f t="array" ref="A214">IFERROR(INDEX(Sales!$E$7:$E$1506,MATCH(ROW()-4,Sales!$W$7:$W$1506,0)),"")</f>
        <v/>
      </c>
      <c r="B214" s="152" t="str">
        <f t="array" ref="B214">IF($A214="","",IFERROR(INDEX(Sales!$A:$A,MATCH($A214,Sales!$E:$E,0)),""))</f>
        <v/>
      </c>
      <c r="C214" s="153" t="str">
        <f t="array" ref="C214">IF($A214="","",IFERROR(INDEX(Sales!$D:$D,MATCH($A214,Sales!$E:$E,0)),""))</f>
        <v/>
      </c>
      <c r="D214" s="153" t="str">
        <f t="array" ref="D214">IF($A214="","",IFERROR(INDEX(Sales!$C:$C,MATCH($A214,Sales!$E:$E,0)),""))</f>
        <v/>
      </c>
      <c r="E214" s="154" t="str">
        <f>IF($A214="","",SUMIFS(Sales!$H:$H,Sales!$E:$E,$A214,Sales!$B:$B,"&lt;&gt;Return"))</f>
        <v/>
      </c>
      <c r="F214" s="155" t="str">
        <f>IF($A214="","",SUMIF(Sales!$E:$E,$A214,Sales!$L:$L))</f>
        <v/>
      </c>
      <c r="G214" s="155" t="str">
        <f>IF($A214="","",SUMIF(Sales!$E:$E,$A214,Sales!$P:$P))</f>
        <v/>
      </c>
      <c r="H214" s="156" t="str">
        <f t="array" ref="H214">IF($A214="","",IFERROR(INDEX(Orders!$O$5:$O$1004,MATCH($A214,Orders!$N$5:$N$1004,0)),""))</f>
        <v/>
      </c>
      <c r="I214" s="156" t="str">
        <f t="array" ref="I214">IF($A214="","",IFERROR(INDEX(Orders!$P$5:$P$1004,MATCH($A214,Orders!$N$5:$N$1004,0)),""))</f>
        <v/>
      </c>
      <c r="J214" s="157" t="str">
        <f t="shared" si="1"/>
        <v/>
      </c>
      <c r="K214" s="153" t="str">
        <f t="array" ref="K214">IF($A214="","",IFERROR(INDEX(Sales!$M:$M,MATCH($A214,Sales!$E:$E,0)),""))</f>
        <v/>
      </c>
      <c r="L214" s="158" t="str">
        <f t="shared" si="2"/>
        <v/>
      </c>
      <c r="N214" s="49" t="str">
        <f t="array" ref="N214">IFERROR(INDEX(Sales!$E$7:$E$1506,MATCH(ROW()-4,Sales!$V$7:$V$1506,0)),"")</f>
        <v/>
      </c>
      <c r="O214" s="67"/>
      <c r="P214" s="67"/>
    </row>
    <row r="215" ht="14.25" customHeight="1">
      <c r="A215" s="151" t="str">
        <f t="array" ref="A215">IFERROR(INDEX(Sales!$E$7:$E$1506,MATCH(ROW()-4,Sales!$W$7:$W$1506,0)),"")</f>
        <v/>
      </c>
      <c r="B215" s="152" t="str">
        <f t="array" ref="B215">IF($A215="","",IFERROR(INDEX(Sales!$A:$A,MATCH($A215,Sales!$E:$E,0)),""))</f>
        <v/>
      </c>
      <c r="C215" s="153" t="str">
        <f t="array" ref="C215">IF($A215="","",IFERROR(INDEX(Sales!$D:$D,MATCH($A215,Sales!$E:$E,0)),""))</f>
        <v/>
      </c>
      <c r="D215" s="153" t="str">
        <f t="array" ref="D215">IF($A215="","",IFERROR(INDEX(Sales!$C:$C,MATCH($A215,Sales!$E:$E,0)),""))</f>
        <v/>
      </c>
      <c r="E215" s="154" t="str">
        <f>IF($A215="","",SUMIFS(Sales!$H:$H,Sales!$E:$E,$A215,Sales!$B:$B,"&lt;&gt;Return"))</f>
        <v/>
      </c>
      <c r="F215" s="155" t="str">
        <f>IF($A215="","",SUMIF(Sales!$E:$E,$A215,Sales!$L:$L))</f>
        <v/>
      </c>
      <c r="G215" s="155" t="str">
        <f>IF($A215="","",SUMIF(Sales!$E:$E,$A215,Sales!$P:$P))</f>
        <v/>
      </c>
      <c r="H215" s="156" t="str">
        <f t="array" ref="H215">IF($A215="","",IFERROR(INDEX(Orders!$O$5:$O$1004,MATCH($A215,Orders!$N$5:$N$1004,0)),""))</f>
        <v/>
      </c>
      <c r="I215" s="156" t="str">
        <f t="array" ref="I215">IF($A215="","",IFERROR(INDEX(Orders!$P$5:$P$1004,MATCH($A215,Orders!$N$5:$N$1004,0)),""))</f>
        <v/>
      </c>
      <c r="J215" s="157" t="str">
        <f t="shared" si="1"/>
        <v/>
      </c>
      <c r="K215" s="153" t="str">
        <f t="array" ref="K215">IF($A215="","",IFERROR(INDEX(Sales!$M:$M,MATCH($A215,Sales!$E:$E,0)),""))</f>
        <v/>
      </c>
      <c r="L215" s="158" t="str">
        <f t="shared" si="2"/>
        <v/>
      </c>
      <c r="N215" s="49" t="str">
        <f t="array" ref="N215">IFERROR(INDEX(Sales!$E$7:$E$1506,MATCH(ROW()-4,Sales!$V$7:$V$1506,0)),"")</f>
        <v/>
      </c>
      <c r="O215" s="67"/>
      <c r="P215" s="67"/>
    </row>
    <row r="216" ht="14.25" customHeight="1">
      <c r="A216" s="151" t="str">
        <f t="array" ref="A216">IFERROR(INDEX(Sales!$E$7:$E$1506,MATCH(ROW()-4,Sales!$W$7:$W$1506,0)),"")</f>
        <v/>
      </c>
      <c r="B216" s="152" t="str">
        <f t="array" ref="B216">IF($A216="","",IFERROR(INDEX(Sales!$A:$A,MATCH($A216,Sales!$E:$E,0)),""))</f>
        <v/>
      </c>
      <c r="C216" s="153" t="str">
        <f t="array" ref="C216">IF($A216="","",IFERROR(INDEX(Sales!$D:$D,MATCH($A216,Sales!$E:$E,0)),""))</f>
        <v/>
      </c>
      <c r="D216" s="153" t="str">
        <f t="array" ref="D216">IF($A216="","",IFERROR(INDEX(Sales!$C:$C,MATCH($A216,Sales!$E:$E,0)),""))</f>
        <v/>
      </c>
      <c r="E216" s="154" t="str">
        <f>IF($A216="","",SUMIFS(Sales!$H:$H,Sales!$E:$E,$A216,Sales!$B:$B,"&lt;&gt;Return"))</f>
        <v/>
      </c>
      <c r="F216" s="155" t="str">
        <f>IF($A216="","",SUMIF(Sales!$E:$E,$A216,Sales!$L:$L))</f>
        <v/>
      </c>
      <c r="G216" s="155" t="str">
        <f>IF($A216="","",SUMIF(Sales!$E:$E,$A216,Sales!$P:$P))</f>
        <v/>
      </c>
      <c r="H216" s="156" t="str">
        <f t="array" ref="H216">IF($A216="","",IFERROR(INDEX(Orders!$O$5:$O$1004,MATCH($A216,Orders!$N$5:$N$1004,0)),""))</f>
        <v/>
      </c>
      <c r="I216" s="156" t="str">
        <f t="array" ref="I216">IF($A216="","",IFERROR(INDEX(Orders!$P$5:$P$1004,MATCH($A216,Orders!$N$5:$N$1004,0)),""))</f>
        <v/>
      </c>
      <c r="J216" s="157" t="str">
        <f t="shared" si="1"/>
        <v/>
      </c>
      <c r="K216" s="153" t="str">
        <f t="array" ref="K216">IF($A216="","",IFERROR(INDEX(Sales!$M:$M,MATCH($A216,Sales!$E:$E,0)),""))</f>
        <v/>
      </c>
      <c r="L216" s="158" t="str">
        <f t="shared" si="2"/>
        <v/>
      </c>
      <c r="N216" s="49" t="str">
        <f t="array" ref="N216">IFERROR(INDEX(Sales!$E$7:$E$1506,MATCH(ROW()-4,Sales!$V$7:$V$1506,0)),"")</f>
        <v/>
      </c>
      <c r="O216" s="67"/>
      <c r="P216" s="67"/>
    </row>
    <row r="217" ht="14.25" customHeight="1">
      <c r="A217" s="151" t="str">
        <f t="array" ref="A217">IFERROR(INDEX(Sales!$E$7:$E$1506,MATCH(ROW()-4,Sales!$W$7:$W$1506,0)),"")</f>
        <v/>
      </c>
      <c r="B217" s="152" t="str">
        <f t="array" ref="B217">IF($A217="","",IFERROR(INDEX(Sales!$A:$A,MATCH($A217,Sales!$E:$E,0)),""))</f>
        <v/>
      </c>
      <c r="C217" s="153" t="str">
        <f t="array" ref="C217">IF($A217="","",IFERROR(INDEX(Sales!$D:$D,MATCH($A217,Sales!$E:$E,0)),""))</f>
        <v/>
      </c>
      <c r="D217" s="153" t="str">
        <f t="array" ref="D217">IF($A217="","",IFERROR(INDEX(Sales!$C:$C,MATCH($A217,Sales!$E:$E,0)),""))</f>
        <v/>
      </c>
      <c r="E217" s="154" t="str">
        <f>IF($A217="","",SUMIFS(Sales!$H:$H,Sales!$E:$E,$A217,Sales!$B:$B,"&lt;&gt;Return"))</f>
        <v/>
      </c>
      <c r="F217" s="155" t="str">
        <f>IF($A217="","",SUMIF(Sales!$E:$E,$A217,Sales!$L:$L))</f>
        <v/>
      </c>
      <c r="G217" s="155" t="str">
        <f>IF($A217="","",SUMIF(Sales!$E:$E,$A217,Sales!$P:$P))</f>
        <v/>
      </c>
      <c r="H217" s="156" t="str">
        <f t="array" ref="H217">IF($A217="","",IFERROR(INDEX(Orders!$O$5:$O$1004,MATCH($A217,Orders!$N$5:$N$1004,0)),""))</f>
        <v/>
      </c>
      <c r="I217" s="156" t="str">
        <f t="array" ref="I217">IF($A217="","",IFERROR(INDEX(Orders!$P$5:$P$1004,MATCH($A217,Orders!$N$5:$N$1004,0)),""))</f>
        <v/>
      </c>
      <c r="J217" s="157" t="str">
        <f t="shared" si="1"/>
        <v/>
      </c>
      <c r="K217" s="153" t="str">
        <f t="array" ref="K217">IF($A217="","",IFERROR(INDEX(Sales!$M:$M,MATCH($A217,Sales!$E:$E,0)),""))</f>
        <v/>
      </c>
      <c r="L217" s="158" t="str">
        <f t="shared" si="2"/>
        <v/>
      </c>
      <c r="N217" s="49" t="str">
        <f t="array" ref="N217">IFERROR(INDEX(Sales!$E$7:$E$1506,MATCH(ROW()-4,Sales!$V$7:$V$1506,0)),"")</f>
        <v/>
      </c>
      <c r="O217" s="67"/>
      <c r="P217" s="67"/>
    </row>
    <row r="218" ht="14.25" customHeight="1">
      <c r="A218" s="151" t="str">
        <f t="array" ref="A218">IFERROR(INDEX(Sales!$E$7:$E$1506,MATCH(ROW()-4,Sales!$W$7:$W$1506,0)),"")</f>
        <v/>
      </c>
      <c r="B218" s="152" t="str">
        <f t="array" ref="B218">IF($A218="","",IFERROR(INDEX(Sales!$A:$A,MATCH($A218,Sales!$E:$E,0)),""))</f>
        <v/>
      </c>
      <c r="C218" s="153" t="str">
        <f t="array" ref="C218">IF($A218="","",IFERROR(INDEX(Sales!$D:$D,MATCH($A218,Sales!$E:$E,0)),""))</f>
        <v/>
      </c>
      <c r="D218" s="153" t="str">
        <f t="array" ref="D218">IF($A218="","",IFERROR(INDEX(Sales!$C:$C,MATCH($A218,Sales!$E:$E,0)),""))</f>
        <v/>
      </c>
      <c r="E218" s="154" t="str">
        <f>IF($A218="","",SUMIFS(Sales!$H:$H,Sales!$E:$E,$A218,Sales!$B:$B,"&lt;&gt;Return"))</f>
        <v/>
      </c>
      <c r="F218" s="155" t="str">
        <f>IF($A218="","",SUMIF(Sales!$E:$E,$A218,Sales!$L:$L))</f>
        <v/>
      </c>
      <c r="G218" s="155" t="str">
        <f>IF($A218="","",SUMIF(Sales!$E:$E,$A218,Sales!$P:$P))</f>
        <v/>
      </c>
      <c r="H218" s="156" t="str">
        <f t="array" ref="H218">IF($A218="","",IFERROR(INDEX(Orders!$O$5:$O$1004,MATCH($A218,Orders!$N$5:$N$1004,0)),""))</f>
        <v/>
      </c>
      <c r="I218" s="156" t="str">
        <f t="array" ref="I218">IF($A218="","",IFERROR(INDEX(Orders!$P$5:$P$1004,MATCH($A218,Orders!$N$5:$N$1004,0)),""))</f>
        <v/>
      </c>
      <c r="J218" s="157" t="str">
        <f t="shared" si="1"/>
        <v/>
      </c>
      <c r="K218" s="153" t="str">
        <f t="array" ref="K218">IF($A218="","",IFERROR(INDEX(Sales!$M:$M,MATCH($A218,Sales!$E:$E,0)),""))</f>
        <v/>
      </c>
      <c r="L218" s="158" t="str">
        <f t="shared" si="2"/>
        <v/>
      </c>
      <c r="N218" s="49" t="str">
        <f t="array" ref="N218">IFERROR(INDEX(Sales!$E$7:$E$1506,MATCH(ROW()-4,Sales!$V$7:$V$1506,0)),"")</f>
        <v/>
      </c>
      <c r="O218" s="67"/>
      <c r="P218" s="67"/>
    </row>
    <row r="219" ht="14.25" customHeight="1">
      <c r="A219" s="151" t="str">
        <f t="array" ref="A219">IFERROR(INDEX(Sales!$E$7:$E$1506,MATCH(ROW()-4,Sales!$W$7:$W$1506,0)),"")</f>
        <v/>
      </c>
      <c r="B219" s="152" t="str">
        <f t="array" ref="B219">IF($A219="","",IFERROR(INDEX(Sales!$A:$A,MATCH($A219,Sales!$E:$E,0)),""))</f>
        <v/>
      </c>
      <c r="C219" s="153" t="str">
        <f t="array" ref="C219">IF($A219="","",IFERROR(INDEX(Sales!$D:$D,MATCH($A219,Sales!$E:$E,0)),""))</f>
        <v/>
      </c>
      <c r="D219" s="153" t="str">
        <f t="array" ref="D219">IF($A219="","",IFERROR(INDEX(Sales!$C:$C,MATCH($A219,Sales!$E:$E,0)),""))</f>
        <v/>
      </c>
      <c r="E219" s="154" t="str">
        <f>IF($A219="","",SUMIFS(Sales!$H:$H,Sales!$E:$E,$A219,Sales!$B:$B,"&lt;&gt;Return"))</f>
        <v/>
      </c>
      <c r="F219" s="155" t="str">
        <f>IF($A219="","",SUMIF(Sales!$E:$E,$A219,Sales!$L:$L))</f>
        <v/>
      </c>
      <c r="G219" s="155" t="str">
        <f>IF($A219="","",SUMIF(Sales!$E:$E,$A219,Sales!$P:$P))</f>
        <v/>
      </c>
      <c r="H219" s="156" t="str">
        <f t="array" ref="H219">IF($A219="","",IFERROR(INDEX(Orders!$O$5:$O$1004,MATCH($A219,Orders!$N$5:$N$1004,0)),""))</f>
        <v/>
      </c>
      <c r="I219" s="156" t="str">
        <f t="array" ref="I219">IF($A219="","",IFERROR(INDEX(Orders!$P$5:$P$1004,MATCH($A219,Orders!$N$5:$N$1004,0)),""))</f>
        <v/>
      </c>
      <c r="J219" s="157" t="str">
        <f t="shared" si="1"/>
        <v/>
      </c>
      <c r="K219" s="153" t="str">
        <f t="array" ref="K219">IF($A219="","",IFERROR(INDEX(Sales!$M:$M,MATCH($A219,Sales!$E:$E,0)),""))</f>
        <v/>
      </c>
      <c r="L219" s="158" t="str">
        <f t="shared" si="2"/>
        <v/>
      </c>
      <c r="N219" s="49" t="str">
        <f t="array" ref="N219">IFERROR(INDEX(Sales!$E$7:$E$1506,MATCH(ROW()-4,Sales!$V$7:$V$1506,0)),"")</f>
        <v/>
      </c>
      <c r="O219" s="67"/>
      <c r="P219" s="67"/>
    </row>
    <row r="220" ht="15.75" customHeight="1">
      <c r="A220" s="151" t="str">
        <f t="array" ref="A220">IFERROR(INDEX(Sales!$E$7:$E$1506,MATCH(ROW()-4,Sales!$W$7:$W$1506,0)),"")</f>
        <v/>
      </c>
      <c r="B220" s="152" t="str">
        <f t="array" ref="B220">IF($A220="","",IFERROR(INDEX(Sales!$A:$A,MATCH($A220,Sales!$E:$E,0)),""))</f>
        <v/>
      </c>
      <c r="C220" s="153" t="str">
        <f t="array" ref="C220">IF($A220="","",IFERROR(INDEX(Sales!$D:$D,MATCH($A220,Sales!$E:$E,0)),""))</f>
        <v/>
      </c>
      <c r="D220" s="153" t="str">
        <f t="array" ref="D220">IF($A220="","",IFERROR(INDEX(Sales!$C:$C,MATCH($A220,Sales!$E:$E,0)),""))</f>
        <v/>
      </c>
      <c r="E220" s="154" t="str">
        <f>IF($A220="","",SUMIFS(Sales!$H:$H,Sales!$E:$E,$A220,Sales!$B:$B,"&lt;&gt;Return"))</f>
        <v/>
      </c>
      <c r="F220" s="155" t="str">
        <f>IF($A220="","",SUMIF(Sales!$E:$E,$A220,Sales!$L:$L))</f>
        <v/>
      </c>
      <c r="G220" s="155" t="str">
        <f>IF($A220="","",SUMIF(Sales!$E:$E,$A220,Sales!$P:$P))</f>
        <v/>
      </c>
      <c r="H220" s="156" t="str">
        <f t="array" ref="H220">IF($A220="","",IFERROR(INDEX(Orders!$O$5:$O$1004,MATCH($A220,Orders!$N$5:$N$1004,0)),""))</f>
        <v/>
      </c>
      <c r="I220" s="156" t="str">
        <f t="array" ref="I220">IF($A220="","",IFERROR(INDEX(Orders!$P$5:$P$1004,MATCH($A220,Orders!$N$5:$N$1004,0)),""))</f>
        <v/>
      </c>
      <c r="J220" s="157" t="str">
        <f t="shared" si="1"/>
        <v/>
      </c>
      <c r="K220" s="153" t="str">
        <f t="array" ref="K220">IF($A220="","",IFERROR(INDEX(Sales!$M:$M,MATCH($A220,Sales!$E:$E,0)),""))</f>
        <v/>
      </c>
      <c r="L220" s="158" t="str">
        <f t="shared" si="2"/>
        <v/>
      </c>
      <c r="N220" s="49" t="str">
        <f t="array" ref="N220">IFERROR(INDEX(Sales!$E$7:$E$1506,MATCH(ROW()-4,Sales!$V$7:$V$1506,0)),"")</f>
        <v/>
      </c>
      <c r="O220" s="67"/>
      <c r="P220" s="67"/>
    </row>
    <row r="221" ht="15.75" customHeight="1">
      <c r="A221" s="151" t="str">
        <f t="array" ref="A221">IFERROR(INDEX(Sales!$E$7:$E$1506,MATCH(ROW()-4,Sales!$W$7:$W$1506,0)),"")</f>
        <v/>
      </c>
      <c r="B221" s="152" t="str">
        <f t="array" ref="B221">IF($A221="","",IFERROR(INDEX(Sales!$A:$A,MATCH($A221,Sales!$E:$E,0)),""))</f>
        <v/>
      </c>
      <c r="C221" s="153" t="str">
        <f t="array" ref="C221">IF($A221="","",IFERROR(INDEX(Sales!$D:$D,MATCH($A221,Sales!$E:$E,0)),""))</f>
        <v/>
      </c>
      <c r="D221" s="153" t="str">
        <f t="array" ref="D221">IF($A221="","",IFERROR(INDEX(Sales!$C:$C,MATCH($A221,Sales!$E:$E,0)),""))</f>
        <v/>
      </c>
      <c r="E221" s="154" t="str">
        <f>IF($A221="","",SUMIFS(Sales!$H:$H,Sales!$E:$E,$A221,Sales!$B:$B,"&lt;&gt;Return"))</f>
        <v/>
      </c>
      <c r="F221" s="155" t="str">
        <f>IF($A221="","",SUMIF(Sales!$E:$E,$A221,Sales!$L:$L))</f>
        <v/>
      </c>
      <c r="G221" s="155" t="str">
        <f>IF($A221="","",SUMIF(Sales!$E:$E,$A221,Sales!$P:$P))</f>
        <v/>
      </c>
      <c r="H221" s="156" t="str">
        <f t="array" ref="H221">IF($A221="","",IFERROR(INDEX(Orders!$O$5:$O$1004,MATCH($A221,Orders!$N$5:$N$1004,0)),""))</f>
        <v/>
      </c>
      <c r="I221" s="156" t="str">
        <f t="array" ref="I221">IF($A221="","",IFERROR(INDEX(Orders!$P$5:$P$1004,MATCH($A221,Orders!$N$5:$N$1004,0)),""))</f>
        <v/>
      </c>
      <c r="J221" s="157" t="str">
        <f t="shared" si="1"/>
        <v/>
      </c>
      <c r="K221" s="153" t="str">
        <f t="array" ref="K221">IF($A221="","",IFERROR(INDEX(Sales!$M:$M,MATCH($A221,Sales!$E:$E,0)),""))</f>
        <v/>
      </c>
      <c r="L221" s="158" t="str">
        <f t="shared" si="2"/>
        <v/>
      </c>
      <c r="N221" s="49" t="str">
        <f t="array" ref="N221">IFERROR(INDEX(Sales!$E$7:$E$1506,MATCH(ROW()-4,Sales!$V$7:$V$1506,0)),"")</f>
        <v/>
      </c>
      <c r="O221" s="67"/>
      <c r="P221" s="67"/>
    </row>
    <row r="222" ht="15.75" customHeight="1">
      <c r="A222" s="151" t="str">
        <f t="array" ref="A222">IFERROR(INDEX(Sales!$E$7:$E$1506,MATCH(ROW()-4,Sales!$W$7:$W$1506,0)),"")</f>
        <v/>
      </c>
      <c r="B222" s="152" t="str">
        <f t="array" ref="B222">IF($A222="","",IFERROR(INDEX(Sales!$A:$A,MATCH($A222,Sales!$E:$E,0)),""))</f>
        <v/>
      </c>
      <c r="C222" s="153" t="str">
        <f t="array" ref="C222">IF($A222="","",IFERROR(INDEX(Sales!$D:$D,MATCH($A222,Sales!$E:$E,0)),""))</f>
        <v/>
      </c>
      <c r="D222" s="153" t="str">
        <f t="array" ref="D222">IF($A222="","",IFERROR(INDEX(Sales!$C:$C,MATCH($A222,Sales!$E:$E,0)),""))</f>
        <v/>
      </c>
      <c r="E222" s="154" t="str">
        <f>IF($A222="","",SUMIFS(Sales!$H:$H,Sales!$E:$E,$A222,Sales!$B:$B,"&lt;&gt;Return"))</f>
        <v/>
      </c>
      <c r="F222" s="155" t="str">
        <f>IF($A222="","",SUMIF(Sales!$E:$E,$A222,Sales!$L:$L))</f>
        <v/>
      </c>
      <c r="G222" s="155" t="str">
        <f>IF($A222="","",SUMIF(Sales!$E:$E,$A222,Sales!$P:$P))</f>
        <v/>
      </c>
      <c r="H222" s="156" t="str">
        <f t="array" ref="H222">IF($A222="","",IFERROR(INDEX(Orders!$O$5:$O$1004,MATCH($A222,Orders!$N$5:$N$1004,0)),""))</f>
        <v/>
      </c>
      <c r="I222" s="156" t="str">
        <f t="array" ref="I222">IF($A222="","",IFERROR(INDEX(Orders!$P$5:$P$1004,MATCH($A222,Orders!$N$5:$N$1004,0)),""))</f>
        <v/>
      </c>
      <c r="J222" s="157" t="str">
        <f t="shared" si="1"/>
        <v/>
      </c>
      <c r="K222" s="153" t="str">
        <f t="array" ref="K222">IF($A222="","",IFERROR(INDEX(Sales!$M:$M,MATCH($A222,Sales!$E:$E,0)),""))</f>
        <v/>
      </c>
      <c r="L222" s="158" t="str">
        <f t="shared" si="2"/>
        <v/>
      </c>
      <c r="N222" s="49" t="str">
        <f t="array" ref="N222">IFERROR(INDEX(Sales!$E$7:$E$1506,MATCH(ROW()-4,Sales!$V$7:$V$1506,0)),"")</f>
        <v/>
      </c>
      <c r="O222" s="67"/>
      <c r="P222" s="67"/>
    </row>
    <row r="223" ht="15.75" customHeight="1">
      <c r="A223" s="151" t="str">
        <f t="array" ref="A223">IFERROR(INDEX(Sales!$E$7:$E$1506,MATCH(ROW()-4,Sales!$W$7:$W$1506,0)),"")</f>
        <v/>
      </c>
      <c r="B223" s="152" t="str">
        <f t="array" ref="B223">IF($A223="","",IFERROR(INDEX(Sales!$A:$A,MATCH($A223,Sales!$E:$E,0)),""))</f>
        <v/>
      </c>
      <c r="C223" s="153" t="str">
        <f t="array" ref="C223">IF($A223="","",IFERROR(INDEX(Sales!$D:$D,MATCH($A223,Sales!$E:$E,0)),""))</f>
        <v/>
      </c>
      <c r="D223" s="153" t="str">
        <f t="array" ref="D223">IF($A223="","",IFERROR(INDEX(Sales!$C:$C,MATCH($A223,Sales!$E:$E,0)),""))</f>
        <v/>
      </c>
      <c r="E223" s="154" t="str">
        <f>IF($A223="","",SUMIFS(Sales!$H:$H,Sales!$E:$E,$A223,Sales!$B:$B,"&lt;&gt;Return"))</f>
        <v/>
      </c>
      <c r="F223" s="155" t="str">
        <f>IF($A223="","",SUMIF(Sales!$E:$E,$A223,Sales!$L:$L))</f>
        <v/>
      </c>
      <c r="G223" s="155" t="str">
        <f>IF($A223="","",SUMIF(Sales!$E:$E,$A223,Sales!$P:$P))</f>
        <v/>
      </c>
      <c r="H223" s="156" t="str">
        <f t="array" ref="H223">IF($A223="","",IFERROR(INDEX(Orders!$O$5:$O$1004,MATCH($A223,Orders!$N$5:$N$1004,0)),""))</f>
        <v/>
      </c>
      <c r="I223" s="156" t="str">
        <f t="array" ref="I223">IF($A223="","",IFERROR(INDEX(Orders!$P$5:$P$1004,MATCH($A223,Orders!$N$5:$N$1004,0)),""))</f>
        <v/>
      </c>
      <c r="J223" s="157" t="str">
        <f t="shared" si="1"/>
        <v/>
      </c>
      <c r="K223" s="153" t="str">
        <f t="array" ref="K223">IF($A223="","",IFERROR(INDEX(Sales!$M:$M,MATCH($A223,Sales!$E:$E,0)),""))</f>
        <v/>
      </c>
      <c r="L223" s="158" t="str">
        <f t="shared" si="2"/>
        <v/>
      </c>
      <c r="N223" s="49" t="str">
        <f t="array" ref="N223">IFERROR(INDEX(Sales!$E$7:$E$1506,MATCH(ROW()-4,Sales!$V$7:$V$1506,0)),"")</f>
        <v/>
      </c>
      <c r="O223" s="67"/>
      <c r="P223" s="67"/>
    </row>
    <row r="224" ht="15.75" customHeight="1">
      <c r="A224" s="151" t="str">
        <f t="array" ref="A224">IFERROR(INDEX(Sales!$E$7:$E$1506,MATCH(ROW()-4,Sales!$W$7:$W$1506,0)),"")</f>
        <v/>
      </c>
      <c r="B224" s="152" t="str">
        <f t="array" ref="B224">IF($A224="","",IFERROR(INDEX(Sales!$A:$A,MATCH($A224,Sales!$E:$E,0)),""))</f>
        <v/>
      </c>
      <c r="C224" s="153" t="str">
        <f t="array" ref="C224">IF($A224="","",IFERROR(INDEX(Sales!$D:$D,MATCH($A224,Sales!$E:$E,0)),""))</f>
        <v/>
      </c>
      <c r="D224" s="153" t="str">
        <f t="array" ref="D224">IF($A224="","",IFERROR(INDEX(Sales!$C:$C,MATCH($A224,Sales!$E:$E,0)),""))</f>
        <v/>
      </c>
      <c r="E224" s="154" t="str">
        <f>IF($A224="","",SUMIFS(Sales!$H:$H,Sales!$E:$E,$A224,Sales!$B:$B,"&lt;&gt;Return"))</f>
        <v/>
      </c>
      <c r="F224" s="155" t="str">
        <f>IF($A224="","",SUMIF(Sales!$E:$E,$A224,Sales!$L:$L))</f>
        <v/>
      </c>
      <c r="G224" s="155" t="str">
        <f>IF($A224="","",SUMIF(Sales!$E:$E,$A224,Sales!$P:$P))</f>
        <v/>
      </c>
      <c r="H224" s="156" t="str">
        <f t="array" ref="H224">IF($A224="","",IFERROR(INDEX(Orders!$O$5:$O$1004,MATCH($A224,Orders!$N$5:$N$1004,0)),""))</f>
        <v/>
      </c>
      <c r="I224" s="156" t="str">
        <f t="array" ref="I224">IF($A224="","",IFERROR(INDEX(Orders!$P$5:$P$1004,MATCH($A224,Orders!$N$5:$N$1004,0)),""))</f>
        <v/>
      </c>
      <c r="J224" s="157" t="str">
        <f t="shared" si="1"/>
        <v/>
      </c>
      <c r="K224" s="153" t="str">
        <f t="array" ref="K224">IF($A224="","",IFERROR(INDEX(Sales!$M:$M,MATCH($A224,Sales!$E:$E,0)),""))</f>
        <v/>
      </c>
      <c r="L224" s="158" t="str">
        <f t="shared" si="2"/>
        <v/>
      </c>
      <c r="N224" s="49" t="str">
        <f t="array" ref="N224">IFERROR(INDEX(Sales!$E$7:$E$1506,MATCH(ROW()-4,Sales!$V$7:$V$1506,0)),"")</f>
        <v/>
      </c>
      <c r="O224" s="67"/>
      <c r="P224" s="67"/>
    </row>
    <row r="225" ht="15.75" customHeight="1">
      <c r="A225" s="151" t="str">
        <f t="array" ref="A225">IFERROR(INDEX(Sales!$E$7:$E$1506,MATCH(ROW()-4,Sales!$W$7:$W$1506,0)),"")</f>
        <v/>
      </c>
      <c r="B225" s="152" t="str">
        <f t="array" ref="B225">IF($A225="","",IFERROR(INDEX(Sales!$A:$A,MATCH($A225,Sales!$E:$E,0)),""))</f>
        <v/>
      </c>
      <c r="C225" s="153" t="str">
        <f t="array" ref="C225">IF($A225="","",IFERROR(INDEX(Sales!$D:$D,MATCH($A225,Sales!$E:$E,0)),""))</f>
        <v/>
      </c>
      <c r="D225" s="153" t="str">
        <f t="array" ref="D225">IF($A225="","",IFERROR(INDEX(Sales!$C:$C,MATCH($A225,Sales!$E:$E,0)),""))</f>
        <v/>
      </c>
      <c r="E225" s="154" t="str">
        <f>IF($A225="","",SUMIFS(Sales!$H:$H,Sales!$E:$E,$A225,Sales!$B:$B,"&lt;&gt;Return"))</f>
        <v/>
      </c>
      <c r="F225" s="155" t="str">
        <f>IF($A225="","",SUMIF(Sales!$E:$E,$A225,Sales!$L:$L))</f>
        <v/>
      </c>
      <c r="G225" s="155" t="str">
        <f>IF($A225="","",SUMIF(Sales!$E:$E,$A225,Sales!$P:$P))</f>
        <v/>
      </c>
      <c r="H225" s="156" t="str">
        <f t="array" ref="H225">IF($A225="","",IFERROR(INDEX(Orders!$O$5:$O$1004,MATCH($A225,Orders!$N$5:$N$1004,0)),""))</f>
        <v/>
      </c>
      <c r="I225" s="156" t="str">
        <f t="array" ref="I225">IF($A225="","",IFERROR(INDEX(Orders!$P$5:$P$1004,MATCH($A225,Orders!$N$5:$N$1004,0)),""))</f>
        <v/>
      </c>
      <c r="J225" s="157" t="str">
        <f t="shared" si="1"/>
        <v/>
      </c>
      <c r="K225" s="153" t="str">
        <f t="array" ref="K225">IF($A225="","",IFERROR(INDEX(Sales!$M:$M,MATCH($A225,Sales!$E:$E,0)),""))</f>
        <v/>
      </c>
      <c r="L225" s="158" t="str">
        <f t="shared" si="2"/>
        <v/>
      </c>
      <c r="N225" s="49" t="str">
        <f t="array" ref="N225">IFERROR(INDEX(Sales!$E$7:$E$1506,MATCH(ROW()-4,Sales!$V$7:$V$1506,0)),"")</f>
        <v/>
      </c>
      <c r="O225" s="67"/>
      <c r="P225" s="67"/>
    </row>
    <row r="226" ht="15.75" customHeight="1">
      <c r="A226" s="151" t="str">
        <f t="array" ref="A226">IFERROR(INDEX(Sales!$E$7:$E$1506,MATCH(ROW()-4,Sales!$W$7:$W$1506,0)),"")</f>
        <v/>
      </c>
      <c r="B226" s="152" t="str">
        <f t="array" ref="B226">IF($A226="","",IFERROR(INDEX(Sales!$A:$A,MATCH($A226,Sales!$E:$E,0)),""))</f>
        <v/>
      </c>
      <c r="C226" s="153" t="str">
        <f t="array" ref="C226">IF($A226="","",IFERROR(INDEX(Sales!$D:$D,MATCH($A226,Sales!$E:$E,0)),""))</f>
        <v/>
      </c>
      <c r="D226" s="153" t="str">
        <f t="array" ref="D226">IF($A226="","",IFERROR(INDEX(Sales!$C:$C,MATCH($A226,Sales!$E:$E,0)),""))</f>
        <v/>
      </c>
      <c r="E226" s="154" t="str">
        <f>IF($A226="","",SUMIFS(Sales!$H:$H,Sales!$E:$E,$A226,Sales!$B:$B,"&lt;&gt;Return"))</f>
        <v/>
      </c>
      <c r="F226" s="155" t="str">
        <f>IF($A226="","",SUMIF(Sales!$E:$E,$A226,Sales!$L:$L))</f>
        <v/>
      </c>
      <c r="G226" s="155" t="str">
        <f>IF($A226="","",SUMIF(Sales!$E:$E,$A226,Sales!$P:$P))</f>
        <v/>
      </c>
      <c r="H226" s="156" t="str">
        <f t="array" ref="H226">IF($A226="","",IFERROR(INDEX(Orders!$O$5:$O$1004,MATCH($A226,Orders!$N$5:$N$1004,0)),""))</f>
        <v/>
      </c>
      <c r="I226" s="156" t="str">
        <f t="array" ref="I226">IF($A226="","",IFERROR(INDEX(Orders!$P$5:$P$1004,MATCH($A226,Orders!$N$5:$N$1004,0)),""))</f>
        <v/>
      </c>
      <c r="J226" s="157" t="str">
        <f t="shared" si="1"/>
        <v/>
      </c>
      <c r="K226" s="153" t="str">
        <f t="array" ref="K226">IF($A226="","",IFERROR(INDEX(Sales!$M:$M,MATCH($A226,Sales!$E:$E,0)),""))</f>
        <v/>
      </c>
      <c r="L226" s="158" t="str">
        <f t="shared" si="2"/>
        <v/>
      </c>
      <c r="N226" s="49" t="str">
        <f t="array" ref="N226">IFERROR(INDEX(Sales!$E$7:$E$1506,MATCH(ROW()-4,Sales!$V$7:$V$1506,0)),"")</f>
        <v/>
      </c>
      <c r="O226" s="67"/>
      <c r="P226" s="67"/>
    </row>
    <row r="227" ht="15.75" customHeight="1">
      <c r="A227" s="151" t="str">
        <f t="array" ref="A227">IFERROR(INDEX(Sales!$E$7:$E$1506,MATCH(ROW()-4,Sales!$W$7:$W$1506,0)),"")</f>
        <v/>
      </c>
      <c r="B227" s="152" t="str">
        <f t="array" ref="B227">IF($A227="","",IFERROR(INDEX(Sales!$A:$A,MATCH($A227,Sales!$E:$E,0)),""))</f>
        <v/>
      </c>
      <c r="C227" s="153" t="str">
        <f t="array" ref="C227">IF($A227="","",IFERROR(INDEX(Sales!$D:$D,MATCH($A227,Sales!$E:$E,0)),""))</f>
        <v/>
      </c>
      <c r="D227" s="153" t="str">
        <f t="array" ref="D227">IF($A227="","",IFERROR(INDEX(Sales!$C:$C,MATCH($A227,Sales!$E:$E,0)),""))</f>
        <v/>
      </c>
      <c r="E227" s="154" t="str">
        <f>IF($A227="","",SUMIFS(Sales!$H:$H,Sales!$E:$E,$A227,Sales!$B:$B,"&lt;&gt;Return"))</f>
        <v/>
      </c>
      <c r="F227" s="155" t="str">
        <f>IF($A227="","",SUMIF(Sales!$E:$E,$A227,Sales!$L:$L))</f>
        <v/>
      </c>
      <c r="G227" s="155" t="str">
        <f>IF($A227="","",SUMIF(Sales!$E:$E,$A227,Sales!$P:$P))</f>
        <v/>
      </c>
      <c r="H227" s="156" t="str">
        <f t="array" ref="H227">IF($A227="","",IFERROR(INDEX(Orders!$O$5:$O$1004,MATCH($A227,Orders!$N$5:$N$1004,0)),""))</f>
        <v/>
      </c>
      <c r="I227" s="156" t="str">
        <f t="array" ref="I227">IF($A227="","",IFERROR(INDEX(Orders!$P$5:$P$1004,MATCH($A227,Orders!$N$5:$N$1004,0)),""))</f>
        <v/>
      </c>
      <c r="J227" s="157" t="str">
        <f t="shared" si="1"/>
        <v/>
      </c>
      <c r="K227" s="153" t="str">
        <f t="array" ref="K227">IF($A227="","",IFERROR(INDEX(Sales!$M:$M,MATCH($A227,Sales!$E:$E,0)),""))</f>
        <v/>
      </c>
      <c r="L227" s="158" t="str">
        <f t="shared" si="2"/>
        <v/>
      </c>
      <c r="N227" s="49" t="str">
        <f t="array" ref="N227">IFERROR(INDEX(Sales!$E$7:$E$1506,MATCH(ROW()-4,Sales!$V$7:$V$1506,0)),"")</f>
        <v/>
      </c>
      <c r="O227" s="67"/>
      <c r="P227" s="67"/>
    </row>
    <row r="228" ht="15.75" customHeight="1">
      <c r="A228" s="151" t="str">
        <f t="array" ref="A228">IFERROR(INDEX(Sales!$E$7:$E$1506,MATCH(ROW()-4,Sales!$W$7:$W$1506,0)),"")</f>
        <v/>
      </c>
      <c r="B228" s="152" t="str">
        <f t="array" ref="B228">IF($A228="","",IFERROR(INDEX(Sales!$A:$A,MATCH($A228,Sales!$E:$E,0)),""))</f>
        <v/>
      </c>
      <c r="C228" s="153" t="str">
        <f t="array" ref="C228">IF($A228="","",IFERROR(INDEX(Sales!$D:$D,MATCH($A228,Sales!$E:$E,0)),""))</f>
        <v/>
      </c>
      <c r="D228" s="153" t="str">
        <f t="array" ref="D228">IF($A228="","",IFERROR(INDEX(Sales!$C:$C,MATCH($A228,Sales!$E:$E,0)),""))</f>
        <v/>
      </c>
      <c r="E228" s="154" t="str">
        <f>IF($A228="","",SUMIFS(Sales!$H:$H,Sales!$E:$E,$A228,Sales!$B:$B,"&lt;&gt;Return"))</f>
        <v/>
      </c>
      <c r="F228" s="155" t="str">
        <f>IF($A228="","",SUMIF(Sales!$E:$E,$A228,Sales!$L:$L))</f>
        <v/>
      </c>
      <c r="G228" s="155" t="str">
        <f>IF($A228="","",SUMIF(Sales!$E:$E,$A228,Sales!$P:$P))</f>
        <v/>
      </c>
      <c r="H228" s="156" t="str">
        <f t="array" ref="H228">IF($A228="","",IFERROR(INDEX(Orders!$O$5:$O$1004,MATCH($A228,Orders!$N$5:$N$1004,0)),""))</f>
        <v/>
      </c>
      <c r="I228" s="156" t="str">
        <f t="array" ref="I228">IF($A228="","",IFERROR(INDEX(Orders!$P$5:$P$1004,MATCH($A228,Orders!$N$5:$N$1004,0)),""))</f>
        <v/>
      </c>
      <c r="J228" s="157" t="str">
        <f t="shared" si="1"/>
        <v/>
      </c>
      <c r="K228" s="153" t="str">
        <f t="array" ref="K228">IF($A228="","",IFERROR(INDEX(Sales!$M:$M,MATCH($A228,Sales!$E:$E,0)),""))</f>
        <v/>
      </c>
      <c r="L228" s="158" t="str">
        <f t="shared" si="2"/>
        <v/>
      </c>
      <c r="N228" s="49" t="str">
        <f t="array" ref="N228">IFERROR(INDEX(Sales!$E$7:$E$1506,MATCH(ROW()-4,Sales!$V$7:$V$1506,0)),"")</f>
        <v/>
      </c>
      <c r="O228" s="67"/>
      <c r="P228" s="67"/>
    </row>
    <row r="229" ht="15.75" customHeight="1">
      <c r="A229" s="151" t="str">
        <f t="array" ref="A229">IFERROR(INDEX(Sales!$E$7:$E$1506,MATCH(ROW()-4,Sales!$W$7:$W$1506,0)),"")</f>
        <v/>
      </c>
      <c r="B229" s="152" t="str">
        <f t="array" ref="B229">IF($A229="","",IFERROR(INDEX(Sales!$A:$A,MATCH($A229,Sales!$E:$E,0)),""))</f>
        <v/>
      </c>
      <c r="C229" s="153" t="str">
        <f t="array" ref="C229">IF($A229="","",IFERROR(INDEX(Sales!$D:$D,MATCH($A229,Sales!$E:$E,0)),""))</f>
        <v/>
      </c>
      <c r="D229" s="153" t="str">
        <f t="array" ref="D229">IF($A229="","",IFERROR(INDEX(Sales!$C:$C,MATCH($A229,Sales!$E:$E,0)),""))</f>
        <v/>
      </c>
      <c r="E229" s="154" t="str">
        <f>IF($A229="","",SUMIFS(Sales!$H:$H,Sales!$E:$E,$A229,Sales!$B:$B,"&lt;&gt;Return"))</f>
        <v/>
      </c>
      <c r="F229" s="155" t="str">
        <f>IF($A229="","",SUMIF(Sales!$E:$E,$A229,Sales!$L:$L))</f>
        <v/>
      </c>
      <c r="G229" s="155" t="str">
        <f>IF($A229="","",SUMIF(Sales!$E:$E,$A229,Sales!$P:$P))</f>
        <v/>
      </c>
      <c r="H229" s="156" t="str">
        <f t="array" ref="H229">IF($A229="","",IFERROR(INDEX(Orders!$O$5:$O$1004,MATCH($A229,Orders!$N$5:$N$1004,0)),""))</f>
        <v/>
      </c>
      <c r="I229" s="156" t="str">
        <f t="array" ref="I229">IF($A229="","",IFERROR(INDEX(Orders!$P$5:$P$1004,MATCH($A229,Orders!$N$5:$N$1004,0)),""))</f>
        <v/>
      </c>
      <c r="J229" s="157" t="str">
        <f t="shared" si="1"/>
        <v/>
      </c>
      <c r="K229" s="153" t="str">
        <f t="array" ref="K229">IF($A229="","",IFERROR(INDEX(Sales!$M:$M,MATCH($A229,Sales!$E:$E,0)),""))</f>
        <v/>
      </c>
      <c r="L229" s="158" t="str">
        <f t="shared" si="2"/>
        <v/>
      </c>
      <c r="N229" s="49" t="str">
        <f t="array" ref="N229">IFERROR(INDEX(Sales!$E$7:$E$1506,MATCH(ROW()-4,Sales!$V$7:$V$1506,0)),"")</f>
        <v/>
      </c>
      <c r="O229" s="67"/>
      <c r="P229" s="67"/>
    </row>
    <row r="230" ht="15.75" customHeight="1">
      <c r="A230" s="151" t="str">
        <f t="array" ref="A230">IFERROR(INDEX(Sales!$E$7:$E$1506,MATCH(ROW()-4,Sales!$W$7:$W$1506,0)),"")</f>
        <v/>
      </c>
      <c r="B230" s="152" t="str">
        <f t="array" ref="B230">IF($A230="","",IFERROR(INDEX(Sales!$A:$A,MATCH($A230,Sales!$E:$E,0)),""))</f>
        <v/>
      </c>
      <c r="C230" s="153" t="str">
        <f t="array" ref="C230">IF($A230="","",IFERROR(INDEX(Sales!$D:$D,MATCH($A230,Sales!$E:$E,0)),""))</f>
        <v/>
      </c>
      <c r="D230" s="153" t="str">
        <f t="array" ref="D230">IF($A230="","",IFERROR(INDEX(Sales!$C:$C,MATCH($A230,Sales!$E:$E,0)),""))</f>
        <v/>
      </c>
      <c r="E230" s="154" t="str">
        <f>IF($A230="","",SUMIFS(Sales!$H:$H,Sales!$E:$E,$A230,Sales!$B:$B,"&lt;&gt;Return"))</f>
        <v/>
      </c>
      <c r="F230" s="155" t="str">
        <f>IF($A230="","",SUMIF(Sales!$E:$E,$A230,Sales!$L:$L))</f>
        <v/>
      </c>
      <c r="G230" s="155" t="str">
        <f>IF($A230="","",SUMIF(Sales!$E:$E,$A230,Sales!$P:$P))</f>
        <v/>
      </c>
      <c r="H230" s="156" t="str">
        <f t="array" ref="H230">IF($A230="","",IFERROR(INDEX(Orders!$O$5:$O$1004,MATCH($A230,Orders!$N$5:$N$1004,0)),""))</f>
        <v/>
      </c>
      <c r="I230" s="156" t="str">
        <f t="array" ref="I230">IF($A230="","",IFERROR(INDEX(Orders!$P$5:$P$1004,MATCH($A230,Orders!$N$5:$N$1004,0)),""))</f>
        <v/>
      </c>
      <c r="J230" s="157" t="str">
        <f t="shared" si="1"/>
        <v/>
      </c>
      <c r="K230" s="153" t="str">
        <f t="array" ref="K230">IF($A230="","",IFERROR(INDEX(Sales!$M:$M,MATCH($A230,Sales!$E:$E,0)),""))</f>
        <v/>
      </c>
      <c r="L230" s="158" t="str">
        <f t="shared" si="2"/>
        <v/>
      </c>
      <c r="N230" s="49" t="str">
        <f t="array" ref="N230">IFERROR(INDEX(Sales!$E$7:$E$1506,MATCH(ROW()-4,Sales!$V$7:$V$1506,0)),"")</f>
        <v/>
      </c>
      <c r="O230" s="67"/>
      <c r="P230" s="67"/>
    </row>
    <row r="231" ht="15.75" customHeight="1">
      <c r="A231" s="151" t="str">
        <f t="array" ref="A231">IFERROR(INDEX(Sales!$E$7:$E$1506,MATCH(ROW()-4,Sales!$W$7:$W$1506,0)),"")</f>
        <v/>
      </c>
      <c r="B231" s="152" t="str">
        <f t="array" ref="B231">IF($A231="","",IFERROR(INDEX(Sales!$A:$A,MATCH($A231,Sales!$E:$E,0)),""))</f>
        <v/>
      </c>
      <c r="C231" s="153" t="str">
        <f t="array" ref="C231">IF($A231="","",IFERROR(INDEX(Sales!$D:$D,MATCH($A231,Sales!$E:$E,0)),""))</f>
        <v/>
      </c>
      <c r="D231" s="153" t="str">
        <f t="array" ref="D231">IF($A231="","",IFERROR(INDEX(Sales!$C:$C,MATCH($A231,Sales!$E:$E,0)),""))</f>
        <v/>
      </c>
      <c r="E231" s="154" t="str">
        <f>IF($A231="","",SUMIFS(Sales!$H:$H,Sales!$E:$E,$A231,Sales!$B:$B,"&lt;&gt;Return"))</f>
        <v/>
      </c>
      <c r="F231" s="155" t="str">
        <f>IF($A231="","",SUMIF(Sales!$E:$E,$A231,Sales!$L:$L))</f>
        <v/>
      </c>
      <c r="G231" s="155" t="str">
        <f>IF($A231="","",SUMIF(Sales!$E:$E,$A231,Sales!$P:$P))</f>
        <v/>
      </c>
      <c r="H231" s="156" t="str">
        <f t="array" ref="H231">IF($A231="","",IFERROR(INDEX(Orders!$O$5:$O$1004,MATCH($A231,Orders!$N$5:$N$1004,0)),""))</f>
        <v/>
      </c>
      <c r="I231" s="156" t="str">
        <f t="array" ref="I231">IF($A231="","",IFERROR(INDEX(Orders!$P$5:$P$1004,MATCH($A231,Orders!$N$5:$N$1004,0)),""))</f>
        <v/>
      </c>
      <c r="J231" s="157" t="str">
        <f t="shared" si="1"/>
        <v/>
      </c>
      <c r="K231" s="153" t="str">
        <f t="array" ref="K231">IF($A231="","",IFERROR(INDEX(Sales!$M:$M,MATCH($A231,Sales!$E:$E,0)),""))</f>
        <v/>
      </c>
      <c r="L231" s="158" t="str">
        <f t="shared" si="2"/>
        <v/>
      </c>
      <c r="N231" s="49" t="str">
        <f t="array" ref="N231">IFERROR(INDEX(Sales!$E$7:$E$1506,MATCH(ROW()-4,Sales!$V$7:$V$1506,0)),"")</f>
        <v/>
      </c>
      <c r="O231" s="67"/>
      <c r="P231" s="67"/>
    </row>
    <row r="232" ht="15.75" customHeight="1">
      <c r="A232" s="151" t="str">
        <f t="array" ref="A232">IFERROR(INDEX(Sales!$E$7:$E$1506,MATCH(ROW()-4,Sales!$W$7:$W$1506,0)),"")</f>
        <v/>
      </c>
      <c r="B232" s="152" t="str">
        <f t="array" ref="B232">IF($A232="","",IFERROR(INDEX(Sales!$A:$A,MATCH($A232,Sales!$E:$E,0)),""))</f>
        <v/>
      </c>
      <c r="C232" s="153" t="str">
        <f t="array" ref="C232">IF($A232="","",IFERROR(INDEX(Sales!$D:$D,MATCH($A232,Sales!$E:$E,0)),""))</f>
        <v/>
      </c>
      <c r="D232" s="153" t="str">
        <f t="array" ref="D232">IF($A232="","",IFERROR(INDEX(Sales!$C:$C,MATCH($A232,Sales!$E:$E,0)),""))</f>
        <v/>
      </c>
      <c r="E232" s="154" t="str">
        <f>IF($A232="","",SUMIFS(Sales!$H:$H,Sales!$E:$E,$A232,Sales!$B:$B,"&lt;&gt;Return"))</f>
        <v/>
      </c>
      <c r="F232" s="155" t="str">
        <f>IF($A232="","",SUMIF(Sales!$E:$E,$A232,Sales!$L:$L))</f>
        <v/>
      </c>
      <c r="G232" s="155" t="str">
        <f>IF($A232="","",SUMIF(Sales!$E:$E,$A232,Sales!$P:$P))</f>
        <v/>
      </c>
      <c r="H232" s="156" t="str">
        <f t="array" ref="H232">IF($A232="","",IFERROR(INDEX(Orders!$O$5:$O$1004,MATCH($A232,Orders!$N$5:$N$1004,0)),""))</f>
        <v/>
      </c>
      <c r="I232" s="156" t="str">
        <f t="array" ref="I232">IF($A232="","",IFERROR(INDEX(Orders!$P$5:$P$1004,MATCH($A232,Orders!$N$5:$N$1004,0)),""))</f>
        <v/>
      </c>
      <c r="J232" s="157" t="str">
        <f t="shared" si="1"/>
        <v/>
      </c>
      <c r="K232" s="153" t="str">
        <f t="array" ref="K232">IF($A232="","",IFERROR(INDEX(Sales!$M:$M,MATCH($A232,Sales!$E:$E,0)),""))</f>
        <v/>
      </c>
      <c r="L232" s="158" t="str">
        <f t="shared" si="2"/>
        <v/>
      </c>
      <c r="N232" s="49" t="str">
        <f t="array" ref="N232">IFERROR(INDEX(Sales!$E$7:$E$1506,MATCH(ROW()-4,Sales!$V$7:$V$1506,0)),"")</f>
        <v/>
      </c>
      <c r="O232" s="67"/>
      <c r="P232" s="67"/>
    </row>
    <row r="233" ht="15.75" customHeight="1">
      <c r="A233" s="151" t="str">
        <f t="array" ref="A233">IFERROR(INDEX(Sales!$E$7:$E$1506,MATCH(ROW()-4,Sales!$W$7:$W$1506,0)),"")</f>
        <v/>
      </c>
      <c r="B233" s="152" t="str">
        <f t="array" ref="B233">IF($A233="","",IFERROR(INDEX(Sales!$A:$A,MATCH($A233,Sales!$E:$E,0)),""))</f>
        <v/>
      </c>
      <c r="C233" s="153" t="str">
        <f t="array" ref="C233">IF($A233="","",IFERROR(INDEX(Sales!$D:$D,MATCH($A233,Sales!$E:$E,0)),""))</f>
        <v/>
      </c>
      <c r="D233" s="153" t="str">
        <f t="array" ref="D233">IF($A233="","",IFERROR(INDEX(Sales!$C:$C,MATCH($A233,Sales!$E:$E,0)),""))</f>
        <v/>
      </c>
      <c r="E233" s="154" t="str">
        <f>IF($A233="","",SUMIFS(Sales!$H:$H,Sales!$E:$E,$A233,Sales!$B:$B,"&lt;&gt;Return"))</f>
        <v/>
      </c>
      <c r="F233" s="155" t="str">
        <f>IF($A233="","",SUMIF(Sales!$E:$E,$A233,Sales!$L:$L))</f>
        <v/>
      </c>
      <c r="G233" s="155" t="str">
        <f>IF($A233="","",SUMIF(Sales!$E:$E,$A233,Sales!$P:$P))</f>
        <v/>
      </c>
      <c r="H233" s="156" t="str">
        <f t="array" ref="H233">IF($A233="","",IFERROR(INDEX(Orders!$O$5:$O$1004,MATCH($A233,Orders!$N$5:$N$1004,0)),""))</f>
        <v/>
      </c>
      <c r="I233" s="156" t="str">
        <f t="array" ref="I233">IF($A233="","",IFERROR(INDEX(Orders!$P$5:$P$1004,MATCH($A233,Orders!$N$5:$N$1004,0)),""))</f>
        <v/>
      </c>
      <c r="J233" s="157" t="str">
        <f t="shared" si="1"/>
        <v/>
      </c>
      <c r="K233" s="153" t="str">
        <f t="array" ref="K233">IF($A233="","",IFERROR(INDEX(Sales!$M:$M,MATCH($A233,Sales!$E:$E,0)),""))</f>
        <v/>
      </c>
      <c r="L233" s="158" t="str">
        <f t="shared" si="2"/>
        <v/>
      </c>
      <c r="N233" s="49" t="str">
        <f t="array" ref="N233">IFERROR(INDEX(Sales!$E$7:$E$1506,MATCH(ROW()-4,Sales!$V$7:$V$1506,0)),"")</f>
        <v/>
      </c>
      <c r="O233" s="67"/>
      <c r="P233" s="67"/>
    </row>
    <row r="234" ht="15.75" customHeight="1">
      <c r="A234" s="151" t="str">
        <f t="array" ref="A234">IFERROR(INDEX(Sales!$E$7:$E$1506,MATCH(ROW()-4,Sales!$W$7:$W$1506,0)),"")</f>
        <v/>
      </c>
      <c r="B234" s="152" t="str">
        <f t="array" ref="B234">IF($A234="","",IFERROR(INDEX(Sales!$A:$A,MATCH($A234,Sales!$E:$E,0)),""))</f>
        <v/>
      </c>
      <c r="C234" s="153" t="str">
        <f t="array" ref="C234">IF($A234="","",IFERROR(INDEX(Sales!$D:$D,MATCH($A234,Sales!$E:$E,0)),""))</f>
        <v/>
      </c>
      <c r="D234" s="153" t="str">
        <f t="array" ref="D234">IF($A234="","",IFERROR(INDEX(Sales!$C:$C,MATCH($A234,Sales!$E:$E,0)),""))</f>
        <v/>
      </c>
      <c r="E234" s="154" t="str">
        <f>IF($A234="","",SUMIFS(Sales!$H:$H,Sales!$E:$E,$A234,Sales!$B:$B,"&lt;&gt;Return"))</f>
        <v/>
      </c>
      <c r="F234" s="155" t="str">
        <f>IF($A234="","",SUMIF(Sales!$E:$E,$A234,Sales!$L:$L))</f>
        <v/>
      </c>
      <c r="G234" s="155" t="str">
        <f>IF($A234="","",SUMIF(Sales!$E:$E,$A234,Sales!$P:$P))</f>
        <v/>
      </c>
      <c r="H234" s="156" t="str">
        <f t="array" ref="H234">IF($A234="","",IFERROR(INDEX(Orders!$O$5:$O$1004,MATCH($A234,Orders!$N$5:$N$1004,0)),""))</f>
        <v/>
      </c>
      <c r="I234" s="156" t="str">
        <f t="array" ref="I234">IF($A234="","",IFERROR(INDEX(Orders!$P$5:$P$1004,MATCH($A234,Orders!$N$5:$N$1004,0)),""))</f>
        <v/>
      </c>
      <c r="J234" s="157" t="str">
        <f t="shared" si="1"/>
        <v/>
      </c>
      <c r="K234" s="153" t="str">
        <f t="array" ref="K234">IF($A234="","",IFERROR(INDEX(Sales!$M:$M,MATCH($A234,Sales!$E:$E,0)),""))</f>
        <v/>
      </c>
      <c r="L234" s="158" t="str">
        <f t="shared" si="2"/>
        <v/>
      </c>
      <c r="N234" s="49" t="str">
        <f t="array" ref="N234">IFERROR(INDEX(Sales!$E$7:$E$1506,MATCH(ROW()-4,Sales!$V$7:$V$1506,0)),"")</f>
        <v/>
      </c>
      <c r="O234" s="67"/>
      <c r="P234" s="67"/>
    </row>
    <row r="235" ht="15.75" customHeight="1">
      <c r="A235" s="151" t="str">
        <f t="array" ref="A235">IFERROR(INDEX(Sales!$E$7:$E$1506,MATCH(ROW()-4,Sales!$W$7:$W$1506,0)),"")</f>
        <v/>
      </c>
      <c r="B235" s="152" t="str">
        <f t="array" ref="B235">IF($A235="","",IFERROR(INDEX(Sales!$A:$A,MATCH($A235,Sales!$E:$E,0)),""))</f>
        <v/>
      </c>
      <c r="C235" s="153" t="str">
        <f t="array" ref="C235">IF($A235="","",IFERROR(INDEX(Sales!$D:$D,MATCH($A235,Sales!$E:$E,0)),""))</f>
        <v/>
      </c>
      <c r="D235" s="153" t="str">
        <f t="array" ref="D235">IF($A235="","",IFERROR(INDEX(Sales!$C:$C,MATCH($A235,Sales!$E:$E,0)),""))</f>
        <v/>
      </c>
      <c r="E235" s="154" t="str">
        <f>IF($A235="","",SUMIFS(Sales!$H:$H,Sales!$E:$E,$A235,Sales!$B:$B,"&lt;&gt;Return"))</f>
        <v/>
      </c>
      <c r="F235" s="155" t="str">
        <f>IF($A235="","",SUMIF(Sales!$E:$E,$A235,Sales!$L:$L))</f>
        <v/>
      </c>
      <c r="G235" s="155" t="str">
        <f>IF($A235="","",SUMIF(Sales!$E:$E,$A235,Sales!$P:$P))</f>
        <v/>
      </c>
      <c r="H235" s="156" t="str">
        <f t="array" ref="H235">IF($A235="","",IFERROR(INDEX(Orders!$O$5:$O$1004,MATCH($A235,Orders!$N$5:$N$1004,0)),""))</f>
        <v/>
      </c>
      <c r="I235" s="156" t="str">
        <f t="array" ref="I235">IF($A235="","",IFERROR(INDEX(Orders!$P$5:$P$1004,MATCH($A235,Orders!$N$5:$N$1004,0)),""))</f>
        <v/>
      </c>
      <c r="J235" s="157" t="str">
        <f t="shared" si="1"/>
        <v/>
      </c>
      <c r="K235" s="153" t="str">
        <f t="array" ref="K235">IF($A235="","",IFERROR(INDEX(Sales!$M:$M,MATCH($A235,Sales!$E:$E,0)),""))</f>
        <v/>
      </c>
      <c r="L235" s="158" t="str">
        <f t="shared" si="2"/>
        <v/>
      </c>
      <c r="N235" s="49" t="str">
        <f t="array" ref="N235">IFERROR(INDEX(Sales!$E$7:$E$1506,MATCH(ROW()-4,Sales!$V$7:$V$1506,0)),"")</f>
        <v/>
      </c>
      <c r="O235" s="67"/>
      <c r="P235" s="67"/>
    </row>
    <row r="236" ht="15.75" customHeight="1">
      <c r="A236" s="151" t="str">
        <f t="array" ref="A236">IFERROR(INDEX(Sales!$E$7:$E$1506,MATCH(ROW()-4,Sales!$W$7:$W$1506,0)),"")</f>
        <v/>
      </c>
      <c r="B236" s="152" t="str">
        <f t="array" ref="B236">IF($A236="","",IFERROR(INDEX(Sales!$A:$A,MATCH($A236,Sales!$E:$E,0)),""))</f>
        <v/>
      </c>
      <c r="C236" s="153" t="str">
        <f t="array" ref="C236">IF($A236="","",IFERROR(INDEX(Sales!$D:$D,MATCH($A236,Sales!$E:$E,0)),""))</f>
        <v/>
      </c>
      <c r="D236" s="153" t="str">
        <f t="array" ref="D236">IF($A236="","",IFERROR(INDEX(Sales!$C:$C,MATCH($A236,Sales!$E:$E,0)),""))</f>
        <v/>
      </c>
      <c r="E236" s="154" t="str">
        <f>IF($A236="","",SUMIFS(Sales!$H:$H,Sales!$E:$E,$A236,Sales!$B:$B,"&lt;&gt;Return"))</f>
        <v/>
      </c>
      <c r="F236" s="155" t="str">
        <f>IF($A236="","",SUMIF(Sales!$E:$E,$A236,Sales!$L:$L))</f>
        <v/>
      </c>
      <c r="G236" s="155" t="str">
        <f>IF($A236="","",SUMIF(Sales!$E:$E,$A236,Sales!$P:$P))</f>
        <v/>
      </c>
      <c r="H236" s="156" t="str">
        <f t="array" ref="H236">IF($A236="","",IFERROR(INDEX(Orders!$O$5:$O$1004,MATCH($A236,Orders!$N$5:$N$1004,0)),""))</f>
        <v/>
      </c>
      <c r="I236" s="156" t="str">
        <f t="array" ref="I236">IF($A236="","",IFERROR(INDEX(Orders!$P$5:$P$1004,MATCH($A236,Orders!$N$5:$N$1004,0)),""))</f>
        <v/>
      </c>
      <c r="J236" s="157" t="str">
        <f t="shared" si="1"/>
        <v/>
      </c>
      <c r="K236" s="153" t="str">
        <f t="array" ref="K236">IF($A236="","",IFERROR(INDEX(Sales!$M:$M,MATCH($A236,Sales!$E:$E,0)),""))</f>
        <v/>
      </c>
      <c r="L236" s="158" t="str">
        <f t="shared" si="2"/>
        <v/>
      </c>
      <c r="N236" s="49" t="str">
        <f t="array" ref="N236">IFERROR(INDEX(Sales!$E$7:$E$1506,MATCH(ROW()-4,Sales!$V$7:$V$1506,0)),"")</f>
        <v/>
      </c>
      <c r="O236" s="67"/>
      <c r="P236" s="67"/>
    </row>
    <row r="237" ht="15.75" customHeight="1">
      <c r="A237" s="151" t="str">
        <f t="array" ref="A237">IFERROR(INDEX(Sales!$E$7:$E$1506,MATCH(ROW()-4,Sales!$W$7:$W$1506,0)),"")</f>
        <v/>
      </c>
      <c r="B237" s="152" t="str">
        <f t="array" ref="B237">IF($A237="","",IFERROR(INDEX(Sales!$A:$A,MATCH($A237,Sales!$E:$E,0)),""))</f>
        <v/>
      </c>
      <c r="C237" s="153" t="str">
        <f t="array" ref="C237">IF($A237="","",IFERROR(INDEX(Sales!$D:$D,MATCH($A237,Sales!$E:$E,0)),""))</f>
        <v/>
      </c>
      <c r="D237" s="153" t="str">
        <f t="array" ref="D237">IF($A237="","",IFERROR(INDEX(Sales!$C:$C,MATCH($A237,Sales!$E:$E,0)),""))</f>
        <v/>
      </c>
      <c r="E237" s="154" t="str">
        <f>IF($A237="","",SUMIFS(Sales!$H:$H,Sales!$E:$E,$A237,Sales!$B:$B,"&lt;&gt;Return"))</f>
        <v/>
      </c>
      <c r="F237" s="155" t="str">
        <f>IF($A237="","",SUMIF(Sales!$E:$E,$A237,Sales!$L:$L))</f>
        <v/>
      </c>
      <c r="G237" s="155" t="str">
        <f>IF($A237="","",SUMIF(Sales!$E:$E,$A237,Sales!$P:$P))</f>
        <v/>
      </c>
      <c r="H237" s="156" t="str">
        <f t="array" ref="H237">IF($A237="","",IFERROR(INDEX(Orders!$O$5:$O$1004,MATCH($A237,Orders!$N$5:$N$1004,0)),""))</f>
        <v/>
      </c>
      <c r="I237" s="156" t="str">
        <f t="array" ref="I237">IF($A237="","",IFERROR(INDEX(Orders!$P$5:$P$1004,MATCH($A237,Orders!$N$5:$N$1004,0)),""))</f>
        <v/>
      </c>
      <c r="J237" s="157" t="str">
        <f t="shared" si="1"/>
        <v/>
      </c>
      <c r="K237" s="153" t="str">
        <f t="array" ref="K237">IF($A237="","",IFERROR(INDEX(Sales!$M:$M,MATCH($A237,Sales!$E:$E,0)),""))</f>
        <v/>
      </c>
      <c r="L237" s="158" t="str">
        <f t="shared" si="2"/>
        <v/>
      </c>
      <c r="N237" s="49" t="str">
        <f t="array" ref="N237">IFERROR(INDEX(Sales!$E$7:$E$1506,MATCH(ROW()-4,Sales!$V$7:$V$1506,0)),"")</f>
        <v/>
      </c>
      <c r="O237" s="67"/>
      <c r="P237" s="67"/>
    </row>
    <row r="238" ht="15.75" customHeight="1">
      <c r="A238" s="151" t="str">
        <f t="array" ref="A238">IFERROR(INDEX(Sales!$E$7:$E$1506,MATCH(ROW()-4,Sales!$W$7:$W$1506,0)),"")</f>
        <v/>
      </c>
      <c r="B238" s="152" t="str">
        <f t="array" ref="B238">IF($A238="","",IFERROR(INDEX(Sales!$A:$A,MATCH($A238,Sales!$E:$E,0)),""))</f>
        <v/>
      </c>
      <c r="C238" s="153" t="str">
        <f t="array" ref="C238">IF($A238="","",IFERROR(INDEX(Sales!$D:$D,MATCH($A238,Sales!$E:$E,0)),""))</f>
        <v/>
      </c>
      <c r="D238" s="153" t="str">
        <f t="array" ref="D238">IF($A238="","",IFERROR(INDEX(Sales!$C:$C,MATCH($A238,Sales!$E:$E,0)),""))</f>
        <v/>
      </c>
      <c r="E238" s="154" t="str">
        <f>IF($A238="","",SUMIFS(Sales!$H:$H,Sales!$E:$E,$A238,Sales!$B:$B,"&lt;&gt;Return"))</f>
        <v/>
      </c>
      <c r="F238" s="155" t="str">
        <f>IF($A238="","",SUMIF(Sales!$E:$E,$A238,Sales!$L:$L))</f>
        <v/>
      </c>
      <c r="G238" s="155" t="str">
        <f>IF($A238="","",SUMIF(Sales!$E:$E,$A238,Sales!$P:$P))</f>
        <v/>
      </c>
      <c r="H238" s="156" t="str">
        <f t="array" ref="H238">IF($A238="","",IFERROR(INDEX(Orders!$O$5:$O$1004,MATCH($A238,Orders!$N$5:$N$1004,0)),""))</f>
        <v/>
      </c>
      <c r="I238" s="156" t="str">
        <f t="array" ref="I238">IF($A238="","",IFERROR(INDEX(Orders!$P$5:$P$1004,MATCH($A238,Orders!$N$5:$N$1004,0)),""))</f>
        <v/>
      </c>
      <c r="J238" s="157" t="str">
        <f t="shared" si="1"/>
        <v/>
      </c>
      <c r="K238" s="153" t="str">
        <f t="array" ref="K238">IF($A238="","",IFERROR(INDEX(Sales!$M:$M,MATCH($A238,Sales!$E:$E,0)),""))</f>
        <v/>
      </c>
      <c r="L238" s="158" t="str">
        <f t="shared" si="2"/>
        <v/>
      </c>
      <c r="N238" s="49" t="str">
        <f t="array" ref="N238">IFERROR(INDEX(Sales!$E$7:$E$1506,MATCH(ROW()-4,Sales!$V$7:$V$1506,0)),"")</f>
        <v/>
      </c>
      <c r="O238" s="67"/>
      <c r="P238" s="67"/>
    </row>
    <row r="239" ht="15.75" customHeight="1">
      <c r="A239" s="151" t="str">
        <f t="array" ref="A239">IFERROR(INDEX(Sales!$E$7:$E$1506,MATCH(ROW()-4,Sales!$W$7:$W$1506,0)),"")</f>
        <v/>
      </c>
      <c r="B239" s="152" t="str">
        <f t="array" ref="B239">IF($A239="","",IFERROR(INDEX(Sales!$A:$A,MATCH($A239,Sales!$E:$E,0)),""))</f>
        <v/>
      </c>
      <c r="C239" s="153" t="str">
        <f t="array" ref="C239">IF($A239="","",IFERROR(INDEX(Sales!$D:$D,MATCH($A239,Sales!$E:$E,0)),""))</f>
        <v/>
      </c>
      <c r="D239" s="153" t="str">
        <f t="array" ref="D239">IF($A239="","",IFERROR(INDEX(Sales!$C:$C,MATCH($A239,Sales!$E:$E,0)),""))</f>
        <v/>
      </c>
      <c r="E239" s="154" t="str">
        <f>IF($A239="","",SUMIFS(Sales!$H:$H,Sales!$E:$E,$A239,Sales!$B:$B,"&lt;&gt;Return"))</f>
        <v/>
      </c>
      <c r="F239" s="155" t="str">
        <f>IF($A239="","",SUMIF(Sales!$E:$E,$A239,Sales!$L:$L))</f>
        <v/>
      </c>
      <c r="G239" s="155" t="str">
        <f>IF($A239="","",SUMIF(Sales!$E:$E,$A239,Sales!$P:$P))</f>
        <v/>
      </c>
      <c r="H239" s="156" t="str">
        <f t="array" ref="H239">IF($A239="","",IFERROR(INDEX(Orders!$O$5:$O$1004,MATCH($A239,Orders!$N$5:$N$1004,0)),""))</f>
        <v/>
      </c>
      <c r="I239" s="156" t="str">
        <f t="array" ref="I239">IF($A239="","",IFERROR(INDEX(Orders!$P$5:$P$1004,MATCH($A239,Orders!$N$5:$N$1004,0)),""))</f>
        <v/>
      </c>
      <c r="J239" s="157" t="str">
        <f t="shared" si="1"/>
        <v/>
      </c>
      <c r="K239" s="153" t="str">
        <f t="array" ref="K239">IF($A239="","",IFERROR(INDEX(Sales!$M:$M,MATCH($A239,Sales!$E:$E,0)),""))</f>
        <v/>
      </c>
      <c r="L239" s="158" t="str">
        <f t="shared" si="2"/>
        <v/>
      </c>
      <c r="N239" s="49" t="str">
        <f t="array" ref="N239">IFERROR(INDEX(Sales!$E$7:$E$1506,MATCH(ROW()-4,Sales!$V$7:$V$1506,0)),"")</f>
        <v/>
      </c>
      <c r="O239" s="67"/>
      <c r="P239" s="67"/>
    </row>
    <row r="240" ht="15.75" customHeight="1">
      <c r="A240" s="151" t="str">
        <f t="array" ref="A240">IFERROR(INDEX(Sales!$E$7:$E$1506,MATCH(ROW()-4,Sales!$W$7:$W$1506,0)),"")</f>
        <v/>
      </c>
      <c r="B240" s="152" t="str">
        <f t="array" ref="B240">IF($A240="","",IFERROR(INDEX(Sales!$A:$A,MATCH($A240,Sales!$E:$E,0)),""))</f>
        <v/>
      </c>
      <c r="C240" s="153" t="str">
        <f t="array" ref="C240">IF($A240="","",IFERROR(INDEX(Sales!$D:$D,MATCH($A240,Sales!$E:$E,0)),""))</f>
        <v/>
      </c>
      <c r="D240" s="153" t="str">
        <f t="array" ref="D240">IF($A240="","",IFERROR(INDEX(Sales!$C:$C,MATCH($A240,Sales!$E:$E,0)),""))</f>
        <v/>
      </c>
      <c r="E240" s="154" t="str">
        <f>IF($A240="","",SUMIFS(Sales!$H:$H,Sales!$E:$E,$A240,Sales!$B:$B,"&lt;&gt;Return"))</f>
        <v/>
      </c>
      <c r="F240" s="155" t="str">
        <f>IF($A240="","",SUMIF(Sales!$E:$E,$A240,Sales!$L:$L))</f>
        <v/>
      </c>
      <c r="G240" s="155" t="str">
        <f>IF($A240="","",SUMIF(Sales!$E:$E,$A240,Sales!$P:$P))</f>
        <v/>
      </c>
      <c r="H240" s="156" t="str">
        <f t="array" ref="H240">IF($A240="","",IFERROR(INDEX(Orders!$O$5:$O$1004,MATCH($A240,Orders!$N$5:$N$1004,0)),""))</f>
        <v/>
      </c>
      <c r="I240" s="156" t="str">
        <f t="array" ref="I240">IF($A240="","",IFERROR(INDEX(Orders!$P$5:$P$1004,MATCH($A240,Orders!$N$5:$N$1004,0)),""))</f>
        <v/>
      </c>
      <c r="J240" s="157" t="str">
        <f t="shared" si="1"/>
        <v/>
      </c>
      <c r="K240" s="153" t="str">
        <f t="array" ref="K240">IF($A240="","",IFERROR(INDEX(Sales!$M:$M,MATCH($A240,Sales!$E:$E,0)),""))</f>
        <v/>
      </c>
      <c r="L240" s="158" t="str">
        <f t="shared" si="2"/>
        <v/>
      </c>
      <c r="N240" s="49" t="str">
        <f t="array" ref="N240">IFERROR(INDEX(Sales!$E$7:$E$1506,MATCH(ROW()-4,Sales!$V$7:$V$1506,0)),"")</f>
        <v/>
      </c>
      <c r="O240" s="67"/>
      <c r="P240" s="67"/>
    </row>
    <row r="241" ht="15.75" customHeight="1">
      <c r="A241" s="151" t="str">
        <f t="array" ref="A241">IFERROR(INDEX(Sales!$E$7:$E$1506,MATCH(ROW()-4,Sales!$W$7:$W$1506,0)),"")</f>
        <v/>
      </c>
      <c r="B241" s="152" t="str">
        <f t="array" ref="B241">IF($A241="","",IFERROR(INDEX(Sales!$A:$A,MATCH($A241,Sales!$E:$E,0)),""))</f>
        <v/>
      </c>
      <c r="C241" s="153" t="str">
        <f t="array" ref="C241">IF($A241="","",IFERROR(INDEX(Sales!$D:$D,MATCH($A241,Sales!$E:$E,0)),""))</f>
        <v/>
      </c>
      <c r="D241" s="153" t="str">
        <f t="array" ref="D241">IF($A241="","",IFERROR(INDEX(Sales!$C:$C,MATCH($A241,Sales!$E:$E,0)),""))</f>
        <v/>
      </c>
      <c r="E241" s="154" t="str">
        <f>IF($A241="","",SUMIFS(Sales!$H:$H,Sales!$E:$E,$A241,Sales!$B:$B,"&lt;&gt;Return"))</f>
        <v/>
      </c>
      <c r="F241" s="155" t="str">
        <f>IF($A241="","",SUMIF(Sales!$E:$E,$A241,Sales!$L:$L))</f>
        <v/>
      </c>
      <c r="G241" s="155" t="str">
        <f>IF($A241="","",SUMIF(Sales!$E:$E,$A241,Sales!$P:$P))</f>
        <v/>
      </c>
      <c r="H241" s="156" t="str">
        <f t="array" ref="H241">IF($A241="","",IFERROR(INDEX(Orders!$O$5:$O$1004,MATCH($A241,Orders!$N$5:$N$1004,0)),""))</f>
        <v/>
      </c>
      <c r="I241" s="156" t="str">
        <f t="array" ref="I241">IF($A241="","",IFERROR(INDEX(Orders!$P$5:$P$1004,MATCH($A241,Orders!$N$5:$N$1004,0)),""))</f>
        <v/>
      </c>
      <c r="J241" s="157" t="str">
        <f t="shared" si="1"/>
        <v/>
      </c>
      <c r="K241" s="153" t="str">
        <f t="array" ref="K241">IF($A241="","",IFERROR(INDEX(Sales!$M:$M,MATCH($A241,Sales!$E:$E,0)),""))</f>
        <v/>
      </c>
      <c r="L241" s="158" t="str">
        <f t="shared" si="2"/>
        <v/>
      </c>
      <c r="N241" s="49" t="str">
        <f t="array" ref="N241">IFERROR(INDEX(Sales!$E$7:$E$1506,MATCH(ROW()-4,Sales!$V$7:$V$1506,0)),"")</f>
        <v/>
      </c>
      <c r="O241" s="67"/>
      <c r="P241" s="67"/>
    </row>
    <row r="242" ht="15.75" customHeight="1">
      <c r="A242" s="151" t="str">
        <f t="array" ref="A242">IFERROR(INDEX(Sales!$E$7:$E$1506,MATCH(ROW()-4,Sales!$W$7:$W$1506,0)),"")</f>
        <v/>
      </c>
      <c r="B242" s="152" t="str">
        <f t="array" ref="B242">IF($A242="","",IFERROR(INDEX(Sales!$A:$A,MATCH($A242,Sales!$E:$E,0)),""))</f>
        <v/>
      </c>
      <c r="C242" s="153" t="str">
        <f t="array" ref="C242">IF($A242="","",IFERROR(INDEX(Sales!$D:$D,MATCH($A242,Sales!$E:$E,0)),""))</f>
        <v/>
      </c>
      <c r="D242" s="153" t="str">
        <f t="array" ref="D242">IF($A242="","",IFERROR(INDEX(Sales!$C:$C,MATCH($A242,Sales!$E:$E,0)),""))</f>
        <v/>
      </c>
      <c r="E242" s="154" t="str">
        <f>IF($A242="","",SUMIFS(Sales!$H:$H,Sales!$E:$E,$A242,Sales!$B:$B,"&lt;&gt;Return"))</f>
        <v/>
      </c>
      <c r="F242" s="155" t="str">
        <f>IF($A242="","",SUMIF(Sales!$E:$E,$A242,Sales!$L:$L))</f>
        <v/>
      </c>
      <c r="G242" s="155" t="str">
        <f>IF($A242="","",SUMIF(Sales!$E:$E,$A242,Sales!$P:$P))</f>
        <v/>
      </c>
      <c r="H242" s="156" t="str">
        <f t="array" ref="H242">IF($A242="","",IFERROR(INDEX(Orders!$O$5:$O$1004,MATCH($A242,Orders!$N$5:$N$1004,0)),""))</f>
        <v/>
      </c>
      <c r="I242" s="156" t="str">
        <f t="array" ref="I242">IF($A242="","",IFERROR(INDEX(Orders!$P$5:$P$1004,MATCH($A242,Orders!$N$5:$N$1004,0)),""))</f>
        <v/>
      </c>
      <c r="J242" s="157" t="str">
        <f t="shared" si="1"/>
        <v/>
      </c>
      <c r="K242" s="153" t="str">
        <f t="array" ref="K242">IF($A242="","",IFERROR(INDEX(Sales!$M:$M,MATCH($A242,Sales!$E:$E,0)),""))</f>
        <v/>
      </c>
      <c r="L242" s="158" t="str">
        <f t="shared" si="2"/>
        <v/>
      </c>
      <c r="N242" s="49" t="str">
        <f t="array" ref="N242">IFERROR(INDEX(Sales!$E$7:$E$1506,MATCH(ROW()-4,Sales!$V$7:$V$1506,0)),"")</f>
        <v/>
      </c>
      <c r="O242" s="67"/>
      <c r="P242" s="67"/>
    </row>
    <row r="243" ht="15.75" customHeight="1">
      <c r="A243" s="151" t="str">
        <f t="array" ref="A243">IFERROR(INDEX(Sales!$E$7:$E$1506,MATCH(ROW()-4,Sales!$W$7:$W$1506,0)),"")</f>
        <v/>
      </c>
      <c r="B243" s="152" t="str">
        <f t="array" ref="B243">IF($A243="","",IFERROR(INDEX(Sales!$A:$A,MATCH($A243,Sales!$E:$E,0)),""))</f>
        <v/>
      </c>
      <c r="C243" s="153" t="str">
        <f t="array" ref="C243">IF($A243="","",IFERROR(INDEX(Sales!$D:$D,MATCH($A243,Sales!$E:$E,0)),""))</f>
        <v/>
      </c>
      <c r="D243" s="153" t="str">
        <f t="array" ref="D243">IF($A243="","",IFERROR(INDEX(Sales!$C:$C,MATCH($A243,Sales!$E:$E,0)),""))</f>
        <v/>
      </c>
      <c r="E243" s="154" t="str">
        <f>IF($A243="","",SUMIFS(Sales!$H:$H,Sales!$E:$E,$A243,Sales!$B:$B,"&lt;&gt;Return"))</f>
        <v/>
      </c>
      <c r="F243" s="155" t="str">
        <f>IF($A243="","",SUMIF(Sales!$E:$E,$A243,Sales!$L:$L))</f>
        <v/>
      </c>
      <c r="G243" s="155" t="str">
        <f>IF($A243="","",SUMIF(Sales!$E:$E,$A243,Sales!$P:$P))</f>
        <v/>
      </c>
      <c r="H243" s="156" t="str">
        <f t="array" ref="H243">IF($A243="","",IFERROR(INDEX(Orders!$O$5:$O$1004,MATCH($A243,Orders!$N$5:$N$1004,0)),""))</f>
        <v/>
      </c>
      <c r="I243" s="156" t="str">
        <f t="array" ref="I243">IF($A243="","",IFERROR(INDEX(Orders!$P$5:$P$1004,MATCH($A243,Orders!$N$5:$N$1004,0)),""))</f>
        <v/>
      </c>
      <c r="J243" s="157" t="str">
        <f t="shared" si="1"/>
        <v/>
      </c>
      <c r="K243" s="153" t="str">
        <f t="array" ref="K243">IF($A243="","",IFERROR(INDEX(Sales!$M:$M,MATCH($A243,Sales!$E:$E,0)),""))</f>
        <v/>
      </c>
      <c r="L243" s="158" t="str">
        <f t="shared" si="2"/>
        <v/>
      </c>
      <c r="N243" s="49" t="str">
        <f t="array" ref="N243">IFERROR(INDEX(Sales!$E$7:$E$1506,MATCH(ROW()-4,Sales!$V$7:$V$1506,0)),"")</f>
        <v/>
      </c>
      <c r="O243" s="67"/>
      <c r="P243" s="67"/>
    </row>
    <row r="244" ht="15.75" customHeight="1">
      <c r="A244" s="151" t="str">
        <f t="array" ref="A244">IFERROR(INDEX(Sales!$E$7:$E$1506,MATCH(ROW()-4,Sales!$W$7:$W$1506,0)),"")</f>
        <v/>
      </c>
      <c r="B244" s="152" t="str">
        <f t="array" ref="B244">IF($A244="","",IFERROR(INDEX(Sales!$A:$A,MATCH($A244,Sales!$E:$E,0)),""))</f>
        <v/>
      </c>
      <c r="C244" s="153" t="str">
        <f t="array" ref="C244">IF($A244="","",IFERROR(INDEX(Sales!$D:$D,MATCH($A244,Sales!$E:$E,0)),""))</f>
        <v/>
      </c>
      <c r="D244" s="153" t="str">
        <f t="array" ref="D244">IF($A244="","",IFERROR(INDEX(Sales!$C:$C,MATCH($A244,Sales!$E:$E,0)),""))</f>
        <v/>
      </c>
      <c r="E244" s="154" t="str">
        <f>IF($A244="","",SUMIFS(Sales!$H:$H,Sales!$E:$E,$A244,Sales!$B:$B,"&lt;&gt;Return"))</f>
        <v/>
      </c>
      <c r="F244" s="155" t="str">
        <f>IF($A244="","",SUMIF(Sales!$E:$E,$A244,Sales!$L:$L))</f>
        <v/>
      </c>
      <c r="G244" s="155" t="str">
        <f>IF($A244="","",SUMIF(Sales!$E:$E,$A244,Sales!$P:$P))</f>
        <v/>
      </c>
      <c r="H244" s="156" t="str">
        <f t="array" ref="H244">IF($A244="","",IFERROR(INDEX(Orders!$O$5:$O$1004,MATCH($A244,Orders!$N$5:$N$1004,0)),""))</f>
        <v/>
      </c>
      <c r="I244" s="156" t="str">
        <f t="array" ref="I244">IF($A244="","",IFERROR(INDEX(Orders!$P$5:$P$1004,MATCH($A244,Orders!$N$5:$N$1004,0)),""))</f>
        <v/>
      </c>
      <c r="J244" s="157" t="str">
        <f t="shared" si="1"/>
        <v/>
      </c>
      <c r="K244" s="153" t="str">
        <f t="array" ref="K244">IF($A244="","",IFERROR(INDEX(Sales!$M:$M,MATCH($A244,Sales!$E:$E,0)),""))</f>
        <v/>
      </c>
      <c r="L244" s="158" t="str">
        <f t="shared" si="2"/>
        <v/>
      </c>
      <c r="N244" s="49" t="str">
        <f t="array" ref="N244">IFERROR(INDEX(Sales!$E$7:$E$1506,MATCH(ROW()-4,Sales!$V$7:$V$1506,0)),"")</f>
        <v/>
      </c>
      <c r="O244" s="67"/>
      <c r="P244" s="67"/>
    </row>
    <row r="245" ht="15.75" customHeight="1">
      <c r="A245" s="151" t="str">
        <f t="array" ref="A245">IFERROR(INDEX(Sales!$E$7:$E$1506,MATCH(ROW()-4,Sales!$W$7:$W$1506,0)),"")</f>
        <v/>
      </c>
      <c r="B245" s="152" t="str">
        <f t="array" ref="B245">IF($A245="","",IFERROR(INDEX(Sales!$A:$A,MATCH($A245,Sales!$E:$E,0)),""))</f>
        <v/>
      </c>
      <c r="C245" s="153" t="str">
        <f t="array" ref="C245">IF($A245="","",IFERROR(INDEX(Sales!$D:$D,MATCH($A245,Sales!$E:$E,0)),""))</f>
        <v/>
      </c>
      <c r="D245" s="153" t="str">
        <f t="array" ref="D245">IF($A245="","",IFERROR(INDEX(Sales!$C:$C,MATCH($A245,Sales!$E:$E,0)),""))</f>
        <v/>
      </c>
      <c r="E245" s="154" t="str">
        <f>IF($A245="","",SUMIFS(Sales!$H:$H,Sales!$E:$E,$A245,Sales!$B:$B,"&lt;&gt;Return"))</f>
        <v/>
      </c>
      <c r="F245" s="155" t="str">
        <f>IF($A245="","",SUMIF(Sales!$E:$E,$A245,Sales!$L:$L))</f>
        <v/>
      </c>
      <c r="G245" s="155" t="str">
        <f>IF($A245="","",SUMIF(Sales!$E:$E,$A245,Sales!$P:$P))</f>
        <v/>
      </c>
      <c r="H245" s="156" t="str">
        <f t="array" ref="H245">IF($A245="","",IFERROR(INDEX(Orders!$O$5:$O$1004,MATCH($A245,Orders!$N$5:$N$1004,0)),""))</f>
        <v/>
      </c>
      <c r="I245" s="156" t="str">
        <f t="array" ref="I245">IF($A245="","",IFERROR(INDEX(Orders!$P$5:$P$1004,MATCH($A245,Orders!$N$5:$N$1004,0)),""))</f>
        <v/>
      </c>
      <c r="J245" s="157" t="str">
        <f t="shared" si="1"/>
        <v/>
      </c>
      <c r="K245" s="153" t="str">
        <f t="array" ref="K245">IF($A245="","",IFERROR(INDEX(Sales!$M:$M,MATCH($A245,Sales!$E:$E,0)),""))</f>
        <v/>
      </c>
      <c r="L245" s="158" t="str">
        <f t="shared" si="2"/>
        <v/>
      </c>
      <c r="N245" s="49" t="str">
        <f t="array" ref="N245">IFERROR(INDEX(Sales!$E$7:$E$1506,MATCH(ROW()-4,Sales!$V$7:$V$1506,0)),"")</f>
        <v/>
      </c>
      <c r="O245" s="67"/>
      <c r="P245" s="67"/>
    </row>
    <row r="246" ht="15.75" customHeight="1">
      <c r="A246" s="151" t="str">
        <f t="array" ref="A246">IFERROR(INDEX(Sales!$E$7:$E$1506,MATCH(ROW()-4,Sales!$W$7:$W$1506,0)),"")</f>
        <v/>
      </c>
      <c r="B246" s="152" t="str">
        <f t="array" ref="B246">IF($A246="","",IFERROR(INDEX(Sales!$A:$A,MATCH($A246,Sales!$E:$E,0)),""))</f>
        <v/>
      </c>
      <c r="C246" s="153" t="str">
        <f t="array" ref="C246">IF($A246="","",IFERROR(INDEX(Sales!$D:$D,MATCH($A246,Sales!$E:$E,0)),""))</f>
        <v/>
      </c>
      <c r="D246" s="153" t="str">
        <f t="array" ref="D246">IF($A246="","",IFERROR(INDEX(Sales!$C:$C,MATCH($A246,Sales!$E:$E,0)),""))</f>
        <v/>
      </c>
      <c r="E246" s="154" t="str">
        <f>IF($A246="","",SUMIFS(Sales!$H:$H,Sales!$E:$E,$A246,Sales!$B:$B,"&lt;&gt;Return"))</f>
        <v/>
      </c>
      <c r="F246" s="155" t="str">
        <f>IF($A246="","",SUMIF(Sales!$E:$E,$A246,Sales!$L:$L))</f>
        <v/>
      </c>
      <c r="G246" s="155" t="str">
        <f>IF($A246="","",SUMIF(Sales!$E:$E,$A246,Sales!$P:$P))</f>
        <v/>
      </c>
      <c r="H246" s="156" t="str">
        <f t="array" ref="H246">IF($A246="","",IFERROR(INDEX(Orders!$O$5:$O$1004,MATCH($A246,Orders!$N$5:$N$1004,0)),""))</f>
        <v/>
      </c>
      <c r="I246" s="156" t="str">
        <f t="array" ref="I246">IF($A246="","",IFERROR(INDEX(Orders!$P$5:$P$1004,MATCH($A246,Orders!$N$5:$N$1004,0)),""))</f>
        <v/>
      </c>
      <c r="J246" s="157" t="str">
        <f t="shared" si="1"/>
        <v/>
      </c>
      <c r="K246" s="153" t="str">
        <f t="array" ref="K246">IF($A246="","",IFERROR(INDEX(Sales!$M:$M,MATCH($A246,Sales!$E:$E,0)),""))</f>
        <v/>
      </c>
      <c r="L246" s="158" t="str">
        <f t="shared" si="2"/>
        <v/>
      </c>
      <c r="N246" s="49" t="str">
        <f t="array" ref="N246">IFERROR(INDEX(Sales!$E$7:$E$1506,MATCH(ROW()-4,Sales!$V$7:$V$1506,0)),"")</f>
        <v/>
      </c>
      <c r="O246" s="67"/>
      <c r="P246" s="67"/>
    </row>
    <row r="247" ht="15.75" customHeight="1">
      <c r="A247" s="151" t="str">
        <f t="array" ref="A247">IFERROR(INDEX(Sales!$E$7:$E$1506,MATCH(ROW()-4,Sales!$W$7:$W$1506,0)),"")</f>
        <v/>
      </c>
      <c r="B247" s="152" t="str">
        <f t="array" ref="B247">IF($A247="","",IFERROR(INDEX(Sales!$A:$A,MATCH($A247,Sales!$E:$E,0)),""))</f>
        <v/>
      </c>
      <c r="C247" s="153" t="str">
        <f t="array" ref="C247">IF($A247="","",IFERROR(INDEX(Sales!$D:$D,MATCH($A247,Sales!$E:$E,0)),""))</f>
        <v/>
      </c>
      <c r="D247" s="153" t="str">
        <f t="array" ref="D247">IF($A247="","",IFERROR(INDEX(Sales!$C:$C,MATCH($A247,Sales!$E:$E,0)),""))</f>
        <v/>
      </c>
      <c r="E247" s="154" t="str">
        <f>IF($A247="","",SUMIFS(Sales!$H:$H,Sales!$E:$E,$A247,Sales!$B:$B,"&lt;&gt;Return"))</f>
        <v/>
      </c>
      <c r="F247" s="155" t="str">
        <f>IF($A247="","",SUMIF(Sales!$E:$E,$A247,Sales!$L:$L))</f>
        <v/>
      </c>
      <c r="G247" s="155" t="str">
        <f>IF($A247="","",SUMIF(Sales!$E:$E,$A247,Sales!$P:$P))</f>
        <v/>
      </c>
      <c r="H247" s="156" t="str">
        <f t="array" ref="H247">IF($A247="","",IFERROR(INDEX(Orders!$O$5:$O$1004,MATCH($A247,Orders!$N$5:$N$1004,0)),""))</f>
        <v/>
      </c>
      <c r="I247" s="156" t="str">
        <f t="array" ref="I247">IF($A247="","",IFERROR(INDEX(Orders!$P$5:$P$1004,MATCH($A247,Orders!$N$5:$N$1004,0)),""))</f>
        <v/>
      </c>
      <c r="J247" s="157" t="str">
        <f t="shared" si="1"/>
        <v/>
      </c>
      <c r="K247" s="153" t="str">
        <f t="array" ref="K247">IF($A247="","",IFERROR(INDEX(Sales!$M:$M,MATCH($A247,Sales!$E:$E,0)),""))</f>
        <v/>
      </c>
      <c r="L247" s="158" t="str">
        <f t="shared" si="2"/>
        <v/>
      </c>
      <c r="N247" s="49" t="str">
        <f t="array" ref="N247">IFERROR(INDEX(Sales!$E$7:$E$1506,MATCH(ROW()-4,Sales!$V$7:$V$1506,0)),"")</f>
        <v/>
      </c>
      <c r="O247" s="67"/>
      <c r="P247" s="67"/>
    </row>
    <row r="248" ht="15.75" customHeight="1">
      <c r="A248" s="151" t="str">
        <f t="array" ref="A248">IFERROR(INDEX(Sales!$E$7:$E$1506,MATCH(ROW()-4,Sales!$W$7:$W$1506,0)),"")</f>
        <v/>
      </c>
      <c r="B248" s="152" t="str">
        <f t="array" ref="B248">IF($A248="","",IFERROR(INDEX(Sales!$A:$A,MATCH($A248,Sales!$E:$E,0)),""))</f>
        <v/>
      </c>
      <c r="C248" s="153" t="str">
        <f t="array" ref="C248">IF($A248="","",IFERROR(INDEX(Sales!$D:$D,MATCH($A248,Sales!$E:$E,0)),""))</f>
        <v/>
      </c>
      <c r="D248" s="153" t="str">
        <f t="array" ref="D248">IF($A248="","",IFERROR(INDEX(Sales!$C:$C,MATCH($A248,Sales!$E:$E,0)),""))</f>
        <v/>
      </c>
      <c r="E248" s="154" t="str">
        <f>IF($A248="","",SUMIFS(Sales!$H:$H,Sales!$E:$E,$A248,Sales!$B:$B,"&lt;&gt;Return"))</f>
        <v/>
      </c>
      <c r="F248" s="155" t="str">
        <f>IF($A248="","",SUMIF(Sales!$E:$E,$A248,Sales!$L:$L))</f>
        <v/>
      </c>
      <c r="G248" s="155" t="str">
        <f>IF($A248="","",SUMIF(Sales!$E:$E,$A248,Sales!$P:$P))</f>
        <v/>
      </c>
      <c r="H248" s="156" t="str">
        <f t="array" ref="H248">IF($A248="","",IFERROR(INDEX(Orders!$O$5:$O$1004,MATCH($A248,Orders!$N$5:$N$1004,0)),""))</f>
        <v/>
      </c>
      <c r="I248" s="156" t="str">
        <f t="array" ref="I248">IF($A248="","",IFERROR(INDEX(Orders!$P$5:$P$1004,MATCH($A248,Orders!$N$5:$N$1004,0)),""))</f>
        <v/>
      </c>
      <c r="J248" s="157" t="str">
        <f t="shared" si="1"/>
        <v/>
      </c>
      <c r="K248" s="153" t="str">
        <f t="array" ref="K248">IF($A248="","",IFERROR(INDEX(Sales!$M:$M,MATCH($A248,Sales!$E:$E,0)),""))</f>
        <v/>
      </c>
      <c r="L248" s="158" t="str">
        <f t="shared" si="2"/>
        <v/>
      </c>
      <c r="N248" s="49" t="str">
        <f t="array" ref="N248">IFERROR(INDEX(Sales!$E$7:$E$1506,MATCH(ROW()-4,Sales!$V$7:$V$1506,0)),"")</f>
        <v/>
      </c>
      <c r="O248" s="67"/>
      <c r="P248" s="67"/>
    </row>
    <row r="249" ht="15.75" customHeight="1">
      <c r="A249" s="151" t="str">
        <f t="array" ref="A249">IFERROR(INDEX(Sales!$E$7:$E$1506,MATCH(ROW()-4,Sales!$W$7:$W$1506,0)),"")</f>
        <v/>
      </c>
      <c r="B249" s="152" t="str">
        <f t="array" ref="B249">IF($A249="","",IFERROR(INDEX(Sales!$A:$A,MATCH($A249,Sales!$E:$E,0)),""))</f>
        <v/>
      </c>
      <c r="C249" s="153" t="str">
        <f t="array" ref="C249">IF($A249="","",IFERROR(INDEX(Sales!$D:$D,MATCH($A249,Sales!$E:$E,0)),""))</f>
        <v/>
      </c>
      <c r="D249" s="153" t="str">
        <f t="array" ref="D249">IF($A249="","",IFERROR(INDEX(Sales!$C:$C,MATCH($A249,Sales!$E:$E,0)),""))</f>
        <v/>
      </c>
      <c r="E249" s="154" t="str">
        <f>IF($A249="","",SUMIFS(Sales!$H:$H,Sales!$E:$E,$A249,Sales!$B:$B,"&lt;&gt;Return"))</f>
        <v/>
      </c>
      <c r="F249" s="155" t="str">
        <f>IF($A249="","",SUMIF(Sales!$E:$E,$A249,Sales!$L:$L))</f>
        <v/>
      </c>
      <c r="G249" s="155" t="str">
        <f>IF($A249="","",SUMIF(Sales!$E:$E,$A249,Sales!$P:$P))</f>
        <v/>
      </c>
      <c r="H249" s="156" t="str">
        <f t="array" ref="H249">IF($A249="","",IFERROR(INDEX(Orders!$O$5:$O$1004,MATCH($A249,Orders!$N$5:$N$1004,0)),""))</f>
        <v/>
      </c>
      <c r="I249" s="156" t="str">
        <f t="array" ref="I249">IF($A249="","",IFERROR(INDEX(Orders!$P$5:$P$1004,MATCH($A249,Orders!$N$5:$N$1004,0)),""))</f>
        <v/>
      </c>
      <c r="J249" s="157" t="str">
        <f t="shared" si="1"/>
        <v/>
      </c>
      <c r="K249" s="153" t="str">
        <f t="array" ref="K249">IF($A249="","",IFERROR(INDEX(Sales!$M:$M,MATCH($A249,Sales!$E:$E,0)),""))</f>
        <v/>
      </c>
      <c r="L249" s="158" t="str">
        <f t="shared" si="2"/>
        <v/>
      </c>
      <c r="N249" s="49" t="str">
        <f t="array" ref="N249">IFERROR(INDEX(Sales!$E$7:$E$1506,MATCH(ROW()-4,Sales!$V$7:$V$1506,0)),"")</f>
        <v/>
      </c>
      <c r="O249" s="67"/>
      <c r="P249" s="67"/>
    </row>
    <row r="250" ht="15.75" customHeight="1">
      <c r="A250" s="151" t="str">
        <f t="array" ref="A250">IFERROR(INDEX(Sales!$E$7:$E$1506,MATCH(ROW()-4,Sales!$W$7:$W$1506,0)),"")</f>
        <v/>
      </c>
      <c r="B250" s="152" t="str">
        <f t="array" ref="B250">IF($A250="","",IFERROR(INDEX(Sales!$A:$A,MATCH($A250,Sales!$E:$E,0)),""))</f>
        <v/>
      </c>
      <c r="C250" s="153" t="str">
        <f t="array" ref="C250">IF($A250="","",IFERROR(INDEX(Sales!$D:$D,MATCH($A250,Sales!$E:$E,0)),""))</f>
        <v/>
      </c>
      <c r="D250" s="153" t="str">
        <f t="array" ref="D250">IF($A250="","",IFERROR(INDEX(Sales!$C:$C,MATCH($A250,Sales!$E:$E,0)),""))</f>
        <v/>
      </c>
      <c r="E250" s="154" t="str">
        <f>IF($A250="","",SUMIFS(Sales!$H:$H,Sales!$E:$E,$A250,Sales!$B:$B,"&lt;&gt;Return"))</f>
        <v/>
      </c>
      <c r="F250" s="155" t="str">
        <f>IF($A250="","",SUMIF(Sales!$E:$E,$A250,Sales!$L:$L))</f>
        <v/>
      </c>
      <c r="G250" s="155" t="str">
        <f>IF($A250="","",SUMIF(Sales!$E:$E,$A250,Sales!$P:$P))</f>
        <v/>
      </c>
      <c r="H250" s="156" t="str">
        <f t="array" ref="H250">IF($A250="","",IFERROR(INDEX(Orders!$O$5:$O$1004,MATCH($A250,Orders!$N$5:$N$1004,0)),""))</f>
        <v/>
      </c>
      <c r="I250" s="156" t="str">
        <f t="array" ref="I250">IF($A250="","",IFERROR(INDEX(Orders!$P$5:$P$1004,MATCH($A250,Orders!$N$5:$N$1004,0)),""))</f>
        <v/>
      </c>
      <c r="J250" s="157" t="str">
        <f t="shared" si="1"/>
        <v/>
      </c>
      <c r="K250" s="153" t="str">
        <f t="array" ref="K250">IF($A250="","",IFERROR(INDEX(Sales!$M:$M,MATCH($A250,Sales!$E:$E,0)),""))</f>
        <v/>
      </c>
      <c r="L250" s="158" t="str">
        <f t="shared" si="2"/>
        <v/>
      </c>
      <c r="N250" s="49" t="str">
        <f t="array" ref="N250">IFERROR(INDEX(Sales!$E$7:$E$1506,MATCH(ROW()-4,Sales!$V$7:$V$1506,0)),"")</f>
        <v/>
      </c>
      <c r="O250" s="67"/>
      <c r="P250" s="67"/>
    </row>
    <row r="251" ht="15.75" customHeight="1">
      <c r="A251" s="151" t="str">
        <f t="array" ref="A251">IFERROR(INDEX(Sales!$E$7:$E$1506,MATCH(ROW()-4,Sales!$W$7:$W$1506,0)),"")</f>
        <v/>
      </c>
      <c r="B251" s="152" t="str">
        <f t="array" ref="B251">IF($A251="","",IFERROR(INDEX(Sales!$A:$A,MATCH($A251,Sales!$E:$E,0)),""))</f>
        <v/>
      </c>
      <c r="C251" s="153" t="str">
        <f t="array" ref="C251">IF($A251="","",IFERROR(INDEX(Sales!$D:$D,MATCH($A251,Sales!$E:$E,0)),""))</f>
        <v/>
      </c>
      <c r="D251" s="153" t="str">
        <f t="array" ref="D251">IF($A251="","",IFERROR(INDEX(Sales!$C:$C,MATCH($A251,Sales!$E:$E,0)),""))</f>
        <v/>
      </c>
      <c r="E251" s="154" t="str">
        <f>IF($A251="","",SUMIFS(Sales!$H:$H,Sales!$E:$E,$A251,Sales!$B:$B,"&lt;&gt;Return"))</f>
        <v/>
      </c>
      <c r="F251" s="155" t="str">
        <f>IF($A251="","",SUMIF(Sales!$E:$E,$A251,Sales!$L:$L))</f>
        <v/>
      </c>
      <c r="G251" s="155" t="str">
        <f>IF($A251="","",SUMIF(Sales!$E:$E,$A251,Sales!$P:$P))</f>
        <v/>
      </c>
      <c r="H251" s="156" t="str">
        <f t="array" ref="H251">IF($A251="","",IFERROR(INDEX(Orders!$O$5:$O$1004,MATCH($A251,Orders!$N$5:$N$1004,0)),""))</f>
        <v/>
      </c>
      <c r="I251" s="156" t="str">
        <f t="array" ref="I251">IF($A251="","",IFERROR(INDEX(Orders!$P$5:$P$1004,MATCH($A251,Orders!$N$5:$N$1004,0)),""))</f>
        <v/>
      </c>
      <c r="J251" s="157" t="str">
        <f t="shared" si="1"/>
        <v/>
      </c>
      <c r="K251" s="153" t="str">
        <f t="array" ref="K251">IF($A251="","",IFERROR(INDEX(Sales!$M:$M,MATCH($A251,Sales!$E:$E,0)),""))</f>
        <v/>
      </c>
      <c r="L251" s="158" t="str">
        <f t="shared" si="2"/>
        <v/>
      </c>
      <c r="N251" s="49" t="str">
        <f t="array" ref="N251">IFERROR(INDEX(Sales!$E$7:$E$1506,MATCH(ROW()-4,Sales!$V$7:$V$1506,0)),"")</f>
        <v/>
      </c>
      <c r="O251" s="67"/>
      <c r="P251" s="67"/>
    </row>
    <row r="252" ht="15.75" customHeight="1">
      <c r="A252" s="151" t="str">
        <f t="array" ref="A252">IFERROR(INDEX(Sales!$E$7:$E$1506,MATCH(ROW()-4,Sales!$W$7:$W$1506,0)),"")</f>
        <v/>
      </c>
      <c r="B252" s="152" t="str">
        <f t="array" ref="B252">IF($A252="","",IFERROR(INDEX(Sales!$A:$A,MATCH($A252,Sales!$E:$E,0)),""))</f>
        <v/>
      </c>
      <c r="C252" s="153" t="str">
        <f t="array" ref="C252">IF($A252="","",IFERROR(INDEX(Sales!$D:$D,MATCH($A252,Sales!$E:$E,0)),""))</f>
        <v/>
      </c>
      <c r="D252" s="153" t="str">
        <f t="array" ref="D252">IF($A252="","",IFERROR(INDEX(Sales!$C:$C,MATCH($A252,Sales!$E:$E,0)),""))</f>
        <v/>
      </c>
      <c r="E252" s="154" t="str">
        <f>IF($A252="","",SUMIFS(Sales!$H:$H,Sales!$E:$E,$A252,Sales!$B:$B,"&lt;&gt;Return"))</f>
        <v/>
      </c>
      <c r="F252" s="155" t="str">
        <f>IF($A252="","",SUMIF(Sales!$E:$E,$A252,Sales!$L:$L))</f>
        <v/>
      </c>
      <c r="G252" s="155" t="str">
        <f>IF($A252="","",SUMIF(Sales!$E:$E,$A252,Sales!$P:$P))</f>
        <v/>
      </c>
      <c r="H252" s="156" t="str">
        <f t="array" ref="H252">IF($A252="","",IFERROR(INDEX(Orders!$O$5:$O$1004,MATCH($A252,Orders!$N$5:$N$1004,0)),""))</f>
        <v/>
      </c>
      <c r="I252" s="156" t="str">
        <f t="array" ref="I252">IF($A252="","",IFERROR(INDEX(Orders!$P$5:$P$1004,MATCH($A252,Orders!$N$5:$N$1004,0)),""))</f>
        <v/>
      </c>
      <c r="J252" s="157" t="str">
        <f t="shared" si="1"/>
        <v/>
      </c>
      <c r="K252" s="153" t="str">
        <f t="array" ref="K252">IF($A252="","",IFERROR(INDEX(Sales!$M:$M,MATCH($A252,Sales!$E:$E,0)),""))</f>
        <v/>
      </c>
      <c r="L252" s="158" t="str">
        <f t="shared" si="2"/>
        <v/>
      </c>
      <c r="N252" s="49" t="str">
        <f t="array" ref="N252">IFERROR(INDEX(Sales!$E$7:$E$1506,MATCH(ROW()-4,Sales!$V$7:$V$1506,0)),"")</f>
        <v/>
      </c>
      <c r="O252" s="67"/>
      <c r="P252" s="67"/>
    </row>
    <row r="253" ht="15.75" customHeight="1">
      <c r="A253" s="151" t="str">
        <f t="array" ref="A253">IFERROR(INDEX(Sales!$E$7:$E$1506,MATCH(ROW()-4,Sales!$W$7:$W$1506,0)),"")</f>
        <v/>
      </c>
      <c r="B253" s="152" t="str">
        <f t="array" ref="B253">IF($A253="","",IFERROR(INDEX(Sales!$A:$A,MATCH($A253,Sales!$E:$E,0)),""))</f>
        <v/>
      </c>
      <c r="C253" s="153" t="str">
        <f t="array" ref="C253">IF($A253="","",IFERROR(INDEX(Sales!$D:$D,MATCH($A253,Sales!$E:$E,0)),""))</f>
        <v/>
      </c>
      <c r="D253" s="153" t="str">
        <f t="array" ref="D253">IF($A253="","",IFERROR(INDEX(Sales!$C:$C,MATCH($A253,Sales!$E:$E,0)),""))</f>
        <v/>
      </c>
      <c r="E253" s="154" t="str">
        <f>IF($A253="","",SUMIFS(Sales!$H:$H,Sales!$E:$E,$A253,Sales!$B:$B,"&lt;&gt;Return"))</f>
        <v/>
      </c>
      <c r="F253" s="155" t="str">
        <f>IF($A253="","",SUMIF(Sales!$E:$E,$A253,Sales!$L:$L))</f>
        <v/>
      </c>
      <c r="G253" s="155" t="str">
        <f>IF($A253="","",SUMIF(Sales!$E:$E,$A253,Sales!$P:$P))</f>
        <v/>
      </c>
      <c r="H253" s="156" t="str">
        <f t="array" ref="H253">IF($A253="","",IFERROR(INDEX(Orders!$O$5:$O$1004,MATCH($A253,Orders!$N$5:$N$1004,0)),""))</f>
        <v/>
      </c>
      <c r="I253" s="156" t="str">
        <f t="array" ref="I253">IF($A253="","",IFERROR(INDEX(Orders!$P$5:$P$1004,MATCH($A253,Orders!$N$5:$N$1004,0)),""))</f>
        <v/>
      </c>
      <c r="J253" s="157" t="str">
        <f t="shared" si="1"/>
        <v/>
      </c>
      <c r="K253" s="153" t="str">
        <f t="array" ref="K253">IF($A253="","",IFERROR(INDEX(Sales!$M:$M,MATCH($A253,Sales!$E:$E,0)),""))</f>
        <v/>
      </c>
      <c r="L253" s="158" t="str">
        <f t="shared" si="2"/>
        <v/>
      </c>
      <c r="N253" s="49" t="str">
        <f t="array" ref="N253">IFERROR(INDEX(Sales!$E$7:$E$1506,MATCH(ROW()-4,Sales!$V$7:$V$1506,0)),"")</f>
        <v/>
      </c>
      <c r="O253" s="67"/>
      <c r="P253" s="67"/>
    </row>
    <row r="254" ht="15.75" customHeight="1">
      <c r="A254" s="151" t="str">
        <f t="array" ref="A254">IFERROR(INDEX(Sales!$E$7:$E$1506,MATCH(ROW()-4,Sales!$W$7:$W$1506,0)),"")</f>
        <v/>
      </c>
      <c r="B254" s="152" t="str">
        <f t="array" ref="B254">IF($A254="","",IFERROR(INDEX(Sales!$A:$A,MATCH($A254,Sales!$E:$E,0)),""))</f>
        <v/>
      </c>
      <c r="C254" s="153" t="str">
        <f t="array" ref="C254">IF($A254="","",IFERROR(INDEX(Sales!$D:$D,MATCH($A254,Sales!$E:$E,0)),""))</f>
        <v/>
      </c>
      <c r="D254" s="153" t="str">
        <f t="array" ref="D254">IF($A254="","",IFERROR(INDEX(Sales!$C:$C,MATCH($A254,Sales!$E:$E,0)),""))</f>
        <v/>
      </c>
      <c r="E254" s="154" t="str">
        <f>IF($A254="","",SUMIFS(Sales!$H:$H,Sales!$E:$E,$A254,Sales!$B:$B,"&lt;&gt;Return"))</f>
        <v/>
      </c>
      <c r="F254" s="155" t="str">
        <f>IF($A254="","",SUMIF(Sales!$E:$E,$A254,Sales!$L:$L))</f>
        <v/>
      </c>
      <c r="G254" s="155" t="str">
        <f>IF($A254="","",SUMIF(Sales!$E:$E,$A254,Sales!$P:$P))</f>
        <v/>
      </c>
      <c r="H254" s="156" t="str">
        <f t="array" ref="H254">IF($A254="","",IFERROR(INDEX(Orders!$O$5:$O$1004,MATCH($A254,Orders!$N$5:$N$1004,0)),""))</f>
        <v/>
      </c>
      <c r="I254" s="156" t="str">
        <f t="array" ref="I254">IF($A254="","",IFERROR(INDEX(Orders!$P$5:$P$1004,MATCH($A254,Orders!$N$5:$N$1004,0)),""))</f>
        <v/>
      </c>
      <c r="J254" s="157" t="str">
        <f t="shared" si="1"/>
        <v/>
      </c>
      <c r="K254" s="153" t="str">
        <f t="array" ref="K254">IF($A254="","",IFERROR(INDEX(Sales!$M:$M,MATCH($A254,Sales!$E:$E,0)),""))</f>
        <v/>
      </c>
      <c r="L254" s="158" t="str">
        <f t="shared" si="2"/>
        <v/>
      </c>
      <c r="N254" s="49" t="str">
        <f t="array" ref="N254">IFERROR(INDEX(Sales!$E$7:$E$1506,MATCH(ROW()-4,Sales!$V$7:$V$1506,0)),"")</f>
        <v/>
      </c>
      <c r="O254" s="67"/>
      <c r="P254" s="67"/>
    </row>
    <row r="255" ht="15.75" customHeight="1">
      <c r="A255" s="151" t="str">
        <f t="array" ref="A255">IFERROR(INDEX(Sales!$E$7:$E$1506,MATCH(ROW()-4,Sales!$W$7:$W$1506,0)),"")</f>
        <v/>
      </c>
      <c r="B255" s="152" t="str">
        <f t="array" ref="B255">IF($A255="","",IFERROR(INDEX(Sales!$A:$A,MATCH($A255,Sales!$E:$E,0)),""))</f>
        <v/>
      </c>
      <c r="C255" s="153" t="str">
        <f t="array" ref="C255">IF($A255="","",IFERROR(INDEX(Sales!$D:$D,MATCH($A255,Sales!$E:$E,0)),""))</f>
        <v/>
      </c>
      <c r="D255" s="153" t="str">
        <f t="array" ref="D255">IF($A255="","",IFERROR(INDEX(Sales!$C:$C,MATCH($A255,Sales!$E:$E,0)),""))</f>
        <v/>
      </c>
      <c r="E255" s="154" t="str">
        <f>IF($A255="","",SUMIFS(Sales!$H:$H,Sales!$E:$E,$A255,Sales!$B:$B,"&lt;&gt;Return"))</f>
        <v/>
      </c>
      <c r="F255" s="155" t="str">
        <f>IF($A255="","",SUMIF(Sales!$E:$E,$A255,Sales!$L:$L))</f>
        <v/>
      </c>
      <c r="G255" s="155" t="str">
        <f>IF($A255="","",SUMIF(Sales!$E:$E,$A255,Sales!$P:$P))</f>
        <v/>
      </c>
      <c r="H255" s="156" t="str">
        <f t="array" ref="H255">IF($A255="","",IFERROR(INDEX(Orders!$O$5:$O$1004,MATCH($A255,Orders!$N$5:$N$1004,0)),""))</f>
        <v/>
      </c>
      <c r="I255" s="156" t="str">
        <f t="array" ref="I255">IF($A255="","",IFERROR(INDEX(Orders!$P$5:$P$1004,MATCH($A255,Orders!$N$5:$N$1004,0)),""))</f>
        <v/>
      </c>
      <c r="J255" s="157" t="str">
        <f t="shared" si="1"/>
        <v/>
      </c>
      <c r="K255" s="153" t="str">
        <f t="array" ref="K255">IF($A255="","",IFERROR(INDEX(Sales!$M:$M,MATCH($A255,Sales!$E:$E,0)),""))</f>
        <v/>
      </c>
      <c r="L255" s="158" t="str">
        <f t="shared" si="2"/>
        <v/>
      </c>
      <c r="N255" s="49" t="str">
        <f t="array" ref="N255">IFERROR(INDEX(Sales!$E$7:$E$1506,MATCH(ROW()-4,Sales!$V$7:$V$1506,0)),"")</f>
        <v/>
      </c>
      <c r="O255" s="67"/>
      <c r="P255" s="67"/>
    </row>
    <row r="256" ht="15.75" customHeight="1">
      <c r="A256" s="151" t="str">
        <f t="array" ref="A256">IFERROR(INDEX(Sales!$E$7:$E$1506,MATCH(ROW()-4,Sales!$W$7:$W$1506,0)),"")</f>
        <v/>
      </c>
      <c r="B256" s="152" t="str">
        <f t="array" ref="B256">IF($A256="","",IFERROR(INDEX(Sales!$A:$A,MATCH($A256,Sales!$E:$E,0)),""))</f>
        <v/>
      </c>
      <c r="C256" s="153" t="str">
        <f t="array" ref="C256">IF($A256="","",IFERROR(INDEX(Sales!$D:$D,MATCH($A256,Sales!$E:$E,0)),""))</f>
        <v/>
      </c>
      <c r="D256" s="153" t="str">
        <f t="array" ref="D256">IF($A256="","",IFERROR(INDEX(Sales!$C:$C,MATCH($A256,Sales!$E:$E,0)),""))</f>
        <v/>
      </c>
      <c r="E256" s="154" t="str">
        <f>IF($A256="","",SUMIFS(Sales!$H:$H,Sales!$E:$E,$A256,Sales!$B:$B,"&lt;&gt;Return"))</f>
        <v/>
      </c>
      <c r="F256" s="155" t="str">
        <f>IF($A256="","",SUMIF(Sales!$E:$E,$A256,Sales!$L:$L))</f>
        <v/>
      </c>
      <c r="G256" s="155" t="str">
        <f>IF($A256="","",SUMIF(Sales!$E:$E,$A256,Sales!$P:$P))</f>
        <v/>
      </c>
      <c r="H256" s="156" t="str">
        <f t="array" ref="H256">IF($A256="","",IFERROR(INDEX(Orders!$O$5:$O$1004,MATCH($A256,Orders!$N$5:$N$1004,0)),""))</f>
        <v/>
      </c>
      <c r="I256" s="156" t="str">
        <f t="array" ref="I256">IF($A256="","",IFERROR(INDEX(Orders!$P$5:$P$1004,MATCH($A256,Orders!$N$5:$N$1004,0)),""))</f>
        <v/>
      </c>
      <c r="J256" s="157" t="str">
        <f t="shared" si="1"/>
        <v/>
      </c>
      <c r="K256" s="153" t="str">
        <f t="array" ref="K256">IF($A256="","",IFERROR(INDEX(Sales!$M:$M,MATCH($A256,Sales!$E:$E,0)),""))</f>
        <v/>
      </c>
      <c r="L256" s="158" t="str">
        <f t="shared" si="2"/>
        <v/>
      </c>
      <c r="N256" s="49" t="str">
        <f t="array" ref="N256">IFERROR(INDEX(Sales!$E$7:$E$1506,MATCH(ROW()-4,Sales!$V$7:$V$1506,0)),"")</f>
        <v/>
      </c>
      <c r="O256" s="67"/>
      <c r="P256" s="67"/>
    </row>
    <row r="257" ht="15.75" customHeight="1">
      <c r="A257" s="151" t="str">
        <f t="array" ref="A257">IFERROR(INDEX(Sales!$E$7:$E$1506,MATCH(ROW()-4,Sales!$W$7:$W$1506,0)),"")</f>
        <v/>
      </c>
      <c r="B257" s="152" t="str">
        <f t="array" ref="B257">IF($A257="","",IFERROR(INDEX(Sales!$A:$A,MATCH($A257,Sales!$E:$E,0)),""))</f>
        <v/>
      </c>
      <c r="C257" s="153" t="str">
        <f t="array" ref="C257">IF($A257="","",IFERROR(INDEX(Sales!$D:$D,MATCH($A257,Sales!$E:$E,0)),""))</f>
        <v/>
      </c>
      <c r="D257" s="153" t="str">
        <f t="array" ref="D257">IF($A257="","",IFERROR(INDEX(Sales!$C:$C,MATCH($A257,Sales!$E:$E,0)),""))</f>
        <v/>
      </c>
      <c r="E257" s="154" t="str">
        <f>IF($A257="","",SUMIFS(Sales!$H:$H,Sales!$E:$E,$A257,Sales!$B:$B,"&lt;&gt;Return"))</f>
        <v/>
      </c>
      <c r="F257" s="155" t="str">
        <f>IF($A257="","",SUMIF(Sales!$E:$E,$A257,Sales!$L:$L))</f>
        <v/>
      </c>
      <c r="G257" s="155" t="str">
        <f>IF($A257="","",SUMIF(Sales!$E:$E,$A257,Sales!$P:$P))</f>
        <v/>
      </c>
      <c r="H257" s="156" t="str">
        <f t="array" ref="H257">IF($A257="","",IFERROR(INDEX(Orders!$O$5:$O$1004,MATCH($A257,Orders!$N$5:$N$1004,0)),""))</f>
        <v/>
      </c>
      <c r="I257" s="156" t="str">
        <f t="array" ref="I257">IF($A257="","",IFERROR(INDEX(Orders!$P$5:$P$1004,MATCH($A257,Orders!$N$5:$N$1004,0)),""))</f>
        <v/>
      </c>
      <c r="J257" s="157" t="str">
        <f t="shared" si="1"/>
        <v/>
      </c>
      <c r="K257" s="153" t="str">
        <f t="array" ref="K257">IF($A257="","",IFERROR(INDEX(Sales!$M:$M,MATCH($A257,Sales!$E:$E,0)),""))</f>
        <v/>
      </c>
      <c r="L257" s="158" t="str">
        <f t="shared" si="2"/>
        <v/>
      </c>
      <c r="N257" s="49" t="str">
        <f t="array" ref="N257">IFERROR(INDEX(Sales!$E$7:$E$1506,MATCH(ROW()-4,Sales!$V$7:$V$1506,0)),"")</f>
        <v/>
      </c>
      <c r="O257" s="67"/>
      <c r="P257" s="67"/>
    </row>
    <row r="258" ht="15.75" customHeight="1">
      <c r="A258" s="151" t="str">
        <f t="array" ref="A258">IFERROR(INDEX(Sales!$E$7:$E$1506,MATCH(ROW()-4,Sales!$W$7:$W$1506,0)),"")</f>
        <v/>
      </c>
      <c r="B258" s="152" t="str">
        <f t="array" ref="B258">IF($A258="","",IFERROR(INDEX(Sales!$A:$A,MATCH($A258,Sales!$E:$E,0)),""))</f>
        <v/>
      </c>
      <c r="C258" s="153" t="str">
        <f t="array" ref="C258">IF($A258="","",IFERROR(INDEX(Sales!$D:$D,MATCH($A258,Sales!$E:$E,0)),""))</f>
        <v/>
      </c>
      <c r="D258" s="153" t="str">
        <f t="array" ref="D258">IF($A258="","",IFERROR(INDEX(Sales!$C:$C,MATCH($A258,Sales!$E:$E,0)),""))</f>
        <v/>
      </c>
      <c r="E258" s="154" t="str">
        <f>IF($A258="","",SUMIFS(Sales!$H:$H,Sales!$E:$E,$A258,Sales!$B:$B,"&lt;&gt;Return"))</f>
        <v/>
      </c>
      <c r="F258" s="155" t="str">
        <f>IF($A258="","",SUMIF(Sales!$E:$E,$A258,Sales!$L:$L))</f>
        <v/>
      </c>
      <c r="G258" s="155" t="str">
        <f>IF($A258="","",SUMIF(Sales!$E:$E,$A258,Sales!$P:$P))</f>
        <v/>
      </c>
      <c r="H258" s="156" t="str">
        <f t="array" ref="H258">IF($A258="","",IFERROR(INDEX(Orders!$O$5:$O$1004,MATCH($A258,Orders!$N$5:$N$1004,0)),""))</f>
        <v/>
      </c>
      <c r="I258" s="156" t="str">
        <f t="array" ref="I258">IF($A258="","",IFERROR(INDEX(Orders!$P$5:$P$1004,MATCH($A258,Orders!$N$5:$N$1004,0)),""))</f>
        <v/>
      </c>
      <c r="J258" s="157" t="str">
        <f t="shared" si="1"/>
        <v/>
      </c>
      <c r="K258" s="153" t="str">
        <f t="array" ref="K258">IF($A258="","",IFERROR(INDEX(Sales!$M:$M,MATCH($A258,Sales!$E:$E,0)),""))</f>
        <v/>
      </c>
      <c r="L258" s="158" t="str">
        <f t="shared" si="2"/>
        <v/>
      </c>
      <c r="N258" s="49" t="str">
        <f t="array" ref="N258">IFERROR(INDEX(Sales!$E$7:$E$1506,MATCH(ROW()-4,Sales!$V$7:$V$1506,0)),"")</f>
        <v/>
      </c>
      <c r="O258" s="67"/>
      <c r="P258" s="67"/>
    </row>
    <row r="259" ht="15.75" customHeight="1">
      <c r="A259" s="151" t="str">
        <f t="array" ref="A259">IFERROR(INDEX(Sales!$E$7:$E$1506,MATCH(ROW()-4,Sales!$W$7:$W$1506,0)),"")</f>
        <v/>
      </c>
      <c r="B259" s="152" t="str">
        <f t="array" ref="B259">IF($A259="","",IFERROR(INDEX(Sales!$A:$A,MATCH($A259,Sales!$E:$E,0)),""))</f>
        <v/>
      </c>
      <c r="C259" s="153" t="str">
        <f t="array" ref="C259">IF($A259="","",IFERROR(INDEX(Sales!$D:$D,MATCH($A259,Sales!$E:$E,0)),""))</f>
        <v/>
      </c>
      <c r="D259" s="153" t="str">
        <f t="array" ref="D259">IF($A259="","",IFERROR(INDEX(Sales!$C:$C,MATCH($A259,Sales!$E:$E,0)),""))</f>
        <v/>
      </c>
      <c r="E259" s="154" t="str">
        <f>IF($A259="","",SUMIFS(Sales!$H:$H,Sales!$E:$E,$A259,Sales!$B:$B,"&lt;&gt;Return"))</f>
        <v/>
      </c>
      <c r="F259" s="155" t="str">
        <f>IF($A259="","",SUMIF(Sales!$E:$E,$A259,Sales!$L:$L))</f>
        <v/>
      </c>
      <c r="G259" s="155" t="str">
        <f>IF($A259="","",SUMIF(Sales!$E:$E,$A259,Sales!$P:$P))</f>
        <v/>
      </c>
      <c r="H259" s="156" t="str">
        <f t="array" ref="H259">IF($A259="","",IFERROR(INDEX(Orders!$O$5:$O$1004,MATCH($A259,Orders!$N$5:$N$1004,0)),""))</f>
        <v/>
      </c>
      <c r="I259" s="156" t="str">
        <f t="array" ref="I259">IF($A259="","",IFERROR(INDEX(Orders!$P$5:$P$1004,MATCH($A259,Orders!$N$5:$N$1004,0)),""))</f>
        <v/>
      </c>
      <c r="J259" s="157" t="str">
        <f t="shared" si="1"/>
        <v/>
      </c>
      <c r="K259" s="153" t="str">
        <f t="array" ref="K259">IF($A259="","",IFERROR(INDEX(Sales!$M:$M,MATCH($A259,Sales!$E:$E,0)),""))</f>
        <v/>
      </c>
      <c r="L259" s="158" t="str">
        <f t="shared" si="2"/>
        <v/>
      </c>
      <c r="N259" s="49" t="str">
        <f t="array" ref="N259">IFERROR(INDEX(Sales!$E$7:$E$1506,MATCH(ROW()-4,Sales!$V$7:$V$1506,0)),"")</f>
        <v/>
      </c>
      <c r="O259" s="67"/>
      <c r="P259" s="67"/>
    </row>
    <row r="260" ht="15.75" customHeight="1">
      <c r="A260" s="151" t="str">
        <f t="array" ref="A260">IFERROR(INDEX(Sales!$E$7:$E$1506,MATCH(ROW()-4,Sales!$W$7:$W$1506,0)),"")</f>
        <v/>
      </c>
      <c r="B260" s="152" t="str">
        <f t="array" ref="B260">IF($A260="","",IFERROR(INDEX(Sales!$A:$A,MATCH($A260,Sales!$E:$E,0)),""))</f>
        <v/>
      </c>
      <c r="C260" s="153" t="str">
        <f t="array" ref="C260">IF($A260="","",IFERROR(INDEX(Sales!$D:$D,MATCH($A260,Sales!$E:$E,0)),""))</f>
        <v/>
      </c>
      <c r="D260" s="153" t="str">
        <f t="array" ref="D260">IF($A260="","",IFERROR(INDEX(Sales!$C:$C,MATCH($A260,Sales!$E:$E,0)),""))</f>
        <v/>
      </c>
      <c r="E260" s="154" t="str">
        <f>IF($A260="","",SUMIFS(Sales!$H:$H,Sales!$E:$E,$A260,Sales!$B:$B,"&lt;&gt;Return"))</f>
        <v/>
      </c>
      <c r="F260" s="155" t="str">
        <f>IF($A260="","",SUMIF(Sales!$E:$E,$A260,Sales!$L:$L))</f>
        <v/>
      </c>
      <c r="G260" s="155" t="str">
        <f>IF($A260="","",SUMIF(Sales!$E:$E,$A260,Sales!$P:$P))</f>
        <v/>
      </c>
      <c r="H260" s="156" t="str">
        <f t="array" ref="H260">IF($A260="","",IFERROR(INDEX(Orders!$O$5:$O$1004,MATCH($A260,Orders!$N$5:$N$1004,0)),""))</f>
        <v/>
      </c>
      <c r="I260" s="156" t="str">
        <f t="array" ref="I260">IF($A260="","",IFERROR(INDEX(Orders!$P$5:$P$1004,MATCH($A260,Orders!$N$5:$N$1004,0)),""))</f>
        <v/>
      </c>
      <c r="J260" s="157" t="str">
        <f t="shared" si="1"/>
        <v/>
      </c>
      <c r="K260" s="153" t="str">
        <f t="array" ref="K260">IF($A260="","",IFERROR(INDEX(Sales!$M:$M,MATCH($A260,Sales!$E:$E,0)),""))</f>
        <v/>
      </c>
      <c r="L260" s="158" t="str">
        <f t="shared" si="2"/>
        <v/>
      </c>
      <c r="N260" s="49" t="str">
        <f t="array" ref="N260">IFERROR(INDEX(Sales!$E$7:$E$1506,MATCH(ROW()-4,Sales!$V$7:$V$1506,0)),"")</f>
        <v/>
      </c>
      <c r="O260" s="67"/>
      <c r="P260" s="67"/>
    </row>
    <row r="261" ht="15.75" customHeight="1">
      <c r="A261" s="151" t="str">
        <f t="array" ref="A261">IFERROR(INDEX(Sales!$E$7:$E$1506,MATCH(ROW()-4,Sales!$W$7:$W$1506,0)),"")</f>
        <v/>
      </c>
      <c r="B261" s="152" t="str">
        <f t="array" ref="B261">IF($A261="","",IFERROR(INDEX(Sales!$A:$A,MATCH($A261,Sales!$E:$E,0)),""))</f>
        <v/>
      </c>
      <c r="C261" s="153" t="str">
        <f t="array" ref="C261">IF($A261="","",IFERROR(INDEX(Sales!$D:$D,MATCH($A261,Sales!$E:$E,0)),""))</f>
        <v/>
      </c>
      <c r="D261" s="153" t="str">
        <f t="array" ref="D261">IF($A261="","",IFERROR(INDEX(Sales!$C:$C,MATCH($A261,Sales!$E:$E,0)),""))</f>
        <v/>
      </c>
      <c r="E261" s="154" t="str">
        <f>IF($A261="","",SUMIFS(Sales!$H:$H,Sales!$E:$E,$A261,Sales!$B:$B,"&lt;&gt;Return"))</f>
        <v/>
      </c>
      <c r="F261" s="155" t="str">
        <f>IF($A261="","",SUMIF(Sales!$E:$E,$A261,Sales!$L:$L))</f>
        <v/>
      </c>
      <c r="G261" s="155" t="str">
        <f>IF($A261="","",SUMIF(Sales!$E:$E,$A261,Sales!$P:$P))</f>
        <v/>
      </c>
      <c r="H261" s="156" t="str">
        <f t="array" ref="H261">IF($A261="","",IFERROR(INDEX(Orders!$O$5:$O$1004,MATCH($A261,Orders!$N$5:$N$1004,0)),""))</f>
        <v/>
      </c>
      <c r="I261" s="156" t="str">
        <f t="array" ref="I261">IF($A261="","",IFERROR(INDEX(Orders!$P$5:$P$1004,MATCH($A261,Orders!$N$5:$N$1004,0)),""))</f>
        <v/>
      </c>
      <c r="J261" s="157" t="str">
        <f t="shared" si="1"/>
        <v/>
      </c>
      <c r="K261" s="153" t="str">
        <f t="array" ref="K261">IF($A261="","",IFERROR(INDEX(Sales!$M:$M,MATCH($A261,Sales!$E:$E,0)),""))</f>
        <v/>
      </c>
      <c r="L261" s="158" t="str">
        <f t="shared" si="2"/>
        <v/>
      </c>
      <c r="N261" s="49" t="str">
        <f t="array" ref="N261">IFERROR(INDEX(Sales!$E$7:$E$1506,MATCH(ROW()-4,Sales!$V$7:$V$1506,0)),"")</f>
        <v/>
      </c>
      <c r="O261" s="67"/>
      <c r="P261" s="67"/>
    </row>
    <row r="262" ht="15.75" customHeight="1">
      <c r="A262" s="151" t="str">
        <f t="array" ref="A262">IFERROR(INDEX(Sales!$E$7:$E$1506,MATCH(ROW()-4,Sales!$W$7:$W$1506,0)),"")</f>
        <v/>
      </c>
      <c r="B262" s="152" t="str">
        <f t="array" ref="B262">IF($A262="","",IFERROR(INDEX(Sales!$A:$A,MATCH($A262,Sales!$E:$E,0)),""))</f>
        <v/>
      </c>
      <c r="C262" s="153" t="str">
        <f t="array" ref="C262">IF($A262="","",IFERROR(INDEX(Sales!$D:$D,MATCH($A262,Sales!$E:$E,0)),""))</f>
        <v/>
      </c>
      <c r="D262" s="153" t="str">
        <f t="array" ref="D262">IF($A262="","",IFERROR(INDEX(Sales!$C:$C,MATCH($A262,Sales!$E:$E,0)),""))</f>
        <v/>
      </c>
      <c r="E262" s="154" t="str">
        <f>IF($A262="","",SUMIFS(Sales!$H:$H,Sales!$E:$E,$A262,Sales!$B:$B,"&lt;&gt;Return"))</f>
        <v/>
      </c>
      <c r="F262" s="155" t="str">
        <f>IF($A262="","",SUMIF(Sales!$E:$E,$A262,Sales!$L:$L))</f>
        <v/>
      </c>
      <c r="G262" s="155" t="str">
        <f>IF($A262="","",SUMIF(Sales!$E:$E,$A262,Sales!$P:$P))</f>
        <v/>
      </c>
      <c r="H262" s="156" t="str">
        <f t="array" ref="H262">IF($A262="","",IFERROR(INDEX(Orders!$O$5:$O$1004,MATCH($A262,Orders!$N$5:$N$1004,0)),""))</f>
        <v/>
      </c>
      <c r="I262" s="156" t="str">
        <f t="array" ref="I262">IF($A262="","",IFERROR(INDEX(Orders!$P$5:$P$1004,MATCH($A262,Orders!$N$5:$N$1004,0)),""))</f>
        <v/>
      </c>
      <c r="J262" s="157" t="str">
        <f t="shared" si="1"/>
        <v/>
      </c>
      <c r="K262" s="153" t="str">
        <f t="array" ref="K262">IF($A262="","",IFERROR(INDEX(Sales!$M:$M,MATCH($A262,Sales!$E:$E,0)),""))</f>
        <v/>
      </c>
      <c r="L262" s="158" t="str">
        <f t="shared" si="2"/>
        <v/>
      </c>
      <c r="N262" s="49" t="str">
        <f t="array" ref="N262">IFERROR(INDEX(Sales!$E$7:$E$1506,MATCH(ROW()-4,Sales!$V$7:$V$1506,0)),"")</f>
        <v/>
      </c>
      <c r="O262" s="67"/>
      <c r="P262" s="67"/>
    </row>
    <row r="263" ht="15.75" customHeight="1">
      <c r="A263" s="151" t="str">
        <f t="array" ref="A263">IFERROR(INDEX(Sales!$E$7:$E$1506,MATCH(ROW()-4,Sales!$W$7:$W$1506,0)),"")</f>
        <v/>
      </c>
      <c r="B263" s="152" t="str">
        <f t="array" ref="B263">IF($A263="","",IFERROR(INDEX(Sales!$A:$A,MATCH($A263,Sales!$E:$E,0)),""))</f>
        <v/>
      </c>
      <c r="C263" s="153" t="str">
        <f t="array" ref="C263">IF($A263="","",IFERROR(INDEX(Sales!$D:$D,MATCH($A263,Sales!$E:$E,0)),""))</f>
        <v/>
      </c>
      <c r="D263" s="153" t="str">
        <f t="array" ref="D263">IF($A263="","",IFERROR(INDEX(Sales!$C:$C,MATCH($A263,Sales!$E:$E,0)),""))</f>
        <v/>
      </c>
      <c r="E263" s="154" t="str">
        <f>IF($A263="","",SUMIFS(Sales!$H:$H,Sales!$E:$E,$A263,Sales!$B:$B,"&lt;&gt;Return"))</f>
        <v/>
      </c>
      <c r="F263" s="155" t="str">
        <f>IF($A263="","",SUMIF(Sales!$E:$E,$A263,Sales!$L:$L))</f>
        <v/>
      </c>
      <c r="G263" s="155" t="str">
        <f>IF($A263="","",SUMIF(Sales!$E:$E,$A263,Sales!$P:$P))</f>
        <v/>
      </c>
      <c r="H263" s="156" t="str">
        <f t="array" ref="H263">IF($A263="","",IFERROR(INDEX(Orders!$O$5:$O$1004,MATCH($A263,Orders!$N$5:$N$1004,0)),""))</f>
        <v/>
      </c>
      <c r="I263" s="156" t="str">
        <f t="array" ref="I263">IF($A263="","",IFERROR(INDEX(Orders!$P$5:$P$1004,MATCH($A263,Orders!$N$5:$N$1004,0)),""))</f>
        <v/>
      </c>
      <c r="J263" s="157" t="str">
        <f t="shared" si="1"/>
        <v/>
      </c>
      <c r="K263" s="153" t="str">
        <f t="array" ref="K263">IF($A263="","",IFERROR(INDEX(Sales!$M:$M,MATCH($A263,Sales!$E:$E,0)),""))</f>
        <v/>
      </c>
      <c r="L263" s="158" t="str">
        <f t="shared" si="2"/>
        <v/>
      </c>
      <c r="N263" s="49" t="str">
        <f t="array" ref="N263">IFERROR(INDEX(Sales!$E$7:$E$1506,MATCH(ROW()-4,Sales!$V$7:$V$1506,0)),"")</f>
        <v/>
      </c>
      <c r="O263" s="67"/>
      <c r="P263" s="67"/>
    </row>
    <row r="264" ht="15.75" customHeight="1">
      <c r="A264" s="151" t="str">
        <f t="array" ref="A264">IFERROR(INDEX(Sales!$E$7:$E$1506,MATCH(ROW()-4,Sales!$W$7:$W$1506,0)),"")</f>
        <v/>
      </c>
      <c r="B264" s="152" t="str">
        <f t="array" ref="B264">IF($A264="","",IFERROR(INDEX(Sales!$A:$A,MATCH($A264,Sales!$E:$E,0)),""))</f>
        <v/>
      </c>
      <c r="C264" s="153" t="str">
        <f t="array" ref="C264">IF($A264="","",IFERROR(INDEX(Sales!$D:$D,MATCH($A264,Sales!$E:$E,0)),""))</f>
        <v/>
      </c>
      <c r="D264" s="153" t="str">
        <f t="array" ref="D264">IF($A264="","",IFERROR(INDEX(Sales!$C:$C,MATCH($A264,Sales!$E:$E,0)),""))</f>
        <v/>
      </c>
      <c r="E264" s="154" t="str">
        <f>IF($A264="","",SUMIFS(Sales!$H:$H,Sales!$E:$E,$A264,Sales!$B:$B,"&lt;&gt;Return"))</f>
        <v/>
      </c>
      <c r="F264" s="155" t="str">
        <f>IF($A264="","",SUMIF(Sales!$E:$E,$A264,Sales!$L:$L))</f>
        <v/>
      </c>
      <c r="G264" s="155" t="str">
        <f>IF($A264="","",SUMIF(Sales!$E:$E,$A264,Sales!$P:$P))</f>
        <v/>
      </c>
      <c r="H264" s="156" t="str">
        <f t="array" ref="H264">IF($A264="","",IFERROR(INDEX(Orders!$O$5:$O$1004,MATCH($A264,Orders!$N$5:$N$1004,0)),""))</f>
        <v/>
      </c>
      <c r="I264" s="156" t="str">
        <f t="array" ref="I264">IF($A264="","",IFERROR(INDEX(Orders!$P$5:$P$1004,MATCH($A264,Orders!$N$5:$N$1004,0)),""))</f>
        <v/>
      </c>
      <c r="J264" s="157" t="str">
        <f t="shared" si="1"/>
        <v/>
      </c>
      <c r="K264" s="153" t="str">
        <f t="array" ref="K264">IF($A264="","",IFERROR(INDEX(Sales!$M:$M,MATCH($A264,Sales!$E:$E,0)),""))</f>
        <v/>
      </c>
      <c r="L264" s="158" t="str">
        <f t="shared" si="2"/>
        <v/>
      </c>
      <c r="N264" s="49" t="str">
        <f t="array" ref="N264">IFERROR(INDEX(Sales!$E$7:$E$1506,MATCH(ROW()-4,Sales!$V$7:$V$1506,0)),"")</f>
        <v/>
      </c>
      <c r="O264" s="67"/>
      <c r="P264" s="67"/>
    </row>
    <row r="265" ht="15.75" customHeight="1">
      <c r="A265" s="151" t="str">
        <f t="array" ref="A265">IFERROR(INDEX(Sales!$E$7:$E$1506,MATCH(ROW()-4,Sales!$W$7:$W$1506,0)),"")</f>
        <v/>
      </c>
      <c r="B265" s="152" t="str">
        <f t="array" ref="B265">IF($A265="","",IFERROR(INDEX(Sales!$A:$A,MATCH($A265,Sales!$E:$E,0)),""))</f>
        <v/>
      </c>
      <c r="C265" s="153" t="str">
        <f t="array" ref="C265">IF($A265="","",IFERROR(INDEX(Sales!$D:$D,MATCH($A265,Sales!$E:$E,0)),""))</f>
        <v/>
      </c>
      <c r="D265" s="153" t="str">
        <f t="array" ref="D265">IF($A265="","",IFERROR(INDEX(Sales!$C:$C,MATCH($A265,Sales!$E:$E,0)),""))</f>
        <v/>
      </c>
      <c r="E265" s="154" t="str">
        <f>IF($A265="","",SUMIFS(Sales!$H:$H,Sales!$E:$E,$A265,Sales!$B:$B,"&lt;&gt;Return"))</f>
        <v/>
      </c>
      <c r="F265" s="155" t="str">
        <f>IF($A265="","",SUMIF(Sales!$E:$E,$A265,Sales!$L:$L))</f>
        <v/>
      </c>
      <c r="G265" s="155" t="str">
        <f>IF($A265="","",SUMIF(Sales!$E:$E,$A265,Sales!$P:$P))</f>
        <v/>
      </c>
      <c r="H265" s="156" t="str">
        <f t="array" ref="H265">IF($A265="","",IFERROR(INDEX(Orders!$O$5:$O$1004,MATCH($A265,Orders!$N$5:$N$1004,0)),""))</f>
        <v/>
      </c>
      <c r="I265" s="156" t="str">
        <f t="array" ref="I265">IF($A265="","",IFERROR(INDEX(Orders!$P$5:$P$1004,MATCH($A265,Orders!$N$5:$N$1004,0)),""))</f>
        <v/>
      </c>
      <c r="J265" s="157" t="str">
        <f t="shared" si="1"/>
        <v/>
      </c>
      <c r="K265" s="153" t="str">
        <f t="array" ref="K265">IF($A265="","",IFERROR(INDEX(Sales!$M:$M,MATCH($A265,Sales!$E:$E,0)),""))</f>
        <v/>
      </c>
      <c r="L265" s="158" t="str">
        <f t="shared" si="2"/>
        <v/>
      </c>
      <c r="N265" s="49" t="str">
        <f t="array" ref="N265">IFERROR(INDEX(Sales!$E$7:$E$1506,MATCH(ROW()-4,Sales!$V$7:$V$1506,0)),"")</f>
        <v/>
      </c>
      <c r="O265" s="67"/>
      <c r="P265" s="67"/>
    </row>
    <row r="266" ht="15.75" customHeight="1">
      <c r="A266" s="151" t="str">
        <f t="array" ref="A266">IFERROR(INDEX(Sales!$E$7:$E$1506,MATCH(ROW()-4,Sales!$W$7:$W$1506,0)),"")</f>
        <v/>
      </c>
      <c r="B266" s="152" t="str">
        <f t="array" ref="B266">IF($A266="","",IFERROR(INDEX(Sales!$A:$A,MATCH($A266,Sales!$E:$E,0)),""))</f>
        <v/>
      </c>
      <c r="C266" s="153" t="str">
        <f t="array" ref="C266">IF($A266="","",IFERROR(INDEX(Sales!$D:$D,MATCH($A266,Sales!$E:$E,0)),""))</f>
        <v/>
      </c>
      <c r="D266" s="153" t="str">
        <f t="array" ref="D266">IF($A266="","",IFERROR(INDEX(Sales!$C:$C,MATCH($A266,Sales!$E:$E,0)),""))</f>
        <v/>
      </c>
      <c r="E266" s="154" t="str">
        <f>IF($A266="","",SUMIFS(Sales!$H:$H,Sales!$E:$E,$A266,Sales!$B:$B,"&lt;&gt;Return"))</f>
        <v/>
      </c>
      <c r="F266" s="155" t="str">
        <f>IF($A266="","",SUMIF(Sales!$E:$E,$A266,Sales!$L:$L))</f>
        <v/>
      </c>
      <c r="G266" s="155" t="str">
        <f>IF($A266="","",SUMIF(Sales!$E:$E,$A266,Sales!$P:$P))</f>
        <v/>
      </c>
      <c r="H266" s="156" t="str">
        <f t="array" ref="H266">IF($A266="","",IFERROR(INDEX(Orders!$O$5:$O$1004,MATCH($A266,Orders!$N$5:$N$1004,0)),""))</f>
        <v/>
      </c>
      <c r="I266" s="156" t="str">
        <f t="array" ref="I266">IF($A266="","",IFERROR(INDEX(Orders!$P$5:$P$1004,MATCH($A266,Orders!$N$5:$N$1004,0)),""))</f>
        <v/>
      </c>
      <c r="J266" s="157" t="str">
        <f t="shared" si="1"/>
        <v/>
      </c>
      <c r="K266" s="153" t="str">
        <f t="array" ref="K266">IF($A266="","",IFERROR(INDEX(Sales!$M:$M,MATCH($A266,Sales!$E:$E,0)),""))</f>
        <v/>
      </c>
      <c r="L266" s="158" t="str">
        <f t="shared" si="2"/>
        <v/>
      </c>
      <c r="N266" s="49" t="str">
        <f t="array" ref="N266">IFERROR(INDEX(Sales!$E$7:$E$1506,MATCH(ROW()-4,Sales!$V$7:$V$1506,0)),"")</f>
        <v/>
      </c>
      <c r="O266" s="67"/>
      <c r="P266" s="67"/>
    </row>
    <row r="267" ht="15.75" customHeight="1">
      <c r="A267" s="151" t="str">
        <f t="array" ref="A267">IFERROR(INDEX(Sales!$E$7:$E$1506,MATCH(ROW()-4,Sales!$W$7:$W$1506,0)),"")</f>
        <v/>
      </c>
      <c r="B267" s="152" t="str">
        <f t="array" ref="B267">IF($A267="","",IFERROR(INDEX(Sales!$A:$A,MATCH($A267,Sales!$E:$E,0)),""))</f>
        <v/>
      </c>
      <c r="C267" s="153" t="str">
        <f t="array" ref="C267">IF($A267="","",IFERROR(INDEX(Sales!$D:$D,MATCH($A267,Sales!$E:$E,0)),""))</f>
        <v/>
      </c>
      <c r="D267" s="153" t="str">
        <f t="array" ref="D267">IF($A267="","",IFERROR(INDEX(Sales!$C:$C,MATCH($A267,Sales!$E:$E,0)),""))</f>
        <v/>
      </c>
      <c r="E267" s="154" t="str">
        <f>IF($A267="","",SUMIFS(Sales!$H:$H,Sales!$E:$E,$A267,Sales!$B:$B,"&lt;&gt;Return"))</f>
        <v/>
      </c>
      <c r="F267" s="155" t="str">
        <f>IF($A267="","",SUMIF(Sales!$E:$E,$A267,Sales!$L:$L))</f>
        <v/>
      </c>
      <c r="G267" s="155" t="str">
        <f>IF($A267="","",SUMIF(Sales!$E:$E,$A267,Sales!$P:$P))</f>
        <v/>
      </c>
      <c r="H267" s="156" t="str">
        <f t="array" ref="H267">IF($A267="","",IFERROR(INDEX(Orders!$O$5:$O$1004,MATCH($A267,Orders!$N$5:$N$1004,0)),""))</f>
        <v/>
      </c>
      <c r="I267" s="156" t="str">
        <f t="array" ref="I267">IF($A267="","",IFERROR(INDEX(Orders!$P$5:$P$1004,MATCH($A267,Orders!$N$5:$N$1004,0)),""))</f>
        <v/>
      </c>
      <c r="J267" s="157" t="str">
        <f t="shared" si="1"/>
        <v/>
      </c>
      <c r="K267" s="153" t="str">
        <f t="array" ref="K267">IF($A267="","",IFERROR(INDEX(Sales!$M:$M,MATCH($A267,Sales!$E:$E,0)),""))</f>
        <v/>
      </c>
      <c r="L267" s="158" t="str">
        <f t="shared" si="2"/>
        <v/>
      </c>
      <c r="N267" s="49" t="str">
        <f t="array" ref="N267">IFERROR(INDEX(Sales!$E$7:$E$1506,MATCH(ROW()-4,Sales!$V$7:$V$1506,0)),"")</f>
        <v/>
      </c>
      <c r="O267" s="67"/>
      <c r="P267" s="67"/>
    </row>
    <row r="268" ht="15.75" customHeight="1">
      <c r="A268" s="151" t="str">
        <f t="array" ref="A268">IFERROR(INDEX(Sales!$E$7:$E$1506,MATCH(ROW()-4,Sales!$W$7:$W$1506,0)),"")</f>
        <v/>
      </c>
      <c r="B268" s="152" t="str">
        <f t="array" ref="B268">IF($A268="","",IFERROR(INDEX(Sales!$A:$A,MATCH($A268,Sales!$E:$E,0)),""))</f>
        <v/>
      </c>
      <c r="C268" s="153" t="str">
        <f t="array" ref="C268">IF($A268="","",IFERROR(INDEX(Sales!$D:$D,MATCH($A268,Sales!$E:$E,0)),""))</f>
        <v/>
      </c>
      <c r="D268" s="153" t="str">
        <f t="array" ref="D268">IF($A268="","",IFERROR(INDEX(Sales!$C:$C,MATCH($A268,Sales!$E:$E,0)),""))</f>
        <v/>
      </c>
      <c r="E268" s="154" t="str">
        <f>IF($A268="","",SUMIFS(Sales!$H:$H,Sales!$E:$E,$A268,Sales!$B:$B,"&lt;&gt;Return"))</f>
        <v/>
      </c>
      <c r="F268" s="155" t="str">
        <f>IF($A268="","",SUMIF(Sales!$E:$E,$A268,Sales!$L:$L))</f>
        <v/>
      </c>
      <c r="G268" s="155" t="str">
        <f>IF($A268="","",SUMIF(Sales!$E:$E,$A268,Sales!$P:$P))</f>
        <v/>
      </c>
      <c r="H268" s="156" t="str">
        <f t="array" ref="H268">IF($A268="","",IFERROR(INDEX(Orders!$O$5:$O$1004,MATCH($A268,Orders!$N$5:$N$1004,0)),""))</f>
        <v/>
      </c>
      <c r="I268" s="156" t="str">
        <f t="array" ref="I268">IF($A268="","",IFERROR(INDEX(Orders!$P$5:$P$1004,MATCH($A268,Orders!$N$5:$N$1004,0)),""))</f>
        <v/>
      </c>
      <c r="J268" s="157" t="str">
        <f t="shared" si="1"/>
        <v/>
      </c>
      <c r="K268" s="153" t="str">
        <f t="array" ref="K268">IF($A268="","",IFERROR(INDEX(Sales!$M:$M,MATCH($A268,Sales!$E:$E,0)),""))</f>
        <v/>
      </c>
      <c r="L268" s="158" t="str">
        <f t="shared" si="2"/>
        <v/>
      </c>
      <c r="N268" s="49" t="str">
        <f t="array" ref="N268">IFERROR(INDEX(Sales!$E$7:$E$1506,MATCH(ROW()-4,Sales!$V$7:$V$1506,0)),"")</f>
        <v/>
      </c>
      <c r="O268" s="67"/>
      <c r="P268" s="67"/>
    </row>
    <row r="269" ht="15.75" customHeight="1">
      <c r="A269" s="151" t="str">
        <f t="array" ref="A269">IFERROR(INDEX(Sales!$E$7:$E$1506,MATCH(ROW()-4,Sales!$W$7:$W$1506,0)),"")</f>
        <v/>
      </c>
      <c r="B269" s="152" t="str">
        <f t="array" ref="B269">IF($A269="","",IFERROR(INDEX(Sales!$A:$A,MATCH($A269,Sales!$E:$E,0)),""))</f>
        <v/>
      </c>
      <c r="C269" s="153" t="str">
        <f t="array" ref="C269">IF($A269="","",IFERROR(INDEX(Sales!$D:$D,MATCH($A269,Sales!$E:$E,0)),""))</f>
        <v/>
      </c>
      <c r="D269" s="153" t="str">
        <f t="array" ref="D269">IF($A269="","",IFERROR(INDEX(Sales!$C:$C,MATCH($A269,Sales!$E:$E,0)),""))</f>
        <v/>
      </c>
      <c r="E269" s="154" t="str">
        <f>IF($A269="","",SUMIFS(Sales!$H:$H,Sales!$E:$E,$A269,Sales!$B:$B,"&lt;&gt;Return"))</f>
        <v/>
      </c>
      <c r="F269" s="155" t="str">
        <f>IF($A269="","",SUMIF(Sales!$E:$E,$A269,Sales!$L:$L))</f>
        <v/>
      </c>
      <c r="G269" s="155" t="str">
        <f>IF($A269="","",SUMIF(Sales!$E:$E,$A269,Sales!$P:$P))</f>
        <v/>
      </c>
      <c r="H269" s="156" t="str">
        <f t="array" ref="H269">IF($A269="","",IFERROR(INDEX(Orders!$O$5:$O$1004,MATCH($A269,Orders!$N$5:$N$1004,0)),""))</f>
        <v/>
      </c>
      <c r="I269" s="156" t="str">
        <f t="array" ref="I269">IF($A269="","",IFERROR(INDEX(Orders!$P$5:$P$1004,MATCH($A269,Orders!$N$5:$N$1004,0)),""))</f>
        <v/>
      </c>
      <c r="J269" s="157" t="str">
        <f t="shared" si="1"/>
        <v/>
      </c>
      <c r="K269" s="153" t="str">
        <f t="array" ref="K269">IF($A269="","",IFERROR(INDEX(Sales!$M:$M,MATCH($A269,Sales!$E:$E,0)),""))</f>
        <v/>
      </c>
      <c r="L269" s="158" t="str">
        <f t="shared" si="2"/>
        <v/>
      </c>
      <c r="N269" s="49" t="str">
        <f t="array" ref="N269">IFERROR(INDEX(Sales!$E$7:$E$1506,MATCH(ROW()-4,Sales!$V$7:$V$1506,0)),"")</f>
        <v/>
      </c>
      <c r="O269" s="67"/>
      <c r="P269" s="67"/>
    </row>
    <row r="270" ht="15.75" customHeight="1">
      <c r="A270" s="151" t="str">
        <f t="array" ref="A270">IFERROR(INDEX(Sales!$E$7:$E$1506,MATCH(ROW()-4,Sales!$W$7:$W$1506,0)),"")</f>
        <v/>
      </c>
      <c r="B270" s="152" t="str">
        <f t="array" ref="B270">IF($A270="","",IFERROR(INDEX(Sales!$A:$A,MATCH($A270,Sales!$E:$E,0)),""))</f>
        <v/>
      </c>
      <c r="C270" s="153" t="str">
        <f t="array" ref="C270">IF($A270="","",IFERROR(INDEX(Sales!$D:$D,MATCH($A270,Sales!$E:$E,0)),""))</f>
        <v/>
      </c>
      <c r="D270" s="153" t="str">
        <f t="array" ref="D270">IF($A270="","",IFERROR(INDEX(Sales!$C:$C,MATCH($A270,Sales!$E:$E,0)),""))</f>
        <v/>
      </c>
      <c r="E270" s="154" t="str">
        <f>IF($A270="","",SUMIFS(Sales!$H:$H,Sales!$E:$E,$A270,Sales!$B:$B,"&lt;&gt;Return"))</f>
        <v/>
      </c>
      <c r="F270" s="155" t="str">
        <f>IF($A270="","",SUMIF(Sales!$E:$E,$A270,Sales!$L:$L))</f>
        <v/>
      </c>
      <c r="G270" s="155" t="str">
        <f>IF($A270="","",SUMIF(Sales!$E:$E,$A270,Sales!$P:$P))</f>
        <v/>
      </c>
      <c r="H270" s="156" t="str">
        <f t="array" ref="H270">IF($A270="","",IFERROR(INDEX(Orders!$O$5:$O$1004,MATCH($A270,Orders!$N$5:$N$1004,0)),""))</f>
        <v/>
      </c>
      <c r="I270" s="156" t="str">
        <f t="array" ref="I270">IF($A270="","",IFERROR(INDEX(Orders!$P$5:$P$1004,MATCH($A270,Orders!$N$5:$N$1004,0)),""))</f>
        <v/>
      </c>
      <c r="J270" s="157" t="str">
        <f t="shared" si="1"/>
        <v/>
      </c>
      <c r="K270" s="153" t="str">
        <f t="array" ref="K270">IF($A270="","",IFERROR(INDEX(Sales!$M:$M,MATCH($A270,Sales!$E:$E,0)),""))</f>
        <v/>
      </c>
      <c r="L270" s="158" t="str">
        <f t="shared" si="2"/>
        <v/>
      </c>
      <c r="N270" s="49" t="str">
        <f t="array" ref="N270">IFERROR(INDEX(Sales!$E$7:$E$1506,MATCH(ROW()-4,Sales!$V$7:$V$1506,0)),"")</f>
        <v/>
      </c>
      <c r="O270" s="67"/>
      <c r="P270" s="67"/>
    </row>
    <row r="271" ht="15.75" customHeight="1">
      <c r="A271" s="151" t="str">
        <f t="array" ref="A271">IFERROR(INDEX(Sales!$E$7:$E$1506,MATCH(ROW()-4,Sales!$W$7:$W$1506,0)),"")</f>
        <v/>
      </c>
      <c r="B271" s="152" t="str">
        <f t="array" ref="B271">IF($A271="","",IFERROR(INDEX(Sales!$A:$A,MATCH($A271,Sales!$E:$E,0)),""))</f>
        <v/>
      </c>
      <c r="C271" s="153" t="str">
        <f t="array" ref="C271">IF($A271="","",IFERROR(INDEX(Sales!$D:$D,MATCH($A271,Sales!$E:$E,0)),""))</f>
        <v/>
      </c>
      <c r="D271" s="153" t="str">
        <f t="array" ref="D271">IF($A271="","",IFERROR(INDEX(Sales!$C:$C,MATCH($A271,Sales!$E:$E,0)),""))</f>
        <v/>
      </c>
      <c r="E271" s="154" t="str">
        <f>IF($A271="","",SUMIFS(Sales!$H:$H,Sales!$E:$E,$A271,Sales!$B:$B,"&lt;&gt;Return"))</f>
        <v/>
      </c>
      <c r="F271" s="155" t="str">
        <f>IF($A271="","",SUMIF(Sales!$E:$E,$A271,Sales!$L:$L))</f>
        <v/>
      </c>
      <c r="G271" s="155" t="str">
        <f>IF($A271="","",SUMIF(Sales!$E:$E,$A271,Sales!$P:$P))</f>
        <v/>
      </c>
      <c r="H271" s="156" t="str">
        <f t="array" ref="H271">IF($A271="","",IFERROR(INDEX(Orders!$O$5:$O$1004,MATCH($A271,Orders!$N$5:$N$1004,0)),""))</f>
        <v/>
      </c>
      <c r="I271" s="156" t="str">
        <f t="array" ref="I271">IF($A271="","",IFERROR(INDEX(Orders!$P$5:$P$1004,MATCH($A271,Orders!$N$5:$N$1004,0)),""))</f>
        <v/>
      </c>
      <c r="J271" s="157" t="str">
        <f t="shared" si="1"/>
        <v/>
      </c>
      <c r="K271" s="153" t="str">
        <f t="array" ref="K271">IF($A271="","",IFERROR(INDEX(Sales!$M:$M,MATCH($A271,Sales!$E:$E,0)),""))</f>
        <v/>
      </c>
      <c r="L271" s="158" t="str">
        <f t="shared" si="2"/>
        <v/>
      </c>
      <c r="N271" s="49" t="str">
        <f t="array" ref="N271">IFERROR(INDEX(Sales!$E$7:$E$1506,MATCH(ROW()-4,Sales!$V$7:$V$1506,0)),"")</f>
        <v/>
      </c>
      <c r="O271" s="67"/>
      <c r="P271" s="67"/>
    </row>
    <row r="272" ht="15.75" customHeight="1">
      <c r="A272" s="151" t="str">
        <f t="array" ref="A272">IFERROR(INDEX(Sales!$E$7:$E$1506,MATCH(ROW()-4,Sales!$W$7:$W$1506,0)),"")</f>
        <v/>
      </c>
      <c r="B272" s="152" t="str">
        <f t="array" ref="B272">IF($A272="","",IFERROR(INDEX(Sales!$A:$A,MATCH($A272,Sales!$E:$E,0)),""))</f>
        <v/>
      </c>
      <c r="C272" s="153" t="str">
        <f t="array" ref="C272">IF($A272="","",IFERROR(INDEX(Sales!$D:$D,MATCH($A272,Sales!$E:$E,0)),""))</f>
        <v/>
      </c>
      <c r="D272" s="153" t="str">
        <f t="array" ref="D272">IF($A272="","",IFERROR(INDEX(Sales!$C:$C,MATCH($A272,Sales!$E:$E,0)),""))</f>
        <v/>
      </c>
      <c r="E272" s="154" t="str">
        <f>IF($A272="","",SUMIFS(Sales!$H:$H,Sales!$E:$E,$A272,Sales!$B:$B,"&lt;&gt;Return"))</f>
        <v/>
      </c>
      <c r="F272" s="155" t="str">
        <f>IF($A272="","",SUMIF(Sales!$E:$E,$A272,Sales!$L:$L))</f>
        <v/>
      </c>
      <c r="G272" s="155" t="str">
        <f>IF($A272="","",SUMIF(Sales!$E:$E,$A272,Sales!$P:$P))</f>
        <v/>
      </c>
      <c r="H272" s="156" t="str">
        <f t="array" ref="H272">IF($A272="","",IFERROR(INDEX(Orders!$O$5:$O$1004,MATCH($A272,Orders!$N$5:$N$1004,0)),""))</f>
        <v/>
      </c>
      <c r="I272" s="156" t="str">
        <f t="array" ref="I272">IF($A272="","",IFERROR(INDEX(Orders!$P$5:$P$1004,MATCH($A272,Orders!$N$5:$N$1004,0)),""))</f>
        <v/>
      </c>
      <c r="J272" s="157" t="str">
        <f t="shared" si="1"/>
        <v/>
      </c>
      <c r="K272" s="153" t="str">
        <f t="array" ref="K272">IF($A272="","",IFERROR(INDEX(Sales!$M:$M,MATCH($A272,Sales!$E:$E,0)),""))</f>
        <v/>
      </c>
      <c r="L272" s="158" t="str">
        <f t="shared" si="2"/>
        <v/>
      </c>
      <c r="N272" s="49" t="str">
        <f t="array" ref="N272">IFERROR(INDEX(Sales!$E$7:$E$1506,MATCH(ROW()-4,Sales!$V$7:$V$1506,0)),"")</f>
        <v/>
      </c>
      <c r="O272" s="67"/>
      <c r="P272" s="67"/>
    </row>
    <row r="273" ht="15.75" customHeight="1">
      <c r="A273" s="151" t="str">
        <f t="array" ref="A273">IFERROR(INDEX(Sales!$E$7:$E$1506,MATCH(ROW()-4,Sales!$W$7:$W$1506,0)),"")</f>
        <v/>
      </c>
      <c r="B273" s="152" t="str">
        <f t="array" ref="B273">IF($A273="","",IFERROR(INDEX(Sales!$A:$A,MATCH($A273,Sales!$E:$E,0)),""))</f>
        <v/>
      </c>
      <c r="C273" s="153" t="str">
        <f t="array" ref="C273">IF($A273="","",IFERROR(INDEX(Sales!$D:$D,MATCH($A273,Sales!$E:$E,0)),""))</f>
        <v/>
      </c>
      <c r="D273" s="153" t="str">
        <f t="array" ref="D273">IF($A273="","",IFERROR(INDEX(Sales!$C:$C,MATCH($A273,Sales!$E:$E,0)),""))</f>
        <v/>
      </c>
      <c r="E273" s="154" t="str">
        <f>IF($A273="","",SUMIFS(Sales!$H:$H,Sales!$E:$E,$A273,Sales!$B:$B,"&lt;&gt;Return"))</f>
        <v/>
      </c>
      <c r="F273" s="155" t="str">
        <f>IF($A273="","",SUMIF(Sales!$E:$E,$A273,Sales!$L:$L))</f>
        <v/>
      </c>
      <c r="G273" s="155" t="str">
        <f>IF($A273="","",SUMIF(Sales!$E:$E,$A273,Sales!$P:$P))</f>
        <v/>
      </c>
      <c r="H273" s="156" t="str">
        <f t="array" ref="H273">IF($A273="","",IFERROR(INDEX(Orders!$O$5:$O$1004,MATCH($A273,Orders!$N$5:$N$1004,0)),""))</f>
        <v/>
      </c>
      <c r="I273" s="156" t="str">
        <f t="array" ref="I273">IF($A273="","",IFERROR(INDEX(Orders!$P$5:$P$1004,MATCH($A273,Orders!$N$5:$N$1004,0)),""))</f>
        <v/>
      </c>
      <c r="J273" s="157" t="str">
        <f t="shared" si="1"/>
        <v/>
      </c>
      <c r="K273" s="153" t="str">
        <f t="array" ref="K273">IF($A273="","",IFERROR(INDEX(Sales!$M:$M,MATCH($A273,Sales!$E:$E,0)),""))</f>
        <v/>
      </c>
      <c r="L273" s="158" t="str">
        <f t="shared" si="2"/>
        <v/>
      </c>
      <c r="N273" s="49" t="str">
        <f t="array" ref="N273">IFERROR(INDEX(Sales!$E$7:$E$1506,MATCH(ROW()-4,Sales!$V$7:$V$1506,0)),"")</f>
        <v/>
      </c>
      <c r="O273" s="67"/>
      <c r="P273" s="67"/>
    </row>
    <row r="274" ht="15.75" customHeight="1">
      <c r="A274" s="151" t="str">
        <f t="array" ref="A274">IFERROR(INDEX(Sales!$E$7:$E$1506,MATCH(ROW()-4,Sales!$W$7:$W$1506,0)),"")</f>
        <v/>
      </c>
      <c r="B274" s="152" t="str">
        <f t="array" ref="B274">IF($A274="","",IFERROR(INDEX(Sales!$A:$A,MATCH($A274,Sales!$E:$E,0)),""))</f>
        <v/>
      </c>
      <c r="C274" s="153" t="str">
        <f t="array" ref="C274">IF($A274="","",IFERROR(INDEX(Sales!$D:$D,MATCH($A274,Sales!$E:$E,0)),""))</f>
        <v/>
      </c>
      <c r="D274" s="153" t="str">
        <f t="array" ref="D274">IF($A274="","",IFERROR(INDEX(Sales!$C:$C,MATCH($A274,Sales!$E:$E,0)),""))</f>
        <v/>
      </c>
      <c r="E274" s="154" t="str">
        <f>IF($A274="","",SUMIFS(Sales!$H:$H,Sales!$E:$E,$A274,Sales!$B:$B,"&lt;&gt;Return"))</f>
        <v/>
      </c>
      <c r="F274" s="155" t="str">
        <f>IF($A274="","",SUMIF(Sales!$E:$E,$A274,Sales!$L:$L))</f>
        <v/>
      </c>
      <c r="G274" s="155" t="str">
        <f>IF($A274="","",SUMIF(Sales!$E:$E,$A274,Sales!$P:$P))</f>
        <v/>
      </c>
      <c r="H274" s="156" t="str">
        <f t="array" ref="H274">IF($A274="","",IFERROR(INDEX(Orders!$O$5:$O$1004,MATCH($A274,Orders!$N$5:$N$1004,0)),""))</f>
        <v/>
      </c>
      <c r="I274" s="156" t="str">
        <f t="array" ref="I274">IF($A274="","",IFERROR(INDEX(Orders!$P$5:$P$1004,MATCH($A274,Orders!$N$5:$N$1004,0)),""))</f>
        <v/>
      </c>
      <c r="J274" s="157" t="str">
        <f t="shared" si="1"/>
        <v/>
      </c>
      <c r="K274" s="153" t="str">
        <f t="array" ref="K274">IF($A274="","",IFERROR(INDEX(Sales!$M:$M,MATCH($A274,Sales!$E:$E,0)),""))</f>
        <v/>
      </c>
      <c r="L274" s="158" t="str">
        <f t="shared" si="2"/>
        <v/>
      </c>
      <c r="N274" s="49" t="str">
        <f t="array" ref="N274">IFERROR(INDEX(Sales!$E$7:$E$1506,MATCH(ROW()-4,Sales!$V$7:$V$1506,0)),"")</f>
        <v/>
      </c>
      <c r="O274" s="67"/>
      <c r="P274" s="67"/>
    </row>
    <row r="275" ht="15.75" customHeight="1">
      <c r="A275" s="151" t="str">
        <f t="array" ref="A275">IFERROR(INDEX(Sales!$E$7:$E$1506,MATCH(ROW()-4,Sales!$W$7:$W$1506,0)),"")</f>
        <v/>
      </c>
      <c r="B275" s="152" t="str">
        <f t="array" ref="B275">IF($A275="","",IFERROR(INDEX(Sales!$A:$A,MATCH($A275,Sales!$E:$E,0)),""))</f>
        <v/>
      </c>
      <c r="C275" s="153" t="str">
        <f t="array" ref="C275">IF($A275="","",IFERROR(INDEX(Sales!$D:$D,MATCH($A275,Sales!$E:$E,0)),""))</f>
        <v/>
      </c>
      <c r="D275" s="153" t="str">
        <f t="array" ref="D275">IF($A275="","",IFERROR(INDEX(Sales!$C:$C,MATCH($A275,Sales!$E:$E,0)),""))</f>
        <v/>
      </c>
      <c r="E275" s="154" t="str">
        <f>IF($A275="","",SUMIFS(Sales!$H:$H,Sales!$E:$E,$A275,Sales!$B:$B,"&lt;&gt;Return"))</f>
        <v/>
      </c>
      <c r="F275" s="155" t="str">
        <f>IF($A275="","",SUMIF(Sales!$E:$E,$A275,Sales!$L:$L))</f>
        <v/>
      </c>
      <c r="G275" s="155" t="str">
        <f>IF($A275="","",SUMIF(Sales!$E:$E,$A275,Sales!$P:$P))</f>
        <v/>
      </c>
      <c r="H275" s="156" t="str">
        <f t="array" ref="H275">IF($A275="","",IFERROR(INDEX(Orders!$O$5:$O$1004,MATCH($A275,Orders!$N$5:$N$1004,0)),""))</f>
        <v/>
      </c>
      <c r="I275" s="156" t="str">
        <f t="array" ref="I275">IF($A275="","",IFERROR(INDEX(Orders!$P$5:$P$1004,MATCH($A275,Orders!$N$5:$N$1004,0)),""))</f>
        <v/>
      </c>
      <c r="J275" s="157" t="str">
        <f t="shared" si="1"/>
        <v/>
      </c>
      <c r="K275" s="153" t="str">
        <f t="array" ref="K275">IF($A275="","",IFERROR(INDEX(Sales!$M:$M,MATCH($A275,Sales!$E:$E,0)),""))</f>
        <v/>
      </c>
      <c r="L275" s="158" t="str">
        <f t="shared" si="2"/>
        <v/>
      </c>
      <c r="N275" s="49" t="str">
        <f t="array" ref="N275">IFERROR(INDEX(Sales!$E$7:$E$1506,MATCH(ROW()-4,Sales!$V$7:$V$1506,0)),"")</f>
        <v/>
      </c>
      <c r="O275" s="67"/>
      <c r="P275" s="67"/>
    </row>
    <row r="276" ht="15.75" customHeight="1">
      <c r="A276" s="151" t="str">
        <f t="array" ref="A276">IFERROR(INDEX(Sales!$E$7:$E$1506,MATCH(ROW()-4,Sales!$W$7:$W$1506,0)),"")</f>
        <v/>
      </c>
      <c r="B276" s="152" t="str">
        <f t="array" ref="B276">IF($A276="","",IFERROR(INDEX(Sales!$A:$A,MATCH($A276,Sales!$E:$E,0)),""))</f>
        <v/>
      </c>
      <c r="C276" s="153" t="str">
        <f t="array" ref="C276">IF($A276="","",IFERROR(INDEX(Sales!$D:$D,MATCH($A276,Sales!$E:$E,0)),""))</f>
        <v/>
      </c>
      <c r="D276" s="153" t="str">
        <f t="array" ref="D276">IF($A276="","",IFERROR(INDEX(Sales!$C:$C,MATCH($A276,Sales!$E:$E,0)),""))</f>
        <v/>
      </c>
      <c r="E276" s="154" t="str">
        <f>IF($A276="","",SUMIFS(Sales!$H:$H,Sales!$E:$E,$A276,Sales!$B:$B,"&lt;&gt;Return"))</f>
        <v/>
      </c>
      <c r="F276" s="155" t="str">
        <f>IF($A276="","",SUMIF(Sales!$E:$E,$A276,Sales!$L:$L))</f>
        <v/>
      </c>
      <c r="G276" s="155" t="str">
        <f>IF($A276="","",SUMIF(Sales!$E:$E,$A276,Sales!$P:$P))</f>
        <v/>
      </c>
      <c r="H276" s="156" t="str">
        <f t="array" ref="H276">IF($A276="","",IFERROR(INDEX(Orders!$O$5:$O$1004,MATCH($A276,Orders!$N$5:$N$1004,0)),""))</f>
        <v/>
      </c>
      <c r="I276" s="156" t="str">
        <f t="array" ref="I276">IF($A276="","",IFERROR(INDEX(Orders!$P$5:$P$1004,MATCH($A276,Orders!$N$5:$N$1004,0)),""))</f>
        <v/>
      </c>
      <c r="J276" s="157" t="str">
        <f t="shared" si="1"/>
        <v/>
      </c>
      <c r="K276" s="153" t="str">
        <f t="array" ref="K276">IF($A276="","",IFERROR(INDEX(Sales!$M:$M,MATCH($A276,Sales!$E:$E,0)),""))</f>
        <v/>
      </c>
      <c r="L276" s="158" t="str">
        <f t="shared" si="2"/>
        <v/>
      </c>
      <c r="N276" s="49" t="str">
        <f t="array" ref="N276">IFERROR(INDEX(Sales!$E$7:$E$1506,MATCH(ROW()-4,Sales!$V$7:$V$1506,0)),"")</f>
        <v/>
      </c>
      <c r="O276" s="67"/>
      <c r="P276" s="67"/>
    </row>
    <row r="277" ht="15.75" customHeight="1">
      <c r="A277" s="151" t="str">
        <f t="array" ref="A277">IFERROR(INDEX(Sales!$E$7:$E$1506,MATCH(ROW()-4,Sales!$W$7:$W$1506,0)),"")</f>
        <v/>
      </c>
      <c r="B277" s="152" t="str">
        <f t="array" ref="B277">IF($A277="","",IFERROR(INDEX(Sales!$A:$A,MATCH($A277,Sales!$E:$E,0)),""))</f>
        <v/>
      </c>
      <c r="C277" s="153" t="str">
        <f t="array" ref="C277">IF($A277="","",IFERROR(INDEX(Sales!$D:$D,MATCH($A277,Sales!$E:$E,0)),""))</f>
        <v/>
      </c>
      <c r="D277" s="153" t="str">
        <f t="array" ref="D277">IF($A277="","",IFERROR(INDEX(Sales!$C:$C,MATCH($A277,Sales!$E:$E,0)),""))</f>
        <v/>
      </c>
      <c r="E277" s="154" t="str">
        <f>IF($A277="","",SUMIFS(Sales!$H:$H,Sales!$E:$E,$A277,Sales!$B:$B,"&lt;&gt;Return"))</f>
        <v/>
      </c>
      <c r="F277" s="155" t="str">
        <f>IF($A277="","",SUMIF(Sales!$E:$E,$A277,Sales!$L:$L))</f>
        <v/>
      </c>
      <c r="G277" s="155" t="str">
        <f>IF($A277="","",SUMIF(Sales!$E:$E,$A277,Sales!$P:$P))</f>
        <v/>
      </c>
      <c r="H277" s="156" t="str">
        <f t="array" ref="H277">IF($A277="","",IFERROR(INDEX(Orders!$O$5:$O$1004,MATCH($A277,Orders!$N$5:$N$1004,0)),""))</f>
        <v/>
      </c>
      <c r="I277" s="156" t="str">
        <f t="array" ref="I277">IF($A277="","",IFERROR(INDEX(Orders!$P$5:$P$1004,MATCH($A277,Orders!$N$5:$N$1004,0)),""))</f>
        <v/>
      </c>
      <c r="J277" s="157" t="str">
        <f t="shared" si="1"/>
        <v/>
      </c>
      <c r="K277" s="153" t="str">
        <f t="array" ref="K277">IF($A277="","",IFERROR(INDEX(Sales!$M:$M,MATCH($A277,Sales!$E:$E,0)),""))</f>
        <v/>
      </c>
      <c r="L277" s="158" t="str">
        <f t="shared" si="2"/>
        <v/>
      </c>
      <c r="N277" s="49" t="str">
        <f t="array" ref="N277">IFERROR(INDEX(Sales!$E$7:$E$1506,MATCH(ROW()-4,Sales!$V$7:$V$1506,0)),"")</f>
        <v/>
      </c>
      <c r="O277" s="67"/>
      <c r="P277" s="67"/>
    </row>
    <row r="278" ht="15.75" customHeight="1">
      <c r="A278" s="151" t="str">
        <f t="array" ref="A278">IFERROR(INDEX(Sales!$E$7:$E$1506,MATCH(ROW()-4,Sales!$W$7:$W$1506,0)),"")</f>
        <v/>
      </c>
      <c r="B278" s="152" t="str">
        <f t="array" ref="B278">IF($A278="","",IFERROR(INDEX(Sales!$A:$A,MATCH($A278,Sales!$E:$E,0)),""))</f>
        <v/>
      </c>
      <c r="C278" s="153" t="str">
        <f t="array" ref="C278">IF($A278="","",IFERROR(INDEX(Sales!$D:$D,MATCH($A278,Sales!$E:$E,0)),""))</f>
        <v/>
      </c>
      <c r="D278" s="153" t="str">
        <f t="array" ref="D278">IF($A278="","",IFERROR(INDEX(Sales!$C:$C,MATCH($A278,Sales!$E:$E,0)),""))</f>
        <v/>
      </c>
      <c r="E278" s="154" t="str">
        <f>IF($A278="","",SUMIFS(Sales!$H:$H,Sales!$E:$E,$A278,Sales!$B:$B,"&lt;&gt;Return"))</f>
        <v/>
      </c>
      <c r="F278" s="155" t="str">
        <f>IF($A278="","",SUMIF(Sales!$E:$E,$A278,Sales!$L:$L))</f>
        <v/>
      </c>
      <c r="G278" s="155" t="str">
        <f>IF($A278="","",SUMIF(Sales!$E:$E,$A278,Sales!$P:$P))</f>
        <v/>
      </c>
      <c r="H278" s="156" t="str">
        <f t="array" ref="H278">IF($A278="","",IFERROR(INDEX(Orders!$O$5:$O$1004,MATCH($A278,Orders!$N$5:$N$1004,0)),""))</f>
        <v/>
      </c>
      <c r="I278" s="156" t="str">
        <f t="array" ref="I278">IF($A278="","",IFERROR(INDEX(Orders!$P$5:$P$1004,MATCH($A278,Orders!$N$5:$N$1004,0)),""))</f>
        <v/>
      </c>
      <c r="J278" s="157" t="str">
        <f t="shared" si="1"/>
        <v/>
      </c>
      <c r="K278" s="153" t="str">
        <f t="array" ref="K278">IF($A278="","",IFERROR(INDEX(Sales!$M:$M,MATCH($A278,Sales!$E:$E,0)),""))</f>
        <v/>
      </c>
      <c r="L278" s="158" t="str">
        <f t="shared" si="2"/>
        <v/>
      </c>
      <c r="N278" s="49" t="str">
        <f t="array" ref="N278">IFERROR(INDEX(Sales!$E$7:$E$1506,MATCH(ROW()-4,Sales!$V$7:$V$1506,0)),"")</f>
        <v/>
      </c>
      <c r="O278" s="67"/>
      <c r="P278" s="67"/>
    </row>
    <row r="279" ht="15.75" customHeight="1">
      <c r="A279" s="151" t="str">
        <f t="array" ref="A279">IFERROR(INDEX(Sales!$E$7:$E$1506,MATCH(ROW()-4,Sales!$W$7:$W$1506,0)),"")</f>
        <v/>
      </c>
      <c r="B279" s="152" t="str">
        <f t="array" ref="B279">IF($A279="","",IFERROR(INDEX(Sales!$A:$A,MATCH($A279,Sales!$E:$E,0)),""))</f>
        <v/>
      </c>
      <c r="C279" s="153" t="str">
        <f t="array" ref="C279">IF($A279="","",IFERROR(INDEX(Sales!$D:$D,MATCH($A279,Sales!$E:$E,0)),""))</f>
        <v/>
      </c>
      <c r="D279" s="153" t="str">
        <f t="array" ref="D279">IF($A279="","",IFERROR(INDEX(Sales!$C:$C,MATCH($A279,Sales!$E:$E,0)),""))</f>
        <v/>
      </c>
      <c r="E279" s="154" t="str">
        <f>IF($A279="","",SUMIFS(Sales!$H:$H,Sales!$E:$E,$A279,Sales!$B:$B,"&lt;&gt;Return"))</f>
        <v/>
      </c>
      <c r="F279" s="155" t="str">
        <f>IF($A279="","",SUMIF(Sales!$E:$E,$A279,Sales!$L:$L))</f>
        <v/>
      </c>
      <c r="G279" s="155" t="str">
        <f>IF($A279="","",SUMIF(Sales!$E:$E,$A279,Sales!$P:$P))</f>
        <v/>
      </c>
      <c r="H279" s="156" t="str">
        <f t="array" ref="H279">IF($A279="","",IFERROR(INDEX(Orders!$O$5:$O$1004,MATCH($A279,Orders!$N$5:$N$1004,0)),""))</f>
        <v/>
      </c>
      <c r="I279" s="156" t="str">
        <f t="array" ref="I279">IF($A279="","",IFERROR(INDEX(Orders!$P$5:$P$1004,MATCH($A279,Orders!$N$5:$N$1004,0)),""))</f>
        <v/>
      </c>
      <c r="J279" s="157" t="str">
        <f t="shared" si="1"/>
        <v/>
      </c>
      <c r="K279" s="153" t="str">
        <f t="array" ref="K279">IF($A279="","",IFERROR(INDEX(Sales!$M:$M,MATCH($A279,Sales!$E:$E,0)),""))</f>
        <v/>
      </c>
      <c r="L279" s="158" t="str">
        <f t="shared" si="2"/>
        <v/>
      </c>
      <c r="N279" s="49" t="str">
        <f t="array" ref="N279">IFERROR(INDEX(Sales!$E$7:$E$1506,MATCH(ROW()-4,Sales!$V$7:$V$1506,0)),"")</f>
        <v/>
      </c>
      <c r="O279" s="67"/>
      <c r="P279" s="67"/>
    </row>
    <row r="280" ht="15.75" customHeight="1">
      <c r="A280" s="151" t="str">
        <f t="array" ref="A280">IFERROR(INDEX(Sales!$E$7:$E$1506,MATCH(ROW()-4,Sales!$W$7:$W$1506,0)),"")</f>
        <v/>
      </c>
      <c r="B280" s="152" t="str">
        <f t="array" ref="B280">IF($A280="","",IFERROR(INDEX(Sales!$A:$A,MATCH($A280,Sales!$E:$E,0)),""))</f>
        <v/>
      </c>
      <c r="C280" s="153" t="str">
        <f t="array" ref="C280">IF($A280="","",IFERROR(INDEX(Sales!$D:$D,MATCH($A280,Sales!$E:$E,0)),""))</f>
        <v/>
      </c>
      <c r="D280" s="153" t="str">
        <f t="array" ref="D280">IF($A280="","",IFERROR(INDEX(Sales!$C:$C,MATCH($A280,Sales!$E:$E,0)),""))</f>
        <v/>
      </c>
      <c r="E280" s="154" t="str">
        <f>IF($A280="","",SUMIFS(Sales!$H:$H,Sales!$E:$E,$A280,Sales!$B:$B,"&lt;&gt;Return"))</f>
        <v/>
      </c>
      <c r="F280" s="155" t="str">
        <f>IF($A280="","",SUMIF(Sales!$E:$E,$A280,Sales!$L:$L))</f>
        <v/>
      </c>
      <c r="G280" s="155" t="str">
        <f>IF($A280="","",SUMIF(Sales!$E:$E,$A280,Sales!$P:$P))</f>
        <v/>
      </c>
      <c r="H280" s="156" t="str">
        <f t="array" ref="H280">IF($A280="","",IFERROR(INDEX(Orders!$O$5:$O$1004,MATCH($A280,Orders!$N$5:$N$1004,0)),""))</f>
        <v/>
      </c>
      <c r="I280" s="156" t="str">
        <f t="array" ref="I280">IF($A280="","",IFERROR(INDEX(Orders!$P$5:$P$1004,MATCH($A280,Orders!$N$5:$N$1004,0)),""))</f>
        <v/>
      </c>
      <c r="J280" s="157" t="str">
        <f t="shared" si="1"/>
        <v/>
      </c>
      <c r="K280" s="153" t="str">
        <f t="array" ref="K280">IF($A280="","",IFERROR(INDEX(Sales!$M:$M,MATCH($A280,Sales!$E:$E,0)),""))</f>
        <v/>
      </c>
      <c r="L280" s="158" t="str">
        <f t="shared" si="2"/>
        <v/>
      </c>
      <c r="N280" s="49" t="str">
        <f t="array" ref="N280">IFERROR(INDEX(Sales!$E$7:$E$1506,MATCH(ROW()-4,Sales!$V$7:$V$1506,0)),"")</f>
        <v/>
      </c>
      <c r="O280" s="67"/>
      <c r="P280" s="67"/>
    </row>
    <row r="281" ht="15.75" customHeight="1">
      <c r="A281" s="151" t="str">
        <f t="array" ref="A281">IFERROR(INDEX(Sales!$E$7:$E$1506,MATCH(ROW()-4,Sales!$W$7:$W$1506,0)),"")</f>
        <v/>
      </c>
      <c r="B281" s="152" t="str">
        <f t="array" ref="B281">IF($A281="","",IFERROR(INDEX(Sales!$A:$A,MATCH($A281,Sales!$E:$E,0)),""))</f>
        <v/>
      </c>
      <c r="C281" s="153" t="str">
        <f t="array" ref="C281">IF($A281="","",IFERROR(INDEX(Sales!$D:$D,MATCH($A281,Sales!$E:$E,0)),""))</f>
        <v/>
      </c>
      <c r="D281" s="153" t="str">
        <f t="array" ref="D281">IF($A281="","",IFERROR(INDEX(Sales!$C:$C,MATCH($A281,Sales!$E:$E,0)),""))</f>
        <v/>
      </c>
      <c r="E281" s="154" t="str">
        <f>IF($A281="","",SUMIFS(Sales!$H:$H,Sales!$E:$E,$A281,Sales!$B:$B,"&lt;&gt;Return"))</f>
        <v/>
      </c>
      <c r="F281" s="155" t="str">
        <f>IF($A281="","",SUMIF(Sales!$E:$E,$A281,Sales!$L:$L))</f>
        <v/>
      </c>
      <c r="G281" s="155" t="str">
        <f>IF($A281="","",SUMIF(Sales!$E:$E,$A281,Sales!$P:$P))</f>
        <v/>
      </c>
      <c r="H281" s="156" t="str">
        <f t="array" ref="H281">IF($A281="","",IFERROR(INDEX(Orders!$O$5:$O$1004,MATCH($A281,Orders!$N$5:$N$1004,0)),""))</f>
        <v/>
      </c>
      <c r="I281" s="156" t="str">
        <f t="array" ref="I281">IF($A281="","",IFERROR(INDEX(Orders!$P$5:$P$1004,MATCH($A281,Orders!$N$5:$N$1004,0)),""))</f>
        <v/>
      </c>
      <c r="J281" s="157" t="str">
        <f t="shared" si="1"/>
        <v/>
      </c>
      <c r="K281" s="153" t="str">
        <f t="array" ref="K281">IF($A281="","",IFERROR(INDEX(Sales!$M:$M,MATCH($A281,Sales!$E:$E,0)),""))</f>
        <v/>
      </c>
      <c r="L281" s="158" t="str">
        <f t="shared" si="2"/>
        <v/>
      </c>
      <c r="N281" s="49" t="str">
        <f t="array" ref="N281">IFERROR(INDEX(Sales!$E$7:$E$1506,MATCH(ROW()-4,Sales!$V$7:$V$1506,0)),"")</f>
        <v/>
      </c>
      <c r="O281" s="67"/>
      <c r="P281" s="67"/>
    </row>
    <row r="282" ht="15.75" customHeight="1">
      <c r="A282" s="151" t="str">
        <f t="array" ref="A282">IFERROR(INDEX(Sales!$E$7:$E$1506,MATCH(ROW()-4,Sales!$W$7:$W$1506,0)),"")</f>
        <v/>
      </c>
      <c r="B282" s="152" t="str">
        <f t="array" ref="B282">IF($A282="","",IFERROR(INDEX(Sales!$A:$A,MATCH($A282,Sales!$E:$E,0)),""))</f>
        <v/>
      </c>
      <c r="C282" s="153" t="str">
        <f t="array" ref="C282">IF($A282="","",IFERROR(INDEX(Sales!$D:$D,MATCH($A282,Sales!$E:$E,0)),""))</f>
        <v/>
      </c>
      <c r="D282" s="153" t="str">
        <f t="array" ref="D282">IF($A282="","",IFERROR(INDEX(Sales!$C:$C,MATCH($A282,Sales!$E:$E,0)),""))</f>
        <v/>
      </c>
      <c r="E282" s="154" t="str">
        <f>IF($A282="","",SUMIFS(Sales!$H:$H,Sales!$E:$E,$A282,Sales!$B:$B,"&lt;&gt;Return"))</f>
        <v/>
      </c>
      <c r="F282" s="155" t="str">
        <f>IF($A282="","",SUMIF(Sales!$E:$E,$A282,Sales!$L:$L))</f>
        <v/>
      </c>
      <c r="G282" s="155" t="str">
        <f>IF($A282="","",SUMIF(Sales!$E:$E,$A282,Sales!$P:$P))</f>
        <v/>
      </c>
      <c r="H282" s="156" t="str">
        <f t="array" ref="H282">IF($A282="","",IFERROR(INDEX(Orders!$O$5:$O$1004,MATCH($A282,Orders!$N$5:$N$1004,0)),""))</f>
        <v/>
      </c>
      <c r="I282" s="156" t="str">
        <f t="array" ref="I282">IF($A282="","",IFERROR(INDEX(Orders!$P$5:$P$1004,MATCH($A282,Orders!$N$5:$N$1004,0)),""))</f>
        <v/>
      </c>
      <c r="J282" s="157" t="str">
        <f t="shared" si="1"/>
        <v/>
      </c>
      <c r="K282" s="153" t="str">
        <f t="array" ref="K282">IF($A282="","",IFERROR(INDEX(Sales!$M:$M,MATCH($A282,Sales!$E:$E,0)),""))</f>
        <v/>
      </c>
      <c r="L282" s="158" t="str">
        <f t="shared" si="2"/>
        <v/>
      </c>
      <c r="N282" s="49" t="str">
        <f t="array" ref="N282">IFERROR(INDEX(Sales!$E$7:$E$1506,MATCH(ROW()-4,Sales!$V$7:$V$1506,0)),"")</f>
        <v/>
      </c>
      <c r="O282" s="67"/>
      <c r="P282" s="67"/>
    </row>
    <row r="283" ht="15.75" customHeight="1">
      <c r="A283" s="151" t="str">
        <f t="array" ref="A283">IFERROR(INDEX(Sales!$E$7:$E$1506,MATCH(ROW()-4,Sales!$W$7:$W$1506,0)),"")</f>
        <v/>
      </c>
      <c r="B283" s="152" t="str">
        <f t="array" ref="B283">IF($A283="","",IFERROR(INDEX(Sales!$A:$A,MATCH($A283,Sales!$E:$E,0)),""))</f>
        <v/>
      </c>
      <c r="C283" s="153" t="str">
        <f t="array" ref="C283">IF($A283="","",IFERROR(INDEX(Sales!$D:$D,MATCH($A283,Sales!$E:$E,0)),""))</f>
        <v/>
      </c>
      <c r="D283" s="153" t="str">
        <f t="array" ref="D283">IF($A283="","",IFERROR(INDEX(Sales!$C:$C,MATCH($A283,Sales!$E:$E,0)),""))</f>
        <v/>
      </c>
      <c r="E283" s="154" t="str">
        <f>IF($A283="","",SUMIFS(Sales!$H:$H,Sales!$E:$E,$A283,Sales!$B:$B,"&lt;&gt;Return"))</f>
        <v/>
      </c>
      <c r="F283" s="155" t="str">
        <f>IF($A283="","",SUMIF(Sales!$E:$E,$A283,Sales!$L:$L))</f>
        <v/>
      </c>
      <c r="G283" s="155" t="str">
        <f>IF($A283="","",SUMIF(Sales!$E:$E,$A283,Sales!$P:$P))</f>
        <v/>
      </c>
      <c r="H283" s="156" t="str">
        <f t="array" ref="H283">IF($A283="","",IFERROR(INDEX(Orders!$O$5:$O$1004,MATCH($A283,Orders!$N$5:$N$1004,0)),""))</f>
        <v/>
      </c>
      <c r="I283" s="156" t="str">
        <f t="array" ref="I283">IF($A283="","",IFERROR(INDEX(Orders!$P$5:$P$1004,MATCH($A283,Orders!$N$5:$N$1004,0)),""))</f>
        <v/>
      </c>
      <c r="J283" s="157" t="str">
        <f t="shared" si="1"/>
        <v/>
      </c>
      <c r="K283" s="153" t="str">
        <f t="array" ref="K283">IF($A283="","",IFERROR(INDEX(Sales!$M:$M,MATCH($A283,Sales!$E:$E,0)),""))</f>
        <v/>
      </c>
      <c r="L283" s="158" t="str">
        <f t="shared" si="2"/>
        <v/>
      </c>
      <c r="N283" s="49" t="str">
        <f t="array" ref="N283">IFERROR(INDEX(Sales!$E$7:$E$1506,MATCH(ROW()-4,Sales!$V$7:$V$1506,0)),"")</f>
        <v/>
      </c>
      <c r="O283" s="67"/>
      <c r="P283" s="67"/>
    </row>
    <row r="284" ht="15.75" customHeight="1">
      <c r="A284" s="151" t="str">
        <f t="array" ref="A284">IFERROR(INDEX(Sales!$E$7:$E$1506,MATCH(ROW()-4,Sales!$W$7:$W$1506,0)),"")</f>
        <v/>
      </c>
      <c r="B284" s="152" t="str">
        <f t="array" ref="B284">IF($A284="","",IFERROR(INDEX(Sales!$A:$A,MATCH($A284,Sales!$E:$E,0)),""))</f>
        <v/>
      </c>
      <c r="C284" s="153" t="str">
        <f t="array" ref="C284">IF($A284="","",IFERROR(INDEX(Sales!$D:$D,MATCH($A284,Sales!$E:$E,0)),""))</f>
        <v/>
      </c>
      <c r="D284" s="153" t="str">
        <f t="array" ref="D284">IF($A284="","",IFERROR(INDEX(Sales!$C:$C,MATCH($A284,Sales!$E:$E,0)),""))</f>
        <v/>
      </c>
      <c r="E284" s="154" t="str">
        <f>IF($A284="","",SUMIFS(Sales!$H:$H,Sales!$E:$E,$A284,Sales!$B:$B,"&lt;&gt;Return"))</f>
        <v/>
      </c>
      <c r="F284" s="155" t="str">
        <f>IF($A284="","",SUMIF(Sales!$E:$E,$A284,Sales!$L:$L))</f>
        <v/>
      </c>
      <c r="G284" s="155" t="str">
        <f>IF($A284="","",SUMIF(Sales!$E:$E,$A284,Sales!$P:$P))</f>
        <v/>
      </c>
      <c r="H284" s="156" t="str">
        <f t="array" ref="H284">IF($A284="","",IFERROR(INDEX(Orders!$O$5:$O$1004,MATCH($A284,Orders!$N$5:$N$1004,0)),""))</f>
        <v/>
      </c>
      <c r="I284" s="156" t="str">
        <f t="array" ref="I284">IF($A284="","",IFERROR(INDEX(Orders!$P$5:$P$1004,MATCH($A284,Orders!$N$5:$N$1004,0)),""))</f>
        <v/>
      </c>
      <c r="J284" s="157" t="str">
        <f t="shared" si="1"/>
        <v/>
      </c>
      <c r="K284" s="153" t="str">
        <f t="array" ref="K284">IF($A284="","",IFERROR(INDEX(Sales!$M:$M,MATCH($A284,Sales!$E:$E,0)),""))</f>
        <v/>
      </c>
      <c r="L284" s="158" t="str">
        <f t="shared" si="2"/>
        <v/>
      </c>
      <c r="N284" s="49" t="str">
        <f t="array" ref="N284">IFERROR(INDEX(Sales!$E$7:$E$1506,MATCH(ROW()-4,Sales!$V$7:$V$1506,0)),"")</f>
        <v/>
      </c>
      <c r="O284" s="67"/>
      <c r="P284" s="67"/>
    </row>
    <row r="285" ht="15.75" customHeight="1">
      <c r="A285" s="151" t="str">
        <f t="array" ref="A285">IFERROR(INDEX(Sales!$E$7:$E$1506,MATCH(ROW()-4,Sales!$W$7:$W$1506,0)),"")</f>
        <v/>
      </c>
      <c r="B285" s="152" t="str">
        <f t="array" ref="B285">IF($A285="","",IFERROR(INDEX(Sales!$A:$A,MATCH($A285,Sales!$E:$E,0)),""))</f>
        <v/>
      </c>
      <c r="C285" s="153" t="str">
        <f t="array" ref="C285">IF($A285="","",IFERROR(INDEX(Sales!$D:$D,MATCH($A285,Sales!$E:$E,0)),""))</f>
        <v/>
      </c>
      <c r="D285" s="153" t="str">
        <f t="array" ref="D285">IF($A285="","",IFERROR(INDEX(Sales!$C:$C,MATCH($A285,Sales!$E:$E,0)),""))</f>
        <v/>
      </c>
      <c r="E285" s="154" t="str">
        <f>IF($A285="","",SUMIFS(Sales!$H:$H,Sales!$E:$E,$A285,Sales!$B:$B,"&lt;&gt;Return"))</f>
        <v/>
      </c>
      <c r="F285" s="155" t="str">
        <f>IF($A285="","",SUMIF(Sales!$E:$E,$A285,Sales!$L:$L))</f>
        <v/>
      </c>
      <c r="G285" s="155" t="str">
        <f>IF($A285="","",SUMIF(Sales!$E:$E,$A285,Sales!$P:$P))</f>
        <v/>
      </c>
      <c r="H285" s="156" t="str">
        <f t="array" ref="H285">IF($A285="","",IFERROR(INDEX(Orders!$O$5:$O$1004,MATCH($A285,Orders!$N$5:$N$1004,0)),""))</f>
        <v/>
      </c>
      <c r="I285" s="156" t="str">
        <f t="array" ref="I285">IF($A285="","",IFERROR(INDEX(Orders!$P$5:$P$1004,MATCH($A285,Orders!$N$5:$N$1004,0)),""))</f>
        <v/>
      </c>
      <c r="J285" s="157" t="str">
        <f t="shared" si="1"/>
        <v/>
      </c>
      <c r="K285" s="153" t="str">
        <f t="array" ref="K285">IF($A285="","",IFERROR(INDEX(Sales!$M:$M,MATCH($A285,Sales!$E:$E,0)),""))</f>
        <v/>
      </c>
      <c r="L285" s="158" t="str">
        <f t="shared" si="2"/>
        <v/>
      </c>
      <c r="N285" s="49" t="str">
        <f t="array" ref="N285">IFERROR(INDEX(Sales!$E$7:$E$1506,MATCH(ROW()-4,Sales!$V$7:$V$1506,0)),"")</f>
        <v/>
      </c>
      <c r="O285" s="67"/>
      <c r="P285" s="67"/>
    </row>
    <row r="286" ht="15.75" customHeight="1">
      <c r="A286" s="151" t="str">
        <f t="array" ref="A286">IFERROR(INDEX(Sales!$E$7:$E$1506,MATCH(ROW()-4,Sales!$W$7:$W$1506,0)),"")</f>
        <v/>
      </c>
      <c r="B286" s="152" t="str">
        <f t="array" ref="B286">IF($A286="","",IFERROR(INDEX(Sales!$A:$A,MATCH($A286,Sales!$E:$E,0)),""))</f>
        <v/>
      </c>
      <c r="C286" s="153" t="str">
        <f t="array" ref="C286">IF($A286="","",IFERROR(INDEX(Sales!$D:$D,MATCH($A286,Sales!$E:$E,0)),""))</f>
        <v/>
      </c>
      <c r="D286" s="153" t="str">
        <f t="array" ref="D286">IF($A286="","",IFERROR(INDEX(Sales!$C:$C,MATCH($A286,Sales!$E:$E,0)),""))</f>
        <v/>
      </c>
      <c r="E286" s="154" t="str">
        <f>IF($A286="","",SUMIFS(Sales!$H:$H,Sales!$E:$E,$A286,Sales!$B:$B,"&lt;&gt;Return"))</f>
        <v/>
      </c>
      <c r="F286" s="155" t="str">
        <f>IF($A286="","",SUMIF(Sales!$E:$E,$A286,Sales!$L:$L))</f>
        <v/>
      </c>
      <c r="G286" s="155" t="str">
        <f>IF($A286="","",SUMIF(Sales!$E:$E,$A286,Sales!$P:$P))</f>
        <v/>
      </c>
      <c r="H286" s="156" t="str">
        <f t="array" ref="H286">IF($A286="","",IFERROR(INDEX(Orders!$O$5:$O$1004,MATCH($A286,Orders!$N$5:$N$1004,0)),""))</f>
        <v/>
      </c>
      <c r="I286" s="156" t="str">
        <f t="array" ref="I286">IF($A286="","",IFERROR(INDEX(Orders!$P$5:$P$1004,MATCH($A286,Orders!$N$5:$N$1004,0)),""))</f>
        <v/>
      </c>
      <c r="J286" s="157" t="str">
        <f t="shared" si="1"/>
        <v/>
      </c>
      <c r="K286" s="153" t="str">
        <f t="array" ref="K286">IF($A286="","",IFERROR(INDEX(Sales!$M:$M,MATCH($A286,Sales!$E:$E,0)),""))</f>
        <v/>
      </c>
      <c r="L286" s="158" t="str">
        <f t="shared" si="2"/>
        <v/>
      </c>
      <c r="N286" s="49" t="str">
        <f t="array" ref="N286">IFERROR(INDEX(Sales!$E$7:$E$1506,MATCH(ROW()-4,Sales!$V$7:$V$1506,0)),"")</f>
        <v/>
      </c>
      <c r="O286" s="67"/>
      <c r="P286" s="67"/>
    </row>
    <row r="287" ht="15.75" customHeight="1">
      <c r="A287" s="151" t="str">
        <f t="array" ref="A287">IFERROR(INDEX(Sales!$E$7:$E$1506,MATCH(ROW()-4,Sales!$W$7:$W$1506,0)),"")</f>
        <v/>
      </c>
      <c r="B287" s="152" t="str">
        <f t="array" ref="B287">IF($A287="","",IFERROR(INDEX(Sales!$A:$A,MATCH($A287,Sales!$E:$E,0)),""))</f>
        <v/>
      </c>
      <c r="C287" s="153" t="str">
        <f t="array" ref="C287">IF($A287="","",IFERROR(INDEX(Sales!$D:$D,MATCH($A287,Sales!$E:$E,0)),""))</f>
        <v/>
      </c>
      <c r="D287" s="153" t="str">
        <f t="array" ref="D287">IF($A287="","",IFERROR(INDEX(Sales!$C:$C,MATCH($A287,Sales!$E:$E,0)),""))</f>
        <v/>
      </c>
      <c r="E287" s="154" t="str">
        <f>IF($A287="","",SUMIFS(Sales!$H:$H,Sales!$E:$E,$A287,Sales!$B:$B,"&lt;&gt;Return"))</f>
        <v/>
      </c>
      <c r="F287" s="155" t="str">
        <f>IF($A287="","",SUMIF(Sales!$E:$E,$A287,Sales!$L:$L))</f>
        <v/>
      </c>
      <c r="G287" s="155" t="str">
        <f>IF($A287="","",SUMIF(Sales!$E:$E,$A287,Sales!$P:$P))</f>
        <v/>
      </c>
      <c r="H287" s="156" t="str">
        <f t="array" ref="H287">IF($A287="","",IFERROR(INDEX(Orders!$O$5:$O$1004,MATCH($A287,Orders!$N$5:$N$1004,0)),""))</f>
        <v/>
      </c>
      <c r="I287" s="156" t="str">
        <f t="array" ref="I287">IF($A287="","",IFERROR(INDEX(Orders!$P$5:$P$1004,MATCH($A287,Orders!$N$5:$N$1004,0)),""))</f>
        <v/>
      </c>
      <c r="J287" s="157" t="str">
        <f t="shared" si="1"/>
        <v/>
      </c>
      <c r="K287" s="153" t="str">
        <f t="array" ref="K287">IF($A287="","",IFERROR(INDEX(Sales!$M:$M,MATCH($A287,Sales!$E:$E,0)),""))</f>
        <v/>
      </c>
      <c r="L287" s="158" t="str">
        <f t="shared" si="2"/>
        <v/>
      </c>
      <c r="N287" s="49" t="str">
        <f t="array" ref="N287">IFERROR(INDEX(Sales!$E$7:$E$1506,MATCH(ROW()-4,Sales!$V$7:$V$1506,0)),"")</f>
        <v/>
      </c>
      <c r="O287" s="67"/>
      <c r="P287" s="67"/>
    </row>
    <row r="288" ht="15.75" customHeight="1">
      <c r="A288" s="151" t="str">
        <f t="array" ref="A288">IFERROR(INDEX(Sales!$E$7:$E$1506,MATCH(ROW()-4,Sales!$W$7:$W$1506,0)),"")</f>
        <v/>
      </c>
      <c r="B288" s="152" t="str">
        <f t="array" ref="B288">IF($A288="","",IFERROR(INDEX(Sales!$A:$A,MATCH($A288,Sales!$E:$E,0)),""))</f>
        <v/>
      </c>
      <c r="C288" s="153" t="str">
        <f t="array" ref="C288">IF($A288="","",IFERROR(INDEX(Sales!$D:$D,MATCH($A288,Sales!$E:$E,0)),""))</f>
        <v/>
      </c>
      <c r="D288" s="153" t="str">
        <f t="array" ref="D288">IF($A288="","",IFERROR(INDEX(Sales!$C:$C,MATCH($A288,Sales!$E:$E,0)),""))</f>
        <v/>
      </c>
      <c r="E288" s="154" t="str">
        <f>IF($A288="","",SUMIFS(Sales!$H:$H,Sales!$E:$E,$A288,Sales!$B:$B,"&lt;&gt;Return"))</f>
        <v/>
      </c>
      <c r="F288" s="155" t="str">
        <f>IF($A288="","",SUMIF(Sales!$E:$E,$A288,Sales!$L:$L))</f>
        <v/>
      </c>
      <c r="G288" s="155" t="str">
        <f>IF($A288="","",SUMIF(Sales!$E:$E,$A288,Sales!$P:$P))</f>
        <v/>
      </c>
      <c r="H288" s="156" t="str">
        <f t="array" ref="H288">IF($A288="","",IFERROR(INDEX(Orders!$O$5:$O$1004,MATCH($A288,Orders!$N$5:$N$1004,0)),""))</f>
        <v/>
      </c>
      <c r="I288" s="156" t="str">
        <f t="array" ref="I288">IF($A288="","",IFERROR(INDEX(Orders!$P$5:$P$1004,MATCH($A288,Orders!$N$5:$N$1004,0)),""))</f>
        <v/>
      </c>
      <c r="J288" s="157" t="str">
        <f t="shared" si="1"/>
        <v/>
      </c>
      <c r="K288" s="153" t="str">
        <f t="array" ref="K288">IF($A288="","",IFERROR(INDEX(Sales!$M:$M,MATCH($A288,Sales!$E:$E,0)),""))</f>
        <v/>
      </c>
      <c r="L288" s="158" t="str">
        <f t="shared" si="2"/>
        <v/>
      </c>
      <c r="N288" s="49" t="str">
        <f t="array" ref="N288">IFERROR(INDEX(Sales!$E$7:$E$1506,MATCH(ROW()-4,Sales!$V$7:$V$1506,0)),"")</f>
        <v/>
      </c>
      <c r="O288" s="67"/>
      <c r="P288" s="67"/>
    </row>
    <row r="289" ht="15.75" customHeight="1">
      <c r="A289" s="151" t="str">
        <f t="array" ref="A289">IFERROR(INDEX(Sales!$E$7:$E$1506,MATCH(ROW()-4,Sales!$W$7:$W$1506,0)),"")</f>
        <v/>
      </c>
      <c r="B289" s="152" t="str">
        <f t="array" ref="B289">IF($A289="","",IFERROR(INDEX(Sales!$A:$A,MATCH($A289,Sales!$E:$E,0)),""))</f>
        <v/>
      </c>
      <c r="C289" s="153" t="str">
        <f t="array" ref="C289">IF($A289="","",IFERROR(INDEX(Sales!$D:$D,MATCH($A289,Sales!$E:$E,0)),""))</f>
        <v/>
      </c>
      <c r="D289" s="153" t="str">
        <f t="array" ref="D289">IF($A289="","",IFERROR(INDEX(Sales!$C:$C,MATCH($A289,Sales!$E:$E,0)),""))</f>
        <v/>
      </c>
      <c r="E289" s="154" t="str">
        <f>IF($A289="","",SUMIFS(Sales!$H:$H,Sales!$E:$E,$A289,Sales!$B:$B,"&lt;&gt;Return"))</f>
        <v/>
      </c>
      <c r="F289" s="155" t="str">
        <f>IF($A289="","",SUMIF(Sales!$E:$E,$A289,Sales!$L:$L))</f>
        <v/>
      </c>
      <c r="G289" s="155" t="str">
        <f>IF($A289="","",SUMIF(Sales!$E:$E,$A289,Sales!$P:$P))</f>
        <v/>
      </c>
      <c r="H289" s="156" t="str">
        <f t="array" ref="H289">IF($A289="","",IFERROR(INDEX(Orders!$O$5:$O$1004,MATCH($A289,Orders!$N$5:$N$1004,0)),""))</f>
        <v/>
      </c>
      <c r="I289" s="156" t="str">
        <f t="array" ref="I289">IF($A289="","",IFERROR(INDEX(Orders!$P$5:$P$1004,MATCH($A289,Orders!$N$5:$N$1004,0)),""))</f>
        <v/>
      </c>
      <c r="J289" s="157" t="str">
        <f t="shared" si="1"/>
        <v/>
      </c>
      <c r="K289" s="153" t="str">
        <f t="array" ref="K289">IF($A289="","",IFERROR(INDEX(Sales!$M:$M,MATCH($A289,Sales!$E:$E,0)),""))</f>
        <v/>
      </c>
      <c r="L289" s="158" t="str">
        <f t="shared" si="2"/>
        <v/>
      </c>
      <c r="N289" s="49" t="str">
        <f t="array" ref="N289">IFERROR(INDEX(Sales!$E$7:$E$1506,MATCH(ROW()-4,Sales!$V$7:$V$1506,0)),"")</f>
        <v/>
      </c>
      <c r="O289" s="67"/>
      <c r="P289" s="67"/>
    </row>
    <row r="290" ht="15.75" customHeight="1">
      <c r="A290" s="151" t="str">
        <f t="array" ref="A290">IFERROR(INDEX(Sales!$E$7:$E$1506,MATCH(ROW()-4,Sales!$W$7:$W$1506,0)),"")</f>
        <v/>
      </c>
      <c r="B290" s="152" t="str">
        <f t="array" ref="B290">IF($A290="","",IFERROR(INDEX(Sales!$A:$A,MATCH($A290,Sales!$E:$E,0)),""))</f>
        <v/>
      </c>
      <c r="C290" s="153" t="str">
        <f t="array" ref="C290">IF($A290="","",IFERROR(INDEX(Sales!$D:$D,MATCH($A290,Sales!$E:$E,0)),""))</f>
        <v/>
      </c>
      <c r="D290" s="153" t="str">
        <f t="array" ref="D290">IF($A290="","",IFERROR(INDEX(Sales!$C:$C,MATCH($A290,Sales!$E:$E,0)),""))</f>
        <v/>
      </c>
      <c r="E290" s="154" t="str">
        <f>IF($A290="","",SUMIFS(Sales!$H:$H,Sales!$E:$E,$A290,Sales!$B:$B,"&lt;&gt;Return"))</f>
        <v/>
      </c>
      <c r="F290" s="155" t="str">
        <f>IF($A290="","",SUMIF(Sales!$E:$E,$A290,Sales!$L:$L))</f>
        <v/>
      </c>
      <c r="G290" s="155" t="str">
        <f>IF($A290="","",SUMIF(Sales!$E:$E,$A290,Sales!$P:$P))</f>
        <v/>
      </c>
      <c r="H290" s="156" t="str">
        <f t="array" ref="H290">IF($A290="","",IFERROR(INDEX(Orders!$O$5:$O$1004,MATCH($A290,Orders!$N$5:$N$1004,0)),""))</f>
        <v/>
      </c>
      <c r="I290" s="156" t="str">
        <f t="array" ref="I290">IF($A290="","",IFERROR(INDEX(Orders!$P$5:$P$1004,MATCH($A290,Orders!$N$5:$N$1004,0)),""))</f>
        <v/>
      </c>
      <c r="J290" s="157" t="str">
        <f t="shared" si="1"/>
        <v/>
      </c>
      <c r="K290" s="153" t="str">
        <f t="array" ref="K290">IF($A290="","",IFERROR(INDEX(Sales!$M:$M,MATCH($A290,Sales!$E:$E,0)),""))</f>
        <v/>
      </c>
      <c r="L290" s="158" t="str">
        <f t="shared" si="2"/>
        <v/>
      </c>
      <c r="N290" s="49" t="str">
        <f t="array" ref="N290">IFERROR(INDEX(Sales!$E$7:$E$1506,MATCH(ROW()-4,Sales!$V$7:$V$1506,0)),"")</f>
        <v/>
      </c>
      <c r="O290" s="67"/>
      <c r="P290" s="67"/>
    </row>
    <row r="291" ht="15.75" customHeight="1">
      <c r="A291" s="151" t="str">
        <f t="array" ref="A291">IFERROR(INDEX(Sales!$E$7:$E$1506,MATCH(ROW()-4,Sales!$W$7:$W$1506,0)),"")</f>
        <v/>
      </c>
      <c r="B291" s="152" t="str">
        <f t="array" ref="B291">IF($A291="","",IFERROR(INDEX(Sales!$A:$A,MATCH($A291,Sales!$E:$E,0)),""))</f>
        <v/>
      </c>
      <c r="C291" s="153" t="str">
        <f t="array" ref="C291">IF($A291="","",IFERROR(INDEX(Sales!$D:$D,MATCH($A291,Sales!$E:$E,0)),""))</f>
        <v/>
      </c>
      <c r="D291" s="153" t="str">
        <f t="array" ref="D291">IF($A291="","",IFERROR(INDEX(Sales!$C:$C,MATCH($A291,Sales!$E:$E,0)),""))</f>
        <v/>
      </c>
      <c r="E291" s="154" t="str">
        <f>IF($A291="","",SUMIFS(Sales!$H:$H,Sales!$E:$E,$A291,Sales!$B:$B,"&lt;&gt;Return"))</f>
        <v/>
      </c>
      <c r="F291" s="155" t="str">
        <f>IF($A291="","",SUMIF(Sales!$E:$E,$A291,Sales!$L:$L))</f>
        <v/>
      </c>
      <c r="G291" s="155" t="str">
        <f>IF($A291="","",SUMIF(Sales!$E:$E,$A291,Sales!$P:$P))</f>
        <v/>
      </c>
      <c r="H291" s="156" t="str">
        <f t="array" ref="H291">IF($A291="","",IFERROR(INDEX(Orders!$O$5:$O$1004,MATCH($A291,Orders!$N$5:$N$1004,0)),""))</f>
        <v/>
      </c>
      <c r="I291" s="156" t="str">
        <f t="array" ref="I291">IF($A291="","",IFERROR(INDEX(Orders!$P$5:$P$1004,MATCH($A291,Orders!$N$5:$N$1004,0)),""))</f>
        <v/>
      </c>
      <c r="J291" s="157" t="str">
        <f t="shared" si="1"/>
        <v/>
      </c>
      <c r="K291" s="153" t="str">
        <f t="array" ref="K291">IF($A291="","",IFERROR(INDEX(Sales!$M:$M,MATCH($A291,Sales!$E:$E,0)),""))</f>
        <v/>
      </c>
      <c r="L291" s="158" t="str">
        <f t="shared" si="2"/>
        <v/>
      </c>
      <c r="N291" s="49" t="str">
        <f t="array" ref="N291">IFERROR(INDEX(Sales!$E$7:$E$1506,MATCH(ROW()-4,Sales!$V$7:$V$1506,0)),"")</f>
        <v/>
      </c>
      <c r="O291" s="67"/>
      <c r="P291" s="67"/>
    </row>
    <row r="292" ht="15.75" customHeight="1">
      <c r="A292" s="151" t="str">
        <f t="array" ref="A292">IFERROR(INDEX(Sales!$E$7:$E$1506,MATCH(ROW()-4,Sales!$W$7:$W$1506,0)),"")</f>
        <v/>
      </c>
      <c r="B292" s="152" t="str">
        <f t="array" ref="B292">IF($A292="","",IFERROR(INDEX(Sales!$A:$A,MATCH($A292,Sales!$E:$E,0)),""))</f>
        <v/>
      </c>
      <c r="C292" s="153" t="str">
        <f t="array" ref="C292">IF($A292="","",IFERROR(INDEX(Sales!$D:$D,MATCH($A292,Sales!$E:$E,0)),""))</f>
        <v/>
      </c>
      <c r="D292" s="153" t="str">
        <f t="array" ref="D292">IF($A292="","",IFERROR(INDEX(Sales!$C:$C,MATCH($A292,Sales!$E:$E,0)),""))</f>
        <v/>
      </c>
      <c r="E292" s="154" t="str">
        <f>IF($A292="","",SUMIFS(Sales!$H:$H,Sales!$E:$E,$A292,Sales!$B:$B,"&lt;&gt;Return"))</f>
        <v/>
      </c>
      <c r="F292" s="155" t="str">
        <f>IF($A292="","",SUMIF(Sales!$E:$E,$A292,Sales!$L:$L))</f>
        <v/>
      </c>
      <c r="G292" s="155" t="str">
        <f>IF($A292="","",SUMIF(Sales!$E:$E,$A292,Sales!$P:$P))</f>
        <v/>
      </c>
      <c r="H292" s="156" t="str">
        <f t="array" ref="H292">IF($A292="","",IFERROR(INDEX(Orders!$O$5:$O$1004,MATCH($A292,Orders!$N$5:$N$1004,0)),""))</f>
        <v/>
      </c>
      <c r="I292" s="156" t="str">
        <f t="array" ref="I292">IF($A292="","",IFERROR(INDEX(Orders!$P$5:$P$1004,MATCH($A292,Orders!$N$5:$N$1004,0)),""))</f>
        <v/>
      </c>
      <c r="J292" s="157" t="str">
        <f t="shared" si="1"/>
        <v/>
      </c>
      <c r="K292" s="153" t="str">
        <f t="array" ref="K292">IF($A292="","",IFERROR(INDEX(Sales!$M:$M,MATCH($A292,Sales!$E:$E,0)),""))</f>
        <v/>
      </c>
      <c r="L292" s="158" t="str">
        <f t="shared" si="2"/>
        <v/>
      </c>
      <c r="N292" s="49" t="str">
        <f t="array" ref="N292">IFERROR(INDEX(Sales!$E$7:$E$1506,MATCH(ROW()-4,Sales!$V$7:$V$1506,0)),"")</f>
        <v/>
      </c>
      <c r="O292" s="67"/>
      <c r="P292" s="67"/>
    </row>
    <row r="293" ht="15.75" customHeight="1">
      <c r="A293" s="151" t="str">
        <f t="array" ref="A293">IFERROR(INDEX(Sales!$E$7:$E$1506,MATCH(ROW()-4,Sales!$W$7:$W$1506,0)),"")</f>
        <v/>
      </c>
      <c r="B293" s="152" t="str">
        <f t="array" ref="B293">IF($A293="","",IFERROR(INDEX(Sales!$A:$A,MATCH($A293,Sales!$E:$E,0)),""))</f>
        <v/>
      </c>
      <c r="C293" s="153" t="str">
        <f t="array" ref="C293">IF($A293="","",IFERROR(INDEX(Sales!$D:$D,MATCH($A293,Sales!$E:$E,0)),""))</f>
        <v/>
      </c>
      <c r="D293" s="153" t="str">
        <f t="array" ref="D293">IF($A293="","",IFERROR(INDEX(Sales!$C:$C,MATCH($A293,Sales!$E:$E,0)),""))</f>
        <v/>
      </c>
      <c r="E293" s="154" t="str">
        <f>IF($A293="","",SUMIFS(Sales!$H:$H,Sales!$E:$E,$A293,Sales!$B:$B,"&lt;&gt;Return"))</f>
        <v/>
      </c>
      <c r="F293" s="155" t="str">
        <f>IF($A293="","",SUMIF(Sales!$E:$E,$A293,Sales!$L:$L))</f>
        <v/>
      </c>
      <c r="G293" s="155" t="str">
        <f>IF($A293="","",SUMIF(Sales!$E:$E,$A293,Sales!$P:$P))</f>
        <v/>
      </c>
      <c r="H293" s="156" t="str">
        <f t="array" ref="H293">IF($A293="","",IFERROR(INDEX(Orders!$O$5:$O$1004,MATCH($A293,Orders!$N$5:$N$1004,0)),""))</f>
        <v/>
      </c>
      <c r="I293" s="156" t="str">
        <f t="array" ref="I293">IF($A293="","",IFERROR(INDEX(Orders!$P$5:$P$1004,MATCH($A293,Orders!$N$5:$N$1004,0)),""))</f>
        <v/>
      </c>
      <c r="J293" s="157" t="str">
        <f t="shared" si="1"/>
        <v/>
      </c>
      <c r="K293" s="153" t="str">
        <f t="array" ref="K293">IF($A293="","",IFERROR(INDEX(Sales!$M:$M,MATCH($A293,Sales!$E:$E,0)),""))</f>
        <v/>
      </c>
      <c r="L293" s="158" t="str">
        <f t="shared" si="2"/>
        <v/>
      </c>
      <c r="N293" s="49" t="str">
        <f t="array" ref="N293">IFERROR(INDEX(Sales!$E$7:$E$1506,MATCH(ROW()-4,Sales!$V$7:$V$1506,0)),"")</f>
        <v/>
      </c>
      <c r="O293" s="67"/>
      <c r="P293" s="67"/>
    </row>
    <row r="294" ht="15.75" customHeight="1">
      <c r="A294" s="151" t="str">
        <f t="array" ref="A294">IFERROR(INDEX(Sales!$E$7:$E$1506,MATCH(ROW()-4,Sales!$W$7:$W$1506,0)),"")</f>
        <v/>
      </c>
      <c r="B294" s="152" t="str">
        <f t="array" ref="B294">IF($A294="","",IFERROR(INDEX(Sales!$A:$A,MATCH($A294,Sales!$E:$E,0)),""))</f>
        <v/>
      </c>
      <c r="C294" s="153" t="str">
        <f t="array" ref="C294">IF($A294="","",IFERROR(INDEX(Sales!$D:$D,MATCH($A294,Sales!$E:$E,0)),""))</f>
        <v/>
      </c>
      <c r="D294" s="153" t="str">
        <f t="array" ref="D294">IF($A294="","",IFERROR(INDEX(Sales!$C:$C,MATCH($A294,Sales!$E:$E,0)),""))</f>
        <v/>
      </c>
      <c r="E294" s="154" t="str">
        <f>IF($A294="","",SUMIFS(Sales!$H:$H,Sales!$E:$E,$A294,Sales!$B:$B,"&lt;&gt;Return"))</f>
        <v/>
      </c>
      <c r="F294" s="155" t="str">
        <f>IF($A294="","",SUMIF(Sales!$E:$E,$A294,Sales!$L:$L))</f>
        <v/>
      </c>
      <c r="G294" s="155" t="str">
        <f>IF($A294="","",SUMIF(Sales!$E:$E,$A294,Sales!$P:$P))</f>
        <v/>
      </c>
      <c r="H294" s="156" t="str">
        <f t="array" ref="H294">IF($A294="","",IFERROR(INDEX(Orders!$O$5:$O$1004,MATCH($A294,Orders!$N$5:$N$1004,0)),""))</f>
        <v/>
      </c>
      <c r="I294" s="156" t="str">
        <f t="array" ref="I294">IF($A294="","",IFERROR(INDEX(Orders!$P$5:$P$1004,MATCH($A294,Orders!$N$5:$N$1004,0)),""))</f>
        <v/>
      </c>
      <c r="J294" s="157" t="str">
        <f t="shared" si="1"/>
        <v/>
      </c>
      <c r="K294" s="153" t="str">
        <f t="array" ref="K294">IF($A294="","",IFERROR(INDEX(Sales!$M:$M,MATCH($A294,Sales!$E:$E,0)),""))</f>
        <v/>
      </c>
      <c r="L294" s="158" t="str">
        <f t="shared" si="2"/>
        <v/>
      </c>
      <c r="N294" s="49" t="str">
        <f t="array" ref="N294">IFERROR(INDEX(Sales!$E$7:$E$1506,MATCH(ROW()-4,Sales!$V$7:$V$1506,0)),"")</f>
        <v/>
      </c>
      <c r="O294" s="67"/>
      <c r="P294" s="67"/>
    </row>
    <row r="295" ht="15.75" customHeight="1">
      <c r="A295" s="151" t="str">
        <f t="array" ref="A295">IFERROR(INDEX(Sales!$E$7:$E$1506,MATCH(ROW()-4,Sales!$W$7:$W$1506,0)),"")</f>
        <v/>
      </c>
      <c r="B295" s="152" t="str">
        <f t="array" ref="B295">IF($A295="","",IFERROR(INDEX(Sales!$A:$A,MATCH($A295,Sales!$E:$E,0)),""))</f>
        <v/>
      </c>
      <c r="C295" s="153" t="str">
        <f t="array" ref="C295">IF($A295="","",IFERROR(INDEX(Sales!$D:$D,MATCH($A295,Sales!$E:$E,0)),""))</f>
        <v/>
      </c>
      <c r="D295" s="153" t="str">
        <f t="array" ref="D295">IF($A295="","",IFERROR(INDEX(Sales!$C:$C,MATCH($A295,Sales!$E:$E,0)),""))</f>
        <v/>
      </c>
      <c r="E295" s="154" t="str">
        <f>IF($A295="","",SUMIFS(Sales!$H:$H,Sales!$E:$E,$A295,Sales!$B:$B,"&lt;&gt;Return"))</f>
        <v/>
      </c>
      <c r="F295" s="155" t="str">
        <f>IF($A295="","",SUMIF(Sales!$E:$E,$A295,Sales!$L:$L))</f>
        <v/>
      </c>
      <c r="G295" s="155" t="str">
        <f>IF($A295="","",SUMIF(Sales!$E:$E,$A295,Sales!$P:$P))</f>
        <v/>
      </c>
      <c r="H295" s="156" t="str">
        <f t="array" ref="H295">IF($A295="","",IFERROR(INDEX(Orders!$O$5:$O$1004,MATCH($A295,Orders!$N$5:$N$1004,0)),""))</f>
        <v/>
      </c>
      <c r="I295" s="156" t="str">
        <f t="array" ref="I295">IF($A295="","",IFERROR(INDEX(Orders!$P$5:$P$1004,MATCH($A295,Orders!$N$5:$N$1004,0)),""))</f>
        <v/>
      </c>
      <c r="J295" s="157" t="str">
        <f t="shared" si="1"/>
        <v/>
      </c>
      <c r="K295" s="153" t="str">
        <f t="array" ref="K295">IF($A295="","",IFERROR(INDEX(Sales!$M:$M,MATCH($A295,Sales!$E:$E,0)),""))</f>
        <v/>
      </c>
      <c r="L295" s="158" t="str">
        <f t="shared" si="2"/>
        <v/>
      </c>
      <c r="N295" s="49" t="str">
        <f t="array" ref="N295">IFERROR(INDEX(Sales!$E$7:$E$1506,MATCH(ROW()-4,Sales!$V$7:$V$1506,0)),"")</f>
        <v/>
      </c>
      <c r="O295" s="67"/>
      <c r="P295" s="67"/>
    </row>
    <row r="296" ht="15.75" customHeight="1">
      <c r="A296" s="151" t="str">
        <f t="array" ref="A296">IFERROR(INDEX(Sales!$E$7:$E$1506,MATCH(ROW()-4,Sales!$W$7:$W$1506,0)),"")</f>
        <v/>
      </c>
      <c r="B296" s="152" t="str">
        <f t="array" ref="B296">IF($A296="","",IFERROR(INDEX(Sales!$A:$A,MATCH($A296,Sales!$E:$E,0)),""))</f>
        <v/>
      </c>
      <c r="C296" s="153" t="str">
        <f t="array" ref="C296">IF($A296="","",IFERROR(INDEX(Sales!$D:$D,MATCH($A296,Sales!$E:$E,0)),""))</f>
        <v/>
      </c>
      <c r="D296" s="153" t="str">
        <f t="array" ref="D296">IF($A296="","",IFERROR(INDEX(Sales!$C:$C,MATCH($A296,Sales!$E:$E,0)),""))</f>
        <v/>
      </c>
      <c r="E296" s="154" t="str">
        <f>IF($A296="","",SUMIFS(Sales!$H:$H,Sales!$E:$E,$A296,Sales!$B:$B,"&lt;&gt;Return"))</f>
        <v/>
      </c>
      <c r="F296" s="155" t="str">
        <f>IF($A296="","",SUMIF(Sales!$E:$E,$A296,Sales!$L:$L))</f>
        <v/>
      </c>
      <c r="G296" s="155" t="str">
        <f>IF($A296="","",SUMIF(Sales!$E:$E,$A296,Sales!$P:$P))</f>
        <v/>
      </c>
      <c r="H296" s="156" t="str">
        <f t="array" ref="H296">IF($A296="","",IFERROR(INDEX(Orders!$O$5:$O$1004,MATCH($A296,Orders!$N$5:$N$1004,0)),""))</f>
        <v/>
      </c>
      <c r="I296" s="156" t="str">
        <f t="array" ref="I296">IF($A296="","",IFERROR(INDEX(Orders!$P$5:$P$1004,MATCH($A296,Orders!$N$5:$N$1004,0)),""))</f>
        <v/>
      </c>
      <c r="J296" s="157" t="str">
        <f t="shared" si="1"/>
        <v/>
      </c>
      <c r="K296" s="153" t="str">
        <f t="array" ref="K296">IF($A296="","",IFERROR(INDEX(Sales!$M:$M,MATCH($A296,Sales!$E:$E,0)),""))</f>
        <v/>
      </c>
      <c r="L296" s="158" t="str">
        <f t="shared" si="2"/>
        <v/>
      </c>
      <c r="N296" s="49" t="str">
        <f t="array" ref="N296">IFERROR(INDEX(Sales!$E$7:$E$1506,MATCH(ROW()-4,Sales!$V$7:$V$1506,0)),"")</f>
        <v/>
      </c>
      <c r="O296" s="67"/>
      <c r="P296" s="67"/>
    </row>
    <row r="297" ht="15.75" customHeight="1">
      <c r="A297" s="151" t="str">
        <f t="array" ref="A297">IFERROR(INDEX(Sales!$E$7:$E$1506,MATCH(ROW()-4,Sales!$W$7:$W$1506,0)),"")</f>
        <v/>
      </c>
      <c r="B297" s="152" t="str">
        <f t="array" ref="B297">IF($A297="","",IFERROR(INDEX(Sales!$A:$A,MATCH($A297,Sales!$E:$E,0)),""))</f>
        <v/>
      </c>
      <c r="C297" s="153" t="str">
        <f t="array" ref="C297">IF($A297="","",IFERROR(INDEX(Sales!$D:$D,MATCH($A297,Sales!$E:$E,0)),""))</f>
        <v/>
      </c>
      <c r="D297" s="153" t="str">
        <f t="array" ref="D297">IF($A297="","",IFERROR(INDEX(Sales!$C:$C,MATCH($A297,Sales!$E:$E,0)),""))</f>
        <v/>
      </c>
      <c r="E297" s="154" t="str">
        <f>IF($A297="","",SUMIFS(Sales!$H:$H,Sales!$E:$E,$A297,Sales!$B:$B,"&lt;&gt;Return"))</f>
        <v/>
      </c>
      <c r="F297" s="155" t="str">
        <f>IF($A297="","",SUMIF(Sales!$E:$E,$A297,Sales!$L:$L))</f>
        <v/>
      </c>
      <c r="G297" s="155" t="str">
        <f>IF($A297="","",SUMIF(Sales!$E:$E,$A297,Sales!$P:$P))</f>
        <v/>
      </c>
      <c r="H297" s="156" t="str">
        <f t="array" ref="H297">IF($A297="","",IFERROR(INDEX(Orders!$O$5:$O$1004,MATCH($A297,Orders!$N$5:$N$1004,0)),""))</f>
        <v/>
      </c>
      <c r="I297" s="156" t="str">
        <f t="array" ref="I297">IF($A297="","",IFERROR(INDEX(Orders!$P$5:$P$1004,MATCH($A297,Orders!$N$5:$N$1004,0)),""))</f>
        <v/>
      </c>
      <c r="J297" s="157" t="str">
        <f t="shared" si="1"/>
        <v/>
      </c>
      <c r="K297" s="153" t="str">
        <f t="array" ref="K297">IF($A297="","",IFERROR(INDEX(Sales!$M:$M,MATCH($A297,Sales!$E:$E,0)),""))</f>
        <v/>
      </c>
      <c r="L297" s="158" t="str">
        <f t="shared" si="2"/>
        <v/>
      </c>
      <c r="N297" s="49" t="str">
        <f t="array" ref="N297">IFERROR(INDEX(Sales!$E$7:$E$1506,MATCH(ROW()-4,Sales!$V$7:$V$1506,0)),"")</f>
        <v/>
      </c>
      <c r="O297" s="67"/>
      <c r="P297" s="67"/>
    </row>
    <row r="298" ht="15.75" customHeight="1">
      <c r="A298" s="151" t="str">
        <f t="array" ref="A298">IFERROR(INDEX(Sales!$E$7:$E$1506,MATCH(ROW()-4,Sales!$W$7:$W$1506,0)),"")</f>
        <v/>
      </c>
      <c r="B298" s="152" t="str">
        <f t="array" ref="B298">IF($A298="","",IFERROR(INDEX(Sales!$A:$A,MATCH($A298,Sales!$E:$E,0)),""))</f>
        <v/>
      </c>
      <c r="C298" s="153" t="str">
        <f t="array" ref="C298">IF($A298="","",IFERROR(INDEX(Sales!$D:$D,MATCH($A298,Sales!$E:$E,0)),""))</f>
        <v/>
      </c>
      <c r="D298" s="153" t="str">
        <f t="array" ref="D298">IF($A298="","",IFERROR(INDEX(Sales!$C:$C,MATCH($A298,Sales!$E:$E,0)),""))</f>
        <v/>
      </c>
      <c r="E298" s="154" t="str">
        <f>IF($A298="","",SUMIFS(Sales!$H:$H,Sales!$E:$E,$A298,Sales!$B:$B,"&lt;&gt;Return"))</f>
        <v/>
      </c>
      <c r="F298" s="155" t="str">
        <f>IF($A298="","",SUMIF(Sales!$E:$E,$A298,Sales!$L:$L))</f>
        <v/>
      </c>
      <c r="G298" s="155" t="str">
        <f>IF($A298="","",SUMIF(Sales!$E:$E,$A298,Sales!$P:$P))</f>
        <v/>
      </c>
      <c r="H298" s="156" t="str">
        <f t="array" ref="H298">IF($A298="","",IFERROR(INDEX(Orders!$O$5:$O$1004,MATCH($A298,Orders!$N$5:$N$1004,0)),""))</f>
        <v/>
      </c>
      <c r="I298" s="156" t="str">
        <f t="array" ref="I298">IF($A298="","",IFERROR(INDEX(Orders!$P$5:$P$1004,MATCH($A298,Orders!$N$5:$N$1004,0)),""))</f>
        <v/>
      </c>
      <c r="J298" s="157" t="str">
        <f t="shared" si="1"/>
        <v/>
      </c>
      <c r="K298" s="153" t="str">
        <f t="array" ref="K298">IF($A298="","",IFERROR(INDEX(Sales!$M:$M,MATCH($A298,Sales!$E:$E,0)),""))</f>
        <v/>
      </c>
      <c r="L298" s="158" t="str">
        <f t="shared" si="2"/>
        <v/>
      </c>
      <c r="N298" s="49" t="str">
        <f t="array" ref="N298">IFERROR(INDEX(Sales!$E$7:$E$1506,MATCH(ROW()-4,Sales!$V$7:$V$1506,0)),"")</f>
        <v/>
      </c>
      <c r="O298" s="67"/>
      <c r="P298" s="67"/>
    </row>
    <row r="299" ht="15.75" customHeight="1">
      <c r="A299" s="151" t="str">
        <f t="array" ref="A299">IFERROR(INDEX(Sales!$E$7:$E$1506,MATCH(ROW()-4,Sales!$W$7:$W$1506,0)),"")</f>
        <v/>
      </c>
      <c r="B299" s="152" t="str">
        <f t="array" ref="B299">IF($A299="","",IFERROR(INDEX(Sales!$A:$A,MATCH($A299,Sales!$E:$E,0)),""))</f>
        <v/>
      </c>
      <c r="C299" s="153" t="str">
        <f t="array" ref="C299">IF($A299="","",IFERROR(INDEX(Sales!$D:$D,MATCH($A299,Sales!$E:$E,0)),""))</f>
        <v/>
      </c>
      <c r="D299" s="153" t="str">
        <f t="array" ref="D299">IF($A299="","",IFERROR(INDEX(Sales!$C:$C,MATCH($A299,Sales!$E:$E,0)),""))</f>
        <v/>
      </c>
      <c r="E299" s="154" t="str">
        <f>IF($A299="","",SUMIFS(Sales!$H:$H,Sales!$E:$E,$A299,Sales!$B:$B,"&lt;&gt;Return"))</f>
        <v/>
      </c>
      <c r="F299" s="155" t="str">
        <f>IF($A299="","",SUMIF(Sales!$E:$E,$A299,Sales!$L:$L))</f>
        <v/>
      </c>
      <c r="G299" s="155" t="str">
        <f>IF($A299="","",SUMIF(Sales!$E:$E,$A299,Sales!$P:$P))</f>
        <v/>
      </c>
      <c r="H299" s="156" t="str">
        <f t="array" ref="H299">IF($A299="","",IFERROR(INDEX(Orders!$O$5:$O$1004,MATCH($A299,Orders!$N$5:$N$1004,0)),""))</f>
        <v/>
      </c>
      <c r="I299" s="156" t="str">
        <f t="array" ref="I299">IF($A299="","",IFERROR(INDEX(Orders!$P$5:$P$1004,MATCH($A299,Orders!$N$5:$N$1004,0)),""))</f>
        <v/>
      </c>
      <c r="J299" s="157" t="str">
        <f t="shared" si="1"/>
        <v/>
      </c>
      <c r="K299" s="153" t="str">
        <f t="array" ref="K299">IF($A299="","",IFERROR(INDEX(Sales!$M:$M,MATCH($A299,Sales!$E:$E,0)),""))</f>
        <v/>
      </c>
      <c r="L299" s="158" t="str">
        <f t="shared" si="2"/>
        <v/>
      </c>
      <c r="N299" s="49" t="str">
        <f t="array" ref="N299">IFERROR(INDEX(Sales!$E$7:$E$1506,MATCH(ROW()-4,Sales!$V$7:$V$1506,0)),"")</f>
        <v/>
      </c>
      <c r="O299" s="67"/>
      <c r="P299" s="67"/>
    </row>
    <row r="300" ht="15.75" customHeight="1">
      <c r="A300" s="151" t="str">
        <f t="array" ref="A300">IFERROR(INDEX(Sales!$E$7:$E$1506,MATCH(ROW()-4,Sales!$W$7:$W$1506,0)),"")</f>
        <v/>
      </c>
      <c r="B300" s="152" t="str">
        <f t="array" ref="B300">IF($A300="","",IFERROR(INDEX(Sales!$A:$A,MATCH($A300,Sales!$E:$E,0)),""))</f>
        <v/>
      </c>
      <c r="C300" s="153" t="str">
        <f t="array" ref="C300">IF($A300="","",IFERROR(INDEX(Sales!$D:$D,MATCH($A300,Sales!$E:$E,0)),""))</f>
        <v/>
      </c>
      <c r="D300" s="153" t="str">
        <f t="array" ref="D300">IF($A300="","",IFERROR(INDEX(Sales!$C:$C,MATCH($A300,Sales!$E:$E,0)),""))</f>
        <v/>
      </c>
      <c r="E300" s="154" t="str">
        <f>IF($A300="","",SUMIFS(Sales!$H:$H,Sales!$E:$E,$A300,Sales!$B:$B,"&lt;&gt;Return"))</f>
        <v/>
      </c>
      <c r="F300" s="155" t="str">
        <f>IF($A300="","",SUMIF(Sales!$E:$E,$A300,Sales!$L:$L))</f>
        <v/>
      </c>
      <c r="G300" s="155" t="str">
        <f>IF($A300="","",SUMIF(Sales!$E:$E,$A300,Sales!$P:$P))</f>
        <v/>
      </c>
      <c r="H300" s="156" t="str">
        <f t="array" ref="H300">IF($A300="","",IFERROR(INDEX(Orders!$O$5:$O$1004,MATCH($A300,Orders!$N$5:$N$1004,0)),""))</f>
        <v/>
      </c>
      <c r="I300" s="156" t="str">
        <f t="array" ref="I300">IF($A300="","",IFERROR(INDEX(Orders!$P$5:$P$1004,MATCH($A300,Orders!$N$5:$N$1004,0)),""))</f>
        <v/>
      </c>
      <c r="J300" s="157" t="str">
        <f t="shared" si="1"/>
        <v/>
      </c>
      <c r="K300" s="153" t="str">
        <f t="array" ref="K300">IF($A300="","",IFERROR(INDEX(Sales!$M:$M,MATCH($A300,Sales!$E:$E,0)),""))</f>
        <v/>
      </c>
      <c r="L300" s="158" t="str">
        <f t="shared" si="2"/>
        <v/>
      </c>
      <c r="N300" s="49" t="str">
        <f t="array" ref="N300">IFERROR(INDEX(Sales!$E$7:$E$1506,MATCH(ROW()-4,Sales!$V$7:$V$1506,0)),"")</f>
        <v/>
      </c>
      <c r="O300" s="67"/>
      <c r="P300" s="67"/>
    </row>
    <row r="301" ht="15.75" customHeight="1">
      <c r="A301" s="151" t="str">
        <f t="array" ref="A301">IFERROR(INDEX(Sales!$E$7:$E$1506,MATCH(ROW()-4,Sales!$W$7:$W$1506,0)),"")</f>
        <v/>
      </c>
      <c r="B301" s="152" t="str">
        <f t="array" ref="B301">IF($A301="","",IFERROR(INDEX(Sales!$A:$A,MATCH($A301,Sales!$E:$E,0)),""))</f>
        <v/>
      </c>
      <c r="C301" s="153" t="str">
        <f t="array" ref="C301">IF($A301="","",IFERROR(INDEX(Sales!$D:$D,MATCH($A301,Sales!$E:$E,0)),""))</f>
        <v/>
      </c>
      <c r="D301" s="153" t="str">
        <f t="array" ref="D301">IF($A301="","",IFERROR(INDEX(Sales!$C:$C,MATCH($A301,Sales!$E:$E,0)),""))</f>
        <v/>
      </c>
      <c r="E301" s="154" t="str">
        <f>IF($A301="","",SUMIFS(Sales!$H:$H,Sales!$E:$E,$A301,Sales!$B:$B,"&lt;&gt;Return"))</f>
        <v/>
      </c>
      <c r="F301" s="155" t="str">
        <f>IF($A301="","",SUMIF(Sales!$E:$E,$A301,Sales!$L:$L))</f>
        <v/>
      </c>
      <c r="G301" s="155" t="str">
        <f>IF($A301="","",SUMIF(Sales!$E:$E,$A301,Sales!$P:$P))</f>
        <v/>
      </c>
      <c r="H301" s="156" t="str">
        <f t="array" ref="H301">IF($A301="","",IFERROR(INDEX(Orders!$O$5:$O$1004,MATCH($A301,Orders!$N$5:$N$1004,0)),""))</f>
        <v/>
      </c>
      <c r="I301" s="156" t="str">
        <f t="array" ref="I301">IF($A301="","",IFERROR(INDEX(Orders!$P$5:$P$1004,MATCH($A301,Orders!$N$5:$N$1004,0)),""))</f>
        <v/>
      </c>
      <c r="J301" s="157" t="str">
        <f t="shared" si="1"/>
        <v/>
      </c>
      <c r="K301" s="153" t="str">
        <f t="array" ref="K301">IF($A301="","",IFERROR(INDEX(Sales!$M:$M,MATCH($A301,Sales!$E:$E,0)),""))</f>
        <v/>
      </c>
      <c r="L301" s="158" t="str">
        <f t="shared" si="2"/>
        <v/>
      </c>
      <c r="N301" s="49" t="str">
        <f t="array" ref="N301">IFERROR(INDEX(Sales!$E$7:$E$1506,MATCH(ROW()-4,Sales!$V$7:$V$1506,0)),"")</f>
        <v/>
      </c>
      <c r="O301" s="67"/>
      <c r="P301" s="67"/>
    </row>
    <row r="302" ht="15.75" customHeight="1">
      <c r="A302" s="151" t="str">
        <f t="array" ref="A302">IFERROR(INDEX(Sales!$E$7:$E$1506,MATCH(ROW()-4,Sales!$W$7:$W$1506,0)),"")</f>
        <v/>
      </c>
      <c r="B302" s="152" t="str">
        <f t="array" ref="B302">IF($A302="","",IFERROR(INDEX(Sales!$A:$A,MATCH($A302,Sales!$E:$E,0)),""))</f>
        <v/>
      </c>
      <c r="C302" s="153" t="str">
        <f t="array" ref="C302">IF($A302="","",IFERROR(INDEX(Sales!$D:$D,MATCH($A302,Sales!$E:$E,0)),""))</f>
        <v/>
      </c>
      <c r="D302" s="153" t="str">
        <f t="array" ref="D302">IF($A302="","",IFERROR(INDEX(Sales!$C:$C,MATCH($A302,Sales!$E:$E,0)),""))</f>
        <v/>
      </c>
      <c r="E302" s="154" t="str">
        <f>IF($A302="","",SUMIFS(Sales!$H:$H,Sales!$E:$E,$A302,Sales!$B:$B,"&lt;&gt;Return"))</f>
        <v/>
      </c>
      <c r="F302" s="155" t="str">
        <f>IF($A302="","",SUMIF(Sales!$E:$E,$A302,Sales!$L:$L))</f>
        <v/>
      </c>
      <c r="G302" s="155" t="str">
        <f>IF($A302="","",SUMIF(Sales!$E:$E,$A302,Sales!$P:$P))</f>
        <v/>
      </c>
      <c r="H302" s="156" t="str">
        <f t="array" ref="H302">IF($A302="","",IFERROR(INDEX(Orders!$O$5:$O$1004,MATCH($A302,Orders!$N$5:$N$1004,0)),""))</f>
        <v/>
      </c>
      <c r="I302" s="156" t="str">
        <f t="array" ref="I302">IF($A302="","",IFERROR(INDEX(Orders!$P$5:$P$1004,MATCH($A302,Orders!$N$5:$N$1004,0)),""))</f>
        <v/>
      </c>
      <c r="J302" s="157" t="str">
        <f t="shared" si="1"/>
        <v/>
      </c>
      <c r="K302" s="153" t="str">
        <f t="array" ref="K302">IF($A302="","",IFERROR(INDEX(Sales!$M:$M,MATCH($A302,Sales!$E:$E,0)),""))</f>
        <v/>
      </c>
      <c r="L302" s="158" t="str">
        <f t="shared" si="2"/>
        <v/>
      </c>
      <c r="N302" s="49" t="str">
        <f t="array" ref="N302">IFERROR(INDEX(Sales!$E$7:$E$1506,MATCH(ROW()-4,Sales!$V$7:$V$1506,0)),"")</f>
        <v/>
      </c>
      <c r="O302" s="67"/>
      <c r="P302" s="67"/>
    </row>
    <row r="303" ht="15.75" customHeight="1">
      <c r="A303" s="151" t="str">
        <f t="array" ref="A303">IFERROR(INDEX(Sales!$E$7:$E$1506,MATCH(ROW()-4,Sales!$W$7:$W$1506,0)),"")</f>
        <v/>
      </c>
      <c r="B303" s="152" t="str">
        <f t="array" ref="B303">IF($A303="","",IFERROR(INDEX(Sales!$A:$A,MATCH($A303,Sales!$E:$E,0)),""))</f>
        <v/>
      </c>
      <c r="C303" s="153" t="str">
        <f t="array" ref="C303">IF($A303="","",IFERROR(INDEX(Sales!$D:$D,MATCH($A303,Sales!$E:$E,0)),""))</f>
        <v/>
      </c>
      <c r="D303" s="153" t="str">
        <f t="array" ref="D303">IF($A303="","",IFERROR(INDEX(Sales!$C:$C,MATCH($A303,Sales!$E:$E,0)),""))</f>
        <v/>
      </c>
      <c r="E303" s="154" t="str">
        <f>IF($A303="","",SUMIFS(Sales!$H:$H,Sales!$E:$E,$A303,Sales!$B:$B,"&lt;&gt;Return"))</f>
        <v/>
      </c>
      <c r="F303" s="155" t="str">
        <f>IF($A303="","",SUMIF(Sales!$E:$E,$A303,Sales!$L:$L))</f>
        <v/>
      </c>
      <c r="G303" s="155" t="str">
        <f>IF($A303="","",SUMIF(Sales!$E:$E,$A303,Sales!$P:$P))</f>
        <v/>
      </c>
      <c r="H303" s="156" t="str">
        <f t="array" ref="H303">IF($A303="","",IFERROR(INDEX(Orders!$O$5:$O$1004,MATCH($A303,Orders!$N$5:$N$1004,0)),""))</f>
        <v/>
      </c>
      <c r="I303" s="156" t="str">
        <f t="array" ref="I303">IF($A303="","",IFERROR(INDEX(Orders!$P$5:$P$1004,MATCH($A303,Orders!$N$5:$N$1004,0)),""))</f>
        <v/>
      </c>
      <c r="J303" s="157" t="str">
        <f t="shared" si="1"/>
        <v/>
      </c>
      <c r="K303" s="153" t="str">
        <f t="array" ref="K303">IF($A303="","",IFERROR(INDEX(Sales!$M:$M,MATCH($A303,Sales!$E:$E,0)),""))</f>
        <v/>
      </c>
      <c r="L303" s="158" t="str">
        <f t="shared" si="2"/>
        <v/>
      </c>
      <c r="N303" s="49" t="str">
        <f t="array" ref="N303">IFERROR(INDEX(Sales!$E$7:$E$1506,MATCH(ROW()-4,Sales!$V$7:$V$1506,0)),"")</f>
        <v/>
      </c>
      <c r="O303" s="67"/>
      <c r="P303" s="67"/>
    </row>
    <row r="304" ht="15.75" customHeight="1">
      <c r="A304" s="151" t="str">
        <f t="array" ref="A304">IFERROR(INDEX(Sales!$E$7:$E$1506,MATCH(ROW()-4,Sales!$W$7:$W$1506,0)),"")</f>
        <v/>
      </c>
      <c r="B304" s="152" t="str">
        <f t="array" ref="B304">IF($A304="","",IFERROR(INDEX(Sales!$A:$A,MATCH($A304,Sales!$E:$E,0)),""))</f>
        <v/>
      </c>
      <c r="C304" s="153" t="str">
        <f t="array" ref="C304">IF($A304="","",IFERROR(INDEX(Sales!$D:$D,MATCH($A304,Sales!$E:$E,0)),""))</f>
        <v/>
      </c>
      <c r="D304" s="153" t="str">
        <f t="array" ref="D304">IF($A304="","",IFERROR(INDEX(Sales!$C:$C,MATCH($A304,Sales!$E:$E,0)),""))</f>
        <v/>
      </c>
      <c r="E304" s="154" t="str">
        <f>IF($A304="","",SUMIFS(Sales!$H:$H,Sales!$E:$E,$A304,Sales!$B:$B,"&lt;&gt;Return"))</f>
        <v/>
      </c>
      <c r="F304" s="155" t="str">
        <f>IF($A304="","",SUMIF(Sales!$E:$E,$A304,Sales!$L:$L))</f>
        <v/>
      </c>
      <c r="G304" s="155" t="str">
        <f>IF($A304="","",SUMIF(Sales!$E:$E,$A304,Sales!$P:$P))</f>
        <v/>
      </c>
      <c r="H304" s="156" t="str">
        <f t="array" ref="H304">IF($A304="","",IFERROR(INDEX(Orders!$O$5:$O$1004,MATCH($A304,Orders!$N$5:$N$1004,0)),""))</f>
        <v/>
      </c>
      <c r="I304" s="156" t="str">
        <f t="array" ref="I304">IF($A304="","",IFERROR(INDEX(Orders!$P$5:$P$1004,MATCH($A304,Orders!$N$5:$N$1004,0)),""))</f>
        <v/>
      </c>
      <c r="J304" s="157" t="str">
        <f t="shared" si="1"/>
        <v/>
      </c>
      <c r="K304" s="153" t="str">
        <f t="array" ref="K304">IF($A304="","",IFERROR(INDEX(Sales!$M:$M,MATCH($A304,Sales!$E:$E,0)),""))</f>
        <v/>
      </c>
      <c r="L304" s="158" t="str">
        <f t="shared" si="2"/>
        <v/>
      </c>
      <c r="N304" s="49" t="str">
        <f t="array" ref="N304">IFERROR(INDEX(Sales!$E$7:$E$1506,MATCH(ROW()-4,Sales!$V$7:$V$1506,0)),"")</f>
        <v/>
      </c>
      <c r="O304" s="67"/>
      <c r="P304" s="67"/>
    </row>
    <row r="305" ht="15.75" customHeight="1">
      <c r="A305" s="151" t="str">
        <f t="array" ref="A305">IFERROR(INDEX(Sales!$E$7:$E$1506,MATCH(ROW()-4,Sales!$W$7:$W$1506,0)),"")</f>
        <v/>
      </c>
      <c r="B305" s="152" t="str">
        <f t="array" ref="B305">IF($A305="","",IFERROR(INDEX(Sales!$A:$A,MATCH($A305,Sales!$E:$E,0)),""))</f>
        <v/>
      </c>
      <c r="C305" s="153" t="str">
        <f t="array" ref="C305">IF($A305="","",IFERROR(INDEX(Sales!$D:$D,MATCH($A305,Sales!$E:$E,0)),""))</f>
        <v/>
      </c>
      <c r="D305" s="153" t="str">
        <f t="array" ref="D305">IF($A305="","",IFERROR(INDEX(Sales!$C:$C,MATCH($A305,Sales!$E:$E,0)),""))</f>
        <v/>
      </c>
      <c r="E305" s="154" t="str">
        <f>IF($A305="","",SUMIFS(Sales!$H:$H,Sales!$E:$E,$A305,Sales!$B:$B,"&lt;&gt;Return"))</f>
        <v/>
      </c>
      <c r="F305" s="155" t="str">
        <f>IF($A305="","",SUMIF(Sales!$E:$E,$A305,Sales!$L:$L))</f>
        <v/>
      </c>
      <c r="G305" s="155" t="str">
        <f>IF($A305="","",SUMIF(Sales!$E:$E,$A305,Sales!$P:$P))</f>
        <v/>
      </c>
      <c r="H305" s="156" t="str">
        <f t="array" ref="H305">IF($A305="","",IFERROR(INDEX(Orders!$O$5:$O$1004,MATCH($A305,Orders!$N$5:$N$1004,0)),""))</f>
        <v/>
      </c>
      <c r="I305" s="156" t="str">
        <f t="array" ref="I305">IF($A305="","",IFERROR(INDEX(Orders!$P$5:$P$1004,MATCH($A305,Orders!$N$5:$N$1004,0)),""))</f>
        <v/>
      </c>
      <c r="J305" s="157" t="str">
        <f t="shared" si="1"/>
        <v/>
      </c>
      <c r="K305" s="153" t="str">
        <f t="array" ref="K305">IF($A305="","",IFERROR(INDEX(Sales!$M:$M,MATCH($A305,Sales!$E:$E,0)),""))</f>
        <v/>
      </c>
      <c r="L305" s="158" t="str">
        <f t="shared" si="2"/>
        <v/>
      </c>
      <c r="N305" s="49" t="str">
        <f t="array" ref="N305">IFERROR(INDEX(Sales!$E$7:$E$1506,MATCH(ROW()-4,Sales!$V$7:$V$1506,0)),"")</f>
        <v/>
      </c>
      <c r="O305" s="67"/>
      <c r="P305" s="67"/>
    </row>
    <row r="306" ht="15.75" customHeight="1">
      <c r="A306" s="151" t="str">
        <f t="array" ref="A306">IFERROR(INDEX(Sales!$E$7:$E$1506,MATCH(ROW()-4,Sales!$W$7:$W$1506,0)),"")</f>
        <v/>
      </c>
      <c r="B306" s="152" t="str">
        <f t="array" ref="B306">IF($A306="","",IFERROR(INDEX(Sales!$A:$A,MATCH($A306,Sales!$E:$E,0)),""))</f>
        <v/>
      </c>
      <c r="C306" s="153" t="str">
        <f t="array" ref="C306">IF($A306="","",IFERROR(INDEX(Sales!$D:$D,MATCH($A306,Sales!$E:$E,0)),""))</f>
        <v/>
      </c>
      <c r="D306" s="153" t="str">
        <f t="array" ref="D306">IF($A306="","",IFERROR(INDEX(Sales!$C:$C,MATCH($A306,Sales!$E:$E,0)),""))</f>
        <v/>
      </c>
      <c r="E306" s="154" t="str">
        <f>IF($A306="","",SUMIFS(Sales!$H:$H,Sales!$E:$E,$A306,Sales!$B:$B,"&lt;&gt;Return"))</f>
        <v/>
      </c>
      <c r="F306" s="155" t="str">
        <f>IF($A306="","",SUMIF(Sales!$E:$E,$A306,Sales!$L:$L))</f>
        <v/>
      </c>
      <c r="G306" s="155" t="str">
        <f>IF($A306="","",SUMIF(Sales!$E:$E,$A306,Sales!$P:$P))</f>
        <v/>
      </c>
      <c r="H306" s="156" t="str">
        <f t="array" ref="H306">IF($A306="","",IFERROR(INDEX(Orders!$O$5:$O$1004,MATCH($A306,Orders!$N$5:$N$1004,0)),""))</f>
        <v/>
      </c>
      <c r="I306" s="156" t="str">
        <f t="array" ref="I306">IF($A306="","",IFERROR(INDEX(Orders!$P$5:$P$1004,MATCH($A306,Orders!$N$5:$N$1004,0)),""))</f>
        <v/>
      </c>
      <c r="J306" s="157" t="str">
        <f t="shared" si="1"/>
        <v/>
      </c>
      <c r="K306" s="153" t="str">
        <f t="array" ref="K306">IF($A306="","",IFERROR(INDEX(Sales!$M:$M,MATCH($A306,Sales!$E:$E,0)),""))</f>
        <v/>
      </c>
      <c r="L306" s="158" t="str">
        <f t="shared" si="2"/>
        <v/>
      </c>
      <c r="N306" s="49" t="str">
        <f t="array" ref="N306">IFERROR(INDEX(Sales!$E$7:$E$1506,MATCH(ROW()-4,Sales!$V$7:$V$1506,0)),"")</f>
        <v/>
      </c>
      <c r="O306" s="67"/>
      <c r="P306" s="67"/>
    </row>
    <row r="307" ht="15.75" customHeight="1">
      <c r="A307" s="151" t="str">
        <f t="array" ref="A307">IFERROR(INDEX(Sales!$E$7:$E$1506,MATCH(ROW()-4,Sales!$W$7:$W$1506,0)),"")</f>
        <v/>
      </c>
      <c r="B307" s="152" t="str">
        <f t="array" ref="B307">IF($A307="","",IFERROR(INDEX(Sales!$A:$A,MATCH($A307,Sales!$E:$E,0)),""))</f>
        <v/>
      </c>
      <c r="C307" s="153" t="str">
        <f t="array" ref="C307">IF($A307="","",IFERROR(INDEX(Sales!$D:$D,MATCH($A307,Sales!$E:$E,0)),""))</f>
        <v/>
      </c>
      <c r="D307" s="153" t="str">
        <f t="array" ref="D307">IF($A307="","",IFERROR(INDEX(Sales!$C:$C,MATCH($A307,Sales!$E:$E,0)),""))</f>
        <v/>
      </c>
      <c r="E307" s="154" t="str">
        <f>IF($A307="","",SUMIFS(Sales!$H:$H,Sales!$E:$E,$A307,Sales!$B:$B,"&lt;&gt;Return"))</f>
        <v/>
      </c>
      <c r="F307" s="155" t="str">
        <f>IF($A307="","",SUMIF(Sales!$E:$E,$A307,Sales!$L:$L))</f>
        <v/>
      </c>
      <c r="G307" s="155" t="str">
        <f>IF($A307="","",SUMIF(Sales!$E:$E,$A307,Sales!$P:$P))</f>
        <v/>
      </c>
      <c r="H307" s="156" t="str">
        <f t="array" ref="H307">IF($A307="","",IFERROR(INDEX(Orders!$O$5:$O$1004,MATCH($A307,Orders!$N$5:$N$1004,0)),""))</f>
        <v/>
      </c>
      <c r="I307" s="156" t="str">
        <f t="array" ref="I307">IF($A307="","",IFERROR(INDEX(Orders!$P$5:$P$1004,MATCH($A307,Orders!$N$5:$N$1004,0)),""))</f>
        <v/>
      </c>
      <c r="J307" s="157" t="str">
        <f t="shared" si="1"/>
        <v/>
      </c>
      <c r="K307" s="153" t="str">
        <f t="array" ref="K307">IF($A307="","",IFERROR(INDEX(Sales!$M:$M,MATCH($A307,Sales!$E:$E,0)),""))</f>
        <v/>
      </c>
      <c r="L307" s="158" t="str">
        <f t="shared" si="2"/>
        <v/>
      </c>
      <c r="N307" s="49" t="str">
        <f t="array" ref="N307">IFERROR(INDEX(Sales!$E$7:$E$1506,MATCH(ROW()-4,Sales!$V$7:$V$1506,0)),"")</f>
        <v/>
      </c>
      <c r="O307" s="67"/>
      <c r="P307" s="67"/>
    </row>
    <row r="308" ht="15.75" customHeight="1">
      <c r="A308" s="151" t="str">
        <f t="array" ref="A308">IFERROR(INDEX(Sales!$E$7:$E$1506,MATCH(ROW()-4,Sales!$W$7:$W$1506,0)),"")</f>
        <v/>
      </c>
      <c r="B308" s="152" t="str">
        <f t="array" ref="B308">IF($A308="","",IFERROR(INDEX(Sales!$A:$A,MATCH($A308,Sales!$E:$E,0)),""))</f>
        <v/>
      </c>
      <c r="C308" s="153" t="str">
        <f t="array" ref="C308">IF($A308="","",IFERROR(INDEX(Sales!$D:$D,MATCH($A308,Sales!$E:$E,0)),""))</f>
        <v/>
      </c>
      <c r="D308" s="153" t="str">
        <f t="array" ref="D308">IF($A308="","",IFERROR(INDEX(Sales!$C:$C,MATCH($A308,Sales!$E:$E,0)),""))</f>
        <v/>
      </c>
      <c r="E308" s="154" t="str">
        <f>IF($A308="","",SUMIFS(Sales!$H:$H,Sales!$E:$E,$A308,Sales!$B:$B,"&lt;&gt;Return"))</f>
        <v/>
      </c>
      <c r="F308" s="155" t="str">
        <f>IF($A308="","",SUMIF(Sales!$E:$E,$A308,Sales!$L:$L))</f>
        <v/>
      </c>
      <c r="G308" s="155" t="str">
        <f>IF($A308="","",SUMIF(Sales!$E:$E,$A308,Sales!$P:$P))</f>
        <v/>
      </c>
      <c r="H308" s="156" t="str">
        <f t="array" ref="H308">IF($A308="","",IFERROR(INDEX(Orders!$O$5:$O$1004,MATCH($A308,Orders!$N$5:$N$1004,0)),""))</f>
        <v/>
      </c>
      <c r="I308" s="156" t="str">
        <f t="array" ref="I308">IF($A308="","",IFERROR(INDEX(Orders!$P$5:$P$1004,MATCH($A308,Orders!$N$5:$N$1004,0)),""))</f>
        <v/>
      </c>
      <c r="J308" s="157" t="str">
        <f t="shared" si="1"/>
        <v/>
      </c>
      <c r="K308" s="153" t="str">
        <f t="array" ref="K308">IF($A308="","",IFERROR(INDEX(Sales!$M:$M,MATCH($A308,Sales!$E:$E,0)),""))</f>
        <v/>
      </c>
      <c r="L308" s="158" t="str">
        <f t="shared" si="2"/>
        <v/>
      </c>
      <c r="N308" s="49" t="str">
        <f t="array" ref="N308">IFERROR(INDEX(Sales!$E$7:$E$1506,MATCH(ROW()-4,Sales!$V$7:$V$1506,0)),"")</f>
        <v/>
      </c>
      <c r="O308" s="67"/>
      <c r="P308" s="67"/>
    </row>
    <row r="309" ht="15.75" customHeight="1">
      <c r="A309" s="151" t="str">
        <f t="array" ref="A309">IFERROR(INDEX(Sales!$E$7:$E$1506,MATCH(ROW()-4,Sales!$W$7:$W$1506,0)),"")</f>
        <v/>
      </c>
      <c r="B309" s="152" t="str">
        <f t="array" ref="B309">IF($A309="","",IFERROR(INDEX(Sales!$A:$A,MATCH($A309,Sales!$E:$E,0)),""))</f>
        <v/>
      </c>
      <c r="C309" s="153" t="str">
        <f t="array" ref="C309">IF($A309="","",IFERROR(INDEX(Sales!$D:$D,MATCH($A309,Sales!$E:$E,0)),""))</f>
        <v/>
      </c>
      <c r="D309" s="153" t="str">
        <f t="array" ref="D309">IF($A309="","",IFERROR(INDEX(Sales!$C:$C,MATCH($A309,Sales!$E:$E,0)),""))</f>
        <v/>
      </c>
      <c r="E309" s="154" t="str">
        <f>IF($A309="","",SUMIFS(Sales!$H:$H,Sales!$E:$E,$A309,Sales!$B:$B,"&lt;&gt;Return"))</f>
        <v/>
      </c>
      <c r="F309" s="155" t="str">
        <f>IF($A309="","",SUMIF(Sales!$E:$E,$A309,Sales!$L:$L))</f>
        <v/>
      </c>
      <c r="G309" s="155" t="str">
        <f>IF($A309="","",SUMIF(Sales!$E:$E,$A309,Sales!$P:$P))</f>
        <v/>
      </c>
      <c r="H309" s="156" t="str">
        <f t="array" ref="H309">IF($A309="","",IFERROR(INDEX(Orders!$O$5:$O$1004,MATCH($A309,Orders!$N$5:$N$1004,0)),""))</f>
        <v/>
      </c>
      <c r="I309" s="156" t="str">
        <f t="array" ref="I309">IF($A309="","",IFERROR(INDEX(Orders!$P$5:$P$1004,MATCH($A309,Orders!$N$5:$N$1004,0)),""))</f>
        <v/>
      </c>
      <c r="J309" s="157" t="str">
        <f t="shared" si="1"/>
        <v/>
      </c>
      <c r="K309" s="153" t="str">
        <f t="array" ref="K309">IF($A309="","",IFERROR(INDEX(Sales!$M:$M,MATCH($A309,Sales!$E:$E,0)),""))</f>
        <v/>
      </c>
      <c r="L309" s="158" t="str">
        <f t="shared" si="2"/>
        <v/>
      </c>
      <c r="N309" s="49" t="str">
        <f t="array" ref="N309">IFERROR(INDEX(Sales!$E$7:$E$1506,MATCH(ROW()-4,Sales!$V$7:$V$1506,0)),"")</f>
        <v/>
      </c>
      <c r="O309" s="67"/>
      <c r="P309" s="67"/>
    </row>
    <row r="310" ht="15.75" customHeight="1">
      <c r="A310" s="151" t="str">
        <f t="array" ref="A310">IFERROR(INDEX(Sales!$E$7:$E$1506,MATCH(ROW()-4,Sales!$W$7:$W$1506,0)),"")</f>
        <v/>
      </c>
      <c r="B310" s="152" t="str">
        <f t="array" ref="B310">IF($A310="","",IFERROR(INDEX(Sales!$A:$A,MATCH($A310,Sales!$E:$E,0)),""))</f>
        <v/>
      </c>
      <c r="C310" s="153" t="str">
        <f t="array" ref="C310">IF($A310="","",IFERROR(INDEX(Sales!$D:$D,MATCH($A310,Sales!$E:$E,0)),""))</f>
        <v/>
      </c>
      <c r="D310" s="153" t="str">
        <f t="array" ref="D310">IF($A310="","",IFERROR(INDEX(Sales!$C:$C,MATCH($A310,Sales!$E:$E,0)),""))</f>
        <v/>
      </c>
      <c r="E310" s="154" t="str">
        <f>IF($A310="","",SUMIFS(Sales!$H:$H,Sales!$E:$E,$A310,Sales!$B:$B,"&lt;&gt;Return"))</f>
        <v/>
      </c>
      <c r="F310" s="155" t="str">
        <f>IF($A310="","",SUMIF(Sales!$E:$E,$A310,Sales!$L:$L))</f>
        <v/>
      </c>
      <c r="G310" s="155" t="str">
        <f>IF($A310="","",SUMIF(Sales!$E:$E,$A310,Sales!$P:$P))</f>
        <v/>
      </c>
      <c r="H310" s="156" t="str">
        <f t="array" ref="H310">IF($A310="","",IFERROR(INDEX(Orders!$O$5:$O$1004,MATCH($A310,Orders!$N$5:$N$1004,0)),""))</f>
        <v/>
      </c>
      <c r="I310" s="156" t="str">
        <f t="array" ref="I310">IF($A310="","",IFERROR(INDEX(Orders!$P$5:$P$1004,MATCH($A310,Orders!$N$5:$N$1004,0)),""))</f>
        <v/>
      </c>
      <c r="J310" s="157" t="str">
        <f t="shared" si="1"/>
        <v/>
      </c>
      <c r="K310" s="153" t="str">
        <f t="array" ref="K310">IF($A310="","",IFERROR(INDEX(Sales!$M:$M,MATCH($A310,Sales!$E:$E,0)),""))</f>
        <v/>
      </c>
      <c r="L310" s="158" t="str">
        <f t="shared" si="2"/>
        <v/>
      </c>
      <c r="N310" s="49" t="str">
        <f t="array" ref="N310">IFERROR(INDEX(Sales!$E$7:$E$1506,MATCH(ROW()-4,Sales!$V$7:$V$1506,0)),"")</f>
        <v/>
      </c>
      <c r="O310" s="67"/>
      <c r="P310" s="67"/>
    </row>
    <row r="311" ht="15.75" customHeight="1">
      <c r="A311" s="151" t="str">
        <f t="array" ref="A311">IFERROR(INDEX(Sales!$E$7:$E$1506,MATCH(ROW()-4,Sales!$W$7:$W$1506,0)),"")</f>
        <v/>
      </c>
      <c r="B311" s="152" t="str">
        <f t="array" ref="B311">IF($A311="","",IFERROR(INDEX(Sales!$A:$A,MATCH($A311,Sales!$E:$E,0)),""))</f>
        <v/>
      </c>
      <c r="C311" s="153" t="str">
        <f t="array" ref="C311">IF($A311="","",IFERROR(INDEX(Sales!$D:$D,MATCH($A311,Sales!$E:$E,0)),""))</f>
        <v/>
      </c>
      <c r="D311" s="153" t="str">
        <f t="array" ref="D311">IF($A311="","",IFERROR(INDEX(Sales!$C:$C,MATCH($A311,Sales!$E:$E,0)),""))</f>
        <v/>
      </c>
      <c r="E311" s="154" t="str">
        <f>IF($A311="","",SUMIFS(Sales!$H:$H,Sales!$E:$E,$A311,Sales!$B:$B,"&lt;&gt;Return"))</f>
        <v/>
      </c>
      <c r="F311" s="155" t="str">
        <f>IF($A311="","",SUMIF(Sales!$E:$E,$A311,Sales!$L:$L))</f>
        <v/>
      </c>
      <c r="G311" s="155" t="str">
        <f>IF($A311="","",SUMIF(Sales!$E:$E,$A311,Sales!$P:$P))</f>
        <v/>
      </c>
      <c r="H311" s="156" t="str">
        <f t="array" ref="H311">IF($A311="","",IFERROR(INDEX(Orders!$O$5:$O$1004,MATCH($A311,Orders!$N$5:$N$1004,0)),""))</f>
        <v/>
      </c>
      <c r="I311" s="156" t="str">
        <f t="array" ref="I311">IF($A311="","",IFERROR(INDEX(Orders!$P$5:$P$1004,MATCH($A311,Orders!$N$5:$N$1004,0)),""))</f>
        <v/>
      </c>
      <c r="J311" s="157" t="str">
        <f t="shared" si="1"/>
        <v/>
      </c>
      <c r="K311" s="153" t="str">
        <f t="array" ref="K311">IF($A311="","",IFERROR(INDEX(Sales!$M:$M,MATCH($A311,Sales!$E:$E,0)),""))</f>
        <v/>
      </c>
      <c r="L311" s="158" t="str">
        <f t="shared" si="2"/>
        <v/>
      </c>
      <c r="N311" s="49" t="str">
        <f t="array" ref="N311">IFERROR(INDEX(Sales!$E$7:$E$1506,MATCH(ROW()-4,Sales!$V$7:$V$1506,0)),"")</f>
        <v/>
      </c>
      <c r="O311" s="67"/>
      <c r="P311" s="67"/>
    </row>
    <row r="312" ht="15.75" customHeight="1">
      <c r="A312" s="151" t="str">
        <f t="array" ref="A312">IFERROR(INDEX(Sales!$E$7:$E$1506,MATCH(ROW()-4,Sales!$W$7:$W$1506,0)),"")</f>
        <v/>
      </c>
      <c r="B312" s="152" t="str">
        <f t="array" ref="B312">IF($A312="","",IFERROR(INDEX(Sales!$A:$A,MATCH($A312,Sales!$E:$E,0)),""))</f>
        <v/>
      </c>
      <c r="C312" s="153" t="str">
        <f t="array" ref="C312">IF($A312="","",IFERROR(INDEX(Sales!$D:$D,MATCH($A312,Sales!$E:$E,0)),""))</f>
        <v/>
      </c>
      <c r="D312" s="153" t="str">
        <f t="array" ref="D312">IF($A312="","",IFERROR(INDEX(Sales!$C:$C,MATCH($A312,Sales!$E:$E,0)),""))</f>
        <v/>
      </c>
      <c r="E312" s="154" t="str">
        <f>IF($A312="","",SUMIFS(Sales!$H:$H,Sales!$E:$E,$A312,Sales!$B:$B,"&lt;&gt;Return"))</f>
        <v/>
      </c>
      <c r="F312" s="155" t="str">
        <f>IF($A312="","",SUMIF(Sales!$E:$E,$A312,Sales!$L:$L))</f>
        <v/>
      </c>
      <c r="G312" s="155" t="str">
        <f>IF($A312="","",SUMIF(Sales!$E:$E,$A312,Sales!$P:$P))</f>
        <v/>
      </c>
      <c r="H312" s="156" t="str">
        <f t="array" ref="H312">IF($A312="","",IFERROR(INDEX(Orders!$O$5:$O$1004,MATCH($A312,Orders!$N$5:$N$1004,0)),""))</f>
        <v/>
      </c>
      <c r="I312" s="156" t="str">
        <f t="array" ref="I312">IF($A312="","",IFERROR(INDEX(Orders!$P$5:$P$1004,MATCH($A312,Orders!$N$5:$N$1004,0)),""))</f>
        <v/>
      </c>
      <c r="J312" s="157" t="str">
        <f t="shared" si="1"/>
        <v/>
      </c>
      <c r="K312" s="153" t="str">
        <f t="array" ref="K312">IF($A312="","",IFERROR(INDEX(Sales!$M:$M,MATCH($A312,Sales!$E:$E,0)),""))</f>
        <v/>
      </c>
      <c r="L312" s="158" t="str">
        <f t="shared" si="2"/>
        <v/>
      </c>
      <c r="N312" s="49" t="str">
        <f t="array" ref="N312">IFERROR(INDEX(Sales!$E$7:$E$1506,MATCH(ROW()-4,Sales!$V$7:$V$1506,0)),"")</f>
        <v/>
      </c>
      <c r="O312" s="67"/>
      <c r="P312" s="67"/>
    </row>
    <row r="313" ht="15.75" customHeight="1">
      <c r="A313" s="151" t="str">
        <f t="array" ref="A313">IFERROR(INDEX(Sales!$E$7:$E$1506,MATCH(ROW()-4,Sales!$W$7:$W$1506,0)),"")</f>
        <v/>
      </c>
      <c r="B313" s="152" t="str">
        <f t="array" ref="B313">IF($A313="","",IFERROR(INDEX(Sales!$A:$A,MATCH($A313,Sales!$E:$E,0)),""))</f>
        <v/>
      </c>
      <c r="C313" s="153" t="str">
        <f t="array" ref="C313">IF($A313="","",IFERROR(INDEX(Sales!$D:$D,MATCH($A313,Sales!$E:$E,0)),""))</f>
        <v/>
      </c>
      <c r="D313" s="153" t="str">
        <f t="array" ref="D313">IF($A313="","",IFERROR(INDEX(Sales!$C:$C,MATCH($A313,Sales!$E:$E,0)),""))</f>
        <v/>
      </c>
      <c r="E313" s="154" t="str">
        <f>IF($A313="","",SUMIFS(Sales!$H:$H,Sales!$E:$E,$A313,Sales!$B:$B,"&lt;&gt;Return"))</f>
        <v/>
      </c>
      <c r="F313" s="155" t="str">
        <f>IF($A313="","",SUMIF(Sales!$E:$E,$A313,Sales!$L:$L))</f>
        <v/>
      </c>
      <c r="G313" s="155" t="str">
        <f>IF($A313="","",SUMIF(Sales!$E:$E,$A313,Sales!$P:$P))</f>
        <v/>
      </c>
      <c r="H313" s="156" t="str">
        <f t="array" ref="H313">IF($A313="","",IFERROR(INDEX(Orders!$O$5:$O$1004,MATCH($A313,Orders!$N$5:$N$1004,0)),""))</f>
        <v/>
      </c>
      <c r="I313" s="156" t="str">
        <f t="array" ref="I313">IF($A313="","",IFERROR(INDEX(Orders!$P$5:$P$1004,MATCH($A313,Orders!$N$5:$N$1004,0)),""))</f>
        <v/>
      </c>
      <c r="J313" s="157" t="str">
        <f t="shared" si="1"/>
        <v/>
      </c>
      <c r="K313" s="153" t="str">
        <f t="array" ref="K313">IF($A313="","",IFERROR(INDEX(Sales!$M:$M,MATCH($A313,Sales!$E:$E,0)),""))</f>
        <v/>
      </c>
      <c r="L313" s="158" t="str">
        <f t="shared" si="2"/>
        <v/>
      </c>
      <c r="N313" s="49" t="str">
        <f t="array" ref="N313">IFERROR(INDEX(Sales!$E$7:$E$1506,MATCH(ROW()-4,Sales!$V$7:$V$1506,0)),"")</f>
        <v/>
      </c>
      <c r="O313" s="67"/>
      <c r="P313" s="67"/>
    </row>
    <row r="314" ht="15.75" customHeight="1">
      <c r="A314" s="151" t="str">
        <f t="array" ref="A314">IFERROR(INDEX(Sales!$E$7:$E$1506,MATCH(ROW()-4,Sales!$W$7:$W$1506,0)),"")</f>
        <v/>
      </c>
      <c r="B314" s="152" t="str">
        <f t="array" ref="B314">IF($A314="","",IFERROR(INDEX(Sales!$A:$A,MATCH($A314,Sales!$E:$E,0)),""))</f>
        <v/>
      </c>
      <c r="C314" s="153" t="str">
        <f t="array" ref="C314">IF($A314="","",IFERROR(INDEX(Sales!$D:$D,MATCH($A314,Sales!$E:$E,0)),""))</f>
        <v/>
      </c>
      <c r="D314" s="153" t="str">
        <f t="array" ref="D314">IF($A314="","",IFERROR(INDEX(Sales!$C:$C,MATCH($A314,Sales!$E:$E,0)),""))</f>
        <v/>
      </c>
      <c r="E314" s="154" t="str">
        <f>IF($A314="","",SUMIFS(Sales!$H:$H,Sales!$E:$E,$A314,Sales!$B:$B,"&lt;&gt;Return"))</f>
        <v/>
      </c>
      <c r="F314" s="155" t="str">
        <f>IF($A314="","",SUMIF(Sales!$E:$E,$A314,Sales!$L:$L))</f>
        <v/>
      </c>
      <c r="G314" s="155" t="str">
        <f>IF($A314="","",SUMIF(Sales!$E:$E,$A314,Sales!$P:$P))</f>
        <v/>
      </c>
      <c r="H314" s="156" t="str">
        <f t="array" ref="H314">IF($A314="","",IFERROR(INDEX(Orders!$O$5:$O$1004,MATCH($A314,Orders!$N$5:$N$1004,0)),""))</f>
        <v/>
      </c>
      <c r="I314" s="156" t="str">
        <f t="array" ref="I314">IF($A314="","",IFERROR(INDEX(Orders!$P$5:$P$1004,MATCH($A314,Orders!$N$5:$N$1004,0)),""))</f>
        <v/>
      </c>
      <c r="J314" s="157" t="str">
        <f t="shared" si="1"/>
        <v/>
      </c>
      <c r="K314" s="153" t="str">
        <f t="array" ref="K314">IF($A314="","",IFERROR(INDEX(Sales!$M:$M,MATCH($A314,Sales!$E:$E,0)),""))</f>
        <v/>
      </c>
      <c r="L314" s="158" t="str">
        <f t="shared" si="2"/>
        <v/>
      </c>
      <c r="N314" s="49" t="str">
        <f t="array" ref="N314">IFERROR(INDEX(Sales!$E$7:$E$1506,MATCH(ROW()-4,Sales!$V$7:$V$1506,0)),"")</f>
        <v/>
      </c>
      <c r="O314" s="67"/>
      <c r="P314" s="67"/>
    </row>
    <row r="315" ht="15.75" customHeight="1">
      <c r="A315" s="151" t="str">
        <f t="array" ref="A315">IFERROR(INDEX(Sales!$E$7:$E$1506,MATCH(ROW()-4,Sales!$W$7:$W$1506,0)),"")</f>
        <v/>
      </c>
      <c r="B315" s="152" t="str">
        <f t="array" ref="B315">IF($A315="","",IFERROR(INDEX(Sales!$A:$A,MATCH($A315,Sales!$E:$E,0)),""))</f>
        <v/>
      </c>
      <c r="C315" s="153" t="str">
        <f t="array" ref="C315">IF($A315="","",IFERROR(INDEX(Sales!$D:$D,MATCH($A315,Sales!$E:$E,0)),""))</f>
        <v/>
      </c>
      <c r="D315" s="153" t="str">
        <f t="array" ref="D315">IF($A315="","",IFERROR(INDEX(Sales!$C:$C,MATCH($A315,Sales!$E:$E,0)),""))</f>
        <v/>
      </c>
      <c r="E315" s="154" t="str">
        <f>IF($A315="","",SUMIFS(Sales!$H:$H,Sales!$E:$E,$A315,Sales!$B:$B,"&lt;&gt;Return"))</f>
        <v/>
      </c>
      <c r="F315" s="155" t="str">
        <f>IF($A315="","",SUMIF(Sales!$E:$E,$A315,Sales!$L:$L))</f>
        <v/>
      </c>
      <c r="G315" s="155" t="str">
        <f>IF($A315="","",SUMIF(Sales!$E:$E,$A315,Sales!$P:$P))</f>
        <v/>
      </c>
      <c r="H315" s="156" t="str">
        <f t="array" ref="H315">IF($A315="","",IFERROR(INDEX(Orders!$O$5:$O$1004,MATCH($A315,Orders!$N$5:$N$1004,0)),""))</f>
        <v/>
      </c>
      <c r="I315" s="156" t="str">
        <f t="array" ref="I315">IF($A315="","",IFERROR(INDEX(Orders!$P$5:$P$1004,MATCH($A315,Orders!$N$5:$N$1004,0)),""))</f>
        <v/>
      </c>
      <c r="J315" s="157" t="str">
        <f t="shared" si="1"/>
        <v/>
      </c>
      <c r="K315" s="153" t="str">
        <f t="array" ref="K315">IF($A315="","",IFERROR(INDEX(Sales!$M:$M,MATCH($A315,Sales!$E:$E,0)),""))</f>
        <v/>
      </c>
      <c r="L315" s="158" t="str">
        <f t="shared" si="2"/>
        <v/>
      </c>
      <c r="N315" s="49" t="str">
        <f t="array" ref="N315">IFERROR(INDEX(Sales!$E$7:$E$1506,MATCH(ROW()-4,Sales!$V$7:$V$1506,0)),"")</f>
        <v/>
      </c>
      <c r="O315" s="67"/>
      <c r="P315" s="67"/>
    </row>
    <row r="316" ht="15.75" customHeight="1">
      <c r="A316" s="151" t="str">
        <f t="array" ref="A316">IFERROR(INDEX(Sales!$E$7:$E$1506,MATCH(ROW()-4,Sales!$W$7:$W$1506,0)),"")</f>
        <v/>
      </c>
      <c r="B316" s="152" t="str">
        <f t="array" ref="B316">IF($A316="","",IFERROR(INDEX(Sales!$A:$A,MATCH($A316,Sales!$E:$E,0)),""))</f>
        <v/>
      </c>
      <c r="C316" s="153" t="str">
        <f t="array" ref="C316">IF($A316="","",IFERROR(INDEX(Sales!$D:$D,MATCH($A316,Sales!$E:$E,0)),""))</f>
        <v/>
      </c>
      <c r="D316" s="153" t="str">
        <f t="array" ref="D316">IF($A316="","",IFERROR(INDEX(Sales!$C:$C,MATCH($A316,Sales!$E:$E,0)),""))</f>
        <v/>
      </c>
      <c r="E316" s="154" t="str">
        <f>IF($A316="","",SUMIFS(Sales!$H:$H,Sales!$E:$E,$A316,Sales!$B:$B,"&lt;&gt;Return"))</f>
        <v/>
      </c>
      <c r="F316" s="155" t="str">
        <f>IF($A316="","",SUMIF(Sales!$E:$E,$A316,Sales!$L:$L))</f>
        <v/>
      </c>
      <c r="G316" s="155" t="str">
        <f>IF($A316="","",SUMIF(Sales!$E:$E,$A316,Sales!$P:$P))</f>
        <v/>
      </c>
      <c r="H316" s="156" t="str">
        <f t="array" ref="H316">IF($A316="","",IFERROR(INDEX(Orders!$O$5:$O$1004,MATCH($A316,Orders!$N$5:$N$1004,0)),""))</f>
        <v/>
      </c>
      <c r="I316" s="156" t="str">
        <f t="array" ref="I316">IF($A316="","",IFERROR(INDEX(Orders!$P$5:$P$1004,MATCH($A316,Orders!$N$5:$N$1004,0)),""))</f>
        <v/>
      </c>
      <c r="J316" s="157" t="str">
        <f t="shared" si="1"/>
        <v/>
      </c>
      <c r="K316" s="153" t="str">
        <f t="array" ref="K316">IF($A316="","",IFERROR(INDEX(Sales!$M:$M,MATCH($A316,Sales!$E:$E,0)),""))</f>
        <v/>
      </c>
      <c r="L316" s="158" t="str">
        <f t="shared" si="2"/>
        <v/>
      </c>
      <c r="N316" s="49" t="str">
        <f t="array" ref="N316">IFERROR(INDEX(Sales!$E$7:$E$1506,MATCH(ROW()-4,Sales!$V$7:$V$1506,0)),"")</f>
        <v/>
      </c>
      <c r="O316" s="67"/>
      <c r="P316" s="67"/>
    </row>
    <row r="317" ht="15.75" customHeight="1">
      <c r="A317" s="151" t="str">
        <f t="array" ref="A317">IFERROR(INDEX(Sales!$E$7:$E$1506,MATCH(ROW()-4,Sales!$W$7:$W$1506,0)),"")</f>
        <v/>
      </c>
      <c r="B317" s="152" t="str">
        <f t="array" ref="B317">IF($A317="","",IFERROR(INDEX(Sales!$A:$A,MATCH($A317,Sales!$E:$E,0)),""))</f>
        <v/>
      </c>
      <c r="C317" s="153" t="str">
        <f t="array" ref="C317">IF($A317="","",IFERROR(INDEX(Sales!$D:$D,MATCH($A317,Sales!$E:$E,0)),""))</f>
        <v/>
      </c>
      <c r="D317" s="153" t="str">
        <f t="array" ref="D317">IF($A317="","",IFERROR(INDEX(Sales!$C:$C,MATCH($A317,Sales!$E:$E,0)),""))</f>
        <v/>
      </c>
      <c r="E317" s="154" t="str">
        <f>IF($A317="","",SUMIFS(Sales!$H:$H,Sales!$E:$E,$A317,Sales!$B:$B,"&lt;&gt;Return"))</f>
        <v/>
      </c>
      <c r="F317" s="155" t="str">
        <f>IF($A317="","",SUMIF(Sales!$E:$E,$A317,Sales!$L:$L))</f>
        <v/>
      </c>
      <c r="G317" s="155" t="str">
        <f>IF($A317="","",SUMIF(Sales!$E:$E,$A317,Sales!$P:$P))</f>
        <v/>
      </c>
      <c r="H317" s="156" t="str">
        <f t="array" ref="H317">IF($A317="","",IFERROR(INDEX(Orders!$O$5:$O$1004,MATCH($A317,Orders!$N$5:$N$1004,0)),""))</f>
        <v/>
      </c>
      <c r="I317" s="156" t="str">
        <f t="array" ref="I317">IF($A317="","",IFERROR(INDEX(Orders!$P$5:$P$1004,MATCH($A317,Orders!$N$5:$N$1004,0)),""))</f>
        <v/>
      </c>
      <c r="J317" s="157" t="str">
        <f t="shared" si="1"/>
        <v/>
      </c>
      <c r="K317" s="153" t="str">
        <f t="array" ref="K317">IF($A317="","",IFERROR(INDEX(Sales!$M:$M,MATCH($A317,Sales!$E:$E,0)),""))</f>
        <v/>
      </c>
      <c r="L317" s="158" t="str">
        <f t="shared" si="2"/>
        <v/>
      </c>
      <c r="N317" s="49" t="str">
        <f t="array" ref="N317">IFERROR(INDEX(Sales!$E$7:$E$1506,MATCH(ROW()-4,Sales!$V$7:$V$1506,0)),"")</f>
        <v/>
      </c>
      <c r="O317" s="67"/>
      <c r="P317" s="67"/>
    </row>
    <row r="318" ht="15.75" customHeight="1">
      <c r="A318" s="151" t="str">
        <f t="array" ref="A318">IFERROR(INDEX(Sales!$E$7:$E$1506,MATCH(ROW()-4,Sales!$W$7:$W$1506,0)),"")</f>
        <v/>
      </c>
      <c r="B318" s="152" t="str">
        <f t="array" ref="B318">IF($A318="","",IFERROR(INDEX(Sales!$A:$A,MATCH($A318,Sales!$E:$E,0)),""))</f>
        <v/>
      </c>
      <c r="C318" s="153" t="str">
        <f t="array" ref="C318">IF($A318="","",IFERROR(INDEX(Sales!$D:$D,MATCH($A318,Sales!$E:$E,0)),""))</f>
        <v/>
      </c>
      <c r="D318" s="153" t="str">
        <f t="array" ref="D318">IF($A318="","",IFERROR(INDEX(Sales!$C:$C,MATCH($A318,Sales!$E:$E,0)),""))</f>
        <v/>
      </c>
      <c r="E318" s="154" t="str">
        <f>IF($A318="","",SUMIFS(Sales!$H:$H,Sales!$E:$E,$A318,Sales!$B:$B,"&lt;&gt;Return"))</f>
        <v/>
      </c>
      <c r="F318" s="155" t="str">
        <f>IF($A318="","",SUMIF(Sales!$E:$E,$A318,Sales!$L:$L))</f>
        <v/>
      </c>
      <c r="G318" s="155" t="str">
        <f>IF($A318="","",SUMIF(Sales!$E:$E,$A318,Sales!$P:$P))</f>
        <v/>
      </c>
      <c r="H318" s="156" t="str">
        <f t="array" ref="H318">IF($A318="","",IFERROR(INDEX(Orders!$O$5:$O$1004,MATCH($A318,Orders!$N$5:$N$1004,0)),""))</f>
        <v/>
      </c>
      <c r="I318" s="156" t="str">
        <f t="array" ref="I318">IF($A318="","",IFERROR(INDEX(Orders!$P$5:$P$1004,MATCH($A318,Orders!$N$5:$N$1004,0)),""))</f>
        <v/>
      </c>
      <c r="J318" s="157" t="str">
        <f t="shared" si="1"/>
        <v/>
      </c>
      <c r="K318" s="153" t="str">
        <f t="array" ref="K318">IF($A318="","",IFERROR(INDEX(Sales!$M:$M,MATCH($A318,Sales!$E:$E,0)),""))</f>
        <v/>
      </c>
      <c r="L318" s="158" t="str">
        <f t="shared" si="2"/>
        <v/>
      </c>
      <c r="N318" s="49" t="str">
        <f t="array" ref="N318">IFERROR(INDEX(Sales!$E$7:$E$1506,MATCH(ROW()-4,Sales!$V$7:$V$1506,0)),"")</f>
        <v/>
      </c>
      <c r="O318" s="67"/>
      <c r="P318" s="67"/>
    </row>
    <row r="319" ht="15.75" customHeight="1">
      <c r="A319" s="151" t="str">
        <f t="array" ref="A319">IFERROR(INDEX(Sales!$E$7:$E$1506,MATCH(ROW()-4,Sales!$W$7:$W$1506,0)),"")</f>
        <v/>
      </c>
      <c r="B319" s="152" t="str">
        <f t="array" ref="B319">IF($A319="","",IFERROR(INDEX(Sales!$A:$A,MATCH($A319,Sales!$E:$E,0)),""))</f>
        <v/>
      </c>
      <c r="C319" s="153" t="str">
        <f t="array" ref="C319">IF($A319="","",IFERROR(INDEX(Sales!$D:$D,MATCH($A319,Sales!$E:$E,0)),""))</f>
        <v/>
      </c>
      <c r="D319" s="153" t="str">
        <f t="array" ref="D319">IF($A319="","",IFERROR(INDEX(Sales!$C:$C,MATCH($A319,Sales!$E:$E,0)),""))</f>
        <v/>
      </c>
      <c r="E319" s="154" t="str">
        <f>IF($A319="","",SUMIFS(Sales!$H:$H,Sales!$E:$E,$A319,Sales!$B:$B,"&lt;&gt;Return"))</f>
        <v/>
      </c>
      <c r="F319" s="155" t="str">
        <f>IF($A319="","",SUMIF(Sales!$E:$E,$A319,Sales!$L:$L))</f>
        <v/>
      </c>
      <c r="G319" s="155" t="str">
        <f>IF($A319="","",SUMIF(Sales!$E:$E,$A319,Sales!$P:$P))</f>
        <v/>
      </c>
      <c r="H319" s="156" t="str">
        <f t="array" ref="H319">IF($A319="","",IFERROR(INDEX(Orders!$O$5:$O$1004,MATCH($A319,Orders!$N$5:$N$1004,0)),""))</f>
        <v/>
      </c>
      <c r="I319" s="156" t="str">
        <f t="array" ref="I319">IF($A319="","",IFERROR(INDEX(Orders!$P$5:$P$1004,MATCH($A319,Orders!$N$5:$N$1004,0)),""))</f>
        <v/>
      </c>
      <c r="J319" s="157" t="str">
        <f t="shared" si="1"/>
        <v/>
      </c>
      <c r="K319" s="153" t="str">
        <f t="array" ref="K319">IF($A319="","",IFERROR(INDEX(Sales!$M:$M,MATCH($A319,Sales!$E:$E,0)),""))</f>
        <v/>
      </c>
      <c r="L319" s="158" t="str">
        <f t="shared" si="2"/>
        <v/>
      </c>
      <c r="N319" s="49" t="str">
        <f t="array" ref="N319">IFERROR(INDEX(Sales!$E$7:$E$1506,MATCH(ROW()-4,Sales!$V$7:$V$1506,0)),"")</f>
        <v/>
      </c>
      <c r="O319" s="67"/>
      <c r="P319" s="67"/>
    </row>
    <row r="320" ht="15.75" customHeight="1">
      <c r="A320" s="151" t="str">
        <f t="array" ref="A320">IFERROR(INDEX(Sales!$E$7:$E$1506,MATCH(ROW()-4,Sales!$W$7:$W$1506,0)),"")</f>
        <v/>
      </c>
      <c r="B320" s="152" t="str">
        <f t="array" ref="B320">IF($A320="","",IFERROR(INDEX(Sales!$A:$A,MATCH($A320,Sales!$E:$E,0)),""))</f>
        <v/>
      </c>
      <c r="C320" s="153" t="str">
        <f t="array" ref="C320">IF($A320="","",IFERROR(INDEX(Sales!$D:$D,MATCH($A320,Sales!$E:$E,0)),""))</f>
        <v/>
      </c>
      <c r="D320" s="153" t="str">
        <f t="array" ref="D320">IF($A320="","",IFERROR(INDEX(Sales!$C:$C,MATCH($A320,Sales!$E:$E,0)),""))</f>
        <v/>
      </c>
      <c r="E320" s="154" t="str">
        <f>IF($A320="","",SUMIFS(Sales!$H:$H,Sales!$E:$E,$A320,Sales!$B:$B,"&lt;&gt;Return"))</f>
        <v/>
      </c>
      <c r="F320" s="155" t="str">
        <f>IF($A320="","",SUMIF(Sales!$E:$E,$A320,Sales!$L:$L))</f>
        <v/>
      </c>
      <c r="G320" s="155" t="str">
        <f>IF($A320="","",SUMIF(Sales!$E:$E,$A320,Sales!$P:$P))</f>
        <v/>
      </c>
      <c r="H320" s="156" t="str">
        <f t="array" ref="H320">IF($A320="","",IFERROR(INDEX(Orders!$O$5:$O$1004,MATCH($A320,Orders!$N$5:$N$1004,0)),""))</f>
        <v/>
      </c>
      <c r="I320" s="156" t="str">
        <f t="array" ref="I320">IF($A320="","",IFERROR(INDEX(Orders!$P$5:$P$1004,MATCH($A320,Orders!$N$5:$N$1004,0)),""))</f>
        <v/>
      </c>
      <c r="J320" s="157" t="str">
        <f t="shared" si="1"/>
        <v/>
      </c>
      <c r="K320" s="153" t="str">
        <f t="array" ref="K320">IF($A320="","",IFERROR(INDEX(Sales!$M:$M,MATCH($A320,Sales!$E:$E,0)),""))</f>
        <v/>
      </c>
      <c r="L320" s="158" t="str">
        <f t="shared" si="2"/>
        <v/>
      </c>
      <c r="N320" s="49" t="str">
        <f t="array" ref="N320">IFERROR(INDEX(Sales!$E$7:$E$1506,MATCH(ROW()-4,Sales!$V$7:$V$1506,0)),"")</f>
        <v/>
      </c>
      <c r="O320" s="67"/>
      <c r="P320" s="67"/>
    </row>
    <row r="321" ht="15.75" customHeight="1">
      <c r="A321" s="151" t="str">
        <f t="array" ref="A321">IFERROR(INDEX(Sales!$E$7:$E$1506,MATCH(ROW()-4,Sales!$W$7:$W$1506,0)),"")</f>
        <v/>
      </c>
      <c r="B321" s="152" t="str">
        <f t="array" ref="B321">IF($A321="","",IFERROR(INDEX(Sales!$A:$A,MATCH($A321,Sales!$E:$E,0)),""))</f>
        <v/>
      </c>
      <c r="C321" s="153" t="str">
        <f t="array" ref="C321">IF($A321="","",IFERROR(INDEX(Sales!$D:$D,MATCH($A321,Sales!$E:$E,0)),""))</f>
        <v/>
      </c>
      <c r="D321" s="153" t="str">
        <f t="array" ref="D321">IF($A321="","",IFERROR(INDEX(Sales!$C:$C,MATCH($A321,Sales!$E:$E,0)),""))</f>
        <v/>
      </c>
      <c r="E321" s="154" t="str">
        <f>IF($A321="","",SUMIFS(Sales!$H:$H,Sales!$E:$E,$A321,Sales!$B:$B,"&lt;&gt;Return"))</f>
        <v/>
      </c>
      <c r="F321" s="155" t="str">
        <f>IF($A321="","",SUMIF(Sales!$E:$E,$A321,Sales!$L:$L))</f>
        <v/>
      </c>
      <c r="G321" s="155" t="str">
        <f>IF($A321="","",SUMIF(Sales!$E:$E,$A321,Sales!$P:$P))</f>
        <v/>
      </c>
      <c r="H321" s="156" t="str">
        <f t="array" ref="H321">IF($A321="","",IFERROR(INDEX(Orders!$O$5:$O$1004,MATCH($A321,Orders!$N$5:$N$1004,0)),""))</f>
        <v/>
      </c>
      <c r="I321" s="156" t="str">
        <f t="array" ref="I321">IF($A321="","",IFERROR(INDEX(Orders!$P$5:$P$1004,MATCH($A321,Orders!$N$5:$N$1004,0)),""))</f>
        <v/>
      </c>
      <c r="J321" s="157" t="str">
        <f t="shared" si="1"/>
        <v/>
      </c>
      <c r="K321" s="153" t="str">
        <f t="array" ref="K321">IF($A321="","",IFERROR(INDEX(Sales!$M:$M,MATCH($A321,Sales!$E:$E,0)),""))</f>
        <v/>
      </c>
      <c r="L321" s="158" t="str">
        <f t="shared" si="2"/>
        <v/>
      </c>
      <c r="N321" s="49" t="str">
        <f t="array" ref="N321">IFERROR(INDEX(Sales!$E$7:$E$1506,MATCH(ROW()-4,Sales!$V$7:$V$1506,0)),"")</f>
        <v/>
      </c>
      <c r="O321" s="67"/>
      <c r="P321" s="67"/>
    </row>
    <row r="322" ht="15.75" customHeight="1">
      <c r="A322" s="151" t="str">
        <f t="array" ref="A322">IFERROR(INDEX(Sales!$E$7:$E$1506,MATCH(ROW()-4,Sales!$W$7:$W$1506,0)),"")</f>
        <v/>
      </c>
      <c r="B322" s="152" t="str">
        <f t="array" ref="B322">IF($A322="","",IFERROR(INDEX(Sales!$A:$A,MATCH($A322,Sales!$E:$E,0)),""))</f>
        <v/>
      </c>
      <c r="C322" s="153" t="str">
        <f t="array" ref="C322">IF($A322="","",IFERROR(INDEX(Sales!$D:$D,MATCH($A322,Sales!$E:$E,0)),""))</f>
        <v/>
      </c>
      <c r="D322" s="153" t="str">
        <f t="array" ref="D322">IF($A322="","",IFERROR(INDEX(Sales!$C:$C,MATCH($A322,Sales!$E:$E,0)),""))</f>
        <v/>
      </c>
      <c r="E322" s="154" t="str">
        <f>IF($A322="","",SUMIFS(Sales!$H:$H,Sales!$E:$E,$A322,Sales!$B:$B,"&lt;&gt;Return"))</f>
        <v/>
      </c>
      <c r="F322" s="155" t="str">
        <f>IF($A322="","",SUMIF(Sales!$E:$E,$A322,Sales!$L:$L))</f>
        <v/>
      </c>
      <c r="G322" s="155" t="str">
        <f>IF($A322="","",SUMIF(Sales!$E:$E,$A322,Sales!$P:$P))</f>
        <v/>
      </c>
      <c r="H322" s="156" t="str">
        <f t="array" ref="H322">IF($A322="","",IFERROR(INDEX(Orders!$O$5:$O$1004,MATCH($A322,Orders!$N$5:$N$1004,0)),""))</f>
        <v/>
      </c>
      <c r="I322" s="156" t="str">
        <f t="array" ref="I322">IF($A322="","",IFERROR(INDEX(Orders!$P$5:$P$1004,MATCH($A322,Orders!$N$5:$N$1004,0)),""))</f>
        <v/>
      </c>
      <c r="J322" s="157" t="str">
        <f t="shared" si="1"/>
        <v/>
      </c>
      <c r="K322" s="153" t="str">
        <f t="array" ref="K322">IF($A322="","",IFERROR(INDEX(Sales!$M:$M,MATCH($A322,Sales!$E:$E,0)),""))</f>
        <v/>
      </c>
      <c r="L322" s="158" t="str">
        <f t="shared" si="2"/>
        <v/>
      </c>
      <c r="N322" s="49" t="str">
        <f t="array" ref="N322">IFERROR(INDEX(Sales!$E$7:$E$1506,MATCH(ROW()-4,Sales!$V$7:$V$1506,0)),"")</f>
        <v/>
      </c>
      <c r="O322" s="67"/>
      <c r="P322" s="67"/>
    </row>
    <row r="323" ht="15.75" customHeight="1">
      <c r="A323" s="151" t="str">
        <f t="array" ref="A323">IFERROR(INDEX(Sales!$E$7:$E$1506,MATCH(ROW()-4,Sales!$W$7:$W$1506,0)),"")</f>
        <v/>
      </c>
      <c r="B323" s="152" t="str">
        <f t="array" ref="B323">IF($A323="","",IFERROR(INDEX(Sales!$A:$A,MATCH($A323,Sales!$E:$E,0)),""))</f>
        <v/>
      </c>
      <c r="C323" s="153" t="str">
        <f t="array" ref="C323">IF($A323="","",IFERROR(INDEX(Sales!$D:$D,MATCH($A323,Sales!$E:$E,0)),""))</f>
        <v/>
      </c>
      <c r="D323" s="153" t="str">
        <f t="array" ref="D323">IF($A323="","",IFERROR(INDEX(Sales!$C:$C,MATCH($A323,Sales!$E:$E,0)),""))</f>
        <v/>
      </c>
      <c r="E323" s="154" t="str">
        <f>IF($A323="","",SUMIFS(Sales!$H:$H,Sales!$E:$E,$A323,Sales!$B:$B,"&lt;&gt;Return"))</f>
        <v/>
      </c>
      <c r="F323" s="155" t="str">
        <f>IF($A323="","",SUMIF(Sales!$E:$E,$A323,Sales!$L:$L))</f>
        <v/>
      </c>
      <c r="G323" s="155" t="str">
        <f>IF($A323="","",SUMIF(Sales!$E:$E,$A323,Sales!$P:$P))</f>
        <v/>
      </c>
      <c r="H323" s="156" t="str">
        <f t="array" ref="H323">IF($A323="","",IFERROR(INDEX(Orders!$O$5:$O$1004,MATCH($A323,Orders!$N$5:$N$1004,0)),""))</f>
        <v/>
      </c>
      <c r="I323" s="156" t="str">
        <f t="array" ref="I323">IF($A323="","",IFERROR(INDEX(Orders!$P$5:$P$1004,MATCH($A323,Orders!$N$5:$N$1004,0)),""))</f>
        <v/>
      </c>
      <c r="J323" s="157" t="str">
        <f t="shared" si="1"/>
        <v/>
      </c>
      <c r="K323" s="153" t="str">
        <f t="array" ref="K323">IF($A323="","",IFERROR(INDEX(Sales!$M:$M,MATCH($A323,Sales!$E:$E,0)),""))</f>
        <v/>
      </c>
      <c r="L323" s="158" t="str">
        <f t="shared" si="2"/>
        <v/>
      </c>
      <c r="N323" s="49" t="str">
        <f t="array" ref="N323">IFERROR(INDEX(Sales!$E$7:$E$1506,MATCH(ROW()-4,Sales!$V$7:$V$1506,0)),"")</f>
        <v/>
      </c>
      <c r="O323" s="67"/>
      <c r="P323" s="67"/>
    </row>
    <row r="324" ht="15.75" customHeight="1">
      <c r="A324" s="151" t="str">
        <f t="array" ref="A324">IFERROR(INDEX(Sales!$E$7:$E$1506,MATCH(ROW()-4,Sales!$W$7:$W$1506,0)),"")</f>
        <v/>
      </c>
      <c r="B324" s="152" t="str">
        <f t="array" ref="B324">IF($A324="","",IFERROR(INDEX(Sales!$A:$A,MATCH($A324,Sales!$E:$E,0)),""))</f>
        <v/>
      </c>
      <c r="C324" s="153" t="str">
        <f t="array" ref="C324">IF($A324="","",IFERROR(INDEX(Sales!$D:$D,MATCH($A324,Sales!$E:$E,0)),""))</f>
        <v/>
      </c>
      <c r="D324" s="153" t="str">
        <f t="array" ref="D324">IF($A324="","",IFERROR(INDEX(Sales!$C:$C,MATCH($A324,Sales!$E:$E,0)),""))</f>
        <v/>
      </c>
      <c r="E324" s="154" t="str">
        <f>IF($A324="","",SUMIFS(Sales!$H:$H,Sales!$E:$E,$A324,Sales!$B:$B,"&lt;&gt;Return"))</f>
        <v/>
      </c>
      <c r="F324" s="155" t="str">
        <f>IF($A324="","",SUMIF(Sales!$E:$E,$A324,Sales!$L:$L))</f>
        <v/>
      </c>
      <c r="G324" s="155" t="str">
        <f>IF($A324="","",SUMIF(Sales!$E:$E,$A324,Sales!$P:$P))</f>
        <v/>
      </c>
      <c r="H324" s="156" t="str">
        <f t="array" ref="H324">IF($A324="","",IFERROR(INDEX(Orders!$O$5:$O$1004,MATCH($A324,Orders!$N$5:$N$1004,0)),""))</f>
        <v/>
      </c>
      <c r="I324" s="156" t="str">
        <f t="array" ref="I324">IF($A324="","",IFERROR(INDEX(Orders!$P$5:$P$1004,MATCH($A324,Orders!$N$5:$N$1004,0)),""))</f>
        <v/>
      </c>
      <c r="J324" s="157" t="str">
        <f t="shared" si="1"/>
        <v/>
      </c>
      <c r="K324" s="153" t="str">
        <f t="array" ref="K324">IF($A324="","",IFERROR(INDEX(Sales!$M:$M,MATCH($A324,Sales!$E:$E,0)),""))</f>
        <v/>
      </c>
      <c r="L324" s="158" t="str">
        <f t="shared" si="2"/>
        <v/>
      </c>
      <c r="N324" s="49" t="str">
        <f t="array" ref="N324">IFERROR(INDEX(Sales!$E$7:$E$1506,MATCH(ROW()-4,Sales!$V$7:$V$1506,0)),"")</f>
        <v/>
      </c>
      <c r="O324" s="67"/>
      <c r="P324" s="67"/>
    </row>
    <row r="325" ht="15.75" customHeight="1">
      <c r="A325" s="151" t="str">
        <f t="array" ref="A325">IFERROR(INDEX(Sales!$E$7:$E$1506,MATCH(ROW()-4,Sales!$W$7:$W$1506,0)),"")</f>
        <v/>
      </c>
      <c r="B325" s="152" t="str">
        <f t="array" ref="B325">IF($A325="","",IFERROR(INDEX(Sales!$A:$A,MATCH($A325,Sales!$E:$E,0)),""))</f>
        <v/>
      </c>
      <c r="C325" s="153" t="str">
        <f t="array" ref="C325">IF($A325="","",IFERROR(INDEX(Sales!$D:$D,MATCH($A325,Sales!$E:$E,0)),""))</f>
        <v/>
      </c>
      <c r="D325" s="153" t="str">
        <f t="array" ref="D325">IF($A325="","",IFERROR(INDEX(Sales!$C:$C,MATCH($A325,Sales!$E:$E,0)),""))</f>
        <v/>
      </c>
      <c r="E325" s="154" t="str">
        <f>IF($A325="","",SUMIFS(Sales!$H:$H,Sales!$E:$E,$A325,Sales!$B:$B,"&lt;&gt;Return"))</f>
        <v/>
      </c>
      <c r="F325" s="155" t="str">
        <f>IF($A325="","",SUMIF(Sales!$E:$E,$A325,Sales!$L:$L))</f>
        <v/>
      </c>
      <c r="G325" s="155" t="str">
        <f>IF($A325="","",SUMIF(Sales!$E:$E,$A325,Sales!$P:$P))</f>
        <v/>
      </c>
      <c r="H325" s="156" t="str">
        <f t="array" ref="H325">IF($A325="","",IFERROR(INDEX(Orders!$O$5:$O$1004,MATCH($A325,Orders!$N$5:$N$1004,0)),""))</f>
        <v/>
      </c>
      <c r="I325" s="156" t="str">
        <f t="array" ref="I325">IF($A325="","",IFERROR(INDEX(Orders!$P$5:$P$1004,MATCH($A325,Orders!$N$5:$N$1004,0)),""))</f>
        <v/>
      </c>
      <c r="J325" s="157" t="str">
        <f t="shared" si="1"/>
        <v/>
      </c>
      <c r="K325" s="153" t="str">
        <f t="array" ref="K325">IF($A325="","",IFERROR(INDEX(Sales!$M:$M,MATCH($A325,Sales!$E:$E,0)),""))</f>
        <v/>
      </c>
      <c r="L325" s="158" t="str">
        <f t="shared" si="2"/>
        <v/>
      </c>
      <c r="N325" s="49" t="str">
        <f t="array" ref="N325">IFERROR(INDEX(Sales!$E$7:$E$1506,MATCH(ROW()-4,Sales!$V$7:$V$1506,0)),"")</f>
        <v/>
      </c>
      <c r="O325" s="67"/>
      <c r="P325" s="67"/>
    </row>
    <row r="326" ht="15.75" customHeight="1">
      <c r="A326" s="151" t="str">
        <f t="array" ref="A326">IFERROR(INDEX(Sales!$E$7:$E$1506,MATCH(ROW()-4,Sales!$W$7:$W$1506,0)),"")</f>
        <v/>
      </c>
      <c r="B326" s="152" t="str">
        <f t="array" ref="B326">IF($A326="","",IFERROR(INDEX(Sales!$A:$A,MATCH($A326,Sales!$E:$E,0)),""))</f>
        <v/>
      </c>
      <c r="C326" s="153" t="str">
        <f t="array" ref="C326">IF($A326="","",IFERROR(INDEX(Sales!$D:$D,MATCH($A326,Sales!$E:$E,0)),""))</f>
        <v/>
      </c>
      <c r="D326" s="153" t="str">
        <f t="array" ref="D326">IF($A326="","",IFERROR(INDEX(Sales!$C:$C,MATCH($A326,Sales!$E:$E,0)),""))</f>
        <v/>
      </c>
      <c r="E326" s="154" t="str">
        <f>IF($A326="","",SUMIFS(Sales!$H:$H,Sales!$E:$E,$A326,Sales!$B:$B,"&lt;&gt;Return"))</f>
        <v/>
      </c>
      <c r="F326" s="155" t="str">
        <f>IF($A326="","",SUMIF(Sales!$E:$E,$A326,Sales!$L:$L))</f>
        <v/>
      </c>
      <c r="G326" s="155" t="str">
        <f>IF($A326="","",SUMIF(Sales!$E:$E,$A326,Sales!$P:$P))</f>
        <v/>
      </c>
      <c r="H326" s="156" t="str">
        <f t="array" ref="H326">IF($A326="","",IFERROR(INDEX(Orders!$O$5:$O$1004,MATCH($A326,Orders!$N$5:$N$1004,0)),""))</f>
        <v/>
      </c>
      <c r="I326" s="156" t="str">
        <f t="array" ref="I326">IF($A326="","",IFERROR(INDEX(Orders!$P$5:$P$1004,MATCH($A326,Orders!$N$5:$N$1004,0)),""))</f>
        <v/>
      </c>
      <c r="J326" s="157" t="str">
        <f t="shared" si="1"/>
        <v/>
      </c>
      <c r="K326" s="153" t="str">
        <f t="array" ref="K326">IF($A326="","",IFERROR(INDEX(Sales!$M:$M,MATCH($A326,Sales!$E:$E,0)),""))</f>
        <v/>
      </c>
      <c r="L326" s="158" t="str">
        <f t="shared" si="2"/>
        <v/>
      </c>
      <c r="N326" s="49" t="str">
        <f t="array" ref="N326">IFERROR(INDEX(Sales!$E$7:$E$1506,MATCH(ROW()-4,Sales!$V$7:$V$1506,0)),"")</f>
        <v/>
      </c>
      <c r="O326" s="67"/>
      <c r="P326" s="67"/>
    </row>
    <row r="327" ht="15.75" customHeight="1">
      <c r="A327" s="151" t="str">
        <f t="array" ref="A327">IFERROR(INDEX(Sales!$E$7:$E$1506,MATCH(ROW()-4,Sales!$W$7:$W$1506,0)),"")</f>
        <v/>
      </c>
      <c r="B327" s="152" t="str">
        <f t="array" ref="B327">IF($A327="","",IFERROR(INDEX(Sales!$A:$A,MATCH($A327,Sales!$E:$E,0)),""))</f>
        <v/>
      </c>
      <c r="C327" s="153" t="str">
        <f t="array" ref="C327">IF($A327="","",IFERROR(INDEX(Sales!$D:$D,MATCH($A327,Sales!$E:$E,0)),""))</f>
        <v/>
      </c>
      <c r="D327" s="153" t="str">
        <f t="array" ref="D327">IF($A327="","",IFERROR(INDEX(Sales!$C:$C,MATCH($A327,Sales!$E:$E,0)),""))</f>
        <v/>
      </c>
      <c r="E327" s="154" t="str">
        <f>IF($A327="","",SUMIFS(Sales!$H:$H,Sales!$E:$E,$A327,Sales!$B:$B,"&lt;&gt;Return"))</f>
        <v/>
      </c>
      <c r="F327" s="155" t="str">
        <f>IF($A327="","",SUMIF(Sales!$E:$E,$A327,Sales!$L:$L))</f>
        <v/>
      </c>
      <c r="G327" s="155" t="str">
        <f>IF($A327="","",SUMIF(Sales!$E:$E,$A327,Sales!$P:$P))</f>
        <v/>
      </c>
      <c r="H327" s="156" t="str">
        <f t="array" ref="H327">IF($A327="","",IFERROR(INDEX(Orders!$O$5:$O$1004,MATCH($A327,Orders!$N$5:$N$1004,0)),""))</f>
        <v/>
      </c>
      <c r="I327" s="156" t="str">
        <f t="array" ref="I327">IF($A327="","",IFERROR(INDEX(Orders!$P$5:$P$1004,MATCH($A327,Orders!$N$5:$N$1004,0)),""))</f>
        <v/>
      </c>
      <c r="J327" s="157" t="str">
        <f t="shared" si="1"/>
        <v/>
      </c>
      <c r="K327" s="153" t="str">
        <f t="array" ref="K327">IF($A327="","",IFERROR(INDEX(Sales!$M:$M,MATCH($A327,Sales!$E:$E,0)),""))</f>
        <v/>
      </c>
      <c r="L327" s="158" t="str">
        <f t="shared" si="2"/>
        <v/>
      </c>
      <c r="N327" s="49" t="str">
        <f t="array" ref="N327">IFERROR(INDEX(Sales!$E$7:$E$1506,MATCH(ROW()-4,Sales!$V$7:$V$1506,0)),"")</f>
        <v/>
      </c>
      <c r="O327" s="67"/>
      <c r="P327" s="67"/>
    </row>
    <row r="328" ht="15.75" customHeight="1">
      <c r="A328" s="151" t="str">
        <f t="array" ref="A328">IFERROR(INDEX(Sales!$E$7:$E$1506,MATCH(ROW()-4,Sales!$W$7:$W$1506,0)),"")</f>
        <v/>
      </c>
      <c r="B328" s="152" t="str">
        <f t="array" ref="B328">IF($A328="","",IFERROR(INDEX(Sales!$A:$A,MATCH($A328,Sales!$E:$E,0)),""))</f>
        <v/>
      </c>
      <c r="C328" s="153" t="str">
        <f t="array" ref="C328">IF($A328="","",IFERROR(INDEX(Sales!$D:$D,MATCH($A328,Sales!$E:$E,0)),""))</f>
        <v/>
      </c>
      <c r="D328" s="153" t="str">
        <f t="array" ref="D328">IF($A328="","",IFERROR(INDEX(Sales!$C:$C,MATCH($A328,Sales!$E:$E,0)),""))</f>
        <v/>
      </c>
      <c r="E328" s="154" t="str">
        <f>IF($A328="","",SUMIFS(Sales!$H:$H,Sales!$E:$E,$A328,Sales!$B:$B,"&lt;&gt;Return"))</f>
        <v/>
      </c>
      <c r="F328" s="155" t="str">
        <f>IF($A328="","",SUMIF(Sales!$E:$E,$A328,Sales!$L:$L))</f>
        <v/>
      </c>
      <c r="G328" s="155" t="str">
        <f>IF($A328="","",SUMIF(Sales!$E:$E,$A328,Sales!$P:$P))</f>
        <v/>
      </c>
      <c r="H328" s="156" t="str">
        <f t="array" ref="H328">IF($A328="","",IFERROR(INDEX(Orders!$O$5:$O$1004,MATCH($A328,Orders!$N$5:$N$1004,0)),""))</f>
        <v/>
      </c>
      <c r="I328" s="156" t="str">
        <f t="array" ref="I328">IF($A328="","",IFERROR(INDEX(Orders!$P$5:$P$1004,MATCH($A328,Orders!$N$5:$N$1004,0)),""))</f>
        <v/>
      </c>
      <c r="J328" s="157" t="str">
        <f t="shared" si="1"/>
        <v/>
      </c>
      <c r="K328" s="153" t="str">
        <f t="array" ref="K328">IF($A328="","",IFERROR(INDEX(Sales!$M:$M,MATCH($A328,Sales!$E:$E,0)),""))</f>
        <v/>
      </c>
      <c r="L328" s="158" t="str">
        <f t="shared" si="2"/>
        <v/>
      </c>
      <c r="N328" s="49" t="str">
        <f t="array" ref="N328">IFERROR(INDEX(Sales!$E$7:$E$1506,MATCH(ROW()-4,Sales!$V$7:$V$1506,0)),"")</f>
        <v/>
      </c>
      <c r="O328" s="67"/>
      <c r="P328" s="67"/>
    </row>
    <row r="329" ht="15.75" customHeight="1">
      <c r="A329" s="151" t="str">
        <f t="array" ref="A329">IFERROR(INDEX(Sales!$E$7:$E$1506,MATCH(ROW()-4,Sales!$W$7:$W$1506,0)),"")</f>
        <v/>
      </c>
      <c r="B329" s="152" t="str">
        <f t="array" ref="B329">IF($A329="","",IFERROR(INDEX(Sales!$A:$A,MATCH($A329,Sales!$E:$E,0)),""))</f>
        <v/>
      </c>
      <c r="C329" s="153" t="str">
        <f t="array" ref="C329">IF($A329="","",IFERROR(INDEX(Sales!$D:$D,MATCH($A329,Sales!$E:$E,0)),""))</f>
        <v/>
      </c>
      <c r="D329" s="153" t="str">
        <f t="array" ref="D329">IF($A329="","",IFERROR(INDEX(Sales!$C:$C,MATCH($A329,Sales!$E:$E,0)),""))</f>
        <v/>
      </c>
      <c r="E329" s="154" t="str">
        <f>IF($A329="","",SUMIFS(Sales!$H:$H,Sales!$E:$E,$A329,Sales!$B:$B,"&lt;&gt;Return"))</f>
        <v/>
      </c>
      <c r="F329" s="155" t="str">
        <f>IF($A329="","",SUMIF(Sales!$E:$E,$A329,Sales!$L:$L))</f>
        <v/>
      </c>
      <c r="G329" s="155" t="str">
        <f>IF($A329="","",SUMIF(Sales!$E:$E,$A329,Sales!$P:$P))</f>
        <v/>
      </c>
      <c r="H329" s="156" t="str">
        <f t="array" ref="H329">IF($A329="","",IFERROR(INDEX(Orders!$O$5:$O$1004,MATCH($A329,Orders!$N$5:$N$1004,0)),""))</f>
        <v/>
      </c>
      <c r="I329" s="156" t="str">
        <f t="array" ref="I329">IF($A329="","",IFERROR(INDEX(Orders!$P$5:$P$1004,MATCH($A329,Orders!$N$5:$N$1004,0)),""))</f>
        <v/>
      </c>
      <c r="J329" s="157" t="str">
        <f t="shared" si="1"/>
        <v/>
      </c>
      <c r="K329" s="153" t="str">
        <f t="array" ref="K329">IF($A329="","",IFERROR(INDEX(Sales!$M:$M,MATCH($A329,Sales!$E:$E,0)),""))</f>
        <v/>
      </c>
      <c r="L329" s="158" t="str">
        <f t="shared" si="2"/>
        <v/>
      </c>
      <c r="N329" s="49" t="str">
        <f t="array" ref="N329">IFERROR(INDEX(Sales!$E$7:$E$1506,MATCH(ROW()-4,Sales!$V$7:$V$1506,0)),"")</f>
        <v/>
      </c>
      <c r="O329" s="67"/>
      <c r="P329" s="67"/>
    </row>
    <row r="330" ht="15.75" customHeight="1">
      <c r="A330" s="151" t="str">
        <f t="array" ref="A330">IFERROR(INDEX(Sales!$E$7:$E$1506,MATCH(ROW()-4,Sales!$W$7:$W$1506,0)),"")</f>
        <v/>
      </c>
      <c r="B330" s="152" t="str">
        <f t="array" ref="B330">IF($A330="","",IFERROR(INDEX(Sales!$A:$A,MATCH($A330,Sales!$E:$E,0)),""))</f>
        <v/>
      </c>
      <c r="C330" s="153" t="str">
        <f t="array" ref="C330">IF($A330="","",IFERROR(INDEX(Sales!$D:$D,MATCH($A330,Sales!$E:$E,0)),""))</f>
        <v/>
      </c>
      <c r="D330" s="153" t="str">
        <f t="array" ref="D330">IF($A330="","",IFERROR(INDEX(Sales!$C:$C,MATCH($A330,Sales!$E:$E,0)),""))</f>
        <v/>
      </c>
      <c r="E330" s="154" t="str">
        <f>IF($A330="","",SUMIFS(Sales!$H:$H,Sales!$E:$E,$A330,Sales!$B:$B,"&lt;&gt;Return"))</f>
        <v/>
      </c>
      <c r="F330" s="155" t="str">
        <f>IF($A330="","",SUMIF(Sales!$E:$E,$A330,Sales!$L:$L))</f>
        <v/>
      </c>
      <c r="G330" s="155" t="str">
        <f>IF($A330="","",SUMIF(Sales!$E:$E,$A330,Sales!$P:$P))</f>
        <v/>
      </c>
      <c r="H330" s="156" t="str">
        <f t="array" ref="H330">IF($A330="","",IFERROR(INDEX(Orders!$O$5:$O$1004,MATCH($A330,Orders!$N$5:$N$1004,0)),""))</f>
        <v/>
      </c>
      <c r="I330" s="156" t="str">
        <f t="array" ref="I330">IF($A330="","",IFERROR(INDEX(Orders!$P$5:$P$1004,MATCH($A330,Orders!$N$5:$N$1004,0)),""))</f>
        <v/>
      </c>
      <c r="J330" s="157" t="str">
        <f t="shared" si="1"/>
        <v/>
      </c>
      <c r="K330" s="153" t="str">
        <f t="array" ref="K330">IF($A330="","",IFERROR(INDEX(Sales!$M:$M,MATCH($A330,Sales!$E:$E,0)),""))</f>
        <v/>
      </c>
      <c r="L330" s="158" t="str">
        <f t="shared" si="2"/>
        <v/>
      </c>
      <c r="N330" s="49" t="str">
        <f t="array" ref="N330">IFERROR(INDEX(Sales!$E$7:$E$1506,MATCH(ROW()-4,Sales!$V$7:$V$1506,0)),"")</f>
        <v/>
      </c>
      <c r="O330" s="67"/>
      <c r="P330" s="67"/>
    </row>
    <row r="331" ht="15.75" customHeight="1">
      <c r="A331" s="151" t="str">
        <f t="array" ref="A331">IFERROR(INDEX(Sales!$E$7:$E$1506,MATCH(ROW()-4,Sales!$W$7:$W$1506,0)),"")</f>
        <v/>
      </c>
      <c r="B331" s="152" t="str">
        <f t="array" ref="B331">IF($A331="","",IFERROR(INDEX(Sales!$A:$A,MATCH($A331,Sales!$E:$E,0)),""))</f>
        <v/>
      </c>
      <c r="C331" s="153" t="str">
        <f t="array" ref="C331">IF($A331="","",IFERROR(INDEX(Sales!$D:$D,MATCH($A331,Sales!$E:$E,0)),""))</f>
        <v/>
      </c>
      <c r="D331" s="153" t="str">
        <f t="array" ref="D331">IF($A331="","",IFERROR(INDEX(Sales!$C:$C,MATCH($A331,Sales!$E:$E,0)),""))</f>
        <v/>
      </c>
      <c r="E331" s="154" t="str">
        <f>IF($A331="","",SUMIFS(Sales!$H:$H,Sales!$E:$E,$A331,Sales!$B:$B,"&lt;&gt;Return"))</f>
        <v/>
      </c>
      <c r="F331" s="155" t="str">
        <f>IF($A331="","",SUMIF(Sales!$E:$E,$A331,Sales!$L:$L))</f>
        <v/>
      </c>
      <c r="G331" s="155" t="str">
        <f>IF($A331="","",SUMIF(Sales!$E:$E,$A331,Sales!$P:$P))</f>
        <v/>
      </c>
      <c r="H331" s="156" t="str">
        <f t="array" ref="H331">IF($A331="","",IFERROR(INDEX(Orders!$O$5:$O$1004,MATCH($A331,Orders!$N$5:$N$1004,0)),""))</f>
        <v/>
      </c>
      <c r="I331" s="156" t="str">
        <f t="array" ref="I331">IF($A331="","",IFERROR(INDEX(Orders!$P$5:$P$1004,MATCH($A331,Orders!$N$5:$N$1004,0)),""))</f>
        <v/>
      </c>
      <c r="J331" s="157" t="str">
        <f t="shared" si="1"/>
        <v/>
      </c>
      <c r="K331" s="153" t="str">
        <f t="array" ref="K331">IF($A331="","",IFERROR(INDEX(Sales!$M:$M,MATCH($A331,Sales!$E:$E,0)),""))</f>
        <v/>
      </c>
      <c r="L331" s="158" t="str">
        <f t="shared" si="2"/>
        <v/>
      </c>
      <c r="N331" s="49" t="str">
        <f t="array" ref="N331">IFERROR(INDEX(Sales!$E$7:$E$1506,MATCH(ROW()-4,Sales!$V$7:$V$1506,0)),"")</f>
        <v/>
      </c>
      <c r="O331" s="67"/>
      <c r="P331" s="67"/>
    </row>
    <row r="332" ht="15.75" customHeight="1">
      <c r="A332" s="151" t="str">
        <f t="array" ref="A332">IFERROR(INDEX(Sales!$E$7:$E$1506,MATCH(ROW()-4,Sales!$W$7:$W$1506,0)),"")</f>
        <v/>
      </c>
      <c r="B332" s="152" t="str">
        <f t="array" ref="B332">IF($A332="","",IFERROR(INDEX(Sales!$A:$A,MATCH($A332,Sales!$E:$E,0)),""))</f>
        <v/>
      </c>
      <c r="C332" s="153" t="str">
        <f t="array" ref="C332">IF($A332="","",IFERROR(INDEX(Sales!$D:$D,MATCH($A332,Sales!$E:$E,0)),""))</f>
        <v/>
      </c>
      <c r="D332" s="153" t="str">
        <f t="array" ref="D332">IF($A332="","",IFERROR(INDEX(Sales!$C:$C,MATCH($A332,Sales!$E:$E,0)),""))</f>
        <v/>
      </c>
      <c r="E332" s="154" t="str">
        <f>IF($A332="","",SUMIFS(Sales!$H:$H,Sales!$E:$E,$A332,Sales!$B:$B,"&lt;&gt;Return"))</f>
        <v/>
      </c>
      <c r="F332" s="155" t="str">
        <f>IF($A332="","",SUMIF(Sales!$E:$E,$A332,Sales!$L:$L))</f>
        <v/>
      </c>
      <c r="G332" s="155" t="str">
        <f>IF($A332="","",SUMIF(Sales!$E:$E,$A332,Sales!$P:$P))</f>
        <v/>
      </c>
      <c r="H332" s="156" t="str">
        <f t="array" ref="H332">IF($A332="","",IFERROR(INDEX(Orders!$O$5:$O$1004,MATCH($A332,Orders!$N$5:$N$1004,0)),""))</f>
        <v/>
      </c>
      <c r="I332" s="156" t="str">
        <f t="array" ref="I332">IF($A332="","",IFERROR(INDEX(Orders!$P$5:$P$1004,MATCH($A332,Orders!$N$5:$N$1004,0)),""))</f>
        <v/>
      </c>
      <c r="J332" s="157" t="str">
        <f t="shared" si="1"/>
        <v/>
      </c>
      <c r="K332" s="153" t="str">
        <f t="array" ref="K332">IF($A332="","",IFERROR(INDEX(Sales!$M:$M,MATCH($A332,Sales!$E:$E,0)),""))</f>
        <v/>
      </c>
      <c r="L332" s="158" t="str">
        <f t="shared" si="2"/>
        <v/>
      </c>
      <c r="N332" s="49" t="str">
        <f t="array" ref="N332">IFERROR(INDEX(Sales!$E$7:$E$1506,MATCH(ROW()-4,Sales!$V$7:$V$1506,0)),"")</f>
        <v/>
      </c>
      <c r="O332" s="67"/>
      <c r="P332" s="67"/>
    </row>
    <row r="333" ht="15.75" customHeight="1">
      <c r="A333" s="151" t="str">
        <f t="array" ref="A333">IFERROR(INDEX(Sales!$E$7:$E$1506,MATCH(ROW()-4,Sales!$W$7:$W$1506,0)),"")</f>
        <v/>
      </c>
      <c r="B333" s="152" t="str">
        <f t="array" ref="B333">IF($A333="","",IFERROR(INDEX(Sales!$A:$A,MATCH($A333,Sales!$E:$E,0)),""))</f>
        <v/>
      </c>
      <c r="C333" s="153" t="str">
        <f t="array" ref="C333">IF($A333="","",IFERROR(INDEX(Sales!$D:$D,MATCH($A333,Sales!$E:$E,0)),""))</f>
        <v/>
      </c>
      <c r="D333" s="153" t="str">
        <f t="array" ref="D333">IF($A333="","",IFERROR(INDEX(Sales!$C:$C,MATCH($A333,Sales!$E:$E,0)),""))</f>
        <v/>
      </c>
      <c r="E333" s="154" t="str">
        <f>IF($A333="","",SUMIFS(Sales!$H:$H,Sales!$E:$E,$A333,Sales!$B:$B,"&lt;&gt;Return"))</f>
        <v/>
      </c>
      <c r="F333" s="155" t="str">
        <f>IF($A333="","",SUMIF(Sales!$E:$E,$A333,Sales!$L:$L))</f>
        <v/>
      </c>
      <c r="G333" s="155" t="str">
        <f>IF($A333="","",SUMIF(Sales!$E:$E,$A333,Sales!$P:$P))</f>
        <v/>
      </c>
      <c r="H333" s="156" t="str">
        <f t="array" ref="H333">IF($A333="","",IFERROR(INDEX(Orders!$O$5:$O$1004,MATCH($A333,Orders!$N$5:$N$1004,0)),""))</f>
        <v/>
      </c>
      <c r="I333" s="156" t="str">
        <f t="array" ref="I333">IF($A333="","",IFERROR(INDEX(Orders!$P$5:$P$1004,MATCH($A333,Orders!$N$5:$N$1004,0)),""))</f>
        <v/>
      </c>
      <c r="J333" s="157" t="str">
        <f t="shared" si="1"/>
        <v/>
      </c>
      <c r="K333" s="153" t="str">
        <f t="array" ref="K333">IF($A333="","",IFERROR(INDEX(Sales!$M:$M,MATCH($A333,Sales!$E:$E,0)),""))</f>
        <v/>
      </c>
      <c r="L333" s="158" t="str">
        <f t="shared" si="2"/>
        <v/>
      </c>
      <c r="N333" s="49" t="str">
        <f t="array" ref="N333">IFERROR(INDEX(Sales!$E$7:$E$1506,MATCH(ROW()-4,Sales!$V$7:$V$1506,0)),"")</f>
        <v/>
      </c>
      <c r="O333" s="67"/>
      <c r="P333" s="67"/>
    </row>
    <row r="334" ht="15.75" customHeight="1">
      <c r="A334" s="151" t="str">
        <f t="array" ref="A334">IFERROR(INDEX(Sales!$E$7:$E$1506,MATCH(ROW()-4,Sales!$W$7:$W$1506,0)),"")</f>
        <v/>
      </c>
      <c r="B334" s="152" t="str">
        <f t="array" ref="B334">IF($A334="","",IFERROR(INDEX(Sales!$A:$A,MATCH($A334,Sales!$E:$E,0)),""))</f>
        <v/>
      </c>
      <c r="C334" s="153" t="str">
        <f t="array" ref="C334">IF($A334="","",IFERROR(INDEX(Sales!$D:$D,MATCH($A334,Sales!$E:$E,0)),""))</f>
        <v/>
      </c>
      <c r="D334" s="153" t="str">
        <f t="array" ref="D334">IF($A334="","",IFERROR(INDEX(Sales!$C:$C,MATCH($A334,Sales!$E:$E,0)),""))</f>
        <v/>
      </c>
      <c r="E334" s="154" t="str">
        <f>IF($A334="","",SUMIFS(Sales!$H:$H,Sales!$E:$E,$A334,Sales!$B:$B,"&lt;&gt;Return"))</f>
        <v/>
      </c>
      <c r="F334" s="155" t="str">
        <f>IF($A334="","",SUMIF(Sales!$E:$E,$A334,Sales!$L:$L))</f>
        <v/>
      </c>
      <c r="G334" s="155" t="str">
        <f>IF($A334="","",SUMIF(Sales!$E:$E,$A334,Sales!$P:$P))</f>
        <v/>
      </c>
      <c r="H334" s="156" t="str">
        <f t="array" ref="H334">IF($A334="","",IFERROR(INDEX(Orders!$O$5:$O$1004,MATCH($A334,Orders!$N$5:$N$1004,0)),""))</f>
        <v/>
      </c>
      <c r="I334" s="156" t="str">
        <f t="array" ref="I334">IF($A334="","",IFERROR(INDEX(Orders!$P$5:$P$1004,MATCH($A334,Orders!$N$5:$N$1004,0)),""))</f>
        <v/>
      </c>
      <c r="J334" s="157" t="str">
        <f t="shared" si="1"/>
        <v/>
      </c>
      <c r="K334" s="153" t="str">
        <f t="array" ref="K334">IF($A334="","",IFERROR(INDEX(Sales!$M:$M,MATCH($A334,Sales!$E:$E,0)),""))</f>
        <v/>
      </c>
      <c r="L334" s="158" t="str">
        <f t="shared" si="2"/>
        <v/>
      </c>
      <c r="N334" s="49" t="str">
        <f t="array" ref="N334">IFERROR(INDEX(Sales!$E$7:$E$1506,MATCH(ROW()-4,Sales!$V$7:$V$1506,0)),"")</f>
        <v/>
      </c>
      <c r="O334" s="67"/>
      <c r="P334" s="67"/>
    </row>
    <row r="335" ht="15.75" customHeight="1">
      <c r="A335" s="151" t="str">
        <f t="array" ref="A335">IFERROR(INDEX(Sales!$E$7:$E$1506,MATCH(ROW()-4,Sales!$W$7:$W$1506,0)),"")</f>
        <v/>
      </c>
      <c r="B335" s="152" t="str">
        <f t="array" ref="B335">IF($A335="","",IFERROR(INDEX(Sales!$A:$A,MATCH($A335,Sales!$E:$E,0)),""))</f>
        <v/>
      </c>
      <c r="C335" s="153" t="str">
        <f t="array" ref="C335">IF($A335="","",IFERROR(INDEX(Sales!$D:$D,MATCH($A335,Sales!$E:$E,0)),""))</f>
        <v/>
      </c>
      <c r="D335" s="153" t="str">
        <f t="array" ref="D335">IF($A335="","",IFERROR(INDEX(Sales!$C:$C,MATCH($A335,Sales!$E:$E,0)),""))</f>
        <v/>
      </c>
      <c r="E335" s="154" t="str">
        <f>IF($A335="","",SUMIFS(Sales!$H:$H,Sales!$E:$E,$A335,Sales!$B:$B,"&lt;&gt;Return"))</f>
        <v/>
      </c>
      <c r="F335" s="155" t="str">
        <f>IF($A335="","",SUMIF(Sales!$E:$E,$A335,Sales!$L:$L))</f>
        <v/>
      </c>
      <c r="G335" s="155" t="str">
        <f>IF($A335="","",SUMIF(Sales!$E:$E,$A335,Sales!$P:$P))</f>
        <v/>
      </c>
      <c r="H335" s="156" t="str">
        <f t="array" ref="H335">IF($A335="","",IFERROR(INDEX(Orders!$O$5:$O$1004,MATCH($A335,Orders!$N$5:$N$1004,0)),""))</f>
        <v/>
      </c>
      <c r="I335" s="156" t="str">
        <f t="array" ref="I335">IF($A335="","",IFERROR(INDEX(Orders!$P$5:$P$1004,MATCH($A335,Orders!$N$5:$N$1004,0)),""))</f>
        <v/>
      </c>
      <c r="J335" s="157" t="str">
        <f t="shared" si="1"/>
        <v/>
      </c>
      <c r="K335" s="153" t="str">
        <f t="array" ref="K335">IF($A335="","",IFERROR(INDEX(Sales!$M:$M,MATCH($A335,Sales!$E:$E,0)),""))</f>
        <v/>
      </c>
      <c r="L335" s="158" t="str">
        <f t="shared" si="2"/>
        <v/>
      </c>
      <c r="N335" s="49" t="str">
        <f t="array" ref="N335">IFERROR(INDEX(Sales!$E$7:$E$1506,MATCH(ROW()-4,Sales!$V$7:$V$1506,0)),"")</f>
        <v/>
      </c>
      <c r="O335" s="67"/>
      <c r="P335" s="67"/>
    </row>
    <row r="336" ht="15.75" customHeight="1">
      <c r="A336" s="151" t="str">
        <f t="array" ref="A336">IFERROR(INDEX(Sales!$E$7:$E$1506,MATCH(ROW()-4,Sales!$W$7:$W$1506,0)),"")</f>
        <v/>
      </c>
      <c r="B336" s="152" t="str">
        <f t="array" ref="B336">IF($A336="","",IFERROR(INDEX(Sales!$A:$A,MATCH($A336,Sales!$E:$E,0)),""))</f>
        <v/>
      </c>
      <c r="C336" s="153" t="str">
        <f t="array" ref="C336">IF($A336="","",IFERROR(INDEX(Sales!$D:$D,MATCH($A336,Sales!$E:$E,0)),""))</f>
        <v/>
      </c>
      <c r="D336" s="153" t="str">
        <f t="array" ref="D336">IF($A336="","",IFERROR(INDEX(Sales!$C:$C,MATCH($A336,Sales!$E:$E,0)),""))</f>
        <v/>
      </c>
      <c r="E336" s="154" t="str">
        <f>IF($A336="","",SUMIFS(Sales!$H:$H,Sales!$E:$E,$A336,Sales!$B:$B,"&lt;&gt;Return"))</f>
        <v/>
      </c>
      <c r="F336" s="155" t="str">
        <f>IF($A336="","",SUMIF(Sales!$E:$E,$A336,Sales!$L:$L))</f>
        <v/>
      </c>
      <c r="G336" s="155" t="str">
        <f>IF($A336="","",SUMIF(Sales!$E:$E,$A336,Sales!$P:$P))</f>
        <v/>
      </c>
      <c r="H336" s="156" t="str">
        <f t="array" ref="H336">IF($A336="","",IFERROR(INDEX(Orders!$O$5:$O$1004,MATCH($A336,Orders!$N$5:$N$1004,0)),""))</f>
        <v/>
      </c>
      <c r="I336" s="156" t="str">
        <f t="array" ref="I336">IF($A336="","",IFERROR(INDEX(Orders!$P$5:$P$1004,MATCH($A336,Orders!$N$5:$N$1004,0)),""))</f>
        <v/>
      </c>
      <c r="J336" s="157" t="str">
        <f t="shared" si="1"/>
        <v/>
      </c>
      <c r="K336" s="153" t="str">
        <f t="array" ref="K336">IF($A336="","",IFERROR(INDEX(Sales!$M:$M,MATCH($A336,Sales!$E:$E,0)),""))</f>
        <v/>
      </c>
      <c r="L336" s="158" t="str">
        <f t="shared" si="2"/>
        <v/>
      </c>
      <c r="N336" s="49" t="str">
        <f t="array" ref="N336">IFERROR(INDEX(Sales!$E$7:$E$1506,MATCH(ROW()-4,Sales!$V$7:$V$1506,0)),"")</f>
        <v/>
      </c>
      <c r="O336" s="67"/>
      <c r="P336" s="67"/>
    </row>
    <row r="337" ht="15.75" customHeight="1">
      <c r="A337" s="151" t="str">
        <f t="array" ref="A337">IFERROR(INDEX(Sales!$E$7:$E$1506,MATCH(ROW()-4,Sales!$W$7:$W$1506,0)),"")</f>
        <v/>
      </c>
      <c r="B337" s="152" t="str">
        <f t="array" ref="B337">IF($A337="","",IFERROR(INDEX(Sales!$A:$A,MATCH($A337,Sales!$E:$E,0)),""))</f>
        <v/>
      </c>
      <c r="C337" s="153" t="str">
        <f t="array" ref="C337">IF($A337="","",IFERROR(INDEX(Sales!$D:$D,MATCH($A337,Sales!$E:$E,0)),""))</f>
        <v/>
      </c>
      <c r="D337" s="153" t="str">
        <f t="array" ref="D337">IF($A337="","",IFERROR(INDEX(Sales!$C:$C,MATCH($A337,Sales!$E:$E,0)),""))</f>
        <v/>
      </c>
      <c r="E337" s="154" t="str">
        <f>IF($A337="","",SUMIFS(Sales!$H:$H,Sales!$E:$E,$A337,Sales!$B:$B,"&lt;&gt;Return"))</f>
        <v/>
      </c>
      <c r="F337" s="155" t="str">
        <f>IF($A337="","",SUMIF(Sales!$E:$E,$A337,Sales!$L:$L))</f>
        <v/>
      </c>
      <c r="G337" s="155" t="str">
        <f>IF($A337="","",SUMIF(Sales!$E:$E,$A337,Sales!$P:$P))</f>
        <v/>
      </c>
      <c r="H337" s="156" t="str">
        <f t="array" ref="H337">IF($A337="","",IFERROR(INDEX(Orders!$O$5:$O$1004,MATCH($A337,Orders!$N$5:$N$1004,0)),""))</f>
        <v/>
      </c>
      <c r="I337" s="156" t="str">
        <f t="array" ref="I337">IF($A337="","",IFERROR(INDEX(Orders!$P$5:$P$1004,MATCH($A337,Orders!$N$5:$N$1004,0)),""))</f>
        <v/>
      </c>
      <c r="J337" s="157" t="str">
        <f t="shared" si="1"/>
        <v/>
      </c>
      <c r="K337" s="153" t="str">
        <f t="array" ref="K337">IF($A337="","",IFERROR(INDEX(Sales!$M:$M,MATCH($A337,Sales!$E:$E,0)),""))</f>
        <v/>
      </c>
      <c r="L337" s="158" t="str">
        <f t="shared" si="2"/>
        <v/>
      </c>
      <c r="N337" s="49" t="str">
        <f t="array" ref="N337">IFERROR(INDEX(Sales!$E$7:$E$1506,MATCH(ROW()-4,Sales!$V$7:$V$1506,0)),"")</f>
        <v/>
      </c>
      <c r="O337" s="67"/>
      <c r="P337" s="67"/>
    </row>
    <row r="338" ht="15.75" customHeight="1">
      <c r="A338" s="151" t="str">
        <f t="array" ref="A338">IFERROR(INDEX(Sales!$E$7:$E$1506,MATCH(ROW()-4,Sales!$W$7:$W$1506,0)),"")</f>
        <v/>
      </c>
      <c r="B338" s="152" t="str">
        <f t="array" ref="B338">IF($A338="","",IFERROR(INDEX(Sales!$A:$A,MATCH($A338,Sales!$E:$E,0)),""))</f>
        <v/>
      </c>
      <c r="C338" s="153" t="str">
        <f t="array" ref="C338">IF($A338="","",IFERROR(INDEX(Sales!$D:$D,MATCH($A338,Sales!$E:$E,0)),""))</f>
        <v/>
      </c>
      <c r="D338" s="153" t="str">
        <f t="array" ref="D338">IF($A338="","",IFERROR(INDEX(Sales!$C:$C,MATCH($A338,Sales!$E:$E,0)),""))</f>
        <v/>
      </c>
      <c r="E338" s="154" t="str">
        <f>IF($A338="","",SUMIFS(Sales!$H:$H,Sales!$E:$E,$A338,Sales!$B:$B,"&lt;&gt;Return"))</f>
        <v/>
      </c>
      <c r="F338" s="155" t="str">
        <f>IF($A338="","",SUMIF(Sales!$E:$E,$A338,Sales!$L:$L))</f>
        <v/>
      </c>
      <c r="G338" s="155" t="str">
        <f>IF($A338="","",SUMIF(Sales!$E:$E,$A338,Sales!$P:$P))</f>
        <v/>
      </c>
      <c r="H338" s="156" t="str">
        <f t="array" ref="H338">IF($A338="","",IFERROR(INDEX(Orders!$O$5:$O$1004,MATCH($A338,Orders!$N$5:$N$1004,0)),""))</f>
        <v/>
      </c>
      <c r="I338" s="156" t="str">
        <f t="array" ref="I338">IF($A338="","",IFERROR(INDEX(Orders!$P$5:$P$1004,MATCH($A338,Orders!$N$5:$N$1004,0)),""))</f>
        <v/>
      </c>
      <c r="J338" s="157" t="str">
        <f t="shared" si="1"/>
        <v/>
      </c>
      <c r="K338" s="153" t="str">
        <f t="array" ref="K338">IF($A338="","",IFERROR(INDEX(Sales!$M:$M,MATCH($A338,Sales!$E:$E,0)),""))</f>
        <v/>
      </c>
      <c r="L338" s="158" t="str">
        <f t="shared" si="2"/>
        <v/>
      </c>
      <c r="N338" s="49" t="str">
        <f t="array" ref="N338">IFERROR(INDEX(Sales!$E$7:$E$1506,MATCH(ROW()-4,Sales!$V$7:$V$1506,0)),"")</f>
        <v/>
      </c>
      <c r="O338" s="67"/>
      <c r="P338" s="67"/>
    </row>
    <row r="339" ht="15.75" customHeight="1">
      <c r="A339" s="151" t="str">
        <f t="array" ref="A339">IFERROR(INDEX(Sales!$E$7:$E$1506,MATCH(ROW()-4,Sales!$W$7:$W$1506,0)),"")</f>
        <v/>
      </c>
      <c r="B339" s="152" t="str">
        <f t="array" ref="B339">IF($A339="","",IFERROR(INDEX(Sales!$A:$A,MATCH($A339,Sales!$E:$E,0)),""))</f>
        <v/>
      </c>
      <c r="C339" s="153" t="str">
        <f t="array" ref="C339">IF($A339="","",IFERROR(INDEX(Sales!$D:$D,MATCH($A339,Sales!$E:$E,0)),""))</f>
        <v/>
      </c>
      <c r="D339" s="153" t="str">
        <f t="array" ref="D339">IF($A339="","",IFERROR(INDEX(Sales!$C:$C,MATCH($A339,Sales!$E:$E,0)),""))</f>
        <v/>
      </c>
      <c r="E339" s="154" t="str">
        <f>IF($A339="","",SUMIFS(Sales!$H:$H,Sales!$E:$E,$A339,Sales!$B:$B,"&lt;&gt;Return"))</f>
        <v/>
      </c>
      <c r="F339" s="155" t="str">
        <f>IF($A339="","",SUMIF(Sales!$E:$E,$A339,Sales!$L:$L))</f>
        <v/>
      </c>
      <c r="G339" s="155" t="str">
        <f>IF($A339="","",SUMIF(Sales!$E:$E,$A339,Sales!$P:$P))</f>
        <v/>
      </c>
      <c r="H339" s="156" t="str">
        <f t="array" ref="H339">IF($A339="","",IFERROR(INDEX(Orders!$O$5:$O$1004,MATCH($A339,Orders!$N$5:$N$1004,0)),""))</f>
        <v/>
      </c>
      <c r="I339" s="156" t="str">
        <f t="array" ref="I339">IF($A339="","",IFERROR(INDEX(Orders!$P$5:$P$1004,MATCH($A339,Orders!$N$5:$N$1004,0)),""))</f>
        <v/>
      </c>
      <c r="J339" s="157" t="str">
        <f t="shared" si="1"/>
        <v/>
      </c>
      <c r="K339" s="153" t="str">
        <f t="array" ref="K339">IF($A339="","",IFERROR(INDEX(Sales!$M:$M,MATCH($A339,Sales!$E:$E,0)),""))</f>
        <v/>
      </c>
      <c r="L339" s="158" t="str">
        <f t="shared" si="2"/>
        <v/>
      </c>
      <c r="N339" s="49" t="str">
        <f t="array" ref="N339">IFERROR(INDEX(Sales!$E$7:$E$1506,MATCH(ROW()-4,Sales!$V$7:$V$1506,0)),"")</f>
        <v/>
      </c>
      <c r="O339" s="67"/>
      <c r="P339" s="67"/>
    </row>
    <row r="340" ht="15.75" customHeight="1">
      <c r="A340" s="151" t="str">
        <f t="array" ref="A340">IFERROR(INDEX(Sales!$E$7:$E$1506,MATCH(ROW()-4,Sales!$W$7:$W$1506,0)),"")</f>
        <v/>
      </c>
      <c r="B340" s="152" t="str">
        <f t="array" ref="B340">IF($A340="","",IFERROR(INDEX(Sales!$A:$A,MATCH($A340,Sales!$E:$E,0)),""))</f>
        <v/>
      </c>
      <c r="C340" s="153" t="str">
        <f t="array" ref="C340">IF($A340="","",IFERROR(INDEX(Sales!$D:$D,MATCH($A340,Sales!$E:$E,0)),""))</f>
        <v/>
      </c>
      <c r="D340" s="153" t="str">
        <f t="array" ref="D340">IF($A340="","",IFERROR(INDEX(Sales!$C:$C,MATCH($A340,Sales!$E:$E,0)),""))</f>
        <v/>
      </c>
      <c r="E340" s="154" t="str">
        <f>IF($A340="","",SUMIFS(Sales!$H:$H,Sales!$E:$E,$A340,Sales!$B:$B,"&lt;&gt;Return"))</f>
        <v/>
      </c>
      <c r="F340" s="155" t="str">
        <f>IF($A340="","",SUMIF(Sales!$E:$E,$A340,Sales!$L:$L))</f>
        <v/>
      </c>
      <c r="G340" s="155" t="str">
        <f>IF($A340="","",SUMIF(Sales!$E:$E,$A340,Sales!$P:$P))</f>
        <v/>
      </c>
      <c r="H340" s="156" t="str">
        <f t="array" ref="H340">IF($A340="","",IFERROR(INDEX(Orders!$O$5:$O$1004,MATCH($A340,Orders!$N$5:$N$1004,0)),""))</f>
        <v/>
      </c>
      <c r="I340" s="156" t="str">
        <f t="array" ref="I340">IF($A340="","",IFERROR(INDEX(Orders!$P$5:$P$1004,MATCH($A340,Orders!$N$5:$N$1004,0)),""))</f>
        <v/>
      </c>
      <c r="J340" s="157" t="str">
        <f t="shared" si="1"/>
        <v/>
      </c>
      <c r="K340" s="153" t="str">
        <f t="array" ref="K340">IF($A340="","",IFERROR(INDEX(Sales!$M:$M,MATCH($A340,Sales!$E:$E,0)),""))</f>
        <v/>
      </c>
      <c r="L340" s="158" t="str">
        <f t="shared" si="2"/>
        <v/>
      </c>
      <c r="N340" s="49" t="str">
        <f t="array" ref="N340">IFERROR(INDEX(Sales!$E$7:$E$1506,MATCH(ROW()-4,Sales!$V$7:$V$1506,0)),"")</f>
        <v/>
      </c>
      <c r="O340" s="67"/>
      <c r="P340" s="67"/>
    </row>
    <row r="341" ht="15.75" customHeight="1">
      <c r="A341" s="151" t="str">
        <f t="array" ref="A341">IFERROR(INDEX(Sales!$E$7:$E$1506,MATCH(ROW()-4,Sales!$W$7:$W$1506,0)),"")</f>
        <v/>
      </c>
      <c r="B341" s="152" t="str">
        <f t="array" ref="B341">IF($A341="","",IFERROR(INDEX(Sales!$A:$A,MATCH($A341,Sales!$E:$E,0)),""))</f>
        <v/>
      </c>
      <c r="C341" s="153" t="str">
        <f t="array" ref="C341">IF($A341="","",IFERROR(INDEX(Sales!$D:$D,MATCH($A341,Sales!$E:$E,0)),""))</f>
        <v/>
      </c>
      <c r="D341" s="153" t="str">
        <f t="array" ref="D341">IF($A341="","",IFERROR(INDEX(Sales!$C:$C,MATCH($A341,Sales!$E:$E,0)),""))</f>
        <v/>
      </c>
      <c r="E341" s="154" t="str">
        <f>IF($A341="","",SUMIFS(Sales!$H:$H,Sales!$E:$E,$A341,Sales!$B:$B,"&lt;&gt;Return"))</f>
        <v/>
      </c>
      <c r="F341" s="155" t="str">
        <f>IF($A341="","",SUMIF(Sales!$E:$E,$A341,Sales!$L:$L))</f>
        <v/>
      </c>
      <c r="G341" s="155" t="str">
        <f>IF($A341="","",SUMIF(Sales!$E:$E,$A341,Sales!$P:$P))</f>
        <v/>
      </c>
      <c r="H341" s="156" t="str">
        <f t="array" ref="H341">IF($A341="","",IFERROR(INDEX(Orders!$O$5:$O$1004,MATCH($A341,Orders!$N$5:$N$1004,0)),""))</f>
        <v/>
      </c>
      <c r="I341" s="156" t="str">
        <f t="array" ref="I341">IF($A341="","",IFERROR(INDEX(Orders!$P$5:$P$1004,MATCH($A341,Orders!$N$5:$N$1004,0)),""))</f>
        <v/>
      </c>
      <c r="J341" s="157" t="str">
        <f t="shared" si="1"/>
        <v/>
      </c>
      <c r="K341" s="153" t="str">
        <f t="array" ref="K341">IF($A341="","",IFERROR(INDEX(Sales!$M:$M,MATCH($A341,Sales!$E:$E,0)),""))</f>
        <v/>
      </c>
      <c r="L341" s="158" t="str">
        <f t="shared" si="2"/>
        <v/>
      </c>
      <c r="N341" s="49" t="str">
        <f t="array" ref="N341">IFERROR(INDEX(Sales!$E$7:$E$1506,MATCH(ROW()-4,Sales!$V$7:$V$1506,0)),"")</f>
        <v/>
      </c>
      <c r="O341" s="67"/>
      <c r="P341" s="67"/>
    </row>
    <row r="342" ht="15.75" customHeight="1">
      <c r="A342" s="151" t="str">
        <f t="array" ref="A342">IFERROR(INDEX(Sales!$E$7:$E$1506,MATCH(ROW()-4,Sales!$W$7:$W$1506,0)),"")</f>
        <v/>
      </c>
      <c r="B342" s="152" t="str">
        <f t="array" ref="B342">IF($A342="","",IFERROR(INDEX(Sales!$A:$A,MATCH($A342,Sales!$E:$E,0)),""))</f>
        <v/>
      </c>
      <c r="C342" s="153" t="str">
        <f t="array" ref="C342">IF($A342="","",IFERROR(INDEX(Sales!$D:$D,MATCH($A342,Sales!$E:$E,0)),""))</f>
        <v/>
      </c>
      <c r="D342" s="153" t="str">
        <f t="array" ref="D342">IF($A342="","",IFERROR(INDEX(Sales!$C:$C,MATCH($A342,Sales!$E:$E,0)),""))</f>
        <v/>
      </c>
      <c r="E342" s="154" t="str">
        <f>IF($A342="","",SUMIFS(Sales!$H:$H,Sales!$E:$E,$A342,Sales!$B:$B,"&lt;&gt;Return"))</f>
        <v/>
      </c>
      <c r="F342" s="155" t="str">
        <f>IF($A342="","",SUMIF(Sales!$E:$E,$A342,Sales!$L:$L))</f>
        <v/>
      </c>
      <c r="G342" s="155" t="str">
        <f>IF($A342="","",SUMIF(Sales!$E:$E,$A342,Sales!$P:$P))</f>
        <v/>
      </c>
      <c r="H342" s="156" t="str">
        <f t="array" ref="H342">IF($A342="","",IFERROR(INDEX(Orders!$O$5:$O$1004,MATCH($A342,Orders!$N$5:$N$1004,0)),""))</f>
        <v/>
      </c>
      <c r="I342" s="156" t="str">
        <f t="array" ref="I342">IF($A342="","",IFERROR(INDEX(Orders!$P$5:$P$1004,MATCH($A342,Orders!$N$5:$N$1004,0)),""))</f>
        <v/>
      </c>
      <c r="J342" s="157" t="str">
        <f t="shared" si="1"/>
        <v/>
      </c>
      <c r="K342" s="153" t="str">
        <f t="array" ref="K342">IF($A342="","",IFERROR(INDEX(Sales!$M:$M,MATCH($A342,Sales!$E:$E,0)),""))</f>
        <v/>
      </c>
      <c r="L342" s="158" t="str">
        <f t="shared" si="2"/>
        <v/>
      </c>
      <c r="N342" s="49" t="str">
        <f t="array" ref="N342">IFERROR(INDEX(Sales!$E$7:$E$1506,MATCH(ROW()-4,Sales!$V$7:$V$1506,0)),"")</f>
        <v/>
      </c>
      <c r="O342" s="67"/>
      <c r="P342" s="67"/>
    </row>
    <row r="343" ht="15.75" customHeight="1">
      <c r="A343" s="151" t="str">
        <f t="array" ref="A343">IFERROR(INDEX(Sales!$E$7:$E$1506,MATCH(ROW()-4,Sales!$W$7:$W$1506,0)),"")</f>
        <v/>
      </c>
      <c r="B343" s="152" t="str">
        <f t="array" ref="B343">IF($A343="","",IFERROR(INDEX(Sales!$A:$A,MATCH($A343,Sales!$E:$E,0)),""))</f>
        <v/>
      </c>
      <c r="C343" s="153" t="str">
        <f t="array" ref="C343">IF($A343="","",IFERROR(INDEX(Sales!$D:$D,MATCH($A343,Sales!$E:$E,0)),""))</f>
        <v/>
      </c>
      <c r="D343" s="153" t="str">
        <f t="array" ref="D343">IF($A343="","",IFERROR(INDEX(Sales!$C:$C,MATCH($A343,Sales!$E:$E,0)),""))</f>
        <v/>
      </c>
      <c r="E343" s="154" t="str">
        <f>IF($A343="","",SUMIFS(Sales!$H:$H,Sales!$E:$E,$A343,Sales!$B:$B,"&lt;&gt;Return"))</f>
        <v/>
      </c>
      <c r="F343" s="155" t="str">
        <f>IF($A343="","",SUMIF(Sales!$E:$E,$A343,Sales!$L:$L))</f>
        <v/>
      </c>
      <c r="G343" s="155" t="str">
        <f>IF($A343="","",SUMIF(Sales!$E:$E,$A343,Sales!$P:$P))</f>
        <v/>
      </c>
      <c r="H343" s="156" t="str">
        <f t="array" ref="H343">IF($A343="","",IFERROR(INDEX(Orders!$O$5:$O$1004,MATCH($A343,Orders!$N$5:$N$1004,0)),""))</f>
        <v/>
      </c>
      <c r="I343" s="156" t="str">
        <f t="array" ref="I343">IF($A343="","",IFERROR(INDEX(Orders!$P$5:$P$1004,MATCH($A343,Orders!$N$5:$N$1004,0)),""))</f>
        <v/>
      </c>
      <c r="J343" s="157" t="str">
        <f t="shared" si="1"/>
        <v/>
      </c>
      <c r="K343" s="153" t="str">
        <f t="array" ref="K343">IF($A343="","",IFERROR(INDEX(Sales!$M:$M,MATCH($A343,Sales!$E:$E,0)),""))</f>
        <v/>
      </c>
      <c r="L343" s="158" t="str">
        <f t="shared" si="2"/>
        <v/>
      </c>
      <c r="N343" s="49" t="str">
        <f t="array" ref="N343">IFERROR(INDEX(Sales!$E$7:$E$1506,MATCH(ROW()-4,Sales!$V$7:$V$1506,0)),"")</f>
        <v/>
      </c>
      <c r="O343" s="67"/>
      <c r="P343" s="67"/>
    </row>
    <row r="344" ht="15.75" customHeight="1">
      <c r="A344" s="151" t="str">
        <f t="array" ref="A344">IFERROR(INDEX(Sales!$E$7:$E$1506,MATCH(ROW()-4,Sales!$W$7:$W$1506,0)),"")</f>
        <v/>
      </c>
      <c r="B344" s="152" t="str">
        <f t="array" ref="B344">IF($A344="","",IFERROR(INDEX(Sales!$A:$A,MATCH($A344,Sales!$E:$E,0)),""))</f>
        <v/>
      </c>
      <c r="C344" s="153" t="str">
        <f t="array" ref="C344">IF($A344="","",IFERROR(INDEX(Sales!$D:$D,MATCH($A344,Sales!$E:$E,0)),""))</f>
        <v/>
      </c>
      <c r="D344" s="153" t="str">
        <f t="array" ref="D344">IF($A344="","",IFERROR(INDEX(Sales!$C:$C,MATCH($A344,Sales!$E:$E,0)),""))</f>
        <v/>
      </c>
      <c r="E344" s="154" t="str">
        <f>IF($A344="","",SUMIFS(Sales!$H:$H,Sales!$E:$E,$A344,Sales!$B:$B,"&lt;&gt;Return"))</f>
        <v/>
      </c>
      <c r="F344" s="155" t="str">
        <f>IF($A344="","",SUMIF(Sales!$E:$E,$A344,Sales!$L:$L))</f>
        <v/>
      </c>
      <c r="G344" s="155" t="str">
        <f>IF($A344="","",SUMIF(Sales!$E:$E,$A344,Sales!$P:$P))</f>
        <v/>
      </c>
      <c r="H344" s="156" t="str">
        <f t="array" ref="H344">IF($A344="","",IFERROR(INDEX(Orders!$O$5:$O$1004,MATCH($A344,Orders!$N$5:$N$1004,0)),""))</f>
        <v/>
      </c>
      <c r="I344" s="156" t="str">
        <f t="array" ref="I344">IF($A344="","",IFERROR(INDEX(Orders!$P$5:$P$1004,MATCH($A344,Orders!$N$5:$N$1004,0)),""))</f>
        <v/>
      </c>
      <c r="J344" s="157" t="str">
        <f t="shared" si="1"/>
        <v/>
      </c>
      <c r="K344" s="153" t="str">
        <f t="array" ref="K344">IF($A344="","",IFERROR(INDEX(Sales!$M:$M,MATCH($A344,Sales!$E:$E,0)),""))</f>
        <v/>
      </c>
      <c r="L344" s="158" t="str">
        <f t="shared" si="2"/>
        <v/>
      </c>
      <c r="N344" s="49" t="str">
        <f t="array" ref="N344">IFERROR(INDEX(Sales!$E$7:$E$1506,MATCH(ROW()-4,Sales!$V$7:$V$1506,0)),"")</f>
        <v/>
      </c>
      <c r="O344" s="67"/>
      <c r="P344" s="67"/>
    </row>
    <row r="345" ht="15.75" customHeight="1">
      <c r="A345" s="151" t="str">
        <f t="array" ref="A345">IFERROR(INDEX(Sales!$E$7:$E$1506,MATCH(ROW()-4,Sales!$W$7:$W$1506,0)),"")</f>
        <v/>
      </c>
      <c r="B345" s="152" t="str">
        <f t="array" ref="B345">IF($A345="","",IFERROR(INDEX(Sales!$A:$A,MATCH($A345,Sales!$E:$E,0)),""))</f>
        <v/>
      </c>
      <c r="C345" s="153" t="str">
        <f t="array" ref="C345">IF($A345="","",IFERROR(INDEX(Sales!$D:$D,MATCH($A345,Sales!$E:$E,0)),""))</f>
        <v/>
      </c>
      <c r="D345" s="153" t="str">
        <f t="array" ref="D345">IF($A345="","",IFERROR(INDEX(Sales!$C:$C,MATCH($A345,Sales!$E:$E,0)),""))</f>
        <v/>
      </c>
      <c r="E345" s="154" t="str">
        <f>IF($A345="","",SUMIFS(Sales!$H:$H,Sales!$E:$E,$A345,Sales!$B:$B,"&lt;&gt;Return"))</f>
        <v/>
      </c>
      <c r="F345" s="155" t="str">
        <f>IF($A345="","",SUMIF(Sales!$E:$E,$A345,Sales!$L:$L))</f>
        <v/>
      </c>
      <c r="G345" s="155" t="str">
        <f>IF($A345="","",SUMIF(Sales!$E:$E,$A345,Sales!$P:$P))</f>
        <v/>
      </c>
      <c r="H345" s="156" t="str">
        <f t="array" ref="H345">IF($A345="","",IFERROR(INDEX(Orders!$O$5:$O$1004,MATCH($A345,Orders!$N$5:$N$1004,0)),""))</f>
        <v/>
      </c>
      <c r="I345" s="156" t="str">
        <f t="array" ref="I345">IF($A345="","",IFERROR(INDEX(Orders!$P$5:$P$1004,MATCH($A345,Orders!$N$5:$N$1004,0)),""))</f>
        <v/>
      </c>
      <c r="J345" s="157" t="str">
        <f t="shared" si="1"/>
        <v/>
      </c>
      <c r="K345" s="153" t="str">
        <f t="array" ref="K345">IF($A345="","",IFERROR(INDEX(Sales!$M:$M,MATCH($A345,Sales!$E:$E,0)),""))</f>
        <v/>
      </c>
      <c r="L345" s="158" t="str">
        <f t="shared" si="2"/>
        <v/>
      </c>
      <c r="N345" s="49" t="str">
        <f t="array" ref="N345">IFERROR(INDEX(Sales!$E$7:$E$1506,MATCH(ROW()-4,Sales!$V$7:$V$1506,0)),"")</f>
        <v/>
      </c>
      <c r="O345" s="67"/>
      <c r="P345" s="67"/>
    </row>
    <row r="346" ht="15.75" customHeight="1">
      <c r="A346" s="151" t="str">
        <f t="array" ref="A346">IFERROR(INDEX(Sales!$E$7:$E$1506,MATCH(ROW()-4,Sales!$W$7:$W$1506,0)),"")</f>
        <v/>
      </c>
      <c r="B346" s="152" t="str">
        <f t="array" ref="B346">IF($A346="","",IFERROR(INDEX(Sales!$A:$A,MATCH($A346,Sales!$E:$E,0)),""))</f>
        <v/>
      </c>
      <c r="C346" s="153" t="str">
        <f t="array" ref="C346">IF($A346="","",IFERROR(INDEX(Sales!$D:$D,MATCH($A346,Sales!$E:$E,0)),""))</f>
        <v/>
      </c>
      <c r="D346" s="153" t="str">
        <f t="array" ref="D346">IF($A346="","",IFERROR(INDEX(Sales!$C:$C,MATCH($A346,Sales!$E:$E,0)),""))</f>
        <v/>
      </c>
      <c r="E346" s="154" t="str">
        <f>IF($A346="","",SUMIFS(Sales!$H:$H,Sales!$E:$E,$A346,Sales!$B:$B,"&lt;&gt;Return"))</f>
        <v/>
      </c>
      <c r="F346" s="155" t="str">
        <f>IF($A346="","",SUMIF(Sales!$E:$E,$A346,Sales!$L:$L))</f>
        <v/>
      </c>
      <c r="G346" s="155" t="str">
        <f>IF($A346="","",SUMIF(Sales!$E:$E,$A346,Sales!$P:$P))</f>
        <v/>
      </c>
      <c r="H346" s="156" t="str">
        <f t="array" ref="H346">IF($A346="","",IFERROR(INDEX(Orders!$O$5:$O$1004,MATCH($A346,Orders!$N$5:$N$1004,0)),""))</f>
        <v/>
      </c>
      <c r="I346" s="156" t="str">
        <f t="array" ref="I346">IF($A346="","",IFERROR(INDEX(Orders!$P$5:$P$1004,MATCH($A346,Orders!$N$5:$N$1004,0)),""))</f>
        <v/>
      </c>
      <c r="J346" s="157" t="str">
        <f t="shared" si="1"/>
        <v/>
      </c>
      <c r="K346" s="153" t="str">
        <f t="array" ref="K346">IF($A346="","",IFERROR(INDEX(Sales!$M:$M,MATCH($A346,Sales!$E:$E,0)),""))</f>
        <v/>
      </c>
      <c r="L346" s="158" t="str">
        <f t="shared" si="2"/>
        <v/>
      </c>
      <c r="N346" s="49" t="str">
        <f t="array" ref="N346">IFERROR(INDEX(Sales!$E$7:$E$1506,MATCH(ROW()-4,Sales!$V$7:$V$1506,0)),"")</f>
        <v/>
      </c>
      <c r="O346" s="67"/>
      <c r="P346" s="67"/>
    </row>
    <row r="347" ht="15.75" customHeight="1">
      <c r="A347" s="151" t="str">
        <f t="array" ref="A347">IFERROR(INDEX(Sales!$E$7:$E$1506,MATCH(ROW()-4,Sales!$W$7:$W$1506,0)),"")</f>
        <v/>
      </c>
      <c r="B347" s="152" t="str">
        <f t="array" ref="B347">IF($A347="","",IFERROR(INDEX(Sales!$A:$A,MATCH($A347,Sales!$E:$E,0)),""))</f>
        <v/>
      </c>
      <c r="C347" s="153" t="str">
        <f t="array" ref="C347">IF($A347="","",IFERROR(INDEX(Sales!$D:$D,MATCH($A347,Sales!$E:$E,0)),""))</f>
        <v/>
      </c>
      <c r="D347" s="153" t="str">
        <f t="array" ref="D347">IF($A347="","",IFERROR(INDEX(Sales!$C:$C,MATCH($A347,Sales!$E:$E,0)),""))</f>
        <v/>
      </c>
      <c r="E347" s="154" t="str">
        <f>IF($A347="","",SUMIFS(Sales!$H:$H,Sales!$E:$E,$A347,Sales!$B:$B,"&lt;&gt;Return"))</f>
        <v/>
      </c>
      <c r="F347" s="155" t="str">
        <f>IF($A347="","",SUMIF(Sales!$E:$E,$A347,Sales!$L:$L))</f>
        <v/>
      </c>
      <c r="G347" s="155" t="str">
        <f>IF($A347="","",SUMIF(Sales!$E:$E,$A347,Sales!$P:$P))</f>
        <v/>
      </c>
      <c r="H347" s="156" t="str">
        <f t="array" ref="H347">IF($A347="","",IFERROR(INDEX(Orders!$O$5:$O$1004,MATCH($A347,Orders!$N$5:$N$1004,0)),""))</f>
        <v/>
      </c>
      <c r="I347" s="156" t="str">
        <f t="array" ref="I347">IF($A347="","",IFERROR(INDEX(Orders!$P$5:$P$1004,MATCH($A347,Orders!$N$5:$N$1004,0)),""))</f>
        <v/>
      </c>
      <c r="J347" s="157" t="str">
        <f t="shared" si="1"/>
        <v/>
      </c>
      <c r="K347" s="153" t="str">
        <f t="array" ref="K347">IF($A347="","",IFERROR(INDEX(Sales!$M:$M,MATCH($A347,Sales!$E:$E,0)),""))</f>
        <v/>
      </c>
      <c r="L347" s="158" t="str">
        <f t="shared" si="2"/>
        <v/>
      </c>
      <c r="N347" s="49" t="str">
        <f t="array" ref="N347">IFERROR(INDEX(Sales!$E$7:$E$1506,MATCH(ROW()-4,Sales!$V$7:$V$1506,0)),"")</f>
        <v/>
      </c>
      <c r="O347" s="67"/>
      <c r="P347" s="67"/>
    </row>
    <row r="348" ht="15.75" customHeight="1">
      <c r="A348" s="151" t="str">
        <f t="array" ref="A348">IFERROR(INDEX(Sales!$E$7:$E$1506,MATCH(ROW()-4,Sales!$W$7:$W$1506,0)),"")</f>
        <v/>
      </c>
      <c r="B348" s="152" t="str">
        <f t="array" ref="B348">IF($A348="","",IFERROR(INDEX(Sales!$A:$A,MATCH($A348,Sales!$E:$E,0)),""))</f>
        <v/>
      </c>
      <c r="C348" s="153" t="str">
        <f t="array" ref="C348">IF($A348="","",IFERROR(INDEX(Sales!$D:$D,MATCH($A348,Sales!$E:$E,0)),""))</f>
        <v/>
      </c>
      <c r="D348" s="153" t="str">
        <f t="array" ref="D348">IF($A348="","",IFERROR(INDEX(Sales!$C:$C,MATCH($A348,Sales!$E:$E,0)),""))</f>
        <v/>
      </c>
      <c r="E348" s="154" t="str">
        <f>IF($A348="","",SUMIFS(Sales!$H:$H,Sales!$E:$E,$A348,Sales!$B:$B,"&lt;&gt;Return"))</f>
        <v/>
      </c>
      <c r="F348" s="155" t="str">
        <f>IF($A348="","",SUMIF(Sales!$E:$E,$A348,Sales!$L:$L))</f>
        <v/>
      </c>
      <c r="G348" s="155" t="str">
        <f>IF($A348="","",SUMIF(Sales!$E:$E,$A348,Sales!$P:$P))</f>
        <v/>
      </c>
      <c r="H348" s="156" t="str">
        <f t="array" ref="H348">IF($A348="","",IFERROR(INDEX(Orders!$O$5:$O$1004,MATCH($A348,Orders!$N$5:$N$1004,0)),""))</f>
        <v/>
      </c>
      <c r="I348" s="156" t="str">
        <f t="array" ref="I348">IF($A348="","",IFERROR(INDEX(Orders!$P$5:$P$1004,MATCH($A348,Orders!$N$5:$N$1004,0)),""))</f>
        <v/>
      </c>
      <c r="J348" s="157" t="str">
        <f t="shared" si="1"/>
        <v/>
      </c>
      <c r="K348" s="153" t="str">
        <f t="array" ref="K348">IF($A348="","",IFERROR(INDEX(Sales!$M:$M,MATCH($A348,Sales!$E:$E,0)),""))</f>
        <v/>
      </c>
      <c r="L348" s="158" t="str">
        <f t="shared" si="2"/>
        <v/>
      </c>
      <c r="N348" s="49" t="str">
        <f t="array" ref="N348">IFERROR(INDEX(Sales!$E$7:$E$1506,MATCH(ROW()-4,Sales!$V$7:$V$1506,0)),"")</f>
        <v/>
      </c>
      <c r="O348" s="67"/>
      <c r="P348" s="67"/>
    </row>
    <row r="349" ht="15.75" customHeight="1">
      <c r="A349" s="151" t="str">
        <f t="array" ref="A349">IFERROR(INDEX(Sales!$E$7:$E$1506,MATCH(ROW()-4,Sales!$W$7:$W$1506,0)),"")</f>
        <v/>
      </c>
      <c r="B349" s="152" t="str">
        <f t="array" ref="B349">IF($A349="","",IFERROR(INDEX(Sales!$A:$A,MATCH($A349,Sales!$E:$E,0)),""))</f>
        <v/>
      </c>
      <c r="C349" s="153" t="str">
        <f t="array" ref="C349">IF($A349="","",IFERROR(INDEX(Sales!$D:$D,MATCH($A349,Sales!$E:$E,0)),""))</f>
        <v/>
      </c>
      <c r="D349" s="153" t="str">
        <f t="array" ref="D349">IF($A349="","",IFERROR(INDEX(Sales!$C:$C,MATCH($A349,Sales!$E:$E,0)),""))</f>
        <v/>
      </c>
      <c r="E349" s="154" t="str">
        <f>IF($A349="","",SUMIFS(Sales!$H:$H,Sales!$E:$E,$A349,Sales!$B:$B,"&lt;&gt;Return"))</f>
        <v/>
      </c>
      <c r="F349" s="155" t="str">
        <f>IF($A349="","",SUMIF(Sales!$E:$E,$A349,Sales!$L:$L))</f>
        <v/>
      </c>
      <c r="G349" s="155" t="str">
        <f>IF($A349="","",SUMIF(Sales!$E:$E,$A349,Sales!$P:$P))</f>
        <v/>
      </c>
      <c r="H349" s="156" t="str">
        <f t="array" ref="H349">IF($A349="","",IFERROR(INDEX(Orders!$O$5:$O$1004,MATCH($A349,Orders!$N$5:$N$1004,0)),""))</f>
        <v/>
      </c>
      <c r="I349" s="156" t="str">
        <f t="array" ref="I349">IF($A349="","",IFERROR(INDEX(Orders!$P$5:$P$1004,MATCH($A349,Orders!$N$5:$N$1004,0)),""))</f>
        <v/>
      </c>
      <c r="J349" s="157" t="str">
        <f t="shared" si="1"/>
        <v/>
      </c>
      <c r="K349" s="153" t="str">
        <f t="array" ref="K349">IF($A349="","",IFERROR(INDEX(Sales!$M:$M,MATCH($A349,Sales!$E:$E,0)),""))</f>
        <v/>
      </c>
      <c r="L349" s="158" t="str">
        <f t="shared" si="2"/>
        <v/>
      </c>
      <c r="N349" s="49" t="str">
        <f t="array" ref="N349">IFERROR(INDEX(Sales!$E$7:$E$1506,MATCH(ROW()-4,Sales!$V$7:$V$1506,0)),"")</f>
        <v/>
      </c>
      <c r="O349" s="67"/>
      <c r="P349" s="67"/>
    </row>
    <row r="350" ht="15.75" customHeight="1">
      <c r="A350" s="151" t="str">
        <f t="array" ref="A350">IFERROR(INDEX(Sales!$E$7:$E$1506,MATCH(ROW()-4,Sales!$W$7:$W$1506,0)),"")</f>
        <v/>
      </c>
      <c r="B350" s="152" t="str">
        <f t="array" ref="B350">IF($A350="","",IFERROR(INDEX(Sales!$A:$A,MATCH($A350,Sales!$E:$E,0)),""))</f>
        <v/>
      </c>
      <c r="C350" s="153" t="str">
        <f t="array" ref="C350">IF($A350="","",IFERROR(INDEX(Sales!$D:$D,MATCH($A350,Sales!$E:$E,0)),""))</f>
        <v/>
      </c>
      <c r="D350" s="153" t="str">
        <f t="array" ref="D350">IF($A350="","",IFERROR(INDEX(Sales!$C:$C,MATCH($A350,Sales!$E:$E,0)),""))</f>
        <v/>
      </c>
      <c r="E350" s="154" t="str">
        <f>IF($A350="","",SUMIFS(Sales!$H:$H,Sales!$E:$E,$A350,Sales!$B:$B,"&lt;&gt;Return"))</f>
        <v/>
      </c>
      <c r="F350" s="155" t="str">
        <f>IF($A350="","",SUMIF(Sales!$E:$E,$A350,Sales!$L:$L))</f>
        <v/>
      </c>
      <c r="G350" s="155" t="str">
        <f>IF($A350="","",SUMIF(Sales!$E:$E,$A350,Sales!$P:$P))</f>
        <v/>
      </c>
      <c r="H350" s="156" t="str">
        <f t="array" ref="H350">IF($A350="","",IFERROR(INDEX(Orders!$O$5:$O$1004,MATCH($A350,Orders!$N$5:$N$1004,0)),""))</f>
        <v/>
      </c>
      <c r="I350" s="156" t="str">
        <f t="array" ref="I350">IF($A350="","",IFERROR(INDEX(Orders!$P$5:$P$1004,MATCH($A350,Orders!$N$5:$N$1004,0)),""))</f>
        <v/>
      </c>
      <c r="J350" s="157" t="str">
        <f t="shared" si="1"/>
        <v/>
      </c>
      <c r="K350" s="153" t="str">
        <f t="array" ref="K350">IF($A350="","",IFERROR(INDEX(Sales!$M:$M,MATCH($A350,Sales!$E:$E,0)),""))</f>
        <v/>
      </c>
      <c r="L350" s="158" t="str">
        <f t="shared" si="2"/>
        <v/>
      </c>
      <c r="N350" s="49" t="str">
        <f t="array" ref="N350">IFERROR(INDEX(Sales!$E$7:$E$1506,MATCH(ROW()-4,Sales!$V$7:$V$1506,0)),"")</f>
        <v/>
      </c>
      <c r="O350" s="67"/>
      <c r="P350" s="67"/>
    </row>
    <row r="351" ht="15.75" customHeight="1">
      <c r="A351" s="151" t="str">
        <f t="array" ref="A351">IFERROR(INDEX(Sales!$E$7:$E$1506,MATCH(ROW()-4,Sales!$W$7:$W$1506,0)),"")</f>
        <v/>
      </c>
      <c r="B351" s="152" t="str">
        <f t="array" ref="B351">IF($A351="","",IFERROR(INDEX(Sales!$A:$A,MATCH($A351,Sales!$E:$E,0)),""))</f>
        <v/>
      </c>
      <c r="C351" s="153" t="str">
        <f t="array" ref="C351">IF($A351="","",IFERROR(INDEX(Sales!$D:$D,MATCH($A351,Sales!$E:$E,0)),""))</f>
        <v/>
      </c>
      <c r="D351" s="153" t="str">
        <f t="array" ref="D351">IF($A351="","",IFERROR(INDEX(Sales!$C:$C,MATCH($A351,Sales!$E:$E,0)),""))</f>
        <v/>
      </c>
      <c r="E351" s="154" t="str">
        <f>IF($A351="","",SUMIFS(Sales!$H:$H,Sales!$E:$E,$A351,Sales!$B:$B,"&lt;&gt;Return"))</f>
        <v/>
      </c>
      <c r="F351" s="155" t="str">
        <f>IF($A351="","",SUMIF(Sales!$E:$E,$A351,Sales!$L:$L))</f>
        <v/>
      </c>
      <c r="G351" s="155" t="str">
        <f>IF($A351="","",SUMIF(Sales!$E:$E,$A351,Sales!$P:$P))</f>
        <v/>
      </c>
      <c r="H351" s="156" t="str">
        <f t="array" ref="H351">IF($A351="","",IFERROR(INDEX(Orders!$O$5:$O$1004,MATCH($A351,Orders!$N$5:$N$1004,0)),""))</f>
        <v/>
      </c>
      <c r="I351" s="156" t="str">
        <f t="array" ref="I351">IF($A351="","",IFERROR(INDEX(Orders!$P$5:$P$1004,MATCH($A351,Orders!$N$5:$N$1004,0)),""))</f>
        <v/>
      </c>
      <c r="J351" s="157" t="str">
        <f t="shared" si="1"/>
        <v/>
      </c>
      <c r="K351" s="153" t="str">
        <f t="array" ref="K351">IF($A351="","",IFERROR(INDEX(Sales!$M:$M,MATCH($A351,Sales!$E:$E,0)),""))</f>
        <v/>
      </c>
      <c r="L351" s="158" t="str">
        <f t="shared" si="2"/>
        <v/>
      </c>
      <c r="N351" s="49" t="str">
        <f t="array" ref="N351">IFERROR(INDEX(Sales!$E$7:$E$1506,MATCH(ROW()-4,Sales!$V$7:$V$1506,0)),"")</f>
        <v/>
      </c>
      <c r="O351" s="67"/>
      <c r="P351" s="67"/>
    </row>
    <row r="352" ht="15.75" customHeight="1">
      <c r="A352" s="151" t="str">
        <f t="array" ref="A352">IFERROR(INDEX(Sales!$E$7:$E$1506,MATCH(ROW()-4,Sales!$W$7:$W$1506,0)),"")</f>
        <v/>
      </c>
      <c r="B352" s="152" t="str">
        <f t="array" ref="B352">IF($A352="","",IFERROR(INDEX(Sales!$A:$A,MATCH($A352,Sales!$E:$E,0)),""))</f>
        <v/>
      </c>
      <c r="C352" s="153" t="str">
        <f t="array" ref="C352">IF($A352="","",IFERROR(INDEX(Sales!$D:$D,MATCH($A352,Sales!$E:$E,0)),""))</f>
        <v/>
      </c>
      <c r="D352" s="153" t="str">
        <f t="array" ref="D352">IF($A352="","",IFERROR(INDEX(Sales!$C:$C,MATCH($A352,Sales!$E:$E,0)),""))</f>
        <v/>
      </c>
      <c r="E352" s="154" t="str">
        <f>IF($A352="","",SUMIFS(Sales!$H:$H,Sales!$E:$E,$A352,Sales!$B:$B,"&lt;&gt;Return"))</f>
        <v/>
      </c>
      <c r="F352" s="155" t="str">
        <f>IF($A352="","",SUMIF(Sales!$E:$E,$A352,Sales!$L:$L))</f>
        <v/>
      </c>
      <c r="G352" s="155" t="str">
        <f>IF($A352="","",SUMIF(Sales!$E:$E,$A352,Sales!$P:$P))</f>
        <v/>
      </c>
      <c r="H352" s="156" t="str">
        <f t="array" ref="H352">IF($A352="","",IFERROR(INDEX(Orders!$O$5:$O$1004,MATCH($A352,Orders!$N$5:$N$1004,0)),""))</f>
        <v/>
      </c>
      <c r="I352" s="156" t="str">
        <f t="array" ref="I352">IF($A352="","",IFERROR(INDEX(Orders!$P$5:$P$1004,MATCH($A352,Orders!$N$5:$N$1004,0)),""))</f>
        <v/>
      </c>
      <c r="J352" s="157" t="str">
        <f t="shared" si="1"/>
        <v/>
      </c>
      <c r="K352" s="153" t="str">
        <f t="array" ref="K352">IF($A352="","",IFERROR(INDEX(Sales!$M:$M,MATCH($A352,Sales!$E:$E,0)),""))</f>
        <v/>
      </c>
      <c r="L352" s="158" t="str">
        <f t="shared" si="2"/>
        <v/>
      </c>
      <c r="N352" s="49" t="str">
        <f t="array" ref="N352">IFERROR(INDEX(Sales!$E$7:$E$1506,MATCH(ROW()-4,Sales!$V$7:$V$1506,0)),"")</f>
        <v/>
      </c>
      <c r="O352" s="67"/>
      <c r="P352" s="67"/>
    </row>
    <row r="353" ht="15.75" customHeight="1">
      <c r="A353" s="151" t="str">
        <f t="array" ref="A353">IFERROR(INDEX(Sales!$E$7:$E$1506,MATCH(ROW()-4,Sales!$W$7:$W$1506,0)),"")</f>
        <v/>
      </c>
      <c r="B353" s="152" t="str">
        <f t="array" ref="B353">IF($A353="","",IFERROR(INDEX(Sales!$A:$A,MATCH($A353,Sales!$E:$E,0)),""))</f>
        <v/>
      </c>
      <c r="C353" s="153" t="str">
        <f t="array" ref="C353">IF($A353="","",IFERROR(INDEX(Sales!$D:$D,MATCH($A353,Sales!$E:$E,0)),""))</f>
        <v/>
      </c>
      <c r="D353" s="153" t="str">
        <f t="array" ref="D353">IF($A353="","",IFERROR(INDEX(Sales!$C:$C,MATCH($A353,Sales!$E:$E,0)),""))</f>
        <v/>
      </c>
      <c r="E353" s="154" t="str">
        <f>IF($A353="","",SUMIFS(Sales!$H:$H,Sales!$E:$E,$A353,Sales!$B:$B,"&lt;&gt;Return"))</f>
        <v/>
      </c>
      <c r="F353" s="155" t="str">
        <f>IF($A353="","",SUMIF(Sales!$E:$E,$A353,Sales!$L:$L))</f>
        <v/>
      </c>
      <c r="G353" s="155" t="str">
        <f>IF($A353="","",SUMIF(Sales!$E:$E,$A353,Sales!$P:$P))</f>
        <v/>
      </c>
      <c r="H353" s="156" t="str">
        <f t="array" ref="H353">IF($A353="","",IFERROR(INDEX(Orders!$O$5:$O$1004,MATCH($A353,Orders!$N$5:$N$1004,0)),""))</f>
        <v/>
      </c>
      <c r="I353" s="156" t="str">
        <f t="array" ref="I353">IF($A353="","",IFERROR(INDEX(Orders!$P$5:$P$1004,MATCH($A353,Orders!$N$5:$N$1004,0)),""))</f>
        <v/>
      </c>
      <c r="J353" s="157" t="str">
        <f t="shared" si="1"/>
        <v/>
      </c>
      <c r="K353" s="153" t="str">
        <f t="array" ref="K353">IF($A353="","",IFERROR(INDEX(Sales!$M:$M,MATCH($A353,Sales!$E:$E,0)),""))</f>
        <v/>
      </c>
      <c r="L353" s="158" t="str">
        <f t="shared" si="2"/>
        <v/>
      </c>
      <c r="N353" s="49" t="str">
        <f t="array" ref="N353">IFERROR(INDEX(Sales!$E$7:$E$1506,MATCH(ROW()-4,Sales!$V$7:$V$1506,0)),"")</f>
        <v/>
      </c>
      <c r="O353" s="67"/>
      <c r="P353" s="67"/>
    </row>
    <row r="354" ht="15.75" customHeight="1">
      <c r="A354" s="151" t="str">
        <f t="array" ref="A354">IFERROR(INDEX(Sales!$E$7:$E$1506,MATCH(ROW()-4,Sales!$W$7:$W$1506,0)),"")</f>
        <v/>
      </c>
      <c r="B354" s="152" t="str">
        <f t="array" ref="B354">IF($A354="","",IFERROR(INDEX(Sales!$A:$A,MATCH($A354,Sales!$E:$E,0)),""))</f>
        <v/>
      </c>
      <c r="C354" s="153" t="str">
        <f t="array" ref="C354">IF($A354="","",IFERROR(INDEX(Sales!$D:$D,MATCH($A354,Sales!$E:$E,0)),""))</f>
        <v/>
      </c>
      <c r="D354" s="153" t="str">
        <f t="array" ref="D354">IF($A354="","",IFERROR(INDEX(Sales!$C:$C,MATCH($A354,Sales!$E:$E,0)),""))</f>
        <v/>
      </c>
      <c r="E354" s="154" t="str">
        <f>IF($A354="","",SUMIFS(Sales!$H:$H,Sales!$E:$E,$A354,Sales!$B:$B,"&lt;&gt;Return"))</f>
        <v/>
      </c>
      <c r="F354" s="155" t="str">
        <f>IF($A354="","",SUMIF(Sales!$E:$E,$A354,Sales!$L:$L))</f>
        <v/>
      </c>
      <c r="G354" s="155" t="str">
        <f>IF($A354="","",SUMIF(Sales!$E:$E,$A354,Sales!$P:$P))</f>
        <v/>
      </c>
      <c r="H354" s="156" t="str">
        <f t="array" ref="H354">IF($A354="","",IFERROR(INDEX(Orders!$O$5:$O$1004,MATCH($A354,Orders!$N$5:$N$1004,0)),""))</f>
        <v/>
      </c>
      <c r="I354" s="156" t="str">
        <f t="array" ref="I354">IF($A354="","",IFERROR(INDEX(Orders!$P$5:$P$1004,MATCH($A354,Orders!$N$5:$N$1004,0)),""))</f>
        <v/>
      </c>
      <c r="J354" s="157" t="str">
        <f t="shared" si="1"/>
        <v/>
      </c>
      <c r="K354" s="153" t="str">
        <f t="array" ref="K354">IF($A354="","",IFERROR(INDEX(Sales!$M:$M,MATCH($A354,Sales!$E:$E,0)),""))</f>
        <v/>
      </c>
      <c r="L354" s="158" t="str">
        <f t="shared" si="2"/>
        <v/>
      </c>
      <c r="N354" s="49" t="str">
        <f t="array" ref="N354">IFERROR(INDEX(Sales!$E$7:$E$1506,MATCH(ROW()-4,Sales!$V$7:$V$1506,0)),"")</f>
        <v/>
      </c>
      <c r="O354" s="67"/>
      <c r="P354" s="67"/>
    </row>
    <row r="355" ht="15.75" customHeight="1">
      <c r="A355" s="151" t="str">
        <f t="array" ref="A355">IFERROR(INDEX(Sales!$E$7:$E$1506,MATCH(ROW()-4,Sales!$W$7:$W$1506,0)),"")</f>
        <v/>
      </c>
      <c r="B355" s="152" t="str">
        <f t="array" ref="B355">IF($A355="","",IFERROR(INDEX(Sales!$A:$A,MATCH($A355,Sales!$E:$E,0)),""))</f>
        <v/>
      </c>
      <c r="C355" s="153" t="str">
        <f t="array" ref="C355">IF($A355="","",IFERROR(INDEX(Sales!$D:$D,MATCH($A355,Sales!$E:$E,0)),""))</f>
        <v/>
      </c>
      <c r="D355" s="153" t="str">
        <f t="array" ref="D355">IF($A355="","",IFERROR(INDEX(Sales!$C:$C,MATCH($A355,Sales!$E:$E,0)),""))</f>
        <v/>
      </c>
      <c r="E355" s="154" t="str">
        <f>IF($A355="","",SUMIFS(Sales!$H:$H,Sales!$E:$E,$A355,Sales!$B:$B,"&lt;&gt;Return"))</f>
        <v/>
      </c>
      <c r="F355" s="155" t="str">
        <f>IF($A355="","",SUMIF(Sales!$E:$E,$A355,Sales!$L:$L))</f>
        <v/>
      </c>
      <c r="G355" s="155" t="str">
        <f>IF($A355="","",SUMIF(Sales!$E:$E,$A355,Sales!$P:$P))</f>
        <v/>
      </c>
      <c r="H355" s="156" t="str">
        <f t="array" ref="H355">IF($A355="","",IFERROR(INDEX(Orders!$O$5:$O$1004,MATCH($A355,Orders!$N$5:$N$1004,0)),""))</f>
        <v/>
      </c>
      <c r="I355" s="156" t="str">
        <f t="array" ref="I355">IF($A355="","",IFERROR(INDEX(Orders!$P$5:$P$1004,MATCH($A355,Orders!$N$5:$N$1004,0)),""))</f>
        <v/>
      </c>
      <c r="J355" s="157" t="str">
        <f t="shared" si="1"/>
        <v/>
      </c>
      <c r="K355" s="153" t="str">
        <f t="array" ref="K355">IF($A355="","",IFERROR(INDEX(Sales!$M:$M,MATCH($A355,Sales!$E:$E,0)),""))</f>
        <v/>
      </c>
      <c r="L355" s="158" t="str">
        <f t="shared" si="2"/>
        <v/>
      </c>
      <c r="N355" s="49" t="str">
        <f t="array" ref="N355">IFERROR(INDEX(Sales!$E$7:$E$1506,MATCH(ROW()-4,Sales!$V$7:$V$1506,0)),"")</f>
        <v/>
      </c>
      <c r="O355" s="67"/>
      <c r="P355" s="67"/>
    </row>
    <row r="356" ht="15.75" customHeight="1">
      <c r="A356" s="151" t="str">
        <f t="array" ref="A356">IFERROR(INDEX(Sales!$E$7:$E$1506,MATCH(ROW()-4,Sales!$W$7:$W$1506,0)),"")</f>
        <v/>
      </c>
      <c r="B356" s="152" t="str">
        <f t="array" ref="B356">IF($A356="","",IFERROR(INDEX(Sales!$A:$A,MATCH($A356,Sales!$E:$E,0)),""))</f>
        <v/>
      </c>
      <c r="C356" s="153" t="str">
        <f t="array" ref="C356">IF($A356="","",IFERROR(INDEX(Sales!$D:$D,MATCH($A356,Sales!$E:$E,0)),""))</f>
        <v/>
      </c>
      <c r="D356" s="153" t="str">
        <f t="array" ref="D356">IF($A356="","",IFERROR(INDEX(Sales!$C:$C,MATCH($A356,Sales!$E:$E,0)),""))</f>
        <v/>
      </c>
      <c r="E356" s="154" t="str">
        <f>IF($A356="","",SUMIFS(Sales!$H:$H,Sales!$E:$E,$A356,Sales!$B:$B,"&lt;&gt;Return"))</f>
        <v/>
      </c>
      <c r="F356" s="155" t="str">
        <f>IF($A356="","",SUMIF(Sales!$E:$E,$A356,Sales!$L:$L))</f>
        <v/>
      </c>
      <c r="G356" s="155" t="str">
        <f>IF($A356="","",SUMIF(Sales!$E:$E,$A356,Sales!$P:$P))</f>
        <v/>
      </c>
      <c r="H356" s="156" t="str">
        <f t="array" ref="H356">IF($A356="","",IFERROR(INDEX(Orders!$O$5:$O$1004,MATCH($A356,Orders!$N$5:$N$1004,0)),""))</f>
        <v/>
      </c>
      <c r="I356" s="156" t="str">
        <f t="array" ref="I356">IF($A356="","",IFERROR(INDEX(Orders!$P$5:$P$1004,MATCH($A356,Orders!$N$5:$N$1004,0)),""))</f>
        <v/>
      </c>
      <c r="J356" s="157" t="str">
        <f t="shared" si="1"/>
        <v/>
      </c>
      <c r="K356" s="153" t="str">
        <f t="array" ref="K356">IF($A356="","",IFERROR(INDEX(Sales!$M:$M,MATCH($A356,Sales!$E:$E,0)),""))</f>
        <v/>
      </c>
      <c r="L356" s="158" t="str">
        <f t="shared" si="2"/>
        <v/>
      </c>
      <c r="N356" s="49" t="str">
        <f t="array" ref="N356">IFERROR(INDEX(Sales!$E$7:$E$1506,MATCH(ROW()-4,Sales!$V$7:$V$1506,0)),"")</f>
        <v/>
      </c>
      <c r="O356" s="67"/>
      <c r="P356" s="67"/>
    </row>
    <row r="357" ht="15.75" customHeight="1">
      <c r="A357" s="151" t="str">
        <f t="array" ref="A357">IFERROR(INDEX(Sales!$E$7:$E$1506,MATCH(ROW()-4,Sales!$W$7:$W$1506,0)),"")</f>
        <v/>
      </c>
      <c r="B357" s="152" t="str">
        <f t="array" ref="B357">IF($A357="","",IFERROR(INDEX(Sales!$A:$A,MATCH($A357,Sales!$E:$E,0)),""))</f>
        <v/>
      </c>
      <c r="C357" s="153" t="str">
        <f t="array" ref="C357">IF($A357="","",IFERROR(INDEX(Sales!$D:$D,MATCH($A357,Sales!$E:$E,0)),""))</f>
        <v/>
      </c>
      <c r="D357" s="153" t="str">
        <f t="array" ref="D357">IF($A357="","",IFERROR(INDEX(Sales!$C:$C,MATCH($A357,Sales!$E:$E,0)),""))</f>
        <v/>
      </c>
      <c r="E357" s="154" t="str">
        <f>IF($A357="","",SUMIFS(Sales!$H:$H,Sales!$E:$E,$A357,Sales!$B:$B,"&lt;&gt;Return"))</f>
        <v/>
      </c>
      <c r="F357" s="155" t="str">
        <f>IF($A357="","",SUMIF(Sales!$E:$E,$A357,Sales!$L:$L))</f>
        <v/>
      </c>
      <c r="G357" s="155" t="str">
        <f>IF($A357="","",SUMIF(Sales!$E:$E,$A357,Sales!$P:$P))</f>
        <v/>
      </c>
      <c r="H357" s="156" t="str">
        <f t="array" ref="H357">IF($A357="","",IFERROR(INDEX(Orders!$O$5:$O$1004,MATCH($A357,Orders!$N$5:$N$1004,0)),""))</f>
        <v/>
      </c>
      <c r="I357" s="156" t="str">
        <f t="array" ref="I357">IF($A357="","",IFERROR(INDEX(Orders!$P$5:$P$1004,MATCH($A357,Orders!$N$5:$N$1004,0)),""))</f>
        <v/>
      </c>
      <c r="J357" s="157" t="str">
        <f t="shared" si="1"/>
        <v/>
      </c>
      <c r="K357" s="153" t="str">
        <f t="array" ref="K357">IF($A357="","",IFERROR(INDEX(Sales!$M:$M,MATCH($A357,Sales!$E:$E,0)),""))</f>
        <v/>
      </c>
      <c r="L357" s="158" t="str">
        <f t="shared" si="2"/>
        <v/>
      </c>
      <c r="N357" s="49" t="str">
        <f t="array" ref="N357">IFERROR(INDEX(Sales!$E$7:$E$1506,MATCH(ROW()-4,Sales!$V$7:$V$1506,0)),"")</f>
        <v/>
      </c>
      <c r="O357" s="67"/>
      <c r="P357" s="67"/>
    </row>
    <row r="358" ht="15.75" customHeight="1">
      <c r="A358" s="151" t="str">
        <f t="array" ref="A358">IFERROR(INDEX(Sales!$E$7:$E$1506,MATCH(ROW()-4,Sales!$W$7:$W$1506,0)),"")</f>
        <v/>
      </c>
      <c r="B358" s="152" t="str">
        <f t="array" ref="B358">IF($A358="","",IFERROR(INDEX(Sales!$A:$A,MATCH($A358,Sales!$E:$E,0)),""))</f>
        <v/>
      </c>
      <c r="C358" s="153" t="str">
        <f t="array" ref="C358">IF($A358="","",IFERROR(INDEX(Sales!$D:$D,MATCH($A358,Sales!$E:$E,0)),""))</f>
        <v/>
      </c>
      <c r="D358" s="153" t="str">
        <f t="array" ref="D358">IF($A358="","",IFERROR(INDEX(Sales!$C:$C,MATCH($A358,Sales!$E:$E,0)),""))</f>
        <v/>
      </c>
      <c r="E358" s="154" t="str">
        <f>IF($A358="","",SUMIFS(Sales!$H:$H,Sales!$E:$E,$A358,Sales!$B:$B,"&lt;&gt;Return"))</f>
        <v/>
      </c>
      <c r="F358" s="155" t="str">
        <f>IF($A358="","",SUMIF(Sales!$E:$E,$A358,Sales!$L:$L))</f>
        <v/>
      </c>
      <c r="G358" s="155" t="str">
        <f>IF($A358="","",SUMIF(Sales!$E:$E,$A358,Sales!$P:$P))</f>
        <v/>
      </c>
      <c r="H358" s="156" t="str">
        <f t="array" ref="H358">IF($A358="","",IFERROR(INDEX(Orders!$O$5:$O$1004,MATCH($A358,Orders!$N$5:$N$1004,0)),""))</f>
        <v/>
      </c>
      <c r="I358" s="156" t="str">
        <f t="array" ref="I358">IF($A358="","",IFERROR(INDEX(Orders!$P$5:$P$1004,MATCH($A358,Orders!$N$5:$N$1004,0)),""))</f>
        <v/>
      </c>
      <c r="J358" s="157" t="str">
        <f t="shared" si="1"/>
        <v/>
      </c>
      <c r="K358" s="153" t="str">
        <f t="array" ref="K358">IF($A358="","",IFERROR(INDEX(Sales!$M:$M,MATCH($A358,Sales!$E:$E,0)),""))</f>
        <v/>
      </c>
      <c r="L358" s="158" t="str">
        <f t="shared" si="2"/>
        <v/>
      </c>
      <c r="N358" s="49" t="str">
        <f t="array" ref="N358">IFERROR(INDEX(Sales!$E$7:$E$1506,MATCH(ROW()-4,Sales!$V$7:$V$1506,0)),"")</f>
        <v/>
      </c>
      <c r="O358" s="67"/>
      <c r="P358" s="67"/>
    </row>
    <row r="359" ht="15.75" customHeight="1">
      <c r="A359" s="151" t="str">
        <f t="array" ref="A359">IFERROR(INDEX(Sales!$E$7:$E$1506,MATCH(ROW()-4,Sales!$W$7:$W$1506,0)),"")</f>
        <v/>
      </c>
      <c r="B359" s="152" t="str">
        <f t="array" ref="B359">IF($A359="","",IFERROR(INDEX(Sales!$A:$A,MATCH($A359,Sales!$E:$E,0)),""))</f>
        <v/>
      </c>
      <c r="C359" s="153" t="str">
        <f t="array" ref="C359">IF($A359="","",IFERROR(INDEX(Sales!$D:$D,MATCH($A359,Sales!$E:$E,0)),""))</f>
        <v/>
      </c>
      <c r="D359" s="153" t="str">
        <f t="array" ref="D359">IF($A359="","",IFERROR(INDEX(Sales!$C:$C,MATCH($A359,Sales!$E:$E,0)),""))</f>
        <v/>
      </c>
      <c r="E359" s="154" t="str">
        <f>IF($A359="","",SUMIFS(Sales!$H:$H,Sales!$E:$E,$A359,Sales!$B:$B,"&lt;&gt;Return"))</f>
        <v/>
      </c>
      <c r="F359" s="155" t="str">
        <f>IF($A359="","",SUMIF(Sales!$E:$E,$A359,Sales!$L:$L))</f>
        <v/>
      </c>
      <c r="G359" s="155" t="str">
        <f>IF($A359="","",SUMIF(Sales!$E:$E,$A359,Sales!$P:$P))</f>
        <v/>
      </c>
      <c r="H359" s="156" t="str">
        <f t="array" ref="H359">IF($A359="","",IFERROR(INDEX(Orders!$O$5:$O$1004,MATCH($A359,Orders!$N$5:$N$1004,0)),""))</f>
        <v/>
      </c>
      <c r="I359" s="156" t="str">
        <f t="array" ref="I359">IF($A359="","",IFERROR(INDEX(Orders!$P$5:$P$1004,MATCH($A359,Orders!$N$5:$N$1004,0)),""))</f>
        <v/>
      </c>
      <c r="J359" s="157" t="str">
        <f t="shared" si="1"/>
        <v/>
      </c>
      <c r="K359" s="153" t="str">
        <f t="array" ref="K359">IF($A359="","",IFERROR(INDEX(Sales!$M:$M,MATCH($A359,Sales!$E:$E,0)),""))</f>
        <v/>
      </c>
      <c r="L359" s="158" t="str">
        <f t="shared" si="2"/>
        <v/>
      </c>
      <c r="N359" s="49" t="str">
        <f t="array" ref="N359">IFERROR(INDEX(Sales!$E$7:$E$1506,MATCH(ROW()-4,Sales!$V$7:$V$1506,0)),"")</f>
        <v/>
      </c>
      <c r="O359" s="67"/>
      <c r="P359" s="67"/>
    </row>
    <row r="360" ht="15.75" customHeight="1">
      <c r="A360" s="151" t="str">
        <f t="array" ref="A360">IFERROR(INDEX(Sales!$E$7:$E$1506,MATCH(ROW()-4,Sales!$W$7:$W$1506,0)),"")</f>
        <v/>
      </c>
      <c r="B360" s="152" t="str">
        <f t="array" ref="B360">IF($A360="","",IFERROR(INDEX(Sales!$A:$A,MATCH($A360,Sales!$E:$E,0)),""))</f>
        <v/>
      </c>
      <c r="C360" s="153" t="str">
        <f t="array" ref="C360">IF($A360="","",IFERROR(INDEX(Sales!$D:$D,MATCH($A360,Sales!$E:$E,0)),""))</f>
        <v/>
      </c>
      <c r="D360" s="153" t="str">
        <f t="array" ref="D360">IF($A360="","",IFERROR(INDEX(Sales!$C:$C,MATCH($A360,Sales!$E:$E,0)),""))</f>
        <v/>
      </c>
      <c r="E360" s="154" t="str">
        <f>IF($A360="","",SUMIFS(Sales!$H:$H,Sales!$E:$E,$A360,Sales!$B:$B,"&lt;&gt;Return"))</f>
        <v/>
      </c>
      <c r="F360" s="155" t="str">
        <f>IF($A360="","",SUMIF(Sales!$E:$E,$A360,Sales!$L:$L))</f>
        <v/>
      </c>
      <c r="G360" s="155" t="str">
        <f>IF($A360="","",SUMIF(Sales!$E:$E,$A360,Sales!$P:$P))</f>
        <v/>
      </c>
      <c r="H360" s="156" t="str">
        <f t="array" ref="H360">IF($A360="","",IFERROR(INDEX(Orders!$O$5:$O$1004,MATCH($A360,Orders!$N$5:$N$1004,0)),""))</f>
        <v/>
      </c>
      <c r="I360" s="156" t="str">
        <f t="array" ref="I360">IF($A360="","",IFERROR(INDEX(Orders!$P$5:$P$1004,MATCH($A360,Orders!$N$5:$N$1004,0)),""))</f>
        <v/>
      </c>
      <c r="J360" s="157" t="str">
        <f t="shared" si="1"/>
        <v/>
      </c>
      <c r="K360" s="153" t="str">
        <f t="array" ref="K360">IF($A360="","",IFERROR(INDEX(Sales!$M:$M,MATCH($A360,Sales!$E:$E,0)),""))</f>
        <v/>
      </c>
      <c r="L360" s="158" t="str">
        <f t="shared" si="2"/>
        <v/>
      </c>
      <c r="N360" s="49" t="str">
        <f t="array" ref="N360">IFERROR(INDEX(Sales!$E$7:$E$1506,MATCH(ROW()-4,Sales!$V$7:$V$1506,0)),"")</f>
        <v/>
      </c>
      <c r="O360" s="67"/>
      <c r="P360" s="67"/>
    </row>
    <row r="361" ht="15.75" customHeight="1">
      <c r="A361" s="151" t="str">
        <f t="array" ref="A361">IFERROR(INDEX(Sales!$E$7:$E$1506,MATCH(ROW()-4,Sales!$W$7:$W$1506,0)),"")</f>
        <v/>
      </c>
      <c r="B361" s="152" t="str">
        <f t="array" ref="B361">IF($A361="","",IFERROR(INDEX(Sales!$A:$A,MATCH($A361,Sales!$E:$E,0)),""))</f>
        <v/>
      </c>
      <c r="C361" s="153" t="str">
        <f t="array" ref="C361">IF($A361="","",IFERROR(INDEX(Sales!$D:$D,MATCH($A361,Sales!$E:$E,0)),""))</f>
        <v/>
      </c>
      <c r="D361" s="153" t="str">
        <f t="array" ref="D361">IF($A361="","",IFERROR(INDEX(Sales!$C:$C,MATCH($A361,Sales!$E:$E,0)),""))</f>
        <v/>
      </c>
      <c r="E361" s="154" t="str">
        <f>IF($A361="","",SUMIFS(Sales!$H:$H,Sales!$E:$E,$A361,Sales!$B:$B,"&lt;&gt;Return"))</f>
        <v/>
      </c>
      <c r="F361" s="155" t="str">
        <f>IF($A361="","",SUMIF(Sales!$E:$E,$A361,Sales!$L:$L))</f>
        <v/>
      </c>
      <c r="G361" s="155" t="str">
        <f>IF($A361="","",SUMIF(Sales!$E:$E,$A361,Sales!$P:$P))</f>
        <v/>
      </c>
      <c r="H361" s="156" t="str">
        <f t="array" ref="H361">IF($A361="","",IFERROR(INDEX(Orders!$O$5:$O$1004,MATCH($A361,Orders!$N$5:$N$1004,0)),""))</f>
        <v/>
      </c>
      <c r="I361" s="156" t="str">
        <f t="array" ref="I361">IF($A361="","",IFERROR(INDEX(Orders!$P$5:$P$1004,MATCH($A361,Orders!$N$5:$N$1004,0)),""))</f>
        <v/>
      </c>
      <c r="J361" s="157" t="str">
        <f t="shared" si="1"/>
        <v/>
      </c>
      <c r="K361" s="153" t="str">
        <f t="array" ref="K361">IF($A361="","",IFERROR(INDEX(Sales!$M:$M,MATCH($A361,Sales!$E:$E,0)),""))</f>
        <v/>
      </c>
      <c r="L361" s="158" t="str">
        <f t="shared" si="2"/>
        <v/>
      </c>
      <c r="N361" s="49" t="str">
        <f t="array" ref="N361">IFERROR(INDEX(Sales!$E$7:$E$1506,MATCH(ROW()-4,Sales!$V$7:$V$1506,0)),"")</f>
        <v/>
      </c>
      <c r="O361" s="67"/>
      <c r="P361" s="67"/>
    </row>
    <row r="362" ht="15.75" customHeight="1">
      <c r="A362" s="151" t="str">
        <f t="array" ref="A362">IFERROR(INDEX(Sales!$E$7:$E$1506,MATCH(ROW()-4,Sales!$W$7:$W$1506,0)),"")</f>
        <v/>
      </c>
      <c r="B362" s="152" t="str">
        <f t="array" ref="B362">IF($A362="","",IFERROR(INDEX(Sales!$A:$A,MATCH($A362,Sales!$E:$E,0)),""))</f>
        <v/>
      </c>
      <c r="C362" s="153" t="str">
        <f t="array" ref="C362">IF($A362="","",IFERROR(INDEX(Sales!$D:$D,MATCH($A362,Sales!$E:$E,0)),""))</f>
        <v/>
      </c>
      <c r="D362" s="153" t="str">
        <f t="array" ref="D362">IF($A362="","",IFERROR(INDEX(Sales!$C:$C,MATCH($A362,Sales!$E:$E,0)),""))</f>
        <v/>
      </c>
      <c r="E362" s="154" t="str">
        <f>IF($A362="","",SUMIFS(Sales!$H:$H,Sales!$E:$E,$A362,Sales!$B:$B,"&lt;&gt;Return"))</f>
        <v/>
      </c>
      <c r="F362" s="155" t="str">
        <f>IF($A362="","",SUMIF(Sales!$E:$E,$A362,Sales!$L:$L))</f>
        <v/>
      </c>
      <c r="G362" s="155" t="str">
        <f>IF($A362="","",SUMIF(Sales!$E:$E,$A362,Sales!$P:$P))</f>
        <v/>
      </c>
      <c r="H362" s="156" t="str">
        <f t="array" ref="H362">IF($A362="","",IFERROR(INDEX(Orders!$O$5:$O$1004,MATCH($A362,Orders!$N$5:$N$1004,0)),""))</f>
        <v/>
      </c>
      <c r="I362" s="156" t="str">
        <f t="array" ref="I362">IF($A362="","",IFERROR(INDEX(Orders!$P$5:$P$1004,MATCH($A362,Orders!$N$5:$N$1004,0)),""))</f>
        <v/>
      </c>
      <c r="J362" s="157" t="str">
        <f t="shared" si="1"/>
        <v/>
      </c>
      <c r="K362" s="153" t="str">
        <f t="array" ref="K362">IF($A362="","",IFERROR(INDEX(Sales!$M:$M,MATCH($A362,Sales!$E:$E,0)),""))</f>
        <v/>
      </c>
      <c r="L362" s="158" t="str">
        <f t="shared" si="2"/>
        <v/>
      </c>
      <c r="N362" s="49" t="str">
        <f t="array" ref="N362">IFERROR(INDEX(Sales!$E$7:$E$1506,MATCH(ROW()-4,Sales!$V$7:$V$1506,0)),"")</f>
        <v/>
      </c>
      <c r="O362" s="67"/>
      <c r="P362" s="67"/>
    </row>
    <row r="363" ht="15.75" customHeight="1">
      <c r="A363" s="151" t="str">
        <f t="array" ref="A363">IFERROR(INDEX(Sales!$E$7:$E$1506,MATCH(ROW()-4,Sales!$W$7:$W$1506,0)),"")</f>
        <v/>
      </c>
      <c r="B363" s="152" t="str">
        <f t="array" ref="B363">IF($A363="","",IFERROR(INDEX(Sales!$A:$A,MATCH($A363,Sales!$E:$E,0)),""))</f>
        <v/>
      </c>
      <c r="C363" s="153" t="str">
        <f t="array" ref="C363">IF($A363="","",IFERROR(INDEX(Sales!$D:$D,MATCH($A363,Sales!$E:$E,0)),""))</f>
        <v/>
      </c>
      <c r="D363" s="153" t="str">
        <f t="array" ref="D363">IF($A363="","",IFERROR(INDEX(Sales!$C:$C,MATCH($A363,Sales!$E:$E,0)),""))</f>
        <v/>
      </c>
      <c r="E363" s="154" t="str">
        <f>IF($A363="","",SUMIFS(Sales!$H:$H,Sales!$E:$E,$A363,Sales!$B:$B,"&lt;&gt;Return"))</f>
        <v/>
      </c>
      <c r="F363" s="155" t="str">
        <f>IF($A363="","",SUMIF(Sales!$E:$E,$A363,Sales!$L:$L))</f>
        <v/>
      </c>
      <c r="G363" s="155" t="str">
        <f>IF($A363="","",SUMIF(Sales!$E:$E,$A363,Sales!$P:$P))</f>
        <v/>
      </c>
      <c r="H363" s="156" t="str">
        <f t="array" ref="H363">IF($A363="","",IFERROR(INDEX(Orders!$O$5:$O$1004,MATCH($A363,Orders!$N$5:$N$1004,0)),""))</f>
        <v/>
      </c>
      <c r="I363" s="156" t="str">
        <f t="array" ref="I363">IF($A363="","",IFERROR(INDEX(Orders!$P$5:$P$1004,MATCH($A363,Orders!$N$5:$N$1004,0)),""))</f>
        <v/>
      </c>
      <c r="J363" s="157" t="str">
        <f t="shared" si="1"/>
        <v/>
      </c>
      <c r="K363" s="153" t="str">
        <f t="array" ref="K363">IF($A363="","",IFERROR(INDEX(Sales!$M:$M,MATCH($A363,Sales!$E:$E,0)),""))</f>
        <v/>
      </c>
      <c r="L363" s="158" t="str">
        <f t="shared" si="2"/>
        <v/>
      </c>
      <c r="N363" s="49" t="str">
        <f t="array" ref="N363">IFERROR(INDEX(Sales!$E$7:$E$1506,MATCH(ROW()-4,Sales!$V$7:$V$1506,0)),"")</f>
        <v/>
      </c>
      <c r="O363" s="67"/>
      <c r="P363" s="67"/>
    </row>
    <row r="364" ht="15.75" customHeight="1">
      <c r="A364" s="151" t="str">
        <f t="array" ref="A364">IFERROR(INDEX(Sales!$E$7:$E$1506,MATCH(ROW()-4,Sales!$W$7:$W$1506,0)),"")</f>
        <v/>
      </c>
      <c r="B364" s="152" t="str">
        <f t="array" ref="B364">IF($A364="","",IFERROR(INDEX(Sales!$A:$A,MATCH($A364,Sales!$E:$E,0)),""))</f>
        <v/>
      </c>
      <c r="C364" s="153" t="str">
        <f t="array" ref="C364">IF($A364="","",IFERROR(INDEX(Sales!$D:$D,MATCH($A364,Sales!$E:$E,0)),""))</f>
        <v/>
      </c>
      <c r="D364" s="153" t="str">
        <f t="array" ref="D364">IF($A364="","",IFERROR(INDEX(Sales!$C:$C,MATCH($A364,Sales!$E:$E,0)),""))</f>
        <v/>
      </c>
      <c r="E364" s="154" t="str">
        <f>IF($A364="","",SUMIFS(Sales!$H:$H,Sales!$E:$E,$A364,Sales!$B:$B,"&lt;&gt;Return"))</f>
        <v/>
      </c>
      <c r="F364" s="155" t="str">
        <f>IF($A364="","",SUMIF(Sales!$E:$E,$A364,Sales!$L:$L))</f>
        <v/>
      </c>
      <c r="G364" s="155" t="str">
        <f>IF($A364="","",SUMIF(Sales!$E:$E,$A364,Sales!$P:$P))</f>
        <v/>
      </c>
      <c r="H364" s="156" t="str">
        <f t="array" ref="H364">IF($A364="","",IFERROR(INDEX(Orders!$O$5:$O$1004,MATCH($A364,Orders!$N$5:$N$1004,0)),""))</f>
        <v/>
      </c>
      <c r="I364" s="156" t="str">
        <f t="array" ref="I364">IF($A364="","",IFERROR(INDEX(Orders!$P$5:$P$1004,MATCH($A364,Orders!$N$5:$N$1004,0)),""))</f>
        <v/>
      </c>
      <c r="J364" s="157" t="str">
        <f t="shared" si="1"/>
        <v/>
      </c>
      <c r="K364" s="153" t="str">
        <f t="array" ref="K364">IF($A364="","",IFERROR(INDEX(Sales!$M:$M,MATCH($A364,Sales!$E:$E,0)),""))</f>
        <v/>
      </c>
      <c r="L364" s="158" t="str">
        <f t="shared" si="2"/>
        <v/>
      </c>
      <c r="N364" s="49" t="str">
        <f t="array" ref="N364">IFERROR(INDEX(Sales!$E$7:$E$1506,MATCH(ROW()-4,Sales!$V$7:$V$1506,0)),"")</f>
        <v/>
      </c>
      <c r="O364" s="67"/>
      <c r="P364" s="67"/>
    </row>
    <row r="365" ht="15.75" customHeight="1">
      <c r="A365" s="151" t="str">
        <f t="array" ref="A365">IFERROR(INDEX(Sales!$E$7:$E$1506,MATCH(ROW()-4,Sales!$W$7:$W$1506,0)),"")</f>
        <v/>
      </c>
      <c r="B365" s="152" t="str">
        <f t="array" ref="B365">IF($A365="","",IFERROR(INDEX(Sales!$A:$A,MATCH($A365,Sales!$E:$E,0)),""))</f>
        <v/>
      </c>
      <c r="C365" s="153" t="str">
        <f t="array" ref="C365">IF($A365="","",IFERROR(INDEX(Sales!$D:$D,MATCH($A365,Sales!$E:$E,0)),""))</f>
        <v/>
      </c>
      <c r="D365" s="153" t="str">
        <f t="array" ref="D365">IF($A365="","",IFERROR(INDEX(Sales!$C:$C,MATCH($A365,Sales!$E:$E,0)),""))</f>
        <v/>
      </c>
      <c r="E365" s="154" t="str">
        <f>IF($A365="","",SUMIFS(Sales!$H:$H,Sales!$E:$E,$A365,Sales!$B:$B,"&lt;&gt;Return"))</f>
        <v/>
      </c>
      <c r="F365" s="155" t="str">
        <f>IF($A365="","",SUMIF(Sales!$E:$E,$A365,Sales!$L:$L))</f>
        <v/>
      </c>
      <c r="G365" s="155" t="str">
        <f>IF($A365="","",SUMIF(Sales!$E:$E,$A365,Sales!$P:$P))</f>
        <v/>
      </c>
      <c r="H365" s="156" t="str">
        <f t="array" ref="H365">IF($A365="","",IFERROR(INDEX(Orders!$O$5:$O$1004,MATCH($A365,Orders!$N$5:$N$1004,0)),""))</f>
        <v/>
      </c>
      <c r="I365" s="156" t="str">
        <f t="array" ref="I365">IF($A365="","",IFERROR(INDEX(Orders!$P$5:$P$1004,MATCH($A365,Orders!$N$5:$N$1004,0)),""))</f>
        <v/>
      </c>
      <c r="J365" s="157" t="str">
        <f t="shared" si="1"/>
        <v/>
      </c>
      <c r="K365" s="153" t="str">
        <f t="array" ref="K365">IF($A365="","",IFERROR(INDEX(Sales!$M:$M,MATCH($A365,Sales!$E:$E,0)),""))</f>
        <v/>
      </c>
      <c r="L365" s="158" t="str">
        <f t="shared" si="2"/>
        <v/>
      </c>
      <c r="N365" s="49" t="str">
        <f t="array" ref="N365">IFERROR(INDEX(Sales!$E$7:$E$1506,MATCH(ROW()-4,Sales!$V$7:$V$1506,0)),"")</f>
        <v/>
      </c>
      <c r="O365" s="67"/>
      <c r="P365" s="67"/>
    </row>
    <row r="366" ht="15.75" customHeight="1">
      <c r="A366" s="151" t="str">
        <f t="array" ref="A366">IFERROR(INDEX(Sales!$E$7:$E$1506,MATCH(ROW()-4,Sales!$W$7:$W$1506,0)),"")</f>
        <v/>
      </c>
      <c r="B366" s="152" t="str">
        <f t="array" ref="B366">IF($A366="","",IFERROR(INDEX(Sales!$A:$A,MATCH($A366,Sales!$E:$E,0)),""))</f>
        <v/>
      </c>
      <c r="C366" s="153" t="str">
        <f t="array" ref="C366">IF($A366="","",IFERROR(INDEX(Sales!$D:$D,MATCH($A366,Sales!$E:$E,0)),""))</f>
        <v/>
      </c>
      <c r="D366" s="153" t="str">
        <f t="array" ref="D366">IF($A366="","",IFERROR(INDEX(Sales!$C:$C,MATCH($A366,Sales!$E:$E,0)),""))</f>
        <v/>
      </c>
      <c r="E366" s="154" t="str">
        <f>IF($A366="","",SUMIFS(Sales!$H:$H,Sales!$E:$E,$A366,Sales!$B:$B,"&lt;&gt;Return"))</f>
        <v/>
      </c>
      <c r="F366" s="155" t="str">
        <f>IF($A366="","",SUMIF(Sales!$E:$E,$A366,Sales!$L:$L))</f>
        <v/>
      </c>
      <c r="G366" s="155" t="str">
        <f>IF($A366="","",SUMIF(Sales!$E:$E,$A366,Sales!$P:$P))</f>
        <v/>
      </c>
      <c r="H366" s="156" t="str">
        <f t="array" ref="H366">IF($A366="","",IFERROR(INDEX(Orders!$O$5:$O$1004,MATCH($A366,Orders!$N$5:$N$1004,0)),""))</f>
        <v/>
      </c>
      <c r="I366" s="156" t="str">
        <f t="array" ref="I366">IF($A366="","",IFERROR(INDEX(Orders!$P$5:$P$1004,MATCH($A366,Orders!$N$5:$N$1004,0)),""))</f>
        <v/>
      </c>
      <c r="J366" s="157" t="str">
        <f t="shared" si="1"/>
        <v/>
      </c>
      <c r="K366" s="153" t="str">
        <f t="array" ref="K366">IF($A366="","",IFERROR(INDEX(Sales!$M:$M,MATCH($A366,Sales!$E:$E,0)),""))</f>
        <v/>
      </c>
      <c r="L366" s="158" t="str">
        <f t="shared" si="2"/>
        <v/>
      </c>
      <c r="N366" s="49" t="str">
        <f t="array" ref="N366">IFERROR(INDEX(Sales!$E$7:$E$1506,MATCH(ROW()-4,Sales!$V$7:$V$1506,0)),"")</f>
        <v/>
      </c>
      <c r="O366" s="67"/>
      <c r="P366" s="67"/>
    </row>
    <row r="367" ht="15.75" customHeight="1">
      <c r="A367" s="151" t="str">
        <f t="array" ref="A367">IFERROR(INDEX(Sales!$E$7:$E$1506,MATCH(ROW()-4,Sales!$W$7:$W$1506,0)),"")</f>
        <v/>
      </c>
      <c r="B367" s="152" t="str">
        <f t="array" ref="B367">IF($A367="","",IFERROR(INDEX(Sales!$A:$A,MATCH($A367,Sales!$E:$E,0)),""))</f>
        <v/>
      </c>
      <c r="C367" s="153" t="str">
        <f t="array" ref="C367">IF($A367="","",IFERROR(INDEX(Sales!$D:$D,MATCH($A367,Sales!$E:$E,0)),""))</f>
        <v/>
      </c>
      <c r="D367" s="153" t="str">
        <f t="array" ref="D367">IF($A367="","",IFERROR(INDEX(Sales!$C:$C,MATCH($A367,Sales!$E:$E,0)),""))</f>
        <v/>
      </c>
      <c r="E367" s="154" t="str">
        <f>IF($A367="","",SUMIFS(Sales!$H:$H,Sales!$E:$E,$A367,Sales!$B:$B,"&lt;&gt;Return"))</f>
        <v/>
      </c>
      <c r="F367" s="155" t="str">
        <f>IF($A367="","",SUMIF(Sales!$E:$E,$A367,Sales!$L:$L))</f>
        <v/>
      </c>
      <c r="G367" s="155" t="str">
        <f>IF($A367="","",SUMIF(Sales!$E:$E,$A367,Sales!$P:$P))</f>
        <v/>
      </c>
      <c r="H367" s="156" t="str">
        <f t="array" ref="H367">IF($A367="","",IFERROR(INDEX(Orders!$O$5:$O$1004,MATCH($A367,Orders!$N$5:$N$1004,0)),""))</f>
        <v/>
      </c>
      <c r="I367" s="156" t="str">
        <f t="array" ref="I367">IF($A367="","",IFERROR(INDEX(Orders!$P$5:$P$1004,MATCH($A367,Orders!$N$5:$N$1004,0)),""))</f>
        <v/>
      </c>
      <c r="J367" s="157" t="str">
        <f t="shared" si="1"/>
        <v/>
      </c>
      <c r="K367" s="153" t="str">
        <f t="array" ref="K367">IF($A367="","",IFERROR(INDEX(Sales!$M:$M,MATCH($A367,Sales!$E:$E,0)),""))</f>
        <v/>
      </c>
      <c r="L367" s="158" t="str">
        <f t="shared" si="2"/>
        <v/>
      </c>
      <c r="N367" s="49" t="str">
        <f t="array" ref="N367">IFERROR(INDEX(Sales!$E$7:$E$1506,MATCH(ROW()-4,Sales!$V$7:$V$1506,0)),"")</f>
        <v/>
      </c>
      <c r="O367" s="67"/>
      <c r="P367" s="67"/>
    </row>
    <row r="368" ht="15.75" customHeight="1">
      <c r="A368" s="151" t="str">
        <f t="array" ref="A368">IFERROR(INDEX(Sales!$E$7:$E$1506,MATCH(ROW()-4,Sales!$W$7:$W$1506,0)),"")</f>
        <v/>
      </c>
      <c r="B368" s="152" t="str">
        <f t="array" ref="B368">IF($A368="","",IFERROR(INDEX(Sales!$A:$A,MATCH($A368,Sales!$E:$E,0)),""))</f>
        <v/>
      </c>
      <c r="C368" s="153" t="str">
        <f t="array" ref="C368">IF($A368="","",IFERROR(INDEX(Sales!$D:$D,MATCH($A368,Sales!$E:$E,0)),""))</f>
        <v/>
      </c>
      <c r="D368" s="153" t="str">
        <f t="array" ref="D368">IF($A368="","",IFERROR(INDEX(Sales!$C:$C,MATCH($A368,Sales!$E:$E,0)),""))</f>
        <v/>
      </c>
      <c r="E368" s="154" t="str">
        <f>IF($A368="","",SUMIFS(Sales!$H:$H,Sales!$E:$E,$A368,Sales!$B:$B,"&lt;&gt;Return"))</f>
        <v/>
      </c>
      <c r="F368" s="155" t="str">
        <f>IF($A368="","",SUMIF(Sales!$E:$E,$A368,Sales!$L:$L))</f>
        <v/>
      </c>
      <c r="G368" s="155" t="str">
        <f>IF($A368="","",SUMIF(Sales!$E:$E,$A368,Sales!$P:$P))</f>
        <v/>
      </c>
      <c r="H368" s="156" t="str">
        <f t="array" ref="H368">IF($A368="","",IFERROR(INDEX(Orders!$O$5:$O$1004,MATCH($A368,Orders!$N$5:$N$1004,0)),""))</f>
        <v/>
      </c>
      <c r="I368" s="156" t="str">
        <f t="array" ref="I368">IF($A368="","",IFERROR(INDEX(Orders!$P$5:$P$1004,MATCH($A368,Orders!$N$5:$N$1004,0)),""))</f>
        <v/>
      </c>
      <c r="J368" s="157" t="str">
        <f t="shared" si="1"/>
        <v/>
      </c>
      <c r="K368" s="153" t="str">
        <f t="array" ref="K368">IF($A368="","",IFERROR(INDEX(Sales!$M:$M,MATCH($A368,Sales!$E:$E,0)),""))</f>
        <v/>
      </c>
      <c r="L368" s="158" t="str">
        <f t="shared" si="2"/>
        <v/>
      </c>
      <c r="N368" s="49" t="str">
        <f t="array" ref="N368">IFERROR(INDEX(Sales!$E$7:$E$1506,MATCH(ROW()-4,Sales!$V$7:$V$1506,0)),"")</f>
        <v/>
      </c>
      <c r="O368" s="67"/>
      <c r="P368" s="67"/>
    </row>
    <row r="369" ht="15.75" customHeight="1">
      <c r="A369" s="151" t="str">
        <f t="array" ref="A369">IFERROR(INDEX(Sales!$E$7:$E$1506,MATCH(ROW()-4,Sales!$W$7:$W$1506,0)),"")</f>
        <v/>
      </c>
      <c r="B369" s="152" t="str">
        <f t="array" ref="B369">IF($A369="","",IFERROR(INDEX(Sales!$A:$A,MATCH($A369,Sales!$E:$E,0)),""))</f>
        <v/>
      </c>
      <c r="C369" s="153" t="str">
        <f t="array" ref="C369">IF($A369="","",IFERROR(INDEX(Sales!$D:$D,MATCH($A369,Sales!$E:$E,0)),""))</f>
        <v/>
      </c>
      <c r="D369" s="153" t="str">
        <f t="array" ref="D369">IF($A369="","",IFERROR(INDEX(Sales!$C:$C,MATCH($A369,Sales!$E:$E,0)),""))</f>
        <v/>
      </c>
      <c r="E369" s="154" t="str">
        <f>IF($A369="","",SUMIFS(Sales!$H:$H,Sales!$E:$E,$A369,Sales!$B:$B,"&lt;&gt;Return"))</f>
        <v/>
      </c>
      <c r="F369" s="155" t="str">
        <f>IF($A369="","",SUMIF(Sales!$E:$E,$A369,Sales!$L:$L))</f>
        <v/>
      </c>
      <c r="G369" s="155" t="str">
        <f>IF($A369="","",SUMIF(Sales!$E:$E,$A369,Sales!$P:$P))</f>
        <v/>
      </c>
      <c r="H369" s="156" t="str">
        <f t="array" ref="H369">IF($A369="","",IFERROR(INDEX(Orders!$O$5:$O$1004,MATCH($A369,Orders!$N$5:$N$1004,0)),""))</f>
        <v/>
      </c>
      <c r="I369" s="156" t="str">
        <f t="array" ref="I369">IF($A369="","",IFERROR(INDEX(Orders!$P$5:$P$1004,MATCH($A369,Orders!$N$5:$N$1004,0)),""))</f>
        <v/>
      </c>
      <c r="J369" s="157" t="str">
        <f t="shared" si="1"/>
        <v/>
      </c>
      <c r="K369" s="153" t="str">
        <f t="array" ref="K369">IF($A369="","",IFERROR(INDEX(Sales!$M:$M,MATCH($A369,Sales!$E:$E,0)),""))</f>
        <v/>
      </c>
      <c r="L369" s="158" t="str">
        <f t="shared" si="2"/>
        <v/>
      </c>
      <c r="N369" s="49" t="str">
        <f t="array" ref="N369">IFERROR(INDEX(Sales!$E$7:$E$1506,MATCH(ROW()-4,Sales!$V$7:$V$1506,0)),"")</f>
        <v/>
      </c>
      <c r="O369" s="67"/>
      <c r="P369" s="67"/>
    </row>
    <row r="370" ht="15.75" customHeight="1">
      <c r="A370" s="151" t="str">
        <f t="array" ref="A370">IFERROR(INDEX(Sales!$E$7:$E$1506,MATCH(ROW()-4,Sales!$W$7:$W$1506,0)),"")</f>
        <v/>
      </c>
      <c r="B370" s="152" t="str">
        <f t="array" ref="B370">IF($A370="","",IFERROR(INDEX(Sales!$A:$A,MATCH($A370,Sales!$E:$E,0)),""))</f>
        <v/>
      </c>
      <c r="C370" s="153" t="str">
        <f t="array" ref="C370">IF($A370="","",IFERROR(INDEX(Sales!$D:$D,MATCH($A370,Sales!$E:$E,0)),""))</f>
        <v/>
      </c>
      <c r="D370" s="153" t="str">
        <f t="array" ref="D370">IF($A370="","",IFERROR(INDEX(Sales!$C:$C,MATCH($A370,Sales!$E:$E,0)),""))</f>
        <v/>
      </c>
      <c r="E370" s="154" t="str">
        <f>IF($A370="","",SUMIFS(Sales!$H:$H,Sales!$E:$E,$A370,Sales!$B:$B,"&lt;&gt;Return"))</f>
        <v/>
      </c>
      <c r="F370" s="155" t="str">
        <f>IF($A370="","",SUMIF(Sales!$E:$E,$A370,Sales!$L:$L))</f>
        <v/>
      </c>
      <c r="G370" s="155" t="str">
        <f>IF($A370="","",SUMIF(Sales!$E:$E,$A370,Sales!$P:$P))</f>
        <v/>
      </c>
      <c r="H370" s="156" t="str">
        <f t="array" ref="H370">IF($A370="","",IFERROR(INDEX(Orders!$O$5:$O$1004,MATCH($A370,Orders!$N$5:$N$1004,0)),""))</f>
        <v/>
      </c>
      <c r="I370" s="156" t="str">
        <f t="array" ref="I370">IF($A370="","",IFERROR(INDEX(Orders!$P$5:$P$1004,MATCH($A370,Orders!$N$5:$N$1004,0)),""))</f>
        <v/>
      </c>
      <c r="J370" s="157" t="str">
        <f t="shared" si="1"/>
        <v/>
      </c>
      <c r="K370" s="153" t="str">
        <f t="array" ref="K370">IF($A370="","",IFERROR(INDEX(Sales!$M:$M,MATCH($A370,Sales!$E:$E,0)),""))</f>
        <v/>
      </c>
      <c r="L370" s="158" t="str">
        <f t="shared" si="2"/>
        <v/>
      </c>
      <c r="N370" s="49" t="str">
        <f t="array" ref="N370">IFERROR(INDEX(Sales!$E$7:$E$1506,MATCH(ROW()-4,Sales!$V$7:$V$1506,0)),"")</f>
        <v/>
      </c>
      <c r="O370" s="67"/>
      <c r="P370" s="67"/>
    </row>
    <row r="371" ht="15.75" customHeight="1">
      <c r="A371" s="151" t="str">
        <f t="array" ref="A371">IFERROR(INDEX(Sales!$E$7:$E$1506,MATCH(ROW()-4,Sales!$W$7:$W$1506,0)),"")</f>
        <v/>
      </c>
      <c r="B371" s="152" t="str">
        <f t="array" ref="B371">IF($A371="","",IFERROR(INDEX(Sales!$A:$A,MATCH($A371,Sales!$E:$E,0)),""))</f>
        <v/>
      </c>
      <c r="C371" s="153" t="str">
        <f t="array" ref="C371">IF($A371="","",IFERROR(INDEX(Sales!$D:$D,MATCH($A371,Sales!$E:$E,0)),""))</f>
        <v/>
      </c>
      <c r="D371" s="153" t="str">
        <f t="array" ref="D371">IF($A371="","",IFERROR(INDEX(Sales!$C:$C,MATCH($A371,Sales!$E:$E,0)),""))</f>
        <v/>
      </c>
      <c r="E371" s="154" t="str">
        <f>IF($A371="","",SUMIFS(Sales!$H:$H,Sales!$E:$E,$A371,Sales!$B:$B,"&lt;&gt;Return"))</f>
        <v/>
      </c>
      <c r="F371" s="155" t="str">
        <f>IF($A371="","",SUMIF(Sales!$E:$E,$A371,Sales!$L:$L))</f>
        <v/>
      </c>
      <c r="G371" s="155" t="str">
        <f>IF($A371="","",SUMIF(Sales!$E:$E,$A371,Sales!$P:$P))</f>
        <v/>
      </c>
      <c r="H371" s="156" t="str">
        <f t="array" ref="H371">IF($A371="","",IFERROR(INDEX(Orders!$O$5:$O$1004,MATCH($A371,Orders!$N$5:$N$1004,0)),""))</f>
        <v/>
      </c>
      <c r="I371" s="156" t="str">
        <f t="array" ref="I371">IF($A371="","",IFERROR(INDEX(Orders!$P$5:$P$1004,MATCH($A371,Orders!$N$5:$N$1004,0)),""))</f>
        <v/>
      </c>
      <c r="J371" s="157" t="str">
        <f t="shared" si="1"/>
        <v/>
      </c>
      <c r="K371" s="153" t="str">
        <f t="array" ref="K371">IF($A371="","",IFERROR(INDEX(Sales!$M:$M,MATCH($A371,Sales!$E:$E,0)),""))</f>
        <v/>
      </c>
      <c r="L371" s="158" t="str">
        <f t="shared" si="2"/>
        <v/>
      </c>
      <c r="N371" s="49" t="str">
        <f t="array" ref="N371">IFERROR(INDEX(Sales!$E$7:$E$1506,MATCH(ROW()-4,Sales!$V$7:$V$1506,0)),"")</f>
        <v/>
      </c>
      <c r="O371" s="67"/>
      <c r="P371" s="67"/>
    </row>
    <row r="372" ht="15.75" customHeight="1">
      <c r="A372" s="151" t="str">
        <f t="array" ref="A372">IFERROR(INDEX(Sales!$E$7:$E$1506,MATCH(ROW()-4,Sales!$W$7:$W$1506,0)),"")</f>
        <v/>
      </c>
      <c r="B372" s="152" t="str">
        <f t="array" ref="B372">IF($A372="","",IFERROR(INDEX(Sales!$A:$A,MATCH($A372,Sales!$E:$E,0)),""))</f>
        <v/>
      </c>
      <c r="C372" s="153" t="str">
        <f t="array" ref="C372">IF($A372="","",IFERROR(INDEX(Sales!$D:$D,MATCH($A372,Sales!$E:$E,0)),""))</f>
        <v/>
      </c>
      <c r="D372" s="153" t="str">
        <f t="array" ref="D372">IF($A372="","",IFERROR(INDEX(Sales!$C:$C,MATCH($A372,Sales!$E:$E,0)),""))</f>
        <v/>
      </c>
      <c r="E372" s="154" t="str">
        <f>IF($A372="","",SUMIFS(Sales!$H:$H,Sales!$E:$E,$A372,Sales!$B:$B,"&lt;&gt;Return"))</f>
        <v/>
      </c>
      <c r="F372" s="155" t="str">
        <f>IF($A372="","",SUMIF(Sales!$E:$E,$A372,Sales!$L:$L))</f>
        <v/>
      </c>
      <c r="G372" s="155" t="str">
        <f>IF($A372="","",SUMIF(Sales!$E:$E,$A372,Sales!$P:$P))</f>
        <v/>
      </c>
      <c r="H372" s="156" t="str">
        <f t="array" ref="H372">IF($A372="","",IFERROR(INDEX(Orders!$O$5:$O$1004,MATCH($A372,Orders!$N$5:$N$1004,0)),""))</f>
        <v/>
      </c>
      <c r="I372" s="156" t="str">
        <f t="array" ref="I372">IF($A372="","",IFERROR(INDEX(Orders!$P$5:$P$1004,MATCH($A372,Orders!$N$5:$N$1004,0)),""))</f>
        <v/>
      </c>
      <c r="J372" s="157" t="str">
        <f t="shared" si="1"/>
        <v/>
      </c>
      <c r="K372" s="153" t="str">
        <f t="array" ref="K372">IF($A372="","",IFERROR(INDEX(Sales!$M:$M,MATCH($A372,Sales!$E:$E,0)),""))</f>
        <v/>
      </c>
      <c r="L372" s="158" t="str">
        <f t="shared" si="2"/>
        <v/>
      </c>
      <c r="N372" s="49" t="str">
        <f t="array" ref="N372">IFERROR(INDEX(Sales!$E$7:$E$1506,MATCH(ROW()-4,Sales!$V$7:$V$1506,0)),"")</f>
        <v/>
      </c>
      <c r="O372" s="67"/>
      <c r="P372" s="67"/>
    </row>
    <row r="373" ht="15.75" customHeight="1">
      <c r="A373" s="151" t="str">
        <f t="array" ref="A373">IFERROR(INDEX(Sales!$E$7:$E$1506,MATCH(ROW()-4,Sales!$W$7:$W$1506,0)),"")</f>
        <v/>
      </c>
      <c r="B373" s="152" t="str">
        <f t="array" ref="B373">IF($A373="","",IFERROR(INDEX(Sales!$A:$A,MATCH($A373,Sales!$E:$E,0)),""))</f>
        <v/>
      </c>
      <c r="C373" s="153" t="str">
        <f t="array" ref="C373">IF($A373="","",IFERROR(INDEX(Sales!$D:$D,MATCH($A373,Sales!$E:$E,0)),""))</f>
        <v/>
      </c>
      <c r="D373" s="153" t="str">
        <f t="array" ref="D373">IF($A373="","",IFERROR(INDEX(Sales!$C:$C,MATCH($A373,Sales!$E:$E,0)),""))</f>
        <v/>
      </c>
      <c r="E373" s="154" t="str">
        <f>IF($A373="","",SUMIFS(Sales!$H:$H,Sales!$E:$E,$A373,Sales!$B:$B,"&lt;&gt;Return"))</f>
        <v/>
      </c>
      <c r="F373" s="155" t="str">
        <f>IF($A373="","",SUMIF(Sales!$E:$E,$A373,Sales!$L:$L))</f>
        <v/>
      </c>
      <c r="G373" s="155" t="str">
        <f>IF($A373="","",SUMIF(Sales!$E:$E,$A373,Sales!$P:$P))</f>
        <v/>
      </c>
      <c r="H373" s="156" t="str">
        <f t="array" ref="H373">IF($A373="","",IFERROR(INDEX(Orders!$O$5:$O$1004,MATCH($A373,Orders!$N$5:$N$1004,0)),""))</f>
        <v/>
      </c>
      <c r="I373" s="156" t="str">
        <f t="array" ref="I373">IF($A373="","",IFERROR(INDEX(Orders!$P$5:$P$1004,MATCH($A373,Orders!$N$5:$N$1004,0)),""))</f>
        <v/>
      </c>
      <c r="J373" s="157" t="str">
        <f t="shared" si="1"/>
        <v/>
      </c>
      <c r="K373" s="153" t="str">
        <f t="array" ref="K373">IF($A373="","",IFERROR(INDEX(Sales!$M:$M,MATCH($A373,Sales!$E:$E,0)),""))</f>
        <v/>
      </c>
      <c r="L373" s="158" t="str">
        <f t="shared" si="2"/>
        <v/>
      </c>
      <c r="N373" s="49" t="str">
        <f t="array" ref="N373">IFERROR(INDEX(Sales!$E$7:$E$1506,MATCH(ROW()-4,Sales!$V$7:$V$1506,0)),"")</f>
        <v/>
      </c>
      <c r="O373" s="67"/>
      <c r="P373" s="67"/>
    </row>
    <row r="374" ht="15.75" customHeight="1">
      <c r="A374" s="151" t="str">
        <f t="array" ref="A374">IFERROR(INDEX(Sales!$E$7:$E$1506,MATCH(ROW()-4,Sales!$W$7:$W$1506,0)),"")</f>
        <v/>
      </c>
      <c r="B374" s="152" t="str">
        <f t="array" ref="B374">IF($A374="","",IFERROR(INDEX(Sales!$A:$A,MATCH($A374,Sales!$E:$E,0)),""))</f>
        <v/>
      </c>
      <c r="C374" s="153" t="str">
        <f t="array" ref="C374">IF($A374="","",IFERROR(INDEX(Sales!$D:$D,MATCH($A374,Sales!$E:$E,0)),""))</f>
        <v/>
      </c>
      <c r="D374" s="153" t="str">
        <f t="array" ref="D374">IF($A374="","",IFERROR(INDEX(Sales!$C:$C,MATCH($A374,Sales!$E:$E,0)),""))</f>
        <v/>
      </c>
      <c r="E374" s="154" t="str">
        <f>IF($A374="","",SUMIFS(Sales!$H:$H,Sales!$E:$E,$A374,Sales!$B:$B,"&lt;&gt;Return"))</f>
        <v/>
      </c>
      <c r="F374" s="155" t="str">
        <f>IF($A374="","",SUMIF(Sales!$E:$E,$A374,Sales!$L:$L))</f>
        <v/>
      </c>
      <c r="G374" s="155" t="str">
        <f>IF($A374="","",SUMIF(Sales!$E:$E,$A374,Sales!$P:$P))</f>
        <v/>
      </c>
      <c r="H374" s="156" t="str">
        <f t="array" ref="H374">IF($A374="","",IFERROR(INDEX(Orders!$O$5:$O$1004,MATCH($A374,Orders!$N$5:$N$1004,0)),""))</f>
        <v/>
      </c>
      <c r="I374" s="156" t="str">
        <f t="array" ref="I374">IF($A374="","",IFERROR(INDEX(Orders!$P$5:$P$1004,MATCH($A374,Orders!$N$5:$N$1004,0)),""))</f>
        <v/>
      </c>
      <c r="J374" s="157" t="str">
        <f t="shared" si="1"/>
        <v/>
      </c>
      <c r="K374" s="153" t="str">
        <f t="array" ref="K374">IF($A374="","",IFERROR(INDEX(Sales!$M:$M,MATCH($A374,Sales!$E:$E,0)),""))</f>
        <v/>
      </c>
      <c r="L374" s="158" t="str">
        <f t="shared" si="2"/>
        <v/>
      </c>
      <c r="N374" s="49" t="str">
        <f t="array" ref="N374">IFERROR(INDEX(Sales!$E$7:$E$1506,MATCH(ROW()-4,Sales!$V$7:$V$1506,0)),"")</f>
        <v/>
      </c>
      <c r="O374" s="67"/>
      <c r="P374" s="67"/>
    </row>
    <row r="375" ht="15.75" customHeight="1">
      <c r="A375" s="151" t="str">
        <f t="array" ref="A375">IFERROR(INDEX(Sales!$E$7:$E$1506,MATCH(ROW()-4,Sales!$W$7:$W$1506,0)),"")</f>
        <v/>
      </c>
      <c r="B375" s="152" t="str">
        <f t="array" ref="B375">IF($A375="","",IFERROR(INDEX(Sales!$A:$A,MATCH($A375,Sales!$E:$E,0)),""))</f>
        <v/>
      </c>
      <c r="C375" s="153" t="str">
        <f t="array" ref="C375">IF($A375="","",IFERROR(INDEX(Sales!$D:$D,MATCH($A375,Sales!$E:$E,0)),""))</f>
        <v/>
      </c>
      <c r="D375" s="153" t="str">
        <f t="array" ref="D375">IF($A375="","",IFERROR(INDEX(Sales!$C:$C,MATCH($A375,Sales!$E:$E,0)),""))</f>
        <v/>
      </c>
      <c r="E375" s="154" t="str">
        <f>IF($A375="","",SUMIFS(Sales!$H:$H,Sales!$E:$E,$A375,Sales!$B:$B,"&lt;&gt;Return"))</f>
        <v/>
      </c>
      <c r="F375" s="155" t="str">
        <f>IF($A375="","",SUMIF(Sales!$E:$E,$A375,Sales!$L:$L))</f>
        <v/>
      </c>
      <c r="G375" s="155" t="str">
        <f>IF($A375="","",SUMIF(Sales!$E:$E,$A375,Sales!$P:$P))</f>
        <v/>
      </c>
      <c r="H375" s="156" t="str">
        <f t="array" ref="H375">IF($A375="","",IFERROR(INDEX(Orders!$O$5:$O$1004,MATCH($A375,Orders!$N$5:$N$1004,0)),""))</f>
        <v/>
      </c>
      <c r="I375" s="156" t="str">
        <f t="array" ref="I375">IF($A375="","",IFERROR(INDEX(Orders!$P$5:$P$1004,MATCH($A375,Orders!$N$5:$N$1004,0)),""))</f>
        <v/>
      </c>
      <c r="J375" s="157" t="str">
        <f t="shared" si="1"/>
        <v/>
      </c>
      <c r="K375" s="153" t="str">
        <f t="array" ref="K375">IF($A375="","",IFERROR(INDEX(Sales!$M:$M,MATCH($A375,Sales!$E:$E,0)),""))</f>
        <v/>
      </c>
      <c r="L375" s="158" t="str">
        <f t="shared" si="2"/>
        <v/>
      </c>
      <c r="N375" s="49" t="str">
        <f t="array" ref="N375">IFERROR(INDEX(Sales!$E$7:$E$1506,MATCH(ROW()-4,Sales!$V$7:$V$1506,0)),"")</f>
        <v/>
      </c>
      <c r="O375" s="67"/>
      <c r="P375" s="67"/>
    </row>
    <row r="376" ht="15.75" customHeight="1">
      <c r="A376" s="151" t="str">
        <f t="array" ref="A376">IFERROR(INDEX(Sales!$E$7:$E$1506,MATCH(ROW()-4,Sales!$W$7:$W$1506,0)),"")</f>
        <v/>
      </c>
      <c r="B376" s="152" t="str">
        <f t="array" ref="B376">IF($A376="","",IFERROR(INDEX(Sales!$A:$A,MATCH($A376,Sales!$E:$E,0)),""))</f>
        <v/>
      </c>
      <c r="C376" s="153" t="str">
        <f t="array" ref="C376">IF($A376="","",IFERROR(INDEX(Sales!$D:$D,MATCH($A376,Sales!$E:$E,0)),""))</f>
        <v/>
      </c>
      <c r="D376" s="153" t="str">
        <f t="array" ref="D376">IF($A376="","",IFERROR(INDEX(Sales!$C:$C,MATCH($A376,Sales!$E:$E,0)),""))</f>
        <v/>
      </c>
      <c r="E376" s="154" t="str">
        <f>IF($A376="","",SUMIFS(Sales!$H:$H,Sales!$E:$E,$A376,Sales!$B:$B,"&lt;&gt;Return"))</f>
        <v/>
      </c>
      <c r="F376" s="155" t="str">
        <f>IF($A376="","",SUMIF(Sales!$E:$E,$A376,Sales!$L:$L))</f>
        <v/>
      </c>
      <c r="G376" s="155" t="str">
        <f>IF($A376="","",SUMIF(Sales!$E:$E,$A376,Sales!$P:$P))</f>
        <v/>
      </c>
      <c r="H376" s="156" t="str">
        <f t="array" ref="H376">IF($A376="","",IFERROR(INDEX(Orders!$O$5:$O$1004,MATCH($A376,Orders!$N$5:$N$1004,0)),""))</f>
        <v/>
      </c>
      <c r="I376" s="156" t="str">
        <f t="array" ref="I376">IF($A376="","",IFERROR(INDEX(Orders!$P$5:$P$1004,MATCH($A376,Orders!$N$5:$N$1004,0)),""))</f>
        <v/>
      </c>
      <c r="J376" s="157" t="str">
        <f t="shared" si="1"/>
        <v/>
      </c>
      <c r="K376" s="153" t="str">
        <f t="array" ref="K376">IF($A376="","",IFERROR(INDEX(Sales!$M:$M,MATCH($A376,Sales!$E:$E,0)),""))</f>
        <v/>
      </c>
      <c r="L376" s="158" t="str">
        <f t="shared" si="2"/>
        <v/>
      </c>
      <c r="N376" s="49" t="str">
        <f t="array" ref="N376">IFERROR(INDEX(Sales!$E$7:$E$1506,MATCH(ROW()-4,Sales!$V$7:$V$1506,0)),"")</f>
        <v/>
      </c>
      <c r="O376" s="67"/>
      <c r="P376" s="67"/>
    </row>
    <row r="377" ht="15.75" customHeight="1">
      <c r="A377" s="151" t="str">
        <f t="array" ref="A377">IFERROR(INDEX(Sales!$E$7:$E$1506,MATCH(ROW()-4,Sales!$W$7:$W$1506,0)),"")</f>
        <v/>
      </c>
      <c r="B377" s="152" t="str">
        <f t="array" ref="B377">IF($A377="","",IFERROR(INDEX(Sales!$A:$A,MATCH($A377,Sales!$E:$E,0)),""))</f>
        <v/>
      </c>
      <c r="C377" s="153" t="str">
        <f t="array" ref="C377">IF($A377="","",IFERROR(INDEX(Sales!$D:$D,MATCH($A377,Sales!$E:$E,0)),""))</f>
        <v/>
      </c>
      <c r="D377" s="153" t="str">
        <f t="array" ref="D377">IF($A377="","",IFERROR(INDEX(Sales!$C:$C,MATCH($A377,Sales!$E:$E,0)),""))</f>
        <v/>
      </c>
      <c r="E377" s="154" t="str">
        <f>IF($A377="","",SUMIFS(Sales!$H:$H,Sales!$E:$E,$A377,Sales!$B:$B,"&lt;&gt;Return"))</f>
        <v/>
      </c>
      <c r="F377" s="155" t="str">
        <f>IF($A377="","",SUMIF(Sales!$E:$E,$A377,Sales!$L:$L))</f>
        <v/>
      </c>
      <c r="G377" s="155" t="str">
        <f>IF($A377="","",SUMIF(Sales!$E:$E,$A377,Sales!$P:$P))</f>
        <v/>
      </c>
      <c r="H377" s="156" t="str">
        <f t="array" ref="H377">IF($A377="","",IFERROR(INDEX(Orders!$O$5:$O$1004,MATCH($A377,Orders!$N$5:$N$1004,0)),""))</f>
        <v/>
      </c>
      <c r="I377" s="156" t="str">
        <f t="array" ref="I377">IF($A377="","",IFERROR(INDEX(Orders!$P$5:$P$1004,MATCH($A377,Orders!$N$5:$N$1004,0)),""))</f>
        <v/>
      </c>
      <c r="J377" s="157" t="str">
        <f t="shared" si="1"/>
        <v/>
      </c>
      <c r="K377" s="153" t="str">
        <f t="array" ref="K377">IF($A377="","",IFERROR(INDEX(Sales!$M:$M,MATCH($A377,Sales!$E:$E,0)),""))</f>
        <v/>
      </c>
      <c r="L377" s="158" t="str">
        <f t="shared" si="2"/>
        <v/>
      </c>
      <c r="N377" s="49" t="str">
        <f t="array" ref="N377">IFERROR(INDEX(Sales!$E$7:$E$1506,MATCH(ROW()-4,Sales!$V$7:$V$1506,0)),"")</f>
        <v/>
      </c>
      <c r="O377" s="67"/>
      <c r="P377" s="67"/>
    </row>
    <row r="378" ht="15.75" customHeight="1">
      <c r="A378" s="151" t="str">
        <f t="array" ref="A378">IFERROR(INDEX(Sales!$E$7:$E$1506,MATCH(ROW()-4,Sales!$W$7:$W$1506,0)),"")</f>
        <v/>
      </c>
      <c r="B378" s="152" t="str">
        <f t="array" ref="B378">IF($A378="","",IFERROR(INDEX(Sales!$A:$A,MATCH($A378,Sales!$E:$E,0)),""))</f>
        <v/>
      </c>
      <c r="C378" s="153" t="str">
        <f t="array" ref="C378">IF($A378="","",IFERROR(INDEX(Sales!$D:$D,MATCH($A378,Sales!$E:$E,0)),""))</f>
        <v/>
      </c>
      <c r="D378" s="153" t="str">
        <f t="array" ref="D378">IF($A378="","",IFERROR(INDEX(Sales!$C:$C,MATCH($A378,Sales!$E:$E,0)),""))</f>
        <v/>
      </c>
      <c r="E378" s="154" t="str">
        <f>IF($A378="","",SUMIFS(Sales!$H:$H,Sales!$E:$E,$A378,Sales!$B:$B,"&lt;&gt;Return"))</f>
        <v/>
      </c>
      <c r="F378" s="155" t="str">
        <f>IF($A378="","",SUMIF(Sales!$E:$E,$A378,Sales!$L:$L))</f>
        <v/>
      </c>
      <c r="G378" s="155" t="str">
        <f>IF($A378="","",SUMIF(Sales!$E:$E,$A378,Sales!$P:$P))</f>
        <v/>
      </c>
      <c r="H378" s="156" t="str">
        <f t="array" ref="H378">IF($A378="","",IFERROR(INDEX(Orders!$O$5:$O$1004,MATCH($A378,Orders!$N$5:$N$1004,0)),""))</f>
        <v/>
      </c>
      <c r="I378" s="156" t="str">
        <f t="array" ref="I378">IF($A378="","",IFERROR(INDEX(Orders!$P$5:$P$1004,MATCH($A378,Orders!$N$5:$N$1004,0)),""))</f>
        <v/>
      </c>
      <c r="J378" s="157" t="str">
        <f t="shared" si="1"/>
        <v/>
      </c>
      <c r="K378" s="153" t="str">
        <f t="array" ref="K378">IF($A378="","",IFERROR(INDEX(Sales!$M:$M,MATCH($A378,Sales!$E:$E,0)),""))</f>
        <v/>
      </c>
      <c r="L378" s="158" t="str">
        <f t="shared" si="2"/>
        <v/>
      </c>
      <c r="N378" s="49" t="str">
        <f t="array" ref="N378">IFERROR(INDEX(Sales!$E$7:$E$1506,MATCH(ROW()-4,Sales!$V$7:$V$1506,0)),"")</f>
        <v/>
      </c>
      <c r="O378" s="67"/>
      <c r="P378" s="67"/>
    </row>
    <row r="379" ht="15.75" customHeight="1">
      <c r="A379" s="151" t="str">
        <f t="array" ref="A379">IFERROR(INDEX(Sales!$E$7:$E$1506,MATCH(ROW()-4,Sales!$W$7:$W$1506,0)),"")</f>
        <v/>
      </c>
      <c r="B379" s="152" t="str">
        <f t="array" ref="B379">IF($A379="","",IFERROR(INDEX(Sales!$A:$A,MATCH($A379,Sales!$E:$E,0)),""))</f>
        <v/>
      </c>
      <c r="C379" s="153" t="str">
        <f t="array" ref="C379">IF($A379="","",IFERROR(INDEX(Sales!$D:$D,MATCH($A379,Sales!$E:$E,0)),""))</f>
        <v/>
      </c>
      <c r="D379" s="153" t="str">
        <f t="array" ref="D379">IF($A379="","",IFERROR(INDEX(Sales!$C:$C,MATCH($A379,Sales!$E:$E,0)),""))</f>
        <v/>
      </c>
      <c r="E379" s="154" t="str">
        <f>IF($A379="","",SUMIFS(Sales!$H:$H,Sales!$E:$E,$A379,Sales!$B:$B,"&lt;&gt;Return"))</f>
        <v/>
      </c>
      <c r="F379" s="155" t="str">
        <f>IF($A379="","",SUMIF(Sales!$E:$E,$A379,Sales!$L:$L))</f>
        <v/>
      </c>
      <c r="G379" s="155" t="str">
        <f>IF($A379="","",SUMIF(Sales!$E:$E,$A379,Sales!$P:$P))</f>
        <v/>
      </c>
      <c r="H379" s="156" t="str">
        <f t="array" ref="H379">IF($A379="","",IFERROR(INDEX(Orders!$O$5:$O$1004,MATCH($A379,Orders!$N$5:$N$1004,0)),""))</f>
        <v/>
      </c>
      <c r="I379" s="156" t="str">
        <f t="array" ref="I379">IF($A379="","",IFERROR(INDEX(Orders!$P$5:$P$1004,MATCH($A379,Orders!$N$5:$N$1004,0)),""))</f>
        <v/>
      </c>
      <c r="J379" s="157" t="str">
        <f t="shared" si="1"/>
        <v/>
      </c>
      <c r="K379" s="153" t="str">
        <f t="array" ref="K379">IF($A379="","",IFERROR(INDEX(Sales!$M:$M,MATCH($A379,Sales!$E:$E,0)),""))</f>
        <v/>
      </c>
      <c r="L379" s="158" t="str">
        <f t="shared" si="2"/>
        <v/>
      </c>
      <c r="N379" s="49" t="str">
        <f t="array" ref="N379">IFERROR(INDEX(Sales!$E$7:$E$1506,MATCH(ROW()-4,Sales!$V$7:$V$1506,0)),"")</f>
        <v/>
      </c>
      <c r="O379" s="67"/>
      <c r="P379" s="67"/>
    </row>
    <row r="380" ht="15.75" customHeight="1">
      <c r="A380" s="151" t="str">
        <f t="array" ref="A380">IFERROR(INDEX(Sales!$E$7:$E$1506,MATCH(ROW()-4,Sales!$W$7:$W$1506,0)),"")</f>
        <v/>
      </c>
      <c r="B380" s="152" t="str">
        <f t="array" ref="B380">IF($A380="","",IFERROR(INDEX(Sales!$A:$A,MATCH($A380,Sales!$E:$E,0)),""))</f>
        <v/>
      </c>
      <c r="C380" s="153" t="str">
        <f t="array" ref="C380">IF($A380="","",IFERROR(INDEX(Sales!$D:$D,MATCH($A380,Sales!$E:$E,0)),""))</f>
        <v/>
      </c>
      <c r="D380" s="153" t="str">
        <f t="array" ref="D380">IF($A380="","",IFERROR(INDEX(Sales!$C:$C,MATCH($A380,Sales!$E:$E,0)),""))</f>
        <v/>
      </c>
      <c r="E380" s="154" t="str">
        <f>IF($A380="","",SUMIFS(Sales!$H:$H,Sales!$E:$E,$A380,Sales!$B:$B,"&lt;&gt;Return"))</f>
        <v/>
      </c>
      <c r="F380" s="155" t="str">
        <f>IF($A380="","",SUMIF(Sales!$E:$E,$A380,Sales!$L:$L))</f>
        <v/>
      </c>
      <c r="G380" s="155" t="str">
        <f>IF($A380="","",SUMIF(Sales!$E:$E,$A380,Sales!$P:$P))</f>
        <v/>
      </c>
      <c r="H380" s="156" t="str">
        <f t="array" ref="H380">IF($A380="","",IFERROR(INDEX(Orders!$O$5:$O$1004,MATCH($A380,Orders!$N$5:$N$1004,0)),""))</f>
        <v/>
      </c>
      <c r="I380" s="156" t="str">
        <f t="array" ref="I380">IF($A380="","",IFERROR(INDEX(Orders!$P$5:$P$1004,MATCH($A380,Orders!$N$5:$N$1004,0)),""))</f>
        <v/>
      </c>
      <c r="J380" s="157" t="str">
        <f t="shared" si="1"/>
        <v/>
      </c>
      <c r="K380" s="153" t="str">
        <f t="array" ref="K380">IF($A380="","",IFERROR(INDEX(Sales!$M:$M,MATCH($A380,Sales!$E:$E,0)),""))</f>
        <v/>
      </c>
      <c r="L380" s="158" t="str">
        <f t="shared" si="2"/>
        <v/>
      </c>
      <c r="N380" s="49" t="str">
        <f t="array" ref="N380">IFERROR(INDEX(Sales!$E$7:$E$1506,MATCH(ROW()-4,Sales!$V$7:$V$1506,0)),"")</f>
        <v/>
      </c>
      <c r="O380" s="67"/>
      <c r="P380" s="67"/>
    </row>
    <row r="381" ht="15.75" customHeight="1">
      <c r="A381" s="151" t="str">
        <f t="array" ref="A381">IFERROR(INDEX(Sales!$E$7:$E$1506,MATCH(ROW()-4,Sales!$W$7:$W$1506,0)),"")</f>
        <v/>
      </c>
      <c r="B381" s="152" t="str">
        <f t="array" ref="B381">IF($A381="","",IFERROR(INDEX(Sales!$A:$A,MATCH($A381,Sales!$E:$E,0)),""))</f>
        <v/>
      </c>
      <c r="C381" s="153" t="str">
        <f t="array" ref="C381">IF($A381="","",IFERROR(INDEX(Sales!$D:$D,MATCH($A381,Sales!$E:$E,0)),""))</f>
        <v/>
      </c>
      <c r="D381" s="153" t="str">
        <f t="array" ref="D381">IF($A381="","",IFERROR(INDEX(Sales!$C:$C,MATCH($A381,Sales!$E:$E,0)),""))</f>
        <v/>
      </c>
      <c r="E381" s="154" t="str">
        <f>IF($A381="","",SUMIFS(Sales!$H:$H,Sales!$E:$E,$A381,Sales!$B:$B,"&lt;&gt;Return"))</f>
        <v/>
      </c>
      <c r="F381" s="155" t="str">
        <f>IF($A381="","",SUMIF(Sales!$E:$E,$A381,Sales!$L:$L))</f>
        <v/>
      </c>
      <c r="G381" s="155" t="str">
        <f>IF($A381="","",SUMIF(Sales!$E:$E,$A381,Sales!$P:$P))</f>
        <v/>
      </c>
      <c r="H381" s="156" t="str">
        <f t="array" ref="H381">IF($A381="","",IFERROR(INDEX(Orders!$O$5:$O$1004,MATCH($A381,Orders!$N$5:$N$1004,0)),""))</f>
        <v/>
      </c>
      <c r="I381" s="156" t="str">
        <f t="array" ref="I381">IF($A381="","",IFERROR(INDEX(Orders!$P$5:$P$1004,MATCH($A381,Orders!$N$5:$N$1004,0)),""))</f>
        <v/>
      </c>
      <c r="J381" s="157" t="str">
        <f t="shared" si="1"/>
        <v/>
      </c>
      <c r="K381" s="153" t="str">
        <f t="array" ref="K381">IF($A381="","",IFERROR(INDEX(Sales!$M:$M,MATCH($A381,Sales!$E:$E,0)),""))</f>
        <v/>
      </c>
      <c r="L381" s="158" t="str">
        <f t="shared" si="2"/>
        <v/>
      </c>
      <c r="N381" s="49" t="str">
        <f t="array" ref="N381">IFERROR(INDEX(Sales!$E$7:$E$1506,MATCH(ROW()-4,Sales!$V$7:$V$1506,0)),"")</f>
        <v/>
      </c>
      <c r="O381" s="67"/>
      <c r="P381" s="67"/>
    </row>
    <row r="382" ht="15.75" customHeight="1">
      <c r="A382" s="151" t="str">
        <f t="array" ref="A382">IFERROR(INDEX(Sales!$E$7:$E$1506,MATCH(ROW()-4,Sales!$W$7:$W$1506,0)),"")</f>
        <v/>
      </c>
      <c r="B382" s="152" t="str">
        <f t="array" ref="B382">IF($A382="","",IFERROR(INDEX(Sales!$A:$A,MATCH($A382,Sales!$E:$E,0)),""))</f>
        <v/>
      </c>
      <c r="C382" s="153" t="str">
        <f t="array" ref="C382">IF($A382="","",IFERROR(INDEX(Sales!$D:$D,MATCH($A382,Sales!$E:$E,0)),""))</f>
        <v/>
      </c>
      <c r="D382" s="153" t="str">
        <f t="array" ref="D382">IF($A382="","",IFERROR(INDEX(Sales!$C:$C,MATCH($A382,Sales!$E:$E,0)),""))</f>
        <v/>
      </c>
      <c r="E382" s="154" t="str">
        <f>IF($A382="","",SUMIFS(Sales!$H:$H,Sales!$E:$E,$A382,Sales!$B:$B,"&lt;&gt;Return"))</f>
        <v/>
      </c>
      <c r="F382" s="155" t="str">
        <f>IF($A382="","",SUMIF(Sales!$E:$E,$A382,Sales!$L:$L))</f>
        <v/>
      </c>
      <c r="G382" s="155" t="str">
        <f>IF($A382="","",SUMIF(Sales!$E:$E,$A382,Sales!$P:$P))</f>
        <v/>
      </c>
      <c r="H382" s="156" t="str">
        <f t="array" ref="H382">IF($A382="","",IFERROR(INDEX(Orders!$O$5:$O$1004,MATCH($A382,Orders!$N$5:$N$1004,0)),""))</f>
        <v/>
      </c>
      <c r="I382" s="156" t="str">
        <f t="array" ref="I382">IF($A382="","",IFERROR(INDEX(Orders!$P$5:$P$1004,MATCH($A382,Orders!$N$5:$N$1004,0)),""))</f>
        <v/>
      </c>
      <c r="J382" s="157" t="str">
        <f t="shared" si="1"/>
        <v/>
      </c>
      <c r="K382" s="153" t="str">
        <f t="array" ref="K382">IF($A382="","",IFERROR(INDEX(Sales!$M:$M,MATCH($A382,Sales!$E:$E,0)),""))</f>
        <v/>
      </c>
      <c r="L382" s="158" t="str">
        <f t="shared" si="2"/>
        <v/>
      </c>
      <c r="N382" s="49" t="str">
        <f t="array" ref="N382">IFERROR(INDEX(Sales!$E$7:$E$1506,MATCH(ROW()-4,Sales!$V$7:$V$1506,0)),"")</f>
        <v/>
      </c>
      <c r="O382" s="67"/>
      <c r="P382" s="67"/>
    </row>
    <row r="383" ht="15.75" customHeight="1">
      <c r="A383" s="151" t="str">
        <f t="array" ref="A383">IFERROR(INDEX(Sales!$E$7:$E$1506,MATCH(ROW()-4,Sales!$W$7:$W$1506,0)),"")</f>
        <v/>
      </c>
      <c r="B383" s="152" t="str">
        <f t="array" ref="B383">IF($A383="","",IFERROR(INDEX(Sales!$A:$A,MATCH($A383,Sales!$E:$E,0)),""))</f>
        <v/>
      </c>
      <c r="C383" s="153" t="str">
        <f t="array" ref="C383">IF($A383="","",IFERROR(INDEX(Sales!$D:$D,MATCH($A383,Sales!$E:$E,0)),""))</f>
        <v/>
      </c>
      <c r="D383" s="153" t="str">
        <f t="array" ref="D383">IF($A383="","",IFERROR(INDEX(Sales!$C:$C,MATCH($A383,Sales!$E:$E,0)),""))</f>
        <v/>
      </c>
      <c r="E383" s="154" t="str">
        <f>IF($A383="","",SUMIFS(Sales!$H:$H,Sales!$E:$E,$A383,Sales!$B:$B,"&lt;&gt;Return"))</f>
        <v/>
      </c>
      <c r="F383" s="155" t="str">
        <f>IF($A383="","",SUMIF(Sales!$E:$E,$A383,Sales!$L:$L))</f>
        <v/>
      </c>
      <c r="G383" s="155" t="str">
        <f>IF($A383="","",SUMIF(Sales!$E:$E,$A383,Sales!$P:$P))</f>
        <v/>
      </c>
      <c r="H383" s="156" t="str">
        <f t="array" ref="H383">IF($A383="","",IFERROR(INDEX(Orders!$O$5:$O$1004,MATCH($A383,Orders!$N$5:$N$1004,0)),""))</f>
        <v/>
      </c>
      <c r="I383" s="156" t="str">
        <f t="array" ref="I383">IF($A383="","",IFERROR(INDEX(Orders!$P$5:$P$1004,MATCH($A383,Orders!$N$5:$N$1004,0)),""))</f>
        <v/>
      </c>
      <c r="J383" s="157" t="str">
        <f t="shared" si="1"/>
        <v/>
      </c>
      <c r="K383" s="153" t="str">
        <f t="array" ref="K383">IF($A383="","",IFERROR(INDEX(Sales!$M:$M,MATCH($A383,Sales!$E:$E,0)),""))</f>
        <v/>
      </c>
      <c r="L383" s="158" t="str">
        <f t="shared" si="2"/>
        <v/>
      </c>
      <c r="N383" s="49" t="str">
        <f t="array" ref="N383">IFERROR(INDEX(Sales!$E$7:$E$1506,MATCH(ROW()-4,Sales!$V$7:$V$1506,0)),"")</f>
        <v/>
      </c>
      <c r="O383" s="67"/>
      <c r="P383" s="67"/>
    </row>
    <row r="384" ht="15.75" customHeight="1">
      <c r="A384" s="151" t="str">
        <f t="array" ref="A384">IFERROR(INDEX(Sales!$E$7:$E$1506,MATCH(ROW()-4,Sales!$W$7:$W$1506,0)),"")</f>
        <v/>
      </c>
      <c r="B384" s="152" t="str">
        <f t="array" ref="B384">IF($A384="","",IFERROR(INDEX(Sales!$A:$A,MATCH($A384,Sales!$E:$E,0)),""))</f>
        <v/>
      </c>
      <c r="C384" s="153" t="str">
        <f t="array" ref="C384">IF($A384="","",IFERROR(INDEX(Sales!$D:$D,MATCH($A384,Sales!$E:$E,0)),""))</f>
        <v/>
      </c>
      <c r="D384" s="153" t="str">
        <f t="array" ref="D384">IF($A384="","",IFERROR(INDEX(Sales!$C:$C,MATCH($A384,Sales!$E:$E,0)),""))</f>
        <v/>
      </c>
      <c r="E384" s="154" t="str">
        <f>IF($A384="","",SUMIFS(Sales!$H:$H,Sales!$E:$E,$A384,Sales!$B:$B,"&lt;&gt;Return"))</f>
        <v/>
      </c>
      <c r="F384" s="155" t="str">
        <f>IF($A384="","",SUMIF(Sales!$E:$E,$A384,Sales!$L:$L))</f>
        <v/>
      </c>
      <c r="G384" s="155" t="str">
        <f>IF($A384="","",SUMIF(Sales!$E:$E,$A384,Sales!$P:$P))</f>
        <v/>
      </c>
      <c r="H384" s="156" t="str">
        <f t="array" ref="H384">IF($A384="","",IFERROR(INDEX(Orders!$O$5:$O$1004,MATCH($A384,Orders!$N$5:$N$1004,0)),""))</f>
        <v/>
      </c>
      <c r="I384" s="156" t="str">
        <f t="array" ref="I384">IF($A384="","",IFERROR(INDEX(Orders!$P$5:$P$1004,MATCH($A384,Orders!$N$5:$N$1004,0)),""))</f>
        <v/>
      </c>
      <c r="J384" s="157" t="str">
        <f t="shared" si="1"/>
        <v/>
      </c>
      <c r="K384" s="153" t="str">
        <f t="array" ref="K384">IF($A384="","",IFERROR(INDEX(Sales!$M:$M,MATCH($A384,Sales!$E:$E,0)),""))</f>
        <v/>
      </c>
      <c r="L384" s="158" t="str">
        <f t="shared" si="2"/>
        <v/>
      </c>
      <c r="N384" s="49" t="str">
        <f t="array" ref="N384">IFERROR(INDEX(Sales!$E$7:$E$1506,MATCH(ROW()-4,Sales!$V$7:$V$1506,0)),"")</f>
        <v/>
      </c>
      <c r="O384" s="67"/>
      <c r="P384" s="67"/>
    </row>
    <row r="385" ht="15.75" customHeight="1">
      <c r="A385" s="151" t="str">
        <f t="array" ref="A385">IFERROR(INDEX(Sales!$E$7:$E$1506,MATCH(ROW()-4,Sales!$W$7:$W$1506,0)),"")</f>
        <v/>
      </c>
      <c r="B385" s="152" t="str">
        <f t="array" ref="B385">IF($A385="","",IFERROR(INDEX(Sales!$A:$A,MATCH($A385,Sales!$E:$E,0)),""))</f>
        <v/>
      </c>
      <c r="C385" s="153" t="str">
        <f t="array" ref="C385">IF($A385="","",IFERROR(INDEX(Sales!$D:$D,MATCH($A385,Sales!$E:$E,0)),""))</f>
        <v/>
      </c>
      <c r="D385" s="153" t="str">
        <f t="array" ref="D385">IF($A385="","",IFERROR(INDEX(Sales!$C:$C,MATCH($A385,Sales!$E:$E,0)),""))</f>
        <v/>
      </c>
      <c r="E385" s="154" t="str">
        <f>IF($A385="","",SUMIFS(Sales!$H:$H,Sales!$E:$E,$A385,Sales!$B:$B,"&lt;&gt;Return"))</f>
        <v/>
      </c>
      <c r="F385" s="155" t="str">
        <f>IF($A385="","",SUMIF(Sales!$E:$E,$A385,Sales!$L:$L))</f>
        <v/>
      </c>
      <c r="G385" s="155" t="str">
        <f>IF($A385="","",SUMIF(Sales!$E:$E,$A385,Sales!$P:$P))</f>
        <v/>
      </c>
      <c r="H385" s="156" t="str">
        <f t="array" ref="H385">IF($A385="","",IFERROR(INDEX(Orders!$O$5:$O$1004,MATCH($A385,Orders!$N$5:$N$1004,0)),""))</f>
        <v/>
      </c>
      <c r="I385" s="156" t="str">
        <f t="array" ref="I385">IF($A385="","",IFERROR(INDEX(Orders!$P$5:$P$1004,MATCH($A385,Orders!$N$5:$N$1004,0)),""))</f>
        <v/>
      </c>
      <c r="J385" s="157" t="str">
        <f t="shared" si="1"/>
        <v/>
      </c>
      <c r="K385" s="153" t="str">
        <f t="array" ref="K385">IF($A385="","",IFERROR(INDEX(Sales!$M:$M,MATCH($A385,Sales!$E:$E,0)),""))</f>
        <v/>
      </c>
      <c r="L385" s="158" t="str">
        <f t="shared" si="2"/>
        <v/>
      </c>
      <c r="N385" s="49" t="str">
        <f t="array" ref="N385">IFERROR(INDEX(Sales!$E$7:$E$1506,MATCH(ROW()-4,Sales!$V$7:$V$1506,0)),"")</f>
        <v/>
      </c>
      <c r="O385" s="67"/>
      <c r="P385" s="67"/>
    </row>
    <row r="386" ht="15.75" customHeight="1">
      <c r="A386" s="151" t="str">
        <f t="array" ref="A386">IFERROR(INDEX(Sales!$E$7:$E$1506,MATCH(ROW()-4,Sales!$W$7:$W$1506,0)),"")</f>
        <v/>
      </c>
      <c r="B386" s="152" t="str">
        <f t="array" ref="B386">IF($A386="","",IFERROR(INDEX(Sales!$A:$A,MATCH($A386,Sales!$E:$E,0)),""))</f>
        <v/>
      </c>
      <c r="C386" s="153" t="str">
        <f t="array" ref="C386">IF($A386="","",IFERROR(INDEX(Sales!$D:$D,MATCH($A386,Sales!$E:$E,0)),""))</f>
        <v/>
      </c>
      <c r="D386" s="153" t="str">
        <f t="array" ref="D386">IF($A386="","",IFERROR(INDEX(Sales!$C:$C,MATCH($A386,Sales!$E:$E,0)),""))</f>
        <v/>
      </c>
      <c r="E386" s="154" t="str">
        <f>IF($A386="","",SUMIFS(Sales!$H:$H,Sales!$E:$E,$A386,Sales!$B:$B,"&lt;&gt;Return"))</f>
        <v/>
      </c>
      <c r="F386" s="155" t="str">
        <f>IF($A386="","",SUMIF(Sales!$E:$E,$A386,Sales!$L:$L))</f>
        <v/>
      </c>
      <c r="G386" s="155" t="str">
        <f>IF($A386="","",SUMIF(Sales!$E:$E,$A386,Sales!$P:$P))</f>
        <v/>
      </c>
      <c r="H386" s="156" t="str">
        <f t="array" ref="H386">IF($A386="","",IFERROR(INDEX(Orders!$O$5:$O$1004,MATCH($A386,Orders!$N$5:$N$1004,0)),""))</f>
        <v/>
      </c>
      <c r="I386" s="156" t="str">
        <f t="array" ref="I386">IF($A386="","",IFERROR(INDEX(Orders!$P$5:$P$1004,MATCH($A386,Orders!$N$5:$N$1004,0)),""))</f>
        <v/>
      </c>
      <c r="J386" s="157" t="str">
        <f t="shared" si="1"/>
        <v/>
      </c>
      <c r="K386" s="153" t="str">
        <f t="array" ref="K386">IF($A386="","",IFERROR(INDEX(Sales!$M:$M,MATCH($A386,Sales!$E:$E,0)),""))</f>
        <v/>
      </c>
      <c r="L386" s="158" t="str">
        <f t="shared" si="2"/>
        <v/>
      </c>
      <c r="N386" s="49" t="str">
        <f t="array" ref="N386">IFERROR(INDEX(Sales!$E$7:$E$1506,MATCH(ROW()-4,Sales!$V$7:$V$1506,0)),"")</f>
        <v/>
      </c>
      <c r="O386" s="67"/>
      <c r="P386" s="67"/>
    </row>
    <row r="387" ht="15.75" customHeight="1">
      <c r="A387" s="151" t="str">
        <f t="array" ref="A387">IFERROR(INDEX(Sales!$E$7:$E$1506,MATCH(ROW()-4,Sales!$W$7:$W$1506,0)),"")</f>
        <v/>
      </c>
      <c r="B387" s="152" t="str">
        <f t="array" ref="B387">IF($A387="","",IFERROR(INDEX(Sales!$A:$A,MATCH($A387,Sales!$E:$E,0)),""))</f>
        <v/>
      </c>
      <c r="C387" s="153" t="str">
        <f t="array" ref="C387">IF($A387="","",IFERROR(INDEX(Sales!$D:$D,MATCH($A387,Sales!$E:$E,0)),""))</f>
        <v/>
      </c>
      <c r="D387" s="153" t="str">
        <f t="array" ref="D387">IF($A387="","",IFERROR(INDEX(Sales!$C:$C,MATCH($A387,Sales!$E:$E,0)),""))</f>
        <v/>
      </c>
      <c r="E387" s="154" t="str">
        <f>IF($A387="","",SUMIFS(Sales!$H:$H,Sales!$E:$E,$A387,Sales!$B:$B,"&lt;&gt;Return"))</f>
        <v/>
      </c>
      <c r="F387" s="155" t="str">
        <f>IF($A387="","",SUMIF(Sales!$E:$E,$A387,Sales!$L:$L))</f>
        <v/>
      </c>
      <c r="G387" s="155" t="str">
        <f>IF($A387="","",SUMIF(Sales!$E:$E,$A387,Sales!$P:$P))</f>
        <v/>
      </c>
      <c r="H387" s="156" t="str">
        <f t="array" ref="H387">IF($A387="","",IFERROR(INDEX(Orders!$O$5:$O$1004,MATCH($A387,Orders!$N$5:$N$1004,0)),""))</f>
        <v/>
      </c>
      <c r="I387" s="156" t="str">
        <f t="array" ref="I387">IF($A387="","",IFERROR(INDEX(Orders!$P$5:$P$1004,MATCH($A387,Orders!$N$5:$N$1004,0)),""))</f>
        <v/>
      </c>
      <c r="J387" s="157" t="str">
        <f t="shared" si="1"/>
        <v/>
      </c>
      <c r="K387" s="153" t="str">
        <f t="array" ref="K387">IF($A387="","",IFERROR(INDEX(Sales!$M:$M,MATCH($A387,Sales!$E:$E,0)),""))</f>
        <v/>
      </c>
      <c r="L387" s="158" t="str">
        <f t="shared" si="2"/>
        <v/>
      </c>
      <c r="N387" s="49" t="str">
        <f t="array" ref="N387">IFERROR(INDEX(Sales!$E$7:$E$1506,MATCH(ROW()-4,Sales!$V$7:$V$1506,0)),"")</f>
        <v/>
      </c>
      <c r="O387" s="67"/>
      <c r="P387" s="67"/>
    </row>
    <row r="388" ht="15.75" customHeight="1">
      <c r="A388" s="151" t="str">
        <f t="array" ref="A388">IFERROR(INDEX(Sales!$E$7:$E$1506,MATCH(ROW()-4,Sales!$W$7:$W$1506,0)),"")</f>
        <v/>
      </c>
      <c r="B388" s="152" t="str">
        <f t="array" ref="B388">IF($A388="","",IFERROR(INDEX(Sales!$A:$A,MATCH($A388,Sales!$E:$E,0)),""))</f>
        <v/>
      </c>
      <c r="C388" s="153" t="str">
        <f t="array" ref="C388">IF($A388="","",IFERROR(INDEX(Sales!$D:$D,MATCH($A388,Sales!$E:$E,0)),""))</f>
        <v/>
      </c>
      <c r="D388" s="153" t="str">
        <f t="array" ref="D388">IF($A388="","",IFERROR(INDEX(Sales!$C:$C,MATCH($A388,Sales!$E:$E,0)),""))</f>
        <v/>
      </c>
      <c r="E388" s="154" t="str">
        <f>IF($A388="","",SUMIFS(Sales!$H:$H,Sales!$E:$E,$A388,Sales!$B:$B,"&lt;&gt;Return"))</f>
        <v/>
      </c>
      <c r="F388" s="155" t="str">
        <f>IF($A388="","",SUMIF(Sales!$E:$E,$A388,Sales!$L:$L))</f>
        <v/>
      </c>
      <c r="G388" s="155" t="str">
        <f>IF($A388="","",SUMIF(Sales!$E:$E,$A388,Sales!$P:$P))</f>
        <v/>
      </c>
      <c r="H388" s="156" t="str">
        <f t="array" ref="H388">IF($A388="","",IFERROR(INDEX(Orders!$O$5:$O$1004,MATCH($A388,Orders!$N$5:$N$1004,0)),""))</f>
        <v/>
      </c>
      <c r="I388" s="156" t="str">
        <f t="array" ref="I388">IF($A388="","",IFERROR(INDEX(Orders!$P$5:$P$1004,MATCH($A388,Orders!$N$5:$N$1004,0)),""))</f>
        <v/>
      </c>
      <c r="J388" s="157" t="str">
        <f t="shared" si="1"/>
        <v/>
      </c>
      <c r="K388" s="153" t="str">
        <f t="array" ref="K388">IF($A388="","",IFERROR(INDEX(Sales!$M:$M,MATCH($A388,Sales!$E:$E,0)),""))</f>
        <v/>
      </c>
      <c r="L388" s="158" t="str">
        <f t="shared" si="2"/>
        <v/>
      </c>
      <c r="N388" s="49" t="str">
        <f t="array" ref="N388">IFERROR(INDEX(Sales!$E$7:$E$1506,MATCH(ROW()-4,Sales!$V$7:$V$1506,0)),"")</f>
        <v/>
      </c>
      <c r="O388" s="67"/>
      <c r="P388" s="67"/>
    </row>
    <row r="389" ht="15.75" customHeight="1">
      <c r="A389" s="151" t="str">
        <f t="array" ref="A389">IFERROR(INDEX(Sales!$E$7:$E$1506,MATCH(ROW()-4,Sales!$W$7:$W$1506,0)),"")</f>
        <v/>
      </c>
      <c r="B389" s="152" t="str">
        <f t="array" ref="B389">IF($A389="","",IFERROR(INDEX(Sales!$A:$A,MATCH($A389,Sales!$E:$E,0)),""))</f>
        <v/>
      </c>
      <c r="C389" s="153" t="str">
        <f t="array" ref="C389">IF($A389="","",IFERROR(INDEX(Sales!$D:$D,MATCH($A389,Sales!$E:$E,0)),""))</f>
        <v/>
      </c>
      <c r="D389" s="153" t="str">
        <f t="array" ref="D389">IF($A389="","",IFERROR(INDEX(Sales!$C:$C,MATCH($A389,Sales!$E:$E,0)),""))</f>
        <v/>
      </c>
      <c r="E389" s="154" t="str">
        <f>IF($A389="","",SUMIFS(Sales!$H:$H,Sales!$E:$E,$A389,Sales!$B:$B,"&lt;&gt;Return"))</f>
        <v/>
      </c>
      <c r="F389" s="155" t="str">
        <f>IF($A389="","",SUMIF(Sales!$E:$E,$A389,Sales!$L:$L))</f>
        <v/>
      </c>
      <c r="G389" s="155" t="str">
        <f>IF($A389="","",SUMIF(Sales!$E:$E,$A389,Sales!$P:$P))</f>
        <v/>
      </c>
      <c r="H389" s="156" t="str">
        <f t="array" ref="H389">IF($A389="","",IFERROR(INDEX(Orders!$O$5:$O$1004,MATCH($A389,Orders!$N$5:$N$1004,0)),""))</f>
        <v/>
      </c>
      <c r="I389" s="156" t="str">
        <f t="array" ref="I389">IF($A389="","",IFERROR(INDEX(Orders!$P$5:$P$1004,MATCH($A389,Orders!$N$5:$N$1004,0)),""))</f>
        <v/>
      </c>
      <c r="J389" s="157" t="str">
        <f t="shared" si="1"/>
        <v/>
      </c>
      <c r="K389" s="153" t="str">
        <f t="array" ref="K389">IF($A389="","",IFERROR(INDEX(Sales!$M:$M,MATCH($A389,Sales!$E:$E,0)),""))</f>
        <v/>
      </c>
      <c r="L389" s="158" t="str">
        <f t="shared" si="2"/>
        <v/>
      </c>
      <c r="N389" s="49" t="str">
        <f t="array" ref="N389">IFERROR(INDEX(Sales!$E$7:$E$1506,MATCH(ROW()-4,Sales!$V$7:$V$1506,0)),"")</f>
        <v/>
      </c>
      <c r="O389" s="67"/>
      <c r="P389" s="67"/>
    </row>
    <row r="390" ht="15.75" customHeight="1">
      <c r="A390" s="151" t="str">
        <f t="array" ref="A390">IFERROR(INDEX(Sales!$E$7:$E$1506,MATCH(ROW()-4,Sales!$W$7:$W$1506,0)),"")</f>
        <v/>
      </c>
      <c r="B390" s="152" t="str">
        <f t="array" ref="B390">IF($A390="","",IFERROR(INDEX(Sales!$A:$A,MATCH($A390,Sales!$E:$E,0)),""))</f>
        <v/>
      </c>
      <c r="C390" s="153" t="str">
        <f t="array" ref="C390">IF($A390="","",IFERROR(INDEX(Sales!$D:$D,MATCH($A390,Sales!$E:$E,0)),""))</f>
        <v/>
      </c>
      <c r="D390" s="153" t="str">
        <f t="array" ref="D390">IF($A390="","",IFERROR(INDEX(Sales!$C:$C,MATCH($A390,Sales!$E:$E,0)),""))</f>
        <v/>
      </c>
      <c r="E390" s="154" t="str">
        <f>IF($A390="","",SUMIFS(Sales!$H:$H,Sales!$E:$E,$A390,Sales!$B:$B,"&lt;&gt;Return"))</f>
        <v/>
      </c>
      <c r="F390" s="155" t="str">
        <f>IF($A390="","",SUMIF(Sales!$E:$E,$A390,Sales!$L:$L))</f>
        <v/>
      </c>
      <c r="G390" s="155" t="str">
        <f>IF($A390="","",SUMIF(Sales!$E:$E,$A390,Sales!$P:$P))</f>
        <v/>
      </c>
      <c r="H390" s="156" t="str">
        <f t="array" ref="H390">IF($A390="","",IFERROR(INDEX(Orders!$O$5:$O$1004,MATCH($A390,Orders!$N$5:$N$1004,0)),""))</f>
        <v/>
      </c>
      <c r="I390" s="156" t="str">
        <f t="array" ref="I390">IF($A390="","",IFERROR(INDEX(Orders!$P$5:$P$1004,MATCH($A390,Orders!$N$5:$N$1004,0)),""))</f>
        <v/>
      </c>
      <c r="J390" s="157" t="str">
        <f t="shared" si="1"/>
        <v/>
      </c>
      <c r="K390" s="153" t="str">
        <f t="array" ref="K390">IF($A390="","",IFERROR(INDEX(Sales!$M:$M,MATCH($A390,Sales!$E:$E,0)),""))</f>
        <v/>
      </c>
      <c r="L390" s="158" t="str">
        <f t="shared" si="2"/>
        <v/>
      </c>
      <c r="N390" s="49" t="str">
        <f t="array" ref="N390">IFERROR(INDEX(Sales!$E$7:$E$1506,MATCH(ROW()-4,Sales!$V$7:$V$1506,0)),"")</f>
        <v/>
      </c>
      <c r="O390" s="67"/>
      <c r="P390" s="67"/>
    </row>
    <row r="391" ht="15.75" customHeight="1">
      <c r="A391" s="151" t="str">
        <f t="array" ref="A391">IFERROR(INDEX(Sales!$E$7:$E$1506,MATCH(ROW()-4,Sales!$W$7:$W$1506,0)),"")</f>
        <v/>
      </c>
      <c r="B391" s="152" t="str">
        <f t="array" ref="B391">IF($A391="","",IFERROR(INDEX(Sales!$A:$A,MATCH($A391,Sales!$E:$E,0)),""))</f>
        <v/>
      </c>
      <c r="C391" s="153" t="str">
        <f t="array" ref="C391">IF($A391="","",IFERROR(INDEX(Sales!$D:$D,MATCH($A391,Sales!$E:$E,0)),""))</f>
        <v/>
      </c>
      <c r="D391" s="153" t="str">
        <f t="array" ref="D391">IF($A391="","",IFERROR(INDEX(Sales!$C:$C,MATCH($A391,Sales!$E:$E,0)),""))</f>
        <v/>
      </c>
      <c r="E391" s="154" t="str">
        <f>IF($A391="","",SUMIFS(Sales!$H:$H,Sales!$E:$E,$A391,Sales!$B:$B,"&lt;&gt;Return"))</f>
        <v/>
      </c>
      <c r="F391" s="155" t="str">
        <f>IF($A391="","",SUMIF(Sales!$E:$E,$A391,Sales!$L:$L))</f>
        <v/>
      </c>
      <c r="G391" s="155" t="str">
        <f>IF($A391="","",SUMIF(Sales!$E:$E,$A391,Sales!$P:$P))</f>
        <v/>
      </c>
      <c r="H391" s="156" t="str">
        <f t="array" ref="H391">IF($A391="","",IFERROR(INDEX(Orders!$O$5:$O$1004,MATCH($A391,Orders!$N$5:$N$1004,0)),""))</f>
        <v/>
      </c>
      <c r="I391" s="156" t="str">
        <f t="array" ref="I391">IF($A391="","",IFERROR(INDEX(Orders!$P$5:$P$1004,MATCH($A391,Orders!$N$5:$N$1004,0)),""))</f>
        <v/>
      </c>
      <c r="J391" s="157" t="str">
        <f t="shared" si="1"/>
        <v/>
      </c>
      <c r="K391" s="153" t="str">
        <f t="array" ref="K391">IF($A391="","",IFERROR(INDEX(Sales!$M:$M,MATCH($A391,Sales!$E:$E,0)),""))</f>
        <v/>
      </c>
      <c r="L391" s="158" t="str">
        <f t="shared" si="2"/>
        <v/>
      </c>
      <c r="N391" s="49" t="str">
        <f t="array" ref="N391">IFERROR(INDEX(Sales!$E$7:$E$1506,MATCH(ROW()-4,Sales!$V$7:$V$1506,0)),"")</f>
        <v/>
      </c>
      <c r="O391" s="67"/>
      <c r="P391" s="67"/>
    </row>
    <row r="392" ht="15.75" customHeight="1">
      <c r="A392" s="151" t="str">
        <f t="array" ref="A392">IFERROR(INDEX(Sales!$E$7:$E$1506,MATCH(ROW()-4,Sales!$W$7:$W$1506,0)),"")</f>
        <v/>
      </c>
      <c r="B392" s="152" t="str">
        <f t="array" ref="B392">IF($A392="","",IFERROR(INDEX(Sales!$A:$A,MATCH($A392,Sales!$E:$E,0)),""))</f>
        <v/>
      </c>
      <c r="C392" s="153" t="str">
        <f t="array" ref="C392">IF($A392="","",IFERROR(INDEX(Sales!$D:$D,MATCH($A392,Sales!$E:$E,0)),""))</f>
        <v/>
      </c>
      <c r="D392" s="153" t="str">
        <f t="array" ref="D392">IF($A392="","",IFERROR(INDEX(Sales!$C:$C,MATCH($A392,Sales!$E:$E,0)),""))</f>
        <v/>
      </c>
      <c r="E392" s="154" t="str">
        <f>IF($A392="","",SUMIFS(Sales!$H:$H,Sales!$E:$E,$A392,Sales!$B:$B,"&lt;&gt;Return"))</f>
        <v/>
      </c>
      <c r="F392" s="155" t="str">
        <f>IF($A392="","",SUMIF(Sales!$E:$E,$A392,Sales!$L:$L))</f>
        <v/>
      </c>
      <c r="G392" s="155" t="str">
        <f>IF($A392="","",SUMIF(Sales!$E:$E,$A392,Sales!$P:$P))</f>
        <v/>
      </c>
      <c r="H392" s="156" t="str">
        <f t="array" ref="H392">IF($A392="","",IFERROR(INDEX(Orders!$O$5:$O$1004,MATCH($A392,Orders!$N$5:$N$1004,0)),""))</f>
        <v/>
      </c>
      <c r="I392" s="156" t="str">
        <f t="array" ref="I392">IF($A392="","",IFERROR(INDEX(Orders!$P$5:$P$1004,MATCH($A392,Orders!$N$5:$N$1004,0)),""))</f>
        <v/>
      </c>
      <c r="J392" s="157" t="str">
        <f t="shared" si="1"/>
        <v/>
      </c>
      <c r="K392" s="153" t="str">
        <f t="array" ref="K392">IF($A392="","",IFERROR(INDEX(Sales!$M:$M,MATCH($A392,Sales!$E:$E,0)),""))</f>
        <v/>
      </c>
      <c r="L392" s="158" t="str">
        <f t="shared" si="2"/>
        <v/>
      </c>
      <c r="N392" s="49" t="str">
        <f t="array" ref="N392">IFERROR(INDEX(Sales!$E$7:$E$1506,MATCH(ROW()-4,Sales!$V$7:$V$1506,0)),"")</f>
        <v/>
      </c>
      <c r="O392" s="67"/>
      <c r="P392" s="67"/>
    </row>
    <row r="393" ht="15.75" customHeight="1">
      <c r="A393" s="151" t="str">
        <f t="array" ref="A393">IFERROR(INDEX(Sales!$E$7:$E$1506,MATCH(ROW()-4,Sales!$W$7:$W$1506,0)),"")</f>
        <v/>
      </c>
      <c r="B393" s="152" t="str">
        <f t="array" ref="B393">IF($A393="","",IFERROR(INDEX(Sales!$A:$A,MATCH($A393,Sales!$E:$E,0)),""))</f>
        <v/>
      </c>
      <c r="C393" s="153" t="str">
        <f t="array" ref="C393">IF($A393="","",IFERROR(INDEX(Sales!$D:$D,MATCH($A393,Sales!$E:$E,0)),""))</f>
        <v/>
      </c>
      <c r="D393" s="153" t="str">
        <f t="array" ref="D393">IF($A393="","",IFERROR(INDEX(Sales!$C:$C,MATCH($A393,Sales!$E:$E,0)),""))</f>
        <v/>
      </c>
      <c r="E393" s="154" t="str">
        <f>IF($A393="","",SUMIFS(Sales!$H:$H,Sales!$E:$E,$A393,Sales!$B:$B,"&lt;&gt;Return"))</f>
        <v/>
      </c>
      <c r="F393" s="155" t="str">
        <f>IF($A393="","",SUMIF(Sales!$E:$E,$A393,Sales!$L:$L))</f>
        <v/>
      </c>
      <c r="G393" s="155" t="str">
        <f>IF($A393="","",SUMIF(Sales!$E:$E,$A393,Sales!$P:$P))</f>
        <v/>
      </c>
      <c r="H393" s="156" t="str">
        <f t="array" ref="H393">IF($A393="","",IFERROR(INDEX(Orders!$O$5:$O$1004,MATCH($A393,Orders!$N$5:$N$1004,0)),""))</f>
        <v/>
      </c>
      <c r="I393" s="156" t="str">
        <f t="array" ref="I393">IF($A393="","",IFERROR(INDEX(Orders!$P$5:$P$1004,MATCH($A393,Orders!$N$5:$N$1004,0)),""))</f>
        <v/>
      </c>
      <c r="J393" s="157" t="str">
        <f t="shared" si="1"/>
        <v/>
      </c>
      <c r="K393" s="153" t="str">
        <f t="array" ref="K393">IF($A393="","",IFERROR(INDEX(Sales!$M:$M,MATCH($A393,Sales!$E:$E,0)),""))</f>
        <v/>
      </c>
      <c r="L393" s="158" t="str">
        <f t="shared" si="2"/>
        <v/>
      </c>
      <c r="N393" s="49" t="str">
        <f t="array" ref="N393">IFERROR(INDEX(Sales!$E$7:$E$1506,MATCH(ROW()-4,Sales!$V$7:$V$1506,0)),"")</f>
        <v/>
      </c>
      <c r="O393" s="67"/>
      <c r="P393" s="67"/>
    </row>
    <row r="394" ht="15.75" customHeight="1">
      <c r="A394" s="151" t="str">
        <f t="array" ref="A394">IFERROR(INDEX(Sales!$E$7:$E$1506,MATCH(ROW()-4,Sales!$W$7:$W$1506,0)),"")</f>
        <v/>
      </c>
      <c r="B394" s="152" t="str">
        <f t="array" ref="B394">IF($A394="","",IFERROR(INDEX(Sales!$A:$A,MATCH($A394,Sales!$E:$E,0)),""))</f>
        <v/>
      </c>
      <c r="C394" s="153" t="str">
        <f t="array" ref="C394">IF($A394="","",IFERROR(INDEX(Sales!$D:$D,MATCH($A394,Sales!$E:$E,0)),""))</f>
        <v/>
      </c>
      <c r="D394" s="153" t="str">
        <f t="array" ref="D394">IF($A394="","",IFERROR(INDEX(Sales!$C:$C,MATCH($A394,Sales!$E:$E,0)),""))</f>
        <v/>
      </c>
      <c r="E394" s="154" t="str">
        <f>IF($A394="","",SUMIFS(Sales!$H:$H,Sales!$E:$E,$A394,Sales!$B:$B,"&lt;&gt;Return"))</f>
        <v/>
      </c>
      <c r="F394" s="155" t="str">
        <f>IF($A394="","",SUMIF(Sales!$E:$E,$A394,Sales!$L:$L))</f>
        <v/>
      </c>
      <c r="G394" s="155" t="str">
        <f>IF($A394="","",SUMIF(Sales!$E:$E,$A394,Sales!$P:$P))</f>
        <v/>
      </c>
      <c r="H394" s="156" t="str">
        <f t="array" ref="H394">IF($A394="","",IFERROR(INDEX(Orders!$O$5:$O$1004,MATCH($A394,Orders!$N$5:$N$1004,0)),""))</f>
        <v/>
      </c>
      <c r="I394" s="156" t="str">
        <f t="array" ref="I394">IF($A394="","",IFERROR(INDEX(Orders!$P$5:$P$1004,MATCH($A394,Orders!$N$5:$N$1004,0)),""))</f>
        <v/>
      </c>
      <c r="J394" s="157" t="str">
        <f t="shared" si="1"/>
        <v/>
      </c>
      <c r="K394" s="153" t="str">
        <f t="array" ref="K394">IF($A394="","",IFERROR(INDEX(Sales!$M:$M,MATCH($A394,Sales!$E:$E,0)),""))</f>
        <v/>
      </c>
      <c r="L394" s="158" t="str">
        <f t="shared" si="2"/>
        <v/>
      </c>
      <c r="N394" s="49" t="str">
        <f t="array" ref="N394">IFERROR(INDEX(Sales!$E$7:$E$1506,MATCH(ROW()-4,Sales!$V$7:$V$1506,0)),"")</f>
        <v/>
      </c>
      <c r="O394" s="67"/>
      <c r="P394" s="67"/>
    </row>
    <row r="395" ht="15.75" customHeight="1">
      <c r="A395" s="151" t="str">
        <f t="array" ref="A395">IFERROR(INDEX(Sales!$E$7:$E$1506,MATCH(ROW()-4,Sales!$W$7:$W$1506,0)),"")</f>
        <v/>
      </c>
      <c r="B395" s="152" t="str">
        <f t="array" ref="B395">IF($A395="","",IFERROR(INDEX(Sales!$A:$A,MATCH($A395,Sales!$E:$E,0)),""))</f>
        <v/>
      </c>
      <c r="C395" s="153" t="str">
        <f t="array" ref="C395">IF($A395="","",IFERROR(INDEX(Sales!$D:$D,MATCH($A395,Sales!$E:$E,0)),""))</f>
        <v/>
      </c>
      <c r="D395" s="153" t="str">
        <f t="array" ref="D395">IF($A395="","",IFERROR(INDEX(Sales!$C:$C,MATCH($A395,Sales!$E:$E,0)),""))</f>
        <v/>
      </c>
      <c r="E395" s="154" t="str">
        <f>IF($A395="","",SUMIFS(Sales!$H:$H,Sales!$E:$E,$A395,Sales!$B:$B,"&lt;&gt;Return"))</f>
        <v/>
      </c>
      <c r="F395" s="155" t="str">
        <f>IF($A395="","",SUMIF(Sales!$E:$E,$A395,Sales!$L:$L))</f>
        <v/>
      </c>
      <c r="G395" s="155" t="str">
        <f>IF($A395="","",SUMIF(Sales!$E:$E,$A395,Sales!$P:$P))</f>
        <v/>
      </c>
      <c r="H395" s="156" t="str">
        <f t="array" ref="H395">IF($A395="","",IFERROR(INDEX(Orders!$O$5:$O$1004,MATCH($A395,Orders!$N$5:$N$1004,0)),""))</f>
        <v/>
      </c>
      <c r="I395" s="156" t="str">
        <f t="array" ref="I395">IF($A395="","",IFERROR(INDEX(Orders!$P$5:$P$1004,MATCH($A395,Orders!$N$5:$N$1004,0)),""))</f>
        <v/>
      </c>
      <c r="J395" s="157" t="str">
        <f t="shared" si="1"/>
        <v/>
      </c>
      <c r="K395" s="153" t="str">
        <f t="array" ref="K395">IF($A395="","",IFERROR(INDEX(Sales!$M:$M,MATCH($A395,Sales!$E:$E,0)),""))</f>
        <v/>
      </c>
      <c r="L395" s="158" t="str">
        <f t="shared" si="2"/>
        <v/>
      </c>
      <c r="N395" s="49" t="str">
        <f t="array" ref="N395">IFERROR(INDEX(Sales!$E$7:$E$1506,MATCH(ROW()-4,Sales!$V$7:$V$1506,0)),"")</f>
        <v/>
      </c>
      <c r="O395" s="67"/>
      <c r="P395" s="67"/>
    </row>
    <row r="396" ht="15.75" customHeight="1">
      <c r="A396" s="151" t="str">
        <f t="array" ref="A396">IFERROR(INDEX(Sales!$E$7:$E$1506,MATCH(ROW()-4,Sales!$W$7:$W$1506,0)),"")</f>
        <v/>
      </c>
      <c r="B396" s="152" t="str">
        <f t="array" ref="B396">IF($A396="","",IFERROR(INDEX(Sales!$A:$A,MATCH($A396,Sales!$E:$E,0)),""))</f>
        <v/>
      </c>
      <c r="C396" s="153" t="str">
        <f t="array" ref="C396">IF($A396="","",IFERROR(INDEX(Sales!$D:$D,MATCH($A396,Sales!$E:$E,0)),""))</f>
        <v/>
      </c>
      <c r="D396" s="153" t="str">
        <f t="array" ref="D396">IF($A396="","",IFERROR(INDEX(Sales!$C:$C,MATCH($A396,Sales!$E:$E,0)),""))</f>
        <v/>
      </c>
      <c r="E396" s="154" t="str">
        <f>IF($A396="","",SUMIFS(Sales!$H:$H,Sales!$E:$E,$A396,Sales!$B:$B,"&lt;&gt;Return"))</f>
        <v/>
      </c>
      <c r="F396" s="155" t="str">
        <f>IF($A396="","",SUMIF(Sales!$E:$E,$A396,Sales!$L:$L))</f>
        <v/>
      </c>
      <c r="G396" s="155" t="str">
        <f>IF($A396="","",SUMIF(Sales!$E:$E,$A396,Sales!$P:$P))</f>
        <v/>
      </c>
      <c r="H396" s="156" t="str">
        <f t="array" ref="H396">IF($A396="","",IFERROR(INDEX(Orders!$O$5:$O$1004,MATCH($A396,Orders!$N$5:$N$1004,0)),""))</f>
        <v/>
      </c>
      <c r="I396" s="156" t="str">
        <f t="array" ref="I396">IF($A396="","",IFERROR(INDEX(Orders!$P$5:$P$1004,MATCH($A396,Orders!$N$5:$N$1004,0)),""))</f>
        <v/>
      </c>
      <c r="J396" s="157" t="str">
        <f t="shared" si="1"/>
        <v/>
      </c>
      <c r="K396" s="153" t="str">
        <f t="array" ref="K396">IF($A396="","",IFERROR(INDEX(Sales!$M:$M,MATCH($A396,Sales!$E:$E,0)),""))</f>
        <v/>
      </c>
      <c r="L396" s="158" t="str">
        <f t="shared" si="2"/>
        <v/>
      </c>
      <c r="N396" s="49" t="str">
        <f t="array" ref="N396">IFERROR(INDEX(Sales!$E$7:$E$1506,MATCH(ROW()-4,Sales!$V$7:$V$1506,0)),"")</f>
        <v/>
      </c>
      <c r="O396" s="67"/>
      <c r="P396" s="67"/>
    </row>
    <row r="397" ht="15.75" customHeight="1">
      <c r="A397" s="151" t="str">
        <f t="array" ref="A397">IFERROR(INDEX(Sales!$E$7:$E$1506,MATCH(ROW()-4,Sales!$W$7:$W$1506,0)),"")</f>
        <v/>
      </c>
      <c r="B397" s="152" t="str">
        <f t="array" ref="B397">IF($A397="","",IFERROR(INDEX(Sales!$A:$A,MATCH($A397,Sales!$E:$E,0)),""))</f>
        <v/>
      </c>
      <c r="C397" s="153" t="str">
        <f t="array" ref="C397">IF($A397="","",IFERROR(INDEX(Sales!$D:$D,MATCH($A397,Sales!$E:$E,0)),""))</f>
        <v/>
      </c>
      <c r="D397" s="153" t="str">
        <f t="array" ref="D397">IF($A397="","",IFERROR(INDEX(Sales!$C:$C,MATCH($A397,Sales!$E:$E,0)),""))</f>
        <v/>
      </c>
      <c r="E397" s="154" t="str">
        <f>IF($A397="","",SUMIFS(Sales!$H:$H,Sales!$E:$E,$A397,Sales!$B:$B,"&lt;&gt;Return"))</f>
        <v/>
      </c>
      <c r="F397" s="155" t="str">
        <f>IF($A397="","",SUMIF(Sales!$E:$E,$A397,Sales!$L:$L))</f>
        <v/>
      </c>
      <c r="G397" s="155" t="str">
        <f>IF($A397="","",SUMIF(Sales!$E:$E,$A397,Sales!$P:$P))</f>
        <v/>
      </c>
      <c r="H397" s="156" t="str">
        <f t="array" ref="H397">IF($A397="","",IFERROR(INDEX(Orders!$O$5:$O$1004,MATCH($A397,Orders!$N$5:$N$1004,0)),""))</f>
        <v/>
      </c>
      <c r="I397" s="156" t="str">
        <f t="array" ref="I397">IF($A397="","",IFERROR(INDEX(Orders!$P$5:$P$1004,MATCH($A397,Orders!$N$5:$N$1004,0)),""))</f>
        <v/>
      </c>
      <c r="J397" s="157" t="str">
        <f t="shared" si="1"/>
        <v/>
      </c>
      <c r="K397" s="153" t="str">
        <f t="array" ref="K397">IF($A397="","",IFERROR(INDEX(Sales!$M:$M,MATCH($A397,Sales!$E:$E,0)),""))</f>
        <v/>
      </c>
      <c r="L397" s="158" t="str">
        <f t="shared" si="2"/>
        <v/>
      </c>
      <c r="N397" s="49" t="str">
        <f t="array" ref="N397">IFERROR(INDEX(Sales!$E$7:$E$1506,MATCH(ROW()-4,Sales!$V$7:$V$1506,0)),"")</f>
        <v/>
      </c>
      <c r="O397" s="67"/>
      <c r="P397" s="67"/>
    </row>
    <row r="398" ht="15.75" customHeight="1">
      <c r="A398" s="151" t="str">
        <f t="array" ref="A398">IFERROR(INDEX(Sales!$E$7:$E$1506,MATCH(ROW()-4,Sales!$W$7:$W$1506,0)),"")</f>
        <v/>
      </c>
      <c r="B398" s="152" t="str">
        <f t="array" ref="B398">IF($A398="","",IFERROR(INDEX(Sales!$A:$A,MATCH($A398,Sales!$E:$E,0)),""))</f>
        <v/>
      </c>
      <c r="C398" s="153" t="str">
        <f t="array" ref="C398">IF($A398="","",IFERROR(INDEX(Sales!$D:$D,MATCH($A398,Sales!$E:$E,0)),""))</f>
        <v/>
      </c>
      <c r="D398" s="153" t="str">
        <f t="array" ref="D398">IF($A398="","",IFERROR(INDEX(Sales!$C:$C,MATCH($A398,Sales!$E:$E,0)),""))</f>
        <v/>
      </c>
      <c r="E398" s="154" t="str">
        <f>IF($A398="","",SUMIFS(Sales!$H:$H,Sales!$E:$E,$A398,Sales!$B:$B,"&lt;&gt;Return"))</f>
        <v/>
      </c>
      <c r="F398" s="155" t="str">
        <f>IF($A398="","",SUMIF(Sales!$E:$E,$A398,Sales!$L:$L))</f>
        <v/>
      </c>
      <c r="G398" s="155" t="str">
        <f>IF($A398="","",SUMIF(Sales!$E:$E,$A398,Sales!$P:$P))</f>
        <v/>
      </c>
      <c r="H398" s="156" t="str">
        <f t="array" ref="H398">IF($A398="","",IFERROR(INDEX(Orders!$O$5:$O$1004,MATCH($A398,Orders!$N$5:$N$1004,0)),""))</f>
        <v/>
      </c>
      <c r="I398" s="156" t="str">
        <f t="array" ref="I398">IF($A398="","",IFERROR(INDEX(Orders!$P$5:$P$1004,MATCH($A398,Orders!$N$5:$N$1004,0)),""))</f>
        <v/>
      </c>
      <c r="J398" s="157" t="str">
        <f t="shared" si="1"/>
        <v/>
      </c>
      <c r="K398" s="153" t="str">
        <f t="array" ref="K398">IF($A398="","",IFERROR(INDEX(Sales!$M:$M,MATCH($A398,Sales!$E:$E,0)),""))</f>
        <v/>
      </c>
      <c r="L398" s="158" t="str">
        <f t="shared" si="2"/>
        <v/>
      </c>
      <c r="N398" s="49" t="str">
        <f t="array" ref="N398">IFERROR(INDEX(Sales!$E$7:$E$1506,MATCH(ROW()-4,Sales!$V$7:$V$1506,0)),"")</f>
        <v/>
      </c>
      <c r="O398" s="67"/>
      <c r="P398" s="67"/>
    </row>
    <row r="399" ht="15.75" customHeight="1">
      <c r="A399" s="151" t="str">
        <f t="array" ref="A399">IFERROR(INDEX(Sales!$E$7:$E$1506,MATCH(ROW()-4,Sales!$W$7:$W$1506,0)),"")</f>
        <v/>
      </c>
      <c r="B399" s="152" t="str">
        <f t="array" ref="B399">IF($A399="","",IFERROR(INDEX(Sales!$A:$A,MATCH($A399,Sales!$E:$E,0)),""))</f>
        <v/>
      </c>
      <c r="C399" s="153" t="str">
        <f t="array" ref="C399">IF($A399="","",IFERROR(INDEX(Sales!$D:$D,MATCH($A399,Sales!$E:$E,0)),""))</f>
        <v/>
      </c>
      <c r="D399" s="153" t="str">
        <f t="array" ref="D399">IF($A399="","",IFERROR(INDEX(Sales!$C:$C,MATCH($A399,Sales!$E:$E,0)),""))</f>
        <v/>
      </c>
      <c r="E399" s="154" t="str">
        <f>IF($A399="","",SUMIFS(Sales!$H:$H,Sales!$E:$E,$A399,Sales!$B:$B,"&lt;&gt;Return"))</f>
        <v/>
      </c>
      <c r="F399" s="155" t="str">
        <f>IF($A399="","",SUMIF(Sales!$E:$E,$A399,Sales!$L:$L))</f>
        <v/>
      </c>
      <c r="G399" s="155" t="str">
        <f>IF($A399="","",SUMIF(Sales!$E:$E,$A399,Sales!$P:$P))</f>
        <v/>
      </c>
      <c r="H399" s="156" t="str">
        <f t="array" ref="H399">IF($A399="","",IFERROR(INDEX(Orders!$O$5:$O$1004,MATCH($A399,Orders!$N$5:$N$1004,0)),""))</f>
        <v/>
      </c>
      <c r="I399" s="156" t="str">
        <f t="array" ref="I399">IF($A399="","",IFERROR(INDEX(Orders!$P$5:$P$1004,MATCH($A399,Orders!$N$5:$N$1004,0)),""))</f>
        <v/>
      </c>
      <c r="J399" s="157" t="str">
        <f t="shared" si="1"/>
        <v/>
      </c>
      <c r="K399" s="153" t="str">
        <f t="array" ref="K399">IF($A399="","",IFERROR(INDEX(Sales!$M:$M,MATCH($A399,Sales!$E:$E,0)),""))</f>
        <v/>
      </c>
      <c r="L399" s="158" t="str">
        <f t="shared" si="2"/>
        <v/>
      </c>
      <c r="N399" s="49" t="str">
        <f t="array" ref="N399">IFERROR(INDEX(Sales!$E$7:$E$1506,MATCH(ROW()-4,Sales!$V$7:$V$1506,0)),"")</f>
        <v/>
      </c>
      <c r="O399" s="67"/>
      <c r="P399" s="67"/>
    </row>
    <row r="400" ht="15.75" customHeight="1">
      <c r="A400" s="151" t="str">
        <f t="array" ref="A400">IFERROR(INDEX(Sales!$E$7:$E$1506,MATCH(ROW()-4,Sales!$W$7:$W$1506,0)),"")</f>
        <v/>
      </c>
      <c r="B400" s="152" t="str">
        <f t="array" ref="B400">IF($A400="","",IFERROR(INDEX(Sales!$A:$A,MATCH($A400,Sales!$E:$E,0)),""))</f>
        <v/>
      </c>
      <c r="C400" s="153" t="str">
        <f t="array" ref="C400">IF($A400="","",IFERROR(INDEX(Sales!$D:$D,MATCH($A400,Sales!$E:$E,0)),""))</f>
        <v/>
      </c>
      <c r="D400" s="153" t="str">
        <f t="array" ref="D400">IF($A400="","",IFERROR(INDEX(Sales!$C:$C,MATCH($A400,Sales!$E:$E,0)),""))</f>
        <v/>
      </c>
      <c r="E400" s="154" t="str">
        <f>IF($A400="","",SUMIFS(Sales!$H:$H,Sales!$E:$E,$A400,Sales!$B:$B,"&lt;&gt;Return"))</f>
        <v/>
      </c>
      <c r="F400" s="155" t="str">
        <f>IF($A400="","",SUMIF(Sales!$E:$E,$A400,Sales!$L:$L))</f>
        <v/>
      </c>
      <c r="G400" s="155" t="str">
        <f>IF($A400="","",SUMIF(Sales!$E:$E,$A400,Sales!$P:$P))</f>
        <v/>
      </c>
      <c r="H400" s="156" t="str">
        <f t="array" ref="H400">IF($A400="","",IFERROR(INDEX(Orders!$O$5:$O$1004,MATCH($A400,Orders!$N$5:$N$1004,0)),""))</f>
        <v/>
      </c>
      <c r="I400" s="156" t="str">
        <f t="array" ref="I400">IF($A400="","",IFERROR(INDEX(Orders!$P$5:$P$1004,MATCH($A400,Orders!$N$5:$N$1004,0)),""))</f>
        <v/>
      </c>
      <c r="J400" s="157" t="str">
        <f t="shared" si="1"/>
        <v/>
      </c>
      <c r="K400" s="153" t="str">
        <f t="array" ref="K400">IF($A400="","",IFERROR(INDEX(Sales!$M:$M,MATCH($A400,Sales!$E:$E,0)),""))</f>
        <v/>
      </c>
      <c r="L400" s="158" t="str">
        <f t="shared" si="2"/>
        <v/>
      </c>
      <c r="N400" s="49" t="str">
        <f t="array" ref="N400">IFERROR(INDEX(Sales!$E$7:$E$1506,MATCH(ROW()-4,Sales!$V$7:$V$1506,0)),"")</f>
        <v/>
      </c>
      <c r="O400" s="67"/>
      <c r="P400" s="67"/>
    </row>
    <row r="401" ht="15.75" customHeight="1">
      <c r="A401" s="151" t="str">
        <f t="array" ref="A401">IFERROR(INDEX(Sales!$E$7:$E$1506,MATCH(ROW()-4,Sales!$W$7:$W$1506,0)),"")</f>
        <v/>
      </c>
      <c r="B401" s="152" t="str">
        <f t="array" ref="B401">IF($A401="","",IFERROR(INDEX(Sales!$A:$A,MATCH($A401,Sales!$E:$E,0)),""))</f>
        <v/>
      </c>
      <c r="C401" s="153" t="str">
        <f t="array" ref="C401">IF($A401="","",IFERROR(INDEX(Sales!$D:$D,MATCH($A401,Sales!$E:$E,0)),""))</f>
        <v/>
      </c>
      <c r="D401" s="153" t="str">
        <f t="array" ref="D401">IF($A401="","",IFERROR(INDEX(Sales!$C:$C,MATCH($A401,Sales!$E:$E,0)),""))</f>
        <v/>
      </c>
      <c r="E401" s="154" t="str">
        <f>IF($A401="","",SUMIFS(Sales!$H:$H,Sales!$E:$E,$A401,Sales!$B:$B,"&lt;&gt;Return"))</f>
        <v/>
      </c>
      <c r="F401" s="155" t="str">
        <f>IF($A401="","",SUMIF(Sales!$E:$E,$A401,Sales!$L:$L))</f>
        <v/>
      </c>
      <c r="G401" s="155" t="str">
        <f>IF($A401="","",SUMIF(Sales!$E:$E,$A401,Sales!$P:$P))</f>
        <v/>
      </c>
      <c r="H401" s="156" t="str">
        <f t="array" ref="H401">IF($A401="","",IFERROR(INDEX(Orders!$O$5:$O$1004,MATCH($A401,Orders!$N$5:$N$1004,0)),""))</f>
        <v/>
      </c>
      <c r="I401" s="156" t="str">
        <f t="array" ref="I401">IF($A401="","",IFERROR(INDEX(Orders!$P$5:$P$1004,MATCH($A401,Orders!$N$5:$N$1004,0)),""))</f>
        <v/>
      </c>
      <c r="J401" s="157" t="str">
        <f t="shared" si="1"/>
        <v/>
      </c>
      <c r="K401" s="153" t="str">
        <f t="array" ref="K401">IF($A401="","",IFERROR(INDEX(Sales!$M:$M,MATCH($A401,Sales!$E:$E,0)),""))</f>
        <v/>
      </c>
      <c r="L401" s="158" t="str">
        <f t="shared" si="2"/>
        <v/>
      </c>
      <c r="N401" s="49" t="str">
        <f t="array" ref="N401">IFERROR(INDEX(Sales!$E$7:$E$1506,MATCH(ROW()-4,Sales!$V$7:$V$1506,0)),"")</f>
        <v/>
      </c>
      <c r="O401" s="67"/>
      <c r="P401" s="67"/>
    </row>
    <row r="402" ht="15.75" customHeight="1">
      <c r="A402" s="151" t="str">
        <f t="array" ref="A402">IFERROR(INDEX(Sales!$E$7:$E$1506,MATCH(ROW()-4,Sales!$W$7:$W$1506,0)),"")</f>
        <v/>
      </c>
      <c r="B402" s="152" t="str">
        <f t="array" ref="B402">IF($A402="","",IFERROR(INDEX(Sales!$A:$A,MATCH($A402,Sales!$E:$E,0)),""))</f>
        <v/>
      </c>
      <c r="C402" s="153" t="str">
        <f t="array" ref="C402">IF($A402="","",IFERROR(INDEX(Sales!$D:$D,MATCH($A402,Sales!$E:$E,0)),""))</f>
        <v/>
      </c>
      <c r="D402" s="153" t="str">
        <f t="array" ref="D402">IF($A402="","",IFERROR(INDEX(Sales!$C:$C,MATCH($A402,Sales!$E:$E,0)),""))</f>
        <v/>
      </c>
      <c r="E402" s="154" t="str">
        <f>IF($A402="","",SUMIFS(Sales!$H:$H,Sales!$E:$E,$A402,Sales!$B:$B,"&lt;&gt;Return"))</f>
        <v/>
      </c>
      <c r="F402" s="155" t="str">
        <f>IF($A402="","",SUMIF(Sales!$E:$E,$A402,Sales!$L:$L))</f>
        <v/>
      </c>
      <c r="G402" s="155" t="str">
        <f>IF($A402="","",SUMIF(Sales!$E:$E,$A402,Sales!$P:$P))</f>
        <v/>
      </c>
      <c r="H402" s="156" t="str">
        <f t="array" ref="H402">IF($A402="","",IFERROR(INDEX(Orders!$O$5:$O$1004,MATCH($A402,Orders!$N$5:$N$1004,0)),""))</f>
        <v/>
      </c>
      <c r="I402" s="156" t="str">
        <f t="array" ref="I402">IF($A402="","",IFERROR(INDEX(Orders!$P$5:$P$1004,MATCH($A402,Orders!$N$5:$N$1004,0)),""))</f>
        <v/>
      </c>
      <c r="J402" s="157" t="str">
        <f t="shared" si="1"/>
        <v/>
      </c>
      <c r="K402" s="153" t="str">
        <f t="array" ref="K402">IF($A402="","",IFERROR(INDEX(Sales!$M:$M,MATCH($A402,Sales!$E:$E,0)),""))</f>
        <v/>
      </c>
      <c r="L402" s="158" t="str">
        <f t="shared" si="2"/>
        <v/>
      </c>
      <c r="N402" s="49" t="str">
        <f t="array" ref="N402">IFERROR(INDEX(Sales!$E$7:$E$1506,MATCH(ROW()-4,Sales!$V$7:$V$1506,0)),"")</f>
        <v/>
      </c>
      <c r="O402" s="67"/>
      <c r="P402" s="67"/>
    </row>
    <row r="403" ht="15.75" customHeight="1">
      <c r="A403" s="151" t="str">
        <f t="array" ref="A403">IFERROR(INDEX(Sales!$E$7:$E$1506,MATCH(ROW()-4,Sales!$W$7:$W$1506,0)),"")</f>
        <v/>
      </c>
      <c r="B403" s="152" t="str">
        <f t="array" ref="B403">IF($A403="","",IFERROR(INDEX(Sales!$A:$A,MATCH($A403,Sales!$E:$E,0)),""))</f>
        <v/>
      </c>
      <c r="C403" s="153" t="str">
        <f t="array" ref="C403">IF($A403="","",IFERROR(INDEX(Sales!$D:$D,MATCH($A403,Sales!$E:$E,0)),""))</f>
        <v/>
      </c>
      <c r="D403" s="153" t="str">
        <f t="array" ref="D403">IF($A403="","",IFERROR(INDEX(Sales!$C:$C,MATCH($A403,Sales!$E:$E,0)),""))</f>
        <v/>
      </c>
      <c r="E403" s="154" t="str">
        <f>IF($A403="","",SUMIFS(Sales!$H:$H,Sales!$E:$E,$A403,Sales!$B:$B,"&lt;&gt;Return"))</f>
        <v/>
      </c>
      <c r="F403" s="155" t="str">
        <f>IF($A403="","",SUMIF(Sales!$E:$E,$A403,Sales!$L:$L))</f>
        <v/>
      </c>
      <c r="G403" s="155" t="str">
        <f>IF($A403="","",SUMIF(Sales!$E:$E,$A403,Sales!$P:$P))</f>
        <v/>
      </c>
      <c r="H403" s="156" t="str">
        <f t="array" ref="H403">IF($A403="","",IFERROR(INDEX(Orders!$O$5:$O$1004,MATCH($A403,Orders!$N$5:$N$1004,0)),""))</f>
        <v/>
      </c>
      <c r="I403" s="156" t="str">
        <f t="array" ref="I403">IF($A403="","",IFERROR(INDEX(Orders!$P$5:$P$1004,MATCH($A403,Orders!$N$5:$N$1004,0)),""))</f>
        <v/>
      </c>
      <c r="J403" s="157" t="str">
        <f t="shared" si="1"/>
        <v/>
      </c>
      <c r="K403" s="153" t="str">
        <f t="array" ref="K403">IF($A403="","",IFERROR(INDEX(Sales!$M:$M,MATCH($A403,Sales!$E:$E,0)),""))</f>
        <v/>
      </c>
      <c r="L403" s="158" t="str">
        <f t="shared" si="2"/>
        <v/>
      </c>
      <c r="N403" s="49" t="str">
        <f t="array" ref="N403">IFERROR(INDEX(Sales!$E$7:$E$1506,MATCH(ROW()-4,Sales!$V$7:$V$1506,0)),"")</f>
        <v/>
      </c>
      <c r="O403" s="67"/>
      <c r="P403" s="67"/>
    </row>
    <row r="404" ht="15.75" customHeight="1">
      <c r="A404" s="151" t="str">
        <f t="array" ref="A404">IFERROR(INDEX(Sales!$E$7:$E$1506,MATCH(ROW()-4,Sales!$W$7:$W$1506,0)),"")</f>
        <v/>
      </c>
      <c r="B404" s="152" t="str">
        <f t="array" ref="B404">IF($A404="","",IFERROR(INDEX(Sales!$A:$A,MATCH($A404,Sales!$E:$E,0)),""))</f>
        <v/>
      </c>
      <c r="C404" s="153" t="str">
        <f t="array" ref="C404">IF($A404="","",IFERROR(INDEX(Sales!$D:$D,MATCH($A404,Sales!$E:$E,0)),""))</f>
        <v/>
      </c>
      <c r="D404" s="153" t="str">
        <f t="array" ref="D404">IF($A404="","",IFERROR(INDEX(Sales!$C:$C,MATCH($A404,Sales!$E:$E,0)),""))</f>
        <v/>
      </c>
      <c r="E404" s="154" t="str">
        <f>IF($A404="","",SUMIFS(Sales!$H:$H,Sales!$E:$E,$A404,Sales!$B:$B,"&lt;&gt;Return"))</f>
        <v/>
      </c>
      <c r="F404" s="155" t="str">
        <f>IF($A404="","",SUMIF(Sales!$E:$E,$A404,Sales!$L:$L))</f>
        <v/>
      </c>
      <c r="G404" s="155" t="str">
        <f>IF($A404="","",SUMIF(Sales!$E:$E,$A404,Sales!$P:$P))</f>
        <v/>
      </c>
      <c r="H404" s="156" t="str">
        <f t="array" ref="H404">IF($A404="","",IFERROR(INDEX(Orders!$O$5:$O$1004,MATCH($A404,Orders!$N$5:$N$1004,0)),""))</f>
        <v/>
      </c>
      <c r="I404" s="156" t="str">
        <f t="array" ref="I404">IF($A404="","",IFERROR(INDEX(Orders!$P$5:$P$1004,MATCH($A404,Orders!$N$5:$N$1004,0)),""))</f>
        <v/>
      </c>
      <c r="J404" s="157" t="str">
        <f t="shared" si="1"/>
        <v/>
      </c>
      <c r="K404" s="153" t="str">
        <f t="array" ref="K404">IF($A404="","",IFERROR(INDEX(Sales!$M:$M,MATCH($A404,Sales!$E:$E,0)),""))</f>
        <v/>
      </c>
      <c r="L404" s="158" t="str">
        <f t="shared" si="2"/>
        <v/>
      </c>
      <c r="N404" s="49" t="str">
        <f t="array" ref="N404">IFERROR(INDEX(Sales!$E$7:$E$1506,MATCH(ROW()-4,Sales!$V$7:$V$1506,0)),"")</f>
        <v/>
      </c>
      <c r="O404" s="67"/>
      <c r="P404" s="67"/>
    </row>
    <row r="405" ht="15.75" customHeight="1">
      <c r="A405" s="151" t="str">
        <f t="array" ref="A405">IFERROR(INDEX(Sales!$E$7:$E$1506,MATCH(ROW()-4,Sales!$W$7:$W$1506,0)),"")</f>
        <v/>
      </c>
      <c r="B405" s="152" t="str">
        <f t="array" ref="B405">IF($A405="","",IFERROR(INDEX(Sales!$A:$A,MATCH($A405,Sales!$E:$E,0)),""))</f>
        <v/>
      </c>
      <c r="C405" s="153" t="str">
        <f t="array" ref="C405">IF($A405="","",IFERROR(INDEX(Sales!$D:$D,MATCH($A405,Sales!$E:$E,0)),""))</f>
        <v/>
      </c>
      <c r="D405" s="153" t="str">
        <f t="array" ref="D405">IF($A405="","",IFERROR(INDEX(Sales!$C:$C,MATCH($A405,Sales!$E:$E,0)),""))</f>
        <v/>
      </c>
      <c r="E405" s="154" t="str">
        <f>IF($A405="","",SUMIFS(Sales!$H:$H,Sales!$E:$E,$A405,Sales!$B:$B,"&lt;&gt;Return"))</f>
        <v/>
      </c>
      <c r="F405" s="155" t="str">
        <f>IF($A405="","",SUMIF(Sales!$E:$E,$A405,Sales!$L:$L))</f>
        <v/>
      </c>
      <c r="G405" s="155" t="str">
        <f>IF($A405="","",SUMIF(Sales!$E:$E,$A405,Sales!$P:$P))</f>
        <v/>
      </c>
      <c r="H405" s="156" t="str">
        <f t="array" ref="H405">IF($A405="","",IFERROR(INDEX(Orders!$O$5:$O$1004,MATCH($A405,Orders!$N$5:$N$1004,0)),""))</f>
        <v/>
      </c>
      <c r="I405" s="156" t="str">
        <f t="array" ref="I405">IF($A405="","",IFERROR(INDEX(Orders!$P$5:$P$1004,MATCH($A405,Orders!$N$5:$N$1004,0)),""))</f>
        <v/>
      </c>
      <c r="J405" s="157" t="str">
        <f t="shared" si="1"/>
        <v/>
      </c>
      <c r="K405" s="153" t="str">
        <f t="array" ref="K405">IF($A405="","",IFERROR(INDEX(Sales!$M:$M,MATCH($A405,Sales!$E:$E,0)),""))</f>
        <v/>
      </c>
      <c r="L405" s="158" t="str">
        <f t="shared" si="2"/>
        <v/>
      </c>
      <c r="N405" s="49" t="str">
        <f t="array" ref="N405">IFERROR(INDEX(Sales!$E$7:$E$1506,MATCH(ROW()-4,Sales!$V$7:$V$1506,0)),"")</f>
        <v/>
      </c>
      <c r="O405" s="67"/>
      <c r="P405" s="67"/>
    </row>
    <row r="406" ht="15.75" customHeight="1">
      <c r="A406" s="151" t="str">
        <f t="array" ref="A406">IFERROR(INDEX(Sales!$E$7:$E$1506,MATCH(ROW()-4,Sales!$W$7:$W$1506,0)),"")</f>
        <v/>
      </c>
      <c r="B406" s="152" t="str">
        <f t="array" ref="B406">IF($A406="","",IFERROR(INDEX(Sales!$A:$A,MATCH($A406,Sales!$E:$E,0)),""))</f>
        <v/>
      </c>
      <c r="C406" s="153" t="str">
        <f t="array" ref="C406">IF($A406="","",IFERROR(INDEX(Sales!$D:$D,MATCH($A406,Sales!$E:$E,0)),""))</f>
        <v/>
      </c>
      <c r="D406" s="153" t="str">
        <f t="array" ref="D406">IF($A406="","",IFERROR(INDEX(Sales!$C:$C,MATCH($A406,Sales!$E:$E,0)),""))</f>
        <v/>
      </c>
      <c r="E406" s="154" t="str">
        <f>IF($A406="","",SUMIFS(Sales!$H:$H,Sales!$E:$E,$A406,Sales!$B:$B,"&lt;&gt;Return"))</f>
        <v/>
      </c>
      <c r="F406" s="155" t="str">
        <f>IF($A406="","",SUMIF(Sales!$E:$E,$A406,Sales!$L:$L))</f>
        <v/>
      </c>
      <c r="G406" s="155" t="str">
        <f>IF($A406="","",SUMIF(Sales!$E:$E,$A406,Sales!$P:$P))</f>
        <v/>
      </c>
      <c r="H406" s="156" t="str">
        <f t="array" ref="H406">IF($A406="","",IFERROR(INDEX(Orders!$O$5:$O$1004,MATCH($A406,Orders!$N$5:$N$1004,0)),""))</f>
        <v/>
      </c>
      <c r="I406" s="156" t="str">
        <f t="array" ref="I406">IF($A406="","",IFERROR(INDEX(Orders!$P$5:$P$1004,MATCH($A406,Orders!$N$5:$N$1004,0)),""))</f>
        <v/>
      </c>
      <c r="J406" s="157" t="str">
        <f t="shared" si="1"/>
        <v/>
      </c>
      <c r="K406" s="153" t="str">
        <f t="array" ref="K406">IF($A406="","",IFERROR(INDEX(Sales!$M:$M,MATCH($A406,Sales!$E:$E,0)),""))</f>
        <v/>
      </c>
      <c r="L406" s="158" t="str">
        <f t="shared" si="2"/>
        <v/>
      </c>
      <c r="N406" s="49" t="str">
        <f t="array" ref="N406">IFERROR(INDEX(Sales!$E$7:$E$1506,MATCH(ROW()-4,Sales!$V$7:$V$1506,0)),"")</f>
        <v/>
      </c>
      <c r="O406" s="67"/>
      <c r="P406" s="67"/>
    </row>
    <row r="407" ht="15.75" customHeight="1">
      <c r="A407" s="151" t="str">
        <f t="array" ref="A407">IFERROR(INDEX(Sales!$E$7:$E$1506,MATCH(ROW()-4,Sales!$W$7:$W$1506,0)),"")</f>
        <v/>
      </c>
      <c r="B407" s="152" t="str">
        <f t="array" ref="B407">IF($A407="","",IFERROR(INDEX(Sales!$A:$A,MATCH($A407,Sales!$E:$E,0)),""))</f>
        <v/>
      </c>
      <c r="C407" s="153" t="str">
        <f t="array" ref="C407">IF($A407="","",IFERROR(INDEX(Sales!$D:$D,MATCH($A407,Sales!$E:$E,0)),""))</f>
        <v/>
      </c>
      <c r="D407" s="153" t="str">
        <f t="array" ref="D407">IF($A407="","",IFERROR(INDEX(Sales!$C:$C,MATCH($A407,Sales!$E:$E,0)),""))</f>
        <v/>
      </c>
      <c r="E407" s="154" t="str">
        <f>IF($A407="","",SUMIFS(Sales!$H:$H,Sales!$E:$E,$A407,Sales!$B:$B,"&lt;&gt;Return"))</f>
        <v/>
      </c>
      <c r="F407" s="155" t="str">
        <f>IF($A407="","",SUMIF(Sales!$E:$E,$A407,Sales!$L:$L))</f>
        <v/>
      </c>
      <c r="G407" s="155" t="str">
        <f>IF($A407="","",SUMIF(Sales!$E:$E,$A407,Sales!$P:$P))</f>
        <v/>
      </c>
      <c r="H407" s="156" t="str">
        <f t="array" ref="H407">IF($A407="","",IFERROR(INDEX(Orders!$O$5:$O$1004,MATCH($A407,Orders!$N$5:$N$1004,0)),""))</f>
        <v/>
      </c>
      <c r="I407" s="156" t="str">
        <f t="array" ref="I407">IF($A407="","",IFERROR(INDEX(Orders!$P$5:$P$1004,MATCH($A407,Orders!$N$5:$N$1004,0)),""))</f>
        <v/>
      </c>
      <c r="J407" s="157" t="str">
        <f t="shared" si="1"/>
        <v/>
      </c>
      <c r="K407" s="153" t="str">
        <f t="array" ref="K407">IF($A407="","",IFERROR(INDEX(Sales!$M:$M,MATCH($A407,Sales!$E:$E,0)),""))</f>
        <v/>
      </c>
      <c r="L407" s="158" t="str">
        <f t="shared" si="2"/>
        <v/>
      </c>
      <c r="N407" s="49" t="str">
        <f t="array" ref="N407">IFERROR(INDEX(Sales!$E$7:$E$1506,MATCH(ROW()-4,Sales!$V$7:$V$1506,0)),"")</f>
        <v/>
      </c>
      <c r="O407" s="67"/>
      <c r="P407" s="67"/>
    </row>
    <row r="408" ht="15.75" customHeight="1">
      <c r="A408" s="151" t="str">
        <f t="array" ref="A408">IFERROR(INDEX(Sales!$E$7:$E$1506,MATCH(ROW()-4,Sales!$W$7:$W$1506,0)),"")</f>
        <v/>
      </c>
      <c r="B408" s="152" t="str">
        <f t="array" ref="B408">IF($A408="","",IFERROR(INDEX(Sales!$A:$A,MATCH($A408,Sales!$E:$E,0)),""))</f>
        <v/>
      </c>
      <c r="C408" s="153" t="str">
        <f t="array" ref="C408">IF($A408="","",IFERROR(INDEX(Sales!$D:$D,MATCH($A408,Sales!$E:$E,0)),""))</f>
        <v/>
      </c>
      <c r="D408" s="153" t="str">
        <f t="array" ref="D408">IF($A408="","",IFERROR(INDEX(Sales!$C:$C,MATCH($A408,Sales!$E:$E,0)),""))</f>
        <v/>
      </c>
      <c r="E408" s="154" t="str">
        <f>IF($A408="","",SUMIFS(Sales!$H:$H,Sales!$E:$E,$A408,Sales!$B:$B,"&lt;&gt;Return"))</f>
        <v/>
      </c>
      <c r="F408" s="155" t="str">
        <f>IF($A408="","",SUMIF(Sales!$E:$E,$A408,Sales!$L:$L))</f>
        <v/>
      </c>
      <c r="G408" s="155" t="str">
        <f>IF($A408="","",SUMIF(Sales!$E:$E,$A408,Sales!$P:$P))</f>
        <v/>
      </c>
      <c r="H408" s="156" t="str">
        <f t="array" ref="H408">IF($A408="","",IFERROR(INDEX(Orders!$O$5:$O$1004,MATCH($A408,Orders!$N$5:$N$1004,0)),""))</f>
        <v/>
      </c>
      <c r="I408" s="156" t="str">
        <f t="array" ref="I408">IF($A408="","",IFERROR(INDEX(Orders!$P$5:$P$1004,MATCH($A408,Orders!$N$5:$N$1004,0)),""))</f>
        <v/>
      </c>
      <c r="J408" s="157" t="str">
        <f t="shared" si="1"/>
        <v/>
      </c>
      <c r="K408" s="153" t="str">
        <f t="array" ref="K408">IF($A408="","",IFERROR(INDEX(Sales!$M:$M,MATCH($A408,Sales!$E:$E,0)),""))</f>
        <v/>
      </c>
      <c r="L408" s="158" t="str">
        <f t="shared" si="2"/>
        <v/>
      </c>
      <c r="N408" s="49" t="str">
        <f t="array" ref="N408">IFERROR(INDEX(Sales!$E$7:$E$1506,MATCH(ROW()-4,Sales!$V$7:$V$1506,0)),"")</f>
        <v/>
      </c>
      <c r="O408" s="67"/>
      <c r="P408" s="67"/>
    </row>
    <row r="409" ht="15.75" customHeight="1">
      <c r="A409" s="151" t="str">
        <f t="array" ref="A409">IFERROR(INDEX(Sales!$E$7:$E$1506,MATCH(ROW()-4,Sales!$W$7:$W$1506,0)),"")</f>
        <v/>
      </c>
      <c r="B409" s="152" t="str">
        <f t="array" ref="B409">IF($A409="","",IFERROR(INDEX(Sales!$A:$A,MATCH($A409,Sales!$E:$E,0)),""))</f>
        <v/>
      </c>
      <c r="C409" s="153" t="str">
        <f t="array" ref="C409">IF($A409="","",IFERROR(INDEX(Sales!$D:$D,MATCH($A409,Sales!$E:$E,0)),""))</f>
        <v/>
      </c>
      <c r="D409" s="153" t="str">
        <f t="array" ref="D409">IF($A409="","",IFERROR(INDEX(Sales!$C:$C,MATCH($A409,Sales!$E:$E,0)),""))</f>
        <v/>
      </c>
      <c r="E409" s="154" t="str">
        <f>IF($A409="","",SUMIFS(Sales!$H:$H,Sales!$E:$E,$A409,Sales!$B:$B,"&lt;&gt;Return"))</f>
        <v/>
      </c>
      <c r="F409" s="155" t="str">
        <f>IF($A409="","",SUMIF(Sales!$E:$E,$A409,Sales!$L:$L))</f>
        <v/>
      </c>
      <c r="G409" s="155" t="str">
        <f>IF($A409="","",SUMIF(Sales!$E:$E,$A409,Sales!$P:$P))</f>
        <v/>
      </c>
      <c r="H409" s="156" t="str">
        <f t="array" ref="H409">IF($A409="","",IFERROR(INDEX(Orders!$O$5:$O$1004,MATCH($A409,Orders!$N$5:$N$1004,0)),""))</f>
        <v/>
      </c>
      <c r="I409" s="156" t="str">
        <f t="array" ref="I409">IF($A409="","",IFERROR(INDEX(Orders!$P$5:$P$1004,MATCH($A409,Orders!$N$5:$N$1004,0)),""))</f>
        <v/>
      </c>
      <c r="J409" s="157" t="str">
        <f t="shared" si="1"/>
        <v/>
      </c>
      <c r="K409" s="153" t="str">
        <f t="array" ref="K409">IF($A409="","",IFERROR(INDEX(Sales!$M:$M,MATCH($A409,Sales!$E:$E,0)),""))</f>
        <v/>
      </c>
      <c r="L409" s="158" t="str">
        <f t="shared" si="2"/>
        <v/>
      </c>
      <c r="N409" s="49" t="str">
        <f t="array" ref="N409">IFERROR(INDEX(Sales!$E$7:$E$1506,MATCH(ROW()-4,Sales!$V$7:$V$1506,0)),"")</f>
        <v/>
      </c>
      <c r="O409" s="67"/>
      <c r="P409" s="67"/>
    </row>
    <row r="410" ht="15.75" customHeight="1">
      <c r="A410" s="151" t="str">
        <f t="array" ref="A410">IFERROR(INDEX(Sales!$E$7:$E$1506,MATCH(ROW()-4,Sales!$W$7:$W$1506,0)),"")</f>
        <v/>
      </c>
      <c r="B410" s="152" t="str">
        <f t="array" ref="B410">IF($A410="","",IFERROR(INDEX(Sales!$A:$A,MATCH($A410,Sales!$E:$E,0)),""))</f>
        <v/>
      </c>
      <c r="C410" s="153" t="str">
        <f t="array" ref="C410">IF($A410="","",IFERROR(INDEX(Sales!$D:$D,MATCH($A410,Sales!$E:$E,0)),""))</f>
        <v/>
      </c>
      <c r="D410" s="153" t="str">
        <f t="array" ref="D410">IF($A410="","",IFERROR(INDEX(Sales!$C:$C,MATCH($A410,Sales!$E:$E,0)),""))</f>
        <v/>
      </c>
      <c r="E410" s="154" t="str">
        <f>IF($A410="","",SUMIFS(Sales!$H:$H,Sales!$E:$E,$A410,Sales!$B:$B,"&lt;&gt;Return"))</f>
        <v/>
      </c>
      <c r="F410" s="155" t="str">
        <f>IF($A410="","",SUMIF(Sales!$E:$E,$A410,Sales!$L:$L))</f>
        <v/>
      </c>
      <c r="G410" s="155" t="str">
        <f>IF($A410="","",SUMIF(Sales!$E:$E,$A410,Sales!$P:$P))</f>
        <v/>
      </c>
      <c r="H410" s="156" t="str">
        <f t="array" ref="H410">IF($A410="","",IFERROR(INDEX(Orders!$O$5:$O$1004,MATCH($A410,Orders!$N$5:$N$1004,0)),""))</f>
        <v/>
      </c>
      <c r="I410" s="156" t="str">
        <f t="array" ref="I410">IF($A410="","",IFERROR(INDEX(Orders!$P$5:$P$1004,MATCH($A410,Orders!$N$5:$N$1004,0)),""))</f>
        <v/>
      </c>
      <c r="J410" s="157" t="str">
        <f t="shared" si="1"/>
        <v/>
      </c>
      <c r="K410" s="153" t="str">
        <f t="array" ref="K410">IF($A410="","",IFERROR(INDEX(Sales!$M:$M,MATCH($A410,Sales!$E:$E,0)),""))</f>
        <v/>
      </c>
      <c r="L410" s="158" t="str">
        <f t="shared" si="2"/>
        <v/>
      </c>
      <c r="N410" s="49" t="str">
        <f t="array" ref="N410">IFERROR(INDEX(Sales!$E$7:$E$1506,MATCH(ROW()-4,Sales!$V$7:$V$1506,0)),"")</f>
        <v/>
      </c>
      <c r="O410" s="67"/>
      <c r="P410" s="67"/>
    </row>
    <row r="411" ht="15.75" customHeight="1">
      <c r="A411" s="151" t="str">
        <f t="array" ref="A411">IFERROR(INDEX(Sales!$E$7:$E$1506,MATCH(ROW()-4,Sales!$W$7:$W$1506,0)),"")</f>
        <v/>
      </c>
      <c r="B411" s="152" t="str">
        <f t="array" ref="B411">IF($A411="","",IFERROR(INDEX(Sales!$A:$A,MATCH($A411,Sales!$E:$E,0)),""))</f>
        <v/>
      </c>
      <c r="C411" s="153" t="str">
        <f t="array" ref="C411">IF($A411="","",IFERROR(INDEX(Sales!$D:$D,MATCH($A411,Sales!$E:$E,0)),""))</f>
        <v/>
      </c>
      <c r="D411" s="153" t="str">
        <f t="array" ref="D411">IF($A411="","",IFERROR(INDEX(Sales!$C:$C,MATCH($A411,Sales!$E:$E,0)),""))</f>
        <v/>
      </c>
      <c r="E411" s="154" t="str">
        <f>IF($A411="","",SUMIFS(Sales!$H:$H,Sales!$E:$E,$A411,Sales!$B:$B,"&lt;&gt;Return"))</f>
        <v/>
      </c>
      <c r="F411" s="155" t="str">
        <f>IF($A411="","",SUMIF(Sales!$E:$E,$A411,Sales!$L:$L))</f>
        <v/>
      </c>
      <c r="G411" s="155" t="str">
        <f>IF($A411="","",SUMIF(Sales!$E:$E,$A411,Sales!$P:$P))</f>
        <v/>
      </c>
      <c r="H411" s="156" t="str">
        <f t="array" ref="H411">IF($A411="","",IFERROR(INDEX(Orders!$O$5:$O$1004,MATCH($A411,Orders!$N$5:$N$1004,0)),""))</f>
        <v/>
      </c>
      <c r="I411" s="156" t="str">
        <f t="array" ref="I411">IF($A411="","",IFERROR(INDEX(Orders!$P$5:$P$1004,MATCH($A411,Orders!$N$5:$N$1004,0)),""))</f>
        <v/>
      </c>
      <c r="J411" s="157" t="str">
        <f t="shared" si="1"/>
        <v/>
      </c>
      <c r="K411" s="153" t="str">
        <f t="array" ref="K411">IF($A411="","",IFERROR(INDEX(Sales!$M:$M,MATCH($A411,Sales!$E:$E,0)),""))</f>
        <v/>
      </c>
      <c r="L411" s="158" t="str">
        <f t="shared" si="2"/>
        <v/>
      </c>
      <c r="N411" s="49" t="str">
        <f t="array" ref="N411">IFERROR(INDEX(Sales!$E$7:$E$1506,MATCH(ROW()-4,Sales!$V$7:$V$1506,0)),"")</f>
        <v/>
      </c>
      <c r="O411" s="67"/>
      <c r="P411" s="67"/>
    </row>
    <row r="412" ht="15.75" customHeight="1">
      <c r="A412" s="151" t="str">
        <f t="array" ref="A412">IFERROR(INDEX(Sales!$E$7:$E$1506,MATCH(ROW()-4,Sales!$W$7:$W$1506,0)),"")</f>
        <v/>
      </c>
      <c r="B412" s="152" t="str">
        <f t="array" ref="B412">IF($A412="","",IFERROR(INDEX(Sales!$A:$A,MATCH($A412,Sales!$E:$E,0)),""))</f>
        <v/>
      </c>
      <c r="C412" s="153" t="str">
        <f t="array" ref="C412">IF($A412="","",IFERROR(INDEX(Sales!$D:$D,MATCH($A412,Sales!$E:$E,0)),""))</f>
        <v/>
      </c>
      <c r="D412" s="153" t="str">
        <f t="array" ref="D412">IF($A412="","",IFERROR(INDEX(Sales!$C:$C,MATCH($A412,Sales!$E:$E,0)),""))</f>
        <v/>
      </c>
      <c r="E412" s="154" t="str">
        <f>IF($A412="","",SUMIFS(Sales!$H:$H,Sales!$E:$E,$A412,Sales!$B:$B,"&lt;&gt;Return"))</f>
        <v/>
      </c>
      <c r="F412" s="155" t="str">
        <f>IF($A412="","",SUMIF(Sales!$E:$E,$A412,Sales!$L:$L))</f>
        <v/>
      </c>
      <c r="G412" s="155" t="str">
        <f>IF($A412="","",SUMIF(Sales!$E:$E,$A412,Sales!$P:$P))</f>
        <v/>
      </c>
      <c r="H412" s="156" t="str">
        <f t="array" ref="H412">IF($A412="","",IFERROR(INDEX(Orders!$O$5:$O$1004,MATCH($A412,Orders!$N$5:$N$1004,0)),""))</f>
        <v/>
      </c>
      <c r="I412" s="156" t="str">
        <f t="array" ref="I412">IF($A412="","",IFERROR(INDEX(Orders!$P$5:$P$1004,MATCH($A412,Orders!$N$5:$N$1004,0)),""))</f>
        <v/>
      </c>
      <c r="J412" s="157" t="str">
        <f t="shared" si="1"/>
        <v/>
      </c>
      <c r="K412" s="153" t="str">
        <f t="array" ref="K412">IF($A412="","",IFERROR(INDEX(Sales!$M:$M,MATCH($A412,Sales!$E:$E,0)),""))</f>
        <v/>
      </c>
      <c r="L412" s="158" t="str">
        <f t="shared" si="2"/>
        <v/>
      </c>
      <c r="N412" s="49" t="str">
        <f t="array" ref="N412">IFERROR(INDEX(Sales!$E$7:$E$1506,MATCH(ROW()-4,Sales!$V$7:$V$1506,0)),"")</f>
        <v/>
      </c>
      <c r="O412" s="67"/>
      <c r="P412" s="67"/>
    </row>
    <row r="413" ht="15.75" customHeight="1">
      <c r="A413" s="151" t="str">
        <f t="array" ref="A413">IFERROR(INDEX(Sales!$E$7:$E$1506,MATCH(ROW()-4,Sales!$W$7:$W$1506,0)),"")</f>
        <v/>
      </c>
      <c r="B413" s="152" t="str">
        <f t="array" ref="B413">IF($A413="","",IFERROR(INDEX(Sales!$A:$A,MATCH($A413,Sales!$E:$E,0)),""))</f>
        <v/>
      </c>
      <c r="C413" s="153" t="str">
        <f t="array" ref="C413">IF($A413="","",IFERROR(INDEX(Sales!$D:$D,MATCH($A413,Sales!$E:$E,0)),""))</f>
        <v/>
      </c>
      <c r="D413" s="153" t="str">
        <f t="array" ref="D413">IF($A413="","",IFERROR(INDEX(Sales!$C:$C,MATCH($A413,Sales!$E:$E,0)),""))</f>
        <v/>
      </c>
      <c r="E413" s="154" t="str">
        <f>IF($A413="","",SUMIFS(Sales!$H:$H,Sales!$E:$E,$A413,Sales!$B:$B,"&lt;&gt;Return"))</f>
        <v/>
      </c>
      <c r="F413" s="155" t="str">
        <f>IF($A413="","",SUMIF(Sales!$E:$E,$A413,Sales!$L:$L))</f>
        <v/>
      </c>
      <c r="G413" s="155" t="str">
        <f>IF($A413="","",SUMIF(Sales!$E:$E,$A413,Sales!$P:$P))</f>
        <v/>
      </c>
      <c r="H413" s="156" t="str">
        <f t="array" ref="H413">IF($A413="","",IFERROR(INDEX(Orders!$O$5:$O$1004,MATCH($A413,Orders!$N$5:$N$1004,0)),""))</f>
        <v/>
      </c>
      <c r="I413" s="156" t="str">
        <f t="array" ref="I413">IF($A413="","",IFERROR(INDEX(Orders!$P$5:$P$1004,MATCH($A413,Orders!$N$5:$N$1004,0)),""))</f>
        <v/>
      </c>
      <c r="J413" s="157" t="str">
        <f t="shared" si="1"/>
        <v/>
      </c>
      <c r="K413" s="153" t="str">
        <f t="array" ref="K413">IF($A413="","",IFERROR(INDEX(Sales!$M:$M,MATCH($A413,Sales!$E:$E,0)),""))</f>
        <v/>
      </c>
      <c r="L413" s="158" t="str">
        <f t="shared" si="2"/>
        <v/>
      </c>
      <c r="N413" s="49" t="str">
        <f t="array" ref="N413">IFERROR(INDEX(Sales!$E$7:$E$1506,MATCH(ROW()-4,Sales!$V$7:$V$1506,0)),"")</f>
        <v/>
      </c>
      <c r="O413" s="67"/>
      <c r="P413" s="67"/>
    </row>
    <row r="414" ht="15.75" customHeight="1">
      <c r="A414" s="151" t="str">
        <f t="array" ref="A414">IFERROR(INDEX(Sales!$E$7:$E$1506,MATCH(ROW()-4,Sales!$W$7:$W$1506,0)),"")</f>
        <v/>
      </c>
      <c r="B414" s="152" t="str">
        <f t="array" ref="B414">IF($A414="","",IFERROR(INDEX(Sales!$A:$A,MATCH($A414,Sales!$E:$E,0)),""))</f>
        <v/>
      </c>
      <c r="C414" s="153" t="str">
        <f t="array" ref="C414">IF($A414="","",IFERROR(INDEX(Sales!$D:$D,MATCH($A414,Sales!$E:$E,0)),""))</f>
        <v/>
      </c>
      <c r="D414" s="153" t="str">
        <f t="array" ref="D414">IF($A414="","",IFERROR(INDEX(Sales!$C:$C,MATCH($A414,Sales!$E:$E,0)),""))</f>
        <v/>
      </c>
      <c r="E414" s="154" t="str">
        <f>IF($A414="","",SUMIFS(Sales!$H:$H,Sales!$E:$E,$A414,Sales!$B:$B,"&lt;&gt;Return"))</f>
        <v/>
      </c>
      <c r="F414" s="155" t="str">
        <f>IF($A414="","",SUMIF(Sales!$E:$E,$A414,Sales!$L:$L))</f>
        <v/>
      </c>
      <c r="G414" s="155" t="str">
        <f>IF($A414="","",SUMIF(Sales!$E:$E,$A414,Sales!$P:$P))</f>
        <v/>
      </c>
      <c r="H414" s="156" t="str">
        <f t="array" ref="H414">IF($A414="","",IFERROR(INDEX(Orders!$O$5:$O$1004,MATCH($A414,Orders!$N$5:$N$1004,0)),""))</f>
        <v/>
      </c>
      <c r="I414" s="156" t="str">
        <f t="array" ref="I414">IF($A414="","",IFERROR(INDEX(Orders!$P$5:$P$1004,MATCH($A414,Orders!$N$5:$N$1004,0)),""))</f>
        <v/>
      </c>
      <c r="J414" s="157" t="str">
        <f t="shared" si="1"/>
        <v/>
      </c>
      <c r="K414" s="153" t="str">
        <f t="array" ref="K414">IF($A414="","",IFERROR(INDEX(Sales!$M:$M,MATCH($A414,Sales!$E:$E,0)),""))</f>
        <v/>
      </c>
      <c r="L414" s="158" t="str">
        <f t="shared" si="2"/>
        <v/>
      </c>
      <c r="N414" s="49" t="str">
        <f t="array" ref="N414">IFERROR(INDEX(Sales!$E$7:$E$1506,MATCH(ROW()-4,Sales!$V$7:$V$1506,0)),"")</f>
        <v/>
      </c>
      <c r="O414" s="67"/>
      <c r="P414" s="67"/>
    </row>
    <row r="415" ht="15.75" customHeight="1">
      <c r="A415" s="151" t="str">
        <f t="array" ref="A415">IFERROR(INDEX(Sales!$E$7:$E$1506,MATCH(ROW()-4,Sales!$W$7:$W$1506,0)),"")</f>
        <v/>
      </c>
      <c r="B415" s="152" t="str">
        <f t="array" ref="B415">IF($A415="","",IFERROR(INDEX(Sales!$A:$A,MATCH($A415,Sales!$E:$E,0)),""))</f>
        <v/>
      </c>
      <c r="C415" s="153" t="str">
        <f t="array" ref="C415">IF($A415="","",IFERROR(INDEX(Sales!$D:$D,MATCH($A415,Sales!$E:$E,0)),""))</f>
        <v/>
      </c>
      <c r="D415" s="153" t="str">
        <f t="array" ref="D415">IF($A415="","",IFERROR(INDEX(Sales!$C:$C,MATCH($A415,Sales!$E:$E,0)),""))</f>
        <v/>
      </c>
      <c r="E415" s="154" t="str">
        <f>IF($A415="","",SUMIFS(Sales!$H:$H,Sales!$E:$E,$A415,Sales!$B:$B,"&lt;&gt;Return"))</f>
        <v/>
      </c>
      <c r="F415" s="155" t="str">
        <f>IF($A415="","",SUMIF(Sales!$E:$E,$A415,Sales!$L:$L))</f>
        <v/>
      </c>
      <c r="G415" s="155" t="str">
        <f>IF($A415="","",SUMIF(Sales!$E:$E,$A415,Sales!$P:$P))</f>
        <v/>
      </c>
      <c r="H415" s="156" t="str">
        <f t="array" ref="H415">IF($A415="","",IFERROR(INDEX(Orders!$O$5:$O$1004,MATCH($A415,Orders!$N$5:$N$1004,0)),""))</f>
        <v/>
      </c>
      <c r="I415" s="156" t="str">
        <f t="array" ref="I415">IF($A415="","",IFERROR(INDEX(Orders!$P$5:$P$1004,MATCH($A415,Orders!$N$5:$N$1004,0)),""))</f>
        <v/>
      </c>
      <c r="J415" s="157" t="str">
        <f t="shared" si="1"/>
        <v/>
      </c>
      <c r="K415" s="153" t="str">
        <f t="array" ref="K415">IF($A415="","",IFERROR(INDEX(Sales!$M:$M,MATCH($A415,Sales!$E:$E,0)),""))</f>
        <v/>
      </c>
      <c r="L415" s="158" t="str">
        <f t="shared" si="2"/>
        <v/>
      </c>
      <c r="N415" s="49" t="str">
        <f t="array" ref="N415">IFERROR(INDEX(Sales!$E$7:$E$1506,MATCH(ROW()-4,Sales!$V$7:$V$1506,0)),"")</f>
        <v/>
      </c>
      <c r="O415" s="67"/>
      <c r="P415" s="67"/>
    </row>
    <row r="416" ht="15.75" customHeight="1">
      <c r="A416" s="151" t="str">
        <f t="array" ref="A416">IFERROR(INDEX(Sales!$E$7:$E$1506,MATCH(ROW()-4,Sales!$W$7:$W$1506,0)),"")</f>
        <v/>
      </c>
      <c r="B416" s="152" t="str">
        <f t="array" ref="B416">IF($A416="","",IFERROR(INDEX(Sales!$A:$A,MATCH($A416,Sales!$E:$E,0)),""))</f>
        <v/>
      </c>
      <c r="C416" s="153" t="str">
        <f t="array" ref="C416">IF($A416="","",IFERROR(INDEX(Sales!$D:$D,MATCH($A416,Sales!$E:$E,0)),""))</f>
        <v/>
      </c>
      <c r="D416" s="153" t="str">
        <f t="array" ref="D416">IF($A416="","",IFERROR(INDEX(Sales!$C:$C,MATCH($A416,Sales!$E:$E,0)),""))</f>
        <v/>
      </c>
      <c r="E416" s="154" t="str">
        <f>IF($A416="","",SUMIFS(Sales!$H:$H,Sales!$E:$E,$A416,Sales!$B:$B,"&lt;&gt;Return"))</f>
        <v/>
      </c>
      <c r="F416" s="155" t="str">
        <f>IF($A416="","",SUMIF(Sales!$E:$E,$A416,Sales!$L:$L))</f>
        <v/>
      </c>
      <c r="G416" s="155" t="str">
        <f>IF($A416="","",SUMIF(Sales!$E:$E,$A416,Sales!$P:$P))</f>
        <v/>
      </c>
      <c r="H416" s="156" t="str">
        <f t="array" ref="H416">IF($A416="","",IFERROR(INDEX(Orders!$O$5:$O$1004,MATCH($A416,Orders!$N$5:$N$1004,0)),""))</f>
        <v/>
      </c>
      <c r="I416" s="156" t="str">
        <f t="array" ref="I416">IF($A416="","",IFERROR(INDEX(Orders!$P$5:$P$1004,MATCH($A416,Orders!$N$5:$N$1004,0)),""))</f>
        <v/>
      </c>
      <c r="J416" s="157" t="str">
        <f t="shared" si="1"/>
        <v/>
      </c>
      <c r="K416" s="153" t="str">
        <f t="array" ref="K416">IF($A416="","",IFERROR(INDEX(Sales!$M:$M,MATCH($A416,Sales!$E:$E,0)),""))</f>
        <v/>
      </c>
      <c r="L416" s="158" t="str">
        <f t="shared" si="2"/>
        <v/>
      </c>
      <c r="N416" s="49" t="str">
        <f t="array" ref="N416">IFERROR(INDEX(Sales!$E$7:$E$1506,MATCH(ROW()-4,Sales!$V$7:$V$1506,0)),"")</f>
        <v/>
      </c>
      <c r="O416" s="67"/>
      <c r="P416" s="67"/>
    </row>
    <row r="417" ht="15.75" customHeight="1">
      <c r="A417" s="151" t="str">
        <f t="array" ref="A417">IFERROR(INDEX(Sales!$E$7:$E$1506,MATCH(ROW()-4,Sales!$W$7:$W$1506,0)),"")</f>
        <v/>
      </c>
      <c r="B417" s="152" t="str">
        <f t="array" ref="B417">IF($A417="","",IFERROR(INDEX(Sales!$A:$A,MATCH($A417,Sales!$E:$E,0)),""))</f>
        <v/>
      </c>
      <c r="C417" s="153" t="str">
        <f t="array" ref="C417">IF($A417="","",IFERROR(INDEX(Sales!$D:$D,MATCH($A417,Sales!$E:$E,0)),""))</f>
        <v/>
      </c>
      <c r="D417" s="153" t="str">
        <f t="array" ref="D417">IF($A417="","",IFERROR(INDEX(Sales!$C:$C,MATCH($A417,Sales!$E:$E,0)),""))</f>
        <v/>
      </c>
      <c r="E417" s="154" t="str">
        <f>IF($A417="","",SUMIFS(Sales!$H:$H,Sales!$E:$E,$A417,Sales!$B:$B,"&lt;&gt;Return"))</f>
        <v/>
      </c>
      <c r="F417" s="155" t="str">
        <f>IF($A417="","",SUMIF(Sales!$E:$E,$A417,Sales!$L:$L))</f>
        <v/>
      </c>
      <c r="G417" s="155" t="str">
        <f>IF($A417="","",SUMIF(Sales!$E:$E,$A417,Sales!$P:$P))</f>
        <v/>
      </c>
      <c r="H417" s="156" t="str">
        <f t="array" ref="H417">IF($A417="","",IFERROR(INDEX(Orders!$O$5:$O$1004,MATCH($A417,Orders!$N$5:$N$1004,0)),""))</f>
        <v/>
      </c>
      <c r="I417" s="156" t="str">
        <f t="array" ref="I417">IF($A417="","",IFERROR(INDEX(Orders!$P$5:$P$1004,MATCH($A417,Orders!$N$5:$N$1004,0)),""))</f>
        <v/>
      </c>
      <c r="J417" s="157" t="str">
        <f t="shared" si="1"/>
        <v/>
      </c>
      <c r="K417" s="153" t="str">
        <f t="array" ref="K417">IF($A417="","",IFERROR(INDEX(Sales!$M:$M,MATCH($A417,Sales!$E:$E,0)),""))</f>
        <v/>
      </c>
      <c r="L417" s="158" t="str">
        <f t="shared" si="2"/>
        <v/>
      </c>
      <c r="N417" s="49" t="str">
        <f t="array" ref="N417">IFERROR(INDEX(Sales!$E$7:$E$1506,MATCH(ROW()-4,Sales!$V$7:$V$1506,0)),"")</f>
        <v/>
      </c>
      <c r="O417" s="67"/>
      <c r="P417" s="67"/>
    </row>
    <row r="418" ht="15.75" customHeight="1">
      <c r="A418" s="151" t="str">
        <f t="array" ref="A418">IFERROR(INDEX(Sales!$E$7:$E$1506,MATCH(ROW()-4,Sales!$W$7:$W$1506,0)),"")</f>
        <v/>
      </c>
      <c r="B418" s="152" t="str">
        <f t="array" ref="B418">IF($A418="","",IFERROR(INDEX(Sales!$A:$A,MATCH($A418,Sales!$E:$E,0)),""))</f>
        <v/>
      </c>
      <c r="C418" s="153" t="str">
        <f t="array" ref="C418">IF($A418="","",IFERROR(INDEX(Sales!$D:$D,MATCH($A418,Sales!$E:$E,0)),""))</f>
        <v/>
      </c>
      <c r="D418" s="153" t="str">
        <f t="array" ref="D418">IF($A418="","",IFERROR(INDEX(Sales!$C:$C,MATCH($A418,Sales!$E:$E,0)),""))</f>
        <v/>
      </c>
      <c r="E418" s="154" t="str">
        <f>IF($A418="","",SUMIFS(Sales!$H:$H,Sales!$E:$E,$A418,Sales!$B:$B,"&lt;&gt;Return"))</f>
        <v/>
      </c>
      <c r="F418" s="155" t="str">
        <f>IF($A418="","",SUMIF(Sales!$E:$E,$A418,Sales!$L:$L))</f>
        <v/>
      </c>
      <c r="G418" s="155" t="str">
        <f>IF($A418="","",SUMIF(Sales!$E:$E,$A418,Sales!$P:$P))</f>
        <v/>
      </c>
      <c r="H418" s="156" t="str">
        <f t="array" ref="H418">IF($A418="","",IFERROR(INDEX(Orders!$O$5:$O$1004,MATCH($A418,Orders!$N$5:$N$1004,0)),""))</f>
        <v/>
      </c>
      <c r="I418" s="156" t="str">
        <f t="array" ref="I418">IF($A418="","",IFERROR(INDEX(Orders!$P$5:$P$1004,MATCH($A418,Orders!$N$5:$N$1004,0)),""))</f>
        <v/>
      </c>
      <c r="J418" s="157" t="str">
        <f t="shared" si="1"/>
        <v/>
      </c>
      <c r="K418" s="153" t="str">
        <f t="array" ref="K418">IF($A418="","",IFERROR(INDEX(Sales!$M:$M,MATCH($A418,Sales!$E:$E,0)),""))</f>
        <v/>
      </c>
      <c r="L418" s="158" t="str">
        <f t="shared" si="2"/>
        <v/>
      </c>
      <c r="N418" s="49" t="str">
        <f t="array" ref="N418">IFERROR(INDEX(Sales!$E$7:$E$1506,MATCH(ROW()-4,Sales!$V$7:$V$1506,0)),"")</f>
        <v/>
      </c>
      <c r="O418" s="67"/>
      <c r="P418" s="67"/>
    </row>
    <row r="419" ht="15.75" customHeight="1">
      <c r="A419" s="151" t="str">
        <f t="array" ref="A419">IFERROR(INDEX(Sales!$E$7:$E$1506,MATCH(ROW()-4,Sales!$W$7:$W$1506,0)),"")</f>
        <v/>
      </c>
      <c r="B419" s="152" t="str">
        <f t="array" ref="B419">IF($A419="","",IFERROR(INDEX(Sales!$A:$A,MATCH($A419,Sales!$E:$E,0)),""))</f>
        <v/>
      </c>
      <c r="C419" s="153" t="str">
        <f t="array" ref="C419">IF($A419="","",IFERROR(INDEX(Sales!$D:$D,MATCH($A419,Sales!$E:$E,0)),""))</f>
        <v/>
      </c>
      <c r="D419" s="153" t="str">
        <f t="array" ref="D419">IF($A419="","",IFERROR(INDEX(Sales!$C:$C,MATCH($A419,Sales!$E:$E,0)),""))</f>
        <v/>
      </c>
      <c r="E419" s="154" t="str">
        <f>IF($A419="","",SUMIFS(Sales!$H:$H,Sales!$E:$E,$A419,Sales!$B:$B,"&lt;&gt;Return"))</f>
        <v/>
      </c>
      <c r="F419" s="155" t="str">
        <f>IF($A419="","",SUMIF(Sales!$E:$E,$A419,Sales!$L:$L))</f>
        <v/>
      </c>
      <c r="G419" s="155" t="str">
        <f>IF($A419="","",SUMIF(Sales!$E:$E,$A419,Sales!$P:$P))</f>
        <v/>
      </c>
      <c r="H419" s="156" t="str">
        <f t="array" ref="H419">IF($A419="","",IFERROR(INDEX(Orders!$O$5:$O$1004,MATCH($A419,Orders!$N$5:$N$1004,0)),""))</f>
        <v/>
      </c>
      <c r="I419" s="156" t="str">
        <f t="array" ref="I419">IF($A419="","",IFERROR(INDEX(Orders!$P$5:$P$1004,MATCH($A419,Orders!$N$5:$N$1004,0)),""))</f>
        <v/>
      </c>
      <c r="J419" s="157" t="str">
        <f t="shared" si="1"/>
        <v/>
      </c>
      <c r="K419" s="153" t="str">
        <f t="array" ref="K419">IF($A419="","",IFERROR(INDEX(Sales!$M:$M,MATCH($A419,Sales!$E:$E,0)),""))</f>
        <v/>
      </c>
      <c r="L419" s="158" t="str">
        <f t="shared" si="2"/>
        <v/>
      </c>
      <c r="N419" s="49" t="str">
        <f t="array" ref="N419">IFERROR(INDEX(Sales!$E$7:$E$1506,MATCH(ROW()-4,Sales!$V$7:$V$1506,0)),"")</f>
        <v/>
      </c>
      <c r="O419" s="67"/>
      <c r="P419" s="67"/>
    </row>
    <row r="420" ht="15.75" customHeight="1">
      <c r="A420" s="151" t="str">
        <f t="array" ref="A420">IFERROR(INDEX(Sales!$E$7:$E$1506,MATCH(ROW()-4,Sales!$W$7:$W$1506,0)),"")</f>
        <v/>
      </c>
      <c r="B420" s="152" t="str">
        <f t="array" ref="B420">IF($A420="","",IFERROR(INDEX(Sales!$A:$A,MATCH($A420,Sales!$E:$E,0)),""))</f>
        <v/>
      </c>
      <c r="C420" s="153" t="str">
        <f t="array" ref="C420">IF($A420="","",IFERROR(INDEX(Sales!$D:$D,MATCH($A420,Sales!$E:$E,0)),""))</f>
        <v/>
      </c>
      <c r="D420" s="153" t="str">
        <f t="array" ref="D420">IF($A420="","",IFERROR(INDEX(Sales!$C:$C,MATCH($A420,Sales!$E:$E,0)),""))</f>
        <v/>
      </c>
      <c r="E420" s="154" t="str">
        <f>IF($A420="","",SUMIFS(Sales!$H:$H,Sales!$E:$E,$A420,Sales!$B:$B,"&lt;&gt;Return"))</f>
        <v/>
      </c>
      <c r="F420" s="155" t="str">
        <f>IF($A420="","",SUMIF(Sales!$E:$E,$A420,Sales!$L:$L))</f>
        <v/>
      </c>
      <c r="G420" s="155" t="str">
        <f>IF($A420="","",SUMIF(Sales!$E:$E,$A420,Sales!$P:$P))</f>
        <v/>
      </c>
      <c r="H420" s="156" t="str">
        <f t="array" ref="H420">IF($A420="","",IFERROR(INDEX(Orders!$O$5:$O$1004,MATCH($A420,Orders!$N$5:$N$1004,0)),""))</f>
        <v/>
      </c>
      <c r="I420" s="156" t="str">
        <f t="array" ref="I420">IF($A420="","",IFERROR(INDEX(Orders!$P$5:$P$1004,MATCH($A420,Orders!$N$5:$N$1004,0)),""))</f>
        <v/>
      </c>
      <c r="J420" s="157" t="str">
        <f t="shared" si="1"/>
        <v/>
      </c>
      <c r="K420" s="153" t="str">
        <f t="array" ref="K420">IF($A420="","",IFERROR(INDEX(Sales!$M:$M,MATCH($A420,Sales!$E:$E,0)),""))</f>
        <v/>
      </c>
      <c r="L420" s="158" t="str">
        <f t="shared" si="2"/>
        <v/>
      </c>
      <c r="N420" s="49" t="str">
        <f t="array" ref="N420">IFERROR(INDEX(Sales!$E$7:$E$1506,MATCH(ROW()-4,Sales!$V$7:$V$1506,0)),"")</f>
        <v/>
      </c>
      <c r="O420" s="67"/>
      <c r="P420" s="67"/>
    </row>
    <row r="421" ht="15.75" customHeight="1">
      <c r="A421" s="151" t="str">
        <f t="array" ref="A421">IFERROR(INDEX(Sales!$E$7:$E$1506,MATCH(ROW()-4,Sales!$W$7:$W$1506,0)),"")</f>
        <v/>
      </c>
      <c r="B421" s="152" t="str">
        <f t="array" ref="B421">IF($A421="","",IFERROR(INDEX(Sales!$A:$A,MATCH($A421,Sales!$E:$E,0)),""))</f>
        <v/>
      </c>
      <c r="C421" s="153" t="str">
        <f t="array" ref="C421">IF($A421="","",IFERROR(INDEX(Sales!$D:$D,MATCH($A421,Sales!$E:$E,0)),""))</f>
        <v/>
      </c>
      <c r="D421" s="153" t="str">
        <f t="array" ref="D421">IF($A421="","",IFERROR(INDEX(Sales!$C:$C,MATCH($A421,Sales!$E:$E,0)),""))</f>
        <v/>
      </c>
      <c r="E421" s="154" t="str">
        <f>IF($A421="","",SUMIFS(Sales!$H:$H,Sales!$E:$E,$A421,Sales!$B:$B,"&lt;&gt;Return"))</f>
        <v/>
      </c>
      <c r="F421" s="155" t="str">
        <f>IF($A421="","",SUMIF(Sales!$E:$E,$A421,Sales!$L:$L))</f>
        <v/>
      </c>
      <c r="G421" s="155" t="str">
        <f>IF($A421="","",SUMIF(Sales!$E:$E,$A421,Sales!$P:$P))</f>
        <v/>
      </c>
      <c r="H421" s="156" t="str">
        <f t="array" ref="H421">IF($A421="","",IFERROR(INDEX(Orders!$O$5:$O$1004,MATCH($A421,Orders!$N$5:$N$1004,0)),""))</f>
        <v/>
      </c>
      <c r="I421" s="156" t="str">
        <f t="array" ref="I421">IF($A421="","",IFERROR(INDEX(Orders!$P$5:$P$1004,MATCH($A421,Orders!$N$5:$N$1004,0)),""))</f>
        <v/>
      </c>
      <c r="J421" s="157" t="str">
        <f t="shared" si="1"/>
        <v/>
      </c>
      <c r="K421" s="153" t="str">
        <f t="array" ref="K421">IF($A421="","",IFERROR(INDEX(Sales!$M:$M,MATCH($A421,Sales!$E:$E,0)),""))</f>
        <v/>
      </c>
      <c r="L421" s="158" t="str">
        <f t="shared" si="2"/>
        <v/>
      </c>
      <c r="N421" s="49" t="str">
        <f t="array" ref="N421">IFERROR(INDEX(Sales!$E$7:$E$1506,MATCH(ROW()-4,Sales!$V$7:$V$1506,0)),"")</f>
        <v/>
      </c>
      <c r="O421" s="67"/>
      <c r="P421" s="67"/>
    </row>
    <row r="422" ht="15.75" customHeight="1">
      <c r="A422" s="151" t="str">
        <f t="array" ref="A422">IFERROR(INDEX(Sales!$E$7:$E$1506,MATCH(ROW()-4,Sales!$W$7:$W$1506,0)),"")</f>
        <v/>
      </c>
      <c r="B422" s="152" t="str">
        <f t="array" ref="B422">IF($A422="","",IFERROR(INDEX(Sales!$A:$A,MATCH($A422,Sales!$E:$E,0)),""))</f>
        <v/>
      </c>
      <c r="C422" s="153" t="str">
        <f t="array" ref="C422">IF($A422="","",IFERROR(INDEX(Sales!$D:$D,MATCH($A422,Sales!$E:$E,0)),""))</f>
        <v/>
      </c>
      <c r="D422" s="153" t="str">
        <f t="array" ref="D422">IF($A422="","",IFERROR(INDEX(Sales!$C:$C,MATCH($A422,Sales!$E:$E,0)),""))</f>
        <v/>
      </c>
      <c r="E422" s="154" t="str">
        <f>IF($A422="","",SUMIFS(Sales!$H:$H,Sales!$E:$E,$A422,Sales!$B:$B,"&lt;&gt;Return"))</f>
        <v/>
      </c>
      <c r="F422" s="155" t="str">
        <f>IF($A422="","",SUMIF(Sales!$E:$E,$A422,Sales!$L:$L))</f>
        <v/>
      </c>
      <c r="G422" s="155" t="str">
        <f>IF($A422="","",SUMIF(Sales!$E:$E,$A422,Sales!$P:$P))</f>
        <v/>
      </c>
      <c r="H422" s="156" t="str">
        <f t="array" ref="H422">IF($A422="","",IFERROR(INDEX(Orders!$O$5:$O$1004,MATCH($A422,Orders!$N$5:$N$1004,0)),""))</f>
        <v/>
      </c>
      <c r="I422" s="156" t="str">
        <f t="array" ref="I422">IF($A422="","",IFERROR(INDEX(Orders!$P$5:$P$1004,MATCH($A422,Orders!$N$5:$N$1004,0)),""))</f>
        <v/>
      </c>
      <c r="J422" s="157" t="str">
        <f t="shared" si="1"/>
        <v/>
      </c>
      <c r="K422" s="153" t="str">
        <f t="array" ref="K422">IF($A422="","",IFERROR(INDEX(Sales!$M:$M,MATCH($A422,Sales!$E:$E,0)),""))</f>
        <v/>
      </c>
      <c r="L422" s="158" t="str">
        <f t="shared" si="2"/>
        <v/>
      </c>
      <c r="N422" s="49" t="str">
        <f t="array" ref="N422">IFERROR(INDEX(Sales!$E$7:$E$1506,MATCH(ROW()-4,Sales!$V$7:$V$1506,0)),"")</f>
        <v/>
      </c>
      <c r="O422" s="67"/>
      <c r="P422" s="67"/>
    </row>
    <row r="423" ht="15.75" customHeight="1">
      <c r="A423" s="151" t="str">
        <f t="array" ref="A423">IFERROR(INDEX(Sales!$E$7:$E$1506,MATCH(ROW()-4,Sales!$W$7:$W$1506,0)),"")</f>
        <v/>
      </c>
      <c r="B423" s="152" t="str">
        <f t="array" ref="B423">IF($A423="","",IFERROR(INDEX(Sales!$A:$A,MATCH($A423,Sales!$E:$E,0)),""))</f>
        <v/>
      </c>
      <c r="C423" s="153" t="str">
        <f t="array" ref="C423">IF($A423="","",IFERROR(INDEX(Sales!$D:$D,MATCH($A423,Sales!$E:$E,0)),""))</f>
        <v/>
      </c>
      <c r="D423" s="153" t="str">
        <f t="array" ref="D423">IF($A423="","",IFERROR(INDEX(Sales!$C:$C,MATCH($A423,Sales!$E:$E,0)),""))</f>
        <v/>
      </c>
      <c r="E423" s="154" t="str">
        <f>IF($A423="","",SUMIFS(Sales!$H:$H,Sales!$E:$E,$A423,Sales!$B:$B,"&lt;&gt;Return"))</f>
        <v/>
      </c>
      <c r="F423" s="155" t="str">
        <f>IF($A423="","",SUMIF(Sales!$E:$E,$A423,Sales!$L:$L))</f>
        <v/>
      </c>
      <c r="G423" s="155" t="str">
        <f>IF($A423="","",SUMIF(Sales!$E:$E,$A423,Sales!$P:$P))</f>
        <v/>
      </c>
      <c r="H423" s="156" t="str">
        <f t="array" ref="H423">IF($A423="","",IFERROR(INDEX(Orders!$O$5:$O$1004,MATCH($A423,Orders!$N$5:$N$1004,0)),""))</f>
        <v/>
      </c>
      <c r="I423" s="156" t="str">
        <f t="array" ref="I423">IF($A423="","",IFERROR(INDEX(Orders!$P$5:$P$1004,MATCH($A423,Orders!$N$5:$N$1004,0)),""))</f>
        <v/>
      </c>
      <c r="J423" s="157" t="str">
        <f t="shared" si="1"/>
        <v/>
      </c>
      <c r="K423" s="153" t="str">
        <f t="array" ref="K423">IF($A423="","",IFERROR(INDEX(Sales!$M:$M,MATCH($A423,Sales!$E:$E,0)),""))</f>
        <v/>
      </c>
      <c r="L423" s="158" t="str">
        <f t="shared" si="2"/>
        <v/>
      </c>
      <c r="N423" s="49" t="str">
        <f t="array" ref="N423">IFERROR(INDEX(Sales!$E$7:$E$1506,MATCH(ROW()-4,Sales!$V$7:$V$1506,0)),"")</f>
        <v/>
      </c>
      <c r="O423" s="67"/>
      <c r="P423" s="67"/>
    </row>
    <row r="424" ht="15.75" customHeight="1">
      <c r="A424" s="151" t="str">
        <f t="array" ref="A424">IFERROR(INDEX(Sales!$E$7:$E$1506,MATCH(ROW()-4,Sales!$W$7:$W$1506,0)),"")</f>
        <v/>
      </c>
      <c r="B424" s="152" t="str">
        <f t="array" ref="B424">IF($A424="","",IFERROR(INDEX(Sales!$A:$A,MATCH($A424,Sales!$E:$E,0)),""))</f>
        <v/>
      </c>
      <c r="C424" s="153" t="str">
        <f t="array" ref="C424">IF($A424="","",IFERROR(INDEX(Sales!$D:$D,MATCH($A424,Sales!$E:$E,0)),""))</f>
        <v/>
      </c>
      <c r="D424" s="153" t="str">
        <f t="array" ref="D424">IF($A424="","",IFERROR(INDEX(Sales!$C:$C,MATCH($A424,Sales!$E:$E,0)),""))</f>
        <v/>
      </c>
      <c r="E424" s="154" t="str">
        <f>IF($A424="","",SUMIFS(Sales!$H:$H,Sales!$E:$E,$A424,Sales!$B:$B,"&lt;&gt;Return"))</f>
        <v/>
      </c>
      <c r="F424" s="155" t="str">
        <f>IF($A424="","",SUMIF(Sales!$E:$E,$A424,Sales!$L:$L))</f>
        <v/>
      </c>
      <c r="G424" s="155" t="str">
        <f>IF($A424="","",SUMIF(Sales!$E:$E,$A424,Sales!$P:$P))</f>
        <v/>
      </c>
      <c r="H424" s="156" t="str">
        <f t="array" ref="H424">IF($A424="","",IFERROR(INDEX(Orders!$O$5:$O$1004,MATCH($A424,Orders!$N$5:$N$1004,0)),""))</f>
        <v/>
      </c>
      <c r="I424" s="156" t="str">
        <f t="array" ref="I424">IF($A424="","",IFERROR(INDEX(Orders!$P$5:$P$1004,MATCH($A424,Orders!$N$5:$N$1004,0)),""))</f>
        <v/>
      </c>
      <c r="J424" s="157" t="str">
        <f t="shared" si="1"/>
        <v/>
      </c>
      <c r="K424" s="153" t="str">
        <f t="array" ref="K424">IF($A424="","",IFERROR(INDEX(Sales!$M:$M,MATCH($A424,Sales!$E:$E,0)),""))</f>
        <v/>
      </c>
      <c r="L424" s="158" t="str">
        <f t="shared" si="2"/>
        <v/>
      </c>
      <c r="N424" s="49" t="str">
        <f t="array" ref="N424">IFERROR(INDEX(Sales!$E$7:$E$1506,MATCH(ROW()-4,Sales!$V$7:$V$1506,0)),"")</f>
        <v/>
      </c>
      <c r="O424" s="67"/>
      <c r="P424" s="67"/>
    </row>
    <row r="425" ht="15.75" customHeight="1">
      <c r="A425" s="151" t="str">
        <f t="array" ref="A425">IFERROR(INDEX(Sales!$E$7:$E$1506,MATCH(ROW()-4,Sales!$W$7:$W$1506,0)),"")</f>
        <v/>
      </c>
      <c r="B425" s="152" t="str">
        <f t="array" ref="B425">IF($A425="","",IFERROR(INDEX(Sales!$A:$A,MATCH($A425,Sales!$E:$E,0)),""))</f>
        <v/>
      </c>
      <c r="C425" s="153" t="str">
        <f t="array" ref="C425">IF($A425="","",IFERROR(INDEX(Sales!$D:$D,MATCH($A425,Sales!$E:$E,0)),""))</f>
        <v/>
      </c>
      <c r="D425" s="153" t="str">
        <f t="array" ref="D425">IF($A425="","",IFERROR(INDEX(Sales!$C:$C,MATCH($A425,Sales!$E:$E,0)),""))</f>
        <v/>
      </c>
      <c r="E425" s="154" t="str">
        <f>IF($A425="","",SUMIFS(Sales!$H:$H,Sales!$E:$E,$A425,Sales!$B:$B,"&lt;&gt;Return"))</f>
        <v/>
      </c>
      <c r="F425" s="155" t="str">
        <f>IF($A425="","",SUMIF(Sales!$E:$E,$A425,Sales!$L:$L))</f>
        <v/>
      </c>
      <c r="G425" s="155" t="str">
        <f>IF($A425="","",SUMIF(Sales!$E:$E,$A425,Sales!$P:$P))</f>
        <v/>
      </c>
      <c r="H425" s="156" t="str">
        <f t="array" ref="H425">IF($A425="","",IFERROR(INDEX(Orders!$O$5:$O$1004,MATCH($A425,Orders!$N$5:$N$1004,0)),""))</f>
        <v/>
      </c>
      <c r="I425" s="156" t="str">
        <f t="array" ref="I425">IF($A425="","",IFERROR(INDEX(Orders!$P$5:$P$1004,MATCH($A425,Orders!$N$5:$N$1004,0)),""))</f>
        <v/>
      </c>
      <c r="J425" s="157" t="str">
        <f t="shared" si="1"/>
        <v/>
      </c>
      <c r="K425" s="153" t="str">
        <f t="array" ref="K425">IF($A425="","",IFERROR(INDEX(Sales!$M:$M,MATCH($A425,Sales!$E:$E,0)),""))</f>
        <v/>
      </c>
      <c r="L425" s="158" t="str">
        <f t="shared" si="2"/>
        <v/>
      </c>
      <c r="N425" s="49" t="str">
        <f t="array" ref="N425">IFERROR(INDEX(Sales!$E$7:$E$1506,MATCH(ROW()-4,Sales!$V$7:$V$1506,0)),"")</f>
        <v/>
      </c>
      <c r="O425" s="67"/>
      <c r="P425" s="67"/>
    </row>
    <row r="426" ht="15.75" customHeight="1">
      <c r="A426" s="151" t="str">
        <f t="array" ref="A426">IFERROR(INDEX(Sales!$E$7:$E$1506,MATCH(ROW()-4,Sales!$W$7:$W$1506,0)),"")</f>
        <v/>
      </c>
      <c r="B426" s="152" t="str">
        <f t="array" ref="B426">IF($A426="","",IFERROR(INDEX(Sales!$A:$A,MATCH($A426,Sales!$E:$E,0)),""))</f>
        <v/>
      </c>
      <c r="C426" s="153" t="str">
        <f t="array" ref="C426">IF($A426="","",IFERROR(INDEX(Sales!$D:$D,MATCH($A426,Sales!$E:$E,0)),""))</f>
        <v/>
      </c>
      <c r="D426" s="153" t="str">
        <f t="array" ref="D426">IF($A426="","",IFERROR(INDEX(Sales!$C:$C,MATCH($A426,Sales!$E:$E,0)),""))</f>
        <v/>
      </c>
      <c r="E426" s="154" t="str">
        <f>IF($A426="","",SUMIFS(Sales!$H:$H,Sales!$E:$E,$A426,Sales!$B:$B,"&lt;&gt;Return"))</f>
        <v/>
      </c>
      <c r="F426" s="155" t="str">
        <f>IF($A426="","",SUMIF(Sales!$E:$E,$A426,Sales!$L:$L))</f>
        <v/>
      </c>
      <c r="G426" s="155" t="str">
        <f>IF($A426="","",SUMIF(Sales!$E:$E,$A426,Sales!$P:$P))</f>
        <v/>
      </c>
      <c r="H426" s="156" t="str">
        <f t="array" ref="H426">IF($A426="","",IFERROR(INDEX(Orders!$O$5:$O$1004,MATCH($A426,Orders!$N$5:$N$1004,0)),""))</f>
        <v/>
      </c>
      <c r="I426" s="156" t="str">
        <f t="array" ref="I426">IF($A426="","",IFERROR(INDEX(Orders!$P$5:$P$1004,MATCH($A426,Orders!$N$5:$N$1004,0)),""))</f>
        <v/>
      </c>
      <c r="J426" s="157" t="str">
        <f t="shared" si="1"/>
        <v/>
      </c>
      <c r="K426" s="153" t="str">
        <f t="array" ref="K426">IF($A426="","",IFERROR(INDEX(Sales!$M:$M,MATCH($A426,Sales!$E:$E,0)),""))</f>
        <v/>
      </c>
      <c r="L426" s="158" t="str">
        <f t="shared" si="2"/>
        <v/>
      </c>
      <c r="N426" s="49" t="str">
        <f t="array" ref="N426">IFERROR(INDEX(Sales!$E$7:$E$1506,MATCH(ROW()-4,Sales!$V$7:$V$1506,0)),"")</f>
        <v/>
      </c>
      <c r="O426" s="67"/>
      <c r="P426" s="67"/>
    </row>
    <row r="427" ht="15.75" customHeight="1">
      <c r="A427" s="151" t="str">
        <f t="array" ref="A427">IFERROR(INDEX(Sales!$E$7:$E$1506,MATCH(ROW()-4,Sales!$W$7:$W$1506,0)),"")</f>
        <v/>
      </c>
      <c r="B427" s="152" t="str">
        <f t="array" ref="B427">IF($A427="","",IFERROR(INDEX(Sales!$A:$A,MATCH($A427,Sales!$E:$E,0)),""))</f>
        <v/>
      </c>
      <c r="C427" s="153" t="str">
        <f t="array" ref="C427">IF($A427="","",IFERROR(INDEX(Sales!$D:$D,MATCH($A427,Sales!$E:$E,0)),""))</f>
        <v/>
      </c>
      <c r="D427" s="153" t="str">
        <f t="array" ref="D427">IF($A427="","",IFERROR(INDEX(Sales!$C:$C,MATCH($A427,Sales!$E:$E,0)),""))</f>
        <v/>
      </c>
      <c r="E427" s="154" t="str">
        <f>IF($A427="","",SUMIFS(Sales!$H:$H,Sales!$E:$E,$A427,Sales!$B:$B,"&lt;&gt;Return"))</f>
        <v/>
      </c>
      <c r="F427" s="155" t="str">
        <f>IF($A427="","",SUMIF(Sales!$E:$E,$A427,Sales!$L:$L))</f>
        <v/>
      </c>
      <c r="G427" s="155" t="str">
        <f>IF($A427="","",SUMIF(Sales!$E:$E,$A427,Sales!$P:$P))</f>
        <v/>
      </c>
      <c r="H427" s="156" t="str">
        <f t="array" ref="H427">IF($A427="","",IFERROR(INDEX(Orders!$O$5:$O$1004,MATCH($A427,Orders!$N$5:$N$1004,0)),""))</f>
        <v/>
      </c>
      <c r="I427" s="156" t="str">
        <f t="array" ref="I427">IF($A427="","",IFERROR(INDEX(Orders!$P$5:$P$1004,MATCH($A427,Orders!$N$5:$N$1004,0)),""))</f>
        <v/>
      </c>
      <c r="J427" s="157" t="str">
        <f t="shared" si="1"/>
        <v/>
      </c>
      <c r="K427" s="153" t="str">
        <f t="array" ref="K427">IF($A427="","",IFERROR(INDEX(Sales!$M:$M,MATCH($A427,Sales!$E:$E,0)),""))</f>
        <v/>
      </c>
      <c r="L427" s="158" t="str">
        <f t="shared" si="2"/>
        <v/>
      </c>
      <c r="N427" s="49" t="str">
        <f t="array" ref="N427">IFERROR(INDEX(Sales!$E$7:$E$1506,MATCH(ROW()-4,Sales!$V$7:$V$1506,0)),"")</f>
        <v/>
      </c>
      <c r="O427" s="67"/>
      <c r="P427" s="67"/>
    </row>
    <row r="428" ht="15.75" customHeight="1">
      <c r="A428" s="151" t="str">
        <f t="array" ref="A428">IFERROR(INDEX(Sales!$E$7:$E$1506,MATCH(ROW()-4,Sales!$W$7:$W$1506,0)),"")</f>
        <v/>
      </c>
      <c r="B428" s="152" t="str">
        <f t="array" ref="B428">IF($A428="","",IFERROR(INDEX(Sales!$A:$A,MATCH($A428,Sales!$E:$E,0)),""))</f>
        <v/>
      </c>
      <c r="C428" s="153" t="str">
        <f t="array" ref="C428">IF($A428="","",IFERROR(INDEX(Sales!$D:$D,MATCH($A428,Sales!$E:$E,0)),""))</f>
        <v/>
      </c>
      <c r="D428" s="153" t="str">
        <f t="array" ref="D428">IF($A428="","",IFERROR(INDEX(Sales!$C:$C,MATCH($A428,Sales!$E:$E,0)),""))</f>
        <v/>
      </c>
      <c r="E428" s="154" t="str">
        <f>IF($A428="","",SUMIFS(Sales!$H:$H,Sales!$E:$E,$A428,Sales!$B:$B,"&lt;&gt;Return"))</f>
        <v/>
      </c>
      <c r="F428" s="155" t="str">
        <f>IF($A428="","",SUMIF(Sales!$E:$E,$A428,Sales!$L:$L))</f>
        <v/>
      </c>
      <c r="G428" s="155" t="str">
        <f>IF($A428="","",SUMIF(Sales!$E:$E,$A428,Sales!$P:$P))</f>
        <v/>
      </c>
      <c r="H428" s="156" t="str">
        <f t="array" ref="H428">IF($A428="","",IFERROR(INDEX(Orders!$O$5:$O$1004,MATCH($A428,Orders!$N$5:$N$1004,0)),""))</f>
        <v/>
      </c>
      <c r="I428" s="156" t="str">
        <f t="array" ref="I428">IF($A428="","",IFERROR(INDEX(Orders!$P$5:$P$1004,MATCH($A428,Orders!$N$5:$N$1004,0)),""))</f>
        <v/>
      </c>
      <c r="J428" s="157" t="str">
        <f t="shared" si="1"/>
        <v/>
      </c>
      <c r="K428" s="153" t="str">
        <f t="array" ref="K428">IF($A428="","",IFERROR(INDEX(Sales!$M:$M,MATCH($A428,Sales!$E:$E,0)),""))</f>
        <v/>
      </c>
      <c r="L428" s="158" t="str">
        <f t="shared" si="2"/>
        <v/>
      </c>
      <c r="N428" s="49" t="str">
        <f t="array" ref="N428">IFERROR(INDEX(Sales!$E$7:$E$1506,MATCH(ROW()-4,Sales!$V$7:$V$1506,0)),"")</f>
        <v/>
      </c>
      <c r="O428" s="67"/>
      <c r="P428" s="67"/>
    </row>
    <row r="429" ht="15.75" customHeight="1">
      <c r="A429" s="151" t="str">
        <f t="array" ref="A429">IFERROR(INDEX(Sales!$E$7:$E$1506,MATCH(ROW()-4,Sales!$W$7:$W$1506,0)),"")</f>
        <v/>
      </c>
      <c r="B429" s="152" t="str">
        <f t="array" ref="B429">IF($A429="","",IFERROR(INDEX(Sales!$A:$A,MATCH($A429,Sales!$E:$E,0)),""))</f>
        <v/>
      </c>
      <c r="C429" s="153" t="str">
        <f t="array" ref="C429">IF($A429="","",IFERROR(INDEX(Sales!$D:$D,MATCH($A429,Sales!$E:$E,0)),""))</f>
        <v/>
      </c>
      <c r="D429" s="153" t="str">
        <f t="array" ref="D429">IF($A429="","",IFERROR(INDEX(Sales!$C:$C,MATCH($A429,Sales!$E:$E,0)),""))</f>
        <v/>
      </c>
      <c r="E429" s="154" t="str">
        <f>IF($A429="","",SUMIFS(Sales!$H:$H,Sales!$E:$E,$A429,Sales!$B:$B,"&lt;&gt;Return"))</f>
        <v/>
      </c>
      <c r="F429" s="155" t="str">
        <f>IF($A429="","",SUMIF(Sales!$E:$E,$A429,Sales!$L:$L))</f>
        <v/>
      </c>
      <c r="G429" s="155" t="str">
        <f>IF($A429="","",SUMIF(Sales!$E:$E,$A429,Sales!$P:$P))</f>
        <v/>
      </c>
      <c r="H429" s="156" t="str">
        <f t="array" ref="H429">IF($A429="","",IFERROR(INDEX(Orders!$O$5:$O$1004,MATCH($A429,Orders!$N$5:$N$1004,0)),""))</f>
        <v/>
      </c>
      <c r="I429" s="156" t="str">
        <f t="array" ref="I429">IF($A429="","",IFERROR(INDEX(Orders!$P$5:$P$1004,MATCH($A429,Orders!$N$5:$N$1004,0)),""))</f>
        <v/>
      </c>
      <c r="J429" s="157" t="str">
        <f t="shared" si="1"/>
        <v/>
      </c>
      <c r="K429" s="153" t="str">
        <f t="array" ref="K429">IF($A429="","",IFERROR(INDEX(Sales!$M:$M,MATCH($A429,Sales!$E:$E,0)),""))</f>
        <v/>
      </c>
      <c r="L429" s="158" t="str">
        <f t="shared" si="2"/>
        <v/>
      </c>
      <c r="N429" s="49" t="str">
        <f t="array" ref="N429">IFERROR(INDEX(Sales!$E$7:$E$1506,MATCH(ROW()-4,Sales!$V$7:$V$1506,0)),"")</f>
        <v/>
      </c>
      <c r="O429" s="67"/>
      <c r="P429" s="67"/>
    </row>
    <row r="430" ht="15.75" customHeight="1">
      <c r="A430" s="151" t="str">
        <f t="array" ref="A430">IFERROR(INDEX(Sales!$E$7:$E$1506,MATCH(ROW()-4,Sales!$W$7:$W$1506,0)),"")</f>
        <v/>
      </c>
      <c r="B430" s="152" t="str">
        <f t="array" ref="B430">IF($A430="","",IFERROR(INDEX(Sales!$A:$A,MATCH($A430,Sales!$E:$E,0)),""))</f>
        <v/>
      </c>
      <c r="C430" s="153" t="str">
        <f t="array" ref="C430">IF($A430="","",IFERROR(INDEX(Sales!$D:$D,MATCH($A430,Sales!$E:$E,0)),""))</f>
        <v/>
      </c>
      <c r="D430" s="153" t="str">
        <f t="array" ref="D430">IF($A430="","",IFERROR(INDEX(Sales!$C:$C,MATCH($A430,Sales!$E:$E,0)),""))</f>
        <v/>
      </c>
      <c r="E430" s="154" t="str">
        <f>IF($A430="","",SUMIFS(Sales!$H:$H,Sales!$E:$E,$A430,Sales!$B:$B,"&lt;&gt;Return"))</f>
        <v/>
      </c>
      <c r="F430" s="155" t="str">
        <f>IF($A430="","",SUMIF(Sales!$E:$E,$A430,Sales!$L:$L))</f>
        <v/>
      </c>
      <c r="G430" s="155" t="str">
        <f>IF($A430="","",SUMIF(Sales!$E:$E,$A430,Sales!$P:$P))</f>
        <v/>
      </c>
      <c r="H430" s="156" t="str">
        <f t="array" ref="H430">IF($A430="","",IFERROR(INDEX(Orders!$O$5:$O$1004,MATCH($A430,Orders!$N$5:$N$1004,0)),""))</f>
        <v/>
      </c>
      <c r="I430" s="156" t="str">
        <f t="array" ref="I430">IF($A430="","",IFERROR(INDEX(Orders!$P$5:$P$1004,MATCH($A430,Orders!$N$5:$N$1004,0)),""))</f>
        <v/>
      </c>
      <c r="J430" s="157" t="str">
        <f t="shared" si="1"/>
        <v/>
      </c>
      <c r="K430" s="153" t="str">
        <f t="array" ref="K430">IF($A430="","",IFERROR(INDEX(Sales!$M:$M,MATCH($A430,Sales!$E:$E,0)),""))</f>
        <v/>
      </c>
      <c r="L430" s="158" t="str">
        <f t="shared" si="2"/>
        <v/>
      </c>
      <c r="N430" s="49" t="str">
        <f t="array" ref="N430">IFERROR(INDEX(Sales!$E$7:$E$1506,MATCH(ROW()-4,Sales!$V$7:$V$1506,0)),"")</f>
        <v/>
      </c>
      <c r="O430" s="67"/>
      <c r="P430" s="67"/>
    </row>
    <row r="431" ht="15.75" customHeight="1">
      <c r="A431" s="151" t="str">
        <f t="array" ref="A431">IFERROR(INDEX(Sales!$E$7:$E$1506,MATCH(ROW()-4,Sales!$W$7:$W$1506,0)),"")</f>
        <v/>
      </c>
      <c r="B431" s="152" t="str">
        <f t="array" ref="B431">IF($A431="","",IFERROR(INDEX(Sales!$A:$A,MATCH($A431,Sales!$E:$E,0)),""))</f>
        <v/>
      </c>
      <c r="C431" s="153" t="str">
        <f t="array" ref="C431">IF($A431="","",IFERROR(INDEX(Sales!$D:$D,MATCH($A431,Sales!$E:$E,0)),""))</f>
        <v/>
      </c>
      <c r="D431" s="153" t="str">
        <f t="array" ref="D431">IF($A431="","",IFERROR(INDEX(Sales!$C:$C,MATCH($A431,Sales!$E:$E,0)),""))</f>
        <v/>
      </c>
      <c r="E431" s="154" t="str">
        <f>IF($A431="","",SUMIFS(Sales!$H:$H,Sales!$E:$E,$A431,Sales!$B:$B,"&lt;&gt;Return"))</f>
        <v/>
      </c>
      <c r="F431" s="155" t="str">
        <f>IF($A431="","",SUMIF(Sales!$E:$E,$A431,Sales!$L:$L))</f>
        <v/>
      </c>
      <c r="G431" s="155" t="str">
        <f>IF($A431="","",SUMIF(Sales!$E:$E,$A431,Sales!$P:$P))</f>
        <v/>
      </c>
      <c r="H431" s="156" t="str">
        <f t="array" ref="H431">IF($A431="","",IFERROR(INDEX(Orders!$O$5:$O$1004,MATCH($A431,Orders!$N$5:$N$1004,0)),""))</f>
        <v/>
      </c>
      <c r="I431" s="156" t="str">
        <f t="array" ref="I431">IF($A431="","",IFERROR(INDEX(Orders!$P$5:$P$1004,MATCH($A431,Orders!$N$5:$N$1004,0)),""))</f>
        <v/>
      </c>
      <c r="J431" s="157" t="str">
        <f t="shared" si="1"/>
        <v/>
      </c>
      <c r="K431" s="153" t="str">
        <f t="array" ref="K431">IF($A431="","",IFERROR(INDEX(Sales!$M:$M,MATCH($A431,Sales!$E:$E,0)),""))</f>
        <v/>
      </c>
      <c r="L431" s="158" t="str">
        <f t="shared" si="2"/>
        <v/>
      </c>
      <c r="N431" s="49" t="str">
        <f t="array" ref="N431">IFERROR(INDEX(Sales!$E$7:$E$1506,MATCH(ROW()-4,Sales!$V$7:$V$1506,0)),"")</f>
        <v/>
      </c>
      <c r="O431" s="67"/>
      <c r="P431" s="67"/>
    </row>
    <row r="432" ht="15.75" customHeight="1">
      <c r="A432" s="151" t="str">
        <f t="array" ref="A432">IFERROR(INDEX(Sales!$E$7:$E$1506,MATCH(ROW()-4,Sales!$W$7:$W$1506,0)),"")</f>
        <v/>
      </c>
      <c r="B432" s="152" t="str">
        <f t="array" ref="B432">IF($A432="","",IFERROR(INDEX(Sales!$A:$A,MATCH($A432,Sales!$E:$E,0)),""))</f>
        <v/>
      </c>
      <c r="C432" s="153" t="str">
        <f t="array" ref="C432">IF($A432="","",IFERROR(INDEX(Sales!$D:$D,MATCH($A432,Sales!$E:$E,0)),""))</f>
        <v/>
      </c>
      <c r="D432" s="153" t="str">
        <f t="array" ref="D432">IF($A432="","",IFERROR(INDEX(Sales!$C:$C,MATCH($A432,Sales!$E:$E,0)),""))</f>
        <v/>
      </c>
      <c r="E432" s="154" t="str">
        <f>IF($A432="","",SUMIFS(Sales!$H:$H,Sales!$E:$E,$A432,Sales!$B:$B,"&lt;&gt;Return"))</f>
        <v/>
      </c>
      <c r="F432" s="155" t="str">
        <f>IF($A432="","",SUMIF(Sales!$E:$E,$A432,Sales!$L:$L))</f>
        <v/>
      </c>
      <c r="G432" s="155" t="str">
        <f>IF($A432="","",SUMIF(Sales!$E:$E,$A432,Sales!$P:$P))</f>
        <v/>
      </c>
      <c r="H432" s="156" t="str">
        <f t="array" ref="H432">IF($A432="","",IFERROR(INDEX(Orders!$O$5:$O$1004,MATCH($A432,Orders!$N$5:$N$1004,0)),""))</f>
        <v/>
      </c>
      <c r="I432" s="156" t="str">
        <f t="array" ref="I432">IF($A432="","",IFERROR(INDEX(Orders!$P$5:$P$1004,MATCH($A432,Orders!$N$5:$N$1004,0)),""))</f>
        <v/>
      </c>
      <c r="J432" s="157" t="str">
        <f t="shared" si="1"/>
        <v/>
      </c>
      <c r="K432" s="153" t="str">
        <f t="array" ref="K432">IF($A432="","",IFERROR(INDEX(Sales!$M:$M,MATCH($A432,Sales!$E:$E,0)),""))</f>
        <v/>
      </c>
      <c r="L432" s="158" t="str">
        <f t="shared" si="2"/>
        <v/>
      </c>
      <c r="N432" s="49" t="str">
        <f t="array" ref="N432">IFERROR(INDEX(Sales!$E$7:$E$1506,MATCH(ROW()-4,Sales!$V$7:$V$1506,0)),"")</f>
        <v/>
      </c>
      <c r="O432" s="67"/>
      <c r="P432" s="67"/>
    </row>
    <row r="433" ht="15.75" customHeight="1">
      <c r="A433" s="151" t="str">
        <f t="array" ref="A433">IFERROR(INDEX(Sales!$E$7:$E$1506,MATCH(ROW()-4,Sales!$W$7:$W$1506,0)),"")</f>
        <v/>
      </c>
      <c r="B433" s="152" t="str">
        <f t="array" ref="B433">IF($A433="","",IFERROR(INDEX(Sales!$A:$A,MATCH($A433,Sales!$E:$E,0)),""))</f>
        <v/>
      </c>
      <c r="C433" s="153" t="str">
        <f t="array" ref="C433">IF($A433="","",IFERROR(INDEX(Sales!$D:$D,MATCH($A433,Sales!$E:$E,0)),""))</f>
        <v/>
      </c>
      <c r="D433" s="153" t="str">
        <f t="array" ref="D433">IF($A433="","",IFERROR(INDEX(Sales!$C:$C,MATCH($A433,Sales!$E:$E,0)),""))</f>
        <v/>
      </c>
      <c r="E433" s="154" t="str">
        <f>IF($A433="","",SUMIFS(Sales!$H:$H,Sales!$E:$E,$A433,Sales!$B:$B,"&lt;&gt;Return"))</f>
        <v/>
      </c>
      <c r="F433" s="155" t="str">
        <f>IF($A433="","",SUMIF(Sales!$E:$E,$A433,Sales!$L:$L))</f>
        <v/>
      </c>
      <c r="G433" s="155" t="str">
        <f>IF($A433="","",SUMIF(Sales!$E:$E,$A433,Sales!$P:$P))</f>
        <v/>
      </c>
      <c r="H433" s="156" t="str">
        <f t="array" ref="H433">IF($A433="","",IFERROR(INDEX(Orders!$O$5:$O$1004,MATCH($A433,Orders!$N$5:$N$1004,0)),""))</f>
        <v/>
      </c>
      <c r="I433" s="156" t="str">
        <f t="array" ref="I433">IF($A433="","",IFERROR(INDEX(Orders!$P$5:$P$1004,MATCH($A433,Orders!$N$5:$N$1004,0)),""))</f>
        <v/>
      </c>
      <c r="J433" s="157" t="str">
        <f t="shared" si="1"/>
        <v/>
      </c>
      <c r="K433" s="153" t="str">
        <f t="array" ref="K433">IF($A433="","",IFERROR(INDEX(Sales!$M:$M,MATCH($A433,Sales!$E:$E,0)),""))</f>
        <v/>
      </c>
      <c r="L433" s="158" t="str">
        <f t="shared" si="2"/>
        <v/>
      </c>
      <c r="N433" s="49" t="str">
        <f t="array" ref="N433">IFERROR(INDEX(Sales!$E$7:$E$1506,MATCH(ROW()-4,Sales!$V$7:$V$1506,0)),"")</f>
        <v/>
      </c>
      <c r="O433" s="67"/>
      <c r="P433" s="67"/>
    </row>
    <row r="434" ht="15.75" customHeight="1">
      <c r="A434" s="151" t="str">
        <f t="array" ref="A434">IFERROR(INDEX(Sales!$E$7:$E$1506,MATCH(ROW()-4,Sales!$W$7:$W$1506,0)),"")</f>
        <v/>
      </c>
      <c r="B434" s="152" t="str">
        <f t="array" ref="B434">IF($A434="","",IFERROR(INDEX(Sales!$A:$A,MATCH($A434,Sales!$E:$E,0)),""))</f>
        <v/>
      </c>
      <c r="C434" s="153" t="str">
        <f t="array" ref="C434">IF($A434="","",IFERROR(INDEX(Sales!$D:$D,MATCH($A434,Sales!$E:$E,0)),""))</f>
        <v/>
      </c>
      <c r="D434" s="153" t="str">
        <f t="array" ref="D434">IF($A434="","",IFERROR(INDEX(Sales!$C:$C,MATCH($A434,Sales!$E:$E,0)),""))</f>
        <v/>
      </c>
      <c r="E434" s="154" t="str">
        <f>IF($A434="","",SUMIFS(Sales!$H:$H,Sales!$E:$E,$A434,Sales!$B:$B,"&lt;&gt;Return"))</f>
        <v/>
      </c>
      <c r="F434" s="155" t="str">
        <f>IF($A434="","",SUMIF(Sales!$E:$E,$A434,Sales!$L:$L))</f>
        <v/>
      </c>
      <c r="G434" s="155" t="str">
        <f>IF($A434="","",SUMIF(Sales!$E:$E,$A434,Sales!$P:$P))</f>
        <v/>
      </c>
      <c r="H434" s="156" t="str">
        <f t="array" ref="H434">IF($A434="","",IFERROR(INDEX(Orders!$O$5:$O$1004,MATCH($A434,Orders!$N$5:$N$1004,0)),""))</f>
        <v/>
      </c>
      <c r="I434" s="156" t="str">
        <f t="array" ref="I434">IF($A434="","",IFERROR(INDEX(Orders!$P$5:$P$1004,MATCH($A434,Orders!$N$5:$N$1004,0)),""))</f>
        <v/>
      </c>
      <c r="J434" s="157" t="str">
        <f t="shared" si="1"/>
        <v/>
      </c>
      <c r="K434" s="153" t="str">
        <f t="array" ref="K434">IF($A434="","",IFERROR(INDEX(Sales!$M:$M,MATCH($A434,Sales!$E:$E,0)),""))</f>
        <v/>
      </c>
      <c r="L434" s="158" t="str">
        <f t="shared" si="2"/>
        <v/>
      </c>
      <c r="N434" s="49" t="str">
        <f t="array" ref="N434">IFERROR(INDEX(Sales!$E$7:$E$1506,MATCH(ROW()-4,Sales!$V$7:$V$1506,0)),"")</f>
        <v/>
      </c>
      <c r="O434" s="67"/>
      <c r="P434" s="67"/>
    </row>
    <row r="435" ht="15.75" customHeight="1">
      <c r="A435" s="151" t="str">
        <f t="array" ref="A435">IFERROR(INDEX(Sales!$E$7:$E$1506,MATCH(ROW()-4,Sales!$W$7:$W$1506,0)),"")</f>
        <v/>
      </c>
      <c r="B435" s="152" t="str">
        <f t="array" ref="B435">IF($A435="","",IFERROR(INDEX(Sales!$A:$A,MATCH($A435,Sales!$E:$E,0)),""))</f>
        <v/>
      </c>
      <c r="C435" s="153" t="str">
        <f t="array" ref="C435">IF($A435="","",IFERROR(INDEX(Sales!$D:$D,MATCH($A435,Sales!$E:$E,0)),""))</f>
        <v/>
      </c>
      <c r="D435" s="153" t="str">
        <f t="array" ref="D435">IF($A435="","",IFERROR(INDEX(Sales!$C:$C,MATCH($A435,Sales!$E:$E,0)),""))</f>
        <v/>
      </c>
      <c r="E435" s="154" t="str">
        <f>IF($A435="","",SUMIFS(Sales!$H:$H,Sales!$E:$E,$A435,Sales!$B:$B,"&lt;&gt;Return"))</f>
        <v/>
      </c>
      <c r="F435" s="155" t="str">
        <f>IF($A435="","",SUMIF(Sales!$E:$E,$A435,Sales!$L:$L))</f>
        <v/>
      </c>
      <c r="G435" s="155" t="str">
        <f>IF($A435="","",SUMIF(Sales!$E:$E,$A435,Sales!$P:$P))</f>
        <v/>
      </c>
      <c r="H435" s="156" t="str">
        <f t="array" ref="H435">IF($A435="","",IFERROR(INDEX(Orders!$O$5:$O$1004,MATCH($A435,Orders!$N$5:$N$1004,0)),""))</f>
        <v/>
      </c>
      <c r="I435" s="156" t="str">
        <f t="array" ref="I435">IF($A435="","",IFERROR(INDEX(Orders!$P$5:$P$1004,MATCH($A435,Orders!$N$5:$N$1004,0)),""))</f>
        <v/>
      </c>
      <c r="J435" s="157" t="str">
        <f t="shared" si="1"/>
        <v/>
      </c>
      <c r="K435" s="153" t="str">
        <f t="array" ref="K435">IF($A435="","",IFERROR(INDEX(Sales!$M:$M,MATCH($A435,Sales!$E:$E,0)),""))</f>
        <v/>
      </c>
      <c r="L435" s="158" t="str">
        <f t="shared" si="2"/>
        <v/>
      </c>
      <c r="N435" s="49" t="str">
        <f t="array" ref="N435">IFERROR(INDEX(Sales!$E$7:$E$1506,MATCH(ROW()-4,Sales!$V$7:$V$1506,0)),"")</f>
        <v/>
      </c>
      <c r="O435" s="67"/>
      <c r="P435" s="67"/>
    </row>
    <row r="436" ht="15.75" customHeight="1">
      <c r="A436" s="151" t="str">
        <f t="array" ref="A436">IFERROR(INDEX(Sales!$E$7:$E$1506,MATCH(ROW()-4,Sales!$W$7:$W$1506,0)),"")</f>
        <v/>
      </c>
      <c r="B436" s="152" t="str">
        <f t="array" ref="B436">IF($A436="","",IFERROR(INDEX(Sales!$A:$A,MATCH($A436,Sales!$E:$E,0)),""))</f>
        <v/>
      </c>
      <c r="C436" s="153" t="str">
        <f t="array" ref="C436">IF($A436="","",IFERROR(INDEX(Sales!$D:$D,MATCH($A436,Sales!$E:$E,0)),""))</f>
        <v/>
      </c>
      <c r="D436" s="153" t="str">
        <f t="array" ref="D436">IF($A436="","",IFERROR(INDEX(Sales!$C:$C,MATCH($A436,Sales!$E:$E,0)),""))</f>
        <v/>
      </c>
      <c r="E436" s="154" t="str">
        <f>IF($A436="","",SUMIFS(Sales!$H:$H,Sales!$E:$E,$A436,Sales!$B:$B,"&lt;&gt;Return"))</f>
        <v/>
      </c>
      <c r="F436" s="155" t="str">
        <f>IF($A436="","",SUMIF(Sales!$E:$E,$A436,Sales!$L:$L))</f>
        <v/>
      </c>
      <c r="G436" s="155" t="str">
        <f>IF($A436="","",SUMIF(Sales!$E:$E,$A436,Sales!$P:$P))</f>
        <v/>
      </c>
      <c r="H436" s="156" t="str">
        <f t="array" ref="H436">IF($A436="","",IFERROR(INDEX(Orders!$O$5:$O$1004,MATCH($A436,Orders!$N$5:$N$1004,0)),""))</f>
        <v/>
      </c>
      <c r="I436" s="156" t="str">
        <f t="array" ref="I436">IF($A436="","",IFERROR(INDEX(Orders!$P$5:$P$1004,MATCH($A436,Orders!$N$5:$N$1004,0)),""))</f>
        <v/>
      </c>
      <c r="J436" s="157" t="str">
        <f t="shared" si="1"/>
        <v/>
      </c>
      <c r="K436" s="153" t="str">
        <f t="array" ref="K436">IF($A436="","",IFERROR(INDEX(Sales!$M:$M,MATCH($A436,Sales!$E:$E,0)),""))</f>
        <v/>
      </c>
      <c r="L436" s="158" t="str">
        <f t="shared" si="2"/>
        <v/>
      </c>
      <c r="N436" s="49" t="str">
        <f t="array" ref="N436">IFERROR(INDEX(Sales!$E$7:$E$1506,MATCH(ROW()-4,Sales!$V$7:$V$1506,0)),"")</f>
        <v/>
      </c>
      <c r="O436" s="67"/>
      <c r="P436" s="67"/>
    </row>
    <row r="437" ht="15.75" customHeight="1">
      <c r="A437" s="151" t="str">
        <f t="array" ref="A437">IFERROR(INDEX(Sales!$E$7:$E$1506,MATCH(ROW()-4,Sales!$W$7:$W$1506,0)),"")</f>
        <v/>
      </c>
      <c r="B437" s="152" t="str">
        <f t="array" ref="B437">IF($A437="","",IFERROR(INDEX(Sales!$A:$A,MATCH($A437,Sales!$E:$E,0)),""))</f>
        <v/>
      </c>
      <c r="C437" s="153" t="str">
        <f t="array" ref="C437">IF($A437="","",IFERROR(INDEX(Sales!$D:$D,MATCH($A437,Sales!$E:$E,0)),""))</f>
        <v/>
      </c>
      <c r="D437" s="153" t="str">
        <f t="array" ref="D437">IF($A437="","",IFERROR(INDEX(Sales!$C:$C,MATCH($A437,Sales!$E:$E,0)),""))</f>
        <v/>
      </c>
      <c r="E437" s="154" t="str">
        <f>IF($A437="","",SUMIFS(Sales!$H:$H,Sales!$E:$E,$A437,Sales!$B:$B,"&lt;&gt;Return"))</f>
        <v/>
      </c>
      <c r="F437" s="155" t="str">
        <f>IF($A437="","",SUMIF(Sales!$E:$E,$A437,Sales!$L:$L))</f>
        <v/>
      </c>
      <c r="G437" s="155" t="str">
        <f>IF($A437="","",SUMIF(Sales!$E:$E,$A437,Sales!$P:$P))</f>
        <v/>
      </c>
      <c r="H437" s="156" t="str">
        <f t="array" ref="H437">IF($A437="","",IFERROR(INDEX(Orders!$O$5:$O$1004,MATCH($A437,Orders!$N$5:$N$1004,0)),""))</f>
        <v/>
      </c>
      <c r="I437" s="156" t="str">
        <f t="array" ref="I437">IF($A437="","",IFERROR(INDEX(Orders!$P$5:$P$1004,MATCH($A437,Orders!$N$5:$N$1004,0)),""))</f>
        <v/>
      </c>
      <c r="J437" s="157" t="str">
        <f t="shared" si="1"/>
        <v/>
      </c>
      <c r="K437" s="153" t="str">
        <f t="array" ref="K437">IF($A437="","",IFERROR(INDEX(Sales!$M:$M,MATCH($A437,Sales!$E:$E,0)),""))</f>
        <v/>
      </c>
      <c r="L437" s="158" t="str">
        <f t="shared" si="2"/>
        <v/>
      </c>
      <c r="N437" s="49" t="str">
        <f t="array" ref="N437">IFERROR(INDEX(Sales!$E$7:$E$1506,MATCH(ROW()-4,Sales!$V$7:$V$1506,0)),"")</f>
        <v/>
      </c>
      <c r="O437" s="67"/>
      <c r="P437" s="67"/>
    </row>
    <row r="438" ht="15.75" customHeight="1">
      <c r="A438" s="151" t="str">
        <f t="array" ref="A438">IFERROR(INDEX(Sales!$E$7:$E$1506,MATCH(ROW()-4,Sales!$W$7:$W$1506,0)),"")</f>
        <v/>
      </c>
      <c r="B438" s="152" t="str">
        <f t="array" ref="B438">IF($A438="","",IFERROR(INDEX(Sales!$A:$A,MATCH($A438,Sales!$E:$E,0)),""))</f>
        <v/>
      </c>
      <c r="C438" s="153" t="str">
        <f t="array" ref="C438">IF($A438="","",IFERROR(INDEX(Sales!$D:$D,MATCH($A438,Sales!$E:$E,0)),""))</f>
        <v/>
      </c>
      <c r="D438" s="153" t="str">
        <f t="array" ref="D438">IF($A438="","",IFERROR(INDEX(Sales!$C:$C,MATCH($A438,Sales!$E:$E,0)),""))</f>
        <v/>
      </c>
      <c r="E438" s="154" t="str">
        <f>IF($A438="","",SUMIFS(Sales!$H:$H,Sales!$E:$E,$A438,Sales!$B:$B,"&lt;&gt;Return"))</f>
        <v/>
      </c>
      <c r="F438" s="155" t="str">
        <f>IF($A438="","",SUMIF(Sales!$E:$E,$A438,Sales!$L:$L))</f>
        <v/>
      </c>
      <c r="G438" s="155" t="str">
        <f>IF($A438="","",SUMIF(Sales!$E:$E,$A438,Sales!$P:$P))</f>
        <v/>
      </c>
      <c r="H438" s="156" t="str">
        <f t="array" ref="H438">IF($A438="","",IFERROR(INDEX(Orders!$O$5:$O$1004,MATCH($A438,Orders!$N$5:$N$1004,0)),""))</f>
        <v/>
      </c>
      <c r="I438" s="156" t="str">
        <f t="array" ref="I438">IF($A438="","",IFERROR(INDEX(Orders!$P$5:$P$1004,MATCH($A438,Orders!$N$5:$N$1004,0)),""))</f>
        <v/>
      </c>
      <c r="J438" s="157" t="str">
        <f t="shared" si="1"/>
        <v/>
      </c>
      <c r="K438" s="153" t="str">
        <f t="array" ref="K438">IF($A438="","",IFERROR(INDEX(Sales!$M:$M,MATCH($A438,Sales!$E:$E,0)),""))</f>
        <v/>
      </c>
      <c r="L438" s="158" t="str">
        <f t="shared" si="2"/>
        <v/>
      </c>
      <c r="N438" s="49" t="str">
        <f t="array" ref="N438">IFERROR(INDEX(Sales!$E$7:$E$1506,MATCH(ROW()-4,Sales!$V$7:$V$1506,0)),"")</f>
        <v/>
      </c>
      <c r="O438" s="67"/>
      <c r="P438" s="67"/>
    </row>
    <row r="439" ht="15.75" customHeight="1">
      <c r="A439" s="151" t="str">
        <f t="array" ref="A439">IFERROR(INDEX(Sales!$E$7:$E$1506,MATCH(ROW()-4,Sales!$W$7:$W$1506,0)),"")</f>
        <v/>
      </c>
      <c r="B439" s="152" t="str">
        <f t="array" ref="B439">IF($A439="","",IFERROR(INDEX(Sales!$A:$A,MATCH($A439,Sales!$E:$E,0)),""))</f>
        <v/>
      </c>
      <c r="C439" s="153" t="str">
        <f t="array" ref="C439">IF($A439="","",IFERROR(INDEX(Sales!$D:$D,MATCH($A439,Sales!$E:$E,0)),""))</f>
        <v/>
      </c>
      <c r="D439" s="153" t="str">
        <f t="array" ref="D439">IF($A439="","",IFERROR(INDEX(Sales!$C:$C,MATCH($A439,Sales!$E:$E,0)),""))</f>
        <v/>
      </c>
      <c r="E439" s="154" t="str">
        <f>IF($A439="","",SUMIFS(Sales!$H:$H,Sales!$E:$E,$A439,Sales!$B:$B,"&lt;&gt;Return"))</f>
        <v/>
      </c>
      <c r="F439" s="155" t="str">
        <f>IF($A439="","",SUMIF(Sales!$E:$E,$A439,Sales!$L:$L))</f>
        <v/>
      </c>
      <c r="G439" s="155" t="str">
        <f>IF($A439="","",SUMIF(Sales!$E:$E,$A439,Sales!$P:$P))</f>
        <v/>
      </c>
      <c r="H439" s="156" t="str">
        <f t="array" ref="H439">IF($A439="","",IFERROR(INDEX(Orders!$O$5:$O$1004,MATCH($A439,Orders!$N$5:$N$1004,0)),""))</f>
        <v/>
      </c>
      <c r="I439" s="156" t="str">
        <f t="array" ref="I439">IF($A439="","",IFERROR(INDEX(Orders!$P$5:$P$1004,MATCH($A439,Orders!$N$5:$N$1004,0)),""))</f>
        <v/>
      </c>
      <c r="J439" s="157" t="str">
        <f t="shared" si="1"/>
        <v/>
      </c>
      <c r="K439" s="153" t="str">
        <f t="array" ref="K439">IF($A439="","",IFERROR(INDEX(Sales!$M:$M,MATCH($A439,Sales!$E:$E,0)),""))</f>
        <v/>
      </c>
      <c r="L439" s="158" t="str">
        <f t="shared" si="2"/>
        <v/>
      </c>
      <c r="N439" s="49" t="str">
        <f t="array" ref="N439">IFERROR(INDEX(Sales!$E$7:$E$1506,MATCH(ROW()-4,Sales!$V$7:$V$1506,0)),"")</f>
        <v/>
      </c>
      <c r="O439" s="67"/>
      <c r="P439" s="67"/>
    </row>
    <row r="440" ht="15.75" customHeight="1">
      <c r="A440" s="151" t="str">
        <f t="array" ref="A440">IFERROR(INDEX(Sales!$E$7:$E$1506,MATCH(ROW()-4,Sales!$W$7:$W$1506,0)),"")</f>
        <v/>
      </c>
      <c r="B440" s="152" t="str">
        <f t="array" ref="B440">IF($A440="","",IFERROR(INDEX(Sales!$A:$A,MATCH($A440,Sales!$E:$E,0)),""))</f>
        <v/>
      </c>
      <c r="C440" s="153" t="str">
        <f t="array" ref="C440">IF($A440="","",IFERROR(INDEX(Sales!$D:$D,MATCH($A440,Sales!$E:$E,0)),""))</f>
        <v/>
      </c>
      <c r="D440" s="153" t="str">
        <f t="array" ref="D440">IF($A440="","",IFERROR(INDEX(Sales!$C:$C,MATCH($A440,Sales!$E:$E,0)),""))</f>
        <v/>
      </c>
      <c r="E440" s="154" t="str">
        <f>IF($A440="","",SUMIFS(Sales!$H:$H,Sales!$E:$E,$A440,Sales!$B:$B,"&lt;&gt;Return"))</f>
        <v/>
      </c>
      <c r="F440" s="155" t="str">
        <f>IF($A440="","",SUMIF(Sales!$E:$E,$A440,Sales!$L:$L))</f>
        <v/>
      </c>
      <c r="G440" s="155" t="str">
        <f>IF($A440="","",SUMIF(Sales!$E:$E,$A440,Sales!$P:$P))</f>
        <v/>
      </c>
      <c r="H440" s="156" t="str">
        <f t="array" ref="H440">IF($A440="","",IFERROR(INDEX(Orders!$O$5:$O$1004,MATCH($A440,Orders!$N$5:$N$1004,0)),""))</f>
        <v/>
      </c>
      <c r="I440" s="156" t="str">
        <f t="array" ref="I440">IF($A440="","",IFERROR(INDEX(Orders!$P$5:$P$1004,MATCH($A440,Orders!$N$5:$N$1004,0)),""))</f>
        <v/>
      </c>
      <c r="J440" s="157" t="str">
        <f t="shared" si="1"/>
        <v/>
      </c>
      <c r="K440" s="153" t="str">
        <f t="array" ref="K440">IF($A440="","",IFERROR(INDEX(Sales!$M:$M,MATCH($A440,Sales!$E:$E,0)),""))</f>
        <v/>
      </c>
      <c r="L440" s="158" t="str">
        <f t="shared" si="2"/>
        <v/>
      </c>
      <c r="N440" s="49" t="str">
        <f t="array" ref="N440">IFERROR(INDEX(Sales!$E$7:$E$1506,MATCH(ROW()-4,Sales!$V$7:$V$1506,0)),"")</f>
        <v/>
      </c>
      <c r="O440" s="67"/>
      <c r="P440" s="67"/>
    </row>
    <row r="441" ht="15.75" customHeight="1">
      <c r="A441" s="151" t="str">
        <f t="array" ref="A441">IFERROR(INDEX(Sales!$E$7:$E$1506,MATCH(ROW()-4,Sales!$W$7:$W$1506,0)),"")</f>
        <v/>
      </c>
      <c r="B441" s="152" t="str">
        <f t="array" ref="B441">IF($A441="","",IFERROR(INDEX(Sales!$A:$A,MATCH($A441,Sales!$E:$E,0)),""))</f>
        <v/>
      </c>
      <c r="C441" s="153" t="str">
        <f t="array" ref="C441">IF($A441="","",IFERROR(INDEX(Sales!$D:$D,MATCH($A441,Sales!$E:$E,0)),""))</f>
        <v/>
      </c>
      <c r="D441" s="153" t="str">
        <f t="array" ref="D441">IF($A441="","",IFERROR(INDEX(Sales!$C:$C,MATCH($A441,Sales!$E:$E,0)),""))</f>
        <v/>
      </c>
      <c r="E441" s="154" t="str">
        <f>IF($A441="","",SUMIFS(Sales!$H:$H,Sales!$E:$E,$A441,Sales!$B:$B,"&lt;&gt;Return"))</f>
        <v/>
      </c>
      <c r="F441" s="155" t="str">
        <f>IF($A441="","",SUMIF(Sales!$E:$E,$A441,Sales!$L:$L))</f>
        <v/>
      </c>
      <c r="G441" s="155" t="str">
        <f>IF($A441="","",SUMIF(Sales!$E:$E,$A441,Sales!$P:$P))</f>
        <v/>
      </c>
      <c r="H441" s="156" t="str">
        <f t="array" ref="H441">IF($A441="","",IFERROR(INDEX(Orders!$O$5:$O$1004,MATCH($A441,Orders!$N$5:$N$1004,0)),""))</f>
        <v/>
      </c>
      <c r="I441" s="156" t="str">
        <f t="array" ref="I441">IF($A441="","",IFERROR(INDEX(Orders!$P$5:$P$1004,MATCH($A441,Orders!$N$5:$N$1004,0)),""))</f>
        <v/>
      </c>
      <c r="J441" s="157" t="str">
        <f t="shared" si="1"/>
        <v/>
      </c>
      <c r="K441" s="153" t="str">
        <f t="array" ref="K441">IF($A441="","",IFERROR(INDEX(Sales!$M:$M,MATCH($A441,Sales!$E:$E,0)),""))</f>
        <v/>
      </c>
      <c r="L441" s="158" t="str">
        <f t="shared" si="2"/>
        <v/>
      </c>
      <c r="N441" s="49" t="str">
        <f t="array" ref="N441">IFERROR(INDEX(Sales!$E$7:$E$1506,MATCH(ROW()-4,Sales!$V$7:$V$1506,0)),"")</f>
        <v/>
      </c>
      <c r="O441" s="67"/>
      <c r="P441" s="67"/>
    </row>
    <row r="442" ht="15.75" customHeight="1">
      <c r="A442" s="151" t="str">
        <f t="array" ref="A442">IFERROR(INDEX(Sales!$E$7:$E$1506,MATCH(ROW()-4,Sales!$W$7:$W$1506,0)),"")</f>
        <v/>
      </c>
      <c r="B442" s="152" t="str">
        <f t="array" ref="B442">IF($A442="","",IFERROR(INDEX(Sales!$A:$A,MATCH($A442,Sales!$E:$E,0)),""))</f>
        <v/>
      </c>
      <c r="C442" s="153" t="str">
        <f t="array" ref="C442">IF($A442="","",IFERROR(INDEX(Sales!$D:$D,MATCH($A442,Sales!$E:$E,0)),""))</f>
        <v/>
      </c>
      <c r="D442" s="153" t="str">
        <f t="array" ref="D442">IF($A442="","",IFERROR(INDEX(Sales!$C:$C,MATCH($A442,Sales!$E:$E,0)),""))</f>
        <v/>
      </c>
      <c r="E442" s="154" t="str">
        <f>IF($A442="","",SUMIFS(Sales!$H:$H,Sales!$E:$E,$A442,Sales!$B:$B,"&lt;&gt;Return"))</f>
        <v/>
      </c>
      <c r="F442" s="155" t="str">
        <f>IF($A442="","",SUMIF(Sales!$E:$E,$A442,Sales!$L:$L))</f>
        <v/>
      </c>
      <c r="G442" s="155" t="str">
        <f>IF($A442="","",SUMIF(Sales!$E:$E,$A442,Sales!$P:$P))</f>
        <v/>
      </c>
      <c r="H442" s="156" t="str">
        <f t="array" ref="H442">IF($A442="","",IFERROR(INDEX(Orders!$O$5:$O$1004,MATCH($A442,Orders!$N$5:$N$1004,0)),""))</f>
        <v/>
      </c>
      <c r="I442" s="156" t="str">
        <f t="array" ref="I442">IF($A442="","",IFERROR(INDEX(Orders!$P$5:$P$1004,MATCH($A442,Orders!$N$5:$N$1004,0)),""))</f>
        <v/>
      </c>
      <c r="J442" s="157" t="str">
        <f t="shared" si="1"/>
        <v/>
      </c>
      <c r="K442" s="153" t="str">
        <f t="array" ref="K442">IF($A442="","",IFERROR(INDEX(Sales!$M:$M,MATCH($A442,Sales!$E:$E,0)),""))</f>
        <v/>
      </c>
      <c r="L442" s="158" t="str">
        <f t="shared" si="2"/>
        <v/>
      </c>
      <c r="N442" s="49" t="str">
        <f t="array" ref="N442">IFERROR(INDEX(Sales!$E$7:$E$1506,MATCH(ROW()-4,Sales!$V$7:$V$1506,0)),"")</f>
        <v/>
      </c>
      <c r="O442" s="67"/>
      <c r="P442" s="67"/>
    </row>
    <row r="443" ht="15.75" customHeight="1">
      <c r="A443" s="151" t="str">
        <f t="array" ref="A443">IFERROR(INDEX(Sales!$E$7:$E$1506,MATCH(ROW()-4,Sales!$W$7:$W$1506,0)),"")</f>
        <v/>
      </c>
      <c r="B443" s="152" t="str">
        <f t="array" ref="B443">IF($A443="","",IFERROR(INDEX(Sales!$A:$A,MATCH($A443,Sales!$E:$E,0)),""))</f>
        <v/>
      </c>
      <c r="C443" s="153" t="str">
        <f t="array" ref="C443">IF($A443="","",IFERROR(INDEX(Sales!$D:$D,MATCH($A443,Sales!$E:$E,0)),""))</f>
        <v/>
      </c>
      <c r="D443" s="153" t="str">
        <f t="array" ref="D443">IF($A443="","",IFERROR(INDEX(Sales!$C:$C,MATCH($A443,Sales!$E:$E,0)),""))</f>
        <v/>
      </c>
      <c r="E443" s="154" t="str">
        <f>IF($A443="","",SUMIFS(Sales!$H:$H,Sales!$E:$E,$A443,Sales!$B:$B,"&lt;&gt;Return"))</f>
        <v/>
      </c>
      <c r="F443" s="155" t="str">
        <f>IF($A443="","",SUMIF(Sales!$E:$E,$A443,Sales!$L:$L))</f>
        <v/>
      </c>
      <c r="G443" s="155" t="str">
        <f>IF($A443="","",SUMIF(Sales!$E:$E,$A443,Sales!$P:$P))</f>
        <v/>
      </c>
      <c r="H443" s="156" t="str">
        <f t="array" ref="H443">IF($A443="","",IFERROR(INDEX(Orders!$O$5:$O$1004,MATCH($A443,Orders!$N$5:$N$1004,0)),""))</f>
        <v/>
      </c>
      <c r="I443" s="156" t="str">
        <f t="array" ref="I443">IF($A443="","",IFERROR(INDEX(Orders!$P$5:$P$1004,MATCH($A443,Orders!$N$5:$N$1004,0)),""))</f>
        <v/>
      </c>
      <c r="J443" s="157" t="str">
        <f t="shared" si="1"/>
        <v/>
      </c>
      <c r="K443" s="153" t="str">
        <f t="array" ref="K443">IF($A443="","",IFERROR(INDEX(Sales!$M:$M,MATCH($A443,Sales!$E:$E,0)),""))</f>
        <v/>
      </c>
      <c r="L443" s="158" t="str">
        <f t="shared" si="2"/>
        <v/>
      </c>
      <c r="N443" s="49" t="str">
        <f t="array" ref="N443">IFERROR(INDEX(Sales!$E$7:$E$1506,MATCH(ROW()-4,Sales!$V$7:$V$1506,0)),"")</f>
        <v/>
      </c>
      <c r="O443" s="67"/>
      <c r="P443" s="67"/>
    </row>
    <row r="444" ht="15.75" customHeight="1">
      <c r="A444" s="151" t="str">
        <f t="array" ref="A444">IFERROR(INDEX(Sales!$E$7:$E$1506,MATCH(ROW()-4,Sales!$W$7:$W$1506,0)),"")</f>
        <v/>
      </c>
      <c r="B444" s="152" t="str">
        <f t="array" ref="B444">IF($A444="","",IFERROR(INDEX(Sales!$A:$A,MATCH($A444,Sales!$E:$E,0)),""))</f>
        <v/>
      </c>
      <c r="C444" s="153" t="str">
        <f t="array" ref="C444">IF($A444="","",IFERROR(INDEX(Sales!$D:$D,MATCH($A444,Sales!$E:$E,0)),""))</f>
        <v/>
      </c>
      <c r="D444" s="153" t="str">
        <f t="array" ref="D444">IF($A444="","",IFERROR(INDEX(Sales!$C:$C,MATCH($A444,Sales!$E:$E,0)),""))</f>
        <v/>
      </c>
      <c r="E444" s="154" t="str">
        <f>IF($A444="","",SUMIFS(Sales!$H:$H,Sales!$E:$E,$A444,Sales!$B:$B,"&lt;&gt;Return"))</f>
        <v/>
      </c>
      <c r="F444" s="155" t="str">
        <f>IF($A444="","",SUMIF(Sales!$E:$E,$A444,Sales!$L:$L))</f>
        <v/>
      </c>
      <c r="G444" s="155" t="str">
        <f>IF($A444="","",SUMIF(Sales!$E:$E,$A444,Sales!$P:$P))</f>
        <v/>
      </c>
      <c r="H444" s="156" t="str">
        <f t="array" ref="H444">IF($A444="","",IFERROR(INDEX(Orders!$O$5:$O$1004,MATCH($A444,Orders!$N$5:$N$1004,0)),""))</f>
        <v/>
      </c>
      <c r="I444" s="156" t="str">
        <f t="array" ref="I444">IF($A444="","",IFERROR(INDEX(Orders!$P$5:$P$1004,MATCH($A444,Orders!$N$5:$N$1004,0)),""))</f>
        <v/>
      </c>
      <c r="J444" s="157" t="str">
        <f t="shared" si="1"/>
        <v/>
      </c>
      <c r="K444" s="153" t="str">
        <f t="array" ref="K444">IF($A444="","",IFERROR(INDEX(Sales!$M:$M,MATCH($A444,Sales!$E:$E,0)),""))</f>
        <v/>
      </c>
      <c r="L444" s="158" t="str">
        <f t="shared" si="2"/>
        <v/>
      </c>
      <c r="N444" s="49" t="str">
        <f t="array" ref="N444">IFERROR(INDEX(Sales!$E$7:$E$1506,MATCH(ROW()-4,Sales!$V$7:$V$1506,0)),"")</f>
        <v/>
      </c>
      <c r="O444" s="67"/>
      <c r="P444" s="67"/>
    </row>
    <row r="445" ht="15.75" customHeight="1">
      <c r="A445" s="151" t="str">
        <f t="array" ref="A445">IFERROR(INDEX(Sales!$E$7:$E$1506,MATCH(ROW()-4,Sales!$W$7:$W$1506,0)),"")</f>
        <v/>
      </c>
      <c r="B445" s="152" t="str">
        <f t="array" ref="B445">IF($A445="","",IFERROR(INDEX(Sales!$A:$A,MATCH($A445,Sales!$E:$E,0)),""))</f>
        <v/>
      </c>
      <c r="C445" s="153" t="str">
        <f t="array" ref="C445">IF($A445="","",IFERROR(INDEX(Sales!$D:$D,MATCH($A445,Sales!$E:$E,0)),""))</f>
        <v/>
      </c>
      <c r="D445" s="153" t="str">
        <f t="array" ref="D445">IF($A445="","",IFERROR(INDEX(Sales!$C:$C,MATCH($A445,Sales!$E:$E,0)),""))</f>
        <v/>
      </c>
      <c r="E445" s="154" t="str">
        <f>IF($A445="","",SUMIFS(Sales!$H:$H,Sales!$E:$E,$A445,Sales!$B:$B,"&lt;&gt;Return"))</f>
        <v/>
      </c>
      <c r="F445" s="155" t="str">
        <f>IF($A445="","",SUMIF(Sales!$E:$E,$A445,Sales!$L:$L))</f>
        <v/>
      </c>
      <c r="G445" s="155" t="str">
        <f>IF($A445="","",SUMIF(Sales!$E:$E,$A445,Sales!$P:$P))</f>
        <v/>
      </c>
      <c r="H445" s="156" t="str">
        <f t="array" ref="H445">IF($A445="","",IFERROR(INDEX(Orders!$O$5:$O$1004,MATCH($A445,Orders!$N$5:$N$1004,0)),""))</f>
        <v/>
      </c>
      <c r="I445" s="156" t="str">
        <f t="array" ref="I445">IF($A445="","",IFERROR(INDEX(Orders!$P$5:$P$1004,MATCH($A445,Orders!$N$5:$N$1004,0)),""))</f>
        <v/>
      </c>
      <c r="J445" s="157" t="str">
        <f t="shared" si="1"/>
        <v/>
      </c>
      <c r="K445" s="153" t="str">
        <f t="array" ref="K445">IF($A445="","",IFERROR(INDEX(Sales!$M:$M,MATCH($A445,Sales!$E:$E,0)),""))</f>
        <v/>
      </c>
      <c r="L445" s="158" t="str">
        <f t="shared" si="2"/>
        <v/>
      </c>
      <c r="N445" s="49" t="str">
        <f t="array" ref="N445">IFERROR(INDEX(Sales!$E$7:$E$1506,MATCH(ROW()-4,Sales!$V$7:$V$1506,0)),"")</f>
        <v/>
      </c>
      <c r="O445" s="67"/>
      <c r="P445" s="67"/>
    </row>
    <row r="446" ht="15.75" customHeight="1">
      <c r="A446" s="151" t="str">
        <f t="array" ref="A446">IFERROR(INDEX(Sales!$E$7:$E$1506,MATCH(ROW()-4,Sales!$W$7:$W$1506,0)),"")</f>
        <v/>
      </c>
      <c r="B446" s="152" t="str">
        <f t="array" ref="B446">IF($A446="","",IFERROR(INDEX(Sales!$A:$A,MATCH($A446,Sales!$E:$E,0)),""))</f>
        <v/>
      </c>
      <c r="C446" s="153" t="str">
        <f t="array" ref="C446">IF($A446="","",IFERROR(INDEX(Sales!$D:$D,MATCH($A446,Sales!$E:$E,0)),""))</f>
        <v/>
      </c>
      <c r="D446" s="153" t="str">
        <f t="array" ref="D446">IF($A446="","",IFERROR(INDEX(Sales!$C:$C,MATCH($A446,Sales!$E:$E,0)),""))</f>
        <v/>
      </c>
      <c r="E446" s="154" t="str">
        <f>IF($A446="","",SUMIFS(Sales!$H:$H,Sales!$E:$E,$A446,Sales!$B:$B,"&lt;&gt;Return"))</f>
        <v/>
      </c>
      <c r="F446" s="155" t="str">
        <f>IF($A446="","",SUMIF(Sales!$E:$E,$A446,Sales!$L:$L))</f>
        <v/>
      </c>
      <c r="G446" s="155" t="str">
        <f>IF($A446="","",SUMIF(Sales!$E:$E,$A446,Sales!$P:$P))</f>
        <v/>
      </c>
      <c r="H446" s="156" t="str">
        <f t="array" ref="H446">IF($A446="","",IFERROR(INDEX(Orders!$O$5:$O$1004,MATCH($A446,Orders!$N$5:$N$1004,0)),""))</f>
        <v/>
      </c>
      <c r="I446" s="156" t="str">
        <f t="array" ref="I446">IF($A446="","",IFERROR(INDEX(Orders!$P$5:$P$1004,MATCH($A446,Orders!$N$5:$N$1004,0)),""))</f>
        <v/>
      </c>
      <c r="J446" s="157" t="str">
        <f t="shared" si="1"/>
        <v/>
      </c>
      <c r="K446" s="153" t="str">
        <f t="array" ref="K446">IF($A446="","",IFERROR(INDEX(Sales!$M:$M,MATCH($A446,Sales!$E:$E,0)),""))</f>
        <v/>
      </c>
      <c r="L446" s="158" t="str">
        <f t="shared" si="2"/>
        <v/>
      </c>
      <c r="N446" s="49" t="str">
        <f t="array" ref="N446">IFERROR(INDEX(Sales!$E$7:$E$1506,MATCH(ROW()-4,Sales!$V$7:$V$1506,0)),"")</f>
        <v/>
      </c>
      <c r="O446" s="67"/>
      <c r="P446" s="67"/>
    </row>
    <row r="447" ht="15.75" customHeight="1">
      <c r="A447" s="151" t="str">
        <f t="array" ref="A447">IFERROR(INDEX(Sales!$E$7:$E$1506,MATCH(ROW()-4,Sales!$W$7:$W$1506,0)),"")</f>
        <v/>
      </c>
      <c r="B447" s="152" t="str">
        <f t="array" ref="B447">IF($A447="","",IFERROR(INDEX(Sales!$A:$A,MATCH($A447,Sales!$E:$E,0)),""))</f>
        <v/>
      </c>
      <c r="C447" s="153" t="str">
        <f t="array" ref="C447">IF($A447="","",IFERROR(INDEX(Sales!$D:$D,MATCH($A447,Sales!$E:$E,0)),""))</f>
        <v/>
      </c>
      <c r="D447" s="153" t="str">
        <f t="array" ref="D447">IF($A447="","",IFERROR(INDEX(Sales!$C:$C,MATCH($A447,Sales!$E:$E,0)),""))</f>
        <v/>
      </c>
      <c r="E447" s="154" t="str">
        <f>IF($A447="","",SUMIFS(Sales!$H:$H,Sales!$E:$E,$A447,Sales!$B:$B,"&lt;&gt;Return"))</f>
        <v/>
      </c>
      <c r="F447" s="155" t="str">
        <f>IF($A447="","",SUMIF(Sales!$E:$E,$A447,Sales!$L:$L))</f>
        <v/>
      </c>
      <c r="G447" s="155" t="str">
        <f>IF($A447="","",SUMIF(Sales!$E:$E,$A447,Sales!$P:$P))</f>
        <v/>
      </c>
      <c r="H447" s="156" t="str">
        <f t="array" ref="H447">IF($A447="","",IFERROR(INDEX(Orders!$O$5:$O$1004,MATCH($A447,Orders!$N$5:$N$1004,0)),""))</f>
        <v/>
      </c>
      <c r="I447" s="156" t="str">
        <f t="array" ref="I447">IF($A447="","",IFERROR(INDEX(Orders!$P$5:$P$1004,MATCH($A447,Orders!$N$5:$N$1004,0)),""))</f>
        <v/>
      </c>
      <c r="J447" s="157" t="str">
        <f t="shared" si="1"/>
        <v/>
      </c>
      <c r="K447" s="153" t="str">
        <f t="array" ref="K447">IF($A447="","",IFERROR(INDEX(Sales!$M:$M,MATCH($A447,Sales!$E:$E,0)),""))</f>
        <v/>
      </c>
      <c r="L447" s="158" t="str">
        <f t="shared" si="2"/>
        <v/>
      </c>
      <c r="N447" s="49" t="str">
        <f t="array" ref="N447">IFERROR(INDEX(Sales!$E$7:$E$1506,MATCH(ROW()-4,Sales!$V$7:$V$1506,0)),"")</f>
        <v/>
      </c>
      <c r="O447" s="67"/>
      <c r="P447" s="67"/>
    </row>
    <row r="448" ht="15.75" customHeight="1">
      <c r="A448" s="151" t="str">
        <f t="array" ref="A448">IFERROR(INDEX(Sales!$E$7:$E$1506,MATCH(ROW()-4,Sales!$W$7:$W$1506,0)),"")</f>
        <v/>
      </c>
      <c r="B448" s="152" t="str">
        <f t="array" ref="B448">IF($A448="","",IFERROR(INDEX(Sales!$A:$A,MATCH($A448,Sales!$E:$E,0)),""))</f>
        <v/>
      </c>
      <c r="C448" s="153" t="str">
        <f t="array" ref="C448">IF($A448="","",IFERROR(INDEX(Sales!$D:$D,MATCH($A448,Sales!$E:$E,0)),""))</f>
        <v/>
      </c>
      <c r="D448" s="153" t="str">
        <f t="array" ref="D448">IF($A448="","",IFERROR(INDEX(Sales!$C:$C,MATCH($A448,Sales!$E:$E,0)),""))</f>
        <v/>
      </c>
      <c r="E448" s="154" t="str">
        <f>IF($A448="","",SUMIFS(Sales!$H:$H,Sales!$E:$E,$A448,Sales!$B:$B,"&lt;&gt;Return"))</f>
        <v/>
      </c>
      <c r="F448" s="155" t="str">
        <f>IF($A448="","",SUMIF(Sales!$E:$E,$A448,Sales!$L:$L))</f>
        <v/>
      </c>
      <c r="G448" s="155" t="str">
        <f>IF($A448="","",SUMIF(Sales!$E:$E,$A448,Sales!$P:$P))</f>
        <v/>
      </c>
      <c r="H448" s="156" t="str">
        <f t="array" ref="H448">IF($A448="","",IFERROR(INDEX(Orders!$O$5:$O$1004,MATCH($A448,Orders!$N$5:$N$1004,0)),""))</f>
        <v/>
      </c>
      <c r="I448" s="156" t="str">
        <f t="array" ref="I448">IF($A448="","",IFERROR(INDEX(Orders!$P$5:$P$1004,MATCH($A448,Orders!$N$5:$N$1004,0)),""))</f>
        <v/>
      </c>
      <c r="J448" s="157" t="str">
        <f t="shared" si="1"/>
        <v/>
      </c>
      <c r="K448" s="153" t="str">
        <f t="array" ref="K448">IF($A448="","",IFERROR(INDEX(Sales!$M:$M,MATCH($A448,Sales!$E:$E,0)),""))</f>
        <v/>
      </c>
      <c r="L448" s="158" t="str">
        <f t="shared" si="2"/>
        <v/>
      </c>
      <c r="N448" s="49" t="str">
        <f t="array" ref="N448">IFERROR(INDEX(Sales!$E$7:$E$1506,MATCH(ROW()-4,Sales!$V$7:$V$1506,0)),"")</f>
        <v/>
      </c>
      <c r="O448" s="67"/>
      <c r="P448" s="67"/>
    </row>
    <row r="449" ht="15.75" customHeight="1">
      <c r="A449" s="151" t="str">
        <f t="array" ref="A449">IFERROR(INDEX(Sales!$E$7:$E$1506,MATCH(ROW()-4,Sales!$W$7:$W$1506,0)),"")</f>
        <v/>
      </c>
      <c r="B449" s="152" t="str">
        <f t="array" ref="B449">IF($A449="","",IFERROR(INDEX(Sales!$A:$A,MATCH($A449,Sales!$E:$E,0)),""))</f>
        <v/>
      </c>
      <c r="C449" s="153" t="str">
        <f t="array" ref="C449">IF($A449="","",IFERROR(INDEX(Sales!$D:$D,MATCH($A449,Sales!$E:$E,0)),""))</f>
        <v/>
      </c>
      <c r="D449" s="153" t="str">
        <f t="array" ref="D449">IF($A449="","",IFERROR(INDEX(Sales!$C:$C,MATCH($A449,Sales!$E:$E,0)),""))</f>
        <v/>
      </c>
      <c r="E449" s="154" t="str">
        <f>IF($A449="","",SUMIFS(Sales!$H:$H,Sales!$E:$E,$A449,Sales!$B:$B,"&lt;&gt;Return"))</f>
        <v/>
      </c>
      <c r="F449" s="155" t="str">
        <f>IF($A449="","",SUMIF(Sales!$E:$E,$A449,Sales!$L:$L))</f>
        <v/>
      </c>
      <c r="G449" s="155" t="str">
        <f>IF($A449="","",SUMIF(Sales!$E:$E,$A449,Sales!$P:$P))</f>
        <v/>
      </c>
      <c r="H449" s="156" t="str">
        <f t="array" ref="H449">IF($A449="","",IFERROR(INDEX(Orders!$O$5:$O$1004,MATCH($A449,Orders!$N$5:$N$1004,0)),""))</f>
        <v/>
      </c>
      <c r="I449" s="156" t="str">
        <f t="array" ref="I449">IF($A449="","",IFERROR(INDEX(Orders!$P$5:$P$1004,MATCH($A449,Orders!$N$5:$N$1004,0)),""))</f>
        <v/>
      </c>
      <c r="J449" s="157" t="str">
        <f t="shared" si="1"/>
        <v/>
      </c>
      <c r="K449" s="153" t="str">
        <f t="array" ref="K449">IF($A449="","",IFERROR(INDEX(Sales!$M:$M,MATCH($A449,Sales!$E:$E,0)),""))</f>
        <v/>
      </c>
      <c r="L449" s="158" t="str">
        <f t="shared" si="2"/>
        <v/>
      </c>
      <c r="N449" s="49" t="str">
        <f t="array" ref="N449">IFERROR(INDEX(Sales!$E$7:$E$1506,MATCH(ROW()-4,Sales!$V$7:$V$1506,0)),"")</f>
        <v/>
      </c>
      <c r="O449" s="67"/>
      <c r="P449" s="67"/>
    </row>
    <row r="450" ht="15.75" customHeight="1">
      <c r="A450" s="151" t="str">
        <f t="array" ref="A450">IFERROR(INDEX(Sales!$E$7:$E$1506,MATCH(ROW()-4,Sales!$W$7:$W$1506,0)),"")</f>
        <v/>
      </c>
      <c r="B450" s="152" t="str">
        <f t="array" ref="B450">IF($A450="","",IFERROR(INDEX(Sales!$A:$A,MATCH($A450,Sales!$E:$E,0)),""))</f>
        <v/>
      </c>
      <c r="C450" s="153" t="str">
        <f t="array" ref="C450">IF($A450="","",IFERROR(INDEX(Sales!$D:$D,MATCH($A450,Sales!$E:$E,0)),""))</f>
        <v/>
      </c>
      <c r="D450" s="153" t="str">
        <f t="array" ref="D450">IF($A450="","",IFERROR(INDEX(Sales!$C:$C,MATCH($A450,Sales!$E:$E,0)),""))</f>
        <v/>
      </c>
      <c r="E450" s="154" t="str">
        <f>IF($A450="","",SUMIFS(Sales!$H:$H,Sales!$E:$E,$A450,Sales!$B:$B,"&lt;&gt;Return"))</f>
        <v/>
      </c>
      <c r="F450" s="155" t="str">
        <f>IF($A450="","",SUMIF(Sales!$E:$E,$A450,Sales!$L:$L))</f>
        <v/>
      </c>
      <c r="G450" s="155" t="str">
        <f>IF($A450="","",SUMIF(Sales!$E:$E,$A450,Sales!$P:$P))</f>
        <v/>
      </c>
      <c r="H450" s="156" t="str">
        <f t="array" ref="H450">IF($A450="","",IFERROR(INDEX(Orders!$O$5:$O$1004,MATCH($A450,Orders!$N$5:$N$1004,0)),""))</f>
        <v/>
      </c>
      <c r="I450" s="156" t="str">
        <f t="array" ref="I450">IF($A450="","",IFERROR(INDEX(Orders!$P$5:$P$1004,MATCH($A450,Orders!$N$5:$N$1004,0)),""))</f>
        <v/>
      </c>
      <c r="J450" s="157" t="str">
        <f t="shared" si="1"/>
        <v/>
      </c>
      <c r="K450" s="153" t="str">
        <f t="array" ref="K450">IF($A450="","",IFERROR(INDEX(Sales!$M:$M,MATCH($A450,Sales!$E:$E,0)),""))</f>
        <v/>
      </c>
      <c r="L450" s="158" t="str">
        <f t="shared" si="2"/>
        <v/>
      </c>
      <c r="N450" s="49" t="str">
        <f t="array" ref="N450">IFERROR(INDEX(Sales!$E$7:$E$1506,MATCH(ROW()-4,Sales!$V$7:$V$1506,0)),"")</f>
        <v/>
      </c>
      <c r="O450" s="67"/>
      <c r="P450" s="67"/>
    </row>
    <row r="451" ht="15.75" customHeight="1">
      <c r="A451" s="151" t="str">
        <f t="array" ref="A451">IFERROR(INDEX(Sales!$E$7:$E$1506,MATCH(ROW()-4,Sales!$W$7:$W$1506,0)),"")</f>
        <v/>
      </c>
      <c r="B451" s="152" t="str">
        <f t="array" ref="B451">IF($A451="","",IFERROR(INDEX(Sales!$A:$A,MATCH($A451,Sales!$E:$E,0)),""))</f>
        <v/>
      </c>
      <c r="C451" s="153" t="str">
        <f t="array" ref="C451">IF($A451="","",IFERROR(INDEX(Sales!$D:$D,MATCH($A451,Sales!$E:$E,0)),""))</f>
        <v/>
      </c>
      <c r="D451" s="153" t="str">
        <f t="array" ref="D451">IF($A451="","",IFERROR(INDEX(Sales!$C:$C,MATCH($A451,Sales!$E:$E,0)),""))</f>
        <v/>
      </c>
      <c r="E451" s="154" t="str">
        <f>IF($A451="","",SUMIFS(Sales!$H:$H,Sales!$E:$E,$A451,Sales!$B:$B,"&lt;&gt;Return"))</f>
        <v/>
      </c>
      <c r="F451" s="155" t="str">
        <f>IF($A451="","",SUMIF(Sales!$E:$E,$A451,Sales!$L:$L))</f>
        <v/>
      </c>
      <c r="G451" s="155" t="str">
        <f>IF($A451="","",SUMIF(Sales!$E:$E,$A451,Sales!$P:$P))</f>
        <v/>
      </c>
      <c r="H451" s="156" t="str">
        <f t="array" ref="H451">IF($A451="","",IFERROR(INDEX(Orders!$O$5:$O$1004,MATCH($A451,Orders!$N$5:$N$1004,0)),""))</f>
        <v/>
      </c>
      <c r="I451" s="156" t="str">
        <f t="array" ref="I451">IF($A451="","",IFERROR(INDEX(Orders!$P$5:$P$1004,MATCH($A451,Orders!$N$5:$N$1004,0)),""))</f>
        <v/>
      </c>
      <c r="J451" s="157" t="str">
        <f t="shared" si="1"/>
        <v/>
      </c>
      <c r="K451" s="153" t="str">
        <f t="array" ref="K451">IF($A451="","",IFERROR(INDEX(Sales!$M:$M,MATCH($A451,Sales!$E:$E,0)),""))</f>
        <v/>
      </c>
      <c r="L451" s="158" t="str">
        <f t="shared" si="2"/>
        <v/>
      </c>
      <c r="N451" s="49" t="str">
        <f t="array" ref="N451">IFERROR(INDEX(Sales!$E$7:$E$1506,MATCH(ROW()-4,Sales!$V$7:$V$1506,0)),"")</f>
        <v/>
      </c>
      <c r="O451" s="67"/>
      <c r="P451" s="67"/>
    </row>
    <row r="452" ht="15.75" customHeight="1">
      <c r="A452" s="151" t="str">
        <f t="array" ref="A452">IFERROR(INDEX(Sales!$E$7:$E$1506,MATCH(ROW()-4,Sales!$W$7:$W$1506,0)),"")</f>
        <v/>
      </c>
      <c r="B452" s="152" t="str">
        <f t="array" ref="B452">IF($A452="","",IFERROR(INDEX(Sales!$A:$A,MATCH($A452,Sales!$E:$E,0)),""))</f>
        <v/>
      </c>
      <c r="C452" s="153" t="str">
        <f t="array" ref="C452">IF($A452="","",IFERROR(INDEX(Sales!$D:$D,MATCH($A452,Sales!$E:$E,0)),""))</f>
        <v/>
      </c>
      <c r="D452" s="153" t="str">
        <f t="array" ref="D452">IF($A452="","",IFERROR(INDEX(Sales!$C:$C,MATCH($A452,Sales!$E:$E,0)),""))</f>
        <v/>
      </c>
      <c r="E452" s="154" t="str">
        <f>IF($A452="","",SUMIFS(Sales!$H:$H,Sales!$E:$E,$A452,Sales!$B:$B,"&lt;&gt;Return"))</f>
        <v/>
      </c>
      <c r="F452" s="155" t="str">
        <f>IF($A452="","",SUMIF(Sales!$E:$E,$A452,Sales!$L:$L))</f>
        <v/>
      </c>
      <c r="G452" s="155" t="str">
        <f>IF($A452="","",SUMIF(Sales!$E:$E,$A452,Sales!$P:$P))</f>
        <v/>
      </c>
      <c r="H452" s="156" t="str">
        <f t="array" ref="H452">IF($A452="","",IFERROR(INDEX(Orders!$O$5:$O$1004,MATCH($A452,Orders!$N$5:$N$1004,0)),""))</f>
        <v/>
      </c>
      <c r="I452" s="156" t="str">
        <f t="array" ref="I452">IF($A452="","",IFERROR(INDEX(Orders!$P$5:$P$1004,MATCH($A452,Orders!$N$5:$N$1004,0)),""))</f>
        <v/>
      </c>
      <c r="J452" s="157" t="str">
        <f t="shared" si="1"/>
        <v/>
      </c>
      <c r="K452" s="153" t="str">
        <f t="array" ref="K452">IF($A452="","",IFERROR(INDEX(Sales!$M:$M,MATCH($A452,Sales!$E:$E,0)),""))</f>
        <v/>
      </c>
      <c r="L452" s="158" t="str">
        <f t="shared" si="2"/>
        <v/>
      </c>
      <c r="N452" s="49" t="str">
        <f t="array" ref="N452">IFERROR(INDEX(Sales!$E$7:$E$1506,MATCH(ROW()-4,Sales!$V$7:$V$1506,0)),"")</f>
        <v/>
      </c>
      <c r="O452" s="67"/>
      <c r="P452" s="67"/>
    </row>
    <row r="453" ht="15.75" customHeight="1">
      <c r="A453" s="151" t="str">
        <f t="array" ref="A453">IFERROR(INDEX(Sales!$E$7:$E$1506,MATCH(ROW()-4,Sales!$W$7:$W$1506,0)),"")</f>
        <v/>
      </c>
      <c r="B453" s="152" t="str">
        <f t="array" ref="B453">IF($A453="","",IFERROR(INDEX(Sales!$A:$A,MATCH($A453,Sales!$E:$E,0)),""))</f>
        <v/>
      </c>
      <c r="C453" s="153" t="str">
        <f t="array" ref="C453">IF($A453="","",IFERROR(INDEX(Sales!$D:$D,MATCH($A453,Sales!$E:$E,0)),""))</f>
        <v/>
      </c>
      <c r="D453" s="153" t="str">
        <f t="array" ref="D453">IF($A453="","",IFERROR(INDEX(Sales!$C:$C,MATCH($A453,Sales!$E:$E,0)),""))</f>
        <v/>
      </c>
      <c r="E453" s="154" t="str">
        <f>IF($A453="","",SUMIFS(Sales!$H:$H,Sales!$E:$E,$A453,Sales!$B:$B,"&lt;&gt;Return"))</f>
        <v/>
      </c>
      <c r="F453" s="155" t="str">
        <f>IF($A453="","",SUMIF(Sales!$E:$E,$A453,Sales!$L:$L))</f>
        <v/>
      </c>
      <c r="G453" s="155" t="str">
        <f>IF($A453="","",SUMIF(Sales!$E:$E,$A453,Sales!$P:$P))</f>
        <v/>
      </c>
      <c r="H453" s="156" t="str">
        <f t="array" ref="H453">IF($A453="","",IFERROR(INDEX(Orders!$O$5:$O$1004,MATCH($A453,Orders!$N$5:$N$1004,0)),""))</f>
        <v/>
      </c>
      <c r="I453" s="156" t="str">
        <f t="array" ref="I453">IF($A453="","",IFERROR(INDEX(Orders!$P$5:$P$1004,MATCH($A453,Orders!$N$5:$N$1004,0)),""))</f>
        <v/>
      </c>
      <c r="J453" s="157" t="str">
        <f t="shared" si="1"/>
        <v/>
      </c>
      <c r="K453" s="153" t="str">
        <f t="array" ref="K453">IF($A453="","",IFERROR(INDEX(Sales!$M:$M,MATCH($A453,Sales!$E:$E,0)),""))</f>
        <v/>
      </c>
      <c r="L453" s="158" t="str">
        <f t="shared" si="2"/>
        <v/>
      </c>
      <c r="N453" s="49" t="str">
        <f t="array" ref="N453">IFERROR(INDEX(Sales!$E$7:$E$1506,MATCH(ROW()-4,Sales!$V$7:$V$1506,0)),"")</f>
        <v/>
      </c>
      <c r="O453" s="67"/>
      <c r="P453" s="67"/>
    </row>
    <row r="454" ht="15.75" customHeight="1">
      <c r="A454" s="151" t="str">
        <f t="array" ref="A454">IFERROR(INDEX(Sales!$E$7:$E$1506,MATCH(ROW()-4,Sales!$W$7:$W$1506,0)),"")</f>
        <v/>
      </c>
      <c r="B454" s="152" t="str">
        <f t="array" ref="B454">IF($A454="","",IFERROR(INDEX(Sales!$A:$A,MATCH($A454,Sales!$E:$E,0)),""))</f>
        <v/>
      </c>
      <c r="C454" s="153" t="str">
        <f t="array" ref="C454">IF($A454="","",IFERROR(INDEX(Sales!$D:$D,MATCH($A454,Sales!$E:$E,0)),""))</f>
        <v/>
      </c>
      <c r="D454" s="153" t="str">
        <f t="array" ref="D454">IF($A454="","",IFERROR(INDEX(Sales!$C:$C,MATCH($A454,Sales!$E:$E,0)),""))</f>
        <v/>
      </c>
      <c r="E454" s="154" t="str">
        <f>IF($A454="","",SUMIFS(Sales!$H:$H,Sales!$E:$E,$A454,Sales!$B:$B,"&lt;&gt;Return"))</f>
        <v/>
      </c>
      <c r="F454" s="155" t="str">
        <f>IF($A454="","",SUMIF(Sales!$E:$E,$A454,Sales!$L:$L))</f>
        <v/>
      </c>
      <c r="G454" s="155" t="str">
        <f>IF($A454="","",SUMIF(Sales!$E:$E,$A454,Sales!$P:$P))</f>
        <v/>
      </c>
      <c r="H454" s="156" t="str">
        <f t="array" ref="H454">IF($A454="","",IFERROR(INDEX(Orders!$O$5:$O$1004,MATCH($A454,Orders!$N$5:$N$1004,0)),""))</f>
        <v/>
      </c>
      <c r="I454" s="156" t="str">
        <f t="array" ref="I454">IF($A454="","",IFERROR(INDEX(Orders!$P$5:$P$1004,MATCH($A454,Orders!$N$5:$N$1004,0)),""))</f>
        <v/>
      </c>
      <c r="J454" s="157" t="str">
        <f t="shared" si="1"/>
        <v/>
      </c>
      <c r="K454" s="153" t="str">
        <f t="array" ref="K454">IF($A454="","",IFERROR(INDEX(Sales!$M:$M,MATCH($A454,Sales!$E:$E,0)),""))</f>
        <v/>
      </c>
      <c r="L454" s="158" t="str">
        <f t="shared" si="2"/>
        <v/>
      </c>
      <c r="N454" s="49" t="str">
        <f t="array" ref="N454">IFERROR(INDEX(Sales!$E$7:$E$1506,MATCH(ROW()-4,Sales!$V$7:$V$1506,0)),"")</f>
        <v/>
      </c>
      <c r="O454" s="67"/>
      <c r="P454" s="67"/>
    </row>
    <row r="455" ht="15.75" customHeight="1">
      <c r="A455" s="151" t="str">
        <f t="array" ref="A455">IFERROR(INDEX(Sales!$E$7:$E$1506,MATCH(ROW()-4,Sales!$W$7:$W$1506,0)),"")</f>
        <v/>
      </c>
      <c r="B455" s="152" t="str">
        <f t="array" ref="B455">IF($A455="","",IFERROR(INDEX(Sales!$A:$A,MATCH($A455,Sales!$E:$E,0)),""))</f>
        <v/>
      </c>
      <c r="C455" s="153" t="str">
        <f t="array" ref="C455">IF($A455="","",IFERROR(INDEX(Sales!$D:$D,MATCH($A455,Sales!$E:$E,0)),""))</f>
        <v/>
      </c>
      <c r="D455" s="153" t="str">
        <f t="array" ref="D455">IF($A455="","",IFERROR(INDEX(Sales!$C:$C,MATCH($A455,Sales!$E:$E,0)),""))</f>
        <v/>
      </c>
      <c r="E455" s="154" t="str">
        <f>IF($A455="","",SUMIFS(Sales!$H:$H,Sales!$E:$E,$A455,Sales!$B:$B,"&lt;&gt;Return"))</f>
        <v/>
      </c>
      <c r="F455" s="155" t="str">
        <f>IF($A455="","",SUMIF(Sales!$E:$E,$A455,Sales!$L:$L))</f>
        <v/>
      </c>
      <c r="G455" s="155" t="str">
        <f>IF($A455="","",SUMIF(Sales!$E:$E,$A455,Sales!$P:$P))</f>
        <v/>
      </c>
      <c r="H455" s="156" t="str">
        <f t="array" ref="H455">IF($A455="","",IFERROR(INDEX(Orders!$O$5:$O$1004,MATCH($A455,Orders!$N$5:$N$1004,0)),""))</f>
        <v/>
      </c>
      <c r="I455" s="156" t="str">
        <f t="array" ref="I455">IF($A455="","",IFERROR(INDEX(Orders!$P$5:$P$1004,MATCH($A455,Orders!$N$5:$N$1004,0)),""))</f>
        <v/>
      </c>
      <c r="J455" s="157" t="str">
        <f t="shared" si="1"/>
        <v/>
      </c>
      <c r="K455" s="153" t="str">
        <f t="array" ref="K455">IF($A455="","",IFERROR(INDEX(Sales!$M:$M,MATCH($A455,Sales!$E:$E,0)),""))</f>
        <v/>
      </c>
      <c r="L455" s="158" t="str">
        <f t="shared" si="2"/>
        <v/>
      </c>
      <c r="N455" s="49" t="str">
        <f t="array" ref="N455">IFERROR(INDEX(Sales!$E$7:$E$1506,MATCH(ROW()-4,Sales!$V$7:$V$1506,0)),"")</f>
        <v/>
      </c>
      <c r="O455" s="67"/>
      <c r="P455" s="67"/>
    </row>
    <row r="456" ht="15.75" customHeight="1">
      <c r="A456" s="151" t="str">
        <f t="array" ref="A456">IFERROR(INDEX(Sales!$E$7:$E$1506,MATCH(ROW()-4,Sales!$W$7:$W$1506,0)),"")</f>
        <v/>
      </c>
      <c r="B456" s="152" t="str">
        <f t="array" ref="B456">IF($A456="","",IFERROR(INDEX(Sales!$A:$A,MATCH($A456,Sales!$E:$E,0)),""))</f>
        <v/>
      </c>
      <c r="C456" s="153" t="str">
        <f t="array" ref="C456">IF($A456="","",IFERROR(INDEX(Sales!$D:$D,MATCH($A456,Sales!$E:$E,0)),""))</f>
        <v/>
      </c>
      <c r="D456" s="153" t="str">
        <f t="array" ref="D456">IF($A456="","",IFERROR(INDEX(Sales!$C:$C,MATCH($A456,Sales!$E:$E,0)),""))</f>
        <v/>
      </c>
      <c r="E456" s="154" t="str">
        <f>IF($A456="","",SUMIFS(Sales!$H:$H,Sales!$E:$E,$A456,Sales!$B:$B,"&lt;&gt;Return"))</f>
        <v/>
      </c>
      <c r="F456" s="155" t="str">
        <f>IF($A456="","",SUMIF(Sales!$E:$E,$A456,Sales!$L:$L))</f>
        <v/>
      </c>
      <c r="G456" s="155" t="str">
        <f>IF($A456="","",SUMIF(Sales!$E:$E,$A456,Sales!$P:$P))</f>
        <v/>
      </c>
      <c r="H456" s="156" t="str">
        <f t="array" ref="H456">IF($A456="","",IFERROR(INDEX(Orders!$O$5:$O$1004,MATCH($A456,Orders!$N$5:$N$1004,0)),""))</f>
        <v/>
      </c>
      <c r="I456" s="156" t="str">
        <f t="array" ref="I456">IF($A456="","",IFERROR(INDEX(Orders!$P$5:$P$1004,MATCH($A456,Orders!$N$5:$N$1004,0)),""))</f>
        <v/>
      </c>
      <c r="J456" s="157" t="str">
        <f t="shared" si="1"/>
        <v/>
      </c>
      <c r="K456" s="153" t="str">
        <f t="array" ref="K456">IF($A456="","",IFERROR(INDEX(Sales!$M:$M,MATCH($A456,Sales!$E:$E,0)),""))</f>
        <v/>
      </c>
      <c r="L456" s="158" t="str">
        <f t="shared" si="2"/>
        <v/>
      </c>
      <c r="N456" s="49" t="str">
        <f t="array" ref="N456">IFERROR(INDEX(Sales!$E$7:$E$1506,MATCH(ROW()-4,Sales!$V$7:$V$1506,0)),"")</f>
        <v/>
      </c>
      <c r="O456" s="67"/>
      <c r="P456" s="67"/>
    </row>
    <row r="457" ht="15.75" customHeight="1">
      <c r="A457" s="151" t="str">
        <f t="array" ref="A457">IFERROR(INDEX(Sales!$E$7:$E$1506,MATCH(ROW()-4,Sales!$W$7:$W$1506,0)),"")</f>
        <v/>
      </c>
      <c r="B457" s="152" t="str">
        <f t="array" ref="B457">IF($A457="","",IFERROR(INDEX(Sales!$A:$A,MATCH($A457,Sales!$E:$E,0)),""))</f>
        <v/>
      </c>
      <c r="C457" s="153" t="str">
        <f t="array" ref="C457">IF($A457="","",IFERROR(INDEX(Sales!$D:$D,MATCH($A457,Sales!$E:$E,0)),""))</f>
        <v/>
      </c>
      <c r="D457" s="153" t="str">
        <f t="array" ref="D457">IF($A457="","",IFERROR(INDEX(Sales!$C:$C,MATCH($A457,Sales!$E:$E,0)),""))</f>
        <v/>
      </c>
      <c r="E457" s="154" t="str">
        <f>IF($A457="","",SUMIFS(Sales!$H:$H,Sales!$E:$E,$A457,Sales!$B:$B,"&lt;&gt;Return"))</f>
        <v/>
      </c>
      <c r="F457" s="155" t="str">
        <f>IF($A457="","",SUMIF(Sales!$E:$E,$A457,Sales!$L:$L))</f>
        <v/>
      </c>
      <c r="G457" s="155" t="str">
        <f>IF($A457="","",SUMIF(Sales!$E:$E,$A457,Sales!$P:$P))</f>
        <v/>
      </c>
      <c r="H457" s="156" t="str">
        <f t="array" ref="H457">IF($A457="","",IFERROR(INDEX(Orders!$O$5:$O$1004,MATCH($A457,Orders!$N$5:$N$1004,0)),""))</f>
        <v/>
      </c>
      <c r="I457" s="156" t="str">
        <f t="array" ref="I457">IF($A457="","",IFERROR(INDEX(Orders!$P$5:$P$1004,MATCH($A457,Orders!$N$5:$N$1004,0)),""))</f>
        <v/>
      </c>
      <c r="J457" s="157" t="str">
        <f t="shared" si="1"/>
        <v/>
      </c>
      <c r="K457" s="153" t="str">
        <f t="array" ref="K457">IF($A457="","",IFERROR(INDEX(Sales!$M:$M,MATCH($A457,Sales!$E:$E,0)),""))</f>
        <v/>
      </c>
      <c r="L457" s="158" t="str">
        <f t="shared" si="2"/>
        <v/>
      </c>
      <c r="N457" s="49" t="str">
        <f t="array" ref="N457">IFERROR(INDEX(Sales!$E$7:$E$1506,MATCH(ROW()-4,Sales!$V$7:$V$1506,0)),"")</f>
        <v/>
      </c>
      <c r="O457" s="67"/>
      <c r="P457" s="67"/>
    </row>
    <row r="458" ht="15.75" customHeight="1">
      <c r="A458" s="151" t="str">
        <f t="array" ref="A458">IFERROR(INDEX(Sales!$E$7:$E$1506,MATCH(ROW()-4,Sales!$W$7:$W$1506,0)),"")</f>
        <v/>
      </c>
      <c r="B458" s="152" t="str">
        <f t="array" ref="B458">IF($A458="","",IFERROR(INDEX(Sales!$A:$A,MATCH($A458,Sales!$E:$E,0)),""))</f>
        <v/>
      </c>
      <c r="C458" s="153" t="str">
        <f t="array" ref="C458">IF($A458="","",IFERROR(INDEX(Sales!$D:$D,MATCH($A458,Sales!$E:$E,0)),""))</f>
        <v/>
      </c>
      <c r="D458" s="153" t="str">
        <f t="array" ref="D458">IF($A458="","",IFERROR(INDEX(Sales!$C:$C,MATCH($A458,Sales!$E:$E,0)),""))</f>
        <v/>
      </c>
      <c r="E458" s="154" t="str">
        <f>IF($A458="","",SUMIFS(Sales!$H:$H,Sales!$E:$E,$A458,Sales!$B:$B,"&lt;&gt;Return"))</f>
        <v/>
      </c>
      <c r="F458" s="155" t="str">
        <f>IF($A458="","",SUMIF(Sales!$E:$E,$A458,Sales!$L:$L))</f>
        <v/>
      </c>
      <c r="G458" s="155" t="str">
        <f>IF($A458="","",SUMIF(Sales!$E:$E,$A458,Sales!$P:$P))</f>
        <v/>
      </c>
      <c r="H458" s="156" t="str">
        <f t="array" ref="H458">IF($A458="","",IFERROR(INDEX(Orders!$O$5:$O$1004,MATCH($A458,Orders!$N$5:$N$1004,0)),""))</f>
        <v/>
      </c>
      <c r="I458" s="156" t="str">
        <f t="array" ref="I458">IF($A458="","",IFERROR(INDEX(Orders!$P$5:$P$1004,MATCH($A458,Orders!$N$5:$N$1004,0)),""))</f>
        <v/>
      </c>
      <c r="J458" s="157" t="str">
        <f t="shared" si="1"/>
        <v/>
      </c>
      <c r="K458" s="153" t="str">
        <f t="array" ref="K458">IF($A458="","",IFERROR(INDEX(Sales!$M:$M,MATCH($A458,Sales!$E:$E,0)),""))</f>
        <v/>
      </c>
      <c r="L458" s="158" t="str">
        <f t="shared" si="2"/>
        <v/>
      </c>
      <c r="N458" s="49" t="str">
        <f t="array" ref="N458">IFERROR(INDEX(Sales!$E$7:$E$1506,MATCH(ROW()-4,Sales!$V$7:$V$1506,0)),"")</f>
        <v/>
      </c>
      <c r="O458" s="67"/>
      <c r="P458" s="67"/>
    </row>
    <row r="459" ht="15.75" customHeight="1">
      <c r="A459" s="151" t="str">
        <f t="array" ref="A459">IFERROR(INDEX(Sales!$E$7:$E$1506,MATCH(ROW()-4,Sales!$W$7:$W$1506,0)),"")</f>
        <v/>
      </c>
      <c r="B459" s="152" t="str">
        <f t="array" ref="B459">IF($A459="","",IFERROR(INDEX(Sales!$A:$A,MATCH($A459,Sales!$E:$E,0)),""))</f>
        <v/>
      </c>
      <c r="C459" s="153" t="str">
        <f t="array" ref="C459">IF($A459="","",IFERROR(INDEX(Sales!$D:$D,MATCH($A459,Sales!$E:$E,0)),""))</f>
        <v/>
      </c>
      <c r="D459" s="153" t="str">
        <f t="array" ref="D459">IF($A459="","",IFERROR(INDEX(Sales!$C:$C,MATCH($A459,Sales!$E:$E,0)),""))</f>
        <v/>
      </c>
      <c r="E459" s="154" t="str">
        <f>IF($A459="","",SUMIFS(Sales!$H:$H,Sales!$E:$E,$A459,Sales!$B:$B,"&lt;&gt;Return"))</f>
        <v/>
      </c>
      <c r="F459" s="155" t="str">
        <f>IF($A459="","",SUMIF(Sales!$E:$E,$A459,Sales!$L:$L))</f>
        <v/>
      </c>
      <c r="G459" s="155" t="str">
        <f>IF($A459="","",SUMIF(Sales!$E:$E,$A459,Sales!$P:$P))</f>
        <v/>
      </c>
      <c r="H459" s="156" t="str">
        <f t="array" ref="H459">IF($A459="","",IFERROR(INDEX(Orders!$O$5:$O$1004,MATCH($A459,Orders!$N$5:$N$1004,0)),""))</f>
        <v/>
      </c>
      <c r="I459" s="156" t="str">
        <f t="array" ref="I459">IF($A459="","",IFERROR(INDEX(Orders!$P$5:$P$1004,MATCH($A459,Orders!$N$5:$N$1004,0)),""))</f>
        <v/>
      </c>
      <c r="J459" s="157" t="str">
        <f t="shared" si="1"/>
        <v/>
      </c>
      <c r="K459" s="153" t="str">
        <f t="array" ref="K459">IF($A459="","",IFERROR(INDEX(Sales!$M:$M,MATCH($A459,Sales!$E:$E,0)),""))</f>
        <v/>
      </c>
      <c r="L459" s="158" t="str">
        <f t="shared" si="2"/>
        <v/>
      </c>
      <c r="N459" s="49" t="str">
        <f t="array" ref="N459">IFERROR(INDEX(Sales!$E$7:$E$1506,MATCH(ROW()-4,Sales!$V$7:$V$1506,0)),"")</f>
        <v/>
      </c>
      <c r="O459" s="67"/>
      <c r="P459" s="67"/>
    </row>
    <row r="460" ht="15.75" customHeight="1">
      <c r="A460" s="151" t="str">
        <f t="array" ref="A460">IFERROR(INDEX(Sales!$E$7:$E$1506,MATCH(ROW()-4,Sales!$W$7:$W$1506,0)),"")</f>
        <v/>
      </c>
      <c r="B460" s="152" t="str">
        <f t="array" ref="B460">IF($A460="","",IFERROR(INDEX(Sales!$A:$A,MATCH($A460,Sales!$E:$E,0)),""))</f>
        <v/>
      </c>
      <c r="C460" s="153" t="str">
        <f t="array" ref="C460">IF($A460="","",IFERROR(INDEX(Sales!$D:$D,MATCH($A460,Sales!$E:$E,0)),""))</f>
        <v/>
      </c>
      <c r="D460" s="153" t="str">
        <f t="array" ref="D460">IF($A460="","",IFERROR(INDEX(Sales!$C:$C,MATCH($A460,Sales!$E:$E,0)),""))</f>
        <v/>
      </c>
      <c r="E460" s="154" t="str">
        <f>IF($A460="","",SUMIFS(Sales!$H:$H,Sales!$E:$E,$A460,Sales!$B:$B,"&lt;&gt;Return"))</f>
        <v/>
      </c>
      <c r="F460" s="155" t="str">
        <f>IF($A460="","",SUMIF(Sales!$E:$E,$A460,Sales!$L:$L))</f>
        <v/>
      </c>
      <c r="G460" s="155" t="str">
        <f>IF($A460="","",SUMIF(Sales!$E:$E,$A460,Sales!$P:$P))</f>
        <v/>
      </c>
      <c r="H460" s="156" t="str">
        <f t="array" ref="H460">IF($A460="","",IFERROR(INDEX(Orders!$O$5:$O$1004,MATCH($A460,Orders!$N$5:$N$1004,0)),""))</f>
        <v/>
      </c>
      <c r="I460" s="156" t="str">
        <f t="array" ref="I460">IF($A460="","",IFERROR(INDEX(Orders!$P$5:$P$1004,MATCH($A460,Orders!$N$5:$N$1004,0)),""))</f>
        <v/>
      </c>
      <c r="J460" s="157" t="str">
        <f t="shared" si="1"/>
        <v/>
      </c>
      <c r="K460" s="153" t="str">
        <f t="array" ref="K460">IF($A460="","",IFERROR(INDEX(Sales!$M:$M,MATCH($A460,Sales!$E:$E,0)),""))</f>
        <v/>
      </c>
      <c r="L460" s="158" t="str">
        <f t="shared" si="2"/>
        <v/>
      </c>
      <c r="N460" s="49" t="str">
        <f t="array" ref="N460">IFERROR(INDEX(Sales!$E$7:$E$1506,MATCH(ROW()-4,Sales!$V$7:$V$1506,0)),"")</f>
        <v/>
      </c>
      <c r="O460" s="67"/>
      <c r="P460" s="67"/>
    </row>
    <row r="461" ht="15.75" customHeight="1">
      <c r="A461" s="151" t="str">
        <f t="array" ref="A461">IFERROR(INDEX(Sales!$E$7:$E$1506,MATCH(ROW()-4,Sales!$W$7:$W$1506,0)),"")</f>
        <v/>
      </c>
      <c r="B461" s="152" t="str">
        <f t="array" ref="B461">IF($A461="","",IFERROR(INDEX(Sales!$A:$A,MATCH($A461,Sales!$E:$E,0)),""))</f>
        <v/>
      </c>
      <c r="C461" s="153" t="str">
        <f t="array" ref="C461">IF($A461="","",IFERROR(INDEX(Sales!$D:$D,MATCH($A461,Sales!$E:$E,0)),""))</f>
        <v/>
      </c>
      <c r="D461" s="153" t="str">
        <f t="array" ref="D461">IF($A461="","",IFERROR(INDEX(Sales!$C:$C,MATCH($A461,Sales!$E:$E,0)),""))</f>
        <v/>
      </c>
      <c r="E461" s="154" t="str">
        <f>IF($A461="","",SUMIFS(Sales!$H:$H,Sales!$E:$E,$A461,Sales!$B:$B,"&lt;&gt;Return"))</f>
        <v/>
      </c>
      <c r="F461" s="155" t="str">
        <f>IF($A461="","",SUMIF(Sales!$E:$E,$A461,Sales!$L:$L))</f>
        <v/>
      </c>
      <c r="G461" s="155" t="str">
        <f>IF($A461="","",SUMIF(Sales!$E:$E,$A461,Sales!$P:$P))</f>
        <v/>
      </c>
      <c r="H461" s="156" t="str">
        <f t="array" ref="H461">IF($A461="","",IFERROR(INDEX(Orders!$O$5:$O$1004,MATCH($A461,Orders!$N$5:$N$1004,0)),""))</f>
        <v/>
      </c>
      <c r="I461" s="156" t="str">
        <f t="array" ref="I461">IF($A461="","",IFERROR(INDEX(Orders!$P$5:$P$1004,MATCH($A461,Orders!$N$5:$N$1004,0)),""))</f>
        <v/>
      </c>
      <c r="J461" s="157" t="str">
        <f t="shared" si="1"/>
        <v/>
      </c>
      <c r="K461" s="153" t="str">
        <f t="array" ref="K461">IF($A461="","",IFERROR(INDEX(Sales!$M:$M,MATCH($A461,Sales!$E:$E,0)),""))</f>
        <v/>
      </c>
      <c r="L461" s="158" t="str">
        <f t="shared" si="2"/>
        <v/>
      </c>
      <c r="N461" s="49" t="str">
        <f t="array" ref="N461">IFERROR(INDEX(Sales!$E$7:$E$1506,MATCH(ROW()-4,Sales!$V$7:$V$1506,0)),"")</f>
        <v/>
      </c>
      <c r="O461" s="67"/>
      <c r="P461" s="67"/>
    </row>
    <row r="462" ht="15.75" customHeight="1">
      <c r="A462" s="151" t="str">
        <f t="array" ref="A462">IFERROR(INDEX(Sales!$E$7:$E$1506,MATCH(ROW()-4,Sales!$W$7:$W$1506,0)),"")</f>
        <v/>
      </c>
      <c r="B462" s="152" t="str">
        <f t="array" ref="B462">IF($A462="","",IFERROR(INDEX(Sales!$A:$A,MATCH($A462,Sales!$E:$E,0)),""))</f>
        <v/>
      </c>
      <c r="C462" s="153" t="str">
        <f t="array" ref="C462">IF($A462="","",IFERROR(INDEX(Sales!$D:$D,MATCH($A462,Sales!$E:$E,0)),""))</f>
        <v/>
      </c>
      <c r="D462" s="153" t="str">
        <f t="array" ref="D462">IF($A462="","",IFERROR(INDEX(Sales!$C:$C,MATCH($A462,Sales!$E:$E,0)),""))</f>
        <v/>
      </c>
      <c r="E462" s="154" t="str">
        <f>IF($A462="","",SUMIFS(Sales!$H:$H,Sales!$E:$E,$A462,Sales!$B:$B,"&lt;&gt;Return"))</f>
        <v/>
      </c>
      <c r="F462" s="155" t="str">
        <f>IF($A462="","",SUMIF(Sales!$E:$E,$A462,Sales!$L:$L))</f>
        <v/>
      </c>
      <c r="G462" s="155" t="str">
        <f>IF($A462="","",SUMIF(Sales!$E:$E,$A462,Sales!$P:$P))</f>
        <v/>
      </c>
      <c r="H462" s="156" t="str">
        <f t="array" ref="H462">IF($A462="","",IFERROR(INDEX(Orders!$O$5:$O$1004,MATCH($A462,Orders!$N$5:$N$1004,0)),""))</f>
        <v/>
      </c>
      <c r="I462" s="156" t="str">
        <f t="array" ref="I462">IF($A462="","",IFERROR(INDEX(Orders!$P$5:$P$1004,MATCH($A462,Orders!$N$5:$N$1004,0)),""))</f>
        <v/>
      </c>
      <c r="J462" s="157" t="str">
        <f t="shared" si="1"/>
        <v/>
      </c>
      <c r="K462" s="153" t="str">
        <f t="array" ref="K462">IF($A462="","",IFERROR(INDEX(Sales!$M:$M,MATCH($A462,Sales!$E:$E,0)),""))</f>
        <v/>
      </c>
      <c r="L462" s="158" t="str">
        <f t="shared" si="2"/>
        <v/>
      </c>
      <c r="N462" s="49" t="str">
        <f t="array" ref="N462">IFERROR(INDEX(Sales!$E$7:$E$1506,MATCH(ROW()-4,Sales!$V$7:$V$1506,0)),"")</f>
        <v/>
      </c>
      <c r="O462" s="67"/>
      <c r="P462" s="67"/>
    </row>
    <row r="463" ht="15.75" customHeight="1">
      <c r="A463" s="151" t="str">
        <f t="array" ref="A463">IFERROR(INDEX(Sales!$E$7:$E$1506,MATCH(ROW()-4,Sales!$W$7:$W$1506,0)),"")</f>
        <v/>
      </c>
      <c r="B463" s="152" t="str">
        <f t="array" ref="B463">IF($A463="","",IFERROR(INDEX(Sales!$A:$A,MATCH($A463,Sales!$E:$E,0)),""))</f>
        <v/>
      </c>
      <c r="C463" s="153" t="str">
        <f t="array" ref="C463">IF($A463="","",IFERROR(INDEX(Sales!$D:$D,MATCH($A463,Sales!$E:$E,0)),""))</f>
        <v/>
      </c>
      <c r="D463" s="153" t="str">
        <f t="array" ref="D463">IF($A463="","",IFERROR(INDEX(Sales!$C:$C,MATCH($A463,Sales!$E:$E,0)),""))</f>
        <v/>
      </c>
      <c r="E463" s="154" t="str">
        <f>IF($A463="","",SUMIFS(Sales!$H:$H,Sales!$E:$E,$A463,Sales!$B:$B,"&lt;&gt;Return"))</f>
        <v/>
      </c>
      <c r="F463" s="155" t="str">
        <f>IF($A463="","",SUMIF(Sales!$E:$E,$A463,Sales!$L:$L))</f>
        <v/>
      </c>
      <c r="G463" s="155" t="str">
        <f>IF($A463="","",SUMIF(Sales!$E:$E,$A463,Sales!$P:$P))</f>
        <v/>
      </c>
      <c r="H463" s="156" t="str">
        <f t="array" ref="H463">IF($A463="","",IFERROR(INDEX(Orders!$O$5:$O$1004,MATCH($A463,Orders!$N$5:$N$1004,0)),""))</f>
        <v/>
      </c>
      <c r="I463" s="156" t="str">
        <f t="array" ref="I463">IF($A463="","",IFERROR(INDEX(Orders!$P$5:$P$1004,MATCH($A463,Orders!$N$5:$N$1004,0)),""))</f>
        <v/>
      </c>
      <c r="J463" s="157" t="str">
        <f t="shared" si="1"/>
        <v/>
      </c>
      <c r="K463" s="153" t="str">
        <f t="array" ref="K463">IF($A463="","",IFERROR(INDEX(Sales!$M:$M,MATCH($A463,Sales!$E:$E,0)),""))</f>
        <v/>
      </c>
      <c r="L463" s="158" t="str">
        <f t="shared" si="2"/>
        <v/>
      </c>
      <c r="N463" s="49" t="str">
        <f t="array" ref="N463">IFERROR(INDEX(Sales!$E$7:$E$1506,MATCH(ROW()-4,Sales!$V$7:$V$1506,0)),"")</f>
        <v/>
      </c>
      <c r="O463" s="67"/>
      <c r="P463" s="67"/>
    </row>
    <row r="464" ht="15.75" customHeight="1">
      <c r="A464" s="151" t="str">
        <f t="array" ref="A464">IFERROR(INDEX(Sales!$E$7:$E$1506,MATCH(ROW()-4,Sales!$W$7:$W$1506,0)),"")</f>
        <v/>
      </c>
      <c r="B464" s="152" t="str">
        <f t="array" ref="B464">IF($A464="","",IFERROR(INDEX(Sales!$A:$A,MATCH($A464,Sales!$E:$E,0)),""))</f>
        <v/>
      </c>
      <c r="C464" s="153" t="str">
        <f t="array" ref="C464">IF($A464="","",IFERROR(INDEX(Sales!$D:$D,MATCH($A464,Sales!$E:$E,0)),""))</f>
        <v/>
      </c>
      <c r="D464" s="153" t="str">
        <f t="array" ref="D464">IF($A464="","",IFERROR(INDEX(Sales!$C:$C,MATCH($A464,Sales!$E:$E,0)),""))</f>
        <v/>
      </c>
      <c r="E464" s="154" t="str">
        <f>IF($A464="","",SUMIFS(Sales!$H:$H,Sales!$E:$E,$A464,Sales!$B:$B,"&lt;&gt;Return"))</f>
        <v/>
      </c>
      <c r="F464" s="155" t="str">
        <f>IF($A464="","",SUMIF(Sales!$E:$E,$A464,Sales!$L:$L))</f>
        <v/>
      </c>
      <c r="G464" s="155" t="str">
        <f>IF($A464="","",SUMIF(Sales!$E:$E,$A464,Sales!$P:$P))</f>
        <v/>
      </c>
      <c r="H464" s="156" t="str">
        <f t="array" ref="H464">IF($A464="","",IFERROR(INDEX(Orders!$O$5:$O$1004,MATCH($A464,Orders!$N$5:$N$1004,0)),""))</f>
        <v/>
      </c>
      <c r="I464" s="156" t="str">
        <f t="array" ref="I464">IF($A464="","",IFERROR(INDEX(Orders!$P$5:$P$1004,MATCH($A464,Orders!$N$5:$N$1004,0)),""))</f>
        <v/>
      </c>
      <c r="J464" s="157" t="str">
        <f t="shared" si="1"/>
        <v/>
      </c>
      <c r="K464" s="153" t="str">
        <f t="array" ref="K464">IF($A464="","",IFERROR(INDEX(Sales!$M:$M,MATCH($A464,Sales!$E:$E,0)),""))</f>
        <v/>
      </c>
      <c r="L464" s="158" t="str">
        <f t="shared" si="2"/>
        <v/>
      </c>
      <c r="N464" s="49" t="str">
        <f t="array" ref="N464">IFERROR(INDEX(Sales!$E$7:$E$1506,MATCH(ROW()-4,Sales!$V$7:$V$1506,0)),"")</f>
        <v/>
      </c>
      <c r="O464" s="67"/>
      <c r="P464" s="67"/>
    </row>
    <row r="465" ht="15.75" customHeight="1">
      <c r="A465" s="151" t="str">
        <f t="array" ref="A465">IFERROR(INDEX(Sales!$E$7:$E$1506,MATCH(ROW()-4,Sales!$W$7:$W$1506,0)),"")</f>
        <v/>
      </c>
      <c r="B465" s="152" t="str">
        <f t="array" ref="B465">IF($A465="","",IFERROR(INDEX(Sales!$A:$A,MATCH($A465,Sales!$E:$E,0)),""))</f>
        <v/>
      </c>
      <c r="C465" s="153" t="str">
        <f t="array" ref="C465">IF($A465="","",IFERROR(INDEX(Sales!$D:$D,MATCH($A465,Sales!$E:$E,0)),""))</f>
        <v/>
      </c>
      <c r="D465" s="153" t="str">
        <f t="array" ref="D465">IF($A465="","",IFERROR(INDEX(Sales!$C:$C,MATCH($A465,Sales!$E:$E,0)),""))</f>
        <v/>
      </c>
      <c r="E465" s="154" t="str">
        <f>IF($A465="","",SUMIFS(Sales!$H:$H,Sales!$E:$E,$A465,Sales!$B:$B,"&lt;&gt;Return"))</f>
        <v/>
      </c>
      <c r="F465" s="155" t="str">
        <f>IF($A465="","",SUMIF(Sales!$E:$E,$A465,Sales!$L:$L))</f>
        <v/>
      </c>
      <c r="G465" s="155" t="str">
        <f>IF($A465="","",SUMIF(Sales!$E:$E,$A465,Sales!$P:$P))</f>
        <v/>
      </c>
      <c r="H465" s="156" t="str">
        <f t="array" ref="H465">IF($A465="","",IFERROR(INDEX(Orders!$O$5:$O$1004,MATCH($A465,Orders!$N$5:$N$1004,0)),""))</f>
        <v/>
      </c>
      <c r="I465" s="156" t="str">
        <f t="array" ref="I465">IF($A465="","",IFERROR(INDEX(Orders!$P$5:$P$1004,MATCH($A465,Orders!$N$5:$N$1004,0)),""))</f>
        <v/>
      </c>
      <c r="J465" s="157" t="str">
        <f t="shared" si="1"/>
        <v/>
      </c>
      <c r="K465" s="153" t="str">
        <f t="array" ref="K465">IF($A465="","",IFERROR(INDEX(Sales!$M:$M,MATCH($A465,Sales!$E:$E,0)),""))</f>
        <v/>
      </c>
      <c r="L465" s="158" t="str">
        <f t="shared" si="2"/>
        <v/>
      </c>
      <c r="N465" s="49" t="str">
        <f t="array" ref="N465">IFERROR(INDEX(Sales!$E$7:$E$1506,MATCH(ROW()-4,Sales!$V$7:$V$1506,0)),"")</f>
        <v/>
      </c>
      <c r="O465" s="67"/>
      <c r="P465" s="67"/>
    </row>
    <row r="466" ht="15.75" customHeight="1">
      <c r="A466" s="151" t="str">
        <f t="array" ref="A466">IFERROR(INDEX(Sales!$E$7:$E$1506,MATCH(ROW()-4,Sales!$W$7:$W$1506,0)),"")</f>
        <v/>
      </c>
      <c r="B466" s="152" t="str">
        <f t="array" ref="B466">IF($A466="","",IFERROR(INDEX(Sales!$A:$A,MATCH($A466,Sales!$E:$E,0)),""))</f>
        <v/>
      </c>
      <c r="C466" s="153" t="str">
        <f t="array" ref="C466">IF($A466="","",IFERROR(INDEX(Sales!$D:$D,MATCH($A466,Sales!$E:$E,0)),""))</f>
        <v/>
      </c>
      <c r="D466" s="153" t="str">
        <f t="array" ref="D466">IF($A466="","",IFERROR(INDEX(Sales!$C:$C,MATCH($A466,Sales!$E:$E,0)),""))</f>
        <v/>
      </c>
      <c r="E466" s="154" t="str">
        <f>IF($A466="","",SUMIFS(Sales!$H:$H,Sales!$E:$E,$A466,Sales!$B:$B,"&lt;&gt;Return"))</f>
        <v/>
      </c>
      <c r="F466" s="155" t="str">
        <f>IF($A466="","",SUMIF(Sales!$E:$E,$A466,Sales!$L:$L))</f>
        <v/>
      </c>
      <c r="G466" s="155" t="str">
        <f>IF($A466="","",SUMIF(Sales!$E:$E,$A466,Sales!$P:$P))</f>
        <v/>
      </c>
      <c r="H466" s="156" t="str">
        <f t="array" ref="H466">IF($A466="","",IFERROR(INDEX(Orders!$O$5:$O$1004,MATCH($A466,Orders!$N$5:$N$1004,0)),""))</f>
        <v/>
      </c>
      <c r="I466" s="156" t="str">
        <f t="array" ref="I466">IF($A466="","",IFERROR(INDEX(Orders!$P$5:$P$1004,MATCH($A466,Orders!$N$5:$N$1004,0)),""))</f>
        <v/>
      </c>
      <c r="J466" s="157" t="str">
        <f t="shared" si="1"/>
        <v/>
      </c>
      <c r="K466" s="153" t="str">
        <f t="array" ref="K466">IF($A466="","",IFERROR(INDEX(Sales!$M:$M,MATCH($A466,Sales!$E:$E,0)),""))</f>
        <v/>
      </c>
      <c r="L466" s="158" t="str">
        <f t="shared" si="2"/>
        <v/>
      </c>
      <c r="N466" s="49" t="str">
        <f t="array" ref="N466">IFERROR(INDEX(Sales!$E$7:$E$1506,MATCH(ROW()-4,Sales!$V$7:$V$1506,0)),"")</f>
        <v/>
      </c>
      <c r="O466" s="67"/>
      <c r="P466" s="67"/>
    </row>
    <row r="467" ht="15.75" customHeight="1">
      <c r="A467" s="151" t="str">
        <f t="array" ref="A467">IFERROR(INDEX(Sales!$E$7:$E$1506,MATCH(ROW()-4,Sales!$W$7:$W$1506,0)),"")</f>
        <v/>
      </c>
      <c r="B467" s="152" t="str">
        <f t="array" ref="B467">IF($A467="","",IFERROR(INDEX(Sales!$A:$A,MATCH($A467,Sales!$E:$E,0)),""))</f>
        <v/>
      </c>
      <c r="C467" s="153" t="str">
        <f t="array" ref="C467">IF($A467="","",IFERROR(INDEX(Sales!$D:$D,MATCH($A467,Sales!$E:$E,0)),""))</f>
        <v/>
      </c>
      <c r="D467" s="153" t="str">
        <f t="array" ref="D467">IF($A467="","",IFERROR(INDEX(Sales!$C:$C,MATCH($A467,Sales!$E:$E,0)),""))</f>
        <v/>
      </c>
      <c r="E467" s="154" t="str">
        <f>IF($A467="","",SUMIFS(Sales!$H:$H,Sales!$E:$E,$A467,Sales!$B:$B,"&lt;&gt;Return"))</f>
        <v/>
      </c>
      <c r="F467" s="155" t="str">
        <f>IF($A467="","",SUMIF(Sales!$E:$E,$A467,Sales!$L:$L))</f>
        <v/>
      </c>
      <c r="G467" s="155" t="str">
        <f>IF($A467="","",SUMIF(Sales!$E:$E,$A467,Sales!$P:$P))</f>
        <v/>
      </c>
      <c r="H467" s="156" t="str">
        <f t="array" ref="H467">IF($A467="","",IFERROR(INDEX(Orders!$O$5:$O$1004,MATCH($A467,Orders!$N$5:$N$1004,0)),""))</f>
        <v/>
      </c>
      <c r="I467" s="156" t="str">
        <f t="array" ref="I467">IF($A467="","",IFERROR(INDEX(Orders!$P$5:$P$1004,MATCH($A467,Orders!$N$5:$N$1004,0)),""))</f>
        <v/>
      </c>
      <c r="J467" s="157" t="str">
        <f t="shared" si="1"/>
        <v/>
      </c>
      <c r="K467" s="153" t="str">
        <f t="array" ref="K467">IF($A467="","",IFERROR(INDEX(Sales!$M:$M,MATCH($A467,Sales!$E:$E,0)),""))</f>
        <v/>
      </c>
      <c r="L467" s="158" t="str">
        <f t="shared" si="2"/>
        <v/>
      </c>
      <c r="N467" s="49" t="str">
        <f t="array" ref="N467">IFERROR(INDEX(Sales!$E$7:$E$1506,MATCH(ROW()-4,Sales!$V$7:$V$1506,0)),"")</f>
        <v/>
      </c>
      <c r="O467" s="67"/>
      <c r="P467" s="67"/>
    </row>
    <row r="468" ht="15.75" customHeight="1">
      <c r="A468" s="151" t="str">
        <f t="array" ref="A468">IFERROR(INDEX(Sales!$E$7:$E$1506,MATCH(ROW()-4,Sales!$W$7:$W$1506,0)),"")</f>
        <v/>
      </c>
      <c r="B468" s="152" t="str">
        <f t="array" ref="B468">IF($A468="","",IFERROR(INDEX(Sales!$A:$A,MATCH($A468,Sales!$E:$E,0)),""))</f>
        <v/>
      </c>
      <c r="C468" s="153" t="str">
        <f t="array" ref="C468">IF($A468="","",IFERROR(INDEX(Sales!$D:$D,MATCH($A468,Sales!$E:$E,0)),""))</f>
        <v/>
      </c>
      <c r="D468" s="153" t="str">
        <f t="array" ref="D468">IF($A468="","",IFERROR(INDEX(Sales!$C:$C,MATCH($A468,Sales!$E:$E,0)),""))</f>
        <v/>
      </c>
      <c r="E468" s="154" t="str">
        <f>IF($A468="","",SUMIFS(Sales!$H:$H,Sales!$E:$E,$A468,Sales!$B:$B,"&lt;&gt;Return"))</f>
        <v/>
      </c>
      <c r="F468" s="155" t="str">
        <f>IF($A468="","",SUMIF(Sales!$E:$E,$A468,Sales!$L:$L))</f>
        <v/>
      </c>
      <c r="G468" s="155" t="str">
        <f>IF($A468="","",SUMIF(Sales!$E:$E,$A468,Sales!$P:$P))</f>
        <v/>
      </c>
      <c r="H468" s="156" t="str">
        <f t="array" ref="H468">IF($A468="","",IFERROR(INDEX(Orders!$O$5:$O$1004,MATCH($A468,Orders!$N$5:$N$1004,0)),""))</f>
        <v/>
      </c>
      <c r="I468" s="156" t="str">
        <f t="array" ref="I468">IF($A468="","",IFERROR(INDEX(Orders!$P$5:$P$1004,MATCH($A468,Orders!$N$5:$N$1004,0)),""))</f>
        <v/>
      </c>
      <c r="J468" s="157" t="str">
        <f t="shared" si="1"/>
        <v/>
      </c>
      <c r="K468" s="153" t="str">
        <f t="array" ref="K468">IF($A468="","",IFERROR(INDEX(Sales!$M:$M,MATCH($A468,Sales!$E:$E,0)),""))</f>
        <v/>
      </c>
      <c r="L468" s="158" t="str">
        <f t="shared" si="2"/>
        <v/>
      </c>
      <c r="N468" s="49" t="str">
        <f t="array" ref="N468">IFERROR(INDEX(Sales!$E$7:$E$1506,MATCH(ROW()-4,Sales!$V$7:$V$1506,0)),"")</f>
        <v/>
      </c>
      <c r="O468" s="67"/>
      <c r="P468" s="67"/>
    </row>
    <row r="469" ht="15.75" customHeight="1">
      <c r="A469" s="151" t="str">
        <f t="array" ref="A469">IFERROR(INDEX(Sales!$E$7:$E$1506,MATCH(ROW()-4,Sales!$W$7:$W$1506,0)),"")</f>
        <v/>
      </c>
      <c r="B469" s="152" t="str">
        <f t="array" ref="B469">IF($A469="","",IFERROR(INDEX(Sales!$A:$A,MATCH($A469,Sales!$E:$E,0)),""))</f>
        <v/>
      </c>
      <c r="C469" s="153" t="str">
        <f t="array" ref="C469">IF($A469="","",IFERROR(INDEX(Sales!$D:$D,MATCH($A469,Sales!$E:$E,0)),""))</f>
        <v/>
      </c>
      <c r="D469" s="153" t="str">
        <f t="array" ref="D469">IF($A469="","",IFERROR(INDEX(Sales!$C:$C,MATCH($A469,Sales!$E:$E,0)),""))</f>
        <v/>
      </c>
      <c r="E469" s="154" t="str">
        <f>IF($A469="","",SUMIFS(Sales!$H:$H,Sales!$E:$E,$A469,Sales!$B:$B,"&lt;&gt;Return"))</f>
        <v/>
      </c>
      <c r="F469" s="155" t="str">
        <f>IF($A469="","",SUMIF(Sales!$E:$E,$A469,Sales!$L:$L))</f>
        <v/>
      </c>
      <c r="G469" s="155" t="str">
        <f>IF($A469="","",SUMIF(Sales!$E:$E,$A469,Sales!$P:$P))</f>
        <v/>
      </c>
      <c r="H469" s="156" t="str">
        <f t="array" ref="H469">IF($A469="","",IFERROR(INDEX(Orders!$O$5:$O$1004,MATCH($A469,Orders!$N$5:$N$1004,0)),""))</f>
        <v/>
      </c>
      <c r="I469" s="156" t="str">
        <f t="array" ref="I469">IF($A469="","",IFERROR(INDEX(Orders!$P$5:$P$1004,MATCH($A469,Orders!$N$5:$N$1004,0)),""))</f>
        <v/>
      </c>
      <c r="J469" s="157" t="str">
        <f t="shared" si="1"/>
        <v/>
      </c>
      <c r="K469" s="153" t="str">
        <f t="array" ref="K469">IF($A469="","",IFERROR(INDEX(Sales!$M:$M,MATCH($A469,Sales!$E:$E,0)),""))</f>
        <v/>
      </c>
      <c r="L469" s="158" t="str">
        <f t="shared" si="2"/>
        <v/>
      </c>
      <c r="N469" s="49" t="str">
        <f t="array" ref="N469">IFERROR(INDEX(Sales!$E$7:$E$1506,MATCH(ROW()-4,Sales!$V$7:$V$1506,0)),"")</f>
        <v/>
      </c>
      <c r="O469" s="67"/>
      <c r="P469" s="67"/>
    </row>
    <row r="470" ht="15.75" customHeight="1">
      <c r="A470" s="151" t="str">
        <f t="array" ref="A470">IFERROR(INDEX(Sales!$E$7:$E$1506,MATCH(ROW()-4,Sales!$W$7:$W$1506,0)),"")</f>
        <v/>
      </c>
      <c r="B470" s="152" t="str">
        <f t="array" ref="B470">IF($A470="","",IFERROR(INDEX(Sales!$A:$A,MATCH($A470,Sales!$E:$E,0)),""))</f>
        <v/>
      </c>
      <c r="C470" s="153" t="str">
        <f t="array" ref="C470">IF($A470="","",IFERROR(INDEX(Sales!$D:$D,MATCH($A470,Sales!$E:$E,0)),""))</f>
        <v/>
      </c>
      <c r="D470" s="153" t="str">
        <f t="array" ref="D470">IF($A470="","",IFERROR(INDEX(Sales!$C:$C,MATCH($A470,Sales!$E:$E,0)),""))</f>
        <v/>
      </c>
      <c r="E470" s="154" t="str">
        <f>IF($A470="","",SUMIFS(Sales!$H:$H,Sales!$E:$E,$A470,Sales!$B:$B,"&lt;&gt;Return"))</f>
        <v/>
      </c>
      <c r="F470" s="155" t="str">
        <f>IF($A470="","",SUMIF(Sales!$E:$E,$A470,Sales!$L:$L))</f>
        <v/>
      </c>
      <c r="G470" s="155" t="str">
        <f>IF($A470="","",SUMIF(Sales!$E:$E,$A470,Sales!$P:$P))</f>
        <v/>
      </c>
      <c r="H470" s="156" t="str">
        <f t="array" ref="H470">IF($A470="","",IFERROR(INDEX(Orders!$O$5:$O$1004,MATCH($A470,Orders!$N$5:$N$1004,0)),""))</f>
        <v/>
      </c>
      <c r="I470" s="156" t="str">
        <f t="array" ref="I470">IF($A470="","",IFERROR(INDEX(Orders!$P$5:$P$1004,MATCH($A470,Orders!$N$5:$N$1004,0)),""))</f>
        <v/>
      </c>
      <c r="J470" s="157" t="str">
        <f t="shared" si="1"/>
        <v/>
      </c>
      <c r="K470" s="153" t="str">
        <f t="array" ref="K470">IF($A470="","",IFERROR(INDEX(Sales!$M:$M,MATCH($A470,Sales!$E:$E,0)),""))</f>
        <v/>
      </c>
      <c r="L470" s="158" t="str">
        <f t="shared" si="2"/>
        <v/>
      </c>
      <c r="N470" s="49" t="str">
        <f t="array" ref="N470">IFERROR(INDEX(Sales!$E$7:$E$1506,MATCH(ROW()-4,Sales!$V$7:$V$1506,0)),"")</f>
        <v/>
      </c>
      <c r="O470" s="67"/>
      <c r="P470" s="67"/>
    </row>
    <row r="471" ht="15.75" customHeight="1">
      <c r="A471" s="151" t="str">
        <f t="array" ref="A471">IFERROR(INDEX(Sales!$E$7:$E$1506,MATCH(ROW()-4,Sales!$W$7:$W$1506,0)),"")</f>
        <v/>
      </c>
      <c r="B471" s="152" t="str">
        <f t="array" ref="B471">IF($A471="","",IFERROR(INDEX(Sales!$A:$A,MATCH($A471,Sales!$E:$E,0)),""))</f>
        <v/>
      </c>
      <c r="C471" s="153" t="str">
        <f t="array" ref="C471">IF($A471="","",IFERROR(INDEX(Sales!$D:$D,MATCH($A471,Sales!$E:$E,0)),""))</f>
        <v/>
      </c>
      <c r="D471" s="153" t="str">
        <f t="array" ref="D471">IF($A471="","",IFERROR(INDEX(Sales!$C:$C,MATCH($A471,Sales!$E:$E,0)),""))</f>
        <v/>
      </c>
      <c r="E471" s="154" t="str">
        <f>IF($A471="","",SUMIFS(Sales!$H:$H,Sales!$E:$E,$A471,Sales!$B:$B,"&lt;&gt;Return"))</f>
        <v/>
      </c>
      <c r="F471" s="155" t="str">
        <f>IF($A471="","",SUMIF(Sales!$E:$E,$A471,Sales!$L:$L))</f>
        <v/>
      </c>
      <c r="G471" s="155" t="str">
        <f>IF($A471="","",SUMIF(Sales!$E:$E,$A471,Sales!$P:$P))</f>
        <v/>
      </c>
      <c r="H471" s="156" t="str">
        <f t="array" ref="H471">IF($A471="","",IFERROR(INDEX(Orders!$O$5:$O$1004,MATCH($A471,Orders!$N$5:$N$1004,0)),""))</f>
        <v/>
      </c>
      <c r="I471" s="156" t="str">
        <f t="array" ref="I471">IF($A471="","",IFERROR(INDEX(Orders!$P$5:$P$1004,MATCH($A471,Orders!$N$5:$N$1004,0)),""))</f>
        <v/>
      </c>
      <c r="J471" s="157" t="str">
        <f t="shared" si="1"/>
        <v/>
      </c>
      <c r="K471" s="153" t="str">
        <f t="array" ref="K471">IF($A471="","",IFERROR(INDEX(Sales!$M:$M,MATCH($A471,Sales!$E:$E,0)),""))</f>
        <v/>
      </c>
      <c r="L471" s="158" t="str">
        <f t="shared" si="2"/>
        <v/>
      </c>
      <c r="N471" s="49" t="str">
        <f t="array" ref="N471">IFERROR(INDEX(Sales!$E$7:$E$1506,MATCH(ROW()-4,Sales!$V$7:$V$1506,0)),"")</f>
        <v/>
      </c>
      <c r="O471" s="67"/>
      <c r="P471" s="67"/>
    </row>
    <row r="472" ht="15.75" customHeight="1">
      <c r="A472" s="151" t="str">
        <f t="array" ref="A472">IFERROR(INDEX(Sales!$E$7:$E$1506,MATCH(ROW()-4,Sales!$W$7:$W$1506,0)),"")</f>
        <v/>
      </c>
      <c r="B472" s="152" t="str">
        <f t="array" ref="B472">IF($A472="","",IFERROR(INDEX(Sales!$A:$A,MATCH($A472,Sales!$E:$E,0)),""))</f>
        <v/>
      </c>
      <c r="C472" s="153" t="str">
        <f t="array" ref="C472">IF($A472="","",IFERROR(INDEX(Sales!$D:$D,MATCH($A472,Sales!$E:$E,0)),""))</f>
        <v/>
      </c>
      <c r="D472" s="153" t="str">
        <f t="array" ref="D472">IF($A472="","",IFERROR(INDEX(Sales!$C:$C,MATCH($A472,Sales!$E:$E,0)),""))</f>
        <v/>
      </c>
      <c r="E472" s="154" t="str">
        <f>IF($A472="","",SUMIFS(Sales!$H:$H,Sales!$E:$E,$A472,Sales!$B:$B,"&lt;&gt;Return"))</f>
        <v/>
      </c>
      <c r="F472" s="155" t="str">
        <f>IF($A472="","",SUMIF(Sales!$E:$E,$A472,Sales!$L:$L))</f>
        <v/>
      </c>
      <c r="G472" s="155" t="str">
        <f>IF($A472="","",SUMIF(Sales!$E:$E,$A472,Sales!$P:$P))</f>
        <v/>
      </c>
      <c r="H472" s="156" t="str">
        <f t="array" ref="H472">IF($A472="","",IFERROR(INDEX(Orders!$O$5:$O$1004,MATCH($A472,Orders!$N$5:$N$1004,0)),""))</f>
        <v/>
      </c>
      <c r="I472" s="156" t="str">
        <f t="array" ref="I472">IF($A472="","",IFERROR(INDEX(Orders!$P$5:$P$1004,MATCH($A472,Orders!$N$5:$N$1004,0)),""))</f>
        <v/>
      </c>
      <c r="J472" s="157" t="str">
        <f t="shared" si="1"/>
        <v/>
      </c>
      <c r="K472" s="153" t="str">
        <f t="array" ref="K472">IF($A472="","",IFERROR(INDEX(Sales!$M:$M,MATCH($A472,Sales!$E:$E,0)),""))</f>
        <v/>
      </c>
      <c r="L472" s="158" t="str">
        <f t="shared" si="2"/>
        <v/>
      </c>
      <c r="N472" s="49" t="str">
        <f t="array" ref="N472">IFERROR(INDEX(Sales!$E$7:$E$1506,MATCH(ROW()-4,Sales!$V$7:$V$1506,0)),"")</f>
        <v/>
      </c>
      <c r="O472" s="67"/>
      <c r="P472" s="67"/>
    </row>
    <row r="473" ht="15.75" customHeight="1">
      <c r="A473" s="151" t="str">
        <f t="array" ref="A473">IFERROR(INDEX(Sales!$E$7:$E$1506,MATCH(ROW()-4,Sales!$W$7:$W$1506,0)),"")</f>
        <v/>
      </c>
      <c r="B473" s="152" t="str">
        <f t="array" ref="B473">IF($A473="","",IFERROR(INDEX(Sales!$A:$A,MATCH($A473,Sales!$E:$E,0)),""))</f>
        <v/>
      </c>
      <c r="C473" s="153" t="str">
        <f t="array" ref="C473">IF($A473="","",IFERROR(INDEX(Sales!$D:$D,MATCH($A473,Sales!$E:$E,0)),""))</f>
        <v/>
      </c>
      <c r="D473" s="153" t="str">
        <f t="array" ref="D473">IF($A473="","",IFERROR(INDEX(Sales!$C:$C,MATCH($A473,Sales!$E:$E,0)),""))</f>
        <v/>
      </c>
      <c r="E473" s="154" t="str">
        <f>IF($A473="","",SUMIFS(Sales!$H:$H,Sales!$E:$E,$A473,Sales!$B:$B,"&lt;&gt;Return"))</f>
        <v/>
      </c>
      <c r="F473" s="155" t="str">
        <f>IF($A473="","",SUMIF(Sales!$E:$E,$A473,Sales!$L:$L))</f>
        <v/>
      </c>
      <c r="G473" s="155" t="str">
        <f>IF($A473="","",SUMIF(Sales!$E:$E,$A473,Sales!$P:$P))</f>
        <v/>
      </c>
      <c r="H473" s="156" t="str">
        <f t="array" ref="H473">IF($A473="","",IFERROR(INDEX(Orders!$O$5:$O$1004,MATCH($A473,Orders!$N$5:$N$1004,0)),""))</f>
        <v/>
      </c>
      <c r="I473" s="156" t="str">
        <f t="array" ref="I473">IF($A473="","",IFERROR(INDEX(Orders!$P$5:$P$1004,MATCH($A473,Orders!$N$5:$N$1004,0)),""))</f>
        <v/>
      </c>
      <c r="J473" s="157" t="str">
        <f t="shared" si="1"/>
        <v/>
      </c>
      <c r="K473" s="153" t="str">
        <f t="array" ref="K473">IF($A473="","",IFERROR(INDEX(Sales!$M:$M,MATCH($A473,Sales!$E:$E,0)),""))</f>
        <v/>
      </c>
      <c r="L473" s="158" t="str">
        <f t="shared" si="2"/>
        <v/>
      </c>
      <c r="N473" s="49" t="str">
        <f t="array" ref="N473">IFERROR(INDEX(Sales!$E$7:$E$1506,MATCH(ROW()-4,Sales!$V$7:$V$1506,0)),"")</f>
        <v/>
      </c>
      <c r="O473" s="67"/>
      <c r="P473" s="67"/>
    </row>
    <row r="474" ht="15.75" customHeight="1">
      <c r="A474" s="151" t="str">
        <f t="array" ref="A474">IFERROR(INDEX(Sales!$E$7:$E$1506,MATCH(ROW()-4,Sales!$W$7:$W$1506,0)),"")</f>
        <v/>
      </c>
      <c r="B474" s="152" t="str">
        <f t="array" ref="B474">IF($A474="","",IFERROR(INDEX(Sales!$A:$A,MATCH($A474,Sales!$E:$E,0)),""))</f>
        <v/>
      </c>
      <c r="C474" s="153" t="str">
        <f t="array" ref="C474">IF($A474="","",IFERROR(INDEX(Sales!$D:$D,MATCH($A474,Sales!$E:$E,0)),""))</f>
        <v/>
      </c>
      <c r="D474" s="153" t="str">
        <f t="array" ref="D474">IF($A474="","",IFERROR(INDEX(Sales!$C:$C,MATCH($A474,Sales!$E:$E,0)),""))</f>
        <v/>
      </c>
      <c r="E474" s="154" t="str">
        <f>IF($A474="","",SUMIFS(Sales!$H:$H,Sales!$E:$E,$A474,Sales!$B:$B,"&lt;&gt;Return"))</f>
        <v/>
      </c>
      <c r="F474" s="155" t="str">
        <f>IF($A474="","",SUMIF(Sales!$E:$E,$A474,Sales!$L:$L))</f>
        <v/>
      </c>
      <c r="G474" s="155" t="str">
        <f>IF($A474="","",SUMIF(Sales!$E:$E,$A474,Sales!$P:$P))</f>
        <v/>
      </c>
      <c r="H474" s="156" t="str">
        <f t="array" ref="H474">IF($A474="","",IFERROR(INDEX(Orders!$O$5:$O$1004,MATCH($A474,Orders!$N$5:$N$1004,0)),""))</f>
        <v/>
      </c>
      <c r="I474" s="156" t="str">
        <f t="array" ref="I474">IF($A474="","",IFERROR(INDEX(Orders!$P$5:$P$1004,MATCH($A474,Orders!$N$5:$N$1004,0)),""))</f>
        <v/>
      </c>
      <c r="J474" s="157" t="str">
        <f t="shared" si="1"/>
        <v/>
      </c>
      <c r="K474" s="153" t="str">
        <f t="array" ref="K474">IF($A474="","",IFERROR(INDEX(Sales!$M:$M,MATCH($A474,Sales!$E:$E,0)),""))</f>
        <v/>
      </c>
      <c r="L474" s="158" t="str">
        <f t="shared" si="2"/>
        <v/>
      </c>
      <c r="N474" s="49" t="str">
        <f t="array" ref="N474">IFERROR(INDEX(Sales!$E$7:$E$1506,MATCH(ROW()-4,Sales!$V$7:$V$1506,0)),"")</f>
        <v/>
      </c>
      <c r="O474" s="67"/>
      <c r="P474" s="67"/>
    </row>
    <row r="475" ht="15.75" customHeight="1">
      <c r="A475" s="151" t="str">
        <f t="array" ref="A475">IFERROR(INDEX(Sales!$E$7:$E$1506,MATCH(ROW()-4,Sales!$W$7:$W$1506,0)),"")</f>
        <v/>
      </c>
      <c r="B475" s="152" t="str">
        <f t="array" ref="B475">IF($A475="","",IFERROR(INDEX(Sales!$A:$A,MATCH($A475,Sales!$E:$E,0)),""))</f>
        <v/>
      </c>
      <c r="C475" s="153" t="str">
        <f t="array" ref="C475">IF($A475="","",IFERROR(INDEX(Sales!$D:$D,MATCH($A475,Sales!$E:$E,0)),""))</f>
        <v/>
      </c>
      <c r="D475" s="153" t="str">
        <f t="array" ref="D475">IF($A475="","",IFERROR(INDEX(Sales!$C:$C,MATCH($A475,Sales!$E:$E,0)),""))</f>
        <v/>
      </c>
      <c r="E475" s="154" t="str">
        <f>IF($A475="","",SUMIFS(Sales!$H:$H,Sales!$E:$E,$A475,Sales!$B:$B,"&lt;&gt;Return"))</f>
        <v/>
      </c>
      <c r="F475" s="155" t="str">
        <f>IF($A475="","",SUMIF(Sales!$E:$E,$A475,Sales!$L:$L))</f>
        <v/>
      </c>
      <c r="G475" s="155" t="str">
        <f>IF($A475="","",SUMIF(Sales!$E:$E,$A475,Sales!$P:$P))</f>
        <v/>
      </c>
      <c r="H475" s="156" t="str">
        <f t="array" ref="H475">IF($A475="","",IFERROR(INDEX(Orders!$O$5:$O$1004,MATCH($A475,Orders!$N$5:$N$1004,0)),""))</f>
        <v/>
      </c>
      <c r="I475" s="156" t="str">
        <f t="array" ref="I475">IF($A475="","",IFERROR(INDEX(Orders!$P$5:$P$1004,MATCH($A475,Orders!$N$5:$N$1004,0)),""))</f>
        <v/>
      </c>
      <c r="J475" s="157" t="str">
        <f t="shared" si="1"/>
        <v/>
      </c>
      <c r="K475" s="153" t="str">
        <f t="array" ref="K475">IF($A475="","",IFERROR(INDEX(Sales!$M:$M,MATCH($A475,Sales!$E:$E,0)),""))</f>
        <v/>
      </c>
      <c r="L475" s="158" t="str">
        <f t="shared" si="2"/>
        <v/>
      </c>
      <c r="N475" s="49" t="str">
        <f t="array" ref="N475">IFERROR(INDEX(Sales!$E$7:$E$1506,MATCH(ROW()-4,Sales!$V$7:$V$1506,0)),"")</f>
        <v/>
      </c>
      <c r="O475" s="67"/>
      <c r="P475" s="67"/>
    </row>
    <row r="476" ht="15.75" customHeight="1">
      <c r="A476" s="151" t="str">
        <f t="array" ref="A476">IFERROR(INDEX(Sales!$E$7:$E$1506,MATCH(ROW()-4,Sales!$W$7:$W$1506,0)),"")</f>
        <v/>
      </c>
      <c r="B476" s="152" t="str">
        <f t="array" ref="B476">IF($A476="","",IFERROR(INDEX(Sales!$A:$A,MATCH($A476,Sales!$E:$E,0)),""))</f>
        <v/>
      </c>
      <c r="C476" s="153" t="str">
        <f t="array" ref="C476">IF($A476="","",IFERROR(INDEX(Sales!$D:$D,MATCH($A476,Sales!$E:$E,0)),""))</f>
        <v/>
      </c>
      <c r="D476" s="153" t="str">
        <f t="array" ref="D476">IF($A476="","",IFERROR(INDEX(Sales!$C:$C,MATCH($A476,Sales!$E:$E,0)),""))</f>
        <v/>
      </c>
      <c r="E476" s="154" t="str">
        <f>IF($A476="","",SUMIFS(Sales!$H:$H,Sales!$E:$E,$A476,Sales!$B:$B,"&lt;&gt;Return"))</f>
        <v/>
      </c>
      <c r="F476" s="155" t="str">
        <f>IF($A476="","",SUMIF(Sales!$E:$E,$A476,Sales!$L:$L))</f>
        <v/>
      </c>
      <c r="G476" s="155" t="str">
        <f>IF($A476="","",SUMIF(Sales!$E:$E,$A476,Sales!$P:$P))</f>
        <v/>
      </c>
      <c r="H476" s="156" t="str">
        <f t="array" ref="H476">IF($A476="","",IFERROR(INDEX(Orders!$O$5:$O$1004,MATCH($A476,Orders!$N$5:$N$1004,0)),""))</f>
        <v/>
      </c>
      <c r="I476" s="156" t="str">
        <f t="array" ref="I476">IF($A476="","",IFERROR(INDEX(Orders!$P$5:$P$1004,MATCH($A476,Orders!$N$5:$N$1004,0)),""))</f>
        <v/>
      </c>
      <c r="J476" s="157" t="str">
        <f t="shared" si="1"/>
        <v/>
      </c>
      <c r="K476" s="153" t="str">
        <f t="array" ref="K476">IF($A476="","",IFERROR(INDEX(Sales!$M:$M,MATCH($A476,Sales!$E:$E,0)),""))</f>
        <v/>
      </c>
      <c r="L476" s="158" t="str">
        <f t="shared" si="2"/>
        <v/>
      </c>
      <c r="N476" s="49" t="str">
        <f t="array" ref="N476">IFERROR(INDEX(Sales!$E$7:$E$1506,MATCH(ROW()-4,Sales!$V$7:$V$1506,0)),"")</f>
        <v/>
      </c>
      <c r="O476" s="67"/>
      <c r="P476" s="67"/>
    </row>
    <row r="477" ht="15.75" customHeight="1">
      <c r="A477" s="151" t="str">
        <f t="array" ref="A477">IFERROR(INDEX(Sales!$E$7:$E$1506,MATCH(ROW()-4,Sales!$W$7:$W$1506,0)),"")</f>
        <v/>
      </c>
      <c r="B477" s="152" t="str">
        <f t="array" ref="B477">IF($A477="","",IFERROR(INDEX(Sales!$A:$A,MATCH($A477,Sales!$E:$E,0)),""))</f>
        <v/>
      </c>
      <c r="C477" s="153" t="str">
        <f t="array" ref="C477">IF($A477="","",IFERROR(INDEX(Sales!$D:$D,MATCH($A477,Sales!$E:$E,0)),""))</f>
        <v/>
      </c>
      <c r="D477" s="153" t="str">
        <f t="array" ref="D477">IF($A477="","",IFERROR(INDEX(Sales!$C:$C,MATCH($A477,Sales!$E:$E,0)),""))</f>
        <v/>
      </c>
      <c r="E477" s="154" t="str">
        <f>IF($A477="","",SUMIFS(Sales!$H:$H,Sales!$E:$E,$A477,Sales!$B:$B,"&lt;&gt;Return"))</f>
        <v/>
      </c>
      <c r="F477" s="155" t="str">
        <f>IF($A477="","",SUMIF(Sales!$E:$E,$A477,Sales!$L:$L))</f>
        <v/>
      </c>
      <c r="G477" s="155" t="str">
        <f>IF($A477="","",SUMIF(Sales!$E:$E,$A477,Sales!$P:$P))</f>
        <v/>
      </c>
      <c r="H477" s="156" t="str">
        <f t="array" ref="H477">IF($A477="","",IFERROR(INDEX(Orders!$O$5:$O$1004,MATCH($A477,Orders!$N$5:$N$1004,0)),""))</f>
        <v/>
      </c>
      <c r="I477" s="156" t="str">
        <f t="array" ref="I477">IF($A477="","",IFERROR(INDEX(Orders!$P$5:$P$1004,MATCH($A477,Orders!$N$5:$N$1004,0)),""))</f>
        <v/>
      </c>
      <c r="J477" s="157" t="str">
        <f t="shared" si="1"/>
        <v/>
      </c>
      <c r="K477" s="153" t="str">
        <f t="array" ref="K477">IF($A477="","",IFERROR(INDEX(Sales!$M:$M,MATCH($A477,Sales!$E:$E,0)),""))</f>
        <v/>
      </c>
      <c r="L477" s="158" t="str">
        <f t="shared" si="2"/>
        <v/>
      </c>
      <c r="N477" s="49" t="str">
        <f t="array" ref="N477">IFERROR(INDEX(Sales!$E$7:$E$1506,MATCH(ROW()-4,Sales!$V$7:$V$1506,0)),"")</f>
        <v/>
      </c>
      <c r="O477" s="67"/>
      <c r="P477" s="67"/>
    </row>
    <row r="478" ht="15.75" customHeight="1">
      <c r="A478" s="151" t="str">
        <f t="array" ref="A478">IFERROR(INDEX(Sales!$E$7:$E$1506,MATCH(ROW()-4,Sales!$W$7:$W$1506,0)),"")</f>
        <v/>
      </c>
      <c r="B478" s="152" t="str">
        <f t="array" ref="B478">IF($A478="","",IFERROR(INDEX(Sales!$A:$A,MATCH($A478,Sales!$E:$E,0)),""))</f>
        <v/>
      </c>
      <c r="C478" s="153" t="str">
        <f t="array" ref="C478">IF($A478="","",IFERROR(INDEX(Sales!$D:$D,MATCH($A478,Sales!$E:$E,0)),""))</f>
        <v/>
      </c>
      <c r="D478" s="153" t="str">
        <f t="array" ref="D478">IF($A478="","",IFERROR(INDEX(Sales!$C:$C,MATCH($A478,Sales!$E:$E,0)),""))</f>
        <v/>
      </c>
      <c r="E478" s="154" t="str">
        <f>IF($A478="","",SUMIFS(Sales!$H:$H,Sales!$E:$E,$A478,Sales!$B:$B,"&lt;&gt;Return"))</f>
        <v/>
      </c>
      <c r="F478" s="155" t="str">
        <f>IF($A478="","",SUMIF(Sales!$E:$E,$A478,Sales!$L:$L))</f>
        <v/>
      </c>
      <c r="G478" s="155" t="str">
        <f>IF($A478="","",SUMIF(Sales!$E:$E,$A478,Sales!$P:$P))</f>
        <v/>
      </c>
      <c r="H478" s="156" t="str">
        <f t="array" ref="H478">IF($A478="","",IFERROR(INDEX(Orders!$O$5:$O$1004,MATCH($A478,Orders!$N$5:$N$1004,0)),""))</f>
        <v/>
      </c>
      <c r="I478" s="156" t="str">
        <f t="array" ref="I478">IF($A478="","",IFERROR(INDEX(Orders!$P$5:$P$1004,MATCH($A478,Orders!$N$5:$N$1004,0)),""))</f>
        <v/>
      </c>
      <c r="J478" s="157" t="str">
        <f t="shared" si="1"/>
        <v/>
      </c>
      <c r="K478" s="153" t="str">
        <f t="array" ref="K478">IF($A478="","",IFERROR(INDEX(Sales!$M:$M,MATCH($A478,Sales!$E:$E,0)),""))</f>
        <v/>
      </c>
      <c r="L478" s="158" t="str">
        <f t="shared" si="2"/>
        <v/>
      </c>
      <c r="N478" s="49" t="str">
        <f t="array" ref="N478">IFERROR(INDEX(Sales!$E$7:$E$1506,MATCH(ROW()-4,Sales!$V$7:$V$1506,0)),"")</f>
        <v/>
      </c>
      <c r="O478" s="67"/>
      <c r="P478" s="67"/>
    </row>
    <row r="479" ht="15.75" customHeight="1">
      <c r="A479" s="151" t="str">
        <f t="array" ref="A479">IFERROR(INDEX(Sales!$E$7:$E$1506,MATCH(ROW()-4,Sales!$W$7:$W$1506,0)),"")</f>
        <v/>
      </c>
      <c r="B479" s="152" t="str">
        <f t="array" ref="B479">IF($A479="","",IFERROR(INDEX(Sales!$A:$A,MATCH($A479,Sales!$E:$E,0)),""))</f>
        <v/>
      </c>
      <c r="C479" s="153" t="str">
        <f t="array" ref="C479">IF($A479="","",IFERROR(INDEX(Sales!$D:$D,MATCH($A479,Sales!$E:$E,0)),""))</f>
        <v/>
      </c>
      <c r="D479" s="153" t="str">
        <f t="array" ref="D479">IF($A479="","",IFERROR(INDEX(Sales!$C:$C,MATCH($A479,Sales!$E:$E,0)),""))</f>
        <v/>
      </c>
      <c r="E479" s="154" t="str">
        <f>IF($A479="","",SUMIFS(Sales!$H:$H,Sales!$E:$E,$A479,Sales!$B:$B,"&lt;&gt;Return"))</f>
        <v/>
      </c>
      <c r="F479" s="155" t="str">
        <f>IF($A479="","",SUMIF(Sales!$E:$E,$A479,Sales!$L:$L))</f>
        <v/>
      </c>
      <c r="G479" s="155" t="str">
        <f>IF($A479="","",SUMIF(Sales!$E:$E,$A479,Sales!$P:$P))</f>
        <v/>
      </c>
      <c r="H479" s="156" t="str">
        <f t="array" ref="H479">IF($A479="","",IFERROR(INDEX(Orders!$O$5:$O$1004,MATCH($A479,Orders!$N$5:$N$1004,0)),""))</f>
        <v/>
      </c>
      <c r="I479" s="156" t="str">
        <f t="array" ref="I479">IF($A479="","",IFERROR(INDEX(Orders!$P$5:$P$1004,MATCH($A479,Orders!$N$5:$N$1004,0)),""))</f>
        <v/>
      </c>
      <c r="J479" s="157" t="str">
        <f t="shared" si="1"/>
        <v/>
      </c>
      <c r="K479" s="153" t="str">
        <f t="array" ref="K479">IF($A479="","",IFERROR(INDEX(Sales!$M:$M,MATCH($A479,Sales!$E:$E,0)),""))</f>
        <v/>
      </c>
      <c r="L479" s="158" t="str">
        <f t="shared" si="2"/>
        <v/>
      </c>
      <c r="N479" s="49" t="str">
        <f t="array" ref="N479">IFERROR(INDEX(Sales!$E$7:$E$1506,MATCH(ROW()-4,Sales!$V$7:$V$1506,0)),"")</f>
        <v/>
      </c>
      <c r="O479" s="67"/>
      <c r="P479" s="67"/>
    </row>
    <row r="480" ht="15.75" customHeight="1">
      <c r="A480" s="151" t="str">
        <f t="array" ref="A480">IFERROR(INDEX(Sales!$E$7:$E$1506,MATCH(ROW()-4,Sales!$W$7:$W$1506,0)),"")</f>
        <v/>
      </c>
      <c r="B480" s="152" t="str">
        <f t="array" ref="B480">IF($A480="","",IFERROR(INDEX(Sales!$A:$A,MATCH($A480,Sales!$E:$E,0)),""))</f>
        <v/>
      </c>
      <c r="C480" s="153" t="str">
        <f t="array" ref="C480">IF($A480="","",IFERROR(INDEX(Sales!$D:$D,MATCH($A480,Sales!$E:$E,0)),""))</f>
        <v/>
      </c>
      <c r="D480" s="153" t="str">
        <f t="array" ref="D480">IF($A480="","",IFERROR(INDEX(Sales!$C:$C,MATCH($A480,Sales!$E:$E,0)),""))</f>
        <v/>
      </c>
      <c r="E480" s="154" t="str">
        <f>IF($A480="","",SUMIFS(Sales!$H:$H,Sales!$E:$E,$A480,Sales!$B:$B,"&lt;&gt;Return"))</f>
        <v/>
      </c>
      <c r="F480" s="155" t="str">
        <f>IF($A480="","",SUMIF(Sales!$E:$E,$A480,Sales!$L:$L))</f>
        <v/>
      </c>
      <c r="G480" s="155" t="str">
        <f>IF($A480="","",SUMIF(Sales!$E:$E,$A480,Sales!$P:$P))</f>
        <v/>
      </c>
      <c r="H480" s="156" t="str">
        <f t="array" ref="H480">IF($A480="","",IFERROR(INDEX(Orders!$O$5:$O$1004,MATCH($A480,Orders!$N$5:$N$1004,0)),""))</f>
        <v/>
      </c>
      <c r="I480" s="156" t="str">
        <f t="array" ref="I480">IF($A480="","",IFERROR(INDEX(Orders!$P$5:$P$1004,MATCH($A480,Orders!$N$5:$N$1004,0)),""))</f>
        <v/>
      </c>
      <c r="J480" s="157" t="str">
        <f t="shared" si="1"/>
        <v/>
      </c>
      <c r="K480" s="153" t="str">
        <f t="array" ref="K480">IF($A480="","",IFERROR(INDEX(Sales!$M:$M,MATCH($A480,Sales!$E:$E,0)),""))</f>
        <v/>
      </c>
      <c r="L480" s="158" t="str">
        <f t="shared" si="2"/>
        <v/>
      </c>
      <c r="N480" s="49" t="str">
        <f t="array" ref="N480">IFERROR(INDEX(Sales!$E$7:$E$1506,MATCH(ROW()-4,Sales!$V$7:$V$1506,0)),"")</f>
        <v/>
      </c>
      <c r="O480" s="67"/>
      <c r="P480" s="67"/>
    </row>
    <row r="481" ht="15.75" customHeight="1">
      <c r="A481" s="151" t="str">
        <f t="array" ref="A481">IFERROR(INDEX(Sales!$E$7:$E$1506,MATCH(ROW()-4,Sales!$W$7:$W$1506,0)),"")</f>
        <v/>
      </c>
      <c r="B481" s="152" t="str">
        <f t="array" ref="B481">IF($A481="","",IFERROR(INDEX(Sales!$A:$A,MATCH($A481,Sales!$E:$E,0)),""))</f>
        <v/>
      </c>
      <c r="C481" s="153" t="str">
        <f t="array" ref="C481">IF($A481="","",IFERROR(INDEX(Sales!$D:$D,MATCH($A481,Sales!$E:$E,0)),""))</f>
        <v/>
      </c>
      <c r="D481" s="153" t="str">
        <f t="array" ref="D481">IF($A481="","",IFERROR(INDEX(Sales!$C:$C,MATCH($A481,Sales!$E:$E,0)),""))</f>
        <v/>
      </c>
      <c r="E481" s="154" t="str">
        <f>IF($A481="","",SUMIFS(Sales!$H:$H,Sales!$E:$E,$A481,Sales!$B:$B,"&lt;&gt;Return"))</f>
        <v/>
      </c>
      <c r="F481" s="155" t="str">
        <f>IF($A481="","",SUMIF(Sales!$E:$E,$A481,Sales!$L:$L))</f>
        <v/>
      </c>
      <c r="G481" s="155" t="str">
        <f>IF($A481="","",SUMIF(Sales!$E:$E,$A481,Sales!$P:$P))</f>
        <v/>
      </c>
      <c r="H481" s="156" t="str">
        <f t="array" ref="H481">IF($A481="","",IFERROR(INDEX(Orders!$O$5:$O$1004,MATCH($A481,Orders!$N$5:$N$1004,0)),""))</f>
        <v/>
      </c>
      <c r="I481" s="156" t="str">
        <f t="array" ref="I481">IF($A481="","",IFERROR(INDEX(Orders!$P$5:$P$1004,MATCH($A481,Orders!$N$5:$N$1004,0)),""))</f>
        <v/>
      </c>
      <c r="J481" s="157" t="str">
        <f t="shared" si="1"/>
        <v/>
      </c>
      <c r="K481" s="153" t="str">
        <f t="array" ref="K481">IF($A481="","",IFERROR(INDEX(Sales!$M:$M,MATCH($A481,Sales!$E:$E,0)),""))</f>
        <v/>
      </c>
      <c r="L481" s="158" t="str">
        <f t="shared" si="2"/>
        <v/>
      </c>
      <c r="N481" s="49" t="str">
        <f t="array" ref="N481">IFERROR(INDEX(Sales!$E$7:$E$1506,MATCH(ROW()-4,Sales!$V$7:$V$1506,0)),"")</f>
        <v/>
      </c>
      <c r="O481" s="67"/>
      <c r="P481" s="67"/>
    </row>
    <row r="482" ht="15.75" customHeight="1">
      <c r="A482" s="151" t="str">
        <f t="array" ref="A482">IFERROR(INDEX(Sales!$E$7:$E$1506,MATCH(ROW()-4,Sales!$W$7:$W$1506,0)),"")</f>
        <v/>
      </c>
      <c r="B482" s="152" t="str">
        <f t="array" ref="B482">IF($A482="","",IFERROR(INDEX(Sales!$A:$A,MATCH($A482,Sales!$E:$E,0)),""))</f>
        <v/>
      </c>
      <c r="C482" s="153" t="str">
        <f t="array" ref="C482">IF($A482="","",IFERROR(INDEX(Sales!$D:$D,MATCH($A482,Sales!$E:$E,0)),""))</f>
        <v/>
      </c>
      <c r="D482" s="153" t="str">
        <f t="array" ref="D482">IF($A482="","",IFERROR(INDEX(Sales!$C:$C,MATCH($A482,Sales!$E:$E,0)),""))</f>
        <v/>
      </c>
      <c r="E482" s="154" t="str">
        <f>IF($A482="","",SUMIFS(Sales!$H:$H,Sales!$E:$E,$A482,Sales!$B:$B,"&lt;&gt;Return"))</f>
        <v/>
      </c>
      <c r="F482" s="155" t="str">
        <f>IF($A482="","",SUMIF(Sales!$E:$E,$A482,Sales!$L:$L))</f>
        <v/>
      </c>
      <c r="G482" s="155" t="str">
        <f>IF($A482="","",SUMIF(Sales!$E:$E,$A482,Sales!$P:$P))</f>
        <v/>
      </c>
      <c r="H482" s="156" t="str">
        <f t="array" ref="H482">IF($A482="","",IFERROR(INDEX(Orders!$O$5:$O$1004,MATCH($A482,Orders!$N$5:$N$1004,0)),""))</f>
        <v/>
      </c>
      <c r="I482" s="156" t="str">
        <f t="array" ref="I482">IF($A482="","",IFERROR(INDEX(Orders!$P$5:$P$1004,MATCH($A482,Orders!$N$5:$N$1004,0)),""))</f>
        <v/>
      </c>
      <c r="J482" s="157" t="str">
        <f t="shared" si="1"/>
        <v/>
      </c>
      <c r="K482" s="153" t="str">
        <f t="array" ref="K482">IF($A482="","",IFERROR(INDEX(Sales!$M:$M,MATCH($A482,Sales!$E:$E,0)),""))</f>
        <v/>
      </c>
      <c r="L482" s="158" t="str">
        <f t="shared" si="2"/>
        <v/>
      </c>
      <c r="N482" s="49" t="str">
        <f t="array" ref="N482">IFERROR(INDEX(Sales!$E$7:$E$1506,MATCH(ROW()-4,Sales!$V$7:$V$1506,0)),"")</f>
        <v/>
      </c>
      <c r="O482" s="67"/>
      <c r="P482" s="67"/>
    </row>
    <row r="483" ht="15.75" customHeight="1">
      <c r="A483" s="151" t="str">
        <f t="array" ref="A483">IFERROR(INDEX(Sales!$E$7:$E$1506,MATCH(ROW()-4,Sales!$W$7:$W$1506,0)),"")</f>
        <v/>
      </c>
      <c r="B483" s="152" t="str">
        <f t="array" ref="B483">IF($A483="","",IFERROR(INDEX(Sales!$A:$A,MATCH($A483,Sales!$E:$E,0)),""))</f>
        <v/>
      </c>
      <c r="C483" s="153" t="str">
        <f t="array" ref="C483">IF($A483="","",IFERROR(INDEX(Sales!$D:$D,MATCH($A483,Sales!$E:$E,0)),""))</f>
        <v/>
      </c>
      <c r="D483" s="153" t="str">
        <f t="array" ref="D483">IF($A483="","",IFERROR(INDEX(Sales!$C:$C,MATCH($A483,Sales!$E:$E,0)),""))</f>
        <v/>
      </c>
      <c r="E483" s="154" t="str">
        <f>IF($A483="","",SUMIFS(Sales!$H:$H,Sales!$E:$E,$A483,Sales!$B:$B,"&lt;&gt;Return"))</f>
        <v/>
      </c>
      <c r="F483" s="155" t="str">
        <f>IF($A483="","",SUMIF(Sales!$E:$E,$A483,Sales!$L:$L))</f>
        <v/>
      </c>
      <c r="G483" s="155" t="str">
        <f>IF($A483="","",SUMIF(Sales!$E:$E,$A483,Sales!$P:$P))</f>
        <v/>
      </c>
      <c r="H483" s="156" t="str">
        <f t="array" ref="H483">IF($A483="","",IFERROR(INDEX(Orders!$O$5:$O$1004,MATCH($A483,Orders!$N$5:$N$1004,0)),""))</f>
        <v/>
      </c>
      <c r="I483" s="156" t="str">
        <f t="array" ref="I483">IF($A483="","",IFERROR(INDEX(Orders!$P$5:$P$1004,MATCH($A483,Orders!$N$5:$N$1004,0)),""))</f>
        <v/>
      </c>
      <c r="J483" s="157" t="str">
        <f t="shared" si="1"/>
        <v/>
      </c>
      <c r="K483" s="153" t="str">
        <f t="array" ref="K483">IF($A483="","",IFERROR(INDEX(Sales!$M:$M,MATCH($A483,Sales!$E:$E,0)),""))</f>
        <v/>
      </c>
      <c r="L483" s="158" t="str">
        <f t="shared" si="2"/>
        <v/>
      </c>
      <c r="N483" s="49" t="str">
        <f t="array" ref="N483">IFERROR(INDEX(Sales!$E$7:$E$1506,MATCH(ROW()-4,Sales!$V$7:$V$1506,0)),"")</f>
        <v/>
      </c>
      <c r="O483" s="67"/>
      <c r="P483" s="67"/>
    </row>
    <row r="484" ht="15.75" customHeight="1">
      <c r="A484" s="151" t="str">
        <f t="array" ref="A484">IFERROR(INDEX(Sales!$E$7:$E$1506,MATCH(ROW()-4,Sales!$W$7:$W$1506,0)),"")</f>
        <v/>
      </c>
      <c r="B484" s="152" t="str">
        <f t="array" ref="B484">IF($A484="","",IFERROR(INDEX(Sales!$A:$A,MATCH($A484,Sales!$E:$E,0)),""))</f>
        <v/>
      </c>
      <c r="C484" s="153" t="str">
        <f t="array" ref="C484">IF($A484="","",IFERROR(INDEX(Sales!$D:$D,MATCH($A484,Sales!$E:$E,0)),""))</f>
        <v/>
      </c>
      <c r="D484" s="153" t="str">
        <f t="array" ref="D484">IF($A484="","",IFERROR(INDEX(Sales!$C:$C,MATCH($A484,Sales!$E:$E,0)),""))</f>
        <v/>
      </c>
      <c r="E484" s="154" t="str">
        <f>IF($A484="","",SUMIFS(Sales!$H:$H,Sales!$E:$E,$A484,Sales!$B:$B,"&lt;&gt;Return"))</f>
        <v/>
      </c>
      <c r="F484" s="155" t="str">
        <f>IF($A484="","",SUMIF(Sales!$E:$E,$A484,Sales!$L:$L))</f>
        <v/>
      </c>
      <c r="G484" s="155" t="str">
        <f>IF($A484="","",SUMIF(Sales!$E:$E,$A484,Sales!$P:$P))</f>
        <v/>
      </c>
      <c r="H484" s="156" t="str">
        <f t="array" ref="H484">IF($A484="","",IFERROR(INDEX(Orders!$O$5:$O$1004,MATCH($A484,Orders!$N$5:$N$1004,0)),""))</f>
        <v/>
      </c>
      <c r="I484" s="156" t="str">
        <f t="array" ref="I484">IF($A484="","",IFERROR(INDEX(Orders!$P$5:$P$1004,MATCH($A484,Orders!$N$5:$N$1004,0)),""))</f>
        <v/>
      </c>
      <c r="J484" s="157" t="str">
        <f t="shared" si="1"/>
        <v/>
      </c>
      <c r="K484" s="153" t="str">
        <f t="array" ref="K484">IF($A484="","",IFERROR(INDEX(Sales!$M:$M,MATCH($A484,Sales!$E:$E,0)),""))</f>
        <v/>
      </c>
      <c r="L484" s="158" t="str">
        <f t="shared" si="2"/>
        <v/>
      </c>
      <c r="N484" s="49" t="str">
        <f t="array" ref="N484">IFERROR(INDEX(Sales!$E$7:$E$1506,MATCH(ROW()-4,Sales!$V$7:$V$1506,0)),"")</f>
        <v/>
      </c>
      <c r="O484" s="67"/>
      <c r="P484" s="67"/>
    </row>
    <row r="485" ht="15.75" customHeight="1">
      <c r="A485" s="151" t="str">
        <f t="array" ref="A485">IFERROR(INDEX(Sales!$E$7:$E$1506,MATCH(ROW()-4,Sales!$W$7:$W$1506,0)),"")</f>
        <v/>
      </c>
      <c r="B485" s="152" t="str">
        <f t="array" ref="B485">IF($A485="","",IFERROR(INDEX(Sales!$A:$A,MATCH($A485,Sales!$E:$E,0)),""))</f>
        <v/>
      </c>
      <c r="C485" s="153" t="str">
        <f t="array" ref="C485">IF($A485="","",IFERROR(INDEX(Sales!$D:$D,MATCH($A485,Sales!$E:$E,0)),""))</f>
        <v/>
      </c>
      <c r="D485" s="153" t="str">
        <f t="array" ref="D485">IF($A485="","",IFERROR(INDEX(Sales!$C:$C,MATCH($A485,Sales!$E:$E,0)),""))</f>
        <v/>
      </c>
      <c r="E485" s="154" t="str">
        <f>IF($A485="","",SUMIFS(Sales!$H:$H,Sales!$E:$E,$A485,Sales!$B:$B,"&lt;&gt;Return"))</f>
        <v/>
      </c>
      <c r="F485" s="155" t="str">
        <f>IF($A485="","",SUMIF(Sales!$E:$E,$A485,Sales!$L:$L))</f>
        <v/>
      </c>
      <c r="G485" s="155" t="str">
        <f>IF($A485="","",SUMIF(Sales!$E:$E,$A485,Sales!$P:$P))</f>
        <v/>
      </c>
      <c r="H485" s="156" t="str">
        <f t="array" ref="H485">IF($A485="","",IFERROR(INDEX(Orders!$O$5:$O$1004,MATCH($A485,Orders!$N$5:$N$1004,0)),""))</f>
        <v/>
      </c>
      <c r="I485" s="156" t="str">
        <f t="array" ref="I485">IF($A485="","",IFERROR(INDEX(Orders!$P$5:$P$1004,MATCH($A485,Orders!$N$5:$N$1004,0)),""))</f>
        <v/>
      </c>
      <c r="J485" s="157" t="str">
        <f t="shared" si="1"/>
        <v/>
      </c>
      <c r="K485" s="153" t="str">
        <f t="array" ref="K485">IF($A485="","",IFERROR(INDEX(Sales!$M:$M,MATCH($A485,Sales!$E:$E,0)),""))</f>
        <v/>
      </c>
      <c r="L485" s="158" t="str">
        <f t="shared" si="2"/>
        <v/>
      </c>
      <c r="N485" s="49" t="str">
        <f t="array" ref="N485">IFERROR(INDEX(Sales!$E$7:$E$1506,MATCH(ROW()-4,Sales!$V$7:$V$1506,0)),"")</f>
        <v/>
      </c>
      <c r="O485" s="67"/>
      <c r="P485" s="67"/>
    </row>
    <row r="486" ht="15.75" customHeight="1">
      <c r="A486" s="151" t="str">
        <f t="array" ref="A486">IFERROR(INDEX(Sales!$E$7:$E$1506,MATCH(ROW()-4,Sales!$W$7:$W$1506,0)),"")</f>
        <v/>
      </c>
      <c r="B486" s="152" t="str">
        <f t="array" ref="B486">IF($A486="","",IFERROR(INDEX(Sales!$A:$A,MATCH($A486,Sales!$E:$E,0)),""))</f>
        <v/>
      </c>
      <c r="C486" s="153" t="str">
        <f t="array" ref="C486">IF($A486="","",IFERROR(INDEX(Sales!$D:$D,MATCH($A486,Sales!$E:$E,0)),""))</f>
        <v/>
      </c>
      <c r="D486" s="153" t="str">
        <f t="array" ref="D486">IF($A486="","",IFERROR(INDEX(Sales!$C:$C,MATCH($A486,Sales!$E:$E,0)),""))</f>
        <v/>
      </c>
      <c r="E486" s="154" t="str">
        <f>IF($A486="","",SUMIFS(Sales!$H:$H,Sales!$E:$E,$A486,Sales!$B:$B,"&lt;&gt;Return"))</f>
        <v/>
      </c>
      <c r="F486" s="155" t="str">
        <f>IF($A486="","",SUMIF(Sales!$E:$E,$A486,Sales!$L:$L))</f>
        <v/>
      </c>
      <c r="G486" s="155" t="str">
        <f>IF($A486="","",SUMIF(Sales!$E:$E,$A486,Sales!$P:$P))</f>
        <v/>
      </c>
      <c r="H486" s="156" t="str">
        <f t="array" ref="H486">IF($A486="","",IFERROR(INDEX(Orders!$O$5:$O$1004,MATCH($A486,Orders!$N$5:$N$1004,0)),""))</f>
        <v/>
      </c>
      <c r="I486" s="156" t="str">
        <f t="array" ref="I486">IF($A486="","",IFERROR(INDEX(Orders!$P$5:$P$1004,MATCH($A486,Orders!$N$5:$N$1004,0)),""))</f>
        <v/>
      </c>
      <c r="J486" s="157" t="str">
        <f t="shared" si="1"/>
        <v/>
      </c>
      <c r="K486" s="153" t="str">
        <f t="array" ref="K486">IF($A486="","",IFERROR(INDEX(Sales!$M:$M,MATCH($A486,Sales!$E:$E,0)),""))</f>
        <v/>
      </c>
      <c r="L486" s="158" t="str">
        <f t="shared" si="2"/>
        <v/>
      </c>
      <c r="N486" s="49" t="str">
        <f t="array" ref="N486">IFERROR(INDEX(Sales!$E$7:$E$1506,MATCH(ROW()-4,Sales!$V$7:$V$1506,0)),"")</f>
        <v/>
      </c>
      <c r="O486" s="67"/>
      <c r="P486" s="67"/>
    </row>
    <row r="487" ht="15.75" customHeight="1">
      <c r="A487" s="151" t="str">
        <f t="array" ref="A487">IFERROR(INDEX(Sales!$E$7:$E$1506,MATCH(ROW()-4,Sales!$W$7:$W$1506,0)),"")</f>
        <v/>
      </c>
      <c r="B487" s="152" t="str">
        <f t="array" ref="B487">IF($A487="","",IFERROR(INDEX(Sales!$A:$A,MATCH($A487,Sales!$E:$E,0)),""))</f>
        <v/>
      </c>
      <c r="C487" s="153" t="str">
        <f t="array" ref="C487">IF($A487="","",IFERROR(INDEX(Sales!$D:$D,MATCH($A487,Sales!$E:$E,0)),""))</f>
        <v/>
      </c>
      <c r="D487" s="153" t="str">
        <f t="array" ref="D487">IF($A487="","",IFERROR(INDEX(Sales!$C:$C,MATCH($A487,Sales!$E:$E,0)),""))</f>
        <v/>
      </c>
      <c r="E487" s="154" t="str">
        <f>IF($A487="","",SUMIFS(Sales!$H:$H,Sales!$E:$E,$A487,Sales!$B:$B,"&lt;&gt;Return"))</f>
        <v/>
      </c>
      <c r="F487" s="155" t="str">
        <f>IF($A487="","",SUMIF(Sales!$E:$E,$A487,Sales!$L:$L))</f>
        <v/>
      </c>
      <c r="G487" s="155" t="str">
        <f>IF($A487="","",SUMIF(Sales!$E:$E,$A487,Sales!$P:$P))</f>
        <v/>
      </c>
      <c r="H487" s="156" t="str">
        <f t="array" ref="H487">IF($A487="","",IFERROR(INDEX(Orders!$O$5:$O$1004,MATCH($A487,Orders!$N$5:$N$1004,0)),""))</f>
        <v/>
      </c>
      <c r="I487" s="156" t="str">
        <f t="array" ref="I487">IF($A487="","",IFERROR(INDEX(Orders!$P$5:$P$1004,MATCH($A487,Orders!$N$5:$N$1004,0)),""))</f>
        <v/>
      </c>
      <c r="J487" s="157" t="str">
        <f t="shared" si="1"/>
        <v/>
      </c>
      <c r="K487" s="153" t="str">
        <f t="array" ref="K487">IF($A487="","",IFERROR(INDEX(Sales!$M:$M,MATCH($A487,Sales!$E:$E,0)),""))</f>
        <v/>
      </c>
      <c r="L487" s="158" t="str">
        <f t="shared" si="2"/>
        <v/>
      </c>
      <c r="N487" s="49" t="str">
        <f t="array" ref="N487">IFERROR(INDEX(Sales!$E$7:$E$1506,MATCH(ROW()-4,Sales!$V$7:$V$1506,0)),"")</f>
        <v/>
      </c>
      <c r="O487" s="67"/>
      <c r="P487" s="67"/>
    </row>
    <row r="488" ht="15.75" customHeight="1">
      <c r="A488" s="151" t="str">
        <f t="array" ref="A488">IFERROR(INDEX(Sales!$E$7:$E$1506,MATCH(ROW()-4,Sales!$W$7:$W$1506,0)),"")</f>
        <v/>
      </c>
      <c r="B488" s="152" t="str">
        <f t="array" ref="B488">IF($A488="","",IFERROR(INDEX(Sales!$A:$A,MATCH($A488,Sales!$E:$E,0)),""))</f>
        <v/>
      </c>
      <c r="C488" s="153" t="str">
        <f t="array" ref="C488">IF($A488="","",IFERROR(INDEX(Sales!$D:$D,MATCH($A488,Sales!$E:$E,0)),""))</f>
        <v/>
      </c>
      <c r="D488" s="153" t="str">
        <f t="array" ref="D488">IF($A488="","",IFERROR(INDEX(Sales!$C:$C,MATCH($A488,Sales!$E:$E,0)),""))</f>
        <v/>
      </c>
      <c r="E488" s="154" t="str">
        <f>IF($A488="","",SUMIFS(Sales!$H:$H,Sales!$E:$E,$A488,Sales!$B:$B,"&lt;&gt;Return"))</f>
        <v/>
      </c>
      <c r="F488" s="155" t="str">
        <f>IF($A488="","",SUMIF(Sales!$E:$E,$A488,Sales!$L:$L))</f>
        <v/>
      </c>
      <c r="G488" s="155" t="str">
        <f>IF($A488="","",SUMIF(Sales!$E:$E,$A488,Sales!$P:$P))</f>
        <v/>
      </c>
      <c r="H488" s="156" t="str">
        <f t="array" ref="H488">IF($A488="","",IFERROR(INDEX(Orders!$O$5:$O$1004,MATCH($A488,Orders!$N$5:$N$1004,0)),""))</f>
        <v/>
      </c>
      <c r="I488" s="156" t="str">
        <f t="array" ref="I488">IF($A488="","",IFERROR(INDEX(Orders!$P$5:$P$1004,MATCH($A488,Orders!$N$5:$N$1004,0)),""))</f>
        <v/>
      </c>
      <c r="J488" s="157" t="str">
        <f t="shared" si="1"/>
        <v/>
      </c>
      <c r="K488" s="153" t="str">
        <f t="array" ref="K488">IF($A488="","",IFERROR(INDEX(Sales!$M:$M,MATCH($A488,Sales!$E:$E,0)),""))</f>
        <v/>
      </c>
      <c r="L488" s="158" t="str">
        <f t="shared" si="2"/>
        <v/>
      </c>
      <c r="N488" s="49" t="str">
        <f t="array" ref="N488">IFERROR(INDEX(Sales!$E$7:$E$1506,MATCH(ROW()-4,Sales!$V$7:$V$1506,0)),"")</f>
        <v/>
      </c>
      <c r="O488" s="67"/>
      <c r="P488" s="67"/>
    </row>
    <row r="489" ht="15.75" customHeight="1">
      <c r="A489" s="151" t="str">
        <f t="array" ref="A489">IFERROR(INDEX(Sales!$E$7:$E$1506,MATCH(ROW()-4,Sales!$W$7:$W$1506,0)),"")</f>
        <v/>
      </c>
      <c r="B489" s="152" t="str">
        <f t="array" ref="B489">IF($A489="","",IFERROR(INDEX(Sales!$A:$A,MATCH($A489,Sales!$E:$E,0)),""))</f>
        <v/>
      </c>
      <c r="C489" s="153" t="str">
        <f t="array" ref="C489">IF($A489="","",IFERROR(INDEX(Sales!$D:$D,MATCH($A489,Sales!$E:$E,0)),""))</f>
        <v/>
      </c>
      <c r="D489" s="153" t="str">
        <f t="array" ref="D489">IF($A489="","",IFERROR(INDEX(Sales!$C:$C,MATCH($A489,Sales!$E:$E,0)),""))</f>
        <v/>
      </c>
      <c r="E489" s="154" t="str">
        <f>IF($A489="","",SUMIFS(Sales!$H:$H,Sales!$E:$E,$A489,Sales!$B:$B,"&lt;&gt;Return"))</f>
        <v/>
      </c>
      <c r="F489" s="155" t="str">
        <f>IF($A489="","",SUMIF(Sales!$E:$E,$A489,Sales!$L:$L))</f>
        <v/>
      </c>
      <c r="G489" s="155" t="str">
        <f>IF($A489="","",SUMIF(Sales!$E:$E,$A489,Sales!$P:$P))</f>
        <v/>
      </c>
      <c r="H489" s="156" t="str">
        <f t="array" ref="H489">IF($A489="","",IFERROR(INDEX(Orders!$O$5:$O$1004,MATCH($A489,Orders!$N$5:$N$1004,0)),""))</f>
        <v/>
      </c>
      <c r="I489" s="156" t="str">
        <f t="array" ref="I489">IF($A489="","",IFERROR(INDEX(Orders!$P$5:$P$1004,MATCH($A489,Orders!$N$5:$N$1004,0)),""))</f>
        <v/>
      </c>
      <c r="J489" s="157" t="str">
        <f t="shared" si="1"/>
        <v/>
      </c>
      <c r="K489" s="153" t="str">
        <f t="array" ref="K489">IF($A489="","",IFERROR(INDEX(Sales!$M:$M,MATCH($A489,Sales!$E:$E,0)),""))</f>
        <v/>
      </c>
      <c r="L489" s="158" t="str">
        <f t="shared" si="2"/>
        <v/>
      </c>
      <c r="N489" s="49" t="str">
        <f t="array" ref="N489">IFERROR(INDEX(Sales!$E$7:$E$1506,MATCH(ROW()-4,Sales!$V$7:$V$1506,0)),"")</f>
        <v/>
      </c>
      <c r="O489" s="67"/>
      <c r="P489" s="67"/>
    </row>
    <row r="490" ht="15.75" customHeight="1">
      <c r="A490" s="151" t="str">
        <f t="array" ref="A490">IFERROR(INDEX(Sales!$E$7:$E$1506,MATCH(ROW()-4,Sales!$W$7:$W$1506,0)),"")</f>
        <v/>
      </c>
      <c r="B490" s="152" t="str">
        <f t="array" ref="B490">IF($A490="","",IFERROR(INDEX(Sales!$A:$A,MATCH($A490,Sales!$E:$E,0)),""))</f>
        <v/>
      </c>
      <c r="C490" s="153" t="str">
        <f t="array" ref="C490">IF($A490="","",IFERROR(INDEX(Sales!$D:$D,MATCH($A490,Sales!$E:$E,0)),""))</f>
        <v/>
      </c>
      <c r="D490" s="153" t="str">
        <f t="array" ref="D490">IF($A490="","",IFERROR(INDEX(Sales!$C:$C,MATCH($A490,Sales!$E:$E,0)),""))</f>
        <v/>
      </c>
      <c r="E490" s="154" t="str">
        <f>IF($A490="","",SUMIFS(Sales!$H:$H,Sales!$E:$E,$A490,Sales!$B:$B,"&lt;&gt;Return"))</f>
        <v/>
      </c>
      <c r="F490" s="155" t="str">
        <f>IF($A490="","",SUMIF(Sales!$E:$E,$A490,Sales!$L:$L))</f>
        <v/>
      </c>
      <c r="G490" s="155" t="str">
        <f>IF($A490="","",SUMIF(Sales!$E:$E,$A490,Sales!$P:$P))</f>
        <v/>
      </c>
      <c r="H490" s="156" t="str">
        <f t="array" ref="H490">IF($A490="","",IFERROR(INDEX(Orders!$O$5:$O$1004,MATCH($A490,Orders!$N$5:$N$1004,0)),""))</f>
        <v/>
      </c>
      <c r="I490" s="156" t="str">
        <f t="array" ref="I490">IF($A490="","",IFERROR(INDEX(Orders!$P$5:$P$1004,MATCH($A490,Orders!$N$5:$N$1004,0)),""))</f>
        <v/>
      </c>
      <c r="J490" s="157" t="str">
        <f t="shared" si="1"/>
        <v/>
      </c>
      <c r="K490" s="153" t="str">
        <f t="array" ref="K490">IF($A490="","",IFERROR(INDEX(Sales!$M:$M,MATCH($A490,Sales!$E:$E,0)),""))</f>
        <v/>
      </c>
      <c r="L490" s="158" t="str">
        <f t="shared" si="2"/>
        <v/>
      </c>
      <c r="N490" s="49" t="str">
        <f t="array" ref="N490">IFERROR(INDEX(Sales!$E$7:$E$1506,MATCH(ROW()-4,Sales!$V$7:$V$1506,0)),"")</f>
        <v/>
      </c>
      <c r="O490" s="67"/>
      <c r="P490" s="67"/>
    </row>
    <row r="491" ht="15.75" customHeight="1">
      <c r="A491" s="151" t="str">
        <f t="array" ref="A491">IFERROR(INDEX(Sales!$E$7:$E$1506,MATCH(ROW()-4,Sales!$W$7:$W$1506,0)),"")</f>
        <v/>
      </c>
      <c r="B491" s="152" t="str">
        <f t="array" ref="B491">IF($A491="","",IFERROR(INDEX(Sales!$A:$A,MATCH($A491,Sales!$E:$E,0)),""))</f>
        <v/>
      </c>
      <c r="C491" s="153" t="str">
        <f t="array" ref="C491">IF($A491="","",IFERROR(INDEX(Sales!$D:$D,MATCH($A491,Sales!$E:$E,0)),""))</f>
        <v/>
      </c>
      <c r="D491" s="153" t="str">
        <f t="array" ref="D491">IF($A491="","",IFERROR(INDEX(Sales!$C:$C,MATCH($A491,Sales!$E:$E,0)),""))</f>
        <v/>
      </c>
      <c r="E491" s="154" t="str">
        <f>IF($A491="","",SUMIFS(Sales!$H:$H,Sales!$E:$E,$A491,Sales!$B:$B,"&lt;&gt;Return"))</f>
        <v/>
      </c>
      <c r="F491" s="155" t="str">
        <f>IF($A491="","",SUMIF(Sales!$E:$E,$A491,Sales!$L:$L))</f>
        <v/>
      </c>
      <c r="G491" s="155" t="str">
        <f>IF($A491="","",SUMIF(Sales!$E:$E,$A491,Sales!$P:$P))</f>
        <v/>
      </c>
      <c r="H491" s="156" t="str">
        <f t="array" ref="H491">IF($A491="","",IFERROR(INDEX(Orders!$O$5:$O$1004,MATCH($A491,Orders!$N$5:$N$1004,0)),""))</f>
        <v/>
      </c>
      <c r="I491" s="156" t="str">
        <f t="array" ref="I491">IF($A491="","",IFERROR(INDEX(Orders!$P$5:$P$1004,MATCH($A491,Orders!$N$5:$N$1004,0)),""))</f>
        <v/>
      </c>
      <c r="J491" s="157" t="str">
        <f t="shared" si="1"/>
        <v/>
      </c>
      <c r="K491" s="153" t="str">
        <f t="array" ref="K491">IF($A491="","",IFERROR(INDEX(Sales!$M:$M,MATCH($A491,Sales!$E:$E,0)),""))</f>
        <v/>
      </c>
      <c r="L491" s="158" t="str">
        <f t="shared" si="2"/>
        <v/>
      </c>
      <c r="N491" s="49" t="str">
        <f t="array" ref="N491">IFERROR(INDEX(Sales!$E$7:$E$1506,MATCH(ROW()-4,Sales!$V$7:$V$1506,0)),"")</f>
        <v/>
      </c>
      <c r="O491" s="67"/>
      <c r="P491" s="67"/>
    </row>
    <row r="492" ht="15.75" customHeight="1">
      <c r="A492" s="151" t="str">
        <f t="array" ref="A492">IFERROR(INDEX(Sales!$E$7:$E$1506,MATCH(ROW()-4,Sales!$W$7:$W$1506,0)),"")</f>
        <v/>
      </c>
      <c r="B492" s="152" t="str">
        <f t="array" ref="B492">IF($A492="","",IFERROR(INDEX(Sales!$A:$A,MATCH($A492,Sales!$E:$E,0)),""))</f>
        <v/>
      </c>
      <c r="C492" s="153" t="str">
        <f t="array" ref="C492">IF($A492="","",IFERROR(INDEX(Sales!$D:$D,MATCH($A492,Sales!$E:$E,0)),""))</f>
        <v/>
      </c>
      <c r="D492" s="153" t="str">
        <f t="array" ref="D492">IF($A492="","",IFERROR(INDEX(Sales!$C:$C,MATCH($A492,Sales!$E:$E,0)),""))</f>
        <v/>
      </c>
      <c r="E492" s="154" t="str">
        <f>IF($A492="","",SUMIFS(Sales!$H:$H,Sales!$E:$E,$A492,Sales!$B:$B,"&lt;&gt;Return"))</f>
        <v/>
      </c>
      <c r="F492" s="155" t="str">
        <f>IF($A492="","",SUMIF(Sales!$E:$E,$A492,Sales!$L:$L))</f>
        <v/>
      </c>
      <c r="G492" s="155" t="str">
        <f>IF($A492="","",SUMIF(Sales!$E:$E,$A492,Sales!$P:$P))</f>
        <v/>
      </c>
      <c r="H492" s="156" t="str">
        <f t="array" ref="H492">IF($A492="","",IFERROR(INDEX(Orders!$O$5:$O$1004,MATCH($A492,Orders!$N$5:$N$1004,0)),""))</f>
        <v/>
      </c>
      <c r="I492" s="156" t="str">
        <f t="array" ref="I492">IF($A492="","",IFERROR(INDEX(Orders!$P$5:$P$1004,MATCH($A492,Orders!$N$5:$N$1004,0)),""))</f>
        <v/>
      </c>
      <c r="J492" s="157" t="str">
        <f t="shared" si="1"/>
        <v/>
      </c>
      <c r="K492" s="153" t="str">
        <f t="array" ref="K492">IF($A492="","",IFERROR(INDEX(Sales!$M:$M,MATCH($A492,Sales!$E:$E,0)),""))</f>
        <v/>
      </c>
      <c r="L492" s="158" t="str">
        <f t="shared" si="2"/>
        <v/>
      </c>
      <c r="N492" s="49" t="str">
        <f t="array" ref="N492">IFERROR(INDEX(Sales!$E$7:$E$1506,MATCH(ROW()-4,Sales!$V$7:$V$1506,0)),"")</f>
        <v/>
      </c>
      <c r="O492" s="67"/>
      <c r="P492" s="67"/>
    </row>
    <row r="493" ht="15.75" customHeight="1">
      <c r="A493" s="151" t="str">
        <f t="array" ref="A493">IFERROR(INDEX(Sales!$E$7:$E$1506,MATCH(ROW()-4,Sales!$W$7:$W$1506,0)),"")</f>
        <v/>
      </c>
      <c r="B493" s="152" t="str">
        <f t="array" ref="B493">IF($A493="","",IFERROR(INDEX(Sales!$A:$A,MATCH($A493,Sales!$E:$E,0)),""))</f>
        <v/>
      </c>
      <c r="C493" s="153" t="str">
        <f t="array" ref="C493">IF($A493="","",IFERROR(INDEX(Sales!$D:$D,MATCH($A493,Sales!$E:$E,0)),""))</f>
        <v/>
      </c>
      <c r="D493" s="153" t="str">
        <f t="array" ref="D493">IF($A493="","",IFERROR(INDEX(Sales!$C:$C,MATCH($A493,Sales!$E:$E,0)),""))</f>
        <v/>
      </c>
      <c r="E493" s="154" t="str">
        <f>IF($A493="","",SUMIFS(Sales!$H:$H,Sales!$E:$E,$A493,Sales!$B:$B,"&lt;&gt;Return"))</f>
        <v/>
      </c>
      <c r="F493" s="155" t="str">
        <f>IF($A493="","",SUMIF(Sales!$E:$E,$A493,Sales!$L:$L))</f>
        <v/>
      </c>
      <c r="G493" s="155" t="str">
        <f>IF($A493="","",SUMIF(Sales!$E:$E,$A493,Sales!$P:$P))</f>
        <v/>
      </c>
      <c r="H493" s="156" t="str">
        <f t="array" ref="H493">IF($A493="","",IFERROR(INDEX(Orders!$O$5:$O$1004,MATCH($A493,Orders!$N$5:$N$1004,0)),""))</f>
        <v/>
      </c>
      <c r="I493" s="156" t="str">
        <f t="array" ref="I493">IF($A493="","",IFERROR(INDEX(Orders!$P$5:$P$1004,MATCH($A493,Orders!$N$5:$N$1004,0)),""))</f>
        <v/>
      </c>
      <c r="J493" s="157" t="str">
        <f t="shared" si="1"/>
        <v/>
      </c>
      <c r="K493" s="153" t="str">
        <f t="array" ref="K493">IF($A493="","",IFERROR(INDEX(Sales!$M:$M,MATCH($A493,Sales!$E:$E,0)),""))</f>
        <v/>
      </c>
      <c r="L493" s="158" t="str">
        <f t="shared" si="2"/>
        <v/>
      </c>
      <c r="N493" s="49" t="str">
        <f t="array" ref="N493">IFERROR(INDEX(Sales!$E$7:$E$1506,MATCH(ROW()-4,Sales!$V$7:$V$1506,0)),"")</f>
        <v/>
      </c>
      <c r="O493" s="67"/>
      <c r="P493" s="67"/>
    </row>
    <row r="494" ht="15.75" customHeight="1">
      <c r="A494" s="151" t="str">
        <f t="array" ref="A494">IFERROR(INDEX(Sales!$E$7:$E$1506,MATCH(ROW()-4,Sales!$W$7:$W$1506,0)),"")</f>
        <v/>
      </c>
      <c r="B494" s="152" t="str">
        <f t="array" ref="B494">IF($A494="","",IFERROR(INDEX(Sales!$A:$A,MATCH($A494,Sales!$E:$E,0)),""))</f>
        <v/>
      </c>
      <c r="C494" s="153" t="str">
        <f t="array" ref="C494">IF($A494="","",IFERROR(INDEX(Sales!$D:$D,MATCH($A494,Sales!$E:$E,0)),""))</f>
        <v/>
      </c>
      <c r="D494" s="153" t="str">
        <f t="array" ref="D494">IF($A494="","",IFERROR(INDEX(Sales!$C:$C,MATCH($A494,Sales!$E:$E,0)),""))</f>
        <v/>
      </c>
      <c r="E494" s="154" t="str">
        <f>IF($A494="","",SUMIFS(Sales!$H:$H,Sales!$E:$E,$A494,Sales!$B:$B,"&lt;&gt;Return"))</f>
        <v/>
      </c>
      <c r="F494" s="155" t="str">
        <f>IF($A494="","",SUMIF(Sales!$E:$E,$A494,Sales!$L:$L))</f>
        <v/>
      </c>
      <c r="G494" s="155" t="str">
        <f>IF($A494="","",SUMIF(Sales!$E:$E,$A494,Sales!$P:$P))</f>
        <v/>
      </c>
      <c r="H494" s="156" t="str">
        <f t="array" ref="H494">IF($A494="","",IFERROR(INDEX(Orders!$O$5:$O$1004,MATCH($A494,Orders!$N$5:$N$1004,0)),""))</f>
        <v/>
      </c>
      <c r="I494" s="156" t="str">
        <f t="array" ref="I494">IF($A494="","",IFERROR(INDEX(Orders!$P$5:$P$1004,MATCH($A494,Orders!$N$5:$N$1004,0)),""))</f>
        <v/>
      </c>
      <c r="J494" s="157" t="str">
        <f t="shared" si="1"/>
        <v/>
      </c>
      <c r="K494" s="153" t="str">
        <f t="array" ref="K494">IF($A494="","",IFERROR(INDEX(Sales!$M:$M,MATCH($A494,Sales!$E:$E,0)),""))</f>
        <v/>
      </c>
      <c r="L494" s="158" t="str">
        <f t="shared" si="2"/>
        <v/>
      </c>
      <c r="N494" s="49" t="str">
        <f t="array" ref="N494">IFERROR(INDEX(Sales!$E$7:$E$1506,MATCH(ROW()-4,Sales!$V$7:$V$1506,0)),"")</f>
        <v/>
      </c>
      <c r="O494" s="67"/>
      <c r="P494" s="67"/>
    </row>
    <row r="495" ht="15.75" customHeight="1">
      <c r="A495" s="151" t="str">
        <f t="array" ref="A495">IFERROR(INDEX(Sales!$E$7:$E$1506,MATCH(ROW()-4,Sales!$W$7:$W$1506,0)),"")</f>
        <v/>
      </c>
      <c r="B495" s="152" t="str">
        <f t="array" ref="B495">IF($A495="","",IFERROR(INDEX(Sales!$A:$A,MATCH($A495,Sales!$E:$E,0)),""))</f>
        <v/>
      </c>
      <c r="C495" s="153" t="str">
        <f t="array" ref="C495">IF($A495="","",IFERROR(INDEX(Sales!$D:$D,MATCH($A495,Sales!$E:$E,0)),""))</f>
        <v/>
      </c>
      <c r="D495" s="153" t="str">
        <f t="array" ref="D495">IF($A495="","",IFERROR(INDEX(Sales!$C:$C,MATCH($A495,Sales!$E:$E,0)),""))</f>
        <v/>
      </c>
      <c r="E495" s="154" t="str">
        <f>IF($A495="","",SUMIFS(Sales!$H:$H,Sales!$E:$E,$A495,Sales!$B:$B,"&lt;&gt;Return"))</f>
        <v/>
      </c>
      <c r="F495" s="155" t="str">
        <f>IF($A495="","",SUMIF(Sales!$E:$E,$A495,Sales!$L:$L))</f>
        <v/>
      </c>
      <c r="G495" s="155" t="str">
        <f>IF($A495="","",SUMIF(Sales!$E:$E,$A495,Sales!$P:$P))</f>
        <v/>
      </c>
      <c r="H495" s="156" t="str">
        <f t="array" ref="H495">IF($A495="","",IFERROR(INDEX(Orders!$O$5:$O$1004,MATCH($A495,Orders!$N$5:$N$1004,0)),""))</f>
        <v/>
      </c>
      <c r="I495" s="156" t="str">
        <f t="array" ref="I495">IF($A495="","",IFERROR(INDEX(Orders!$P$5:$P$1004,MATCH($A495,Orders!$N$5:$N$1004,0)),""))</f>
        <v/>
      </c>
      <c r="J495" s="157" t="str">
        <f t="shared" si="1"/>
        <v/>
      </c>
      <c r="K495" s="153" t="str">
        <f t="array" ref="K495">IF($A495="","",IFERROR(INDEX(Sales!$M:$M,MATCH($A495,Sales!$E:$E,0)),""))</f>
        <v/>
      </c>
      <c r="L495" s="158" t="str">
        <f t="shared" si="2"/>
        <v/>
      </c>
      <c r="N495" s="49" t="str">
        <f t="array" ref="N495">IFERROR(INDEX(Sales!$E$7:$E$1506,MATCH(ROW()-4,Sales!$V$7:$V$1506,0)),"")</f>
        <v/>
      </c>
      <c r="O495" s="67"/>
      <c r="P495" s="67"/>
    </row>
    <row r="496" ht="15.75" customHeight="1">
      <c r="A496" s="151" t="str">
        <f t="array" ref="A496">IFERROR(INDEX(Sales!$E$7:$E$1506,MATCH(ROW()-4,Sales!$W$7:$W$1506,0)),"")</f>
        <v/>
      </c>
      <c r="B496" s="152" t="str">
        <f t="array" ref="B496">IF($A496="","",IFERROR(INDEX(Sales!$A:$A,MATCH($A496,Sales!$E:$E,0)),""))</f>
        <v/>
      </c>
      <c r="C496" s="153" t="str">
        <f t="array" ref="C496">IF($A496="","",IFERROR(INDEX(Sales!$D:$D,MATCH($A496,Sales!$E:$E,0)),""))</f>
        <v/>
      </c>
      <c r="D496" s="153" t="str">
        <f t="array" ref="D496">IF($A496="","",IFERROR(INDEX(Sales!$C:$C,MATCH($A496,Sales!$E:$E,0)),""))</f>
        <v/>
      </c>
      <c r="E496" s="154" t="str">
        <f>IF($A496="","",SUMIFS(Sales!$H:$H,Sales!$E:$E,$A496,Sales!$B:$B,"&lt;&gt;Return"))</f>
        <v/>
      </c>
      <c r="F496" s="155" t="str">
        <f>IF($A496="","",SUMIF(Sales!$E:$E,$A496,Sales!$L:$L))</f>
        <v/>
      </c>
      <c r="G496" s="155" t="str">
        <f>IF($A496="","",SUMIF(Sales!$E:$E,$A496,Sales!$P:$P))</f>
        <v/>
      </c>
      <c r="H496" s="156" t="str">
        <f t="array" ref="H496">IF($A496="","",IFERROR(INDEX(Orders!$O$5:$O$1004,MATCH($A496,Orders!$N$5:$N$1004,0)),""))</f>
        <v/>
      </c>
      <c r="I496" s="156" t="str">
        <f t="array" ref="I496">IF($A496="","",IFERROR(INDEX(Orders!$P$5:$P$1004,MATCH($A496,Orders!$N$5:$N$1004,0)),""))</f>
        <v/>
      </c>
      <c r="J496" s="157" t="str">
        <f t="shared" si="1"/>
        <v/>
      </c>
      <c r="K496" s="153" t="str">
        <f t="array" ref="K496">IF($A496="","",IFERROR(INDEX(Sales!$M:$M,MATCH($A496,Sales!$E:$E,0)),""))</f>
        <v/>
      </c>
      <c r="L496" s="158" t="str">
        <f t="shared" si="2"/>
        <v/>
      </c>
      <c r="N496" s="49" t="str">
        <f t="array" ref="N496">IFERROR(INDEX(Sales!$E$7:$E$1506,MATCH(ROW()-4,Sales!$V$7:$V$1506,0)),"")</f>
        <v/>
      </c>
      <c r="O496" s="67"/>
      <c r="P496" s="67"/>
    </row>
    <row r="497" ht="15.75" customHeight="1">
      <c r="A497" s="151" t="str">
        <f t="array" ref="A497">IFERROR(INDEX(Sales!$E$7:$E$1506,MATCH(ROW()-4,Sales!$W$7:$W$1506,0)),"")</f>
        <v/>
      </c>
      <c r="B497" s="152" t="str">
        <f t="array" ref="B497">IF($A497="","",IFERROR(INDEX(Sales!$A:$A,MATCH($A497,Sales!$E:$E,0)),""))</f>
        <v/>
      </c>
      <c r="C497" s="153" t="str">
        <f t="array" ref="C497">IF($A497="","",IFERROR(INDEX(Sales!$D:$D,MATCH($A497,Sales!$E:$E,0)),""))</f>
        <v/>
      </c>
      <c r="D497" s="153" t="str">
        <f t="array" ref="D497">IF($A497="","",IFERROR(INDEX(Sales!$C:$C,MATCH($A497,Sales!$E:$E,0)),""))</f>
        <v/>
      </c>
      <c r="E497" s="154" t="str">
        <f>IF($A497="","",SUMIFS(Sales!$H:$H,Sales!$E:$E,$A497,Sales!$B:$B,"&lt;&gt;Return"))</f>
        <v/>
      </c>
      <c r="F497" s="155" t="str">
        <f>IF($A497="","",SUMIF(Sales!$E:$E,$A497,Sales!$L:$L))</f>
        <v/>
      </c>
      <c r="G497" s="155" t="str">
        <f>IF($A497="","",SUMIF(Sales!$E:$E,$A497,Sales!$P:$P))</f>
        <v/>
      </c>
      <c r="H497" s="156" t="str">
        <f t="array" ref="H497">IF($A497="","",IFERROR(INDEX(Orders!$O$5:$O$1004,MATCH($A497,Orders!$N$5:$N$1004,0)),""))</f>
        <v/>
      </c>
      <c r="I497" s="156" t="str">
        <f t="array" ref="I497">IF($A497="","",IFERROR(INDEX(Orders!$P$5:$P$1004,MATCH($A497,Orders!$N$5:$N$1004,0)),""))</f>
        <v/>
      </c>
      <c r="J497" s="157" t="str">
        <f t="shared" si="1"/>
        <v/>
      </c>
      <c r="K497" s="153" t="str">
        <f t="array" ref="K497">IF($A497="","",IFERROR(INDEX(Sales!$M:$M,MATCH($A497,Sales!$E:$E,0)),""))</f>
        <v/>
      </c>
      <c r="L497" s="158" t="str">
        <f t="shared" si="2"/>
        <v/>
      </c>
      <c r="N497" s="49" t="str">
        <f t="array" ref="N497">IFERROR(INDEX(Sales!$E$7:$E$1506,MATCH(ROW()-4,Sales!$V$7:$V$1506,0)),"")</f>
        <v/>
      </c>
      <c r="O497" s="67"/>
      <c r="P497" s="67"/>
    </row>
    <row r="498" ht="15.75" customHeight="1">
      <c r="A498" s="151" t="str">
        <f t="array" ref="A498">IFERROR(INDEX(Sales!$E$7:$E$1506,MATCH(ROW()-4,Sales!$W$7:$W$1506,0)),"")</f>
        <v/>
      </c>
      <c r="B498" s="152" t="str">
        <f t="array" ref="B498">IF($A498="","",IFERROR(INDEX(Sales!$A:$A,MATCH($A498,Sales!$E:$E,0)),""))</f>
        <v/>
      </c>
      <c r="C498" s="153" t="str">
        <f t="array" ref="C498">IF($A498="","",IFERROR(INDEX(Sales!$D:$D,MATCH($A498,Sales!$E:$E,0)),""))</f>
        <v/>
      </c>
      <c r="D498" s="153" t="str">
        <f t="array" ref="D498">IF($A498="","",IFERROR(INDEX(Sales!$C:$C,MATCH($A498,Sales!$E:$E,0)),""))</f>
        <v/>
      </c>
      <c r="E498" s="154" t="str">
        <f>IF($A498="","",SUMIFS(Sales!$H:$H,Sales!$E:$E,$A498,Sales!$B:$B,"&lt;&gt;Return"))</f>
        <v/>
      </c>
      <c r="F498" s="155" t="str">
        <f>IF($A498="","",SUMIF(Sales!$E:$E,$A498,Sales!$L:$L))</f>
        <v/>
      </c>
      <c r="G498" s="155" t="str">
        <f>IF($A498="","",SUMIF(Sales!$E:$E,$A498,Sales!$P:$P))</f>
        <v/>
      </c>
      <c r="H498" s="156" t="str">
        <f t="array" ref="H498">IF($A498="","",IFERROR(INDEX(Orders!$O$5:$O$1004,MATCH($A498,Orders!$N$5:$N$1004,0)),""))</f>
        <v/>
      </c>
      <c r="I498" s="156" t="str">
        <f t="array" ref="I498">IF($A498="","",IFERROR(INDEX(Orders!$P$5:$P$1004,MATCH($A498,Orders!$N$5:$N$1004,0)),""))</f>
        <v/>
      </c>
      <c r="J498" s="157" t="str">
        <f t="shared" si="1"/>
        <v/>
      </c>
      <c r="K498" s="153" t="str">
        <f t="array" ref="K498">IF($A498="","",IFERROR(INDEX(Sales!$M:$M,MATCH($A498,Sales!$E:$E,0)),""))</f>
        <v/>
      </c>
      <c r="L498" s="158" t="str">
        <f t="shared" si="2"/>
        <v/>
      </c>
      <c r="N498" s="49" t="str">
        <f t="array" ref="N498">IFERROR(INDEX(Sales!$E$7:$E$1506,MATCH(ROW()-4,Sales!$V$7:$V$1506,0)),"")</f>
        <v/>
      </c>
      <c r="O498" s="67"/>
      <c r="P498" s="67"/>
    </row>
    <row r="499" ht="15.75" customHeight="1">
      <c r="A499" s="151" t="str">
        <f t="array" ref="A499">IFERROR(INDEX(Sales!$E$7:$E$1506,MATCH(ROW()-4,Sales!$W$7:$W$1506,0)),"")</f>
        <v/>
      </c>
      <c r="B499" s="152" t="str">
        <f t="array" ref="B499">IF($A499="","",IFERROR(INDEX(Sales!$A:$A,MATCH($A499,Sales!$E:$E,0)),""))</f>
        <v/>
      </c>
      <c r="C499" s="153" t="str">
        <f t="array" ref="C499">IF($A499="","",IFERROR(INDEX(Sales!$D:$D,MATCH($A499,Sales!$E:$E,0)),""))</f>
        <v/>
      </c>
      <c r="D499" s="153" t="str">
        <f t="array" ref="D499">IF($A499="","",IFERROR(INDEX(Sales!$C:$C,MATCH($A499,Sales!$E:$E,0)),""))</f>
        <v/>
      </c>
      <c r="E499" s="154" t="str">
        <f>IF($A499="","",SUMIFS(Sales!$H:$H,Sales!$E:$E,$A499,Sales!$B:$B,"&lt;&gt;Return"))</f>
        <v/>
      </c>
      <c r="F499" s="155" t="str">
        <f>IF($A499="","",SUMIF(Sales!$E:$E,$A499,Sales!$L:$L))</f>
        <v/>
      </c>
      <c r="G499" s="155" t="str">
        <f>IF($A499="","",SUMIF(Sales!$E:$E,$A499,Sales!$P:$P))</f>
        <v/>
      </c>
      <c r="H499" s="156" t="str">
        <f t="array" ref="H499">IF($A499="","",IFERROR(INDEX(Orders!$O$5:$O$1004,MATCH($A499,Orders!$N$5:$N$1004,0)),""))</f>
        <v/>
      </c>
      <c r="I499" s="156" t="str">
        <f t="array" ref="I499">IF($A499="","",IFERROR(INDEX(Orders!$P$5:$P$1004,MATCH($A499,Orders!$N$5:$N$1004,0)),""))</f>
        <v/>
      </c>
      <c r="J499" s="157" t="str">
        <f t="shared" si="1"/>
        <v/>
      </c>
      <c r="K499" s="153" t="str">
        <f t="array" ref="K499">IF($A499="","",IFERROR(INDEX(Sales!$M:$M,MATCH($A499,Sales!$E:$E,0)),""))</f>
        <v/>
      </c>
      <c r="L499" s="158" t="str">
        <f t="shared" si="2"/>
        <v/>
      </c>
      <c r="N499" s="49" t="str">
        <f t="array" ref="N499">IFERROR(INDEX(Sales!$E$7:$E$1506,MATCH(ROW()-4,Sales!$V$7:$V$1506,0)),"")</f>
        <v/>
      </c>
      <c r="O499" s="67"/>
      <c r="P499" s="67"/>
    </row>
    <row r="500" ht="15.75" customHeight="1">
      <c r="A500" s="151" t="str">
        <f t="array" ref="A500">IFERROR(INDEX(Sales!$E$7:$E$1506,MATCH(ROW()-4,Sales!$W$7:$W$1506,0)),"")</f>
        <v/>
      </c>
      <c r="B500" s="152" t="str">
        <f t="array" ref="B500">IF($A500="","",IFERROR(INDEX(Sales!$A:$A,MATCH($A500,Sales!$E:$E,0)),""))</f>
        <v/>
      </c>
      <c r="C500" s="153" t="str">
        <f t="array" ref="C500">IF($A500="","",IFERROR(INDEX(Sales!$D:$D,MATCH($A500,Sales!$E:$E,0)),""))</f>
        <v/>
      </c>
      <c r="D500" s="153" t="str">
        <f t="array" ref="D500">IF($A500="","",IFERROR(INDEX(Sales!$C:$C,MATCH($A500,Sales!$E:$E,0)),""))</f>
        <v/>
      </c>
      <c r="E500" s="154" t="str">
        <f>IF($A500="","",SUMIFS(Sales!$H:$H,Sales!$E:$E,$A500,Sales!$B:$B,"&lt;&gt;Return"))</f>
        <v/>
      </c>
      <c r="F500" s="155" t="str">
        <f>IF($A500="","",SUMIF(Sales!$E:$E,$A500,Sales!$L:$L))</f>
        <v/>
      </c>
      <c r="G500" s="155" t="str">
        <f>IF($A500="","",SUMIF(Sales!$E:$E,$A500,Sales!$P:$P))</f>
        <v/>
      </c>
      <c r="H500" s="156" t="str">
        <f t="array" ref="H500">IF($A500="","",IFERROR(INDEX(Orders!$O$5:$O$1004,MATCH($A500,Orders!$N$5:$N$1004,0)),""))</f>
        <v/>
      </c>
      <c r="I500" s="156" t="str">
        <f t="array" ref="I500">IF($A500="","",IFERROR(INDEX(Orders!$P$5:$P$1004,MATCH($A500,Orders!$N$5:$N$1004,0)),""))</f>
        <v/>
      </c>
      <c r="J500" s="157" t="str">
        <f t="shared" si="1"/>
        <v/>
      </c>
      <c r="K500" s="153" t="str">
        <f t="array" ref="K500">IF($A500="","",IFERROR(INDEX(Sales!$M:$M,MATCH($A500,Sales!$E:$E,0)),""))</f>
        <v/>
      </c>
      <c r="L500" s="158" t="str">
        <f t="shared" si="2"/>
        <v/>
      </c>
      <c r="N500" s="49" t="str">
        <f t="array" ref="N500">IFERROR(INDEX(Sales!$E$7:$E$1506,MATCH(ROW()-4,Sales!$V$7:$V$1506,0)),"")</f>
        <v/>
      </c>
      <c r="O500" s="67"/>
      <c r="P500" s="67"/>
    </row>
    <row r="501" ht="15.75" customHeight="1">
      <c r="A501" s="151" t="str">
        <f t="array" ref="A501">IFERROR(INDEX(Sales!$E$7:$E$1506,MATCH(ROW()-4,Sales!$W$7:$W$1506,0)),"")</f>
        <v/>
      </c>
      <c r="B501" s="152" t="str">
        <f t="array" ref="B501">IF($A501="","",IFERROR(INDEX(Sales!$A:$A,MATCH($A501,Sales!$E:$E,0)),""))</f>
        <v/>
      </c>
      <c r="C501" s="153" t="str">
        <f t="array" ref="C501">IF($A501="","",IFERROR(INDEX(Sales!$D:$D,MATCH($A501,Sales!$E:$E,0)),""))</f>
        <v/>
      </c>
      <c r="D501" s="153" t="str">
        <f t="array" ref="D501">IF($A501="","",IFERROR(INDEX(Sales!$C:$C,MATCH($A501,Sales!$E:$E,0)),""))</f>
        <v/>
      </c>
      <c r="E501" s="154" t="str">
        <f>IF($A501="","",SUMIFS(Sales!$H:$H,Sales!$E:$E,$A501,Sales!$B:$B,"&lt;&gt;Return"))</f>
        <v/>
      </c>
      <c r="F501" s="155" t="str">
        <f>IF($A501="","",SUMIF(Sales!$E:$E,$A501,Sales!$L:$L))</f>
        <v/>
      </c>
      <c r="G501" s="155" t="str">
        <f>IF($A501="","",SUMIF(Sales!$E:$E,$A501,Sales!$P:$P))</f>
        <v/>
      </c>
      <c r="H501" s="156" t="str">
        <f t="array" ref="H501">IF($A501="","",IFERROR(INDEX(Orders!$O$5:$O$1004,MATCH($A501,Orders!$N$5:$N$1004,0)),""))</f>
        <v/>
      </c>
      <c r="I501" s="156" t="str">
        <f t="array" ref="I501">IF($A501="","",IFERROR(INDEX(Orders!$P$5:$P$1004,MATCH($A501,Orders!$N$5:$N$1004,0)),""))</f>
        <v/>
      </c>
      <c r="J501" s="157" t="str">
        <f t="shared" si="1"/>
        <v/>
      </c>
      <c r="K501" s="153" t="str">
        <f t="array" ref="K501">IF($A501="","",IFERROR(INDEX(Sales!$M:$M,MATCH($A501,Sales!$E:$E,0)),""))</f>
        <v/>
      </c>
      <c r="L501" s="158" t="str">
        <f t="shared" si="2"/>
        <v/>
      </c>
      <c r="N501" s="49" t="str">
        <f t="array" ref="N501">IFERROR(INDEX(Sales!$E$7:$E$1506,MATCH(ROW()-4,Sales!$V$7:$V$1506,0)),"")</f>
        <v/>
      </c>
      <c r="O501" s="67"/>
      <c r="P501" s="67"/>
    </row>
    <row r="502" ht="15.75" customHeight="1">
      <c r="A502" s="151" t="str">
        <f t="array" ref="A502">IFERROR(INDEX(Sales!$E$7:$E$1506,MATCH(ROW()-4,Sales!$W$7:$W$1506,0)),"")</f>
        <v/>
      </c>
      <c r="B502" s="152" t="str">
        <f t="array" ref="B502">IF($A502="","",IFERROR(INDEX(Sales!$A:$A,MATCH($A502,Sales!$E:$E,0)),""))</f>
        <v/>
      </c>
      <c r="C502" s="153" t="str">
        <f t="array" ref="C502">IF($A502="","",IFERROR(INDEX(Sales!$D:$D,MATCH($A502,Sales!$E:$E,0)),""))</f>
        <v/>
      </c>
      <c r="D502" s="153" t="str">
        <f t="array" ref="D502">IF($A502="","",IFERROR(INDEX(Sales!$C:$C,MATCH($A502,Sales!$E:$E,0)),""))</f>
        <v/>
      </c>
      <c r="E502" s="154" t="str">
        <f>IF($A502="","",SUMIFS(Sales!$H:$H,Sales!$E:$E,$A502,Sales!$B:$B,"&lt;&gt;Return"))</f>
        <v/>
      </c>
      <c r="F502" s="155" t="str">
        <f>IF($A502="","",SUMIF(Sales!$E:$E,$A502,Sales!$L:$L))</f>
        <v/>
      </c>
      <c r="G502" s="155" t="str">
        <f>IF($A502="","",SUMIF(Sales!$E:$E,$A502,Sales!$P:$P))</f>
        <v/>
      </c>
      <c r="H502" s="156" t="str">
        <f t="array" ref="H502">IF($A502="","",IFERROR(INDEX(Orders!$O$5:$O$1004,MATCH($A502,Orders!$N$5:$N$1004,0)),""))</f>
        <v/>
      </c>
      <c r="I502" s="156" t="str">
        <f t="array" ref="I502">IF($A502="","",IFERROR(INDEX(Orders!$P$5:$P$1004,MATCH($A502,Orders!$N$5:$N$1004,0)),""))</f>
        <v/>
      </c>
      <c r="J502" s="157" t="str">
        <f t="shared" si="1"/>
        <v/>
      </c>
      <c r="K502" s="153" t="str">
        <f t="array" ref="K502">IF($A502="","",IFERROR(INDEX(Sales!$M:$M,MATCH($A502,Sales!$E:$E,0)),""))</f>
        <v/>
      </c>
      <c r="L502" s="158" t="str">
        <f t="shared" si="2"/>
        <v/>
      </c>
      <c r="N502" s="49" t="str">
        <f t="array" ref="N502">IFERROR(INDEX(Sales!$E$7:$E$1506,MATCH(ROW()-4,Sales!$V$7:$V$1506,0)),"")</f>
        <v/>
      </c>
      <c r="O502" s="67"/>
      <c r="P502" s="67"/>
    </row>
    <row r="503" ht="15.75" customHeight="1">
      <c r="A503" s="151" t="str">
        <f t="array" ref="A503">IFERROR(INDEX(Sales!$E$7:$E$1506,MATCH(ROW()-4,Sales!$W$7:$W$1506,0)),"")</f>
        <v/>
      </c>
      <c r="B503" s="152" t="str">
        <f t="array" ref="B503">IF($A503="","",IFERROR(INDEX(Sales!$A:$A,MATCH($A503,Sales!$E:$E,0)),""))</f>
        <v/>
      </c>
      <c r="C503" s="153" t="str">
        <f t="array" ref="C503">IF($A503="","",IFERROR(INDEX(Sales!$D:$D,MATCH($A503,Sales!$E:$E,0)),""))</f>
        <v/>
      </c>
      <c r="D503" s="153" t="str">
        <f t="array" ref="D503">IF($A503="","",IFERROR(INDEX(Sales!$C:$C,MATCH($A503,Sales!$E:$E,0)),""))</f>
        <v/>
      </c>
      <c r="E503" s="154" t="str">
        <f>IF($A503="","",SUMIFS(Sales!$H:$H,Sales!$E:$E,$A503,Sales!$B:$B,"&lt;&gt;Return"))</f>
        <v/>
      </c>
      <c r="F503" s="155" t="str">
        <f>IF($A503="","",SUMIF(Sales!$E:$E,$A503,Sales!$L:$L))</f>
        <v/>
      </c>
      <c r="G503" s="155" t="str">
        <f>IF($A503="","",SUMIF(Sales!$E:$E,$A503,Sales!$P:$P))</f>
        <v/>
      </c>
      <c r="H503" s="156" t="str">
        <f t="array" ref="H503">IF($A503="","",IFERROR(INDEX(Orders!$O$5:$O$1004,MATCH($A503,Orders!$N$5:$N$1004,0)),""))</f>
        <v/>
      </c>
      <c r="I503" s="156" t="str">
        <f t="array" ref="I503">IF($A503="","",IFERROR(INDEX(Orders!$P$5:$P$1004,MATCH($A503,Orders!$N$5:$N$1004,0)),""))</f>
        <v/>
      </c>
      <c r="J503" s="157" t="str">
        <f t="shared" si="1"/>
        <v/>
      </c>
      <c r="K503" s="153" t="str">
        <f t="array" ref="K503">IF($A503="","",IFERROR(INDEX(Sales!$M:$M,MATCH($A503,Sales!$E:$E,0)),""))</f>
        <v/>
      </c>
      <c r="L503" s="158" t="str">
        <f t="shared" si="2"/>
        <v/>
      </c>
      <c r="N503" s="49" t="str">
        <f t="array" ref="N503">IFERROR(INDEX(Sales!$E$7:$E$1506,MATCH(ROW()-4,Sales!$V$7:$V$1506,0)),"")</f>
        <v/>
      </c>
      <c r="O503" s="67"/>
      <c r="P503" s="67"/>
    </row>
    <row r="504" ht="15.75" customHeight="1">
      <c r="A504" s="151" t="str">
        <f t="array" ref="A504">IFERROR(INDEX(Sales!$E$7:$E$1506,MATCH(ROW()-4,Sales!$W$7:$W$1506,0)),"")</f>
        <v/>
      </c>
      <c r="B504" s="152" t="str">
        <f t="array" ref="B504">IF($A504="","",IFERROR(INDEX(Sales!$A:$A,MATCH($A504,Sales!$E:$E,0)),""))</f>
        <v/>
      </c>
      <c r="C504" s="153" t="str">
        <f t="array" ref="C504">IF($A504="","",IFERROR(INDEX(Sales!$D:$D,MATCH($A504,Sales!$E:$E,0)),""))</f>
        <v/>
      </c>
      <c r="D504" s="153" t="str">
        <f t="array" ref="D504">IF($A504="","",IFERROR(INDEX(Sales!$C:$C,MATCH($A504,Sales!$E:$E,0)),""))</f>
        <v/>
      </c>
      <c r="E504" s="154" t="str">
        <f>IF($A504="","",SUMIFS(Sales!$H:$H,Sales!$E:$E,$A504,Sales!$B:$B,"&lt;&gt;Return"))</f>
        <v/>
      </c>
      <c r="F504" s="155" t="str">
        <f>IF($A504="","",SUMIF(Sales!$E:$E,$A504,Sales!$L:$L))</f>
        <v/>
      </c>
      <c r="G504" s="155" t="str">
        <f>IF($A504="","",SUMIF(Sales!$E:$E,$A504,Sales!$P:$P))</f>
        <v/>
      </c>
      <c r="H504" s="156" t="str">
        <f t="array" ref="H504">IF($A504="","",IFERROR(INDEX(Orders!$O$5:$O$1004,MATCH($A504,Orders!$N$5:$N$1004,0)),""))</f>
        <v/>
      </c>
      <c r="I504" s="156" t="str">
        <f t="array" ref="I504">IF($A504="","",IFERROR(INDEX(Orders!$P$5:$P$1004,MATCH($A504,Orders!$N$5:$N$1004,0)),""))</f>
        <v/>
      </c>
      <c r="J504" s="157" t="str">
        <f t="shared" si="1"/>
        <v/>
      </c>
      <c r="K504" s="153" t="str">
        <f t="array" ref="K504">IF($A504="","",IFERROR(INDEX(Sales!$M:$M,MATCH($A504,Sales!$E:$E,0)),""))</f>
        <v/>
      </c>
      <c r="L504" s="158" t="str">
        <f t="shared" si="2"/>
        <v/>
      </c>
      <c r="N504" s="49" t="str">
        <f t="array" ref="N504">IFERROR(INDEX(Sales!$E$7:$E$1506,MATCH(ROW()-4,Sales!$V$7:$V$1506,0)),"")</f>
        <v/>
      </c>
      <c r="O504" s="67"/>
      <c r="P504" s="67"/>
    </row>
    <row r="505" ht="15.75" customHeight="1">
      <c r="A505" s="151" t="str">
        <f t="array" ref="A505">IFERROR(INDEX(Sales!$E$7:$E$1506,MATCH(ROW()-4,Sales!$W$7:$W$1506,0)),"")</f>
        <v/>
      </c>
      <c r="B505" s="152" t="str">
        <f t="array" ref="B505">IF($A505="","",IFERROR(INDEX(Sales!$A:$A,MATCH($A505,Sales!$E:$E,0)),""))</f>
        <v/>
      </c>
      <c r="C505" s="153" t="str">
        <f t="array" ref="C505">IF($A505="","",IFERROR(INDEX(Sales!$D:$D,MATCH($A505,Sales!$E:$E,0)),""))</f>
        <v/>
      </c>
      <c r="D505" s="153" t="str">
        <f t="array" ref="D505">IF($A505="","",IFERROR(INDEX(Sales!$C:$C,MATCH($A505,Sales!$E:$E,0)),""))</f>
        <v/>
      </c>
      <c r="E505" s="154" t="str">
        <f>IF($A505="","",SUMIFS(Sales!$H:$H,Sales!$E:$E,$A505,Sales!$B:$B,"&lt;&gt;Return"))</f>
        <v/>
      </c>
      <c r="F505" s="155" t="str">
        <f>IF($A505="","",SUMIF(Sales!$E:$E,$A505,Sales!$L:$L))</f>
        <v/>
      </c>
      <c r="G505" s="155" t="str">
        <f>IF($A505="","",SUMIF(Sales!$E:$E,$A505,Sales!$P:$P))</f>
        <v/>
      </c>
      <c r="H505" s="156" t="str">
        <f t="array" ref="H505">IF($A505="","",IFERROR(INDEX(Orders!$O$5:$O$1004,MATCH($A505,Orders!$N$5:$N$1004,0)),""))</f>
        <v/>
      </c>
      <c r="I505" s="156" t="str">
        <f t="array" ref="I505">IF($A505="","",IFERROR(INDEX(Orders!$P$5:$P$1004,MATCH($A505,Orders!$N$5:$N$1004,0)),""))</f>
        <v/>
      </c>
      <c r="J505" s="157" t="str">
        <f t="shared" si="1"/>
        <v/>
      </c>
      <c r="K505" s="153" t="str">
        <f t="array" ref="K505">IF($A505="","",IFERROR(INDEX(Sales!$M:$M,MATCH($A505,Sales!$E:$E,0)),""))</f>
        <v/>
      </c>
      <c r="L505" s="158" t="str">
        <f t="shared" si="2"/>
        <v/>
      </c>
      <c r="N505" s="49" t="str">
        <f t="array" ref="N505">IFERROR(INDEX(Sales!$E$7:$E$1506,MATCH(ROW()-4,Sales!$V$7:$V$1506,0)),"")</f>
        <v/>
      </c>
      <c r="O505" s="67"/>
      <c r="P505" s="67"/>
    </row>
    <row r="506" ht="15.75" customHeight="1">
      <c r="A506" s="151" t="str">
        <f t="array" ref="A506">IFERROR(INDEX(Sales!$E$7:$E$1506,MATCH(ROW()-4,Sales!$W$7:$W$1506,0)),"")</f>
        <v/>
      </c>
      <c r="B506" s="152" t="str">
        <f t="array" ref="B506">IF($A506="","",IFERROR(INDEX(Sales!$A:$A,MATCH($A506,Sales!$E:$E,0)),""))</f>
        <v/>
      </c>
      <c r="C506" s="153" t="str">
        <f t="array" ref="C506">IF($A506="","",IFERROR(INDEX(Sales!$D:$D,MATCH($A506,Sales!$E:$E,0)),""))</f>
        <v/>
      </c>
      <c r="D506" s="153" t="str">
        <f t="array" ref="D506">IF($A506="","",IFERROR(INDEX(Sales!$C:$C,MATCH($A506,Sales!$E:$E,0)),""))</f>
        <v/>
      </c>
      <c r="E506" s="154" t="str">
        <f>IF($A506="","",SUMIFS(Sales!$H:$H,Sales!$E:$E,$A506,Sales!$B:$B,"&lt;&gt;Return"))</f>
        <v/>
      </c>
      <c r="F506" s="155" t="str">
        <f>IF($A506="","",SUMIF(Sales!$E:$E,$A506,Sales!$L:$L))</f>
        <v/>
      </c>
      <c r="G506" s="155" t="str">
        <f>IF($A506="","",SUMIF(Sales!$E:$E,$A506,Sales!$P:$P))</f>
        <v/>
      </c>
      <c r="H506" s="156" t="str">
        <f t="array" ref="H506">IF($A506="","",IFERROR(INDEX(Orders!$O$5:$O$1004,MATCH($A506,Orders!$N$5:$N$1004,0)),""))</f>
        <v/>
      </c>
      <c r="I506" s="156" t="str">
        <f t="array" ref="I506">IF($A506="","",IFERROR(INDEX(Orders!$P$5:$P$1004,MATCH($A506,Orders!$N$5:$N$1004,0)),""))</f>
        <v/>
      </c>
      <c r="J506" s="157" t="str">
        <f t="shared" si="1"/>
        <v/>
      </c>
      <c r="K506" s="153" t="str">
        <f t="array" ref="K506">IF($A506="","",IFERROR(INDEX(Sales!$M:$M,MATCH($A506,Sales!$E:$E,0)),""))</f>
        <v/>
      </c>
      <c r="L506" s="158" t="str">
        <f t="shared" si="2"/>
        <v/>
      </c>
      <c r="N506" s="49" t="str">
        <f t="array" ref="N506">IFERROR(INDEX(Sales!$E$7:$E$1506,MATCH(ROW()-4,Sales!$V$7:$V$1506,0)),"")</f>
        <v/>
      </c>
      <c r="O506" s="67"/>
      <c r="P506" s="67"/>
    </row>
    <row r="507" ht="15.75" customHeight="1">
      <c r="A507" s="151" t="str">
        <f t="array" ref="A507">IFERROR(INDEX(Sales!$E$7:$E$1506,MATCH(ROW()-4,Sales!$W$7:$W$1506,0)),"")</f>
        <v/>
      </c>
      <c r="B507" s="152" t="str">
        <f t="array" ref="B507">IF($A507="","",IFERROR(INDEX(Sales!$A:$A,MATCH($A507,Sales!$E:$E,0)),""))</f>
        <v/>
      </c>
      <c r="C507" s="153" t="str">
        <f t="array" ref="C507">IF($A507="","",IFERROR(INDEX(Sales!$D:$D,MATCH($A507,Sales!$E:$E,0)),""))</f>
        <v/>
      </c>
      <c r="D507" s="153" t="str">
        <f t="array" ref="D507">IF($A507="","",IFERROR(INDEX(Sales!$C:$C,MATCH($A507,Sales!$E:$E,0)),""))</f>
        <v/>
      </c>
      <c r="E507" s="154" t="str">
        <f>IF($A507="","",SUMIFS(Sales!$H:$H,Sales!$E:$E,$A507,Sales!$B:$B,"&lt;&gt;Return"))</f>
        <v/>
      </c>
      <c r="F507" s="155" t="str">
        <f>IF($A507="","",SUMIF(Sales!$E:$E,$A507,Sales!$L:$L))</f>
        <v/>
      </c>
      <c r="G507" s="155" t="str">
        <f>IF($A507="","",SUMIF(Sales!$E:$E,$A507,Sales!$P:$P))</f>
        <v/>
      </c>
      <c r="H507" s="156" t="str">
        <f t="array" ref="H507">IF($A507="","",IFERROR(INDEX(Orders!$O$5:$O$1004,MATCH($A507,Orders!$N$5:$N$1004,0)),""))</f>
        <v/>
      </c>
      <c r="I507" s="156" t="str">
        <f t="array" ref="I507">IF($A507="","",IFERROR(INDEX(Orders!$P$5:$P$1004,MATCH($A507,Orders!$N$5:$N$1004,0)),""))</f>
        <v/>
      </c>
      <c r="J507" s="157" t="str">
        <f t="shared" si="1"/>
        <v/>
      </c>
      <c r="K507" s="153" t="str">
        <f t="array" ref="K507">IF($A507="","",IFERROR(INDEX(Sales!$M:$M,MATCH($A507,Sales!$E:$E,0)),""))</f>
        <v/>
      </c>
      <c r="L507" s="158" t="str">
        <f t="shared" si="2"/>
        <v/>
      </c>
      <c r="N507" s="49" t="str">
        <f t="array" ref="N507">IFERROR(INDEX(Sales!$E$7:$E$1506,MATCH(ROW()-4,Sales!$V$7:$V$1506,0)),"")</f>
        <v/>
      </c>
      <c r="O507" s="67"/>
      <c r="P507" s="67"/>
    </row>
    <row r="508" ht="15.75" customHeight="1">
      <c r="A508" s="151" t="str">
        <f t="array" ref="A508">IFERROR(INDEX(Sales!$E$7:$E$1506,MATCH(ROW()-4,Sales!$W$7:$W$1506,0)),"")</f>
        <v/>
      </c>
      <c r="B508" s="152" t="str">
        <f t="array" ref="B508">IF($A508="","",IFERROR(INDEX(Sales!$A:$A,MATCH($A508,Sales!$E:$E,0)),""))</f>
        <v/>
      </c>
      <c r="C508" s="153" t="str">
        <f t="array" ref="C508">IF($A508="","",IFERROR(INDEX(Sales!$D:$D,MATCH($A508,Sales!$E:$E,0)),""))</f>
        <v/>
      </c>
      <c r="D508" s="153" t="str">
        <f t="array" ref="D508">IF($A508="","",IFERROR(INDEX(Sales!$C:$C,MATCH($A508,Sales!$E:$E,0)),""))</f>
        <v/>
      </c>
      <c r="E508" s="154" t="str">
        <f>IF($A508="","",SUMIFS(Sales!$H:$H,Sales!$E:$E,$A508,Sales!$B:$B,"&lt;&gt;Return"))</f>
        <v/>
      </c>
      <c r="F508" s="155" t="str">
        <f>IF($A508="","",SUMIF(Sales!$E:$E,$A508,Sales!$L:$L))</f>
        <v/>
      </c>
      <c r="G508" s="155" t="str">
        <f>IF($A508="","",SUMIF(Sales!$E:$E,$A508,Sales!$P:$P))</f>
        <v/>
      </c>
      <c r="H508" s="156" t="str">
        <f t="array" ref="H508">IF($A508="","",IFERROR(INDEX(Orders!$O$5:$O$1004,MATCH($A508,Orders!$N$5:$N$1004,0)),""))</f>
        <v/>
      </c>
      <c r="I508" s="156" t="str">
        <f t="array" ref="I508">IF($A508="","",IFERROR(INDEX(Orders!$P$5:$P$1004,MATCH($A508,Orders!$N$5:$N$1004,0)),""))</f>
        <v/>
      </c>
      <c r="J508" s="157" t="str">
        <f t="shared" si="1"/>
        <v/>
      </c>
      <c r="K508" s="153" t="str">
        <f t="array" ref="K508">IF($A508="","",IFERROR(INDEX(Sales!$M:$M,MATCH($A508,Sales!$E:$E,0)),""))</f>
        <v/>
      </c>
      <c r="L508" s="158" t="str">
        <f t="shared" si="2"/>
        <v/>
      </c>
      <c r="N508" s="49" t="str">
        <f t="array" ref="N508">IFERROR(INDEX(Sales!$E$7:$E$1506,MATCH(ROW()-4,Sales!$V$7:$V$1506,0)),"")</f>
        <v/>
      </c>
      <c r="O508" s="67"/>
      <c r="P508" s="67"/>
    </row>
    <row r="509" ht="15.75" customHeight="1">
      <c r="A509" s="151" t="str">
        <f t="array" ref="A509">IFERROR(INDEX(Sales!$E$7:$E$1506,MATCH(ROW()-4,Sales!$W$7:$W$1506,0)),"")</f>
        <v/>
      </c>
      <c r="B509" s="152" t="str">
        <f t="array" ref="B509">IF($A509="","",IFERROR(INDEX(Sales!$A:$A,MATCH($A509,Sales!$E:$E,0)),""))</f>
        <v/>
      </c>
      <c r="C509" s="153" t="str">
        <f t="array" ref="C509">IF($A509="","",IFERROR(INDEX(Sales!$D:$D,MATCH($A509,Sales!$E:$E,0)),""))</f>
        <v/>
      </c>
      <c r="D509" s="153" t="str">
        <f t="array" ref="D509">IF($A509="","",IFERROR(INDEX(Sales!$C:$C,MATCH($A509,Sales!$E:$E,0)),""))</f>
        <v/>
      </c>
      <c r="E509" s="154" t="str">
        <f>IF($A509="","",SUMIFS(Sales!$H:$H,Sales!$E:$E,$A509,Sales!$B:$B,"&lt;&gt;Return"))</f>
        <v/>
      </c>
      <c r="F509" s="155" t="str">
        <f>IF($A509="","",SUMIF(Sales!$E:$E,$A509,Sales!$L:$L))</f>
        <v/>
      </c>
      <c r="G509" s="155" t="str">
        <f>IF($A509="","",SUMIF(Sales!$E:$E,$A509,Sales!$P:$P))</f>
        <v/>
      </c>
      <c r="H509" s="156" t="str">
        <f t="array" ref="H509">IF($A509="","",IFERROR(INDEX(Orders!$O$5:$O$1004,MATCH($A509,Orders!$N$5:$N$1004,0)),""))</f>
        <v/>
      </c>
      <c r="I509" s="156" t="str">
        <f t="array" ref="I509">IF($A509="","",IFERROR(INDEX(Orders!$P$5:$P$1004,MATCH($A509,Orders!$N$5:$N$1004,0)),""))</f>
        <v/>
      </c>
      <c r="J509" s="157" t="str">
        <f t="shared" si="1"/>
        <v/>
      </c>
      <c r="K509" s="153" t="str">
        <f t="array" ref="K509">IF($A509="","",IFERROR(INDEX(Sales!$M:$M,MATCH($A509,Sales!$E:$E,0)),""))</f>
        <v/>
      </c>
      <c r="L509" s="158" t="str">
        <f t="shared" si="2"/>
        <v/>
      </c>
      <c r="N509" s="49" t="str">
        <f t="array" ref="N509">IFERROR(INDEX(Sales!$E$7:$E$1506,MATCH(ROW()-4,Sales!$V$7:$V$1506,0)),"")</f>
        <v/>
      </c>
      <c r="O509" s="67"/>
      <c r="P509" s="67"/>
    </row>
    <row r="510" ht="15.75" customHeight="1">
      <c r="A510" s="151" t="str">
        <f t="array" ref="A510">IFERROR(INDEX(Sales!$E$7:$E$1506,MATCH(ROW()-4,Sales!$W$7:$W$1506,0)),"")</f>
        <v/>
      </c>
      <c r="B510" s="152" t="str">
        <f t="array" ref="B510">IF($A510="","",IFERROR(INDEX(Sales!$A:$A,MATCH($A510,Sales!$E:$E,0)),""))</f>
        <v/>
      </c>
      <c r="C510" s="153" t="str">
        <f t="array" ref="C510">IF($A510="","",IFERROR(INDEX(Sales!$D:$D,MATCH($A510,Sales!$E:$E,0)),""))</f>
        <v/>
      </c>
      <c r="D510" s="153" t="str">
        <f t="array" ref="D510">IF($A510="","",IFERROR(INDEX(Sales!$C:$C,MATCH($A510,Sales!$E:$E,0)),""))</f>
        <v/>
      </c>
      <c r="E510" s="154" t="str">
        <f>IF($A510="","",SUMIFS(Sales!$H:$H,Sales!$E:$E,$A510,Sales!$B:$B,"&lt;&gt;Return"))</f>
        <v/>
      </c>
      <c r="F510" s="155" t="str">
        <f>IF($A510="","",SUMIF(Sales!$E:$E,$A510,Sales!$L:$L))</f>
        <v/>
      </c>
      <c r="G510" s="155" t="str">
        <f>IF($A510="","",SUMIF(Sales!$E:$E,$A510,Sales!$P:$P))</f>
        <v/>
      </c>
      <c r="H510" s="156" t="str">
        <f t="array" ref="H510">IF($A510="","",IFERROR(INDEX(Orders!$O$5:$O$1004,MATCH($A510,Orders!$N$5:$N$1004,0)),""))</f>
        <v/>
      </c>
      <c r="I510" s="156" t="str">
        <f t="array" ref="I510">IF($A510="","",IFERROR(INDEX(Orders!$P$5:$P$1004,MATCH($A510,Orders!$N$5:$N$1004,0)),""))</f>
        <v/>
      </c>
      <c r="J510" s="157" t="str">
        <f t="shared" si="1"/>
        <v/>
      </c>
      <c r="K510" s="153" t="str">
        <f t="array" ref="K510">IF($A510="","",IFERROR(INDEX(Sales!$M:$M,MATCH($A510,Sales!$E:$E,0)),""))</f>
        <v/>
      </c>
      <c r="L510" s="158" t="str">
        <f t="shared" si="2"/>
        <v/>
      </c>
      <c r="N510" s="49" t="str">
        <f t="array" ref="N510">IFERROR(INDEX(Sales!$E$7:$E$1506,MATCH(ROW()-4,Sales!$V$7:$V$1506,0)),"")</f>
        <v/>
      </c>
      <c r="O510" s="67"/>
      <c r="P510" s="67"/>
    </row>
    <row r="511" ht="15.75" customHeight="1">
      <c r="A511" s="151" t="str">
        <f t="array" ref="A511">IFERROR(INDEX(Sales!$E$7:$E$1506,MATCH(ROW()-4,Sales!$W$7:$W$1506,0)),"")</f>
        <v/>
      </c>
      <c r="B511" s="152" t="str">
        <f t="array" ref="B511">IF($A511="","",IFERROR(INDEX(Sales!$A:$A,MATCH($A511,Sales!$E:$E,0)),""))</f>
        <v/>
      </c>
      <c r="C511" s="153" t="str">
        <f t="array" ref="C511">IF($A511="","",IFERROR(INDEX(Sales!$D:$D,MATCH($A511,Sales!$E:$E,0)),""))</f>
        <v/>
      </c>
      <c r="D511" s="153" t="str">
        <f t="array" ref="D511">IF($A511="","",IFERROR(INDEX(Sales!$C:$C,MATCH($A511,Sales!$E:$E,0)),""))</f>
        <v/>
      </c>
      <c r="E511" s="154" t="str">
        <f>IF($A511="","",SUMIFS(Sales!$H:$H,Sales!$E:$E,$A511,Sales!$B:$B,"&lt;&gt;Return"))</f>
        <v/>
      </c>
      <c r="F511" s="155" t="str">
        <f>IF($A511="","",SUMIF(Sales!$E:$E,$A511,Sales!$L:$L))</f>
        <v/>
      </c>
      <c r="G511" s="155" t="str">
        <f>IF($A511="","",SUMIF(Sales!$E:$E,$A511,Sales!$P:$P))</f>
        <v/>
      </c>
      <c r="H511" s="156" t="str">
        <f t="array" ref="H511">IF($A511="","",IFERROR(INDEX(Orders!$O$5:$O$1004,MATCH($A511,Orders!$N$5:$N$1004,0)),""))</f>
        <v/>
      </c>
      <c r="I511" s="156" t="str">
        <f t="array" ref="I511">IF($A511="","",IFERROR(INDEX(Orders!$P$5:$P$1004,MATCH($A511,Orders!$N$5:$N$1004,0)),""))</f>
        <v/>
      </c>
      <c r="J511" s="157" t="str">
        <f t="shared" si="1"/>
        <v/>
      </c>
      <c r="K511" s="153" t="str">
        <f t="array" ref="K511">IF($A511="","",IFERROR(INDEX(Sales!$M:$M,MATCH($A511,Sales!$E:$E,0)),""))</f>
        <v/>
      </c>
      <c r="L511" s="158" t="str">
        <f t="shared" si="2"/>
        <v/>
      </c>
      <c r="N511" s="49" t="str">
        <f t="array" ref="N511">IFERROR(INDEX(Sales!$E$7:$E$1506,MATCH(ROW()-4,Sales!$V$7:$V$1506,0)),"")</f>
        <v/>
      </c>
      <c r="O511" s="67"/>
      <c r="P511" s="67"/>
    </row>
    <row r="512" ht="15.75" customHeight="1">
      <c r="A512" s="151" t="str">
        <f t="array" ref="A512">IFERROR(INDEX(Sales!$E$7:$E$1506,MATCH(ROW()-4,Sales!$W$7:$W$1506,0)),"")</f>
        <v/>
      </c>
      <c r="B512" s="152" t="str">
        <f t="array" ref="B512">IF($A512="","",IFERROR(INDEX(Sales!$A:$A,MATCH($A512,Sales!$E:$E,0)),""))</f>
        <v/>
      </c>
      <c r="C512" s="153" t="str">
        <f t="array" ref="C512">IF($A512="","",IFERROR(INDEX(Sales!$D:$D,MATCH($A512,Sales!$E:$E,0)),""))</f>
        <v/>
      </c>
      <c r="D512" s="153" t="str">
        <f t="array" ref="D512">IF($A512="","",IFERROR(INDEX(Sales!$C:$C,MATCH($A512,Sales!$E:$E,0)),""))</f>
        <v/>
      </c>
      <c r="E512" s="154" t="str">
        <f>IF($A512="","",SUMIFS(Sales!$H:$H,Sales!$E:$E,$A512,Sales!$B:$B,"&lt;&gt;Return"))</f>
        <v/>
      </c>
      <c r="F512" s="155" t="str">
        <f>IF($A512="","",SUMIF(Sales!$E:$E,$A512,Sales!$L:$L))</f>
        <v/>
      </c>
      <c r="G512" s="155" t="str">
        <f>IF($A512="","",SUMIF(Sales!$E:$E,$A512,Sales!$P:$P))</f>
        <v/>
      </c>
      <c r="H512" s="156" t="str">
        <f t="array" ref="H512">IF($A512="","",IFERROR(INDEX(Orders!$O$5:$O$1004,MATCH($A512,Orders!$N$5:$N$1004,0)),""))</f>
        <v/>
      </c>
      <c r="I512" s="156" t="str">
        <f t="array" ref="I512">IF($A512="","",IFERROR(INDEX(Orders!$P$5:$P$1004,MATCH($A512,Orders!$N$5:$N$1004,0)),""))</f>
        <v/>
      </c>
      <c r="J512" s="157" t="str">
        <f t="shared" si="1"/>
        <v/>
      </c>
      <c r="K512" s="153" t="str">
        <f t="array" ref="K512">IF($A512="","",IFERROR(INDEX(Sales!$M:$M,MATCH($A512,Sales!$E:$E,0)),""))</f>
        <v/>
      </c>
      <c r="L512" s="158" t="str">
        <f t="shared" si="2"/>
        <v/>
      </c>
      <c r="N512" s="49" t="str">
        <f t="array" ref="N512">IFERROR(INDEX(Sales!$E$7:$E$1506,MATCH(ROW()-4,Sales!$V$7:$V$1506,0)),"")</f>
        <v/>
      </c>
      <c r="O512" s="67"/>
      <c r="P512" s="67"/>
    </row>
    <row r="513" ht="15.75" customHeight="1">
      <c r="A513" s="151" t="str">
        <f t="array" ref="A513">IFERROR(INDEX(Sales!$E$7:$E$1506,MATCH(ROW()-4,Sales!$W$7:$W$1506,0)),"")</f>
        <v/>
      </c>
      <c r="B513" s="152" t="str">
        <f t="array" ref="B513">IF($A513="","",IFERROR(INDEX(Sales!$A:$A,MATCH($A513,Sales!$E:$E,0)),""))</f>
        <v/>
      </c>
      <c r="C513" s="153" t="str">
        <f t="array" ref="C513">IF($A513="","",IFERROR(INDEX(Sales!$D:$D,MATCH($A513,Sales!$E:$E,0)),""))</f>
        <v/>
      </c>
      <c r="D513" s="153" t="str">
        <f t="array" ref="D513">IF($A513="","",IFERROR(INDEX(Sales!$C:$C,MATCH($A513,Sales!$E:$E,0)),""))</f>
        <v/>
      </c>
      <c r="E513" s="154" t="str">
        <f>IF($A513="","",SUMIFS(Sales!$H:$H,Sales!$E:$E,$A513,Sales!$B:$B,"&lt;&gt;Return"))</f>
        <v/>
      </c>
      <c r="F513" s="155" t="str">
        <f>IF($A513="","",SUMIF(Sales!$E:$E,$A513,Sales!$L:$L))</f>
        <v/>
      </c>
      <c r="G513" s="155" t="str">
        <f>IF($A513="","",SUMIF(Sales!$E:$E,$A513,Sales!$P:$P))</f>
        <v/>
      </c>
      <c r="H513" s="156" t="str">
        <f t="array" ref="H513">IF($A513="","",IFERROR(INDEX(Orders!$O$5:$O$1004,MATCH($A513,Orders!$N$5:$N$1004,0)),""))</f>
        <v/>
      </c>
      <c r="I513" s="156" t="str">
        <f t="array" ref="I513">IF($A513="","",IFERROR(INDEX(Orders!$P$5:$P$1004,MATCH($A513,Orders!$N$5:$N$1004,0)),""))</f>
        <v/>
      </c>
      <c r="J513" s="157" t="str">
        <f t="shared" si="1"/>
        <v/>
      </c>
      <c r="K513" s="153" t="str">
        <f t="array" ref="K513">IF($A513="","",IFERROR(INDEX(Sales!$M:$M,MATCH($A513,Sales!$E:$E,0)),""))</f>
        <v/>
      </c>
      <c r="L513" s="158" t="str">
        <f t="shared" si="2"/>
        <v/>
      </c>
      <c r="N513" s="49" t="str">
        <f t="array" ref="N513">IFERROR(INDEX(Sales!$E$7:$E$1506,MATCH(ROW()-4,Sales!$V$7:$V$1506,0)),"")</f>
        <v/>
      </c>
      <c r="O513" s="67"/>
      <c r="P513" s="67"/>
    </row>
    <row r="514" ht="15.75" customHeight="1">
      <c r="A514" s="151" t="str">
        <f t="array" ref="A514">IFERROR(INDEX(Sales!$E$7:$E$1506,MATCH(ROW()-4,Sales!$W$7:$W$1506,0)),"")</f>
        <v/>
      </c>
      <c r="B514" s="152" t="str">
        <f t="array" ref="B514">IF($A514="","",IFERROR(INDEX(Sales!$A:$A,MATCH($A514,Sales!$E:$E,0)),""))</f>
        <v/>
      </c>
      <c r="C514" s="153" t="str">
        <f t="array" ref="C514">IF($A514="","",IFERROR(INDEX(Sales!$D:$D,MATCH($A514,Sales!$E:$E,0)),""))</f>
        <v/>
      </c>
      <c r="D514" s="153" t="str">
        <f t="array" ref="D514">IF($A514="","",IFERROR(INDEX(Sales!$C:$C,MATCH($A514,Sales!$E:$E,0)),""))</f>
        <v/>
      </c>
      <c r="E514" s="154" t="str">
        <f>IF($A514="","",SUMIFS(Sales!$H:$H,Sales!$E:$E,$A514,Sales!$B:$B,"&lt;&gt;Return"))</f>
        <v/>
      </c>
      <c r="F514" s="155" t="str">
        <f>IF($A514="","",SUMIF(Sales!$E:$E,$A514,Sales!$L:$L))</f>
        <v/>
      </c>
      <c r="G514" s="155" t="str">
        <f>IF($A514="","",SUMIF(Sales!$E:$E,$A514,Sales!$P:$P))</f>
        <v/>
      </c>
      <c r="H514" s="156" t="str">
        <f t="array" ref="H514">IF($A514="","",IFERROR(INDEX(Orders!$O$5:$O$1004,MATCH($A514,Orders!$N$5:$N$1004,0)),""))</f>
        <v/>
      </c>
      <c r="I514" s="156" t="str">
        <f t="array" ref="I514">IF($A514="","",IFERROR(INDEX(Orders!$P$5:$P$1004,MATCH($A514,Orders!$N$5:$N$1004,0)),""))</f>
        <v/>
      </c>
      <c r="J514" s="157" t="str">
        <f t="shared" si="1"/>
        <v/>
      </c>
      <c r="K514" s="153" t="str">
        <f t="array" ref="K514">IF($A514="","",IFERROR(INDEX(Sales!$M:$M,MATCH($A514,Sales!$E:$E,0)),""))</f>
        <v/>
      </c>
      <c r="L514" s="158" t="str">
        <f t="shared" si="2"/>
        <v/>
      </c>
      <c r="N514" s="49" t="str">
        <f t="array" ref="N514">IFERROR(INDEX(Sales!$E$7:$E$1506,MATCH(ROW()-4,Sales!$V$7:$V$1506,0)),"")</f>
        <v/>
      </c>
      <c r="O514" s="67"/>
      <c r="P514" s="67"/>
    </row>
    <row r="515" ht="15.75" customHeight="1">
      <c r="A515" s="151" t="str">
        <f t="array" ref="A515">IFERROR(INDEX(Sales!$E$7:$E$1506,MATCH(ROW()-4,Sales!$W$7:$W$1506,0)),"")</f>
        <v/>
      </c>
      <c r="B515" s="152" t="str">
        <f t="array" ref="B515">IF($A515="","",IFERROR(INDEX(Sales!$A:$A,MATCH($A515,Sales!$E:$E,0)),""))</f>
        <v/>
      </c>
      <c r="C515" s="153" t="str">
        <f t="array" ref="C515">IF($A515="","",IFERROR(INDEX(Sales!$D:$D,MATCH($A515,Sales!$E:$E,0)),""))</f>
        <v/>
      </c>
      <c r="D515" s="153" t="str">
        <f t="array" ref="D515">IF($A515="","",IFERROR(INDEX(Sales!$C:$C,MATCH($A515,Sales!$E:$E,0)),""))</f>
        <v/>
      </c>
      <c r="E515" s="154" t="str">
        <f>IF($A515="","",SUMIFS(Sales!$H:$H,Sales!$E:$E,$A515,Sales!$B:$B,"&lt;&gt;Return"))</f>
        <v/>
      </c>
      <c r="F515" s="155" t="str">
        <f>IF($A515="","",SUMIF(Sales!$E:$E,$A515,Sales!$L:$L))</f>
        <v/>
      </c>
      <c r="G515" s="155" t="str">
        <f>IF($A515="","",SUMIF(Sales!$E:$E,$A515,Sales!$P:$P))</f>
        <v/>
      </c>
      <c r="H515" s="156" t="str">
        <f t="array" ref="H515">IF($A515="","",IFERROR(INDEX(Orders!$O$5:$O$1004,MATCH($A515,Orders!$N$5:$N$1004,0)),""))</f>
        <v/>
      </c>
      <c r="I515" s="156" t="str">
        <f t="array" ref="I515">IF($A515="","",IFERROR(INDEX(Orders!$P$5:$P$1004,MATCH($A515,Orders!$N$5:$N$1004,0)),""))</f>
        <v/>
      </c>
      <c r="J515" s="157" t="str">
        <f t="shared" si="1"/>
        <v/>
      </c>
      <c r="K515" s="153" t="str">
        <f t="array" ref="K515">IF($A515="","",IFERROR(INDEX(Sales!$M:$M,MATCH($A515,Sales!$E:$E,0)),""))</f>
        <v/>
      </c>
      <c r="L515" s="158" t="str">
        <f t="shared" si="2"/>
        <v/>
      </c>
      <c r="N515" s="49" t="str">
        <f t="array" ref="N515">IFERROR(INDEX(Sales!$E$7:$E$1506,MATCH(ROW()-4,Sales!$V$7:$V$1506,0)),"")</f>
        <v/>
      </c>
      <c r="O515" s="67"/>
      <c r="P515" s="67"/>
    </row>
    <row r="516" ht="15.75" customHeight="1">
      <c r="A516" s="151" t="str">
        <f t="array" ref="A516">IFERROR(INDEX(Sales!$E$7:$E$1506,MATCH(ROW()-4,Sales!$W$7:$W$1506,0)),"")</f>
        <v/>
      </c>
      <c r="B516" s="152" t="str">
        <f t="array" ref="B516">IF($A516="","",IFERROR(INDEX(Sales!$A:$A,MATCH($A516,Sales!$E:$E,0)),""))</f>
        <v/>
      </c>
      <c r="C516" s="153" t="str">
        <f t="array" ref="C516">IF($A516="","",IFERROR(INDEX(Sales!$D:$D,MATCH($A516,Sales!$E:$E,0)),""))</f>
        <v/>
      </c>
      <c r="D516" s="153" t="str">
        <f t="array" ref="D516">IF($A516="","",IFERROR(INDEX(Sales!$C:$C,MATCH($A516,Sales!$E:$E,0)),""))</f>
        <v/>
      </c>
      <c r="E516" s="154" t="str">
        <f>IF($A516="","",SUMIFS(Sales!$H:$H,Sales!$E:$E,$A516,Sales!$B:$B,"&lt;&gt;Return"))</f>
        <v/>
      </c>
      <c r="F516" s="155" t="str">
        <f>IF($A516="","",SUMIF(Sales!$E:$E,$A516,Sales!$L:$L))</f>
        <v/>
      </c>
      <c r="G516" s="155" t="str">
        <f>IF($A516="","",SUMIF(Sales!$E:$E,$A516,Sales!$P:$P))</f>
        <v/>
      </c>
      <c r="H516" s="156" t="str">
        <f t="array" ref="H516">IF($A516="","",IFERROR(INDEX(Orders!$O$5:$O$1004,MATCH($A516,Orders!$N$5:$N$1004,0)),""))</f>
        <v/>
      </c>
      <c r="I516" s="156" t="str">
        <f t="array" ref="I516">IF($A516="","",IFERROR(INDEX(Orders!$P$5:$P$1004,MATCH($A516,Orders!$N$5:$N$1004,0)),""))</f>
        <v/>
      </c>
      <c r="J516" s="157" t="str">
        <f t="shared" si="1"/>
        <v/>
      </c>
      <c r="K516" s="153" t="str">
        <f t="array" ref="K516">IF($A516="","",IFERROR(INDEX(Sales!$M:$M,MATCH($A516,Sales!$E:$E,0)),""))</f>
        <v/>
      </c>
      <c r="L516" s="158" t="str">
        <f t="shared" si="2"/>
        <v/>
      </c>
      <c r="N516" s="49" t="str">
        <f t="array" ref="N516">IFERROR(INDEX(Sales!$E$7:$E$1506,MATCH(ROW()-4,Sales!$V$7:$V$1506,0)),"")</f>
        <v/>
      </c>
      <c r="O516" s="67"/>
      <c r="P516" s="67"/>
    </row>
    <row r="517" ht="15.75" customHeight="1">
      <c r="A517" s="151" t="str">
        <f t="array" ref="A517">IFERROR(INDEX(Sales!$E$7:$E$1506,MATCH(ROW()-4,Sales!$W$7:$W$1506,0)),"")</f>
        <v/>
      </c>
      <c r="B517" s="152" t="str">
        <f t="array" ref="B517">IF($A517="","",IFERROR(INDEX(Sales!$A:$A,MATCH($A517,Sales!$E:$E,0)),""))</f>
        <v/>
      </c>
      <c r="C517" s="153" t="str">
        <f t="array" ref="C517">IF($A517="","",IFERROR(INDEX(Sales!$D:$D,MATCH($A517,Sales!$E:$E,0)),""))</f>
        <v/>
      </c>
      <c r="D517" s="153" t="str">
        <f t="array" ref="D517">IF($A517="","",IFERROR(INDEX(Sales!$C:$C,MATCH($A517,Sales!$E:$E,0)),""))</f>
        <v/>
      </c>
      <c r="E517" s="154" t="str">
        <f>IF($A517="","",SUMIFS(Sales!$H:$H,Sales!$E:$E,$A517,Sales!$B:$B,"&lt;&gt;Return"))</f>
        <v/>
      </c>
      <c r="F517" s="155" t="str">
        <f>IF($A517="","",SUMIF(Sales!$E:$E,$A517,Sales!$L:$L))</f>
        <v/>
      </c>
      <c r="G517" s="155" t="str">
        <f>IF($A517="","",SUMIF(Sales!$E:$E,$A517,Sales!$P:$P))</f>
        <v/>
      </c>
      <c r="H517" s="156" t="str">
        <f t="array" ref="H517">IF($A517="","",IFERROR(INDEX(Orders!$O$5:$O$1004,MATCH($A517,Orders!$N$5:$N$1004,0)),""))</f>
        <v/>
      </c>
      <c r="I517" s="156" t="str">
        <f t="array" ref="I517">IF($A517="","",IFERROR(INDEX(Orders!$P$5:$P$1004,MATCH($A517,Orders!$N$5:$N$1004,0)),""))</f>
        <v/>
      </c>
      <c r="J517" s="157" t="str">
        <f t="shared" si="1"/>
        <v/>
      </c>
      <c r="K517" s="153" t="str">
        <f t="array" ref="K517">IF($A517="","",IFERROR(INDEX(Sales!$M:$M,MATCH($A517,Sales!$E:$E,0)),""))</f>
        <v/>
      </c>
      <c r="L517" s="158" t="str">
        <f t="shared" si="2"/>
        <v/>
      </c>
      <c r="N517" s="49" t="str">
        <f t="array" ref="N517">IFERROR(INDEX(Sales!$E$7:$E$1506,MATCH(ROW()-4,Sales!$V$7:$V$1506,0)),"")</f>
        <v/>
      </c>
      <c r="O517" s="67"/>
      <c r="P517" s="67"/>
    </row>
    <row r="518" ht="15.75" customHeight="1">
      <c r="A518" s="151" t="str">
        <f t="array" ref="A518">IFERROR(INDEX(Sales!$E$7:$E$1506,MATCH(ROW()-4,Sales!$W$7:$W$1506,0)),"")</f>
        <v/>
      </c>
      <c r="B518" s="152" t="str">
        <f t="array" ref="B518">IF($A518="","",IFERROR(INDEX(Sales!$A:$A,MATCH($A518,Sales!$E:$E,0)),""))</f>
        <v/>
      </c>
      <c r="C518" s="153" t="str">
        <f t="array" ref="C518">IF($A518="","",IFERROR(INDEX(Sales!$D:$D,MATCH($A518,Sales!$E:$E,0)),""))</f>
        <v/>
      </c>
      <c r="D518" s="153" t="str">
        <f t="array" ref="D518">IF($A518="","",IFERROR(INDEX(Sales!$C:$C,MATCH($A518,Sales!$E:$E,0)),""))</f>
        <v/>
      </c>
      <c r="E518" s="154" t="str">
        <f>IF($A518="","",SUMIFS(Sales!$H:$H,Sales!$E:$E,$A518,Sales!$B:$B,"&lt;&gt;Return"))</f>
        <v/>
      </c>
      <c r="F518" s="155" t="str">
        <f>IF($A518="","",SUMIF(Sales!$E:$E,$A518,Sales!$L:$L))</f>
        <v/>
      </c>
      <c r="G518" s="155" t="str">
        <f>IF($A518="","",SUMIF(Sales!$E:$E,$A518,Sales!$P:$P))</f>
        <v/>
      </c>
      <c r="H518" s="156" t="str">
        <f t="array" ref="H518">IF($A518="","",IFERROR(INDEX(Orders!$O$5:$O$1004,MATCH($A518,Orders!$N$5:$N$1004,0)),""))</f>
        <v/>
      </c>
      <c r="I518" s="156" t="str">
        <f t="array" ref="I518">IF($A518="","",IFERROR(INDEX(Orders!$P$5:$P$1004,MATCH($A518,Orders!$N$5:$N$1004,0)),""))</f>
        <v/>
      </c>
      <c r="J518" s="157" t="str">
        <f t="shared" si="1"/>
        <v/>
      </c>
      <c r="K518" s="153" t="str">
        <f t="array" ref="K518">IF($A518="","",IFERROR(INDEX(Sales!$M:$M,MATCH($A518,Sales!$E:$E,0)),""))</f>
        <v/>
      </c>
      <c r="L518" s="158" t="str">
        <f t="shared" si="2"/>
        <v/>
      </c>
      <c r="N518" s="49" t="str">
        <f t="array" ref="N518">IFERROR(INDEX(Sales!$E$7:$E$1506,MATCH(ROW()-4,Sales!$V$7:$V$1506,0)),"")</f>
        <v/>
      </c>
      <c r="O518" s="67"/>
      <c r="P518" s="67"/>
    </row>
    <row r="519" ht="15.75" customHeight="1">
      <c r="A519" s="151" t="str">
        <f t="array" ref="A519">IFERROR(INDEX(Sales!$E$7:$E$1506,MATCH(ROW()-4,Sales!$W$7:$W$1506,0)),"")</f>
        <v/>
      </c>
      <c r="B519" s="152" t="str">
        <f t="array" ref="B519">IF($A519="","",IFERROR(INDEX(Sales!$A:$A,MATCH($A519,Sales!$E:$E,0)),""))</f>
        <v/>
      </c>
      <c r="C519" s="153" t="str">
        <f t="array" ref="C519">IF($A519="","",IFERROR(INDEX(Sales!$D:$D,MATCH($A519,Sales!$E:$E,0)),""))</f>
        <v/>
      </c>
      <c r="D519" s="153" t="str">
        <f t="array" ref="D519">IF($A519="","",IFERROR(INDEX(Sales!$C:$C,MATCH($A519,Sales!$E:$E,0)),""))</f>
        <v/>
      </c>
      <c r="E519" s="154" t="str">
        <f>IF($A519="","",SUMIFS(Sales!$H:$H,Sales!$E:$E,$A519,Sales!$B:$B,"&lt;&gt;Return"))</f>
        <v/>
      </c>
      <c r="F519" s="155" t="str">
        <f>IF($A519="","",SUMIF(Sales!$E:$E,$A519,Sales!$L:$L))</f>
        <v/>
      </c>
      <c r="G519" s="155" t="str">
        <f>IF($A519="","",SUMIF(Sales!$E:$E,$A519,Sales!$P:$P))</f>
        <v/>
      </c>
      <c r="H519" s="156" t="str">
        <f t="array" ref="H519">IF($A519="","",IFERROR(INDEX(Orders!$O$5:$O$1004,MATCH($A519,Orders!$N$5:$N$1004,0)),""))</f>
        <v/>
      </c>
      <c r="I519" s="156" t="str">
        <f t="array" ref="I519">IF($A519="","",IFERROR(INDEX(Orders!$P$5:$P$1004,MATCH($A519,Orders!$N$5:$N$1004,0)),""))</f>
        <v/>
      </c>
      <c r="J519" s="157" t="str">
        <f t="shared" si="1"/>
        <v/>
      </c>
      <c r="K519" s="153" t="str">
        <f t="array" ref="K519">IF($A519="","",IFERROR(INDEX(Sales!$M:$M,MATCH($A519,Sales!$E:$E,0)),""))</f>
        <v/>
      </c>
      <c r="L519" s="158" t="str">
        <f t="shared" si="2"/>
        <v/>
      </c>
      <c r="N519" s="49" t="str">
        <f t="array" ref="N519">IFERROR(INDEX(Sales!$E$7:$E$1506,MATCH(ROW()-4,Sales!$V$7:$V$1506,0)),"")</f>
        <v/>
      </c>
      <c r="O519" s="67"/>
      <c r="P519" s="67"/>
    </row>
    <row r="520" ht="15.75" customHeight="1">
      <c r="A520" s="151" t="str">
        <f t="array" ref="A520">IFERROR(INDEX(Sales!$E$7:$E$1506,MATCH(ROW()-4,Sales!$W$7:$W$1506,0)),"")</f>
        <v/>
      </c>
      <c r="B520" s="152" t="str">
        <f t="array" ref="B520">IF($A520="","",IFERROR(INDEX(Sales!$A:$A,MATCH($A520,Sales!$E:$E,0)),""))</f>
        <v/>
      </c>
      <c r="C520" s="153" t="str">
        <f t="array" ref="C520">IF($A520="","",IFERROR(INDEX(Sales!$D:$D,MATCH($A520,Sales!$E:$E,0)),""))</f>
        <v/>
      </c>
      <c r="D520" s="153" t="str">
        <f t="array" ref="D520">IF($A520="","",IFERROR(INDEX(Sales!$C:$C,MATCH($A520,Sales!$E:$E,0)),""))</f>
        <v/>
      </c>
      <c r="E520" s="154" t="str">
        <f>IF($A520="","",SUMIFS(Sales!$H:$H,Sales!$E:$E,$A520,Sales!$B:$B,"&lt;&gt;Return"))</f>
        <v/>
      </c>
      <c r="F520" s="155" t="str">
        <f>IF($A520="","",SUMIF(Sales!$E:$E,$A520,Sales!$L:$L))</f>
        <v/>
      </c>
      <c r="G520" s="155" t="str">
        <f>IF($A520="","",SUMIF(Sales!$E:$E,$A520,Sales!$P:$P))</f>
        <v/>
      </c>
      <c r="H520" s="156" t="str">
        <f t="array" ref="H520">IF($A520="","",IFERROR(INDEX(Orders!$O$5:$O$1004,MATCH($A520,Orders!$N$5:$N$1004,0)),""))</f>
        <v/>
      </c>
      <c r="I520" s="156" t="str">
        <f t="array" ref="I520">IF($A520="","",IFERROR(INDEX(Orders!$P$5:$P$1004,MATCH($A520,Orders!$N$5:$N$1004,0)),""))</f>
        <v/>
      </c>
      <c r="J520" s="157" t="str">
        <f t="shared" si="1"/>
        <v/>
      </c>
      <c r="K520" s="153" t="str">
        <f t="array" ref="K520">IF($A520="","",IFERROR(INDEX(Sales!$M:$M,MATCH($A520,Sales!$E:$E,0)),""))</f>
        <v/>
      </c>
      <c r="L520" s="158" t="str">
        <f t="shared" si="2"/>
        <v/>
      </c>
      <c r="N520" s="49" t="str">
        <f t="array" ref="N520">IFERROR(INDEX(Sales!$E$7:$E$1506,MATCH(ROW()-4,Sales!$V$7:$V$1506,0)),"")</f>
        <v/>
      </c>
      <c r="O520" s="67"/>
      <c r="P520" s="67"/>
    </row>
    <row r="521" ht="15.75" customHeight="1">
      <c r="A521" s="151" t="str">
        <f t="array" ref="A521">IFERROR(INDEX(Sales!$E$7:$E$1506,MATCH(ROW()-4,Sales!$W$7:$W$1506,0)),"")</f>
        <v/>
      </c>
      <c r="B521" s="152" t="str">
        <f t="array" ref="B521">IF($A521="","",IFERROR(INDEX(Sales!$A:$A,MATCH($A521,Sales!$E:$E,0)),""))</f>
        <v/>
      </c>
      <c r="C521" s="153" t="str">
        <f t="array" ref="C521">IF($A521="","",IFERROR(INDEX(Sales!$D:$D,MATCH($A521,Sales!$E:$E,0)),""))</f>
        <v/>
      </c>
      <c r="D521" s="153" t="str">
        <f t="array" ref="D521">IF($A521="","",IFERROR(INDEX(Sales!$C:$C,MATCH($A521,Sales!$E:$E,0)),""))</f>
        <v/>
      </c>
      <c r="E521" s="154" t="str">
        <f>IF($A521="","",SUMIFS(Sales!$H:$H,Sales!$E:$E,$A521,Sales!$B:$B,"&lt;&gt;Return"))</f>
        <v/>
      </c>
      <c r="F521" s="155" t="str">
        <f>IF($A521="","",SUMIF(Sales!$E:$E,$A521,Sales!$L:$L))</f>
        <v/>
      </c>
      <c r="G521" s="155" t="str">
        <f>IF($A521="","",SUMIF(Sales!$E:$E,$A521,Sales!$P:$P))</f>
        <v/>
      </c>
      <c r="H521" s="156" t="str">
        <f t="array" ref="H521">IF($A521="","",IFERROR(INDEX(Orders!$O$5:$O$1004,MATCH($A521,Orders!$N$5:$N$1004,0)),""))</f>
        <v/>
      </c>
      <c r="I521" s="156" t="str">
        <f t="array" ref="I521">IF($A521="","",IFERROR(INDEX(Orders!$P$5:$P$1004,MATCH($A521,Orders!$N$5:$N$1004,0)),""))</f>
        <v/>
      </c>
      <c r="J521" s="157" t="str">
        <f t="shared" si="1"/>
        <v/>
      </c>
      <c r="K521" s="153" t="str">
        <f t="array" ref="K521">IF($A521="","",IFERROR(INDEX(Sales!$M:$M,MATCH($A521,Sales!$E:$E,0)),""))</f>
        <v/>
      </c>
      <c r="L521" s="158" t="str">
        <f t="shared" si="2"/>
        <v/>
      </c>
      <c r="N521" s="49" t="str">
        <f t="array" ref="N521">IFERROR(INDEX(Sales!$E$7:$E$1506,MATCH(ROW()-4,Sales!$V$7:$V$1506,0)),"")</f>
        <v/>
      </c>
      <c r="O521" s="67"/>
      <c r="P521" s="67"/>
    </row>
    <row r="522" ht="15.75" customHeight="1">
      <c r="A522" s="151" t="str">
        <f t="array" ref="A522">IFERROR(INDEX(Sales!$E$7:$E$1506,MATCH(ROW()-4,Sales!$W$7:$W$1506,0)),"")</f>
        <v/>
      </c>
      <c r="B522" s="152" t="str">
        <f t="array" ref="B522">IF($A522="","",IFERROR(INDEX(Sales!$A:$A,MATCH($A522,Sales!$E:$E,0)),""))</f>
        <v/>
      </c>
      <c r="C522" s="153" t="str">
        <f t="array" ref="C522">IF($A522="","",IFERROR(INDEX(Sales!$D:$D,MATCH($A522,Sales!$E:$E,0)),""))</f>
        <v/>
      </c>
      <c r="D522" s="153" t="str">
        <f t="array" ref="D522">IF($A522="","",IFERROR(INDEX(Sales!$C:$C,MATCH($A522,Sales!$E:$E,0)),""))</f>
        <v/>
      </c>
      <c r="E522" s="154" t="str">
        <f>IF($A522="","",SUMIFS(Sales!$H:$H,Sales!$E:$E,$A522,Sales!$B:$B,"&lt;&gt;Return"))</f>
        <v/>
      </c>
      <c r="F522" s="155" t="str">
        <f>IF($A522="","",SUMIF(Sales!$E:$E,$A522,Sales!$L:$L))</f>
        <v/>
      </c>
      <c r="G522" s="155" t="str">
        <f>IF($A522="","",SUMIF(Sales!$E:$E,$A522,Sales!$P:$P))</f>
        <v/>
      </c>
      <c r="H522" s="156" t="str">
        <f t="array" ref="H522">IF($A522="","",IFERROR(INDEX(Orders!$O$5:$O$1004,MATCH($A522,Orders!$N$5:$N$1004,0)),""))</f>
        <v/>
      </c>
      <c r="I522" s="156" t="str">
        <f t="array" ref="I522">IF($A522="","",IFERROR(INDEX(Orders!$P$5:$P$1004,MATCH($A522,Orders!$N$5:$N$1004,0)),""))</f>
        <v/>
      </c>
      <c r="J522" s="157" t="str">
        <f t="shared" si="1"/>
        <v/>
      </c>
      <c r="K522" s="153" t="str">
        <f t="array" ref="K522">IF($A522="","",IFERROR(INDEX(Sales!$M:$M,MATCH($A522,Sales!$E:$E,0)),""))</f>
        <v/>
      </c>
      <c r="L522" s="158" t="str">
        <f t="shared" si="2"/>
        <v/>
      </c>
      <c r="N522" s="49" t="str">
        <f t="array" ref="N522">IFERROR(INDEX(Sales!$E$7:$E$1506,MATCH(ROW()-4,Sales!$V$7:$V$1506,0)),"")</f>
        <v/>
      </c>
      <c r="O522" s="67"/>
      <c r="P522" s="67"/>
    </row>
    <row r="523" ht="15.75" customHeight="1">
      <c r="A523" s="151" t="str">
        <f t="array" ref="A523">IFERROR(INDEX(Sales!$E$7:$E$1506,MATCH(ROW()-4,Sales!$W$7:$W$1506,0)),"")</f>
        <v/>
      </c>
      <c r="B523" s="152" t="str">
        <f t="array" ref="B523">IF($A523="","",IFERROR(INDEX(Sales!$A:$A,MATCH($A523,Sales!$E:$E,0)),""))</f>
        <v/>
      </c>
      <c r="C523" s="153" t="str">
        <f t="array" ref="C523">IF($A523="","",IFERROR(INDEX(Sales!$D:$D,MATCH($A523,Sales!$E:$E,0)),""))</f>
        <v/>
      </c>
      <c r="D523" s="153" t="str">
        <f t="array" ref="D523">IF($A523="","",IFERROR(INDEX(Sales!$C:$C,MATCH($A523,Sales!$E:$E,0)),""))</f>
        <v/>
      </c>
      <c r="E523" s="154" t="str">
        <f>IF($A523="","",SUMIFS(Sales!$H:$H,Sales!$E:$E,$A523,Sales!$B:$B,"&lt;&gt;Return"))</f>
        <v/>
      </c>
      <c r="F523" s="155" t="str">
        <f>IF($A523="","",SUMIF(Sales!$E:$E,$A523,Sales!$L:$L))</f>
        <v/>
      </c>
      <c r="G523" s="155" t="str">
        <f>IF($A523="","",SUMIF(Sales!$E:$E,$A523,Sales!$P:$P))</f>
        <v/>
      </c>
      <c r="H523" s="156" t="str">
        <f t="array" ref="H523">IF($A523="","",IFERROR(INDEX(Orders!$O$5:$O$1004,MATCH($A523,Orders!$N$5:$N$1004,0)),""))</f>
        <v/>
      </c>
      <c r="I523" s="156" t="str">
        <f t="array" ref="I523">IF($A523="","",IFERROR(INDEX(Orders!$P$5:$P$1004,MATCH($A523,Orders!$N$5:$N$1004,0)),""))</f>
        <v/>
      </c>
      <c r="J523" s="157" t="str">
        <f t="shared" si="1"/>
        <v/>
      </c>
      <c r="K523" s="153" t="str">
        <f t="array" ref="K523">IF($A523="","",IFERROR(INDEX(Sales!$M:$M,MATCH($A523,Sales!$E:$E,0)),""))</f>
        <v/>
      </c>
      <c r="L523" s="158" t="str">
        <f t="shared" si="2"/>
        <v/>
      </c>
      <c r="N523" s="49" t="str">
        <f t="array" ref="N523">IFERROR(INDEX(Sales!$E$7:$E$1506,MATCH(ROW()-4,Sales!$V$7:$V$1506,0)),"")</f>
        <v/>
      </c>
      <c r="O523" s="67"/>
      <c r="P523" s="67"/>
    </row>
    <row r="524" ht="15.75" customHeight="1">
      <c r="A524" s="151" t="str">
        <f t="array" ref="A524">IFERROR(INDEX(Sales!$E$7:$E$1506,MATCH(ROW()-4,Sales!$W$7:$W$1506,0)),"")</f>
        <v/>
      </c>
      <c r="B524" s="152" t="str">
        <f t="array" ref="B524">IF($A524="","",IFERROR(INDEX(Sales!$A:$A,MATCH($A524,Sales!$E:$E,0)),""))</f>
        <v/>
      </c>
      <c r="C524" s="153" t="str">
        <f t="array" ref="C524">IF($A524="","",IFERROR(INDEX(Sales!$D:$D,MATCH($A524,Sales!$E:$E,0)),""))</f>
        <v/>
      </c>
      <c r="D524" s="153" t="str">
        <f t="array" ref="D524">IF($A524="","",IFERROR(INDEX(Sales!$C:$C,MATCH($A524,Sales!$E:$E,0)),""))</f>
        <v/>
      </c>
      <c r="E524" s="154" t="str">
        <f>IF($A524="","",SUMIFS(Sales!$H:$H,Sales!$E:$E,$A524,Sales!$B:$B,"&lt;&gt;Return"))</f>
        <v/>
      </c>
      <c r="F524" s="155" t="str">
        <f>IF($A524="","",SUMIF(Sales!$E:$E,$A524,Sales!$L:$L))</f>
        <v/>
      </c>
      <c r="G524" s="155" t="str">
        <f>IF($A524="","",SUMIF(Sales!$E:$E,$A524,Sales!$P:$P))</f>
        <v/>
      </c>
      <c r="H524" s="156" t="str">
        <f t="array" ref="H524">IF($A524="","",IFERROR(INDEX(Orders!$O$5:$O$1004,MATCH($A524,Orders!$N$5:$N$1004,0)),""))</f>
        <v/>
      </c>
      <c r="I524" s="156" t="str">
        <f t="array" ref="I524">IF($A524="","",IFERROR(INDEX(Orders!$P$5:$P$1004,MATCH($A524,Orders!$N$5:$N$1004,0)),""))</f>
        <v/>
      </c>
      <c r="J524" s="157" t="str">
        <f t="shared" si="1"/>
        <v/>
      </c>
      <c r="K524" s="153" t="str">
        <f t="array" ref="K524">IF($A524="","",IFERROR(INDEX(Sales!$M:$M,MATCH($A524,Sales!$E:$E,0)),""))</f>
        <v/>
      </c>
      <c r="L524" s="158" t="str">
        <f t="shared" si="2"/>
        <v/>
      </c>
      <c r="N524" s="49" t="str">
        <f t="array" ref="N524">IFERROR(INDEX(Sales!$E$7:$E$1506,MATCH(ROW()-4,Sales!$V$7:$V$1506,0)),"")</f>
        <v/>
      </c>
      <c r="O524" s="67"/>
      <c r="P524" s="67"/>
    </row>
    <row r="525" ht="15.75" customHeight="1">
      <c r="A525" s="151" t="str">
        <f t="array" ref="A525">IFERROR(INDEX(Sales!$E$7:$E$1506,MATCH(ROW()-4,Sales!$W$7:$W$1506,0)),"")</f>
        <v/>
      </c>
      <c r="B525" s="152" t="str">
        <f t="array" ref="B525">IF($A525="","",IFERROR(INDEX(Sales!$A:$A,MATCH($A525,Sales!$E:$E,0)),""))</f>
        <v/>
      </c>
      <c r="C525" s="153" t="str">
        <f t="array" ref="C525">IF($A525="","",IFERROR(INDEX(Sales!$D:$D,MATCH($A525,Sales!$E:$E,0)),""))</f>
        <v/>
      </c>
      <c r="D525" s="153" t="str">
        <f t="array" ref="D525">IF($A525="","",IFERROR(INDEX(Sales!$C:$C,MATCH($A525,Sales!$E:$E,0)),""))</f>
        <v/>
      </c>
      <c r="E525" s="154" t="str">
        <f>IF($A525="","",SUMIFS(Sales!$H:$H,Sales!$E:$E,$A525,Sales!$B:$B,"&lt;&gt;Return"))</f>
        <v/>
      </c>
      <c r="F525" s="155" t="str">
        <f>IF($A525="","",SUMIF(Sales!$E:$E,$A525,Sales!$L:$L))</f>
        <v/>
      </c>
      <c r="G525" s="155" t="str">
        <f>IF($A525="","",SUMIF(Sales!$E:$E,$A525,Sales!$P:$P))</f>
        <v/>
      </c>
      <c r="H525" s="156" t="str">
        <f t="array" ref="H525">IF($A525="","",IFERROR(INDEX(Orders!$O$5:$O$1004,MATCH($A525,Orders!$N$5:$N$1004,0)),""))</f>
        <v/>
      </c>
      <c r="I525" s="156" t="str">
        <f t="array" ref="I525">IF($A525="","",IFERROR(INDEX(Orders!$P$5:$P$1004,MATCH($A525,Orders!$N$5:$N$1004,0)),""))</f>
        <v/>
      </c>
      <c r="J525" s="157" t="str">
        <f t="shared" si="1"/>
        <v/>
      </c>
      <c r="K525" s="153" t="str">
        <f t="array" ref="K525">IF($A525="","",IFERROR(INDEX(Sales!$M:$M,MATCH($A525,Sales!$E:$E,0)),""))</f>
        <v/>
      </c>
      <c r="L525" s="158" t="str">
        <f t="shared" si="2"/>
        <v/>
      </c>
      <c r="N525" s="49" t="str">
        <f t="array" ref="N525">IFERROR(INDEX(Sales!$E$7:$E$1506,MATCH(ROW()-4,Sales!$V$7:$V$1506,0)),"")</f>
        <v/>
      </c>
      <c r="O525" s="67"/>
      <c r="P525" s="67"/>
    </row>
    <row r="526" ht="15.75" customHeight="1">
      <c r="A526" s="151" t="str">
        <f t="array" ref="A526">IFERROR(INDEX(Sales!$E$7:$E$1506,MATCH(ROW()-4,Sales!$W$7:$W$1506,0)),"")</f>
        <v/>
      </c>
      <c r="B526" s="152" t="str">
        <f t="array" ref="B526">IF($A526="","",IFERROR(INDEX(Sales!$A:$A,MATCH($A526,Sales!$E:$E,0)),""))</f>
        <v/>
      </c>
      <c r="C526" s="153" t="str">
        <f t="array" ref="C526">IF($A526="","",IFERROR(INDEX(Sales!$D:$D,MATCH($A526,Sales!$E:$E,0)),""))</f>
        <v/>
      </c>
      <c r="D526" s="153" t="str">
        <f t="array" ref="D526">IF($A526="","",IFERROR(INDEX(Sales!$C:$C,MATCH($A526,Sales!$E:$E,0)),""))</f>
        <v/>
      </c>
      <c r="E526" s="154" t="str">
        <f>IF($A526="","",SUMIFS(Sales!$H:$H,Sales!$E:$E,$A526,Sales!$B:$B,"&lt;&gt;Return"))</f>
        <v/>
      </c>
      <c r="F526" s="155" t="str">
        <f>IF($A526="","",SUMIF(Sales!$E:$E,$A526,Sales!$L:$L))</f>
        <v/>
      </c>
      <c r="G526" s="155" t="str">
        <f>IF($A526="","",SUMIF(Sales!$E:$E,$A526,Sales!$P:$P))</f>
        <v/>
      </c>
      <c r="H526" s="156" t="str">
        <f t="array" ref="H526">IF($A526="","",IFERROR(INDEX(Orders!$O$5:$O$1004,MATCH($A526,Orders!$N$5:$N$1004,0)),""))</f>
        <v/>
      </c>
      <c r="I526" s="156" t="str">
        <f t="array" ref="I526">IF($A526="","",IFERROR(INDEX(Orders!$P$5:$P$1004,MATCH($A526,Orders!$N$5:$N$1004,0)),""))</f>
        <v/>
      </c>
      <c r="J526" s="157" t="str">
        <f t="shared" si="1"/>
        <v/>
      </c>
      <c r="K526" s="153" t="str">
        <f t="array" ref="K526">IF($A526="","",IFERROR(INDEX(Sales!$M:$M,MATCH($A526,Sales!$E:$E,0)),""))</f>
        <v/>
      </c>
      <c r="L526" s="158" t="str">
        <f t="shared" si="2"/>
        <v/>
      </c>
      <c r="N526" s="49" t="str">
        <f t="array" ref="N526">IFERROR(INDEX(Sales!$E$7:$E$1506,MATCH(ROW()-4,Sales!$V$7:$V$1506,0)),"")</f>
        <v/>
      </c>
      <c r="O526" s="67"/>
      <c r="P526" s="67"/>
    </row>
    <row r="527" ht="15.75" customHeight="1">
      <c r="A527" s="151" t="str">
        <f t="array" ref="A527">IFERROR(INDEX(Sales!$E$7:$E$1506,MATCH(ROW()-4,Sales!$W$7:$W$1506,0)),"")</f>
        <v/>
      </c>
      <c r="B527" s="152" t="str">
        <f t="array" ref="B527">IF($A527="","",IFERROR(INDEX(Sales!$A:$A,MATCH($A527,Sales!$E:$E,0)),""))</f>
        <v/>
      </c>
      <c r="C527" s="153" t="str">
        <f t="array" ref="C527">IF($A527="","",IFERROR(INDEX(Sales!$D:$D,MATCH($A527,Sales!$E:$E,0)),""))</f>
        <v/>
      </c>
      <c r="D527" s="153" t="str">
        <f t="array" ref="D527">IF($A527="","",IFERROR(INDEX(Sales!$C:$C,MATCH($A527,Sales!$E:$E,0)),""))</f>
        <v/>
      </c>
      <c r="E527" s="154" t="str">
        <f>IF($A527="","",SUMIFS(Sales!$H:$H,Sales!$E:$E,$A527,Sales!$B:$B,"&lt;&gt;Return"))</f>
        <v/>
      </c>
      <c r="F527" s="155" t="str">
        <f>IF($A527="","",SUMIF(Sales!$E:$E,$A527,Sales!$L:$L))</f>
        <v/>
      </c>
      <c r="G527" s="155" t="str">
        <f>IF($A527="","",SUMIF(Sales!$E:$E,$A527,Sales!$P:$P))</f>
        <v/>
      </c>
      <c r="H527" s="156" t="str">
        <f t="array" ref="H527">IF($A527="","",IFERROR(INDEX(Orders!$O$5:$O$1004,MATCH($A527,Orders!$N$5:$N$1004,0)),""))</f>
        <v/>
      </c>
      <c r="I527" s="156" t="str">
        <f t="array" ref="I527">IF($A527="","",IFERROR(INDEX(Orders!$P$5:$P$1004,MATCH($A527,Orders!$N$5:$N$1004,0)),""))</f>
        <v/>
      </c>
      <c r="J527" s="157" t="str">
        <f t="shared" si="1"/>
        <v/>
      </c>
      <c r="K527" s="153" t="str">
        <f t="array" ref="K527">IF($A527="","",IFERROR(INDEX(Sales!$M:$M,MATCH($A527,Sales!$E:$E,0)),""))</f>
        <v/>
      </c>
      <c r="L527" s="158" t="str">
        <f t="shared" si="2"/>
        <v/>
      </c>
      <c r="N527" s="49" t="str">
        <f t="array" ref="N527">IFERROR(INDEX(Sales!$E$7:$E$1506,MATCH(ROW()-4,Sales!$V$7:$V$1506,0)),"")</f>
        <v/>
      </c>
      <c r="O527" s="67"/>
      <c r="P527" s="67"/>
    </row>
    <row r="528" ht="15.75" customHeight="1">
      <c r="A528" s="151" t="str">
        <f t="array" ref="A528">IFERROR(INDEX(Sales!$E$7:$E$1506,MATCH(ROW()-4,Sales!$W$7:$W$1506,0)),"")</f>
        <v/>
      </c>
      <c r="B528" s="152" t="str">
        <f t="array" ref="B528">IF($A528="","",IFERROR(INDEX(Sales!$A:$A,MATCH($A528,Sales!$E:$E,0)),""))</f>
        <v/>
      </c>
      <c r="C528" s="153" t="str">
        <f t="array" ref="C528">IF($A528="","",IFERROR(INDEX(Sales!$D:$D,MATCH($A528,Sales!$E:$E,0)),""))</f>
        <v/>
      </c>
      <c r="D528" s="153" t="str">
        <f t="array" ref="D528">IF($A528="","",IFERROR(INDEX(Sales!$C:$C,MATCH($A528,Sales!$E:$E,0)),""))</f>
        <v/>
      </c>
      <c r="E528" s="154" t="str">
        <f>IF($A528="","",SUMIFS(Sales!$H:$H,Sales!$E:$E,$A528,Sales!$B:$B,"&lt;&gt;Return"))</f>
        <v/>
      </c>
      <c r="F528" s="155" t="str">
        <f>IF($A528="","",SUMIF(Sales!$E:$E,$A528,Sales!$L:$L))</f>
        <v/>
      </c>
      <c r="G528" s="155" t="str">
        <f>IF($A528="","",SUMIF(Sales!$E:$E,$A528,Sales!$P:$P))</f>
        <v/>
      </c>
      <c r="H528" s="156" t="str">
        <f t="array" ref="H528">IF($A528="","",IFERROR(INDEX(Orders!$O$5:$O$1004,MATCH($A528,Orders!$N$5:$N$1004,0)),""))</f>
        <v/>
      </c>
      <c r="I528" s="156" t="str">
        <f t="array" ref="I528">IF($A528="","",IFERROR(INDEX(Orders!$P$5:$P$1004,MATCH($A528,Orders!$N$5:$N$1004,0)),""))</f>
        <v/>
      </c>
      <c r="J528" s="157" t="str">
        <f t="shared" si="1"/>
        <v/>
      </c>
      <c r="K528" s="153" t="str">
        <f t="array" ref="K528">IF($A528="","",IFERROR(INDEX(Sales!$M:$M,MATCH($A528,Sales!$E:$E,0)),""))</f>
        <v/>
      </c>
      <c r="L528" s="158" t="str">
        <f t="shared" si="2"/>
        <v/>
      </c>
      <c r="N528" s="49" t="str">
        <f t="array" ref="N528">IFERROR(INDEX(Sales!$E$7:$E$1506,MATCH(ROW()-4,Sales!$V$7:$V$1506,0)),"")</f>
        <v/>
      </c>
      <c r="O528" s="67"/>
      <c r="P528" s="67"/>
    </row>
    <row r="529" ht="15.75" customHeight="1">
      <c r="A529" s="151" t="str">
        <f t="array" ref="A529">IFERROR(INDEX(Sales!$E$7:$E$1506,MATCH(ROW()-4,Sales!$W$7:$W$1506,0)),"")</f>
        <v/>
      </c>
      <c r="B529" s="152" t="str">
        <f t="array" ref="B529">IF($A529="","",IFERROR(INDEX(Sales!$A:$A,MATCH($A529,Sales!$E:$E,0)),""))</f>
        <v/>
      </c>
      <c r="C529" s="153" t="str">
        <f t="array" ref="C529">IF($A529="","",IFERROR(INDEX(Sales!$D:$D,MATCH($A529,Sales!$E:$E,0)),""))</f>
        <v/>
      </c>
      <c r="D529" s="153" t="str">
        <f t="array" ref="D529">IF($A529="","",IFERROR(INDEX(Sales!$C:$C,MATCH($A529,Sales!$E:$E,0)),""))</f>
        <v/>
      </c>
      <c r="E529" s="154" t="str">
        <f>IF($A529="","",SUMIFS(Sales!$H:$H,Sales!$E:$E,$A529,Sales!$B:$B,"&lt;&gt;Return"))</f>
        <v/>
      </c>
      <c r="F529" s="155" t="str">
        <f>IF($A529="","",SUMIF(Sales!$E:$E,$A529,Sales!$L:$L))</f>
        <v/>
      </c>
      <c r="G529" s="155" t="str">
        <f>IF($A529="","",SUMIF(Sales!$E:$E,$A529,Sales!$P:$P))</f>
        <v/>
      </c>
      <c r="H529" s="156" t="str">
        <f t="array" ref="H529">IF($A529="","",IFERROR(INDEX(Orders!$O$5:$O$1004,MATCH($A529,Orders!$N$5:$N$1004,0)),""))</f>
        <v/>
      </c>
      <c r="I529" s="156" t="str">
        <f t="array" ref="I529">IF($A529="","",IFERROR(INDEX(Orders!$P$5:$P$1004,MATCH($A529,Orders!$N$5:$N$1004,0)),""))</f>
        <v/>
      </c>
      <c r="J529" s="157" t="str">
        <f t="shared" si="1"/>
        <v/>
      </c>
      <c r="K529" s="153" t="str">
        <f t="array" ref="K529">IF($A529="","",IFERROR(INDEX(Sales!$M:$M,MATCH($A529,Sales!$E:$E,0)),""))</f>
        <v/>
      </c>
      <c r="L529" s="158" t="str">
        <f t="shared" si="2"/>
        <v/>
      </c>
      <c r="N529" s="49" t="str">
        <f t="array" ref="N529">IFERROR(INDEX(Sales!$E$7:$E$1506,MATCH(ROW()-4,Sales!$V$7:$V$1506,0)),"")</f>
        <v/>
      </c>
      <c r="O529" s="67"/>
      <c r="P529" s="67"/>
    </row>
    <row r="530" ht="15.75" customHeight="1">
      <c r="A530" s="151" t="str">
        <f t="array" ref="A530">IFERROR(INDEX(Sales!$E$7:$E$1506,MATCH(ROW()-4,Sales!$W$7:$W$1506,0)),"")</f>
        <v/>
      </c>
      <c r="B530" s="152" t="str">
        <f t="array" ref="B530">IF($A530="","",IFERROR(INDEX(Sales!$A:$A,MATCH($A530,Sales!$E:$E,0)),""))</f>
        <v/>
      </c>
      <c r="C530" s="153" t="str">
        <f t="array" ref="C530">IF($A530="","",IFERROR(INDEX(Sales!$D:$D,MATCH($A530,Sales!$E:$E,0)),""))</f>
        <v/>
      </c>
      <c r="D530" s="153" t="str">
        <f t="array" ref="D530">IF($A530="","",IFERROR(INDEX(Sales!$C:$C,MATCH($A530,Sales!$E:$E,0)),""))</f>
        <v/>
      </c>
      <c r="E530" s="154" t="str">
        <f>IF($A530="","",SUMIFS(Sales!$H:$H,Sales!$E:$E,$A530,Sales!$B:$B,"&lt;&gt;Return"))</f>
        <v/>
      </c>
      <c r="F530" s="155" t="str">
        <f>IF($A530="","",SUMIF(Sales!$E:$E,$A530,Sales!$L:$L))</f>
        <v/>
      </c>
      <c r="G530" s="155" t="str">
        <f>IF($A530="","",SUMIF(Sales!$E:$E,$A530,Sales!$P:$P))</f>
        <v/>
      </c>
      <c r="H530" s="156" t="str">
        <f t="array" ref="H530">IF($A530="","",IFERROR(INDEX(Orders!$O$5:$O$1004,MATCH($A530,Orders!$N$5:$N$1004,0)),""))</f>
        <v/>
      </c>
      <c r="I530" s="156" t="str">
        <f t="array" ref="I530">IF($A530="","",IFERROR(INDEX(Orders!$P$5:$P$1004,MATCH($A530,Orders!$N$5:$N$1004,0)),""))</f>
        <v/>
      </c>
      <c r="J530" s="157" t="str">
        <f t="shared" si="1"/>
        <v/>
      </c>
      <c r="K530" s="153" t="str">
        <f t="array" ref="K530">IF($A530="","",IFERROR(INDEX(Sales!$M:$M,MATCH($A530,Sales!$E:$E,0)),""))</f>
        <v/>
      </c>
      <c r="L530" s="158" t="str">
        <f t="shared" si="2"/>
        <v/>
      </c>
      <c r="N530" s="49" t="str">
        <f t="array" ref="N530">IFERROR(INDEX(Sales!$E$7:$E$1506,MATCH(ROW()-4,Sales!$V$7:$V$1506,0)),"")</f>
        <v/>
      </c>
      <c r="O530" s="67"/>
      <c r="P530" s="67"/>
    </row>
    <row r="531" ht="15.75" customHeight="1">
      <c r="A531" s="151" t="str">
        <f t="array" ref="A531">IFERROR(INDEX(Sales!$E$7:$E$1506,MATCH(ROW()-4,Sales!$W$7:$W$1506,0)),"")</f>
        <v/>
      </c>
      <c r="B531" s="152" t="str">
        <f t="array" ref="B531">IF($A531="","",IFERROR(INDEX(Sales!$A:$A,MATCH($A531,Sales!$E:$E,0)),""))</f>
        <v/>
      </c>
      <c r="C531" s="153" t="str">
        <f t="array" ref="C531">IF($A531="","",IFERROR(INDEX(Sales!$D:$D,MATCH($A531,Sales!$E:$E,0)),""))</f>
        <v/>
      </c>
      <c r="D531" s="153" t="str">
        <f t="array" ref="D531">IF($A531="","",IFERROR(INDEX(Sales!$C:$C,MATCH($A531,Sales!$E:$E,0)),""))</f>
        <v/>
      </c>
      <c r="E531" s="154" t="str">
        <f>IF($A531="","",SUMIFS(Sales!$H:$H,Sales!$E:$E,$A531,Sales!$B:$B,"&lt;&gt;Return"))</f>
        <v/>
      </c>
      <c r="F531" s="155" t="str">
        <f>IF($A531="","",SUMIF(Sales!$E:$E,$A531,Sales!$L:$L))</f>
        <v/>
      </c>
      <c r="G531" s="155" t="str">
        <f>IF($A531="","",SUMIF(Sales!$E:$E,$A531,Sales!$P:$P))</f>
        <v/>
      </c>
      <c r="H531" s="156" t="str">
        <f t="array" ref="H531">IF($A531="","",IFERROR(INDEX(Orders!$O$5:$O$1004,MATCH($A531,Orders!$N$5:$N$1004,0)),""))</f>
        <v/>
      </c>
      <c r="I531" s="156" t="str">
        <f t="array" ref="I531">IF($A531="","",IFERROR(INDEX(Orders!$P$5:$P$1004,MATCH($A531,Orders!$N$5:$N$1004,0)),""))</f>
        <v/>
      </c>
      <c r="J531" s="157" t="str">
        <f t="shared" si="1"/>
        <v/>
      </c>
      <c r="K531" s="153" t="str">
        <f t="array" ref="K531">IF($A531="","",IFERROR(INDEX(Sales!$M:$M,MATCH($A531,Sales!$E:$E,0)),""))</f>
        <v/>
      </c>
      <c r="L531" s="158" t="str">
        <f t="shared" si="2"/>
        <v/>
      </c>
      <c r="N531" s="49" t="str">
        <f t="array" ref="N531">IFERROR(INDEX(Sales!$E$7:$E$1506,MATCH(ROW()-4,Sales!$V$7:$V$1506,0)),"")</f>
        <v/>
      </c>
      <c r="O531" s="67"/>
      <c r="P531" s="67"/>
    </row>
    <row r="532" ht="15.75" customHeight="1">
      <c r="A532" s="151" t="str">
        <f t="array" ref="A532">IFERROR(INDEX(Sales!$E$7:$E$1506,MATCH(ROW()-4,Sales!$W$7:$W$1506,0)),"")</f>
        <v/>
      </c>
      <c r="B532" s="152" t="str">
        <f t="array" ref="B532">IF($A532="","",IFERROR(INDEX(Sales!$A:$A,MATCH($A532,Sales!$E:$E,0)),""))</f>
        <v/>
      </c>
      <c r="C532" s="153" t="str">
        <f t="array" ref="C532">IF($A532="","",IFERROR(INDEX(Sales!$D:$D,MATCH($A532,Sales!$E:$E,0)),""))</f>
        <v/>
      </c>
      <c r="D532" s="153" t="str">
        <f t="array" ref="D532">IF($A532="","",IFERROR(INDEX(Sales!$C:$C,MATCH($A532,Sales!$E:$E,0)),""))</f>
        <v/>
      </c>
      <c r="E532" s="154" t="str">
        <f>IF($A532="","",SUMIFS(Sales!$H:$H,Sales!$E:$E,$A532,Sales!$B:$B,"&lt;&gt;Return"))</f>
        <v/>
      </c>
      <c r="F532" s="155" t="str">
        <f>IF($A532="","",SUMIF(Sales!$E:$E,$A532,Sales!$L:$L))</f>
        <v/>
      </c>
      <c r="G532" s="155" t="str">
        <f>IF($A532="","",SUMIF(Sales!$E:$E,$A532,Sales!$P:$P))</f>
        <v/>
      </c>
      <c r="H532" s="156" t="str">
        <f t="array" ref="H532">IF($A532="","",IFERROR(INDEX(Orders!$O$5:$O$1004,MATCH($A532,Orders!$N$5:$N$1004,0)),""))</f>
        <v/>
      </c>
      <c r="I532" s="156" t="str">
        <f t="array" ref="I532">IF($A532="","",IFERROR(INDEX(Orders!$P$5:$P$1004,MATCH($A532,Orders!$N$5:$N$1004,0)),""))</f>
        <v/>
      </c>
      <c r="J532" s="157" t="str">
        <f t="shared" si="1"/>
        <v/>
      </c>
      <c r="K532" s="153" t="str">
        <f t="array" ref="K532">IF($A532="","",IFERROR(INDEX(Sales!$M:$M,MATCH($A532,Sales!$E:$E,0)),""))</f>
        <v/>
      </c>
      <c r="L532" s="158" t="str">
        <f t="shared" si="2"/>
        <v/>
      </c>
      <c r="N532" s="49" t="str">
        <f t="array" ref="N532">IFERROR(INDEX(Sales!$E$7:$E$1506,MATCH(ROW()-4,Sales!$V$7:$V$1506,0)),"")</f>
        <v/>
      </c>
      <c r="O532" s="67"/>
      <c r="P532" s="67"/>
    </row>
    <row r="533" ht="15.75" customHeight="1">
      <c r="A533" s="151" t="str">
        <f t="array" ref="A533">IFERROR(INDEX(Sales!$E$7:$E$1506,MATCH(ROW()-4,Sales!$W$7:$W$1506,0)),"")</f>
        <v/>
      </c>
      <c r="B533" s="152" t="str">
        <f t="array" ref="B533">IF($A533="","",IFERROR(INDEX(Sales!$A:$A,MATCH($A533,Sales!$E:$E,0)),""))</f>
        <v/>
      </c>
      <c r="C533" s="153" t="str">
        <f t="array" ref="C533">IF($A533="","",IFERROR(INDEX(Sales!$D:$D,MATCH($A533,Sales!$E:$E,0)),""))</f>
        <v/>
      </c>
      <c r="D533" s="153" t="str">
        <f t="array" ref="D533">IF($A533="","",IFERROR(INDEX(Sales!$C:$C,MATCH($A533,Sales!$E:$E,0)),""))</f>
        <v/>
      </c>
      <c r="E533" s="154" t="str">
        <f>IF($A533="","",SUMIFS(Sales!$H:$H,Sales!$E:$E,$A533,Sales!$B:$B,"&lt;&gt;Return"))</f>
        <v/>
      </c>
      <c r="F533" s="155" t="str">
        <f>IF($A533="","",SUMIF(Sales!$E:$E,$A533,Sales!$L:$L))</f>
        <v/>
      </c>
      <c r="G533" s="155" t="str">
        <f>IF($A533="","",SUMIF(Sales!$E:$E,$A533,Sales!$P:$P))</f>
        <v/>
      </c>
      <c r="H533" s="156" t="str">
        <f t="array" ref="H533">IF($A533="","",IFERROR(INDEX(Orders!$O$5:$O$1004,MATCH($A533,Orders!$N$5:$N$1004,0)),""))</f>
        <v/>
      </c>
      <c r="I533" s="156" t="str">
        <f t="array" ref="I533">IF($A533="","",IFERROR(INDEX(Orders!$P$5:$P$1004,MATCH($A533,Orders!$N$5:$N$1004,0)),""))</f>
        <v/>
      </c>
      <c r="J533" s="157" t="str">
        <f t="shared" si="1"/>
        <v/>
      </c>
      <c r="K533" s="153" t="str">
        <f t="array" ref="K533">IF($A533="","",IFERROR(INDEX(Sales!$M:$M,MATCH($A533,Sales!$E:$E,0)),""))</f>
        <v/>
      </c>
      <c r="L533" s="158" t="str">
        <f t="shared" si="2"/>
        <v/>
      </c>
      <c r="N533" s="49" t="str">
        <f t="array" ref="N533">IFERROR(INDEX(Sales!$E$7:$E$1506,MATCH(ROW()-4,Sales!$V$7:$V$1506,0)),"")</f>
        <v/>
      </c>
      <c r="O533" s="67"/>
      <c r="P533" s="67"/>
    </row>
    <row r="534" ht="15.75" customHeight="1">
      <c r="A534" s="151" t="str">
        <f t="array" ref="A534">IFERROR(INDEX(Sales!$E$7:$E$1506,MATCH(ROW()-4,Sales!$W$7:$W$1506,0)),"")</f>
        <v/>
      </c>
      <c r="B534" s="152" t="str">
        <f t="array" ref="B534">IF($A534="","",IFERROR(INDEX(Sales!$A:$A,MATCH($A534,Sales!$E:$E,0)),""))</f>
        <v/>
      </c>
      <c r="C534" s="153" t="str">
        <f t="array" ref="C534">IF($A534="","",IFERROR(INDEX(Sales!$D:$D,MATCH($A534,Sales!$E:$E,0)),""))</f>
        <v/>
      </c>
      <c r="D534" s="153" t="str">
        <f t="array" ref="D534">IF($A534="","",IFERROR(INDEX(Sales!$C:$C,MATCH($A534,Sales!$E:$E,0)),""))</f>
        <v/>
      </c>
      <c r="E534" s="154" t="str">
        <f>IF($A534="","",SUMIFS(Sales!$H:$H,Sales!$E:$E,$A534,Sales!$B:$B,"&lt;&gt;Return"))</f>
        <v/>
      </c>
      <c r="F534" s="155" t="str">
        <f>IF($A534="","",SUMIF(Sales!$E:$E,$A534,Sales!$L:$L))</f>
        <v/>
      </c>
      <c r="G534" s="155" t="str">
        <f>IF($A534="","",SUMIF(Sales!$E:$E,$A534,Sales!$P:$P))</f>
        <v/>
      </c>
      <c r="H534" s="156" t="str">
        <f t="array" ref="H534">IF($A534="","",IFERROR(INDEX(Orders!$O$5:$O$1004,MATCH($A534,Orders!$N$5:$N$1004,0)),""))</f>
        <v/>
      </c>
      <c r="I534" s="156" t="str">
        <f t="array" ref="I534">IF($A534="","",IFERROR(INDEX(Orders!$P$5:$P$1004,MATCH($A534,Orders!$N$5:$N$1004,0)),""))</f>
        <v/>
      </c>
      <c r="J534" s="157" t="str">
        <f t="shared" si="1"/>
        <v/>
      </c>
      <c r="K534" s="153" t="str">
        <f t="array" ref="K534">IF($A534="","",IFERROR(INDEX(Sales!$M:$M,MATCH($A534,Sales!$E:$E,0)),""))</f>
        <v/>
      </c>
      <c r="L534" s="158" t="str">
        <f t="shared" si="2"/>
        <v/>
      </c>
      <c r="N534" s="49" t="str">
        <f t="array" ref="N534">IFERROR(INDEX(Sales!$E$7:$E$1506,MATCH(ROW()-4,Sales!$V$7:$V$1506,0)),"")</f>
        <v/>
      </c>
      <c r="O534" s="67"/>
      <c r="P534" s="67"/>
    </row>
    <row r="535" ht="15.75" customHeight="1">
      <c r="A535" s="151" t="str">
        <f t="array" ref="A535">IFERROR(INDEX(Sales!$E$7:$E$1506,MATCH(ROW()-4,Sales!$W$7:$W$1506,0)),"")</f>
        <v/>
      </c>
      <c r="B535" s="152" t="str">
        <f t="array" ref="B535">IF($A535="","",IFERROR(INDEX(Sales!$A:$A,MATCH($A535,Sales!$E:$E,0)),""))</f>
        <v/>
      </c>
      <c r="C535" s="153" t="str">
        <f t="array" ref="C535">IF($A535="","",IFERROR(INDEX(Sales!$D:$D,MATCH($A535,Sales!$E:$E,0)),""))</f>
        <v/>
      </c>
      <c r="D535" s="153" t="str">
        <f t="array" ref="D535">IF($A535="","",IFERROR(INDEX(Sales!$C:$C,MATCH($A535,Sales!$E:$E,0)),""))</f>
        <v/>
      </c>
      <c r="E535" s="154" t="str">
        <f>IF($A535="","",SUMIFS(Sales!$H:$H,Sales!$E:$E,$A535,Sales!$B:$B,"&lt;&gt;Return"))</f>
        <v/>
      </c>
      <c r="F535" s="155" t="str">
        <f>IF($A535="","",SUMIF(Sales!$E:$E,$A535,Sales!$L:$L))</f>
        <v/>
      </c>
      <c r="G535" s="155" t="str">
        <f>IF($A535="","",SUMIF(Sales!$E:$E,$A535,Sales!$P:$P))</f>
        <v/>
      </c>
      <c r="H535" s="156" t="str">
        <f t="array" ref="H535">IF($A535="","",IFERROR(INDEX(Orders!$O$5:$O$1004,MATCH($A535,Orders!$N$5:$N$1004,0)),""))</f>
        <v/>
      </c>
      <c r="I535" s="156" t="str">
        <f t="array" ref="I535">IF($A535="","",IFERROR(INDEX(Orders!$P$5:$P$1004,MATCH($A535,Orders!$N$5:$N$1004,0)),""))</f>
        <v/>
      </c>
      <c r="J535" s="157" t="str">
        <f t="shared" si="1"/>
        <v/>
      </c>
      <c r="K535" s="153" t="str">
        <f t="array" ref="K535">IF($A535="","",IFERROR(INDEX(Sales!$M:$M,MATCH($A535,Sales!$E:$E,0)),""))</f>
        <v/>
      </c>
      <c r="L535" s="158" t="str">
        <f t="shared" si="2"/>
        <v/>
      </c>
      <c r="N535" s="49" t="str">
        <f t="array" ref="N535">IFERROR(INDEX(Sales!$E$7:$E$1506,MATCH(ROW()-4,Sales!$V$7:$V$1506,0)),"")</f>
        <v/>
      </c>
      <c r="O535" s="67"/>
      <c r="P535" s="67"/>
    </row>
    <row r="536" ht="15.75" customHeight="1">
      <c r="A536" s="151" t="str">
        <f t="array" ref="A536">IFERROR(INDEX(Sales!$E$7:$E$1506,MATCH(ROW()-4,Sales!$W$7:$W$1506,0)),"")</f>
        <v/>
      </c>
      <c r="B536" s="152" t="str">
        <f t="array" ref="B536">IF($A536="","",IFERROR(INDEX(Sales!$A:$A,MATCH($A536,Sales!$E:$E,0)),""))</f>
        <v/>
      </c>
      <c r="C536" s="153" t="str">
        <f t="array" ref="C536">IF($A536="","",IFERROR(INDEX(Sales!$D:$D,MATCH($A536,Sales!$E:$E,0)),""))</f>
        <v/>
      </c>
      <c r="D536" s="153" t="str">
        <f t="array" ref="D536">IF($A536="","",IFERROR(INDEX(Sales!$C:$C,MATCH($A536,Sales!$E:$E,0)),""))</f>
        <v/>
      </c>
      <c r="E536" s="154" t="str">
        <f>IF($A536="","",SUMIFS(Sales!$H:$H,Sales!$E:$E,$A536,Sales!$B:$B,"&lt;&gt;Return"))</f>
        <v/>
      </c>
      <c r="F536" s="155" t="str">
        <f>IF($A536="","",SUMIF(Sales!$E:$E,$A536,Sales!$L:$L))</f>
        <v/>
      </c>
      <c r="G536" s="155" t="str">
        <f>IF($A536="","",SUMIF(Sales!$E:$E,$A536,Sales!$P:$P))</f>
        <v/>
      </c>
      <c r="H536" s="156" t="str">
        <f t="array" ref="H536">IF($A536="","",IFERROR(INDEX(Orders!$O$5:$O$1004,MATCH($A536,Orders!$N$5:$N$1004,0)),""))</f>
        <v/>
      </c>
      <c r="I536" s="156" t="str">
        <f t="array" ref="I536">IF($A536="","",IFERROR(INDEX(Orders!$P$5:$P$1004,MATCH($A536,Orders!$N$5:$N$1004,0)),""))</f>
        <v/>
      </c>
      <c r="J536" s="157" t="str">
        <f t="shared" si="1"/>
        <v/>
      </c>
      <c r="K536" s="153" t="str">
        <f t="array" ref="K536">IF($A536="","",IFERROR(INDEX(Sales!$M:$M,MATCH($A536,Sales!$E:$E,0)),""))</f>
        <v/>
      </c>
      <c r="L536" s="158" t="str">
        <f t="shared" si="2"/>
        <v/>
      </c>
      <c r="N536" s="49" t="str">
        <f t="array" ref="N536">IFERROR(INDEX(Sales!$E$7:$E$1506,MATCH(ROW()-4,Sales!$V$7:$V$1506,0)),"")</f>
        <v/>
      </c>
      <c r="O536" s="67"/>
      <c r="P536" s="67"/>
    </row>
    <row r="537" ht="15.75" customHeight="1">
      <c r="A537" s="151" t="str">
        <f t="array" ref="A537">IFERROR(INDEX(Sales!$E$7:$E$1506,MATCH(ROW()-4,Sales!$W$7:$W$1506,0)),"")</f>
        <v/>
      </c>
      <c r="B537" s="152" t="str">
        <f t="array" ref="B537">IF($A537="","",IFERROR(INDEX(Sales!$A:$A,MATCH($A537,Sales!$E:$E,0)),""))</f>
        <v/>
      </c>
      <c r="C537" s="153" t="str">
        <f t="array" ref="C537">IF($A537="","",IFERROR(INDEX(Sales!$D:$D,MATCH($A537,Sales!$E:$E,0)),""))</f>
        <v/>
      </c>
      <c r="D537" s="153" t="str">
        <f t="array" ref="D537">IF($A537="","",IFERROR(INDEX(Sales!$C:$C,MATCH($A537,Sales!$E:$E,0)),""))</f>
        <v/>
      </c>
      <c r="E537" s="154" t="str">
        <f>IF($A537="","",SUMIFS(Sales!$H:$H,Sales!$E:$E,$A537,Sales!$B:$B,"&lt;&gt;Return"))</f>
        <v/>
      </c>
      <c r="F537" s="155" t="str">
        <f>IF($A537="","",SUMIF(Sales!$E:$E,$A537,Sales!$L:$L))</f>
        <v/>
      </c>
      <c r="G537" s="155" t="str">
        <f>IF($A537="","",SUMIF(Sales!$E:$E,$A537,Sales!$P:$P))</f>
        <v/>
      </c>
      <c r="H537" s="156" t="str">
        <f t="array" ref="H537">IF($A537="","",IFERROR(INDEX(Orders!$O$5:$O$1004,MATCH($A537,Orders!$N$5:$N$1004,0)),""))</f>
        <v/>
      </c>
      <c r="I537" s="156" t="str">
        <f t="array" ref="I537">IF($A537="","",IFERROR(INDEX(Orders!$P$5:$P$1004,MATCH($A537,Orders!$N$5:$N$1004,0)),""))</f>
        <v/>
      </c>
      <c r="J537" s="157" t="str">
        <f t="shared" si="1"/>
        <v/>
      </c>
      <c r="K537" s="153" t="str">
        <f t="array" ref="K537">IF($A537="","",IFERROR(INDEX(Sales!$M:$M,MATCH($A537,Sales!$E:$E,0)),""))</f>
        <v/>
      </c>
      <c r="L537" s="158" t="str">
        <f t="shared" si="2"/>
        <v/>
      </c>
      <c r="N537" s="49" t="str">
        <f t="array" ref="N537">IFERROR(INDEX(Sales!$E$7:$E$1506,MATCH(ROW()-4,Sales!$V$7:$V$1506,0)),"")</f>
        <v/>
      </c>
      <c r="O537" s="67"/>
      <c r="P537" s="67"/>
    </row>
    <row r="538" ht="15.75" customHeight="1">
      <c r="A538" s="151" t="str">
        <f t="array" ref="A538">IFERROR(INDEX(Sales!$E$7:$E$1506,MATCH(ROW()-4,Sales!$W$7:$W$1506,0)),"")</f>
        <v/>
      </c>
      <c r="B538" s="152" t="str">
        <f t="array" ref="B538">IF($A538="","",IFERROR(INDEX(Sales!$A:$A,MATCH($A538,Sales!$E:$E,0)),""))</f>
        <v/>
      </c>
      <c r="C538" s="153" t="str">
        <f t="array" ref="C538">IF($A538="","",IFERROR(INDEX(Sales!$D:$D,MATCH($A538,Sales!$E:$E,0)),""))</f>
        <v/>
      </c>
      <c r="D538" s="153" t="str">
        <f t="array" ref="D538">IF($A538="","",IFERROR(INDEX(Sales!$C:$C,MATCH($A538,Sales!$E:$E,0)),""))</f>
        <v/>
      </c>
      <c r="E538" s="154" t="str">
        <f>IF($A538="","",SUMIFS(Sales!$H:$H,Sales!$E:$E,$A538,Sales!$B:$B,"&lt;&gt;Return"))</f>
        <v/>
      </c>
      <c r="F538" s="155" t="str">
        <f>IF($A538="","",SUMIF(Sales!$E:$E,$A538,Sales!$L:$L))</f>
        <v/>
      </c>
      <c r="G538" s="155" t="str">
        <f>IF($A538="","",SUMIF(Sales!$E:$E,$A538,Sales!$P:$P))</f>
        <v/>
      </c>
      <c r="H538" s="156" t="str">
        <f t="array" ref="H538">IF($A538="","",IFERROR(INDEX(Orders!$O$5:$O$1004,MATCH($A538,Orders!$N$5:$N$1004,0)),""))</f>
        <v/>
      </c>
      <c r="I538" s="156" t="str">
        <f t="array" ref="I538">IF($A538="","",IFERROR(INDEX(Orders!$P$5:$P$1004,MATCH($A538,Orders!$N$5:$N$1004,0)),""))</f>
        <v/>
      </c>
      <c r="J538" s="157" t="str">
        <f t="shared" si="1"/>
        <v/>
      </c>
      <c r="K538" s="153" t="str">
        <f t="array" ref="K538">IF($A538="","",IFERROR(INDEX(Sales!$M:$M,MATCH($A538,Sales!$E:$E,0)),""))</f>
        <v/>
      </c>
      <c r="L538" s="158" t="str">
        <f t="shared" si="2"/>
        <v/>
      </c>
      <c r="N538" s="49" t="str">
        <f t="array" ref="N538">IFERROR(INDEX(Sales!$E$7:$E$1506,MATCH(ROW()-4,Sales!$V$7:$V$1506,0)),"")</f>
        <v/>
      </c>
      <c r="O538" s="67"/>
      <c r="P538" s="67"/>
    </row>
    <row r="539" ht="15.75" customHeight="1">
      <c r="A539" s="151" t="str">
        <f t="array" ref="A539">IFERROR(INDEX(Sales!$E$7:$E$1506,MATCH(ROW()-4,Sales!$W$7:$W$1506,0)),"")</f>
        <v/>
      </c>
      <c r="B539" s="152" t="str">
        <f t="array" ref="B539">IF($A539="","",IFERROR(INDEX(Sales!$A:$A,MATCH($A539,Sales!$E:$E,0)),""))</f>
        <v/>
      </c>
      <c r="C539" s="153" t="str">
        <f t="array" ref="C539">IF($A539="","",IFERROR(INDEX(Sales!$D:$D,MATCH($A539,Sales!$E:$E,0)),""))</f>
        <v/>
      </c>
      <c r="D539" s="153" t="str">
        <f t="array" ref="D539">IF($A539="","",IFERROR(INDEX(Sales!$C:$C,MATCH($A539,Sales!$E:$E,0)),""))</f>
        <v/>
      </c>
      <c r="E539" s="154" t="str">
        <f>IF($A539="","",SUMIFS(Sales!$H:$H,Sales!$E:$E,$A539,Sales!$B:$B,"&lt;&gt;Return"))</f>
        <v/>
      </c>
      <c r="F539" s="155" t="str">
        <f>IF($A539="","",SUMIF(Sales!$E:$E,$A539,Sales!$L:$L))</f>
        <v/>
      </c>
      <c r="G539" s="155" t="str">
        <f>IF($A539="","",SUMIF(Sales!$E:$E,$A539,Sales!$P:$P))</f>
        <v/>
      </c>
      <c r="H539" s="156" t="str">
        <f t="array" ref="H539">IF($A539="","",IFERROR(INDEX(Orders!$O$5:$O$1004,MATCH($A539,Orders!$N$5:$N$1004,0)),""))</f>
        <v/>
      </c>
      <c r="I539" s="156" t="str">
        <f t="array" ref="I539">IF($A539="","",IFERROR(INDEX(Orders!$P$5:$P$1004,MATCH($A539,Orders!$N$5:$N$1004,0)),""))</f>
        <v/>
      </c>
      <c r="J539" s="157" t="str">
        <f t="shared" si="1"/>
        <v/>
      </c>
      <c r="K539" s="153" t="str">
        <f t="array" ref="K539">IF($A539="","",IFERROR(INDEX(Sales!$M:$M,MATCH($A539,Sales!$E:$E,0)),""))</f>
        <v/>
      </c>
      <c r="L539" s="158" t="str">
        <f t="shared" si="2"/>
        <v/>
      </c>
      <c r="N539" s="49" t="str">
        <f t="array" ref="N539">IFERROR(INDEX(Sales!$E$7:$E$1506,MATCH(ROW()-4,Sales!$V$7:$V$1506,0)),"")</f>
        <v/>
      </c>
      <c r="O539" s="67"/>
      <c r="P539" s="67"/>
    </row>
    <row r="540" ht="15.75" customHeight="1">
      <c r="A540" s="151" t="str">
        <f t="array" ref="A540">IFERROR(INDEX(Sales!$E$7:$E$1506,MATCH(ROW()-4,Sales!$W$7:$W$1506,0)),"")</f>
        <v/>
      </c>
      <c r="B540" s="152" t="str">
        <f t="array" ref="B540">IF($A540="","",IFERROR(INDEX(Sales!$A:$A,MATCH($A540,Sales!$E:$E,0)),""))</f>
        <v/>
      </c>
      <c r="C540" s="153" t="str">
        <f t="array" ref="C540">IF($A540="","",IFERROR(INDEX(Sales!$D:$D,MATCH($A540,Sales!$E:$E,0)),""))</f>
        <v/>
      </c>
      <c r="D540" s="153" t="str">
        <f t="array" ref="D540">IF($A540="","",IFERROR(INDEX(Sales!$C:$C,MATCH($A540,Sales!$E:$E,0)),""))</f>
        <v/>
      </c>
      <c r="E540" s="154" t="str">
        <f>IF($A540="","",SUMIFS(Sales!$H:$H,Sales!$E:$E,$A540,Sales!$B:$B,"&lt;&gt;Return"))</f>
        <v/>
      </c>
      <c r="F540" s="155" t="str">
        <f>IF($A540="","",SUMIF(Sales!$E:$E,$A540,Sales!$L:$L))</f>
        <v/>
      </c>
      <c r="G540" s="155" t="str">
        <f>IF($A540="","",SUMIF(Sales!$E:$E,$A540,Sales!$P:$P))</f>
        <v/>
      </c>
      <c r="H540" s="156" t="str">
        <f t="array" ref="H540">IF($A540="","",IFERROR(INDEX(Orders!$O$5:$O$1004,MATCH($A540,Orders!$N$5:$N$1004,0)),""))</f>
        <v/>
      </c>
      <c r="I540" s="156" t="str">
        <f t="array" ref="I540">IF($A540="","",IFERROR(INDEX(Orders!$P$5:$P$1004,MATCH($A540,Orders!$N$5:$N$1004,0)),""))</f>
        <v/>
      </c>
      <c r="J540" s="157" t="str">
        <f t="shared" si="1"/>
        <v/>
      </c>
      <c r="K540" s="153" t="str">
        <f t="array" ref="K540">IF($A540="","",IFERROR(INDEX(Sales!$M:$M,MATCH($A540,Sales!$E:$E,0)),""))</f>
        <v/>
      </c>
      <c r="L540" s="158" t="str">
        <f t="shared" si="2"/>
        <v/>
      </c>
      <c r="N540" s="49" t="str">
        <f t="array" ref="N540">IFERROR(INDEX(Sales!$E$7:$E$1506,MATCH(ROW()-4,Sales!$V$7:$V$1506,0)),"")</f>
        <v/>
      </c>
      <c r="O540" s="67"/>
      <c r="P540" s="67"/>
    </row>
    <row r="541" ht="15.75" customHeight="1">
      <c r="A541" s="151" t="str">
        <f t="array" ref="A541">IFERROR(INDEX(Sales!$E$7:$E$1506,MATCH(ROW()-4,Sales!$W$7:$W$1506,0)),"")</f>
        <v/>
      </c>
      <c r="B541" s="152" t="str">
        <f t="array" ref="B541">IF($A541="","",IFERROR(INDEX(Sales!$A:$A,MATCH($A541,Sales!$E:$E,0)),""))</f>
        <v/>
      </c>
      <c r="C541" s="153" t="str">
        <f t="array" ref="C541">IF($A541="","",IFERROR(INDEX(Sales!$D:$D,MATCH($A541,Sales!$E:$E,0)),""))</f>
        <v/>
      </c>
      <c r="D541" s="153" t="str">
        <f t="array" ref="D541">IF($A541="","",IFERROR(INDEX(Sales!$C:$C,MATCH($A541,Sales!$E:$E,0)),""))</f>
        <v/>
      </c>
      <c r="E541" s="154" t="str">
        <f>IF($A541="","",SUMIFS(Sales!$H:$H,Sales!$E:$E,$A541,Sales!$B:$B,"&lt;&gt;Return"))</f>
        <v/>
      </c>
      <c r="F541" s="155" t="str">
        <f>IF($A541="","",SUMIF(Sales!$E:$E,$A541,Sales!$L:$L))</f>
        <v/>
      </c>
      <c r="G541" s="155" t="str">
        <f>IF($A541="","",SUMIF(Sales!$E:$E,$A541,Sales!$P:$P))</f>
        <v/>
      </c>
      <c r="H541" s="156" t="str">
        <f t="array" ref="H541">IF($A541="","",IFERROR(INDEX(Orders!$O$5:$O$1004,MATCH($A541,Orders!$N$5:$N$1004,0)),""))</f>
        <v/>
      </c>
      <c r="I541" s="156" t="str">
        <f t="array" ref="I541">IF($A541="","",IFERROR(INDEX(Orders!$P$5:$P$1004,MATCH($A541,Orders!$N$5:$N$1004,0)),""))</f>
        <v/>
      </c>
      <c r="J541" s="157" t="str">
        <f t="shared" si="1"/>
        <v/>
      </c>
      <c r="K541" s="153" t="str">
        <f t="array" ref="K541">IF($A541="","",IFERROR(INDEX(Sales!$M:$M,MATCH($A541,Sales!$E:$E,0)),""))</f>
        <v/>
      </c>
      <c r="L541" s="158" t="str">
        <f t="shared" si="2"/>
        <v/>
      </c>
      <c r="N541" s="49" t="str">
        <f t="array" ref="N541">IFERROR(INDEX(Sales!$E$7:$E$1506,MATCH(ROW()-4,Sales!$V$7:$V$1506,0)),"")</f>
        <v/>
      </c>
      <c r="O541" s="67"/>
      <c r="P541" s="67"/>
    </row>
    <row r="542" ht="15.75" customHeight="1">
      <c r="A542" s="151" t="str">
        <f t="array" ref="A542">IFERROR(INDEX(Sales!$E$7:$E$1506,MATCH(ROW()-4,Sales!$W$7:$W$1506,0)),"")</f>
        <v/>
      </c>
      <c r="B542" s="152" t="str">
        <f t="array" ref="B542">IF($A542="","",IFERROR(INDEX(Sales!$A:$A,MATCH($A542,Sales!$E:$E,0)),""))</f>
        <v/>
      </c>
      <c r="C542" s="153" t="str">
        <f t="array" ref="C542">IF($A542="","",IFERROR(INDEX(Sales!$D:$D,MATCH($A542,Sales!$E:$E,0)),""))</f>
        <v/>
      </c>
      <c r="D542" s="153" t="str">
        <f t="array" ref="D542">IF($A542="","",IFERROR(INDEX(Sales!$C:$C,MATCH($A542,Sales!$E:$E,0)),""))</f>
        <v/>
      </c>
      <c r="E542" s="154" t="str">
        <f>IF($A542="","",SUMIFS(Sales!$H:$H,Sales!$E:$E,$A542,Sales!$B:$B,"&lt;&gt;Return"))</f>
        <v/>
      </c>
      <c r="F542" s="155" t="str">
        <f>IF($A542="","",SUMIF(Sales!$E:$E,$A542,Sales!$L:$L))</f>
        <v/>
      </c>
      <c r="G542" s="155" t="str">
        <f>IF($A542="","",SUMIF(Sales!$E:$E,$A542,Sales!$P:$P))</f>
        <v/>
      </c>
      <c r="H542" s="156" t="str">
        <f t="array" ref="H542">IF($A542="","",IFERROR(INDEX(Orders!$O$5:$O$1004,MATCH($A542,Orders!$N$5:$N$1004,0)),""))</f>
        <v/>
      </c>
      <c r="I542" s="156" t="str">
        <f t="array" ref="I542">IF($A542="","",IFERROR(INDEX(Orders!$P$5:$P$1004,MATCH($A542,Orders!$N$5:$N$1004,0)),""))</f>
        <v/>
      </c>
      <c r="J542" s="157" t="str">
        <f t="shared" si="1"/>
        <v/>
      </c>
      <c r="K542" s="153" t="str">
        <f t="array" ref="K542">IF($A542="","",IFERROR(INDEX(Sales!$M:$M,MATCH($A542,Sales!$E:$E,0)),""))</f>
        <v/>
      </c>
      <c r="L542" s="158" t="str">
        <f t="shared" si="2"/>
        <v/>
      </c>
      <c r="N542" s="49" t="str">
        <f t="array" ref="N542">IFERROR(INDEX(Sales!$E$7:$E$1506,MATCH(ROW()-4,Sales!$V$7:$V$1506,0)),"")</f>
        <v/>
      </c>
      <c r="O542" s="67"/>
      <c r="P542" s="67"/>
    </row>
    <row r="543" ht="15.75" customHeight="1">
      <c r="A543" s="151" t="str">
        <f t="array" ref="A543">IFERROR(INDEX(Sales!$E$7:$E$1506,MATCH(ROW()-4,Sales!$W$7:$W$1506,0)),"")</f>
        <v/>
      </c>
      <c r="B543" s="152" t="str">
        <f t="array" ref="B543">IF($A543="","",IFERROR(INDEX(Sales!$A:$A,MATCH($A543,Sales!$E:$E,0)),""))</f>
        <v/>
      </c>
      <c r="C543" s="153" t="str">
        <f t="array" ref="C543">IF($A543="","",IFERROR(INDEX(Sales!$D:$D,MATCH($A543,Sales!$E:$E,0)),""))</f>
        <v/>
      </c>
      <c r="D543" s="153" t="str">
        <f t="array" ref="D543">IF($A543="","",IFERROR(INDEX(Sales!$C:$C,MATCH($A543,Sales!$E:$E,0)),""))</f>
        <v/>
      </c>
      <c r="E543" s="154" t="str">
        <f>IF($A543="","",SUMIFS(Sales!$H:$H,Sales!$E:$E,$A543,Sales!$B:$B,"&lt;&gt;Return"))</f>
        <v/>
      </c>
      <c r="F543" s="155" t="str">
        <f>IF($A543="","",SUMIF(Sales!$E:$E,$A543,Sales!$L:$L))</f>
        <v/>
      </c>
      <c r="G543" s="155" t="str">
        <f>IF($A543="","",SUMIF(Sales!$E:$E,$A543,Sales!$P:$P))</f>
        <v/>
      </c>
      <c r="H543" s="156" t="str">
        <f t="array" ref="H543">IF($A543="","",IFERROR(INDEX(Orders!$O$5:$O$1004,MATCH($A543,Orders!$N$5:$N$1004,0)),""))</f>
        <v/>
      </c>
      <c r="I543" s="156" t="str">
        <f t="array" ref="I543">IF($A543="","",IFERROR(INDEX(Orders!$P$5:$P$1004,MATCH($A543,Orders!$N$5:$N$1004,0)),""))</f>
        <v/>
      </c>
      <c r="J543" s="157" t="str">
        <f t="shared" si="1"/>
        <v/>
      </c>
      <c r="K543" s="153" t="str">
        <f t="array" ref="K543">IF($A543="","",IFERROR(INDEX(Sales!$M:$M,MATCH($A543,Sales!$E:$E,0)),""))</f>
        <v/>
      </c>
      <c r="L543" s="158" t="str">
        <f t="shared" si="2"/>
        <v/>
      </c>
      <c r="N543" s="49" t="str">
        <f t="array" ref="N543">IFERROR(INDEX(Sales!$E$7:$E$1506,MATCH(ROW()-4,Sales!$V$7:$V$1506,0)),"")</f>
        <v/>
      </c>
      <c r="O543" s="67"/>
      <c r="P543" s="67"/>
    </row>
    <row r="544" ht="15.75" customHeight="1">
      <c r="A544" s="151" t="str">
        <f t="array" ref="A544">IFERROR(INDEX(Sales!$E$7:$E$1506,MATCH(ROW()-4,Sales!$W$7:$W$1506,0)),"")</f>
        <v/>
      </c>
      <c r="B544" s="152" t="str">
        <f t="array" ref="B544">IF($A544="","",IFERROR(INDEX(Sales!$A:$A,MATCH($A544,Sales!$E:$E,0)),""))</f>
        <v/>
      </c>
      <c r="C544" s="153" t="str">
        <f t="array" ref="C544">IF($A544="","",IFERROR(INDEX(Sales!$D:$D,MATCH($A544,Sales!$E:$E,0)),""))</f>
        <v/>
      </c>
      <c r="D544" s="153" t="str">
        <f t="array" ref="D544">IF($A544="","",IFERROR(INDEX(Sales!$C:$C,MATCH($A544,Sales!$E:$E,0)),""))</f>
        <v/>
      </c>
      <c r="E544" s="154" t="str">
        <f>IF($A544="","",SUMIFS(Sales!$H:$H,Sales!$E:$E,$A544,Sales!$B:$B,"&lt;&gt;Return"))</f>
        <v/>
      </c>
      <c r="F544" s="155" t="str">
        <f>IF($A544="","",SUMIF(Sales!$E:$E,$A544,Sales!$L:$L))</f>
        <v/>
      </c>
      <c r="G544" s="155" t="str">
        <f>IF($A544="","",SUMIF(Sales!$E:$E,$A544,Sales!$P:$P))</f>
        <v/>
      </c>
      <c r="H544" s="156" t="str">
        <f t="array" ref="H544">IF($A544="","",IFERROR(INDEX(Orders!$O$5:$O$1004,MATCH($A544,Orders!$N$5:$N$1004,0)),""))</f>
        <v/>
      </c>
      <c r="I544" s="156" t="str">
        <f t="array" ref="I544">IF($A544="","",IFERROR(INDEX(Orders!$P$5:$P$1004,MATCH($A544,Orders!$N$5:$N$1004,0)),""))</f>
        <v/>
      </c>
      <c r="J544" s="157" t="str">
        <f t="shared" si="1"/>
        <v/>
      </c>
      <c r="K544" s="153" t="str">
        <f t="array" ref="K544">IF($A544="","",IFERROR(INDEX(Sales!$M:$M,MATCH($A544,Sales!$E:$E,0)),""))</f>
        <v/>
      </c>
      <c r="L544" s="158" t="str">
        <f t="shared" si="2"/>
        <v/>
      </c>
      <c r="N544" s="49" t="str">
        <f t="array" ref="N544">IFERROR(INDEX(Sales!$E$7:$E$1506,MATCH(ROW()-4,Sales!$V$7:$V$1506,0)),"")</f>
        <v/>
      </c>
      <c r="O544" s="67"/>
      <c r="P544" s="67"/>
    </row>
    <row r="545" ht="15.75" customHeight="1">
      <c r="A545" s="151" t="str">
        <f t="array" ref="A545">IFERROR(INDEX(Sales!$E$7:$E$1506,MATCH(ROW()-4,Sales!$W$7:$W$1506,0)),"")</f>
        <v/>
      </c>
      <c r="B545" s="152" t="str">
        <f t="array" ref="B545">IF($A545="","",IFERROR(INDEX(Sales!$A:$A,MATCH($A545,Sales!$E:$E,0)),""))</f>
        <v/>
      </c>
      <c r="C545" s="153" t="str">
        <f t="array" ref="C545">IF($A545="","",IFERROR(INDEX(Sales!$D:$D,MATCH($A545,Sales!$E:$E,0)),""))</f>
        <v/>
      </c>
      <c r="D545" s="153" t="str">
        <f t="array" ref="D545">IF($A545="","",IFERROR(INDEX(Sales!$C:$C,MATCH($A545,Sales!$E:$E,0)),""))</f>
        <v/>
      </c>
      <c r="E545" s="154" t="str">
        <f>IF($A545="","",SUMIFS(Sales!$H:$H,Sales!$E:$E,$A545,Sales!$B:$B,"&lt;&gt;Return"))</f>
        <v/>
      </c>
      <c r="F545" s="155" t="str">
        <f>IF($A545="","",SUMIF(Sales!$E:$E,$A545,Sales!$L:$L))</f>
        <v/>
      </c>
      <c r="G545" s="155" t="str">
        <f>IF($A545="","",SUMIF(Sales!$E:$E,$A545,Sales!$P:$P))</f>
        <v/>
      </c>
      <c r="H545" s="156" t="str">
        <f t="array" ref="H545">IF($A545="","",IFERROR(INDEX(Orders!$O$5:$O$1004,MATCH($A545,Orders!$N$5:$N$1004,0)),""))</f>
        <v/>
      </c>
      <c r="I545" s="156" t="str">
        <f t="array" ref="I545">IF($A545="","",IFERROR(INDEX(Orders!$P$5:$P$1004,MATCH($A545,Orders!$N$5:$N$1004,0)),""))</f>
        <v/>
      </c>
      <c r="J545" s="157" t="str">
        <f t="shared" si="1"/>
        <v/>
      </c>
      <c r="K545" s="153" t="str">
        <f t="array" ref="K545">IF($A545="","",IFERROR(INDEX(Sales!$M:$M,MATCH($A545,Sales!$E:$E,0)),""))</f>
        <v/>
      </c>
      <c r="L545" s="158" t="str">
        <f t="shared" si="2"/>
        <v/>
      </c>
      <c r="N545" s="49" t="str">
        <f t="array" ref="N545">IFERROR(INDEX(Sales!$E$7:$E$1506,MATCH(ROW()-4,Sales!$V$7:$V$1506,0)),"")</f>
        <v/>
      </c>
      <c r="O545" s="67"/>
      <c r="P545" s="67"/>
    </row>
    <row r="546" ht="15.75" customHeight="1">
      <c r="A546" s="151" t="str">
        <f t="array" ref="A546">IFERROR(INDEX(Sales!$E$7:$E$1506,MATCH(ROW()-4,Sales!$W$7:$W$1506,0)),"")</f>
        <v/>
      </c>
      <c r="B546" s="152" t="str">
        <f t="array" ref="B546">IF($A546="","",IFERROR(INDEX(Sales!$A:$A,MATCH($A546,Sales!$E:$E,0)),""))</f>
        <v/>
      </c>
      <c r="C546" s="153" t="str">
        <f t="array" ref="C546">IF($A546="","",IFERROR(INDEX(Sales!$D:$D,MATCH($A546,Sales!$E:$E,0)),""))</f>
        <v/>
      </c>
      <c r="D546" s="153" t="str">
        <f t="array" ref="D546">IF($A546="","",IFERROR(INDEX(Sales!$C:$C,MATCH($A546,Sales!$E:$E,0)),""))</f>
        <v/>
      </c>
      <c r="E546" s="154" t="str">
        <f>IF($A546="","",SUMIFS(Sales!$H:$H,Sales!$E:$E,$A546,Sales!$B:$B,"&lt;&gt;Return"))</f>
        <v/>
      </c>
      <c r="F546" s="155" t="str">
        <f>IF($A546="","",SUMIF(Sales!$E:$E,$A546,Sales!$L:$L))</f>
        <v/>
      </c>
      <c r="G546" s="155" t="str">
        <f>IF($A546="","",SUMIF(Sales!$E:$E,$A546,Sales!$P:$P))</f>
        <v/>
      </c>
      <c r="H546" s="156" t="str">
        <f t="array" ref="H546">IF($A546="","",IFERROR(INDEX(Orders!$O$5:$O$1004,MATCH($A546,Orders!$N$5:$N$1004,0)),""))</f>
        <v/>
      </c>
      <c r="I546" s="156" t="str">
        <f t="array" ref="I546">IF($A546="","",IFERROR(INDEX(Orders!$P$5:$P$1004,MATCH($A546,Orders!$N$5:$N$1004,0)),""))</f>
        <v/>
      </c>
      <c r="J546" s="157" t="str">
        <f t="shared" si="1"/>
        <v/>
      </c>
      <c r="K546" s="153" t="str">
        <f t="array" ref="K546">IF($A546="","",IFERROR(INDEX(Sales!$M:$M,MATCH($A546,Sales!$E:$E,0)),""))</f>
        <v/>
      </c>
      <c r="L546" s="158" t="str">
        <f t="shared" si="2"/>
        <v/>
      </c>
      <c r="N546" s="49" t="str">
        <f t="array" ref="N546">IFERROR(INDEX(Sales!$E$7:$E$1506,MATCH(ROW()-4,Sales!$V$7:$V$1506,0)),"")</f>
        <v/>
      </c>
      <c r="O546" s="67"/>
      <c r="P546" s="67"/>
    </row>
    <row r="547" ht="15.75" customHeight="1">
      <c r="A547" s="151" t="str">
        <f t="array" ref="A547">IFERROR(INDEX(Sales!$E$7:$E$1506,MATCH(ROW()-4,Sales!$W$7:$W$1506,0)),"")</f>
        <v/>
      </c>
      <c r="B547" s="152" t="str">
        <f t="array" ref="B547">IF($A547="","",IFERROR(INDEX(Sales!$A:$A,MATCH($A547,Sales!$E:$E,0)),""))</f>
        <v/>
      </c>
      <c r="C547" s="153" t="str">
        <f t="array" ref="C547">IF($A547="","",IFERROR(INDEX(Sales!$D:$D,MATCH($A547,Sales!$E:$E,0)),""))</f>
        <v/>
      </c>
      <c r="D547" s="153" t="str">
        <f t="array" ref="D547">IF($A547="","",IFERROR(INDEX(Sales!$C:$C,MATCH($A547,Sales!$E:$E,0)),""))</f>
        <v/>
      </c>
      <c r="E547" s="154" t="str">
        <f>IF($A547="","",SUMIFS(Sales!$H:$H,Sales!$E:$E,$A547,Sales!$B:$B,"&lt;&gt;Return"))</f>
        <v/>
      </c>
      <c r="F547" s="155" t="str">
        <f>IF($A547="","",SUMIF(Sales!$E:$E,$A547,Sales!$L:$L))</f>
        <v/>
      </c>
      <c r="G547" s="155" t="str">
        <f>IF($A547="","",SUMIF(Sales!$E:$E,$A547,Sales!$P:$P))</f>
        <v/>
      </c>
      <c r="H547" s="156" t="str">
        <f t="array" ref="H547">IF($A547="","",IFERROR(INDEX(Orders!$O$5:$O$1004,MATCH($A547,Orders!$N$5:$N$1004,0)),""))</f>
        <v/>
      </c>
      <c r="I547" s="156" t="str">
        <f t="array" ref="I547">IF($A547="","",IFERROR(INDEX(Orders!$P$5:$P$1004,MATCH($A547,Orders!$N$5:$N$1004,0)),""))</f>
        <v/>
      </c>
      <c r="J547" s="157" t="str">
        <f t="shared" si="1"/>
        <v/>
      </c>
      <c r="K547" s="153" t="str">
        <f t="array" ref="K547">IF($A547="","",IFERROR(INDEX(Sales!$M:$M,MATCH($A547,Sales!$E:$E,0)),""))</f>
        <v/>
      </c>
      <c r="L547" s="158" t="str">
        <f t="shared" si="2"/>
        <v/>
      </c>
      <c r="N547" s="49" t="str">
        <f t="array" ref="N547">IFERROR(INDEX(Sales!$E$7:$E$1506,MATCH(ROW()-4,Sales!$V$7:$V$1506,0)),"")</f>
        <v/>
      </c>
      <c r="O547" s="67"/>
      <c r="P547" s="67"/>
    </row>
    <row r="548" ht="15.75" customHeight="1">
      <c r="A548" s="151" t="str">
        <f t="array" ref="A548">IFERROR(INDEX(Sales!$E$7:$E$1506,MATCH(ROW()-4,Sales!$W$7:$W$1506,0)),"")</f>
        <v/>
      </c>
      <c r="B548" s="152" t="str">
        <f t="array" ref="B548">IF($A548="","",IFERROR(INDEX(Sales!$A:$A,MATCH($A548,Sales!$E:$E,0)),""))</f>
        <v/>
      </c>
      <c r="C548" s="153" t="str">
        <f t="array" ref="C548">IF($A548="","",IFERROR(INDEX(Sales!$D:$D,MATCH($A548,Sales!$E:$E,0)),""))</f>
        <v/>
      </c>
      <c r="D548" s="153" t="str">
        <f t="array" ref="D548">IF($A548="","",IFERROR(INDEX(Sales!$C:$C,MATCH($A548,Sales!$E:$E,0)),""))</f>
        <v/>
      </c>
      <c r="E548" s="154" t="str">
        <f>IF($A548="","",SUMIFS(Sales!$H:$H,Sales!$E:$E,$A548,Sales!$B:$B,"&lt;&gt;Return"))</f>
        <v/>
      </c>
      <c r="F548" s="155" t="str">
        <f>IF($A548="","",SUMIF(Sales!$E:$E,$A548,Sales!$L:$L))</f>
        <v/>
      </c>
      <c r="G548" s="155" t="str">
        <f>IF($A548="","",SUMIF(Sales!$E:$E,$A548,Sales!$P:$P))</f>
        <v/>
      </c>
      <c r="H548" s="156" t="str">
        <f t="array" ref="H548">IF($A548="","",IFERROR(INDEX(Orders!$O$5:$O$1004,MATCH($A548,Orders!$N$5:$N$1004,0)),""))</f>
        <v/>
      </c>
      <c r="I548" s="156" t="str">
        <f t="array" ref="I548">IF($A548="","",IFERROR(INDEX(Orders!$P$5:$P$1004,MATCH($A548,Orders!$N$5:$N$1004,0)),""))</f>
        <v/>
      </c>
      <c r="J548" s="157" t="str">
        <f t="shared" si="1"/>
        <v/>
      </c>
      <c r="K548" s="153" t="str">
        <f t="array" ref="K548">IF($A548="","",IFERROR(INDEX(Sales!$M:$M,MATCH($A548,Sales!$E:$E,0)),""))</f>
        <v/>
      </c>
      <c r="L548" s="158" t="str">
        <f t="shared" si="2"/>
        <v/>
      </c>
      <c r="N548" s="49" t="str">
        <f t="array" ref="N548">IFERROR(INDEX(Sales!$E$7:$E$1506,MATCH(ROW()-4,Sales!$V$7:$V$1506,0)),"")</f>
        <v/>
      </c>
      <c r="O548" s="67"/>
      <c r="P548" s="67"/>
    </row>
    <row r="549" ht="15.75" customHeight="1">
      <c r="A549" s="151" t="str">
        <f t="array" ref="A549">IFERROR(INDEX(Sales!$E$7:$E$1506,MATCH(ROW()-4,Sales!$W$7:$W$1506,0)),"")</f>
        <v/>
      </c>
      <c r="B549" s="152" t="str">
        <f t="array" ref="B549">IF($A549="","",IFERROR(INDEX(Sales!$A:$A,MATCH($A549,Sales!$E:$E,0)),""))</f>
        <v/>
      </c>
      <c r="C549" s="153" t="str">
        <f t="array" ref="C549">IF($A549="","",IFERROR(INDEX(Sales!$D:$D,MATCH($A549,Sales!$E:$E,0)),""))</f>
        <v/>
      </c>
      <c r="D549" s="153" t="str">
        <f t="array" ref="D549">IF($A549="","",IFERROR(INDEX(Sales!$C:$C,MATCH($A549,Sales!$E:$E,0)),""))</f>
        <v/>
      </c>
      <c r="E549" s="154" t="str">
        <f>IF($A549="","",SUMIFS(Sales!$H:$H,Sales!$E:$E,$A549,Sales!$B:$B,"&lt;&gt;Return"))</f>
        <v/>
      </c>
      <c r="F549" s="155" t="str">
        <f>IF($A549="","",SUMIF(Sales!$E:$E,$A549,Sales!$L:$L))</f>
        <v/>
      </c>
      <c r="G549" s="155" t="str">
        <f>IF($A549="","",SUMIF(Sales!$E:$E,$A549,Sales!$P:$P))</f>
        <v/>
      </c>
      <c r="H549" s="156" t="str">
        <f t="array" ref="H549">IF($A549="","",IFERROR(INDEX(Orders!$O$5:$O$1004,MATCH($A549,Orders!$N$5:$N$1004,0)),""))</f>
        <v/>
      </c>
      <c r="I549" s="156" t="str">
        <f t="array" ref="I549">IF($A549="","",IFERROR(INDEX(Orders!$P$5:$P$1004,MATCH($A549,Orders!$N$5:$N$1004,0)),""))</f>
        <v/>
      </c>
      <c r="J549" s="157" t="str">
        <f t="shared" si="1"/>
        <v/>
      </c>
      <c r="K549" s="153" t="str">
        <f t="array" ref="K549">IF($A549="","",IFERROR(INDEX(Sales!$M:$M,MATCH($A549,Sales!$E:$E,0)),""))</f>
        <v/>
      </c>
      <c r="L549" s="158" t="str">
        <f t="shared" si="2"/>
        <v/>
      </c>
      <c r="N549" s="49" t="str">
        <f t="array" ref="N549">IFERROR(INDEX(Sales!$E$7:$E$1506,MATCH(ROW()-4,Sales!$V$7:$V$1506,0)),"")</f>
        <v/>
      </c>
      <c r="O549" s="67"/>
      <c r="P549" s="67"/>
    </row>
    <row r="550" ht="15.75" customHeight="1">
      <c r="A550" s="151" t="str">
        <f t="array" ref="A550">IFERROR(INDEX(Sales!$E$7:$E$1506,MATCH(ROW()-4,Sales!$W$7:$W$1506,0)),"")</f>
        <v/>
      </c>
      <c r="B550" s="152" t="str">
        <f t="array" ref="B550">IF($A550="","",IFERROR(INDEX(Sales!$A:$A,MATCH($A550,Sales!$E:$E,0)),""))</f>
        <v/>
      </c>
      <c r="C550" s="153" t="str">
        <f t="array" ref="C550">IF($A550="","",IFERROR(INDEX(Sales!$D:$D,MATCH($A550,Sales!$E:$E,0)),""))</f>
        <v/>
      </c>
      <c r="D550" s="153" t="str">
        <f t="array" ref="D550">IF($A550="","",IFERROR(INDEX(Sales!$C:$C,MATCH($A550,Sales!$E:$E,0)),""))</f>
        <v/>
      </c>
      <c r="E550" s="154" t="str">
        <f>IF($A550="","",SUMIFS(Sales!$H:$H,Sales!$E:$E,$A550,Sales!$B:$B,"&lt;&gt;Return"))</f>
        <v/>
      </c>
      <c r="F550" s="155" t="str">
        <f>IF($A550="","",SUMIF(Sales!$E:$E,$A550,Sales!$L:$L))</f>
        <v/>
      </c>
      <c r="G550" s="155" t="str">
        <f>IF($A550="","",SUMIF(Sales!$E:$E,$A550,Sales!$P:$P))</f>
        <v/>
      </c>
      <c r="H550" s="156" t="str">
        <f t="array" ref="H550">IF($A550="","",IFERROR(INDEX(Orders!$O$5:$O$1004,MATCH($A550,Orders!$N$5:$N$1004,0)),""))</f>
        <v/>
      </c>
      <c r="I550" s="156" t="str">
        <f t="array" ref="I550">IF($A550="","",IFERROR(INDEX(Orders!$P$5:$P$1004,MATCH($A550,Orders!$N$5:$N$1004,0)),""))</f>
        <v/>
      </c>
      <c r="J550" s="157" t="str">
        <f t="shared" si="1"/>
        <v/>
      </c>
      <c r="K550" s="153" t="str">
        <f t="array" ref="K550">IF($A550="","",IFERROR(INDEX(Sales!$M:$M,MATCH($A550,Sales!$E:$E,0)),""))</f>
        <v/>
      </c>
      <c r="L550" s="158" t="str">
        <f t="shared" si="2"/>
        <v/>
      </c>
      <c r="N550" s="49" t="str">
        <f t="array" ref="N550">IFERROR(INDEX(Sales!$E$7:$E$1506,MATCH(ROW()-4,Sales!$V$7:$V$1506,0)),"")</f>
        <v/>
      </c>
      <c r="O550" s="67"/>
      <c r="P550" s="67"/>
    </row>
    <row r="551" ht="15.75" customHeight="1">
      <c r="A551" s="151" t="str">
        <f t="array" ref="A551">IFERROR(INDEX(Sales!$E$7:$E$1506,MATCH(ROW()-4,Sales!$W$7:$W$1506,0)),"")</f>
        <v/>
      </c>
      <c r="B551" s="152" t="str">
        <f t="array" ref="B551">IF($A551="","",IFERROR(INDEX(Sales!$A:$A,MATCH($A551,Sales!$E:$E,0)),""))</f>
        <v/>
      </c>
      <c r="C551" s="153" t="str">
        <f t="array" ref="C551">IF($A551="","",IFERROR(INDEX(Sales!$D:$D,MATCH($A551,Sales!$E:$E,0)),""))</f>
        <v/>
      </c>
      <c r="D551" s="153" t="str">
        <f t="array" ref="D551">IF($A551="","",IFERROR(INDEX(Sales!$C:$C,MATCH($A551,Sales!$E:$E,0)),""))</f>
        <v/>
      </c>
      <c r="E551" s="154" t="str">
        <f>IF($A551="","",SUMIFS(Sales!$H:$H,Sales!$E:$E,$A551,Sales!$B:$B,"&lt;&gt;Return"))</f>
        <v/>
      </c>
      <c r="F551" s="155" t="str">
        <f>IF($A551="","",SUMIF(Sales!$E:$E,$A551,Sales!$L:$L))</f>
        <v/>
      </c>
      <c r="G551" s="155" t="str">
        <f>IF($A551="","",SUMIF(Sales!$E:$E,$A551,Sales!$P:$P))</f>
        <v/>
      </c>
      <c r="H551" s="156" t="str">
        <f t="array" ref="H551">IF($A551="","",IFERROR(INDEX(Orders!$O$5:$O$1004,MATCH($A551,Orders!$N$5:$N$1004,0)),""))</f>
        <v/>
      </c>
      <c r="I551" s="156" t="str">
        <f t="array" ref="I551">IF($A551="","",IFERROR(INDEX(Orders!$P$5:$P$1004,MATCH($A551,Orders!$N$5:$N$1004,0)),""))</f>
        <v/>
      </c>
      <c r="J551" s="157" t="str">
        <f t="shared" si="1"/>
        <v/>
      </c>
      <c r="K551" s="153" t="str">
        <f t="array" ref="K551">IF($A551="","",IFERROR(INDEX(Sales!$M:$M,MATCH($A551,Sales!$E:$E,0)),""))</f>
        <v/>
      </c>
      <c r="L551" s="158" t="str">
        <f t="shared" si="2"/>
        <v/>
      </c>
      <c r="N551" s="49" t="str">
        <f t="array" ref="N551">IFERROR(INDEX(Sales!$E$7:$E$1506,MATCH(ROW()-4,Sales!$V$7:$V$1506,0)),"")</f>
        <v/>
      </c>
      <c r="O551" s="67"/>
      <c r="P551" s="67"/>
    </row>
    <row r="552" ht="15.75" customHeight="1">
      <c r="A552" s="151" t="str">
        <f t="array" ref="A552">IFERROR(INDEX(Sales!$E$7:$E$1506,MATCH(ROW()-4,Sales!$W$7:$W$1506,0)),"")</f>
        <v/>
      </c>
      <c r="B552" s="152" t="str">
        <f t="array" ref="B552">IF($A552="","",IFERROR(INDEX(Sales!$A:$A,MATCH($A552,Sales!$E:$E,0)),""))</f>
        <v/>
      </c>
      <c r="C552" s="153" t="str">
        <f t="array" ref="C552">IF($A552="","",IFERROR(INDEX(Sales!$D:$D,MATCH($A552,Sales!$E:$E,0)),""))</f>
        <v/>
      </c>
      <c r="D552" s="153" t="str">
        <f t="array" ref="D552">IF($A552="","",IFERROR(INDEX(Sales!$C:$C,MATCH($A552,Sales!$E:$E,0)),""))</f>
        <v/>
      </c>
      <c r="E552" s="154" t="str">
        <f>IF($A552="","",SUMIFS(Sales!$H:$H,Sales!$E:$E,$A552,Sales!$B:$B,"&lt;&gt;Return"))</f>
        <v/>
      </c>
      <c r="F552" s="155" t="str">
        <f>IF($A552="","",SUMIF(Sales!$E:$E,$A552,Sales!$L:$L))</f>
        <v/>
      </c>
      <c r="G552" s="155" t="str">
        <f>IF($A552="","",SUMIF(Sales!$E:$E,$A552,Sales!$P:$P))</f>
        <v/>
      </c>
      <c r="H552" s="156" t="str">
        <f t="array" ref="H552">IF($A552="","",IFERROR(INDEX(Orders!$O$5:$O$1004,MATCH($A552,Orders!$N$5:$N$1004,0)),""))</f>
        <v/>
      </c>
      <c r="I552" s="156" t="str">
        <f t="array" ref="I552">IF($A552="","",IFERROR(INDEX(Orders!$P$5:$P$1004,MATCH($A552,Orders!$N$5:$N$1004,0)),""))</f>
        <v/>
      </c>
      <c r="J552" s="157" t="str">
        <f t="shared" si="1"/>
        <v/>
      </c>
      <c r="K552" s="153" t="str">
        <f t="array" ref="K552">IF($A552="","",IFERROR(INDEX(Sales!$M:$M,MATCH($A552,Sales!$E:$E,0)),""))</f>
        <v/>
      </c>
      <c r="L552" s="158" t="str">
        <f t="shared" si="2"/>
        <v/>
      </c>
      <c r="N552" s="49" t="str">
        <f t="array" ref="N552">IFERROR(INDEX(Sales!$E$7:$E$1506,MATCH(ROW()-4,Sales!$V$7:$V$1506,0)),"")</f>
        <v/>
      </c>
      <c r="O552" s="67"/>
      <c r="P552" s="67"/>
    </row>
    <row r="553" ht="15.75" customHeight="1">
      <c r="A553" s="151" t="str">
        <f t="array" ref="A553">IFERROR(INDEX(Sales!$E$7:$E$1506,MATCH(ROW()-4,Sales!$W$7:$W$1506,0)),"")</f>
        <v/>
      </c>
      <c r="B553" s="152" t="str">
        <f t="array" ref="B553">IF($A553="","",IFERROR(INDEX(Sales!$A:$A,MATCH($A553,Sales!$E:$E,0)),""))</f>
        <v/>
      </c>
      <c r="C553" s="153" t="str">
        <f t="array" ref="C553">IF($A553="","",IFERROR(INDEX(Sales!$D:$D,MATCH($A553,Sales!$E:$E,0)),""))</f>
        <v/>
      </c>
      <c r="D553" s="153" t="str">
        <f t="array" ref="D553">IF($A553="","",IFERROR(INDEX(Sales!$C:$C,MATCH($A553,Sales!$E:$E,0)),""))</f>
        <v/>
      </c>
      <c r="E553" s="154" t="str">
        <f>IF($A553="","",SUMIFS(Sales!$H:$H,Sales!$E:$E,$A553,Sales!$B:$B,"&lt;&gt;Return"))</f>
        <v/>
      </c>
      <c r="F553" s="155" t="str">
        <f>IF($A553="","",SUMIF(Sales!$E:$E,$A553,Sales!$L:$L))</f>
        <v/>
      </c>
      <c r="G553" s="155" t="str">
        <f>IF($A553="","",SUMIF(Sales!$E:$E,$A553,Sales!$P:$P))</f>
        <v/>
      </c>
      <c r="H553" s="156" t="str">
        <f t="array" ref="H553">IF($A553="","",IFERROR(INDEX(Orders!$O$5:$O$1004,MATCH($A553,Orders!$N$5:$N$1004,0)),""))</f>
        <v/>
      </c>
      <c r="I553" s="156" t="str">
        <f t="array" ref="I553">IF($A553="","",IFERROR(INDEX(Orders!$P$5:$P$1004,MATCH($A553,Orders!$N$5:$N$1004,0)),""))</f>
        <v/>
      </c>
      <c r="J553" s="157" t="str">
        <f t="shared" si="1"/>
        <v/>
      </c>
      <c r="K553" s="153" t="str">
        <f t="array" ref="K553">IF($A553="","",IFERROR(INDEX(Sales!$M:$M,MATCH($A553,Sales!$E:$E,0)),""))</f>
        <v/>
      </c>
      <c r="L553" s="158" t="str">
        <f t="shared" si="2"/>
        <v/>
      </c>
      <c r="N553" s="49" t="str">
        <f t="array" ref="N553">IFERROR(INDEX(Sales!$E$7:$E$1506,MATCH(ROW()-4,Sales!$V$7:$V$1506,0)),"")</f>
        <v/>
      </c>
      <c r="O553" s="67"/>
      <c r="P553" s="67"/>
    </row>
    <row r="554" ht="15.75" customHeight="1">
      <c r="A554" s="151" t="str">
        <f t="array" ref="A554">IFERROR(INDEX(Sales!$E$7:$E$1506,MATCH(ROW()-4,Sales!$W$7:$W$1506,0)),"")</f>
        <v/>
      </c>
      <c r="B554" s="152" t="str">
        <f t="array" ref="B554">IF($A554="","",IFERROR(INDEX(Sales!$A:$A,MATCH($A554,Sales!$E:$E,0)),""))</f>
        <v/>
      </c>
      <c r="C554" s="153" t="str">
        <f t="array" ref="C554">IF($A554="","",IFERROR(INDEX(Sales!$D:$D,MATCH($A554,Sales!$E:$E,0)),""))</f>
        <v/>
      </c>
      <c r="D554" s="153" t="str">
        <f t="array" ref="D554">IF($A554="","",IFERROR(INDEX(Sales!$C:$C,MATCH($A554,Sales!$E:$E,0)),""))</f>
        <v/>
      </c>
      <c r="E554" s="154" t="str">
        <f>IF($A554="","",SUMIFS(Sales!$H:$H,Sales!$E:$E,$A554,Sales!$B:$B,"&lt;&gt;Return"))</f>
        <v/>
      </c>
      <c r="F554" s="155" t="str">
        <f>IF($A554="","",SUMIF(Sales!$E:$E,$A554,Sales!$L:$L))</f>
        <v/>
      </c>
      <c r="G554" s="155" t="str">
        <f>IF($A554="","",SUMIF(Sales!$E:$E,$A554,Sales!$P:$P))</f>
        <v/>
      </c>
      <c r="H554" s="156" t="str">
        <f t="array" ref="H554">IF($A554="","",IFERROR(INDEX(Orders!$O$5:$O$1004,MATCH($A554,Orders!$N$5:$N$1004,0)),""))</f>
        <v/>
      </c>
      <c r="I554" s="156" t="str">
        <f t="array" ref="I554">IF($A554="","",IFERROR(INDEX(Orders!$P$5:$P$1004,MATCH($A554,Orders!$N$5:$N$1004,0)),""))</f>
        <v/>
      </c>
      <c r="J554" s="157" t="str">
        <f t="shared" si="1"/>
        <v/>
      </c>
      <c r="K554" s="153" t="str">
        <f t="array" ref="K554">IF($A554="","",IFERROR(INDEX(Sales!$M:$M,MATCH($A554,Sales!$E:$E,0)),""))</f>
        <v/>
      </c>
      <c r="L554" s="158" t="str">
        <f t="shared" si="2"/>
        <v/>
      </c>
      <c r="N554" s="49" t="str">
        <f t="array" ref="N554">IFERROR(INDEX(Sales!$E$7:$E$1506,MATCH(ROW()-4,Sales!$V$7:$V$1506,0)),"")</f>
        <v/>
      </c>
      <c r="O554" s="67"/>
      <c r="P554" s="67"/>
    </row>
    <row r="555" ht="15.75" customHeight="1">
      <c r="A555" s="151" t="str">
        <f t="array" ref="A555">IFERROR(INDEX(Sales!$E$7:$E$1506,MATCH(ROW()-4,Sales!$W$7:$W$1506,0)),"")</f>
        <v/>
      </c>
      <c r="B555" s="152" t="str">
        <f t="array" ref="B555">IF($A555="","",IFERROR(INDEX(Sales!$A:$A,MATCH($A555,Sales!$E:$E,0)),""))</f>
        <v/>
      </c>
      <c r="C555" s="153" t="str">
        <f t="array" ref="C555">IF($A555="","",IFERROR(INDEX(Sales!$D:$D,MATCH($A555,Sales!$E:$E,0)),""))</f>
        <v/>
      </c>
      <c r="D555" s="153" t="str">
        <f t="array" ref="D555">IF($A555="","",IFERROR(INDEX(Sales!$C:$C,MATCH($A555,Sales!$E:$E,0)),""))</f>
        <v/>
      </c>
      <c r="E555" s="154" t="str">
        <f>IF($A555="","",SUMIFS(Sales!$H:$H,Sales!$E:$E,$A555,Sales!$B:$B,"&lt;&gt;Return"))</f>
        <v/>
      </c>
      <c r="F555" s="155" t="str">
        <f>IF($A555="","",SUMIF(Sales!$E:$E,$A555,Sales!$L:$L))</f>
        <v/>
      </c>
      <c r="G555" s="155" t="str">
        <f>IF($A555="","",SUMIF(Sales!$E:$E,$A555,Sales!$P:$P))</f>
        <v/>
      </c>
      <c r="H555" s="156" t="str">
        <f t="array" ref="H555">IF($A555="","",IFERROR(INDEX(Orders!$O$5:$O$1004,MATCH($A555,Orders!$N$5:$N$1004,0)),""))</f>
        <v/>
      </c>
      <c r="I555" s="156" t="str">
        <f t="array" ref="I555">IF($A555="","",IFERROR(INDEX(Orders!$P$5:$P$1004,MATCH($A555,Orders!$N$5:$N$1004,0)),""))</f>
        <v/>
      </c>
      <c r="J555" s="157" t="str">
        <f t="shared" si="1"/>
        <v/>
      </c>
      <c r="K555" s="153" t="str">
        <f t="array" ref="K555">IF($A555="","",IFERROR(INDEX(Sales!$M:$M,MATCH($A555,Sales!$E:$E,0)),""))</f>
        <v/>
      </c>
      <c r="L555" s="158" t="str">
        <f t="shared" si="2"/>
        <v/>
      </c>
      <c r="N555" s="49" t="str">
        <f t="array" ref="N555">IFERROR(INDEX(Sales!$E$7:$E$1506,MATCH(ROW()-4,Sales!$V$7:$V$1506,0)),"")</f>
        <v/>
      </c>
      <c r="O555" s="67"/>
      <c r="P555" s="67"/>
    </row>
    <row r="556" ht="15.75" customHeight="1">
      <c r="A556" s="151" t="str">
        <f t="array" ref="A556">IFERROR(INDEX(Sales!$E$7:$E$1506,MATCH(ROW()-4,Sales!$W$7:$W$1506,0)),"")</f>
        <v/>
      </c>
      <c r="B556" s="152" t="str">
        <f t="array" ref="B556">IF($A556="","",IFERROR(INDEX(Sales!$A:$A,MATCH($A556,Sales!$E:$E,0)),""))</f>
        <v/>
      </c>
      <c r="C556" s="153" t="str">
        <f t="array" ref="C556">IF($A556="","",IFERROR(INDEX(Sales!$D:$D,MATCH($A556,Sales!$E:$E,0)),""))</f>
        <v/>
      </c>
      <c r="D556" s="153" t="str">
        <f t="array" ref="D556">IF($A556="","",IFERROR(INDEX(Sales!$C:$C,MATCH($A556,Sales!$E:$E,0)),""))</f>
        <v/>
      </c>
      <c r="E556" s="154" t="str">
        <f>IF($A556="","",SUMIFS(Sales!$H:$H,Sales!$E:$E,$A556,Sales!$B:$B,"&lt;&gt;Return"))</f>
        <v/>
      </c>
      <c r="F556" s="155" t="str">
        <f>IF($A556="","",SUMIF(Sales!$E:$E,$A556,Sales!$L:$L))</f>
        <v/>
      </c>
      <c r="G556" s="155" t="str">
        <f>IF($A556="","",SUMIF(Sales!$E:$E,$A556,Sales!$P:$P))</f>
        <v/>
      </c>
      <c r="H556" s="156" t="str">
        <f t="array" ref="H556">IF($A556="","",IFERROR(INDEX(Orders!$O$5:$O$1004,MATCH($A556,Orders!$N$5:$N$1004,0)),""))</f>
        <v/>
      </c>
      <c r="I556" s="156" t="str">
        <f t="array" ref="I556">IF($A556="","",IFERROR(INDEX(Orders!$P$5:$P$1004,MATCH($A556,Orders!$N$5:$N$1004,0)),""))</f>
        <v/>
      </c>
      <c r="J556" s="157" t="str">
        <f t="shared" si="1"/>
        <v/>
      </c>
      <c r="K556" s="153" t="str">
        <f t="array" ref="K556">IF($A556="","",IFERROR(INDEX(Sales!$M:$M,MATCH($A556,Sales!$E:$E,0)),""))</f>
        <v/>
      </c>
      <c r="L556" s="158" t="str">
        <f t="shared" si="2"/>
        <v/>
      </c>
      <c r="N556" s="49" t="str">
        <f t="array" ref="N556">IFERROR(INDEX(Sales!$E$7:$E$1506,MATCH(ROW()-4,Sales!$V$7:$V$1506,0)),"")</f>
        <v/>
      </c>
      <c r="O556" s="67"/>
      <c r="P556" s="67"/>
    </row>
    <row r="557" ht="15.75" customHeight="1">
      <c r="A557" s="151" t="str">
        <f t="array" ref="A557">IFERROR(INDEX(Sales!$E$7:$E$1506,MATCH(ROW()-4,Sales!$W$7:$W$1506,0)),"")</f>
        <v/>
      </c>
      <c r="B557" s="152" t="str">
        <f t="array" ref="B557">IF($A557="","",IFERROR(INDEX(Sales!$A:$A,MATCH($A557,Sales!$E:$E,0)),""))</f>
        <v/>
      </c>
      <c r="C557" s="153" t="str">
        <f t="array" ref="C557">IF($A557="","",IFERROR(INDEX(Sales!$D:$D,MATCH($A557,Sales!$E:$E,0)),""))</f>
        <v/>
      </c>
      <c r="D557" s="153" t="str">
        <f t="array" ref="D557">IF($A557="","",IFERROR(INDEX(Sales!$C:$C,MATCH($A557,Sales!$E:$E,0)),""))</f>
        <v/>
      </c>
      <c r="E557" s="154" t="str">
        <f>IF($A557="","",SUMIFS(Sales!$H:$H,Sales!$E:$E,$A557,Sales!$B:$B,"&lt;&gt;Return"))</f>
        <v/>
      </c>
      <c r="F557" s="155" t="str">
        <f>IF($A557="","",SUMIF(Sales!$E:$E,$A557,Sales!$L:$L))</f>
        <v/>
      </c>
      <c r="G557" s="155" t="str">
        <f>IF($A557="","",SUMIF(Sales!$E:$E,$A557,Sales!$P:$P))</f>
        <v/>
      </c>
      <c r="H557" s="156" t="str">
        <f t="array" ref="H557">IF($A557="","",IFERROR(INDEX(Orders!$O$5:$O$1004,MATCH($A557,Orders!$N$5:$N$1004,0)),""))</f>
        <v/>
      </c>
      <c r="I557" s="156" t="str">
        <f t="array" ref="I557">IF($A557="","",IFERROR(INDEX(Orders!$P$5:$P$1004,MATCH($A557,Orders!$N$5:$N$1004,0)),""))</f>
        <v/>
      </c>
      <c r="J557" s="157" t="str">
        <f t="shared" si="1"/>
        <v/>
      </c>
      <c r="K557" s="153" t="str">
        <f t="array" ref="K557">IF($A557="","",IFERROR(INDEX(Sales!$M:$M,MATCH($A557,Sales!$E:$E,0)),""))</f>
        <v/>
      </c>
      <c r="L557" s="158" t="str">
        <f t="shared" si="2"/>
        <v/>
      </c>
      <c r="N557" s="49" t="str">
        <f t="array" ref="N557">IFERROR(INDEX(Sales!$E$7:$E$1506,MATCH(ROW()-4,Sales!$V$7:$V$1506,0)),"")</f>
        <v/>
      </c>
      <c r="O557" s="67"/>
      <c r="P557" s="67"/>
    </row>
    <row r="558" ht="15.75" customHeight="1">
      <c r="A558" s="151" t="str">
        <f t="array" ref="A558">IFERROR(INDEX(Sales!$E$7:$E$1506,MATCH(ROW()-4,Sales!$W$7:$W$1506,0)),"")</f>
        <v/>
      </c>
      <c r="B558" s="152" t="str">
        <f t="array" ref="B558">IF($A558="","",IFERROR(INDEX(Sales!$A:$A,MATCH($A558,Sales!$E:$E,0)),""))</f>
        <v/>
      </c>
      <c r="C558" s="153" t="str">
        <f t="array" ref="C558">IF($A558="","",IFERROR(INDEX(Sales!$D:$D,MATCH($A558,Sales!$E:$E,0)),""))</f>
        <v/>
      </c>
      <c r="D558" s="153" t="str">
        <f t="array" ref="D558">IF($A558="","",IFERROR(INDEX(Sales!$C:$C,MATCH($A558,Sales!$E:$E,0)),""))</f>
        <v/>
      </c>
      <c r="E558" s="154" t="str">
        <f>IF($A558="","",SUMIFS(Sales!$H:$H,Sales!$E:$E,$A558,Sales!$B:$B,"&lt;&gt;Return"))</f>
        <v/>
      </c>
      <c r="F558" s="155" t="str">
        <f>IF($A558="","",SUMIF(Sales!$E:$E,$A558,Sales!$L:$L))</f>
        <v/>
      </c>
      <c r="G558" s="155" t="str">
        <f>IF($A558="","",SUMIF(Sales!$E:$E,$A558,Sales!$P:$P))</f>
        <v/>
      </c>
      <c r="H558" s="156" t="str">
        <f t="array" ref="H558">IF($A558="","",IFERROR(INDEX(Orders!$O$5:$O$1004,MATCH($A558,Orders!$N$5:$N$1004,0)),""))</f>
        <v/>
      </c>
      <c r="I558" s="156" t="str">
        <f t="array" ref="I558">IF($A558="","",IFERROR(INDEX(Orders!$P$5:$P$1004,MATCH($A558,Orders!$N$5:$N$1004,0)),""))</f>
        <v/>
      </c>
      <c r="J558" s="157" t="str">
        <f t="shared" si="1"/>
        <v/>
      </c>
      <c r="K558" s="153" t="str">
        <f t="array" ref="K558">IF($A558="","",IFERROR(INDEX(Sales!$M:$M,MATCH($A558,Sales!$E:$E,0)),""))</f>
        <v/>
      </c>
      <c r="L558" s="158" t="str">
        <f t="shared" si="2"/>
        <v/>
      </c>
      <c r="N558" s="49" t="str">
        <f t="array" ref="N558">IFERROR(INDEX(Sales!$E$7:$E$1506,MATCH(ROW()-4,Sales!$V$7:$V$1506,0)),"")</f>
        <v/>
      </c>
      <c r="O558" s="67"/>
      <c r="P558" s="67"/>
    </row>
    <row r="559" ht="15.75" customHeight="1">
      <c r="A559" s="151" t="str">
        <f t="array" ref="A559">IFERROR(INDEX(Sales!$E$7:$E$1506,MATCH(ROW()-4,Sales!$W$7:$W$1506,0)),"")</f>
        <v/>
      </c>
      <c r="B559" s="152" t="str">
        <f t="array" ref="B559">IF($A559="","",IFERROR(INDEX(Sales!$A:$A,MATCH($A559,Sales!$E:$E,0)),""))</f>
        <v/>
      </c>
      <c r="C559" s="153" t="str">
        <f t="array" ref="C559">IF($A559="","",IFERROR(INDEX(Sales!$D:$D,MATCH($A559,Sales!$E:$E,0)),""))</f>
        <v/>
      </c>
      <c r="D559" s="153" t="str">
        <f t="array" ref="D559">IF($A559="","",IFERROR(INDEX(Sales!$C:$C,MATCH($A559,Sales!$E:$E,0)),""))</f>
        <v/>
      </c>
      <c r="E559" s="154" t="str">
        <f>IF($A559="","",SUMIFS(Sales!$H:$H,Sales!$E:$E,$A559,Sales!$B:$B,"&lt;&gt;Return"))</f>
        <v/>
      </c>
      <c r="F559" s="155" t="str">
        <f>IF($A559="","",SUMIF(Sales!$E:$E,$A559,Sales!$L:$L))</f>
        <v/>
      </c>
      <c r="G559" s="155" t="str">
        <f>IF($A559="","",SUMIF(Sales!$E:$E,$A559,Sales!$P:$P))</f>
        <v/>
      </c>
      <c r="H559" s="156" t="str">
        <f t="array" ref="H559">IF($A559="","",IFERROR(INDEX(Orders!$O$5:$O$1004,MATCH($A559,Orders!$N$5:$N$1004,0)),""))</f>
        <v/>
      </c>
      <c r="I559" s="156" t="str">
        <f t="array" ref="I559">IF($A559="","",IFERROR(INDEX(Orders!$P$5:$P$1004,MATCH($A559,Orders!$N$5:$N$1004,0)),""))</f>
        <v/>
      </c>
      <c r="J559" s="157" t="str">
        <f t="shared" si="1"/>
        <v/>
      </c>
      <c r="K559" s="153" t="str">
        <f t="array" ref="K559">IF($A559="","",IFERROR(INDEX(Sales!$M:$M,MATCH($A559,Sales!$E:$E,0)),""))</f>
        <v/>
      </c>
      <c r="L559" s="158" t="str">
        <f t="shared" si="2"/>
        <v/>
      </c>
      <c r="N559" s="49" t="str">
        <f t="array" ref="N559">IFERROR(INDEX(Sales!$E$7:$E$1506,MATCH(ROW()-4,Sales!$V$7:$V$1506,0)),"")</f>
        <v/>
      </c>
      <c r="O559" s="67"/>
      <c r="P559" s="67"/>
    </row>
    <row r="560" ht="15.75" customHeight="1">
      <c r="A560" s="151" t="str">
        <f t="array" ref="A560">IFERROR(INDEX(Sales!$E$7:$E$1506,MATCH(ROW()-4,Sales!$W$7:$W$1506,0)),"")</f>
        <v/>
      </c>
      <c r="B560" s="152" t="str">
        <f t="array" ref="B560">IF($A560="","",IFERROR(INDEX(Sales!$A:$A,MATCH($A560,Sales!$E:$E,0)),""))</f>
        <v/>
      </c>
      <c r="C560" s="153" t="str">
        <f t="array" ref="C560">IF($A560="","",IFERROR(INDEX(Sales!$D:$D,MATCH($A560,Sales!$E:$E,0)),""))</f>
        <v/>
      </c>
      <c r="D560" s="153" t="str">
        <f t="array" ref="D560">IF($A560="","",IFERROR(INDEX(Sales!$C:$C,MATCH($A560,Sales!$E:$E,0)),""))</f>
        <v/>
      </c>
      <c r="E560" s="154" t="str">
        <f>IF($A560="","",SUMIFS(Sales!$H:$H,Sales!$E:$E,$A560,Sales!$B:$B,"&lt;&gt;Return"))</f>
        <v/>
      </c>
      <c r="F560" s="155" t="str">
        <f>IF($A560="","",SUMIF(Sales!$E:$E,$A560,Sales!$L:$L))</f>
        <v/>
      </c>
      <c r="G560" s="155" t="str">
        <f>IF($A560="","",SUMIF(Sales!$E:$E,$A560,Sales!$P:$P))</f>
        <v/>
      </c>
      <c r="H560" s="156" t="str">
        <f t="array" ref="H560">IF($A560="","",IFERROR(INDEX(Orders!$O$5:$O$1004,MATCH($A560,Orders!$N$5:$N$1004,0)),""))</f>
        <v/>
      </c>
      <c r="I560" s="156" t="str">
        <f t="array" ref="I560">IF($A560="","",IFERROR(INDEX(Orders!$P$5:$P$1004,MATCH($A560,Orders!$N$5:$N$1004,0)),""))</f>
        <v/>
      </c>
      <c r="J560" s="157" t="str">
        <f t="shared" si="1"/>
        <v/>
      </c>
      <c r="K560" s="153" t="str">
        <f t="array" ref="K560">IF($A560="","",IFERROR(INDEX(Sales!$M:$M,MATCH($A560,Sales!$E:$E,0)),""))</f>
        <v/>
      </c>
      <c r="L560" s="158" t="str">
        <f t="shared" si="2"/>
        <v/>
      </c>
      <c r="N560" s="49" t="str">
        <f t="array" ref="N560">IFERROR(INDEX(Sales!$E$7:$E$1506,MATCH(ROW()-4,Sales!$V$7:$V$1506,0)),"")</f>
        <v/>
      </c>
      <c r="O560" s="67"/>
      <c r="P560" s="67"/>
    </row>
    <row r="561" ht="15.75" customHeight="1">
      <c r="A561" s="151" t="str">
        <f t="array" ref="A561">IFERROR(INDEX(Sales!$E$7:$E$1506,MATCH(ROW()-4,Sales!$W$7:$W$1506,0)),"")</f>
        <v/>
      </c>
      <c r="B561" s="152" t="str">
        <f t="array" ref="B561">IF($A561="","",IFERROR(INDEX(Sales!$A:$A,MATCH($A561,Sales!$E:$E,0)),""))</f>
        <v/>
      </c>
      <c r="C561" s="153" t="str">
        <f t="array" ref="C561">IF($A561="","",IFERROR(INDEX(Sales!$D:$D,MATCH($A561,Sales!$E:$E,0)),""))</f>
        <v/>
      </c>
      <c r="D561" s="153" t="str">
        <f t="array" ref="D561">IF($A561="","",IFERROR(INDEX(Sales!$C:$C,MATCH($A561,Sales!$E:$E,0)),""))</f>
        <v/>
      </c>
      <c r="E561" s="154" t="str">
        <f>IF($A561="","",SUMIFS(Sales!$H:$H,Sales!$E:$E,$A561,Sales!$B:$B,"&lt;&gt;Return"))</f>
        <v/>
      </c>
      <c r="F561" s="155" t="str">
        <f>IF($A561="","",SUMIF(Sales!$E:$E,$A561,Sales!$L:$L))</f>
        <v/>
      </c>
      <c r="G561" s="155" t="str">
        <f>IF($A561="","",SUMIF(Sales!$E:$E,$A561,Sales!$P:$P))</f>
        <v/>
      </c>
      <c r="H561" s="156" t="str">
        <f t="array" ref="H561">IF($A561="","",IFERROR(INDEX(Orders!$O$5:$O$1004,MATCH($A561,Orders!$N$5:$N$1004,0)),""))</f>
        <v/>
      </c>
      <c r="I561" s="156" t="str">
        <f t="array" ref="I561">IF($A561="","",IFERROR(INDEX(Orders!$P$5:$P$1004,MATCH($A561,Orders!$N$5:$N$1004,0)),""))</f>
        <v/>
      </c>
      <c r="J561" s="157" t="str">
        <f t="shared" si="1"/>
        <v/>
      </c>
      <c r="K561" s="153" t="str">
        <f t="array" ref="K561">IF($A561="","",IFERROR(INDEX(Sales!$M:$M,MATCH($A561,Sales!$E:$E,0)),""))</f>
        <v/>
      </c>
      <c r="L561" s="158" t="str">
        <f t="shared" si="2"/>
        <v/>
      </c>
      <c r="N561" s="49" t="str">
        <f t="array" ref="N561">IFERROR(INDEX(Sales!$E$7:$E$1506,MATCH(ROW()-4,Sales!$V$7:$V$1506,0)),"")</f>
        <v/>
      </c>
      <c r="O561" s="67"/>
      <c r="P561" s="67"/>
    </row>
    <row r="562" ht="15.75" customHeight="1">
      <c r="A562" s="151" t="str">
        <f t="array" ref="A562">IFERROR(INDEX(Sales!$E$7:$E$1506,MATCH(ROW()-4,Sales!$W$7:$W$1506,0)),"")</f>
        <v/>
      </c>
      <c r="B562" s="152" t="str">
        <f t="array" ref="B562">IF($A562="","",IFERROR(INDEX(Sales!$A:$A,MATCH($A562,Sales!$E:$E,0)),""))</f>
        <v/>
      </c>
      <c r="C562" s="153" t="str">
        <f t="array" ref="C562">IF($A562="","",IFERROR(INDEX(Sales!$D:$D,MATCH($A562,Sales!$E:$E,0)),""))</f>
        <v/>
      </c>
      <c r="D562" s="153" t="str">
        <f t="array" ref="D562">IF($A562="","",IFERROR(INDEX(Sales!$C:$C,MATCH($A562,Sales!$E:$E,0)),""))</f>
        <v/>
      </c>
      <c r="E562" s="154" t="str">
        <f>IF($A562="","",SUMIFS(Sales!$H:$H,Sales!$E:$E,$A562,Sales!$B:$B,"&lt;&gt;Return"))</f>
        <v/>
      </c>
      <c r="F562" s="155" t="str">
        <f>IF($A562="","",SUMIF(Sales!$E:$E,$A562,Sales!$L:$L))</f>
        <v/>
      </c>
      <c r="G562" s="155" t="str">
        <f>IF($A562="","",SUMIF(Sales!$E:$E,$A562,Sales!$P:$P))</f>
        <v/>
      </c>
      <c r="H562" s="156" t="str">
        <f t="array" ref="H562">IF($A562="","",IFERROR(INDEX(Orders!$O$5:$O$1004,MATCH($A562,Orders!$N$5:$N$1004,0)),""))</f>
        <v/>
      </c>
      <c r="I562" s="156" t="str">
        <f t="array" ref="I562">IF($A562="","",IFERROR(INDEX(Orders!$P$5:$P$1004,MATCH($A562,Orders!$N$5:$N$1004,0)),""))</f>
        <v/>
      </c>
      <c r="J562" s="157" t="str">
        <f t="shared" si="1"/>
        <v/>
      </c>
      <c r="K562" s="153" t="str">
        <f t="array" ref="K562">IF($A562="","",IFERROR(INDEX(Sales!$M:$M,MATCH($A562,Sales!$E:$E,0)),""))</f>
        <v/>
      </c>
      <c r="L562" s="158" t="str">
        <f t="shared" si="2"/>
        <v/>
      </c>
      <c r="N562" s="49" t="str">
        <f t="array" ref="N562">IFERROR(INDEX(Sales!$E$7:$E$1506,MATCH(ROW()-4,Sales!$V$7:$V$1506,0)),"")</f>
        <v/>
      </c>
      <c r="O562" s="67"/>
      <c r="P562" s="67"/>
    </row>
    <row r="563" ht="15.75" customHeight="1">
      <c r="A563" s="151" t="str">
        <f t="array" ref="A563">IFERROR(INDEX(Sales!$E$7:$E$1506,MATCH(ROW()-4,Sales!$W$7:$W$1506,0)),"")</f>
        <v/>
      </c>
      <c r="B563" s="152" t="str">
        <f t="array" ref="B563">IF($A563="","",IFERROR(INDEX(Sales!$A:$A,MATCH($A563,Sales!$E:$E,0)),""))</f>
        <v/>
      </c>
      <c r="C563" s="153" t="str">
        <f t="array" ref="C563">IF($A563="","",IFERROR(INDEX(Sales!$D:$D,MATCH($A563,Sales!$E:$E,0)),""))</f>
        <v/>
      </c>
      <c r="D563" s="153" t="str">
        <f t="array" ref="D563">IF($A563="","",IFERROR(INDEX(Sales!$C:$C,MATCH($A563,Sales!$E:$E,0)),""))</f>
        <v/>
      </c>
      <c r="E563" s="154" t="str">
        <f>IF($A563="","",SUMIFS(Sales!$H:$H,Sales!$E:$E,$A563,Sales!$B:$B,"&lt;&gt;Return"))</f>
        <v/>
      </c>
      <c r="F563" s="155" t="str">
        <f>IF($A563="","",SUMIF(Sales!$E:$E,$A563,Sales!$L:$L))</f>
        <v/>
      </c>
      <c r="G563" s="155" t="str">
        <f>IF($A563="","",SUMIF(Sales!$E:$E,$A563,Sales!$P:$P))</f>
        <v/>
      </c>
      <c r="H563" s="156" t="str">
        <f t="array" ref="H563">IF($A563="","",IFERROR(INDEX(Orders!$O$5:$O$1004,MATCH($A563,Orders!$N$5:$N$1004,0)),""))</f>
        <v/>
      </c>
      <c r="I563" s="156" t="str">
        <f t="array" ref="I563">IF($A563="","",IFERROR(INDEX(Orders!$P$5:$P$1004,MATCH($A563,Orders!$N$5:$N$1004,0)),""))</f>
        <v/>
      </c>
      <c r="J563" s="157" t="str">
        <f t="shared" si="1"/>
        <v/>
      </c>
      <c r="K563" s="153" t="str">
        <f t="array" ref="K563">IF($A563="","",IFERROR(INDEX(Sales!$M:$M,MATCH($A563,Sales!$E:$E,0)),""))</f>
        <v/>
      </c>
      <c r="L563" s="158" t="str">
        <f t="shared" si="2"/>
        <v/>
      </c>
      <c r="N563" s="49" t="str">
        <f t="array" ref="N563">IFERROR(INDEX(Sales!$E$7:$E$1506,MATCH(ROW()-4,Sales!$V$7:$V$1506,0)),"")</f>
        <v/>
      </c>
      <c r="O563" s="67"/>
      <c r="P563" s="67"/>
    </row>
    <row r="564" ht="15.75" customHeight="1">
      <c r="A564" s="151" t="str">
        <f t="array" ref="A564">IFERROR(INDEX(Sales!$E$7:$E$1506,MATCH(ROW()-4,Sales!$W$7:$W$1506,0)),"")</f>
        <v/>
      </c>
      <c r="B564" s="152" t="str">
        <f t="array" ref="B564">IF($A564="","",IFERROR(INDEX(Sales!$A:$A,MATCH($A564,Sales!$E:$E,0)),""))</f>
        <v/>
      </c>
      <c r="C564" s="153" t="str">
        <f t="array" ref="C564">IF($A564="","",IFERROR(INDEX(Sales!$D:$D,MATCH($A564,Sales!$E:$E,0)),""))</f>
        <v/>
      </c>
      <c r="D564" s="153" t="str">
        <f t="array" ref="D564">IF($A564="","",IFERROR(INDEX(Sales!$C:$C,MATCH($A564,Sales!$E:$E,0)),""))</f>
        <v/>
      </c>
      <c r="E564" s="154" t="str">
        <f>IF($A564="","",SUMIFS(Sales!$H:$H,Sales!$E:$E,$A564,Sales!$B:$B,"&lt;&gt;Return"))</f>
        <v/>
      </c>
      <c r="F564" s="155" t="str">
        <f>IF($A564="","",SUMIF(Sales!$E:$E,$A564,Sales!$L:$L))</f>
        <v/>
      </c>
      <c r="G564" s="155" t="str">
        <f>IF($A564="","",SUMIF(Sales!$E:$E,$A564,Sales!$P:$P))</f>
        <v/>
      </c>
      <c r="H564" s="156" t="str">
        <f t="array" ref="H564">IF($A564="","",IFERROR(INDEX(Orders!$O$5:$O$1004,MATCH($A564,Orders!$N$5:$N$1004,0)),""))</f>
        <v/>
      </c>
      <c r="I564" s="156" t="str">
        <f t="array" ref="I564">IF($A564="","",IFERROR(INDEX(Orders!$P$5:$P$1004,MATCH($A564,Orders!$N$5:$N$1004,0)),""))</f>
        <v/>
      </c>
      <c r="J564" s="157" t="str">
        <f t="shared" si="1"/>
        <v/>
      </c>
      <c r="K564" s="153" t="str">
        <f t="array" ref="K564">IF($A564="","",IFERROR(INDEX(Sales!$M:$M,MATCH($A564,Sales!$E:$E,0)),""))</f>
        <v/>
      </c>
      <c r="L564" s="158" t="str">
        <f t="shared" si="2"/>
        <v/>
      </c>
      <c r="N564" s="49" t="str">
        <f t="array" ref="N564">IFERROR(INDEX(Sales!$E$7:$E$1506,MATCH(ROW()-4,Sales!$V$7:$V$1506,0)),"")</f>
        <v/>
      </c>
      <c r="O564" s="67"/>
      <c r="P564" s="67"/>
    </row>
    <row r="565" ht="15.75" customHeight="1">
      <c r="A565" s="151" t="str">
        <f t="array" ref="A565">IFERROR(INDEX(Sales!$E$7:$E$1506,MATCH(ROW()-4,Sales!$W$7:$W$1506,0)),"")</f>
        <v/>
      </c>
      <c r="B565" s="152" t="str">
        <f t="array" ref="B565">IF($A565="","",IFERROR(INDEX(Sales!$A:$A,MATCH($A565,Sales!$E:$E,0)),""))</f>
        <v/>
      </c>
      <c r="C565" s="153" t="str">
        <f t="array" ref="C565">IF($A565="","",IFERROR(INDEX(Sales!$D:$D,MATCH($A565,Sales!$E:$E,0)),""))</f>
        <v/>
      </c>
      <c r="D565" s="153" t="str">
        <f t="array" ref="D565">IF($A565="","",IFERROR(INDEX(Sales!$C:$C,MATCH($A565,Sales!$E:$E,0)),""))</f>
        <v/>
      </c>
      <c r="E565" s="154" t="str">
        <f>IF($A565="","",SUMIFS(Sales!$H:$H,Sales!$E:$E,$A565,Sales!$B:$B,"&lt;&gt;Return"))</f>
        <v/>
      </c>
      <c r="F565" s="155" t="str">
        <f>IF($A565="","",SUMIF(Sales!$E:$E,$A565,Sales!$L:$L))</f>
        <v/>
      </c>
      <c r="G565" s="155" t="str">
        <f>IF($A565="","",SUMIF(Sales!$E:$E,$A565,Sales!$P:$P))</f>
        <v/>
      </c>
      <c r="H565" s="156" t="str">
        <f t="array" ref="H565">IF($A565="","",IFERROR(INDEX(Orders!$O$5:$O$1004,MATCH($A565,Orders!$N$5:$N$1004,0)),""))</f>
        <v/>
      </c>
      <c r="I565" s="156" t="str">
        <f t="array" ref="I565">IF($A565="","",IFERROR(INDEX(Orders!$P$5:$P$1004,MATCH($A565,Orders!$N$5:$N$1004,0)),""))</f>
        <v/>
      </c>
      <c r="J565" s="157" t="str">
        <f t="shared" si="1"/>
        <v/>
      </c>
      <c r="K565" s="153" t="str">
        <f t="array" ref="K565">IF($A565="","",IFERROR(INDEX(Sales!$M:$M,MATCH($A565,Sales!$E:$E,0)),""))</f>
        <v/>
      </c>
      <c r="L565" s="158" t="str">
        <f t="shared" si="2"/>
        <v/>
      </c>
      <c r="N565" s="49" t="str">
        <f t="array" ref="N565">IFERROR(INDEX(Sales!$E$7:$E$1506,MATCH(ROW()-4,Sales!$V$7:$V$1506,0)),"")</f>
        <v/>
      </c>
      <c r="O565" s="67"/>
      <c r="P565" s="67"/>
    </row>
    <row r="566" ht="15.75" customHeight="1">
      <c r="A566" s="151" t="str">
        <f t="array" ref="A566">IFERROR(INDEX(Sales!$E$7:$E$1506,MATCH(ROW()-4,Sales!$W$7:$W$1506,0)),"")</f>
        <v/>
      </c>
      <c r="B566" s="152" t="str">
        <f t="array" ref="B566">IF($A566="","",IFERROR(INDEX(Sales!$A:$A,MATCH($A566,Sales!$E:$E,0)),""))</f>
        <v/>
      </c>
      <c r="C566" s="153" t="str">
        <f t="array" ref="C566">IF($A566="","",IFERROR(INDEX(Sales!$D:$D,MATCH($A566,Sales!$E:$E,0)),""))</f>
        <v/>
      </c>
      <c r="D566" s="153" t="str">
        <f t="array" ref="D566">IF($A566="","",IFERROR(INDEX(Sales!$C:$C,MATCH($A566,Sales!$E:$E,0)),""))</f>
        <v/>
      </c>
      <c r="E566" s="154" t="str">
        <f>IF($A566="","",SUMIFS(Sales!$H:$H,Sales!$E:$E,$A566,Sales!$B:$B,"&lt;&gt;Return"))</f>
        <v/>
      </c>
      <c r="F566" s="155" t="str">
        <f>IF($A566="","",SUMIF(Sales!$E:$E,$A566,Sales!$L:$L))</f>
        <v/>
      </c>
      <c r="G566" s="155" t="str">
        <f>IF($A566="","",SUMIF(Sales!$E:$E,$A566,Sales!$P:$P))</f>
        <v/>
      </c>
      <c r="H566" s="156" t="str">
        <f t="array" ref="H566">IF($A566="","",IFERROR(INDEX(Orders!$O$5:$O$1004,MATCH($A566,Orders!$N$5:$N$1004,0)),""))</f>
        <v/>
      </c>
      <c r="I566" s="156" t="str">
        <f t="array" ref="I566">IF($A566="","",IFERROR(INDEX(Orders!$P$5:$P$1004,MATCH($A566,Orders!$N$5:$N$1004,0)),""))</f>
        <v/>
      </c>
      <c r="J566" s="157" t="str">
        <f t="shared" si="1"/>
        <v/>
      </c>
      <c r="K566" s="153" t="str">
        <f t="array" ref="K566">IF($A566="","",IFERROR(INDEX(Sales!$M:$M,MATCH($A566,Sales!$E:$E,0)),""))</f>
        <v/>
      </c>
      <c r="L566" s="158" t="str">
        <f t="shared" si="2"/>
        <v/>
      </c>
      <c r="N566" s="49" t="str">
        <f t="array" ref="N566">IFERROR(INDEX(Sales!$E$7:$E$1506,MATCH(ROW()-4,Sales!$V$7:$V$1506,0)),"")</f>
        <v/>
      </c>
      <c r="O566" s="67"/>
      <c r="P566" s="67"/>
    </row>
    <row r="567" ht="15.75" customHeight="1">
      <c r="A567" s="151" t="str">
        <f t="array" ref="A567">IFERROR(INDEX(Sales!$E$7:$E$1506,MATCH(ROW()-4,Sales!$W$7:$W$1506,0)),"")</f>
        <v/>
      </c>
      <c r="B567" s="152" t="str">
        <f t="array" ref="B567">IF($A567="","",IFERROR(INDEX(Sales!$A:$A,MATCH($A567,Sales!$E:$E,0)),""))</f>
        <v/>
      </c>
      <c r="C567" s="153" t="str">
        <f t="array" ref="C567">IF($A567="","",IFERROR(INDEX(Sales!$D:$D,MATCH($A567,Sales!$E:$E,0)),""))</f>
        <v/>
      </c>
      <c r="D567" s="153" t="str">
        <f t="array" ref="D567">IF($A567="","",IFERROR(INDEX(Sales!$C:$C,MATCH($A567,Sales!$E:$E,0)),""))</f>
        <v/>
      </c>
      <c r="E567" s="154" t="str">
        <f>IF($A567="","",SUMIFS(Sales!$H:$H,Sales!$E:$E,$A567,Sales!$B:$B,"&lt;&gt;Return"))</f>
        <v/>
      </c>
      <c r="F567" s="155" t="str">
        <f>IF($A567="","",SUMIF(Sales!$E:$E,$A567,Sales!$L:$L))</f>
        <v/>
      </c>
      <c r="G567" s="155" t="str">
        <f>IF($A567="","",SUMIF(Sales!$E:$E,$A567,Sales!$P:$P))</f>
        <v/>
      </c>
      <c r="H567" s="156" t="str">
        <f t="array" ref="H567">IF($A567="","",IFERROR(INDEX(Orders!$O$5:$O$1004,MATCH($A567,Orders!$N$5:$N$1004,0)),""))</f>
        <v/>
      </c>
      <c r="I567" s="156" t="str">
        <f t="array" ref="I567">IF($A567="","",IFERROR(INDEX(Orders!$P$5:$P$1004,MATCH($A567,Orders!$N$5:$N$1004,0)),""))</f>
        <v/>
      </c>
      <c r="J567" s="157" t="str">
        <f t="shared" si="1"/>
        <v/>
      </c>
      <c r="K567" s="153" t="str">
        <f t="array" ref="K567">IF($A567="","",IFERROR(INDEX(Sales!$M:$M,MATCH($A567,Sales!$E:$E,0)),""))</f>
        <v/>
      </c>
      <c r="L567" s="158" t="str">
        <f t="shared" si="2"/>
        <v/>
      </c>
      <c r="N567" s="49" t="str">
        <f t="array" ref="N567">IFERROR(INDEX(Sales!$E$7:$E$1506,MATCH(ROW()-4,Sales!$V$7:$V$1506,0)),"")</f>
        <v/>
      </c>
      <c r="O567" s="67"/>
      <c r="P567" s="67"/>
    </row>
    <row r="568" ht="15.75" customHeight="1">
      <c r="A568" s="151" t="str">
        <f t="array" ref="A568">IFERROR(INDEX(Sales!$E$7:$E$1506,MATCH(ROW()-4,Sales!$W$7:$W$1506,0)),"")</f>
        <v/>
      </c>
      <c r="B568" s="152" t="str">
        <f t="array" ref="B568">IF($A568="","",IFERROR(INDEX(Sales!$A:$A,MATCH($A568,Sales!$E:$E,0)),""))</f>
        <v/>
      </c>
      <c r="C568" s="153" t="str">
        <f t="array" ref="C568">IF($A568="","",IFERROR(INDEX(Sales!$D:$D,MATCH($A568,Sales!$E:$E,0)),""))</f>
        <v/>
      </c>
      <c r="D568" s="153" t="str">
        <f t="array" ref="D568">IF($A568="","",IFERROR(INDEX(Sales!$C:$C,MATCH($A568,Sales!$E:$E,0)),""))</f>
        <v/>
      </c>
      <c r="E568" s="154" t="str">
        <f>IF($A568="","",SUMIFS(Sales!$H:$H,Sales!$E:$E,$A568,Sales!$B:$B,"&lt;&gt;Return"))</f>
        <v/>
      </c>
      <c r="F568" s="155" t="str">
        <f>IF($A568="","",SUMIF(Sales!$E:$E,$A568,Sales!$L:$L))</f>
        <v/>
      </c>
      <c r="G568" s="155" t="str">
        <f>IF($A568="","",SUMIF(Sales!$E:$E,$A568,Sales!$P:$P))</f>
        <v/>
      </c>
      <c r="H568" s="156" t="str">
        <f t="array" ref="H568">IF($A568="","",IFERROR(INDEX(Orders!$O$5:$O$1004,MATCH($A568,Orders!$N$5:$N$1004,0)),""))</f>
        <v/>
      </c>
      <c r="I568" s="156" t="str">
        <f t="array" ref="I568">IF($A568="","",IFERROR(INDEX(Orders!$P$5:$P$1004,MATCH($A568,Orders!$N$5:$N$1004,0)),""))</f>
        <v/>
      </c>
      <c r="J568" s="157" t="str">
        <f t="shared" si="1"/>
        <v/>
      </c>
      <c r="K568" s="153" t="str">
        <f t="array" ref="K568">IF($A568="","",IFERROR(INDEX(Sales!$M:$M,MATCH($A568,Sales!$E:$E,0)),""))</f>
        <v/>
      </c>
      <c r="L568" s="158" t="str">
        <f t="shared" si="2"/>
        <v/>
      </c>
      <c r="N568" s="49" t="str">
        <f t="array" ref="N568">IFERROR(INDEX(Sales!$E$7:$E$1506,MATCH(ROW()-4,Sales!$V$7:$V$1506,0)),"")</f>
        <v/>
      </c>
      <c r="O568" s="67"/>
      <c r="P568" s="67"/>
    </row>
    <row r="569" ht="15.75" customHeight="1">
      <c r="A569" s="151" t="str">
        <f t="array" ref="A569">IFERROR(INDEX(Sales!$E$7:$E$1506,MATCH(ROW()-4,Sales!$W$7:$W$1506,0)),"")</f>
        <v/>
      </c>
      <c r="B569" s="152" t="str">
        <f t="array" ref="B569">IF($A569="","",IFERROR(INDEX(Sales!$A:$A,MATCH($A569,Sales!$E:$E,0)),""))</f>
        <v/>
      </c>
      <c r="C569" s="153" t="str">
        <f t="array" ref="C569">IF($A569="","",IFERROR(INDEX(Sales!$D:$D,MATCH($A569,Sales!$E:$E,0)),""))</f>
        <v/>
      </c>
      <c r="D569" s="153" t="str">
        <f t="array" ref="D569">IF($A569="","",IFERROR(INDEX(Sales!$C:$C,MATCH($A569,Sales!$E:$E,0)),""))</f>
        <v/>
      </c>
      <c r="E569" s="154" t="str">
        <f>IF($A569="","",SUMIFS(Sales!$H:$H,Sales!$E:$E,$A569,Sales!$B:$B,"&lt;&gt;Return"))</f>
        <v/>
      </c>
      <c r="F569" s="155" t="str">
        <f>IF($A569="","",SUMIF(Sales!$E:$E,$A569,Sales!$L:$L))</f>
        <v/>
      </c>
      <c r="G569" s="155" t="str">
        <f>IF($A569="","",SUMIF(Sales!$E:$E,$A569,Sales!$P:$P))</f>
        <v/>
      </c>
      <c r="H569" s="156" t="str">
        <f t="array" ref="H569">IF($A569="","",IFERROR(INDEX(Orders!$O$5:$O$1004,MATCH($A569,Orders!$N$5:$N$1004,0)),""))</f>
        <v/>
      </c>
      <c r="I569" s="156" t="str">
        <f t="array" ref="I569">IF($A569="","",IFERROR(INDEX(Orders!$P$5:$P$1004,MATCH($A569,Orders!$N$5:$N$1004,0)),""))</f>
        <v/>
      </c>
      <c r="J569" s="157" t="str">
        <f t="shared" si="1"/>
        <v/>
      </c>
      <c r="K569" s="153" t="str">
        <f t="array" ref="K569">IF($A569="","",IFERROR(INDEX(Sales!$M:$M,MATCH($A569,Sales!$E:$E,0)),""))</f>
        <v/>
      </c>
      <c r="L569" s="158" t="str">
        <f t="shared" si="2"/>
        <v/>
      </c>
      <c r="N569" s="49" t="str">
        <f t="array" ref="N569">IFERROR(INDEX(Sales!$E$7:$E$1506,MATCH(ROW()-4,Sales!$V$7:$V$1506,0)),"")</f>
        <v/>
      </c>
      <c r="O569" s="67"/>
      <c r="P569" s="67"/>
    </row>
    <row r="570" ht="15.75" customHeight="1">
      <c r="A570" s="151" t="str">
        <f t="array" ref="A570">IFERROR(INDEX(Sales!$E$7:$E$1506,MATCH(ROW()-4,Sales!$W$7:$W$1506,0)),"")</f>
        <v/>
      </c>
      <c r="B570" s="152" t="str">
        <f t="array" ref="B570">IF($A570="","",IFERROR(INDEX(Sales!$A:$A,MATCH($A570,Sales!$E:$E,0)),""))</f>
        <v/>
      </c>
      <c r="C570" s="153" t="str">
        <f t="array" ref="C570">IF($A570="","",IFERROR(INDEX(Sales!$D:$D,MATCH($A570,Sales!$E:$E,0)),""))</f>
        <v/>
      </c>
      <c r="D570" s="153" t="str">
        <f t="array" ref="D570">IF($A570="","",IFERROR(INDEX(Sales!$C:$C,MATCH($A570,Sales!$E:$E,0)),""))</f>
        <v/>
      </c>
      <c r="E570" s="154" t="str">
        <f>IF($A570="","",SUMIFS(Sales!$H:$H,Sales!$E:$E,$A570,Sales!$B:$B,"&lt;&gt;Return"))</f>
        <v/>
      </c>
      <c r="F570" s="155" t="str">
        <f>IF($A570="","",SUMIF(Sales!$E:$E,$A570,Sales!$L:$L))</f>
        <v/>
      </c>
      <c r="G570" s="155" t="str">
        <f>IF($A570="","",SUMIF(Sales!$E:$E,$A570,Sales!$P:$P))</f>
        <v/>
      </c>
      <c r="H570" s="156" t="str">
        <f t="array" ref="H570">IF($A570="","",IFERROR(INDEX(Orders!$O$5:$O$1004,MATCH($A570,Orders!$N$5:$N$1004,0)),""))</f>
        <v/>
      </c>
      <c r="I570" s="156" t="str">
        <f t="array" ref="I570">IF($A570="","",IFERROR(INDEX(Orders!$P$5:$P$1004,MATCH($A570,Orders!$N$5:$N$1004,0)),""))</f>
        <v/>
      </c>
      <c r="J570" s="157" t="str">
        <f t="shared" si="1"/>
        <v/>
      </c>
      <c r="K570" s="153" t="str">
        <f t="array" ref="K570">IF($A570="","",IFERROR(INDEX(Sales!$M:$M,MATCH($A570,Sales!$E:$E,0)),""))</f>
        <v/>
      </c>
      <c r="L570" s="158" t="str">
        <f t="shared" si="2"/>
        <v/>
      </c>
      <c r="N570" s="49" t="str">
        <f t="array" ref="N570">IFERROR(INDEX(Sales!$E$7:$E$1506,MATCH(ROW()-4,Sales!$V$7:$V$1506,0)),"")</f>
        <v/>
      </c>
      <c r="O570" s="67"/>
      <c r="P570" s="67"/>
    </row>
    <row r="571" ht="15.75" customHeight="1">
      <c r="A571" s="151" t="str">
        <f t="array" ref="A571">IFERROR(INDEX(Sales!$E$7:$E$1506,MATCH(ROW()-4,Sales!$W$7:$W$1506,0)),"")</f>
        <v/>
      </c>
      <c r="B571" s="152" t="str">
        <f t="array" ref="B571">IF($A571="","",IFERROR(INDEX(Sales!$A:$A,MATCH($A571,Sales!$E:$E,0)),""))</f>
        <v/>
      </c>
      <c r="C571" s="153" t="str">
        <f t="array" ref="C571">IF($A571="","",IFERROR(INDEX(Sales!$D:$D,MATCH($A571,Sales!$E:$E,0)),""))</f>
        <v/>
      </c>
      <c r="D571" s="153" t="str">
        <f t="array" ref="D571">IF($A571="","",IFERROR(INDEX(Sales!$C:$C,MATCH($A571,Sales!$E:$E,0)),""))</f>
        <v/>
      </c>
      <c r="E571" s="154" t="str">
        <f>IF($A571="","",SUMIFS(Sales!$H:$H,Sales!$E:$E,$A571,Sales!$B:$B,"&lt;&gt;Return"))</f>
        <v/>
      </c>
      <c r="F571" s="155" t="str">
        <f>IF($A571="","",SUMIF(Sales!$E:$E,$A571,Sales!$L:$L))</f>
        <v/>
      </c>
      <c r="G571" s="155" t="str">
        <f>IF($A571="","",SUMIF(Sales!$E:$E,$A571,Sales!$P:$P))</f>
        <v/>
      </c>
      <c r="H571" s="156" t="str">
        <f t="array" ref="H571">IF($A571="","",IFERROR(INDEX(Orders!$O$5:$O$1004,MATCH($A571,Orders!$N$5:$N$1004,0)),""))</f>
        <v/>
      </c>
      <c r="I571" s="156" t="str">
        <f t="array" ref="I571">IF($A571="","",IFERROR(INDEX(Orders!$P$5:$P$1004,MATCH($A571,Orders!$N$5:$N$1004,0)),""))</f>
        <v/>
      </c>
      <c r="J571" s="157" t="str">
        <f t="shared" si="1"/>
        <v/>
      </c>
      <c r="K571" s="153" t="str">
        <f t="array" ref="K571">IF($A571="","",IFERROR(INDEX(Sales!$M:$M,MATCH($A571,Sales!$E:$E,0)),""))</f>
        <v/>
      </c>
      <c r="L571" s="158" t="str">
        <f t="shared" si="2"/>
        <v/>
      </c>
      <c r="N571" s="49" t="str">
        <f t="array" ref="N571">IFERROR(INDEX(Sales!$E$7:$E$1506,MATCH(ROW()-4,Sales!$V$7:$V$1506,0)),"")</f>
        <v/>
      </c>
      <c r="O571" s="67"/>
      <c r="P571" s="67"/>
    </row>
    <row r="572" ht="15.75" customHeight="1">
      <c r="A572" s="151" t="str">
        <f t="array" ref="A572">IFERROR(INDEX(Sales!$E$7:$E$1506,MATCH(ROW()-4,Sales!$W$7:$W$1506,0)),"")</f>
        <v/>
      </c>
      <c r="B572" s="152" t="str">
        <f t="array" ref="B572">IF($A572="","",IFERROR(INDEX(Sales!$A:$A,MATCH($A572,Sales!$E:$E,0)),""))</f>
        <v/>
      </c>
      <c r="C572" s="153" t="str">
        <f t="array" ref="C572">IF($A572="","",IFERROR(INDEX(Sales!$D:$D,MATCH($A572,Sales!$E:$E,0)),""))</f>
        <v/>
      </c>
      <c r="D572" s="153" t="str">
        <f t="array" ref="D572">IF($A572="","",IFERROR(INDEX(Sales!$C:$C,MATCH($A572,Sales!$E:$E,0)),""))</f>
        <v/>
      </c>
      <c r="E572" s="154" t="str">
        <f>IF($A572="","",SUMIFS(Sales!$H:$H,Sales!$E:$E,$A572,Sales!$B:$B,"&lt;&gt;Return"))</f>
        <v/>
      </c>
      <c r="F572" s="155" t="str">
        <f>IF($A572="","",SUMIF(Sales!$E:$E,$A572,Sales!$L:$L))</f>
        <v/>
      </c>
      <c r="G572" s="155" t="str">
        <f>IF($A572="","",SUMIF(Sales!$E:$E,$A572,Sales!$P:$P))</f>
        <v/>
      </c>
      <c r="H572" s="156" t="str">
        <f t="array" ref="H572">IF($A572="","",IFERROR(INDEX(Orders!$O$5:$O$1004,MATCH($A572,Orders!$N$5:$N$1004,0)),""))</f>
        <v/>
      </c>
      <c r="I572" s="156" t="str">
        <f t="array" ref="I572">IF($A572="","",IFERROR(INDEX(Orders!$P$5:$P$1004,MATCH($A572,Orders!$N$5:$N$1004,0)),""))</f>
        <v/>
      </c>
      <c r="J572" s="157" t="str">
        <f t="shared" si="1"/>
        <v/>
      </c>
      <c r="K572" s="153" t="str">
        <f t="array" ref="K572">IF($A572="","",IFERROR(INDEX(Sales!$M:$M,MATCH($A572,Sales!$E:$E,0)),""))</f>
        <v/>
      </c>
      <c r="L572" s="158" t="str">
        <f t="shared" si="2"/>
        <v/>
      </c>
      <c r="N572" s="49" t="str">
        <f t="array" ref="N572">IFERROR(INDEX(Sales!$E$7:$E$1506,MATCH(ROW()-4,Sales!$V$7:$V$1506,0)),"")</f>
        <v/>
      </c>
      <c r="O572" s="67"/>
      <c r="P572" s="67"/>
    </row>
    <row r="573" ht="15.75" customHeight="1">
      <c r="A573" s="151" t="str">
        <f t="array" ref="A573">IFERROR(INDEX(Sales!$E$7:$E$1506,MATCH(ROW()-4,Sales!$W$7:$W$1506,0)),"")</f>
        <v/>
      </c>
      <c r="B573" s="152" t="str">
        <f t="array" ref="B573">IF($A573="","",IFERROR(INDEX(Sales!$A:$A,MATCH($A573,Sales!$E:$E,0)),""))</f>
        <v/>
      </c>
      <c r="C573" s="153" t="str">
        <f t="array" ref="C573">IF($A573="","",IFERROR(INDEX(Sales!$D:$D,MATCH($A573,Sales!$E:$E,0)),""))</f>
        <v/>
      </c>
      <c r="D573" s="153" t="str">
        <f t="array" ref="D573">IF($A573="","",IFERROR(INDEX(Sales!$C:$C,MATCH($A573,Sales!$E:$E,0)),""))</f>
        <v/>
      </c>
      <c r="E573" s="154" t="str">
        <f>IF($A573="","",SUMIFS(Sales!$H:$H,Sales!$E:$E,$A573,Sales!$B:$B,"&lt;&gt;Return"))</f>
        <v/>
      </c>
      <c r="F573" s="155" t="str">
        <f>IF($A573="","",SUMIF(Sales!$E:$E,$A573,Sales!$L:$L))</f>
        <v/>
      </c>
      <c r="G573" s="155" t="str">
        <f>IF($A573="","",SUMIF(Sales!$E:$E,$A573,Sales!$P:$P))</f>
        <v/>
      </c>
      <c r="H573" s="156" t="str">
        <f t="array" ref="H573">IF($A573="","",IFERROR(INDEX(Orders!$O$5:$O$1004,MATCH($A573,Orders!$N$5:$N$1004,0)),""))</f>
        <v/>
      </c>
      <c r="I573" s="156" t="str">
        <f t="array" ref="I573">IF($A573="","",IFERROR(INDEX(Orders!$P$5:$P$1004,MATCH($A573,Orders!$N$5:$N$1004,0)),""))</f>
        <v/>
      </c>
      <c r="J573" s="157" t="str">
        <f t="shared" si="1"/>
        <v/>
      </c>
      <c r="K573" s="153" t="str">
        <f t="array" ref="K573">IF($A573="","",IFERROR(INDEX(Sales!$M:$M,MATCH($A573,Sales!$E:$E,0)),""))</f>
        <v/>
      </c>
      <c r="L573" s="158" t="str">
        <f t="shared" si="2"/>
        <v/>
      </c>
      <c r="N573" s="49" t="str">
        <f t="array" ref="N573">IFERROR(INDEX(Sales!$E$7:$E$1506,MATCH(ROW()-4,Sales!$V$7:$V$1506,0)),"")</f>
        <v/>
      </c>
      <c r="O573" s="67"/>
      <c r="P573" s="67"/>
    </row>
    <row r="574" ht="15.75" customHeight="1">
      <c r="A574" s="151" t="str">
        <f t="array" ref="A574">IFERROR(INDEX(Sales!$E$7:$E$1506,MATCH(ROW()-4,Sales!$W$7:$W$1506,0)),"")</f>
        <v/>
      </c>
      <c r="B574" s="152" t="str">
        <f t="array" ref="B574">IF($A574="","",IFERROR(INDEX(Sales!$A:$A,MATCH($A574,Sales!$E:$E,0)),""))</f>
        <v/>
      </c>
      <c r="C574" s="153" t="str">
        <f t="array" ref="C574">IF($A574="","",IFERROR(INDEX(Sales!$D:$D,MATCH($A574,Sales!$E:$E,0)),""))</f>
        <v/>
      </c>
      <c r="D574" s="153" t="str">
        <f t="array" ref="D574">IF($A574="","",IFERROR(INDEX(Sales!$C:$C,MATCH($A574,Sales!$E:$E,0)),""))</f>
        <v/>
      </c>
      <c r="E574" s="154" t="str">
        <f>IF($A574="","",SUMIFS(Sales!$H:$H,Sales!$E:$E,$A574,Sales!$B:$B,"&lt;&gt;Return"))</f>
        <v/>
      </c>
      <c r="F574" s="155" t="str">
        <f>IF($A574="","",SUMIF(Sales!$E:$E,$A574,Sales!$L:$L))</f>
        <v/>
      </c>
      <c r="G574" s="155" t="str">
        <f>IF($A574="","",SUMIF(Sales!$E:$E,$A574,Sales!$P:$P))</f>
        <v/>
      </c>
      <c r="H574" s="156" t="str">
        <f t="array" ref="H574">IF($A574="","",IFERROR(INDEX(Orders!$O$5:$O$1004,MATCH($A574,Orders!$N$5:$N$1004,0)),""))</f>
        <v/>
      </c>
      <c r="I574" s="156" t="str">
        <f t="array" ref="I574">IF($A574="","",IFERROR(INDEX(Orders!$P$5:$P$1004,MATCH($A574,Orders!$N$5:$N$1004,0)),""))</f>
        <v/>
      </c>
      <c r="J574" s="157" t="str">
        <f t="shared" si="1"/>
        <v/>
      </c>
      <c r="K574" s="153" t="str">
        <f t="array" ref="K574">IF($A574="","",IFERROR(INDEX(Sales!$M:$M,MATCH($A574,Sales!$E:$E,0)),""))</f>
        <v/>
      </c>
      <c r="L574" s="158" t="str">
        <f t="shared" si="2"/>
        <v/>
      </c>
      <c r="N574" s="49" t="str">
        <f t="array" ref="N574">IFERROR(INDEX(Sales!$E$7:$E$1506,MATCH(ROW()-4,Sales!$V$7:$V$1506,0)),"")</f>
        <v/>
      </c>
      <c r="O574" s="67"/>
      <c r="P574" s="67"/>
    </row>
    <row r="575" ht="15.75" customHeight="1">
      <c r="A575" s="151" t="str">
        <f t="array" ref="A575">IFERROR(INDEX(Sales!$E$7:$E$1506,MATCH(ROW()-4,Sales!$W$7:$W$1506,0)),"")</f>
        <v/>
      </c>
      <c r="B575" s="152" t="str">
        <f t="array" ref="B575">IF($A575="","",IFERROR(INDEX(Sales!$A:$A,MATCH($A575,Sales!$E:$E,0)),""))</f>
        <v/>
      </c>
      <c r="C575" s="153" t="str">
        <f t="array" ref="C575">IF($A575="","",IFERROR(INDEX(Sales!$D:$D,MATCH($A575,Sales!$E:$E,0)),""))</f>
        <v/>
      </c>
      <c r="D575" s="153" t="str">
        <f t="array" ref="D575">IF($A575="","",IFERROR(INDEX(Sales!$C:$C,MATCH($A575,Sales!$E:$E,0)),""))</f>
        <v/>
      </c>
      <c r="E575" s="154" t="str">
        <f>IF($A575="","",SUMIFS(Sales!$H:$H,Sales!$E:$E,$A575,Sales!$B:$B,"&lt;&gt;Return"))</f>
        <v/>
      </c>
      <c r="F575" s="155" t="str">
        <f>IF($A575="","",SUMIF(Sales!$E:$E,$A575,Sales!$L:$L))</f>
        <v/>
      </c>
      <c r="G575" s="155" t="str">
        <f>IF($A575="","",SUMIF(Sales!$E:$E,$A575,Sales!$P:$P))</f>
        <v/>
      </c>
      <c r="H575" s="156" t="str">
        <f t="array" ref="H575">IF($A575="","",IFERROR(INDEX(Orders!$O$5:$O$1004,MATCH($A575,Orders!$N$5:$N$1004,0)),""))</f>
        <v/>
      </c>
      <c r="I575" s="156" t="str">
        <f t="array" ref="I575">IF($A575="","",IFERROR(INDEX(Orders!$P$5:$P$1004,MATCH($A575,Orders!$N$5:$N$1004,0)),""))</f>
        <v/>
      </c>
      <c r="J575" s="157" t="str">
        <f t="shared" si="1"/>
        <v/>
      </c>
      <c r="K575" s="153" t="str">
        <f t="array" ref="K575">IF($A575="","",IFERROR(INDEX(Sales!$M:$M,MATCH($A575,Sales!$E:$E,0)),""))</f>
        <v/>
      </c>
      <c r="L575" s="158" t="str">
        <f t="shared" si="2"/>
        <v/>
      </c>
      <c r="N575" s="49" t="str">
        <f t="array" ref="N575">IFERROR(INDEX(Sales!$E$7:$E$1506,MATCH(ROW()-4,Sales!$V$7:$V$1506,0)),"")</f>
        <v/>
      </c>
      <c r="O575" s="67"/>
      <c r="P575" s="67"/>
    </row>
    <row r="576" ht="15.75" customHeight="1">
      <c r="A576" s="151" t="str">
        <f t="array" ref="A576">IFERROR(INDEX(Sales!$E$7:$E$1506,MATCH(ROW()-4,Sales!$W$7:$W$1506,0)),"")</f>
        <v/>
      </c>
      <c r="B576" s="152" t="str">
        <f t="array" ref="B576">IF($A576="","",IFERROR(INDEX(Sales!$A:$A,MATCH($A576,Sales!$E:$E,0)),""))</f>
        <v/>
      </c>
      <c r="C576" s="153" t="str">
        <f t="array" ref="C576">IF($A576="","",IFERROR(INDEX(Sales!$D:$D,MATCH($A576,Sales!$E:$E,0)),""))</f>
        <v/>
      </c>
      <c r="D576" s="153" t="str">
        <f t="array" ref="D576">IF($A576="","",IFERROR(INDEX(Sales!$C:$C,MATCH($A576,Sales!$E:$E,0)),""))</f>
        <v/>
      </c>
      <c r="E576" s="154" t="str">
        <f>IF($A576="","",SUMIFS(Sales!$H:$H,Sales!$E:$E,$A576,Sales!$B:$B,"&lt;&gt;Return"))</f>
        <v/>
      </c>
      <c r="F576" s="155" t="str">
        <f>IF($A576="","",SUMIF(Sales!$E:$E,$A576,Sales!$L:$L))</f>
        <v/>
      </c>
      <c r="G576" s="155" t="str">
        <f>IF($A576="","",SUMIF(Sales!$E:$E,$A576,Sales!$P:$P))</f>
        <v/>
      </c>
      <c r="H576" s="156" t="str">
        <f t="array" ref="H576">IF($A576="","",IFERROR(INDEX(Orders!$O$5:$O$1004,MATCH($A576,Orders!$N$5:$N$1004,0)),""))</f>
        <v/>
      </c>
      <c r="I576" s="156" t="str">
        <f t="array" ref="I576">IF($A576="","",IFERROR(INDEX(Orders!$P$5:$P$1004,MATCH($A576,Orders!$N$5:$N$1004,0)),""))</f>
        <v/>
      </c>
      <c r="J576" s="157" t="str">
        <f t="shared" si="1"/>
        <v/>
      </c>
      <c r="K576" s="153" t="str">
        <f t="array" ref="K576">IF($A576="","",IFERROR(INDEX(Sales!$M:$M,MATCH($A576,Sales!$E:$E,0)),""))</f>
        <v/>
      </c>
      <c r="L576" s="158" t="str">
        <f t="shared" si="2"/>
        <v/>
      </c>
      <c r="N576" s="49" t="str">
        <f t="array" ref="N576">IFERROR(INDEX(Sales!$E$7:$E$1506,MATCH(ROW()-4,Sales!$V$7:$V$1506,0)),"")</f>
        <v/>
      </c>
      <c r="O576" s="67"/>
      <c r="P576" s="67"/>
    </row>
    <row r="577" ht="15.75" customHeight="1">
      <c r="A577" s="151" t="str">
        <f t="array" ref="A577">IFERROR(INDEX(Sales!$E$7:$E$1506,MATCH(ROW()-4,Sales!$W$7:$W$1506,0)),"")</f>
        <v/>
      </c>
      <c r="B577" s="152" t="str">
        <f t="array" ref="B577">IF($A577="","",IFERROR(INDEX(Sales!$A:$A,MATCH($A577,Sales!$E:$E,0)),""))</f>
        <v/>
      </c>
      <c r="C577" s="153" t="str">
        <f t="array" ref="C577">IF($A577="","",IFERROR(INDEX(Sales!$D:$D,MATCH($A577,Sales!$E:$E,0)),""))</f>
        <v/>
      </c>
      <c r="D577" s="153" t="str">
        <f t="array" ref="D577">IF($A577="","",IFERROR(INDEX(Sales!$C:$C,MATCH($A577,Sales!$E:$E,0)),""))</f>
        <v/>
      </c>
      <c r="E577" s="154" t="str">
        <f>IF($A577="","",SUMIFS(Sales!$H:$H,Sales!$E:$E,$A577,Sales!$B:$B,"&lt;&gt;Return"))</f>
        <v/>
      </c>
      <c r="F577" s="155" t="str">
        <f>IF($A577="","",SUMIF(Sales!$E:$E,$A577,Sales!$L:$L))</f>
        <v/>
      </c>
      <c r="G577" s="155" t="str">
        <f>IF($A577="","",SUMIF(Sales!$E:$E,$A577,Sales!$P:$P))</f>
        <v/>
      </c>
      <c r="H577" s="156" t="str">
        <f t="array" ref="H577">IF($A577="","",IFERROR(INDEX(Orders!$O$5:$O$1004,MATCH($A577,Orders!$N$5:$N$1004,0)),""))</f>
        <v/>
      </c>
      <c r="I577" s="156" t="str">
        <f t="array" ref="I577">IF($A577="","",IFERROR(INDEX(Orders!$P$5:$P$1004,MATCH($A577,Orders!$N$5:$N$1004,0)),""))</f>
        <v/>
      </c>
      <c r="J577" s="157" t="str">
        <f t="shared" si="1"/>
        <v/>
      </c>
      <c r="K577" s="153" t="str">
        <f t="array" ref="K577">IF($A577="","",IFERROR(INDEX(Sales!$M:$M,MATCH($A577,Sales!$E:$E,0)),""))</f>
        <v/>
      </c>
      <c r="L577" s="158" t="str">
        <f t="shared" si="2"/>
        <v/>
      </c>
      <c r="N577" s="49" t="str">
        <f t="array" ref="N577">IFERROR(INDEX(Sales!$E$7:$E$1506,MATCH(ROW()-4,Sales!$V$7:$V$1506,0)),"")</f>
        <v/>
      </c>
      <c r="O577" s="67"/>
      <c r="P577" s="67"/>
    </row>
    <row r="578" ht="15.75" customHeight="1">
      <c r="A578" s="151" t="str">
        <f t="array" ref="A578">IFERROR(INDEX(Sales!$E$7:$E$1506,MATCH(ROW()-4,Sales!$W$7:$W$1506,0)),"")</f>
        <v/>
      </c>
      <c r="B578" s="152" t="str">
        <f t="array" ref="B578">IF($A578="","",IFERROR(INDEX(Sales!$A:$A,MATCH($A578,Sales!$E:$E,0)),""))</f>
        <v/>
      </c>
      <c r="C578" s="153" t="str">
        <f t="array" ref="C578">IF($A578="","",IFERROR(INDEX(Sales!$D:$D,MATCH($A578,Sales!$E:$E,0)),""))</f>
        <v/>
      </c>
      <c r="D578" s="153" t="str">
        <f t="array" ref="D578">IF($A578="","",IFERROR(INDEX(Sales!$C:$C,MATCH($A578,Sales!$E:$E,0)),""))</f>
        <v/>
      </c>
      <c r="E578" s="154" t="str">
        <f>IF($A578="","",SUMIFS(Sales!$H:$H,Sales!$E:$E,$A578,Sales!$B:$B,"&lt;&gt;Return"))</f>
        <v/>
      </c>
      <c r="F578" s="155" t="str">
        <f>IF($A578="","",SUMIF(Sales!$E:$E,$A578,Sales!$L:$L))</f>
        <v/>
      </c>
      <c r="G578" s="155" t="str">
        <f>IF($A578="","",SUMIF(Sales!$E:$E,$A578,Sales!$P:$P))</f>
        <v/>
      </c>
      <c r="H578" s="156" t="str">
        <f t="array" ref="H578">IF($A578="","",IFERROR(INDEX(Orders!$O$5:$O$1004,MATCH($A578,Orders!$N$5:$N$1004,0)),""))</f>
        <v/>
      </c>
      <c r="I578" s="156" t="str">
        <f t="array" ref="I578">IF($A578="","",IFERROR(INDEX(Orders!$P$5:$P$1004,MATCH($A578,Orders!$N$5:$N$1004,0)),""))</f>
        <v/>
      </c>
      <c r="J578" s="157" t="str">
        <f t="shared" si="1"/>
        <v/>
      </c>
      <c r="K578" s="153" t="str">
        <f t="array" ref="K578">IF($A578="","",IFERROR(INDEX(Sales!$M:$M,MATCH($A578,Sales!$E:$E,0)),""))</f>
        <v/>
      </c>
      <c r="L578" s="158" t="str">
        <f t="shared" si="2"/>
        <v/>
      </c>
      <c r="N578" s="49" t="str">
        <f t="array" ref="N578">IFERROR(INDEX(Sales!$E$7:$E$1506,MATCH(ROW()-4,Sales!$V$7:$V$1506,0)),"")</f>
        <v/>
      </c>
      <c r="O578" s="67"/>
      <c r="P578" s="67"/>
    </row>
    <row r="579" ht="15.75" customHeight="1">
      <c r="A579" s="151" t="str">
        <f t="array" ref="A579">IFERROR(INDEX(Sales!$E$7:$E$1506,MATCH(ROW()-4,Sales!$W$7:$W$1506,0)),"")</f>
        <v/>
      </c>
      <c r="B579" s="152" t="str">
        <f t="array" ref="B579">IF($A579="","",IFERROR(INDEX(Sales!$A:$A,MATCH($A579,Sales!$E:$E,0)),""))</f>
        <v/>
      </c>
      <c r="C579" s="153" t="str">
        <f t="array" ref="C579">IF($A579="","",IFERROR(INDEX(Sales!$D:$D,MATCH($A579,Sales!$E:$E,0)),""))</f>
        <v/>
      </c>
      <c r="D579" s="153" t="str">
        <f t="array" ref="D579">IF($A579="","",IFERROR(INDEX(Sales!$C:$C,MATCH($A579,Sales!$E:$E,0)),""))</f>
        <v/>
      </c>
      <c r="E579" s="154" t="str">
        <f>IF($A579="","",SUMIFS(Sales!$H:$H,Sales!$E:$E,$A579,Sales!$B:$B,"&lt;&gt;Return"))</f>
        <v/>
      </c>
      <c r="F579" s="155" t="str">
        <f>IF($A579="","",SUMIF(Sales!$E:$E,$A579,Sales!$L:$L))</f>
        <v/>
      </c>
      <c r="G579" s="155" t="str">
        <f>IF($A579="","",SUMIF(Sales!$E:$E,$A579,Sales!$P:$P))</f>
        <v/>
      </c>
      <c r="H579" s="156" t="str">
        <f t="array" ref="H579">IF($A579="","",IFERROR(INDEX(Orders!$O$5:$O$1004,MATCH($A579,Orders!$N$5:$N$1004,0)),""))</f>
        <v/>
      </c>
      <c r="I579" s="156" t="str">
        <f t="array" ref="I579">IF($A579="","",IFERROR(INDEX(Orders!$P$5:$P$1004,MATCH($A579,Orders!$N$5:$N$1004,0)),""))</f>
        <v/>
      </c>
      <c r="J579" s="157" t="str">
        <f t="shared" si="1"/>
        <v/>
      </c>
      <c r="K579" s="153" t="str">
        <f t="array" ref="K579">IF($A579="","",IFERROR(INDEX(Sales!$M:$M,MATCH($A579,Sales!$E:$E,0)),""))</f>
        <v/>
      </c>
      <c r="L579" s="158" t="str">
        <f t="shared" si="2"/>
        <v/>
      </c>
      <c r="N579" s="49" t="str">
        <f t="array" ref="N579">IFERROR(INDEX(Sales!$E$7:$E$1506,MATCH(ROW()-4,Sales!$V$7:$V$1506,0)),"")</f>
        <v/>
      </c>
      <c r="O579" s="67"/>
      <c r="P579" s="67"/>
    </row>
    <row r="580" ht="15.75" customHeight="1">
      <c r="A580" s="151" t="str">
        <f t="array" ref="A580">IFERROR(INDEX(Sales!$E$7:$E$1506,MATCH(ROW()-4,Sales!$W$7:$W$1506,0)),"")</f>
        <v/>
      </c>
      <c r="B580" s="152" t="str">
        <f t="array" ref="B580">IF($A580="","",IFERROR(INDEX(Sales!$A:$A,MATCH($A580,Sales!$E:$E,0)),""))</f>
        <v/>
      </c>
      <c r="C580" s="153" t="str">
        <f t="array" ref="C580">IF($A580="","",IFERROR(INDEX(Sales!$D:$D,MATCH($A580,Sales!$E:$E,0)),""))</f>
        <v/>
      </c>
      <c r="D580" s="153" t="str">
        <f t="array" ref="D580">IF($A580="","",IFERROR(INDEX(Sales!$C:$C,MATCH($A580,Sales!$E:$E,0)),""))</f>
        <v/>
      </c>
      <c r="E580" s="154" t="str">
        <f>IF($A580="","",SUMIFS(Sales!$H:$H,Sales!$E:$E,$A580,Sales!$B:$B,"&lt;&gt;Return"))</f>
        <v/>
      </c>
      <c r="F580" s="155" t="str">
        <f>IF($A580="","",SUMIF(Sales!$E:$E,$A580,Sales!$L:$L))</f>
        <v/>
      </c>
      <c r="G580" s="155" t="str">
        <f>IF($A580="","",SUMIF(Sales!$E:$E,$A580,Sales!$P:$P))</f>
        <v/>
      </c>
      <c r="H580" s="156" t="str">
        <f t="array" ref="H580">IF($A580="","",IFERROR(INDEX(Orders!$O$5:$O$1004,MATCH($A580,Orders!$N$5:$N$1004,0)),""))</f>
        <v/>
      </c>
      <c r="I580" s="156" t="str">
        <f t="array" ref="I580">IF($A580="","",IFERROR(INDEX(Orders!$P$5:$P$1004,MATCH($A580,Orders!$N$5:$N$1004,0)),""))</f>
        <v/>
      </c>
      <c r="J580" s="157" t="str">
        <f t="shared" si="1"/>
        <v/>
      </c>
      <c r="K580" s="153" t="str">
        <f t="array" ref="K580">IF($A580="","",IFERROR(INDEX(Sales!$M:$M,MATCH($A580,Sales!$E:$E,0)),""))</f>
        <v/>
      </c>
      <c r="L580" s="158" t="str">
        <f t="shared" si="2"/>
        <v/>
      </c>
      <c r="N580" s="49" t="str">
        <f t="array" ref="N580">IFERROR(INDEX(Sales!$E$7:$E$1506,MATCH(ROW()-4,Sales!$V$7:$V$1506,0)),"")</f>
        <v/>
      </c>
      <c r="O580" s="67"/>
      <c r="P580" s="67"/>
    </row>
    <row r="581" ht="15.75" customHeight="1">
      <c r="A581" s="151" t="str">
        <f t="array" ref="A581">IFERROR(INDEX(Sales!$E$7:$E$1506,MATCH(ROW()-4,Sales!$W$7:$W$1506,0)),"")</f>
        <v/>
      </c>
      <c r="B581" s="152" t="str">
        <f t="array" ref="B581">IF($A581="","",IFERROR(INDEX(Sales!$A:$A,MATCH($A581,Sales!$E:$E,0)),""))</f>
        <v/>
      </c>
      <c r="C581" s="153" t="str">
        <f t="array" ref="C581">IF($A581="","",IFERROR(INDEX(Sales!$D:$D,MATCH($A581,Sales!$E:$E,0)),""))</f>
        <v/>
      </c>
      <c r="D581" s="153" t="str">
        <f t="array" ref="D581">IF($A581="","",IFERROR(INDEX(Sales!$C:$C,MATCH($A581,Sales!$E:$E,0)),""))</f>
        <v/>
      </c>
      <c r="E581" s="154" t="str">
        <f>IF($A581="","",SUMIFS(Sales!$H:$H,Sales!$E:$E,$A581,Sales!$B:$B,"&lt;&gt;Return"))</f>
        <v/>
      </c>
      <c r="F581" s="155" t="str">
        <f>IF($A581="","",SUMIF(Sales!$E:$E,$A581,Sales!$L:$L))</f>
        <v/>
      </c>
      <c r="G581" s="155" t="str">
        <f>IF($A581="","",SUMIF(Sales!$E:$E,$A581,Sales!$P:$P))</f>
        <v/>
      </c>
      <c r="H581" s="156" t="str">
        <f t="array" ref="H581">IF($A581="","",IFERROR(INDEX(Orders!$O$5:$O$1004,MATCH($A581,Orders!$N$5:$N$1004,0)),""))</f>
        <v/>
      </c>
      <c r="I581" s="156" t="str">
        <f t="array" ref="I581">IF($A581="","",IFERROR(INDEX(Orders!$P$5:$P$1004,MATCH($A581,Orders!$N$5:$N$1004,0)),""))</f>
        <v/>
      </c>
      <c r="J581" s="157" t="str">
        <f t="shared" si="1"/>
        <v/>
      </c>
      <c r="K581" s="153" t="str">
        <f t="array" ref="K581">IF($A581="","",IFERROR(INDEX(Sales!$M:$M,MATCH($A581,Sales!$E:$E,0)),""))</f>
        <v/>
      </c>
      <c r="L581" s="158" t="str">
        <f t="shared" si="2"/>
        <v/>
      </c>
      <c r="N581" s="49" t="str">
        <f t="array" ref="N581">IFERROR(INDEX(Sales!$E$7:$E$1506,MATCH(ROW()-4,Sales!$V$7:$V$1506,0)),"")</f>
        <v/>
      </c>
      <c r="O581" s="67"/>
      <c r="P581" s="67"/>
    </row>
    <row r="582" ht="15.75" customHeight="1">
      <c r="A582" s="151" t="str">
        <f t="array" ref="A582">IFERROR(INDEX(Sales!$E$7:$E$1506,MATCH(ROW()-4,Sales!$W$7:$W$1506,0)),"")</f>
        <v/>
      </c>
      <c r="B582" s="152" t="str">
        <f t="array" ref="B582">IF($A582="","",IFERROR(INDEX(Sales!$A:$A,MATCH($A582,Sales!$E:$E,0)),""))</f>
        <v/>
      </c>
      <c r="C582" s="153" t="str">
        <f t="array" ref="C582">IF($A582="","",IFERROR(INDEX(Sales!$D:$D,MATCH($A582,Sales!$E:$E,0)),""))</f>
        <v/>
      </c>
      <c r="D582" s="153" t="str">
        <f t="array" ref="D582">IF($A582="","",IFERROR(INDEX(Sales!$C:$C,MATCH($A582,Sales!$E:$E,0)),""))</f>
        <v/>
      </c>
      <c r="E582" s="154" t="str">
        <f>IF($A582="","",SUMIFS(Sales!$H:$H,Sales!$E:$E,$A582,Sales!$B:$B,"&lt;&gt;Return"))</f>
        <v/>
      </c>
      <c r="F582" s="155" t="str">
        <f>IF($A582="","",SUMIF(Sales!$E:$E,$A582,Sales!$L:$L))</f>
        <v/>
      </c>
      <c r="G582" s="155" t="str">
        <f>IF($A582="","",SUMIF(Sales!$E:$E,$A582,Sales!$P:$P))</f>
        <v/>
      </c>
      <c r="H582" s="156" t="str">
        <f t="array" ref="H582">IF($A582="","",IFERROR(INDEX(Orders!$O$5:$O$1004,MATCH($A582,Orders!$N$5:$N$1004,0)),""))</f>
        <v/>
      </c>
      <c r="I582" s="156" t="str">
        <f t="array" ref="I582">IF($A582="","",IFERROR(INDEX(Orders!$P$5:$P$1004,MATCH($A582,Orders!$N$5:$N$1004,0)),""))</f>
        <v/>
      </c>
      <c r="J582" s="157" t="str">
        <f t="shared" si="1"/>
        <v/>
      </c>
      <c r="K582" s="153" t="str">
        <f t="array" ref="K582">IF($A582="","",IFERROR(INDEX(Sales!$M:$M,MATCH($A582,Sales!$E:$E,0)),""))</f>
        <v/>
      </c>
      <c r="L582" s="158" t="str">
        <f t="shared" si="2"/>
        <v/>
      </c>
      <c r="N582" s="49" t="str">
        <f t="array" ref="N582">IFERROR(INDEX(Sales!$E$7:$E$1506,MATCH(ROW()-4,Sales!$V$7:$V$1506,0)),"")</f>
        <v/>
      </c>
      <c r="O582" s="67"/>
      <c r="P582" s="67"/>
    </row>
    <row r="583" ht="15.75" customHeight="1">
      <c r="A583" s="151" t="str">
        <f t="array" ref="A583">IFERROR(INDEX(Sales!$E$7:$E$1506,MATCH(ROW()-4,Sales!$W$7:$W$1506,0)),"")</f>
        <v/>
      </c>
      <c r="B583" s="152" t="str">
        <f t="array" ref="B583">IF($A583="","",IFERROR(INDEX(Sales!$A:$A,MATCH($A583,Sales!$E:$E,0)),""))</f>
        <v/>
      </c>
      <c r="C583" s="153" t="str">
        <f t="array" ref="C583">IF($A583="","",IFERROR(INDEX(Sales!$D:$D,MATCH($A583,Sales!$E:$E,0)),""))</f>
        <v/>
      </c>
      <c r="D583" s="153" t="str">
        <f t="array" ref="D583">IF($A583="","",IFERROR(INDEX(Sales!$C:$C,MATCH($A583,Sales!$E:$E,0)),""))</f>
        <v/>
      </c>
      <c r="E583" s="154" t="str">
        <f>IF($A583="","",SUMIFS(Sales!$H:$H,Sales!$E:$E,$A583,Sales!$B:$B,"&lt;&gt;Return"))</f>
        <v/>
      </c>
      <c r="F583" s="155" t="str">
        <f>IF($A583="","",SUMIF(Sales!$E:$E,$A583,Sales!$L:$L))</f>
        <v/>
      </c>
      <c r="G583" s="155" t="str">
        <f>IF($A583="","",SUMIF(Sales!$E:$E,$A583,Sales!$P:$P))</f>
        <v/>
      </c>
      <c r="H583" s="156" t="str">
        <f t="array" ref="H583">IF($A583="","",IFERROR(INDEX(Orders!$O$5:$O$1004,MATCH($A583,Orders!$N$5:$N$1004,0)),""))</f>
        <v/>
      </c>
      <c r="I583" s="156" t="str">
        <f t="array" ref="I583">IF($A583="","",IFERROR(INDEX(Orders!$P$5:$P$1004,MATCH($A583,Orders!$N$5:$N$1004,0)),""))</f>
        <v/>
      </c>
      <c r="J583" s="157" t="str">
        <f t="shared" si="1"/>
        <v/>
      </c>
      <c r="K583" s="153" t="str">
        <f t="array" ref="K583">IF($A583="","",IFERROR(INDEX(Sales!$M:$M,MATCH($A583,Sales!$E:$E,0)),""))</f>
        <v/>
      </c>
      <c r="L583" s="158" t="str">
        <f t="shared" si="2"/>
        <v/>
      </c>
      <c r="N583" s="49" t="str">
        <f t="array" ref="N583">IFERROR(INDEX(Sales!$E$7:$E$1506,MATCH(ROW()-4,Sales!$V$7:$V$1506,0)),"")</f>
        <v/>
      </c>
      <c r="O583" s="67"/>
      <c r="P583" s="67"/>
    </row>
    <row r="584" ht="15.75" customHeight="1">
      <c r="A584" s="151" t="str">
        <f t="array" ref="A584">IFERROR(INDEX(Sales!$E$7:$E$1506,MATCH(ROW()-4,Sales!$W$7:$W$1506,0)),"")</f>
        <v/>
      </c>
      <c r="B584" s="152" t="str">
        <f t="array" ref="B584">IF($A584="","",IFERROR(INDEX(Sales!$A:$A,MATCH($A584,Sales!$E:$E,0)),""))</f>
        <v/>
      </c>
      <c r="C584" s="153" t="str">
        <f t="array" ref="C584">IF($A584="","",IFERROR(INDEX(Sales!$D:$D,MATCH($A584,Sales!$E:$E,0)),""))</f>
        <v/>
      </c>
      <c r="D584" s="153" t="str">
        <f t="array" ref="D584">IF($A584="","",IFERROR(INDEX(Sales!$C:$C,MATCH($A584,Sales!$E:$E,0)),""))</f>
        <v/>
      </c>
      <c r="E584" s="154" t="str">
        <f>IF($A584="","",SUMIFS(Sales!$H:$H,Sales!$E:$E,$A584,Sales!$B:$B,"&lt;&gt;Return"))</f>
        <v/>
      </c>
      <c r="F584" s="155" t="str">
        <f>IF($A584="","",SUMIF(Sales!$E:$E,$A584,Sales!$L:$L))</f>
        <v/>
      </c>
      <c r="G584" s="155" t="str">
        <f>IF($A584="","",SUMIF(Sales!$E:$E,$A584,Sales!$P:$P))</f>
        <v/>
      </c>
      <c r="H584" s="156" t="str">
        <f t="array" ref="H584">IF($A584="","",IFERROR(INDEX(Orders!$O$5:$O$1004,MATCH($A584,Orders!$N$5:$N$1004,0)),""))</f>
        <v/>
      </c>
      <c r="I584" s="156" t="str">
        <f t="array" ref="I584">IF($A584="","",IFERROR(INDEX(Orders!$P$5:$P$1004,MATCH($A584,Orders!$N$5:$N$1004,0)),""))</f>
        <v/>
      </c>
      <c r="J584" s="157" t="str">
        <f t="shared" si="1"/>
        <v/>
      </c>
      <c r="K584" s="153" t="str">
        <f t="array" ref="K584">IF($A584="","",IFERROR(INDEX(Sales!$M:$M,MATCH($A584,Sales!$E:$E,0)),""))</f>
        <v/>
      </c>
      <c r="L584" s="158" t="str">
        <f t="shared" si="2"/>
        <v/>
      </c>
      <c r="N584" s="49" t="str">
        <f t="array" ref="N584">IFERROR(INDEX(Sales!$E$7:$E$1506,MATCH(ROW()-4,Sales!$V$7:$V$1506,0)),"")</f>
        <v/>
      </c>
      <c r="O584" s="67"/>
      <c r="P584" s="67"/>
    </row>
    <row r="585" ht="15.75" customHeight="1">
      <c r="A585" s="151" t="str">
        <f t="array" ref="A585">IFERROR(INDEX(Sales!$E$7:$E$1506,MATCH(ROW()-4,Sales!$W$7:$W$1506,0)),"")</f>
        <v/>
      </c>
      <c r="B585" s="152" t="str">
        <f t="array" ref="B585">IF($A585="","",IFERROR(INDEX(Sales!$A:$A,MATCH($A585,Sales!$E:$E,0)),""))</f>
        <v/>
      </c>
      <c r="C585" s="153" t="str">
        <f t="array" ref="C585">IF($A585="","",IFERROR(INDEX(Sales!$D:$D,MATCH($A585,Sales!$E:$E,0)),""))</f>
        <v/>
      </c>
      <c r="D585" s="153" t="str">
        <f t="array" ref="D585">IF($A585="","",IFERROR(INDEX(Sales!$C:$C,MATCH($A585,Sales!$E:$E,0)),""))</f>
        <v/>
      </c>
      <c r="E585" s="154" t="str">
        <f>IF($A585="","",SUMIFS(Sales!$H:$H,Sales!$E:$E,$A585,Sales!$B:$B,"&lt;&gt;Return"))</f>
        <v/>
      </c>
      <c r="F585" s="155" t="str">
        <f>IF($A585="","",SUMIF(Sales!$E:$E,$A585,Sales!$L:$L))</f>
        <v/>
      </c>
      <c r="G585" s="155" t="str">
        <f>IF($A585="","",SUMIF(Sales!$E:$E,$A585,Sales!$P:$P))</f>
        <v/>
      </c>
      <c r="H585" s="156" t="str">
        <f t="array" ref="H585">IF($A585="","",IFERROR(INDEX(Orders!$O$5:$O$1004,MATCH($A585,Orders!$N$5:$N$1004,0)),""))</f>
        <v/>
      </c>
      <c r="I585" s="156" t="str">
        <f t="array" ref="I585">IF($A585="","",IFERROR(INDEX(Orders!$P$5:$P$1004,MATCH($A585,Orders!$N$5:$N$1004,0)),""))</f>
        <v/>
      </c>
      <c r="J585" s="157" t="str">
        <f t="shared" si="1"/>
        <v/>
      </c>
      <c r="K585" s="153" t="str">
        <f t="array" ref="K585">IF($A585="","",IFERROR(INDEX(Sales!$M:$M,MATCH($A585,Sales!$E:$E,0)),""))</f>
        <v/>
      </c>
      <c r="L585" s="158" t="str">
        <f t="shared" si="2"/>
        <v/>
      </c>
      <c r="N585" s="49" t="str">
        <f t="array" ref="N585">IFERROR(INDEX(Sales!$E$7:$E$1506,MATCH(ROW()-4,Sales!$V$7:$V$1506,0)),"")</f>
        <v/>
      </c>
      <c r="O585" s="67"/>
      <c r="P585" s="67"/>
    </row>
    <row r="586" ht="15.75" customHeight="1">
      <c r="A586" s="151" t="str">
        <f t="array" ref="A586">IFERROR(INDEX(Sales!$E$7:$E$1506,MATCH(ROW()-4,Sales!$W$7:$W$1506,0)),"")</f>
        <v/>
      </c>
      <c r="B586" s="152" t="str">
        <f t="array" ref="B586">IF($A586="","",IFERROR(INDEX(Sales!$A:$A,MATCH($A586,Sales!$E:$E,0)),""))</f>
        <v/>
      </c>
      <c r="C586" s="153" t="str">
        <f t="array" ref="C586">IF($A586="","",IFERROR(INDEX(Sales!$D:$D,MATCH($A586,Sales!$E:$E,0)),""))</f>
        <v/>
      </c>
      <c r="D586" s="153" t="str">
        <f t="array" ref="D586">IF($A586="","",IFERROR(INDEX(Sales!$C:$C,MATCH($A586,Sales!$E:$E,0)),""))</f>
        <v/>
      </c>
      <c r="E586" s="154" t="str">
        <f>IF($A586="","",SUMIFS(Sales!$H:$H,Sales!$E:$E,$A586,Sales!$B:$B,"&lt;&gt;Return"))</f>
        <v/>
      </c>
      <c r="F586" s="155" t="str">
        <f>IF($A586="","",SUMIF(Sales!$E:$E,$A586,Sales!$L:$L))</f>
        <v/>
      </c>
      <c r="G586" s="155" t="str">
        <f>IF($A586="","",SUMIF(Sales!$E:$E,$A586,Sales!$P:$P))</f>
        <v/>
      </c>
      <c r="H586" s="156" t="str">
        <f t="array" ref="H586">IF($A586="","",IFERROR(INDEX(Orders!$O$5:$O$1004,MATCH($A586,Orders!$N$5:$N$1004,0)),""))</f>
        <v/>
      </c>
      <c r="I586" s="156" t="str">
        <f t="array" ref="I586">IF($A586="","",IFERROR(INDEX(Orders!$P$5:$P$1004,MATCH($A586,Orders!$N$5:$N$1004,0)),""))</f>
        <v/>
      </c>
      <c r="J586" s="157" t="str">
        <f t="shared" si="1"/>
        <v/>
      </c>
      <c r="K586" s="153" t="str">
        <f t="array" ref="K586">IF($A586="","",IFERROR(INDEX(Sales!$M:$M,MATCH($A586,Sales!$E:$E,0)),""))</f>
        <v/>
      </c>
      <c r="L586" s="158" t="str">
        <f t="shared" si="2"/>
        <v/>
      </c>
      <c r="N586" s="49" t="str">
        <f t="array" ref="N586">IFERROR(INDEX(Sales!$E$7:$E$1506,MATCH(ROW()-4,Sales!$V$7:$V$1506,0)),"")</f>
        <v/>
      </c>
      <c r="O586" s="67"/>
      <c r="P586" s="67"/>
    </row>
    <row r="587" ht="15.75" customHeight="1">
      <c r="A587" s="151" t="str">
        <f t="array" ref="A587">IFERROR(INDEX(Sales!$E$7:$E$1506,MATCH(ROW()-4,Sales!$W$7:$W$1506,0)),"")</f>
        <v/>
      </c>
      <c r="B587" s="152" t="str">
        <f t="array" ref="B587">IF($A587="","",IFERROR(INDEX(Sales!$A:$A,MATCH($A587,Sales!$E:$E,0)),""))</f>
        <v/>
      </c>
      <c r="C587" s="153" t="str">
        <f t="array" ref="C587">IF($A587="","",IFERROR(INDEX(Sales!$D:$D,MATCH($A587,Sales!$E:$E,0)),""))</f>
        <v/>
      </c>
      <c r="D587" s="153" t="str">
        <f t="array" ref="D587">IF($A587="","",IFERROR(INDEX(Sales!$C:$C,MATCH($A587,Sales!$E:$E,0)),""))</f>
        <v/>
      </c>
      <c r="E587" s="154" t="str">
        <f>IF($A587="","",SUMIFS(Sales!$H:$H,Sales!$E:$E,$A587,Sales!$B:$B,"&lt;&gt;Return"))</f>
        <v/>
      </c>
      <c r="F587" s="155" t="str">
        <f>IF($A587="","",SUMIF(Sales!$E:$E,$A587,Sales!$L:$L))</f>
        <v/>
      </c>
      <c r="G587" s="155" t="str">
        <f>IF($A587="","",SUMIF(Sales!$E:$E,$A587,Sales!$P:$P))</f>
        <v/>
      </c>
      <c r="H587" s="156" t="str">
        <f t="array" ref="H587">IF($A587="","",IFERROR(INDEX(Orders!$O$5:$O$1004,MATCH($A587,Orders!$N$5:$N$1004,0)),""))</f>
        <v/>
      </c>
      <c r="I587" s="156" t="str">
        <f t="array" ref="I587">IF($A587="","",IFERROR(INDEX(Orders!$P$5:$P$1004,MATCH($A587,Orders!$N$5:$N$1004,0)),""))</f>
        <v/>
      </c>
      <c r="J587" s="157" t="str">
        <f t="shared" si="1"/>
        <v/>
      </c>
      <c r="K587" s="153" t="str">
        <f t="array" ref="K587">IF($A587="","",IFERROR(INDEX(Sales!$M:$M,MATCH($A587,Sales!$E:$E,0)),""))</f>
        <v/>
      </c>
      <c r="L587" s="158" t="str">
        <f t="shared" si="2"/>
        <v/>
      </c>
      <c r="N587" s="49" t="str">
        <f t="array" ref="N587">IFERROR(INDEX(Sales!$E$7:$E$1506,MATCH(ROW()-4,Sales!$V$7:$V$1506,0)),"")</f>
        <v/>
      </c>
      <c r="O587" s="67"/>
      <c r="P587" s="67"/>
    </row>
    <row r="588" ht="15.75" customHeight="1">
      <c r="A588" s="151" t="str">
        <f t="array" ref="A588">IFERROR(INDEX(Sales!$E$7:$E$1506,MATCH(ROW()-4,Sales!$W$7:$W$1506,0)),"")</f>
        <v/>
      </c>
      <c r="B588" s="152" t="str">
        <f t="array" ref="B588">IF($A588="","",IFERROR(INDEX(Sales!$A:$A,MATCH($A588,Sales!$E:$E,0)),""))</f>
        <v/>
      </c>
      <c r="C588" s="153" t="str">
        <f t="array" ref="C588">IF($A588="","",IFERROR(INDEX(Sales!$D:$D,MATCH($A588,Sales!$E:$E,0)),""))</f>
        <v/>
      </c>
      <c r="D588" s="153" t="str">
        <f t="array" ref="D588">IF($A588="","",IFERROR(INDEX(Sales!$C:$C,MATCH($A588,Sales!$E:$E,0)),""))</f>
        <v/>
      </c>
      <c r="E588" s="154" t="str">
        <f>IF($A588="","",SUMIFS(Sales!$H:$H,Sales!$E:$E,$A588,Sales!$B:$B,"&lt;&gt;Return"))</f>
        <v/>
      </c>
      <c r="F588" s="155" t="str">
        <f>IF($A588="","",SUMIF(Sales!$E:$E,$A588,Sales!$L:$L))</f>
        <v/>
      </c>
      <c r="G588" s="155" t="str">
        <f>IF($A588="","",SUMIF(Sales!$E:$E,$A588,Sales!$P:$P))</f>
        <v/>
      </c>
      <c r="H588" s="156" t="str">
        <f t="array" ref="H588">IF($A588="","",IFERROR(INDEX(Orders!$O$5:$O$1004,MATCH($A588,Orders!$N$5:$N$1004,0)),""))</f>
        <v/>
      </c>
      <c r="I588" s="156" t="str">
        <f t="array" ref="I588">IF($A588="","",IFERROR(INDEX(Orders!$P$5:$P$1004,MATCH($A588,Orders!$N$5:$N$1004,0)),""))</f>
        <v/>
      </c>
      <c r="J588" s="157" t="str">
        <f t="shared" si="1"/>
        <v/>
      </c>
      <c r="K588" s="153" t="str">
        <f t="array" ref="K588">IF($A588="","",IFERROR(INDEX(Sales!$M:$M,MATCH($A588,Sales!$E:$E,0)),""))</f>
        <v/>
      </c>
      <c r="L588" s="158" t="str">
        <f t="shared" si="2"/>
        <v/>
      </c>
      <c r="N588" s="49" t="str">
        <f t="array" ref="N588">IFERROR(INDEX(Sales!$E$7:$E$1506,MATCH(ROW()-4,Sales!$V$7:$V$1506,0)),"")</f>
        <v/>
      </c>
      <c r="O588" s="67"/>
      <c r="P588" s="67"/>
    </row>
    <row r="589" ht="15.75" customHeight="1">
      <c r="A589" s="151" t="str">
        <f t="array" ref="A589">IFERROR(INDEX(Sales!$E$7:$E$1506,MATCH(ROW()-4,Sales!$W$7:$W$1506,0)),"")</f>
        <v/>
      </c>
      <c r="B589" s="152" t="str">
        <f t="array" ref="B589">IF($A589="","",IFERROR(INDEX(Sales!$A:$A,MATCH($A589,Sales!$E:$E,0)),""))</f>
        <v/>
      </c>
      <c r="C589" s="153" t="str">
        <f t="array" ref="C589">IF($A589="","",IFERROR(INDEX(Sales!$D:$D,MATCH($A589,Sales!$E:$E,0)),""))</f>
        <v/>
      </c>
      <c r="D589" s="153" t="str">
        <f t="array" ref="D589">IF($A589="","",IFERROR(INDEX(Sales!$C:$C,MATCH($A589,Sales!$E:$E,0)),""))</f>
        <v/>
      </c>
      <c r="E589" s="154" t="str">
        <f>IF($A589="","",SUMIFS(Sales!$H:$H,Sales!$E:$E,$A589,Sales!$B:$B,"&lt;&gt;Return"))</f>
        <v/>
      </c>
      <c r="F589" s="155" t="str">
        <f>IF($A589="","",SUMIF(Sales!$E:$E,$A589,Sales!$L:$L))</f>
        <v/>
      </c>
      <c r="G589" s="155" t="str">
        <f>IF($A589="","",SUMIF(Sales!$E:$E,$A589,Sales!$P:$P))</f>
        <v/>
      </c>
      <c r="H589" s="156" t="str">
        <f t="array" ref="H589">IF($A589="","",IFERROR(INDEX(Orders!$O$5:$O$1004,MATCH($A589,Orders!$N$5:$N$1004,0)),""))</f>
        <v/>
      </c>
      <c r="I589" s="156" t="str">
        <f t="array" ref="I589">IF($A589="","",IFERROR(INDEX(Orders!$P$5:$P$1004,MATCH($A589,Orders!$N$5:$N$1004,0)),""))</f>
        <v/>
      </c>
      <c r="J589" s="157" t="str">
        <f t="shared" si="1"/>
        <v/>
      </c>
      <c r="K589" s="153" t="str">
        <f t="array" ref="K589">IF($A589="","",IFERROR(INDEX(Sales!$M:$M,MATCH($A589,Sales!$E:$E,0)),""))</f>
        <v/>
      </c>
      <c r="L589" s="158" t="str">
        <f t="shared" si="2"/>
        <v/>
      </c>
      <c r="N589" s="49" t="str">
        <f t="array" ref="N589">IFERROR(INDEX(Sales!$E$7:$E$1506,MATCH(ROW()-4,Sales!$V$7:$V$1506,0)),"")</f>
        <v/>
      </c>
      <c r="O589" s="67"/>
      <c r="P589" s="67"/>
    </row>
    <row r="590" ht="15.75" customHeight="1">
      <c r="A590" s="151" t="str">
        <f t="array" ref="A590">IFERROR(INDEX(Sales!$E$7:$E$1506,MATCH(ROW()-4,Sales!$W$7:$W$1506,0)),"")</f>
        <v/>
      </c>
      <c r="B590" s="152" t="str">
        <f t="array" ref="B590">IF($A590="","",IFERROR(INDEX(Sales!$A:$A,MATCH($A590,Sales!$E:$E,0)),""))</f>
        <v/>
      </c>
      <c r="C590" s="153" t="str">
        <f t="array" ref="C590">IF($A590="","",IFERROR(INDEX(Sales!$D:$D,MATCH($A590,Sales!$E:$E,0)),""))</f>
        <v/>
      </c>
      <c r="D590" s="153" t="str">
        <f t="array" ref="D590">IF($A590="","",IFERROR(INDEX(Sales!$C:$C,MATCH($A590,Sales!$E:$E,0)),""))</f>
        <v/>
      </c>
      <c r="E590" s="154" t="str">
        <f>IF($A590="","",SUMIFS(Sales!$H:$H,Sales!$E:$E,$A590,Sales!$B:$B,"&lt;&gt;Return"))</f>
        <v/>
      </c>
      <c r="F590" s="155" t="str">
        <f>IF($A590="","",SUMIF(Sales!$E:$E,$A590,Sales!$L:$L))</f>
        <v/>
      </c>
      <c r="G590" s="155" t="str">
        <f>IF($A590="","",SUMIF(Sales!$E:$E,$A590,Sales!$P:$P))</f>
        <v/>
      </c>
      <c r="H590" s="156" t="str">
        <f t="array" ref="H590">IF($A590="","",IFERROR(INDEX(Orders!$O$5:$O$1004,MATCH($A590,Orders!$N$5:$N$1004,0)),""))</f>
        <v/>
      </c>
      <c r="I590" s="156" t="str">
        <f t="array" ref="I590">IF($A590="","",IFERROR(INDEX(Orders!$P$5:$P$1004,MATCH($A590,Orders!$N$5:$N$1004,0)),""))</f>
        <v/>
      </c>
      <c r="J590" s="157" t="str">
        <f t="shared" si="1"/>
        <v/>
      </c>
      <c r="K590" s="153" t="str">
        <f t="array" ref="K590">IF($A590="","",IFERROR(INDEX(Sales!$M:$M,MATCH($A590,Sales!$E:$E,0)),""))</f>
        <v/>
      </c>
      <c r="L590" s="158" t="str">
        <f t="shared" si="2"/>
        <v/>
      </c>
      <c r="N590" s="49" t="str">
        <f t="array" ref="N590">IFERROR(INDEX(Sales!$E$7:$E$1506,MATCH(ROW()-4,Sales!$V$7:$V$1506,0)),"")</f>
        <v/>
      </c>
      <c r="O590" s="67"/>
      <c r="P590" s="67"/>
    </row>
    <row r="591" ht="15.75" customHeight="1">
      <c r="A591" s="151" t="str">
        <f t="array" ref="A591">IFERROR(INDEX(Sales!$E$7:$E$1506,MATCH(ROW()-4,Sales!$W$7:$W$1506,0)),"")</f>
        <v/>
      </c>
      <c r="B591" s="152" t="str">
        <f t="array" ref="B591">IF($A591="","",IFERROR(INDEX(Sales!$A:$A,MATCH($A591,Sales!$E:$E,0)),""))</f>
        <v/>
      </c>
      <c r="C591" s="153" t="str">
        <f t="array" ref="C591">IF($A591="","",IFERROR(INDEX(Sales!$D:$D,MATCH($A591,Sales!$E:$E,0)),""))</f>
        <v/>
      </c>
      <c r="D591" s="153" t="str">
        <f t="array" ref="D591">IF($A591="","",IFERROR(INDEX(Sales!$C:$C,MATCH($A591,Sales!$E:$E,0)),""))</f>
        <v/>
      </c>
      <c r="E591" s="154" t="str">
        <f>IF($A591="","",SUMIFS(Sales!$H:$H,Sales!$E:$E,$A591,Sales!$B:$B,"&lt;&gt;Return"))</f>
        <v/>
      </c>
      <c r="F591" s="155" t="str">
        <f>IF($A591="","",SUMIF(Sales!$E:$E,$A591,Sales!$L:$L))</f>
        <v/>
      </c>
      <c r="G591" s="155" t="str">
        <f>IF($A591="","",SUMIF(Sales!$E:$E,$A591,Sales!$P:$P))</f>
        <v/>
      </c>
      <c r="H591" s="156" t="str">
        <f t="array" ref="H591">IF($A591="","",IFERROR(INDEX(Orders!$O$5:$O$1004,MATCH($A591,Orders!$N$5:$N$1004,0)),""))</f>
        <v/>
      </c>
      <c r="I591" s="156" t="str">
        <f t="array" ref="I591">IF($A591="","",IFERROR(INDEX(Orders!$P$5:$P$1004,MATCH($A591,Orders!$N$5:$N$1004,0)),""))</f>
        <v/>
      </c>
      <c r="J591" s="157" t="str">
        <f t="shared" si="1"/>
        <v/>
      </c>
      <c r="K591" s="153" t="str">
        <f t="array" ref="K591">IF($A591="","",IFERROR(INDEX(Sales!$M:$M,MATCH($A591,Sales!$E:$E,0)),""))</f>
        <v/>
      </c>
      <c r="L591" s="158" t="str">
        <f t="shared" si="2"/>
        <v/>
      </c>
      <c r="N591" s="49" t="str">
        <f t="array" ref="N591">IFERROR(INDEX(Sales!$E$7:$E$1506,MATCH(ROW()-4,Sales!$V$7:$V$1506,0)),"")</f>
        <v/>
      </c>
      <c r="O591" s="67"/>
      <c r="P591" s="67"/>
    </row>
    <row r="592" ht="15.75" customHeight="1">
      <c r="A592" s="151" t="str">
        <f t="array" ref="A592">IFERROR(INDEX(Sales!$E$7:$E$1506,MATCH(ROW()-4,Sales!$W$7:$W$1506,0)),"")</f>
        <v/>
      </c>
      <c r="B592" s="152" t="str">
        <f t="array" ref="B592">IF($A592="","",IFERROR(INDEX(Sales!$A:$A,MATCH($A592,Sales!$E:$E,0)),""))</f>
        <v/>
      </c>
      <c r="C592" s="153" t="str">
        <f t="array" ref="C592">IF($A592="","",IFERROR(INDEX(Sales!$D:$D,MATCH($A592,Sales!$E:$E,0)),""))</f>
        <v/>
      </c>
      <c r="D592" s="153" t="str">
        <f t="array" ref="D592">IF($A592="","",IFERROR(INDEX(Sales!$C:$C,MATCH($A592,Sales!$E:$E,0)),""))</f>
        <v/>
      </c>
      <c r="E592" s="154" t="str">
        <f>IF($A592="","",SUMIFS(Sales!$H:$H,Sales!$E:$E,$A592,Sales!$B:$B,"&lt;&gt;Return"))</f>
        <v/>
      </c>
      <c r="F592" s="155" t="str">
        <f>IF($A592="","",SUMIF(Sales!$E:$E,$A592,Sales!$L:$L))</f>
        <v/>
      </c>
      <c r="G592" s="155" t="str">
        <f>IF($A592="","",SUMIF(Sales!$E:$E,$A592,Sales!$P:$P))</f>
        <v/>
      </c>
      <c r="H592" s="156" t="str">
        <f t="array" ref="H592">IF($A592="","",IFERROR(INDEX(Orders!$O$5:$O$1004,MATCH($A592,Orders!$N$5:$N$1004,0)),""))</f>
        <v/>
      </c>
      <c r="I592" s="156" t="str">
        <f t="array" ref="I592">IF($A592="","",IFERROR(INDEX(Orders!$P$5:$P$1004,MATCH($A592,Orders!$N$5:$N$1004,0)),""))</f>
        <v/>
      </c>
      <c r="J592" s="157" t="str">
        <f t="shared" si="1"/>
        <v/>
      </c>
      <c r="K592" s="153" t="str">
        <f t="array" ref="K592">IF($A592="","",IFERROR(INDEX(Sales!$M:$M,MATCH($A592,Sales!$E:$E,0)),""))</f>
        <v/>
      </c>
      <c r="L592" s="158" t="str">
        <f t="shared" si="2"/>
        <v/>
      </c>
      <c r="N592" s="49" t="str">
        <f t="array" ref="N592">IFERROR(INDEX(Sales!$E$7:$E$1506,MATCH(ROW()-4,Sales!$V$7:$V$1506,0)),"")</f>
        <v/>
      </c>
      <c r="O592" s="67"/>
      <c r="P592" s="67"/>
    </row>
    <row r="593" ht="15.75" customHeight="1">
      <c r="A593" s="151" t="str">
        <f t="array" ref="A593">IFERROR(INDEX(Sales!$E$7:$E$1506,MATCH(ROW()-4,Sales!$W$7:$W$1506,0)),"")</f>
        <v/>
      </c>
      <c r="B593" s="152" t="str">
        <f t="array" ref="B593">IF($A593="","",IFERROR(INDEX(Sales!$A:$A,MATCH($A593,Sales!$E:$E,0)),""))</f>
        <v/>
      </c>
      <c r="C593" s="153" t="str">
        <f t="array" ref="C593">IF($A593="","",IFERROR(INDEX(Sales!$D:$D,MATCH($A593,Sales!$E:$E,0)),""))</f>
        <v/>
      </c>
      <c r="D593" s="153" t="str">
        <f t="array" ref="D593">IF($A593="","",IFERROR(INDEX(Sales!$C:$C,MATCH($A593,Sales!$E:$E,0)),""))</f>
        <v/>
      </c>
      <c r="E593" s="154" t="str">
        <f>IF($A593="","",SUMIFS(Sales!$H:$H,Sales!$E:$E,$A593,Sales!$B:$B,"&lt;&gt;Return"))</f>
        <v/>
      </c>
      <c r="F593" s="155" t="str">
        <f>IF($A593="","",SUMIF(Sales!$E:$E,$A593,Sales!$L:$L))</f>
        <v/>
      </c>
      <c r="G593" s="155" t="str">
        <f>IF($A593="","",SUMIF(Sales!$E:$E,$A593,Sales!$P:$P))</f>
        <v/>
      </c>
      <c r="H593" s="156" t="str">
        <f t="array" ref="H593">IF($A593="","",IFERROR(INDEX(Orders!$O$5:$O$1004,MATCH($A593,Orders!$N$5:$N$1004,0)),""))</f>
        <v/>
      </c>
      <c r="I593" s="156" t="str">
        <f t="array" ref="I593">IF($A593="","",IFERROR(INDEX(Orders!$P$5:$P$1004,MATCH($A593,Orders!$N$5:$N$1004,0)),""))</f>
        <v/>
      </c>
      <c r="J593" s="157" t="str">
        <f t="shared" si="1"/>
        <v/>
      </c>
      <c r="K593" s="153" t="str">
        <f t="array" ref="K593">IF($A593="","",IFERROR(INDEX(Sales!$M:$M,MATCH($A593,Sales!$E:$E,0)),""))</f>
        <v/>
      </c>
      <c r="L593" s="158" t="str">
        <f t="shared" si="2"/>
        <v/>
      </c>
      <c r="N593" s="49" t="str">
        <f t="array" ref="N593">IFERROR(INDEX(Sales!$E$7:$E$1506,MATCH(ROW()-4,Sales!$V$7:$V$1506,0)),"")</f>
        <v/>
      </c>
      <c r="O593" s="67"/>
      <c r="P593" s="67"/>
    </row>
    <row r="594" ht="15.75" customHeight="1">
      <c r="A594" s="151" t="str">
        <f t="array" ref="A594">IFERROR(INDEX(Sales!$E$7:$E$1506,MATCH(ROW()-4,Sales!$W$7:$W$1506,0)),"")</f>
        <v/>
      </c>
      <c r="B594" s="152" t="str">
        <f t="array" ref="B594">IF($A594="","",IFERROR(INDEX(Sales!$A:$A,MATCH($A594,Sales!$E:$E,0)),""))</f>
        <v/>
      </c>
      <c r="C594" s="153" t="str">
        <f t="array" ref="C594">IF($A594="","",IFERROR(INDEX(Sales!$D:$D,MATCH($A594,Sales!$E:$E,0)),""))</f>
        <v/>
      </c>
      <c r="D594" s="153" t="str">
        <f t="array" ref="D594">IF($A594="","",IFERROR(INDEX(Sales!$C:$C,MATCH($A594,Sales!$E:$E,0)),""))</f>
        <v/>
      </c>
      <c r="E594" s="154" t="str">
        <f>IF($A594="","",SUMIFS(Sales!$H:$H,Sales!$E:$E,$A594,Sales!$B:$B,"&lt;&gt;Return"))</f>
        <v/>
      </c>
      <c r="F594" s="155" t="str">
        <f>IF($A594="","",SUMIF(Sales!$E:$E,$A594,Sales!$L:$L))</f>
        <v/>
      </c>
      <c r="G594" s="155" t="str">
        <f>IF($A594="","",SUMIF(Sales!$E:$E,$A594,Sales!$P:$P))</f>
        <v/>
      </c>
      <c r="H594" s="156" t="str">
        <f t="array" ref="H594">IF($A594="","",IFERROR(INDEX(Orders!$O$5:$O$1004,MATCH($A594,Orders!$N$5:$N$1004,0)),""))</f>
        <v/>
      </c>
      <c r="I594" s="156" t="str">
        <f t="array" ref="I594">IF($A594="","",IFERROR(INDEX(Orders!$P$5:$P$1004,MATCH($A594,Orders!$N$5:$N$1004,0)),""))</f>
        <v/>
      </c>
      <c r="J594" s="157" t="str">
        <f t="shared" si="1"/>
        <v/>
      </c>
      <c r="K594" s="153" t="str">
        <f t="array" ref="K594">IF($A594="","",IFERROR(INDEX(Sales!$M:$M,MATCH($A594,Sales!$E:$E,0)),""))</f>
        <v/>
      </c>
      <c r="L594" s="158" t="str">
        <f t="shared" si="2"/>
        <v/>
      </c>
      <c r="N594" s="49" t="str">
        <f t="array" ref="N594">IFERROR(INDEX(Sales!$E$7:$E$1506,MATCH(ROW()-4,Sales!$V$7:$V$1506,0)),"")</f>
        <v/>
      </c>
      <c r="O594" s="67"/>
      <c r="P594" s="67"/>
    </row>
    <row r="595" ht="15.75" customHeight="1">
      <c r="A595" s="151" t="str">
        <f t="array" ref="A595">IFERROR(INDEX(Sales!$E$7:$E$1506,MATCH(ROW()-4,Sales!$W$7:$W$1506,0)),"")</f>
        <v/>
      </c>
      <c r="B595" s="152" t="str">
        <f t="array" ref="B595">IF($A595="","",IFERROR(INDEX(Sales!$A:$A,MATCH($A595,Sales!$E:$E,0)),""))</f>
        <v/>
      </c>
      <c r="C595" s="153" t="str">
        <f t="array" ref="C595">IF($A595="","",IFERROR(INDEX(Sales!$D:$D,MATCH($A595,Sales!$E:$E,0)),""))</f>
        <v/>
      </c>
      <c r="D595" s="153" t="str">
        <f t="array" ref="D595">IF($A595="","",IFERROR(INDEX(Sales!$C:$C,MATCH($A595,Sales!$E:$E,0)),""))</f>
        <v/>
      </c>
      <c r="E595" s="154" t="str">
        <f>IF($A595="","",SUMIFS(Sales!$H:$H,Sales!$E:$E,$A595,Sales!$B:$B,"&lt;&gt;Return"))</f>
        <v/>
      </c>
      <c r="F595" s="155" t="str">
        <f>IF($A595="","",SUMIF(Sales!$E:$E,$A595,Sales!$L:$L))</f>
        <v/>
      </c>
      <c r="G595" s="155" t="str">
        <f>IF($A595="","",SUMIF(Sales!$E:$E,$A595,Sales!$P:$P))</f>
        <v/>
      </c>
      <c r="H595" s="156" t="str">
        <f t="array" ref="H595">IF($A595="","",IFERROR(INDEX(Orders!$O$5:$O$1004,MATCH($A595,Orders!$N$5:$N$1004,0)),""))</f>
        <v/>
      </c>
      <c r="I595" s="156" t="str">
        <f t="array" ref="I595">IF($A595="","",IFERROR(INDEX(Orders!$P$5:$P$1004,MATCH($A595,Orders!$N$5:$N$1004,0)),""))</f>
        <v/>
      </c>
      <c r="J595" s="157" t="str">
        <f t="shared" si="1"/>
        <v/>
      </c>
      <c r="K595" s="153" t="str">
        <f t="array" ref="K595">IF($A595="","",IFERROR(INDEX(Sales!$M:$M,MATCH($A595,Sales!$E:$E,0)),""))</f>
        <v/>
      </c>
      <c r="L595" s="158" t="str">
        <f t="shared" si="2"/>
        <v/>
      </c>
      <c r="N595" s="49" t="str">
        <f t="array" ref="N595">IFERROR(INDEX(Sales!$E$7:$E$1506,MATCH(ROW()-4,Sales!$V$7:$V$1506,0)),"")</f>
        <v/>
      </c>
      <c r="O595" s="67"/>
      <c r="P595" s="67"/>
    </row>
    <row r="596" ht="15.75" customHeight="1">
      <c r="A596" s="151" t="str">
        <f t="array" ref="A596">IFERROR(INDEX(Sales!$E$7:$E$1506,MATCH(ROW()-4,Sales!$W$7:$W$1506,0)),"")</f>
        <v/>
      </c>
      <c r="B596" s="152" t="str">
        <f t="array" ref="B596">IF($A596="","",IFERROR(INDEX(Sales!$A:$A,MATCH($A596,Sales!$E:$E,0)),""))</f>
        <v/>
      </c>
      <c r="C596" s="153" t="str">
        <f t="array" ref="C596">IF($A596="","",IFERROR(INDEX(Sales!$D:$D,MATCH($A596,Sales!$E:$E,0)),""))</f>
        <v/>
      </c>
      <c r="D596" s="153" t="str">
        <f t="array" ref="D596">IF($A596="","",IFERROR(INDEX(Sales!$C:$C,MATCH($A596,Sales!$E:$E,0)),""))</f>
        <v/>
      </c>
      <c r="E596" s="154" t="str">
        <f>IF($A596="","",SUMIFS(Sales!$H:$H,Sales!$E:$E,$A596,Sales!$B:$B,"&lt;&gt;Return"))</f>
        <v/>
      </c>
      <c r="F596" s="155" t="str">
        <f>IF($A596="","",SUMIF(Sales!$E:$E,$A596,Sales!$L:$L))</f>
        <v/>
      </c>
      <c r="G596" s="155" t="str">
        <f>IF($A596="","",SUMIF(Sales!$E:$E,$A596,Sales!$P:$P))</f>
        <v/>
      </c>
      <c r="H596" s="156" t="str">
        <f t="array" ref="H596">IF($A596="","",IFERROR(INDEX(Orders!$O$5:$O$1004,MATCH($A596,Orders!$N$5:$N$1004,0)),""))</f>
        <v/>
      </c>
      <c r="I596" s="156" t="str">
        <f t="array" ref="I596">IF($A596="","",IFERROR(INDEX(Orders!$P$5:$P$1004,MATCH($A596,Orders!$N$5:$N$1004,0)),""))</f>
        <v/>
      </c>
      <c r="J596" s="157" t="str">
        <f t="shared" si="1"/>
        <v/>
      </c>
      <c r="K596" s="153" t="str">
        <f t="array" ref="K596">IF($A596="","",IFERROR(INDEX(Sales!$M:$M,MATCH($A596,Sales!$E:$E,0)),""))</f>
        <v/>
      </c>
      <c r="L596" s="158" t="str">
        <f t="shared" si="2"/>
        <v/>
      </c>
      <c r="N596" s="49" t="str">
        <f t="array" ref="N596">IFERROR(INDEX(Sales!$E$7:$E$1506,MATCH(ROW()-4,Sales!$V$7:$V$1506,0)),"")</f>
        <v/>
      </c>
      <c r="O596" s="67"/>
      <c r="P596" s="67"/>
    </row>
    <row r="597" ht="15.75" customHeight="1">
      <c r="A597" s="151" t="str">
        <f t="array" ref="A597">IFERROR(INDEX(Sales!$E$7:$E$1506,MATCH(ROW()-4,Sales!$W$7:$W$1506,0)),"")</f>
        <v/>
      </c>
      <c r="B597" s="152" t="str">
        <f t="array" ref="B597">IF($A597="","",IFERROR(INDEX(Sales!$A:$A,MATCH($A597,Sales!$E:$E,0)),""))</f>
        <v/>
      </c>
      <c r="C597" s="153" t="str">
        <f t="array" ref="C597">IF($A597="","",IFERROR(INDEX(Sales!$D:$D,MATCH($A597,Sales!$E:$E,0)),""))</f>
        <v/>
      </c>
      <c r="D597" s="153" t="str">
        <f t="array" ref="D597">IF($A597="","",IFERROR(INDEX(Sales!$C:$C,MATCH($A597,Sales!$E:$E,0)),""))</f>
        <v/>
      </c>
      <c r="E597" s="154" t="str">
        <f>IF($A597="","",SUMIFS(Sales!$H:$H,Sales!$E:$E,$A597,Sales!$B:$B,"&lt;&gt;Return"))</f>
        <v/>
      </c>
      <c r="F597" s="155" t="str">
        <f>IF($A597="","",SUMIF(Sales!$E:$E,$A597,Sales!$L:$L))</f>
        <v/>
      </c>
      <c r="G597" s="155" t="str">
        <f>IF($A597="","",SUMIF(Sales!$E:$E,$A597,Sales!$P:$P))</f>
        <v/>
      </c>
      <c r="H597" s="156" t="str">
        <f t="array" ref="H597">IF($A597="","",IFERROR(INDEX(Orders!$O$5:$O$1004,MATCH($A597,Orders!$N$5:$N$1004,0)),""))</f>
        <v/>
      </c>
      <c r="I597" s="156" t="str">
        <f t="array" ref="I597">IF($A597="","",IFERROR(INDEX(Orders!$P$5:$P$1004,MATCH($A597,Orders!$N$5:$N$1004,0)),""))</f>
        <v/>
      </c>
      <c r="J597" s="157" t="str">
        <f t="shared" si="1"/>
        <v/>
      </c>
      <c r="K597" s="153" t="str">
        <f t="array" ref="K597">IF($A597="","",IFERROR(INDEX(Sales!$M:$M,MATCH($A597,Sales!$E:$E,0)),""))</f>
        <v/>
      </c>
      <c r="L597" s="158" t="str">
        <f t="shared" si="2"/>
        <v/>
      </c>
      <c r="N597" s="49" t="str">
        <f t="array" ref="N597">IFERROR(INDEX(Sales!$E$7:$E$1506,MATCH(ROW()-4,Sales!$V$7:$V$1506,0)),"")</f>
        <v/>
      </c>
      <c r="O597" s="67"/>
      <c r="P597" s="67"/>
    </row>
    <row r="598" ht="15.75" customHeight="1">
      <c r="A598" s="151" t="str">
        <f t="array" ref="A598">IFERROR(INDEX(Sales!$E$7:$E$1506,MATCH(ROW()-4,Sales!$W$7:$W$1506,0)),"")</f>
        <v/>
      </c>
      <c r="B598" s="152" t="str">
        <f t="array" ref="B598">IF($A598="","",IFERROR(INDEX(Sales!$A:$A,MATCH($A598,Sales!$E:$E,0)),""))</f>
        <v/>
      </c>
      <c r="C598" s="153" t="str">
        <f t="array" ref="C598">IF($A598="","",IFERROR(INDEX(Sales!$D:$D,MATCH($A598,Sales!$E:$E,0)),""))</f>
        <v/>
      </c>
      <c r="D598" s="153" t="str">
        <f t="array" ref="D598">IF($A598="","",IFERROR(INDEX(Sales!$C:$C,MATCH($A598,Sales!$E:$E,0)),""))</f>
        <v/>
      </c>
      <c r="E598" s="154" t="str">
        <f>IF($A598="","",SUMIFS(Sales!$H:$H,Sales!$E:$E,$A598,Sales!$B:$B,"&lt;&gt;Return"))</f>
        <v/>
      </c>
      <c r="F598" s="155" t="str">
        <f>IF($A598="","",SUMIF(Sales!$E:$E,$A598,Sales!$L:$L))</f>
        <v/>
      </c>
      <c r="G598" s="155" t="str">
        <f>IF($A598="","",SUMIF(Sales!$E:$E,$A598,Sales!$P:$P))</f>
        <v/>
      </c>
      <c r="H598" s="156" t="str">
        <f t="array" ref="H598">IF($A598="","",IFERROR(INDEX(Orders!$O$5:$O$1004,MATCH($A598,Orders!$N$5:$N$1004,0)),""))</f>
        <v/>
      </c>
      <c r="I598" s="156" t="str">
        <f t="array" ref="I598">IF($A598="","",IFERROR(INDEX(Orders!$P$5:$P$1004,MATCH($A598,Orders!$N$5:$N$1004,0)),""))</f>
        <v/>
      </c>
      <c r="J598" s="157" t="str">
        <f t="shared" si="1"/>
        <v/>
      </c>
      <c r="K598" s="153" t="str">
        <f t="array" ref="K598">IF($A598="","",IFERROR(INDEX(Sales!$M:$M,MATCH($A598,Sales!$E:$E,0)),""))</f>
        <v/>
      </c>
      <c r="L598" s="158" t="str">
        <f t="shared" si="2"/>
        <v/>
      </c>
      <c r="N598" s="49" t="str">
        <f t="array" ref="N598">IFERROR(INDEX(Sales!$E$7:$E$1506,MATCH(ROW()-4,Sales!$V$7:$V$1506,0)),"")</f>
        <v/>
      </c>
      <c r="O598" s="67"/>
      <c r="P598" s="67"/>
    </row>
    <row r="599" ht="15.75" customHeight="1">
      <c r="A599" s="151" t="str">
        <f t="array" ref="A599">IFERROR(INDEX(Sales!$E$7:$E$1506,MATCH(ROW()-4,Sales!$W$7:$W$1506,0)),"")</f>
        <v/>
      </c>
      <c r="B599" s="152" t="str">
        <f t="array" ref="B599">IF($A599="","",IFERROR(INDEX(Sales!$A:$A,MATCH($A599,Sales!$E:$E,0)),""))</f>
        <v/>
      </c>
      <c r="C599" s="153" t="str">
        <f t="array" ref="C599">IF($A599="","",IFERROR(INDEX(Sales!$D:$D,MATCH($A599,Sales!$E:$E,0)),""))</f>
        <v/>
      </c>
      <c r="D599" s="153" t="str">
        <f t="array" ref="D599">IF($A599="","",IFERROR(INDEX(Sales!$C:$C,MATCH($A599,Sales!$E:$E,0)),""))</f>
        <v/>
      </c>
      <c r="E599" s="154" t="str">
        <f>IF($A599="","",SUMIFS(Sales!$H:$H,Sales!$E:$E,$A599,Sales!$B:$B,"&lt;&gt;Return"))</f>
        <v/>
      </c>
      <c r="F599" s="155" t="str">
        <f>IF($A599="","",SUMIF(Sales!$E:$E,$A599,Sales!$L:$L))</f>
        <v/>
      </c>
      <c r="G599" s="155" t="str">
        <f>IF($A599="","",SUMIF(Sales!$E:$E,$A599,Sales!$P:$P))</f>
        <v/>
      </c>
      <c r="H599" s="156" t="str">
        <f t="array" ref="H599">IF($A599="","",IFERROR(INDEX(Orders!$O$5:$O$1004,MATCH($A599,Orders!$N$5:$N$1004,0)),""))</f>
        <v/>
      </c>
      <c r="I599" s="156" t="str">
        <f t="array" ref="I599">IF($A599="","",IFERROR(INDEX(Orders!$P$5:$P$1004,MATCH($A599,Orders!$N$5:$N$1004,0)),""))</f>
        <v/>
      </c>
      <c r="J599" s="157" t="str">
        <f t="shared" si="1"/>
        <v/>
      </c>
      <c r="K599" s="153" t="str">
        <f t="array" ref="K599">IF($A599="","",IFERROR(INDEX(Sales!$M:$M,MATCH($A599,Sales!$E:$E,0)),""))</f>
        <v/>
      </c>
      <c r="L599" s="158" t="str">
        <f t="shared" si="2"/>
        <v/>
      </c>
      <c r="N599" s="49" t="str">
        <f t="array" ref="N599">IFERROR(INDEX(Sales!$E$7:$E$1506,MATCH(ROW()-4,Sales!$V$7:$V$1506,0)),"")</f>
        <v/>
      </c>
      <c r="O599" s="67"/>
      <c r="P599" s="67"/>
    </row>
    <row r="600" ht="15.75" customHeight="1">
      <c r="A600" s="151" t="str">
        <f t="array" ref="A600">IFERROR(INDEX(Sales!$E$7:$E$1506,MATCH(ROW()-4,Sales!$W$7:$W$1506,0)),"")</f>
        <v/>
      </c>
      <c r="B600" s="152" t="str">
        <f t="array" ref="B600">IF($A600="","",IFERROR(INDEX(Sales!$A:$A,MATCH($A600,Sales!$E:$E,0)),""))</f>
        <v/>
      </c>
      <c r="C600" s="153" t="str">
        <f t="array" ref="C600">IF($A600="","",IFERROR(INDEX(Sales!$D:$D,MATCH($A600,Sales!$E:$E,0)),""))</f>
        <v/>
      </c>
      <c r="D600" s="153" t="str">
        <f t="array" ref="D600">IF($A600="","",IFERROR(INDEX(Sales!$C:$C,MATCH($A600,Sales!$E:$E,0)),""))</f>
        <v/>
      </c>
      <c r="E600" s="154" t="str">
        <f>IF($A600="","",SUMIFS(Sales!$H:$H,Sales!$E:$E,$A600,Sales!$B:$B,"&lt;&gt;Return"))</f>
        <v/>
      </c>
      <c r="F600" s="155" t="str">
        <f>IF($A600="","",SUMIF(Sales!$E:$E,$A600,Sales!$L:$L))</f>
        <v/>
      </c>
      <c r="G600" s="155" t="str">
        <f>IF($A600="","",SUMIF(Sales!$E:$E,$A600,Sales!$P:$P))</f>
        <v/>
      </c>
      <c r="H600" s="156" t="str">
        <f t="array" ref="H600">IF($A600="","",IFERROR(INDEX(Orders!$O$5:$O$1004,MATCH($A600,Orders!$N$5:$N$1004,0)),""))</f>
        <v/>
      </c>
      <c r="I600" s="156" t="str">
        <f t="array" ref="I600">IF($A600="","",IFERROR(INDEX(Orders!$P$5:$P$1004,MATCH($A600,Orders!$N$5:$N$1004,0)),""))</f>
        <v/>
      </c>
      <c r="J600" s="157" t="str">
        <f t="shared" si="1"/>
        <v/>
      </c>
      <c r="K600" s="153" t="str">
        <f t="array" ref="K600">IF($A600="","",IFERROR(INDEX(Sales!$M:$M,MATCH($A600,Sales!$E:$E,0)),""))</f>
        <v/>
      </c>
      <c r="L600" s="158" t="str">
        <f t="shared" si="2"/>
        <v/>
      </c>
      <c r="N600" s="49" t="str">
        <f t="array" ref="N600">IFERROR(INDEX(Sales!$E$7:$E$1506,MATCH(ROW()-4,Sales!$V$7:$V$1506,0)),"")</f>
        <v/>
      </c>
      <c r="O600" s="67"/>
      <c r="P600" s="67"/>
    </row>
    <row r="601" ht="15.75" customHeight="1">
      <c r="A601" s="151" t="str">
        <f t="array" ref="A601">IFERROR(INDEX(Sales!$E$7:$E$1506,MATCH(ROW()-4,Sales!$W$7:$W$1506,0)),"")</f>
        <v/>
      </c>
      <c r="B601" s="152" t="str">
        <f t="array" ref="B601">IF($A601="","",IFERROR(INDEX(Sales!$A:$A,MATCH($A601,Sales!$E:$E,0)),""))</f>
        <v/>
      </c>
      <c r="C601" s="153" t="str">
        <f t="array" ref="C601">IF($A601="","",IFERROR(INDEX(Sales!$D:$D,MATCH($A601,Sales!$E:$E,0)),""))</f>
        <v/>
      </c>
      <c r="D601" s="153" t="str">
        <f t="array" ref="D601">IF($A601="","",IFERROR(INDEX(Sales!$C:$C,MATCH($A601,Sales!$E:$E,0)),""))</f>
        <v/>
      </c>
      <c r="E601" s="154" t="str">
        <f>IF($A601="","",SUMIFS(Sales!$H:$H,Sales!$E:$E,$A601,Sales!$B:$B,"&lt;&gt;Return"))</f>
        <v/>
      </c>
      <c r="F601" s="155" t="str">
        <f>IF($A601="","",SUMIF(Sales!$E:$E,$A601,Sales!$L:$L))</f>
        <v/>
      </c>
      <c r="G601" s="155" t="str">
        <f>IF($A601="","",SUMIF(Sales!$E:$E,$A601,Sales!$P:$P))</f>
        <v/>
      </c>
      <c r="H601" s="156" t="str">
        <f t="array" ref="H601">IF($A601="","",IFERROR(INDEX(Orders!$O$5:$O$1004,MATCH($A601,Orders!$N$5:$N$1004,0)),""))</f>
        <v/>
      </c>
      <c r="I601" s="156" t="str">
        <f t="array" ref="I601">IF($A601="","",IFERROR(INDEX(Orders!$P$5:$P$1004,MATCH($A601,Orders!$N$5:$N$1004,0)),""))</f>
        <v/>
      </c>
      <c r="J601" s="157" t="str">
        <f t="shared" si="1"/>
        <v/>
      </c>
      <c r="K601" s="153" t="str">
        <f t="array" ref="K601">IF($A601="","",IFERROR(INDEX(Sales!$M:$M,MATCH($A601,Sales!$E:$E,0)),""))</f>
        <v/>
      </c>
      <c r="L601" s="158" t="str">
        <f t="shared" si="2"/>
        <v/>
      </c>
      <c r="N601" s="49" t="str">
        <f t="array" ref="N601">IFERROR(INDEX(Sales!$E$7:$E$1506,MATCH(ROW()-4,Sales!$V$7:$V$1506,0)),"")</f>
        <v/>
      </c>
      <c r="O601" s="67"/>
      <c r="P601" s="67"/>
    </row>
    <row r="602" ht="15.75" customHeight="1">
      <c r="A602" s="151" t="str">
        <f t="array" ref="A602">IFERROR(INDEX(Sales!$E$7:$E$1506,MATCH(ROW()-4,Sales!$W$7:$W$1506,0)),"")</f>
        <v/>
      </c>
      <c r="B602" s="152" t="str">
        <f t="array" ref="B602">IF($A602="","",IFERROR(INDEX(Sales!$A:$A,MATCH($A602,Sales!$E:$E,0)),""))</f>
        <v/>
      </c>
      <c r="C602" s="153" t="str">
        <f t="array" ref="C602">IF($A602="","",IFERROR(INDEX(Sales!$D:$D,MATCH($A602,Sales!$E:$E,0)),""))</f>
        <v/>
      </c>
      <c r="D602" s="153" t="str">
        <f t="array" ref="D602">IF($A602="","",IFERROR(INDEX(Sales!$C:$C,MATCH($A602,Sales!$E:$E,0)),""))</f>
        <v/>
      </c>
      <c r="E602" s="154" t="str">
        <f>IF($A602="","",SUMIFS(Sales!$H:$H,Sales!$E:$E,$A602,Sales!$B:$B,"&lt;&gt;Return"))</f>
        <v/>
      </c>
      <c r="F602" s="155" t="str">
        <f>IF($A602="","",SUMIF(Sales!$E:$E,$A602,Sales!$L:$L))</f>
        <v/>
      </c>
      <c r="G602" s="155" t="str">
        <f>IF($A602="","",SUMIF(Sales!$E:$E,$A602,Sales!$P:$P))</f>
        <v/>
      </c>
      <c r="H602" s="156" t="str">
        <f t="array" ref="H602">IF($A602="","",IFERROR(INDEX(Orders!$O$5:$O$1004,MATCH($A602,Orders!$N$5:$N$1004,0)),""))</f>
        <v/>
      </c>
      <c r="I602" s="156" t="str">
        <f t="array" ref="I602">IF($A602="","",IFERROR(INDEX(Orders!$P$5:$P$1004,MATCH($A602,Orders!$N$5:$N$1004,0)),""))</f>
        <v/>
      </c>
      <c r="J602" s="157" t="str">
        <f t="shared" si="1"/>
        <v/>
      </c>
      <c r="K602" s="153" t="str">
        <f t="array" ref="K602">IF($A602="","",IFERROR(INDEX(Sales!$M:$M,MATCH($A602,Sales!$E:$E,0)),""))</f>
        <v/>
      </c>
      <c r="L602" s="158" t="str">
        <f t="shared" si="2"/>
        <v/>
      </c>
      <c r="N602" s="49" t="str">
        <f t="array" ref="N602">IFERROR(INDEX(Sales!$E$7:$E$1506,MATCH(ROW()-4,Sales!$V$7:$V$1506,0)),"")</f>
        <v/>
      </c>
      <c r="O602" s="67"/>
      <c r="P602" s="67"/>
    </row>
    <row r="603" ht="15.75" customHeight="1">
      <c r="A603" s="151" t="str">
        <f t="array" ref="A603">IFERROR(INDEX(Sales!$E$7:$E$1506,MATCH(ROW()-4,Sales!$W$7:$W$1506,0)),"")</f>
        <v/>
      </c>
      <c r="B603" s="152" t="str">
        <f t="array" ref="B603">IF($A603="","",IFERROR(INDEX(Sales!$A:$A,MATCH($A603,Sales!$E:$E,0)),""))</f>
        <v/>
      </c>
      <c r="C603" s="153" t="str">
        <f t="array" ref="C603">IF($A603="","",IFERROR(INDEX(Sales!$D:$D,MATCH($A603,Sales!$E:$E,0)),""))</f>
        <v/>
      </c>
      <c r="D603" s="153" t="str">
        <f t="array" ref="D603">IF($A603="","",IFERROR(INDEX(Sales!$C:$C,MATCH($A603,Sales!$E:$E,0)),""))</f>
        <v/>
      </c>
      <c r="E603" s="154" t="str">
        <f>IF($A603="","",SUMIFS(Sales!$H:$H,Sales!$E:$E,$A603,Sales!$B:$B,"&lt;&gt;Return"))</f>
        <v/>
      </c>
      <c r="F603" s="155" t="str">
        <f>IF($A603="","",SUMIF(Sales!$E:$E,$A603,Sales!$L:$L))</f>
        <v/>
      </c>
      <c r="G603" s="155" t="str">
        <f>IF($A603="","",SUMIF(Sales!$E:$E,$A603,Sales!$P:$P))</f>
        <v/>
      </c>
      <c r="H603" s="156" t="str">
        <f t="array" ref="H603">IF($A603="","",IFERROR(INDEX(Orders!$O$5:$O$1004,MATCH($A603,Orders!$N$5:$N$1004,0)),""))</f>
        <v/>
      </c>
      <c r="I603" s="156" t="str">
        <f t="array" ref="I603">IF($A603="","",IFERROR(INDEX(Orders!$P$5:$P$1004,MATCH($A603,Orders!$N$5:$N$1004,0)),""))</f>
        <v/>
      </c>
      <c r="J603" s="157" t="str">
        <f t="shared" si="1"/>
        <v/>
      </c>
      <c r="K603" s="153" t="str">
        <f t="array" ref="K603">IF($A603="","",IFERROR(INDEX(Sales!$M:$M,MATCH($A603,Sales!$E:$E,0)),""))</f>
        <v/>
      </c>
      <c r="L603" s="158" t="str">
        <f t="shared" si="2"/>
        <v/>
      </c>
      <c r="N603" s="49" t="str">
        <f t="array" ref="N603">IFERROR(INDEX(Sales!$E$7:$E$1506,MATCH(ROW()-4,Sales!$V$7:$V$1506,0)),"")</f>
        <v/>
      </c>
      <c r="O603" s="67"/>
      <c r="P603" s="67"/>
    </row>
    <row r="604" ht="15.75" customHeight="1">
      <c r="A604" s="151" t="str">
        <f t="array" ref="A604">IFERROR(INDEX(Sales!$E$7:$E$1506,MATCH(ROW()-4,Sales!$W$7:$W$1506,0)),"")</f>
        <v/>
      </c>
      <c r="B604" s="152" t="str">
        <f t="array" ref="B604">IF($A604="","",IFERROR(INDEX(Sales!$A:$A,MATCH($A604,Sales!$E:$E,0)),""))</f>
        <v/>
      </c>
      <c r="C604" s="153" t="str">
        <f t="array" ref="C604">IF($A604="","",IFERROR(INDEX(Sales!$D:$D,MATCH($A604,Sales!$E:$E,0)),""))</f>
        <v/>
      </c>
      <c r="D604" s="153" t="str">
        <f t="array" ref="D604">IF($A604="","",IFERROR(INDEX(Sales!$C:$C,MATCH($A604,Sales!$E:$E,0)),""))</f>
        <v/>
      </c>
      <c r="E604" s="154" t="str">
        <f>IF($A604="","",SUMIFS(Sales!$H:$H,Sales!$E:$E,$A604,Sales!$B:$B,"&lt;&gt;Return"))</f>
        <v/>
      </c>
      <c r="F604" s="155" t="str">
        <f>IF($A604="","",SUMIF(Sales!$E:$E,$A604,Sales!$L:$L))</f>
        <v/>
      </c>
      <c r="G604" s="155" t="str">
        <f>IF($A604="","",SUMIF(Sales!$E:$E,$A604,Sales!$P:$P))</f>
        <v/>
      </c>
      <c r="H604" s="156" t="str">
        <f t="array" ref="H604">IF($A604="","",IFERROR(INDEX(Orders!$O$5:$O$1004,MATCH($A604,Orders!$N$5:$N$1004,0)),""))</f>
        <v/>
      </c>
      <c r="I604" s="156" t="str">
        <f t="array" ref="I604">IF($A604="","",IFERROR(INDEX(Orders!$P$5:$P$1004,MATCH($A604,Orders!$N$5:$N$1004,0)),""))</f>
        <v/>
      </c>
      <c r="J604" s="157" t="str">
        <f t="shared" si="1"/>
        <v/>
      </c>
      <c r="K604" s="153" t="str">
        <f t="array" ref="K604">IF($A604="","",IFERROR(INDEX(Sales!$M:$M,MATCH($A604,Sales!$E:$E,0)),""))</f>
        <v/>
      </c>
      <c r="L604" s="158" t="str">
        <f t="shared" si="2"/>
        <v/>
      </c>
      <c r="N604" s="49" t="str">
        <f t="array" ref="N604">IFERROR(INDEX(Sales!$E$7:$E$1506,MATCH(ROW()-4,Sales!$V$7:$V$1506,0)),"")</f>
        <v/>
      </c>
      <c r="O604" s="67"/>
      <c r="P604" s="67"/>
    </row>
    <row r="605" ht="15.75" customHeight="1">
      <c r="A605" s="151" t="str">
        <f t="array" ref="A605">IFERROR(INDEX(Sales!$E$7:$E$1506,MATCH(ROW()-4,Sales!$W$7:$W$1506,0)),"")</f>
        <v/>
      </c>
      <c r="B605" s="152" t="str">
        <f t="array" ref="B605">IF($A605="","",IFERROR(INDEX(Sales!$A:$A,MATCH($A605,Sales!$E:$E,0)),""))</f>
        <v/>
      </c>
      <c r="C605" s="153" t="str">
        <f t="array" ref="C605">IF($A605="","",IFERROR(INDEX(Sales!$D:$D,MATCH($A605,Sales!$E:$E,0)),""))</f>
        <v/>
      </c>
      <c r="D605" s="153" t="str">
        <f t="array" ref="D605">IF($A605="","",IFERROR(INDEX(Sales!$C:$C,MATCH($A605,Sales!$E:$E,0)),""))</f>
        <v/>
      </c>
      <c r="E605" s="154" t="str">
        <f>IF($A605="","",SUMIFS(Sales!$H:$H,Sales!$E:$E,$A605,Sales!$B:$B,"&lt;&gt;Return"))</f>
        <v/>
      </c>
      <c r="F605" s="155" t="str">
        <f>IF($A605="","",SUMIF(Sales!$E:$E,$A605,Sales!$L:$L))</f>
        <v/>
      </c>
      <c r="G605" s="155" t="str">
        <f>IF($A605="","",SUMIF(Sales!$E:$E,$A605,Sales!$P:$P))</f>
        <v/>
      </c>
      <c r="H605" s="156" t="str">
        <f t="array" ref="H605">IF($A605="","",IFERROR(INDEX(Orders!$O$5:$O$1004,MATCH($A605,Orders!$N$5:$N$1004,0)),""))</f>
        <v/>
      </c>
      <c r="I605" s="156" t="str">
        <f t="array" ref="I605">IF($A605="","",IFERROR(INDEX(Orders!$P$5:$P$1004,MATCH($A605,Orders!$N$5:$N$1004,0)),""))</f>
        <v/>
      </c>
      <c r="J605" s="157" t="str">
        <f t="shared" si="1"/>
        <v/>
      </c>
      <c r="K605" s="153" t="str">
        <f t="array" ref="K605">IF($A605="","",IFERROR(INDEX(Sales!$M:$M,MATCH($A605,Sales!$E:$E,0)),""))</f>
        <v/>
      </c>
      <c r="L605" s="158" t="str">
        <f t="shared" si="2"/>
        <v/>
      </c>
      <c r="N605" s="49" t="str">
        <f t="array" ref="N605">IFERROR(INDEX(Sales!$E$7:$E$1506,MATCH(ROW()-4,Sales!$V$7:$V$1506,0)),"")</f>
        <v/>
      </c>
      <c r="O605" s="67"/>
      <c r="P605" s="67"/>
    </row>
    <row r="606" ht="15.75" customHeight="1">
      <c r="A606" s="151" t="str">
        <f t="array" ref="A606">IFERROR(INDEX(Sales!$E$7:$E$1506,MATCH(ROW()-4,Sales!$W$7:$W$1506,0)),"")</f>
        <v/>
      </c>
      <c r="B606" s="152" t="str">
        <f t="array" ref="B606">IF($A606="","",IFERROR(INDEX(Sales!$A:$A,MATCH($A606,Sales!$E:$E,0)),""))</f>
        <v/>
      </c>
      <c r="C606" s="153" t="str">
        <f t="array" ref="C606">IF($A606="","",IFERROR(INDEX(Sales!$D:$D,MATCH($A606,Sales!$E:$E,0)),""))</f>
        <v/>
      </c>
      <c r="D606" s="153" t="str">
        <f t="array" ref="D606">IF($A606="","",IFERROR(INDEX(Sales!$C:$C,MATCH($A606,Sales!$E:$E,0)),""))</f>
        <v/>
      </c>
      <c r="E606" s="154" t="str">
        <f>IF($A606="","",SUMIFS(Sales!$H:$H,Sales!$E:$E,$A606,Sales!$B:$B,"&lt;&gt;Return"))</f>
        <v/>
      </c>
      <c r="F606" s="155" t="str">
        <f>IF($A606="","",SUMIF(Sales!$E:$E,$A606,Sales!$L:$L))</f>
        <v/>
      </c>
      <c r="G606" s="155" t="str">
        <f>IF($A606="","",SUMIF(Sales!$E:$E,$A606,Sales!$P:$P))</f>
        <v/>
      </c>
      <c r="H606" s="156" t="str">
        <f t="array" ref="H606">IF($A606="","",IFERROR(INDEX(Orders!$O$5:$O$1004,MATCH($A606,Orders!$N$5:$N$1004,0)),""))</f>
        <v/>
      </c>
      <c r="I606" s="156" t="str">
        <f t="array" ref="I606">IF($A606="","",IFERROR(INDEX(Orders!$P$5:$P$1004,MATCH($A606,Orders!$N$5:$N$1004,0)),""))</f>
        <v/>
      </c>
      <c r="J606" s="157" t="str">
        <f t="shared" si="1"/>
        <v/>
      </c>
      <c r="K606" s="153" t="str">
        <f t="array" ref="K606">IF($A606="","",IFERROR(INDEX(Sales!$M:$M,MATCH($A606,Sales!$E:$E,0)),""))</f>
        <v/>
      </c>
      <c r="L606" s="158" t="str">
        <f t="shared" si="2"/>
        <v/>
      </c>
      <c r="N606" s="49" t="str">
        <f t="array" ref="N606">IFERROR(INDEX(Sales!$E$7:$E$1506,MATCH(ROW()-4,Sales!$V$7:$V$1506,0)),"")</f>
        <v/>
      </c>
      <c r="O606" s="67"/>
      <c r="P606" s="67"/>
    </row>
    <row r="607" ht="15.75" customHeight="1">
      <c r="A607" s="151" t="str">
        <f t="array" ref="A607">IFERROR(INDEX(Sales!$E$7:$E$1506,MATCH(ROW()-4,Sales!$W$7:$W$1506,0)),"")</f>
        <v/>
      </c>
      <c r="B607" s="152" t="str">
        <f t="array" ref="B607">IF($A607="","",IFERROR(INDEX(Sales!$A:$A,MATCH($A607,Sales!$E:$E,0)),""))</f>
        <v/>
      </c>
      <c r="C607" s="153" t="str">
        <f t="array" ref="C607">IF($A607="","",IFERROR(INDEX(Sales!$D:$D,MATCH($A607,Sales!$E:$E,0)),""))</f>
        <v/>
      </c>
      <c r="D607" s="153" t="str">
        <f t="array" ref="D607">IF($A607="","",IFERROR(INDEX(Sales!$C:$C,MATCH($A607,Sales!$E:$E,0)),""))</f>
        <v/>
      </c>
      <c r="E607" s="154" t="str">
        <f>IF($A607="","",SUMIFS(Sales!$H:$H,Sales!$E:$E,$A607,Sales!$B:$B,"&lt;&gt;Return"))</f>
        <v/>
      </c>
      <c r="F607" s="155" t="str">
        <f>IF($A607="","",SUMIF(Sales!$E:$E,$A607,Sales!$L:$L))</f>
        <v/>
      </c>
      <c r="G607" s="155" t="str">
        <f>IF($A607="","",SUMIF(Sales!$E:$E,$A607,Sales!$P:$P))</f>
        <v/>
      </c>
      <c r="H607" s="156" t="str">
        <f t="array" ref="H607">IF($A607="","",IFERROR(INDEX(Orders!$O$5:$O$1004,MATCH($A607,Orders!$N$5:$N$1004,0)),""))</f>
        <v/>
      </c>
      <c r="I607" s="156" t="str">
        <f t="array" ref="I607">IF($A607="","",IFERROR(INDEX(Orders!$P$5:$P$1004,MATCH($A607,Orders!$N$5:$N$1004,0)),""))</f>
        <v/>
      </c>
      <c r="J607" s="157" t="str">
        <f t="shared" si="1"/>
        <v/>
      </c>
      <c r="K607" s="153" t="str">
        <f t="array" ref="K607">IF($A607="","",IFERROR(INDEX(Sales!$M:$M,MATCH($A607,Sales!$E:$E,0)),""))</f>
        <v/>
      </c>
      <c r="L607" s="158" t="str">
        <f t="shared" si="2"/>
        <v/>
      </c>
      <c r="N607" s="49" t="str">
        <f t="array" ref="N607">IFERROR(INDEX(Sales!$E$7:$E$1506,MATCH(ROW()-4,Sales!$V$7:$V$1506,0)),"")</f>
        <v/>
      </c>
      <c r="O607" s="67"/>
      <c r="P607" s="67"/>
    </row>
    <row r="608" ht="15.75" customHeight="1">
      <c r="A608" s="151" t="str">
        <f t="array" ref="A608">IFERROR(INDEX(Sales!$E$7:$E$1506,MATCH(ROW()-4,Sales!$W$7:$W$1506,0)),"")</f>
        <v/>
      </c>
      <c r="B608" s="152" t="str">
        <f t="array" ref="B608">IF($A608="","",IFERROR(INDEX(Sales!$A:$A,MATCH($A608,Sales!$E:$E,0)),""))</f>
        <v/>
      </c>
      <c r="C608" s="153" t="str">
        <f t="array" ref="C608">IF($A608="","",IFERROR(INDEX(Sales!$D:$D,MATCH($A608,Sales!$E:$E,0)),""))</f>
        <v/>
      </c>
      <c r="D608" s="153" t="str">
        <f t="array" ref="D608">IF($A608="","",IFERROR(INDEX(Sales!$C:$C,MATCH($A608,Sales!$E:$E,0)),""))</f>
        <v/>
      </c>
      <c r="E608" s="154" t="str">
        <f>IF($A608="","",SUMIFS(Sales!$H:$H,Sales!$E:$E,$A608,Sales!$B:$B,"&lt;&gt;Return"))</f>
        <v/>
      </c>
      <c r="F608" s="155" t="str">
        <f>IF($A608="","",SUMIF(Sales!$E:$E,$A608,Sales!$L:$L))</f>
        <v/>
      </c>
      <c r="G608" s="155" t="str">
        <f>IF($A608="","",SUMIF(Sales!$E:$E,$A608,Sales!$P:$P))</f>
        <v/>
      </c>
      <c r="H608" s="156" t="str">
        <f t="array" ref="H608">IF($A608="","",IFERROR(INDEX(Orders!$O$5:$O$1004,MATCH($A608,Orders!$N$5:$N$1004,0)),""))</f>
        <v/>
      </c>
      <c r="I608" s="156" t="str">
        <f t="array" ref="I608">IF($A608="","",IFERROR(INDEX(Orders!$P$5:$P$1004,MATCH($A608,Orders!$N$5:$N$1004,0)),""))</f>
        <v/>
      </c>
      <c r="J608" s="157" t="str">
        <f t="shared" si="1"/>
        <v/>
      </c>
      <c r="K608" s="153" t="str">
        <f t="array" ref="K608">IF($A608="","",IFERROR(INDEX(Sales!$M:$M,MATCH($A608,Sales!$E:$E,0)),""))</f>
        <v/>
      </c>
      <c r="L608" s="158" t="str">
        <f t="shared" si="2"/>
        <v/>
      </c>
      <c r="N608" s="49" t="str">
        <f t="array" ref="N608">IFERROR(INDEX(Sales!$E$7:$E$1506,MATCH(ROW()-4,Sales!$V$7:$V$1506,0)),"")</f>
        <v/>
      </c>
      <c r="O608" s="67"/>
      <c r="P608" s="67"/>
    </row>
    <row r="609" ht="15.75" customHeight="1">
      <c r="A609" s="151" t="str">
        <f t="array" ref="A609">IFERROR(INDEX(Sales!$E$7:$E$1506,MATCH(ROW()-4,Sales!$W$7:$W$1506,0)),"")</f>
        <v/>
      </c>
      <c r="B609" s="152" t="str">
        <f t="array" ref="B609">IF($A609="","",IFERROR(INDEX(Sales!$A:$A,MATCH($A609,Sales!$E:$E,0)),""))</f>
        <v/>
      </c>
      <c r="C609" s="153" t="str">
        <f t="array" ref="C609">IF($A609="","",IFERROR(INDEX(Sales!$D:$D,MATCH($A609,Sales!$E:$E,0)),""))</f>
        <v/>
      </c>
      <c r="D609" s="153" t="str">
        <f t="array" ref="D609">IF($A609="","",IFERROR(INDEX(Sales!$C:$C,MATCH($A609,Sales!$E:$E,0)),""))</f>
        <v/>
      </c>
      <c r="E609" s="154" t="str">
        <f>IF($A609="","",SUMIFS(Sales!$H:$H,Sales!$E:$E,$A609,Sales!$B:$B,"&lt;&gt;Return"))</f>
        <v/>
      </c>
      <c r="F609" s="155" t="str">
        <f>IF($A609="","",SUMIF(Sales!$E:$E,$A609,Sales!$L:$L))</f>
        <v/>
      </c>
      <c r="G609" s="155" t="str">
        <f>IF($A609="","",SUMIF(Sales!$E:$E,$A609,Sales!$P:$P))</f>
        <v/>
      </c>
      <c r="H609" s="156" t="str">
        <f t="array" ref="H609">IF($A609="","",IFERROR(INDEX(Orders!$O$5:$O$1004,MATCH($A609,Orders!$N$5:$N$1004,0)),""))</f>
        <v/>
      </c>
      <c r="I609" s="156" t="str">
        <f t="array" ref="I609">IF($A609="","",IFERROR(INDEX(Orders!$P$5:$P$1004,MATCH($A609,Orders!$N$5:$N$1004,0)),""))</f>
        <v/>
      </c>
      <c r="J609" s="157" t="str">
        <f t="shared" si="1"/>
        <v/>
      </c>
      <c r="K609" s="153" t="str">
        <f t="array" ref="K609">IF($A609="","",IFERROR(INDEX(Sales!$M:$M,MATCH($A609,Sales!$E:$E,0)),""))</f>
        <v/>
      </c>
      <c r="L609" s="158" t="str">
        <f t="shared" si="2"/>
        <v/>
      </c>
      <c r="N609" s="49" t="str">
        <f t="array" ref="N609">IFERROR(INDEX(Sales!$E$7:$E$1506,MATCH(ROW()-4,Sales!$V$7:$V$1506,0)),"")</f>
        <v/>
      </c>
      <c r="O609" s="67"/>
      <c r="P609" s="67"/>
    </row>
    <row r="610" ht="15.75" customHeight="1">
      <c r="A610" s="151" t="str">
        <f t="array" ref="A610">IFERROR(INDEX(Sales!$E$7:$E$1506,MATCH(ROW()-4,Sales!$W$7:$W$1506,0)),"")</f>
        <v/>
      </c>
      <c r="B610" s="152" t="str">
        <f t="array" ref="B610">IF($A610="","",IFERROR(INDEX(Sales!$A:$A,MATCH($A610,Sales!$E:$E,0)),""))</f>
        <v/>
      </c>
      <c r="C610" s="153" t="str">
        <f t="array" ref="C610">IF($A610="","",IFERROR(INDEX(Sales!$D:$D,MATCH($A610,Sales!$E:$E,0)),""))</f>
        <v/>
      </c>
      <c r="D610" s="153" t="str">
        <f t="array" ref="D610">IF($A610="","",IFERROR(INDEX(Sales!$C:$C,MATCH($A610,Sales!$E:$E,0)),""))</f>
        <v/>
      </c>
      <c r="E610" s="154" t="str">
        <f>IF($A610="","",SUMIFS(Sales!$H:$H,Sales!$E:$E,$A610,Sales!$B:$B,"&lt;&gt;Return"))</f>
        <v/>
      </c>
      <c r="F610" s="155" t="str">
        <f>IF($A610="","",SUMIF(Sales!$E:$E,$A610,Sales!$L:$L))</f>
        <v/>
      </c>
      <c r="G610" s="155" t="str">
        <f>IF($A610="","",SUMIF(Sales!$E:$E,$A610,Sales!$P:$P))</f>
        <v/>
      </c>
      <c r="H610" s="156" t="str">
        <f t="array" ref="H610">IF($A610="","",IFERROR(INDEX(Orders!$O$5:$O$1004,MATCH($A610,Orders!$N$5:$N$1004,0)),""))</f>
        <v/>
      </c>
      <c r="I610" s="156" t="str">
        <f t="array" ref="I610">IF($A610="","",IFERROR(INDEX(Orders!$P$5:$P$1004,MATCH($A610,Orders!$N$5:$N$1004,0)),""))</f>
        <v/>
      </c>
      <c r="J610" s="157" t="str">
        <f t="shared" si="1"/>
        <v/>
      </c>
      <c r="K610" s="153" t="str">
        <f t="array" ref="K610">IF($A610="","",IFERROR(INDEX(Sales!$M:$M,MATCH($A610,Sales!$E:$E,0)),""))</f>
        <v/>
      </c>
      <c r="L610" s="158" t="str">
        <f t="shared" si="2"/>
        <v/>
      </c>
      <c r="N610" s="49" t="str">
        <f t="array" ref="N610">IFERROR(INDEX(Sales!$E$7:$E$1506,MATCH(ROW()-4,Sales!$V$7:$V$1506,0)),"")</f>
        <v/>
      </c>
      <c r="O610" s="67"/>
      <c r="P610" s="67"/>
    </row>
    <row r="611" ht="15.75" customHeight="1">
      <c r="A611" s="151" t="str">
        <f t="array" ref="A611">IFERROR(INDEX(Sales!$E$7:$E$1506,MATCH(ROW()-4,Sales!$W$7:$W$1506,0)),"")</f>
        <v/>
      </c>
      <c r="B611" s="152" t="str">
        <f t="array" ref="B611">IF($A611="","",IFERROR(INDEX(Sales!$A:$A,MATCH($A611,Sales!$E:$E,0)),""))</f>
        <v/>
      </c>
      <c r="C611" s="153" t="str">
        <f t="array" ref="C611">IF($A611="","",IFERROR(INDEX(Sales!$D:$D,MATCH($A611,Sales!$E:$E,0)),""))</f>
        <v/>
      </c>
      <c r="D611" s="153" t="str">
        <f t="array" ref="D611">IF($A611="","",IFERROR(INDEX(Sales!$C:$C,MATCH($A611,Sales!$E:$E,0)),""))</f>
        <v/>
      </c>
      <c r="E611" s="154" t="str">
        <f>IF($A611="","",SUMIFS(Sales!$H:$H,Sales!$E:$E,$A611,Sales!$B:$B,"&lt;&gt;Return"))</f>
        <v/>
      </c>
      <c r="F611" s="155" t="str">
        <f>IF($A611="","",SUMIF(Sales!$E:$E,$A611,Sales!$L:$L))</f>
        <v/>
      </c>
      <c r="G611" s="155" t="str">
        <f>IF($A611="","",SUMIF(Sales!$E:$E,$A611,Sales!$P:$P))</f>
        <v/>
      </c>
      <c r="H611" s="156" t="str">
        <f t="array" ref="H611">IF($A611="","",IFERROR(INDEX(Orders!$O$5:$O$1004,MATCH($A611,Orders!$N$5:$N$1004,0)),""))</f>
        <v/>
      </c>
      <c r="I611" s="156" t="str">
        <f t="array" ref="I611">IF($A611="","",IFERROR(INDEX(Orders!$P$5:$P$1004,MATCH($A611,Orders!$N$5:$N$1004,0)),""))</f>
        <v/>
      </c>
      <c r="J611" s="157" t="str">
        <f t="shared" si="1"/>
        <v/>
      </c>
      <c r="K611" s="153" t="str">
        <f t="array" ref="K611">IF($A611="","",IFERROR(INDEX(Sales!$M:$M,MATCH($A611,Sales!$E:$E,0)),""))</f>
        <v/>
      </c>
      <c r="L611" s="158" t="str">
        <f t="shared" si="2"/>
        <v/>
      </c>
      <c r="N611" s="49" t="str">
        <f t="array" ref="N611">IFERROR(INDEX(Sales!$E$7:$E$1506,MATCH(ROW()-4,Sales!$V$7:$V$1506,0)),"")</f>
        <v/>
      </c>
      <c r="O611" s="67"/>
      <c r="P611" s="67"/>
    </row>
    <row r="612" ht="15.75" customHeight="1">
      <c r="A612" s="151" t="str">
        <f t="array" ref="A612">IFERROR(INDEX(Sales!$E$7:$E$1506,MATCH(ROW()-4,Sales!$W$7:$W$1506,0)),"")</f>
        <v/>
      </c>
      <c r="B612" s="152" t="str">
        <f t="array" ref="B612">IF($A612="","",IFERROR(INDEX(Sales!$A:$A,MATCH($A612,Sales!$E:$E,0)),""))</f>
        <v/>
      </c>
      <c r="C612" s="153" t="str">
        <f t="array" ref="C612">IF($A612="","",IFERROR(INDEX(Sales!$D:$D,MATCH($A612,Sales!$E:$E,0)),""))</f>
        <v/>
      </c>
      <c r="D612" s="153" t="str">
        <f t="array" ref="D612">IF($A612="","",IFERROR(INDEX(Sales!$C:$C,MATCH($A612,Sales!$E:$E,0)),""))</f>
        <v/>
      </c>
      <c r="E612" s="154" t="str">
        <f>IF($A612="","",SUMIFS(Sales!$H:$H,Sales!$E:$E,$A612,Sales!$B:$B,"&lt;&gt;Return"))</f>
        <v/>
      </c>
      <c r="F612" s="155" t="str">
        <f>IF($A612="","",SUMIF(Sales!$E:$E,$A612,Sales!$L:$L))</f>
        <v/>
      </c>
      <c r="G612" s="155" t="str">
        <f>IF($A612="","",SUMIF(Sales!$E:$E,$A612,Sales!$P:$P))</f>
        <v/>
      </c>
      <c r="H612" s="156" t="str">
        <f t="array" ref="H612">IF($A612="","",IFERROR(INDEX(Orders!$O$5:$O$1004,MATCH($A612,Orders!$N$5:$N$1004,0)),""))</f>
        <v/>
      </c>
      <c r="I612" s="156" t="str">
        <f t="array" ref="I612">IF($A612="","",IFERROR(INDEX(Orders!$P$5:$P$1004,MATCH($A612,Orders!$N$5:$N$1004,0)),""))</f>
        <v/>
      </c>
      <c r="J612" s="157" t="str">
        <f t="shared" si="1"/>
        <v/>
      </c>
      <c r="K612" s="153" t="str">
        <f t="array" ref="K612">IF($A612="","",IFERROR(INDEX(Sales!$M:$M,MATCH($A612,Sales!$E:$E,0)),""))</f>
        <v/>
      </c>
      <c r="L612" s="158" t="str">
        <f t="shared" si="2"/>
        <v/>
      </c>
      <c r="N612" s="49" t="str">
        <f t="array" ref="N612">IFERROR(INDEX(Sales!$E$7:$E$1506,MATCH(ROW()-4,Sales!$V$7:$V$1506,0)),"")</f>
        <v/>
      </c>
      <c r="O612" s="67"/>
      <c r="P612" s="67"/>
    </row>
    <row r="613" ht="15.75" customHeight="1">
      <c r="A613" s="151" t="str">
        <f t="array" ref="A613">IFERROR(INDEX(Sales!$E$7:$E$1506,MATCH(ROW()-4,Sales!$W$7:$W$1506,0)),"")</f>
        <v/>
      </c>
      <c r="B613" s="152" t="str">
        <f t="array" ref="B613">IF($A613="","",IFERROR(INDEX(Sales!$A:$A,MATCH($A613,Sales!$E:$E,0)),""))</f>
        <v/>
      </c>
      <c r="C613" s="153" t="str">
        <f t="array" ref="C613">IF($A613="","",IFERROR(INDEX(Sales!$D:$D,MATCH($A613,Sales!$E:$E,0)),""))</f>
        <v/>
      </c>
      <c r="D613" s="153" t="str">
        <f t="array" ref="D613">IF($A613="","",IFERROR(INDEX(Sales!$C:$C,MATCH($A613,Sales!$E:$E,0)),""))</f>
        <v/>
      </c>
      <c r="E613" s="154" t="str">
        <f>IF($A613="","",SUMIFS(Sales!$H:$H,Sales!$E:$E,$A613,Sales!$B:$B,"&lt;&gt;Return"))</f>
        <v/>
      </c>
      <c r="F613" s="155" t="str">
        <f>IF($A613="","",SUMIF(Sales!$E:$E,$A613,Sales!$L:$L))</f>
        <v/>
      </c>
      <c r="G613" s="155" t="str">
        <f>IF($A613="","",SUMIF(Sales!$E:$E,$A613,Sales!$P:$P))</f>
        <v/>
      </c>
      <c r="H613" s="156" t="str">
        <f t="array" ref="H613">IF($A613="","",IFERROR(INDEX(Orders!$O$5:$O$1004,MATCH($A613,Orders!$N$5:$N$1004,0)),""))</f>
        <v/>
      </c>
      <c r="I613" s="156" t="str">
        <f t="array" ref="I613">IF($A613="","",IFERROR(INDEX(Orders!$P$5:$P$1004,MATCH($A613,Orders!$N$5:$N$1004,0)),""))</f>
        <v/>
      </c>
      <c r="J613" s="157" t="str">
        <f t="shared" si="1"/>
        <v/>
      </c>
      <c r="K613" s="153" t="str">
        <f t="array" ref="K613">IF($A613="","",IFERROR(INDEX(Sales!$M:$M,MATCH($A613,Sales!$E:$E,0)),""))</f>
        <v/>
      </c>
      <c r="L613" s="158" t="str">
        <f t="shared" si="2"/>
        <v/>
      </c>
      <c r="N613" s="49" t="str">
        <f t="array" ref="N613">IFERROR(INDEX(Sales!$E$7:$E$1506,MATCH(ROW()-4,Sales!$V$7:$V$1506,0)),"")</f>
        <v/>
      </c>
      <c r="O613" s="67"/>
      <c r="P613" s="67"/>
    </row>
    <row r="614" ht="15.75" customHeight="1">
      <c r="A614" s="151" t="str">
        <f t="array" ref="A614">IFERROR(INDEX(Sales!$E$7:$E$1506,MATCH(ROW()-4,Sales!$W$7:$W$1506,0)),"")</f>
        <v/>
      </c>
      <c r="B614" s="152" t="str">
        <f t="array" ref="B614">IF($A614="","",IFERROR(INDEX(Sales!$A:$A,MATCH($A614,Sales!$E:$E,0)),""))</f>
        <v/>
      </c>
      <c r="C614" s="153" t="str">
        <f t="array" ref="C614">IF($A614="","",IFERROR(INDEX(Sales!$D:$D,MATCH($A614,Sales!$E:$E,0)),""))</f>
        <v/>
      </c>
      <c r="D614" s="153" t="str">
        <f t="array" ref="D614">IF($A614="","",IFERROR(INDEX(Sales!$C:$C,MATCH($A614,Sales!$E:$E,0)),""))</f>
        <v/>
      </c>
      <c r="E614" s="154" t="str">
        <f>IF($A614="","",SUMIFS(Sales!$H:$H,Sales!$E:$E,$A614,Sales!$B:$B,"&lt;&gt;Return"))</f>
        <v/>
      </c>
      <c r="F614" s="155" t="str">
        <f>IF($A614="","",SUMIF(Sales!$E:$E,$A614,Sales!$L:$L))</f>
        <v/>
      </c>
      <c r="G614" s="155" t="str">
        <f>IF($A614="","",SUMIF(Sales!$E:$E,$A614,Sales!$P:$P))</f>
        <v/>
      </c>
      <c r="H614" s="156" t="str">
        <f t="array" ref="H614">IF($A614="","",IFERROR(INDEX(Orders!$O$5:$O$1004,MATCH($A614,Orders!$N$5:$N$1004,0)),""))</f>
        <v/>
      </c>
      <c r="I614" s="156" t="str">
        <f t="array" ref="I614">IF($A614="","",IFERROR(INDEX(Orders!$P$5:$P$1004,MATCH($A614,Orders!$N$5:$N$1004,0)),""))</f>
        <v/>
      </c>
      <c r="J614" s="157" t="str">
        <f t="shared" si="1"/>
        <v/>
      </c>
      <c r="K614" s="153" t="str">
        <f t="array" ref="K614">IF($A614="","",IFERROR(INDEX(Sales!$M:$M,MATCH($A614,Sales!$E:$E,0)),""))</f>
        <v/>
      </c>
      <c r="L614" s="158" t="str">
        <f t="shared" si="2"/>
        <v/>
      </c>
      <c r="N614" s="49" t="str">
        <f t="array" ref="N614">IFERROR(INDEX(Sales!$E$7:$E$1506,MATCH(ROW()-4,Sales!$V$7:$V$1506,0)),"")</f>
        <v/>
      </c>
      <c r="O614" s="67"/>
      <c r="P614" s="67"/>
    </row>
    <row r="615" ht="15.75" customHeight="1">
      <c r="A615" s="151" t="str">
        <f t="array" ref="A615">IFERROR(INDEX(Sales!$E$7:$E$1506,MATCH(ROW()-4,Sales!$W$7:$W$1506,0)),"")</f>
        <v/>
      </c>
      <c r="B615" s="152" t="str">
        <f t="array" ref="B615">IF($A615="","",IFERROR(INDEX(Sales!$A:$A,MATCH($A615,Sales!$E:$E,0)),""))</f>
        <v/>
      </c>
      <c r="C615" s="153" t="str">
        <f t="array" ref="C615">IF($A615="","",IFERROR(INDEX(Sales!$D:$D,MATCH($A615,Sales!$E:$E,0)),""))</f>
        <v/>
      </c>
      <c r="D615" s="153" t="str">
        <f t="array" ref="D615">IF($A615="","",IFERROR(INDEX(Sales!$C:$C,MATCH($A615,Sales!$E:$E,0)),""))</f>
        <v/>
      </c>
      <c r="E615" s="154" t="str">
        <f>IF($A615="","",SUMIFS(Sales!$H:$H,Sales!$E:$E,$A615,Sales!$B:$B,"&lt;&gt;Return"))</f>
        <v/>
      </c>
      <c r="F615" s="155" t="str">
        <f>IF($A615="","",SUMIF(Sales!$E:$E,$A615,Sales!$L:$L))</f>
        <v/>
      </c>
      <c r="G615" s="155" t="str">
        <f>IF($A615="","",SUMIF(Sales!$E:$E,$A615,Sales!$P:$P))</f>
        <v/>
      </c>
      <c r="H615" s="156" t="str">
        <f t="array" ref="H615">IF($A615="","",IFERROR(INDEX(Orders!$O$5:$O$1004,MATCH($A615,Orders!$N$5:$N$1004,0)),""))</f>
        <v/>
      </c>
      <c r="I615" s="156" t="str">
        <f t="array" ref="I615">IF($A615="","",IFERROR(INDEX(Orders!$P$5:$P$1004,MATCH($A615,Orders!$N$5:$N$1004,0)),""))</f>
        <v/>
      </c>
      <c r="J615" s="157" t="str">
        <f t="shared" si="1"/>
        <v/>
      </c>
      <c r="K615" s="153" t="str">
        <f t="array" ref="K615">IF($A615="","",IFERROR(INDEX(Sales!$M:$M,MATCH($A615,Sales!$E:$E,0)),""))</f>
        <v/>
      </c>
      <c r="L615" s="158" t="str">
        <f t="shared" si="2"/>
        <v/>
      </c>
      <c r="N615" s="49" t="str">
        <f t="array" ref="N615">IFERROR(INDEX(Sales!$E$7:$E$1506,MATCH(ROW()-4,Sales!$V$7:$V$1506,0)),"")</f>
        <v/>
      </c>
      <c r="O615" s="67"/>
      <c r="P615" s="67"/>
    </row>
    <row r="616" ht="15.75" customHeight="1">
      <c r="A616" s="151" t="str">
        <f t="array" ref="A616">IFERROR(INDEX(Sales!$E$7:$E$1506,MATCH(ROW()-4,Sales!$W$7:$W$1506,0)),"")</f>
        <v/>
      </c>
      <c r="B616" s="152" t="str">
        <f t="array" ref="B616">IF($A616="","",IFERROR(INDEX(Sales!$A:$A,MATCH($A616,Sales!$E:$E,0)),""))</f>
        <v/>
      </c>
      <c r="C616" s="153" t="str">
        <f t="array" ref="C616">IF($A616="","",IFERROR(INDEX(Sales!$D:$D,MATCH($A616,Sales!$E:$E,0)),""))</f>
        <v/>
      </c>
      <c r="D616" s="153" t="str">
        <f t="array" ref="D616">IF($A616="","",IFERROR(INDEX(Sales!$C:$C,MATCH($A616,Sales!$E:$E,0)),""))</f>
        <v/>
      </c>
      <c r="E616" s="154" t="str">
        <f>IF($A616="","",SUMIFS(Sales!$H:$H,Sales!$E:$E,$A616,Sales!$B:$B,"&lt;&gt;Return"))</f>
        <v/>
      </c>
      <c r="F616" s="155" t="str">
        <f>IF($A616="","",SUMIF(Sales!$E:$E,$A616,Sales!$L:$L))</f>
        <v/>
      </c>
      <c r="G616" s="155" t="str">
        <f>IF($A616="","",SUMIF(Sales!$E:$E,$A616,Sales!$P:$P))</f>
        <v/>
      </c>
      <c r="H616" s="156" t="str">
        <f t="array" ref="H616">IF($A616="","",IFERROR(INDEX(Orders!$O$5:$O$1004,MATCH($A616,Orders!$N$5:$N$1004,0)),""))</f>
        <v/>
      </c>
      <c r="I616" s="156" t="str">
        <f t="array" ref="I616">IF($A616="","",IFERROR(INDEX(Orders!$P$5:$P$1004,MATCH($A616,Orders!$N$5:$N$1004,0)),""))</f>
        <v/>
      </c>
      <c r="J616" s="157" t="str">
        <f t="shared" si="1"/>
        <v/>
      </c>
      <c r="K616" s="153" t="str">
        <f t="array" ref="K616">IF($A616="","",IFERROR(INDEX(Sales!$M:$M,MATCH($A616,Sales!$E:$E,0)),""))</f>
        <v/>
      </c>
      <c r="L616" s="158" t="str">
        <f t="shared" si="2"/>
        <v/>
      </c>
      <c r="N616" s="49" t="str">
        <f t="array" ref="N616">IFERROR(INDEX(Sales!$E$7:$E$1506,MATCH(ROW()-4,Sales!$V$7:$V$1506,0)),"")</f>
        <v/>
      </c>
      <c r="O616" s="67"/>
      <c r="P616" s="67"/>
    </row>
    <row r="617" ht="15.75" customHeight="1">
      <c r="A617" s="151" t="str">
        <f t="array" ref="A617">IFERROR(INDEX(Sales!$E$7:$E$1506,MATCH(ROW()-4,Sales!$W$7:$W$1506,0)),"")</f>
        <v/>
      </c>
      <c r="B617" s="152" t="str">
        <f t="array" ref="B617">IF($A617="","",IFERROR(INDEX(Sales!$A:$A,MATCH($A617,Sales!$E:$E,0)),""))</f>
        <v/>
      </c>
      <c r="C617" s="153" t="str">
        <f t="array" ref="C617">IF($A617="","",IFERROR(INDEX(Sales!$D:$D,MATCH($A617,Sales!$E:$E,0)),""))</f>
        <v/>
      </c>
      <c r="D617" s="153" t="str">
        <f t="array" ref="D617">IF($A617="","",IFERROR(INDEX(Sales!$C:$C,MATCH($A617,Sales!$E:$E,0)),""))</f>
        <v/>
      </c>
      <c r="E617" s="154" t="str">
        <f>IF($A617="","",SUMIFS(Sales!$H:$H,Sales!$E:$E,$A617,Sales!$B:$B,"&lt;&gt;Return"))</f>
        <v/>
      </c>
      <c r="F617" s="155" t="str">
        <f>IF($A617="","",SUMIF(Sales!$E:$E,$A617,Sales!$L:$L))</f>
        <v/>
      </c>
      <c r="G617" s="155" t="str">
        <f>IF($A617="","",SUMIF(Sales!$E:$E,$A617,Sales!$P:$P))</f>
        <v/>
      </c>
      <c r="H617" s="156" t="str">
        <f t="array" ref="H617">IF($A617="","",IFERROR(INDEX(Orders!$O$5:$O$1004,MATCH($A617,Orders!$N$5:$N$1004,0)),""))</f>
        <v/>
      </c>
      <c r="I617" s="156" t="str">
        <f t="array" ref="I617">IF($A617="","",IFERROR(INDEX(Orders!$P$5:$P$1004,MATCH($A617,Orders!$N$5:$N$1004,0)),""))</f>
        <v/>
      </c>
      <c r="J617" s="157" t="str">
        <f t="shared" si="1"/>
        <v/>
      </c>
      <c r="K617" s="153" t="str">
        <f t="array" ref="K617">IF($A617="","",IFERROR(INDEX(Sales!$M:$M,MATCH($A617,Sales!$E:$E,0)),""))</f>
        <v/>
      </c>
      <c r="L617" s="158" t="str">
        <f t="shared" si="2"/>
        <v/>
      </c>
      <c r="N617" s="49" t="str">
        <f t="array" ref="N617">IFERROR(INDEX(Sales!$E$7:$E$1506,MATCH(ROW()-4,Sales!$V$7:$V$1506,0)),"")</f>
        <v/>
      </c>
      <c r="O617" s="67"/>
      <c r="P617" s="67"/>
    </row>
    <row r="618" ht="15.75" customHeight="1">
      <c r="A618" s="151" t="str">
        <f t="array" ref="A618">IFERROR(INDEX(Sales!$E$7:$E$1506,MATCH(ROW()-4,Sales!$W$7:$W$1506,0)),"")</f>
        <v/>
      </c>
      <c r="B618" s="152" t="str">
        <f t="array" ref="B618">IF($A618="","",IFERROR(INDEX(Sales!$A:$A,MATCH($A618,Sales!$E:$E,0)),""))</f>
        <v/>
      </c>
      <c r="C618" s="153" t="str">
        <f t="array" ref="C618">IF($A618="","",IFERROR(INDEX(Sales!$D:$D,MATCH($A618,Sales!$E:$E,0)),""))</f>
        <v/>
      </c>
      <c r="D618" s="153" t="str">
        <f t="array" ref="D618">IF($A618="","",IFERROR(INDEX(Sales!$C:$C,MATCH($A618,Sales!$E:$E,0)),""))</f>
        <v/>
      </c>
      <c r="E618" s="154" t="str">
        <f>IF($A618="","",SUMIFS(Sales!$H:$H,Sales!$E:$E,$A618,Sales!$B:$B,"&lt;&gt;Return"))</f>
        <v/>
      </c>
      <c r="F618" s="155" t="str">
        <f>IF($A618="","",SUMIF(Sales!$E:$E,$A618,Sales!$L:$L))</f>
        <v/>
      </c>
      <c r="G618" s="155" t="str">
        <f>IF($A618="","",SUMIF(Sales!$E:$E,$A618,Sales!$P:$P))</f>
        <v/>
      </c>
      <c r="H618" s="156" t="str">
        <f t="array" ref="H618">IF($A618="","",IFERROR(INDEX(Orders!$O$5:$O$1004,MATCH($A618,Orders!$N$5:$N$1004,0)),""))</f>
        <v/>
      </c>
      <c r="I618" s="156" t="str">
        <f t="array" ref="I618">IF($A618="","",IFERROR(INDEX(Orders!$P$5:$P$1004,MATCH($A618,Orders!$N$5:$N$1004,0)),""))</f>
        <v/>
      </c>
      <c r="J618" s="157" t="str">
        <f t="shared" si="1"/>
        <v/>
      </c>
      <c r="K618" s="153" t="str">
        <f t="array" ref="K618">IF($A618="","",IFERROR(INDEX(Sales!$M:$M,MATCH($A618,Sales!$E:$E,0)),""))</f>
        <v/>
      </c>
      <c r="L618" s="158" t="str">
        <f t="shared" si="2"/>
        <v/>
      </c>
      <c r="N618" s="49" t="str">
        <f t="array" ref="N618">IFERROR(INDEX(Sales!$E$7:$E$1506,MATCH(ROW()-4,Sales!$V$7:$V$1506,0)),"")</f>
        <v/>
      </c>
      <c r="O618" s="67"/>
      <c r="P618" s="67"/>
    </row>
    <row r="619" ht="15.75" customHeight="1">
      <c r="A619" s="151" t="str">
        <f t="array" ref="A619">IFERROR(INDEX(Sales!$E$7:$E$1506,MATCH(ROW()-4,Sales!$W$7:$W$1506,0)),"")</f>
        <v/>
      </c>
      <c r="B619" s="152" t="str">
        <f t="array" ref="B619">IF($A619="","",IFERROR(INDEX(Sales!$A:$A,MATCH($A619,Sales!$E:$E,0)),""))</f>
        <v/>
      </c>
      <c r="C619" s="153" t="str">
        <f t="array" ref="C619">IF($A619="","",IFERROR(INDEX(Sales!$D:$D,MATCH($A619,Sales!$E:$E,0)),""))</f>
        <v/>
      </c>
      <c r="D619" s="153" t="str">
        <f t="array" ref="D619">IF($A619="","",IFERROR(INDEX(Sales!$C:$C,MATCH($A619,Sales!$E:$E,0)),""))</f>
        <v/>
      </c>
      <c r="E619" s="154" t="str">
        <f>IF($A619="","",SUMIFS(Sales!$H:$H,Sales!$E:$E,$A619,Sales!$B:$B,"&lt;&gt;Return"))</f>
        <v/>
      </c>
      <c r="F619" s="155" t="str">
        <f>IF($A619="","",SUMIF(Sales!$E:$E,$A619,Sales!$L:$L))</f>
        <v/>
      </c>
      <c r="G619" s="155" t="str">
        <f>IF($A619="","",SUMIF(Sales!$E:$E,$A619,Sales!$P:$P))</f>
        <v/>
      </c>
      <c r="H619" s="156" t="str">
        <f t="array" ref="H619">IF($A619="","",IFERROR(INDEX(Orders!$O$5:$O$1004,MATCH($A619,Orders!$N$5:$N$1004,0)),""))</f>
        <v/>
      </c>
      <c r="I619" s="156" t="str">
        <f t="array" ref="I619">IF($A619="","",IFERROR(INDEX(Orders!$P$5:$P$1004,MATCH($A619,Orders!$N$5:$N$1004,0)),""))</f>
        <v/>
      </c>
      <c r="J619" s="157" t="str">
        <f t="shared" si="1"/>
        <v/>
      </c>
      <c r="K619" s="153" t="str">
        <f t="array" ref="K619">IF($A619="","",IFERROR(INDEX(Sales!$M:$M,MATCH($A619,Sales!$E:$E,0)),""))</f>
        <v/>
      </c>
      <c r="L619" s="158" t="str">
        <f t="shared" si="2"/>
        <v/>
      </c>
      <c r="N619" s="49" t="str">
        <f t="array" ref="N619">IFERROR(INDEX(Sales!$E$7:$E$1506,MATCH(ROW()-4,Sales!$V$7:$V$1506,0)),"")</f>
        <v/>
      </c>
      <c r="O619" s="67"/>
      <c r="P619" s="67"/>
    </row>
    <row r="620" ht="15.75" customHeight="1">
      <c r="A620" s="151" t="str">
        <f t="array" ref="A620">IFERROR(INDEX(Sales!$E$7:$E$1506,MATCH(ROW()-4,Sales!$W$7:$W$1506,0)),"")</f>
        <v/>
      </c>
      <c r="B620" s="152" t="str">
        <f t="array" ref="B620">IF($A620="","",IFERROR(INDEX(Sales!$A:$A,MATCH($A620,Sales!$E:$E,0)),""))</f>
        <v/>
      </c>
      <c r="C620" s="153" t="str">
        <f t="array" ref="C620">IF($A620="","",IFERROR(INDEX(Sales!$D:$D,MATCH($A620,Sales!$E:$E,0)),""))</f>
        <v/>
      </c>
      <c r="D620" s="153" t="str">
        <f t="array" ref="D620">IF($A620="","",IFERROR(INDEX(Sales!$C:$C,MATCH($A620,Sales!$E:$E,0)),""))</f>
        <v/>
      </c>
      <c r="E620" s="154" t="str">
        <f>IF($A620="","",SUMIFS(Sales!$H:$H,Sales!$E:$E,$A620,Sales!$B:$B,"&lt;&gt;Return"))</f>
        <v/>
      </c>
      <c r="F620" s="155" t="str">
        <f>IF($A620="","",SUMIF(Sales!$E:$E,$A620,Sales!$L:$L))</f>
        <v/>
      </c>
      <c r="G620" s="155" t="str">
        <f>IF($A620="","",SUMIF(Sales!$E:$E,$A620,Sales!$P:$P))</f>
        <v/>
      </c>
      <c r="H620" s="156" t="str">
        <f t="array" ref="H620">IF($A620="","",IFERROR(INDEX(Orders!$O$5:$O$1004,MATCH($A620,Orders!$N$5:$N$1004,0)),""))</f>
        <v/>
      </c>
      <c r="I620" s="156" t="str">
        <f t="array" ref="I620">IF($A620="","",IFERROR(INDEX(Orders!$P$5:$P$1004,MATCH($A620,Orders!$N$5:$N$1004,0)),""))</f>
        <v/>
      </c>
      <c r="J620" s="157" t="str">
        <f t="shared" si="1"/>
        <v/>
      </c>
      <c r="K620" s="153" t="str">
        <f t="array" ref="K620">IF($A620="","",IFERROR(INDEX(Sales!$M:$M,MATCH($A620,Sales!$E:$E,0)),""))</f>
        <v/>
      </c>
      <c r="L620" s="158" t="str">
        <f t="shared" si="2"/>
        <v/>
      </c>
      <c r="N620" s="49" t="str">
        <f t="array" ref="N620">IFERROR(INDEX(Sales!$E$7:$E$1506,MATCH(ROW()-4,Sales!$V$7:$V$1506,0)),"")</f>
        <v/>
      </c>
      <c r="O620" s="67"/>
      <c r="P620" s="67"/>
    </row>
    <row r="621" ht="15.75" customHeight="1">
      <c r="A621" s="151" t="str">
        <f t="array" ref="A621">IFERROR(INDEX(Sales!$E$7:$E$1506,MATCH(ROW()-4,Sales!$W$7:$W$1506,0)),"")</f>
        <v/>
      </c>
      <c r="B621" s="152" t="str">
        <f t="array" ref="B621">IF($A621="","",IFERROR(INDEX(Sales!$A:$A,MATCH($A621,Sales!$E:$E,0)),""))</f>
        <v/>
      </c>
      <c r="C621" s="153" t="str">
        <f t="array" ref="C621">IF($A621="","",IFERROR(INDEX(Sales!$D:$D,MATCH($A621,Sales!$E:$E,0)),""))</f>
        <v/>
      </c>
      <c r="D621" s="153" t="str">
        <f t="array" ref="D621">IF($A621="","",IFERROR(INDEX(Sales!$C:$C,MATCH($A621,Sales!$E:$E,0)),""))</f>
        <v/>
      </c>
      <c r="E621" s="154" t="str">
        <f>IF($A621="","",SUMIFS(Sales!$H:$H,Sales!$E:$E,$A621,Sales!$B:$B,"&lt;&gt;Return"))</f>
        <v/>
      </c>
      <c r="F621" s="155" t="str">
        <f>IF($A621="","",SUMIF(Sales!$E:$E,$A621,Sales!$L:$L))</f>
        <v/>
      </c>
      <c r="G621" s="155" t="str">
        <f>IF($A621="","",SUMIF(Sales!$E:$E,$A621,Sales!$P:$P))</f>
        <v/>
      </c>
      <c r="H621" s="156" t="str">
        <f t="array" ref="H621">IF($A621="","",IFERROR(INDEX(Orders!$O$5:$O$1004,MATCH($A621,Orders!$N$5:$N$1004,0)),""))</f>
        <v/>
      </c>
      <c r="I621" s="156" t="str">
        <f t="array" ref="I621">IF($A621="","",IFERROR(INDEX(Orders!$P$5:$P$1004,MATCH($A621,Orders!$N$5:$N$1004,0)),""))</f>
        <v/>
      </c>
      <c r="J621" s="157" t="str">
        <f t="shared" si="1"/>
        <v/>
      </c>
      <c r="K621" s="153" t="str">
        <f t="array" ref="K621">IF($A621="","",IFERROR(INDEX(Sales!$M:$M,MATCH($A621,Sales!$E:$E,0)),""))</f>
        <v/>
      </c>
      <c r="L621" s="158" t="str">
        <f t="shared" si="2"/>
        <v/>
      </c>
      <c r="N621" s="49" t="str">
        <f t="array" ref="N621">IFERROR(INDEX(Sales!$E$7:$E$1506,MATCH(ROW()-4,Sales!$V$7:$V$1506,0)),"")</f>
        <v/>
      </c>
      <c r="O621" s="67"/>
      <c r="P621" s="67"/>
    </row>
    <row r="622" ht="15.75" customHeight="1">
      <c r="A622" s="151" t="str">
        <f t="array" ref="A622">IFERROR(INDEX(Sales!$E$7:$E$1506,MATCH(ROW()-4,Sales!$W$7:$W$1506,0)),"")</f>
        <v/>
      </c>
      <c r="B622" s="152" t="str">
        <f t="array" ref="B622">IF($A622="","",IFERROR(INDEX(Sales!$A:$A,MATCH($A622,Sales!$E:$E,0)),""))</f>
        <v/>
      </c>
      <c r="C622" s="153" t="str">
        <f t="array" ref="C622">IF($A622="","",IFERROR(INDEX(Sales!$D:$D,MATCH($A622,Sales!$E:$E,0)),""))</f>
        <v/>
      </c>
      <c r="D622" s="153" t="str">
        <f t="array" ref="D622">IF($A622="","",IFERROR(INDEX(Sales!$C:$C,MATCH($A622,Sales!$E:$E,0)),""))</f>
        <v/>
      </c>
      <c r="E622" s="154" t="str">
        <f>IF($A622="","",SUMIFS(Sales!$H:$H,Sales!$E:$E,$A622,Sales!$B:$B,"&lt;&gt;Return"))</f>
        <v/>
      </c>
      <c r="F622" s="155" t="str">
        <f>IF($A622="","",SUMIF(Sales!$E:$E,$A622,Sales!$L:$L))</f>
        <v/>
      </c>
      <c r="G622" s="155" t="str">
        <f>IF($A622="","",SUMIF(Sales!$E:$E,$A622,Sales!$P:$P))</f>
        <v/>
      </c>
      <c r="H622" s="156" t="str">
        <f t="array" ref="H622">IF($A622="","",IFERROR(INDEX(Orders!$O$5:$O$1004,MATCH($A622,Orders!$N$5:$N$1004,0)),""))</f>
        <v/>
      </c>
      <c r="I622" s="156" t="str">
        <f t="array" ref="I622">IF($A622="","",IFERROR(INDEX(Orders!$P$5:$P$1004,MATCH($A622,Orders!$N$5:$N$1004,0)),""))</f>
        <v/>
      </c>
      <c r="J622" s="157" t="str">
        <f t="shared" si="1"/>
        <v/>
      </c>
      <c r="K622" s="153" t="str">
        <f t="array" ref="K622">IF($A622="","",IFERROR(INDEX(Sales!$M:$M,MATCH($A622,Sales!$E:$E,0)),""))</f>
        <v/>
      </c>
      <c r="L622" s="158" t="str">
        <f t="shared" si="2"/>
        <v/>
      </c>
      <c r="N622" s="49" t="str">
        <f t="array" ref="N622">IFERROR(INDEX(Sales!$E$7:$E$1506,MATCH(ROW()-4,Sales!$V$7:$V$1506,0)),"")</f>
        <v/>
      </c>
      <c r="O622" s="67"/>
      <c r="P622" s="67"/>
    </row>
    <row r="623" ht="15.75" customHeight="1">
      <c r="A623" s="151" t="str">
        <f t="array" ref="A623">IFERROR(INDEX(Sales!$E$7:$E$1506,MATCH(ROW()-4,Sales!$W$7:$W$1506,0)),"")</f>
        <v/>
      </c>
      <c r="B623" s="152" t="str">
        <f t="array" ref="B623">IF($A623="","",IFERROR(INDEX(Sales!$A:$A,MATCH($A623,Sales!$E:$E,0)),""))</f>
        <v/>
      </c>
      <c r="C623" s="153" t="str">
        <f t="array" ref="C623">IF($A623="","",IFERROR(INDEX(Sales!$D:$D,MATCH($A623,Sales!$E:$E,0)),""))</f>
        <v/>
      </c>
      <c r="D623" s="153" t="str">
        <f t="array" ref="D623">IF($A623="","",IFERROR(INDEX(Sales!$C:$C,MATCH($A623,Sales!$E:$E,0)),""))</f>
        <v/>
      </c>
      <c r="E623" s="154" t="str">
        <f>IF($A623="","",SUMIFS(Sales!$H:$H,Sales!$E:$E,$A623,Sales!$B:$B,"&lt;&gt;Return"))</f>
        <v/>
      </c>
      <c r="F623" s="155" t="str">
        <f>IF($A623="","",SUMIF(Sales!$E:$E,$A623,Sales!$L:$L))</f>
        <v/>
      </c>
      <c r="G623" s="155" t="str">
        <f>IF($A623="","",SUMIF(Sales!$E:$E,$A623,Sales!$P:$P))</f>
        <v/>
      </c>
      <c r="H623" s="156" t="str">
        <f t="array" ref="H623">IF($A623="","",IFERROR(INDEX(Orders!$O$5:$O$1004,MATCH($A623,Orders!$N$5:$N$1004,0)),""))</f>
        <v/>
      </c>
      <c r="I623" s="156" t="str">
        <f t="array" ref="I623">IF($A623="","",IFERROR(INDEX(Orders!$P$5:$P$1004,MATCH($A623,Orders!$N$5:$N$1004,0)),""))</f>
        <v/>
      </c>
      <c r="J623" s="157" t="str">
        <f t="shared" si="1"/>
        <v/>
      </c>
      <c r="K623" s="153" t="str">
        <f t="array" ref="K623">IF($A623="","",IFERROR(INDEX(Sales!$M:$M,MATCH($A623,Sales!$E:$E,0)),""))</f>
        <v/>
      </c>
      <c r="L623" s="158" t="str">
        <f t="shared" si="2"/>
        <v/>
      </c>
      <c r="N623" s="49" t="str">
        <f t="array" ref="N623">IFERROR(INDEX(Sales!$E$7:$E$1506,MATCH(ROW()-4,Sales!$V$7:$V$1506,0)),"")</f>
        <v/>
      </c>
      <c r="O623" s="67"/>
      <c r="P623" s="67"/>
    </row>
    <row r="624" ht="15.75" customHeight="1">
      <c r="A624" s="151" t="str">
        <f t="array" ref="A624">IFERROR(INDEX(Sales!$E$7:$E$1506,MATCH(ROW()-4,Sales!$W$7:$W$1506,0)),"")</f>
        <v/>
      </c>
      <c r="B624" s="152" t="str">
        <f t="array" ref="B624">IF($A624="","",IFERROR(INDEX(Sales!$A:$A,MATCH($A624,Sales!$E:$E,0)),""))</f>
        <v/>
      </c>
      <c r="C624" s="153" t="str">
        <f t="array" ref="C624">IF($A624="","",IFERROR(INDEX(Sales!$D:$D,MATCH($A624,Sales!$E:$E,0)),""))</f>
        <v/>
      </c>
      <c r="D624" s="153" t="str">
        <f t="array" ref="D624">IF($A624="","",IFERROR(INDEX(Sales!$C:$C,MATCH($A624,Sales!$E:$E,0)),""))</f>
        <v/>
      </c>
      <c r="E624" s="154" t="str">
        <f>IF($A624="","",SUMIFS(Sales!$H:$H,Sales!$E:$E,$A624,Sales!$B:$B,"&lt;&gt;Return"))</f>
        <v/>
      </c>
      <c r="F624" s="155" t="str">
        <f>IF($A624="","",SUMIF(Sales!$E:$E,$A624,Sales!$L:$L))</f>
        <v/>
      </c>
      <c r="G624" s="155" t="str">
        <f>IF($A624="","",SUMIF(Sales!$E:$E,$A624,Sales!$P:$P))</f>
        <v/>
      </c>
      <c r="H624" s="156" t="str">
        <f t="array" ref="H624">IF($A624="","",IFERROR(INDEX(Orders!$O$5:$O$1004,MATCH($A624,Orders!$N$5:$N$1004,0)),""))</f>
        <v/>
      </c>
      <c r="I624" s="156" t="str">
        <f t="array" ref="I624">IF($A624="","",IFERROR(INDEX(Orders!$P$5:$P$1004,MATCH($A624,Orders!$N$5:$N$1004,0)),""))</f>
        <v/>
      </c>
      <c r="J624" s="157" t="str">
        <f t="shared" si="1"/>
        <v/>
      </c>
      <c r="K624" s="153" t="str">
        <f t="array" ref="K624">IF($A624="","",IFERROR(INDEX(Sales!$M:$M,MATCH($A624,Sales!$E:$E,0)),""))</f>
        <v/>
      </c>
      <c r="L624" s="158" t="str">
        <f t="shared" si="2"/>
        <v/>
      </c>
      <c r="N624" s="49" t="str">
        <f t="array" ref="N624">IFERROR(INDEX(Sales!$E$7:$E$1506,MATCH(ROW()-4,Sales!$V$7:$V$1506,0)),"")</f>
        <v/>
      </c>
      <c r="O624" s="67"/>
      <c r="P624" s="67"/>
    </row>
    <row r="625" ht="15.75" customHeight="1">
      <c r="A625" s="151" t="str">
        <f t="array" ref="A625">IFERROR(INDEX(Sales!$E$7:$E$1506,MATCH(ROW()-4,Sales!$W$7:$W$1506,0)),"")</f>
        <v/>
      </c>
      <c r="B625" s="152" t="str">
        <f t="array" ref="B625">IF($A625="","",IFERROR(INDEX(Sales!$A:$A,MATCH($A625,Sales!$E:$E,0)),""))</f>
        <v/>
      </c>
      <c r="C625" s="153" t="str">
        <f t="array" ref="C625">IF($A625="","",IFERROR(INDEX(Sales!$D:$D,MATCH($A625,Sales!$E:$E,0)),""))</f>
        <v/>
      </c>
      <c r="D625" s="153" t="str">
        <f t="array" ref="D625">IF($A625="","",IFERROR(INDEX(Sales!$C:$C,MATCH($A625,Sales!$E:$E,0)),""))</f>
        <v/>
      </c>
      <c r="E625" s="154" t="str">
        <f>IF($A625="","",SUMIFS(Sales!$H:$H,Sales!$E:$E,$A625,Sales!$B:$B,"&lt;&gt;Return"))</f>
        <v/>
      </c>
      <c r="F625" s="155" t="str">
        <f>IF($A625="","",SUMIF(Sales!$E:$E,$A625,Sales!$L:$L))</f>
        <v/>
      </c>
      <c r="G625" s="155" t="str">
        <f>IF($A625="","",SUMIF(Sales!$E:$E,$A625,Sales!$P:$P))</f>
        <v/>
      </c>
      <c r="H625" s="156" t="str">
        <f t="array" ref="H625">IF($A625="","",IFERROR(INDEX(Orders!$O$5:$O$1004,MATCH($A625,Orders!$N$5:$N$1004,0)),""))</f>
        <v/>
      </c>
      <c r="I625" s="156" t="str">
        <f t="array" ref="I625">IF($A625="","",IFERROR(INDEX(Orders!$P$5:$P$1004,MATCH($A625,Orders!$N$5:$N$1004,0)),""))</f>
        <v/>
      </c>
      <c r="J625" s="157" t="str">
        <f t="shared" si="1"/>
        <v/>
      </c>
      <c r="K625" s="153" t="str">
        <f t="array" ref="K625">IF($A625="","",IFERROR(INDEX(Sales!$M:$M,MATCH($A625,Sales!$E:$E,0)),""))</f>
        <v/>
      </c>
      <c r="L625" s="158" t="str">
        <f t="shared" si="2"/>
        <v/>
      </c>
      <c r="N625" s="49" t="str">
        <f t="array" ref="N625">IFERROR(INDEX(Sales!$E$7:$E$1506,MATCH(ROW()-4,Sales!$V$7:$V$1506,0)),"")</f>
        <v/>
      </c>
      <c r="O625" s="67"/>
      <c r="P625" s="67"/>
    </row>
    <row r="626" ht="15.75" customHeight="1">
      <c r="A626" s="151" t="str">
        <f t="array" ref="A626">IFERROR(INDEX(Sales!$E$7:$E$1506,MATCH(ROW()-4,Sales!$W$7:$W$1506,0)),"")</f>
        <v/>
      </c>
      <c r="B626" s="152" t="str">
        <f t="array" ref="B626">IF($A626="","",IFERROR(INDEX(Sales!$A:$A,MATCH($A626,Sales!$E:$E,0)),""))</f>
        <v/>
      </c>
      <c r="C626" s="153" t="str">
        <f t="array" ref="C626">IF($A626="","",IFERROR(INDEX(Sales!$D:$D,MATCH($A626,Sales!$E:$E,0)),""))</f>
        <v/>
      </c>
      <c r="D626" s="153" t="str">
        <f t="array" ref="D626">IF($A626="","",IFERROR(INDEX(Sales!$C:$C,MATCH($A626,Sales!$E:$E,0)),""))</f>
        <v/>
      </c>
      <c r="E626" s="154" t="str">
        <f>IF($A626="","",SUMIFS(Sales!$H:$H,Sales!$E:$E,$A626,Sales!$B:$B,"&lt;&gt;Return"))</f>
        <v/>
      </c>
      <c r="F626" s="155" t="str">
        <f>IF($A626="","",SUMIF(Sales!$E:$E,$A626,Sales!$L:$L))</f>
        <v/>
      </c>
      <c r="G626" s="155" t="str">
        <f>IF($A626="","",SUMIF(Sales!$E:$E,$A626,Sales!$P:$P))</f>
        <v/>
      </c>
      <c r="H626" s="156" t="str">
        <f t="array" ref="H626">IF($A626="","",IFERROR(INDEX(Orders!$O$5:$O$1004,MATCH($A626,Orders!$N$5:$N$1004,0)),""))</f>
        <v/>
      </c>
      <c r="I626" s="156" t="str">
        <f t="array" ref="I626">IF($A626="","",IFERROR(INDEX(Orders!$P$5:$P$1004,MATCH($A626,Orders!$N$5:$N$1004,0)),""))</f>
        <v/>
      </c>
      <c r="J626" s="157" t="str">
        <f t="shared" si="1"/>
        <v/>
      </c>
      <c r="K626" s="153" t="str">
        <f t="array" ref="K626">IF($A626="","",IFERROR(INDEX(Sales!$M:$M,MATCH($A626,Sales!$E:$E,0)),""))</f>
        <v/>
      </c>
      <c r="L626" s="158" t="str">
        <f t="shared" si="2"/>
        <v/>
      </c>
      <c r="N626" s="49" t="str">
        <f t="array" ref="N626">IFERROR(INDEX(Sales!$E$7:$E$1506,MATCH(ROW()-4,Sales!$V$7:$V$1506,0)),"")</f>
        <v/>
      </c>
      <c r="O626" s="67"/>
      <c r="P626" s="67"/>
    </row>
    <row r="627" ht="15.75" customHeight="1">
      <c r="A627" s="151" t="str">
        <f t="array" ref="A627">IFERROR(INDEX(Sales!$E$7:$E$1506,MATCH(ROW()-4,Sales!$W$7:$W$1506,0)),"")</f>
        <v/>
      </c>
      <c r="B627" s="152" t="str">
        <f t="array" ref="B627">IF($A627="","",IFERROR(INDEX(Sales!$A:$A,MATCH($A627,Sales!$E:$E,0)),""))</f>
        <v/>
      </c>
      <c r="C627" s="153" t="str">
        <f t="array" ref="C627">IF($A627="","",IFERROR(INDEX(Sales!$D:$D,MATCH($A627,Sales!$E:$E,0)),""))</f>
        <v/>
      </c>
      <c r="D627" s="153" t="str">
        <f t="array" ref="D627">IF($A627="","",IFERROR(INDEX(Sales!$C:$C,MATCH($A627,Sales!$E:$E,0)),""))</f>
        <v/>
      </c>
      <c r="E627" s="154" t="str">
        <f>IF($A627="","",SUMIFS(Sales!$H:$H,Sales!$E:$E,$A627,Sales!$B:$B,"&lt;&gt;Return"))</f>
        <v/>
      </c>
      <c r="F627" s="155" t="str">
        <f>IF($A627="","",SUMIF(Sales!$E:$E,$A627,Sales!$L:$L))</f>
        <v/>
      </c>
      <c r="G627" s="155" t="str">
        <f>IF($A627="","",SUMIF(Sales!$E:$E,$A627,Sales!$P:$P))</f>
        <v/>
      </c>
      <c r="H627" s="156" t="str">
        <f t="array" ref="H627">IF($A627="","",IFERROR(INDEX(Orders!$O$5:$O$1004,MATCH($A627,Orders!$N$5:$N$1004,0)),""))</f>
        <v/>
      </c>
      <c r="I627" s="156" t="str">
        <f t="array" ref="I627">IF($A627="","",IFERROR(INDEX(Orders!$P$5:$P$1004,MATCH($A627,Orders!$N$5:$N$1004,0)),""))</f>
        <v/>
      </c>
      <c r="J627" s="157" t="str">
        <f t="shared" si="1"/>
        <v/>
      </c>
      <c r="K627" s="153" t="str">
        <f t="array" ref="K627">IF($A627="","",IFERROR(INDEX(Sales!$M:$M,MATCH($A627,Sales!$E:$E,0)),""))</f>
        <v/>
      </c>
      <c r="L627" s="158" t="str">
        <f t="shared" si="2"/>
        <v/>
      </c>
      <c r="N627" s="49" t="str">
        <f t="array" ref="N627">IFERROR(INDEX(Sales!$E$7:$E$1506,MATCH(ROW()-4,Sales!$V$7:$V$1506,0)),"")</f>
        <v/>
      </c>
      <c r="O627" s="67"/>
      <c r="P627" s="67"/>
    </row>
    <row r="628" ht="15.75" customHeight="1">
      <c r="A628" s="151" t="str">
        <f t="array" ref="A628">IFERROR(INDEX(Sales!$E$7:$E$1506,MATCH(ROW()-4,Sales!$W$7:$W$1506,0)),"")</f>
        <v/>
      </c>
      <c r="B628" s="152" t="str">
        <f t="array" ref="B628">IF($A628="","",IFERROR(INDEX(Sales!$A:$A,MATCH($A628,Sales!$E:$E,0)),""))</f>
        <v/>
      </c>
      <c r="C628" s="153" t="str">
        <f t="array" ref="C628">IF($A628="","",IFERROR(INDEX(Sales!$D:$D,MATCH($A628,Sales!$E:$E,0)),""))</f>
        <v/>
      </c>
      <c r="D628" s="153" t="str">
        <f t="array" ref="D628">IF($A628="","",IFERROR(INDEX(Sales!$C:$C,MATCH($A628,Sales!$E:$E,0)),""))</f>
        <v/>
      </c>
      <c r="E628" s="154" t="str">
        <f>IF($A628="","",SUMIFS(Sales!$H:$H,Sales!$E:$E,$A628,Sales!$B:$B,"&lt;&gt;Return"))</f>
        <v/>
      </c>
      <c r="F628" s="155" t="str">
        <f>IF($A628="","",SUMIF(Sales!$E:$E,$A628,Sales!$L:$L))</f>
        <v/>
      </c>
      <c r="G628" s="155" t="str">
        <f>IF($A628="","",SUMIF(Sales!$E:$E,$A628,Sales!$P:$P))</f>
        <v/>
      </c>
      <c r="H628" s="156" t="str">
        <f t="array" ref="H628">IF($A628="","",IFERROR(INDEX(Orders!$O$5:$O$1004,MATCH($A628,Orders!$N$5:$N$1004,0)),""))</f>
        <v/>
      </c>
      <c r="I628" s="156" t="str">
        <f t="array" ref="I628">IF($A628="","",IFERROR(INDEX(Orders!$P$5:$P$1004,MATCH($A628,Orders!$N$5:$N$1004,0)),""))</f>
        <v/>
      </c>
      <c r="J628" s="157" t="str">
        <f t="shared" si="1"/>
        <v/>
      </c>
      <c r="K628" s="153" t="str">
        <f t="array" ref="K628">IF($A628="","",IFERROR(INDEX(Sales!$M:$M,MATCH($A628,Sales!$E:$E,0)),""))</f>
        <v/>
      </c>
      <c r="L628" s="158" t="str">
        <f t="shared" si="2"/>
        <v/>
      </c>
      <c r="N628" s="49" t="str">
        <f t="array" ref="N628">IFERROR(INDEX(Sales!$E$7:$E$1506,MATCH(ROW()-4,Sales!$V$7:$V$1506,0)),"")</f>
        <v/>
      </c>
      <c r="O628" s="67"/>
      <c r="P628" s="67"/>
    </row>
    <row r="629" ht="15.75" customHeight="1">
      <c r="A629" s="151" t="str">
        <f t="array" ref="A629">IFERROR(INDEX(Sales!$E$7:$E$1506,MATCH(ROW()-4,Sales!$W$7:$W$1506,0)),"")</f>
        <v/>
      </c>
      <c r="B629" s="152" t="str">
        <f t="array" ref="B629">IF($A629="","",IFERROR(INDEX(Sales!$A:$A,MATCH($A629,Sales!$E:$E,0)),""))</f>
        <v/>
      </c>
      <c r="C629" s="153" t="str">
        <f t="array" ref="C629">IF($A629="","",IFERROR(INDEX(Sales!$D:$D,MATCH($A629,Sales!$E:$E,0)),""))</f>
        <v/>
      </c>
      <c r="D629" s="153" t="str">
        <f t="array" ref="D629">IF($A629="","",IFERROR(INDEX(Sales!$C:$C,MATCH($A629,Sales!$E:$E,0)),""))</f>
        <v/>
      </c>
      <c r="E629" s="154" t="str">
        <f>IF($A629="","",SUMIFS(Sales!$H:$H,Sales!$E:$E,$A629,Sales!$B:$B,"&lt;&gt;Return"))</f>
        <v/>
      </c>
      <c r="F629" s="155" t="str">
        <f>IF($A629="","",SUMIF(Sales!$E:$E,$A629,Sales!$L:$L))</f>
        <v/>
      </c>
      <c r="G629" s="155" t="str">
        <f>IF($A629="","",SUMIF(Sales!$E:$E,$A629,Sales!$P:$P))</f>
        <v/>
      </c>
      <c r="H629" s="156" t="str">
        <f t="array" ref="H629">IF($A629="","",IFERROR(INDEX(Orders!$O$5:$O$1004,MATCH($A629,Orders!$N$5:$N$1004,0)),""))</f>
        <v/>
      </c>
      <c r="I629" s="156" t="str">
        <f t="array" ref="I629">IF($A629="","",IFERROR(INDEX(Orders!$P$5:$P$1004,MATCH($A629,Orders!$N$5:$N$1004,0)),""))</f>
        <v/>
      </c>
      <c r="J629" s="157" t="str">
        <f t="shared" si="1"/>
        <v/>
      </c>
      <c r="K629" s="153" t="str">
        <f t="array" ref="K629">IF($A629="","",IFERROR(INDEX(Sales!$M:$M,MATCH($A629,Sales!$E:$E,0)),""))</f>
        <v/>
      </c>
      <c r="L629" s="158" t="str">
        <f t="shared" si="2"/>
        <v/>
      </c>
      <c r="N629" s="49" t="str">
        <f t="array" ref="N629">IFERROR(INDEX(Sales!$E$7:$E$1506,MATCH(ROW()-4,Sales!$V$7:$V$1506,0)),"")</f>
        <v/>
      </c>
      <c r="O629" s="67"/>
      <c r="P629" s="67"/>
    </row>
    <row r="630" ht="15.75" customHeight="1">
      <c r="A630" s="151" t="str">
        <f t="array" ref="A630">IFERROR(INDEX(Sales!$E$7:$E$1506,MATCH(ROW()-4,Sales!$W$7:$W$1506,0)),"")</f>
        <v/>
      </c>
      <c r="B630" s="152" t="str">
        <f t="array" ref="B630">IF($A630="","",IFERROR(INDEX(Sales!$A:$A,MATCH($A630,Sales!$E:$E,0)),""))</f>
        <v/>
      </c>
      <c r="C630" s="153" t="str">
        <f t="array" ref="C630">IF($A630="","",IFERROR(INDEX(Sales!$D:$D,MATCH($A630,Sales!$E:$E,0)),""))</f>
        <v/>
      </c>
      <c r="D630" s="153" t="str">
        <f t="array" ref="D630">IF($A630="","",IFERROR(INDEX(Sales!$C:$C,MATCH($A630,Sales!$E:$E,0)),""))</f>
        <v/>
      </c>
      <c r="E630" s="154" t="str">
        <f>IF($A630="","",SUMIFS(Sales!$H:$H,Sales!$E:$E,$A630,Sales!$B:$B,"&lt;&gt;Return"))</f>
        <v/>
      </c>
      <c r="F630" s="155" t="str">
        <f>IF($A630="","",SUMIF(Sales!$E:$E,$A630,Sales!$L:$L))</f>
        <v/>
      </c>
      <c r="G630" s="155" t="str">
        <f>IF($A630="","",SUMIF(Sales!$E:$E,$A630,Sales!$P:$P))</f>
        <v/>
      </c>
      <c r="H630" s="156" t="str">
        <f t="array" ref="H630">IF($A630="","",IFERROR(INDEX(Orders!$O$5:$O$1004,MATCH($A630,Orders!$N$5:$N$1004,0)),""))</f>
        <v/>
      </c>
      <c r="I630" s="156" t="str">
        <f t="array" ref="I630">IF($A630="","",IFERROR(INDEX(Orders!$P$5:$P$1004,MATCH($A630,Orders!$N$5:$N$1004,0)),""))</f>
        <v/>
      </c>
      <c r="J630" s="157" t="str">
        <f t="shared" si="1"/>
        <v/>
      </c>
      <c r="K630" s="153" t="str">
        <f t="array" ref="K630">IF($A630="","",IFERROR(INDEX(Sales!$M:$M,MATCH($A630,Sales!$E:$E,0)),""))</f>
        <v/>
      </c>
      <c r="L630" s="158" t="str">
        <f t="shared" si="2"/>
        <v/>
      </c>
      <c r="N630" s="49" t="str">
        <f t="array" ref="N630">IFERROR(INDEX(Sales!$E$7:$E$1506,MATCH(ROW()-4,Sales!$V$7:$V$1506,0)),"")</f>
        <v/>
      </c>
      <c r="O630" s="67"/>
      <c r="P630" s="67"/>
    </row>
    <row r="631" ht="15.75" customHeight="1">
      <c r="A631" s="151" t="str">
        <f t="array" ref="A631">IFERROR(INDEX(Sales!$E$7:$E$1506,MATCH(ROW()-4,Sales!$W$7:$W$1506,0)),"")</f>
        <v/>
      </c>
      <c r="B631" s="152" t="str">
        <f t="array" ref="B631">IF($A631="","",IFERROR(INDEX(Sales!$A:$A,MATCH($A631,Sales!$E:$E,0)),""))</f>
        <v/>
      </c>
      <c r="C631" s="153" t="str">
        <f t="array" ref="C631">IF($A631="","",IFERROR(INDEX(Sales!$D:$D,MATCH($A631,Sales!$E:$E,0)),""))</f>
        <v/>
      </c>
      <c r="D631" s="153" t="str">
        <f t="array" ref="D631">IF($A631="","",IFERROR(INDEX(Sales!$C:$C,MATCH($A631,Sales!$E:$E,0)),""))</f>
        <v/>
      </c>
      <c r="E631" s="154" t="str">
        <f>IF($A631="","",SUMIFS(Sales!$H:$H,Sales!$E:$E,$A631,Sales!$B:$B,"&lt;&gt;Return"))</f>
        <v/>
      </c>
      <c r="F631" s="155" t="str">
        <f>IF($A631="","",SUMIF(Sales!$E:$E,$A631,Sales!$L:$L))</f>
        <v/>
      </c>
      <c r="G631" s="155" t="str">
        <f>IF($A631="","",SUMIF(Sales!$E:$E,$A631,Sales!$P:$P))</f>
        <v/>
      </c>
      <c r="H631" s="156" t="str">
        <f t="array" ref="H631">IF($A631="","",IFERROR(INDEX(Orders!$O$5:$O$1004,MATCH($A631,Orders!$N$5:$N$1004,0)),""))</f>
        <v/>
      </c>
      <c r="I631" s="156" t="str">
        <f t="array" ref="I631">IF($A631="","",IFERROR(INDEX(Orders!$P$5:$P$1004,MATCH($A631,Orders!$N$5:$N$1004,0)),""))</f>
        <v/>
      </c>
      <c r="J631" s="157" t="str">
        <f t="shared" si="1"/>
        <v/>
      </c>
      <c r="K631" s="153" t="str">
        <f t="array" ref="K631">IF($A631="","",IFERROR(INDEX(Sales!$M:$M,MATCH($A631,Sales!$E:$E,0)),""))</f>
        <v/>
      </c>
      <c r="L631" s="158" t="str">
        <f t="shared" si="2"/>
        <v/>
      </c>
      <c r="N631" s="49" t="str">
        <f t="array" ref="N631">IFERROR(INDEX(Sales!$E$7:$E$1506,MATCH(ROW()-4,Sales!$V$7:$V$1506,0)),"")</f>
        <v/>
      </c>
      <c r="O631" s="67"/>
      <c r="P631" s="67"/>
    </row>
    <row r="632" ht="15.75" customHeight="1">
      <c r="A632" s="151" t="str">
        <f t="array" ref="A632">IFERROR(INDEX(Sales!$E$7:$E$1506,MATCH(ROW()-4,Sales!$W$7:$W$1506,0)),"")</f>
        <v/>
      </c>
      <c r="B632" s="152" t="str">
        <f t="array" ref="B632">IF($A632="","",IFERROR(INDEX(Sales!$A:$A,MATCH($A632,Sales!$E:$E,0)),""))</f>
        <v/>
      </c>
      <c r="C632" s="153" t="str">
        <f t="array" ref="C632">IF($A632="","",IFERROR(INDEX(Sales!$D:$D,MATCH($A632,Sales!$E:$E,0)),""))</f>
        <v/>
      </c>
      <c r="D632" s="153" t="str">
        <f t="array" ref="D632">IF($A632="","",IFERROR(INDEX(Sales!$C:$C,MATCH($A632,Sales!$E:$E,0)),""))</f>
        <v/>
      </c>
      <c r="E632" s="154" t="str">
        <f>IF($A632="","",SUMIFS(Sales!$H:$H,Sales!$E:$E,$A632,Sales!$B:$B,"&lt;&gt;Return"))</f>
        <v/>
      </c>
      <c r="F632" s="155" t="str">
        <f>IF($A632="","",SUMIF(Sales!$E:$E,$A632,Sales!$L:$L))</f>
        <v/>
      </c>
      <c r="G632" s="155" t="str">
        <f>IF($A632="","",SUMIF(Sales!$E:$E,$A632,Sales!$P:$P))</f>
        <v/>
      </c>
      <c r="H632" s="156" t="str">
        <f t="array" ref="H632">IF($A632="","",IFERROR(INDEX(Orders!$O$5:$O$1004,MATCH($A632,Orders!$N$5:$N$1004,0)),""))</f>
        <v/>
      </c>
      <c r="I632" s="156" t="str">
        <f t="array" ref="I632">IF($A632="","",IFERROR(INDEX(Orders!$P$5:$P$1004,MATCH($A632,Orders!$N$5:$N$1004,0)),""))</f>
        <v/>
      </c>
      <c r="J632" s="157" t="str">
        <f t="shared" si="1"/>
        <v/>
      </c>
      <c r="K632" s="153" t="str">
        <f t="array" ref="K632">IF($A632="","",IFERROR(INDEX(Sales!$M:$M,MATCH($A632,Sales!$E:$E,0)),""))</f>
        <v/>
      </c>
      <c r="L632" s="158" t="str">
        <f t="shared" si="2"/>
        <v/>
      </c>
      <c r="N632" s="49" t="str">
        <f t="array" ref="N632">IFERROR(INDEX(Sales!$E$7:$E$1506,MATCH(ROW()-4,Sales!$V$7:$V$1506,0)),"")</f>
        <v/>
      </c>
      <c r="O632" s="67"/>
      <c r="P632" s="67"/>
    </row>
    <row r="633" ht="15.75" customHeight="1">
      <c r="A633" s="151" t="str">
        <f t="array" ref="A633">IFERROR(INDEX(Sales!$E$7:$E$1506,MATCH(ROW()-4,Sales!$W$7:$W$1506,0)),"")</f>
        <v/>
      </c>
      <c r="B633" s="152" t="str">
        <f t="array" ref="B633">IF($A633="","",IFERROR(INDEX(Sales!$A:$A,MATCH($A633,Sales!$E:$E,0)),""))</f>
        <v/>
      </c>
      <c r="C633" s="153" t="str">
        <f t="array" ref="C633">IF($A633="","",IFERROR(INDEX(Sales!$D:$D,MATCH($A633,Sales!$E:$E,0)),""))</f>
        <v/>
      </c>
      <c r="D633" s="153" t="str">
        <f t="array" ref="D633">IF($A633="","",IFERROR(INDEX(Sales!$C:$C,MATCH($A633,Sales!$E:$E,0)),""))</f>
        <v/>
      </c>
      <c r="E633" s="154" t="str">
        <f>IF($A633="","",SUMIFS(Sales!$H:$H,Sales!$E:$E,$A633,Sales!$B:$B,"&lt;&gt;Return"))</f>
        <v/>
      </c>
      <c r="F633" s="155" t="str">
        <f>IF($A633="","",SUMIF(Sales!$E:$E,$A633,Sales!$L:$L))</f>
        <v/>
      </c>
      <c r="G633" s="155" t="str">
        <f>IF($A633="","",SUMIF(Sales!$E:$E,$A633,Sales!$P:$P))</f>
        <v/>
      </c>
      <c r="H633" s="156" t="str">
        <f t="array" ref="H633">IF($A633="","",IFERROR(INDEX(Orders!$O$5:$O$1004,MATCH($A633,Orders!$N$5:$N$1004,0)),""))</f>
        <v/>
      </c>
      <c r="I633" s="156" t="str">
        <f t="array" ref="I633">IF($A633="","",IFERROR(INDEX(Orders!$P$5:$P$1004,MATCH($A633,Orders!$N$5:$N$1004,0)),""))</f>
        <v/>
      </c>
      <c r="J633" s="157" t="str">
        <f t="shared" si="1"/>
        <v/>
      </c>
      <c r="K633" s="153" t="str">
        <f t="array" ref="K633">IF($A633="","",IFERROR(INDEX(Sales!$M:$M,MATCH($A633,Sales!$E:$E,0)),""))</f>
        <v/>
      </c>
      <c r="L633" s="158" t="str">
        <f t="shared" si="2"/>
        <v/>
      </c>
      <c r="N633" s="49" t="str">
        <f t="array" ref="N633">IFERROR(INDEX(Sales!$E$7:$E$1506,MATCH(ROW()-4,Sales!$V$7:$V$1506,0)),"")</f>
        <v/>
      </c>
      <c r="O633" s="67"/>
      <c r="P633" s="67"/>
    </row>
    <row r="634" ht="15.75" customHeight="1">
      <c r="A634" s="151" t="str">
        <f t="array" ref="A634">IFERROR(INDEX(Sales!$E$7:$E$1506,MATCH(ROW()-4,Sales!$W$7:$W$1506,0)),"")</f>
        <v/>
      </c>
      <c r="B634" s="152" t="str">
        <f t="array" ref="B634">IF($A634="","",IFERROR(INDEX(Sales!$A:$A,MATCH($A634,Sales!$E:$E,0)),""))</f>
        <v/>
      </c>
      <c r="C634" s="153" t="str">
        <f t="array" ref="C634">IF($A634="","",IFERROR(INDEX(Sales!$D:$D,MATCH($A634,Sales!$E:$E,0)),""))</f>
        <v/>
      </c>
      <c r="D634" s="153" t="str">
        <f t="array" ref="D634">IF($A634="","",IFERROR(INDEX(Sales!$C:$C,MATCH($A634,Sales!$E:$E,0)),""))</f>
        <v/>
      </c>
      <c r="E634" s="154" t="str">
        <f>IF($A634="","",SUMIFS(Sales!$H:$H,Sales!$E:$E,$A634,Sales!$B:$B,"&lt;&gt;Return"))</f>
        <v/>
      </c>
      <c r="F634" s="155" t="str">
        <f>IF($A634="","",SUMIF(Sales!$E:$E,$A634,Sales!$L:$L))</f>
        <v/>
      </c>
      <c r="G634" s="155" t="str">
        <f>IF($A634="","",SUMIF(Sales!$E:$E,$A634,Sales!$P:$P))</f>
        <v/>
      </c>
      <c r="H634" s="156" t="str">
        <f t="array" ref="H634">IF($A634="","",IFERROR(INDEX(Orders!$O$5:$O$1004,MATCH($A634,Orders!$N$5:$N$1004,0)),""))</f>
        <v/>
      </c>
      <c r="I634" s="156" t="str">
        <f t="array" ref="I634">IF($A634="","",IFERROR(INDEX(Orders!$P$5:$P$1004,MATCH($A634,Orders!$N$5:$N$1004,0)),""))</f>
        <v/>
      </c>
      <c r="J634" s="157" t="str">
        <f t="shared" si="1"/>
        <v/>
      </c>
      <c r="K634" s="153" t="str">
        <f t="array" ref="K634">IF($A634="","",IFERROR(INDEX(Sales!$M:$M,MATCH($A634,Sales!$E:$E,0)),""))</f>
        <v/>
      </c>
      <c r="L634" s="158" t="str">
        <f t="shared" si="2"/>
        <v/>
      </c>
      <c r="N634" s="49" t="str">
        <f t="array" ref="N634">IFERROR(INDEX(Sales!$E$7:$E$1506,MATCH(ROW()-4,Sales!$V$7:$V$1506,0)),"")</f>
        <v/>
      </c>
      <c r="O634" s="67"/>
      <c r="P634" s="67"/>
    </row>
    <row r="635" ht="15.75" customHeight="1">
      <c r="A635" s="151" t="str">
        <f t="array" ref="A635">IFERROR(INDEX(Sales!$E$7:$E$1506,MATCH(ROW()-4,Sales!$W$7:$W$1506,0)),"")</f>
        <v/>
      </c>
      <c r="B635" s="152" t="str">
        <f t="array" ref="B635">IF($A635="","",IFERROR(INDEX(Sales!$A:$A,MATCH($A635,Sales!$E:$E,0)),""))</f>
        <v/>
      </c>
      <c r="C635" s="153" t="str">
        <f t="array" ref="C635">IF($A635="","",IFERROR(INDEX(Sales!$D:$D,MATCH($A635,Sales!$E:$E,0)),""))</f>
        <v/>
      </c>
      <c r="D635" s="153" t="str">
        <f t="array" ref="D635">IF($A635="","",IFERROR(INDEX(Sales!$C:$C,MATCH($A635,Sales!$E:$E,0)),""))</f>
        <v/>
      </c>
      <c r="E635" s="154" t="str">
        <f>IF($A635="","",SUMIFS(Sales!$H:$H,Sales!$E:$E,$A635,Sales!$B:$B,"&lt;&gt;Return"))</f>
        <v/>
      </c>
      <c r="F635" s="155" t="str">
        <f>IF($A635="","",SUMIF(Sales!$E:$E,$A635,Sales!$L:$L))</f>
        <v/>
      </c>
      <c r="G635" s="155" t="str">
        <f>IF($A635="","",SUMIF(Sales!$E:$E,$A635,Sales!$P:$P))</f>
        <v/>
      </c>
      <c r="H635" s="156" t="str">
        <f t="array" ref="H635">IF($A635="","",IFERROR(INDEX(Orders!$O$5:$O$1004,MATCH($A635,Orders!$N$5:$N$1004,0)),""))</f>
        <v/>
      </c>
      <c r="I635" s="156" t="str">
        <f t="array" ref="I635">IF($A635="","",IFERROR(INDEX(Orders!$P$5:$P$1004,MATCH($A635,Orders!$N$5:$N$1004,0)),""))</f>
        <v/>
      </c>
      <c r="J635" s="157" t="str">
        <f t="shared" si="1"/>
        <v/>
      </c>
      <c r="K635" s="153" t="str">
        <f t="array" ref="K635">IF($A635="","",IFERROR(INDEX(Sales!$M:$M,MATCH($A635,Sales!$E:$E,0)),""))</f>
        <v/>
      </c>
      <c r="L635" s="158" t="str">
        <f t="shared" si="2"/>
        <v/>
      </c>
      <c r="N635" s="49" t="str">
        <f t="array" ref="N635">IFERROR(INDEX(Sales!$E$7:$E$1506,MATCH(ROW()-4,Sales!$V$7:$V$1506,0)),"")</f>
        <v/>
      </c>
      <c r="O635" s="67"/>
      <c r="P635" s="67"/>
    </row>
    <row r="636" ht="15.75" customHeight="1">
      <c r="A636" s="151" t="str">
        <f t="array" ref="A636">IFERROR(INDEX(Sales!$E$7:$E$1506,MATCH(ROW()-4,Sales!$W$7:$W$1506,0)),"")</f>
        <v/>
      </c>
      <c r="B636" s="152" t="str">
        <f t="array" ref="B636">IF($A636="","",IFERROR(INDEX(Sales!$A:$A,MATCH($A636,Sales!$E:$E,0)),""))</f>
        <v/>
      </c>
      <c r="C636" s="153" t="str">
        <f t="array" ref="C636">IF($A636="","",IFERROR(INDEX(Sales!$D:$D,MATCH($A636,Sales!$E:$E,0)),""))</f>
        <v/>
      </c>
      <c r="D636" s="153" t="str">
        <f t="array" ref="D636">IF($A636="","",IFERROR(INDEX(Sales!$C:$C,MATCH($A636,Sales!$E:$E,0)),""))</f>
        <v/>
      </c>
      <c r="E636" s="154" t="str">
        <f>IF($A636="","",SUMIFS(Sales!$H:$H,Sales!$E:$E,$A636,Sales!$B:$B,"&lt;&gt;Return"))</f>
        <v/>
      </c>
      <c r="F636" s="155" t="str">
        <f>IF($A636="","",SUMIF(Sales!$E:$E,$A636,Sales!$L:$L))</f>
        <v/>
      </c>
      <c r="G636" s="155" t="str">
        <f>IF($A636="","",SUMIF(Sales!$E:$E,$A636,Sales!$P:$P))</f>
        <v/>
      </c>
      <c r="H636" s="156" t="str">
        <f t="array" ref="H636">IF($A636="","",IFERROR(INDEX(Orders!$O$5:$O$1004,MATCH($A636,Orders!$N$5:$N$1004,0)),""))</f>
        <v/>
      </c>
      <c r="I636" s="156" t="str">
        <f t="array" ref="I636">IF($A636="","",IFERROR(INDEX(Orders!$P$5:$P$1004,MATCH($A636,Orders!$N$5:$N$1004,0)),""))</f>
        <v/>
      </c>
      <c r="J636" s="157" t="str">
        <f t="shared" si="1"/>
        <v/>
      </c>
      <c r="K636" s="153" t="str">
        <f t="array" ref="K636">IF($A636="","",IFERROR(INDEX(Sales!$M:$M,MATCH($A636,Sales!$E:$E,0)),""))</f>
        <v/>
      </c>
      <c r="L636" s="158" t="str">
        <f t="shared" si="2"/>
        <v/>
      </c>
      <c r="N636" s="49" t="str">
        <f t="array" ref="N636">IFERROR(INDEX(Sales!$E$7:$E$1506,MATCH(ROW()-4,Sales!$V$7:$V$1506,0)),"")</f>
        <v/>
      </c>
      <c r="O636" s="67"/>
      <c r="P636" s="67"/>
    </row>
    <row r="637" ht="15.75" customHeight="1">
      <c r="A637" s="151" t="str">
        <f t="array" ref="A637">IFERROR(INDEX(Sales!$E$7:$E$1506,MATCH(ROW()-4,Sales!$W$7:$W$1506,0)),"")</f>
        <v/>
      </c>
      <c r="B637" s="152" t="str">
        <f t="array" ref="B637">IF($A637="","",IFERROR(INDEX(Sales!$A:$A,MATCH($A637,Sales!$E:$E,0)),""))</f>
        <v/>
      </c>
      <c r="C637" s="153" t="str">
        <f t="array" ref="C637">IF($A637="","",IFERROR(INDEX(Sales!$D:$D,MATCH($A637,Sales!$E:$E,0)),""))</f>
        <v/>
      </c>
      <c r="D637" s="153" t="str">
        <f t="array" ref="D637">IF($A637="","",IFERROR(INDEX(Sales!$C:$C,MATCH($A637,Sales!$E:$E,0)),""))</f>
        <v/>
      </c>
      <c r="E637" s="154" t="str">
        <f>IF($A637="","",SUMIFS(Sales!$H:$H,Sales!$E:$E,$A637,Sales!$B:$B,"&lt;&gt;Return"))</f>
        <v/>
      </c>
      <c r="F637" s="155" t="str">
        <f>IF($A637="","",SUMIF(Sales!$E:$E,$A637,Sales!$L:$L))</f>
        <v/>
      </c>
      <c r="G637" s="155" t="str">
        <f>IF($A637="","",SUMIF(Sales!$E:$E,$A637,Sales!$P:$P))</f>
        <v/>
      </c>
      <c r="H637" s="156" t="str">
        <f t="array" ref="H637">IF($A637="","",IFERROR(INDEX(Orders!$O$5:$O$1004,MATCH($A637,Orders!$N$5:$N$1004,0)),""))</f>
        <v/>
      </c>
      <c r="I637" s="156" t="str">
        <f t="array" ref="I637">IF($A637="","",IFERROR(INDEX(Orders!$P$5:$P$1004,MATCH($A637,Orders!$N$5:$N$1004,0)),""))</f>
        <v/>
      </c>
      <c r="J637" s="157" t="str">
        <f t="shared" si="1"/>
        <v/>
      </c>
      <c r="K637" s="153" t="str">
        <f t="array" ref="K637">IF($A637="","",IFERROR(INDEX(Sales!$M:$M,MATCH($A637,Sales!$E:$E,0)),""))</f>
        <v/>
      </c>
      <c r="L637" s="158" t="str">
        <f t="shared" si="2"/>
        <v/>
      </c>
      <c r="N637" s="49" t="str">
        <f t="array" ref="N637">IFERROR(INDEX(Sales!$E$7:$E$1506,MATCH(ROW()-4,Sales!$V$7:$V$1506,0)),"")</f>
        <v/>
      </c>
      <c r="O637" s="67"/>
      <c r="P637" s="67"/>
    </row>
    <row r="638" ht="15.75" customHeight="1">
      <c r="A638" s="151" t="str">
        <f t="array" ref="A638">IFERROR(INDEX(Sales!$E$7:$E$1506,MATCH(ROW()-4,Sales!$W$7:$W$1506,0)),"")</f>
        <v/>
      </c>
      <c r="B638" s="152" t="str">
        <f t="array" ref="B638">IF($A638="","",IFERROR(INDEX(Sales!$A:$A,MATCH($A638,Sales!$E:$E,0)),""))</f>
        <v/>
      </c>
      <c r="C638" s="153" t="str">
        <f t="array" ref="C638">IF($A638="","",IFERROR(INDEX(Sales!$D:$D,MATCH($A638,Sales!$E:$E,0)),""))</f>
        <v/>
      </c>
      <c r="D638" s="153" t="str">
        <f t="array" ref="D638">IF($A638="","",IFERROR(INDEX(Sales!$C:$C,MATCH($A638,Sales!$E:$E,0)),""))</f>
        <v/>
      </c>
      <c r="E638" s="154" t="str">
        <f>IF($A638="","",SUMIFS(Sales!$H:$H,Sales!$E:$E,$A638,Sales!$B:$B,"&lt;&gt;Return"))</f>
        <v/>
      </c>
      <c r="F638" s="155" t="str">
        <f>IF($A638="","",SUMIF(Sales!$E:$E,$A638,Sales!$L:$L))</f>
        <v/>
      </c>
      <c r="G638" s="155" t="str">
        <f>IF($A638="","",SUMIF(Sales!$E:$E,$A638,Sales!$P:$P))</f>
        <v/>
      </c>
      <c r="H638" s="156" t="str">
        <f t="array" ref="H638">IF($A638="","",IFERROR(INDEX(Orders!$O$5:$O$1004,MATCH($A638,Orders!$N$5:$N$1004,0)),""))</f>
        <v/>
      </c>
      <c r="I638" s="156" t="str">
        <f t="array" ref="I638">IF($A638="","",IFERROR(INDEX(Orders!$P$5:$P$1004,MATCH($A638,Orders!$N$5:$N$1004,0)),""))</f>
        <v/>
      </c>
      <c r="J638" s="157" t="str">
        <f t="shared" si="1"/>
        <v/>
      </c>
      <c r="K638" s="153" t="str">
        <f t="array" ref="K638">IF($A638="","",IFERROR(INDEX(Sales!$M:$M,MATCH($A638,Sales!$E:$E,0)),""))</f>
        <v/>
      </c>
      <c r="L638" s="158" t="str">
        <f t="shared" si="2"/>
        <v/>
      </c>
      <c r="N638" s="49" t="str">
        <f t="array" ref="N638">IFERROR(INDEX(Sales!$E$7:$E$1506,MATCH(ROW()-4,Sales!$V$7:$V$1506,0)),"")</f>
        <v/>
      </c>
      <c r="O638" s="67"/>
      <c r="P638" s="67"/>
    </row>
    <row r="639" ht="15.75" customHeight="1">
      <c r="A639" s="151" t="str">
        <f t="array" ref="A639">IFERROR(INDEX(Sales!$E$7:$E$1506,MATCH(ROW()-4,Sales!$W$7:$W$1506,0)),"")</f>
        <v/>
      </c>
      <c r="B639" s="152" t="str">
        <f t="array" ref="B639">IF($A639="","",IFERROR(INDEX(Sales!$A:$A,MATCH($A639,Sales!$E:$E,0)),""))</f>
        <v/>
      </c>
      <c r="C639" s="153" t="str">
        <f t="array" ref="C639">IF($A639="","",IFERROR(INDEX(Sales!$D:$D,MATCH($A639,Sales!$E:$E,0)),""))</f>
        <v/>
      </c>
      <c r="D639" s="153" t="str">
        <f t="array" ref="D639">IF($A639="","",IFERROR(INDEX(Sales!$C:$C,MATCH($A639,Sales!$E:$E,0)),""))</f>
        <v/>
      </c>
      <c r="E639" s="154" t="str">
        <f>IF($A639="","",SUMIFS(Sales!$H:$H,Sales!$E:$E,$A639,Sales!$B:$B,"&lt;&gt;Return"))</f>
        <v/>
      </c>
      <c r="F639" s="155" t="str">
        <f>IF($A639="","",SUMIF(Sales!$E:$E,$A639,Sales!$L:$L))</f>
        <v/>
      </c>
      <c r="G639" s="155" t="str">
        <f>IF($A639="","",SUMIF(Sales!$E:$E,$A639,Sales!$P:$P))</f>
        <v/>
      </c>
      <c r="H639" s="156" t="str">
        <f t="array" ref="H639">IF($A639="","",IFERROR(INDEX(Orders!$O$5:$O$1004,MATCH($A639,Orders!$N$5:$N$1004,0)),""))</f>
        <v/>
      </c>
      <c r="I639" s="156" t="str">
        <f t="array" ref="I639">IF($A639="","",IFERROR(INDEX(Orders!$P$5:$P$1004,MATCH($A639,Orders!$N$5:$N$1004,0)),""))</f>
        <v/>
      </c>
      <c r="J639" s="157" t="str">
        <f t="shared" si="1"/>
        <v/>
      </c>
      <c r="K639" s="153" t="str">
        <f t="array" ref="K639">IF($A639="","",IFERROR(INDEX(Sales!$M:$M,MATCH($A639,Sales!$E:$E,0)),""))</f>
        <v/>
      </c>
      <c r="L639" s="158" t="str">
        <f t="shared" si="2"/>
        <v/>
      </c>
      <c r="N639" s="49" t="str">
        <f t="array" ref="N639">IFERROR(INDEX(Sales!$E$7:$E$1506,MATCH(ROW()-4,Sales!$V$7:$V$1506,0)),"")</f>
        <v/>
      </c>
      <c r="O639" s="67"/>
      <c r="P639" s="67"/>
    </row>
    <row r="640" ht="15.75" customHeight="1">
      <c r="A640" s="151" t="str">
        <f t="array" ref="A640">IFERROR(INDEX(Sales!$E$7:$E$1506,MATCH(ROW()-4,Sales!$W$7:$W$1506,0)),"")</f>
        <v/>
      </c>
      <c r="B640" s="152" t="str">
        <f t="array" ref="B640">IF($A640="","",IFERROR(INDEX(Sales!$A:$A,MATCH($A640,Sales!$E:$E,0)),""))</f>
        <v/>
      </c>
      <c r="C640" s="153" t="str">
        <f t="array" ref="C640">IF($A640="","",IFERROR(INDEX(Sales!$D:$D,MATCH($A640,Sales!$E:$E,0)),""))</f>
        <v/>
      </c>
      <c r="D640" s="153" t="str">
        <f t="array" ref="D640">IF($A640="","",IFERROR(INDEX(Sales!$C:$C,MATCH($A640,Sales!$E:$E,0)),""))</f>
        <v/>
      </c>
      <c r="E640" s="154" t="str">
        <f>IF($A640="","",SUMIFS(Sales!$H:$H,Sales!$E:$E,$A640,Sales!$B:$B,"&lt;&gt;Return"))</f>
        <v/>
      </c>
      <c r="F640" s="155" t="str">
        <f>IF($A640="","",SUMIF(Sales!$E:$E,$A640,Sales!$L:$L))</f>
        <v/>
      </c>
      <c r="G640" s="155" t="str">
        <f>IF($A640="","",SUMIF(Sales!$E:$E,$A640,Sales!$P:$P))</f>
        <v/>
      </c>
      <c r="H640" s="156" t="str">
        <f t="array" ref="H640">IF($A640="","",IFERROR(INDEX(Orders!$O$5:$O$1004,MATCH($A640,Orders!$N$5:$N$1004,0)),""))</f>
        <v/>
      </c>
      <c r="I640" s="156" t="str">
        <f t="array" ref="I640">IF($A640="","",IFERROR(INDEX(Orders!$P$5:$P$1004,MATCH($A640,Orders!$N$5:$N$1004,0)),""))</f>
        <v/>
      </c>
      <c r="J640" s="157" t="str">
        <f t="shared" si="1"/>
        <v/>
      </c>
      <c r="K640" s="153" t="str">
        <f t="array" ref="K640">IF($A640="","",IFERROR(INDEX(Sales!$M:$M,MATCH($A640,Sales!$E:$E,0)),""))</f>
        <v/>
      </c>
      <c r="L640" s="158" t="str">
        <f t="shared" si="2"/>
        <v/>
      </c>
      <c r="N640" s="49" t="str">
        <f t="array" ref="N640">IFERROR(INDEX(Sales!$E$7:$E$1506,MATCH(ROW()-4,Sales!$V$7:$V$1506,0)),"")</f>
        <v/>
      </c>
      <c r="O640" s="67"/>
      <c r="P640" s="67"/>
    </row>
    <row r="641" ht="15.75" customHeight="1">
      <c r="A641" s="151" t="str">
        <f t="array" ref="A641">IFERROR(INDEX(Sales!$E$7:$E$1506,MATCH(ROW()-4,Sales!$W$7:$W$1506,0)),"")</f>
        <v/>
      </c>
      <c r="B641" s="152" t="str">
        <f t="array" ref="B641">IF($A641="","",IFERROR(INDEX(Sales!$A:$A,MATCH($A641,Sales!$E:$E,0)),""))</f>
        <v/>
      </c>
      <c r="C641" s="153" t="str">
        <f t="array" ref="C641">IF($A641="","",IFERROR(INDEX(Sales!$D:$D,MATCH($A641,Sales!$E:$E,0)),""))</f>
        <v/>
      </c>
      <c r="D641" s="153" t="str">
        <f t="array" ref="D641">IF($A641="","",IFERROR(INDEX(Sales!$C:$C,MATCH($A641,Sales!$E:$E,0)),""))</f>
        <v/>
      </c>
      <c r="E641" s="154" t="str">
        <f>IF($A641="","",SUMIFS(Sales!$H:$H,Sales!$E:$E,$A641,Sales!$B:$B,"&lt;&gt;Return"))</f>
        <v/>
      </c>
      <c r="F641" s="155" t="str">
        <f>IF($A641="","",SUMIF(Sales!$E:$E,$A641,Sales!$L:$L))</f>
        <v/>
      </c>
      <c r="G641" s="155" t="str">
        <f>IF($A641="","",SUMIF(Sales!$E:$E,$A641,Sales!$P:$P))</f>
        <v/>
      </c>
      <c r="H641" s="156" t="str">
        <f t="array" ref="H641">IF($A641="","",IFERROR(INDEX(Orders!$O$5:$O$1004,MATCH($A641,Orders!$N$5:$N$1004,0)),""))</f>
        <v/>
      </c>
      <c r="I641" s="156" t="str">
        <f t="array" ref="I641">IF($A641="","",IFERROR(INDEX(Orders!$P$5:$P$1004,MATCH($A641,Orders!$N$5:$N$1004,0)),""))</f>
        <v/>
      </c>
      <c r="J641" s="157" t="str">
        <f t="shared" si="1"/>
        <v/>
      </c>
      <c r="K641" s="153" t="str">
        <f t="array" ref="K641">IF($A641="","",IFERROR(INDEX(Sales!$M:$M,MATCH($A641,Sales!$E:$E,0)),""))</f>
        <v/>
      </c>
      <c r="L641" s="158" t="str">
        <f t="shared" si="2"/>
        <v/>
      </c>
      <c r="N641" s="49" t="str">
        <f t="array" ref="N641">IFERROR(INDEX(Sales!$E$7:$E$1506,MATCH(ROW()-4,Sales!$V$7:$V$1506,0)),"")</f>
        <v/>
      </c>
      <c r="O641" s="67"/>
      <c r="P641" s="67"/>
    </row>
    <row r="642" ht="15.75" customHeight="1">
      <c r="A642" s="151" t="str">
        <f t="array" ref="A642">IFERROR(INDEX(Sales!$E$7:$E$1506,MATCH(ROW()-4,Sales!$W$7:$W$1506,0)),"")</f>
        <v/>
      </c>
      <c r="B642" s="152" t="str">
        <f t="array" ref="B642">IF($A642="","",IFERROR(INDEX(Sales!$A:$A,MATCH($A642,Sales!$E:$E,0)),""))</f>
        <v/>
      </c>
      <c r="C642" s="153" t="str">
        <f t="array" ref="C642">IF($A642="","",IFERROR(INDEX(Sales!$D:$D,MATCH($A642,Sales!$E:$E,0)),""))</f>
        <v/>
      </c>
      <c r="D642" s="153" t="str">
        <f t="array" ref="D642">IF($A642="","",IFERROR(INDEX(Sales!$C:$C,MATCH($A642,Sales!$E:$E,0)),""))</f>
        <v/>
      </c>
      <c r="E642" s="154" t="str">
        <f>IF($A642="","",SUMIFS(Sales!$H:$H,Sales!$E:$E,$A642,Sales!$B:$B,"&lt;&gt;Return"))</f>
        <v/>
      </c>
      <c r="F642" s="155" t="str">
        <f>IF($A642="","",SUMIF(Sales!$E:$E,$A642,Sales!$L:$L))</f>
        <v/>
      </c>
      <c r="G642" s="155" t="str">
        <f>IF($A642="","",SUMIF(Sales!$E:$E,$A642,Sales!$P:$P))</f>
        <v/>
      </c>
      <c r="H642" s="156" t="str">
        <f t="array" ref="H642">IF($A642="","",IFERROR(INDEX(Orders!$O$5:$O$1004,MATCH($A642,Orders!$N$5:$N$1004,0)),""))</f>
        <v/>
      </c>
      <c r="I642" s="156" t="str">
        <f t="array" ref="I642">IF($A642="","",IFERROR(INDEX(Orders!$P$5:$P$1004,MATCH($A642,Orders!$N$5:$N$1004,0)),""))</f>
        <v/>
      </c>
      <c r="J642" s="157" t="str">
        <f t="shared" si="1"/>
        <v/>
      </c>
      <c r="K642" s="153" t="str">
        <f t="array" ref="K642">IF($A642="","",IFERROR(INDEX(Sales!$M:$M,MATCH($A642,Sales!$E:$E,0)),""))</f>
        <v/>
      </c>
      <c r="L642" s="158" t="str">
        <f t="shared" si="2"/>
        <v/>
      </c>
      <c r="N642" s="49" t="str">
        <f t="array" ref="N642">IFERROR(INDEX(Sales!$E$7:$E$1506,MATCH(ROW()-4,Sales!$V$7:$V$1506,0)),"")</f>
        <v/>
      </c>
      <c r="O642" s="67"/>
      <c r="P642" s="67"/>
    </row>
    <row r="643" ht="15.75" customHeight="1">
      <c r="A643" s="151" t="str">
        <f t="array" ref="A643">IFERROR(INDEX(Sales!$E$7:$E$1506,MATCH(ROW()-4,Sales!$W$7:$W$1506,0)),"")</f>
        <v/>
      </c>
      <c r="B643" s="152" t="str">
        <f t="array" ref="B643">IF($A643="","",IFERROR(INDEX(Sales!$A:$A,MATCH($A643,Sales!$E:$E,0)),""))</f>
        <v/>
      </c>
      <c r="C643" s="153" t="str">
        <f t="array" ref="C643">IF($A643="","",IFERROR(INDEX(Sales!$D:$D,MATCH($A643,Sales!$E:$E,0)),""))</f>
        <v/>
      </c>
      <c r="D643" s="153" t="str">
        <f t="array" ref="D643">IF($A643="","",IFERROR(INDEX(Sales!$C:$C,MATCH($A643,Sales!$E:$E,0)),""))</f>
        <v/>
      </c>
      <c r="E643" s="154" t="str">
        <f>IF($A643="","",SUMIFS(Sales!$H:$H,Sales!$E:$E,$A643,Sales!$B:$B,"&lt;&gt;Return"))</f>
        <v/>
      </c>
      <c r="F643" s="155" t="str">
        <f>IF($A643="","",SUMIF(Sales!$E:$E,$A643,Sales!$L:$L))</f>
        <v/>
      </c>
      <c r="G643" s="155" t="str">
        <f>IF($A643="","",SUMIF(Sales!$E:$E,$A643,Sales!$P:$P))</f>
        <v/>
      </c>
      <c r="H643" s="156" t="str">
        <f t="array" ref="H643">IF($A643="","",IFERROR(INDEX(Orders!$O$5:$O$1004,MATCH($A643,Orders!$N$5:$N$1004,0)),""))</f>
        <v/>
      </c>
      <c r="I643" s="156" t="str">
        <f t="array" ref="I643">IF($A643="","",IFERROR(INDEX(Orders!$P$5:$P$1004,MATCH($A643,Orders!$N$5:$N$1004,0)),""))</f>
        <v/>
      </c>
      <c r="J643" s="157" t="str">
        <f t="shared" si="1"/>
        <v/>
      </c>
      <c r="K643" s="153" t="str">
        <f t="array" ref="K643">IF($A643="","",IFERROR(INDEX(Sales!$M:$M,MATCH($A643,Sales!$E:$E,0)),""))</f>
        <v/>
      </c>
      <c r="L643" s="158" t="str">
        <f t="shared" si="2"/>
        <v/>
      </c>
      <c r="N643" s="49" t="str">
        <f t="array" ref="N643">IFERROR(INDEX(Sales!$E$7:$E$1506,MATCH(ROW()-4,Sales!$V$7:$V$1506,0)),"")</f>
        <v/>
      </c>
      <c r="O643" s="67"/>
      <c r="P643" s="67"/>
    </row>
    <row r="644" ht="15.75" customHeight="1">
      <c r="A644" s="151" t="str">
        <f t="array" ref="A644">IFERROR(INDEX(Sales!$E$7:$E$1506,MATCH(ROW()-4,Sales!$W$7:$W$1506,0)),"")</f>
        <v/>
      </c>
      <c r="B644" s="152" t="str">
        <f t="array" ref="B644">IF($A644="","",IFERROR(INDEX(Sales!$A:$A,MATCH($A644,Sales!$E:$E,0)),""))</f>
        <v/>
      </c>
      <c r="C644" s="153" t="str">
        <f t="array" ref="C644">IF($A644="","",IFERROR(INDEX(Sales!$D:$D,MATCH($A644,Sales!$E:$E,0)),""))</f>
        <v/>
      </c>
      <c r="D644" s="153" t="str">
        <f t="array" ref="D644">IF($A644="","",IFERROR(INDEX(Sales!$C:$C,MATCH($A644,Sales!$E:$E,0)),""))</f>
        <v/>
      </c>
      <c r="E644" s="154" t="str">
        <f>IF($A644="","",SUMIFS(Sales!$H:$H,Sales!$E:$E,$A644,Sales!$B:$B,"&lt;&gt;Return"))</f>
        <v/>
      </c>
      <c r="F644" s="155" t="str">
        <f>IF($A644="","",SUMIF(Sales!$E:$E,$A644,Sales!$L:$L))</f>
        <v/>
      </c>
      <c r="G644" s="155" t="str">
        <f>IF($A644="","",SUMIF(Sales!$E:$E,$A644,Sales!$P:$P))</f>
        <v/>
      </c>
      <c r="H644" s="156" t="str">
        <f t="array" ref="H644">IF($A644="","",IFERROR(INDEX(Orders!$O$5:$O$1004,MATCH($A644,Orders!$N$5:$N$1004,0)),""))</f>
        <v/>
      </c>
      <c r="I644" s="156" t="str">
        <f t="array" ref="I644">IF($A644="","",IFERROR(INDEX(Orders!$P$5:$P$1004,MATCH($A644,Orders!$N$5:$N$1004,0)),""))</f>
        <v/>
      </c>
      <c r="J644" s="157" t="str">
        <f t="shared" si="1"/>
        <v/>
      </c>
      <c r="K644" s="153" t="str">
        <f t="array" ref="K644">IF($A644="","",IFERROR(INDEX(Sales!$M:$M,MATCH($A644,Sales!$E:$E,0)),""))</f>
        <v/>
      </c>
      <c r="L644" s="158" t="str">
        <f t="shared" si="2"/>
        <v/>
      </c>
      <c r="N644" s="49" t="str">
        <f t="array" ref="N644">IFERROR(INDEX(Sales!$E$7:$E$1506,MATCH(ROW()-4,Sales!$V$7:$V$1506,0)),"")</f>
        <v/>
      </c>
      <c r="O644" s="67"/>
      <c r="P644" s="67"/>
    </row>
    <row r="645" ht="15.75" customHeight="1">
      <c r="A645" s="151" t="str">
        <f t="array" ref="A645">IFERROR(INDEX(Sales!$E$7:$E$1506,MATCH(ROW()-4,Sales!$W$7:$W$1506,0)),"")</f>
        <v/>
      </c>
      <c r="B645" s="152" t="str">
        <f t="array" ref="B645">IF($A645="","",IFERROR(INDEX(Sales!$A:$A,MATCH($A645,Sales!$E:$E,0)),""))</f>
        <v/>
      </c>
      <c r="C645" s="153" t="str">
        <f t="array" ref="C645">IF($A645="","",IFERROR(INDEX(Sales!$D:$D,MATCH($A645,Sales!$E:$E,0)),""))</f>
        <v/>
      </c>
      <c r="D645" s="153" t="str">
        <f t="array" ref="D645">IF($A645="","",IFERROR(INDEX(Sales!$C:$C,MATCH($A645,Sales!$E:$E,0)),""))</f>
        <v/>
      </c>
      <c r="E645" s="154" t="str">
        <f>IF($A645="","",SUMIFS(Sales!$H:$H,Sales!$E:$E,$A645,Sales!$B:$B,"&lt;&gt;Return"))</f>
        <v/>
      </c>
      <c r="F645" s="155" t="str">
        <f>IF($A645="","",SUMIF(Sales!$E:$E,$A645,Sales!$L:$L))</f>
        <v/>
      </c>
      <c r="G645" s="155" t="str">
        <f>IF($A645="","",SUMIF(Sales!$E:$E,$A645,Sales!$P:$P))</f>
        <v/>
      </c>
      <c r="H645" s="156" t="str">
        <f t="array" ref="H645">IF($A645="","",IFERROR(INDEX(Orders!$O$5:$O$1004,MATCH($A645,Orders!$N$5:$N$1004,0)),""))</f>
        <v/>
      </c>
      <c r="I645" s="156" t="str">
        <f t="array" ref="I645">IF($A645="","",IFERROR(INDEX(Orders!$P$5:$P$1004,MATCH($A645,Orders!$N$5:$N$1004,0)),""))</f>
        <v/>
      </c>
      <c r="J645" s="157" t="str">
        <f t="shared" si="1"/>
        <v/>
      </c>
      <c r="K645" s="153" t="str">
        <f t="array" ref="K645">IF($A645="","",IFERROR(INDEX(Sales!$M:$M,MATCH($A645,Sales!$E:$E,0)),""))</f>
        <v/>
      </c>
      <c r="L645" s="158" t="str">
        <f t="shared" si="2"/>
        <v/>
      </c>
      <c r="N645" s="49" t="str">
        <f t="array" ref="N645">IFERROR(INDEX(Sales!$E$7:$E$1506,MATCH(ROW()-4,Sales!$V$7:$V$1506,0)),"")</f>
        <v/>
      </c>
      <c r="O645" s="67"/>
      <c r="P645" s="67"/>
    </row>
    <row r="646" ht="15.75" customHeight="1">
      <c r="A646" s="151" t="str">
        <f t="array" ref="A646">IFERROR(INDEX(Sales!$E$7:$E$1506,MATCH(ROW()-4,Sales!$W$7:$W$1506,0)),"")</f>
        <v/>
      </c>
      <c r="B646" s="152" t="str">
        <f t="array" ref="B646">IF($A646="","",IFERROR(INDEX(Sales!$A:$A,MATCH($A646,Sales!$E:$E,0)),""))</f>
        <v/>
      </c>
      <c r="C646" s="153" t="str">
        <f t="array" ref="C646">IF($A646="","",IFERROR(INDEX(Sales!$D:$D,MATCH($A646,Sales!$E:$E,0)),""))</f>
        <v/>
      </c>
      <c r="D646" s="153" t="str">
        <f t="array" ref="D646">IF($A646="","",IFERROR(INDEX(Sales!$C:$C,MATCH($A646,Sales!$E:$E,0)),""))</f>
        <v/>
      </c>
      <c r="E646" s="154" t="str">
        <f>IF($A646="","",SUMIFS(Sales!$H:$H,Sales!$E:$E,$A646,Sales!$B:$B,"&lt;&gt;Return"))</f>
        <v/>
      </c>
      <c r="F646" s="155" t="str">
        <f>IF($A646="","",SUMIF(Sales!$E:$E,$A646,Sales!$L:$L))</f>
        <v/>
      </c>
      <c r="G646" s="155" t="str">
        <f>IF($A646="","",SUMIF(Sales!$E:$E,$A646,Sales!$P:$P))</f>
        <v/>
      </c>
      <c r="H646" s="156" t="str">
        <f t="array" ref="H646">IF($A646="","",IFERROR(INDEX(Orders!$O$5:$O$1004,MATCH($A646,Orders!$N$5:$N$1004,0)),""))</f>
        <v/>
      </c>
      <c r="I646" s="156" t="str">
        <f t="array" ref="I646">IF($A646="","",IFERROR(INDEX(Orders!$P$5:$P$1004,MATCH($A646,Orders!$N$5:$N$1004,0)),""))</f>
        <v/>
      </c>
      <c r="J646" s="157" t="str">
        <f t="shared" si="1"/>
        <v/>
      </c>
      <c r="K646" s="153" t="str">
        <f t="array" ref="K646">IF($A646="","",IFERROR(INDEX(Sales!$M:$M,MATCH($A646,Sales!$E:$E,0)),""))</f>
        <v/>
      </c>
      <c r="L646" s="158" t="str">
        <f t="shared" si="2"/>
        <v/>
      </c>
      <c r="N646" s="49" t="str">
        <f t="array" ref="N646">IFERROR(INDEX(Sales!$E$7:$E$1506,MATCH(ROW()-4,Sales!$V$7:$V$1506,0)),"")</f>
        <v/>
      </c>
      <c r="O646" s="67"/>
      <c r="P646" s="67"/>
    </row>
    <row r="647" ht="15.75" customHeight="1">
      <c r="A647" s="151" t="str">
        <f t="array" ref="A647">IFERROR(INDEX(Sales!$E$7:$E$1506,MATCH(ROW()-4,Sales!$W$7:$W$1506,0)),"")</f>
        <v/>
      </c>
      <c r="B647" s="152" t="str">
        <f t="array" ref="B647">IF($A647="","",IFERROR(INDEX(Sales!$A:$A,MATCH($A647,Sales!$E:$E,0)),""))</f>
        <v/>
      </c>
      <c r="C647" s="153" t="str">
        <f t="array" ref="C647">IF($A647="","",IFERROR(INDEX(Sales!$D:$D,MATCH($A647,Sales!$E:$E,0)),""))</f>
        <v/>
      </c>
      <c r="D647" s="153" t="str">
        <f t="array" ref="D647">IF($A647="","",IFERROR(INDEX(Sales!$C:$C,MATCH($A647,Sales!$E:$E,0)),""))</f>
        <v/>
      </c>
      <c r="E647" s="154" t="str">
        <f>IF($A647="","",SUMIFS(Sales!$H:$H,Sales!$E:$E,$A647,Sales!$B:$B,"&lt;&gt;Return"))</f>
        <v/>
      </c>
      <c r="F647" s="155" t="str">
        <f>IF($A647="","",SUMIF(Sales!$E:$E,$A647,Sales!$L:$L))</f>
        <v/>
      </c>
      <c r="G647" s="155" t="str">
        <f>IF($A647="","",SUMIF(Sales!$E:$E,$A647,Sales!$P:$P))</f>
        <v/>
      </c>
      <c r="H647" s="156" t="str">
        <f t="array" ref="H647">IF($A647="","",IFERROR(INDEX(Orders!$O$5:$O$1004,MATCH($A647,Orders!$N$5:$N$1004,0)),""))</f>
        <v/>
      </c>
      <c r="I647" s="156" t="str">
        <f t="array" ref="I647">IF($A647="","",IFERROR(INDEX(Orders!$P$5:$P$1004,MATCH($A647,Orders!$N$5:$N$1004,0)),""))</f>
        <v/>
      </c>
      <c r="J647" s="157" t="str">
        <f t="shared" si="1"/>
        <v/>
      </c>
      <c r="K647" s="153" t="str">
        <f t="array" ref="K647">IF($A647="","",IFERROR(INDEX(Sales!$M:$M,MATCH($A647,Sales!$E:$E,0)),""))</f>
        <v/>
      </c>
      <c r="L647" s="158" t="str">
        <f t="shared" si="2"/>
        <v/>
      </c>
      <c r="N647" s="49" t="str">
        <f t="array" ref="N647">IFERROR(INDEX(Sales!$E$7:$E$1506,MATCH(ROW()-4,Sales!$V$7:$V$1506,0)),"")</f>
        <v/>
      </c>
      <c r="O647" s="67"/>
      <c r="P647" s="67"/>
    </row>
    <row r="648" ht="15.75" customHeight="1">
      <c r="A648" s="151" t="str">
        <f t="array" ref="A648">IFERROR(INDEX(Sales!$E$7:$E$1506,MATCH(ROW()-4,Sales!$W$7:$W$1506,0)),"")</f>
        <v/>
      </c>
      <c r="B648" s="152" t="str">
        <f t="array" ref="B648">IF($A648="","",IFERROR(INDEX(Sales!$A:$A,MATCH($A648,Sales!$E:$E,0)),""))</f>
        <v/>
      </c>
      <c r="C648" s="153" t="str">
        <f t="array" ref="C648">IF($A648="","",IFERROR(INDEX(Sales!$D:$D,MATCH($A648,Sales!$E:$E,0)),""))</f>
        <v/>
      </c>
      <c r="D648" s="153" t="str">
        <f t="array" ref="D648">IF($A648="","",IFERROR(INDEX(Sales!$C:$C,MATCH($A648,Sales!$E:$E,0)),""))</f>
        <v/>
      </c>
      <c r="E648" s="154" t="str">
        <f>IF($A648="","",SUMIFS(Sales!$H:$H,Sales!$E:$E,$A648,Sales!$B:$B,"&lt;&gt;Return"))</f>
        <v/>
      </c>
      <c r="F648" s="155" t="str">
        <f>IF($A648="","",SUMIF(Sales!$E:$E,$A648,Sales!$L:$L))</f>
        <v/>
      </c>
      <c r="G648" s="155" t="str">
        <f>IF($A648="","",SUMIF(Sales!$E:$E,$A648,Sales!$P:$P))</f>
        <v/>
      </c>
      <c r="H648" s="156" t="str">
        <f t="array" ref="H648">IF($A648="","",IFERROR(INDEX(Orders!$O$5:$O$1004,MATCH($A648,Orders!$N$5:$N$1004,0)),""))</f>
        <v/>
      </c>
      <c r="I648" s="156" t="str">
        <f t="array" ref="I648">IF($A648="","",IFERROR(INDEX(Orders!$P$5:$P$1004,MATCH($A648,Orders!$N$5:$N$1004,0)),""))</f>
        <v/>
      </c>
      <c r="J648" s="157" t="str">
        <f t="shared" si="1"/>
        <v/>
      </c>
      <c r="K648" s="153" t="str">
        <f t="array" ref="K648">IF($A648="","",IFERROR(INDEX(Sales!$M:$M,MATCH($A648,Sales!$E:$E,0)),""))</f>
        <v/>
      </c>
      <c r="L648" s="158" t="str">
        <f t="shared" si="2"/>
        <v/>
      </c>
      <c r="N648" s="49" t="str">
        <f t="array" ref="N648">IFERROR(INDEX(Sales!$E$7:$E$1506,MATCH(ROW()-4,Sales!$V$7:$V$1506,0)),"")</f>
        <v/>
      </c>
      <c r="O648" s="67"/>
      <c r="P648" s="67"/>
    </row>
    <row r="649" ht="15.75" customHeight="1">
      <c r="A649" s="151" t="str">
        <f t="array" ref="A649">IFERROR(INDEX(Sales!$E$7:$E$1506,MATCH(ROW()-4,Sales!$W$7:$W$1506,0)),"")</f>
        <v/>
      </c>
      <c r="B649" s="152" t="str">
        <f t="array" ref="B649">IF($A649="","",IFERROR(INDEX(Sales!$A:$A,MATCH($A649,Sales!$E:$E,0)),""))</f>
        <v/>
      </c>
      <c r="C649" s="153" t="str">
        <f t="array" ref="C649">IF($A649="","",IFERROR(INDEX(Sales!$D:$D,MATCH($A649,Sales!$E:$E,0)),""))</f>
        <v/>
      </c>
      <c r="D649" s="153" t="str">
        <f t="array" ref="D649">IF($A649="","",IFERROR(INDEX(Sales!$C:$C,MATCH($A649,Sales!$E:$E,0)),""))</f>
        <v/>
      </c>
      <c r="E649" s="154" t="str">
        <f>IF($A649="","",SUMIFS(Sales!$H:$H,Sales!$E:$E,$A649,Sales!$B:$B,"&lt;&gt;Return"))</f>
        <v/>
      </c>
      <c r="F649" s="155" t="str">
        <f>IF($A649="","",SUMIF(Sales!$E:$E,$A649,Sales!$L:$L))</f>
        <v/>
      </c>
      <c r="G649" s="155" t="str">
        <f>IF($A649="","",SUMIF(Sales!$E:$E,$A649,Sales!$P:$P))</f>
        <v/>
      </c>
      <c r="H649" s="156" t="str">
        <f t="array" ref="H649">IF($A649="","",IFERROR(INDEX(Orders!$O$5:$O$1004,MATCH($A649,Orders!$N$5:$N$1004,0)),""))</f>
        <v/>
      </c>
      <c r="I649" s="156" t="str">
        <f t="array" ref="I649">IF($A649="","",IFERROR(INDEX(Orders!$P$5:$P$1004,MATCH($A649,Orders!$N$5:$N$1004,0)),""))</f>
        <v/>
      </c>
      <c r="J649" s="157" t="str">
        <f t="shared" si="1"/>
        <v/>
      </c>
      <c r="K649" s="153" t="str">
        <f t="array" ref="K649">IF($A649="","",IFERROR(INDEX(Sales!$M:$M,MATCH($A649,Sales!$E:$E,0)),""))</f>
        <v/>
      </c>
      <c r="L649" s="158" t="str">
        <f t="shared" si="2"/>
        <v/>
      </c>
      <c r="N649" s="49" t="str">
        <f t="array" ref="N649">IFERROR(INDEX(Sales!$E$7:$E$1506,MATCH(ROW()-4,Sales!$V$7:$V$1506,0)),"")</f>
        <v/>
      </c>
      <c r="O649" s="67"/>
      <c r="P649" s="67"/>
    </row>
    <row r="650" ht="15.75" customHeight="1">
      <c r="A650" s="151" t="str">
        <f t="array" ref="A650">IFERROR(INDEX(Sales!$E$7:$E$1506,MATCH(ROW()-4,Sales!$W$7:$W$1506,0)),"")</f>
        <v/>
      </c>
      <c r="B650" s="152" t="str">
        <f t="array" ref="B650">IF($A650="","",IFERROR(INDEX(Sales!$A:$A,MATCH($A650,Sales!$E:$E,0)),""))</f>
        <v/>
      </c>
      <c r="C650" s="153" t="str">
        <f t="array" ref="C650">IF($A650="","",IFERROR(INDEX(Sales!$D:$D,MATCH($A650,Sales!$E:$E,0)),""))</f>
        <v/>
      </c>
      <c r="D650" s="153" t="str">
        <f t="array" ref="D650">IF($A650="","",IFERROR(INDEX(Sales!$C:$C,MATCH($A650,Sales!$E:$E,0)),""))</f>
        <v/>
      </c>
      <c r="E650" s="154" t="str">
        <f>IF($A650="","",SUMIFS(Sales!$H:$H,Sales!$E:$E,$A650,Sales!$B:$B,"&lt;&gt;Return"))</f>
        <v/>
      </c>
      <c r="F650" s="155" t="str">
        <f>IF($A650="","",SUMIF(Sales!$E:$E,$A650,Sales!$L:$L))</f>
        <v/>
      </c>
      <c r="G650" s="155" t="str">
        <f>IF($A650="","",SUMIF(Sales!$E:$E,$A650,Sales!$P:$P))</f>
        <v/>
      </c>
      <c r="H650" s="156" t="str">
        <f t="array" ref="H650">IF($A650="","",IFERROR(INDEX(Orders!$O$5:$O$1004,MATCH($A650,Orders!$N$5:$N$1004,0)),""))</f>
        <v/>
      </c>
      <c r="I650" s="156" t="str">
        <f t="array" ref="I650">IF($A650="","",IFERROR(INDEX(Orders!$P$5:$P$1004,MATCH($A650,Orders!$N$5:$N$1004,0)),""))</f>
        <v/>
      </c>
      <c r="J650" s="157" t="str">
        <f t="shared" si="1"/>
        <v/>
      </c>
      <c r="K650" s="153" t="str">
        <f t="array" ref="K650">IF($A650="","",IFERROR(INDEX(Sales!$M:$M,MATCH($A650,Sales!$E:$E,0)),""))</f>
        <v/>
      </c>
      <c r="L650" s="158" t="str">
        <f t="shared" si="2"/>
        <v/>
      </c>
      <c r="N650" s="49" t="str">
        <f t="array" ref="N650">IFERROR(INDEX(Sales!$E$7:$E$1506,MATCH(ROW()-4,Sales!$V$7:$V$1506,0)),"")</f>
        <v/>
      </c>
      <c r="O650" s="67"/>
      <c r="P650" s="67"/>
    </row>
    <row r="651" ht="15.75" customHeight="1">
      <c r="A651" s="151" t="str">
        <f t="array" ref="A651">IFERROR(INDEX(Sales!$E$7:$E$1506,MATCH(ROW()-4,Sales!$W$7:$W$1506,0)),"")</f>
        <v/>
      </c>
      <c r="B651" s="152" t="str">
        <f t="array" ref="B651">IF($A651="","",IFERROR(INDEX(Sales!$A:$A,MATCH($A651,Sales!$E:$E,0)),""))</f>
        <v/>
      </c>
      <c r="C651" s="153" t="str">
        <f t="array" ref="C651">IF($A651="","",IFERROR(INDEX(Sales!$D:$D,MATCH($A651,Sales!$E:$E,0)),""))</f>
        <v/>
      </c>
      <c r="D651" s="153" t="str">
        <f t="array" ref="D651">IF($A651="","",IFERROR(INDEX(Sales!$C:$C,MATCH($A651,Sales!$E:$E,0)),""))</f>
        <v/>
      </c>
      <c r="E651" s="154" t="str">
        <f>IF($A651="","",SUMIFS(Sales!$H:$H,Sales!$E:$E,$A651,Sales!$B:$B,"&lt;&gt;Return"))</f>
        <v/>
      </c>
      <c r="F651" s="155" t="str">
        <f>IF($A651="","",SUMIF(Sales!$E:$E,$A651,Sales!$L:$L))</f>
        <v/>
      </c>
      <c r="G651" s="155" t="str">
        <f>IF($A651="","",SUMIF(Sales!$E:$E,$A651,Sales!$P:$P))</f>
        <v/>
      </c>
      <c r="H651" s="156" t="str">
        <f t="array" ref="H651">IF($A651="","",IFERROR(INDEX(Orders!$O$5:$O$1004,MATCH($A651,Orders!$N$5:$N$1004,0)),""))</f>
        <v/>
      </c>
      <c r="I651" s="156" t="str">
        <f t="array" ref="I651">IF($A651="","",IFERROR(INDEX(Orders!$P$5:$P$1004,MATCH($A651,Orders!$N$5:$N$1004,0)),""))</f>
        <v/>
      </c>
      <c r="J651" s="157" t="str">
        <f t="shared" si="1"/>
        <v/>
      </c>
      <c r="K651" s="153" t="str">
        <f t="array" ref="K651">IF($A651="","",IFERROR(INDEX(Sales!$M:$M,MATCH($A651,Sales!$E:$E,0)),""))</f>
        <v/>
      </c>
      <c r="L651" s="158" t="str">
        <f t="shared" si="2"/>
        <v/>
      </c>
      <c r="N651" s="49" t="str">
        <f t="array" ref="N651">IFERROR(INDEX(Sales!$E$7:$E$1506,MATCH(ROW()-4,Sales!$V$7:$V$1506,0)),"")</f>
        <v/>
      </c>
      <c r="O651" s="67"/>
      <c r="P651" s="67"/>
    </row>
    <row r="652" ht="15.75" customHeight="1">
      <c r="A652" s="151" t="str">
        <f t="array" ref="A652">IFERROR(INDEX(Sales!$E$7:$E$1506,MATCH(ROW()-4,Sales!$W$7:$W$1506,0)),"")</f>
        <v/>
      </c>
      <c r="B652" s="152" t="str">
        <f t="array" ref="B652">IF($A652="","",IFERROR(INDEX(Sales!$A:$A,MATCH($A652,Sales!$E:$E,0)),""))</f>
        <v/>
      </c>
      <c r="C652" s="153" t="str">
        <f t="array" ref="C652">IF($A652="","",IFERROR(INDEX(Sales!$D:$D,MATCH($A652,Sales!$E:$E,0)),""))</f>
        <v/>
      </c>
      <c r="D652" s="153" t="str">
        <f t="array" ref="D652">IF($A652="","",IFERROR(INDEX(Sales!$C:$C,MATCH($A652,Sales!$E:$E,0)),""))</f>
        <v/>
      </c>
      <c r="E652" s="154" t="str">
        <f>IF($A652="","",SUMIFS(Sales!$H:$H,Sales!$E:$E,$A652,Sales!$B:$B,"&lt;&gt;Return"))</f>
        <v/>
      </c>
      <c r="F652" s="155" t="str">
        <f>IF($A652="","",SUMIF(Sales!$E:$E,$A652,Sales!$L:$L))</f>
        <v/>
      </c>
      <c r="G652" s="155" t="str">
        <f>IF($A652="","",SUMIF(Sales!$E:$E,$A652,Sales!$P:$P))</f>
        <v/>
      </c>
      <c r="H652" s="156" t="str">
        <f t="array" ref="H652">IF($A652="","",IFERROR(INDEX(Orders!$O$5:$O$1004,MATCH($A652,Orders!$N$5:$N$1004,0)),""))</f>
        <v/>
      </c>
      <c r="I652" s="156" t="str">
        <f t="array" ref="I652">IF($A652="","",IFERROR(INDEX(Orders!$P$5:$P$1004,MATCH($A652,Orders!$N$5:$N$1004,0)),""))</f>
        <v/>
      </c>
      <c r="J652" s="157" t="str">
        <f t="shared" si="1"/>
        <v/>
      </c>
      <c r="K652" s="153" t="str">
        <f t="array" ref="K652">IF($A652="","",IFERROR(INDEX(Sales!$M:$M,MATCH($A652,Sales!$E:$E,0)),""))</f>
        <v/>
      </c>
      <c r="L652" s="158" t="str">
        <f t="shared" si="2"/>
        <v/>
      </c>
      <c r="N652" s="49" t="str">
        <f t="array" ref="N652">IFERROR(INDEX(Sales!$E$7:$E$1506,MATCH(ROW()-4,Sales!$V$7:$V$1506,0)),"")</f>
        <v/>
      </c>
      <c r="O652" s="67"/>
      <c r="P652" s="67"/>
    </row>
    <row r="653" ht="15.75" customHeight="1">
      <c r="A653" s="151" t="str">
        <f t="array" ref="A653">IFERROR(INDEX(Sales!$E$7:$E$1506,MATCH(ROW()-4,Sales!$W$7:$W$1506,0)),"")</f>
        <v/>
      </c>
      <c r="B653" s="152" t="str">
        <f t="array" ref="B653">IF($A653="","",IFERROR(INDEX(Sales!$A:$A,MATCH($A653,Sales!$E:$E,0)),""))</f>
        <v/>
      </c>
      <c r="C653" s="153" t="str">
        <f t="array" ref="C653">IF($A653="","",IFERROR(INDEX(Sales!$D:$D,MATCH($A653,Sales!$E:$E,0)),""))</f>
        <v/>
      </c>
      <c r="D653" s="153" t="str">
        <f t="array" ref="D653">IF($A653="","",IFERROR(INDEX(Sales!$C:$C,MATCH($A653,Sales!$E:$E,0)),""))</f>
        <v/>
      </c>
      <c r="E653" s="154" t="str">
        <f>IF($A653="","",SUMIFS(Sales!$H:$H,Sales!$E:$E,$A653,Sales!$B:$B,"&lt;&gt;Return"))</f>
        <v/>
      </c>
      <c r="F653" s="155" t="str">
        <f>IF($A653="","",SUMIF(Sales!$E:$E,$A653,Sales!$L:$L))</f>
        <v/>
      </c>
      <c r="G653" s="155" t="str">
        <f>IF($A653="","",SUMIF(Sales!$E:$E,$A653,Sales!$P:$P))</f>
        <v/>
      </c>
      <c r="H653" s="156" t="str">
        <f t="array" ref="H653">IF($A653="","",IFERROR(INDEX(Orders!$O$5:$O$1004,MATCH($A653,Orders!$N$5:$N$1004,0)),""))</f>
        <v/>
      </c>
      <c r="I653" s="156" t="str">
        <f t="array" ref="I653">IF($A653="","",IFERROR(INDEX(Orders!$P$5:$P$1004,MATCH($A653,Orders!$N$5:$N$1004,0)),""))</f>
        <v/>
      </c>
      <c r="J653" s="157" t="str">
        <f t="shared" si="1"/>
        <v/>
      </c>
      <c r="K653" s="153" t="str">
        <f t="array" ref="K653">IF($A653="","",IFERROR(INDEX(Sales!$M:$M,MATCH($A653,Sales!$E:$E,0)),""))</f>
        <v/>
      </c>
      <c r="L653" s="158" t="str">
        <f t="shared" si="2"/>
        <v/>
      </c>
      <c r="N653" s="49" t="str">
        <f t="array" ref="N653">IFERROR(INDEX(Sales!$E$7:$E$1506,MATCH(ROW()-4,Sales!$V$7:$V$1506,0)),"")</f>
        <v/>
      </c>
      <c r="O653" s="67"/>
      <c r="P653" s="67"/>
    </row>
    <row r="654" ht="15.75" customHeight="1">
      <c r="A654" s="151" t="str">
        <f t="array" ref="A654">IFERROR(INDEX(Sales!$E$7:$E$1506,MATCH(ROW()-4,Sales!$W$7:$W$1506,0)),"")</f>
        <v/>
      </c>
      <c r="B654" s="152" t="str">
        <f t="array" ref="B654">IF($A654="","",IFERROR(INDEX(Sales!$A:$A,MATCH($A654,Sales!$E:$E,0)),""))</f>
        <v/>
      </c>
      <c r="C654" s="153" t="str">
        <f t="array" ref="C654">IF($A654="","",IFERROR(INDEX(Sales!$D:$D,MATCH($A654,Sales!$E:$E,0)),""))</f>
        <v/>
      </c>
      <c r="D654" s="153" t="str">
        <f t="array" ref="D654">IF($A654="","",IFERROR(INDEX(Sales!$C:$C,MATCH($A654,Sales!$E:$E,0)),""))</f>
        <v/>
      </c>
      <c r="E654" s="154" t="str">
        <f>IF($A654="","",SUMIFS(Sales!$H:$H,Sales!$E:$E,$A654,Sales!$B:$B,"&lt;&gt;Return"))</f>
        <v/>
      </c>
      <c r="F654" s="155" t="str">
        <f>IF($A654="","",SUMIF(Sales!$E:$E,$A654,Sales!$L:$L))</f>
        <v/>
      </c>
      <c r="G654" s="155" t="str">
        <f>IF($A654="","",SUMIF(Sales!$E:$E,$A654,Sales!$P:$P))</f>
        <v/>
      </c>
      <c r="H654" s="156" t="str">
        <f t="array" ref="H654">IF($A654="","",IFERROR(INDEX(Orders!$O$5:$O$1004,MATCH($A654,Orders!$N$5:$N$1004,0)),""))</f>
        <v/>
      </c>
      <c r="I654" s="156" t="str">
        <f t="array" ref="I654">IF($A654="","",IFERROR(INDEX(Orders!$P$5:$P$1004,MATCH($A654,Orders!$N$5:$N$1004,0)),""))</f>
        <v/>
      </c>
      <c r="J654" s="157" t="str">
        <f t="shared" si="1"/>
        <v/>
      </c>
      <c r="K654" s="153" t="str">
        <f t="array" ref="K654">IF($A654="","",IFERROR(INDEX(Sales!$M:$M,MATCH($A654,Sales!$E:$E,0)),""))</f>
        <v/>
      </c>
      <c r="L654" s="158" t="str">
        <f t="shared" si="2"/>
        <v/>
      </c>
      <c r="N654" s="49" t="str">
        <f t="array" ref="N654">IFERROR(INDEX(Sales!$E$7:$E$1506,MATCH(ROW()-4,Sales!$V$7:$V$1506,0)),"")</f>
        <v/>
      </c>
      <c r="O654" s="67"/>
      <c r="P654" s="67"/>
    </row>
    <row r="655" ht="15.75" customHeight="1">
      <c r="A655" s="151" t="str">
        <f t="array" ref="A655">IFERROR(INDEX(Sales!$E$7:$E$1506,MATCH(ROW()-4,Sales!$W$7:$W$1506,0)),"")</f>
        <v/>
      </c>
      <c r="B655" s="152" t="str">
        <f t="array" ref="B655">IF($A655="","",IFERROR(INDEX(Sales!$A:$A,MATCH($A655,Sales!$E:$E,0)),""))</f>
        <v/>
      </c>
      <c r="C655" s="153" t="str">
        <f t="array" ref="C655">IF($A655="","",IFERROR(INDEX(Sales!$D:$D,MATCH($A655,Sales!$E:$E,0)),""))</f>
        <v/>
      </c>
      <c r="D655" s="153" t="str">
        <f t="array" ref="D655">IF($A655="","",IFERROR(INDEX(Sales!$C:$C,MATCH($A655,Sales!$E:$E,0)),""))</f>
        <v/>
      </c>
      <c r="E655" s="154" t="str">
        <f>IF($A655="","",SUMIFS(Sales!$H:$H,Sales!$E:$E,$A655,Sales!$B:$B,"&lt;&gt;Return"))</f>
        <v/>
      </c>
      <c r="F655" s="155" t="str">
        <f>IF($A655="","",SUMIF(Sales!$E:$E,$A655,Sales!$L:$L))</f>
        <v/>
      </c>
      <c r="G655" s="155" t="str">
        <f>IF($A655="","",SUMIF(Sales!$E:$E,$A655,Sales!$P:$P))</f>
        <v/>
      </c>
      <c r="H655" s="156" t="str">
        <f t="array" ref="H655">IF($A655="","",IFERROR(INDEX(Orders!$O$5:$O$1004,MATCH($A655,Orders!$N$5:$N$1004,0)),""))</f>
        <v/>
      </c>
      <c r="I655" s="156" t="str">
        <f t="array" ref="I655">IF($A655="","",IFERROR(INDEX(Orders!$P$5:$P$1004,MATCH($A655,Orders!$N$5:$N$1004,0)),""))</f>
        <v/>
      </c>
      <c r="J655" s="157" t="str">
        <f t="shared" si="1"/>
        <v/>
      </c>
      <c r="K655" s="153" t="str">
        <f t="array" ref="K655">IF($A655="","",IFERROR(INDEX(Sales!$M:$M,MATCH($A655,Sales!$E:$E,0)),""))</f>
        <v/>
      </c>
      <c r="L655" s="158" t="str">
        <f t="shared" si="2"/>
        <v/>
      </c>
      <c r="N655" s="49" t="str">
        <f t="array" ref="N655">IFERROR(INDEX(Sales!$E$7:$E$1506,MATCH(ROW()-4,Sales!$V$7:$V$1506,0)),"")</f>
        <v/>
      </c>
      <c r="O655" s="67"/>
      <c r="P655" s="67"/>
    </row>
    <row r="656" ht="15.75" customHeight="1">
      <c r="A656" s="151" t="str">
        <f t="array" ref="A656">IFERROR(INDEX(Sales!$E$7:$E$1506,MATCH(ROW()-4,Sales!$W$7:$W$1506,0)),"")</f>
        <v/>
      </c>
      <c r="B656" s="152" t="str">
        <f t="array" ref="B656">IF($A656="","",IFERROR(INDEX(Sales!$A:$A,MATCH($A656,Sales!$E:$E,0)),""))</f>
        <v/>
      </c>
      <c r="C656" s="153" t="str">
        <f t="array" ref="C656">IF($A656="","",IFERROR(INDEX(Sales!$D:$D,MATCH($A656,Sales!$E:$E,0)),""))</f>
        <v/>
      </c>
      <c r="D656" s="153" t="str">
        <f t="array" ref="D656">IF($A656="","",IFERROR(INDEX(Sales!$C:$C,MATCH($A656,Sales!$E:$E,0)),""))</f>
        <v/>
      </c>
      <c r="E656" s="154" t="str">
        <f>IF($A656="","",SUMIFS(Sales!$H:$H,Sales!$E:$E,$A656,Sales!$B:$B,"&lt;&gt;Return"))</f>
        <v/>
      </c>
      <c r="F656" s="155" t="str">
        <f>IF($A656="","",SUMIF(Sales!$E:$E,$A656,Sales!$L:$L))</f>
        <v/>
      </c>
      <c r="G656" s="155" t="str">
        <f>IF($A656="","",SUMIF(Sales!$E:$E,$A656,Sales!$P:$P))</f>
        <v/>
      </c>
      <c r="H656" s="156" t="str">
        <f t="array" ref="H656">IF($A656="","",IFERROR(INDEX(Orders!$O$5:$O$1004,MATCH($A656,Orders!$N$5:$N$1004,0)),""))</f>
        <v/>
      </c>
      <c r="I656" s="156" t="str">
        <f t="array" ref="I656">IF($A656="","",IFERROR(INDEX(Orders!$P$5:$P$1004,MATCH($A656,Orders!$N$5:$N$1004,0)),""))</f>
        <v/>
      </c>
      <c r="J656" s="157" t="str">
        <f t="shared" si="1"/>
        <v/>
      </c>
      <c r="K656" s="153" t="str">
        <f t="array" ref="K656">IF($A656="","",IFERROR(INDEX(Sales!$M:$M,MATCH($A656,Sales!$E:$E,0)),""))</f>
        <v/>
      </c>
      <c r="L656" s="158" t="str">
        <f t="shared" si="2"/>
        <v/>
      </c>
      <c r="N656" s="49" t="str">
        <f t="array" ref="N656">IFERROR(INDEX(Sales!$E$7:$E$1506,MATCH(ROW()-4,Sales!$V$7:$V$1506,0)),"")</f>
        <v/>
      </c>
      <c r="O656" s="67"/>
      <c r="P656" s="67"/>
    </row>
    <row r="657" ht="15.75" customHeight="1">
      <c r="A657" s="151" t="str">
        <f t="array" ref="A657">IFERROR(INDEX(Sales!$E$7:$E$1506,MATCH(ROW()-4,Sales!$W$7:$W$1506,0)),"")</f>
        <v/>
      </c>
      <c r="B657" s="152" t="str">
        <f t="array" ref="B657">IF($A657="","",IFERROR(INDEX(Sales!$A:$A,MATCH($A657,Sales!$E:$E,0)),""))</f>
        <v/>
      </c>
      <c r="C657" s="153" t="str">
        <f t="array" ref="C657">IF($A657="","",IFERROR(INDEX(Sales!$D:$D,MATCH($A657,Sales!$E:$E,0)),""))</f>
        <v/>
      </c>
      <c r="D657" s="153" t="str">
        <f t="array" ref="D657">IF($A657="","",IFERROR(INDEX(Sales!$C:$C,MATCH($A657,Sales!$E:$E,0)),""))</f>
        <v/>
      </c>
      <c r="E657" s="154" t="str">
        <f>IF($A657="","",SUMIFS(Sales!$H:$H,Sales!$E:$E,$A657,Sales!$B:$B,"&lt;&gt;Return"))</f>
        <v/>
      </c>
      <c r="F657" s="155" t="str">
        <f>IF($A657="","",SUMIF(Sales!$E:$E,$A657,Sales!$L:$L))</f>
        <v/>
      </c>
      <c r="G657" s="155" t="str">
        <f>IF($A657="","",SUMIF(Sales!$E:$E,$A657,Sales!$P:$P))</f>
        <v/>
      </c>
      <c r="H657" s="156" t="str">
        <f t="array" ref="H657">IF($A657="","",IFERROR(INDEX(Orders!$O$5:$O$1004,MATCH($A657,Orders!$N$5:$N$1004,0)),""))</f>
        <v/>
      </c>
      <c r="I657" s="156" t="str">
        <f t="array" ref="I657">IF($A657="","",IFERROR(INDEX(Orders!$P$5:$P$1004,MATCH($A657,Orders!$N$5:$N$1004,0)),""))</f>
        <v/>
      </c>
      <c r="J657" s="157" t="str">
        <f t="shared" si="1"/>
        <v/>
      </c>
      <c r="K657" s="153" t="str">
        <f t="array" ref="K657">IF($A657="","",IFERROR(INDEX(Sales!$M:$M,MATCH($A657,Sales!$E:$E,0)),""))</f>
        <v/>
      </c>
      <c r="L657" s="158" t="str">
        <f t="shared" si="2"/>
        <v/>
      </c>
      <c r="N657" s="49" t="str">
        <f t="array" ref="N657">IFERROR(INDEX(Sales!$E$7:$E$1506,MATCH(ROW()-4,Sales!$V$7:$V$1506,0)),"")</f>
        <v/>
      </c>
      <c r="O657" s="67"/>
      <c r="P657" s="67"/>
    </row>
    <row r="658" ht="15.75" customHeight="1">
      <c r="A658" s="151" t="str">
        <f t="array" ref="A658">IFERROR(INDEX(Sales!$E$7:$E$1506,MATCH(ROW()-4,Sales!$W$7:$W$1506,0)),"")</f>
        <v/>
      </c>
      <c r="B658" s="152" t="str">
        <f t="array" ref="B658">IF($A658="","",IFERROR(INDEX(Sales!$A:$A,MATCH($A658,Sales!$E:$E,0)),""))</f>
        <v/>
      </c>
      <c r="C658" s="153" t="str">
        <f t="array" ref="C658">IF($A658="","",IFERROR(INDEX(Sales!$D:$D,MATCH($A658,Sales!$E:$E,0)),""))</f>
        <v/>
      </c>
      <c r="D658" s="153" t="str">
        <f t="array" ref="D658">IF($A658="","",IFERROR(INDEX(Sales!$C:$C,MATCH($A658,Sales!$E:$E,0)),""))</f>
        <v/>
      </c>
      <c r="E658" s="154" t="str">
        <f>IF($A658="","",SUMIFS(Sales!$H:$H,Sales!$E:$E,$A658,Sales!$B:$B,"&lt;&gt;Return"))</f>
        <v/>
      </c>
      <c r="F658" s="155" t="str">
        <f>IF($A658="","",SUMIF(Sales!$E:$E,$A658,Sales!$L:$L))</f>
        <v/>
      </c>
      <c r="G658" s="155" t="str">
        <f>IF($A658="","",SUMIF(Sales!$E:$E,$A658,Sales!$P:$P))</f>
        <v/>
      </c>
      <c r="H658" s="156" t="str">
        <f t="array" ref="H658">IF($A658="","",IFERROR(INDEX(Orders!$O$5:$O$1004,MATCH($A658,Orders!$N$5:$N$1004,0)),""))</f>
        <v/>
      </c>
      <c r="I658" s="156" t="str">
        <f t="array" ref="I658">IF($A658="","",IFERROR(INDEX(Orders!$P$5:$P$1004,MATCH($A658,Orders!$N$5:$N$1004,0)),""))</f>
        <v/>
      </c>
      <c r="J658" s="157" t="str">
        <f t="shared" si="1"/>
        <v/>
      </c>
      <c r="K658" s="153" t="str">
        <f t="array" ref="K658">IF($A658="","",IFERROR(INDEX(Sales!$M:$M,MATCH($A658,Sales!$E:$E,0)),""))</f>
        <v/>
      </c>
      <c r="L658" s="158" t="str">
        <f t="shared" si="2"/>
        <v/>
      </c>
      <c r="N658" s="49" t="str">
        <f t="array" ref="N658">IFERROR(INDEX(Sales!$E$7:$E$1506,MATCH(ROW()-4,Sales!$V$7:$V$1506,0)),"")</f>
        <v/>
      </c>
      <c r="O658" s="67"/>
      <c r="P658" s="67"/>
    </row>
    <row r="659" ht="15.75" customHeight="1">
      <c r="A659" s="151" t="str">
        <f t="array" ref="A659">IFERROR(INDEX(Sales!$E$7:$E$1506,MATCH(ROW()-4,Sales!$W$7:$W$1506,0)),"")</f>
        <v/>
      </c>
      <c r="B659" s="152" t="str">
        <f t="array" ref="B659">IF($A659="","",IFERROR(INDEX(Sales!$A:$A,MATCH($A659,Sales!$E:$E,0)),""))</f>
        <v/>
      </c>
      <c r="C659" s="153" t="str">
        <f t="array" ref="C659">IF($A659="","",IFERROR(INDEX(Sales!$D:$D,MATCH($A659,Sales!$E:$E,0)),""))</f>
        <v/>
      </c>
      <c r="D659" s="153" t="str">
        <f t="array" ref="D659">IF($A659="","",IFERROR(INDEX(Sales!$C:$C,MATCH($A659,Sales!$E:$E,0)),""))</f>
        <v/>
      </c>
      <c r="E659" s="154" t="str">
        <f>IF($A659="","",SUMIFS(Sales!$H:$H,Sales!$E:$E,$A659,Sales!$B:$B,"&lt;&gt;Return"))</f>
        <v/>
      </c>
      <c r="F659" s="155" t="str">
        <f>IF($A659="","",SUMIF(Sales!$E:$E,$A659,Sales!$L:$L))</f>
        <v/>
      </c>
      <c r="G659" s="155" t="str">
        <f>IF($A659="","",SUMIF(Sales!$E:$E,$A659,Sales!$P:$P))</f>
        <v/>
      </c>
      <c r="H659" s="156" t="str">
        <f t="array" ref="H659">IF($A659="","",IFERROR(INDEX(Orders!$O$5:$O$1004,MATCH($A659,Orders!$N$5:$N$1004,0)),""))</f>
        <v/>
      </c>
      <c r="I659" s="156" t="str">
        <f t="array" ref="I659">IF($A659="","",IFERROR(INDEX(Orders!$P$5:$P$1004,MATCH($A659,Orders!$N$5:$N$1004,0)),""))</f>
        <v/>
      </c>
      <c r="J659" s="157" t="str">
        <f t="shared" si="1"/>
        <v/>
      </c>
      <c r="K659" s="153" t="str">
        <f t="array" ref="K659">IF($A659="","",IFERROR(INDEX(Sales!$M:$M,MATCH($A659,Sales!$E:$E,0)),""))</f>
        <v/>
      </c>
      <c r="L659" s="158" t="str">
        <f t="shared" si="2"/>
        <v/>
      </c>
      <c r="N659" s="49" t="str">
        <f t="array" ref="N659">IFERROR(INDEX(Sales!$E$7:$E$1506,MATCH(ROW()-4,Sales!$V$7:$V$1506,0)),"")</f>
        <v/>
      </c>
      <c r="O659" s="67"/>
      <c r="P659" s="67"/>
    </row>
    <row r="660" ht="15.75" customHeight="1">
      <c r="A660" s="151" t="str">
        <f t="array" ref="A660">IFERROR(INDEX(Sales!$E$7:$E$1506,MATCH(ROW()-4,Sales!$W$7:$W$1506,0)),"")</f>
        <v/>
      </c>
      <c r="B660" s="152" t="str">
        <f t="array" ref="B660">IF($A660="","",IFERROR(INDEX(Sales!$A:$A,MATCH($A660,Sales!$E:$E,0)),""))</f>
        <v/>
      </c>
      <c r="C660" s="153" t="str">
        <f t="array" ref="C660">IF($A660="","",IFERROR(INDEX(Sales!$D:$D,MATCH($A660,Sales!$E:$E,0)),""))</f>
        <v/>
      </c>
      <c r="D660" s="153" t="str">
        <f t="array" ref="D660">IF($A660="","",IFERROR(INDEX(Sales!$C:$C,MATCH($A660,Sales!$E:$E,0)),""))</f>
        <v/>
      </c>
      <c r="E660" s="154" t="str">
        <f>IF($A660="","",SUMIFS(Sales!$H:$H,Sales!$E:$E,$A660,Sales!$B:$B,"&lt;&gt;Return"))</f>
        <v/>
      </c>
      <c r="F660" s="155" t="str">
        <f>IF($A660="","",SUMIF(Sales!$E:$E,$A660,Sales!$L:$L))</f>
        <v/>
      </c>
      <c r="G660" s="155" t="str">
        <f>IF($A660="","",SUMIF(Sales!$E:$E,$A660,Sales!$P:$P))</f>
        <v/>
      </c>
      <c r="H660" s="156" t="str">
        <f t="array" ref="H660">IF($A660="","",IFERROR(INDEX(Orders!$O$5:$O$1004,MATCH($A660,Orders!$N$5:$N$1004,0)),""))</f>
        <v/>
      </c>
      <c r="I660" s="156" t="str">
        <f t="array" ref="I660">IF($A660="","",IFERROR(INDEX(Orders!$P$5:$P$1004,MATCH($A660,Orders!$N$5:$N$1004,0)),""))</f>
        <v/>
      </c>
      <c r="J660" s="157" t="str">
        <f t="shared" si="1"/>
        <v/>
      </c>
      <c r="K660" s="153" t="str">
        <f t="array" ref="K660">IF($A660="","",IFERROR(INDEX(Sales!$M:$M,MATCH($A660,Sales!$E:$E,0)),""))</f>
        <v/>
      </c>
      <c r="L660" s="158" t="str">
        <f t="shared" si="2"/>
        <v/>
      </c>
      <c r="N660" s="49" t="str">
        <f t="array" ref="N660">IFERROR(INDEX(Sales!$E$7:$E$1506,MATCH(ROW()-4,Sales!$V$7:$V$1506,0)),"")</f>
        <v/>
      </c>
      <c r="O660" s="67"/>
      <c r="P660" s="67"/>
    </row>
    <row r="661" ht="15.75" customHeight="1">
      <c r="A661" s="151" t="str">
        <f t="array" ref="A661">IFERROR(INDEX(Sales!$E$7:$E$1506,MATCH(ROW()-4,Sales!$W$7:$W$1506,0)),"")</f>
        <v/>
      </c>
      <c r="B661" s="152" t="str">
        <f t="array" ref="B661">IF($A661="","",IFERROR(INDEX(Sales!$A:$A,MATCH($A661,Sales!$E:$E,0)),""))</f>
        <v/>
      </c>
      <c r="C661" s="153" t="str">
        <f t="array" ref="C661">IF($A661="","",IFERROR(INDEX(Sales!$D:$D,MATCH($A661,Sales!$E:$E,0)),""))</f>
        <v/>
      </c>
      <c r="D661" s="153" t="str">
        <f t="array" ref="D661">IF($A661="","",IFERROR(INDEX(Sales!$C:$C,MATCH($A661,Sales!$E:$E,0)),""))</f>
        <v/>
      </c>
      <c r="E661" s="154" t="str">
        <f>IF($A661="","",SUMIFS(Sales!$H:$H,Sales!$E:$E,$A661,Sales!$B:$B,"&lt;&gt;Return"))</f>
        <v/>
      </c>
      <c r="F661" s="155" t="str">
        <f>IF($A661="","",SUMIF(Sales!$E:$E,$A661,Sales!$L:$L))</f>
        <v/>
      </c>
      <c r="G661" s="155" t="str">
        <f>IF($A661="","",SUMIF(Sales!$E:$E,$A661,Sales!$P:$P))</f>
        <v/>
      </c>
      <c r="H661" s="156" t="str">
        <f t="array" ref="H661">IF($A661="","",IFERROR(INDEX(Orders!$O$5:$O$1004,MATCH($A661,Orders!$N$5:$N$1004,0)),""))</f>
        <v/>
      </c>
      <c r="I661" s="156" t="str">
        <f t="array" ref="I661">IF($A661="","",IFERROR(INDEX(Orders!$P$5:$P$1004,MATCH($A661,Orders!$N$5:$N$1004,0)),""))</f>
        <v/>
      </c>
      <c r="J661" s="157" t="str">
        <f t="shared" si="1"/>
        <v/>
      </c>
      <c r="K661" s="153" t="str">
        <f t="array" ref="K661">IF($A661="","",IFERROR(INDEX(Sales!$M:$M,MATCH($A661,Sales!$E:$E,0)),""))</f>
        <v/>
      </c>
      <c r="L661" s="158" t="str">
        <f t="shared" si="2"/>
        <v/>
      </c>
      <c r="N661" s="49" t="str">
        <f t="array" ref="N661">IFERROR(INDEX(Sales!$E$7:$E$1506,MATCH(ROW()-4,Sales!$V$7:$V$1506,0)),"")</f>
        <v/>
      </c>
      <c r="O661" s="67"/>
      <c r="P661" s="67"/>
    </row>
    <row r="662" ht="15.75" customHeight="1">
      <c r="A662" s="151" t="str">
        <f t="array" ref="A662">IFERROR(INDEX(Sales!$E$7:$E$1506,MATCH(ROW()-4,Sales!$W$7:$W$1506,0)),"")</f>
        <v/>
      </c>
      <c r="B662" s="152" t="str">
        <f t="array" ref="B662">IF($A662="","",IFERROR(INDEX(Sales!$A:$A,MATCH($A662,Sales!$E:$E,0)),""))</f>
        <v/>
      </c>
      <c r="C662" s="153" t="str">
        <f t="array" ref="C662">IF($A662="","",IFERROR(INDEX(Sales!$D:$D,MATCH($A662,Sales!$E:$E,0)),""))</f>
        <v/>
      </c>
      <c r="D662" s="153" t="str">
        <f t="array" ref="D662">IF($A662="","",IFERROR(INDEX(Sales!$C:$C,MATCH($A662,Sales!$E:$E,0)),""))</f>
        <v/>
      </c>
      <c r="E662" s="154" t="str">
        <f>IF($A662="","",SUMIFS(Sales!$H:$H,Sales!$E:$E,$A662,Sales!$B:$B,"&lt;&gt;Return"))</f>
        <v/>
      </c>
      <c r="F662" s="155" t="str">
        <f>IF($A662="","",SUMIF(Sales!$E:$E,$A662,Sales!$L:$L))</f>
        <v/>
      </c>
      <c r="G662" s="155" t="str">
        <f>IF($A662="","",SUMIF(Sales!$E:$E,$A662,Sales!$P:$P))</f>
        <v/>
      </c>
      <c r="H662" s="156" t="str">
        <f t="array" ref="H662">IF($A662="","",IFERROR(INDEX(Orders!$O$5:$O$1004,MATCH($A662,Orders!$N$5:$N$1004,0)),""))</f>
        <v/>
      </c>
      <c r="I662" s="156" t="str">
        <f t="array" ref="I662">IF($A662="","",IFERROR(INDEX(Orders!$P$5:$P$1004,MATCH($A662,Orders!$N$5:$N$1004,0)),""))</f>
        <v/>
      </c>
      <c r="J662" s="157" t="str">
        <f t="shared" si="1"/>
        <v/>
      </c>
      <c r="K662" s="153" t="str">
        <f t="array" ref="K662">IF($A662="","",IFERROR(INDEX(Sales!$M:$M,MATCH($A662,Sales!$E:$E,0)),""))</f>
        <v/>
      </c>
      <c r="L662" s="158" t="str">
        <f t="shared" si="2"/>
        <v/>
      </c>
      <c r="N662" s="49" t="str">
        <f t="array" ref="N662">IFERROR(INDEX(Sales!$E$7:$E$1506,MATCH(ROW()-4,Sales!$V$7:$V$1506,0)),"")</f>
        <v/>
      </c>
      <c r="O662" s="67"/>
      <c r="P662" s="67"/>
    </row>
    <row r="663" ht="15.75" customHeight="1">
      <c r="A663" s="151" t="str">
        <f t="array" ref="A663">IFERROR(INDEX(Sales!$E$7:$E$1506,MATCH(ROW()-4,Sales!$W$7:$W$1506,0)),"")</f>
        <v/>
      </c>
      <c r="B663" s="152" t="str">
        <f t="array" ref="B663">IF($A663="","",IFERROR(INDEX(Sales!$A:$A,MATCH($A663,Sales!$E:$E,0)),""))</f>
        <v/>
      </c>
      <c r="C663" s="153" t="str">
        <f t="array" ref="C663">IF($A663="","",IFERROR(INDEX(Sales!$D:$D,MATCH($A663,Sales!$E:$E,0)),""))</f>
        <v/>
      </c>
      <c r="D663" s="153" t="str">
        <f t="array" ref="D663">IF($A663="","",IFERROR(INDEX(Sales!$C:$C,MATCH($A663,Sales!$E:$E,0)),""))</f>
        <v/>
      </c>
      <c r="E663" s="154" t="str">
        <f>IF($A663="","",SUMIFS(Sales!$H:$H,Sales!$E:$E,$A663,Sales!$B:$B,"&lt;&gt;Return"))</f>
        <v/>
      </c>
      <c r="F663" s="155" t="str">
        <f>IF($A663="","",SUMIF(Sales!$E:$E,$A663,Sales!$L:$L))</f>
        <v/>
      </c>
      <c r="G663" s="155" t="str">
        <f>IF($A663="","",SUMIF(Sales!$E:$E,$A663,Sales!$P:$P))</f>
        <v/>
      </c>
      <c r="H663" s="156" t="str">
        <f t="array" ref="H663">IF($A663="","",IFERROR(INDEX(Orders!$O$5:$O$1004,MATCH($A663,Orders!$N$5:$N$1004,0)),""))</f>
        <v/>
      </c>
      <c r="I663" s="156" t="str">
        <f t="array" ref="I663">IF($A663="","",IFERROR(INDEX(Orders!$P$5:$P$1004,MATCH($A663,Orders!$N$5:$N$1004,0)),""))</f>
        <v/>
      </c>
      <c r="J663" s="157" t="str">
        <f t="shared" si="1"/>
        <v/>
      </c>
      <c r="K663" s="153" t="str">
        <f t="array" ref="K663">IF($A663="","",IFERROR(INDEX(Sales!$M:$M,MATCH($A663,Sales!$E:$E,0)),""))</f>
        <v/>
      </c>
      <c r="L663" s="158" t="str">
        <f t="shared" si="2"/>
        <v/>
      </c>
      <c r="N663" s="49" t="str">
        <f t="array" ref="N663">IFERROR(INDEX(Sales!$E$7:$E$1506,MATCH(ROW()-4,Sales!$V$7:$V$1506,0)),"")</f>
        <v/>
      </c>
      <c r="O663" s="67"/>
      <c r="P663" s="67"/>
    </row>
    <row r="664" ht="15.75" customHeight="1">
      <c r="A664" s="151" t="str">
        <f t="array" ref="A664">IFERROR(INDEX(Sales!$E$7:$E$1506,MATCH(ROW()-4,Sales!$W$7:$W$1506,0)),"")</f>
        <v/>
      </c>
      <c r="B664" s="152" t="str">
        <f t="array" ref="B664">IF($A664="","",IFERROR(INDEX(Sales!$A:$A,MATCH($A664,Sales!$E:$E,0)),""))</f>
        <v/>
      </c>
      <c r="C664" s="153" t="str">
        <f t="array" ref="C664">IF($A664="","",IFERROR(INDEX(Sales!$D:$D,MATCH($A664,Sales!$E:$E,0)),""))</f>
        <v/>
      </c>
      <c r="D664" s="153" t="str">
        <f t="array" ref="D664">IF($A664="","",IFERROR(INDEX(Sales!$C:$C,MATCH($A664,Sales!$E:$E,0)),""))</f>
        <v/>
      </c>
      <c r="E664" s="154" t="str">
        <f>IF($A664="","",SUMIFS(Sales!$H:$H,Sales!$E:$E,$A664,Sales!$B:$B,"&lt;&gt;Return"))</f>
        <v/>
      </c>
      <c r="F664" s="155" t="str">
        <f>IF($A664="","",SUMIF(Sales!$E:$E,$A664,Sales!$L:$L))</f>
        <v/>
      </c>
      <c r="G664" s="155" t="str">
        <f>IF($A664="","",SUMIF(Sales!$E:$E,$A664,Sales!$P:$P))</f>
        <v/>
      </c>
      <c r="H664" s="156" t="str">
        <f t="array" ref="H664">IF($A664="","",IFERROR(INDEX(Orders!$O$5:$O$1004,MATCH($A664,Orders!$N$5:$N$1004,0)),""))</f>
        <v/>
      </c>
      <c r="I664" s="156" t="str">
        <f t="array" ref="I664">IF($A664="","",IFERROR(INDEX(Orders!$P$5:$P$1004,MATCH($A664,Orders!$N$5:$N$1004,0)),""))</f>
        <v/>
      </c>
      <c r="J664" s="157" t="str">
        <f t="shared" si="1"/>
        <v/>
      </c>
      <c r="K664" s="153" t="str">
        <f t="array" ref="K664">IF($A664="","",IFERROR(INDEX(Sales!$M:$M,MATCH($A664,Sales!$E:$E,0)),""))</f>
        <v/>
      </c>
      <c r="L664" s="158" t="str">
        <f t="shared" si="2"/>
        <v/>
      </c>
      <c r="N664" s="49" t="str">
        <f t="array" ref="N664">IFERROR(INDEX(Sales!$E$7:$E$1506,MATCH(ROW()-4,Sales!$V$7:$V$1506,0)),"")</f>
        <v/>
      </c>
      <c r="O664" s="67"/>
      <c r="P664" s="67"/>
    </row>
    <row r="665" ht="15.75" customHeight="1">
      <c r="A665" s="151" t="str">
        <f t="array" ref="A665">IFERROR(INDEX(Sales!$E$7:$E$1506,MATCH(ROW()-4,Sales!$W$7:$W$1506,0)),"")</f>
        <v/>
      </c>
      <c r="B665" s="152" t="str">
        <f t="array" ref="B665">IF($A665="","",IFERROR(INDEX(Sales!$A:$A,MATCH($A665,Sales!$E:$E,0)),""))</f>
        <v/>
      </c>
      <c r="C665" s="153" t="str">
        <f t="array" ref="C665">IF($A665="","",IFERROR(INDEX(Sales!$D:$D,MATCH($A665,Sales!$E:$E,0)),""))</f>
        <v/>
      </c>
      <c r="D665" s="153" t="str">
        <f t="array" ref="D665">IF($A665="","",IFERROR(INDEX(Sales!$C:$C,MATCH($A665,Sales!$E:$E,0)),""))</f>
        <v/>
      </c>
      <c r="E665" s="154" t="str">
        <f>IF($A665="","",SUMIFS(Sales!$H:$H,Sales!$E:$E,$A665,Sales!$B:$B,"&lt;&gt;Return"))</f>
        <v/>
      </c>
      <c r="F665" s="155" t="str">
        <f>IF($A665="","",SUMIF(Sales!$E:$E,$A665,Sales!$L:$L))</f>
        <v/>
      </c>
      <c r="G665" s="155" t="str">
        <f>IF($A665="","",SUMIF(Sales!$E:$E,$A665,Sales!$P:$P))</f>
        <v/>
      </c>
      <c r="H665" s="156" t="str">
        <f t="array" ref="H665">IF($A665="","",IFERROR(INDEX(Orders!$O$5:$O$1004,MATCH($A665,Orders!$N$5:$N$1004,0)),""))</f>
        <v/>
      </c>
      <c r="I665" s="156" t="str">
        <f t="array" ref="I665">IF($A665="","",IFERROR(INDEX(Orders!$P$5:$P$1004,MATCH($A665,Orders!$N$5:$N$1004,0)),""))</f>
        <v/>
      </c>
      <c r="J665" s="157" t="str">
        <f t="shared" si="1"/>
        <v/>
      </c>
      <c r="K665" s="153" t="str">
        <f t="array" ref="K665">IF($A665="","",IFERROR(INDEX(Sales!$M:$M,MATCH($A665,Sales!$E:$E,0)),""))</f>
        <v/>
      </c>
      <c r="L665" s="158" t="str">
        <f t="shared" si="2"/>
        <v/>
      </c>
      <c r="N665" s="49" t="str">
        <f t="array" ref="N665">IFERROR(INDEX(Sales!$E$7:$E$1506,MATCH(ROW()-4,Sales!$V$7:$V$1506,0)),"")</f>
        <v/>
      </c>
      <c r="O665" s="67"/>
      <c r="P665" s="67"/>
    </row>
    <row r="666" ht="15.75" customHeight="1">
      <c r="A666" s="151" t="str">
        <f t="array" ref="A666">IFERROR(INDEX(Sales!$E$7:$E$1506,MATCH(ROW()-4,Sales!$W$7:$W$1506,0)),"")</f>
        <v/>
      </c>
      <c r="B666" s="152" t="str">
        <f t="array" ref="B666">IF($A666="","",IFERROR(INDEX(Sales!$A:$A,MATCH($A666,Sales!$E:$E,0)),""))</f>
        <v/>
      </c>
      <c r="C666" s="153" t="str">
        <f t="array" ref="C666">IF($A666="","",IFERROR(INDEX(Sales!$D:$D,MATCH($A666,Sales!$E:$E,0)),""))</f>
        <v/>
      </c>
      <c r="D666" s="153" t="str">
        <f t="array" ref="D666">IF($A666="","",IFERROR(INDEX(Sales!$C:$C,MATCH($A666,Sales!$E:$E,0)),""))</f>
        <v/>
      </c>
      <c r="E666" s="154" t="str">
        <f>IF($A666="","",SUMIFS(Sales!$H:$H,Sales!$E:$E,$A666,Sales!$B:$B,"&lt;&gt;Return"))</f>
        <v/>
      </c>
      <c r="F666" s="155" t="str">
        <f>IF($A666="","",SUMIF(Sales!$E:$E,$A666,Sales!$L:$L))</f>
        <v/>
      </c>
      <c r="G666" s="155" t="str">
        <f>IF($A666="","",SUMIF(Sales!$E:$E,$A666,Sales!$P:$P))</f>
        <v/>
      </c>
      <c r="H666" s="156" t="str">
        <f t="array" ref="H666">IF($A666="","",IFERROR(INDEX(Orders!$O$5:$O$1004,MATCH($A666,Orders!$N$5:$N$1004,0)),""))</f>
        <v/>
      </c>
      <c r="I666" s="156" t="str">
        <f t="array" ref="I666">IF($A666="","",IFERROR(INDEX(Orders!$P$5:$P$1004,MATCH($A666,Orders!$N$5:$N$1004,0)),""))</f>
        <v/>
      </c>
      <c r="J666" s="157" t="str">
        <f t="shared" si="1"/>
        <v/>
      </c>
      <c r="K666" s="153" t="str">
        <f t="array" ref="K666">IF($A666="","",IFERROR(INDEX(Sales!$M:$M,MATCH($A666,Sales!$E:$E,0)),""))</f>
        <v/>
      </c>
      <c r="L666" s="158" t="str">
        <f t="shared" si="2"/>
        <v/>
      </c>
      <c r="N666" s="49" t="str">
        <f t="array" ref="N666">IFERROR(INDEX(Sales!$E$7:$E$1506,MATCH(ROW()-4,Sales!$V$7:$V$1506,0)),"")</f>
        <v/>
      </c>
      <c r="O666" s="67"/>
      <c r="P666" s="67"/>
    </row>
    <row r="667" ht="15.75" customHeight="1">
      <c r="A667" s="151" t="str">
        <f t="array" ref="A667">IFERROR(INDEX(Sales!$E$7:$E$1506,MATCH(ROW()-4,Sales!$W$7:$W$1506,0)),"")</f>
        <v/>
      </c>
      <c r="B667" s="152" t="str">
        <f t="array" ref="B667">IF($A667="","",IFERROR(INDEX(Sales!$A:$A,MATCH($A667,Sales!$E:$E,0)),""))</f>
        <v/>
      </c>
      <c r="C667" s="153" t="str">
        <f t="array" ref="C667">IF($A667="","",IFERROR(INDEX(Sales!$D:$D,MATCH($A667,Sales!$E:$E,0)),""))</f>
        <v/>
      </c>
      <c r="D667" s="153" t="str">
        <f t="array" ref="D667">IF($A667="","",IFERROR(INDEX(Sales!$C:$C,MATCH($A667,Sales!$E:$E,0)),""))</f>
        <v/>
      </c>
      <c r="E667" s="154" t="str">
        <f>IF($A667="","",SUMIFS(Sales!$H:$H,Sales!$E:$E,$A667,Sales!$B:$B,"&lt;&gt;Return"))</f>
        <v/>
      </c>
      <c r="F667" s="155" t="str">
        <f>IF($A667="","",SUMIF(Sales!$E:$E,$A667,Sales!$L:$L))</f>
        <v/>
      </c>
      <c r="G667" s="155" t="str">
        <f>IF($A667="","",SUMIF(Sales!$E:$E,$A667,Sales!$P:$P))</f>
        <v/>
      </c>
      <c r="H667" s="156" t="str">
        <f t="array" ref="H667">IF($A667="","",IFERROR(INDEX(Orders!$O$5:$O$1004,MATCH($A667,Orders!$N$5:$N$1004,0)),""))</f>
        <v/>
      </c>
      <c r="I667" s="156" t="str">
        <f t="array" ref="I667">IF($A667="","",IFERROR(INDEX(Orders!$P$5:$P$1004,MATCH($A667,Orders!$N$5:$N$1004,0)),""))</f>
        <v/>
      </c>
      <c r="J667" s="157" t="str">
        <f t="shared" si="1"/>
        <v/>
      </c>
      <c r="K667" s="153" t="str">
        <f t="array" ref="K667">IF($A667="","",IFERROR(INDEX(Sales!$M:$M,MATCH($A667,Sales!$E:$E,0)),""))</f>
        <v/>
      </c>
      <c r="L667" s="158" t="str">
        <f t="shared" si="2"/>
        <v/>
      </c>
      <c r="N667" s="49" t="str">
        <f t="array" ref="N667">IFERROR(INDEX(Sales!$E$7:$E$1506,MATCH(ROW()-4,Sales!$V$7:$V$1506,0)),"")</f>
        <v/>
      </c>
      <c r="O667" s="67"/>
      <c r="P667" s="67"/>
    </row>
    <row r="668" ht="15.75" customHeight="1">
      <c r="A668" s="151" t="str">
        <f t="array" ref="A668">IFERROR(INDEX(Sales!$E$7:$E$1506,MATCH(ROW()-4,Sales!$W$7:$W$1506,0)),"")</f>
        <v/>
      </c>
      <c r="B668" s="152" t="str">
        <f t="array" ref="B668">IF($A668="","",IFERROR(INDEX(Sales!$A:$A,MATCH($A668,Sales!$E:$E,0)),""))</f>
        <v/>
      </c>
      <c r="C668" s="153" t="str">
        <f t="array" ref="C668">IF($A668="","",IFERROR(INDEX(Sales!$D:$D,MATCH($A668,Sales!$E:$E,0)),""))</f>
        <v/>
      </c>
      <c r="D668" s="153" t="str">
        <f t="array" ref="D668">IF($A668="","",IFERROR(INDEX(Sales!$C:$C,MATCH($A668,Sales!$E:$E,0)),""))</f>
        <v/>
      </c>
      <c r="E668" s="154" t="str">
        <f>IF($A668="","",SUMIFS(Sales!$H:$H,Sales!$E:$E,$A668,Sales!$B:$B,"&lt;&gt;Return"))</f>
        <v/>
      </c>
      <c r="F668" s="155" t="str">
        <f>IF($A668="","",SUMIF(Sales!$E:$E,$A668,Sales!$L:$L))</f>
        <v/>
      </c>
      <c r="G668" s="155" t="str">
        <f>IF($A668="","",SUMIF(Sales!$E:$E,$A668,Sales!$P:$P))</f>
        <v/>
      </c>
      <c r="H668" s="156" t="str">
        <f t="array" ref="H668">IF($A668="","",IFERROR(INDEX(Orders!$O$5:$O$1004,MATCH($A668,Orders!$N$5:$N$1004,0)),""))</f>
        <v/>
      </c>
      <c r="I668" s="156" t="str">
        <f t="array" ref="I668">IF($A668="","",IFERROR(INDEX(Orders!$P$5:$P$1004,MATCH($A668,Orders!$N$5:$N$1004,0)),""))</f>
        <v/>
      </c>
      <c r="J668" s="157" t="str">
        <f t="shared" si="1"/>
        <v/>
      </c>
      <c r="K668" s="153" t="str">
        <f t="array" ref="K668">IF($A668="","",IFERROR(INDEX(Sales!$M:$M,MATCH($A668,Sales!$E:$E,0)),""))</f>
        <v/>
      </c>
      <c r="L668" s="158" t="str">
        <f t="shared" si="2"/>
        <v/>
      </c>
      <c r="N668" s="49" t="str">
        <f t="array" ref="N668">IFERROR(INDEX(Sales!$E$7:$E$1506,MATCH(ROW()-4,Sales!$V$7:$V$1506,0)),"")</f>
        <v/>
      </c>
      <c r="O668" s="67"/>
      <c r="P668" s="67"/>
    </row>
    <row r="669" ht="15.75" customHeight="1">
      <c r="A669" s="151" t="str">
        <f t="array" ref="A669">IFERROR(INDEX(Sales!$E$7:$E$1506,MATCH(ROW()-4,Sales!$W$7:$W$1506,0)),"")</f>
        <v/>
      </c>
      <c r="B669" s="152" t="str">
        <f t="array" ref="B669">IF($A669="","",IFERROR(INDEX(Sales!$A:$A,MATCH($A669,Sales!$E:$E,0)),""))</f>
        <v/>
      </c>
      <c r="C669" s="153" t="str">
        <f t="array" ref="C669">IF($A669="","",IFERROR(INDEX(Sales!$D:$D,MATCH($A669,Sales!$E:$E,0)),""))</f>
        <v/>
      </c>
      <c r="D669" s="153" t="str">
        <f t="array" ref="D669">IF($A669="","",IFERROR(INDEX(Sales!$C:$C,MATCH($A669,Sales!$E:$E,0)),""))</f>
        <v/>
      </c>
      <c r="E669" s="154" t="str">
        <f>IF($A669="","",SUMIFS(Sales!$H:$H,Sales!$E:$E,$A669,Sales!$B:$B,"&lt;&gt;Return"))</f>
        <v/>
      </c>
      <c r="F669" s="155" t="str">
        <f>IF($A669="","",SUMIF(Sales!$E:$E,$A669,Sales!$L:$L))</f>
        <v/>
      </c>
      <c r="G669" s="155" t="str">
        <f>IF($A669="","",SUMIF(Sales!$E:$E,$A669,Sales!$P:$P))</f>
        <v/>
      </c>
      <c r="H669" s="156" t="str">
        <f t="array" ref="H669">IF($A669="","",IFERROR(INDEX(Orders!$O$5:$O$1004,MATCH($A669,Orders!$N$5:$N$1004,0)),""))</f>
        <v/>
      </c>
      <c r="I669" s="156" t="str">
        <f t="array" ref="I669">IF($A669="","",IFERROR(INDEX(Orders!$P$5:$P$1004,MATCH($A669,Orders!$N$5:$N$1004,0)),""))</f>
        <v/>
      </c>
      <c r="J669" s="157" t="str">
        <f t="shared" si="1"/>
        <v/>
      </c>
      <c r="K669" s="153" t="str">
        <f t="array" ref="K669">IF($A669="","",IFERROR(INDEX(Sales!$M:$M,MATCH($A669,Sales!$E:$E,0)),""))</f>
        <v/>
      </c>
      <c r="L669" s="158" t="str">
        <f t="shared" si="2"/>
        <v/>
      </c>
      <c r="N669" s="49" t="str">
        <f t="array" ref="N669">IFERROR(INDEX(Sales!$E$7:$E$1506,MATCH(ROW()-4,Sales!$V$7:$V$1506,0)),"")</f>
        <v/>
      </c>
      <c r="O669" s="67"/>
      <c r="P669" s="67"/>
    </row>
    <row r="670" ht="15.75" customHeight="1">
      <c r="A670" s="151" t="str">
        <f t="array" ref="A670">IFERROR(INDEX(Sales!$E$7:$E$1506,MATCH(ROW()-4,Sales!$W$7:$W$1506,0)),"")</f>
        <v/>
      </c>
      <c r="B670" s="152" t="str">
        <f t="array" ref="B670">IF($A670="","",IFERROR(INDEX(Sales!$A:$A,MATCH($A670,Sales!$E:$E,0)),""))</f>
        <v/>
      </c>
      <c r="C670" s="153" t="str">
        <f t="array" ref="C670">IF($A670="","",IFERROR(INDEX(Sales!$D:$D,MATCH($A670,Sales!$E:$E,0)),""))</f>
        <v/>
      </c>
      <c r="D670" s="153" t="str">
        <f t="array" ref="D670">IF($A670="","",IFERROR(INDEX(Sales!$C:$C,MATCH($A670,Sales!$E:$E,0)),""))</f>
        <v/>
      </c>
      <c r="E670" s="154" t="str">
        <f>IF($A670="","",SUMIFS(Sales!$H:$H,Sales!$E:$E,$A670,Sales!$B:$B,"&lt;&gt;Return"))</f>
        <v/>
      </c>
      <c r="F670" s="155" t="str">
        <f>IF($A670="","",SUMIF(Sales!$E:$E,$A670,Sales!$L:$L))</f>
        <v/>
      </c>
      <c r="G670" s="155" t="str">
        <f>IF($A670="","",SUMIF(Sales!$E:$E,$A670,Sales!$P:$P))</f>
        <v/>
      </c>
      <c r="H670" s="156" t="str">
        <f t="array" ref="H670">IF($A670="","",IFERROR(INDEX(Orders!$O$5:$O$1004,MATCH($A670,Orders!$N$5:$N$1004,0)),""))</f>
        <v/>
      </c>
      <c r="I670" s="156" t="str">
        <f t="array" ref="I670">IF($A670="","",IFERROR(INDEX(Orders!$P$5:$P$1004,MATCH($A670,Orders!$N$5:$N$1004,0)),""))</f>
        <v/>
      </c>
      <c r="J670" s="157" t="str">
        <f t="shared" si="1"/>
        <v/>
      </c>
      <c r="K670" s="153" t="str">
        <f t="array" ref="K670">IF($A670="","",IFERROR(INDEX(Sales!$M:$M,MATCH($A670,Sales!$E:$E,0)),""))</f>
        <v/>
      </c>
      <c r="L670" s="158" t="str">
        <f t="shared" si="2"/>
        <v/>
      </c>
      <c r="N670" s="49" t="str">
        <f t="array" ref="N670">IFERROR(INDEX(Sales!$E$7:$E$1506,MATCH(ROW()-4,Sales!$V$7:$V$1506,0)),"")</f>
        <v/>
      </c>
      <c r="O670" s="67"/>
      <c r="P670" s="67"/>
    </row>
    <row r="671" ht="15.75" customHeight="1">
      <c r="A671" s="151" t="str">
        <f t="array" ref="A671">IFERROR(INDEX(Sales!$E$7:$E$1506,MATCH(ROW()-4,Sales!$W$7:$W$1506,0)),"")</f>
        <v/>
      </c>
      <c r="B671" s="152" t="str">
        <f t="array" ref="B671">IF($A671="","",IFERROR(INDEX(Sales!$A:$A,MATCH($A671,Sales!$E:$E,0)),""))</f>
        <v/>
      </c>
      <c r="C671" s="153" t="str">
        <f t="array" ref="C671">IF($A671="","",IFERROR(INDEX(Sales!$D:$D,MATCH($A671,Sales!$E:$E,0)),""))</f>
        <v/>
      </c>
      <c r="D671" s="153" t="str">
        <f t="array" ref="D671">IF($A671="","",IFERROR(INDEX(Sales!$C:$C,MATCH($A671,Sales!$E:$E,0)),""))</f>
        <v/>
      </c>
      <c r="E671" s="154" t="str">
        <f>IF($A671="","",SUMIFS(Sales!$H:$H,Sales!$E:$E,$A671,Sales!$B:$B,"&lt;&gt;Return"))</f>
        <v/>
      </c>
      <c r="F671" s="155" t="str">
        <f>IF($A671="","",SUMIF(Sales!$E:$E,$A671,Sales!$L:$L))</f>
        <v/>
      </c>
      <c r="G671" s="155" t="str">
        <f>IF($A671="","",SUMIF(Sales!$E:$E,$A671,Sales!$P:$P))</f>
        <v/>
      </c>
      <c r="H671" s="156" t="str">
        <f t="array" ref="H671">IF($A671="","",IFERROR(INDEX(Orders!$O$5:$O$1004,MATCH($A671,Orders!$N$5:$N$1004,0)),""))</f>
        <v/>
      </c>
      <c r="I671" s="156" t="str">
        <f t="array" ref="I671">IF($A671="","",IFERROR(INDEX(Orders!$P$5:$P$1004,MATCH($A671,Orders!$N$5:$N$1004,0)),""))</f>
        <v/>
      </c>
      <c r="J671" s="157" t="str">
        <f t="shared" si="1"/>
        <v/>
      </c>
      <c r="K671" s="153" t="str">
        <f t="array" ref="K671">IF($A671="","",IFERROR(INDEX(Sales!$M:$M,MATCH($A671,Sales!$E:$E,0)),""))</f>
        <v/>
      </c>
      <c r="L671" s="158" t="str">
        <f t="shared" si="2"/>
        <v/>
      </c>
      <c r="N671" s="49" t="str">
        <f t="array" ref="N671">IFERROR(INDEX(Sales!$E$7:$E$1506,MATCH(ROW()-4,Sales!$V$7:$V$1506,0)),"")</f>
        <v/>
      </c>
      <c r="O671" s="67"/>
      <c r="P671" s="67"/>
    </row>
    <row r="672" ht="15.75" customHeight="1">
      <c r="A672" s="151" t="str">
        <f t="array" ref="A672">IFERROR(INDEX(Sales!$E$7:$E$1506,MATCH(ROW()-4,Sales!$W$7:$W$1506,0)),"")</f>
        <v/>
      </c>
      <c r="B672" s="152" t="str">
        <f t="array" ref="B672">IF($A672="","",IFERROR(INDEX(Sales!$A:$A,MATCH($A672,Sales!$E:$E,0)),""))</f>
        <v/>
      </c>
      <c r="C672" s="153" t="str">
        <f t="array" ref="C672">IF($A672="","",IFERROR(INDEX(Sales!$D:$D,MATCH($A672,Sales!$E:$E,0)),""))</f>
        <v/>
      </c>
      <c r="D672" s="153" t="str">
        <f t="array" ref="D672">IF($A672="","",IFERROR(INDEX(Sales!$C:$C,MATCH($A672,Sales!$E:$E,0)),""))</f>
        <v/>
      </c>
      <c r="E672" s="154" t="str">
        <f>IF($A672="","",SUMIFS(Sales!$H:$H,Sales!$E:$E,$A672,Sales!$B:$B,"&lt;&gt;Return"))</f>
        <v/>
      </c>
      <c r="F672" s="155" t="str">
        <f>IF($A672="","",SUMIF(Sales!$E:$E,$A672,Sales!$L:$L))</f>
        <v/>
      </c>
      <c r="G672" s="155" t="str">
        <f>IF($A672="","",SUMIF(Sales!$E:$E,$A672,Sales!$P:$P))</f>
        <v/>
      </c>
      <c r="H672" s="156" t="str">
        <f t="array" ref="H672">IF($A672="","",IFERROR(INDEX(Orders!$O$5:$O$1004,MATCH($A672,Orders!$N$5:$N$1004,0)),""))</f>
        <v/>
      </c>
      <c r="I672" s="156" t="str">
        <f t="array" ref="I672">IF($A672="","",IFERROR(INDEX(Orders!$P$5:$P$1004,MATCH($A672,Orders!$N$5:$N$1004,0)),""))</f>
        <v/>
      </c>
      <c r="J672" s="157" t="str">
        <f t="shared" si="1"/>
        <v/>
      </c>
      <c r="K672" s="153" t="str">
        <f t="array" ref="K672">IF($A672="","",IFERROR(INDEX(Sales!$M:$M,MATCH($A672,Sales!$E:$E,0)),""))</f>
        <v/>
      </c>
      <c r="L672" s="158" t="str">
        <f t="shared" si="2"/>
        <v/>
      </c>
      <c r="N672" s="49" t="str">
        <f t="array" ref="N672">IFERROR(INDEX(Sales!$E$7:$E$1506,MATCH(ROW()-4,Sales!$V$7:$V$1506,0)),"")</f>
        <v/>
      </c>
      <c r="O672" s="67"/>
      <c r="P672" s="67"/>
    </row>
    <row r="673" ht="15.75" customHeight="1">
      <c r="A673" s="151" t="str">
        <f t="array" ref="A673">IFERROR(INDEX(Sales!$E$7:$E$1506,MATCH(ROW()-4,Sales!$W$7:$W$1506,0)),"")</f>
        <v/>
      </c>
      <c r="B673" s="152" t="str">
        <f t="array" ref="B673">IF($A673="","",IFERROR(INDEX(Sales!$A:$A,MATCH($A673,Sales!$E:$E,0)),""))</f>
        <v/>
      </c>
      <c r="C673" s="153" t="str">
        <f t="array" ref="C673">IF($A673="","",IFERROR(INDEX(Sales!$D:$D,MATCH($A673,Sales!$E:$E,0)),""))</f>
        <v/>
      </c>
      <c r="D673" s="153" t="str">
        <f t="array" ref="D673">IF($A673="","",IFERROR(INDEX(Sales!$C:$C,MATCH($A673,Sales!$E:$E,0)),""))</f>
        <v/>
      </c>
      <c r="E673" s="154" t="str">
        <f>IF($A673="","",SUMIFS(Sales!$H:$H,Sales!$E:$E,$A673,Sales!$B:$B,"&lt;&gt;Return"))</f>
        <v/>
      </c>
      <c r="F673" s="155" t="str">
        <f>IF($A673="","",SUMIF(Sales!$E:$E,$A673,Sales!$L:$L))</f>
        <v/>
      </c>
      <c r="G673" s="155" t="str">
        <f>IF($A673="","",SUMIF(Sales!$E:$E,$A673,Sales!$P:$P))</f>
        <v/>
      </c>
      <c r="H673" s="156" t="str">
        <f t="array" ref="H673">IF($A673="","",IFERROR(INDEX(Orders!$O$5:$O$1004,MATCH($A673,Orders!$N$5:$N$1004,0)),""))</f>
        <v/>
      </c>
      <c r="I673" s="156" t="str">
        <f t="array" ref="I673">IF($A673="","",IFERROR(INDEX(Orders!$P$5:$P$1004,MATCH($A673,Orders!$N$5:$N$1004,0)),""))</f>
        <v/>
      </c>
      <c r="J673" s="157" t="str">
        <f t="shared" si="1"/>
        <v/>
      </c>
      <c r="K673" s="153" t="str">
        <f t="array" ref="K673">IF($A673="","",IFERROR(INDEX(Sales!$M:$M,MATCH($A673,Sales!$E:$E,0)),""))</f>
        <v/>
      </c>
      <c r="L673" s="158" t="str">
        <f t="shared" si="2"/>
        <v/>
      </c>
      <c r="N673" s="49" t="str">
        <f t="array" ref="N673">IFERROR(INDEX(Sales!$E$7:$E$1506,MATCH(ROW()-4,Sales!$V$7:$V$1506,0)),"")</f>
        <v/>
      </c>
      <c r="O673" s="67"/>
      <c r="P673" s="67"/>
    </row>
    <row r="674" ht="15.75" customHeight="1">
      <c r="A674" s="151" t="str">
        <f t="array" ref="A674">IFERROR(INDEX(Sales!$E$7:$E$1506,MATCH(ROW()-4,Sales!$W$7:$W$1506,0)),"")</f>
        <v/>
      </c>
      <c r="B674" s="152" t="str">
        <f t="array" ref="B674">IF($A674="","",IFERROR(INDEX(Sales!$A:$A,MATCH($A674,Sales!$E:$E,0)),""))</f>
        <v/>
      </c>
      <c r="C674" s="153" t="str">
        <f t="array" ref="C674">IF($A674="","",IFERROR(INDEX(Sales!$D:$D,MATCH($A674,Sales!$E:$E,0)),""))</f>
        <v/>
      </c>
      <c r="D674" s="153" t="str">
        <f t="array" ref="D674">IF($A674="","",IFERROR(INDEX(Sales!$C:$C,MATCH($A674,Sales!$E:$E,0)),""))</f>
        <v/>
      </c>
      <c r="E674" s="154" t="str">
        <f>IF($A674="","",SUMIFS(Sales!$H:$H,Sales!$E:$E,$A674,Sales!$B:$B,"&lt;&gt;Return"))</f>
        <v/>
      </c>
      <c r="F674" s="155" t="str">
        <f>IF($A674="","",SUMIF(Sales!$E:$E,$A674,Sales!$L:$L))</f>
        <v/>
      </c>
      <c r="G674" s="155" t="str">
        <f>IF($A674="","",SUMIF(Sales!$E:$E,$A674,Sales!$P:$P))</f>
        <v/>
      </c>
      <c r="H674" s="156" t="str">
        <f t="array" ref="H674">IF($A674="","",IFERROR(INDEX(Orders!$O$5:$O$1004,MATCH($A674,Orders!$N$5:$N$1004,0)),""))</f>
        <v/>
      </c>
      <c r="I674" s="156" t="str">
        <f t="array" ref="I674">IF($A674="","",IFERROR(INDEX(Orders!$P$5:$P$1004,MATCH($A674,Orders!$N$5:$N$1004,0)),""))</f>
        <v/>
      </c>
      <c r="J674" s="157" t="str">
        <f t="shared" si="1"/>
        <v/>
      </c>
      <c r="K674" s="153" t="str">
        <f t="array" ref="K674">IF($A674="","",IFERROR(INDEX(Sales!$M:$M,MATCH($A674,Sales!$E:$E,0)),""))</f>
        <v/>
      </c>
      <c r="L674" s="158" t="str">
        <f t="shared" si="2"/>
        <v/>
      </c>
      <c r="N674" s="49" t="str">
        <f t="array" ref="N674">IFERROR(INDEX(Sales!$E$7:$E$1506,MATCH(ROW()-4,Sales!$V$7:$V$1506,0)),"")</f>
        <v/>
      </c>
      <c r="O674" s="67"/>
      <c r="P674" s="67"/>
    </row>
    <row r="675" ht="15.75" customHeight="1">
      <c r="A675" s="151" t="str">
        <f t="array" ref="A675">IFERROR(INDEX(Sales!$E$7:$E$1506,MATCH(ROW()-4,Sales!$W$7:$W$1506,0)),"")</f>
        <v/>
      </c>
      <c r="B675" s="152" t="str">
        <f t="array" ref="B675">IF($A675="","",IFERROR(INDEX(Sales!$A:$A,MATCH($A675,Sales!$E:$E,0)),""))</f>
        <v/>
      </c>
      <c r="C675" s="153" t="str">
        <f t="array" ref="C675">IF($A675="","",IFERROR(INDEX(Sales!$D:$D,MATCH($A675,Sales!$E:$E,0)),""))</f>
        <v/>
      </c>
      <c r="D675" s="153" t="str">
        <f t="array" ref="D675">IF($A675="","",IFERROR(INDEX(Sales!$C:$C,MATCH($A675,Sales!$E:$E,0)),""))</f>
        <v/>
      </c>
      <c r="E675" s="154" t="str">
        <f>IF($A675="","",SUMIFS(Sales!$H:$H,Sales!$E:$E,$A675,Sales!$B:$B,"&lt;&gt;Return"))</f>
        <v/>
      </c>
      <c r="F675" s="155" t="str">
        <f>IF($A675="","",SUMIF(Sales!$E:$E,$A675,Sales!$L:$L))</f>
        <v/>
      </c>
      <c r="G675" s="155" t="str">
        <f>IF($A675="","",SUMIF(Sales!$E:$E,$A675,Sales!$P:$P))</f>
        <v/>
      </c>
      <c r="H675" s="156" t="str">
        <f t="array" ref="H675">IF($A675="","",IFERROR(INDEX(Orders!$O$5:$O$1004,MATCH($A675,Orders!$N$5:$N$1004,0)),""))</f>
        <v/>
      </c>
      <c r="I675" s="156" t="str">
        <f t="array" ref="I675">IF($A675="","",IFERROR(INDEX(Orders!$P$5:$P$1004,MATCH($A675,Orders!$N$5:$N$1004,0)),""))</f>
        <v/>
      </c>
      <c r="J675" s="157" t="str">
        <f t="shared" si="1"/>
        <v/>
      </c>
      <c r="K675" s="153" t="str">
        <f t="array" ref="K675">IF($A675="","",IFERROR(INDEX(Sales!$M:$M,MATCH($A675,Sales!$E:$E,0)),""))</f>
        <v/>
      </c>
      <c r="L675" s="158" t="str">
        <f t="shared" si="2"/>
        <v/>
      </c>
      <c r="N675" s="49" t="str">
        <f t="array" ref="N675">IFERROR(INDEX(Sales!$E$7:$E$1506,MATCH(ROW()-4,Sales!$V$7:$V$1506,0)),"")</f>
        <v/>
      </c>
      <c r="O675" s="67"/>
      <c r="P675" s="67"/>
    </row>
    <row r="676" ht="15.75" customHeight="1">
      <c r="A676" s="151" t="str">
        <f t="array" ref="A676">IFERROR(INDEX(Sales!$E$7:$E$1506,MATCH(ROW()-4,Sales!$W$7:$W$1506,0)),"")</f>
        <v/>
      </c>
      <c r="B676" s="152" t="str">
        <f t="array" ref="B676">IF($A676="","",IFERROR(INDEX(Sales!$A:$A,MATCH($A676,Sales!$E:$E,0)),""))</f>
        <v/>
      </c>
      <c r="C676" s="153" t="str">
        <f t="array" ref="C676">IF($A676="","",IFERROR(INDEX(Sales!$D:$D,MATCH($A676,Sales!$E:$E,0)),""))</f>
        <v/>
      </c>
      <c r="D676" s="153" t="str">
        <f t="array" ref="D676">IF($A676="","",IFERROR(INDEX(Sales!$C:$C,MATCH($A676,Sales!$E:$E,0)),""))</f>
        <v/>
      </c>
      <c r="E676" s="154" t="str">
        <f>IF($A676="","",SUMIFS(Sales!$H:$H,Sales!$E:$E,$A676,Sales!$B:$B,"&lt;&gt;Return"))</f>
        <v/>
      </c>
      <c r="F676" s="155" t="str">
        <f>IF($A676="","",SUMIF(Sales!$E:$E,$A676,Sales!$L:$L))</f>
        <v/>
      </c>
      <c r="G676" s="155" t="str">
        <f>IF($A676="","",SUMIF(Sales!$E:$E,$A676,Sales!$P:$P))</f>
        <v/>
      </c>
      <c r="H676" s="156" t="str">
        <f t="array" ref="H676">IF($A676="","",IFERROR(INDEX(Orders!$O$5:$O$1004,MATCH($A676,Orders!$N$5:$N$1004,0)),""))</f>
        <v/>
      </c>
      <c r="I676" s="156" t="str">
        <f t="array" ref="I676">IF($A676="","",IFERROR(INDEX(Orders!$P$5:$P$1004,MATCH($A676,Orders!$N$5:$N$1004,0)),""))</f>
        <v/>
      </c>
      <c r="J676" s="157" t="str">
        <f t="shared" si="1"/>
        <v/>
      </c>
      <c r="K676" s="153" t="str">
        <f t="array" ref="K676">IF($A676="","",IFERROR(INDEX(Sales!$M:$M,MATCH($A676,Sales!$E:$E,0)),""))</f>
        <v/>
      </c>
      <c r="L676" s="158" t="str">
        <f t="shared" si="2"/>
        <v/>
      </c>
      <c r="N676" s="49" t="str">
        <f t="array" ref="N676">IFERROR(INDEX(Sales!$E$7:$E$1506,MATCH(ROW()-4,Sales!$V$7:$V$1506,0)),"")</f>
        <v/>
      </c>
      <c r="O676" s="67"/>
      <c r="P676" s="67"/>
    </row>
    <row r="677" ht="15.75" customHeight="1">
      <c r="A677" s="151" t="str">
        <f t="array" ref="A677">IFERROR(INDEX(Sales!$E$7:$E$1506,MATCH(ROW()-4,Sales!$W$7:$W$1506,0)),"")</f>
        <v/>
      </c>
      <c r="B677" s="152" t="str">
        <f t="array" ref="B677">IF($A677="","",IFERROR(INDEX(Sales!$A:$A,MATCH($A677,Sales!$E:$E,0)),""))</f>
        <v/>
      </c>
      <c r="C677" s="153" t="str">
        <f t="array" ref="C677">IF($A677="","",IFERROR(INDEX(Sales!$D:$D,MATCH($A677,Sales!$E:$E,0)),""))</f>
        <v/>
      </c>
      <c r="D677" s="153" t="str">
        <f t="array" ref="D677">IF($A677="","",IFERROR(INDEX(Sales!$C:$C,MATCH($A677,Sales!$E:$E,0)),""))</f>
        <v/>
      </c>
      <c r="E677" s="154" t="str">
        <f>IF($A677="","",SUMIFS(Sales!$H:$H,Sales!$E:$E,$A677,Sales!$B:$B,"&lt;&gt;Return"))</f>
        <v/>
      </c>
      <c r="F677" s="155" t="str">
        <f>IF($A677="","",SUMIF(Sales!$E:$E,$A677,Sales!$L:$L))</f>
        <v/>
      </c>
      <c r="G677" s="155" t="str">
        <f>IF($A677="","",SUMIF(Sales!$E:$E,$A677,Sales!$P:$P))</f>
        <v/>
      </c>
      <c r="H677" s="156" t="str">
        <f t="array" ref="H677">IF($A677="","",IFERROR(INDEX(Orders!$O$5:$O$1004,MATCH($A677,Orders!$N$5:$N$1004,0)),""))</f>
        <v/>
      </c>
      <c r="I677" s="156" t="str">
        <f t="array" ref="I677">IF($A677="","",IFERROR(INDEX(Orders!$P$5:$P$1004,MATCH($A677,Orders!$N$5:$N$1004,0)),""))</f>
        <v/>
      </c>
      <c r="J677" s="157" t="str">
        <f t="shared" si="1"/>
        <v/>
      </c>
      <c r="K677" s="153" t="str">
        <f t="array" ref="K677">IF($A677="","",IFERROR(INDEX(Sales!$M:$M,MATCH($A677,Sales!$E:$E,0)),""))</f>
        <v/>
      </c>
      <c r="L677" s="158" t="str">
        <f t="shared" si="2"/>
        <v/>
      </c>
      <c r="N677" s="49" t="str">
        <f t="array" ref="N677">IFERROR(INDEX(Sales!$E$7:$E$1506,MATCH(ROW()-4,Sales!$V$7:$V$1506,0)),"")</f>
        <v/>
      </c>
      <c r="O677" s="67"/>
      <c r="P677" s="67"/>
    </row>
    <row r="678" ht="15.75" customHeight="1">
      <c r="A678" s="151" t="str">
        <f t="array" ref="A678">IFERROR(INDEX(Sales!$E$7:$E$1506,MATCH(ROW()-4,Sales!$W$7:$W$1506,0)),"")</f>
        <v/>
      </c>
      <c r="B678" s="152" t="str">
        <f t="array" ref="B678">IF($A678="","",IFERROR(INDEX(Sales!$A:$A,MATCH($A678,Sales!$E:$E,0)),""))</f>
        <v/>
      </c>
      <c r="C678" s="153" t="str">
        <f t="array" ref="C678">IF($A678="","",IFERROR(INDEX(Sales!$D:$D,MATCH($A678,Sales!$E:$E,0)),""))</f>
        <v/>
      </c>
      <c r="D678" s="153" t="str">
        <f t="array" ref="D678">IF($A678="","",IFERROR(INDEX(Sales!$C:$C,MATCH($A678,Sales!$E:$E,0)),""))</f>
        <v/>
      </c>
      <c r="E678" s="154" t="str">
        <f>IF($A678="","",SUMIFS(Sales!$H:$H,Sales!$E:$E,$A678,Sales!$B:$B,"&lt;&gt;Return"))</f>
        <v/>
      </c>
      <c r="F678" s="155" t="str">
        <f>IF($A678="","",SUMIF(Sales!$E:$E,$A678,Sales!$L:$L))</f>
        <v/>
      </c>
      <c r="G678" s="155" t="str">
        <f>IF($A678="","",SUMIF(Sales!$E:$E,$A678,Sales!$P:$P))</f>
        <v/>
      </c>
      <c r="H678" s="156" t="str">
        <f t="array" ref="H678">IF($A678="","",IFERROR(INDEX(Orders!$O$5:$O$1004,MATCH($A678,Orders!$N$5:$N$1004,0)),""))</f>
        <v/>
      </c>
      <c r="I678" s="156" t="str">
        <f t="array" ref="I678">IF($A678="","",IFERROR(INDEX(Orders!$P$5:$P$1004,MATCH($A678,Orders!$N$5:$N$1004,0)),""))</f>
        <v/>
      </c>
      <c r="J678" s="157" t="str">
        <f t="shared" si="1"/>
        <v/>
      </c>
      <c r="K678" s="153" t="str">
        <f t="array" ref="K678">IF($A678="","",IFERROR(INDEX(Sales!$M:$M,MATCH($A678,Sales!$E:$E,0)),""))</f>
        <v/>
      </c>
      <c r="L678" s="158" t="str">
        <f t="shared" si="2"/>
        <v/>
      </c>
      <c r="N678" s="49" t="str">
        <f t="array" ref="N678">IFERROR(INDEX(Sales!$E$7:$E$1506,MATCH(ROW()-4,Sales!$V$7:$V$1506,0)),"")</f>
        <v/>
      </c>
      <c r="O678" s="67"/>
      <c r="P678" s="67"/>
    </row>
    <row r="679" ht="15.75" customHeight="1">
      <c r="A679" s="151" t="str">
        <f t="array" ref="A679">IFERROR(INDEX(Sales!$E$7:$E$1506,MATCH(ROW()-4,Sales!$W$7:$W$1506,0)),"")</f>
        <v/>
      </c>
      <c r="B679" s="152" t="str">
        <f t="array" ref="B679">IF($A679="","",IFERROR(INDEX(Sales!$A:$A,MATCH($A679,Sales!$E:$E,0)),""))</f>
        <v/>
      </c>
      <c r="C679" s="153" t="str">
        <f t="array" ref="C679">IF($A679="","",IFERROR(INDEX(Sales!$D:$D,MATCH($A679,Sales!$E:$E,0)),""))</f>
        <v/>
      </c>
      <c r="D679" s="153" t="str">
        <f t="array" ref="D679">IF($A679="","",IFERROR(INDEX(Sales!$C:$C,MATCH($A679,Sales!$E:$E,0)),""))</f>
        <v/>
      </c>
      <c r="E679" s="154" t="str">
        <f>IF($A679="","",SUMIFS(Sales!$H:$H,Sales!$E:$E,$A679,Sales!$B:$B,"&lt;&gt;Return"))</f>
        <v/>
      </c>
      <c r="F679" s="155" t="str">
        <f>IF($A679="","",SUMIF(Sales!$E:$E,$A679,Sales!$L:$L))</f>
        <v/>
      </c>
      <c r="G679" s="155" t="str">
        <f>IF($A679="","",SUMIF(Sales!$E:$E,$A679,Sales!$P:$P))</f>
        <v/>
      </c>
      <c r="H679" s="156" t="str">
        <f t="array" ref="H679">IF($A679="","",IFERROR(INDEX(Orders!$O$5:$O$1004,MATCH($A679,Orders!$N$5:$N$1004,0)),""))</f>
        <v/>
      </c>
      <c r="I679" s="156" t="str">
        <f t="array" ref="I679">IF($A679="","",IFERROR(INDEX(Orders!$P$5:$P$1004,MATCH($A679,Orders!$N$5:$N$1004,0)),""))</f>
        <v/>
      </c>
      <c r="J679" s="157" t="str">
        <f t="shared" si="1"/>
        <v/>
      </c>
      <c r="K679" s="153" t="str">
        <f t="array" ref="K679">IF($A679="","",IFERROR(INDEX(Sales!$M:$M,MATCH($A679,Sales!$E:$E,0)),""))</f>
        <v/>
      </c>
      <c r="L679" s="158" t="str">
        <f t="shared" si="2"/>
        <v/>
      </c>
      <c r="N679" s="49" t="str">
        <f t="array" ref="N679">IFERROR(INDEX(Sales!$E$7:$E$1506,MATCH(ROW()-4,Sales!$V$7:$V$1506,0)),"")</f>
        <v/>
      </c>
      <c r="O679" s="67"/>
      <c r="P679" s="67"/>
    </row>
    <row r="680" ht="15.75" customHeight="1">
      <c r="A680" s="151" t="str">
        <f t="array" ref="A680">IFERROR(INDEX(Sales!$E$7:$E$1506,MATCH(ROW()-4,Sales!$W$7:$W$1506,0)),"")</f>
        <v/>
      </c>
      <c r="B680" s="152" t="str">
        <f t="array" ref="B680">IF($A680="","",IFERROR(INDEX(Sales!$A:$A,MATCH($A680,Sales!$E:$E,0)),""))</f>
        <v/>
      </c>
      <c r="C680" s="153" t="str">
        <f t="array" ref="C680">IF($A680="","",IFERROR(INDEX(Sales!$D:$D,MATCH($A680,Sales!$E:$E,0)),""))</f>
        <v/>
      </c>
      <c r="D680" s="153" t="str">
        <f t="array" ref="D680">IF($A680="","",IFERROR(INDEX(Sales!$C:$C,MATCH($A680,Sales!$E:$E,0)),""))</f>
        <v/>
      </c>
      <c r="E680" s="154" t="str">
        <f>IF($A680="","",SUMIFS(Sales!$H:$H,Sales!$E:$E,$A680,Sales!$B:$B,"&lt;&gt;Return"))</f>
        <v/>
      </c>
      <c r="F680" s="155" t="str">
        <f>IF($A680="","",SUMIF(Sales!$E:$E,$A680,Sales!$L:$L))</f>
        <v/>
      </c>
      <c r="G680" s="155" t="str">
        <f>IF($A680="","",SUMIF(Sales!$E:$E,$A680,Sales!$P:$P))</f>
        <v/>
      </c>
      <c r="H680" s="156" t="str">
        <f t="array" ref="H680">IF($A680="","",IFERROR(INDEX(Orders!$O$5:$O$1004,MATCH($A680,Orders!$N$5:$N$1004,0)),""))</f>
        <v/>
      </c>
      <c r="I680" s="156" t="str">
        <f t="array" ref="I680">IF($A680="","",IFERROR(INDEX(Orders!$P$5:$P$1004,MATCH($A680,Orders!$N$5:$N$1004,0)),""))</f>
        <v/>
      </c>
      <c r="J680" s="157" t="str">
        <f t="shared" si="1"/>
        <v/>
      </c>
      <c r="K680" s="153" t="str">
        <f t="array" ref="K680">IF($A680="","",IFERROR(INDEX(Sales!$M:$M,MATCH($A680,Sales!$E:$E,0)),""))</f>
        <v/>
      </c>
      <c r="L680" s="158" t="str">
        <f t="shared" si="2"/>
        <v/>
      </c>
      <c r="N680" s="49" t="str">
        <f t="array" ref="N680">IFERROR(INDEX(Sales!$E$7:$E$1506,MATCH(ROW()-4,Sales!$V$7:$V$1506,0)),"")</f>
        <v/>
      </c>
      <c r="O680" s="67"/>
      <c r="P680" s="67"/>
    </row>
    <row r="681" ht="15.75" customHeight="1">
      <c r="A681" s="151" t="str">
        <f t="array" ref="A681">IFERROR(INDEX(Sales!$E$7:$E$1506,MATCH(ROW()-4,Sales!$W$7:$W$1506,0)),"")</f>
        <v/>
      </c>
      <c r="B681" s="152" t="str">
        <f t="array" ref="B681">IF($A681="","",IFERROR(INDEX(Sales!$A:$A,MATCH($A681,Sales!$E:$E,0)),""))</f>
        <v/>
      </c>
      <c r="C681" s="153" t="str">
        <f t="array" ref="C681">IF($A681="","",IFERROR(INDEX(Sales!$D:$D,MATCH($A681,Sales!$E:$E,0)),""))</f>
        <v/>
      </c>
      <c r="D681" s="153" t="str">
        <f t="array" ref="D681">IF($A681="","",IFERROR(INDEX(Sales!$C:$C,MATCH($A681,Sales!$E:$E,0)),""))</f>
        <v/>
      </c>
      <c r="E681" s="154" t="str">
        <f>IF($A681="","",SUMIFS(Sales!$H:$H,Sales!$E:$E,$A681,Sales!$B:$B,"&lt;&gt;Return"))</f>
        <v/>
      </c>
      <c r="F681" s="155" t="str">
        <f>IF($A681="","",SUMIF(Sales!$E:$E,$A681,Sales!$L:$L))</f>
        <v/>
      </c>
      <c r="G681" s="155" t="str">
        <f>IF($A681="","",SUMIF(Sales!$E:$E,$A681,Sales!$P:$P))</f>
        <v/>
      </c>
      <c r="H681" s="156" t="str">
        <f t="array" ref="H681">IF($A681="","",IFERROR(INDEX(Orders!$O$5:$O$1004,MATCH($A681,Orders!$N$5:$N$1004,0)),""))</f>
        <v/>
      </c>
      <c r="I681" s="156" t="str">
        <f t="array" ref="I681">IF($A681="","",IFERROR(INDEX(Orders!$P$5:$P$1004,MATCH($A681,Orders!$N$5:$N$1004,0)),""))</f>
        <v/>
      </c>
      <c r="J681" s="157" t="str">
        <f t="shared" si="1"/>
        <v/>
      </c>
      <c r="K681" s="153" t="str">
        <f t="array" ref="K681">IF($A681="","",IFERROR(INDEX(Sales!$M:$M,MATCH($A681,Sales!$E:$E,0)),""))</f>
        <v/>
      </c>
      <c r="L681" s="158" t="str">
        <f t="shared" si="2"/>
        <v/>
      </c>
      <c r="N681" s="49" t="str">
        <f t="array" ref="N681">IFERROR(INDEX(Sales!$E$7:$E$1506,MATCH(ROW()-4,Sales!$V$7:$V$1506,0)),"")</f>
        <v/>
      </c>
      <c r="O681" s="67"/>
      <c r="P681" s="67"/>
    </row>
    <row r="682" ht="15.75" customHeight="1">
      <c r="A682" s="151" t="str">
        <f t="array" ref="A682">IFERROR(INDEX(Sales!$E$7:$E$1506,MATCH(ROW()-4,Sales!$W$7:$W$1506,0)),"")</f>
        <v/>
      </c>
      <c r="B682" s="152" t="str">
        <f t="array" ref="B682">IF($A682="","",IFERROR(INDEX(Sales!$A:$A,MATCH($A682,Sales!$E:$E,0)),""))</f>
        <v/>
      </c>
      <c r="C682" s="153" t="str">
        <f t="array" ref="C682">IF($A682="","",IFERROR(INDEX(Sales!$D:$D,MATCH($A682,Sales!$E:$E,0)),""))</f>
        <v/>
      </c>
      <c r="D682" s="153" t="str">
        <f t="array" ref="D682">IF($A682="","",IFERROR(INDEX(Sales!$C:$C,MATCH($A682,Sales!$E:$E,0)),""))</f>
        <v/>
      </c>
      <c r="E682" s="154" t="str">
        <f>IF($A682="","",SUMIFS(Sales!$H:$H,Sales!$E:$E,$A682,Sales!$B:$B,"&lt;&gt;Return"))</f>
        <v/>
      </c>
      <c r="F682" s="155" t="str">
        <f>IF($A682="","",SUMIF(Sales!$E:$E,$A682,Sales!$L:$L))</f>
        <v/>
      </c>
      <c r="G682" s="155" t="str">
        <f>IF($A682="","",SUMIF(Sales!$E:$E,$A682,Sales!$P:$P))</f>
        <v/>
      </c>
      <c r="H682" s="156" t="str">
        <f t="array" ref="H682">IF($A682="","",IFERROR(INDEX(Orders!$O$5:$O$1004,MATCH($A682,Orders!$N$5:$N$1004,0)),""))</f>
        <v/>
      </c>
      <c r="I682" s="156" t="str">
        <f t="array" ref="I682">IF($A682="","",IFERROR(INDEX(Orders!$P$5:$P$1004,MATCH($A682,Orders!$N$5:$N$1004,0)),""))</f>
        <v/>
      </c>
      <c r="J682" s="157" t="str">
        <f t="shared" si="1"/>
        <v/>
      </c>
      <c r="K682" s="153" t="str">
        <f t="array" ref="K682">IF($A682="","",IFERROR(INDEX(Sales!$M:$M,MATCH($A682,Sales!$E:$E,0)),""))</f>
        <v/>
      </c>
      <c r="L682" s="158" t="str">
        <f t="shared" si="2"/>
        <v/>
      </c>
      <c r="N682" s="49" t="str">
        <f t="array" ref="N682">IFERROR(INDEX(Sales!$E$7:$E$1506,MATCH(ROW()-4,Sales!$V$7:$V$1506,0)),"")</f>
        <v/>
      </c>
      <c r="O682" s="67"/>
      <c r="P682" s="67"/>
    </row>
    <row r="683" ht="15.75" customHeight="1">
      <c r="A683" s="151" t="str">
        <f t="array" ref="A683">IFERROR(INDEX(Sales!$E$7:$E$1506,MATCH(ROW()-4,Sales!$W$7:$W$1506,0)),"")</f>
        <v/>
      </c>
      <c r="B683" s="152" t="str">
        <f t="array" ref="B683">IF($A683="","",IFERROR(INDEX(Sales!$A:$A,MATCH($A683,Sales!$E:$E,0)),""))</f>
        <v/>
      </c>
      <c r="C683" s="153" t="str">
        <f t="array" ref="C683">IF($A683="","",IFERROR(INDEX(Sales!$D:$D,MATCH($A683,Sales!$E:$E,0)),""))</f>
        <v/>
      </c>
      <c r="D683" s="153" t="str">
        <f t="array" ref="D683">IF($A683="","",IFERROR(INDEX(Sales!$C:$C,MATCH($A683,Sales!$E:$E,0)),""))</f>
        <v/>
      </c>
      <c r="E683" s="154" t="str">
        <f>IF($A683="","",SUMIFS(Sales!$H:$H,Sales!$E:$E,$A683,Sales!$B:$B,"&lt;&gt;Return"))</f>
        <v/>
      </c>
      <c r="F683" s="155" t="str">
        <f>IF($A683="","",SUMIF(Sales!$E:$E,$A683,Sales!$L:$L))</f>
        <v/>
      </c>
      <c r="G683" s="155" t="str">
        <f>IF($A683="","",SUMIF(Sales!$E:$E,$A683,Sales!$P:$P))</f>
        <v/>
      </c>
      <c r="H683" s="156" t="str">
        <f t="array" ref="H683">IF($A683="","",IFERROR(INDEX(Orders!$O$5:$O$1004,MATCH($A683,Orders!$N$5:$N$1004,0)),""))</f>
        <v/>
      </c>
      <c r="I683" s="156" t="str">
        <f t="array" ref="I683">IF($A683="","",IFERROR(INDEX(Orders!$P$5:$P$1004,MATCH($A683,Orders!$N$5:$N$1004,0)),""))</f>
        <v/>
      </c>
      <c r="J683" s="157" t="str">
        <f t="shared" si="1"/>
        <v/>
      </c>
      <c r="K683" s="153" t="str">
        <f t="array" ref="K683">IF($A683="","",IFERROR(INDEX(Sales!$M:$M,MATCH($A683,Sales!$E:$E,0)),""))</f>
        <v/>
      </c>
      <c r="L683" s="158" t="str">
        <f t="shared" si="2"/>
        <v/>
      </c>
      <c r="N683" s="49" t="str">
        <f t="array" ref="N683">IFERROR(INDEX(Sales!$E$7:$E$1506,MATCH(ROW()-4,Sales!$V$7:$V$1506,0)),"")</f>
        <v/>
      </c>
      <c r="O683" s="67"/>
      <c r="P683" s="67"/>
    </row>
    <row r="684" ht="15.75" customHeight="1">
      <c r="A684" s="151" t="str">
        <f t="array" ref="A684">IFERROR(INDEX(Sales!$E$7:$E$1506,MATCH(ROW()-4,Sales!$W$7:$W$1506,0)),"")</f>
        <v/>
      </c>
      <c r="B684" s="152" t="str">
        <f t="array" ref="B684">IF($A684="","",IFERROR(INDEX(Sales!$A:$A,MATCH($A684,Sales!$E:$E,0)),""))</f>
        <v/>
      </c>
      <c r="C684" s="153" t="str">
        <f t="array" ref="C684">IF($A684="","",IFERROR(INDEX(Sales!$D:$D,MATCH($A684,Sales!$E:$E,0)),""))</f>
        <v/>
      </c>
      <c r="D684" s="153" t="str">
        <f t="array" ref="D684">IF($A684="","",IFERROR(INDEX(Sales!$C:$C,MATCH($A684,Sales!$E:$E,0)),""))</f>
        <v/>
      </c>
      <c r="E684" s="154" t="str">
        <f>IF($A684="","",SUMIFS(Sales!$H:$H,Sales!$E:$E,$A684,Sales!$B:$B,"&lt;&gt;Return"))</f>
        <v/>
      </c>
      <c r="F684" s="155" t="str">
        <f>IF($A684="","",SUMIF(Sales!$E:$E,$A684,Sales!$L:$L))</f>
        <v/>
      </c>
      <c r="G684" s="155" t="str">
        <f>IF($A684="","",SUMIF(Sales!$E:$E,$A684,Sales!$P:$P))</f>
        <v/>
      </c>
      <c r="H684" s="156" t="str">
        <f t="array" ref="H684">IF($A684="","",IFERROR(INDEX(Orders!$O$5:$O$1004,MATCH($A684,Orders!$N$5:$N$1004,0)),""))</f>
        <v/>
      </c>
      <c r="I684" s="156" t="str">
        <f t="array" ref="I684">IF($A684="","",IFERROR(INDEX(Orders!$P$5:$P$1004,MATCH($A684,Orders!$N$5:$N$1004,0)),""))</f>
        <v/>
      </c>
      <c r="J684" s="157" t="str">
        <f t="shared" si="1"/>
        <v/>
      </c>
      <c r="K684" s="153" t="str">
        <f t="array" ref="K684">IF($A684="","",IFERROR(INDEX(Sales!$M:$M,MATCH($A684,Sales!$E:$E,0)),""))</f>
        <v/>
      </c>
      <c r="L684" s="158" t="str">
        <f t="shared" si="2"/>
        <v/>
      </c>
      <c r="N684" s="49" t="str">
        <f t="array" ref="N684">IFERROR(INDEX(Sales!$E$7:$E$1506,MATCH(ROW()-4,Sales!$V$7:$V$1506,0)),"")</f>
        <v/>
      </c>
      <c r="O684" s="67"/>
      <c r="P684" s="67"/>
    </row>
    <row r="685" ht="15.75" customHeight="1">
      <c r="A685" s="151" t="str">
        <f t="array" ref="A685">IFERROR(INDEX(Sales!$E$7:$E$1506,MATCH(ROW()-4,Sales!$W$7:$W$1506,0)),"")</f>
        <v/>
      </c>
      <c r="B685" s="152" t="str">
        <f t="array" ref="B685">IF($A685="","",IFERROR(INDEX(Sales!$A:$A,MATCH($A685,Sales!$E:$E,0)),""))</f>
        <v/>
      </c>
      <c r="C685" s="153" t="str">
        <f t="array" ref="C685">IF($A685="","",IFERROR(INDEX(Sales!$D:$D,MATCH($A685,Sales!$E:$E,0)),""))</f>
        <v/>
      </c>
      <c r="D685" s="153" t="str">
        <f t="array" ref="D685">IF($A685="","",IFERROR(INDEX(Sales!$C:$C,MATCH($A685,Sales!$E:$E,0)),""))</f>
        <v/>
      </c>
      <c r="E685" s="154" t="str">
        <f>IF($A685="","",SUMIFS(Sales!$H:$H,Sales!$E:$E,$A685,Sales!$B:$B,"&lt;&gt;Return"))</f>
        <v/>
      </c>
      <c r="F685" s="155" t="str">
        <f>IF($A685="","",SUMIF(Sales!$E:$E,$A685,Sales!$L:$L))</f>
        <v/>
      </c>
      <c r="G685" s="155" t="str">
        <f>IF($A685="","",SUMIF(Sales!$E:$E,$A685,Sales!$P:$P))</f>
        <v/>
      </c>
      <c r="H685" s="156" t="str">
        <f t="array" ref="H685">IF($A685="","",IFERROR(INDEX(Orders!$O$5:$O$1004,MATCH($A685,Orders!$N$5:$N$1004,0)),""))</f>
        <v/>
      </c>
      <c r="I685" s="156" t="str">
        <f t="array" ref="I685">IF($A685="","",IFERROR(INDEX(Orders!$P$5:$P$1004,MATCH($A685,Orders!$N$5:$N$1004,0)),""))</f>
        <v/>
      </c>
      <c r="J685" s="157" t="str">
        <f t="shared" si="1"/>
        <v/>
      </c>
      <c r="K685" s="153" t="str">
        <f t="array" ref="K685">IF($A685="","",IFERROR(INDEX(Sales!$M:$M,MATCH($A685,Sales!$E:$E,0)),""))</f>
        <v/>
      </c>
      <c r="L685" s="158" t="str">
        <f t="shared" si="2"/>
        <v/>
      </c>
      <c r="N685" s="49" t="str">
        <f t="array" ref="N685">IFERROR(INDEX(Sales!$E$7:$E$1506,MATCH(ROW()-4,Sales!$V$7:$V$1506,0)),"")</f>
        <v/>
      </c>
      <c r="O685" s="67"/>
      <c r="P685" s="67"/>
    </row>
    <row r="686" ht="15.75" customHeight="1">
      <c r="A686" s="151" t="str">
        <f t="array" ref="A686">IFERROR(INDEX(Sales!$E$7:$E$1506,MATCH(ROW()-4,Sales!$W$7:$W$1506,0)),"")</f>
        <v/>
      </c>
      <c r="B686" s="152" t="str">
        <f t="array" ref="B686">IF($A686="","",IFERROR(INDEX(Sales!$A:$A,MATCH($A686,Sales!$E:$E,0)),""))</f>
        <v/>
      </c>
      <c r="C686" s="153" t="str">
        <f t="array" ref="C686">IF($A686="","",IFERROR(INDEX(Sales!$D:$D,MATCH($A686,Sales!$E:$E,0)),""))</f>
        <v/>
      </c>
      <c r="D686" s="153" t="str">
        <f t="array" ref="D686">IF($A686="","",IFERROR(INDEX(Sales!$C:$C,MATCH($A686,Sales!$E:$E,0)),""))</f>
        <v/>
      </c>
      <c r="E686" s="154" t="str">
        <f>IF($A686="","",SUMIFS(Sales!$H:$H,Sales!$E:$E,$A686,Sales!$B:$B,"&lt;&gt;Return"))</f>
        <v/>
      </c>
      <c r="F686" s="155" t="str">
        <f>IF($A686="","",SUMIF(Sales!$E:$E,$A686,Sales!$L:$L))</f>
        <v/>
      </c>
      <c r="G686" s="155" t="str">
        <f>IF($A686="","",SUMIF(Sales!$E:$E,$A686,Sales!$P:$P))</f>
        <v/>
      </c>
      <c r="H686" s="156" t="str">
        <f t="array" ref="H686">IF($A686="","",IFERROR(INDEX(Orders!$O$5:$O$1004,MATCH($A686,Orders!$N$5:$N$1004,0)),""))</f>
        <v/>
      </c>
      <c r="I686" s="156" t="str">
        <f t="array" ref="I686">IF($A686="","",IFERROR(INDEX(Orders!$P$5:$P$1004,MATCH($A686,Orders!$N$5:$N$1004,0)),""))</f>
        <v/>
      </c>
      <c r="J686" s="157" t="str">
        <f t="shared" si="1"/>
        <v/>
      </c>
      <c r="K686" s="153" t="str">
        <f t="array" ref="K686">IF($A686="","",IFERROR(INDEX(Sales!$M:$M,MATCH($A686,Sales!$E:$E,0)),""))</f>
        <v/>
      </c>
      <c r="L686" s="158" t="str">
        <f t="shared" si="2"/>
        <v/>
      </c>
      <c r="N686" s="49" t="str">
        <f t="array" ref="N686">IFERROR(INDEX(Sales!$E$7:$E$1506,MATCH(ROW()-4,Sales!$V$7:$V$1506,0)),"")</f>
        <v/>
      </c>
      <c r="O686" s="67"/>
      <c r="P686" s="67"/>
    </row>
    <row r="687" ht="15.75" customHeight="1">
      <c r="A687" s="151" t="str">
        <f t="array" ref="A687">IFERROR(INDEX(Sales!$E$7:$E$1506,MATCH(ROW()-4,Sales!$W$7:$W$1506,0)),"")</f>
        <v/>
      </c>
      <c r="B687" s="152" t="str">
        <f t="array" ref="B687">IF($A687="","",IFERROR(INDEX(Sales!$A:$A,MATCH($A687,Sales!$E:$E,0)),""))</f>
        <v/>
      </c>
      <c r="C687" s="153" t="str">
        <f t="array" ref="C687">IF($A687="","",IFERROR(INDEX(Sales!$D:$D,MATCH($A687,Sales!$E:$E,0)),""))</f>
        <v/>
      </c>
      <c r="D687" s="153" t="str">
        <f t="array" ref="D687">IF($A687="","",IFERROR(INDEX(Sales!$C:$C,MATCH($A687,Sales!$E:$E,0)),""))</f>
        <v/>
      </c>
      <c r="E687" s="154" t="str">
        <f>IF($A687="","",SUMIFS(Sales!$H:$H,Sales!$E:$E,$A687,Sales!$B:$B,"&lt;&gt;Return"))</f>
        <v/>
      </c>
      <c r="F687" s="155" t="str">
        <f>IF($A687="","",SUMIF(Sales!$E:$E,$A687,Sales!$L:$L))</f>
        <v/>
      </c>
      <c r="G687" s="155" t="str">
        <f>IF($A687="","",SUMIF(Sales!$E:$E,$A687,Sales!$P:$P))</f>
        <v/>
      </c>
      <c r="H687" s="156" t="str">
        <f t="array" ref="H687">IF($A687="","",IFERROR(INDEX(Orders!$O$5:$O$1004,MATCH($A687,Orders!$N$5:$N$1004,0)),""))</f>
        <v/>
      </c>
      <c r="I687" s="156" t="str">
        <f t="array" ref="I687">IF($A687="","",IFERROR(INDEX(Orders!$P$5:$P$1004,MATCH($A687,Orders!$N$5:$N$1004,0)),""))</f>
        <v/>
      </c>
      <c r="J687" s="157" t="str">
        <f t="shared" si="1"/>
        <v/>
      </c>
      <c r="K687" s="153" t="str">
        <f t="array" ref="K687">IF($A687="","",IFERROR(INDEX(Sales!$M:$M,MATCH($A687,Sales!$E:$E,0)),""))</f>
        <v/>
      </c>
      <c r="L687" s="158" t="str">
        <f t="shared" si="2"/>
        <v/>
      </c>
      <c r="N687" s="49" t="str">
        <f t="array" ref="N687">IFERROR(INDEX(Sales!$E$7:$E$1506,MATCH(ROW()-4,Sales!$V$7:$V$1506,0)),"")</f>
        <v/>
      </c>
      <c r="O687" s="67"/>
      <c r="P687" s="67"/>
    </row>
    <row r="688" ht="15.75" customHeight="1">
      <c r="A688" s="151" t="str">
        <f t="array" ref="A688">IFERROR(INDEX(Sales!$E$7:$E$1506,MATCH(ROW()-4,Sales!$W$7:$W$1506,0)),"")</f>
        <v/>
      </c>
      <c r="B688" s="152" t="str">
        <f t="array" ref="B688">IF($A688="","",IFERROR(INDEX(Sales!$A:$A,MATCH($A688,Sales!$E:$E,0)),""))</f>
        <v/>
      </c>
      <c r="C688" s="153" t="str">
        <f t="array" ref="C688">IF($A688="","",IFERROR(INDEX(Sales!$D:$D,MATCH($A688,Sales!$E:$E,0)),""))</f>
        <v/>
      </c>
      <c r="D688" s="153" t="str">
        <f t="array" ref="D688">IF($A688="","",IFERROR(INDEX(Sales!$C:$C,MATCH($A688,Sales!$E:$E,0)),""))</f>
        <v/>
      </c>
      <c r="E688" s="154" t="str">
        <f>IF($A688="","",SUMIFS(Sales!$H:$H,Sales!$E:$E,$A688,Sales!$B:$B,"&lt;&gt;Return"))</f>
        <v/>
      </c>
      <c r="F688" s="155" t="str">
        <f>IF($A688="","",SUMIF(Sales!$E:$E,$A688,Sales!$L:$L))</f>
        <v/>
      </c>
      <c r="G688" s="155" t="str">
        <f>IF($A688="","",SUMIF(Sales!$E:$E,$A688,Sales!$P:$P))</f>
        <v/>
      </c>
      <c r="H688" s="156" t="str">
        <f t="array" ref="H688">IF($A688="","",IFERROR(INDEX(Orders!$O$5:$O$1004,MATCH($A688,Orders!$N$5:$N$1004,0)),""))</f>
        <v/>
      </c>
      <c r="I688" s="156" t="str">
        <f t="array" ref="I688">IF($A688="","",IFERROR(INDEX(Orders!$P$5:$P$1004,MATCH($A688,Orders!$N$5:$N$1004,0)),""))</f>
        <v/>
      </c>
      <c r="J688" s="157" t="str">
        <f t="shared" si="1"/>
        <v/>
      </c>
      <c r="K688" s="153" t="str">
        <f t="array" ref="K688">IF($A688="","",IFERROR(INDEX(Sales!$M:$M,MATCH($A688,Sales!$E:$E,0)),""))</f>
        <v/>
      </c>
      <c r="L688" s="158" t="str">
        <f t="shared" si="2"/>
        <v/>
      </c>
      <c r="N688" s="49" t="str">
        <f t="array" ref="N688">IFERROR(INDEX(Sales!$E$7:$E$1506,MATCH(ROW()-4,Sales!$V$7:$V$1506,0)),"")</f>
        <v/>
      </c>
      <c r="O688" s="67"/>
      <c r="P688" s="67"/>
    </row>
    <row r="689" ht="15.75" customHeight="1">
      <c r="A689" s="151" t="str">
        <f t="array" ref="A689">IFERROR(INDEX(Sales!$E$7:$E$1506,MATCH(ROW()-4,Sales!$W$7:$W$1506,0)),"")</f>
        <v/>
      </c>
      <c r="B689" s="152" t="str">
        <f t="array" ref="B689">IF($A689="","",IFERROR(INDEX(Sales!$A:$A,MATCH($A689,Sales!$E:$E,0)),""))</f>
        <v/>
      </c>
      <c r="C689" s="153" t="str">
        <f t="array" ref="C689">IF($A689="","",IFERROR(INDEX(Sales!$D:$D,MATCH($A689,Sales!$E:$E,0)),""))</f>
        <v/>
      </c>
      <c r="D689" s="153" t="str">
        <f t="array" ref="D689">IF($A689="","",IFERROR(INDEX(Sales!$C:$C,MATCH($A689,Sales!$E:$E,0)),""))</f>
        <v/>
      </c>
      <c r="E689" s="154" t="str">
        <f>IF($A689="","",SUMIFS(Sales!$H:$H,Sales!$E:$E,$A689,Sales!$B:$B,"&lt;&gt;Return"))</f>
        <v/>
      </c>
      <c r="F689" s="155" t="str">
        <f>IF($A689="","",SUMIF(Sales!$E:$E,$A689,Sales!$L:$L))</f>
        <v/>
      </c>
      <c r="G689" s="155" t="str">
        <f>IF($A689="","",SUMIF(Sales!$E:$E,$A689,Sales!$P:$P))</f>
        <v/>
      </c>
      <c r="H689" s="156" t="str">
        <f t="array" ref="H689">IF($A689="","",IFERROR(INDEX(Orders!$O$5:$O$1004,MATCH($A689,Orders!$N$5:$N$1004,0)),""))</f>
        <v/>
      </c>
      <c r="I689" s="156" t="str">
        <f t="array" ref="I689">IF($A689="","",IFERROR(INDEX(Orders!$P$5:$P$1004,MATCH($A689,Orders!$N$5:$N$1004,0)),""))</f>
        <v/>
      </c>
      <c r="J689" s="157" t="str">
        <f t="shared" si="1"/>
        <v/>
      </c>
      <c r="K689" s="153" t="str">
        <f t="array" ref="K689">IF($A689="","",IFERROR(INDEX(Sales!$M:$M,MATCH($A689,Sales!$E:$E,0)),""))</f>
        <v/>
      </c>
      <c r="L689" s="158" t="str">
        <f t="shared" si="2"/>
        <v/>
      </c>
      <c r="N689" s="49" t="str">
        <f t="array" ref="N689">IFERROR(INDEX(Sales!$E$7:$E$1506,MATCH(ROW()-4,Sales!$V$7:$V$1506,0)),"")</f>
        <v/>
      </c>
      <c r="O689" s="67"/>
      <c r="P689" s="67"/>
    </row>
    <row r="690" ht="15.75" customHeight="1">
      <c r="A690" s="151" t="str">
        <f t="array" ref="A690">IFERROR(INDEX(Sales!$E$7:$E$1506,MATCH(ROW()-4,Sales!$W$7:$W$1506,0)),"")</f>
        <v/>
      </c>
      <c r="B690" s="152" t="str">
        <f t="array" ref="B690">IF($A690="","",IFERROR(INDEX(Sales!$A:$A,MATCH($A690,Sales!$E:$E,0)),""))</f>
        <v/>
      </c>
      <c r="C690" s="153" t="str">
        <f t="array" ref="C690">IF($A690="","",IFERROR(INDEX(Sales!$D:$D,MATCH($A690,Sales!$E:$E,0)),""))</f>
        <v/>
      </c>
      <c r="D690" s="153" t="str">
        <f t="array" ref="D690">IF($A690="","",IFERROR(INDEX(Sales!$C:$C,MATCH($A690,Sales!$E:$E,0)),""))</f>
        <v/>
      </c>
      <c r="E690" s="154" t="str">
        <f>IF($A690="","",SUMIFS(Sales!$H:$H,Sales!$E:$E,$A690,Sales!$B:$B,"&lt;&gt;Return"))</f>
        <v/>
      </c>
      <c r="F690" s="155" t="str">
        <f>IF($A690="","",SUMIF(Sales!$E:$E,$A690,Sales!$L:$L))</f>
        <v/>
      </c>
      <c r="G690" s="155" t="str">
        <f>IF($A690="","",SUMIF(Sales!$E:$E,$A690,Sales!$P:$P))</f>
        <v/>
      </c>
      <c r="H690" s="156" t="str">
        <f t="array" ref="H690">IF($A690="","",IFERROR(INDEX(Orders!$O$5:$O$1004,MATCH($A690,Orders!$N$5:$N$1004,0)),""))</f>
        <v/>
      </c>
      <c r="I690" s="156" t="str">
        <f t="array" ref="I690">IF($A690="","",IFERROR(INDEX(Orders!$P$5:$P$1004,MATCH($A690,Orders!$N$5:$N$1004,0)),""))</f>
        <v/>
      </c>
      <c r="J690" s="157" t="str">
        <f t="shared" si="1"/>
        <v/>
      </c>
      <c r="K690" s="153" t="str">
        <f t="array" ref="K690">IF($A690="","",IFERROR(INDEX(Sales!$M:$M,MATCH($A690,Sales!$E:$E,0)),""))</f>
        <v/>
      </c>
      <c r="L690" s="158" t="str">
        <f t="shared" si="2"/>
        <v/>
      </c>
      <c r="N690" s="49" t="str">
        <f t="array" ref="N690">IFERROR(INDEX(Sales!$E$7:$E$1506,MATCH(ROW()-4,Sales!$V$7:$V$1506,0)),"")</f>
        <v/>
      </c>
      <c r="O690" s="67"/>
      <c r="P690" s="67"/>
    </row>
    <row r="691" ht="15.75" customHeight="1">
      <c r="A691" s="151" t="str">
        <f t="array" ref="A691">IFERROR(INDEX(Sales!$E$7:$E$1506,MATCH(ROW()-4,Sales!$W$7:$W$1506,0)),"")</f>
        <v/>
      </c>
      <c r="B691" s="152" t="str">
        <f t="array" ref="B691">IF($A691="","",IFERROR(INDEX(Sales!$A:$A,MATCH($A691,Sales!$E:$E,0)),""))</f>
        <v/>
      </c>
      <c r="C691" s="153" t="str">
        <f t="array" ref="C691">IF($A691="","",IFERROR(INDEX(Sales!$D:$D,MATCH($A691,Sales!$E:$E,0)),""))</f>
        <v/>
      </c>
      <c r="D691" s="153" t="str">
        <f t="array" ref="D691">IF($A691="","",IFERROR(INDEX(Sales!$C:$C,MATCH($A691,Sales!$E:$E,0)),""))</f>
        <v/>
      </c>
      <c r="E691" s="154" t="str">
        <f>IF($A691="","",SUMIFS(Sales!$H:$H,Sales!$E:$E,$A691,Sales!$B:$B,"&lt;&gt;Return"))</f>
        <v/>
      </c>
      <c r="F691" s="155" t="str">
        <f>IF($A691="","",SUMIF(Sales!$E:$E,$A691,Sales!$L:$L))</f>
        <v/>
      </c>
      <c r="G691" s="155" t="str">
        <f>IF($A691="","",SUMIF(Sales!$E:$E,$A691,Sales!$P:$P))</f>
        <v/>
      </c>
      <c r="H691" s="156" t="str">
        <f t="array" ref="H691">IF($A691="","",IFERROR(INDEX(Orders!$O$5:$O$1004,MATCH($A691,Orders!$N$5:$N$1004,0)),""))</f>
        <v/>
      </c>
      <c r="I691" s="156" t="str">
        <f t="array" ref="I691">IF($A691="","",IFERROR(INDEX(Orders!$P$5:$P$1004,MATCH($A691,Orders!$N$5:$N$1004,0)),""))</f>
        <v/>
      </c>
      <c r="J691" s="157" t="str">
        <f t="shared" si="1"/>
        <v/>
      </c>
      <c r="K691" s="153" t="str">
        <f t="array" ref="K691">IF($A691="","",IFERROR(INDEX(Sales!$M:$M,MATCH($A691,Sales!$E:$E,0)),""))</f>
        <v/>
      </c>
      <c r="L691" s="158" t="str">
        <f t="shared" si="2"/>
        <v/>
      </c>
      <c r="N691" s="49" t="str">
        <f t="array" ref="N691">IFERROR(INDEX(Sales!$E$7:$E$1506,MATCH(ROW()-4,Sales!$V$7:$V$1506,0)),"")</f>
        <v/>
      </c>
      <c r="O691" s="67"/>
      <c r="P691" s="67"/>
    </row>
    <row r="692" ht="15.75" customHeight="1">
      <c r="A692" s="151" t="str">
        <f t="array" ref="A692">IFERROR(INDEX(Sales!$E$7:$E$1506,MATCH(ROW()-4,Sales!$W$7:$W$1506,0)),"")</f>
        <v/>
      </c>
      <c r="B692" s="152" t="str">
        <f t="array" ref="B692">IF($A692="","",IFERROR(INDEX(Sales!$A:$A,MATCH($A692,Sales!$E:$E,0)),""))</f>
        <v/>
      </c>
      <c r="C692" s="153" t="str">
        <f t="array" ref="C692">IF($A692="","",IFERROR(INDEX(Sales!$D:$D,MATCH($A692,Sales!$E:$E,0)),""))</f>
        <v/>
      </c>
      <c r="D692" s="153" t="str">
        <f t="array" ref="D692">IF($A692="","",IFERROR(INDEX(Sales!$C:$C,MATCH($A692,Sales!$E:$E,0)),""))</f>
        <v/>
      </c>
      <c r="E692" s="154" t="str">
        <f>IF($A692="","",SUMIFS(Sales!$H:$H,Sales!$E:$E,$A692,Sales!$B:$B,"&lt;&gt;Return"))</f>
        <v/>
      </c>
      <c r="F692" s="155" t="str">
        <f>IF($A692="","",SUMIF(Sales!$E:$E,$A692,Sales!$L:$L))</f>
        <v/>
      </c>
      <c r="G692" s="155" t="str">
        <f>IF($A692="","",SUMIF(Sales!$E:$E,$A692,Sales!$P:$P))</f>
        <v/>
      </c>
      <c r="H692" s="156" t="str">
        <f t="array" ref="H692">IF($A692="","",IFERROR(INDEX(Orders!$O$5:$O$1004,MATCH($A692,Orders!$N$5:$N$1004,0)),""))</f>
        <v/>
      </c>
      <c r="I692" s="156" t="str">
        <f t="array" ref="I692">IF($A692="","",IFERROR(INDEX(Orders!$P$5:$P$1004,MATCH($A692,Orders!$N$5:$N$1004,0)),""))</f>
        <v/>
      </c>
      <c r="J692" s="157" t="str">
        <f t="shared" si="1"/>
        <v/>
      </c>
      <c r="K692" s="153" t="str">
        <f t="array" ref="K692">IF($A692="","",IFERROR(INDEX(Sales!$M:$M,MATCH($A692,Sales!$E:$E,0)),""))</f>
        <v/>
      </c>
      <c r="L692" s="158" t="str">
        <f t="shared" si="2"/>
        <v/>
      </c>
      <c r="N692" s="49" t="str">
        <f t="array" ref="N692">IFERROR(INDEX(Sales!$E$7:$E$1506,MATCH(ROW()-4,Sales!$V$7:$V$1506,0)),"")</f>
        <v/>
      </c>
      <c r="O692" s="67"/>
      <c r="P692" s="67"/>
    </row>
    <row r="693" ht="15.75" customHeight="1">
      <c r="A693" s="151" t="str">
        <f t="array" ref="A693">IFERROR(INDEX(Sales!$E$7:$E$1506,MATCH(ROW()-4,Sales!$W$7:$W$1506,0)),"")</f>
        <v/>
      </c>
      <c r="B693" s="152" t="str">
        <f t="array" ref="B693">IF($A693="","",IFERROR(INDEX(Sales!$A:$A,MATCH($A693,Sales!$E:$E,0)),""))</f>
        <v/>
      </c>
      <c r="C693" s="153" t="str">
        <f t="array" ref="C693">IF($A693="","",IFERROR(INDEX(Sales!$D:$D,MATCH($A693,Sales!$E:$E,0)),""))</f>
        <v/>
      </c>
      <c r="D693" s="153" t="str">
        <f t="array" ref="D693">IF($A693="","",IFERROR(INDEX(Sales!$C:$C,MATCH($A693,Sales!$E:$E,0)),""))</f>
        <v/>
      </c>
      <c r="E693" s="154" t="str">
        <f>IF($A693="","",SUMIFS(Sales!$H:$H,Sales!$E:$E,$A693,Sales!$B:$B,"&lt;&gt;Return"))</f>
        <v/>
      </c>
      <c r="F693" s="155" t="str">
        <f>IF($A693="","",SUMIF(Sales!$E:$E,$A693,Sales!$L:$L))</f>
        <v/>
      </c>
      <c r="G693" s="155" t="str">
        <f>IF($A693="","",SUMIF(Sales!$E:$E,$A693,Sales!$P:$P))</f>
        <v/>
      </c>
      <c r="H693" s="156" t="str">
        <f t="array" ref="H693">IF($A693="","",IFERROR(INDEX(Orders!$O$5:$O$1004,MATCH($A693,Orders!$N$5:$N$1004,0)),""))</f>
        <v/>
      </c>
      <c r="I693" s="156" t="str">
        <f t="array" ref="I693">IF($A693="","",IFERROR(INDEX(Orders!$P$5:$P$1004,MATCH($A693,Orders!$N$5:$N$1004,0)),""))</f>
        <v/>
      </c>
      <c r="J693" s="157" t="str">
        <f t="shared" si="1"/>
        <v/>
      </c>
      <c r="K693" s="153" t="str">
        <f t="array" ref="K693">IF($A693="","",IFERROR(INDEX(Sales!$M:$M,MATCH($A693,Sales!$E:$E,0)),""))</f>
        <v/>
      </c>
      <c r="L693" s="158" t="str">
        <f t="shared" si="2"/>
        <v/>
      </c>
      <c r="N693" s="49" t="str">
        <f t="array" ref="N693">IFERROR(INDEX(Sales!$E$7:$E$1506,MATCH(ROW()-4,Sales!$V$7:$V$1506,0)),"")</f>
        <v/>
      </c>
      <c r="O693" s="67"/>
      <c r="P693" s="67"/>
    </row>
    <row r="694" ht="15.75" customHeight="1">
      <c r="A694" s="151" t="str">
        <f t="array" ref="A694">IFERROR(INDEX(Sales!$E$7:$E$1506,MATCH(ROW()-4,Sales!$W$7:$W$1506,0)),"")</f>
        <v/>
      </c>
      <c r="B694" s="152" t="str">
        <f t="array" ref="B694">IF($A694="","",IFERROR(INDEX(Sales!$A:$A,MATCH($A694,Sales!$E:$E,0)),""))</f>
        <v/>
      </c>
      <c r="C694" s="153" t="str">
        <f t="array" ref="C694">IF($A694="","",IFERROR(INDEX(Sales!$D:$D,MATCH($A694,Sales!$E:$E,0)),""))</f>
        <v/>
      </c>
      <c r="D694" s="153" t="str">
        <f t="array" ref="D694">IF($A694="","",IFERROR(INDEX(Sales!$C:$C,MATCH($A694,Sales!$E:$E,0)),""))</f>
        <v/>
      </c>
      <c r="E694" s="154" t="str">
        <f>IF($A694="","",SUMIFS(Sales!$H:$H,Sales!$E:$E,$A694,Sales!$B:$B,"&lt;&gt;Return"))</f>
        <v/>
      </c>
      <c r="F694" s="155" t="str">
        <f>IF($A694="","",SUMIF(Sales!$E:$E,$A694,Sales!$L:$L))</f>
        <v/>
      </c>
      <c r="G694" s="155" t="str">
        <f>IF($A694="","",SUMIF(Sales!$E:$E,$A694,Sales!$P:$P))</f>
        <v/>
      </c>
      <c r="H694" s="156" t="str">
        <f t="array" ref="H694">IF($A694="","",IFERROR(INDEX(Orders!$O$5:$O$1004,MATCH($A694,Orders!$N$5:$N$1004,0)),""))</f>
        <v/>
      </c>
      <c r="I694" s="156" t="str">
        <f t="array" ref="I694">IF($A694="","",IFERROR(INDEX(Orders!$P$5:$P$1004,MATCH($A694,Orders!$N$5:$N$1004,0)),""))</f>
        <v/>
      </c>
      <c r="J694" s="157" t="str">
        <f t="shared" si="1"/>
        <v/>
      </c>
      <c r="K694" s="153" t="str">
        <f t="array" ref="K694">IF($A694="","",IFERROR(INDEX(Sales!$M:$M,MATCH($A694,Sales!$E:$E,0)),""))</f>
        <v/>
      </c>
      <c r="L694" s="158" t="str">
        <f t="shared" si="2"/>
        <v/>
      </c>
      <c r="N694" s="49" t="str">
        <f t="array" ref="N694">IFERROR(INDEX(Sales!$E$7:$E$1506,MATCH(ROW()-4,Sales!$V$7:$V$1506,0)),"")</f>
        <v/>
      </c>
      <c r="O694" s="67"/>
      <c r="P694" s="67"/>
    </row>
    <row r="695" ht="15.75" customHeight="1">
      <c r="A695" s="151" t="str">
        <f t="array" ref="A695">IFERROR(INDEX(Sales!$E$7:$E$1506,MATCH(ROW()-4,Sales!$W$7:$W$1506,0)),"")</f>
        <v/>
      </c>
      <c r="B695" s="152" t="str">
        <f t="array" ref="B695">IF($A695="","",IFERROR(INDEX(Sales!$A:$A,MATCH($A695,Sales!$E:$E,0)),""))</f>
        <v/>
      </c>
      <c r="C695" s="153" t="str">
        <f t="array" ref="C695">IF($A695="","",IFERROR(INDEX(Sales!$D:$D,MATCH($A695,Sales!$E:$E,0)),""))</f>
        <v/>
      </c>
      <c r="D695" s="153" t="str">
        <f t="array" ref="D695">IF($A695="","",IFERROR(INDEX(Sales!$C:$C,MATCH($A695,Sales!$E:$E,0)),""))</f>
        <v/>
      </c>
      <c r="E695" s="154" t="str">
        <f>IF($A695="","",SUMIFS(Sales!$H:$H,Sales!$E:$E,$A695,Sales!$B:$B,"&lt;&gt;Return"))</f>
        <v/>
      </c>
      <c r="F695" s="155" t="str">
        <f>IF($A695="","",SUMIF(Sales!$E:$E,$A695,Sales!$L:$L))</f>
        <v/>
      </c>
      <c r="G695" s="155" t="str">
        <f>IF($A695="","",SUMIF(Sales!$E:$E,$A695,Sales!$P:$P))</f>
        <v/>
      </c>
      <c r="H695" s="156" t="str">
        <f t="array" ref="H695">IF($A695="","",IFERROR(INDEX(Orders!$O$5:$O$1004,MATCH($A695,Orders!$N$5:$N$1004,0)),""))</f>
        <v/>
      </c>
      <c r="I695" s="156" t="str">
        <f t="array" ref="I695">IF($A695="","",IFERROR(INDEX(Orders!$P$5:$P$1004,MATCH($A695,Orders!$N$5:$N$1004,0)),""))</f>
        <v/>
      </c>
      <c r="J695" s="157" t="str">
        <f t="shared" si="1"/>
        <v/>
      </c>
      <c r="K695" s="153" t="str">
        <f t="array" ref="K695">IF($A695="","",IFERROR(INDEX(Sales!$M:$M,MATCH($A695,Sales!$E:$E,0)),""))</f>
        <v/>
      </c>
      <c r="L695" s="158" t="str">
        <f t="shared" si="2"/>
        <v/>
      </c>
      <c r="N695" s="49" t="str">
        <f t="array" ref="N695">IFERROR(INDEX(Sales!$E$7:$E$1506,MATCH(ROW()-4,Sales!$V$7:$V$1506,0)),"")</f>
        <v/>
      </c>
      <c r="O695" s="67"/>
      <c r="P695" s="67"/>
    </row>
    <row r="696" ht="15.75" customHeight="1">
      <c r="A696" s="151" t="str">
        <f t="array" ref="A696">IFERROR(INDEX(Sales!$E$7:$E$1506,MATCH(ROW()-4,Sales!$W$7:$W$1506,0)),"")</f>
        <v/>
      </c>
      <c r="B696" s="152" t="str">
        <f t="array" ref="B696">IF($A696="","",IFERROR(INDEX(Sales!$A:$A,MATCH($A696,Sales!$E:$E,0)),""))</f>
        <v/>
      </c>
      <c r="C696" s="153" t="str">
        <f t="array" ref="C696">IF($A696="","",IFERROR(INDEX(Sales!$D:$D,MATCH($A696,Sales!$E:$E,0)),""))</f>
        <v/>
      </c>
      <c r="D696" s="153" t="str">
        <f t="array" ref="D696">IF($A696="","",IFERROR(INDEX(Sales!$C:$C,MATCH($A696,Sales!$E:$E,0)),""))</f>
        <v/>
      </c>
      <c r="E696" s="154" t="str">
        <f>IF($A696="","",SUMIFS(Sales!$H:$H,Sales!$E:$E,$A696,Sales!$B:$B,"&lt;&gt;Return"))</f>
        <v/>
      </c>
      <c r="F696" s="155" t="str">
        <f>IF($A696="","",SUMIF(Sales!$E:$E,$A696,Sales!$L:$L))</f>
        <v/>
      </c>
      <c r="G696" s="155" t="str">
        <f>IF($A696="","",SUMIF(Sales!$E:$E,$A696,Sales!$P:$P))</f>
        <v/>
      </c>
      <c r="H696" s="156" t="str">
        <f t="array" ref="H696">IF($A696="","",IFERROR(INDEX(Orders!$O$5:$O$1004,MATCH($A696,Orders!$N$5:$N$1004,0)),""))</f>
        <v/>
      </c>
      <c r="I696" s="156" t="str">
        <f t="array" ref="I696">IF($A696="","",IFERROR(INDEX(Orders!$P$5:$P$1004,MATCH($A696,Orders!$N$5:$N$1004,0)),""))</f>
        <v/>
      </c>
      <c r="J696" s="157" t="str">
        <f t="shared" si="1"/>
        <v/>
      </c>
      <c r="K696" s="153" t="str">
        <f t="array" ref="K696">IF($A696="","",IFERROR(INDEX(Sales!$M:$M,MATCH($A696,Sales!$E:$E,0)),""))</f>
        <v/>
      </c>
      <c r="L696" s="158" t="str">
        <f t="shared" si="2"/>
        <v/>
      </c>
      <c r="N696" s="49" t="str">
        <f t="array" ref="N696">IFERROR(INDEX(Sales!$E$7:$E$1506,MATCH(ROW()-4,Sales!$V$7:$V$1506,0)),"")</f>
        <v/>
      </c>
      <c r="O696" s="67"/>
      <c r="P696" s="67"/>
    </row>
    <row r="697" ht="15.75" customHeight="1">
      <c r="A697" s="151" t="str">
        <f t="array" ref="A697">IFERROR(INDEX(Sales!$E$7:$E$1506,MATCH(ROW()-4,Sales!$W$7:$W$1506,0)),"")</f>
        <v/>
      </c>
      <c r="B697" s="152" t="str">
        <f t="array" ref="B697">IF($A697="","",IFERROR(INDEX(Sales!$A:$A,MATCH($A697,Sales!$E:$E,0)),""))</f>
        <v/>
      </c>
      <c r="C697" s="153" t="str">
        <f t="array" ref="C697">IF($A697="","",IFERROR(INDEX(Sales!$D:$D,MATCH($A697,Sales!$E:$E,0)),""))</f>
        <v/>
      </c>
      <c r="D697" s="153" t="str">
        <f t="array" ref="D697">IF($A697="","",IFERROR(INDEX(Sales!$C:$C,MATCH($A697,Sales!$E:$E,0)),""))</f>
        <v/>
      </c>
      <c r="E697" s="154" t="str">
        <f>IF($A697="","",SUMIFS(Sales!$H:$H,Sales!$E:$E,$A697,Sales!$B:$B,"&lt;&gt;Return"))</f>
        <v/>
      </c>
      <c r="F697" s="155" t="str">
        <f>IF($A697="","",SUMIF(Sales!$E:$E,$A697,Sales!$L:$L))</f>
        <v/>
      </c>
      <c r="G697" s="155" t="str">
        <f>IF($A697="","",SUMIF(Sales!$E:$E,$A697,Sales!$P:$P))</f>
        <v/>
      </c>
      <c r="H697" s="156" t="str">
        <f t="array" ref="H697">IF($A697="","",IFERROR(INDEX(Orders!$O$5:$O$1004,MATCH($A697,Orders!$N$5:$N$1004,0)),""))</f>
        <v/>
      </c>
      <c r="I697" s="156" t="str">
        <f t="array" ref="I697">IF($A697="","",IFERROR(INDEX(Orders!$P$5:$P$1004,MATCH($A697,Orders!$N$5:$N$1004,0)),""))</f>
        <v/>
      </c>
      <c r="J697" s="157" t="str">
        <f t="shared" si="1"/>
        <v/>
      </c>
      <c r="K697" s="153" t="str">
        <f t="array" ref="K697">IF($A697="","",IFERROR(INDEX(Sales!$M:$M,MATCH($A697,Sales!$E:$E,0)),""))</f>
        <v/>
      </c>
      <c r="L697" s="158" t="str">
        <f t="shared" si="2"/>
        <v/>
      </c>
      <c r="N697" s="49" t="str">
        <f t="array" ref="N697">IFERROR(INDEX(Sales!$E$7:$E$1506,MATCH(ROW()-4,Sales!$V$7:$V$1506,0)),"")</f>
        <v/>
      </c>
      <c r="O697" s="67"/>
      <c r="P697" s="67"/>
    </row>
    <row r="698" ht="15.75" customHeight="1">
      <c r="A698" s="151" t="str">
        <f t="array" ref="A698">IFERROR(INDEX(Sales!$E$7:$E$1506,MATCH(ROW()-4,Sales!$W$7:$W$1506,0)),"")</f>
        <v/>
      </c>
      <c r="B698" s="152" t="str">
        <f t="array" ref="B698">IF($A698="","",IFERROR(INDEX(Sales!$A:$A,MATCH($A698,Sales!$E:$E,0)),""))</f>
        <v/>
      </c>
      <c r="C698" s="153" t="str">
        <f t="array" ref="C698">IF($A698="","",IFERROR(INDEX(Sales!$D:$D,MATCH($A698,Sales!$E:$E,0)),""))</f>
        <v/>
      </c>
      <c r="D698" s="153" t="str">
        <f t="array" ref="D698">IF($A698="","",IFERROR(INDEX(Sales!$C:$C,MATCH($A698,Sales!$E:$E,0)),""))</f>
        <v/>
      </c>
      <c r="E698" s="154" t="str">
        <f>IF($A698="","",SUMIFS(Sales!$H:$H,Sales!$E:$E,$A698,Sales!$B:$B,"&lt;&gt;Return"))</f>
        <v/>
      </c>
      <c r="F698" s="155" t="str">
        <f>IF($A698="","",SUMIF(Sales!$E:$E,$A698,Sales!$L:$L))</f>
        <v/>
      </c>
      <c r="G698" s="155" t="str">
        <f>IF($A698="","",SUMIF(Sales!$E:$E,$A698,Sales!$P:$P))</f>
        <v/>
      </c>
      <c r="H698" s="156" t="str">
        <f t="array" ref="H698">IF($A698="","",IFERROR(INDEX(Orders!$O$5:$O$1004,MATCH($A698,Orders!$N$5:$N$1004,0)),""))</f>
        <v/>
      </c>
      <c r="I698" s="156" t="str">
        <f t="array" ref="I698">IF($A698="","",IFERROR(INDEX(Orders!$P$5:$P$1004,MATCH($A698,Orders!$N$5:$N$1004,0)),""))</f>
        <v/>
      </c>
      <c r="J698" s="157" t="str">
        <f t="shared" si="1"/>
        <v/>
      </c>
      <c r="K698" s="153" t="str">
        <f t="array" ref="K698">IF($A698="","",IFERROR(INDEX(Sales!$M:$M,MATCH($A698,Sales!$E:$E,0)),""))</f>
        <v/>
      </c>
      <c r="L698" s="158" t="str">
        <f t="shared" si="2"/>
        <v/>
      </c>
      <c r="N698" s="49" t="str">
        <f t="array" ref="N698">IFERROR(INDEX(Sales!$E$7:$E$1506,MATCH(ROW()-4,Sales!$V$7:$V$1506,0)),"")</f>
        <v/>
      </c>
      <c r="O698" s="67"/>
      <c r="P698" s="67"/>
    </row>
    <row r="699" ht="15.75" customHeight="1">
      <c r="A699" s="151" t="str">
        <f t="array" ref="A699">IFERROR(INDEX(Sales!$E$7:$E$1506,MATCH(ROW()-4,Sales!$W$7:$W$1506,0)),"")</f>
        <v/>
      </c>
      <c r="B699" s="152" t="str">
        <f t="array" ref="B699">IF($A699="","",IFERROR(INDEX(Sales!$A:$A,MATCH($A699,Sales!$E:$E,0)),""))</f>
        <v/>
      </c>
      <c r="C699" s="153" t="str">
        <f t="array" ref="C699">IF($A699="","",IFERROR(INDEX(Sales!$D:$D,MATCH($A699,Sales!$E:$E,0)),""))</f>
        <v/>
      </c>
      <c r="D699" s="153" t="str">
        <f t="array" ref="D699">IF($A699="","",IFERROR(INDEX(Sales!$C:$C,MATCH($A699,Sales!$E:$E,0)),""))</f>
        <v/>
      </c>
      <c r="E699" s="154" t="str">
        <f>IF($A699="","",SUMIFS(Sales!$H:$H,Sales!$E:$E,$A699,Sales!$B:$B,"&lt;&gt;Return"))</f>
        <v/>
      </c>
      <c r="F699" s="155" t="str">
        <f>IF($A699="","",SUMIF(Sales!$E:$E,$A699,Sales!$L:$L))</f>
        <v/>
      </c>
      <c r="G699" s="155" t="str">
        <f>IF($A699="","",SUMIF(Sales!$E:$E,$A699,Sales!$P:$P))</f>
        <v/>
      </c>
      <c r="H699" s="156" t="str">
        <f t="array" ref="H699">IF($A699="","",IFERROR(INDEX(Orders!$O$5:$O$1004,MATCH($A699,Orders!$N$5:$N$1004,0)),""))</f>
        <v/>
      </c>
      <c r="I699" s="156" t="str">
        <f t="array" ref="I699">IF($A699="","",IFERROR(INDEX(Orders!$P$5:$P$1004,MATCH($A699,Orders!$N$5:$N$1004,0)),""))</f>
        <v/>
      </c>
      <c r="J699" s="157" t="str">
        <f t="shared" si="1"/>
        <v/>
      </c>
      <c r="K699" s="153" t="str">
        <f t="array" ref="K699">IF($A699="","",IFERROR(INDEX(Sales!$M:$M,MATCH($A699,Sales!$E:$E,0)),""))</f>
        <v/>
      </c>
      <c r="L699" s="158" t="str">
        <f t="shared" si="2"/>
        <v/>
      </c>
      <c r="N699" s="49" t="str">
        <f t="array" ref="N699">IFERROR(INDEX(Sales!$E$7:$E$1506,MATCH(ROW()-4,Sales!$V$7:$V$1506,0)),"")</f>
        <v/>
      </c>
      <c r="O699" s="67"/>
      <c r="P699" s="67"/>
    </row>
    <row r="700" ht="15.75" customHeight="1">
      <c r="A700" s="151" t="str">
        <f t="array" ref="A700">IFERROR(INDEX(Sales!$E$7:$E$1506,MATCH(ROW()-4,Sales!$W$7:$W$1506,0)),"")</f>
        <v/>
      </c>
      <c r="B700" s="152" t="str">
        <f t="array" ref="B700">IF($A700="","",IFERROR(INDEX(Sales!$A:$A,MATCH($A700,Sales!$E:$E,0)),""))</f>
        <v/>
      </c>
      <c r="C700" s="153" t="str">
        <f t="array" ref="C700">IF($A700="","",IFERROR(INDEX(Sales!$D:$D,MATCH($A700,Sales!$E:$E,0)),""))</f>
        <v/>
      </c>
      <c r="D700" s="153" t="str">
        <f t="array" ref="D700">IF($A700="","",IFERROR(INDEX(Sales!$C:$C,MATCH($A700,Sales!$E:$E,0)),""))</f>
        <v/>
      </c>
      <c r="E700" s="154" t="str">
        <f>IF($A700="","",SUMIFS(Sales!$H:$H,Sales!$E:$E,$A700,Sales!$B:$B,"&lt;&gt;Return"))</f>
        <v/>
      </c>
      <c r="F700" s="155" t="str">
        <f>IF($A700="","",SUMIF(Sales!$E:$E,$A700,Sales!$L:$L))</f>
        <v/>
      </c>
      <c r="G700" s="155" t="str">
        <f>IF($A700="","",SUMIF(Sales!$E:$E,$A700,Sales!$P:$P))</f>
        <v/>
      </c>
      <c r="H700" s="156" t="str">
        <f t="array" ref="H700">IF($A700="","",IFERROR(INDEX(Orders!$O$5:$O$1004,MATCH($A700,Orders!$N$5:$N$1004,0)),""))</f>
        <v/>
      </c>
      <c r="I700" s="156" t="str">
        <f t="array" ref="I700">IF($A700="","",IFERROR(INDEX(Orders!$P$5:$P$1004,MATCH($A700,Orders!$N$5:$N$1004,0)),""))</f>
        <v/>
      </c>
      <c r="J700" s="157" t="str">
        <f t="shared" si="1"/>
        <v/>
      </c>
      <c r="K700" s="153" t="str">
        <f t="array" ref="K700">IF($A700="","",IFERROR(INDEX(Sales!$M:$M,MATCH($A700,Sales!$E:$E,0)),""))</f>
        <v/>
      </c>
      <c r="L700" s="158" t="str">
        <f t="shared" si="2"/>
        <v/>
      </c>
      <c r="N700" s="49" t="str">
        <f t="array" ref="N700">IFERROR(INDEX(Sales!$E$7:$E$1506,MATCH(ROW()-4,Sales!$V$7:$V$1506,0)),"")</f>
        <v/>
      </c>
      <c r="O700" s="67"/>
      <c r="P700" s="67"/>
    </row>
    <row r="701" ht="15.75" customHeight="1">
      <c r="A701" s="151" t="str">
        <f t="array" ref="A701">IFERROR(INDEX(Sales!$E$7:$E$1506,MATCH(ROW()-4,Sales!$W$7:$W$1506,0)),"")</f>
        <v/>
      </c>
      <c r="B701" s="152" t="str">
        <f t="array" ref="B701">IF($A701="","",IFERROR(INDEX(Sales!$A:$A,MATCH($A701,Sales!$E:$E,0)),""))</f>
        <v/>
      </c>
      <c r="C701" s="153" t="str">
        <f t="array" ref="C701">IF($A701="","",IFERROR(INDEX(Sales!$D:$D,MATCH($A701,Sales!$E:$E,0)),""))</f>
        <v/>
      </c>
      <c r="D701" s="153" t="str">
        <f t="array" ref="D701">IF($A701="","",IFERROR(INDEX(Sales!$C:$C,MATCH($A701,Sales!$E:$E,0)),""))</f>
        <v/>
      </c>
      <c r="E701" s="154" t="str">
        <f>IF($A701="","",SUMIFS(Sales!$H:$H,Sales!$E:$E,$A701,Sales!$B:$B,"&lt;&gt;Return"))</f>
        <v/>
      </c>
      <c r="F701" s="155" t="str">
        <f>IF($A701="","",SUMIF(Sales!$E:$E,$A701,Sales!$L:$L))</f>
        <v/>
      </c>
      <c r="G701" s="155" t="str">
        <f>IF($A701="","",SUMIF(Sales!$E:$E,$A701,Sales!$P:$P))</f>
        <v/>
      </c>
      <c r="H701" s="156" t="str">
        <f t="array" ref="H701">IF($A701="","",IFERROR(INDEX(Orders!$O$5:$O$1004,MATCH($A701,Orders!$N$5:$N$1004,0)),""))</f>
        <v/>
      </c>
      <c r="I701" s="156" t="str">
        <f t="array" ref="I701">IF($A701="","",IFERROR(INDEX(Orders!$P$5:$P$1004,MATCH($A701,Orders!$N$5:$N$1004,0)),""))</f>
        <v/>
      </c>
      <c r="J701" s="157" t="str">
        <f t="shared" si="1"/>
        <v/>
      </c>
      <c r="K701" s="153" t="str">
        <f t="array" ref="K701">IF($A701="","",IFERROR(INDEX(Sales!$M:$M,MATCH($A701,Sales!$E:$E,0)),""))</f>
        <v/>
      </c>
      <c r="L701" s="158" t="str">
        <f t="shared" si="2"/>
        <v/>
      </c>
      <c r="N701" s="49" t="str">
        <f t="array" ref="N701">IFERROR(INDEX(Sales!$E$7:$E$1506,MATCH(ROW()-4,Sales!$V$7:$V$1506,0)),"")</f>
        <v/>
      </c>
      <c r="O701" s="67"/>
      <c r="P701" s="67"/>
    </row>
    <row r="702" ht="15.75" customHeight="1">
      <c r="A702" s="151" t="str">
        <f t="array" ref="A702">IFERROR(INDEX(Sales!$E$7:$E$1506,MATCH(ROW()-4,Sales!$W$7:$W$1506,0)),"")</f>
        <v/>
      </c>
      <c r="B702" s="152" t="str">
        <f t="array" ref="B702">IF($A702="","",IFERROR(INDEX(Sales!$A:$A,MATCH($A702,Sales!$E:$E,0)),""))</f>
        <v/>
      </c>
      <c r="C702" s="153" t="str">
        <f t="array" ref="C702">IF($A702="","",IFERROR(INDEX(Sales!$D:$D,MATCH($A702,Sales!$E:$E,0)),""))</f>
        <v/>
      </c>
      <c r="D702" s="153" t="str">
        <f t="array" ref="D702">IF($A702="","",IFERROR(INDEX(Sales!$C:$C,MATCH($A702,Sales!$E:$E,0)),""))</f>
        <v/>
      </c>
      <c r="E702" s="154" t="str">
        <f>IF($A702="","",SUMIFS(Sales!$H:$H,Sales!$E:$E,$A702,Sales!$B:$B,"&lt;&gt;Return"))</f>
        <v/>
      </c>
      <c r="F702" s="155" t="str">
        <f>IF($A702="","",SUMIF(Sales!$E:$E,$A702,Sales!$L:$L))</f>
        <v/>
      </c>
      <c r="G702" s="155" t="str">
        <f>IF($A702="","",SUMIF(Sales!$E:$E,$A702,Sales!$P:$P))</f>
        <v/>
      </c>
      <c r="H702" s="156" t="str">
        <f t="array" ref="H702">IF($A702="","",IFERROR(INDEX(Orders!$O$5:$O$1004,MATCH($A702,Orders!$N$5:$N$1004,0)),""))</f>
        <v/>
      </c>
      <c r="I702" s="156" t="str">
        <f t="array" ref="I702">IF($A702="","",IFERROR(INDEX(Orders!$P$5:$P$1004,MATCH($A702,Orders!$N$5:$N$1004,0)),""))</f>
        <v/>
      </c>
      <c r="J702" s="157" t="str">
        <f t="shared" si="1"/>
        <v/>
      </c>
      <c r="K702" s="153" t="str">
        <f t="array" ref="K702">IF($A702="","",IFERROR(INDEX(Sales!$M:$M,MATCH($A702,Sales!$E:$E,0)),""))</f>
        <v/>
      </c>
      <c r="L702" s="158" t="str">
        <f t="shared" si="2"/>
        <v/>
      </c>
      <c r="N702" s="49" t="str">
        <f t="array" ref="N702">IFERROR(INDEX(Sales!$E$7:$E$1506,MATCH(ROW()-4,Sales!$V$7:$V$1506,0)),"")</f>
        <v/>
      </c>
      <c r="O702" s="67"/>
      <c r="P702" s="67"/>
    </row>
    <row r="703" ht="15.75" customHeight="1">
      <c r="A703" s="151" t="str">
        <f t="array" ref="A703">IFERROR(INDEX(Sales!$E$7:$E$1506,MATCH(ROW()-4,Sales!$W$7:$W$1506,0)),"")</f>
        <v/>
      </c>
      <c r="B703" s="152" t="str">
        <f t="array" ref="B703">IF($A703="","",IFERROR(INDEX(Sales!$A:$A,MATCH($A703,Sales!$E:$E,0)),""))</f>
        <v/>
      </c>
      <c r="C703" s="153" t="str">
        <f t="array" ref="C703">IF($A703="","",IFERROR(INDEX(Sales!$D:$D,MATCH($A703,Sales!$E:$E,0)),""))</f>
        <v/>
      </c>
      <c r="D703" s="153" t="str">
        <f t="array" ref="D703">IF($A703="","",IFERROR(INDEX(Sales!$C:$C,MATCH($A703,Sales!$E:$E,0)),""))</f>
        <v/>
      </c>
      <c r="E703" s="154" t="str">
        <f>IF($A703="","",SUMIFS(Sales!$H:$H,Sales!$E:$E,$A703,Sales!$B:$B,"&lt;&gt;Return"))</f>
        <v/>
      </c>
      <c r="F703" s="155" t="str">
        <f>IF($A703="","",SUMIF(Sales!$E:$E,$A703,Sales!$L:$L))</f>
        <v/>
      </c>
      <c r="G703" s="155" t="str">
        <f>IF($A703="","",SUMIF(Sales!$E:$E,$A703,Sales!$P:$P))</f>
        <v/>
      </c>
      <c r="H703" s="156" t="str">
        <f t="array" ref="H703">IF($A703="","",IFERROR(INDEX(Orders!$O$5:$O$1004,MATCH($A703,Orders!$N$5:$N$1004,0)),""))</f>
        <v/>
      </c>
      <c r="I703" s="156" t="str">
        <f t="array" ref="I703">IF($A703="","",IFERROR(INDEX(Orders!$P$5:$P$1004,MATCH($A703,Orders!$N$5:$N$1004,0)),""))</f>
        <v/>
      </c>
      <c r="J703" s="157" t="str">
        <f t="shared" si="1"/>
        <v/>
      </c>
      <c r="K703" s="153" t="str">
        <f t="array" ref="K703">IF($A703="","",IFERROR(INDEX(Sales!$M:$M,MATCH($A703,Sales!$E:$E,0)),""))</f>
        <v/>
      </c>
      <c r="L703" s="158" t="str">
        <f t="shared" si="2"/>
        <v/>
      </c>
      <c r="N703" s="49" t="str">
        <f t="array" ref="N703">IFERROR(INDEX(Sales!$E$7:$E$1506,MATCH(ROW()-4,Sales!$V$7:$V$1506,0)),"")</f>
        <v/>
      </c>
      <c r="O703" s="67"/>
      <c r="P703" s="67"/>
    </row>
    <row r="704" ht="15.75" customHeight="1">
      <c r="A704" s="151" t="str">
        <f t="array" ref="A704">IFERROR(INDEX(Sales!$E$7:$E$1506,MATCH(ROW()-4,Sales!$W$7:$W$1506,0)),"")</f>
        <v/>
      </c>
      <c r="B704" s="152" t="str">
        <f t="array" ref="B704">IF($A704="","",IFERROR(INDEX(Sales!$A:$A,MATCH($A704,Sales!$E:$E,0)),""))</f>
        <v/>
      </c>
      <c r="C704" s="153" t="str">
        <f t="array" ref="C704">IF($A704="","",IFERROR(INDEX(Sales!$D:$D,MATCH($A704,Sales!$E:$E,0)),""))</f>
        <v/>
      </c>
      <c r="D704" s="153" t="str">
        <f t="array" ref="D704">IF($A704="","",IFERROR(INDEX(Sales!$C:$C,MATCH($A704,Sales!$E:$E,0)),""))</f>
        <v/>
      </c>
      <c r="E704" s="154" t="str">
        <f>IF($A704="","",SUMIFS(Sales!$H:$H,Sales!$E:$E,$A704,Sales!$B:$B,"&lt;&gt;Return"))</f>
        <v/>
      </c>
      <c r="F704" s="155" t="str">
        <f>IF($A704="","",SUMIF(Sales!$E:$E,$A704,Sales!$L:$L))</f>
        <v/>
      </c>
      <c r="G704" s="155" t="str">
        <f>IF($A704="","",SUMIF(Sales!$E:$E,$A704,Sales!$P:$P))</f>
        <v/>
      </c>
      <c r="H704" s="156" t="str">
        <f t="array" ref="H704">IF($A704="","",IFERROR(INDEX(Orders!$O$5:$O$1004,MATCH($A704,Orders!$N$5:$N$1004,0)),""))</f>
        <v/>
      </c>
      <c r="I704" s="156" t="str">
        <f t="array" ref="I704">IF($A704="","",IFERROR(INDEX(Orders!$P$5:$P$1004,MATCH($A704,Orders!$N$5:$N$1004,0)),""))</f>
        <v/>
      </c>
      <c r="J704" s="157" t="str">
        <f t="shared" si="1"/>
        <v/>
      </c>
      <c r="K704" s="153" t="str">
        <f t="array" ref="K704">IF($A704="","",IFERROR(INDEX(Sales!$M:$M,MATCH($A704,Sales!$E:$E,0)),""))</f>
        <v/>
      </c>
      <c r="L704" s="158" t="str">
        <f t="shared" si="2"/>
        <v/>
      </c>
      <c r="N704" s="49" t="str">
        <f t="array" ref="N704">IFERROR(INDEX(Sales!$E$7:$E$1506,MATCH(ROW()-4,Sales!$V$7:$V$1506,0)),"")</f>
        <v/>
      </c>
      <c r="O704" s="67"/>
      <c r="P704" s="67"/>
    </row>
    <row r="705" ht="15.75" customHeight="1">
      <c r="A705" s="151" t="str">
        <f t="array" ref="A705">IFERROR(INDEX(Sales!$E$7:$E$1506,MATCH(ROW()-4,Sales!$W$7:$W$1506,0)),"")</f>
        <v/>
      </c>
      <c r="B705" s="152" t="str">
        <f t="array" ref="B705">IF($A705="","",IFERROR(INDEX(Sales!$A:$A,MATCH($A705,Sales!$E:$E,0)),""))</f>
        <v/>
      </c>
      <c r="C705" s="153" t="str">
        <f t="array" ref="C705">IF($A705="","",IFERROR(INDEX(Sales!$D:$D,MATCH($A705,Sales!$E:$E,0)),""))</f>
        <v/>
      </c>
      <c r="D705" s="153" t="str">
        <f t="array" ref="D705">IF($A705="","",IFERROR(INDEX(Sales!$C:$C,MATCH($A705,Sales!$E:$E,0)),""))</f>
        <v/>
      </c>
      <c r="E705" s="154" t="str">
        <f>IF($A705="","",SUMIFS(Sales!$H:$H,Sales!$E:$E,$A705,Sales!$B:$B,"&lt;&gt;Return"))</f>
        <v/>
      </c>
      <c r="F705" s="155" t="str">
        <f>IF($A705="","",SUMIF(Sales!$E:$E,$A705,Sales!$L:$L))</f>
        <v/>
      </c>
      <c r="G705" s="155" t="str">
        <f>IF($A705="","",SUMIF(Sales!$E:$E,$A705,Sales!$P:$P))</f>
        <v/>
      </c>
      <c r="H705" s="156" t="str">
        <f t="array" ref="H705">IF($A705="","",IFERROR(INDEX(Orders!$O$5:$O$1004,MATCH($A705,Orders!$N$5:$N$1004,0)),""))</f>
        <v/>
      </c>
      <c r="I705" s="156" t="str">
        <f t="array" ref="I705">IF($A705="","",IFERROR(INDEX(Orders!$P$5:$P$1004,MATCH($A705,Orders!$N$5:$N$1004,0)),""))</f>
        <v/>
      </c>
      <c r="J705" s="157" t="str">
        <f t="shared" si="1"/>
        <v/>
      </c>
      <c r="K705" s="153" t="str">
        <f t="array" ref="K705">IF($A705="","",IFERROR(INDEX(Sales!$M:$M,MATCH($A705,Sales!$E:$E,0)),""))</f>
        <v/>
      </c>
      <c r="L705" s="158" t="str">
        <f t="shared" si="2"/>
        <v/>
      </c>
      <c r="N705" s="49" t="str">
        <f t="array" ref="N705">IFERROR(INDEX(Sales!$E$7:$E$1506,MATCH(ROW()-4,Sales!$V$7:$V$1506,0)),"")</f>
        <v/>
      </c>
      <c r="O705" s="67"/>
      <c r="P705" s="67"/>
    </row>
    <row r="706" ht="15.75" customHeight="1">
      <c r="A706" s="151" t="str">
        <f t="array" ref="A706">IFERROR(INDEX(Sales!$E$7:$E$1506,MATCH(ROW()-4,Sales!$W$7:$W$1506,0)),"")</f>
        <v/>
      </c>
      <c r="B706" s="152" t="str">
        <f t="array" ref="B706">IF($A706="","",IFERROR(INDEX(Sales!$A:$A,MATCH($A706,Sales!$E:$E,0)),""))</f>
        <v/>
      </c>
      <c r="C706" s="153" t="str">
        <f t="array" ref="C706">IF($A706="","",IFERROR(INDEX(Sales!$D:$D,MATCH($A706,Sales!$E:$E,0)),""))</f>
        <v/>
      </c>
      <c r="D706" s="153" t="str">
        <f t="array" ref="D706">IF($A706="","",IFERROR(INDEX(Sales!$C:$C,MATCH($A706,Sales!$E:$E,0)),""))</f>
        <v/>
      </c>
      <c r="E706" s="154" t="str">
        <f>IF($A706="","",SUMIFS(Sales!$H:$H,Sales!$E:$E,$A706,Sales!$B:$B,"&lt;&gt;Return"))</f>
        <v/>
      </c>
      <c r="F706" s="155" t="str">
        <f>IF($A706="","",SUMIF(Sales!$E:$E,$A706,Sales!$L:$L))</f>
        <v/>
      </c>
      <c r="G706" s="155" t="str">
        <f>IF($A706="","",SUMIF(Sales!$E:$E,$A706,Sales!$P:$P))</f>
        <v/>
      </c>
      <c r="H706" s="156" t="str">
        <f t="array" ref="H706">IF($A706="","",IFERROR(INDEX(Orders!$O$5:$O$1004,MATCH($A706,Orders!$N$5:$N$1004,0)),""))</f>
        <v/>
      </c>
      <c r="I706" s="156" t="str">
        <f t="array" ref="I706">IF($A706="","",IFERROR(INDEX(Orders!$P$5:$P$1004,MATCH($A706,Orders!$N$5:$N$1004,0)),""))</f>
        <v/>
      </c>
      <c r="J706" s="157" t="str">
        <f t="shared" si="1"/>
        <v/>
      </c>
      <c r="K706" s="153" t="str">
        <f t="array" ref="K706">IF($A706="","",IFERROR(INDEX(Sales!$M:$M,MATCH($A706,Sales!$E:$E,0)),""))</f>
        <v/>
      </c>
      <c r="L706" s="158" t="str">
        <f t="shared" si="2"/>
        <v/>
      </c>
      <c r="N706" s="49" t="str">
        <f t="array" ref="N706">IFERROR(INDEX(Sales!$E$7:$E$1506,MATCH(ROW()-4,Sales!$V$7:$V$1506,0)),"")</f>
        <v/>
      </c>
      <c r="O706" s="67"/>
      <c r="P706" s="67"/>
    </row>
    <row r="707" ht="15.75" customHeight="1">
      <c r="A707" s="151" t="str">
        <f t="array" ref="A707">IFERROR(INDEX(Sales!$E$7:$E$1506,MATCH(ROW()-4,Sales!$W$7:$W$1506,0)),"")</f>
        <v/>
      </c>
      <c r="B707" s="152" t="str">
        <f t="array" ref="B707">IF($A707="","",IFERROR(INDEX(Sales!$A:$A,MATCH($A707,Sales!$E:$E,0)),""))</f>
        <v/>
      </c>
      <c r="C707" s="153" t="str">
        <f t="array" ref="C707">IF($A707="","",IFERROR(INDEX(Sales!$D:$D,MATCH($A707,Sales!$E:$E,0)),""))</f>
        <v/>
      </c>
      <c r="D707" s="153" t="str">
        <f t="array" ref="D707">IF($A707="","",IFERROR(INDEX(Sales!$C:$C,MATCH($A707,Sales!$E:$E,0)),""))</f>
        <v/>
      </c>
      <c r="E707" s="154" t="str">
        <f>IF($A707="","",SUMIFS(Sales!$H:$H,Sales!$E:$E,$A707,Sales!$B:$B,"&lt;&gt;Return"))</f>
        <v/>
      </c>
      <c r="F707" s="155" t="str">
        <f>IF($A707="","",SUMIF(Sales!$E:$E,$A707,Sales!$L:$L))</f>
        <v/>
      </c>
      <c r="G707" s="155" t="str">
        <f>IF($A707="","",SUMIF(Sales!$E:$E,$A707,Sales!$P:$P))</f>
        <v/>
      </c>
      <c r="H707" s="156" t="str">
        <f t="array" ref="H707">IF($A707="","",IFERROR(INDEX(Orders!$O$5:$O$1004,MATCH($A707,Orders!$N$5:$N$1004,0)),""))</f>
        <v/>
      </c>
      <c r="I707" s="156" t="str">
        <f t="array" ref="I707">IF($A707="","",IFERROR(INDEX(Orders!$P$5:$P$1004,MATCH($A707,Orders!$N$5:$N$1004,0)),""))</f>
        <v/>
      </c>
      <c r="J707" s="157" t="str">
        <f t="shared" si="1"/>
        <v/>
      </c>
      <c r="K707" s="153" t="str">
        <f t="array" ref="K707">IF($A707="","",IFERROR(INDEX(Sales!$M:$M,MATCH($A707,Sales!$E:$E,0)),""))</f>
        <v/>
      </c>
      <c r="L707" s="158" t="str">
        <f t="shared" si="2"/>
        <v/>
      </c>
      <c r="N707" s="49" t="str">
        <f t="array" ref="N707">IFERROR(INDEX(Sales!$E$7:$E$1506,MATCH(ROW()-4,Sales!$V$7:$V$1506,0)),"")</f>
        <v/>
      </c>
      <c r="O707" s="67"/>
      <c r="P707" s="67"/>
    </row>
    <row r="708" ht="15.75" customHeight="1">
      <c r="A708" s="151" t="str">
        <f t="array" ref="A708">IFERROR(INDEX(Sales!$E$7:$E$1506,MATCH(ROW()-4,Sales!$W$7:$W$1506,0)),"")</f>
        <v/>
      </c>
      <c r="B708" s="152" t="str">
        <f t="array" ref="B708">IF($A708="","",IFERROR(INDEX(Sales!$A:$A,MATCH($A708,Sales!$E:$E,0)),""))</f>
        <v/>
      </c>
      <c r="C708" s="153" t="str">
        <f t="array" ref="C708">IF($A708="","",IFERROR(INDEX(Sales!$D:$D,MATCH($A708,Sales!$E:$E,0)),""))</f>
        <v/>
      </c>
      <c r="D708" s="153" t="str">
        <f t="array" ref="D708">IF($A708="","",IFERROR(INDEX(Sales!$C:$C,MATCH($A708,Sales!$E:$E,0)),""))</f>
        <v/>
      </c>
      <c r="E708" s="154" t="str">
        <f>IF($A708="","",SUMIFS(Sales!$H:$H,Sales!$E:$E,$A708,Sales!$B:$B,"&lt;&gt;Return"))</f>
        <v/>
      </c>
      <c r="F708" s="155" t="str">
        <f>IF($A708="","",SUMIF(Sales!$E:$E,$A708,Sales!$L:$L))</f>
        <v/>
      </c>
      <c r="G708" s="155" t="str">
        <f>IF($A708="","",SUMIF(Sales!$E:$E,$A708,Sales!$P:$P))</f>
        <v/>
      </c>
      <c r="H708" s="156" t="str">
        <f t="array" ref="H708">IF($A708="","",IFERROR(INDEX(Orders!$O$5:$O$1004,MATCH($A708,Orders!$N$5:$N$1004,0)),""))</f>
        <v/>
      </c>
      <c r="I708" s="156" t="str">
        <f t="array" ref="I708">IF($A708="","",IFERROR(INDEX(Orders!$P$5:$P$1004,MATCH($A708,Orders!$N$5:$N$1004,0)),""))</f>
        <v/>
      </c>
      <c r="J708" s="157" t="str">
        <f t="shared" si="1"/>
        <v/>
      </c>
      <c r="K708" s="153" t="str">
        <f t="array" ref="K708">IF($A708="","",IFERROR(INDEX(Sales!$M:$M,MATCH($A708,Sales!$E:$E,0)),""))</f>
        <v/>
      </c>
      <c r="L708" s="158" t="str">
        <f t="shared" si="2"/>
        <v/>
      </c>
      <c r="N708" s="49" t="str">
        <f t="array" ref="N708">IFERROR(INDEX(Sales!$E$7:$E$1506,MATCH(ROW()-4,Sales!$V$7:$V$1506,0)),"")</f>
        <v/>
      </c>
      <c r="O708" s="67"/>
      <c r="P708" s="67"/>
    </row>
    <row r="709" ht="15.75" customHeight="1">
      <c r="A709" s="151" t="str">
        <f t="array" ref="A709">IFERROR(INDEX(Sales!$E$7:$E$1506,MATCH(ROW()-4,Sales!$W$7:$W$1506,0)),"")</f>
        <v/>
      </c>
      <c r="B709" s="152" t="str">
        <f t="array" ref="B709">IF($A709="","",IFERROR(INDEX(Sales!$A:$A,MATCH($A709,Sales!$E:$E,0)),""))</f>
        <v/>
      </c>
      <c r="C709" s="153" t="str">
        <f t="array" ref="C709">IF($A709="","",IFERROR(INDEX(Sales!$D:$D,MATCH($A709,Sales!$E:$E,0)),""))</f>
        <v/>
      </c>
      <c r="D709" s="153" t="str">
        <f t="array" ref="D709">IF($A709="","",IFERROR(INDEX(Sales!$C:$C,MATCH($A709,Sales!$E:$E,0)),""))</f>
        <v/>
      </c>
      <c r="E709" s="154" t="str">
        <f>IF($A709="","",SUMIFS(Sales!$H:$H,Sales!$E:$E,$A709,Sales!$B:$B,"&lt;&gt;Return"))</f>
        <v/>
      </c>
      <c r="F709" s="155" t="str">
        <f>IF($A709="","",SUMIF(Sales!$E:$E,$A709,Sales!$L:$L))</f>
        <v/>
      </c>
      <c r="G709" s="155" t="str">
        <f>IF($A709="","",SUMIF(Sales!$E:$E,$A709,Sales!$P:$P))</f>
        <v/>
      </c>
      <c r="H709" s="156" t="str">
        <f t="array" ref="H709">IF($A709="","",IFERROR(INDEX(Orders!$O$5:$O$1004,MATCH($A709,Orders!$N$5:$N$1004,0)),""))</f>
        <v/>
      </c>
      <c r="I709" s="156" t="str">
        <f t="array" ref="I709">IF($A709="","",IFERROR(INDEX(Orders!$P$5:$P$1004,MATCH($A709,Orders!$N$5:$N$1004,0)),""))</f>
        <v/>
      </c>
      <c r="J709" s="157" t="str">
        <f t="shared" si="1"/>
        <v/>
      </c>
      <c r="K709" s="153" t="str">
        <f t="array" ref="K709">IF($A709="","",IFERROR(INDEX(Sales!$M:$M,MATCH($A709,Sales!$E:$E,0)),""))</f>
        <v/>
      </c>
      <c r="L709" s="158" t="str">
        <f t="shared" si="2"/>
        <v/>
      </c>
      <c r="N709" s="49" t="str">
        <f t="array" ref="N709">IFERROR(INDEX(Sales!$E$7:$E$1506,MATCH(ROW()-4,Sales!$V$7:$V$1506,0)),"")</f>
        <v/>
      </c>
      <c r="O709" s="67"/>
      <c r="P709" s="67"/>
    </row>
    <row r="710" ht="15.75" customHeight="1">
      <c r="A710" s="151" t="str">
        <f t="array" ref="A710">IFERROR(INDEX(Sales!$E$7:$E$1506,MATCH(ROW()-4,Sales!$W$7:$W$1506,0)),"")</f>
        <v/>
      </c>
      <c r="B710" s="152" t="str">
        <f t="array" ref="B710">IF($A710="","",IFERROR(INDEX(Sales!$A:$A,MATCH($A710,Sales!$E:$E,0)),""))</f>
        <v/>
      </c>
      <c r="C710" s="153" t="str">
        <f t="array" ref="C710">IF($A710="","",IFERROR(INDEX(Sales!$D:$D,MATCH($A710,Sales!$E:$E,0)),""))</f>
        <v/>
      </c>
      <c r="D710" s="153" t="str">
        <f t="array" ref="D710">IF($A710="","",IFERROR(INDEX(Sales!$C:$C,MATCH($A710,Sales!$E:$E,0)),""))</f>
        <v/>
      </c>
      <c r="E710" s="154" t="str">
        <f>IF($A710="","",SUMIFS(Sales!$H:$H,Sales!$E:$E,$A710,Sales!$B:$B,"&lt;&gt;Return"))</f>
        <v/>
      </c>
      <c r="F710" s="155" t="str">
        <f>IF($A710="","",SUMIF(Sales!$E:$E,$A710,Sales!$L:$L))</f>
        <v/>
      </c>
      <c r="G710" s="155" t="str">
        <f>IF($A710="","",SUMIF(Sales!$E:$E,$A710,Sales!$P:$P))</f>
        <v/>
      </c>
      <c r="H710" s="156" t="str">
        <f t="array" ref="H710">IF($A710="","",IFERROR(INDEX(Orders!$O$5:$O$1004,MATCH($A710,Orders!$N$5:$N$1004,0)),""))</f>
        <v/>
      </c>
      <c r="I710" s="156" t="str">
        <f t="array" ref="I710">IF($A710="","",IFERROR(INDEX(Orders!$P$5:$P$1004,MATCH($A710,Orders!$N$5:$N$1004,0)),""))</f>
        <v/>
      </c>
      <c r="J710" s="157" t="str">
        <f t="shared" si="1"/>
        <v/>
      </c>
      <c r="K710" s="153" t="str">
        <f t="array" ref="K710">IF($A710="","",IFERROR(INDEX(Sales!$M:$M,MATCH($A710,Sales!$E:$E,0)),""))</f>
        <v/>
      </c>
      <c r="L710" s="158" t="str">
        <f t="shared" si="2"/>
        <v/>
      </c>
      <c r="N710" s="49" t="str">
        <f t="array" ref="N710">IFERROR(INDEX(Sales!$E$7:$E$1506,MATCH(ROW()-4,Sales!$V$7:$V$1506,0)),"")</f>
        <v/>
      </c>
      <c r="O710" s="67"/>
      <c r="P710" s="67"/>
    </row>
    <row r="711" ht="15.75" customHeight="1">
      <c r="A711" s="151" t="str">
        <f t="array" ref="A711">IFERROR(INDEX(Sales!$E$7:$E$1506,MATCH(ROW()-4,Sales!$W$7:$W$1506,0)),"")</f>
        <v/>
      </c>
      <c r="B711" s="152" t="str">
        <f t="array" ref="B711">IF($A711="","",IFERROR(INDEX(Sales!$A:$A,MATCH($A711,Sales!$E:$E,0)),""))</f>
        <v/>
      </c>
      <c r="C711" s="153" t="str">
        <f t="array" ref="C711">IF($A711="","",IFERROR(INDEX(Sales!$D:$D,MATCH($A711,Sales!$E:$E,0)),""))</f>
        <v/>
      </c>
      <c r="D711" s="153" t="str">
        <f t="array" ref="D711">IF($A711="","",IFERROR(INDEX(Sales!$C:$C,MATCH($A711,Sales!$E:$E,0)),""))</f>
        <v/>
      </c>
      <c r="E711" s="154" t="str">
        <f>IF($A711="","",SUMIFS(Sales!$H:$H,Sales!$E:$E,$A711,Sales!$B:$B,"&lt;&gt;Return"))</f>
        <v/>
      </c>
      <c r="F711" s="155" t="str">
        <f>IF($A711="","",SUMIF(Sales!$E:$E,$A711,Sales!$L:$L))</f>
        <v/>
      </c>
      <c r="G711" s="155" t="str">
        <f>IF($A711="","",SUMIF(Sales!$E:$E,$A711,Sales!$P:$P))</f>
        <v/>
      </c>
      <c r="H711" s="156" t="str">
        <f t="array" ref="H711">IF($A711="","",IFERROR(INDEX(Orders!$O$5:$O$1004,MATCH($A711,Orders!$N$5:$N$1004,0)),""))</f>
        <v/>
      </c>
      <c r="I711" s="156" t="str">
        <f t="array" ref="I711">IF($A711="","",IFERROR(INDEX(Orders!$P$5:$P$1004,MATCH($A711,Orders!$N$5:$N$1004,0)),""))</f>
        <v/>
      </c>
      <c r="J711" s="157" t="str">
        <f t="shared" si="1"/>
        <v/>
      </c>
      <c r="K711" s="153" t="str">
        <f t="array" ref="K711">IF($A711="","",IFERROR(INDEX(Sales!$M:$M,MATCH($A711,Sales!$E:$E,0)),""))</f>
        <v/>
      </c>
      <c r="L711" s="158" t="str">
        <f t="shared" si="2"/>
        <v/>
      </c>
      <c r="N711" s="49" t="str">
        <f t="array" ref="N711">IFERROR(INDEX(Sales!$E$7:$E$1506,MATCH(ROW()-4,Sales!$V$7:$V$1506,0)),"")</f>
        <v/>
      </c>
      <c r="O711" s="67"/>
      <c r="P711" s="67"/>
    </row>
    <row r="712" ht="15.0" customHeight="1">
      <c r="A712" s="151" t="str">
        <f t="array" ref="A712">IFERROR(INDEX(Sales!$E$7:$E$1506,MATCH(ROW()-4,Sales!$W$7:$W$1506,0)),"")</f>
        <v/>
      </c>
      <c r="B712" s="152" t="str">
        <f t="array" ref="B712">IF($A712="","",IFERROR(INDEX(Sales!$A:$A,MATCH($A712,Sales!$E:$E,0)),""))</f>
        <v/>
      </c>
      <c r="C712" s="153" t="str">
        <f t="array" ref="C712">IF($A712="","",IFERROR(INDEX(Sales!$D:$D,MATCH($A712,Sales!$E:$E,0)),""))</f>
        <v/>
      </c>
      <c r="D712" s="153" t="str">
        <f t="array" ref="D712">IF($A712="","",IFERROR(INDEX(Sales!$C:$C,MATCH($A712,Sales!$E:$E,0)),""))</f>
        <v/>
      </c>
      <c r="E712" s="154" t="str">
        <f>IF($A712="","",SUMIFS(Sales!$H:$H,Sales!$E:$E,$A712,Sales!$B:$B,"&lt;&gt;Return"))</f>
        <v/>
      </c>
      <c r="F712" s="155" t="str">
        <f>IF($A712="","",SUMIF(Sales!$E:$E,$A712,Sales!$L:$L))</f>
        <v/>
      </c>
      <c r="G712" s="155" t="str">
        <f>IF($A712="","",SUMIF(Sales!$E:$E,$A712,Sales!$P:$P))</f>
        <v/>
      </c>
      <c r="H712" s="156" t="str">
        <f t="array" ref="H712">IF($A712="","",IFERROR(INDEX(Orders!$O$5:$O$1004,MATCH($A712,Orders!$N$5:$N$1004,0)),""))</f>
        <v/>
      </c>
      <c r="I712" s="156" t="str">
        <f t="array" ref="I712">IF($A712="","",IFERROR(INDEX(Orders!$P$5:$P$1004,MATCH($A712,Orders!$N$5:$N$1004,0)),""))</f>
        <v/>
      </c>
      <c r="J712" s="157" t="str">
        <f t="shared" si="1"/>
        <v/>
      </c>
      <c r="K712" s="153" t="str">
        <f t="array" ref="K712">IF($A712="","",IFERROR(INDEX(Sales!$M:$M,MATCH($A712,Sales!$E:$E,0)),""))</f>
        <v/>
      </c>
      <c r="L712" s="158" t="str">
        <f t="shared" si="2"/>
        <v/>
      </c>
      <c r="N712" s="49" t="str">
        <f t="array" ref="N712">IFERROR(INDEX(Sales!$E$7:$E$1506,MATCH(ROW()-4,Sales!$V$7:$V$1506,0)),"")</f>
        <v/>
      </c>
      <c r="O712" s="67"/>
      <c r="P712" s="67"/>
    </row>
    <row r="713" ht="15.0" customHeight="1">
      <c r="A713" s="151" t="str">
        <f t="array" ref="A713">IFERROR(INDEX(Sales!$E$7:$E$1506,MATCH(ROW()-4,Sales!$W$7:$W$1506,0)),"")</f>
        <v/>
      </c>
      <c r="B713" s="152" t="str">
        <f t="array" ref="B713">IF($A713="","",IFERROR(INDEX(Sales!$A:$A,MATCH($A713,Sales!$E:$E,0)),""))</f>
        <v/>
      </c>
      <c r="C713" s="153" t="str">
        <f t="array" ref="C713">IF($A713="","",IFERROR(INDEX(Sales!$D:$D,MATCH($A713,Sales!$E:$E,0)),""))</f>
        <v/>
      </c>
      <c r="D713" s="153" t="str">
        <f t="array" ref="D713">IF($A713="","",IFERROR(INDEX(Sales!$C:$C,MATCH($A713,Sales!$E:$E,0)),""))</f>
        <v/>
      </c>
      <c r="E713" s="154" t="str">
        <f>IF($A713="","",SUMIFS(Sales!$H:$H,Sales!$E:$E,$A713,Sales!$B:$B,"&lt;&gt;Return"))</f>
        <v/>
      </c>
      <c r="F713" s="155" t="str">
        <f>IF($A713="","",SUMIF(Sales!$E:$E,$A713,Sales!$L:$L))</f>
        <v/>
      </c>
      <c r="G713" s="155" t="str">
        <f>IF($A713="","",SUMIF(Sales!$E:$E,$A713,Sales!$P:$P))</f>
        <v/>
      </c>
      <c r="H713" s="156" t="str">
        <f t="array" ref="H713">IF($A713="","",IFERROR(INDEX(Orders!$O$5:$O$1004,MATCH($A713,Orders!$N$5:$N$1004,0)),""))</f>
        <v/>
      </c>
      <c r="I713" s="156" t="str">
        <f t="array" ref="I713">IF($A713="","",IFERROR(INDEX(Orders!$P$5:$P$1004,MATCH($A713,Orders!$N$5:$N$1004,0)),""))</f>
        <v/>
      </c>
      <c r="J713" s="157" t="str">
        <f t="shared" si="1"/>
        <v/>
      </c>
      <c r="K713" s="153" t="str">
        <f t="array" ref="K713">IF($A713="","",IFERROR(INDEX(Sales!$M:$M,MATCH($A713,Sales!$E:$E,0)),""))</f>
        <v/>
      </c>
      <c r="L713" s="158" t="str">
        <f t="shared" si="2"/>
        <v/>
      </c>
      <c r="N713" s="49" t="str">
        <f t="array" ref="N713">IFERROR(INDEX(Sales!$E$7:$E$1506,MATCH(ROW()-4,Sales!$V$7:$V$1506,0)),"")</f>
        <v/>
      </c>
      <c r="O713" s="67"/>
      <c r="P713" s="67"/>
    </row>
    <row r="714" ht="15.0" customHeight="1">
      <c r="A714" s="151" t="str">
        <f t="array" ref="A714">IFERROR(INDEX(Sales!$E$7:$E$1506,MATCH(ROW()-4,Sales!$W$7:$W$1506,0)),"")</f>
        <v/>
      </c>
      <c r="B714" s="152" t="str">
        <f t="array" ref="B714">IF($A714="","",IFERROR(INDEX(Sales!$A:$A,MATCH($A714,Sales!$E:$E,0)),""))</f>
        <v/>
      </c>
      <c r="C714" s="153" t="str">
        <f t="array" ref="C714">IF($A714="","",IFERROR(INDEX(Sales!$D:$D,MATCH($A714,Sales!$E:$E,0)),""))</f>
        <v/>
      </c>
      <c r="D714" s="153" t="str">
        <f t="array" ref="D714">IF($A714="","",IFERROR(INDEX(Sales!$C:$C,MATCH($A714,Sales!$E:$E,0)),""))</f>
        <v/>
      </c>
      <c r="E714" s="154" t="str">
        <f>IF($A714="","",SUMIFS(Sales!$H:$H,Sales!$E:$E,$A714,Sales!$B:$B,"&lt;&gt;Return"))</f>
        <v/>
      </c>
      <c r="F714" s="155" t="str">
        <f>IF($A714="","",SUMIF(Sales!$E:$E,$A714,Sales!$L:$L))</f>
        <v/>
      </c>
      <c r="G714" s="155" t="str">
        <f>IF($A714="","",SUMIF(Sales!$E:$E,$A714,Sales!$P:$P))</f>
        <v/>
      </c>
      <c r="H714" s="156" t="str">
        <f t="array" ref="H714">IF($A714="","",IFERROR(INDEX(Orders!$O$5:$O$1004,MATCH($A714,Orders!$N$5:$N$1004,0)),""))</f>
        <v/>
      </c>
      <c r="I714" s="156" t="str">
        <f t="array" ref="I714">IF($A714="","",IFERROR(INDEX(Orders!$P$5:$P$1004,MATCH($A714,Orders!$N$5:$N$1004,0)),""))</f>
        <v/>
      </c>
      <c r="J714" s="157" t="str">
        <f t="shared" si="1"/>
        <v/>
      </c>
      <c r="K714" s="153" t="str">
        <f t="array" ref="K714">IF($A714="","",IFERROR(INDEX(Sales!$M:$M,MATCH($A714,Sales!$E:$E,0)),""))</f>
        <v/>
      </c>
      <c r="L714" s="158" t="str">
        <f t="shared" si="2"/>
        <v/>
      </c>
      <c r="N714" s="49" t="str">
        <f t="array" ref="N714">IFERROR(INDEX(Sales!$E$7:$E$1506,MATCH(ROW()-4,Sales!$V$7:$V$1506,0)),"")</f>
        <v/>
      </c>
      <c r="O714" s="67"/>
      <c r="P714" s="67"/>
    </row>
    <row r="715" ht="15.0" customHeight="1">
      <c r="A715" s="151" t="str">
        <f t="array" ref="A715">IFERROR(INDEX(Sales!$E$7:$E$1506,MATCH(ROW()-4,Sales!$W$7:$W$1506,0)),"")</f>
        <v/>
      </c>
      <c r="B715" s="152" t="str">
        <f t="array" ref="B715">IF($A715="","",IFERROR(INDEX(Sales!$A:$A,MATCH($A715,Sales!$E:$E,0)),""))</f>
        <v/>
      </c>
      <c r="C715" s="153" t="str">
        <f t="array" ref="C715">IF($A715="","",IFERROR(INDEX(Sales!$D:$D,MATCH($A715,Sales!$E:$E,0)),""))</f>
        <v/>
      </c>
      <c r="D715" s="153" t="str">
        <f t="array" ref="D715">IF($A715="","",IFERROR(INDEX(Sales!$C:$C,MATCH($A715,Sales!$E:$E,0)),""))</f>
        <v/>
      </c>
      <c r="E715" s="154" t="str">
        <f>IF($A715="","",SUMIFS(Sales!$H:$H,Sales!$E:$E,$A715,Sales!$B:$B,"&lt;&gt;Return"))</f>
        <v/>
      </c>
      <c r="F715" s="155" t="str">
        <f>IF($A715="","",SUMIF(Sales!$E:$E,$A715,Sales!$L:$L))</f>
        <v/>
      </c>
      <c r="G715" s="155" t="str">
        <f>IF($A715="","",SUMIF(Sales!$E:$E,$A715,Sales!$P:$P))</f>
        <v/>
      </c>
      <c r="H715" s="156" t="str">
        <f t="array" ref="H715">IF($A715="","",IFERROR(INDEX(Orders!$O$5:$O$1004,MATCH($A715,Orders!$N$5:$N$1004,0)),""))</f>
        <v/>
      </c>
      <c r="I715" s="156" t="str">
        <f t="array" ref="I715">IF($A715="","",IFERROR(INDEX(Orders!$P$5:$P$1004,MATCH($A715,Orders!$N$5:$N$1004,0)),""))</f>
        <v/>
      </c>
      <c r="J715" s="157" t="str">
        <f t="shared" si="1"/>
        <v/>
      </c>
      <c r="K715" s="153" t="str">
        <f t="array" ref="K715">IF($A715="","",IFERROR(INDEX(Sales!$M:$M,MATCH($A715,Sales!$E:$E,0)),""))</f>
        <v/>
      </c>
      <c r="L715" s="158" t="str">
        <f t="shared" si="2"/>
        <v/>
      </c>
      <c r="N715" s="49" t="str">
        <f t="array" ref="N715">IFERROR(INDEX(Sales!$E$7:$E$1506,MATCH(ROW()-4,Sales!$V$7:$V$1506,0)),"")</f>
        <v/>
      </c>
      <c r="O715" s="67"/>
      <c r="P715" s="67"/>
    </row>
    <row r="716" ht="15.0" customHeight="1">
      <c r="A716" s="151" t="str">
        <f t="array" ref="A716">IFERROR(INDEX(Sales!$E$7:$E$1506,MATCH(ROW()-4,Sales!$W$7:$W$1506,0)),"")</f>
        <v/>
      </c>
      <c r="B716" s="152" t="str">
        <f t="array" ref="B716">IF($A716="","",IFERROR(INDEX(Sales!$A:$A,MATCH($A716,Sales!$E:$E,0)),""))</f>
        <v/>
      </c>
      <c r="C716" s="153" t="str">
        <f t="array" ref="C716">IF($A716="","",IFERROR(INDEX(Sales!$D:$D,MATCH($A716,Sales!$E:$E,0)),""))</f>
        <v/>
      </c>
      <c r="D716" s="153" t="str">
        <f t="array" ref="D716">IF($A716="","",IFERROR(INDEX(Sales!$C:$C,MATCH($A716,Sales!$E:$E,0)),""))</f>
        <v/>
      </c>
      <c r="E716" s="154" t="str">
        <f>IF($A716="","",SUMIFS(Sales!$H:$H,Sales!$E:$E,$A716,Sales!$B:$B,"&lt;&gt;Return"))</f>
        <v/>
      </c>
      <c r="F716" s="155" t="str">
        <f>IF($A716="","",SUMIF(Sales!$E:$E,$A716,Sales!$L:$L))</f>
        <v/>
      </c>
      <c r="G716" s="155" t="str">
        <f>IF($A716="","",SUMIF(Sales!$E:$E,$A716,Sales!$P:$P))</f>
        <v/>
      </c>
      <c r="H716" s="156" t="str">
        <f t="array" ref="H716">IF($A716="","",IFERROR(INDEX(Orders!$O$5:$O$1004,MATCH($A716,Orders!$N$5:$N$1004,0)),""))</f>
        <v/>
      </c>
      <c r="I716" s="156" t="str">
        <f t="array" ref="I716">IF($A716="","",IFERROR(INDEX(Orders!$P$5:$P$1004,MATCH($A716,Orders!$N$5:$N$1004,0)),""))</f>
        <v/>
      </c>
      <c r="J716" s="157" t="str">
        <f t="shared" si="1"/>
        <v/>
      </c>
      <c r="K716" s="153" t="str">
        <f t="array" ref="K716">IF($A716="","",IFERROR(INDEX(Sales!$M:$M,MATCH($A716,Sales!$E:$E,0)),""))</f>
        <v/>
      </c>
      <c r="L716" s="158" t="str">
        <f t="shared" si="2"/>
        <v/>
      </c>
      <c r="N716" s="49" t="str">
        <f t="array" ref="N716">IFERROR(INDEX(Sales!$E$7:$E$1506,MATCH(ROW()-4,Sales!$V$7:$V$1506,0)),"")</f>
        <v/>
      </c>
      <c r="O716" s="67"/>
      <c r="P716" s="67"/>
    </row>
    <row r="717" ht="15.0" customHeight="1">
      <c r="A717" s="151" t="str">
        <f t="array" ref="A717">IFERROR(INDEX(Sales!$E$7:$E$1506,MATCH(ROW()-4,Sales!$W$7:$W$1506,0)),"")</f>
        <v/>
      </c>
      <c r="B717" s="152" t="str">
        <f t="array" ref="B717">IF($A717="","",IFERROR(INDEX(Sales!$A:$A,MATCH($A717,Sales!$E:$E,0)),""))</f>
        <v/>
      </c>
      <c r="C717" s="153" t="str">
        <f t="array" ref="C717">IF($A717="","",IFERROR(INDEX(Sales!$D:$D,MATCH($A717,Sales!$E:$E,0)),""))</f>
        <v/>
      </c>
      <c r="D717" s="153" t="str">
        <f t="array" ref="D717">IF($A717="","",IFERROR(INDEX(Sales!$C:$C,MATCH($A717,Sales!$E:$E,0)),""))</f>
        <v/>
      </c>
      <c r="E717" s="154" t="str">
        <f>IF($A717="","",SUMIFS(Sales!$H:$H,Sales!$E:$E,$A717,Sales!$B:$B,"&lt;&gt;Return"))</f>
        <v/>
      </c>
      <c r="F717" s="155" t="str">
        <f>IF($A717="","",SUMIF(Sales!$E:$E,$A717,Sales!$L:$L))</f>
        <v/>
      </c>
      <c r="G717" s="155" t="str">
        <f>IF($A717="","",SUMIF(Sales!$E:$E,$A717,Sales!$P:$P))</f>
        <v/>
      </c>
      <c r="H717" s="156" t="str">
        <f t="array" ref="H717">IF($A717="","",IFERROR(INDEX(Orders!$O$5:$O$1004,MATCH($A717,Orders!$N$5:$N$1004,0)),""))</f>
        <v/>
      </c>
      <c r="I717" s="156" t="str">
        <f t="array" ref="I717">IF($A717="","",IFERROR(INDEX(Orders!$P$5:$P$1004,MATCH($A717,Orders!$N$5:$N$1004,0)),""))</f>
        <v/>
      </c>
      <c r="J717" s="157" t="str">
        <f t="shared" si="1"/>
        <v/>
      </c>
      <c r="K717" s="153" t="str">
        <f t="array" ref="K717">IF($A717="","",IFERROR(INDEX(Sales!$M:$M,MATCH($A717,Sales!$E:$E,0)),""))</f>
        <v/>
      </c>
      <c r="L717" s="158" t="str">
        <f t="shared" si="2"/>
        <v/>
      </c>
      <c r="N717" s="49" t="str">
        <f t="array" ref="N717">IFERROR(INDEX(Sales!$E$7:$E$1506,MATCH(ROW()-4,Sales!$V$7:$V$1506,0)),"")</f>
        <v/>
      </c>
      <c r="O717" s="67"/>
      <c r="P717" s="67"/>
    </row>
    <row r="718" ht="15.0" customHeight="1">
      <c r="A718" s="151" t="str">
        <f t="array" ref="A718">IFERROR(INDEX(Sales!$E$7:$E$1506,MATCH(ROW()-4,Sales!$W$7:$W$1506,0)),"")</f>
        <v/>
      </c>
      <c r="B718" s="152" t="str">
        <f t="array" ref="B718">IF($A718="","",IFERROR(INDEX(Sales!$A:$A,MATCH($A718,Sales!$E:$E,0)),""))</f>
        <v/>
      </c>
      <c r="C718" s="153" t="str">
        <f t="array" ref="C718">IF($A718="","",IFERROR(INDEX(Sales!$D:$D,MATCH($A718,Sales!$E:$E,0)),""))</f>
        <v/>
      </c>
      <c r="D718" s="153" t="str">
        <f t="array" ref="D718">IF($A718="","",IFERROR(INDEX(Sales!$C:$C,MATCH($A718,Sales!$E:$E,0)),""))</f>
        <v/>
      </c>
      <c r="E718" s="154" t="str">
        <f>IF($A718="","",SUMIFS(Sales!$H:$H,Sales!$E:$E,$A718,Sales!$B:$B,"&lt;&gt;Return"))</f>
        <v/>
      </c>
      <c r="F718" s="155" t="str">
        <f>IF($A718="","",SUMIF(Sales!$E:$E,$A718,Sales!$L:$L))</f>
        <v/>
      </c>
      <c r="G718" s="155" t="str">
        <f>IF($A718="","",SUMIF(Sales!$E:$E,$A718,Sales!$P:$P))</f>
        <v/>
      </c>
      <c r="H718" s="156" t="str">
        <f t="array" ref="H718">IF($A718="","",IFERROR(INDEX(Orders!$O$5:$O$1004,MATCH($A718,Orders!$N$5:$N$1004,0)),""))</f>
        <v/>
      </c>
      <c r="I718" s="156" t="str">
        <f t="array" ref="I718">IF($A718="","",IFERROR(INDEX(Orders!$P$5:$P$1004,MATCH($A718,Orders!$N$5:$N$1004,0)),""))</f>
        <v/>
      </c>
      <c r="J718" s="157" t="str">
        <f t="shared" si="1"/>
        <v/>
      </c>
      <c r="K718" s="153" t="str">
        <f t="array" ref="K718">IF($A718="","",IFERROR(INDEX(Sales!$M:$M,MATCH($A718,Sales!$E:$E,0)),""))</f>
        <v/>
      </c>
      <c r="L718" s="158" t="str">
        <f t="shared" si="2"/>
        <v/>
      </c>
      <c r="N718" s="49" t="str">
        <f t="array" ref="N718">IFERROR(INDEX(Sales!$E$7:$E$1506,MATCH(ROW()-4,Sales!$V$7:$V$1506,0)),"")</f>
        <v/>
      </c>
      <c r="O718" s="67"/>
      <c r="P718" s="67"/>
    </row>
    <row r="719" ht="15.0" customHeight="1">
      <c r="A719" s="151" t="str">
        <f t="array" ref="A719">IFERROR(INDEX(Sales!$E$7:$E$1506,MATCH(ROW()-4,Sales!$W$7:$W$1506,0)),"")</f>
        <v/>
      </c>
      <c r="B719" s="152" t="str">
        <f t="array" ref="B719">IF($A719="","",IFERROR(INDEX(Sales!$A:$A,MATCH($A719,Sales!$E:$E,0)),""))</f>
        <v/>
      </c>
      <c r="C719" s="153" t="str">
        <f t="array" ref="C719">IF($A719="","",IFERROR(INDEX(Sales!$D:$D,MATCH($A719,Sales!$E:$E,0)),""))</f>
        <v/>
      </c>
      <c r="D719" s="153" t="str">
        <f t="array" ref="D719">IF($A719="","",IFERROR(INDEX(Sales!$C:$C,MATCH($A719,Sales!$E:$E,0)),""))</f>
        <v/>
      </c>
      <c r="E719" s="154" t="str">
        <f>IF($A719="","",SUMIFS(Sales!$H:$H,Sales!$E:$E,$A719,Sales!$B:$B,"&lt;&gt;Return"))</f>
        <v/>
      </c>
      <c r="F719" s="155" t="str">
        <f>IF($A719="","",SUMIF(Sales!$E:$E,$A719,Sales!$L:$L))</f>
        <v/>
      </c>
      <c r="G719" s="155" t="str">
        <f>IF($A719="","",SUMIF(Sales!$E:$E,$A719,Sales!$P:$P))</f>
        <v/>
      </c>
      <c r="H719" s="156" t="str">
        <f t="array" ref="H719">IF($A719="","",IFERROR(INDEX(Orders!$O$5:$O$1004,MATCH($A719,Orders!$N$5:$N$1004,0)),""))</f>
        <v/>
      </c>
      <c r="I719" s="156" t="str">
        <f t="array" ref="I719">IF($A719="","",IFERROR(INDEX(Orders!$P$5:$P$1004,MATCH($A719,Orders!$N$5:$N$1004,0)),""))</f>
        <v/>
      </c>
      <c r="J719" s="157" t="str">
        <f t="shared" si="1"/>
        <v/>
      </c>
      <c r="K719" s="153" t="str">
        <f t="array" ref="K719">IF($A719="","",IFERROR(INDEX(Sales!$M:$M,MATCH($A719,Sales!$E:$E,0)),""))</f>
        <v/>
      </c>
      <c r="L719" s="158" t="str">
        <f t="shared" si="2"/>
        <v/>
      </c>
      <c r="N719" s="49" t="str">
        <f t="array" ref="N719">IFERROR(INDEX(Sales!$E$7:$E$1506,MATCH(ROW()-4,Sales!$V$7:$V$1506,0)),"")</f>
        <v/>
      </c>
      <c r="O719" s="67"/>
      <c r="P719" s="67"/>
    </row>
    <row r="720" ht="15.0" customHeight="1">
      <c r="A720" s="151" t="str">
        <f t="array" ref="A720">IFERROR(INDEX(Sales!$E$7:$E$1506,MATCH(ROW()-4,Sales!$W$7:$W$1506,0)),"")</f>
        <v/>
      </c>
      <c r="B720" s="152" t="str">
        <f t="array" ref="B720">IF($A720="","",IFERROR(INDEX(Sales!$A:$A,MATCH($A720,Sales!$E:$E,0)),""))</f>
        <v/>
      </c>
      <c r="C720" s="153" t="str">
        <f t="array" ref="C720">IF($A720="","",IFERROR(INDEX(Sales!$D:$D,MATCH($A720,Sales!$E:$E,0)),""))</f>
        <v/>
      </c>
      <c r="D720" s="153" t="str">
        <f t="array" ref="D720">IF($A720="","",IFERROR(INDEX(Sales!$C:$C,MATCH($A720,Sales!$E:$E,0)),""))</f>
        <v/>
      </c>
      <c r="E720" s="154" t="str">
        <f>IF($A720="","",SUMIFS(Sales!$H:$H,Sales!$E:$E,$A720,Sales!$B:$B,"&lt;&gt;Return"))</f>
        <v/>
      </c>
      <c r="F720" s="155" t="str">
        <f>IF($A720="","",SUMIF(Sales!$E:$E,$A720,Sales!$L:$L))</f>
        <v/>
      </c>
      <c r="G720" s="155" t="str">
        <f>IF($A720="","",SUMIF(Sales!$E:$E,$A720,Sales!$P:$P))</f>
        <v/>
      </c>
      <c r="H720" s="156" t="str">
        <f t="array" ref="H720">IF($A720="","",IFERROR(INDEX(Orders!$O$5:$O$1004,MATCH($A720,Orders!$N$5:$N$1004,0)),""))</f>
        <v/>
      </c>
      <c r="I720" s="156" t="str">
        <f t="array" ref="I720">IF($A720="","",IFERROR(INDEX(Orders!$P$5:$P$1004,MATCH($A720,Orders!$N$5:$N$1004,0)),""))</f>
        <v/>
      </c>
      <c r="J720" s="157" t="str">
        <f t="shared" si="1"/>
        <v/>
      </c>
      <c r="K720" s="153" t="str">
        <f t="array" ref="K720">IF($A720="","",IFERROR(INDEX(Sales!$M:$M,MATCH($A720,Sales!$E:$E,0)),""))</f>
        <v/>
      </c>
      <c r="L720" s="158" t="str">
        <f t="shared" si="2"/>
        <v/>
      </c>
      <c r="N720" s="49" t="str">
        <f t="array" ref="N720">IFERROR(INDEX(Sales!$E$7:$E$1506,MATCH(ROW()-4,Sales!$V$7:$V$1506,0)),"")</f>
        <v/>
      </c>
      <c r="O720" s="67"/>
      <c r="P720" s="67"/>
    </row>
    <row r="721" ht="15.0" customHeight="1">
      <c r="A721" s="151" t="str">
        <f t="array" ref="A721">IFERROR(INDEX(Sales!$E$7:$E$1506,MATCH(ROW()-4,Sales!$W$7:$W$1506,0)),"")</f>
        <v/>
      </c>
      <c r="B721" s="152" t="str">
        <f t="array" ref="B721">IF($A721="","",IFERROR(INDEX(Sales!$A:$A,MATCH($A721,Sales!$E:$E,0)),""))</f>
        <v/>
      </c>
      <c r="C721" s="153" t="str">
        <f t="array" ref="C721">IF($A721="","",IFERROR(INDEX(Sales!$D:$D,MATCH($A721,Sales!$E:$E,0)),""))</f>
        <v/>
      </c>
      <c r="D721" s="153" t="str">
        <f t="array" ref="D721">IF($A721="","",IFERROR(INDEX(Sales!$C:$C,MATCH($A721,Sales!$E:$E,0)),""))</f>
        <v/>
      </c>
      <c r="E721" s="154" t="str">
        <f>IF($A721="","",SUMIFS(Sales!$H:$H,Sales!$E:$E,$A721,Sales!$B:$B,"&lt;&gt;Return"))</f>
        <v/>
      </c>
      <c r="F721" s="155" t="str">
        <f>IF($A721="","",SUMIF(Sales!$E:$E,$A721,Sales!$L:$L))</f>
        <v/>
      </c>
      <c r="G721" s="155" t="str">
        <f>IF($A721="","",SUMIF(Sales!$E:$E,$A721,Sales!$P:$P))</f>
        <v/>
      </c>
      <c r="H721" s="156" t="str">
        <f t="array" ref="H721">IF($A721="","",IFERROR(INDEX(Orders!$O$5:$O$1004,MATCH($A721,Orders!$N$5:$N$1004,0)),""))</f>
        <v/>
      </c>
      <c r="I721" s="156" t="str">
        <f t="array" ref="I721">IF($A721="","",IFERROR(INDEX(Orders!$P$5:$P$1004,MATCH($A721,Orders!$N$5:$N$1004,0)),""))</f>
        <v/>
      </c>
      <c r="J721" s="157" t="str">
        <f t="shared" si="1"/>
        <v/>
      </c>
      <c r="K721" s="153" t="str">
        <f t="array" ref="K721">IF($A721="","",IFERROR(INDEX(Sales!$M:$M,MATCH($A721,Sales!$E:$E,0)),""))</f>
        <v/>
      </c>
      <c r="L721" s="158" t="str">
        <f t="shared" si="2"/>
        <v/>
      </c>
      <c r="N721" s="49" t="str">
        <f t="array" ref="N721">IFERROR(INDEX(Sales!$E$7:$E$1506,MATCH(ROW()-4,Sales!$V$7:$V$1506,0)),"")</f>
        <v/>
      </c>
      <c r="O721" s="67"/>
      <c r="P721" s="67"/>
    </row>
    <row r="722" ht="15.0" customHeight="1">
      <c r="A722" s="151" t="str">
        <f t="array" ref="A722">IFERROR(INDEX(Sales!$E$7:$E$1506,MATCH(ROW()-4,Sales!$W$7:$W$1506,0)),"")</f>
        <v/>
      </c>
      <c r="B722" s="152" t="str">
        <f t="array" ref="B722">IF($A722="","",IFERROR(INDEX(Sales!$A:$A,MATCH($A722,Sales!$E:$E,0)),""))</f>
        <v/>
      </c>
      <c r="C722" s="153" t="str">
        <f t="array" ref="C722">IF($A722="","",IFERROR(INDEX(Sales!$D:$D,MATCH($A722,Sales!$E:$E,0)),""))</f>
        <v/>
      </c>
      <c r="D722" s="153" t="str">
        <f t="array" ref="D722">IF($A722="","",IFERROR(INDEX(Sales!$C:$C,MATCH($A722,Sales!$E:$E,0)),""))</f>
        <v/>
      </c>
      <c r="E722" s="154" t="str">
        <f>IF($A722="","",SUMIFS(Sales!$H:$H,Sales!$E:$E,$A722,Sales!$B:$B,"&lt;&gt;Return"))</f>
        <v/>
      </c>
      <c r="F722" s="155" t="str">
        <f>IF($A722="","",SUMIF(Sales!$E:$E,$A722,Sales!$L:$L))</f>
        <v/>
      </c>
      <c r="G722" s="155" t="str">
        <f>IF($A722="","",SUMIF(Sales!$E:$E,$A722,Sales!$P:$P))</f>
        <v/>
      </c>
      <c r="H722" s="156" t="str">
        <f t="array" ref="H722">IF($A722="","",IFERROR(INDEX(Orders!$O$5:$O$1004,MATCH($A722,Orders!$N$5:$N$1004,0)),""))</f>
        <v/>
      </c>
      <c r="I722" s="156" t="str">
        <f t="array" ref="I722">IF($A722="","",IFERROR(INDEX(Orders!$P$5:$P$1004,MATCH($A722,Orders!$N$5:$N$1004,0)),""))</f>
        <v/>
      </c>
      <c r="J722" s="157" t="str">
        <f t="shared" si="1"/>
        <v/>
      </c>
      <c r="K722" s="153" t="str">
        <f t="array" ref="K722">IF($A722="","",IFERROR(INDEX(Sales!$M:$M,MATCH($A722,Sales!$E:$E,0)),""))</f>
        <v/>
      </c>
      <c r="L722" s="158" t="str">
        <f t="shared" si="2"/>
        <v/>
      </c>
      <c r="N722" s="49" t="str">
        <f t="array" ref="N722">IFERROR(INDEX(Sales!$E$7:$E$1506,MATCH(ROW()-4,Sales!$V$7:$V$1506,0)),"")</f>
        <v/>
      </c>
      <c r="O722" s="67"/>
      <c r="P722" s="67"/>
    </row>
    <row r="723" ht="15.0" customHeight="1">
      <c r="A723" s="151" t="str">
        <f t="array" ref="A723">IFERROR(INDEX(Sales!$E$7:$E$1506,MATCH(ROW()-4,Sales!$W$7:$W$1506,0)),"")</f>
        <v/>
      </c>
      <c r="B723" s="152" t="str">
        <f t="array" ref="B723">IF($A723="","",IFERROR(INDEX(Sales!$A:$A,MATCH($A723,Sales!$E:$E,0)),""))</f>
        <v/>
      </c>
      <c r="C723" s="153" t="str">
        <f t="array" ref="C723">IF($A723="","",IFERROR(INDEX(Sales!$D:$D,MATCH($A723,Sales!$E:$E,0)),""))</f>
        <v/>
      </c>
      <c r="D723" s="153" t="str">
        <f t="array" ref="D723">IF($A723="","",IFERROR(INDEX(Sales!$C:$C,MATCH($A723,Sales!$E:$E,0)),""))</f>
        <v/>
      </c>
      <c r="E723" s="154" t="str">
        <f>IF($A723="","",SUMIFS(Sales!$H:$H,Sales!$E:$E,$A723,Sales!$B:$B,"&lt;&gt;Return"))</f>
        <v/>
      </c>
      <c r="F723" s="155" t="str">
        <f>IF($A723="","",SUMIF(Sales!$E:$E,$A723,Sales!$L:$L))</f>
        <v/>
      </c>
      <c r="G723" s="155" t="str">
        <f>IF($A723="","",SUMIF(Sales!$E:$E,$A723,Sales!$P:$P))</f>
        <v/>
      </c>
      <c r="H723" s="156" t="str">
        <f t="array" ref="H723">IF($A723="","",IFERROR(INDEX(Orders!$O$5:$O$1004,MATCH($A723,Orders!$N$5:$N$1004,0)),""))</f>
        <v/>
      </c>
      <c r="I723" s="156" t="str">
        <f t="array" ref="I723">IF($A723="","",IFERROR(INDEX(Orders!$P$5:$P$1004,MATCH($A723,Orders!$N$5:$N$1004,0)),""))</f>
        <v/>
      </c>
      <c r="J723" s="157" t="str">
        <f t="shared" si="1"/>
        <v/>
      </c>
      <c r="K723" s="153" t="str">
        <f t="array" ref="K723">IF($A723="","",IFERROR(INDEX(Sales!$M:$M,MATCH($A723,Sales!$E:$E,0)),""))</f>
        <v/>
      </c>
      <c r="L723" s="158" t="str">
        <f t="shared" si="2"/>
        <v/>
      </c>
      <c r="N723" s="49" t="str">
        <f t="array" ref="N723">IFERROR(INDEX(Sales!$E$7:$E$1506,MATCH(ROW()-4,Sales!$V$7:$V$1506,0)),"")</f>
        <v/>
      </c>
      <c r="O723" s="67"/>
      <c r="P723" s="67"/>
    </row>
    <row r="724" ht="15.0" customHeight="1">
      <c r="A724" s="151" t="str">
        <f t="array" ref="A724">IFERROR(INDEX(Sales!$E$7:$E$1506,MATCH(ROW()-4,Sales!$W$7:$W$1506,0)),"")</f>
        <v/>
      </c>
      <c r="B724" s="152" t="str">
        <f t="array" ref="B724">IF($A724="","",IFERROR(INDEX(Sales!$A:$A,MATCH($A724,Sales!$E:$E,0)),""))</f>
        <v/>
      </c>
      <c r="C724" s="153" t="str">
        <f t="array" ref="C724">IF($A724="","",IFERROR(INDEX(Sales!$D:$D,MATCH($A724,Sales!$E:$E,0)),""))</f>
        <v/>
      </c>
      <c r="D724" s="153" t="str">
        <f t="array" ref="D724">IF($A724="","",IFERROR(INDEX(Sales!$C:$C,MATCH($A724,Sales!$E:$E,0)),""))</f>
        <v/>
      </c>
      <c r="E724" s="154" t="str">
        <f>IF($A724="","",SUMIFS(Sales!$H:$H,Sales!$E:$E,$A724,Sales!$B:$B,"&lt;&gt;Return"))</f>
        <v/>
      </c>
      <c r="F724" s="155" t="str">
        <f>IF($A724="","",SUMIF(Sales!$E:$E,$A724,Sales!$L:$L))</f>
        <v/>
      </c>
      <c r="G724" s="155" t="str">
        <f>IF($A724="","",SUMIF(Sales!$E:$E,$A724,Sales!$P:$P))</f>
        <v/>
      </c>
      <c r="H724" s="156" t="str">
        <f t="array" ref="H724">IF($A724="","",IFERROR(INDEX(Orders!$O$5:$O$1004,MATCH($A724,Orders!$N$5:$N$1004,0)),""))</f>
        <v/>
      </c>
      <c r="I724" s="156" t="str">
        <f t="array" ref="I724">IF($A724="","",IFERROR(INDEX(Orders!$P$5:$P$1004,MATCH($A724,Orders!$N$5:$N$1004,0)),""))</f>
        <v/>
      </c>
      <c r="J724" s="157" t="str">
        <f t="shared" si="1"/>
        <v/>
      </c>
      <c r="K724" s="153" t="str">
        <f t="array" ref="K724">IF($A724="","",IFERROR(INDEX(Sales!$M:$M,MATCH($A724,Sales!$E:$E,0)),""))</f>
        <v/>
      </c>
      <c r="L724" s="158" t="str">
        <f t="shared" si="2"/>
        <v/>
      </c>
      <c r="N724" s="49" t="str">
        <f t="array" ref="N724">IFERROR(INDEX(Sales!$E$7:$E$1506,MATCH(ROW()-4,Sales!$V$7:$V$1506,0)),"")</f>
        <v/>
      </c>
      <c r="O724" s="67"/>
      <c r="P724" s="67"/>
    </row>
    <row r="725" ht="15.0" customHeight="1">
      <c r="A725" s="151" t="str">
        <f t="array" ref="A725">IFERROR(INDEX(Sales!$E$7:$E$1506,MATCH(ROW()-4,Sales!$W$7:$W$1506,0)),"")</f>
        <v/>
      </c>
      <c r="B725" s="152" t="str">
        <f t="array" ref="B725">IF($A725="","",IFERROR(INDEX(Sales!$A:$A,MATCH($A725,Sales!$E:$E,0)),""))</f>
        <v/>
      </c>
      <c r="C725" s="153" t="str">
        <f t="array" ref="C725">IF($A725="","",IFERROR(INDEX(Sales!$D:$D,MATCH($A725,Sales!$E:$E,0)),""))</f>
        <v/>
      </c>
      <c r="D725" s="153" t="str">
        <f t="array" ref="D725">IF($A725="","",IFERROR(INDEX(Sales!$C:$C,MATCH($A725,Sales!$E:$E,0)),""))</f>
        <v/>
      </c>
      <c r="E725" s="154" t="str">
        <f>IF($A725="","",SUMIFS(Sales!$H:$H,Sales!$E:$E,$A725,Sales!$B:$B,"&lt;&gt;Return"))</f>
        <v/>
      </c>
      <c r="F725" s="155" t="str">
        <f>IF($A725="","",SUMIF(Sales!$E:$E,$A725,Sales!$L:$L))</f>
        <v/>
      </c>
      <c r="G725" s="155" t="str">
        <f>IF($A725="","",SUMIF(Sales!$E:$E,$A725,Sales!$P:$P))</f>
        <v/>
      </c>
      <c r="H725" s="156" t="str">
        <f t="array" ref="H725">IF($A725="","",IFERROR(INDEX(Orders!$O$5:$O$1004,MATCH($A725,Orders!$N$5:$N$1004,0)),""))</f>
        <v/>
      </c>
      <c r="I725" s="156" t="str">
        <f t="array" ref="I725">IF($A725="","",IFERROR(INDEX(Orders!$P$5:$P$1004,MATCH($A725,Orders!$N$5:$N$1004,0)),""))</f>
        <v/>
      </c>
      <c r="J725" s="157" t="str">
        <f t="shared" si="1"/>
        <v/>
      </c>
      <c r="K725" s="153" t="str">
        <f t="array" ref="K725">IF($A725="","",IFERROR(INDEX(Sales!$M:$M,MATCH($A725,Sales!$E:$E,0)),""))</f>
        <v/>
      </c>
      <c r="L725" s="158" t="str">
        <f t="shared" si="2"/>
        <v/>
      </c>
      <c r="N725" s="49" t="str">
        <f t="array" ref="N725">IFERROR(INDEX(Sales!$E$7:$E$1506,MATCH(ROW()-4,Sales!$V$7:$V$1506,0)),"")</f>
        <v/>
      </c>
      <c r="O725" s="67"/>
      <c r="P725" s="67"/>
    </row>
    <row r="726" ht="15.0" customHeight="1">
      <c r="A726" s="151" t="str">
        <f t="array" ref="A726">IFERROR(INDEX(Sales!$E$7:$E$1506,MATCH(ROW()-4,Sales!$W$7:$W$1506,0)),"")</f>
        <v/>
      </c>
      <c r="B726" s="152" t="str">
        <f t="array" ref="B726">IF($A726="","",IFERROR(INDEX(Sales!$A:$A,MATCH($A726,Sales!$E:$E,0)),""))</f>
        <v/>
      </c>
      <c r="C726" s="153" t="str">
        <f t="array" ref="C726">IF($A726="","",IFERROR(INDEX(Sales!$D:$D,MATCH($A726,Sales!$E:$E,0)),""))</f>
        <v/>
      </c>
      <c r="D726" s="153" t="str">
        <f t="array" ref="D726">IF($A726="","",IFERROR(INDEX(Sales!$C:$C,MATCH($A726,Sales!$E:$E,0)),""))</f>
        <v/>
      </c>
      <c r="E726" s="154" t="str">
        <f>IF($A726="","",SUMIFS(Sales!$H:$H,Sales!$E:$E,$A726,Sales!$B:$B,"&lt;&gt;Return"))</f>
        <v/>
      </c>
      <c r="F726" s="155" t="str">
        <f>IF($A726="","",SUMIF(Sales!$E:$E,$A726,Sales!$L:$L))</f>
        <v/>
      </c>
      <c r="G726" s="155" t="str">
        <f>IF($A726="","",SUMIF(Sales!$E:$E,$A726,Sales!$P:$P))</f>
        <v/>
      </c>
      <c r="H726" s="156" t="str">
        <f t="array" ref="H726">IF($A726="","",IFERROR(INDEX(Orders!$O$5:$O$1004,MATCH($A726,Orders!$N$5:$N$1004,0)),""))</f>
        <v/>
      </c>
      <c r="I726" s="156" t="str">
        <f t="array" ref="I726">IF($A726="","",IFERROR(INDEX(Orders!$P$5:$P$1004,MATCH($A726,Orders!$N$5:$N$1004,0)),""))</f>
        <v/>
      </c>
      <c r="J726" s="157" t="str">
        <f t="shared" si="1"/>
        <v/>
      </c>
      <c r="K726" s="153" t="str">
        <f t="array" ref="K726">IF($A726="","",IFERROR(INDEX(Sales!$M:$M,MATCH($A726,Sales!$E:$E,0)),""))</f>
        <v/>
      </c>
      <c r="L726" s="158" t="str">
        <f t="shared" si="2"/>
        <v/>
      </c>
      <c r="N726" s="49" t="str">
        <f t="array" ref="N726">IFERROR(INDEX(Sales!$E$7:$E$1506,MATCH(ROW()-4,Sales!$V$7:$V$1506,0)),"")</f>
        <v/>
      </c>
      <c r="O726" s="67"/>
      <c r="P726" s="67"/>
    </row>
    <row r="727" ht="15.0" customHeight="1">
      <c r="A727" s="151" t="str">
        <f t="array" ref="A727">IFERROR(INDEX(Sales!$E$7:$E$1506,MATCH(ROW()-4,Sales!$W$7:$W$1506,0)),"")</f>
        <v/>
      </c>
      <c r="B727" s="152" t="str">
        <f t="array" ref="B727">IF($A727="","",IFERROR(INDEX(Sales!$A:$A,MATCH($A727,Sales!$E:$E,0)),""))</f>
        <v/>
      </c>
      <c r="C727" s="153" t="str">
        <f t="array" ref="C727">IF($A727="","",IFERROR(INDEX(Sales!$D:$D,MATCH($A727,Sales!$E:$E,0)),""))</f>
        <v/>
      </c>
      <c r="D727" s="153" t="str">
        <f t="array" ref="D727">IF($A727="","",IFERROR(INDEX(Sales!$C:$C,MATCH($A727,Sales!$E:$E,0)),""))</f>
        <v/>
      </c>
      <c r="E727" s="154" t="str">
        <f>IF($A727="","",SUMIFS(Sales!$H:$H,Sales!$E:$E,$A727,Sales!$B:$B,"&lt;&gt;Return"))</f>
        <v/>
      </c>
      <c r="F727" s="155" t="str">
        <f>IF($A727="","",SUMIF(Sales!$E:$E,$A727,Sales!$L:$L))</f>
        <v/>
      </c>
      <c r="G727" s="155" t="str">
        <f>IF($A727="","",SUMIF(Sales!$E:$E,$A727,Sales!$P:$P))</f>
        <v/>
      </c>
      <c r="H727" s="156" t="str">
        <f t="array" ref="H727">IF($A727="","",IFERROR(INDEX(Orders!$O$5:$O$1004,MATCH($A727,Orders!$N$5:$N$1004,0)),""))</f>
        <v/>
      </c>
      <c r="I727" s="156" t="str">
        <f t="array" ref="I727">IF($A727="","",IFERROR(INDEX(Orders!$P$5:$P$1004,MATCH($A727,Orders!$N$5:$N$1004,0)),""))</f>
        <v/>
      </c>
      <c r="J727" s="157" t="str">
        <f t="shared" si="1"/>
        <v/>
      </c>
      <c r="K727" s="153" t="str">
        <f t="array" ref="K727">IF($A727="","",IFERROR(INDEX(Sales!$M:$M,MATCH($A727,Sales!$E:$E,0)),""))</f>
        <v/>
      </c>
      <c r="L727" s="158" t="str">
        <f t="shared" si="2"/>
        <v/>
      </c>
      <c r="N727" s="49" t="str">
        <f t="array" ref="N727">IFERROR(INDEX(Sales!$E$7:$E$1506,MATCH(ROW()-4,Sales!$V$7:$V$1506,0)),"")</f>
        <v/>
      </c>
      <c r="O727" s="67"/>
      <c r="P727" s="67"/>
    </row>
    <row r="728" ht="15.0" customHeight="1">
      <c r="A728" s="151" t="str">
        <f t="array" ref="A728">IFERROR(INDEX(Sales!$E$7:$E$1506,MATCH(ROW()-4,Sales!$W$7:$W$1506,0)),"")</f>
        <v/>
      </c>
      <c r="B728" s="152" t="str">
        <f t="array" ref="B728">IF($A728="","",IFERROR(INDEX(Sales!$A:$A,MATCH($A728,Sales!$E:$E,0)),""))</f>
        <v/>
      </c>
      <c r="C728" s="153" t="str">
        <f t="array" ref="C728">IF($A728="","",IFERROR(INDEX(Sales!$D:$D,MATCH($A728,Sales!$E:$E,0)),""))</f>
        <v/>
      </c>
      <c r="D728" s="153" t="str">
        <f t="array" ref="D728">IF($A728="","",IFERROR(INDEX(Sales!$C:$C,MATCH($A728,Sales!$E:$E,0)),""))</f>
        <v/>
      </c>
      <c r="E728" s="154" t="str">
        <f>IF($A728="","",SUMIFS(Sales!$H:$H,Sales!$E:$E,$A728,Sales!$B:$B,"&lt;&gt;Return"))</f>
        <v/>
      </c>
      <c r="F728" s="155" t="str">
        <f>IF($A728="","",SUMIF(Sales!$E:$E,$A728,Sales!$L:$L))</f>
        <v/>
      </c>
      <c r="G728" s="155" t="str">
        <f>IF($A728="","",SUMIF(Sales!$E:$E,$A728,Sales!$P:$P))</f>
        <v/>
      </c>
      <c r="H728" s="156" t="str">
        <f t="array" ref="H728">IF($A728="","",IFERROR(INDEX(Orders!$O$5:$O$1004,MATCH($A728,Orders!$N$5:$N$1004,0)),""))</f>
        <v/>
      </c>
      <c r="I728" s="156" t="str">
        <f t="array" ref="I728">IF($A728="","",IFERROR(INDEX(Orders!$P$5:$P$1004,MATCH($A728,Orders!$N$5:$N$1004,0)),""))</f>
        <v/>
      </c>
      <c r="J728" s="157" t="str">
        <f t="shared" si="1"/>
        <v/>
      </c>
      <c r="K728" s="153" t="str">
        <f t="array" ref="K728">IF($A728="","",IFERROR(INDEX(Sales!$M:$M,MATCH($A728,Sales!$E:$E,0)),""))</f>
        <v/>
      </c>
      <c r="L728" s="158" t="str">
        <f t="shared" si="2"/>
        <v/>
      </c>
      <c r="N728" s="49" t="str">
        <f t="array" ref="N728">IFERROR(INDEX(Sales!$E$7:$E$1506,MATCH(ROW()-4,Sales!$V$7:$V$1506,0)),"")</f>
        <v/>
      </c>
      <c r="O728" s="67"/>
      <c r="P728" s="67"/>
    </row>
    <row r="729" ht="15.0" customHeight="1">
      <c r="A729" s="151" t="str">
        <f t="array" ref="A729">IFERROR(INDEX(Sales!$E$7:$E$1506,MATCH(ROW()-4,Sales!$W$7:$W$1506,0)),"")</f>
        <v/>
      </c>
      <c r="B729" s="152" t="str">
        <f t="array" ref="B729">IF($A729="","",IFERROR(INDEX(Sales!$A:$A,MATCH($A729,Sales!$E:$E,0)),""))</f>
        <v/>
      </c>
      <c r="C729" s="153" t="str">
        <f t="array" ref="C729">IF($A729="","",IFERROR(INDEX(Sales!$D:$D,MATCH($A729,Sales!$E:$E,0)),""))</f>
        <v/>
      </c>
      <c r="D729" s="153" t="str">
        <f t="array" ref="D729">IF($A729="","",IFERROR(INDEX(Sales!$C:$C,MATCH($A729,Sales!$E:$E,0)),""))</f>
        <v/>
      </c>
      <c r="E729" s="154" t="str">
        <f>IF($A729="","",SUMIFS(Sales!$H:$H,Sales!$E:$E,$A729,Sales!$B:$B,"&lt;&gt;Return"))</f>
        <v/>
      </c>
      <c r="F729" s="155" t="str">
        <f>IF($A729="","",SUMIF(Sales!$E:$E,$A729,Sales!$L:$L))</f>
        <v/>
      </c>
      <c r="G729" s="155" t="str">
        <f>IF($A729="","",SUMIF(Sales!$E:$E,$A729,Sales!$P:$P))</f>
        <v/>
      </c>
      <c r="H729" s="156" t="str">
        <f t="array" ref="H729">IF($A729="","",IFERROR(INDEX(Orders!$O$5:$O$1004,MATCH($A729,Orders!$N$5:$N$1004,0)),""))</f>
        <v/>
      </c>
      <c r="I729" s="156" t="str">
        <f t="array" ref="I729">IF($A729="","",IFERROR(INDEX(Orders!$P$5:$P$1004,MATCH($A729,Orders!$N$5:$N$1004,0)),""))</f>
        <v/>
      </c>
      <c r="J729" s="157" t="str">
        <f t="shared" si="1"/>
        <v/>
      </c>
      <c r="K729" s="153" t="str">
        <f t="array" ref="K729">IF($A729="","",IFERROR(INDEX(Sales!$M:$M,MATCH($A729,Sales!$E:$E,0)),""))</f>
        <v/>
      </c>
      <c r="L729" s="158" t="str">
        <f t="shared" si="2"/>
        <v/>
      </c>
      <c r="N729" s="49" t="str">
        <f t="array" ref="N729">IFERROR(INDEX(Sales!$E$7:$E$1506,MATCH(ROW()-4,Sales!$V$7:$V$1506,0)),"")</f>
        <v/>
      </c>
      <c r="O729" s="67"/>
      <c r="P729" s="67"/>
    </row>
    <row r="730" ht="15.0" customHeight="1">
      <c r="A730" s="151" t="str">
        <f t="array" ref="A730">IFERROR(INDEX(Sales!$E$7:$E$1506,MATCH(ROW()-4,Sales!$W$7:$W$1506,0)),"")</f>
        <v/>
      </c>
      <c r="B730" s="152" t="str">
        <f t="array" ref="B730">IF($A730="","",IFERROR(INDEX(Sales!$A:$A,MATCH($A730,Sales!$E:$E,0)),""))</f>
        <v/>
      </c>
      <c r="C730" s="153" t="str">
        <f t="array" ref="C730">IF($A730="","",IFERROR(INDEX(Sales!$D:$D,MATCH($A730,Sales!$E:$E,0)),""))</f>
        <v/>
      </c>
      <c r="D730" s="153" t="str">
        <f t="array" ref="D730">IF($A730="","",IFERROR(INDEX(Sales!$C:$C,MATCH($A730,Sales!$E:$E,0)),""))</f>
        <v/>
      </c>
      <c r="E730" s="154" t="str">
        <f>IF($A730="","",SUMIFS(Sales!$H:$H,Sales!$E:$E,$A730,Sales!$B:$B,"&lt;&gt;Return"))</f>
        <v/>
      </c>
      <c r="F730" s="155" t="str">
        <f>IF($A730="","",SUMIF(Sales!$E:$E,$A730,Sales!$L:$L))</f>
        <v/>
      </c>
      <c r="G730" s="155" t="str">
        <f>IF($A730="","",SUMIF(Sales!$E:$E,$A730,Sales!$P:$P))</f>
        <v/>
      </c>
      <c r="H730" s="156" t="str">
        <f t="array" ref="H730">IF($A730="","",IFERROR(INDEX(Orders!$O$5:$O$1004,MATCH($A730,Orders!$N$5:$N$1004,0)),""))</f>
        <v/>
      </c>
      <c r="I730" s="156" t="str">
        <f t="array" ref="I730">IF($A730="","",IFERROR(INDEX(Orders!$P$5:$P$1004,MATCH($A730,Orders!$N$5:$N$1004,0)),""))</f>
        <v/>
      </c>
      <c r="J730" s="157" t="str">
        <f t="shared" si="1"/>
        <v/>
      </c>
      <c r="K730" s="153" t="str">
        <f t="array" ref="K730">IF($A730="","",IFERROR(INDEX(Sales!$M:$M,MATCH($A730,Sales!$E:$E,0)),""))</f>
        <v/>
      </c>
      <c r="L730" s="158" t="str">
        <f t="shared" si="2"/>
        <v/>
      </c>
      <c r="N730" s="49" t="str">
        <f t="array" ref="N730">IFERROR(INDEX(Sales!$E$7:$E$1506,MATCH(ROW()-4,Sales!$V$7:$V$1506,0)),"")</f>
        <v/>
      </c>
      <c r="O730" s="67"/>
      <c r="P730" s="67"/>
    </row>
    <row r="731" ht="15.0" customHeight="1">
      <c r="A731" s="151" t="str">
        <f t="array" ref="A731">IFERROR(INDEX(Sales!$E$7:$E$1506,MATCH(ROW()-4,Sales!$W$7:$W$1506,0)),"")</f>
        <v/>
      </c>
      <c r="B731" s="152" t="str">
        <f t="array" ref="B731">IF($A731="","",IFERROR(INDEX(Sales!$A:$A,MATCH($A731,Sales!$E:$E,0)),""))</f>
        <v/>
      </c>
      <c r="C731" s="153" t="str">
        <f t="array" ref="C731">IF($A731="","",IFERROR(INDEX(Sales!$D:$D,MATCH($A731,Sales!$E:$E,0)),""))</f>
        <v/>
      </c>
      <c r="D731" s="153" t="str">
        <f t="array" ref="D731">IF($A731="","",IFERROR(INDEX(Sales!$C:$C,MATCH($A731,Sales!$E:$E,0)),""))</f>
        <v/>
      </c>
      <c r="E731" s="154" t="str">
        <f>IF($A731="","",SUMIFS(Sales!$H:$H,Sales!$E:$E,$A731,Sales!$B:$B,"&lt;&gt;Return"))</f>
        <v/>
      </c>
      <c r="F731" s="155" t="str">
        <f>IF($A731="","",SUMIF(Sales!$E:$E,$A731,Sales!$L:$L))</f>
        <v/>
      </c>
      <c r="G731" s="155" t="str">
        <f>IF($A731="","",SUMIF(Sales!$E:$E,$A731,Sales!$P:$P))</f>
        <v/>
      </c>
      <c r="H731" s="156" t="str">
        <f t="array" ref="H731">IF($A731="","",IFERROR(INDEX(Orders!$O$5:$O$1004,MATCH($A731,Orders!$N$5:$N$1004,0)),""))</f>
        <v/>
      </c>
      <c r="I731" s="156" t="str">
        <f t="array" ref="I731">IF($A731="","",IFERROR(INDEX(Orders!$P$5:$P$1004,MATCH($A731,Orders!$N$5:$N$1004,0)),""))</f>
        <v/>
      </c>
      <c r="J731" s="157" t="str">
        <f t="shared" si="1"/>
        <v/>
      </c>
      <c r="K731" s="153" t="str">
        <f t="array" ref="K731">IF($A731="","",IFERROR(INDEX(Sales!$M:$M,MATCH($A731,Sales!$E:$E,0)),""))</f>
        <v/>
      </c>
      <c r="L731" s="158" t="str">
        <f t="shared" si="2"/>
        <v/>
      </c>
      <c r="N731" s="49" t="str">
        <f t="array" ref="N731">IFERROR(INDEX(Sales!$E$7:$E$1506,MATCH(ROW()-4,Sales!$V$7:$V$1506,0)),"")</f>
        <v/>
      </c>
      <c r="O731" s="67"/>
      <c r="P731" s="67"/>
    </row>
    <row r="732" ht="15.0" customHeight="1">
      <c r="A732" s="151" t="str">
        <f t="array" ref="A732">IFERROR(INDEX(Sales!$E$7:$E$1506,MATCH(ROW()-4,Sales!$W$7:$W$1506,0)),"")</f>
        <v/>
      </c>
      <c r="B732" s="152" t="str">
        <f t="array" ref="B732">IF($A732="","",IFERROR(INDEX(Sales!$A:$A,MATCH($A732,Sales!$E:$E,0)),""))</f>
        <v/>
      </c>
      <c r="C732" s="153" t="str">
        <f t="array" ref="C732">IF($A732="","",IFERROR(INDEX(Sales!$D:$D,MATCH($A732,Sales!$E:$E,0)),""))</f>
        <v/>
      </c>
      <c r="D732" s="153" t="str">
        <f t="array" ref="D732">IF($A732="","",IFERROR(INDEX(Sales!$C:$C,MATCH($A732,Sales!$E:$E,0)),""))</f>
        <v/>
      </c>
      <c r="E732" s="154" t="str">
        <f>IF($A732="","",SUMIFS(Sales!$H:$H,Sales!$E:$E,$A732,Sales!$B:$B,"&lt;&gt;Return"))</f>
        <v/>
      </c>
      <c r="F732" s="155" t="str">
        <f>IF($A732="","",SUMIF(Sales!$E:$E,$A732,Sales!$L:$L))</f>
        <v/>
      </c>
      <c r="G732" s="155" t="str">
        <f>IF($A732="","",SUMIF(Sales!$E:$E,$A732,Sales!$P:$P))</f>
        <v/>
      </c>
      <c r="H732" s="156" t="str">
        <f t="array" ref="H732">IF($A732="","",IFERROR(INDEX(Orders!$O$5:$O$1004,MATCH($A732,Orders!$N$5:$N$1004,0)),""))</f>
        <v/>
      </c>
      <c r="I732" s="156" t="str">
        <f t="array" ref="I732">IF($A732="","",IFERROR(INDEX(Orders!$P$5:$P$1004,MATCH($A732,Orders!$N$5:$N$1004,0)),""))</f>
        <v/>
      </c>
      <c r="J732" s="157" t="str">
        <f t="shared" si="1"/>
        <v/>
      </c>
      <c r="K732" s="153" t="str">
        <f t="array" ref="K732">IF($A732="","",IFERROR(INDEX(Sales!$M:$M,MATCH($A732,Sales!$E:$E,0)),""))</f>
        <v/>
      </c>
      <c r="L732" s="158" t="str">
        <f t="shared" si="2"/>
        <v/>
      </c>
      <c r="N732" s="49" t="str">
        <f t="array" ref="N732">IFERROR(INDEX(Sales!$E$7:$E$1506,MATCH(ROW()-4,Sales!$V$7:$V$1506,0)),"")</f>
        <v/>
      </c>
      <c r="O732" s="67"/>
      <c r="P732" s="67"/>
    </row>
    <row r="733" ht="15.0" customHeight="1">
      <c r="A733" s="151" t="str">
        <f t="array" ref="A733">IFERROR(INDEX(Sales!$E$7:$E$1506,MATCH(ROW()-4,Sales!$W$7:$W$1506,0)),"")</f>
        <v/>
      </c>
      <c r="B733" s="152" t="str">
        <f t="array" ref="B733">IF($A733="","",IFERROR(INDEX(Sales!$A:$A,MATCH($A733,Sales!$E:$E,0)),""))</f>
        <v/>
      </c>
      <c r="C733" s="153" t="str">
        <f t="array" ref="C733">IF($A733="","",IFERROR(INDEX(Sales!$D:$D,MATCH($A733,Sales!$E:$E,0)),""))</f>
        <v/>
      </c>
      <c r="D733" s="153" t="str">
        <f t="array" ref="D733">IF($A733="","",IFERROR(INDEX(Sales!$C:$C,MATCH($A733,Sales!$E:$E,0)),""))</f>
        <v/>
      </c>
      <c r="E733" s="154" t="str">
        <f>IF($A733="","",SUMIFS(Sales!$H:$H,Sales!$E:$E,$A733,Sales!$B:$B,"&lt;&gt;Return"))</f>
        <v/>
      </c>
      <c r="F733" s="155" t="str">
        <f>IF($A733="","",SUMIF(Sales!$E:$E,$A733,Sales!$L:$L))</f>
        <v/>
      </c>
      <c r="G733" s="155" t="str">
        <f>IF($A733="","",SUMIF(Sales!$E:$E,$A733,Sales!$P:$P))</f>
        <v/>
      </c>
      <c r="H733" s="156" t="str">
        <f t="array" ref="H733">IF($A733="","",IFERROR(INDEX(Orders!$O$5:$O$1004,MATCH($A733,Orders!$N$5:$N$1004,0)),""))</f>
        <v/>
      </c>
      <c r="I733" s="156" t="str">
        <f t="array" ref="I733">IF($A733="","",IFERROR(INDEX(Orders!$P$5:$P$1004,MATCH($A733,Orders!$N$5:$N$1004,0)),""))</f>
        <v/>
      </c>
      <c r="J733" s="157" t="str">
        <f t="shared" si="1"/>
        <v/>
      </c>
      <c r="K733" s="153" t="str">
        <f t="array" ref="K733">IF($A733="","",IFERROR(INDEX(Sales!$M:$M,MATCH($A733,Sales!$E:$E,0)),""))</f>
        <v/>
      </c>
      <c r="L733" s="158" t="str">
        <f t="shared" si="2"/>
        <v/>
      </c>
      <c r="N733" s="49" t="str">
        <f t="array" ref="N733">IFERROR(INDEX(Sales!$E$7:$E$1506,MATCH(ROW()-4,Sales!$V$7:$V$1506,0)),"")</f>
        <v/>
      </c>
      <c r="O733" s="67"/>
      <c r="P733" s="67"/>
    </row>
    <row r="734" ht="15.0" customHeight="1">
      <c r="A734" s="151" t="str">
        <f t="array" ref="A734">IFERROR(INDEX(Sales!$E$7:$E$1506,MATCH(ROW()-4,Sales!$W$7:$W$1506,0)),"")</f>
        <v/>
      </c>
      <c r="B734" s="152" t="str">
        <f t="array" ref="B734">IF($A734="","",IFERROR(INDEX(Sales!$A:$A,MATCH($A734,Sales!$E:$E,0)),""))</f>
        <v/>
      </c>
      <c r="C734" s="153" t="str">
        <f t="array" ref="C734">IF($A734="","",IFERROR(INDEX(Sales!$D:$D,MATCH($A734,Sales!$E:$E,0)),""))</f>
        <v/>
      </c>
      <c r="D734" s="153" t="str">
        <f t="array" ref="D734">IF($A734="","",IFERROR(INDEX(Sales!$C:$C,MATCH($A734,Sales!$E:$E,0)),""))</f>
        <v/>
      </c>
      <c r="E734" s="154" t="str">
        <f>IF($A734="","",SUMIFS(Sales!$H:$H,Sales!$E:$E,$A734,Sales!$B:$B,"&lt;&gt;Return"))</f>
        <v/>
      </c>
      <c r="F734" s="155" t="str">
        <f>IF($A734="","",SUMIF(Sales!$E:$E,$A734,Sales!$L:$L))</f>
        <v/>
      </c>
      <c r="G734" s="155" t="str">
        <f>IF($A734="","",SUMIF(Sales!$E:$E,$A734,Sales!$P:$P))</f>
        <v/>
      </c>
      <c r="H734" s="156" t="str">
        <f t="array" ref="H734">IF($A734="","",IFERROR(INDEX(Orders!$O$5:$O$1004,MATCH($A734,Orders!$N$5:$N$1004,0)),""))</f>
        <v/>
      </c>
      <c r="I734" s="156" t="str">
        <f t="array" ref="I734">IF($A734="","",IFERROR(INDEX(Orders!$P$5:$P$1004,MATCH($A734,Orders!$N$5:$N$1004,0)),""))</f>
        <v/>
      </c>
      <c r="J734" s="157" t="str">
        <f t="shared" si="1"/>
        <v/>
      </c>
      <c r="K734" s="153" t="str">
        <f t="array" ref="K734">IF($A734="","",IFERROR(INDEX(Sales!$M:$M,MATCH($A734,Sales!$E:$E,0)),""))</f>
        <v/>
      </c>
      <c r="L734" s="158" t="str">
        <f t="shared" si="2"/>
        <v/>
      </c>
      <c r="N734" s="49" t="str">
        <f t="array" ref="N734">IFERROR(INDEX(Sales!$E$7:$E$1506,MATCH(ROW()-4,Sales!$V$7:$V$1506,0)),"")</f>
        <v/>
      </c>
      <c r="O734" s="67"/>
      <c r="P734" s="67"/>
    </row>
    <row r="735" ht="15.0" customHeight="1">
      <c r="A735" s="151" t="str">
        <f t="array" ref="A735">IFERROR(INDEX(Sales!$E$7:$E$1506,MATCH(ROW()-4,Sales!$W$7:$W$1506,0)),"")</f>
        <v/>
      </c>
      <c r="B735" s="152" t="str">
        <f t="array" ref="B735">IF($A735="","",IFERROR(INDEX(Sales!$A:$A,MATCH($A735,Sales!$E:$E,0)),""))</f>
        <v/>
      </c>
      <c r="C735" s="153" t="str">
        <f t="array" ref="C735">IF($A735="","",IFERROR(INDEX(Sales!$D:$D,MATCH($A735,Sales!$E:$E,0)),""))</f>
        <v/>
      </c>
      <c r="D735" s="153" t="str">
        <f t="array" ref="D735">IF($A735="","",IFERROR(INDEX(Sales!$C:$C,MATCH($A735,Sales!$E:$E,0)),""))</f>
        <v/>
      </c>
      <c r="E735" s="154" t="str">
        <f>IF($A735="","",SUMIFS(Sales!$H:$H,Sales!$E:$E,$A735,Sales!$B:$B,"&lt;&gt;Return"))</f>
        <v/>
      </c>
      <c r="F735" s="155" t="str">
        <f>IF($A735="","",SUMIF(Sales!$E:$E,$A735,Sales!$L:$L))</f>
        <v/>
      </c>
      <c r="G735" s="155" t="str">
        <f>IF($A735="","",SUMIF(Sales!$E:$E,$A735,Sales!$P:$P))</f>
        <v/>
      </c>
      <c r="H735" s="156" t="str">
        <f t="array" ref="H735">IF($A735="","",IFERROR(INDEX(Orders!$O$5:$O$1004,MATCH($A735,Orders!$N$5:$N$1004,0)),""))</f>
        <v/>
      </c>
      <c r="I735" s="156" t="str">
        <f t="array" ref="I735">IF($A735="","",IFERROR(INDEX(Orders!$P$5:$P$1004,MATCH($A735,Orders!$N$5:$N$1004,0)),""))</f>
        <v/>
      </c>
      <c r="J735" s="157" t="str">
        <f t="shared" si="1"/>
        <v/>
      </c>
      <c r="K735" s="153" t="str">
        <f t="array" ref="K735">IF($A735="","",IFERROR(INDEX(Sales!$M:$M,MATCH($A735,Sales!$E:$E,0)),""))</f>
        <v/>
      </c>
      <c r="L735" s="158" t="str">
        <f t="shared" si="2"/>
        <v/>
      </c>
      <c r="N735" s="49" t="str">
        <f t="array" ref="N735">IFERROR(INDEX(Sales!$E$7:$E$1506,MATCH(ROW()-4,Sales!$V$7:$V$1506,0)),"")</f>
        <v/>
      </c>
      <c r="O735" s="67"/>
      <c r="P735" s="67"/>
    </row>
    <row r="736" ht="15.0" customHeight="1">
      <c r="A736" s="151" t="str">
        <f t="array" ref="A736">IFERROR(INDEX(Sales!$E$7:$E$1506,MATCH(ROW()-4,Sales!$W$7:$W$1506,0)),"")</f>
        <v/>
      </c>
      <c r="B736" s="152" t="str">
        <f t="array" ref="B736">IF($A736="","",IFERROR(INDEX(Sales!$A:$A,MATCH($A736,Sales!$E:$E,0)),""))</f>
        <v/>
      </c>
      <c r="C736" s="153" t="str">
        <f t="array" ref="C736">IF($A736="","",IFERROR(INDEX(Sales!$D:$D,MATCH($A736,Sales!$E:$E,0)),""))</f>
        <v/>
      </c>
      <c r="D736" s="153" t="str">
        <f t="array" ref="D736">IF($A736="","",IFERROR(INDEX(Sales!$C:$C,MATCH($A736,Sales!$E:$E,0)),""))</f>
        <v/>
      </c>
      <c r="E736" s="154" t="str">
        <f>IF($A736="","",SUMIFS(Sales!$H:$H,Sales!$E:$E,$A736,Sales!$B:$B,"&lt;&gt;Return"))</f>
        <v/>
      </c>
      <c r="F736" s="155" t="str">
        <f>IF($A736="","",SUMIF(Sales!$E:$E,$A736,Sales!$L:$L))</f>
        <v/>
      </c>
      <c r="G736" s="155" t="str">
        <f>IF($A736="","",SUMIF(Sales!$E:$E,$A736,Sales!$P:$P))</f>
        <v/>
      </c>
      <c r="H736" s="156" t="str">
        <f t="array" ref="H736">IF($A736="","",IFERROR(INDEX(Orders!$O$5:$O$1004,MATCH($A736,Orders!$N$5:$N$1004,0)),""))</f>
        <v/>
      </c>
      <c r="I736" s="156" t="str">
        <f t="array" ref="I736">IF($A736="","",IFERROR(INDEX(Orders!$P$5:$P$1004,MATCH($A736,Orders!$N$5:$N$1004,0)),""))</f>
        <v/>
      </c>
      <c r="J736" s="157" t="str">
        <f t="shared" si="1"/>
        <v/>
      </c>
      <c r="K736" s="153" t="str">
        <f t="array" ref="K736">IF($A736="","",IFERROR(INDEX(Sales!$M:$M,MATCH($A736,Sales!$E:$E,0)),""))</f>
        <v/>
      </c>
      <c r="L736" s="158" t="str">
        <f t="shared" si="2"/>
        <v/>
      </c>
      <c r="N736" s="49" t="str">
        <f t="array" ref="N736">IFERROR(INDEX(Sales!$E$7:$E$1506,MATCH(ROW()-4,Sales!$V$7:$V$1506,0)),"")</f>
        <v/>
      </c>
      <c r="O736" s="67"/>
      <c r="P736" s="67"/>
    </row>
    <row r="737" ht="15.0" customHeight="1">
      <c r="A737" s="151" t="str">
        <f t="array" ref="A737">IFERROR(INDEX(Sales!$E$7:$E$1506,MATCH(ROW()-4,Sales!$W$7:$W$1506,0)),"")</f>
        <v/>
      </c>
      <c r="B737" s="152" t="str">
        <f t="array" ref="B737">IF($A737="","",IFERROR(INDEX(Sales!$A:$A,MATCH($A737,Sales!$E:$E,0)),""))</f>
        <v/>
      </c>
      <c r="C737" s="153" t="str">
        <f t="array" ref="C737">IF($A737="","",IFERROR(INDEX(Sales!$D:$D,MATCH($A737,Sales!$E:$E,0)),""))</f>
        <v/>
      </c>
      <c r="D737" s="153" t="str">
        <f t="array" ref="D737">IF($A737="","",IFERROR(INDEX(Sales!$C:$C,MATCH($A737,Sales!$E:$E,0)),""))</f>
        <v/>
      </c>
      <c r="E737" s="154" t="str">
        <f>IF($A737="","",SUMIFS(Sales!$H:$H,Sales!$E:$E,$A737,Sales!$B:$B,"&lt;&gt;Return"))</f>
        <v/>
      </c>
      <c r="F737" s="155" t="str">
        <f>IF($A737="","",SUMIF(Sales!$E:$E,$A737,Sales!$L:$L))</f>
        <v/>
      </c>
      <c r="G737" s="155" t="str">
        <f>IF($A737="","",SUMIF(Sales!$E:$E,$A737,Sales!$P:$P))</f>
        <v/>
      </c>
      <c r="H737" s="156" t="str">
        <f t="array" ref="H737">IF($A737="","",IFERROR(INDEX(Orders!$O$5:$O$1004,MATCH($A737,Orders!$N$5:$N$1004,0)),""))</f>
        <v/>
      </c>
      <c r="I737" s="156" t="str">
        <f t="array" ref="I737">IF($A737="","",IFERROR(INDEX(Orders!$P$5:$P$1004,MATCH($A737,Orders!$N$5:$N$1004,0)),""))</f>
        <v/>
      </c>
      <c r="J737" s="157" t="str">
        <f t="shared" si="1"/>
        <v/>
      </c>
      <c r="K737" s="153" t="str">
        <f t="array" ref="K737">IF($A737="","",IFERROR(INDEX(Sales!$M:$M,MATCH($A737,Sales!$E:$E,0)),""))</f>
        <v/>
      </c>
      <c r="L737" s="158" t="str">
        <f t="shared" si="2"/>
        <v/>
      </c>
      <c r="N737" s="49" t="str">
        <f t="array" ref="N737">IFERROR(INDEX(Sales!$E$7:$E$1506,MATCH(ROW()-4,Sales!$V$7:$V$1506,0)),"")</f>
        <v/>
      </c>
      <c r="O737" s="67"/>
      <c r="P737" s="67"/>
    </row>
    <row r="738" ht="15.0" customHeight="1">
      <c r="A738" s="151" t="str">
        <f t="array" ref="A738">IFERROR(INDEX(Sales!$E$7:$E$1506,MATCH(ROW()-4,Sales!$W$7:$W$1506,0)),"")</f>
        <v/>
      </c>
      <c r="B738" s="152" t="str">
        <f t="array" ref="B738">IF($A738="","",IFERROR(INDEX(Sales!$A:$A,MATCH($A738,Sales!$E:$E,0)),""))</f>
        <v/>
      </c>
      <c r="C738" s="153" t="str">
        <f t="array" ref="C738">IF($A738="","",IFERROR(INDEX(Sales!$D:$D,MATCH($A738,Sales!$E:$E,0)),""))</f>
        <v/>
      </c>
      <c r="D738" s="153" t="str">
        <f t="array" ref="D738">IF($A738="","",IFERROR(INDEX(Sales!$C:$C,MATCH($A738,Sales!$E:$E,0)),""))</f>
        <v/>
      </c>
      <c r="E738" s="154" t="str">
        <f>IF($A738="","",SUMIFS(Sales!$H:$H,Sales!$E:$E,$A738,Sales!$B:$B,"&lt;&gt;Return"))</f>
        <v/>
      </c>
      <c r="F738" s="155" t="str">
        <f>IF($A738="","",SUMIF(Sales!$E:$E,$A738,Sales!$L:$L))</f>
        <v/>
      </c>
      <c r="G738" s="155" t="str">
        <f>IF($A738="","",SUMIF(Sales!$E:$E,$A738,Sales!$P:$P))</f>
        <v/>
      </c>
      <c r="H738" s="156" t="str">
        <f t="array" ref="H738">IF($A738="","",IFERROR(INDEX(Orders!$O$5:$O$1004,MATCH($A738,Orders!$N$5:$N$1004,0)),""))</f>
        <v/>
      </c>
      <c r="I738" s="156" t="str">
        <f t="array" ref="I738">IF($A738="","",IFERROR(INDEX(Orders!$P$5:$P$1004,MATCH($A738,Orders!$N$5:$N$1004,0)),""))</f>
        <v/>
      </c>
      <c r="J738" s="157" t="str">
        <f t="shared" si="1"/>
        <v/>
      </c>
      <c r="K738" s="153" t="str">
        <f t="array" ref="K738">IF($A738="","",IFERROR(INDEX(Sales!$M:$M,MATCH($A738,Sales!$E:$E,0)),""))</f>
        <v/>
      </c>
      <c r="L738" s="158" t="str">
        <f t="shared" si="2"/>
        <v/>
      </c>
      <c r="N738" s="49" t="str">
        <f t="array" ref="N738">IFERROR(INDEX(Sales!$E$7:$E$1506,MATCH(ROW()-4,Sales!$V$7:$V$1506,0)),"")</f>
        <v/>
      </c>
      <c r="O738" s="67"/>
      <c r="P738" s="67"/>
    </row>
    <row r="739" ht="15.0" customHeight="1">
      <c r="A739" s="151" t="str">
        <f t="array" ref="A739">IFERROR(INDEX(Sales!$E$7:$E$1506,MATCH(ROW()-4,Sales!$W$7:$W$1506,0)),"")</f>
        <v/>
      </c>
      <c r="B739" s="152" t="str">
        <f t="array" ref="B739">IF($A739="","",IFERROR(INDEX(Sales!$A:$A,MATCH($A739,Sales!$E:$E,0)),""))</f>
        <v/>
      </c>
      <c r="C739" s="153" t="str">
        <f t="array" ref="C739">IF($A739="","",IFERROR(INDEX(Sales!$D:$D,MATCH($A739,Sales!$E:$E,0)),""))</f>
        <v/>
      </c>
      <c r="D739" s="153" t="str">
        <f t="array" ref="D739">IF($A739="","",IFERROR(INDEX(Sales!$C:$C,MATCH($A739,Sales!$E:$E,0)),""))</f>
        <v/>
      </c>
      <c r="E739" s="154" t="str">
        <f>IF($A739="","",SUMIFS(Sales!$H:$H,Sales!$E:$E,$A739,Sales!$B:$B,"&lt;&gt;Return"))</f>
        <v/>
      </c>
      <c r="F739" s="155" t="str">
        <f>IF($A739="","",SUMIF(Sales!$E:$E,$A739,Sales!$L:$L))</f>
        <v/>
      </c>
      <c r="G739" s="155" t="str">
        <f>IF($A739="","",SUMIF(Sales!$E:$E,$A739,Sales!$P:$P))</f>
        <v/>
      </c>
      <c r="H739" s="156" t="str">
        <f t="array" ref="H739">IF($A739="","",IFERROR(INDEX(Orders!$O$5:$O$1004,MATCH($A739,Orders!$N$5:$N$1004,0)),""))</f>
        <v/>
      </c>
      <c r="I739" s="156" t="str">
        <f t="array" ref="I739">IF($A739="","",IFERROR(INDEX(Orders!$P$5:$P$1004,MATCH($A739,Orders!$N$5:$N$1004,0)),""))</f>
        <v/>
      </c>
      <c r="J739" s="157" t="str">
        <f t="shared" si="1"/>
        <v/>
      </c>
      <c r="K739" s="153" t="str">
        <f t="array" ref="K739">IF($A739="","",IFERROR(INDEX(Sales!$M:$M,MATCH($A739,Sales!$E:$E,0)),""))</f>
        <v/>
      </c>
      <c r="L739" s="158" t="str">
        <f t="shared" si="2"/>
        <v/>
      </c>
      <c r="N739" s="49" t="str">
        <f t="array" ref="N739">IFERROR(INDEX(Sales!$E$7:$E$1506,MATCH(ROW()-4,Sales!$V$7:$V$1506,0)),"")</f>
        <v/>
      </c>
      <c r="O739" s="67"/>
      <c r="P739" s="67"/>
    </row>
    <row r="740" ht="15.0" customHeight="1">
      <c r="A740" s="151" t="str">
        <f t="array" ref="A740">IFERROR(INDEX(Sales!$E$7:$E$1506,MATCH(ROW()-4,Sales!$W$7:$W$1506,0)),"")</f>
        <v/>
      </c>
      <c r="B740" s="152" t="str">
        <f t="array" ref="B740">IF($A740="","",IFERROR(INDEX(Sales!$A:$A,MATCH($A740,Sales!$E:$E,0)),""))</f>
        <v/>
      </c>
      <c r="C740" s="153" t="str">
        <f t="array" ref="C740">IF($A740="","",IFERROR(INDEX(Sales!$D:$D,MATCH($A740,Sales!$E:$E,0)),""))</f>
        <v/>
      </c>
      <c r="D740" s="153" t="str">
        <f t="array" ref="D740">IF($A740="","",IFERROR(INDEX(Sales!$C:$C,MATCH($A740,Sales!$E:$E,0)),""))</f>
        <v/>
      </c>
      <c r="E740" s="154" t="str">
        <f>IF($A740="","",SUMIFS(Sales!$H:$H,Sales!$E:$E,$A740,Sales!$B:$B,"&lt;&gt;Return"))</f>
        <v/>
      </c>
      <c r="F740" s="155" t="str">
        <f>IF($A740="","",SUMIF(Sales!$E:$E,$A740,Sales!$L:$L))</f>
        <v/>
      </c>
      <c r="G740" s="155" t="str">
        <f>IF($A740="","",SUMIF(Sales!$E:$E,$A740,Sales!$P:$P))</f>
        <v/>
      </c>
      <c r="H740" s="156" t="str">
        <f t="array" ref="H740">IF($A740="","",IFERROR(INDEX(Orders!$O$5:$O$1004,MATCH($A740,Orders!$N$5:$N$1004,0)),""))</f>
        <v/>
      </c>
      <c r="I740" s="156" t="str">
        <f t="array" ref="I740">IF($A740="","",IFERROR(INDEX(Orders!$P$5:$P$1004,MATCH($A740,Orders!$N$5:$N$1004,0)),""))</f>
        <v/>
      </c>
      <c r="J740" s="157" t="str">
        <f t="shared" si="1"/>
        <v/>
      </c>
      <c r="K740" s="153" t="str">
        <f t="array" ref="K740">IF($A740="","",IFERROR(INDEX(Sales!$M:$M,MATCH($A740,Sales!$E:$E,0)),""))</f>
        <v/>
      </c>
      <c r="L740" s="158" t="str">
        <f t="shared" si="2"/>
        <v/>
      </c>
      <c r="N740" s="49" t="str">
        <f t="array" ref="N740">IFERROR(INDEX(Sales!$E$7:$E$1506,MATCH(ROW()-4,Sales!$V$7:$V$1506,0)),"")</f>
        <v/>
      </c>
      <c r="O740" s="67"/>
      <c r="P740" s="67"/>
    </row>
    <row r="741" ht="15.0" customHeight="1">
      <c r="A741" s="151" t="str">
        <f t="array" ref="A741">IFERROR(INDEX(Sales!$E$7:$E$1506,MATCH(ROW()-4,Sales!$W$7:$W$1506,0)),"")</f>
        <v/>
      </c>
      <c r="B741" s="152" t="str">
        <f t="array" ref="B741">IF($A741="","",IFERROR(INDEX(Sales!$A:$A,MATCH($A741,Sales!$E:$E,0)),""))</f>
        <v/>
      </c>
      <c r="C741" s="153" t="str">
        <f t="array" ref="C741">IF($A741="","",IFERROR(INDEX(Sales!$D:$D,MATCH($A741,Sales!$E:$E,0)),""))</f>
        <v/>
      </c>
      <c r="D741" s="153" t="str">
        <f t="array" ref="D741">IF($A741="","",IFERROR(INDEX(Sales!$C:$C,MATCH($A741,Sales!$E:$E,0)),""))</f>
        <v/>
      </c>
      <c r="E741" s="154" t="str">
        <f>IF($A741="","",SUMIFS(Sales!$H:$H,Sales!$E:$E,$A741,Sales!$B:$B,"&lt;&gt;Return"))</f>
        <v/>
      </c>
      <c r="F741" s="155" t="str">
        <f>IF($A741="","",SUMIF(Sales!$E:$E,$A741,Sales!$L:$L))</f>
        <v/>
      </c>
      <c r="G741" s="155" t="str">
        <f>IF($A741="","",SUMIF(Sales!$E:$E,$A741,Sales!$P:$P))</f>
        <v/>
      </c>
      <c r="H741" s="156" t="str">
        <f t="array" ref="H741">IF($A741="","",IFERROR(INDEX(Orders!$O$5:$O$1004,MATCH($A741,Orders!$N$5:$N$1004,0)),""))</f>
        <v/>
      </c>
      <c r="I741" s="156" t="str">
        <f t="array" ref="I741">IF($A741="","",IFERROR(INDEX(Orders!$P$5:$P$1004,MATCH($A741,Orders!$N$5:$N$1004,0)),""))</f>
        <v/>
      </c>
      <c r="J741" s="157" t="str">
        <f t="shared" si="1"/>
        <v/>
      </c>
      <c r="K741" s="153" t="str">
        <f t="array" ref="K741">IF($A741="","",IFERROR(INDEX(Sales!$M:$M,MATCH($A741,Sales!$E:$E,0)),""))</f>
        <v/>
      </c>
      <c r="L741" s="158" t="str">
        <f t="shared" si="2"/>
        <v/>
      </c>
      <c r="N741" s="49" t="str">
        <f t="array" ref="N741">IFERROR(INDEX(Sales!$E$7:$E$1506,MATCH(ROW()-4,Sales!$V$7:$V$1506,0)),"")</f>
        <v/>
      </c>
      <c r="O741" s="67"/>
      <c r="P741" s="67"/>
    </row>
    <row r="742" ht="15.0" customHeight="1">
      <c r="A742" s="151" t="str">
        <f t="array" ref="A742">IFERROR(INDEX(Sales!$E$7:$E$1506,MATCH(ROW()-4,Sales!$W$7:$W$1506,0)),"")</f>
        <v/>
      </c>
      <c r="B742" s="152" t="str">
        <f t="array" ref="B742">IF($A742="","",IFERROR(INDEX(Sales!$A:$A,MATCH($A742,Sales!$E:$E,0)),""))</f>
        <v/>
      </c>
      <c r="C742" s="153" t="str">
        <f t="array" ref="C742">IF($A742="","",IFERROR(INDEX(Sales!$D:$D,MATCH($A742,Sales!$E:$E,0)),""))</f>
        <v/>
      </c>
      <c r="D742" s="153" t="str">
        <f t="array" ref="D742">IF($A742="","",IFERROR(INDEX(Sales!$C:$C,MATCH($A742,Sales!$E:$E,0)),""))</f>
        <v/>
      </c>
      <c r="E742" s="154" t="str">
        <f>IF($A742="","",SUMIFS(Sales!$H:$H,Sales!$E:$E,$A742,Sales!$B:$B,"&lt;&gt;Return"))</f>
        <v/>
      </c>
      <c r="F742" s="155" t="str">
        <f>IF($A742="","",SUMIF(Sales!$E:$E,$A742,Sales!$L:$L))</f>
        <v/>
      </c>
      <c r="G742" s="155" t="str">
        <f>IF($A742="","",SUMIF(Sales!$E:$E,$A742,Sales!$P:$P))</f>
        <v/>
      </c>
      <c r="H742" s="156" t="str">
        <f t="array" ref="H742">IF($A742="","",IFERROR(INDEX(Orders!$O$5:$O$1004,MATCH($A742,Orders!$N$5:$N$1004,0)),""))</f>
        <v/>
      </c>
      <c r="I742" s="156" t="str">
        <f t="array" ref="I742">IF($A742="","",IFERROR(INDEX(Orders!$P$5:$P$1004,MATCH($A742,Orders!$N$5:$N$1004,0)),""))</f>
        <v/>
      </c>
      <c r="J742" s="157" t="str">
        <f t="shared" si="1"/>
        <v/>
      </c>
      <c r="K742" s="153" t="str">
        <f t="array" ref="K742">IF($A742="","",IFERROR(INDEX(Sales!$M:$M,MATCH($A742,Sales!$E:$E,0)),""))</f>
        <v/>
      </c>
      <c r="L742" s="158" t="str">
        <f t="shared" si="2"/>
        <v/>
      </c>
      <c r="N742" s="49" t="str">
        <f t="array" ref="N742">IFERROR(INDEX(Sales!$E$7:$E$1506,MATCH(ROW()-4,Sales!$V$7:$V$1506,0)),"")</f>
        <v/>
      </c>
      <c r="O742" s="67"/>
      <c r="P742" s="67"/>
    </row>
    <row r="743" ht="15.0" customHeight="1">
      <c r="A743" s="151" t="str">
        <f t="array" ref="A743">IFERROR(INDEX(Sales!$E$7:$E$1506,MATCH(ROW()-4,Sales!$W$7:$W$1506,0)),"")</f>
        <v/>
      </c>
      <c r="B743" s="152" t="str">
        <f t="array" ref="B743">IF($A743="","",IFERROR(INDEX(Sales!$A:$A,MATCH($A743,Sales!$E:$E,0)),""))</f>
        <v/>
      </c>
      <c r="C743" s="153" t="str">
        <f t="array" ref="C743">IF($A743="","",IFERROR(INDEX(Sales!$D:$D,MATCH($A743,Sales!$E:$E,0)),""))</f>
        <v/>
      </c>
      <c r="D743" s="153" t="str">
        <f t="array" ref="D743">IF($A743="","",IFERROR(INDEX(Sales!$C:$C,MATCH($A743,Sales!$E:$E,0)),""))</f>
        <v/>
      </c>
      <c r="E743" s="154" t="str">
        <f>IF($A743="","",SUMIFS(Sales!$H:$H,Sales!$E:$E,$A743,Sales!$B:$B,"&lt;&gt;Return"))</f>
        <v/>
      </c>
      <c r="F743" s="155" t="str">
        <f>IF($A743="","",SUMIF(Sales!$E:$E,$A743,Sales!$L:$L))</f>
        <v/>
      </c>
      <c r="G743" s="155" t="str">
        <f>IF($A743="","",SUMIF(Sales!$E:$E,$A743,Sales!$P:$P))</f>
        <v/>
      </c>
      <c r="H743" s="156" t="str">
        <f t="array" ref="H743">IF($A743="","",IFERROR(INDEX(Orders!$O$5:$O$1004,MATCH($A743,Orders!$N$5:$N$1004,0)),""))</f>
        <v/>
      </c>
      <c r="I743" s="156" t="str">
        <f t="array" ref="I743">IF($A743="","",IFERROR(INDEX(Orders!$P$5:$P$1004,MATCH($A743,Orders!$N$5:$N$1004,0)),""))</f>
        <v/>
      </c>
      <c r="J743" s="157" t="str">
        <f t="shared" si="1"/>
        <v/>
      </c>
      <c r="K743" s="153" t="str">
        <f t="array" ref="K743">IF($A743="","",IFERROR(INDEX(Sales!$M:$M,MATCH($A743,Sales!$E:$E,0)),""))</f>
        <v/>
      </c>
      <c r="L743" s="158" t="str">
        <f t="shared" si="2"/>
        <v/>
      </c>
      <c r="N743" s="49" t="str">
        <f t="array" ref="N743">IFERROR(INDEX(Sales!$E$7:$E$1506,MATCH(ROW()-4,Sales!$V$7:$V$1506,0)),"")</f>
        <v/>
      </c>
      <c r="O743" s="67"/>
      <c r="P743" s="67"/>
    </row>
    <row r="744" ht="15.0" customHeight="1">
      <c r="A744" s="151" t="str">
        <f t="array" ref="A744">IFERROR(INDEX(Sales!$E$7:$E$1506,MATCH(ROW()-4,Sales!$W$7:$W$1506,0)),"")</f>
        <v/>
      </c>
      <c r="B744" s="152" t="str">
        <f t="array" ref="B744">IF($A744="","",IFERROR(INDEX(Sales!$A:$A,MATCH($A744,Sales!$E:$E,0)),""))</f>
        <v/>
      </c>
      <c r="C744" s="153" t="str">
        <f t="array" ref="C744">IF($A744="","",IFERROR(INDEX(Sales!$D:$D,MATCH($A744,Sales!$E:$E,0)),""))</f>
        <v/>
      </c>
      <c r="D744" s="153" t="str">
        <f t="array" ref="D744">IF($A744="","",IFERROR(INDEX(Sales!$C:$C,MATCH($A744,Sales!$E:$E,0)),""))</f>
        <v/>
      </c>
      <c r="E744" s="154" t="str">
        <f>IF($A744="","",SUMIFS(Sales!$H:$H,Sales!$E:$E,$A744,Sales!$B:$B,"&lt;&gt;Return"))</f>
        <v/>
      </c>
      <c r="F744" s="155" t="str">
        <f>IF($A744="","",SUMIF(Sales!$E:$E,$A744,Sales!$L:$L))</f>
        <v/>
      </c>
      <c r="G744" s="155" t="str">
        <f>IF($A744="","",SUMIF(Sales!$E:$E,$A744,Sales!$P:$P))</f>
        <v/>
      </c>
      <c r="H744" s="156" t="str">
        <f t="array" ref="H744">IF($A744="","",IFERROR(INDEX(Orders!$O$5:$O$1004,MATCH($A744,Orders!$N$5:$N$1004,0)),""))</f>
        <v/>
      </c>
      <c r="I744" s="156" t="str">
        <f t="array" ref="I744">IF($A744="","",IFERROR(INDEX(Orders!$P$5:$P$1004,MATCH($A744,Orders!$N$5:$N$1004,0)),""))</f>
        <v/>
      </c>
      <c r="J744" s="157" t="str">
        <f t="shared" si="1"/>
        <v/>
      </c>
      <c r="K744" s="153" t="str">
        <f t="array" ref="K744">IF($A744="","",IFERROR(INDEX(Sales!$M:$M,MATCH($A744,Sales!$E:$E,0)),""))</f>
        <v/>
      </c>
      <c r="L744" s="158" t="str">
        <f t="shared" si="2"/>
        <v/>
      </c>
      <c r="N744" s="49" t="str">
        <f t="array" ref="N744">IFERROR(INDEX(Sales!$E$7:$E$1506,MATCH(ROW()-4,Sales!$V$7:$V$1506,0)),"")</f>
        <v/>
      </c>
      <c r="O744" s="67"/>
      <c r="P744" s="67"/>
    </row>
    <row r="745" ht="15.0" customHeight="1">
      <c r="A745" s="151" t="str">
        <f t="array" ref="A745">IFERROR(INDEX(Sales!$E$7:$E$1506,MATCH(ROW()-4,Sales!$W$7:$W$1506,0)),"")</f>
        <v/>
      </c>
      <c r="B745" s="152" t="str">
        <f t="array" ref="B745">IF($A745="","",IFERROR(INDEX(Sales!$A:$A,MATCH($A745,Sales!$E:$E,0)),""))</f>
        <v/>
      </c>
      <c r="C745" s="153" t="str">
        <f t="array" ref="C745">IF($A745="","",IFERROR(INDEX(Sales!$D:$D,MATCH($A745,Sales!$E:$E,0)),""))</f>
        <v/>
      </c>
      <c r="D745" s="153" t="str">
        <f t="array" ref="D745">IF($A745="","",IFERROR(INDEX(Sales!$C:$C,MATCH($A745,Sales!$E:$E,0)),""))</f>
        <v/>
      </c>
      <c r="E745" s="154" t="str">
        <f>IF($A745="","",SUMIFS(Sales!$H:$H,Sales!$E:$E,$A745,Sales!$B:$B,"&lt;&gt;Return"))</f>
        <v/>
      </c>
      <c r="F745" s="155" t="str">
        <f>IF($A745="","",SUMIF(Sales!$E:$E,$A745,Sales!$L:$L))</f>
        <v/>
      </c>
      <c r="G745" s="155" t="str">
        <f>IF($A745="","",SUMIF(Sales!$E:$E,$A745,Sales!$P:$P))</f>
        <v/>
      </c>
      <c r="H745" s="156" t="str">
        <f t="array" ref="H745">IF($A745="","",IFERROR(INDEX(Orders!$O$5:$O$1004,MATCH($A745,Orders!$N$5:$N$1004,0)),""))</f>
        <v/>
      </c>
      <c r="I745" s="156" t="str">
        <f t="array" ref="I745">IF($A745="","",IFERROR(INDEX(Orders!$P$5:$P$1004,MATCH($A745,Orders!$N$5:$N$1004,0)),""))</f>
        <v/>
      </c>
      <c r="J745" s="157" t="str">
        <f t="shared" si="1"/>
        <v/>
      </c>
      <c r="K745" s="153" t="str">
        <f t="array" ref="K745">IF($A745="","",IFERROR(INDEX(Sales!$M:$M,MATCH($A745,Sales!$E:$E,0)),""))</f>
        <v/>
      </c>
      <c r="L745" s="158" t="str">
        <f t="shared" si="2"/>
        <v/>
      </c>
      <c r="N745" s="49" t="str">
        <f t="array" ref="N745">IFERROR(INDEX(Sales!$E$7:$E$1506,MATCH(ROW()-4,Sales!$V$7:$V$1506,0)),"")</f>
        <v/>
      </c>
      <c r="O745" s="67"/>
      <c r="P745" s="67"/>
    </row>
    <row r="746" ht="15.0" customHeight="1">
      <c r="A746" s="151" t="str">
        <f t="array" ref="A746">IFERROR(INDEX(Sales!$E$7:$E$1506,MATCH(ROW()-4,Sales!$W$7:$W$1506,0)),"")</f>
        <v/>
      </c>
      <c r="B746" s="152" t="str">
        <f t="array" ref="B746">IF($A746="","",IFERROR(INDEX(Sales!$A:$A,MATCH($A746,Sales!$E:$E,0)),""))</f>
        <v/>
      </c>
      <c r="C746" s="153" t="str">
        <f t="array" ref="C746">IF($A746="","",IFERROR(INDEX(Sales!$D:$D,MATCH($A746,Sales!$E:$E,0)),""))</f>
        <v/>
      </c>
      <c r="D746" s="153" t="str">
        <f t="array" ref="D746">IF($A746="","",IFERROR(INDEX(Sales!$C:$C,MATCH($A746,Sales!$E:$E,0)),""))</f>
        <v/>
      </c>
      <c r="E746" s="154" t="str">
        <f>IF($A746="","",SUMIFS(Sales!$H:$H,Sales!$E:$E,$A746,Sales!$B:$B,"&lt;&gt;Return"))</f>
        <v/>
      </c>
      <c r="F746" s="155" t="str">
        <f>IF($A746="","",SUMIF(Sales!$E:$E,$A746,Sales!$L:$L))</f>
        <v/>
      </c>
      <c r="G746" s="155" t="str">
        <f>IF($A746="","",SUMIF(Sales!$E:$E,$A746,Sales!$P:$P))</f>
        <v/>
      </c>
      <c r="H746" s="156" t="str">
        <f t="array" ref="H746">IF($A746="","",IFERROR(INDEX(Orders!$O$5:$O$1004,MATCH($A746,Orders!$N$5:$N$1004,0)),""))</f>
        <v/>
      </c>
      <c r="I746" s="156" t="str">
        <f t="array" ref="I746">IF($A746="","",IFERROR(INDEX(Orders!$P$5:$P$1004,MATCH($A746,Orders!$N$5:$N$1004,0)),""))</f>
        <v/>
      </c>
      <c r="J746" s="157" t="str">
        <f t="shared" si="1"/>
        <v/>
      </c>
      <c r="K746" s="153" t="str">
        <f t="array" ref="K746">IF($A746="","",IFERROR(INDEX(Sales!$M:$M,MATCH($A746,Sales!$E:$E,0)),""))</f>
        <v/>
      </c>
      <c r="L746" s="158" t="str">
        <f t="shared" si="2"/>
        <v/>
      </c>
      <c r="N746" s="49" t="str">
        <f t="array" ref="N746">IFERROR(INDEX(Sales!$E$7:$E$1506,MATCH(ROW()-4,Sales!$V$7:$V$1506,0)),"")</f>
        <v/>
      </c>
      <c r="O746" s="67"/>
      <c r="P746" s="67"/>
    </row>
    <row r="747" ht="15.0" customHeight="1">
      <c r="A747" s="151" t="str">
        <f t="array" ref="A747">IFERROR(INDEX(Sales!$E$7:$E$1506,MATCH(ROW()-4,Sales!$W$7:$W$1506,0)),"")</f>
        <v/>
      </c>
      <c r="B747" s="152" t="str">
        <f t="array" ref="B747">IF($A747="","",IFERROR(INDEX(Sales!$A:$A,MATCH($A747,Sales!$E:$E,0)),""))</f>
        <v/>
      </c>
      <c r="C747" s="153" t="str">
        <f t="array" ref="C747">IF($A747="","",IFERROR(INDEX(Sales!$D:$D,MATCH($A747,Sales!$E:$E,0)),""))</f>
        <v/>
      </c>
      <c r="D747" s="153" t="str">
        <f t="array" ref="D747">IF($A747="","",IFERROR(INDEX(Sales!$C:$C,MATCH($A747,Sales!$E:$E,0)),""))</f>
        <v/>
      </c>
      <c r="E747" s="154" t="str">
        <f>IF($A747="","",SUMIFS(Sales!$H:$H,Sales!$E:$E,$A747,Sales!$B:$B,"&lt;&gt;Return"))</f>
        <v/>
      </c>
      <c r="F747" s="155" t="str">
        <f>IF($A747="","",SUMIF(Sales!$E:$E,$A747,Sales!$L:$L))</f>
        <v/>
      </c>
      <c r="G747" s="155" t="str">
        <f>IF($A747="","",SUMIF(Sales!$E:$E,$A747,Sales!$P:$P))</f>
        <v/>
      </c>
      <c r="H747" s="156" t="str">
        <f t="array" ref="H747">IF($A747="","",IFERROR(INDEX(Orders!$O$5:$O$1004,MATCH($A747,Orders!$N$5:$N$1004,0)),""))</f>
        <v/>
      </c>
      <c r="I747" s="156" t="str">
        <f t="array" ref="I747">IF($A747="","",IFERROR(INDEX(Orders!$P$5:$P$1004,MATCH($A747,Orders!$N$5:$N$1004,0)),""))</f>
        <v/>
      </c>
      <c r="J747" s="157" t="str">
        <f t="shared" si="1"/>
        <v/>
      </c>
      <c r="K747" s="153" t="str">
        <f t="array" ref="K747">IF($A747="","",IFERROR(INDEX(Sales!$M:$M,MATCH($A747,Sales!$E:$E,0)),""))</f>
        <v/>
      </c>
      <c r="L747" s="158" t="str">
        <f t="shared" si="2"/>
        <v/>
      </c>
      <c r="N747" s="49" t="str">
        <f t="array" ref="N747">IFERROR(INDEX(Sales!$E$7:$E$1506,MATCH(ROW()-4,Sales!$V$7:$V$1506,0)),"")</f>
        <v/>
      </c>
      <c r="O747" s="67"/>
      <c r="P747" s="67"/>
    </row>
    <row r="748" ht="15.0" customHeight="1">
      <c r="A748" s="151" t="str">
        <f t="array" ref="A748">IFERROR(INDEX(Sales!$E$7:$E$1506,MATCH(ROW()-4,Sales!$W$7:$W$1506,0)),"")</f>
        <v/>
      </c>
      <c r="B748" s="152" t="str">
        <f t="array" ref="B748">IF($A748="","",IFERROR(INDEX(Sales!$A:$A,MATCH($A748,Sales!$E:$E,0)),""))</f>
        <v/>
      </c>
      <c r="C748" s="153" t="str">
        <f t="array" ref="C748">IF($A748="","",IFERROR(INDEX(Sales!$D:$D,MATCH($A748,Sales!$E:$E,0)),""))</f>
        <v/>
      </c>
      <c r="D748" s="153" t="str">
        <f t="array" ref="D748">IF($A748="","",IFERROR(INDEX(Sales!$C:$C,MATCH($A748,Sales!$E:$E,0)),""))</f>
        <v/>
      </c>
      <c r="E748" s="154" t="str">
        <f>IF($A748="","",SUMIFS(Sales!$H:$H,Sales!$E:$E,$A748,Sales!$B:$B,"&lt;&gt;Return"))</f>
        <v/>
      </c>
      <c r="F748" s="155" t="str">
        <f>IF($A748="","",SUMIF(Sales!$E:$E,$A748,Sales!$L:$L))</f>
        <v/>
      </c>
      <c r="G748" s="155" t="str">
        <f>IF($A748="","",SUMIF(Sales!$E:$E,$A748,Sales!$P:$P))</f>
        <v/>
      </c>
      <c r="H748" s="156" t="str">
        <f t="array" ref="H748">IF($A748="","",IFERROR(INDEX(Orders!$O$5:$O$1004,MATCH($A748,Orders!$N$5:$N$1004,0)),""))</f>
        <v/>
      </c>
      <c r="I748" s="156" t="str">
        <f t="array" ref="I748">IF($A748="","",IFERROR(INDEX(Orders!$P$5:$P$1004,MATCH($A748,Orders!$N$5:$N$1004,0)),""))</f>
        <v/>
      </c>
      <c r="J748" s="157" t="str">
        <f t="shared" si="1"/>
        <v/>
      </c>
      <c r="K748" s="153" t="str">
        <f t="array" ref="K748">IF($A748="","",IFERROR(INDEX(Sales!$M:$M,MATCH($A748,Sales!$E:$E,0)),""))</f>
        <v/>
      </c>
      <c r="L748" s="158" t="str">
        <f t="shared" si="2"/>
        <v/>
      </c>
      <c r="N748" s="49" t="str">
        <f t="array" ref="N748">IFERROR(INDEX(Sales!$E$7:$E$1506,MATCH(ROW()-4,Sales!$V$7:$V$1506,0)),"")</f>
        <v/>
      </c>
      <c r="O748" s="67"/>
      <c r="P748" s="67"/>
    </row>
    <row r="749" ht="15.0" customHeight="1">
      <c r="A749" s="151" t="str">
        <f t="array" ref="A749">IFERROR(INDEX(Sales!$E$7:$E$1506,MATCH(ROW()-4,Sales!$W$7:$W$1506,0)),"")</f>
        <v/>
      </c>
      <c r="B749" s="152" t="str">
        <f t="array" ref="B749">IF($A749="","",IFERROR(INDEX(Sales!$A:$A,MATCH($A749,Sales!$E:$E,0)),""))</f>
        <v/>
      </c>
      <c r="C749" s="153" t="str">
        <f t="array" ref="C749">IF($A749="","",IFERROR(INDEX(Sales!$D:$D,MATCH($A749,Sales!$E:$E,0)),""))</f>
        <v/>
      </c>
      <c r="D749" s="153" t="str">
        <f t="array" ref="D749">IF($A749="","",IFERROR(INDEX(Sales!$C:$C,MATCH($A749,Sales!$E:$E,0)),""))</f>
        <v/>
      </c>
      <c r="E749" s="154" t="str">
        <f>IF($A749="","",SUMIFS(Sales!$H:$H,Sales!$E:$E,$A749,Sales!$B:$B,"&lt;&gt;Return"))</f>
        <v/>
      </c>
      <c r="F749" s="155" t="str">
        <f>IF($A749="","",SUMIF(Sales!$E:$E,$A749,Sales!$L:$L))</f>
        <v/>
      </c>
      <c r="G749" s="155" t="str">
        <f>IF($A749="","",SUMIF(Sales!$E:$E,$A749,Sales!$P:$P))</f>
        <v/>
      </c>
      <c r="H749" s="156" t="str">
        <f t="array" ref="H749">IF($A749="","",IFERROR(INDEX(Orders!$O$5:$O$1004,MATCH($A749,Orders!$N$5:$N$1004,0)),""))</f>
        <v/>
      </c>
      <c r="I749" s="156" t="str">
        <f t="array" ref="I749">IF($A749="","",IFERROR(INDEX(Orders!$P$5:$P$1004,MATCH($A749,Orders!$N$5:$N$1004,0)),""))</f>
        <v/>
      </c>
      <c r="J749" s="157" t="str">
        <f t="shared" si="1"/>
        <v/>
      </c>
      <c r="K749" s="153" t="str">
        <f t="array" ref="K749">IF($A749="","",IFERROR(INDEX(Sales!$M:$M,MATCH($A749,Sales!$E:$E,0)),""))</f>
        <v/>
      </c>
      <c r="L749" s="158" t="str">
        <f t="shared" si="2"/>
        <v/>
      </c>
      <c r="N749" s="49" t="str">
        <f t="array" ref="N749">IFERROR(INDEX(Sales!$E$7:$E$1506,MATCH(ROW()-4,Sales!$V$7:$V$1506,0)),"")</f>
        <v/>
      </c>
      <c r="O749" s="67"/>
      <c r="P749" s="67"/>
    </row>
    <row r="750" ht="15.0" customHeight="1">
      <c r="A750" s="151" t="str">
        <f t="array" ref="A750">IFERROR(INDEX(Sales!$E$7:$E$1506,MATCH(ROW()-4,Sales!$W$7:$W$1506,0)),"")</f>
        <v/>
      </c>
      <c r="B750" s="152" t="str">
        <f t="array" ref="B750">IF($A750="","",IFERROR(INDEX(Sales!$A:$A,MATCH($A750,Sales!$E:$E,0)),""))</f>
        <v/>
      </c>
      <c r="C750" s="153" t="str">
        <f t="array" ref="C750">IF($A750="","",IFERROR(INDEX(Sales!$D:$D,MATCH($A750,Sales!$E:$E,0)),""))</f>
        <v/>
      </c>
      <c r="D750" s="153" t="str">
        <f t="array" ref="D750">IF($A750="","",IFERROR(INDEX(Sales!$C:$C,MATCH($A750,Sales!$E:$E,0)),""))</f>
        <v/>
      </c>
      <c r="E750" s="154" t="str">
        <f>IF($A750="","",SUMIFS(Sales!$H:$H,Sales!$E:$E,$A750,Sales!$B:$B,"&lt;&gt;Return"))</f>
        <v/>
      </c>
      <c r="F750" s="155" t="str">
        <f>IF($A750="","",SUMIF(Sales!$E:$E,$A750,Sales!$L:$L))</f>
        <v/>
      </c>
      <c r="G750" s="155" t="str">
        <f>IF($A750="","",SUMIF(Sales!$E:$E,$A750,Sales!$P:$P))</f>
        <v/>
      </c>
      <c r="H750" s="156" t="str">
        <f t="array" ref="H750">IF($A750="","",IFERROR(INDEX(Orders!$O$5:$O$1004,MATCH($A750,Orders!$N$5:$N$1004,0)),""))</f>
        <v/>
      </c>
      <c r="I750" s="156" t="str">
        <f t="array" ref="I750">IF($A750="","",IFERROR(INDEX(Orders!$P$5:$P$1004,MATCH($A750,Orders!$N$5:$N$1004,0)),""))</f>
        <v/>
      </c>
      <c r="J750" s="157" t="str">
        <f t="shared" si="1"/>
        <v/>
      </c>
      <c r="K750" s="153" t="str">
        <f t="array" ref="K750">IF($A750="","",IFERROR(INDEX(Sales!$M:$M,MATCH($A750,Sales!$E:$E,0)),""))</f>
        <v/>
      </c>
      <c r="L750" s="158" t="str">
        <f t="shared" si="2"/>
        <v/>
      </c>
      <c r="N750" s="49" t="str">
        <f t="array" ref="N750">IFERROR(INDEX(Sales!$E$7:$E$1506,MATCH(ROW()-4,Sales!$V$7:$V$1506,0)),"")</f>
        <v/>
      </c>
      <c r="O750" s="67"/>
      <c r="P750" s="67"/>
    </row>
    <row r="751" ht="15.0" customHeight="1">
      <c r="A751" s="151" t="str">
        <f t="array" ref="A751">IFERROR(INDEX(Sales!$E$7:$E$1506,MATCH(ROW()-4,Sales!$W$7:$W$1506,0)),"")</f>
        <v/>
      </c>
      <c r="B751" s="152" t="str">
        <f t="array" ref="B751">IF($A751="","",IFERROR(INDEX(Sales!$A:$A,MATCH($A751,Sales!$E:$E,0)),""))</f>
        <v/>
      </c>
      <c r="C751" s="153" t="str">
        <f t="array" ref="C751">IF($A751="","",IFERROR(INDEX(Sales!$D:$D,MATCH($A751,Sales!$E:$E,0)),""))</f>
        <v/>
      </c>
      <c r="D751" s="153" t="str">
        <f t="array" ref="D751">IF($A751="","",IFERROR(INDEX(Sales!$C:$C,MATCH($A751,Sales!$E:$E,0)),""))</f>
        <v/>
      </c>
      <c r="E751" s="154" t="str">
        <f>IF($A751="","",SUMIFS(Sales!$H:$H,Sales!$E:$E,$A751,Sales!$B:$B,"&lt;&gt;Return"))</f>
        <v/>
      </c>
      <c r="F751" s="155" t="str">
        <f>IF($A751="","",SUMIF(Sales!$E:$E,$A751,Sales!$L:$L))</f>
        <v/>
      </c>
      <c r="G751" s="155" t="str">
        <f>IF($A751="","",SUMIF(Sales!$E:$E,$A751,Sales!$P:$P))</f>
        <v/>
      </c>
      <c r="H751" s="156" t="str">
        <f t="array" ref="H751">IF($A751="","",IFERROR(INDEX(Orders!$O$5:$O$1004,MATCH($A751,Orders!$N$5:$N$1004,0)),""))</f>
        <v/>
      </c>
      <c r="I751" s="156" t="str">
        <f t="array" ref="I751">IF($A751="","",IFERROR(INDEX(Orders!$P$5:$P$1004,MATCH($A751,Orders!$N$5:$N$1004,0)),""))</f>
        <v/>
      </c>
      <c r="J751" s="157" t="str">
        <f t="shared" si="1"/>
        <v/>
      </c>
      <c r="K751" s="153" t="str">
        <f t="array" ref="K751">IF($A751="","",IFERROR(INDEX(Sales!$M:$M,MATCH($A751,Sales!$E:$E,0)),""))</f>
        <v/>
      </c>
      <c r="L751" s="158" t="str">
        <f t="shared" si="2"/>
        <v/>
      </c>
      <c r="N751" s="49" t="str">
        <f t="array" ref="N751">IFERROR(INDEX(Sales!$E$7:$E$1506,MATCH(ROW()-4,Sales!$V$7:$V$1506,0)),"")</f>
        <v/>
      </c>
      <c r="O751" s="67"/>
      <c r="P751" s="67"/>
    </row>
    <row r="752" ht="15.0" customHeight="1">
      <c r="A752" s="151" t="str">
        <f t="array" ref="A752">IFERROR(INDEX(Sales!$E$7:$E$1506,MATCH(ROW()-4,Sales!$W$7:$W$1506,0)),"")</f>
        <v/>
      </c>
      <c r="B752" s="152" t="str">
        <f t="array" ref="B752">IF($A752="","",IFERROR(INDEX(Sales!$A:$A,MATCH($A752,Sales!$E:$E,0)),""))</f>
        <v/>
      </c>
      <c r="C752" s="153" t="str">
        <f t="array" ref="C752">IF($A752="","",IFERROR(INDEX(Sales!$D:$D,MATCH($A752,Sales!$E:$E,0)),""))</f>
        <v/>
      </c>
      <c r="D752" s="153" t="str">
        <f t="array" ref="D752">IF($A752="","",IFERROR(INDEX(Sales!$C:$C,MATCH($A752,Sales!$E:$E,0)),""))</f>
        <v/>
      </c>
      <c r="E752" s="154" t="str">
        <f>IF($A752="","",SUMIFS(Sales!$H:$H,Sales!$E:$E,$A752,Sales!$B:$B,"&lt;&gt;Return"))</f>
        <v/>
      </c>
      <c r="F752" s="155" t="str">
        <f>IF($A752="","",SUMIF(Sales!$E:$E,$A752,Sales!$L:$L))</f>
        <v/>
      </c>
      <c r="G752" s="155" t="str">
        <f>IF($A752="","",SUMIF(Sales!$E:$E,$A752,Sales!$P:$P))</f>
        <v/>
      </c>
      <c r="H752" s="156" t="str">
        <f t="array" ref="H752">IF($A752="","",IFERROR(INDEX(Orders!$O$5:$O$1004,MATCH($A752,Orders!$N$5:$N$1004,0)),""))</f>
        <v/>
      </c>
      <c r="I752" s="156" t="str">
        <f t="array" ref="I752">IF($A752="","",IFERROR(INDEX(Orders!$P$5:$P$1004,MATCH($A752,Orders!$N$5:$N$1004,0)),""))</f>
        <v/>
      </c>
      <c r="J752" s="157" t="str">
        <f t="shared" si="1"/>
        <v/>
      </c>
      <c r="K752" s="153" t="str">
        <f t="array" ref="K752">IF($A752="","",IFERROR(INDEX(Sales!$M:$M,MATCH($A752,Sales!$E:$E,0)),""))</f>
        <v/>
      </c>
      <c r="L752" s="158" t="str">
        <f t="shared" si="2"/>
        <v/>
      </c>
      <c r="N752" s="49" t="str">
        <f t="array" ref="N752">IFERROR(INDEX(Sales!$E$7:$E$1506,MATCH(ROW()-4,Sales!$V$7:$V$1506,0)),"")</f>
        <v/>
      </c>
      <c r="O752" s="67"/>
      <c r="P752" s="67"/>
    </row>
    <row r="753" ht="15.0" customHeight="1">
      <c r="A753" s="151" t="str">
        <f t="array" ref="A753">IFERROR(INDEX(Sales!$E$7:$E$1506,MATCH(ROW()-4,Sales!$W$7:$W$1506,0)),"")</f>
        <v/>
      </c>
      <c r="B753" s="152" t="str">
        <f t="array" ref="B753">IF($A753="","",IFERROR(INDEX(Sales!$A:$A,MATCH($A753,Sales!$E:$E,0)),""))</f>
        <v/>
      </c>
      <c r="C753" s="153" t="str">
        <f t="array" ref="C753">IF($A753="","",IFERROR(INDEX(Sales!$D:$D,MATCH($A753,Sales!$E:$E,0)),""))</f>
        <v/>
      </c>
      <c r="D753" s="153" t="str">
        <f t="array" ref="D753">IF($A753="","",IFERROR(INDEX(Sales!$C:$C,MATCH($A753,Sales!$E:$E,0)),""))</f>
        <v/>
      </c>
      <c r="E753" s="154" t="str">
        <f>IF($A753="","",SUMIFS(Sales!$H:$H,Sales!$E:$E,$A753,Sales!$B:$B,"&lt;&gt;Return"))</f>
        <v/>
      </c>
      <c r="F753" s="155" t="str">
        <f>IF($A753="","",SUMIF(Sales!$E:$E,$A753,Sales!$L:$L))</f>
        <v/>
      </c>
      <c r="G753" s="155" t="str">
        <f>IF($A753="","",SUMIF(Sales!$E:$E,$A753,Sales!$P:$P))</f>
        <v/>
      </c>
      <c r="H753" s="156" t="str">
        <f t="array" ref="H753">IF($A753="","",IFERROR(INDEX(Orders!$O$5:$O$1004,MATCH($A753,Orders!$N$5:$N$1004,0)),""))</f>
        <v/>
      </c>
      <c r="I753" s="156" t="str">
        <f t="array" ref="I753">IF($A753="","",IFERROR(INDEX(Orders!$P$5:$P$1004,MATCH($A753,Orders!$N$5:$N$1004,0)),""))</f>
        <v/>
      </c>
      <c r="J753" s="157" t="str">
        <f t="shared" si="1"/>
        <v/>
      </c>
      <c r="K753" s="153" t="str">
        <f t="array" ref="K753">IF($A753="","",IFERROR(INDEX(Sales!$M:$M,MATCH($A753,Sales!$E:$E,0)),""))</f>
        <v/>
      </c>
      <c r="L753" s="158" t="str">
        <f t="shared" si="2"/>
        <v/>
      </c>
      <c r="N753" s="49" t="str">
        <f t="array" ref="N753">IFERROR(INDEX(Sales!$E$7:$E$1506,MATCH(ROW()-4,Sales!$V$7:$V$1506,0)),"")</f>
        <v/>
      </c>
      <c r="O753" s="67"/>
      <c r="P753" s="67"/>
    </row>
    <row r="754" ht="15.0" customHeight="1">
      <c r="A754" s="151" t="str">
        <f t="array" ref="A754">IFERROR(INDEX(Sales!$E$7:$E$1506,MATCH(ROW()-4,Sales!$W$7:$W$1506,0)),"")</f>
        <v/>
      </c>
      <c r="B754" s="152" t="str">
        <f t="array" ref="B754">IF($A754="","",IFERROR(INDEX(Sales!$A:$A,MATCH($A754,Sales!$E:$E,0)),""))</f>
        <v/>
      </c>
      <c r="C754" s="153" t="str">
        <f t="array" ref="C754">IF($A754="","",IFERROR(INDEX(Sales!$D:$D,MATCH($A754,Sales!$E:$E,0)),""))</f>
        <v/>
      </c>
      <c r="D754" s="153" t="str">
        <f t="array" ref="D754">IF($A754="","",IFERROR(INDEX(Sales!$C:$C,MATCH($A754,Sales!$E:$E,0)),""))</f>
        <v/>
      </c>
      <c r="E754" s="154" t="str">
        <f>IF($A754="","",SUMIFS(Sales!$H:$H,Sales!$E:$E,$A754,Sales!$B:$B,"&lt;&gt;Return"))</f>
        <v/>
      </c>
      <c r="F754" s="155" t="str">
        <f>IF($A754="","",SUMIF(Sales!$E:$E,$A754,Sales!$L:$L))</f>
        <v/>
      </c>
      <c r="G754" s="155" t="str">
        <f>IF($A754="","",SUMIF(Sales!$E:$E,$A754,Sales!$P:$P))</f>
        <v/>
      </c>
      <c r="H754" s="156" t="str">
        <f t="array" ref="H754">IF($A754="","",IFERROR(INDEX(Orders!$O$5:$O$1004,MATCH($A754,Orders!$N$5:$N$1004,0)),""))</f>
        <v/>
      </c>
      <c r="I754" s="156" t="str">
        <f t="array" ref="I754">IF($A754="","",IFERROR(INDEX(Orders!$P$5:$P$1004,MATCH($A754,Orders!$N$5:$N$1004,0)),""))</f>
        <v/>
      </c>
      <c r="J754" s="157" t="str">
        <f t="shared" si="1"/>
        <v/>
      </c>
      <c r="K754" s="153" t="str">
        <f t="array" ref="K754">IF($A754="","",IFERROR(INDEX(Sales!$M:$M,MATCH($A754,Sales!$E:$E,0)),""))</f>
        <v/>
      </c>
      <c r="L754" s="158" t="str">
        <f t="shared" si="2"/>
        <v/>
      </c>
      <c r="N754" s="49" t="str">
        <f t="array" ref="N754">IFERROR(INDEX(Sales!$E$7:$E$1506,MATCH(ROW()-4,Sales!$V$7:$V$1506,0)),"")</f>
        <v/>
      </c>
      <c r="O754" s="67"/>
      <c r="P754" s="67"/>
    </row>
    <row r="755" ht="15.0" customHeight="1">
      <c r="A755" s="151" t="str">
        <f t="array" ref="A755">IFERROR(INDEX(Sales!$E$7:$E$1506,MATCH(ROW()-4,Sales!$W$7:$W$1506,0)),"")</f>
        <v/>
      </c>
      <c r="B755" s="152" t="str">
        <f t="array" ref="B755">IF($A755="","",IFERROR(INDEX(Sales!$A:$A,MATCH($A755,Sales!$E:$E,0)),""))</f>
        <v/>
      </c>
      <c r="C755" s="153" t="str">
        <f t="array" ref="C755">IF($A755="","",IFERROR(INDEX(Sales!$D:$D,MATCH($A755,Sales!$E:$E,0)),""))</f>
        <v/>
      </c>
      <c r="D755" s="153" t="str">
        <f t="array" ref="D755">IF($A755="","",IFERROR(INDEX(Sales!$C:$C,MATCH($A755,Sales!$E:$E,0)),""))</f>
        <v/>
      </c>
      <c r="E755" s="154" t="str">
        <f>IF($A755="","",SUMIFS(Sales!$H:$H,Sales!$E:$E,$A755,Sales!$B:$B,"&lt;&gt;Return"))</f>
        <v/>
      </c>
      <c r="F755" s="155" t="str">
        <f>IF($A755="","",SUMIF(Sales!$E:$E,$A755,Sales!$L:$L))</f>
        <v/>
      </c>
      <c r="G755" s="155" t="str">
        <f>IF($A755="","",SUMIF(Sales!$E:$E,$A755,Sales!$P:$P))</f>
        <v/>
      </c>
      <c r="H755" s="156" t="str">
        <f t="array" ref="H755">IF($A755="","",IFERROR(INDEX(Orders!$O$5:$O$1004,MATCH($A755,Orders!$N$5:$N$1004,0)),""))</f>
        <v/>
      </c>
      <c r="I755" s="156" t="str">
        <f t="array" ref="I755">IF($A755="","",IFERROR(INDEX(Orders!$P$5:$P$1004,MATCH($A755,Orders!$N$5:$N$1004,0)),""))</f>
        <v/>
      </c>
      <c r="J755" s="157" t="str">
        <f t="shared" si="1"/>
        <v/>
      </c>
      <c r="K755" s="153" t="str">
        <f t="array" ref="K755">IF($A755="","",IFERROR(INDEX(Sales!$M:$M,MATCH($A755,Sales!$E:$E,0)),""))</f>
        <v/>
      </c>
      <c r="L755" s="158" t="str">
        <f t="shared" si="2"/>
        <v/>
      </c>
      <c r="N755" s="49" t="str">
        <f t="array" ref="N755">IFERROR(INDEX(Sales!$E$7:$E$1506,MATCH(ROW()-4,Sales!$V$7:$V$1506,0)),"")</f>
        <v/>
      </c>
      <c r="O755" s="67"/>
      <c r="P755" s="67"/>
    </row>
    <row r="756" ht="15.0" customHeight="1">
      <c r="A756" s="151" t="str">
        <f t="array" ref="A756">IFERROR(INDEX(Sales!$E$7:$E$1506,MATCH(ROW()-4,Sales!$W$7:$W$1506,0)),"")</f>
        <v/>
      </c>
      <c r="B756" s="152" t="str">
        <f t="array" ref="B756">IF($A756="","",IFERROR(INDEX(Sales!$A:$A,MATCH($A756,Sales!$E:$E,0)),""))</f>
        <v/>
      </c>
      <c r="C756" s="153" t="str">
        <f t="array" ref="C756">IF($A756="","",IFERROR(INDEX(Sales!$D:$D,MATCH($A756,Sales!$E:$E,0)),""))</f>
        <v/>
      </c>
      <c r="D756" s="153" t="str">
        <f t="array" ref="D756">IF($A756="","",IFERROR(INDEX(Sales!$C:$C,MATCH($A756,Sales!$E:$E,0)),""))</f>
        <v/>
      </c>
      <c r="E756" s="154" t="str">
        <f>IF($A756="","",SUMIFS(Sales!$H:$H,Sales!$E:$E,$A756,Sales!$B:$B,"&lt;&gt;Return"))</f>
        <v/>
      </c>
      <c r="F756" s="155" t="str">
        <f>IF($A756="","",SUMIF(Sales!$E:$E,$A756,Sales!$L:$L))</f>
        <v/>
      </c>
      <c r="G756" s="155" t="str">
        <f>IF($A756="","",SUMIF(Sales!$E:$E,$A756,Sales!$P:$P))</f>
        <v/>
      </c>
      <c r="H756" s="156" t="str">
        <f t="array" ref="H756">IF($A756="","",IFERROR(INDEX(Orders!$O$5:$O$1004,MATCH($A756,Orders!$N$5:$N$1004,0)),""))</f>
        <v/>
      </c>
      <c r="I756" s="156" t="str">
        <f t="array" ref="I756">IF($A756="","",IFERROR(INDEX(Orders!$P$5:$P$1004,MATCH($A756,Orders!$N$5:$N$1004,0)),""))</f>
        <v/>
      </c>
      <c r="J756" s="157" t="str">
        <f t="shared" si="1"/>
        <v/>
      </c>
      <c r="K756" s="153" t="str">
        <f t="array" ref="K756">IF($A756="","",IFERROR(INDEX(Sales!$M:$M,MATCH($A756,Sales!$E:$E,0)),""))</f>
        <v/>
      </c>
      <c r="L756" s="158" t="str">
        <f t="shared" si="2"/>
        <v/>
      </c>
      <c r="N756" s="49" t="str">
        <f t="array" ref="N756">IFERROR(INDEX(Sales!$E$7:$E$1506,MATCH(ROW()-4,Sales!$V$7:$V$1506,0)),"")</f>
        <v/>
      </c>
      <c r="O756" s="67"/>
      <c r="P756" s="67"/>
    </row>
    <row r="757" ht="15.0" customHeight="1">
      <c r="A757" s="151" t="str">
        <f t="array" ref="A757">IFERROR(INDEX(Sales!$E$7:$E$1506,MATCH(ROW()-4,Sales!$W$7:$W$1506,0)),"")</f>
        <v/>
      </c>
      <c r="B757" s="152" t="str">
        <f t="array" ref="B757">IF($A757="","",IFERROR(INDEX(Sales!$A:$A,MATCH($A757,Sales!$E:$E,0)),""))</f>
        <v/>
      </c>
      <c r="C757" s="153" t="str">
        <f t="array" ref="C757">IF($A757="","",IFERROR(INDEX(Sales!$D:$D,MATCH($A757,Sales!$E:$E,0)),""))</f>
        <v/>
      </c>
      <c r="D757" s="153" t="str">
        <f t="array" ref="D757">IF($A757="","",IFERROR(INDEX(Sales!$C:$C,MATCH($A757,Sales!$E:$E,0)),""))</f>
        <v/>
      </c>
      <c r="E757" s="154" t="str">
        <f>IF($A757="","",SUMIFS(Sales!$H:$H,Sales!$E:$E,$A757,Sales!$B:$B,"&lt;&gt;Return"))</f>
        <v/>
      </c>
      <c r="F757" s="155" t="str">
        <f>IF($A757="","",SUMIF(Sales!$E:$E,$A757,Sales!$L:$L))</f>
        <v/>
      </c>
      <c r="G757" s="155" t="str">
        <f>IF($A757="","",SUMIF(Sales!$E:$E,$A757,Sales!$P:$P))</f>
        <v/>
      </c>
      <c r="H757" s="156" t="str">
        <f t="array" ref="H757">IF($A757="","",IFERROR(INDEX(Orders!$O$5:$O$1004,MATCH($A757,Orders!$N$5:$N$1004,0)),""))</f>
        <v/>
      </c>
      <c r="I757" s="156" t="str">
        <f t="array" ref="I757">IF($A757="","",IFERROR(INDEX(Orders!$P$5:$P$1004,MATCH($A757,Orders!$N$5:$N$1004,0)),""))</f>
        <v/>
      </c>
      <c r="J757" s="157" t="str">
        <f t="shared" si="1"/>
        <v/>
      </c>
      <c r="K757" s="153" t="str">
        <f t="array" ref="K757">IF($A757="","",IFERROR(INDEX(Sales!$M:$M,MATCH($A757,Sales!$E:$E,0)),""))</f>
        <v/>
      </c>
      <c r="L757" s="158" t="str">
        <f t="shared" si="2"/>
        <v/>
      </c>
      <c r="N757" s="49" t="str">
        <f t="array" ref="N757">IFERROR(INDEX(Sales!$E$7:$E$1506,MATCH(ROW()-4,Sales!$V$7:$V$1506,0)),"")</f>
        <v/>
      </c>
      <c r="O757" s="67"/>
      <c r="P757" s="67"/>
    </row>
    <row r="758" ht="15.0" customHeight="1">
      <c r="A758" s="151" t="str">
        <f t="array" ref="A758">IFERROR(INDEX(Sales!$E$7:$E$1506,MATCH(ROW()-4,Sales!$W$7:$W$1506,0)),"")</f>
        <v/>
      </c>
      <c r="B758" s="152" t="str">
        <f t="array" ref="B758">IF($A758="","",IFERROR(INDEX(Sales!$A:$A,MATCH($A758,Sales!$E:$E,0)),""))</f>
        <v/>
      </c>
      <c r="C758" s="153" t="str">
        <f t="array" ref="C758">IF($A758="","",IFERROR(INDEX(Sales!$D:$D,MATCH($A758,Sales!$E:$E,0)),""))</f>
        <v/>
      </c>
      <c r="D758" s="153" t="str">
        <f t="array" ref="D758">IF($A758="","",IFERROR(INDEX(Sales!$C:$C,MATCH($A758,Sales!$E:$E,0)),""))</f>
        <v/>
      </c>
      <c r="E758" s="154" t="str">
        <f>IF($A758="","",SUMIFS(Sales!$H:$H,Sales!$E:$E,$A758,Sales!$B:$B,"&lt;&gt;Return"))</f>
        <v/>
      </c>
      <c r="F758" s="155" t="str">
        <f>IF($A758="","",SUMIF(Sales!$E:$E,$A758,Sales!$L:$L))</f>
        <v/>
      </c>
      <c r="G758" s="155" t="str">
        <f>IF($A758="","",SUMIF(Sales!$E:$E,$A758,Sales!$P:$P))</f>
        <v/>
      </c>
      <c r="H758" s="156" t="str">
        <f t="array" ref="H758">IF($A758="","",IFERROR(INDEX(Orders!$O$5:$O$1004,MATCH($A758,Orders!$N$5:$N$1004,0)),""))</f>
        <v/>
      </c>
      <c r="I758" s="156" t="str">
        <f t="array" ref="I758">IF($A758="","",IFERROR(INDEX(Orders!$P$5:$P$1004,MATCH($A758,Orders!$N$5:$N$1004,0)),""))</f>
        <v/>
      </c>
      <c r="J758" s="157" t="str">
        <f t="shared" si="1"/>
        <v/>
      </c>
      <c r="K758" s="153" t="str">
        <f t="array" ref="K758">IF($A758="","",IFERROR(INDEX(Sales!$M:$M,MATCH($A758,Sales!$E:$E,0)),""))</f>
        <v/>
      </c>
      <c r="L758" s="158" t="str">
        <f t="shared" si="2"/>
        <v/>
      </c>
      <c r="N758" s="49" t="str">
        <f t="array" ref="N758">IFERROR(INDEX(Sales!$E$7:$E$1506,MATCH(ROW()-4,Sales!$V$7:$V$1506,0)),"")</f>
        <v/>
      </c>
      <c r="O758" s="67"/>
      <c r="P758" s="67"/>
    </row>
    <row r="759" ht="15.0" customHeight="1">
      <c r="A759" s="151" t="str">
        <f t="array" ref="A759">IFERROR(INDEX(Sales!$E$7:$E$1506,MATCH(ROW()-4,Sales!$W$7:$W$1506,0)),"")</f>
        <v/>
      </c>
      <c r="B759" s="152" t="str">
        <f t="array" ref="B759">IF($A759="","",IFERROR(INDEX(Sales!$A:$A,MATCH($A759,Sales!$E:$E,0)),""))</f>
        <v/>
      </c>
      <c r="C759" s="153" t="str">
        <f t="array" ref="C759">IF($A759="","",IFERROR(INDEX(Sales!$D:$D,MATCH($A759,Sales!$E:$E,0)),""))</f>
        <v/>
      </c>
      <c r="D759" s="153" t="str">
        <f t="array" ref="D759">IF($A759="","",IFERROR(INDEX(Sales!$C:$C,MATCH($A759,Sales!$E:$E,0)),""))</f>
        <v/>
      </c>
      <c r="E759" s="154" t="str">
        <f>IF($A759="","",SUMIFS(Sales!$H:$H,Sales!$E:$E,$A759,Sales!$B:$B,"&lt;&gt;Return"))</f>
        <v/>
      </c>
      <c r="F759" s="155" t="str">
        <f>IF($A759="","",SUMIF(Sales!$E:$E,$A759,Sales!$L:$L))</f>
        <v/>
      </c>
      <c r="G759" s="155" t="str">
        <f>IF($A759="","",SUMIF(Sales!$E:$E,$A759,Sales!$P:$P))</f>
        <v/>
      </c>
      <c r="H759" s="156" t="str">
        <f t="array" ref="H759">IF($A759="","",IFERROR(INDEX(Orders!$O$5:$O$1004,MATCH($A759,Orders!$N$5:$N$1004,0)),""))</f>
        <v/>
      </c>
      <c r="I759" s="156" t="str">
        <f t="array" ref="I759">IF($A759="","",IFERROR(INDEX(Orders!$P$5:$P$1004,MATCH($A759,Orders!$N$5:$N$1004,0)),""))</f>
        <v/>
      </c>
      <c r="J759" s="157" t="str">
        <f t="shared" si="1"/>
        <v/>
      </c>
      <c r="K759" s="153" t="str">
        <f t="array" ref="K759">IF($A759="","",IFERROR(INDEX(Sales!$M:$M,MATCH($A759,Sales!$E:$E,0)),""))</f>
        <v/>
      </c>
      <c r="L759" s="158" t="str">
        <f t="shared" si="2"/>
        <v/>
      </c>
      <c r="N759" s="49" t="str">
        <f t="array" ref="N759">IFERROR(INDEX(Sales!$E$7:$E$1506,MATCH(ROW()-4,Sales!$V$7:$V$1506,0)),"")</f>
        <v/>
      </c>
      <c r="O759" s="67"/>
      <c r="P759" s="67"/>
    </row>
    <row r="760" ht="15.0" customHeight="1">
      <c r="A760" s="151" t="str">
        <f t="array" ref="A760">IFERROR(INDEX(Sales!$E$7:$E$1506,MATCH(ROW()-4,Sales!$W$7:$W$1506,0)),"")</f>
        <v/>
      </c>
      <c r="B760" s="152" t="str">
        <f t="array" ref="B760">IF($A760="","",IFERROR(INDEX(Sales!$A:$A,MATCH($A760,Sales!$E:$E,0)),""))</f>
        <v/>
      </c>
      <c r="C760" s="153" t="str">
        <f t="array" ref="C760">IF($A760="","",IFERROR(INDEX(Sales!$D:$D,MATCH($A760,Sales!$E:$E,0)),""))</f>
        <v/>
      </c>
      <c r="D760" s="153" t="str">
        <f t="array" ref="D760">IF($A760="","",IFERROR(INDEX(Sales!$C:$C,MATCH($A760,Sales!$E:$E,0)),""))</f>
        <v/>
      </c>
      <c r="E760" s="154" t="str">
        <f>IF($A760="","",SUMIFS(Sales!$H:$H,Sales!$E:$E,$A760,Sales!$B:$B,"&lt;&gt;Return"))</f>
        <v/>
      </c>
      <c r="F760" s="155" t="str">
        <f>IF($A760="","",SUMIF(Sales!$E:$E,$A760,Sales!$L:$L))</f>
        <v/>
      </c>
      <c r="G760" s="155" t="str">
        <f>IF($A760="","",SUMIF(Sales!$E:$E,$A760,Sales!$P:$P))</f>
        <v/>
      </c>
      <c r="H760" s="156" t="str">
        <f t="array" ref="H760">IF($A760="","",IFERROR(INDEX(Orders!$O$5:$O$1004,MATCH($A760,Orders!$N$5:$N$1004,0)),""))</f>
        <v/>
      </c>
      <c r="I760" s="156" t="str">
        <f t="array" ref="I760">IF($A760="","",IFERROR(INDEX(Orders!$P$5:$P$1004,MATCH($A760,Orders!$N$5:$N$1004,0)),""))</f>
        <v/>
      </c>
      <c r="J760" s="157" t="str">
        <f t="shared" si="1"/>
        <v/>
      </c>
      <c r="K760" s="153" t="str">
        <f t="array" ref="K760">IF($A760="","",IFERROR(INDEX(Sales!$M:$M,MATCH($A760,Sales!$E:$E,0)),""))</f>
        <v/>
      </c>
      <c r="L760" s="158" t="str">
        <f t="shared" si="2"/>
        <v/>
      </c>
      <c r="N760" s="49" t="str">
        <f t="array" ref="N760">IFERROR(INDEX(Sales!$E$7:$E$1506,MATCH(ROW()-4,Sales!$V$7:$V$1506,0)),"")</f>
        <v/>
      </c>
      <c r="O760" s="67"/>
      <c r="P760" s="67"/>
    </row>
    <row r="761" ht="15.0" customHeight="1">
      <c r="A761" s="151" t="str">
        <f t="array" ref="A761">IFERROR(INDEX(Sales!$E$7:$E$1506,MATCH(ROW()-4,Sales!$W$7:$W$1506,0)),"")</f>
        <v/>
      </c>
      <c r="B761" s="152" t="str">
        <f t="array" ref="B761">IF($A761="","",IFERROR(INDEX(Sales!$A:$A,MATCH($A761,Sales!$E:$E,0)),""))</f>
        <v/>
      </c>
      <c r="C761" s="153" t="str">
        <f t="array" ref="C761">IF($A761="","",IFERROR(INDEX(Sales!$D:$D,MATCH($A761,Sales!$E:$E,0)),""))</f>
        <v/>
      </c>
      <c r="D761" s="153" t="str">
        <f t="array" ref="D761">IF($A761="","",IFERROR(INDEX(Sales!$C:$C,MATCH($A761,Sales!$E:$E,0)),""))</f>
        <v/>
      </c>
      <c r="E761" s="154" t="str">
        <f>IF($A761="","",SUMIFS(Sales!$H:$H,Sales!$E:$E,$A761,Sales!$B:$B,"&lt;&gt;Return"))</f>
        <v/>
      </c>
      <c r="F761" s="155" t="str">
        <f>IF($A761="","",SUMIF(Sales!$E:$E,$A761,Sales!$L:$L))</f>
        <v/>
      </c>
      <c r="G761" s="155" t="str">
        <f>IF($A761="","",SUMIF(Sales!$E:$E,$A761,Sales!$P:$P))</f>
        <v/>
      </c>
      <c r="H761" s="156" t="str">
        <f t="array" ref="H761">IF($A761="","",IFERROR(INDEX(Orders!$O$5:$O$1004,MATCH($A761,Orders!$N$5:$N$1004,0)),""))</f>
        <v/>
      </c>
      <c r="I761" s="156" t="str">
        <f t="array" ref="I761">IF($A761="","",IFERROR(INDEX(Orders!$P$5:$P$1004,MATCH($A761,Orders!$N$5:$N$1004,0)),""))</f>
        <v/>
      </c>
      <c r="J761" s="157" t="str">
        <f t="shared" si="1"/>
        <v/>
      </c>
      <c r="K761" s="153" t="str">
        <f t="array" ref="K761">IF($A761="","",IFERROR(INDEX(Sales!$M:$M,MATCH($A761,Sales!$E:$E,0)),""))</f>
        <v/>
      </c>
      <c r="L761" s="158" t="str">
        <f t="shared" si="2"/>
        <v/>
      </c>
      <c r="N761" s="49" t="str">
        <f t="array" ref="N761">IFERROR(INDEX(Sales!$E$7:$E$1506,MATCH(ROW()-4,Sales!$V$7:$V$1506,0)),"")</f>
        <v/>
      </c>
      <c r="O761" s="67"/>
      <c r="P761" s="67"/>
    </row>
    <row r="762" ht="15.0" customHeight="1">
      <c r="A762" s="151" t="str">
        <f t="array" ref="A762">IFERROR(INDEX(Sales!$E$7:$E$1506,MATCH(ROW()-4,Sales!$W$7:$W$1506,0)),"")</f>
        <v/>
      </c>
      <c r="B762" s="152" t="str">
        <f t="array" ref="B762">IF($A762="","",IFERROR(INDEX(Sales!$A:$A,MATCH($A762,Sales!$E:$E,0)),""))</f>
        <v/>
      </c>
      <c r="C762" s="153" t="str">
        <f t="array" ref="C762">IF($A762="","",IFERROR(INDEX(Sales!$D:$D,MATCH($A762,Sales!$E:$E,0)),""))</f>
        <v/>
      </c>
      <c r="D762" s="153" t="str">
        <f t="array" ref="D762">IF($A762="","",IFERROR(INDEX(Sales!$C:$C,MATCH($A762,Sales!$E:$E,0)),""))</f>
        <v/>
      </c>
      <c r="E762" s="154" t="str">
        <f>IF($A762="","",SUMIFS(Sales!$H:$H,Sales!$E:$E,$A762,Sales!$B:$B,"&lt;&gt;Return"))</f>
        <v/>
      </c>
      <c r="F762" s="155" t="str">
        <f>IF($A762="","",SUMIF(Sales!$E:$E,$A762,Sales!$L:$L))</f>
        <v/>
      </c>
      <c r="G762" s="155" t="str">
        <f>IF($A762="","",SUMIF(Sales!$E:$E,$A762,Sales!$P:$P))</f>
        <v/>
      </c>
      <c r="H762" s="156" t="str">
        <f t="array" ref="H762">IF($A762="","",IFERROR(INDEX(Orders!$O$5:$O$1004,MATCH($A762,Orders!$N$5:$N$1004,0)),""))</f>
        <v/>
      </c>
      <c r="I762" s="156" t="str">
        <f t="array" ref="I762">IF($A762="","",IFERROR(INDEX(Orders!$P$5:$P$1004,MATCH($A762,Orders!$N$5:$N$1004,0)),""))</f>
        <v/>
      </c>
      <c r="J762" s="157" t="str">
        <f t="shared" si="1"/>
        <v/>
      </c>
      <c r="K762" s="153" t="str">
        <f t="array" ref="K762">IF($A762="","",IFERROR(INDEX(Sales!$M:$M,MATCH($A762,Sales!$E:$E,0)),""))</f>
        <v/>
      </c>
      <c r="L762" s="158" t="str">
        <f t="shared" si="2"/>
        <v/>
      </c>
      <c r="N762" s="49" t="str">
        <f t="array" ref="N762">IFERROR(INDEX(Sales!$E$7:$E$1506,MATCH(ROW()-4,Sales!$V$7:$V$1506,0)),"")</f>
        <v/>
      </c>
      <c r="O762" s="67"/>
      <c r="P762" s="67"/>
    </row>
    <row r="763" ht="15.0" customHeight="1">
      <c r="A763" s="151" t="str">
        <f t="array" ref="A763">IFERROR(INDEX(Sales!$E$7:$E$1506,MATCH(ROW()-4,Sales!$W$7:$W$1506,0)),"")</f>
        <v/>
      </c>
      <c r="B763" s="152" t="str">
        <f t="array" ref="B763">IF($A763="","",IFERROR(INDEX(Sales!$A:$A,MATCH($A763,Sales!$E:$E,0)),""))</f>
        <v/>
      </c>
      <c r="C763" s="153" t="str">
        <f t="array" ref="C763">IF($A763="","",IFERROR(INDEX(Sales!$D:$D,MATCH($A763,Sales!$E:$E,0)),""))</f>
        <v/>
      </c>
      <c r="D763" s="153" t="str">
        <f t="array" ref="D763">IF($A763="","",IFERROR(INDEX(Sales!$C:$C,MATCH($A763,Sales!$E:$E,0)),""))</f>
        <v/>
      </c>
      <c r="E763" s="154" t="str">
        <f>IF($A763="","",SUMIFS(Sales!$H:$H,Sales!$E:$E,$A763,Sales!$B:$B,"&lt;&gt;Return"))</f>
        <v/>
      </c>
      <c r="F763" s="155" t="str">
        <f>IF($A763="","",SUMIF(Sales!$E:$E,$A763,Sales!$L:$L))</f>
        <v/>
      </c>
      <c r="G763" s="155" t="str">
        <f>IF($A763="","",SUMIF(Sales!$E:$E,$A763,Sales!$P:$P))</f>
        <v/>
      </c>
      <c r="H763" s="156" t="str">
        <f t="array" ref="H763">IF($A763="","",IFERROR(INDEX(Orders!$O$5:$O$1004,MATCH($A763,Orders!$N$5:$N$1004,0)),""))</f>
        <v/>
      </c>
      <c r="I763" s="156" t="str">
        <f t="array" ref="I763">IF($A763="","",IFERROR(INDEX(Orders!$P$5:$P$1004,MATCH($A763,Orders!$N$5:$N$1004,0)),""))</f>
        <v/>
      </c>
      <c r="J763" s="157" t="str">
        <f t="shared" si="1"/>
        <v/>
      </c>
      <c r="K763" s="153" t="str">
        <f t="array" ref="K763">IF($A763="","",IFERROR(INDEX(Sales!$M:$M,MATCH($A763,Sales!$E:$E,0)),""))</f>
        <v/>
      </c>
      <c r="L763" s="158" t="str">
        <f t="shared" si="2"/>
        <v/>
      </c>
      <c r="N763" s="49" t="str">
        <f t="array" ref="N763">IFERROR(INDEX(Sales!$E$7:$E$1506,MATCH(ROW()-4,Sales!$V$7:$V$1506,0)),"")</f>
        <v/>
      </c>
      <c r="O763" s="67"/>
      <c r="P763" s="67"/>
    </row>
    <row r="764" ht="15.0" customHeight="1">
      <c r="A764" s="151" t="str">
        <f t="array" ref="A764">IFERROR(INDEX(Sales!$E$7:$E$1506,MATCH(ROW()-4,Sales!$W$7:$W$1506,0)),"")</f>
        <v/>
      </c>
      <c r="B764" s="152" t="str">
        <f t="array" ref="B764">IF($A764="","",IFERROR(INDEX(Sales!$A:$A,MATCH($A764,Sales!$E:$E,0)),""))</f>
        <v/>
      </c>
      <c r="C764" s="153" t="str">
        <f t="array" ref="C764">IF($A764="","",IFERROR(INDEX(Sales!$D:$D,MATCH($A764,Sales!$E:$E,0)),""))</f>
        <v/>
      </c>
      <c r="D764" s="153" t="str">
        <f t="array" ref="D764">IF($A764="","",IFERROR(INDEX(Sales!$C:$C,MATCH($A764,Sales!$E:$E,0)),""))</f>
        <v/>
      </c>
      <c r="E764" s="154" t="str">
        <f>IF($A764="","",SUMIFS(Sales!$H:$H,Sales!$E:$E,$A764,Sales!$B:$B,"&lt;&gt;Return"))</f>
        <v/>
      </c>
      <c r="F764" s="155" t="str">
        <f>IF($A764="","",SUMIF(Sales!$E:$E,$A764,Sales!$L:$L))</f>
        <v/>
      </c>
      <c r="G764" s="155" t="str">
        <f>IF($A764="","",SUMIF(Sales!$E:$E,$A764,Sales!$P:$P))</f>
        <v/>
      </c>
      <c r="H764" s="156" t="str">
        <f t="array" ref="H764">IF($A764="","",IFERROR(INDEX(Orders!$O$5:$O$1004,MATCH($A764,Orders!$N$5:$N$1004,0)),""))</f>
        <v/>
      </c>
      <c r="I764" s="156" t="str">
        <f t="array" ref="I764">IF($A764="","",IFERROR(INDEX(Orders!$P$5:$P$1004,MATCH($A764,Orders!$N$5:$N$1004,0)),""))</f>
        <v/>
      </c>
      <c r="J764" s="157" t="str">
        <f t="shared" si="1"/>
        <v/>
      </c>
      <c r="K764" s="153" t="str">
        <f t="array" ref="K764">IF($A764="","",IFERROR(INDEX(Sales!$M:$M,MATCH($A764,Sales!$E:$E,0)),""))</f>
        <v/>
      </c>
      <c r="L764" s="158" t="str">
        <f t="shared" si="2"/>
        <v/>
      </c>
      <c r="N764" s="49" t="str">
        <f t="array" ref="N764">IFERROR(INDEX(Sales!$E$7:$E$1506,MATCH(ROW()-4,Sales!$V$7:$V$1506,0)),"")</f>
        <v/>
      </c>
      <c r="O764" s="67"/>
      <c r="P764" s="67"/>
    </row>
    <row r="765" ht="15.0" customHeight="1">
      <c r="A765" s="151" t="str">
        <f t="array" ref="A765">IFERROR(INDEX(Sales!$E$7:$E$1506,MATCH(ROW()-4,Sales!$W$7:$W$1506,0)),"")</f>
        <v/>
      </c>
      <c r="B765" s="152" t="str">
        <f t="array" ref="B765">IF($A765="","",IFERROR(INDEX(Sales!$A:$A,MATCH($A765,Sales!$E:$E,0)),""))</f>
        <v/>
      </c>
      <c r="C765" s="153" t="str">
        <f t="array" ref="C765">IF($A765="","",IFERROR(INDEX(Sales!$D:$D,MATCH($A765,Sales!$E:$E,0)),""))</f>
        <v/>
      </c>
      <c r="D765" s="153" t="str">
        <f t="array" ref="D765">IF($A765="","",IFERROR(INDEX(Sales!$C:$C,MATCH($A765,Sales!$E:$E,0)),""))</f>
        <v/>
      </c>
      <c r="E765" s="154" t="str">
        <f>IF($A765="","",SUMIFS(Sales!$H:$H,Sales!$E:$E,$A765,Sales!$B:$B,"&lt;&gt;Return"))</f>
        <v/>
      </c>
      <c r="F765" s="155" t="str">
        <f>IF($A765="","",SUMIF(Sales!$E:$E,$A765,Sales!$L:$L))</f>
        <v/>
      </c>
      <c r="G765" s="155" t="str">
        <f>IF($A765="","",SUMIF(Sales!$E:$E,$A765,Sales!$P:$P))</f>
        <v/>
      </c>
      <c r="H765" s="156" t="str">
        <f t="array" ref="H765">IF($A765="","",IFERROR(INDEX(Orders!$O$5:$O$1004,MATCH($A765,Orders!$N$5:$N$1004,0)),""))</f>
        <v/>
      </c>
      <c r="I765" s="156" t="str">
        <f t="array" ref="I765">IF($A765="","",IFERROR(INDEX(Orders!$P$5:$P$1004,MATCH($A765,Orders!$N$5:$N$1004,0)),""))</f>
        <v/>
      </c>
      <c r="J765" s="157" t="str">
        <f t="shared" si="1"/>
        <v/>
      </c>
      <c r="K765" s="153" t="str">
        <f t="array" ref="K765">IF($A765="","",IFERROR(INDEX(Sales!$M:$M,MATCH($A765,Sales!$E:$E,0)),""))</f>
        <v/>
      </c>
      <c r="L765" s="158" t="str">
        <f t="shared" si="2"/>
        <v/>
      </c>
      <c r="N765" s="49" t="str">
        <f t="array" ref="N765">IFERROR(INDEX(Sales!$E$7:$E$1506,MATCH(ROW()-4,Sales!$V$7:$V$1506,0)),"")</f>
        <v/>
      </c>
      <c r="O765" s="67"/>
      <c r="P765" s="67"/>
    </row>
    <row r="766" ht="15.0" customHeight="1">
      <c r="A766" s="151" t="str">
        <f t="array" ref="A766">IFERROR(INDEX(Sales!$E$7:$E$1506,MATCH(ROW()-4,Sales!$W$7:$W$1506,0)),"")</f>
        <v/>
      </c>
      <c r="B766" s="152" t="str">
        <f t="array" ref="B766">IF($A766="","",IFERROR(INDEX(Sales!$A:$A,MATCH($A766,Sales!$E:$E,0)),""))</f>
        <v/>
      </c>
      <c r="C766" s="153" t="str">
        <f t="array" ref="C766">IF($A766="","",IFERROR(INDEX(Sales!$D:$D,MATCH($A766,Sales!$E:$E,0)),""))</f>
        <v/>
      </c>
      <c r="D766" s="153" t="str">
        <f t="array" ref="D766">IF($A766="","",IFERROR(INDEX(Sales!$C:$C,MATCH($A766,Sales!$E:$E,0)),""))</f>
        <v/>
      </c>
      <c r="E766" s="154" t="str">
        <f>IF($A766="","",SUMIFS(Sales!$H:$H,Sales!$E:$E,$A766,Sales!$B:$B,"&lt;&gt;Return"))</f>
        <v/>
      </c>
      <c r="F766" s="155" t="str">
        <f>IF($A766="","",SUMIF(Sales!$E:$E,$A766,Sales!$L:$L))</f>
        <v/>
      </c>
      <c r="G766" s="155" t="str">
        <f>IF($A766="","",SUMIF(Sales!$E:$E,$A766,Sales!$P:$P))</f>
        <v/>
      </c>
      <c r="H766" s="156" t="str">
        <f t="array" ref="H766">IF($A766="","",IFERROR(INDEX(Orders!$O$5:$O$1004,MATCH($A766,Orders!$N$5:$N$1004,0)),""))</f>
        <v/>
      </c>
      <c r="I766" s="156" t="str">
        <f t="array" ref="I766">IF($A766="","",IFERROR(INDEX(Orders!$P$5:$P$1004,MATCH($A766,Orders!$N$5:$N$1004,0)),""))</f>
        <v/>
      </c>
      <c r="J766" s="157" t="str">
        <f t="shared" si="1"/>
        <v/>
      </c>
      <c r="K766" s="153" t="str">
        <f t="array" ref="K766">IF($A766="","",IFERROR(INDEX(Sales!$M:$M,MATCH($A766,Sales!$E:$E,0)),""))</f>
        <v/>
      </c>
      <c r="L766" s="158" t="str">
        <f t="shared" si="2"/>
        <v/>
      </c>
      <c r="N766" s="49" t="str">
        <f t="array" ref="N766">IFERROR(INDEX(Sales!$E$7:$E$1506,MATCH(ROW()-4,Sales!$V$7:$V$1506,0)),"")</f>
        <v/>
      </c>
      <c r="O766" s="67"/>
      <c r="P766" s="67"/>
    </row>
    <row r="767" ht="15.0" customHeight="1">
      <c r="A767" s="151" t="str">
        <f t="array" ref="A767">IFERROR(INDEX(Sales!$E$7:$E$1506,MATCH(ROW()-4,Sales!$W$7:$W$1506,0)),"")</f>
        <v/>
      </c>
      <c r="B767" s="152" t="str">
        <f t="array" ref="B767">IF($A767="","",IFERROR(INDEX(Sales!$A:$A,MATCH($A767,Sales!$E:$E,0)),""))</f>
        <v/>
      </c>
      <c r="C767" s="153" t="str">
        <f t="array" ref="C767">IF($A767="","",IFERROR(INDEX(Sales!$D:$D,MATCH($A767,Sales!$E:$E,0)),""))</f>
        <v/>
      </c>
      <c r="D767" s="153" t="str">
        <f t="array" ref="D767">IF($A767="","",IFERROR(INDEX(Sales!$C:$C,MATCH($A767,Sales!$E:$E,0)),""))</f>
        <v/>
      </c>
      <c r="E767" s="154" t="str">
        <f>IF($A767="","",SUMIFS(Sales!$H:$H,Sales!$E:$E,$A767,Sales!$B:$B,"&lt;&gt;Return"))</f>
        <v/>
      </c>
      <c r="F767" s="155" t="str">
        <f>IF($A767="","",SUMIF(Sales!$E:$E,$A767,Sales!$L:$L))</f>
        <v/>
      </c>
      <c r="G767" s="155" t="str">
        <f>IF($A767="","",SUMIF(Sales!$E:$E,$A767,Sales!$P:$P))</f>
        <v/>
      </c>
      <c r="H767" s="156" t="str">
        <f t="array" ref="H767">IF($A767="","",IFERROR(INDEX(Orders!$O$5:$O$1004,MATCH($A767,Orders!$N$5:$N$1004,0)),""))</f>
        <v/>
      </c>
      <c r="I767" s="156" t="str">
        <f t="array" ref="I767">IF($A767="","",IFERROR(INDEX(Orders!$P$5:$P$1004,MATCH($A767,Orders!$N$5:$N$1004,0)),""))</f>
        <v/>
      </c>
      <c r="J767" s="157" t="str">
        <f t="shared" si="1"/>
        <v/>
      </c>
      <c r="K767" s="153" t="str">
        <f t="array" ref="K767">IF($A767="","",IFERROR(INDEX(Sales!$M:$M,MATCH($A767,Sales!$E:$E,0)),""))</f>
        <v/>
      </c>
      <c r="L767" s="158" t="str">
        <f t="shared" si="2"/>
        <v/>
      </c>
      <c r="N767" s="49" t="str">
        <f t="array" ref="N767">IFERROR(INDEX(Sales!$E$7:$E$1506,MATCH(ROW()-4,Sales!$V$7:$V$1506,0)),"")</f>
        <v/>
      </c>
      <c r="O767" s="67"/>
      <c r="P767" s="67"/>
    </row>
    <row r="768" ht="15.0" customHeight="1">
      <c r="A768" s="151" t="str">
        <f t="array" ref="A768">IFERROR(INDEX(Sales!$E$7:$E$1506,MATCH(ROW()-4,Sales!$W$7:$W$1506,0)),"")</f>
        <v/>
      </c>
      <c r="B768" s="152" t="str">
        <f t="array" ref="B768">IF($A768="","",IFERROR(INDEX(Sales!$A:$A,MATCH($A768,Sales!$E:$E,0)),""))</f>
        <v/>
      </c>
      <c r="C768" s="153" t="str">
        <f t="array" ref="C768">IF($A768="","",IFERROR(INDEX(Sales!$D:$D,MATCH($A768,Sales!$E:$E,0)),""))</f>
        <v/>
      </c>
      <c r="D768" s="153" t="str">
        <f t="array" ref="D768">IF($A768="","",IFERROR(INDEX(Sales!$C:$C,MATCH($A768,Sales!$E:$E,0)),""))</f>
        <v/>
      </c>
      <c r="E768" s="154" t="str">
        <f>IF($A768="","",SUMIFS(Sales!$H:$H,Sales!$E:$E,$A768,Sales!$B:$B,"&lt;&gt;Return"))</f>
        <v/>
      </c>
      <c r="F768" s="155" t="str">
        <f>IF($A768="","",SUMIF(Sales!$E:$E,$A768,Sales!$L:$L))</f>
        <v/>
      </c>
      <c r="G768" s="155" t="str">
        <f>IF($A768="","",SUMIF(Sales!$E:$E,$A768,Sales!$P:$P))</f>
        <v/>
      </c>
      <c r="H768" s="156" t="str">
        <f t="array" ref="H768">IF($A768="","",IFERROR(INDEX(Orders!$O$5:$O$1004,MATCH($A768,Orders!$N$5:$N$1004,0)),""))</f>
        <v/>
      </c>
      <c r="I768" s="156" t="str">
        <f t="array" ref="I768">IF($A768="","",IFERROR(INDEX(Orders!$P$5:$P$1004,MATCH($A768,Orders!$N$5:$N$1004,0)),""))</f>
        <v/>
      </c>
      <c r="J768" s="157" t="str">
        <f t="shared" si="1"/>
        <v/>
      </c>
      <c r="K768" s="153" t="str">
        <f t="array" ref="K768">IF($A768="","",IFERROR(INDEX(Sales!$M:$M,MATCH($A768,Sales!$E:$E,0)),""))</f>
        <v/>
      </c>
      <c r="L768" s="158" t="str">
        <f t="shared" si="2"/>
        <v/>
      </c>
      <c r="N768" s="49" t="str">
        <f t="array" ref="N768">IFERROR(INDEX(Sales!$E$7:$E$1506,MATCH(ROW()-4,Sales!$V$7:$V$1506,0)),"")</f>
        <v/>
      </c>
      <c r="O768" s="67"/>
      <c r="P768" s="67"/>
    </row>
    <row r="769" ht="15.0" customHeight="1">
      <c r="A769" s="151" t="str">
        <f t="array" ref="A769">IFERROR(INDEX(Sales!$E$7:$E$1506,MATCH(ROW()-4,Sales!$W$7:$W$1506,0)),"")</f>
        <v/>
      </c>
      <c r="B769" s="152" t="str">
        <f t="array" ref="B769">IF($A769="","",IFERROR(INDEX(Sales!$A:$A,MATCH($A769,Sales!$E:$E,0)),""))</f>
        <v/>
      </c>
      <c r="C769" s="153" t="str">
        <f t="array" ref="C769">IF($A769="","",IFERROR(INDEX(Sales!$D:$D,MATCH($A769,Sales!$E:$E,0)),""))</f>
        <v/>
      </c>
      <c r="D769" s="153" t="str">
        <f t="array" ref="D769">IF($A769="","",IFERROR(INDEX(Sales!$C:$C,MATCH($A769,Sales!$E:$E,0)),""))</f>
        <v/>
      </c>
      <c r="E769" s="154" t="str">
        <f>IF($A769="","",SUMIFS(Sales!$H:$H,Sales!$E:$E,$A769,Sales!$B:$B,"&lt;&gt;Return"))</f>
        <v/>
      </c>
      <c r="F769" s="155" t="str">
        <f>IF($A769="","",SUMIF(Sales!$E:$E,$A769,Sales!$L:$L))</f>
        <v/>
      </c>
      <c r="G769" s="155" t="str">
        <f>IF($A769="","",SUMIF(Sales!$E:$E,$A769,Sales!$P:$P))</f>
        <v/>
      </c>
      <c r="H769" s="156" t="str">
        <f t="array" ref="H769">IF($A769="","",IFERROR(INDEX(Orders!$O$5:$O$1004,MATCH($A769,Orders!$N$5:$N$1004,0)),""))</f>
        <v/>
      </c>
      <c r="I769" s="156" t="str">
        <f t="array" ref="I769">IF($A769="","",IFERROR(INDEX(Orders!$P$5:$P$1004,MATCH($A769,Orders!$N$5:$N$1004,0)),""))</f>
        <v/>
      </c>
      <c r="J769" s="157" t="str">
        <f t="shared" si="1"/>
        <v/>
      </c>
      <c r="K769" s="153" t="str">
        <f t="array" ref="K769">IF($A769="","",IFERROR(INDEX(Sales!$M:$M,MATCH($A769,Sales!$E:$E,0)),""))</f>
        <v/>
      </c>
      <c r="L769" s="158" t="str">
        <f t="shared" si="2"/>
        <v/>
      </c>
      <c r="N769" s="49" t="str">
        <f t="array" ref="N769">IFERROR(INDEX(Sales!$E$7:$E$1506,MATCH(ROW()-4,Sales!$V$7:$V$1506,0)),"")</f>
        <v/>
      </c>
      <c r="O769" s="67"/>
      <c r="P769" s="67"/>
    </row>
    <row r="770" ht="15.0" customHeight="1">
      <c r="A770" s="151" t="str">
        <f t="array" ref="A770">IFERROR(INDEX(Sales!$E$7:$E$1506,MATCH(ROW()-4,Sales!$W$7:$W$1506,0)),"")</f>
        <v/>
      </c>
      <c r="B770" s="152" t="str">
        <f t="array" ref="B770">IF($A770="","",IFERROR(INDEX(Sales!$A:$A,MATCH($A770,Sales!$E:$E,0)),""))</f>
        <v/>
      </c>
      <c r="C770" s="153" t="str">
        <f t="array" ref="C770">IF($A770="","",IFERROR(INDEX(Sales!$D:$D,MATCH($A770,Sales!$E:$E,0)),""))</f>
        <v/>
      </c>
      <c r="D770" s="153" t="str">
        <f t="array" ref="D770">IF($A770="","",IFERROR(INDEX(Sales!$C:$C,MATCH($A770,Sales!$E:$E,0)),""))</f>
        <v/>
      </c>
      <c r="E770" s="154" t="str">
        <f>IF($A770="","",SUMIFS(Sales!$H:$H,Sales!$E:$E,$A770,Sales!$B:$B,"&lt;&gt;Return"))</f>
        <v/>
      </c>
      <c r="F770" s="155" t="str">
        <f>IF($A770="","",SUMIF(Sales!$E:$E,$A770,Sales!$L:$L))</f>
        <v/>
      </c>
      <c r="G770" s="155" t="str">
        <f>IF($A770="","",SUMIF(Sales!$E:$E,$A770,Sales!$P:$P))</f>
        <v/>
      </c>
      <c r="H770" s="156" t="str">
        <f t="array" ref="H770">IF($A770="","",IFERROR(INDEX(Orders!$O$5:$O$1004,MATCH($A770,Orders!$N$5:$N$1004,0)),""))</f>
        <v/>
      </c>
      <c r="I770" s="156" t="str">
        <f t="array" ref="I770">IF($A770="","",IFERROR(INDEX(Orders!$P$5:$P$1004,MATCH($A770,Orders!$N$5:$N$1004,0)),""))</f>
        <v/>
      </c>
      <c r="J770" s="157" t="str">
        <f t="shared" si="1"/>
        <v/>
      </c>
      <c r="K770" s="153" t="str">
        <f t="array" ref="K770">IF($A770="","",IFERROR(INDEX(Sales!$M:$M,MATCH($A770,Sales!$E:$E,0)),""))</f>
        <v/>
      </c>
      <c r="L770" s="158" t="str">
        <f t="shared" si="2"/>
        <v/>
      </c>
      <c r="N770" s="49" t="str">
        <f t="array" ref="N770">IFERROR(INDEX(Sales!$E$7:$E$1506,MATCH(ROW()-4,Sales!$V$7:$V$1506,0)),"")</f>
        <v/>
      </c>
      <c r="O770" s="67"/>
      <c r="P770" s="67"/>
    </row>
    <row r="771" ht="15.0" customHeight="1">
      <c r="A771" s="151" t="str">
        <f t="array" ref="A771">IFERROR(INDEX(Sales!$E$7:$E$1506,MATCH(ROW()-4,Sales!$W$7:$W$1506,0)),"")</f>
        <v/>
      </c>
      <c r="B771" s="152" t="str">
        <f t="array" ref="B771">IF($A771="","",IFERROR(INDEX(Sales!$A:$A,MATCH($A771,Sales!$E:$E,0)),""))</f>
        <v/>
      </c>
      <c r="C771" s="153" t="str">
        <f t="array" ref="C771">IF($A771="","",IFERROR(INDEX(Sales!$D:$D,MATCH($A771,Sales!$E:$E,0)),""))</f>
        <v/>
      </c>
      <c r="D771" s="153" t="str">
        <f t="array" ref="D771">IF($A771="","",IFERROR(INDEX(Sales!$C:$C,MATCH($A771,Sales!$E:$E,0)),""))</f>
        <v/>
      </c>
      <c r="E771" s="154" t="str">
        <f>IF($A771="","",SUMIFS(Sales!$H:$H,Sales!$E:$E,$A771,Sales!$B:$B,"&lt;&gt;Return"))</f>
        <v/>
      </c>
      <c r="F771" s="155" t="str">
        <f>IF($A771="","",SUMIF(Sales!$E:$E,$A771,Sales!$L:$L))</f>
        <v/>
      </c>
      <c r="G771" s="155" t="str">
        <f>IF($A771="","",SUMIF(Sales!$E:$E,$A771,Sales!$P:$P))</f>
        <v/>
      </c>
      <c r="H771" s="156" t="str">
        <f t="array" ref="H771">IF($A771="","",IFERROR(INDEX(Orders!$O$5:$O$1004,MATCH($A771,Orders!$N$5:$N$1004,0)),""))</f>
        <v/>
      </c>
      <c r="I771" s="156" t="str">
        <f t="array" ref="I771">IF($A771="","",IFERROR(INDEX(Orders!$P$5:$P$1004,MATCH($A771,Orders!$N$5:$N$1004,0)),""))</f>
        <v/>
      </c>
      <c r="J771" s="157" t="str">
        <f t="shared" si="1"/>
        <v/>
      </c>
      <c r="K771" s="153" t="str">
        <f t="array" ref="K771">IF($A771="","",IFERROR(INDEX(Sales!$M:$M,MATCH($A771,Sales!$E:$E,0)),""))</f>
        <v/>
      </c>
      <c r="L771" s="158" t="str">
        <f t="shared" si="2"/>
        <v/>
      </c>
      <c r="N771" s="49" t="str">
        <f t="array" ref="N771">IFERROR(INDEX(Sales!$E$7:$E$1506,MATCH(ROW()-4,Sales!$V$7:$V$1506,0)),"")</f>
        <v/>
      </c>
      <c r="O771" s="67"/>
      <c r="P771" s="67"/>
    </row>
    <row r="772" ht="15.0" customHeight="1">
      <c r="A772" s="151" t="str">
        <f t="array" ref="A772">IFERROR(INDEX(Sales!$E$7:$E$1506,MATCH(ROW()-4,Sales!$W$7:$W$1506,0)),"")</f>
        <v/>
      </c>
      <c r="B772" s="152" t="str">
        <f t="array" ref="B772">IF($A772="","",IFERROR(INDEX(Sales!$A:$A,MATCH($A772,Sales!$E:$E,0)),""))</f>
        <v/>
      </c>
      <c r="C772" s="153" t="str">
        <f t="array" ref="C772">IF($A772="","",IFERROR(INDEX(Sales!$D:$D,MATCH($A772,Sales!$E:$E,0)),""))</f>
        <v/>
      </c>
      <c r="D772" s="153" t="str">
        <f t="array" ref="D772">IF($A772="","",IFERROR(INDEX(Sales!$C:$C,MATCH($A772,Sales!$E:$E,0)),""))</f>
        <v/>
      </c>
      <c r="E772" s="154" t="str">
        <f>IF($A772="","",SUMIFS(Sales!$H:$H,Sales!$E:$E,$A772,Sales!$B:$B,"&lt;&gt;Return"))</f>
        <v/>
      </c>
      <c r="F772" s="155" t="str">
        <f>IF($A772="","",SUMIF(Sales!$E:$E,$A772,Sales!$L:$L))</f>
        <v/>
      </c>
      <c r="G772" s="155" t="str">
        <f>IF($A772="","",SUMIF(Sales!$E:$E,$A772,Sales!$P:$P))</f>
        <v/>
      </c>
      <c r="H772" s="156" t="str">
        <f t="array" ref="H772">IF($A772="","",IFERROR(INDEX(Orders!$O$5:$O$1004,MATCH($A772,Orders!$N$5:$N$1004,0)),""))</f>
        <v/>
      </c>
      <c r="I772" s="156" t="str">
        <f t="array" ref="I772">IF($A772="","",IFERROR(INDEX(Orders!$P$5:$P$1004,MATCH($A772,Orders!$N$5:$N$1004,0)),""))</f>
        <v/>
      </c>
      <c r="J772" s="157" t="str">
        <f t="shared" si="1"/>
        <v/>
      </c>
      <c r="K772" s="153" t="str">
        <f t="array" ref="K772">IF($A772="","",IFERROR(INDEX(Sales!$M:$M,MATCH($A772,Sales!$E:$E,0)),""))</f>
        <v/>
      </c>
      <c r="L772" s="158" t="str">
        <f t="shared" si="2"/>
        <v/>
      </c>
      <c r="N772" s="49" t="str">
        <f t="array" ref="N772">IFERROR(INDEX(Sales!$E$7:$E$1506,MATCH(ROW()-4,Sales!$V$7:$V$1506,0)),"")</f>
        <v/>
      </c>
      <c r="O772" s="67"/>
      <c r="P772" s="67"/>
    </row>
    <row r="773" ht="15.0" customHeight="1">
      <c r="A773" s="151" t="str">
        <f t="array" ref="A773">IFERROR(INDEX(Sales!$E$7:$E$1506,MATCH(ROW()-4,Sales!$W$7:$W$1506,0)),"")</f>
        <v/>
      </c>
      <c r="B773" s="152" t="str">
        <f t="array" ref="B773">IF($A773="","",IFERROR(INDEX(Sales!$A:$A,MATCH($A773,Sales!$E:$E,0)),""))</f>
        <v/>
      </c>
      <c r="C773" s="153" t="str">
        <f t="array" ref="C773">IF($A773="","",IFERROR(INDEX(Sales!$D:$D,MATCH($A773,Sales!$E:$E,0)),""))</f>
        <v/>
      </c>
      <c r="D773" s="153" t="str">
        <f t="array" ref="D773">IF($A773="","",IFERROR(INDEX(Sales!$C:$C,MATCH($A773,Sales!$E:$E,0)),""))</f>
        <v/>
      </c>
      <c r="E773" s="154" t="str">
        <f>IF($A773="","",SUMIFS(Sales!$H:$H,Sales!$E:$E,$A773,Sales!$B:$B,"&lt;&gt;Return"))</f>
        <v/>
      </c>
      <c r="F773" s="155" t="str">
        <f>IF($A773="","",SUMIF(Sales!$E:$E,$A773,Sales!$L:$L))</f>
        <v/>
      </c>
      <c r="G773" s="155" t="str">
        <f>IF($A773="","",SUMIF(Sales!$E:$E,$A773,Sales!$P:$P))</f>
        <v/>
      </c>
      <c r="H773" s="156" t="str">
        <f t="array" ref="H773">IF($A773="","",IFERROR(INDEX(Orders!$O$5:$O$1004,MATCH($A773,Orders!$N$5:$N$1004,0)),""))</f>
        <v/>
      </c>
      <c r="I773" s="156" t="str">
        <f t="array" ref="I773">IF($A773="","",IFERROR(INDEX(Orders!$P$5:$P$1004,MATCH($A773,Orders!$N$5:$N$1004,0)),""))</f>
        <v/>
      </c>
      <c r="J773" s="157" t="str">
        <f t="shared" si="1"/>
        <v/>
      </c>
      <c r="K773" s="153" t="str">
        <f t="array" ref="K773">IF($A773="","",IFERROR(INDEX(Sales!$M:$M,MATCH($A773,Sales!$E:$E,0)),""))</f>
        <v/>
      </c>
      <c r="L773" s="158" t="str">
        <f t="shared" si="2"/>
        <v/>
      </c>
      <c r="N773" s="49" t="str">
        <f t="array" ref="N773">IFERROR(INDEX(Sales!$E$7:$E$1506,MATCH(ROW()-4,Sales!$V$7:$V$1506,0)),"")</f>
        <v/>
      </c>
      <c r="O773" s="67"/>
      <c r="P773" s="67"/>
    </row>
    <row r="774" ht="15.0" customHeight="1">
      <c r="A774" s="151" t="str">
        <f t="array" ref="A774">IFERROR(INDEX(Sales!$E$7:$E$1506,MATCH(ROW()-4,Sales!$W$7:$W$1506,0)),"")</f>
        <v/>
      </c>
      <c r="B774" s="152" t="str">
        <f t="array" ref="B774">IF($A774="","",IFERROR(INDEX(Sales!$A:$A,MATCH($A774,Sales!$E:$E,0)),""))</f>
        <v/>
      </c>
      <c r="C774" s="153" t="str">
        <f t="array" ref="C774">IF($A774="","",IFERROR(INDEX(Sales!$D:$D,MATCH($A774,Sales!$E:$E,0)),""))</f>
        <v/>
      </c>
      <c r="D774" s="153" t="str">
        <f t="array" ref="D774">IF($A774="","",IFERROR(INDEX(Sales!$C:$C,MATCH($A774,Sales!$E:$E,0)),""))</f>
        <v/>
      </c>
      <c r="E774" s="154" t="str">
        <f>IF($A774="","",SUMIFS(Sales!$H:$H,Sales!$E:$E,$A774,Sales!$B:$B,"&lt;&gt;Return"))</f>
        <v/>
      </c>
      <c r="F774" s="155" t="str">
        <f>IF($A774="","",SUMIF(Sales!$E:$E,$A774,Sales!$L:$L))</f>
        <v/>
      </c>
      <c r="G774" s="155" t="str">
        <f>IF($A774="","",SUMIF(Sales!$E:$E,$A774,Sales!$P:$P))</f>
        <v/>
      </c>
      <c r="H774" s="156" t="str">
        <f t="array" ref="H774">IF($A774="","",IFERROR(INDEX(Orders!$O$5:$O$1004,MATCH($A774,Orders!$N$5:$N$1004,0)),""))</f>
        <v/>
      </c>
      <c r="I774" s="156" t="str">
        <f t="array" ref="I774">IF($A774="","",IFERROR(INDEX(Orders!$P$5:$P$1004,MATCH($A774,Orders!$N$5:$N$1004,0)),""))</f>
        <v/>
      </c>
      <c r="J774" s="157" t="str">
        <f t="shared" si="1"/>
        <v/>
      </c>
      <c r="K774" s="153" t="str">
        <f t="array" ref="K774">IF($A774="","",IFERROR(INDEX(Sales!$M:$M,MATCH($A774,Sales!$E:$E,0)),""))</f>
        <v/>
      </c>
      <c r="L774" s="158" t="str">
        <f t="shared" si="2"/>
        <v/>
      </c>
      <c r="N774" s="49" t="str">
        <f t="array" ref="N774">IFERROR(INDEX(Sales!$E$7:$E$1506,MATCH(ROW()-4,Sales!$V$7:$V$1506,0)),"")</f>
        <v/>
      </c>
      <c r="O774" s="67"/>
      <c r="P774" s="67"/>
    </row>
    <row r="775" ht="15.0" customHeight="1">
      <c r="A775" s="151" t="str">
        <f t="array" ref="A775">IFERROR(INDEX(Sales!$E$7:$E$1506,MATCH(ROW()-4,Sales!$W$7:$W$1506,0)),"")</f>
        <v/>
      </c>
      <c r="B775" s="152" t="str">
        <f t="array" ref="B775">IF($A775="","",IFERROR(INDEX(Sales!$A:$A,MATCH($A775,Sales!$E:$E,0)),""))</f>
        <v/>
      </c>
      <c r="C775" s="153" t="str">
        <f t="array" ref="C775">IF($A775="","",IFERROR(INDEX(Sales!$D:$D,MATCH($A775,Sales!$E:$E,0)),""))</f>
        <v/>
      </c>
      <c r="D775" s="153" t="str">
        <f t="array" ref="D775">IF($A775="","",IFERROR(INDEX(Sales!$C:$C,MATCH($A775,Sales!$E:$E,0)),""))</f>
        <v/>
      </c>
      <c r="E775" s="154" t="str">
        <f>IF($A775="","",SUMIFS(Sales!$H:$H,Sales!$E:$E,$A775,Sales!$B:$B,"&lt;&gt;Return"))</f>
        <v/>
      </c>
      <c r="F775" s="155" t="str">
        <f>IF($A775="","",SUMIF(Sales!$E:$E,$A775,Sales!$L:$L))</f>
        <v/>
      </c>
      <c r="G775" s="155" t="str">
        <f>IF($A775="","",SUMIF(Sales!$E:$E,$A775,Sales!$P:$P))</f>
        <v/>
      </c>
      <c r="H775" s="156" t="str">
        <f t="array" ref="H775">IF($A775="","",IFERROR(INDEX(Orders!$O$5:$O$1004,MATCH($A775,Orders!$N$5:$N$1004,0)),""))</f>
        <v/>
      </c>
      <c r="I775" s="156" t="str">
        <f t="array" ref="I775">IF($A775="","",IFERROR(INDEX(Orders!$P$5:$P$1004,MATCH($A775,Orders!$N$5:$N$1004,0)),""))</f>
        <v/>
      </c>
      <c r="J775" s="157" t="str">
        <f t="shared" si="1"/>
        <v/>
      </c>
      <c r="K775" s="153" t="str">
        <f t="array" ref="K775">IF($A775="","",IFERROR(INDEX(Sales!$M:$M,MATCH($A775,Sales!$E:$E,0)),""))</f>
        <v/>
      </c>
      <c r="L775" s="158" t="str">
        <f t="shared" si="2"/>
        <v/>
      </c>
      <c r="N775" s="49" t="str">
        <f t="array" ref="N775">IFERROR(INDEX(Sales!$E$7:$E$1506,MATCH(ROW()-4,Sales!$V$7:$V$1506,0)),"")</f>
        <v/>
      </c>
      <c r="O775" s="67"/>
      <c r="P775" s="67"/>
    </row>
    <row r="776" ht="15.0" customHeight="1">
      <c r="A776" s="151" t="str">
        <f t="array" ref="A776">IFERROR(INDEX(Sales!$E$7:$E$1506,MATCH(ROW()-4,Sales!$W$7:$W$1506,0)),"")</f>
        <v/>
      </c>
      <c r="B776" s="152" t="str">
        <f t="array" ref="B776">IF($A776="","",IFERROR(INDEX(Sales!$A:$A,MATCH($A776,Sales!$E:$E,0)),""))</f>
        <v/>
      </c>
      <c r="C776" s="153" t="str">
        <f t="array" ref="C776">IF($A776="","",IFERROR(INDEX(Sales!$D:$D,MATCH($A776,Sales!$E:$E,0)),""))</f>
        <v/>
      </c>
      <c r="D776" s="153" t="str">
        <f t="array" ref="D776">IF($A776="","",IFERROR(INDEX(Sales!$C:$C,MATCH($A776,Sales!$E:$E,0)),""))</f>
        <v/>
      </c>
      <c r="E776" s="154" t="str">
        <f>IF($A776="","",SUMIFS(Sales!$H:$H,Sales!$E:$E,$A776,Sales!$B:$B,"&lt;&gt;Return"))</f>
        <v/>
      </c>
      <c r="F776" s="155" t="str">
        <f>IF($A776="","",SUMIF(Sales!$E:$E,$A776,Sales!$L:$L))</f>
        <v/>
      </c>
      <c r="G776" s="155" t="str">
        <f>IF($A776="","",SUMIF(Sales!$E:$E,$A776,Sales!$P:$P))</f>
        <v/>
      </c>
      <c r="H776" s="156" t="str">
        <f t="array" ref="H776">IF($A776="","",IFERROR(INDEX(Orders!$O$5:$O$1004,MATCH($A776,Orders!$N$5:$N$1004,0)),""))</f>
        <v/>
      </c>
      <c r="I776" s="156" t="str">
        <f t="array" ref="I776">IF($A776="","",IFERROR(INDEX(Orders!$P$5:$P$1004,MATCH($A776,Orders!$N$5:$N$1004,0)),""))</f>
        <v/>
      </c>
      <c r="J776" s="157" t="str">
        <f t="shared" si="1"/>
        <v/>
      </c>
      <c r="K776" s="153" t="str">
        <f t="array" ref="K776">IF($A776="","",IFERROR(INDEX(Sales!$M:$M,MATCH($A776,Sales!$E:$E,0)),""))</f>
        <v/>
      </c>
      <c r="L776" s="158" t="str">
        <f t="shared" si="2"/>
        <v/>
      </c>
      <c r="N776" s="49" t="str">
        <f t="array" ref="N776">IFERROR(INDEX(Sales!$E$7:$E$1506,MATCH(ROW()-4,Sales!$V$7:$V$1506,0)),"")</f>
        <v/>
      </c>
      <c r="O776" s="67"/>
      <c r="P776" s="67"/>
    </row>
    <row r="777" ht="15.0" customHeight="1">
      <c r="A777" s="151" t="str">
        <f t="array" ref="A777">IFERROR(INDEX(Sales!$E$7:$E$1506,MATCH(ROW()-4,Sales!$W$7:$W$1506,0)),"")</f>
        <v/>
      </c>
      <c r="B777" s="152" t="str">
        <f t="array" ref="B777">IF($A777="","",IFERROR(INDEX(Sales!$A:$A,MATCH($A777,Sales!$E:$E,0)),""))</f>
        <v/>
      </c>
      <c r="C777" s="153" t="str">
        <f t="array" ref="C777">IF($A777="","",IFERROR(INDEX(Sales!$D:$D,MATCH($A777,Sales!$E:$E,0)),""))</f>
        <v/>
      </c>
      <c r="D777" s="153" t="str">
        <f t="array" ref="D777">IF($A777="","",IFERROR(INDEX(Sales!$C:$C,MATCH($A777,Sales!$E:$E,0)),""))</f>
        <v/>
      </c>
      <c r="E777" s="154" t="str">
        <f>IF($A777="","",SUMIFS(Sales!$H:$H,Sales!$E:$E,$A777,Sales!$B:$B,"&lt;&gt;Return"))</f>
        <v/>
      </c>
      <c r="F777" s="155" t="str">
        <f>IF($A777="","",SUMIF(Sales!$E:$E,$A777,Sales!$L:$L))</f>
        <v/>
      </c>
      <c r="G777" s="155" t="str">
        <f>IF($A777="","",SUMIF(Sales!$E:$E,$A777,Sales!$P:$P))</f>
        <v/>
      </c>
      <c r="H777" s="156" t="str">
        <f t="array" ref="H777">IF($A777="","",IFERROR(INDEX(Orders!$O$5:$O$1004,MATCH($A777,Orders!$N$5:$N$1004,0)),""))</f>
        <v/>
      </c>
      <c r="I777" s="156" t="str">
        <f t="array" ref="I777">IF($A777="","",IFERROR(INDEX(Orders!$P$5:$P$1004,MATCH($A777,Orders!$N$5:$N$1004,0)),""))</f>
        <v/>
      </c>
      <c r="J777" s="157" t="str">
        <f t="shared" si="1"/>
        <v/>
      </c>
      <c r="K777" s="153" t="str">
        <f t="array" ref="K777">IF($A777="","",IFERROR(INDEX(Sales!$M:$M,MATCH($A777,Sales!$E:$E,0)),""))</f>
        <v/>
      </c>
      <c r="L777" s="158" t="str">
        <f t="shared" si="2"/>
        <v/>
      </c>
      <c r="N777" s="49" t="str">
        <f t="array" ref="N777">IFERROR(INDEX(Sales!$E$7:$E$1506,MATCH(ROW()-4,Sales!$V$7:$V$1506,0)),"")</f>
        <v/>
      </c>
      <c r="O777" s="67"/>
      <c r="P777" s="67"/>
    </row>
    <row r="778" ht="15.0" customHeight="1">
      <c r="A778" s="151" t="str">
        <f t="array" ref="A778">IFERROR(INDEX(Sales!$E$7:$E$1506,MATCH(ROW()-4,Sales!$W$7:$W$1506,0)),"")</f>
        <v/>
      </c>
      <c r="B778" s="152" t="str">
        <f t="array" ref="B778">IF($A778="","",IFERROR(INDEX(Sales!$A:$A,MATCH($A778,Sales!$E:$E,0)),""))</f>
        <v/>
      </c>
      <c r="C778" s="153" t="str">
        <f t="array" ref="C778">IF($A778="","",IFERROR(INDEX(Sales!$D:$D,MATCH($A778,Sales!$E:$E,0)),""))</f>
        <v/>
      </c>
      <c r="D778" s="153" t="str">
        <f t="array" ref="D778">IF($A778="","",IFERROR(INDEX(Sales!$C:$C,MATCH($A778,Sales!$E:$E,0)),""))</f>
        <v/>
      </c>
      <c r="E778" s="154" t="str">
        <f>IF($A778="","",SUMIFS(Sales!$H:$H,Sales!$E:$E,$A778,Sales!$B:$B,"&lt;&gt;Return"))</f>
        <v/>
      </c>
      <c r="F778" s="155" t="str">
        <f>IF($A778="","",SUMIF(Sales!$E:$E,$A778,Sales!$L:$L))</f>
        <v/>
      </c>
      <c r="G778" s="155" t="str">
        <f>IF($A778="","",SUMIF(Sales!$E:$E,$A778,Sales!$P:$P))</f>
        <v/>
      </c>
      <c r="H778" s="156" t="str">
        <f t="array" ref="H778">IF($A778="","",IFERROR(INDEX(Orders!$O$5:$O$1004,MATCH($A778,Orders!$N$5:$N$1004,0)),""))</f>
        <v/>
      </c>
      <c r="I778" s="156" t="str">
        <f t="array" ref="I778">IF($A778="","",IFERROR(INDEX(Orders!$P$5:$P$1004,MATCH($A778,Orders!$N$5:$N$1004,0)),""))</f>
        <v/>
      </c>
      <c r="J778" s="157" t="str">
        <f t="shared" si="1"/>
        <v/>
      </c>
      <c r="K778" s="153" t="str">
        <f t="array" ref="K778">IF($A778="","",IFERROR(INDEX(Sales!$M:$M,MATCH($A778,Sales!$E:$E,0)),""))</f>
        <v/>
      </c>
      <c r="L778" s="158" t="str">
        <f t="shared" si="2"/>
        <v/>
      </c>
      <c r="N778" s="49" t="str">
        <f t="array" ref="N778">IFERROR(INDEX(Sales!$E$7:$E$1506,MATCH(ROW()-4,Sales!$V$7:$V$1506,0)),"")</f>
        <v/>
      </c>
      <c r="O778" s="67"/>
      <c r="P778" s="67"/>
    </row>
    <row r="779" ht="15.0" customHeight="1">
      <c r="A779" s="151" t="str">
        <f t="array" ref="A779">IFERROR(INDEX(Sales!$E$7:$E$1506,MATCH(ROW()-4,Sales!$W$7:$W$1506,0)),"")</f>
        <v/>
      </c>
      <c r="B779" s="152" t="str">
        <f t="array" ref="B779">IF($A779="","",IFERROR(INDEX(Sales!$A:$A,MATCH($A779,Sales!$E:$E,0)),""))</f>
        <v/>
      </c>
      <c r="C779" s="153" t="str">
        <f t="array" ref="C779">IF($A779="","",IFERROR(INDEX(Sales!$D:$D,MATCH($A779,Sales!$E:$E,0)),""))</f>
        <v/>
      </c>
      <c r="D779" s="153" t="str">
        <f t="array" ref="D779">IF($A779="","",IFERROR(INDEX(Sales!$C:$C,MATCH($A779,Sales!$E:$E,0)),""))</f>
        <v/>
      </c>
      <c r="E779" s="154" t="str">
        <f>IF($A779="","",SUMIFS(Sales!$H:$H,Sales!$E:$E,$A779,Sales!$B:$B,"&lt;&gt;Return"))</f>
        <v/>
      </c>
      <c r="F779" s="155" t="str">
        <f>IF($A779="","",SUMIF(Sales!$E:$E,$A779,Sales!$L:$L))</f>
        <v/>
      </c>
      <c r="G779" s="155" t="str">
        <f>IF($A779="","",SUMIF(Sales!$E:$E,$A779,Sales!$P:$P))</f>
        <v/>
      </c>
      <c r="H779" s="156" t="str">
        <f t="array" ref="H779">IF($A779="","",IFERROR(INDEX(Orders!$O$5:$O$1004,MATCH($A779,Orders!$N$5:$N$1004,0)),""))</f>
        <v/>
      </c>
      <c r="I779" s="156" t="str">
        <f t="array" ref="I779">IF($A779="","",IFERROR(INDEX(Orders!$P$5:$P$1004,MATCH($A779,Orders!$N$5:$N$1004,0)),""))</f>
        <v/>
      </c>
      <c r="J779" s="157" t="str">
        <f t="shared" si="1"/>
        <v/>
      </c>
      <c r="K779" s="153" t="str">
        <f t="array" ref="K779">IF($A779="","",IFERROR(INDEX(Sales!$M:$M,MATCH($A779,Sales!$E:$E,0)),""))</f>
        <v/>
      </c>
      <c r="L779" s="158" t="str">
        <f t="shared" si="2"/>
        <v/>
      </c>
      <c r="N779" s="49" t="str">
        <f t="array" ref="N779">IFERROR(INDEX(Sales!$E$7:$E$1506,MATCH(ROW()-4,Sales!$V$7:$V$1506,0)),"")</f>
        <v/>
      </c>
      <c r="O779" s="67"/>
      <c r="P779" s="67"/>
    </row>
    <row r="780" ht="15.0" customHeight="1">
      <c r="A780" s="151" t="str">
        <f t="array" ref="A780">IFERROR(INDEX(Sales!$E$7:$E$1506,MATCH(ROW()-4,Sales!$W$7:$W$1506,0)),"")</f>
        <v/>
      </c>
      <c r="B780" s="152" t="str">
        <f t="array" ref="B780">IF($A780="","",IFERROR(INDEX(Sales!$A:$A,MATCH($A780,Sales!$E:$E,0)),""))</f>
        <v/>
      </c>
      <c r="C780" s="153" t="str">
        <f t="array" ref="C780">IF($A780="","",IFERROR(INDEX(Sales!$D:$D,MATCH($A780,Sales!$E:$E,0)),""))</f>
        <v/>
      </c>
      <c r="D780" s="153" t="str">
        <f t="array" ref="D780">IF($A780="","",IFERROR(INDEX(Sales!$C:$C,MATCH($A780,Sales!$E:$E,0)),""))</f>
        <v/>
      </c>
      <c r="E780" s="154" t="str">
        <f>IF($A780="","",SUMIFS(Sales!$H:$H,Sales!$E:$E,$A780,Sales!$B:$B,"&lt;&gt;Return"))</f>
        <v/>
      </c>
      <c r="F780" s="155" t="str">
        <f>IF($A780="","",SUMIF(Sales!$E:$E,$A780,Sales!$L:$L))</f>
        <v/>
      </c>
      <c r="G780" s="155" t="str">
        <f>IF($A780="","",SUMIF(Sales!$E:$E,$A780,Sales!$P:$P))</f>
        <v/>
      </c>
      <c r="H780" s="156" t="str">
        <f t="array" ref="H780">IF($A780="","",IFERROR(INDEX(Orders!$O$5:$O$1004,MATCH($A780,Orders!$N$5:$N$1004,0)),""))</f>
        <v/>
      </c>
      <c r="I780" s="156" t="str">
        <f t="array" ref="I780">IF($A780="","",IFERROR(INDEX(Orders!$P$5:$P$1004,MATCH($A780,Orders!$N$5:$N$1004,0)),""))</f>
        <v/>
      </c>
      <c r="J780" s="157" t="str">
        <f t="shared" si="1"/>
        <v/>
      </c>
      <c r="K780" s="153" t="str">
        <f t="array" ref="K780">IF($A780="","",IFERROR(INDEX(Sales!$M:$M,MATCH($A780,Sales!$E:$E,0)),""))</f>
        <v/>
      </c>
      <c r="L780" s="158" t="str">
        <f t="shared" si="2"/>
        <v/>
      </c>
      <c r="N780" s="49" t="str">
        <f t="array" ref="N780">IFERROR(INDEX(Sales!$E$7:$E$1506,MATCH(ROW()-4,Sales!$V$7:$V$1506,0)),"")</f>
        <v/>
      </c>
      <c r="O780" s="67"/>
      <c r="P780" s="67"/>
    </row>
    <row r="781" ht="15.0" customHeight="1">
      <c r="A781" s="151" t="str">
        <f t="array" ref="A781">IFERROR(INDEX(Sales!$E$7:$E$1506,MATCH(ROW()-4,Sales!$W$7:$W$1506,0)),"")</f>
        <v/>
      </c>
      <c r="B781" s="152" t="str">
        <f t="array" ref="B781">IF($A781="","",IFERROR(INDEX(Sales!$A:$A,MATCH($A781,Sales!$E:$E,0)),""))</f>
        <v/>
      </c>
      <c r="C781" s="153" t="str">
        <f t="array" ref="C781">IF($A781="","",IFERROR(INDEX(Sales!$D:$D,MATCH($A781,Sales!$E:$E,0)),""))</f>
        <v/>
      </c>
      <c r="D781" s="153" t="str">
        <f t="array" ref="D781">IF($A781="","",IFERROR(INDEX(Sales!$C:$C,MATCH($A781,Sales!$E:$E,0)),""))</f>
        <v/>
      </c>
      <c r="E781" s="154" t="str">
        <f>IF($A781="","",SUMIFS(Sales!$H:$H,Sales!$E:$E,$A781,Sales!$B:$B,"&lt;&gt;Return"))</f>
        <v/>
      </c>
      <c r="F781" s="155" t="str">
        <f>IF($A781="","",SUMIF(Sales!$E:$E,$A781,Sales!$L:$L))</f>
        <v/>
      </c>
      <c r="G781" s="155" t="str">
        <f>IF($A781="","",SUMIF(Sales!$E:$E,$A781,Sales!$P:$P))</f>
        <v/>
      </c>
      <c r="H781" s="156" t="str">
        <f t="array" ref="H781">IF($A781="","",IFERROR(INDEX(Orders!$O$5:$O$1004,MATCH($A781,Orders!$N$5:$N$1004,0)),""))</f>
        <v/>
      </c>
      <c r="I781" s="156" t="str">
        <f t="array" ref="I781">IF($A781="","",IFERROR(INDEX(Orders!$P$5:$P$1004,MATCH($A781,Orders!$N$5:$N$1004,0)),""))</f>
        <v/>
      </c>
      <c r="J781" s="157" t="str">
        <f t="shared" si="1"/>
        <v/>
      </c>
      <c r="K781" s="153" t="str">
        <f t="array" ref="K781">IF($A781="","",IFERROR(INDEX(Sales!$M:$M,MATCH($A781,Sales!$E:$E,0)),""))</f>
        <v/>
      </c>
      <c r="L781" s="158" t="str">
        <f t="shared" si="2"/>
        <v/>
      </c>
      <c r="N781" s="49" t="str">
        <f t="array" ref="N781">IFERROR(INDEX(Sales!$E$7:$E$1506,MATCH(ROW()-4,Sales!$V$7:$V$1506,0)),"")</f>
        <v/>
      </c>
      <c r="O781" s="67"/>
      <c r="P781" s="67"/>
    </row>
    <row r="782" ht="15.0" customHeight="1">
      <c r="A782" s="151" t="str">
        <f t="array" ref="A782">IFERROR(INDEX(Sales!$E$7:$E$1506,MATCH(ROW()-4,Sales!$W$7:$W$1506,0)),"")</f>
        <v/>
      </c>
      <c r="B782" s="152" t="str">
        <f t="array" ref="B782">IF($A782="","",IFERROR(INDEX(Sales!$A:$A,MATCH($A782,Sales!$E:$E,0)),""))</f>
        <v/>
      </c>
      <c r="C782" s="153" t="str">
        <f t="array" ref="C782">IF($A782="","",IFERROR(INDEX(Sales!$D:$D,MATCH($A782,Sales!$E:$E,0)),""))</f>
        <v/>
      </c>
      <c r="D782" s="153" t="str">
        <f t="array" ref="D782">IF($A782="","",IFERROR(INDEX(Sales!$C:$C,MATCH($A782,Sales!$E:$E,0)),""))</f>
        <v/>
      </c>
      <c r="E782" s="154" t="str">
        <f>IF($A782="","",SUMIFS(Sales!$H:$H,Sales!$E:$E,$A782,Sales!$B:$B,"&lt;&gt;Return"))</f>
        <v/>
      </c>
      <c r="F782" s="155" t="str">
        <f>IF($A782="","",SUMIF(Sales!$E:$E,$A782,Sales!$L:$L))</f>
        <v/>
      </c>
      <c r="G782" s="155" t="str">
        <f>IF($A782="","",SUMIF(Sales!$E:$E,$A782,Sales!$P:$P))</f>
        <v/>
      </c>
      <c r="H782" s="156" t="str">
        <f t="array" ref="H782">IF($A782="","",IFERROR(INDEX(Orders!$O$5:$O$1004,MATCH($A782,Orders!$N$5:$N$1004,0)),""))</f>
        <v/>
      </c>
      <c r="I782" s="156" t="str">
        <f t="array" ref="I782">IF($A782="","",IFERROR(INDEX(Orders!$P$5:$P$1004,MATCH($A782,Orders!$N$5:$N$1004,0)),""))</f>
        <v/>
      </c>
      <c r="J782" s="157" t="str">
        <f t="shared" si="1"/>
        <v/>
      </c>
      <c r="K782" s="153" t="str">
        <f t="array" ref="K782">IF($A782="","",IFERROR(INDEX(Sales!$M:$M,MATCH($A782,Sales!$E:$E,0)),""))</f>
        <v/>
      </c>
      <c r="L782" s="158" t="str">
        <f t="shared" si="2"/>
        <v/>
      </c>
      <c r="N782" s="49" t="str">
        <f t="array" ref="N782">IFERROR(INDEX(Sales!$E$7:$E$1506,MATCH(ROW()-4,Sales!$V$7:$V$1506,0)),"")</f>
        <v/>
      </c>
      <c r="O782" s="67"/>
      <c r="P782" s="67"/>
    </row>
    <row r="783" ht="15.0" customHeight="1">
      <c r="A783" s="151" t="str">
        <f t="array" ref="A783">IFERROR(INDEX(Sales!$E$7:$E$1506,MATCH(ROW()-4,Sales!$W$7:$W$1506,0)),"")</f>
        <v/>
      </c>
      <c r="B783" s="152" t="str">
        <f t="array" ref="B783">IF($A783="","",IFERROR(INDEX(Sales!$A:$A,MATCH($A783,Sales!$E:$E,0)),""))</f>
        <v/>
      </c>
      <c r="C783" s="153" t="str">
        <f t="array" ref="C783">IF($A783="","",IFERROR(INDEX(Sales!$D:$D,MATCH($A783,Sales!$E:$E,0)),""))</f>
        <v/>
      </c>
      <c r="D783" s="153" t="str">
        <f t="array" ref="D783">IF($A783="","",IFERROR(INDEX(Sales!$C:$C,MATCH($A783,Sales!$E:$E,0)),""))</f>
        <v/>
      </c>
      <c r="E783" s="154" t="str">
        <f>IF($A783="","",SUMIFS(Sales!$H:$H,Sales!$E:$E,$A783,Sales!$B:$B,"&lt;&gt;Return"))</f>
        <v/>
      </c>
      <c r="F783" s="155" t="str">
        <f>IF($A783="","",SUMIF(Sales!$E:$E,$A783,Sales!$L:$L))</f>
        <v/>
      </c>
      <c r="G783" s="155" t="str">
        <f>IF($A783="","",SUMIF(Sales!$E:$E,$A783,Sales!$P:$P))</f>
        <v/>
      </c>
      <c r="H783" s="156" t="str">
        <f t="array" ref="H783">IF($A783="","",IFERROR(INDEX(Orders!$O$5:$O$1004,MATCH($A783,Orders!$N$5:$N$1004,0)),""))</f>
        <v/>
      </c>
      <c r="I783" s="156" t="str">
        <f t="array" ref="I783">IF($A783="","",IFERROR(INDEX(Orders!$P$5:$P$1004,MATCH($A783,Orders!$N$5:$N$1004,0)),""))</f>
        <v/>
      </c>
      <c r="J783" s="157" t="str">
        <f t="shared" si="1"/>
        <v/>
      </c>
      <c r="K783" s="153" t="str">
        <f t="array" ref="K783">IF($A783="","",IFERROR(INDEX(Sales!$M:$M,MATCH($A783,Sales!$E:$E,0)),""))</f>
        <v/>
      </c>
      <c r="L783" s="158" t="str">
        <f t="shared" si="2"/>
        <v/>
      </c>
      <c r="N783" s="49" t="str">
        <f t="array" ref="N783">IFERROR(INDEX(Sales!$E$7:$E$1506,MATCH(ROW()-4,Sales!$V$7:$V$1506,0)),"")</f>
        <v/>
      </c>
      <c r="O783" s="67"/>
      <c r="P783" s="67"/>
    </row>
    <row r="784" ht="15.0" customHeight="1">
      <c r="A784" s="151" t="str">
        <f t="array" ref="A784">IFERROR(INDEX(Sales!$E$7:$E$1506,MATCH(ROW()-4,Sales!$W$7:$W$1506,0)),"")</f>
        <v/>
      </c>
      <c r="B784" s="152" t="str">
        <f t="array" ref="B784">IF($A784="","",IFERROR(INDEX(Sales!$A:$A,MATCH($A784,Sales!$E:$E,0)),""))</f>
        <v/>
      </c>
      <c r="C784" s="153" t="str">
        <f t="array" ref="C784">IF($A784="","",IFERROR(INDEX(Sales!$D:$D,MATCH($A784,Sales!$E:$E,0)),""))</f>
        <v/>
      </c>
      <c r="D784" s="153" t="str">
        <f t="array" ref="D784">IF($A784="","",IFERROR(INDEX(Sales!$C:$C,MATCH($A784,Sales!$E:$E,0)),""))</f>
        <v/>
      </c>
      <c r="E784" s="154" t="str">
        <f>IF($A784="","",SUMIFS(Sales!$H:$H,Sales!$E:$E,$A784,Sales!$B:$B,"&lt;&gt;Return"))</f>
        <v/>
      </c>
      <c r="F784" s="155" t="str">
        <f>IF($A784="","",SUMIF(Sales!$E:$E,$A784,Sales!$L:$L))</f>
        <v/>
      </c>
      <c r="G784" s="155" t="str">
        <f>IF($A784="","",SUMIF(Sales!$E:$E,$A784,Sales!$P:$P))</f>
        <v/>
      </c>
      <c r="H784" s="156" t="str">
        <f t="array" ref="H784">IF($A784="","",IFERROR(INDEX(Orders!$O$5:$O$1004,MATCH($A784,Orders!$N$5:$N$1004,0)),""))</f>
        <v/>
      </c>
      <c r="I784" s="156" t="str">
        <f t="array" ref="I784">IF($A784="","",IFERROR(INDEX(Orders!$P$5:$P$1004,MATCH($A784,Orders!$N$5:$N$1004,0)),""))</f>
        <v/>
      </c>
      <c r="J784" s="157" t="str">
        <f t="shared" si="1"/>
        <v/>
      </c>
      <c r="K784" s="153" t="str">
        <f t="array" ref="K784">IF($A784="","",IFERROR(INDEX(Sales!$M:$M,MATCH($A784,Sales!$E:$E,0)),""))</f>
        <v/>
      </c>
      <c r="L784" s="158" t="str">
        <f t="shared" si="2"/>
        <v/>
      </c>
      <c r="N784" s="49" t="str">
        <f t="array" ref="N784">IFERROR(INDEX(Sales!$E$7:$E$1506,MATCH(ROW()-4,Sales!$V$7:$V$1506,0)),"")</f>
        <v/>
      </c>
      <c r="O784" s="67"/>
      <c r="P784" s="67"/>
    </row>
    <row r="785" ht="15.0" customHeight="1">
      <c r="A785" s="151" t="str">
        <f t="array" ref="A785">IFERROR(INDEX(Sales!$E$7:$E$1506,MATCH(ROW()-4,Sales!$W$7:$W$1506,0)),"")</f>
        <v/>
      </c>
      <c r="B785" s="152" t="str">
        <f t="array" ref="B785">IF($A785="","",IFERROR(INDEX(Sales!$A:$A,MATCH($A785,Sales!$E:$E,0)),""))</f>
        <v/>
      </c>
      <c r="C785" s="153" t="str">
        <f t="array" ref="C785">IF($A785="","",IFERROR(INDEX(Sales!$D:$D,MATCH($A785,Sales!$E:$E,0)),""))</f>
        <v/>
      </c>
      <c r="D785" s="153" t="str">
        <f t="array" ref="D785">IF($A785="","",IFERROR(INDEX(Sales!$C:$C,MATCH($A785,Sales!$E:$E,0)),""))</f>
        <v/>
      </c>
      <c r="E785" s="154" t="str">
        <f>IF($A785="","",SUMIFS(Sales!$H:$H,Sales!$E:$E,$A785,Sales!$B:$B,"&lt;&gt;Return"))</f>
        <v/>
      </c>
      <c r="F785" s="155" t="str">
        <f>IF($A785="","",SUMIF(Sales!$E:$E,$A785,Sales!$L:$L))</f>
        <v/>
      </c>
      <c r="G785" s="155" t="str">
        <f>IF($A785="","",SUMIF(Sales!$E:$E,$A785,Sales!$P:$P))</f>
        <v/>
      </c>
      <c r="H785" s="156" t="str">
        <f t="array" ref="H785">IF($A785="","",IFERROR(INDEX(Orders!$O$5:$O$1004,MATCH($A785,Orders!$N$5:$N$1004,0)),""))</f>
        <v/>
      </c>
      <c r="I785" s="156" t="str">
        <f t="array" ref="I785">IF($A785="","",IFERROR(INDEX(Orders!$P$5:$P$1004,MATCH($A785,Orders!$N$5:$N$1004,0)),""))</f>
        <v/>
      </c>
      <c r="J785" s="157" t="str">
        <f t="shared" si="1"/>
        <v/>
      </c>
      <c r="K785" s="153" t="str">
        <f t="array" ref="K785">IF($A785="","",IFERROR(INDEX(Sales!$M:$M,MATCH($A785,Sales!$E:$E,0)),""))</f>
        <v/>
      </c>
      <c r="L785" s="158" t="str">
        <f t="shared" si="2"/>
        <v/>
      </c>
      <c r="N785" s="49" t="str">
        <f t="array" ref="N785">IFERROR(INDEX(Sales!$E$7:$E$1506,MATCH(ROW()-4,Sales!$V$7:$V$1506,0)),"")</f>
        <v/>
      </c>
      <c r="O785" s="67"/>
      <c r="P785" s="67"/>
    </row>
    <row r="786" ht="15.0" customHeight="1">
      <c r="A786" s="151" t="str">
        <f t="array" ref="A786">IFERROR(INDEX(Sales!$E$7:$E$1506,MATCH(ROW()-4,Sales!$W$7:$W$1506,0)),"")</f>
        <v/>
      </c>
      <c r="B786" s="152" t="str">
        <f t="array" ref="B786">IF($A786="","",IFERROR(INDEX(Sales!$A:$A,MATCH($A786,Sales!$E:$E,0)),""))</f>
        <v/>
      </c>
      <c r="C786" s="153" t="str">
        <f t="array" ref="C786">IF($A786="","",IFERROR(INDEX(Sales!$D:$D,MATCH($A786,Sales!$E:$E,0)),""))</f>
        <v/>
      </c>
      <c r="D786" s="153" t="str">
        <f t="array" ref="D786">IF($A786="","",IFERROR(INDEX(Sales!$C:$C,MATCH($A786,Sales!$E:$E,0)),""))</f>
        <v/>
      </c>
      <c r="E786" s="154" t="str">
        <f>IF($A786="","",SUMIFS(Sales!$H:$H,Sales!$E:$E,$A786,Sales!$B:$B,"&lt;&gt;Return"))</f>
        <v/>
      </c>
      <c r="F786" s="155" t="str">
        <f>IF($A786="","",SUMIF(Sales!$E:$E,$A786,Sales!$L:$L))</f>
        <v/>
      </c>
      <c r="G786" s="155" t="str">
        <f>IF($A786="","",SUMIF(Sales!$E:$E,$A786,Sales!$P:$P))</f>
        <v/>
      </c>
      <c r="H786" s="156" t="str">
        <f t="array" ref="H786">IF($A786="","",IFERROR(INDEX(Orders!$O$5:$O$1004,MATCH($A786,Orders!$N$5:$N$1004,0)),""))</f>
        <v/>
      </c>
      <c r="I786" s="156" t="str">
        <f t="array" ref="I786">IF($A786="","",IFERROR(INDEX(Orders!$P$5:$P$1004,MATCH($A786,Orders!$N$5:$N$1004,0)),""))</f>
        <v/>
      </c>
      <c r="J786" s="157" t="str">
        <f t="shared" si="1"/>
        <v/>
      </c>
      <c r="K786" s="153" t="str">
        <f t="array" ref="K786">IF($A786="","",IFERROR(INDEX(Sales!$M:$M,MATCH($A786,Sales!$E:$E,0)),""))</f>
        <v/>
      </c>
      <c r="L786" s="158" t="str">
        <f t="shared" si="2"/>
        <v/>
      </c>
      <c r="N786" s="49" t="str">
        <f t="array" ref="N786">IFERROR(INDEX(Sales!$E$7:$E$1506,MATCH(ROW()-4,Sales!$V$7:$V$1506,0)),"")</f>
        <v/>
      </c>
      <c r="O786" s="67"/>
      <c r="P786" s="67"/>
    </row>
    <row r="787" ht="15.0" customHeight="1">
      <c r="A787" s="151" t="str">
        <f t="array" ref="A787">IFERROR(INDEX(Sales!$E$7:$E$1506,MATCH(ROW()-4,Sales!$W$7:$W$1506,0)),"")</f>
        <v/>
      </c>
      <c r="B787" s="152" t="str">
        <f t="array" ref="B787">IF($A787="","",IFERROR(INDEX(Sales!$A:$A,MATCH($A787,Sales!$E:$E,0)),""))</f>
        <v/>
      </c>
      <c r="C787" s="153" t="str">
        <f t="array" ref="C787">IF($A787="","",IFERROR(INDEX(Sales!$D:$D,MATCH($A787,Sales!$E:$E,0)),""))</f>
        <v/>
      </c>
      <c r="D787" s="153" t="str">
        <f t="array" ref="D787">IF($A787="","",IFERROR(INDEX(Sales!$C:$C,MATCH($A787,Sales!$E:$E,0)),""))</f>
        <v/>
      </c>
      <c r="E787" s="154" t="str">
        <f>IF($A787="","",SUMIFS(Sales!$H:$H,Sales!$E:$E,$A787,Sales!$B:$B,"&lt;&gt;Return"))</f>
        <v/>
      </c>
      <c r="F787" s="155" t="str">
        <f>IF($A787="","",SUMIF(Sales!$E:$E,$A787,Sales!$L:$L))</f>
        <v/>
      </c>
      <c r="G787" s="155" t="str">
        <f>IF($A787="","",SUMIF(Sales!$E:$E,$A787,Sales!$P:$P))</f>
        <v/>
      </c>
      <c r="H787" s="156" t="str">
        <f t="array" ref="H787">IF($A787="","",IFERROR(INDEX(Orders!$O$5:$O$1004,MATCH($A787,Orders!$N$5:$N$1004,0)),""))</f>
        <v/>
      </c>
      <c r="I787" s="156" t="str">
        <f t="array" ref="I787">IF($A787="","",IFERROR(INDEX(Orders!$P$5:$P$1004,MATCH($A787,Orders!$N$5:$N$1004,0)),""))</f>
        <v/>
      </c>
      <c r="J787" s="157" t="str">
        <f t="shared" si="1"/>
        <v/>
      </c>
      <c r="K787" s="153" t="str">
        <f t="array" ref="K787">IF($A787="","",IFERROR(INDEX(Sales!$M:$M,MATCH($A787,Sales!$E:$E,0)),""))</f>
        <v/>
      </c>
      <c r="L787" s="158" t="str">
        <f t="shared" si="2"/>
        <v/>
      </c>
      <c r="N787" s="49" t="str">
        <f t="array" ref="N787">IFERROR(INDEX(Sales!$E$7:$E$1506,MATCH(ROW()-4,Sales!$V$7:$V$1506,0)),"")</f>
        <v/>
      </c>
      <c r="O787" s="67"/>
      <c r="P787" s="67"/>
    </row>
    <row r="788" ht="15.0" customHeight="1">
      <c r="A788" s="151" t="str">
        <f t="array" ref="A788">IFERROR(INDEX(Sales!$E$7:$E$1506,MATCH(ROW()-4,Sales!$W$7:$W$1506,0)),"")</f>
        <v/>
      </c>
      <c r="B788" s="152" t="str">
        <f t="array" ref="B788">IF($A788="","",IFERROR(INDEX(Sales!$A:$A,MATCH($A788,Sales!$E:$E,0)),""))</f>
        <v/>
      </c>
      <c r="C788" s="153" t="str">
        <f t="array" ref="C788">IF($A788="","",IFERROR(INDEX(Sales!$D:$D,MATCH($A788,Sales!$E:$E,0)),""))</f>
        <v/>
      </c>
      <c r="D788" s="153" t="str">
        <f t="array" ref="D788">IF($A788="","",IFERROR(INDEX(Sales!$C:$C,MATCH($A788,Sales!$E:$E,0)),""))</f>
        <v/>
      </c>
      <c r="E788" s="154" t="str">
        <f>IF($A788="","",SUMIFS(Sales!$H:$H,Sales!$E:$E,$A788,Sales!$B:$B,"&lt;&gt;Return"))</f>
        <v/>
      </c>
      <c r="F788" s="155" t="str">
        <f>IF($A788="","",SUMIF(Sales!$E:$E,$A788,Sales!$L:$L))</f>
        <v/>
      </c>
      <c r="G788" s="155" t="str">
        <f>IF($A788="","",SUMIF(Sales!$E:$E,$A788,Sales!$P:$P))</f>
        <v/>
      </c>
      <c r="H788" s="156" t="str">
        <f t="array" ref="H788">IF($A788="","",IFERROR(INDEX(Orders!$O$5:$O$1004,MATCH($A788,Orders!$N$5:$N$1004,0)),""))</f>
        <v/>
      </c>
      <c r="I788" s="156" t="str">
        <f t="array" ref="I788">IF($A788="","",IFERROR(INDEX(Orders!$P$5:$P$1004,MATCH($A788,Orders!$N$5:$N$1004,0)),""))</f>
        <v/>
      </c>
      <c r="J788" s="157" t="str">
        <f t="shared" si="1"/>
        <v/>
      </c>
      <c r="K788" s="153" t="str">
        <f t="array" ref="K788">IF($A788="","",IFERROR(INDEX(Sales!$M:$M,MATCH($A788,Sales!$E:$E,0)),""))</f>
        <v/>
      </c>
      <c r="L788" s="158" t="str">
        <f t="shared" si="2"/>
        <v/>
      </c>
      <c r="N788" s="49" t="str">
        <f t="array" ref="N788">IFERROR(INDEX(Sales!$E$7:$E$1506,MATCH(ROW()-4,Sales!$V$7:$V$1506,0)),"")</f>
        <v/>
      </c>
      <c r="O788" s="67"/>
      <c r="P788" s="67"/>
    </row>
    <row r="789" ht="15.0" customHeight="1">
      <c r="A789" s="151" t="str">
        <f t="array" ref="A789">IFERROR(INDEX(Sales!$E$7:$E$1506,MATCH(ROW()-4,Sales!$W$7:$W$1506,0)),"")</f>
        <v/>
      </c>
      <c r="B789" s="152" t="str">
        <f t="array" ref="B789">IF($A789="","",IFERROR(INDEX(Sales!$A:$A,MATCH($A789,Sales!$E:$E,0)),""))</f>
        <v/>
      </c>
      <c r="C789" s="153" t="str">
        <f t="array" ref="C789">IF($A789="","",IFERROR(INDEX(Sales!$D:$D,MATCH($A789,Sales!$E:$E,0)),""))</f>
        <v/>
      </c>
      <c r="D789" s="153" t="str">
        <f t="array" ref="D789">IF($A789="","",IFERROR(INDEX(Sales!$C:$C,MATCH($A789,Sales!$E:$E,0)),""))</f>
        <v/>
      </c>
      <c r="E789" s="154" t="str">
        <f>IF($A789="","",SUMIFS(Sales!$H:$H,Sales!$E:$E,$A789,Sales!$B:$B,"&lt;&gt;Return"))</f>
        <v/>
      </c>
      <c r="F789" s="155" t="str">
        <f>IF($A789="","",SUMIF(Sales!$E:$E,$A789,Sales!$L:$L))</f>
        <v/>
      </c>
      <c r="G789" s="155" t="str">
        <f>IF($A789="","",SUMIF(Sales!$E:$E,$A789,Sales!$P:$P))</f>
        <v/>
      </c>
      <c r="H789" s="156" t="str">
        <f t="array" ref="H789">IF($A789="","",IFERROR(INDEX(Orders!$O$5:$O$1004,MATCH($A789,Orders!$N$5:$N$1004,0)),""))</f>
        <v/>
      </c>
      <c r="I789" s="156" t="str">
        <f t="array" ref="I789">IF($A789="","",IFERROR(INDEX(Orders!$P$5:$P$1004,MATCH($A789,Orders!$N$5:$N$1004,0)),""))</f>
        <v/>
      </c>
      <c r="J789" s="157" t="str">
        <f t="shared" si="1"/>
        <v/>
      </c>
      <c r="K789" s="153" t="str">
        <f t="array" ref="K789">IF($A789="","",IFERROR(INDEX(Sales!$M:$M,MATCH($A789,Sales!$E:$E,0)),""))</f>
        <v/>
      </c>
      <c r="L789" s="158" t="str">
        <f t="shared" si="2"/>
        <v/>
      </c>
      <c r="N789" s="49" t="str">
        <f t="array" ref="N789">IFERROR(INDEX(Sales!$E$7:$E$1506,MATCH(ROW()-4,Sales!$V$7:$V$1506,0)),"")</f>
        <v/>
      </c>
      <c r="O789" s="67"/>
      <c r="P789" s="67"/>
    </row>
    <row r="790" ht="15.0" customHeight="1">
      <c r="A790" s="151" t="str">
        <f t="array" ref="A790">IFERROR(INDEX(Sales!$E$7:$E$1506,MATCH(ROW()-4,Sales!$W$7:$W$1506,0)),"")</f>
        <v/>
      </c>
      <c r="B790" s="152" t="str">
        <f t="array" ref="B790">IF($A790="","",IFERROR(INDEX(Sales!$A:$A,MATCH($A790,Sales!$E:$E,0)),""))</f>
        <v/>
      </c>
      <c r="C790" s="153" t="str">
        <f t="array" ref="C790">IF($A790="","",IFERROR(INDEX(Sales!$D:$D,MATCH($A790,Sales!$E:$E,0)),""))</f>
        <v/>
      </c>
      <c r="D790" s="153" t="str">
        <f t="array" ref="D790">IF($A790="","",IFERROR(INDEX(Sales!$C:$C,MATCH($A790,Sales!$E:$E,0)),""))</f>
        <v/>
      </c>
      <c r="E790" s="154" t="str">
        <f>IF($A790="","",SUMIFS(Sales!$H:$H,Sales!$E:$E,$A790,Sales!$B:$B,"&lt;&gt;Return"))</f>
        <v/>
      </c>
      <c r="F790" s="155" t="str">
        <f>IF($A790="","",SUMIF(Sales!$E:$E,$A790,Sales!$L:$L))</f>
        <v/>
      </c>
      <c r="G790" s="155" t="str">
        <f>IF($A790="","",SUMIF(Sales!$E:$E,$A790,Sales!$P:$P))</f>
        <v/>
      </c>
      <c r="H790" s="156" t="str">
        <f t="array" ref="H790">IF($A790="","",IFERROR(INDEX(Orders!$O$5:$O$1004,MATCH($A790,Orders!$N$5:$N$1004,0)),""))</f>
        <v/>
      </c>
      <c r="I790" s="156" t="str">
        <f t="array" ref="I790">IF($A790="","",IFERROR(INDEX(Orders!$P$5:$P$1004,MATCH($A790,Orders!$N$5:$N$1004,0)),""))</f>
        <v/>
      </c>
      <c r="J790" s="157" t="str">
        <f t="shared" si="1"/>
        <v/>
      </c>
      <c r="K790" s="153" t="str">
        <f t="array" ref="K790">IF($A790="","",IFERROR(INDEX(Sales!$M:$M,MATCH($A790,Sales!$E:$E,0)),""))</f>
        <v/>
      </c>
      <c r="L790" s="158" t="str">
        <f t="shared" si="2"/>
        <v/>
      </c>
      <c r="N790" s="49" t="str">
        <f t="array" ref="N790">IFERROR(INDEX(Sales!$E$7:$E$1506,MATCH(ROW()-4,Sales!$V$7:$V$1506,0)),"")</f>
        <v/>
      </c>
      <c r="O790" s="67"/>
      <c r="P790" s="67"/>
    </row>
    <row r="791" ht="15.0" customHeight="1">
      <c r="A791" s="151" t="str">
        <f t="array" ref="A791">IFERROR(INDEX(Sales!$E$7:$E$1506,MATCH(ROW()-4,Sales!$W$7:$W$1506,0)),"")</f>
        <v/>
      </c>
      <c r="B791" s="152" t="str">
        <f t="array" ref="B791">IF($A791="","",IFERROR(INDEX(Sales!$A:$A,MATCH($A791,Sales!$E:$E,0)),""))</f>
        <v/>
      </c>
      <c r="C791" s="153" t="str">
        <f t="array" ref="C791">IF($A791="","",IFERROR(INDEX(Sales!$D:$D,MATCH($A791,Sales!$E:$E,0)),""))</f>
        <v/>
      </c>
      <c r="D791" s="153" t="str">
        <f t="array" ref="D791">IF($A791="","",IFERROR(INDEX(Sales!$C:$C,MATCH($A791,Sales!$E:$E,0)),""))</f>
        <v/>
      </c>
      <c r="E791" s="154" t="str">
        <f>IF($A791="","",SUMIFS(Sales!$H:$H,Sales!$E:$E,$A791,Sales!$B:$B,"&lt;&gt;Return"))</f>
        <v/>
      </c>
      <c r="F791" s="155" t="str">
        <f>IF($A791="","",SUMIF(Sales!$E:$E,$A791,Sales!$L:$L))</f>
        <v/>
      </c>
      <c r="G791" s="155" t="str">
        <f>IF($A791="","",SUMIF(Sales!$E:$E,$A791,Sales!$P:$P))</f>
        <v/>
      </c>
      <c r="H791" s="156" t="str">
        <f t="array" ref="H791">IF($A791="","",IFERROR(INDEX(Orders!$O$5:$O$1004,MATCH($A791,Orders!$N$5:$N$1004,0)),""))</f>
        <v/>
      </c>
      <c r="I791" s="156" t="str">
        <f t="array" ref="I791">IF($A791="","",IFERROR(INDEX(Orders!$P$5:$P$1004,MATCH($A791,Orders!$N$5:$N$1004,0)),""))</f>
        <v/>
      </c>
      <c r="J791" s="157" t="str">
        <f t="shared" si="1"/>
        <v/>
      </c>
      <c r="K791" s="153" t="str">
        <f t="array" ref="K791">IF($A791="","",IFERROR(INDEX(Sales!$M:$M,MATCH($A791,Sales!$E:$E,0)),""))</f>
        <v/>
      </c>
      <c r="L791" s="158" t="str">
        <f t="shared" si="2"/>
        <v/>
      </c>
      <c r="N791" s="49" t="str">
        <f t="array" ref="N791">IFERROR(INDEX(Sales!$E$7:$E$1506,MATCH(ROW()-4,Sales!$V$7:$V$1506,0)),"")</f>
        <v/>
      </c>
      <c r="O791" s="67"/>
      <c r="P791" s="67"/>
    </row>
    <row r="792" ht="15.0" customHeight="1">
      <c r="A792" s="151" t="str">
        <f t="array" ref="A792">IFERROR(INDEX(Sales!$E$7:$E$1506,MATCH(ROW()-4,Sales!$W$7:$W$1506,0)),"")</f>
        <v/>
      </c>
      <c r="B792" s="152" t="str">
        <f t="array" ref="B792">IF($A792="","",IFERROR(INDEX(Sales!$A:$A,MATCH($A792,Sales!$E:$E,0)),""))</f>
        <v/>
      </c>
      <c r="C792" s="153" t="str">
        <f t="array" ref="C792">IF($A792="","",IFERROR(INDEX(Sales!$D:$D,MATCH($A792,Sales!$E:$E,0)),""))</f>
        <v/>
      </c>
      <c r="D792" s="153" t="str">
        <f t="array" ref="D792">IF($A792="","",IFERROR(INDEX(Sales!$C:$C,MATCH($A792,Sales!$E:$E,0)),""))</f>
        <v/>
      </c>
      <c r="E792" s="154" t="str">
        <f>IF($A792="","",SUMIFS(Sales!$H:$H,Sales!$E:$E,$A792,Sales!$B:$B,"&lt;&gt;Return"))</f>
        <v/>
      </c>
      <c r="F792" s="155" t="str">
        <f>IF($A792="","",SUMIF(Sales!$E:$E,$A792,Sales!$L:$L))</f>
        <v/>
      </c>
      <c r="G792" s="155" t="str">
        <f>IF($A792="","",SUMIF(Sales!$E:$E,$A792,Sales!$P:$P))</f>
        <v/>
      </c>
      <c r="H792" s="156" t="str">
        <f t="array" ref="H792">IF($A792="","",IFERROR(INDEX(Orders!$O$5:$O$1004,MATCH($A792,Orders!$N$5:$N$1004,0)),""))</f>
        <v/>
      </c>
      <c r="I792" s="156" t="str">
        <f t="array" ref="I792">IF($A792="","",IFERROR(INDEX(Orders!$P$5:$P$1004,MATCH($A792,Orders!$N$5:$N$1004,0)),""))</f>
        <v/>
      </c>
      <c r="J792" s="157" t="str">
        <f t="shared" si="1"/>
        <v/>
      </c>
      <c r="K792" s="153" t="str">
        <f t="array" ref="K792">IF($A792="","",IFERROR(INDEX(Sales!$M:$M,MATCH($A792,Sales!$E:$E,0)),""))</f>
        <v/>
      </c>
      <c r="L792" s="158" t="str">
        <f t="shared" si="2"/>
        <v/>
      </c>
      <c r="N792" s="49" t="str">
        <f t="array" ref="N792">IFERROR(INDEX(Sales!$E$7:$E$1506,MATCH(ROW()-4,Sales!$V$7:$V$1506,0)),"")</f>
        <v/>
      </c>
      <c r="O792" s="67"/>
      <c r="P792" s="67"/>
    </row>
    <row r="793" ht="15.0" customHeight="1">
      <c r="A793" s="151" t="str">
        <f t="array" ref="A793">IFERROR(INDEX(Sales!$E$7:$E$1506,MATCH(ROW()-4,Sales!$W$7:$W$1506,0)),"")</f>
        <v/>
      </c>
      <c r="B793" s="152" t="str">
        <f t="array" ref="B793">IF($A793="","",IFERROR(INDEX(Sales!$A:$A,MATCH($A793,Sales!$E:$E,0)),""))</f>
        <v/>
      </c>
      <c r="C793" s="153" t="str">
        <f t="array" ref="C793">IF($A793="","",IFERROR(INDEX(Sales!$D:$D,MATCH($A793,Sales!$E:$E,0)),""))</f>
        <v/>
      </c>
      <c r="D793" s="153" t="str">
        <f t="array" ref="D793">IF($A793="","",IFERROR(INDEX(Sales!$C:$C,MATCH($A793,Sales!$E:$E,0)),""))</f>
        <v/>
      </c>
      <c r="E793" s="154" t="str">
        <f>IF($A793="","",SUMIFS(Sales!$H:$H,Sales!$E:$E,$A793,Sales!$B:$B,"&lt;&gt;Return"))</f>
        <v/>
      </c>
      <c r="F793" s="155" t="str">
        <f>IF($A793="","",SUMIF(Sales!$E:$E,$A793,Sales!$L:$L))</f>
        <v/>
      </c>
      <c r="G793" s="155" t="str">
        <f>IF($A793="","",SUMIF(Sales!$E:$E,$A793,Sales!$P:$P))</f>
        <v/>
      </c>
      <c r="H793" s="156" t="str">
        <f t="array" ref="H793">IF($A793="","",IFERROR(INDEX(Orders!$O$5:$O$1004,MATCH($A793,Orders!$N$5:$N$1004,0)),""))</f>
        <v/>
      </c>
      <c r="I793" s="156" t="str">
        <f t="array" ref="I793">IF($A793="","",IFERROR(INDEX(Orders!$P$5:$P$1004,MATCH($A793,Orders!$N$5:$N$1004,0)),""))</f>
        <v/>
      </c>
      <c r="J793" s="157" t="str">
        <f t="shared" si="1"/>
        <v/>
      </c>
      <c r="K793" s="153" t="str">
        <f t="array" ref="K793">IF($A793="","",IFERROR(INDEX(Sales!$M:$M,MATCH($A793,Sales!$E:$E,0)),""))</f>
        <v/>
      </c>
      <c r="L793" s="158" t="str">
        <f t="shared" si="2"/>
        <v/>
      </c>
      <c r="N793" s="49" t="str">
        <f t="array" ref="N793">IFERROR(INDEX(Sales!$E$7:$E$1506,MATCH(ROW()-4,Sales!$V$7:$V$1506,0)),"")</f>
        <v/>
      </c>
      <c r="O793" s="67"/>
      <c r="P793" s="67"/>
    </row>
    <row r="794" ht="15.0" customHeight="1">
      <c r="A794" s="151" t="str">
        <f t="array" ref="A794">IFERROR(INDEX(Sales!$E$7:$E$1506,MATCH(ROW()-4,Sales!$W$7:$W$1506,0)),"")</f>
        <v/>
      </c>
      <c r="B794" s="152" t="str">
        <f t="array" ref="B794">IF($A794="","",IFERROR(INDEX(Sales!$A:$A,MATCH($A794,Sales!$E:$E,0)),""))</f>
        <v/>
      </c>
      <c r="C794" s="153" t="str">
        <f t="array" ref="C794">IF($A794="","",IFERROR(INDEX(Sales!$D:$D,MATCH($A794,Sales!$E:$E,0)),""))</f>
        <v/>
      </c>
      <c r="D794" s="153" t="str">
        <f t="array" ref="D794">IF($A794="","",IFERROR(INDEX(Sales!$C:$C,MATCH($A794,Sales!$E:$E,0)),""))</f>
        <v/>
      </c>
      <c r="E794" s="154" t="str">
        <f>IF($A794="","",SUMIFS(Sales!$H:$H,Sales!$E:$E,$A794,Sales!$B:$B,"&lt;&gt;Return"))</f>
        <v/>
      </c>
      <c r="F794" s="155" t="str">
        <f>IF($A794="","",SUMIF(Sales!$E:$E,$A794,Sales!$L:$L))</f>
        <v/>
      </c>
      <c r="G794" s="155" t="str">
        <f>IF($A794="","",SUMIF(Sales!$E:$E,$A794,Sales!$P:$P))</f>
        <v/>
      </c>
      <c r="H794" s="156" t="str">
        <f t="array" ref="H794">IF($A794="","",IFERROR(INDEX(Orders!$O$5:$O$1004,MATCH($A794,Orders!$N$5:$N$1004,0)),""))</f>
        <v/>
      </c>
      <c r="I794" s="156" t="str">
        <f t="array" ref="I794">IF($A794="","",IFERROR(INDEX(Orders!$P$5:$P$1004,MATCH($A794,Orders!$N$5:$N$1004,0)),""))</f>
        <v/>
      </c>
      <c r="J794" s="157" t="str">
        <f t="shared" si="1"/>
        <v/>
      </c>
      <c r="K794" s="153" t="str">
        <f t="array" ref="K794">IF($A794="","",IFERROR(INDEX(Sales!$M:$M,MATCH($A794,Sales!$E:$E,0)),""))</f>
        <v/>
      </c>
      <c r="L794" s="158" t="str">
        <f t="shared" si="2"/>
        <v/>
      </c>
      <c r="N794" s="49" t="str">
        <f t="array" ref="N794">IFERROR(INDEX(Sales!$E$7:$E$1506,MATCH(ROW()-4,Sales!$V$7:$V$1506,0)),"")</f>
        <v/>
      </c>
      <c r="O794" s="67"/>
      <c r="P794" s="67"/>
    </row>
    <row r="795" ht="15.0" customHeight="1">
      <c r="A795" s="151" t="str">
        <f t="array" ref="A795">IFERROR(INDEX(Sales!$E$7:$E$1506,MATCH(ROW()-4,Sales!$W$7:$W$1506,0)),"")</f>
        <v/>
      </c>
      <c r="B795" s="152" t="str">
        <f t="array" ref="B795">IF($A795="","",IFERROR(INDEX(Sales!$A:$A,MATCH($A795,Sales!$E:$E,0)),""))</f>
        <v/>
      </c>
      <c r="C795" s="153" t="str">
        <f t="array" ref="C795">IF($A795="","",IFERROR(INDEX(Sales!$D:$D,MATCH($A795,Sales!$E:$E,0)),""))</f>
        <v/>
      </c>
      <c r="D795" s="153" t="str">
        <f t="array" ref="D795">IF($A795="","",IFERROR(INDEX(Sales!$C:$C,MATCH($A795,Sales!$E:$E,0)),""))</f>
        <v/>
      </c>
      <c r="E795" s="154" t="str">
        <f>IF($A795="","",SUMIFS(Sales!$H:$H,Sales!$E:$E,$A795,Sales!$B:$B,"&lt;&gt;Return"))</f>
        <v/>
      </c>
      <c r="F795" s="155" t="str">
        <f>IF($A795="","",SUMIF(Sales!$E:$E,$A795,Sales!$L:$L))</f>
        <v/>
      </c>
      <c r="G795" s="155" t="str">
        <f>IF($A795="","",SUMIF(Sales!$E:$E,$A795,Sales!$P:$P))</f>
        <v/>
      </c>
      <c r="H795" s="156" t="str">
        <f t="array" ref="H795">IF($A795="","",IFERROR(INDEX(Orders!$O$5:$O$1004,MATCH($A795,Orders!$N$5:$N$1004,0)),""))</f>
        <v/>
      </c>
      <c r="I795" s="156" t="str">
        <f t="array" ref="I795">IF($A795="","",IFERROR(INDEX(Orders!$P$5:$P$1004,MATCH($A795,Orders!$N$5:$N$1004,0)),""))</f>
        <v/>
      </c>
      <c r="J795" s="157" t="str">
        <f t="shared" si="1"/>
        <v/>
      </c>
      <c r="K795" s="153" t="str">
        <f t="array" ref="K795">IF($A795="","",IFERROR(INDEX(Sales!$M:$M,MATCH($A795,Sales!$E:$E,0)),""))</f>
        <v/>
      </c>
      <c r="L795" s="158" t="str">
        <f t="shared" si="2"/>
        <v/>
      </c>
      <c r="N795" s="49" t="str">
        <f t="array" ref="N795">IFERROR(INDEX(Sales!$E$7:$E$1506,MATCH(ROW()-4,Sales!$V$7:$V$1506,0)),"")</f>
        <v/>
      </c>
      <c r="O795" s="67"/>
      <c r="P795" s="67"/>
    </row>
    <row r="796" ht="15.0" customHeight="1">
      <c r="A796" s="151" t="str">
        <f t="array" ref="A796">IFERROR(INDEX(Sales!$E$7:$E$1506,MATCH(ROW()-4,Sales!$W$7:$W$1506,0)),"")</f>
        <v/>
      </c>
      <c r="B796" s="152" t="str">
        <f t="array" ref="B796">IF($A796="","",IFERROR(INDEX(Sales!$A:$A,MATCH($A796,Sales!$E:$E,0)),""))</f>
        <v/>
      </c>
      <c r="C796" s="153" t="str">
        <f t="array" ref="C796">IF($A796="","",IFERROR(INDEX(Sales!$D:$D,MATCH($A796,Sales!$E:$E,0)),""))</f>
        <v/>
      </c>
      <c r="D796" s="153" t="str">
        <f t="array" ref="D796">IF($A796="","",IFERROR(INDEX(Sales!$C:$C,MATCH($A796,Sales!$E:$E,0)),""))</f>
        <v/>
      </c>
      <c r="E796" s="154" t="str">
        <f>IF($A796="","",SUMIFS(Sales!$H:$H,Sales!$E:$E,$A796,Sales!$B:$B,"&lt;&gt;Return"))</f>
        <v/>
      </c>
      <c r="F796" s="155" t="str">
        <f>IF($A796="","",SUMIF(Sales!$E:$E,$A796,Sales!$L:$L))</f>
        <v/>
      </c>
      <c r="G796" s="155" t="str">
        <f>IF($A796="","",SUMIF(Sales!$E:$E,$A796,Sales!$P:$P))</f>
        <v/>
      </c>
      <c r="H796" s="156" t="str">
        <f t="array" ref="H796">IF($A796="","",IFERROR(INDEX(Orders!$O$5:$O$1004,MATCH($A796,Orders!$N$5:$N$1004,0)),""))</f>
        <v/>
      </c>
      <c r="I796" s="156" t="str">
        <f t="array" ref="I796">IF($A796="","",IFERROR(INDEX(Orders!$P$5:$P$1004,MATCH($A796,Orders!$N$5:$N$1004,0)),""))</f>
        <v/>
      </c>
      <c r="J796" s="157" t="str">
        <f t="shared" si="1"/>
        <v/>
      </c>
      <c r="K796" s="153" t="str">
        <f t="array" ref="K796">IF($A796="","",IFERROR(INDEX(Sales!$M:$M,MATCH($A796,Sales!$E:$E,0)),""))</f>
        <v/>
      </c>
      <c r="L796" s="158" t="str">
        <f t="shared" si="2"/>
        <v/>
      </c>
      <c r="N796" s="49" t="str">
        <f t="array" ref="N796">IFERROR(INDEX(Sales!$E$7:$E$1506,MATCH(ROW()-4,Sales!$V$7:$V$1506,0)),"")</f>
        <v/>
      </c>
      <c r="O796" s="67"/>
      <c r="P796" s="67"/>
    </row>
    <row r="797" ht="15.0" customHeight="1">
      <c r="A797" s="151" t="str">
        <f t="array" ref="A797">IFERROR(INDEX(Sales!$E$7:$E$1506,MATCH(ROW()-4,Sales!$W$7:$W$1506,0)),"")</f>
        <v/>
      </c>
      <c r="B797" s="152" t="str">
        <f t="array" ref="B797">IF($A797="","",IFERROR(INDEX(Sales!$A:$A,MATCH($A797,Sales!$E:$E,0)),""))</f>
        <v/>
      </c>
      <c r="C797" s="153" t="str">
        <f t="array" ref="C797">IF($A797="","",IFERROR(INDEX(Sales!$D:$D,MATCH($A797,Sales!$E:$E,0)),""))</f>
        <v/>
      </c>
      <c r="D797" s="153" t="str">
        <f t="array" ref="D797">IF($A797="","",IFERROR(INDEX(Sales!$C:$C,MATCH($A797,Sales!$E:$E,0)),""))</f>
        <v/>
      </c>
      <c r="E797" s="154" t="str">
        <f>IF($A797="","",SUMIFS(Sales!$H:$H,Sales!$E:$E,$A797,Sales!$B:$B,"&lt;&gt;Return"))</f>
        <v/>
      </c>
      <c r="F797" s="155" t="str">
        <f>IF($A797="","",SUMIF(Sales!$E:$E,$A797,Sales!$L:$L))</f>
        <v/>
      </c>
      <c r="G797" s="155" t="str">
        <f>IF($A797="","",SUMIF(Sales!$E:$E,$A797,Sales!$P:$P))</f>
        <v/>
      </c>
      <c r="H797" s="156" t="str">
        <f t="array" ref="H797">IF($A797="","",IFERROR(INDEX(Orders!$O$5:$O$1004,MATCH($A797,Orders!$N$5:$N$1004,0)),""))</f>
        <v/>
      </c>
      <c r="I797" s="156" t="str">
        <f t="array" ref="I797">IF($A797="","",IFERROR(INDEX(Orders!$P$5:$P$1004,MATCH($A797,Orders!$N$5:$N$1004,0)),""))</f>
        <v/>
      </c>
      <c r="J797" s="157" t="str">
        <f t="shared" si="1"/>
        <v/>
      </c>
      <c r="K797" s="153" t="str">
        <f t="array" ref="K797">IF($A797="","",IFERROR(INDEX(Sales!$M:$M,MATCH($A797,Sales!$E:$E,0)),""))</f>
        <v/>
      </c>
      <c r="L797" s="158" t="str">
        <f t="shared" si="2"/>
        <v/>
      </c>
      <c r="N797" s="49" t="str">
        <f t="array" ref="N797">IFERROR(INDEX(Sales!$E$7:$E$1506,MATCH(ROW()-4,Sales!$V$7:$V$1506,0)),"")</f>
        <v/>
      </c>
      <c r="O797" s="67"/>
      <c r="P797" s="67"/>
    </row>
    <row r="798" ht="15.0" customHeight="1">
      <c r="A798" s="151" t="str">
        <f t="array" ref="A798">IFERROR(INDEX(Sales!$E$7:$E$1506,MATCH(ROW()-4,Sales!$W$7:$W$1506,0)),"")</f>
        <v/>
      </c>
      <c r="B798" s="152" t="str">
        <f t="array" ref="B798">IF($A798="","",IFERROR(INDEX(Sales!$A:$A,MATCH($A798,Sales!$E:$E,0)),""))</f>
        <v/>
      </c>
      <c r="C798" s="153" t="str">
        <f t="array" ref="C798">IF($A798="","",IFERROR(INDEX(Sales!$D:$D,MATCH($A798,Sales!$E:$E,0)),""))</f>
        <v/>
      </c>
      <c r="D798" s="153" t="str">
        <f t="array" ref="D798">IF($A798="","",IFERROR(INDEX(Sales!$C:$C,MATCH($A798,Sales!$E:$E,0)),""))</f>
        <v/>
      </c>
      <c r="E798" s="154" t="str">
        <f>IF($A798="","",SUMIFS(Sales!$H:$H,Sales!$E:$E,$A798,Sales!$B:$B,"&lt;&gt;Return"))</f>
        <v/>
      </c>
      <c r="F798" s="155" t="str">
        <f>IF($A798="","",SUMIF(Sales!$E:$E,$A798,Sales!$L:$L))</f>
        <v/>
      </c>
      <c r="G798" s="155" t="str">
        <f>IF($A798="","",SUMIF(Sales!$E:$E,$A798,Sales!$P:$P))</f>
        <v/>
      </c>
      <c r="H798" s="156" t="str">
        <f t="array" ref="H798">IF($A798="","",IFERROR(INDEX(Orders!$O$5:$O$1004,MATCH($A798,Orders!$N$5:$N$1004,0)),""))</f>
        <v/>
      </c>
      <c r="I798" s="156" t="str">
        <f t="array" ref="I798">IF($A798="","",IFERROR(INDEX(Orders!$P$5:$P$1004,MATCH($A798,Orders!$N$5:$N$1004,0)),""))</f>
        <v/>
      </c>
      <c r="J798" s="157" t="str">
        <f t="shared" si="1"/>
        <v/>
      </c>
      <c r="K798" s="153" t="str">
        <f t="array" ref="K798">IF($A798="","",IFERROR(INDEX(Sales!$M:$M,MATCH($A798,Sales!$E:$E,0)),""))</f>
        <v/>
      </c>
      <c r="L798" s="158" t="str">
        <f t="shared" si="2"/>
        <v/>
      </c>
      <c r="N798" s="49" t="str">
        <f t="array" ref="N798">IFERROR(INDEX(Sales!$E$7:$E$1506,MATCH(ROW()-4,Sales!$V$7:$V$1506,0)),"")</f>
        <v/>
      </c>
      <c r="O798" s="67"/>
      <c r="P798" s="67"/>
    </row>
    <row r="799" ht="15.0" customHeight="1">
      <c r="A799" s="151" t="str">
        <f t="array" ref="A799">IFERROR(INDEX(Sales!$E$7:$E$1506,MATCH(ROW()-4,Sales!$W$7:$W$1506,0)),"")</f>
        <v/>
      </c>
      <c r="B799" s="152" t="str">
        <f t="array" ref="B799">IF($A799="","",IFERROR(INDEX(Sales!$A:$A,MATCH($A799,Sales!$E:$E,0)),""))</f>
        <v/>
      </c>
      <c r="C799" s="153" t="str">
        <f t="array" ref="C799">IF($A799="","",IFERROR(INDEX(Sales!$D:$D,MATCH($A799,Sales!$E:$E,0)),""))</f>
        <v/>
      </c>
      <c r="D799" s="153" t="str">
        <f t="array" ref="D799">IF($A799="","",IFERROR(INDEX(Sales!$C:$C,MATCH($A799,Sales!$E:$E,0)),""))</f>
        <v/>
      </c>
      <c r="E799" s="154" t="str">
        <f>IF($A799="","",SUMIFS(Sales!$H:$H,Sales!$E:$E,$A799,Sales!$B:$B,"&lt;&gt;Return"))</f>
        <v/>
      </c>
      <c r="F799" s="155" t="str">
        <f>IF($A799="","",SUMIF(Sales!$E:$E,$A799,Sales!$L:$L))</f>
        <v/>
      </c>
      <c r="G799" s="155" t="str">
        <f>IF($A799="","",SUMIF(Sales!$E:$E,$A799,Sales!$P:$P))</f>
        <v/>
      </c>
      <c r="H799" s="156" t="str">
        <f t="array" ref="H799">IF($A799="","",IFERROR(INDEX(Orders!$O$5:$O$1004,MATCH($A799,Orders!$N$5:$N$1004,0)),""))</f>
        <v/>
      </c>
      <c r="I799" s="156" t="str">
        <f t="array" ref="I799">IF($A799="","",IFERROR(INDEX(Orders!$P$5:$P$1004,MATCH($A799,Orders!$N$5:$N$1004,0)),""))</f>
        <v/>
      </c>
      <c r="J799" s="157" t="str">
        <f t="shared" si="1"/>
        <v/>
      </c>
      <c r="K799" s="153" t="str">
        <f t="array" ref="K799">IF($A799="","",IFERROR(INDEX(Sales!$M:$M,MATCH($A799,Sales!$E:$E,0)),""))</f>
        <v/>
      </c>
      <c r="L799" s="158" t="str">
        <f t="shared" si="2"/>
        <v/>
      </c>
      <c r="N799" s="49" t="str">
        <f t="array" ref="N799">IFERROR(INDEX(Sales!$E$7:$E$1506,MATCH(ROW()-4,Sales!$V$7:$V$1506,0)),"")</f>
        <v/>
      </c>
      <c r="O799" s="67"/>
      <c r="P799" s="67"/>
    </row>
    <row r="800" ht="15.0" customHeight="1">
      <c r="A800" s="151" t="str">
        <f t="array" ref="A800">IFERROR(INDEX(Sales!$E$7:$E$1506,MATCH(ROW()-4,Sales!$W$7:$W$1506,0)),"")</f>
        <v/>
      </c>
      <c r="B800" s="152" t="str">
        <f t="array" ref="B800">IF($A800="","",IFERROR(INDEX(Sales!$A:$A,MATCH($A800,Sales!$E:$E,0)),""))</f>
        <v/>
      </c>
      <c r="C800" s="153" t="str">
        <f t="array" ref="C800">IF($A800="","",IFERROR(INDEX(Sales!$D:$D,MATCH($A800,Sales!$E:$E,0)),""))</f>
        <v/>
      </c>
      <c r="D800" s="153" t="str">
        <f t="array" ref="D800">IF($A800="","",IFERROR(INDEX(Sales!$C:$C,MATCH($A800,Sales!$E:$E,0)),""))</f>
        <v/>
      </c>
      <c r="E800" s="154" t="str">
        <f>IF($A800="","",SUMIFS(Sales!$H:$H,Sales!$E:$E,$A800,Sales!$B:$B,"&lt;&gt;Return"))</f>
        <v/>
      </c>
      <c r="F800" s="155" t="str">
        <f>IF($A800="","",SUMIF(Sales!$E:$E,$A800,Sales!$L:$L))</f>
        <v/>
      </c>
      <c r="G800" s="155" t="str">
        <f>IF($A800="","",SUMIF(Sales!$E:$E,$A800,Sales!$P:$P))</f>
        <v/>
      </c>
      <c r="H800" s="156" t="str">
        <f t="array" ref="H800">IF($A800="","",IFERROR(INDEX(Orders!$O$5:$O$1004,MATCH($A800,Orders!$N$5:$N$1004,0)),""))</f>
        <v/>
      </c>
      <c r="I800" s="156" t="str">
        <f t="array" ref="I800">IF($A800="","",IFERROR(INDEX(Orders!$P$5:$P$1004,MATCH($A800,Orders!$N$5:$N$1004,0)),""))</f>
        <v/>
      </c>
      <c r="J800" s="157" t="str">
        <f t="shared" si="1"/>
        <v/>
      </c>
      <c r="K800" s="153" t="str">
        <f t="array" ref="K800">IF($A800="","",IFERROR(INDEX(Sales!$M:$M,MATCH($A800,Sales!$E:$E,0)),""))</f>
        <v/>
      </c>
      <c r="L800" s="158" t="str">
        <f t="shared" si="2"/>
        <v/>
      </c>
      <c r="N800" s="49" t="str">
        <f t="array" ref="N800">IFERROR(INDEX(Sales!$E$7:$E$1506,MATCH(ROW()-4,Sales!$V$7:$V$1506,0)),"")</f>
        <v/>
      </c>
      <c r="O800" s="67"/>
      <c r="P800" s="67"/>
    </row>
    <row r="801" ht="15.0" customHeight="1">
      <c r="A801" s="151" t="str">
        <f t="array" ref="A801">IFERROR(INDEX(Sales!$E$7:$E$1506,MATCH(ROW()-4,Sales!$W$7:$W$1506,0)),"")</f>
        <v/>
      </c>
      <c r="B801" s="152" t="str">
        <f t="array" ref="B801">IF($A801="","",IFERROR(INDEX(Sales!$A:$A,MATCH($A801,Sales!$E:$E,0)),""))</f>
        <v/>
      </c>
      <c r="C801" s="153" t="str">
        <f t="array" ref="C801">IF($A801="","",IFERROR(INDEX(Sales!$D:$D,MATCH($A801,Sales!$E:$E,0)),""))</f>
        <v/>
      </c>
      <c r="D801" s="153" t="str">
        <f t="array" ref="D801">IF($A801="","",IFERROR(INDEX(Sales!$C:$C,MATCH($A801,Sales!$E:$E,0)),""))</f>
        <v/>
      </c>
      <c r="E801" s="154" t="str">
        <f>IF($A801="","",SUMIFS(Sales!$H:$H,Sales!$E:$E,$A801,Sales!$B:$B,"&lt;&gt;Return"))</f>
        <v/>
      </c>
      <c r="F801" s="155" t="str">
        <f>IF($A801="","",SUMIF(Sales!$E:$E,$A801,Sales!$L:$L))</f>
        <v/>
      </c>
      <c r="G801" s="155" t="str">
        <f>IF($A801="","",SUMIF(Sales!$E:$E,$A801,Sales!$P:$P))</f>
        <v/>
      </c>
      <c r="H801" s="156" t="str">
        <f t="array" ref="H801">IF($A801="","",IFERROR(INDEX(Orders!$O$5:$O$1004,MATCH($A801,Orders!$N$5:$N$1004,0)),""))</f>
        <v/>
      </c>
      <c r="I801" s="156" t="str">
        <f t="array" ref="I801">IF($A801="","",IFERROR(INDEX(Orders!$P$5:$P$1004,MATCH($A801,Orders!$N$5:$N$1004,0)),""))</f>
        <v/>
      </c>
      <c r="J801" s="157" t="str">
        <f t="shared" si="1"/>
        <v/>
      </c>
      <c r="K801" s="153" t="str">
        <f t="array" ref="K801">IF($A801="","",IFERROR(INDEX(Sales!$M:$M,MATCH($A801,Sales!$E:$E,0)),""))</f>
        <v/>
      </c>
      <c r="L801" s="158" t="str">
        <f t="shared" si="2"/>
        <v/>
      </c>
      <c r="N801" s="49" t="str">
        <f t="array" ref="N801">IFERROR(INDEX(Sales!$E$7:$E$1506,MATCH(ROW()-4,Sales!$V$7:$V$1506,0)),"")</f>
        <v/>
      </c>
      <c r="O801" s="67"/>
      <c r="P801" s="67"/>
    </row>
    <row r="802" ht="15.0" customHeight="1">
      <c r="A802" s="151" t="str">
        <f t="array" ref="A802">IFERROR(INDEX(Sales!$E$7:$E$1506,MATCH(ROW()-4,Sales!$W$7:$W$1506,0)),"")</f>
        <v/>
      </c>
      <c r="B802" s="152" t="str">
        <f t="array" ref="B802">IF($A802="","",IFERROR(INDEX(Sales!$A:$A,MATCH($A802,Sales!$E:$E,0)),""))</f>
        <v/>
      </c>
      <c r="C802" s="153" t="str">
        <f t="array" ref="C802">IF($A802="","",IFERROR(INDEX(Sales!$D:$D,MATCH($A802,Sales!$E:$E,0)),""))</f>
        <v/>
      </c>
      <c r="D802" s="153" t="str">
        <f t="array" ref="D802">IF($A802="","",IFERROR(INDEX(Sales!$C:$C,MATCH($A802,Sales!$E:$E,0)),""))</f>
        <v/>
      </c>
      <c r="E802" s="154" t="str">
        <f>IF($A802="","",SUMIFS(Sales!$H:$H,Sales!$E:$E,$A802,Sales!$B:$B,"&lt;&gt;Return"))</f>
        <v/>
      </c>
      <c r="F802" s="155" t="str">
        <f>IF($A802="","",SUMIF(Sales!$E:$E,$A802,Sales!$L:$L))</f>
        <v/>
      </c>
      <c r="G802" s="155" t="str">
        <f>IF($A802="","",SUMIF(Sales!$E:$E,$A802,Sales!$P:$P))</f>
        <v/>
      </c>
      <c r="H802" s="156" t="str">
        <f t="array" ref="H802">IF($A802="","",IFERROR(INDEX(Orders!$O$5:$O$1004,MATCH($A802,Orders!$N$5:$N$1004,0)),""))</f>
        <v/>
      </c>
      <c r="I802" s="156" t="str">
        <f t="array" ref="I802">IF($A802="","",IFERROR(INDEX(Orders!$P$5:$P$1004,MATCH($A802,Orders!$N$5:$N$1004,0)),""))</f>
        <v/>
      </c>
      <c r="J802" s="157" t="str">
        <f t="shared" si="1"/>
        <v/>
      </c>
      <c r="K802" s="153" t="str">
        <f t="array" ref="K802">IF($A802="","",IFERROR(INDEX(Sales!$M:$M,MATCH($A802,Sales!$E:$E,0)),""))</f>
        <v/>
      </c>
      <c r="L802" s="158" t="str">
        <f t="shared" si="2"/>
        <v/>
      </c>
      <c r="N802" s="49" t="str">
        <f t="array" ref="N802">IFERROR(INDEX(Sales!$E$7:$E$1506,MATCH(ROW()-4,Sales!$V$7:$V$1506,0)),"")</f>
        <v/>
      </c>
      <c r="O802" s="67"/>
      <c r="P802" s="67"/>
    </row>
    <row r="803" ht="15.0" customHeight="1">
      <c r="A803" s="151" t="str">
        <f t="array" ref="A803">IFERROR(INDEX(Sales!$E$7:$E$1506,MATCH(ROW()-4,Sales!$W$7:$W$1506,0)),"")</f>
        <v/>
      </c>
      <c r="B803" s="152" t="str">
        <f t="array" ref="B803">IF($A803="","",IFERROR(INDEX(Sales!$A:$A,MATCH($A803,Sales!$E:$E,0)),""))</f>
        <v/>
      </c>
      <c r="C803" s="153" t="str">
        <f t="array" ref="C803">IF($A803="","",IFERROR(INDEX(Sales!$D:$D,MATCH($A803,Sales!$E:$E,0)),""))</f>
        <v/>
      </c>
      <c r="D803" s="153" t="str">
        <f t="array" ref="D803">IF($A803="","",IFERROR(INDEX(Sales!$C:$C,MATCH($A803,Sales!$E:$E,0)),""))</f>
        <v/>
      </c>
      <c r="E803" s="154" t="str">
        <f>IF($A803="","",SUMIFS(Sales!$H:$H,Sales!$E:$E,$A803,Sales!$B:$B,"&lt;&gt;Return"))</f>
        <v/>
      </c>
      <c r="F803" s="155" t="str">
        <f>IF($A803="","",SUMIF(Sales!$E:$E,$A803,Sales!$L:$L))</f>
        <v/>
      </c>
      <c r="G803" s="155" t="str">
        <f>IF($A803="","",SUMIF(Sales!$E:$E,$A803,Sales!$P:$P))</f>
        <v/>
      </c>
      <c r="H803" s="156" t="str">
        <f t="array" ref="H803">IF($A803="","",IFERROR(INDEX(Orders!$O$5:$O$1004,MATCH($A803,Orders!$N$5:$N$1004,0)),""))</f>
        <v/>
      </c>
      <c r="I803" s="156" t="str">
        <f t="array" ref="I803">IF($A803="","",IFERROR(INDEX(Orders!$P$5:$P$1004,MATCH($A803,Orders!$N$5:$N$1004,0)),""))</f>
        <v/>
      </c>
      <c r="J803" s="157" t="str">
        <f t="shared" si="1"/>
        <v/>
      </c>
      <c r="K803" s="153" t="str">
        <f t="array" ref="K803">IF($A803="","",IFERROR(INDEX(Sales!$M:$M,MATCH($A803,Sales!$E:$E,0)),""))</f>
        <v/>
      </c>
      <c r="L803" s="158" t="str">
        <f t="shared" si="2"/>
        <v/>
      </c>
      <c r="N803" s="49" t="str">
        <f t="array" ref="N803">IFERROR(INDEX(Sales!$E$7:$E$1506,MATCH(ROW()-4,Sales!$V$7:$V$1506,0)),"")</f>
        <v/>
      </c>
      <c r="O803" s="67"/>
      <c r="P803" s="67"/>
    </row>
    <row r="804" ht="15.0" customHeight="1">
      <c r="A804" s="151" t="str">
        <f t="array" ref="A804">IFERROR(INDEX(Sales!$E$7:$E$1506,MATCH(ROW()-4,Sales!$W$7:$W$1506,0)),"")</f>
        <v/>
      </c>
      <c r="B804" s="152" t="str">
        <f t="array" ref="B804">IF($A804="","",IFERROR(INDEX(Sales!$A:$A,MATCH($A804,Sales!$E:$E,0)),""))</f>
        <v/>
      </c>
      <c r="C804" s="153" t="str">
        <f t="array" ref="C804">IF($A804="","",IFERROR(INDEX(Sales!$D:$D,MATCH($A804,Sales!$E:$E,0)),""))</f>
        <v/>
      </c>
      <c r="D804" s="153" t="str">
        <f t="array" ref="D804">IF($A804="","",IFERROR(INDEX(Sales!$C:$C,MATCH($A804,Sales!$E:$E,0)),""))</f>
        <v/>
      </c>
      <c r="E804" s="154" t="str">
        <f>IF($A804="","",SUMIFS(Sales!$H:$H,Sales!$E:$E,$A804,Sales!$B:$B,"&lt;&gt;Return"))</f>
        <v/>
      </c>
      <c r="F804" s="155" t="str">
        <f>IF($A804="","",SUMIF(Sales!$E:$E,$A804,Sales!$L:$L))</f>
        <v/>
      </c>
      <c r="G804" s="155" t="str">
        <f>IF($A804="","",SUMIF(Sales!$E:$E,$A804,Sales!$P:$P))</f>
        <v/>
      </c>
      <c r="H804" s="156" t="str">
        <f t="array" ref="H804">IF($A804="","",IFERROR(INDEX(Orders!$O$5:$O$1004,MATCH($A804,Orders!$N$5:$N$1004,0)),""))</f>
        <v/>
      </c>
      <c r="I804" s="156" t="str">
        <f t="array" ref="I804">IF($A804="","",IFERROR(INDEX(Orders!$P$5:$P$1004,MATCH($A804,Orders!$N$5:$N$1004,0)),""))</f>
        <v/>
      </c>
      <c r="J804" s="157" t="str">
        <f t="shared" si="1"/>
        <v/>
      </c>
      <c r="K804" s="153" t="str">
        <f t="array" ref="K804">IF($A804="","",IFERROR(INDEX(Sales!$M:$M,MATCH($A804,Sales!$E:$E,0)),""))</f>
        <v/>
      </c>
      <c r="L804" s="158" t="str">
        <f t="shared" si="2"/>
        <v/>
      </c>
      <c r="N804" s="49" t="str">
        <f t="array" ref="N804">IFERROR(INDEX(Sales!$E$7:$E$1506,MATCH(ROW()-4,Sales!$V$7:$V$1506,0)),"")</f>
        <v/>
      </c>
      <c r="O804" s="67"/>
      <c r="P804" s="67"/>
    </row>
    <row r="805" ht="15.0" customHeight="1">
      <c r="A805" s="151" t="str">
        <f t="array" ref="A805">IFERROR(INDEX(Sales!$E$7:$E$1506,MATCH(ROW()-4,Sales!$W$7:$W$1506,0)),"")</f>
        <v/>
      </c>
      <c r="B805" s="152" t="str">
        <f t="array" ref="B805">IF($A805="","",IFERROR(INDEX(Sales!$A:$A,MATCH($A805,Sales!$E:$E,0)),""))</f>
        <v/>
      </c>
      <c r="C805" s="153" t="str">
        <f t="array" ref="C805">IF($A805="","",IFERROR(INDEX(Sales!$D:$D,MATCH($A805,Sales!$E:$E,0)),""))</f>
        <v/>
      </c>
      <c r="D805" s="153" t="str">
        <f t="array" ref="D805">IF($A805="","",IFERROR(INDEX(Sales!$C:$C,MATCH($A805,Sales!$E:$E,0)),""))</f>
        <v/>
      </c>
      <c r="E805" s="154" t="str">
        <f>IF($A805="","",SUMIFS(Sales!$H:$H,Sales!$E:$E,$A805,Sales!$B:$B,"&lt;&gt;Return"))</f>
        <v/>
      </c>
      <c r="F805" s="155" t="str">
        <f>IF($A805="","",SUMIF(Sales!$E:$E,$A805,Sales!$L:$L))</f>
        <v/>
      </c>
      <c r="G805" s="155" t="str">
        <f>IF($A805="","",SUMIF(Sales!$E:$E,$A805,Sales!$P:$P))</f>
        <v/>
      </c>
      <c r="H805" s="156" t="str">
        <f t="array" ref="H805">IF($A805="","",IFERROR(INDEX(Orders!$O$5:$O$1004,MATCH($A805,Orders!$N$5:$N$1004,0)),""))</f>
        <v/>
      </c>
      <c r="I805" s="156" t="str">
        <f t="array" ref="I805">IF($A805="","",IFERROR(INDEX(Orders!$P$5:$P$1004,MATCH($A805,Orders!$N$5:$N$1004,0)),""))</f>
        <v/>
      </c>
      <c r="J805" s="157" t="str">
        <f t="shared" si="1"/>
        <v/>
      </c>
      <c r="K805" s="153" t="str">
        <f t="array" ref="K805">IF($A805="","",IFERROR(INDEX(Sales!$M:$M,MATCH($A805,Sales!$E:$E,0)),""))</f>
        <v/>
      </c>
      <c r="L805" s="158" t="str">
        <f t="shared" si="2"/>
        <v/>
      </c>
      <c r="N805" s="49" t="str">
        <f t="array" ref="N805">IFERROR(INDEX(Sales!$E$7:$E$1506,MATCH(ROW()-4,Sales!$V$7:$V$1506,0)),"")</f>
        <v/>
      </c>
      <c r="O805" s="67"/>
      <c r="P805" s="67"/>
    </row>
    <row r="806" ht="15.0" customHeight="1">
      <c r="A806" s="151" t="str">
        <f t="array" ref="A806">IFERROR(INDEX(Sales!$E$7:$E$1506,MATCH(ROW()-4,Sales!$W$7:$W$1506,0)),"")</f>
        <v/>
      </c>
      <c r="B806" s="152" t="str">
        <f t="array" ref="B806">IF($A806="","",IFERROR(INDEX(Sales!$A:$A,MATCH($A806,Sales!$E:$E,0)),""))</f>
        <v/>
      </c>
      <c r="C806" s="153" t="str">
        <f t="array" ref="C806">IF($A806="","",IFERROR(INDEX(Sales!$D:$D,MATCH($A806,Sales!$E:$E,0)),""))</f>
        <v/>
      </c>
      <c r="D806" s="153" t="str">
        <f t="array" ref="D806">IF($A806="","",IFERROR(INDEX(Sales!$C:$C,MATCH($A806,Sales!$E:$E,0)),""))</f>
        <v/>
      </c>
      <c r="E806" s="154" t="str">
        <f>IF($A806="","",SUMIFS(Sales!$H:$H,Sales!$E:$E,$A806,Sales!$B:$B,"&lt;&gt;Return"))</f>
        <v/>
      </c>
      <c r="F806" s="155" t="str">
        <f>IF($A806="","",SUMIF(Sales!$E:$E,$A806,Sales!$L:$L))</f>
        <v/>
      </c>
      <c r="G806" s="155" t="str">
        <f>IF($A806="","",SUMIF(Sales!$E:$E,$A806,Sales!$P:$P))</f>
        <v/>
      </c>
      <c r="H806" s="156" t="str">
        <f t="array" ref="H806">IF($A806="","",IFERROR(INDEX(Orders!$O$5:$O$1004,MATCH($A806,Orders!$N$5:$N$1004,0)),""))</f>
        <v/>
      </c>
      <c r="I806" s="156" t="str">
        <f t="array" ref="I806">IF($A806="","",IFERROR(INDEX(Orders!$P$5:$P$1004,MATCH($A806,Orders!$N$5:$N$1004,0)),""))</f>
        <v/>
      </c>
      <c r="J806" s="157" t="str">
        <f t="shared" si="1"/>
        <v/>
      </c>
      <c r="K806" s="153" t="str">
        <f t="array" ref="K806">IF($A806="","",IFERROR(INDEX(Sales!$M:$M,MATCH($A806,Sales!$E:$E,0)),""))</f>
        <v/>
      </c>
      <c r="L806" s="158" t="str">
        <f t="shared" si="2"/>
        <v/>
      </c>
      <c r="N806" s="49" t="str">
        <f t="array" ref="N806">IFERROR(INDEX(Sales!$E$7:$E$1506,MATCH(ROW()-4,Sales!$V$7:$V$1506,0)),"")</f>
        <v/>
      </c>
      <c r="O806" s="67"/>
      <c r="P806" s="67"/>
    </row>
    <row r="807" ht="15.0" customHeight="1">
      <c r="A807" s="151" t="str">
        <f t="array" ref="A807">IFERROR(INDEX(Sales!$E$7:$E$1506,MATCH(ROW()-4,Sales!$W$7:$W$1506,0)),"")</f>
        <v/>
      </c>
      <c r="B807" s="152" t="str">
        <f t="array" ref="B807">IF($A807="","",IFERROR(INDEX(Sales!$A:$A,MATCH($A807,Sales!$E:$E,0)),""))</f>
        <v/>
      </c>
      <c r="C807" s="153" t="str">
        <f t="array" ref="C807">IF($A807="","",IFERROR(INDEX(Sales!$D:$D,MATCH($A807,Sales!$E:$E,0)),""))</f>
        <v/>
      </c>
      <c r="D807" s="153" t="str">
        <f t="array" ref="D807">IF($A807="","",IFERROR(INDEX(Sales!$C:$C,MATCH($A807,Sales!$E:$E,0)),""))</f>
        <v/>
      </c>
      <c r="E807" s="154" t="str">
        <f>IF($A807="","",SUMIFS(Sales!$H:$H,Sales!$E:$E,$A807,Sales!$B:$B,"&lt;&gt;Return"))</f>
        <v/>
      </c>
      <c r="F807" s="155" t="str">
        <f>IF($A807="","",SUMIF(Sales!$E:$E,$A807,Sales!$L:$L))</f>
        <v/>
      </c>
      <c r="G807" s="155" t="str">
        <f>IF($A807="","",SUMIF(Sales!$E:$E,$A807,Sales!$P:$P))</f>
        <v/>
      </c>
      <c r="H807" s="156" t="str">
        <f t="array" ref="H807">IF($A807="","",IFERROR(INDEX(Orders!$O$5:$O$1004,MATCH($A807,Orders!$N$5:$N$1004,0)),""))</f>
        <v/>
      </c>
      <c r="I807" s="156" t="str">
        <f t="array" ref="I807">IF($A807="","",IFERROR(INDEX(Orders!$P$5:$P$1004,MATCH($A807,Orders!$N$5:$N$1004,0)),""))</f>
        <v/>
      </c>
      <c r="J807" s="157" t="str">
        <f t="shared" si="1"/>
        <v/>
      </c>
      <c r="K807" s="153" t="str">
        <f t="array" ref="K807">IF($A807="","",IFERROR(INDEX(Sales!$M:$M,MATCH($A807,Sales!$E:$E,0)),""))</f>
        <v/>
      </c>
      <c r="L807" s="158" t="str">
        <f t="shared" si="2"/>
        <v/>
      </c>
      <c r="N807" s="49" t="str">
        <f t="array" ref="N807">IFERROR(INDEX(Sales!$E$7:$E$1506,MATCH(ROW()-4,Sales!$V$7:$V$1506,0)),"")</f>
        <v/>
      </c>
      <c r="O807" s="67"/>
      <c r="P807" s="67"/>
    </row>
    <row r="808" ht="15.0" customHeight="1">
      <c r="A808" s="151" t="str">
        <f t="array" ref="A808">IFERROR(INDEX(Sales!$E$7:$E$1506,MATCH(ROW()-4,Sales!$W$7:$W$1506,0)),"")</f>
        <v/>
      </c>
      <c r="B808" s="152" t="str">
        <f t="array" ref="B808">IF($A808="","",IFERROR(INDEX(Sales!$A:$A,MATCH($A808,Sales!$E:$E,0)),""))</f>
        <v/>
      </c>
      <c r="C808" s="153" t="str">
        <f t="array" ref="C808">IF($A808="","",IFERROR(INDEX(Sales!$D:$D,MATCH($A808,Sales!$E:$E,0)),""))</f>
        <v/>
      </c>
      <c r="D808" s="153" t="str">
        <f t="array" ref="D808">IF($A808="","",IFERROR(INDEX(Sales!$C:$C,MATCH($A808,Sales!$E:$E,0)),""))</f>
        <v/>
      </c>
      <c r="E808" s="154" t="str">
        <f>IF($A808="","",SUMIFS(Sales!$H:$H,Sales!$E:$E,$A808,Sales!$B:$B,"&lt;&gt;Return"))</f>
        <v/>
      </c>
      <c r="F808" s="155" t="str">
        <f>IF($A808="","",SUMIF(Sales!$E:$E,$A808,Sales!$L:$L))</f>
        <v/>
      </c>
      <c r="G808" s="155" t="str">
        <f>IF($A808="","",SUMIF(Sales!$E:$E,$A808,Sales!$P:$P))</f>
        <v/>
      </c>
      <c r="H808" s="156" t="str">
        <f t="array" ref="H808">IF($A808="","",IFERROR(INDEX(Orders!$O$5:$O$1004,MATCH($A808,Orders!$N$5:$N$1004,0)),""))</f>
        <v/>
      </c>
      <c r="I808" s="156" t="str">
        <f t="array" ref="I808">IF($A808="","",IFERROR(INDEX(Orders!$P$5:$P$1004,MATCH($A808,Orders!$N$5:$N$1004,0)),""))</f>
        <v/>
      </c>
      <c r="J808" s="157" t="str">
        <f t="shared" si="1"/>
        <v/>
      </c>
      <c r="K808" s="153" t="str">
        <f t="array" ref="K808">IF($A808="","",IFERROR(INDEX(Sales!$M:$M,MATCH($A808,Sales!$E:$E,0)),""))</f>
        <v/>
      </c>
      <c r="L808" s="158" t="str">
        <f t="shared" si="2"/>
        <v/>
      </c>
      <c r="N808" s="49" t="str">
        <f t="array" ref="N808">IFERROR(INDEX(Sales!$E$7:$E$1506,MATCH(ROW()-4,Sales!$V$7:$V$1506,0)),"")</f>
        <v/>
      </c>
      <c r="O808" s="67"/>
      <c r="P808" s="67"/>
    </row>
    <row r="809" ht="15.0" customHeight="1">
      <c r="A809" s="151" t="str">
        <f t="array" ref="A809">IFERROR(INDEX(Sales!$E$7:$E$1506,MATCH(ROW()-4,Sales!$W$7:$W$1506,0)),"")</f>
        <v/>
      </c>
      <c r="B809" s="152" t="str">
        <f t="array" ref="B809">IF($A809="","",IFERROR(INDEX(Sales!$A:$A,MATCH($A809,Sales!$E:$E,0)),""))</f>
        <v/>
      </c>
      <c r="C809" s="153" t="str">
        <f t="array" ref="C809">IF($A809="","",IFERROR(INDEX(Sales!$D:$D,MATCH($A809,Sales!$E:$E,0)),""))</f>
        <v/>
      </c>
      <c r="D809" s="153" t="str">
        <f t="array" ref="D809">IF($A809="","",IFERROR(INDEX(Sales!$C:$C,MATCH($A809,Sales!$E:$E,0)),""))</f>
        <v/>
      </c>
      <c r="E809" s="154" t="str">
        <f>IF($A809="","",SUMIFS(Sales!$H:$H,Sales!$E:$E,$A809,Sales!$B:$B,"&lt;&gt;Return"))</f>
        <v/>
      </c>
      <c r="F809" s="155" t="str">
        <f>IF($A809="","",SUMIF(Sales!$E:$E,$A809,Sales!$L:$L))</f>
        <v/>
      </c>
      <c r="G809" s="155" t="str">
        <f>IF($A809="","",SUMIF(Sales!$E:$E,$A809,Sales!$P:$P))</f>
        <v/>
      </c>
      <c r="H809" s="156" t="str">
        <f t="array" ref="H809">IF($A809="","",IFERROR(INDEX(Orders!$O$5:$O$1004,MATCH($A809,Orders!$N$5:$N$1004,0)),""))</f>
        <v/>
      </c>
      <c r="I809" s="156" t="str">
        <f t="array" ref="I809">IF($A809="","",IFERROR(INDEX(Orders!$P$5:$P$1004,MATCH($A809,Orders!$N$5:$N$1004,0)),""))</f>
        <v/>
      </c>
      <c r="J809" s="157" t="str">
        <f t="shared" si="1"/>
        <v/>
      </c>
      <c r="K809" s="153" t="str">
        <f t="array" ref="K809">IF($A809="","",IFERROR(INDEX(Sales!$M:$M,MATCH($A809,Sales!$E:$E,0)),""))</f>
        <v/>
      </c>
      <c r="L809" s="158" t="str">
        <f t="shared" si="2"/>
        <v/>
      </c>
      <c r="N809" s="49" t="str">
        <f t="array" ref="N809">IFERROR(INDEX(Sales!$E$7:$E$1506,MATCH(ROW()-4,Sales!$V$7:$V$1506,0)),"")</f>
        <v/>
      </c>
      <c r="O809" s="67"/>
      <c r="P809" s="67"/>
    </row>
    <row r="810" ht="15.0" customHeight="1">
      <c r="A810" s="151" t="str">
        <f t="array" ref="A810">IFERROR(INDEX(Sales!$E$7:$E$1506,MATCH(ROW()-4,Sales!$W$7:$W$1506,0)),"")</f>
        <v/>
      </c>
      <c r="B810" s="152" t="str">
        <f t="array" ref="B810">IF($A810="","",IFERROR(INDEX(Sales!$A:$A,MATCH($A810,Sales!$E:$E,0)),""))</f>
        <v/>
      </c>
      <c r="C810" s="153" t="str">
        <f t="array" ref="C810">IF($A810="","",IFERROR(INDEX(Sales!$D:$D,MATCH($A810,Sales!$E:$E,0)),""))</f>
        <v/>
      </c>
      <c r="D810" s="153" t="str">
        <f t="array" ref="D810">IF($A810="","",IFERROR(INDEX(Sales!$C:$C,MATCH($A810,Sales!$E:$E,0)),""))</f>
        <v/>
      </c>
      <c r="E810" s="154" t="str">
        <f>IF($A810="","",SUMIFS(Sales!$H:$H,Sales!$E:$E,$A810,Sales!$B:$B,"&lt;&gt;Return"))</f>
        <v/>
      </c>
      <c r="F810" s="155" t="str">
        <f>IF($A810="","",SUMIF(Sales!$E:$E,$A810,Sales!$L:$L))</f>
        <v/>
      </c>
      <c r="G810" s="155" t="str">
        <f>IF($A810="","",SUMIF(Sales!$E:$E,$A810,Sales!$P:$P))</f>
        <v/>
      </c>
      <c r="H810" s="156" t="str">
        <f t="array" ref="H810">IF($A810="","",IFERROR(INDEX(Orders!$O$5:$O$1004,MATCH($A810,Orders!$N$5:$N$1004,0)),""))</f>
        <v/>
      </c>
      <c r="I810" s="156" t="str">
        <f t="array" ref="I810">IF($A810="","",IFERROR(INDEX(Orders!$P$5:$P$1004,MATCH($A810,Orders!$N$5:$N$1004,0)),""))</f>
        <v/>
      </c>
      <c r="J810" s="157" t="str">
        <f t="shared" si="1"/>
        <v/>
      </c>
      <c r="K810" s="153" t="str">
        <f t="array" ref="K810">IF($A810="","",IFERROR(INDEX(Sales!$M:$M,MATCH($A810,Sales!$E:$E,0)),""))</f>
        <v/>
      </c>
      <c r="L810" s="158" t="str">
        <f t="shared" si="2"/>
        <v/>
      </c>
      <c r="N810" s="49" t="str">
        <f t="array" ref="N810">IFERROR(INDEX(Sales!$E$7:$E$1506,MATCH(ROW()-4,Sales!$V$7:$V$1506,0)),"")</f>
        <v/>
      </c>
      <c r="O810" s="67"/>
      <c r="P810" s="67"/>
    </row>
    <row r="811" ht="15.0" customHeight="1">
      <c r="A811" s="151" t="str">
        <f t="array" ref="A811">IFERROR(INDEX(Sales!$E$7:$E$1506,MATCH(ROW()-4,Sales!$W$7:$W$1506,0)),"")</f>
        <v/>
      </c>
      <c r="B811" s="152" t="str">
        <f t="array" ref="B811">IF($A811="","",IFERROR(INDEX(Sales!$A:$A,MATCH($A811,Sales!$E:$E,0)),""))</f>
        <v/>
      </c>
      <c r="C811" s="153" t="str">
        <f t="array" ref="C811">IF($A811="","",IFERROR(INDEX(Sales!$D:$D,MATCH($A811,Sales!$E:$E,0)),""))</f>
        <v/>
      </c>
      <c r="D811" s="153" t="str">
        <f t="array" ref="D811">IF($A811="","",IFERROR(INDEX(Sales!$C:$C,MATCH($A811,Sales!$E:$E,0)),""))</f>
        <v/>
      </c>
      <c r="E811" s="154" t="str">
        <f>IF($A811="","",SUMIFS(Sales!$H:$H,Sales!$E:$E,$A811,Sales!$B:$B,"&lt;&gt;Return"))</f>
        <v/>
      </c>
      <c r="F811" s="155" t="str">
        <f>IF($A811="","",SUMIF(Sales!$E:$E,$A811,Sales!$L:$L))</f>
        <v/>
      </c>
      <c r="G811" s="155" t="str">
        <f>IF($A811="","",SUMIF(Sales!$E:$E,$A811,Sales!$P:$P))</f>
        <v/>
      </c>
      <c r="H811" s="156" t="str">
        <f t="array" ref="H811">IF($A811="","",IFERROR(INDEX(Orders!$O$5:$O$1004,MATCH($A811,Orders!$N$5:$N$1004,0)),""))</f>
        <v/>
      </c>
      <c r="I811" s="156" t="str">
        <f t="array" ref="I811">IF($A811="","",IFERROR(INDEX(Orders!$P$5:$P$1004,MATCH($A811,Orders!$N$5:$N$1004,0)),""))</f>
        <v/>
      </c>
      <c r="J811" s="157" t="str">
        <f t="shared" si="1"/>
        <v/>
      </c>
      <c r="K811" s="153" t="str">
        <f t="array" ref="K811">IF($A811="","",IFERROR(INDEX(Sales!$M:$M,MATCH($A811,Sales!$E:$E,0)),""))</f>
        <v/>
      </c>
      <c r="L811" s="158" t="str">
        <f t="shared" si="2"/>
        <v/>
      </c>
      <c r="N811" s="49" t="str">
        <f t="array" ref="N811">IFERROR(INDEX(Sales!$E$7:$E$1506,MATCH(ROW()-4,Sales!$V$7:$V$1506,0)),"")</f>
        <v/>
      </c>
      <c r="O811" s="67"/>
      <c r="P811" s="67"/>
    </row>
    <row r="812" ht="15.0" customHeight="1">
      <c r="A812" s="151" t="str">
        <f t="array" ref="A812">IFERROR(INDEX(Sales!$E$7:$E$1506,MATCH(ROW()-4,Sales!$W$7:$W$1506,0)),"")</f>
        <v/>
      </c>
      <c r="B812" s="152" t="str">
        <f t="array" ref="B812">IF($A812="","",IFERROR(INDEX(Sales!$A:$A,MATCH($A812,Sales!$E:$E,0)),""))</f>
        <v/>
      </c>
      <c r="C812" s="153" t="str">
        <f t="array" ref="C812">IF($A812="","",IFERROR(INDEX(Sales!$D:$D,MATCH($A812,Sales!$E:$E,0)),""))</f>
        <v/>
      </c>
      <c r="D812" s="153" t="str">
        <f t="array" ref="D812">IF($A812="","",IFERROR(INDEX(Sales!$C:$C,MATCH($A812,Sales!$E:$E,0)),""))</f>
        <v/>
      </c>
      <c r="E812" s="154" t="str">
        <f>IF($A812="","",SUMIFS(Sales!$H:$H,Sales!$E:$E,$A812,Sales!$B:$B,"&lt;&gt;Return"))</f>
        <v/>
      </c>
      <c r="F812" s="155" t="str">
        <f>IF($A812="","",SUMIF(Sales!$E:$E,$A812,Sales!$L:$L))</f>
        <v/>
      </c>
      <c r="G812" s="155" t="str">
        <f>IF($A812="","",SUMIF(Sales!$E:$E,$A812,Sales!$P:$P))</f>
        <v/>
      </c>
      <c r="H812" s="156" t="str">
        <f t="array" ref="H812">IF($A812="","",IFERROR(INDEX(Orders!$O$5:$O$1004,MATCH($A812,Orders!$N$5:$N$1004,0)),""))</f>
        <v/>
      </c>
      <c r="I812" s="156" t="str">
        <f t="array" ref="I812">IF($A812="","",IFERROR(INDEX(Orders!$P$5:$P$1004,MATCH($A812,Orders!$N$5:$N$1004,0)),""))</f>
        <v/>
      </c>
      <c r="J812" s="157" t="str">
        <f t="shared" si="1"/>
        <v/>
      </c>
      <c r="K812" s="153" t="str">
        <f t="array" ref="K812">IF($A812="","",IFERROR(INDEX(Sales!$M:$M,MATCH($A812,Sales!$E:$E,0)),""))</f>
        <v/>
      </c>
      <c r="L812" s="158" t="str">
        <f t="shared" si="2"/>
        <v/>
      </c>
      <c r="N812" s="49" t="str">
        <f t="array" ref="N812">IFERROR(INDEX(Sales!$E$7:$E$1506,MATCH(ROW()-4,Sales!$V$7:$V$1506,0)),"")</f>
        <v/>
      </c>
      <c r="O812" s="67"/>
      <c r="P812" s="67"/>
    </row>
    <row r="813" ht="15.0" customHeight="1">
      <c r="A813" s="151" t="str">
        <f t="array" ref="A813">IFERROR(INDEX(Sales!$E$7:$E$1506,MATCH(ROW()-4,Sales!$W$7:$W$1506,0)),"")</f>
        <v/>
      </c>
      <c r="B813" s="152" t="str">
        <f t="array" ref="B813">IF($A813="","",IFERROR(INDEX(Sales!$A:$A,MATCH($A813,Sales!$E:$E,0)),""))</f>
        <v/>
      </c>
      <c r="C813" s="153" t="str">
        <f t="array" ref="C813">IF($A813="","",IFERROR(INDEX(Sales!$D:$D,MATCH($A813,Sales!$E:$E,0)),""))</f>
        <v/>
      </c>
      <c r="D813" s="153" t="str">
        <f t="array" ref="D813">IF($A813="","",IFERROR(INDEX(Sales!$C:$C,MATCH($A813,Sales!$E:$E,0)),""))</f>
        <v/>
      </c>
      <c r="E813" s="154" t="str">
        <f>IF($A813="","",SUMIFS(Sales!$H:$H,Sales!$E:$E,$A813,Sales!$B:$B,"&lt;&gt;Return"))</f>
        <v/>
      </c>
      <c r="F813" s="155" t="str">
        <f>IF($A813="","",SUMIF(Sales!$E:$E,$A813,Sales!$L:$L))</f>
        <v/>
      </c>
      <c r="G813" s="155" t="str">
        <f>IF($A813="","",SUMIF(Sales!$E:$E,$A813,Sales!$P:$P))</f>
        <v/>
      </c>
      <c r="H813" s="156" t="str">
        <f t="array" ref="H813">IF($A813="","",IFERROR(INDEX(Orders!$O$5:$O$1004,MATCH($A813,Orders!$N$5:$N$1004,0)),""))</f>
        <v/>
      </c>
      <c r="I813" s="156" t="str">
        <f t="array" ref="I813">IF($A813="","",IFERROR(INDEX(Orders!$P$5:$P$1004,MATCH($A813,Orders!$N$5:$N$1004,0)),""))</f>
        <v/>
      </c>
      <c r="J813" s="157" t="str">
        <f t="shared" si="1"/>
        <v/>
      </c>
      <c r="K813" s="153" t="str">
        <f t="array" ref="K813">IF($A813="","",IFERROR(INDEX(Sales!$M:$M,MATCH($A813,Sales!$E:$E,0)),""))</f>
        <v/>
      </c>
      <c r="L813" s="158" t="str">
        <f t="shared" si="2"/>
        <v/>
      </c>
      <c r="N813" s="49" t="str">
        <f t="array" ref="N813">IFERROR(INDEX(Sales!$E$7:$E$1506,MATCH(ROW()-4,Sales!$V$7:$V$1506,0)),"")</f>
        <v/>
      </c>
      <c r="O813" s="67"/>
      <c r="P813" s="67"/>
    </row>
    <row r="814" ht="15.0" customHeight="1">
      <c r="A814" s="151" t="str">
        <f t="array" ref="A814">IFERROR(INDEX(Sales!$E$7:$E$1506,MATCH(ROW()-4,Sales!$W$7:$W$1506,0)),"")</f>
        <v/>
      </c>
      <c r="B814" s="152" t="str">
        <f t="array" ref="B814">IF($A814="","",IFERROR(INDEX(Sales!$A:$A,MATCH($A814,Sales!$E:$E,0)),""))</f>
        <v/>
      </c>
      <c r="C814" s="153" t="str">
        <f t="array" ref="C814">IF($A814="","",IFERROR(INDEX(Sales!$D:$D,MATCH($A814,Sales!$E:$E,0)),""))</f>
        <v/>
      </c>
      <c r="D814" s="153" t="str">
        <f t="array" ref="D814">IF($A814="","",IFERROR(INDEX(Sales!$C:$C,MATCH($A814,Sales!$E:$E,0)),""))</f>
        <v/>
      </c>
      <c r="E814" s="154" t="str">
        <f>IF($A814="","",SUMIFS(Sales!$H:$H,Sales!$E:$E,$A814,Sales!$B:$B,"&lt;&gt;Return"))</f>
        <v/>
      </c>
      <c r="F814" s="155" t="str">
        <f>IF($A814="","",SUMIF(Sales!$E:$E,$A814,Sales!$L:$L))</f>
        <v/>
      </c>
      <c r="G814" s="155" t="str">
        <f>IF($A814="","",SUMIF(Sales!$E:$E,$A814,Sales!$P:$P))</f>
        <v/>
      </c>
      <c r="H814" s="156" t="str">
        <f t="array" ref="H814">IF($A814="","",IFERROR(INDEX(Orders!$O$5:$O$1004,MATCH($A814,Orders!$N$5:$N$1004,0)),""))</f>
        <v/>
      </c>
      <c r="I814" s="156" t="str">
        <f t="array" ref="I814">IF($A814="","",IFERROR(INDEX(Orders!$P$5:$P$1004,MATCH($A814,Orders!$N$5:$N$1004,0)),""))</f>
        <v/>
      </c>
      <c r="J814" s="157" t="str">
        <f t="shared" si="1"/>
        <v/>
      </c>
      <c r="K814" s="153" t="str">
        <f t="array" ref="K814">IF($A814="","",IFERROR(INDEX(Sales!$M:$M,MATCH($A814,Sales!$E:$E,0)),""))</f>
        <v/>
      </c>
      <c r="L814" s="158" t="str">
        <f t="shared" si="2"/>
        <v/>
      </c>
      <c r="N814" s="49" t="str">
        <f t="array" ref="N814">IFERROR(INDEX(Sales!$E$7:$E$1506,MATCH(ROW()-4,Sales!$V$7:$V$1506,0)),"")</f>
        <v/>
      </c>
      <c r="O814" s="67"/>
      <c r="P814" s="67"/>
    </row>
    <row r="815" ht="15.0" customHeight="1">
      <c r="A815" s="151" t="str">
        <f t="array" ref="A815">IFERROR(INDEX(Sales!$E$7:$E$1506,MATCH(ROW()-4,Sales!$W$7:$W$1506,0)),"")</f>
        <v/>
      </c>
      <c r="B815" s="152" t="str">
        <f t="array" ref="B815">IF($A815="","",IFERROR(INDEX(Sales!$A:$A,MATCH($A815,Sales!$E:$E,0)),""))</f>
        <v/>
      </c>
      <c r="C815" s="153" t="str">
        <f t="array" ref="C815">IF($A815="","",IFERROR(INDEX(Sales!$D:$D,MATCH($A815,Sales!$E:$E,0)),""))</f>
        <v/>
      </c>
      <c r="D815" s="153" t="str">
        <f t="array" ref="D815">IF($A815="","",IFERROR(INDEX(Sales!$C:$C,MATCH($A815,Sales!$E:$E,0)),""))</f>
        <v/>
      </c>
      <c r="E815" s="154" t="str">
        <f>IF($A815="","",SUMIFS(Sales!$H:$H,Sales!$E:$E,$A815,Sales!$B:$B,"&lt;&gt;Return"))</f>
        <v/>
      </c>
      <c r="F815" s="155" t="str">
        <f>IF($A815="","",SUMIF(Sales!$E:$E,$A815,Sales!$L:$L))</f>
        <v/>
      </c>
      <c r="G815" s="155" t="str">
        <f>IF($A815="","",SUMIF(Sales!$E:$E,$A815,Sales!$P:$P))</f>
        <v/>
      </c>
      <c r="H815" s="156" t="str">
        <f t="array" ref="H815">IF($A815="","",IFERROR(INDEX(Orders!$O$5:$O$1004,MATCH($A815,Orders!$N$5:$N$1004,0)),""))</f>
        <v/>
      </c>
      <c r="I815" s="156" t="str">
        <f t="array" ref="I815">IF($A815="","",IFERROR(INDEX(Orders!$P$5:$P$1004,MATCH($A815,Orders!$N$5:$N$1004,0)),""))</f>
        <v/>
      </c>
      <c r="J815" s="157" t="str">
        <f t="shared" si="1"/>
        <v/>
      </c>
      <c r="K815" s="153" t="str">
        <f t="array" ref="K815">IF($A815="","",IFERROR(INDEX(Sales!$M:$M,MATCH($A815,Sales!$E:$E,0)),""))</f>
        <v/>
      </c>
      <c r="L815" s="158" t="str">
        <f t="shared" si="2"/>
        <v/>
      </c>
      <c r="N815" s="49" t="str">
        <f t="array" ref="N815">IFERROR(INDEX(Sales!$E$7:$E$1506,MATCH(ROW()-4,Sales!$V$7:$V$1506,0)),"")</f>
        <v/>
      </c>
      <c r="O815" s="67"/>
      <c r="P815" s="67"/>
    </row>
    <row r="816" ht="15.0" customHeight="1">
      <c r="A816" s="151" t="str">
        <f t="array" ref="A816">IFERROR(INDEX(Sales!$E$7:$E$1506,MATCH(ROW()-4,Sales!$W$7:$W$1506,0)),"")</f>
        <v/>
      </c>
      <c r="B816" s="152" t="str">
        <f t="array" ref="B816">IF($A816="","",IFERROR(INDEX(Sales!$A:$A,MATCH($A816,Sales!$E:$E,0)),""))</f>
        <v/>
      </c>
      <c r="C816" s="153" t="str">
        <f t="array" ref="C816">IF($A816="","",IFERROR(INDEX(Sales!$D:$D,MATCH($A816,Sales!$E:$E,0)),""))</f>
        <v/>
      </c>
      <c r="D816" s="153" t="str">
        <f t="array" ref="D816">IF($A816="","",IFERROR(INDEX(Sales!$C:$C,MATCH($A816,Sales!$E:$E,0)),""))</f>
        <v/>
      </c>
      <c r="E816" s="154" t="str">
        <f>IF($A816="","",SUMIFS(Sales!$H:$H,Sales!$E:$E,$A816,Sales!$B:$B,"&lt;&gt;Return"))</f>
        <v/>
      </c>
      <c r="F816" s="155" t="str">
        <f>IF($A816="","",SUMIF(Sales!$E:$E,$A816,Sales!$L:$L))</f>
        <v/>
      </c>
      <c r="G816" s="155" t="str">
        <f>IF($A816="","",SUMIF(Sales!$E:$E,$A816,Sales!$P:$P))</f>
        <v/>
      </c>
      <c r="H816" s="156" t="str">
        <f t="array" ref="H816">IF($A816="","",IFERROR(INDEX(Orders!$O$5:$O$1004,MATCH($A816,Orders!$N$5:$N$1004,0)),""))</f>
        <v/>
      </c>
      <c r="I816" s="156" t="str">
        <f t="array" ref="I816">IF($A816="","",IFERROR(INDEX(Orders!$P$5:$P$1004,MATCH($A816,Orders!$N$5:$N$1004,0)),""))</f>
        <v/>
      </c>
      <c r="J816" s="157" t="str">
        <f t="shared" si="1"/>
        <v/>
      </c>
      <c r="K816" s="153" t="str">
        <f t="array" ref="K816">IF($A816="","",IFERROR(INDEX(Sales!$M:$M,MATCH($A816,Sales!$E:$E,0)),""))</f>
        <v/>
      </c>
      <c r="L816" s="158" t="str">
        <f t="shared" si="2"/>
        <v/>
      </c>
      <c r="N816" s="49" t="str">
        <f t="array" ref="N816">IFERROR(INDEX(Sales!$E$7:$E$1506,MATCH(ROW()-4,Sales!$V$7:$V$1506,0)),"")</f>
        <v/>
      </c>
      <c r="O816" s="67"/>
      <c r="P816" s="67"/>
    </row>
    <row r="817" ht="15.0" customHeight="1">
      <c r="A817" s="151" t="str">
        <f t="array" ref="A817">IFERROR(INDEX(Sales!$E$7:$E$1506,MATCH(ROW()-4,Sales!$W$7:$W$1506,0)),"")</f>
        <v/>
      </c>
      <c r="B817" s="152" t="str">
        <f t="array" ref="B817">IF($A817="","",IFERROR(INDEX(Sales!$A:$A,MATCH($A817,Sales!$E:$E,0)),""))</f>
        <v/>
      </c>
      <c r="C817" s="153" t="str">
        <f t="array" ref="C817">IF($A817="","",IFERROR(INDEX(Sales!$D:$D,MATCH($A817,Sales!$E:$E,0)),""))</f>
        <v/>
      </c>
      <c r="D817" s="153" t="str">
        <f t="array" ref="D817">IF($A817="","",IFERROR(INDEX(Sales!$C:$C,MATCH($A817,Sales!$E:$E,0)),""))</f>
        <v/>
      </c>
      <c r="E817" s="154" t="str">
        <f>IF($A817="","",SUMIFS(Sales!$H:$H,Sales!$E:$E,$A817,Sales!$B:$B,"&lt;&gt;Return"))</f>
        <v/>
      </c>
      <c r="F817" s="155" t="str">
        <f>IF($A817="","",SUMIF(Sales!$E:$E,$A817,Sales!$L:$L))</f>
        <v/>
      </c>
      <c r="G817" s="155" t="str">
        <f>IF($A817="","",SUMIF(Sales!$E:$E,$A817,Sales!$P:$P))</f>
        <v/>
      </c>
      <c r="H817" s="156" t="str">
        <f t="array" ref="H817">IF($A817="","",IFERROR(INDEX(Orders!$O$5:$O$1004,MATCH($A817,Orders!$N$5:$N$1004,0)),""))</f>
        <v/>
      </c>
      <c r="I817" s="156" t="str">
        <f t="array" ref="I817">IF($A817="","",IFERROR(INDEX(Orders!$P$5:$P$1004,MATCH($A817,Orders!$N$5:$N$1004,0)),""))</f>
        <v/>
      </c>
      <c r="J817" s="157" t="str">
        <f t="shared" si="1"/>
        <v/>
      </c>
      <c r="K817" s="153" t="str">
        <f t="array" ref="K817">IF($A817="","",IFERROR(INDEX(Sales!$M:$M,MATCH($A817,Sales!$E:$E,0)),""))</f>
        <v/>
      </c>
      <c r="L817" s="158" t="str">
        <f t="shared" si="2"/>
        <v/>
      </c>
      <c r="N817" s="49" t="str">
        <f t="array" ref="N817">IFERROR(INDEX(Sales!$E$7:$E$1506,MATCH(ROW()-4,Sales!$V$7:$V$1506,0)),"")</f>
        <v/>
      </c>
      <c r="O817" s="67"/>
      <c r="P817" s="67"/>
    </row>
    <row r="818" ht="15.0" customHeight="1">
      <c r="A818" s="151" t="str">
        <f t="array" ref="A818">IFERROR(INDEX(Sales!$E$7:$E$1506,MATCH(ROW()-4,Sales!$W$7:$W$1506,0)),"")</f>
        <v/>
      </c>
      <c r="B818" s="152" t="str">
        <f t="array" ref="B818">IF($A818="","",IFERROR(INDEX(Sales!$A:$A,MATCH($A818,Sales!$E:$E,0)),""))</f>
        <v/>
      </c>
      <c r="C818" s="153" t="str">
        <f t="array" ref="C818">IF($A818="","",IFERROR(INDEX(Sales!$D:$D,MATCH($A818,Sales!$E:$E,0)),""))</f>
        <v/>
      </c>
      <c r="D818" s="153" t="str">
        <f t="array" ref="D818">IF($A818="","",IFERROR(INDEX(Sales!$C:$C,MATCH($A818,Sales!$E:$E,0)),""))</f>
        <v/>
      </c>
      <c r="E818" s="154" t="str">
        <f>IF($A818="","",SUMIFS(Sales!$H:$H,Sales!$E:$E,$A818,Sales!$B:$B,"&lt;&gt;Return"))</f>
        <v/>
      </c>
      <c r="F818" s="155" t="str">
        <f>IF($A818="","",SUMIF(Sales!$E:$E,$A818,Sales!$L:$L))</f>
        <v/>
      </c>
      <c r="G818" s="155" t="str">
        <f>IF($A818="","",SUMIF(Sales!$E:$E,$A818,Sales!$P:$P))</f>
        <v/>
      </c>
      <c r="H818" s="156" t="str">
        <f t="array" ref="H818">IF($A818="","",IFERROR(INDEX(Orders!$O$5:$O$1004,MATCH($A818,Orders!$N$5:$N$1004,0)),""))</f>
        <v/>
      </c>
      <c r="I818" s="156" t="str">
        <f t="array" ref="I818">IF($A818="","",IFERROR(INDEX(Orders!$P$5:$P$1004,MATCH($A818,Orders!$N$5:$N$1004,0)),""))</f>
        <v/>
      </c>
      <c r="J818" s="157" t="str">
        <f t="shared" si="1"/>
        <v/>
      </c>
      <c r="K818" s="153" t="str">
        <f t="array" ref="K818">IF($A818="","",IFERROR(INDEX(Sales!$M:$M,MATCH($A818,Sales!$E:$E,0)),""))</f>
        <v/>
      </c>
      <c r="L818" s="158" t="str">
        <f t="shared" si="2"/>
        <v/>
      </c>
      <c r="N818" s="49" t="str">
        <f t="array" ref="N818">IFERROR(INDEX(Sales!$E$7:$E$1506,MATCH(ROW()-4,Sales!$V$7:$V$1506,0)),"")</f>
        <v/>
      </c>
      <c r="O818" s="67"/>
      <c r="P818" s="67"/>
    </row>
    <row r="819" ht="15.0" customHeight="1">
      <c r="A819" s="151" t="str">
        <f t="array" ref="A819">IFERROR(INDEX(Sales!$E$7:$E$1506,MATCH(ROW()-4,Sales!$W$7:$W$1506,0)),"")</f>
        <v/>
      </c>
      <c r="B819" s="152" t="str">
        <f t="array" ref="B819">IF($A819="","",IFERROR(INDEX(Sales!$A:$A,MATCH($A819,Sales!$E:$E,0)),""))</f>
        <v/>
      </c>
      <c r="C819" s="153" t="str">
        <f t="array" ref="C819">IF($A819="","",IFERROR(INDEX(Sales!$D:$D,MATCH($A819,Sales!$E:$E,0)),""))</f>
        <v/>
      </c>
      <c r="D819" s="153" t="str">
        <f t="array" ref="D819">IF($A819="","",IFERROR(INDEX(Sales!$C:$C,MATCH($A819,Sales!$E:$E,0)),""))</f>
        <v/>
      </c>
      <c r="E819" s="154" t="str">
        <f>IF($A819="","",SUMIFS(Sales!$H:$H,Sales!$E:$E,$A819,Sales!$B:$B,"&lt;&gt;Return"))</f>
        <v/>
      </c>
      <c r="F819" s="155" t="str">
        <f>IF($A819="","",SUMIF(Sales!$E:$E,$A819,Sales!$L:$L))</f>
        <v/>
      </c>
      <c r="G819" s="155" t="str">
        <f>IF($A819="","",SUMIF(Sales!$E:$E,$A819,Sales!$P:$P))</f>
        <v/>
      </c>
      <c r="H819" s="156" t="str">
        <f t="array" ref="H819">IF($A819="","",IFERROR(INDEX(Orders!$O$5:$O$1004,MATCH($A819,Orders!$N$5:$N$1004,0)),""))</f>
        <v/>
      </c>
      <c r="I819" s="156" t="str">
        <f t="array" ref="I819">IF($A819="","",IFERROR(INDEX(Orders!$P$5:$P$1004,MATCH($A819,Orders!$N$5:$N$1004,0)),""))</f>
        <v/>
      </c>
      <c r="J819" s="157" t="str">
        <f t="shared" si="1"/>
        <v/>
      </c>
      <c r="K819" s="153" t="str">
        <f t="array" ref="K819">IF($A819="","",IFERROR(INDEX(Sales!$M:$M,MATCH($A819,Sales!$E:$E,0)),""))</f>
        <v/>
      </c>
      <c r="L819" s="158" t="str">
        <f t="shared" si="2"/>
        <v/>
      </c>
      <c r="N819" s="49" t="str">
        <f t="array" ref="N819">IFERROR(INDEX(Sales!$E$7:$E$1506,MATCH(ROW()-4,Sales!$V$7:$V$1506,0)),"")</f>
        <v/>
      </c>
      <c r="O819" s="67"/>
      <c r="P819" s="67"/>
    </row>
    <row r="820" ht="15.0" customHeight="1">
      <c r="A820" s="151" t="str">
        <f t="array" ref="A820">IFERROR(INDEX(Sales!$E$7:$E$1506,MATCH(ROW()-4,Sales!$W$7:$W$1506,0)),"")</f>
        <v/>
      </c>
      <c r="B820" s="152" t="str">
        <f t="array" ref="B820">IF($A820="","",IFERROR(INDEX(Sales!$A:$A,MATCH($A820,Sales!$E:$E,0)),""))</f>
        <v/>
      </c>
      <c r="C820" s="153" t="str">
        <f t="array" ref="C820">IF($A820="","",IFERROR(INDEX(Sales!$D:$D,MATCH($A820,Sales!$E:$E,0)),""))</f>
        <v/>
      </c>
      <c r="D820" s="153" t="str">
        <f t="array" ref="D820">IF($A820="","",IFERROR(INDEX(Sales!$C:$C,MATCH($A820,Sales!$E:$E,0)),""))</f>
        <v/>
      </c>
      <c r="E820" s="154" t="str">
        <f>IF($A820="","",SUMIFS(Sales!$H:$H,Sales!$E:$E,$A820,Sales!$B:$B,"&lt;&gt;Return"))</f>
        <v/>
      </c>
      <c r="F820" s="155" t="str">
        <f>IF($A820="","",SUMIF(Sales!$E:$E,$A820,Sales!$L:$L))</f>
        <v/>
      </c>
      <c r="G820" s="155" t="str">
        <f>IF($A820="","",SUMIF(Sales!$E:$E,$A820,Sales!$P:$P))</f>
        <v/>
      </c>
      <c r="H820" s="156" t="str">
        <f t="array" ref="H820">IF($A820="","",IFERROR(INDEX(Orders!$O$5:$O$1004,MATCH($A820,Orders!$N$5:$N$1004,0)),""))</f>
        <v/>
      </c>
      <c r="I820" s="156" t="str">
        <f t="array" ref="I820">IF($A820="","",IFERROR(INDEX(Orders!$P$5:$P$1004,MATCH($A820,Orders!$N$5:$N$1004,0)),""))</f>
        <v/>
      </c>
      <c r="J820" s="157" t="str">
        <f t="shared" si="1"/>
        <v/>
      </c>
      <c r="K820" s="153" t="str">
        <f t="array" ref="K820">IF($A820="","",IFERROR(INDEX(Sales!$M:$M,MATCH($A820,Sales!$E:$E,0)),""))</f>
        <v/>
      </c>
      <c r="L820" s="158" t="str">
        <f t="shared" si="2"/>
        <v/>
      </c>
      <c r="N820" s="49" t="str">
        <f t="array" ref="N820">IFERROR(INDEX(Sales!$E$7:$E$1506,MATCH(ROW()-4,Sales!$V$7:$V$1506,0)),"")</f>
        <v/>
      </c>
      <c r="O820" s="67"/>
      <c r="P820" s="67"/>
    </row>
    <row r="821" ht="15.0" customHeight="1">
      <c r="A821" s="151" t="str">
        <f t="array" ref="A821">IFERROR(INDEX(Sales!$E$7:$E$1506,MATCH(ROW()-4,Sales!$W$7:$W$1506,0)),"")</f>
        <v/>
      </c>
      <c r="B821" s="152" t="str">
        <f t="array" ref="B821">IF($A821="","",IFERROR(INDEX(Sales!$A:$A,MATCH($A821,Sales!$E:$E,0)),""))</f>
        <v/>
      </c>
      <c r="C821" s="153" t="str">
        <f t="array" ref="C821">IF($A821="","",IFERROR(INDEX(Sales!$D:$D,MATCH($A821,Sales!$E:$E,0)),""))</f>
        <v/>
      </c>
      <c r="D821" s="153" t="str">
        <f t="array" ref="D821">IF($A821="","",IFERROR(INDEX(Sales!$C:$C,MATCH($A821,Sales!$E:$E,0)),""))</f>
        <v/>
      </c>
      <c r="E821" s="154" t="str">
        <f>IF($A821="","",SUMIFS(Sales!$H:$H,Sales!$E:$E,$A821,Sales!$B:$B,"&lt;&gt;Return"))</f>
        <v/>
      </c>
      <c r="F821" s="155" t="str">
        <f>IF($A821="","",SUMIF(Sales!$E:$E,$A821,Sales!$L:$L))</f>
        <v/>
      </c>
      <c r="G821" s="155" t="str">
        <f>IF($A821="","",SUMIF(Sales!$E:$E,$A821,Sales!$P:$P))</f>
        <v/>
      </c>
      <c r="H821" s="156" t="str">
        <f t="array" ref="H821">IF($A821="","",IFERROR(INDEX(Orders!$O$5:$O$1004,MATCH($A821,Orders!$N$5:$N$1004,0)),""))</f>
        <v/>
      </c>
      <c r="I821" s="156" t="str">
        <f t="array" ref="I821">IF($A821="","",IFERROR(INDEX(Orders!$P$5:$P$1004,MATCH($A821,Orders!$N$5:$N$1004,0)),""))</f>
        <v/>
      </c>
      <c r="J821" s="157" t="str">
        <f t="shared" si="1"/>
        <v/>
      </c>
      <c r="K821" s="153" t="str">
        <f t="array" ref="K821">IF($A821="","",IFERROR(INDEX(Sales!$M:$M,MATCH($A821,Sales!$E:$E,0)),""))</f>
        <v/>
      </c>
      <c r="L821" s="158" t="str">
        <f t="shared" si="2"/>
        <v/>
      </c>
      <c r="N821" s="49" t="str">
        <f t="array" ref="N821">IFERROR(INDEX(Sales!$E$7:$E$1506,MATCH(ROW()-4,Sales!$V$7:$V$1506,0)),"")</f>
        <v/>
      </c>
      <c r="O821" s="67"/>
      <c r="P821" s="67"/>
    </row>
    <row r="822" ht="15.0" customHeight="1">
      <c r="A822" s="151" t="str">
        <f t="array" ref="A822">IFERROR(INDEX(Sales!$E$7:$E$1506,MATCH(ROW()-4,Sales!$W$7:$W$1506,0)),"")</f>
        <v/>
      </c>
      <c r="B822" s="152" t="str">
        <f t="array" ref="B822">IF($A822="","",IFERROR(INDEX(Sales!$A:$A,MATCH($A822,Sales!$E:$E,0)),""))</f>
        <v/>
      </c>
      <c r="C822" s="153" t="str">
        <f t="array" ref="C822">IF($A822="","",IFERROR(INDEX(Sales!$D:$D,MATCH($A822,Sales!$E:$E,0)),""))</f>
        <v/>
      </c>
      <c r="D822" s="153" t="str">
        <f t="array" ref="D822">IF($A822="","",IFERROR(INDEX(Sales!$C:$C,MATCH($A822,Sales!$E:$E,0)),""))</f>
        <v/>
      </c>
      <c r="E822" s="154" t="str">
        <f>IF($A822="","",SUMIFS(Sales!$H:$H,Sales!$E:$E,$A822,Sales!$B:$B,"&lt;&gt;Return"))</f>
        <v/>
      </c>
      <c r="F822" s="155" t="str">
        <f>IF($A822="","",SUMIF(Sales!$E:$E,$A822,Sales!$L:$L))</f>
        <v/>
      </c>
      <c r="G822" s="155" t="str">
        <f>IF($A822="","",SUMIF(Sales!$E:$E,$A822,Sales!$P:$P))</f>
        <v/>
      </c>
      <c r="H822" s="156" t="str">
        <f t="array" ref="H822">IF($A822="","",IFERROR(INDEX(Orders!$O$5:$O$1004,MATCH($A822,Orders!$N$5:$N$1004,0)),""))</f>
        <v/>
      </c>
      <c r="I822" s="156" t="str">
        <f t="array" ref="I822">IF($A822="","",IFERROR(INDEX(Orders!$P$5:$P$1004,MATCH($A822,Orders!$N$5:$N$1004,0)),""))</f>
        <v/>
      </c>
      <c r="J822" s="157" t="str">
        <f t="shared" si="1"/>
        <v/>
      </c>
      <c r="K822" s="153" t="str">
        <f t="array" ref="K822">IF($A822="","",IFERROR(INDEX(Sales!$M:$M,MATCH($A822,Sales!$E:$E,0)),""))</f>
        <v/>
      </c>
      <c r="L822" s="158" t="str">
        <f t="shared" si="2"/>
        <v/>
      </c>
      <c r="N822" s="49" t="str">
        <f t="array" ref="N822">IFERROR(INDEX(Sales!$E$7:$E$1506,MATCH(ROW()-4,Sales!$V$7:$V$1506,0)),"")</f>
        <v/>
      </c>
      <c r="O822" s="67"/>
      <c r="P822" s="67"/>
    </row>
    <row r="823" ht="15.0" customHeight="1">
      <c r="A823" s="151" t="str">
        <f t="array" ref="A823">IFERROR(INDEX(Sales!$E$7:$E$1506,MATCH(ROW()-4,Sales!$W$7:$W$1506,0)),"")</f>
        <v/>
      </c>
      <c r="B823" s="152" t="str">
        <f t="array" ref="B823">IF($A823="","",IFERROR(INDEX(Sales!$A:$A,MATCH($A823,Sales!$E:$E,0)),""))</f>
        <v/>
      </c>
      <c r="C823" s="153" t="str">
        <f t="array" ref="C823">IF($A823="","",IFERROR(INDEX(Sales!$D:$D,MATCH($A823,Sales!$E:$E,0)),""))</f>
        <v/>
      </c>
      <c r="D823" s="153" t="str">
        <f t="array" ref="D823">IF($A823="","",IFERROR(INDEX(Sales!$C:$C,MATCH($A823,Sales!$E:$E,0)),""))</f>
        <v/>
      </c>
      <c r="E823" s="154" t="str">
        <f>IF($A823="","",SUMIFS(Sales!$H:$H,Sales!$E:$E,$A823,Sales!$B:$B,"&lt;&gt;Return"))</f>
        <v/>
      </c>
      <c r="F823" s="155" t="str">
        <f>IF($A823="","",SUMIF(Sales!$E:$E,$A823,Sales!$L:$L))</f>
        <v/>
      </c>
      <c r="G823" s="155" t="str">
        <f>IF($A823="","",SUMIF(Sales!$E:$E,$A823,Sales!$P:$P))</f>
        <v/>
      </c>
      <c r="H823" s="156" t="str">
        <f t="array" ref="H823">IF($A823="","",IFERROR(INDEX(Orders!$O$5:$O$1004,MATCH($A823,Orders!$N$5:$N$1004,0)),""))</f>
        <v/>
      </c>
      <c r="I823" s="156" t="str">
        <f t="array" ref="I823">IF($A823="","",IFERROR(INDEX(Orders!$P$5:$P$1004,MATCH($A823,Orders!$N$5:$N$1004,0)),""))</f>
        <v/>
      </c>
      <c r="J823" s="157" t="str">
        <f t="shared" si="1"/>
        <v/>
      </c>
      <c r="K823" s="153" t="str">
        <f t="array" ref="K823">IF($A823="","",IFERROR(INDEX(Sales!$M:$M,MATCH($A823,Sales!$E:$E,0)),""))</f>
        <v/>
      </c>
      <c r="L823" s="158" t="str">
        <f t="shared" si="2"/>
        <v/>
      </c>
      <c r="N823" s="49" t="str">
        <f t="array" ref="N823">IFERROR(INDEX(Sales!$E$7:$E$1506,MATCH(ROW()-4,Sales!$V$7:$V$1506,0)),"")</f>
        <v/>
      </c>
      <c r="O823" s="67"/>
      <c r="P823" s="67"/>
    </row>
    <row r="824" ht="15.0" customHeight="1">
      <c r="A824" s="151" t="str">
        <f t="array" ref="A824">IFERROR(INDEX(Sales!$E$7:$E$1506,MATCH(ROW()-4,Sales!$W$7:$W$1506,0)),"")</f>
        <v/>
      </c>
      <c r="B824" s="152" t="str">
        <f t="array" ref="B824">IF($A824="","",IFERROR(INDEX(Sales!$A:$A,MATCH($A824,Sales!$E:$E,0)),""))</f>
        <v/>
      </c>
      <c r="C824" s="153" t="str">
        <f t="array" ref="C824">IF($A824="","",IFERROR(INDEX(Sales!$D:$D,MATCH($A824,Sales!$E:$E,0)),""))</f>
        <v/>
      </c>
      <c r="D824" s="153" t="str">
        <f t="array" ref="D824">IF($A824="","",IFERROR(INDEX(Sales!$C:$C,MATCH($A824,Sales!$E:$E,0)),""))</f>
        <v/>
      </c>
      <c r="E824" s="154" t="str">
        <f>IF($A824="","",SUMIFS(Sales!$H:$H,Sales!$E:$E,$A824,Sales!$B:$B,"&lt;&gt;Return"))</f>
        <v/>
      </c>
      <c r="F824" s="155" t="str">
        <f>IF($A824="","",SUMIF(Sales!$E:$E,$A824,Sales!$L:$L))</f>
        <v/>
      </c>
      <c r="G824" s="155" t="str">
        <f>IF($A824="","",SUMIF(Sales!$E:$E,$A824,Sales!$P:$P))</f>
        <v/>
      </c>
      <c r="H824" s="156" t="str">
        <f t="array" ref="H824">IF($A824="","",IFERROR(INDEX(Orders!$O$5:$O$1004,MATCH($A824,Orders!$N$5:$N$1004,0)),""))</f>
        <v/>
      </c>
      <c r="I824" s="156" t="str">
        <f t="array" ref="I824">IF($A824="","",IFERROR(INDEX(Orders!$P$5:$P$1004,MATCH($A824,Orders!$N$5:$N$1004,0)),""))</f>
        <v/>
      </c>
      <c r="J824" s="157" t="str">
        <f t="shared" si="1"/>
        <v/>
      </c>
      <c r="K824" s="153" t="str">
        <f t="array" ref="K824">IF($A824="","",IFERROR(INDEX(Sales!$M:$M,MATCH($A824,Sales!$E:$E,0)),""))</f>
        <v/>
      </c>
      <c r="L824" s="158" t="str">
        <f t="shared" si="2"/>
        <v/>
      </c>
      <c r="N824" s="49" t="str">
        <f t="array" ref="N824">IFERROR(INDEX(Sales!$E$7:$E$1506,MATCH(ROW()-4,Sales!$V$7:$V$1506,0)),"")</f>
        <v/>
      </c>
      <c r="O824" s="67"/>
      <c r="P824" s="67"/>
    </row>
    <row r="825" ht="15.0" customHeight="1">
      <c r="A825" s="151" t="str">
        <f t="array" ref="A825">IFERROR(INDEX(Sales!$E$7:$E$1506,MATCH(ROW()-4,Sales!$W$7:$W$1506,0)),"")</f>
        <v/>
      </c>
      <c r="B825" s="152" t="str">
        <f t="array" ref="B825">IF($A825="","",IFERROR(INDEX(Sales!$A:$A,MATCH($A825,Sales!$E:$E,0)),""))</f>
        <v/>
      </c>
      <c r="C825" s="153" t="str">
        <f t="array" ref="C825">IF($A825="","",IFERROR(INDEX(Sales!$D:$D,MATCH($A825,Sales!$E:$E,0)),""))</f>
        <v/>
      </c>
      <c r="D825" s="153" t="str">
        <f t="array" ref="D825">IF($A825="","",IFERROR(INDEX(Sales!$C:$C,MATCH($A825,Sales!$E:$E,0)),""))</f>
        <v/>
      </c>
      <c r="E825" s="154" t="str">
        <f>IF($A825="","",SUMIFS(Sales!$H:$H,Sales!$E:$E,$A825,Sales!$B:$B,"&lt;&gt;Return"))</f>
        <v/>
      </c>
      <c r="F825" s="155" t="str">
        <f>IF($A825="","",SUMIF(Sales!$E:$E,$A825,Sales!$L:$L))</f>
        <v/>
      </c>
      <c r="G825" s="155" t="str">
        <f>IF($A825="","",SUMIF(Sales!$E:$E,$A825,Sales!$P:$P))</f>
        <v/>
      </c>
      <c r="H825" s="156" t="str">
        <f t="array" ref="H825">IF($A825="","",IFERROR(INDEX(Orders!$O$5:$O$1004,MATCH($A825,Orders!$N$5:$N$1004,0)),""))</f>
        <v/>
      </c>
      <c r="I825" s="156" t="str">
        <f t="array" ref="I825">IF($A825="","",IFERROR(INDEX(Orders!$P$5:$P$1004,MATCH($A825,Orders!$N$5:$N$1004,0)),""))</f>
        <v/>
      </c>
      <c r="J825" s="157" t="str">
        <f t="shared" si="1"/>
        <v/>
      </c>
      <c r="K825" s="153" t="str">
        <f t="array" ref="K825">IF($A825="","",IFERROR(INDEX(Sales!$M:$M,MATCH($A825,Sales!$E:$E,0)),""))</f>
        <v/>
      </c>
      <c r="L825" s="158" t="str">
        <f t="shared" si="2"/>
        <v/>
      </c>
      <c r="N825" s="49" t="str">
        <f t="array" ref="N825">IFERROR(INDEX(Sales!$E$7:$E$1506,MATCH(ROW()-4,Sales!$V$7:$V$1506,0)),"")</f>
        <v/>
      </c>
      <c r="O825" s="67"/>
      <c r="P825" s="67"/>
    </row>
    <row r="826" ht="15.0" customHeight="1">
      <c r="A826" s="151" t="str">
        <f t="array" ref="A826">IFERROR(INDEX(Sales!$E$7:$E$1506,MATCH(ROW()-4,Sales!$W$7:$W$1506,0)),"")</f>
        <v/>
      </c>
      <c r="B826" s="152" t="str">
        <f t="array" ref="B826">IF($A826="","",IFERROR(INDEX(Sales!$A:$A,MATCH($A826,Sales!$E:$E,0)),""))</f>
        <v/>
      </c>
      <c r="C826" s="153" t="str">
        <f t="array" ref="C826">IF($A826="","",IFERROR(INDEX(Sales!$D:$D,MATCH($A826,Sales!$E:$E,0)),""))</f>
        <v/>
      </c>
      <c r="D826" s="153" t="str">
        <f t="array" ref="D826">IF($A826="","",IFERROR(INDEX(Sales!$C:$C,MATCH($A826,Sales!$E:$E,0)),""))</f>
        <v/>
      </c>
      <c r="E826" s="154" t="str">
        <f>IF($A826="","",SUMIFS(Sales!$H:$H,Sales!$E:$E,$A826,Sales!$B:$B,"&lt;&gt;Return"))</f>
        <v/>
      </c>
      <c r="F826" s="155" t="str">
        <f>IF($A826="","",SUMIF(Sales!$E:$E,$A826,Sales!$L:$L))</f>
        <v/>
      </c>
      <c r="G826" s="155" t="str">
        <f>IF($A826="","",SUMIF(Sales!$E:$E,$A826,Sales!$P:$P))</f>
        <v/>
      </c>
      <c r="H826" s="156" t="str">
        <f t="array" ref="H826">IF($A826="","",IFERROR(INDEX(Orders!$O$5:$O$1004,MATCH($A826,Orders!$N$5:$N$1004,0)),""))</f>
        <v/>
      </c>
      <c r="I826" s="156" t="str">
        <f t="array" ref="I826">IF($A826="","",IFERROR(INDEX(Orders!$P$5:$P$1004,MATCH($A826,Orders!$N$5:$N$1004,0)),""))</f>
        <v/>
      </c>
      <c r="J826" s="157" t="str">
        <f t="shared" si="1"/>
        <v/>
      </c>
      <c r="K826" s="153" t="str">
        <f t="array" ref="K826">IF($A826="","",IFERROR(INDEX(Sales!$M:$M,MATCH($A826,Sales!$E:$E,0)),""))</f>
        <v/>
      </c>
      <c r="L826" s="158" t="str">
        <f t="shared" si="2"/>
        <v/>
      </c>
      <c r="N826" s="49" t="str">
        <f t="array" ref="N826">IFERROR(INDEX(Sales!$E$7:$E$1506,MATCH(ROW()-4,Sales!$V$7:$V$1506,0)),"")</f>
        <v/>
      </c>
      <c r="O826" s="67"/>
      <c r="P826" s="67"/>
    </row>
    <row r="827" ht="15.0" customHeight="1">
      <c r="A827" s="151" t="str">
        <f t="array" ref="A827">IFERROR(INDEX(Sales!$E$7:$E$1506,MATCH(ROW()-4,Sales!$W$7:$W$1506,0)),"")</f>
        <v/>
      </c>
      <c r="B827" s="152" t="str">
        <f t="array" ref="B827">IF($A827="","",IFERROR(INDEX(Sales!$A:$A,MATCH($A827,Sales!$E:$E,0)),""))</f>
        <v/>
      </c>
      <c r="C827" s="153" t="str">
        <f t="array" ref="C827">IF($A827="","",IFERROR(INDEX(Sales!$D:$D,MATCH($A827,Sales!$E:$E,0)),""))</f>
        <v/>
      </c>
      <c r="D827" s="153" t="str">
        <f t="array" ref="D827">IF($A827="","",IFERROR(INDEX(Sales!$C:$C,MATCH($A827,Sales!$E:$E,0)),""))</f>
        <v/>
      </c>
      <c r="E827" s="154" t="str">
        <f>IF($A827="","",SUMIFS(Sales!$H:$H,Sales!$E:$E,$A827,Sales!$B:$B,"&lt;&gt;Return"))</f>
        <v/>
      </c>
      <c r="F827" s="155" t="str">
        <f>IF($A827="","",SUMIF(Sales!$E:$E,$A827,Sales!$L:$L))</f>
        <v/>
      </c>
      <c r="G827" s="155" t="str">
        <f>IF($A827="","",SUMIF(Sales!$E:$E,$A827,Sales!$P:$P))</f>
        <v/>
      </c>
      <c r="H827" s="156" t="str">
        <f t="array" ref="H827">IF($A827="","",IFERROR(INDEX(Orders!$O$5:$O$1004,MATCH($A827,Orders!$N$5:$N$1004,0)),""))</f>
        <v/>
      </c>
      <c r="I827" s="156" t="str">
        <f t="array" ref="I827">IF($A827="","",IFERROR(INDEX(Orders!$P$5:$P$1004,MATCH($A827,Orders!$N$5:$N$1004,0)),""))</f>
        <v/>
      </c>
      <c r="J827" s="157" t="str">
        <f t="shared" si="1"/>
        <v/>
      </c>
      <c r="K827" s="153" t="str">
        <f t="array" ref="K827">IF($A827="","",IFERROR(INDEX(Sales!$M:$M,MATCH($A827,Sales!$E:$E,0)),""))</f>
        <v/>
      </c>
      <c r="L827" s="158" t="str">
        <f t="shared" si="2"/>
        <v/>
      </c>
      <c r="N827" s="49" t="str">
        <f t="array" ref="N827">IFERROR(INDEX(Sales!$E$7:$E$1506,MATCH(ROW()-4,Sales!$V$7:$V$1506,0)),"")</f>
        <v/>
      </c>
      <c r="O827" s="67"/>
      <c r="P827" s="67"/>
    </row>
    <row r="828" ht="15.0" customHeight="1">
      <c r="A828" s="151" t="str">
        <f t="array" ref="A828">IFERROR(INDEX(Sales!$E$7:$E$1506,MATCH(ROW()-4,Sales!$W$7:$W$1506,0)),"")</f>
        <v/>
      </c>
      <c r="B828" s="152" t="str">
        <f t="array" ref="B828">IF($A828="","",IFERROR(INDEX(Sales!$A:$A,MATCH($A828,Sales!$E:$E,0)),""))</f>
        <v/>
      </c>
      <c r="C828" s="153" t="str">
        <f t="array" ref="C828">IF($A828="","",IFERROR(INDEX(Sales!$D:$D,MATCH($A828,Sales!$E:$E,0)),""))</f>
        <v/>
      </c>
      <c r="D828" s="153" t="str">
        <f t="array" ref="D828">IF($A828="","",IFERROR(INDEX(Sales!$C:$C,MATCH($A828,Sales!$E:$E,0)),""))</f>
        <v/>
      </c>
      <c r="E828" s="154" t="str">
        <f>IF($A828="","",SUMIFS(Sales!$H:$H,Sales!$E:$E,$A828,Sales!$B:$B,"&lt;&gt;Return"))</f>
        <v/>
      </c>
      <c r="F828" s="155" t="str">
        <f>IF($A828="","",SUMIF(Sales!$E:$E,$A828,Sales!$L:$L))</f>
        <v/>
      </c>
      <c r="G828" s="155" t="str">
        <f>IF($A828="","",SUMIF(Sales!$E:$E,$A828,Sales!$P:$P))</f>
        <v/>
      </c>
      <c r="H828" s="156" t="str">
        <f t="array" ref="H828">IF($A828="","",IFERROR(INDEX(Orders!$O$5:$O$1004,MATCH($A828,Orders!$N$5:$N$1004,0)),""))</f>
        <v/>
      </c>
      <c r="I828" s="156" t="str">
        <f t="array" ref="I828">IF($A828="","",IFERROR(INDEX(Orders!$P$5:$P$1004,MATCH($A828,Orders!$N$5:$N$1004,0)),""))</f>
        <v/>
      </c>
      <c r="J828" s="157" t="str">
        <f t="shared" si="1"/>
        <v/>
      </c>
      <c r="K828" s="153" t="str">
        <f t="array" ref="K828">IF($A828="","",IFERROR(INDEX(Sales!$M:$M,MATCH($A828,Sales!$E:$E,0)),""))</f>
        <v/>
      </c>
      <c r="L828" s="158" t="str">
        <f t="shared" si="2"/>
        <v/>
      </c>
      <c r="N828" s="49" t="str">
        <f t="array" ref="N828">IFERROR(INDEX(Sales!$E$7:$E$1506,MATCH(ROW()-4,Sales!$V$7:$V$1506,0)),"")</f>
        <v/>
      </c>
      <c r="O828" s="67"/>
      <c r="P828" s="67"/>
    </row>
    <row r="829" ht="15.0" customHeight="1">
      <c r="A829" s="151" t="str">
        <f t="array" ref="A829">IFERROR(INDEX(Sales!$E$7:$E$1506,MATCH(ROW()-4,Sales!$W$7:$W$1506,0)),"")</f>
        <v/>
      </c>
      <c r="B829" s="152" t="str">
        <f t="array" ref="B829">IF($A829="","",IFERROR(INDEX(Sales!$A:$A,MATCH($A829,Sales!$E:$E,0)),""))</f>
        <v/>
      </c>
      <c r="C829" s="153" t="str">
        <f t="array" ref="C829">IF($A829="","",IFERROR(INDEX(Sales!$D:$D,MATCH($A829,Sales!$E:$E,0)),""))</f>
        <v/>
      </c>
      <c r="D829" s="153" t="str">
        <f t="array" ref="D829">IF($A829="","",IFERROR(INDEX(Sales!$C:$C,MATCH($A829,Sales!$E:$E,0)),""))</f>
        <v/>
      </c>
      <c r="E829" s="154" t="str">
        <f>IF($A829="","",SUMIFS(Sales!$H:$H,Sales!$E:$E,$A829,Sales!$B:$B,"&lt;&gt;Return"))</f>
        <v/>
      </c>
      <c r="F829" s="155" t="str">
        <f>IF($A829="","",SUMIF(Sales!$E:$E,$A829,Sales!$L:$L))</f>
        <v/>
      </c>
      <c r="G829" s="155" t="str">
        <f>IF($A829="","",SUMIF(Sales!$E:$E,$A829,Sales!$P:$P))</f>
        <v/>
      </c>
      <c r="H829" s="156" t="str">
        <f t="array" ref="H829">IF($A829="","",IFERROR(INDEX(Orders!$O$5:$O$1004,MATCH($A829,Orders!$N$5:$N$1004,0)),""))</f>
        <v/>
      </c>
      <c r="I829" s="156" t="str">
        <f t="array" ref="I829">IF($A829="","",IFERROR(INDEX(Orders!$P$5:$P$1004,MATCH($A829,Orders!$N$5:$N$1004,0)),""))</f>
        <v/>
      </c>
      <c r="J829" s="157" t="str">
        <f t="shared" si="1"/>
        <v/>
      </c>
      <c r="K829" s="153" t="str">
        <f t="array" ref="K829">IF($A829="","",IFERROR(INDEX(Sales!$M:$M,MATCH($A829,Sales!$E:$E,0)),""))</f>
        <v/>
      </c>
      <c r="L829" s="158" t="str">
        <f t="shared" si="2"/>
        <v/>
      </c>
      <c r="N829" s="49" t="str">
        <f t="array" ref="N829">IFERROR(INDEX(Sales!$E$7:$E$1506,MATCH(ROW()-4,Sales!$V$7:$V$1506,0)),"")</f>
        <v/>
      </c>
      <c r="O829" s="67"/>
      <c r="P829" s="67"/>
    </row>
    <row r="830" ht="15.0" customHeight="1">
      <c r="A830" s="151" t="str">
        <f t="array" ref="A830">IFERROR(INDEX(Sales!$E$7:$E$1506,MATCH(ROW()-4,Sales!$W$7:$W$1506,0)),"")</f>
        <v/>
      </c>
      <c r="B830" s="152" t="str">
        <f t="array" ref="B830">IF($A830="","",IFERROR(INDEX(Sales!$A:$A,MATCH($A830,Sales!$E:$E,0)),""))</f>
        <v/>
      </c>
      <c r="C830" s="153" t="str">
        <f t="array" ref="C830">IF($A830="","",IFERROR(INDEX(Sales!$D:$D,MATCH($A830,Sales!$E:$E,0)),""))</f>
        <v/>
      </c>
      <c r="D830" s="153" t="str">
        <f t="array" ref="D830">IF($A830="","",IFERROR(INDEX(Sales!$C:$C,MATCH($A830,Sales!$E:$E,0)),""))</f>
        <v/>
      </c>
      <c r="E830" s="154" t="str">
        <f>IF($A830="","",SUMIFS(Sales!$H:$H,Sales!$E:$E,$A830,Sales!$B:$B,"&lt;&gt;Return"))</f>
        <v/>
      </c>
      <c r="F830" s="155" t="str">
        <f>IF($A830="","",SUMIF(Sales!$E:$E,$A830,Sales!$L:$L))</f>
        <v/>
      </c>
      <c r="G830" s="155" t="str">
        <f>IF($A830="","",SUMIF(Sales!$E:$E,$A830,Sales!$P:$P))</f>
        <v/>
      </c>
      <c r="H830" s="156" t="str">
        <f t="array" ref="H830">IF($A830="","",IFERROR(INDEX(Orders!$O$5:$O$1004,MATCH($A830,Orders!$N$5:$N$1004,0)),""))</f>
        <v/>
      </c>
      <c r="I830" s="156" t="str">
        <f t="array" ref="I830">IF($A830="","",IFERROR(INDEX(Orders!$P$5:$P$1004,MATCH($A830,Orders!$N$5:$N$1004,0)),""))</f>
        <v/>
      </c>
      <c r="J830" s="157" t="str">
        <f t="shared" si="1"/>
        <v/>
      </c>
      <c r="K830" s="153" t="str">
        <f t="array" ref="K830">IF($A830="","",IFERROR(INDEX(Sales!$M:$M,MATCH($A830,Sales!$E:$E,0)),""))</f>
        <v/>
      </c>
      <c r="L830" s="158" t="str">
        <f t="shared" si="2"/>
        <v/>
      </c>
      <c r="N830" s="49" t="str">
        <f t="array" ref="N830">IFERROR(INDEX(Sales!$E$7:$E$1506,MATCH(ROW()-4,Sales!$V$7:$V$1506,0)),"")</f>
        <v/>
      </c>
      <c r="O830" s="67"/>
      <c r="P830" s="67"/>
    </row>
    <row r="831" ht="15.0" customHeight="1">
      <c r="A831" s="151" t="str">
        <f t="array" ref="A831">IFERROR(INDEX(Sales!$E$7:$E$1506,MATCH(ROW()-4,Sales!$W$7:$W$1506,0)),"")</f>
        <v/>
      </c>
      <c r="B831" s="152" t="str">
        <f t="array" ref="B831">IF($A831="","",IFERROR(INDEX(Sales!$A:$A,MATCH($A831,Sales!$E:$E,0)),""))</f>
        <v/>
      </c>
      <c r="C831" s="153" t="str">
        <f t="array" ref="C831">IF($A831="","",IFERROR(INDEX(Sales!$D:$D,MATCH($A831,Sales!$E:$E,0)),""))</f>
        <v/>
      </c>
      <c r="D831" s="153" t="str">
        <f t="array" ref="D831">IF($A831="","",IFERROR(INDEX(Sales!$C:$C,MATCH($A831,Sales!$E:$E,0)),""))</f>
        <v/>
      </c>
      <c r="E831" s="154" t="str">
        <f>IF($A831="","",SUMIFS(Sales!$H:$H,Sales!$E:$E,$A831,Sales!$B:$B,"&lt;&gt;Return"))</f>
        <v/>
      </c>
      <c r="F831" s="155" t="str">
        <f>IF($A831="","",SUMIF(Sales!$E:$E,$A831,Sales!$L:$L))</f>
        <v/>
      </c>
      <c r="G831" s="155" t="str">
        <f>IF($A831="","",SUMIF(Sales!$E:$E,$A831,Sales!$P:$P))</f>
        <v/>
      </c>
      <c r="H831" s="156" t="str">
        <f t="array" ref="H831">IF($A831="","",IFERROR(INDEX(Orders!$O$5:$O$1004,MATCH($A831,Orders!$N$5:$N$1004,0)),""))</f>
        <v/>
      </c>
      <c r="I831" s="156" t="str">
        <f t="array" ref="I831">IF($A831="","",IFERROR(INDEX(Orders!$P$5:$P$1004,MATCH($A831,Orders!$N$5:$N$1004,0)),""))</f>
        <v/>
      </c>
      <c r="J831" s="157" t="str">
        <f t="shared" si="1"/>
        <v/>
      </c>
      <c r="K831" s="153" t="str">
        <f t="array" ref="K831">IF($A831="","",IFERROR(INDEX(Sales!$M:$M,MATCH($A831,Sales!$E:$E,0)),""))</f>
        <v/>
      </c>
      <c r="L831" s="158" t="str">
        <f t="shared" si="2"/>
        <v/>
      </c>
      <c r="N831" s="49" t="str">
        <f t="array" ref="N831">IFERROR(INDEX(Sales!$E$7:$E$1506,MATCH(ROW()-4,Sales!$V$7:$V$1506,0)),"")</f>
        <v/>
      </c>
      <c r="O831" s="67"/>
      <c r="P831" s="67"/>
    </row>
    <row r="832" ht="15.0" customHeight="1">
      <c r="A832" s="151" t="str">
        <f t="array" ref="A832">IFERROR(INDEX(Sales!$E$7:$E$1506,MATCH(ROW()-4,Sales!$W$7:$W$1506,0)),"")</f>
        <v/>
      </c>
      <c r="B832" s="152" t="str">
        <f t="array" ref="B832">IF($A832="","",IFERROR(INDEX(Sales!$A:$A,MATCH($A832,Sales!$E:$E,0)),""))</f>
        <v/>
      </c>
      <c r="C832" s="153" t="str">
        <f t="array" ref="C832">IF($A832="","",IFERROR(INDEX(Sales!$D:$D,MATCH($A832,Sales!$E:$E,0)),""))</f>
        <v/>
      </c>
      <c r="D832" s="153" t="str">
        <f t="array" ref="D832">IF($A832="","",IFERROR(INDEX(Sales!$C:$C,MATCH($A832,Sales!$E:$E,0)),""))</f>
        <v/>
      </c>
      <c r="E832" s="154" t="str">
        <f>IF($A832="","",SUMIFS(Sales!$H:$H,Sales!$E:$E,$A832,Sales!$B:$B,"&lt;&gt;Return"))</f>
        <v/>
      </c>
      <c r="F832" s="155" t="str">
        <f>IF($A832="","",SUMIF(Sales!$E:$E,$A832,Sales!$L:$L))</f>
        <v/>
      </c>
      <c r="G832" s="155" t="str">
        <f>IF($A832="","",SUMIF(Sales!$E:$E,$A832,Sales!$P:$P))</f>
        <v/>
      </c>
      <c r="H832" s="156" t="str">
        <f t="array" ref="H832">IF($A832="","",IFERROR(INDEX(Orders!$O$5:$O$1004,MATCH($A832,Orders!$N$5:$N$1004,0)),""))</f>
        <v/>
      </c>
      <c r="I832" s="156" t="str">
        <f t="array" ref="I832">IF($A832="","",IFERROR(INDEX(Orders!$P$5:$P$1004,MATCH($A832,Orders!$N$5:$N$1004,0)),""))</f>
        <v/>
      </c>
      <c r="J832" s="157" t="str">
        <f t="shared" si="1"/>
        <v/>
      </c>
      <c r="K832" s="153" t="str">
        <f t="array" ref="K832">IF($A832="","",IFERROR(INDEX(Sales!$M:$M,MATCH($A832,Sales!$E:$E,0)),""))</f>
        <v/>
      </c>
      <c r="L832" s="158" t="str">
        <f t="shared" si="2"/>
        <v/>
      </c>
      <c r="N832" s="49" t="str">
        <f t="array" ref="N832">IFERROR(INDEX(Sales!$E$7:$E$1506,MATCH(ROW()-4,Sales!$V$7:$V$1506,0)),"")</f>
        <v/>
      </c>
      <c r="O832" s="67"/>
      <c r="P832" s="67"/>
    </row>
    <row r="833" ht="15.0" customHeight="1">
      <c r="A833" s="151" t="str">
        <f t="array" ref="A833">IFERROR(INDEX(Sales!$E$7:$E$1506,MATCH(ROW()-4,Sales!$W$7:$W$1506,0)),"")</f>
        <v/>
      </c>
      <c r="B833" s="152" t="str">
        <f t="array" ref="B833">IF($A833="","",IFERROR(INDEX(Sales!$A:$A,MATCH($A833,Sales!$E:$E,0)),""))</f>
        <v/>
      </c>
      <c r="C833" s="153" t="str">
        <f t="array" ref="C833">IF($A833="","",IFERROR(INDEX(Sales!$D:$D,MATCH($A833,Sales!$E:$E,0)),""))</f>
        <v/>
      </c>
      <c r="D833" s="153" t="str">
        <f t="array" ref="D833">IF($A833="","",IFERROR(INDEX(Sales!$C:$C,MATCH($A833,Sales!$E:$E,0)),""))</f>
        <v/>
      </c>
      <c r="E833" s="154" t="str">
        <f>IF($A833="","",SUMIFS(Sales!$H:$H,Sales!$E:$E,$A833,Sales!$B:$B,"&lt;&gt;Return"))</f>
        <v/>
      </c>
      <c r="F833" s="155" t="str">
        <f>IF($A833="","",SUMIF(Sales!$E:$E,$A833,Sales!$L:$L))</f>
        <v/>
      </c>
      <c r="G833" s="155" t="str">
        <f>IF($A833="","",SUMIF(Sales!$E:$E,$A833,Sales!$P:$P))</f>
        <v/>
      </c>
      <c r="H833" s="156" t="str">
        <f t="array" ref="H833">IF($A833="","",IFERROR(INDEX(Orders!$O$5:$O$1004,MATCH($A833,Orders!$N$5:$N$1004,0)),""))</f>
        <v/>
      </c>
      <c r="I833" s="156" t="str">
        <f t="array" ref="I833">IF($A833="","",IFERROR(INDEX(Orders!$P$5:$P$1004,MATCH($A833,Orders!$N$5:$N$1004,0)),""))</f>
        <v/>
      </c>
      <c r="J833" s="157" t="str">
        <f t="shared" si="1"/>
        <v/>
      </c>
      <c r="K833" s="153" t="str">
        <f t="array" ref="K833">IF($A833="","",IFERROR(INDEX(Sales!$M:$M,MATCH($A833,Sales!$E:$E,0)),""))</f>
        <v/>
      </c>
      <c r="L833" s="158" t="str">
        <f t="shared" si="2"/>
        <v/>
      </c>
      <c r="N833" s="49" t="str">
        <f t="array" ref="N833">IFERROR(INDEX(Sales!$E$7:$E$1506,MATCH(ROW()-4,Sales!$V$7:$V$1506,0)),"")</f>
        <v/>
      </c>
      <c r="O833" s="67"/>
      <c r="P833" s="67"/>
    </row>
    <row r="834" ht="15.0" customHeight="1">
      <c r="A834" s="151" t="str">
        <f t="array" ref="A834">IFERROR(INDEX(Sales!$E$7:$E$1506,MATCH(ROW()-4,Sales!$W$7:$W$1506,0)),"")</f>
        <v/>
      </c>
      <c r="B834" s="152" t="str">
        <f t="array" ref="B834">IF($A834="","",IFERROR(INDEX(Sales!$A:$A,MATCH($A834,Sales!$E:$E,0)),""))</f>
        <v/>
      </c>
      <c r="C834" s="153" t="str">
        <f t="array" ref="C834">IF($A834="","",IFERROR(INDEX(Sales!$D:$D,MATCH($A834,Sales!$E:$E,0)),""))</f>
        <v/>
      </c>
      <c r="D834" s="153" t="str">
        <f t="array" ref="D834">IF($A834="","",IFERROR(INDEX(Sales!$C:$C,MATCH($A834,Sales!$E:$E,0)),""))</f>
        <v/>
      </c>
      <c r="E834" s="154" t="str">
        <f>IF($A834="","",SUMIFS(Sales!$H:$H,Sales!$E:$E,$A834,Sales!$B:$B,"&lt;&gt;Return"))</f>
        <v/>
      </c>
      <c r="F834" s="155" t="str">
        <f>IF($A834="","",SUMIF(Sales!$E:$E,$A834,Sales!$L:$L))</f>
        <v/>
      </c>
      <c r="G834" s="155" t="str">
        <f>IF($A834="","",SUMIF(Sales!$E:$E,$A834,Sales!$P:$P))</f>
        <v/>
      </c>
      <c r="H834" s="156" t="str">
        <f t="array" ref="H834">IF($A834="","",IFERROR(INDEX(Orders!$O$5:$O$1004,MATCH($A834,Orders!$N$5:$N$1004,0)),""))</f>
        <v/>
      </c>
      <c r="I834" s="156" t="str">
        <f t="array" ref="I834">IF($A834="","",IFERROR(INDEX(Orders!$P$5:$P$1004,MATCH($A834,Orders!$N$5:$N$1004,0)),""))</f>
        <v/>
      </c>
      <c r="J834" s="157" t="str">
        <f t="shared" si="1"/>
        <v/>
      </c>
      <c r="K834" s="153" t="str">
        <f t="array" ref="K834">IF($A834="","",IFERROR(INDEX(Sales!$M:$M,MATCH($A834,Sales!$E:$E,0)),""))</f>
        <v/>
      </c>
      <c r="L834" s="158" t="str">
        <f t="shared" si="2"/>
        <v/>
      </c>
      <c r="N834" s="49" t="str">
        <f t="array" ref="N834">IFERROR(INDEX(Sales!$E$7:$E$1506,MATCH(ROW()-4,Sales!$V$7:$V$1506,0)),"")</f>
        <v/>
      </c>
      <c r="O834" s="67"/>
      <c r="P834" s="67"/>
    </row>
    <row r="835" ht="15.0" customHeight="1">
      <c r="A835" s="151" t="str">
        <f t="array" ref="A835">IFERROR(INDEX(Sales!$E$7:$E$1506,MATCH(ROW()-4,Sales!$W$7:$W$1506,0)),"")</f>
        <v/>
      </c>
      <c r="B835" s="152" t="str">
        <f t="array" ref="B835">IF($A835="","",IFERROR(INDEX(Sales!$A:$A,MATCH($A835,Sales!$E:$E,0)),""))</f>
        <v/>
      </c>
      <c r="C835" s="153" t="str">
        <f t="array" ref="C835">IF($A835="","",IFERROR(INDEX(Sales!$D:$D,MATCH($A835,Sales!$E:$E,0)),""))</f>
        <v/>
      </c>
      <c r="D835" s="153" t="str">
        <f t="array" ref="D835">IF($A835="","",IFERROR(INDEX(Sales!$C:$C,MATCH($A835,Sales!$E:$E,0)),""))</f>
        <v/>
      </c>
      <c r="E835" s="154" t="str">
        <f>IF($A835="","",SUMIFS(Sales!$H:$H,Sales!$E:$E,$A835,Sales!$B:$B,"&lt;&gt;Return"))</f>
        <v/>
      </c>
      <c r="F835" s="155" t="str">
        <f>IF($A835="","",SUMIF(Sales!$E:$E,$A835,Sales!$L:$L))</f>
        <v/>
      </c>
      <c r="G835" s="155" t="str">
        <f>IF($A835="","",SUMIF(Sales!$E:$E,$A835,Sales!$P:$P))</f>
        <v/>
      </c>
      <c r="H835" s="156" t="str">
        <f t="array" ref="H835">IF($A835="","",IFERROR(INDEX(Orders!$O$5:$O$1004,MATCH($A835,Orders!$N$5:$N$1004,0)),""))</f>
        <v/>
      </c>
      <c r="I835" s="156" t="str">
        <f t="array" ref="I835">IF($A835="","",IFERROR(INDEX(Orders!$P$5:$P$1004,MATCH($A835,Orders!$N$5:$N$1004,0)),""))</f>
        <v/>
      </c>
      <c r="J835" s="157" t="str">
        <f t="shared" si="1"/>
        <v/>
      </c>
      <c r="K835" s="153" t="str">
        <f t="array" ref="K835">IF($A835="","",IFERROR(INDEX(Sales!$M:$M,MATCH($A835,Sales!$E:$E,0)),""))</f>
        <v/>
      </c>
      <c r="L835" s="158" t="str">
        <f t="shared" si="2"/>
        <v/>
      </c>
      <c r="N835" s="49" t="str">
        <f t="array" ref="N835">IFERROR(INDEX(Sales!$E$7:$E$1506,MATCH(ROW()-4,Sales!$V$7:$V$1506,0)),"")</f>
        <v/>
      </c>
      <c r="O835" s="67"/>
      <c r="P835" s="67"/>
    </row>
    <row r="836" ht="15.0" customHeight="1">
      <c r="A836" s="151" t="str">
        <f t="array" ref="A836">IFERROR(INDEX(Sales!$E$7:$E$1506,MATCH(ROW()-4,Sales!$W$7:$W$1506,0)),"")</f>
        <v/>
      </c>
      <c r="B836" s="152" t="str">
        <f t="array" ref="B836">IF($A836="","",IFERROR(INDEX(Sales!$A:$A,MATCH($A836,Sales!$E:$E,0)),""))</f>
        <v/>
      </c>
      <c r="C836" s="153" t="str">
        <f t="array" ref="C836">IF($A836="","",IFERROR(INDEX(Sales!$D:$D,MATCH($A836,Sales!$E:$E,0)),""))</f>
        <v/>
      </c>
      <c r="D836" s="153" t="str">
        <f t="array" ref="D836">IF($A836="","",IFERROR(INDEX(Sales!$C:$C,MATCH($A836,Sales!$E:$E,0)),""))</f>
        <v/>
      </c>
      <c r="E836" s="154" t="str">
        <f>IF($A836="","",SUMIFS(Sales!$H:$H,Sales!$E:$E,$A836,Sales!$B:$B,"&lt;&gt;Return"))</f>
        <v/>
      </c>
      <c r="F836" s="155" t="str">
        <f>IF($A836="","",SUMIF(Sales!$E:$E,$A836,Sales!$L:$L))</f>
        <v/>
      </c>
      <c r="G836" s="155" t="str">
        <f>IF($A836="","",SUMIF(Sales!$E:$E,$A836,Sales!$P:$P))</f>
        <v/>
      </c>
      <c r="H836" s="156" t="str">
        <f t="array" ref="H836">IF($A836="","",IFERROR(INDEX(Orders!$O$5:$O$1004,MATCH($A836,Orders!$N$5:$N$1004,0)),""))</f>
        <v/>
      </c>
      <c r="I836" s="156" t="str">
        <f t="array" ref="I836">IF($A836="","",IFERROR(INDEX(Orders!$P$5:$P$1004,MATCH($A836,Orders!$N$5:$N$1004,0)),""))</f>
        <v/>
      </c>
      <c r="J836" s="157" t="str">
        <f t="shared" si="1"/>
        <v/>
      </c>
      <c r="K836" s="153" t="str">
        <f t="array" ref="K836">IF($A836="","",IFERROR(INDEX(Sales!$M:$M,MATCH($A836,Sales!$E:$E,0)),""))</f>
        <v/>
      </c>
      <c r="L836" s="158" t="str">
        <f t="shared" si="2"/>
        <v/>
      </c>
      <c r="N836" s="49" t="str">
        <f t="array" ref="N836">IFERROR(INDEX(Sales!$E$7:$E$1506,MATCH(ROW()-4,Sales!$V$7:$V$1506,0)),"")</f>
        <v/>
      </c>
      <c r="O836" s="67"/>
      <c r="P836" s="67"/>
    </row>
    <row r="837" ht="15.0" customHeight="1">
      <c r="A837" s="151" t="str">
        <f t="array" ref="A837">IFERROR(INDEX(Sales!$E$7:$E$1506,MATCH(ROW()-4,Sales!$W$7:$W$1506,0)),"")</f>
        <v/>
      </c>
      <c r="B837" s="152" t="str">
        <f t="array" ref="B837">IF($A837="","",IFERROR(INDEX(Sales!$A:$A,MATCH($A837,Sales!$E:$E,0)),""))</f>
        <v/>
      </c>
      <c r="C837" s="153" t="str">
        <f t="array" ref="C837">IF($A837="","",IFERROR(INDEX(Sales!$D:$D,MATCH($A837,Sales!$E:$E,0)),""))</f>
        <v/>
      </c>
      <c r="D837" s="153" t="str">
        <f t="array" ref="D837">IF($A837="","",IFERROR(INDEX(Sales!$C:$C,MATCH($A837,Sales!$E:$E,0)),""))</f>
        <v/>
      </c>
      <c r="E837" s="154" t="str">
        <f>IF($A837="","",SUMIFS(Sales!$H:$H,Sales!$E:$E,$A837,Sales!$B:$B,"&lt;&gt;Return"))</f>
        <v/>
      </c>
      <c r="F837" s="155" t="str">
        <f>IF($A837="","",SUMIF(Sales!$E:$E,$A837,Sales!$L:$L))</f>
        <v/>
      </c>
      <c r="G837" s="155" t="str">
        <f>IF($A837="","",SUMIF(Sales!$E:$E,$A837,Sales!$P:$P))</f>
        <v/>
      </c>
      <c r="H837" s="156" t="str">
        <f t="array" ref="H837">IF($A837="","",IFERROR(INDEX(Orders!$O$5:$O$1004,MATCH($A837,Orders!$N$5:$N$1004,0)),""))</f>
        <v/>
      </c>
      <c r="I837" s="156" t="str">
        <f t="array" ref="I837">IF($A837="","",IFERROR(INDEX(Orders!$P$5:$P$1004,MATCH($A837,Orders!$N$5:$N$1004,0)),""))</f>
        <v/>
      </c>
      <c r="J837" s="157" t="str">
        <f t="shared" si="1"/>
        <v/>
      </c>
      <c r="K837" s="153" t="str">
        <f t="array" ref="K837">IF($A837="","",IFERROR(INDEX(Sales!$M:$M,MATCH($A837,Sales!$E:$E,0)),""))</f>
        <v/>
      </c>
      <c r="L837" s="158" t="str">
        <f t="shared" si="2"/>
        <v/>
      </c>
      <c r="N837" s="49" t="str">
        <f t="array" ref="N837">IFERROR(INDEX(Sales!$E$7:$E$1506,MATCH(ROW()-4,Sales!$V$7:$V$1506,0)),"")</f>
        <v/>
      </c>
      <c r="O837" s="67"/>
      <c r="P837" s="67"/>
    </row>
    <row r="838" ht="15.0" customHeight="1">
      <c r="A838" s="151" t="str">
        <f t="array" ref="A838">IFERROR(INDEX(Sales!$E$7:$E$1506,MATCH(ROW()-4,Sales!$W$7:$W$1506,0)),"")</f>
        <v/>
      </c>
      <c r="B838" s="152" t="str">
        <f t="array" ref="B838">IF($A838="","",IFERROR(INDEX(Sales!$A:$A,MATCH($A838,Sales!$E:$E,0)),""))</f>
        <v/>
      </c>
      <c r="C838" s="153" t="str">
        <f t="array" ref="C838">IF($A838="","",IFERROR(INDEX(Sales!$D:$D,MATCH($A838,Sales!$E:$E,0)),""))</f>
        <v/>
      </c>
      <c r="D838" s="153" t="str">
        <f t="array" ref="D838">IF($A838="","",IFERROR(INDEX(Sales!$C:$C,MATCH($A838,Sales!$E:$E,0)),""))</f>
        <v/>
      </c>
      <c r="E838" s="154" t="str">
        <f>IF($A838="","",SUMIFS(Sales!$H:$H,Sales!$E:$E,$A838,Sales!$B:$B,"&lt;&gt;Return"))</f>
        <v/>
      </c>
      <c r="F838" s="155" t="str">
        <f>IF($A838="","",SUMIF(Sales!$E:$E,$A838,Sales!$L:$L))</f>
        <v/>
      </c>
      <c r="G838" s="155" t="str">
        <f>IF($A838="","",SUMIF(Sales!$E:$E,$A838,Sales!$P:$P))</f>
        <v/>
      </c>
      <c r="H838" s="156" t="str">
        <f t="array" ref="H838">IF($A838="","",IFERROR(INDEX(Orders!$O$5:$O$1004,MATCH($A838,Orders!$N$5:$N$1004,0)),""))</f>
        <v/>
      </c>
      <c r="I838" s="156" t="str">
        <f t="array" ref="I838">IF($A838="","",IFERROR(INDEX(Orders!$P$5:$P$1004,MATCH($A838,Orders!$N$5:$N$1004,0)),""))</f>
        <v/>
      </c>
      <c r="J838" s="157" t="str">
        <f t="shared" si="1"/>
        <v/>
      </c>
      <c r="K838" s="153" t="str">
        <f t="array" ref="K838">IF($A838="","",IFERROR(INDEX(Sales!$M:$M,MATCH($A838,Sales!$E:$E,0)),""))</f>
        <v/>
      </c>
      <c r="L838" s="158" t="str">
        <f t="shared" si="2"/>
        <v/>
      </c>
      <c r="N838" s="49" t="str">
        <f t="array" ref="N838">IFERROR(INDEX(Sales!$E$7:$E$1506,MATCH(ROW()-4,Sales!$V$7:$V$1506,0)),"")</f>
        <v/>
      </c>
      <c r="O838" s="67"/>
      <c r="P838" s="67"/>
    </row>
    <row r="839" ht="15.0" customHeight="1">
      <c r="A839" s="151" t="str">
        <f t="array" ref="A839">IFERROR(INDEX(Sales!$E$7:$E$1506,MATCH(ROW()-4,Sales!$W$7:$W$1506,0)),"")</f>
        <v/>
      </c>
      <c r="B839" s="152" t="str">
        <f t="array" ref="B839">IF($A839="","",IFERROR(INDEX(Sales!$A:$A,MATCH($A839,Sales!$E:$E,0)),""))</f>
        <v/>
      </c>
      <c r="C839" s="153" t="str">
        <f t="array" ref="C839">IF($A839="","",IFERROR(INDEX(Sales!$D:$D,MATCH($A839,Sales!$E:$E,0)),""))</f>
        <v/>
      </c>
      <c r="D839" s="153" t="str">
        <f t="array" ref="D839">IF($A839="","",IFERROR(INDEX(Sales!$C:$C,MATCH($A839,Sales!$E:$E,0)),""))</f>
        <v/>
      </c>
      <c r="E839" s="154" t="str">
        <f>IF($A839="","",SUMIFS(Sales!$H:$H,Sales!$E:$E,$A839,Sales!$B:$B,"&lt;&gt;Return"))</f>
        <v/>
      </c>
      <c r="F839" s="155" t="str">
        <f>IF($A839="","",SUMIF(Sales!$E:$E,$A839,Sales!$L:$L))</f>
        <v/>
      </c>
      <c r="G839" s="155" t="str">
        <f>IF($A839="","",SUMIF(Sales!$E:$E,$A839,Sales!$P:$P))</f>
        <v/>
      </c>
      <c r="H839" s="156" t="str">
        <f t="array" ref="H839">IF($A839="","",IFERROR(INDEX(Orders!$O$5:$O$1004,MATCH($A839,Orders!$N$5:$N$1004,0)),""))</f>
        <v/>
      </c>
      <c r="I839" s="156" t="str">
        <f t="array" ref="I839">IF($A839="","",IFERROR(INDEX(Orders!$P$5:$P$1004,MATCH($A839,Orders!$N$5:$N$1004,0)),""))</f>
        <v/>
      </c>
      <c r="J839" s="157" t="str">
        <f t="shared" si="1"/>
        <v/>
      </c>
      <c r="K839" s="153" t="str">
        <f t="array" ref="K839">IF($A839="","",IFERROR(INDEX(Sales!$M:$M,MATCH($A839,Sales!$E:$E,0)),""))</f>
        <v/>
      </c>
      <c r="L839" s="158" t="str">
        <f t="shared" si="2"/>
        <v/>
      </c>
      <c r="N839" s="49" t="str">
        <f t="array" ref="N839">IFERROR(INDEX(Sales!$E$7:$E$1506,MATCH(ROW()-4,Sales!$V$7:$V$1506,0)),"")</f>
        <v/>
      </c>
      <c r="O839" s="67"/>
      <c r="P839" s="67"/>
    </row>
    <row r="840" ht="15.0" customHeight="1">
      <c r="A840" s="151" t="str">
        <f t="array" ref="A840">IFERROR(INDEX(Sales!$E$7:$E$1506,MATCH(ROW()-4,Sales!$W$7:$W$1506,0)),"")</f>
        <v/>
      </c>
      <c r="B840" s="152" t="str">
        <f t="array" ref="B840">IF($A840="","",IFERROR(INDEX(Sales!$A:$A,MATCH($A840,Sales!$E:$E,0)),""))</f>
        <v/>
      </c>
      <c r="C840" s="153" t="str">
        <f t="array" ref="C840">IF($A840="","",IFERROR(INDEX(Sales!$D:$D,MATCH($A840,Sales!$E:$E,0)),""))</f>
        <v/>
      </c>
      <c r="D840" s="153" t="str">
        <f t="array" ref="D840">IF($A840="","",IFERROR(INDEX(Sales!$C:$C,MATCH($A840,Sales!$E:$E,0)),""))</f>
        <v/>
      </c>
      <c r="E840" s="154" t="str">
        <f>IF($A840="","",SUMIFS(Sales!$H:$H,Sales!$E:$E,$A840,Sales!$B:$B,"&lt;&gt;Return"))</f>
        <v/>
      </c>
      <c r="F840" s="155" t="str">
        <f>IF($A840="","",SUMIF(Sales!$E:$E,$A840,Sales!$L:$L))</f>
        <v/>
      </c>
      <c r="G840" s="155" t="str">
        <f>IF($A840="","",SUMIF(Sales!$E:$E,$A840,Sales!$P:$P))</f>
        <v/>
      </c>
      <c r="H840" s="156" t="str">
        <f t="array" ref="H840">IF($A840="","",IFERROR(INDEX(Orders!$O$5:$O$1004,MATCH($A840,Orders!$N$5:$N$1004,0)),""))</f>
        <v/>
      </c>
      <c r="I840" s="156" t="str">
        <f t="array" ref="I840">IF($A840="","",IFERROR(INDEX(Orders!$P$5:$P$1004,MATCH($A840,Orders!$N$5:$N$1004,0)),""))</f>
        <v/>
      </c>
      <c r="J840" s="157" t="str">
        <f t="shared" si="1"/>
        <v/>
      </c>
      <c r="K840" s="153" t="str">
        <f t="array" ref="K840">IF($A840="","",IFERROR(INDEX(Sales!$M:$M,MATCH($A840,Sales!$E:$E,0)),""))</f>
        <v/>
      </c>
      <c r="L840" s="158" t="str">
        <f t="shared" si="2"/>
        <v/>
      </c>
      <c r="N840" s="49" t="str">
        <f t="array" ref="N840">IFERROR(INDEX(Sales!$E$7:$E$1506,MATCH(ROW()-4,Sales!$V$7:$V$1506,0)),"")</f>
        <v/>
      </c>
      <c r="O840" s="67"/>
      <c r="P840" s="67"/>
    </row>
    <row r="841" ht="15.0" customHeight="1">
      <c r="A841" s="151" t="str">
        <f t="array" ref="A841">IFERROR(INDEX(Sales!$E$7:$E$1506,MATCH(ROW()-4,Sales!$W$7:$W$1506,0)),"")</f>
        <v/>
      </c>
      <c r="B841" s="152" t="str">
        <f t="array" ref="B841">IF($A841="","",IFERROR(INDEX(Sales!$A:$A,MATCH($A841,Sales!$E:$E,0)),""))</f>
        <v/>
      </c>
      <c r="C841" s="153" t="str">
        <f t="array" ref="C841">IF($A841="","",IFERROR(INDEX(Sales!$D:$D,MATCH($A841,Sales!$E:$E,0)),""))</f>
        <v/>
      </c>
      <c r="D841" s="153" t="str">
        <f t="array" ref="D841">IF($A841="","",IFERROR(INDEX(Sales!$C:$C,MATCH($A841,Sales!$E:$E,0)),""))</f>
        <v/>
      </c>
      <c r="E841" s="154" t="str">
        <f>IF($A841="","",SUMIFS(Sales!$H:$H,Sales!$E:$E,$A841,Sales!$B:$B,"&lt;&gt;Return"))</f>
        <v/>
      </c>
      <c r="F841" s="155" t="str">
        <f>IF($A841="","",SUMIF(Sales!$E:$E,$A841,Sales!$L:$L))</f>
        <v/>
      </c>
      <c r="G841" s="155" t="str">
        <f>IF($A841="","",SUMIF(Sales!$E:$E,$A841,Sales!$P:$P))</f>
        <v/>
      </c>
      <c r="H841" s="156" t="str">
        <f t="array" ref="H841">IF($A841="","",IFERROR(INDEX(Orders!$O$5:$O$1004,MATCH($A841,Orders!$N$5:$N$1004,0)),""))</f>
        <v/>
      </c>
      <c r="I841" s="156" t="str">
        <f t="array" ref="I841">IF($A841="","",IFERROR(INDEX(Orders!$P$5:$P$1004,MATCH($A841,Orders!$N$5:$N$1004,0)),""))</f>
        <v/>
      </c>
      <c r="J841" s="157" t="str">
        <f t="shared" si="1"/>
        <v/>
      </c>
      <c r="K841" s="153" t="str">
        <f t="array" ref="K841">IF($A841="","",IFERROR(INDEX(Sales!$M:$M,MATCH($A841,Sales!$E:$E,0)),""))</f>
        <v/>
      </c>
      <c r="L841" s="158" t="str">
        <f t="shared" si="2"/>
        <v/>
      </c>
      <c r="N841" s="49" t="str">
        <f t="array" ref="N841">IFERROR(INDEX(Sales!$E$7:$E$1506,MATCH(ROW()-4,Sales!$V$7:$V$1506,0)),"")</f>
        <v/>
      </c>
      <c r="O841" s="67"/>
      <c r="P841" s="67"/>
    </row>
    <row r="842" ht="15.0" customHeight="1">
      <c r="A842" s="151" t="str">
        <f t="array" ref="A842">IFERROR(INDEX(Sales!$E$7:$E$1506,MATCH(ROW()-4,Sales!$W$7:$W$1506,0)),"")</f>
        <v/>
      </c>
      <c r="B842" s="152" t="str">
        <f t="array" ref="B842">IF($A842="","",IFERROR(INDEX(Sales!$A:$A,MATCH($A842,Sales!$E:$E,0)),""))</f>
        <v/>
      </c>
      <c r="C842" s="153" t="str">
        <f t="array" ref="C842">IF($A842="","",IFERROR(INDEX(Sales!$D:$D,MATCH($A842,Sales!$E:$E,0)),""))</f>
        <v/>
      </c>
      <c r="D842" s="153" t="str">
        <f t="array" ref="D842">IF($A842="","",IFERROR(INDEX(Sales!$C:$C,MATCH($A842,Sales!$E:$E,0)),""))</f>
        <v/>
      </c>
      <c r="E842" s="154" t="str">
        <f>IF($A842="","",SUMIFS(Sales!$H:$H,Sales!$E:$E,$A842,Sales!$B:$B,"&lt;&gt;Return"))</f>
        <v/>
      </c>
      <c r="F842" s="155" t="str">
        <f>IF($A842="","",SUMIF(Sales!$E:$E,$A842,Sales!$L:$L))</f>
        <v/>
      </c>
      <c r="G842" s="155" t="str">
        <f>IF($A842="","",SUMIF(Sales!$E:$E,$A842,Sales!$P:$P))</f>
        <v/>
      </c>
      <c r="H842" s="156" t="str">
        <f t="array" ref="H842">IF($A842="","",IFERROR(INDEX(Orders!$O$5:$O$1004,MATCH($A842,Orders!$N$5:$N$1004,0)),""))</f>
        <v/>
      </c>
      <c r="I842" s="156" t="str">
        <f t="array" ref="I842">IF($A842="","",IFERROR(INDEX(Orders!$P$5:$P$1004,MATCH($A842,Orders!$N$5:$N$1004,0)),""))</f>
        <v/>
      </c>
      <c r="J842" s="157" t="str">
        <f t="shared" si="1"/>
        <v/>
      </c>
      <c r="K842" s="153" t="str">
        <f t="array" ref="K842">IF($A842="","",IFERROR(INDEX(Sales!$M:$M,MATCH($A842,Sales!$E:$E,0)),""))</f>
        <v/>
      </c>
      <c r="L842" s="158" t="str">
        <f t="shared" si="2"/>
        <v/>
      </c>
      <c r="N842" s="49" t="str">
        <f t="array" ref="N842">IFERROR(INDEX(Sales!$E$7:$E$1506,MATCH(ROW()-4,Sales!$V$7:$V$1506,0)),"")</f>
        <v/>
      </c>
      <c r="O842" s="67"/>
      <c r="P842" s="67"/>
    </row>
    <row r="843" ht="15.0" customHeight="1">
      <c r="A843" s="151" t="str">
        <f t="array" ref="A843">IFERROR(INDEX(Sales!$E$7:$E$1506,MATCH(ROW()-4,Sales!$W$7:$W$1506,0)),"")</f>
        <v/>
      </c>
      <c r="B843" s="152" t="str">
        <f t="array" ref="B843">IF($A843="","",IFERROR(INDEX(Sales!$A:$A,MATCH($A843,Sales!$E:$E,0)),""))</f>
        <v/>
      </c>
      <c r="C843" s="153" t="str">
        <f t="array" ref="C843">IF($A843="","",IFERROR(INDEX(Sales!$D:$D,MATCH($A843,Sales!$E:$E,0)),""))</f>
        <v/>
      </c>
      <c r="D843" s="153" t="str">
        <f t="array" ref="D843">IF($A843="","",IFERROR(INDEX(Sales!$C:$C,MATCH($A843,Sales!$E:$E,0)),""))</f>
        <v/>
      </c>
      <c r="E843" s="154" t="str">
        <f>IF($A843="","",SUMIFS(Sales!$H:$H,Sales!$E:$E,$A843,Sales!$B:$B,"&lt;&gt;Return"))</f>
        <v/>
      </c>
      <c r="F843" s="155" t="str">
        <f>IF($A843="","",SUMIF(Sales!$E:$E,$A843,Sales!$L:$L))</f>
        <v/>
      </c>
      <c r="G843" s="155" t="str">
        <f>IF($A843="","",SUMIF(Sales!$E:$E,$A843,Sales!$P:$P))</f>
        <v/>
      </c>
      <c r="H843" s="156" t="str">
        <f t="array" ref="H843">IF($A843="","",IFERROR(INDEX(Orders!$O$5:$O$1004,MATCH($A843,Orders!$N$5:$N$1004,0)),""))</f>
        <v/>
      </c>
      <c r="I843" s="156" t="str">
        <f t="array" ref="I843">IF($A843="","",IFERROR(INDEX(Orders!$P$5:$P$1004,MATCH($A843,Orders!$N$5:$N$1004,0)),""))</f>
        <v/>
      </c>
      <c r="J843" s="157" t="str">
        <f t="shared" si="1"/>
        <v/>
      </c>
      <c r="K843" s="153" t="str">
        <f t="array" ref="K843">IF($A843="","",IFERROR(INDEX(Sales!$M:$M,MATCH($A843,Sales!$E:$E,0)),""))</f>
        <v/>
      </c>
      <c r="L843" s="158" t="str">
        <f t="shared" si="2"/>
        <v/>
      </c>
      <c r="N843" s="49" t="str">
        <f t="array" ref="N843">IFERROR(INDEX(Sales!$E$7:$E$1506,MATCH(ROW()-4,Sales!$V$7:$V$1506,0)),"")</f>
        <v/>
      </c>
      <c r="O843" s="67"/>
      <c r="P843" s="67"/>
    </row>
    <row r="844" ht="15.0" customHeight="1">
      <c r="A844" s="151" t="str">
        <f t="array" ref="A844">IFERROR(INDEX(Sales!$E$7:$E$1506,MATCH(ROW()-4,Sales!$W$7:$W$1506,0)),"")</f>
        <v/>
      </c>
      <c r="B844" s="152" t="str">
        <f t="array" ref="B844">IF($A844="","",IFERROR(INDEX(Sales!$A:$A,MATCH($A844,Sales!$E:$E,0)),""))</f>
        <v/>
      </c>
      <c r="C844" s="153" t="str">
        <f t="array" ref="C844">IF($A844="","",IFERROR(INDEX(Sales!$D:$D,MATCH($A844,Sales!$E:$E,0)),""))</f>
        <v/>
      </c>
      <c r="D844" s="153" t="str">
        <f t="array" ref="D844">IF($A844="","",IFERROR(INDEX(Sales!$C:$C,MATCH($A844,Sales!$E:$E,0)),""))</f>
        <v/>
      </c>
      <c r="E844" s="154" t="str">
        <f>IF($A844="","",SUMIFS(Sales!$H:$H,Sales!$E:$E,$A844,Sales!$B:$B,"&lt;&gt;Return"))</f>
        <v/>
      </c>
      <c r="F844" s="155" t="str">
        <f>IF($A844="","",SUMIF(Sales!$E:$E,$A844,Sales!$L:$L))</f>
        <v/>
      </c>
      <c r="G844" s="155" t="str">
        <f>IF($A844="","",SUMIF(Sales!$E:$E,$A844,Sales!$P:$P))</f>
        <v/>
      </c>
      <c r="H844" s="156" t="str">
        <f t="array" ref="H844">IF($A844="","",IFERROR(INDEX(Orders!$O$5:$O$1004,MATCH($A844,Orders!$N$5:$N$1004,0)),""))</f>
        <v/>
      </c>
      <c r="I844" s="156" t="str">
        <f t="array" ref="I844">IF($A844="","",IFERROR(INDEX(Orders!$P$5:$P$1004,MATCH($A844,Orders!$N$5:$N$1004,0)),""))</f>
        <v/>
      </c>
      <c r="J844" s="157" t="str">
        <f t="shared" si="1"/>
        <v/>
      </c>
      <c r="K844" s="153" t="str">
        <f t="array" ref="K844">IF($A844="","",IFERROR(INDEX(Sales!$M:$M,MATCH($A844,Sales!$E:$E,0)),""))</f>
        <v/>
      </c>
      <c r="L844" s="158" t="str">
        <f t="shared" si="2"/>
        <v/>
      </c>
      <c r="N844" s="49" t="str">
        <f t="array" ref="N844">IFERROR(INDEX(Sales!$E$7:$E$1506,MATCH(ROW()-4,Sales!$V$7:$V$1506,0)),"")</f>
        <v/>
      </c>
      <c r="O844" s="67"/>
      <c r="P844" s="67"/>
    </row>
    <row r="845" ht="15.0" customHeight="1">
      <c r="A845" s="151" t="str">
        <f t="array" ref="A845">IFERROR(INDEX(Sales!$E$7:$E$1506,MATCH(ROW()-4,Sales!$W$7:$W$1506,0)),"")</f>
        <v/>
      </c>
      <c r="B845" s="152" t="str">
        <f t="array" ref="B845">IF($A845="","",IFERROR(INDEX(Sales!$A:$A,MATCH($A845,Sales!$E:$E,0)),""))</f>
        <v/>
      </c>
      <c r="C845" s="153" t="str">
        <f t="array" ref="C845">IF($A845="","",IFERROR(INDEX(Sales!$D:$D,MATCH($A845,Sales!$E:$E,0)),""))</f>
        <v/>
      </c>
      <c r="D845" s="153" t="str">
        <f t="array" ref="D845">IF($A845="","",IFERROR(INDEX(Sales!$C:$C,MATCH($A845,Sales!$E:$E,0)),""))</f>
        <v/>
      </c>
      <c r="E845" s="154" t="str">
        <f>IF($A845="","",SUMIFS(Sales!$H:$H,Sales!$E:$E,$A845,Sales!$B:$B,"&lt;&gt;Return"))</f>
        <v/>
      </c>
      <c r="F845" s="155" t="str">
        <f>IF($A845="","",SUMIF(Sales!$E:$E,$A845,Sales!$L:$L))</f>
        <v/>
      </c>
      <c r="G845" s="155" t="str">
        <f>IF($A845="","",SUMIF(Sales!$E:$E,$A845,Sales!$P:$P))</f>
        <v/>
      </c>
      <c r="H845" s="156" t="str">
        <f t="array" ref="H845">IF($A845="","",IFERROR(INDEX(Orders!$O$5:$O$1004,MATCH($A845,Orders!$N$5:$N$1004,0)),""))</f>
        <v/>
      </c>
      <c r="I845" s="156" t="str">
        <f t="array" ref="I845">IF($A845="","",IFERROR(INDEX(Orders!$P$5:$P$1004,MATCH($A845,Orders!$N$5:$N$1004,0)),""))</f>
        <v/>
      </c>
      <c r="J845" s="157" t="str">
        <f t="shared" si="1"/>
        <v/>
      </c>
      <c r="K845" s="153" t="str">
        <f t="array" ref="K845">IF($A845="","",IFERROR(INDEX(Sales!$M:$M,MATCH($A845,Sales!$E:$E,0)),""))</f>
        <v/>
      </c>
      <c r="L845" s="158" t="str">
        <f t="shared" si="2"/>
        <v/>
      </c>
      <c r="N845" s="49" t="str">
        <f t="array" ref="N845">IFERROR(INDEX(Sales!$E$7:$E$1506,MATCH(ROW()-4,Sales!$V$7:$V$1506,0)),"")</f>
        <v/>
      </c>
      <c r="O845" s="67"/>
      <c r="P845" s="67"/>
    </row>
    <row r="846" ht="15.0" customHeight="1">
      <c r="A846" s="151" t="str">
        <f t="array" ref="A846">IFERROR(INDEX(Sales!$E$7:$E$1506,MATCH(ROW()-4,Sales!$W$7:$W$1506,0)),"")</f>
        <v/>
      </c>
      <c r="B846" s="152" t="str">
        <f t="array" ref="B846">IF($A846="","",IFERROR(INDEX(Sales!$A:$A,MATCH($A846,Sales!$E:$E,0)),""))</f>
        <v/>
      </c>
      <c r="C846" s="153" t="str">
        <f t="array" ref="C846">IF($A846="","",IFERROR(INDEX(Sales!$D:$D,MATCH($A846,Sales!$E:$E,0)),""))</f>
        <v/>
      </c>
      <c r="D846" s="153" t="str">
        <f t="array" ref="D846">IF($A846="","",IFERROR(INDEX(Sales!$C:$C,MATCH($A846,Sales!$E:$E,0)),""))</f>
        <v/>
      </c>
      <c r="E846" s="154" t="str">
        <f>IF($A846="","",SUMIFS(Sales!$H:$H,Sales!$E:$E,$A846,Sales!$B:$B,"&lt;&gt;Return"))</f>
        <v/>
      </c>
      <c r="F846" s="155" t="str">
        <f>IF($A846="","",SUMIF(Sales!$E:$E,$A846,Sales!$L:$L))</f>
        <v/>
      </c>
      <c r="G846" s="155" t="str">
        <f>IF($A846="","",SUMIF(Sales!$E:$E,$A846,Sales!$P:$P))</f>
        <v/>
      </c>
      <c r="H846" s="156" t="str">
        <f t="array" ref="H846">IF($A846="","",IFERROR(INDEX(Orders!$O$5:$O$1004,MATCH($A846,Orders!$N$5:$N$1004,0)),""))</f>
        <v/>
      </c>
      <c r="I846" s="156" t="str">
        <f t="array" ref="I846">IF($A846="","",IFERROR(INDEX(Orders!$P$5:$P$1004,MATCH($A846,Orders!$N$5:$N$1004,0)),""))</f>
        <v/>
      </c>
      <c r="J846" s="157" t="str">
        <f t="shared" si="1"/>
        <v/>
      </c>
      <c r="K846" s="153" t="str">
        <f t="array" ref="K846">IF($A846="","",IFERROR(INDEX(Sales!$M:$M,MATCH($A846,Sales!$E:$E,0)),""))</f>
        <v/>
      </c>
      <c r="L846" s="158" t="str">
        <f t="shared" si="2"/>
        <v/>
      </c>
      <c r="N846" s="49" t="str">
        <f t="array" ref="N846">IFERROR(INDEX(Sales!$E$7:$E$1506,MATCH(ROW()-4,Sales!$V$7:$V$1506,0)),"")</f>
        <v/>
      </c>
      <c r="O846" s="67"/>
      <c r="P846" s="67"/>
    </row>
    <row r="847" ht="15.0" customHeight="1">
      <c r="A847" s="151" t="str">
        <f t="array" ref="A847">IFERROR(INDEX(Sales!$E$7:$E$1506,MATCH(ROW()-4,Sales!$W$7:$W$1506,0)),"")</f>
        <v/>
      </c>
      <c r="B847" s="152" t="str">
        <f t="array" ref="B847">IF($A847="","",IFERROR(INDEX(Sales!$A:$A,MATCH($A847,Sales!$E:$E,0)),""))</f>
        <v/>
      </c>
      <c r="C847" s="153" t="str">
        <f t="array" ref="C847">IF($A847="","",IFERROR(INDEX(Sales!$D:$D,MATCH($A847,Sales!$E:$E,0)),""))</f>
        <v/>
      </c>
      <c r="D847" s="153" t="str">
        <f t="array" ref="D847">IF($A847="","",IFERROR(INDEX(Sales!$C:$C,MATCH($A847,Sales!$E:$E,0)),""))</f>
        <v/>
      </c>
      <c r="E847" s="154" t="str">
        <f>IF($A847="","",SUMIFS(Sales!$H:$H,Sales!$E:$E,$A847,Sales!$B:$B,"&lt;&gt;Return"))</f>
        <v/>
      </c>
      <c r="F847" s="155" t="str">
        <f>IF($A847="","",SUMIF(Sales!$E:$E,$A847,Sales!$L:$L))</f>
        <v/>
      </c>
      <c r="G847" s="155" t="str">
        <f>IF($A847="","",SUMIF(Sales!$E:$E,$A847,Sales!$P:$P))</f>
        <v/>
      </c>
      <c r="H847" s="156" t="str">
        <f t="array" ref="H847">IF($A847="","",IFERROR(INDEX(Orders!$O$5:$O$1004,MATCH($A847,Orders!$N$5:$N$1004,0)),""))</f>
        <v/>
      </c>
      <c r="I847" s="156" t="str">
        <f t="array" ref="I847">IF($A847="","",IFERROR(INDEX(Orders!$P$5:$P$1004,MATCH($A847,Orders!$N$5:$N$1004,0)),""))</f>
        <v/>
      </c>
      <c r="J847" s="157" t="str">
        <f t="shared" si="1"/>
        <v/>
      </c>
      <c r="K847" s="153" t="str">
        <f t="array" ref="K847">IF($A847="","",IFERROR(INDEX(Sales!$M:$M,MATCH($A847,Sales!$E:$E,0)),""))</f>
        <v/>
      </c>
      <c r="L847" s="158" t="str">
        <f t="shared" si="2"/>
        <v/>
      </c>
      <c r="N847" s="49" t="str">
        <f t="array" ref="N847">IFERROR(INDEX(Sales!$E$7:$E$1506,MATCH(ROW()-4,Sales!$V$7:$V$1506,0)),"")</f>
        <v/>
      </c>
      <c r="O847" s="67"/>
      <c r="P847" s="67"/>
    </row>
    <row r="848" ht="15.0" customHeight="1">
      <c r="A848" s="151" t="str">
        <f t="array" ref="A848">IFERROR(INDEX(Sales!$E$7:$E$1506,MATCH(ROW()-4,Sales!$W$7:$W$1506,0)),"")</f>
        <v/>
      </c>
      <c r="B848" s="152" t="str">
        <f t="array" ref="B848">IF($A848="","",IFERROR(INDEX(Sales!$A:$A,MATCH($A848,Sales!$E:$E,0)),""))</f>
        <v/>
      </c>
      <c r="C848" s="153" t="str">
        <f t="array" ref="C848">IF($A848="","",IFERROR(INDEX(Sales!$D:$D,MATCH($A848,Sales!$E:$E,0)),""))</f>
        <v/>
      </c>
      <c r="D848" s="153" t="str">
        <f t="array" ref="D848">IF($A848="","",IFERROR(INDEX(Sales!$C:$C,MATCH($A848,Sales!$E:$E,0)),""))</f>
        <v/>
      </c>
      <c r="E848" s="154" t="str">
        <f>IF($A848="","",SUMIFS(Sales!$H:$H,Sales!$E:$E,$A848,Sales!$B:$B,"&lt;&gt;Return"))</f>
        <v/>
      </c>
      <c r="F848" s="155" t="str">
        <f>IF($A848="","",SUMIF(Sales!$E:$E,$A848,Sales!$L:$L))</f>
        <v/>
      </c>
      <c r="G848" s="155" t="str">
        <f>IF($A848="","",SUMIF(Sales!$E:$E,$A848,Sales!$P:$P))</f>
        <v/>
      </c>
      <c r="H848" s="156" t="str">
        <f t="array" ref="H848">IF($A848="","",IFERROR(INDEX(Orders!$O$5:$O$1004,MATCH($A848,Orders!$N$5:$N$1004,0)),""))</f>
        <v/>
      </c>
      <c r="I848" s="156" t="str">
        <f t="array" ref="I848">IF($A848="","",IFERROR(INDEX(Orders!$P$5:$P$1004,MATCH($A848,Orders!$N$5:$N$1004,0)),""))</f>
        <v/>
      </c>
      <c r="J848" s="157" t="str">
        <f t="shared" si="1"/>
        <v/>
      </c>
      <c r="K848" s="153" t="str">
        <f t="array" ref="K848">IF($A848="","",IFERROR(INDEX(Sales!$M:$M,MATCH($A848,Sales!$E:$E,0)),""))</f>
        <v/>
      </c>
      <c r="L848" s="158" t="str">
        <f t="shared" si="2"/>
        <v/>
      </c>
      <c r="N848" s="49" t="str">
        <f t="array" ref="N848">IFERROR(INDEX(Sales!$E$7:$E$1506,MATCH(ROW()-4,Sales!$V$7:$V$1506,0)),"")</f>
        <v/>
      </c>
      <c r="O848" s="67"/>
      <c r="P848" s="67"/>
    </row>
    <row r="849" ht="15.0" customHeight="1">
      <c r="A849" s="151" t="str">
        <f t="array" ref="A849">IFERROR(INDEX(Sales!$E$7:$E$1506,MATCH(ROW()-4,Sales!$W$7:$W$1506,0)),"")</f>
        <v/>
      </c>
      <c r="B849" s="152" t="str">
        <f t="array" ref="B849">IF($A849="","",IFERROR(INDEX(Sales!$A:$A,MATCH($A849,Sales!$E:$E,0)),""))</f>
        <v/>
      </c>
      <c r="C849" s="153" t="str">
        <f t="array" ref="C849">IF($A849="","",IFERROR(INDEX(Sales!$D:$D,MATCH($A849,Sales!$E:$E,0)),""))</f>
        <v/>
      </c>
      <c r="D849" s="153" t="str">
        <f t="array" ref="D849">IF($A849="","",IFERROR(INDEX(Sales!$C:$C,MATCH($A849,Sales!$E:$E,0)),""))</f>
        <v/>
      </c>
      <c r="E849" s="154" t="str">
        <f>IF($A849="","",SUMIFS(Sales!$H:$H,Sales!$E:$E,$A849,Sales!$B:$B,"&lt;&gt;Return"))</f>
        <v/>
      </c>
      <c r="F849" s="155" t="str">
        <f>IF($A849="","",SUMIF(Sales!$E:$E,$A849,Sales!$L:$L))</f>
        <v/>
      </c>
      <c r="G849" s="155" t="str">
        <f>IF($A849="","",SUMIF(Sales!$E:$E,$A849,Sales!$P:$P))</f>
        <v/>
      </c>
      <c r="H849" s="156" t="str">
        <f t="array" ref="H849">IF($A849="","",IFERROR(INDEX(Orders!$O$5:$O$1004,MATCH($A849,Orders!$N$5:$N$1004,0)),""))</f>
        <v/>
      </c>
      <c r="I849" s="156" t="str">
        <f t="array" ref="I849">IF($A849="","",IFERROR(INDEX(Orders!$P$5:$P$1004,MATCH($A849,Orders!$N$5:$N$1004,0)),""))</f>
        <v/>
      </c>
      <c r="J849" s="157" t="str">
        <f t="shared" si="1"/>
        <v/>
      </c>
      <c r="K849" s="153" t="str">
        <f t="array" ref="K849">IF($A849="","",IFERROR(INDEX(Sales!$M:$M,MATCH($A849,Sales!$E:$E,0)),""))</f>
        <v/>
      </c>
      <c r="L849" s="158" t="str">
        <f t="shared" si="2"/>
        <v/>
      </c>
      <c r="N849" s="49" t="str">
        <f t="array" ref="N849">IFERROR(INDEX(Sales!$E$7:$E$1506,MATCH(ROW()-4,Sales!$V$7:$V$1506,0)),"")</f>
        <v/>
      </c>
      <c r="O849" s="67"/>
      <c r="P849" s="67"/>
    </row>
    <row r="850" ht="15.0" customHeight="1">
      <c r="A850" s="151" t="str">
        <f t="array" ref="A850">IFERROR(INDEX(Sales!$E$7:$E$1506,MATCH(ROW()-4,Sales!$W$7:$W$1506,0)),"")</f>
        <v/>
      </c>
      <c r="B850" s="152" t="str">
        <f t="array" ref="B850">IF($A850="","",IFERROR(INDEX(Sales!$A:$A,MATCH($A850,Sales!$E:$E,0)),""))</f>
        <v/>
      </c>
      <c r="C850" s="153" t="str">
        <f t="array" ref="C850">IF($A850="","",IFERROR(INDEX(Sales!$D:$D,MATCH($A850,Sales!$E:$E,0)),""))</f>
        <v/>
      </c>
      <c r="D850" s="153" t="str">
        <f t="array" ref="D850">IF($A850="","",IFERROR(INDEX(Sales!$C:$C,MATCH($A850,Sales!$E:$E,0)),""))</f>
        <v/>
      </c>
      <c r="E850" s="154" t="str">
        <f>IF($A850="","",SUMIFS(Sales!$H:$H,Sales!$E:$E,$A850,Sales!$B:$B,"&lt;&gt;Return"))</f>
        <v/>
      </c>
      <c r="F850" s="155" t="str">
        <f>IF($A850="","",SUMIF(Sales!$E:$E,$A850,Sales!$L:$L))</f>
        <v/>
      </c>
      <c r="G850" s="155" t="str">
        <f>IF($A850="","",SUMIF(Sales!$E:$E,$A850,Sales!$P:$P))</f>
        <v/>
      </c>
      <c r="H850" s="156" t="str">
        <f t="array" ref="H850">IF($A850="","",IFERROR(INDEX(Orders!$O$5:$O$1004,MATCH($A850,Orders!$N$5:$N$1004,0)),""))</f>
        <v/>
      </c>
      <c r="I850" s="156" t="str">
        <f t="array" ref="I850">IF($A850="","",IFERROR(INDEX(Orders!$P$5:$P$1004,MATCH($A850,Orders!$N$5:$N$1004,0)),""))</f>
        <v/>
      </c>
      <c r="J850" s="157" t="str">
        <f t="shared" si="1"/>
        <v/>
      </c>
      <c r="K850" s="153" t="str">
        <f t="array" ref="K850">IF($A850="","",IFERROR(INDEX(Sales!$M:$M,MATCH($A850,Sales!$E:$E,0)),""))</f>
        <v/>
      </c>
      <c r="L850" s="158" t="str">
        <f t="shared" si="2"/>
        <v/>
      </c>
      <c r="N850" s="49" t="str">
        <f t="array" ref="N850">IFERROR(INDEX(Sales!$E$7:$E$1506,MATCH(ROW()-4,Sales!$V$7:$V$1506,0)),"")</f>
        <v/>
      </c>
      <c r="O850" s="67"/>
      <c r="P850" s="67"/>
    </row>
    <row r="851" ht="15.0" customHeight="1">
      <c r="A851" s="151" t="str">
        <f t="array" ref="A851">IFERROR(INDEX(Sales!$E$7:$E$1506,MATCH(ROW()-4,Sales!$W$7:$W$1506,0)),"")</f>
        <v/>
      </c>
      <c r="B851" s="152" t="str">
        <f t="array" ref="B851">IF($A851="","",IFERROR(INDEX(Sales!$A:$A,MATCH($A851,Sales!$E:$E,0)),""))</f>
        <v/>
      </c>
      <c r="C851" s="153" t="str">
        <f t="array" ref="C851">IF($A851="","",IFERROR(INDEX(Sales!$D:$D,MATCH($A851,Sales!$E:$E,0)),""))</f>
        <v/>
      </c>
      <c r="D851" s="153" t="str">
        <f t="array" ref="D851">IF($A851="","",IFERROR(INDEX(Sales!$C:$C,MATCH($A851,Sales!$E:$E,0)),""))</f>
        <v/>
      </c>
      <c r="E851" s="154" t="str">
        <f>IF($A851="","",SUMIFS(Sales!$H:$H,Sales!$E:$E,$A851,Sales!$B:$B,"&lt;&gt;Return"))</f>
        <v/>
      </c>
      <c r="F851" s="155" t="str">
        <f>IF($A851="","",SUMIF(Sales!$E:$E,$A851,Sales!$L:$L))</f>
        <v/>
      </c>
      <c r="G851" s="155" t="str">
        <f>IF($A851="","",SUMIF(Sales!$E:$E,$A851,Sales!$P:$P))</f>
        <v/>
      </c>
      <c r="H851" s="156" t="str">
        <f t="array" ref="H851">IF($A851="","",IFERROR(INDEX(Orders!$O$5:$O$1004,MATCH($A851,Orders!$N$5:$N$1004,0)),""))</f>
        <v/>
      </c>
      <c r="I851" s="156" t="str">
        <f t="array" ref="I851">IF($A851="","",IFERROR(INDEX(Orders!$P$5:$P$1004,MATCH($A851,Orders!$N$5:$N$1004,0)),""))</f>
        <v/>
      </c>
      <c r="J851" s="157" t="str">
        <f t="shared" si="1"/>
        <v/>
      </c>
      <c r="K851" s="153" t="str">
        <f t="array" ref="K851">IF($A851="","",IFERROR(INDEX(Sales!$M:$M,MATCH($A851,Sales!$E:$E,0)),""))</f>
        <v/>
      </c>
      <c r="L851" s="158" t="str">
        <f t="shared" si="2"/>
        <v/>
      </c>
      <c r="N851" s="49" t="str">
        <f t="array" ref="N851">IFERROR(INDEX(Sales!$E$7:$E$1506,MATCH(ROW()-4,Sales!$V$7:$V$1506,0)),"")</f>
        <v/>
      </c>
      <c r="O851" s="67"/>
      <c r="P851" s="67"/>
    </row>
    <row r="852" ht="15.0" customHeight="1">
      <c r="A852" s="151" t="str">
        <f t="array" ref="A852">IFERROR(INDEX(Sales!$E$7:$E$1506,MATCH(ROW()-4,Sales!$W$7:$W$1506,0)),"")</f>
        <v/>
      </c>
      <c r="B852" s="152" t="str">
        <f t="array" ref="B852">IF($A852="","",IFERROR(INDEX(Sales!$A:$A,MATCH($A852,Sales!$E:$E,0)),""))</f>
        <v/>
      </c>
      <c r="C852" s="153" t="str">
        <f t="array" ref="C852">IF($A852="","",IFERROR(INDEX(Sales!$D:$D,MATCH($A852,Sales!$E:$E,0)),""))</f>
        <v/>
      </c>
      <c r="D852" s="153" t="str">
        <f t="array" ref="D852">IF($A852="","",IFERROR(INDEX(Sales!$C:$C,MATCH($A852,Sales!$E:$E,0)),""))</f>
        <v/>
      </c>
      <c r="E852" s="154" t="str">
        <f>IF($A852="","",SUMIFS(Sales!$H:$H,Sales!$E:$E,$A852,Sales!$B:$B,"&lt;&gt;Return"))</f>
        <v/>
      </c>
      <c r="F852" s="155" t="str">
        <f>IF($A852="","",SUMIF(Sales!$E:$E,$A852,Sales!$L:$L))</f>
        <v/>
      </c>
      <c r="G852" s="155" t="str">
        <f>IF($A852="","",SUMIF(Sales!$E:$E,$A852,Sales!$P:$P))</f>
        <v/>
      </c>
      <c r="H852" s="156" t="str">
        <f t="array" ref="H852">IF($A852="","",IFERROR(INDEX(Orders!$O$5:$O$1004,MATCH($A852,Orders!$N$5:$N$1004,0)),""))</f>
        <v/>
      </c>
      <c r="I852" s="156" t="str">
        <f t="array" ref="I852">IF($A852="","",IFERROR(INDEX(Orders!$P$5:$P$1004,MATCH($A852,Orders!$N$5:$N$1004,0)),""))</f>
        <v/>
      </c>
      <c r="J852" s="157" t="str">
        <f t="shared" si="1"/>
        <v/>
      </c>
      <c r="K852" s="153" t="str">
        <f t="array" ref="K852">IF($A852="","",IFERROR(INDEX(Sales!$M:$M,MATCH($A852,Sales!$E:$E,0)),""))</f>
        <v/>
      </c>
      <c r="L852" s="158" t="str">
        <f t="shared" si="2"/>
        <v/>
      </c>
      <c r="N852" s="49" t="str">
        <f t="array" ref="N852">IFERROR(INDEX(Sales!$E$7:$E$1506,MATCH(ROW()-4,Sales!$V$7:$V$1506,0)),"")</f>
        <v/>
      </c>
      <c r="O852" s="67"/>
      <c r="P852" s="67"/>
    </row>
    <row r="853" ht="15.0" customHeight="1">
      <c r="A853" s="151" t="str">
        <f t="array" ref="A853">IFERROR(INDEX(Sales!$E$7:$E$1506,MATCH(ROW()-4,Sales!$W$7:$W$1506,0)),"")</f>
        <v/>
      </c>
      <c r="B853" s="152" t="str">
        <f t="array" ref="B853">IF($A853="","",IFERROR(INDEX(Sales!$A:$A,MATCH($A853,Sales!$E:$E,0)),""))</f>
        <v/>
      </c>
      <c r="C853" s="153" t="str">
        <f t="array" ref="C853">IF($A853="","",IFERROR(INDEX(Sales!$D:$D,MATCH($A853,Sales!$E:$E,0)),""))</f>
        <v/>
      </c>
      <c r="D853" s="153" t="str">
        <f t="array" ref="D853">IF($A853="","",IFERROR(INDEX(Sales!$C:$C,MATCH($A853,Sales!$E:$E,0)),""))</f>
        <v/>
      </c>
      <c r="E853" s="154" t="str">
        <f>IF($A853="","",SUMIFS(Sales!$H:$H,Sales!$E:$E,$A853,Sales!$B:$B,"&lt;&gt;Return"))</f>
        <v/>
      </c>
      <c r="F853" s="155" t="str">
        <f>IF($A853="","",SUMIF(Sales!$E:$E,$A853,Sales!$L:$L))</f>
        <v/>
      </c>
      <c r="G853" s="155" t="str">
        <f>IF($A853="","",SUMIF(Sales!$E:$E,$A853,Sales!$P:$P))</f>
        <v/>
      </c>
      <c r="H853" s="156" t="str">
        <f t="array" ref="H853">IF($A853="","",IFERROR(INDEX(Orders!$O$5:$O$1004,MATCH($A853,Orders!$N$5:$N$1004,0)),""))</f>
        <v/>
      </c>
      <c r="I853" s="156" t="str">
        <f t="array" ref="I853">IF($A853="","",IFERROR(INDEX(Orders!$P$5:$P$1004,MATCH($A853,Orders!$N$5:$N$1004,0)),""))</f>
        <v/>
      </c>
      <c r="J853" s="157" t="str">
        <f t="shared" si="1"/>
        <v/>
      </c>
      <c r="K853" s="153" t="str">
        <f t="array" ref="K853">IF($A853="","",IFERROR(INDEX(Sales!$M:$M,MATCH($A853,Sales!$E:$E,0)),""))</f>
        <v/>
      </c>
      <c r="L853" s="158" t="str">
        <f t="shared" si="2"/>
        <v/>
      </c>
      <c r="N853" s="49" t="str">
        <f t="array" ref="N853">IFERROR(INDEX(Sales!$E$7:$E$1506,MATCH(ROW()-4,Sales!$V$7:$V$1506,0)),"")</f>
        <v/>
      </c>
      <c r="O853" s="67"/>
      <c r="P853" s="67"/>
    </row>
    <row r="854" ht="15.0" customHeight="1">
      <c r="A854" s="151" t="str">
        <f t="array" ref="A854">IFERROR(INDEX(Sales!$E$7:$E$1506,MATCH(ROW()-4,Sales!$W$7:$W$1506,0)),"")</f>
        <v/>
      </c>
      <c r="B854" s="152" t="str">
        <f t="array" ref="B854">IF($A854="","",IFERROR(INDEX(Sales!$A:$A,MATCH($A854,Sales!$E:$E,0)),""))</f>
        <v/>
      </c>
      <c r="C854" s="153" t="str">
        <f t="array" ref="C854">IF($A854="","",IFERROR(INDEX(Sales!$D:$D,MATCH($A854,Sales!$E:$E,0)),""))</f>
        <v/>
      </c>
      <c r="D854" s="153" t="str">
        <f t="array" ref="D854">IF($A854="","",IFERROR(INDEX(Sales!$C:$C,MATCH($A854,Sales!$E:$E,0)),""))</f>
        <v/>
      </c>
      <c r="E854" s="154" t="str">
        <f>IF($A854="","",SUMIFS(Sales!$H:$H,Sales!$E:$E,$A854,Sales!$B:$B,"&lt;&gt;Return"))</f>
        <v/>
      </c>
      <c r="F854" s="155" t="str">
        <f>IF($A854="","",SUMIF(Sales!$E:$E,$A854,Sales!$L:$L))</f>
        <v/>
      </c>
      <c r="G854" s="155" t="str">
        <f>IF($A854="","",SUMIF(Sales!$E:$E,$A854,Sales!$P:$P))</f>
        <v/>
      </c>
      <c r="H854" s="156" t="str">
        <f t="array" ref="H854">IF($A854="","",IFERROR(INDEX(Orders!$O$5:$O$1004,MATCH($A854,Orders!$N$5:$N$1004,0)),""))</f>
        <v/>
      </c>
      <c r="I854" s="156" t="str">
        <f t="array" ref="I854">IF($A854="","",IFERROR(INDEX(Orders!$P$5:$P$1004,MATCH($A854,Orders!$N$5:$N$1004,0)),""))</f>
        <v/>
      </c>
      <c r="J854" s="157" t="str">
        <f t="shared" si="1"/>
        <v/>
      </c>
      <c r="K854" s="153" t="str">
        <f t="array" ref="K854">IF($A854="","",IFERROR(INDEX(Sales!$M:$M,MATCH($A854,Sales!$E:$E,0)),""))</f>
        <v/>
      </c>
      <c r="L854" s="158" t="str">
        <f t="shared" si="2"/>
        <v/>
      </c>
      <c r="N854" s="49" t="str">
        <f t="array" ref="N854">IFERROR(INDEX(Sales!$E$7:$E$1506,MATCH(ROW()-4,Sales!$V$7:$V$1506,0)),"")</f>
        <v/>
      </c>
      <c r="O854" s="67"/>
      <c r="P854" s="67"/>
    </row>
    <row r="855" ht="15.0" customHeight="1">
      <c r="A855" s="151" t="str">
        <f t="array" ref="A855">IFERROR(INDEX(Sales!$E$7:$E$1506,MATCH(ROW()-4,Sales!$W$7:$W$1506,0)),"")</f>
        <v/>
      </c>
      <c r="B855" s="152" t="str">
        <f t="array" ref="B855">IF($A855="","",IFERROR(INDEX(Sales!$A:$A,MATCH($A855,Sales!$E:$E,0)),""))</f>
        <v/>
      </c>
      <c r="C855" s="153" t="str">
        <f t="array" ref="C855">IF($A855="","",IFERROR(INDEX(Sales!$D:$D,MATCH($A855,Sales!$E:$E,0)),""))</f>
        <v/>
      </c>
      <c r="D855" s="153" t="str">
        <f t="array" ref="D855">IF($A855="","",IFERROR(INDEX(Sales!$C:$C,MATCH($A855,Sales!$E:$E,0)),""))</f>
        <v/>
      </c>
      <c r="E855" s="154" t="str">
        <f>IF($A855="","",SUMIFS(Sales!$H:$H,Sales!$E:$E,$A855,Sales!$B:$B,"&lt;&gt;Return"))</f>
        <v/>
      </c>
      <c r="F855" s="155" t="str">
        <f>IF($A855="","",SUMIF(Sales!$E:$E,$A855,Sales!$L:$L))</f>
        <v/>
      </c>
      <c r="G855" s="155" t="str">
        <f>IF($A855="","",SUMIF(Sales!$E:$E,$A855,Sales!$P:$P))</f>
        <v/>
      </c>
      <c r="H855" s="156" t="str">
        <f t="array" ref="H855">IF($A855="","",IFERROR(INDEX(Orders!$O$5:$O$1004,MATCH($A855,Orders!$N$5:$N$1004,0)),""))</f>
        <v/>
      </c>
      <c r="I855" s="156" t="str">
        <f t="array" ref="I855">IF($A855="","",IFERROR(INDEX(Orders!$P$5:$P$1004,MATCH($A855,Orders!$N$5:$N$1004,0)),""))</f>
        <v/>
      </c>
      <c r="J855" s="157" t="str">
        <f t="shared" si="1"/>
        <v/>
      </c>
      <c r="K855" s="153" t="str">
        <f t="array" ref="K855">IF($A855="","",IFERROR(INDEX(Sales!$M:$M,MATCH($A855,Sales!$E:$E,0)),""))</f>
        <v/>
      </c>
      <c r="L855" s="158" t="str">
        <f t="shared" si="2"/>
        <v/>
      </c>
      <c r="N855" s="49" t="str">
        <f t="array" ref="N855">IFERROR(INDEX(Sales!$E$7:$E$1506,MATCH(ROW()-4,Sales!$V$7:$V$1506,0)),"")</f>
        <v/>
      </c>
      <c r="O855" s="67"/>
      <c r="P855" s="67"/>
    </row>
    <row r="856" ht="15.0" customHeight="1">
      <c r="A856" s="151" t="str">
        <f t="array" ref="A856">IFERROR(INDEX(Sales!$E$7:$E$1506,MATCH(ROW()-4,Sales!$W$7:$W$1506,0)),"")</f>
        <v/>
      </c>
      <c r="B856" s="152" t="str">
        <f t="array" ref="B856">IF($A856="","",IFERROR(INDEX(Sales!$A:$A,MATCH($A856,Sales!$E:$E,0)),""))</f>
        <v/>
      </c>
      <c r="C856" s="153" t="str">
        <f t="array" ref="C856">IF($A856="","",IFERROR(INDEX(Sales!$D:$D,MATCH($A856,Sales!$E:$E,0)),""))</f>
        <v/>
      </c>
      <c r="D856" s="153" t="str">
        <f t="array" ref="D856">IF($A856="","",IFERROR(INDEX(Sales!$C:$C,MATCH($A856,Sales!$E:$E,0)),""))</f>
        <v/>
      </c>
      <c r="E856" s="154" t="str">
        <f>IF($A856="","",SUMIFS(Sales!$H:$H,Sales!$E:$E,$A856,Sales!$B:$B,"&lt;&gt;Return"))</f>
        <v/>
      </c>
      <c r="F856" s="155" t="str">
        <f>IF($A856="","",SUMIF(Sales!$E:$E,$A856,Sales!$L:$L))</f>
        <v/>
      </c>
      <c r="G856" s="155" t="str">
        <f>IF($A856="","",SUMIF(Sales!$E:$E,$A856,Sales!$P:$P))</f>
        <v/>
      </c>
      <c r="H856" s="156" t="str">
        <f t="array" ref="H856">IF($A856="","",IFERROR(INDEX(Orders!$O$5:$O$1004,MATCH($A856,Orders!$N$5:$N$1004,0)),""))</f>
        <v/>
      </c>
      <c r="I856" s="156" t="str">
        <f t="array" ref="I856">IF($A856="","",IFERROR(INDEX(Orders!$P$5:$P$1004,MATCH($A856,Orders!$N$5:$N$1004,0)),""))</f>
        <v/>
      </c>
      <c r="J856" s="157" t="str">
        <f t="shared" si="1"/>
        <v/>
      </c>
      <c r="K856" s="153" t="str">
        <f t="array" ref="K856">IF($A856="","",IFERROR(INDEX(Sales!$M:$M,MATCH($A856,Sales!$E:$E,0)),""))</f>
        <v/>
      </c>
      <c r="L856" s="158" t="str">
        <f t="shared" si="2"/>
        <v/>
      </c>
      <c r="N856" s="49" t="str">
        <f t="array" ref="N856">IFERROR(INDEX(Sales!$E$7:$E$1506,MATCH(ROW()-4,Sales!$V$7:$V$1506,0)),"")</f>
        <v/>
      </c>
      <c r="O856" s="67"/>
      <c r="P856" s="67"/>
    </row>
    <row r="857" ht="15.0" customHeight="1">
      <c r="A857" s="151" t="str">
        <f t="array" ref="A857">IFERROR(INDEX(Sales!$E$7:$E$1506,MATCH(ROW()-4,Sales!$W$7:$W$1506,0)),"")</f>
        <v/>
      </c>
      <c r="B857" s="152" t="str">
        <f t="array" ref="B857">IF($A857="","",IFERROR(INDEX(Sales!$A:$A,MATCH($A857,Sales!$E:$E,0)),""))</f>
        <v/>
      </c>
      <c r="C857" s="153" t="str">
        <f t="array" ref="C857">IF($A857="","",IFERROR(INDEX(Sales!$D:$D,MATCH($A857,Sales!$E:$E,0)),""))</f>
        <v/>
      </c>
      <c r="D857" s="153" t="str">
        <f t="array" ref="D857">IF($A857="","",IFERROR(INDEX(Sales!$C:$C,MATCH($A857,Sales!$E:$E,0)),""))</f>
        <v/>
      </c>
      <c r="E857" s="154" t="str">
        <f>IF($A857="","",SUMIFS(Sales!$H:$H,Sales!$E:$E,$A857,Sales!$B:$B,"&lt;&gt;Return"))</f>
        <v/>
      </c>
      <c r="F857" s="155" t="str">
        <f>IF($A857="","",SUMIF(Sales!$E:$E,$A857,Sales!$L:$L))</f>
        <v/>
      </c>
      <c r="G857" s="155" t="str">
        <f>IF($A857="","",SUMIF(Sales!$E:$E,$A857,Sales!$P:$P))</f>
        <v/>
      </c>
      <c r="H857" s="156" t="str">
        <f t="array" ref="H857">IF($A857="","",IFERROR(INDEX(Orders!$O$5:$O$1004,MATCH($A857,Orders!$N$5:$N$1004,0)),""))</f>
        <v/>
      </c>
      <c r="I857" s="156" t="str">
        <f t="array" ref="I857">IF($A857="","",IFERROR(INDEX(Orders!$P$5:$P$1004,MATCH($A857,Orders!$N$5:$N$1004,0)),""))</f>
        <v/>
      </c>
      <c r="J857" s="157" t="str">
        <f t="shared" si="1"/>
        <v/>
      </c>
      <c r="K857" s="153" t="str">
        <f t="array" ref="K857">IF($A857="","",IFERROR(INDEX(Sales!$M:$M,MATCH($A857,Sales!$E:$E,0)),""))</f>
        <v/>
      </c>
      <c r="L857" s="158" t="str">
        <f t="shared" si="2"/>
        <v/>
      </c>
      <c r="N857" s="49" t="str">
        <f t="array" ref="N857">IFERROR(INDEX(Sales!$E$7:$E$1506,MATCH(ROW()-4,Sales!$V$7:$V$1506,0)),"")</f>
        <v/>
      </c>
      <c r="O857" s="67"/>
      <c r="P857" s="67"/>
    </row>
    <row r="858" ht="15.0" customHeight="1">
      <c r="A858" s="151" t="str">
        <f t="array" ref="A858">IFERROR(INDEX(Sales!$E$7:$E$1506,MATCH(ROW()-4,Sales!$W$7:$W$1506,0)),"")</f>
        <v/>
      </c>
      <c r="B858" s="152" t="str">
        <f t="array" ref="B858">IF($A858="","",IFERROR(INDEX(Sales!$A:$A,MATCH($A858,Sales!$E:$E,0)),""))</f>
        <v/>
      </c>
      <c r="C858" s="153" t="str">
        <f t="array" ref="C858">IF($A858="","",IFERROR(INDEX(Sales!$D:$D,MATCH($A858,Sales!$E:$E,0)),""))</f>
        <v/>
      </c>
      <c r="D858" s="153" t="str">
        <f t="array" ref="D858">IF($A858="","",IFERROR(INDEX(Sales!$C:$C,MATCH($A858,Sales!$E:$E,0)),""))</f>
        <v/>
      </c>
      <c r="E858" s="154" t="str">
        <f>IF($A858="","",SUMIFS(Sales!$H:$H,Sales!$E:$E,$A858,Sales!$B:$B,"&lt;&gt;Return"))</f>
        <v/>
      </c>
      <c r="F858" s="155" t="str">
        <f>IF($A858="","",SUMIF(Sales!$E:$E,$A858,Sales!$L:$L))</f>
        <v/>
      </c>
      <c r="G858" s="155" t="str">
        <f>IF($A858="","",SUMIF(Sales!$E:$E,$A858,Sales!$P:$P))</f>
        <v/>
      </c>
      <c r="H858" s="156" t="str">
        <f t="array" ref="H858">IF($A858="","",IFERROR(INDEX(Orders!$O$5:$O$1004,MATCH($A858,Orders!$N$5:$N$1004,0)),""))</f>
        <v/>
      </c>
      <c r="I858" s="156" t="str">
        <f t="array" ref="I858">IF($A858="","",IFERROR(INDEX(Orders!$P$5:$P$1004,MATCH($A858,Orders!$N$5:$N$1004,0)),""))</f>
        <v/>
      </c>
      <c r="J858" s="157" t="str">
        <f t="shared" si="1"/>
        <v/>
      </c>
      <c r="K858" s="153" t="str">
        <f t="array" ref="K858">IF($A858="","",IFERROR(INDEX(Sales!$M:$M,MATCH($A858,Sales!$E:$E,0)),""))</f>
        <v/>
      </c>
      <c r="L858" s="158" t="str">
        <f t="shared" si="2"/>
        <v/>
      </c>
      <c r="N858" s="49" t="str">
        <f t="array" ref="N858">IFERROR(INDEX(Sales!$E$7:$E$1506,MATCH(ROW()-4,Sales!$V$7:$V$1506,0)),"")</f>
        <v/>
      </c>
      <c r="O858" s="67"/>
      <c r="P858" s="67"/>
    </row>
    <row r="859" ht="15.0" customHeight="1">
      <c r="A859" s="151" t="str">
        <f t="array" ref="A859">IFERROR(INDEX(Sales!$E$7:$E$1506,MATCH(ROW()-4,Sales!$W$7:$W$1506,0)),"")</f>
        <v/>
      </c>
      <c r="B859" s="152" t="str">
        <f t="array" ref="B859">IF($A859="","",IFERROR(INDEX(Sales!$A:$A,MATCH($A859,Sales!$E:$E,0)),""))</f>
        <v/>
      </c>
      <c r="C859" s="153" t="str">
        <f t="array" ref="C859">IF($A859="","",IFERROR(INDEX(Sales!$D:$D,MATCH($A859,Sales!$E:$E,0)),""))</f>
        <v/>
      </c>
      <c r="D859" s="153" t="str">
        <f t="array" ref="D859">IF($A859="","",IFERROR(INDEX(Sales!$C:$C,MATCH($A859,Sales!$E:$E,0)),""))</f>
        <v/>
      </c>
      <c r="E859" s="154" t="str">
        <f>IF($A859="","",SUMIFS(Sales!$H:$H,Sales!$E:$E,$A859,Sales!$B:$B,"&lt;&gt;Return"))</f>
        <v/>
      </c>
      <c r="F859" s="155" t="str">
        <f>IF($A859="","",SUMIF(Sales!$E:$E,$A859,Sales!$L:$L))</f>
        <v/>
      </c>
      <c r="G859" s="155" t="str">
        <f>IF($A859="","",SUMIF(Sales!$E:$E,$A859,Sales!$P:$P))</f>
        <v/>
      </c>
      <c r="H859" s="156" t="str">
        <f t="array" ref="H859">IF($A859="","",IFERROR(INDEX(Orders!$O$5:$O$1004,MATCH($A859,Orders!$N$5:$N$1004,0)),""))</f>
        <v/>
      </c>
      <c r="I859" s="156" t="str">
        <f t="array" ref="I859">IF($A859="","",IFERROR(INDEX(Orders!$P$5:$P$1004,MATCH($A859,Orders!$N$5:$N$1004,0)),""))</f>
        <v/>
      </c>
      <c r="J859" s="157" t="str">
        <f t="shared" si="1"/>
        <v/>
      </c>
      <c r="K859" s="153" t="str">
        <f t="array" ref="K859">IF($A859="","",IFERROR(INDEX(Sales!$M:$M,MATCH($A859,Sales!$E:$E,0)),""))</f>
        <v/>
      </c>
      <c r="L859" s="158" t="str">
        <f t="shared" si="2"/>
        <v/>
      </c>
      <c r="N859" s="49" t="str">
        <f t="array" ref="N859">IFERROR(INDEX(Sales!$E$7:$E$1506,MATCH(ROW()-4,Sales!$V$7:$V$1506,0)),"")</f>
        <v/>
      </c>
      <c r="O859" s="67"/>
      <c r="P859" s="67"/>
    </row>
    <row r="860" ht="15.0" customHeight="1">
      <c r="A860" s="151" t="str">
        <f t="array" ref="A860">IFERROR(INDEX(Sales!$E$7:$E$1506,MATCH(ROW()-4,Sales!$W$7:$W$1506,0)),"")</f>
        <v/>
      </c>
      <c r="B860" s="152" t="str">
        <f t="array" ref="B860">IF($A860="","",IFERROR(INDEX(Sales!$A:$A,MATCH($A860,Sales!$E:$E,0)),""))</f>
        <v/>
      </c>
      <c r="C860" s="153" t="str">
        <f t="array" ref="C860">IF($A860="","",IFERROR(INDEX(Sales!$D:$D,MATCH($A860,Sales!$E:$E,0)),""))</f>
        <v/>
      </c>
      <c r="D860" s="153" t="str">
        <f t="array" ref="D860">IF($A860="","",IFERROR(INDEX(Sales!$C:$C,MATCH($A860,Sales!$E:$E,0)),""))</f>
        <v/>
      </c>
      <c r="E860" s="154" t="str">
        <f>IF($A860="","",SUMIFS(Sales!$H:$H,Sales!$E:$E,$A860,Sales!$B:$B,"&lt;&gt;Return"))</f>
        <v/>
      </c>
      <c r="F860" s="155" t="str">
        <f>IF($A860="","",SUMIF(Sales!$E:$E,$A860,Sales!$L:$L))</f>
        <v/>
      </c>
      <c r="G860" s="155" t="str">
        <f>IF($A860="","",SUMIF(Sales!$E:$E,$A860,Sales!$P:$P))</f>
        <v/>
      </c>
      <c r="H860" s="156" t="str">
        <f t="array" ref="H860">IF($A860="","",IFERROR(INDEX(Orders!$O$5:$O$1004,MATCH($A860,Orders!$N$5:$N$1004,0)),""))</f>
        <v/>
      </c>
      <c r="I860" s="156" t="str">
        <f t="array" ref="I860">IF($A860="","",IFERROR(INDEX(Orders!$P$5:$P$1004,MATCH($A860,Orders!$N$5:$N$1004,0)),""))</f>
        <v/>
      </c>
      <c r="J860" s="157" t="str">
        <f t="shared" si="1"/>
        <v/>
      </c>
      <c r="K860" s="153" t="str">
        <f t="array" ref="K860">IF($A860="","",IFERROR(INDEX(Sales!$M:$M,MATCH($A860,Sales!$E:$E,0)),""))</f>
        <v/>
      </c>
      <c r="L860" s="158" t="str">
        <f t="shared" si="2"/>
        <v/>
      </c>
      <c r="N860" s="49" t="str">
        <f t="array" ref="N860">IFERROR(INDEX(Sales!$E$7:$E$1506,MATCH(ROW()-4,Sales!$V$7:$V$1506,0)),"")</f>
        <v/>
      </c>
      <c r="O860" s="67"/>
      <c r="P860" s="67"/>
    </row>
    <row r="861" ht="15.0" customHeight="1">
      <c r="A861" s="151" t="str">
        <f t="array" ref="A861">IFERROR(INDEX(Sales!$E$7:$E$1506,MATCH(ROW()-4,Sales!$W$7:$W$1506,0)),"")</f>
        <v/>
      </c>
      <c r="B861" s="152" t="str">
        <f t="array" ref="B861">IF($A861="","",IFERROR(INDEX(Sales!$A:$A,MATCH($A861,Sales!$E:$E,0)),""))</f>
        <v/>
      </c>
      <c r="C861" s="153" t="str">
        <f t="array" ref="C861">IF($A861="","",IFERROR(INDEX(Sales!$D:$D,MATCH($A861,Sales!$E:$E,0)),""))</f>
        <v/>
      </c>
      <c r="D861" s="153" t="str">
        <f t="array" ref="D861">IF($A861="","",IFERROR(INDEX(Sales!$C:$C,MATCH($A861,Sales!$E:$E,0)),""))</f>
        <v/>
      </c>
      <c r="E861" s="154" t="str">
        <f>IF($A861="","",SUMIFS(Sales!$H:$H,Sales!$E:$E,$A861,Sales!$B:$B,"&lt;&gt;Return"))</f>
        <v/>
      </c>
      <c r="F861" s="155" t="str">
        <f>IF($A861="","",SUMIF(Sales!$E:$E,$A861,Sales!$L:$L))</f>
        <v/>
      </c>
      <c r="G861" s="155" t="str">
        <f>IF($A861="","",SUMIF(Sales!$E:$E,$A861,Sales!$P:$P))</f>
        <v/>
      </c>
      <c r="H861" s="156" t="str">
        <f t="array" ref="H861">IF($A861="","",IFERROR(INDEX(Orders!$O$5:$O$1004,MATCH($A861,Orders!$N$5:$N$1004,0)),""))</f>
        <v/>
      </c>
      <c r="I861" s="156" t="str">
        <f t="array" ref="I861">IF($A861="","",IFERROR(INDEX(Orders!$P$5:$P$1004,MATCH($A861,Orders!$N$5:$N$1004,0)),""))</f>
        <v/>
      </c>
      <c r="J861" s="157" t="str">
        <f t="shared" si="1"/>
        <v/>
      </c>
      <c r="K861" s="153" t="str">
        <f t="array" ref="K861">IF($A861="","",IFERROR(INDEX(Sales!$M:$M,MATCH($A861,Sales!$E:$E,0)),""))</f>
        <v/>
      </c>
      <c r="L861" s="158" t="str">
        <f t="shared" si="2"/>
        <v/>
      </c>
      <c r="N861" s="49" t="str">
        <f t="array" ref="N861">IFERROR(INDEX(Sales!$E$7:$E$1506,MATCH(ROW()-4,Sales!$V$7:$V$1506,0)),"")</f>
        <v/>
      </c>
      <c r="O861" s="67"/>
      <c r="P861" s="67"/>
    </row>
    <row r="862" ht="15.0" customHeight="1">
      <c r="A862" s="151" t="str">
        <f t="array" ref="A862">IFERROR(INDEX(Sales!$E$7:$E$1506,MATCH(ROW()-4,Sales!$W$7:$W$1506,0)),"")</f>
        <v/>
      </c>
      <c r="B862" s="152" t="str">
        <f t="array" ref="B862">IF($A862="","",IFERROR(INDEX(Sales!$A:$A,MATCH($A862,Sales!$E:$E,0)),""))</f>
        <v/>
      </c>
      <c r="C862" s="153" t="str">
        <f t="array" ref="C862">IF($A862="","",IFERROR(INDEX(Sales!$D:$D,MATCH($A862,Sales!$E:$E,0)),""))</f>
        <v/>
      </c>
      <c r="D862" s="153" t="str">
        <f t="array" ref="D862">IF($A862="","",IFERROR(INDEX(Sales!$C:$C,MATCH($A862,Sales!$E:$E,0)),""))</f>
        <v/>
      </c>
      <c r="E862" s="154" t="str">
        <f>IF($A862="","",SUMIFS(Sales!$H:$H,Sales!$E:$E,$A862,Sales!$B:$B,"&lt;&gt;Return"))</f>
        <v/>
      </c>
      <c r="F862" s="155" t="str">
        <f>IF($A862="","",SUMIF(Sales!$E:$E,$A862,Sales!$L:$L))</f>
        <v/>
      </c>
      <c r="G862" s="155" t="str">
        <f>IF($A862="","",SUMIF(Sales!$E:$E,$A862,Sales!$P:$P))</f>
        <v/>
      </c>
      <c r="H862" s="156" t="str">
        <f t="array" ref="H862">IF($A862="","",IFERROR(INDEX(Orders!$O$5:$O$1004,MATCH($A862,Orders!$N$5:$N$1004,0)),""))</f>
        <v/>
      </c>
      <c r="I862" s="156" t="str">
        <f t="array" ref="I862">IF($A862="","",IFERROR(INDEX(Orders!$P$5:$P$1004,MATCH($A862,Orders!$N$5:$N$1004,0)),""))</f>
        <v/>
      </c>
      <c r="J862" s="157" t="str">
        <f t="shared" si="1"/>
        <v/>
      </c>
      <c r="K862" s="153" t="str">
        <f t="array" ref="K862">IF($A862="","",IFERROR(INDEX(Sales!$M:$M,MATCH($A862,Sales!$E:$E,0)),""))</f>
        <v/>
      </c>
      <c r="L862" s="158" t="str">
        <f t="shared" si="2"/>
        <v/>
      </c>
      <c r="N862" s="49" t="str">
        <f t="array" ref="N862">IFERROR(INDEX(Sales!$E$7:$E$1506,MATCH(ROW()-4,Sales!$V$7:$V$1506,0)),"")</f>
        <v/>
      </c>
      <c r="O862" s="67"/>
      <c r="P862" s="67"/>
    </row>
    <row r="863" ht="15.0" customHeight="1">
      <c r="A863" s="151" t="str">
        <f t="array" ref="A863">IFERROR(INDEX(Sales!$E$7:$E$1506,MATCH(ROW()-4,Sales!$W$7:$W$1506,0)),"")</f>
        <v/>
      </c>
      <c r="B863" s="152" t="str">
        <f t="array" ref="B863">IF($A863="","",IFERROR(INDEX(Sales!$A:$A,MATCH($A863,Sales!$E:$E,0)),""))</f>
        <v/>
      </c>
      <c r="C863" s="153" t="str">
        <f t="array" ref="C863">IF($A863="","",IFERROR(INDEX(Sales!$D:$D,MATCH($A863,Sales!$E:$E,0)),""))</f>
        <v/>
      </c>
      <c r="D863" s="153" t="str">
        <f t="array" ref="D863">IF($A863="","",IFERROR(INDEX(Sales!$C:$C,MATCH($A863,Sales!$E:$E,0)),""))</f>
        <v/>
      </c>
      <c r="E863" s="154" t="str">
        <f>IF($A863="","",SUMIFS(Sales!$H:$H,Sales!$E:$E,$A863,Sales!$B:$B,"&lt;&gt;Return"))</f>
        <v/>
      </c>
      <c r="F863" s="155" t="str">
        <f>IF($A863="","",SUMIF(Sales!$E:$E,$A863,Sales!$L:$L))</f>
        <v/>
      </c>
      <c r="G863" s="155" t="str">
        <f>IF($A863="","",SUMIF(Sales!$E:$E,$A863,Sales!$P:$P))</f>
        <v/>
      </c>
      <c r="H863" s="156" t="str">
        <f t="array" ref="H863">IF($A863="","",IFERROR(INDEX(Orders!$O$5:$O$1004,MATCH($A863,Orders!$N$5:$N$1004,0)),""))</f>
        <v/>
      </c>
      <c r="I863" s="156" t="str">
        <f t="array" ref="I863">IF($A863="","",IFERROR(INDEX(Orders!$P$5:$P$1004,MATCH($A863,Orders!$N$5:$N$1004,0)),""))</f>
        <v/>
      </c>
      <c r="J863" s="157" t="str">
        <f t="shared" si="1"/>
        <v/>
      </c>
      <c r="K863" s="153" t="str">
        <f t="array" ref="K863">IF($A863="","",IFERROR(INDEX(Sales!$M:$M,MATCH($A863,Sales!$E:$E,0)),""))</f>
        <v/>
      </c>
      <c r="L863" s="158" t="str">
        <f t="shared" si="2"/>
        <v/>
      </c>
      <c r="N863" s="49" t="str">
        <f t="array" ref="N863">IFERROR(INDEX(Sales!$E$7:$E$1506,MATCH(ROW()-4,Sales!$V$7:$V$1506,0)),"")</f>
        <v/>
      </c>
      <c r="O863" s="67"/>
      <c r="P863" s="67"/>
    </row>
    <row r="864" ht="15.0" customHeight="1">
      <c r="A864" s="151" t="str">
        <f t="array" ref="A864">IFERROR(INDEX(Sales!$E$7:$E$1506,MATCH(ROW()-4,Sales!$W$7:$W$1506,0)),"")</f>
        <v/>
      </c>
      <c r="B864" s="152" t="str">
        <f t="array" ref="B864">IF($A864="","",IFERROR(INDEX(Sales!$A:$A,MATCH($A864,Sales!$E:$E,0)),""))</f>
        <v/>
      </c>
      <c r="C864" s="153" t="str">
        <f t="array" ref="C864">IF($A864="","",IFERROR(INDEX(Sales!$D:$D,MATCH($A864,Sales!$E:$E,0)),""))</f>
        <v/>
      </c>
      <c r="D864" s="153" t="str">
        <f t="array" ref="D864">IF($A864="","",IFERROR(INDEX(Sales!$C:$C,MATCH($A864,Sales!$E:$E,0)),""))</f>
        <v/>
      </c>
      <c r="E864" s="154" t="str">
        <f>IF($A864="","",SUMIFS(Sales!$H:$H,Sales!$E:$E,$A864,Sales!$B:$B,"&lt;&gt;Return"))</f>
        <v/>
      </c>
      <c r="F864" s="155" t="str">
        <f>IF($A864="","",SUMIF(Sales!$E:$E,$A864,Sales!$L:$L))</f>
        <v/>
      </c>
      <c r="G864" s="155" t="str">
        <f>IF($A864="","",SUMIF(Sales!$E:$E,$A864,Sales!$P:$P))</f>
        <v/>
      </c>
      <c r="H864" s="156" t="str">
        <f t="array" ref="H864">IF($A864="","",IFERROR(INDEX(Orders!$O$5:$O$1004,MATCH($A864,Orders!$N$5:$N$1004,0)),""))</f>
        <v/>
      </c>
      <c r="I864" s="156" t="str">
        <f t="array" ref="I864">IF($A864="","",IFERROR(INDEX(Orders!$P$5:$P$1004,MATCH($A864,Orders!$N$5:$N$1004,0)),""))</f>
        <v/>
      </c>
      <c r="J864" s="157" t="str">
        <f t="shared" si="1"/>
        <v/>
      </c>
      <c r="K864" s="153" t="str">
        <f t="array" ref="K864">IF($A864="","",IFERROR(INDEX(Sales!$M:$M,MATCH($A864,Sales!$E:$E,0)),""))</f>
        <v/>
      </c>
      <c r="L864" s="158" t="str">
        <f t="shared" si="2"/>
        <v/>
      </c>
      <c r="N864" s="49" t="str">
        <f t="array" ref="N864">IFERROR(INDEX(Sales!$E$7:$E$1506,MATCH(ROW()-4,Sales!$V$7:$V$1506,0)),"")</f>
        <v/>
      </c>
      <c r="O864" s="67"/>
      <c r="P864" s="67"/>
    </row>
    <row r="865" ht="15.0" customHeight="1">
      <c r="A865" s="151" t="str">
        <f t="array" ref="A865">IFERROR(INDEX(Sales!$E$7:$E$1506,MATCH(ROW()-4,Sales!$W$7:$W$1506,0)),"")</f>
        <v/>
      </c>
      <c r="B865" s="152" t="str">
        <f t="array" ref="B865">IF($A865="","",IFERROR(INDEX(Sales!$A:$A,MATCH($A865,Sales!$E:$E,0)),""))</f>
        <v/>
      </c>
      <c r="C865" s="153" t="str">
        <f t="array" ref="C865">IF($A865="","",IFERROR(INDEX(Sales!$D:$D,MATCH($A865,Sales!$E:$E,0)),""))</f>
        <v/>
      </c>
      <c r="D865" s="153" t="str">
        <f t="array" ref="D865">IF($A865="","",IFERROR(INDEX(Sales!$C:$C,MATCH($A865,Sales!$E:$E,0)),""))</f>
        <v/>
      </c>
      <c r="E865" s="154" t="str">
        <f>IF($A865="","",SUMIFS(Sales!$H:$H,Sales!$E:$E,$A865,Sales!$B:$B,"&lt;&gt;Return"))</f>
        <v/>
      </c>
      <c r="F865" s="155" t="str">
        <f>IF($A865="","",SUMIF(Sales!$E:$E,$A865,Sales!$L:$L))</f>
        <v/>
      </c>
      <c r="G865" s="155" t="str">
        <f>IF($A865="","",SUMIF(Sales!$E:$E,$A865,Sales!$P:$P))</f>
        <v/>
      </c>
      <c r="H865" s="156" t="str">
        <f t="array" ref="H865">IF($A865="","",IFERROR(INDEX(Orders!$O$5:$O$1004,MATCH($A865,Orders!$N$5:$N$1004,0)),""))</f>
        <v/>
      </c>
      <c r="I865" s="156" t="str">
        <f t="array" ref="I865">IF($A865="","",IFERROR(INDEX(Orders!$P$5:$P$1004,MATCH($A865,Orders!$N$5:$N$1004,0)),""))</f>
        <v/>
      </c>
      <c r="J865" s="157" t="str">
        <f t="shared" si="1"/>
        <v/>
      </c>
      <c r="K865" s="153" t="str">
        <f t="array" ref="K865">IF($A865="","",IFERROR(INDEX(Sales!$M:$M,MATCH($A865,Sales!$E:$E,0)),""))</f>
        <v/>
      </c>
      <c r="L865" s="158" t="str">
        <f t="shared" si="2"/>
        <v/>
      </c>
      <c r="N865" s="49" t="str">
        <f t="array" ref="N865">IFERROR(INDEX(Sales!$E$7:$E$1506,MATCH(ROW()-4,Sales!$V$7:$V$1506,0)),"")</f>
        <v/>
      </c>
      <c r="O865" s="67"/>
      <c r="P865" s="67"/>
    </row>
    <row r="866" ht="15.0" customHeight="1">
      <c r="A866" s="151" t="str">
        <f t="array" ref="A866">IFERROR(INDEX(Sales!$E$7:$E$1506,MATCH(ROW()-4,Sales!$W$7:$W$1506,0)),"")</f>
        <v/>
      </c>
      <c r="B866" s="152" t="str">
        <f t="array" ref="B866">IF($A866="","",IFERROR(INDEX(Sales!$A:$A,MATCH($A866,Sales!$E:$E,0)),""))</f>
        <v/>
      </c>
      <c r="C866" s="153" t="str">
        <f t="array" ref="C866">IF($A866="","",IFERROR(INDEX(Sales!$D:$D,MATCH($A866,Sales!$E:$E,0)),""))</f>
        <v/>
      </c>
      <c r="D866" s="153" t="str">
        <f t="array" ref="D866">IF($A866="","",IFERROR(INDEX(Sales!$C:$C,MATCH($A866,Sales!$E:$E,0)),""))</f>
        <v/>
      </c>
      <c r="E866" s="154" t="str">
        <f>IF($A866="","",SUMIFS(Sales!$H:$H,Sales!$E:$E,$A866,Sales!$B:$B,"&lt;&gt;Return"))</f>
        <v/>
      </c>
      <c r="F866" s="155" t="str">
        <f>IF($A866="","",SUMIF(Sales!$E:$E,$A866,Sales!$L:$L))</f>
        <v/>
      </c>
      <c r="G866" s="155" t="str">
        <f>IF($A866="","",SUMIF(Sales!$E:$E,$A866,Sales!$P:$P))</f>
        <v/>
      </c>
      <c r="H866" s="156" t="str">
        <f t="array" ref="H866">IF($A866="","",IFERROR(INDEX(Orders!$O$5:$O$1004,MATCH($A866,Orders!$N$5:$N$1004,0)),""))</f>
        <v/>
      </c>
      <c r="I866" s="156" t="str">
        <f t="array" ref="I866">IF($A866="","",IFERROR(INDEX(Orders!$P$5:$P$1004,MATCH($A866,Orders!$N$5:$N$1004,0)),""))</f>
        <v/>
      </c>
      <c r="J866" s="157" t="str">
        <f t="shared" si="1"/>
        <v/>
      </c>
      <c r="K866" s="153" t="str">
        <f t="array" ref="K866">IF($A866="","",IFERROR(INDEX(Sales!$M:$M,MATCH($A866,Sales!$E:$E,0)),""))</f>
        <v/>
      </c>
      <c r="L866" s="158" t="str">
        <f t="shared" si="2"/>
        <v/>
      </c>
      <c r="N866" s="49" t="str">
        <f t="array" ref="N866">IFERROR(INDEX(Sales!$E$7:$E$1506,MATCH(ROW()-4,Sales!$V$7:$V$1506,0)),"")</f>
        <v/>
      </c>
      <c r="O866" s="67"/>
      <c r="P866" s="67"/>
    </row>
    <row r="867" ht="15.0" customHeight="1">
      <c r="A867" s="151" t="str">
        <f t="array" ref="A867">IFERROR(INDEX(Sales!$E$7:$E$1506,MATCH(ROW()-4,Sales!$W$7:$W$1506,0)),"")</f>
        <v/>
      </c>
      <c r="B867" s="152" t="str">
        <f t="array" ref="B867">IF($A867="","",IFERROR(INDEX(Sales!$A:$A,MATCH($A867,Sales!$E:$E,0)),""))</f>
        <v/>
      </c>
      <c r="C867" s="153" t="str">
        <f t="array" ref="C867">IF($A867="","",IFERROR(INDEX(Sales!$D:$D,MATCH($A867,Sales!$E:$E,0)),""))</f>
        <v/>
      </c>
      <c r="D867" s="153" t="str">
        <f t="array" ref="D867">IF($A867="","",IFERROR(INDEX(Sales!$C:$C,MATCH($A867,Sales!$E:$E,0)),""))</f>
        <v/>
      </c>
      <c r="E867" s="154" t="str">
        <f>IF($A867="","",SUMIFS(Sales!$H:$H,Sales!$E:$E,$A867,Sales!$B:$B,"&lt;&gt;Return"))</f>
        <v/>
      </c>
      <c r="F867" s="155" t="str">
        <f>IF($A867="","",SUMIF(Sales!$E:$E,$A867,Sales!$L:$L))</f>
        <v/>
      </c>
      <c r="G867" s="155" t="str">
        <f>IF($A867="","",SUMIF(Sales!$E:$E,$A867,Sales!$P:$P))</f>
        <v/>
      </c>
      <c r="H867" s="156" t="str">
        <f t="array" ref="H867">IF($A867="","",IFERROR(INDEX(Orders!$O$5:$O$1004,MATCH($A867,Orders!$N$5:$N$1004,0)),""))</f>
        <v/>
      </c>
      <c r="I867" s="156" t="str">
        <f t="array" ref="I867">IF($A867="","",IFERROR(INDEX(Orders!$P$5:$P$1004,MATCH($A867,Orders!$N$5:$N$1004,0)),""))</f>
        <v/>
      </c>
      <c r="J867" s="157" t="str">
        <f t="shared" si="1"/>
        <v/>
      </c>
      <c r="K867" s="153" t="str">
        <f t="array" ref="K867">IF($A867="","",IFERROR(INDEX(Sales!$M:$M,MATCH($A867,Sales!$E:$E,0)),""))</f>
        <v/>
      </c>
      <c r="L867" s="158" t="str">
        <f t="shared" si="2"/>
        <v/>
      </c>
      <c r="N867" s="49" t="str">
        <f t="array" ref="N867">IFERROR(INDEX(Sales!$E$7:$E$1506,MATCH(ROW()-4,Sales!$V$7:$V$1506,0)),"")</f>
        <v/>
      </c>
      <c r="O867" s="67"/>
      <c r="P867" s="67"/>
    </row>
    <row r="868" ht="15.0" customHeight="1">
      <c r="A868" s="151" t="str">
        <f t="array" ref="A868">IFERROR(INDEX(Sales!$E$7:$E$1506,MATCH(ROW()-4,Sales!$W$7:$W$1506,0)),"")</f>
        <v/>
      </c>
      <c r="B868" s="152" t="str">
        <f t="array" ref="B868">IF($A868="","",IFERROR(INDEX(Sales!$A:$A,MATCH($A868,Sales!$E:$E,0)),""))</f>
        <v/>
      </c>
      <c r="C868" s="153" t="str">
        <f t="array" ref="C868">IF($A868="","",IFERROR(INDEX(Sales!$D:$D,MATCH($A868,Sales!$E:$E,0)),""))</f>
        <v/>
      </c>
      <c r="D868" s="153" t="str">
        <f t="array" ref="D868">IF($A868="","",IFERROR(INDEX(Sales!$C:$C,MATCH($A868,Sales!$E:$E,0)),""))</f>
        <v/>
      </c>
      <c r="E868" s="154" t="str">
        <f>IF($A868="","",SUMIFS(Sales!$H:$H,Sales!$E:$E,$A868,Sales!$B:$B,"&lt;&gt;Return"))</f>
        <v/>
      </c>
      <c r="F868" s="155" t="str">
        <f>IF($A868="","",SUMIF(Sales!$E:$E,$A868,Sales!$L:$L))</f>
        <v/>
      </c>
      <c r="G868" s="155" t="str">
        <f>IF($A868="","",SUMIF(Sales!$E:$E,$A868,Sales!$P:$P))</f>
        <v/>
      </c>
      <c r="H868" s="156" t="str">
        <f t="array" ref="H868">IF($A868="","",IFERROR(INDEX(Orders!$O$5:$O$1004,MATCH($A868,Orders!$N$5:$N$1004,0)),""))</f>
        <v/>
      </c>
      <c r="I868" s="156" t="str">
        <f t="array" ref="I868">IF($A868="","",IFERROR(INDEX(Orders!$P$5:$P$1004,MATCH($A868,Orders!$N$5:$N$1004,0)),""))</f>
        <v/>
      </c>
      <c r="J868" s="157" t="str">
        <f t="shared" si="1"/>
        <v/>
      </c>
      <c r="K868" s="153" t="str">
        <f t="array" ref="K868">IF($A868="","",IFERROR(INDEX(Sales!$M:$M,MATCH($A868,Sales!$E:$E,0)),""))</f>
        <v/>
      </c>
      <c r="L868" s="158" t="str">
        <f t="shared" si="2"/>
        <v/>
      </c>
      <c r="N868" s="49" t="str">
        <f t="array" ref="N868">IFERROR(INDEX(Sales!$E$7:$E$1506,MATCH(ROW()-4,Sales!$V$7:$V$1506,0)),"")</f>
        <v/>
      </c>
      <c r="O868" s="67"/>
      <c r="P868" s="67"/>
    </row>
    <row r="869" ht="15.0" customHeight="1">
      <c r="A869" s="151" t="str">
        <f t="array" ref="A869">IFERROR(INDEX(Sales!$E$7:$E$1506,MATCH(ROW()-4,Sales!$W$7:$W$1506,0)),"")</f>
        <v/>
      </c>
      <c r="B869" s="152" t="str">
        <f t="array" ref="B869">IF($A869="","",IFERROR(INDEX(Sales!$A:$A,MATCH($A869,Sales!$E:$E,0)),""))</f>
        <v/>
      </c>
      <c r="C869" s="153" t="str">
        <f t="array" ref="C869">IF($A869="","",IFERROR(INDEX(Sales!$D:$D,MATCH($A869,Sales!$E:$E,0)),""))</f>
        <v/>
      </c>
      <c r="D869" s="153" t="str">
        <f t="array" ref="D869">IF($A869="","",IFERROR(INDEX(Sales!$C:$C,MATCH($A869,Sales!$E:$E,0)),""))</f>
        <v/>
      </c>
      <c r="E869" s="154" t="str">
        <f>IF($A869="","",SUMIFS(Sales!$H:$H,Sales!$E:$E,$A869,Sales!$B:$B,"&lt;&gt;Return"))</f>
        <v/>
      </c>
      <c r="F869" s="155" t="str">
        <f>IF($A869="","",SUMIF(Sales!$E:$E,$A869,Sales!$L:$L))</f>
        <v/>
      </c>
      <c r="G869" s="155" t="str">
        <f>IF($A869="","",SUMIF(Sales!$E:$E,$A869,Sales!$P:$P))</f>
        <v/>
      </c>
      <c r="H869" s="156" t="str">
        <f t="array" ref="H869">IF($A869="","",IFERROR(INDEX(Orders!$O$5:$O$1004,MATCH($A869,Orders!$N$5:$N$1004,0)),""))</f>
        <v/>
      </c>
      <c r="I869" s="156" t="str">
        <f t="array" ref="I869">IF($A869="","",IFERROR(INDEX(Orders!$P$5:$P$1004,MATCH($A869,Orders!$N$5:$N$1004,0)),""))</f>
        <v/>
      </c>
      <c r="J869" s="157" t="str">
        <f t="shared" si="1"/>
        <v/>
      </c>
      <c r="K869" s="153" t="str">
        <f t="array" ref="K869">IF($A869="","",IFERROR(INDEX(Sales!$M:$M,MATCH($A869,Sales!$E:$E,0)),""))</f>
        <v/>
      </c>
      <c r="L869" s="158" t="str">
        <f t="shared" si="2"/>
        <v/>
      </c>
      <c r="N869" s="49" t="str">
        <f t="array" ref="N869">IFERROR(INDEX(Sales!$E$7:$E$1506,MATCH(ROW()-4,Sales!$V$7:$V$1506,0)),"")</f>
        <v/>
      </c>
      <c r="O869" s="67"/>
      <c r="P869" s="67"/>
    </row>
    <row r="870" ht="15.0" customHeight="1">
      <c r="A870" s="151" t="str">
        <f t="array" ref="A870">IFERROR(INDEX(Sales!$E$7:$E$1506,MATCH(ROW()-4,Sales!$W$7:$W$1506,0)),"")</f>
        <v/>
      </c>
      <c r="B870" s="152" t="str">
        <f t="array" ref="B870">IF($A870="","",IFERROR(INDEX(Sales!$A:$A,MATCH($A870,Sales!$E:$E,0)),""))</f>
        <v/>
      </c>
      <c r="C870" s="153" t="str">
        <f t="array" ref="C870">IF($A870="","",IFERROR(INDEX(Sales!$D:$D,MATCH($A870,Sales!$E:$E,0)),""))</f>
        <v/>
      </c>
      <c r="D870" s="153" t="str">
        <f t="array" ref="D870">IF($A870="","",IFERROR(INDEX(Sales!$C:$C,MATCH($A870,Sales!$E:$E,0)),""))</f>
        <v/>
      </c>
      <c r="E870" s="154" t="str">
        <f>IF($A870="","",SUMIFS(Sales!$H:$H,Sales!$E:$E,$A870,Sales!$B:$B,"&lt;&gt;Return"))</f>
        <v/>
      </c>
      <c r="F870" s="155" t="str">
        <f>IF($A870="","",SUMIF(Sales!$E:$E,$A870,Sales!$L:$L))</f>
        <v/>
      </c>
      <c r="G870" s="155" t="str">
        <f>IF($A870="","",SUMIF(Sales!$E:$E,$A870,Sales!$P:$P))</f>
        <v/>
      </c>
      <c r="H870" s="156" t="str">
        <f t="array" ref="H870">IF($A870="","",IFERROR(INDEX(Orders!$O$5:$O$1004,MATCH($A870,Orders!$N$5:$N$1004,0)),""))</f>
        <v/>
      </c>
      <c r="I870" s="156" t="str">
        <f t="array" ref="I870">IF($A870="","",IFERROR(INDEX(Orders!$P$5:$P$1004,MATCH($A870,Orders!$N$5:$N$1004,0)),""))</f>
        <v/>
      </c>
      <c r="J870" s="157" t="str">
        <f t="shared" si="1"/>
        <v/>
      </c>
      <c r="K870" s="153" t="str">
        <f t="array" ref="K870">IF($A870="","",IFERROR(INDEX(Sales!$M:$M,MATCH($A870,Sales!$E:$E,0)),""))</f>
        <v/>
      </c>
      <c r="L870" s="158" t="str">
        <f t="shared" si="2"/>
        <v/>
      </c>
      <c r="N870" s="49" t="str">
        <f t="array" ref="N870">IFERROR(INDEX(Sales!$E$7:$E$1506,MATCH(ROW()-4,Sales!$V$7:$V$1506,0)),"")</f>
        <v/>
      </c>
      <c r="O870" s="67"/>
      <c r="P870" s="67"/>
    </row>
    <row r="871" ht="15.0" customHeight="1">
      <c r="A871" s="151" t="str">
        <f t="array" ref="A871">IFERROR(INDEX(Sales!$E$7:$E$1506,MATCH(ROW()-4,Sales!$W$7:$W$1506,0)),"")</f>
        <v/>
      </c>
      <c r="B871" s="152" t="str">
        <f t="array" ref="B871">IF($A871="","",IFERROR(INDEX(Sales!$A:$A,MATCH($A871,Sales!$E:$E,0)),""))</f>
        <v/>
      </c>
      <c r="C871" s="153" t="str">
        <f t="array" ref="C871">IF($A871="","",IFERROR(INDEX(Sales!$D:$D,MATCH($A871,Sales!$E:$E,0)),""))</f>
        <v/>
      </c>
      <c r="D871" s="153" t="str">
        <f t="array" ref="D871">IF($A871="","",IFERROR(INDEX(Sales!$C:$C,MATCH($A871,Sales!$E:$E,0)),""))</f>
        <v/>
      </c>
      <c r="E871" s="154" t="str">
        <f>IF($A871="","",SUMIFS(Sales!$H:$H,Sales!$E:$E,$A871,Sales!$B:$B,"&lt;&gt;Return"))</f>
        <v/>
      </c>
      <c r="F871" s="155" t="str">
        <f>IF($A871="","",SUMIF(Sales!$E:$E,$A871,Sales!$L:$L))</f>
        <v/>
      </c>
      <c r="G871" s="155" t="str">
        <f>IF($A871="","",SUMIF(Sales!$E:$E,$A871,Sales!$P:$P))</f>
        <v/>
      </c>
      <c r="H871" s="156" t="str">
        <f t="array" ref="H871">IF($A871="","",IFERROR(INDEX(Orders!$O$5:$O$1004,MATCH($A871,Orders!$N$5:$N$1004,0)),""))</f>
        <v/>
      </c>
      <c r="I871" s="156" t="str">
        <f t="array" ref="I871">IF($A871="","",IFERROR(INDEX(Orders!$P$5:$P$1004,MATCH($A871,Orders!$N$5:$N$1004,0)),""))</f>
        <v/>
      </c>
      <c r="J871" s="157" t="str">
        <f t="shared" si="1"/>
        <v/>
      </c>
      <c r="K871" s="153" t="str">
        <f t="array" ref="K871">IF($A871="","",IFERROR(INDEX(Sales!$M:$M,MATCH($A871,Sales!$E:$E,0)),""))</f>
        <v/>
      </c>
      <c r="L871" s="158" t="str">
        <f t="shared" si="2"/>
        <v/>
      </c>
      <c r="N871" s="49" t="str">
        <f t="array" ref="N871">IFERROR(INDEX(Sales!$E$7:$E$1506,MATCH(ROW()-4,Sales!$V$7:$V$1506,0)),"")</f>
        <v/>
      </c>
      <c r="O871" s="67"/>
      <c r="P871" s="67"/>
    </row>
    <row r="872" ht="15.0" customHeight="1">
      <c r="A872" s="151" t="str">
        <f t="array" ref="A872">IFERROR(INDEX(Sales!$E$7:$E$1506,MATCH(ROW()-4,Sales!$W$7:$W$1506,0)),"")</f>
        <v/>
      </c>
      <c r="B872" s="152" t="str">
        <f t="array" ref="B872">IF($A872="","",IFERROR(INDEX(Sales!$A:$A,MATCH($A872,Sales!$E:$E,0)),""))</f>
        <v/>
      </c>
      <c r="C872" s="153" t="str">
        <f t="array" ref="C872">IF($A872="","",IFERROR(INDEX(Sales!$D:$D,MATCH($A872,Sales!$E:$E,0)),""))</f>
        <v/>
      </c>
      <c r="D872" s="153" t="str">
        <f t="array" ref="D872">IF($A872="","",IFERROR(INDEX(Sales!$C:$C,MATCH($A872,Sales!$E:$E,0)),""))</f>
        <v/>
      </c>
      <c r="E872" s="154" t="str">
        <f>IF($A872="","",SUMIFS(Sales!$H:$H,Sales!$E:$E,$A872,Sales!$B:$B,"&lt;&gt;Return"))</f>
        <v/>
      </c>
      <c r="F872" s="155" t="str">
        <f>IF($A872="","",SUMIF(Sales!$E:$E,$A872,Sales!$L:$L))</f>
        <v/>
      </c>
      <c r="G872" s="155" t="str">
        <f>IF($A872="","",SUMIF(Sales!$E:$E,$A872,Sales!$P:$P))</f>
        <v/>
      </c>
      <c r="H872" s="156" t="str">
        <f t="array" ref="H872">IF($A872="","",IFERROR(INDEX(Orders!$O$5:$O$1004,MATCH($A872,Orders!$N$5:$N$1004,0)),""))</f>
        <v/>
      </c>
      <c r="I872" s="156" t="str">
        <f t="array" ref="I872">IF($A872="","",IFERROR(INDEX(Orders!$P$5:$P$1004,MATCH($A872,Orders!$N$5:$N$1004,0)),""))</f>
        <v/>
      </c>
      <c r="J872" s="157" t="str">
        <f t="shared" si="1"/>
        <v/>
      </c>
      <c r="K872" s="153" t="str">
        <f t="array" ref="K872">IF($A872="","",IFERROR(INDEX(Sales!$M:$M,MATCH($A872,Sales!$E:$E,0)),""))</f>
        <v/>
      </c>
      <c r="L872" s="158" t="str">
        <f t="shared" si="2"/>
        <v/>
      </c>
      <c r="N872" s="49" t="str">
        <f t="array" ref="N872">IFERROR(INDEX(Sales!$E$7:$E$1506,MATCH(ROW()-4,Sales!$V$7:$V$1506,0)),"")</f>
        <v/>
      </c>
      <c r="O872" s="67"/>
      <c r="P872" s="67"/>
    </row>
    <row r="873" ht="15.0" customHeight="1">
      <c r="A873" s="151" t="str">
        <f t="array" ref="A873">IFERROR(INDEX(Sales!$E$7:$E$1506,MATCH(ROW()-4,Sales!$W$7:$W$1506,0)),"")</f>
        <v/>
      </c>
      <c r="B873" s="152" t="str">
        <f t="array" ref="B873">IF($A873="","",IFERROR(INDEX(Sales!$A:$A,MATCH($A873,Sales!$E:$E,0)),""))</f>
        <v/>
      </c>
      <c r="C873" s="153" t="str">
        <f t="array" ref="C873">IF($A873="","",IFERROR(INDEX(Sales!$D:$D,MATCH($A873,Sales!$E:$E,0)),""))</f>
        <v/>
      </c>
      <c r="D873" s="153" t="str">
        <f t="array" ref="D873">IF($A873="","",IFERROR(INDEX(Sales!$C:$C,MATCH($A873,Sales!$E:$E,0)),""))</f>
        <v/>
      </c>
      <c r="E873" s="154" t="str">
        <f>IF($A873="","",SUMIFS(Sales!$H:$H,Sales!$E:$E,$A873,Sales!$B:$B,"&lt;&gt;Return"))</f>
        <v/>
      </c>
      <c r="F873" s="155" t="str">
        <f>IF($A873="","",SUMIF(Sales!$E:$E,$A873,Sales!$L:$L))</f>
        <v/>
      </c>
      <c r="G873" s="155" t="str">
        <f>IF($A873="","",SUMIF(Sales!$E:$E,$A873,Sales!$P:$P))</f>
        <v/>
      </c>
      <c r="H873" s="156" t="str">
        <f t="array" ref="H873">IF($A873="","",IFERROR(INDEX(Orders!$O$5:$O$1004,MATCH($A873,Orders!$N$5:$N$1004,0)),""))</f>
        <v/>
      </c>
      <c r="I873" s="156" t="str">
        <f t="array" ref="I873">IF($A873="","",IFERROR(INDEX(Orders!$P$5:$P$1004,MATCH($A873,Orders!$N$5:$N$1004,0)),""))</f>
        <v/>
      </c>
      <c r="J873" s="157" t="str">
        <f t="shared" si="1"/>
        <v/>
      </c>
      <c r="K873" s="153" t="str">
        <f t="array" ref="K873">IF($A873="","",IFERROR(INDEX(Sales!$M:$M,MATCH($A873,Sales!$E:$E,0)),""))</f>
        <v/>
      </c>
      <c r="L873" s="158" t="str">
        <f t="shared" si="2"/>
        <v/>
      </c>
      <c r="N873" s="49" t="str">
        <f t="array" ref="N873">IFERROR(INDEX(Sales!$E$7:$E$1506,MATCH(ROW()-4,Sales!$V$7:$V$1506,0)),"")</f>
        <v/>
      </c>
      <c r="O873" s="67"/>
      <c r="P873" s="67"/>
    </row>
    <row r="874" ht="15.0" customHeight="1">
      <c r="A874" s="151" t="str">
        <f t="array" ref="A874">IFERROR(INDEX(Sales!$E$7:$E$1506,MATCH(ROW()-4,Sales!$W$7:$W$1506,0)),"")</f>
        <v/>
      </c>
      <c r="B874" s="152" t="str">
        <f t="array" ref="B874">IF($A874="","",IFERROR(INDEX(Sales!$A:$A,MATCH($A874,Sales!$E:$E,0)),""))</f>
        <v/>
      </c>
      <c r="C874" s="153" t="str">
        <f t="array" ref="C874">IF($A874="","",IFERROR(INDEX(Sales!$D:$D,MATCH($A874,Sales!$E:$E,0)),""))</f>
        <v/>
      </c>
      <c r="D874" s="153" t="str">
        <f t="array" ref="D874">IF($A874="","",IFERROR(INDEX(Sales!$C:$C,MATCH($A874,Sales!$E:$E,0)),""))</f>
        <v/>
      </c>
      <c r="E874" s="154" t="str">
        <f>IF($A874="","",SUMIFS(Sales!$H:$H,Sales!$E:$E,$A874,Sales!$B:$B,"&lt;&gt;Return"))</f>
        <v/>
      </c>
      <c r="F874" s="155" t="str">
        <f>IF($A874="","",SUMIF(Sales!$E:$E,$A874,Sales!$L:$L))</f>
        <v/>
      </c>
      <c r="G874" s="155" t="str">
        <f>IF($A874="","",SUMIF(Sales!$E:$E,$A874,Sales!$P:$P))</f>
        <v/>
      </c>
      <c r="H874" s="156" t="str">
        <f t="array" ref="H874">IF($A874="","",IFERROR(INDEX(Orders!$O$5:$O$1004,MATCH($A874,Orders!$N$5:$N$1004,0)),""))</f>
        <v/>
      </c>
      <c r="I874" s="156" t="str">
        <f t="array" ref="I874">IF($A874="","",IFERROR(INDEX(Orders!$P$5:$P$1004,MATCH($A874,Orders!$N$5:$N$1004,0)),""))</f>
        <v/>
      </c>
      <c r="J874" s="157" t="str">
        <f t="shared" si="1"/>
        <v/>
      </c>
      <c r="K874" s="153" t="str">
        <f t="array" ref="K874">IF($A874="","",IFERROR(INDEX(Sales!$M:$M,MATCH($A874,Sales!$E:$E,0)),""))</f>
        <v/>
      </c>
      <c r="L874" s="158" t="str">
        <f t="shared" si="2"/>
        <v/>
      </c>
      <c r="N874" s="49" t="str">
        <f t="array" ref="N874">IFERROR(INDEX(Sales!$E$7:$E$1506,MATCH(ROW()-4,Sales!$V$7:$V$1506,0)),"")</f>
        <v/>
      </c>
      <c r="O874" s="67"/>
      <c r="P874" s="67"/>
    </row>
    <row r="875" ht="15.0" customHeight="1">
      <c r="A875" s="151" t="str">
        <f t="array" ref="A875">IFERROR(INDEX(Sales!$E$7:$E$1506,MATCH(ROW()-4,Sales!$W$7:$W$1506,0)),"")</f>
        <v/>
      </c>
      <c r="B875" s="152" t="str">
        <f t="array" ref="B875">IF($A875="","",IFERROR(INDEX(Sales!$A:$A,MATCH($A875,Sales!$E:$E,0)),""))</f>
        <v/>
      </c>
      <c r="C875" s="153" t="str">
        <f t="array" ref="C875">IF($A875="","",IFERROR(INDEX(Sales!$D:$D,MATCH($A875,Sales!$E:$E,0)),""))</f>
        <v/>
      </c>
      <c r="D875" s="153" t="str">
        <f t="array" ref="D875">IF($A875="","",IFERROR(INDEX(Sales!$C:$C,MATCH($A875,Sales!$E:$E,0)),""))</f>
        <v/>
      </c>
      <c r="E875" s="154" t="str">
        <f>IF($A875="","",SUMIFS(Sales!$H:$H,Sales!$E:$E,$A875,Sales!$B:$B,"&lt;&gt;Return"))</f>
        <v/>
      </c>
      <c r="F875" s="155" t="str">
        <f>IF($A875="","",SUMIF(Sales!$E:$E,$A875,Sales!$L:$L))</f>
        <v/>
      </c>
      <c r="G875" s="155" t="str">
        <f>IF($A875="","",SUMIF(Sales!$E:$E,$A875,Sales!$P:$P))</f>
        <v/>
      </c>
      <c r="H875" s="156" t="str">
        <f t="array" ref="H875">IF($A875="","",IFERROR(INDEX(Orders!$O$5:$O$1004,MATCH($A875,Orders!$N$5:$N$1004,0)),""))</f>
        <v/>
      </c>
      <c r="I875" s="156" t="str">
        <f t="array" ref="I875">IF($A875="","",IFERROR(INDEX(Orders!$P$5:$P$1004,MATCH($A875,Orders!$N$5:$N$1004,0)),""))</f>
        <v/>
      </c>
      <c r="J875" s="157" t="str">
        <f t="shared" si="1"/>
        <v/>
      </c>
      <c r="K875" s="153" t="str">
        <f t="array" ref="K875">IF($A875="","",IFERROR(INDEX(Sales!$M:$M,MATCH($A875,Sales!$E:$E,0)),""))</f>
        <v/>
      </c>
      <c r="L875" s="158" t="str">
        <f t="shared" si="2"/>
        <v/>
      </c>
      <c r="N875" s="49" t="str">
        <f t="array" ref="N875">IFERROR(INDEX(Sales!$E$7:$E$1506,MATCH(ROW()-4,Sales!$V$7:$V$1506,0)),"")</f>
        <v/>
      </c>
      <c r="O875" s="67"/>
      <c r="P875" s="67"/>
    </row>
    <row r="876" ht="15.0" customHeight="1">
      <c r="A876" s="151" t="str">
        <f t="array" ref="A876">IFERROR(INDEX(Sales!$E$7:$E$1506,MATCH(ROW()-4,Sales!$W$7:$W$1506,0)),"")</f>
        <v/>
      </c>
      <c r="B876" s="152" t="str">
        <f t="array" ref="B876">IF($A876="","",IFERROR(INDEX(Sales!$A:$A,MATCH($A876,Sales!$E:$E,0)),""))</f>
        <v/>
      </c>
      <c r="C876" s="153" t="str">
        <f t="array" ref="C876">IF($A876="","",IFERROR(INDEX(Sales!$D:$D,MATCH($A876,Sales!$E:$E,0)),""))</f>
        <v/>
      </c>
      <c r="D876" s="153" t="str">
        <f t="array" ref="D876">IF($A876="","",IFERROR(INDEX(Sales!$C:$C,MATCH($A876,Sales!$E:$E,0)),""))</f>
        <v/>
      </c>
      <c r="E876" s="154" t="str">
        <f>IF($A876="","",SUMIFS(Sales!$H:$H,Sales!$E:$E,$A876,Sales!$B:$B,"&lt;&gt;Return"))</f>
        <v/>
      </c>
      <c r="F876" s="155" t="str">
        <f>IF($A876="","",SUMIF(Sales!$E:$E,$A876,Sales!$L:$L))</f>
        <v/>
      </c>
      <c r="G876" s="155" t="str">
        <f>IF($A876="","",SUMIF(Sales!$E:$E,$A876,Sales!$P:$P))</f>
        <v/>
      </c>
      <c r="H876" s="156" t="str">
        <f t="array" ref="H876">IF($A876="","",IFERROR(INDEX(Orders!$O$5:$O$1004,MATCH($A876,Orders!$N$5:$N$1004,0)),""))</f>
        <v/>
      </c>
      <c r="I876" s="156" t="str">
        <f t="array" ref="I876">IF($A876="","",IFERROR(INDEX(Orders!$P$5:$P$1004,MATCH($A876,Orders!$N$5:$N$1004,0)),""))</f>
        <v/>
      </c>
      <c r="J876" s="157" t="str">
        <f t="shared" si="1"/>
        <v/>
      </c>
      <c r="K876" s="153" t="str">
        <f t="array" ref="K876">IF($A876="","",IFERROR(INDEX(Sales!$M:$M,MATCH($A876,Sales!$E:$E,0)),""))</f>
        <v/>
      </c>
      <c r="L876" s="158" t="str">
        <f t="shared" si="2"/>
        <v/>
      </c>
      <c r="N876" s="49" t="str">
        <f t="array" ref="N876">IFERROR(INDEX(Sales!$E$7:$E$1506,MATCH(ROW()-4,Sales!$V$7:$V$1506,0)),"")</f>
        <v/>
      </c>
      <c r="O876" s="67"/>
      <c r="P876" s="67"/>
    </row>
    <row r="877" ht="15.0" customHeight="1">
      <c r="A877" s="151" t="str">
        <f t="array" ref="A877">IFERROR(INDEX(Sales!$E$7:$E$1506,MATCH(ROW()-4,Sales!$W$7:$W$1506,0)),"")</f>
        <v/>
      </c>
      <c r="B877" s="152" t="str">
        <f t="array" ref="B877">IF($A877="","",IFERROR(INDEX(Sales!$A:$A,MATCH($A877,Sales!$E:$E,0)),""))</f>
        <v/>
      </c>
      <c r="C877" s="153" t="str">
        <f t="array" ref="C877">IF($A877="","",IFERROR(INDEX(Sales!$D:$D,MATCH($A877,Sales!$E:$E,0)),""))</f>
        <v/>
      </c>
      <c r="D877" s="153" t="str">
        <f t="array" ref="D877">IF($A877="","",IFERROR(INDEX(Sales!$C:$C,MATCH($A877,Sales!$E:$E,0)),""))</f>
        <v/>
      </c>
      <c r="E877" s="154" t="str">
        <f>IF($A877="","",SUMIFS(Sales!$H:$H,Sales!$E:$E,$A877,Sales!$B:$B,"&lt;&gt;Return"))</f>
        <v/>
      </c>
      <c r="F877" s="155" t="str">
        <f>IF($A877="","",SUMIF(Sales!$E:$E,$A877,Sales!$L:$L))</f>
        <v/>
      </c>
      <c r="G877" s="155" t="str">
        <f>IF($A877="","",SUMIF(Sales!$E:$E,$A877,Sales!$P:$P))</f>
        <v/>
      </c>
      <c r="H877" s="156" t="str">
        <f t="array" ref="H877">IF($A877="","",IFERROR(INDEX(Orders!$O$5:$O$1004,MATCH($A877,Orders!$N$5:$N$1004,0)),""))</f>
        <v/>
      </c>
      <c r="I877" s="156" t="str">
        <f t="array" ref="I877">IF($A877="","",IFERROR(INDEX(Orders!$P$5:$P$1004,MATCH($A877,Orders!$N$5:$N$1004,0)),""))</f>
        <v/>
      </c>
      <c r="J877" s="157" t="str">
        <f t="shared" si="1"/>
        <v/>
      </c>
      <c r="K877" s="153" t="str">
        <f t="array" ref="K877">IF($A877="","",IFERROR(INDEX(Sales!$M:$M,MATCH($A877,Sales!$E:$E,0)),""))</f>
        <v/>
      </c>
      <c r="L877" s="158" t="str">
        <f t="shared" si="2"/>
        <v/>
      </c>
      <c r="N877" s="49" t="str">
        <f t="array" ref="N877">IFERROR(INDEX(Sales!$E$7:$E$1506,MATCH(ROW()-4,Sales!$V$7:$V$1506,0)),"")</f>
        <v/>
      </c>
      <c r="O877" s="67"/>
      <c r="P877" s="67"/>
    </row>
    <row r="878" ht="15.0" customHeight="1">
      <c r="A878" s="151" t="str">
        <f t="array" ref="A878">IFERROR(INDEX(Sales!$E$7:$E$1506,MATCH(ROW()-4,Sales!$W$7:$W$1506,0)),"")</f>
        <v/>
      </c>
      <c r="B878" s="152" t="str">
        <f t="array" ref="B878">IF($A878="","",IFERROR(INDEX(Sales!$A:$A,MATCH($A878,Sales!$E:$E,0)),""))</f>
        <v/>
      </c>
      <c r="C878" s="153" t="str">
        <f t="array" ref="C878">IF($A878="","",IFERROR(INDEX(Sales!$D:$D,MATCH($A878,Sales!$E:$E,0)),""))</f>
        <v/>
      </c>
      <c r="D878" s="153" t="str">
        <f t="array" ref="D878">IF($A878="","",IFERROR(INDEX(Sales!$C:$C,MATCH($A878,Sales!$E:$E,0)),""))</f>
        <v/>
      </c>
      <c r="E878" s="154" t="str">
        <f>IF($A878="","",SUMIFS(Sales!$H:$H,Sales!$E:$E,$A878,Sales!$B:$B,"&lt;&gt;Return"))</f>
        <v/>
      </c>
      <c r="F878" s="155" t="str">
        <f>IF($A878="","",SUMIF(Sales!$E:$E,$A878,Sales!$L:$L))</f>
        <v/>
      </c>
      <c r="G878" s="155" t="str">
        <f>IF($A878="","",SUMIF(Sales!$E:$E,$A878,Sales!$P:$P))</f>
        <v/>
      </c>
      <c r="H878" s="156" t="str">
        <f t="array" ref="H878">IF($A878="","",IFERROR(INDEX(Orders!$O$5:$O$1004,MATCH($A878,Orders!$N$5:$N$1004,0)),""))</f>
        <v/>
      </c>
      <c r="I878" s="156" t="str">
        <f t="array" ref="I878">IF($A878="","",IFERROR(INDEX(Orders!$P$5:$P$1004,MATCH($A878,Orders!$N$5:$N$1004,0)),""))</f>
        <v/>
      </c>
      <c r="J878" s="157" t="str">
        <f t="shared" si="1"/>
        <v/>
      </c>
      <c r="K878" s="153" t="str">
        <f t="array" ref="K878">IF($A878="","",IFERROR(INDEX(Sales!$M:$M,MATCH($A878,Sales!$E:$E,0)),""))</f>
        <v/>
      </c>
      <c r="L878" s="158" t="str">
        <f t="shared" si="2"/>
        <v/>
      </c>
      <c r="N878" s="49" t="str">
        <f t="array" ref="N878">IFERROR(INDEX(Sales!$E$7:$E$1506,MATCH(ROW()-4,Sales!$V$7:$V$1506,0)),"")</f>
        <v/>
      </c>
      <c r="O878" s="67"/>
      <c r="P878" s="67"/>
    </row>
    <row r="879" ht="15.0" customHeight="1">
      <c r="A879" s="151" t="str">
        <f t="array" ref="A879">IFERROR(INDEX(Sales!$E$7:$E$1506,MATCH(ROW()-4,Sales!$W$7:$W$1506,0)),"")</f>
        <v/>
      </c>
      <c r="B879" s="152" t="str">
        <f t="array" ref="B879">IF($A879="","",IFERROR(INDEX(Sales!$A:$A,MATCH($A879,Sales!$E:$E,0)),""))</f>
        <v/>
      </c>
      <c r="C879" s="153" t="str">
        <f t="array" ref="C879">IF($A879="","",IFERROR(INDEX(Sales!$D:$D,MATCH($A879,Sales!$E:$E,0)),""))</f>
        <v/>
      </c>
      <c r="D879" s="153" t="str">
        <f t="array" ref="D879">IF($A879="","",IFERROR(INDEX(Sales!$C:$C,MATCH($A879,Sales!$E:$E,0)),""))</f>
        <v/>
      </c>
      <c r="E879" s="154" t="str">
        <f>IF($A879="","",SUMIFS(Sales!$H:$H,Sales!$E:$E,$A879,Sales!$B:$B,"&lt;&gt;Return"))</f>
        <v/>
      </c>
      <c r="F879" s="155" t="str">
        <f>IF($A879="","",SUMIF(Sales!$E:$E,$A879,Sales!$L:$L))</f>
        <v/>
      </c>
      <c r="G879" s="155" t="str">
        <f>IF($A879="","",SUMIF(Sales!$E:$E,$A879,Sales!$P:$P))</f>
        <v/>
      </c>
      <c r="H879" s="156" t="str">
        <f t="array" ref="H879">IF($A879="","",IFERROR(INDEX(Orders!$O$5:$O$1004,MATCH($A879,Orders!$N$5:$N$1004,0)),""))</f>
        <v/>
      </c>
      <c r="I879" s="156" t="str">
        <f t="array" ref="I879">IF($A879="","",IFERROR(INDEX(Orders!$P$5:$P$1004,MATCH($A879,Orders!$N$5:$N$1004,0)),""))</f>
        <v/>
      </c>
      <c r="J879" s="157" t="str">
        <f t="shared" si="1"/>
        <v/>
      </c>
      <c r="K879" s="153" t="str">
        <f t="array" ref="K879">IF($A879="","",IFERROR(INDEX(Sales!$M:$M,MATCH($A879,Sales!$E:$E,0)),""))</f>
        <v/>
      </c>
      <c r="L879" s="158" t="str">
        <f t="shared" si="2"/>
        <v/>
      </c>
      <c r="N879" s="49" t="str">
        <f t="array" ref="N879">IFERROR(INDEX(Sales!$E$7:$E$1506,MATCH(ROW()-4,Sales!$V$7:$V$1506,0)),"")</f>
        <v/>
      </c>
      <c r="O879" s="67"/>
      <c r="P879" s="67"/>
    </row>
    <row r="880" ht="15.0" customHeight="1">
      <c r="A880" s="151" t="str">
        <f t="array" ref="A880">IFERROR(INDEX(Sales!$E$7:$E$1506,MATCH(ROW()-4,Sales!$W$7:$W$1506,0)),"")</f>
        <v/>
      </c>
      <c r="B880" s="152" t="str">
        <f t="array" ref="B880">IF($A880="","",IFERROR(INDEX(Sales!$A:$A,MATCH($A880,Sales!$E:$E,0)),""))</f>
        <v/>
      </c>
      <c r="C880" s="153" t="str">
        <f t="array" ref="C880">IF($A880="","",IFERROR(INDEX(Sales!$D:$D,MATCH($A880,Sales!$E:$E,0)),""))</f>
        <v/>
      </c>
      <c r="D880" s="153" t="str">
        <f t="array" ref="D880">IF($A880="","",IFERROR(INDEX(Sales!$C:$C,MATCH($A880,Sales!$E:$E,0)),""))</f>
        <v/>
      </c>
      <c r="E880" s="154" t="str">
        <f>IF($A880="","",SUMIFS(Sales!$H:$H,Sales!$E:$E,$A880,Sales!$B:$B,"&lt;&gt;Return"))</f>
        <v/>
      </c>
      <c r="F880" s="155" t="str">
        <f>IF($A880="","",SUMIF(Sales!$E:$E,$A880,Sales!$L:$L))</f>
        <v/>
      </c>
      <c r="G880" s="155" t="str">
        <f>IF($A880="","",SUMIF(Sales!$E:$E,$A880,Sales!$P:$P))</f>
        <v/>
      </c>
      <c r="H880" s="156" t="str">
        <f t="array" ref="H880">IF($A880="","",IFERROR(INDEX(Orders!$O$5:$O$1004,MATCH($A880,Orders!$N$5:$N$1004,0)),""))</f>
        <v/>
      </c>
      <c r="I880" s="156" t="str">
        <f t="array" ref="I880">IF($A880="","",IFERROR(INDEX(Orders!$P$5:$P$1004,MATCH($A880,Orders!$N$5:$N$1004,0)),""))</f>
        <v/>
      </c>
      <c r="J880" s="157" t="str">
        <f t="shared" si="1"/>
        <v/>
      </c>
      <c r="K880" s="153" t="str">
        <f t="array" ref="K880">IF($A880="","",IFERROR(INDEX(Sales!$M:$M,MATCH($A880,Sales!$E:$E,0)),""))</f>
        <v/>
      </c>
      <c r="L880" s="158" t="str">
        <f t="shared" si="2"/>
        <v/>
      </c>
      <c r="N880" s="49" t="str">
        <f t="array" ref="N880">IFERROR(INDEX(Sales!$E$7:$E$1506,MATCH(ROW()-4,Sales!$V$7:$V$1506,0)),"")</f>
        <v/>
      </c>
      <c r="O880" s="67"/>
      <c r="P880" s="67"/>
    </row>
    <row r="881" ht="15.0" customHeight="1">
      <c r="A881" s="151" t="str">
        <f t="array" ref="A881">IFERROR(INDEX(Sales!$E$7:$E$1506,MATCH(ROW()-4,Sales!$W$7:$W$1506,0)),"")</f>
        <v/>
      </c>
      <c r="B881" s="152" t="str">
        <f t="array" ref="B881">IF($A881="","",IFERROR(INDEX(Sales!$A:$A,MATCH($A881,Sales!$E:$E,0)),""))</f>
        <v/>
      </c>
      <c r="C881" s="153" t="str">
        <f t="array" ref="C881">IF($A881="","",IFERROR(INDEX(Sales!$D:$D,MATCH($A881,Sales!$E:$E,0)),""))</f>
        <v/>
      </c>
      <c r="D881" s="153" t="str">
        <f t="array" ref="D881">IF($A881="","",IFERROR(INDEX(Sales!$C:$C,MATCH($A881,Sales!$E:$E,0)),""))</f>
        <v/>
      </c>
      <c r="E881" s="154" t="str">
        <f>IF($A881="","",SUMIFS(Sales!$H:$H,Sales!$E:$E,$A881,Sales!$B:$B,"&lt;&gt;Return"))</f>
        <v/>
      </c>
      <c r="F881" s="155" t="str">
        <f>IF($A881="","",SUMIF(Sales!$E:$E,$A881,Sales!$L:$L))</f>
        <v/>
      </c>
      <c r="G881" s="155" t="str">
        <f>IF($A881="","",SUMIF(Sales!$E:$E,$A881,Sales!$P:$P))</f>
        <v/>
      </c>
      <c r="H881" s="156" t="str">
        <f t="array" ref="H881">IF($A881="","",IFERROR(INDEX(Orders!$O$5:$O$1004,MATCH($A881,Orders!$N$5:$N$1004,0)),""))</f>
        <v/>
      </c>
      <c r="I881" s="156" t="str">
        <f t="array" ref="I881">IF($A881="","",IFERROR(INDEX(Orders!$P$5:$P$1004,MATCH($A881,Orders!$N$5:$N$1004,0)),""))</f>
        <v/>
      </c>
      <c r="J881" s="157" t="str">
        <f t="shared" si="1"/>
        <v/>
      </c>
      <c r="K881" s="153" t="str">
        <f t="array" ref="K881">IF($A881="","",IFERROR(INDEX(Sales!$M:$M,MATCH($A881,Sales!$E:$E,0)),""))</f>
        <v/>
      </c>
      <c r="L881" s="158" t="str">
        <f t="shared" si="2"/>
        <v/>
      </c>
      <c r="N881" s="49" t="str">
        <f t="array" ref="N881">IFERROR(INDEX(Sales!$E$7:$E$1506,MATCH(ROW()-4,Sales!$V$7:$V$1506,0)),"")</f>
        <v/>
      </c>
      <c r="O881" s="67"/>
      <c r="P881" s="67"/>
    </row>
    <row r="882" ht="15.0" customHeight="1">
      <c r="A882" s="151" t="str">
        <f t="array" ref="A882">IFERROR(INDEX(Sales!$E$7:$E$1506,MATCH(ROW()-4,Sales!$W$7:$W$1506,0)),"")</f>
        <v/>
      </c>
      <c r="B882" s="152" t="str">
        <f t="array" ref="B882">IF($A882="","",IFERROR(INDEX(Sales!$A:$A,MATCH($A882,Sales!$E:$E,0)),""))</f>
        <v/>
      </c>
      <c r="C882" s="153" t="str">
        <f t="array" ref="C882">IF($A882="","",IFERROR(INDEX(Sales!$D:$D,MATCH($A882,Sales!$E:$E,0)),""))</f>
        <v/>
      </c>
      <c r="D882" s="153" t="str">
        <f t="array" ref="D882">IF($A882="","",IFERROR(INDEX(Sales!$C:$C,MATCH($A882,Sales!$E:$E,0)),""))</f>
        <v/>
      </c>
      <c r="E882" s="154" t="str">
        <f>IF($A882="","",SUMIFS(Sales!$H:$H,Sales!$E:$E,$A882,Sales!$B:$B,"&lt;&gt;Return"))</f>
        <v/>
      </c>
      <c r="F882" s="155" t="str">
        <f>IF($A882="","",SUMIF(Sales!$E:$E,$A882,Sales!$L:$L))</f>
        <v/>
      </c>
      <c r="G882" s="155" t="str">
        <f>IF($A882="","",SUMIF(Sales!$E:$E,$A882,Sales!$P:$P))</f>
        <v/>
      </c>
      <c r="H882" s="156" t="str">
        <f t="array" ref="H882">IF($A882="","",IFERROR(INDEX(Orders!$O$5:$O$1004,MATCH($A882,Orders!$N$5:$N$1004,0)),""))</f>
        <v/>
      </c>
      <c r="I882" s="156" t="str">
        <f t="array" ref="I882">IF($A882="","",IFERROR(INDEX(Orders!$P$5:$P$1004,MATCH($A882,Orders!$N$5:$N$1004,0)),""))</f>
        <v/>
      </c>
      <c r="J882" s="157" t="str">
        <f t="shared" si="1"/>
        <v/>
      </c>
      <c r="K882" s="153" t="str">
        <f t="array" ref="K882">IF($A882="","",IFERROR(INDEX(Sales!$M:$M,MATCH($A882,Sales!$E:$E,0)),""))</f>
        <v/>
      </c>
      <c r="L882" s="158" t="str">
        <f t="shared" si="2"/>
        <v/>
      </c>
      <c r="N882" s="49" t="str">
        <f t="array" ref="N882">IFERROR(INDEX(Sales!$E$7:$E$1506,MATCH(ROW()-4,Sales!$V$7:$V$1506,0)),"")</f>
        <v/>
      </c>
      <c r="O882" s="67"/>
      <c r="P882" s="67"/>
    </row>
    <row r="883" ht="15.0" customHeight="1">
      <c r="A883" s="151" t="str">
        <f t="array" ref="A883">IFERROR(INDEX(Sales!$E$7:$E$1506,MATCH(ROW()-4,Sales!$W$7:$W$1506,0)),"")</f>
        <v/>
      </c>
      <c r="B883" s="152" t="str">
        <f t="array" ref="B883">IF($A883="","",IFERROR(INDEX(Sales!$A:$A,MATCH($A883,Sales!$E:$E,0)),""))</f>
        <v/>
      </c>
      <c r="C883" s="153" t="str">
        <f t="array" ref="C883">IF($A883="","",IFERROR(INDEX(Sales!$D:$D,MATCH($A883,Sales!$E:$E,0)),""))</f>
        <v/>
      </c>
      <c r="D883" s="153" t="str">
        <f t="array" ref="D883">IF($A883="","",IFERROR(INDEX(Sales!$C:$C,MATCH($A883,Sales!$E:$E,0)),""))</f>
        <v/>
      </c>
      <c r="E883" s="154" t="str">
        <f>IF($A883="","",SUMIFS(Sales!$H:$H,Sales!$E:$E,$A883,Sales!$B:$B,"&lt;&gt;Return"))</f>
        <v/>
      </c>
      <c r="F883" s="155" t="str">
        <f>IF($A883="","",SUMIF(Sales!$E:$E,$A883,Sales!$L:$L))</f>
        <v/>
      </c>
      <c r="G883" s="155" t="str">
        <f>IF($A883="","",SUMIF(Sales!$E:$E,$A883,Sales!$P:$P))</f>
        <v/>
      </c>
      <c r="H883" s="156" t="str">
        <f t="array" ref="H883">IF($A883="","",IFERROR(INDEX(Orders!$O$5:$O$1004,MATCH($A883,Orders!$N$5:$N$1004,0)),""))</f>
        <v/>
      </c>
      <c r="I883" s="156" t="str">
        <f t="array" ref="I883">IF($A883="","",IFERROR(INDEX(Orders!$P$5:$P$1004,MATCH($A883,Orders!$N$5:$N$1004,0)),""))</f>
        <v/>
      </c>
      <c r="J883" s="157" t="str">
        <f t="shared" si="1"/>
        <v/>
      </c>
      <c r="K883" s="153" t="str">
        <f t="array" ref="K883">IF($A883="","",IFERROR(INDEX(Sales!$M:$M,MATCH($A883,Sales!$E:$E,0)),""))</f>
        <v/>
      </c>
      <c r="L883" s="158" t="str">
        <f t="shared" si="2"/>
        <v/>
      </c>
      <c r="N883" s="49" t="str">
        <f t="array" ref="N883">IFERROR(INDEX(Sales!$E$7:$E$1506,MATCH(ROW()-4,Sales!$V$7:$V$1506,0)),"")</f>
        <v/>
      </c>
      <c r="O883" s="67"/>
      <c r="P883" s="67"/>
    </row>
    <row r="884" ht="15.0" customHeight="1">
      <c r="A884" s="151" t="str">
        <f t="array" ref="A884">IFERROR(INDEX(Sales!$E$7:$E$1506,MATCH(ROW()-4,Sales!$W$7:$W$1506,0)),"")</f>
        <v/>
      </c>
      <c r="B884" s="152" t="str">
        <f t="array" ref="B884">IF($A884="","",IFERROR(INDEX(Sales!$A:$A,MATCH($A884,Sales!$E:$E,0)),""))</f>
        <v/>
      </c>
      <c r="C884" s="153" t="str">
        <f t="array" ref="C884">IF($A884="","",IFERROR(INDEX(Sales!$D:$D,MATCH($A884,Sales!$E:$E,0)),""))</f>
        <v/>
      </c>
      <c r="D884" s="153" t="str">
        <f t="array" ref="D884">IF($A884="","",IFERROR(INDEX(Sales!$C:$C,MATCH($A884,Sales!$E:$E,0)),""))</f>
        <v/>
      </c>
      <c r="E884" s="154" t="str">
        <f>IF($A884="","",SUMIFS(Sales!$H:$H,Sales!$E:$E,$A884,Sales!$B:$B,"&lt;&gt;Return"))</f>
        <v/>
      </c>
      <c r="F884" s="155" t="str">
        <f>IF($A884="","",SUMIF(Sales!$E:$E,$A884,Sales!$L:$L))</f>
        <v/>
      </c>
      <c r="G884" s="155" t="str">
        <f>IF($A884="","",SUMIF(Sales!$E:$E,$A884,Sales!$P:$P))</f>
        <v/>
      </c>
      <c r="H884" s="156" t="str">
        <f t="array" ref="H884">IF($A884="","",IFERROR(INDEX(Orders!$O$5:$O$1004,MATCH($A884,Orders!$N$5:$N$1004,0)),""))</f>
        <v/>
      </c>
      <c r="I884" s="156" t="str">
        <f t="array" ref="I884">IF($A884="","",IFERROR(INDEX(Orders!$P$5:$P$1004,MATCH($A884,Orders!$N$5:$N$1004,0)),""))</f>
        <v/>
      </c>
      <c r="J884" s="157" t="str">
        <f t="shared" si="1"/>
        <v/>
      </c>
      <c r="K884" s="153" t="str">
        <f t="array" ref="K884">IF($A884="","",IFERROR(INDEX(Sales!$M:$M,MATCH($A884,Sales!$E:$E,0)),""))</f>
        <v/>
      </c>
      <c r="L884" s="158" t="str">
        <f t="shared" si="2"/>
        <v/>
      </c>
      <c r="N884" s="49" t="str">
        <f t="array" ref="N884">IFERROR(INDEX(Sales!$E$7:$E$1506,MATCH(ROW()-4,Sales!$V$7:$V$1506,0)),"")</f>
        <v/>
      </c>
      <c r="O884" s="67"/>
      <c r="P884" s="67"/>
    </row>
    <row r="885" ht="15.0" customHeight="1">
      <c r="A885" s="151" t="str">
        <f t="array" ref="A885">IFERROR(INDEX(Sales!$E$7:$E$1506,MATCH(ROW()-4,Sales!$W$7:$W$1506,0)),"")</f>
        <v/>
      </c>
      <c r="B885" s="152" t="str">
        <f t="array" ref="B885">IF($A885="","",IFERROR(INDEX(Sales!$A:$A,MATCH($A885,Sales!$E:$E,0)),""))</f>
        <v/>
      </c>
      <c r="C885" s="153" t="str">
        <f t="array" ref="C885">IF($A885="","",IFERROR(INDEX(Sales!$D:$D,MATCH($A885,Sales!$E:$E,0)),""))</f>
        <v/>
      </c>
      <c r="D885" s="153" t="str">
        <f t="array" ref="D885">IF($A885="","",IFERROR(INDEX(Sales!$C:$C,MATCH($A885,Sales!$E:$E,0)),""))</f>
        <v/>
      </c>
      <c r="E885" s="154" t="str">
        <f>IF($A885="","",SUMIFS(Sales!$H:$H,Sales!$E:$E,$A885,Sales!$B:$B,"&lt;&gt;Return"))</f>
        <v/>
      </c>
      <c r="F885" s="155" t="str">
        <f>IF($A885="","",SUMIF(Sales!$E:$E,$A885,Sales!$L:$L))</f>
        <v/>
      </c>
      <c r="G885" s="155" t="str">
        <f>IF($A885="","",SUMIF(Sales!$E:$E,$A885,Sales!$P:$P))</f>
        <v/>
      </c>
      <c r="H885" s="156" t="str">
        <f t="array" ref="H885">IF($A885="","",IFERROR(INDEX(Orders!$O$5:$O$1004,MATCH($A885,Orders!$N$5:$N$1004,0)),""))</f>
        <v/>
      </c>
      <c r="I885" s="156" t="str">
        <f t="array" ref="I885">IF($A885="","",IFERROR(INDEX(Orders!$P$5:$P$1004,MATCH($A885,Orders!$N$5:$N$1004,0)),""))</f>
        <v/>
      </c>
      <c r="J885" s="157" t="str">
        <f t="shared" si="1"/>
        <v/>
      </c>
      <c r="K885" s="153" t="str">
        <f t="array" ref="K885">IF($A885="","",IFERROR(INDEX(Sales!$M:$M,MATCH($A885,Sales!$E:$E,0)),""))</f>
        <v/>
      </c>
      <c r="L885" s="158" t="str">
        <f t="shared" si="2"/>
        <v/>
      </c>
      <c r="N885" s="49" t="str">
        <f t="array" ref="N885">IFERROR(INDEX(Sales!$E$7:$E$1506,MATCH(ROW()-4,Sales!$V$7:$V$1506,0)),"")</f>
        <v/>
      </c>
      <c r="O885" s="67"/>
      <c r="P885" s="67"/>
    </row>
    <row r="886" ht="15.0" customHeight="1">
      <c r="A886" s="151" t="str">
        <f t="array" ref="A886">IFERROR(INDEX(Sales!$E$7:$E$1506,MATCH(ROW()-4,Sales!$W$7:$W$1506,0)),"")</f>
        <v/>
      </c>
      <c r="B886" s="152" t="str">
        <f t="array" ref="B886">IF($A886="","",IFERROR(INDEX(Sales!$A:$A,MATCH($A886,Sales!$E:$E,0)),""))</f>
        <v/>
      </c>
      <c r="C886" s="153" t="str">
        <f t="array" ref="C886">IF($A886="","",IFERROR(INDEX(Sales!$D:$D,MATCH($A886,Sales!$E:$E,0)),""))</f>
        <v/>
      </c>
      <c r="D886" s="153" t="str">
        <f t="array" ref="D886">IF($A886="","",IFERROR(INDEX(Sales!$C:$C,MATCH($A886,Sales!$E:$E,0)),""))</f>
        <v/>
      </c>
      <c r="E886" s="154" t="str">
        <f>IF($A886="","",SUMIFS(Sales!$H:$H,Sales!$E:$E,$A886,Sales!$B:$B,"&lt;&gt;Return"))</f>
        <v/>
      </c>
      <c r="F886" s="155" t="str">
        <f>IF($A886="","",SUMIF(Sales!$E:$E,$A886,Sales!$L:$L))</f>
        <v/>
      </c>
      <c r="G886" s="155" t="str">
        <f>IF($A886="","",SUMIF(Sales!$E:$E,$A886,Sales!$P:$P))</f>
        <v/>
      </c>
      <c r="H886" s="156" t="str">
        <f t="array" ref="H886">IF($A886="","",IFERROR(INDEX(Orders!$O$5:$O$1004,MATCH($A886,Orders!$N$5:$N$1004,0)),""))</f>
        <v/>
      </c>
      <c r="I886" s="156" t="str">
        <f t="array" ref="I886">IF($A886="","",IFERROR(INDEX(Orders!$P$5:$P$1004,MATCH($A886,Orders!$N$5:$N$1004,0)),""))</f>
        <v/>
      </c>
      <c r="J886" s="157" t="str">
        <f t="shared" si="1"/>
        <v/>
      </c>
      <c r="K886" s="153" t="str">
        <f t="array" ref="K886">IF($A886="","",IFERROR(INDEX(Sales!$M:$M,MATCH($A886,Sales!$E:$E,0)),""))</f>
        <v/>
      </c>
      <c r="L886" s="158" t="str">
        <f t="shared" si="2"/>
        <v/>
      </c>
      <c r="N886" s="49" t="str">
        <f t="array" ref="N886">IFERROR(INDEX(Sales!$E$7:$E$1506,MATCH(ROW()-4,Sales!$V$7:$V$1506,0)),"")</f>
        <v/>
      </c>
      <c r="O886" s="67"/>
      <c r="P886" s="67"/>
    </row>
    <row r="887" ht="15.0" customHeight="1">
      <c r="A887" s="151" t="str">
        <f t="array" ref="A887">IFERROR(INDEX(Sales!$E$7:$E$1506,MATCH(ROW()-4,Sales!$W$7:$W$1506,0)),"")</f>
        <v/>
      </c>
      <c r="B887" s="152" t="str">
        <f t="array" ref="B887">IF($A887="","",IFERROR(INDEX(Sales!$A:$A,MATCH($A887,Sales!$E:$E,0)),""))</f>
        <v/>
      </c>
      <c r="C887" s="153" t="str">
        <f t="array" ref="C887">IF($A887="","",IFERROR(INDEX(Sales!$D:$D,MATCH($A887,Sales!$E:$E,0)),""))</f>
        <v/>
      </c>
      <c r="D887" s="153" t="str">
        <f t="array" ref="D887">IF($A887="","",IFERROR(INDEX(Sales!$C:$C,MATCH($A887,Sales!$E:$E,0)),""))</f>
        <v/>
      </c>
      <c r="E887" s="154" t="str">
        <f>IF($A887="","",SUMIFS(Sales!$H:$H,Sales!$E:$E,$A887,Sales!$B:$B,"&lt;&gt;Return"))</f>
        <v/>
      </c>
      <c r="F887" s="155" t="str">
        <f>IF($A887="","",SUMIF(Sales!$E:$E,$A887,Sales!$L:$L))</f>
        <v/>
      </c>
      <c r="G887" s="155" t="str">
        <f>IF($A887="","",SUMIF(Sales!$E:$E,$A887,Sales!$P:$P))</f>
        <v/>
      </c>
      <c r="H887" s="156" t="str">
        <f t="array" ref="H887">IF($A887="","",IFERROR(INDEX(Orders!$O$5:$O$1004,MATCH($A887,Orders!$N$5:$N$1004,0)),""))</f>
        <v/>
      </c>
      <c r="I887" s="156" t="str">
        <f t="array" ref="I887">IF($A887="","",IFERROR(INDEX(Orders!$P$5:$P$1004,MATCH($A887,Orders!$N$5:$N$1004,0)),""))</f>
        <v/>
      </c>
      <c r="J887" s="157" t="str">
        <f t="shared" si="1"/>
        <v/>
      </c>
      <c r="K887" s="153" t="str">
        <f t="array" ref="K887">IF($A887="","",IFERROR(INDEX(Sales!$M:$M,MATCH($A887,Sales!$E:$E,0)),""))</f>
        <v/>
      </c>
      <c r="L887" s="158" t="str">
        <f t="shared" si="2"/>
        <v/>
      </c>
      <c r="N887" s="49" t="str">
        <f t="array" ref="N887">IFERROR(INDEX(Sales!$E$7:$E$1506,MATCH(ROW()-4,Sales!$V$7:$V$1506,0)),"")</f>
        <v/>
      </c>
      <c r="O887" s="67"/>
      <c r="P887" s="67"/>
    </row>
    <row r="888" ht="15.0" customHeight="1">
      <c r="A888" s="151" t="str">
        <f t="array" ref="A888">IFERROR(INDEX(Sales!$E$7:$E$1506,MATCH(ROW()-4,Sales!$W$7:$W$1506,0)),"")</f>
        <v/>
      </c>
      <c r="B888" s="152" t="str">
        <f t="array" ref="B888">IF($A888="","",IFERROR(INDEX(Sales!$A:$A,MATCH($A888,Sales!$E:$E,0)),""))</f>
        <v/>
      </c>
      <c r="C888" s="153" t="str">
        <f t="array" ref="C888">IF($A888="","",IFERROR(INDEX(Sales!$D:$D,MATCH($A888,Sales!$E:$E,0)),""))</f>
        <v/>
      </c>
      <c r="D888" s="153" t="str">
        <f t="array" ref="D888">IF($A888="","",IFERROR(INDEX(Sales!$C:$C,MATCH($A888,Sales!$E:$E,0)),""))</f>
        <v/>
      </c>
      <c r="E888" s="154" t="str">
        <f>IF($A888="","",SUMIFS(Sales!$H:$H,Sales!$E:$E,$A888,Sales!$B:$B,"&lt;&gt;Return"))</f>
        <v/>
      </c>
      <c r="F888" s="155" t="str">
        <f>IF($A888="","",SUMIF(Sales!$E:$E,$A888,Sales!$L:$L))</f>
        <v/>
      </c>
      <c r="G888" s="155" t="str">
        <f>IF($A888="","",SUMIF(Sales!$E:$E,$A888,Sales!$P:$P))</f>
        <v/>
      </c>
      <c r="H888" s="156" t="str">
        <f t="array" ref="H888">IF($A888="","",IFERROR(INDEX(Orders!$O$5:$O$1004,MATCH($A888,Orders!$N$5:$N$1004,0)),""))</f>
        <v/>
      </c>
      <c r="I888" s="156" t="str">
        <f t="array" ref="I888">IF($A888="","",IFERROR(INDEX(Orders!$P$5:$P$1004,MATCH($A888,Orders!$N$5:$N$1004,0)),""))</f>
        <v/>
      </c>
      <c r="J888" s="157" t="str">
        <f t="shared" si="1"/>
        <v/>
      </c>
      <c r="K888" s="153" t="str">
        <f t="array" ref="K888">IF($A888="","",IFERROR(INDEX(Sales!$M:$M,MATCH($A888,Sales!$E:$E,0)),""))</f>
        <v/>
      </c>
      <c r="L888" s="158" t="str">
        <f t="shared" si="2"/>
        <v/>
      </c>
      <c r="N888" s="49" t="str">
        <f t="array" ref="N888">IFERROR(INDEX(Sales!$E$7:$E$1506,MATCH(ROW()-4,Sales!$V$7:$V$1506,0)),"")</f>
        <v/>
      </c>
      <c r="O888" s="67"/>
      <c r="P888" s="67"/>
    </row>
    <row r="889" ht="15.0" customHeight="1">
      <c r="A889" s="151" t="str">
        <f t="array" ref="A889">IFERROR(INDEX(Sales!$E$7:$E$1506,MATCH(ROW()-4,Sales!$W$7:$W$1506,0)),"")</f>
        <v/>
      </c>
      <c r="B889" s="152" t="str">
        <f t="array" ref="B889">IF($A889="","",IFERROR(INDEX(Sales!$A:$A,MATCH($A889,Sales!$E:$E,0)),""))</f>
        <v/>
      </c>
      <c r="C889" s="153" t="str">
        <f t="array" ref="C889">IF($A889="","",IFERROR(INDEX(Sales!$D:$D,MATCH($A889,Sales!$E:$E,0)),""))</f>
        <v/>
      </c>
      <c r="D889" s="153" t="str">
        <f t="array" ref="D889">IF($A889="","",IFERROR(INDEX(Sales!$C:$C,MATCH($A889,Sales!$E:$E,0)),""))</f>
        <v/>
      </c>
      <c r="E889" s="154" t="str">
        <f>IF($A889="","",SUMIFS(Sales!$H:$H,Sales!$E:$E,$A889,Sales!$B:$B,"&lt;&gt;Return"))</f>
        <v/>
      </c>
      <c r="F889" s="155" t="str">
        <f>IF($A889="","",SUMIF(Sales!$E:$E,$A889,Sales!$L:$L))</f>
        <v/>
      </c>
      <c r="G889" s="155" t="str">
        <f>IF($A889="","",SUMIF(Sales!$E:$E,$A889,Sales!$P:$P))</f>
        <v/>
      </c>
      <c r="H889" s="156" t="str">
        <f t="array" ref="H889">IF($A889="","",IFERROR(INDEX(Orders!$O$5:$O$1004,MATCH($A889,Orders!$N$5:$N$1004,0)),""))</f>
        <v/>
      </c>
      <c r="I889" s="156" t="str">
        <f t="array" ref="I889">IF($A889="","",IFERROR(INDEX(Orders!$P$5:$P$1004,MATCH($A889,Orders!$N$5:$N$1004,0)),""))</f>
        <v/>
      </c>
      <c r="J889" s="157" t="str">
        <f t="shared" si="1"/>
        <v/>
      </c>
      <c r="K889" s="153" t="str">
        <f t="array" ref="K889">IF($A889="","",IFERROR(INDEX(Sales!$M:$M,MATCH($A889,Sales!$E:$E,0)),""))</f>
        <v/>
      </c>
      <c r="L889" s="158" t="str">
        <f t="shared" si="2"/>
        <v/>
      </c>
      <c r="N889" s="49" t="str">
        <f t="array" ref="N889">IFERROR(INDEX(Sales!$E$7:$E$1506,MATCH(ROW()-4,Sales!$V$7:$V$1506,0)),"")</f>
        <v/>
      </c>
      <c r="O889" s="67"/>
      <c r="P889" s="67"/>
    </row>
    <row r="890" ht="15.0" customHeight="1">
      <c r="A890" s="151" t="str">
        <f t="array" ref="A890">IFERROR(INDEX(Sales!$E$7:$E$1506,MATCH(ROW()-4,Sales!$W$7:$W$1506,0)),"")</f>
        <v/>
      </c>
      <c r="B890" s="152" t="str">
        <f t="array" ref="B890">IF($A890="","",IFERROR(INDEX(Sales!$A:$A,MATCH($A890,Sales!$E:$E,0)),""))</f>
        <v/>
      </c>
      <c r="C890" s="153" t="str">
        <f t="array" ref="C890">IF($A890="","",IFERROR(INDEX(Sales!$D:$D,MATCH($A890,Sales!$E:$E,0)),""))</f>
        <v/>
      </c>
      <c r="D890" s="153" t="str">
        <f t="array" ref="D890">IF($A890="","",IFERROR(INDEX(Sales!$C:$C,MATCH($A890,Sales!$E:$E,0)),""))</f>
        <v/>
      </c>
      <c r="E890" s="154" t="str">
        <f>IF($A890="","",SUMIFS(Sales!$H:$H,Sales!$E:$E,$A890,Sales!$B:$B,"&lt;&gt;Return"))</f>
        <v/>
      </c>
      <c r="F890" s="155" t="str">
        <f>IF($A890="","",SUMIF(Sales!$E:$E,$A890,Sales!$L:$L))</f>
        <v/>
      </c>
      <c r="G890" s="155" t="str">
        <f>IF($A890="","",SUMIF(Sales!$E:$E,$A890,Sales!$P:$P))</f>
        <v/>
      </c>
      <c r="H890" s="156" t="str">
        <f t="array" ref="H890">IF($A890="","",IFERROR(INDEX(Orders!$O$5:$O$1004,MATCH($A890,Orders!$N$5:$N$1004,0)),""))</f>
        <v/>
      </c>
      <c r="I890" s="156" t="str">
        <f t="array" ref="I890">IF($A890="","",IFERROR(INDEX(Orders!$P$5:$P$1004,MATCH($A890,Orders!$N$5:$N$1004,0)),""))</f>
        <v/>
      </c>
      <c r="J890" s="157" t="str">
        <f t="shared" si="1"/>
        <v/>
      </c>
      <c r="K890" s="153" t="str">
        <f t="array" ref="K890">IF($A890="","",IFERROR(INDEX(Sales!$M:$M,MATCH($A890,Sales!$E:$E,0)),""))</f>
        <v/>
      </c>
      <c r="L890" s="158" t="str">
        <f t="shared" si="2"/>
        <v/>
      </c>
      <c r="N890" s="49" t="str">
        <f t="array" ref="N890">IFERROR(INDEX(Sales!$E$7:$E$1506,MATCH(ROW()-4,Sales!$V$7:$V$1506,0)),"")</f>
        <v/>
      </c>
      <c r="O890" s="67"/>
      <c r="P890" s="67"/>
    </row>
    <row r="891" ht="15.0" customHeight="1">
      <c r="A891" s="151" t="str">
        <f t="array" ref="A891">IFERROR(INDEX(Sales!$E$7:$E$1506,MATCH(ROW()-4,Sales!$W$7:$W$1506,0)),"")</f>
        <v/>
      </c>
      <c r="B891" s="152" t="str">
        <f t="array" ref="B891">IF($A891="","",IFERROR(INDEX(Sales!$A:$A,MATCH($A891,Sales!$E:$E,0)),""))</f>
        <v/>
      </c>
      <c r="C891" s="153" t="str">
        <f t="array" ref="C891">IF($A891="","",IFERROR(INDEX(Sales!$D:$D,MATCH($A891,Sales!$E:$E,0)),""))</f>
        <v/>
      </c>
      <c r="D891" s="153" t="str">
        <f t="array" ref="D891">IF($A891="","",IFERROR(INDEX(Sales!$C:$C,MATCH($A891,Sales!$E:$E,0)),""))</f>
        <v/>
      </c>
      <c r="E891" s="154" t="str">
        <f>IF($A891="","",SUMIFS(Sales!$H:$H,Sales!$E:$E,$A891,Sales!$B:$B,"&lt;&gt;Return"))</f>
        <v/>
      </c>
      <c r="F891" s="155" t="str">
        <f>IF($A891="","",SUMIF(Sales!$E:$E,$A891,Sales!$L:$L))</f>
        <v/>
      </c>
      <c r="G891" s="155" t="str">
        <f>IF($A891="","",SUMIF(Sales!$E:$E,$A891,Sales!$P:$P))</f>
        <v/>
      </c>
      <c r="H891" s="156" t="str">
        <f t="array" ref="H891">IF($A891="","",IFERROR(INDEX(Orders!$O$5:$O$1004,MATCH($A891,Orders!$N$5:$N$1004,0)),""))</f>
        <v/>
      </c>
      <c r="I891" s="156" t="str">
        <f t="array" ref="I891">IF($A891="","",IFERROR(INDEX(Orders!$P$5:$P$1004,MATCH($A891,Orders!$N$5:$N$1004,0)),""))</f>
        <v/>
      </c>
      <c r="J891" s="157" t="str">
        <f t="shared" si="1"/>
        <v/>
      </c>
      <c r="K891" s="153" t="str">
        <f t="array" ref="K891">IF($A891="","",IFERROR(INDEX(Sales!$M:$M,MATCH($A891,Sales!$E:$E,0)),""))</f>
        <v/>
      </c>
      <c r="L891" s="158" t="str">
        <f t="shared" si="2"/>
        <v/>
      </c>
      <c r="N891" s="49" t="str">
        <f t="array" ref="N891">IFERROR(INDEX(Sales!$E$7:$E$1506,MATCH(ROW()-4,Sales!$V$7:$V$1506,0)),"")</f>
        <v/>
      </c>
      <c r="O891" s="67"/>
      <c r="P891" s="67"/>
    </row>
    <row r="892" ht="15.0" customHeight="1">
      <c r="A892" s="151" t="str">
        <f t="array" ref="A892">IFERROR(INDEX(Sales!$E$7:$E$1506,MATCH(ROW()-4,Sales!$W$7:$W$1506,0)),"")</f>
        <v/>
      </c>
      <c r="B892" s="152" t="str">
        <f t="array" ref="B892">IF($A892="","",IFERROR(INDEX(Sales!$A:$A,MATCH($A892,Sales!$E:$E,0)),""))</f>
        <v/>
      </c>
      <c r="C892" s="153" t="str">
        <f t="array" ref="C892">IF($A892="","",IFERROR(INDEX(Sales!$D:$D,MATCH($A892,Sales!$E:$E,0)),""))</f>
        <v/>
      </c>
      <c r="D892" s="153" t="str">
        <f t="array" ref="D892">IF($A892="","",IFERROR(INDEX(Sales!$C:$C,MATCH($A892,Sales!$E:$E,0)),""))</f>
        <v/>
      </c>
      <c r="E892" s="154" t="str">
        <f>IF($A892="","",SUMIFS(Sales!$H:$H,Sales!$E:$E,$A892,Sales!$B:$B,"&lt;&gt;Return"))</f>
        <v/>
      </c>
      <c r="F892" s="155" t="str">
        <f>IF($A892="","",SUMIF(Sales!$E:$E,$A892,Sales!$L:$L))</f>
        <v/>
      </c>
      <c r="G892" s="155" t="str">
        <f>IF($A892="","",SUMIF(Sales!$E:$E,$A892,Sales!$P:$P))</f>
        <v/>
      </c>
      <c r="H892" s="156" t="str">
        <f t="array" ref="H892">IF($A892="","",IFERROR(INDEX(Orders!$O$5:$O$1004,MATCH($A892,Orders!$N$5:$N$1004,0)),""))</f>
        <v/>
      </c>
      <c r="I892" s="156" t="str">
        <f t="array" ref="I892">IF($A892="","",IFERROR(INDEX(Orders!$P$5:$P$1004,MATCH($A892,Orders!$N$5:$N$1004,0)),""))</f>
        <v/>
      </c>
      <c r="J892" s="157" t="str">
        <f t="shared" si="1"/>
        <v/>
      </c>
      <c r="K892" s="153" t="str">
        <f t="array" ref="K892">IF($A892="","",IFERROR(INDEX(Sales!$M:$M,MATCH($A892,Sales!$E:$E,0)),""))</f>
        <v/>
      </c>
      <c r="L892" s="158" t="str">
        <f t="shared" si="2"/>
        <v/>
      </c>
      <c r="N892" s="49" t="str">
        <f t="array" ref="N892">IFERROR(INDEX(Sales!$E$7:$E$1506,MATCH(ROW()-4,Sales!$V$7:$V$1506,0)),"")</f>
        <v/>
      </c>
      <c r="O892" s="67"/>
      <c r="P892" s="67"/>
    </row>
    <row r="893" ht="15.0" customHeight="1">
      <c r="A893" s="151" t="str">
        <f t="array" ref="A893">IFERROR(INDEX(Sales!$E$7:$E$1506,MATCH(ROW()-4,Sales!$W$7:$W$1506,0)),"")</f>
        <v/>
      </c>
      <c r="B893" s="152" t="str">
        <f t="array" ref="B893">IF($A893="","",IFERROR(INDEX(Sales!$A:$A,MATCH($A893,Sales!$E:$E,0)),""))</f>
        <v/>
      </c>
      <c r="C893" s="153" t="str">
        <f t="array" ref="C893">IF($A893="","",IFERROR(INDEX(Sales!$D:$D,MATCH($A893,Sales!$E:$E,0)),""))</f>
        <v/>
      </c>
      <c r="D893" s="153" t="str">
        <f t="array" ref="D893">IF($A893="","",IFERROR(INDEX(Sales!$C:$C,MATCH($A893,Sales!$E:$E,0)),""))</f>
        <v/>
      </c>
      <c r="E893" s="154" t="str">
        <f>IF($A893="","",SUMIFS(Sales!$H:$H,Sales!$E:$E,$A893,Sales!$B:$B,"&lt;&gt;Return"))</f>
        <v/>
      </c>
      <c r="F893" s="155" t="str">
        <f>IF($A893="","",SUMIF(Sales!$E:$E,$A893,Sales!$L:$L))</f>
        <v/>
      </c>
      <c r="G893" s="155" t="str">
        <f>IF($A893="","",SUMIF(Sales!$E:$E,$A893,Sales!$P:$P))</f>
        <v/>
      </c>
      <c r="H893" s="156" t="str">
        <f t="array" ref="H893">IF($A893="","",IFERROR(INDEX(Orders!$O$5:$O$1004,MATCH($A893,Orders!$N$5:$N$1004,0)),""))</f>
        <v/>
      </c>
      <c r="I893" s="156" t="str">
        <f t="array" ref="I893">IF($A893="","",IFERROR(INDEX(Orders!$P$5:$P$1004,MATCH($A893,Orders!$N$5:$N$1004,0)),""))</f>
        <v/>
      </c>
      <c r="J893" s="157" t="str">
        <f t="shared" si="1"/>
        <v/>
      </c>
      <c r="K893" s="153" t="str">
        <f t="array" ref="K893">IF($A893="","",IFERROR(INDEX(Sales!$M:$M,MATCH($A893,Sales!$E:$E,0)),""))</f>
        <v/>
      </c>
      <c r="L893" s="158" t="str">
        <f t="shared" si="2"/>
        <v/>
      </c>
      <c r="N893" s="49" t="str">
        <f t="array" ref="N893">IFERROR(INDEX(Sales!$E$7:$E$1506,MATCH(ROW()-4,Sales!$V$7:$V$1506,0)),"")</f>
        <v/>
      </c>
      <c r="O893" s="67"/>
      <c r="P893" s="67"/>
    </row>
    <row r="894" ht="15.0" customHeight="1">
      <c r="A894" s="151" t="str">
        <f t="array" ref="A894">IFERROR(INDEX(Sales!$E$7:$E$1506,MATCH(ROW()-4,Sales!$W$7:$W$1506,0)),"")</f>
        <v/>
      </c>
      <c r="B894" s="152" t="str">
        <f t="array" ref="B894">IF($A894="","",IFERROR(INDEX(Sales!$A:$A,MATCH($A894,Sales!$E:$E,0)),""))</f>
        <v/>
      </c>
      <c r="C894" s="153" t="str">
        <f t="array" ref="C894">IF($A894="","",IFERROR(INDEX(Sales!$D:$D,MATCH($A894,Sales!$E:$E,0)),""))</f>
        <v/>
      </c>
      <c r="D894" s="153" t="str">
        <f t="array" ref="D894">IF($A894="","",IFERROR(INDEX(Sales!$C:$C,MATCH($A894,Sales!$E:$E,0)),""))</f>
        <v/>
      </c>
      <c r="E894" s="154" t="str">
        <f>IF($A894="","",SUMIFS(Sales!$H:$H,Sales!$E:$E,$A894,Sales!$B:$B,"&lt;&gt;Return"))</f>
        <v/>
      </c>
      <c r="F894" s="155" t="str">
        <f>IF($A894="","",SUMIF(Sales!$E:$E,$A894,Sales!$L:$L))</f>
        <v/>
      </c>
      <c r="G894" s="155" t="str">
        <f>IF($A894="","",SUMIF(Sales!$E:$E,$A894,Sales!$P:$P))</f>
        <v/>
      </c>
      <c r="H894" s="156" t="str">
        <f t="array" ref="H894">IF($A894="","",IFERROR(INDEX(Orders!$O$5:$O$1004,MATCH($A894,Orders!$N$5:$N$1004,0)),""))</f>
        <v/>
      </c>
      <c r="I894" s="156" t="str">
        <f t="array" ref="I894">IF($A894="","",IFERROR(INDEX(Orders!$P$5:$P$1004,MATCH($A894,Orders!$N$5:$N$1004,0)),""))</f>
        <v/>
      </c>
      <c r="J894" s="157" t="str">
        <f t="shared" si="1"/>
        <v/>
      </c>
      <c r="K894" s="153" t="str">
        <f t="array" ref="K894">IF($A894="","",IFERROR(INDEX(Sales!$M:$M,MATCH($A894,Sales!$E:$E,0)),""))</f>
        <v/>
      </c>
      <c r="L894" s="158" t="str">
        <f t="shared" si="2"/>
        <v/>
      </c>
      <c r="N894" s="49" t="str">
        <f t="array" ref="N894">IFERROR(INDEX(Sales!$E$7:$E$1506,MATCH(ROW()-4,Sales!$V$7:$V$1506,0)),"")</f>
        <v/>
      </c>
      <c r="O894" s="67"/>
      <c r="P894" s="67"/>
    </row>
    <row r="895" ht="15.0" customHeight="1">
      <c r="A895" s="151" t="str">
        <f t="array" ref="A895">IFERROR(INDEX(Sales!$E$7:$E$1506,MATCH(ROW()-4,Sales!$W$7:$W$1506,0)),"")</f>
        <v/>
      </c>
      <c r="B895" s="152" t="str">
        <f t="array" ref="B895">IF($A895="","",IFERROR(INDEX(Sales!$A:$A,MATCH($A895,Sales!$E:$E,0)),""))</f>
        <v/>
      </c>
      <c r="C895" s="153" t="str">
        <f t="array" ref="C895">IF($A895="","",IFERROR(INDEX(Sales!$D:$D,MATCH($A895,Sales!$E:$E,0)),""))</f>
        <v/>
      </c>
      <c r="D895" s="153" t="str">
        <f t="array" ref="D895">IF($A895="","",IFERROR(INDEX(Sales!$C:$C,MATCH($A895,Sales!$E:$E,0)),""))</f>
        <v/>
      </c>
      <c r="E895" s="154" t="str">
        <f>IF($A895="","",SUMIFS(Sales!$H:$H,Sales!$E:$E,$A895,Sales!$B:$B,"&lt;&gt;Return"))</f>
        <v/>
      </c>
      <c r="F895" s="155" t="str">
        <f>IF($A895="","",SUMIF(Sales!$E:$E,$A895,Sales!$L:$L))</f>
        <v/>
      </c>
      <c r="G895" s="155" t="str">
        <f>IF($A895="","",SUMIF(Sales!$E:$E,$A895,Sales!$P:$P))</f>
        <v/>
      </c>
      <c r="H895" s="156" t="str">
        <f t="array" ref="H895">IF($A895="","",IFERROR(INDEX(Orders!$O$5:$O$1004,MATCH($A895,Orders!$N$5:$N$1004,0)),""))</f>
        <v/>
      </c>
      <c r="I895" s="156" t="str">
        <f t="array" ref="I895">IF($A895="","",IFERROR(INDEX(Orders!$P$5:$P$1004,MATCH($A895,Orders!$N$5:$N$1004,0)),""))</f>
        <v/>
      </c>
      <c r="J895" s="157" t="str">
        <f t="shared" si="1"/>
        <v/>
      </c>
      <c r="K895" s="153" t="str">
        <f t="array" ref="K895">IF($A895="","",IFERROR(INDEX(Sales!$M:$M,MATCH($A895,Sales!$E:$E,0)),""))</f>
        <v/>
      </c>
      <c r="L895" s="158" t="str">
        <f t="shared" si="2"/>
        <v/>
      </c>
      <c r="N895" s="49" t="str">
        <f t="array" ref="N895">IFERROR(INDEX(Sales!$E$7:$E$1506,MATCH(ROW()-4,Sales!$V$7:$V$1506,0)),"")</f>
        <v/>
      </c>
      <c r="O895" s="67"/>
      <c r="P895" s="67"/>
    </row>
    <row r="896" ht="15.0" customHeight="1">
      <c r="A896" s="151" t="str">
        <f t="array" ref="A896">IFERROR(INDEX(Sales!$E$7:$E$1506,MATCH(ROW()-4,Sales!$W$7:$W$1506,0)),"")</f>
        <v/>
      </c>
      <c r="B896" s="152" t="str">
        <f t="array" ref="B896">IF($A896="","",IFERROR(INDEX(Sales!$A:$A,MATCH($A896,Sales!$E:$E,0)),""))</f>
        <v/>
      </c>
      <c r="C896" s="153" t="str">
        <f t="array" ref="C896">IF($A896="","",IFERROR(INDEX(Sales!$D:$D,MATCH($A896,Sales!$E:$E,0)),""))</f>
        <v/>
      </c>
      <c r="D896" s="153" t="str">
        <f t="array" ref="D896">IF($A896="","",IFERROR(INDEX(Sales!$C:$C,MATCH($A896,Sales!$E:$E,0)),""))</f>
        <v/>
      </c>
      <c r="E896" s="154" t="str">
        <f>IF($A896="","",SUMIFS(Sales!$H:$H,Sales!$E:$E,$A896,Sales!$B:$B,"&lt;&gt;Return"))</f>
        <v/>
      </c>
      <c r="F896" s="155" t="str">
        <f>IF($A896="","",SUMIF(Sales!$E:$E,$A896,Sales!$L:$L))</f>
        <v/>
      </c>
      <c r="G896" s="155" t="str">
        <f>IF($A896="","",SUMIF(Sales!$E:$E,$A896,Sales!$P:$P))</f>
        <v/>
      </c>
      <c r="H896" s="156" t="str">
        <f t="array" ref="H896">IF($A896="","",IFERROR(INDEX(Orders!$O$5:$O$1004,MATCH($A896,Orders!$N$5:$N$1004,0)),""))</f>
        <v/>
      </c>
      <c r="I896" s="156" t="str">
        <f t="array" ref="I896">IF($A896="","",IFERROR(INDEX(Orders!$P$5:$P$1004,MATCH($A896,Orders!$N$5:$N$1004,0)),""))</f>
        <v/>
      </c>
      <c r="J896" s="157" t="str">
        <f t="shared" si="1"/>
        <v/>
      </c>
      <c r="K896" s="153" t="str">
        <f t="array" ref="K896">IF($A896="","",IFERROR(INDEX(Sales!$M:$M,MATCH($A896,Sales!$E:$E,0)),""))</f>
        <v/>
      </c>
      <c r="L896" s="158" t="str">
        <f t="shared" si="2"/>
        <v/>
      </c>
      <c r="N896" s="49" t="str">
        <f t="array" ref="N896">IFERROR(INDEX(Sales!$E$7:$E$1506,MATCH(ROW()-4,Sales!$V$7:$V$1506,0)),"")</f>
        <v/>
      </c>
      <c r="O896" s="67"/>
      <c r="P896" s="67"/>
    </row>
    <row r="897" ht="15.0" customHeight="1">
      <c r="A897" s="151" t="str">
        <f t="array" ref="A897">IFERROR(INDEX(Sales!$E$7:$E$1506,MATCH(ROW()-4,Sales!$W$7:$W$1506,0)),"")</f>
        <v/>
      </c>
      <c r="B897" s="152" t="str">
        <f t="array" ref="B897">IF($A897="","",IFERROR(INDEX(Sales!$A:$A,MATCH($A897,Sales!$E:$E,0)),""))</f>
        <v/>
      </c>
      <c r="C897" s="153" t="str">
        <f t="array" ref="C897">IF($A897="","",IFERROR(INDEX(Sales!$D:$D,MATCH($A897,Sales!$E:$E,0)),""))</f>
        <v/>
      </c>
      <c r="D897" s="153" t="str">
        <f t="array" ref="D897">IF($A897="","",IFERROR(INDEX(Sales!$C:$C,MATCH($A897,Sales!$E:$E,0)),""))</f>
        <v/>
      </c>
      <c r="E897" s="154" t="str">
        <f>IF($A897="","",SUMIFS(Sales!$H:$H,Sales!$E:$E,$A897,Sales!$B:$B,"&lt;&gt;Return"))</f>
        <v/>
      </c>
      <c r="F897" s="155" t="str">
        <f>IF($A897="","",SUMIF(Sales!$E:$E,$A897,Sales!$L:$L))</f>
        <v/>
      </c>
      <c r="G897" s="155" t="str">
        <f>IF($A897="","",SUMIF(Sales!$E:$E,$A897,Sales!$P:$P))</f>
        <v/>
      </c>
      <c r="H897" s="156" t="str">
        <f t="array" ref="H897">IF($A897="","",IFERROR(INDEX(Orders!$O$5:$O$1004,MATCH($A897,Orders!$N$5:$N$1004,0)),""))</f>
        <v/>
      </c>
      <c r="I897" s="156" t="str">
        <f t="array" ref="I897">IF($A897="","",IFERROR(INDEX(Orders!$P$5:$P$1004,MATCH($A897,Orders!$N$5:$N$1004,0)),""))</f>
        <v/>
      </c>
      <c r="J897" s="157" t="str">
        <f t="shared" si="1"/>
        <v/>
      </c>
      <c r="K897" s="153" t="str">
        <f t="array" ref="K897">IF($A897="","",IFERROR(INDEX(Sales!$M:$M,MATCH($A897,Sales!$E:$E,0)),""))</f>
        <v/>
      </c>
      <c r="L897" s="158" t="str">
        <f t="shared" si="2"/>
        <v/>
      </c>
      <c r="N897" s="49" t="str">
        <f t="array" ref="N897">IFERROR(INDEX(Sales!$E$7:$E$1506,MATCH(ROW()-4,Sales!$V$7:$V$1506,0)),"")</f>
        <v/>
      </c>
      <c r="O897" s="67"/>
      <c r="P897" s="67"/>
    </row>
    <row r="898" ht="15.0" customHeight="1">
      <c r="A898" s="151" t="str">
        <f t="array" ref="A898">IFERROR(INDEX(Sales!$E$7:$E$1506,MATCH(ROW()-4,Sales!$W$7:$W$1506,0)),"")</f>
        <v/>
      </c>
      <c r="B898" s="152" t="str">
        <f t="array" ref="B898">IF($A898="","",IFERROR(INDEX(Sales!$A:$A,MATCH($A898,Sales!$E:$E,0)),""))</f>
        <v/>
      </c>
      <c r="C898" s="153" t="str">
        <f t="array" ref="C898">IF($A898="","",IFERROR(INDEX(Sales!$D:$D,MATCH($A898,Sales!$E:$E,0)),""))</f>
        <v/>
      </c>
      <c r="D898" s="153" t="str">
        <f t="array" ref="D898">IF($A898="","",IFERROR(INDEX(Sales!$C:$C,MATCH($A898,Sales!$E:$E,0)),""))</f>
        <v/>
      </c>
      <c r="E898" s="154" t="str">
        <f>IF($A898="","",SUMIFS(Sales!$H:$H,Sales!$E:$E,$A898,Sales!$B:$B,"&lt;&gt;Return"))</f>
        <v/>
      </c>
      <c r="F898" s="155" t="str">
        <f>IF($A898="","",SUMIF(Sales!$E:$E,$A898,Sales!$L:$L))</f>
        <v/>
      </c>
      <c r="G898" s="155" t="str">
        <f>IF($A898="","",SUMIF(Sales!$E:$E,$A898,Sales!$P:$P))</f>
        <v/>
      </c>
      <c r="H898" s="156" t="str">
        <f t="array" ref="H898">IF($A898="","",IFERROR(INDEX(Orders!$O$5:$O$1004,MATCH($A898,Orders!$N$5:$N$1004,0)),""))</f>
        <v/>
      </c>
      <c r="I898" s="156" t="str">
        <f t="array" ref="I898">IF($A898="","",IFERROR(INDEX(Orders!$P$5:$P$1004,MATCH($A898,Orders!$N$5:$N$1004,0)),""))</f>
        <v/>
      </c>
      <c r="J898" s="157" t="str">
        <f t="shared" si="1"/>
        <v/>
      </c>
      <c r="K898" s="153" t="str">
        <f t="array" ref="K898">IF($A898="","",IFERROR(INDEX(Sales!$M:$M,MATCH($A898,Sales!$E:$E,0)),""))</f>
        <v/>
      </c>
      <c r="L898" s="158" t="str">
        <f t="shared" si="2"/>
        <v/>
      </c>
      <c r="N898" s="49" t="str">
        <f t="array" ref="N898">IFERROR(INDEX(Sales!$E$7:$E$1506,MATCH(ROW()-4,Sales!$V$7:$V$1506,0)),"")</f>
        <v/>
      </c>
      <c r="O898" s="67"/>
      <c r="P898" s="67"/>
    </row>
    <row r="899" ht="15.0" customHeight="1">
      <c r="A899" s="151" t="str">
        <f t="array" ref="A899">IFERROR(INDEX(Sales!$E$7:$E$1506,MATCH(ROW()-4,Sales!$W$7:$W$1506,0)),"")</f>
        <v/>
      </c>
      <c r="B899" s="152" t="str">
        <f t="array" ref="B899">IF($A899="","",IFERROR(INDEX(Sales!$A:$A,MATCH($A899,Sales!$E:$E,0)),""))</f>
        <v/>
      </c>
      <c r="C899" s="153" t="str">
        <f t="array" ref="C899">IF($A899="","",IFERROR(INDEX(Sales!$D:$D,MATCH($A899,Sales!$E:$E,0)),""))</f>
        <v/>
      </c>
      <c r="D899" s="153" t="str">
        <f t="array" ref="D899">IF($A899="","",IFERROR(INDEX(Sales!$C:$C,MATCH($A899,Sales!$E:$E,0)),""))</f>
        <v/>
      </c>
      <c r="E899" s="154" t="str">
        <f>IF($A899="","",SUMIFS(Sales!$H:$H,Sales!$E:$E,$A899,Sales!$B:$B,"&lt;&gt;Return"))</f>
        <v/>
      </c>
      <c r="F899" s="155" t="str">
        <f>IF($A899="","",SUMIF(Sales!$E:$E,$A899,Sales!$L:$L))</f>
        <v/>
      </c>
      <c r="G899" s="155" t="str">
        <f>IF($A899="","",SUMIF(Sales!$E:$E,$A899,Sales!$P:$P))</f>
        <v/>
      </c>
      <c r="H899" s="156" t="str">
        <f t="array" ref="H899">IF($A899="","",IFERROR(INDEX(Orders!$O$5:$O$1004,MATCH($A899,Orders!$N$5:$N$1004,0)),""))</f>
        <v/>
      </c>
      <c r="I899" s="156" t="str">
        <f t="array" ref="I899">IF($A899="","",IFERROR(INDEX(Orders!$P$5:$P$1004,MATCH($A899,Orders!$N$5:$N$1004,0)),""))</f>
        <v/>
      </c>
      <c r="J899" s="157" t="str">
        <f t="shared" si="1"/>
        <v/>
      </c>
      <c r="K899" s="153" t="str">
        <f t="array" ref="K899">IF($A899="","",IFERROR(INDEX(Sales!$M:$M,MATCH($A899,Sales!$E:$E,0)),""))</f>
        <v/>
      </c>
      <c r="L899" s="158" t="str">
        <f t="shared" si="2"/>
        <v/>
      </c>
      <c r="N899" s="49" t="str">
        <f t="array" ref="N899">IFERROR(INDEX(Sales!$E$7:$E$1506,MATCH(ROW()-4,Sales!$V$7:$V$1506,0)),"")</f>
        <v/>
      </c>
      <c r="O899" s="67"/>
      <c r="P899" s="67"/>
    </row>
    <row r="900" ht="15.0" customHeight="1">
      <c r="A900" s="151" t="str">
        <f t="array" ref="A900">IFERROR(INDEX(Sales!$E$7:$E$1506,MATCH(ROW()-4,Sales!$W$7:$W$1506,0)),"")</f>
        <v/>
      </c>
      <c r="B900" s="152" t="str">
        <f t="array" ref="B900">IF($A900="","",IFERROR(INDEX(Sales!$A:$A,MATCH($A900,Sales!$E:$E,0)),""))</f>
        <v/>
      </c>
      <c r="C900" s="153" t="str">
        <f t="array" ref="C900">IF($A900="","",IFERROR(INDEX(Sales!$D:$D,MATCH($A900,Sales!$E:$E,0)),""))</f>
        <v/>
      </c>
      <c r="D900" s="153" t="str">
        <f t="array" ref="D900">IF($A900="","",IFERROR(INDEX(Sales!$C:$C,MATCH($A900,Sales!$E:$E,0)),""))</f>
        <v/>
      </c>
      <c r="E900" s="154" t="str">
        <f>IF($A900="","",SUMIFS(Sales!$H:$H,Sales!$E:$E,$A900,Sales!$B:$B,"&lt;&gt;Return"))</f>
        <v/>
      </c>
      <c r="F900" s="155" t="str">
        <f>IF($A900="","",SUMIF(Sales!$E:$E,$A900,Sales!$L:$L))</f>
        <v/>
      </c>
      <c r="G900" s="155" t="str">
        <f>IF($A900="","",SUMIF(Sales!$E:$E,$A900,Sales!$P:$P))</f>
        <v/>
      </c>
      <c r="H900" s="156" t="str">
        <f t="array" ref="H900">IF($A900="","",IFERROR(INDEX(Orders!$O$5:$O$1004,MATCH($A900,Orders!$N$5:$N$1004,0)),""))</f>
        <v/>
      </c>
      <c r="I900" s="156" t="str">
        <f t="array" ref="I900">IF($A900="","",IFERROR(INDEX(Orders!$P$5:$P$1004,MATCH($A900,Orders!$N$5:$N$1004,0)),""))</f>
        <v/>
      </c>
      <c r="J900" s="157" t="str">
        <f t="shared" si="1"/>
        <v/>
      </c>
      <c r="K900" s="153" t="str">
        <f t="array" ref="K900">IF($A900="","",IFERROR(INDEX(Sales!$M:$M,MATCH($A900,Sales!$E:$E,0)),""))</f>
        <v/>
      </c>
      <c r="L900" s="158" t="str">
        <f t="shared" si="2"/>
        <v/>
      </c>
      <c r="N900" s="49" t="str">
        <f t="array" ref="N900">IFERROR(INDEX(Sales!$E$7:$E$1506,MATCH(ROW()-4,Sales!$V$7:$V$1506,0)),"")</f>
        <v/>
      </c>
      <c r="O900" s="67"/>
      <c r="P900" s="67"/>
    </row>
    <row r="901" ht="15.0" customHeight="1">
      <c r="A901" s="151" t="str">
        <f t="array" ref="A901">IFERROR(INDEX(Sales!$E$7:$E$1506,MATCH(ROW()-4,Sales!$W$7:$W$1506,0)),"")</f>
        <v/>
      </c>
      <c r="B901" s="152" t="str">
        <f t="array" ref="B901">IF($A901="","",IFERROR(INDEX(Sales!$A:$A,MATCH($A901,Sales!$E:$E,0)),""))</f>
        <v/>
      </c>
      <c r="C901" s="153" t="str">
        <f t="array" ref="C901">IF($A901="","",IFERROR(INDEX(Sales!$D:$D,MATCH($A901,Sales!$E:$E,0)),""))</f>
        <v/>
      </c>
      <c r="D901" s="153" t="str">
        <f t="array" ref="D901">IF($A901="","",IFERROR(INDEX(Sales!$C:$C,MATCH($A901,Sales!$E:$E,0)),""))</f>
        <v/>
      </c>
      <c r="E901" s="154" t="str">
        <f>IF($A901="","",SUMIFS(Sales!$H:$H,Sales!$E:$E,$A901,Sales!$B:$B,"&lt;&gt;Return"))</f>
        <v/>
      </c>
      <c r="F901" s="155" t="str">
        <f>IF($A901="","",SUMIF(Sales!$E:$E,$A901,Sales!$L:$L))</f>
        <v/>
      </c>
      <c r="G901" s="155" t="str">
        <f>IF($A901="","",SUMIF(Sales!$E:$E,$A901,Sales!$P:$P))</f>
        <v/>
      </c>
      <c r="H901" s="156" t="str">
        <f t="array" ref="H901">IF($A901="","",IFERROR(INDEX(Orders!$O$5:$O$1004,MATCH($A901,Orders!$N$5:$N$1004,0)),""))</f>
        <v/>
      </c>
      <c r="I901" s="156" t="str">
        <f t="array" ref="I901">IF($A901="","",IFERROR(INDEX(Orders!$P$5:$P$1004,MATCH($A901,Orders!$N$5:$N$1004,0)),""))</f>
        <v/>
      </c>
      <c r="J901" s="157" t="str">
        <f t="shared" si="1"/>
        <v/>
      </c>
      <c r="K901" s="153" t="str">
        <f t="array" ref="K901">IF($A901="","",IFERROR(INDEX(Sales!$M:$M,MATCH($A901,Sales!$E:$E,0)),""))</f>
        <v/>
      </c>
      <c r="L901" s="158" t="str">
        <f t="shared" si="2"/>
        <v/>
      </c>
      <c r="N901" s="49" t="str">
        <f t="array" ref="N901">IFERROR(INDEX(Sales!$E$7:$E$1506,MATCH(ROW()-4,Sales!$V$7:$V$1506,0)),"")</f>
        <v/>
      </c>
      <c r="O901" s="67"/>
      <c r="P901" s="67"/>
    </row>
    <row r="902" ht="15.0" customHeight="1">
      <c r="A902" s="151" t="str">
        <f t="array" ref="A902">IFERROR(INDEX(Sales!$E$7:$E$1506,MATCH(ROW()-4,Sales!$W$7:$W$1506,0)),"")</f>
        <v/>
      </c>
      <c r="B902" s="152" t="str">
        <f t="array" ref="B902">IF($A902="","",IFERROR(INDEX(Sales!$A:$A,MATCH($A902,Sales!$E:$E,0)),""))</f>
        <v/>
      </c>
      <c r="C902" s="153" t="str">
        <f t="array" ref="C902">IF($A902="","",IFERROR(INDEX(Sales!$D:$D,MATCH($A902,Sales!$E:$E,0)),""))</f>
        <v/>
      </c>
      <c r="D902" s="153" t="str">
        <f t="array" ref="D902">IF($A902="","",IFERROR(INDEX(Sales!$C:$C,MATCH($A902,Sales!$E:$E,0)),""))</f>
        <v/>
      </c>
      <c r="E902" s="154" t="str">
        <f>IF($A902="","",SUMIFS(Sales!$H:$H,Sales!$E:$E,$A902,Sales!$B:$B,"&lt;&gt;Return"))</f>
        <v/>
      </c>
      <c r="F902" s="155" t="str">
        <f>IF($A902="","",SUMIF(Sales!$E:$E,$A902,Sales!$L:$L))</f>
        <v/>
      </c>
      <c r="G902" s="155" t="str">
        <f>IF($A902="","",SUMIF(Sales!$E:$E,$A902,Sales!$P:$P))</f>
        <v/>
      </c>
      <c r="H902" s="156" t="str">
        <f t="array" ref="H902">IF($A902="","",IFERROR(INDEX(Orders!$O$5:$O$1004,MATCH($A902,Orders!$N$5:$N$1004,0)),""))</f>
        <v/>
      </c>
      <c r="I902" s="156" t="str">
        <f t="array" ref="I902">IF($A902="","",IFERROR(INDEX(Orders!$P$5:$P$1004,MATCH($A902,Orders!$N$5:$N$1004,0)),""))</f>
        <v/>
      </c>
      <c r="J902" s="157" t="str">
        <f t="shared" si="1"/>
        <v/>
      </c>
      <c r="K902" s="153" t="str">
        <f t="array" ref="K902">IF($A902="","",IFERROR(INDEX(Sales!$M:$M,MATCH($A902,Sales!$E:$E,0)),""))</f>
        <v/>
      </c>
      <c r="L902" s="158" t="str">
        <f t="shared" si="2"/>
        <v/>
      </c>
      <c r="N902" s="49" t="str">
        <f t="array" ref="N902">IFERROR(INDEX(Sales!$E$7:$E$1506,MATCH(ROW()-4,Sales!$V$7:$V$1506,0)),"")</f>
        <v/>
      </c>
      <c r="O902" s="67"/>
      <c r="P902" s="67"/>
    </row>
    <row r="903" ht="15.0" customHeight="1">
      <c r="A903" s="151" t="str">
        <f t="array" ref="A903">IFERROR(INDEX(Sales!$E$7:$E$1506,MATCH(ROW()-4,Sales!$W$7:$W$1506,0)),"")</f>
        <v/>
      </c>
      <c r="B903" s="152" t="str">
        <f t="array" ref="B903">IF($A903="","",IFERROR(INDEX(Sales!$A:$A,MATCH($A903,Sales!$E:$E,0)),""))</f>
        <v/>
      </c>
      <c r="C903" s="153" t="str">
        <f t="array" ref="C903">IF($A903="","",IFERROR(INDEX(Sales!$D:$D,MATCH($A903,Sales!$E:$E,0)),""))</f>
        <v/>
      </c>
      <c r="D903" s="153" t="str">
        <f t="array" ref="D903">IF($A903="","",IFERROR(INDEX(Sales!$C:$C,MATCH($A903,Sales!$E:$E,0)),""))</f>
        <v/>
      </c>
      <c r="E903" s="154" t="str">
        <f>IF($A903="","",SUMIFS(Sales!$H:$H,Sales!$E:$E,$A903,Sales!$B:$B,"&lt;&gt;Return"))</f>
        <v/>
      </c>
      <c r="F903" s="155" t="str">
        <f>IF($A903="","",SUMIF(Sales!$E:$E,$A903,Sales!$L:$L))</f>
        <v/>
      </c>
      <c r="G903" s="155" t="str">
        <f>IF($A903="","",SUMIF(Sales!$E:$E,$A903,Sales!$P:$P))</f>
        <v/>
      </c>
      <c r="H903" s="156" t="str">
        <f t="array" ref="H903">IF($A903="","",IFERROR(INDEX(Orders!$O$5:$O$1004,MATCH($A903,Orders!$N$5:$N$1004,0)),""))</f>
        <v/>
      </c>
      <c r="I903" s="156" t="str">
        <f t="array" ref="I903">IF($A903="","",IFERROR(INDEX(Orders!$P$5:$P$1004,MATCH($A903,Orders!$N$5:$N$1004,0)),""))</f>
        <v/>
      </c>
      <c r="J903" s="157" t="str">
        <f t="shared" si="1"/>
        <v/>
      </c>
      <c r="K903" s="153" t="str">
        <f t="array" ref="K903">IF($A903="","",IFERROR(INDEX(Sales!$M:$M,MATCH($A903,Sales!$E:$E,0)),""))</f>
        <v/>
      </c>
      <c r="L903" s="158" t="str">
        <f t="shared" si="2"/>
        <v/>
      </c>
      <c r="N903" s="49" t="str">
        <f t="array" ref="N903">IFERROR(INDEX(Sales!$E$7:$E$1506,MATCH(ROW()-4,Sales!$V$7:$V$1506,0)),"")</f>
        <v/>
      </c>
      <c r="O903" s="67"/>
      <c r="P903" s="67"/>
    </row>
    <row r="904" ht="15.0" customHeight="1">
      <c r="A904" s="151" t="str">
        <f t="array" ref="A904">IFERROR(INDEX(Sales!$E$7:$E$1506,MATCH(ROW()-4,Sales!$W$7:$W$1506,0)),"")</f>
        <v/>
      </c>
      <c r="B904" s="152" t="str">
        <f t="array" ref="B904">IF($A904="","",IFERROR(INDEX(Sales!$A:$A,MATCH($A904,Sales!$E:$E,0)),""))</f>
        <v/>
      </c>
      <c r="C904" s="153" t="str">
        <f t="array" ref="C904">IF($A904="","",IFERROR(INDEX(Sales!$D:$D,MATCH($A904,Sales!$E:$E,0)),""))</f>
        <v/>
      </c>
      <c r="D904" s="153" t="str">
        <f t="array" ref="D904">IF($A904="","",IFERROR(INDEX(Sales!$C:$C,MATCH($A904,Sales!$E:$E,0)),""))</f>
        <v/>
      </c>
      <c r="E904" s="154" t="str">
        <f>IF($A904="","",SUMIFS(Sales!$H:$H,Sales!$E:$E,$A904,Sales!$B:$B,"&lt;&gt;Return"))</f>
        <v/>
      </c>
      <c r="F904" s="155" t="str">
        <f>IF($A904="","",SUMIF(Sales!$E:$E,$A904,Sales!$L:$L))</f>
        <v/>
      </c>
      <c r="G904" s="155" t="str">
        <f>IF($A904="","",SUMIF(Sales!$E:$E,$A904,Sales!$P:$P))</f>
        <v/>
      </c>
      <c r="H904" s="156" t="str">
        <f t="array" ref="H904">IF($A904="","",IFERROR(INDEX(Orders!$O$5:$O$1004,MATCH($A904,Orders!$N$5:$N$1004,0)),""))</f>
        <v/>
      </c>
      <c r="I904" s="156" t="str">
        <f t="array" ref="I904">IF($A904="","",IFERROR(INDEX(Orders!$P$5:$P$1004,MATCH($A904,Orders!$N$5:$N$1004,0)),""))</f>
        <v/>
      </c>
      <c r="J904" s="157" t="str">
        <f t="shared" si="1"/>
        <v/>
      </c>
      <c r="K904" s="153" t="str">
        <f t="array" ref="K904">IF($A904="","",IFERROR(INDEX(Sales!$M:$M,MATCH($A904,Sales!$E:$E,0)),""))</f>
        <v/>
      </c>
      <c r="L904" s="158" t="str">
        <f t="shared" si="2"/>
        <v/>
      </c>
      <c r="N904" s="49" t="str">
        <f t="array" ref="N904">IFERROR(INDEX(Sales!$E$7:$E$1506,MATCH(ROW()-4,Sales!$V$7:$V$1506,0)),"")</f>
        <v/>
      </c>
      <c r="O904" s="67"/>
      <c r="P904" s="67"/>
    </row>
    <row r="905" ht="15.0" customHeight="1">
      <c r="A905" s="151" t="str">
        <f t="array" ref="A905">IFERROR(INDEX(Sales!$E$7:$E$1506,MATCH(ROW()-4,Sales!$W$7:$W$1506,0)),"")</f>
        <v/>
      </c>
      <c r="B905" s="152" t="str">
        <f t="array" ref="B905">IF($A905="","",IFERROR(INDEX(Sales!$A:$A,MATCH($A905,Sales!$E:$E,0)),""))</f>
        <v/>
      </c>
      <c r="C905" s="153" t="str">
        <f t="array" ref="C905">IF($A905="","",IFERROR(INDEX(Sales!$D:$D,MATCH($A905,Sales!$E:$E,0)),""))</f>
        <v/>
      </c>
      <c r="D905" s="153" t="str">
        <f t="array" ref="D905">IF($A905="","",IFERROR(INDEX(Sales!$C:$C,MATCH($A905,Sales!$E:$E,0)),""))</f>
        <v/>
      </c>
      <c r="E905" s="154" t="str">
        <f>IF($A905="","",SUMIFS(Sales!$H:$H,Sales!$E:$E,$A905,Sales!$B:$B,"&lt;&gt;Return"))</f>
        <v/>
      </c>
      <c r="F905" s="155" t="str">
        <f>IF($A905="","",SUMIF(Sales!$E:$E,$A905,Sales!$L:$L))</f>
        <v/>
      </c>
      <c r="G905" s="155" t="str">
        <f>IF($A905="","",SUMIF(Sales!$E:$E,$A905,Sales!$P:$P))</f>
        <v/>
      </c>
      <c r="H905" s="156" t="str">
        <f t="array" ref="H905">IF($A905="","",IFERROR(INDEX(Orders!$O$5:$O$1004,MATCH($A905,Orders!$N$5:$N$1004,0)),""))</f>
        <v/>
      </c>
      <c r="I905" s="156" t="str">
        <f t="array" ref="I905">IF($A905="","",IFERROR(INDEX(Orders!$P$5:$P$1004,MATCH($A905,Orders!$N$5:$N$1004,0)),""))</f>
        <v/>
      </c>
      <c r="J905" s="157" t="str">
        <f t="shared" si="1"/>
        <v/>
      </c>
      <c r="K905" s="153" t="str">
        <f t="array" ref="K905">IF($A905="","",IFERROR(INDEX(Sales!$M:$M,MATCH($A905,Sales!$E:$E,0)),""))</f>
        <v/>
      </c>
      <c r="L905" s="158" t="str">
        <f t="shared" si="2"/>
        <v/>
      </c>
      <c r="N905" s="49" t="str">
        <f t="array" ref="N905">IFERROR(INDEX(Sales!$E$7:$E$1506,MATCH(ROW()-4,Sales!$V$7:$V$1506,0)),"")</f>
        <v/>
      </c>
      <c r="O905" s="67"/>
      <c r="P905" s="67"/>
    </row>
    <row r="906" ht="15.0" customHeight="1">
      <c r="A906" s="151" t="str">
        <f t="array" ref="A906">IFERROR(INDEX(Sales!$E$7:$E$1506,MATCH(ROW()-4,Sales!$W$7:$W$1506,0)),"")</f>
        <v/>
      </c>
      <c r="B906" s="152" t="str">
        <f t="array" ref="B906">IF($A906="","",IFERROR(INDEX(Sales!$A:$A,MATCH($A906,Sales!$E:$E,0)),""))</f>
        <v/>
      </c>
      <c r="C906" s="153" t="str">
        <f t="array" ref="C906">IF($A906="","",IFERROR(INDEX(Sales!$D:$D,MATCH($A906,Sales!$E:$E,0)),""))</f>
        <v/>
      </c>
      <c r="D906" s="153" t="str">
        <f t="array" ref="D906">IF($A906="","",IFERROR(INDEX(Sales!$C:$C,MATCH($A906,Sales!$E:$E,0)),""))</f>
        <v/>
      </c>
      <c r="E906" s="154" t="str">
        <f>IF($A906="","",SUMIFS(Sales!$H:$H,Sales!$E:$E,$A906,Sales!$B:$B,"&lt;&gt;Return"))</f>
        <v/>
      </c>
      <c r="F906" s="155" t="str">
        <f>IF($A906="","",SUMIF(Sales!$E:$E,$A906,Sales!$L:$L))</f>
        <v/>
      </c>
      <c r="G906" s="155" t="str">
        <f>IF($A906="","",SUMIF(Sales!$E:$E,$A906,Sales!$P:$P))</f>
        <v/>
      </c>
      <c r="H906" s="156" t="str">
        <f t="array" ref="H906">IF($A906="","",IFERROR(INDEX(Orders!$O$5:$O$1004,MATCH($A906,Orders!$N$5:$N$1004,0)),""))</f>
        <v/>
      </c>
      <c r="I906" s="156" t="str">
        <f t="array" ref="I906">IF($A906="","",IFERROR(INDEX(Orders!$P$5:$P$1004,MATCH($A906,Orders!$N$5:$N$1004,0)),""))</f>
        <v/>
      </c>
      <c r="J906" s="157" t="str">
        <f t="shared" si="1"/>
        <v/>
      </c>
      <c r="K906" s="153" t="str">
        <f t="array" ref="K906">IF($A906="","",IFERROR(INDEX(Sales!$M:$M,MATCH($A906,Sales!$E:$E,0)),""))</f>
        <v/>
      </c>
      <c r="L906" s="158" t="str">
        <f t="shared" si="2"/>
        <v/>
      </c>
      <c r="N906" s="49" t="str">
        <f t="array" ref="N906">IFERROR(INDEX(Sales!$E$7:$E$1506,MATCH(ROW()-4,Sales!$V$7:$V$1506,0)),"")</f>
        <v/>
      </c>
      <c r="O906" s="67"/>
      <c r="P906" s="67"/>
    </row>
    <row r="907" ht="15.0" customHeight="1">
      <c r="A907" s="151" t="str">
        <f t="array" ref="A907">IFERROR(INDEX(Sales!$E$7:$E$1506,MATCH(ROW()-4,Sales!$W$7:$W$1506,0)),"")</f>
        <v/>
      </c>
      <c r="B907" s="152" t="str">
        <f t="array" ref="B907">IF($A907="","",IFERROR(INDEX(Sales!$A:$A,MATCH($A907,Sales!$E:$E,0)),""))</f>
        <v/>
      </c>
      <c r="C907" s="153" t="str">
        <f t="array" ref="C907">IF($A907="","",IFERROR(INDEX(Sales!$D:$D,MATCH($A907,Sales!$E:$E,0)),""))</f>
        <v/>
      </c>
      <c r="D907" s="153" t="str">
        <f t="array" ref="D907">IF($A907="","",IFERROR(INDEX(Sales!$C:$C,MATCH($A907,Sales!$E:$E,0)),""))</f>
        <v/>
      </c>
      <c r="E907" s="154" t="str">
        <f>IF($A907="","",SUMIFS(Sales!$H:$H,Sales!$E:$E,$A907,Sales!$B:$B,"&lt;&gt;Return"))</f>
        <v/>
      </c>
      <c r="F907" s="155" t="str">
        <f>IF($A907="","",SUMIF(Sales!$E:$E,$A907,Sales!$L:$L))</f>
        <v/>
      </c>
      <c r="G907" s="155" t="str">
        <f>IF($A907="","",SUMIF(Sales!$E:$E,$A907,Sales!$P:$P))</f>
        <v/>
      </c>
      <c r="H907" s="156" t="str">
        <f t="array" ref="H907">IF($A907="","",IFERROR(INDEX(Orders!$O$5:$O$1004,MATCH($A907,Orders!$N$5:$N$1004,0)),""))</f>
        <v/>
      </c>
      <c r="I907" s="156" t="str">
        <f t="array" ref="I907">IF($A907="","",IFERROR(INDEX(Orders!$P$5:$P$1004,MATCH($A907,Orders!$N$5:$N$1004,0)),""))</f>
        <v/>
      </c>
      <c r="J907" s="157" t="str">
        <f t="shared" si="1"/>
        <v/>
      </c>
      <c r="K907" s="153" t="str">
        <f t="array" ref="K907">IF($A907="","",IFERROR(INDEX(Sales!$M:$M,MATCH($A907,Sales!$E:$E,0)),""))</f>
        <v/>
      </c>
      <c r="L907" s="158" t="str">
        <f t="shared" si="2"/>
        <v/>
      </c>
      <c r="N907" s="49" t="str">
        <f t="array" ref="N907">IFERROR(INDEX(Sales!$E$7:$E$1506,MATCH(ROW()-4,Sales!$V$7:$V$1506,0)),"")</f>
        <v/>
      </c>
      <c r="O907" s="67"/>
      <c r="P907" s="67"/>
    </row>
    <row r="908" ht="15.0" customHeight="1">
      <c r="A908" s="151" t="str">
        <f t="array" ref="A908">IFERROR(INDEX(Sales!$E$7:$E$1506,MATCH(ROW()-4,Sales!$W$7:$W$1506,0)),"")</f>
        <v/>
      </c>
      <c r="B908" s="152" t="str">
        <f t="array" ref="B908">IF($A908="","",IFERROR(INDEX(Sales!$A:$A,MATCH($A908,Sales!$E:$E,0)),""))</f>
        <v/>
      </c>
      <c r="C908" s="153" t="str">
        <f t="array" ref="C908">IF($A908="","",IFERROR(INDEX(Sales!$D:$D,MATCH($A908,Sales!$E:$E,0)),""))</f>
        <v/>
      </c>
      <c r="D908" s="153" t="str">
        <f t="array" ref="D908">IF($A908="","",IFERROR(INDEX(Sales!$C:$C,MATCH($A908,Sales!$E:$E,0)),""))</f>
        <v/>
      </c>
      <c r="E908" s="154" t="str">
        <f>IF($A908="","",SUMIFS(Sales!$H:$H,Sales!$E:$E,$A908,Sales!$B:$B,"&lt;&gt;Return"))</f>
        <v/>
      </c>
      <c r="F908" s="155" t="str">
        <f>IF($A908="","",SUMIF(Sales!$E:$E,$A908,Sales!$L:$L))</f>
        <v/>
      </c>
      <c r="G908" s="155" t="str">
        <f>IF($A908="","",SUMIF(Sales!$E:$E,$A908,Sales!$P:$P))</f>
        <v/>
      </c>
      <c r="H908" s="156" t="str">
        <f t="array" ref="H908">IF($A908="","",IFERROR(INDEX(Orders!$O$5:$O$1004,MATCH($A908,Orders!$N$5:$N$1004,0)),""))</f>
        <v/>
      </c>
      <c r="I908" s="156" t="str">
        <f t="array" ref="I908">IF($A908="","",IFERROR(INDEX(Orders!$P$5:$P$1004,MATCH($A908,Orders!$N$5:$N$1004,0)),""))</f>
        <v/>
      </c>
      <c r="J908" s="157" t="str">
        <f t="shared" si="1"/>
        <v/>
      </c>
      <c r="K908" s="153" t="str">
        <f t="array" ref="K908">IF($A908="","",IFERROR(INDEX(Sales!$M:$M,MATCH($A908,Sales!$E:$E,0)),""))</f>
        <v/>
      </c>
      <c r="L908" s="158" t="str">
        <f t="shared" si="2"/>
        <v/>
      </c>
      <c r="N908" s="49" t="str">
        <f t="array" ref="N908">IFERROR(INDEX(Sales!$E$7:$E$1506,MATCH(ROW()-4,Sales!$V$7:$V$1506,0)),"")</f>
        <v/>
      </c>
      <c r="O908" s="67"/>
      <c r="P908" s="67"/>
    </row>
    <row r="909" ht="15.0" customHeight="1">
      <c r="A909" s="151" t="str">
        <f t="array" ref="A909">IFERROR(INDEX(Sales!$E$7:$E$1506,MATCH(ROW()-4,Sales!$W$7:$W$1506,0)),"")</f>
        <v/>
      </c>
      <c r="B909" s="152" t="str">
        <f t="array" ref="B909">IF($A909="","",IFERROR(INDEX(Sales!$A:$A,MATCH($A909,Sales!$E:$E,0)),""))</f>
        <v/>
      </c>
      <c r="C909" s="153" t="str">
        <f t="array" ref="C909">IF($A909="","",IFERROR(INDEX(Sales!$D:$D,MATCH($A909,Sales!$E:$E,0)),""))</f>
        <v/>
      </c>
      <c r="D909" s="153" t="str">
        <f t="array" ref="D909">IF($A909="","",IFERROR(INDEX(Sales!$C:$C,MATCH($A909,Sales!$E:$E,0)),""))</f>
        <v/>
      </c>
      <c r="E909" s="154" t="str">
        <f>IF($A909="","",SUMIFS(Sales!$H:$H,Sales!$E:$E,$A909,Sales!$B:$B,"&lt;&gt;Return"))</f>
        <v/>
      </c>
      <c r="F909" s="155" t="str">
        <f>IF($A909="","",SUMIF(Sales!$E:$E,$A909,Sales!$L:$L))</f>
        <v/>
      </c>
      <c r="G909" s="155" t="str">
        <f>IF($A909="","",SUMIF(Sales!$E:$E,$A909,Sales!$P:$P))</f>
        <v/>
      </c>
      <c r="H909" s="156" t="str">
        <f t="array" ref="H909">IF($A909="","",IFERROR(INDEX(Orders!$O$5:$O$1004,MATCH($A909,Orders!$N$5:$N$1004,0)),""))</f>
        <v/>
      </c>
      <c r="I909" s="156" t="str">
        <f t="array" ref="I909">IF($A909="","",IFERROR(INDEX(Orders!$P$5:$P$1004,MATCH($A909,Orders!$N$5:$N$1004,0)),""))</f>
        <v/>
      </c>
      <c r="J909" s="157" t="str">
        <f t="shared" si="1"/>
        <v/>
      </c>
      <c r="K909" s="153" t="str">
        <f t="array" ref="K909">IF($A909="","",IFERROR(INDEX(Sales!$M:$M,MATCH($A909,Sales!$E:$E,0)),""))</f>
        <v/>
      </c>
      <c r="L909" s="158" t="str">
        <f t="shared" si="2"/>
        <v/>
      </c>
      <c r="N909" s="49" t="str">
        <f t="array" ref="N909">IFERROR(INDEX(Sales!$E$7:$E$1506,MATCH(ROW()-4,Sales!$V$7:$V$1506,0)),"")</f>
        <v/>
      </c>
      <c r="O909" s="67"/>
      <c r="P909" s="67"/>
    </row>
    <row r="910" ht="15.0" customHeight="1">
      <c r="A910" s="151" t="str">
        <f t="array" ref="A910">IFERROR(INDEX(Sales!$E$7:$E$1506,MATCH(ROW()-4,Sales!$W$7:$W$1506,0)),"")</f>
        <v/>
      </c>
      <c r="B910" s="152" t="str">
        <f t="array" ref="B910">IF($A910="","",IFERROR(INDEX(Sales!$A:$A,MATCH($A910,Sales!$E:$E,0)),""))</f>
        <v/>
      </c>
      <c r="C910" s="153" t="str">
        <f t="array" ref="C910">IF($A910="","",IFERROR(INDEX(Sales!$D:$D,MATCH($A910,Sales!$E:$E,0)),""))</f>
        <v/>
      </c>
      <c r="D910" s="153" t="str">
        <f t="array" ref="D910">IF($A910="","",IFERROR(INDEX(Sales!$C:$C,MATCH($A910,Sales!$E:$E,0)),""))</f>
        <v/>
      </c>
      <c r="E910" s="154" t="str">
        <f>IF($A910="","",SUMIFS(Sales!$H:$H,Sales!$E:$E,$A910,Sales!$B:$B,"&lt;&gt;Return"))</f>
        <v/>
      </c>
      <c r="F910" s="155" t="str">
        <f>IF($A910="","",SUMIF(Sales!$E:$E,$A910,Sales!$L:$L))</f>
        <v/>
      </c>
      <c r="G910" s="155" t="str">
        <f>IF($A910="","",SUMIF(Sales!$E:$E,$A910,Sales!$P:$P))</f>
        <v/>
      </c>
      <c r="H910" s="156" t="str">
        <f t="array" ref="H910">IF($A910="","",IFERROR(INDEX(Orders!$O$5:$O$1004,MATCH($A910,Orders!$N$5:$N$1004,0)),""))</f>
        <v/>
      </c>
      <c r="I910" s="156" t="str">
        <f t="array" ref="I910">IF($A910="","",IFERROR(INDEX(Orders!$P$5:$P$1004,MATCH($A910,Orders!$N$5:$N$1004,0)),""))</f>
        <v/>
      </c>
      <c r="J910" s="157" t="str">
        <f t="shared" si="1"/>
        <v/>
      </c>
      <c r="K910" s="153" t="str">
        <f t="array" ref="K910">IF($A910="","",IFERROR(INDEX(Sales!$M:$M,MATCH($A910,Sales!$E:$E,0)),""))</f>
        <v/>
      </c>
      <c r="L910" s="158" t="str">
        <f t="shared" si="2"/>
        <v/>
      </c>
      <c r="N910" s="49" t="str">
        <f t="array" ref="N910">IFERROR(INDEX(Sales!$E$7:$E$1506,MATCH(ROW()-4,Sales!$V$7:$V$1506,0)),"")</f>
        <v/>
      </c>
      <c r="O910" s="67"/>
      <c r="P910" s="67"/>
    </row>
    <row r="911" ht="15.0" customHeight="1">
      <c r="A911" s="151" t="str">
        <f t="array" ref="A911">IFERROR(INDEX(Sales!$E$7:$E$1506,MATCH(ROW()-4,Sales!$W$7:$W$1506,0)),"")</f>
        <v/>
      </c>
      <c r="B911" s="152" t="str">
        <f t="array" ref="B911">IF($A911="","",IFERROR(INDEX(Sales!$A:$A,MATCH($A911,Sales!$E:$E,0)),""))</f>
        <v/>
      </c>
      <c r="C911" s="153" t="str">
        <f t="array" ref="C911">IF($A911="","",IFERROR(INDEX(Sales!$D:$D,MATCH($A911,Sales!$E:$E,0)),""))</f>
        <v/>
      </c>
      <c r="D911" s="153" t="str">
        <f t="array" ref="D911">IF($A911="","",IFERROR(INDEX(Sales!$C:$C,MATCH($A911,Sales!$E:$E,0)),""))</f>
        <v/>
      </c>
      <c r="E911" s="154" t="str">
        <f>IF($A911="","",SUMIFS(Sales!$H:$H,Sales!$E:$E,$A911,Sales!$B:$B,"&lt;&gt;Return"))</f>
        <v/>
      </c>
      <c r="F911" s="155" t="str">
        <f>IF($A911="","",SUMIF(Sales!$E:$E,$A911,Sales!$L:$L))</f>
        <v/>
      </c>
      <c r="G911" s="155" t="str">
        <f>IF($A911="","",SUMIF(Sales!$E:$E,$A911,Sales!$P:$P))</f>
        <v/>
      </c>
      <c r="H911" s="156" t="str">
        <f t="array" ref="H911">IF($A911="","",IFERROR(INDEX(Orders!$O$5:$O$1004,MATCH($A911,Orders!$N$5:$N$1004,0)),""))</f>
        <v/>
      </c>
      <c r="I911" s="156" t="str">
        <f t="array" ref="I911">IF($A911="","",IFERROR(INDEX(Orders!$P$5:$P$1004,MATCH($A911,Orders!$N$5:$N$1004,0)),""))</f>
        <v/>
      </c>
      <c r="J911" s="157" t="str">
        <f t="shared" si="1"/>
        <v/>
      </c>
      <c r="K911" s="153" t="str">
        <f t="array" ref="K911">IF($A911="","",IFERROR(INDEX(Sales!$M:$M,MATCH($A911,Sales!$E:$E,0)),""))</f>
        <v/>
      </c>
      <c r="L911" s="158" t="str">
        <f t="shared" si="2"/>
        <v/>
      </c>
      <c r="N911" s="49" t="str">
        <f t="array" ref="N911">IFERROR(INDEX(Sales!$E$7:$E$1506,MATCH(ROW()-4,Sales!$V$7:$V$1506,0)),"")</f>
        <v/>
      </c>
      <c r="O911" s="67"/>
      <c r="P911" s="67"/>
    </row>
    <row r="912" ht="15.0" customHeight="1">
      <c r="A912" s="151" t="str">
        <f t="array" ref="A912">IFERROR(INDEX(Sales!$E$7:$E$1506,MATCH(ROW()-4,Sales!$W$7:$W$1506,0)),"")</f>
        <v/>
      </c>
      <c r="B912" s="152" t="str">
        <f t="array" ref="B912">IF($A912="","",IFERROR(INDEX(Sales!$A:$A,MATCH($A912,Sales!$E:$E,0)),""))</f>
        <v/>
      </c>
      <c r="C912" s="153" t="str">
        <f t="array" ref="C912">IF($A912="","",IFERROR(INDEX(Sales!$D:$D,MATCH($A912,Sales!$E:$E,0)),""))</f>
        <v/>
      </c>
      <c r="D912" s="153" t="str">
        <f t="array" ref="D912">IF($A912="","",IFERROR(INDEX(Sales!$C:$C,MATCH($A912,Sales!$E:$E,0)),""))</f>
        <v/>
      </c>
      <c r="E912" s="154" t="str">
        <f>IF($A912="","",SUMIFS(Sales!$H:$H,Sales!$E:$E,$A912,Sales!$B:$B,"&lt;&gt;Return"))</f>
        <v/>
      </c>
      <c r="F912" s="155" t="str">
        <f>IF($A912="","",SUMIF(Sales!$E:$E,$A912,Sales!$L:$L))</f>
        <v/>
      </c>
      <c r="G912" s="155" t="str">
        <f>IF($A912="","",SUMIF(Sales!$E:$E,$A912,Sales!$P:$P))</f>
        <v/>
      </c>
      <c r="H912" s="156" t="str">
        <f t="array" ref="H912">IF($A912="","",IFERROR(INDEX(Orders!$O$5:$O$1004,MATCH($A912,Orders!$N$5:$N$1004,0)),""))</f>
        <v/>
      </c>
      <c r="I912" s="156" t="str">
        <f t="array" ref="I912">IF($A912="","",IFERROR(INDEX(Orders!$P$5:$P$1004,MATCH($A912,Orders!$N$5:$N$1004,0)),""))</f>
        <v/>
      </c>
      <c r="J912" s="157" t="str">
        <f t="shared" si="1"/>
        <v/>
      </c>
      <c r="K912" s="153" t="str">
        <f t="array" ref="K912">IF($A912="","",IFERROR(INDEX(Sales!$M:$M,MATCH($A912,Sales!$E:$E,0)),""))</f>
        <v/>
      </c>
      <c r="L912" s="158" t="str">
        <f t="shared" si="2"/>
        <v/>
      </c>
      <c r="N912" s="49" t="str">
        <f t="array" ref="N912">IFERROR(INDEX(Sales!$E$7:$E$1506,MATCH(ROW()-4,Sales!$V$7:$V$1506,0)),"")</f>
        <v/>
      </c>
      <c r="O912" s="67"/>
      <c r="P912" s="67"/>
    </row>
    <row r="913" ht="15.0" customHeight="1">
      <c r="A913" s="151" t="str">
        <f t="array" ref="A913">IFERROR(INDEX(Sales!$E$7:$E$1506,MATCH(ROW()-4,Sales!$W$7:$W$1506,0)),"")</f>
        <v/>
      </c>
      <c r="B913" s="152" t="str">
        <f t="array" ref="B913">IF($A913="","",IFERROR(INDEX(Sales!$A:$A,MATCH($A913,Sales!$E:$E,0)),""))</f>
        <v/>
      </c>
      <c r="C913" s="153" t="str">
        <f t="array" ref="C913">IF($A913="","",IFERROR(INDEX(Sales!$D:$D,MATCH($A913,Sales!$E:$E,0)),""))</f>
        <v/>
      </c>
      <c r="D913" s="153" t="str">
        <f t="array" ref="D913">IF($A913="","",IFERROR(INDEX(Sales!$C:$C,MATCH($A913,Sales!$E:$E,0)),""))</f>
        <v/>
      </c>
      <c r="E913" s="154" t="str">
        <f>IF($A913="","",SUMIFS(Sales!$H:$H,Sales!$E:$E,$A913,Sales!$B:$B,"&lt;&gt;Return"))</f>
        <v/>
      </c>
      <c r="F913" s="155" t="str">
        <f>IF($A913="","",SUMIF(Sales!$E:$E,$A913,Sales!$L:$L))</f>
        <v/>
      </c>
      <c r="G913" s="155" t="str">
        <f>IF($A913="","",SUMIF(Sales!$E:$E,$A913,Sales!$P:$P))</f>
        <v/>
      </c>
      <c r="H913" s="156" t="str">
        <f t="array" ref="H913">IF($A913="","",IFERROR(INDEX(Orders!$O$5:$O$1004,MATCH($A913,Orders!$N$5:$N$1004,0)),""))</f>
        <v/>
      </c>
      <c r="I913" s="156" t="str">
        <f t="array" ref="I913">IF($A913="","",IFERROR(INDEX(Orders!$P$5:$P$1004,MATCH($A913,Orders!$N$5:$N$1004,0)),""))</f>
        <v/>
      </c>
      <c r="J913" s="157" t="str">
        <f t="shared" si="1"/>
        <v/>
      </c>
      <c r="K913" s="153" t="str">
        <f t="array" ref="K913">IF($A913="","",IFERROR(INDEX(Sales!$M:$M,MATCH($A913,Sales!$E:$E,0)),""))</f>
        <v/>
      </c>
      <c r="L913" s="158" t="str">
        <f t="shared" si="2"/>
        <v/>
      </c>
      <c r="N913" s="49" t="str">
        <f t="array" ref="N913">IFERROR(INDEX(Sales!$E$7:$E$1506,MATCH(ROW()-4,Sales!$V$7:$V$1506,0)),"")</f>
        <v/>
      </c>
      <c r="O913" s="67"/>
      <c r="P913" s="67"/>
    </row>
    <row r="914" ht="15.0" customHeight="1">
      <c r="A914" s="151" t="str">
        <f t="array" ref="A914">IFERROR(INDEX(Sales!$E$7:$E$1506,MATCH(ROW()-4,Sales!$W$7:$W$1506,0)),"")</f>
        <v/>
      </c>
      <c r="B914" s="152" t="str">
        <f t="array" ref="B914">IF($A914="","",IFERROR(INDEX(Sales!$A:$A,MATCH($A914,Sales!$E:$E,0)),""))</f>
        <v/>
      </c>
      <c r="C914" s="153" t="str">
        <f t="array" ref="C914">IF($A914="","",IFERROR(INDEX(Sales!$D:$D,MATCH($A914,Sales!$E:$E,0)),""))</f>
        <v/>
      </c>
      <c r="D914" s="153" t="str">
        <f t="array" ref="D914">IF($A914="","",IFERROR(INDEX(Sales!$C:$C,MATCH($A914,Sales!$E:$E,0)),""))</f>
        <v/>
      </c>
      <c r="E914" s="154" t="str">
        <f>IF($A914="","",SUMIFS(Sales!$H:$H,Sales!$E:$E,$A914,Sales!$B:$B,"&lt;&gt;Return"))</f>
        <v/>
      </c>
      <c r="F914" s="155" t="str">
        <f>IF($A914="","",SUMIF(Sales!$E:$E,$A914,Sales!$L:$L))</f>
        <v/>
      </c>
      <c r="G914" s="155" t="str">
        <f>IF($A914="","",SUMIF(Sales!$E:$E,$A914,Sales!$P:$P))</f>
        <v/>
      </c>
      <c r="H914" s="156" t="str">
        <f t="array" ref="H914">IF($A914="","",IFERROR(INDEX(Orders!$O$5:$O$1004,MATCH($A914,Orders!$N$5:$N$1004,0)),""))</f>
        <v/>
      </c>
      <c r="I914" s="156" t="str">
        <f t="array" ref="I914">IF($A914="","",IFERROR(INDEX(Orders!$P$5:$P$1004,MATCH($A914,Orders!$N$5:$N$1004,0)),""))</f>
        <v/>
      </c>
      <c r="J914" s="157" t="str">
        <f t="shared" si="1"/>
        <v/>
      </c>
      <c r="K914" s="153" t="str">
        <f t="array" ref="K914">IF($A914="","",IFERROR(INDEX(Sales!$M:$M,MATCH($A914,Sales!$E:$E,0)),""))</f>
        <v/>
      </c>
      <c r="L914" s="158" t="str">
        <f t="shared" si="2"/>
        <v/>
      </c>
      <c r="N914" s="49" t="str">
        <f t="array" ref="N914">IFERROR(INDEX(Sales!$E$7:$E$1506,MATCH(ROW()-4,Sales!$V$7:$V$1506,0)),"")</f>
        <v/>
      </c>
      <c r="O914" s="67"/>
      <c r="P914" s="67"/>
    </row>
    <row r="915" ht="15.0" customHeight="1">
      <c r="A915" s="151" t="str">
        <f t="array" ref="A915">IFERROR(INDEX(Sales!$E$7:$E$1506,MATCH(ROW()-4,Sales!$W$7:$W$1506,0)),"")</f>
        <v/>
      </c>
      <c r="B915" s="152" t="str">
        <f t="array" ref="B915">IF($A915="","",IFERROR(INDEX(Sales!$A:$A,MATCH($A915,Sales!$E:$E,0)),""))</f>
        <v/>
      </c>
      <c r="C915" s="153" t="str">
        <f t="array" ref="C915">IF($A915="","",IFERROR(INDEX(Sales!$D:$D,MATCH($A915,Sales!$E:$E,0)),""))</f>
        <v/>
      </c>
      <c r="D915" s="153" t="str">
        <f t="array" ref="D915">IF($A915="","",IFERROR(INDEX(Sales!$C:$C,MATCH($A915,Sales!$E:$E,0)),""))</f>
        <v/>
      </c>
      <c r="E915" s="154" t="str">
        <f>IF($A915="","",SUMIFS(Sales!$H:$H,Sales!$E:$E,$A915,Sales!$B:$B,"&lt;&gt;Return"))</f>
        <v/>
      </c>
      <c r="F915" s="155" t="str">
        <f>IF($A915="","",SUMIF(Sales!$E:$E,$A915,Sales!$L:$L))</f>
        <v/>
      </c>
      <c r="G915" s="155" t="str">
        <f>IF($A915="","",SUMIF(Sales!$E:$E,$A915,Sales!$P:$P))</f>
        <v/>
      </c>
      <c r="H915" s="156" t="str">
        <f t="array" ref="H915">IF($A915="","",IFERROR(INDEX(Orders!$O$5:$O$1004,MATCH($A915,Orders!$N$5:$N$1004,0)),""))</f>
        <v/>
      </c>
      <c r="I915" s="156" t="str">
        <f t="array" ref="I915">IF($A915="","",IFERROR(INDEX(Orders!$P$5:$P$1004,MATCH($A915,Orders!$N$5:$N$1004,0)),""))</f>
        <v/>
      </c>
      <c r="J915" s="157" t="str">
        <f t="shared" si="1"/>
        <v/>
      </c>
      <c r="K915" s="153" t="str">
        <f t="array" ref="K915">IF($A915="","",IFERROR(INDEX(Sales!$M:$M,MATCH($A915,Sales!$E:$E,0)),""))</f>
        <v/>
      </c>
      <c r="L915" s="158" t="str">
        <f t="shared" si="2"/>
        <v/>
      </c>
      <c r="N915" s="49" t="str">
        <f t="array" ref="N915">IFERROR(INDEX(Sales!$E$7:$E$1506,MATCH(ROW()-4,Sales!$V$7:$V$1506,0)),"")</f>
        <v/>
      </c>
      <c r="O915" s="67"/>
      <c r="P915" s="67"/>
    </row>
    <row r="916" ht="15.0" customHeight="1">
      <c r="A916" s="151" t="str">
        <f t="array" ref="A916">IFERROR(INDEX(Sales!$E$7:$E$1506,MATCH(ROW()-4,Sales!$W$7:$W$1506,0)),"")</f>
        <v/>
      </c>
      <c r="B916" s="152" t="str">
        <f t="array" ref="B916">IF($A916="","",IFERROR(INDEX(Sales!$A:$A,MATCH($A916,Sales!$E:$E,0)),""))</f>
        <v/>
      </c>
      <c r="C916" s="153" t="str">
        <f t="array" ref="C916">IF($A916="","",IFERROR(INDEX(Sales!$D:$D,MATCH($A916,Sales!$E:$E,0)),""))</f>
        <v/>
      </c>
      <c r="D916" s="153" t="str">
        <f t="array" ref="D916">IF($A916="","",IFERROR(INDEX(Sales!$C:$C,MATCH($A916,Sales!$E:$E,0)),""))</f>
        <v/>
      </c>
      <c r="E916" s="154" t="str">
        <f>IF($A916="","",SUMIFS(Sales!$H:$H,Sales!$E:$E,$A916,Sales!$B:$B,"&lt;&gt;Return"))</f>
        <v/>
      </c>
      <c r="F916" s="155" t="str">
        <f>IF($A916="","",SUMIF(Sales!$E:$E,$A916,Sales!$L:$L))</f>
        <v/>
      </c>
      <c r="G916" s="155" t="str">
        <f>IF($A916="","",SUMIF(Sales!$E:$E,$A916,Sales!$P:$P))</f>
        <v/>
      </c>
      <c r="H916" s="156" t="str">
        <f t="array" ref="H916">IF($A916="","",IFERROR(INDEX(Orders!$O$5:$O$1004,MATCH($A916,Orders!$N$5:$N$1004,0)),""))</f>
        <v/>
      </c>
      <c r="I916" s="156" t="str">
        <f t="array" ref="I916">IF($A916="","",IFERROR(INDEX(Orders!$P$5:$P$1004,MATCH($A916,Orders!$N$5:$N$1004,0)),""))</f>
        <v/>
      </c>
      <c r="J916" s="157" t="str">
        <f t="shared" si="1"/>
        <v/>
      </c>
      <c r="K916" s="153" t="str">
        <f t="array" ref="K916">IF($A916="","",IFERROR(INDEX(Sales!$M:$M,MATCH($A916,Sales!$E:$E,0)),""))</f>
        <v/>
      </c>
      <c r="L916" s="158" t="str">
        <f t="shared" si="2"/>
        <v/>
      </c>
      <c r="N916" s="49" t="str">
        <f t="array" ref="N916">IFERROR(INDEX(Sales!$E$7:$E$1506,MATCH(ROW()-4,Sales!$V$7:$V$1506,0)),"")</f>
        <v/>
      </c>
      <c r="O916" s="67"/>
      <c r="P916" s="67"/>
    </row>
    <row r="917" ht="15.0" customHeight="1">
      <c r="A917" s="151" t="str">
        <f t="array" ref="A917">IFERROR(INDEX(Sales!$E$7:$E$1506,MATCH(ROW()-4,Sales!$W$7:$W$1506,0)),"")</f>
        <v/>
      </c>
      <c r="B917" s="152" t="str">
        <f t="array" ref="B917">IF($A917="","",IFERROR(INDEX(Sales!$A:$A,MATCH($A917,Sales!$E:$E,0)),""))</f>
        <v/>
      </c>
      <c r="C917" s="153" t="str">
        <f t="array" ref="C917">IF($A917="","",IFERROR(INDEX(Sales!$D:$D,MATCH($A917,Sales!$E:$E,0)),""))</f>
        <v/>
      </c>
      <c r="D917" s="153" t="str">
        <f t="array" ref="D917">IF($A917="","",IFERROR(INDEX(Sales!$C:$C,MATCH($A917,Sales!$E:$E,0)),""))</f>
        <v/>
      </c>
      <c r="E917" s="154" t="str">
        <f>IF($A917="","",SUMIFS(Sales!$H:$H,Sales!$E:$E,$A917,Sales!$B:$B,"&lt;&gt;Return"))</f>
        <v/>
      </c>
      <c r="F917" s="155" t="str">
        <f>IF($A917="","",SUMIF(Sales!$E:$E,$A917,Sales!$L:$L))</f>
        <v/>
      </c>
      <c r="G917" s="155" t="str">
        <f>IF($A917="","",SUMIF(Sales!$E:$E,$A917,Sales!$P:$P))</f>
        <v/>
      </c>
      <c r="H917" s="156" t="str">
        <f t="array" ref="H917">IF($A917="","",IFERROR(INDEX(Orders!$O$5:$O$1004,MATCH($A917,Orders!$N$5:$N$1004,0)),""))</f>
        <v/>
      </c>
      <c r="I917" s="156" t="str">
        <f t="array" ref="I917">IF($A917="","",IFERROR(INDEX(Orders!$P$5:$P$1004,MATCH($A917,Orders!$N$5:$N$1004,0)),""))</f>
        <v/>
      </c>
      <c r="J917" s="157" t="str">
        <f t="shared" si="1"/>
        <v/>
      </c>
      <c r="K917" s="153" t="str">
        <f t="array" ref="K917">IF($A917="","",IFERROR(INDEX(Sales!$M:$M,MATCH($A917,Sales!$E:$E,0)),""))</f>
        <v/>
      </c>
      <c r="L917" s="158" t="str">
        <f t="shared" si="2"/>
        <v/>
      </c>
      <c r="N917" s="49" t="str">
        <f t="array" ref="N917">IFERROR(INDEX(Sales!$E$7:$E$1506,MATCH(ROW()-4,Sales!$V$7:$V$1506,0)),"")</f>
        <v/>
      </c>
      <c r="O917" s="67"/>
      <c r="P917" s="67"/>
    </row>
    <row r="918" ht="15.0" customHeight="1">
      <c r="A918" s="151" t="str">
        <f t="array" ref="A918">IFERROR(INDEX(Sales!$E$7:$E$1506,MATCH(ROW()-4,Sales!$W$7:$W$1506,0)),"")</f>
        <v/>
      </c>
      <c r="B918" s="152" t="str">
        <f t="array" ref="B918">IF($A918="","",IFERROR(INDEX(Sales!$A:$A,MATCH($A918,Sales!$E:$E,0)),""))</f>
        <v/>
      </c>
      <c r="C918" s="153" t="str">
        <f t="array" ref="C918">IF($A918="","",IFERROR(INDEX(Sales!$D:$D,MATCH($A918,Sales!$E:$E,0)),""))</f>
        <v/>
      </c>
      <c r="D918" s="153" t="str">
        <f t="array" ref="D918">IF($A918="","",IFERROR(INDEX(Sales!$C:$C,MATCH($A918,Sales!$E:$E,0)),""))</f>
        <v/>
      </c>
      <c r="E918" s="154" t="str">
        <f>IF($A918="","",SUMIFS(Sales!$H:$H,Sales!$E:$E,$A918,Sales!$B:$B,"&lt;&gt;Return"))</f>
        <v/>
      </c>
      <c r="F918" s="155" t="str">
        <f>IF($A918="","",SUMIF(Sales!$E:$E,$A918,Sales!$L:$L))</f>
        <v/>
      </c>
      <c r="G918" s="155" t="str">
        <f>IF($A918="","",SUMIF(Sales!$E:$E,$A918,Sales!$P:$P))</f>
        <v/>
      </c>
      <c r="H918" s="156" t="str">
        <f t="array" ref="H918">IF($A918="","",IFERROR(INDEX(Orders!$O$5:$O$1004,MATCH($A918,Orders!$N$5:$N$1004,0)),""))</f>
        <v/>
      </c>
      <c r="I918" s="156" t="str">
        <f t="array" ref="I918">IF($A918="","",IFERROR(INDEX(Orders!$P$5:$P$1004,MATCH($A918,Orders!$N$5:$N$1004,0)),""))</f>
        <v/>
      </c>
      <c r="J918" s="157" t="str">
        <f t="shared" si="1"/>
        <v/>
      </c>
      <c r="K918" s="153" t="str">
        <f t="array" ref="K918">IF($A918="","",IFERROR(INDEX(Sales!$M:$M,MATCH($A918,Sales!$E:$E,0)),""))</f>
        <v/>
      </c>
      <c r="L918" s="158" t="str">
        <f t="shared" si="2"/>
        <v/>
      </c>
      <c r="N918" s="49" t="str">
        <f t="array" ref="N918">IFERROR(INDEX(Sales!$E$7:$E$1506,MATCH(ROW()-4,Sales!$V$7:$V$1506,0)),"")</f>
        <v/>
      </c>
      <c r="O918" s="67"/>
      <c r="P918" s="67"/>
    </row>
    <row r="919" ht="15.0" customHeight="1">
      <c r="A919" s="151" t="str">
        <f t="array" ref="A919">IFERROR(INDEX(Sales!$E$7:$E$1506,MATCH(ROW()-4,Sales!$W$7:$W$1506,0)),"")</f>
        <v/>
      </c>
      <c r="B919" s="152" t="str">
        <f t="array" ref="B919">IF($A919="","",IFERROR(INDEX(Sales!$A:$A,MATCH($A919,Sales!$E:$E,0)),""))</f>
        <v/>
      </c>
      <c r="C919" s="153" t="str">
        <f t="array" ref="C919">IF($A919="","",IFERROR(INDEX(Sales!$D:$D,MATCH($A919,Sales!$E:$E,0)),""))</f>
        <v/>
      </c>
      <c r="D919" s="153" t="str">
        <f t="array" ref="D919">IF($A919="","",IFERROR(INDEX(Sales!$C:$C,MATCH($A919,Sales!$E:$E,0)),""))</f>
        <v/>
      </c>
      <c r="E919" s="154" t="str">
        <f>IF($A919="","",SUMIFS(Sales!$H:$H,Sales!$E:$E,$A919,Sales!$B:$B,"&lt;&gt;Return"))</f>
        <v/>
      </c>
      <c r="F919" s="155" t="str">
        <f>IF($A919="","",SUMIF(Sales!$E:$E,$A919,Sales!$L:$L))</f>
        <v/>
      </c>
      <c r="G919" s="155" t="str">
        <f>IF($A919="","",SUMIF(Sales!$E:$E,$A919,Sales!$P:$P))</f>
        <v/>
      </c>
      <c r="H919" s="156" t="str">
        <f t="array" ref="H919">IF($A919="","",IFERROR(INDEX(Orders!$O$5:$O$1004,MATCH($A919,Orders!$N$5:$N$1004,0)),""))</f>
        <v/>
      </c>
      <c r="I919" s="156" t="str">
        <f t="array" ref="I919">IF($A919="","",IFERROR(INDEX(Orders!$P$5:$P$1004,MATCH($A919,Orders!$N$5:$N$1004,0)),""))</f>
        <v/>
      </c>
      <c r="J919" s="157" t="str">
        <f t="shared" si="1"/>
        <v/>
      </c>
      <c r="K919" s="153" t="str">
        <f t="array" ref="K919">IF($A919="","",IFERROR(INDEX(Sales!$M:$M,MATCH($A919,Sales!$E:$E,0)),""))</f>
        <v/>
      </c>
      <c r="L919" s="158" t="str">
        <f t="shared" si="2"/>
        <v/>
      </c>
      <c r="N919" s="49" t="str">
        <f t="array" ref="N919">IFERROR(INDEX(Sales!$E$7:$E$1506,MATCH(ROW()-4,Sales!$V$7:$V$1506,0)),"")</f>
        <v/>
      </c>
      <c r="O919" s="67"/>
      <c r="P919" s="67"/>
    </row>
    <row r="920" ht="15.0" customHeight="1">
      <c r="A920" s="151" t="str">
        <f t="array" ref="A920">IFERROR(INDEX(Sales!$E$7:$E$1506,MATCH(ROW()-4,Sales!$W$7:$W$1506,0)),"")</f>
        <v/>
      </c>
      <c r="B920" s="152" t="str">
        <f t="array" ref="B920">IF($A920="","",IFERROR(INDEX(Sales!$A:$A,MATCH($A920,Sales!$E:$E,0)),""))</f>
        <v/>
      </c>
      <c r="C920" s="153" t="str">
        <f t="array" ref="C920">IF($A920="","",IFERROR(INDEX(Sales!$D:$D,MATCH($A920,Sales!$E:$E,0)),""))</f>
        <v/>
      </c>
      <c r="D920" s="153" t="str">
        <f t="array" ref="D920">IF($A920="","",IFERROR(INDEX(Sales!$C:$C,MATCH($A920,Sales!$E:$E,0)),""))</f>
        <v/>
      </c>
      <c r="E920" s="154" t="str">
        <f>IF($A920="","",SUMIFS(Sales!$H:$H,Sales!$E:$E,$A920,Sales!$B:$B,"&lt;&gt;Return"))</f>
        <v/>
      </c>
      <c r="F920" s="155" t="str">
        <f>IF($A920="","",SUMIF(Sales!$E:$E,$A920,Sales!$L:$L))</f>
        <v/>
      </c>
      <c r="G920" s="155" t="str">
        <f>IF($A920="","",SUMIF(Sales!$E:$E,$A920,Sales!$P:$P))</f>
        <v/>
      </c>
      <c r="H920" s="156" t="str">
        <f t="array" ref="H920">IF($A920="","",IFERROR(INDEX(Orders!$O$5:$O$1004,MATCH($A920,Orders!$N$5:$N$1004,0)),""))</f>
        <v/>
      </c>
      <c r="I920" s="156" t="str">
        <f t="array" ref="I920">IF($A920="","",IFERROR(INDEX(Orders!$P$5:$P$1004,MATCH($A920,Orders!$N$5:$N$1004,0)),""))</f>
        <v/>
      </c>
      <c r="J920" s="157" t="str">
        <f t="shared" si="1"/>
        <v/>
      </c>
      <c r="K920" s="153" t="str">
        <f t="array" ref="K920">IF($A920="","",IFERROR(INDEX(Sales!$M:$M,MATCH($A920,Sales!$E:$E,0)),""))</f>
        <v/>
      </c>
      <c r="L920" s="158" t="str">
        <f t="shared" si="2"/>
        <v/>
      </c>
      <c r="N920" s="49" t="str">
        <f t="array" ref="N920">IFERROR(INDEX(Sales!$E$7:$E$1506,MATCH(ROW()-4,Sales!$V$7:$V$1506,0)),"")</f>
        <v/>
      </c>
      <c r="O920" s="67"/>
      <c r="P920" s="67"/>
    </row>
    <row r="921" ht="15.0" customHeight="1">
      <c r="A921" s="151" t="str">
        <f t="array" ref="A921">IFERROR(INDEX(Sales!$E$7:$E$1506,MATCH(ROW()-4,Sales!$W$7:$W$1506,0)),"")</f>
        <v/>
      </c>
      <c r="B921" s="152" t="str">
        <f t="array" ref="B921">IF($A921="","",IFERROR(INDEX(Sales!$A:$A,MATCH($A921,Sales!$E:$E,0)),""))</f>
        <v/>
      </c>
      <c r="C921" s="153" t="str">
        <f t="array" ref="C921">IF($A921="","",IFERROR(INDEX(Sales!$D:$D,MATCH($A921,Sales!$E:$E,0)),""))</f>
        <v/>
      </c>
      <c r="D921" s="153" t="str">
        <f t="array" ref="D921">IF($A921="","",IFERROR(INDEX(Sales!$C:$C,MATCH($A921,Sales!$E:$E,0)),""))</f>
        <v/>
      </c>
      <c r="E921" s="154" t="str">
        <f>IF($A921="","",SUMIFS(Sales!$H:$H,Sales!$E:$E,$A921,Sales!$B:$B,"&lt;&gt;Return"))</f>
        <v/>
      </c>
      <c r="F921" s="155" t="str">
        <f>IF($A921="","",SUMIF(Sales!$E:$E,$A921,Sales!$L:$L))</f>
        <v/>
      </c>
      <c r="G921" s="155" t="str">
        <f>IF($A921="","",SUMIF(Sales!$E:$E,$A921,Sales!$P:$P))</f>
        <v/>
      </c>
      <c r="H921" s="156" t="str">
        <f t="array" ref="H921">IF($A921="","",IFERROR(INDEX(Orders!$O$5:$O$1004,MATCH($A921,Orders!$N$5:$N$1004,0)),""))</f>
        <v/>
      </c>
      <c r="I921" s="156" t="str">
        <f t="array" ref="I921">IF($A921="","",IFERROR(INDEX(Orders!$P$5:$P$1004,MATCH($A921,Orders!$N$5:$N$1004,0)),""))</f>
        <v/>
      </c>
      <c r="J921" s="157" t="str">
        <f t="shared" si="1"/>
        <v/>
      </c>
      <c r="K921" s="153" t="str">
        <f t="array" ref="K921">IF($A921="","",IFERROR(INDEX(Sales!$M:$M,MATCH($A921,Sales!$E:$E,0)),""))</f>
        <v/>
      </c>
      <c r="L921" s="158" t="str">
        <f t="shared" si="2"/>
        <v/>
      </c>
      <c r="N921" s="49" t="str">
        <f t="array" ref="N921">IFERROR(INDEX(Sales!$E$7:$E$1506,MATCH(ROW()-4,Sales!$V$7:$V$1506,0)),"")</f>
        <v/>
      </c>
      <c r="O921" s="67"/>
      <c r="P921" s="67"/>
    </row>
    <row r="922" ht="15.0" customHeight="1">
      <c r="A922" s="151" t="str">
        <f t="array" ref="A922">IFERROR(INDEX(Sales!$E$7:$E$1506,MATCH(ROW()-4,Sales!$W$7:$W$1506,0)),"")</f>
        <v/>
      </c>
      <c r="B922" s="152" t="str">
        <f t="array" ref="B922">IF($A922="","",IFERROR(INDEX(Sales!$A:$A,MATCH($A922,Sales!$E:$E,0)),""))</f>
        <v/>
      </c>
      <c r="C922" s="153" t="str">
        <f t="array" ref="C922">IF($A922="","",IFERROR(INDEX(Sales!$D:$D,MATCH($A922,Sales!$E:$E,0)),""))</f>
        <v/>
      </c>
      <c r="D922" s="153" t="str">
        <f t="array" ref="D922">IF($A922="","",IFERROR(INDEX(Sales!$C:$C,MATCH($A922,Sales!$E:$E,0)),""))</f>
        <v/>
      </c>
      <c r="E922" s="154" t="str">
        <f>IF($A922="","",SUMIFS(Sales!$H:$H,Sales!$E:$E,$A922,Sales!$B:$B,"&lt;&gt;Return"))</f>
        <v/>
      </c>
      <c r="F922" s="155" t="str">
        <f>IF($A922="","",SUMIF(Sales!$E:$E,$A922,Sales!$L:$L))</f>
        <v/>
      </c>
      <c r="G922" s="155" t="str">
        <f>IF($A922="","",SUMIF(Sales!$E:$E,$A922,Sales!$P:$P))</f>
        <v/>
      </c>
      <c r="H922" s="156" t="str">
        <f t="array" ref="H922">IF($A922="","",IFERROR(INDEX(Orders!$O$5:$O$1004,MATCH($A922,Orders!$N$5:$N$1004,0)),""))</f>
        <v/>
      </c>
      <c r="I922" s="156" t="str">
        <f t="array" ref="I922">IF($A922="","",IFERROR(INDEX(Orders!$P$5:$P$1004,MATCH($A922,Orders!$N$5:$N$1004,0)),""))</f>
        <v/>
      </c>
      <c r="J922" s="157" t="str">
        <f t="shared" si="1"/>
        <v/>
      </c>
      <c r="K922" s="153" t="str">
        <f t="array" ref="K922">IF($A922="","",IFERROR(INDEX(Sales!$M:$M,MATCH($A922,Sales!$E:$E,0)),""))</f>
        <v/>
      </c>
      <c r="L922" s="158" t="str">
        <f t="shared" si="2"/>
        <v/>
      </c>
      <c r="N922" s="49" t="str">
        <f t="array" ref="N922">IFERROR(INDEX(Sales!$E$7:$E$1506,MATCH(ROW()-4,Sales!$V$7:$V$1506,0)),"")</f>
        <v/>
      </c>
      <c r="O922" s="67"/>
      <c r="P922" s="67"/>
    </row>
    <row r="923" ht="15.0" customHeight="1">
      <c r="A923" s="151" t="str">
        <f t="array" ref="A923">IFERROR(INDEX(Sales!$E$7:$E$1506,MATCH(ROW()-4,Sales!$W$7:$W$1506,0)),"")</f>
        <v/>
      </c>
      <c r="B923" s="152" t="str">
        <f t="array" ref="B923">IF($A923="","",IFERROR(INDEX(Sales!$A:$A,MATCH($A923,Sales!$E:$E,0)),""))</f>
        <v/>
      </c>
      <c r="C923" s="153" t="str">
        <f t="array" ref="C923">IF($A923="","",IFERROR(INDEX(Sales!$D:$D,MATCH($A923,Sales!$E:$E,0)),""))</f>
        <v/>
      </c>
      <c r="D923" s="153" t="str">
        <f t="array" ref="D923">IF($A923="","",IFERROR(INDEX(Sales!$C:$C,MATCH($A923,Sales!$E:$E,0)),""))</f>
        <v/>
      </c>
      <c r="E923" s="154" t="str">
        <f>IF($A923="","",SUMIFS(Sales!$H:$H,Sales!$E:$E,$A923,Sales!$B:$B,"&lt;&gt;Return"))</f>
        <v/>
      </c>
      <c r="F923" s="155" t="str">
        <f>IF($A923="","",SUMIF(Sales!$E:$E,$A923,Sales!$L:$L))</f>
        <v/>
      </c>
      <c r="G923" s="155" t="str">
        <f>IF($A923="","",SUMIF(Sales!$E:$E,$A923,Sales!$P:$P))</f>
        <v/>
      </c>
      <c r="H923" s="156" t="str">
        <f t="array" ref="H923">IF($A923="","",IFERROR(INDEX(Orders!$O$5:$O$1004,MATCH($A923,Orders!$N$5:$N$1004,0)),""))</f>
        <v/>
      </c>
      <c r="I923" s="156" t="str">
        <f t="array" ref="I923">IF($A923="","",IFERROR(INDEX(Orders!$P$5:$P$1004,MATCH($A923,Orders!$N$5:$N$1004,0)),""))</f>
        <v/>
      </c>
      <c r="J923" s="157" t="str">
        <f t="shared" si="1"/>
        <v/>
      </c>
      <c r="K923" s="153" t="str">
        <f t="array" ref="K923">IF($A923="","",IFERROR(INDEX(Sales!$M:$M,MATCH($A923,Sales!$E:$E,0)),""))</f>
        <v/>
      </c>
      <c r="L923" s="158" t="str">
        <f t="shared" si="2"/>
        <v/>
      </c>
      <c r="N923" s="49" t="str">
        <f t="array" ref="N923">IFERROR(INDEX(Sales!$E$7:$E$1506,MATCH(ROW()-4,Sales!$V$7:$V$1506,0)),"")</f>
        <v/>
      </c>
      <c r="O923" s="67"/>
      <c r="P923" s="67"/>
    </row>
    <row r="924" ht="15.0" customHeight="1">
      <c r="A924" s="151" t="str">
        <f t="array" ref="A924">IFERROR(INDEX(Sales!$E$7:$E$1506,MATCH(ROW()-4,Sales!$W$7:$W$1506,0)),"")</f>
        <v/>
      </c>
      <c r="B924" s="152" t="str">
        <f t="array" ref="B924">IF($A924="","",IFERROR(INDEX(Sales!$A:$A,MATCH($A924,Sales!$E:$E,0)),""))</f>
        <v/>
      </c>
      <c r="C924" s="153" t="str">
        <f t="array" ref="C924">IF($A924="","",IFERROR(INDEX(Sales!$D:$D,MATCH($A924,Sales!$E:$E,0)),""))</f>
        <v/>
      </c>
      <c r="D924" s="153" t="str">
        <f t="array" ref="D924">IF($A924="","",IFERROR(INDEX(Sales!$C:$C,MATCH($A924,Sales!$E:$E,0)),""))</f>
        <v/>
      </c>
      <c r="E924" s="154" t="str">
        <f>IF($A924="","",SUMIFS(Sales!$H:$H,Sales!$E:$E,$A924,Sales!$B:$B,"&lt;&gt;Return"))</f>
        <v/>
      </c>
      <c r="F924" s="155" t="str">
        <f>IF($A924="","",SUMIF(Sales!$E:$E,$A924,Sales!$L:$L))</f>
        <v/>
      </c>
      <c r="G924" s="155" t="str">
        <f>IF($A924="","",SUMIF(Sales!$E:$E,$A924,Sales!$P:$P))</f>
        <v/>
      </c>
      <c r="H924" s="156" t="str">
        <f t="array" ref="H924">IF($A924="","",IFERROR(INDEX(Orders!$O$5:$O$1004,MATCH($A924,Orders!$N$5:$N$1004,0)),""))</f>
        <v/>
      </c>
      <c r="I924" s="156" t="str">
        <f t="array" ref="I924">IF($A924="","",IFERROR(INDEX(Orders!$P$5:$P$1004,MATCH($A924,Orders!$N$5:$N$1004,0)),""))</f>
        <v/>
      </c>
      <c r="J924" s="157" t="str">
        <f t="shared" si="1"/>
        <v/>
      </c>
      <c r="K924" s="153" t="str">
        <f t="array" ref="K924">IF($A924="","",IFERROR(INDEX(Sales!$M:$M,MATCH($A924,Sales!$E:$E,0)),""))</f>
        <v/>
      </c>
      <c r="L924" s="158" t="str">
        <f t="shared" si="2"/>
        <v/>
      </c>
      <c r="N924" s="49" t="str">
        <f t="array" ref="N924">IFERROR(INDEX(Sales!$E$7:$E$1506,MATCH(ROW()-4,Sales!$V$7:$V$1506,0)),"")</f>
        <v/>
      </c>
      <c r="O924" s="67"/>
      <c r="P924" s="67"/>
    </row>
    <row r="925" ht="15.0" customHeight="1">
      <c r="A925" s="151" t="str">
        <f t="array" ref="A925">IFERROR(INDEX(Sales!$E$7:$E$1506,MATCH(ROW()-4,Sales!$W$7:$W$1506,0)),"")</f>
        <v/>
      </c>
      <c r="B925" s="152" t="str">
        <f t="array" ref="B925">IF($A925="","",IFERROR(INDEX(Sales!$A:$A,MATCH($A925,Sales!$E:$E,0)),""))</f>
        <v/>
      </c>
      <c r="C925" s="153" t="str">
        <f t="array" ref="C925">IF($A925="","",IFERROR(INDEX(Sales!$D:$D,MATCH($A925,Sales!$E:$E,0)),""))</f>
        <v/>
      </c>
      <c r="D925" s="153" t="str">
        <f t="array" ref="D925">IF($A925="","",IFERROR(INDEX(Sales!$C:$C,MATCH($A925,Sales!$E:$E,0)),""))</f>
        <v/>
      </c>
      <c r="E925" s="154" t="str">
        <f>IF($A925="","",SUMIFS(Sales!$H:$H,Sales!$E:$E,$A925,Sales!$B:$B,"&lt;&gt;Return"))</f>
        <v/>
      </c>
      <c r="F925" s="155" t="str">
        <f>IF($A925="","",SUMIF(Sales!$E:$E,$A925,Sales!$L:$L))</f>
        <v/>
      </c>
      <c r="G925" s="155" t="str">
        <f>IF($A925="","",SUMIF(Sales!$E:$E,$A925,Sales!$P:$P))</f>
        <v/>
      </c>
      <c r="H925" s="156" t="str">
        <f t="array" ref="H925">IF($A925="","",IFERROR(INDEX(Orders!$O$5:$O$1004,MATCH($A925,Orders!$N$5:$N$1004,0)),""))</f>
        <v/>
      </c>
      <c r="I925" s="156" t="str">
        <f t="array" ref="I925">IF($A925="","",IFERROR(INDEX(Orders!$P$5:$P$1004,MATCH($A925,Orders!$N$5:$N$1004,0)),""))</f>
        <v/>
      </c>
      <c r="J925" s="157" t="str">
        <f t="shared" si="1"/>
        <v/>
      </c>
      <c r="K925" s="153" t="str">
        <f t="array" ref="K925">IF($A925="","",IFERROR(INDEX(Sales!$M:$M,MATCH($A925,Sales!$E:$E,0)),""))</f>
        <v/>
      </c>
      <c r="L925" s="158" t="str">
        <f t="shared" si="2"/>
        <v/>
      </c>
      <c r="N925" s="49" t="str">
        <f t="array" ref="N925">IFERROR(INDEX(Sales!$E$7:$E$1506,MATCH(ROW()-4,Sales!$V$7:$V$1506,0)),"")</f>
        <v/>
      </c>
      <c r="O925" s="67"/>
      <c r="P925" s="67"/>
    </row>
    <row r="926" ht="15.0" customHeight="1">
      <c r="A926" s="151" t="str">
        <f t="array" ref="A926">IFERROR(INDEX(Sales!$E$7:$E$1506,MATCH(ROW()-4,Sales!$W$7:$W$1506,0)),"")</f>
        <v/>
      </c>
      <c r="B926" s="152" t="str">
        <f t="array" ref="B926">IF($A926="","",IFERROR(INDEX(Sales!$A:$A,MATCH($A926,Sales!$E:$E,0)),""))</f>
        <v/>
      </c>
      <c r="C926" s="153" t="str">
        <f t="array" ref="C926">IF($A926="","",IFERROR(INDEX(Sales!$D:$D,MATCH($A926,Sales!$E:$E,0)),""))</f>
        <v/>
      </c>
      <c r="D926" s="153" t="str">
        <f t="array" ref="D926">IF($A926="","",IFERROR(INDEX(Sales!$C:$C,MATCH($A926,Sales!$E:$E,0)),""))</f>
        <v/>
      </c>
      <c r="E926" s="154" t="str">
        <f>IF($A926="","",SUMIFS(Sales!$H:$H,Sales!$E:$E,$A926,Sales!$B:$B,"&lt;&gt;Return"))</f>
        <v/>
      </c>
      <c r="F926" s="155" t="str">
        <f>IF($A926="","",SUMIF(Sales!$E:$E,$A926,Sales!$L:$L))</f>
        <v/>
      </c>
      <c r="G926" s="155" t="str">
        <f>IF($A926="","",SUMIF(Sales!$E:$E,$A926,Sales!$P:$P))</f>
        <v/>
      </c>
      <c r="H926" s="156" t="str">
        <f t="array" ref="H926">IF($A926="","",IFERROR(INDEX(Orders!$O$5:$O$1004,MATCH($A926,Orders!$N$5:$N$1004,0)),""))</f>
        <v/>
      </c>
      <c r="I926" s="156" t="str">
        <f t="array" ref="I926">IF($A926="","",IFERROR(INDEX(Orders!$P$5:$P$1004,MATCH($A926,Orders!$N$5:$N$1004,0)),""))</f>
        <v/>
      </c>
      <c r="J926" s="157" t="str">
        <f t="shared" si="1"/>
        <v/>
      </c>
      <c r="K926" s="153" t="str">
        <f t="array" ref="K926">IF($A926="","",IFERROR(INDEX(Sales!$M:$M,MATCH($A926,Sales!$E:$E,0)),""))</f>
        <v/>
      </c>
      <c r="L926" s="158" t="str">
        <f t="shared" si="2"/>
        <v/>
      </c>
      <c r="N926" s="49" t="str">
        <f t="array" ref="N926">IFERROR(INDEX(Sales!$E$7:$E$1506,MATCH(ROW()-4,Sales!$V$7:$V$1506,0)),"")</f>
        <v/>
      </c>
      <c r="O926" s="67"/>
      <c r="P926" s="67"/>
    </row>
    <row r="927" ht="15.0" customHeight="1">
      <c r="A927" s="151" t="str">
        <f t="array" ref="A927">IFERROR(INDEX(Sales!$E$7:$E$1506,MATCH(ROW()-4,Sales!$W$7:$W$1506,0)),"")</f>
        <v/>
      </c>
      <c r="B927" s="152" t="str">
        <f t="array" ref="B927">IF($A927="","",IFERROR(INDEX(Sales!$A:$A,MATCH($A927,Sales!$E:$E,0)),""))</f>
        <v/>
      </c>
      <c r="C927" s="153" t="str">
        <f t="array" ref="C927">IF($A927="","",IFERROR(INDEX(Sales!$D:$D,MATCH($A927,Sales!$E:$E,0)),""))</f>
        <v/>
      </c>
      <c r="D927" s="153" t="str">
        <f t="array" ref="D927">IF($A927="","",IFERROR(INDEX(Sales!$C:$C,MATCH($A927,Sales!$E:$E,0)),""))</f>
        <v/>
      </c>
      <c r="E927" s="154" t="str">
        <f>IF($A927="","",SUMIFS(Sales!$H:$H,Sales!$E:$E,$A927,Sales!$B:$B,"&lt;&gt;Return"))</f>
        <v/>
      </c>
      <c r="F927" s="155" t="str">
        <f>IF($A927="","",SUMIF(Sales!$E:$E,$A927,Sales!$L:$L))</f>
        <v/>
      </c>
      <c r="G927" s="155" t="str">
        <f>IF($A927="","",SUMIF(Sales!$E:$E,$A927,Sales!$P:$P))</f>
        <v/>
      </c>
      <c r="H927" s="156" t="str">
        <f t="array" ref="H927">IF($A927="","",IFERROR(INDEX(Orders!$O$5:$O$1004,MATCH($A927,Orders!$N$5:$N$1004,0)),""))</f>
        <v/>
      </c>
      <c r="I927" s="156" t="str">
        <f t="array" ref="I927">IF($A927="","",IFERROR(INDEX(Orders!$P$5:$P$1004,MATCH($A927,Orders!$N$5:$N$1004,0)),""))</f>
        <v/>
      </c>
      <c r="J927" s="157" t="str">
        <f t="shared" si="1"/>
        <v/>
      </c>
      <c r="K927" s="153" t="str">
        <f t="array" ref="K927">IF($A927="","",IFERROR(INDEX(Sales!$M:$M,MATCH($A927,Sales!$E:$E,0)),""))</f>
        <v/>
      </c>
      <c r="L927" s="158" t="str">
        <f t="shared" si="2"/>
        <v/>
      </c>
      <c r="N927" s="49" t="str">
        <f t="array" ref="N927">IFERROR(INDEX(Sales!$E$7:$E$1506,MATCH(ROW()-4,Sales!$V$7:$V$1506,0)),"")</f>
        <v/>
      </c>
      <c r="O927" s="67"/>
      <c r="P927" s="67"/>
    </row>
    <row r="928" ht="15.0" customHeight="1">
      <c r="A928" s="151" t="str">
        <f t="array" ref="A928">IFERROR(INDEX(Sales!$E$7:$E$1506,MATCH(ROW()-4,Sales!$W$7:$W$1506,0)),"")</f>
        <v/>
      </c>
      <c r="B928" s="152" t="str">
        <f t="array" ref="B928">IF($A928="","",IFERROR(INDEX(Sales!$A:$A,MATCH($A928,Sales!$E:$E,0)),""))</f>
        <v/>
      </c>
      <c r="C928" s="153" t="str">
        <f t="array" ref="C928">IF($A928="","",IFERROR(INDEX(Sales!$D:$D,MATCH($A928,Sales!$E:$E,0)),""))</f>
        <v/>
      </c>
      <c r="D928" s="153" t="str">
        <f t="array" ref="D928">IF($A928="","",IFERROR(INDEX(Sales!$C:$C,MATCH($A928,Sales!$E:$E,0)),""))</f>
        <v/>
      </c>
      <c r="E928" s="154" t="str">
        <f>IF($A928="","",SUMIFS(Sales!$H:$H,Sales!$E:$E,$A928,Sales!$B:$B,"&lt;&gt;Return"))</f>
        <v/>
      </c>
      <c r="F928" s="155" t="str">
        <f>IF($A928="","",SUMIF(Sales!$E:$E,$A928,Sales!$L:$L))</f>
        <v/>
      </c>
      <c r="G928" s="155" t="str">
        <f>IF($A928="","",SUMIF(Sales!$E:$E,$A928,Sales!$P:$P))</f>
        <v/>
      </c>
      <c r="H928" s="156" t="str">
        <f t="array" ref="H928">IF($A928="","",IFERROR(INDEX(Orders!$O$5:$O$1004,MATCH($A928,Orders!$N$5:$N$1004,0)),""))</f>
        <v/>
      </c>
      <c r="I928" s="156" t="str">
        <f t="array" ref="I928">IF($A928="","",IFERROR(INDEX(Orders!$P$5:$P$1004,MATCH($A928,Orders!$N$5:$N$1004,0)),""))</f>
        <v/>
      </c>
      <c r="J928" s="157" t="str">
        <f t="shared" si="1"/>
        <v/>
      </c>
      <c r="K928" s="153" t="str">
        <f t="array" ref="K928">IF($A928="","",IFERROR(INDEX(Sales!$M:$M,MATCH($A928,Sales!$E:$E,0)),""))</f>
        <v/>
      </c>
      <c r="L928" s="158" t="str">
        <f t="shared" si="2"/>
        <v/>
      </c>
      <c r="N928" s="49" t="str">
        <f t="array" ref="N928">IFERROR(INDEX(Sales!$E$7:$E$1506,MATCH(ROW()-4,Sales!$V$7:$V$1506,0)),"")</f>
        <v/>
      </c>
      <c r="O928" s="67"/>
      <c r="P928" s="67"/>
    </row>
    <row r="929" ht="15.0" customHeight="1">
      <c r="A929" s="151" t="str">
        <f t="array" ref="A929">IFERROR(INDEX(Sales!$E$7:$E$1506,MATCH(ROW()-4,Sales!$W$7:$W$1506,0)),"")</f>
        <v/>
      </c>
      <c r="B929" s="152" t="str">
        <f t="array" ref="B929">IF($A929="","",IFERROR(INDEX(Sales!$A:$A,MATCH($A929,Sales!$E:$E,0)),""))</f>
        <v/>
      </c>
      <c r="C929" s="153" t="str">
        <f t="array" ref="C929">IF($A929="","",IFERROR(INDEX(Sales!$D:$D,MATCH($A929,Sales!$E:$E,0)),""))</f>
        <v/>
      </c>
      <c r="D929" s="153" t="str">
        <f t="array" ref="D929">IF($A929="","",IFERROR(INDEX(Sales!$C:$C,MATCH($A929,Sales!$E:$E,0)),""))</f>
        <v/>
      </c>
      <c r="E929" s="154" t="str">
        <f>IF($A929="","",SUMIFS(Sales!$H:$H,Sales!$E:$E,$A929,Sales!$B:$B,"&lt;&gt;Return"))</f>
        <v/>
      </c>
      <c r="F929" s="155" t="str">
        <f>IF($A929="","",SUMIF(Sales!$E:$E,$A929,Sales!$L:$L))</f>
        <v/>
      </c>
      <c r="G929" s="155" t="str">
        <f>IF($A929="","",SUMIF(Sales!$E:$E,$A929,Sales!$P:$P))</f>
        <v/>
      </c>
      <c r="H929" s="156" t="str">
        <f t="array" ref="H929">IF($A929="","",IFERROR(INDEX(Orders!$O$5:$O$1004,MATCH($A929,Orders!$N$5:$N$1004,0)),""))</f>
        <v/>
      </c>
      <c r="I929" s="156" t="str">
        <f t="array" ref="I929">IF($A929="","",IFERROR(INDEX(Orders!$P$5:$P$1004,MATCH($A929,Orders!$N$5:$N$1004,0)),""))</f>
        <v/>
      </c>
      <c r="J929" s="157" t="str">
        <f t="shared" si="1"/>
        <v/>
      </c>
      <c r="K929" s="153" t="str">
        <f t="array" ref="K929">IF($A929="","",IFERROR(INDEX(Sales!$M:$M,MATCH($A929,Sales!$E:$E,0)),""))</f>
        <v/>
      </c>
      <c r="L929" s="158" t="str">
        <f t="shared" si="2"/>
        <v/>
      </c>
      <c r="N929" s="49" t="str">
        <f t="array" ref="N929">IFERROR(INDEX(Sales!$E$7:$E$1506,MATCH(ROW()-4,Sales!$V$7:$V$1506,0)),"")</f>
        <v/>
      </c>
      <c r="O929" s="67"/>
      <c r="P929" s="67"/>
    </row>
    <row r="930" ht="15.0" customHeight="1">
      <c r="A930" s="151" t="str">
        <f t="array" ref="A930">IFERROR(INDEX(Sales!$E$7:$E$1506,MATCH(ROW()-4,Sales!$W$7:$W$1506,0)),"")</f>
        <v/>
      </c>
      <c r="B930" s="152" t="str">
        <f t="array" ref="B930">IF($A930="","",IFERROR(INDEX(Sales!$A:$A,MATCH($A930,Sales!$E:$E,0)),""))</f>
        <v/>
      </c>
      <c r="C930" s="153" t="str">
        <f t="array" ref="C930">IF($A930="","",IFERROR(INDEX(Sales!$D:$D,MATCH($A930,Sales!$E:$E,0)),""))</f>
        <v/>
      </c>
      <c r="D930" s="153" t="str">
        <f t="array" ref="D930">IF($A930="","",IFERROR(INDEX(Sales!$C:$C,MATCH($A930,Sales!$E:$E,0)),""))</f>
        <v/>
      </c>
      <c r="E930" s="154" t="str">
        <f>IF($A930="","",SUMIFS(Sales!$H:$H,Sales!$E:$E,$A930,Sales!$B:$B,"&lt;&gt;Return"))</f>
        <v/>
      </c>
      <c r="F930" s="155" t="str">
        <f>IF($A930="","",SUMIF(Sales!$E:$E,$A930,Sales!$L:$L))</f>
        <v/>
      </c>
      <c r="G930" s="155" t="str">
        <f>IF($A930="","",SUMIF(Sales!$E:$E,$A930,Sales!$P:$P))</f>
        <v/>
      </c>
      <c r="H930" s="156" t="str">
        <f t="array" ref="H930">IF($A930="","",IFERROR(INDEX(Orders!$O$5:$O$1004,MATCH($A930,Orders!$N$5:$N$1004,0)),""))</f>
        <v/>
      </c>
      <c r="I930" s="156" t="str">
        <f t="array" ref="I930">IF($A930="","",IFERROR(INDEX(Orders!$P$5:$P$1004,MATCH($A930,Orders!$N$5:$N$1004,0)),""))</f>
        <v/>
      </c>
      <c r="J930" s="157" t="str">
        <f t="shared" si="1"/>
        <v/>
      </c>
      <c r="K930" s="153" t="str">
        <f t="array" ref="K930">IF($A930="","",IFERROR(INDEX(Sales!$M:$M,MATCH($A930,Sales!$E:$E,0)),""))</f>
        <v/>
      </c>
      <c r="L930" s="158" t="str">
        <f t="shared" si="2"/>
        <v/>
      </c>
      <c r="N930" s="49" t="str">
        <f t="array" ref="N930">IFERROR(INDEX(Sales!$E$7:$E$1506,MATCH(ROW()-4,Sales!$V$7:$V$1506,0)),"")</f>
        <v/>
      </c>
      <c r="O930" s="67"/>
      <c r="P930" s="67"/>
    </row>
    <row r="931" ht="15.0" customHeight="1">
      <c r="A931" s="151" t="str">
        <f t="array" ref="A931">IFERROR(INDEX(Sales!$E$7:$E$1506,MATCH(ROW()-4,Sales!$W$7:$W$1506,0)),"")</f>
        <v/>
      </c>
      <c r="B931" s="152" t="str">
        <f t="array" ref="B931">IF($A931="","",IFERROR(INDEX(Sales!$A:$A,MATCH($A931,Sales!$E:$E,0)),""))</f>
        <v/>
      </c>
      <c r="C931" s="153" t="str">
        <f t="array" ref="C931">IF($A931="","",IFERROR(INDEX(Sales!$D:$D,MATCH($A931,Sales!$E:$E,0)),""))</f>
        <v/>
      </c>
      <c r="D931" s="153" t="str">
        <f t="array" ref="D931">IF($A931="","",IFERROR(INDEX(Sales!$C:$C,MATCH($A931,Sales!$E:$E,0)),""))</f>
        <v/>
      </c>
      <c r="E931" s="154" t="str">
        <f>IF($A931="","",SUMIFS(Sales!$H:$H,Sales!$E:$E,$A931,Sales!$B:$B,"&lt;&gt;Return"))</f>
        <v/>
      </c>
      <c r="F931" s="155" t="str">
        <f>IF($A931="","",SUMIF(Sales!$E:$E,$A931,Sales!$L:$L))</f>
        <v/>
      </c>
      <c r="G931" s="155" t="str">
        <f>IF($A931="","",SUMIF(Sales!$E:$E,$A931,Sales!$P:$P))</f>
        <v/>
      </c>
      <c r="H931" s="156" t="str">
        <f t="array" ref="H931">IF($A931="","",IFERROR(INDEX(Orders!$O$5:$O$1004,MATCH($A931,Orders!$N$5:$N$1004,0)),""))</f>
        <v/>
      </c>
      <c r="I931" s="156" t="str">
        <f t="array" ref="I931">IF($A931="","",IFERROR(INDEX(Orders!$P$5:$P$1004,MATCH($A931,Orders!$N$5:$N$1004,0)),""))</f>
        <v/>
      </c>
      <c r="J931" s="157" t="str">
        <f t="shared" si="1"/>
        <v/>
      </c>
      <c r="K931" s="153" t="str">
        <f t="array" ref="K931">IF($A931="","",IFERROR(INDEX(Sales!$M:$M,MATCH($A931,Sales!$E:$E,0)),""))</f>
        <v/>
      </c>
      <c r="L931" s="158" t="str">
        <f t="shared" si="2"/>
        <v/>
      </c>
      <c r="N931" s="49" t="str">
        <f t="array" ref="N931">IFERROR(INDEX(Sales!$E$7:$E$1506,MATCH(ROW()-4,Sales!$V$7:$V$1506,0)),"")</f>
        <v/>
      </c>
      <c r="O931" s="67"/>
      <c r="P931" s="67"/>
    </row>
    <row r="932" ht="15.0" customHeight="1">
      <c r="A932" s="151" t="str">
        <f t="array" ref="A932">IFERROR(INDEX(Sales!$E$7:$E$1506,MATCH(ROW()-4,Sales!$W$7:$W$1506,0)),"")</f>
        <v/>
      </c>
      <c r="B932" s="152" t="str">
        <f t="array" ref="B932">IF($A932="","",IFERROR(INDEX(Sales!$A:$A,MATCH($A932,Sales!$E:$E,0)),""))</f>
        <v/>
      </c>
      <c r="C932" s="153" t="str">
        <f t="array" ref="C932">IF($A932="","",IFERROR(INDEX(Sales!$D:$D,MATCH($A932,Sales!$E:$E,0)),""))</f>
        <v/>
      </c>
      <c r="D932" s="153" t="str">
        <f t="array" ref="D932">IF($A932="","",IFERROR(INDEX(Sales!$C:$C,MATCH($A932,Sales!$E:$E,0)),""))</f>
        <v/>
      </c>
      <c r="E932" s="154" t="str">
        <f>IF($A932="","",SUMIFS(Sales!$H:$H,Sales!$E:$E,$A932,Sales!$B:$B,"&lt;&gt;Return"))</f>
        <v/>
      </c>
      <c r="F932" s="155" t="str">
        <f>IF($A932="","",SUMIF(Sales!$E:$E,$A932,Sales!$L:$L))</f>
        <v/>
      </c>
      <c r="G932" s="155" t="str">
        <f>IF($A932="","",SUMIF(Sales!$E:$E,$A932,Sales!$P:$P))</f>
        <v/>
      </c>
      <c r="H932" s="156" t="str">
        <f t="array" ref="H932">IF($A932="","",IFERROR(INDEX(Orders!$O$5:$O$1004,MATCH($A932,Orders!$N$5:$N$1004,0)),""))</f>
        <v/>
      </c>
      <c r="I932" s="156" t="str">
        <f t="array" ref="I932">IF($A932="","",IFERROR(INDEX(Orders!$P$5:$P$1004,MATCH($A932,Orders!$N$5:$N$1004,0)),""))</f>
        <v/>
      </c>
      <c r="J932" s="157" t="str">
        <f t="shared" si="1"/>
        <v/>
      </c>
      <c r="K932" s="153" t="str">
        <f t="array" ref="K932">IF($A932="","",IFERROR(INDEX(Sales!$M:$M,MATCH($A932,Sales!$E:$E,0)),""))</f>
        <v/>
      </c>
      <c r="L932" s="158" t="str">
        <f t="shared" si="2"/>
        <v/>
      </c>
      <c r="N932" s="49" t="str">
        <f t="array" ref="N932">IFERROR(INDEX(Sales!$E$7:$E$1506,MATCH(ROW()-4,Sales!$V$7:$V$1506,0)),"")</f>
        <v/>
      </c>
      <c r="O932" s="67"/>
      <c r="P932" s="67"/>
    </row>
    <row r="933" ht="15.0" customHeight="1">
      <c r="A933" s="151" t="str">
        <f t="array" ref="A933">IFERROR(INDEX(Sales!$E$7:$E$1506,MATCH(ROW()-4,Sales!$W$7:$W$1506,0)),"")</f>
        <v/>
      </c>
      <c r="B933" s="152" t="str">
        <f t="array" ref="B933">IF($A933="","",IFERROR(INDEX(Sales!$A:$A,MATCH($A933,Sales!$E:$E,0)),""))</f>
        <v/>
      </c>
      <c r="C933" s="153" t="str">
        <f t="array" ref="C933">IF($A933="","",IFERROR(INDEX(Sales!$D:$D,MATCH($A933,Sales!$E:$E,0)),""))</f>
        <v/>
      </c>
      <c r="D933" s="153" t="str">
        <f t="array" ref="D933">IF($A933="","",IFERROR(INDEX(Sales!$C:$C,MATCH($A933,Sales!$E:$E,0)),""))</f>
        <v/>
      </c>
      <c r="E933" s="154" t="str">
        <f>IF($A933="","",SUMIFS(Sales!$H:$H,Sales!$E:$E,$A933,Sales!$B:$B,"&lt;&gt;Return"))</f>
        <v/>
      </c>
      <c r="F933" s="155" t="str">
        <f>IF($A933="","",SUMIF(Sales!$E:$E,$A933,Sales!$L:$L))</f>
        <v/>
      </c>
      <c r="G933" s="155" t="str">
        <f>IF($A933="","",SUMIF(Sales!$E:$E,$A933,Sales!$P:$P))</f>
        <v/>
      </c>
      <c r="H933" s="156" t="str">
        <f t="array" ref="H933">IF($A933="","",IFERROR(INDEX(Orders!$O$5:$O$1004,MATCH($A933,Orders!$N$5:$N$1004,0)),""))</f>
        <v/>
      </c>
      <c r="I933" s="156" t="str">
        <f t="array" ref="I933">IF($A933="","",IFERROR(INDEX(Orders!$P$5:$P$1004,MATCH($A933,Orders!$N$5:$N$1004,0)),""))</f>
        <v/>
      </c>
      <c r="J933" s="157" t="str">
        <f t="shared" si="1"/>
        <v/>
      </c>
      <c r="K933" s="153" t="str">
        <f t="array" ref="K933">IF($A933="","",IFERROR(INDEX(Sales!$M:$M,MATCH($A933,Sales!$E:$E,0)),""))</f>
        <v/>
      </c>
      <c r="L933" s="158" t="str">
        <f t="shared" si="2"/>
        <v/>
      </c>
      <c r="N933" s="49" t="str">
        <f t="array" ref="N933">IFERROR(INDEX(Sales!$E$7:$E$1506,MATCH(ROW()-4,Sales!$V$7:$V$1506,0)),"")</f>
        <v/>
      </c>
      <c r="O933" s="67"/>
      <c r="P933" s="67"/>
    </row>
    <row r="934" ht="15.0" customHeight="1">
      <c r="A934" s="151" t="str">
        <f t="array" ref="A934">IFERROR(INDEX(Sales!$E$7:$E$1506,MATCH(ROW()-4,Sales!$W$7:$W$1506,0)),"")</f>
        <v/>
      </c>
      <c r="B934" s="152" t="str">
        <f t="array" ref="B934">IF($A934="","",IFERROR(INDEX(Sales!$A:$A,MATCH($A934,Sales!$E:$E,0)),""))</f>
        <v/>
      </c>
      <c r="C934" s="153" t="str">
        <f t="array" ref="C934">IF($A934="","",IFERROR(INDEX(Sales!$D:$D,MATCH($A934,Sales!$E:$E,0)),""))</f>
        <v/>
      </c>
      <c r="D934" s="153" t="str">
        <f t="array" ref="D934">IF($A934="","",IFERROR(INDEX(Sales!$C:$C,MATCH($A934,Sales!$E:$E,0)),""))</f>
        <v/>
      </c>
      <c r="E934" s="154" t="str">
        <f>IF($A934="","",SUMIFS(Sales!$H:$H,Sales!$E:$E,$A934,Sales!$B:$B,"&lt;&gt;Return"))</f>
        <v/>
      </c>
      <c r="F934" s="155" t="str">
        <f>IF($A934="","",SUMIF(Sales!$E:$E,$A934,Sales!$L:$L))</f>
        <v/>
      </c>
      <c r="G934" s="155" t="str">
        <f>IF($A934="","",SUMIF(Sales!$E:$E,$A934,Sales!$P:$P))</f>
        <v/>
      </c>
      <c r="H934" s="156" t="str">
        <f t="array" ref="H934">IF($A934="","",IFERROR(INDEX(Orders!$O$5:$O$1004,MATCH($A934,Orders!$N$5:$N$1004,0)),""))</f>
        <v/>
      </c>
      <c r="I934" s="156" t="str">
        <f t="array" ref="I934">IF($A934="","",IFERROR(INDEX(Orders!$P$5:$P$1004,MATCH($A934,Orders!$N$5:$N$1004,0)),""))</f>
        <v/>
      </c>
      <c r="J934" s="157" t="str">
        <f t="shared" si="1"/>
        <v/>
      </c>
      <c r="K934" s="153" t="str">
        <f t="array" ref="K934">IF($A934="","",IFERROR(INDEX(Sales!$M:$M,MATCH($A934,Sales!$E:$E,0)),""))</f>
        <v/>
      </c>
      <c r="L934" s="158" t="str">
        <f t="shared" si="2"/>
        <v/>
      </c>
      <c r="N934" s="49" t="str">
        <f t="array" ref="N934">IFERROR(INDEX(Sales!$E$7:$E$1506,MATCH(ROW()-4,Sales!$V$7:$V$1506,0)),"")</f>
        <v/>
      </c>
      <c r="O934" s="67"/>
      <c r="P934" s="67"/>
    </row>
    <row r="935" ht="15.0" customHeight="1">
      <c r="A935" s="151" t="str">
        <f t="array" ref="A935">IFERROR(INDEX(Sales!$E$7:$E$1506,MATCH(ROW()-4,Sales!$W$7:$W$1506,0)),"")</f>
        <v/>
      </c>
      <c r="B935" s="152" t="str">
        <f t="array" ref="B935">IF($A935="","",IFERROR(INDEX(Sales!$A:$A,MATCH($A935,Sales!$E:$E,0)),""))</f>
        <v/>
      </c>
      <c r="C935" s="153" t="str">
        <f t="array" ref="C935">IF($A935="","",IFERROR(INDEX(Sales!$D:$D,MATCH($A935,Sales!$E:$E,0)),""))</f>
        <v/>
      </c>
      <c r="D935" s="153" t="str">
        <f t="array" ref="D935">IF($A935="","",IFERROR(INDEX(Sales!$C:$C,MATCH($A935,Sales!$E:$E,0)),""))</f>
        <v/>
      </c>
      <c r="E935" s="154" t="str">
        <f>IF($A935="","",SUMIFS(Sales!$H:$H,Sales!$E:$E,$A935,Sales!$B:$B,"&lt;&gt;Return"))</f>
        <v/>
      </c>
      <c r="F935" s="155" t="str">
        <f>IF($A935="","",SUMIF(Sales!$E:$E,$A935,Sales!$L:$L))</f>
        <v/>
      </c>
      <c r="G935" s="155" t="str">
        <f>IF($A935="","",SUMIF(Sales!$E:$E,$A935,Sales!$P:$P))</f>
        <v/>
      </c>
      <c r="H935" s="156" t="str">
        <f t="array" ref="H935">IF($A935="","",IFERROR(INDEX(Orders!$O$5:$O$1004,MATCH($A935,Orders!$N$5:$N$1004,0)),""))</f>
        <v/>
      </c>
      <c r="I935" s="156" t="str">
        <f t="array" ref="I935">IF($A935="","",IFERROR(INDEX(Orders!$P$5:$P$1004,MATCH($A935,Orders!$N$5:$N$1004,0)),""))</f>
        <v/>
      </c>
      <c r="J935" s="157" t="str">
        <f t="shared" si="1"/>
        <v/>
      </c>
      <c r="K935" s="153" t="str">
        <f t="array" ref="K935">IF($A935="","",IFERROR(INDEX(Sales!$M:$M,MATCH($A935,Sales!$E:$E,0)),""))</f>
        <v/>
      </c>
      <c r="L935" s="158" t="str">
        <f t="shared" si="2"/>
        <v/>
      </c>
      <c r="N935" s="49" t="str">
        <f t="array" ref="N935">IFERROR(INDEX(Sales!$E$7:$E$1506,MATCH(ROW()-4,Sales!$V$7:$V$1506,0)),"")</f>
        <v/>
      </c>
      <c r="O935" s="67"/>
      <c r="P935" s="67"/>
    </row>
    <row r="936" ht="15.0" customHeight="1">
      <c r="A936" s="151" t="str">
        <f t="array" ref="A936">IFERROR(INDEX(Sales!$E$7:$E$1506,MATCH(ROW()-4,Sales!$W$7:$W$1506,0)),"")</f>
        <v/>
      </c>
      <c r="B936" s="152" t="str">
        <f t="array" ref="B936">IF($A936="","",IFERROR(INDEX(Sales!$A:$A,MATCH($A936,Sales!$E:$E,0)),""))</f>
        <v/>
      </c>
      <c r="C936" s="153" t="str">
        <f t="array" ref="C936">IF($A936="","",IFERROR(INDEX(Sales!$D:$D,MATCH($A936,Sales!$E:$E,0)),""))</f>
        <v/>
      </c>
      <c r="D936" s="153" t="str">
        <f t="array" ref="D936">IF($A936="","",IFERROR(INDEX(Sales!$C:$C,MATCH($A936,Sales!$E:$E,0)),""))</f>
        <v/>
      </c>
      <c r="E936" s="154" t="str">
        <f>IF($A936="","",SUMIFS(Sales!$H:$H,Sales!$E:$E,$A936,Sales!$B:$B,"&lt;&gt;Return"))</f>
        <v/>
      </c>
      <c r="F936" s="155" t="str">
        <f>IF($A936="","",SUMIF(Sales!$E:$E,$A936,Sales!$L:$L))</f>
        <v/>
      </c>
      <c r="G936" s="155" t="str">
        <f>IF($A936="","",SUMIF(Sales!$E:$E,$A936,Sales!$P:$P))</f>
        <v/>
      </c>
      <c r="H936" s="156" t="str">
        <f t="array" ref="H936">IF($A936="","",IFERROR(INDEX(Orders!$O$5:$O$1004,MATCH($A936,Orders!$N$5:$N$1004,0)),""))</f>
        <v/>
      </c>
      <c r="I936" s="156" t="str">
        <f t="array" ref="I936">IF($A936="","",IFERROR(INDEX(Orders!$P$5:$P$1004,MATCH($A936,Orders!$N$5:$N$1004,0)),""))</f>
        <v/>
      </c>
      <c r="J936" s="157" t="str">
        <f t="shared" si="1"/>
        <v/>
      </c>
      <c r="K936" s="153" t="str">
        <f t="array" ref="K936">IF($A936="","",IFERROR(INDEX(Sales!$M:$M,MATCH($A936,Sales!$E:$E,0)),""))</f>
        <v/>
      </c>
      <c r="L936" s="158" t="str">
        <f t="shared" si="2"/>
        <v/>
      </c>
      <c r="N936" s="49" t="str">
        <f t="array" ref="N936">IFERROR(INDEX(Sales!$E$7:$E$1506,MATCH(ROW()-4,Sales!$V$7:$V$1506,0)),"")</f>
        <v/>
      </c>
      <c r="O936" s="67"/>
      <c r="P936" s="67"/>
    </row>
    <row r="937" ht="15.0" customHeight="1">
      <c r="A937" s="151" t="str">
        <f t="array" ref="A937">IFERROR(INDEX(Sales!$E$7:$E$1506,MATCH(ROW()-4,Sales!$W$7:$W$1506,0)),"")</f>
        <v/>
      </c>
      <c r="B937" s="152" t="str">
        <f t="array" ref="B937">IF($A937="","",IFERROR(INDEX(Sales!$A:$A,MATCH($A937,Sales!$E:$E,0)),""))</f>
        <v/>
      </c>
      <c r="C937" s="153" t="str">
        <f t="array" ref="C937">IF($A937="","",IFERROR(INDEX(Sales!$D:$D,MATCH($A937,Sales!$E:$E,0)),""))</f>
        <v/>
      </c>
      <c r="D937" s="153" t="str">
        <f t="array" ref="D937">IF($A937="","",IFERROR(INDEX(Sales!$C:$C,MATCH($A937,Sales!$E:$E,0)),""))</f>
        <v/>
      </c>
      <c r="E937" s="154" t="str">
        <f>IF($A937="","",SUMIFS(Sales!$H:$H,Sales!$E:$E,$A937,Sales!$B:$B,"&lt;&gt;Return"))</f>
        <v/>
      </c>
      <c r="F937" s="155" t="str">
        <f>IF($A937="","",SUMIF(Sales!$E:$E,$A937,Sales!$L:$L))</f>
        <v/>
      </c>
      <c r="G937" s="155" t="str">
        <f>IF($A937="","",SUMIF(Sales!$E:$E,$A937,Sales!$P:$P))</f>
        <v/>
      </c>
      <c r="H937" s="156" t="str">
        <f t="array" ref="H937">IF($A937="","",IFERROR(INDEX(Orders!$O$5:$O$1004,MATCH($A937,Orders!$N$5:$N$1004,0)),""))</f>
        <v/>
      </c>
      <c r="I937" s="156" t="str">
        <f t="array" ref="I937">IF($A937="","",IFERROR(INDEX(Orders!$P$5:$P$1004,MATCH($A937,Orders!$N$5:$N$1004,0)),""))</f>
        <v/>
      </c>
      <c r="J937" s="157" t="str">
        <f t="shared" si="1"/>
        <v/>
      </c>
      <c r="K937" s="153" t="str">
        <f t="array" ref="K937">IF($A937="","",IFERROR(INDEX(Sales!$M:$M,MATCH($A937,Sales!$E:$E,0)),""))</f>
        <v/>
      </c>
      <c r="L937" s="158" t="str">
        <f t="shared" si="2"/>
        <v/>
      </c>
      <c r="N937" s="49" t="str">
        <f t="array" ref="N937">IFERROR(INDEX(Sales!$E$7:$E$1506,MATCH(ROW()-4,Sales!$V$7:$V$1506,0)),"")</f>
        <v/>
      </c>
      <c r="O937" s="67"/>
      <c r="P937" s="67"/>
    </row>
    <row r="938" ht="15.0" customHeight="1">
      <c r="A938" s="151" t="str">
        <f t="array" ref="A938">IFERROR(INDEX(Sales!$E$7:$E$1506,MATCH(ROW()-4,Sales!$W$7:$W$1506,0)),"")</f>
        <v/>
      </c>
      <c r="B938" s="152" t="str">
        <f t="array" ref="B938">IF($A938="","",IFERROR(INDEX(Sales!$A:$A,MATCH($A938,Sales!$E:$E,0)),""))</f>
        <v/>
      </c>
      <c r="C938" s="153" t="str">
        <f t="array" ref="C938">IF($A938="","",IFERROR(INDEX(Sales!$D:$D,MATCH($A938,Sales!$E:$E,0)),""))</f>
        <v/>
      </c>
      <c r="D938" s="153" t="str">
        <f t="array" ref="D938">IF($A938="","",IFERROR(INDEX(Sales!$C:$C,MATCH($A938,Sales!$E:$E,0)),""))</f>
        <v/>
      </c>
      <c r="E938" s="154" t="str">
        <f>IF($A938="","",SUMIFS(Sales!$H:$H,Sales!$E:$E,$A938,Sales!$B:$B,"&lt;&gt;Return"))</f>
        <v/>
      </c>
      <c r="F938" s="155" t="str">
        <f>IF($A938="","",SUMIF(Sales!$E:$E,$A938,Sales!$L:$L))</f>
        <v/>
      </c>
      <c r="G938" s="155" t="str">
        <f>IF($A938="","",SUMIF(Sales!$E:$E,$A938,Sales!$P:$P))</f>
        <v/>
      </c>
      <c r="H938" s="156" t="str">
        <f t="array" ref="H938">IF($A938="","",IFERROR(INDEX(Orders!$O$5:$O$1004,MATCH($A938,Orders!$N$5:$N$1004,0)),""))</f>
        <v/>
      </c>
      <c r="I938" s="156" t="str">
        <f t="array" ref="I938">IF($A938="","",IFERROR(INDEX(Orders!$P$5:$P$1004,MATCH($A938,Orders!$N$5:$N$1004,0)),""))</f>
        <v/>
      </c>
      <c r="J938" s="157" t="str">
        <f t="shared" si="1"/>
        <v/>
      </c>
      <c r="K938" s="153" t="str">
        <f t="array" ref="K938">IF($A938="","",IFERROR(INDEX(Sales!$M:$M,MATCH($A938,Sales!$E:$E,0)),""))</f>
        <v/>
      </c>
      <c r="L938" s="158" t="str">
        <f t="shared" si="2"/>
        <v/>
      </c>
      <c r="N938" s="49" t="str">
        <f t="array" ref="N938">IFERROR(INDEX(Sales!$E$7:$E$1506,MATCH(ROW()-4,Sales!$V$7:$V$1506,0)),"")</f>
        <v/>
      </c>
      <c r="O938" s="67"/>
      <c r="P938" s="67"/>
    </row>
    <row r="939" ht="15.0" customHeight="1">
      <c r="A939" s="151" t="str">
        <f t="array" ref="A939">IFERROR(INDEX(Sales!$E$7:$E$1506,MATCH(ROW()-4,Sales!$W$7:$W$1506,0)),"")</f>
        <v/>
      </c>
      <c r="B939" s="152" t="str">
        <f t="array" ref="B939">IF($A939="","",IFERROR(INDEX(Sales!$A:$A,MATCH($A939,Sales!$E:$E,0)),""))</f>
        <v/>
      </c>
      <c r="C939" s="153" t="str">
        <f t="array" ref="C939">IF($A939="","",IFERROR(INDEX(Sales!$D:$D,MATCH($A939,Sales!$E:$E,0)),""))</f>
        <v/>
      </c>
      <c r="D939" s="153" t="str">
        <f t="array" ref="D939">IF($A939="","",IFERROR(INDEX(Sales!$C:$C,MATCH($A939,Sales!$E:$E,0)),""))</f>
        <v/>
      </c>
      <c r="E939" s="154" t="str">
        <f>IF($A939="","",SUMIFS(Sales!$H:$H,Sales!$E:$E,$A939,Sales!$B:$B,"&lt;&gt;Return"))</f>
        <v/>
      </c>
      <c r="F939" s="155" t="str">
        <f>IF($A939="","",SUMIF(Sales!$E:$E,$A939,Sales!$L:$L))</f>
        <v/>
      </c>
      <c r="G939" s="155" t="str">
        <f>IF($A939="","",SUMIF(Sales!$E:$E,$A939,Sales!$P:$P))</f>
        <v/>
      </c>
      <c r="H939" s="156" t="str">
        <f t="array" ref="H939">IF($A939="","",IFERROR(INDEX(Orders!$O$5:$O$1004,MATCH($A939,Orders!$N$5:$N$1004,0)),""))</f>
        <v/>
      </c>
      <c r="I939" s="156" t="str">
        <f t="array" ref="I939">IF($A939="","",IFERROR(INDEX(Orders!$P$5:$P$1004,MATCH($A939,Orders!$N$5:$N$1004,0)),""))</f>
        <v/>
      </c>
      <c r="J939" s="157" t="str">
        <f t="shared" si="1"/>
        <v/>
      </c>
      <c r="K939" s="153" t="str">
        <f t="array" ref="K939">IF($A939="","",IFERROR(INDEX(Sales!$M:$M,MATCH($A939,Sales!$E:$E,0)),""))</f>
        <v/>
      </c>
      <c r="L939" s="158" t="str">
        <f t="shared" si="2"/>
        <v/>
      </c>
      <c r="N939" s="49" t="str">
        <f t="array" ref="N939">IFERROR(INDEX(Sales!$E$7:$E$1506,MATCH(ROW()-4,Sales!$V$7:$V$1506,0)),"")</f>
        <v/>
      </c>
      <c r="O939" s="67"/>
      <c r="P939" s="67"/>
    </row>
    <row r="940" ht="15.0" customHeight="1">
      <c r="A940" s="151" t="str">
        <f t="array" ref="A940">IFERROR(INDEX(Sales!$E$7:$E$1506,MATCH(ROW()-4,Sales!$W$7:$W$1506,0)),"")</f>
        <v/>
      </c>
      <c r="B940" s="152" t="str">
        <f t="array" ref="B940">IF($A940="","",IFERROR(INDEX(Sales!$A:$A,MATCH($A940,Sales!$E:$E,0)),""))</f>
        <v/>
      </c>
      <c r="C940" s="153" t="str">
        <f t="array" ref="C940">IF($A940="","",IFERROR(INDEX(Sales!$D:$D,MATCH($A940,Sales!$E:$E,0)),""))</f>
        <v/>
      </c>
      <c r="D940" s="153" t="str">
        <f t="array" ref="D940">IF($A940="","",IFERROR(INDEX(Sales!$C:$C,MATCH($A940,Sales!$E:$E,0)),""))</f>
        <v/>
      </c>
      <c r="E940" s="154" t="str">
        <f>IF($A940="","",SUMIFS(Sales!$H:$H,Sales!$E:$E,$A940,Sales!$B:$B,"&lt;&gt;Return"))</f>
        <v/>
      </c>
      <c r="F940" s="155" t="str">
        <f>IF($A940="","",SUMIF(Sales!$E:$E,$A940,Sales!$L:$L))</f>
        <v/>
      </c>
      <c r="G940" s="155" t="str">
        <f>IF($A940="","",SUMIF(Sales!$E:$E,$A940,Sales!$P:$P))</f>
        <v/>
      </c>
      <c r="H940" s="156" t="str">
        <f t="array" ref="H940">IF($A940="","",IFERROR(INDEX(Orders!$O$5:$O$1004,MATCH($A940,Orders!$N$5:$N$1004,0)),""))</f>
        <v/>
      </c>
      <c r="I940" s="156" t="str">
        <f t="array" ref="I940">IF($A940="","",IFERROR(INDEX(Orders!$P$5:$P$1004,MATCH($A940,Orders!$N$5:$N$1004,0)),""))</f>
        <v/>
      </c>
      <c r="J940" s="157" t="str">
        <f t="shared" si="1"/>
        <v/>
      </c>
      <c r="K940" s="153" t="str">
        <f t="array" ref="K940">IF($A940="","",IFERROR(INDEX(Sales!$M:$M,MATCH($A940,Sales!$E:$E,0)),""))</f>
        <v/>
      </c>
      <c r="L940" s="158" t="str">
        <f t="shared" si="2"/>
        <v/>
      </c>
      <c r="N940" s="49" t="str">
        <f t="array" ref="N940">IFERROR(INDEX(Sales!$E$7:$E$1506,MATCH(ROW()-4,Sales!$V$7:$V$1506,0)),"")</f>
        <v/>
      </c>
      <c r="O940" s="67"/>
      <c r="P940" s="67"/>
    </row>
    <row r="941" ht="15.0" customHeight="1">
      <c r="A941" s="151" t="str">
        <f t="array" ref="A941">IFERROR(INDEX(Sales!$E$7:$E$1506,MATCH(ROW()-4,Sales!$W$7:$W$1506,0)),"")</f>
        <v/>
      </c>
      <c r="B941" s="152" t="str">
        <f t="array" ref="B941">IF($A941="","",IFERROR(INDEX(Sales!$A:$A,MATCH($A941,Sales!$E:$E,0)),""))</f>
        <v/>
      </c>
      <c r="C941" s="153" t="str">
        <f t="array" ref="C941">IF($A941="","",IFERROR(INDEX(Sales!$D:$D,MATCH($A941,Sales!$E:$E,0)),""))</f>
        <v/>
      </c>
      <c r="D941" s="153" t="str">
        <f t="array" ref="D941">IF($A941="","",IFERROR(INDEX(Sales!$C:$C,MATCH($A941,Sales!$E:$E,0)),""))</f>
        <v/>
      </c>
      <c r="E941" s="154" t="str">
        <f>IF($A941="","",SUMIFS(Sales!$H:$H,Sales!$E:$E,$A941,Sales!$B:$B,"&lt;&gt;Return"))</f>
        <v/>
      </c>
      <c r="F941" s="155" t="str">
        <f>IF($A941="","",SUMIF(Sales!$E:$E,$A941,Sales!$L:$L))</f>
        <v/>
      </c>
      <c r="G941" s="155" t="str">
        <f>IF($A941="","",SUMIF(Sales!$E:$E,$A941,Sales!$P:$P))</f>
        <v/>
      </c>
      <c r="H941" s="156" t="str">
        <f t="array" ref="H941">IF($A941="","",IFERROR(INDEX(Orders!$O$5:$O$1004,MATCH($A941,Orders!$N$5:$N$1004,0)),""))</f>
        <v/>
      </c>
      <c r="I941" s="156" t="str">
        <f t="array" ref="I941">IF($A941="","",IFERROR(INDEX(Orders!$P$5:$P$1004,MATCH($A941,Orders!$N$5:$N$1004,0)),""))</f>
        <v/>
      </c>
      <c r="J941" s="157" t="str">
        <f t="shared" si="1"/>
        <v/>
      </c>
      <c r="K941" s="153" t="str">
        <f t="array" ref="K941">IF($A941="","",IFERROR(INDEX(Sales!$M:$M,MATCH($A941,Sales!$E:$E,0)),""))</f>
        <v/>
      </c>
      <c r="L941" s="158" t="str">
        <f t="shared" si="2"/>
        <v/>
      </c>
      <c r="N941" s="49" t="str">
        <f t="array" ref="N941">IFERROR(INDEX(Sales!$E$7:$E$1506,MATCH(ROW()-4,Sales!$V$7:$V$1506,0)),"")</f>
        <v/>
      </c>
      <c r="O941" s="67"/>
      <c r="P941" s="67"/>
    </row>
    <row r="942" ht="15.0" customHeight="1">
      <c r="A942" s="151" t="str">
        <f t="array" ref="A942">IFERROR(INDEX(Sales!$E$7:$E$1506,MATCH(ROW()-4,Sales!$W$7:$W$1506,0)),"")</f>
        <v/>
      </c>
      <c r="B942" s="152" t="str">
        <f t="array" ref="B942">IF($A942="","",IFERROR(INDEX(Sales!$A:$A,MATCH($A942,Sales!$E:$E,0)),""))</f>
        <v/>
      </c>
      <c r="C942" s="153" t="str">
        <f t="array" ref="C942">IF($A942="","",IFERROR(INDEX(Sales!$D:$D,MATCH($A942,Sales!$E:$E,0)),""))</f>
        <v/>
      </c>
      <c r="D942" s="153" t="str">
        <f t="array" ref="D942">IF($A942="","",IFERROR(INDEX(Sales!$C:$C,MATCH($A942,Sales!$E:$E,0)),""))</f>
        <v/>
      </c>
      <c r="E942" s="154" t="str">
        <f>IF($A942="","",SUMIFS(Sales!$H:$H,Sales!$E:$E,$A942,Sales!$B:$B,"&lt;&gt;Return"))</f>
        <v/>
      </c>
      <c r="F942" s="155" t="str">
        <f>IF($A942="","",SUMIF(Sales!$E:$E,$A942,Sales!$L:$L))</f>
        <v/>
      </c>
      <c r="G942" s="155" t="str">
        <f>IF($A942="","",SUMIF(Sales!$E:$E,$A942,Sales!$P:$P))</f>
        <v/>
      </c>
      <c r="H942" s="156" t="str">
        <f t="array" ref="H942">IF($A942="","",IFERROR(INDEX(Orders!$O$5:$O$1004,MATCH($A942,Orders!$N$5:$N$1004,0)),""))</f>
        <v/>
      </c>
      <c r="I942" s="156" t="str">
        <f t="array" ref="I942">IF($A942="","",IFERROR(INDEX(Orders!$P$5:$P$1004,MATCH($A942,Orders!$N$5:$N$1004,0)),""))</f>
        <v/>
      </c>
      <c r="J942" s="157" t="str">
        <f t="shared" si="1"/>
        <v/>
      </c>
      <c r="K942" s="153" t="str">
        <f t="array" ref="K942">IF($A942="","",IFERROR(INDEX(Sales!$M:$M,MATCH($A942,Sales!$E:$E,0)),""))</f>
        <v/>
      </c>
      <c r="L942" s="158" t="str">
        <f t="shared" si="2"/>
        <v/>
      </c>
      <c r="N942" s="49" t="str">
        <f t="array" ref="N942">IFERROR(INDEX(Sales!$E$7:$E$1506,MATCH(ROW()-4,Sales!$V$7:$V$1506,0)),"")</f>
        <v/>
      </c>
      <c r="O942" s="67"/>
      <c r="P942" s="67"/>
    </row>
    <row r="943" ht="15.0" customHeight="1">
      <c r="A943" s="151" t="str">
        <f t="array" ref="A943">IFERROR(INDEX(Sales!$E$7:$E$1506,MATCH(ROW()-4,Sales!$W$7:$W$1506,0)),"")</f>
        <v/>
      </c>
      <c r="B943" s="152" t="str">
        <f t="array" ref="B943">IF($A943="","",IFERROR(INDEX(Sales!$A:$A,MATCH($A943,Sales!$E:$E,0)),""))</f>
        <v/>
      </c>
      <c r="C943" s="153" t="str">
        <f t="array" ref="C943">IF($A943="","",IFERROR(INDEX(Sales!$D:$D,MATCH($A943,Sales!$E:$E,0)),""))</f>
        <v/>
      </c>
      <c r="D943" s="153" t="str">
        <f t="array" ref="D943">IF($A943="","",IFERROR(INDEX(Sales!$C:$C,MATCH($A943,Sales!$E:$E,0)),""))</f>
        <v/>
      </c>
      <c r="E943" s="154" t="str">
        <f>IF($A943="","",SUMIFS(Sales!$H:$H,Sales!$E:$E,$A943,Sales!$B:$B,"&lt;&gt;Return"))</f>
        <v/>
      </c>
      <c r="F943" s="155" t="str">
        <f>IF($A943="","",SUMIF(Sales!$E:$E,$A943,Sales!$L:$L))</f>
        <v/>
      </c>
      <c r="G943" s="155" t="str">
        <f>IF($A943="","",SUMIF(Sales!$E:$E,$A943,Sales!$P:$P))</f>
        <v/>
      </c>
      <c r="H943" s="156" t="str">
        <f t="array" ref="H943">IF($A943="","",IFERROR(INDEX(Orders!$O$5:$O$1004,MATCH($A943,Orders!$N$5:$N$1004,0)),""))</f>
        <v/>
      </c>
      <c r="I943" s="156" t="str">
        <f t="array" ref="I943">IF($A943="","",IFERROR(INDEX(Orders!$P$5:$P$1004,MATCH($A943,Orders!$N$5:$N$1004,0)),""))</f>
        <v/>
      </c>
      <c r="J943" s="157" t="str">
        <f t="shared" si="1"/>
        <v/>
      </c>
      <c r="K943" s="153" t="str">
        <f t="array" ref="K943">IF($A943="","",IFERROR(INDEX(Sales!$M:$M,MATCH($A943,Sales!$E:$E,0)),""))</f>
        <v/>
      </c>
      <c r="L943" s="158" t="str">
        <f t="shared" si="2"/>
        <v/>
      </c>
      <c r="N943" s="49" t="str">
        <f t="array" ref="N943">IFERROR(INDEX(Sales!$E$7:$E$1506,MATCH(ROW()-4,Sales!$V$7:$V$1506,0)),"")</f>
        <v/>
      </c>
      <c r="O943" s="67"/>
      <c r="P943" s="67"/>
    </row>
    <row r="944" ht="15.0" customHeight="1">
      <c r="A944" s="151" t="str">
        <f t="array" ref="A944">IFERROR(INDEX(Sales!$E$7:$E$1506,MATCH(ROW()-4,Sales!$W$7:$W$1506,0)),"")</f>
        <v/>
      </c>
      <c r="B944" s="152" t="str">
        <f t="array" ref="B944">IF($A944="","",IFERROR(INDEX(Sales!$A:$A,MATCH($A944,Sales!$E:$E,0)),""))</f>
        <v/>
      </c>
      <c r="C944" s="153" t="str">
        <f t="array" ref="C944">IF($A944="","",IFERROR(INDEX(Sales!$D:$D,MATCH($A944,Sales!$E:$E,0)),""))</f>
        <v/>
      </c>
      <c r="D944" s="153" t="str">
        <f t="array" ref="D944">IF($A944="","",IFERROR(INDEX(Sales!$C:$C,MATCH($A944,Sales!$E:$E,0)),""))</f>
        <v/>
      </c>
      <c r="E944" s="154" t="str">
        <f>IF($A944="","",SUMIFS(Sales!$H:$H,Sales!$E:$E,$A944,Sales!$B:$B,"&lt;&gt;Return"))</f>
        <v/>
      </c>
      <c r="F944" s="155" t="str">
        <f>IF($A944="","",SUMIF(Sales!$E:$E,$A944,Sales!$L:$L))</f>
        <v/>
      </c>
      <c r="G944" s="155" t="str">
        <f>IF($A944="","",SUMIF(Sales!$E:$E,$A944,Sales!$P:$P))</f>
        <v/>
      </c>
      <c r="H944" s="156" t="str">
        <f t="array" ref="H944">IF($A944="","",IFERROR(INDEX(Orders!$O$5:$O$1004,MATCH($A944,Orders!$N$5:$N$1004,0)),""))</f>
        <v/>
      </c>
      <c r="I944" s="156" t="str">
        <f t="array" ref="I944">IF($A944="","",IFERROR(INDEX(Orders!$P$5:$P$1004,MATCH($A944,Orders!$N$5:$N$1004,0)),""))</f>
        <v/>
      </c>
      <c r="J944" s="157" t="str">
        <f t="shared" si="1"/>
        <v/>
      </c>
      <c r="K944" s="153" t="str">
        <f t="array" ref="K944">IF($A944="","",IFERROR(INDEX(Sales!$M:$M,MATCH($A944,Sales!$E:$E,0)),""))</f>
        <v/>
      </c>
      <c r="L944" s="158" t="str">
        <f t="shared" si="2"/>
        <v/>
      </c>
      <c r="N944" s="49" t="str">
        <f t="array" ref="N944">IFERROR(INDEX(Sales!$E$7:$E$1506,MATCH(ROW()-4,Sales!$V$7:$V$1506,0)),"")</f>
        <v/>
      </c>
      <c r="O944" s="67"/>
      <c r="P944" s="67"/>
    </row>
    <row r="945" ht="15.0" customHeight="1">
      <c r="A945" s="151" t="str">
        <f t="array" ref="A945">IFERROR(INDEX(Sales!$E$7:$E$1506,MATCH(ROW()-4,Sales!$W$7:$W$1506,0)),"")</f>
        <v/>
      </c>
      <c r="B945" s="152" t="str">
        <f t="array" ref="B945">IF($A945="","",IFERROR(INDEX(Sales!$A:$A,MATCH($A945,Sales!$E:$E,0)),""))</f>
        <v/>
      </c>
      <c r="C945" s="153" t="str">
        <f t="array" ref="C945">IF($A945="","",IFERROR(INDEX(Sales!$D:$D,MATCH($A945,Sales!$E:$E,0)),""))</f>
        <v/>
      </c>
      <c r="D945" s="153" t="str">
        <f t="array" ref="D945">IF($A945="","",IFERROR(INDEX(Sales!$C:$C,MATCH($A945,Sales!$E:$E,0)),""))</f>
        <v/>
      </c>
      <c r="E945" s="154" t="str">
        <f>IF($A945="","",SUMIFS(Sales!$H:$H,Sales!$E:$E,$A945,Sales!$B:$B,"&lt;&gt;Return"))</f>
        <v/>
      </c>
      <c r="F945" s="155" t="str">
        <f>IF($A945="","",SUMIF(Sales!$E:$E,$A945,Sales!$L:$L))</f>
        <v/>
      </c>
      <c r="G945" s="155" t="str">
        <f>IF($A945="","",SUMIF(Sales!$E:$E,$A945,Sales!$P:$P))</f>
        <v/>
      </c>
      <c r="H945" s="156" t="str">
        <f t="array" ref="H945">IF($A945="","",IFERROR(INDEX(Orders!$O$5:$O$1004,MATCH($A945,Orders!$N$5:$N$1004,0)),""))</f>
        <v/>
      </c>
      <c r="I945" s="156" t="str">
        <f t="array" ref="I945">IF($A945="","",IFERROR(INDEX(Orders!$P$5:$P$1004,MATCH($A945,Orders!$N$5:$N$1004,0)),""))</f>
        <v/>
      </c>
      <c r="J945" s="157" t="str">
        <f t="shared" si="1"/>
        <v/>
      </c>
      <c r="K945" s="153" t="str">
        <f t="array" ref="K945">IF($A945="","",IFERROR(INDEX(Sales!$M:$M,MATCH($A945,Sales!$E:$E,0)),""))</f>
        <v/>
      </c>
      <c r="L945" s="158" t="str">
        <f t="shared" si="2"/>
        <v/>
      </c>
      <c r="N945" s="49" t="str">
        <f t="array" ref="N945">IFERROR(INDEX(Sales!$E$7:$E$1506,MATCH(ROW()-4,Sales!$V$7:$V$1506,0)),"")</f>
        <v/>
      </c>
      <c r="O945" s="67"/>
      <c r="P945" s="67"/>
    </row>
    <row r="946" ht="15.0" customHeight="1">
      <c r="A946" s="151" t="str">
        <f t="array" ref="A946">IFERROR(INDEX(Sales!$E$7:$E$1506,MATCH(ROW()-4,Sales!$W$7:$W$1506,0)),"")</f>
        <v/>
      </c>
      <c r="B946" s="152" t="str">
        <f t="array" ref="B946">IF($A946="","",IFERROR(INDEX(Sales!$A:$A,MATCH($A946,Sales!$E:$E,0)),""))</f>
        <v/>
      </c>
      <c r="C946" s="153" t="str">
        <f t="array" ref="C946">IF($A946="","",IFERROR(INDEX(Sales!$D:$D,MATCH($A946,Sales!$E:$E,0)),""))</f>
        <v/>
      </c>
      <c r="D946" s="153" t="str">
        <f t="array" ref="D946">IF($A946="","",IFERROR(INDEX(Sales!$C:$C,MATCH($A946,Sales!$E:$E,0)),""))</f>
        <v/>
      </c>
      <c r="E946" s="154" t="str">
        <f>IF($A946="","",SUMIFS(Sales!$H:$H,Sales!$E:$E,$A946,Sales!$B:$B,"&lt;&gt;Return"))</f>
        <v/>
      </c>
      <c r="F946" s="155" t="str">
        <f>IF($A946="","",SUMIF(Sales!$E:$E,$A946,Sales!$L:$L))</f>
        <v/>
      </c>
      <c r="G946" s="155" t="str">
        <f>IF($A946="","",SUMIF(Sales!$E:$E,$A946,Sales!$P:$P))</f>
        <v/>
      </c>
      <c r="H946" s="156" t="str">
        <f t="array" ref="H946">IF($A946="","",IFERROR(INDEX(Orders!$O$5:$O$1004,MATCH($A946,Orders!$N$5:$N$1004,0)),""))</f>
        <v/>
      </c>
      <c r="I946" s="156" t="str">
        <f t="array" ref="I946">IF($A946="","",IFERROR(INDEX(Orders!$P$5:$P$1004,MATCH($A946,Orders!$N$5:$N$1004,0)),""))</f>
        <v/>
      </c>
      <c r="J946" s="157" t="str">
        <f t="shared" si="1"/>
        <v/>
      </c>
      <c r="K946" s="153" t="str">
        <f t="array" ref="K946">IF($A946="","",IFERROR(INDEX(Sales!$M:$M,MATCH($A946,Sales!$E:$E,0)),""))</f>
        <v/>
      </c>
      <c r="L946" s="158" t="str">
        <f t="shared" si="2"/>
        <v/>
      </c>
      <c r="N946" s="49" t="str">
        <f t="array" ref="N946">IFERROR(INDEX(Sales!$E$7:$E$1506,MATCH(ROW()-4,Sales!$V$7:$V$1506,0)),"")</f>
        <v/>
      </c>
      <c r="O946" s="67"/>
      <c r="P946" s="67"/>
    </row>
    <row r="947" ht="15.0" customHeight="1">
      <c r="A947" s="151" t="str">
        <f t="array" ref="A947">IFERROR(INDEX(Sales!$E$7:$E$1506,MATCH(ROW()-4,Sales!$W$7:$W$1506,0)),"")</f>
        <v/>
      </c>
      <c r="B947" s="152" t="str">
        <f t="array" ref="B947">IF($A947="","",IFERROR(INDEX(Sales!$A:$A,MATCH($A947,Sales!$E:$E,0)),""))</f>
        <v/>
      </c>
      <c r="C947" s="153" t="str">
        <f t="array" ref="C947">IF($A947="","",IFERROR(INDEX(Sales!$D:$D,MATCH($A947,Sales!$E:$E,0)),""))</f>
        <v/>
      </c>
      <c r="D947" s="153" t="str">
        <f t="array" ref="D947">IF($A947="","",IFERROR(INDEX(Sales!$C:$C,MATCH($A947,Sales!$E:$E,0)),""))</f>
        <v/>
      </c>
      <c r="E947" s="154" t="str">
        <f>IF($A947="","",SUMIFS(Sales!$H:$H,Sales!$E:$E,$A947,Sales!$B:$B,"&lt;&gt;Return"))</f>
        <v/>
      </c>
      <c r="F947" s="155" t="str">
        <f>IF($A947="","",SUMIF(Sales!$E:$E,$A947,Sales!$L:$L))</f>
        <v/>
      </c>
      <c r="G947" s="155" t="str">
        <f>IF($A947="","",SUMIF(Sales!$E:$E,$A947,Sales!$P:$P))</f>
        <v/>
      </c>
      <c r="H947" s="156" t="str">
        <f t="array" ref="H947">IF($A947="","",IFERROR(INDEX(Orders!$O$5:$O$1004,MATCH($A947,Orders!$N$5:$N$1004,0)),""))</f>
        <v/>
      </c>
      <c r="I947" s="156" t="str">
        <f t="array" ref="I947">IF($A947="","",IFERROR(INDEX(Orders!$P$5:$P$1004,MATCH($A947,Orders!$N$5:$N$1004,0)),""))</f>
        <v/>
      </c>
      <c r="J947" s="157" t="str">
        <f t="shared" si="1"/>
        <v/>
      </c>
      <c r="K947" s="153" t="str">
        <f t="array" ref="K947">IF($A947="","",IFERROR(INDEX(Sales!$M:$M,MATCH($A947,Sales!$E:$E,0)),""))</f>
        <v/>
      </c>
      <c r="L947" s="158" t="str">
        <f t="shared" si="2"/>
        <v/>
      </c>
      <c r="N947" s="49" t="str">
        <f t="array" ref="N947">IFERROR(INDEX(Sales!$E$7:$E$1506,MATCH(ROW()-4,Sales!$V$7:$V$1506,0)),"")</f>
        <v/>
      </c>
      <c r="O947" s="67"/>
      <c r="P947" s="67"/>
    </row>
    <row r="948" ht="15.0" customHeight="1">
      <c r="A948" s="151" t="str">
        <f t="array" ref="A948">IFERROR(INDEX(Sales!$E$7:$E$1506,MATCH(ROW()-4,Sales!$W$7:$W$1506,0)),"")</f>
        <v/>
      </c>
      <c r="B948" s="152" t="str">
        <f t="array" ref="B948">IF($A948="","",IFERROR(INDEX(Sales!$A:$A,MATCH($A948,Sales!$E:$E,0)),""))</f>
        <v/>
      </c>
      <c r="C948" s="153" t="str">
        <f t="array" ref="C948">IF($A948="","",IFERROR(INDEX(Sales!$D:$D,MATCH($A948,Sales!$E:$E,0)),""))</f>
        <v/>
      </c>
      <c r="D948" s="153" t="str">
        <f t="array" ref="D948">IF($A948="","",IFERROR(INDEX(Sales!$C:$C,MATCH($A948,Sales!$E:$E,0)),""))</f>
        <v/>
      </c>
      <c r="E948" s="154" t="str">
        <f>IF($A948="","",SUMIFS(Sales!$H:$H,Sales!$E:$E,$A948,Sales!$B:$B,"&lt;&gt;Return"))</f>
        <v/>
      </c>
      <c r="F948" s="155" t="str">
        <f>IF($A948="","",SUMIF(Sales!$E:$E,$A948,Sales!$L:$L))</f>
        <v/>
      </c>
      <c r="G948" s="155" t="str">
        <f>IF($A948="","",SUMIF(Sales!$E:$E,$A948,Sales!$P:$P))</f>
        <v/>
      </c>
      <c r="H948" s="156" t="str">
        <f t="array" ref="H948">IF($A948="","",IFERROR(INDEX(Orders!$O$5:$O$1004,MATCH($A948,Orders!$N$5:$N$1004,0)),""))</f>
        <v/>
      </c>
      <c r="I948" s="156" t="str">
        <f t="array" ref="I948">IF($A948="","",IFERROR(INDEX(Orders!$P$5:$P$1004,MATCH($A948,Orders!$N$5:$N$1004,0)),""))</f>
        <v/>
      </c>
      <c r="J948" s="157" t="str">
        <f t="shared" si="1"/>
        <v/>
      </c>
      <c r="K948" s="153" t="str">
        <f t="array" ref="K948">IF($A948="","",IFERROR(INDEX(Sales!$M:$M,MATCH($A948,Sales!$E:$E,0)),""))</f>
        <v/>
      </c>
      <c r="L948" s="158" t="str">
        <f t="shared" si="2"/>
        <v/>
      </c>
      <c r="N948" s="49" t="str">
        <f t="array" ref="N948">IFERROR(INDEX(Sales!$E$7:$E$1506,MATCH(ROW()-4,Sales!$V$7:$V$1506,0)),"")</f>
        <v/>
      </c>
      <c r="O948" s="67"/>
      <c r="P948" s="67"/>
    </row>
    <row r="949" ht="15.0" customHeight="1">
      <c r="A949" s="151" t="str">
        <f t="array" ref="A949">IFERROR(INDEX(Sales!$E$7:$E$1506,MATCH(ROW()-4,Sales!$W$7:$W$1506,0)),"")</f>
        <v/>
      </c>
      <c r="B949" s="152" t="str">
        <f t="array" ref="B949">IF($A949="","",IFERROR(INDEX(Sales!$A:$A,MATCH($A949,Sales!$E:$E,0)),""))</f>
        <v/>
      </c>
      <c r="C949" s="153" t="str">
        <f t="array" ref="C949">IF($A949="","",IFERROR(INDEX(Sales!$D:$D,MATCH($A949,Sales!$E:$E,0)),""))</f>
        <v/>
      </c>
      <c r="D949" s="153" t="str">
        <f t="array" ref="D949">IF($A949="","",IFERROR(INDEX(Sales!$C:$C,MATCH($A949,Sales!$E:$E,0)),""))</f>
        <v/>
      </c>
      <c r="E949" s="154" t="str">
        <f>IF($A949="","",SUMIFS(Sales!$H:$H,Sales!$E:$E,$A949,Sales!$B:$B,"&lt;&gt;Return"))</f>
        <v/>
      </c>
      <c r="F949" s="155" t="str">
        <f>IF($A949="","",SUMIF(Sales!$E:$E,$A949,Sales!$L:$L))</f>
        <v/>
      </c>
      <c r="G949" s="155" t="str">
        <f>IF($A949="","",SUMIF(Sales!$E:$E,$A949,Sales!$P:$P))</f>
        <v/>
      </c>
      <c r="H949" s="156" t="str">
        <f t="array" ref="H949">IF($A949="","",IFERROR(INDEX(Orders!$O$5:$O$1004,MATCH($A949,Orders!$N$5:$N$1004,0)),""))</f>
        <v/>
      </c>
      <c r="I949" s="156" t="str">
        <f t="array" ref="I949">IF($A949="","",IFERROR(INDEX(Orders!$P$5:$P$1004,MATCH($A949,Orders!$N$5:$N$1004,0)),""))</f>
        <v/>
      </c>
      <c r="J949" s="157" t="str">
        <f t="shared" si="1"/>
        <v/>
      </c>
      <c r="K949" s="153" t="str">
        <f t="array" ref="K949">IF($A949="","",IFERROR(INDEX(Sales!$M:$M,MATCH($A949,Sales!$E:$E,0)),""))</f>
        <v/>
      </c>
      <c r="L949" s="158" t="str">
        <f t="shared" si="2"/>
        <v/>
      </c>
      <c r="N949" s="49" t="str">
        <f t="array" ref="N949">IFERROR(INDEX(Sales!$E$7:$E$1506,MATCH(ROW()-4,Sales!$V$7:$V$1506,0)),"")</f>
        <v/>
      </c>
      <c r="O949" s="67"/>
      <c r="P949" s="67"/>
    </row>
    <row r="950" ht="15.0" customHeight="1">
      <c r="A950" s="151" t="str">
        <f t="array" ref="A950">IFERROR(INDEX(Sales!$E$7:$E$1506,MATCH(ROW()-4,Sales!$W$7:$W$1506,0)),"")</f>
        <v/>
      </c>
      <c r="B950" s="152" t="str">
        <f t="array" ref="B950">IF($A950="","",IFERROR(INDEX(Sales!$A:$A,MATCH($A950,Sales!$E:$E,0)),""))</f>
        <v/>
      </c>
      <c r="C950" s="153" t="str">
        <f t="array" ref="C950">IF($A950="","",IFERROR(INDEX(Sales!$D:$D,MATCH($A950,Sales!$E:$E,0)),""))</f>
        <v/>
      </c>
      <c r="D950" s="153" t="str">
        <f t="array" ref="D950">IF($A950="","",IFERROR(INDEX(Sales!$C:$C,MATCH($A950,Sales!$E:$E,0)),""))</f>
        <v/>
      </c>
      <c r="E950" s="154" t="str">
        <f>IF($A950="","",SUMIFS(Sales!$H:$H,Sales!$E:$E,$A950,Sales!$B:$B,"&lt;&gt;Return"))</f>
        <v/>
      </c>
      <c r="F950" s="155" t="str">
        <f>IF($A950="","",SUMIF(Sales!$E:$E,$A950,Sales!$L:$L))</f>
        <v/>
      </c>
      <c r="G950" s="155" t="str">
        <f>IF($A950="","",SUMIF(Sales!$E:$E,$A950,Sales!$P:$P))</f>
        <v/>
      </c>
      <c r="H950" s="156" t="str">
        <f t="array" ref="H950">IF($A950="","",IFERROR(INDEX(Orders!$O$5:$O$1004,MATCH($A950,Orders!$N$5:$N$1004,0)),""))</f>
        <v/>
      </c>
      <c r="I950" s="156" t="str">
        <f t="array" ref="I950">IF($A950="","",IFERROR(INDEX(Orders!$P$5:$P$1004,MATCH($A950,Orders!$N$5:$N$1004,0)),""))</f>
        <v/>
      </c>
      <c r="J950" s="157" t="str">
        <f t="shared" si="1"/>
        <v/>
      </c>
      <c r="K950" s="153" t="str">
        <f t="array" ref="K950">IF($A950="","",IFERROR(INDEX(Sales!$M:$M,MATCH($A950,Sales!$E:$E,0)),""))</f>
        <v/>
      </c>
      <c r="L950" s="158" t="str">
        <f t="shared" si="2"/>
        <v/>
      </c>
      <c r="N950" s="49" t="str">
        <f t="array" ref="N950">IFERROR(INDEX(Sales!$E$7:$E$1506,MATCH(ROW()-4,Sales!$V$7:$V$1506,0)),"")</f>
        <v/>
      </c>
      <c r="O950" s="67"/>
      <c r="P950" s="67"/>
    </row>
    <row r="951" ht="15.0" customHeight="1">
      <c r="A951" s="151" t="str">
        <f t="array" ref="A951">IFERROR(INDEX(Sales!$E$7:$E$1506,MATCH(ROW()-4,Sales!$W$7:$W$1506,0)),"")</f>
        <v/>
      </c>
      <c r="B951" s="152" t="str">
        <f t="array" ref="B951">IF($A951="","",IFERROR(INDEX(Sales!$A:$A,MATCH($A951,Sales!$E:$E,0)),""))</f>
        <v/>
      </c>
      <c r="C951" s="153" t="str">
        <f t="array" ref="C951">IF($A951="","",IFERROR(INDEX(Sales!$D:$D,MATCH($A951,Sales!$E:$E,0)),""))</f>
        <v/>
      </c>
      <c r="D951" s="153" t="str">
        <f t="array" ref="D951">IF($A951="","",IFERROR(INDEX(Sales!$C:$C,MATCH($A951,Sales!$E:$E,0)),""))</f>
        <v/>
      </c>
      <c r="E951" s="154" t="str">
        <f>IF($A951="","",SUMIFS(Sales!$H:$H,Sales!$E:$E,$A951,Sales!$B:$B,"&lt;&gt;Return"))</f>
        <v/>
      </c>
      <c r="F951" s="155" t="str">
        <f>IF($A951="","",SUMIF(Sales!$E:$E,$A951,Sales!$L:$L))</f>
        <v/>
      </c>
      <c r="G951" s="155" t="str">
        <f>IF($A951="","",SUMIF(Sales!$E:$E,$A951,Sales!$P:$P))</f>
        <v/>
      </c>
      <c r="H951" s="156" t="str">
        <f t="array" ref="H951">IF($A951="","",IFERROR(INDEX(Orders!$O$5:$O$1004,MATCH($A951,Orders!$N$5:$N$1004,0)),""))</f>
        <v/>
      </c>
      <c r="I951" s="156" t="str">
        <f t="array" ref="I951">IF($A951="","",IFERROR(INDEX(Orders!$P$5:$P$1004,MATCH($A951,Orders!$N$5:$N$1004,0)),""))</f>
        <v/>
      </c>
      <c r="J951" s="157" t="str">
        <f t="shared" si="1"/>
        <v/>
      </c>
      <c r="K951" s="153" t="str">
        <f t="array" ref="K951">IF($A951="","",IFERROR(INDEX(Sales!$M:$M,MATCH($A951,Sales!$E:$E,0)),""))</f>
        <v/>
      </c>
      <c r="L951" s="158" t="str">
        <f t="shared" si="2"/>
        <v/>
      </c>
      <c r="N951" s="49" t="str">
        <f t="array" ref="N951">IFERROR(INDEX(Sales!$E$7:$E$1506,MATCH(ROW()-4,Sales!$V$7:$V$1506,0)),"")</f>
        <v/>
      </c>
      <c r="O951" s="67"/>
      <c r="P951" s="67"/>
    </row>
    <row r="952" ht="15.0" customHeight="1">
      <c r="A952" s="151" t="str">
        <f t="array" ref="A952">IFERROR(INDEX(Sales!$E$7:$E$1506,MATCH(ROW()-4,Sales!$W$7:$W$1506,0)),"")</f>
        <v/>
      </c>
      <c r="B952" s="152" t="str">
        <f t="array" ref="B952">IF($A952="","",IFERROR(INDEX(Sales!$A:$A,MATCH($A952,Sales!$E:$E,0)),""))</f>
        <v/>
      </c>
      <c r="C952" s="153" t="str">
        <f t="array" ref="C952">IF($A952="","",IFERROR(INDEX(Sales!$D:$D,MATCH($A952,Sales!$E:$E,0)),""))</f>
        <v/>
      </c>
      <c r="D952" s="153" t="str">
        <f t="array" ref="D952">IF($A952="","",IFERROR(INDEX(Sales!$C:$C,MATCH($A952,Sales!$E:$E,0)),""))</f>
        <v/>
      </c>
      <c r="E952" s="154" t="str">
        <f>IF($A952="","",SUMIFS(Sales!$H:$H,Sales!$E:$E,$A952,Sales!$B:$B,"&lt;&gt;Return"))</f>
        <v/>
      </c>
      <c r="F952" s="155" t="str">
        <f>IF($A952="","",SUMIF(Sales!$E:$E,$A952,Sales!$L:$L))</f>
        <v/>
      </c>
      <c r="G952" s="155" t="str">
        <f>IF($A952="","",SUMIF(Sales!$E:$E,$A952,Sales!$P:$P))</f>
        <v/>
      </c>
      <c r="H952" s="156" t="str">
        <f t="array" ref="H952">IF($A952="","",IFERROR(INDEX(Orders!$O$5:$O$1004,MATCH($A952,Orders!$N$5:$N$1004,0)),""))</f>
        <v/>
      </c>
      <c r="I952" s="156" t="str">
        <f t="array" ref="I952">IF($A952="","",IFERROR(INDEX(Orders!$P$5:$P$1004,MATCH($A952,Orders!$N$5:$N$1004,0)),""))</f>
        <v/>
      </c>
      <c r="J952" s="157" t="str">
        <f t="shared" si="1"/>
        <v/>
      </c>
      <c r="K952" s="153" t="str">
        <f t="array" ref="K952">IF($A952="","",IFERROR(INDEX(Sales!$M:$M,MATCH($A952,Sales!$E:$E,0)),""))</f>
        <v/>
      </c>
      <c r="L952" s="158" t="str">
        <f t="shared" si="2"/>
        <v/>
      </c>
      <c r="N952" s="49" t="str">
        <f t="array" ref="N952">IFERROR(INDEX(Sales!$E$7:$E$1506,MATCH(ROW()-4,Sales!$V$7:$V$1506,0)),"")</f>
        <v/>
      </c>
      <c r="O952" s="67"/>
      <c r="P952" s="67"/>
    </row>
    <row r="953" ht="15.0" customHeight="1">
      <c r="A953" s="151" t="str">
        <f t="array" ref="A953">IFERROR(INDEX(Sales!$E$7:$E$1506,MATCH(ROW()-4,Sales!$W$7:$W$1506,0)),"")</f>
        <v/>
      </c>
      <c r="B953" s="152" t="str">
        <f t="array" ref="B953">IF($A953="","",IFERROR(INDEX(Sales!$A:$A,MATCH($A953,Sales!$E:$E,0)),""))</f>
        <v/>
      </c>
      <c r="C953" s="153" t="str">
        <f t="array" ref="C953">IF($A953="","",IFERROR(INDEX(Sales!$D:$D,MATCH($A953,Sales!$E:$E,0)),""))</f>
        <v/>
      </c>
      <c r="D953" s="153" t="str">
        <f t="array" ref="D953">IF($A953="","",IFERROR(INDEX(Sales!$C:$C,MATCH($A953,Sales!$E:$E,0)),""))</f>
        <v/>
      </c>
      <c r="E953" s="154" t="str">
        <f>IF($A953="","",SUMIFS(Sales!$H:$H,Sales!$E:$E,$A953,Sales!$B:$B,"&lt;&gt;Return"))</f>
        <v/>
      </c>
      <c r="F953" s="155" t="str">
        <f>IF($A953="","",SUMIF(Sales!$E:$E,$A953,Sales!$L:$L))</f>
        <v/>
      </c>
      <c r="G953" s="155" t="str">
        <f>IF($A953="","",SUMIF(Sales!$E:$E,$A953,Sales!$P:$P))</f>
        <v/>
      </c>
      <c r="H953" s="156" t="str">
        <f t="array" ref="H953">IF($A953="","",IFERROR(INDEX(Orders!$O$5:$O$1004,MATCH($A953,Orders!$N$5:$N$1004,0)),""))</f>
        <v/>
      </c>
      <c r="I953" s="156" t="str">
        <f t="array" ref="I953">IF($A953="","",IFERROR(INDEX(Orders!$P$5:$P$1004,MATCH($A953,Orders!$N$5:$N$1004,0)),""))</f>
        <v/>
      </c>
      <c r="J953" s="157" t="str">
        <f t="shared" si="1"/>
        <v/>
      </c>
      <c r="K953" s="153" t="str">
        <f t="array" ref="K953">IF($A953="","",IFERROR(INDEX(Sales!$M:$M,MATCH($A953,Sales!$E:$E,0)),""))</f>
        <v/>
      </c>
      <c r="L953" s="158" t="str">
        <f t="shared" si="2"/>
        <v/>
      </c>
      <c r="N953" s="49" t="str">
        <f t="array" ref="N953">IFERROR(INDEX(Sales!$E$7:$E$1506,MATCH(ROW()-4,Sales!$V$7:$V$1506,0)),"")</f>
        <v/>
      </c>
      <c r="O953" s="67"/>
      <c r="P953" s="67"/>
    </row>
    <row r="954" ht="15.0" customHeight="1">
      <c r="A954" s="151" t="str">
        <f t="array" ref="A954">IFERROR(INDEX(Sales!$E$7:$E$1506,MATCH(ROW()-4,Sales!$W$7:$W$1506,0)),"")</f>
        <v/>
      </c>
      <c r="B954" s="152" t="str">
        <f t="array" ref="B954">IF($A954="","",IFERROR(INDEX(Sales!$A:$A,MATCH($A954,Sales!$E:$E,0)),""))</f>
        <v/>
      </c>
      <c r="C954" s="153" t="str">
        <f t="array" ref="C954">IF($A954="","",IFERROR(INDEX(Sales!$D:$D,MATCH($A954,Sales!$E:$E,0)),""))</f>
        <v/>
      </c>
      <c r="D954" s="153" t="str">
        <f t="array" ref="D954">IF($A954="","",IFERROR(INDEX(Sales!$C:$C,MATCH($A954,Sales!$E:$E,0)),""))</f>
        <v/>
      </c>
      <c r="E954" s="154" t="str">
        <f>IF($A954="","",SUMIFS(Sales!$H:$H,Sales!$E:$E,$A954,Sales!$B:$B,"&lt;&gt;Return"))</f>
        <v/>
      </c>
      <c r="F954" s="155" t="str">
        <f>IF($A954="","",SUMIF(Sales!$E:$E,$A954,Sales!$L:$L))</f>
        <v/>
      </c>
      <c r="G954" s="155" t="str">
        <f>IF($A954="","",SUMIF(Sales!$E:$E,$A954,Sales!$P:$P))</f>
        <v/>
      </c>
      <c r="H954" s="156" t="str">
        <f t="array" ref="H954">IF($A954="","",IFERROR(INDEX(Orders!$O$5:$O$1004,MATCH($A954,Orders!$N$5:$N$1004,0)),""))</f>
        <v/>
      </c>
      <c r="I954" s="156" t="str">
        <f t="array" ref="I954">IF($A954="","",IFERROR(INDEX(Orders!$P$5:$P$1004,MATCH($A954,Orders!$N$5:$N$1004,0)),""))</f>
        <v/>
      </c>
      <c r="J954" s="157" t="str">
        <f t="shared" si="1"/>
        <v/>
      </c>
      <c r="K954" s="153" t="str">
        <f t="array" ref="K954">IF($A954="","",IFERROR(INDEX(Sales!$M:$M,MATCH($A954,Sales!$E:$E,0)),""))</f>
        <v/>
      </c>
      <c r="L954" s="158" t="str">
        <f t="shared" si="2"/>
        <v/>
      </c>
      <c r="N954" s="49" t="str">
        <f t="array" ref="N954">IFERROR(INDEX(Sales!$E$7:$E$1506,MATCH(ROW()-4,Sales!$V$7:$V$1506,0)),"")</f>
        <v/>
      </c>
      <c r="O954" s="67"/>
      <c r="P954" s="67"/>
    </row>
    <row r="955" ht="15.0" customHeight="1">
      <c r="A955" s="151" t="str">
        <f t="array" ref="A955">IFERROR(INDEX(Sales!$E$7:$E$1506,MATCH(ROW()-4,Sales!$W$7:$W$1506,0)),"")</f>
        <v/>
      </c>
      <c r="B955" s="152" t="str">
        <f t="array" ref="B955">IF($A955="","",IFERROR(INDEX(Sales!$A:$A,MATCH($A955,Sales!$E:$E,0)),""))</f>
        <v/>
      </c>
      <c r="C955" s="153" t="str">
        <f t="array" ref="C955">IF($A955="","",IFERROR(INDEX(Sales!$D:$D,MATCH($A955,Sales!$E:$E,0)),""))</f>
        <v/>
      </c>
      <c r="D955" s="153" t="str">
        <f t="array" ref="D955">IF($A955="","",IFERROR(INDEX(Sales!$C:$C,MATCH($A955,Sales!$E:$E,0)),""))</f>
        <v/>
      </c>
      <c r="E955" s="154" t="str">
        <f>IF($A955="","",SUMIFS(Sales!$H:$H,Sales!$E:$E,$A955,Sales!$B:$B,"&lt;&gt;Return"))</f>
        <v/>
      </c>
      <c r="F955" s="155" t="str">
        <f>IF($A955="","",SUMIF(Sales!$E:$E,$A955,Sales!$L:$L))</f>
        <v/>
      </c>
      <c r="G955" s="155" t="str">
        <f>IF($A955="","",SUMIF(Sales!$E:$E,$A955,Sales!$P:$P))</f>
        <v/>
      </c>
      <c r="H955" s="156" t="str">
        <f t="array" ref="H955">IF($A955="","",IFERROR(INDEX(Orders!$O$5:$O$1004,MATCH($A955,Orders!$N$5:$N$1004,0)),""))</f>
        <v/>
      </c>
      <c r="I955" s="156" t="str">
        <f t="array" ref="I955">IF($A955="","",IFERROR(INDEX(Orders!$P$5:$P$1004,MATCH($A955,Orders!$N$5:$N$1004,0)),""))</f>
        <v/>
      </c>
      <c r="J955" s="157" t="str">
        <f t="shared" si="1"/>
        <v/>
      </c>
      <c r="K955" s="153" t="str">
        <f t="array" ref="K955">IF($A955="","",IFERROR(INDEX(Sales!$M:$M,MATCH($A955,Sales!$E:$E,0)),""))</f>
        <v/>
      </c>
      <c r="L955" s="158" t="str">
        <f t="shared" si="2"/>
        <v/>
      </c>
      <c r="N955" s="49" t="str">
        <f t="array" ref="N955">IFERROR(INDEX(Sales!$E$7:$E$1506,MATCH(ROW()-4,Sales!$V$7:$V$1506,0)),"")</f>
        <v/>
      </c>
      <c r="O955" s="67"/>
      <c r="P955" s="67"/>
    </row>
    <row r="956" ht="15.0" customHeight="1">
      <c r="A956" s="151" t="str">
        <f t="array" ref="A956">IFERROR(INDEX(Sales!$E$7:$E$1506,MATCH(ROW()-4,Sales!$W$7:$W$1506,0)),"")</f>
        <v/>
      </c>
      <c r="B956" s="152" t="str">
        <f t="array" ref="B956">IF($A956="","",IFERROR(INDEX(Sales!$A:$A,MATCH($A956,Sales!$E:$E,0)),""))</f>
        <v/>
      </c>
      <c r="C956" s="153" t="str">
        <f t="array" ref="C956">IF($A956="","",IFERROR(INDEX(Sales!$D:$D,MATCH($A956,Sales!$E:$E,0)),""))</f>
        <v/>
      </c>
      <c r="D956" s="153" t="str">
        <f t="array" ref="D956">IF($A956="","",IFERROR(INDEX(Sales!$C:$C,MATCH($A956,Sales!$E:$E,0)),""))</f>
        <v/>
      </c>
      <c r="E956" s="154" t="str">
        <f>IF($A956="","",SUMIFS(Sales!$H:$H,Sales!$E:$E,$A956,Sales!$B:$B,"&lt;&gt;Return"))</f>
        <v/>
      </c>
      <c r="F956" s="155" t="str">
        <f>IF($A956="","",SUMIF(Sales!$E:$E,$A956,Sales!$L:$L))</f>
        <v/>
      </c>
      <c r="G956" s="155" t="str">
        <f>IF($A956="","",SUMIF(Sales!$E:$E,$A956,Sales!$P:$P))</f>
        <v/>
      </c>
      <c r="H956" s="156" t="str">
        <f t="array" ref="H956">IF($A956="","",IFERROR(INDEX(Orders!$O$5:$O$1004,MATCH($A956,Orders!$N$5:$N$1004,0)),""))</f>
        <v/>
      </c>
      <c r="I956" s="156" t="str">
        <f t="array" ref="I956">IF($A956="","",IFERROR(INDEX(Orders!$P$5:$P$1004,MATCH($A956,Orders!$N$5:$N$1004,0)),""))</f>
        <v/>
      </c>
      <c r="J956" s="157" t="str">
        <f t="shared" si="1"/>
        <v/>
      </c>
      <c r="K956" s="153" t="str">
        <f t="array" ref="K956">IF($A956="","",IFERROR(INDEX(Sales!$M:$M,MATCH($A956,Sales!$E:$E,0)),""))</f>
        <v/>
      </c>
      <c r="L956" s="158" t="str">
        <f t="shared" si="2"/>
        <v/>
      </c>
      <c r="N956" s="49" t="str">
        <f t="array" ref="N956">IFERROR(INDEX(Sales!$E$7:$E$1506,MATCH(ROW()-4,Sales!$V$7:$V$1506,0)),"")</f>
        <v/>
      </c>
      <c r="O956" s="67"/>
      <c r="P956" s="67"/>
    </row>
    <row r="957" ht="15.0" customHeight="1">
      <c r="A957" s="151" t="str">
        <f t="array" ref="A957">IFERROR(INDEX(Sales!$E$7:$E$1506,MATCH(ROW()-4,Sales!$W$7:$W$1506,0)),"")</f>
        <v/>
      </c>
      <c r="B957" s="152" t="str">
        <f t="array" ref="B957">IF($A957="","",IFERROR(INDEX(Sales!$A:$A,MATCH($A957,Sales!$E:$E,0)),""))</f>
        <v/>
      </c>
      <c r="C957" s="153" t="str">
        <f t="array" ref="C957">IF($A957="","",IFERROR(INDEX(Sales!$D:$D,MATCH($A957,Sales!$E:$E,0)),""))</f>
        <v/>
      </c>
      <c r="D957" s="153" t="str">
        <f t="array" ref="D957">IF($A957="","",IFERROR(INDEX(Sales!$C:$C,MATCH($A957,Sales!$E:$E,0)),""))</f>
        <v/>
      </c>
      <c r="E957" s="154" t="str">
        <f>IF($A957="","",SUMIFS(Sales!$H:$H,Sales!$E:$E,$A957,Sales!$B:$B,"&lt;&gt;Return"))</f>
        <v/>
      </c>
      <c r="F957" s="155" t="str">
        <f>IF($A957="","",SUMIF(Sales!$E:$E,$A957,Sales!$L:$L))</f>
        <v/>
      </c>
      <c r="G957" s="155" t="str">
        <f>IF($A957="","",SUMIF(Sales!$E:$E,$A957,Sales!$P:$P))</f>
        <v/>
      </c>
      <c r="H957" s="156" t="str">
        <f t="array" ref="H957">IF($A957="","",IFERROR(INDEX(Orders!$O$5:$O$1004,MATCH($A957,Orders!$N$5:$N$1004,0)),""))</f>
        <v/>
      </c>
      <c r="I957" s="156" t="str">
        <f t="array" ref="I957">IF($A957="","",IFERROR(INDEX(Orders!$P$5:$P$1004,MATCH($A957,Orders!$N$5:$N$1004,0)),""))</f>
        <v/>
      </c>
      <c r="J957" s="157" t="str">
        <f t="shared" si="1"/>
        <v/>
      </c>
      <c r="K957" s="153" t="str">
        <f t="array" ref="K957">IF($A957="","",IFERROR(INDEX(Sales!$M:$M,MATCH($A957,Sales!$E:$E,0)),""))</f>
        <v/>
      </c>
      <c r="L957" s="158" t="str">
        <f t="shared" si="2"/>
        <v/>
      </c>
      <c r="N957" s="49" t="str">
        <f t="array" ref="N957">IFERROR(INDEX(Sales!$E$7:$E$1506,MATCH(ROW()-4,Sales!$V$7:$V$1506,0)),"")</f>
        <v/>
      </c>
      <c r="O957" s="67"/>
      <c r="P957" s="67"/>
    </row>
    <row r="958" ht="15.0" customHeight="1">
      <c r="A958" s="151" t="str">
        <f t="array" ref="A958">IFERROR(INDEX(Sales!$E$7:$E$1506,MATCH(ROW()-4,Sales!$W$7:$W$1506,0)),"")</f>
        <v/>
      </c>
      <c r="B958" s="152" t="str">
        <f t="array" ref="B958">IF($A958="","",IFERROR(INDEX(Sales!$A:$A,MATCH($A958,Sales!$E:$E,0)),""))</f>
        <v/>
      </c>
      <c r="C958" s="153" t="str">
        <f t="array" ref="C958">IF($A958="","",IFERROR(INDEX(Sales!$D:$D,MATCH($A958,Sales!$E:$E,0)),""))</f>
        <v/>
      </c>
      <c r="D958" s="153" t="str">
        <f t="array" ref="D958">IF($A958="","",IFERROR(INDEX(Sales!$C:$C,MATCH($A958,Sales!$E:$E,0)),""))</f>
        <v/>
      </c>
      <c r="E958" s="154" t="str">
        <f>IF($A958="","",SUMIFS(Sales!$H:$H,Sales!$E:$E,$A958,Sales!$B:$B,"&lt;&gt;Return"))</f>
        <v/>
      </c>
      <c r="F958" s="155" t="str">
        <f>IF($A958="","",SUMIF(Sales!$E:$E,$A958,Sales!$L:$L))</f>
        <v/>
      </c>
      <c r="G958" s="155" t="str">
        <f>IF($A958="","",SUMIF(Sales!$E:$E,$A958,Sales!$P:$P))</f>
        <v/>
      </c>
      <c r="H958" s="156" t="str">
        <f t="array" ref="H958">IF($A958="","",IFERROR(INDEX(Orders!$O$5:$O$1004,MATCH($A958,Orders!$N$5:$N$1004,0)),""))</f>
        <v/>
      </c>
      <c r="I958" s="156" t="str">
        <f t="array" ref="I958">IF($A958="","",IFERROR(INDEX(Orders!$P$5:$P$1004,MATCH($A958,Orders!$N$5:$N$1004,0)),""))</f>
        <v/>
      </c>
      <c r="J958" s="157" t="str">
        <f t="shared" si="1"/>
        <v/>
      </c>
      <c r="K958" s="153" t="str">
        <f t="array" ref="K958">IF($A958="","",IFERROR(INDEX(Sales!$M:$M,MATCH($A958,Sales!$E:$E,0)),""))</f>
        <v/>
      </c>
      <c r="L958" s="158" t="str">
        <f t="shared" si="2"/>
        <v/>
      </c>
      <c r="N958" s="49" t="str">
        <f t="array" ref="N958">IFERROR(INDEX(Sales!$E$7:$E$1506,MATCH(ROW()-4,Sales!$V$7:$V$1506,0)),"")</f>
        <v/>
      </c>
      <c r="O958" s="67"/>
      <c r="P958" s="67"/>
    </row>
    <row r="959" ht="15.0" customHeight="1">
      <c r="A959" s="151" t="str">
        <f t="array" ref="A959">IFERROR(INDEX(Sales!$E$7:$E$1506,MATCH(ROW()-4,Sales!$W$7:$W$1506,0)),"")</f>
        <v/>
      </c>
      <c r="B959" s="152" t="str">
        <f t="array" ref="B959">IF($A959="","",IFERROR(INDEX(Sales!$A:$A,MATCH($A959,Sales!$E:$E,0)),""))</f>
        <v/>
      </c>
      <c r="C959" s="153" t="str">
        <f t="array" ref="C959">IF($A959="","",IFERROR(INDEX(Sales!$D:$D,MATCH($A959,Sales!$E:$E,0)),""))</f>
        <v/>
      </c>
      <c r="D959" s="153" t="str">
        <f t="array" ref="D959">IF($A959="","",IFERROR(INDEX(Sales!$C:$C,MATCH($A959,Sales!$E:$E,0)),""))</f>
        <v/>
      </c>
      <c r="E959" s="154" t="str">
        <f>IF($A959="","",SUMIFS(Sales!$H:$H,Sales!$E:$E,$A959,Sales!$B:$B,"&lt;&gt;Return"))</f>
        <v/>
      </c>
      <c r="F959" s="155" t="str">
        <f>IF($A959="","",SUMIF(Sales!$E:$E,$A959,Sales!$L:$L))</f>
        <v/>
      </c>
      <c r="G959" s="155" t="str">
        <f>IF($A959="","",SUMIF(Sales!$E:$E,$A959,Sales!$P:$P))</f>
        <v/>
      </c>
      <c r="H959" s="156" t="str">
        <f t="array" ref="H959">IF($A959="","",IFERROR(INDEX(Orders!$O$5:$O$1004,MATCH($A959,Orders!$N$5:$N$1004,0)),""))</f>
        <v/>
      </c>
      <c r="I959" s="156" t="str">
        <f t="array" ref="I959">IF($A959="","",IFERROR(INDEX(Orders!$P$5:$P$1004,MATCH($A959,Orders!$N$5:$N$1004,0)),""))</f>
        <v/>
      </c>
      <c r="J959" s="157" t="str">
        <f t="shared" si="1"/>
        <v/>
      </c>
      <c r="K959" s="153" t="str">
        <f t="array" ref="K959">IF($A959="","",IFERROR(INDEX(Sales!$M:$M,MATCH($A959,Sales!$E:$E,0)),""))</f>
        <v/>
      </c>
      <c r="L959" s="158" t="str">
        <f t="shared" si="2"/>
        <v/>
      </c>
      <c r="N959" s="49" t="str">
        <f t="array" ref="N959">IFERROR(INDEX(Sales!$E$7:$E$1506,MATCH(ROW()-4,Sales!$V$7:$V$1506,0)),"")</f>
        <v/>
      </c>
      <c r="O959" s="67"/>
      <c r="P959" s="67"/>
    </row>
    <row r="960" ht="15.0" customHeight="1">
      <c r="A960" s="151" t="str">
        <f t="array" ref="A960">IFERROR(INDEX(Sales!$E$7:$E$1506,MATCH(ROW()-4,Sales!$W$7:$W$1506,0)),"")</f>
        <v/>
      </c>
      <c r="B960" s="152" t="str">
        <f t="array" ref="B960">IF($A960="","",IFERROR(INDEX(Sales!$A:$A,MATCH($A960,Sales!$E:$E,0)),""))</f>
        <v/>
      </c>
      <c r="C960" s="153" t="str">
        <f t="array" ref="C960">IF($A960="","",IFERROR(INDEX(Sales!$D:$D,MATCH($A960,Sales!$E:$E,0)),""))</f>
        <v/>
      </c>
      <c r="D960" s="153" t="str">
        <f t="array" ref="D960">IF($A960="","",IFERROR(INDEX(Sales!$C:$C,MATCH($A960,Sales!$E:$E,0)),""))</f>
        <v/>
      </c>
      <c r="E960" s="154" t="str">
        <f>IF($A960="","",SUMIFS(Sales!$H:$H,Sales!$E:$E,$A960,Sales!$B:$B,"&lt;&gt;Return"))</f>
        <v/>
      </c>
      <c r="F960" s="155" t="str">
        <f>IF($A960="","",SUMIF(Sales!$E:$E,$A960,Sales!$L:$L))</f>
        <v/>
      </c>
      <c r="G960" s="155" t="str">
        <f>IF($A960="","",SUMIF(Sales!$E:$E,$A960,Sales!$P:$P))</f>
        <v/>
      </c>
      <c r="H960" s="156" t="str">
        <f t="array" ref="H960">IF($A960="","",IFERROR(INDEX(Orders!$O$5:$O$1004,MATCH($A960,Orders!$N$5:$N$1004,0)),""))</f>
        <v/>
      </c>
      <c r="I960" s="156" t="str">
        <f t="array" ref="I960">IF($A960="","",IFERROR(INDEX(Orders!$P$5:$P$1004,MATCH($A960,Orders!$N$5:$N$1004,0)),""))</f>
        <v/>
      </c>
      <c r="J960" s="157" t="str">
        <f t="shared" si="1"/>
        <v/>
      </c>
      <c r="K960" s="153" t="str">
        <f t="array" ref="K960">IF($A960="","",IFERROR(INDEX(Sales!$M:$M,MATCH($A960,Sales!$E:$E,0)),""))</f>
        <v/>
      </c>
      <c r="L960" s="158" t="str">
        <f t="shared" si="2"/>
        <v/>
      </c>
      <c r="N960" s="49" t="str">
        <f t="array" ref="N960">IFERROR(INDEX(Sales!$E$7:$E$1506,MATCH(ROW()-4,Sales!$V$7:$V$1506,0)),"")</f>
        <v/>
      </c>
      <c r="O960" s="67"/>
      <c r="P960" s="67"/>
    </row>
    <row r="961" ht="15.0" customHeight="1">
      <c r="A961" s="151" t="str">
        <f t="array" ref="A961">IFERROR(INDEX(Sales!$E$7:$E$1506,MATCH(ROW()-4,Sales!$W$7:$W$1506,0)),"")</f>
        <v/>
      </c>
      <c r="B961" s="152" t="str">
        <f t="array" ref="B961">IF($A961="","",IFERROR(INDEX(Sales!$A:$A,MATCH($A961,Sales!$E:$E,0)),""))</f>
        <v/>
      </c>
      <c r="C961" s="153" t="str">
        <f t="array" ref="C961">IF($A961="","",IFERROR(INDEX(Sales!$D:$D,MATCH($A961,Sales!$E:$E,0)),""))</f>
        <v/>
      </c>
      <c r="D961" s="153" t="str">
        <f t="array" ref="D961">IF($A961="","",IFERROR(INDEX(Sales!$C:$C,MATCH($A961,Sales!$E:$E,0)),""))</f>
        <v/>
      </c>
      <c r="E961" s="154" t="str">
        <f>IF($A961="","",SUMIFS(Sales!$H:$H,Sales!$E:$E,$A961,Sales!$B:$B,"&lt;&gt;Return"))</f>
        <v/>
      </c>
      <c r="F961" s="155" t="str">
        <f>IF($A961="","",SUMIF(Sales!$E:$E,$A961,Sales!$L:$L))</f>
        <v/>
      </c>
      <c r="G961" s="155" t="str">
        <f>IF($A961="","",SUMIF(Sales!$E:$E,$A961,Sales!$P:$P))</f>
        <v/>
      </c>
      <c r="H961" s="156" t="str">
        <f t="array" ref="H961">IF($A961="","",IFERROR(INDEX(Orders!$O$5:$O$1004,MATCH($A961,Orders!$N$5:$N$1004,0)),""))</f>
        <v/>
      </c>
      <c r="I961" s="156" t="str">
        <f t="array" ref="I961">IF($A961="","",IFERROR(INDEX(Orders!$P$5:$P$1004,MATCH($A961,Orders!$N$5:$N$1004,0)),""))</f>
        <v/>
      </c>
      <c r="J961" s="157" t="str">
        <f t="shared" si="1"/>
        <v/>
      </c>
      <c r="K961" s="153" t="str">
        <f t="array" ref="K961">IF($A961="","",IFERROR(INDEX(Sales!$M:$M,MATCH($A961,Sales!$E:$E,0)),""))</f>
        <v/>
      </c>
      <c r="L961" s="158" t="str">
        <f t="shared" si="2"/>
        <v/>
      </c>
      <c r="N961" s="49" t="str">
        <f t="array" ref="N961">IFERROR(INDEX(Sales!$E$7:$E$1506,MATCH(ROW()-4,Sales!$V$7:$V$1506,0)),"")</f>
        <v/>
      </c>
      <c r="O961" s="67"/>
      <c r="P961" s="67"/>
    </row>
    <row r="962" ht="15.0" customHeight="1">
      <c r="A962" s="151" t="str">
        <f t="array" ref="A962">IFERROR(INDEX(Sales!$E$7:$E$1506,MATCH(ROW()-4,Sales!$W$7:$W$1506,0)),"")</f>
        <v/>
      </c>
      <c r="B962" s="152" t="str">
        <f t="array" ref="B962">IF($A962="","",IFERROR(INDEX(Sales!$A:$A,MATCH($A962,Sales!$E:$E,0)),""))</f>
        <v/>
      </c>
      <c r="C962" s="153" t="str">
        <f t="array" ref="C962">IF($A962="","",IFERROR(INDEX(Sales!$D:$D,MATCH($A962,Sales!$E:$E,0)),""))</f>
        <v/>
      </c>
      <c r="D962" s="153" t="str">
        <f t="array" ref="D962">IF($A962="","",IFERROR(INDEX(Sales!$C:$C,MATCH($A962,Sales!$E:$E,0)),""))</f>
        <v/>
      </c>
      <c r="E962" s="154" t="str">
        <f>IF($A962="","",SUMIFS(Sales!$H:$H,Sales!$E:$E,$A962,Sales!$B:$B,"&lt;&gt;Return"))</f>
        <v/>
      </c>
      <c r="F962" s="155" t="str">
        <f>IF($A962="","",SUMIF(Sales!$E:$E,$A962,Sales!$L:$L))</f>
        <v/>
      </c>
      <c r="G962" s="155" t="str">
        <f>IF($A962="","",SUMIF(Sales!$E:$E,$A962,Sales!$P:$P))</f>
        <v/>
      </c>
      <c r="H962" s="156" t="str">
        <f t="array" ref="H962">IF($A962="","",IFERROR(INDEX(Orders!$O$5:$O$1004,MATCH($A962,Orders!$N$5:$N$1004,0)),""))</f>
        <v/>
      </c>
      <c r="I962" s="156" t="str">
        <f t="array" ref="I962">IF($A962="","",IFERROR(INDEX(Orders!$P$5:$P$1004,MATCH($A962,Orders!$N$5:$N$1004,0)),""))</f>
        <v/>
      </c>
      <c r="J962" s="157" t="str">
        <f t="shared" si="1"/>
        <v/>
      </c>
      <c r="K962" s="153" t="str">
        <f t="array" ref="K962">IF($A962="","",IFERROR(INDEX(Sales!$M:$M,MATCH($A962,Sales!$E:$E,0)),""))</f>
        <v/>
      </c>
      <c r="L962" s="158" t="str">
        <f t="shared" si="2"/>
        <v/>
      </c>
      <c r="N962" s="49" t="str">
        <f t="array" ref="N962">IFERROR(INDEX(Sales!$E$7:$E$1506,MATCH(ROW()-4,Sales!$V$7:$V$1506,0)),"")</f>
        <v/>
      </c>
      <c r="O962" s="67"/>
      <c r="P962" s="67"/>
    </row>
    <row r="963" ht="15.0" customHeight="1">
      <c r="A963" s="151" t="str">
        <f t="array" ref="A963">IFERROR(INDEX(Sales!$E$7:$E$1506,MATCH(ROW()-4,Sales!$W$7:$W$1506,0)),"")</f>
        <v/>
      </c>
      <c r="B963" s="152" t="str">
        <f t="array" ref="B963">IF($A963="","",IFERROR(INDEX(Sales!$A:$A,MATCH($A963,Sales!$E:$E,0)),""))</f>
        <v/>
      </c>
      <c r="C963" s="153" t="str">
        <f t="array" ref="C963">IF($A963="","",IFERROR(INDEX(Sales!$D:$D,MATCH($A963,Sales!$E:$E,0)),""))</f>
        <v/>
      </c>
      <c r="D963" s="153" t="str">
        <f t="array" ref="D963">IF($A963="","",IFERROR(INDEX(Sales!$C:$C,MATCH($A963,Sales!$E:$E,0)),""))</f>
        <v/>
      </c>
      <c r="E963" s="154" t="str">
        <f>IF($A963="","",SUMIFS(Sales!$H:$H,Sales!$E:$E,$A963,Sales!$B:$B,"&lt;&gt;Return"))</f>
        <v/>
      </c>
      <c r="F963" s="155" t="str">
        <f>IF($A963="","",SUMIF(Sales!$E:$E,$A963,Sales!$L:$L))</f>
        <v/>
      </c>
      <c r="G963" s="155" t="str">
        <f>IF($A963="","",SUMIF(Sales!$E:$E,$A963,Sales!$P:$P))</f>
        <v/>
      </c>
      <c r="H963" s="156" t="str">
        <f t="array" ref="H963">IF($A963="","",IFERROR(INDEX(Orders!$O$5:$O$1004,MATCH($A963,Orders!$N$5:$N$1004,0)),""))</f>
        <v/>
      </c>
      <c r="I963" s="156" t="str">
        <f t="array" ref="I963">IF($A963="","",IFERROR(INDEX(Orders!$P$5:$P$1004,MATCH($A963,Orders!$N$5:$N$1004,0)),""))</f>
        <v/>
      </c>
      <c r="J963" s="157" t="str">
        <f t="shared" si="1"/>
        <v/>
      </c>
      <c r="K963" s="153" t="str">
        <f t="array" ref="K963">IF($A963="","",IFERROR(INDEX(Sales!$M:$M,MATCH($A963,Sales!$E:$E,0)),""))</f>
        <v/>
      </c>
      <c r="L963" s="158" t="str">
        <f t="shared" si="2"/>
        <v/>
      </c>
      <c r="N963" s="49" t="str">
        <f t="array" ref="N963">IFERROR(INDEX(Sales!$E$7:$E$1506,MATCH(ROW()-4,Sales!$V$7:$V$1506,0)),"")</f>
        <v/>
      </c>
      <c r="O963" s="67"/>
      <c r="P963" s="67"/>
    </row>
    <row r="964" ht="15.0" customHeight="1">
      <c r="A964" s="151" t="str">
        <f t="array" ref="A964">IFERROR(INDEX(Sales!$E$7:$E$1506,MATCH(ROW()-4,Sales!$W$7:$W$1506,0)),"")</f>
        <v/>
      </c>
      <c r="B964" s="152" t="str">
        <f t="array" ref="B964">IF($A964="","",IFERROR(INDEX(Sales!$A:$A,MATCH($A964,Sales!$E:$E,0)),""))</f>
        <v/>
      </c>
      <c r="C964" s="153" t="str">
        <f t="array" ref="C964">IF($A964="","",IFERROR(INDEX(Sales!$D:$D,MATCH($A964,Sales!$E:$E,0)),""))</f>
        <v/>
      </c>
      <c r="D964" s="153" t="str">
        <f t="array" ref="D964">IF($A964="","",IFERROR(INDEX(Sales!$C:$C,MATCH($A964,Sales!$E:$E,0)),""))</f>
        <v/>
      </c>
      <c r="E964" s="154" t="str">
        <f>IF($A964="","",SUMIFS(Sales!$H:$H,Sales!$E:$E,$A964,Sales!$B:$B,"&lt;&gt;Return"))</f>
        <v/>
      </c>
      <c r="F964" s="155" t="str">
        <f>IF($A964="","",SUMIF(Sales!$E:$E,$A964,Sales!$L:$L))</f>
        <v/>
      </c>
      <c r="G964" s="155" t="str">
        <f>IF($A964="","",SUMIF(Sales!$E:$E,$A964,Sales!$P:$P))</f>
        <v/>
      </c>
      <c r="H964" s="156" t="str">
        <f t="array" ref="H964">IF($A964="","",IFERROR(INDEX(Orders!$O$5:$O$1004,MATCH($A964,Orders!$N$5:$N$1004,0)),""))</f>
        <v/>
      </c>
      <c r="I964" s="156" t="str">
        <f t="array" ref="I964">IF($A964="","",IFERROR(INDEX(Orders!$P$5:$P$1004,MATCH($A964,Orders!$N$5:$N$1004,0)),""))</f>
        <v/>
      </c>
      <c r="J964" s="157" t="str">
        <f t="shared" si="1"/>
        <v/>
      </c>
      <c r="K964" s="153" t="str">
        <f t="array" ref="K964">IF($A964="","",IFERROR(INDEX(Sales!$M:$M,MATCH($A964,Sales!$E:$E,0)),""))</f>
        <v/>
      </c>
      <c r="L964" s="158" t="str">
        <f t="shared" si="2"/>
        <v/>
      </c>
      <c r="N964" s="49" t="str">
        <f t="array" ref="N964">IFERROR(INDEX(Sales!$E$7:$E$1506,MATCH(ROW()-4,Sales!$V$7:$V$1506,0)),"")</f>
        <v/>
      </c>
      <c r="O964" s="67"/>
      <c r="P964" s="67"/>
    </row>
    <row r="965" ht="15.0" customHeight="1">
      <c r="A965" s="151" t="str">
        <f t="array" ref="A965">IFERROR(INDEX(Sales!$E$7:$E$1506,MATCH(ROW()-4,Sales!$W$7:$W$1506,0)),"")</f>
        <v/>
      </c>
      <c r="B965" s="152" t="str">
        <f t="array" ref="B965">IF($A965="","",IFERROR(INDEX(Sales!$A:$A,MATCH($A965,Sales!$E:$E,0)),""))</f>
        <v/>
      </c>
      <c r="C965" s="153" t="str">
        <f t="array" ref="C965">IF($A965="","",IFERROR(INDEX(Sales!$D:$D,MATCH($A965,Sales!$E:$E,0)),""))</f>
        <v/>
      </c>
      <c r="D965" s="153" t="str">
        <f t="array" ref="D965">IF($A965="","",IFERROR(INDEX(Sales!$C:$C,MATCH($A965,Sales!$E:$E,0)),""))</f>
        <v/>
      </c>
      <c r="E965" s="154" t="str">
        <f>IF($A965="","",SUMIFS(Sales!$H:$H,Sales!$E:$E,$A965,Sales!$B:$B,"&lt;&gt;Return"))</f>
        <v/>
      </c>
      <c r="F965" s="155" t="str">
        <f>IF($A965="","",SUMIF(Sales!$E:$E,$A965,Sales!$L:$L))</f>
        <v/>
      </c>
      <c r="G965" s="155" t="str">
        <f>IF($A965="","",SUMIF(Sales!$E:$E,$A965,Sales!$P:$P))</f>
        <v/>
      </c>
      <c r="H965" s="156" t="str">
        <f t="array" ref="H965">IF($A965="","",IFERROR(INDEX(Orders!$O$5:$O$1004,MATCH($A965,Orders!$N$5:$N$1004,0)),""))</f>
        <v/>
      </c>
      <c r="I965" s="156" t="str">
        <f t="array" ref="I965">IF($A965="","",IFERROR(INDEX(Orders!$P$5:$P$1004,MATCH($A965,Orders!$N$5:$N$1004,0)),""))</f>
        <v/>
      </c>
      <c r="J965" s="157" t="str">
        <f t="shared" si="1"/>
        <v/>
      </c>
      <c r="K965" s="153" t="str">
        <f t="array" ref="K965">IF($A965="","",IFERROR(INDEX(Sales!$M:$M,MATCH($A965,Sales!$E:$E,0)),""))</f>
        <v/>
      </c>
      <c r="L965" s="158" t="str">
        <f t="shared" si="2"/>
        <v/>
      </c>
      <c r="N965" s="49" t="str">
        <f t="array" ref="N965">IFERROR(INDEX(Sales!$E$7:$E$1506,MATCH(ROW()-4,Sales!$V$7:$V$1506,0)),"")</f>
        <v/>
      </c>
      <c r="O965" s="67"/>
      <c r="P965" s="67"/>
    </row>
    <row r="966" ht="15.0" customHeight="1">
      <c r="A966" s="151" t="str">
        <f t="array" ref="A966">IFERROR(INDEX(Sales!$E$7:$E$1506,MATCH(ROW()-4,Sales!$W$7:$W$1506,0)),"")</f>
        <v/>
      </c>
      <c r="B966" s="152" t="str">
        <f t="array" ref="B966">IF($A966="","",IFERROR(INDEX(Sales!$A:$A,MATCH($A966,Sales!$E:$E,0)),""))</f>
        <v/>
      </c>
      <c r="C966" s="153" t="str">
        <f t="array" ref="C966">IF($A966="","",IFERROR(INDEX(Sales!$D:$D,MATCH($A966,Sales!$E:$E,0)),""))</f>
        <v/>
      </c>
      <c r="D966" s="153" t="str">
        <f t="array" ref="D966">IF($A966="","",IFERROR(INDEX(Sales!$C:$C,MATCH($A966,Sales!$E:$E,0)),""))</f>
        <v/>
      </c>
      <c r="E966" s="154" t="str">
        <f>IF($A966="","",SUMIFS(Sales!$H:$H,Sales!$E:$E,$A966,Sales!$B:$B,"&lt;&gt;Return"))</f>
        <v/>
      </c>
      <c r="F966" s="155" t="str">
        <f>IF($A966="","",SUMIF(Sales!$E:$E,$A966,Sales!$L:$L))</f>
        <v/>
      </c>
      <c r="G966" s="155" t="str">
        <f>IF($A966="","",SUMIF(Sales!$E:$E,$A966,Sales!$P:$P))</f>
        <v/>
      </c>
      <c r="H966" s="156" t="str">
        <f t="array" ref="H966">IF($A966="","",IFERROR(INDEX(Orders!$O$5:$O$1004,MATCH($A966,Orders!$N$5:$N$1004,0)),""))</f>
        <v/>
      </c>
      <c r="I966" s="156" t="str">
        <f t="array" ref="I966">IF($A966="","",IFERROR(INDEX(Orders!$P$5:$P$1004,MATCH($A966,Orders!$N$5:$N$1004,0)),""))</f>
        <v/>
      </c>
      <c r="J966" s="157" t="str">
        <f t="shared" si="1"/>
        <v/>
      </c>
      <c r="K966" s="153" t="str">
        <f t="array" ref="K966">IF($A966="","",IFERROR(INDEX(Sales!$M:$M,MATCH($A966,Sales!$E:$E,0)),""))</f>
        <v/>
      </c>
      <c r="L966" s="158" t="str">
        <f t="shared" si="2"/>
        <v/>
      </c>
      <c r="N966" s="49" t="str">
        <f t="array" ref="N966">IFERROR(INDEX(Sales!$E$7:$E$1506,MATCH(ROW()-4,Sales!$V$7:$V$1506,0)),"")</f>
        <v/>
      </c>
      <c r="O966" s="67"/>
      <c r="P966" s="67"/>
    </row>
    <row r="967" ht="15.0" customHeight="1">
      <c r="A967" s="151" t="str">
        <f t="array" ref="A967">IFERROR(INDEX(Sales!$E$7:$E$1506,MATCH(ROW()-4,Sales!$W$7:$W$1506,0)),"")</f>
        <v/>
      </c>
      <c r="B967" s="152" t="str">
        <f t="array" ref="B967">IF($A967="","",IFERROR(INDEX(Sales!$A:$A,MATCH($A967,Sales!$E:$E,0)),""))</f>
        <v/>
      </c>
      <c r="C967" s="153" t="str">
        <f t="array" ref="C967">IF($A967="","",IFERROR(INDEX(Sales!$D:$D,MATCH($A967,Sales!$E:$E,0)),""))</f>
        <v/>
      </c>
      <c r="D967" s="153" t="str">
        <f t="array" ref="D967">IF($A967="","",IFERROR(INDEX(Sales!$C:$C,MATCH($A967,Sales!$E:$E,0)),""))</f>
        <v/>
      </c>
      <c r="E967" s="154" t="str">
        <f>IF($A967="","",SUMIFS(Sales!$H:$H,Sales!$E:$E,$A967,Sales!$B:$B,"&lt;&gt;Return"))</f>
        <v/>
      </c>
      <c r="F967" s="155" t="str">
        <f>IF($A967="","",SUMIF(Sales!$E:$E,$A967,Sales!$L:$L))</f>
        <v/>
      </c>
      <c r="G967" s="155" t="str">
        <f>IF($A967="","",SUMIF(Sales!$E:$E,$A967,Sales!$P:$P))</f>
        <v/>
      </c>
      <c r="H967" s="156" t="str">
        <f t="array" ref="H967">IF($A967="","",IFERROR(INDEX(Orders!$O$5:$O$1004,MATCH($A967,Orders!$N$5:$N$1004,0)),""))</f>
        <v/>
      </c>
      <c r="I967" s="156" t="str">
        <f t="array" ref="I967">IF($A967="","",IFERROR(INDEX(Orders!$P$5:$P$1004,MATCH($A967,Orders!$N$5:$N$1004,0)),""))</f>
        <v/>
      </c>
      <c r="J967" s="157" t="str">
        <f t="shared" si="1"/>
        <v/>
      </c>
      <c r="K967" s="153" t="str">
        <f t="array" ref="K967">IF($A967="","",IFERROR(INDEX(Sales!$M:$M,MATCH($A967,Sales!$E:$E,0)),""))</f>
        <v/>
      </c>
      <c r="L967" s="158" t="str">
        <f t="shared" si="2"/>
        <v/>
      </c>
      <c r="N967" s="49" t="str">
        <f t="array" ref="N967">IFERROR(INDEX(Sales!$E$7:$E$1506,MATCH(ROW()-4,Sales!$V$7:$V$1506,0)),"")</f>
        <v/>
      </c>
      <c r="O967" s="67"/>
      <c r="P967" s="67"/>
    </row>
    <row r="968" ht="15.0" customHeight="1">
      <c r="A968" s="151" t="str">
        <f t="array" ref="A968">IFERROR(INDEX(Sales!$E$7:$E$1506,MATCH(ROW()-4,Sales!$W$7:$W$1506,0)),"")</f>
        <v/>
      </c>
      <c r="B968" s="152" t="str">
        <f t="array" ref="B968">IF($A968="","",IFERROR(INDEX(Sales!$A:$A,MATCH($A968,Sales!$E:$E,0)),""))</f>
        <v/>
      </c>
      <c r="C968" s="153" t="str">
        <f t="array" ref="C968">IF($A968="","",IFERROR(INDEX(Sales!$D:$D,MATCH($A968,Sales!$E:$E,0)),""))</f>
        <v/>
      </c>
      <c r="D968" s="153" t="str">
        <f t="array" ref="D968">IF($A968="","",IFERROR(INDEX(Sales!$C:$C,MATCH($A968,Sales!$E:$E,0)),""))</f>
        <v/>
      </c>
      <c r="E968" s="154" t="str">
        <f>IF($A968="","",SUMIFS(Sales!$H:$H,Sales!$E:$E,$A968,Sales!$B:$B,"&lt;&gt;Return"))</f>
        <v/>
      </c>
      <c r="F968" s="155" t="str">
        <f>IF($A968="","",SUMIF(Sales!$E:$E,$A968,Sales!$L:$L))</f>
        <v/>
      </c>
      <c r="G968" s="155" t="str">
        <f>IF($A968="","",SUMIF(Sales!$E:$E,$A968,Sales!$P:$P))</f>
        <v/>
      </c>
      <c r="H968" s="156" t="str">
        <f t="array" ref="H968">IF($A968="","",IFERROR(INDEX(Orders!$O$5:$O$1004,MATCH($A968,Orders!$N$5:$N$1004,0)),""))</f>
        <v/>
      </c>
      <c r="I968" s="156" t="str">
        <f t="array" ref="I968">IF($A968="","",IFERROR(INDEX(Orders!$P$5:$P$1004,MATCH($A968,Orders!$N$5:$N$1004,0)),""))</f>
        <v/>
      </c>
      <c r="J968" s="157" t="str">
        <f t="shared" si="1"/>
        <v/>
      </c>
      <c r="K968" s="153" t="str">
        <f t="array" ref="K968">IF($A968="","",IFERROR(INDEX(Sales!$M:$M,MATCH($A968,Sales!$E:$E,0)),""))</f>
        <v/>
      </c>
      <c r="L968" s="158" t="str">
        <f t="shared" si="2"/>
        <v/>
      </c>
      <c r="N968" s="49" t="str">
        <f t="array" ref="N968">IFERROR(INDEX(Sales!$E$7:$E$1506,MATCH(ROW()-4,Sales!$V$7:$V$1506,0)),"")</f>
        <v/>
      </c>
      <c r="O968" s="67"/>
      <c r="P968" s="67"/>
    </row>
    <row r="969" ht="15.0" customHeight="1">
      <c r="A969" s="151" t="str">
        <f t="array" ref="A969">IFERROR(INDEX(Sales!$E$7:$E$1506,MATCH(ROW()-4,Sales!$W$7:$W$1506,0)),"")</f>
        <v/>
      </c>
      <c r="B969" s="152" t="str">
        <f t="array" ref="B969">IF($A969="","",IFERROR(INDEX(Sales!$A:$A,MATCH($A969,Sales!$E:$E,0)),""))</f>
        <v/>
      </c>
      <c r="C969" s="153" t="str">
        <f t="array" ref="C969">IF($A969="","",IFERROR(INDEX(Sales!$D:$D,MATCH($A969,Sales!$E:$E,0)),""))</f>
        <v/>
      </c>
      <c r="D969" s="153" t="str">
        <f t="array" ref="D969">IF($A969="","",IFERROR(INDEX(Sales!$C:$C,MATCH($A969,Sales!$E:$E,0)),""))</f>
        <v/>
      </c>
      <c r="E969" s="154" t="str">
        <f>IF($A969="","",SUMIFS(Sales!$H:$H,Sales!$E:$E,$A969,Sales!$B:$B,"&lt;&gt;Return"))</f>
        <v/>
      </c>
      <c r="F969" s="155" t="str">
        <f>IF($A969="","",SUMIF(Sales!$E:$E,$A969,Sales!$L:$L))</f>
        <v/>
      </c>
      <c r="G969" s="155" t="str">
        <f>IF($A969="","",SUMIF(Sales!$E:$E,$A969,Sales!$P:$P))</f>
        <v/>
      </c>
      <c r="H969" s="156" t="str">
        <f t="array" ref="H969">IF($A969="","",IFERROR(INDEX(Orders!$O$5:$O$1004,MATCH($A969,Orders!$N$5:$N$1004,0)),""))</f>
        <v/>
      </c>
      <c r="I969" s="156" t="str">
        <f t="array" ref="I969">IF($A969="","",IFERROR(INDEX(Orders!$P$5:$P$1004,MATCH($A969,Orders!$N$5:$N$1004,0)),""))</f>
        <v/>
      </c>
      <c r="J969" s="157" t="str">
        <f t="shared" si="1"/>
        <v/>
      </c>
      <c r="K969" s="153" t="str">
        <f t="array" ref="K969">IF($A969="","",IFERROR(INDEX(Sales!$M:$M,MATCH($A969,Sales!$E:$E,0)),""))</f>
        <v/>
      </c>
      <c r="L969" s="158" t="str">
        <f t="shared" si="2"/>
        <v/>
      </c>
      <c r="N969" s="49" t="str">
        <f t="array" ref="N969">IFERROR(INDEX(Sales!$E$7:$E$1506,MATCH(ROW()-4,Sales!$V$7:$V$1506,0)),"")</f>
        <v/>
      </c>
      <c r="O969" s="67"/>
      <c r="P969" s="67"/>
    </row>
    <row r="970" ht="15.0" customHeight="1">
      <c r="A970" s="151" t="str">
        <f t="array" ref="A970">IFERROR(INDEX(Sales!$E$7:$E$1506,MATCH(ROW()-4,Sales!$W$7:$W$1506,0)),"")</f>
        <v/>
      </c>
      <c r="B970" s="152" t="str">
        <f t="array" ref="B970">IF($A970="","",IFERROR(INDEX(Sales!$A:$A,MATCH($A970,Sales!$E:$E,0)),""))</f>
        <v/>
      </c>
      <c r="C970" s="153" t="str">
        <f t="array" ref="C970">IF($A970="","",IFERROR(INDEX(Sales!$D:$D,MATCH($A970,Sales!$E:$E,0)),""))</f>
        <v/>
      </c>
      <c r="D970" s="153" t="str">
        <f t="array" ref="D970">IF($A970="","",IFERROR(INDEX(Sales!$C:$C,MATCH($A970,Sales!$E:$E,0)),""))</f>
        <v/>
      </c>
      <c r="E970" s="154" t="str">
        <f>IF($A970="","",SUMIFS(Sales!$H:$H,Sales!$E:$E,$A970,Sales!$B:$B,"&lt;&gt;Return"))</f>
        <v/>
      </c>
      <c r="F970" s="155" t="str">
        <f>IF($A970="","",SUMIF(Sales!$E:$E,$A970,Sales!$L:$L))</f>
        <v/>
      </c>
      <c r="G970" s="155" t="str">
        <f>IF($A970="","",SUMIF(Sales!$E:$E,$A970,Sales!$P:$P))</f>
        <v/>
      </c>
      <c r="H970" s="156" t="str">
        <f t="array" ref="H970">IF($A970="","",IFERROR(INDEX(Orders!$O$5:$O$1004,MATCH($A970,Orders!$N$5:$N$1004,0)),""))</f>
        <v/>
      </c>
      <c r="I970" s="156" t="str">
        <f t="array" ref="I970">IF($A970="","",IFERROR(INDEX(Orders!$P$5:$P$1004,MATCH($A970,Orders!$N$5:$N$1004,0)),""))</f>
        <v/>
      </c>
      <c r="J970" s="157" t="str">
        <f t="shared" si="1"/>
        <v/>
      </c>
      <c r="K970" s="153" t="str">
        <f t="array" ref="K970">IF($A970="","",IFERROR(INDEX(Sales!$M:$M,MATCH($A970,Sales!$E:$E,0)),""))</f>
        <v/>
      </c>
      <c r="L970" s="158" t="str">
        <f t="shared" si="2"/>
        <v/>
      </c>
      <c r="N970" s="49" t="str">
        <f t="array" ref="N970">IFERROR(INDEX(Sales!$E$7:$E$1506,MATCH(ROW()-4,Sales!$V$7:$V$1506,0)),"")</f>
        <v/>
      </c>
      <c r="O970" s="67"/>
      <c r="P970" s="67"/>
    </row>
    <row r="971" ht="15.0" customHeight="1">
      <c r="A971" s="151" t="str">
        <f t="array" ref="A971">IFERROR(INDEX(Sales!$E$7:$E$1506,MATCH(ROW()-4,Sales!$W$7:$W$1506,0)),"")</f>
        <v/>
      </c>
      <c r="B971" s="152" t="str">
        <f t="array" ref="B971">IF($A971="","",IFERROR(INDEX(Sales!$A:$A,MATCH($A971,Sales!$E:$E,0)),""))</f>
        <v/>
      </c>
      <c r="C971" s="153" t="str">
        <f t="array" ref="C971">IF($A971="","",IFERROR(INDEX(Sales!$D:$D,MATCH($A971,Sales!$E:$E,0)),""))</f>
        <v/>
      </c>
      <c r="D971" s="153" t="str">
        <f t="array" ref="D971">IF($A971="","",IFERROR(INDEX(Sales!$C:$C,MATCH($A971,Sales!$E:$E,0)),""))</f>
        <v/>
      </c>
      <c r="E971" s="154" t="str">
        <f>IF($A971="","",SUMIFS(Sales!$H:$H,Sales!$E:$E,$A971,Sales!$B:$B,"&lt;&gt;Return"))</f>
        <v/>
      </c>
      <c r="F971" s="155" t="str">
        <f>IF($A971="","",SUMIF(Sales!$E:$E,$A971,Sales!$L:$L))</f>
        <v/>
      </c>
      <c r="G971" s="155" t="str">
        <f>IF($A971="","",SUMIF(Sales!$E:$E,$A971,Sales!$P:$P))</f>
        <v/>
      </c>
      <c r="H971" s="156" t="str">
        <f t="array" ref="H971">IF($A971="","",IFERROR(INDEX(Orders!$O$5:$O$1004,MATCH($A971,Orders!$N$5:$N$1004,0)),""))</f>
        <v/>
      </c>
      <c r="I971" s="156" t="str">
        <f t="array" ref="I971">IF($A971="","",IFERROR(INDEX(Orders!$P$5:$P$1004,MATCH($A971,Orders!$N$5:$N$1004,0)),""))</f>
        <v/>
      </c>
      <c r="J971" s="157" t="str">
        <f t="shared" si="1"/>
        <v/>
      </c>
      <c r="K971" s="153" t="str">
        <f t="array" ref="K971">IF($A971="","",IFERROR(INDEX(Sales!$M:$M,MATCH($A971,Sales!$E:$E,0)),""))</f>
        <v/>
      </c>
      <c r="L971" s="158" t="str">
        <f t="shared" si="2"/>
        <v/>
      </c>
      <c r="N971" s="49" t="str">
        <f t="array" ref="N971">IFERROR(INDEX(Sales!$E$7:$E$1506,MATCH(ROW()-4,Sales!$V$7:$V$1506,0)),"")</f>
        <v/>
      </c>
      <c r="O971" s="67"/>
      <c r="P971" s="67"/>
    </row>
    <row r="972" ht="15.0" customHeight="1">
      <c r="A972" s="151" t="str">
        <f t="array" ref="A972">IFERROR(INDEX(Sales!$E$7:$E$1506,MATCH(ROW()-4,Sales!$W$7:$W$1506,0)),"")</f>
        <v/>
      </c>
      <c r="B972" s="152" t="str">
        <f t="array" ref="B972">IF($A972="","",IFERROR(INDEX(Sales!$A:$A,MATCH($A972,Sales!$E:$E,0)),""))</f>
        <v/>
      </c>
      <c r="C972" s="153" t="str">
        <f t="array" ref="C972">IF($A972="","",IFERROR(INDEX(Sales!$D:$D,MATCH($A972,Sales!$E:$E,0)),""))</f>
        <v/>
      </c>
      <c r="D972" s="153" t="str">
        <f t="array" ref="D972">IF($A972="","",IFERROR(INDEX(Sales!$C:$C,MATCH($A972,Sales!$E:$E,0)),""))</f>
        <v/>
      </c>
      <c r="E972" s="154" t="str">
        <f>IF($A972="","",SUMIFS(Sales!$H:$H,Sales!$E:$E,$A972,Sales!$B:$B,"&lt;&gt;Return"))</f>
        <v/>
      </c>
      <c r="F972" s="155" t="str">
        <f>IF($A972="","",SUMIF(Sales!$E:$E,$A972,Sales!$L:$L))</f>
        <v/>
      </c>
      <c r="G972" s="155" t="str">
        <f>IF($A972="","",SUMIF(Sales!$E:$E,$A972,Sales!$P:$P))</f>
        <v/>
      </c>
      <c r="H972" s="156" t="str">
        <f t="array" ref="H972">IF($A972="","",IFERROR(INDEX(Orders!$O$5:$O$1004,MATCH($A972,Orders!$N$5:$N$1004,0)),""))</f>
        <v/>
      </c>
      <c r="I972" s="156" t="str">
        <f t="array" ref="I972">IF($A972="","",IFERROR(INDEX(Orders!$P$5:$P$1004,MATCH($A972,Orders!$N$5:$N$1004,0)),""))</f>
        <v/>
      </c>
      <c r="J972" s="157" t="str">
        <f t="shared" si="1"/>
        <v/>
      </c>
      <c r="K972" s="153" t="str">
        <f t="array" ref="K972">IF($A972="","",IFERROR(INDEX(Sales!$M:$M,MATCH($A972,Sales!$E:$E,0)),""))</f>
        <v/>
      </c>
      <c r="L972" s="158" t="str">
        <f t="shared" si="2"/>
        <v/>
      </c>
      <c r="N972" s="49" t="str">
        <f t="array" ref="N972">IFERROR(INDEX(Sales!$E$7:$E$1506,MATCH(ROW()-4,Sales!$V$7:$V$1506,0)),"")</f>
        <v/>
      </c>
      <c r="O972" s="67"/>
      <c r="P972" s="67"/>
    </row>
    <row r="973" ht="15.0" customHeight="1">
      <c r="A973" s="151" t="str">
        <f t="array" ref="A973">IFERROR(INDEX(Sales!$E$7:$E$1506,MATCH(ROW()-4,Sales!$W$7:$W$1506,0)),"")</f>
        <v/>
      </c>
      <c r="B973" s="152" t="str">
        <f t="array" ref="B973">IF($A973="","",IFERROR(INDEX(Sales!$A:$A,MATCH($A973,Sales!$E:$E,0)),""))</f>
        <v/>
      </c>
      <c r="C973" s="153" t="str">
        <f t="array" ref="C973">IF($A973="","",IFERROR(INDEX(Sales!$D:$D,MATCH($A973,Sales!$E:$E,0)),""))</f>
        <v/>
      </c>
      <c r="D973" s="153" t="str">
        <f t="array" ref="D973">IF($A973="","",IFERROR(INDEX(Sales!$C:$C,MATCH($A973,Sales!$E:$E,0)),""))</f>
        <v/>
      </c>
      <c r="E973" s="154" t="str">
        <f>IF($A973="","",SUMIFS(Sales!$H:$H,Sales!$E:$E,$A973,Sales!$B:$B,"&lt;&gt;Return"))</f>
        <v/>
      </c>
      <c r="F973" s="155" t="str">
        <f>IF($A973="","",SUMIF(Sales!$E:$E,$A973,Sales!$L:$L))</f>
        <v/>
      </c>
      <c r="G973" s="155" t="str">
        <f>IF($A973="","",SUMIF(Sales!$E:$E,$A973,Sales!$P:$P))</f>
        <v/>
      </c>
      <c r="H973" s="156" t="str">
        <f t="array" ref="H973">IF($A973="","",IFERROR(INDEX(Orders!$O$5:$O$1004,MATCH($A973,Orders!$N$5:$N$1004,0)),""))</f>
        <v/>
      </c>
      <c r="I973" s="156" t="str">
        <f t="array" ref="I973">IF($A973="","",IFERROR(INDEX(Orders!$P$5:$P$1004,MATCH($A973,Orders!$N$5:$N$1004,0)),""))</f>
        <v/>
      </c>
      <c r="J973" s="157" t="str">
        <f t="shared" si="1"/>
        <v/>
      </c>
      <c r="K973" s="153" t="str">
        <f t="array" ref="K973">IF($A973="","",IFERROR(INDEX(Sales!$M:$M,MATCH($A973,Sales!$E:$E,0)),""))</f>
        <v/>
      </c>
      <c r="L973" s="158" t="str">
        <f t="shared" si="2"/>
        <v/>
      </c>
      <c r="N973" s="49" t="str">
        <f t="array" ref="N973">IFERROR(INDEX(Sales!$E$7:$E$1506,MATCH(ROW()-4,Sales!$V$7:$V$1506,0)),"")</f>
        <v/>
      </c>
      <c r="O973" s="67"/>
      <c r="P973" s="67"/>
    </row>
    <row r="974" ht="15.0" customHeight="1">
      <c r="A974" s="151" t="str">
        <f t="array" ref="A974">IFERROR(INDEX(Sales!$E$7:$E$1506,MATCH(ROW()-4,Sales!$W$7:$W$1506,0)),"")</f>
        <v/>
      </c>
      <c r="B974" s="152" t="str">
        <f t="array" ref="B974">IF($A974="","",IFERROR(INDEX(Sales!$A:$A,MATCH($A974,Sales!$E:$E,0)),""))</f>
        <v/>
      </c>
      <c r="C974" s="153" t="str">
        <f t="array" ref="C974">IF($A974="","",IFERROR(INDEX(Sales!$D:$D,MATCH($A974,Sales!$E:$E,0)),""))</f>
        <v/>
      </c>
      <c r="D974" s="153" t="str">
        <f t="array" ref="D974">IF($A974="","",IFERROR(INDEX(Sales!$C:$C,MATCH($A974,Sales!$E:$E,0)),""))</f>
        <v/>
      </c>
      <c r="E974" s="154" t="str">
        <f>IF($A974="","",SUMIFS(Sales!$H:$H,Sales!$E:$E,$A974,Sales!$B:$B,"&lt;&gt;Return"))</f>
        <v/>
      </c>
      <c r="F974" s="155" t="str">
        <f>IF($A974="","",SUMIF(Sales!$E:$E,$A974,Sales!$L:$L))</f>
        <v/>
      </c>
      <c r="G974" s="155" t="str">
        <f>IF($A974="","",SUMIF(Sales!$E:$E,$A974,Sales!$P:$P))</f>
        <v/>
      </c>
      <c r="H974" s="156" t="str">
        <f t="array" ref="H974">IF($A974="","",IFERROR(INDEX(Orders!$O$5:$O$1004,MATCH($A974,Orders!$N$5:$N$1004,0)),""))</f>
        <v/>
      </c>
      <c r="I974" s="156" t="str">
        <f t="array" ref="I974">IF($A974="","",IFERROR(INDEX(Orders!$P$5:$P$1004,MATCH($A974,Orders!$N$5:$N$1004,0)),""))</f>
        <v/>
      </c>
      <c r="J974" s="157" t="str">
        <f t="shared" si="1"/>
        <v/>
      </c>
      <c r="K974" s="153" t="str">
        <f t="array" ref="K974">IF($A974="","",IFERROR(INDEX(Sales!$M:$M,MATCH($A974,Sales!$E:$E,0)),""))</f>
        <v/>
      </c>
      <c r="L974" s="158" t="str">
        <f t="shared" si="2"/>
        <v/>
      </c>
      <c r="N974" s="49" t="str">
        <f t="array" ref="N974">IFERROR(INDEX(Sales!$E$7:$E$1506,MATCH(ROW()-4,Sales!$V$7:$V$1506,0)),"")</f>
        <v/>
      </c>
      <c r="O974" s="67"/>
      <c r="P974" s="67"/>
    </row>
    <row r="975" ht="15.0" customHeight="1">
      <c r="A975" s="151" t="str">
        <f t="array" ref="A975">IFERROR(INDEX(Sales!$E$7:$E$1506,MATCH(ROW()-4,Sales!$W$7:$W$1506,0)),"")</f>
        <v/>
      </c>
      <c r="B975" s="152" t="str">
        <f t="array" ref="B975">IF($A975="","",IFERROR(INDEX(Sales!$A:$A,MATCH($A975,Sales!$E:$E,0)),""))</f>
        <v/>
      </c>
      <c r="C975" s="153" t="str">
        <f t="array" ref="C975">IF($A975="","",IFERROR(INDEX(Sales!$D:$D,MATCH($A975,Sales!$E:$E,0)),""))</f>
        <v/>
      </c>
      <c r="D975" s="153" t="str">
        <f t="array" ref="D975">IF($A975="","",IFERROR(INDEX(Sales!$C:$C,MATCH($A975,Sales!$E:$E,0)),""))</f>
        <v/>
      </c>
      <c r="E975" s="154" t="str">
        <f>IF($A975="","",SUMIFS(Sales!$H:$H,Sales!$E:$E,$A975,Sales!$B:$B,"&lt;&gt;Return"))</f>
        <v/>
      </c>
      <c r="F975" s="155" t="str">
        <f>IF($A975="","",SUMIF(Sales!$E:$E,$A975,Sales!$L:$L))</f>
        <v/>
      </c>
      <c r="G975" s="155" t="str">
        <f>IF($A975="","",SUMIF(Sales!$E:$E,$A975,Sales!$P:$P))</f>
        <v/>
      </c>
      <c r="H975" s="156" t="str">
        <f t="array" ref="H975">IF($A975="","",IFERROR(INDEX(Orders!$O$5:$O$1004,MATCH($A975,Orders!$N$5:$N$1004,0)),""))</f>
        <v/>
      </c>
      <c r="I975" s="156" t="str">
        <f t="array" ref="I975">IF($A975="","",IFERROR(INDEX(Orders!$P$5:$P$1004,MATCH($A975,Orders!$N$5:$N$1004,0)),""))</f>
        <v/>
      </c>
      <c r="J975" s="157" t="str">
        <f t="shared" si="1"/>
        <v/>
      </c>
      <c r="K975" s="153" t="str">
        <f t="array" ref="K975">IF($A975="","",IFERROR(INDEX(Sales!$M:$M,MATCH($A975,Sales!$E:$E,0)),""))</f>
        <v/>
      </c>
      <c r="L975" s="158" t="str">
        <f t="shared" si="2"/>
        <v/>
      </c>
      <c r="N975" s="49" t="str">
        <f t="array" ref="N975">IFERROR(INDEX(Sales!$E$7:$E$1506,MATCH(ROW()-4,Sales!$V$7:$V$1506,0)),"")</f>
        <v/>
      </c>
      <c r="O975" s="67"/>
      <c r="P975" s="67"/>
    </row>
    <row r="976" ht="15.0" customHeight="1">
      <c r="A976" s="151" t="str">
        <f t="array" ref="A976">IFERROR(INDEX(Sales!$E$7:$E$1506,MATCH(ROW()-4,Sales!$W$7:$W$1506,0)),"")</f>
        <v/>
      </c>
      <c r="B976" s="152" t="str">
        <f t="array" ref="B976">IF($A976="","",IFERROR(INDEX(Sales!$A:$A,MATCH($A976,Sales!$E:$E,0)),""))</f>
        <v/>
      </c>
      <c r="C976" s="153" t="str">
        <f t="array" ref="C976">IF($A976="","",IFERROR(INDEX(Sales!$D:$D,MATCH($A976,Sales!$E:$E,0)),""))</f>
        <v/>
      </c>
      <c r="D976" s="153" t="str">
        <f t="array" ref="D976">IF($A976="","",IFERROR(INDEX(Sales!$C:$C,MATCH($A976,Sales!$E:$E,0)),""))</f>
        <v/>
      </c>
      <c r="E976" s="154" t="str">
        <f>IF($A976="","",SUMIFS(Sales!$H:$H,Sales!$E:$E,$A976,Sales!$B:$B,"&lt;&gt;Return"))</f>
        <v/>
      </c>
      <c r="F976" s="155" t="str">
        <f>IF($A976="","",SUMIF(Sales!$E:$E,$A976,Sales!$L:$L))</f>
        <v/>
      </c>
      <c r="G976" s="155" t="str">
        <f>IF($A976="","",SUMIF(Sales!$E:$E,$A976,Sales!$P:$P))</f>
        <v/>
      </c>
      <c r="H976" s="156" t="str">
        <f t="array" ref="H976">IF($A976="","",IFERROR(INDEX(Orders!$O$5:$O$1004,MATCH($A976,Orders!$N$5:$N$1004,0)),""))</f>
        <v/>
      </c>
      <c r="I976" s="156" t="str">
        <f t="array" ref="I976">IF($A976="","",IFERROR(INDEX(Orders!$P$5:$P$1004,MATCH($A976,Orders!$N$5:$N$1004,0)),""))</f>
        <v/>
      </c>
      <c r="J976" s="157" t="str">
        <f t="shared" si="1"/>
        <v/>
      </c>
      <c r="K976" s="153" t="str">
        <f t="array" ref="K976">IF($A976="","",IFERROR(INDEX(Sales!$M:$M,MATCH($A976,Sales!$E:$E,0)),""))</f>
        <v/>
      </c>
      <c r="L976" s="158" t="str">
        <f t="shared" si="2"/>
        <v/>
      </c>
      <c r="N976" s="49" t="str">
        <f t="array" ref="N976">IFERROR(INDEX(Sales!$E$7:$E$1506,MATCH(ROW()-4,Sales!$V$7:$V$1506,0)),"")</f>
        <v/>
      </c>
      <c r="O976" s="67"/>
      <c r="P976" s="67"/>
    </row>
    <row r="977" ht="15.0" customHeight="1">
      <c r="A977" s="151" t="str">
        <f t="array" ref="A977">IFERROR(INDEX(Sales!$E$7:$E$1506,MATCH(ROW()-4,Sales!$W$7:$W$1506,0)),"")</f>
        <v/>
      </c>
      <c r="B977" s="152" t="str">
        <f t="array" ref="B977">IF($A977="","",IFERROR(INDEX(Sales!$A:$A,MATCH($A977,Sales!$E:$E,0)),""))</f>
        <v/>
      </c>
      <c r="C977" s="153" t="str">
        <f t="array" ref="C977">IF($A977="","",IFERROR(INDEX(Sales!$D:$D,MATCH($A977,Sales!$E:$E,0)),""))</f>
        <v/>
      </c>
      <c r="D977" s="153" t="str">
        <f t="array" ref="D977">IF($A977="","",IFERROR(INDEX(Sales!$C:$C,MATCH($A977,Sales!$E:$E,0)),""))</f>
        <v/>
      </c>
      <c r="E977" s="154" t="str">
        <f>IF($A977="","",SUMIFS(Sales!$H:$H,Sales!$E:$E,$A977,Sales!$B:$B,"&lt;&gt;Return"))</f>
        <v/>
      </c>
      <c r="F977" s="155" t="str">
        <f>IF($A977="","",SUMIF(Sales!$E:$E,$A977,Sales!$L:$L))</f>
        <v/>
      </c>
      <c r="G977" s="155" t="str">
        <f>IF($A977="","",SUMIF(Sales!$E:$E,$A977,Sales!$P:$P))</f>
        <v/>
      </c>
      <c r="H977" s="156" t="str">
        <f t="array" ref="H977">IF($A977="","",IFERROR(INDEX(Orders!$O$5:$O$1004,MATCH($A977,Orders!$N$5:$N$1004,0)),""))</f>
        <v/>
      </c>
      <c r="I977" s="156" t="str">
        <f t="array" ref="I977">IF($A977="","",IFERROR(INDEX(Orders!$P$5:$P$1004,MATCH($A977,Orders!$N$5:$N$1004,0)),""))</f>
        <v/>
      </c>
      <c r="J977" s="157" t="str">
        <f t="shared" si="1"/>
        <v/>
      </c>
      <c r="K977" s="153" t="str">
        <f t="array" ref="K977">IF($A977="","",IFERROR(INDEX(Sales!$M:$M,MATCH($A977,Sales!$E:$E,0)),""))</f>
        <v/>
      </c>
      <c r="L977" s="158" t="str">
        <f t="shared" si="2"/>
        <v/>
      </c>
      <c r="N977" s="49" t="str">
        <f t="array" ref="N977">IFERROR(INDEX(Sales!$E$7:$E$1506,MATCH(ROW()-4,Sales!$V$7:$V$1506,0)),"")</f>
        <v/>
      </c>
      <c r="O977" s="67"/>
      <c r="P977" s="67"/>
    </row>
    <row r="978" ht="15.0" customHeight="1">
      <c r="A978" s="151" t="str">
        <f t="array" ref="A978">IFERROR(INDEX(Sales!$E$7:$E$1506,MATCH(ROW()-4,Sales!$W$7:$W$1506,0)),"")</f>
        <v/>
      </c>
      <c r="B978" s="152" t="str">
        <f t="array" ref="B978">IF($A978="","",IFERROR(INDEX(Sales!$A:$A,MATCH($A978,Sales!$E:$E,0)),""))</f>
        <v/>
      </c>
      <c r="C978" s="153" t="str">
        <f t="array" ref="C978">IF($A978="","",IFERROR(INDEX(Sales!$D:$D,MATCH($A978,Sales!$E:$E,0)),""))</f>
        <v/>
      </c>
      <c r="D978" s="153" t="str">
        <f t="array" ref="D978">IF($A978="","",IFERROR(INDEX(Sales!$C:$C,MATCH($A978,Sales!$E:$E,0)),""))</f>
        <v/>
      </c>
      <c r="E978" s="154" t="str">
        <f>IF($A978="","",SUMIFS(Sales!$H:$H,Sales!$E:$E,$A978,Sales!$B:$B,"&lt;&gt;Return"))</f>
        <v/>
      </c>
      <c r="F978" s="155" t="str">
        <f>IF($A978="","",SUMIF(Sales!$E:$E,$A978,Sales!$L:$L))</f>
        <v/>
      </c>
      <c r="G978" s="155" t="str">
        <f>IF($A978="","",SUMIF(Sales!$E:$E,$A978,Sales!$P:$P))</f>
        <v/>
      </c>
      <c r="H978" s="156" t="str">
        <f t="array" ref="H978">IF($A978="","",IFERROR(INDEX(Orders!$O$5:$O$1004,MATCH($A978,Orders!$N$5:$N$1004,0)),""))</f>
        <v/>
      </c>
      <c r="I978" s="156" t="str">
        <f t="array" ref="I978">IF($A978="","",IFERROR(INDEX(Orders!$P$5:$P$1004,MATCH($A978,Orders!$N$5:$N$1004,0)),""))</f>
        <v/>
      </c>
      <c r="J978" s="157" t="str">
        <f t="shared" si="1"/>
        <v/>
      </c>
      <c r="K978" s="153" t="str">
        <f t="array" ref="K978">IF($A978="","",IFERROR(INDEX(Sales!$M:$M,MATCH($A978,Sales!$E:$E,0)),""))</f>
        <v/>
      </c>
      <c r="L978" s="158" t="str">
        <f t="shared" si="2"/>
        <v/>
      </c>
      <c r="N978" s="49" t="str">
        <f t="array" ref="N978">IFERROR(INDEX(Sales!$E$7:$E$1506,MATCH(ROW()-4,Sales!$V$7:$V$1506,0)),"")</f>
        <v/>
      </c>
      <c r="O978" s="67"/>
      <c r="P978" s="67"/>
    </row>
    <row r="979" ht="15.0" customHeight="1">
      <c r="A979" s="151" t="str">
        <f t="array" ref="A979">IFERROR(INDEX(Sales!$E$7:$E$1506,MATCH(ROW()-4,Sales!$W$7:$W$1506,0)),"")</f>
        <v/>
      </c>
      <c r="B979" s="152" t="str">
        <f t="array" ref="B979">IF($A979="","",IFERROR(INDEX(Sales!$A:$A,MATCH($A979,Sales!$E:$E,0)),""))</f>
        <v/>
      </c>
      <c r="C979" s="153" t="str">
        <f t="array" ref="C979">IF($A979="","",IFERROR(INDEX(Sales!$D:$D,MATCH($A979,Sales!$E:$E,0)),""))</f>
        <v/>
      </c>
      <c r="D979" s="153" t="str">
        <f t="array" ref="D979">IF($A979="","",IFERROR(INDEX(Sales!$C:$C,MATCH($A979,Sales!$E:$E,0)),""))</f>
        <v/>
      </c>
      <c r="E979" s="154" t="str">
        <f>IF($A979="","",SUMIFS(Sales!$H:$H,Sales!$E:$E,$A979,Sales!$B:$B,"&lt;&gt;Return"))</f>
        <v/>
      </c>
      <c r="F979" s="155" t="str">
        <f>IF($A979="","",SUMIF(Sales!$E:$E,$A979,Sales!$L:$L))</f>
        <v/>
      </c>
      <c r="G979" s="155" t="str">
        <f>IF($A979="","",SUMIF(Sales!$E:$E,$A979,Sales!$P:$P))</f>
        <v/>
      </c>
      <c r="H979" s="156" t="str">
        <f t="array" ref="H979">IF($A979="","",IFERROR(INDEX(Orders!$O$5:$O$1004,MATCH($A979,Orders!$N$5:$N$1004,0)),""))</f>
        <v/>
      </c>
      <c r="I979" s="156" t="str">
        <f t="array" ref="I979">IF($A979="","",IFERROR(INDEX(Orders!$P$5:$P$1004,MATCH($A979,Orders!$N$5:$N$1004,0)),""))</f>
        <v/>
      </c>
      <c r="J979" s="157" t="str">
        <f t="shared" si="1"/>
        <v/>
      </c>
      <c r="K979" s="153" t="str">
        <f t="array" ref="K979">IF($A979="","",IFERROR(INDEX(Sales!$M:$M,MATCH($A979,Sales!$E:$E,0)),""))</f>
        <v/>
      </c>
      <c r="L979" s="158" t="str">
        <f t="shared" si="2"/>
        <v/>
      </c>
      <c r="N979" s="49" t="str">
        <f t="array" ref="N979">IFERROR(INDEX(Sales!$E$7:$E$1506,MATCH(ROW()-4,Sales!$V$7:$V$1506,0)),"")</f>
        <v/>
      </c>
      <c r="O979" s="67"/>
      <c r="P979" s="67"/>
    </row>
    <row r="980" ht="15.0" customHeight="1">
      <c r="A980" s="151" t="str">
        <f t="array" ref="A980">IFERROR(INDEX(Sales!$E$7:$E$1506,MATCH(ROW()-4,Sales!$W$7:$W$1506,0)),"")</f>
        <v/>
      </c>
      <c r="B980" s="152" t="str">
        <f t="array" ref="B980">IF($A980="","",IFERROR(INDEX(Sales!$A:$A,MATCH($A980,Sales!$E:$E,0)),""))</f>
        <v/>
      </c>
      <c r="C980" s="153" t="str">
        <f t="array" ref="C980">IF($A980="","",IFERROR(INDEX(Sales!$D:$D,MATCH($A980,Sales!$E:$E,0)),""))</f>
        <v/>
      </c>
      <c r="D980" s="153" t="str">
        <f t="array" ref="D980">IF($A980="","",IFERROR(INDEX(Sales!$C:$C,MATCH($A980,Sales!$E:$E,0)),""))</f>
        <v/>
      </c>
      <c r="E980" s="154" t="str">
        <f>IF($A980="","",SUMIFS(Sales!$H:$H,Sales!$E:$E,$A980,Sales!$B:$B,"&lt;&gt;Return"))</f>
        <v/>
      </c>
      <c r="F980" s="155" t="str">
        <f>IF($A980="","",SUMIF(Sales!$E:$E,$A980,Sales!$L:$L))</f>
        <v/>
      </c>
      <c r="G980" s="155" t="str">
        <f>IF($A980="","",SUMIF(Sales!$E:$E,$A980,Sales!$P:$P))</f>
        <v/>
      </c>
      <c r="H980" s="156" t="str">
        <f t="array" ref="H980">IF($A980="","",IFERROR(INDEX(Orders!$O$5:$O$1004,MATCH($A980,Orders!$N$5:$N$1004,0)),""))</f>
        <v/>
      </c>
      <c r="I980" s="156" t="str">
        <f t="array" ref="I980">IF($A980="","",IFERROR(INDEX(Orders!$P$5:$P$1004,MATCH($A980,Orders!$N$5:$N$1004,0)),""))</f>
        <v/>
      </c>
      <c r="J980" s="157" t="str">
        <f t="shared" si="1"/>
        <v/>
      </c>
      <c r="K980" s="153" t="str">
        <f t="array" ref="K980">IF($A980="","",IFERROR(INDEX(Sales!$M:$M,MATCH($A980,Sales!$E:$E,0)),""))</f>
        <v/>
      </c>
      <c r="L980" s="158" t="str">
        <f t="shared" si="2"/>
        <v/>
      </c>
      <c r="N980" s="49" t="str">
        <f t="array" ref="N980">IFERROR(INDEX(Sales!$E$7:$E$1506,MATCH(ROW()-4,Sales!$V$7:$V$1506,0)),"")</f>
        <v/>
      </c>
      <c r="O980" s="67"/>
      <c r="P980" s="67"/>
    </row>
    <row r="981" ht="15.0" customHeight="1">
      <c r="A981" s="151" t="str">
        <f t="array" ref="A981">IFERROR(INDEX(Sales!$E$7:$E$1506,MATCH(ROW()-4,Sales!$W$7:$W$1506,0)),"")</f>
        <v/>
      </c>
      <c r="B981" s="152" t="str">
        <f t="array" ref="B981">IF($A981="","",IFERROR(INDEX(Sales!$A:$A,MATCH($A981,Sales!$E:$E,0)),""))</f>
        <v/>
      </c>
      <c r="C981" s="153" t="str">
        <f t="array" ref="C981">IF($A981="","",IFERROR(INDEX(Sales!$D:$D,MATCH($A981,Sales!$E:$E,0)),""))</f>
        <v/>
      </c>
      <c r="D981" s="153" t="str">
        <f t="array" ref="D981">IF($A981="","",IFERROR(INDEX(Sales!$C:$C,MATCH($A981,Sales!$E:$E,0)),""))</f>
        <v/>
      </c>
      <c r="E981" s="154" t="str">
        <f>IF($A981="","",SUMIFS(Sales!$H:$H,Sales!$E:$E,$A981,Sales!$B:$B,"&lt;&gt;Return"))</f>
        <v/>
      </c>
      <c r="F981" s="155" t="str">
        <f>IF($A981="","",SUMIF(Sales!$E:$E,$A981,Sales!$L:$L))</f>
        <v/>
      </c>
      <c r="G981" s="155" t="str">
        <f>IF($A981="","",SUMIF(Sales!$E:$E,$A981,Sales!$P:$P))</f>
        <v/>
      </c>
      <c r="H981" s="156" t="str">
        <f t="array" ref="H981">IF($A981="","",IFERROR(INDEX(Orders!$O$5:$O$1004,MATCH($A981,Orders!$N$5:$N$1004,0)),""))</f>
        <v/>
      </c>
      <c r="I981" s="156" t="str">
        <f t="array" ref="I981">IF($A981="","",IFERROR(INDEX(Orders!$P$5:$P$1004,MATCH($A981,Orders!$N$5:$N$1004,0)),""))</f>
        <v/>
      </c>
      <c r="J981" s="157" t="str">
        <f t="shared" si="1"/>
        <v/>
      </c>
      <c r="K981" s="153" t="str">
        <f t="array" ref="K981">IF($A981="","",IFERROR(INDEX(Sales!$M:$M,MATCH($A981,Sales!$E:$E,0)),""))</f>
        <v/>
      </c>
      <c r="L981" s="158" t="str">
        <f t="shared" si="2"/>
        <v/>
      </c>
      <c r="N981" s="49" t="str">
        <f t="array" ref="N981">IFERROR(INDEX(Sales!$E$7:$E$1506,MATCH(ROW()-4,Sales!$V$7:$V$1506,0)),"")</f>
        <v/>
      </c>
      <c r="O981" s="67"/>
      <c r="P981" s="67"/>
    </row>
    <row r="982" ht="15.0" customHeight="1">
      <c r="A982" s="151" t="str">
        <f t="array" ref="A982">IFERROR(INDEX(Sales!$E$7:$E$1506,MATCH(ROW()-4,Sales!$W$7:$W$1506,0)),"")</f>
        <v/>
      </c>
      <c r="B982" s="152" t="str">
        <f t="array" ref="B982">IF($A982="","",IFERROR(INDEX(Sales!$A:$A,MATCH($A982,Sales!$E:$E,0)),""))</f>
        <v/>
      </c>
      <c r="C982" s="153" t="str">
        <f t="array" ref="C982">IF($A982="","",IFERROR(INDEX(Sales!$D:$D,MATCH($A982,Sales!$E:$E,0)),""))</f>
        <v/>
      </c>
      <c r="D982" s="153" t="str">
        <f t="array" ref="D982">IF($A982="","",IFERROR(INDEX(Sales!$C:$C,MATCH($A982,Sales!$E:$E,0)),""))</f>
        <v/>
      </c>
      <c r="E982" s="154" t="str">
        <f>IF($A982="","",SUMIFS(Sales!$H:$H,Sales!$E:$E,$A982,Sales!$B:$B,"&lt;&gt;Return"))</f>
        <v/>
      </c>
      <c r="F982" s="155" t="str">
        <f>IF($A982="","",SUMIF(Sales!$E:$E,$A982,Sales!$L:$L))</f>
        <v/>
      </c>
      <c r="G982" s="155" t="str">
        <f>IF($A982="","",SUMIF(Sales!$E:$E,$A982,Sales!$P:$P))</f>
        <v/>
      </c>
      <c r="H982" s="156" t="str">
        <f t="array" ref="H982">IF($A982="","",IFERROR(INDEX(Orders!$O$5:$O$1004,MATCH($A982,Orders!$N$5:$N$1004,0)),""))</f>
        <v/>
      </c>
      <c r="I982" s="156" t="str">
        <f t="array" ref="I982">IF($A982="","",IFERROR(INDEX(Orders!$P$5:$P$1004,MATCH($A982,Orders!$N$5:$N$1004,0)),""))</f>
        <v/>
      </c>
      <c r="J982" s="157" t="str">
        <f t="shared" si="1"/>
        <v/>
      </c>
      <c r="K982" s="153" t="str">
        <f t="array" ref="K982">IF($A982="","",IFERROR(INDEX(Sales!$M:$M,MATCH($A982,Sales!$E:$E,0)),""))</f>
        <v/>
      </c>
      <c r="L982" s="158" t="str">
        <f t="shared" si="2"/>
        <v/>
      </c>
      <c r="N982" s="49" t="str">
        <f t="array" ref="N982">IFERROR(INDEX(Sales!$E$7:$E$1506,MATCH(ROW()-4,Sales!$V$7:$V$1506,0)),"")</f>
        <v/>
      </c>
      <c r="O982" s="67"/>
      <c r="P982" s="67"/>
    </row>
    <row r="983" ht="15.0" customHeight="1">
      <c r="A983" s="151" t="str">
        <f t="array" ref="A983">IFERROR(INDEX(Sales!$E$7:$E$1506,MATCH(ROW()-4,Sales!$W$7:$W$1506,0)),"")</f>
        <v/>
      </c>
      <c r="B983" s="152" t="str">
        <f t="array" ref="B983">IF($A983="","",IFERROR(INDEX(Sales!$A:$A,MATCH($A983,Sales!$E:$E,0)),""))</f>
        <v/>
      </c>
      <c r="C983" s="153" t="str">
        <f t="array" ref="C983">IF($A983="","",IFERROR(INDEX(Sales!$D:$D,MATCH($A983,Sales!$E:$E,0)),""))</f>
        <v/>
      </c>
      <c r="D983" s="153" t="str">
        <f t="array" ref="D983">IF($A983="","",IFERROR(INDEX(Sales!$C:$C,MATCH($A983,Sales!$E:$E,0)),""))</f>
        <v/>
      </c>
      <c r="E983" s="154" t="str">
        <f>IF($A983="","",SUMIFS(Sales!$H:$H,Sales!$E:$E,$A983,Sales!$B:$B,"&lt;&gt;Return"))</f>
        <v/>
      </c>
      <c r="F983" s="155" t="str">
        <f>IF($A983="","",SUMIF(Sales!$E:$E,$A983,Sales!$L:$L))</f>
        <v/>
      </c>
      <c r="G983" s="155" t="str">
        <f>IF($A983="","",SUMIF(Sales!$E:$E,$A983,Sales!$P:$P))</f>
        <v/>
      </c>
      <c r="H983" s="156" t="str">
        <f t="array" ref="H983">IF($A983="","",IFERROR(INDEX(Orders!$O$5:$O$1004,MATCH($A983,Orders!$N$5:$N$1004,0)),""))</f>
        <v/>
      </c>
      <c r="I983" s="156" t="str">
        <f t="array" ref="I983">IF($A983="","",IFERROR(INDEX(Orders!$P$5:$P$1004,MATCH($A983,Orders!$N$5:$N$1004,0)),""))</f>
        <v/>
      </c>
      <c r="J983" s="157" t="str">
        <f t="shared" si="1"/>
        <v/>
      </c>
      <c r="K983" s="153" t="str">
        <f t="array" ref="K983">IF($A983="","",IFERROR(INDEX(Sales!$M:$M,MATCH($A983,Sales!$E:$E,0)),""))</f>
        <v/>
      </c>
      <c r="L983" s="158" t="str">
        <f t="shared" si="2"/>
        <v/>
      </c>
      <c r="N983" s="49" t="str">
        <f t="array" ref="N983">IFERROR(INDEX(Sales!$E$7:$E$1506,MATCH(ROW()-4,Sales!$V$7:$V$1506,0)),"")</f>
        <v/>
      </c>
      <c r="O983" s="67"/>
      <c r="P983" s="67"/>
    </row>
    <row r="984" ht="15.0" customHeight="1">
      <c r="A984" s="151" t="str">
        <f t="array" ref="A984">IFERROR(INDEX(Sales!$E$7:$E$1506,MATCH(ROW()-4,Sales!$W$7:$W$1506,0)),"")</f>
        <v/>
      </c>
      <c r="B984" s="152" t="str">
        <f t="array" ref="B984">IF($A984="","",IFERROR(INDEX(Sales!$A:$A,MATCH($A984,Sales!$E:$E,0)),""))</f>
        <v/>
      </c>
      <c r="C984" s="153" t="str">
        <f t="array" ref="C984">IF($A984="","",IFERROR(INDEX(Sales!$D:$D,MATCH($A984,Sales!$E:$E,0)),""))</f>
        <v/>
      </c>
      <c r="D984" s="153" t="str">
        <f t="array" ref="D984">IF($A984="","",IFERROR(INDEX(Sales!$C:$C,MATCH($A984,Sales!$E:$E,0)),""))</f>
        <v/>
      </c>
      <c r="E984" s="154" t="str">
        <f>IF($A984="","",SUMIFS(Sales!$H:$H,Sales!$E:$E,$A984,Sales!$B:$B,"&lt;&gt;Return"))</f>
        <v/>
      </c>
      <c r="F984" s="155" t="str">
        <f>IF($A984="","",SUMIF(Sales!$E:$E,$A984,Sales!$L:$L))</f>
        <v/>
      </c>
      <c r="G984" s="155" t="str">
        <f>IF($A984="","",SUMIF(Sales!$E:$E,$A984,Sales!$P:$P))</f>
        <v/>
      </c>
      <c r="H984" s="156" t="str">
        <f t="array" ref="H984">IF($A984="","",IFERROR(INDEX(Orders!$O$5:$O$1004,MATCH($A984,Orders!$N$5:$N$1004,0)),""))</f>
        <v/>
      </c>
      <c r="I984" s="156" t="str">
        <f t="array" ref="I984">IF($A984="","",IFERROR(INDEX(Orders!$P$5:$P$1004,MATCH($A984,Orders!$N$5:$N$1004,0)),""))</f>
        <v/>
      </c>
      <c r="J984" s="157" t="str">
        <f t="shared" si="1"/>
        <v/>
      </c>
      <c r="K984" s="153" t="str">
        <f t="array" ref="K984">IF($A984="","",IFERROR(INDEX(Sales!$M:$M,MATCH($A984,Sales!$E:$E,0)),""))</f>
        <v/>
      </c>
      <c r="L984" s="158" t="str">
        <f t="shared" si="2"/>
        <v/>
      </c>
      <c r="N984" s="49" t="str">
        <f t="array" ref="N984">IFERROR(INDEX(Sales!$E$7:$E$1506,MATCH(ROW()-4,Sales!$V$7:$V$1506,0)),"")</f>
        <v/>
      </c>
      <c r="O984" s="67"/>
      <c r="P984" s="67"/>
    </row>
    <row r="985" ht="15.0" customHeight="1">
      <c r="A985" s="151" t="str">
        <f t="array" ref="A985">IFERROR(INDEX(Sales!$E$7:$E$1506,MATCH(ROW()-4,Sales!$W$7:$W$1506,0)),"")</f>
        <v/>
      </c>
      <c r="B985" s="152" t="str">
        <f t="array" ref="B985">IF($A985="","",IFERROR(INDEX(Sales!$A:$A,MATCH($A985,Sales!$E:$E,0)),""))</f>
        <v/>
      </c>
      <c r="C985" s="153" t="str">
        <f t="array" ref="C985">IF($A985="","",IFERROR(INDEX(Sales!$D:$D,MATCH($A985,Sales!$E:$E,0)),""))</f>
        <v/>
      </c>
      <c r="D985" s="153" t="str">
        <f t="array" ref="D985">IF($A985="","",IFERROR(INDEX(Sales!$C:$C,MATCH($A985,Sales!$E:$E,0)),""))</f>
        <v/>
      </c>
      <c r="E985" s="154" t="str">
        <f>IF($A985="","",SUMIFS(Sales!$H:$H,Sales!$E:$E,$A985,Sales!$B:$B,"&lt;&gt;Return"))</f>
        <v/>
      </c>
      <c r="F985" s="155" t="str">
        <f>IF($A985="","",SUMIF(Sales!$E:$E,$A985,Sales!$L:$L))</f>
        <v/>
      </c>
      <c r="G985" s="155" t="str">
        <f>IF($A985="","",SUMIF(Sales!$E:$E,$A985,Sales!$P:$P))</f>
        <v/>
      </c>
      <c r="H985" s="156" t="str">
        <f t="array" ref="H985">IF($A985="","",IFERROR(INDEX(Orders!$O$5:$O$1004,MATCH($A985,Orders!$N$5:$N$1004,0)),""))</f>
        <v/>
      </c>
      <c r="I985" s="156" t="str">
        <f t="array" ref="I985">IF($A985="","",IFERROR(INDEX(Orders!$P$5:$P$1004,MATCH($A985,Orders!$N$5:$N$1004,0)),""))</f>
        <v/>
      </c>
      <c r="J985" s="157" t="str">
        <f t="shared" si="1"/>
        <v/>
      </c>
      <c r="K985" s="153" t="str">
        <f t="array" ref="K985">IF($A985="","",IFERROR(INDEX(Sales!$M:$M,MATCH($A985,Sales!$E:$E,0)),""))</f>
        <v/>
      </c>
      <c r="L985" s="158" t="str">
        <f t="shared" si="2"/>
        <v/>
      </c>
      <c r="N985" s="49" t="str">
        <f t="array" ref="N985">IFERROR(INDEX(Sales!$E$7:$E$1506,MATCH(ROW()-4,Sales!$V$7:$V$1506,0)),"")</f>
        <v/>
      </c>
      <c r="O985" s="67"/>
      <c r="P985" s="67"/>
    </row>
    <row r="986" ht="15.0" customHeight="1">
      <c r="A986" s="151" t="str">
        <f t="array" ref="A986">IFERROR(INDEX(Sales!$E$7:$E$1506,MATCH(ROW()-4,Sales!$W$7:$W$1506,0)),"")</f>
        <v/>
      </c>
      <c r="B986" s="152" t="str">
        <f t="array" ref="B986">IF($A986="","",IFERROR(INDEX(Sales!$A:$A,MATCH($A986,Sales!$E:$E,0)),""))</f>
        <v/>
      </c>
      <c r="C986" s="153" t="str">
        <f t="array" ref="C986">IF($A986="","",IFERROR(INDEX(Sales!$D:$D,MATCH($A986,Sales!$E:$E,0)),""))</f>
        <v/>
      </c>
      <c r="D986" s="153" t="str">
        <f t="array" ref="D986">IF($A986="","",IFERROR(INDEX(Sales!$C:$C,MATCH($A986,Sales!$E:$E,0)),""))</f>
        <v/>
      </c>
      <c r="E986" s="154" t="str">
        <f>IF($A986="","",SUMIFS(Sales!$H:$H,Sales!$E:$E,$A986,Sales!$B:$B,"&lt;&gt;Return"))</f>
        <v/>
      </c>
      <c r="F986" s="155" t="str">
        <f>IF($A986="","",SUMIF(Sales!$E:$E,$A986,Sales!$L:$L))</f>
        <v/>
      </c>
      <c r="G986" s="155" t="str">
        <f>IF($A986="","",SUMIF(Sales!$E:$E,$A986,Sales!$P:$P))</f>
        <v/>
      </c>
      <c r="H986" s="156" t="str">
        <f t="array" ref="H986">IF($A986="","",IFERROR(INDEX(Orders!$O$5:$O$1004,MATCH($A986,Orders!$N$5:$N$1004,0)),""))</f>
        <v/>
      </c>
      <c r="I986" s="156" t="str">
        <f t="array" ref="I986">IF($A986="","",IFERROR(INDEX(Orders!$P$5:$P$1004,MATCH($A986,Orders!$N$5:$N$1004,0)),""))</f>
        <v/>
      </c>
      <c r="J986" s="157" t="str">
        <f t="shared" si="1"/>
        <v/>
      </c>
      <c r="K986" s="153" t="str">
        <f t="array" ref="K986">IF($A986="","",IFERROR(INDEX(Sales!$M:$M,MATCH($A986,Sales!$E:$E,0)),""))</f>
        <v/>
      </c>
      <c r="L986" s="158" t="str">
        <f t="shared" si="2"/>
        <v/>
      </c>
      <c r="N986" s="49" t="str">
        <f t="array" ref="N986">IFERROR(INDEX(Sales!$E$7:$E$1506,MATCH(ROW()-4,Sales!$V$7:$V$1506,0)),"")</f>
        <v/>
      </c>
      <c r="O986" s="67"/>
      <c r="P986" s="67"/>
    </row>
    <row r="987" ht="15.0" customHeight="1">
      <c r="A987" s="151" t="str">
        <f t="array" ref="A987">IFERROR(INDEX(Sales!$E$7:$E$1506,MATCH(ROW()-4,Sales!$W$7:$W$1506,0)),"")</f>
        <v/>
      </c>
      <c r="B987" s="152" t="str">
        <f t="array" ref="B987">IF($A987="","",IFERROR(INDEX(Sales!$A:$A,MATCH($A987,Sales!$E:$E,0)),""))</f>
        <v/>
      </c>
      <c r="C987" s="153" t="str">
        <f t="array" ref="C987">IF($A987="","",IFERROR(INDEX(Sales!$D:$D,MATCH($A987,Sales!$E:$E,0)),""))</f>
        <v/>
      </c>
      <c r="D987" s="153" t="str">
        <f t="array" ref="D987">IF($A987="","",IFERROR(INDEX(Sales!$C:$C,MATCH($A987,Sales!$E:$E,0)),""))</f>
        <v/>
      </c>
      <c r="E987" s="154" t="str">
        <f>IF($A987="","",SUMIFS(Sales!$H:$H,Sales!$E:$E,$A987,Sales!$B:$B,"&lt;&gt;Return"))</f>
        <v/>
      </c>
      <c r="F987" s="155" t="str">
        <f>IF($A987="","",SUMIF(Sales!$E:$E,$A987,Sales!$L:$L))</f>
        <v/>
      </c>
      <c r="G987" s="155" t="str">
        <f>IF($A987="","",SUMIF(Sales!$E:$E,$A987,Sales!$P:$P))</f>
        <v/>
      </c>
      <c r="H987" s="156" t="str">
        <f t="array" ref="H987">IF($A987="","",IFERROR(INDEX(Orders!$O$5:$O$1004,MATCH($A987,Orders!$N$5:$N$1004,0)),""))</f>
        <v/>
      </c>
      <c r="I987" s="156" t="str">
        <f t="array" ref="I987">IF($A987="","",IFERROR(INDEX(Orders!$P$5:$P$1004,MATCH($A987,Orders!$N$5:$N$1004,0)),""))</f>
        <v/>
      </c>
      <c r="J987" s="157" t="str">
        <f t="shared" si="1"/>
        <v/>
      </c>
      <c r="K987" s="153" t="str">
        <f t="array" ref="K987">IF($A987="","",IFERROR(INDEX(Sales!$M:$M,MATCH($A987,Sales!$E:$E,0)),""))</f>
        <v/>
      </c>
      <c r="L987" s="158" t="str">
        <f t="shared" si="2"/>
        <v/>
      </c>
      <c r="N987" s="49" t="str">
        <f t="array" ref="N987">IFERROR(INDEX(Sales!$E$7:$E$1506,MATCH(ROW()-4,Sales!$V$7:$V$1506,0)),"")</f>
        <v/>
      </c>
      <c r="O987" s="67"/>
      <c r="P987" s="67"/>
    </row>
    <row r="988" ht="15.0" customHeight="1">
      <c r="A988" s="151" t="str">
        <f t="array" ref="A988">IFERROR(INDEX(Sales!$E$7:$E$1506,MATCH(ROW()-4,Sales!$W$7:$W$1506,0)),"")</f>
        <v/>
      </c>
      <c r="B988" s="152" t="str">
        <f t="array" ref="B988">IF($A988="","",IFERROR(INDEX(Sales!$A:$A,MATCH($A988,Sales!$E:$E,0)),""))</f>
        <v/>
      </c>
      <c r="C988" s="153" t="str">
        <f t="array" ref="C988">IF($A988="","",IFERROR(INDEX(Sales!$D:$D,MATCH($A988,Sales!$E:$E,0)),""))</f>
        <v/>
      </c>
      <c r="D988" s="153" t="str">
        <f t="array" ref="D988">IF($A988="","",IFERROR(INDEX(Sales!$C:$C,MATCH($A988,Sales!$E:$E,0)),""))</f>
        <v/>
      </c>
      <c r="E988" s="154" t="str">
        <f>IF($A988="","",SUMIFS(Sales!$H:$H,Sales!$E:$E,$A988,Sales!$B:$B,"&lt;&gt;Return"))</f>
        <v/>
      </c>
      <c r="F988" s="155" t="str">
        <f>IF($A988="","",SUMIF(Sales!$E:$E,$A988,Sales!$L:$L))</f>
        <v/>
      </c>
      <c r="G988" s="155" t="str">
        <f>IF($A988="","",SUMIF(Sales!$E:$E,$A988,Sales!$P:$P))</f>
        <v/>
      </c>
      <c r="H988" s="156" t="str">
        <f t="array" ref="H988">IF($A988="","",IFERROR(INDEX(Orders!$O$5:$O$1004,MATCH($A988,Orders!$N$5:$N$1004,0)),""))</f>
        <v/>
      </c>
      <c r="I988" s="156" t="str">
        <f t="array" ref="I988">IF($A988="","",IFERROR(INDEX(Orders!$P$5:$P$1004,MATCH($A988,Orders!$N$5:$N$1004,0)),""))</f>
        <v/>
      </c>
      <c r="J988" s="157" t="str">
        <f t="shared" si="1"/>
        <v/>
      </c>
      <c r="K988" s="153" t="str">
        <f t="array" ref="K988">IF($A988="","",IFERROR(INDEX(Sales!$M:$M,MATCH($A988,Sales!$E:$E,0)),""))</f>
        <v/>
      </c>
      <c r="L988" s="158" t="str">
        <f t="shared" si="2"/>
        <v/>
      </c>
      <c r="N988" s="49" t="str">
        <f t="array" ref="N988">IFERROR(INDEX(Sales!$E$7:$E$1506,MATCH(ROW()-4,Sales!$V$7:$V$1506,0)),"")</f>
        <v/>
      </c>
      <c r="O988" s="67"/>
      <c r="P988" s="67"/>
    </row>
    <row r="989" ht="15.0" customHeight="1">
      <c r="A989" s="151" t="str">
        <f t="array" ref="A989">IFERROR(INDEX(Sales!$E$7:$E$1506,MATCH(ROW()-4,Sales!$W$7:$W$1506,0)),"")</f>
        <v/>
      </c>
      <c r="B989" s="152" t="str">
        <f t="array" ref="B989">IF($A989="","",IFERROR(INDEX(Sales!$A:$A,MATCH($A989,Sales!$E:$E,0)),""))</f>
        <v/>
      </c>
      <c r="C989" s="153" t="str">
        <f t="array" ref="C989">IF($A989="","",IFERROR(INDEX(Sales!$D:$D,MATCH($A989,Sales!$E:$E,0)),""))</f>
        <v/>
      </c>
      <c r="D989" s="153" t="str">
        <f t="array" ref="D989">IF($A989="","",IFERROR(INDEX(Sales!$C:$C,MATCH($A989,Sales!$E:$E,0)),""))</f>
        <v/>
      </c>
      <c r="E989" s="154" t="str">
        <f>IF($A989="","",SUMIFS(Sales!$H:$H,Sales!$E:$E,$A989,Sales!$B:$B,"&lt;&gt;Return"))</f>
        <v/>
      </c>
      <c r="F989" s="155" t="str">
        <f>IF($A989="","",SUMIF(Sales!$E:$E,$A989,Sales!$L:$L))</f>
        <v/>
      </c>
      <c r="G989" s="155" t="str">
        <f>IF($A989="","",SUMIF(Sales!$E:$E,$A989,Sales!$P:$P))</f>
        <v/>
      </c>
      <c r="H989" s="156" t="str">
        <f t="array" ref="H989">IF($A989="","",IFERROR(INDEX(Orders!$O$5:$O$1004,MATCH($A989,Orders!$N$5:$N$1004,0)),""))</f>
        <v/>
      </c>
      <c r="I989" s="156" t="str">
        <f t="array" ref="I989">IF($A989="","",IFERROR(INDEX(Orders!$P$5:$P$1004,MATCH($A989,Orders!$N$5:$N$1004,0)),""))</f>
        <v/>
      </c>
      <c r="J989" s="157" t="str">
        <f t="shared" si="1"/>
        <v/>
      </c>
      <c r="K989" s="153" t="str">
        <f t="array" ref="K989">IF($A989="","",IFERROR(INDEX(Sales!$M:$M,MATCH($A989,Sales!$E:$E,0)),""))</f>
        <v/>
      </c>
      <c r="L989" s="158" t="str">
        <f t="shared" si="2"/>
        <v/>
      </c>
      <c r="N989" s="49" t="str">
        <f t="array" ref="N989">IFERROR(INDEX(Sales!$E$7:$E$1506,MATCH(ROW()-4,Sales!$V$7:$V$1506,0)),"")</f>
        <v/>
      </c>
      <c r="O989" s="67"/>
      <c r="P989" s="67"/>
    </row>
    <row r="990" ht="15.0" customHeight="1">
      <c r="A990" s="151" t="str">
        <f t="array" ref="A990">IFERROR(INDEX(Sales!$E$7:$E$1506,MATCH(ROW()-4,Sales!$W$7:$W$1506,0)),"")</f>
        <v/>
      </c>
      <c r="B990" s="152" t="str">
        <f t="array" ref="B990">IF($A990="","",IFERROR(INDEX(Sales!$A:$A,MATCH($A990,Sales!$E:$E,0)),""))</f>
        <v/>
      </c>
      <c r="C990" s="153" t="str">
        <f t="array" ref="C990">IF($A990="","",IFERROR(INDEX(Sales!$D:$D,MATCH($A990,Sales!$E:$E,0)),""))</f>
        <v/>
      </c>
      <c r="D990" s="153" t="str">
        <f t="array" ref="D990">IF($A990="","",IFERROR(INDEX(Sales!$C:$C,MATCH($A990,Sales!$E:$E,0)),""))</f>
        <v/>
      </c>
      <c r="E990" s="154" t="str">
        <f>IF($A990="","",SUMIFS(Sales!$H:$H,Sales!$E:$E,$A990,Sales!$B:$B,"&lt;&gt;Return"))</f>
        <v/>
      </c>
      <c r="F990" s="155" t="str">
        <f>IF($A990="","",SUMIF(Sales!$E:$E,$A990,Sales!$L:$L))</f>
        <v/>
      </c>
      <c r="G990" s="155" t="str">
        <f>IF($A990="","",SUMIF(Sales!$E:$E,$A990,Sales!$P:$P))</f>
        <v/>
      </c>
      <c r="H990" s="156" t="str">
        <f t="array" ref="H990">IF($A990="","",IFERROR(INDEX(Orders!$O$5:$O$1004,MATCH($A990,Orders!$N$5:$N$1004,0)),""))</f>
        <v/>
      </c>
      <c r="I990" s="156" t="str">
        <f t="array" ref="I990">IF($A990="","",IFERROR(INDEX(Orders!$P$5:$P$1004,MATCH($A990,Orders!$N$5:$N$1004,0)),""))</f>
        <v/>
      </c>
      <c r="J990" s="157" t="str">
        <f t="shared" si="1"/>
        <v/>
      </c>
      <c r="K990" s="153" t="str">
        <f t="array" ref="K990">IF($A990="","",IFERROR(INDEX(Sales!$M:$M,MATCH($A990,Sales!$E:$E,0)),""))</f>
        <v/>
      </c>
      <c r="L990" s="158" t="str">
        <f t="shared" si="2"/>
        <v/>
      </c>
      <c r="N990" s="49" t="str">
        <f t="array" ref="N990">IFERROR(INDEX(Sales!$E$7:$E$1506,MATCH(ROW()-4,Sales!$V$7:$V$1506,0)),"")</f>
        <v/>
      </c>
      <c r="O990" s="67"/>
      <c r="P990" s="67"/>
    </row>
    <row r="991" ht="15.0" customHeight="1">
      <c r="A991" s="151" t="str">
        <f t="array" ref="A991">IFERROR(INDEX(Sales!$E$7:$E$1506,MATCH(ROW()-4,Sales!$W$7:$W$1506,0)),"")</f>
        <v/>
      </c>
      <c r="B991" s="152" t="str">
        <f t="array" ref="B991">IF($A991="","",IFERROR(INDEX(Sales!$A:$A,MATCH($A991,Sales!$E:$E,0)),""))</f>
        <v/>
      </c>
      <c r="C991" s="153" t="str">
        <f t="array" ref="C991">IF($A991="","",IFERROR(INDEX(Sales!$D:$D,MATCH($A991,Sales!$E:$E,0)),""))</f>
        <v/>
      </c>
      <c r="D991" s="153" t="str">
        <f t="array" ref="D991">IF($A991="","",IFERROR(INDEX(Sales!$C:$C,MATCH($A991,Sales!$E:$E,0)),""))</f>
        <v/>
      </c>
      <c r="E991" s="154" t="str">
        <f>IF($A991="","",SUMIFS(Sales!$H:$H,Sales!$E:$E,$A991,Sales!$B:$B,"&lt;&gt;Return"))</f>
        <v/>
      </c>
      <c r="F991" s="155" t="str">
        <f>IF($A991="","",SUMIF(Sales!$E:$E,$A991,Sales!$L:$L))</f>
        <v/>
      </c>
      <c r="G991" s="155" t="str">
        <f>IF($A991="","",SUMIF(Sales!$E:$E,$A991,Sales!$P:$P))</f>
        <v/>
      </c>
      <c r="H991" s="156" t="str">
        <f t="array" ref="H991">IF($A991="","",IFERROR(INDEX(Orders!$O$5:$O$1004,MATCH($A991,Orders!$N$5:$N$1004,0)),""))</f>
        <v/>
      </c>
      <c r="I991" s="156" t="str">
        <f t="array" ref="I991">IF($A991="","",IFERROR(INDEX(Orders!$P$5:$P$1004,MATCH($A991,Orders!$N$5:$N$1004,0)),""))</f>
        <v/>
      </c>
      <c r="J991" s="157" t="str">
        <f t="shared" si="1"/>
        <v/>
      </c>
      <c r="K991" s="153" t="str">
        <f t="array" ref="K991">IF($A991="","",IFERROR(INDEX(Sales!$M:$M,MATCH($A991,Sales!$E:$E,0)),""))</f>
        <v/>
      </c>
      <c r="L991" s="158" t="str">
        <f t="shared" si="2"/>
        <v/>
      </c>
      <c r="N991" s="49" t="str">
        <f t="array" ref="N991">IFERROR(INDEX(Sales!$E$7:$E$1506,MATCH(ROW()-4,Sales!$V$7:$V$1506,0)),"")</f>
        <v/>
      </c>
      <c r="O991" s="67"/>
      <c r="P991" s="67"/>
    </row>
    <row r="992" ht="15.0" customHeight="1">
      <c r="A992" s="151" t="str">
        <f t="array" ref="A992">IFERROR(INDEX(Sales!$E$7:$E$1506,MATCH(ROW()-4,Sales!$W$7:$W$1506,0)),"")</f>
        <v/>
      </c>
      <c r="B992" s="152" t="str">
        <f t="array" ref="B992">IF($A992="","",IFERROR(INDEX(Sales!$A:$A,MATCH($A992,Sales!$E:$E,0)),""))</f>
        <v/>
      </c>
      <c r="C992" s="153" t="str">
        <f t="array" ref="C992">IF($A992="","",IFERROR(INDEX(Sales!$D:$D,MATCH($A992,Sales!$E:$E,0)),""))</f>
        <v/>
      </c>
      <c r="D992" s="153" t="str">
        <f t="array" ref="D992">IF($A992="","",IFERROR(INDEX(Sales!$C:$C,MATCH($A992,Sales!$E:$E,0)),""))</f>
        <v/>
      </c>
      <c r="E992" s="154" t="str">
        <f>IF($A992="","",SUMIFS(Sales!$H:$H,Sales!$E:$E,$A992,Sales!$B:$B,"&lt;&gt;Return"))</f>
        <v/>
      </c>
      <c r="F992" s="155" t="str">
        <f>IF($A992="","",SUMIF(Sales!$E:$E,$A992,Sales!$L:$L))</f>
        <v/>
      </c>
      <c r="G992" s="155" t="str">
        <f>IF($A992="","",SUMIF(Sales!$E:$E,$A992,Sales!$P:$P))</f>
        <v/>
      </c>
      <c r="H992" s="156" t="str">
        <f t="array" ref="H992">IF($A992="","",IFERROR(INDEX(Orders!$O$5:$O$1004,MATCH($A992,Orders!$N$5:$N$1004,0)),""))</f>
        <v/>
      </c>
      <c r="I992" s="156" t="str">
        <f t="array" ref="I992">IF($A992="","",IFERROR(INDEX(Orders!$P$5:$P$1004,MATCH($A992,Orders!$N$5:$N$1004,0)),""))</f>
        <v/>
      </c>
      <c r="J992" s="157" t="str">
        <f t="shared" si="1"/>
        <v/>
      </c>
      <c r="K992" s="153" t="str">
        <f t="array" ref="K992">IF($A992="","",IFERROR(INDEX(Sales!$M:$M,MATCH($A992,Sales!$E:$E,0)),""))</f>
        <v/>
      </c>
      <c r="L992" s="158" t="str">
        <f t="shared" si="2"/>
        <v/>
      </c>
      <c r="N992" s="49" t="str">
        <f t="array" ref="N992">IFERROR(INDEX(Sales!$E$7:$E$1506,MATCH(ROW()-4,Sales!$V$7:$V$1506,0)),"")</f>
        <v/>
      </c>
      <c r="O992" s="67"/>
      <c r="P992" s="67"/>
    </row>
    <row r="993" ht="15.0" customHeight="1">
      <c r="A993" s="151" t="str">
        <f t="array" ref="A993">IFERROR(INDEX(Sales!$E$7:$E$1506,MATCH(ROW()-4,Sales!$W$7:$W$1506,0)),"")</f>
        <v/>
      </c>
      <c r="B993" s="152" t="str">
        <f t="array" ref="B993">IF($A993="","",IFERROR(INDEX(Sales!$A:$A,MATCH($A993,Sales!$E:$E,0)),""))</f>
        <v/>
      </c>
      <c r="C993" s="153" t="str">
        <f t="array" ref="C993">IF($A993="","",IFERROR(INDEX(Sales!$D:$D,MATCH($A993,Sales!$E:$E,0)),""))</f>
        <v/>
      </c>
      <c r="D993" s="153" t="str">
        <f t="array" ref="D993">IF($A993="","",IFERROR(INDEX(Sales!$C:$C,MATCH($A993,Sales!$E:$E,0)),""))</f>
        <v/>
      </c>
      <c r="E993" s="154" t="str">
        <f>IF($A993="","",SUMIFS(Sales!$H:$H,Sales!$E:$E,$A993,Sales!$B:$B,"&lt;&gt;Return"))</f>
        <v/>
      </c>
      <c r="F993" s="155" t="str">
        <f>IF($A993="","",SUMIF(Sales!$E:$E,$A993,Sales!$L:$L))</f>
        <v/>
      </c>
      <c r="G993" s="155" t="str">
        <f>IF($A993="","",SUMIF(Sales!$E:$E,$A993,Sales!$P:$P))</f>
        <v/>
      </c>
      <c r="H993" s="156" t="str">
        <f t="array" ref="H993">IF($A993="","",IFERROR(INDEX(Orders!$O$5:$O$1004,MATCH($A993,Orders!$N$5:$N$1004,0)),""))</f>
        <v/>
      </c>
      <c r="I993" s="156" t="str">
        <f t="array" ref="I993">IF($A993="","",IFERROR(INDEX(Orders!$P$5:$P$1004,MATCH($A993,Orders!$N$5:$N$1004,0)),""))</f>
        <v/>
      </c>
      <c r="J993" s="157" t="str">
        <f t="shared" si="1"/>
        <v/>
      </c>
      <c r="K993" s="153" t="str">
        <f t="array" ref="K993">IF($A993="","",IFERROR(INDEX(Sales!$M:$M,MATCH($A993,Sales!$E:$E,0)),""))</f>
        <v/>
      </c>
      <c r="L993" s="158" t="str">
        <f t="shared" si="2"/>
        <v/>
      </c>
      <c r="N993" s="49" t="str">
        <f t="array" ref="N993">IFERROR(INDEX(Sales!$E$7:$E$1506,MATCH(ROW()-4,Sales!$V$7:$V$1506,0)),"")</f>
        <v/>
      </c>
      <c r="O993" s="67"/>
      <c r="P993" s="67"/>
    </row>
    <row r="994" ht="15.0" customHeight="1">
      <c r="A994" s="151" t="str">
        <f t="array" ref="A994">IFERROR(INDEX(Sales!$E$7:$E$1506,MATCH(ROW()-4,Sales!$W$7:$W$1506,0)),"")</f>
        <v/>
      </c>
      <c r="B994" s="152" t="str">
        <f t="array" ref="B994">IF($A994="","",IFERROR(INDEX(Sales!$A:$A,MATCH($A994,Sales!$E:$E,0)),""))</f>
        <v/>
      </c>
      <c r="C994" s="153" t="str">
        <f t="array" ref="C994">IF($A994="","",IFERROR(INDEX(Sales!$D:$D,MATCH($A994,Sales!$E:$E,0)),""))</f>
        <v/>
      </c>
      <c r="D994" s="153" t="str">
        <f t="array" ref="D994">IF($A994="","",IFERROR(INDEX(Sales!$C:$C,MATCH($A994,Sales!$E:$E,0)),""))</f>
        <v/>
      </c>
      <c r="E994" s="154" t="str">
        <f>IF($A994="","",SUMIFS(Sales!$H:$H,Sales!$E:$E,$A994,Sales!$B:$B,"&lt;&gt;Return"))</f>
        <v/>
      </c>
      <c r="F994" s="155" t="str">
        <f>IF($A994="","",SUMIF(Sales!$E:$E,$A994,Sales!$L:$L))</f>
        <v/>
      </c>
      <c r="G994" s="155" t="str">
        <f>IF($A994="","",SUMIF(Sales!$E:$E,$A994,Sales!$P:$P))</f>
        <v/>
      </c>
      <c r="H994" s="156" t="str">
        <f t="array" ref="H994">IF($A994="","",IFERROR(INDEX(Orders!$O$5:$O$1004,MATCH($A994,Orders!$N$5:$N$1004,0)),""))</f>
        <v/>
      </c>
      <c r="I994" s="156" t="str">
        <f t="array" ref="I994">IF($A994="","",IFERROR(INDEX(Orders!$P$5:$P$1004,MATCH($A994,Orders!$N$5:$N$1004,0)),""))</f>
        <v/>
      </c>
      <c r="J994" s="157" t="str">
        <f t="shared" si="1"/>
        <v/>
      </c>
      <c r="K994" s="153" t="str">
        <f t="array" ref="K994">IF($A994="","",IFERROR(INDEX(Sales!$M:$M,MATCH($A994,Sales!$E:$E,0)),""))</f>
        <v/>
      </c>
      <c r="L994" s="158" t="str">
        <f t="shared" si="2"/>
        <v/>
      </c>
      <c r="N994" s="49" t="str">
        <f t="array" ref="N994">IFERROR(INDEX(Sales!$E$7:$E$1506,MATCH(ROW()-4,Sales!$V$7:$V$1506,0)),"")</f>
        <v/>
      </c>
      <c r="O994" s="67"/>
      <c r="P994" s="67"/>
    </row>
    <row r="995" ht="15.0" customHeight="1">
      <c r="A995" s="151" t="str">
        <f t="array" ref="A995">IFERROR(INDEX(Sales!$E$7:$E$1506,MATCH(ROW()-4,Sales!$W$7:$W$1506,0)),"")</f>
        <v/>
      </c>
      <c r="B995" s="152" t="str">
        <f t="array" ref="B995">IF($A995="","",IFERROR(INDEX(Sales!$A:$A,MATCH($A995,Sales!$E:$E,0)),""))</f>
        <v/>
      </c>
      <c r="C995" s="153" t="str">
        <f t="array" ref="C995">IF($A995="","",IFERROR(INDEX(Sales!$D:$D,MATCH($A995,Sales!$E:$E,0)),""))</f>
        <v/>
      </c>
      <c r="D995" s="153" t="str">
        <f t="array" ref="D995">IF($A995="","",IFERROR(INDEX(Sales!$C:$C,MATCH($A995,Sales!$E:$E,0)),""))</f>
        <v/>
      </c>
      <c r="E995" s="154" t="str">
        <f>IF($A995="","",SUMIFS(Sales!$H:$H,Sales!$E:$E,$A995,Sales!$B:$B,"&lt;&gt;Return"))</f>
        <v/>
      </c>
      <c r="F995" s="155" t="str">
        <f>IF($A995="","",SUMIF(Sales!$E:$E,$A995,Sales!$L:$L))</f>
        <v/>
      </c>
      <c r="G995" s="155" t="str">
        <f>IF($A995="","",SUMIF(Sales!$E:$E,$A995,Sales!$P:$P))</f>
        <v/>
      </c>
      <c r="H995" s="156" t="str">
        <f t="array" ref="H995">IF($A995="","",IFERROR(INDEX(Orders!$O$5:$O$1004,MATCH($A995,Orders!$N$5:$N$1004,0)),""))</f>
        <v/>
      </c>
      <c r="I995" s="156" t="str">
        <f t="array" ref="I995">IF($A995="","",IFERROR(INDEX(Orders!$P$5:$P$1004,MATCH($A995,Orders!$N$5:$N$1004,0)),""))</f>
        <v/>
      </c>
      <c r="J995" s="157" t="str">
        <f t="shared" si="1"/>
        <v/>
      </c>
      <c r="K995" s="153" t="str">
        <f t="array" ref="K995">IF($A995="","",IFERROR(INDEX(Sales!$M:$M,MATCH($A995,Sales!$E:$E,0)),""))</f>
        <v/>
      </c>
      <c r="L995" s="158" t="str">
        <f t="shared" si="2"/>
        <v/>
      </c>
      <c r="N995" s="49" t="str">
        <f t="array" ref="N995">IFERROR(INDEX(Sales!$E$7:$E$1506,MATCH(ROW()-4,Sales!$V$7:$V$1506,0)),"")</f>
        <v/>
      </c>
      <c r="O995" s="67"/>
      <c r="P995" s="67"/>
    </row>
    <row r="996" ht="15.0" customHeight="1">
      <c r="A996" s="151" t="str">
        <f t="array" ref="A996">IFERROR(INDEX(Sales!$E$7:$E$1506,MATCH(ROW()-4,Sales!$W$7:$W$1506,0)),"")</f>
        <v/>
      </c>
      <c r="B996" s="152" t="str">
        <f t="array" ref="B996">IF($A996="","",IFERROR(INDEX(Sales!$A:$A,MATCH($A996,Sales!$E:$E,0)),""))</f>
        <v/>
      </c>
      <c r="C996" s="153" t="str">
        <f t="array" ref="C996">IF($A996="","",IFERROR(INDEX(Sales!$D:$D,MATCH($A996,Sales!$E:$E,0)),""))</f>
        <v/>
      </c>
      <c r="D996" s="153" t="str">
        <f t="array" ref="D996">IF($A996="","",IFERROR(INDEX(Sales!$C:$C,MATCH($A996,Sales!$E:$E,0)),""))</f>
        <v/>
      </c>
      <c r="E996" s="154" t="str">
        <f>IF($A996="","",SUMIFS(Sales!$H:$H,Sales!$E:$E,$A996,Sales!$B:$B,"&lt;&gt;Return"))</f>
        <v/>
      </c>
      <c r="F996" s="155" t="str">
        <f>IF($A996="","",SUMIF(Sales!$E:$E,$A996,Sales!$L:$L))</f>
        <v/>
      </c>
      <c r="G996" s="155" t="str">
        <f>IF($A996="","",SUMIF(Sales!$E:$E,$A996,Sales!$P:$P))</f>
        <v/>
      </c>
      <c r="H996" s="156" t="str">
        <f t="array" ref="H996">IF($A996="","",IFERROR(INDEX(Orders!$O$5:$O$1004,MATCH($A996,Orders!$N$5:$N$1004,0)),""))</f>
        <v/>
      </c>
      <c r="I996" s="156" t="str">
        <f t="array" ref="I996">IF($A996="","",IFERROR(INDEX(Orders!$P$5:$P$1004,MATCH($A996,Orders!$N$5:$N$1004,0)),""))</f>
        <v/>
      </c>
      <c r="J996" s="157" t="str">
        <f t="shared" si="1"/>
        <v/>
      </c>
      <c r="K996" s="153" t="str">
        <f t="array" ref="K996">IF($A996="","",IFERROR(INDEX(Sales!$M:$M,MATCH($A996,Sales!$E:$E,0)),""))</f>
        <v/>
      </c>
      <c r="L996" s="158" t="str">
        <f t="shared" si="2"/>
        <v/>
      </c>
      <c r="N996" s="49" t="str">
        <f t="array" ref="N996">IFERROR(INDEX(Sales!$E$7:$E$1506,MATCH(ROW()-4,Sales!$V$7:$V$1506,0)),"")</f>
        <v/>
      </c>
      <c r="O996" s="67"/>
      <c r="P996" s="67"/>
    </row>
    <row r="997" ht="15.0" customHeight="1">
      <c r="A997" s="151" t="str">
        <f t="array" ref="A997">IFERROR(INDEX(Sales!$E$7:$E$1506,MATCH(ROW()-4,Sales!$W$7:$W$1506,0)),"")</f>
        <v/>
      </c>
      <c r="B997" s="152" t="str">
        <f t="array" ref="B997">IF($A997="","",IFERROR(INDEX(Sales!$A:$A,MATCH($A997,Sales!$E:$E,0)),""))</f>
        <v/>
      </c>
      <c r="C997" s="153" t="str">
        <f t="array" ref="C997">IF($A997="","",IFERROR(INDEX(Sales!$D:$D,MATCH($A997,Sales!$E:$E,0)),""))</f>
        <v/>
      </c>
      <c r="D997" s="153" t="str">
        <f t="array" ref="D997">IF($A997="","",IFERROR(INDEX(Sales!$C:$C,MATCH($A997,Sales!$E:$E,0)),""))</f>
        <v/>
      </c>
      <c r="E997" s="154" t="str">
        <f>IF($A997="","",SUMIFS(Sales!$H:$H,Sales!$E:$E,$A997,Sales!$B:$B,"&lt;&gt;Return"))</f>
        <v/>
      </c>
      <c r="F997" s="155" t="str">
        <f>IF($A997="","",SUMIF(Sales!$E:$E,$A997,Sales!$L:$L))</f>
        <v/>
      </c>
      <c r="G997" s="155" t="str">
        <f>IF($A997="","",SUMIF(Sales!$E:$E,$A997,Sales!$P:$P))</f>
        <v/>
      </c>
      <c r="H997" s="156" t="str">
        <f t="array" ref="H997">IF($A997="","",IFERROR(INDEX(Orders!$O$5:$O$1004,MATCH($A997,Orders!$N$5:$N$1004,0)),""))</f>
        <v/>
      </c>
      <c r="I997" s="156" t="str">
        <f t="array" ref="I997">IF($A997="","",IFERROR(INDEX(Orders!$P$5:$P$1004,MATCH($A997,Orders!$N$5:$N$1004,0)),""))</f>
        <v/>
      </c>
      <c r="J997" s="157" t="str">
        <f t="shared" si="1"/>
        <v/>
      </c>
      <c r="K997" s="153" t="str">
        <f t="array" ref="K997">IF($A997="","",IFERROR(INDEX(Sales!$M:$M,MATCH($A997,Sales!$E:$E,0)),""))</f>
        <v/>
      </c>
      <c r="L997" s="158" t="str">
        <f t="shared" si="2"/>
        <v/>
      </c>
      <c r="N997" s="49" t="str">
        <f t="array" ref="N997">IFERROR(INDEX(Sales!$E$7:$E$1506,MATCH(ROW()-4,Sales!$V$7:$V$1506,0)),"")</f>
        <v/>
      </c>
      <c r="O997" s="67"/>
      <c r="P997" s="67"/>
    </row>
    <row r="998" ht="15.0" customHeight="1">
      <c r="A998" s="151" t="str">
        <f t="array" ref="A998">IFERROR(INDEX(Sales!$E$7:$E$1506,MATCH(ROW()-4,Sales!$W$7:$W$1506,0)),"")</f>
        <v/>
      </c>
      <c r="B998" s="152" t="str">
        <f t="array" ref="B998">IF($A998="","",IFERROR(INDEX(Sales!$A:$A,MATCH($A998,Sales!$E:$E,0)),""))</f>
        <v/>
      </c>
      <c r="C998" s="153" t="str">
        <f t="array" ref="C998">IF($A998="","",IFERROR(INDEX(Sales!$D:$D,MATCH($A998,Sales!$E:$E,0)),""))</f>
        <v/>
      </c>
      <c r="D998" s="153" t="str">
        <f t="array" ref="D998">IF($A998="","",IFERROR(INDEX(Sales!$C:$C,MATCH($A998,Sales!$E:$E,0)),""))</f>
        <v/>
      </c>
      <c r="E998" s="154" t="str">
        <f>IF($A998="","",SUMIFS(Sales!$H:$H,Sales!$E:$E,$A998,Sales!$B:$B,"&lt;&gt;Return"))</f>
        <v/>
      </c>
      <c r="F998" s="155" t="str">
        <f>IF($A998="","",SUMIF(Sales!$E:$E,$A998,Sales!$L:$L))</f>
        <v/>
      </c>
      <c r="G998" s="155" t="str">
        <f>IF($A998="","",SUMIF(Sales!$E:$E,$A998,Sales!$P:$P))</f>
        <v/>
      </c>
      <c r="H998" s="156" t="str">
        <f t="array" ref="H998">IF($A998="","",IFERROR(INDEX(Orders!$O$5:$O$1004,MATCH($A998,Orders!$N$5:$N$1004,0)),""))</f>
        <v/>
      </c>
      <c r="I998" s="156" t="str">
        <f t="array" ref="I998">IF($A998="","",IFERROR(INDEX(Orders!$P$5:$P$1004,MATCH($A998,Orders!$N$5:$N$1004,0)),""))</f>
        <v/>
      </c>
      <c r="J998" s="157" t="str">
        <f t="shared" si="1"/>
        <v/>
      </c>
      <c r="K998" s="153" t="str">
        <f t="array" ref="K998">IF($A998="","",IFERROR(INDEX(Sales!$M:$M,MATCH($A998,Sales!$E:$E,0)),""))</f>
        <v/>
      </c>
      <c r="L998" s="158" t="str">
        <f t="shared" si="2"/>
        <v/>
      </c>
      <c r="N998" s="49" t="str">
        <f t="array" ref="N998">IFERROR(INDEX(Sales!$E$7:$E$1506,MATCH(ROW()-4,Sales!$V$7:$V$1506,0)),"")</f>
        <v/>
      </c>
      <c r="O998" s="67"/>
      <c r="P998" s="67"/>
    </row>
    <row r="999" ht="15.0" customHeight="1">
      <c r="A999" s="151" t="str">
        <f t="array" ref="A999">IFERROR(INDEX(Sales!$E$7:$E$1506,MATCH(ROW()-4,Sales!$W$7:$W$1506,0)),"")</f>
        <v/>
      </c>
      <c r="B999" s="152" t="str">
        <f t="array" ref="B999">IF($A999="","",IFERROR(INDEX(Sales!$A:$A,MATCH($A999,Sales!$E:$E,0)),""))</f>
        <v/>
      </c>
      <c r="C999" s="153" t="str">
        <f t="array" ref="C999">IF($A999="","",IFERROR(INDEX(Sales!$D:$D,MATCH($A999,Sales!$E:$E,0)),""))</f>
        <v/>
      </c>
      <c r="D999" s="153" t="str">
        <f t="array" ref="D999">IF($A999="","",IFERROR(INDEX(Sales!$C:$C,MATCH($A999,Sales!$E:$E,0)),""))</f>
        <v/>
      </c>
      <c r="E999" s="154" t="str">
        <f>IF($A999="","",SUMIFS(Sales!$H:$H,Sales!$E:$E,$A999,Sales!$B:$B,"&lt;&gt;Return"))</f>
        <v/>
      </c>
      <c r="F999" s="155" t="str">
        <f>IF($A999="","",SUMIF(Sales!$E:$E,$A999,Sales!$L:$L))</f>
        <v/>
      </c>
      <c r="G999" s="155" t="str">
        <f>IF($A999="","",SUMIF(Sales!$E:$E,$A999,Sales!$P:$P))</f>
        <v/>
      </c>
      <c r="H999" s="156" t="str">
        <f t="array" ref="H999">IF($A999="","",IFERROR(INDEX(Orders!$O$5:$O$1004,MATCH($A999,Orders!$N$5:$N$1004,0)),""))</f>
        <v/>
      </c>
      <c r="I999" s="156" t="str">
        <f t="array" ref="I999">IF($A999="","",IFERROR(INDEX(Orders!$P$5:$P$1004,MATCH($A999,Orders!$N$5:$N$1004,0)),""))</f>
        <v/>
      </c>
      <c r="J999" s="157" t="str">
        <f t="shared" si="1"/>
        <v/>
      </c>
      <c r="K999" s="153" t="str">
        <f t="array" ref="K999">IF($A999="","",IFERROR(INDEX(Sales!$M:$M,MATCH($A999,Sales!$E:$E,0)),""))</f>
        <v/>
      </c>
      <c r="L999" s="158" t="str">
        <f t="shared" si="2"/>
        <v/>
      </c>
      <c r="N999" s="49" t="str">
        <f t="array" ref="N999">IFERROR(INDEX(Sales!$E$7:$E$1506,MATCH(ROW()-4,Sales!$V$7:$V$1506,0)),"")</f>
        <v/>
      </c>
      <c r="O999" s="67"/>
      <c r="P999" s="67"/>
    </row>
    <row r="1000" ht="15.0" customHeight="1">
      <c r="A1000" s="151" t="str">
        <f t="array" ref="A1000">IFERROR(INDEX(Sales!$E$7:$E$1506,MATCH(ROW()-4,Sales!$W$7:$W$1506,0)),"")</f>
        <v/>
      </c>
      <c r="B1000" s="152" t="str">
        <f t="array" ref="B1000">IF($A1000="","",IFERROR(INDEX(Sales!$A:$A,MATCH($A1000,Sales!$E:$E,0)),""))</f>
        <v/>
      </c>
      <c r="C1000" s="153" t="str">
        <f t="array" ref="C1000">IF($A1000="","",IFERROR(INDEX(Sales!$D:$D,MATCH($A1000,Sales!$E:$E,0)),""))</f>
        <v/>
      </c>
      <c r="D1000" s="153" t="str">
        <f t="array" ref="D1000">IF($A1000="","",IFERROR(INDEX(Sales!$C:$C,MATCH($A1000,Sales!$E:$E,0)),""))</f>
        <v/>
      </c>
      <c r="E1000" s="154" t="str">
        <f>IF($A1000="","",SUMIFS(Sales!$H:$H,Sales!$E:$E,$A1000,Sales!$B:$B,"&lt;&gt;Return"))</f>
        <v/>
      </c>
      <c r="F1000" s="155" t="str">
        <f>IF($A1000="","",SUMIF(Sales!$E:$E,$A1000,Sales!$L:$L))</f>
        <v/>
      </c>
      <c r="G1000" s="155" t="str">
        <f>IF($A1000="","",SUMIF(Sales!$E:$E,$A1000,Sales!$P:$P))</f>
        <v/>
      </c>
      <c r="H1000" s="156" t="str">
        <f t="array" ref="H1000">IF($A1000="","",IFERROR(INDEX(Orders!$O$5:$O$1004,MATCH($A1000,Orders!$N$5:$N$1004,0)),""))</f>
        <v/>
      </c>
      <c r="I1000" s="156" t="str">
        <f t="array" ref="I1000">IF($A1000="","",IFERROR(INDEX(Orders!$P$5:$P$1004,MATCH($A1000,Orders!$N$5:$N$1004,0)),""))</f>
        <v/>
      </c>
      <c r="J1000" s="157" t="str">
        <f t="shared" si="1"/>
        <v/>
      </c>
      <c r="K1000" s="153" t="str">
        <f t="array" ref="K1000">IF($A1000="","",IFERROR(INDEX(Sales!$M:$M,MATCH($A1000,Sales!$E:$E,0)),""))</f>
        <v/>
      </c>
      <c r="L1000" s="158" t="str">
        <f t="shared" si="2"/>
        <v/>
      </c>
      <c r="N1000" s="49" t="str">
        <f t="array" ref="N1000">IFERROR(INDEX(Sales!$E$7:$E$1506,MATCH(ROW()-4,Sales!$V$7:$V$1506,0)),"")</f>
        <v/>
      </c>
      <c r="O1000" s="67"/>
      <c r="P1000" s="67"/>
    </row>
    <row r="1001" ht="15.0" customHeight="1">
      <c r="A1001" s="151" t="str">
        <f t="array" ref="A1001">IFERROR(INDEX(Sales!$E$7:$E$1506,MATCH(ROW()-4,Sales!$W$7:$W$1506,0)),"")</f>
        <v/>
      </c>
      <c r="B1001" s="152" t="str">
        <f t="array" ref="B1001">IF($A1001="","",IFERROR(INDEX(Sales!$A:$A,MATCH($A1001,Sales!$E:$E,0)),""))</f>
        <v/>
      </c>
      <c r="C1001" s="153" t="str">
        <f t="array" ref="C1001">IF($A1001="","",IFERROR(INDEX(Sales!$D:$D,MATCH($A1001,Sales!$E:$E,0)),""))</f>
        <v/>
      </c>
      <c r="D1001" s="153" t="str">
        <f t="array" ref="D1001">IF($A1001="","",IFERROR(INDEX(Sales!$C:$C,MATCH($A1001,Sales!$E:$E,0)),""))</f>
        <v/>
      </c>
      <c r="E1001" s="154" t="str">
        <f>IF($A1001="","",SUMIFS(Sales!$H:$H,Sales!$E:$E,$A1001,Sales!$B:$B,"&lt;&gt;Return"))</f>
        <v/>
      </c>
      <c r="F1001" s="155" t="str">
        <f>IF($A1001="","",SUMIF(Sales!$E:$E,$A1001,Sales!$L:$L))</f>
        <v/>
      </c>
      <c r="G1001" s="155" t="str">
        <f>IF($A1001="","",SUMIF(Sales!$E:$E,$A1001,Sales!$P:$P))</f>
        <v/>
      </c>
      <c r="H1001" s="156" t="str">
        <f t="array" ref="H1001">IF($A1001="","",IFERROR(INDEX(Orders!$O$5:$O$1004,MATCH($A1001,Orders!$N$5:$N$1004,0)),""))</f>
        <v/>
      </c>
      <c r="I1001" s="156" t="str">
        <f t="array" ref="I1001">IF($A1001="","",IFERROR(INDEX(Orders!$P$5:$P$1004,MATCH($A1001,Orders!$N$5:$N$1004,0)),""))</f>
        <v/>
      </c>
      <c r="J1001" s="157" t="str">
        <f t="shared" si="1"/>
        <v/>
      </c>
      <c r="K1001" s="153" t="str">
        <f t="array" ref="K1001">IF($A1001="","",IFERROR(INDEX(Sales!$M:$M,MATCH($A1001,Sales!$E:$E,0)),""))</f>
        <v/>
      </c>
      <c r="L1001" s="158" t="str">
        <f t="shared" si="2"/>
        <v/>
      </c>
      <c r="N1001" s="49" t="str">
        <f t="array" ref="N1001">IFERROR(INDEX(Sales!$E$7:$E$1506,MATCH(ROW()-4,Sales!$V$7:$V$1506,0)),"")</f>
        <v/>
      </c>
      <c r="O1001" s="67"/>
      <c r="P1001" s="67"/>
    </row>
    <row r="1002" ht="15.0" customHeight="1">
      <c r="A1002" s="151" t="str">
        <f t="array" ref="A1002">IFERROR(INDEX(Sales!$E$7:$E$1506,MATCH(ROW()-4,Sales!$W$7:$W$1506,0)),"")</f>
        <v/>
      </c>
      <c r="B1002" s="152" t="str">
        <f t="array" ref="B1002">IF($A1002="","",IFERROR(INDEX(Sales!$A:$A,MATCH($A1002,Sales!$E:$E,0)),""))</f>
        <v/>
      </c>
      <c r="C1002" s="153" t="str">
        <f t="array" ref="C1002">IF($A1002="","",IFERROR(INDEX(Sales!$D:$D,MATCH($A1002,Sales!$E:$E,0)),""))</f>
        <v/>
      </c>
      <c r="D1002" s="153" t="str">
        <f t="array" ref="D1002">IF($A1002="","",IFERROR(INDEX(Sales!$C:$C,MATCH($A1002,Sales!$E:$E,0)),""))</f>
        <v/>
      </c>
      <c r="E1002" s="154" t="str">
        <f>IF($A1002="","",SUMIFS(Sales!$H:$H,Sales!$E:$E,$A1002,Sales!$B:$B,"&lt;&gt;Return"))</f>
        <v/>
      </c>
      <c r="F1002" s="155" t="str">
        <f>IF($A1002="","",SUMIF(Sales!$E:$E,$A1002,Sales!$L:$L))</f>
        <v/>
      </c>
      <c r="G1002" s="155" t="str">
        <f>IF($A1002="","",SUMIF(Sales!$E:$E,$A1002,Sales!$P:$P))</f>
        <v/>
      </c>
      <c r="H1002" s="156" t="str">
        <f t="array" ref="H1002">IF($A1002="","",IFERROR(INDEX(Orders!$O$5:$O$1004,MATCH($A1002,Orders!$N$5:$N$1004,0)),""))</f>
        <v/>
      </c>
      <c r="I1002" s="156" t="str">
        <f t="array" ref="I1002">IF($A1002="","",IFERROR(INDEX(Orders!$P$5:$P$1004,MATCH($A1002,Orders!$N$5:$N$1004,0)),""))</f>
        <v/>
      </c>
      <c r="J1002" s="157" t="str">
        <f t="shared" si="1"/>
        <v/>
      </c>
      <c r="K1002" s="153" t="str">
        <f t="array" ref="K1002">IF($A1002="","",IFERROR(INDEX(Sales!$M:$M,MATCH($A1002,Sales!$E:$E,0)),""))</f>
        <v/>
      </c>
      <c r="L1002" s="158" t="str">
        <f t="shared" si="2"/>
        <v/>
      </c>
      <c r="N1002" s="49" t="str">
        <f t="array" ref="N1002">IFERROR(INDEX(Sales!$E$7:$E$1506,MATCH(ROW()-4,Sales!$V$7:$V$1506,0)),"")</f>
        <v/>
      </c>
      <c r="O1002" s="67"/>
      <c r="P1002" s="67"/>
    </row>
    <row r="1003" ht="15.0" customHeight="1">
      <c r="A1003" s="151" t="str">
        <f t="array" ref="A1003">IFERROR(INDEX(Sales!$E$7:$E$1506,MATCH(ROW()-4,Sales!$W$7:$W$1506,0)),"")</f>
        <v/>
      </c>
      <c r="B1003" s="152" t="str">
        <f t="array" ref="B1003">IF($A1003="","",IFERROR(INDEX(Sales!$A:$A,MATCH($A1003,Sales!$E:$E,0)),""))</f>
        <v/>
      </c>
      <c r="C1003" s="153" t="str">
        <f t="array" ref="C1003">IF($A1003="","",IFERROR(INDEX(Sales!$D:$D,MATCH($A1003,Sales!$E:$E,0)),""))</f>
        <v/>
      </c>
      <c r="D1003" s="153" t="str">
        <f t="array" ref="D1003">IF($A1003="","",IFERROR(INDEX(Sales!$C:$C,MATCH($A1003,Sales!$E:$E,0)),""))</f>
        <v/>
      </c>
      <c r="E1003" s="154" t="str">
        <f>IF($A1003="","",SUMIFS(Sales!$H:$H,Sales!$E:$E,$A1003,Sales!$B:$B,"&lt;&gt;Return"))</f>
        <v/>
      </c>
      <c r="F1003" s="155" t="str">
        <f>IF($A1003="","",SUMIF(Sales!$E:$E,$A1003,Sales!$L:$L))</f>
        <v/>
      </c>
      <c r="G1003" s="155" t="str">
        <f>IF($A1003="","",SUMIF(Sales!$E:$E,$A1003,Sales!$P:$P))</f>
        <v/>
      </c>
      <c r="H1003" s="156" t="str">
        <f t="array" ref="H1003">IF($A1003="","",IFERROR(INDEX(Orders!$O$5:$O$1004,MATCH($A1003,Orders!$N$5:$N$1004,0)),""))</f>
        <v/>
      </c>
      <c r="I1003" s="156" t="str">
        <f t="array" ref="I1003">IF($A1003="","",IFERROR(INDEX(Orders!$P$5:$P$1004,MATCH($A1003,Orders!$N$5:$N$1004,0)),""))</f>
        <v/>
      </c>
      <c r="J1003" s="157" t="str">
        <f t="shared" si="1"/>
        <v/>
      </c>
      <c r="K1003" s="153" t="str">
        <f t="array" ref="K1003">IF($A1003="","",IFERROR(INDEX(Sales!$M:$M,MATCH($A1003,Sales!$E:$E,0)),""))</f>
        <v/>
      </c>
      <c r="L1003" s="158" t="str">
        <f t="shared" si="2"/>
        <v/>
      </c>
      <c r="N1003" s="49" t="str">
        <f t="array" ref="N1003">IFERROR(INDEX(Sales!$E$7:$E$1506,MATCH(ROW()-4,Sales!$V$7:$V$1506,0)),"")</f>
        <v/>
      </c>
      <c r="O1003" s="67"/>
      <c r="P1003" s="67"/>
    </row>
    <row r="1004" ht="15.0" customHeight="1">
      <c r="A1004" s="151" t="str">
        <f t="array" ref="A1004">IFERROR(INDEX(Sales!$E$7:$E$1506,MATCH(ROW()-4,Sales!$W$7:$W$1506,0)),"")</f>
        <v/>
      </c>
      <c r="B1004" s="152" t="str">
        <f t="array" ref="B1004">IF($A1004="","",IFERROR(INDEX(Sales!$A:$A,MATCH($A1004,Sales!$E:$E,0)),""))</f>
        <v/>
      </c>
      <c r="C1004" s="153" t="str">
        <f t="array" ref="C1004">IF($A1004="","",IFERROR(INDEX(Sales!$D:$D,MATCH($A1004,Sales!$E:$E,0)),""))</f>
        <v/>
      </c>
      <c r="D1004" s="153" t="str">
        <f t="array" ref="D1004">IF($A1004="","",IFERROR(INDEX(Sales!$C:$C,MATCH($A1004,Sales!$E:$E,0)),""))</f>
        <v/>
      </c>
      <c r="E1004" s="154" t="str">
        <f>IF($A1004="","",SUMIFS(Sales!$H:$H,Sales!$E:$E,$A1004,Sales!$B:$B,"&lt;&gt;Return"))</f>
        <v/>
      </c>
      <c r="F1004" s="155" t="str">
        <f>IF($A1004="","",SUMIF(Sales!$E:$E,$A1004,Sales!$L:$L))</f>
        <v/>
      </c>
      <c r="G1004" s="155" t="str">
        <f>IF($A1004="","",SUMIF(Sales!$E:$E,$A1004,Sales!$P:$P))</f>
        <v/>
      </c>
      <c r="H1004" s="156" t="str">
        <f t="array" ref="H1004">IF($A1004="","",IFERROR(INDEX(Orders!$O$5:$O$1004,MATCH($A1004,Orders!$N$5:$N$1004,0)),""))</f>
        <v/>
      </c>
      <c r="I1004" s="156" t="str">
        <f t="array" ref="I1004">IF($A1004="","",IFERROR(INDEX(Orders!$P$5:$P$1004,MATCH($A1004,Orders!$N$5:$N$1004,0)),""))</f>
        <v/>
      </c>
      <c r="J1004" s="157" t="str">
        <f t="shared" si="1"/>
        <v/>
      </c>
      <c r="K1004" s="153" t="str">
        <f t="array" ref="K1004">IF($A1004="","",IFERROR(INDEX(Sales!$M:$M,MATCH($A1004,Sales!$E:$E,0)),""))</f>
        <v/>
      </c>
      <c r="L1004" s="158" t="str">
        <f t="shared" si="2"/>
        <v/>
      </c>
      <c r="N1004" s="49" t="str">
        <f t="array" ref="N1004">IFERROR(INDEX(Sales!$E$7:$E$1506,MATCH(ROW()-4,Sales!$V$7:$V$1506,0)),"")</f>
        <v/>
      </c>
      <c r="O1004" s="67"/>
      <c r="P1004" s="67"/>
    </row>
  </sheetData>
  <customSheetViews>
    <customSheetView guid="{484264CE-3176-4DE9-8F0D-71E4461C7B19}" filter="1" showAutoFilter="1">
      <autoFilter ref="$A$4:$P$100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9.71"/>
    <col customWidth="1" min="2" max="2" width="43.43"/>
    <col customWidth="1" min="3" max="3" width="18.57"/>
    <col customWidth="1" min="4" max="4" width="13.0"/>
    <col customWidth="1" min="5" max="5" width="14.29"/>
    <col customWidth="1" min="6" max="6" width="10.71"/>
    <col customWidth="1" min="7" max="7" width="16.57"/>
    <col customWidth="1" min="8" max="26" width="8.71"/>
  </cols>
  <sheetData>
    <row r="1" ht="14.25" customHeight="1">
      <c r="A1" s="11" t="s">
        <v>700</v>
      </c>
      <c r="B1" s="11"/>
      <c r="C1" s="11"/>
      <c r="D1" s="11"/>
      <c r="E1" s="11"/>
      <c r="F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2" t="s">
        <v>701</v>
      </c>
    </row>
    <row r="3" ht="14.25" customHeight="1"/>
    <row r="4" ht="14.25" customHeight="1">
      <c r="A4" s="166" t="s">
        <v>56</v>
      </c>
      <c r="B4" s="167" t="s">
        <v>702</v>
      </c>
      <c r="C4" s="167" t="s">
        <v>42</v>
      </c>
      <c r="D4" s="167" t="s">
        <v>703</v>
      </c>
      <c r="E4" s="167" t="s">
        <v>704</v>
      </c>
      <c r="F4" s="168" t="s">
        <v>152</v>
      </c>
    </row>
    <row r="5" ht="14.25" customHeight="1">
      <c r="A5" s="151" t="str">
        <f>Inventory!A5</f>
        <v>AC-PNC-LR-002</v>
      </c>
      <c r="B5" s="153" t="str">
        <f>Inventory!B5</f>
        <v>Pet Nail Clippers Large</v>
      </c>
      <c r="C5" s="153" t="str">
        <f>Inventory!C5</f>
        <v>Cat Accessories</v>
      </c>
      <c r="D5" s="169">
        <f>Inventory!H5</f>
        <v>1</v>
      </c>
      <c r="E5" s="170">
        <f>Inventory!I5</f>
        <v>190</v>
      </c>
      <c r="F5" s="171">
        <f>IF(A5="","",Inventory!K5)</f>
        <v>270</v>
      </c>
    </row>
    <row r="6" ht="14.25" customHeight="1">
      <c r="A6" s="151" t="str">
        <f>Inventory!A6</f>
        <v>AC-CTOY-004</v>
      </c>
      <c r="B6" s="153" t="str">
        <f>Inventory!B6</f>
        <v>Cat Ball Robot Toy</v>
      </c>
      <c r="C6" s="153" t="str">
        <f>Inventory!C6</f>
        <v>Cat Accessories</v>
      </c>
      <c r="D6" s="169">
        <f>Inventory!H6</f>
        <v>1</v>
      </c>
      <c r="E6" s="170">
        <f>Inventory!I6</f>
        <v>95</v>
      </c>
      <c r="F6" s="171">
        <f>IF(A6="","",Inventory!K6)</f>
        <v>150</v>
      </c>
    </row>
    <row r="7" ht="14.25" customHeight="1">
      <c r="A7" s="151" t="str">
        <f>Inventory!A7</f>
        <v>AC-CB-001</v>
      </c>
      <c r="B7" s="153" t="str">
        <f>Inventory!B7</f>
        <v>Cat Belt</v>
      </c>
      <c r="C7" s="153" t="str">
        <f>Inventory!C7</f>
        <v>Cat Accessories</v>
      </c>
      <c r="D7" s="169">
        <f>Inventory!H7</f>
        <v>26</v>
      </c>
      <c r="E7" s="170">
        <f>Inventory!I7</f>
        <v>29.35135135</v>
      </c>
      <c r="F7" s="171">
        <f>IF(A7="","",Inventory!K7)</f>
        <v>60</v>
      </c>
    </row>
    <row r="8" ht="14.25" customHeight="1">
      <c r="A8" s="151" t="str">
        <f>Inventory!A8</f>
        <v>PO-WET-NK-70G-001</v>
      </c>
      <c r="B8" s="153" t="str">
        <f>Inventory!B8</f>
        <v>Nekko Pouch Tuna in Jelly</v>
      </c>
      <c r="C8" s="153" t="str">
        <f>Inventory!C8</f>
        <v>Cat Pouch</v>
      </c>
      <c r="D8" s="169">
        <f>Inventory!H8</f>
        <v>35</v>
      </c>
      <c r="E8" s="170">
        <f>Inventory!I8</f>
        <v>65.17241379</v>
      </c>
      <c r="F8" s="171">
        <f>IF(A8="","",Inventory!K8)</f>
        <v>90</v>
      </c>
    </row>
    <row r="9" ht="14.25" customHeight="1">
      <c r="A9" s="151" t="str">
        <f>Inventory!A9</f>
        <v>AC-CJ-AR-001</v>
      </c>
      <c r="B9" s="153" t="str">
        <f>Inventory!B9</f>
        <v>Cat Jersey Argentina Medium</v>
      </c>
      <c r="C9" s="153" t="str">
        <f>Inventory!C9</f>
        <v>Cat Accessories</v>
      </c>
      <c r="D9" s="169">
        <f>Inventory!H9</f>
        <v>1</v>
      </c>
      <c r="E9" s="170">
        <f>Inventory!I9</f>
        <v>140</v>
      </c>
      <c r="F9" s="171">
        <f>IF(A9="","",Inventory!K9)</f>
        <v>300</v>
      </c>
    </row>
    <row r="10" ht="14.25" customHeight="1">
      <c r="A10" s="151" t="str">
        <f>Inventory!A10</f>
        <v>AC-CJ-AR-002</v>
      </c>
      <c r="B10" s="153" t="str">
        <f>Inventory!B10</f>
        <v>Cat Jersey Argentina Large</v>
      </c>
      <c r="C10" s="153" t="str">
        <f>Inventory!C10</f>
        <v>Cat Accessories</v>
      </c>
      <c r="D10" s="169">
        <f>Inventory!H10</f>
        <v>0</v>
      </c>
      <c r="E10" s="170">
        <f>Inventory!I10</f>
        <v>140</v>
      </c>
      <c r="F10" s="171">
        <f>IF(A10="","",Inventory!K10)</f>
        <v>300</v>
      </c>
    </row>
    <row r="11" ht="14.25" customHeight="1">
      <c r="A11" s="151" t="str">
        <f>Inventory!A11</f>
        <v>AC-CJ-BR-002</v>
      </c>
      <c r="B11" s="153" t="str">
        <f>Inventory!B11</f>
        <v>Cat Jersey Brazil Large</v>
      </c>
      <c r="C11" s="153" t="str">
        <f>Inventory!C11</f>
        <v>Cat Accessories</v>
      </c>
      <c r="D11" s="169">
        <f>Inventory!H11</f>
        <v>2</v>
      </c>
      <c r="E11" s="170">
        <f>Inventory!I11</f>
        <v>140</v>
      </c>
      <c r="F11" s="171">
        <f>IF(A11="","",Inventory!K11)</f>
        <v>300</v>
      </c>
    </row>
    <row r="12" ht="14.25" customHeight="1">
      <c r="A12" s="151" t="str">
        <f>Inventory!A12</f>
        <v>AC-CJ-BR-001</v>
      </c>
      <c r="B12" s="153" t="str">
        <f>Inventory!B12</f>
        <v>Cat Jersey Brazil Medium</v>
      </c>
      <c r="C12" s="153" t="str">
        <f>Inventory!C12</f>
        <v>Cat Accessories</v>
      </c>
      <c r="D12" s="169">
        <f>Inventory!H12</f>
        <v>3</v>
      </c>
      <c r="E12" s="170">
        <f>Inventory!I12</f>
        <v>140</v>
      </c>
      <c r="F12" s="171">
        <f>IF(A12="","",Inventory!K12)</f>
        <v>300</v>
      </c>
    </row>
    <row r="13" ht="14.25" customHeight="1">
      <c r="A13" s="151" t="str">
        <f>Inventory!A13</f>
        <v>AC-SHAMP-002</v>
      </c>
      <c r="B13" s="153" t="str">
        <f>Inventory!B13</f>
        <v>Bengal Flea &amp; Tick Shampoo</v>
      </c>
      <c r="C13" s="153" t="str">
        <f>Inventory!C13</f>
        <v>Cat Accessories</v>
      </c>
      <c r="D13" s="169">
        <f>Inventory!H13</f>
        <v>2</v>
      </c>
      <c r="E13" s="170">
        <f>Inventory!I13</f>
        <v>240</v>
      </c>
      <c r="F13" s="171">
        <f>IF(A13="","",Inventory!K13)</f>
        <v>400</v>
      </c>
    </row>
    <row r="14" ht="14.25" customHeight="1">
      <c r="A14" s="151" t="str">
        <f>Inventory!A14</f>
        <v>AC-SHAMP-003</v>
      </c>
      <c r="B14" s="153" t="str">
        <f>Inventory!B14</f>
        <v>Bengal Waterless Bath No-Rinse Shampoo</v>
      </c>
      <c r="C14" s="153" t="str">
        <f>Inventory!C14</f>
        <v>Cat Accessories</v>
      </c>
      <c r="D14" s="169">
        <f>Inventory!H14</f>
        <v>1</v>
      </c>
      <c r="E14" s="170">
        <f>Inventory!I14</f>
        <v>290</v>
      </c>
      <c r="F14" s="171">
        <f>IF(A14="","",Inventory!K14)</f>
        <v>450</v>
      </c>
    </row>
    <row r="15" ht="14.25" customHeight="1">
      <c r="A15" s="151" t="str">
        <f>Inventory!A15</f>
        <v>AC-LB-001</v>
      </c>
      <c r="B15" s="153" t="str">
        <f>Inventory!B15</f>
        <v>Cat Litter Box Large</v>
      </c>
      <c r="C15" s="153" t="str">
        <f>Inventory!C15</f>
        <v>Cat Accessories</v>
      </c>
      <c r="D15" s="169">
        <f>Inventory!H15</f>
        <v>0</v>
      </c>
      <c r="E15" s="170">
        <f>Inventory!I15</f>
        <v>400</v>
      </c>
      <c r="F15" s="171">
        <f>IF(A15="","",Inventory!K15)</f>
        <v>600</v>
      </c>
    </row>
    <row r="16" ht="14.25" customHeight="1">
      <c r="A16" s="151" t="str">
        <f>Inventory!A16</f>
        <v>AC-LB-002</v>
      </c>
      <c r="B16" s="153" t="str">
        <f>Inventory!B16</f>
        <v>Cat Litter Box Medium</v>
      </c>
      <c r="C16" s="153" t="str">
        <f>Inventory!C16</f>
        <v>Cat Accessories</v>
      </c>
      <c r="D16" s="169">
        <f>Inventory!H16</f>
        <v>2</v>
      </c>
      <c r="E16" s="170">
        <f>Inventory!I16</f>
        <v>300</v>
      </c>
      <c r="F16" s="171">
        <f>IF(A16="","",Inventory!K16)</f>
        <v>500</v>
      </c>
    </row>
    <row r="17" ht="14.25" customHeight="1">
      <c r="A17" s="151" t="str">
        <f>Inventory!A17</f>
        <v>LT-LM-DD-5L-001</v>
      </c>
      <c r="B17" s="153" t="str">
        <f>Inventory!B17</f>
        <v>Dodo Cat Litter 5L Lemon Flvor</v>
      </c>
      <c r="C17" s="153" t="str">
        <f>Inventory!C17</f>
        <v>Cat Litter</v>
      </c>
      <c r="D17" s="169">
        <f>Inventory!H17</f>
        <v>0</v>
      </c>
      <c r="E17" s="170">
        <f>Inventory!I17</f>
        <v>180</v>
      </c>
      <c r="F17" s="171">
        <f>IF(A17="","",Inventory!K17)</f>
        <v>320</v>
      </c>
    </row>
    <row r="18" ht="14.25" customHeight="1">
      <c r="A18" s="151" t="str">
        <f>Inventory!A18</f>
        <v>FD-DRY-CHNK-CHKN-1.5KG-001</v>
      </c>
      <c r="B18" s="153" t="str">
        <f>Inventory!B18</f>
        <v>Chonk All ages Chicken</v>
      </c>
      <c r="C18" s="153" t="str">
        <f>Inventory!C18</f>
        <v>Cat Food</v>
      </c>
      <c r="D18" s="169">
        <f>Inventory!H18</f>
        <v>8</v>
      </c>
      <c r="E18" s="170">
        <f>Inventory!I18</f>
        <v>400</v>
      </c>
      <c r="F18" s="171">
        <f>IF(A18="","",Inventory!K18)</f>
        <v>500</v>
      </c>
    </row>
    <row r="19" ht="14.25" customHeight="1">
      <c r="A19" s="151" t="str">
        <f>Inventory!A19</f>
        <v>FD-DRY-CHNK-OCFCK-1.5KG-001</v>
      </c>
      <c r="B19" s="153" t="str">
        <f>Inventory!B19</f>
        <v>Chonk All ages Ocean Fish with Chicken</v>
      </c>
      <c r="C19" s="153" t="str">
        <f>Inventory!C19</f>
        <v>Cat Food</v>
      </c>
      <c r="D19" s="169">
        <f>Inventory!H19</f>
        <v>2</v>
      </c>
      <c r="E19" s="170">
        <f>Inventory!I19</f>
        <v>400</v>
      </c>
      <c r="F19" s="171">
        <f>IF(A19="","",Inventory!K19)</f>
        <v>500</v>
      </c>
    </row>
    <row r="20" ht="14.25" customHeight="1">
      <c r="A20" s="151" t="str">
        <f>Inventory!A20</f>
        <v>FD-DRY-CHNK-TN-1.5KG-001</v>
      </c>
      <c r="B20" s="153" t="str">
        <f>Inventory!B20</f>
        <v>Chonk All ages Tuna</v>
      </c>
      <c r="C20" s="153" t="str">
        <f>Inventory!C20</f>
        <v>Cat Food</v>
      </c>
      <c r="D20" s="169">
        <f>Inventory!H20</f>
        <v>0</v>
      </c>
      <c r="E20" s="170">
        <f>Inventory!I20</f>
        <v>400</v>
      </c>
      <c r="F20" s="171">
        <f>IF(A20="","",Inventory!K20)</f>
        <v>500</v>
      </c>
    </row>
    <row r="21" ht="14.25" customHeight="1">
      <c r="A21" s="151" t="str">
        <f>Inventory!A21</f>
        <v>TR-CRMY-15G-001</v>
      </c>
      <c r="B21" s="153" t="str">
        <f>Inventory!B21</f>
        <v>Creamy Treat 15G (Purry &amp; Hyper Paws)</v>
      </c>
      <c r="C21" s="153" t="str">
        <f>Inventory!C21</f>
        <v>Cat Treat</v>
      </c>
      <c r="D21" s="169">
        <f>Inventory!H21</f>
        <v>598</v>
      </c>
      <c r="E21" s="170">
        <f>Inventory!I21</f>
        <v>8.147411853</v>
      </c>
      <c r="F21" s="171">
        <f>IF(A21="","",Inventory!K21)</f>
        <v>20</v>
      </c>
    </row>
    <row r="22" ht="14.25" customHeight="1">
      <c r="A22" s="151" t="str">
        <f>Inventory!A22</f>
        <v>FD-DRY-SMHRT-450G-001</v>
      </c>
      <c r="B22" s="153" t="str">
        <f>Inventory!B22</f>
        <v>Smart Heart Kitten Food Chicken, Fish, Egg &amp; Milk 450gm</v>
      </c>
      <c r="C22" s="153" t="str">
        <f>Inventory!C22</f>
        <v>Kitten Food</v>
      </c>
      <c r="D22" s="169">
        <f>Inventory!H22</f>
        <v>2</v>
      </c>
      <c r="E22" s="170">
        <f>Inventory!I22</f>
        <v>290</v>
      </c>
      <c r="F22" s="171">
        <f>IF(A22="","",Inventory!K22)</f>
        <v>380</v>
      </c>
    </row>
    <row r="23" ht="14.25" customHeight="1">
      <c r="A23" s="151" t="str">
        <f>Inventory!A23</f>
        <v>FD-DRY-SMHRT-15KG-001</v>
      </c>
      <c r="B23" s="153" t="str">
        <f>Inventory!B23</f>
        <v>Smart Heart Adult Cat Food Chicken &amp; Tuna [15kg]</v>
      </c>
      <c r="C23" s="153" t="str">
        <f>Inventory!C23</f>
        <v>Cat Food</v>
      </c>
      <c r="D23" s="169">
        <f>Inventory!H23</f>
        <v>0</v>
      </c>
      <c r="E23" s="170">
        <f>Inventory!I23</f>
        <v>5700</v>
      </c>
      <c r="F23" s="171">
        <f>IF(A23="","",Inventory!K23)</f>
        <v>6700</v>
      </c>
    </row>
    <row r="24" ht="14.25" customHeight="1">
      <c r="A24" s="151" t="str">
        <f>Inventory!A24</f>
        <v>FD-BRD-MLT-YLW-25KG</v>
      </c>
      <c r="B24" s="153" t="str">
        <f>Inventory!B24</f>
        <v>Yellow Millet [25kg] + White Millet [25kg]</v>
      </c>
      <c r="C24" s="153" t="str">
        <f>Inventory!C24</f>
        <v>Bird/Pet Feed</v>
      </c>
      <c r="D24" s="169">
        <f>Inventory!H24</f>
        <v>49</v>
      </c>
      <c r="E24" s="170">
        <f>Inventory!I24</f>
        <v>100</v>
      </c>
      <c r="F24" s="171">
        <f>IF(A24="","",Inventory!K24)</f>
        <v>130</v>
      </c>
    </row>
    <row r="25" ht="14.25" customHeight="1">
      <c r="A25" s="151" t="str">
        <f>Inventory!A25</f>
        <v>FD-DRY-KVF-MV-500G-001</v>
      </c>
      <c r="B25" s="153" t="str">
        <f>Inventory!B25</f>
        <v>Kaniva Fusion Multiviamins Chicken &amp; Pumpkin 500gm</v>
      </c>
      <c r="C25" s="153" t="str">
        <f>Inventory!C25</f>
        <v>Cat Food</v>
      </c>
      <c r="D25" s="169">
        <f>Inventory!H25</f>
        <v>1</v>
      </c>
      <c r="E25" s="170">
        <f>Inventory!I25</f>
        <v>507</v>
      </c>
      <c r="F25" s="171">
        <f>IF(A25="","",Inventory!K25)</f>
        <v>650</v>
      </c>
    </row>
    <row r="26" ht="14.25" customHeight="1">
      <c r="A26" s="151" t="str">
        <f>Inventory!A26</f>
        <v>FD-DRY-KVF-SKCO-500G-001</v>
      </c>
      <c r="B26" s="153" t="str">
        <f>Inventory!B26</f>
        <v>Kaniva Fusion Beauty (Skin &amp; Coat) 500gm</v>
      </c>
      <c r="C26" s="153" t="str">
        <f>Inventory!C26</f>
        <v>Cat Food</v>
      </c>
      <c r="D26" s="169">
        <f>Inventory!H26</f>
        <v>8</v>
      </c>
      <c r="E26" s="170">
        <f>Inventory!I26</f>
        <v>507</v>
      </c>
      <c r="F26" s="171">
        <f>IF(A26="","",Inventory!K26)</f>
        <v>650</v>
      </c>
    </row>
    <row r="27" ht="14.25" customHeight="1">
      <c r="A27" s="151" t="str">
        <f>Inventory!A27</f>
        <v>LT-LM-CZE-5L-001</v>
      </c>
      <c r="B27" s="153" t="str">
        <f>Inventory!B27</f>
        <v>Cozie Cat Litter Lemon 5L</v>
      </c>
      <c r="C27" s="153" t="str">
        <f>Inventory!C27</f>
        <v>Cat Litter</v>
      </c>
      <c r="D27" s="169">
        <f>Inventory!H27</f>
        <v>1</v>
      </c>
      <c r="E27" s="170">
        <f>Inventory!I27</f>
        <v>230</v>
      </c>
      <c r="F27" s="171">
        <f>IF(A27="","",Inventory!K27)</f>
        <v>370</v>
      </c>
    </row>
    <row r="28" ht="14.25" customHeight="1">
      <c r="A28" s="151" t="str">
        <f>Inventory!A28</f>
        <v>LT-LM-CZE-10L-001</v>
      </c>
      <c r="B28" s="153" t="str">
        <f>Inventory!B28</f>
        <v>Cozie Cat Litter Lemon 10L</v>
      </c>
      <c r="C28" s="153" t="str">
        <f>Inventory!C28</f>
        <v>Cat Litter</v>
      </c>
      <c r="D28" s="169">
        <f>Inventory!H28</f>
        <v>7</v>
      </c>
      <c r="E28" s="170">
        <f>Inventory!I28</f>
        <v>450</v>
      </c>
      <c r="F28" s="171">
        <f>IF(A28="","",Inventory!K28)</f>
        <v>700</v>
      </c>
    </row>
    <row r="29" ht="14.25" customHeight="1">
      <c r="A29" s="151" t="str">
        <f>Inventory!A29</f>
        <v>LT-LV-CZE-5L-001</v>
      </c>
      <c r="B29" s="153" t="str">
        <f>Inventory!B29</f>
        <v>Cozie Cat Litter Lavender 5L</v>
      </c>
      <c r="C29" s="153" t="str">
        <f>Inventory!C29</f>
        <v>Cat Litter</v>
      </c>
      <c r="D29" s="169">
        <f>Inventory!H29</f>
        <v>0</v>
      </c>
      <c r="E29" s="170">
        <f>Inventory!I29</f>
        <v>230</v>
      </c>
      <c r="F29" s="171">
        <f>IF(A29="","",Inventory!K29)</f>
        <v>370</v>
      </c>
    </row>
    <row r="30" ht="14.25" customHeight="1">
      <c r="A30" s="151" t="str">
        <f>Inventory!A30</f>
        <v>LT-LV-CZE-10L-001</v>
      </c>
      <c r="B30" s="153" t="str">
        <f>Inventory!B30</f>
        <v>Cozie Cat Litter Lavender 10L</v>
      </c>
      <c r="C30" s="153" t="str">
        <f>Inventory!C30</f>
        <v>Cat Litter</v>
      </c>
      <c r="D30" s="169">
        <f>Inventory!H30</f>
        <v>-1</v>
      </c>
      <c r="E30" s="170">
        <f>Inventory!I30</f>
        <v>450</v>
      </c>
      <c r="F30" s="171">
        <f>IF(A30="","",Inventory!K30)</f>
        <v>700</v>
      </c>
    </row>
    <row r="31" ht="14.25" customHeight="1">
      <c r="A31" s="151" t="str">
        <f>Inventory!A31</f>
        <v>PO-WET-NK-70G-002</v>
      </c>
      <c r="B31" s="153" t="str">
        <f>Inventory!B31</f>
        <v>Nekko Pouch 70G Tuna in Gravy</v>
      </c>
      <c r="C31" s="153" t="str">
        <f>Inventory!C31</f>
        <v>Cat Pouch</v>
      </c>
      <c r="D31" s="169">
        <f>Inventory!H31</f>
        <v>29</v>
      </c>
      <c r="E31" s="170">
        <f>Inventory!I31</f>
        <v>65</v>
      </c>
      <c r="F31" s="171">
        <f>IF(A31="","",Inventory!K31)</f>
        <v>85</v>
      </c>
    </row>
    <row r="32" ht="14.25" customHeight="1">
      <c r="A32" s="151" t="str">
        <f>Inventory!A32</f>
        <v>PO-WET-NK-70G-003-KT</v>
      </c>
      <c r="B32" s="153" t="str">
        <f>Inventory!B32</f>
        <v>Nekko Pouch 70G Tuna in Chicken Mousse For Kitten</v>
      </c>
      <c r="C32" s="153" t="str">
        <f>Inventory!C32</f>
        <v>Cat Pouch</v>
      </c>
      <c r="D32" s="169">
        <f>Inventory!H32</f>
        <v>26</v>
      </c>
      <c r="E32" s="170">
        <f>Inventory!I32</f>
        <v>65.17241379</v>
      </c>
      <c r="F32" s="171">
        <f>IF(A32="","",Inventory!K32)</f>
        <v>90</v>
      </c>
    </row>
    <row r="33" ht="14.25" customHeight="1">
      <c r="A33" s="151" t="str">
        <f>Inventory!A33</f>
        <v>PO-WET-SMHRT-TJ-85G-001</v>
      </c>
      <c r="B33" s="153" t="str">
        <f>Inventory!B33</f>
        <v>Smart Heart Pouch Tuna in Jelly Kitten</v>
      </c>
      <c r="C33" s="153" t="str">
        <f>Inventory!C33</f>
        <v>Cat Pouch</v>
      </c>
      <c r="D33" s="169">
        <f>Inventory!H33</f>
        <v>10</v>
      </c>
      <c r="E33" s="170">
        <f>Inventory!I33</f>
        <v>72</v>
      </c>
      <c r="F33" s="171">
        <f>IF(A33="","",Inventory!K33)</f>
        <v>95</v>
      </c>
    </row>
    <row r="34" ht="14.25" customHeight="1">
      <c r="A34" s="151" t="str">
        <f>Inventory!A34</f>
        <v>PO-WET-SMHRT-TWC-85G-001</v>
      </c>
      <c r="B34" s="153" t="str">
        <f>Inventory!B34</f>
        <v>Smart Heart Pouch  Tuna With Chicken in Jelly</v>
      </c>
      <c r="C34" s="153" t="str">
        <f>Inventory!C34</f>
        <v>Cat Pouch</v>
      </c>
      <c r="D34" s="169">
        <f>Inventory!H34</f>
        <v>19</v>
      </c>
      <c r="E34" s="170">
        <f>Inventory!I34</f>
        <v>71.9047619</v>
      </c>
      <c r="F34" s="171">
        <f>IF(A34="","",Inventory!K34)</f>
        <v>95</v>
      </c>
    </row>
    <row r="35" ht="14.25" customHeight="1">
      <c r="A35" s="151" t="str">
        <f>Inventory!A35</f>
        <v>LT-CF-DD-25L-001</v>
      </c>
      <c r="B35" s="153" t="str">
        <f>Inventory!B35</f>
        <v>L Favorite Cat Litter 25L Coffee Flvor</v>
      </c>
      <c r="C35" s="153" t="str">
        <f>Inventory!C35</f>
        <v>Cat Litter</v>
      </c>
      <c r="D35" s="169">
        <f>Inventory!H35</f>
        <v>0</v>
      </c>
      <c r="E35" s="170">
        <f>Inventory!I35</f>
        <v>1000</v>
      </c>
      <c r="F35" s="171">
        <f>IF(A35="","",Inventory!K35)</f>
        <v>1550</v>
      </c>
    </row>
    <row r="36" ht="14.25" customHeight="1">
      <c r="A36" s="151" t="str">
        <f>Inventory!A36</f>
        <v>LT-AP-DD-25L-002</v>
      </c>
      <c r="B36" s="153" t="str">
        <f>Inventory!B36</f>
        <v>Dodo Cat Litter 25L Apple Flvor</v>
      </c>
      <c r="C36" s="153" t="str">
        <f>Inventory!C36</f>
        <v>Cat Litter</v>
      </c>
      <c r="D36" s="169">
        <f>Inventory!H36</f>
        <v>0</v>
      </c>
      <c r="E36" s="170">
        <f>Inventory!I36</f>
        <v>850</v>
      </c>
      <c r="F36" s="171">
        <f>IF(A36="","",Inventory!K36)</f>
        <v>1450</v>
      </c>
    </row>
    <row r="37" ht="14.25" customHeight="1">
      <c r="A37" s="151" t="str">
        <f>Inventory!A37</f>
        <v>LT-AP-DD-10L-001</v>
      </c>
      <c r="B37" s="153" t="str">
        <f>Inventory!B37</f>
        <v>Dodo Cat Litter 10L Apple Flvor</v>
      </c>
      <c r="C37" s="153" t="str">
        <f>Inventory!C37</f>
        <v>Cat Litter</v>
      </c>
      <c r="D37" s="169">
        <f>Inventory!H37</f>
        <v>2</v>
      </c>
      <c r="E37" s="170">
        <f>Inventory!I37</f>
        <v>360</v>
      </c>
      <c r="F37" s="171">
        <f>IF(A37="","",Inventory!K37)</f>
        <v>600</v>
      </c>
    </row>
    <row r="38" ht="14.25" customHeight="1">
      <c r="A38" s="151" t="str">
        <f>Inventory!A38</f>
        <v>AC-SHAMP-001</v>
      </c>
      <c r="B38" s="153" t="str">
        <f>Inventory!B38</f>
        <v>Bengal 4in1 Shampoo &amp; Conditioner</v>
      </c>
      <c r="C38" s="153" t="str">
        <f>Inventory!C38</f>
        <v>Cat Accessories</v>
      </c>
      <c r="D38" s="169">
        <f>Inventory!H38</f>
        <v>0</v>
      </c>
      <c r="E38" s="170">
        <f>Inventory!I38</f>
        <v>240</v>
      </c>
      <c r="F38" s="171">
        <f>IF(A38="","",Inventory!K38)</f>
        <v>450</v>
      </c>
    </row>
    <row r="39" ht="14.25" customHeight="1">
      <c r="A39" s="151" t="str">
        <f>Inventory!A39</f>
        <v>AC-BOWL-001</v>
      </c>
      <c r="B39" s="153" t="str">
        <f>Inventory!B39</f>
        <v>Sea Chinese Food Bowl</v>
      </c>
      <c r="C39" s="153" t="str">
        <f>Inventory!C39</f>
        <v>Cat Accessories</v>
      </c>
      <c r="D39" s="169">
        <f>Inventory!H39</f>
        <v>1</v>
      </c>
      <c r="E39" s="170">
        <f>Inventory!I39</f>
        <v>35</v>
      </c>
      <c r="F39" s="171">
        <f>IF(A39="","",Inventory!K39)</f>
        <v>50</v>
      </c>
    </row>
    <row r="40" ht="14.25" customHeight="1">
      <c r="A40" s="151" t="str">
        <f>Inventory!A40</f>
        <v>AC-CTOY-001</v>
      </c>
      <c r="B40" s="153" t="str">
        <f>Inventory!B40</f>
        <v>Wind up Mouse Toy</v>
      </c>
      <c r="C40" s="153" t="str">
        <f>Inventory!C40</f>
        <v>Cat Accessories</v>
      </c>
      <c r="D40" s="169">
        <f>Inventory!H40</f>
        <v>1</v>
      </c>
      <c r="E40" s="170">
        <f>Inventory!I40</f>
        <v>160</v>
      </c>
      <c r="F40" s="171">
        <f>IF(A40="","",Inventory!K40)</f>
        <v>250</v>
      </c>
    </row>
    <row r="41" ht="14.25" customHeight="1">
      <c r="A41" s="151" t="str">
        <f>Inventory!A41</f>
        <v>AC-HM-MD-001</v>
      </c>
      <c r="B41" s="153" t="str">
        <f>Inventory!B41</f>
        <v>Helminticide-L Deworming Tablet </v>
      </c>
      <c r="C41" s="153" t="str">
        <f>Inventory!C41</f>
        <v>Cat Accessories</v>
      </c>
      <c r="D41" s="169">
        <f>Inventory!H41</f>
        <v>30</v>
      </c>
      <c r="E41" s="170">
        <f>Inventory!I41</f>
        <v>28.63636364</v>
      </c>
      <c r="F41" s="171">
        <f>IF(A41="","",Inventory!K41)</f>
        <v>50</v>
      </c>
    </row>
    <row r="42" ht="14.25" customHeight="1">
      <c r="A42" s="151" t="str">
        <f>Inventory!A42</f>
        <v>FD-DRY-SMHRT-480G-002</v>
      </c>
      <c r="B42" s="153" t="str">
        <f>Inventory!B42</f>
        <v>Smart Heart Adult Cat Food Chicken &amp; Tuna [480G]</v>
      </c>
      <c r="C42" s="153" t="str">
        <f>Inventory!C42</f>
        <v>Cat Food</v>
      </c>
      <c r="D42" s="169">
        <f>Inventory!H42</f>
        <v>2</v>
      </c>
      <c r="E42" s="170">
        <f>Inventory!I42</f>
        <v>290.2631579</v>
      </c>
      <c r="F42" s="171">
        <f>IF(A42="","",Inventory!K42)</f>
        <v>380</v>
      </c>
    </row>
    <row r="43" ht="14.25" customHeight="1">
      <c r="A43" s="151" t="str">
        <f>Inventory!A43</f>
        <v>PO-WET-WK-80G-001-KT</v>
      </c>
      <c r="B43" s="153" t="str">
        <f>Inventory!B43</f>
        <v>Whiskas Junior Tuna Flavor</v>
      </c>
      <c r="C43" s="153" t="str">
        <f>Inventory!C43</f>
        <v>Cat Pouch</v>
      </c>
      <c r="D43" s="169">
        <f>Inventory!H43</f>
        <v>-2</v>
      </c>
      <c r="E43" s="170">
        <f>Inventory!I43</f>
        <v>74</v>
      </c>
      <c r="F43" s="171">
        <f>IF(A43="","",Inventory!K43)</f>
        <v>95</v>
      </c>
    </row>
    <row r="44" ht="14.25" customHeight="1">
      <c r="A44" s="151" t="str">
        <f>Inventory!A44</f>
        <v>AC-CTOY-002</v>
      </c>
      <c r="B44" s="153" t="str">
        <f>Inventory!B44</f>
        <v>Cat Toy Rainbow Ball Spring</v>
      </c>
      <c r="C44" s="153" t="str">
        <f>Inventory!C44</f>
        <v>Cat Accessories</v>
      </c>
      <c r="D44" s="169">
        <f>Inventory!H44</f>
        <v>2</v>
      </c>
      <c r="E44" s="170">
        <f>Inventory!I44</f>
        <v>80</v>
      </c>
      <c r="F44" s="171">
        <f>IF(A44="","",Inventory!K44)</f>
        <v>130</v>
      </c>
    </row>
    <row r="45" ht="14.25" customHeight="1">
      <c r="A45" s="151" t="str">
        <f>Inventory!A45</f>
        <v>AC-PNC-SM-001</v>
      </c>
      <c r="B45" s="153" t="str">
        <f>Inventory!B45</f>
        <v>Pet Nail Clippers Small</v>
      </c>
      <c r="C45" s="153" t="str">
        <f>Inventory!C45</f>
        <v>Cat Accessories</v>
      </c>
      <c r="D45" s="169">
        <f>Inventory!H45</f>
        <v>0</v>
      </c>
      <c r="E45" s="170">
        <f>Inventory!I45</f>
        <v>120</v>
      </c>
      <c r="F45" s="171">
        <f>IF(A45="","",Inventory!K45)</f>
        <v>180</v>
      </c>
    </row>
    <row r="46" ht="14.25" customHeight="1">
      <c r="A46" s="151" t="str">
        <f>Inventory!A46</f>
        <v>AC-CB-RD-001</v>
      </c>
      <c r="B46" s="153" t="str">
        <f>Inventory!B46</f>
        <v>Cat Belt Radium</v>
      </c>
      <c r="C46" s="153" t="str">
        <f>Inventory!C46</f>
        <v>Cat Accessories</v>
      </c>
      <c r="D46" s="169">
        <f>Inventory!H46</f>
        <v>3</v>
      </c>
      <c r="E46" s="170">
        <f>Inventory!I46</f>
        <v>65</v>
      </c>
      <c r="F46" s="171">
        <f>IF(A46="","",Inventory!K46)</f>
        <v>110</v>
      </c>
    </row>
    <row r="47" ht="14.25" customHeight="1">
      <c r="A47" s="151" t="str">
        <f>Inventory!A47</f>
        <v>AC-CB-BW-001</v>
      </c>
      <c r="B47" s="153" t="str">
        <f>Inventory!B47</f>
        <v>Cat Belt Bow</v>
      </c>
      <c r="C47" s="153" t="str">
        <f>Inventory!C47</f>
        <v>Cat Accessories</v>
      </c>
      <c r="D47" s="169">
        <f>Inventory!H47</f>
        <v>9</v>
      </c>
      <c r="E47" s="170">
        <f>Inventory!I47</f>
        <v>35</v>
      </c>
      <c r="F47" s="171">
        <f>IF(A47="","",Inventory!K47)</f>
        <v>60</v>
      </c>
    </row>
    <row r="48" ht="14.25" customHeight="1">
      <c r="A48" s="151" t="str">
        <f>Inventory!A48</f>
        <v>AC-CB-FC-001</v>
      </c>
      <c r="B48" s="153" t="str">
        <f>Inventory!B48</f>
        <v>Cat Fancy Collar</v>
      </c>
      <c r="C48" s="153" t="str">
        <f>Inventory!C48</f>
        <v>Cat Accessories</v>
      </c>
      <c r="D48" s="169">
        <f>Inventory!H48</f>
        <v>4</v>
      </c>
      <c r="E48" s="170">
        <f>Inventory!I48</f>
        <v>130</v>
      </c>
      <c r="F48" s="171">
        <f>IF(A48="","",Inventory!K48)</f>
        <v>180</v>
      </c>
    </row>
    <row r="49" ht="14.25" customHeight="1">
      <c r="A49" s="151" t="str">
        <f>Inventory!A49</f>
        <v>AC-CTOY-003</v>
      </c>
      <c r="B49" s="153" t="str">
        <f>Inventory!B49</f>
        <v>Cat Toy Long Wire (Fish, Ball )</v>
      </c>
      <c r="C49" s="153" t="str">
        <f>Inventory!C49</f>
        <v>Cat Accessories</v>
      </c>
      <c r="D49" s="169">
        <f>Inventory!H49</f>
        <v>1</v>
      </c>
      <c r="E49" s="170">
        <f>Inventory!I49</f>
        <v>80</v>
      </c>
      <c r="F49" s="171">
        <f>IF(A49="","",Inventory!K49)</f>
        <v>130</v>
      </c>
    </row>
    <row r="50" ht="14.25" customHeight="1">
      <c r="A50" s="151" t="str">
        <f>Inventory!A50</f>
        <v>LT-MX-DCLP-5L-002</v>
      </c>
      <c r="B50" s="153" t="str">
        <f>Inventory!B50</f>
        <v>Cat Litter Mix Flavor 5L DR. Clump</v>
      </c>
      <c r="C50" s="153" t="str">
        <f>Inventory!C50</f>
        <v>Cat Litter</v>
      </c>
      <c r="D50" s="169">
        <f>Inventory!H50</f>
        <v>0</v>
      </c>
      <c r="E50" s="170">
        <f>Inventory!I50</f>
        <v>220</v>
      </c>
      <c r="F50" s="171">
        <f>IF(A50="","",Inventory!K50)</f>
        <v>320</v>
      </c>
    </row>
    <row r="51" ht="14.25" customHeight="1">
      <c r="A51" s="151" t="str">
        <f>Inventory!A51</f>
        <v>LT-MX-DCLP-10L-001</v>
      </c>
      <c r="B51" s="153" t="str">
        <f>Inventory!B51</f>
        <v>Cat Litter Mix Flavor 10L DR. CLump</v>
      </c>
      <c r="C51" s="153" t="str">
        <f>Inventory!C51</f>
        <v>Cat Litter</v>
      </c>
      <c r="D51" s="169">
        <f>Inventory!H51</f>
        <v>1</v>
      </c>
      <c r="E51" s="170">
        <f>Inventory!I51</f>
        <v>430</v>
      </c>
      <c r="F51" s="171">
        <f>IF(A51="","",Inventory!K51)</f>
        <v>600</v>
      </c>
    </row>
    <row r="52" ht="14.25" customHeight="1">
      <c r="A52" s="151" t="str">
        <f>Inventory!A52</f>
        <v>TR-CKN-SMHRT-70G-001</v>
      </c>
      <c r="B52" s="153" t="str">
        <f>Inventory!B52</f>
        <v>Smart Heart Chicken Treat</v>
      </c>
      <c r="C52" s="153" t="str">
        <f>Inventory!C52</f>
        <v>Cat Treat</v>
      </c>
      <c r="D52" s="169">
        <f>Inventory!H52</f>
        <v>1</v>
      </c>
      <c r="E52" s="170">
        <f>Inventory!I52</f>
        <v>47.5</v>
      </c>
      <c r="F52" s="171">
        <f>IF(A52="","",Inventory!K52)</f>
        <v>65</v>
      </c>
    </row>
    <row r="53" ht="14.25" customHeight="1">
      <c r="A53" s="151" t="str">
        <f>Inventory!A53</f>
        <v>FD-DRY-KTCN-400G-001</v>
      </c>
      <c r="B53" s="153" t="str">
        <f>Inventory!B53</f>
        <v>Kitchen Flavor Grain Free Kitten 400G</v>
      </c>
      <c r="C53" s="153" t="str">
        <f>Inventory!C53</f>
        <v>Cat Food</v>
      </c>
      <c r="D53" s="169">
        <f>Inventory!H53</f>
        <v>13</v>
      </c>
      <c r="E53" s="170">
        <f>Inventory!I53</f>
        <v>290</v>
      </c>
      <c r="F53" s="171">
        <f>IF(A53="","",Inventory!K53)</f>
        <v>380</v>
      </c>
    </row>
    <row r="54" ht="14.25" customHeight="1">
      <c r="A54" s="151" t="str">
        <f>Inventory!A54</f>
        <v>FD-DRY-KTCN-400G-002</v>
      </c>
      <c r="B54" s="153" t="str">
        <f>Inventory!B54</f>
        <v>Kitchen Flavor Grain Free Adult 400G</v>
      </c>
      <c r="C54" s="153" t="str">
        <f>Inventory!C54</f>
        <v>Cat Food</v>
      </c>
      <c r="D54" s="169">
        <f>Inventory!H54</f>
        <v>15</v>
      </c>
      <c r="E54" s="170">
        <f>Inventory!I54</f>
        <v>290</v>
      </c>
      <c r="F54" s="171">
        <f>IF(A54="","",Inventory!K54)</f>
        <v>380</v>
      </c>
    </row>
    <row r="55" ht="14.25" customHeight="1">
      <c r="A55" s="151" t="str">
        <f>Inventory!A55</f>
        <v>FD-DRY-KTCN-1.5G-001</v>
      </c>
      <c r="B55" s="153" t="str">
        <f>Inventory!B55</f>
        <v>Kitchen Flavor Grain Free Adult 1.5KG</v>
      </c>
      <c r="C55" s="153" t="str">
        <f>Inventory!C55</f>
        <v>Cat Food</v>
      </c>
      <c r="D55" s="169">
        <f>Inventory!H55</f>
        <v>0</v>
      </c>
      <c r="E55" s="170">
        <f>Inventory!I55</f>
        <v>990</v>
      </c>
      <c r="F55" s="171">
        <f>IF(A55="","",Inventory!K55)</f>
        <v>1260</v>
      </c>
    </row>
    <row r="56" ht="14.25" customHeight="1">
      <c r="A56" s="151" t="str">
        <f>Inventory!A56</f>
        <v>FD-WET-KTCN-001</v>
      </c>
      <c r="B56" s="153" t="str">
        <f>Inventory!B56</f>
        <v>Kitchen Flavor Pate Delight</v>
      </c>
      <c r="C56" s="153" t="str">
        <f>Inventory!C56</f>
        <v>Cat Wet Food</v>
      </c>
      <c r="D56" s="169">
        <f>Inventory!H56</f>
        <v>53</v>
      </c>
      <c r="E56" s="170">
        <f>Inventory!I56</f>
        <v>110</v>
      </c>
      <c r="F56" s="171">
        <f>IF(A56="","",Inventory!K56)</f>
        <v>150</v>
      </c>
    </row>
    <row r="57" ht="14.25" customHeight="1">
      <c r="A57" s="151" t="str">
        <f>Inventory!A57</f>
        <v>FD-DRY-KTCN-1.5G-002</v>
      </c>
      <c r="B57" s="153" t="str">
        <f>Inventory!B57</f>
        <v>Kitchen Flavor Grain Free Kitten 1.5KG</v>
      </c>
      <c r="C57" s="153" t="str">
        <f>Inventory!C57</f>
        <v>Cat Food</v>
      </c>
      <c r="D57" s="169">
        <f>Inventory!H57</f>
        <v>5</v>
      </c>
      <c r="E57" s="170">
        <f>Inventory!I57</f>
        <v>990</v>
      </c>
      <c r="F57" s="171">
        <f>IF(A57="","",Inventory!K57)</f>
        <v>1260</v>
      </c>
    </row>
    <row r="58" ht="14.25" customHeight="1">
      <c r="A58" s="151" t="str">
        <f>Inventory!A58</f>
        <v>FD-DRY-SMHRT-1.2KG-002</v>
      </c>
      <c r="B58" s="153" t="str">
        <f>Inventory!B58</f>
        <v>Smart Heart Adult Cat Food Chicken &amp; Tuna 1.2KG</v>
      </c>
      <c r="C58" s="153" t="str">
        <f>Inventory!C58</f>
        <v>Cat Food</v>
      </c>
      <c r="D58" s="169">
        <f>Inventory!H58</f>
        <v>3</v>
      </c>
      <c r="E58" s="170">
        <f>Inventory!I58</f>
        <v>600</v>
      </c>
      <c r="F58" s="171">
        <f>IF(A58="","",Inventory!K58)</f>
        <v>770</v>
      </c>
    </row>
    <row r="59" ht="14.25" customHeight="1">
      <c r="A59" s="151" t="str">
        <f>Inventory!A59</f>
        <v>AC-CF-001</v>
      </c>
      <c r="B59" s="153" t="str">
        <f>Inventory!B59</f>
        <v>China Flea </v>
      </c>
      <c r="C59" s="153" t="str">
        <f>Inventory!C59</f>
        <v>Cat Accessories</v>
      </c>
      <c r="D59" s="169">
        <f>Inventory!H59</f>
        <v>1</v>
      </c>
      <c r="E59" s="170">
        <f>Inventory!I59</f>
        <v>65</v>
      </c>
      <c r="F59" s="171">
        <f>IF(A59="","",Inventory!K59)</f>
        <v>120</v>
      </c>
    </row>
    <row r="60" ht="14.25" customHeight="1">
      <c r="A60" s="151" t="str">
        <f>Inventory!A60</f>
        <v>AC-CS-002</v>
      </c>
      <c r="B60" s="153" t="str">
        <f>Inventory!B60</f>
        <v>Cat litter scooper</v>
      </c>
      <c r="C60" s="153" t="str">
        <f>Inventory!C60</f>
        <v>Cat Accessories</v>
      </c>
      <c r="D60" s="169">
        <f>Inventory!H60</f>
        <v>1</v>
      </c>
      <c r="E60" s="170">
        <f>Inventory!I60</f>
        <v>35</v>
      </c>
      <c r="F60" s="171">
        <f>IF(A60="","",Inventory!K60)</f>
        <v>80</v>
      </c>
    </row>
    <row r="61" ht="14.25" customHeight="1">
      <c r="A61" s="151" t="str">
        <f>Inventory!A61</f>
        <v>FD-DRY-ZOI-1KG-001</v>
      </c>
      <c r="B61" s="153" t="str">
        <f>Inventory!B61</f>
        <v>Zoi Cat Food 1kg</v>
      </c>
      <c r="C61" s="153" t="str">
        <f>Inventory!C61</f>
        <v>Cat Food</v>
      </c>
      <c r="D61" s="169">
        <f>Inventory!H61</f>
        <v>0</v>
      </c>
      <c r="E61" s="170">
        <f>Inventory!I61</f>
        <v>300</v>
      </c>
      <c r="F61" s="171">
        <f>IF(A61="","",Inventory!K61)</f>
        <v>380</v>
      </c>
    </row>
    <row r="62" ht="14.25" customHeight="1">
      <c r="A62" s="151" t="str">
        <f>Inventory!A62</f>
        <v>PO-WET-NK-70G-004</v>
      </c>
      <c r="B62" s="153" t="str">
        <f>Inventory!B62</f>
        <v>Nekko Tuna Topping Chicken in Gravy 70g</v>
      </c>
      <c r="C62" s="153" t="str">
        <f>Inventory!C62</f>
        <v>Cat Pouch</v>
      </c>
      <c r="D62" s="169">
        <f>Inventory!H62</f>
        <v>2</v>
      </c>
      <c r="E62" s="170">
        <f>Inventory!I62</f>
        <v>65</v>
      </c>
      <c r="F62" s="171">
        <f>IF(A62="","",Inventory!K62)</f>
        <v>90</v>
      </c>
    </row>
    <row r="63" ht="14.25" customHeight="1">
      <c r="A63" s="151" t="str">
        <f>Inventory!A63</f>
        <v>FD-DRY-TRL-1KG-001</v>
      </c>
      <c r="B63" s="153" t="str">
        <f>Inventory!B63</f>
        <v>TRENDLINE Adult Chicken Cat Food 1-Kg</v>
      </c>
      <c r="C63" s="153" t="str">
        <f>Inventory!C63</f>
        <v>Cat Food</v>
      </c>
      <c r="D63" s="169">
        <f>Inventory!H63</f>
        <v>0</v>
      </c>
      <c r="E63" s="170">
        <f>Inventory!I63</f>
        <v>368</v>
      </c>
      <c r="F63" s="171">
        <f>IF(A63="","",Inventory!K63)</f>
        <v>450</v>
      </c>
    </row>
    <row r="64" ht="14.25" customHeight="1">
      <c r="A64" s="151" t="str">
        <f>Inventory!A64</f>
        <v>FD-DRY-SMHRT-10KG-001</v>
      </c>
      <c r="B64" s="153" t="str">
        <f>Inventory!B64</f>
        <v>Smart Heart 10KG Chicken &amp; Tuna</v>
      </c>
      <c r="C64" s="153" t="str">
        <f>Inventory!C64</f>
        <v>Cat Food</v>
      </c>
      <c r="D64" s="169">
        <f>Inventory!H64</f>
        <v>2</v>
      </c>
      <c r="E64" s="170">
        <f>Inventory!I64</f>
        <v>4100</v>
      </c>
      <c r="F64" s="171">
        <f>IF(A64="","",Inventory!K64)</f>
        <v>4700</v>
      </c>
    </row>
    <row r="65" ht="14.25" customHeight="1">
      <c r="A65" s="151" t="str">
        <f>Inventory!A65</f>
        <v>AC-CB-HRNS-001</v>
      </c>
      <c r="B65" s="153" t="str">
        <f>Inventory!B65</f>
        <v>Cat Belt Harness </v>
      </c>
      <c r="C65" s="153" t="str">
        <f>Inventory!C65</f>
        <v>Cat Accessories</v>
      </c>
      <c r="D65" s="169">
        <f>Inventory!H65</f>
        <v>1</v>
      </c>
      <c r="E65" s="170">
        <f>Inventory!I65</f>
        <v>90</v>
      </c>
      <c r="F65" s="171">
        <f>IF(A65="","",Inventory!K65)</f>
        <v>180</v>
      </c>
    </row>
    <row r="66" ht="14.25" customHeight="1">
      <c r="A66" s="151" t="str">
        <f>Inventory!A66</f>
        <v>AC-CB-HRNS-002</v>
      </c>
      <c r="B66" s="153" t="str">
        <f>Inventory!B66</f>
        <v>Cat Belt Harness  Zinch</v>
      </c>
      <c r="C66" s="153" t="str">
        <f>Inventory!C66</f>
        <v>Cat Accessories</v>
      </c>
      <c r="D66" s="169">
        <f>Inventory!H66</f>
        <v>6</v>
      </c>
      <c r="E66" s="170">
        <f>Inventory!I66</f>
        <v>230</v>
      </c>
      <c r="F66" s="171">
        <f>IF(A66="","",Inventory!K66)</f>
        <v>360</v>
      </c>
    </row>
    <row r="67" ht="14.25" customHeight="1">
      <c r="A67" s="151" t="str">
        <f>Inventory!A67</f>
        <v>AC-CMB-001</v>
      </c>
      <c r="B67" s="153" t="str">
        <f>Inventory!B67</f>
        <v>Pet Comb One Side</v>
      </c>
      <c r="C67" s="153" t="str">
        <f>Inventory!C67</f>
        <v>Cat Accessories</v>
      </c>
      <c r="D67" s="169">
        <f>Inventory!H67</f>
        <v>2</v>
      </c>
      <c r="E67" s="170">
        <f>Inventory!I67</f>
        <v>130</v>
      </c>
      <c r="F67" s="171">
        <f>IF(A67="","",Inventory!K67)</f>
        <v>200</v>
      </c>
    </row>
    <row r="68" ht="14.25" customHeight="1">
      <c r="A68" s="151" t="str">
        <f>Inventory!A68</f>
        <v>FD-DRY-SMHRT-1.2KG-003</v>
      </c>
      <c r="B68" s="153" t="str">
        <f>Inventory!B68</f>
        <v>Smart Heart Kitten Cat Food Chicken &amp; Tuna 1.2KG</v>
      </c>
      <c r="C68" s="153" t="str">
        <f>Inventory!C68</f>
        <v>Cat Food</v>
      </c>
      <c r="D68" s="169">
        <f>Inventory!H68</f>
        <v>0</v>
      </c>
      <c r="E68" s="170">
        <f>Inventory!I68</f>
        <v>635</v>
      </c>
      <c r="F68" s="171">
        <f>IF(A68="","",Inventory!K68)</f>
        <v>820</v>
      </c>
    </row>
    <row r="69" ht="14.25" customHeight="1">
      <c r="A69" s="151" t="str">
        <f>Inventory!A69</f>
        <v>FD-DRY-DR-DOG-3-0001</v>
      </c>
      <c r="B69" s="153" t="str">
        <f>Inventory!B69</f>
        <v>Drools Puppy Dog Food Chicken &amp; Egg 3kg</v>
      </c>
      <c r="C69" s="153" t="str">
        <f>Inventory!C69</f>
        <v>Dog Food</v>
      </c>
      <c r="D69" s="169">
        <f>Inventory!H69</f>
        <v>0</v>
      </c>
      <c r="E69" s="170">
        <f>Inventory!I69</f>
        <v>1050</v>
      </c>
      <c r="F69" s="171">
        <f>IF(A69="","",Inventory!K69)</f>
        <v>1450</v>
      </c>
    </row>
    <row r="70" ht="14.25" customHeight="1">
      <c r="A70" s="151" t="str">
        <f>Inventory!A70</f>
        <v>AC-CS-BAG-001</v>
      </c>
      <c r="B70" s="153" t="str">
        <f>Inventory!B70</f>
        <v>Cat Carried Bag</v>
      </c>
      <c r="C70" s="153" t="str">
        <f>Inventory!C70</f>
        <v>Cat Accessories</v>
      </c>
      <c r="D70" s="169">
        <f>Inventory!H70</f>
        <v>1</v>
      </c>
      <c r="E70" s="170">
        <f>Inventory!I70</f>
        <v>980</v>
      </c>
      <c r="F70" s="171">
        <f>IF(A70="","",Inventory!K70)</f>
        <v>1400</v>
      </c>
    </row>
    <row r="71" ht="14.25" customHeight="1">
      <c r="A71" s="151" t="str">
        <f>Inventory!A71</f>
        <v>PO-TP-70G-001</v>
      </c>
      <c r="B71" s="153" t="str">
        <f>Inventory!B71</f>
        <v>Taipet Chicken Tuna in Jelly</v>
      </c>
      <c r="C71" s="153" t="str">
        <f>Inventory!C71</f>
        <v>Cat Pouch</v>
      </c>
      <c r="D71" s="169">
        <f>Inventory!H71</f>
        <v>6</v>
      </c>
      <c r="E71" s="170">
        <f>Inventory!I71</f>
        <v>52</v>
      </c>
      <c r="F71" s="171">
        <f>IF(A71="","",Inventory!K71)</f>
        <v>75</v>
      </c>
    </row>
    <row r="72" ht="14.25" customHeight="1">
      <c r="A72" s="151" t="str">
        <f>Inventory!A72</f>
        <v>PO-TP-70G-002</v>
      </c>
      <c r="B72" s="153" t="str">
        <f>Inventory!B72</f>
        <v>Taipet Chicken Pouch</v>
      </c>
      <c r="C72" s="153" t="str">
        <f>Inventory!C72</f>
        <v>Cat Pouch</v>
      </c>
      <c r="D72" s="169">
        <f>Inventory!H72</f>
        <v>0</v>
      </c>
      <c r="E72" s="170">
        <f>Inventory!I72</f>
        <v>50</v>
      </c>
      <c r="F72" s="171">
        <f>IF(A72="","",Inventory!K72)</f>
        <v>75</v>
      </c>
    </row>
    <row r="73" ht="14.25" customHeight="1">
      <c r="A73" s="151" t="str">
        <f>Inventory!A73</f>
        <v>AC-BCR-001</v>
      </c>
      <c r="B73" s="153" t="str">
        <f>Inventory!B73</f>
        <v>Body Carrier</v>
      </c>
      <c r="C73" s="153" t="str">
        <f>Inventory!C73</f>
        <v>Cat Accessories</v>
      </c>
      <c r="D73" s="169">
        <f>Inventory!H73</f>
        <v>2</v>
      </c>
      <c r="E73" s="170">
        <f>Inventory!I73</f>
        <v>450</v>
      </c>
      <c r="F73" s="171">
        <f>IF(A73="","",Inventory!K73)</f>
        <v>750</v>
      </c>
    </row>
    <row r="74" ht="14.25" customHeight="1">
      <c r="A74" s="151" t="str">
        <f>Inventory!A74</f>
        <v>CN-WAN-375G-001</v>
      </c>
      <c r="B74" s="153" t="str">
        <f>Inventory!B74</f>
        <v>Wanpy Cat Food Can Chicken</v>
      </c>
      <c r="C74" s="153" t="str">
        <f>Inventory!C74</f>
        <v>Can Food</v>
      </c>
      <c r="D74" s="169">
        <f>Inventory!H74</f>
        <v>6</v>
      </c>
      <c r="E74" s="170">
        <f>Inventory!I74</f>
        <v>160</v>
      </c>
      <c r="F74" s="171">
        <f>IF(A74="","",Inventory!K74)</f>
        <v>210</v>
      </c>
    </row>
    <row r="75" ht="14.25" customHeight="1">
      <c r="A75" s="151" t="str">
        <f>Inventory!A75</f>
        <v>CN-WAN-375G-002</v>
      </c>
      <c r="B75" s="153" t="str">
        <f>Inventory!B75</f>
        <v>Wanpy Cat Food Can Tuna</v>
      </c>
      <c r="C75" s="153" t="str">
        <f>Inventory!C75</f>
        <v>Can Food</v>
      </c>
      <c r="D75" s="169">
        <f>Inventory!H75</f>
        <v>4</v>
      </c>
      <c r="E75" s="170">
        <f>Inventory!I75</f>
        <v>160</v>
      </c>
      <c r="F75" s="171">
        <f>IF(A75="","",Inventory!K75)</f>
        <v>210</v>
      </c>
    </row>
    <row r="76" ht="14.25" customHeight="1">
      <c r="A76" s="151" t="str">
        <f>Inventory!A76</f>
        <v>CN-PAW-400G-001</v>
      </c>
      <c r="B76" s="153" t="str">
        <f>Inventory!B76</f>
        <v>PAW Cat Food Kitten Can Fish</v>
      </c>
      <c r="C76" s="153" t="str">
        <f>Inventory!C76</f>
        <v>Can Food</v>
      </c>
      <c r="D76" s="169">
        <f>Inventory!H76</f>
        <v>0</v>
      </c>
      <c r="E76" s="170">
        <f>Inventory!I76</f>
        <v>130</v>
      </c>
      <c r="F76" s="171">
        <f>IF(A76="","",Inventory!K76)</f>
        <v>190</v>
      </c>
    </row>
    <row r="77" ht="14.25" customHeight="1">
      <c r="A77" s="151" t="str">
        <f>Inventory!A77</f>
        <v>CN-PAW-400G-002</v>
      </c>
      <c r="B77" s="153" t="str">
        <f>Inventory!B77</f>
        <v>PAW Cat Food Adult Can Chicken</v>
      </c>
      <c r="C77" s="153" t="str">
        <f>Inventory!C77</f>
        <v>Can Food</v>
      </c>
      <c r="D77" s="169">
        <f>Inventory!H77</f>
        <v>11</v>
      </c>
      <c r="E77" s="170">
        <f>Inventory!I77</f>
        <v>130</v>
      </c>
      <c r="F77" s="171">
        <f>IF(A77="","",Inventory!K77)</f>
        <v>190</v>
      </c>
    </row>
    <row r="78" ht="14.25" customHeight="1">
      <c r="A78" s="151" t="str">
        <f>Inventory!A78</f>
        <v>AC-BOWL-002</v>
      </c>
      <c r="B78" s="153" t="str">
        <f>Inventory!B78</f>
        <v>Cat Food Single Bowl Steel Small</v>
      </c>
      <c r="C78" s="153" t="str">
        <f>Inventory!C78</f>
        <v>Cat Accessories</v>
      </c>
      <c r="D78" s="169">
        <f>Inventory!H78</f>
        <v>4</v>
      </c>
      <c r="E78" s="170">
        <f>Inventory!I78</f>
        <v>175</v>
      </c>
      <c r="F78" s="171">
        <f>IF(A78="","",Inventory!K78)</f>
        <v>250</v>
      </c>
    </row>
    <row r="79" ht="14.25" customHeight="1">
      <c r="A79" s="151" t="str">
        <f>Inventory!A79</f>
        <v>PO-PP-85G-001</v>
      </c>
      <c r="B79" s="153" t="str">
        <f>Inventory!B79</f>
        <v>Petmetro Premium Pouch Chicken &amp; Tuna 85gm</v>
      </c>
      <c r="C79" s="153" t="str">
        <f>Inventory!C79</f>
        <v>Cat Pouch</v>
      </c>
      <c r="D79" s="169">
        <f>Inventory!H79</f>
        <v>9</v>
      </c>
      <c r="E79" s="170">
        <f>Inventory!I79</f>
        <v>60</v>
      </c>
      <c r="F79" s="171">
        <f>IF(A79="","",Inventory!K79)</f>
        <v>80</v>
      </c>
    </row>
    <row r="80" ht="14.25" customHeight="1">
      <c r="A80" s="151" t="str">
        <f>Inventory!A80</f>
        <v>PO-PP-85G-002</v>
      </c>
      <c r="B80" s="153" t="str">
        <f>Inventory!B80</f>
        <v>Petmetro Premium Pouch Chicken 85gm</v>
      </c>
      <c r="C80" s="153" t="str">
        <f>Inventory!C80</f>
        <v>Cat Pouch</v>
      </c>
      <c r="D80" s="169">
        <f>Inventory!H80</f>
        <v>10</v>
      </c>
      <c r="E80" s="170">
        <f>Inventory!I80</f>
        <v>60</v>
      </c>
      <c r="F80" s="171">
        <f>IF(A80="","",Inventory!K80)</f>
        <v>80</v>
      </c>
    </row>
    <row r="81" ht="14.25" customHeight="1">
      <c r="A81" s="151" t="str">
        <f>Inventory!A81</f>
        <v>PO-PP-100G-001</v>
      </c>
      <c r="B81" s="153" t="str">
        <f>Inventory!B81</f>
        <v>Petmetro Pouch Complite Balance - Chicken Receipe - 100g</v>
      </c>
      <c r="C81" s="153" t="str">
        <f>Inventory!C81</f>
        <v>Cat Pouch</v>
      </c>
      <c r="D81" s="169">
        <f>Inventory!H81</f>
        <v>2</v>
      </c>
      <c r="E81" s="170">
        <f>Inventory!I81</f>
        <v>70</v>
      </c>
      <c r="F81" s="171">
        <f>IF(A81="","",Inventory!K81)</f>
        <v>100</v>
      </c>
    </row>
    <row r="82" ht="14.25" customHeight="1">
      <c r="A82" s="151" t="str">
        <f>Inventory!A82</f>
        <v>PO-PP-100G-002</v>
      </c>
      <c r="B82" s="153" t="str">
        <f>Inventory!B82</f>
        <v>Petmetro Gino Pouch - Chicken &amp; Cat Grass - 100g</v>
      </c>
      <c r="C82" s="153" t="str">
        <f>Inventory!C82</f>
        <v>Cat Pouch</v>
      </c>
      <c r="D82" s="169">
        <f>Inventory!H82</f>
        <v>4</v>
      </c>
      <c r="E82" s="170">
        <f>Inventory!I82</f>
        <v>85</v>
      </c>
      <c r="F82" s="171">
        <f>IF(A82="","",Inventory!K82)</f>
        <v>110</v>
      </c>
    </row>
    <row r="83" ht="14.25" customHeight="1">
      <c r="A83" s="151" t="str">
        <f>Inventory!A83</f>
        <v>LT-AP-PM-5L-001</v>
      </c>
      <c r="B83" s="153" t="str">
        <f>Inventory!B83</f>
        <v>PetMetro Cat Litter Apple 5L</v>
      </c>
      <c r="C83" s="153" t="str">
        <f>Inventory!C83</f>
        <v>Cat Litter</v>
      </c>
      <c r="D83" s="169">
        <f>Inventory!H83</f>
        <v>0</v>
      </c>
      <c r="E83" s="170">
        <f>Inventory!I83</f>
        <v>200</v>
      </c>
      <c r="F83" s="171">
        <f>IF(A83="","",Inventory!K83)</f>
        <v>280</v>
      </c>
    </row>
    <row r="84" ht="14.25" customHeight="1">
      <c r="A84" s="151" t="str">
        <f>Inventory!A84</f>
        <v>AC-CB-002</v>
      </c>
      <c r="B84" s="153" t="str">
        <f>Inventory!B84</f>
        <v>Premium Pet Collar Multicolor</v>
      </c>
      <c r="C84" s="153" t="str">
        <f>Inventory!C84</f>
        <v>Cat Accessories</v>
      </c>
      <c r="D84" s="169">
        <f>Inventory!H84</f>
        <v>2</v>
      </c>
      <c r="E84" s="170">
        <f>Inventory!I84</f>
        <v>37</v>
      </c>
      <c r="F84" s="171">
        <f>IF(A84="","",Inventory!K84)</f>
        <v>75</v>
      </c>
    </row>
    <row r="85" ht="14.25" customHeight="1">
      <c r="A85" s="151" t="str">
        <f>Inventory!A85</f>
        <v>AC-CN-001</v>
      </c>
      <c r="B85" s="153" t="str">
        <f>Inventory!B85</f>
        <v>Cat Nip</v>
      </c>
      <c r="C85" s="153" t="str">
        <f>Inventory!C85</f>
        <v>Cat Accessories</v>
      </c>
      <c r="D85" s="169">
        <f>Inventory!H85</f>
        <v>1</v>
      </c>
      <c r="E85" s="170">
        <f>Inventory!I85</f>
        <v>120</v>
      </c>
      <c r="F85" s="171">
        <f>IF(A85="","",Inventory!K85)</f>
        <v>180</v>
      </c>
    </row>
    <row r="86" ht="14.25" customHeight="1">
      <c r="A86" s="151" t="str">
        <f>Inventory!A86</f>
        <v>LT-AP-PM-5L-002</v>
      </c>
      <c r="B86" s="153" t="str">
        <f>Inventory!B86</f>
        <v>PetMetro Cat Litter Coffee 5L</v>
      </c>
      <c r="C86" s="153" t="str">
        <f>Inventory!C86</f>
        <v>Cat Litter</v>
      </c>
      <c r="D86" s="169">
        <f>Inventory!H86</f>
        <v>0</v>
      </c>
      <c r="E86" s="170">
        <f>Inventory!I86</f>
        <v>200</v>
      </c>
      <c r="F86" s="171">
        <f>IF(A86="","",Inventory!K86)</f>
        <v>280</v>
      </c>
    </row>
    <row r="87" ht="14.25" customHeight="1">
      <c r="A87" s="151" t="str">
        <f>Inventory!A87</f>
        <v>FD-MX-0001</v>
      </c>
      <c r="B87" s="153" t="str">
        <f>Inventory!B87</f>
        <v>Drools &amp; Purepet Mixe Cat Food 500gm</v>
      </c>
      <c r="C87" s="153" t="str">
        <f>Inventory!C87</f>
        <v>Cat Food</v>
      </c>
      <c r="D87" s="169">
        <f>Inventory!H87</f>
        <v>15</v>
      </c>
      <c r="E87" s="170">
        <f>Inventory!I87</f>
        <v>152.9310345</v>
      </c>
      <c r="F87" s="171">
        <f>IF(A87="","",Inventory!K87)</f>
        <v>225</v>
      </c>
    </row>
    <row r="88" ht="14.25" customHeight="1">
      <c r="A88" s="151" t="str">
        <f>Inventory!A88</f>
        <v>FD-DRY-JUN-KT-1.5KG-001</v>
      </c>
      <c r="B88" s="153" t="str">
        <f>Inventory!B88</f>
        <v>Jungle Kitten Dry Food Chicken</v>
      </c>
      <c r="C88" s="153" t="str">
        <f>Inventory!C88</f>
        <v>Cat Food</v>
      </c>
      <c r="D88" s="169">
        <f>Inventory!H88</f>
        <v>2</v>
      </c>
      <c r="E88" s="170">
        <f>Inventory!I88</f>
        <v>715</v>
      </c>
      <c r="F88" s="171">
        <f>IF(A88="","",Inventory!K88)</f>
        <v>900</v>
      </c>
    </row>
    <row r="89" ht="14.25" customHeight="1">
      <c r="A89" s="151" t="str">
        <f>Inventory!A89</f>
        <v>FD-DRY-KVF-1.5KG-001</v>
      </c>
      <c r="B89" s="153" t="str">
        <f>Inventory!B89</f>
        <v>Kaniva Chicken, Tuna &amp; Rice Cat Food 1.5kg</v>
      </c>
      <c r="C89" s="153" t="str">
        <f>Inventory!C89</f>
        <v>Cat Food</v>
      </c>
      <c r="D89" s="169">
        <f>Inventory!H89</f>
        <v>5</v>
      </c>
      <c r="E89" s="170">
        <f>Inventory!I89</f>
        <v>780</v>
      </c>
      <c r="F89" s="171">
        <f>IF(A89="","",Inventory!K89)</f>
        <v>1050</v>
      </c>
    </row>
    <row r="90" ht="14.25" customHeight="1">
      <c r="A90" s="151" t="str">
        <f>Inventory!A90</f>
        <v>LT-LM-LUM-5L-001</v>
      </c>
      <c r="B90" s="153" t="str">
        <f>Inventory!B90</f>
        <v>LuminaCat Litter Lemon 5L</v>
      </c>
      <c r="C90" s="153" t="str">
        <f>Inventory!C90</f>
        <v>Cat Litter</v>
      </c>
      <c r="D90" s="169">
        <f>Inventory!H90</f>
        <v>5</v>
      </c>
      <c r="E90" s="170">
        <f>Inventory!I90</f>
        <v>190</v>
      </c>
      <c r="F90" s="171">
        <f>IF(A90="","",Inventory!K90)</f>
        <v>280</v>
      </c>
    </row>
    <row r="91" ht="14.25" customHeight="1">
      <c r="A91" s="151" t="str">
        <f>Inventory!A91</f>
        <v>LT-AP-LUM-5L-002</v>
      </c>
      <c r="B91" s="153" t="str">
        <f>Inventory!B91</f>
        <v>LuminaCat Litter Apple 5L</v>
      </c>
      <c r="C91" s="153" t="str">
        <f>Inventory!C91</f>
        <v>Cat Litter</v>
      </c>
      <c r="D91" s="169">
        <f>Inventory!H91</f>
        <v>2</v>
      </c>
      <c r="E91" s="170">
        <f>Inventory!I91</f>
        <v>190</v>
      </c>
      <c r="F91" s="171">
        <f>IF(A91="","",Inventory!K91)</f>
        <v>280</v>
      </c>
    </row>
    <row r="92" ht="14.25" customHeight="1">
      <c r="A92" s="151" t="str">
        <f>Inventory!A92</f>
        <v>LT-CF-LUM-5L-003</v>
      </c>
      <c r="B92" s="153" t="str">
        <f>Inventory!B92</f>
        <v>LuminaCat Litter Coffee 5L</v>
      </c>
      <c r="C92" s="153" t="str">
        <f>Inventory!C92</f>
        <v>Cat Litter</v>
      </c>
      <c r="D92" s="169">
        <f>Inventory!H92</f>
        <v>4</v>
      </c>
      <c r="E92" s="170">
        <f>Inventory!I92</f>
        <v>190</v>
      </c>
      <c r="F92" s="171">
        <f>IF(A92="","",Inventory!K92)</f>
        <v>280</v>
      </c>
    </row>
    <row r="93" ht="14.25" customHeight="1">
      <c r="A93" s="151" t="str">
        <f>Inventory!A93</f>
        <v>LT-LV-LUM-5L-004</v>
      </c>
      <c r="B93" s="153" t="str">
        <f>Inventory!B93</f>
        <v>Lumina Cat Litter Lavender 5L</v>
      </c>
      <c r="C93" s="153" t="str">
        <f>Inventory!C93</f>
        <v>Cat Litter</v>
      </c>
      <c r="D93" s="169">
        <f>Inventory!H93</f>
        <v>2</v>
      </c>
      <c r="E93" s="170">
        <f>Inventory!I93</f>
        <v>190</v>
      </c>
      <c r="F93" s="171">
        <f>IF(A93="","",Inventory!K93)</f>
        <v>280</v>
      </c>
    </row>
    <row r="94" ht="14.25" customHeight="1">
      <c r="A94" s="151" t="str">
        <f>Inventory!A94</f>
        <v>LT-LM-NT-10L-001</v>
      </c>
      <c r="B94" s="153" t="str">
        <f>Inventory!B94</f>
        <v>Naughty Tail Cat Litter Lemon 10L</v>
      </c>
      <c r="C94" s="153" t="str">
        <f>Inventory!C94</f>
        <v>Cat Litter</v>
      </c>
      <c r="D94" s="169">
        <f>Inventory!H94</f>
        <v>3</v>
      </c>
      <c r="E94" s="170">
        <f>Inventory!I94</f>
        <v>385</v>
      </c>
      <c r="F94" s="171">
        <f>IF(A94="","",Inventory!K94)</f>
        <v>550</v>
      </c>
    </row>
    <row r="95" ht="14.25" customHeight="1">
      <c r="A95" s="151" t="str">
        <f>Inventory!A95</f>
        <v>LT-AP-LUM-10L-002</v>
      </c>
      <c r="B95" s="153" t="str">
        <f>Inventory!B95</f>
        <v>Lumina Cat Litter Apple 10L</v>
      </c>
      <c r="C95" s="153" t="str">
        <f>Inventory!C95</f>
        <v>Cat Litter</v>
      </c>
      <c r="D95" s="169">
        <f>Inventory!H95</f>
        <v>2</v>
      </c>
      <c r="E95" s="170">
        <f>Inventory!I95</f>
        <v>385</v>
      </c>
      <c r="F95" s="171">
        <f>IF(A95="","",Inventory!K95)</f>
        <v>550</v>
      </c>
    </row>
    <row r="96" ht="14.25" customHeight="1">
      <c r="A96" s="151" t="str">
        <f>Inventory!A96</f>
        <v>LT-CF-FT-10L-003</v>
      </c>
      <c r="B96" s="153" t="str">
        <f>Inventory!B96</f>
        <v>FrontTera Cat Litter Coffee 10L</v>
      </c>
      <c r="C96" s="153" t="str">
        <f>Inventory!C96</f>
        <v>Cat Litter</v>
      </c>
      <c r="D96" s="169">
        <f>Inventory!H96</f>
        <v>3</v>
      </c>
      <c r="E96" s="170">
        <f>Inventory!I96</f>
        <v>385</v>
      </c>
      <c r="F96" s="171">
        <f>IF(A96="","",Inventory!K96)</f>
        <v>550</v>
      </c>
    </row>
    <row r="97" ht="14.25" customHeight="1">
      <c r="A97" s="151" t="str">
        <f>Inventory!A97</f>
        <v>LT-LV-LUM-10L-004</v>
      </c>
      <c r="B97" s="153" t="str">
        <f>Inventory!B97</f>
        <v>Lumina Cat Litter Lavender 10L</v>
      </c>
      <c r="C97" s="153" t="str">
        <f>Inventory!C97</f>
        <v>Cat Litter</v>
      </c>
      <c r="D97" s="169">
        <f>Inventory!H97</f>
        <v>6</v>
      </c>
      <c r="E97" s="170">
        <f>Inventory!I97</f>
        <v>385</v>
      </c>
      <c r="F97" s="171">
        <f>IF(A97="","",Inventory!K97)</f>
        <v>550</v>
      </c>
    </row>
    <row r="98" ht="14.25" customHeight="1">
      <c r="A98" s="151" t="str">
        <f>Inventory!A98</f>
        <v>LT-LM-LUM-25L-001</v>
      </c>
      <c r="B98" s="153" t="str">
        <f>Inventory!B98</f>
        <v>LuminaCat Litter Lemon 25L</v>
      </c>
      <c r="C98" s="153" t="str">
        <f>Inventory!C98</f>
        <v>Cat Litter</v>
      </c>
      <c r="D98" s="169">
        <f>Inventory!H98</f>
        <v>1</v>
      </c>
      <c r="E98" s="170">
        <f>Inventory!I98</f>
        <v>950</v>
      </c>
      <c r="F98" s="171">
        <f>IF(A98="","",Inventory!K98)</f>
        <v>1350</v>
      </c>
    </row>
    <row r="99" ht="14.25" customHeight="1">
      <c r="A99" s="151" t="str">
        <f>Inventory!A99</f>
        <v>LT-LV-LUM-25L-002</v>
      </c>
      <c r="B99" s="153" t="str">
        <f>Inventory!B99</f>
        <v>LuminaCat Litter Lavender 25L</v>
      </c>
      <c r="C99" s="153" t="str">
        <f>Inventory!C99</f>
        <v>Cat Litter</v>
      </c>
      <c r="D99" s="169">
        <f>Inventory!H99</f>
        <v>0</v>
      </c>
      <c r="E99" s="170">
        <f>Inventory!I99</f>
        <v>950</v>
      </c>
      <c r="F99" s="171">
        <f>IF(A99="","",Inventory!K99)</f>
        <v>1350</v>
      </c>
    </row>
    <row r="100" ht="14.25" customHeight="1">
      <c r="A100" s="151" t="str">
        <f>Inventory!A100</f>
        <v>LT-LV-FT-25L-002</v>
      </c>
      <c r="B100" s="153" t="str">
        <f>Inventory!B100</f>
        <v>FrontTera Cat Litter Apple 25L</v>
      </c>
      <c r="C100" s="153" t="str">
        <f>Inventory!C100</f>
        <v>Cat Litter</v>
      </c>
      <c r="D100" s="169">
        <f>Inventory!H100</f>
        <v>1</v>
      </c>
      <c r="E100" s="170">
        <f>Inventory!I100</f>
        <v>950</v>
      </c>
      <c r="F100" s="171">
        <f>IF(A100="","",Inventory!K100)</f>
        <v>1350</v>
      </c>
    </row>
    <row r="101" ht="14.25" customHeight="1">
      <c r="A101" s="151" t="str">
        <f>Inventory!A101</f>
        <v>LT-CF-NT-25L-001</v>
      </c>
      <c r="B101" s="153" t="str">
        <f>Inventory!B101</f>
        <v>Naughty Tail Cat Litter Coffee 25L</v>
      </c>
      <c r="C101" s="153" t="str">
        <f>Inventory!C101</f>
        <v>Cat Litter</v>
      </c>
      <c r="D101" s="169">
        <f>Inventory!H101</f>
        <v>0</v>
      </c>
      <c r="E101" s="170">
        <f>Inventory!I101</f>
        <v>950</v>
      </c>
      <c r="F101" s="171">
        <f>IF(A101="","",Inventory!K101)</f>
        <v>1350</v>
      </c>
    </row>
    <row r="102" ht="14.25" customHeight="1">
      <c r="A102" s="151" t="str">
        <f>Inventory!A102</f>
        <v>PO-KYF-100G-001</v>
      </c>
      <c r="B102" s="153" t="str">
        <f>Inventory!B102</f>
        <v>Keyf Treat Pouch </v>
      </c>
      <c r="C102" s="153" t="str">
        <f>Inventory!C102</f>
        <v>Cat Pouch</v>
      </c>
      <c r="D102" s="169">
        <f>Inventory!H102</f>
        <v>24</v>
      </c>
      <c r="E102" s="170">
        <f>Inventory!I102</f>
        <v>85</v>
      </c>
      <c r="F102" s="171">
        <f>IF(A102="","",Inventory!K102)</f>
        <v>110</v>
      </c>
    </row>
    <row r="103" ht="14.25" customHeight="1">
      <c r="A103" s="151" t="str">
        <f>Inventory!A103</f>
        <v>PO-Fuya-100G-001</v>
      </c>
      <c r="B103" s="153" t="str">
        <f>Inventory!B103</f>
        <v>Fuya Pouch</v>
      </c>
      <c r="C103" s="153" t="str">
        <f>Inventory!C103</f>
        <v>Cat Pouch</v>
      </c>
      <c r="D103" s="169">
        <f>Inventory!H103</f>
        <v>12</v>
      </c>
      <c r="E103" s="170">
        <f>Inventory!I103</f>
        <v>85</v>
      </c>
      <c r="F103" s="171">
        <f>IF(A103="","",Inventory!K103)</f>
        <v>110</v>
      </c>
    </row>
    <row r="104" ht="14.25" customHeight="1">
      <c r="A104" s="151" t="str">
        <f>Inventory!A104</f>
        <v>FD-MX-0002</v>
      </c>
      <c r="B104" s="153" t="str">
        <f>Inventory!B104</f>
        <v>Drools &amp; Purepet Mixe Cat Food 250gm</v>
      </c>
      <c r="C104" s="153" t="str">
        <f>Inventory!C104</f>
        <v>Cat Food</v>
      </c>
      <c r="D104" s="169">
        <f>Inventory!H104</f>
        <v>0</v>
      </c>
      <c r="E104" s="170">
        <f>Inventory!I104</f>
        <v>75.28333333</v>
      </c>
      <c r="F104" s="171">
        <f>IF(A104="","",Inventory!K104)</f>
        <v>120</v>
      </c>
    </row>
    <row r="105" ht="14.25" customHeight="1">
      <c r="A105" s="151" t="str">
        <f>Inventory!A105</f>
        <v>FD-DRY-DR-CAT-0001</v>
      </c>
      <c r="B105" s="153" t="str">
        <f>Inventory!B105</f>
        <v>Drools Adult Cat Food Ocean Fish 7kg</v>
      </c>
      <c r="C105" s="153" t="str">
        <f>Inventory!C105</f>
        <v>Cat Food</v>
      </c>
      <c r="D105" s="169">
        <f>Inventory!H105</f>
        <v>1</v>
      </c>
      <c r="E105" s="170">
        <f>Inventory!I105</f>
        <v>2200</v>
      </c>
      <c r="F105" s="171">
        <f>IF(A105="","",Inventory!K105)</f>
        <v>2700</v>
      </c>
    </row>
    <row r="106" ht="14.25" customHeight="1">
      <c r="A106" s="151" t="str">
        <f>Inventory!A106</f>
        <v>TR-DR-BIS-110G-001</v>
      </c>
      <c r="B106" s="153" t="str">
        <f>Inventory!B106</f>
        <v>Drools Cat Biscuit 110gm</v>
      </c>
      <c r="C106" s="153" t="str">
        <f>Inventory!C106</f>
        <v>Cat Treat</v>
      </c>
      <c r="D106" s="169">
        <f>Inventory!H106</f>
        <v>2</v>
      </c>
      <c r="E106" s="170">
        <f>Inventory!I106</f>
        <v>150</v>
      </c>
      <c r="F106" s="171">
        <f>IF(A106="","",Inventory!K106)</f>
        <v>200</v>
      </c>
    </row>
    <row r="107" ht="14.25" customHeight="1">
      <c r="A107" s="151" t="str">
        <f>Inventory!A107</f>
        <v>AC-PETME-001</v>
      </c>
      <c r="B107" s="153" t="str">
        <f>Inventory!B107</f>
        <v>PetMe Jel 30gm</v>
      </c>
      <c r="C107" s="153" t="str">
        <f>Inventory!C107</f>
        <v>Cat Accessories</v>
      </c>
      <c r="D107" s="169">
        <f>Inventory!H107</f>
        <v>0</v>
      </c>
      <c r="E107" s="170">
        <f>Inventory!I107</f>
        <v>370</v>
      </c>
      <c r="F107" s="171">
        <f>IF(A107="","",Inventory!K107)</f>
        <v>430</v>
      </c>
    </row>
    <row r="108" ht="14.25" customHeight="1">
      <c r="A108" s="151" t="str">
        <f>Inventory!A108</f>
        <v>FD-DRY-Taipet-400G-001</v>
      </c>
      <c r="B108" s="153" t="str">
        <f>Inventory!B108</f>
        <v>Taipet Adult Dry Cat Food Chicken &amp; Tuna 400gm</v>
      </c>
      <c r="C108" s="153" t="str">
        <f>Inventory!C108</f>
        <v>Cat Food</v>
      </c>
      <c r="D108" s="169">
        <f>Inventory!H108</f>
        <v>2</v>
      </c>
      <c r="E108" s="170">
        <f>Inventory!I108</f>
        <v>135</v>
      </c>
      <c r="F108" s="171">
        <f>IF(A108="","",Inventory!K108)</f>
        <v>175</v>
      </c>
    </row>
    <row r="109" ht="14.25" customHeight="1">
      <c r="A109" s="151" t="str">
        <f>Inventory!A109</f>
        <v>FD-DRY-Taipet-KT-400G-002</v>
      </c>
      <c r="B109" s="153" t="str">
        <f>Inventory!B109</f>
        <v>Taipet Kitten Dry Cat Food Chicken Milk &amp; Fish 400gm</v>
      </c>
      <c r="C109" s="153" t="str">
        <f>Inventory!C109</f>
        <v>Cat Food</v>
      </c>
      <c r="D109" s="169">
        <f>Inventory!H109</f>
        <v>1</v>
      </c>
      <c r="E109" s="170">
        <f>Inventory!I109</f>
        <v>135</v>
      </c>
      <c r="F109" s="171">
        <f>IF(A109="","",Inventory!K109)</f>
        <v>175</v>
      </c>
    </row>
    <row r="110" ht="14.25" customHeight="1">
      <c r="A110" s="151" t="str">
        <f>Inventory!A110</f>
        <v>FD-DRY-Taipet-1KG-001</v>
      </c>
      <c r="B110" s="153" t="str">
        <f>Inventory!B110</f>
        <v>Taipet Adult Dry Cat Food Chicken &amp; Tuna 1KG</v>
      </c>
      <c r="C110" s="153" t="str">
        <f>Inventory!C110</f>
        <v>Cat Food</v>
      </c>
      <c r="D110" s="169">
        <f>Inventory!H110</f>
        <v>2</v>
      </c>
      <c r="E110" s="170">
        <f>Inventory!I110</f>
        <v>320</v>
      </c>
      <c r="F110" s="171">
        <f>IF(A110="","",Inventory!K110)</f>
        <v>420</v>
      </c>
    </row>
    <row r="111" ht="14.25" customHeight="1">
      <c r="A111" s="151" t="str">
        <f>Inventory!A111</f>
        <v>FD-DRY-Taipet-1KG-002</v>
      </c>
      <c r="B111" s="153" t="str">
        <f>Inventory!B111</f>
        <v>Taipet Kitten Dry Cat Food Chicken Milk &amp; Fish 1KG</v>
      </c>
      <c r="C111" s="153" t="str">
        <f>Inventory!C111</f>
        <v>Cat Food</v>
      </c>
      <c r="D111" s="169">
        <f>Inventory!H111</f>
        <v>1</v>
      </c>
      <c r="E111" s="170">
        <f>Inventory!I111</f>
        <v>320</v>
      </c>
      <c r="F111" s="171">
        <f>IF(A111="","",Inventory!K111)</f>
        <v>420</v>
      </c>
    </row>
    <row r="112" ht="14.25" customHeight="1">
      <c r="A112" s="151" t="str">
        <f>Inventory!A112</f>
        <v>FD-DRY-ZOI-1KG-002</v>
      </c>
      <c r="B112" s="153" t="str">
        <f>Inventory!B112</f>
        <v>Zoi Cat Food 1kg</v>
      </c>
      <c r="C112" s="153" t="str">
        <f>Inventory!C112</f>
        <v>Cat Food</v>
      </c>
      <c r="D112" s="169">
        <f>Inventory!H112</f>
        <v>2</v>
      </c>
      <c r="E112" s="170">
        <f>Inventory!I112</f>
        <v>315</v>
      </c>
      <c r="F112" s="171">
        <f>IF(A112="","",Inventory!K112)</f>
        <v>420</v>
      </c>
    </row>
    <row r="113" ht="14.25" customHeight="1">
      <c r="A113" s="151" t="str">
        <f>Inventory!A113</f>
        <v>FD-DRY-SMHRT-450G-002</v>
      </c>
      <c r="B113" s="153" t="str">
        <f>Inventory!B113</f>
        <v>Smart Heart Kitten Chicken, Fish, Egg &amp; Milk 450gm</v>
      </c>
      <c r="C113" s="153" t="str">
        <f>Inventory!C113</f>
        <v>Cat Food</v>
      </c>
      <c r="D113" s="169">
        <f>Inventory!H113</f>
        <v>2</v>
      </c>
      <c r="E113" s="170">
        <f>Inventory!I113</f>
        <v>308</v>
      </c>
      <c r="F113" s="171">
        <f>IF(A113="","",Inventory!K113)</f>
        <v>380</v>
      </c>
    </row>
    <row r="114" ht="14.25" customHeight="1">
      <c r="A114" s="151" t="str">
        <f>Inventory!A114</f>
        <v>PO-TP-70G-003</v>
      </c>
      <c r="B114" s="153" t="str">
        <f>Inventory!B114</f>
        <v>Taipet Chicken Pouch</v>
      </c>
      <c r="C114" s="153" t="str">
        <f>Inventory!C114</f>
        <v>Cat Pouch</v>
      </c>
      <c r="D114" s="169">
        <f>Inventory!H114</f>
        <v>8</v>
      </c>
      <c r="E114" s="170">
        <f>Inventory!I114</f>
        <v>53</v>
      </c>
      <c r="F114" s="171">
        <f>IF(A114="","",Inventory!K114)</f>
        <v>75</v>
      </c>
    </row>
    <row r="115" ht="14.25" customHeight="1">
      <c r="A115" s="151" t="str">
        <f>Inventory!A115</f>
        <v>PO-WET-WK-80G-002-KT</v>
      </c>
      <c r="B115" s="153" t="str">
        <f>Inventory!B115</f>
        <v>Whiskas Junior Tuna Flavor</v>
      </c>
      <c r="C115" s="153" t="str">
        <f>Inventory!C115</f>
        <v>Cat Pouch</v>
      </c>
      <c r="D115" s="169">
        <f>Inventory!H115</f>
        <v>12</v>
      </c>
      <c r="E115" s="170">
        <f>Inventory!I115</f>
        <v>76</v>
      </c>
      <c r="F115" s="171">
        <f>IF(A115="","",Inventory!K115)</f>
        <v>95</v>
      </c>
    </row>
    <row r="116" ht="14.25" customHeight="1">
      <c r="A116" s="151" t="str">
        <f>Inventory!A116</f>
        <v>PO-WET-BL-85G-001</v>
      </c>
      <c r="B116" s="153" t="str">
        <f>Inventory!B116</f>
        <v>Bellotta Adult Pouch Tuna 85gm</v>
      </c>
      <c r="C116" s="153" t="str">
        <f>Inventory!C116</f>
        <v>Cat Pouch</v>
      </c>
      <c r="D116" s="169">
        <f>Inventory!H116</f>
        <v>11</v>
      </c>
      <c r="E116" s="170">
        <f>Inventory!I116</f>
        <v>64</v>
      </c>
      <c r="F116" s="171">
        <f>IF(A116="","",Inventory!K116)</f>
        <v>75</v>
      </c>
    </row>
    <row r="117" ht="14.25" customHeight="1">
      <c r="A117" s="151" t="str">
        <f>Inventory!A117</f>
        <v>PO-WET-BL-85G-002</v>
      </c>
      <c r="B117" s="153" t="str">
        <f>Inventory!B117</f>
        <v>Bellotta Adult Pouch Tuna &amp; Chicken 85gm</v>
      </c>
      <c r="C117" s="153" t="str">
        <f>Inventory!C117</f>
        <v>Cat Pouch</v>
      </c>
      <c r="D117" s="169">
        <f>Inventory!H117</f>
        <v>11</v>
      </c>
      <c r="E117" s="170">
        <f>Inventory!I117</f>
        <v>64</v>
      </c>
      <c r="F117" s="171">
        <f>IF(A117="","",Inventory!K117)</f>
        <v>75</v>
      </c>
    </row>
    <row r="118" ht="14.25" customHeight="1">
      <c r="A118" s="151" t="str">
        <f>Inventory!A118</f>
        <v>FD-DRY-JUN-1.5KG-001</v>
      </c>
      <c r="B118" s="153" t="str">
        <f>Inventory!B118</f>
        <v>Jungle Adult Dry Food Chicken</v>
      </c>
      <c r="C118" s="153" t="str">
        <f>Inventory!C118</f>
        <v>Cat Food</v>
      </c>
      <c r="D118" s="169">
        <f>Inventory!H118</f>
        <v>1</v>
      </c>
      <c r="E118" s="170">
        <f>Inventory!I118</f>
        <v>715</v>
      </c>
      <c r="F118" s="171">
        <f>IF(A118="","",Inventory!K118)</f>
        <v>900</v>
      </c>
    </row>
    <row r="119" ht="14.25" customHeight="1">
      <c r="A119" s="151" t="str">
        <f>Inventory!A119</f>
        <v>LT-LM-DR-10L-001</v>
      </c>
      <c r="B119" s="153" t="str">
        <f>Inventory!B119</f>
        <v>Dr Clump Lemon Falvor 10L</v>
      </c>
      <c r="C119" s="153" t="str">
        <f>Inventory!C119</f>
        <v>Cat Litter</v>
      </c>
      <c r="D119" s="169">
        <f>Inventory!H119</f>
        <v>0</v>
      </c>
      <c r="E119" s="170">
        <f>Inventory!I119</f>
        <v>435</v>
      </c>
      <c r="F119" s="171">
        <f>IF(A119="","",Inventory!K119)</f>
        <v>600</v>
      </c>
    </row>
    <row r="120" ht="14.25" customHeight="1">
      <c r="A120" s="151" t="str">
        <f>Inventory!A120</f>
        <v>CN-SMR-375G-001</v>
      </c>
      <c r="B120" s="153" t="str">
        <f>Inventory!B120</f>
        <v>Smart Heart Can Food</v>
      </c>
      <c r="C120" s="153" t="str">
        <f>Inventory!C120</f>
        <v>Can Food</v>
      </c>
      <c r="D120" s="169">
        <f>Inventory!H120</f>
        <v>3</v>
      </c>
      <c r="E120" s="170">
        <f>Inventory!I120</f>
        <v>210</v>
      </c>
      <c r="F120" s="171">
        <f>IF(A120="","",Inventory!K120)</f>
        <v>280</v>
      </c>
    </row>
    <row r="121" ht="14.25" customHeight="1">
      <c r="A121" s="151" t="str">
        <f>Inventory!A121</f>
        <v>AC-EC-0001</v>
      </c>
      <c r="B121" s="153" t="str">
        <f>Inventory!B121</f>
        <v>Cat Elezabeth Collar</v>
      </c>
      <c r="C121" s="153" t="str">
        <f>Inventory!C121</f>
        <v>Cat Accessories</v>
      </c>
      <c r="D121" s="169">
        <f>Inventory!H121</f>
        <v>1</v>
      </c>
      <c r="E121" s="170">
        <f>Inventory!I121</f>
        <v>100</v>
      </c>
      <c r="F121" s="171">
        <f>IF(A121="","",Inventory!K121)</f>
        <v>250</v>
      </c>
    </row>
    <row r="122" ht="14.25" customHeight="1">
      <c r="A122" s="151" t="str">
        <f>Inventory!A122</f>
        <v>AC-MT-0001</v>
      </c>
      <c r="B122" s="153" t="str">
        <f>Inventory!B122</f>
        <v>Cat Toy Mouse Mini</v>
      </c>
      <c r="C122" s="153" t="str">
        <f>Inventory!C122</f>
        <v>Cat Accessories</v>
      </c>
      <c r="D122" s="169">
        <f>Inventory!H122</f>
        <v>2</v>
      </c>
      <c r="E122" s="170">
        <f>Inventory!I122</f>
        <v>30</v>
      </c>
      <c r="F122" s="171">
        <f>IF(A122="","",Inventory!K122)</f>
        <v>60</v>
      </c>
    </row>
    <row r="123" ht="14.25" customHeight="1">
      <c r="A123" s="151" t="str">
        <f>Inventory!A123</f>
        <v>AC-RB-MS-0001</v>
      </c>
      <c r="B123" s="153" t="str">
        <f>Inventory!B123</f>
        <v>Smart Cat Chirping Roller Ball with Motion Sensor</v>
      </c>
      <c r="C123" s="153" t="str">
        <f>Inventory!C123</f>
        <v>Cat Accessories</v>
      </c>
      <c r="D123" s="169">
        <f>Inventory!H123</f>
        <v>1</v>
      </c>
      <c r="E123" s="170">
        <f>Inventory!I123</f>
        <v>300</v>
      </c>
      <c r="F123" s="171">
        <f>IF(A123="","",Inventory!K123)</f>
        <v>500</v>
      </c>
    </row>
    <row r="124" ht="14.25" customHeight="1">
      <c r="A124" s="151" t="str">
        <f>Inventory!A124</f>
        <v>AC-CSTOY-Feather-0001</v>
      </c>
      <c r="B124" s="153" t="str">
        <f>Inventory!B124</f>
        <v>Cat Toy Feather String Cat Teaser Toy</v>
      </c>
      <c r="C124" s="153" t="str">
        <f>Inventory!C124</f>
        <v>Cat Accessories</v>
      </c>
      <c r="D124" s="169">
        <f>Inventory!H124</f>
        <v>4</v>
      </c>
      <c r="E124" s="170">
        <f>Inventory!I124</f>
        <v>70</v>
      </c>
      <c r="F124" s="171">
        <f>IF(A124="","",Inventory!K124)</f>
        <v>130</v>
      </c>
    </row>
    <row r="125" ht="14.25" customHeight="1">
      <c r="A125" s="151" t="str">
        <f>Inventory!A125</f>
        <v>FD-MX-0003</v>
      </c>
      <c r="B125" s="153" t="str">
        <f>Inventory!B125</f>
        <v>Drools, Meo &amp; Cutie Mixed Food 100gm</v>
      </c>
      <c r="C125" s="153" t="str">
        <f>Inventory!C125</f>
        <v>Cat Food</v>
      </c>
      <c r="D125" s="169">
        <f>Inventory!H125</f>
        <v>0</v>
      </c>
      <c r="E125" s="170">
        <f>Inventory!I125</f>
        <v>31</v>
      </c>
      <c r="F125" s="171">
        <f>IF(A125="","",Inventory!K125)</f>
        <v>50</v>
      </c>
    </row>
    <row r="126" ht="14.25" customHeight="1">
      <c r="A126" s="151" t="str">
        <f>Inventory!A126</f>
        <v>FD-DRY-WP-1.5KG-001</v>
      </c>
      <c r="B126" s="153" t="str">
        <f>Inventory!B126</f>
        <v>Wanpy Grain Free Cat Food</v>
      </c>
      <c r="C126" s="153" t="str">
        <f>Inventory!C126</f>
        <v>Cat Food</v>
      </c>
      <c r="D126" s="169">
        <f>Inventory!H126</f>
        <v>8</v>
      </c>
      <c r="E126" s="170">
        <f>Inventory!I126</f>
        <v>990</v>
      </c>
      <c r="F126" s="171">
        <f>IF(A126="","",Inventory!K126)</f>
        <v>1260</v>
      </c>
    </row>
    <row r="127" ht="14.25" customHeight="1">
      <c r="A127" s="151" t="str">
        <f>Inventory!A127</f>
        <v>FD-WET-WP-001</v>
      </c>
      <c r="B127" s="153" t="str">
        <f>Inventory!B127</f>
        <v>Wanpy Cat Treat Likable Tuna Mousse with Chicken 40gm</v>
      </c>
      <c r="C127" s="153" t="str">
        <f>Inventory!C127</f>
        <v>Cat Wet Food</v>
      </c>
      <c r="D127" s="169">
        <f>Inventory!H127</f>
        <v>6</v>
      </c>
      <c r="E127" s="170">
        <f>Inventory!I127</f>
        <v>80</v>
      </c>
      <c r="F127" s="171">
        <f>IF(A127="","",Inventory!K127)</f>
        <v>120</v>
      </c>
    </row>
    <row r="128" ht="14.25" customHeight="1">
      <c r="A128" s="151" t="str">
        <f>Inventory!A128</f>
        <v>FD-DRY-KTCN-All-400G-001</v>
      </c>
      <c r="B128" s="153" t="str">
        <f>Inventory!B128</f>
        <v>Kitchen Flavour Grain Free Dry Cat Food All Life Stage 400gm</v>
      </c>
      <c r="C128" s="153" t="str">
        <f>Inventory!C128</f>
        <v>Cat Food</v>
      </c>
      <c r="D128" s="169">
        <f>Inventory!H128</f>
        <v>13</v>
      </c>
      <c r="E128" s="170">
        <f>Inventory!I128</f>
        <v>290</v>
      </c>
      <c r="F128" s="171">
        <f>IF(A128="","",Inventory!K128)</f>
        <v>360</v>
      </c>
    </row>
    <row r="129" ht="14.25" customHeight="1">
      <c r="A129" s="151" t="str">
        <f>Inventory!A129</f>
        <v>PO-WET-KTCN-HS-001</v>
      </c>
      <c r="B129" s="153" t="str">
        <f>Inventory!B129</f>
        <v>Kitchen Flavour Special Care Complete Cat Food Pouch Hair &amp; Skin Care 70gm</v>
      </c>
      <c r="C129" s="153" t="str">
        <f>Inventory!C129</f>
        <v>Cat Pouch</v>
      </c>
      <c r="D129" s="169">
        <f>Inventory!H129</f>
        <v>47</v>
      </c>
      <c r="E129" s="170">
        <f>Inventory!I129</f>
        <v>75</v>
      </c>
      <c r="F129" s="171">
        <f>IF(A129="","",Inventory!K129)</f>
        <v>110</v>
      </c>
    </row>
    <row r="130" ht="14.25" customHeight="1">
      <c r="A130" s="151" t="str">
        <f>Inventory!A130</f>
        <v>PO-WET-KTCN-UR-001</v>
      </c>
      <c r="B130" s="153" t="str">
        <f>Inventory!B130</f>
        <v>Kitchen Flavour Special Care Complete Cat Food Pouch Urinary Care 70gm</v>
      </c>
      <c r="C130" s="153" t="str">
        <f>Inventory!C130</f>
        <v>Cat Pouch</v>
      </c>
      <c r="D130" s="169">
        <f>Inventory!H130</f>
        <v>48</v>
      </c>
      <c r="E130" s="170">
        <f>Inventory!I130</f>
        <v>75</v>
      </c>
      <c r="F130" s="171">
        <f>IF(A130="","",Inventory!K130)</f>
        <v>110</v>
      </c>
    </row>
    <row r="131" ht="14.25" customHeight="1">
      <c r="A131" s="151" t="str">
        <f>Inventory!A131</f>
        <v>PO-WET-KTCN-ID-001</v>
      </c>
      <c r="B131" s="153" t="str">
        <f>Inventory!B131</f>
        <v>Kitchen Flavour Special Care Complete Cat Food Pouch Indoor &amp; Digestive Care 70gm</v>
      </c>
      <c r="C131" s="153" t="str">
        <f>Inventory!C131</f>
        <v>Cat Pouch</v>
      </c>
      <c r="D131" s="169">
        <f>Inventory!H131</f>
        <v>47</v>
      </c>
      <c r="E131" s="170">
        <f>Inventory!I131</f>
        <v>75</v>
      </c>
      <c r="F131" s="171">
        <f>IF(A131="","",Inventory!K131)</f>
        <v>110</v>
      </c>
    </row>
    <row r="132" ht="14.25" customHeight="1">
      <c r="A132" s="151" t="str">
        <f>Inventory!A132</f>
        <v>PO-WET-NB-KD-001</v>
      </c>
      <c r="B132" s="153" t="str">
        <f>Inventory!B132</f>
        <v>Nature Bridge Veterinary Exclusive Wet Cat Food for Kidney 190gm</v>
      </c>
      <c r="C132" s="153" t="str">
        <f>Inventory!C132</f>
        <v>Cat Pouch</v>
      </c>
      <c r="D132" s="169">
        <f>Inventory!H132</f>
        <v>24</v>
      </c>
      <c r="E132" s="170">
        <f>Inventory!I132</f>
        <v>290</v>
      </c>
      <c r="F132" s="171">
        <f>IF(A132="","",Inventory!K132)</f>
        <v>420</v>
      </c>
    </row>
    <row r="133" ht="14.25" customHeight="1">
      <c r="A133" s="151" t="str">
        <f>Inventory!A133</f>
        <v>PO-WET-NB-UR-001</v>
      </c>
      <c r="B133" s="153" t="str">
        <f>Inventory!B133</f>
        <v>Nature Bridge Veterinary Exclusive Wet Cat Food for Urinary Tract 190gm</v>
      </c>
      <c r="C133" s="153" t="str">
        <f>Inventory!C133</f>
        <v>Cat Pouch</v>
      </c>
      <c r="D133" s="169">
        <f>Inventory!H133</f>
        <v>24</v>
      </c>
      <c r="E133" s="170">
        <f>Inventory!I133</f>
        <v>290</v>
      </c>
      <c r="F133" s="171">
        <f>IF(A133="","",Inventory!K133)</f>
        <v>420</v>
      </c>
    </row>
    <row r="134" ht="14.25" customHeight="1">
      <c r="A134" s="151" t="str">
        <f>Inventory!A134</f>
        <v>FD-DRY-KT-H/P-1.5KG-001</v>
      </c>
      <c r="B134" s="153" t="str">
        <f>Inventory!B134</f>
        <v>Haisenpet Premium Kitten Dry Cat Food Chicken, Fish, Egg &amp; Milk 1.2KG</v>
      </c>
      <c r="C134" s="153" t="str">
        <f>Inventory!C134</f>
        <v>Cat Food</v>
      </c>
      <c r="D134" s="169">
        <f>Inventory!H134</f>
        <v>3</v>
      </c>
      <c r="E134" s="170">
        <f>Inventory!I134</f>
        <v>500</v>
      </c>
      <c r="F134" s="171">
        <f>IF(A134="","",Inventory!K134)</f>
        <v>650</v>
      </c>
    </row>
    <row r="135" ht="14.25" customHeight="1">
      <c r="A135" s="151" t="str">
        <f>Inventory!A135</f>
        <v>FD-DRY-H/P-1.5KG-001</v>
      </c>
      <c r="B135" s="153" t="str">
        <f>Inventory!B135</f>
        <v>Haisenpet Premium Adult Dry Cat Food Chicken, Tuna &amp; Turkey 1.2KG</v>
      </c>
      <c r="C135" s="153" t="str">
        <f>Inventory!C135</f>
        <v>Cat Food</v>
      </c>
      <c r="D135" s="169">
        <f>Inventory!H135</f>
        <v>3</v>
      </c>
      <c r="E135" s="170">
        <f>Inventory!I135</f>
        <v>500</v>
      </c>
      <c r="F135" s="171">
        <f>IF(A135="","",Inventory!K135)</f>
        <v>650</v>
      </c>
    </row>
    <row r="136" ht="14.25" customHeight="1">
      <c r="A136" s="151" t="str">
        <f>Inventory!A136</f>
        <v>FD-DRY-LR-0.95KG-001</v>
      </c>
      <c r="B136" s="153" t="str">
        <f>Inventory!B136</f>
        <v>Lara Dry Cat Food Adult Poultry 950gm</v>
      </c>
      <c r="C136" s="153" t="str">
        <f>Inventory!C136</f>
        <v>Cat Food</v>
      </c>
      <c r="D136" s="169">
        <f>Inventory!H136</f>
        <v>4</v>
      </c>
      <c r="E136" s="170">
        <f>Inventory!I136</f>
        <v>600</v>
      </c>
      <c r="F136" s="171">
        <f>IF(A136="","",Inventory!K136)</f>
        <v>750</v>
      </c>
    </row>
    <row r="137" ht="14.25" customHeight="1">
      <c r="A137" s="151" t="str">
        <f>Inventory!A137</f>
        <v>FD-DRY-PR-1KG-001</v>
      </c>
      <c r="B137" s="153" t="str">
        <f>Inventory!B137</f>
        <v>Pramy Feline Solutions NutriBoost Dry Cat Food Urinary Care 1KG</v>
      </c>
      <c r="C137" s="153" t="str">
        <f>Inventory!C137</f>
        <v>Cat Food</v>
      </c>
      <c r="D137" s="169">
        <f>Inventory!H137</f>
        <v>4</v>
      </c>
      <c r="E137" s="170">
        <f>Inventory!I137</f>
        <v>1450</v>
      </c>
      <c r="F137" s="171">
        <f>IF(A137="","",Inventory!K137)</f>
        <v>1800</v>
      </c>
    </row>
    <row r="138" ht="14.25" customHeight="1">
      <c r="A138" s="151" t="str">
        <f>Inventory!A138</f>
        <v>FD-DRY-KTCN-HM-1.3KG-001</v>
      </c>
      <c r="B138" s="153" t="str">
        <f>Inventory!B138</f>
        <v>Kitchen Flavor Hi Meat Complete Cat Food for Cat All Life Stages 1.3kg</v>
      </c>
      <c r="C138" s="153" t="str">
        <f>Inventory!C138</f>
        <v>Cat Food</v>
      </c>
      <c r="D138" s="169">
        <f>Inventory!H138</f>
        <v>6</v>
      </c>
      <c r="E138" s="170">
        <f>Inventory!I138</f>
        <v>1290</v>
      </c>
      <c r="F138" s="171">
        <f>IF(A138="","",Inventory!K138)</f>
        <v>1650</v>
      </c>
    </row>
    <row r="139" ht="14.25" customHeight="1">
      <c r="A139" s="151" t="str">
        <f>Inventory!A139</f>
        <v>FD-DRY-KTCN-UC-1.5KG-001</v>
      </c>
      <c r="B139" s="153" t="str">
        <f>Inventory!B139</f>
        <v>Kitchen Flavor Grain Free Special Care Urinary Care Complete Food for Adult Chicken &amp; Salmon 1.5 kg</v>
      </c>
      <c r="C139" s="153" t="str">
        <f>Inventory!C139</f>
        <v>Cat Food</v>
      </c>
      <c r="D139" s="169">
        <f>Inventory!H139</f>
        <v>6</v>
      </c>
      <c r="E139" s="170">
        <f>Inventory!I139</f>
        <v>1050</v>
      </c>
      <c r="F139" s="171">
        <f>IF(A139="","",Inventory!K139)</f>
        <v>1380</v>
      </c>
    </row>
    <row r="140" ht="14.25" customHeight="1">
      <c r="A140" s="151" t="str">
        <f>Inventory!A140</f>
        <v>PO-WP-90G-001</v>
      </c>
      <c r="B140" s="153" t="str">
        <f>Inventory!B140</f>
        <v>Wanpy Fresh Chicken &amp; Carrot Cat Meat Paste 90 gr</v>
      </c>
      <c r="C140" s="153" t="str">
        <f>Inventory!C140</f>
        <v>Cat Pouch</v>
      </c>
      <c r="D140" s="169">
        <f>Inventory!H140</f>
        <v>9</v>
      </c>
      <c r="E140" s="170">
        <f>Inventory!I140</f>
        <v>100</v>
      </c>
      <c r="F140" s="171">
        <f>IF(A140="","",Inventory!K140)</f>
        <v>150</v>
      </c>
    </row>
    <row r="141" ht="14.25" customHeight="1">
      <c r="A141" s="151" t="str">
        <f>Inventory!A141</f>
        <v>PO-WP-90G-002</v>
      </c>
      <c r="B141" s="153" t="str">
        <f>Inventory!B141</f>
        <v>Wanpy Fresh Tuna Fish Chicken &amp; Carrots Cat Meat Paste 90 gr</v>
      </c>
      <c r="C141" s="153" t="str">
        <f>Inventory!C141</f>
        <v>Cat Pouch</v>
      </c>
      <c r="D141" s="169">
        <f>Inventory!H141</f>
        <v>9</v>
      </c>
      <c r="E141" s="170">
        <f>Inventory!I141</f>
        <v>100</v>
      </c>
      <c r="F141" s="171">
        <f>IF(A141="","",Inventory!K141)</f>
        <v>150</v>
      </c>
    </row>
    <row r="142" ht="14.25" customHeight="1">
      <c r="A142" s="151" t="str">
        <f>Inventory!A142</f>
        <v>FD-WET-WP-002</v>
      </c>
      <c r="B142" s="153" t="str">
        <f>Inventory!B142</f>
        <v>Wanpy Aluminum Can Tuna Mousse with Shimp for Cat 40g</v>
      </c>
      <c r="C142" s="153" t="str">
        <f>Inventory!C142</f>
        <v>Cat Wet Food</v>
      </c>
      <c r="D142" s="169">
        <f>Inventory!H142</f>
        <v>6</v>
      </c>
      <c r="E142" s="170">
        <f>Inventory!I142</f>
        <v>80</v>
      </c>
      <c r="F142" s="171">
        <f>IF(A142="","",Inventory!K142)</f>
        <v>120</v>
      </c>
    </row>
    <row r="143" ht="14.25" customHeight="1">
      <c r="A143" s="151" t="str">
        <f>Inventory!A143</f>
        <v>TR-WP-Lol-001</v>
      </c>
      <c r="B143" s="153" t="str">
        <f>Inventory!B143</f>
        <v>Wanpy Freeze Dried Swirlpop Cat Treat Lollipop with Chicken, Goat Milk &amp; Cat Grass 1.4gm 1pcs</v>
      </c>
      <c r="C143" s="153" t="str">
        <f>Inventory!C143</f>
        <v>Cat Treat</v>
      </c>
      <c r="D143" s="169">
        <f>Inventory!H143</f>
        <v>5</v>
      </c>
      <c r="E143" s="170">
        <f>Inventory!I143</f>
        <v>40</v>
      </c>
      <c r="F143" s="171">
        <f>IF(A143="","",Inventory!K143)</f>
        <v>65</v>
      </c>
    </row>
    <row r="144" ht="14.25" customHeight="1">
      <c r="A144" s="151" t="str">
        <f>Inventory!A144</f>
        <v>TR-WP-Lol-002</v>
      </c>
      <c r="B144" s="153" t="str">
        <f>Inventory!B144</f>
        <v>Wanpy Freeze Dried Swirlpop Cat Treat Lollipop with Chicken, Goat Milk &amp; Cranberry 1.4gm 1pcs</v>
      </c>
      <c r="C144" s="153" t="str">
        <f>Inventory!C144</f>
        <v>Cat Treat</v>
      </c>
      <c r="D144" s="169">
        <f>Inventory!H144</f>
        <v>5</v>
      </c>
      <c r="E144" s="170">
        <f>Inventory!I144</f>
        <v>40</v>
      </c>
      <c r="F144" s="171">
        <f>IF(A144="","",Inventory!K144)</f>
        <v>65</v>
      </c>
    </row>
    <row r="145" ht="14.25" customHeight="1">
      <c r="A145" s="151" t="str">
        <f>Inventory!A145</f>
        <v>TR-WP-ST-001</v>
      </c>
      <c r="B145" s="153" t="str">
        <f>Inventory!B145</f>
        <v>Wanpy Meaty Sticks Cat Treat Cat Grass &amp; Chicken 21gm 3pc's</v>
      </c>
      <c r="C145" s="153" t="str">
        <f>Inventory!C145</f>
        <v>Cat Treat</v>
      </c>
      <c r="D145" s="169">
        <f>Inventory!H145</f>
        <v>6</v>
      </c>
      <c r="E145" s="170">
        <f>Inventory!I145</f>
        <v>200</v>
      </c>
      <c r="F145" s="171">
        <f>IF(A145="","",Inventory!K145)</f>
        <v>280</v>
      </c>
    </row>
    <row r="146" ht="14.25" customHeight="1">
      <c r="A146" s="151" t="str">
        <f>Inventory!A146</f>
        <v>TR-WP-ST-002</v>
      </c>
      <c r="B146" s="153" t="str">
        <f>Inventory!B146</f>
        <v>Wanpy Meaty Sticks Cat Treat Chicken 21gm 3pc's</v>
      </c>
      <c r="C146" s="153" t="str">
        <f>Inventory!C146</f>
        <v>Cat Treat</v>
      </c>
      <c r="D146" s="169">
        <f>Inventory!H146</f>
        <v>7</v>
      </c>
      <c r="E146" s="170">
        <f>Inventory!I146</f>
        <v>200</v>
      </c>
      <c r="F146" s="171">
        <f>IF(A146="","",Inventory!K146)</f>
        <v>280</v>
      </c>
    </row>
    <row r="147" ht="14.25" customHeight="1">
      <c r="A147" s="151" t="str">
        <f>Inventory!A147</f>
        <v>TR-WP-ST-S-003</v>
      </c>
      <c r="B147" s="153" t="str">
        <f>Inventory!B147</f>
        <v>Wanpy Meaty Sticks Cat Treat Cat Grass &amp; Chicken 21gm Single</v>
      </c>
      <c r="C147" s="153" t="str">
        <f>Inventory!C147</f>
        <v>Cat Treat</v>
      </c>
      <c r="D147" s="169">
        <f>Inventory!H147</f>
        <v>3</v>
      </c>
      <c r="E147" s="170">
        <f>Inventory!I147</f>
        <v>66.6666</v>
      </c>
      <c r="F147" s="171">
        <f>IF(A147="","",Inventory!K147)</f>
        <v>100</v>
      </c>
    </row>
    <row r="148" ht="14.25" customHeight="1">
      <c r="A148" s="151" t="str">
        <f>Inventory!A148</f>
        <v>TR-WP-ST-S-004</v>
      </c>
      <c r="B148" s="153" t="str">
        <f>Inventory!B148</f>
        <v>Wanpy Meaty Sticks Cat Treat Chicken 21gm Single</v>
      </c>
      <c r="C148" s="153" t="str">
        <f>Inventory!C148</f>
        <v>Cat Treat</v>
      </c>
      <c r="D148" s="169">
        <f>Inventory!H148</f>
        <v>3</v>
      </c>
      <c r="E148" s="170">
        <f>Inventory!I148</f>
        <v>66.6666</v>
      </c>
      <c r="F148" s="171">
        <f>IF(A148="","",Inventory!K148)</f>
        <v>100</v>
      </c>
    </row>
    <row r="149" ht="14.25" customHeight="1">
      <c r="A149" s="151" t="str">
        <f>Inventory!A149</f>
        <v>AC-SHAMP-H-001</v>
      </c>
      <c r="B149" s="153" t="str">
        <f>Inventory!B149</f>
        <v>Himalayan Erina EP Tick &amp; Flea Shampoo 250ml</v>
      </c>
      <c r="C149" s="153" t="str">
        <f>Inventory!C149</f>
        <v>Cat Accessories</v>
      </c>
      <c r="D149" s="169">
        <f>Inventory!H149</f>
        <v>2</v>
      </c>
      <c r="E149" s="170">
        <f>Inventory!I149</f>
        <v>450</v>
      </c>
      <c r="F149" s="171">
        <f>IF(A149="","",Inventory!K149)</f>
        <v>620</v>
      </c>
    </row>
    <row r="150" ht="14.25" customHeight="1">
      <c r="A150" s="151" t="str">
        <f>Inventory!A150</f>
        <v>AC-Grass-001</v>
      </c>
      <c r="B150" s="153" t="str">
        <f>Inventory!B150</f>
        <v>Cat Grass Teething Stick 30gm</v>
      </c>
      <c r="C150" s="153" t="str">
        <f>Inventory!C150</f>
        <v>Cat Accessories</v>
      </c>
      <c r="D150" s="169">
        <f>Inventory!H150</f>
        <v>2</v>
      </c>
      <c r="E150" s="170">
        <f>Inventory!I150</f>
        <v>130</v>
      </c>
      <c r="F150" s="171">
        <f>IF(A150="","",Inventory!K150)</f>
        <v>220</v>
      </c>
    </row>
    <row r="151" ht="14.25" customHeight="1">
      <c r="A151" s="151" t="str">
        <f>Inventory!A151</f>
        <v>LT-LM-Clean-5L-001</v>
      </c>
      <c r="B151" s="153" t="str">
        <f>Inventory!B151</f>
        <v>Clean Step Litter Lemon 5L</v>
      </c>
      <c r="C151" s="153" t="str">
        <f>Inventory!C151</f>
        <v>Cat Litter</v>
      </c>
      <c r="D151" s="169">
        <f>Inventory!H151</f>
        <v>16</v>
      </c>
      <c r="E151" s="170">
        <f>Inventory!I151</f>
        <v>200</v>
      </c>
      <c r="F151" s="171">
        <f>IF(A151="","",Inventory!K151)</f>
        <v>300</v>
      </c>
    </row>
    <row r="152" ht="14.25" customHeight="1">
      <c r="A152" s="151" t="str">
        <f>Inventory!A152</f>
        <v>LT-LV-Clean-5L-001</v>
      </c>
      <c r="B152" s="153" t="str">
        <f>Inventory!B152</f>
        <v>Clean Step Litter Lavender 5L</v>
      </c>
      <c r="C152" s="153" t="str">
        <f>Inventory!C152</f>
        <v>Cat Litter</v>
      </c>
      <c r="D152" s="169">
        <f>Inventory!H152</f>
        <v>10</v>
      </c>
      <c r="E152" s="170">
        <f>Inventory!I152</f>
        <v>200</v>
      </c>
      <c r="F152" s="171">
        <f>IF(A152="","",Inventory!K152)</f>
        <v>300</v>
      </c>
    </row>
    <row r="153" ht="14.25" customHeight="1">
      <c r="A153" s="151" t="str">
        <f>Inventory!A153</f>
        <v>LT-LM-LUM-10L-005</v>
      </c>
      <c r="B153" s="153" t="str">
        <f>Inventory!B153</f>
        <v>Lumina Cat Litter Lemon 10L</v>
      </c>
      <c r="C153" s="153" t="str">
        <f>Inventory!C153</f>
        <v>Cat Litter</v>
      </c>
      <c r="D153" s="169">
        <f>Inventory!H153</f>
        <v>6</v>
      </c>
      <c r="E153" s="170">
        <f>Inventory!I153</f>
        <v>385</v>
      </c>
      <c r="F153" s="171">
        <f>IF(A153="","",Inventory!K153)</f>
        <v>550</v>
      </c>
    </row>
    <row r="154" ht="14.25" customHeight="1">
      <c r="A154" s="151" t="str">
        <f>Inventory!A154</f>
        <v>LT-CoF-LUM-25L-002</v>
      </c>
      <c r="B154" s="153" t="str">
        <f>Inventory!B154</f>
        <v>LuminaCat Litter Coffee 25L</v>
      </c>
      <c r="C154" s="153" t="str">
        <f>Inventory!C154</f>
        <v>Cat Litter</v>
      </c>
      <c r="D154" s="169">
        <f>Inventory!H154</f>
        <v>1</v>
      </c>
      <c r="E154" s="170">
        <f>Inventory!I154</f>
        <v>950</v>
      </c>
      <c r="F154" s="171">
        <f>IF(A154="","",Inventory!K154)</f>
        <v>1450</v>
      </c>
    </row>
    <row r="155" ht="14.25" customHeight="1">
      <c r="A155" s="151" t="str">
        <f>Inventory!A155</f>
        <v>LT-LM-DC-25L-001</v>
      </c>
      <c r="B155" s="153" t="str">
        <f>Inventory!B155</f>
        <v>Dr Clump Lemon Falvor 25L</v>
      </c>
      <c r="C155" s="153" t="str">
        <f>Inventory!C155</f>
        <v>Cat Litter</v>
      </c>
      <c r="D155" s="169">
        <f>Inventory!H155</f>
        <v>2</v>
      </c>
      <c r="E155" s="170">
        <f>Inventory!I155</f>
        <v>950</v>
      </c>
      <c r="F155" s="171">
        <f>IF(A155="","",Inventory!K155)</f>
        <v>1450</v>
      </c>
    </row>
    <row r="156" ht="14.25" customHeight="1">
      <c r="A156" s="151" t="str">
        <f>Inventory!A156</f>
        <v>LT-Coffee-DC-25L-001</v>
      </c>
      <c r="B156" s="153" t="str">
        <f>Inventory!B156</f>
        <v>Dr Clump Coffee Falvor 25L</v>
      </c>
      <c r="C156" s="153" t="str">
        <f>Inventory!C156</f>
        <v>Cat Litter</v>
      </c>
      <c r="D156" s="169">
        <f>Inventory!H156</f>
        <v>0</v>
      </c>
      <c r="E156" s="170">
        <f>Inventory!I156</f>
        <v>950</v>
      </c>
      <c r="F156" s="171">
        <f>IF(A156="","",Inventory!K156)</f>
        <v>1450</v>
      </c>
    </row>
    <row r="157" ht="14.25" customHeight="1">
      <c r="A157" s="151" t="str">
        <f>Inventory!A157</f>
        <v>LT-LV-DC-25L-001</v>
      </c>
      <c r="B157" s="153" t="str">
        <f>Inventory!B157</f>
        <v>Dr Clump Lavender Falvor 25L</v>
      </c>
      <c r="C157" s="153" t="str">
        <f>Inventory!C157</f>
        <v>Cat Litter</v>
      </c>
      <c r="D157" s="169">
        <f>Inventory!H157</f>
        <v>1</v>
      </c>
      <c r="E157" s="170">
        <f>Inventory!I157</f>
        <v>950</v>
      </c>
      <c r="F157" s="171">
        <f>IF(A157="","",Inventory!K157)</f>
        <v>1450</v>
      </c>
    </row>
    <row r="158" ht="14.25" customHeight="1">
      <c r="A158" s="151" t="str">
        <f>Inventory!A158</f>
        <v>TR-TAI-MUL-15G-001</v>
      </c>
      <c r="B158" s="153" t="str">
        <f>Inventory!B158</f>
        <v>Taipet Multivitamin Treat 15gm</v>
      </c>
      <c r="C158" s="153" t="str">
        <f>Inventory!C158</f>
        <v>Cat Treat</v>
      </c>
      <c r="D158" s="169">
        <f>Inventory!H158</f>
        <v>5</v>
      </c>
      <c r="E158" s="170">
        <f>Inventory!I158</f>
        <v>20</v>
      </c>
      <c r="F158" s="171">
        <f>IF(A158="","",Inventory!K158)</f>
        <v>40</v>
      </c>
    </row>
    <row r="159" ht="14.25" customHeight="1">
      <c r="A159" s="151" t="str">
        <f>Inventory!A159</f>
        <v>FD-DRY-BON-AD-0001</v>
      </c>
      <c r="B159" s="153" t="str">
        <f>Inventory!B159</f>
        <v>Bonacibo Super Premium Cat (Chicken, Rice with Anchovy) 2KG</v>
      </c>
      <c r="C159" s="153" t="str">
        <f>Inventory!C159</f>
        <v>Cat Food</v>
      </c>
      <c r="D159" s="169">
        <f>Inventory!H159</f>
        <v>10</v>
      </c>
      <c r="E159" s="170">
        <f>Inventory!I159</f>
        <v>1000</v>
      </c>
      <c r="F159" s="171">
        <f>IF(A159="","",Inventory!K159)</f>
        <v>1250</v>
      </c>
    </row>
    <row r="160" ht="14.25" customHeight="1">
      <c r="A160" s="151" t="str">
        <f>Inventory!A160</f>
        <v>FD-DRY-BON-KT-0001</v>
      </c>
      <c r="B160" s="153" t="str">
        <f>Inventory!B160</f>
        <v>Bonacibo Super Premium Cat (Chicken, Rice with Anchovy) 1.5KG</v>
      </c>
      <c r="C160" s="153" t="str">
        <f>Inventory!C160</f>
        <v>Cat Food</v>
      </c>
      <c r="D160" s="169">
        <f>Inventory!H160</f>
        <v>10</v>
      </c>
      <c r="E160" s="170">
        <f>Inventory!I160</f>
        <v>800</v>
      </c>
      <c r="F160" s="171">
        <f>IF(A160="","",Inventory!K160)</f>
        <v>1050</v>
      </c>
    </row>
    <row r="161" ht="14.25" customHeight="1">
      <c r="A161" s="151" t="str">
        <f>Inventory!A161</f>
        <v/>
      </c>
      <c r="B161" s="153" t="str">
        <f>Inventory!B161</f>
        <v/>
      </c>
      <c r="C161" s="153" t="str">
        <f>Inventory!C161</f>
        <v/>
      </c>
      <c r="D161" s="169" t="str">
        <f>Inventory!H161</f>
        <v/>
      </c>
      <c r="E161" s="170" t="str">
        <f>Inventory!I161</f>
        <v/>
      </c>
      <c r="F161" s="171" t="str">
        <f>IF(A161="","",Inventory!K161)</f>
        <v/>
      </c>
    </row>
    <row r="162" ht="14.25" customHeight="1">
      <c r="A162" s="151" t="str">
        <f>Inventory!A162</f>
        <v/>
      </c>
      <c r="B162" s="153" t="str">
        <f>Inventory!B162</f>
        <v/>
      </c>
      <c r="C162" s="153" t="str">
        <f>Inventory!C162</f>
        <v/>
      </c>
      <c r="D162" s="169" t="str">
        <f>Inventory!H162</f>
        <v/>
      </c>
      <c r="E162" s="170" t="str">
        <f>Inventory!I162</f>
        <v/>
      </c>
      <c r="F162" s="171" t="str">
        <f>IF(A162="","",Inventory!K162)</f>
        <v/>
      </c>
    </row>
    <row r="163" ht="14.25" customHeight="1">
      <c r="A163" s="151" t="str">
        <f>Inventory!A163</f>
        <v/>
      </c>
      <c r="B163" s="153" t="str">
        <f>Inventory!B163</f>
        <v/>
      </c>
      <c r="C163" s="153" t="str">
        <f>Inventory!C163</f>
        <v/>
      </c>
      <c r="D163" s="169" t="str">
        <f>Inventory!H163</f>
        <v/>
      </c>
      <c r="E163" s="170" t="str">
        <f>Inventory!I163</f>
        <v/>
      </c>
      <c r="F163" s="171" t="str">
        <f>IF(A163="","",Inventory!K163)</f>
        <v/>
      </c>
    </row>
    <row r="164" ht="14.25" customHeight="1">
      <c r="A164" s="151" t="str">
        <f>Inventory!A164</f>
        <v/>
      </c>
      <c r="B164" s="153" t="str">
        <f>Inventory!B164</f>
        <v/>
      </c>
      <c r="C164" s="153" t="str">
        <f>Inventory!C164</f>
        <v/>
      </c>
      <c r="D164" s="169" t="str">
        <f>Inventory!H164</f>
        <v/>
      </c>
      <c r="E164" s="170" t="str">
        <f>Inventory!I164</f>
        <v/>
      </c>
      <c r="F164" s="171" t="str">
        <f>IF(A164="","",Inventory!K164)</f>
        <v/>
      </c>
    </row>
    <row r="165" ht="14.25" customHeight="1">
      <c r="A165" s="151" t="str">
        <f>Inventory!A165</f>
        <v/>
      </c>
      <c r="B165" s="153" t="str">
        <f>Inventory!B165</f>
        <v/>
      </c>
      <c r="C165" s="153" t="str">
        <f>Inventory!C165</f>
        <v/>
      </c>
      <c r="D165" s="169" t="str">
        <f>Inventory!H165</f>
        <v/>
      </c>
      <c r="E165" s="170" t="str">
        <f>Inventory!I165</f>
        <v/>
      </c>
      <c r="F165" s="171" t="str">
        <f>IF(A165="","",Inventory!K165)</f>
        <v/>
      </c>
    </row>
    <row r="166" ht="14.25" customHeight="1">
      <c r="A166" s="151" t="str">
        <f>Inventory!A166</f>
        <v/>
      </c>
      <c r="B166" s="153" t="str">
        <f>Inventory!B166</f>
        <v/>
      </c>
      <c r="C166" s="153" t="str">
        <f>Inventory!C166</f>
        <v/>
      </c>
      <c r="D166" s="169" t="str">
        <f>Inventory!H166</f>
        <v/>
      </c>
      <c r="E166" s="170" t="str">
        <f>Inventory!I166</f>
        <v/>
      </c>
      <c r="F166" s="171" t="str">
        <f>IF(A166="","",Inventory!K166)</f>
        <v/>
      </c>
    </row>
    <row r="167" ht="14.25" customHeight="1">
      <c r="A167" s="151" t="str">
        <f>Inventory!A167</f>
        <v/>
      </c>
      <c r="B167" s="153" t="str">
        <f>Inventory!B167</f>
        <v/>
      </c>
      <c r="C167" s="153" t="str">
        <f>Inventory!C167</f>
        <v/>
      </c>
      <c r="D167" s="169" t="str">
        <f>Inventory!H167</f>
        <v/>
      </c>
      <c r="E167" s="170" t="str">
        <f>Inventory!I167</f>
        <v/>
      </c>
      <c r="F167" s="171" t="str">
        <f>IF(A167="","",Inventory!K167)</f>
        <v/>
      </c>
    </row>
    <row r="168" ht="14.25" customHeight="1">
      <c r="A168" s="151" t="str">
        <f>Inventory!A168</f>
        <v/>
      </c>
      <c r="B168" s="153" t="str">
        <f>Inventory!B168</f>
        <v/>
      </c>
      <c r="C168" s="153" t="str">
        <f>Inventory!C168</f>
        <v/>
      </c>
      <c r="D168" s="169" t="str">
        <f>Inventory!H168</f>
        <v/>
      </c>
      <c r="E168" s="170" t="str">
        <f>Inventory!I168</f>
        <v/>
      </c>
      <c r="F168" s="171" t="str">
        <f>IF(A168="","",Inventory!K168)</f>
        <v/>
      </c>
    </row>
    <row r="169" ht="14.25" customHeight="1">
      <c r="A169" s="151" t="str">
        <f>Inventory!A169</f>
        <v/>
      </c>
      <c r="B169" s="153" t="str">
        <f>Inventory!B169</f>
        <v/>
      </c>
      <c r="C169" s="153" t="str">
        <f>Inventory!C169</f>
        <v/>
      </c>
      <c r="D169" s="169" t="str">
        <f>Inventory!H169</f>
        <v/>
      </c>
      <c r="E169" s="170" t="str">
        <f>Inventory!I169</f>
        <v/>
      </c>
      <c r="F169" s="171" t="str">
        <f>IF(A169="","",Inventory!K169)</f>
        <v/>
      </c>
    </row>
    <row r="170" ht="14.25" customHeight="1">
      <c r="A170" s="151" t="str">
        <f>Inventory!A170</f>
        <v/>
      </c>
      <c r="B170" s="153" t="str">
        <f>Inventory!B170</f>
        <v/>
      </c>
      <c r="C170" s="153" t="str">
        <f>Inventory!C170</f>
        <v/>
      </c>
      <c r="D170" s="169" t="str">
        <f>Inventory!H170</f>
        <v/>
      </c>
      <c r="E170" s="170" t="str">
        <f>Inventory!I170</f>
        <v/>
      </c>
      <c r="F170" s="171" t="str">
        <f>IF(A170="","",Inventory!K170)</f>
        <v/>
      </c>
    </row>
    <row r="171" ht="14.25" customHeight="1">
      <c r="A171" s="151" t="str">
        <f>Inventory!A171</f>
        <v/>
      </c>
      <c r="B171" s="153" t="str">
        <f>Inventory!B171</f>
        <v/>
      </c>
      <c r="C171" s="153" t="str">
        <f>Inventory!C171</f>
        <v/>
      </c>
      <c r="D171" s="169" t="str">
        <f>Inventory!H171</f>
        <v/>
      </c>
      <c r="E171" s="170" t="str">
        <f>Inventory!I171</f>
        <v/>
      </c>
      <c r="F171" s="171" t="str">
        <f>IF(A171="","",Inventory!K171)</f>
        <v/>
      </c>
    </row>
    <row r="172" ht="14.25" customHeight="1">
      <c r="A172" s="151" t="str">
        <f>Inventory!A172</f>
        <v/>
      </c>
      <c r="B172" s="153" t="str">
        <f>Inventory!B172</f>
        <v/>
      </c>
      <c r="C172" s="153" t="str">
        <f>Inventory!C172</f>
        <v/>
      </c>
      <c r="D172" s="169" t="str">
        <f>Inventory!H172</f>
        <v/>
      </c>
      <c r="E172" s="170" t="str">
        <f>Inventory!I172</f>
        <v/>
      </c>
      <c r="F172" s="171" t="str">
        <f>IF(A172="","",Inventory!K172)</f>
        <v/>
      </c>
    </row>
    <row r="173" ht="14.25" customHeight="1">
      <c r="A173" s="151" t="str">
        <f>Inventory!A173</f>
        <v/>
      </c>
      <c r="B173" s="153" t="str">
        <f>Inventory!B173</f>
        <v/>
      </c>
      <c r="C173" s="153" t="str">
        <f>Inventory!C173</f>
        <v/>
      </c>
      <c r="D173" s="169" t="str">
        <f>Inventory!H173</f>
        <v/>
      </c>
      <c r="E173" s="170" t="str">
        <f>Inventory!I173</f>
        <v/>
      </c>
      <c r="F173" s="171" t="str">
        <f>IF(A173="","",Inventory!K173)</f>
        <v/>
      </c>
    </row>
    <row r="174" ht="14.25" customHeight="1">
      <c r="A174" s="151" t="str">
        <f>Inventory!A174</f>
        <v/>
      </c>
      <c r="B174" s="153" t="str">
        <f>Inventory!B174</f>
        <v/>
      </c>
      <c r="C174" s="153" t="str">
        <f>Inventory!C174</f>
        <v/>
      </c>
      <c r="D174" s="169" t="str">
        <f>Inventory!H174</f>
        <v/>
      </c>
      <c r="E174" s="170" t="str">
        <f>Inventory!I174</f>
        <v/>
      </c>
      <c r="F174" s="171" t="str">
        <f>IF(A174="","",Inventory!K174)</f>
        <v/>
      </c>
    </row>
    <row r="175" ht="14.25" customHeight="1">
      <c r="A175" s="151" t="str">
        <f>Inventory!A175</f>
        <v/>
      </c>
      <c r="B175" s="153" t="str">
        <f>Inventory!B175</f>
        <v/>
      </c>
      <c r="C175" s="153" t="str">
        <f>Inventory!C175</f>
        <v/>
      </c>
      <c r="D175" s="169" t="str">
        <f>Inventory!H175</f>
        <v/>
      </c>
      <c r="E175" s="170" t="str">
        <f>Inventory!I175</f>
        <v/>
      </c>
      <c r="F175" s="171" t="str">
        <f>IF(A175="","",Inventory!K175)</f>
        <v/>
      </c>
    </row>
    <row r="176" ht="14.25" customHeight="1">
      <c r="A176" s="151" t="str">
        <f>Inventory!A176</f>
        <v/>
      </c>
      <c r="B176" s="153" t="str">
        <f>Inventory!B176</f>
        <v/>
      </c>
      <c r="C176" s="153" t="str">
        <f>Inventory!C176</f>
        <v/>
      </c>
      <c r="D176" s="169" t="str">
        <f>Inventory!H176</f>
        <v/>
      </c>
      <c r="E176" s="170" t="str">
        <f>Inventory!I176</f>
        <v/>
      </c>
      <c r="F176" s="171" t="str">
        <f>IF(A176="","",Inventory!K176)</f>
        <v/>
      </c>
    </row>
    <row r="177" ht="14.25" customHeight="1">
      <c r="A177" s="151" t="str">
        <f>Inventory!A177</f>
        <v/>
      </c>
      <c r="B177" s="153" t="str">
        <f>Inventory!B177</f>
        <v/>
      </c>
      <c r="C177" s="153" t="str">
        <f>Inventory!C177</f>
        <v/>
      </c>
      <c r="D177" s="169" t="str">
        <f>Inventory!H177</f>
        <v/>
      </c>
      <c r="E177" s="170" t="str">
        <f>Inventory!I177</f>
        <v/>
      </c>
      <c r="F177" s="171" t="str">
        <f>IF(A177="","",Inventory!K177)</f>
        <v/>
      </c>
    </row>
    <row r="178" ht="14.25" customHeight="1">
      <c r="A178" s="151" t="str">
        <f>Inventory!A178</f>
        <v/>
      </c>
      <c r="B178" s="153" t="str">
        <f>Inventory!B178</f>
        <v/>
      </c>
      <c r="C178" s="153" t="str">
        <f>Inventory!C178</f>
        <v/>
      </c>
      <c r="D178" s="169" t="str">
        <f>Inventory!H178</f>
        <v/>
      </c>
      <c r="E178" s="170" t="str">
        <f>Inventory!I178</f>
        <v/>
      </c>
      <c r="F178" s="171" t="str">
        <f>IF(A178="","",Inventory!K178)</f>
        <v/>
      </c>
    </row>
    <row r="179" ht="14.25" customHeight="1">
      <c r="A179" s="151" t="str">
        <f>Inventory!A179</f>
        <v/>
      </c>
      <c r="B179" s="153" t="str">
        <f>Inventory!B179</f>
        <v/>
      </c>
      <c r="C179" s="153" t="str">
        <f>Inventory!C179</f>
        <v/>
      </c>
      <c r="D179" s="169" t="str">
        <f>Inventory!H179</f>
        <v/>
      </c>
      <c r="E179" s="170" t="str">
        <f>Inventory!I179</f>
        <v/>
      </c>
      <c r="F179" s="171" t="str">
        <f>IF(A179="","",Inventory!K179)</f>
        <v/>
      </c>
    </row>
    <row r="180" ht="14.25" customHeight="1">
      <c r="A180" s="151" t="str">
        <f>Inventory!A180</f>
        <v/>
      </c>
      <c r="B180" s="153" t="str">
        <f>Inventory!B180</f>
        <v/>
      </c>
      <c r="C180" s="153" t="str">
        <f>Inventory!C180</f>
        <v/>
      </c>
      <c r="D180" s="169" t="str">
        <f>Inventory!H180</f>
        <v/>
      </c>
      <c r="E180" s="170" t="str">
        <f>Inventory!I180</f>
        <v/>
      </c>
      <c r="F180" s="171" t="str">
        <f>IF(A180="","",Inventory!K180)</f>
        <v/>
      </c>
    </row>
    <row r="181" ht="14.25" customHeight="1">
      <c r="A181" s="151" t="str">
        <f>Inventory!A181</f>
        <v/>
      </c>
      <c r="B181" s="153" t="str">
        <f>Inventory!B181</f>
        <v/>
      </c>
      <c r="C181" s="153" t="str">
        <f>Inventory!C181</f>
        <v/>
      </c>
      <c r="D181" s="169" t="str">
        <f>Inventory!H181</f>
        <v/>
      </c>
      <c r="E181" s="170" t="str">
        <f>Inventory!I181</f>
        <v/>
      </c>
      <c r="F181" s="171" t="str">
        <f>IF(A181="","",Inventory!K181)</f>
        <v/>
      </c>
    </row>
    <row r="182" ht="14.25" customHeight="1">
      <c r="A182" s="151" t="str">
        <f>Inventory!A182</f>
        <v/>
      </c>
      <c r="B182" s="153" t="str">
        <f>Inventory!B182</f>
        <v/>
      </c>
      <c r="C182" s="153" t="str">
        <f>Inventory!C182</f>
        <v/>
      </c>
      <c r="D182" s="169" t="str">
        <f>Inventory!H182</f>
        <v/>
      </c>
      <c r="E182" s="170" t="str">
        <f>Inventory!I182</f>
        <v/>
      </c>
      <c r="F182" s="171" t="str">
        <f>IF(A182="","",Inventory!K182)</f>
        <v/>
      </c>
    </row>
    <row r="183" ht="14.25" customHeight="1">
      <c r="A183" s="151" t="str">
        <f>Inventory!A183</f>
        <v/>
      </c>
      <c r="B183" s="153" t="str">
        <f>Inventory!B183</f>
        <v/>
      </c>
      <c r="C183" s="153" t="str">
        <f>Inventory!C183</f>
        <v/>
      </c>
      <c r="D183" s="169" t="str">
        <f>Inventory!H183</f>
        <v/>
      </c>
      <c r="E183" s="170" t="str">
        <f>Inventory!I183</f>
        <v/>
      </c>
      <c r="F183" s="171" t="str">
        <f>IF(A183="","",Inventory!K183)</f>
        <v/>
      </c>
    </row>
    <row r="184" ht="14.25" customHeight="1">
      <c r="A184" s="151" t="str">
        <f>Inventory!A184</f>
        <v/>
      </c>
      <c r="B184" s="153" t="str">
        <f>Inventory!B184</f>
        <v/>
      </c>
      <c r="C184" s="153" t="str">
        <f>Inventory!C184</f>
        <v/>
      </c>
      <c r="D184" s="169" t="str">
        <f>Inventory!H184</f>
        <v/>
      </c>
      <c r="E184" s="170" t="str">
        <f>Inventory!I184</f>
        <v/>
      </c>
      <c r="F184" s="171" t="str">
        <f>IF(A184="","",Inventory!K184)</f>
        <v/>
      </c>
    </row>
    <row r="185" ht="14.25" customHeight="1">
      <c r="A185" s="151" t="str">
        <f>Inventory!A185</f>
        <v/>
      </c>
      <c r="B185" s="153" t="str">
        <f>Inventory!B185</f>
        <v/>
      </c>
      <c r="C185" s="153" t="str">
        <f>Inventory!C185</f>
        <v/>
      </c>
      <c r="D185" s="169" t="str">
        <f>Inventory!H185</f>
        <v/>
      </c>
      <c r="E185" s="170" t="str">
        <f>Inventory!I185</f>
        <v/>
      </c>
      <c r="F185" s="171" t="str">
        <f>IF(A185="","",Inventory!K185)</f>
        <v/>
      </c>
    </row>
    <row r="186" ht="14.25" customHeight="1">
      <c r="A186" s="151" t="str">
        <f>Inventory!A186</f>
        <v/>
      </c>
      <c r="B186" s="153" t="str">
        <f>Inventory!B186</f>
        <v/>
      </c>
      <c r="C186" s="153" t="str">
        <f>Inventory!C186</f>
        <v/>
      </c>
      <c r="D186" s="169" t="str">
        <f>Inventory!H186</f>
        <v/>
      </c>
      <c r="E186" s="170" t="str">
        <f>Inventory!I186</f>
        <v/>
      </c>
      <c r="F186" s="171" t="str">
        <f>IF(A186="","",Inventory!K186)</f>
        <v/>
      </c>
    </row>
    <row r="187" ht="14.25" customHeight="1">
      <c r="A187" s="151" t="str">
        <f>Inventory!A187</f>
        <v/>
      </c>
      <c r="B187" s="153" t="str">
        <f>Inventory!B187</f>
        <v/>
      </c>
      <c r="C187" s="153" t="str">
        <f>Inventory!C187</f>
        <v/>
      </c>
      <c r="D187" s="169" t="str">
        <f>Inventory!H187</f>
        <v/>
      </c>
      <c r="E187" s="170" t="str">
        <f>Inventory!I187</f>
        <v/>
      </c>
      <c r="F187" s="171" t="str">
        <f>IF(A187="","",Inventory!K187)</f>
        <v/>
      </c>
    </row>
    <row r="188" ht="14.25" customHeight="1">
      <c r="A188" s="151" t="str">
        <f>Inventory!A188</f>
        <v/>
      </c>
      <c r="B188" s="153" t="str">
        <f>Inventory!B188</f>
        <v/>
      </c>
      <c r="C188" s="153" t="str">
        <f>Inventory!C188</f>
        <v/>
      </c>
      <c r="D188" s="169" t="str">
        <f>Inventory!H188</f>
        <v/>
      </c>
      <c r="E188" s="170" t="str">
        <f>Inventory!I188</f>
        <v/>
      </c>
      <c r="F188" s="171" t="str">
        <f>IF(A188="","",Inventory!K188)</f>
        <v/>
      </c>
    </row>
    <row r="189" ht="14.25" customHeight="1">
      <c r="A189" s="151" t="str">
        <f>Inventory!A189</f>
        <v/>
      </c>
      <c r="B189" s="153" t="str">
        <f>Inventory!B189</f>
        <v/>
      </c>
      <c r="C189" s="153" t="str">
        <f>Inventory!C189</f>
        <v/>
      </c>
      <c r="D189" s="169" t="str">
        <f>Inventory!H189</f>
        <v/>
      </c>
      <c r="E189" s="170" t="str">
        <f>Inventory!I189</f>
        <v/>
      </c>
      <c r="F189" s="171" t="str">
        <f>IF(A189="","",Inventory!K189)</f>
        <v/>
      </c>
    </row>
    <row r="190" ht="14.25" customHeight="1">
      <c r="A190" s="151" t="str">
        <f>Inventory!A190</f>
        <v/>
      </c>
      <c r="B190" s="153" t="str">
        <f>Inventory!B190</f>
        <v/>
      </c>
      <c r="C190" s="153" t="str">
        <f>Inventory!C190</f>
        <v/>
      </c>
      <c r="D190" s="169" t="str">
        <f>Inventory!H190</f>
        <v/>
      </c>
      <c r="E190" s="170" t="str">
        <f>Inventory!I190</f>
        <v/>
      </c>
      <c r="F190" s="171" t="str">
        <f>IF(A190="","",Inventory!K190)</f>
        <v/>
      </c>
    </row>
    <row r="191" ht="14.25" customHeight="1">
      <c r="A191" s="151" t="str">
        <f>Inventory!A191</f>
        <v/>
      </c>
      <c r="B191" s="153" t="str">
        <f>Inventory!B191</f>
        <v/>
      </c>
      <c r="C191" s="153" t="str">
        <f>Inventory!C191</f>
        <v/>
      </c>
      <c r="D191" s="169" t="str">
        <f>Inventory!H191</f>
        <v/>
      </c>
      <c r="E191" s="170" t="str">
        <f>Inventory!I191</f>
        <v/>
      </c>
      <c r="F191" s="171" t="str">
        <f>IF(A191="","",Inventory!K191)</f>
        <v/>
      </c>
    </row>
    <row r="192" ht="14.25" customHeight="1">
      <c r="A192" s="151" t="str">
        <f>Inventory!A192</f>
        <v/>
      </c>
      <c r="B192" s="153" t="str">
        <f>Inventory!B192</f>
        <v/>
      </c>
      <c r="C192" s="153" t="str">
        <f>Inventory!C192</f>
        <v/>
      </c>
      <c r="D192" s="169" t="str">
        <f>Inventory!H192</f>
        <v/>
      </c>
      <c r="E192" s="170" t="str">
        <f>Inventory!I192</f>
        <v/>
      </c>
      <c r="F192" s="171" t="str">
        <f>IF(A192="","",Inventory!K192)</f>
        <v/>
      </c>
    </row>
    <row r="193" ht="14.25" customHeight="1">
      <c r="A193" s="151" t="str">
        <f>Inventory!A193</f>
        <v/>
      </c>
      <c r="B193" s="153" t="str">
        <f>Inventory!B193</f>
        <v/>
      </c>
      <c r="C193" s="153" t="str">
        <f>Inventory!C193</f>
        <v/>
      </c>
      <c r="D193" s="169" t="str">
        <f>Inventory!H193</f>
        <v/>
      </c>
      <c r="E193" s="170" t="str">
        <f>Inventory!I193</f>
        <v/>
      </c>
      <c r="F193" s="171" t="str">
        <f>IF(A193="","",Inventory!K193)</f>
        <v/>
      </c>
    </row>
    <row r="194" ht="14.25" customHeight="1">
      <c r="A194" s="151" t="str">
        <f>Inventory!A194</f>
        <v/>
      </c>
      <c r="B194" s="153" t="str">
        <f>Inventory!B194</f>
        <v/>
      </c>
      <c r="C194" s="153" t="str">
        <f>Inventory!C194</f>
        <v/>
      </c>
      <c r="D194" s="169" t="str">
        <f>Inventory!H194</f>
        <v/>
      </c>
      <c r="E194" s="170" t="str">
        <f>Inventory!I194</f>
        <v/>
      </c>
      <c r="F194" s="171" t="str">
        <f>IF(A194="","",Inventory!K194)</f>
        <v/>
      </c>
    </row>
    <row r="195" ht="14.25" customHeight="1">
      <c r="A195" s="151" t="str">
        <f>Inventory!A195</f>
        <v/>
      </c>
      <c r="B195" s="153" t="str">
        <f>Inventory!B195</f>
        <v/>
      </c>
      <c r="C195" s="153" t="str">
        <f>Inventory!C195</f>
        <v/>
      </c>
      <c r="D195" s="169" t="str">
        <f>Inventory!H195</f>
        <v/>
      </c>
      <c r="E195" s="170" t="str">
        <f>Inventory!I195</f>
        <v/>
      </c>
      <c r="F195" s="171" t="str">
        <f>IF(A195="","",Inventory!K195)</f>
        <v/>
      </c>
    </row>
    <row r="196" ht="14.25" customHeight="1">
      <c r="A196" s="151" t="str">
        <f>Inventory!A196</f>
        <v/>
      </c>
      <c r="B196" s="153" t="str">
        <f>Inventory!B196</f>
        <v/>
      </c>
      <c r="C196" s="153" t="str">
        <f>Inventory!C196</f>
        <v/>
      </c>
      <c r="D196" s="169" t="str">
        <f>Inventory!H196</f>
        <v/>
      </c>
      <c r="E196" s="170" t="str">
        <f>Inventory!I196</f>
        <v/>
      </c>
      <c r="F196" s="171" t="str">
        <f>IF(A196="","",Inventory!K196)</f>
        <v/>
      </c>
    </row>
    <row r="197" ht="14.25" customHeight="1">
      <c r="A197" s="151" t="str">
        <f>Inventory!A197</f>
        <v/>
      </c>
      <c r="B197" s="153" t="str">
        <f>Inventory!B197</f>
        <v/>
      </c>
      <c r="C197" s="153" t="str">
        <f>Inventory!C197</f>
        <v/>
      </c>
      <c r="D197" s="169" t="str">
        <f>Inventory!H197</f>
        <v/>
      </c>
      <c r="E197" s="170" t="str">
        <f>Inventory!I197</f>
        <v/>
      </c>
      <c r="F197" s="171" t="str">
        <f>IF(A197="","",Inventory!K197)</f>
        <v/>
      </c>
    </row>
    <row r="198" ht="14.25" customHeight="1">
      <c r="A198" s="151" t="str">
        <f>Inventory!A198</f>
        <v/>
      </c>
      <c r="B198" s="153" t="str">
        <f>Inventory!B198</f>
        <v/>
      </c>
      <c r="C198" s="153" t="str">
        <f>Inventory!C198</f>
        <v/>
      </c>
      <c r="D198" s="169" t="str">
        <f>Inventory!H198</f>
        <v/>
      </c>
      <c r="E198" s="170" t="str">
        <f>Inventory!I198</f>
        <v/>
      </c>
      <c r="F198" s="171" t="str">
        <f>IF(A198="","",Inventory!K198)</f>
        <v/>
      </c>
    </row>
    <row r="199" ht="14.25" customHeight="1">
      <c r="A199" s="151" t="str">
        <f>Inventory!A199</f>
        <v/>
      </c>
      <c r="B199" s="153" t="str">
        <f>Inventory!B199</f>
        <v/>
      </c>
      <c r="C199" s="153" t="str">
        <f>Inventory!C199</f>
        <v/>
      </c>
      <c r="D199" s="169" t="str">
        <f>Inventory!H199</f>
        <v/>
      </c>
      <c r="E199" s="170" t="str">
        <f>Inventory!I199</f>
        <v/>
      </c>
      <c r="F199" s="171" t="str">
        <f>IF(A199="","",Inventory!K199)</f>
        <v/>
      </c>
    </row>
    <row r="200" ht="14.25" customHeight="1">
      <c r="A200" s="151" t="str">
        <f>Inventory!A200</f>
        <v/>
      </c>
      <c r="B200" s="153" t="str">
        <f>Inventory!B200</f>
        <v/>
      </c>
      <c r="C200" s="153" t="str">
        <f>Inventory!C200</f>
        <v/>
      </c>
      <c r="D200" s="169" t="str">
        <f>Inventory!H200</f>
        <v/>
      </c>
      <c r="E200" s="170" t="str">
        <f>Inventory!I200</f>
        <v/>
      </c>
      <c r="F200" s="171" t="str">
        <f>IF(A200="","",Inventory!K200)</f>
        <v/>
      </c>
    </row>
    <row r="201" ht="14.25" customHeight="1">
      <c r="A201" s="151" t="str">
        <f>Inventory!A201</f>
        <v/>
      </c>
      <c r="B201" s="153" t="str">
        <f>Inventory!B201</f>
        <v/>
      </c>
      <c r="C201" s="153" t="str">
        <f>Inventory!C201</f>
        <v/>
      </c>
      <c r="D201" s="169" t="str">
        <f>Inventory!H201</f>
        <v/>
      </c>
      <c r="E201" s="170" t="str">
        <f>Inventory!I201</f>
        <v/>
      </c>
      <c r="F201" s="171" t="str">
        <f>IF(A201="","",Inventory!K201)</f>
        <v/>
      </c>
    </row>
    <row r="202" ht="14.25" customHeight="1">
      <c r="A202" s="151" t="str">
        <f>Inventory!A202</f>
        <v/>
      </c>
      <c r="B202" s="153" t="str">
        <f>Inventory!B202</f>
        <v/>
      </c>
      <c r="C202" s="153" t="str">
        <f>Inventory!C202</f>
        <v/>
      </c>
      <c r="D202" s="169" t="str">
        <f>Inventory!H202</f>
        <v/>
      </c>
      <c r="E202" s="170" t="str">
        <f>Inventory!I202</f>
        <v/>
      </c>
      <c r="F202" s="171" t="str">
        <f>IF(A202="","",Inventory!K202)</f>
        <v/>
      </c>
    </row>
    <row r="203" ht="14.25" customHeight="1">
      <c r="A203" s="151" t="str">
        <f>Inventory!A203</f>
        <v/>
      </c>
      <c r="B203" s="153" t="str">
        <f>Inventory!B203</f>
        <v/>
      </c>
      <c r="C203" s="153" t="str">
        <f>Inventory!C203</f>
        <v/>
      </c>
      <c r="D203" s="169" t="str">
        <f>Inventory!H203</f>
        <v/>
      </c>
      <c r="E203" s="170" t="str">
        <f>Inventory!I203</f>
        <v/>
      </c>
      <c r="F203" s="171" t="str">
        <f>IF(A203="","",Inventory!K203)</f>
        <v/>
      </c>
    </row>
    <row r="204" ht="14.25" customHeight="1">
      <c r="A204" s="151" t="str">
        <f>Inventory!A204</f>
        <v/>
      </c>
      <c r="B204" s="153" t="str">
        <f>Inventory!B204</f>
        <v/>
      </c>
      <c r="C204" s="153" t="str">
        <f>Inventory!C204</f>
        <v/>
      </c>
      <c r="D204" s="169" t="str">
        <f>Inventory!H204</f>
        <v/>
      </c>
      <c r="E204" s="170" t="str">
        <f>Inventory!I204</f>
        <v/>
      </c>
      <c r="F204" s="171" t="str">
        <f>IF(A204="","",Inventory!K204)</f>
        <v/>
      </c>
    </row>
    <row r="205" ht="14.25" customHeight="1">
      <c r="A205" s="151" t="str">
        <f>Inventory!A205</f>
        <v/>
      </c>
      <c r="B205" s="153" t="str">
        <f>Inventory!B205</f>
        <v/>
      </c>
      <c r="C205" s="153" t="str">
        <f>Inventory!C205</f>
        <v/>
      </c>
      <c r="D205" s="169" t="str">
        <f>Inventory!H205</f>
        <v/>
      </c>
      <c r="E205" s="170" t="str">
        <f>Inventory!I205</f>
        <v/>
      </c>
      <c r="F205" s="171" t="str">
        <f>IF(A205="","",Inventory!K205)</f>
        <v/>
      </c>
    </row>
    <row r="206" ht="14.25" customHeight="1">
      <c r="A206" s="151" t="str">
        <f>Inventory!A206</f>
        <v/>
      </c>
      <c r="B206" s="153" t="str">
        <f>Inventory!B206</f>
        <v/>
      </c>
      <c r="C206" s="153" t="str">
        <f>Inventory!C206</f>
        <v/>
      </c>
      <c r="D206" s="169" t="str">
        <f>Inventory!H206</f>
        <v/>
      </c>
      <c r="E206" s="170" t="str">
        <f>Inventory!I206</f>
        <v/>
      </c>
      <c r="F206" s="171" t="str">
        <f>IF(A206="","",Inventory!K206)</f>
        <v/>
      </c>
    </row>
    <row r="207" ht="14.25" customHeight="1">
      <c r="A207" s="151" t="str">
        <f>Inventory!A207</f>
        <v/>
      </c>
      <c r="B207" s="153" t="str">
        <f>Inventory!B207</f>
        <v/>
      </c>
      <c r="C207" s="153" t="str">
        <f>Inventory!C207</f>
        <v/>
      </c>
      <c r="D207" s="169" t="str">
        <f>Inventory!H207</f>
        <v/>
      </c>
      <c r="E207" s="170" t="str">
        <f>Inventory!I207</f>
        <v/>
      </c>
      <c r="F207" s="171" t="str">
        <f>IF(A207="","",Inventory!K207)</f>
        <v/>
      </c>
    </row>
    <row r="208" ht="14.25" customHeight="1">
      <c r="A208" s="151" t="str">
        <f>Inventory!A208</f>
        <v/>
      </c>
      <c r="B208" s="153" t="str">
        <f>Inventory!B208</f>
        <v/>
      </c>
      <c r="C208" s="153" t="str">
        <f>Inventory!C208</f>
        <v/>
      </c>
      <c r="D208" s="169" t="str">
        <f>Inventory!H208</f>
        <v/>
      </c>
      <c r="E208" s="170" t="str">
        <f>Inventory!I208</f>
        <v/>
      </c>
      <c r="F208" s="171" t="str">
        <f>IF(A208="","",Inventory!K208)</f>
        <v/>
      </c>
    </row>
    <row r="209" ht="14.25" customHeight="1">
      <c r="A209" s="151" t="str">
        <f>Inventory!A209</f>
        <v/>
      </c>
      <c r="B209" s="153" t="str">
        <f>Inventory!B209</f>
        <v/>
      </c>
      <c r="C209" s="153" t="str">
        <f>Inventory!C209</f>
        <v/>
      </c>
      <c r="D209" s="169" t="str">
        <f>Inventory!H209</f>
        <v/>
      </c>
      <c r="E209" s="170" t="str">
        <f>Inventory!I209</f>
        <v/>
      </c>
      <c r="F209" s="171" t="str">
        <f>IF(A209="","",Inventory!K209)</f>
        <v/>
      </c>
    </row>
    <row r="210" ht="14.25" customHeight="1">
      <c r="A210" s="151" t="str">
        <f>Inventory!A210</f>
        <v/>
      </c>
      <c r="B210" s="153" t="str">
        <f>Inventory!B210</f>
        <v/>
      </c>
      <c r="C210" s="153" t="str">
        <f>Inventory!C210</f>
        <v/>
      </c>
      <c r="D210" s="169" t="str">
        <f>Inventory!H210</f>
        <v/>
      </c>
      <c r="E210" s="170" t="str">
        <f>Inventory!I210</f>
        <v/>
      </c>
      <c r="F210" s="171" t="str">
        <f>IF(A210="","",Inventory!K210)</f>
        <v/>
      </c>
    </row>
    <row r="211" ht="14.25" customHeight="1">
      <c r="A211" s="151" t="str">
        <f>Inventory!A211</f>
        <v/>
      </c>
      <c r="B211" s="153" t="str">
        <f>Inventory!B211</f>
        <v/>
      </c>
      <c r="C211" s="153" t="str">
        <f>Inventory!C211</f>
        <v/>
      </c>
      <c r="D211" s="169" t="str">
        <f>Inventory!H211</f>
        <v/>
      </c>
      <c r="E211" s="170" t="str">
        <f>Inventory!I211</f>
        <v/>
      </c>
      <c r="F211" s="171" t="str">
        <f>IF(A211="","",Inventory!K211)</f>
        <v/>
      </c>
    </row>
    <row r="212" ht="14.25" customHeight="1">
      <c r="A212" s="151" t="str">
        <f>Inventory!A212</f>
        <v/>
      </c>
      <c r="B212" s="153" t="str">
        <f>Inventory!B212</f>
        <v/>
      </c>
      <c r="C212" s="153" t="str">
        <f>Inventory!C212</f>
        <v/>
      </c>
      <c r="D212" s="169" t="str">
        <f>Inventory!H212</f>
        <v/>
      </c>
      <c r="E212" s="170" t="str">
        <f>Inventory!I212</f>
        <v/>
      </c>
      <c r="F212" s="171" t="str">
        <f>IF(A212="","",Inventory!K212)</f>
        <v/>
      </c>
    </row>
    <row r="213" ht="14.25" customHeight="1">
      <c r="A213" s="151" t="str">
        <f>Inventory!A213</f>
        <v/>
      </c>
      <c r="B213" s="153" t="str">
        <f>Inventory!B213</f>
        <v/>
      </c>
      <c r="C213" s="153" t="str">
        <f>Inventory!C213</f>
        <v/>
      </c>
      <c r="D213" s="169" t="str">
        <f>Inventory!H213</f>
        <v/>
      </c>
      <c r="E213" s="170" t="str">
        <f>Inventory!I213</f>
        <v/>
      </c>
      <c r="F213" s="171" t="str">
        <f>IF(A213="","",Inventory!K213)</f>
        <v/>
      </c>
    </row>
    <row r="214" ht="14.25" customHeight="1">
      <c r="A214" s="151" t="str">
        <f>Inventory!A214</f>
        <v/>
      </c>
      <c r="B214" s="153" t="str">
        <f>Inventory!B214</f>
        <v/>
      </c>
      <c r="C214" s="153" t="str">
        <f>Inventory!C214</f>
        <v/>
      </c>
      <c r="D214" s="169" t="str">
        <f>Inventory!H214</f>
        <v/>
      </c>
      <c r="E214" s="170" t="str">
        <f>Inventory!I214</f>
        <v/>
      </c>
      <c r="F214" s="171" t="str">
        <f>IF(A214="","",Inventory!K214)</f>
        <v/>
      </c>
    </row>
    <row r="215" ht="14.25" customHeight="1">
      <c r="A215" s="151" t="str">
        <f>Inventory!A215</f>
        <v/>
      </c>
      <c r="B215" s="153" t="str">
        <f>Inventory!B215</f>
        <v/>
      </c>
      <c r="C215" s="153" t="str">
        <f>Inventory!C215</f>
        <v/>
      </c>
      <c r="D215" s="169" t="str">
        <f>Inventory!H215</f>
        <v/>
      </c>
      <c r="E215" s="170" t="str">
        <f>Inventory!I215</f>
        <v/>
      </c>
      <c r="F215" s="171" t="str">
        <f>IF(A215="","",Inventory!K215)</f>
        <v/>
      </c>
    </row>
    <row r="216" ht="14.25" customHeight="1">
      <c r="A216" s="151" t="str">
        <f>Inventory!A216</f>
        <v/>
      </c>
      <c r="B216" s="153" t="str">
        <f>Inventory!B216</f>
        <v/>
      </c>
      <c r="C216" s="153" t="str">
        <f>Inventory!C216</f>
        <v/>
      </c>
      <c r="D216" s="169" t="str">
        <f>Inventory!H216</f>
        <v/>
      </c>
      <c r="E216" s="170" t="str">
        <f>Inventory!I216</f>
        <v/>
      </c>
      <c r="F216" s="171" t="str">
        <f>IF(A216="","",Inventory!K216)</f>
        <v/>
      </c>
    </row>
    <row r="217" ht="14.25" customHeight="1">
      <c r="A217" s="151" t="str">
        <f>Inventory!A217</f>
        <v/>
      </c>
      <c r="B217" s="153" t="str">
        <f>Inventory!B217</f>
        <v/>
      </c>
      <c r="C217" s="153" t="str">
        <f>Inventory!C217</f>
        <v/>
      </c>
      <c r="D217" s="169" t="str">
        <f>Inventory!H217</f>
        <v/>
      </c>
      <c r="E217" s="170" t="str">
        <f>Inventory!I217</f>
        <v/>
      </c>
      <c r="F217" s="171" t="str">
        <f>IF(A217="","",Inventory!K217)</f>
        <v/>
      </c>
    </row>
    <row r="218" ht="14.25" customHeight="1">
      <c r="A218" s="151" t="str">
        <f>Inventory!A218</f>
        <v/>
      </c>
      <c r="B218" s="153" t="str">
        <f>Inventory!B218</f>
        <v/>
      </c>
      <c r="C218" s="153" t="str">
        <f>Inventory!C218</f>
        <v/>
      </c>
      <c r="D218" s="169" t="str">
        <f>Inventory!H218</f>
        <v/>
      </c>
      <c r="E218" s="170" t="str">
        <f>Inventory!I218</f>
        <v/>
      </c>
      <c r="F218" s="171" t="str">
        <f>IF(A218="","",Inventory!K218)</f>
        <v/>
      </c>
    </row>
    <row r="219" ht="14.25" customHeight="1">
      <c r="A219" s="151" t="str">
        <f>Inventory!A219</f>
        <v/>
      </c>
      <c r="B219" s="153" t="str">
        <f>Inventory!B219</f>
        <v/>
      </c>
      <c r="C219" s="153" t="str">
        <f>Inventory!C219</f>
        <v/>
      </c>
      <c r="D219" s="169" t="str">
        <f>Inventory!H219</f>
        <v/>
      </c>
      <c r="E219" s="170" t="str">
        <f>Inventory!I219</f>
        <v/>
      </c>
      <c r="F219" s="171" t="str">
        <f>IF(A219="","",Inventory!K219)</f>
        <v/>
      </c>
    </row>
    <row r="220" ht="14.25" customHeight="1">
      <c r="A220" s="151" t="str">
        <f>Inventory!A220</f>
        <v/>
      </c>
      <c r="B220" s="153" t="str">
        <f>Inventory!B220</f>
        <v/>
      </c>
      <c r="C220" s="153" t="str">
        <f>Inventory!C220</f>
        <v/>
      </c>
      <c r="D220" s="169" t="str">
        <f>Inventory!H220</f>
        <v/>
      </c>
      <c r="E220" s="170" t="str">
        <f>Inventory!I220</f>
        <v/>
      </c>
      <c r="F220" s="171" t="str">
        <f>IF(A220="","",Inventory!K220)</f>
        <v/>
      </c>
    </row>
    <row r="221" ht="14.25" customHeight="1">
      <c r="A221" s="151" t="str">
        <f>Inventory!A221</f>
        <v/>
      </c>
      <c r="B221" s="153" t="str">
        <f>Inventory!B221</f>
        <v/>
      </c>
      <c r="C221" s="153" t="str">
        <f>Inventory!C221</f>
        <v/>
      </c>
      <c r="D221" s="169" t="str">
        <f>Inventory!H221</f>
        <v/>
      </c>
      <c r="E221" s="170" t="str">
        <f>Inventory!I221</f>
        <v/>
      </c>
      <c r="F221" s="171" t="str">
        <f>IF(A221="","",Inventory!K221)</f>
        <v/>
      </c>
    </row>
    <row r="222" ht="14.25" customHeight="1">
      <c r="A222" s="151" t="str">
        <f>Inventory!A222</f>
        <v/>
      </c>
      <c r="B222" s="153" t="str">
        <f>Inventory!B222</f>
        <v/>
      </c>
      <c r="C222" s="153" t="str">
        <f>Inventory!C222</f>
        <v/>
      </c>
      <c r="D222" s="169" t="str">
        <f>Inventory!H222</f>
        <v/>
      </c>
      <c r="E222" s="170" t="str">
        <f>Inventory!I222</f>
        <v/>
      </c>
      <c r="F222" s="171" t="str">
        <f>IF(A222="","",Inventory!K222)</f>
        <v/>
      </c>
    </row>
    <row r="223" ht="14.25" customHeight="1">
      <c r="A223" s="151" t="str">
        <f>Inventory!A223</f>
        <v/>
      </c>
      <c r="B223" s="153" t="str">
        <f>Inventory!B223</f>
        <v/>
      </c>
      <c r="C223" s="153" t="str">
        <f>Inventory!C223</f>
        <v/>
      </c>
      <c r="D223" s="169" t="str">
        <f>Inventory!H223</f>
        <v/>
      </c>
      <c r="E223" s="170" t="str">
        <f>Inventory!I223</f>
        <v/>
      </c>
      <c r="F223" s="171" t="str">
        <f>IF(A223="","",Inventory!K223)</f>
        <v/>
      </c>
    </row>
    <row r="224" ht="14.25" customHeight="1">
      <c r="A224" s="151" t="str">
        <f>Inventory!A224</f>
        <v/>
      </c>
      <c r="B224" s="153" t="str">
        <f>Inventory!B224</f>
        <v/>
      </c>
      <c r="C224" s="153" t="str">
        <f>Inventory!C224</f>
        <v/>
      </c>
      <c r="D224" s="169" t="str">
        <f>Inventory!H224</f>
        <v/>
      </c>
      <c r="E224" s="170" t="str">
        <f>Inventory!I224</f>
        <v/>
      </c>
      <c r="F224" s="171" t="str">
        <f>IF(A224="","",Inventory!K224)</f>
        <v/>
      </c>
    </row>
    <row r="225" ht="14.25" customHeight="1">
      <c r="A225" s="151" t="str">
        <f>Inventory!A225</f>
        <v/>
      </c>
      <c r="B225" s="153" t="str">
        <f>Inventory!B225</f>
        <v/>
      </c>
      <c r="C225" s="153" t="str">
        <f>Inventory!C225</f>
        <v/>
      </c>
      <c r="D225" s="169" t="str">
        <f>Inventory!H225</f>
        <v/>
      </c>
      <c r="E225" s="170" t="str">
        <f>Inventory!I225</f>
        <v/>
      </c>
      <c r="F225" s="171" t="str">
        <f>IF(A225="","",Inventory!K225)</f>
        <v/>
      </c>
    </row>
    <row r="226" ht="14.25" customHeight="1">
      <c r="A226" s="151" t="str">
        <f>Inventory!A226</f>
        <v/>
      </c>
      <c r="B226" s="153" t="str">
        <f>Inventory!B226</f>
        <v/>
      </c>
      <c r="C226" s="153" t="str">
        <f>Inventory!C226</f>
        <v/>
      </c>
      <c r="D226" s="169" t="str">
        <f>Inventory!H226</f>
        <v/>
      </c>
      <c r="E226" s="170" t="str">
        <f>Inventory!I226</f>
        <v/>
      </c>
      <c r="F226" s="171" t="str">
        <f>IF(A226="","",Inventory!K226)</f>
        <v/>
      </c>
    </row>
    <row r="227" ht="14.25" customHeight="1">
      <c r="A227" s="151" t="str">
        <f>Inventory!A227</f>
        <v/>
      </c>
      <c r="B227" s="153" t="str">
        <f>Inventory!B227</f>
        <v/>
      </c>
      <c r="C227" s="153" t="str">
        <f>Inventory!C227</f>
        <v/>
      </c>
      <c r="D227" s="169" t="str">
        <f>Inventory!H227</f>
        <v/>
      </c>
      <c r="E227" s="170" t="str">
        <f>Inventory!I227</f>
        <v/>
      </c>
      <c r="F227" s="171" t="str">
        <f>IF(A227="","",Inventory!K227)</f>
        <v/>
      </c>
    </row>
    <row r="228" ht="14.25" customHeight="1">
      <c r="A228" s="151" t="str">
        <f>Inventory!A228</f>
        <v/>
      </c>
      <c r="B228" s="153" t="str">
        <f>Inventory!B228</f>
        <v/>
      </c>
      <c r="C228" s="153" t="str">
        <f>Inventory!C228</f>
        <v/>
      </c>
      <c r="D228" s="169" t="str">
        <f>Inventory!H228</f>
        <v/>
      </c>
      <c r="E228" s="170" t="str">
        <f>Inventory!I228</f>
        <v/>
      </c>
      <c r="F228" s="171" t="str">
        <f>IF(A228="","",Inventory!K228)</f>
        <v/>
      </c>
    </row>
    <row r="229" ht="14.25" customHeight="1">
      <c r="A229" s="151" t="str">
        <f>Inventory!A229</f>
        <v/>
      </c>
      <c r="B229" s="153" t="str">
        <f>Inventory!B229</f>
        <v/>
      </c>
      <c r="C229" s="153" t="str">
        <f>Inventory!C229</f>
        <v/>
      </c>
      <c r="D229" s="169" t="str">
        <f>Inventory!H229</f>
        <v/>
      </c>
      <c r="E229" s="170" t="str">
        <f>Inventory!I229</f>
        <v/>
      </c>
      <c r="F229" s="171" t="str">
        <f>IF(A229="","",Inventory!K229)</f>
        <v/>
      </c>
    </row>
    <row r="230" ht="14.25" customHeight="1">
      <c r="A230" s="151" t="str">
        <f>Inventory!A230</f>
        <v/>
      </c>
      <c r="B230" s="153" t="str">
        <f>Inventory!B230</f>
        <v/>
      </c>
      <c r="C230" s="153" t="str">
        <f>Inventory!C230</f>
        <v/>
      </c>
      <c r="D230" s="169" t="str">
        <f>Inventory!H230</f>
        <v/>
      </c>
      <c r="E230" s="170" t="str">
        <f>Inventory!I230</f>
        <v/>
      </c>
      <c r="F230" s="171" t="str">
        <f>IF(A230="","",Inventory!K230)</f>
        <v/>
      </c>
    </row>
    <row r="231" ht="14.25" customHeight="1">
      <c r="A231" s="151" t="str">
        <f>Inventory!A231</f>
        <v/>
      </c>
      <c r="B231" s="153" t="str">
        <f>Inventory!B231</f>
        <v/>
      </c>
      <c r="C231" s="153" t="str">
        <f>Inventory!C231</f>
        <v/>
      </c>
      <c r="D231" s="169" t="str">
        <f>Inventory!H231</f>
        <v/>
      </c>
      <c r="E231" s="170" t="str">
        <f>Inventory!I231</f>
        <v/>
      </c>
      <c r="F231" s="171" t="str">
        <f>IF(A231="","",Inventory!K231)</f>
        <v/>
      </c>
    </row>
    <row r="232" ht="14.25" customHeight="1">
      <c r="A232" s="151" t="str">
        <f>Inventory!A232</f>
        <v/>
      </c>
      <c r="B232" s="153" t="str">
        <f>Inventory!B232</f>
        <v/>
      </c>
      <c r="C232" s="153" t="str">
        <f>Inventory!C232</f>
        <v/>
      </c>
      <c r="D232" s="169" t="str">
        <f>Inventory!H232</f>
        <v/>
      </c>
      <c r="E232" s="170" t="str">
        <f>Inventory!I232</f>
        <v/>
      </c>
      <c r="F232" s="171" t="str">
        <f>IF(A232="","",Inventory!K232)</f>
        <v/>
      </c>
    </row>
    <row r="233" ht="14.25" customHeight="1">
      <c r="A233" s="151" t="str">
        <f>Inventory!A233</f>
        <v/>
      </c>
      <c r="B233" s="153" t="str">
        <f>Inventory!B233</f>
        <v/>
      </c>
      <c r="C233" s="153" t="str">
        <f>Inventory!C233</f>
        <v/>
      </c>
      <c r="D233" s="169" t="str">
        <f>Inventory!H233</f>
        <v/>
      </c>
      <c r="E233" s="170" t="str">
        <f>Inventory!I233</f>
        <v/>
      </c>
      <c r="F233" s="171" t="str">
        <f>IF(A233="","",Inventory!K233)</f>
        <v/>
      </c>
    </row>
    <row r="234" ht="14.25" customHeight="1">
      <c r="A234" s="151" t="str">
        <f>Inventory!A234</f>
        <v/>
      </c>
      <c r="B234" s="153" t="str">
        <f>Inventory!B234</f>
        <v/>
      </c>
      <c r="C234" s="153" t="str">
        <f>Inventory!C234</f>
        <v/>
      </c>
      <c r="D234" s="169" t="str">
        <f>Inventory!H234</f>
        <v/>
      </c>
      <c r="E234" s="170" t="str">
        <f>Inventory!I234</f>
        <v/>
      </c>
      <c r="F234" s="171" t="str">
        <f>IF(A234="","",Inventory!K234)</f>
        <v/>
      </c>
    </row>
    <row r="235" ht="14.25" customHeight="1">
      <c r="A235" s="151" t="str">
        <f>Inventory!A235</f>
        <v/>
      </c>
      <c r="B235" s="153" t="str">
        <f>Inventory!B235</f>
        <v/>
      </c>
      <c r="C235" s="153" t="str">
        <f>Inventory!C235</f>
        <v/>
      </c>
      <c r="D235" s="169" t="str">
        <f>Inventory!H235</f>
        <v/>
      </c>
      <c r="E235" s="170" t="str">
        <f>Inventory!I235</f>
        <v/>
      </c>
      <c r="F235" s="171" t="str">
        <f>IF(A235="","",Inventory!K235)</f>
        <v/>
      </c>
    </row>
    <row r="236" ht="14.25" customHeight="1">
      <c r="A236" s="151" t="str">
        <f>Inventory!A236</f>
        <v/>
      </c>
      <c r="B236" s="153" t="str">
        <f>Inventory!B236</f>
        <v/>
      </c>
      <c r="C236" s="153" t="str">
        <f>Inventory!C236</f>
        <v/>
      </c>
      <c r="D236" s="169" t="str">
        <f>Inventory!H236</f>
        <v/>
      </c>
      <c r="E236" s="170" t="str">
        <f>Inventory!I236</f>
        <v/>
      </c>
      <c r="F236" s="171" t="str">
        <f>IF(A236="","",Inventory!K236)</f>
        <v/>
      </c>
    </row>
    <row r="237" ht="14.25" customHeight="1">
      <c r="A237" s="151" t="str">
        <f>Inventory!A237</f>
        <v/>
      </c>
      <c r="B237" s="153" t="str">
        <f>Inventory!B237</f>
        <v/>
      </c>
      <c r="C237" s="153" t="str">
        <f>Inventory!C237</f>
        <v/>
      </c>
      <c r="D237" s="169" t="str">
        <f>Inventory!H237</f>
        <v/>
      </c>
      <c r="E237" s="170" t="str">
        <f>Inventory!I237</f>
        <v/>
      </c>
      <c r="F237" s="171" t="str">
        <f>IF(A237="","",Inventory!K237)</f>
        <v/>
      </c>
    </row>
    <row r="238" ht="14.25" customHeight="1">
      <c r="A238" s="151" t="str">
        <f>Inventory!A238</f>
        <v/>
      </c>
      <c r="B238" s="153" t="str">
        <f>Inventory!B238</f>
        <v/>
      </c>
      <c r="C238" s="153" t="str">
        <f>Inventory!C238</f>
        <v/>
      </c>
      <c r="D238" s="169" t="str">
        <f>Inventory!H238</f>
        <v/>
      </c>
      <c r="E238" s="170" t="str">
        <f>Inventory!I238</f>
        <v/>
      </c>
      <c r="F238" s="171" t="str">
        <f>IF(A238="","",Inventory!K238)</f>
        <v/>
      </c>
    </row>
    <row r="239" ht="14.25" customHeight="1">
      <c r="A239" s="151" t="str">
        <f>Inventory!A239</f>
        <v/>
      </c>
      <c r="B239" s="153" t="str">
        <f>Inventory!B239</f>
        <v/>
      </c>
      <c r="C239" s="153" t="str">
        <f>Inventory!C239</f>
        <v/>
      </c>
      <c r="D239" s="169" t="str">
        <f>Inventory!H239</f>
        <v/>
      </c>
      <c r="E239" s="170" t="str">
        <f>Inventory!I239</f>
        <v/>
      </c>
      <c r="F239" s="171" t="str">
        <f>IF(A239="","",Inventory!K239)</f>
        <v/>
      </c>
    </row>
    <row r="240" ht="14.25" customHeight="1">
      <c r="A240" s="151" t="str">
        <f>Inventory!A240</f>
        <v/>
      </c>
      <c r="B240" s="153" t="str">
        <f>Inventory!B240</f>
        <v/>
      </c>
      <c r="C240" s="153" t="str">
        <f>Inventory!C240</f>
        <v/>
      </c>
      <c r="D240" s="169" t="str">
        <f>Inventory!H240</f>
        <v/>
      </c>
      <c r="E240" s="170" t="str">
        <f>Inventory!I240</f>
        <v/>
      </c>
      <c r="F240" s="171" t="str">
        <f>IF(A240="","",Inventory!K240)</f>
        <v/>
      </c>
    </row>
    <row r="241" ht="14.25" customHeight="1">
      <c r="A241" s="151" t="str">
        <f>Inventory!A241</f>
        <v/>
      </c>
      <c r="B241" s="153" t="str">
        <f>Inventory!B241</f>
        <v/>
      </c>
      <c r="C241" s="153" t="str">
        <f>Inventory!C241</f>
        <v/>
      </c>
      <c r="D241" s="169" t="str">
        <f>Inventory!H241</f>
        <v/>
      </c>
      <c r="E241" s="170" t="str">
        <f>Inventory!I241</f>
        <v/>
      </c>
      <c r="F241" s="171" t="str">
        <f>IF(A241="","",Inventory!K241)</f>
        <v/>
      </c>
    </row>
    <row r="242" ht="14.25" customHeight="1">
      <c r="A242" s="151" t="str">
        <f>Inventory!A242</f>
        <v/>
      </c>
      <c r="B242" s="153" t="str">
        <f>Inventory!B242</f>
        <v/>
      </c>
      <c r="C242" s="153" t="str">
        <f>Inventory!C242</f>
        <v/>
      </c>
      <c r="D242" s="169" t="str">
        <f>Inventory!H242</f>
        <v/>
      </c>
      <c r="E242" s="170" t="str">
        <f>Inventory!I242</f>
        <v/>
      </c>
      <c r="F242" s="171" t="str">
        <f>IF(A242="","",Inventory!K242)</f>
        <v/>
      </c>
    </row>
    <row r="243" ht="14.25" customHeight="1">
      <c r="A243" s="151" t="str">
        <f>Inventory!A243</f>
        <v/>
      </c>
      <c r="B243" s="153" t="str">
        <f>Inventory!B243</f>
        <v/>
      </c>
      <c r="C243" s="153" t="str">
        <f>Inventory!C243</f>
        <v/>
      </c>
      <c r="D243" s="169" t="str">
        <f>Inventory!H243</f>
        <v/>
      </c>
      <c r="E243" s="170" t="str">
        <f>Inventory!I243</f>
        <v/>
      </c>
      <c r="F243" s="171" t="str">
        <f>IF(A243="","",Inventory!K243)</f>
        <v/>
      </c>
    </row>
    <row r="244" ht="14.25" customHeight="1">
      <c r="A244" s="151" t="str">
        <f>Inventory!A244</f>
        <v/>
      </c>
      <c r="B244" s="153" t="str">
        <f>Inventory!B244</f>
        <v/>
      </c>
      <c r="C244" s="153" t="str">
        <f>Inventory!C244</f>
        <v/>
      </c>
      <c r="D244" s="169" t="str">
        <f>Inventory!H244</f>
        <v/>
      </c>
      <c r="E244" s="170" t="str">
        <f>Inventory!I244</f>
        <v/>
      </c>
      <c r="F244" s="171" t="str">
        <f>IF(A244="","",Inventory!K244)</f>
        <v/>
      </c>
    </row>
    <row r="245" ht="14.25" customHeight="1">
      <c r="A245" s="151" t="str">
        <f>Inventory!A245</f>
        <v/>
      </c>
      <c r="B245" s="153" t="str">
        <f>Inventory!B245</f>
        <v/>
      </c>
      <c r="C245" s="153" t="str">
        <f>Inventory!C245</f>
        <v/>
      </c>
      <c r="D245" s="169" t="str">
        <f>Inventory!H245</f>
        <v/>
      </c>
      <c r="E245" s="170" t="str">
        <f>Inventory!I245</f>
        <v/>
      </c>
      <c r="F245" s="171" t="str">
        <f>IF(A245="","",Inventory!K245)</f>
        <v/>
      </c>
    </row>
    <row r="246" ht="14.25" customHeight="1">
      <c r="A246" s="151" t="str">
        <f>Inventory!A246</f>
        <v/>
      </c>
      <c r="B246" s="153" t="str">
        <f>Inventory!B246</f>
        <v/>
      </c>
      <c r="C246" s="153" t="str">
        <f>Inventory!C246</f>
        <v/>
      </c>
      <c r="D246" s="169" t="str">
        <f>Inventory!H246</f>
        <v/>
      </c>
      <c r="E246" s="170" t="str">
        <f>Inventory!I246</f>
        <v/>
      </c>
      <c r="F246" s="171" t="str">
        <f>IF(A246="","",Inventory!K246)</f>
        <v/>
      </c>
    </row>
    <row r="247" ht="14.25" customHeight="1">
      <c r="A247" s="151" t="str">
        <f>Inventory!A247</f>
        <v/>
      </c>
      <c r="B247" s="153" t="str">
        <f>Inventory!B247</f>
        <v/>
      </c>
      <c r="C247" s="153" t="str">
        <f>Inventory!C247</f>
        <v/>
      </c>
      <c r="D247" s="169" t="str">
        <f>Inventory!H247</f>
        <v/>
      </c>
      <c r="E247" s="170" t="str">
        <f>Inventory!I247</f>
        <v/>
      </c>
      <c r="F247" s="171" t="str">
        <f>IF(A247="","",Inventory!K247)</f>
        <v/>
      </c>
    </row>
    <row r="248" ht="14.25" customHeight="1">
      <c r="A248" s="151" t="str">
        <f>Inventory!A248</f>
        <v/>
      </c>
      <c r="B248" s="153" t="str">
        <f>Inventory!B248</f>
        <v/>
      </c>
      <c r="C248" s="153" t="str">
        <f>Inventory!C248</f>
        <v/>
      </c>
      <c r="D248" s="169" t="str">
        <f>Inventory!H248</f>
        <v/>
      </c>
      <c r="E248" s="170" t="str">
        <f>Inventory!I248</f>
        <v/>
      </c>
      <c r="F248" s="171" t="str">
        <f>IF(A248="","",Inventory!K248)</f>
        <v/>
      </c>
    </row>
    <row r="249" ht="14.25" customHeight="1">
      <c r="A249" s="151" t="str">
        <f>Inventory!A249</f>
        <v/>
      </c>
      <c r="B249" s="153" t="str">
        <f>Inventory!B249</f>
        <v/>
      </c>
      <c r="C249" s="153" t="str">
        <f>Inventory!C249</f>
        <v/>
      </c>
      <c r="D249" s="169" t="str">
        <f>Inventory!H249</f>
        <v/>
      </c>
      <c r="E249" s="170" t="str">
        <f>Inventory!I249</f>
        <v/>
      </c>
      <c r="F249" s="171" t="str">
        <f>IF(A249="","",Inventory!K249)</f>
        <v/>
      </c>
    </row>
    <row r="250" ht="14.25" customHeight="1">
      <c r="A250" s="151" t="str">
        <f>Inventory!A250</f>
        <v/>
      </c>
      <c r="B250" s="153" t="str">
        <f>Inventory!B250</f>
        <v/>
      </c>
      <c r="C250" s="153" t="str">
        <f>Inventory!C250</f>
        <v/>
      </c>
      <c r="D250" s="169" t="str">
        <f>Inventory!H250</f>
        <v/>
      </c>
      <c r="E250" s="170" t="str">
        <f>Inventory!I250</f>
        <v/>
      </c>
      <c r="F250" s="171" t="str">
        <f>IF(A250="","",Inventory!K250)</f>
        <v/>
      </c>
    </row>
    <row r="251" ht="14.25" customHeight="1">
      <c r="A251" s="151" t="str">
        <f>Inventory!A251</f>
        <v/>
      </c>
      <c r="B251" s="153" t="str">
        <f>Inventory!B251</f>
        <v/>
      </c>
      <c r="C251" s="153" t="str">
        <f>Inventory!C251</f>
        <v/>
      </c>
      <c r="D251" s="169" t="str">
        <f>Inventory!H251</f>
        <v/>
      </c>
      <c r="E251" s="170" t="str">
        <f>Inventory!I251</f>
        <v/>
      </c>
      <c r="F251" s="171" t="str">
        <f>IF(A251="","",Inventory!K251)</f>
        <v/>
      </c>
    </row>
    <row r="252" ht="14.25" customHeight="1">
      <c r="A252" s="151" t="str">
        <f>Inventory!A252</f>
        <v/>
      </c>
      <c r="B252" s="153" t="str">
        <f>Inventory!B252</f>
        <v/>
      </c>
      <c r="C252" s="153" t="str">
        <f>Inventory!C252</f>
        <v/>
      </c>
      <c r="D252" s="169" t="str">
        <f>Inventory!H252</f>
        <v/>
      </c>
      <c r="E252" s="170" t="str">
        <f>Inventory!I252</f>
        <v/>
      </c>
      <c r="F252" s="171" t="str">
        <f>IF(A252="","",Inventory!K252)</f>
        <v/>
      </c>
    </row>
    <row r="253" ht="14.25" customHeight="1">
      <c r="A253" s="151" t="str">
        <f>Inventory!A253</f>
        <v/>
      </c>
      <c r="B253" s="153" t="str">
        <f>Inventory!B253</f>
        <v/>
      </c>
      <c r="C253" s="153" t="str">
        <f>Inventory!C253</f>
        <v/>
      </c>
      <c r="D253" s="169" t="str">
        <f>Inventory!H253</f>
        <v/>
      </c>
      <c r="E253" s="170" t="str">
        <f>Inventory!I253</f>
        <v/>
      </c>
      <c r="F253" s="171" t="str">
        <f>IF(A253="","",Inventory!K253)</f>
        <v/>
      </c>
    </row>
    <row r="254" ht="14.25" customHeight="1">
      <c r="A254" s="151" t="str">
        <f>Inventory!A254</f>
        <v/>
      </c>
      <c r="B254" s="153" t="str">
        <f>Inventory!B254</f>
        <v/>
      </c>
      <c r="C254" s="153" t="str">
        <f>Inventory!C254</f>
        <v/>
      </c>
      <c r="D254" s="169" t="str">
        <f>Inventory!H254</f>
        <v/>
      </c>
      <c r="E254" s="170" t="str">
        <f>Inventory!I254</f>
        <v/>
      </c>
      <c r="F254" s="171" t="str">
        <f>IF(A254="","",Inventory!K254)</f>
        <v/>
      </c>
    </row>
    <row r="255" ht="14.25" customHeight="1">
      <c r="A255" s="151" t="str">
        <f>Inventory!A255</f>
        <v/>
      </c>
      <c r="B255" s="153" t="str">
        <f>Inventory!B255</f>
        <v/>
      </c>
      <c r="C255" s="153" t="str">
        <f>Inventory!C255</f>
        <v/>
      </c>
      <c r="D255" s="169" t="str">
        <f>Inventory!H255</f>
        <v/>
      </c>
      <c r="E255" s="170" t="str">
        <f>Inventory!I255</f>
        <v/>
      </c>
      <c r="F255" s="171" t="str">
        <f>IF(A255="","",Inventory!K255)</f>
        <v/>
      </c>
    </row>
    <row r="256" ht="14.25" customHeight="1">
      <c r="A256" s="151" t="str">
        <f>Inventory!A256</f>
        <v/>
      </c>
      <c r="B256" s="153" t="str">
        <f>Inventory!B256</f>
        <v/>
      </c>
      <c r="C256" s="153" t="str">
        <f>Inventory!C256</f>
        <v/>
      </c>
      <c r="D256" s="169" t="str">
        <f>Inventory!H256</f>
        <v/>
      </c>
      <c r="E256" s="170" t="str">
        <f>Inventory!I256</f>
        <v/>
      </c>
      <c r="F256" s="171" t="str">
        <f>IF(A256="","",Inventory!K256)</f>
        <v/>
      </c>
    </row>
    <row r="257" ht="14.25" customHeight="1">
      <c r="A257" s="151" t="str">
        <f>Inventory!A257</f>
        <v/>
      </c>
      <c r="B257" s="153" t="str">
        <f>Inventory!B257</f>
        <v/>
      </c>
      <c r="C257" s="153" t="str">
        <f>Inventory!C257</f>
        <v/>
      </c>
      <c r="D257" s="169" t="str">
        <f>Inventory!H257</f>
        <v/>
      </c>
      <c r="E257" s="170" t="str">
        <f>Inventory!I257</f>
        <v/>
      </c>
      <c r="F257" s="171" t="str">
        <f>IF(A257="","",Inventory!K257)</f>
        <v/>
      </c>
    </row>
    <row r="258" ht="14.25" customHeight="1">
      <c r="A258" s="151" t="str">
        <f>Inventory!A258</f>
        <v/>
      </c>
      <c r="B258" s="153" t="str">
        <f>Inventory!B258</f>
        <v/>
      </c>
      <c r="C258" s="153" t="str">
        <f>Inventory!C258</f>
        <v/>
      </c>
      <c r="D258" s="169" t="str">
        <f>Inventory!H258</f>
        <v/>
      </c>
      <c r="E258" s="170" t="str">
        <f>Inventory!I258</f>
        <v/>
      </c>
      <c r="F258" s="171" t="str">
        <f>IF(A258="","",Inventory!K258)</f>
        <v/>
      </c>
    </row>
    <row r="259" ht="14.25" customHeight="1">
      <c r="A259" s="151" t="str">
        <f>Inventory!A259</f>
        <v/>
      </c>
      <c r="B259" s="153" t="str">
        <f>Inventory!B259</f>
        <v/>
      </c>
      <c r="C259" s="153" t="str">
        <f>Inventory!C259</f>
        <v/>
      </c>
      <c r="D259" s="169" t="str">
        <f>Inventory!H259</f>
        <v/>
      </c>
      <c r="E259" s="170" t="str">
        <f>Inventory!I259</f>
        <v/>
      </c>
      <c r="F259" s="171" t="str">
        <f>IF(A259="","",Inventory!K259)</f>
        <v/>
      </c>
    </row>
    <row r="260" ht="14.25" customHeight="1">
      <c r="A260" s="151" t="str">
        <f>Inventory!A260</f>
        <v/>
      </c>
      <c r="B260" s="153" t="str">
        <f>Inventory!B260</f>
        <v/>
      </c>
      <c r="C260" s="153" t="str">
        <f>Inventory!C260</f>
        <v/>
      </c>
      <c r="D260" s="169" t="str">
        <f>Inventory!H260</f>
        <v/>
      </c>
      <c r="E260" s="170" t="str">
        <f>Inventory!I260</f>
        <v/>
      </c>
      <c r="F260" s="171" t="str">
        <f>IF(A260="","",Inventory!K260)</f>
        <v/>
      </c>
    </row>
    <row r="261" ht="14.25" customHeight="1">
      <c r="A261" s="151" t="str">
        <f>Inventory!A261</f>
        <v/>
      </c>
      <c r="B261" s="153" t="str">
        <f>Inventory!B261</f>
        <v/>
      </c>
      <c r="C261" s="153" t="str">
        <f>Inventory!C261</f>
        <v/>
      </c>
      <c r="D261" s="169" t="str">
        <f>Inventory!H261</f>
        <v/>
      </c>
      <c r="E261" s="170" t="str">
        <f>Inventory!I261</f>
        <v/>
      </c>
      <c r="F261" s="171" t="str">
        <f>IF(A261="","",Inventory!K261)</f>
        <v/>
      </c>
    </row>
    <row r="262" ht="14.25" customHeight="1">
      <c r="A262" s="151" t="str">
        <f>Inventory!A262</f>
        <v/>
      </c>
      <c r="B262" s="153" t="str">
        <f>Inventory!B262</f>
        <v/>
      </c>
      <c r="C262" s="153" t="str">
        <f>Inventory!C262</f>
        <v/>
      </c>
      <c r="D262" s="169" t="str">
        <f>Inventory!H262</f>
        <v/>
      </c>
      <c r="E262" s="170" t="str">
        <f>Inventory!I262</f>
        <v/>
      </c>
      <c r="F262" s="171" t="str">
        <f>IF(A262="","",Inventory!K262)</f>
        <v/>
      </c>
    </row>
    <row r="263" ht="14.25" customHeight="1">
      <c r="A263" s="151" t="str">
        <f>Inventory!A263</f>
        <v/>
      </c>
      <c r="B263" s="153" t="str">
        <f>Inventory!B263</f>
        <v/>
      </c>
      <c r="C263" s="153" t="str">
        <f>Inventory!C263</f>
        <v/>
      </c>
      <c r="D263" s="169" t="str">
        <f>Inventory!H263</f>
        <v/>
      </c>
      <c r="E263" s="170" t="str">
        <f>Inventory!I263</f>
        <v/>
      </c>
      <c r="F263" s="171" t="str">
        <f>IF(A263="","",Inventory!K263)</f>
        <v/>
      </c>
    </row>
    <row r="264" ht="14.25" customHeight="1">
      <c r="A264" s="151" t="str">
        <f>Inventory!A264</f>
        <v/>
      </c>
      <c r="B264" s="153" t="str">
        <f>Inventory!B264</f>
        <v/>
      </c>
      <c r="C264" s="153" t="str">
        <f>Inventory!C264</f>
        <v/>
      </c>
      <c r="D264" s="169" t="str">
        <f>Inventory!H264</f>
        <v/>
      </c>
      <c r="E264" s="170" t="str">
        <f>Inventory!I264</f>
        <v/>
      </c>
      <c r="F264" s="171" t="str">
        <f>IF(A264="","",Inventory!K264)</f>
        <v/>
      </c>
    </row>
    <row r="265" ht="14.25" customHeight="1">
      <c r="A265" s="151" t="str">
        <f>Inventory!A265</f>
        <v/>
      </c>
      <c r="B265" s="153" t="str">
        <f>Inventory!B265</f>
        <v/>
      </c>
      <c r="C265" s="153" t="str">
        <f>Inventory!C265</f>
        <v/>
      </c>
      <c r="D265" s="169" t="str">
        <f>Inventory!H265</f>
        <v/>
      </c>
      <c r="E265" s="170" t="str">
        <f>Inventory!I265</f>
        <v/>
      </c>
      <c r="F265" s="171" t="str">
        <f>IF(A265="","",Inventory!K265)</f>
        <v/>
      </c>
    </row>
    <row r="266" ht="14.25" customHeight="1">
      <c r="A266" s="151" t="str">
        <f>Inventory!A266</f>
        <v/>
      </c>
      <c r="B266" s="153" t="str">
        <f>Inventory!B266</f>
        <v/>
      </c>
      <c r="C266" s="153" t="str">
        <f>Inventory!C266</f>
        <v/>
      </c>
      <c r="D266" s="169" t="str">
        <f>Inventory!H266</f>
        <v/>
      </c>
      <c r="E266" s="170" t="str">
        <f>Inventory!I266</f>
        <v/>
      </c>
      <c r="F266" s="171" t="str">
        <f>IF(A266="","",Inventory!K266)</f>
        <v/>
      </c>
    </row>
    <row r="267" ht="14.25" customHeight="1">
      <c r="A267" s="151" t="str">
        <f>Inventory!A267</f>
        <v/>
      </c>
      <c r="B267" s="153" t="str">
        <f>Inventory!B267</f>
        <v/>
      </c>
      <c r="C267" s="153" t="str">
        <f>Inventory!C267</f>
        <v/>
      </c>
      <c r="D267" s="169" t="str">
        <f>Inventory!H267</f>
        <v/>
      </c>
      <c r="E267" s="170" t="str">
        <f>Inventory!I267</f>
        <v/>
      </c>
      <c r="F267" s="171" t="str">
        <f>IF(A267="","",Inventory!K267)</f>
        <v/>
      </c>
    </row>
    <row r="268" ht="14.25" customHeight="1">
      <c r="A268" s="151" t="str">
        <f>Inventory!A268</f>
        <v/>
      </c>
      <c r="B268" s="153" t="str">
        <f>Inventory!B268</f>
        <v/>
      </c>
      <c r="C268" s="153" t="str">
        <f>Inventory!C268</f>
        <v/>
      </c>
      <c r="D268" s="169" t="str">
        <f>Inventory!H268</f>
        <v/>
      </c>
      <c r="E268" s="170" t="str">
        <f>Inventory!I268</f>
        <v/>
      </c>
      <c r="F268" s="171" t="str">
        <f>IF(A268="","",Inventory!K268)</f>
        <v/>
      </c>
    </row>
    <row r="269" ht="14.25" customHeight="1">
      <c r="A269" s="151" t="str">
        <f>Inventory!A269</f>
        <v/>
      </c>
      <c r="B269" s="153" t="str">
        <f>Inventory!B269</f>
        <v/>
      </c>
      <c r="C269" s="153" t="str">
        <f>Inventory!C269</f>
        <v/>
      </c>
      <c r="D269" s="169" t="str">
        <f>Inventory!H269</f>
        <v/>
      </c>
      <c r="E269" s="170" t="str">
        <f>Inventory!I269</f>
        <v/>
      </c>
      <c r="F269" s="171" t="str">
        <f>IF(A269="","",Inventory!K269)</f>
        <v/>
      </c>
    </row>
    <row r="270" ht="14.25" customHeight="1">
      <c r="A270" s="151" t="str">
        <f>Inventory!A270</f>
        <v/>
      </c>
      <c r="B270" s="153" t="str">
        <f>Inventory!B270</f>
        <v/>
      </c>
      <c r="C270" s="153" t="str">
        <f>Inventory!C270</f>
        <v/>
      </c>
      <c r="D270" s="169" t="str">
        <f>Inventory!H270</f>
        <v/>
      </c>
      <c r="E270" s="170" t="str">
        <f>Inventory!I270</f>
        <v/>
      </c>
      <c r="F270" s="171" t="str">
        <f>IF(A270="","",Inventory!K270)</f>
        <v/>
      </c>
    </row>
    <row r="271" ht="14.25" customHeight="1">
      <c r="A271" s="151" t="str">
        <f>Inventory!A271</f>
        <v/>
      </c>
      <c r="B271" s="153" t="str">
        <f>Inventory!B271</f>
        <v/>
      </c>
      <c r="C271" s="153" t="str">
        <f>Inventory!C271</f>
        <v/>
      </c>
      <c r="D271" s="169" t="str">
        <f>Inventory!H271</f>
        <v/>
      </c>
      <c r="E271" s="170" t="str">
        <f>Inventory!I271</f>
        <v/>
      </c>
      <c r="F271" s="171" t="str">
        <f>IF(A271="","",Inventory!K271)</f>
        <v/>
      </c>
    </row>
    <row r="272" ht="14.25" customHeight="1">
      <c r="A272" s="151" t="str">
        <f>Inventory!A272</f>
        <v/>
      </c>
      <c r="B272" s="153" t="str">
        <f>Inventory!B272</f>
        <v/>
      </c>
      <c r="C272" s="153" t="str">
        <f>Inventory!C272</f>
        <v/>
      </c>
      <c r="D272" s="169" t="str">
        <f>Inventory!H272</f>
        <v/>
      </c>
      <c r="E272" s="170" t="str">
        <f>Inventory!I272</f>
        <v/>
      </c>
      <c r="F272" s="171" t="str">
        <f>IF(A272="","",Inventory!K272)</f>
        <v/>
      </c>
    </row>
    <row r="273" ht="14.25" customHeight="1">
      <c r="A273" s="151" t="str">
        <f>Inventory!A273</f>
        <v/>
      </c>
      <c r="B273" s="153" t="str">
        <f>Inventory!B273</f>
        <v/>
      </c>
      <c r="C273" s="153" t="str">
        <f>Inventory!C273</f>
        <v/>
      </c>
      <c r="D273" s="169" t="str">
        <f>Inventory!H273</f>
        <v/>
      </c>
      <c r="E273" s="170" t="str">
        <f>Inventory!I273</f>
        <v/>
      </c>
      <c r="F273" s="171" t="str">
        <f>IF(A273="","",Inventory!K273)</f>
        <v/>
      </c>
    </row>
    <row r="274" ht="14.25" customHeight="1">
      <c r="A274" s="151" t="str">
        <f>Inventory!A274</f>
        <v/>
      </c>
      <c r="B274" s="153" t="str">
        <f>Inventory!B274</f>
        <v/>
      </c>
      <c r="C274" s="153" t="str">
        <f>Inventory!C274</f>
        <v/>
      </c>
      <c r="D274" s="169" t="str">
        <f>Inventory!H274</f>
        <v/>
      </c>
      <c r="E274" s="170" t="str">
        <f>Inventory!I274</f>
        <v/>
      </c>
      <c r="F274" s="171" t="str">
        <f>IF(A274="","",Inventory!K274)</f>
        <v/>
      </c>
    </row>
    <row r="275" ht="14.25" customHeight="1">
      <c r="A275" s="151" t="str">
        <f>Inventory!A275</f>
        <v/>
      </c>
      <c r="B275" s="153" t="str">
        <f>Inventory!B275</f>
        <v/>
      </c>
      <c r="C275" s="153" t="str">
        <f>Inventory!C275</f>
        <v/>
      </c>
      <c r="D275" s="169" t="str">
        <f>Inventory!H275</f>
        <v/>
      </c>
      <c r="E275" s="170" t="str">
        <f>Inventory!I275</f>
        <v/>
      </c>
      <c r="F275" s="171" t="str">
        <f>IF(A275="","",Inventory!K275)</f>
        <v/>
      </c>
    </row>
    <row r="276" ht="14.25" customHeight="1">
      <c r="A276" s="151" t="str">
        <f>Inventory!A276</f>
        <v/>
      </c>
      <c r="B276" s="153" t="str">
        <f>Inventory!B276</f>
        <v/>
      </c>
      <c r="C276" s="153" t="str">
        <f>Inventory!C276</f>
        <v/>
      </c>
      <c r="D276" s="169" t="str">
        <f>Inventory!H276</f>
        <v/>
      </c>
      <c r="E276" s="170" t="str">
        <f>Inventory!I276</f>
        <v/>
      </c>
      <c r="F276" s="171" t="str">
        <f>IF(A276="","",Inventory!K276)</f>
        <v/>
      </c>
    </row>
    <row r="277" ht="14.25" customHeight="1">
      <c r="A277" s="151" t="str">
        <f>Inventory!A277</f>
        <v/>
      </c>
      <c r="B277" s="153" t="str">
        <f>Inventory!B277</f>
        <v/>
      </c>
      <c r="C277" s="153" t="str">
        <f>Inventory!C277</f>
        <v/>
      </c>
      <c r="D277" s="169" t="str">
        <f>Inventory!H277</f>
        <v/>
      </c>
      <c r="E277" s="170" t="str">
        <f>Inventory!I277</f>
        <v/>
      </c>
      <c r="F277" s="171" t="str">
        <f>IF(A277="","",Inventory!K277)</f>
        <v/>
      </c>
    </row>
    <row r="278" ht="14.25" customHeight="1">
      <c r="A278" s="151" t="str">
        <f>Inventory!A278</f>
        <v/>
      </c>
      <c r="B278" s="153" t="str">
        <f>Inventory!B278</f>
        <v/>
      </c>
      <c r="C278" s="153" t="str">
        <f>Inventory!C278</f>
        <v/>
      </c>
      <c r="D278" s="169" t="str">
        <f>Inventory!H278</f>
        <v/>
      </c>
      <c r="E278" s="170" t="str">
        <f>Inventory!I278</f>
        <v/>
      </c>
      <c r="F278" s="171" t="str">
        <f>IF(A278="","",Inventory!K278)</f>
        <v/>
      </c>
    </row>
    <row r="279" ht="14.25" customHeight="1">
      <c r="A279" s="151" t="str">
        <f>Inventory!A279</f>
        <v/>
      </c>
      <c r="B279" s="153" t="str">
        <f>Inventory!B279</f>
        <v/>
      </c>
      <c r="C279" s="153" t="str">
        <f>Inventory!C279</f>
        <v/>
      </c>
      <c r="D279" s="169" t="str">
        <f>Inventory!H279</f>
        <v/>
      </c>
      <c r="E279" s="170" t="str">
        <f>Inventory!I279</f>
        <v/>
      </c>
      <c r="F279" s="171" t="str">
        <f>IF(A279="","",Inventory!K279)</f>
        <v/>
      </c>
    </row>
    <row r="280" ht="14.25" customHeight="1">
      <c r="A280" s="151" t="str">
        <f>Inventory!A280</f>
        <v/>
      </c>
      <c r="B280" s="153" t="str">
        <f>Inventory!B280</f>
        <v/>
      </c>
      <c r="C280" s="153" t="str">
        <f>Inventory!C280</f>
        <v/>
      </c>
      <c r="D280" s="169" t="str">
        <f>Inventory!H280</f>
        <v/>
      </c>
      <c r="E280" s="170" t="str">
        <f>Inventory!I280</f>
        <v/>
      </c>
      <c r="F280" s="171" t="str">
        <f>IF(A280="","",Inventory!K280)</f>
        <v/>
      </c>
    </row>
    <row r="281" ht="14.25" customHeight="1">
      <c r="A281" s="151" t="str">
        <f>Inventory!A281</f>
        <v/>
      </c>
      <c r="B281" s="153" t="str">
        <f>Inventory!B281</f>
        <v/>
      </c>
      <c r="C281" s="153" t="str">
        <f>Inventory!C281</f>
        <v/>
      </c>
      <c r="D281" s="169" t="str">
        <f>Inventory!H281</f>
        <v/>
      </c>
      <c r="E281" s="170" t="str">
        <f>Inventory!I281</f>
        <v/>
      </c>
      <c r="F281" s="171" t="str">
        <f>IF(A281="","",Inventory!K281)</f>
        <v/>
      </c>
    </row>
    <row r="282" ht="14.25" customHeight="1">
      <c r="A282" s="151" t="str">
        <f>Inventory!A282</f>
        <v/>
      </c>
      <c r="B282" s="153" t="str">
        <f>Inventory!B282</f>
        <v/>
      </c>
      <c r="C282" s="153" t="str">
        <f>Inventory!C282</f>
        <v/>
      </c>
      <c r="D282" s="169" t="str">
        <f>Inventory!H282</f>
        <v/>
      </c>
      <c r="E282" s="170" t="str">
        <f>Inventory!I282</f>
        <v/>
      </c>
      <c r="F282" s="171" t="str">
        <f>IF(A282="","",Inventory!K282)</f>
        <v/>
      </c>
    </row>
    <row r="283" ht="14.25" customHeight="1">
      <c r="A283" s="151" t="str">
        <f>Inventory!A283</f>
        <v/>
      </c>
      <c r="B283" s="153" t="str">
        <f>Inventory!B283</f>
        <v/>
      </c>
      <c r="C283" s="153" t="str">
        <f>Inventory!C283</f>
        <v/>
      </c>
      <c r="D283" s="169" t="str">
        <f>Inventory!H283</f>
        <v/>
      </c>
      <c r="E283" s="170" t="str">
        <f>Inventory!I283</f>
        <v/>
      </c>
      <c r="F283" s="171" t="str">
        <f>IF(A283="","",Inventory!K283)</f>
        <v/>
      </c>
    </row>
    <row r="284" ht="14.25" customHeight="1">
      <c r="A284" s="151" t="str">
        <f>Inventory!A284</f>
        <v/>
      </c>
      <c r="B284" s="153" t="str">
        <f>Inventory!B284</f>
        <v/>
      </c>
      <c r="C284" s="153" t="str">
        <f>Inventory!C284</f>
        <v/>
      </c>
      <c r="D284" s="169" t="str">
        <f>Inventory!H284</f>
        <v/>
      </c>
      <c r="E284" s="170" t="str">
        <f>Inventory!I284</f>
        <v/>
      </c>
      <c r="F284" s="171" t="str">
        <f>IF(A284="","",Inventory!K284)</f>
        <v/>
      </c>
    </row>
    <row r="285" ht="14.25" customHeight="1">
      <c r="A285" s="151" t="str">
        <f>Inventory!A285</f>
        <v/>
      </c>
      <c r="B285" s="153" t="str">
        <f>Inventory!B285</f>
        <v/>
      </c>
      <c r="C285" s="153" t="str">
        <f>Inventory!C285</f>
        <v/>
      </c>
      <c r="D285" s="169" t="str">
        <f>Inventory!H285</f>
        <v/>
      </c>
      <c r="E285" s="170" t="str">
        <f>Inventory!I285</f>
        <v/>
      </c>
      <c r="F285" s="171" t="str">
        <f>IF(A285="","",Inventory!K285)</f>
        <v/>
      </c>
    </row>
    <row r="286" ht="14.25" customHeight="1">
      <c r="A286" s="151" t="str">
        <f>Inventory!A286</f>
        <v/>
      </c>
      <c r="B286" s="153" t="str">
        <f>Inventory!B286</f>
        <v/>
      </c>
      <c r="C286" s="153" t="str">
        <f>Inventory!C286</f>
        <v/>
      </c>
      <c r="D286" s="169" t="str">
        <f>Inventory!H286</f>
        <v/>
      </c>
      <c r="E286" s="170" t="str">
        <f>Inventory!I286</f>
        <v/>
      </c>
      <c r="F286" s="171" t="str">
        <f>IF(A286="","",Inventory!K286)</f>
        <v/>
      </c>
    </row>
    <row r="287" ht="14.25" customHeight="1">
      <c r="A287" s="151" t="str">
        <f>Inventory!A287</f>
        <v/>
      </c>
      <c r="B287" s="153" t="str">
        <f>Inventory!B287</f>
        <v/>
      </c>
      <c r="C287" s="153" t="str">
        <f>Inventory!C287</f>
        <v/>
      </c>
      <c r="D287" s="169" t="str">
        <f>Inventory!H287</f>
        <v/>
      </c>
      <c r="E287" s="170" t="str">
        <f>Inventory!I287</f>
        <v/>
      </c>
      <c r="F287" s="171" t="str">
        <f>IF(A287="","",Inventory!K287)</f>
        <v/>
      </c>
    </row>
    <row r="288" ht="14.25" customHeight="1">
      <c r="A288" s="151" t="str">
        <f>Inventory!A288</f>
        <v/>
      </c>
      <c r="B288" s="153" t="str">
        <f>Inventory!B288</f>
        <v/>
      </c>
      <c r="C288" s="153" t="str">
        <f>Inventory!C288</f>
        <v/>
      </c>
      <c r="D288" s="169" t="str">
        <f>Inventory!H288</f>
        <v/>
      </c>
      <c r="E288" s="170" t="str">
        <f>Inventory!I288</f>
        <v/>
      </c>
      <c r="F288" s="171" t="str">
        <f>IF(A288="","",Inventory!K288)</f>
        <v/>
      </c>
    </row>
    <row r="289" ht="14.25" customHeight="1">
      <c r="A289" s="151" t="str">
        <f>Inventory!A289</f>
        <v/>
      </c>
      <c r="B289" s="153" t="str">
        <f>Inventory!B289</f>
        <v/>
      </c>
      <c r="C289" s="153" t="str">
        <f>Inventory!C289</f>
        <v/>
      </c>
      <c r="D289" s="169" t="str">
        <f>Inventory!H289</f>
        <v/>
      </c>
      <c r="E289" s="170" t="str">
        <f>Inventory!I289</f>
        <v/>
      </c>
      <c r="F289" s="171" t="str">
        <f>IF(A289="","",Inventory!K289)</f>
        <v/>
      </c>
    </row>
    <row r="290" ht="14.25" customHeight="1">
      <c r="A290" s="151" t="str">
        <f>Inventory!A290</f>
        <v/>
      </c>
      <c r="B290" s="153" t="str">
        <f>Inventory!B290</f>
        <v/>
      </c>
      <c r="C290" s="153" t="str">
        <f>Inventory!C290</f>
        <v/>
      </c>
      <c r="D290" s="169" t="str">
        <f>Inventory!H290</f>
        <v/>
      </c>
      <c r="E290" s="170" t="str">
        <f>Inventory!I290</f>
        <v/>
      </c>
      <c r="F290" s="171" t="str">
        <f>IF(A290="","",Inventory!K290)</f>
        <v/>
      </c>
    </row>
    <row r="291" ht="14.25" customHeight="1">
      <c r="A291" s="151" t="str">
        <f>Inventory!A291</f>
        <v/>
      </c>
      <c r="B291" s="153" t="str">
        <f>Inventory!B291</f>
        <v/>
      </c>
      <c r="C291" s="153" t="str">
        <f>Inventory!C291</f>
        <v/>
      </c>
      <c r="D291" s="169" t="str">
        <f>Inventory!H291</f>
        <v/>
      </c>
      <c r="E291" s="170" t="str">
        <f>Inventory!I291</f>
        <v/>
      </c>
      <c r="F291" s="171" t="str">
        <f>IF(A291="","",Inventory!K291)</f>
        <v/>
      </c>
    </row>
    <row r="292" ht="14.25" customHeight="1">
      <c r="A292" s="151" t="str">
        <f>Inventory!A292</f>
        <v/>
      </c>
      <c r="B292" s="153" t="str">
        <f>Inventory!B292</f>
        <v/>
      </c>
      <c r="C292" s="153" t="str">
        <f>Inventory!C292</f>
        <v/>
      </c>
      <c r="D292" s="169" t="str">
        <f>Inventory!H292</f>
        <v/>
      </c>
      <c r="E292" s="170" t="str">
        <f>Inventory!I292</f>
        <v/>
      </c>
      <c r="F292" s="171" t="str">
        <f>IF(A292="","",Inventory!K292)</f>
        <v/>
      </c>
    </row>
    <row r="293" ht="14.25" customHeight="1">
      <c r="A293" s="151" t="str">
        <f>Inventory!A293</f>
        <v/>
      </c>
      <c r="B293" s="153" t="str">
        <f>Inventory!B293</f>
        <v/>
      </c>
      <c r="C293" s="153" t="str">
        <f>Inventory!C293</f>
        <v/>
      </c>
      <c r="D293" s="169" t="str">
        <f>Inventory!H293</f>
        <v/>
      </c>
      <c r="E293" s="170" t="str">
        <f>Inventory!I293</f>
        <v/>
      </c>
      <c r="F293" s="171" t="str">
        <f>IF(A293="","",Inventory!K293)</f>
        <v/>
      </c>
    </row>
    <row r="294" ht="14.25" customHeight="1">
      <c r="A294" s="151" t="str">
        <f>Inventory!A294</f>
        <v/>
      </c>
      <c r="B294" s="153" t="str">
        <f>Inventory!B294</f>
        <v/>
      </c>
      <c r="C294" s="153" t="str">
        <f>Inventory!C294</f>
        <v/>
      </c>
      <c r="D294" s="169" t="str">
        <f>Inventory!H294</f>
        <v/>
      </c>
      <c r="E294" s="170" t="str">
        <f>Inventory!I294</f>
        <v/>
      </c>
      <c r="F294" s="171" t="str">
        <f>IF(A294="","",Inventory!K294)</f>
        <v/>
      </c>
    </row>
    <row r="295" ht="14.25" customHeight="1">
      <c r="A295" s="151" t="str">
        <f>Inventory!A295</f>
        <v/>
      </c>
      <c r="B295" s="153" t="str">
        <f>Inventory!B295</f>
        <v/>
      </c>
      <c r="C295" s="153" t="str">
        <f>Inventory!C295</f>
        <v/>
      </c>
      <c r="D295" s="169" t="str">
        <f>Inventory!H295</f>
        <v/>
      </c>
      <c r="E295" s="170" t="str">
        <f>Inventory!I295</f>
        <v/>
      </c>
      <c r="F295" s="171" t="str">
        <f>IF(A295="","",Inventory!K295)</f>
        <v/>
      </c>
    </row>
    <row r="296" ht="14.25" customHeight="1">
      <c r="A296" s="151" t="str">
        <f>Inventory!A296</f>
        <v/>
      </c>
      <c r="B296" s="153" t="str">
        <f>Inventory!B296</f>
        <v/>
      </c>
      <c r="C296" s="153" t="str">
        <f>Inventory!C296</f>
        <v/>
      </c>
      <c r="D296" s="169" t="str">
        <f>Inventory!H296</f>
        <v/>
      </c>
      <c r="E296" s="170" t="str">
        <f>Inventory!I296</f>
        <v/>
      </c>
      <c r="F296" s="171" t="str">
        <f>IF(A296="","",Inventory!K296)</f>
        <v/>
      </c>
    </row>
    <row r="297" ht="14.25" customHeight="1">
      <c r="A297" s="151" t="str">
        <f>Inventory!A297</f>
        <v/>
      </c>
      <c r="B297" s="153" t="str">
        <f>Inventory!B297</f>
        <v/>
      </c>
      <c r="C297" s="153" t="str">
        <f>Inventory!C297</f>
        <v/>
      </c>
      <c r="D297" s="169" t="str">
        <f>Inventory!H297</f>
        <v/>
      </c>
      <c r="E297" s="170" t="str">
        <f>Inventory!I297</f>
        <v/>
      </c>
      <c r="F297" s="171" t="str">
        <f>IF(A297="","",Inventory!K297)</f>
        <v/>
      </c>
    </row>
    <row r="298" ht="14.25" customHeight="1">
      <c r="A298" s="151" t="str">
        <f>Inventory!A298</f>
        <v/>
      </c>
      <c r="B298" s="153" t="str">
        <f>Inventory!B298</f>
        <v/>
      </c>
      <c r="C298" s="153" t="str">
        <f>Inventory!C298</f>
        <v/>
      </c>
      <c r="D298" s="169" t="str">
        <f>Inventory!H298</f>
        <v/>
      </c>
      <c r="E298" s="170" t="str">
        <f>Inventory!I298</f>
        <v/>
      </c>
      <c r="F298" s="171" t="str">
        <f>IF(A298="","",Inventory!K298)</f>
        <v/>
      </c>
    </row>
    <row r="299" ht="14.25" customHeight="1">
      <c r="A299" s="151" t="str">
        <f>Inventory!A299</f>
        <v/>
      </c>
      <c r="B299" s="153" t="str">
        <f>Inventory!B299</f>
        <v/>
      </c>
      <c r="C299" s="153" t="str">
        <f>Inventory!C299</f>
        <v/>
      </c>
      <c r="D299" s="169" t="str">
        <f>Inventory!H299</f>
        <v/>
      </c>
      <c r="E299" s="170" t="str">
        <f>Inventory!I299</f>
        <v/>
      </c>
      <c r="F299" s="171" t="str">
        <f>IF(A299="","",Inventory!K299)</f>
        <v/>
      </c>
    </row>
    <row r="300" ht="14.25" customHeight="1">
      <c r="A300" s="151" t="str">
        <f>Inventory!A300</f>
        <v/>
      </c>
      <c r="B300" s="153" t="str">
        <f>Inventory!B300</f>
        <v/>
      </c>
      <c r="C300" s="153" t="str">
        <f>Inventory!C300</f>
        <v/>
      </c>
      <c r="D300" s="169" t="str">
        <f>Inventory!H300</f>
        <v/>
      </c>
      <c r="E300" s="170" t="str">
        <f>Inventory!I300</f>
        <v/>
      </c>
      <c r="F300" s="171" t="str">
        <f>IF(A300="","",Inventory!K300)</f>
        <v/>
      </c>
    </row>
    <row r="301" ht="14.25" customHeight="1">
      <c r="A301" s="151" t="str">
        <f>Inventory!A301</f>
        <v/>
      </c>
      <c r="B301" s="153" t="str">
        <f>Inventory!B301</f>
        <v/>
      </c>
      <c r="C301" s="153" t="str">
        <f>Inventory!C301</f>
        <v/>
      </c>
      <c r="D301" s="169" t="str">
        <f>Inventory!H301</f>
        <v/>
      </c>
      <c r="E301" s="170" t="str">
        <f>Inventory!I301</f>
        <v/>
      </c>
      <c r="F301" s="171" t="str">
        <f>IF(A301="","",Inventory!K301)</f>
        <v/>
      </c>
    </row>
    <row r="302" ht="14.25" customHeight="1">
      <c r="A302" s="151" t="str">
        <f>Inventory!A302</f>
        <v/>
      </c>
      <c r="B302" s="153" t="str">
        <f>Inventory!B302</f>
        <v/>
      </c>
      <c r="C302" s="153" t="str">
        <f>Inventory!C302</f>
        <v/>
      </c>
      <c r="D302" s="169" t="str">
        <f>Inventory!H302</f>
        <v/>
      </c>
      <c r="E302" s="170" t="str">
        <f>Inventory!I302</f>
        <v/>
      </c>
      <c r="F302" s="171" t="str">
        <f>IF(A302="","",Inventory!K302)</f>
        <v/>
      </c>
    </row>
    <row r="303" ht="14.25" customHeight="1">
      <c r="A303" s="151" t="str">
        <f>Inventory!A303</f>
        <v/>
      </c>
      <c r="B303" s="153" t="str">
        <f>Inventory!B303</f>
        <v/>
      </c>
      <c r="C303" s="153" t="str">
        <f>Inventory!C303</f>
        <v/>
      </c>
      <c r="D303" s="169" t="str">
        <f>Inventory!H303</f>
        <v/>
      </c>
      <c r="E303" s="170" t="str">
        <f>Inventory!I303</f>
        <v/>
      </c>
      <c r="F303" s="171" t="str">
        <f>IF(A303="","",Inventory!K303)</f>
        <v/>
      </c>
    </row>
    <row r="304" ht="14.25" customHeight="1">
      <c r="A304" s="151" t="str">
        <f>Inventory!A304</f>
        <v/>
      </c>
      <c r="B304" s="153" t="str">
        <f>Inventory!B304</f>
        <v/>
      </c>
      <c r="C304" s="153" t="str">
        <f>Inventory!C304</f>
        <v/>
      </c>
      <c r="D304" s="169" t="str">
        <f>Inventory!H304</f>
        <v/>
      </c>
      <c r="E304" s="170" t="str">
        <f>Inventory!I304</f>
        <v/>
      </c>
      <c r="F304" s="171" t="str">
        <f>IF(A304="","",Inventory!K304)</f>
        <v/>
      </c>
    </row>
    <row r="305" ht="14.25" customHeight="1">
      <c r="A305" s="151" t="str">
        <f>Inventory!A305</f>
        <v/>
      </c>
      <c r="B305" s="153" t="str">
        <f>Inventory!B305</f>
        <v/>
      </c>
      <c r="C305" s="153" t="str">
        <f>Inventory!C305</f>
        <v/>
      </c>
      <c r="D305" s="169" t="str">
        <f>Inventory!H305</f>
        <v/>
      </c>
      <c r="E305" s="170" t="str">
        <f>Inventory!I305</f>
        <v/>
      </c>
      <c r="F305" s="171" t="str">
        <f>IF(A305="","",Inventory!K305)</f>
        <v/>
      </c>
    </row>
    <row r="306" ht="14.25" customHeight="1">
      <c r="A306" s="151" t="str">
        <f>Inventory!A306</f>
        <v/>
      </c>
      <c r="B306" s="153" t="str">
        <f>Inventory!B306</f>
        <v/>
      </c>
      <c r="C306" s="153" t="str">
        <f>Inventory!C306</f>
        <v/>
      </c>
      <c r="D306" s="169" t="str">
        <f>Inventory!H306</f>
        <v/>
      </c>
      <c r="E306" s="170" t="str">
        <f>Inventory!I306</f>
        <v/>
      </c>
      <c r="F306" s="171" t="str">
        <f>IF(A306="","",Inventory!K306)</f>
        <v/>
      </c>
    </row>
    <row r="307" ht="14.25" customHeight="1">
      <c r="A307" s="151" t="str">
        <f>Inventory!A307</f>
        <v/>
      </c>
      <c r="B307" s="153" t="str">
        <f>Inventory!B307</f>
        <v/>
      </c>
      <c r="C307" s="153" t="str">
        <f>Inventory!C307</f>
        <v/>
      </c>
      <c r="D307" s="169" t="str">
        <f>Inventory!H307</f>
        <v/>
      </c>
      <c r="E307" s="170" t="str">
        <f>Inventory!I307</f>
        <v/>
      </c>
      <c r="F307" s="171" t="str">
        <f>IF(A307="","",Inventory!K307)</f>
        <v/>
      </c>
    </row>
    <row r="308" ht="14.25" customHeight="1">
      <c r="A308" s="151" t="str">
        <f>Inventory!A308</f>
        <v/>
      </c>
      <c r="B308" s="153" t="str">
        <f>Inventory!B308</f>
        <v/>
      </c>
      <c r="C308" s="153" t="str">
        <f>Inventory!C308</f>
        <v/>
      </c>
      <c r="D308" s="169" t="str">
        <f>Inventory!H308</f>
        <v/>
      </c>
      <c r="E308" s="170" t="str">
        <f>Inventory!I308</f>
        <v/>
      </c>
      <c r="F308" s="171" t="str">
        <f>IF(A308="","",Inventory!K308)</f>
        <v/>
      </c>
    </row>
    <row r="309" ht="14.25" customHeight="1">
      <c r="A309" s="151" t="str">
        <f>Inventory!A309</f>
        <v/>
      </c>
      <c r="B309" s="153" t="str">
        <f>Inventory!B309</f>
        <v/>
      </c>
      <c r="C309" s="153" t="str">
        <f>Inventory!C309</f>
        <v/>
      </c>
      <c r="D309" s="169" t="str">
        <f>Inventory!H309</f>
        <v/>
      </c>
      <c r="E309" s="170" t="str">
        <f>Inventory!I309</f>
        <v/>
      </c>
      <c r="F309" s="171" t="str">
        <f>IF(A309="","",Inventory!K309)</f>
        <v/>
      </c>
    </row>
    <row r="310" ht="14.25" customHeight="1">
      <c r="A310" s="151" t="str">
        <f>Inventory!A310</f>
        <v/>
      </c>
      <c r="B310" s="153" t="str">
        <f>Inventory!B310</f>
        <v/>
      </c>
      <c r="C310" s="153" t="str">
        <f>Inventory!C310</f>
        <v/>
      </c>
      <c r="D310" s="169" t="str">
        <f>Inventory!H310</f>
        <v/>
      </c>
      <c r="E310" s="170" t="str">
        <f>Inventory!I310</f>
        <v/>
      </c>
      <c r="F310" s="171" t="str">
        <f>IF(A310="","",Inventory!K310)</f>
        <v/>
      </c>
    </row>
    <row r="311" ht="14.25" customHeight="1">
      <c r="A311" s="151" t="str">
        <f>Inventory!A311</f>
        <v/>
      </c>
      <c r="B311" s="153" t="str">
        <f>Inventory!B311</f>
        <v/>
      </c>
      <c r="C311" s="153" t="str">
        <f>Inventory!C311</f>
        <v/>
      </c>
      <c r="D311" s="169" t="str">
        <f>Inventory!H311</f>
        <v/>
      </c>
      <c r="E311" s="170" t="str">
        <f>Inventory!I311</f>
        <v/>
      </c>
      <c r="F311" s="171" t="str">
        <f>IF(A311="","",Inventory!K311)</f>
        <v/>
      </c>
    </row>
    <row r="312" ht="14.25" customHeight="1">
      <c r="A312" s="151" t="str">
        <f>Inventory!A312</f>
        <v/>
      </c>
      <c r="B312" s="153" t="str">
        <f>Inventory!B312</f>
        <v/>
      </c>
      <c r="C312" s="153" t="str">
        <f>Inventory!C312</f>
        <v/>
      </c>
      <c r="D312" s="169" t="str">
        <f>Inventory!H312</f>
        <v/>
      </c>
      <c r="E312" s="170" t="str">
        <f>Inventory!I312</f>
        <v/>
      </c>
      <c r="F312" s="171" t="str">
        <f>IF(A312="","",Inventory!K312)</f>
        <v/>
      </c>
    </row>
    <row r="313" ht="14.25" customHeight="1">
      <c r="A313" s="151" t="str">
        <f>Inventory!A313</f>
        <v/>
      </c>
      <c r="B313" s="153" t="str">
        <f>Inventory!B313</f>
        <v/>
      </c>
      <c r="C313" s="153" t="str">
        <f>Inventory!C313</f>
        <v/>
      </c>
      <c r="D313" s="169" t="str">
        <f>Inventory!H313</f>
        <v/>
      </c>
      <c r="E313" s="170" t="str">
        <f>Inventory!I313</f>
        <v/>
      </c>
      <c r="F313" s="171" t="str">
        <f>IF(A313="","",Inventory!K313)</f>
        <v/>
      </c>
    </row>
    <row r="314" ht="14.25" customHeight="1">
      <c r="A314" s="151" t="str">
        <f>Inventory!A314</f>
        <v/>
      </c>
      <c r="B314" s="153" t="str">
        <f>Inventory!B314</f>
        <v/>
      </c>
      <c r="C314" s="153" t="str">
        <f>Inventory!C314</f>
        <v/>
      </c>
      <c r="D314" s="169" t="str">
        <f>Inventory!H314</f>
        <v/>
      </c>
      <c r="E314" s="170" t="str">
        <f>Inventory!I314</f>
        <v/>
      </c>
      <c r="F314" s="171" t="str">
        <f>IF(A314="","",Inventory!K314)</f>
        <v/>
      </c>
    </row>
    <row r="315" ht="14.25" customHeight="1">
      <c r="A315" s="151" t="str">
        <f>Inventory!A315</f>
        <v/>
      </c>
      <c r="B315" s="153" t="str">
        <f>Inventory!B315</f>
        <v/>
      </c>
      <c r="C315" s="153" t="str">
        <f>Inventory!C315</f>
        <v/>
      </c>
      <c r="D315" s="169" t="str">
        <f>Inventory!H315</f>
        <v/>
      </c>
      <c r="E315" s="170" t="str">
        <f>Inventory!I315</f>
        <v/>
      </c>
      <c r="F315" s="171" t="str">
        <f>IF(A315="","",Inventory!K315)</f>
        <v/>
      </c>
    </row>
    <row r="316" ht="14.25" customHeight="1">
      <c r="A316" s="151" t="str">
        <f>Inventory!A316</f>
        <v/>
      </c>
      <c r="B316" s="153" t="str">
        <f>Inventory!B316</f>
        <v/>
      </c>
      <c r="C316" s="153" t="str">
        <f>Inventory!C316</f>
        <v/>
      </c>
      <c r="D316" s="169" t="str">
        <f>Inventory!H316</f>
        <v/>
      </c>
      <c r="E316" s="170" t="str">
        <f>Inventory!I316</f>
        <v/>
      </c>
      <c r="F316" s="171" t="str">
        <f>IF(A316="","",Inventory!K316)</f>
        <v/>
      </c>
    </row>
    <row r="317" ht="14.25" customHeight="1">
      <c r="A317" s="151" t="str">
        <f>Inventory!A317</f>
        <v/>
      </c>
      <c r="B317" s="153" t="str">
        <f>Inventory!B317</f>
        <v/>
      </c>
      <c r="C317" s="153" t="str">
        <f>Inventory!C317</f>
        <v/>
      </c>
      <c r="D317" s="169" t="str">
        <f>Inventory!H317</f>
        <v/>
      </c>
      <c r="E317" s="170" t="str">
        <f>Inventory!I317</f>
        <v/>
      </c>
      <c r="F317" s="171" t="str">
        <f>IF(A317="","",Inventory!K317)</f>
        <v/>
      </c>
    </row>
    <row r="318" ht="14.25" customHeight="1">
      <c r="A318" s="151" t="str">
        <f>Inventory!A318</f>
        <v/>
      </c>
      <c r="B318" s="153" t="str">
        <f>Inventory!B318</f>
        <v/>
      </c>
      <c r="C318" s="153" t="str">
        <f>Inventory!C318</f>
        <v/>
      </c>
      <c r="D318" s="169" t="str">
        <f>Inventory!H318</f>
        <v/>
      </c>
      <c r="E318" s="170" t="str">
        <f>Inventory!I318</f>
        <v/>
      </c>
      <c r="F318" s="171" t="str">
        <f>IF(A318="","",Inventory!K318)</f>
        <v/>
      </c>
    </row>
    <row r="319" ht="14.25" customHeight="1">
      <c r="A319" s="151" t="str">
        <f>Inventory!A319</f>
        <v/>
      </c>
      <c r="B319" s="153" t="str">
        <f>Inventory!B319</f>
        <v/>
      </c>
      <c r="C319" s="153" t="str">
        <f>Inventory!C319</f>
        <v/>
      </c>
      <c r="D319" s="169" t="str">
        <f>Inventory!H319</f>
        <v/>
      </c>
      <c r="E319" s="170" t="str">
        <f>Inventory!I319</f>
        <v/>
      </c>
      <c r="F319" s="171" t="str">
        <f>IF(A319="","",Inventory!K319)</f>
        <v/>
      </c>
    </row>
    <row r="320" ht="14.25" customHeight="1">
      <c r="A320" s="151" t="str">
        <f>Inventory!A320</f>
        <v/>
      </c>
      <c r="B320" s="153" t="str">
        <f>Inventory!B320</f>
        <v/>
      </c>
      <c r="C320" s="153" t="str">
        <f>Inventory!C320</f>
        <v/>
      </c>
      <c r="D320" s="169" t="str">
        <f>Inventory!H320</f>
        <v/>
      </c>
      <c r="E320" s="170" t="str">
        <f>Inventory!I320</f>
        <v/>
      </c>
      <c r="F320" s="171" t="str">
        <f>IF(A320="","",Inventory!K320)</f>
        <v/>
      </c>
    </row>
    <row r="321" ht="14.25" customHeight="1">
      <c r="A321" s="151" t="str">
        <f>Inventory!A321</f>
        <v/>
      </c>
      <c r="B321" s="153" t="str">
        <f>Inventory!B321</f>
        <v/>
      </c>
      <c r="C321" s="153" t="str">
        <f>Inventory!C321</f>
        <v/>
      </c>
      <c r="D321" s="169" t="str">
        <f>Inventory!H321</f>
        <v/>
      </c>
      <c r="E321" s="170" t="str">
        <f>Inventory!I321</f>
        <v/>
      </c>
      <c r="F321" s="171" t="str">
        <f>IF(A321="","",Inventory!K321)</f>
        <v/>
      </c>
    </row>
    <row r="322" ht="14.25" customHeight="1">
      <c r="A322" s="151" t="str">
        <f>Inventory!A322</f>
        <v/>
      </c>
      <c r="B322" s="153" t="str">
        <f>Inventory!B322</f>
        <v/>
      </c>
      <c r="C322" s="153" t="str">
        <f>Inventory!C322</f>
        <v/>
      </c>
      <c r="D322" s="169" t="str">
        <f>Inventory!H322</f>
        <v/>
      </c>
      <c r="E322" s="170" t="str">
        <f>Inventory!I322</f>
        <v/>
      </c>
      <c r="F322" s="171" t="str">
        <f>IF(A322="","",Inventory!K322)</f>
        <v/>
      </c>
    </row>
    <row r="323" ht="14.25" customHeight="1">
      <c r="A323" s="151" t="str">
        <f>Inventory!A323</f>
        <v/>
      </c>
      <c r="B323" s="153" t="str">
        <f>Inventory!B323</f>
        <v/>
      </c>
      <c r="C323" s="153" t="str">
        <f>Inventory!C323</f>
        <v/>
      </c>
      <c r="D323" s="169" t="str">
        <f>Inventory!H323</f>
        <v/>
      </c>
      <c r="E323" s="170" t="str">
        <f>Inventory!I323</f>
        <v/>
      </c>
      <c r="F323" s="171" t="str">
        <f>IF(A323="","",Inventory!K323)</f>
        <v/>
      </c>
    </row>
    <row r="324" ht="14.25" customHeight="1">
      <c r="A324" s="151" t="str">
        <f>Inventory!A324</f>
        <v/>
      </c>
      <c r="B324" s="153" t="str">
        <f>Inventory!B324</f>
        <v/>
      </c>
      <c r="C324" s="153" t="str">
        <f>Inventory!C324</f>
        <v/>
      </c>
      <c r="D324" s="169" t="str">
        <f>Inventory!H324</f>
        <v/>
      </c>
      <c r="E324" s="170" t="str">
        <f>Inventory!I324</f>
        <v/>
      </c>
      <c r="F324" s="171" t="str">
        <f>IF(A324="","",Inventory!K324)</f>
        <v/>
      </c>
    </row>
    <row r="325" ht="14.25" customHeight="1">
      <c r="A325" s="151" t="str">
        <f>Inventory!A325</f>
        <v/>
      </c>
      <c r="B325" s="153" t="str">
        <f>Inventory!B325</f>
        <v/>
      </c>
      <c r="C325" s="153" t="str">
        <f>Inventory!C325</f>
        <v/>
      </c>
      <c r="D325" s="169" t="str">
        <f>Inventory!H325</f>
        <v/>
      </c>
      <c r="E325" s="170" t="str">
        <f>Inventory!I325</f>
        <v/>
      </c>
      <c r="F325" s="171" t="str">
        <f>IF(A325="","",Inventory!K325)</f>
        <v/>
      </c>
    </row>
    <row r="326" ht="15.75" customHeight="1">
      <c r="A326" s="151" t="str">
        <f>Inventory!A326</f>
        <v/>
      </c>
      <c r="B326" s="153" t="str">
        <f>Inventory!B326</f>
        <v/>
      </c>
      <c r="C326" s="153" t="str">
        <f>Inventory!C326</f>
        <v/>
      </c>
      <c r="D326" s="169" t="str">
        <f>Inventory!H326</f>
        <v/>
      </c>
      <c r="E326" s="170" t="str">
        <f>Inventory!I326</f>
        <v/>
      </c>
      <c r="F326" s="171" t="str">
        <f>IF(A326="","",Inventory!K326)</f>
        <v/>
      </c>
    </row>
    <row r="327" ht="15.75" customHeight="1">
      <c r="A327" s="151" t="str">
        <f>Inventory!A327</f>
        <v/>
      </c>
      <c r="B327" s="153" t="str">
        <f>Inventory!B327</f>
        <v/>
      </c>
      <c r="C327" s="153" t="str">
        <f>Inventory!C327</f>
        <v/>
      </c>
      <c r="D327" s="169" t="str">
        <f>Inventory!H327</f>
        <v/>
      </c>
      <c r="E327" s="170" t="str">
        <f>Inventory!I327</f>
        <v/>
      </c>
      <c r="F327" s="171" t="str">
        <f>IF(A327="","",Inventory!K327)</f>
        <v/>
      </c>
    </row>
    <row r="328" ht="15.75" customHeight="1">
      <c r="A328" s="151" t="str">
        <f>Inventory!A328</f>
        <v/>
      </c>
      <c r="B328" s="153" t="str">
        <f>Inventory!B328</f>
        <v/>
      </c>
      <c r="C328" s="153" t="str">
        <f>Inventory!C328</f>
        <v/>
      </c>
      <c r="D328" s="169" t="str">
        <f>Inventory!H328</f>
        <v/>
      </c>
      <c r="E328" s="170" t="str">
        <f>Inventory!I328</f>
        <v/>
      </c>
      <c r="F328" s="171" t="str">
        <f>IF(A328="","",Inventory!K328)</f>
        <v/>
      </c>
    </row>
    <row r="329" ht="15.75" customHeight="1">
      <c r="A329" s="151" t="str">
        <f>Inventory!A329</f>
        <v/>
      </c>
      <c r="B329" s="153" t="str">
        <f>Inventory!B329</f>
        <v/>
      </c>
      <c r="C329" s="153" t="str">
        <f>Inventory!C329</f>
        <v/>
      </c>
      <c r="D329" s="169" t="str">
        <f>Inventory!H329</f>
        <v/>
      </c>
      <c r="E329" s="170" t="str">
        <f>Inventory!I329</f>
        <v/>
      </c>
      <c r="F329" s="171" t="str">
        <f>IF(A329="","",Inventory!K329)</f>
        <v/>
      </c>
    </row>
    <row r="330" ht="15.75" customHeight="1">
      <c r="A330" s="151" t="str">
        <f>Inventory!A330</f>
        <v/>
      </c>
      <c r="B330" s="153" t="str">
        <f>Inventory!B330</f>
        <v/>
      </c>
      <c r="C330" s="153" t="str">
        <f>Inventory!C330</f>
        <v/>
      </c>
      <c r="D330" s="169" t="str">
        <f>Inventory!H330</f>
        <v/>
      </c>
      <c r="E330" s="170" t="str">
        <f>Inventory!I330</f>
        <v/>
      </c>
      <c r="F330" s="171" t="str">
        <f>IF(A330="","",Inventory!K330)</f>
        <v/>
      </c>
    </row>
    <row r="331" ht="15.75" customHeight="1">
      <c r="A331" s="151" t="str">
        <f>Inventory!A331</f>
        <v/>
      </c>
      <c r="B331" s="153" t="str">
        <f>Inventory!B331</f>
        <v/>
      </c>
      <c r="C331" s="153" t="str">
        <f>Inventory!C331</f>
        <v/>
      </c>
      <c r="D331" s="169" t="str">
        <f>Inventory!H331</f>
        <v/>
      </c>
      <c r="E331" s="170" t="str">
        <f>Inventory!I331</f>
        <v/>
      </c>
      <c r="F331" s="171" t="str">
        <f>IF(A331="","",Inventory!K331)</f>
        <v/>
      </c>
    </row>
    <row r="332" ht="15.75" customHeight="1">
      <c r="A332" s="151" t="str">
        <f>Inventory!A332</f>
        <v/>
      </c>
      <c r="B332" s="153" t="str">
        <f>Inventory!B332</f>
        <v/>
      </c>
      <c r="C332" s="153" t="str">
        <f>Inventory!C332</f>
        <v/>
      </c>
      <c r="D332" s="169" t="str">
        <f>Inventory!H332</f>
        <v/>
      </c>
      <c r="E332" s="170" t="str">
        <f>Inventory!I332</f>
        <v/>
      </c>
      <c r="F332" s="171" t="str">
        <f>IF(A332="","",Inventory!K332)</f>
        <v/>
      </c>
    </row>
    <row r="333" ht="15.75" customHeight="1">
      <c r="A333" s="151" t="str">
        <f>Inventory!A333</f>
        <v/>
      </c>
      <c r="B333" s="153" t="str">
        <f>Inventory!B333</f>
        <v/>
      </c>
      <c r="C333" s="153" t="str">
        <f>Inventory!C333</f>
        <v/>
      </c>
      <c r="D333" s="169" t="str">
        <f>Inventory!H333</f>
        <v/>
      </c>
      <c r="E333" s="170" t="str">
        <f>Inventory!I333</f>
        <v/>
      </c>
      <c r="F333" s="171" t="str">
        <f>IF(A333="","",Inventory!K333)</f>
        <v/>
      </c>
    </row>
    <row r="334" ht="15.75" customHeight="1">
      <c r="A334" s="151" t="str">
        <f>Inventory!A334</f>
        <v/>
      </c>
      <c r="B334" s="153" t="str">
        <f>Inventory!B334</f>
        <v/>
      </c>
      <c r="C334" s="153" t="str">
        <f>Inventory!C334</f>
        <v/>
      </c>
      <c r="D334" s="169" t="str">
        <f>Inventory!H334</f>
        <v/>
      </c>
      <c r="E334" s="170" t="str">
        <f>Inventory!I334</f>
        <v/>
      </c>
      <c r="F334" s="171" t="str">
        <f>IF(A334="","",Inventory!K334)</f>
        <v/>
      </c>
    </row>
    <row r="335" ht="15.75" customHeight="1">
      <c r="A335" s="151" t="str">
        <f>Inventory!A335</f>
        <v/>
      </c>
      <c r="B335" s="153" t="str">
        <f>Inventory!B335</f>
        <v/>
      </c>
      <c r="C335" s="153" t="str">
        <f>Inventory!C335</f>
        <v/>
      </c>
      <c r="D335" s="169" t="str">
        <f>Inventory!H335</f>
        <v/>
      </c>
      <c r="E335" s="170" t="str">
        <f>Inventory!I335</f>
        <v/>
      </c>
      <c r="F335" s="171" t="str">
        <f>IF(A335="","",Inventory!K335)</f>
        <v/>
      </c>
    </row>
    <row r="336" ht="15.75" customHeight="1">
      <c r="A336" s="151" t="str">
        <f>Inventory!A336</f>
        <v/>
      </c>
      <c r="B336" s="153" t="str">
        <f>Inventory!B336</f>
        <v/>
      </c>
      <c r="C336" s="153" t="str">
        <f>Inventory!C336</f>
        <v/>
      </c>
      <c r="D336" s="169" t="str">
        <f>Inventory!H336</f>
        <v/>
      </c>
      <c r="E336" s="170" t="str">
        <f>Inventory!I336</f>
        <v/>
      </c>
      <c r="F336" s="171" t="str">
        <f>IF(A336="","",Inventory!K336)</f>
        <v/>
      </c>
    </row>
    <row r="337" ht="15.75" customHeight="1">
      <c r="A337" s="151" t="str">
        <f>Inventory!A337</f>
        <v/>
      </c>
      <c r="B337" s="153" t="str">
        <f>Inventory!B337</f>
        <v/>
      </c>
      <c r="C337" s="153" t="str">
        <f>Inventory!C337</f>
        <v/>
      </c>
      <c r="D337" s="169" t="str">
        <f>Inventory!H337</f>
        <v/>
      </c>
      <c r="E337" s="170" t="str">
        <f>Inventory!I337</f>
        <v/>
      </c>
      <c r="F337" s="171" t="str">
        <f>IF(A337="","",Inventory!K337)</f>
        <v/>
      </c>
    </row>
    <row r="338" ht="15.75" customHeight="1">
      <c r="A338" s="151" t="str">
        <f>Inventory!A338</f>
        <v/>
      </c>
      <c r="B338" s="153" t="str">
        <f>Inventory!B338</f>
        <v/>
      </c>
      <c r="C338" s="153" t="str">
        <f>Inventory!C338</f>
        <v/>
      </c>
      <c r="D338" s="169" t="str">
        <f>Inventory!H338</f>
        <v/>
      </c>
      <c r="E338" s="170" t="str">
        <f>Inventory!I338</f>
        <v/>
      </c>
      <c r="F338" s="171" t="str">
        <f>IF(A338="","",Inventory!K338)</f>
        <v/>
      </c>
    </row>
    <row r="339" ht="15.75" customHeight="1">
      <c r="A339" s="151" t="str">
        <f>Inventory!A339</f>
        <v/>
      </c>
      <c r="B339" s="153" t="str">
        <f>Inventory!B339</f>
        <v/>
      </c>
      <c r="C339" s="153" t="str">
        <f>Inventory!C339</f>
        <v/>
      </c>
      <c r="D339" s="169" t="str">
        <f>Inventory!H339</f>
        <v/>
      </c>
      <c r="E339" s="170" t="str">
        <f>Inventory!I339</f>
        <v/>
      </c>
      <c r="F339" s="171" t="str">
        <f>IF(A339="","",Inventory!K339)</f>
        <v/>
      </c>
    </row>
    <row r="340" ht="15.75" customHeight="1">
      <c r="A340" s="151" t="str">
        <f>Inventory!A340</f>
        <v/>
      </c>
      <c r="B340" s="153" t="str">
        <f>Inventory!B340</f>
        <v/>
      </c>
      <c r="C340" s="153" t="str">
        <f>Inventory!C340</f>
        <v/>
      </c>
      <c r="D340" s="169" t="str">
        <f>Inventory!H340</f>
        <v/>
      </c>
      <c r="E340" s="170" t="str">
        <f>Inventory!I340</f>
        <v/>
      </c>
      <c r="F340" s="171" t="str">
        <f>IF(A340="","",Inventory!K340)</f>
        <v/>
      </c>
    </row>
    <row r="341" ht="15.75" customHeight="1">
      <c r="A341" s="151" t="str">
        <f>Inventory!A341</f>
        <v/>
      </c>
      <c r="B341" s="153" t="str">
        <f>Inventory!B341</f>
        <v/>
      </c>
      <c r="C341" s="153" t="str">
        <f>Inventory!C341</f>
        <v/>
      </c>
      <c r="D341" s="169" t="str">
        <f>Inventory!H341</f>
        <v/>
      </c>
      <c r="E341" s="170" t="str">
        <f>Inventory!I341</f>
        <v/>
      </c>
      <c r="F341" s="171" t="str">
        <f>IF(A341="","",Inventory!K341)</f>
        <v/>
      </c>
    </row>
    <row r="342" ht="15.75" customHeight="1">
      <c r="A342" s="151" t="str">
        <f>Inventory!A342</f>
        <v/>
      </c>
      <c r="B342" s="153" t="str">
        <f>Inventory!B342</f>
        <v/>
      </c>
      <c r="C342" s="153" t="str">
        <f>Inventory!C342</f>
        <v/>
      </c>
      <c r="D342" s="169" t="str">
        <f>Inventory!H342</f>
        <v/>
      </c>
      <c r="E342" s="170" t="str">
        <f>Inventory!I342</f>
        <v/>
      </c>
      <c r="F342" s="171" t="str">
        <f>IF(A342="","",Inventory!K342)</f>
        <v/>
      </c>
    </row>
    <row r="343" ht="15.75" customHeight="1">
      <c r="A343" s="151" t="str">
        <f>Inventory!A343</f>
        <v/>
      </c>
      <c r="B343" s="153" t="str">
        <f>Inventory!B343</f>
        <v/>
      </c>
      <c r="C343" s="153" t="str">
        <f>Inventory!C343</f>
        <v/>
      </c>
      <c r="D343" s="169" t="str">
        <f>Inventory!H343</f>
        <v/>
      </c>
      <c r="E343" s="170" t="str">
        <f>Inventory!I343</f>
        <v/>
      </c>
      <c r="F343" s="171" t="str">
        <f>IF(A343="","",Inventory!K343)</f>
        <v/>
      </c>
    </row>
    <row r="344" ht="15.75" customHeight="1">
      <c r="A344" s="151" t="str">
        <f>Inventory!A344</f>
        <v/>
      </c>
      <c r="B344" s="153" t="str">
        <f>Inventory!B344</f>
        <v/>
      </c>
      <c r="C344" s="153" t="str">
        <f>Inventory!C344</f>
        <v/>
      </c>
      <c r="D344" s="169" t="str">
        <f>Inventory!H344</f>
        <v/>
      </c>
      <c r="E344" s="170" t="str">
        <f>Inventory!I344</f>
        <v/>
      </c>
      <c r="F344" s="171" t="str">
        <f>IF(A344="","",Inventory!K344)</f>
        <v/>
      </c>
    </row>
    <row r="345" ht="15.75" customHeight="1">
      <c r="A345" s="151" t="str">
        <f>Inventory!A345</f>
        <v/>
      </c>
      <c r="B345" s="153" t="str">
        <f>Inventory!B345</f>
        <v/>
      </c>
      <c r="C345" s="153" t="str">
        <f>Inventory!C345</f>
        <v/>
      </c>
      <c r="D345" s="169" t="str">
        <f>Inventory!H345</f>
        <v/>
      </c>
      <c r="E345" s="170" t="str">
        <f>Inventory!I345</f>
        <v/>
      </c>
      <c r="F345" s="171" t="str">
        <f>IF(A345="","",Inventory!K345)</f>
        <v/>
      </c>
    </row>
    <row r="346" ht="15.75" customHeight="1">
      <c r="A346" s="151" t="str">
        <f>Inventory!A346</f>
        <v/>
      </c>
      <c r="B346" s="153" t="str">
        <f>Inventory!B346</f>
        <v/>
      </c>
      <c r="C346" s="153" t="str">
        <f>Inventory!C346</f>
        <v/>
      </c>
      <c r="D346" s="169" t="str">
        <f>Inventory!H346</f>
        <v/>
      </c>
      <c r="E346" s="170" t="str">
        <f>Inventory!I346</f>
        <v/>
      </c>
      <c r="F346" s="171" t="str">
        <f>IF(A346="","",Inventory!K346)</f>
        <v/>
      </c>
    </row>
    <row r="347" ht="15.75" customHeight="1">
      <c r="A347" s="151" t="str">
        <f>Inventory!A347</f>
        <v/>
      </c>
      <c r="B347" s="153" t="str">
        <f>Inventory!B347</f>
        <v/>
      </c>
      <c r="C347" s="153" t="str">
        <f>Inventory!C347</f>
        <v/>
      </c>
      <c r="D347" s="169" t="str">
        <f>Inventory!H347</f>
        <v/>
      </c>
      <c r="E347" s="170" t="str">
        <f>Inventory!I347</f>
        <v/>
      </c>
      <c r="F347" s="171" t="str">
        <f>IF(A347="","",Inventory!K347)</f>
        <v/>
      </c>
    </row>
    <row r="348" ht="15.75" customHeight="1">
      <c r="A348" s="151" t="str">
        <f>Inventory!A348</f>
        <v/>
      </c>
      <c r="B348" s="153" t="str">
        <f>Inventory!B348</f>
        <v/>
      </c>
      <c r="C348" s="153" t="str">
        <f>Inventory!C348</f>
        <v/>
      </c>
      <c r="D348" s="169" t="str">
        <f>Inventory!H348</f>
        <v/>
      </c>
      <c r="E348" s="170" t="str">
        <f>Inventory!I348</f>
        <v/>
      </c>
      <c r="F348" s="171" t="str">
        <f>IF(A348="","",Inventory!K348)</f>
        <v/>
      </c>
    </row>
    <row r="349" ht="15.75" customHeight="1">
      <c r="A349" s="151" t="str">
        <f>Inventory!A349</f>
        <v/>
      </c>
      <c r="B349" s="153" t="str">
        <f>Inventory!B349</f>
        <v/>
      </c>
      <c r="C349" s="153" t="str">
        <f>Inventory!C349</f>
        <v/>
      </c>
      <c r="D349" s="169" t="str">
        <f>Inventory!H349</f>
        <v/>
      </c>
      <c r="E349" s="170" t="str">
        <f>Inventory!I349</f>
        <v/>
      </c>
      <c r="F349" s="171" t="str">
        <f>IF(A349="","",Inventory!K349)</f>
        <v/>
      </c>
    </row>
    <row r="350" ht="15.75" customHeight="1">
      <c r="A350" s="151" t="str">
        <f>Inventory!A350</f>
        <v/>
      </c>
      <c r="B350" s="153" t="str">
        <f>Inventory!B350</f>
        <v/>
      </c>
      <c r="C350" s="153" t="str">
        <f>Inventory!C350</f>
        <v/>
      </c>
      <c r="D350" s="169" t="str">
        <f>Inventory!H350</f>
        <v/>
      </c>
      <c r="E350" s="170" t="str">
        <f>Inventory!I350</f>
        <v/>
      </c>
      <c r="F350" s="171" t="str">
        <f>IF(A350="","",Inventory!K350)</f>
        <v/>
      </c>
    </row>
    <row r="351" ht="15.75" customHeight="1">
      <c r="A351" s="151" t="str">
        <f>Inventory!A351</f>
        <v/>
      </c>
      <c r="B351" s="153" t="str">
        <f>Inventory!B351</f>
        <v/>
      </c>
      <c r="C351" s="153" t="str">
        <f>Inventory!C351</f>
        <v/>
      </c>
      <c r="D351" s="169" t="str">
        <f>Inventory!H351</f>
        <v/>
      </c>
      <c r="E351" s="170" t="str">
        <f>Inventory!I351</f>
        <v/>
      </c>
      <c r="F351" s="171" t="str">
        <f>IF(A351="","",Inventory!K351)</f>
        <v/>
      </c>
    </row>
    <row r="352" ht="15.75" customHeight="1">
      <c r="A352" s="151" t="str">
        <f>Inventory!A352</f>
        <v/>
      </c>
      <c r="B352" s="153" t="str">
        <f>Inventory!B352</f>
        <v/>
      </c>
      <c r="C352" s="153" t="str">
        <f>Inventory!C352</f>
        <v/>
      </c>
      <c r="D352" s="169" t="str">
        <f>Inventory!H352</f>
        <v/>
      </c>
      <c r="E352" s="170" t="str">
        <f>Inventory!I352</f>
        <v/>
      </c>
      <c r="F352" s="171" t="str">
        <f>IF(A352="","",Inventory!K352)</f>
        <v/>
      </c>
    </row>
    <row r="353" ht="15.75" customHeight="1">
      <c r="A353" s="151" t="str">
        <f>Inventory!A353</f>
        <v/>
      </c>
      <c r="B353" s="153" t="str">
        <f>Inventory!B353</f>
        <v/>
      </c>
      <c r="C353" s="153" t="str">
        <f>Inventory!C353</f>
        <v/>
      </c>
      <c r="D353" s="169" t="str">
        <f>Inventory!H353</f>
        <v/>
      </c>
      <c r="E353" s="170" t="str">
        <f>Inventory!I353</f>
        <v/>
      </c>
      <c r="F353" s="171" t="str">
        <f>IF(A353="","",Inventory!K353)</f>
        <v/>
      </c>
    </row>
    <row r="354" ht="15.75" customHeight="1">
      <c r="A354" s="151" t="str">
        <f>Inventory!A354</f>
        <v/>
      </c>
      <c r="B354" s="153" t="str">
        <f>Inventory!B354</f>
        <v/>
      </c>
      <c r="C354" s="153" t="str">
        <f>Inventory!C354</f>
        <v/>
      </c>
      <c r="D354" s="169" t="str">
        <f>Inventory!H354</f>
        <v/>
      </c>
      <c r="E354" s="170" t="str">
        <f>Inventory!I354</f>
        <v/>
      </c>
      <c r="F354" s="171" t="str">
        <f>IF(A354="","",Inventory!K354)</f>
        <v/>
      </c>
    </row>
    <row r="355" ht="15.75" customHeight="1">
      <c r="A355" s="151" t="str">
        <f>Inventory!A355</f>
        <v/>
      </c>
      <c r="B355" s="153" t="str">
        <f>Inventory!B355</f>
        <v/>
      </c>
      <c r="C355" s="153" t="str">
        <f>Inventory!C355</f>
        <v/>
      </c>
      <c r="D355" s="169" t="str">
        <f>Inventory!H355</f>
        <v/>
      </c>
      <c r="E355" s="170" t="str">
        <f>Inventory!I355</f>
        <v/>
      </c>
      <c r="F355" s="171" t="str">
        <f>IF(A355="","",Inventory!K355)</f>
        <v/>
      </c>
    </row>
    <row r="356" ht="15.75" customHeight="1">
      <c r="A356" s="151" t="str">
        <f>Inventory!A356</f>
        <v/>
      </c>
      <c r="B356" s="153" t="str">
        <f>Inventory!B356</f>
        <v/>
      </c>
      <c r="C356" s="153" t="str">
        <f>Inventory!C356</f>
        <v/>
      </c>
      <c r="D356" s="169" t="str">
        <f>Inventory!H356</f>
        <v/>
      </c>
      <c r="E356" s="170" t="str">
        <f>Inventory!I356</f>
        <v/>
      </c>
      <c r="F356" s="171" t="str">
        <f>IF(A356="","",Inventory!K356)</f>
        <v/>
      </c>
    </row>
    <row r="357" ht="15.75" customHeight="1">
      <c r="A357" s="151" t="str">
        <f>Inventory!A357</f>
        <v/>
      </c>
      <c r="B357" s="153" t="str">
        <f>Inventory!B357</f>
        <v/>
      </c>
      <c r="C357" s="153" t="str">
        <f>Inventory!C357</f>
        <v/>
      </c>
      <c r="D357" s="169" t="str">
        <f>Inventory!H357</f>
        <v/>
      </c>
      <c r="E357" s="170" t="str">
        <f>Inventory!I357</f>
        <v/>
      </c>
      <c r="F357" s="171" t="str">
        <f>IF(A357="","",Inventory!K357)</f>
        <v/>
      </c>
    </row>
    <row r="358" ht="15.75" customHeight="1">
      <c r="A358" s="151" t="str">
        <f>Inventory!A358</f>
        <v/>
      </c>
      <c r="B358" s="153" t="str">
        <f>Inventory!B358</f>
        <v/>
      </c>
      <c r="C358" s="153" t="str">
        <f>Inventory!C358</f>
        <v/>
      </c>
      <c r="D358" s="169" t="str">
        <f>Inventory!H358</f>
        <v/>
      </c>
      <c r="E358" s="170" t="str">
        <f>Inventory!I358</f>
        <v/>
      </c>
      <c r="F358" s="171" t="str">
        <f>IF(A358="","",Inventory!K358)</f>
        <v/>
      </c>
    </row>
    <row r="359" ht="15.75" customHeight="1">
      <c r="A359" s="151" t="str">
        <f>Inventory!A359</f>
        <v/>
      </c>
      <c r="B359" s="153" t="str">
        <f>Inventory!B359</f>
        <v/>
      </c>
      <c r="C359" s="153" t="str">
        <f>Inventory!C359</f>
        <v/>
      </c>
      <c r="D359" s="169" t="str">
        <f>Inventory!H359</f>
        <v/>
      </c>
      <c r="E359" s="170" t="str">
        <f>Inventory!I359</f>
        <v/>
      </c>
      <c r="F359" s="171" t="str">
        <f>IF(A359="","",Inventory!K359)</f>
        <v/>
      </c>
    </row>
    <row r="360" ht="15.75" customHeight="1">
      <c r="A360" s="151" t="str">
        <f>Inventory!A360</f>
        <v/>
      </c>
      <c r="B360" s="153" t="str">
        <f>Inventory!B360</f>
        <v/>
      </c>
      <c r="C360" s="153" t="str">
        <f>Inventory!C360</f>
        <v/>
      </c>
      <c r="D360" s="169" t="str">
        <f>Inventory!H360</f>
        <v/>
      </c>
      <c r="E360" s="170" t="str">
        <f>Inventory!I360</f>
        <v/>
      </c>
      <c r="F360" s="171" t="str">
        <f>IF(A360="","",Inventory!K360)</f>
        <v/>
      </c>
    </row>
    <row r="361" ht="15.75" customHeight="1">
      <c r="A361" s="151" t="str">
        <f>Inventory!A361</f>
        <v/>
      </c>
      <c r="B361" s="153" t="str">
        <f>Inventory!B361</f>
        <v/>
      </c>
      <c r="C361" s="153" t="str">
        <f>Inventory!C361</f>
        <v/>
      </c>
      <c r="D361" s="169" t="str">
        <f>Inventory!H361</f>
        <v/>
      </c>
      <c r="E361" s="170" t="str">
        <f>Inventory!I361</f>
        <v/>
      </c>
      <c r="F361" s="171" t="str">
        <f>IF(A361="","",Inventory!K361)</f>
        <v/>
      </c>
    </row>
    <row r="362" ht="15.75" customHeight="1">
      <c r="A362" s="151" t="str">
        <f>Inventory!A362</f>
        <v/>
      </c>
      <c r="B362" s="153" t="str">
        <f>Inventory!B362</f>
        <v/>
      </c>
      <c r="C362" s="153" t="str">
        <f>Inventory!C362</f>
        <v/>
      </c>
      <c r="D362" s="169" t="str">
        <f>Inventory!H362</f>
        <v/>
      </c>
      <c r="E362" s="170" t="str">
        <f>Inventory!I362</f>
        <v/>
      </c>
      <c r="F362" s="171" t="str">
        <f>IF(A362="","",Inventory!K362)</f>
        <v/>
      </c>
    </row>
    <row r="363" ht="15.75" customHeight="1">
      <c r="A363" s="151" t="str">
        <f>Inventory!A363</f>
        <v/>
      </c>
      <c r="B363" s="153" t="str">
        <f>Inventory!B363</f>
        <v/>
      </c>
      <c r="C363" s="153" t="str">
        <f>Inventory!C363</f>
        <v/>
      </c>
      <c r="D363" s="169" t="str">
        <f>Inventory!H363</f>
        <v/>
      </c>
      <c r="E363" s="170" t="str">
        <f>Inventory!I363</f>
        <v/>
      </c>
      <c r="F363" s="171" t="str">
        <f>IF(A363="","",Inventory!K363)</f>
        <v/>
      </c>
    </row>
    <row r="364" ht="15.75" customHeight="1">
      <c r="A364" s="151" t="str">
        <f>Inventory!A364</f>
        <v/>
      </c>
      <c r="B364" s="153" t="str">
        <f>Inventory!B364</f>
        <v/>
      </c>
      <c r="C364" s="153" t="str">
        <f>Inventory!C364</f>
        <v/>
      </c>
      <c r="D364" s="169" t="str">
        <f>Inventory!H364</f>
        <v/>
      </c>
      <c r="E364" s="170" t="str">
        <f>Inventory!I364</f>
        <v/>
      </c>
      <c r="F364" s="171" t="str">
        <f>IF(A364="","",Inventory!K364)</f>
        <v/>
      </c>
    </row>
    <row r="365" ht="15.75" customHeight="1">
      <c r="A365" s="151" t="str">
        <f>Inventory!A365</f>
        <v/>
      </c>
      <c r="B365" s="153" t="str">
        <f>Inventory!B365</f>
        <v/>
      </c>
      <c r="C365" s="153" t="str">
        <f>Inventory!C365</f>
        <v/>
      </c>
      <c r="D365" s="169" t="str">
        <f>Inventory!H365</f>
        <v/>
      </c>
      <c r="E365" s="170" t="str">
        <f>Inventory!I365</f>
        <v/>
      </c>
      <c r="F365" s="171" t="str">
        <f>IF(A365="","",Inventory!K365)</f>
        <v/>
      </c>
    </row>
    <row r="366" ht="15.75" customHeight="1">
      <c r="A366" s="151" t="str">
        <f>Inventory!A366</f>
        <v/>
      </c>
      <c r="B366" s="153" t="str">
        <f>Inventory!B366</f>
        <v/>
      </c>
      <c r="C366" s="153" t="str">
        <f>Inventory!C366</f>
        <v/>
      </c>
      <c r="D366" s="169" t="str">
        <f>Inventory!H366</f>
        <v/>
      </c>
      <c r="E366" s="170" t="str">
        <f>Inventory!I366</f>
        <v/>
      </c>
      <c r="F366" s="171" t="str">
        <f>IF(A366="","",Inventory!K366)</f>
        <v/>
      </c>
    </row>
    <row r="367" ht="15.75" customHeight="1">
      <c r="A367" s="151" t="str">
        <f>Inventory!A367</f>
        <v/>
      </c>
      <c r="B367" s="153" t="str">
        <f>Inventory!B367</f>
        <v/>
      </c>
      <c r="C367" s="153" t="str">
        <f>Inventory!C367</f>
        <v/>
      </c>
      <c r="D367" s="169" t="str">
        <f>Inventory!H367</f>
        <v/>
      </c>
      <c r="E367" s="170" t="str">
        <f>Inventory!I367</f>
        <v/>
      </c>
      <c r="F367" s="171" t="str">
        <f>IF(A367="","",Inventory!K367)</f>
        <v/>
      </c>
    </row>
    <row r="368" ht="15.75" customHeight="1">
      <c r="A368" s="151" t="str">
        <f>Inventory!A368</f>
        <v/>
      </c>
      <c r="B368" s="153" t="str">
        <f>Inventory!B368</f>
        <v/>
      </c>
      <c r="C368" s="153" t="str">
        <f>Inventory!C368</f>
        <v/>
      </c>
      <c r="D368" s="169" t="str">
        <f>Inventory!H368</f>
        <v/>
      </c>
      <c r="E368" s="170" t="str">
        <f>Inventory!I368</f>
        <v/>
      </c>
      <c r="F368" s="171" t="str">
        <f>IF(A368="","",Inventory!K368)</f>
        <v/>
      </c>
    </row>
    <row r="369" ht="15.75" customHeight="1">
      <c r="A369" s="151" t="str">
        <f>Inventory!A369</f>
        <v/>
      </c>
      <c r="B369" s="153" t="str">
        <f>Inventory!B369</f>
        <v/>
      </c>
      <c r="C369" s="153" t="str">
        <f>Inventory!C369</f>
        <v/>
      </c>
      <c r="D369" s="169" t="str">
        <f>Inventory!H369</f>
        <v/>
      </c>
      <c r="E369" s="170" t="str">
        <f>Inventory!I369</f>
        <v/>
      </c>
      <c r="F369" s="171" t="str">
        <f>IF(A369="","",Inventory!K369)</f>
        <v/>
      </c>
    </row>
    <row r="370" ht="15.75" customHeight="1">
      <c r="A370" s="151" t="str">
        <f>Inventory!A370</f>
        <v/>
      </c>
      <c r="B370" s="153" t="str">
        <f>Inventory!B370</f>
        <v/>
      </c>
      <c r="C370" s="153" t="str">
        <f>Inventory!C370</f>
        <v/>
      </c>
      <c r="D370" s="169" t="str">
        <f>Inventory!H370</f>
        <v/>
      </c>
      <c r="E370" s="170" t="str">
        <f>Inventory!I370</f>
        <v/>
      </c>
      <c r="F370" s="171" t="str">
        <f>IF(A370="","",Inventory!K370)</f>
        <v/>
      </c>
    </row>
    <row r="371" ht="15.75" customHeight="1">
      <c r="A371" s="151" t="str">
        <f>Inventory!A371</f>
        <v/>
      </c>
      <c r="B371" s="153" t="str">
        <f>Inventory!B371</f>
        <v/>
      </c>
      <c r="C371" s="153" t="str">
        <f>Inventory!C371</f>
        <v/>
      </c>
      <c r="D371" s="169" t="str">
        <f>Inventory!H371</f>
        <v/>
      </c>
      <c r="E371" s="170" t="str">
        <f>Inventory!I371</f>
        <v/>
      </c>
      <c r="F371" s="171" t="str">
        <f>IF(A371="","",Inventory!K371)</f>
        <v/>
      </c>
    </row>
    <row r="372" ht="15.75" customHeight="1">
      <c r="A372" s="151" t="str">
        <f>Inventory!A372</f>
        <v/>
      </c>
      <c r="B372" s="153" t="str">
        <f>Inventory!B372</f>
        <v/>
      </c>
      <c r="C372" s="153" t="str">
        <f>Inventory!C372</f>
        <v/>
      </c>
      <c r="D372" s="169" t="str">
        <f>Inventory!H372</f>
        <v/>
      </c>
      <c r="E372" s="170" t="str">
        <f>Inventory!I372</f>
        <v/>
      </c>
      <c r="F372" s="171" t="str">
        <f>IF(A372="","",Inventory!K372)</f>
        <v/>
      </c>
    </row>
    <row r="373" ht="15.75" customHeight="1">
      <c r="A373" s="151" t="str">
        <f>Inventory!A373</f>
        <v/>
      </c>
      <c r="B373" s="153" t="str">
        <f>Inventory!B373</f>
        <v/>
      </c>
      <c r="C373" s="153" t="str">
        <f>Inventory!C373</f>
        <v/>
      </c>
      <c r="D373" s="169" t="str">
        <f>Inventory!H373</f>
        <v/>
      </c>
      <c r="E373" s="170" t="str">
        <f>Inventory!I373</f>
        <v/>
      </c>
      <c r="F373" s="171" t="str">
        <f>IF(A373="","",Inventory!K373)</f>
        <v/>
      </c>
    </row>
    <row r="374" ht="15.75" customHeight="1">
      <c r="A374" s="151" t="str">
        <f>Inventory!A374</f>
        <v/>
      </c>
      <c r="B374" s="153" t="str">
        <f>Inventory!B374</f>
        <v/>
      </c>
      <c r="C374" s="153" t="str">
        <f>Inventory!C374</f>
        <v/>
      </c>
      <c r="D374" s="169" t="str">
        <f>Inventory!H374</f>
        <v/>
      </c>
      <c r="E374" s="170" t="str">
        <f>Inventory!I374</f>
        <v/>
      </c>
      <c r="F374" s="171" t="str">
        <f>IF(A374="","",Inventory!K374)</f>
        <v/>
      </c>
    </row>
    <row r="375" ht="15.75" customHeight="1">
      <c r="A375" s="151" t="str">
        <f>Inventory!A375</f>
        <v/>
      </c>
      <c r="B375" s="153" t="str">
        <f>Inventory!B375</f>
        <v/>
      </c>
      <c r="C375" s="153" t="str">
        <f>Inventory!C375</f>
        <v/>
      </c>
      <c r="D375" s="169" t="str">
        <f>Inventory!H375</f>
        <v/>
      </c>
      <c r="E375" s="170" t="str">
        <f>Inventory!I375</f>
        <v/>
      </c>
      <c r="F375" s="171" t="str">
        <f>IF(A375="","",Inventory!K375)</f>
        <v/>
      </c>
    </row>
    <row r="376" ht="15.75" customHeight="1">
      <c r="A376" s="151" t="str">
        <f>Inventory!A376</f>
        <v/>
      </c>
      <c r="B376" s="153" t="str">
        <f>Inventory!B376</f>
        <v/>
      </c>
      <c r="C376" s="153" t="str">
        <f>Inventory!C376</f>
        <v/>
      </c>
      <c r="D376" s="169" t="str">
        <f>Inventory!H376</f>
        <v/>
      </c>
      <c r="E376" s="170" t="str">
        <f>Inventory!I376</f>
        <v/>
      </c>
      <c r="F376" s="171" t="str">
        <f>IF(A376="","",Inventory!K376)</f>
        <v/>
      </c>
    </row>
    <row r="377" ht="15.75" customHeight="1">
      <c r="A377" s="151" t="str">
        <f>Inventory!A377</f>
        <v/>
      </c>
      <c r="B377" s="153" t="str">
        <f>Inventory!B377</f>
        <v/>
      </c>
      <c r="C377" s="153" t="str">
        <f>Inventory!C377</f>
        <v/>
      </c>
      <c r="D377" s="169" t="str">
        <f>Inventory!H377</f>
        <v/>
      </c>
      <c r="E377" s="170" t="str">
        <f>Inventory!I377</f>
        <v/>
      </c>
      <c r="F377" s="171" t="str">
        <f>IF(A377="","",Inventory!K377)</f>
        <v/>
      </c>
    </row>
    <row r="378" ht="15.75" customHeight="1">
      <c r="A378" s="151" t="str">
        <f>Inventory!A378</f>
        <v/>
      </c>
      <c r="B378" s="153" t="str">
        <f>Inventory!B378</f>
        <v/>
      </c>
      <c r="C378" s="153" t="str">
        <f>Inventory!C378</f>
        <v/>
      </c>
      <c r="D378" s="169" t="str">
        <f>Inventory!H378</f>
        <v/>
      </c>
      <c r="E378" s="170" t="str">
        <f>Inventory!I378</f>
        <v/>
      </c>
      <c r="F378" s="171" t="str">
        <f>IF(A378="","",Inventory!K378)</f>
        <v/>
      </c>
    </row>
    <row r="379" ht="15.75" customHeight="1">
      <c r="A379" s="151" t="str">
        <f>Inventory!A379</f>
        <v/>
      </c>
      <c r="B379" s="153" t="str">
        <f>Inventory!B379</f>
        <v/>
      </c>
      <c r="C379" s="153" t="str">
        <f>Inventory!C379</f>
        <v/>
      </c>
      <c r="D379" s="169" t="str">
        <f>Inventory!H379</f>
        <v/>
      </c>
      <c r="E379" s="170" t="str">
        <f>Inventory!I379</f>
        <v/>
      </c>
      <c r="F379" s="171" t="str">
        <f>IF(A379="","",Inventory!K379)</f>
        <v/>
      </c>
    </row>
    <row r="380" ht="15.75" customHeight="1">
      <c r="A380" s="151" t="str">
        <f>Inventory!A380</f>
        <v/>
      </c>
      <c r="B380" s="153" t="str">
        <f>Inventory!B380</f>
        <v/>
      </c>
      <c r="C380" s="153" t="str">
        <f>Inventory!C380</f>
        <v/>
      </c>
      <c r="D380" s="169" t="str">
        <f>Inventory!H380</f>
        <v/>
      </c>
      <c r="E380" s="170" t="str">
        <f>Inventory!I380</f>
        <v/>
      </c>
      <c r="F380" s="171" t="str">
        <f>IF(A380="","",Inventory!K380)</f>
        <v/>
      </c>
    </row>
    <row r="381" ht="15.75" customHeight="1">
      <c r="A381" s="151" t="str">
        <f>Inventory!A381</f>
        <v/>
      </c>
      <c r="B381" s="153" t="str">
        <f>Inventory!B381</f>
        <v/>
      </c>
      <c r="C381" s="153" t="str">
        <f>Inventory!C381</f>
        <v/>
      </c>
      <c r="D381" s="169" t="str">
        <f>Inventory!H381</f>
        <v/>
      </c>
      <c r="E381" s="170" t="str">
        <f>Inventory!I381</f>
        <v/>
      </c>
      <c r="F381" s="171" t="str">
        <f>IF(A381="","",Inventory!K381)</f>
        <v/>
      </c>
    </row>
    <row r="382" ht="15.75" customHeight="1">
      <c r="A382" s="151" t="str">
        <f>Inventory!A382</f>
        <v/>
      </c>
      <c r="B382" s="153" t="str">
        <f>Inventory!B382</f>
        <v/>
      </c>
      <c r="C382" s="153" t="str">
        <f>Inventory!C382</f>
        <v/>
      </c>
      <c r="D382" s="169" t="str">
        <f>Inventory!H382</f>
        <v/>
      </c>
      <c r="E382" s="170" t="str">
        <f>Inventory!I382</f>
        <v/>
      </c>
      <c r="F382" s="171" t="str">
        <f>IF(A382="","",Inventory!K382)</f>
        <v/>
      </c>
    </row>
    <row r="383" ht="15.75" customHeight="1">
      <c r="A383" s="151" t="str">
        <f>Inventory!A383</f>
        <v/>
      </c>
      <c r="B383" s="153" t="str">
        <f>Inventory!B383</f>
        <v/>
      </c>
      <c r="C383" s="153" t="str">
        <f>Inventory!C383</f>
        <v/>
      </c>
      <c r="D383" s="169" t="str">
        <f>Inventory!H383</f>
        <v/>
      </c>
      <c r="E383" s="170" t="str">
        <f>Inventory!I383</f>
        <v/>
      </c>
      <c r="F383" s="171" t="str">
        <f>IF(A383="","",Inventory!K383)</f>
        <v/>
      </c>
    </row>
    <row r="384" ht="15.75" customHeight="1">
      <c r="A384" s="151" t="str">
        <f>Inventory!A384</f>
        <v/>
      </c>
      <c r="B384" s="153" t="str">
        <f>Inventory!B384</f>
        <v/>
      </c>
      <c r="C384" s="153" t="str">
        <f>Inventory!C384</f>
        <v/>
      </c>
      <c r="D384" s="169" t="str">
        <f>Inventory!H384</f>
        <v/>
      </c>
      <c r="E384" s="170" t="str">
        <f>Inventory!I384</f>
        <v/>
      </c>
      <c r="F384" s="171" t="str">
        <f>IF(A384="","",Inventory!K384)</f>
        <v/>
      </c>
    </row>
    <row r="385" ht="15.75" customHeight="1">
      <c r="A385" s="151" t="str">
        <f>Inventory!A385</f>
        <v/>
      </c>
      <c r="B385" s="153" t="str">
        <f>Inventory!B385</f>
        <v/>
      </c>
      <c r="C385" s="153" t="str">
        <f>Inventory!C385</f>
        <v/>
      </c>
      <c r="D385" s="169" t="str">
        <f>Inventory!H385</f>
        <v/>
      </c>
      <c r="E385" s="170" t="str">
        <f>Inventory!I385</f>
        <v/>
      </c>
      <c r="F385" s="171" t="str">
        <f>IF(A385="","",Inventory!K385)</f>
        <v/>
      </c>
    </row>
    <row r="386" ht="15.75" customHeight="1">
      <c r="A386" s="151" t="str">
        <f>Inventory!A386</f>
        <v/>
      </c>
      <c r="B386" s="153" t="str">
        <f>Inventory!B386</f>
        <v/>
      </c>
      <c r="C386" s="153" t="str">
        <f>Inventory!C386</f>
        <v/>
      </c>
      <c r="D386" s="169" t="str">
        <f>Inventory!H386</f>
        <v/>
      </c>
      <c r="E386" s="170" t="str">
        <f>Inventory!I386</f>
        <v/>
      </c>
      <c r="F386" s="171" t="str">
        <f>IF(A386="","",Inventory!K386)</f>
        <v/>
      </c>
    </row>
    <row r="387" ht="15.75" customHeight="1">
      <c r="A387" s="151" t="str">
        <f>Inventory!A387</f>
        <v/>
      </c>
      <c r="B387" s="153" t="str">
        <f>Inventory!B387</f>
        <v/>
      </c>
      <c r="C387" s="153" t="str">
        <f>Inventory!C387</f>
        <v/>
      </c>
      <c r="D387" s="169" t="str">
        <f>Inventory!H387</f>
        <v/>
      </c>
      <c r="E387" s="170" t="str">
        <f>Inventory!I387</f>
        <v/>
      </c>
      <c r="F387" s="171" t="str">
        <f>IF(A387="","",Inventory!K387)</f>
        <v/>
      </c>
    </row>
    <row r="388" ht="15.75" customHeight="1">
      <c r="A388" s="151" t="str">
        <f>Inventory!A388</f>
        <v/>
      </c>
      <c r="B388" s="153" t="str">
        <f>Inventory!B388</f>
        <v/>
      </c>
      <c r="C388" s="153" t="str">
        <f>Inventory!C388</f>
        <v/>
      </c>
      <c r="D388" s="169" t="str">
        <f>Inventory!H388</f>
        <v/>
      </c>
      <c r="E388" s="170" t="str">
        <f>Inventory!I388</f>
        <v/>
      </c>
      <c r="F388" s="171" t="str">
        <f>IF(A388="","",Inventory!K388)</f>
        <v/>
      </c>
    </row>
    <row r="389" ht="15.75" customHeight="1">
      <c r="A389" s="151" t="str">
        <f>Inventory!A389</f>
        <v/>
      </c>
      <c r="B389" s="153" t="str">
        <f>Inventory!B389</f>
        <v/>
      </c>
      <c r="C389" s="153" t="str">
        <f>Inventory!C389</f>
        <v/>
      </c>
      <c r="D389" s="169" t="str">
        <f>Inventory!H389</f>
        <v/>
      </c>
      <c r="E389" s="170" t="str">
        <f>Inventory!I389</f>
        <v/>
      </c>
      <c r="F389" s="171" t="str">
        <f>IF(A389="","",Inventory!K389)</f>
        <v/>
      </c>
    </row>
    <row r="390" ht="15.75" customHeight="1">
      <c r="A390" s="151" t="str">
        <f>Inventory!A390</f>
        <v/>
      </c>
      <c r="B390" s="153" t="str">
        <f>Inventory!B390</f>
        <v/>
      </c>
      <c r="C390" s="153" t="str">
        <f>Inventory!C390</f>
        <v/>
      </c>
      <c r="D390" s="169" t="str">
        <f>Inventory!H390</f>
        <v/>
      </c>
      <c r="E390" s="170" t="str">
        <f>Inventory!I390</f>
        <v/>
      </c>
      <c r="F390" s="171" t="str">
        <f>IF(A390="","",Inventory!K390)</f>
        <v/>
      </c>
    </row>
    <row r="391" ht="15.75" customHeight="1">
      <c r="A391" s="151" t="str">
        <f>Inventory!A391</f>
        <v/>
      </c>
      <c r="B391" s="153" t="str">
        <f>Inventory!B391</f>
        <v/>
      </c>
      <c r="C391" s="153" t="str">
        <f>Inventory!C391</f>
        <v/>
      </c>
      <c r="D391" s="169" t="str">
        <f>Inventory!H391</f>
        <v/>
      </c>
      <c r="E391" s="170" t="str">
        <f>Inventory!I391</f>
        <v/>
      </c>
      <c r="F391" s="171" t="str">
        <f>IF(A391="","",Inventory!K391)</f>
        <v/>
      </c>
    </row>
    <row r="392" ht="15.75" customHeight="1">
      <c r="A392" s="151" t="str">
        <f>Inventory!A392</f>
        <v/>
      </c>
      <c r="B392" s="153" t="str">
        <f>Inventory!B392</f>
        <v/>
      </c>
      <c r="C392" s="153" t="str">
        <f>Inventory!C392</f>
        <v/>
      </c>
      <c r="D392" s="169" t="str">
        <f>Inventory!H392</f>
        <v/>
      </c>
      <c r="E392" s="170" t="str">
        <f>Inventory!I392</f>
        <v/>
      </c>
      <c r="F392" s="171" t="str">
        <f>IF(A392="","",Inventory!K392)</f>
        <v/>
      </c>
    </row>
    <row r="393" ht="15.75" customHeight="1">
      <c r="A393" s="151" t="str">
        <f>Inventory!A393</f>
        <v/>
      </c>
      <c r="B393" s="153" t="str">
        <f>Inventory!B393</f>
        <v/>
      </c>
      <c r="C393" s="153" t="str">
        <f>Inventory!C393</f>
        <v/>
      </c>
      <c r="D393" s="169" t="str">
        <f>Inventory!H393</f>
        <v/>
      </c>
      <c r="E393" s="170" t="str">
        <f>Inventory!I393</f>
        <v/>
      </c>
      <c r="F393" s="171" t="str">
        <f>IF(A393="","",Inventory!K393)</f>
        <v/>
      </c>
    </row>
    <row r="394" ht="15.75" customHeight="1">
      <c r="A394" s="151" t="str">
        <f>Inventory!A394</f>
        <v/>
      </c>
      <c r="B394" s="153" t="str">
        <f>Inventory!B394</f>
        <v/>
      </c>
      <c r="C394" s="153" t="str">
        <f>Inventory!C394</f>
        <v/>
      </c>
      <c r="D394" s="169" t="str">
        <f>Inventory!H394</f>
        <v/>
      </c>
      <c r="E394" s="170" t="str">
        <f>Inventory!I394</f>
        <v/>
      </c>
      <c r="F394" s="171" t="str">
        <f>IF(A394="","",Inventory!K394)</f>
        <v/>
      </c>
    </row>
    <row r="395" ht="15.75" customHeight="1">
      <c r="A395" s="151" t="str">
        <f>Inventory!A395</f>
        <v/>
      </c>
      <c r="B395" s="153" t="str">
        <f>Inventory!B395</f>
        <v/>
      </c>
      <c r="C395" s="153" t="str">
        <f>Inventory!C395</f>
        <v/>
      </c>
      <c r="D395" s="169" t="str">
        <f>Inventory!H395</f>
        <v/>
      </c>
      <c r="E395" s="170" t="str">
        <f>Inventory!I395</f>
        <v/>
      </c>
      <c r="F395" s="171" t="str">
        <f>IF(A395="","",Inventory!K395)</f>
        <v/>
      </c>
    </row>
    <row r="396" ht="15.75" customHeight="1">
      <c r="A396" s="151" t="str">
        <f>Inventory!A396</f>
        <v/>
      </c>
      <c r="B396" s="153" t="str">
        <f>Inventory!B396</f>
        <v/>
      </c>
      <c r="C396" s="153" t="str">
        <f>Inventory!C396</f>
        <v/>
      </c>
      <c r="D396" s="169" t="str">
        <f>Inventory!H396</f>
        <v/>
      </c>
      <c r="E396" s="170" t="str">
        <f>Inventory!I396</f>
        <v/>
      </c>
      <c r="F396" s="171" t="str">
        <f>IF(A396="","",Inventory!K396)</f>
        <v/>
      </c>
    </row>
    <row r="397" ht="15.75" customHeight="1">
      <c r="A397" s="151" t="str">
        <f>Inventory!A397</f>
        <v/>
      </c>
      <c r="B397" s="153" t="str">
        <f>Inventory!B397</f>
        <v/>
      </c>
      <c r="C397" s="153" t="str">
        <f>Inventory!C397</f>
        <v/>
      </c>
      <c r="D397" s="169" t="str">
        <f>Inventory!H397</f>
        <v/>
      </c>
      <c r="E397" s="170" t="str">
        <f>Inventory!I397</f>
        <v/>
      </c>
      <c r="F397" s="171" t="str">
        <f>IF(A397="","",Inventory!K397)</f>
        <v/>
      </c>
    </row>
    <row r="398" ht="15.75" customHeight="1">
      <c r="A398" s="151" t="str">
        <f>Inventory!A398</f>
        <v/>
      </c>
      <c r="B398" s="153" t="str">
        <f>Inventory!B398</f>
        <v/>
      </c>
      <c r="C398" s="153" t="str">
        <f>Inventory!C398</f>
        <v/>
      </c>
      <c r="D398" s="169" t="str">
        <f>Inventory!H398</f>
        <v/>
      </c>
      <c r="E398" s="170" t="str">
        <f>Inventory!I398</f>
        <v/>
      </c>
      <c r="F398" s="171" t="str">
        <f>IF(A398="","",Inventory!K398)</f>
        <v/>
      </c>
    </row>
    <row r="399" ht="15.75" customHeight="1">
      <c r="A399" s="151" t="str">
        <f>Inventory!A399</f>
        <v/>
      </c>
      <c r="B399" s="153" t="str">
        <f>Inventory!B399</f>
        <v/>
      </c>
      <c r="C399" s="153" t="str">
        <f>Inventory!C399</f>
        <v/>
      </c>
      <c r="D399" s="169" t="str">
        <f>Inventory!H399</f>
        <v/>
      </c>
      <c r="E399" s="170" t="str">
        <f>Inventory!I399</f>
        <v/>
      </c>
      <c r="F399" s="171" t="str">
        <f>IF(A399="","",Inventory!K399)</f>
        <v/>
      </c>
    </row>
    <row r="400" ht="15.75" customHeight="1">
      <c r="A400" s="151" t="str">
        <f>Inventory!A400</f>
        <v/>
      </c>
      <c r="B400" s="153" t="str">
        <f>Inventory!B400</f>
        <v/>
      </c>
      <c r="C400" s="153" t="str">
        <f>Inventory!C400</f>
        <v/>
      </c>
      <c r="D400" s="169" t="str">
        <f>Inventory!H400</f>
        <v/>
      </c>
      <c r="E400" s="170" t="str">
        <f>Inventory!I400</f>
        <v/>
      </c>
      <c r="F400" s="171" t="str">
        <f>IF(A400="","",Inventory!K400)</f>
        <v/>
      </c>
    </row>
    <row r="401" ht="15.75" customHeight="1">
      <c r="A401" s="151" t="str">
        <f>Inventory!A401</f>
        <v/>
      </c>
      <c r="B401" s="153" t="str">
        <f>Inventory!B401</f>
        <v/>
      </c>
      <c r="C401" s="153" t="str">
        <f>Inventory!C401</f>
        <v/>
      </c>
      <c r="D401" s="169" t="str">
        <f>Inventory!H401</f>
        <v/>
      </c>
      <c r="E401" s="170" t="str">
        <f>Inventory!I401</f>
        <v/>
      </c>
      <c r="F401" s="171" t="str">
        <f>IF(A401="","",Inventory!K401)</f>
        <v/>
      </c>
    </row>
    <row r="402" ht="15.75" customHeight="1">
      <c r="A402" s="151" t="str">
        <f>Inventory!A402</f>
        <v/>
      </c>
      <c r="B402" s="153" t="str">
        <f>Inventory!B402</f>
        <v/>
      </c>
      <c r="C402" s="153" t="str">
        <f>Inventory!C402</f>
        <v/>
      </c>
      <c r="D402" s="169" t="str">
        <f>Inventory!H402</f>
        <v/>
      </c>
      <c r="E402" s="170" t="str">
        <f>Inventory!I402</f>
        <v/>
      </c>
      <c r="F402" s="171" t="str">
        <f>IF(A402="","",Inventory!K402)</f>
        <v/>
      </c>
    </row>
    <row r="403" ht="15.75" customHeight="1">
      <c r="A403" s="151" t="str">
        <f>Inventory!A403</f>
        <v/>
      </c>
      <c r="B403" s="153" t="str">
        <f>Inventory!B403</f>
        <v/>
      </c>
      <c r="C403" s="153" t="str">
        <f>Inventory!C403</f>
        <v/>
      </c>
      <c r="D403" s="169" t="str">
        <f>Inventory!H403</f>
        <v/>
      </c>
      <c r="E403" s="170" t="str">
        <f>Inventory!I403</f>
        <v/>
      </c>
      <c r="F403" s="171" t="str">
        <f>IF(A403="","",Inventory!K403)</f>
        <v/>
      </c>
    </row>
    <row r="404" ht="15.75" customHeight="1">
      <c r="A404" s="151" t="str">
        <f>Inventory!A404</f>
        <v/>
      </c>
      <c r="B404" s="153" t="str">
        <f>Inventory!B404</f>
        <v/>
      </c>
      <c r="C404" s="153" t="str">
        <f>Inventory!C404</f>
        <v/>
      </c>
      <c r="D404" s="169" t="str">
        <f>Inventory!H404</f>
        <v/>
      </c>
      <c r="E404" s="170" t="str">
        <f>Inventory!I404</f>
        <v/>
      </c>
      <c r="F404" s="171" t="str">
        <f>IF(A404="","",Inventory!K404)</f>
        <v/>
      </c>
    </row>
    <row r="405" ht="15.75" customHeight="1">
      <c r="A405" s="151" t="str">
        <f>Inventory!A405</f>
        <v/>
      </c>
      <c r="B405" s="153" t="str">
        <f>Inventory!B405</f>
        <v/>
      </c>
      <c r="C405" s="153" t="str">
        <f>Inventory!C405</f>
        <v/>
      </c>
      <c r="D405" s="169" t="str">
        <f>Inventory!H405</f>
        <v/>
      </c>
      <c r="E405" s="170" t="str">
        <f>Inventory!I405</f>
        <v/>
      </c>
      <c r="F405" s="171" t="str">
        <f>IF(A405="","",Inventory!K405)</f>
        <v/>
      </c>
    </row>
    <row r="406" ht="15.75" customHeight="1">
      <c r="A406" s="151" t="str">
        <f>Inventory!A406</f>
        <v/>
      </c>
      <c r="B406" s="153" t="str">
        <f>Inventory!B406</f>
        <v/>
      </c>
      <c r="C406" s="153" t="str">
        <f>Inventory!C406</f>
        <v/>
      </c>
      <c r="D406" s="169" t="str">
        <f>Inventory!H406</f>
        <v/>
      </c>
      <c r="E406" s="170" t="str">
        <f>Inventory!I406</f>
        <v/>
      </c>
      <c r="F406" s="171" t="str">
        <f>IF(A406="","",Inventory!K406)</f>
        <v/>
      </c>
    </row>
    <row r="407" ht="15.75" customHeight="1">
      <c r="A407" s="151" t="str">
        <f>Inventory!A407</f>
        <v/>
      </c>
      <c r="B407" s="153" t="str">
        <f>Inventory!B407</f>
        <v/>
      </c>
      <c r="C407" s="153" t="str">
        <f>Inventory!C407</f>
        <v/>
      </c>
      <c r="D407" s="169" t="str">
        <f>Inventory!H407</f>
        <v/>
      </c>
      <c r="E407" s="170" t="str">
        <f>Inventory!I407</f>
        <v/>
      </c>
      <c r="F407" s="171" t="str">
        <f>IF(A407="","",Inventory!K407)</f>
        <v/>
      </c>
    </row>
    <row r="408" ht="15.75" customHeight="1">
      <c r="A408" s="151" t="str">
        <f>Inventory!A408</f>
        <v/>
      </c>
      <c r="B408" s="153" t="str">
        <f>Inventory!B408</f>
        <v/>
      </c>
      <c r="C408" s="153" t="str">
        <f>Inventory!C408</f>
        <v/>
      </c>
      <c r="D408" s="169" t="str">
        <f>Inventory!H408</f>
        <v/>
      </c>
      <c r="E408" s="170" t="str">
        <f>Inventory!I408</f>
        <v/>
      </c>
      <c r="F408" s="171" t="str">
        <f>IF(A408="","",Inventory!K408)</f>
        <v/>
      </c>
    </row>
    <row r="409" ht="15.75" customHeight="1">
      <c r="A409" s="151" t="str">
        <f>Inventory!A409</f>
        <v/>
      </c>
      <c r="B409" s="153" t="str">
        <f>Inventory!B409</f>
        <v/>
      </c>
      <c r="C409" s="153" t="str">
        <f>Inventory!C409</f>
        <v/>
      </c>
      <c r="D409" s="169" t="str">
        <f>Inventory!H409</f>
        <v/>
      </c>
      <c r="E409" s="170" t="str">
        <f>Inventory!I409</f>
        <v/>
      </c>
      <c r="F409" s="171" t="str">
        <f>IF(A409="","",Inventory!K409)</f>
        <v/>
      </c>
    </row>
    <row r="410" ht="15.75" customHeight="1">
      <c r="A410" s="151" t="str">
        <f>Inventory!A410</f>
        <v/>
      </c>
      <c r="B410" s="153" t="str">
        <f>Inventory!B410</f>
        <v/>
      </c>
      <c r="C410" s="153" t="str">
        <f>Inventory!C410</f>
        <v/>
      </c>
      <c r="D410" s="169" t="str">
        <f>Inventory!H410</f>
        <v/>
      </c>
      <c r="E410" s="170" t="str">
        <f>Inventory!I410</f>
        <v/>
      </c>
      <c r="F410" s="171" t="str">
        <f>IF(A410="","",Inventory!K410)</f>
        <v/>
      </c>
    </row>
    <row r="411" ht="15.75" customHeight="1">
      <c r="A411" s="151" t="str">
        <f>Inventory!A411</f>
        <v/>
      </c>
      <c r="B411" s="153" t="str">
        <f>Inventory!B411</f>
        <v/>
      </c>
      <c r="C411" s="153" t="str">
        <f>Inventory!C411</f>
        <v/>
      </c>
      <c r="D411" s="169" t="str">
        <f>Inventory!H411</f>
        <v/>
      </c>
      <c r="E411" s="170" t="str">
        <f>Inventory!I411</f>
        <v/>
      </c>
      <c r="F411" s="171" t="str">
        <f>IF(A411="","",Inventory!K411)</f>
        <v/>
      </c>
    </row>
    <row r="412" ht="15.75" customHeight="1">
      <c r="A412" s="151" t="str">
        <f>Inventory!A412</f>
        <v/>
      </c>
      <c r="B412" s="153" t="str">
        <f>Inventory!B412</f>
        <v/>
      </c>
      <c r="C412" s="153" t="str">
        <f>Inventory!C412</f>
        <v/>
      </c>
      <c r="D412" s="169" t="str">
        <f>Inventory!H412</f>
        <v/>
      </c>
      <c r="E412" s="170" t="str">
        <f>Inventory!I412</f>
        <v/>
      </c>
      <c r="F412" s="171" t="str">
        <f>IF(A412="","",Inventory!K412)</f>
        <v/>
      </c>
    </row>
    <row r="413" ht="15.75" customHeight="1">
      <c r="A413" s="151" t="str">
        <f>Inventory!A413</f>
        <v/>
      </c>
      <c r="B413" s="153" t="str">
        <f>Inventory!B413</f>
        <v/>
      </c>
      <c r="C413" s="153" t="str">
        <f>Inventory!C413</f>
        <v/>
      </c>
      <c r="D413" s="169" t="str">
        <f>Inventory!H413</f>
        <v/>
      </c>
      <c r="E413" s="170" t="str">
        <f>Inventory!I413</f>
        <v/>
      </c>
      <c r="F413" s="171" t="str">
        <f>IF(A413="","",Inventory!K413)</f>
        <v/>
      </c>
    </row>
    <row r="414" ht="15.75" customHeight="1">
      <c r="A414" s="151" t="str">
        <f>Inventory!A414</f>
        <v/>
      </c>
      <c r="B414" s="153" t="str">
        <f>Inventory!B414</f>
        <v/>
      </c>
      <c r="C414" s="153" t="str">
        <f>Inventory!C414</f>
        <v/>
      </c>
      <c r="D414" s="169" t="str">
        <f>Inventory!H414</f>
        <v/>
      </c>
      <c r="E414" s="170" t="str">
        <f>Inventory!I414</f>
        <v/>
      </c>
      <c r="F414" s="171" t="str">
        <f>IF(A414="","",Inventory!K414)</f>
        <v/>
      </c>
    </row>
    <row r="415" ht="15.75" customHeight="1">
      <c r="A415" s="151" t="str">
        <f>Inventory!A415</f>
        <v/>
      </c>
      <c r="B415" s="153" t="str">
        <f>Inventory!B415</f>
        <v/>
      </c>
      <c r="C415" s="153" t="str">
        <f>Inventory!C415</f>
        <v/>
      </c>
      <c r="D415" s="169" t="str">
        <f>Inventory!H415</f>
        <v/>
      </c>
      <c r="E415" s="170" t="str">
        <f>Inventory!I415</f>
        <v/>
      </c>
      <c r="F415" s="171" t="str">
        <f>IF(A415="","",Inventory!K415)</f>
        <v/>
      </c>
    </row>
    <row r="416" ht="15.75" customHeight="1">
      <c r="A416" s="151" t="str">
        <f>Inventory!A416</f>
        <v/>
      </c>
      <c r="B416" s="153" t="str">
        <f>Inventory!B416</f>
        <v/>
      </c>
      <c r="C416" s="153" t="str">
        <f>Inventory!C416</f>
        <v/>
      </c>
      <c r="D416" s="169" t="str">
        <f>Inventory!H416</f>
        <v/>
      </c>
      <c r="E416" s="170" t="str">
        <f>Inventory!I416</f>
        <v/>
      </c>
      <c r="F416" s="171" t="str">
        <f>IF(A416="","",Inventory!K416)</f>
        <v/>
      </c>
    </row>
    <row r="417" ht="15.75" customHeight="1">
      <c r="A417" s="151" t="str">
        <f>Inventory!A417</f>
        <v/>
      </c>
      <c r="B417" s="153" t="str">
        <f>Inventory!B417</f>
        <v/>
      </c>
      <c r="C417" s="153" t="str">
        <f>Inventory!C417</f>
        <v/>
      </c>
      <c r="D417" s="169" t="str">
        <f>Inventory!H417</f>
        <v/>
      </c>
      <c r="E417" s="170" t="str">
        <f>Inventory!I417</f>
        <v/>
      </c>
      <c r="F417" s="171" t="str">
        <f>IF(A417="","",Inventory!K417)</f>
        <v/>
      </c>
    </row>
    <row r="418" ht="15.75" customHeight="1">
      <c r="A418" s="151" t="str">
        <f>Inventory!A418</f>
        <v/>
      </c>
      <c r="B418" s="153" t="str">
        <f>Inventory!B418</f>
        <v/>
      </c>
      <c r="C418" s="153" t="str">
        <f>Inventory!C418</f>
        <v/>
      </c>
      <c r="D418" s="169" t="str">
        <f>Inventory!H418</f>
        <v/>
      </c>
      <c r="E418" s="170" t="str">
        <f>Inventory!I418</f>
        <v/>
      </c>
      <c r="F418" s="171" t="str">
        <f>IF(A418="","",Inventory!K418)</f>
        <v/>
      </c>
    </row>
    <row r="419" ht="15.75" customHeight="1">
      <c r="A419" s="151" t="str">
        <f>Inventory!A419</f>
        <v/>
      </c>
      <c r="B419" s="153" t="str">
        <f>Inventory!B419</f>
        <v/>
      </c>
      <c r="C419" s="153" t="str">
        <f>Inventory!C419</f>
        <v/>
      </c>
      <c r="D419" s="169" t="str">
        <f>Inventory!H419</f>
        <v/>
      </c>
      <c r="E419" s="170" t="str">
        <f>Inventory!I419</f>
        <v/>
      </c>
      <c r="F419" s="171" t="str">
        <f>IF(A419="","",Inventory!K419)</f>
        <v/>
      </c>
    </row>
    <row r="420" ht="15.75" customHeight="1">
      <c r="A420" s="151" t="str">
        <f>Inventory!A420</f>
        <v/>
      </c>
      <c r="B420" s="153" t="str">
        <f>Inventory!B420</f>
        <v/>
      </c>
      <c r="C420" s="153" t="str">
        <f>Inventory!C420</f>
        <v/>
      </c>
      <c r="D420" s="169" t="str">
        <f>Inventory!H420</f>
        <v/>
      </c>
      <c r="E420" s="170" t="str">
        <f>Inventory!I420</f>
        <v/>
      </c>
      <c r="F420" s="171" t="str">
        <f>IF(A420="","",Inventory!K420)</f>
        <v/>
      </c>
    </row>
    <row r="421" ht="15.75" customHeight="1">
      <c r="A421" s="151" t="str">
        <f>Inventory!A421</f>
        <v/>
      </c>
      <c r="B421" s="153" t="str">
        <f>Inventory!B421</f>
        <v/>
      </c>
      <c r="C421" s="153" t="str">
        <f>Inventory!C421</f>
        <v/>
      </c>
      <c r="D421" s="169" t="str">
        <f>Inventory!H421</f>
        <v/>
      </c>
      <c r="E421" s="170" t="str">
        <f>Inventory!I421</f>
        <v/>
      </c>
      <c r="F421" s="171" t="str">
        <f>IF(A421="","",Inventory!K421)</f>
        <v/>
      </c>
    </row>
    <row r="422" ht="15.75" customHeight="1">
      <c r="A422" s="151" t="str">
        <f>Inventory!A422</f>
        <v/>
      </c>
      <c r="B422" s="153" t="str">
        <f>Inventory!B422</f>
        <v/>
      </c>
      <c r="C422" s="153" t="str">
        <f>Inventory!C422</f>
        <v/>
      </c>
      <c r="D422" s="169" t="str">
        <f>Inventory!H422</f>
        <v/>
      </c>
      <c r="E422" s="170" t="str">
        <f>Inventory!I422</f>
        <v/>
      </c>
      <c r="F422" s="171" t="str">
        <f>IF(A422="","",Inventory!K422)</f>
        <v/>
      </c>
    </row>
    <row r="423" ht="15.75" customHeight="1">
      <c r="A423" s="151" t="str">
        <f>Inventory!A423</f>
        <v/>
      </c>
      <c r="B423" s="153" t="str">
        <f>Inventory!B423</f>
        <v/>
      </c>
      <c r="C423" s="153" t="str">
        <f>Inventory!C423</f>
        <v/>
      </c>
      <c r="D423" s="169" t="str">
        <f>Inventory!H423</f>
        <v/>
      </c>
      <c r="E423" s="170" t="str">
        <f>Inventory!I423</f>
        <v/>
      </c>
      <c r="F423" s="171" t="str">
        <f>IF(A423="","",Inventory!K423)</f>
        <v/>
      </c>
    </row>
    <row r="424" ht="15.75" customHeight="1">
      <c r="A424" s="151" t="str">
        <f>Inventory!A424</f>
        <v/>
      </c>
      <c r="B424" s="153" t="str">
        <f>Inventory!B424</f>
        <v/>
      </c>
      <c r="C424" s="153" t="str">
        <f>Inventory!C424</f>
        <v/>
      </c>
      <c r="D424" s="169" t="str">
        <f>Inventory!H424</f>
        <v/>
      </c>
      <c r="E424" s="170" t="str">
        <f>Inventory!I424</f>
        <v/>
      </c>
      <c r="F424" s="171" t="str">
        <f>IF(A424="","",Inventory!K424)</f>
        <v/>
      </c>
    </row>
    <row r="425" ht="15.75" customHeight="1">
      <c r="A425" s="151" t="str">
        <f>Inventory!A425</f>
        <v/>
      </c>
      <c r="B425" s="153" t="str">
        <f>Inventory!B425</f>
        <v/>
      </c>
      <c r="C425" s="153" t="str">
        <f>Inventory!C425</f>
        <v/>
      </c>
      <c r="D425" s="169" t="str">
        <f>Inventory!H425</f>
        <v/>
      </c>
      <c r="E425" s="170" t="str">
        <f>Inventory!I425</f>
        <v/>
      </c>
      <c r="F425" s="171" t="str">
        <f>IF(A425="","",Inventory!K425)</f>
        <v/>
      </c>
    </row>
    <row r="426" ht="15.75" customHeight="1">
      <c r="A426" s="151" t="str">
        <f>Inventory!A426</f>
        <v/>
      </c>
      <c r="B426" s="153" t="str">
        <f>Inventory!B426</f>
        <v/>
      </c>
      <c r="C426" s="153" t="str">
        <f>Inventory!C426</f>
        <v/>
      </c>
      <c r="D426" s="169" t="str">
        <f>Inventory!H426</f>
        <v/>
      </c>
      <c r="E426" s="170" t="str">
        <f>Inventory!I426</f>
        <v/>
      </c>
      <c r="F426" s="171" t="str">
        <f>IF(A426="","",Inventory!K426)</f>
        <v/>
      </c>
    </row>
    <row r="427" ht="15.75" customHeight="1">
      <c r="A427" s="151" t="str">
        <f>Inventory!A427</f>
        <v/>
      </c>
      <c r="B427" s="153" t="str">
        <f>Inventory!B427</f>
        <v/>
      </c>
      <c r="C427" s="153" t="str">
        <f>Inventory!C427</f>
        <v/>
      </c>
      <c r="D427" s="169" t="str">
        <f>Inventory!H427</f>
        <v/>
      </c>
      <c r="E427" s="170" t="str">
        <f>Inventory!I427</f>
        <v/>
      </c>
      <c r="F427" s="171" t="str">
        <f>IF(A427="","",Inventory!K427)</f>
        <v/>
      </c>
    </row>
    <row r="428" ht="15.75" customHeight="1">
      <c r="A428" s="151" t="str">
        <f>Inventory!A428</f>
        <v/>
      </c>
      <c r="B428" s="153" t="str">
        <f>Inventory!B428</f>
        <v/>
      </c>
      <c r="C428" s="153" t="str">
        <f>Inventory!C428</f>
        <v/>
      </c>
      <c r="D428" s="169" t="str">
        <f>Inventory!H428</f>
        <v/>
      </c>
      <c r="E428" s="170" t="str">
        <f>Inventory!I428</f>
        <v/>
      </c>
      <c r="F428" s="171" t="str">
        <f>IF(A428="","",Inventory!K428)</f>
        <v/>
      </c>
    </row>
    <row r="429" ht="15.75" customHeight="1">
      <c r="A429" s="151" t="str">
        <f>Inventory!A429</f>
        <v/>
      </c>
      <c r="B429" s="153" t="str">
        <f>Inventory!B429</f>
        <v/>
      </c>
      <c r="C429" s="153" t="str">
        <f>Inventory!C429</f>
        <v/>
      </c>
      <c r="D429" s="169" t="str">
        <f>Inventory!H429</f>
        <v/>
      </c>
      <c r="E429" s="170" t="str">
        <f>Inventory!I429</f>
        <v/>
      </c>
      <c r="F429" s="171" t="str">
        <f>IF(A429="","",Inventory!K429)</f>
        <v/>
      </c>
    </row>
    <row r="430" ht="15.75" customHeight="1">
      <c r="A430" s="151" t="str">
        <f>Inventory!A430</f>
        <v/>
      </c>
      <c r="B430" s="153" t="str">
        <f>Inventory!B430</f>
        <v/>
      </c>
      <c r="C430" s="153" t="str">
        <f>Inventory!C430</f>
        <v/>
      </c>
      <c r="D430" s="169" t="str">
        <f>Inventory!H430</f>
        <v/>
      </c>
      <c r="E430" s="170" t="str">
        <f>Inventory!I430</f>
        <v/>
      </c>
      <c r="F430" s="171" t="str">
        <f>IF(A430="","",Inventory!K430)</f>
        <v/>
      </c>
    </row>
    <row r="431" ht="15.75" customHeight="1">
      <c r="A431" s="151" t="str">
        <f>Inventory!A431</f>
        <v/>
      </c>
      <c r="B431" s="153" t="str">
        <f>Inventory!B431</f>
        <v/>
      </c>
      <c r="C431" s="153" t="str">
        <f>Inventory!C431</f>
        <v/>
      </c>
      <c r="D431" s="169" t="str">
        <f>Inventory!H431</f>
        <v/>
      </c>
      <c r="E431" s="170" t="str">
        <f>Inventory!I431</f>
        <v/>
      </c>
      <c r="F431" s="171" t="str">
        <f>IF(A431="","",Inventory!K431)</f>
        <v/>
      </c>
    </row>
    <row r="432" ht="15.75" customHeight="1">
      <c r="A432" s="151" t="str">
        <f>Inventory!A432</f>
        <v/>
      </c>
      <c r="B432" s="153" t="str">
        <f>Inventory!B432</f>
        <v/>
      </c>
      <c r="C432" s="153" t="str">
        <f>Inventory!C432</f>
        <v/>
      </c>
      <c r="D432" s="169" t="str">
        <f>Inventory!H432</f>
        <v/>
      </c>
      <c r="E432" s="170" t="str">
        <f>Inventory!I432</f>
        <v/>
      </c>
      <c r="F432" s="171" t="str">
        <f>IF(A432="","",Inventory!K432)</f>
        <v/>
      </c>
    </row>
    <row r="433" ht="15.75" customHeight="1">
      <c r="A433" s="151" t="str">
        <f>Inventory!A433</f>
        <v/>
      </c>
      <c r="B433" s="153" t="str">
        <f>Inventory!B433</f>
        <v/>
      </c>
      <c r="C433" s="153" t="str">
        <f>Inventory!C433</f>
        <v/>
      </c>
      <c r="D433" s="169" t="str">
        <f>Inventory!H433</f>
        <v/>
      </c>
      <c r="E433" s="170" t="str">
        <f>Inventory!I433</f>
        <v/>
      </c>
      <c r="F433" s="171" t="str">
        <f>IF(A433="","",Inventory!K433)</f>
        <v/>
      </c>
    </row>
    <row r="434" ht="15.75" customHeight="1">
      <c r="A434" s="151" t="str">
        <f>Inventory!A434</f>
        <v/>
      </c>
      <c r="B434" s="153" t="str">
        <f>Inventory!B434</f>
        <v/>
      </c>
      <c r="C434" s="153" t="str">
        <f>Inventory!C434</f>
        <v/>
      </c>
      <c r="D434" s="169" t="str">
        <f>Inventory!H434</f>
        <v/>
      </c>
      <c r="E434" s="170" t="str">
        <f>Inventory!I434</f>
        <v/>
      </c>
      <c r="F434" s="171" t="str">
        <f>IF(A434="","",Inventory!K434)</f>
        <v/>
      </c>
    </row>
    <row r="435" ht="15.75" customHeight="1">
      <c r="A435" s="151" t="str">
        <f>Inventory!A435</f>
        <v/>
      </c>
      <c r="B435" s="153" t="str">
        <f>Inventory!B435</f>
        <v/>
      </c>
      <c r="C435" s="153" t="str">
        <f>Inventory!C435</f>
        <v/>
      </c>
      <c r="D435" s="169" t="str">
        <f>Inventory!H435</f>
        <v/>
      </c>
      <c r="E435" s="170" t="str">
        <f>Inventory!I435</f>
        <v/>
      </c>
      <c r="F435" s="171" t="str">
        <f>IF(A435="","",Inventory!K435)</f>
        <v/>
      </c>
    </row>
    <row r="436" ht="15.75" customHeight="1">
      <c r="A436" s="151" t="str">
        <f>Inventory!A436</f>
        <v/>
      </c>
      <c r="B436" s="153" t="str">
        <f>Inventory!B436</f>
        <v/>
      </c>
      <c r="C436" s="153" t="str">
        <f>Inventory!C436</f>
        <v/>
      </c>
      <c r="D436" s="169" t="str">
        <f>Inventory!H436</f>
        <v/>
      </c>
      <c r="E436" s="170" t="str">
        <f>Inventory!I436</f>
        <v/>
      </c>
      <c r="F436" s="171" t="str">
        <f>IF(A436="","",Inventory!K436)</f>
        <v/>
      </c>
    </row>
    <row r="437" ht="15.75" customHeight="1">
      <c r="A437" s="151" t="str">
        <f>Inventory!A437</f>
        <v/>
      </c>
      <c r="B437" s="153" t="str">
        <f>Inventory!B437</f>
        <v/>
      </c>
      <c r="C437" s="153" t="str">
        <f>Inventory!C437</f>
        <v/>
      </c>
      <c r="D437" s="169" t="str">
        <f>Inventory!H437</f>
        <v/>
      </c>
      <c r="E437" s="170" t="str">
        <f>Inventory!I437</f>
        <v/>
      </c>
      <c r="F437" s="171" t="str">
        <f>IF(A437="","",Inventory!K437)</f>
        <v/>
      </c>
    </row>
    <row r="438" ht="15.75" customHeight="1">
      <c r="A438" s="151" t="str">
        <f>Inventory!A438</f>
        <v/>
      </c>
      <c r="B438" s="153" t="str">
        <f>Inventory!B438</f>
        <v/>
      </c>
      <c r="C438" s="153" t="str">
        <f>Inventory!C438</f>
        <v/>
      </c>
      <c r="D438" s="169" t="str">
        <f>Inventory!H438</f>
        <v/>
      </c>
      <c r="E438" s="170" t="str">
        <f>Inventory!I438</f>
        <v/>
      </c>
      <c r="F438" s="171" t="str">
        <f>IF(A438="","",Inventory!K438)</f>
        <v/>
      </c>
    </row>
    <row r="439" ht="15.75" customHeight="1">
      <c r="A439" s="151" t="str">
        <f>Inventory!A439</f>
        <v/>
      </c>
      <c r="B439" s="153" t="str">
        <f>Inventory!B439</f>
        <v/>
      </c>
      <c r="C439" s="153" t="str">
        <f>Inventory!C439</f>
        <v/>
      </c>
      <c r="D439" s="169" t="str">
        <f>Inventory!H439</f>
        <v/>
      </c>
      <c r="E439" s="170" t="str">
        <f>Inventory!I439</f>
        <v/>
      </c>
      <c r="F439" s="171" t="str">
        <f>IF(A439="","",Inventory!K439)</f>
        <v/>
      </c>
    </row>
    <row r="440" ht="15.75" customHeight="1">
      <c r="A440" s="151" t="str">
        <f>Inventory!A440</f>
        <v/>
      </c>
      <c r="B440" s="153" t="str">
        <f>Inventory!B440</f>
        <v/>
      </c>
      <c r="C440" s="153" t="str">
        <f>Inventory!C440</f>
        <v/>
      </c>
      <c r="D440" s="169" t="str">
        <f>Inventory!H440</f>
        <v/>
      </c>
      <c r="E440" s="170" t="str">
        <f>Inventory!I440</f>
        <v/>
      </c>
      <c r="F440" s="171" t="str">
        <f>IF(A440="","",Inventory!K440)</f>
        <v/>
      </c>
    </row>
    <row r="441" ht="15.75" customHeight="1">
      <c r="A441" s="151" t="str">
        <f>Inventory!A441</f>
        <v/>
      </c>
      <c r="B441" s="153" t="str">
        <f>Inventory!B441</f>
        <v/>
      </c>
      <c r="C441" s="153" t="str">
        <f>Inventory!C441</f>
        <v/>
      </c>
      <c r="D441" s="169" t="str">
        <f>Inventory!H441</f>
        <v/>
      </c>
      <c r="E441" s="170" t="str">
        <f>Inventory!I441</f>
        <v/>
      </c>
      <c r="F441" s="171" t="str">
        <f>IF(A441="","",Inventory!K441)</f>
        <v/>
      </c>
    </row>
    <row r="442" ht="15.75" customHeight="1">
      <c r="A442" s="151" t="str">
        <f>Inventory!A442</f>
        <v/>
      </c>
      <c r="B442" s="153" t="str">
        <f>Inventory!B442</f>
        <v/>
      </c>
      <c r="C442" s="153" t="str">
        <f>Inventory!C442</f>
        <v/>
      </c>
      <c r="D442" s="169" t="str">
        <f>Inventory!H442</f>
        <v/>
      </c>
      <c r="E442" s="170" t="str">
        <f>Inventory!I442</f>
        <v/>
      </c>
      <c r="F442" s="171" t="str">
        <f>IF(A442="","",Inventory!K442)</f>
        <v/>
      </c>
    </row>
    <row r="443" ht="15.75" customHeight="1">
      <c r="A443" s="151" t="str">
        <f>Inventory!A443</f>
        <v/>
      </c>
      <c r="B443" s="153" t="str">
        <f>Inventory!B443</f>
        <v/>
      </c>
      <c r="C443" s="153" t="str">
        <f>Inventory!C443</f>
        <v/>
      </c>
      <c r="D443" s="169" t="str">
        <f>Inventory!H443</f>
        <v/>
      </c>
      <c r="E443" s="170" t="str">
        <f>Inventory!I443</f>
        <v/>
      </c>
      <c r="F443" s="171" t="str">
        <f>IF(A443="","",Inventory!K443)</f>
        <v/>
      </c>
    </row>
    <row r="444" ht="15.75" customHeight="1">
      <c r="A444" s="151" t="str">
        <f>Inventory!A444</f>
        <v/>
      </c>
      <c r="B444" s="153" t="str">
        <f>Inventory!B444</f>
        <v/>
      </c>
      <c r="C444" s="153" t="str">
        <f>Inventory!C444</f>
        <v/>
      </c>
      <c r="D444" s="169" t="str">
        <f>Inventory!H444</f>
        <v/>
      </c>
      <c r="E444" s="170" t="str">
        <f>Inventory!I444</f>
        <v/>
      </c>
      <c r="F444" s="171" t="str">
        <f>IF(A444="","",Inventory!K444)</f>
        <v/>
      </c>
    </row>
    <row r="445" ht="15.75" customHeight="1">
      <c r="A445" s="151" t="str">
        <f>Inventory!A445</f>
        <v/>
      </c>
      <c r="B445" s="153" t="str">
        <f>Inventory!B445</f>
        <v/>
      </c>
      <c r="C445" s="153" t="str">
        <f>Inventory!C445</f>
        <v/>
      </c>
      <c r="D445" s="169" t="str">
        <f>Inventory!H445</f>
        <v/>
      </c>
      <c r="E445" s="170" t="str">
        <f>Inventory!I445</f>
        <v/>
      </c>
      <c r="F445" s="171" t="str">
        <f>IF(A445="","",Inventory!K445)</f>
        <v/>
      </c>
    </row>
    <row r="446" ht="15.75" customHeight="1">
      <c r="A446" s="151" t="str">
        <f>Inventory!A446</f>
        <v/>
      </c>
      <c r="B446" s="153" t="str">
        <f>Inventory!B446</f>
        <v/>
      </c>
      <c r="C446" s="153" t="str">
        <f>Inventory!C446</f>
        <v/>
      </c>
      <c r="D446" s="169" t="str">
        <f>Inventory!H446</f>
        <v/>
      </c>
      <c r="E446" s="170" t="str">
        <f>Inventory!I446</f>
        <v/>
      </c>
      <c r="F446" s="171" t="str">
        <f>IF(A446="","",Inventory!K446)</f>
        <v/>
      </c>
    </row>
    <row r="447" ht="15.75" customHeight="1">
      <c r="A447" s="151" t="str">
        <f>Inventory!A447</f>
        <v/>
      </c>
      <c r="B447" s="153" t="str">
        <f>Inventory!B447</f>
        <v/>
      </c>
      <c r="C447" s="153" t="str">
        <f>Inventory!C447</f>
        <v/>
      </c>
      <c r="D447" s="169" t="str">
        <f>Inventory!H447</f>
        <v/>
      </c>
      <c r="E447" s="170" t="str">
        <f>Inventory!I447</f>
        <v/>
      </c>
      <c r="F447" s="171" t="str">
        <f>IF(A447="","",Inventory!K447)</f>
        <v/>
      </c>
    </row>
    <row r="448" ht="15.75" customHeight="1">
      <c r="A448" s="151" t="str">
        <f>Inventory!A448</f>
        <v/>
      </c>
      <c r="B448" s="153" t="str">
        <f>Inventory!B448</f>
        <v/>
      </c>
      <c r="C448" s="153" t="str">
        <f>Inventory!C448</f>
        <v/>
      </c>
      <c r="D448" s="169" t="str">
        <f>Inventory!H448</f>
        <v/>
      </c>
      <c r="E448" s="170" t="str">
        <f>Inventory!I448</f>
        <v/>
      </c>
      <c r="F448" s="171" t="str">
        <f>IF(A448="","",Inventory!K448)</f>
        <v/>
      </c>
    </row>
    <row r="449" ht="15.75" customHeight="1">
      <c r="A449" s="151" t="str">
        <f>Inventory!A449</f>
        <v/>
      </c>
      <c r="B449" s="153" t="str">
        <f>Inventory!B449</f>
        <v/>
      </c>
      <c r="C449" s="153" t="str">
        <f>Inventory!C449</f>
        <v/>
      </c>
      <c r="D449" s="169" t="str">
        <f>Inventory!H449</f>
        <v/>
      </c>
      <c r="E449" s="170" t="str">
        <f>Inventory!I449</f>
        <v/>
      </c>
      <c r="F449" s="171" t="str">
        <f>IF(A449="","",Inventory!K449)</f>
        <v/>
      </c>
    </row>
    <row r="450" ht="15.75" customHeight="1">
      <c r="A450" s="151" t="str">
        <f>Inventory!A450</f>
        <v/>
      </c>
      <c r="B450" s="153" t="str">
        <f>Inventory!B450</f>
        <v/>
      </c>
      <c r="C450" s="153" t="str">
        <f>Inventory!C450</f>
        <v/>
      </c>
      <c r="D450" s="169" t="str">
        <f>Inventory!H450</f>
        <v/>
      </c>
      <c r="E450" s="170" t="str">
        <f>Inventory!I450</f>
        <v/>
      </c>
      <c r="F450" s="171" t="str">
        <f>IF(A450="","",Inventory!K450)</f>
        <v/>
      </c>
    </row>
    <row r="451" ht="15.75" customHeight="1">
      <c r="A451" s="151" t="str">
        <f>Inventory!A451</f>
        <v/>
      </c>
      <c r="B451" s="153" t="str">
        <f>Inventory!B451</f>
        <v/>
      </c>
      <c r="C451" s="153" t="str">
        <f>Inventory!C451</f>
        <v/>
      </c>
      <c r="D451" s="169" t="str">
        <f>Inventory!H451</f>
        <v/>
      </c>
      <c r="E451" s="170" t="str">
        <f>Inventory!I451</f>
        <v/>
      </c>
      <c r="F451" s="171" t="str">
        <f>IF(A451="","",Inventory!K451)</f>
        <v/>
      </c>
    </row>
    <row r="452" ht="15.75" customHeight="1">
      <c r="A452" s="151" t="str">
        <f>Inventory!A452</f>
        <v/>
      </c>
      <c r="B452" s="153" t="str">
        <f>Inventory!B452</f>
        <v/>
      </c>
      <c r="C452" s="153" t="str">
        <f>Inventory!C452</f>
        <v/>
      </c>
      <c r="D452" s="169" t="str">
        <f>Inventory!H452</f>
        <v/>
      </c>
      <c r="E452" s="170" t="str">
        <f>Inventory!I452</f>
        <v/>
      </c>
      <c r="F452" s="171" t="str">
        <f>IF(A452="","",Inventory!K452)</f>
        <v/>
      </c>
    </row>
    <row r="453" ht="15.75" customHeight="1">
      <c r="A453" s="151" t="str">
        <f>Inventory!A453</f>
        <v/>
      </c>
      <c r="B453" s="153" t="str">
        <f>Inventory!B453</f>
        <v/>
      </c>
      <c r="C453" s="153" t="str">
        <f>Inventory!C453</f>
        <v/>
      </c>
      <c r="D453" s="169" t="str">
        <f>Inventory!H453</f>
        <v/>
      </c>
      <c r="E453" s="170" t="str">
        <f>Inventory!I453</f>
        <v/>
      </c>
      <c r="F453" s="171" t="str">
        <f>IF(A453="","",Inventory!K453)</f>
        <v/>
      </c>
    </row>
    <row r="454" ht="15.75" customHeight="1">
      <c r="A454" s="151" t="str">
        <f>Inventory!A454</f>
        <v/>
      </c>
      <c r="B454" s="153" t="str">
        <f>Inventory!B454</f>
        <v/>
      </c>
      <c r="C454" s="153" t="str">
        <f>Inventory!C454</f>
        <v/>
      </c>
      <c r="D454" s="169" t="str">
        <f>Inventory!H454</f>
        <v/>
      </c>
      <c r="E454" s="170" t="str">
        <f>Inventory!I454</f>
        <v/>
      </c>
      <c r="F454" s="171" t="str">
        <f>IF(A454="","",Inventory!K454)</f>
        <v/>
      </c>
    </row>
    <row r="455" ht="15.75" customHeight="1">
      <c r="A455" s="151" t="str">
        <f>Inventory!A455</f>
        <v/>
      </c>
      <c r="B455" s="153" t="str">
        <f>Inventory!B455</f>
        <v/>
      </c>
      <c r="C455" s="153" t="str">
        <f>Inventory!C455</f>
        <v/>
      </c>
      <c r="D455" s="169" t="str">
        <f>Inventory!H455</f>
        <v/>
      </c>
      <c r="E455" s="170" t="str">
        <f>Inventory!I455</f>
        <v/>
      </c>
      <c r="F455" s="171" t="str">
        <f>IF(A455="","",Inventory!K455)</f>
        <v/>
      </c>
    </row>
    <row r="456" ht="15.75" customHeight="1">
      <c r="A456" s="151" t="str">
        <f>Inventory!A456</f>
        <v/>
      </c>
      <c r="B456" s="153" t="str">
        <f>Inventory!B456</f>
        <v/>
      </c>
      <c r="C456" s="153" t="str">
        <f>Inventory!C456</f>
        <v/>
      </c>
      <c r="D456" s="169" t="str">
        <f>Inventory!H456</f>
        <v/>
      </c>
      <c r="E456" s="170" t="str">
        <f>Inventory!I456</f>
        <v/>
      </c>
      <c r="F456" s="171" t="str">
        <f>IF(A456="","",Inventory!K456)</f>
        <v/>
      </c>
    </row>
    <row r="457" ht="15.75" customHeight="1">
      <c r="A457" s="151" t="str">
        <f>Inventory!A457</f>
        <v/>
      </c>
      <c r="B457" s="153" t="str">
        <f>Inventory!B457</f>
        <v/>
      </c>
      <c r="C457" s="153" t="str">
        <f>Inventory!C457</f>
        <v/>
      </c>
      <c r="D457" s="169" t="str">
        <f>Inventory!H457</f>
        <v/>
      </c>
      <c r="E457" s="170" t="str">
        <f>Inventory!I457</f>
        <v/>
      </c>
      <c r="F457" s="171" t="str">
        <f>IF(A457="","",Inventory!K457)</f>
        <v/>
      </c>
    </row>
    <row r="458" ht="15.75" customHeight="1">
      <c r="A458" s="151" t="str">
        <f>Inventory!A458</f>
        <v/>
      </c>
      <c r="B458" s="153" t="str">
        <f>Inventory!B458</f>
        <v/>
      </c>
      <c r="C458" s="153" t="str">
        <f>Inventory!C458</f>
        <v/>
      </c>
      <c r="D458" s="169" t="str">
        <f>Inventory!H458</f>
        <v/>
      </c>
      <c r="E458" s="170" t="str">
        <f>Inventory!I458</f>
        <v/>
      </c>
      <c r="F458" s="171" t="str">
        <f>IF(A458="","",Inventory!K458)</f>
        <v/>
      </c>
    </row>
    <row r="459" ht="15.75" customHeight="1">
      <c r="A459" s="151" t="str">
        <f>Inventory!A459</f>
        <v/>
      </c>
      <c r="B459" s="153" t="str">
        <f>Inventory!B459</f>
        <v/>
      </c>
      <c r="C459" s="153" t="str">
        <f>Inventory!C459</f>
        <v/>
      </c>
      <c r="D459" s="169" t="str">
        <f>Inventory!H459</f>
        <v/>
      </c>
      <c r="E459" s="170" t="str">
        <f>Inventory!I459</f>
        <v/>
      </c>
      <c r="F459" s="171" t="str">
        <f>IF(A459="","",Inventory!K459)</f>
        <v/>
      </c>
    </row>
    <row r="460" ht="15.75" customHeight="1">
      <c r="A460" s="151" t="str">
        <f>Inventory!A460</f>
        <v/>
      </c>
      <c r="B460" s="153" t="str">
        <f>Inventory!B460</f>
        <v/>
      </c>
      <c r="C460" s="153" t="str">
        <f>Inventory!C460</f>
        <v/>
      </c>
      <c r="D460" s="169" t="str">
        <f>Inventory!H460</f>
        <v/>
      </c>
      <c r="E460" s="170" t="str">
        <f>Inventory!I460</f>
        <v/>
      </c>
      <c r="F460" s="171" t="str">
        <f>IF(A460="","",Inventory!K460)</f>
        <v/>
      </c>
    </row>
    <row r="461" ht="15.75" customHeight="1">
      <c r="A461" s="151" t="str">
        <f>Inventory!A461</f>
        <v/>
      </c>
      <c r="B461" s="153" t="str">
        <f>Inventory!B461</f>
        <v/>
      </c>
      <c r="C461" s="153" t="str">
        <f>Inventory!C461</f>
        <v/>
      </c>
      <c r="D461" s="169" t="str">
        <f>Inventory!H461</f>
        <v/>
      </c>
      <c r="E461" s="170" t="str">
        <f>Inventory!I461</f>
        <v/>
      </c>
      <c r="F461" s="171" t="str">
        <f>IF(A461="","",Inventory!K461)</f>
        <v/>
      </c>
    </row>
    <row r="462" ht="15.75" customHeight="1">
      <c r="A462" s="151" t="str">
        <f>Inventory!A462</f>
        <v/>
      </c>
      <c r="B462" s="153" t="str">
        <f>Inventory!B462</f>
        <v/>
      </c>
      <c r="C462" s="153" t="str">
        <f>Inventory!C462</f>
        <v/>
      </c>
      <c r="D462" s="169" t="str">
        <f>Inventory!H462</f>
        <v/>
      </c>
      <c r="E462" s="170" t="str">
        <f>Inventory!I462</f>
        <v/>
      </c>
      <c r="F462" s="171" t="str">
        <f>IF(A462="","",Inventory!K462)</f>
        <v/>
      </c>
    </row>
    <row r="463" ht="15.75" customHeight="1">
      <c r="A463" s="151" t="str">
        <f>Inventory!A463</f>
        <v/>
      </c>
      <c r="B463" s="153" t="str">
        <f>Inventory!B463</f>
        <v/>
      </c>
      <c r="C463" s="153" t="str">
        <f>Inventory!C463</f>
        <v/>
      </c>
      <c r="D463" s="169" t="str">
        <f>Inventory!H463</f>
        <v/>
      </c>
      <c r="E463" s="170" t="str">
        <f>Inventory!I463</f>
        <v/>
      </c>
      <c r="F463" s="171" t="str">
        <f>IF(A463="","",Inventory!K463)</f>
        <v/>
      </c>
    </row>
    <row r="464" ht="15.75" customHeight="1">
      <c r="A464" s="151" t="str">
        <f>Inventory!A464</f>
        <v/>
      </c>
      <c r="B464" s="153" t="str">
        <f>Inventory!B464</f>
        <v/>
      </c>
      <c r="C464" s="153" t="str">
        <f>Inventory!C464</f>
        <v/>
      </c>
      <c r="D464" s="169" t="str">
        <f>Inventory!H464</f>
        <v/>
      </c>
      <c r="E464" s="170" t="str">
        <f>Inventory!I464</f>
        <v/>
      </c>
      <c r="F464" s="171" t="str">
        <f>IF(A464="","",Inventory!K464)</f>
        <v/>
      </c>
    </row>
    <row r="465" ht="15.75" customHeight="1">
      <c r="A465" s="151" t="str">
        <f>Inventory!A465</f>
        <v/>
      </c>
      <c r="B465" s="153" t="str">
        <f>Inventory!B465</f>
        <v/>
      </c>
      <c r="C465" s="153" t="str">
        <f>Inventory!C465</f>
        <v/>
      </c>
      <c r="D465" s="169" t="str">
        <f>Inventory!H465</f>
        <v/>
      </c>
      <c r="E465" s="170" t="str">
        <f>Inventory!I465</f>
        <v/>
      </c>
      <c r="F465" s="171" t="str">
        <f>IF(A465="","",Inventory!K465)</f>
        <v/>
      </c>
    </row>
    <row r="466" ht="15.75" customHeight="1">
      <c r="A466" s="151" t="str">
        <f>Inventory!A466</f>
        <v/>
      </c>
      <c r="B466" s="153" t="str">
        <f>Inventory!B466</f>
        <v/>
      </c>
      <c r="C466" s="153" t="str">
        <f>Inventory!C466</f>
        <v/>
      </c>
      <c r="D466" s="169" t="str">
        <f>Inventory!H466</f>
        <v/>
      </c>
      <c r="E466" s="170" t="str">
        <f>Inventory!I466</f>
        <v/>
      </c>
      <c r="F466" s="171" t="str">
        <f>IF(A466="","",Inventory!K466)</f>
        <v/>
      </c>
    </row>
    <row r="467" ht="15.75" customHeight="1">
      <c r="A467" s="151" t="str">
        <f>Inventory!A467</f>
        <v/>
      </c>
      <c r="B467" s="153" t="str">
        <f>Inventory!B467</f>
        <v/>
      </c>
      <c r="C467" s="153" t="str">
        <f>Inventory!C467</f>
        <v/>
      </c>
      <c r="D467" s="169" t="str">
        <f>Inventory!H467</f>
        <v/>
      </c>
      <c r="E467" s="170" t="str">
        <f>Inventory!I467</f>
        <v/>
      </c>
      <c r="F467" s="171" t="str">
        <f>IF(A467="","",Inventory!K467)</f>
        <v/>
      </c>
    </row>
    <row r="468" ht="15.75" customHeight="1">
      <c r="A468" s="151" t="str">
        <f>Inventory!A468</f>
        <v/>
      </c>
      <c r="B468" s="153" t="str">
        <f>Inventory!B468</f>
        <v/>
      </c>
      <c r="C468" s="153" t="str">
        <f>Inventory!C468</f>
        <v/>
      </c>
      <c r="D468" s="169" t="str">
        <f>Inventory!H468</f>
        <v/>
      </c>
      <c r="E468" s="170" t="str">
        <f>Inventory!I468</f>
        <v/>
      </c>
      <c r="F468" s="171" t="str">
        <f>IF(A468="","",Inventory!K468)</f>
        <v/>
      </c>
    </row>
    <row r="469" ht="15.75" customHeight="1">
      <c r="A469" s="151" t="str">
        <f>Inventory!A469</f>
        <v/>
      </c>
      <c r="B469" s="153" t="str">
        <f>Inventory!B469</f>
        <v/>
      </c>
      <c r="C469" s="153" t="str">
        <f>Inventory!C469</f>
        <v/>
      </c>
      <c r="D469" s="169" t="str">
        <f>Inventory!H469</f>
        <v/>
      </c>
      <c r="E469" s="170" t="str">
        <f>Inventory!I469</f>
        <v/>
      </c>
      <c r="F469" s="171" t="str">
        <f>IF(A469="","",Inventory!K469)</f>
        <v/>
      </c>
    </row>
    <row r="470" ht="15.75" customHeight="1">
      <c r="A470" s="151" t="str">
        <f>Inventory!A470</f>
        <v/>
      </c>
      <c r="B470" s="153" t="str">
        <f>Inventory!B470</f>
        <v/>
      </c>
      <c r="C470" s="153" t="str">
        <f>Inventory!C470</f>
        <v/>
      </c>
      <c r="D470" s="169" t="str">
        <f>Inventory!H470</f>
        <v/>
      </c>
      <c r="E470" s="170" t="str">
        <f>Inventory!I470</f>
        <v/>
      </c>
      <c r="F470" s="171" t="str">
        <f>IF(A470="","",Inventory!K470)</f>
        <v/>
      </c>
    </row>
    <row r="471" ht="15.75" customHeight="1">
      <c r="A471" s="151" t="str">
        <f>Inventory!A471</f>
        <v/>
      </c>
      <c r="B471" s="153" t="str">
        <f>Inventory!B471</f>
        <v/>
      </c>
      <c r="C471" s="153" t="str">
        <f>Inventory!C471</f>
        <v/>
      </c>
      <c r="D471" s="169" t="str">
        <f>Inventory!H471</f>
        <v/>
      </c>
      <c r="E471" s="170" t="str">
        <f>Inventory!I471</f>
        <v/>
      </c>
      <c r="F471" s="171" t="str">
        <f>IF(A471="","",Inventory!K471)</f>
        <v/>
      </c>
    </row>
    <row r="472" ht="15.75" customHeight="1">
      <c r="A472" s="151" t="str">
        <f>Inventory!A472</f>
        <v/>
      </c>
      <c r="B472" s="153" t="str">
        <f>Inventory!B472</f>
        <v/>
      </c>
      <c r="C472" s="153" t="str">
        <f>Inventory!C472</f>
        <v/>
      </c>
      <c r="D472" s="169" t="str">
        <f>Inventory!H472</f>
        <v/>
      </c>
      <c r="E472" s="170" t="str">
        <f>Inventory!I472</f>
        <v/>
      </c>
      <c r="F472" s="171" t="str">
        <f>IF(A472="","",Inventory!K472)</f>
        <v/>
      </c>
    </row>
    <row r="473" ht="15.75" customHeight="1">
      <c r="A473" s="151" t="str">
        <f>Inventory!A473</f>
        <v/>
      </c>
      <c r="B473" s="153" t="str">
        <f>Inventory!B473</f>
        <v/>
      </c>
      <c r="C473" s="153" t="str">
        <f>Inventory!C473</f>
        <v/>
      </c>
      <c r="D473" s="169" t="str">
        <f>Inventory!H473</f>
        <v/>
      </c>
      <c r="E473" s="170" t="str">
        <f>Inventory!I473</f>
        <v/>
      </c>
      <c r="F473" s="171" t="str">
        <f>IF(A473="","",Inventory!K473)</f>
        <v/>
      </c>
    </row>
    <row r="474" ht="15.75" customHeight="1">
      <c r="A474" s="151" t="str">
        <f>Inventory!A474</f>
        <v/>
      </c>
      <c r="B474" s="153" t="str">
        <f>Inventory!B474</f>
        <v/>
      </c>
      <c r="C474" s="153" t="str">
        <f>Inventory!C474</f>
        <v/>
      </c>
      <c r="D474" s="169" t="str">
        <f>Inventory!H474</f>
        <v/>
      </c>
      <c r="E474" s="170" t="str">
        <f>Inventory!I474</f>
        <v/>
      </c>
      <c r="F474" s="171" t="str">
        <f>IF(A474="","",Inventory!K474)</f>
        <v/>
      </c>
    </row>
    <row r="475" ht="15.75" customHeight="1">
      <c r="A475" s="151" t="str">
        <f>Inventory!A475</f>
        <v/>
      </c>
      <c r="B475" s="153" t="str">
        <f>Inventory!B475</f>
        <v/>
      </c>
      <c r="C475" s="153" t="str">
        <f>Inventory!C475</f>
        <v/>
      </c>
      <c r="D475" s="169" t="str">
        <f>Inventory!H475</f>
        <v/>
      </c>
      <c r="E475" s="170" t="str">
        <f>Inventory!I475</f>
        <v/>
      </c>
      <c r="F475" s="171" t="str">
        <f>IF(A475="","",Inventory!K475)</f>
        <v/>
      </c>
    </row>
    <row r="476" ht="15.75" customHeight="1">
      <c r="A476" s="151" t="str">
        <f>Inventory!A476</f>
        <v/>
      </c>
      <c r="B476" s="153" t="str">
        <f>Inventory!B476</f>
        <v/>
      </c>
      <c r="C476" s="153" t="str">
        <f>Inventory!C476</f>
        <v/>
      </c>
      <c r="D476" s="169" t="str">
        <f>Inventory!H476</f>
        <v/>
      </c>
      <c r="E476" s="170" t="str">
        <f>Inventory!I476</f>
        <v/>
      </c>
      <c r="F476" s="171" t="str">
        <f>IF(A476="","",Inventory!K476)</f>
        <v/>
      </c>
    </row>
    <row r="477" ht="15.75" customHeight="1">
      <c r="A477" s="151" t="str">
        <f>Inventory!A477</f>
        <v/>
      </c>
      <c r="B477" s="153" t="str">
        <f>Inventory!B477</f>
        <v/>
      </c>
      <c r="C477" s="153" t="str">
        <f>Inventory!C477</f>
        <v/>
      </c>
      <c r="D477" s="169" t="str">
        <f>Inventory!H477</f>
        <v/>
      </c>
      <c r="E477" s="170" t="str">
        <f>Inventory!I477</f>
        <v/>
      </c>
      <c r="F477" s="171" t="str">
        <f>IF(A477="","",Inventory!K477)</f>
        <v/>
      </c>
    </row>
    <row r="478" ht="15.75" customHeight="1">
      <c r="A478" s="151" t="str">
        <f>Inventory!A478</f>
        <v/>
      </c>
      <c r="B478" s="153" t="str">
        <f>Inventory!B478</f>
        <v/>
      </c>
      <c r="C478" s="153" t="str">
        <f>Inventory!C478</f>
        <v/>
      </c>
      <c r="D478" s="169" t="str">
        <f>Inventory!H478</f>
        <v/>
      </c>
      <c r="E478" s="170" t="str">
        <f>Inventory!I478</f>
        <v/>
      </c>
      <c r="F478" s="171" t="str">
        <f>IF(A478="","",Inventory!K478)</f>
        <v/>
      </c>
    </row>
    <row r="479" ht="15.75" customHeight="1">
      <c r="A479" s="151" t="str">
        <f>Inventory!A479</f>
        <v/>
      </c>
      <c r="B479" s="153" t="str">
        <f>Inventory!B479</f>
        <v/>
      </c>
      <c r="C479" s="153" t="str">
        <f>Inventory!C479</f>
        <v/>
      </c>
      <c r="D479" s="169" t="str">
        <f>Inventory!H479</f>
        <v/>
      </c>
      <c r="E479" s="170" t="str">
        <f>Inventory!I479</f>
        <v/>
      </c>
      <c r="F479" s="171" t="str">
        <f>IF(A479="","",Inventory!K479)</f>
        <v/>
      </c>
    </row>
    <row r="480" ht="15.75" customHeight="1">
      <c r="A480" s="151" t="str">
        <f>Inventory!A480</f>
        <v/>
      </c>
      <c r="B480" s="153" t="str">
        <f>Inventory!B480</f>
        <v/>
      </c>
      <c r="C480" s="153" t="str">
        <f>Inventory!C480</f>
        <v/>
      </c>
      <c r="D480" s="169" t="str">
        <f>Inventory!H480</f>
        <v/>
      </c>
      <c r="E480" s="170" t="str">
        <f>Inventory!I480</f>
        <v/>
      </c>
      <c r="F480" s="171" t="str">
        <f>IF(A480="","",Inventory!K480)</f>
        <v/>
      </c>
    </row>
    <row r="481" ht="15.75" customHeight="1">
      <c r="A481" s="151" t="str">
        <f>Inventory!A481</f>
        <v/>
      </c>
      <c r="B481" s="153" t="str">
        <f>Inventory!B481</f>
        <v/>
      </c>
      <c r="C481" s="153" t="str">
        <f>Inventory!C481</f>
        <v/>
      </c>
      <c r="D481" s="169" t="str">
        <f>Inventory!H481</f>
        <v/>
      </c>
      <c r="E481" s="170" t="str">
        <f>Inventory!I481</f>
        <v/>
      </c>
      <c r="F481" s="171" t="str">
        <f>IF(A481="","",Inventory!K481)</f>
        <v/>
      </c>
    </row>
    <row r="482" ht="15.75" customHeight="1">
      <c r="A482" s="151" t="str">
        <f>Inventory!A482</f>
        <v/>
      </c>
      <c r="B482" s="153" t="str">
        <f>Inventory!B482</f>
        <v/>
      </c>
      <c r="C482" s="153" t="str">
        <f>Inventory!C482</f>
        <v/>
      </c>
      <c r="D482" s="169" t="str">
        <f>Inventory!H482</f>
        <v/>
      </c>
      <c r="E482" s="170" t="str">
        <f>Inventory!I482</f>
        <v/>
      </c>
      <c r="F482" s="171" t="str">
        <f>IF(A482="","",Inventory!K482)</f>
        <v/>
      </c>
    </row>
    <row r="483" ht="15.75" customHeight="1">
      <c r="A483" s="151" t="str">
        <f>Inventory!A483</f>
        <v/>
      </c>
      <c r="B483" s="153" t="str">
        <f>Inventory!B483</f>
        <v/>
      </c>
      <c r="C483" s="153" t="str">
        <f>Inventory!C483</f>
        <v/>
      </c>
      <c r="D483" s="169" t="str">
        <f>Inventory!H483</f>
        <v/>
      </c>
      <c r="E483" s="170" t="str">
        <f>Inventory!I483</f>
        <v/>
      </c>
      <c r="F483" s="171" t="str">
        <f>IF(A483="","",Inventory!K483)</f>
        <v/>
      </c>
    </row>
    <row r="484" ht="15.75" customHeight="1">
      <c r="A484" s="151" t="str">
        <f>Inventory!A484</f>
        <v/>
      </c>
      <c r="B484" s="153" t="str">
        <f>Inventory!B484</f>
        <v/>
      </c>
      <c r="C484" s="153" t="str">
        <f>Inventory!C484</f>
        <v/>
      </c>
      <c r="D484" s="169" t="str">
        <f>Inventory!H484</f>
        <v/>
      </c>
      <c r="E484" s="170" t="str">
        <f>Inventory!I484</f>
        <v/>
      </c>
      <c r="F484" s="171" t="str">
        <f>IF(A484="","",Inventory!K484)</f>
        <v/>
      </c>
    </row>
    <row r="485" ht="15.75" customHeight="1">
      <c r="A485" s="151" t="str">
        <f>Inventory!A485</f>
        <v/>
      </c>
      <c r="B485" s="153" t="str">
        <f>Inventory!B485</f>
        <v/>
      </c>
      <c r="C485" s="153" t="str">
        <f>Inventory!C485</f>
        <v/>
      </c>
      <c r="D485" s="169" t="str">
        <f>Inventory!H485</f>
        <v/>
      </c>
      <c r="E485" s="170" t="str">
        <f>Inventory!I485</f>
        <v/>
      </c>
      <c r="F485" s="171" t="str">
        <f>IF(A485="","",Inventory!K485)</f>
        <v/>
      </c>
    </row>
    <row r="486" ht="15.75" customHeight="1">
      <c r="A486" s="151" t="str">
        <f>Inventory!A486</f>
        <v/>
      </c>
      <c r="B486" s="153" t="str">
        <f>Inventory!B486</f>
        <v/>
      </c>
      <c r="C486" s="153" t="str">
        <f>Inventory!C486</f>
        <v/>
      </c>
      <c r="D486" s="169" t="str">
        <f>Inventory!H486</f>
        <v/>
      </c>
      <c r="E486" s="170" t="str">
        <f>Inventory!I486</f>
        <v/>
      </c>
      <c r="F486" s="171" t="str">
        <f>IF(A486="","",Inventory!K486)</f>
        <v/>
      </c>
    </row>
    <row r="487" ht="15.75" customHeight="1">
      <c r="A487" s="151" t="str">
        <f>Inventory!A487</f>
        <v/>
      </c>
      <c r="B487" s="153" t="str">
        <f>Inventory!B487</f>
        <v/>
      </c>
      <c r="C487" s="153" t="str">
        <f>Inventory!C487</f>
        <v/>
      </c>
      <c r="D487" s="169" t="str">
        <f>Inventory!H487</f>
        <v/>
      </c>
      <c r="E487" s="170" t="str">
        <f>Inventory!I487</f>
        <v/>
      </c>
      <c r="F487" s="171" t="str">
        <f>IF(A487="","",Inventory!K487)</f>
        <v/>
      </c>
    </row>
    <row r="488" ht="15.75" customHeight="1">
      <c r="A488" s="151" t="str">
        <f>Inventory!A488</f>
        <v/>
      </c>
      <c r="B488" s="153" t="str">
        <f>Inventory!B488</f>
        <v/>
      </c>
      <c r="C488" s="153" t="str">
        <f>Inventory!C488</f>
        <v/>
      </c>
      <c r="D488" s="169" t="str">
        <f>Inventory!H488</f>
        <v/>
      </c>
      <c r="E488" s="170" t="str">
        <f>Inventory!I488</f>
        <v/>
      </c>
      <c r="F488" s="171" t="str">
        <f>IF(A488="","",Inventory!K488)</f>
        <v/>
      </c>
    </row>
    <row r="489" ht="15.75" customHeight="1">
      <c r="A489" s="151" t="str">
        <f>Inventory!A489</f>
        <v/>
      </c>
      <c r="B489" s="153" t="str">
        <f>Inventory!B489</f>
        <v/>
      </c>
      <c r="C489" s="153" t="str">
        <f>Inventory!C489</f>
        <v/>
      </c>
      <c r="D489" s="169" t="str">
        <f>Inventory!H489</f>
        <v/>
      </c>
      <c r="E489" s="170" t="str">
        <f>Inventory!I489</f>
        <v/>
      </c>
      <c r="F489" s="171" t="str">
        <f>IF(A489="","",Inventory!K489)</f>
        <v/>
      </c>
    </row>
    <row r="490" ht="15.75" customHeight="1">
      <c r="A490" s="151" t="str">
        <f>Inventory!A490</f>
        <v/>
      </c>
      <c r="B490" s="153" t="str">
        <f>Inventory!B490</f>
        <v/>
      </c>
      <c r="C490" s="153" t="str">
        <f>Inventory!C490</f>
        <v/>
      </c>
      <c r="D490" s="169" t="str">
        <f>Inventory!H490</f>
        <v/>
      </c>
      <c r="E490" s="170" t="str">
        <f>Inventory!I490</f>
        <v/>
      </c>
      <c r="F490" s="171" t="str">
        <f>IF(A490="","",Inventory!K490)</f>
        <v/>
      </c>
    </row>
    <row r="491" ht="15.75" customHeight="1">
      <c r="A491" s="151" t="str">
        <f>Inventory!A491</f>
        <v/>
      </c>
      <c r="B491" s="153" t="str">
        <f>Inventory!B491</f>
        <v/>
      </c>
      <c r="C491" s="153" t="str">
        <f>Inventory!C491</f>
        <v/>
      </c>
      <c r="D491" s="169" t="str">
        <f>Inventory!H491</f>
        <v/>
      </c>
      <c r="E491" s="170" t="str">
        <f>Inventory!I491</f>
        <v/>
      </c>
      <c r="F491" s="171" t="str">
        <f>IF(A491="","",Inventory!K491)</f>
        <v/>
      </c>
    </row>
    <row r="492" ht="15.75" customHeight="1">
      <c r="A492" s="151" t="str">
        <f>Inventory!A492</f>
        <v/>
      </c>
      <c r="B492" s="153" t="str">
        <f>Inventory!B492</f>
        <v/>
      </c>
      <c r="C492" s="153" t="str">
        <f>Inventory!C492</f>
        <v/>
      </c>
      <c r="D492" s="169" t="str">
        <f>Inventory!H492</f>
        <v/>
      </c>
      <c r="E492" s="170" t="str">
        <f>Inventory!I492</f>
        <v/>
      </c>
      <c r="F492" s="171" t="str">
        <f>IF(A492="","",Inventory!K492)</f>
        <v/>
      </c>
    </row>
    <row r="493" ht="15.75" customHeight="1">
      <c r="A493" s="151" t="str">
        <f>Inventory!A493</f>
        <v/>
      </c>
      <c r="B493" s="153" t="str">
        <f>Inventory!B493</f>
        <v/>
      </c>
      <c r="C493" s="153" t="str">
        <f>Inventory!C493</f>
        <v/>
      </c>
      <c r="D493" s="169" t="str">
        <f>Inventory!H493</f>
        <v/>
      </c>
      <c r="E493" s="170" t="str">
        <f>Inventory!I493</f>
        <v/>
      </c>
      <c r="F493" s="171" t="str">
        <f>IF(A493="","",Inventory!K493)</f>
        <v/>
      </c>
    </row>
    <row r="494" ht="15.75" customHeight="1">
      <c r="A494" s="151" t="str">
        <f>Inventory!A494</f>
        <v/>
      </c>
      <c r="B494" s="153" t="str">
        <f>Inventory!B494</f>
        <v/>
      </c>
      <c r="C494" s="153" t="str">
        <f>Inventory!C494</f>
        <v/>
      </c>
      <c r="D494" s="169" t="str">
        <f>Inventory!H494</f>
        <v/>
      </c>
      <c r="E494" s="170" t="str">
        <f>Inventory!I494</f>
        <v/>
      </c>
      <c r="F494" s="171" t="str">
        <f>IF(A494="","",Inventory!K494)</f>
        <v/>
      </c>
    </row>
    <row r="495" ht="15.75" customHeight="1">
      <c r="A495" s="151" t="str">
        <f>Inventory!A495</f>
        <v/>
      </c>
      <c r="B495" s="153" t="str">
        <f>Inventory!B495</f>
        <v/>
      </c>
      <c r="C495" s="153" t="str">
        <f>Inventory!C495</f>
        <v/>
      </c>
      <c r="D495" s="169" t="str">
        <f>Inventory!H495</f>
        <v/>
      </c>
      <c r="E495" s="170" t="str">
        <f>Inventory!I495</f>
        <v/>
      </c>
      <c r="F495" s="171" t="str">
        <f>IF(A495="","",Inventory!K495)</f>
        <v/>
      </c>
    </row>
    <row r="496" ht="15.75" customHeight="1">
      <c r="A496" s="151" t="str">
        <f>Inventory!A496</f>
        <v/>
      </c>
      <c r="B496" s="153" t="str">
        <f>Inventory!B496</f>
        <v/>
      </c>
      <c r="C496" s="153" t="str">
        <f>Inventory!C496</f>
        <v/>
      </c>
      <c r="D496" s="169" t="str">
        <f>Inventory!H496</f>
        <v/>
      </c>
      <c r="E496" s="170" t="str">
        <f>Inventory!I496</f>
        <v/>
      </c>
      <c r="F496" s="171" t="str">
        <f>IF(A496="","",Inventory!K496)</f>
        <v/>
      </c>
    </row>
    <row r="497" ht="15.75" customHeight="1">
      <c r="A497" s="151" t="str">
        <f>Inventory!A497</f>
        <v/>
      </c>
      <c r="B497" s="153" t="str">
        <f>Inventory!B497</f>
        <v/>
      </c>
      <c r="C497" s="153" t="str">
        <f>Inventory!C497</f>
        <v/>
      </c>
      <c r="D497" s="169" t="str">
        <f>Inventory!H497</f>
        <v/>
      </c>
      <c r="E497" s="170" t="str">
        <f>Inventory!I497</f>
        <v/>
      </c>
      <c r="F497" s="171" t="str">
        <f>IF(A497="","",Inventory!K497)</f>
        <v/>
      </c>
    </row>
    <row r="498" ht="15.75" customHeight="1">
      <c r="A498" s="151" t="str">
        <f>Inventory!A498</f>
        <v/>
      </c>
      <c r="B498" s="153" t="str">
        <f>Inventory!B498</f>
        <v/>
      </c>
      <c r="C498" s="153" t="str">
        <f>Inventory!C498</f>
        <v/>
      </c>
      <c r="D498" s="169" t="str">
        <f>Inventory!H498</f>
        <v/>
      </c>
      <c r="E498" s="170" t="str">
        <f>Inventory!I498</f>
        <v/>
      </c>
      <c r="F498" s="171" t="str">
        <f>IF(A498="","",Inventory!K498)</f>
        <v/>
      </c>
    </row>
    <row r="499" ht="15.75" customHeight="1">
      <c r="A499" s="151" t="str">
        <f>Inventory!A499</f>
        <v/>
      </c>
      <c r="B499" s="153" t="str">
        <f>Inventory!B499</f>
        <v/>
      </c>
      <c r="C499" s="153" t="str">
        <f>Inventory!C499</f>
        <v/>
      </c>
      <c r="D499" s="169" t="str">
        <f>Inventory!H499</f>
        <v/>
      </c>
      <c r="E499" s="170" t="str">
        <f>Inventory!I499</f>
        <v/>
      </c>
      <c r="F499" s="171" t="str">
        <f>IF(A499="","",Inventory!K499)</f>
        <v/>
      </c>
    </row>
    <row r="500" ht="15.75" customHeight="1">
      <c r="A500" s="151" t="str">
        <f>Inventory!A500</f>
        <v/>
      </c>
      <c r="B500" s="153" t="str">
        <f>Inventory!B500</f>
        <v/>
      </c>
      <c r="C500" s="153" t="str">
        <f>Inventory!C500</f>
        <v/>
      </c>
      <c r="D500" s="169" t="str">
        <f>Inventory!H500</f>
        <v/>
      </c>
      <c r="E500" s="170" t="str">
        <f>Inventory!I500</f>
        <v/>
      </c>
      <c r="F500" s="171" t="str">
        <f>IF(A500="","",Inventory!K500)</f>
        <v/>
      </c>
    </row>
    <row r="501" ht="15.75" customHeight="1">
      <c r="A501" s="151" t="str">
        <f>Inventory!A501</f>
        <v/>
      </c>
      <c r="B501" s="153" t="str">
        <f>Inventory!B501</f>
        <v/>
      </c>
      <c r="C501" s="153" t="str">
        <f>Inventory!C501</f>
        <v/>
      </c>
      <c r="D501" s="169" t="str">
        <f>Inventory!H501</f>
        <v/>
      </c>
      <c r="E501" s="170" t="str">
        <f>Inventory!I501</f>
        <v/>
      </c>
      <c r="F501" s="171" t="str">
        <f>IF(A501="","",Inventory!K501)</f>
        <v/>
      </c>
    </row>
    <row r="502" ht="15.75" customHeight="1">
      <c r="A502" s="151" t="str">
        <f>Inventory!A502</f>
        <v/>
      </c>
      <c r="B502" s="153" t="str">
        <f>Inventory!B502</f>
        <v/>
      </c>
      <c r="C502" s="153" t="str">
        <f>Inventory!C502</f>
        <v/>
      </c>
      <c r="D502" s="169" t="str">
        <f>Inventory!H502</f>
        <v/>
      </c>
      <c r="E502" s="170" t="str">
        <f>Inventory!I502</f>
        <v/>
      </c>
      <c r="F502" s="171" t="str">
        <f>IF(A502="","",Inventory!K502)</f>
        <v/>
      </c>
    </row>
    <row r="503" ht="15.75" customHeight="1">
      <c r="A503" s="151" t="str">
        <f>Inventory!A503</f>
        <v/>
      </c>
      <c r="B503" s="153" t="str">
        <f>Inventory!B503</f>
        <v/>
      </c>
      <c r="C503" s="153" t="str">
        <f>Inventory!C503</f>
        <v/>
      </c>
      <c r="D503" s="169" t="str">
        <f>Inventory!H503</f>
        <v/>
      </c>
      <c r="E503" s="170" t="str">
        <f>Inventory!I503</f>
        <v/>
      </c>
      <c r="F503" s="171" t="str">
        <f>IF(A503="","",Inventory!K503)</f>
        <v/>
      </c>
    </row>
    <row r="504" ht="15.75" customHeight="1">
      <c r="A504" s="151" t="str">
        <f>Inventory!A504</f>
        <v/>
      </c>
      <c r="B504" s="153" t="str">
        <f>Inventory!B504</f>
        <v/>
      </c>
      <c r="C504" s="153" t="str">
        <f>Inventory!C504</f>
        <v/>
      </c>
      <c r="D504" s="169" t="str">
        <f>Inventory!H504</f>
        <v/>
      </c>
      <c r="E504" s="170" t="str">
        <f>Inventory!I504</f>
        <v/>
      </c>
      <c r="F504" s="171" t="str">
        <f>IF(A504="","",Inventory!K504)</f>
        <v/>
      </c>
    </row>
    <row r="505" ht="15.75" customHeight="1">
      <c r="A505" s="151" t="str">
        <f>Inventory!A505</f>
        <v/>
      </c>
      <c r="B505" s="153" t="str">
        <f>Inventory!B505</f>
        <v/>
      </c>
      <c r="C505" s="153" t="str">
        <f>Inventory!C505</f>
        <v/>
      </c>
      <c r="D505" s="169" t="str">
        <f>Inventory!H505</f>
        <v/>
      </c>
      <c r="E505" s="170" t="str">
        <f>Inventory!I505</f>
        <v/>
      </c>
      <c r="F505" s="171" t="str">
        <f>IF(A505="","",Inventory!K505)</f>
        <v/>
      </c>
    </row>
    <row r="506" ht="15.75" customHeight="1">
      <c r="A506" s="151" t="str">
        <f>Inventory!A506</f>
        <v/>
      </c>
      <c r="B506" s="153" t="str">
        <f>Inventory!B506</f>
        <v/>
      </c>
      <c r="C506" s="153" t="str">
        <f>Inventory!C506</f>
        <v/>
      </c>
      <c r="D506" s="169" t="str">
        <f>Inventory!H506</f>
        <v/>
      </c>
      <c r="E506" s="170" t="str">
        <f>Inventory!I506</f>
        <v/>
      </c>
      <c r="F506" s="171" t="str">
        <f>IF(A506="","",Inventory!K506)</f>
        <v/>
      </c>
    </row>
    <row r="507" ht="15.75" customHeight="1">
      <c r="A507" s="151" t="str">
        <f>Inventory!A507</f>
        <v/>
      </c>
      <c r="B507" s="153" t="str">
        <f>Inventory!B507</f>
        <v/>
      </c>
      <c r="C507" s="153" t="str">
        <f>Inventory!C507</f>
        <v/>
      </c>
      <c r="D507" s="169" t="str">
        <f>Inventory!H507</f>
        <v/>
      </c>
      <c r="E507" s="170" t="str">
        <f>Inventory!I507</f>
        <v/>
      </c>
      <c r="F507" s="171" t="str">
        <f>IF(A507="","",Inventory!K507)</f>
        <v/>
      </c>
    </row>
    <row r="508" ht="15.75" customHeight="1">
      <c r="A508" s="151" t="str">
        <f>Inventory!A508</f>
        <v/>
      </c>
      <c r="B508" s="153" t="str">
        <f>Inventory!B508</f>
        <v/>
      </c>
      <c r="C508" s="153" t="str">
        <f>Inventory!C508</f>
        <v/>
      </c>
      <c r="D508" s="169" t="str">
        <f>Inventory!H508</f>
        <v/>
      </c>
      <c r="E508" s="170" t="str">
        <f>Inventory!I508</f>
        <v/>
      </c>
      <c r="F508" s="171" t="str">
        <f>IF(A508="","",Inventory!K508)</f>
        <v/>
      </c>
    </row>
    <row r="509" ht="15.75" customHeight="1">
      <c r="A509" s="151" t="str">
        <f>Inventory!A509</f>
        <v/>
      </c>
      <c r="B509" s="153" t="str">
        <f>Inventory!B509</f>
        <v/>
      </c>
      <c r="C509" s="153" t="str">
        <f>Inventory!C509</f>
        <v/>
      </c>
      <c r="D509" s="169" t="str">
        <f>Inventory!H509</f>
        <v/>
      </c>
      <c r="E509" s="170" t="str">
        <f>Inventory!I509</f>
        <v/>
      </c>
      <c r="F509" s="171" t="str">
        <f>IF(A509="","",Inventory!K509)</f>
        <v/>
      </c>
    </row>
    <row r="510" ht="15.75" customHeight="1">
      <c r="A510" s="151" t="str">
        <f>Inventory!A510</f>
        <v/>
      </c>
      <c r="B510" s="153" t="str">
        <f>Inventory!B510</f>
        <v/>
      </c>
      <c r="C510" s="153" t="str">
        <f>Inventory!C510</f>
        <v/>
      </c>
      <c r="D510" s="169" t="str">
        <f>Inventory!H510</f>
        <v/>
      </c>
      <c r="E510" s="170" t="str">
        <f>Inventory!I510</f>
        <v/>
      </c>
      <c r="F510" s="171" t="str">
        <f>IF(A510="","",Inventory!K510)</f>
        <v/>
      </c>
    </row>
    <row r="511" ht="15.75" customHeight="1">
      <c r="A511" s="151" t="str">
        <f>Inventory!A511</f>
        <v/>
      </c>
      <c r="B511" s="153" t="str">
        <f>Inventory!B511</f>
        <v/>
      </c>
      <c r="C511" s="153" t="str">
        <f>Inventory!C511</f>
        <v/>
      </c>
      <c r="D511" s="169" t="str">
        <f>Inventory!H511</f>
        <v/>
      </c>
      <c r="E511" s="170" t="str">
        <f>Inventory!I511</f>
        <v/>
      </c>
      <c r="F511" s="171" t="str">
        <f>IF(A511="","",Inventory!K511)</f>
        <v/>
      </c>
    </row>
    <row r="512" ht="15.75" customHeight="1">
      <c r="A512" s="151" t="str">
        <f>Inventory!A512</f>
        <v/>
      </c>
      <c r="B512" s="153" t="str">
        <f>Inventory!B512</f>
        <v/>
      </c>
      <c r="C512" s="153" t="str">
        <f>Inventory!C512</f>
        <v/>
      </c>
      <c r="D512" s="169" t="str">
        <f>Inventory!H512</f>
        <v/>
      </c>
      <c r="E512" s="170" t="str">
        <f>Inventory!I512</f>
        <v/>
      </c>
      <c r="F512" s="171" t="str">
        <f>IF(A512="","",Inventory!K512)</f>
        <v/>
      </c>
    </row>
    <row r="513" ht="15.75" customHeight="1">
      <c r="A513" s="151" t="str">
        <f>Inventory!A513</f>
        <v/>
      </c>
      <c r="B513" s="153" t="str">
        <f>Inventory!B513</f>
        <v/>
      </c>
      <c r="C513" s="153" t="str">
        <f>Inventory!C513</f>
        <v/>
      </c>
      <c r="D513" s="169" t="str">
        <f>Inventory!H513</f>
        <v/>
      </c>
      <c r="E513" s="170" t="str">
        <f>Inventory!I513</f>
        <v/>
      </c>
      <c r="F513" s="171" t="str">
        <f>IF(A513="","",Inventory!K513)</f>
        <v/>
      </c>
    </row>
    <row r="514" ht="15.75" customHeight="1">
      <c r="A514" s="151" t="str">
        <f>Inventory!A514</f>
        <v/>
      </c>
      <c r="B514" s="153" t="str">
        <f>Inventory!B514</f>
        <v/>
      </c>
      <c r="C514" s="153" t="str">
        <f>Inventory!C514</f>
        <v/>
      </c>
      <c r="D514" s="169" t="str">
        <f>Inventory!H514</f>
        <v/>
      </c>
      <c r="E514" s="170" t="str">
        <f>Inventory!I514</f>
        <v/>
      </c>
      <c r="F514" s="171" t="str">
        <f>IF(A514="","",Inventory!K514)</f>
        <v/>
      </c>
    </row>
    <row r="515" ht="15.75" customHeight="1">
      <c r="A515" s="151" t="str">
        <f>Inventory!A515</f>
        <v/>
      </c>
      <c r="B515" s="153" t="str">
        <f>Inventory!B515</f>
        <v/>
      </c>
      <c r="C515" s="153" t="str">
        <f>Inventory!C515</f>
        <v/>
      </c>
      <c r="D515" s="169" t="str">
        <f>Inventory!H515</f>
        <v/>
      </c>
      <c r="E515" s="170" t="str">
        <f>Inventory!I515</f>
        <v/>
      </c>
      <c r="F515" s="171" t="str">
        <f>IF(A515="","",Inventory!K515)</f>
        <v/>
      </c>
    </row>
    <row r="516" ht="15.75" customHeight="1">
      <c r="A516" s="151" t="str">
        <f>Inventory!A516</f>
        <v/>
      </c>
      <c r="B516" s="153" t="str">
        <f>Inventory!B516</f>
        <v/>
      </c>
      <c r="C516" s="153" t="str">
        <f>Inventory!C516</f>
        <v/>
      </c>
      <c r="D516" s="169" t="str">
        <f>Inventory!H516</f>
        <v/>
      </c>
      <c r="E516" s="170" t="str">
        <f>Inventory!I516</f>
        <v/>
      </c>
      <c r="F516" s="171" t="str">
        <f>IF(A516="","",Inventory!K516)</f>
        <v/>
      </c>
    </row>
    <row r="517" ht="15.75" customHeight="1">
      <c r="A517" s="151" t="str">
        <f>Inventory!A517</f>
        <v/>
      </c>
      <c r="B517" s="153" t="str">
        <f>Inventory!B517</f>
        <v/>
      </c>
      <c r="C517" s="153" t="str">
        <f>Inventory!C517</f>
        <v/>
      </c>
      <c r="D517" s="169" t="str">
        <f>Inventory!H517</f>
        <v/>
      </c>
      <c r="E517" s="170" t="str">
        <f>Inventory!I517</f>
        <v/>
      </c>
      <c r="F517" s="171" t="str">
        <f>IF(A517="","",Inventory!K517)</f>
        <v/>
      </c>
    </row>
    <row r="518" ht="15.75" customHeight="1">
      <c r="A518" s="151" t="str">
        <f>Inventory!A518</f>
        <v/>
      </c>
      <c r="B518" s="153" t="str">
        <f>Inventory!B518</f>
        <v/>
      </c>
      <c r="C518" s="153" t="str">
        <f>Inventory!C518</f>
        <v/>
      </c>
      <c r="D518" s="169" t="str">
        <f>Inventory!H518</f>
        <v/>
      </c>
      <c r="E518" s="170" t="str">
        <f>Inventory!I518</f>
        <v/>
      </c>
      <c r="F518" s="171" t="str">
        <f>IF(A518="","",Inventory!K518)</f>
        <v/>
      </c>
    </row>
    <row r="519" ht="15.75" customHeight="1">
      <c r="A519" s="151" t="str">
        <f>Inventory!A519</f>
        <v/>
      </c>
      <c r="B519" s="153" t="str">
        <f>Inventory!B519</f>
        <v/>
      </c>
      <c r="C519" s="153" t="str">
        <f>Inventory!C519</f>
        <v/>
      </c>
      <c r="D519" s="169" t="str">
        <f>Inventory!H519</f>
        <v/>
      </c>
      <c r="E519" s="170" t="str">
        <f>Inventory!I519</f>
        <v/>
      </c>
      <c r="F519" s="171" t="str">
        <f>IF(A519="","",Inventory!K519)</f>
        <v/>
      </c>
    </row>
    <row r="520" ht="15.75" customHeight="1">
      <c r="A520" s="151" t="str">
        <f>Inventory!A520</f>
        <v/>
      </c>
      <c r="B520" s="153" t="str">
        <f>Inventory!B520</f>
        <v/>
      </c>
      <c r="C520" s="153" t="str">
        <f>Inventory!C520</f>
        <v/>
      </c>
      <c r="D520" s="169" t="str">
        <f>Inventory!H520</f>
        <v/>
      </c>
      <c r="E520" s="170" t="str">
        <f>Inventory!I520</f>
        <v/>
      </c>
      <c r="F520" s="171" t="str">
        <f>IF(A520="","",Inventory!K520)</f>
        <v/>
      </c>
    </row>
    <row r="521" ht="15.75" customHeight="1">
      <c r="A521" s="151" t="str">
        <f>Inventory!A521</f>
        <v/>
      </c>
      <c r="B521" s="153" t="str">
        <f>Inventory!B521</f>
        <v/>
      </c>
      <c r="C521" s="153" t="str">
        <f>Inventory!C521</f>
        <v/>
      </c>
      <c r="D521" s="169" t="str">
        <f>Inventory!H521</f>
        <v/>
      </c>
      <c r="E521" s="170" t="str">
        <f>Inventory!I521</f>
        <v/>
      </c>
      <c r="F521" s="171" t="str">
        <f>IF(A521="","",Inventory!K521)</f>
        <v/>
      </c>
    </row>
    <row r="522" ht="15.75" customHeight="1">
      <c r="A522" s="151" t="str">
        <f>Inventory!A522</f>
        <v/>
      </c>
      <c r="B522" s="153" t="str">
        <f>Inventory!B522</f>
        <v/>
      </c>
      <c r="C522" s="153" t="str">
        <f>Inventory!C522</f>
        <v/>
      </c>
      <c r="D522" s="169" t="str">
        <f>Inventory!H522</f>
        <v/>
      </c>
      <c r="E522" s="170" t="str">
        <f>Inventory!I522</f>
        <v/>
      </c>
      <c r="F522" s="171" t="str">
        <f>IF(A522="","",Inventory!K522)</f>
        <v/>
      </c>
    </row>
    <row r="523" ht="15.75" customHeight="1">
      <c r="A523" s="151" t="str">
        <f>Inventory!A523</f>
        <v/>
      </c>
      <c r="B523" s="153" t="str">
        <f>Inventory!B523</f>
        <v/>
      </c>
      <c r="C523" s="153" t="str">
        <f>Inventory!C523</f>
        <v/>
      </c>
      <c r="D523" s="169" t="str">
        <f>Inventory!H523</f>
        <v/>
      </c>
      <c r="E523" s="170" t="str">
        <f>Inventory!I523</f>
        <v/>
      </c>
      <c r="F523" s="171" t="str">
        <f>IF(A523="","",Inventory!K523)</f>
        <v/>
      </c>
    </row>
    <row r="524" ht="15.75" customHeight="1">
      <c r="A524" s="151" t="str">
        <f>Inventory!A524</f>
        <v/>
      </c>
      <c r="B524" s="153" t="str">
        <f>Inventory!B524</f>
        <v/>
      </c>
      <c r="C524" s="153" t="str">
        <f>Inventory!C524</f>
        <v/>
      </c>
      <c r="D524" s="169" t="str">
        <f>Inventory!H524</f>
        <v/>
      </c>
      <c r="E524" s="170" t="str">
        <f>Inventory!I524</f>
        <v/>
      </c>
      <c r="F524" s="171" t="str">
        <f>IF(A524="","",Inventory!K524)</f>
        <v/>
      </c>
    </row>
    <row r="525" ht="15.75" customHeight="1">
      <c r="A525" s="151" t="str">
        <f>Inventory!A525</f>
        <v/>
      </c>
      <c r="B525" s="153" t="str">
        <f>Inventory!B525</f>
        <v/>
      </c>
      <c r="C525" s="153" t="str">
        <f>Inventory!C525</f>
        <v/>
      </c>
      <c r="D525" s="169" t="str">
        <f>Inventory!H525</f>
        <v/>
      </c>
      <c r="E525" s="170" t="str">
        <f>Inventory!I525</f>
        <v/>
      </c>
      <c r="F525" s="171" t="str">
        <f>IF(A525="","",Inventory!K525)</f>
        <v/>
      </c>
    </row>
    <row r="526" ht="15.75" customHeight="1">
      <c r="A526" s="151" t="str">
        <f>Inventory!A526</f>
        <v/>
      </c>
      <c r="B526" s="153" t="str">
        <f>Inventory!B526</f>
        <v/>
      </c>
      <c r="C526" s="153" t="str">
        <f>Inventory!C526</f>
        <v/>
      </c>
      <c r="D526" s="169" t="str">
        <f>Inventory!H526</f>
        <v/>
      </c>
      <c r="E526" s="170" t="str">
        <f>Inventory!I526</f>
        <v/>
      </c>
      <c r="F526" s="171" t="str">
        <f>IF(A526="","",Inventory!K526)</f>
        <v/>
      </c>
    </row>
    <row r="527" ht="15.75" customHeight="1">
      <c r="A527" s="151" t="str">
        <f>Inventory!A527</f>
        <v/>
      </c>
      <c r="B527" s="153" t="str">
        <f>Inventory!B527</f>
        <v/>
      </c>
      <c r="C527" s="153" t="str">
        <f>Inventory!C527</f>
        <v/>
      </c>
      <c r="D527" s="169" t="str">
        <f>Inventory!H527</f>
        <v/>
      </c>
      <c r="E527" s="170" t="str">
        <f>Inventory!I527</f>
        <v/>
      </c>
      <c r="F527" s="171" t="str">
        <f>IF(A527="","",Inventory!K527)</f>
        <v/>
      </c>
    </row>
    <row r="528" ht="15.75" customHeight="1">
      <c r="A528" s="151" t="str">
        <f>Inventory!A528</f>
        <v/>
      </c>
      <c r="B528" s="153" t="str">
        <f>Inventory!B528</f>
        <v/>
      </c>
      <c r="C528" s="153" t="str">
        <f>Inventory!C528</f>
        <v/>
      </c>
      <c r="D528" s="169" t="str">
        <f>Inventory!H528</f>
        <v/>
      </c>
      <c r="E528" s="170" t="str">
        <f>Inventory!I528</f>
        <v/>
      </c>
      <c r="F528" s="171" t="str">
        <f>IF(A528="","",Inventory!K528)</f>
        <v/>
      </c>
    </row>
    <row r="529" ht="15.75" customHeight="1">
      <c r="A529" s="151" t="str">
        <f>Inventory!A529</f>
        <v/>
      </c>
      <c r="B529" s="153" t="str">
        <f>Inventory!B529</f>
        <v/>
      </c>
      <c r="C529" s="153" t="str">
        <f>Inventory!C529</f>
        <v/>
      </c>
      <c r="D529" s="169" t="str">
        <f>Inventory!H529</f>
        <v/>
      </c>
      <c r="E529" s="170" t="str">
        <f>Inventory!I529</f>
        <v/>
      </c>
      <c r="F529" s="171" t="str">
        <f>IF(A529="","",Inventory!K529)</f>
        <v/>
      </c>
    </row>
    <row r="530" ht="15.75" customHeight="1">
      <c r="A530" s="151" t="str">
        <f>Inventory!A530</f>
        <v/>
      </c>
      <c r="B530" s="153" t="str">
        <f>Inventory!B530</f>
        <v/>
      </c>
      <c r="C530" s="153" t="str">
        <f>Inventory!C530</f>
        <v/>
      </c>
      <c r="D530" s="169" t="str">
        <f>Inventory!H530</f>
        <v/>
      </c>
      <c r="E530" s="170" t="str">
        <f>Inventory!I530</f>
        <v/>
      </c>
      <c r="F530" s="171" t="str">
        <f>IF(A530="","",Inventory!K530)</f>
        <v/>
      </c>
    </row>
    <row r="531" ht="15.75" customHeight="1">
      <c r="A531" s="151" t="str">
        <f>Inventory!A531</f>
        <v/>
      </c>
      <c r="B531" s="153" t="str">
        <f>Inventory!B531</f>
        <v/>
      </c>
      <c r="C531" s="153" t="str">
        <f>Inventory!C531</f>
        <v/>
      </c>
      <c r="D531" s="169" t="str">
        <f>Inventory!H531</f>
        <v/>
      </c>
      <c r="E531" s="170" t="str">
        <f>Inventory!I531</f>
        <v/>
      </c>
      <c r="F531" s="171" t="str">
        <f>IF(A531="","",Inventory!K531)</f>
        <v/>
      </c>
    </row>
    <row r="532" ht="15.75" customHeight="1">
      <c r="A532" s="151" t="str">
        <f>Inventory!A532</f>
        <v/>
      </c>
      <c r="B532" s="153" t="str">
        <f>Inventory!B532</f>
        <v/>
      </c>
      <c r="C532" s="153" t="str">
        <f>Inventory!C532</f>
        <v/>
      </c>
      <c r="D532" s="169" t="str">
        <f>Inventory!H532</f>
        <v/>
      </c>
      <c r="E532" s="170" t="str">
        <f>Inventory!I532</f>
        <v/>
      </c>
      <c r="F532" s="171" t="str">
        <f>IF(A532="","",Inventory!K532)</f>
        <v/>
      </c>
    </row>
    <row r="533" ht="15.75" customHeight="1">
      <c r="A533" s="151" t="str">
        <f>Inventory!A533</f>
        <v/>
      </c>
      <c r="B533" s="153" t="str">
        <f>Inventory!B533</f>
        <v/>
      </c>
      <c r="C533" s="153" t="str">
        <f>Inventory!C533</f>
        <v/>
      </c>
      <c r="D533" s="169" t="str">
        <f>Inventory!H533</f>
        <v/>
      </c>
      <c r="E533" s="170" t="str">
        <f>Inventory!I533</f>
        <v/>
      </c>
      <c r="F533" s="171" t="str">
        <f>IF(A533="","",Inventory!K533)</f>
        <v/>
      </c>
    </row>
    <row r="534" ht="15.75" customHeight="1">
      <c r="A534" s="151" t="str">
        <f>Inventory!A534</f>
        <v/>
      </c>
      <c r="B534" s="153" t="str">
        <f>Inventory!B534</f>
        <v/>
      </c>
      <c r="C534" s="153" t="str">
        <f>Inventory!C534</f>
        <v/>
      </c>
      <c r="D534" s="169" t="str">
        <f>Inventory!H534</f>
        <v/>
      </c>
      <c r="E534" s="170" t="str">
        <f>Inventory!I534</f>
        <v/>
      </c>
      <c r="F534" s="171" t="str">
        <f>IF(A534="","",Inventory!K534)</f>
        <v/>
      </c>
    </row>
    <row r="535" ht="15.75" customHeight="1">
      <c r="A535" s="151" t="str">
        <f>Inventory!A535</f>
        <v/>
      </c>
      <c r="B535" s="153" t="str">
        <f>Inventory!B535</f>
        <v/>
      </c>
      <c r="C535" s="153" t="str">
        <f>Inventory!C535</f>
        <v/>
      </c>
      <c r="D535" s="169" t="str">
        <f>Inventory!H535</f>
        <v/>
      </c>
      <c r="E535" s="170" t="str">
        <f>Inventory!I535</f>
        <v/>
      </c>
      <c r="F535" s="171" t="str">
        <f>IF(A535="","",Inventory!K535)</f>
        <v/>
      </c>
    </row>
    <row r="536" ht="15.75" customHeight="1">
      <c r="A536" s="151" t="str">
        <f>Inventory!A536</f>
        <v/>
      </c>
      <c r="B536" s="153" t="str">
        <f>Inventory!B536</f>
        <v/>
      </c>
      <c r="C536" s="153" t="str">
        <f>Inventory!C536</f>
        <v/>
      </c>
      <c r="D536" s="169" t="str">
        <f>Inventory!H536</f>
        <v/>
      </c>
      <c r="E536" s="170" t="str">
        <f>Inventory!I536</f>
        <v/>
      </c>
      <c r="F536" s="171" t="str">
        <f>IF(A536="","",Inventory!K536)</f>
        <v/>
      </c>
    </row>
    <row r="537" ht="15.75" customHeight="1">
      <c r="A537" s="151" t="str">
        <f>Inventory!A537</f>
        <v/>
      </c>
      <c r="B537" s="153" t="str">
        <f>Inventory!B537</f>
        <v/>
      </c>
      <c r="C537" s="153" t="str">
        <f>Inventory!C537</f>
        <v/>
      </c>
      <c r="D537" s="169" t="str">
        <f>Inventory!H537</f>
        <v/>
      </c>
      <c r="E537" s="170" t="str">
        <f>Inventory!I537</f>
        <v/>
      </c>
      <c r="F537" s="171" t="str">
        <f>IF(A537="","",Inventory!K537)</f>
        <v/>
      </c>
    </row>
    <row r="538" ht="15.75" customHeight="1">
      <c r="A538" s="151" t="str">
        <f>Inventory!A538</f>
        <v/>
      </c>
      <c r="B538" s="153" t="str">
        <f>Inventory!B538</f>
        <v/>
      </c>
      <c r="C538" s="153" t="str">
        <f>Inventory!C538</f>
        <v/>
      </c>
      <c r="D538" s="169" t="str">
        <f>Inventory!H538</f>
        <v/>
      </c>
      <c r="E538" s="170" t="str">
        <f>Inventory!I538</f>
        <v/>
      </c>
      <c r="F538" s="171" t="str">
        <f>IF(A538="","",Inventory!K538)</f>
        <v/>
      </c>
    </row>
    <row r="539" ht="15.75" customHeight="1">
      <c r="A539" s="151" t="str">
        <f>Inventory!A539</f>
        <v/>
      </c>
      <c r="B539" s="153" t="str">
        <f>Inventory!B539</f>
        <v/>
      </c>
      <c r="C539" s="153" t="str">
        <f>Inventory!C539</f>
        <v/>
      </c>
      <c r="D539" s="169" t="str">
        <f>Inventory!H539</f>
        <v/>
      </c>
      <c r="E539" s="170" t="str">
        <f>Inventory!I539</f>
        <v/>
      </c>
      <c r="F539" s="171" t="str">
        <f>IF(A539="","",Inventory!K539)</f>
        <v/>
      </c>
    </row>
    <row r="540" ht="15.75" customHeight="1">
      <c r="A540" s="151" t="str">
        <f>Inventory!A540</f>
        <v/>
      </c>
      <c r="B540" s="153" t="str">
        <f>Inventory!B540</f>
        <v/>
      </c>
      <c r="C540" s="153" t="str">
        <f>Inventory!C540</f>
        <v/>
      </c>
      <c r="D540" s="169" t="str">
        <f>Inventory!H540</f>
        <v/>
      </c>
      <c r="E540" s="170" t="str">
        <f>Inventory!I540</f>
        <v/>
      </c>
      <c r="F540" s="171" t="str">
        <f>IF(A540="","",Inventory!K540)</f>
        <v/>
      </c>
    </row>
    <row r="541" ht="15.75" customHeight="1">
      <c r="A541" s="151" t="str">
        <f>Inventory!A541</f>
        <v/>
      </c>
      <c r="B541" s="153" t="str">
        <f>Inventory!B541</f>
        <v/>
      </c>
      <c r="C541" s="153" t="str">
        <f>Inventory!C541</f>
        <v/>
      </c>
      <c r="D541" s="169" t="str">
        <f>Inventory!H541</f>
        <v/>
      </c>
      <c r="E541" s="170" t="str">
        <f>Inventory!I541</f>
        <v/>
      </c>
      <c r="F541" s="171" t="str">
        <f>IF(A541="","",Inventory!K541)</f>
        <v/>
      </c>
    </row>
    <row r="542" ht="15.75" customHeight="1">
      <c r="A542" s="151" t="str">
        <f>Inventory!A542</f>
        <v/>
      </c>
      <c r="B542" s="153" t="str">
        <f>Inventory!B542</f>
        <v/>
      </c>
      <c r="C542" s="153" t="str">
        <f>Inventory!C542</f>
        <v/>
      </c>
      <c r="D542" s="169" t="str">
        <f>Inventory!H542</f>
        <v/>
      </c>
      <c r="E542" s="170" t="str">
        <f>Inventory!I542</f>
        <v/>
      </c>
      <c r="F542" s="171" t="str">
        <f>IF(A542="","",Inventory!K542)</f>
        <v/>
      </c>
    </row>
    <row r="543" ht="15.75" customHeight="1">
      <c r="A543" s="151" t="str">
        <f>Inventory!A543</f>
        <v/>
      </c>
      <c r="B543" s="153" t="str">
        <f>Inventory!B543</f>
        <v/>
      </c>
      <c r="C543" s="153" t="str">
        <f>Inventory!C543</f>
        <v/>
      </c>
      <c r="D543" s="169" t="str">
        <f>Inventory!H543</f>
        <v/>
      </c>
      <c r="E543" s="170" t="str">
        <f>Inventory!I543</f>
        <v/>
      </c>
      <c r="F543" s="171" t="str">
        <f>IF(A543="","",Inventory!K543)</f>
        <v/>
      </c>
    </row>
    <row r="544" ht="15.75" customHeight="1">
      <c r="A544" s="151" t="str">
        <f>Inventory!A544</f>
        <v/>
      </c>
      <c r="B544" s="153" t="str">
        <f>Inventory!B544</f>
        <v/>
      </c>
      <c r="C544" s="153" t="str">
        <f>Inventory!C544</f>
        <v/>
      </c>
      <c r="D544" s="169" t="str">
        <f>Inventory!H544</f>
        <v/>
      </c>
      <c r="E544" s="170" t="str">
        <f>Inventory!I544</f>
        <v/>
      </c>
      <c r="F544" s="171" t="str">
        <f>IF(A544="","",Inventory!K544)</f>
        <v/>
      </c>
    </row>
    <row r="545" ht="15.75" customHeight="1">
      <c r="A545" s="151" t="str">
        <f>Inventory!A545</f>
        <v/>
      </c>
      <c r="B545" s="153" t="str">
        <f>Inventory!B545</f>
        <v/>
      </c>
      <c r="C545" s="153" t="str">
        <f>Inventory!C545</f>
        <v/>
      </c>
      <c r="D545" s="169" t="str">
        <f>Inventory!H545</f>
        <v/>
      </c>
      <c r="E545" s="170" t="str">
        <f>Inventory!I545</f>
        <v/>
      </c>
      <c r="F545" s="171" t="str">
        <f>IF(A545="","",Inventory!K545)</f>
        <v/>
      </c>
    </row>
    <row r="546" ht="15.75" customHeight="1">
      <c r="A546" s="151" t="str">
        <f>Inventory!A546</f>
        <v/>
      </c>
      <c r="B546" s="153" t="str">
        <f>Inventory!B546</f>
        <v/>
      </c>
      <c r="C546" s="153" t="str">
        <f>Inventory!C546</f>
        <v/>
      </c>
      <c r="D546" s="169" t="str">
        <f>Inventory!H546</f>
        <v/>
      </c>
      <c r="E546" s="170" t="str">
        <f>Inventory!I546</f>
        <v/>
      </c>
      <c r="F546" s="171" t="str">
        <f>IF(A546="","",Inventory!K546)</f>
        <v/>
      </c>
    </row>
    <row r="547" ht="15.75" customHeight="1">
      <c r="A547" s="151" t="str">
        <f>Inventory!A547</f>
        <v/>
      </c>
      <c r="B547" s="153" t="str">
        <f>Inventory!B547</f>
        <v/>
      </c>
      <c r="C547" s="153" t="str">
        <f>Inventory!C547</f>
        <v/>
      </c>
      <c r="D547" s="169" t="str">
        <f>Inventory!H547</f>
        <v/>
      </c>
      <c r="E547" s="170" t="str">
        <f>Inventory!I547</f>
        <v/>
      </c>
      <c r="F547" s="171" t="str">
        <f>IF(A547="","",Inventory!K547)</f>
        <v/>
      </c>
    </row>
    <row r="548" ht="15.75" customHeight="1">
      <c r="A548" s="151" t="str">
        <f>Inventory!A548</f>
        <v/>
      </c>
      <c r="B548" s="153" t="str">
        <f>Inventory!B548</f>
        <v/>
      </c>
      <c r="C548" s="153" t="str">
        <f>Inventory!C548</f>
        <v/>
      </c>
      <c r="D548" s="169" t="str">
        <f>Inventory!H548</f>
        <v/>
      </c>
      <c r="E548" s="170" t="str">
        <f>Inventory!I548</f>
        <v/>
      </c>
      <c r="F548" s="171" t="str">
        <f>IF(A548="","",Inventory!K548)</f>
        <v/>
      </c>
    </row>
    <row r="549" ht="15.75" customHeight="1">
      <c r="A549" s="151" t="str">
        <f>Inventory!A549</f>
        <v/>
      </c>
      <c r="B549" s="153" t="str">
        <f>Inventory!B549</f>
        <v/>
      </c>
      <c r="C549" s="153" t="str">
        <f>Inventory!C549</f>
        <v/>
      </c>
      <c r="D549" s="169" t="str">
        <f>Inventory!H549</f>
        <v/>
      </c>
      <c r="E549" s="170" t="str">
        <f>Inventory!I549</f>
        <v/>
      </c>
      <c r="F549" s="171" t="str">
        <f>IF(A549="","",Inventory!K549)</f>
        <v/>
      </c>
    </row>
    <row r="550" ht="15.75" customHeight="1">
      <c r="A550" s="151" t="str">
        <f>Inventory!A550</f>
        <v/>
      </c>
      <c r="B550" s="153" t="str">
        <f>Inventory!B550</f>
        <v/>
      </c>
      <c r="C550" s="153" t="str">
        <f>Inventory!C550</f>
        <v/>
      </c>
      <c r="D550" s="169" t="str">
        <f>Inventory!H550</f>
        <v/>
      </c>
      <c r="E550" s="170" t="str">
        <f>Inventory!I550</f>
        <v/>
      </c>
      <c r="F550" s="171" t="str">
        <f>IF(A550="","",Inventory!K550)</f>
        <v/>
      </c>
    </row>
    <row r="551" ht="15.75" customHeight="1">
      <c r="A551" s="151" t="str">
        <f>Inventory!A551</f>
        <v/>
      </c>
      <c r="B551" s="153" t="str">
        <f>Inventory!B551</f>
        <v/>
      </c>
      <c r="C551" s="153" t="str">
        <f>Inventory!C551</f>
        <v/>
      </c>
      <c r="D551" s="169" t="str">
        <f>Inventory!H551</f>
        <v/>
      </c>
      <c r="E551" s="170" t="str">
        <f>Inventory!I551</f>
        <v/>
      </c>
      <c r="F551" s="171" t="str">
        <f>IF(A551="","",Inventory!K551)</f>
        <v/>
      </c>
    </row>
    <row r="552" ht="15.75" customHeight="1">
      <c r="A552" s="151" t="str">
        <f>Inventory!A552</f>
        <v/>
      </c>
      <c r="B552" s="153" t="str">
        <f>Inventory!B552</f>
        <v/>
      </c>
      <c r="C552" s="153" t="str">
        <f>Inventory!C552</f>
        <v/>
      </c>
      <c r="D552" s="169" t="str">
        <f>Inventory!H552</f>
        <v/>
      </c>
      <c r="E552" s="170" t="str">
        <f>Inventory!I552</f>
        <v/>
      </c>
      <c r="F552" s="171" t="str">
        <f>IF(A552="","",Inventory!K552)</f>
        <v/>
      </c>
    </row>
    <row r="553" ht="15.75" customHeight="1">
      <c r="A553" s="151" t="str">
        <f>Inventory!A553</f>
        <v/>
      </c>
      <c r="B553" s="153" t="str">
        <f>Inventory!B553</f>
        <v/>
      </c>
      <c r="C553" s="153" t="str">
        <f>Inventory!C553</f>
        <v/>
      </c>
      <c r="D553" s="169" t="str">
        <f>Inventory!H553</f>
        <v/>
      </c>
      <c r="E553" s="170" t="str">
        <f>Inventory!I553</f>
        <v/>
      </c>
      <c r="F553" s="171" t="str">
        <f>IF(A553="","",Inventory!K553)</f>
        <v/>
      </c>
    </row>
    <row r="554" ht="15.75" customHeight="1">
      <c r="A554" s="151" t="str">
        <f>Inventory!A554</f>
        <v/>
      </c>
      <c r="B554" s="153" t="str">
        <f>Inventory!B554</f>
        <v/>
      </c>
      <c r="C554" s="153" t="str">
        <f>Inventory!C554</f>
        <v/>
      </c>
      <c r="D554" s="169" t="str">
        <f>Inventory!H554</f>
        <v/>
      </c>
      <c r="E554" s="170" t="str">
        <f>Inventory!I554</f>
        <v/>
      </c>
      <c r="F554" s="171" t="str">
        <f>IF(A554="","",Inventory!K554)</f>
        <v/>
      </c>
    </row>
    <row r="555" ht="15.75" customHeight="1">
      <c r="A555" s="151" t="str">
        <f>Inventory!A555</f>
        <v/>
      </c>
      <c r="B555" s="153" t="str">
        <f>Inventory!B555</f>
        <v/>
      </c>
      <c r="C555" s="153" t="str">
        <f>Inventory!C555</f>
        <v/>
      </c>
      <c r="D555" s="169" t="str">
        <f>Inventory!H555</f>
        <v/>
      </c>
      <c r="E555" s="170" t="str">
        <f>Inventory!I555</f>
        <v/>
      </c>
      <c r="F555" s="171" t="str">
        <f>IF(A555="","",Inventory!K555)</f>
        <v/>
      </c>
    </row>
    <row r="556" ht="15.75" customHeight="1">
      <c r="A556" s="151" t="str">
        <f>Inventory!A556</f>
        <v/>
      </c>
      <c r="B556" s="153" t="str">
        <f>Inventory!B556</f>
        <v/>
      </c>
      <c r="C556" s="153" t="str">
        <f>Inventory!C556</f>
        <v/>
      </c>
      <c r="D556" s="169" t="str">
        <f>Inventory!H556</f>
        <v/>
      </c>
      <c r="E556" s="170" t="str">
        <f>Inventory!I556</f>
        <v/>
      </c>
      <c r="F556" s="171" t="str">
        <f>IF(A556="","",Inventory!K556)</f>
        <v/>
      </c>
    </row>
    <row r="557" ht="15.75" customHeight="1">
      <c r="A557" s="151" t="str">
        <f>Inventory!A557</f>
        <v/>
      </c>
      <c r="B557" s="153" t="str">
        <f>Inventory!B557</f>
        <v/>
      </c>
      <c r="C557" s="153" t="str">
        <f>Inventory!C557</f>
        <v/>
      </c>
      <c r="D557" s="169" t="str">
        <f>Inventory!H557</f>
        <v/>
      </c>
      <c r="E557" s="170" t="str">
        <f>Inventory!I557</f>
        <v/>
      </c>
      <c r="F557" s="171" t="str">
        <f>IF(A557="","",Inventory!K557)</f>
        <v/>
      </c>
    </row>
    <row r="558" ht="15.75" customHeight="1">
      <c r="A558" s="151" t="str">
        <f>Inventory!A558</f>
        <v/>
      </c>
      <c r="B558" s="153" t="str">
        <f>Inventory!B558</f>
        <v/>
      </c>
      <c r="C558" s="153" t="str">
        <f>Inventory!C558</f>
        <v/>
      </c>
      <c r="D558" s="169" t="str">
        <f>Inventory!H558</f>
        <v/>
      </c>
      <c r="E558" s="170" t="str">
        <f>Inventory!I558</f>
        <v/>
      </c>
      <c r="F558" s="171" t="str">
        <f>IF(A558="","",Inventory!K558)</f>
        <v/>
      </c>
    </row>
    <row r="559" ht="15.75" customHeight="1">
      <c r="A559" s="151" t="str">
        <f>Inventory!A559</f>
        <v/>
      </c>
      <c r="B559" s="153" t="str">
        <f>Inventory!B559</f>
        <v/>
      </c>
      <c r="C559" s="153" t="str">
        <f>Inventory!C559</f>
        <v/>
      </c>
      <c r="D559" s="169" t="str">
        <f>Inventory!H559</f>
        <v/>
      </c>
      <c r="E559" s="170" t="str">
        <f>Inventory!I559</f>
        <v/>
      </c>
      <c r="F559" s="171" t="str">
        <f>IF(A559="","",Inventory!K559)</f>
        <v/>
      </c>
    </row>
    <row r="560" ht="15.75" customHeight="1">
      <c r="A560" s="151" t="str">
        <f>Inventory!A560</f>
        <v/>
      </c>
      <c r="B560" s="153" t="str">
        <f>Inventory!B560</f>
        <v/>
      </c>
      <c r="C560" s="153" t="str">
        <f>Inventory!C560</f>
        <v/>
      </c>
      <c r="D560" s="169" t="str">
        <f>Inventory!H560</f>
        <v/>
      </c>
      <c r="E560" s="170" t="str">
        <f>Inventory!I560</f>
        <v/>
      </c>
      <c r="F560" s="171" t="str">
        <f>IF(A560="","",Inventory!K560)</f>
        <v/>
      </c>
    </row>
    <row r="561" ht="15.75" customHeight="1">
      <c r="A561" s="151" t="str">
        <f>Inventory!A561</f>
        <v/>
      </c>
      <c r="B561" s="153" t="str">
        <f>Inventory!B561</f>
        <v/>
      </c>
      <c r="C561" s="153" t="str">
        <f>Inventory!C561</f>
        <v/>
      </c>
      <c r="D561" s="169" t="str">
        <f>Inventory!H561</f>
        <v/>
      </c>
      <c r="E561" s="170" t="str">
        <f>Inventory!I561</f>
        <v/>
      </c>
      <c r="F561" s="171" t="str">
        <f>IF(A561="","",Inventory!K561)</f>
        <v/>
      </c>
    </row>
    <row r="562" ht="15.75" customHeight="1">
      <c r="A562" s="151" t="str">
        <f>Inventory!A562</f>
        <v/>
      </c>
      <c r="B562" s="153" t="str">
        <f>Inventory!B562</f>
        <v/>
      </c>
      <c r="C562" s="153" t="str">
        <f>Inventory!C562</f>
        <v/>
      </c>
      <c r="D562" s="169" t="str">
        <f>Inventory!H562</f>
        <v/>
      </c>
      <c r="E562" s="170" t="str">
        <f>Inventory!I562</f>
        <v/>
      </c>
      <c r="F562" s="171" t="str">
        <f>IF(A562="","",Inventory!K562)</f>
        <v/>
      </c>
    </row>
    <row r="563" ht="15.75" customHeight="1">
      <c r="A563" s="151" t="str">
        <f>Inventory!A563</f>
        <v/>
      </c>
      <c r="B563" s="153" t="str">
        <f>Inventory!B563</f>
        <v/>
      </c>
      <c r="C563" s="153" t="str">
        <f>Inventory!C563</f>
        <v/>
      </c>
      <c r="D563" s="169" t="str">
        <f>Inventory!H563</f>
        <v/>
      </c>
      <c r="E563" s="170" t="str">
        <f>Inventory!I563</f>
        <v/>
      </c>
      <c r="F563" s="171" t="str">
        <f>IF(A563="","",Inventory!K563)</f>
        <v/>
      </c>
    </row>
    <row r="564" ht="15.75" customHeight="1">
      <c r="A564" s="151" t="str">
        <f>Inventory!A564</f>
        <v/>
      </c>
      <c r="B564" s="153" t="str">
        <f>Inventory!B564</f>
        <v/>
      </c>
      <c r="C564" s="153" t="str">
        <f>Inventory!C564</f>
        <v/>
      </c>
      <c r="D564" s="169" t="str">
        <f>Inventory!H564</f>
        <v/>
      </c>
      <c r="E564" s="170" t="str">
        <f>Inventory!I564</f>
        <v/>
      </c>
      <c r="F564" s="171" t="str">
        <f>IF(A564="","",Inventory!K564)</f>
        <v/>
      </c>
    </row>
    <row r="565" ht="15.75" customHeight="1">
      <c r="A565" s="151" t="str">
        <f>Inventory!A565</f>
        <v/>
      </c>
      <c r="B565" s="153" t="str">
        <f>Inventory!B565</f>
        <v/>
      </c>
      <c r="C565" s="153" t="str">
        <f>Inventory!C565</f>
        <v/>
      </c>
      <c r="D565" s="169" t="str">
        <f>Inventory!H565</f>
        <v/>
      </c>
      <c r="E565" s="170" t="str">
        <f>Inventory!I565</f>
        <v/>
      </c>
      <c r="F565" s="171" t="str">
        <f>IF(A565="","",Inventory!K565)</f>
        <v/>
      </c>
    </row>
    <row r="566" ht="15.75" customHeight="1">
      <c r="A566" s="151" t="str">
        <f>Inventory!A566</f>
        <v/>
      </c>
      <c r="B566" s="153" t="str">
        <f>Inventory!B566</f>
        <v/>
      </c>
      <c r="C566" s="153" t="str">
        <f>Inventory!C566</f>
        <v/>
      </c>
      <c r="D566" s="169" t="str">
        <f>Inventory!H566</f>
        <v/>
      </c>
      <c r="E566" s="170" t="str">
        <f>Inventory!I566</f>
        <v/>
      </c>
      <c r="F566" s="171" t="str">
        <f>IF(A566="","",Inventory!K566)</f>
        <v/>
      </c>
    </row>
    <row r="567" ht="15.75" customHeight="1">
      <c r="A567" s="151" t="str">
        <f>Inventory!A567</f>
        <v/>
      </c>
      <c r="B567" s="153" t="str">
        <f>Inventory!B567</f>
        <v/>
      </c>
      <c r="C567" s="153" t="str">
        <f>Inventory!C567</f>
        <v/>
      </c>
      <c r="D567" s="169" t="str">
        <f>Inventory!H567</f>
        <v/>
      </c>
      <c r="E567" s="170" t="str">
        <f>Inventory!I567</f>
        <v/>
      </c>
      <c r="F567" s="171" t="str">
        <f>IF(A567="","",Inventory!K567)</f>
        <v/>
      </c>
    </row>
    <row r="568" ht="15.75" customHeight="1">
      <c r="A568" s="151" t="str">
        <f>Inventory!A568</f>
        <v/>
      </c>
      <c r="B568" s="153" t="str">
        <f>Inventory!B568</f>
        <v/>
      </c>
      <c r="C568" s="153" t="str">
        <f>Inventory!C568</f>
        <v/>
      </c>
      <c r="D568" s="169" t="str">
        <f>Inventory!H568</f>
        <v/>
      </c>
      <c r="E568" s="170" t="str">
        <f>Inventory!I568</f>
        <v/>
      </c>
      <c r="F568" s="171" t="str">
        <f>IF(A568="","",Inventory!K568)</f>
        <v/>
      </c>
    </row>
    <row r="569" ht="15.75" customHeight="1">
      <c r="A569" s="151" t="str">
        <f>Inventory!A569</f>
        <v/>
      </c>
      <c r="B569" s="153" t="str">
        <f>Inventory!B569</f>
        <v/>
      </c>
      <c r="C569" s="153" t="str">
        <f>Inventory!C569</f>
        <v/>
      </c>
      <c r="D569" s="169" t="str">
        <f>Inventory!H569</f>
        <v/>
      </c>
      <c r="E569" s="170" t="str">
        <f>Inventory!I569</f>
        <v/>
      </c>
      <c r="F569" s="171" t="str">
        <f>IF(A569="","",Inventory!K569)</f>
        <v/>
      </c>
    </row>
    <row r="570" ht="15.75" customHeight="1">
      <c r="A570" s="151" t="str">
        <f>Inventory!A570</f>
        <v/>
      </c>
      <c r="B570" s="153" t="str">
        <f>Inventory!B570</f>
        <v/>
      </c>
      <c r="C570" s="153" t="str">
        <f>Inventory!C570</f>
        <v/>
      </c>
      <c r="D570" s="169" t="str">
        <f>Inventory!H570</f>
        <v/>
      </c>
      <c r="E570" s="170" t="str">
        <f>Inventory!I570</f>
        <v/>
      </c>
      <c r="F570" s="171" t="str">
        <f>IF(A570="","",Inventory!K570)</f>
        <v/>
      </c>
    </row>
    <row r="571" ht="15.75" customHeight="1">
      <c r="A571" s="151" t="str">
        <f>Inventory!A571</f>
        <v/>
      </c>
      <c r="B571" s="153" t="str">
        <f>Inventory!B571</f>
        <v/>
      </c>
      <c r="C571" s="153" t="str">
        <f>Inventory!C571</f>
        <v/>
      </c>
      <c r="D571" s="169" t="str">
        <f>Inventory!H571</f>
        <v/>
      </c>
      <c r="E571" s="170" t="str">
        <f>Inventory!I571</f>
        <v/>
      </c>
      <c r="F571" s="171" t="str">
        <f>IF(A571="","",Inventory!K571)</f>
        <v/>
      </c>
    </row>
    <row r="572" ht="15.75" customHeight="1">
      <c r="A572" s="151" t="str">
        <f>Inventory!A572</f>
        <v/>
      </c>
      <c r="B572" s="153" t="str">
        <f>Inventory!B572</f>
        <v/>
      </c>
      <c r="C572" s="153" t="str">
        <f>Inventory!C572</f>
        <v/>
      </c>
      <c r="D572" s="169" t="str">
        <f>Inventory!H572</f>
        <v/>
      </c>
      <c r="E572" s="170" t="str">
        <f>Inventory!I572</f>
        <v/>
      </c>
      <c r="F572" s="171" t="str">
        <f>IF(A572="","",Inventory!K572)</f>
        <v/>
      </c>
    </row>
    <row r="573" ht="15.75" customHeight="1">
      <c r="A573" s="151" t="str">
        <f>Inventory!A573</f>
        <v/>
      </c>
      <c r="B573" s="153" t="str">
        <f>Inventory!B573</f>
        <v/>
      </c>
      <c r="C573" s="153" t="str">
        <f>Inventory!C573</f>
        <v/>
      </c>
      <c r="D573" s="169" t="str">
        <f>Inventory!H573</f>
        <v/>
      </c>
      <c r="E573" s="170" t="str">
        <f>Inventory!I573</f>
        <v/>
      </c>
      <c r="F573" s="171" t="str">
        <f>IF(A573="","",Inventory!K573)</f>
        <v/>
      </c>
    </row>
    <row r="574" ht="15.75" customHeight="1">
      <c r="A574" s="151" t="str">
        <f>Inventory!A574</f>
        <v/>
      </c>
      <c r="B574" s="153" t="str">
        <f>Inventory!B574</f>
        <v/>
      </c>
      <c r="C574" s="153" t="str">
        <f>Inventory!C574</f>
        <v/>
      </c>
      <c r="D574" s="169" t="str">
        <f>Inventory!H574</f>
        <v/>
      </c>
      <c r="E574" s="170" t="str">
        <f>Inventory!I574</f>
        <v/>
      </c>
      <c r="F574" s="171" t="str">
        <f>IF(A574="","",Inventory!K574)</f>
        <v/>
      </c>
    </row>
    <row r="575" ht="15.75" customHeight="1">
      <c r="A575" s="151" t="str">
        <f>Inventory!A575</f>
        <v/>
      </c>
      <c r="B575" s="153" t="str">
        <f>Inventory!B575</f>
        <v/>
      </c>
      <c r="C575" s="153" t="str">
        <f>Inventory!C575</f>
        <v/>
      </c>
      <c r="D575" s="169" t="str">
        <f>Inventory!H575</f>
        <v/>
      </c>
      <c r="E575" s="170" t="str">
        <f>Inventory!I575</f>
        <v/>
      </c>
      <c r="F575" s="171" t="str">
        <f>IF(A575="","",Inventory!K575)</f>
        <v/>
      </c>
    </row>
    <row r="576" ht="15.75" customHeight="1">
      <c r="A576" s="151" t="str">
        <f>Inventory!A576</f>
        <v/>
      </c>
      <c r="B576" s="153" t="str">
        <f>Inventory!B576</f>
        <v/>
      </c>
      <c r="C576" s="153" t="str">
        <f>Inventory!C576</f>
        <v/>
      </c>
      <c r="D576" s="169" t="str">
        <f>Inventory!H576</f>
        <v/>
      </c>
      <c r="E576" s="170" t="str">
        <f>Inventory!I576</f>
        <v/>
      </c>
      <c r="F576" s="171" t="str">
        <f>IF(A576="","",Inventory!K576)</f>
        <v/>
      </c>
    </row>
    <row r="577" ht="15.75" customHeight="1">
      <c r="A577" s="151" t="str">
        <f>Inventory!A577</f>
        <v/>
      </c>
      <c r="B577" s="153" t="str">
        <f>Inventory!B577</f>
        <v/>
      </c>
      <c r="C577" s="153" t="str">
        <f>Inventory!C577</f>
        <v/>
      </c>
      <c r="D577" s="169" t="str">
        <f>Inventory!H577</f>
        <v/>
      </c>
      <c r="E577" s="170" t="str">
        <f>Inventory!I577</f>
        <v/>
      </c>
      <c r="F577" s="171" t="str">
        <f>IF(A577="","",Inventory!K577)</f>
        <v/>
      </c>
    </row>
    <row r="578" ht="15.75" customHeight="1">
      <c r="A578" s="151" t="str">
        <f>Inventory!A578</f>
        <v/>
      </c>
      <c r="B578" s="153" t="str">
        <f>Inventory!B578</f>
        <v/>
      </c>
      <c r="C578" s="153" t="str">
        <f>Inventory!C578</f>
        <v/>
      </c>
      <c r="D578" s="169" t="str">
        <f>Inventory!H578</f>
        <v/>
      </c>
      <c r="E578" s="170" t="str">
        <f>Inventory!I578</f>
        <v/>
      </c>
      <c r="F578" s="171" t="str">
        <f>IF(A578="","",Inventory!K578)</f>
        <v/>
      </c>
    </row>
    <row r="579" ht="15.75" customHeight="1">
      <c r="A579" s="151" t="str">
        <f>Inventory!A579</f>
        <v/>
      </c>
      <c r="B579" s="153" t="str">
        <f>Inventory!B579</f>
        <v/>
      </c>
      <c r="C579" s="153" t="str">
        <f>Inventory!C579</f>
        <v/>
      </c>
      <c r="D579" s="169" t="str">
        <f>Inventory!H579</f>
        <v/>
      </c>
      <c r="E579" s="170" t="str">
        <f>Inventory!I579</f>
        <v/>
      </c>
      <c r="F579" s="171" t="str">
        <f>IF(A579="","",Inventory!K579)</f>
        <v/>
      </c>
    </row>
    <row r="580" ht="15.75" customHeight="1">
      <c r="A580" s="151" t="str">
        <f>Inventory!A580</f>
        <v/>
      </c>
      <c r="B580" s="153" t="str">
        <f>Inventory!B580</f>
        <v/>
      </c>
      <c r="C580" s="153" t="str">
        <f>Inventory!C580</f>
        <v/>
      </c>
      <c r="D580" s="169" t="str">
        <f>Inventory!H580</f>
        <v/>
      </c>
      <c r="E580" s="170" t="str">
        <f>Inventory!I580</f>
        <v/>
      </c>
      <c r="F580" s="171" t="str">
        <f>IF(A580="","",Inventory!K580)</f>
        <v/>
      </c>
    </row>
    <row r="581" ht="15.75" customHeight="1">
      <c r="A581" s="151" t="str">
        <f>Inventory!A581</f>
        <v/>
      </c>
      <c r="B581" s="153" t="str">
        <f>Inventory!B581</f>
        <v/>
      </c>
      <c r="C581" s="153" t="str">
        <f>Inventory!C581</f>
        <v/>
      </c>
      <c r="D581" s="169" t="str">
        <f>Inventory!H581</f>
        <v/>
      </c>
      <c r="E581" s="170" t="str">
        <f>Inventory!I581</f>
        <v/>
      </c>
      <c r="F581" s="171" t="str">
        <f>IF(A581="","",Inventory!K581)</f>
        <v/>
      </c>
    </row>
    <row r="582" ht="15.75" customHeight="1">
      <c r="A582" s="151" t="str">
        <f>Inventory!A582</f>
        <v/>
      </c>
      <c r="B582" s="153" t="str">
        <f>Inventory!B582</f>
        <v/>
      </c>
      <c r="C582" s="153" t="str">
        <f>Inventory!C582</f>
        <v/>
      </c>
      <c r="D582" s="169" t="str">
        <f>Inventory!H582</f>
        <v/>
      </c>
      <c r="E582" s="170" t="str">
        <f>Inventory!I582</f>
        <v/>
      </c>
      <c r="F582" s="171" t="str">
        <f>IF(A582="","",Inventory!K582)</f>
        <v/>
      </c>
    </row>
    <row r="583" ht="15.75" customHeight="1">
      <c r="A583" s="151" t="str">
        <f>Inventory!A583</f>
        <v/>
      </c>
      <c r="B583" s="153" t="str">
        <f>Inventory!B583</f>
        <v/>
      </c>
      <c r="C583" s="153" t="str">
        <f>Inventory!C583</f>
        <v/>
      </c>
      <c r="D583" s="169" t="str">
        <f>Inventory!H583</f>
        <v/>
      </c>
      <c r="E583" s="170" t="str">
        <f>Inventory!I583</f>
        <v/>
      </c>
      <c r="F583" s="171" t="str">
        <f>IF(A583="","",Inventory!K583)</f>
        <v/>
      </c>
    </row>
    <row r="584" ht="15.75" customHeight="1">
      <c r="A584" s="151" t="str">
        <f>Inventory!A584</f>
        <v/>
      </c>
      <c r="B584" s="153" t="str">
        <f>Inventory!B584</f>
        <v/>
      </c>
      <c r="C584" s="153" t="str">
        <f>Inventory!C584</f>
        <v/>
      </c>
      <c r="D584" s="169" t="str">
        <f>Inventory!H584</f>
        <v/>
      </c>
      <c r="E584" s="170" t="str">
        <f>Inventory!I584</f>
        <v/>
      </c>
      <c r="F584" s="171" t="str">
        <f>IF(A584="","",Inventory!K584)</f>
        <v/>
      </c>
    </row>
    <row r="585" ht="15.75" customHeight="1">
      <c r="A585" s="151" t="str">
        <f>Inventory!A585</f>
        <v/>
      </c>
      <c r="B585" s="153" t="str">
        <f>Inventory!B585</f>
        <v/>
      </c>
      <c r="C585" s="153" t="str">
        <f>Inventory!C585</f>
        <v/>
      </c>
      <c r="D585" s="169" t="str">
        <f>Inventory!H585</f>
        <v/>
      </c>
      <c r="E585" s="170" t="str">
        <f>Inventory!I585</f>
        <v/>
      </c>
      <c r="F585" s="171" t="str">
        <f>IF(A585="","",Inventory!K585)</f>
        <v/>
      </c>
    </row>
    <row r="586" ht="15.75" customHeight="1">
      <c r="A586" s="151" t="str">
        <f>Inventory!A586</f>
        <v/>
      </c>
      <c r="B586" s="153" t="str">
        <f>Inventory!B586</f>
        <v/>
      </c>
      <c r="C586" s="153" t="str">
        <f>Inventory!C586</f>
        <v/>
      </c>
      <c r="D586" s="169" t="str">
        <f>Inventory!H586</f>
        <v/>
      </c>
      <c r="E586" s="170" t="str">
        <f>Inventory!I586</f>
        <v/>
      </c>
      <c r="F586" s="171" t="str">
        <f>IF(A586="","",Inventory!K586)</f>
        <v/>
      </c>
    </row>
    <row r="587" ht="15.75" customHeight="1">
      <c r="A587" s="151" t="str">
        <f>Inventory!A587</f>
        <v/>
      </c>
      <c r="B587" s="153" t="str">
        <f>Inventory!B587</f>
        <v/>
      </c>
      <c r="C587" s="153" t="str">
        <f>Inventory!C587</f>
        <v/>
      </c>
      <c r="D587" s="169" t="str">
        <f>Inventory!H587</f>
        <v/>
      </c>
      <c r="E587" s="170" t="str">
        <f>Inventory!I587</f>
        <v/>
      </c>
      <c r="F587" s="171" t="str">
        <f>IF(A587="","",Inventory!K587)</f>
        <v/>
      </c>
    </row>
    <row r="588" ht="15.75" customHeight="1">
      <c r="A588" s="151" t="str">
        <f>Inventory!A588</f>
        <v/>
      </c>
      <c r="B588" s="153" t="str">
        <f>Inventory!B588</f>
        <v/>
      </c>
      <c r="C588" s="153" t="str">
        <f>Inventory!C588</f>
        <v/>
      </c>
      <c r="D588" s="169" t="str">
        <f>Inventory!H588</f>
        <v/>
      </c>
      <c r="E588" s="170" t="str">
        <f>Inventory!I588</f>
        <v/>
      </c>
      <c r="F588" s="171" t="str">
        <f>IF(A588="","",Inventory!K588)</f>
        <v/>
      </c>
    </row>
    <row r="589" ht="15.75" customHeight="1">
      <c r="A589" s="151" t="str">
        <f>Inventory!A589</f>
        <v/>
      </c>
      <c r="B589" s="153" t="str">
        <f>Inventory!B589</f>
        <v/>
      </c>
      <c r="C589" s="153" t="str">
        <f>Inventory!C589</f>
        <v/>
      </c>
      <c r="D589" s="169" t="str">
        <f>Inventory!H589</f>
        <v/>
      </c>
      <c r="E589" s="170" t="str">
        <f>Inventory!I589</f>
        <v/>
      </c>
      <c r="F589" s="171" t="str">
        <f>IF(A589="","",Inventory!K589)</f>
        <v/>
      </c>
    </row>
    <row r="590" ht="15.75" customHeight="1">
      <c r="A590" s="151" t="str">
        <f>Inventory!A590</f>
        <v/>
      </c>
      <c r="B590" s="153" t="str">
        <f>Inventory!B590</f>
        <v/>
      </c>
      <c r="C590" s="153" t="str">
        <f>Inventory!C590</f>
        <v/>
      </c>
      <c r="D590" s="169" t="str">
        <f>Inventory!H590</f>
        <v/>
      </c>
      <c r="E590" s="170" t="str">
        <f>Inventory!I590</f>
        <v/>
      </c>
      <c r="F590" s="171" t="str">
        <f>IF(A590="","",Inventory!K590)</f>
        <v/>
      </c>
    </row>
    <row r="591" ht="15.75" customHeight="1">
      <c r="A591" s="151" t="str">
        <f>Inventory!A591</f>
        <v/>
      </c>
      <c r="B591" s="153" t="str">
        <f>Inventory!B591</f>
        <v/>
      </c>
      <c r="C591" s="153" t="str">
        <f>Inventory!C591</f>
        <v/>
      </c>
      <c r="D591" s="169" t="str">
        <f>Inventory!H591</f>
        <v/>
      </c>
      <c r="E591" s="170" t="str">
        <f>Inventory!I591</f>
        <v/>
      </c>
      <c r="F591" s="171" t="str">
        <f>IF(A591="","",Inventory!K591)</f>
        <v/>
      </c>
    </row>
    <row r="592" ht="15.75" customHeight="1">
      <c r="A592" s="151" t="str">
        <f>Inventory!A592</f>
        <v/>
      </c>
      <c r="B592" s="153" t="str">
        <f>Inventory!B592</f>
        <v/>
      </c>
      <c r="C592" s="153" t="str">
        <f>Inventory!C592</f>
        <v/>
      </c>
      <c r="D592" s="169" t="str">
        <f>Inventory!H592</f>
        <v/>
      </c>
      <c r="E592" s="170" t="str">
        <f>Inventory!I592</f>
        <v/>
      </c>
      <c r="F592" s="171" t="str">
        <f>IF(A592="","",Inventory!K592)</f>
        <v/>
      </c>
    </row>
    <row r="593" ht="15.75" customHeight="1">
      <c r="A593" s="151" t="str">
        <f>Inventory!A593</f>
        <v/>
      </c>
      <c r="B593" s="153" t="str">
        <f>Inventory!B593</f>
        <v/>
      </c>
      <c r="C593" s="153" t="str">
        <f>Inventory!C593</f>
        <v/>
      </c>
      <c r="D593" s="169" t="str">
        <f>Inventory!H593</f>
        <v/>
      </c>
      <c r="E593" s="170" t="str">
        <f>Inventory!I593</f>
        <v/>
      </c>
      <c r="F593" s="171" t="str">
        <f>IF(A593="","",Inventory!K593)</f>
        <v/>
      </c>
    </row>
    <row r="594" ht="15.75" customHeight="1">
      <c r="A594" s="151" t="str">
        <f>Inventory!A594</f>
        <v/>
      </c>
      <c r="B594" s="153" t="str">
        <f>Inventory!B594</f>
        <v/>
      </c>
      <c r="C594" s="153" t="str">
        <f>Inventory!C594</f>
        <v/>
      </c>
      <c r="D594" s="169" t="str">
        <f>Inventory!H594</f>
        <v/>
      </c>
      <c r="E594" s="170" t="str">
        <f>Inventory!I594</f>
        <v/>
      </c>
      <c r="F594" s="171" t="str">
        <f>IF(A594="","",Inventory!K594)</f>
        <v/>
      </c>
    </row>
    <row r="595" ht="15.75" customHeight="1">
      <c r="A595" s="151" t="str">
        <f>Inventory!A595</f>
        <v/>
      </c>
      <c r="B595" s="153" t="str">
        <f>Inventory!B595</f>
        <v/>
      </c>
      <c r="C595" s="153" t="str">
        <f>Inventory!C595</f>
        <v/>
      </c>
      <c r="D595" s="169" t="str">
        <f>Inventory!H595</f>
        <v/>
      </c>
      <c r="E595" s="170" t="str">
        <f>Inventory!I595</f>
        <v/>
      </c>
      <c r="F595" s="171" t="str">
        <f>IF(A595="","",Inventory!K595)</f>
        <v/>
      </c>
    </row>
    <row r="596" ht="15.75" customHeight="1">
      <c r="A596" s="151" t="str">
        <f>Inventory!A596</f>
        <v/>
      </c>
      <c r="B596" s="153" t="str">
        <f>Inventory!B596</f>
        <v/>
      </c>
      <c r="C596" s="153" t="str">
        <f>Inventory!C596</f>
        <v/>
      </c>
      <c r="D596" s="169" t="str">
        <f>Inventory!H596</f>
        <v/>
      </c>
      <c r="E596" s="170" t="str">
        <f>Inventory!I596</f>
        <v/>
      </c>
      <c r="F596" s="171" t="str">
        <f>IF(A596="","",Inventory!K596)</f>
        <v/>
      </c>
    </row>
    <row r="597" ht="15.75" customHeight="1">
      <c r="A597" s="151" t="str">
        <f>Inventory!A597</f>
        <v/>
      </c>
      <c r="B597" s="153" t="str">
        <f>Inventory!B597</f>
        <v/>
      </c>
      <c r="C597" s="153" t="str">
        <f>Inventory!C597</f>
        <v/>
      </c>
      <c r="D597" s="169" t="str">
        <f>Inventory!H597</f>
        <v/>
      </c>
      <c r="E597" s="170" t="str">
        <f>Inventory!I597</f>
        <v/>
      </c>
      <c r="F597" s="171" t="str">
        <f>IF(A597="","",Inventory!K597)</f>
        <v/>
      </c>
    </row>
    <row r="598" ht="15.75" customHeight="1">
      <c r="A598" s="151" t="str">
        <f>Inventory!A598</f>
        <v/>
      </c>
      <c r="B598" s="153" t="str">
        <f>Inventory!B598</f>
        <v/>
      </c>
      <c r="C598" s="153" t="str">
        <f>Inventory!C598</f>
        <v/>
      </c>
      <c r="D598" s="169" t="str">
        <f>Inventory!H598</f>
        <v/>
      </c>
      <c r="E598" s="170" t="str">
        <f>Inventory!I598</f>
        <v/>
      </c>
      <c r="F598" s="171" t="str">
        <f>IF(A598="","",Inventory!K598)</f>
        <v/>
      </c>
    </row>
    <row r="599" ht="15.75" customHeight="1">
      <c r="A599" s="151" t="str">
        <f>Inventory!A599</f>
        <v/>
      </c>
      <c r="B599" s="153" t="str">
        <f>Inventory!B599</f>
        <v/>
      </c>
      <c r="C599" s="153" t="str">
        <f>Inventory!C599</f>
        <v/>
      </c>
      <c r="D599" s="169" t="str">
        <f>Inventory!H599</f>
        <v/>
      </c>
      <c r="E599" s="170" t="str">
        <f>Inventory!I599</f>
        <v/>
      </c>
      <c r="F599" s="171" t="str">
        <f>IF(A599="","",Inventory!K599)</f>
        <v/>
      </c>
    </row>
    <row r="600" ht="15.75" customHeight="1">
      <c r="A600" s="151" t="str">
        <f>Inventory!A600</f>
        <v/>
      </c>
      <c r="B600" s="153" t="str">
        <f>Inventory!B600</f>
        <v/>
      </c>
      <c r="C600" s="153" t="str">
        <f>Inventory!C600</f>
        <v/>
      </c>
      <c r="D600" s="169" t="str">
        <f>Inventory!H600</f>
        <v/>
      </c>
      <c r="E600" s="170" t="str">
        <f>Inventory!I600</f>
        <v/>
      </c>
      <c r="F600" s="171" t="str">
        <f>IF(A600="","",Inventory!K600)</f>
        <v/>
      </c>
    </row>
    <row r="601" ht="15.75" customHeight="1">
      <c r="A601" s="151" t="str">
        <f>Inventory!A601</f>
        <v/>
      </c>
      <c r="B601" s="153" t="str">
        <f>Inventory!B601</f>
        <v/>
      </c>
      <c r="C601" s="153" t="str">
        <f>Inventory!C601</f>
        <v/>
      </c>
      <c r="D601" s="169" t="str">
        <f>Inventory!H601</f>
        <v/>
      </c>
      <c r="E601" s="170" t="str">
        <f>Inventory!I601</f>
        <v/>
      </c>
      <c r="F601" s="171" t="str">
        <f>IF(A601="","",Inventory!K601)</f>
        <v/>
      </c>
    </row>
    <row r="602" ht="15.75" customHeight="1">
      <c r="A602" s="151" t="str">
        <f>Inventory!A602</f>
        <v/>
      </c>
      <c r="B602" s="153" t="str">
        <f>Inventory!B602</f>
        <v/>
      </c>
      <c r="C602" s="153" t="str">
        <f>Inventory!C602</f>
        <v/>
      </c>
      <c r="D602" s="169" t="str">
        <f>Inventory!H602</f>
        <v/>
      </c>
      <c r="E602" s="170" t="str">
        <f>Inventory!I602</f>
        <v/>
      </c>
      <c r="F602" s="171" t="str">
        <f>IF(A602="","",Inventory!K602)</f>
        <v/>
      </c>
    </row>
    <row r="603" ht="15.75" customHeight="1">
      <c r="A603" s="151" t="str">
        <f>Inventory!A603</f>
        <v/>
      </c>
      <c r="B603" s="153" t="str">
        <f>Inventory!B603</f>
        <v/>
      </c>
      <c r="C603" s="153" t="str">
        <f>Inventory!C603</f>
        <v/>
      </c>
      <c r="D603" s="169" t="str">
        <f>Inventory!H603</f>
        <v/>
      </c>
      <c r="E603" s="170" t="str">
        <f>Inventory!I603</f>
        <v/>
      </c>
      <c r="F603" s="171" t="str">
        <f>IF(A603="","",Inventory!K603)</f>
        <v/>
      </c>
    </row>
    <row r="604" ht="15.75" customHeight="1">
      <c r="A604" s="151" t="str">
        <f>Inventory!A604</f>
        <v/>
      </c>
      <c r="B604" s="153" t="str">
        <f>Inventory!B604</f>
        <v/>
      </c>
      <c r="C604" s="153" t="str">
        <f>Inventory!C604</f>
        <v/>
      </c>
      <c r="D604" s="169" t="str">
        <f>Inventory!H604</f>
        <v/>
      </c>
      <c r="E604" s="170" t="str">
        <f>Inventory!I604</f>
        <v/>
      </c>
      <c r="F604" s="171" t="str">
        <f>IF(A604="","",Inventory!K604)</f>
        <v/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5:D74">
    <cfRule type="cellIs" dxfId="7" priority="1" operator="lessThanOrEqual">
      <formula>5</formula>
    </cfRule>
  </conditionalFormatting>
  <conditionalFormatting sqref="D75:D125">
    <cfRule type="cellIs" dxfId="7" priority="2" operator="lessThanOrEqual">
      <formula>5</formula>
    </cfRule>
  </conditionalFormatting>
  <conditionalFormatting sqref="D126:D604">
    <cfRule type="cellIs" dxfId="7" priority="3" operator="lessThanOrEqual">
      <formula>5</formula>
    </cfRule>
  </conditionalFormatting>
  <printOptions/>
  <pageMargins bottom="0.75" footer="0.0" header="0.0" left="0.7" right="0.7" top="0.75"/>
  <pageSetup fitToHeight="0"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3.14"/>
    <col customWidth="1" min="2" max="2" width="12.71"/>
    <col customWidth="1" min="3" max="3" width="30.57"/>
    <col customWidth="1" min="4" max="4" width="44.29"/>
    <col customWidth="1" min="5" max="5" width="14.29"/>
    <col customWidth="1" min="6" max="6" width="11.14"/>
    <col customWidth="1" min="7" max="7" width="17.57"/>
    <col customWidth="1" min="8" max="8" width="13.29"/>
    <col customWidth="1" min="9" max="9" width="9.43"/>
    <col customWidth="1" min="10" max="10" width="18.14"/>
    <col customWidth="1" min="11" max="11" width="16.14"/>
    <col customWidth="1" min="12" max="12" width="18.71"/>
    <col customWidth="1" min="13" max="13" width="27.14"/>
  </cols>
  <sheetData>
    <row r="1" ht="14.25" customHeight="1">
      <c r="A1" s="11" t="s">
        <v>705</v>
      </c>
    </row>
    <row r="2" ht="14.25" customHeight="1">
      <c r="A2" s="2" t="s">
        <v>706</v>
      </c>
    </row>
    <row r="3" ht="14.25" customHeight="1">
      <c r="A3" s="15" t="s">
        <v>25</v>
      </c>
      <c r="B3" s="15"/>
      <c r="C3" s="15"/>
      <c r="D3" s="15"/>
      <c r="E3" s="15"/>
      <c r="F3" s="19">
        <f>SUM('Shop Ledger'!$F$5:$F$1004)</f>
        <v>458</v>
      </c>
      <c r="G3" s="15"/>
      <c r="H3" s="15"/>
      <c r="I3" s="15"/>
      <c r="J3" s="15"/>
      <c r="K3" s="47">
        <f>SUM('Shop Ledger'!$K$5:$K$1004)</f>
        <v>57213</v>
      </c>
      <c r="L3" s="15"/>
      <c r="M3" s="47">
        <f>SUM('Shop Ledger'!$M$5:$M$1004)</f>
        <v>52026.59296</v>
      </c>
    </row>
    <row r="4" ht="14.25" customHeight="1">
      <c r="A4" s="24" t="s">
        <v>36</v>
      </c>
      <c r="B4" s="24" t="s">
        <v>707</v>
      </c>
      <c r="C4" s="24" t="s">
        <v>56</v>
      </c>
      <c r="D4" s="24" t="s">
        <v>58</v>
      </c>
      <c r="E4" s="24" t="s">
        <v>42</v>
      </c>
      <c r="F4" s="24" t="s">
        <v>708</v>
      </c>
      <c r="G4" s="24" t="s">
        <v>709</v>
      </c>
      <c r="H4" s="24" t="s">
        <v>710</v>
      </c>
      <c r="I4" s="24" t="s">
        <v>711</v>
      </c>
      <c r="J4" s="24" t="s">
        <v>712</v>
      </c>
      <c r="K4" s="24" t="s">
        <v>713</v>
      </c>
      <c r="L4" s="24" t="s">
        <v>54</v>
      </c>
      <c r="M4" s="24" t="s">
        <v>714</v>
      </c>
      <c r="N4" s="24" t="s">
        <v>715</v>
      </c>
      <c r="P4" s="73" t="s">
        <v>323</v>
      </c>
    </row>
    <row r="5" ht="14.25" customHeight="1">
      <c r="A5" s="176">
        <v>46226.0</v>
      </c>
      <c r="B5" s="177" t="s">
        <v>716</v>
      </c>
      <c r="C5" s="178" t="s">
        <v>132</v>
      </c>
      <c r="D5" s="179" t="str">
        <f>IF(C5="","",IFERROR(VLOOKUP(C5,Inventory!$A:$B,2,FALSE),""))</f>
        <v>Bengal Flea &amp; Tick Shampoo</v>
      </c>
      <c r="E5" s="179" t="str">
        <f>IF(C5="","",IFERROR(VLOOKUP(C5,Inventory!$A:$C,3,FALSE),""))</f>
        <v>Cat Accessories</v>
      </c>
      <c r="F5" s="178">
        <v>1.0</v>
      </c>
      <c r="G5" s="180">
        <f>IF(C5="","",IFERROR(VLOOKUP(C5,Inventory!$A:$I,9,FALSE),0))</f>
        <v>240</v>
      </c>
      <c r="H5" s="181">
        <f t="shared" ref="H5:H1004" si="1">IF(C5="","",G5)</f>
        <v>240</v>
      </c>
      <c r="I5" s="182">
        <f t="shared" ref="I5:I1004" si="2">IF(OR(H5="",H5=0,J5=""),"",J5/H5-1)</f>
        <v>0.1666666667</v>
      </c>
      <c r="J5" s="183">
        <v>280.0</v>
      </c>
      <c r="K5" s="183">
        <f t="shared" ref="K5:K1004" si="3">IF(OR(F5="",J5=""),"",F5*J5)</f>
        <v>280</v>
      </c>
      <c r="L5" s="178"/>
      <c r="M5" s="184">
        <f t="shared" ref="M5:M1004" si="4">IF(OR(F5="",G5=""),"",F5*G5)</f>
        <v>240</v>
      </c>
      <c r="N5" s="185">
        <f t="shared" ref="N5:N1004" si="5">IF($B5="","",IF(COUNTIF($B$5:$B5,$B5)=1,MAX($N$4:N4)+1,""))</f>
        <v>1</v>
      </c>
      <c r="P5" s="73" t="str">
        <f>IF(Inventory!A5="","",Inventory!A5)</f>
        <v>AC-PNC-LR-002</v>
      </c>
    </row>
    <row r="6" ht="14.25" customHeight="1">
      <c r="A6" s="186">
        <v>46226.0</v>
      </c>
      <c r="B6" s="187" t="s">
        <v>716</v>
      </c>
      <c r="C6" s="187" t="s">
        <v>196</v>
      </c>
      <c r="D6" s="188" t="str">
        <f>IF(C6="","",IFERROR(VLOOKUP(C6,Inventory!$A:$B,2,FALSE),""))</f>
        <v>Cozie Cat Litter Lemon 5L</v>
      </c>
      <c r="E6" s="188" t="str">
        <f>IF(C6="","",IFERROR(VLOOKUP(C6,Inventory!$A:$C,3,FALSE),""))</f>
        <v>Cat Litter</v>
      </c>
      <c r="F6" s="187">
        <v>4.0</v>
      </c>
      <c r="G6" s="180">
        <f>IF(C6="","",IFERROR(VLOOKUP(C6,Inventory!$A:$I,9,FALSE),0))</f>
        <v>230</v>
      </c>
      <c r="H6" s="189">
        <f t="shared" si="1"/>
        <v>230</v>
      </c>
      <c r="I6" s="190">
        <f t="shared" si="2"/>
        <v>0.1086956522</v>
      </c>
      <c r="J6" s="191">
        <v>255.0</v>
      </c>
      <c r="K6" s="191">
        <f t="shared" si="3"/>
        <v>1020</v>
      </c>
      <c r="L6" s="187"/>
      <c r="M6" s="192">
        <f t="shared" si="4"/>
        <v>920</v>
      </c>
      <c r="N6" s="185" t="str">
        <f t="shared" si="5"/>
        <v/>
      </c>
      <c r="P6" s="73" t="str">
        <f>IF(Inventory!A6="","",Inventory!A6)</f>
        <v>AC-CTOY-004</v>
      </c>
    </row>
    <row r="7" ht="14.25" customHeight="1">
      <c r="A7" s="176">
        <v>46226.0</v>
      </c>
      <c r="B7" s="177" t="s">
        <v>716</v>
      </c>
      <c r="C7" s="177" t="s">
        <v>198</v>
      </c>
      <c r="D7" s="179" t="str">
        <f>IF(C7="","",IFERROR(VLOOKUP(C7,Inventory!$A:$B,2,FALSE),""))</f>
        <v>Cozie Cat Litter Lemon 10L</v>
      </c>
      <c r="E7" s="179" t="str">
        <f>IF(C7="","",IFERROR(VLOOKUP(C7,Inventory!$A:$C,3,FALSE),""))</f>
        <v>Cat Litter</v>
      </c>
      <c r="F7" s="177">
        <v>2.0</v>
      </c>
      <c r="G7" s="180">
        <f>IF(C7="","",IFERROR(VLOOKUP(C7,Inventory!$A:$I,9,FALSE),0))</f>
        <v>450</v>
      </c>
      <c r="H7" s="193">
        <f t="shared" si="1"/>
        <v>450</v>
      </c>
      <c r="I7" s="182">
        <f t="shared" si="2"/>
        <v>0.1111111111</v>
      </c>
      <c r="J7" s="183">
        <v>500.0</v>
      </c>
      <c r="K7" s="183">
        <f t="shared" si="3"/>
        <v>1000</v>
      </c>
      <c r="L7" s="177"/>
      <c r="M7" s="184">
        <f t="shared" si="4"/>
        <v>900</v>
      </c>
      <c r="N7" s="185" t="str">
        <f t="shared" si="5"/>
        <v/>
      </c>
      <c r="P7" s="73" t="str">
        <f>IF(Inventory!A7="","",Inventory!A7)</f>
        <v>AC-CB-001</v>
      </c>
    </row>
    <row r="8" ht="14.25" customHeight="1">
      <c r="A8" s="186">
        <v>46226.0</v>
      </c>
      <c r="B8" s="187" t="s">
        <v>716</v>
      </c>
      <c r="C8" s="187" t="s">
        <v>200</v>
      </c>
      <c r="D8" s="188" t="str">
        <f>IF(C8="","",IFERROR(VLOOKUP(C8,Inventory!$A:$B,2,FALSE),""))</f>
        <v>Cozie Cat Litter Lavender 5L</v>
      </c>
      <c r="E8" s="188" t="str">
        <f>IF(C8="","",IFERROR(VLOOKUP(C8,Inventory!$A:$C,3,FALSE),""))</f>
        <v>Cat Litter</v>
      </c>
      <c r="F8" s="187">
        <v>4.0</v>
      </c>
      <c r="G8" s="180">
        <f>IF(C8="","",IFERROR(VLOOKUP(C8,Inventory!$A:$I,9,FALSE),0))</f>
        <v>230</v>
      </c>
      <c r="H8" s="189">
        <f t="shared" si="1"/>
        <v>230</v>
      </c>
      <c r="I8" s="190">
        <f t="shared" si="2"/>
        <v>0.1086956522</v>
      </c>
      <c r="J8" s="191">
        <v>255.0</v>
      </c>
      <c r="K8" s="191">
        <f t="shared" si="3"/>
        <v>1020</v>
      </c>
      <c r="L8" s="187"/>
      <c r="M8" s="192">
        <f t="shared" si="4"/>
        <v>920</v>
      </c>
      <c r="N8" s="185" t="str">
        <f t="shared" si="5"/>
        <v/>
      </c>
      <c r="P8" s="73" t="str">
        <f>IF(Inventory!A8="","",Inventory!A8)</f>
        <v>PO-WET-NK-70G-001</v>
      </c>
    </row>
    <row r="9" ht="14.25" customHeight="1">
      <c r="A9" s="176">
        <v>46226.0</v>
      </c>
      <c r="B9" s="177" t="s">
        <v>716</v>
      </c>
      <c r="C9" s="177" t="s">
        <v>202</v>
      </c>
      <c r="D9" s="179" t="str">
        <f>IF(C9="","",IFERROR(VLOOKUP(C9,Inventory!$A:$B,2,FALSE),""))</f>
        <v>Cozie Cat Litter Lavender 10L</v>
      </c>
      <c r="E9" s="179" t="str">
        <f>IF(C9="","",IFERROR(VLOOKUP(C9,Inventory!$A:$C,3,FALSE),""))</f>
        <v>Cat Litter</v>
      </c>
      <c r="F9" s="177">
        <v>2.0</v>
      </c>
      <c r="G9" s="180">
        <f>IF(C9="","",IFERROR(VLOOKUP(C9,Inventory!$A:$I,9,FALSE),0))</f>
        <v>450</v>
      </c>
      <c r="H9" s="193">
        <f t="shared" si="1"/>
        <v>450</v>
      </c>
      <c r="I9" s="182">
        <f t="shared" si="2"/>
        <v>0.1111111111</v>
      </c>
      <c r="J9" s="183">
        <v>500.0</v>
      </c>
      <c r="K9" s="183">
        <f t="shared" si="3"/>
        <v>1000</v>
      </c>
      <c r="L9" s="177"/>
      <c r="M9" s="184">
        <f t="shared" si="4"/>
        <v>900</v>
      </c>
      <c r="N9" s="185" t="str">
        <f t="shared" si="5"/>
        <v/>
      </c>
      <c r="P9" s="73" t="str">
        <f>IF(Inventory!A9="","",Inventory!A9)</f>
        <v>AC-CJ-AR-001</v>
      </c>
    </row>
    <row r="10" ht="14.25" customHeight="1">
      <c r="A10" s="186">
        <v>46226.0</v>
      </c>
      <c r="B10" s="187" t="s">
        <v>716</v>
      </c>
      <c r="C10" s="187" t="s">
        <v>168</v>
      </c>
      <c r="D10" s="188" t="str">
        <f>IF(C10="","",IFERROR(VLOOKUP(C10,Inventory!$A:$B,2,FALSE),""))</f>
        <v>Chonk All ages Chicken</v>
      </c>
      <c r="E10" s="188" t="str">
        <f>IF(C10="","",IFERROR(VLOOKUP(C10,Inventory!$A:$C,3,FALSE),""))</f>
        <v>Cat Food</v>
      </c>
      <c r="F10" s="187">
        <v>2.0</v>
      </c>
      <c r="G10" s="180">
        <f>IF(C10="","",IFERROR(VLOOKUP(C10,Inventory!$A:$I,9,FALSE),0))</f>
        <v>400</v>
      </c>
      <c r="H10" s="189">
        <f t="shared" si="1"/>
        <v>400</v>
      </c>
      <c r="I10" s="190">
        <f t="shared" si="2"/>
        <v>0.075</v>
      </c>
      <c r="J10" s="191">
        <v>430.0</v>
      </c>
      <c r="K10" s="191">
        <f t="shared" si="3"/>
        <v>860</v>
      </c>
      <c r="L10" s="187"/>
      <c r="M10" s="192">
        <f t="shared" si="4"/>
        <v>800</v>
      </c>
      <c r="N10" s="185" t="str">
        <f t="shared" si="5"/>
        <v/>
      </c>
      <c r="P10" s="73" t="str">
        <f>IF(Inventory!A10="","",Inventory!A10)</f>
        <v>AC-CJ-AR-002</v>
      </c>
    </row>
    <row r="11" ht="14.25" customHeight="1">
      <c r="A11" s="176">
        <v>46226.0</v>
      </c>
      <c r="B11" s="177" t="s">
        <v>716</v>
      </c>
      <c r="C11" s="177" t="s">
        <v>172</v>
      </c>
      <c r="D11" s="179" t="str">
        <f>IF(C11="","",IFERROR(VLOOKUP(C11,Inventory!$A:$B,2,FALSE),""))</f>
        <v>Chonk All ages Ocean Fish with Chicken</v>
      </c>
      <c r="E11" s="179" t="str">
        <f>IF(C11="","",IFERROR(VLOOKUP(C11,Inventory!$A:$C,3,FALSE),""))</f>
        <v>Cat Food</v>
      </c>
      <c r="F11" s="177">
        <v>2.0</v>
      </c>
      <c r="G11" s="180">
        <f>IF(C11="","",IFERROR(VLOOKUP(C11,Inventory!$A:$I,9,FALSE),0))</f>
        <v>400</v>
      </c>
      <c r="H11" s="193">
        <f t="shared" si="1"/>
        <v>400</v>
      </c>
      <c r="I11" s="182">
        <f t="shared" si="2"/>
        <v>0.075</v>
      </c>
      <c r="J11" s="183">
        <v>430.0</v>
      </c>
      <c r="K11" s="183">
        <f t="shared" si="3"/>
        <v>860</v>
      </c>
      <c r="L11" s="177"/>
      <c r="M11" s="184">
        <f t="shared" si="4"/>
        <v>800</v>
      </c>
      <c r="N11" s="185" t="str">
        <f t="shared" si="5"/>
        <v/>
      </c>
      <c r="P11" s="73" t="str">
        <f>IF(Inventory!A11="","",Inventory!A11)</f>
        <v>AC-CJ-BR-002</v>
      </c>
    </row>
    <row r="12" ht="14.25" customHeight="1">
      <c r="A12" s="186">
        <v>46226.0</v>
      </c>
      <c r="B12" s="187" t="s">
        <v>716</v>
      </c>
      <c r="C12" s="187" t="s">
        <v>176</v>
      </c>
      <c r="D12" s="188" t="str">
        <f>IF(C12="","",IFERROR(VLOOKUP(C12,Inventory!$A:$B,2,FALSE),""))</f>
        <v>Chonk All ages Tuna</v>
      </c>
      <c r="E12" s="188" t="str">
        <f>IF(C12="","",IFERROR(VLOOKUP(C12,Inventory!$A:$C,3,FALSE),""))</f>
        <v>Cat Food</v>
      </c>
      <c r="F12" s="187">
        <v>2.0</v>
      </c>
      <c r="G12" s="180">
        <f>IF(C12="","",IFERROR(VLOOKUP(C12,Inventory!$A:$I,9,FALSE),0))</f>
        <v>400</v>
      </c>
      <c r="H12" s="189">
        <f t="shared" si="1"/>
        <v>400</v>
      </c>
      <c r="I12" s="190">
        <f t="shared" si="2"/>
        <v>0.075</v>
      </c>
      <c r="J12" s="191">
        <v>430.0</v>
      </c>
      <c r="K12" s="191">
        <f t="shared" si="3"/>
        <v>860</v>
      </c>
      <c r="L12" s="187"/>
      <c r="M12" s="192">
        <f t="shared" si="4"/>
        <v>800</v>
      </c>
      <c r="N12" s="185" t="str">
        <f t="shared" si="5"/>
        <v/>
      </c>
      <c r="P12" s="73" t="str">
        <f>IF(Inventory!A12="","",Inventory!A12)</f>
        <v>AC-CJ-BR-001</v>
      </c>
    </row>
    <row r="13" ht="14.25" customHeight="1">
      <c r="A13" s="176">
        <v>46226.0</v>
      </c>
      <c r="B13" s="177" t="s">
        <v>716</v>
      </c>
      <c r="C13" s="177" t="s">
        <v>179</v>
      </c>
      <c r="D13" s="179" t="str">
        <f>IF(C13="","",IFERROR(VLOOKUP(C13,Inventory!$A:$B,2,FALSE),""))</f>
        <v>Creamy Treat 15G (Purry &amp; Hyper Paws)</v>
      </c>
      <c r="E13" s="179" t="str">
        <f>IF(C13="","",IFERROR(VLOOKUP(C13,Inventory!$A:$C,3,FALSE),""))</f>
        <v>Cat Treat</v>
      </c>
      <c r="F13" s="177">
        <v>200.0</v>
      </c>
      <c r="G13" s="180">
        <f>IF(C13="","",IFERROR(VLOOKUP(C13,Inventory!$A:$I,9,FALSE),0))</f>
        <v>8.147411853</v>
      </c>
      <c r="H13" s="193">
        <f t="shared" si="1"/>
        <v>8.147411853</v>
      </c>
      <c r="I13" s="182">
        <f t="shared" si="2"/>
        <v>0.4728603655</v>
      </c>
      <c r="J13" s="183">
        <v>12.0</v>
      </c>
      <c r="K13" s="183">
        <f t="shared" si="3"/>
        <v>2400</v>
      </c>
      <c r="L13" s="177"/>
      <c r="M13" s="184">
        <f t="shared" si="4"/>
        <v>1629.482371</v>
      </c>
      <c r="N13" s="185" t="str">
        <f t="shared" si="5"/>
        <v/>
      </c>
      <c r="P13" s="73" t="str">
        <f>IF(Inventory!A13="","",Inventory!A13)</f>
        <v>AC-SHAMP-002</v>
      </c>
    </row>
    <row r="14" ht="14.25" customHeight="1">
      <c r="A14" s="186">
        <v>46226.0</v>
      </c>
      <c r="B14" s="187" t="s">
        <v>716</v>
      </c>
      <c r="C14" s="187" t="s">
        <v>253</v>
      </c>
      <c r="D14" s="188" t="str">
        <f>IF(C14="","",IFERROR(VLOOKUP(C14,Inventory!$A:$B,2,FALSE),""))</f>
        <v>Smart Heart Chicken Treat</v>
      </c>
      <c r="E14" s="188" t="str">
        <f>IF(C14="","",IFERROR(VLOOKUP(C14,Inventory!$A:$C,3,FALSE),""))</f>
        <v>Cat Treat</v>
      </c>
      <c r="F14" s="187">
        <v>4.0</v>
      </c>
      <c r="G14" s="180">
        <f>IF(C14="","",IFERROR(VLOOKUP(C14,Inventory!$A:$I,9,FALSE),0))</f>
        <v>47.5</v>
      </c>
      <c r="H14" s="189">
        <f t="shared" si="1"/>
        <v>47.5</v>
      </c>
      <c r="I14" s="190">
        <f t="shared" si="2"/>
        <v>0.05263157895</v>
      </c>
      <c r="J14" s="191">
        <v>50.0</v>
      </c>
      <c r="K14" s="191">
        <f t="shared" si="3"/>
        <v>200</v>
      </c>
      <c r="L14" s="187"/>
      <c r="M14" s="192">
        <f t="shared" si="4"/>
        <v>190</v>
      </c>
      <c r="N14" s="185" t="str">
        <f t="shared" si="5"/>
        <v/>
      </c>
      <c r="P14" s="73" t="str">
        <f>IF(Inventory!A14="","",Inventory!A14)</f>
        <v>AC-SHAMP-003</v>
      </c>
    </row>
    <row r="15" ht="14.25" customHeight="1">
      <c r="A15" s="176">
        <v>46226.0</v>
      </c>
      <c r="B15" s="177" t="s">
        <v>716</v>
      </c>
      <c r="C15" s="177" t="s">
        <v>256</v>
      </c>
      <c r="D15" s="179" t="str">
        <f>IF(C15="","",IFERROR(VLOOKUP(C15,Inventory!$A:$B,2,FALSE),""))</f>
        <v>Kitchen Flavor Grain Free Kitten 400G</v>
      </c>
      <c r="E15" s="179" t="str">
        <f>IF(C15="","",IFERROR(VLOOKUP(C15,Inventory!$A:$C,3,FALSE),""))</f>
        <v>Cat Food</v>
      </c>
      <c r="F15" s="177">
        <v>10.0</v>
      </c>
      <c r="G15" s="180">
        <f>IF(C15="","",IFERROR(VLOOKUP(C15,Inventory!$A:$I,9,FALSE),0))</f>
        <v>290</v>
      </c>
      <c r="H15" s="193">
        <f t="shared" si="1"/>
        <v>290</v>
      </c>
      <c r="I15" s="182">
        <f t="shared" si="2"/>
        <v>0.06896551724</v>
      </c>
      <c r="J15" s="183">
        <v>310.0</v>
      </c>
      <c r="K15" s="183">
        <f t="shared" si="3"/>
        <v>3100</v>
      </c>
      <c r="L15" s="177"/>
      <c r="M15" s="184">
        <f t="shared" si="4"/>
        <v>2900</v>
      </c>
      <c r="N15" s="185" t="str">
        <f t="shared" si="5"/>
        <v/>
      </c>
      <c r="P15" s="73" t="str">
        <f>IF(Inventory!A15="","",Inventory!A15)</f>
        <v>AC-LB-001</v>
      </c>
    </row>
    <row r="16" ht="14.25" customHeight="1">
      <c r="A16" s="186">
        <v>46226.0</v>
      </c>
      <c r="B16" s="187" t="s">
        <v>716</v>
      </c>
      <c r="C16" s="187" t="s">
        <v>265</v>
      </c>
      <c r="D16" s="188" t="str">
        <f>IF(C16="","",IFERROR(VLOOKUP(C16,Inventory!$A:$B,2,FALSE),""))</f>
        <v>Kitchen Flavor Grain Free Kitten 1.5KG</v>
      </c>
      <c r="E16" s="188" t="str">
        <f>IF(C16="","",IFERROR(VLOOKUP(C16,Inventory!$A:$C,3,FALSE),""))</f>
        <v>Cat Food</v>
      </c>
      <c r="F16" s="187">
        <v>4.0</v>
      </c>
      <c r="G16" s="180">
        <f>IF(C16="","",IFERROR(VLOOKUP(C16,Inventory!$A:$I,9,FALSE),0))</f>
        <v>990</v>
      </c>
      <c r="H16" s="189">
        <f t="shared" si="1"/>
        <v>990</v>
      </c>
      <c r="I16" s="190">
        <f t="shared" si="2"/>
        <v>0.101010101</v>
      </c>
      <c r="J16" s="191">
        <v>1090.0</v>
      </c>
      <c r="K16" s="191">
        <f t="shared" si="3"/>
        <v>4360</v>
      </c>
      <c r="L16" s="187"/>
      <c r="M16" s="192">
        <f t="shared" si="4"/>
        <v>3960</v>
      </c>
      <c r="N16" s="185" t="str">
        <f t="shared" si="5"/>
        <v/>
      </c>
      <c r="P16" s="73" t="str">
        <f>IF(Inventory!A16="","",Inventory!A16)</f>
        <v>AC-LB-002</v>
      </c>
    </row>
    <row r="17" ht="14.25" customHeight="1">
      <c r="A17" s="176">
        <v>46226.0</v>
      </c>
      <c r="B17" s="177" t="s">
        <v>716</v>
      </c>
      <c r="C17" s="177" t="s">
        <v>258</v>
      </c>
      <c r="D17" s="179" t="str">
        <f>IF(C17="","",IFERROR(VLOOKUP(C17,Inventory!$A:$B,2,FALSE),""))</f>
        <v>Kitchen Flavor Grain Free Adult 400G</v>
      </c>
      <c r="E17" s="179" t="str">
        <f>IF(C17="","",IFERROR(VLOOKUP(C17,Inventory!$A:$C,3,FALSE),""))</f>
        <v>Cat Food</v>
      </c>
      <c r="F17" s="177">
        <v>10.0</v>
      </c>
      <c r="G17" s="180">
        <f>IF(C17="","",IFERROR(VLOOKUP(C17,Inventory!$A:$I,9,FALSE),0))</f>
        <v>290</v>
      </c>
      <c r="H17" s="193">
        <f t="shared" si="1"/>
        <v>290</v>
      </c>
      <c r="I17" s="182">
        <f t="shared" si="2"/>
        <v>0.06896551724</v>
      </c>
      <c r="J17" s="183">
        <v>310.0</v>
      </c>
      <c r="K17" s="183">
        <f t="shared" si="3"/>
        <v>3100</v>
      </c>
      <c r="L17" s="177"/>
      <c r="M17" s="184">
        <f t="shared" si="4"/>
        <v>2900</v>
      </c>
      <c r="N17" s="185" t="str">
        <f t="shared" si="5"/>
        <v/>
      </c>
      <c r="P17" s="73" t="str">
        <f>IF(Inventory!A17="","",Inventory!A17)</f>
        <v>LT-LM-DD-5L-001</v>
      </c>
    </row>
    <row r="18" ht="14.25" customHeight="1">
      <c r="A18" s="186">
        <v>46226.0</v>
      </c>
      <c r="B18" s="187" t="s">
        <v>716</v>
      </c>
      <c r="C18" s="187" t="s">
        <v>260</v>
      </c>
      <c r="D18" s="188" t="str">
        <f>IF(C18="","",IFERROR(VLOOKUP(C18,Inventory!$A:$B,2,FALSE),""))</f>
        <v>Kitchen Flavor Grain Free Adult 1.5KG</v>
      </c>
      <c r="E18" s="188" t="str">
        <f>IF(C18="","",IFERROR(VLOOKUP(C18,Inventory!$A:$C,3,FALSE),""))</f>
        <v>Cat Food</v>
      </c>
      <c r="F18" s="187">
        <v>4.0</v>
      </c>
      <c r="G18" s="180">
        <f>IF(C18="","",IFERROR(VLOOKUP(C18,Inventory!$A:$I,9,FALSE),0))</f>
        <v>990</v>
      </c>
      <c r="H18" s="189">
        <f t="shared" si="1"/>
        <v>990</v>
      </c>
      <c r="I18" s="190">
        <f t="shared" si="2"/>
        <v>0.101010101</v>
      </c>
      <c r="J18" s="191">
        <v>1090.0</v>
      </c>
      <c r="K18" s="191">
        <f t="shared" si="3"/>
        <v>4360</v>
      </c>
      <c r="L18" s="187"/>
      <c r="M18" s="192">
        <f t="shared" si="4"/>
        <v>3960</v>
      </c>
      <c r="N18" s="185" t="str">
        <f t="shared" si="5"/>
        <v/>
      </c>
      <c r="P18" s="73" t="str">
        <f>IF(Inventory!A18="","",Inventory!A18)</f>
        <v>FD-DRY-CHNK-CHKN-1.5KG-001</v>
      </c>
    </row>
    <row r="19" ht="14.25" customHeight="1">
      <c r="A19" s="176">
        <v>46226.0</v>
      </c>
      <c r="B19" s="177" t="s">
        <v>716</v>
      </c>
      <c r="C19" s="177" t="s">
        <v>262</v>
      </c>
      <c r="D19" s="179" t="str">
        <f>IF(C19="","",IFERROR(VLOOKUP(C19,Inventory!$A:$B,2,FALSE),""))</f>
        <v>Kitchen Flavor Pate Delight</v>
      </c>
      <c r="E19" s="179" t="str">
        <f>IF(C19="","",IFERROR(VLOOKUP(C19,Inventory!$A:$C,3,FALSE),""))</f>
        <v>Cat Wet Food</v>
      </c>
      <c r="F19" s="177">
        <v>24.0</v>
      </c>
      <c r="G19" s="180">
        <f>IF(C19="","",IFERROR(VLOOKUP(C19,Inventory!$A:$I,9,FALSE),0))</f>
        <v>110</v>
      </c>
      <c r="H19" s="193">
        <f t="shared" si="1"/>
        <v>110</v>
      </c>
      <c r="I19" s="182">
        <f t="shared" si="2"/>
        <v>0.09090909091</v>
      </c>
      <c r="J19" s="183">
        <v>120.0</v>
      </c>
      <c r="K19" s="183">
        <f t="shared" si="3"/>
        <v>2880</v>
      </c>
      <c r="L19" s="177"/>
      <c r="M19" s="184">
        <f t="shared" si="4"/>
        <v>2640</v>
      </c>
      <c r="N19" s="185" t="str">
        <f t="shared" si="5"/>
        <v/>
      </c>
      <c r="P19" s="73" t="str">
        <f>IF(Inventory!A19="","",Inventory!A19)</f>
        <v>FD-DRY-CHNK-OCFCK-1.5KG-001</v>
      </c>
    </row>
    <row r="20" ht="14.25" customHeight="1">
      <c r="A20" s="186">
        <v>46226.0</v>
      </c>
      <c r="B20" s="187" t="s">
        <v>716</v>
      </c>
      <c r="C20" s="187" t="s">
        <v>232</v>
      </c>
      <c r="D20" s="188" t="str">
        <f>IF(C20="","",IFERROR(VLOOKUP(C20,Inventory!$A:$B,2,FALSE),""))</f>
        <v>Smart Heart Adult Cat Food Chicken &amp; Tuna [480G]</v>
      </c>
      <c r="E20" s="188" t="str">
        <f>IF(C20="","",IFERROR(VLOOKUP(C20,Inventory!$A:$C,3,FALSE),""))</f>
        <v>Cat Food</v>
      </c>
      <c r="F20" s="187">
        <v>5.0</v>
      </c>
      <c r="G20" s="180">
        <f>IF(C20="","",IFERROR(VLOOKUP(C20,Inventory!$A:$I,9,FALSE),0))</f>
        <v>290.2631579</v>
      </c>
      <c r="H20" s="189">
        <f t="shared" si="1"/>
        <v>290.2631579</v>
      </c>
      <c r="I20" s="190">
        <f t="shared" si="2"/>
        <v>0.06799637353</v>
      </c>
      <c r="J20" s="191">
        <v>310.0</v>
      </c>
      <c r="K20" s="191">
        <f t="shared" si="3"/>
        <v>1550</v>
      </c>
      <c r="L20" s="187"/>
      <c r="M20" s="192">
        <f t="shared" si="4"/>
        <v>1451.315789</v>
      </c>
      <c r="N20" s="185" t="str">
        <f t="shared" si="5"/>
        <v/>
      </c>
      <c r="P20" s="73" t="str">
        <f>IF(Inventory!A20="","",Inventory!A20)</f>
        <v>FD-DRY-CHNK-TN-1.5KG-001</v>
      </c>
    </row>
    <row r="21" ht="14.25" customHeight="1">
      <c r="A21" s="176">
        <v>46226.0</v>
      </c>
      <c r="B21" s="177" t="s">
        <v>716</v>
      </c>
      <c r="C21" s="177" t="s">
        <v>194</v>
      </c>
      <c r="D21" s="179" t="str">
        <f>IF(C21="","",IFERROR(VLOOKUP(C21,Inventory!$A:$B,2,FALSE),""))</f>
        <v>Kaniva Fusion Beauty (Skin &amp; Coat) 500gm</v>
      </c>
      <c r="E21" s="179" t="str">
        <f>IF(C21="","",IFERROR(VLOOKUP(C21,Inventory!$A:$C,3,FALSE),""))</f>
        <v>Cat Food</v>
      </c>
      <c r="F21" s="177">
        <v>3.0</v>
      </c>
      <c r="G21" s="180">
        <f>IF(C21="","",IFERROR(VLOOKUP(C21,Inventory!$A:$I,9,FALSE),0))</f>
        <v>507</v>
      </c>
      <c r="H21" s="193">
        <f t="shared" si="1"/>
        <v>507</v>
      </c>
      <c r="I21" s="182">
        <f t="shared" si="2"/>
        <v>0.0650887574</v>
      </c>
      <c r="J21" s="183">
        <v>540.0</v>
      </c>
      <c r="K21" s="183">
        <f t="shared" si="3"/>
        <v>1620</v>
      </c>
      <c r="L21" s="177"/>
      <c r="M21" s="184">
        <f t="shared" si="4"/>
        <v>1521</v>
      </c>
      <c r="N21" s="185" t="str">
        <f t="shared" si="5"/>
        <v/>
      </c>
      <c r="P21" s="73" t="str">
        <f>IF(Inventory!A21="","",Inventory!A21)</f>
        <v>TR-CRMY-15G-001</v>
      </c>
    </row>
    <row r="22" ht="14.25" customHeight="1">
      <c r="A22" s="186">
        <v>46226.0</v>
      </c>
      <c r="B22" s="187" t="s">
        <v>716</v>
      </c>
      <c r="C22" s="187" t="s">
        <v>192</v>
      </c>
      <c r="D22" s="188" t="str">
        <f>IF(C22="","",IFERROR(VLOOKUP(C22,Inventory!$A:$B,2,FALSE),""))</f>
        <v>Kaniva Fusion Multiviamins Chicken &amp; Pumpkin 500gm</v>
      </c>
      <c r="E22" s="188" t="str">
        <f>IF(C22="","",IFERROR(VLOOKUP(C22,Inventory!$A:$C,3,FALSE),""))</f>
        <v>Cat Food</v>
      </c>
      <c r="F22" s="187">
        <v>4.0</v>
      </c>
      <c r="G22" s="180">
        <f>IF(C22="","",IFERROR(VLOOKUP(C22,Inventory!$A:$I,9,FALSE),0))</f>
        <v>507</v>
      </c>
      <c r="H22" s="189">
        <f t="shared" si="1"/>
        <v>507</v>
      </c>
      <c r="I22" s="190">
        <f t="shared" si="2"/>
        <v>0.0650887574</v>
      </c>
      <c r="J22" s="191">
        <v>540.0</v>
      </c>
      <c r="K22" s="191">
        <f t="shared" si="3"/>
        <v>2160</v>
      </c>
      <c r="L22" s="187"/>
      <c r="M22" s="192">
        <f t="shared" si="4"/>
        <v>2028</v>
      </c>
      <c r="N22" s="185" t="str">
        <f t="shared" si="5"/>
        <v/>
      </c>
      <c r="P22" s="73" t="str">
        <f>IF(Inventory!A22="","",Inventory!A22)</f>
        <v>FD-DRY-SMHRT-450G-001</v>
      </c>
    </row>
    <row r="23" ht="14.25" customHeight="1">
      <c r="A23" s="176">
        <v>46226.0</v>
      </c>
      <c r="B23" s="177" t="s">
        <v>716</v>
      </c>
      <c r="C23" s="177" t="s">
        <v>267</v>
      </c>
      <c r="D23" s="179" t="str">
        <f>IF(C23="","",IFERROR(VLOOKUP(C23,Inventory!$A:$B,2,FALSE),""))</f>
        <v>Smart Heart Adult Cat Food Chicken &amp; Tuna 1.2KG</v>
      </c>
      <c r="E23" s="179" t="str">
        <f>IF(C23="","",IFERROR(VLOOKUP(C23,Inventory!$A:$C,3,FALSE),""))</f>
        <v>Cat Food</v>
      </c>
      <c r="F23" s="177">
        <v>2.0</v>
      </c>
      <c r="G23" s="180">
        <f>IF(C23="","",IFERROR(VLOOKUP(C23,Inventory!$A:$I,9,FALSE),0))</f>
        <v>600</v>
      </c>
      <c r="H23" s="193">
        <f t="shared" si="1"/>
        <v>600</v>
      </c>
      <c r="I23" s="182">
        <f t="shared" si="2"/>
        <v>0.06666666667</v>
      </c>
      <c r="J23" s="183">
        <v>640.0</v>
      </c>
      <c r="K23" s="183">
        <f t="shared" si="3"/>
        <v>1280</v>
      </c>
      <c r="L23" s="177"/>
      <c r="M23" s="184">
        <f t="shared" si="4"/>
        <v>1200</v>
      </c>
      <c r="N23" s="185" t="str">
        <f t="shared" si="5"/>
        <v/>
      </c>
      <c r="P23" s="73" t="str">
        <f>IF(Inventory!A23="","",Inventory!A23)</f>
        <v>FD-DRY-SMHRT-15KG-001</v>
      </c>
    </row>
    <row r="24" ht="14.25" customHeight="1">
      <c r="A24" s="186">
        <v>46226.0</v>
      </c>
      <c r="B24" s="187" t="s">
        <v>716</v>
      </c>
      <c r="C24" s="187" t="s">
        <v>207</v>
      </c>
      <c r="D24" s="188" t="str">
        <f>IF(C24="","",IFERROR(VLOOKUP(C24,Inventory!$A:$B,2,FALSE),""))</f>
        <v>Nekko Pouch 70G Tuna in Chicken Mousse For Kitten</v>
      </c>
      <c r="E24" s="188" t="str">
        <f>IF(C24="","",IFERROR(VLOOKUP(C24,Inventory!$A:$C,3,FALSE),""))</f>
        <v>Cat Pouch</v>
      </c>
      <c r="F24" s="187">
        <v>12.0</v>
      </c>
      <c r="G24" s="180">
        <f>IF(C24="","",IFERROR(VLOOKUP(C24,Inventory!$A:$I,9,FALSE),0))</f>
        <v>65.17241379</v>
      </c>
      <c r="H24" s="189">
        <f t="shared" si="1"/>
        <v>65.17241379</v>
      </c>
      <c r="I24" s="190">
        <f t="shared" si="2"/>
        <v>0.07407407407</v>
      </c>
      <c r="J24" s="191">
        <v>70.0</v>
      </c>
      <c r="K24" s="191">
        <f t="shared" si="3"/>
        <v>840</v>
      </c>
      <c r="L24" s="187"/>
      <c r="M24" s="192">
        <f t="shared" si="4"/>
        <v>782.0689655</v>
      </c>
      <c r="N24" s="185" t="str">
        <f t="shared" si="5"/>
        <v/>
      </c>
      <c r="P24" s="73" t="str">
        <f>IF(Inventory!A24="","",Inventory!A24)</f>
        <v>FD-BRD-MLT-YLW-25KG</v>
      </c>
    </row>
    <row r="25" ht="14.25" customHeight="1">
      <c r="A25" s="176">
        <v>46226.0</v>
      </c>
      <c r="B25" s="177" t="s">
        <v>716</v>
      </c>
      <c r="C25" s="177" t="s">
        <v>104</v>
      </c>
      <c r="D25" s="179" t="str">
        <f>IF(C25="","",IFERROR(VLOOKUP(C25,Inventory!$A:$B,2,FALSE),""))</f>
        <v>Nekko Pouch Tuna in Jelly</v>
      </c>
      <c r="E25" s="179" t="str">
        <f>IF(C25="","",IFERROR(VLOOKUP(C25,Inventory!$A:$C,3,FALSE),""))</f>
        <v>Cat Pouch</v>
      </c>
      <c r="F25" s="177">
        <v>12.0</v>
      </c>
      <c r="G25" s="180">
        <f>IF(C25="","",IFERROR(VLOOKUP(C25,Inventory!$A:$I,9,FALSE),0))</f>
        <v>65.17241379</v>
      </c>
      <c r="H25" s="193">
        <f t="shared" si="1"/>
        <v>65.17241379</v>
      </c>
      <c r="I25" s="182">
        <f t="shared" si="2"/>
        <v>0.07407407407</v>
      </c>
      <c r="J25" s="183">
        <v>70.0</v>
      </c>
      <c r="K25" s="183">
        <f t="shared" si="3"/>
        <v>840</v>
      </c>
      <c r="L25" s="177"/>
      <c r="M25" s="184">
        <f t="shared" si="4"/>
        <v>782.0689655</v>
      </c>
      <c r="N25" s="185" t="str">
        <f t="shared" si="5"/>
        <v/>
      </c>
      <c r="P25" s="73" t="str">
        <f>IF(Inventory!A25="","",Inventory!A25)</f>
        <v>FD-DRY-KVF-MV-500G-001</v>
      </c>
    </row>
    <row r="26" ht="14.25" customHeight="1">
      <c r="A26" s="186">
        <v>46226.0</v>
      </c>
      <c r="B26" s="187" t="s">
        <v>716</v>
      </c>
      <c r="C26" s="187" t="s">
        <v>228</v>
      </c>
      <c r="D26" s="188" t="str">
        <f>IF(C26="","",IFERROR(VLOOKUP(C26,Inventory!$A:$B,2,FALSE),""))</f>
        <v>Helminticide-L Deworming Tablet </v>
      </c>
      <c r="E26" s="188" t="str">
        <f>IF(C26="","",IFERROR(VLOOKUP(C26,Inventory!$A:$C,3,FALSE),""))</f>
        <v>Cat Accessories</v>
      </c>
      <c r="F26" s="187">
        <v>10.0</v>
      </c>
      <c r="G26" s="180">
        <f>IF(C26="","",IFERROR(VLOOKUP(C26,Inventory!$A:$I,9,FALSE),0))</f>
        <v>28.63636364</v>
      </c>
      <c r="H26" s="189">
        <f t="shared" si="1"/>
        <v>28.63636364</v>
      </c>
      <c r="I26" s="190">
        <f t="shared" si="2"/>
        <v>0.2222222222</v>
      </c>
      <c r="J26" s="191">
        <v>35.0</v>
      </c>
      <c r="K26" s="191">
        <f t="shared" si="3"/>
        <v>350</v>
      </c>
      <c r="L26" s="187"/>
      <c r="M26" s="192">
        <f t="shared" si="4"/>
        <v>286.3636364</v>
      </c>
      <c r="N26" s="185" t="str">
        <f t="shared" si="5"/>
        <v/>
      </c>
      <c r="P26" s="73" t="str">
        <f>IF(Inventory!A26="","",Inventory!A26)</f>
        <v>FD-DRY-KVF-SKCO-500G-001</v>
      </c>
    </row>
    <row r="27" ht="14.25" customHeight="1">
      <c r="A27" s="176">
        <v>46226.0</v>
      </c>
      <c r="B27" s="177" t="s">
        <v>716</v>
      </c>
      <c r="C27" s="177" t="s">
        <v>211</v>
      </c>
      <c r="D27" s="179" t="str">
        <f>IF(C27="","",IFERROR(VLOOKUP(C27,Inventory!$A:$B,2,FALSE),""))</f>
        <v>Smart Heart Pouch  Tuna With Chicken in Jelly</v>
      </c>
      <c r="E27" s="179" t="str">
        <f>IF(C27="","",IFERROR(VLOOKUP(C27,Inventory!$A:$C,3,FALSE),""))</f>
        <v>Cat Pouch</v>
      </c>
      <c r="F27" s="177">
        <v>12.0</v>
      </c>
      <c r="G27" s="180">
        <f>IF(C27="","",IFERROR(VLOOKUP(C27,Inventory!$A:$I,9,FALSE),0))</f>
        <v>71.9047619</v>
      </c>
      <c r="H27" s="193">
        <f t="shared" si="1"/>
        <v>71.9047619</v>
      </c>
      <c r="I27" s="182">
        <f t="shared" si="2"/>
        <v>0.07086092715</v>
      </c>
      <c r="J27" s="183">
        <v>77.0</v>
      </c>
      <c r="K27" s="183">
        <f t="shared" si="3"/>
        <v>924</v>
      </c>
      <c r="L27" s="177"/>
      <c r="M27" s="184">
        <f t="shared" si="4"/>
        <v>862.8571429</v>
      </c>
      <c r="N27" s="185" t="str">
        <f t="shared" si="5"/>
        <v/>
      </c>
      <c r="P27" s="73" t="str">
        <f>IF(Inventory!A27="","",Inventory!A27)</f>
        <v>LT-LM-CZE-5L-001</v>
      </c>
    </row>
    <row r="28" ht="14.25" customHeight="1">
      <c r="A28" s="186">
        <v>46226.0</v>
      </c>
      <c r="B28" s="187" t="s">
        <v>716</v>
      </c>
      <c r="C28" s="187" t="s">
        <v>205</v>
      </c>
      <c r="D28" s="188" t="str">
        <f>IF(C28="","",IFERROR(VLOOKUP(C28,Inventory!$A:$B,2,FALSE),""))</f>
        <v>Nekko Pouch 70G Tuna in Gravy</v>
      </c>
      <c r="E28" s="188" t="str">
        <f>IF(C28="","",IFERROR(VLOOKUP(C28,Inventory!$A:$C,3,FALSE),""))</f>
        <v>Cat Pouch</v>
      </c>
      <c r="F28" s="187">
        <v>12.0</v>
      </c>
      <c r="G28" s="180">
        <f>IF(C28="","",IFERROR(VLOOKUP(C28,Inventory!$A:$I,9,FALSE),0))</f>
        <v>65</v>
      </c>
      <c r="H28" s="189">
        <f t="shared" si="1"/>
        <v>65</v>
      </c>
      <c r="I28" s="190">
        <f t="shared" si="2"/>
        <v>0.07692307692</v>
      </c>
      <c r="J28" s="191">
        <v>70.0</v>
      </c>
      <c r="K28" s="191">
        <f t="shared" si="3"/>
        <v>840</v>
      </c>
      <c r="L28" s="187"/>
      <c r="M28" s="192">
        <f t="shared" si="4"/>
        <v>780</v>
      </c>
      <c r="N28" s="185" t="str">
        <f t="shared" si="5"/>
        <v/>
      </c>
      <c r="P28" s="73" t="str">
        <f>IF(Inventory!A28="","",Inventory!A28)</f>
        <v>LT-LM-CZE-10L-001</v>
      </c>
    </row>
    <row r="29" ht="14.25" customHeight="1">
      <c r="A29" s="176">
        <v>46226.0</v>
      </c>
      <c r="B29" s="177" t="s">
        <v>716</v>
      </c>
      <c r="C29" s="177" t="s">
        <v>183</v>
      </c>
      <c r="D29" s="179" t="str">
        <f>IF(C29="","",IFERROR(VLOOKUP(C29,Inventory!$A:$B,2,FALSE),""))</f>
        <v>Smart Heart Kitten Food Chicken, Fish, Egg &amp; Milk 450gm</v>
      </c>
      <c r="E29" s="179" t="str">
        <f>IF(C29="","",IFERROR(VLOOKUP(C29,Inventory!$A:$C,3,FALSE),""))</f>
        <v>Kitten Food</v>
      </c>
      <c r="F29" s="177">
        <v>5.0</v>
      </c>
      <c r="G29" s="180">
        <f>IF(C29="","",IFERROR(VLOOKUP(C29,Inventory!$A:$I,9,FALSE),0))</f>
        <v>290</v>
      </c>
      <c r="H29" s="193">
        <f t="shared" si="1"/>
        <v>290</v>
      </c>
      <c r="I29" s="182">
        <f t="shared" si="2"/>
        <v>0.06896551724</v>
      </c>
      <c r="J29" s="183">
        <v>310.0</v>
      </c>
      <c r="K29" s="183">
        <f t="shared" si="3"/>
        <v>1550</v>
      </c>
      <c r="L29" s="177"/>
      <c r="M29" s="184">
        <f t="shared" si="4"/>
        <v>1450</v>
      </c>
      <c r="N29" s="185" t="str">
        <f t="shared" si="5"/>
        <v/>
      </c>
      <c r="P29" s="73" t="str">
        <f>IF(Inventory!A29="","",Inventory!A29)</f>
        <v>LT-LV-CZE-5L-001</v>
      </c>
    </row>
    <row r="30" ht="14.25" customHeight="1">
      <c r="A30" s="186">
        <v>46231.0</v>
      </c>
      <c r="B30" s="187" t="s">
        <v>716</v>
      </c>
      <c r="C30" s="187" t="s">
        <v>338</v>
      </c>
      <c r="D30" s="188" t="str">
        <f>IF(C30="","",IFERROR(VLOOKUP(C30,Inventory!$A:$B,2,FALSE),""))</f>
        <v>Taipet Chicken Pouch</v>
      </c>
      <c r="E30" s="188" t="str">
        <f>IF(C30="","",IFERROR(VLOOKUP(C30,Inventory!$A:$C,3,FALSE),""))</f>
        <v>Cat Pouch</v>
      </c>
      <c r="F30" s="187">
        <v>12.0</v>
      </c>
      <c r="G30" s="180">
        <f>IF(C30="","",IFERROR(VLOOKUP(C30,Inventory!$A:$I,9,FALSE),0))</f>
        <v>50</v>
      </c>
      <c r="H30" s="189">
        <f t="shared" si="1"/>
        <v>50</v>
      </c>
      <c r="I30" s="190">
        <f t="shared" si="2"/>
        <v>0.16</v>
      </c>
      <c r="J30" s="191">
        <v>58.0</v>
      </c>
      <c r="K30" s="191">
        <f t="shared" si="3"/>
        <v>696</v>
      </c>
      <c r="L30" s="187"/>
      <c r="M30" s="192">
        <f t="shared" si="4"/>
        <v>600</v>
      </c>
      <c r="N30" s="185" t="str">
        <f t="shared" si="5"/>
        <v/>
      </c>
      <c r="P30" s="73" t="str">
        <f>IF(Inventory!A30="","",Inventory!A30)</f>
        <v>LT-LV-CZE-10L-001</v>
      </c>
    </row>
    <row r="31" ht="14.25" customHeight="1">
      <c r="A31" s="176">
        <v>46231.0</v>
      </c>
      <c r="B31" s="177" t="s">
        <v>716</v>
      </c>
      <c r="C31" s="177" t="s">
        <v>349</v>
      </c>
      <c r="D31" s="179" t="str">
        <f>IF(C31="","",IFERROR(VLOOKUP(C31,Inventory!$A:$B,2,FALSE),""))</f>
        <v>PAW Cat Food Kitten Can Fish</v>
      </c>
      <c r="E31" s="179" t="str">
        <f>IF(C31="","",IFERROR(VLOOKUP(C31,Inventory!$A:$C,3,FALSE),""))</f>
        <v>Can Food</v>
      </c>
      <c r="F31" s="177">
        <v>4.0</v>
      </c>
      <c r="G31" s="180">
        <f>IF(C31="","",IFERROR(VLOOKUP(C31,Inventory!$A:$I,9,FALSE),0))</f>
        <v>130</v>
      </c>
      <c r="H31" s="193">
        <f t="shared" si="1"/>
        <v>130</v>
      </c>
      <c r="I31" s="182">
        <f t="shared" si="2"/>
        <v>0.1923076923</v>
      </c>
      <c r="J31" s="183">
        <v>155.0</v>
      </c>
      <c r="K31" s="183">
        <f t="shared" si="3"/>
        <v>620</v>
      </c>
      <c r="L31" s="177"/>
      <c r="M31" s="184">
        <f t="shared" si="4"/>
        <v>520</v>
      </c>
      <c r="N31" s="185" t="str">
        <f t="shared" si="5"/>
        <v/>
      </c>
      <c r="P31" s="73" t="str">
        <f>IF(Inventory!A31="","",Inventory!A31)</f>
        <v>PO-WET-NK-70G-002</v>
      </c>
    </row>
    <row r="32" ht="14.25" customHeight="1">
      <c r="A32" s="186">
        <v>46231.0</v>
      </c>
      <c r="B32" s="187" t="s">
        <v>716</v>
      </c>
      <c r="C32" s="187" t="s">
        <v>342</v>
      </c>
      <c r="D32" s="188" t="str">
        <f>IF(C32="","",IFERROR(VLOOKUP(C32,Inventory!$A:$B,2,FALSE),""))</f>
        <v>Wanpy Cat Food Can Chicken</v>
      </c>
      <c r="E32" s="188" t="str">
        <f>IF(C32="","",IFERROR(VLOOKUP(C32,Inventory!$A:$C,3,FALSE),""))</f>
        <v>Can Food</v>
      </c>
      <c r="F32" s="187">
        <v>4.0</v>
      </c>
      <c r="G32" s="180">
        <f>IF(C32="","",IFERROR(VLOOKUP(C32,Inventory!$A:$I,9,FALSE),0))</f>
        <v>160</v>
      </c>
      <c r="H32" s="189">
        <f t="shared" si="1"/>
        <v>160</v>
      </c>
      <c r="I32" s="190">
        <f t="shared" si="2"/>
        <v>0.125</v>
      </c>
      <c r="J32" s="191">
        <v>180.0</v>
      </c>
      <c r="K32" s="191">
        <f t="shared" si="3"/>
        <v>720</v>
      </c>
      <c r="L32" s="187"/>
      <c r="M32" s="192">
        <f t="shared" si="4"/>
        <v>640</v>
      </c>
      <c r="N32" s="185" t="str">
        <f t="shared" si="5"/>
        <v/>
      </c>
      <c r="P32" s="73" t="str">
        <f>IF(Inventory!A32="","",Inventory!A32)</f>
        <v>PO-WET-NK-70G-003-KT</v>
      </c>
    </row>
    <row r="33" ht="14.25" customHeight="1">
      <c r="A33" s="176">
        <v>46231.0</v>
      </c>
      <c r="B33" s="177" t="s">
        <v>716</v>
      </c>
      <c r="C33" s="177" t="s">
        <v>347</v>
      </c>
      <c r="D33" s="179" t="str">
        <f>IF(C33="","",IFERROR(VLOOKUP(C33,Inventory!$A:$B,2,FALSE),""))</f>
        <v>Wanpy Cat Food Can Tuna</v>
      </c>
      <c r="E33" s="179" t="str">
        <f>IF(C33="","",IFERROR(VLOOKUP(C33,Inventory!$A:$C,3,FALSE),""))</f>
        <v>Can Food</v>
      </c>
      <c r="F33" s="177">
        <v>4.0</v>
      </c>
      <c r="G33" s="180">
        <f>IF(C33="","",IFERROR(VLOOKUP(C33,Inventory!$A:$I,9,FALSE),0))</f>
        <v>160</v>
      </c>
      <c r="H33" s="193">
        <f t="shared" si="1"/>
        <v>160</v>
      </c>
      <c r="I33" s="182">
        <f t="shared" si="2"/>
        <v>0.125</v>
      </c>
      <c r="J33" s="183">
        <v>180.0</v>
      </c>
      <c r="K33" s="183">
        <f t="shared" si="3"/>
        <v>720</v>
      </c>
      <c r="L33" s="177"/>
      <c r="M33" s="184">
        <f t="shared" si="4"/>
        <v>640</v>
      </c>
      <c r="N33" s="185" t="str">
        <f t="shared" si="5"/>
        <v/>
      </c>
      <c r="P33" s="73" t="str">
        <f>IF(Inventory!A33="","",Inventory!A33)</f>
        <v>PO-WET-SMHRT-TJ-85G-001</v>
      </c>
    </row>
    <row r="34" ht="14.25" customHeight="1">
      <c r="A34" s="186">
        <v>46231.0</v>
      </c>
      <c r="B34" s="187" t="s">
        <v>716</v>
      </c>
      <c r="C34" s="187" t="s">
        <v>349</v>
      </c>
      <c r="D34" s="188" t="str">
        <f>IF(C34="","",IFERROR(VLOOKUP(C34,Inventory!$A:$B,2,FALSE),""))</f>
        <v>PAW Cat Food Kitten Can Fish</v>
      </c>
      <c r="E34" s="188" t="str">
        <f>IF(C34="","",IFERROR(VLOOKUP(C34,Inventory!$A:$C,3,FALSE),""))</f>
        <v>Can Food</v>
      </c>
      <c r="F34" s="187">
        <v>4.0</v>
      </c>
      <c r="G34" s="180">
        <f>IF(C34="","",IFERROR(VLOOKUP(C34,Inventory!$A:$I,9,FALSE),0))</f>
        <v>130</v>
      </c>
      <c r="H34" s="189">
        <f t="shared" si="1"/>
        <v>130</v>
      </c>
      <c r="I34" s="190">
        <f t="shared" si="2"/>
        <v>0.1923076923</v>
      </c>
      <c r="J34" s="191">
        <v>155.0</v>
      </c>
      <c r="K34" s="191">
        <f t="shared" si="3"/>
        <v>620</v>
      </c>
      <c r="L34" s="187"/>
      <c r="M34" s="192">
        <f t="shared" si="4"/>
        <v>520</v>
      </c>
      <c r="N34" s="185" t="str">
        <f t="shared" si="5"/>
        <v/>
      </c>
      <c r="P34" s="73" t="str">
        <f>IF(Inventory!A34="","",Inventory!A34)</f>
        <v>PO-WET-SMHRT-TWC-85G-001</v>
      </c>
    </row>
    <row r="35" ht="14.25" customHeight="1">
      <c r="A35" s="176">
        <v>46226.0</v>
      </c>
      <c r="B35" s="177" t="s">
        <v>716</v>
      </c>
      <c r="C35" s="177" t="s">
        <v>209</v>
      </c>
      <c r="D35" s="179" t="str">
        <f>IF(C35="","",IFERROR(VLOOKUP(C35,Inventory!$A:$B,2,FALSE),""))</f>
        <v>Smart Heart Pouch Tuna in Jelly Kitten</v>
      </c>
      <c r="E35" s="179" t="str">
        <f>IF(C35="","",IFERROR(VLOOKUP(C35,Inventory!$A:$C,3,FALSE),""))</f>
        <v>Cat Pouch</v>
      </c>
      <c r="F35" s="177">
        <v>12.0</v>
      </c>
      <c r="G35" s="180">
        <f>IF(C35="","",IFERROR(VLOOKUP(C35,Inventory!$A:$I,9,FALSE),0))</f>
        <v>72</v>
      </c>
      <c r="H35" s="193">
        <f t="shared" si="1"/>
        <v>72</v>
      </c>
      <c r="I35" s="182">
        <f t="shared" si="2"/>
        <v>0.06944444444</v>
      </c>
      <c r="J35" s="183">
        <v>77.0</v>
      </c>
      <c r="K35" s="183">
        <f t="shared" si="3"/>
        <v>924</v>
      </c>
      <c r="L35" s="177"/>
      <c r="M35" s="184">
        <f t="shared" si="4"/>
        <v>864</v>
      </c>
      <c r="N35" s="185" t="str">
        <f t="shared" si="5"/>
        <v/>
      </c>
      <c r="P35" s="73" t="str">
        <f>IF(Inventory!A35="","",Inventory!A35)</f>
        <v>LT-CF-DD-25L-001</v>
      </c>
    </row>
    <row r="36" ht="14.25" customHeight="1">
      <c r="A36" s="186">
        <v>46250.0</v>
      </c>
      <c r="B36" s="187" t="s">
        <v>716</v>
      </c>
      <c r="C36" s="187" t="s">
        <v>209</v>
      </c>
      <c r="D36" s="188" t="str">
        <f>IF(C36="","",IFERROR(VLOOKUP(C36,Inventory!$A:$B,2,FALSE),""))</f>
        <v>Smart Heart Pouch Tuna in Jelly Kitten</v>
      </c>
      <c r="E36" s="188" t="str">
        <f>IF(C36="","",IFERROR(VLOOKUP(C36,Inventory!$A:$C,3,FALSE),""))</f>
        <v>Cat Pouch</v>
      </c>
      <c r="F36" s="187">
        <v>12.0</v>
      </c>
      <c r="G36" s="180">
        <f>IF(C36="","",IFERROR(VLOOKUP(C36,Inventory!$A:$I,9,FALSE),0))</f>
        <v>72</v>
      </c>
      <c r="H36" s="189">
        <f t="shared" si="1"/>
        <v>72</v>
      </c>
      <c r="I36" s="190">
        <f t="shared" si="2"/>
        <v>0.06944444444</v>
      </c>
      <c r="J36" s="191">
        <v>77.0</v>
      </c>
      <c r="K36" s="191">
        <f t="shared" si="3"/>
        <v>924</v>
      </c>
      <c r="L36" s="187" t="s">
        <v>717</v>
      </c>
      <c r="M36" s="192">
        <f t="shared" si="4"/>
        <v>864</v>
      </c>
      <c r="N36" s="185" t="str">
        <f t="shared" si="5"/>
        <v/>
      </c>
      <c r="P36" s="73" t="str">
        <f>IF(Inventory!A36="","",Inventory!A36)</f>
        <v>LT-AP-DD-25L-002</v>
      </c>
    </row>
    <row r="37" ht="14.25" customHeight="1">
      <c r="A37" s="176">
        <v>46250.0</v>
      </c>
      <c r="B37" s="177" t="s">
        <v>716</v>
      </c>
      <c r="C37" s="177" t="s">
        <v>183</v>
      </c>
      <c r="D37" s="179" t="str">
        <f>IF(C37="","",IFERROR(VLOOKUP(C37,Inventory!$A:$B,2,FALSE),""))</f>
        <v>Smart Heart Kitten Food Chicken, Fish, Egg &amp; Milk 450gm</v>
      </c>
      <c r="E37" s="179" t="str">
        <f>IF(C37="","",IFERROR(VLOOKUP(C37,Inventory!$A:$C,3,FALSE),""))</f>
        <v>Kitten Food</v>
      </c>
      <c r="F37" s="177">
        <v>6.0</v>
      </c>
      <c r="G37" s="180">
        <f>IF(C37="","",IFERROR(VLOOKUP(C37,Inventory!$A:$I,9,FALSE),0))</f>
        <v>290</v>
      </c>
      <c r="H37" s="193">
        <f t="shared" si="1"/>
        <v>290</v>
      </c>
      <c r="I37" s="182">
        <f t="shared" si="2"/>
        <v>0.06896551724</v>
      </c>
      <c r="J37" s="183">
        <v>310.0</v>
      </c>
      <c r="K37" s="183">
        <f t="shared" si="3"/>
        <v>1860</v>
      </c>
      <c r="L37" s="177" t="s">
        <v>717</v>
      </c>
      <c r="M37" s="184">
        <f t="shared" si="4"/>
        <v>1740</v>
      </c>
      <c r="N37" s="185" t="str">
        <f t="shared" si="5"/>
        <v/>
      </c>
      <c r="P37" s="73" t="str">
        <f>IF(Inventory!A37="","",Inventory!A37)</f>
        <v>LT-AP-DD-10L-001</v>
      </c>
    </row>
    <row r="38" ht="14.25" customHeight="1">
      <c r="A38" s="186">
        <v>46250.0</v>
      </c>
      <c r="B38" s="187" t="s">
        <v>716</v>
      </c>
      <c r="C38" s="187" t="s">
        <v>232</v>
      </c>
      <c r="D38" s="188" t="str">
        <f>IF(C38="","",IFERROR(VLOOKUP(C38,Inventory!$A:$B,2,FALSE),""))</f>
        <v>Smart Heart Adult Cat Food Chicken &amp; Tuna [480G]</v>
      </c>
      <c r="E38" s="188" t="str">
        <f>IF(C38="","",IFERROR(VLOOKUP(C38,Inventory!$A:$C,3,FALSE),""))</f>
        <v>Cat Food</v>
      </c>
      <c r="F38" s="187">
        <v>6.0</v>
      </c>
      <c r="G38" s="180">
        <f>IF(C38="","",IFERROR(VLOOKUP(C38,Inventory!$A:$I,9,FALSE),0))</f>
        <v>290.2631579</v>
      </c>
      <c r="H38" s="189">
        <f t="shared" si="1"/>
        <v>290.2631579</v>
      </c>
      <c r="I38" s="190">
        <f t="shared" si="2"/>
        <v>0.06799637353</v>
      </c>
      <c r="J38" s="191">
        <v>310.0</v>
      </c>
      <c r="K38" s="191">
        <f t="shared" si="3"/>
        <v>1860</v>
      </c>
      <c r="L38" s="187" t="s">
        <v>717</v>
      </c>
      <c r="M38" s="192">
        <f t="shared" si="4"/>
        <v>1741.578947</v>
      </c>
      <c r="N38" s="185" t="str">
        <f t="shared" si="5"/>
        <v/>
      </c>
      <c r="P38" s="73" t="str">
        <f>IF(Inventory!A38="","",Inventory!A38)</f>
        <v>AC-SHAMP-001</v>
      </c>
    </row>
    <row r="39" ht="14.25" customHeight="1">
      <c r="A39" s="176">
        <v>46250.0</v>
      </c>
      <c r="B39" s="177" t="s">
        <v>716</v>
      </c>
      <c r="C39" s="177" t="s">
        <v>211</v>
      </c>
      <c r="D39" s="179" t="str">
        <f>IF(C39="","",IFERROR(VLOOKUP(C39,Inventory!$A:$B,2,FALSE),""))</f>
        <v>Smart Heart Pouch  Tuna With Chicken in Jelly</v>
      </c>
      <c r="E39" s="179" t="str">
        <f>IF(C39="","",IFERROR(VLOOKUP(C39,Inventory!$A:$C,3,FALSE),""))</f>
        <v>Cat Pouch</v>
      </c>
      <c r="F39" s="177">
        <v>12.0</v>
      </c>
      <c r="G39" s="180">
        <f>IF(C39="","",IFERROR(VLOOKUP(C39,Inventory!$A:$I,9,FALSE),0))</f>
        <v>71.9047619</v>
      </c>
      <c r="H39" s="193">
        <f t="shared" si="1"/>
        <v>71.9047619</v>
      </c>
      <c r="I39" s="182">
        <f t="shared" si="2"/>
        <v>0.07086092715</v>
      </c>
      <c r="J39" s="183">
        <v>77.0</v>
      </c>
      <c r="K39" s="183">
        <f t="shared" si="3"/>
        <v>924</v>
      </c>
      <c r="L39" s="177" t="s">
        <v>717</v>
      </c>
      <c r="M39" s="184">
        <f t="shared" si="4"/>
        <v>862.8571429</v>
      </c>
      <c r="N39" s="185" t="str">
        <f t="shared" si="5"/>
        <v/>
      </c>
      <c r="P39" s="73" t="str">
        <f>IF(Inventory!A39="","",Inventory!A39)</f>
        <v>AC-BOWL-001</v>
      </c>
    </row>
    <row r="40" ht="14.25" customHeight="1">
      <c r="A40" s="186">
        <v>46250.0</v>
      </c>
      <c r="B40" s="187" t="s">
        <v>716</v>
      </c>
      <c r="C40" s="187" t="s">
        <v>192</v>
      </c>
      <c r="D40" s="188" t="str">
        <f>IF(C40="","",IFERROR(VLOOKUP(C40,Inventory!$A:$B,2,FALSE),""))</f>
        <v>Kaniva Fusion Multiviamins Chicken &amp; Pumpkin 500gm</v>
      </c>
      <c r="E40" s="188" t="str">
        <f>IF(C40="","",IFERROR(VLOOKUP(C40,Inventory!$A:$C,3,FALSE),""))</f>
        <v>Cat Food</v>
      </c>
      <c r="F40" s="187">
        <v>2.0</v>
      </c>
      <c r="G40" s="180">
        <f>IF(C40="","",IFERROR(VLOOKUP(C40,Inventory!$A:$I,9,FALSE),0))</f>
        <v>507</v>
      </c>
      <c r="H40" s="189">
        <f t="shared" si="1"/>
        <v>507</v>
      </c>
      <c r="I40" s="190">
        <f t="shared" si="2"/>
        <v>0.0650887574</v>
      </c>
      <c r="J40" s="191">
        <v>540.0</v>
      </c>
      <c r="K40" s="191">
        <f t="shared" si="3"/>
        <v>1080</v>
      </c>
      <c r="L40" s="187" t="s">
        <v>717</v>
      </c>
      <c r="M40" s="192">
        <f t="shared" si="4"/>
        <v>1014</v>
      </c>
      <c r="N40" s="185" t="str">
        <f t="shared" si="5"/>
        <v/>
      </c>
      <c r="P40" s="73" t="str">
        <f>IF(Inventory!A40="","",Inventory!A40)</f>
        <v>AC-CTOY-001</v>
      </c>
    </row>
    <row r="41" ht="14.25" customHeight="1">
      <c r="A41" s="176">
        <v>46250.0</v>
      </c>
      <c r="B41" s="177" t="s">
        <v>716</v>
      </c>
      <c r="C41" s="177" t="s">
        <v>194</v>
      </c>
      <c r="D41" s="179" t="str">
        <f>IF(C41="","",IFERROR(VLOOKUP(C41,Inventory!$A:$B,2,FALSE),""))</f>
        <v>Kaniva Fusion Beauty (Skin &amp; Coat) 500gm</v>
      </c>
      <c r="E41" s="179" t="str">
        <f>IF(C41="","",IFERROR(VLOOKUP(C41,Inventory!$A:$C,3,FALSE),""))</f>
        <v>Cat Food</v>
      </c>
      <c r="F41" s="177">
        <v>1.0</v>
      </c>
      <c r="G41" s="180">
        <f>IF(C41="","",IFERROR(VLOOKUP(C41,Inventory!$A:$I,9,FALSE),0))</f>
        <v>507</v>
      </c>
      <c r="H41" s="193">
        <f t="shared" si="1"/>
        <v>507</v>
      </c>
      <c r="I41" s="182">
        <f t="shared" si="2"/>
        <v>0.0650887574</v>
      </c>
      <c r="J41" s="183">
        <v>540.0</v>
      </c>
      <c r="K41" s="183">
        <f t="shared" si="3"/>
        <v>540</v>
      </c>
      <c r="L41" s="177" t="s">
        <v>717</v>
      </c>
      <c r="M41" s="184">
        <f t="shared" si="4"/>
        <v>507</v>
      </c>
      <c r="N41" s="185" t="str">
        <f t="shared" si="5"/>
        <v/>
      </c>
      <c r="P41" s="73" t="str">
        <f>IF(Inventory!A41="","",Inventory!A41)</f>
        <v>AC-HM-MD-001</v>
      </c>
    </row>
    <row r="42" ht="14.25" customHeight="1">
      <c r="A42" s="186">
        <v>46250.0</v>
      </c>
      <c r="B42" s="187" t="s">
        <v>716</v>
      </c>
      <c r="C42" s="187" t="s">
        <v>386</v>
      </c>
      <c r="D42" s="188" t="str">
        <f>IF(C42="","",IFERROR(VLOOKUP(C42,Inventory!$A:$B,2,FALSE),""))</f>
        <v>LuminaCat Litter Lemon 5L</v>
      </c>
      <c r="E42" s="188" t="str">
        <f>IF(C42="","",IFERROR(VLOOKUP(C42,Inventory!$A:$C,3,FALSE),""))</f>
        <v>Cat Litter</v>
      </c>
      <c r="F42" s="187">
        <v>2.0</v>
      </c>
      <c r="G42" s="180">
        <f>IF(C42="","",IFERROR(VLOOKUP(C42,Inventory!$A:$I,9,FALSE),0))</f>
        <v>190</v>
      </c>
      <c r="H42" s="189">
        <f t="shared" si="1"/>
        <v>190</v>
      </c>
      <c r="I42" s="190">
        <f t="shared" si="2"/>
        <v>0.1578947368</v>
      </c>
      <c r="J42" s="191">
        <v>220.0</v>
      </c>
      <c r="K42" s="191">
        <f t="shared" si="3"/>
        <v>440</v>
      </c>
      <c r="L42" s="187" t="s">
        <v>717</v>
      </c>
      <c r="M42" s="192">
        <f t="shared" si="4"/>
        <v>380</v>
      </c>
      <c r="N42" s="185" t="str">
        <f t="shared" si="5"/>
        <v/>
      </c>
      <c r="P42" s="73" t="str">
        <f>IF(Inventory!A42="","",Inventory!A42)</f>
        <v>FD-DRY-SMHRT-480G-002</v>
      </c>
    </row>
    <row r="43" ht="14.25" customHeight="1">
      <c r="A43" s="176">
        <v>46250.0</v>
      </c>
      <c r="B43" s="177" t="s">
        <v>716</v>
      </c>
      <c r="C43" s="177" t="s">
        <v>393</v>
      </c>
      <c r="D43" s="179" t="str">
        <f>IF(C43="","",IFERROR(VLOOKUP(C43,Inventory!$A:$B,2,FALSE),""))</f>
        <v>Lumina Cat Litter Lavender 5L</v>
      </c>
      <c r="E43" s="179" t="str">
        <f>IF(C43="","",IFERROR(VLOOKUP(C43,Inventory!$A:$C,3,FALSE),""))</f>
        <v>Cat Litter</v>
      </c>
      <c r="F43" s="177">
        <v>3.0</v>
      </c>
      <c r="G43" s="180">
        <f>IF(C43="","",IFERROR(VLOOKUP(C43,Inventory!$A:$I,9,FALSE),0))</f>
        <v>190</v>
      </c>
      <c r="H43" s="193">
        <f t="shared" si="1"/>
        <v>190</v>
      </c>
      <c r="I43" s="182">
        <f t="shared" si="2"/>
        <v>0.1578947368</v>
      </c>
      <c r="J43" s="183">
        <v>220.0</v>
      </c>
      <c r="K43" s="183">
        <f t="shared" si="3"/>
        <v>660</v>
      </c>
      <c r="L43" s="177" t="s">
        <v>717</v>
      </c>
      <c r="M43" s="184">
        <f t="shared" si="4"/>
        <v>570</v>
      </c>
      <c r="N43" s="185" t="str">
        <f t="shared" si="5"/>
        <v/>
      </c>
      <c r="P43" s="73" t="str">
        <f>IF(Inventory!A43="","",Inventory!A43)</f>
        <v>PO-WET-WK-80G-001-KT</v>
      </c>
    </row>
    <row r="44" ht="14.25" customHeight="1">
      <c r="A44" s="186">
        <v>46250.0</v>
      </c>
      <c r="B44" s="187" t="s">
        <v>716</v>
      </c>
      <c r="C44" s="187" t="s">
        <v>398</v>
      </c>
      <c r="D44" s="188" t="str">
        <f>IF(C44="","",IFERROR(VLOOKUP(C44,Inventory!$A:$B,2,FALSE),""))</f>
        <v>Lumina Cat Litter Apple 10L</v>
      </c>
      <c r="E44" s="188" t="str">
        <f>IF(C44="","",IFERROR(VLOOKUP(C44,Inventory!$A:$C,3,FALSE),""))</f>
        <v>Cat Litter</v>
      </c>
      <c r="F44" s="187">
        <v>1.0</v>
      </c>
      <c r="G44" s="180">
        <f>IF(C44="","",IFERROR(VLOOKUP(C44,Inventory!$A:$I,9,FALSE),0))</f>
        <v>385</v>
      </c>
      <c r="H44" s="189">
        <f t="shared" si="1"/>
        <v>385</v>
      </c>
      <c r="I44" s="190">
        <f t="shared" si="2"/>
        <v>0.06493506494</v>
      </c>
      <c r="J44" s="191">
        <v>410.0</v>
      </c>
      <c r="K44" s="191">
        <f t="shared" si="3"/>
        <v>410</v>
      </c>
      <c r="L44" s="187" t="s">
        <v>717</v>
      </c>
      <c r="M44" s="192">
        <f t="shared" si="4"/>
        <v>385</v>
      </c>
      <c r="N44" s="185" t="str">
        <f t="shared" si="5"/>
        <v/>
      </c>
      <c r="P44" s="73" t="str">
        <f>IF(Inventory!A44="","",Inventory!A44)</f>
        <v>AC-CTOY-002</v>
      </c>
    </row>
    <row r="45" ht="14.25" customHeight="1">
      <c r="A45" s="176">
        <v>46250.0</v>
      </c>
      <c r="B45" s="177" t="s">
        <v>716</v>
      </c>
      <c r="C45" s="177" t="s">
        <v>388</v>
      </c>
      <c r="D45" s="179" t="str">
        <f>IF(C45="","",IFERROR(VLOOKUP(C45,Inventory!$A:$B,2,FALSE),""))</f>
        <v>LuminaCat Litter Apple 5L</v>
      </c>
      <c r="E45" s="179" t="str">
        <f>IF(C45="","",IFERROR(VLOOKUP(C45,Inventory!$A:$C,3,FALSE),""))</f>
        <v>Cat Litter</v>
      </c>
      <c r="F45" s="177">
        <v>2.0</v>
      </c>
      <c r="G45" s="180">
        <f>IF(C45="","",IFERROR(VLOOKUP(C45,Inventory!$A:$I,9,FALSE),0))</f>
        <v>190</v>
      </c>
      <c r="H45" s="193">
        <f t="shared" si="1"/>
        <v>190</v>
      </c>
      <c r="I45" s="182">
        <f t="shared" si="2"/>
        <v>0.1578947368</v>
      </c>
      <c r="J45" s="183">
        <v>220.0</v>
      </c>
      <c r="K45" s="183">
        <f t="shared" si="3"/>
        <v>440</v>
      </c>
      <c r="L45" s="177" t="s">
        <v>717</v>
      </c>
      <c r="M45" s="184">
        <f t="shared" si="4"/>
        <v>380</v>
      </c>
      <c r="N45" s="185" t="str">
        <f t="shared" si="5"/>
        <v/>
      </c>
      <c r="P45" s="73" t="str">
        <f>IF(Inventory!A45="","",Inventory!A45)</f>
        <v>AC-PNC-SM-001</v>
      </c>
    </row>
    <row r="46" ht="14.25" customHeight="1">
      <c r="A46" s="186">
        <v>46250.0</v>
      </c>
      <c r="B46" s="187" t="s">
        <v>716</v>
      </c>
      <c r="C46" s="187" t="s">
        <v>196</v>
      </c>
      <c r="D46" s="188" t="str">
        <f>IF(C46="","",IFERROR(VLOOKUP(C46,Inventory!$A:$B,2,FALSE),""))</f>
        <v>Cozie Cat Litter Lemon 5L</v>
      </c>
      <c r="E46" s="188" t="str">
        <f>IF(C46="","",IFERROR(VLOOKUP(C46,Inventory!$A:$C,3,FALSE),""))</f>
        <v>Cat Litter</v>
      </c>
      <c r="F46" s="187">
        <v>2.0</v>
      </c>
      <c r="G46" s="180">
        <f>IF(C46="","",IFERROR(VLOOKUP(C46,Inventory!$A:$I,9,FALSE),0))</f>
        <v>230</v>
      </c>
      <c r="H46" s="189">
        <f t="shared" si="1"/>
        <v>230</v>
      </c>
      <c r="I46" s="190">
        <f t="shared" si="2"/>
        <v>0.1086956522</v>
      </c>
      <c r="J46" s="191">
        <v>255.0</v>
      </c>
      <c r="K46" s="191">
        <f t="shared" si="3"/>
        <v>510</v>
      </c>
      <c r="L46" s="187" t="s">
        <v>717</v>
      </c>
      <c r="M46" s="192">
        <f t="shared" si="4"/>
        <v>460</v>
      </c>
      <c r="N46" s="185" t="str">
        <f t="shared" si="5"/>
        <v/>
      </c>
      <c r="P46" s="73" t="str">
        <f>IF(Inventory!A46="","",Inventory!A46)</f>
        <v>AC-CB-RD-001</v>
      </c>
    </row>
    <row r="47" ht="14.25" customHeight="1">
      <c r="A47" s="176">
        <v>46250.0</v>
      </c>
      <c r="B47" s="177" t="s">
        <v>716</v>
      </c>
      <c r="C47" s="177" t="s">
        <v>202</v>
      </c>
      <c r="D47" s="179" t="str">
        <f>IF(C47="","",IFERROR(VLOOKUP(C47,Inventory!$A:$B,2,FALSE),""))</f>
        <v>Cozie Cat Litter Lavender 10L</v>
      </c>
      <c r="E47" s="179" t="str">
        <f>IF(C47="","",IFERROR(VLOOKUP(C47,Inventory!$A:$C,3,FALSE),""))</f>
        <v>Cat Litter</v>
      </c>
      <c r="F47" s="177">
        <v>1.0</v>
      </c>
      <c r="G47" s="180">
        <f>IF(C47="","",IFERROR(VLOOKUP(C47,Inventory!$A:$I,9,FALSE),0))</f>
        <v>450</v>
      </c>
      <c r="H47" s="193">
        <f t="shared" si="1"/>
        <v>450</v>
      </c>
      <c r="I47" s="182">
        <f t="shared" si="2"/>
        <v>0.1111111111</v>
      </c>
      <c r="J47" s="183">
        <v>500.0</v>
      </c>
      <c r="K47" s="183">
        <f t="shared" si="3"/>
        <v>500</v>
      </c>
      <c r="L47" s="177" t="s">
        <v>717</v>
      </c>
      <c r="M47" s="184">
        <f t="shared" si="4"/>
        <v>450</v>
      </c>
      <c r="N47" s="185" t="str">
        <f t="shared" si="5"/>
        <v/>
      </c>
      <c r="P47" s="73" t="str">
        <f>IF(Inventory!A47="","",Inventory!A47)</f>
        <v>AC-CB-BW-001</v>
      </c>
    </row>
    <row r="48" ht="14.25" customHeight="1">
      <c r="A48" s="186">
        <v>46250.0</v>
      </c>
      <c r="B48" s="187" t="s">
        <v>716</v>
      </c>
      <c r="C48" s="187" t="s">
        <v>338</v>
      </c>
      <c r="D48" s="188" t="str">
        <f>IF(C48="","",IFERROR(VLOOKUP(C48,Inventory!$A:$B,2,FALSE),""))</f>
        <v>Taipet Chicken Pouch</v>
      </c>
      <c r="E48" s="188" t="str">
        <f>IF(C48="","",IFERROR(VLOOKUP(C48,Inventory!$A:$C,3,FALSE),""))</f>
        <v>Cat Pouch</v>
      </c>
      <c r="F48" s="187">
        <v>12.0</v>
      </c>
      <c r="G48" s="180">
        <f>IF(C48="","",IFERROR(VLOOKUP(C48,Inventory!$A:$I,9,FALSE),0))</f>
        <v>50</v>
      </c>
      <c r="H48" s="189">
        <f t="shared" si="1"/>
        <v>50</v>
      </c>
      <c r="I48" s="190">
        <f t="shared" si="2"/>
        <v>0.16</v>
      </c>
      <c r="J48" s="191">
        <v>58.0</v>
      </c>
      <c r="K48" s="191">
        <f t="shared" si="3"/>
        <v>696</v>
      </c>
      <c r="L48" s="187" t="s">
        <v>717</v>
      </c>
      <c r="M48" s="192">
        <f t="shared" si="4"/>
        <v>600</v>
      </c>
      <c r="N48" s="185" t="str">
        <f t="shared" si="5"/>
        <v/>
      </c>
      <c r="P48" s="73" t="str">
        <f>IF(Inventory!A48="","",Inventory!A48)</f>
        <v>AC-CB-FC-001</v>
      </c>
    </row>
    <row r="49" ht="14.25" customHeight="1">
      <c r="A49" s="176">
        <v>46250.0</v>
      </c>
      <c r="B49" s="177" t="s">
        <v>716</v>
      </c>
      <c r="C49" s="177" t="s">
        <v>328</v>
      </c>
      <c r="D49" s="179" t="str">
        <f>IF(C49="","",IFERROR(VLOOKUP(C49,Inventory!$A:$B,2,FALSE),""))</f>
        <v>Smart Heart Kitten Cat Food Chicken &amp; Tuna 1.2KG</v>
      </c>
      <c r="E49" s="179" t="str">
        <f>IF(C49="","",IFERROR(VLOOKUP(C49,Inventory!$A:$C,3,FALSE),""))</f>
        <v>Cat Food</v>
      </c>
      <c r="F49" s="177">
        <v>3.0</v>
      </c>
      <c r="G49" s="180">
        <f>IF(C49="","",IFERROR(VLOOKUP(C49,Inventory!$A:$I,9,FALSE),0))</f>
        <v>635</v>
      </c>
      <c r="H49" s="193">
        <f t="shared" si="1"/>
        <v>635</v>
      </c>
      <c r="I49" s="182">
        <f t="shared" si="2"/>
        <v>0.03149606299</v>
      </c>
      <c r="J49" s="183">
        <v>655.0</v>
      </c>
      <c r="K49" s="183">
        <f t="shared" si="3"/>
        <v>1965</v>
      </c>
      <c r="L49" s="177" t="s">
        <v>717</v>
      </c>
      <c r="M49" s="184">
        <f t="shared" si="4"/>
        <v>1905</v>
      </c>
      <c r="N49" s="185" t="str">
        <f t="shared" si="5"/>
        <v/>
      </c>
      <c r="P49" s="73" t="str">
        <f>IF(Inventory!A49="","",Inventory!A49)</f>
        <v>AC-CTOY-003</v>
      </c>
    </row>
    <row r="50" ht="14.25" customHeight="1">
      <c r="A50" s="186">
        <v>46250.0</v>
      </c>
      <c r="B50" s="187" t="s">
        <v>716</v>
      </c>
      <c r="C50" s="187" t="s">
        <v>383</v>
      </c>
      <c r="D50" s="188" t="str">
        <f>IF(C50="","",IFERROR(VLOOKUP(C50,Inventory!$A:$B,2,FALSE),""))</f>
        <v>Kaniva Chicken, Tuna &amp; Rice Cat Food 1.5kg</v>
      </c>
      <c r="E50" s="188" t="str">
        <f>IF(C50="","",IFERROR(VLOOKUP(C50,Inventory!$A:$C,3,FALSE),""))</f>
        <v>Cat Food</v>
      </c>
      <c r="F50" s="187">
        <v>1.0</v>
      </c>
      <c r="G50" s="180">
        <f>IF(C50="","",IFERROR(VLOOKUP(C50,Inventory!$A:$I,9,FALSE),0))</f>
        <v>780</v>
      </c>
      <c r="H50" s="189">
        <f t="shared" si="1"/>
        <v>780</v>
      </c>
      <c r="I50" s="190">
        <f t="shared" si="2"/>
        <v>0.08974358974</v>
      </c>
      <c r="J50" s="191">
        <v>850.0</v>
      </c>
      <c r="K50" s="191">
        <f t="shared" si="3"/>
        <v>850</v>
      </c>
      <c r="L50" s="187" t="s">
        <v>717</v>
      </c>
      <c r="M50" s="192">
        <f t="shared" si="4"/>
        <v>780</v>
      </c>
      <c r="N50" s="185" t="str">
        <f t="shared" si="5"/>
        <v/>
      </c>
      <c r="P50" s="73" t="str">
        <f>IF(Inventory!A50="","",Inventory!A50)</f>
        <v>LT-MX-DCLP-5L-002</v>
      </c>
    </row>
    <row r="51" ht="14.25" customHeight="1">
      <c r="A51" s="186">
        <v>46250.0</v>
      </c>
      <c r="B51" s="187" t="s">
        <v>716</v>
      </c>
      <c r="C51" s="187" t="s">
        <v>338</v>
      </c>
      <c r="D51" s="188" t="str">
        <f>IF(C51="","",IFERROR(VLOOKUP(C51,Inventory!$A:$B,2,FALSE),""))</f>
        <v>Taipet Chicken Pouch</v>
      </c>
      <c r="E51" s="188" t="str">
        <f>IF(C51="","",IFERROR(VLOOKUP(C51,Inventory!$A:$C,3,FALSE),""))</f>
        <v>Cat Pouch</v>
      </c>
      <c r="F51" s="187"/>
      <c r="G51" s="180">
        <f>IF(C51="","",IFERROR(VLOOKUP(C51,Inventory!$A:$I,9,FALSE),0))</f>
        <v>50</v>
      </c>
      <c r="H51" s="189">
        <f t="shared" si="1"/>
        <v>50</v>
      </c>
      <c r="I51" s="190" t="str">
        <f t="shared" si="2"/>
        <v/>
      </c>
      <c r="J51" s="191"/>
      <c r="K51" s="191" t="str">
        <f t="shared" si="3"/>
        <v/>
      </c>
      <c r="L51" s="187"/>
      <c r="M51" s="192" t="str">
        <f t="shared" si="4"/>
        <v/>
      </c>
      <c r="N51" s="185" t="str">
        <f t="shared" si="5"/>
        <v/>
      </c>
      <c r="P51" s="73" t="str">
        <f>IF(Inventory!A51="","",Inventory!A51)</f>
        <v>LT-MX-DCLP-10L-001</v>
      </c>
    </row>
    <row r="52" ht="14.25" customHeight="1">
      <c r="A52" s="186"/>
      <c r="B52" s="187"/>
      <c r="C52" s="187"/>
      <c r="D52" s="188" t="str">
        <f>IF(C52="","",IFERROR(VLOOKUP(C52,Inventory!$A:$B,2,FALSE),""))</f>
        <v/>
      </c>
      <c r="E52" s="188" t="str">
        <f>IF(C52="","",IFERROR(VLOOKUP(C52,Inventory!$A:$C,3,FALSE),""))</f>
        <v/>
      </c>
      <c r="F52" s="187"/>
      <c r="G52" s="180" t="str">
        <f>IF(C52="","",IFERROR(VLOOKUP(C52,Inventory!$A:$I,9,FALSE),0))</f>
        <v/>
      </c>
      <c r="H52" s="189" t="str">
        <f t="shared" si="1"/>
        <v/>
      </c>
      <c r="I52" s="190" t="str">
        <f t="shared" si="2"/>
        <v/>
      </c>
      <c r="J52" s="191"/>
      <c r="K52" s="191" t="str">
        <f t="shared" si="3"/>
        <v/>
      </c>
      <c r="L52" s="187"/>
      <c r="M52" s="192" t="str">
        <f t="shared" si="4"/>
        <v/>
      </c>
      <c r="N52" s="185" t="str">
        <f t="shared" si="5"/>
        <v/>
      </c>
      <c r="P52" s="73" t="str">
        <f>IF(Inventory!A52="","",Inventory!A52)</f>
        <v>TR-CKN-SMHRT-70G-001</v>
      </c>
    </row>
    <row r="53" ht="14.25" customHeight="1">
      <c r="A53" s="186"/>
      <c r="B53" s="187"/>
      <c r="C53" s="187"/>
      <c r="D53" s="188" t="str">
        <f>IF(C53="","",IFERROR(VLOOKUP(C53,Inventory!$A:$B,2,FALSE),""))</f>
        <v/>
      </c>
      <c r="E53" s="188" t="str">
        <f>IF(C53="","",IFERROR(VLOOKUP(C53,Inventory!$A:$C,3,FALSE),""))</f>
        <v/>
      </c>
      <c r="F53" s="187"/>
      <c r="G53" s="180" t="str">
        <f>IF(C53="","",IFERROR(VLOOKUP(C53,Inventory!$A:$I,9,FALSE),0))</f>
        <v/>
      </c>
      <c r="H53" s="189" t="str">
        <f t="shared" si="1"/>
        <v/>
      </c>
      <c r="I53" s="190" t="str">
        <f t="shared" si="2"/>
        <v/>
      </c>
      <c r="J53" s="191"/>
      <c r="K53" s="191" t="str">
        <f t="shared" si="3"/>
        <v/>
      </c>
      <c r="L53" s="187"/>
      <c r="M53" s="192" t="str">
        <f t="shared" si="4"/>
        <v/>
      </c>
      <c r="N53" s="185" t="str">
        <f t="shared" si="5"/>
        <v/>
      </c>
      <c r="P53" s="73" t="str">
        <f>IF(Inventory!A53="","",Inventory!A53)</f>
        <v>FD-DRY-KTCN-400G-001</v>
      </c>
    </row>
    <row r="54" ht="14.25" customHeight="1">
      <c r="A54" s="186"/>
      <c r="B54" s="187"/>
      <c r="C54" s="187"/>
      <c r="D54" s="188" t="str">
        <f>IF(C54="","",IFERROR(VLOOKUP(C54,Inventory!$A:$B,2,FALSE),""))</f>
        <v/>
      </c>
      <c r="E54" s="188" t="str">
        <f>IF(C54="","",IFERROR(VLOOKUP(C54,Inventory!$A:$C,3,FALSE),""))</f>
        <v/>
      </c>
      <c r="F54" s="187"/>
      <c r="G54" s="180" t="str">
        <f>IF(C54="","",IFERROR(VLOOKUP(C54,Inventory!$A:$I,9,FALSE),0))</f>
        <v/>
      </c>
      <c r="H54" s="189" t="str">
        <f t="shared" si="1"/>
        <v/>
      </c>
      <c r="I54" s="190" t="str">
        <f t="shared" si="2"/>
        <v/>
      </c>
      <c r="J54" s="191"/>
      <c r="K54" s="191" t="str">
        <f t="shared" si="3"/>
        <v/>
      </c>
      <c r="L54" s="187"/>
      <c r="M54" s="192" t="str">
        <f t="shared" si="4"/>
        <v/>
      </c>
      <c r="N54" s="185" t="str">
        <f t="shared" si="5"/>
        <v/>
      </c>
      <c r="P54" s="73" t="str">
        <f>IF(Inventory!A54="","",Inventory!A54)</f>
        <v>FD-DRY-KTCN-400G-002</v>
      </c>
    </row>
    <row r="55" ht="14.25" customHeight="1">
      <c r="A55" s="186"/>
      <c r="B55" s="187"/>
      <c r="C55" s="187"/>
      <c r="D55" s="188" t="str">
        <f>IF(C55="","",IFERROR(VLOOKUP(C55,Inventory!$A:$B,2,FALSE),""))</f>
        <v/>
      </c>
      <c r="E55" s="188" t="str">
        <f>IF(C55="","",IFERROR(VLOOKUP(C55,Inventory!$A:$C,3,FALSE),""))</f>
        <v/>
      </c>
      <c r="F55" s="187"/>
      <c r="G55" s="180" t="str">
        <f>IF(C55="","",IFERROR(VLOOKUP(C55,Inventory!$A:$I,9,FALSE),0))</f>
        <v/>
      </c>
      <c r="H55" s="189" t="str">
        <f t="shared" si="1"/>
        <v/>
      </c>
      <c r="I55" s="190" t="str">
        <f t="shared" si="2"/>
        <v/>
      </c>
      <c r="J55" s="191"/>
      <c r="K55" s="191" t="str">
        <f t="shared" si="3"/>
        <v/>
      </c>
      <c r="L55" s="187"/>
      <c r="M55" s="192" t="str">
        <f t="shared" si="4"/>
        <v/>
      </c>
      <c r="N55" s="185" t="str">
        <f t="shared" si="5"/>
        <v/>
      </c>
      <c r="P55" s="73" t="str">
        <f>IF(Inventory!A55="","",Inventory!A55)</f>
        <v>FD-DRY-KTCN-1.5G-001</v>
      </c>
    </row>
    <row r="56" ht="14.25" customHeight="1">
      <c r="A56" s="186"/>
      <c r="B56" s="187"/>
      <c r="C56" s="187"/>
      <c r="D56" s="188" t="str">
        <f>IF(C56="","",IFERROR(VLOOKUP(C56,Inventory!$A:$B,2,FALSE),""))</f>
        <v/>
      </c>
      <c r="E56" s="188" t="str">
        <f>IF(C56="","",IFERROR(VLOOKUP(C56,Inventory!$A:$C,3,FALSE),""))</f>
        <v/>
      </c>
      <c r="F56" s="187"/>
      <c r="G56" s="180" t="str">
        <f>IF(C56="","",IFERROR(VLOOKUP(C56,Inventory!$A:$I,9,FALSE),0))</f>
        <v/>
      </c>
      <c r="H56" s="189" t="str">
        <f t="shared" si="1"/>
        <v/>
      </c>
      <c r="I56" s="190" t="str">
        <f t="shared" si="2"/>
        <v/>
      </c>
      <c r="J56" s="191"/>
      <c r="K56" s="191" t="str">
        <f t="shared" si="3"/>
        <v/>
      </c>
      <c r="L56" s="187"/>
      <c r="M56" s="192" t="str">
        <f t="shared" si="4"/>
        <v/>
      </c>
      <c r="N56" s="185" t="str">
        <f t="shared" si="5"/>
        <v/>
      </c>
      <c r="P56" s="73" t="str">
        <f>IF(Inventory!A56="","",Inventory!A56)</f>
        <v>FD-WET-KTCN-001</v>
      </c>
    </row>
    <row r="57" ht="14.25" customHeight="1">
      <c r="A57" s="186"/>
      <c r="B57" s="187"/>
      <c r="C57" s="187"/>
      <c r="D57" s="188" t="str">
        <f>IF(C57="","",IFERROR(VLOOKUP(C57,Inventory!$A:$B,2,FALSE),""))</f>
        <v/>
      </c>
      <c r="E57" s="188" t="str">
        <f>IF(C57="","",IFERROR(VLOOKUP(C57,Inventory!$A:$C,3,FALSE),""))</f>
        <v/>
      </c>
      <c r="F57" s="187"/>
      <c r="G57" s="180" t="str">
        <f>IF(C57="","",IFERROR(VLOOKUP(C57,Inventory!$A:$I,9,FALSE),0))</f>
        <v/>
      </c>
      <c r="H57" s="189" t="str">
        <f t="shared" si="1"/>
        <v/>
      </c>
      <c r="I57" s="190" t="str">
        <f t="shared" si="2"/>
        <v/>
      </c>
      <c r="J57" s="191"/>
      <c r="K57" s="191" t="str">
        <f t="shared" si="3"/>
        <v/>
      </c>
      <c r="L57" s="187"/>
      <c r="M57" s="192" t="str">
        <f t="shared" si="4"/>
        <v/>
      </c>
      <c r="N57" s="185" t="str">
        <f t="shared" si="5"/>
        <v/>
      </c>
      <c r="P57" s="73" t="str">
        <f>IF(Inventory!A57="","",Inventory!A57)</f>
        <v>FD-DRY-KTCN-1.5G-002</v>
      </c>
    </row>
    <row r="58" ht="14.25" customHeight="1">
      <c r="A58" s="186"/>
      <c r="B58" s="187"/>
      <c r="C58" s="187"/>
      <c r="D58" s="188" t="str">
        <f>IF(C58="","",IFERROR(VLOOKUP(C58,Inventory!$A:$B,2,FALSE),""))</f>
        <v/>
      </c>
      <c r="E58" s="188" t="str">
        <f>IF(C58="","",IFERROR(VLOOKUP(C58,Inventory!$A:$C,3,FALSE),""))</f>
        <v/>
      </c>
      <c r="F58" s="187"/>
      <c r="G58" s="180" t="str">
        <f>IF(C58="","",IFERROR(VLOOKUP(C58,Inventory!$A:$I,9,FALSE),0))</f>
        <v/>
      </c>
      <c r="H58" s="189" t="str">
        <f t="shared" si="1"/>
        <v/>
      </c>
      <c r="I58" s="190" t="str">
        <f t="shared" si="2"/>
        <v/>
      </c>
      <c r="J58" s="191"/>
      <c r="K58" s="191" t="str">
        <f t="shared" si="3"/>
        <v/>
      </c>
      <c r="L58" s="187"/>
      <c r="M58" s="192" t="str">
        <f t="shared" si="4"/>
        <v/>
      </c>
      <c r="N58" s="185" t="str">
        <f t="shared" si="5"/>
        <v/>
      </c>
      <c r="P58" s="73" t="str">
        <f>IF(Inventory!A58="","",Inventory!A58)</f>
        <v>FD-DRY-SMHRT-1.2KG-002</v>
      </c>
    </row>
    <row r="59" ht="14.25" customHeight="1">
      <c r="A59" s="186"/>
      <c r="B59" s="187"/>
      <c r="C59" s="187"/>
      <c r="D59" s="188" t="str">
        <f>IF(C59="","",IFERROR(VLOOKUP(C59,Inventory!$A:$B,2,FALSE),""))</f>
        <v/>
      </c>
      <c r="E59" s="188" t="str">
        <f>IF(C59="","",IFERROR(VLOOKUP(C59,Inventory!$A:$C,3,FALSE),""))</f>
        <v/>
      </c>
      <c r="F59" s="187"/>
      <c r="G59" s="180" t="str">
        <f>IF(C59="","",IFERROR(VLOOKUP(C59,Inventory!$A:$I,9,FALSE),0))</f>
        <v/>
      </c>
      <c r="H59" s="189" t="str">
        <f t="shared" si="1"/>
        <v/>
      </c>
      <c r="I59" s="190" t="str">
        <f t="shared" si="2"/>
        <v/>
      </c>
      <c r="J59" s="191"/>
      <c r="K59" s="191" t="str">
        <f t="shared" si="3"/>
        <v/>
      </c>
      <c r="L59" s="187"/>
      <c r="M59" s="192" t="str">
        <f t="shared" si="4"/>
        <v/>
      </c>
      <c r="N59" s="185" t="str">
        <f t="shared" si="5"/>
        <v/>
      </c>
      <c r="P59" s="73" t="str">
        <f>IF(Inventory!A59="","",Inventory!A59)</f>
        <v>AC-CF-001</v>
      </c>
    </row>
    <row r="60" ht="14.25" customHeight="1">
      <c r="A60" s="186"/>
      <c r="B60" s="187"/>
      <c r="C60" s="187"/>
      <c r="D60" s="188" t="str">
        <f>IF(C60="","",IFERROR(VLOOKUP(C60,Inventory!$A:$B,2,FALSE),""))</f>
        <v/>
      </c>
      <c r="E60" s="188" t="str">
        <f>IF(C60="","",IFERROR(VLOOKUP(C60,Inventory!$A:$C,3,FALSE),""))</f>
        <v/>
      </c>
      <c r="F60" s="187"/>
      <c r="G60" s="180" t="str">
        <f>IF(C60="","",IFERROR(VLOOKUP(C60,Inventory!$A:$I,9,FALSE),0))</f>
        <v/>
      </c>
      <c r="H60" s="189" t="str">
        <f t="shared" si="1"/>
        <v/>
      </c>
      <c r="I60" s="190" t="str">
        <f t="shared" si="2"/>
        <v/>
      </c>
      <c r="J60" s="191"/>
      <c r="K60" s="191" t="str">
        <f t="shared" si="3"/>
        <v/>
      </c>
      <c r="L60" s="187"/>
      <c r="M60" s="192" t="str">
        <f t="shared" si="4"/>
        <v/>
      </c>
      <c r="N60" s="185" t="str">
        <f t="shared" si="5"/>
        <v/>
      </c>
      <c r="P60" s="73" t="str">
        <f>IF(Inventory!A60="","",Inventory!A60)</f>
        <v>AC-CS-002</v>
      </c>
    </row>
    <row r="61" ht="14.25" customHeight="1">
      <c r="A61" s="186"/>
      <c r="B61" s="187"/>
      <c r="C61" s="187"/>
      <c r="D61" s="188" t="str">
        <f>IF(C61="","",IFERROR(VLOOKUP(C61,Inventory!$A:$B,2,FALSE),""))</f>
        <v/>
      </c>
      <c r="E61" s="188" t="str">
        <f>IF(C61="","",IFERROR(VLOOKUP(C61,Inventory!$A:$C,3,FALSE),""))</f>
        <v/>
      </c>
      <c r="F61" s="187"/>
      <c r="G61" s="180" t="str">
        <f>IF(C61="","",IFERROR(VLOOKUP(C61,Inventory!$A:$I,9,FALSE),0))</f>
        <v/>
      </c>
      <c r="H61" s="189" t="str">
        <f t="shared" si="1"/>
        <v/>
      </c>
      <c r="I61" s="190" t="str">
        <f t="shared" si="2"/>
        <v/>
      </c>
      <c r="J61" s="191"/>
      <c r="K61" s="191" t="str">
        <f t="shared" si="3"/>
        <v/>
      </c>
      <c r="L61" s="187"/>
      <c r="M61" s="192" t="str">
        <f t="shared" si="4"/>
        <v/>
      </c>
      <c r="N61" s="185" t="str">
        <f t="shared" si="5"/>
        <v/>
      </c>
      <c r="P61" s="73" t="str">
        <f>IF(Inventory!A61="","",Inventory!A61)</f>
        <v>FD-DRY-ZOI-1KG-001</v>
      </c>
    </row>
    <row r="62" ht="14.25" customHeight="1">
      <c r="A62" s="186"/>
      <c r="B62" s="187"/>
      <c r="C62" s="187"/>
      <c r="D62" s="188" t="str">
        <f>IF(C62="","",IFERROR(VLOOKUP(C62,Inventory!$A:$B,2,FALSE),""))</f>
        <v/>
      </c>
      <c r="E62" s="188" t="str">
        <f>IF(C62="","",IFERROR(VLOOKUP(C62,Inventory!$A:$C,3,FALSE),""))</f>
        <v/>
      </c>
      <c r="F62" s="187"/>
      <c r="G62" s="180" t="str">
        <f>IF(C62="","",IFERROR(VLOOKUP(C62,Inventory!$A:$I,9,FALSE),0))</f>
        <v/>
      </c>
      <c r="H62" s="189" t="str">
        <f t="shared" si="1"/>
        <v/>
      </c>
      <c r="I62" s="190" t="str">
        <f t="shared" si="2"/>
        <v/>
      </c>
      <c r="J62" s="191"/>
      <c r="K62" s="191" t="str">
        <f t="shared" si="3"/>
        <v/>
      </c>
      <c r="L62" s="187"/>
      <c r="M62" s="192" t="str">
        <f t="shared" si="4"/>
        <v/>
      </c>
      <c r="N62" s="185" t="str">
        <f t="shared" si="5"/>
        <v/>
      </c>
      <c r="P62" s="73" t="str">
        <f>IF(Inventory!A62="","",Inventory!A62)</f>
        <v>PO-WET-NK-70G-004</v>
      </c>
    </row>
    <row r="63" ht="14.25" customHeight="1">
      <c r="A63" s="186"/>
      <c r="B63" s="187"/>
      <c r="C63" s="187"/>
      <c r="D63" s="188" t="str">
        <f>IF(C63="","",IFERROR(VLOOKUP(C63,Inventory!$A:$B,2,FALSE),""))</f>
        <v/>
      </c>
      <c r="E63" s="188" t="str">
        <f>IF(C63="","",IFERROR(VLOOKUP(C63,Inventory!$A:$C,3,FALSE),""))</f>
        <v/>
      </c>
      <c r="F63" s="187"/>
      <c r="G63" s="180" t="str">
        <f>IF(C63="","",IFERROR(VLOOKUP(C63,Inventory!$A:$I,9,FALSE),0))</f>
        <v/>
      </c>
      <c r="H63" s="189" t="str">
        <f t="shared" si="1"/>
        <v/>
      </c>
      <c r="I63" s="190" t="str">
        <f t="shared" si="2"/>
        <v/>
      </c>
      <c r="J63" s="191"/>
      <c r="K63" s="191" t="str">
        <f t="shared" si="3"/>
        <v/>
      </c>
      <c r="L63" s="187"/>
      <c r="M63" s="192" t="str">
        <f t="shared" si="4"/>
        <v/>
      </c>
      <c r="N63" s="185" t="str">
        <f t="shared" si="5"/>
        <v/>
      </c>
      <c r="P63" s="73" t="str">
        <f>IF(Inventory!A63="","",Inventory!A63)</f>
        <v>FD-DRY-TRL-1KG-001</v>
      </c>
    </row>
    <row r="64" ht="14.25" customHeight="1">
      <c r="A64" s="186"/>
      <c r="B64" s="187"/>
      <c r="C64" s="187"/>
      <c r="D64" s="188" t="str">
        <f>IF(C64="","",IFERROR(VLOOKUP(C64,Inventory!$A:$B,2,FALSE),""))</f>
        <v/>
      </c>
      <c r="E64" s="188" t="str">
        <f>IF(C64="","",IFERROR(VLOOKUP(C64,Inventory!$A:$C,3,FALSE),""))</f>
        <v/>
      </c>
      <c r="F64" s="187"/>
      <c r="G64" s="180" t="str">
        <f>IF(C64="","",IFERROR(VLOOKUP(C64,Inventory!$A:$I,9,FALSE),0))</f>
        <v/>
      </c>
      <c r="H64" s="189" t="str">
        <f t="shared" si="1"/>
        <v/>
      </c>
      <c r="I64" s="190" t="str">
        <f t="shared" si="2"/>
        <v/>
      </c>
      <c r="J64" s="191"/>
      <c r="K64" s="191" t="str">
        <f t="shared" si="3"/>
        <v/>
      </c>
      <c r="L64" s="187"/>
      <c r="M64" s="192" t="str">
        <f t="shared" si="4"/>
        <v/>
      </c>
      <c r="N64" s="185" t="str">
        <f t="shared" si="5"/>
        <v/>
      </c>
      <c r="P64" s="73" t="str">
        <f>IF(Inventory!A64="","",Inventory!A64)</f>
        <v>FD-DRY-SMHRT-10KG-001</v>
      </c>
    </row>
    <row r="65" ht="14.25" customHeight="1">
      <c r="A65" s="186"/>
      <c r="B65" s="187"/>
      <c r="C65" s="187"/>
      <c r="D65" s="188" t="str">
        <f>IF(C65="","",IFERROR(VLOOKUP(C65,Inventory!$A:$B,2,FALSE),""))</f>
        <v/>
      </c>
      <c r="E65" s="188" t="str">
        <f>IF(C65="","",IFERROR(VLOOKUP(C65,Inventory!$A:$C,3,FALSE),""))</f>
        <v/>
      </c>
      <c r="F65" s="187"/>
      <c r="G65" s="180" t="str">
        <f>IF(C65="","",IFERROR(VLOOKUP(C65,Inventory!$A:$I,9,FALSE),0))</f>
        <v/>
      </c>
      <c r="H65" s="189" t="str">
        <f t="shared" si="1"/>
        <v/>
      </c>
      <c r="I65" s="190" t="str">
        <f t="shared" si="2"/>
        <v/>
      </c>
      <c r="J65" s="191"/>
      <c r="K65" s="191" t="str">
        <f t="shared" si="3"/>
        <v/>
      </c>
      <c r="L65" s="187"/>
      <c r="M65" s="192" t="str">
        <f t="shared" si="4"/>
        <v/>
      </c>
      <c r="N65" s="185" t="str">
        <f t="shared" si="5"/>
        <v/>
      </c>
      <c r="P65" s="73" t="str">
        <f>IF(Inventory!A65="","",Inventory!A65)</f>
        <v>AC-CB-HRNS-001</v>
      </c>
    </row>
    <row r="66" ht="14.25" customHeight="1">
      <c r="A66" s="186"/>
      <c r="B66" s="187"/>
      <c r="C66" s="187"/>
      <c r="D66" s="188" t="str">
        <f>IF(C66="","",IFERROR(VLOOKUP(C66,Inventory!$A:$B,2,FALSE),""))</f>
        <v/>
      </c>
      <c r="E66" s="188" t="str">
        <f>IF(C66="","",IFERROR(VLOOKUP(C66,Inventory!$A:$C,3,FALSE),""))</f>
        <v/>
      </c>
      <c r="F66" s="187"/>
      <c r="G66" s="180" t="str">
        <f>IF(C66="","",IFERROR(VLOOKUP(C66,Inventory!$A:$I,9,FALSE),0))</f>
        <v/>
      </c>
      <c r="H66" s="189" t="str">
        <f t="shared" si="1"/>
        <v/>
      </c>
      <c r="I66" s="190" t="str">
        <f t="shared" si="2"/>
        <v/>
      </c>
      <c r="J66" s="191"/>
      <c r="K66" s="191" t="str">
        <f t="shared" si="3"/>
        <v/>
      </c>
      <c r="L66" s="187"/>
      <c r="M66" s="192" t="str">
        <f t="shared" si="4"/>
        <v/>
      </c>
      <c r="N66" s="185" t="str">
        <f t="shared" si="5"/>
        <v/>
      </c>
      <c r="P66" s="73" t="str">
        <f>IF(Inventory!A66="","",Inventory!A66)</f>
        <v>AC-CB-HRNS-002</v>
      </c>
    </row>
    <row r="67" ht="14.25" customHeight="1">
      <c r="A67" s="186"/>
      <c r="B67" s="187"/>
      <c r="C67" s="187"/>
      <c r="D67" s="188" t="str">
        <f>IF(C67="","",IFERROR(VLOOKUP(C67,Inventory!$A:$B,2,FALSE),""))</f>
        <v/>
      </c>
      <c r="E67" s="188" t="str">
        <f>IF(C67="","",IFERROR(VLOOKUP(C67,Inventory!$A:$C,3,FALSE),""))</f>
        <v/>
      </c>
      <c r="F67" s="187"/>
      <c r="G67" s="180" t="str">
        <f>IF(C67="","",IFERROR(VLOOKUP(C67,Inventory!$A:$I,9,FALSE),0))</f>
        <v/>
      </c>
      <c r="H67" s="189" t="str">
        <f t="shared" si="1"/>
        <v/>
      </c>
      <c r="I67" s="190" t="str">
        <f t="shared" si="2"/>
        <v/>
      </c>
      <c r="J67" s="191"/>
      <c r="K67" s="191" t="str">
        <f t="shared" si="3"/>
        <v/>
      </c>
      <c r="L67" s="187"/>
      <c r="M67" s="192" t="str">
        <f t="shared" si="4"/>
        <v/>
      </c>
      <c r="N67" s="185" t="str">
        <f t="shared" si="5"/>
        <v/>
      </c>
      <c r="P67" s="73" t="str">
        <f>IF(Inventory!A67="","",Inventory!A67)</f>
        <v>AC-CMB-001</v>
      </c>
    </row>
    <row r="68" ht="14.25" customHeight="1">
      <c r="A68" s="186"/>
      <c r="B68" s="187"/>
      <c r="C68" s="187"/>
      <c r="D68" s="188" t="str">
        <f>IF(C68="","",IFERROR(VLOOKUP(C68,Inventory!$A:$B,2,FALSE),""))</f>
        <v/>
      </c>
      <c r="E68" s="188" t="str">
        <f>IF(C68="","",IFERROR(VLOOKUP(C68,Inventory!$A:$C,3,FALSE),""))</f>
        <v/>
      </c>
      <c r="F68" s="187"/>
      <c r="G68" s="180" t="str">
        <f>IF(C68="","",IFERROR(VLOOKUP(C68,Inventory!$A:$I,9,FALSE),0))</f>
        <v/>
      </c>
      <c r="H68" s="189" t="str">
        <f t="shared" si="1"/>
        <v/>
      </c>
      <c r="I68" s="190" t="str">
        <f t="shared" si="2"/>
        <v/>
      </c>
      <c r="J68" s="191"/>
      <c r="K68" s="191" t="str">
        <f t="shared" si="3"/>
        <v/>
      </c>
      <c r="L68" s="187"/>
      <c r="M68" s="192" t="str">
        <f t="shared" si="4"/>
        <v/>
      </c>
      <c r="N68" s="185" t="str">
        <f t="shared" si="5"/>
        <v/>
      </c>
      <c r="P68" s="73" t="str">
        <f>IF(Inventory!A68="","",Inventory!A68)</f>
        <v>FD-DRY-SMHRT-1.2KG-003</v>
      </c>
    </row>
    <row r="69" ht="14.25" customHeight="1">
      <c r="A69" s="186"/>
      <c r="B69" s="187"/>
      <c r="C69" s="187"/>
      <c r="D69" s="188" t="str">
        <f>IF(C69="","",IFERROR(VLOOKUP(C69,Inventory!$A:$B,2,FALSE),""))</f>
        <v/>
      </c>
      <c r="E69" s="188" t="str">
        <f>IF(C69="","",IFERROR(VLOOKUP(C69,Inventory!$A:$C,3,FALSE),""))</f>
        <v/>
      </c>
      <c r="F69" s="187"/>
      <c r="G69" s="180" t="str">
        <f>IF(C69="","",IFERROR(VLOOKUP(C69,Inventory!$A:$I,9,FALSE),0))</f>
        <v/>
      </c>
      <c r="H69" s="189" t="str">
        <f t="shared" si="1"/>
        <v/>
      </c>
      <c r="I69" s="190" t="str">
        <f t="shared" si="2"/>
        <v/>
      </c>
      <c r="J69" s="191"/>
      <c r="K69" s="191" t="str">
        <f t="shared" si="3"/>
        <v/>
      </c>
      <c r="L69" s="187"/>
      <c r="M69" s="192" t="str">
        <f t="shared" si="4"/>
        <v/>
      </c>
      <c r="N69" s="185" t="str">
        <f t="shared" si="5"/>
        <v/>
      </c>
      <c r="P69" s="73" t="str">
        <f>IF(Inventory!A69="","",Inventory!A69)</f>
        <v>FD-DRY-DR-DOG-3-0001</v>
      </c>
    </row>
    <row r="70" ht="14.25" customHeight="1">
      <c r="A70" s="186"/>
      <c r="B70" s="187"/>
      <c r="C70" s="187"/>
      <c r="D70" s="188" t="str">
        <f>IF(C70="","",IFERROR(VLOOKUP(C70,Inventory!$A:$B,2,FALSE),""))</f>
        <v/>
      </c>
      <c r="E70" s="188" t="str">
        <f>IF(C70="","",IFERROR(VLOOKUP(C70,Inventory!$A:$C,3,FALSE),""))</f>
        <v/>
      </c>
      <c r="F70" s="187"/>
      <c r="G70" s="180" t="str">
        <f>IF(C70="","",IFERROR(VLOOKUP(C70,Inventory!$A:$I,9,FALSE),0))</f>
        <v/>
      </c>
      <c r="H70" s="189" t="str">
        <f t="shared" si="1"/>
        <v/>
      </c>
      <c r="I70" s="190" t="str">
        <f t="shared" si="2"/>
        <v/>
      </c>
      <c r="J70" s="191"/>
      <c r="K70" s="191" t="str">
        <f t="shared" si="3"/>
        <v/>
      </c>
      <c r="L70" s="187"/>
      <c r="M70" s="192" t="str">
        <f t="shared" si="4"/>
        <v/>
      </c>
      <c r="N70" s="185" t="str">
        <f t="shared" si="5"/>
        <v/>
      </c>
      <c r="P70" s="73" t="str">
        <f>IF(Inventory!A70="","",Inventory!A70)</f>
        <v>AC-CS-BAG-001</v>
      </c>
    </row>
    <row r="71" ht="14.25" customHeight="1">
      <c r="A71" s="186"/>
      <c r="B71" s="187"/>
      <c r="C71" s="187"/>
      <c r="D71" s="188" t="str">
        <f>IF(C71="","",IFERROR(VLOOKUP(C71,Inventory!$A:$B,2,FALSE),""))</f>
        <v/>
      </c>
      <c r="E71" s="188" t="str">
        <f>IF(C71="","",IFERROR(VLOOKUP(C71,Inventory!$A:$C,3,FALSE),""))</f>
        <v/>
      </c>
      <c r="F71" s="187"/>
      <c r="G71" s="180" t="str">
        <f>IF(C71="","",IFERROR(VLOOKUP(C71,Inventory!$A:$I,9,FALSE),0))</f>
        <v/>
      </c>
      <c r="H71" s="189" t="str">
        <f t="shared" si="1"/>
        <v/>
      </c>
      <c r="I71" s="190" t="str">
        <f t="shared" si="2"/>
        <v/>
      </c>
      <c r="J71" s="191"/>
      <c r="K71" s="191" t="str">
        <f t="shared" si="3"/>
        <v/>
      </c>
      <c r="L71" s="187"/>
      <c r="M71" s="192" t="str">
        <f t="shared" si="4"/>
        <v/>
      </c>
      <c r="N71" s="185" t="str">
        <f t="shared" si="5"/>
        <v/>
      </c>
      <c r="P71" s="73" t="str">
        <f>IF(Inventory!A71="","",Inventory!A71)</f>
        <v>PO-TP-70G-001</v>
      </c>
    </row>
    <row r="72" ht="14.25" customHeight="1">
      <c r="A72" s="186"/>
      <c r="B72" s="187"/>
      <c r="C72" s="187"/>
      <c r="D72" s="188" t="str">
        <f>IF(C72="","",IFERROR(VLOOKUP(C72,Inventory!$A:$B,2,FALSE),""))</f>
        <v/>
      </c>
      <c r="E72" s="188" t="str">
        <f>IF(C72="","",IFERROR(VLOOKUP(C72,Inventory!$A:$C,3,FALSE),""))</f>
        <v/>
      </c>
      <c r="F72" s="187"/>
      <c r="G72" s="180" t="str">
        <f>IF(C72="","",IFERROR(VLOOKUP(C72,Inventory!$A:$I,9,FALSE),0))</f>
        <v/>
      </c>
      <c r="H72" s="189" t="str">
        <f t="shared" si="1"/>
        <v/>
      </c>
      <c r="I72" s="190" t="str">
        <f t="shared" si="2"/>
        <v/>
      </c>
      <c r="J72" s="191"/>
      <c r="K72" s="191" t="str">
        <f t="shared" si="3"/>
        <v/>
      </c>
      <c r="L72" s="187"/>
      <c r="M72" s="192" t="str">
        <f t="shared" si="4"/>
        <v/>
      </c>
      <c r="N72" s="185" t="str">
        <f t="shared" si="5"/>
        <v/>
      </c>
      <c r="P72" s="73" t="str">
        <f>IF(Inventory!A72="","",Inventory!A72)</f>
        <v>PO-TP-70G-002</v>
      </c>
    </row>
    <row r="73" ht="14.25" customHeight="1">
      <c r="A73" s="186"/>
      <c r="B73" s="187"/>
      <c r="C73" s="187"/>
      <c r="D73" s="188" t="str">
        <f>IF(C73="","",IFERROR(VLOOKUP(C73,Inventory!$A:$B,2,FALSE),""))</f>
        <v/>
      </c>
      <c r="E73" s="188" t="str">
        <f>IF(C73="","",IFERROR(VLOOKUP(C73,Inventory!$A:$C,3,FALSE),""))</f>
        <v/>
      </c>
      <c r="F73" s="187"/>
      <c r="G73" s="180" t="str">
        <f>IF(C73="","",IFERROR(VLOOKUP(C73,Inventory!$A:$I,9,FALSE),0))</f>
        <v/>
      </c>
      <c r="H73" s="189" t="str">
        <f t="shared" si="1"/>
        <v/>
      </c>
      <c r="I73" s="190" t="str">
        <f t="shared" si="2"/>
        <v/>
      </c>
      <c r="J73" s="191"/>
      <c r="K73" s="191" t="str">
        <f t="shared" si="3"/>
        <v/>
      </c>
      <c r="L73" s="187"/>
      <c r="M73" s="192" t="str">
        <f t="shared" si="4"/>
        <v/>
      </c>
      <c r="N73" s="185" t="str">
        <f t="shared" si="5"/>
        <v/>
      </c>
      <c r="P73" s="73" t="str">
        <f>IF(Inventory!A73="","",Inventory!A73)</f>
        <v>AC-BCR-001</v>
      </c>
    </row>
    <row r="74" ht="14.25" customHeight="1">
      <c r="A74" s="186"/>
      <c r="B74" s="187"/>
      <c r="C74" s="187"/>
      <c r="D74" s="188" t="str">
        <f>IF(C74="","",IFERROR(VLOOKUP(C74,Inventory!$A:$B,2,FALSE),""))</f>
        <v/>
      </c>
      <c r="E74" s="188" t="str">
        <f>IF(C74="","",IFERROR(VLOOKUP(C74,Inventory!$A:$C,3,FALSE),""))</f>
        <v/>
      </c>
      <c r="F74" s="187"/>
      <c r="G74" s="180" t="str">
        <f>IF(C74="","",IFERROR(VLOOKUP(C74,Inventory!$A:$I,9,FALSE),0))</f>
        <v/>
      </c>
      <c r="H74" s="189" t="str">
        <f t="shared" si="1"/>
        <v/>
      </c>
      <c r="I74" s="190" t="str">
        <f t="shared" si="2"/>
        <v/>
      </c>
      <c r="J74" s="191"/>
      <c r="K74" s="191" t="str">
        <f t="shared" si="3"/>
        <v/>
      </c>
      <c r="L74" s="187"/>
      <c r="M74" s="192" t="str">
        <f t="shared" si="4"/>
        <v/>
      </c>
      <c r="N74" s="185" t="str">
        <f t="shared" si="5"/>
        <v/>
      </c>
      <c r="P74" s="73" t="str">
        <f>IF(Inventory!A74="","",Inventory!A74)</f>
        <v>CN-WAN-375G-001</v>
      </c>
    </row>
    <row r="75" ht="14.25" customHeight="1">
      <c r="A75" s="186"/>
      <c r="B75" s="187"/>
      <c r="C75" s="187"/>
      <c r="D75" s="188" t="str">
        <f>IF(C75="","",IFERROR(VLOOKUP(C75,Inventory!$A:$B,2,FALSE),""))</f>
        <v/>
      </c>
      <c r="E75" s="188" t="str">
        <f>IF(C75="","",IFERROR(VLOOKUP(C75,Inventory!$A:$C,3,FALSE),""))</f>
        <v/>
      </c>
      <c r="F75" s="187"/>
      <c r="G75" s="180" t="str">
        <f>IF(C75="","",IFERROR(VLOOKUP(C75,Inventory!$A:$I,9,FALSE),0))</f>
        <v/>
      </c>
      <c r="H75" s="189" t="str">
        <f t="shared" si="1"/>
        <v/>
      </c>
      <c r="I75" s="190" t="str">
        <f t="shared" si="2"/>
        <v/>
      </c>
      <c r="J75" s="191"/>
      <c r="K75" s="191" t="str">
        <f t="shared" si="3"/>
        <v/>
      </c>
      <c r="L75" s="187"/>
      <c r="M75" s="192" t="str">
        <f t="shared" si="4"/>
        <v/>
      </c>
      <c r="N75" s="185" t="str">
        <f t="shared" si="5"/>
        <v/>
      </c>
      <c r="P75" s="73" t="str">
        <f>IF(Inventory!A75="","",Inventory!A75)</f>
        <v>CN-WAN-375G-002</v>
      </c>
    </row>
    <row r="76" ht="14.25" customHeight="1">
      <c r="A76" s="186"/>
      <c r="B76" s="187"/>
      <c r="C76" s="187"/>
      <c r="D76" s="188" t="str">
        <f>IF(C76="","",IFERROR(VLOOKUP(C76,Inventory!$A:$B,2,FALSE),""))</f>
        <v/>
      </c>
      <c r="E76" s="188" t="str">
        <f>IF(C76="","",IFERROR(VLOOKUP(C76,Inventory!$A:$C,3,FALSE),""))</f>
        <v/>
      </c>
      <c r="F76" s="187"/>
      <c r="G76" s="180" t="str">
        <f>IF(C76="","",IFERROR(VLOOKUP(C76,Inventory!$A:$I,9,FALSE),0))</f>
        <v/>
      </c>
      <c r="H76" s="189" t="str">
        <f t="shared" si="1"/>
        <v/>
      </c>
      <c r="I76" s="190" t="str">
        <f t="shared" si="2"/>
        <v/>
      </c>
      <c r="J76" s="191"/>
      <c r="K76" s="191" t="str">
        <f t="shared" si="3"/>
        <v/>
      </c>
      <c r="L76" s="187"/>
      <c r="M76" s="192" t="str">
        <f t="shared" si="4"/>
        <v/>
      </c>
      <c r="N76" s="185" t="str">
        <f t="shared" si="5"/>
        <v/>
      </c>
      <c r="P76" s="73" t="str">
        <f>IF(Inventory!A76="","",Inventory!A76)</f>
        <v>CN-PAW-400G-001</v>
      </c>
    </row>
    <row r="77" ht="14.25" customHeight="1">
      <c r="A77" s="186"/>
      <c r="B77" s="187"/>
      <c r="C77" s="187"/>
      <c r="D77" s="188" t="str">
        <f>IF(C77="","",IFERROR(VLOOKUP(C77,Inventory!$A:$B,2,FALSE),""))</f>
        <v/>
      </c>
      <c r="E77" s="188" t="str">
        <f>IF(C77="","",IFERROR(VLOOKUP(C77,Inventory!$A:$C,3,FALSE),""))</f>
        <v/>
      </c>
      <c r="F77" s="187"/>
      <c r="G77" s="180" t="str">
        <f>IF(C77="","",IFERROR(VLOOKUP(C77,Inventory!$A:$I,9,FALSE),0))</f>
        <v/>
      </c>
      <c r="H77" s="189" t="str">
        <f t="shared" si="1"/>
        <v/>
      </c>
      <c r="I77" s="190" t="str">
        <f t="shared" si="2"/>
        <v/>
      </c>
      <c r="J77" s="191"/>
      <c r="K77" s="191" t="str">
        <f t="shared" si="3"/>
        <v/>
      </c>
      <c r="L77" s="187"/>
      <c r="M77" s="192" t="str">
        <f t="shared" si="4"/>
        <v/>
      </c>
      <c r="N77" s="185" t="str">
        <f t="shared" si="5"/>
        <v/>
      </c>
      <c r="P77" s="73" t="str">
        <f>IF(Inventory!A77="","",Inventory!A77)</f>
        <v>CN-PAW-400G-002</v>
      </c>
    </row>
    <row r="78" ht="14.25" customHeight="1">
      <c r="A78" s="186"/>
      <c r="B78" s="187"/>
      <c r="C78" s="187"/>
      <c r="D78" s="188" t="str">
        <f>IF(C78="","",IFERROR(VLOOKUP(C78,Inventory!$A:$B,2,FALSE),""))</f>
        <v/>
      </c>
      <c r="E78" s="188" t="str">
        <f>IF(C78="","",IFERROR(VLOOKUP(C78,Inventory!$A:$C,3,FALSE),""))</f>
        <v/>
      </c>
      <c r="F78" s="187"/>
      <c r="G78" s="180" t="str">
        <f>IF(C78="","",IFERROR(VLOOKUP(C78,Inventory!$A:$I,9,FALSE),0))</f>
        <v/>
      </c>
      <c r="H78" s="189" t="str">
        <f t="shared" si="1"/>
        <v/>
      </c>
      <c r="I78" s="190" t="str">
        <f t="shared" si="2"/>
        <v/>
      </c>
      <c r="J78" s="191"/>
      <c r="K78" s="191" t="str">
        <f t="shared" si="3"/>
        <v/>
      </c>
      <c r="L78" s="187"/>
      <c r="M78" s="192" t="str">
        <f t="shared" si="4"/>
        <v/>
      </c>
      <c r="N78" s="185" t="str">
        <f t="shared" si="5"/>
        <v/>
      </c>
      <c r="P78" s="73" t="str">
        <f>IF(Inventory!A78="","",Inventory!A78)</f>
        <v>AC-BOWL-002</v>
      </c>
    </row>
    <row r="79" ht="14.25" customHeight="1">
      <c r="A79" s="186"/>
      <c r="B79" s="187"/>
      <c r="C79" s="187"/>
      <c r="D79" s="188" t="str">
        <f>IF(C79="","",IFERROR(VLOOKUP(C79,Inventory!$A:$B,2,FALSE),""))</f>
        <v/>
      </c>
      <c r="E79" s="188" t="str">
        <f>IF(C79="","",IFERROR(VLOOKUP(C79,Inventory!$A:$C,3,FALSE),""))</f>
        <v/>
      </c>
      <c r="F79" s="187"/>
      <c r="G79" s="180" t="str">
        <f>IF(C79="","",IFERROR(VLOOKUP(C79,Inventory!$A:$I,9,FALSE),0))</f>
        <v/>
      </c>
      <c r="H79" s="189" t="str">
        <f t="shared" si="1"/>
        <v/>
      </c>
      <c r="I79" s="190" t="str">
        <f t="shared" si="2"/>
        <v/>
      </c>
      <c r="J79" s="191"/>
      <c r="K79" s="191" t="str">
        <f t="shared" si="3"/>
        <v/>
      </c>
      <c r="L79" s="187"/>
      <c r="M79" s="192" t="str">
        <f t="shared" si="4"/>
        <v/>
      </c>
      <c r="N79" s="185" t="str">
        <f t="shared" si="5"/>
        <v/>
      </c>
      <c r="P79" s="73" t="str">
        <f>IF(Inventory!A79="","",Inventory!A79)</f>
        <v>PO-PP-85G-001</v>
      </c>
    </row>
    <row r="80" ht="14.25" customHeight="1">
      <c r="A80" s="186"/>
      <c r="B80" s="187"/>
      <c r="C80" s="187"/>
      <c r="D80" s="188" t="str">
        <f>IF(C80="","",IFERROR(VLOOKUP(C80,Inventory!$A:$B,2,FALSE),""))</f>
        <v/>
      </c>
      <c r="E80" s="188" t="str">
        <f>IF(C80="","",IFERROR(VLOOKUP(C80,Inventory!$A:$C,3,FALSE),""))</f>
        <v/>
      </c>
      <c r="F80" s="187"/>
      <c r="G80" s="180" t="str">
        <f>IF(C80="","",IFERROR(VLOOKUP(C80,Inventory!$A:$I,9,FALSE),0))</f>
        <v/>
      </c>
      <c r="H80" s="189" t="str">
        <f t="shared" si="1"/>
        <v/>
      </c>
      <c r="I80" s="190" t="str">
        <f t="shared" si="2"/>
        <v/>
      </c>
      <c r="J80" s="191"/>
      <c r="K80" s="191" t="str">
        <f t="shared" si="3"/>
        <v/>
      </c>
      <c r="L80" s="187"/>
      <c r="M80" s="192" t="str">
        <f t="shared" si="4"/>
        <v/>
      </c>
      <c r="N80" s="185" t="str">
        <f t="shared" si="5"/>
        <v/>
      </c>
      <c r="P80" s="73" t="str">
        <f>IF(Inventory!A80="","",Inventory!A80)</f>
        <v>PO-PP-85G-002</v>
      </c>
    </row>
    <row r="81" ht="14.25" customHeight="1">
      <c r="A81" s="186"/>
      <c r="B81" s="187"/>
      <c r="C81" s="187"/>
      <c r="D81" s="188" t="str">
        <f>IF(C81="","",IFERROR(VLOOKUP(C81,Inventory!$A:$B,2,FALSE),""))</f>
        <v/>
      </c>
      <c r="E81" s="188" t="str">
        <f>IF(C81="","",IFERROR(VLOOKUP(C81,Inventory!$A:$C,3,FALSE),""))</f>
        <v/>
      </c>
      <c r="F81" s="187"/>
      <c r="G81" s="180" t="str">
        <f>IF(C81="","",IFERROR(VLOOKUP(C81,Inventory!$A:$I,9,FALSE),0))</f>
        <v/>
      </c>
      <c r="H81" s="189" t="str">
        <f t="shared" si="1"/>
        <v/>
      </c>
      <c r="I81" s="190" t="str">
        <f t="shared" si="2"/>
        <v/>
      </c>
      <c r="J81" s="191"/>
      <c r="K81" s="191" t="str">
        <f t="shared" si="3"/>
        <v/>
      </c>
      <c r="L81" s="187"/>
      <c r="M81" s="192" t="str">
        <f t="shared" si="4"/>
        <v/>
      </c>
      <c r="N81" s="185" t="str">
        <f t="shared" si="5"/>
        <v/>
      </c>
      <c r="P81" s="73" t="str">
        <f>IF(Inventory!A81="","",Inventory!A81)</f>
        <v>PO-PP-100G-001</v>
      </c>
    </row>
    <row r="82" ht="14.25" customHeight="1">
      <c r="A82" s="186"/>
      <c r="B82" s="187"/>
      <c r="C82" s="187"/>
      <c r="D82" s="188" t="str">
        <f>IF(C82="","",IFERROR(VLOOKUP(C82,Inventory!$A:$B,2,FALSE),""))</f>
        <v/>
      </c>
      <c r="E82" s="188" t="str">
        <f>IF(C82="","",IFERROR(VLOOKUP(C82,Inventory!$A:$C,3,FALSE),""))</f>
        <v/>
      </c>
      <c r="F82" s="187"/>
      <c r="G82" s="180" t="str">
        <f>IF(C82="","",IFERROR(VLOOKUP(C82,Inventory!$A:$I,9,FALSE),0))</f>
        <v/>
      </c>
      <c r="H82" s="189" t="str">
        <f t="shared" si="1"/>
        <v/>
      </c>
      <c r="I82" s="190" t="str">
        <f t="shared" si="2"/>
        <v/>
      </c>
      <c r="J82" s="191"/>
      <c r="K82" s="191" t="str">
        <f t="shared" si="3"/>
        <v/>
      </c>
      <c r="L82" s="187"/>
      <c r="M82" s="192" t="str">
        <f t="shared" si="4"/>
        <v/>
      </c>
      <c r="N82" s="185" t="str">
        <f t="shared" si="5"/>
        <v/>
      </c>
      <c r="P82" s="73" t="str">
        <f>IF(Inventory!A82="","",Inventory!A82)</f>
        <v>PO-PP-100G-002</v>
      </c>
    </row>
    <row r="83" ht="14.25" customHeight="1">
      <c r="A83" s="186"/>
      <c r="B83" s="187"/>
      <c r="C83" s="187"/>
      <c r="D83" s="188" t="str">
        <f>IF(C83="","",IFERROR(VLOOKUP(C83,Inventory!$A:$B,2,FALSE),""))</f>
        <v/>
      </c>
      <c r="E83" s="188" t="str">
        <f>IF(C83="","",IFERROR(VLOOKUP(C83,Inventory!$A:$C,3,FALSE),""))</f>
        <v/>
      </c>
      <c r="F83" s="187"/>
      <c r="G83" s="180" t="str">
        <f>IF(C83="","",IFERROR(VLOOKUP(C83,Inventory!$A:$I,9,FALSE),0))</f>
        <v/>
      </c>
      <c r="H83" s="189" t="str">
        <f t="shared" si="1"/>
        <v/>
      </c>
      <c r="I83" s="190" t="str">
        <f t="shared" si="2"/>
        <v/>
      </c>
      <c r="J83" s="191"/>
      <c r="K83" s="191" t="str">
        <f t="shared" si="3"/>
        <v/>
      </c>
      <c r="L83" s="187"/>
      <c r="M83" s="192" t="str">
        <f t="shared" si="4"/>
        <v/>
      </c>
      <c r="N83" s="185" t="str">
        <f t="shared" si="5"/>
        <v/>
      </c>
      <c r="P83" s="73" t="str">
        <f>IF(Inventory!A83="","",Inventory!A83)</f>
        <v>LT-AP-PM-5L-001</v>
      </c>
    </row>
    <row r="84" ht="14.25" customHeight="1">
      <c r="A84" s="186"/>
      <c r="B84" s="187"/>
      <c r="C84" s="187"/>
      <c r="D84" s="188" t="str">
        <f>IF(C84="","",IFERROR(VLOOKUP(C84,Inventory!$A:$B,2,FALSE),""))</f>
        <v/>
      </c>
      <c r="E84" s="188" t="str">
        <f>IF(C84="","",IFERROR(VLOOKUP(C84,Inventory!$A:$C,3,FALSE),""))</f>
        <v/>
      </c>
      <c r="F84" s="187"/>
      <c r="G84" s="180" t="str">
        <f>IF(C84="","",IFERROR(VLOOKUP(C84,Inventory!$A:$I,9,FALSE),0))</f>
        <v/>
      </c>
      <c r="H84" s="189" t="str">
        <f t="shared" si="1"/>
        <v/>
      </c>
      <c r="I84" s="190" t="str">
        <f t="shared" si="2"/>
        <v/>
      </c>
      <c r="J84" s="191"/>
      <c r="K84" s="191" t="str">
        <f t="shared" si="3"/>
        <v/>
      </c>
      <c r="L84" s="187"/>
      <c r="M84" s="192" t="str">
        <f t="shared" si="4"/>
        <v/>
      </c>
      <c r="N84" s="185" t="str">
        <f t="shared" si="5"/>
        <v/>
      </c>
      <c r="P84" s="73" t="str">
        <f>IF(Inventory!A84="","",Inventory!A84)</f>
        <v>AC-CB-002</v>
      </c>
    </row>
    <row r="85" ht="14.25" customHeight="1">
      <c r="A85" s="186"/>
      <c r="B85" s="187"/>
      <c r="C85" s="187"/>
      <c r="D85" s="188" t="str">
        <f>IF(C85="","",IFERROR(VLOOKUP(C85,Inventory!$A:$B,2,FALSE),""))</f>
        <v/>
      </c>
      <c r="E85" s="188" t="str">
        <f>IF(C85="","",IFERROR(VLOOKUP(C85,Inventory!$A:$C,3,FALSE),""))</f>
        <v/>
      </c>
      <c r="F85" s="187"/>
      <c r="G85" s="180" t="str">
        <f>IF(C85="","",IFERROR(VLOOKUP(C85,Inventory!$A:$I,9,FALSE),0))</f>
        <v/>
      </c>
      <c r="H85" s="189" t="str">
        <f t="shared" si="1"/>
        <v/>
      </c>
      <c r="I85" s="190" t="str">
        <f t="shared" si="2"/>
        <v/>
      </c>
      <c r="J85" s="191"/>
      <c r="K85" s="191" t="str">
        <f t="shared" si="3"/>
        <v/>
      </c>
      <c r="L85" s="187"/>
      <c r="M85" s="192" t="str">
        <f t="shared" si="4"/>
        <v/>
      </c>
      <c r="N85" s="185" t="str">
        <f t="shared" si="5"/>
        <v/>
      </c>
      <c r="P85" s="73" t="str">
        <f>IF(Inventory!A85="","",Inventory!A85)</f>
        <v>AC-CN-001</v>
      </c>
    </row>
    <row r="86" ht="14.25" customHeight="1">
      <c r="A86" s="186"/>
      <c r="B86" s="187"/>
      <c r="C86" s="187"/>
      <c r="D86" s="188" t="str">
        <f>IF(C86="","",IFERROR(VLOOKUP(C86,Inventory!$A:$B,2,FALSE),""))</f>
        <v/>
      </c>
      <c r="E86" s="188" t="str">
        <f>IF(C86="","",IFERROR(VLOOKUP(C86,Inventory!$A:$C,3,FALSE),""))</f>
        <v/>
      </c>
      <c r="F86" s="187"/>
      <c r="G86" s="180" t="str">
        <f>IF(C86="","",IFERROR(VLOOKUP(C86,Inventory!$A:$I,9,FALSE),0))</f>
        <v/>
      </c>
      <c r="H86" s="189" t="str">
        <f t="shared" si="1"/>
        <v/>
      </c>
      <c r="I86" s="190" t="str">
        <f t="shared" si="2"/>
        <v/>
      </c>
      <c r="J86" s="191"/>
      <c r="K86" s="191" t="str">
        <f t="shared" si="3"/>
        <v/>
      </c>
      <c r="L86" s="187"/>
      <c r="M86" s="192" t="str">
        <f t="shared" si="4"/>
        <v/>
      </c>
      <c r="N86" s="185" t="str">
        <f t="shared" si="5"/>
        <v/>
      </c>
      <c r="P86" s="73" t="str">
        <f>IF(Inventory!A86="","",Inventory!A86)</f>
        <v>LT-AP-PM-5L-002</v>
      </c>
    </row>
    <row r="87" ht="14.25" customHeight="1">
      <c r="A87" s="186"/>
      <c r="B87" s="187"/>
      <c r="C87" s="187"/>
      <c r="D87" s="188" t="str">
        <f>IF(C87="","",IFERROR(VLOOKUP(C87,Inventory!$A:$B,2,FALSE),""))</f>
        <v/>
      </c>
      <c r="E87" s="188" t="str">
        <f>IF(C87="","",IFERROR(VLOOKUP(C87,Inventory!$A:$C,3,FALSE),""))</f>
        <v/>
      </c>
      <c r="F87" s="187"/>
      <c r="G87" s="180" t="str">
        <f>IF(C87="","",IFERROR(VLOOKUP(C87,Inventory!$A:$I,9,FALSE),0))</f>
        <v/>
      </c>
      <c r="H87" s="189" t="str">
        <f t="shared" si="1"/>
        <v/>
      </c>
      <c r="I87" s="190" t="str">
        <f t="shared" si="2"/>
        <v/>
      </c>
      <c r="J87" s="191"/>
      <c r="K87" s="191" t="str">
        <f t="shared" si="3"/>
        <v/>
      </c>
      <c r="L87" s="187"/>
      <c r="M87" s="192" t="str">
        <f t="shared" si="4"/>
        <v/>
      </c>
      <c r="N87" s="185" t="str">
        <f t="shared" si="5"/>
        <v/>
      </c>
      <c r="P87" s="73" t="str">
        <f>IF(Inventory!A87="","",Inventory!A87)</f>
        <v>FD-MX-0001</v>
      </c>
    </row>
    <row r="88" ht="14.25" customHeight="1">
      <c r="A88" s="186"/>
      <c r="B88" s="187"/>
      <c r="C88" s="187"/>
      <c r="D88" s="188" t="str">
        <f>IF(C88="","",IFERROR(VLOOKUP(C88,Inventory!$A:$B,2,FALSE),""))</f>
        <v/>
      </c>
      <c r="E88" s="188" t="str">
        <f>IF(C88="","",IFERROR(VLOOKUP(C88,Inventory!$A:$C,3,FALSE),""))</f>
        <v/>
      </c>
      <c r="F88" s="187"/>
      <c r="G88" s="180" t="str">
        <f>IF(C88="","",IFERROR(VLOOKUP(C88,Inventory!$A:$I,9,FALSE),0))</f>
        <v/>
      </c>
      <c r="H88" s="189" t="str">
        <f t="shared" si="1"/>
        <v/>
      </c>
      <c r="I88" s="190" t="str">
        <f t="shared" si="2"/>
        <v/>
      </c>
      <c r="J88" s="191"/>
      <c r="K88" s="191" t="str">
        <f t="shared" si="3"/>
        <v/>
      </c>
      <c r="L88" s="187"/>
      <c r="M88" s="192" t="str">
        <f t="shared" si="4"/>
        <v/>
      </c>
      <c r="N88" s="185" t="str">
        <f t="shared" si="5"/>
        <v/>
      </c>
      <c r="P88" s="73" t="str">
        <f>IF(Inventory!A88="","",Inventory!A88)</f>
        <v>FD-DRY-JUN-KT-1.5KG-001</v>
      </c>
    </row>
    <row r="89" ht="14.25" customHeight="1">
      <c r="A89" s="186"/>
      <c r="B89" s="187"/>
      <c r="C89" s="187"/>
      <c r="D89" s="188" t="str">
        <f>IF(C89="","",IFERROR(VLOOKUP(C89,Inventory!$A:$B,2,FALSE),""))</f>
        <v/>
      </c>
      <c r="E89" s="188" t="str">
        <f>IF(C89="","",IFERROR(VLOOKUP(C89,Inventory!$A:$C,3,FALSE),""))</f>
        <v/>
      </c>
      <c r="F89" s="187"/>
      <c r="G89" s="180" t="str">
        <f>IF(C89="","",IFERROR(VLOOKUP(C89,Inventory!$A:$I,9,FALSE),0))</f>
        <v/>
      </c>
      <c r="H89" s="189" t="str">
        <f t="shared" si="1"/>
        <v/>
      </c>
      <c r="I89" s="190" t="str">
        <f t="shared" si="2"/>
        <v/>
      </c>
      <c r="J89" s="191"/>
      <c r="K89" s="191" t="str">
        <f t="shared" si="3"/>
        <v/>
      </c>
      <c r="L89" s="187"/>
      <c r="M89" s="192" t="str">
        <f t="shared" si="4"/>
        <v/>
      </c>
      <c r="N89" s="185" t="str">
        <f t="shared" si="5"/>
        <v/>
      </c>
      <c r="P89" s="73" t="str">
        <f>IF(Inventory!A89="","",Inventory!A89)</f>
        <v>FD-DRY-KVF-1.5KG-001</v>
      </c>
    </row>
    <row r="90" ht="14.25" customHeight="1">
      <c r="A90" s="186"/>
      <c r="B90" s="187"/>
      <c r="C90" s="187"/>
      <c r="D90" s="188" t="str">
        <f>IF(C90="","",IFERROR(VLOOKUP(C90,Inventory!$A:$B,2,FALSE),""))</f>
        <v/>
      </c>
      <c r="E90" s="188" t="str">
        <f>IF(C90="","",IFERROR(VLOOKUP(C90,Inventory!$A:$C,3,FALSE),""))</f>
        <v/>
      </c>
      <c r="F90" s="187"/>
      <c r="G90" s="180" t="str">
        <f>IF(C90="","",IFERROR(VLOOKUP(C90,Inventory!$A:$I,9,FALSE),0))</f>
        <v/>
      </c>
      <c r="H90" s="189" t="str">
        <f t="shared" si="1"/>
        <v/>
      </c>
      <c r="I90" s="190" t="str">
        <f t="shared" si="2"/>
        <v/>
      </c>
      <c r="J90" s="191"/>
      <c r="K90" s="191" t="str">
        <f t="shared" si="3"/>
        <v/>
      </c>
      <c r="L90" s="187"/>
      <c r="M90" s="192" t="str">
        <f t="shared" si="4"/>
        <v/>
      </c>
      <c r="N90" s="185" t="str">
        <f t="shared" si="5"/>
        <v/>
      </c>
      <c r="P90" s="73" t="str">
        <f>IF(Inventory!A90="","",Inventory!A90)</f>
        <v>LT-LM-LUM-5L-001</v>
      </c>
    </row>
    <row r="91" ht="14.25" customHeight="1">
      <c r="A91" s="186"/>
      <c r="B91" s="187"/>
      <c r="C91" s="187"/>
      <c r="D91" s="188" t="str">
        <f>IF(C91="","",IFERROR(VLOOKUP(C91,Inventory!$A:$B,2,FALSE),""))</f>
        <v/>
      </c>
      <c r="E91" s="188" t="str">
        <f>IF(C91="","",IFERROR(VLOOKUP(C91,Inventory!$A:$C,3,FALSE),""))</f>
        <v/>
      </c>
      <c r="F91" s="187"/>
      <c r="G91" s="180" t="str">
        <f>IF(C91="","",IFERROR(VLOOKUP(C91,Inventory!$A:$I,9,FALSE),0))</f>
        <v/>
      </c>
      <c r="H91" s="189" t="str">
        <f t="shared" si="1"/>
        <v/>
      </c>
      <c r="I91" s="190" t="str">
        <f t="shared" si="2"/>
        <v/>
      </c>
      <c r="J91" s="191"/>
      <c r="K91" s="191" t="str">
        <f t="shared" si="3"/>
        <v/>
      </c>
      <c r="L91" s="187"/>
      <c r="M91" s="192" t="str">
        <f t="shared" si="4"/>
        <v/>
      </c>
      <c r="N91" s="185" t="str">
        <f t="shared" si="5"/>
        <v/>
      </c>
      <c r="P91" s="73" t="str">
        <f>IF(Inventory!A91="","",Inventory!A91)</f>
        <v>LT-AP-LUM-5L-002</v>
      </c>
    </row>
    <row r="92" ht="14.25" customHeight="1">
      <c r="A92" s="186"/>
      <c r="B92" s="187"/>
      <c r="C92" s="187"/>
      <c r="D92" s="188" t="str">
        <f>IF(C92="","",IFERROR(VLOOKUP(C92,Inventory!$A:$B,2,FALSE),""))</f>
        <v/>
      </c>
      <c r="E92" s="188" t="str">
        <f>IF(C92="","",IFERROR(VLOOKUP(C92,Inventory!$A:$C,3,FALSE),""))</f>
        <v/>
      </c>
      <c r="F92" s="187"/>
      <c r="G92" s="180" t="str">
        <f>IF(C92="","",IFERROR(VLOOKUP(C92,Inventory!$A:$I,9,FALSE),0))</f>
        <v/>
      </c>
      <c r="H92" s="189" t="str">
        <f t="shared" si="1"/>
        <v/>
      </c>
      <c r="I92" s="190" t="str">
        <f t="shared" si="2"/>
        <v/>
      </c>
      <c r="J92" s="191"/>
      <c r="K92" s="191" t="str">
        <f t="shared" si="3"/>
        <v/>
      </c>
      <c r="L92" s="187"/>
      <c r="M92" s="192" t="str">
        <f t="shared" si="4"/>
        <v/>
      </c>
      <c r="N92" s="185" t="str">
        <f t="shared" si="5"/>
        <v/>
      </c>
      <c r="P92" s="73" t="str">
        <f>IF(Inventory!A92="","",Inventory!A92)</f>
        <v>LT-CF-LUM-5L-003</v>
      </c>
    </row>
    <row r="93" ht="14.25" customHeight="1">
      <c r="A93" s="186"/>
      <c r="B93" s="187"/>
      <c r="C93" s="187"/>
      <c r="D93" s="188" t="str">
        <f>IF(C93="","",IFERROR(VLOOKUP(C93,Inventory!$A:$B,2,FALSE),""))</f>
        <v/>
      </c>
      <c r="E93" s="188" t="str">
        <f>IF(C93="","",IFERROR(VLOOKUP(C93,Inventory!$A:$C,3,FALSE),""))</f>
        <v/>
      </c>
      <c r="F93" s="187"/>
      <c r="G93" s="180" t="str">
        <f>IF(C93="","",IFERROR(VLOOKUP(C93,Inventory!$A:$I,9,FALSE),0))</f>
        <v/>
      </c>
      <c r="H93" s="189" t="str">
        <f t="shared" si="1"/>
        <v/>
      </c>
      <c r="I93" s="190" t="str">
        <f t="shared" si="2"/>
        <v/>
      </c>
      <c r="J93" s="191"/>
      <c r="K93" s="191" t="str">
        <f t="shared" si="3"/>
        <v/>
      </c>
      <c r="L93" s="187"/>
      <c r="M93" s="192" t="str">
        <f t="shared" si="4"/>
        <v/>
      </c>
      <c r="N93" s="185" t="str">
        <f t="shared" si="5"/>
        <v/>
      </c>
      <c r="P93" s="73" t="str">
        <f>IF(Inventory!A93="","",Inventory!A93)</f>
        <v>LT-LV-LUM-5L-004</v>
      </c>
    </row>
    <row r="94" ht="14.25" customHeight="1">
      <c r="A94" s="186"/>
      <c r="B94" s="187"/>
      <c r="C94" s="187"/>
      <c r="D94" s="188" t="str">
        <f>IF(C94="","",IFERROR(VLOOKUP(C94,Inventory!$A:$B,2,FALSE),""))</f>
        <v/>
      </c>
      <c r="E94" s="188" t="str">
        <f>IF(C94="","",IFERROR(VLOOKUP(C94,Inventory!$A:$C,3,FALSE),""))</f>
        <v/>
      </c>
      <c r="F94" s="187"/>
      <c r="G94" s="180" t="str">
        <f>IF(C94="","",IFERROR(VLOOKUP(C94,Inventory!$A:$I,9,FALSE),0))</f>
        <v/>
      </c>
      <c r="H94" s="189" t="str">
        <f t="shared" si="1"/>
        <v/>
      </c>
      <c r="I94" s="190" t="str">
        <f t="shared" si="2"/>
        <v/>
      </c>
      <c r="J94" s="191"/>
      <c r="K94" s="191" t="str">
        <f t="shared" si="3"/>
        <v/>
      </c>
      <c r="L94" s="187"/>
      <c r="M94" s="192" t="str">
        <f t="shared" si="4"/>
        <v/>
      </c>
      <c r="N94" s="185" t="str">
        <f t="shared" si="5"/>
        <v/>
      </c>
      <c r="P94" s="73" t="str">
        <f>IF(Inventory!A94="","",Inventory!A94)</f>
        <v>LT-LM-NT-10L-001</v>
      </c>
    </row>
    <row r="95" ht="14.25" customHeight="1">
      <c r="A95" s="186"/>
      <c r="B95" s="187"/>
      <c r="C95" s="187"/>
      <c r="D95" s="188" t="str">
        <f>IF(C95="","",IFERROR(VLOOKUP(C95,Inventory!$A:$B,2,FALSE),""))</f>
        <v/>
      </c>
      <c r="E95" s="188" t="str">
        <f>IF(C95="","",IFERROR(VLOOKUP(C95,Inventory!$A:$C,3,FALSE),""))</f>
        <v/>
      </c>
      <c r="F95" s="187"/>
      <c r="G95" s="180" t="str">
        <f>IF(C95="","",IFERROR(VLOOKUP(C95,Inventory!$A:$I,9,FALSE),0))</f>
        <v/>
      </c>
      <c r="H95" s="189" t="str">
        <f t="shared" si="1"/>
        <v/>
      </c>
      <c r="I95" s="190" t="str">
        <f t="shared" si="2"/>
        <v/>
      </c>
      <c r="J95" s="191"/>
      <c r="K95" s="191" t="str">
        <f t="shared" si="3"/>
        <v/>
      </c>
      <c r="L95" s="187"/>
      <c r="M95" s="192" t="str">
        <f t="shared" si="4"/>
        <v/>
      </c>
      <c r="N95" s="185" t="str">
        <f t="shared" si="5"/>
        <v/>
      </c>
      <c r="P95" s="73" t="str">
        <f>IF(Inventory!A95="","",Inventory!A95)</f>
        <v>LT-AP-LUM-10L-002</v>
      </c>
    </row>
    <row r="96" ht="14.25" customHeight="1">
      <c r="A96" s="186"/>
      <c r="B96" s="187"/>
      <c r="C96" s="187"/>
      <c r="D96" s="188" t="str">
        <f>IF(C96="","",IFERROR(VLOOKUP(C96,Inventory!$A:$B,2,FALSE),""))</f>
        <v/>
      </c>
      <c r="E96" s="188" t="str">
        <f>IF(C96="","",IFERROR(VLOOKUP(C96,Inventory!$A:$C,3,FALSE),""))</f>
        <v/>
      </c>
      <c r="F96" s="187"/>
      <c r="G96" s="180" t="str">
        <f>IF(C96="","",IFERROR(VLOOKUP(C96,Inventory!$A:$I,9,FALSE),0))</f>
        <v/>
      </c>
      <c r="H96" s="189" t="str">
        <f t="shared" si="1"/>
        <v/>
      </c>
      <c r="I96" s="190" t="str">
        <f t="shared" si="2"/>
        <v/>
      </c>
      <c r="J96" s="191"/>
      <c r="K96" s="191" t="str">
        <f t="shared" si="3"/>
        <v/>
      </c>
      <c r="L96" s="187"/>
      <c r="M96" s="192" t="str">
        <f t="shared" si="4"/>
        <v/>
      </c>
      <c r="N96" s="185" t="str">
        <f t="shared" si="5"/>
        <v/>
      </c>
      <c r="P96" s="73" t="str">
        <f>IF(Inventory!A96="","",Inventory!A96)</f>
        <v>LT-CF-FT-10L-003</v>
      </c>
    </row>
    <row r="97" ht="14.25" customHeight="1">
      <c r="A97" s="186"/>
      <c r="B97" s="187"/>
      <c r="C97" s="187"/>
      <c r="D97" s="188" t="str">
        <f>IF(C97="","",IFERROR(VLOOKUP(C97,Inventory!$A:$B,2,FALSE),""))</f>
        <v/>
      </c>
      <c r="E97" s="188" t="str">
        <f>IF(C97="","",IFERROR(VLOOKUP(C97,Inventory!$A:$C,3,FALSE),""))</f>
        <v/>
      </c>
      <c r="F97" s="187"/>
      <c r="G97" s="180" t="str">
        <f>IF(C97="","",IFERROR(VLOOKUP(C97,Inventory!$A:$I,9,FALSE),0))</f>
        <v/>
      </c>
      <c r="H97" s="189" t="str">
        <f t="shared" si="1"/>
        <v/>
      </c>
      <c r="I97" s="190" t="str">
        <f t="shared" si="2"/>
        <v/>
      </c>
      <c r="J97" s="191"/>
      <c r="K97" s="191" t="str">
        <f t="shared" si="3"/>
        <v/>
      </c>
      <c r="L97" s="187"/>
      <c r="M97" s="192" t="str">
        <f t="shared" si="4"/>
        <v/>
      </c>
      <c r="N97" s="185" t="str">
        <f t="shared" si="5"/>
        <v/>
      </c>
      <c r="P97" s="73" t="str">
        <f>IF(Inventory!A97="","",Inventory!A97)</f>
        <v>LT-LV-LUM-10L-004</v>
      </c>
    </row>
    <row r="98" ht="14.25" customHeight="1">
      <c r="A98" s="186"/>
      <c r="B98" s="187"/>
      <c r="C98" s="187"/>
      <c r="D98" s="188" t="str">
        <f>IF(C98="","",IFERROR(VLOOKUP(C98,Inventory!$A:$B,2,FALSE),""))</f>
        <v/>
      </c>
      <c r="E98" s="188" t="str">
        <f>IF(C98="","",IFERROR(VLOOKUP(C98,Inventory!$A:$C,3,FALSE),""))</f>
        <v/>
      </c>
      <c r="F98" s="187"/>
      <c r="G98" s="180" t="str">
        <f>IF(C98="","",IFERROR(VLOOKUP(C98,Inventory!$A:$I,9,FALSE),0))</f>
        <v/>
      </c>
      <c r="H98" s="189" t="str">
        <f t="shared" si="1"/>
        <v/>
      </c>
      <c r="I98" s="190" t="str">
        <f t="shared" si="2"/>
        <v/>
      </c>
      <c r="J98" s="191"/>
      <c r="K98" s="191" t="str">
        <f t="shared" si="3"/>
        <v/>
      </c>
      <c r="L98" s="187"/>
      <c r="M98" s="192" t="str">
        <f t="shared" si="4"/>
        <v/>
      </c>
      <c r="N98" s="185" t="str">
        <f t="shared" si="5"/>
        <v/>
      </c>
      <c r="P98" s="73" t="str">
        <f>IF(Inventory!A98="","",Inventory!A98)</f>
        <v>LT-LM-LUM-25L-001</v>
      </c>
    </row>
    <row r="99" ht="14.25" customHeight="1">
      <c r="A99" s="186"/>
      <c r="B99" s="187"/>
      <c r="C99" s="187"/>
      <c r="D99" s="188" t="str">
        <f>IF(C99="","",IFERROR(VLOOKUP(C99,Inventory!$A:$B,2,FALSE),""))</f>
        <v/>
      </c>
      <c r="E99" s="188" t="str">
        <f>IF(C99="","",IFERROR(VLOOKUP(C99,Inventory!$A:$C,3,FALSE),""))</f>
        <v/>
      </c>
      <c r="F99" s="187"/>
      <c r="G99" s="180" t="str">
        <f>IF(C99="","",IFERROR(VLOOKUP(C99,Inventory!$A:$I,9,FALSE),0))</f>
        <v/>
      </c>
      <c r="H99" s="189" t="str">
        <f t="shared" si="1"/>
        <v/>
      </c>
      <c r="I99" s="190" t="str">
        <f t="shared" si="2"/>
        <v/>
      </c>
      <c r="J99" s="191"/>
      <c r="K99" s="191" t="str">
        <f t="shared" si="3"/>
        <v/>
      </c>
      <c r="L99" s="187"/>
      <c r="M99" s="192" t="str">
        <f t="shared" si="4"/>
        <v/>
      </c>
      <c r="N99" s="185" t="str">
        <f t="shared" si="5"/>
        <v/>
      </c>
      <c r="P99" s="73" t="str">
        <f>IF(Inventory!A99="","",Inventory!A99)</f>
        <v>LT-LV-LUM-25L-002</v>
      </c>
    </row>
    <row r="100" ht="14.25" customHeight="1">
      <c r="A100" s="186"/>
      <c r="B100" s="187"/>
      <c r="C100" s="187"/>
      <c r="D100" s="188" t="str">
        <f>IF(C100="","",IFERROR(VLOOKUP(C100,Inventory!$A:$B,2,FALSE),""))</f>
        <v/>
      </c>
      <c r="E100" s="188" t="str">
        <f>IF(C100="","",IFERROR(VLOOKUP(C100,Inventory!$A:$C,3,FALSE),""))</f>
        <v/>
      </c>
      <c r="F100" s="187"/>
      <c r="G100" s="180" t="str">
        <f>IF(C100="","",IFERROR(VLOOKUP(C100,Inventory!$A:$I,9,FALSE),0))</f>
        <v/>
      </c>
      <c r="H100" s="189" t="str">
        <f t="shared" si="1"/>
        <v/>
      </c>
      <c r="I100" s="190" t="str">
        <f t="shared" si="2"/>
        <v/>
      </c>
      <c r="J100" s="191"/>
      <c r="K100" s="191" t="str">
        <f t="shared" si="3"/>
        <v/>
      </c>
      <c r="L100" s="187"/>
      <c r="M100" s="192" t="str">
        <f t="shared" si="4"/>
        <v/>
      </c>
      <c r="N100" s="185" t="str">
        <f t="shared" si="5"/>
        <v/>
      </c>
      <c r="P100" s="73" t="str">
        <f>IF(Inventory!A100="","",Inventory!A100)</f>
        <v>LT-LV-FT-25L-002</v>
      </c>
    </row>
    <row r="101" ht="14.25" customHeight="1">
      <c r="A101" s="186"/>
      <c r="B101" s="187"/>
      <c r="C101" s="187"/>
      <c r="D101" s="188" t="str">
        <f>IF(C101="","",IFERROR(VLOOKUP(C101,Inventory!$A:$B,2,FALSE),""))</f>
        <v/>
      </c>
      <c r="E101" s="188" t="str">
        <f>IF(C101="","",IFERROR(VLOOKUP(C101,Inventory!$A:$C,3,FALSE),""))</f>
        <v/>
      </c>
      <c r="F101" s="187"/>
      <c r="G101" s="180" t="str">
        <f>IF(C101="","",IFERROR(VLOOKUP(C101,Inventory!$A:$I,9,FALSE),0))</f>
        <v/>
      </c>
      <c r="H101" s="189" t="str">
        <f t="shared" si="1"/>
        <v/>
      </c>
      <c r="I101" s="190" t="str">
        <f t="shared" si="2"/>
        <v/>
      </c>
      <c r="J101" s="191"/>
      <c r="K101" s="191" t="str">
        <f t="shared" si="3"/>
        <v/>
      </c>
      <c r="L101" s="187"/>
      <c r="M101" s="192" t="str">
        <f t="shared" si="4"/>
        <v/>
      </c>
      <c r="N101" s="185" t="str">
        <f t="shared" si="5"/>
        <v/>
      </c>
      <c r="P101" s="73" t="str">
        <f>IF(Inventory!A101="","",Inventory!A101)</f>
        <v>LT-CF-NT-25L-001</v>
      </c>
    </row>
    <row r="102" ht="14.25" customHeight="1">
      <c r="A102" s="186"/>
      <c r="B102" s="187"/>
      <c r="C102" s="187"/>
      <c r="D102" s="188" t="str">
        <f>IF(C102="","",IFERROR(VLOOKUP(C102,Inventory!$A:$B,2,FALSE),""))</f>
        <v/>
      </c>
      <c r="E102" s="188" t="str">
        <f>IF(C102="","",IFERROR(VLOOKUP(C102,Inventory!$A:$C,3,FALSE),""))</f>
        <v/>
      </c>
      <c r="F102" s="187"/>
      <c r="G102" s="180" t="str">
        <f>IF(C102="","",IFERROR(VLOOKUP(C102,Inventory!$A:$I,9,FALSE),0))</f>
        <v/>
      </c>
      <c r="H102" s="189" t="str">
        <f t="shared" si="1"/>
        <v/>
      </c>
      <c r="I102" s="190" t="str">
        <f t="shared" si="2"/>
        <v/>
      </c>
      <c r="J102" s="191"/>
      <c r="K102" s="191" t="str">
        <f t="shared" si="3"/>
        <v/>
      </c>
      <c r="L102" s="187"/>
      <c r="M102" s="192" t="str">
        <f t="shared" si="4"/>
        <v/>
      </c>
      <c r="N102" s="185" t="str">
        <f t="shared" si="5"/>
        <v/>
      </c>
      <c r="P102" s="73" t="str">
        <f>IF(Inventory!A102="","",Inventory!A102)</f>
        <v>PO-KYF-100G-001</v>
      </c>
    </row>
    <row r="103" ht="14.25" customHeight="1">
      <c r="A103" s="186"/>
      <c r="B103" s="187"/>
      <c r="C103" s="187"/>
      <c r="D103" s="188" t="str">
        <f>IF(C103="","",IFERROR(VLOOKUP(C103,Inventory!$A:$B,2,FALSE),""))</f>
        <v/>
      </c>
      <c r="E103" s="188" t="str">
        <f>IF(C103="","",IFERROR(VLOOKUP(C103,Inventory!$A:$C,3,FALSE),""))</f>
        <v/>
      </c>
      <c r="F103" s="187"/>
      <c r="G103" s="180" t="str">
        <f>IF(C103="","",IFERROR(VLOOKUP(C103,Inventory!$A:$I,9,FALSE),0))</f>
        <v/>
      </c>
      <c r="H103" s="189" t="str">
        <f t="shared" si="1"/>
        <v/>
      </c>
      <c r="I103" s="190" t="str">
        <f t="shared" si="2"/>
        <v/>
      </c>
      <c r="J103" s="191"/>
      <c r="K103" s="191" t="str">
        <f t="shared" si="3"/>
        <v/>
      </c>
      <c r="L103" s="187"/>
      <c r="M103" s="192" t="str">
        <f t="shared" si="4"/>
        <v/>
      </c>
      <c r="N103" s="185" t="str">
        <f t="shared" si="5"/>
        <v/>
      </c>
      <c r="P103" s="73" t="str">
        <f>IF(Inventory!A103="","",Inventory!A103)</f>
        <v>PO-Fuya-100G-001</v>
      </c>
    </row>
    <row r="104" ht="14.25" customHeight="1">
      <c r="A104" s="186"/>
      <c r="B104" s="187"/>
      <c r="C104" s="187"/>
      <c r="D104" s="188" t="str">
        <f>IF(C104="","",IFERROR(VLOOKUP(C104,Inventory!$A:$B,2,FALSE),""))</f>
        <v/>
      </c>
      <c r="E104" s="188" t="str">
        <f>IF(C104="","",IFERROR(VLOOKUP(C104,Inventory!$A:$C,3,FALSE),""))</f>
        <v/>
      </c>
      <c r="F104" s="187"/>
      <c r="G104" s="180" t="str">
        <f>IF(C104="","",IFERROR(VLOOKUP(C104,Inventory!$A:$I,9,FALSE),0))</f>
        <v/>
      </c>
      <c r="H104" s="189" t="str">
        <f t="shared" si="1"/>
        <v/>
      </c>
      <c r="I104" s="190" t="str">
        <f t="shared" si="2"/>
        <v/>
      </c>
      <c r="J104" s="191"/>
      <c r="K104" s="191" t="str">
        <f t="shared" si="3"/>
        <v/>
      </c>
      <c r="L104" s="187"/>
      <c r="M104" s="192" t="str">
        <f t="shared" si="4"/>
        <v/>
      </c>
      <c r="N104" s="185" t="str">
        <f t="shared" si="5"/>
        <v/>
      </c>
      <c r="P104" s="73" t="str">
        <f>IF(Inventory!A104="","",Inventory!A104)</f>
        <v>FD-MX-0002</v>
      </c>
    </row>
    <row r="105" ht="14.25" customHeight="1">
      <c r="A105" s="186"/>
      <c r="B105" s="187"/>
      <c r="C105" s="187"/>
      <c r="D105" s="188" t="str">
        <f>IF(C105="","",IFERROR(VLOOKUP(C105,Inventory!$A:$B,2,FALSE),""))</f>
        <v/>
      </c>
      <c r="E105" s="188" t="str">
        <f>IF(C105="","",IFERROR(VLOOKUP(C105,Inventory!$A:$C,3,FALSE),""))</f>
        <v/>
      </c>
      <c r="F105" s="187"/>
      <c r="G105" s="180" t="str">
        <f>IF(C105="","",IFERROR(VLOOKUP(C105,Inventory!$A:$I,9,FALSE),0))</f>
        <v/>
      </c>
      <c r="H105" s="189" t="str">
        <f t="shared" si="1"/>
        <v/>
      </c>
      <c r="I105" s="190" t="str">
        <f t="shared" si="2"/>
        <v/>
      </c>
      <c r="J105" s="191"/>
      <c r="K105" s="191" t="str">
        <f t="shared" si="3"/>
        <v/>
      </c>
      <c r="L105" s="187"/>
      <c r="M105" s="192" t="str">
        <f t="shared" si="4"/>
        <v/>
      </c>
      <c r="N105" s="185" t="str">
        <f t="shared" si="5"/>
        <v/>
      </c>
      <c r="P105" s="73" t="str">
        <f>IF(Inventory!A105="","",Inventory!A105)</f>
        <v>FD-DRY-DR-CAT-0001</v>
      </c>
    </row>
    <row r="106" ht="14.25" customHeight="1">
      <c r="A106" s="186"/>
      <c r="B106" s="187"/>
      <c r="C106" s="187"/>
      <c r="D106" s="188" t="str">
        <f>IF(C106="","",IFERROR(VLOOKUP(C106,Inventory!$A:$B,2,FALSE),""))</f>
        <v/>
      </c>
      <c r="E106" s="188" t="str">
        <f>IF(C106="","",IFERROR(VLOOKUP(C106,Inventory!$A:$C,3,FALSE),""))</f>
        <v/>
      </c>
      <c r="F106" s="187"/>
      <c r="G106" s="180" t="str">
        <f>IF(C106="","",IFERROR(VLOOKUP(C106,Inventory!$A:$I,9,FALSE),0))</f>
        <v/>
      </c>
      <c r="H106" s="189" t="str">
        <f t="shared" si="1"/>
        <v/>
      </c>
      <c r="I106" s="190" t="str">
        <f t="shared" si="2"/>
        <v/>
      </c>
      <c r="J106" s="191"/>
      <c r="K106" s="191" t="str">
        <f t="shared" si="3"/>
        <v/>
      </c>
      <c r="L106" s="187"/>
      <c r="M106" s="192" t="str">
        <f t="shared" si="4"/>
        <v/>
      </c>
      <c r="N106" s="185" t="str">
        <f t="shared" si="5"/>
        <v/>
      </c>
      <c r="P106" s="73" t="str">
        <f>IF(Inventory!A106="","",Inventory!A106)</f>
        <v>TR-DR-BIS-110G-001</v>
      </c>
    </row>
    <row r="107" ht="14.25" customHeight="1">
      <c r="A107" s="186"/>
      <c r="B107" s="187"/>
      <c r="C107" s="187"/>
      <c r="D107" s="188" t="str">
        <f>IF(C107="","",IFERROR(VLOOKUP(C107,Inventory!$A:$B,2,FALSE),""))</f>
        <v/>
      </c>
      <c r="E107" s="188" t="str">
        <f>IF(C107="","",IFERROR(VLOOKUP(C107,Inventory!$A:$C,3,FALSE),""))</f>
        <v/>
      </c>
      <c r="F107" s="187"/>
      <c r="G107" s="180" t="str">
        <f>IF(C107="","",IFERROR(VLOOKUP(C107,Inventory!$A:$I,9,FALSE),0))</f>
        <v/>
      </c>
      <c r="H107" s="189" t="str">
        <f t="shared" si="1"/>
        <v/>
      </c>
      <c r="I107" s="190" t="str">
        <f t="shared" si="2"/>
        <v/>
      </c>
      <c r="J107" s="191"/>
      <c r="K107" s="191" t="str">
        <f t="shared" si="3"/>
        <v/>
      </c>
      <c r="L107" s="187"/>
      <c r="M107" s="192" t="str">
        <f t="shared" si="4"/>
        <v/>
      </c>
      <c r="N107" s="185" t="str">
        <f t="shared" si="5"/>
        <v/>
      </c>
      <c r="P107" s="73" t="str">
        <f>IF(Inventory!A107="","",Inventory!A107)</f>
        <v>AC-PETME-001</v>
      </c>
    </row>
    <row r="108" ht="14.25" customHeight="1">
      <c r="A108" s="186"/>
      <c r="B108" s="187"/>
      <c r="C108" s="187"/>
      <c r="D108" s="188" t="str">
        <f>IF(C108="","",IFERROR(VLOOKUP(C108,Inventory!$A:$B,2,FALSE),""))</f>
        <v/>
      </c>
      <c r="E108" s="188" t="str">
        <f>IF(C108="","",IFERROR(VLOOKUP(C108,Inventory!$A:$C,3,FALSE),""))</f>
        <v/>
      </c>
      <c r="F108" s="187"/>
      <c r="G108" s="180" t="str">
        <f>IF(C108="","",IFERROR(VLOOKUP(C108,Inventory!$A:$I,9,FALSE),0))</f>
        <v/>
      </c>
      <c r="H108" s="189" t="str">
        <f t="shared" si="1"/>
        <v/>
      </c>
      <c r="I108" s="190" t="str">
        <f t="shared" si="2"/>
        <v/>
      </c>
      <c r="J108" s="191"/>
      <c r="K108" s="191" t="str">
        <f t="shared" si="3"/>
        <v/>
      </c>
      <c r="L108" s="187"/>
      <c r="M108" s="192" t="str">
        <f t="shared" si="4"/>
        <v/>
      </c>
      <c r="N108" s="185" t="str">
        <f t="shared" si="5"/>
        <v/>
      </c>
      <c r="P108" s="73" t="str">
        <f>IF(Inventory!A108="","",Inventory!A108)</f>
        <v>FD-DRY-Taipet-400G-001</v>
      </c>
    </row>
    <row r="109" ht="14.25" customHeight="1">
      <c r="A109" s="186"/>
      <c r="B109" s="187"/>
      <c r="C109" s="187"/>
      <c r="D109" s="188" t="str">
        <f>IF(C109="","",IFERROR(VLOOKUP(C109,Inventory!$A:$B,2,FALSE),""))</f>
        <v/>
      </c>
      <c r="E109" s="188" t="str">
        <f>IF(C109="","",IFERROR(VLOOKUP(C109,Inventory!$A:$C,3,FALSE),""))</f>
        <v/>
      </c>
      <c r="F109" s="187"/>
      <c r="G109" s="180" t="str">
        <f>IF(C109="","",IFERROR(VLOOKUP(C109,Inventory!$A:$I,9,FALSE),0))</f>
        <v/>
      </c>
      <c r="H109" s="189" t="str">
        <f t="shared" si="1"/>
        <v/>
      </c>
      <c r="I109" s="190" t="str">
        <f t="shared" si="2"/>
        <v/>
      </c>
      <c r="J109" s="191"/>
      <c r="K109" s="191" t="str">
        <f t="shared" si="3"/>
        <v/>
      </c>
      <c r="L109" s="187"/>
      <c r="M109" s="192" t="str">
        <f t="shared" si="4"/>
        <v/>
      </c>
      <c r="N109" s="185" t="str">
        <f t="shared" si="5"/>
        <v/>
      </c>
      <c r="P109" s="73" t="str">
        <f>IF(Inventory!A109="","",Inventory!A109)</f>
        <v>FD-DRY-Taipet-KT-400G-002</v>
      </c>
    </row>
    <row r="110" ht="14.25" customHeight="1">
      <c r="A110" s="186"/>
      <c r="B110" s="187"/>
      <c r="C110" s="187"/>
      <c r="D110" s="188" t="str">
        <f>IF(C110="","",IFERROR(VLOOKUP(C110,Inventory!$A:$B,2,FALSE),""))</f>
        <v/>
      </c>
      <c r="E110" s="188" t="str">
        <f>IF(C110="","",IFERROR(VLOOKUP(C110,Inventory!$A:$C,3,FALSE),""))</f>
        <v/>
      </c>
      <c r="F110" s="187"/>
      <c r="G110" s="180" t="str">
        <f>IF(C110="","",IFERROR(VLOOKUP(C110,Inventory!$A:$I,9,FALSE),0))</f>
        <v/>
      </c>
      <c r="H110" s="189" t="str">
        <f t="shared" si="1"/>
        <v/>
      </c>
      <c r="I110" s="190" t="str">
        <f t="shared" si="2"/>
        <v/>
      </c>
      <c r="J110" s="191"/>
      <c r="K110" s="191" t="str">
        <f t="shared" si="3"/>
        <v/>
      </c>
      <c r="L110" s="187"/>
      <c r="M110" s="192" t="str">
        <f t="shared" si="4"/>
        <v/>
      </c>
      <c r="N110" s="185" t="str">
        <f t="shared" si="5"/>
        <v/>
      </c>
      <c r="P110" s="73" t="str">
        <f>IF(Inventory!A110="","",Inventory!A110)</f>
        <v>FD-DRY-Taipet-1KG-001</v>
      </c>
    </row>
    <row r="111" ht="14.25" customHeight="1">
      <c r="A111" s="186"/>
      <c r="B111" s="187"/>
      <c r="C111" s="187"/>
      <c r="D111" s="188" t="str">
        <f>IF(C111="","",IFERROR(VLOOKUP(C111,Inventory!$A:$B,2,FALSE),""))</f>
        <v/>
      </c>
      <c r="E111" s="188" t="str">
        <f>IF(C111="","",IFERROR(VLOOKUP(C111,Inventory!$A:$C,3,FALSE),""))</f>
        <v/>
      </c>
      <c r="F111" s="187"/>
      <c r="G111" s="180" t="str">
        <f>IF(C111="","",IFERROR(VLOOKUP(C111,Inventory!$A:$I,9,FALSE),0))</f>
        <v/>
      </c>
      <c r="H111" s="189" t="str">
        <f t="shared" si="1"/>
        <v/>
      </c>
      <c r="I111" s="190" t="str">
        <f t="shared" si="2"/>
        <v/>
      </c>
      <c r="J111" s="191"/>
      <c r="K111" s="191" t="str">
        <f t="shared" si="3"/>
        <v/>
      </c>
      <c r="L111" s="187"/>
      <c r="M111" s="192" t="str">
        <f t="shared" si="4"/>
        <v/>
      </c>
      <c r="N111" s="185" t="str">
        <f t="shared" si="5"/>
        <v/>
      </c>
      <c r="P111" s="73" t="str">
        <f>IF(Inventory!A111="","",Inventory!A111)</f>
        <v>FD-DRY-Taipet-1KG-002</v>
      </c>
    </row>
    <row r="112" ht="14.25" customHeight="1">
      <c r="A112" s="186"/>
      <c r="B112" s="187"/>
      <c r="C112" s="187"/>
      <c r="D112" s="188" t="str">
        <f>IF(C112="","",IFERROR(VLOOKUP(C112,Inventory!$A:$B,2,FALSE),""))</f>
        <v/>
      </c>
      <c r="E112" s="188" t="str">
        <f>IF(C112="","",IFERROR(VLOOKUP(C112,Inventory!$A:$C,3,FALSE),""))</f>
        <v/>
      </c>
      <c r="F112" s="187"/>
      <c r="G112" s="180" t="str">
        <f>IF(C112="","",IFERROR(VLOOKUP(C112,Inventory!$A:$I,9,FALSE),0))</f>
        <v/>
      </c>
      <c r="H112" s="189" t="str">
        <f t="shared" si="1"/>
        <v/>
      </c>
      <c r="I112" s="190" t="str">
        <f t="shared" si="2"/>
        <v/>
      </c>
      <c r="J112" s="191"/>
      <c r="K112" s="191" t="str">
        <f t="shared" si="3"/>
        <v/>
      </c>
      <c r="L112" s="187"/>
      <c r="M112" s="192" t="str">
        <f t="shared" si="4"/>
        <v/>
      </c>
      <c r="N112" s="185" t="str">
        <f t="shared" si="5"/>
        <v/>
      </c>
      <c r="P112" s="73" t="str">
        <f>IF(Inventory!A112="","",Inventory!A112)</f>
        <v>FD-DRY-ZOI-1KG-002</v>
      </c>
    </row>
    <row r="113" ht="14.25" customHeight="1">
      <c r="A113" s="186"/>
      <c r="B113" s="187"/>
      <c r="C113" s="187"/>
      <c r="D113" s="188" t="str">
        <f>IF(C113="","",IFERROR(VLOOKUP(C113,Inventory!$A:$B,2,FALSE),""))</f>
        <v/>
      </c>
      <c r="E113" s="188" t="str">
        <f>IF(C113="","",IFERROR(VLOOKUP(C113,Inventory!$A:$C,3,FALSE),""))</f>
        <v/>
      </c>
      <c r="F113" s="187"/>
      <c r="G113" s="180" t="str">
        <f>IF(C113="","",IFERROR(VLOOKUP(C113,Inventory!$A:$I,9,FALSE),0))</f>
        <v/>
      </c>
      <c r="H113" s="189" t="str">
        <f t="shared" si="1"/>
        <v/>
      </c>
      <c r="I113" s="190" t="str">
        <f t="shared" si="2"/>
        <v/>
      </c>
      <c r="J113" s="191"/>
      <c r="K113" s="191" t="str">
        <f t="shared" si="3"/>
        <v/>
      </c>
      <c r="L113" s="187"/>
      <c r="M113" s="192" t="str">
        <f t="shared" si="4"/>
        <v/>
      </c>
      <c r="N113" s="185" t="str">
        <f t="shared" si="5"/>
        <v/>
      </c>
      <c r="P113" s="73" t="str">
        <f>IF(Inventory!A113="","",Inventory!A113)</f>
        <v>FD-DRY-SMHRT-450G-002</v>
      </c>
    </row>
    <row r="114" ht="14.25" customHeight="1">
      <c r="A114" s="186"/>
      <c r="B114" s="187"/>
      <c r="C114" s="187"/>
      <c r="D114" s="188" t="str">
        <f>IF(C114="","",IFERROR(VLOOKUP(C114,Inventory!$A:$B,2,FALSE),""))</f>
        <v/>
      </c>
      <c r="E114" s="188" t="str">
        <f>IF(C114="","",IFERROR(VLOOKUP(C114,Inventory!$A:$C,3,FALSE),""))</f>
        <v/>
      </c>
      <c r="F114" s="187"/>
      <c r="G114" s="180" t="str">
        <f>IF(C114="","",IFERROR(VLOOKUP(C114,Inventory!$A:$I,9,FALSE),0))</f>
        <v/>
      </c>
      <c r="H114" s="189" t="str">
        <f t="shared" si="1"/>
        <v/>
      </c>
      <c r="I114" s="190" t="str">
        <f t="shared" si="2"/>
        <v/>
      </c>
      <c r="J114" s="191"/>
      <c r="K114" s="191" t="str">
        <f t="shared" si="3"/>
        <v/>
      </c>
      <c r="L114" s="187"/>
      <c r="M114" s="192" t="str">
        <f t="shared" si="4"/>
        <v/>
      </c>
      <c r="N114" s="185" t="str">
        <f t="shared" si="5"/>
        <v/>
      </c>
      <c r="P114" s="73" t="str">
        <f>IF(Inventory!A114="","",Inventory!A114)</f>
        <v>PO-TP-70G-003</v>
      </c>
    </row>
    <row r="115" ht="14.25" customHeight="1">
      <c r="A115" s="186"/>
      <c r="B115" s="187"/>
      <c r="C115" s="187"/>
      <c r="D115" s="188" t="str">
        <f>IF(C115="","",IFERROR(VLOOKUP(C115,Inventory!$A:$B,2,FALSE),""))</f>
        <v/>
      </c>
      <c r="E115" s="188" t="str">
        <f>IF(C115="","",IFERROR(VLOOKUP(C115,Inventory!$A:$C,3,FALSE),""))</f>
        <v/>
      </c>
      <c r="F115" s="187"/>
      <c r="G115" s="180" t="str">
        <f>IF(C115="","",IFERROR(VLOOKUP(C115,Inventory!$A:$I,9,FALSE),0))</f>
        <v/>
      </c>
      <c r="H115" s="189" t="str">
        <f t="shared" si="1"/>
        <v/>
      </c>
      <c r="I115" s="190" t="str">
        <f t="shared" si="2"/>
        <v/>
      </c>
      <c r="J115" s="191"/>
      <c r="K115" s="191" t="str">
        <f t="shared" si="3"/>
        <v/>
      </c>
      <c r="L115" s="187"/>
      <c r="M115" s="192" t="str">
        <f t="shared" si="4"/>
        <v/>
      </c>
      <c r="N115" s="185" t="str">
        <f t="shared" si="5"/>
        <v/>
      </c>
      <c r="P115" s="73" t="str">
        <f>IF(Inventory!A115="","",Inventory!A115)</f>
        <v>PO-WET-WK-80G-002-KT</v>
      </c>
    </row>
    <row r="116" ht="14.25" customHeight="1">
      <c r="A116" s="186"/>
      <c r="B116" s="187"/>
      <c r="C116" s="187"/>
      <c r="D116" s="188" t="str">
        <f>IF(C116="","",IFERROR(VLOOKUP(C116,Inventory!$A:$B,2,FALSE),""))</f>
        <v/>
      </c>
      <c r="E116" s="188" t="str">
        <f>IF(C116="","",IFERROR(VLOOKUP(C116,Inventory!$A:$C,3,FALSE),""))</f>
        <v/>
      </c>
      <c r="F116" s="187"/>
      <c r="G116" s="180" t="str">
        <f>IF(C116="","",IFERROR(VLOOKUP(C116,Inventory!$A:$I,9,FALSE),0))</f>
        <v/>
      </c>
      <c r="H116" s="189" t="str">
        <f t="shared" si="1"/>
        <v/>
      </c>
      <c r="I116" s="190" t="str">
        <f t="shared" si="2"/>
        <v/>
      </c>
      <c r="J116" s="191"/>
      <c r="K116" s="191" t="str">
        <f t="shared" si="3"/>
        <v/>
      </c>
      <c r="L116" s="187"/>
      <c r="M116" s="192" t="str">
        <f t="shared" si="4"/>
        <v/>
      </c>
      <c r="N116" s="185" t="str">
        <f t="shared" si="5"/>
        <v/>
      </c>
      <c r="P116" s="73" t="str">
        <f>IF(Inventory!A116="","",Inventory!A116)</f>
        <v>PO-WET-BL-85G-001</v>
      </c>
    </row>
    <row r="117" ht="14.25" customHeight="1">
      <c r="A117" s="186"/>
      <c r="B117" s="187"/>
      <c r="C117" s="187"/>
      <c r="D117" s="188" t="str">
        <f>IF(C117="","",IFERROR(VLOOKUP(C117,Inventory!$A:$B,2,FALSE),""))</f>
        <v/>
      </c>
      <c r="E117" s="188" t="str">
        <f>IF(C117="","",IFERROR(VLOOKUP(C117,Inventory!$A:$C,3,FALSE),""))</f>
        <v/>
      </c>
      <c r="F117" s="187"/>
      <c r="G117" s="180" t="str">
        <f>IF(C117="","",IFERROR(VLOOKUP(C117,Inventory!$A:$I,9,FALSE),0))</f>
        <v/>
      </c>
      <c r="H117" s="189" t="str">
        <f t="shared" si="1"/>
        <v/>
      </c>
      <c r="I117" s="190" t="str">
        <f t="shared" si="2"/>
        <v/>
      </c>
      <c r="J117" s="191"/>
      <c r="K117" s="191" t="str">
        <f t="shared" si="3"/>
        <v/>
      </c>
      <c r="L117" s="187"/>
      <c r="M117" s="192" t="str">
        <f t="shared" si="4"/>
        <v/>
      </c>
      <c r="N117" s="185" t="str">
        <f t="shared" si="5"/>
        <v/>
      </c>
      <c r="P117" s="73" t="str">
        <f>IF(Inventory!A117="","",Inventory!A117)</f>
        <v>PO-WET-BL-85G-002</v>
      </c>
    </row>
    <row r="118" ht="14.25" customHeight="1">
      <c r="A118" s="186"/>
      <c r="B118" s="187"/>
      <c r="C118" s="187"/>
      <c r="D118" s="188" t="str">
        <f>IF(C118="","",IFERROR(VLOOKUP(C118,Inventory!$A:$B,2,FALSE),""))</f>
        <v/>
      </c>
      <c r="E118" s="188" t="str">
        <f>IF(C118="","",IFERROR(VLOOKUP(C118,Inventory!$A:$C,3,FALSE),""))</f>
        <v/>
      </c>
      <c r="F118" s="187"/>
      <c r="G118" s="180" t="str">
        <f>IF(C118="","",IFERROR(VLOOKUP(C118,Inventory!$A:$I,9,FALSE),0))</f>
        <v/>
      </c>
      <c r="H118" s="189" t="str">
        <f t="shared" si="1"/>
        <v/>
      </c>
      <c r="I118" s="190" t="str">
        <f t="shared" si="2"/>
        <v/>
      </c>
      <c r="J118" s="191"/>
      <c r="K118" s="191" t="str">
        <f t="shared" si="3"/>
        <v/>
      </c>
      <c r="L118" s="187"/>
      <c r="M118" s="192" t="str">
        <f t="shared" si="4"/>
        <v/>
      </c>
      <c r="N118" s="185" t="str">
        <f t="shared" si="5"/>
        <v/>
      </c>
      <c r="P118" s="73" t="str">
        <f>IF(Inventory!A118="","",Inventory!A118)</f>
        <v>FD-DRY-JUN-1.5KG-001</v>
      </c>
    </row>
    <row r="119" ht="14.25" customHeight="1">
      <c r="A119" s="186"/>
      <c r="B119" s="187"/>
      <c r="C119" s="187"/>
      <c r="D119" s="188" t="str">
        <f>IF(C119="","",IFERROR(VLOOKUP(C119,Inventory!$A:$B,2,FALSE),""))</f>
        <v/>
      </c>
      <c r="E119" s="188" t="str">
        <f>IF(C119="","",IFERROR(VLOOKUP(C119,Inventory!$A:$C,3,FALSE),""))</f>
        <v/>
      </c>
      <c r="F119" s="187"/>
      <c r="G119" s="180" t="str">
        <f>IF(C119="","",IFERROR(VLOOKUP(C119,Inventory!$A:$I,9,FALSE),0))</f>
        <v/>
      </c>
      <c r="H119" s="189" t="str">
        <f t="shared" si="1"/>
        <v/>
      </c>
      <c r="I119" s="190" t="str">
        <f t="shared" si="2"/>
        <v/>
      </c>
      <c r="J119" s="191"/>
      <c r="K119" s="191" t="str">
        <f t="shared" si="3"/>
        <v/>
      </c>
      <c r="L119" s="187"/>
      <c r="M119" s="192" t="str">
        <f t="shared" si="4"/>
        <v/>
      </c>
      <c r="N119" s="185" t="str">
        <f t="shared" si="5"/>
        <v/>
      </c>
      <c r="P119" s="73" t="str">
        <f>IF(Inventory!A119="","",Inventory!A119)</f>
        <v>LT-LM-DR-10L-001</v>
      </c>
    </row>
    <row r="120" ht="14.25" customHeight="1">
      <c r="A120" s="186"/>
      <c r="B120" s="187"/>
      <c r="C120" s="187"/>
      <c r="D120" s="188" t="str">
        <f>IF(C120="","",IFERROR(VLOOKUP(C120,Inventory!$A:$B,2,FALSE),""))</f>
        <v/>
      </c>
      <c r="E120" s="188" t="str">
        <f>IF(C120="","",IFERROR(VLOOKUP(C120,Inventory!$A:$C,3,FALSE),""))</f>
        <v/>
      </c>
      <c r="F120" s="187"/>
      <c r="G120" s="180" t="str">
        <f>IF(C120="","",IFERROR(VLOOKUP(C120,Inventory!$A:$I,9,FALSE),0))</f>
        <v/>
      </c>
      <c r="H120" s="189" t="str">
        <f t="shared" si="1"/>
        <v/>
      </c>
      <c r="I120" s="190" t="str">
        <f t="shared" si="2"/>
        <v/>
      </c>
      <c r="J120" s="191"/>
      <c r="K120" s="191" t="str">
        <f t="shared" si="3"/>
        <v/>
      </c>
      <c r="L120" s="187"/>
      <c r="M120" s="192" t="str">
        <f t="shared" si="4"/>
        <v/>
      </c>
      <c r="N120" s="185" t="str">
        <f t="shared" si="5"/>
        <v/>
      </c>
      <c r="P120" s="73" t="str">
        <f>IF(Inventory!A120="","",Inventory!A120)</f>
        <v>CN-SMR-375G-001</v>
      </c>
    </row>
    <row r="121" ht="14.25" customHeight="1">
      <c r="A121" s="186"/>
      <c r="B121" s="187"/>
      <c r="C121" s="187"/>
      <c r="D121" s="188" t="str">
        <f>IF(C121="","",IFERROR(VLOOKUP(C121,Inventory!$A:$B,2,FALSE),""))</f>
        <v/>
      </c>
      <c r="E121" s="188" t="str">
        <f>IF(C121="","",IFERROR(VLOOKUP(C121,Inventory!$A:$C,3,FALSE),""))</f>
        <v/>
      </c>
      <c r="F121" s="187"/>
      <c r="G121" s="180" t="str">
        <f>IF(C121="","",IFERROR(VLOOKUP(C121,Inventory!$A:$I,9,FALSE),0))</f>
        <v/>
      </c>
      <c r="H121" s="189" t="str">
        <f t="shared" si="1"/>
        <v/>
      </c>
      <c r="I121" s="190" t="str">
        <f t="shared" si="2"/>
        <v/>
      </c>
      <c r="J121" s="191"/>
      <c r="K121" s="191" t="str">
        <f t="shared" si="3"/>
        <v/>
      </c>
      <c r="L121" s="187"/>
      <c r="M121" s="192" t="str">
        <f t="shared" si="4"/>
        <v/>
      </c>
      <c r="N121" s="185" t="str">
        <f t="shared" si="5"/>
        <v/>
      </c>
      <c r="P121" s="73" t="str">
        <f>IF(Inventory!A121="","",Inventory!A121)</f>
        <v>AC-EC-0001</v>
      </c>
    </row>
    <row r="122" ht="14.25" customHeight="1">
      <c r="A122" s="186"/>
      <c r="B122" s="187"/>
      <c r="C122" s="187"/>
      <c r="D122" s="188" t="str">
        <f>IF(C122="","",IFERROR(VLOOKUP(C122,Inventory!$A:$B,2,FALSE),""))</f>
        <v/>
      </c>
      <c r="E122" s="188" t="str">
        <f>IF(C122="","",IFERROR(VLOOKUP(C122,Inventory!$A:$C,3,FALSE),""))</f>
        <v/>
      </c>
      <c r="F122" s="187"/>
      <c r="G122" s="180" t="str">
        <f>IF(C122="","",IFERROR(VLOOKUP(C122,Inventory!$A:$I,9,FALSE),0))</f>
        <v/>
      </c>
      <c r="H122" s="189" t="str">
        <f t="shared" si="1"/>
        <v/>
      </c>
      <c r="I122" s="190" t="str">
        <f t="shared" si="2"/>
        <v/>
      </c>
      <c r="J122" s="191"/>
      <c r="K122" s="191" t="str">
        <f t="shared" si="3"/>
        <v/>
      </c>
      <c r="L122" s="187"/>
      <c r="M122" s="192" t="str">
        <f t="shared" si="4"/>
        <v/>
      </c>
      <c r="N122" s="185" t="str">
        <f t="shared" si="5"/>
        <v/>
      </c>
      <c r="P122" s="73" t="str">
        <f>IF(Inventory!A122="","",Inventory!A122)</f>
        <v>AC-MT-0001</v>
      </c>
    </row>
    <row r="123" ht="14.25" customHeight="1">
      <c r="A123" s="186"/>
      <c r="B123" s="187"/>
      <c r="C123" s="187"/>
      <c r="D123" s="188" t="str">
        <f>IF(C123="","",IFERROR(VLOOKUP(C123,Inventory!$A:$B,2,FALSE),""))</f>
        <v/>
      </c>
      <c r="E123" s="188" t="str">
        <f>IF(C123="","",IFERROR(VLOOKUP(C123,Inventory!$A:$C,3,FALSE),""))</f>
        <v/>
      </c>
      <c r="F123" s="187"/>
      <c r="G123" s="180" t="str">
        <f>IF(C123="","",IFERROR(VLOOKUP(C123,Inventory!$A:$I,9,FALSE),0))</f>
        <v/>
      </c>
      <c r="H123" s="189" t="str">
        <f t="shared" si="1"/>
        <v/>
      </c>
      <c r="I123" s="190" t="str">
        <f t="shared" si="2"/>
        <v/>
      </c>
      <c r="J123" s="191"/>
      <c r="K123" s="191" t="str">
        <f t="shared" si="3"/>
        <v/>
      </c>
      <c r="L123" s="187"/>
      <c r="M123" s="192" t="str">
        <f t="shared" si="4"/>
        <v/>
      </c>
      <c r="N123" s="185" t="str">
        <f t="shared" si="5"/>
        <v/>
      </c>
      <c r="P123" s="73" t="str">
        <f>IF(Inventory!A123="","",Inventory!A123)</f>
        <v>AC-RB-MS-0001</v>
      </c>
    </row>
    <row r="124" ht="14.25" customHeight="1">
      <c r="A124" s="186"/>
      <c r="B124" s="187"/>
      <c r="C124" s="187"/>
      <c r="D124" s="188" t="str">
        <f>IF(C124="","",IFERROR(VLOOKUP(C124,Inventory!$A:$B,2,FALSE),""))</f>
        <v/>
      </c>
      <c r="E124" s="188" t="str">
        <f>IF(C124="","",IFERROR(VLOOKUP(C124,Inventory!$A:$C,3,FALSE),""))</f>
        <v/>
      </c>
      <c r="F124" s="187"/>
      <c r="G124" s="180" t="str">
        <f>IF(C124="","",IFERROR(VLOOKUP(C124,Inventory!$A:$I,9,FALSE),0))</f>
        <v/>
      </c>
      <c r="H124" s="189" t="str">
        <f t="shared" si="1"/>
        <v/>
      </c>
      <c r="I124" s="190" t="str">
        <f t="shared" si="2"/>
        <v/>
      </c>
      <c r="J124" s="191"/>
      <c r="K124" s="191" t="str">
        <f t="shared" si="3"/>
        <v/>
      </c>
      <c r="L124" s="187"/>
      <c r="M124" s="192" t="str">
        <f t="shared" si="4"/>
        <v/>
      </c>
      <c r="N124" s="185" t="str">
        <f t="shared" si="5"/>
        <v/>
      </c>
      <c r="P124" s="73" t="str">
        <f>IF(Inventory!A124="","",Inventory!A124)</f>
        <v>AC-CSTOY-Feather-0001</v>
      </c>
    </row>
    <row r="125" ht="14.25" customHeight="1">
      <c r="A125" s="186"/>
      <c r="B125" s="187"/>
      <c r="C125" s="187"/>
      <c r="D125" s="188" t="str">
        <f>IF(C125="","",IFERROR(VLOOKUP(C125,Inventory!$A:$B,2,FALSE),""))</f>
        <v/>
      </c>
      <c r="E125" s="188" t="str">
        <f>IF(C125="","",IFERROR(VLOOKUP(C125,Inventory!$A:$C,3,FALSE),""))</f>
        <v/>
      </c>
      <c r="F125" s="187"/>
      <c r="G125" s="180" t="str">
        <f>IF(C125="","",IFERROR(VLOOKUP(C125,Inventory!$A:$I,9,FALSE),0))</f>
        <v/>
      </c>
      <c r="H125" s="189" t="str">
        <f t="shared" si="1"/>
        <v/>
      </c>
      <c r="I125" s="190" t="str">
        <f t="shared" si="2"/>
        <v/>
      </c>
      <c r="J125" s="191"/>
      <c r="K125" s="191" t="str">
        <f t="shared" si="3"/>
        <v/>
      </c>
      <c r="L125" s="187"/>
      <c r="M125" s="192" t="str">
        <f t="shared" si="4"/>
        <v/>
      </c>
      <c r="N125" s="185" t="str">
        <f t="shared" si="5"/>
        <v/>
      </c>
      <c r="P125" s="73" t="str">
        <f>IF(Inventory!A125="","",Inventory!A125)</f>
        <v>FD-MX-0003</v>
      </c>
    </row>
    <row r="126" ht="14.25" customHeight="1">
      <c r="A126" s="186"/>
      <c r="B126" s="187"/>
      <c r="C126" s="187"/>
      <c r="D126" s="188" t="str">
        <f>IF(C126="","",IFERROR(VLOOKUP(C126,Inventory!$A:$B,2,FALSE),""))</f>
        <v/>
      </c>
      <c r="E126" s="188" t="str">
        <f>IF(C126="","",IFERROR(VLOOKUP(C126,Inventory!$A:$C,3,FALSE),""))</f>
        <v/>
      </c>
      <c r="F126" s="187"/>
      <c r="G126" s="180" t="str">
        <f>IF(C126="","",IFERROR(VLOOKUP(C126,Inventory!$A:$I,9,FALSE),0))</f>
        <v/>
      </c>
      <c r="H126" s="189" t="str">
        <f t="shared" si="1"/>
        <v/>
      </c>
      <c r="I126" s="190" t="str">
        <f t="shared" si="2"/>
        <v/>
      </c>
      <c r="J126" s="191"/>
      <c r="K126" s="191" t="str">
        <f t="shared" si="3"/>
        <v/>
      </c>
      <c r="L126" s="187"/>
      <c r="M126" s="192" t="str">
        <f t="shared" si="4"/>
        <v/>
      </c>
      <c r="N126" s="185" t="str">
        <f t="shared" si="5"/>
        <v/>
      </c>
      <c r="P126" s="73" t="str">
        <f>IF(Inventory!A126="","",Inventory!A126)</f>
        <v>FD-DRY-WP-1.5KG-001</v>
      </c>
    </row>
    <row r="127" ht="14.25" customHeight="1">
      <c r="A127" s="186"/>
      <c r="B127" s="187"/>
      <c r="C127" s="187"/>
      <c r="D127" s="188" t="str">
        <f>IF(C127="","",IFERROR(VLOOKUP(C127,Inventory!$A:$B,2,FALSE),""))</f>
        <v/>
      </c>
      <c r="E127" s="188" t="str">
        <f>IF(C127="","",IFERROR(VLOOKUP(C127,Inventory!$A:$C,3,FALSE),""))</f>
        <v/>
      </c>
      <c r="F127" s="187"/>
      <c r="G127" s="180" t="str">
        <f>IF(C127="","",IFERROR(VLOOKUP(C127,Inventory!$A:$I,9,FALSE),0))</f>
        <v/>
      </c>
      <c r="H127" s="189" t="str">
        <f t="shared" si="1"/>
        <v/>
      </c>
      <c r="I127" s="190" t="str">
        <f t="shared" si="2"/>
        <v/>
      </c>
      <c r="J127" s="191"/>
      <c r="K127" s="191" t="str">
        <f t="shared" si="3"/>
        <v/>
      </c>
      <c r="L127" s="187"/>
      <c r="M127" s="192" t="str">
        <f t="shared" si="4"/>
        <v/>
      </c>
      <c r="N127" s="185" t="str">
        <f t="shared" si="5"/>
        <v/>
      </c>
      <c r="P127" s="73" t="str">
        <f>IF(Inventory!A127="","",Inventory!A127)</f>
        <v>FD-WET-WP-001</v>
      </c>
    </row>
    <row r="128" ht="14.25" customHeight="1">
      <c r="A128" s="186"/>
      <c r="B128" s="187"/>
      <c r="C128" s="187"/>
      <c r="D128" s="188" t="str">
        <f>IF(C128="","",IFERROR(VLOOKUP(C128,Inventory!$A:$B,2,FALSE),""))</f>
        <v/>
      </c>
      <c r="E128" s="188" t="str">
        <f>IF(C128="","",IFERROR(VLOOKUP(C128,Inventory!$A:$C,3,FALSE),""))</f>
        <v/>
      </c>
      <c r="F128" s="187"/>
      <c r="G128" s="180" t="str">
        <f>IF(C128="","",IFERROR(VLOOKUP(C128,Inventory!$A:$I,9,FALSE),0))</f>
        <v/>
      </c>
      <c r="H128" s="189" t="str">
        <f t="shared" si="1"/>
        <v/>
      </c>
      <c r="I128" s="190" t="str">
        <f t="shared" si="2"/>
        <v/>
      </c>
      <c r="J128" s="191"/>
      <c r="K128" s="191" t="str">
        <f t="shared" si="3"/>
        <v/>
      </c>
      <c r="L128" s="187"/>
      <c r="M128" s="192" t="str">
        <f t="shared" si="4"/>
        <v/>
      </c>
      <c r="N128" s="185" t="str">
        <f t="shared" si="5"/>
        <v/>
      </c>
      <c r="P128" s="73" t="str">
        <f>IF(Inventory!A128="","",Inventory!A128)</f>
        <v>FD-DRY-KTCN-All-400G-001</v>
      </c>
    </row>
    <row r="129" ht="14.25" customHeight="1">
      <c r="A129" s="186"/>
      <c r="B129" s="187"/>
      <c r="C129" s="187"/>
      <c r="D129" s="188" t="str">
        <f>IF(C129="","",IFERROR(VLOOKUP(C129,Inventory!$A:$B,2,FALSE),""))</f>
        <v/>
      </c>
      <c r="E129" s="188" t="str">
        <f>IF(C129="","",IFERROR(VLOOKUP(C129,Inventory!$A:$C,3,FALSE),""))</f>
        <v/>
      </c>
      <c r="F129" s="187"/>
      <c r="G129" s="180" t="str">
        <f>IF(C129="","",IFERROR(VLOOKUP(C129,Inventory!$A:$I,9,FALSE),0))</f>
        <v/>
      </c>
      <c r="H129" s="189" t="str">
        <f t="shared" si="1"/>
        <v/>
      </c>
      <c r="I129" s="190" t="str">
        <f t="shared" si="2"/>
        <v/>
      </c>
      <c r="J129" s="191"/>
      <c r="K129" s="191" t="str">
        <f t="shared" si="3"/>
        <v/>
      </c>
      <c r="L129" s="187"/>
      <c r="M129" s="192" t="str">
        <f t="shared" si="4"/>
        <v/>
      </c>
      <c r="N129" s="185" t="str">
        <f t="shared" si="5"/>
        <v/>
      </c>
      <c r="P129" s="73" t="str">
        <f>IF(Inventory!A129="","",Inventory!A129)</f>
        <v>PO-WET-KTCN-HS-001</v>
      </c>
    </row>
    <row r="130" ht="14.25" customHeight="1">
      <c r="A130" s="186"/>
      <c r="B130" s="187"/>
      <c r="C130" s="187"/>
      <c r="D130" s="188" t="str">
        <f>IF(C130="","",IFERROR(VLOOKUP(C130,Inventory!$A:$B,2,FALSE),""))</f>
        <v/>
      </c>
      <c r="E130" s="188" t="str">
        <f>IF(C130="","",IFERROR(VLOOKUP(C130,Inventory!$A:$C,3,FALSE),""))</f>
        <v/>
      </c>
      <c r="F130" s="187"/>
      <c r="G130" s="180" t="str">
        <f>IF(C130="","",IFERROR(VLOOKUP(C130,Inventory!$A:$I,9,FALSE),0))</f>
        <v/>
      </c>
      <c r="H130" s="189" t="str">
        <f t="shared" si="1"/>
        <v/>
      </c>
      <c r="I130" s="190" t="str">
        <f t="shared" si="2"/>
        <v/>
      </c>
      <c r="J130" s="191"/>
      <c r="K130" s="191" t="str">
        <f t="shared" si="3"/>
        <v/>
      </c>
      <c r="L130" s="187"/>
      <c r="M130" s="192" t="str">
        <f t="shared" si="4"/>
        <v/>
      </c>
      <c r="N130" s="185" t="str">
        <f t="shared" si="5"/>
        <v/>
      </c>
      <c r="P130" s="73" t="str">
        <f>IF(Inventory!A130="","",Inventory!A130)</f>
        <v>PO-WET-KTCN-UR-001</v>
      </c>
    </row>
    <row r="131" ht="14.25" customHeight="1">
      <c r="A131" s="186"/>
      <c r="B131" s="187"/>
      <c r="C131" s="187"/>
      <c r="D131" s="188" t="str">
        <f>IF(C131="","",IFERROR(VLOOKUP(C131,Inventory!$A:$B,2,FALSE),""))</f>
        <v/>
      </c>
      <c r="E131" s="188" t="str">
        <f>IF(C131="","",IFERROR(VLOOKUP(C131,Inventory!$A:$C,3,FALSE),""))</f>
        <v/>
      </c>
      <c r="F131" s="187"/>
      <c r="G131" s="180" t="str">
        <f>IF(C131="","",IFERROR(VLOOKUP(C131,Inventory!$A:$I,9,FALSE),0))</f>
        <v/>
      </c>
      <c r="H131" s="189" t="str">
        <f t="shared" si="1"/>
        <v/>
      </c>
      <c r="I131" s="190" t="str">
        <f t="shared" si="2"/>
        <v/>
      </c>
      <c r="J131" s="191"/>
      <c r="K131" s="191" t="str">
        <f t="shared" si="3"/>
        <v/>
      </c>
      <c r="L131" s="187"/>
      <c r="M131" s="192" t="str">
        <f t="shared" si="4"/>
        <v/>
      </c>
      <c r="N131" s="185" t="str">
        <f t="shared" si="5"/>
        <v/>
      </c>
      <c r="P131" s="73" t="str">
        <f>IF(Inventory!A131="","",Inventory!A131)</f>
        <v>PO-WET-KTCN-ID-001</v>
      </c>
    </row>
    <row r="132" ht="14.25" customHeight="1">
      <c r="A132" s="186"/>
      <c r="B132" s="187"/>
      <c r="C132" s="187"/>
      <c r="D132" s="188" t="str">
        <f>IF(C132="","",IFERROR(VLOOKUP(C132,Inventory!$A:$B,2,FALSE),""))</f>
        <v/>
      </c>
      <c r="E132" s="188" t="str">
        <f>IF(C132="","",IFERROR(VLOOKUP(C132,Inventory!$A:$C,3,FALSE),""))</f>
        <v/>
      </c>
      <c r="F132" s="187"/>
      <c r="G132" s="180" t="str">
        <f>IF(C132="","",IFERROR(VLOOKUP(C132,Inventory!$A:$I,9,FALSE),0))</f>
        <v/>
      </c>
      <c r="H132" s="189" t="str">
        <f t="shared" si="1"/>
        <v/>
      </c>
      <c r="I132" s="190" t="str">
        <f t="shared" si="2"/>
        <v/>
      </c>
      <c r="J132" s="191"/>
      <c r="K132" s="191" t="str">
        <f t="shared" si="3"/>
        <v/>
      </c>
      <c r="L132" s="187"/>
      <c r="M132" s="192" t="str">
        <f t="shared" si="4"/>
        <v/>
      </c>
      <c r="N132" s="185" t="str">
        <f t="shared" si="5"/>
        <v/>
      </c>
      <c r="P132" s="73" t="str">
        <f>IF(Inventory!A132="","",Inventory!A132)</f>
        <v>PO-WET-NB-KD-001</v>
      </c>
    </row>
    <row r="133" ht="14.25" customHeight="1">
      <c r="A133" s="186"/>
      <c r="B133" s="187"/>
      <c r="C133" s="187"/>
      <c r="D133" s="188" t="str">
        <f>IF(C133="","",IFERROR(VLOOKUP(C133,Inventory!$A:$B,2,FALSE),""))</f>
        <v/>
      </c>
      <c r="E133" s="188" t="str">
        <f>IF(C133="","",IFERROR(VLOOKUP(C133,Inventory!$A:$C,3,FALSE),""))</f>
        <v/>
      </c>
      <c r="F133" s="187"/>
      <c r="G133" s="180" t="str">
        <f>IF(C133="","",IFERROR(VLOOKUP(C133,Inventory!$A:$I,9,FALSE),0))</f>
        <v/>
      </c>
      <c r="H133" s="189" t="str">
        <f t="shared" si="1"/>
        <v/>
      </c>
      <c r="I133" s="190" t="str">
        <f t="shared" si="2"/>
        <v/>
      </c>
      <c r="J133" s="191"/>
      <c r="K133" s="191" t="str">
        <f t="shared" si="3"/>
        <v/>
      </c>
      <c r="L133" s="187"/>
      <c r="M133" s="192" t="str">
        <f t="shared" si="4"/>
        <v/>
      </c>
      <c r="N133" s="185" t="str">
        <f t="shared" si="5"/>
        <v/>
      </c>
      <c r="P133" s="73" t="str">
        <f>IF(Inventory!A133="","",Inventory!A133)</f>
        <v>PO-WET-NB-UR-001</v>
      </c>
    </row>
    <row r="134" ht="14.25" customHeight="1">
      <c r="A134" s="186"/>
      <c r="B134" s="187"/>
      <c r="C134" s="187"/>
      <c r="D134" s="188" t="str">
        <f>IF(C134="","",IFERROR(VLOOKUP(C134,Inventory!$A:$B,2,FALSE),""))</f>
        <v/>
      </c>
      <c r="E134" s="188" t="str">
        <f>IF(C134="","",IFERROR(VLOOKUP(C134,Inventory!$A:$C,3,FALSE),""))</f>
        <v/>
      </c>
      <c r="F134" s="187"/>
      <c r="G134" s="180" t="str">
        <f>IF(C134="","",IFERROR(VLOOKUP(C134,Inventory!$A:$I,9,FALSE),0))</f>
        <v/>
      </c>
      <c r="H134" s="189" t="str">
        <f t="shared" si="1"/>
        <v/>
      </c>
      <c r="I134" s="190" t="str">
        <f t="shared" si="2"/>
        <v/>
      </c>
      <c r="J134" s="191"/>
      <c r="K134" s="191" t="str">
        <f t="shared" si="3"/>
        <v/>
      </c>
      <c r="L134" s="187"/>
      <c r="M134" s="192" t="str">
        <f t="shared" si="4"/>
        <v/>
      </c>
      <c r="N134" s="185" t="str">
        <f t="shared" si="5"/>
        <v/>
      </c>
      <c r="P134" s="73" t="str">
        <f>IF(Inventory!A134="","",Inventory!A134)</f>
        <v>FD-DRY-KT-H/P-1.5KG-001</v>
      </c>
    </row>
    <row r="135" ht="14.25" customHeight="1">
      <c r="A135" s="186"/>
      <c r="B135" s="187"/>
      <c r="C135" s="187"/>
      <c r="D135" s="188" t="str">
        <f>IF(C135="","",IFERROR(VLOOKUP(C135,Inventory!$A:$B,2,FALSE),""))</f>
        <v/>
      </c>
      <c r="E135" s="188" t="str">
        <f>IF(C135="","",IFERROR(VLOOKUP(C135,Inventory!$A:$C,3,FALSE),""))</f>
        <v/>
      </c>
      <c r="F135" s="187"/>
      <c r="G135" s="180" t="str">
        <f>IF(C135="","",IFERROR(VLOOKUP(C135,Inventory!$A:$I,9,FALSE),0))</f>
        <v/>
      </c>
      <c r="H135" s="189" t="str">
        <f t="shared" si="1"/>
        <v/>
      </c>
      <c r="I135" s="190" t="str">
        <f t="shared" si="2"/>
        <v/>
      </c>
      <c r="J135" s="191"/>
      <c r="K135" s="191" t="str">
        <f t="shared" si="3"/>
        <v/>
      </c>
      <c r="L135" s="187"/>
      <c r="M135" s="192" t="str">
        <f t="shared" si="4"/>
        <v/>
      </c>
      <c r="N135" s="185" t="str">
        <f t="shared" si="5"/>
        <v/>
      </c>
      <c r="P135" s="73" t="str">
        <f>IF(Inventory!A135="","",Inventory!A135)</f>
        <v>FD-DRY-H/P-1.5KG-001</v>
      </c>
    </row>
    <row r="136" ht="14.25" customHeight="1">
      <c r="A136" s="186"/>
      <c r="B136" s="187"/>
      <c r="C136" s="187"/>
      <c r="D136" s="188" t="str">
        <f>IF(C136="","",IFERROR(VLOOKUP(C136,Inventory!$A:$B,2,FALSE),""))</f>
        <v/>
      </c>
      <c r="E136" s="188" t="str">
        <f>IF(C136="","",IFERROR(VLOOKUP(C136,Inventory!$A:$C,3,FALSE),""))</f>
        <v/>
      </c>
      <c r="F136" s="187"/>
      <c r="G136" s="180" t="str">
        <f>IF(C136="","",IFERROR(VLOOKUP(C136,Inventory!$A:$I,9,FALSE),0))</f>
        <v/>
      </c>
      <c r="H136" s="189" t="str">
        <f t="shared" si="1"/>
        <v/>
      </c>
      <c r="I136" s="190" t="str">
        <f t="shared" si="2"/>
        <v/>
      </c>
      <c r="J136" s="191"/>
      <c r="K136" s="191" t="str">
        <f t="shared" si="3"/>
        <v/>
      </c>
      <c r="L136" s="187"/>
      <c r="M136" s="192" t="str">
        <f t="shared" si="4"/>
        <v/>
      </c>
      <c r="N136" s="185" t="str">
        <f t="shared" si="5"/>
        <v/>
      </c>
      <c r="P136" s="73" t="str">
        <f>IF(Inventory!A136="","",Inventory!A136)</f>
        <v>FD-DRY-LR-0.95KG-001</v>
      </c>
    </row>
    <row r="137" ht="14.25" customHeight="1">
      <c r="A137" s="186"/>
      <c r="B137" s="187"/>
      <c r="C137" s="187"/>
      <c r="D137" s="188" t="str">
        <f>IF(C137="","",IFERROR(VLOOKUP(C137,Inventory!$A:$B,2,FALSE),""))</f>
        <v/>
      </c>
      <c r="E137" s="188" t="str">
        <f>IF(C137="","",IFERROR(VLOOKUP(C137,Inventory!$A:$C,3,FALSE),""))</f>
        <v/>
      </c>
      <c r="F137" s="187"/>
      <c r="G137" s="180" t="str">
        <f>IF(C137="","",IFERROR(VLOOKUP(C137,Inventory!$A:$I,9,FALSE),0))</f>
        <v/>
      </c>
      <c r="H137" s="189" t="str">
        <f t="shared" si="1"/>
        <v/>
      </c>
      <c r="I137" s="190" t="str">
        <f t="shared" si="2"/>
        <v/>
      </c>
      <c r="J137" s="191"/>
      <c r="K137" s="191" t="str">
        <f t="shared" si="3"/>
        <v/>
      </c>
      <c r="L137" s="187"/>
      <c r="M137" s="192" t="str">
        <f t="shared" si="4"/>
        <v/>
      </c>
      <c r="N137" s="185" t="str">
        <f t="shared" si="5"/>
        <v/>
      </c>
      <c r="P137" s="73" t="str">
        <f>IF(Inventory!A137="","",Inventory!A137)</f>
        <v>FD-DRY-PR-1KG-001</v>
      </c>
    </row>
    <row r="138" ht="14.25" customHeight="1">
      <c r="A138" s="186"/>
      <c r="B138" s="187"/>
      <c r="C138" s="187"/>
      <c r="D138" s="188" t="str">
        <f>IF(C138="","",IFERROR(VLOOKUP(C138,Inventory!$A:$B,2,FALSE),""))</f>
        <v/>
      </c>
      <c r="E138" s="188" t="str">
        <f>IF(C138="","",IFERROR(VLOOKUP(C138,Inventory!$A:$C,3,FALSE),""))</f>
        <v/>
      </c>
      <c r="F138" s="187"/>
      <c r="G138" s="180" t="str">
        <f>IF(C138="","",IFERROR(VLOOKUP(C138,Inventory!$A:$I,9,FALSE),0))</f>
        <v/>
      </c>
      <c r="H138" s="189" t="str">
        <f t="shared" si="1"/>
        <v/>
      </c>
      <c r="I138" s="190" t="str">
        <f t="shared" si="2"/>
        <v/>
      </c>
      <c r="J138" s="191"/>
      <c r="K138" s="191" t="str">
        <f t="shared" si="3"/>
        <v/>
      </c>
      <c r="L138" s="187"/>
      <c r="M138" s="192" t="str">
        <f t="shared" si="4"/>
        <v/>
      </c>
      <c r="N138" s="185" t="str">
        <f t="shared" si="5"/>
        <v/>
      </c>
      <c r="P138" s="73" t="str">
        <f>IF(Inventory!A138="","",Inventory!A138)</f>
        <v>FD-DRY-KTCN-HM-1.3KG-001</v>
      </c>
    </row>
    <row r="139" ht="14.25" customHeight="1">
      <c r="A139" s="186"/>
      <c r="B139" s="187"/>
      <c r="C139" s="187"/>
      <c r="D139" s="188" t="str">
        <f>IF(C139="","",IFERROR(VLOOKUP(C139,Inventory!$A:$B,2,FALSE),""))</f>
        <v/>
      </c>
      <c r="E139" s="188" t="str">
        <f>IF(C139="","",IFERROR(VLOOKUP(C139,Inventory!$A:$C,3,FALSE),""))</f>
        <v/>
      </c>
      <c r="F139" s="187"/>
      <c r="G139" s="180" t="str">
        <f>IF(C139="","",IFERROR(VLOOKUP(C139,Inventory!$A:$I,9,FALSE),0))</f>
        <v/>
      </c>
      <c r="H139" s="189" t="str">
        <f t="shared" si="1"/>
        <v/>
      </c>
      <c r="I139" s="190" t="str">
        <f t="shared" si="2"/>
        <v/>
      </c>
      <c r="J139" s="191"/>
      <c r="K139" s="191" t="str">
        <f t="shared" si="3"/>
        <v/>
      </c>
      <c r="L139" s="187"/>
      <c r="M139" s="192" t="str">
        <f t="shared" si="4"/>
        <v/>
      </c>
      <c r="N139" s="185" t="str">
        <f t="shared" si="5"/>
        <v/>
      </c>
      <c r="P139" s="73" t="str">
        <f>IF(Inventory!A139="","",Inventory!A139)</f>
        <v>FD-DRY-KTCN-UC-1.5KG-001</v>
      </c>
    </row>
    <row r="140" ht="14.25" customHeight="1">
      <c r="A140" s="186"/>
      <c r="B140" s="187"/>
      <c r="C140" s="187"/>
      <c r="D140" s="188" t="str">
        <f>IF(C140="","",IFERROR(VLOOKUP(C140,Inventory!$A:$B,2,FALSE),""))</f>
        <v/>
      </c>
      <c r="E140" s="188" t="str">
        <f>IF(C140="","",IFERROR(VLOOKUP(C140,Inventory!$A:$C,3,FALSE),""))</f>
        <v/>
      </c>
      <c r="F140" s="187"/>
      <c r="G140" s="180" t="str">
        <f>IF(C140="","",IFERROR(VLOOKUP(C140,Inventory!$A:$I,9,FALSE),0))</f>
        <v/>
      </c>
      <c r="H140" s="189" t="str">
        <f t="shared" si="1"/>
        <v/>
      </c>
      <c r="I140" s="190" t="str">
        <f t="shared" si="2"/>
        <v/>
      </c>
      <c r="J140" s="191"/>
      <c r="K140" s="191" t="str">
        <f t="shared" si="3"/>
        <v/>
      </c>
      <c r="L140" s="187"/>
      <c r="M140" s="192" t="str">
        <f t="shared" si="4"/>
        <v/>
      </c>
      <c r="N140" s="185" t="str">
        <f t="shared" si="5"/>
        <v/>
      </c>
      <c r="P140" s="73" t="str">
        <f>IF(Inventory!A140="","",Inventory!A140)</f>
        <v>PO-WP-90G-001</v>
      </c>
    </row>
    <row r="141" ht="14.25" customHeight="1">
      <c r="A141" s="186"/>
      <c r="B141" s="187"/>
      <c r="C141" s="187"/>
      <c r="D141" s="188" t="str">
        <f>IF(C141="","",IFERROR(VLOOKUP(C141,Inventory!$A:$B,2,FALSE),""))</f>
        <v/>
      </c>
      <c r="E141" s="188" t="str">
        <f>IF(C141="","",IFERROR(VLOOKUP(C141,Inventory!$A:$C,3,FALSE),""))</f>
        <v/>
      </c>
      <c r="F141" s="187"/>
      <c r="G141" s="180" t="str">
        <f>IF(C141="","",IFERROR(VLOOKUP(C141,Inventory!$A:$I,9,FALSE),0))</f>
        <v/>
      </c>
      <c r="H141" s="189" t="str">
        <f t="shared" si="1"/>
        <v/>
      </c>
      <c r="I141" s="190" t="str">
        <f t="shared" si="2"/>
        <v/>
      </c>
      <c r="J141" s="191"/>
      <c r="K141" s="191" t="str">
        <f t="shared" si="3"/>
        <v/>
      </c>
      <c r="L141" s="187"/>
      <c r="M141" s="192" t="str">
        <f t="shared" si="4"/>
        <v/>
      </c>
      <c r="N141" s="185" t="str">
        <f t="shared" si="5"/>
        <v/>
      </c>
      <c r="P141" s="73" t="str">
        <f>IF(Inventory!A141="","",Inventory!A141)</f>
        <v>PO-WP-90G-002</v>
      </c>
    </row>
    <row r="142" ht="14.25" customHeight="1">
      <c r="A142" s="186"/>
      <c r="B142" s="187"/>
      <c r="C142" s="187"/>
      <c r="D142" s="188" t="str">
        <f>IF(C142="","",IFERROR(VLOOKUP(C142,Inventory!$A:$B,2,FALSE),""))</f>
        <v/>
      </c>
      <c r="E142" s="188" t="str">
        <f>IF(C142="","",IFERROR(VLOOKUP(C142,Inventory!$A:$C,3,FALSE),""))</f>
        <v/>
      </c>
      <c r="F142" s="187"/>
      <c r="G142" s="180" t="str">
        <f>IF(C142="","",IFERROR(VLOOKUP(C142,Inventory!$A:$I,9,FALSE),0))</f>
        <v/>
      </c>
      <c r="H142" s="189" t="str">
        <f t="shared" si="1"/>
        <v/>
      </c>
      <c r="I142" s="190" t="str">
        <f t="shared" si="2"/>
        <v/>
      </c>
      <c r="J142" s="191"/>
      <c r="K142" s="191" t="str">
        <f t="shared" si="3"/>
        <v/>
      </c>
      <c r="L142" s="187"/>
      <c r="M142" s="192" t="str">
        <f t="shared" si="4"/>
        <v/>
      </c>
      <c r="N142" s="185" t="str">
        <f t="shared" si="5"/>
        <v/>
      </c>
      <c r="P142" s="73" t="str">
        <f>IF(Inventory!A142="","",Inventory!A142)</f>
        <v>FD-WET-WP-002</v>
      </c>
    </row>
    <row r="143" ht="14.25" customHeight="1">
      <c r="A143" s="186"/>
      <c r="B143" s="187"/>
      <c r="C143" s="187"/>
      <c r="D143" s="188" t="str">
        <f>IF(C143="","",IFERROR(VLOOKUP(C143,Inventory!$A:$B,2,FALSE),""))</f>
        <v/>
      </c>
      <c r="E143" s="188" t="str">
        <f>IF(C143="","",IFERROR(VLOOKUP(C143,Inventory!$A:$C,3,FALSE),""))</f>
        <v/>
      </c>
      <c r="F143" s="187"/>
      <c r="G143" s="180" t="str">
        <f>IF(C143="","",IFERROR(VLOOKUP(C143,Inventory!$A:$I,9,FALSE),0))</f>
        <v/>
      </c>
      <c r="H143" s="189" t="str">
        <f t="shared" si="1"/>
        <v/>
      </c>
      <c r="I143" s="190" t="str">
        <f t="shared" si="2"/>
        <v/>
      </c>
      <c r="J143" s="191"/>
      <c r="K143" s="191" t="str">
        <f t="shared" si="3"/>
        <v/>
      </c>
      <c r="L143" s="187"/>
      <c r="M143" s="192" t="str">
        <f t="shared" si="4"/>
        <v/>
      </c>
      <c r="N143" s="185" t="str">
        <f t="shared" si="5"/>
        <v/>
      </c>
      <c r="P143" s="73" t="str">
        <f>IF(Inventory!A143="","",Inventory!A143)</f>
        <v>TR-WP-Lol-001</v>
      </c>
    </row>
    <row r="144" ht="14.25" customHeight="1">
      <c r="A144" s="186"/>
      <c r="B144" s="187"/>
      <c r="C144" s="187"/>
      <c r="D144" s="188" t="str">
        <f>IF(C144="","",IFERROR(VLOOKUP(C144,Inventory!$A:$B,2,FALSE),""))</f>
        <v/>
      </c>
      <c r="E144" s="188" t="str">
        <f>IF(C144="","",IFERROR(VLOOKUP(C144,Inventory!$A:$C,3,FALSE),""))</f>
        <v/>
      </c>
      <c r="F144" s="187"/>
      <c r="G144" s="180" t="str">
        <f>IF(C144="","",IFERROR(VLOOKUP(C144,Inventory!$A:$I,9,FALSE),0))</f>
        <v/>
      </c>
      <c r="H144" s="189" t="str">
        <f t="shared" si="1"/>
        <v/>
      </c>
      <c r="I144" s="190" t="str">
        <f t="shared" si="2"/>
        <v/>
      </c>
      <c r="J144" s="191"/>
      <c r="K144" s="191" t="str">
        <f t="shared" si="3"/>
        <v/>
      </c>
      <c r="L144" s="187"/>
      <c r="M144" s="192" t="str">
        <f t="shared" si="4"/>
        <v/>
      </c>
      <c r="N144" s="185" t="str">
        <f t="shared" si="5"/>
        <v/>
      </c>
      <c r="P144" s="73" t="str">
        <f>IF(Inventory!A144="","",Inventory!A144)</f>
        <v>TR-WP-Lol-002</v>
      </c>
    </row>
    <row r="145" ht="14.25" customHeight="1">
      <c r="A145" s="186"/>
      <c r="B145" s="187"/>
      <c r="C145" s="187"/>
      <c r="D145" s="188" t="str">
        <f>IF(C145="","",IFERROR(VLOOKUP(C145,Inventory!$A:$B,2,FALSE),""))</f>
        <v/>
      </c>
      <c r="E145" s="188" t="str">
        <f>IF(C145="","",IFERROR(VLOOKUP(C145,Inventory!$A:$C,3,FALSE),""))</f>
        <v/>
      </c>
      <c r="F145" s="187"/>
      <c r="G145" s="180" t="str">
        <f>IF(C145="","",IFERROR(VLOOKUP(C145,Inventory!$A:$I,9,FALSE),0))</f>
        <v/>
      </c>
      <c r="H145" s="189" t="str">
        <f t="shared" si="1"/>
        <v/>
      </c>
      <c r="I145" s="190" t="str">
        <f t="shared" si="2"/>
        <v/>
      </c>
      <c r="J145" s="191"/>
      <c r="K145" s="191" t="str">
        <f t="shared" si="3"/>
        <v/>
      </c>
      <c r="L145" s="187"/>
      <c r="M145" s="192" t="str">
        <f t="shared" si="4"/>
        <v/>
      </c>
      <c r="N145" s="185" t="str">
        <f t="shared" si="5"/>
        <v/>
      </c>
      <c r="P145" s="73" t="str">
        <f>IF(Inventory!A145="","",Inventory!A145)</f>
        <v>TR-WP-ST-001</v>
      </c>
    </row>
    <row r="146" ht="14.25" customHeight="1">
      <c r="A146" s="186"/>
      <c r="B146" s="187"/>
      <c r="C146" s="187"/>
      <c r="D146" s="188" t="str">
        <f>IF(C146="","",IFERROR(VLOOKUP(C146,Inventory!$A:$B,2,FALSE),""))</f>
        <v/>
      </c>
      <c r="E146" s="188" t="str">
        <f>IF(C146="","",IFERROR(VLOOKUP(C146,Inventory!$A:$C,3,FALSE),""))</f>
        <v/>
      </c>
      <c r="F146" s="187"/>
      <c r="G146" s="180" t="str">
        <f>IF(C146="","",IFERROR(VLOOKUP(C146,Inventory!$A:$I,9,FALSE),0))</f>
        <v/>
      </c>
      <c r="H146" s="189" t="str">
        <f t="shared" si="1"/>
        <v/>
      </c>
      <c r="I146" s="190" t="str">
        <f t="shared" si="2"/>
        <v/>
      </c>
      <c r="J146" s="191"/>
      <c r="K146" s="191" t="str">
        <f t="shared" si="3"/>
        <v/>
      </c>
      <c r="L146" s="187"/>
      <c r="M146" s="192" t="str">
        <f t="shared" si="4"/>
        <v/>
      </c>
      <c r="N146" s="185" t="str">
        <f t="shared" si="5"/>
        <v/>
      </c>
      <c r="P146" s="73" t="str">
        <f>IF(Inventory!A146="","",Inventory!A146)</f>
        <v>TR-WP-ST-002</v>
      </c>
    </row>
    <row r="147" ht="14.25" customHeight="1">
      <c r="A147" s="186"/>
      <c r="B147" s="187"/>
      <c r="C147" s="187"/>
      <c r="D147" s="188" t="str">
        <f>IF(C147="","",IFERROR(VLOOKUP(C147,Inventory!$A:$B,2,FALSE),""))</f>
        <v/>
      </c>
      <c r="E147" s="188" t="str">
        <f>IF(C147="","",IFERROR(VLOOKUP(C147,Inventory!$A:$C,3,FALSE),""))</f>
        <v/>
      </c>
      <c r="F147" s="187"/>
      <c r="G147" s="180" t="str">
        <f>IF(C147="","",IFERROR(VLOOKUP(C147,Inventory!$A:$I,9,FALSE),0))</f>
        <v/>
      </c>
      <c r="H147" s="189" t="str">
        <f t="shared" si="1"/>
        <v/>
      </c>
      <c r="I147" s="190" t="str">
        <f t="shared" si="2"/>
        <v/>
      </c>
      <c r="J147" s="191"/>
      <c r="K147" s="191" t="str">
        <f t="shared" si="3"/>
        <v/>
      </c>
      <c r="L147" s="187"/>
      <c r="M147" s="192" t="str">
        <f t="shared" si="4"/>
        <v/>
      </c>
      <c r="N147" s="185" t="str">
        <f t="shared" si="5"/>
        <v/>
      </c>
      <c r="P147" s="73" t="str">
        <f>IF(Inventory!A147="","",Inventory!A147)</f>
        <v>TR-WP-ST-S-003</v>
      </c>
    </row>
    <row r="148" ht="14.25" customHeight="1">
      <c r="A148" s="186"/>
      <c r="B148" s="187"/>
      <c r="C148" s="187"/>
      <c r="D148" s="188" t="str">
        <f>IF(C148="","",IFERROR(VLOOKUP(C148,Inventory!$A:$B,2,FALSE),""))</f>
        <v/>
      </c>
      <c r="E148" s="188" t="str">
        <f>IF(C148="","",IFERROR(VLOOKUP(C148,Inventory!$A:$C,3,FALSE),""))</f>
        <v/>
      </c>
      <c r="F148" s="187"/>
      <c r="G148" s="180" t="str">
        <f>IF(C148="","",IFERROR(VLOOKUP(C148,Inventory!$A:$I,9,FALSE),0))</f>
        <v/>
      </c>
      <c r="H148" s="189" t="str">
        <f t="shared" si="1"/>
        <v/>
      </c>
      <c r="I148" s="190" t="str">
        <f t="shared" si="2"/>
        <v/>
      </c>
      <c r="J148" s="191"/>
      <c r="K148" s="191" t="str">
        <f t="shared" si="3"/>
        <v/>
      </c>
      <c r="L148" s="187"/>
      <c r="M148" s="192" t="str">
        <f t="shared" si="4"/>
        <v/>
      </c>
      <c r="N148" s="185" t="str">
        <f t="shared" si="5"/>
        <v/>
      </c>
      <c r="P148" s="73" t="str">
        <f>IF(Inventory!A148="","",Inventory!A148)</f>
        <v>TR-WP-ST-S-004</v>
      </c>
    </row>
    <row r="149" ht="14.25" customHeight="1">
      <c r="A149" s="186"/>
      <c r="B149" s="187"/>
      <c r="C149" s="187"/>
      <c r="D149" s="188" t="str">
        <f>IF(C149="","",IFERROR(VLOOKUP(C149,Inventory!$A:$B,2,FALSE),""))</f>
        <v/>
      </c>
      <c r="E149" s="188" t="str">
        <f>IF(C149="","",IFERROR(VLOOKUP(C149,Inventory!$A:$C,3,FALSE),""))</f>
        <v/>
      </c>
      <c r="F149" s="187"/>
      <c r="G149" s="180" t="str">
        <f>IF(C149="","",IFERROR(VLOOKUP(C149,Inventory!$A:$I,9,FALSE),0))</f>
        <v/>
      </c>
      <c r="H149" s="189" t="str">
        <f t="shared" si="1"/>
        <v/>
      </c>
      <c r="I149" s="190" t="str">
        <f t="shared" si="2"/>
        <v/>
      </c>
      <c r="J149" s="191"/>
      <c r="K149" s="191" t="str">
        <f t="shared" si="3"/>
        <v/>
      </c>
      <c r="L149" s="187"/>
      <c r="M149" s="192" t="str">
        <f t="shared" si="4"/>
        <v/>
      </c>
      <c r="N149" s="185" t="str">
        <f t="shared" si="5"/>
        <v/>
      </c>
      <c r="P149" s="73" t="str">
        <f>IF(Inventory!A149="","",Inventory!A149)</f>
        <v>AC-SHAMP-H-001</v>
      </c>
    </row>
    <row r="150" ht="14.25" customHeight="1">
      <c r="A150" s="186"/>
      <c r="B150" s="187"/>
      <c r="C150" s="187"/>
      <c r="D150" s="188" t="str">
        <f>IF(C150="","",IFERROR(VLOOKUP(C150,Inventory!$A:$B,2,FALSE),""))</f>
        <v/>
      </c>
      <c r="E150" s="188" t="str">
        <f>IF(C150="","",IFERROR(VLOOKUP(C150,Inventory!$A:$C,3,FALSE),""))</f>
        <v/>
      </c>
      <c r="F150" s="187"/>
      <c r="G150" s="180" t="str">
        <f>IF(C150="","",IFERROR(VLOOKUP(C150,Inventory!$A:$I,9,FALSE),0))</f>
        <v/>
      </c>
      <c r="H150" s="189" t="str">
        <f t="shared" si="1"/>
        <v/>
      </c>
      <c r="I150" s="190" t="str">
        <f t="shared" si="2"/>
        <v/>
      </c>
      <c r="J150" s="191"/>
      <c r="K150" s="191" t="str">
        <f t="shared" si="3"/>
        <v/>
      </c>
      <c r="L150" s="187"/>
      <c r="M150" s="192" t="str">
        <f t="shared" si="4"/>
        <v/>
      </c>
      <c r="N150" s="185" t="str">
        <f t="shared" si="5"/>
        <v/>
      </c>
      <c r="P150" s="73" t="str">
        <f>IF(Inventory!A150="","",Inventory!A150)</f>
        <v>AC-Grass-001</v>
      </c>
    </row>
    <row r="151" ht="14.25" customHeight="1">
      <c r="A151" s="186"/>
      <c r="B151" s="187"/>
      <c r="C151" s="187"/>
      <c r="D151" s="188" t="str">
        <f>IF(C151="","",IFERROR(VLOOKUP(C151,Inventory!$A:$B,2,FALSE),""))</f>
        <v/>
      </c>
      <c r="E151" s="188" t="str">
        <f>IF(C151="","",IFERROR(VLOOKUP(C151,Inventory!$A:$C,3,FALSE),""))</f>
        <v/>
      </c>
      <c r="F151" s="187"/>
      <c r="G151" s="180" t="str">
        <f>IF(C151="","",IFERROR(VLOOKUP(C151,Inventory!$A:$I,9,FALSE),0))</f>
        <v/>
      </c>
      <c r="H151" s="189" t="str">
        <f t="shared" si="1"/>
        <v/>
      </c>
      <c r="I151" s="190" t="str">
        <f t="shared" si="2"/>
        <v/>
      </c>
      <c r="J151" s="191"/>
      <c r="K151" s="191" t="str">
        <f t="shared" si="3"/>
        <v/>
      </c>
      <c r="L151" s="187"/>
      <c r="M151" s="192" t="str">
        <f t="shared" si="4"/>
        <v/>
      </c>
      <c r="N151" s="185" t="str">
        <f t="shared" si="5"/>
        <v/>
      </c>
      <c r="P151" s="73" t="str">
        <f>IF(Inventory!A151="","",Inventory!A151)</f>
        <v>LT-LM-Clean-5L-001</v>
      </c>
    </row>
    <row r="152" ht="14.25" customHeight="1">
      <c r="A152" s="186"/>
      <c r="B152" s="187"/>
      <c r="C152" s="187"/>
      <c r="D152" s="188" t="str">
        <f>IF(C152="","",IFERROR(VLOOKUP(C152,Inventory!$A:$B,2,FALSE),""))</f>
        <v/>
      </c>
      <c r="E152" s="188" t="str">
        <f>IF(C152="","",IFERROR(VLOOKUP(C152,Inventory!$A:$C,3,FALSE),""))</f>
        <v/>
      </c>
      <c r="F152" s="187"/>
      <c r="G152" s="180" t="str">
        <f>IF(C152="","",IFERROR(VLOOKUP(C152,Inventory!$A:$I,9,FALSE),0))</f>
        <v/>
      </c>
      <c r="H152" s="189" t="str">
        <f t="shared" si="1"/>
        <v/>
      </c>
      <c r="I152" s="190" t="str">
        <f t="shared" si="2"/>
        <v/>
      </c>
      <c r="J152" s="191"/>
      <c r="K152" s="191" t="str">
        <f t="shared" si="3"/>
        <v/>
      </c>
      <c r="L152" s="187"/>
      <c r="M152" s="192" t="str">
        <f t="shared" si="4"/>
        <v/>
      </c>
      <c r="N152" s="185" t="str">
        <f t="shared" si="5"/>
        <v/>
      </c>
      <c r="P152" s="73" t="str">
        <f>IF(Inventory!A152="","",Inventory!A152)</f>
        <v>LT-LV-Clean-5L-001</v>
      </c>
    </row>
    <row r="153" ht="14.25" customHeight="1">
      <c r="A153" s="186"/>
      <c r="B153" s="187"/>
      <c r="C153" s="187"/>
      <c r="D153" s="188" t="str">
        <f>IF(C153="","",IFERROR(VLOOKUP(C153,Inventory!$A:$B,2,FALSE),""))</f>
        <v/>
      </c>
      <c r="E153" s="188" t="str">
        <f>IF(C153="","",IFERROR(VLOOKUP(C153,Inventory!$A:$C,3,FALSE),""))</f>
        <v/>
      </c>
      <c r="F153" s="187"/>
      <c r="G153" s="180" t="str">
        <f>IF(C153="","",IFERROR(VLOOKUP(C153,Inventory!$A:$I,9,FALSE),0))</f>
        <v/>
      </c>
      <c r="H153" s="189" t="str">
        <f t="shared" si="1"/>
        <v/>
      </c>
      <c r="I153" s="190" t="str">
        <f t="shared" si="2"/>
        <v/>
      </c>
      <c r="J153" s="191"/>
      <c r="K153" s="191" t="str">
        <f t="shared" si="3"/>
        <v/>
      </c>
      <c r="L153" s="187"/>
      <c r="M153" s="192" t="str">
        <f t="shared" si="4"/>
        <v/>
      </c>
      <c r="N153" s="185" t="str">
        <f t="shared" si="5"/>
        <v/>
      </c>
      <c r="P153" s="73" t="str">
        <f>IF(Inventory!A153="","",Inventory!A153)</f>
        <v>LT-LM-LUM-10L-005</v>
      </c>
    </row>
    <row r="154" ht="14.25" customHeight="1">
      <c r="A154" s="186"/>
      <c r="B154" s="187"/>
      <c r="C154" s="187"/>
      <c r="D154" s="188" t="str">
        <f>IF(C154="","",IFERROR(VLOOKUP(C154,Inventory!$A:$B,2,FALSE),""))</f>
        <v/>
      </c>
      <c r="E154" s="188" t="str">
        <f>IF(C154="","",IFERROR(VLOOKUP(C154,Inventory!$A:$C,3,FALSE),""))</f>
        <v/>
      </c>
      <c r="F154" s="187"/>
      <c r="G154" s="180" t="str">
        <f>IF(C154="","",IFERROR(VLOOKUP(C154,Inventory!$A:$I,9,FALSE),0))</f>
        <v/>
      </c>
      <c r="H154" s="189" t="str">
        <f t="shared" si="1"/>
        <v/>
      </c>
      <c r="I154" s="190" t="str">
        <f t="shared" si="2"/>
        <v/>
      </c>
      <c r="J154" s="191"/>
      <c r="K154" s="191" t="str">
        <f t="shared" si="3"/>
        <v/>
      </c>
      <c r="L154" s="187"/>
      <c r="M154" s="192" t="str">
        <f t="shared" si="4"/>
        <v/>
      </c>
      <c r="N154" s="185" t="str">
        <f t="shared" si="5"/>
        <v/>
      </c>
      <c r="P154" s="73" t="str">
        <f>IF(Inventory!A154="","",Inventory!A154)</f>
        <v>LT-CoF-LUM-25L-002</v>
      </c>
    </row>
    <row r="155" ht="14.25" customHeight="1">
      <c r="A155" s="186"/>
      <c r="B155" s="187"/>
      <c r="C155" s="187"/>
      <c r="D155" s="188" t="str">
        <f>IF(C155="","",IFERROR(VLOOKUP(C155,Inventory!$A:$B,2,FALSE),""))</f>
        <v/>
      </c>
      <c r="E155" s="188" t="str">
        <f>IF(C155="","",IFERROR(VLOOKUP(C155,Inventory!$A:$C,3,FALSE),""))</f>
        <v/>
      </c>
      <c r="F155" s="187"/>
      <c r="G155" s="180" t="str">
        <f>IF(C155="","",IFERROR(VLOOKUP(C155,Inventory!$A:$I,9,FALSE),0))</f>
        <v/>
      </c>
      <c r="H155" s="189" t="str">
        <f t="shared" si="1"/>
        <v/>
      </c>
      <c r="I155" s="190" t="str">
        <f t="shared" si="2"/>
        <v/>
      </c>
      <c r="J155" s="191"/>
      <c r="K155" s="191" t="str">
        <f t="shared" si="3"/>
        <v/>
      </c>
      <c r="L155" s="187"/>
      <c r="M155" s="192" t="str">
        <f t="shared" si="4"/>
        <v/>
      </c>
      <c r="N155" s="185" t="str">
        <f t="shared" si="5"/>
        <v/>
      </c>
      <c r="P155" s="73" t="str">
        <f>IF(Inventory!A155="","",Inventory!A155)</f>
        <v>LT-LM-DC-25L-001</v>
      </c>
    </row>
    <row r="156" ht="14.25" customHeight="1">
      <c r="A156" s="186"/>
      <c r="B156" s="187"/>
      <c r="C156" s="187"/>
      <c r="D156" s="188" t="str">
        <f>IF(C156="","",IFERROR(VLOOKUP(C156,Inventory!$A:$B,2,FALSE),""))</f>
        <v/>
      </c>
      <c r="E156" s="188" t="str">
        <f>IF(C156="","",IFERROR(VLOOKUP(C156,Inventory!$A:$C,3,FALSE),""))</f>
        <v/>
      </c>
      <c r="F156" s="187"/>
      <c r="G156" s="180" t="str">
        <f>IF(C156="","",IFERROR(VLOOKUP(C156,Inventory!$A:$I,9,FALSE),0))</f>
        <v/>
      </c>
      <c r="H156" s="189" t="str">
        <f t="shared" si="1"/>
        <v/>
      </c>
      <c r="I156" s="190" t="str">
        <f t="shared" si="2"/>
        <v/>
      </c>
      <c r="J156" s="191"/>
      <c r="K156" s="191" t="str">
        <f t="shared" si="3"/>
        <v/>
      </c>
      <c r="L156" s="187"/>
      <c r="M156" s="192" t="str">
        <f t="shared" si="4"/>
        <v/>
      </c>
      <c r="N156" s="185" t="str">
        <f t="shared" si="5"/>
        <v/>
      </c>
      <c r="P156" s="73" t="str">
        <f>IF(Inventory!A156="","",Inventory!A156)</f>
        <v>LT-Coffee-DC-25L-001</v>
      </c>
    </row>
    <row r="157" ht="14.25" customHeight="1">
      <c r="A157" s="186"/>
      <c r="B157" s="187"/>
      <c r="C157" s="187"/>
      <c r="D157" s="188" t="str">
        <f>IF(C157="","",IFERROR(VLOOKUP(C157,Inventory!$A:$B,2,FALSE),""))</f>
        <v/>
      </c>
      <c r="E157" s="188" t="str">
        <f>IF(C157="","",IFERROR(VLOOKUP(C157,Inventory!$A:$C,3,FALSE),""))</f>
        <v/>
      </c>
      <c r="F157" s="187"/>
      <c r="G157" s="180" t="str">
        <f>IF(C157="","",IFERROR(VLOOKUP(C157,Inventory!$A:$I,9,FALSE),0))</f>
        <v/>
      </c>
      <c r="H157" s="189" t="str">
        <f t="shared" si="1"/>
        <v/>
      </c>
      <c r="I157" s="190" t="str">
        <f t="shared" si="2"/>
        <v/>
      </c>
      <c r="J157" s="191"/>
      <c r="K157" s="191" t="str">
        <f t="shared" si="3"/>
        <v/>
      </c>
      <c r="L157" s="187"/>
      <c r="M157" s="192" t="str">
        <f t="shared" si="4"/>
        <v/>
      </c>
      <c r="N157" s="185" t="str">
        <f t="shared" si="5"/>
        <v/>
      </c>
      <c r="P157" s="73" t="str">
        <f>IF(Inventory!A157="","",Inventory!A157)</f>
        <v>LT-LV-DC-25L-001</v>
      </c>
    </row>
    <row r="158" ht="14.25" customHeight="1">
      <c r="A158" s="186"/>
      <c r="B158" s="187"/>
      <c r="C158" s="187"/>
      <c r="D158" s="188" t="str">
        <f>IF(C158="","",IFERROR(VLOOKUP(C158,Inventory!$A:$B,2,FALSE),""))</f>
        <v/>
      </c>
      <c r="E158" s="188" t="str">
        <f>IF(C158="","",IFERROR(VLOOKUP(C158,Inventory!$A:$C,3,FALSE),""))</f>
        <v/>
      </c>
      <c r="F158" s="187"/>
      <c r="G158" s="180" t="str">
        <f>IF(C158="","",IFERROR(VLOOKUP(C158,Inventory!$A:$I,9,FALSE),0))</f>
        <v/>
      </c>
      <c r="H158" s="189" t="str">
        <f t="shared" si="1"/>
        <v/>
      </c>
      <c r="I158" s="190" t="str">
        <f t="shared" si="2"/>
        <v/>
      </c>
      <c r="J158" s="191"/>
      <c r="K158" s="191" t="str">
        <f t="shared" si="3"/>
        <v/>
      </c>
      <c r="L158" s="187"/>
      <c r="M158" s="192" t="str">
        <f t="shared" si="4"/>
        <v/>
      </c>
      <c r="N158" s="185" t="str">
        <f t="shared" si="5"/>
        <v/>
      </c>
      <c r="P158" s="73" t="str">
        <f>IF(Inventory!A158="","",Inventory!A158)</f>
        <v>TR-TAI-MUL-15G-001</v>
      </c>
    </row>
    <row r="159" ht="14.25" customHeight="1">
      <c r="A159" s="186"/>
      <c r="B159" s="187"/>
      <c r="C159" s="187"/>
      <c r="D159" s="188" t="str">
        <f>IF(C159="","",IFERROR(VLOOKUP(C159,Inventory!$A:$B,2,FALSE),""))</f>
        <v/>
      </c>
      <c r="E159" s="188" t="str">
        <f>IF(C159="","",IFERROR(VLOOKUP(C159,Inventory!$A:$C,3,FALSE),""))</f>
        <v/>
      </c>
      <c r="F159" s="187"/>
      <c r="G159" s="180" t="str">
        <f>IF(C159="","",IFERROR(VLOOKUP(C159,Inventory!$A:$I,9,FALSE),0))</f>
        <v/>
      </c>
      <c r="H159" s="189" t="str">
        <f t="shared" si="1"/>
        <v/>
      </c>
      <c r="I159" s="190" t="str">
        <f t="shared" si="2"/>
        <v/>
      </c>
      <c r="J159" s="191"/>
      <c r="K159" s="191" t="str">
        <f t="shared" si="3"/>
        <v/>
      </c>
      <c r="L159" s="187"/>
      <c r="M159" s="192" t="str">
        <f t="shared" si="4"/>
        <v/>
      </c>
      <c r="N159" s="185" t="str">
        <f t="shared" si="5"/>
        <v/>
      </c>
      <c r="P159" s="73" t="str">
        <f>IF(Inventory!A159="","",Inventory!A159)</f>
        <v>FD-DRY-BON-AD-0001</v>
      </c>
    </row>
    <row r="160" ht="14.25" customHeight="1">
      <c r="A160" s="186"/>
      <c r="B160" s="187"/>
      <c r="C160" s="187"/>
      <c r="D160" s="188" t="str">
        <f>IF(C160="","",IFERROR(VLOOKUP(C160,Inventory!$A:$B,2,FALSE),""))</f>
        <v/>
      </c>
      <c r="E160" s="188" t="str">
        <f>IF(C160="","",IFERROR(VLOOKUP(C160,Inventory!$A:$C,3,FALSE),""))</f>
        <v/>
      </c>
      <c r="F160" s="187"/>
      <c r="G160" s="180" t="str">
        <f>IF(C160="","",IFERROR(VLOOKUP(C160,Inventory!$A:$I,9,FALSE),0))</f>
        <v/>
      </c>
      <c r="H160" s="189" t="str">
        <f t="shared" si="1"/>
        <v/>
      </c>
      <c r="I160" s="190" t="str">
        <f t="shared" si="2"/>
        <v/>
      </c>
      <c r="J160" s="191"/>
      <c r="K160" s="191" t="str">
        <f t="shared" si="3"/>
        <v/>
      </c>
      <c r="L160" s="187"/>
      <c r="M160" s="192" t="str">
        <f t="shared" si="4"/>
        <v/>
      </c>
      <c r="N160" s="185" t="str">
        <f t="shared" si="5"/>
        <v/>
      </c>
      <c r="P160" s="73" t="str">
        <f>IF(Inventory!A160="","",Inventory!A160)</f>
        <v>FD-DRY-BON-KT-0001</v>
      </c>
    </row>
    <row r="161" ht="14.25" customHeight="1">
      <c r="A161" s="186"/>
      <c r="B161" s="187"/>
      <c r="C161" s="187"/>
      <c r="D161" s="188" t="str">
        <f>IF(C161="","",IFERROR(VLOOKUP(C161,Inventory!$A:$B,2,FALSE),""))</f>
        <v/>
      </c>
      <c r="E161" s="188" t="str">
        <f>IF(C161="","",IFERROR(VLOOKUP(C161,Inventory!$A:$C,3,FALSE),""))</f>
        <v/>
      </c>
      <c r="F161" s="187"/>
      <c r="G161" s="180" t="str">
        <f>IF(C161="","",IFERROR(VLOOKUP(C161,Inventory!$A:$I,9,FALSE),0))</f>
        <v/>
      </c>
      <c r="H161" s="189" t="str">
        <f t="shared" si="1"/>
        <v/>
      </c>
      <c r="I161" s="190" t="str">
        <f t="shared" si="2"/>
        <v/>
      </c>
      <c r="J161" s="191"/>
      <c r="K161" s="191" t="str">
        <f t="shared" si="3"/>
        <v/>
      </c>
      <c r="L161" s="187"/>
      <c r="M161" s="192" t="str">
        <f t="shared" si="4"/>
        <v/>
      </c>
      <c r="N161" s="185" t="str">
        <f t="shared" si="5"/>
        <v/>
      </c>
      <c r="P161" s="73" t="str">
        <f>IF(Inventory!A161="","",Inventory!A161)</f>
        <v/>
      </c>
    </row>
    <row r="162" ht="14.25" customHeight="1">
      <c r="A162" s="186"/>
      <c r="B162" s="187"/>
      <c r="C162" s="187"/>
      <c r="D162" s="188" t="str">
        <f>IF(C162="","",IFERROR(VLOOKUP(C162,Inventory!$A:$B,2,FALSE),""))</f>
        <v/>
      </c>
      <c r="E162" s="188" t="str">
        <f>IF(C162="","",IFERROR(VLOOKUP(C162,Inventory!$A:$C,3,FALSE),""))</f>
        <v/>
      </c>
      <c r="F162" s="187"/>
      <c r="G162" s="180" t="str">
        <f>IF(C162="","",IFERROR(VLOOKUP(C162,Inventory!$A:$I,9,FALSE),0))</f>
        <v/>
      </c>
      <c r="H162" s="189" t="str">
        <f t="shared" si="1"/>
        <v/>
      </c>
      <c r="I162" s="190" t="str">
        <f t="shared" si="2"/>
        <v/>
      </c>
      <c r="J162" s="191"/>
      <c r="K162" s="191" t="str">
        <f t="shared" si="3"/>
        <v/>
      </c>
      <c r="L162" s="187"/>
      <c r="M162" s="192" t="str">
        <f t="shared" si="4"/>
        <v/>
      </c>
      <c r="N162" s="185" t="str">
        <f t="shared" si="5"/>
        <v/>
      </c>
      <c r="P162" s="73" t="str">
        <f>IF(Inventory!A162="","",Inventory!A162)</f>
        <v/>
      </c>
    </row>
    <row r="163" ht="14.25" customHeight="1">
      <c r="A163" s="186"/>
      <c r="B163" s="187"/>
      <c r="C163" s="187"/>
      <c r="D163" s="188" t="str">
        <f>IF(C163="","",IFERROR(VLOOKUP(C163,Inventory!$A:$B,2,FALSE),""))</f>
        <v/>
      </c>
      <c r="E163" s="188" t="str">
        <f>IF(C163="","",IFERROR(VLOOKUP(C163,Inventory!$A:$C,3,FALSE),""))</f>
        <v/>
      </c>
      <c r="F163" s="187"/>
      <c r="G163" s="180" t="str">
        <f>IF(C163="","",IFERROR(VLOOKUP(C163,Inventory!$A:$I,9,FALSE),0))</f>
        <v/>
      </c>
      <c r="H163" s="189" t="str">
        <f t="shared" si="1"/>
        <v/>
      </c>
      <c r="I163" s="190" t="str">
        <f t="shared" si="2"/>
        <v/>
      </c>
      <c r="J163" s="191"/>
      <c r="K163" s="191" t="str">
        <f t="shared" si="3"/>
        <v/>
      </c>
      <c r="L163" s="187"/>
      <c r="M163" s="192" t="str">
        <f t="shared" si="4"/>
        <v/>
      </c>
      <c r="N163" s="185" t="str">
        <f t="shared" si="5"/>
        <v/>
      </c>
      <c r="P163" s="73" t="str">
        <f>IF(Inventory!A163="","",Inventory!A163)</f>
        <v/>
      </c>
    </row>
    <row r="164" ht="14.25" customHeight="1">
      <c r="A164" s="186"/>
      <c r="B164" s="187"/>
      <c r="C164" s="187"/>
      <c r="D164" s="188" t="str">
        <f>IF(C164="","",IFERROR(VLOOKUP(C164,Inventory!$A:$B,2,FALSE),""))</f>
        <v/>
      </c>
      <c r="E164" s="188" t="str">
        <f>IF(C164="","",IFERROR(VLOOKUP(C164,Inventory!$A:$C,3,FALSE),""))</f>
        <v/>
      </c>
      <c r="F164" s="187"/>
      <c r="G164" s="180" t="str">
        <f>IF(C164="","",IFERROR(VLOOKUP(C164,Inventory!$A:$I,9,FALSE),0))</f>
        <v/>
      </c>
      <c r="H164" s="189" t="str">
        <f t="shared" si="1"/>
        <v/>
      </c>
      <c r="I164" s="190" t="str">
        <f t="shared" si="2"/>
        <v/>
      </c>
      <c r="J164" s="191"/>
      <c r="K164" s="191" t="str">
        <f t="shared" si="3"/>
        <v/>
      </c>
      <c r="L164" s="187"/>
      <c r="M164" s="192" t="str">
        <f t="shared" si="4"/>
        <v/>
      </c>
      <c r="N164" s="185" t="str">
        <f t="shared" si="5"/>
        <v/>
      </c>
      <c r="P164" s="73" t="str">
        <f>IF(Inventory!A164="","",Inventory!A164)</f>
        <v/>
      </c>
    </row>
    <row r="165" ht="14.25" customHeight="1">
      <c r="A165" s="186"/>
      <c r="B165" s="187"/>
      <c r="C165" s="187"/>
      <c r="D165" s="188" t="str">
        <f>IF(C165="","",IFERROR(VLOOKUP(C165,Inventory!$A:$B,2,FALSE),""))</f>
        <v/>
      </c>
      <c r="E165" s="188" t="str">
        <f>IF(C165="","",IFERROR(VLOOKUP(C165,Inventory!$A:$C,3,FALSE),""))</f>
        <v/>
      </c>
      <c r="F165" s="187"/>
      <c r="G165" s="180" t="str">
        <f>IF(C165="","",IFERROR(VLOOKUP(C165,Inventory!$A:$I,9,FALSE),0))</f>
        <v/>
      </c>
      <c r="H165" s="189" t="str">
        <f t="shared" si="1"/>
        <v/>
      </c>
      <c r="I165" s="190" t="str">
        <f t="shared" si="2"/>
        <v/>
      </c>
      <c r="J165" s="191"/>
      <c r="K165" s="191" t="str">
        <f t="shared" si="3"/>
        <v/>
      </c>
      <c r="L165" s="187"/>
      <c r="M165" s="192" t="str">
        <f t="shared" si="4"/>
        <v/>
      </c>
      <c r="N165" s="185" t="str">
        <f t="shared" si="5"/>
        <v/>
      </c>
      <c r="P165" s="73" t="str">
        <f>IF(Inventory!A165="","",Inventory!A165)</f>
        <v/>
      </c>
    </row>
    <row r="166" ht="14.25" customHeight="1">
      <c r="A166" s="186"/>
      <c r="B166" s="187"/>
      <c r="C166" s="187"/>
      <c r="D166" s="188" t="str">
        <f>IF(C166="","",IFERROR(VLOOKUP(C166,Inventory!$A:$B,2,FALSE),""))</f>
        <v/>
      </c>
      <c r="E166" s="188" t="str">
        <f>IF(C166="","",IFERROR(VLOOKUP(C166,Inventory!$A:$C,3,FALSE),""))</f>
        <v/>
      </c>
      <c r="F166" s="187"/>
      <c r="G166" s="180" t="str">
        <f>IF(C166="","",IFERROR(VLOOKUP(C166,Inventory!$A:$I,9,FALSE),0))</f>
        <v/>
      </c>
      <c r="H166" s="189" t="str">
        <f t="shared" si="1"/>
        <v/>
      </c>
      <c r="I166" s="190" t="str">
        <f t="shared" si="2"/>
        <v/>
      </c>
      <c r="J166" s="191"/>
      <c r="K166" s="191" t="str">
        <f t="shared" si="3"/>
        <v/>
      </c>
      <c r="L166" s="187"/>
      <c r="M166" s="192" t="str">
        <f t="shared" si="4"/>
        <v/>
      </c>
      <c r="N166" s="185" t="str">
        <f t="shared" si="5"/>
        <v/>
      </c>
      <c r="P166" s="73" t="str">
        <f>IF(Inventory!A166="","",Inventory!A166)</f>
        <v/>
      </c>
    </row>
    <row r="167" ht="14.25" customHeight="1">
      <c r="A167" s="186"/>
      <c r="B167" s="187"/>
      <c r="C167" s="187"/>
      <c r="D167" s="188" t="str">
        <f>IF(C167="","",IFERROR(VLOOKUP(C167,Inventory!$A:$B,2,FALSE),""))</f>
        <v/>
      </c>
      <c r="E167" s="188" t="str">
        <f>IF(C167="","",IFERROR(VLOOKUP(C167,Inventory!$A:$C,3,FALSE),""))</f>
        <v/>
      </c>
      <c r="F167" s="187"/>
      <c r="G167" s="180" t="str">
        <f>IF(C167="","",IFERROR(VLOOKUP(C167,Inventory!$A:$I,9,FALSE),0))</f>
        <v/>
      </c>
      <c r="H167" s="189" t="str">
        <f t="shared" si="1"/>
        <v/>
      </c>
      <c r="I167" s="190" t="str">
        <f t="shared" si="2"/>
        <v/>
      </c>
      <c r="J167" s="191"/>
      <c r="K167" s="191" t="str">
        <f t="shared" si="3"/>
        <v/>
      </c>
      <c r="L167" s="187"/>
      <c r="M167" s="192" t="str">
        <f t="shared" si="4"/>
        <v/>
      </c>
      <c r="N167" s="185" t="str">
        <f t="shared" si="5"/>
        <v/>
      </c>
      <c r="P167" s="73" t="str">
        <f>IF(Inventory!A167="","",Inventory!A167)</f>
        <v/>
      </c>
    </row>
    <row r="168" ht="14.25" customHeight="1">
      <c r="A168" s="186"/>
      <c r="B168" s="187"/>
      <c r="C168" s="187"/>
      <c r="D168" s="188" t="str">
        <f>IF(C168="","",IFERROR(VLOOKUP(C168,Inventory!$A:$B,2,FALSE),""))</f>
        <v/>
      </c>
      <c r="E168" s="188" t="str">
        <f>IF(C168="","",IFERROR(VLOOKUP(C168,Inventory!$A:$C,3,FALSE),""))</f>
        <v/>
      </c>
      <c r="F168" s="187"/>
      <c r="G168" s="180" t="str">
        <f>IF(C168="","",IFERROR(VLOOKUP(C168,Inventory!$A:$I,9,FALSE),0))</f>
        <v/>
      </c>
      <c r="H168" s="189" t="str">
        <f t="shared" si="1"/>
        <v/>
      </c>
      <c r="I168" s="190" t="str">
        <f t="shared" si="2"/>
        <v/>
      </c>
      <c r="J168" s="191"/>
      <c r="K168" s="191" t="str">
        <f t="shared" si="3"/>
        <v/>
      </c>
      <c r="L168" s="187"/>
      <c r="M168" s="192" t="str">
        <f t="shared" si="4"/>
        <v/>
      </c>
      <c r="N168" s="185" t="str">
        <f t="shared" si="5"/>
        <v/>
      </c>
      <c r="P168" s="73" t="str">
        <f>IF(Inventory!A168="","",Inventory!A168)</f>
        <v/>
      </c>
    </row>
    <row r="169" ht="14.25" customHeight="1">
      <c r="A169" s="186"/>
      <c r="B169" s="187"/>
      <c r="C169" s="187"/>
      <c r="D169" s="188" t="str">
        <f>IF(C169="","",IFERROR(VLOOKUP(C169,Inventory!$A:$B,2,FALSE),""))</f>
        <v/>
      </c>
      <c r="E169" s="188" t="str">
        <f>IF(C169="","",IFERROR(VLOOKUP(C169,Inventory!$A:$C,3,FALSE),""))</f>
        <v/>
      </c>
      <c r="F169" s="187"/>
      <c r="G169" s="180" t="str">
        <f>IF(C169="","",IFERROR(VLOOKUP(C169,Inventory!$A:$I,9,FALSE),0))</f>
        <v/>
      </c>
      <c r="H169" s="189" t="str">
        <f t="shared" si="1"/>
        <v/>
      </c>
      <c r="I169" s="190" t="str">
        <f t="shared" si="2"/>
        <v/>
      </c>
      <c r="J169" s="191"/>
      <c r="K169" s="191" t="str">
        <f t="shared" si="3"/>
        <v/>
      </c>
      <c r="L169" s="187"/>
      <c r="M169" s="192" t="str">
        <f t="shared" si="4"/>
        <v/>
      </c>
      <c r="N169" s="185" t="str">
        <f t="shared" si="5"/>
        <v/>
      </c>
      <c r="P169" s="73" t="str">
        <f>IF(Inventory!A169="","",Inventory!A169)</f>
        <v/>
      </c>
    </row>
    <row r="170" ht="14.25" customHeight="1">
      <c r="A170" s="186"/>
      <c r="B170" s="187"/>
      <c r="C170" s="187"/>
      <c r="D170" s="188" t="str">
        <f>IF(C170="","",IFERROR(VLOOKUP(C170,Inventory!$A:$B,2,FALSE),""))</f>
        <v/>
      </c>
      <c r="E170" s="188" t="str">
        <f>IF(C170="","",IFERROR(VLOOKUP(C170,Inventory!$A:$C,3,FALSE),""))</f>
        <v/>
      </c>
      <c r="F170" s="187"/>
      <c r="G170" s="180" t="str">
        <f>IF(C170="","",IFERROR(VLOOKUP(C170,Inventory!$A:$I,9,FALSE),0))</f>
        <v/>
      </c>
      <c r="H170" s="189" t="str">
        <f t="shared" si="1"/>
        <v/>
      </c>
      <c r="I170" s="190" t="str">
        <f t="shared" si="2"/>
        <v/>
      </c>
      <c r="J170" s="191"/>
      <c r="K170" s="191" t="str">
        <f t="shared" si="3"/>
        <v/>
      </c>
      <c r="L170" s="187"/>
      <c r="M170" s="192" t="str">
        <f t="shared" si="4"/>
        <v/>
      </c>
      <c r="N170" s="185" t="str">
        <f t="shared" si="5"/>
        <v/>
      </c>
      <c r="P170" s="73" t="str">
        <f>IF(Inventory!A170="","",Inventory!A170)</f>
        <v/>
      </c>
    </row>
    <row r="171" ht="14.25" customHeight="1">
      <c r="A171" s="186"/>
      <c r="B171" s="187"/>
      <c r="C171" s="187"/>
      <c r="D171" s="188" t="str">
        <f>IF(C171="","",IFERROR(VLOOKUP(C171,Inventory!$A:$B,2,FALSE),""))</f>
        <v/>
      </c>
      <c r="E171" s="188" t="str">
        <f>IF(C171="","",IFERROR(VLOOKUP(C171,Inventory!$A:$C,3,FALSE),""))</f>
        <v/>
      </c>
      <c r="F171" s="187"/>
      <c r="G171" s="180" t="str">
        <f>IF(C171="","",IFERROR(VLOOKUP(C171,Inventory!$A:$I,9,FALSE),0))</f>
        <v/>
      </c>
      <c r="H171" s="189" t="str">
        <f t="shared" si="1"/>
        <v/>
      </c>
      <c r="I171" s="190" t="str">
        <f t="shared" si="2"/>
        <v/>
      </c>
      <c r="J171" s="191"/>
      <c r="K171" s="191" t="str">
        <f t="shared" si="3"/>
        <v/>
      </c>
      <c r="L171" s="187"/>
      <c r="M171" s="192" t="str">
        <f t="shared" si="4"/>
        <v/>
      </c>
      <c r="N171" s="185" t="str">
        <f t="shared" si="5"/>
        <v/>
      </c>
      <c r="P171" s="73" t="str">
        <f>IF(Inventory!A171="","",Inventory!A171)</f>
        <v/>
      </c>
    </row>
    <row r="172" ht="14.25" customHeight="1">
      <c r="A172" s="186"/>
      <c r="B172" s="187"/>
      <c r="C172" s="187"/>
      <c r="D172" s="188" t="str">
        <f>IF(C172="","",IFERROR(VLOOKUP(C172,Inventory!$A:$B,2,FALSE),""))</f>
        <v/>
      </c>
      <c r="E172" s="188" t="str">
        <f>IF(C172="","",IFERROR(VLOOKUP(C172,Inventory!$A:$C,3,FALSE),""))</f>
        <v/>
      </c>
      <c r="F172" s="187"/>
      <c r="G172" s="180" t="str">
        <f>IF(C172="","",IFERROR(VLOOKUP(C172,Inventory!$A:$I,9,FALSE),0))</f>
        <v/>
      </c>
      <c r="H172" s="189" t="str">
        <f t="shared" si="1"/>
        <v/>
      </c>
      <c r="I172" s="190" t="str">
        <f t="shared" si="2"/>
        <v/>
      </c>
      <c r="J172" s="191"/>
      <c r="K172" s="191" t="str">
        <f t="shared" si="3"/>
        <v/>
      </c>
      <c r="L172" s="187"/>
      <c r="M172" s="192" t="str">
        <f t="shared" si="4"/>
        <v/>
      </c>
      <c r="N172" s="185" t="str">
        <f t="shared" si="5"/>
        <v/>
      </c>
      <c r="P172" s="73" t="str">
        <f>IF(Inventory!A172="","",Inventory!A172)</f>
        <v/>
      </c>
    </row>
    <row r="173" ht="14.25" customHeight="1">
      <c r="A173" s="186"/>
      <c r="B173" s="187"/>
      <c r="C173" s="187"/>
      <c r="D173" s="188" t="str">
        <f>IF(C173="","",IFERROR(VLOOKUP(C173,Inventory!$A:$B,2,FALSE),""))</f>
        <v/>
      </c>
      <c r="E173" s="188" t="str">
        <f>IF(C173="","",IFERROR(VLOOKUP(C173,Inventory!$A:$C,3,FALSE),""))</f>
        <v/>
      </c>
      <c r="F173" s="187"/>
      <c r="G173" s="180" t="str">
        <f>IF(C173="","",IFERROR(VLOOKUP(C173,Inventory!$A:$I,9,FALSE),0))</f>
        <v/>
      </c>
      <c r="H173" s="189" t="str">
        <f t="shared" si="1"/>
        <v/>
      </c>
      <c r="I173" s="190" t="str">
        <f t="shared" si="2"/>
        <v/>
      </c>
      <c r="J173" s="191"/>
      <c r="K173" s="191" t="str">
        <f t="shared" si="3"/>
        <v/>
      </c>
      <c r="L173" s="187"/>
      <c r="M173" s="192" t="str">
        <f t="shared" si="4"/>
        <v/>
      </c>
      <c r="N173" s="185" t="str">
        <f t="shared" si="5"/>
        <v/>
      </c>
      <c r="P173" s="73" t="str">
        <f>IF(Inventory!A173="","",Inventory!A173)</f>
        <v/>
      </c>
    </row>
    <row r="174" ht="14.25" customHeight="1">
      <c r="A174" s="186"/>
      <c r="B174" s="187"/>
      <c r="C174" s="187"/>
      <c r="D174" s="188" t="str">
        <f>IF(C174="","",IFERROR(VLOOKUP(C174,Inventory!$A:$B,2,FALSE),""))</f>
        <v/>
      </c>
      <c r="E174" s="188" t="str">
        <f>IF(C174="","",IFERROR(VLOOKUP(C174,Inventory!$A:$C,3,FALSE),""))</f>
        <v/>
      </c>
      <c r="F174" s="187"/>
      <c r="G174" s="180" t="str">
        <f>IF(C174="","",IFERROR(VLOOKUP(C174,Inventory!$A:$I,9,FALSE),0))</f>
        <v/>
      </c>
      <c r="H174" s="189" t="str">
        <f t="shared" si="1"/>
        <v/>
      </c>
      <c r="I174" s="190" t="str">
        <f t="shared" si="2"/>
        <v/>
      </c>
      <c r="J174" s="191"/>
      <c r="K174" s="191" t="str">
        <f t="shared" si="3"/>
        <v/>
      </c>
      <c r="L174" s="187"/>
      <c r="M174" s="192" t="str">
        <f t="shared" si="4"/>
        <v/>
      </c>
      <c r="N174" s="185" t="str">
        <f t="shared" si="5"/>
        <v/>
      </c>
      <c r="P174" s="73" t="str">
        <f>IF(Inventory!A174="","",Inventory!A174)</f>
        <v/>
      </c>
    </row>
    <row r="175" ht="14.25" customHeight="1">
      <c r="A175" s="186"/>
      <c r="B175" s="187"/>
      <c r="C175" s="187"/>
      <c r="D175" s="188" t="str">
        <f>IF(C175="","",IFERROR(VLOOKUP(C175,Inventory!$A:$B,2,FALSE),""))</f>
        <v/>
      </c>
      <c r="E175" s="188" t="str">
        <f>IF(C175="","",IFERROR(VLOOKUP(C175,Inventory!$A:$C,3,FALSE),""))</f>
        <v/>
      </c>
      <c r="F175" s="187"/>
      <c r="G175" s="180" t="str">
        <f>IF(C175="","",IFERROR(VLOOKUP(C175,Inventory!$A:$I,9,FALSE),0))</f>
        <v/>
      </c>
      <c r="H175" s="189" t="str">
        <f t="shared" si="1"/>
        <v/>
      </c>
      <c r="I175" s="190" t="str">
        <f t="shared" si="2"/>
        <v/>
      </c>
      <c r="J175" s="191"/>
      <c r="K175" s="191" t="str">
        <f t="shared" si="3"/>
        <v/>
      </c>
      <c r="L175" s="187"/>
      <c r="M175" s="192" t="str">
        <f t="shared" si="4"/>
        <v/>
      </c>
      <c r="N175" s="185" t="str">
        <f t="shared" si="5"/>
        <v/>
      </c>
      <c r="P175" s="73" t="str">
        <f>IF(Inventory!A175="","",Inventory!A175)</f>
        <v/>
      </c>
    </row>
    <row r="176" ht="14.25" customHeight="1">
      <c r="A176" s="186"/>
      <c r="B176" s="187"/>
      <c r="C176" s="187"/>
      <c r="D176" s="188" t="str">
        <f>IF(C176="","",IFERROR(VLOOKUP(C176,Inventory!$A:$B,2,FALSE),""))</f>
        <v/>
      </c>
      <c r="E176" s="188" t="str">
        <f>IF(C176="","",IFERROR(VLOOKUP(C176,Inventory!$A:$C,3,FALSE),""))</f>
        <v/>
      </c>
      <c r="F176" s="187"/>
      <c r="G176" s="180" t="str">
        <f>IF(C176="","",IFERROR(VLOOKUP(C176,Inventory!$A:$I,9,FALSE),0))</f>
        <v/>
      </c>
      <c r="H176" s="189" t="str">
        <f t="shared" si="1"/>
        <v/>
      </c>
      <c r="I176" s="190" t="str">
        <f t="shared" si="2"/>
        <v/>
      </c>
      <c r="J176" s="191"/>
      <c r="K176" s="191" t="str">
        <f t="shared" si="3"/>
        <v/>
      </c>
      <c r="L176" s="187"/>
      <c r="M176" s="192" t="str">
        <f t="shared" si="4"/>
        <v/>
      </c>
      <c r="N176" s="185" t="str">
        <f t="shared" si="5"/>
        <v/>
      </c>
      <c r="P176" s="73" t="str">
        <f>IF(Inventory!A176="","",Inventory!A176)</f>
        <v/>
      </c>
    </row>
    <row r="177" ht="14.25" customHeight="1">
      <c r="A177" s="186"/>
      <c r="B177" s="187"/>
      <c r="C177" s="187"/>
      <c r="D177" s="188" t="str">
        <f>IF(C177="","",IFERROR(VLOOKUP(C177,Inventory!$A:$B,2,FALSE),""))</f>
        <v/>
      </c>
      <c r="E177" s="188" t="str">
        <f>IF(C177="","",IFERROR(VLOOKUP(C177,Inventory!$A:$C,3,FALSE),""))</f>
        <v/>
      </c>
      <c r="F177" s="187"/>
      <c r="G177" s="180" t="str">
        <f>IF(C177="","",IFERROR(VLOOKUP(C177,Inventory!$A:$I,9,FALSE),0))</f>
        <v/>
      </c>
      <c r="H177" s="189" t="str">
        <f t="shared" si="1"/>
        <v/>
      </c>
      <c r="I177" s="190" t="str">
        <f t="shared" si="2"/>
        <v/>
      </c>
      <c r="J177" s="191"/>
      <c r="K177" s="191" t="str">
        <f t="shared" si="3"/>
        <v/>
      </c>
      <c r="L177" s="187"/>
      <c r="M177" s="192" t="str">
        <f t="shared" si="4"/>
        <v/>
      </c>
      <c r="N177" s="185" t="str">
        <f t="shared" si="5"/>
        <v/>
      </c>
      <c r="P177" s="73" t="str">
        <f>IF(Inventory!A177="","",Inventory!A177)</f>
        <v/>
      </c>
    </row>
    <row r="178" ht="14.25" customHeight="1">
      <c r="A178" s="186"/>
      <c r="B178" s="187"/>
      <c r="C178" s="187"/>
      <c r="D178" s="188" t="str">
        <f>IF(C178="","",IFERROR(VLOOKUP(C178,Inventory!$A:$B,2,FALSE),""))</f>
        <v/>
      </c>
      <c r="E178" s="188" t="str">
        <f>IF(C178="","",IFERROR(VLOOKUP(C178,Inventory!$A:$C,3,FALSE),""))</f>
        <v/>
      </c>
      <c r="F178" s="187"/>
      <c r="G178" s="180" t="str">
        <f>IF(C178="","",IFERROR(VLOOKUP(C178,Inventory!$A:$I,9,FALSE),0))</f>
        <v/>
      </c>
      <c r="H178" s="189" t="str">
        <f t="shared" si="1"/>
        <v/>
      </c>
      <c r="I178" s="190" t="str">
        <f t="shared" si="2"/>
        <v/>
      </c>
      <c r="J178" s="191"/>
      <c r="K178" s="191" t="str">
        <f t="shared" si="3"/>
        <v/>
      </c>
      <c r="L178" s="187"/>
      <c r="M178" s="192" t="str">
        <f t="shared" si="4"/>
        <v/>
      </c>
      <c r="N178" s="185" t="str">
        <f t="shared" si="5"/>
        <v/>
      </c>
      <c r="P178" s="73" t="str">
        <f>IF(Inventory!A178="","",Inventory!A178)</f>
        <v/>
      </c>
    </row>
    <row r="179" ht="14.25" customHeight="1">
      <c r="A179" s="186"/>
      <c r="B179" s="187"/>
      <c r="C179" s="187"/>
      <c r="D179" s="188" t="str">
        <f>IF(C179="","",IFERROR(VLOOKUP(C179,Inventory!$A:$B,2,FALSE),""))</f>
        <v/>
      </c>
      <c r="E179" s="188" t="str">
        <f>IF(C179="","",IFERROR(VLOOKUP(C179,Inventory!$A:$C,3,FALSE),""))</f>
        <v/>
      </c>
      <c r="F179" s="187"/>
      <c r="G179" s="180" t="str">
        <f>IF(C179="","",IFERROR(VLOOKUP(C179,Inventory!$A:$I,9,FALSE),0))</f>
        <v/>
      </c>
      <c r="H179" s="189" t="str">
        <f t="shared" si="1"/>
        <v/>
      </c>
      <c r="I179" s="190" t="str">
        <f t="shared" si="2"/>
        <v/>
      </c>
      <c r="J179" s="191"/>
      <c r="K179" s="191" t="str">
        <f t="shared" si="3"/>
        <v/>
      </c>
      <c r="L179" s="187"/>
      <c r="M179" s="192" t="str">
        <f t="shared" si="4"/>
        <v/>
      </c>
      <c r="N179" s="185" t="str">
        <f t="shared" si="5"/>
        <v/>
      </c>
      <c r="P179" s="73" t="str">
        <f>IF(Inventory!A179="","",Inventory!A179)</f>
        <v/>
      </c>
    </row>
    <row r="180" ht="14.25" customHeight="1">
      <c r="A180" s="186"/>
      <c r="B180" s="187"/>
      <c r="C180" s="187"/>
      <c r="D180" s="188" t="str">
        <f>IF(C180="","",IFERROR(VLOOKUP(C180,Inventory!$A:$B,2,FALSE),""))</f>
        <v/>
      </c>
      <c r="E180" s="188" t="str">
        <f>IF(C180="","",IFERROR(VLOOKUP(C180,Inventory!$A:$C,3,FALSE),""))</f>
        <v/>
      </c>
      <c r="F180" s="187"/>
      <c r="G180" s="180" t="str">
        <f>IF(C180="","",IFERROR(VLOOKUP(C180,Inventory!$A:$I,9,FALSE),0))</f>
        <v/>
      </c>
      <c r="H180" s="189" t="str">
        <f t="shared" si="1"/>
        <v/>
      </c>
      <c r="I180" s="190" t="str">
        <f t="shared" si="2"/>
        <v/>
      </c>
      <c r="J180" s="191"/>
      <c r="K180" s="191" t="str">
        <f t="shared" si="3"/>
        <v/>
      </c>
      <c r="L180" s="187"/>
      <c r="M180" s="192" t="str">
        <f t="shared" si="4"/>
        <v/>
      </c>
      <c r="N180" s="185" t="str">
        <f t="shared" si="5"/>
        <v/>
      </c>
      <c r="P180" s="73" t="str">
        <f>IF(Inventory!A180="","",Inventory!A180)</f>
        <v/>
      </c>
    </row>
    <row r="181" ht="14.25" customHeight="1">
      <c r="A181" s="186"/>
      <c r="B181" s="187"/>
      <c r="C181" s="187"/>
      <c r="D181" s="188" t="str">
        <f>IF(C181="","",IFERROR(VLOOKUP(C181,Inventory!$A:$B,2,FALSE),""))</f>
        <v/>
      </c>
      <c r="E181" s="188" t="str">
        <f>IF(C181="","",IFERROR(VLOOKUP(C181,Inventory!$A:$C,3,FALSE),""))</f>
        <v/>
      </c>
      <c r="F181" s="187"/>
      <c r="G181" s="180" t="str">
        <f>IF(C181="","",IFERROR(VLOOKUP(C181,Inventory!$A:$I,9,FALSE),0))</f>
        <v/>
      </c>
      <c r="H181" s="189" t="str">
        <f t="shared" si="1"/>
        <v/>
      </c>
      <c r="I181" s="190" t="str">
        <f t="shared" si="2"/>
        <v/>
      </c>
      <c r="J181" s="191"/>
      <c r="K181" s="191" t="str">
        <f t="shared" si="3"/>
        <v/>
      </c>
      <c r="L181" s="187"/>
      <c r="M181" s="192" t="str">
        <f t="shared" si="4"/>
        <v/>
      </c>
      <c r="N181" s="185" t="str">
        <f t="shared" si="5"/>
        <v/>
      </c>
      <c r="P181" s="73" t="str">
        <f>IF(Inventory!A181="","",Inventory!A181)</f>
        <v/>
      </c>
    </row>
    <row r="182" ht="14.25" customHeight="1">
      <c r="A182" s="186"/>
      <c r="B182" s="187"/>
      <c r="C182" s="187"/>
      <c r="D182" s="188" t="str">
        <f>IF(C182="","",IFERROR(VLOOKUP(C182,Inventory!$A:$B,2,FALSE),""))</f>
        <v/>
      </c>
      <c r="E182" s="188" t="str">
        <f>IF(C182="","",IFERROR(VLOOKUP(C182,Inventory!$A:$C,3,FALSE),""))</f>
        <v/>
      </c>
      <c r="F182" s="187"/>
      <c r="G182" s="180" t="str">
        <f>IF(C182="","",IFERROR(VLOOKUP(C182,Inventory!$A:$I,9,FALSE),0))</f>
        <v/>
      </c>
      <c r="H182" s="189" t="str">
        <f t="shared" si="1"/>
        <v/>
      </c>
      <c r="I182" s="190" t="str">
        <f t="shared" si="2"/>
        <v/>
      </c>
      <c r="J182" s="191"/>
      <c r="K182" s="191" t="str">
        <f t="shared" si="3"/>
        <v/>
      </c>
      <c r="L182" s="187"/>
      <c r="M182" s="192" t="str">
        <f t="shared" si="4"/>
        <v/>
      </c>
      <c r="N182" s="185" t="str">
        <f t="shared" si="5"/>
        <v/>
      </c>
      <c r="P182" s="73" t="str">
        <f>IF(Inventory!A182="","",Inventory!A182)</f>
        <v/>
      </c>
    </row>
    <row r="183" ht="14.25" customHeight="1">
      <c r="A183" s="186"/>
      <c r="B183" s="187"/>
      <c r="C183" s="187"/>
      <c r="D183" s="188" t="str">
        <f>IF(C183="","",IFERROR(VLOOKUP(C183,Inventory!$A:$B,2,FALSE),""))</f>
        <v/>
      </c>
      <c r="E183" s="188" t="str">
        <f>IF(C183="","",IFERROR(VLOOKUP(C183,Inventory!$A:$C,3,FALSE),""))</f>
        <v/>
      </c>
      <c r="F183" s="187"/>
      <c r="G183" s="180" t="str">
        <f>IF(C183="","",IFERROR(VLOOKUP(C183,Inventory!$A:$I,9,FALSE),0))</f>
        <v/>
      </c>
      <c r="H183" s="189" t="str">
        <f t="shared" si="1"/>
        <v/>
      </c>
      <c r="I183" s="190" t="str">
        <f t="shared" si="2"/>
        <v/>
      </c>
      <c r="J183" s="191"/>
      <c r="K183" s="191" t="str">
        <f t="shared" si="3"/>
        <v/>
      </c>
      <c r="L183" s="187"/>
      <c r="M183" s="192" t="str">
        <f t="shared" si="4"/>
        <v/>
      </c>
      <c r="N183" s="185" t="str">
        <f t="shared" si="5"/>
        <v/>
      </c>
      <c r="P183" s="73" t="str">
        <f>IF(Inventory!A183="","",Inventory!A183)</f>
        <v/>
      </c>
    </row>
    <row r="184" ht="14.25" customHeight="1">
      <c r="A184" s="186"/>
      <c r="B184" s="187"/>
      <c r="C184" s="187"/>
      <c r="D184" s="188" t="str">
        <f>IF(C184="","",IFERROR(VLOOKUP(C184,Inventory!$A:$B,2,FALSE),""))</f>
        <v/>
      </c>
      <c r="E184" s="188" t="str">
        <f>IF(C184="","",IFERROR(VLOOKUP(C184,Inventory!$A:$C,3,FALSE),""))</f>
        <v/>
      </c>
      <c r="F184" s="187"/>
      <c r="G184" s="180" t="str">
        <f>IF(C184="","",IFERROR(VLOOKUP(C184,Inventory!$A:$I,9,FALSE),0))</f>
        <v/>
      </c>
      <c r="H184" s="189" t="str">
        <f t="shared" si="1"/>
        <v/>
      </c>
      <c r="I184" s="190" t="str">
        <f t="shared" si="2"/>
        <v/>
      </c>
      <c r="J184" s="191"/>
      <c r="K184" s="191" t="str">
        <f t="shared" si="3"/>
        <v/>
      </c>
      <c r="L184" s="187"/>
      <c r="M184" s="192" t="str">
        <f t="shared" si="4"/>
        <v/>
      </c>
      <c r="N184" s="185" t="str">
        <f t="shared" si="5"/>
        <v/>
      </c>
      <c r="P184" s="73" t="str">
        <f>IF(Inventory!A184="","",Inventory!A184)</f>
        <v/>
      </c>
    </row>
    <row r="185" ht="14.25" customHeight="1">
      <c r="A185" s="186"/>
      <c r="B185" s="187"/>
      <c r="C185" s="187"/>
      <c r="D185" s="188" t="str">
        <f>IF(C185="","",IFERROR(VLOOKUP(C185,Inventory!$A:$B,2,FALSE),""))</f>
        <v/>
      </c>
      <c r="E185" s="188" t="str">
        <f>IF(C185="","",IFERROR(VLOOKUP(C185,Inventory!$A:$C,3,FALSE),""))</f>
        <v/>
      </c>
      <c r="F185" s="187"/>
      <c r="G185" s="180" t="str">
        <f>IF(C185="","",IFERROR(VLOOKUP(C185,Inventory!$A:$I,9,FALSE),0))</f>
        <v/>
      </c>
      <c r="H185" s="189" t="str">
        <f t="shared" si="1"/>
        <v/>
      </c>
      <c r="I185" s="190" t="str">
        <f t="shared" si="2"/>
        <v/>
      </c>
      <c r="J185" s="191"/>
      <c r="K185" s="191" t="str">
        <f t="shared" si="3"/>
        <v/>
      </c>
      <c r="L185" s="187"/>
      <c r="M185" s="192" t="str">
        <f t="shared" si="4"/>
        <v/>
      </c>
      <c r="N185" s="185" t="str">
        <f t="shared" si="5"/>
        <v/>
      </c>
      <c r="P185" s="73" t="str">
        <f>IF(Inventory!A185="","",Inventory!A185)</f>
        <v/>
      </c>
    </row>
    <row r="186" ht="14.25" customHeight="1">
      <c r="A186" s="186"/>
      <c r="B186" s="187"/>
      <c r="C186" s="187"/>
      <c r="D186" s="188" t="str">
        <f>IF(C186="","",IFERROR(VLOOKUP(C186,Inventory!$A:$B,2,FALSE),""))</f>
        <v/>
      </c>
      <c r="E186" s="188" t="str">
        <f>IF(C186="","",IFERROR(VLOOKUP(C186,Inventory!$A:$C,3,FALSE),""))</f>
        <v/>
      </c>
      <c r="F186" s="187"/>
      <c r="G186" s="180" t="str">
        <f>IF(C186="","",IFERROR(VLOOKUP(C186,Inventory!$A:$I,9,FALSE),0))</f>
        <v/>
      </c>
      <c r="H186" s="189" t="str">
        <f t="shared" si="1"/>
        <v/>
      </c>
      <c r="I186" s="190" t="str">
        <f t="shared" si="2"/>
        <v/>
      </c>
      <c r="J186" s="191"/>
      <c r="K186" s="191" t="str">
        <f t="shared" si="3"/>
        <v/>
      </c>
      <c r="L186" s="187"/>
      <c r="M186" s="192" t="str">
        <f t="shared" si="4"/>
        <v/>
      </c>
      <c r="N186" s="185" t="str">
        <f t="shared" si="5"/>
        <v/>
      </c>
      <c r="P186" s="73" t="str">
        <f>IF(Inventory!A186="","",Inventory!A186)</f>
        <v/>
      </c>
    </row>
    <row r="187" ht="14.25" customHeight="1">
      <c r="A187" s="186"/>
      <c r="B187" s="187"/>
      <c r="C187" s="187"/>
      <c r="D187" s="188" t="str">
        <f>IF(C187="","",IFERROR(VLOOKUP(C187,Inventory!$A:$B,2,FALSE),""))</f>
        <v/>
      </c>
      <c r="E187" s="188" t="str">
        <f>IF(C187="","",IFERROR(VLOOKUP(C187,Inventory!$A:$C,3,FALSE),""))</f>
        <v/>
      </c>
      <c r="F187" s="187"/>
      <c r="G187" s="180" t="str">
        <f>IF(C187="","",IFERROR(VLOOKUP(C187,Inventory!$A:$I,9,FALSE),0))</f>
        <v/>
      </c>
      <c r="H187" s="189" t="str">
        <f t="shared" si="1"/>
        <v/>
      </c>
      <c r="I187" s="190" t="str">
        <f t="shared" si="2"/>
        <v/>
      </c>
      <c r="J187" s="191"/>
      <c r="K187" s="191" t="str">
        <f t="shared" si="3"/>
        <v/>
      </c>
      <c r="L187" s="187"/>
      <c r="M187" s="192" t="str">
        <f t="shared" si="4"/>
        <v/>
      </c>
      <c r="N187" s="185" t="str">
        <f t="shared" si="5"/>
        <v/>
      </c>
      <c r="P187" s="73" t="str">
        <f>IF(Inventory!A187="","",Inventory!A187)</f>
        <v/>
      </c>
    </row>
    <row r="188" ht="14.25" customHeight="1">
      <c r="A188" s="186"/>
      <c r="B188" s="187"/>
      <c r="C188" s="187"/>
      <c r="D188" s="188" t="str">
        <f>IF(C188="","",IFERROR(VLOOKUP(C188,Inventory!$A:$B,2,FALSE),""))</f>
        <v/>
      </c>
      <c r="E188" s="188" t="str">
        <f>IF(C188="","",IFERROR(VLOOKUP(C188,Inventory!$A:$C,3,FALSE),""))</f>
        <v/>
      </c>
      <c r="F188" s="187"/>
      <c r="G188" s="180" t="str">
        <f>IF(C188="","",IFERROR(VLOOKUP(C188,Inventory!$A:$I,9,FALSE),0))</f>
        <v/>
      </c>
      <c r="H188" s="189" t="str">
        <f t="shared" si="1"/>
        <v/>
      </c>
      <c r="I188" s="190" t="str">
        <f t="shared" si="2"/>
        <v/>
      </c>
      <c r="J188" s="191"/>
      <c r="K188" s="191" t="str">
        <f t="shared" si="3"/>
        <v/>
      </c>
      <c r="L188" s="187"/>
      <c r="M188" s="192" t="str">
        <f t="shared" si="4"/>
        <v/>
      </c>
      <c r="N188" s="185" t="str">
        <f t="shared" si="5"/>
        <v/>
      </c>
      <c r="P188" s="73" t="str">
        <f>IF(Inventory!A188="","",Inventory!A188)</f>
        <v/>
      </c>
    </row>
    <row r="189" ht="14.25" customHeight="1">
      <c r="A189" s="186"/>
      <c r="B189" s="187"/>
      <c r="C189" s="187"/>
      <c r="D189" s="188" t="str">
        <f>IF(C189="","",IFERROR(VLOOKUP(C189,Inventory!$A:$B,2,FALSE),""))</f>
        <v/>
      </c>
      <c r="E189" s="188" t="str">
        <f>IF(C189="","",IFERROR(VLOOKUP(C189,Inventory!$A:$C,3,FALSE),""))</f>
        <v/>
      </c>
      <c r="F189" s="187"/>
      <c r="G189" s="180" t="str">
        <f>IF(C189="","",IFERROR(VLOOKUP(C189,Inventory!$A:$I,9,FALSE),0))</f>
        <v/>
      </c>
      <c r="H189" s="189" t="str">
        <f t="shared" si="1"/>
        <v/>
      </c>
      <c r="I189" s="190" t="str">
        <f t="shared" si="2"/>
        <v/>
      </c>
      <c r="J189" s="191"/>
      <c r="K189" s="191" t="str">
        <f t="shared" si="3"/>
        <v/>
      </c>
      <c r="L189" s="187"/>
      <c r="M189" s="192" t="str">
        <f t="shared" si="4"/>
        <v/>
      </c>
      <c r="N189" s="185" t="str">
        <f t="shared" si="5"/>
        <v/>
      </c>
      <c r="P189" s="73" t="str">
        <f>IF(Inventory!A189="","",Inventory!A189)</f>
        <v/>
      </c>
    </row>
    <row r="190" ht="14.25" customHeight="1">
      <c r="A190" s="186"/>
      <c r="B190" s="187"/>
      <c r="C190" s="187"/>
      <c r="D190" s="188" t="str">
        <f>IF(C190="","",IFERROR(VLOOKUP(C190,Inventory!$A:$B,2,FALSE),""))</f>
        <v/>
      </c>
      <c r="E190" s="188" t="str">
        <f>IF(C190="","",IFERROR(VLOOKUP(C190,Inventory!$A:$C,3,FALSE),""))</f>
        <v/>
      </c>
      <c r="F190" s="187"/>
      <c r="G190" s="180" t="str">
        <f>IF(C190="","",IFERROR(VLOOKUP(C190,Inventory!$A:$I,9,FALSE),0))</f>
        <v/>
      </c>
      <c r="H190" s="189" t="str">
        <f t="shared" si="1"/>
        <v/>
      </c>
      <c r="I190" s="190" t="str">
        <f t="shared" si="2"/>
        <v/>
      </c>
      <c r="J190" s="191"/>
      <c r="K190" s="191" t="str">
        <f t="shared" si="3"/>
        <v/>
      </c>
      <c r="L190" s="187"/>
      <c r="M190" s="192" t="str">
        <f t="shared" si="4"/>
        <v/>
      </c>
      <c r="N190" s="185" t="str">
        <f t="shared" si="5"/>
        <v/>
      </c>
      <c r="P190" s="73" t="str">
        <f>IF(Inventory!A190="","",Inventory!A190)</f>
        <v/>
      </c>
    </row>
    <row r="191" ht="14.25" customHeight="1">
      <c r="A191" s="186"/>
      <c r="B191" s="187"/>
      <c r="C191" s="187"/>
      <c r="D191" s="188" t="str">
        <f>IF(C191="","",IFERROR(VLOOKUP(C191,Inventory!$A:$B,2,FALSE),""))</f>
        <v/>
      </c>
      <c r="E191" s="188" t="str">
        <f>IF(C191="","",IFERROR(VLOOKUP(C191,Inventory!$A:$C,3,FALSE),""))</f>
        <v/>
      </c>
      <c r="F191" s="187"/>
      <c r="G191" s="180" t="str">
        <f>IF(C191="","",IFERROR(VLOOKUP(C191,Inventory!$A:$I,9,FALSE),0))</f>
        <v/>
      </c>
      <c r="H191" s="189" t="str">
        <f t="shared" si="1"/>
        <v/>
      </c>
      <c r="I191" s="190" t="str">
        <f t="shared" si="2"/>
        <v/>
      </c>
      <c r="J191" s="191"/>
      <c r="K191" s="191" t="str">
        <f t="shared" si="3"/>
        <v/>
      </c>
      <c r="L191" s="187"/>
      <c r="M191" s="192" t="str">
        <f t="shared" si="4"/>
        <v/>
      </c>
      <c r="N191" s="185" t="str">
        <f t="shared" si="5"/>
        <v/>
      </c>
      <c r="P191" s="73" t="str">
        <f>IF(Inventory!A191="","",Inventory!A191)</f>
        <v/>
      </c>
    </row>
    <row r="192" ht="14.25" customHeight="1">
      <c r="A192" s="186"/>
      <c r="B192" s="187"/>
      <c r="C192" s="187"/>
      <c r="D192" s="188" t="str">
        <f>IF(C192="","",IFERROR(VLOOKUP(C192,Inventory!$A:$B,2,FALSE),""))</f>
        <v/>
      </c>
      <c r="E192" s="188" t="str">
        <f>IF(C192="","",IFERROR(VLOOKUP(C192,Inventory!$A:$C,3,FALSE),""))</f>
        <v/>
      </c>
      <c r="F192" s="187"/>
      <c r="G192" s="180" t="str">
        <f>IF(C192="","",IFERROR(VLOOKUP(C192,Inventory!$A:$I,9,FALSE),0))</f>
        <v/>
      </c>
      <c r="H192" s="189" t="str">
        <f t="shared" si="1"/>
        <v/>
      </c>
      <c r="I192" s="190" t="str">
        <f t="shared" si="2"/>
        <v/>
      </c>
      <c r="J192" s="191"/>
      <c r="K192" s="191" t="str">
        <f t="shared" si="3"/>
        <v/>
      </c>
      <c r="L192" s="187"/>
      <c r="M192" s="192" t="str">
        <f t="shared" si="4"/>
        <v/>
      </c>
      <c r="N192" s="185" t="str">
        <f t="shared" si="5"/>
        <v/>
      </c>
      <c r="P192" s="73" t="str">
        <f>IF(Inventory!A192="","",Inventory!A192)</f>
        <v/>
      </c>
    </row>
    <row r="193" ht="14.25" customHeight="1">
      <c r="A193" s="186"/>
      <c r="B193" s="187"/>
      <c r="C193" s="187"/>
      <c r="D193" s="188" t="str">
        <f>IF(C193="","",IFERROR(VLOOKUP(C193,Inventory!$A:$B,2,FALSE),""))</f>
        <v/>
      </c>
      <c r="E193" s="188" t="str">
        <f>IF(C193="","",IFERROR(VLOOKUP(C193,Inventory!$A:$C,3,FALSE),""))</f>
        <v/>
      </c>
      <c r="F193" s="187"/>
      <c r="G193" s="180" t="str">
        <f>IF(C193="","",IFERROR(VLOOKUP(C193,Inventory!$A:$I,9,FALSE),0))</f>
        <v/>
      </c>
      <c r="H193" s="189" t="str">
        <f t="shared" si="1"/>
        <v/>
      </c>
      <c r="I193" s="190" t="str">
        <f t="shared" si="2"/>
        <v/>
      </c>
      <c r="J193" s="191"/>
      <c r="K193" s="191" t="str">
        <f t="shared" si="3"/>
        <v/>
      </c>
      <c r="L193" s="187"/>
      <c r="M193" s="192" t="str">
        <f t="shared" si="4"/>
        <v/>
      </c>
      <c r="N193" s="185" t="str">
        <f t="shared" si="5"/>
        <v/>
      </c>
      <c r="P193" s="73" t="str">
        <f>IF(Inventory!A193="","",Inventory!A193)</f>
        <v/>
      </c>
    </row>
    <row r="194" ht="14.25" customHeight="1">
      <c r="A194" s="186"/>
      <c r="B194" s="187"/>
      <c r="C194" s="187"/>
      <c r="D194" s="188" t="str">
        <f>IF(C194="","",IFERROR(VLOOKUP(C194,Inventory!$A:$B,2,FALSE),""))</f>
        <v/>
      </c>
      <c r="E194" s="188" t="str">
        <f>IF(C194="","",IFERROR(VLOOKUP(C194,Inventory!$A:$C,3,FALSE),""))</f>
        <v/>
      </c>
      <c r="F194" s="187"/>
      <c r="G194" s="180" t="str">
        <f>IF(C194="","",IFERROR(VLOOKUP(C194,Inventory!$A:$I,9,FALSE),0))</f>
        <v/>
      </c>
      <c r="H194" s="189" t="str">
        <f t="shared" si="1"/>
        <v/>
      </c>
      <c r="I194" s="190" t="str">
        <f t="shared" si="2"/>
        <v/>
      </c>
      <c r="J194" s="191"/>
      <c r="K194" s="191" t="str">
        <f t="shared" si="3"/>
        <v/>
      </c>
      <c r="L194" s="187"/>
      <c r="M194" s="192" t="str">
        <f t="shared" si="4"/>
        <v/>
      </c>
      <c r="N194" s="185" t="str">
        <f t="shared" si="5"/>
        <v/>
      </c>
      <c r="P194" s="73" t="str">
        <f>IF(Inventory!A194="","",Inventory!A194)</f>
        <v/>
      </c>
    </row>
    <row r="195" ht="14.25" customHeight="1">
      <c r="A195" s="186"/>
      <c r="B195" s="187"/>
      <c r="C195" s="187"/>
      <c r="D195" s="188" t="str">
        <f>IF(C195="","",IFERROR(VLOOKUP(C195,Inventory!$A:$B,2,FALSE),""))</f>
        <v/>
      </c>
      <c r="E195" s="188" t="str">
        <f>IF(C195="","",IFERROR(VLOOKUP(C195,Inventory!$A:$C,3,FALSE),""))</f>
        <v/>
      </c>
      <c r="F195" s="187"/>
      <c r="G195" s="180" t="str">
        <f>IF(C195="","",IFERROR(VLOOKUP(C195,Inventory!$A:$I,9,FALSE),0))</f>
        <v/>
      </c>
      <c r="H195" s="189" t="str">
        <f t="shared" si="1"/>
        <v/>
      </c>
      <c r="I195" s="190" t="str">
        <f t="shared" si="2"/>
        <v/>
      </c>
      <c r="J195" s="191"/>
      <c r="K195" s="191" t="str">
        <f t="shared" si="3"/>
        <v/>
      </c>
      <c r="L195" s="187"/>
      <c r="M195" s="192" t="str">
        <f t="shared" si="4"/>
        <v/>
      </c>
      <c r="N195" s="185" t="str">
        <f t="shared" si="5"/>
        <v/>
      </c>
      <c r="P195" s="73" t="str">
        <f>IF(Inventory!A195="","",Inventory!A195)</f>
        <v/>
      </c>
    </row>
    <row r="196" ht="14.25" customHeight="1">
      <c r="A196" s="186"/>
      <c r="B196" s="187"/>
      <c r="C196" s="187"/>
      <c r="D196" s="188" t="str">
        <f>IF(C196="","",IFERROR(VLOOKUP(C196,Inventory!$A:$B,2,FALSE),""))</f>
        <v/>
      </c>
      <c r="E196" s="188" t="str">
        <f>IF(C196="","",IFERROR(VLOOKUP(C196,Inventory!$A:$C,3,FALSE),""))</f>
        <v/>
      </c>
      <c r="F196" s="187"/>
      <c r="G196" s="180" t="str">
        <f>IF(C196="","",IFERROR(VLOOKUP(C196,Inventory!$A:$I,9,FALSE),0))</f>
        <v/>
      </c>
      <c r="H196" s="189" t="str">
        <f t="shared" si="1"/>
        <v/>
      </c>
      <c r="I196" s="190" t="str">
        <f t="shared" si="2"/>
        <v/>
      </c>
      <c r="J196" s="191"/>
      <c r="K196" s="191" t="str">
        <f t="shared" si="3"/>
        <v/>
      </c>
      <c r="L196" s="187"/>
      <c r="M196" s="192" t="str">
        <f t="shared" si="4"/>
        <v/>
      </c>
      <c r="N196" s="185" t="str">
        <f t="shared" si="5"/>
        <v/>
      </c>
      <c r="P196" s="73" t="str">
        <f>IF(Inventory!A196="","",Inventory!A196)</f>
        <v/>
      </c>
    </row>
    <row r="197" ht="14.25" customHeight="1">
      <c r="A197" s="186"/>
      <c r="B197" s="187"/>
      <c r="C197" s="187"/>
      <c r="D197" s="188" t="str">
        <f>IF(C197="","",IFERROR(VLOOKUP(C197,Inventory!$A:$B,2,FALSE),""))</f>
        <v/>
      </c>
      <c r="E197" s="188" t="str">
        <f>IF(C197="","",IFERROR(VLOOKUP(C197,Inventory!$A:$C,3,FALSE),""))</f>
        <v/>
      </c>
      <c r="F197" s="187"/>
      <c r="G197" s="180" t="str">
        <f>IF(C197="","",IFERROR(VLOOKUP(C197,Inventory!$A:$I,9,FALSE),0))</f>
        <v/>
      </c>
      <c r="H197" s="189" t="str">
        <f t="shared" si="1"/>
        <v/>
      </c>
      <c r="I197" s="190" t="str">
        <f t="shared" si="2"/>
        <v/>
      </c>
      <c r="J197" s="191"/>
      <c r="K197" s="191" t="str">
        <f t="shared" si="3"/>
        <v/>
      </c>
      <c r="L197" s="187"/>
      <c r="M197" s="192" t="str">
        <f t="shared" si="4"/>
        <v/>
      </c>
      <c r="N197" s="185" t="str">
        <f t="shared" si="5"/>
        <v/>
      </c>
      <c r="P197" s="73" t="str">
        <f>IF(Inventory!A197="","",Inventory!A197)</f>
        <v/>
      </c>
    </row>
    <row r="198" ht="14.25" customHeight="1">
      <c r="A198" s="186"/>
      <c r="B198" s="187"/>
      <c r="C198" s="187"/>
      <c r="D198" s="188" t="str">
        <f>IF(C198="","",IFERROR(VLOOKUP(C198,Inventory!$A:$B,2,FALSE),""))</f>
        <v/>
      </c>
      <c r="E198" s="188" t="str">
        <f>IF(C198="","",IFERROR(VLOOKUP(C198,Inventory!$A:$C,3,FALSE),""))</f>
        <v/>
      </c>
      <c r="F198" s="187"/>
      <c r="G198" s="180" t="str">
        <f>IF(C198="","",IFERROR(VLOOKUP(C198,Inventory!$A:$I,9,FALSE),0))</f>
        <v/>
      </c>
      <c r="H198" s="189" t="str">
        <f t="shared" si="1"/>
        <v/>
      </c>
      <c r="I198" s="190" t="str">
        <f t="shared" si="2"/>
        <v/>
      </c>
      <c r="J198" s="191"/>
      <c r="K198" s="191" t="str">
        <f t="shared" si="3"/>
        <v/>
      </c>
      <c r="L198" s="187"/>
      <c r="M198" s="192" t="str">
        <f t="shared" si="4"/>
        <v/>
      </c>
      <c r="N198" s="185" t="str">
        <f t="shared" si="5"/>
        <v/>
      </c>
      <c r="P198" s="73" t="str">
        <f>IF(Inventory!A198="","",Inventory!A198)</f>
        <v/>
      </c>
    </row>
    <row r="199" ht="14.25" customHeight="1">
      <c r="A199" s="186"/>
      <c r="B199" s="187"/>
      <c r="C199" s="187"/>
      <c r="D199" s="188" t="str">
        <f>IF(C199="","",IFERROR(VLOOKUP(C199,Inventory!$A:$B,2,FALSE),""))</f>
        <v/>
      </c>
      <c r="E199" s="188" t="str">
        <f>IF(C199="","",IFERROR(VLOOKUP(C199,Inventory!$A:$C,3,FALSE),""))</f>
        <v/>
      </c>
      <c r="F199" s="187"/>
      <c r="G199" s="180" t="str">
        <f>IF(C199="","",IFERROR(VLOOKUP(C199,Inventory!$A:$I,9,FALSE),0))</f>
        <v/>
      </c>
      <c r="H199" s="189" t="str">
        <f t="shared" si="1"/>
        <v/>
      </c>
      <c r="I199" s="190" t="str">
        <f t="shared" si="2"/>
        <v/>
      </c>
      <c r="J199" s="191"/>
      <c r="K199" s="191" t="str">
        <f t="shared" si="3"/>
        <v/>
      </c>
      <c r="L199" s="187"/>
      <c r="M199" s="192" t="str">
        <f t="shared" si="4"/>
        <v/>
      </c>
      <c r="N199" s="185" t="str">
        <f t="shared" si="5"/>
        <v/>
      </c>
      <c r="P199" s="73" t="str">
        <f>IF(Inventory!A199="","",Inventory!A199)</f>
        <v/>
      </c>
    </row>
    <row r="200" ht="14.25" customHeight="1">
      <c r="A200" s="186"/>
      <c r="B200" s="187"/>
      <c r="C200" s="187"/>
      <c r="D200" s="188" t="str">
        <f>IF(C200="","",IFERROR(VLOOKUP(C200,Inventory!$A:$B,2,FALSE),""))</f>
        <v/>
      </c>
      <c r="E200" s="188" t="str">
        <f>IF(C200="","",IFERROR(VLOOKUP(C200,Inventory!$A:$C,3,FALSE),""))</f>
        <v/>
      </c>
      <c r="F200" s="187"/>
      <c r="G200" s="180" t="str">
        <f>IF(C200="","",IFERROR(VLOOKUP(C200,Inventory!$A:$I,9,FALSE),0))</f>
        <v/>
      </c>
      <c r="H200" s="189" t="str">
        <f t="shared" si="1"/>
        <v/>
      </c>
      <c r="I200" s="190" t="str">
        <f t="shared" si="2"/>
        <v/>
      </c>
      <c r="J200" s="191"/>
      <c r="K200" s="191" t="str">
        <f t="shared" si="3"/>
        <v/>
      </c>
      <c r="L200" s="187"/>
      <c r="M200" s="192" t="str">
        <f t="shared" si="4"/>
        <v/>
      </c>
      <c r="N200" s="185" t="str">
        <f t="shared" si="5"/>
        <v/>
      </c>
      <c r="P200" s="73" t="str">
        <f>IF(Inventory!A200="","",Inventory!A200)</f>
        <v/>
      </c>
    </row>
    <row r="201" ht="14.25" customHeight="1">
      <c r="A201" s="186"/>
      <c r="B201" s="187"/>
      <c r="C201" s="187"/>
      <c r="D201" s="188" t="str">
        <f>IF(C201="","",IFERROR(VLOOKUP(C201,Inventory!$A:$B,2,FALSE),""))</f>
        <v/>
      </c>
      <c r="E201" s="188" t="str">
        <f>IF(C201="","",IFERROR(VLOOKUP(C201,Inventory!$A:$C,3,FALSE),""))</f>
        <v/>
      </c>
      <c r="F201" s="187"/>
      <c r="G201" s="180" t="str">
        <f>IF(C201="","",IFERROR(VLOOKUP(C201,Inventory!$A:$I,9,FALSE),0))</f>
        <v/>
      </c>
      <c r="H201" s="189" t="str">
        <f t="shared" si="1"/>
        <v/>
      </c>
      <c r="I201" s="190" t="str">
        <f t="shared" si="2"/>
        <v/>
      </c>
      <c r="J201" s="191"/>
      <c r="K201" s="191" t="str">
        <f t="shared" si="3"/>
        <v/>
      </c>
      <c r="L201" s="187"/>
      <c r="M201" s="192" t="str">
        <f t="shared" si="4"/>
        <v/>
      </c>
      <c r="N201" s="185" t="str">
        <f t="shared" si="5"/>
        <v/>
      </c>
      <c r="P201" s="73" t="str">
        <f>IF(Inventory!A201="","",Inventory!A201)</f>
        <v/>
      </c>
    </row>
    <row r="202" ht="14.25" customHeight="1">
      <c r="A202" s="186"/>
      <c r="B202" s="187"/>
      <c r="C202" s="187"/>
      <c r="D202" s="188" t="str">
        <f>IF(C202="","",IFERROR(VLOOKUP(C202,Inventory!$A:$B,2,FALSE),""))</f>
        <v/>
      </c>
      <c r="E202" s="188" t="str">
        <f>IF(C202="","",IFERROR(VLOOKUP(C202,Inventory!$A:$C,3,FALSE),""))</f>
        <v/>
      </c>
      <c r="F202" s="187"/>
      <c r="G202" s="180" t="str">
        <f>IF(C202="","",IFERROR(VLOOKUP(C202,Inventory!$A:$I,9,FALSE),0))</f>
        <v/>
      </c>
      <c r="H202" s="189" t="str">
        <f t="shared" si="1"/>
        <v/>
      </c>
      <c r="I202" s="190" t="str">
        <f t="shared" si="2"/>
        <v/>
      </c>
      <c r="J202" s="191"/>
      <c r="K202" s="191" t="str">
        <f t="shared" si="3"/>
        <v/>
      </c>
      <c r="L202" s="187"/>
      <c r="M202" s="192" t="str">
        <f t="shared" si="4"/>
        <v/>
      </c>
      <c r="N202" s="185" t="str">
        <f t="shared" si="5"/>
        <v/>
      </c>
      <c r="P202" s="73" t="str">
        <f>IF(Inventory!A202="","",Inventory!A202)</f>
        <v/>
      </c>
    </row>
    <row r="203" ht="14.25" customHeight="1">
      <c r="A203" s="186"/>
      <c r="B203" s="187"/>
      <c r="C203" s="187"/>
      <c r="D203" s="188" t="str">
        <f>IF(C203="","",IFERROR(VLOOKUP(C203,Inventory!$A:$B,2,FALSE),""))</f>
        <v/>
      </c>
      <c r="E203" s="188" t="str">
        <f>IF(C203="","",IFERROR(VLOOKUP(C203,Inventory!$A:$C,3,FALSE),""))</f>
        <v/>
      </c>
      <c r="F203" s="187"/>
      <c r="G203" s="180" t="str">
        <f>IF(C203="","",IFERROR(VLOOKUP(C203,Inventory!$A:$I,9,FALSE),0))</f>
        <v/>
      </c>
      <c r="H203" s="189" t="str">
        <f t="shared" si="1"/>
        <v/>
      </c>
      <c r="I203" s="190" t="str">
        <f t="shared" si="2"/>
        <v/>
      </c>
      <c r="J203" s="191"/>
      <c r="K203" s="191" t="str">
        <f t="shared" si="3"/>
        <v/>
      </c>
      <c r="L203" s="187"/>
      <c r="M203" s="192" t="str">
        <f t="shared" si="4"/>
        <v/>
      </c>
      <c r="N203" s="185" t="str">
        <f t="shared" si="5"/>
        <v/>
      </c>
      <c r="P203" s="73" t="str">
        <f>IF(Inventory!A203="","",Inventory!A203)</f>
        <v/>
      </c>
    </row>
    <row r="204" ht="14.25" customHeight="1">
      <c r="A204" s="186"/>
      <c r="B204" s="187"/>
      <c r="C204" s="187"/>
      <c r="D204" s="188" t="str">
        <f>IF(C204="","",IFERROR(VLOOKUP(C204,Inventory!$A:$B,2,FALSE),""))</f>
        <v/>
      </c>
      <c r="E204" s="188" t="str">
        <f>IF(C204="","",IFERROR(VLOOKUP(C204,Inventory!$A:$C,3,FALSE),""))</f>
        <v/>
      </c>
      <c r="F204" s="187"/>
      <c r="G204" s="180" t="str">
        <f>IF(C204="","",IFERROR(VLOOKUP(C204,Inventory!$A:$I,9,FALSE),0))</f>
        <v/>
      </c>
      <c r="H204" s="189" t="str">
        <f t="shared" si="1"/>
        <v/>
      </c>
      <c r="I204" s="190" t="str">
        <f t="shared" si="2"/>
        <v/>
      </c>
      <c r="J204" s="191"/>
      <c r="K204" s="191" t="str">
        <f t="shared" si="3"/>
        <v/>
      </c>
      <c r="L204" s="187"/>
      <c r="M204" s="192" t="str">
        <f t="shared" si="4"/>
        <v/>
      </c>
      <c r="N204" s="185" t="str">
        <f t="shared" si="5"/>
        <v/>
      </c>
      <c r="P204" s="73" t="str">
        <f>IF(Inventory!A204="","",Inventory!A204)</f>
        <v/>
      </c>
    </row>
    <row r="205" ht="14.25" customHeight="1">
      <c r="A205" s="186"/>
      <c r="B205" s="187"/>
      <c r="C205" s="187"/>
      <c r="D205" s="188" t="str">
        <f>IF(C205="","",IFERROR(VLOOKUP(C205,Inventory!$A:$B,2,FALSE),""))</f>
        <v/>
      </c>
      <c r="E205" s="188" t="str">
        <f>IF(C205="","",IFERROR(VLOOKUP(C205,Inventory!$A:$C,3,FALSE),""))</f>
        <v/>
      </c>
      <c r="F205" s="187"/>
      <c r="G205" s="180" t="str">
        <f>IF(C205="","",IFERROR(VLOOKUP(C205,Inventory!$A:$I,9,FALSE),0))</f>
        <v/>
      </c>
      <c r="H205" s="189" t="str">
        <f t="shared" si="1"/>
        <v/>
      </c>
      <c r="I205" s="190" t="str">
        <f t="shared" si="2"/>
        <v/>
      </c>
      <c r="J205" s="191"/>
      <c r="K205" s="191" t="str">
        <f t="shared" si="3"/>
        <v/>
      </c>
      <c r="L205" s="187"/>
      <c r="M205" s="192" t="str">
        <f t="shared" si="4"/>
        <v/>
      </c>
      <c r="N205" s="185" t="str">
        <f t="shared" si="5"/>
        <v/>
      </c>
      <c r="P205" s="73" t="str">
        <f>IF(Inventory!A205="","",Inventory!A205)</f>
        <v/>
      </c>
    </row>
    <row r="206" ht="14.25" customHeight="1">
      <c r="A206" s="186"/>
      <c r="B206" s="187"/>
      <c r="C206" s="187"/>
      <c r="D206" s="188" t="str">
        <f>IF(C206="","",IFERROR(VLOOKUP(C206,Inventory!$A:$B,2,FALSE),""))</f>
        <v/>
      </c>
      <c r="E206" s="188" t="str">
        <f>IF(C206="","",IFERROR(VLOOKUP(C206,Inventory!$A:$C,3,FALSE),""))</f>
        <v/>
      </c>
      <c r="F206" s="187"/>
      <c r="G206" s="180" t="str">
        <f>IF(C206="","",IFERROR(VLOOKUP(C206,Inventory!$A:$I,9,FALSE),0))</f>
        <v/>
      </c>
      <c r="H206" s="189" t="str">
        <f t="shared" si="1"/>
        <v/>
      </c>
      <c r="I206" s="190" t="str">
        <f t="shared" si="2"/>
        <v/>
      </c>
      <c r="J206" s="191"/>
      <c r="K206" s="191" t="str">
        <f t="shared" si="3"/>
        <v/>
      </c>
      <c r="L206" s="187"/>
      <c r="M206" s="192" t="str">
        <f t="shared" si="4"/>
        <v/>
      </c>
      <c r="N206" s="185" t="str">
        <f t="shared" si="5"/>
        <v/>
      </c>
      <c r="P206" s="73" t="str">
        <f>IF(Inventory!A206="","",Inventory!A206)</f>
        <v/>
      </c>
    </row>
    <row r="207" ht="14.25" customHeight="1">
      <c r="A207" s="186"/>
      <c r="B207" s="187"/>
      <c r="C207" s="187"/>
      <c r="D207" s="188" t="str">
        <f>IF(C207="","",IFERROR(VLOOKUP(C207,Inventory!$A:$B,2,FALSE),""))</f>
        <v/>
      </c>
      <c r="E207" s="188" t="str">
        <f>IF(C207="","",IFERROR(VLOOKUP(C207,Inventory!$A:$C,3,FALSE),""))</f>
        <v/>
      </c>
      <c r="F207" s="187"/>
      <c r="G207" s="180" t="str">
        <f>IF(C207="","",IFERROR(VLOOKUP(C207,Inventory!$A:$I,9,FALSE),0))</f>
        <v/>
      </c>
      <c r="H207" s="189" t="str">
        <f t="shared" si="1"/>
        <v/>
      </c>
      <c r="I207" s="190" t="str">
        <f t="shared" si="2"/>
        <v/>
      </c>
      <c r="J207" s="191"/>
      <c r="K207" s="191" t="str">
        <f t="shared" si="3"/>
        <v/>
      </c>
      <c r="L207" s="187"/>
      <c r="M207" s="192" t="str">
        <f t="shared" si="4"/>
        <v/>
      </c>
      <c r="N207" s="185" t="str">
        <f t="shared" si="5"/>
        <v/>
      </c>
      <c r="P207" s="73" t="str">
        <f>IF(Inventory!A207="","",Inventory!A207)</f>
        <v/>
      </c>
    </row>
    <row r="208" ht="14.25" customHeight="1">
      <c r="A208" s="186"/>
      <c r="B208" s="187"/>
      <c r="C208" s="187"/>
      <c r="D208" s="188" t="str">
        <f>IF(C208="","",IFERROR(VLOOKUP(C208,Inventory!$A:$B,2,FALSE),""))</f>
        <v/>
      </c>
      <c r="E208" s="188" t="str">
        <f>IF(C208="","",IFERROR(VLOOKUP(C208,Inventory!$A:$C,3,FALSE),""))</f>
        <v/>
      </c>
      <c r="F208" s="187"/>
      <c r="G208" s="180" t="str">
        <f>IF(C208="","",IFERROR(VLOOKUP(C208,Inventory!$A:$I,9,FALSE),0))</f>
        <v/>
      </c>
      <c r="H208" s="189" t="str">
        <f t="shared" si="1"/>
        <v/>
      </c>
      <c r="I208" s="190" t="str">
        <f t="shared" si="2"/>
        <v/>
      </c>
      <c r="J208" s="191"/>
      <c r="K208" s="191" t="str">
        <f t="shared" si="3"/>
        <v/>
      </c>
      <c r="L208" s="187"/>
      <c r="M208" s="192" t="str">
        <f t="shared" si="4"/>
        <v/>
      </c>
      <c r="N208" s="185" t="str">
        <f t="shared" si="5"/>
        <v/>
      </c>
      <c r="P208" s="73" t="str">
        <f>IF(Inventory!A208="","",Inventory!A208)</f>
        <v/>
      </c>
    </row>
    <row r="209" ht="14.25" customHeight="1">
      <c r="A209" s="186"/>
      <c r="B209" s="187"/>
      <c r="C209" s="187"/>
      <c r="D209" s="188" t="str">
        <f>IF(C209="","",IFERROR(VLOOKUP(C209,Inventory!$A:$B,2,FALSE),""))</f>
        <v/>
      </c>
      <c r="E209" s="188" t="str">
        <f>IF(C209="","",IFERROR(VLOOKUP(C209,Inventory!$A:$C,3,FALSE),""))</f>
        <v/>
      </c>
      <c r="F209" s="187"/>
      <c r="G209" s="180" t="str">
        <f>IF(C209="","",IFERROR(VLOOKUP(C209,Inventory!$A:$I,9,FALSE),0))</f>
        <v/>
      </c>
      <c r="H209" s="189" t="str">
        <f t="shared" si="1"/>
        <v/>
      </c>
      <c r="I209" s="190" t="str">
        <f t="shared" si="2"/>
        <v/>
      </c>
      <c r="J209" s="191"/>
      <c r="K209" s="191" t="str">
        <f t="shared" si="3"/>
        <v/>
      </c>
      <c r="L209" s="187"/>
      <c r="M209" s="192" t="str">
        <f t="shared" si="4"/>
        <v/>
      </c>
      <c r="N209" s="185" t="str">
        <f t="shared" si="5"/>
        <v/>
      </c>
      <c r="P209" s="73" t="str">
        <f>IF(Inventory!A209="","",Inventory!A209)</f>
        <v/>
      </c>
    </row>
    <row r="210" ht="14.25" customHeight="1">
      <c r="A210" s="186"/>
      <c r="B210" s="187"/>
      <c r="C210" s="187"/>
      <c r="D210" s="188" t="str">
        <f>IF(C210="","",IFERROR(VLOOKUP(C210,Inventory!$A:$B,2,FALSE),""))</f>
        <v/>
      </c>
      <c r="E210" s="188" t="str">
        <f>IF(C210="","",IFERROR(VLOOKUP(C210,Inventory!$A:$C,3,FALSE),""))</f>
        <v/>
      </c>
      <c r="F210" s="187"/>
      <c r="G210" s="180" t="str">
        <f>IF(C210="","",IFERROR(VLOOKUP(C210,Inventory!$A:$I,9,FALSE),0))</f>
        <v/>
      </c>
      <c r="H210" s="189" t="str">
        <f t="shared" si="1"/>
        <v/>
      </c>
      <c r="I210" s="190" t="str">
        <f t="shared" si="2"/>
        <v/>
      </c>
      <c r="J210" s="191"/>
      <c r="K210" s="191" t="str">
        <f t="shared" si="3"/>
        <v/>
      </c>
      <c r="L210" s="187"/>
      <c r="M210" s="192" t="str">
        <f t="shared" si="4"/>
        <v/>
      </c>
      <c r="N210" s="185" t="str">
        <f t="shared" si="5"/>
        <v/>
      </c>
      <c r="P210" s="73" t="str">
        <f>IF(Inventory!A210="","",Inventory!A210)</f>
        <v/>
      </c>
    </row>
    <row r="211" ht="14.25" customHeight="1">
      <c r="A211" s="186"/>
      <c r="B211" s="187"/>
      <c r="C211" s="187"/>
      <c r="D211" s="188" t="str">
        <f>IF(C211="","",IFERROR(VLOOKUP(C211,Inventory!$A:$B,2,FALSE),""))</f>
        <v/>
      </c>
      <c r="E211" s="188" t="str">
        <f>IF(C211="","",IFERROR(VLOOKUP(C211,Inventory!$A:$C,3,FALSE),""))</f>
        <v/>
      </c>
      <c r="F211" s="187"/>
      <c r="G211" s="180" t="str">
        <f>IF(C211="","",IFERROR(VLOOKUP(C211,Inventory!$A:$I,9,FALSE),0))</f>
        <v/>
      </c>
      <c r="H211" s="189" t="str">
        <f t="shared" si="1"/>
        <v/>
      </c>
      <c r="I211" s="190" t="str">
        <f t="shared" si="2"/>
        <v/>
      </c>
      <c r="J211" s="191"/>
      <c r="K211" s="191" t="str">
        <f t="shared" si="3"/>
        <v/>
      </c>
      <c r="L211" s="187"/>
      <c r="M211" s="192" t="str">
        <f t="shared" si="4"/>
        <v/>
      </c>
      <c r="N211" s="185" t="str">
        <f t="shared" si="5"/>
        <v/>
      </c>
      <c r="P211" s="73" t="str">
        <f>IF(Inventory!A211="","",Inventory!A211)</f>
        <v/>
      </c>
    </row>
    <row r="212" ht="14.25" customHeight="1">
      <c r="A212" s="186"/>
      <c r="B212" s="187"/>
      <c r="C212" s="187"/>
      <c r="D212" s="188" t="str">
        <f>IF(C212="","",IFERROR(VLOOKUP(C212,Inventory!$A:$B,2,FALSE),""))</f>
        <v/>
      </c>
      <c r="E212" s="188" t="str">
        <f>IF(C212="","",IFERROR(VLOOKUP(C212,Inventory!$A:$C,3,FALSE),""))</f>
        <v/>
      </c>
      <c r="F212" s="187"/>
      <c r="G212" s="180" t="str">
        <f>IF(C212="","",IFERROR(VLOOKUP(C212,Inventory!$A:$I,9,FALSE),0))</f>
        <v/>
      </c>
      <c r="H212" s="189" t="str">
        <f t="shared" si="1"/>
        <v/>
      </c>
      <c r="I212" s="190" t="str">
        <f t="shared" si="2"/>
        <v/>
      </c>
      <c r="J212" s="191"/>
      <c r="K212" s="191" t="str">
        <f t="shared" si="3"/>
        <v/>
      </c>
      <c r="L212" s="187"/>
      <c r="M212" s="192" t="str">
        <f t="shared" si="4"/>
        <v/>
      </c>
      <c r="N212" s="185" t="str">
        <f t="shared" si="5"/>
        <v/>
      </c>
      <c r="P212" s="73" t="str">
        <f>IF(Inventory!A212="","",Inventory!A212)</f>
        <v/>
      </c>
    </row>
    <row r="213" ht="14.25" customHeight="1">
      <c r="A213" s="186"/>
      <c r="B213" s="187"/>
      <c r="C213" s="187"/>
      <c r="D213" s="188" t="str">
        <f>IF(C213="","",IFERROR(VLOOKUP(C213,Inventory!$A:$B,2,FALSE),""))</f>
        <v/>
      </c>
      <c r="E213" s="188" t="str">
        <f>IF(C213="","",IFERROR(VLOOKUP(C213,Inventory!$A:$C,3,FALSE),""))</f>
        <v/>
      </c>
      <c r="F213" s="187"/>
      <c r="G213" s="180" t="str">
        <f>IF(C213="","",IFERROR(VLOOKUP(C213,Inventory!$A:$I,9,FALSE),0))</f>
        <v/>
      </c>
      <c r="H213" s="189" t="str">
        <f t="shared" si="1"/>
        <v/>
      </c>
      <c r="I213" s="190" t="str">
        <f t="shared" si="2"/>
        <v/>
      </c>
      <c r="J213" s="191"/>
      <c r="K213" s="191" t="str">
        <f t="shared" si="3"/>
        <v/>
      </c>
      <c r="L213" s="187"/>
      <c r="M213" s="192" t="str">
        <f t="shared" si="4"/>
        <v/>
      </c>
      <c r="N213" s="185" t="str">
        <f t="shared" si="5"/>
        <v/>
      </c>
      <c r="P213" s="73" t="str">
        <f>IF(Inventory!A213="","",Inventory!A213)</f>
        <v/>
      </c>
    </row>
    <row r="214" ht="14.25" customHeight="1">
      <c r="A214" s="186"/>
      <c r="B214" s="187"/>
      <c r="C214" s="187"/>
      <c r="D214" s="188" t="str">
        <f>IF(C214="","",IFERROR(VLOOKUP(C214,Inventory!$A:$B,2,FALSE),""))</f>
        <v/>
      </c>
      <c r="E214" s="188" t="str">
        <f>IF(C214="","",IFERROR(VLOOKUP(C214,Inventory!$A:$C,3,FALSE),""))</f>
        <v/>
      </c>
      <c r="F214" s="187"/>
      <c r="G214" s="180" t="str">
        <f>IF(C214="","",IFERROR(VLOOKUP(C214,Inventory!$A:$I,9,FALSE),0))</f>
        <v/>
      </c>
      <c r="H214" s="189" t="str">
        <f t="shared" si="1"/>
        <v/>
      </c>
      <c r="I214" s="190" t="str">
        <f t="shared" si="2"/>
        <v/>
      </c>
      <c r="J214" s="191"/>
      <c r="K214" s="191" t="str">
        <f t="shared" si="3"/>
        <v/>
      </c>
      <c r="L214" s="187"/>
      <c r="M214" s="192" t="str">
        <f t="shared" si="4"/>
        <v/>
      </c>
      <c r="N214" s="185" t="str">
        <f t="shared" si="5"/>
        <v/>
      </c>
      <c r="P214" s="73" t="str">
        <f>IF(Inventory!A214="","",Inventory!A214)</f>
        <v/>
      </c>
    </row>
    <row r="215" ht="14.25" customHeight="1">
      <c r="A215" s="186"/>
      <c r="B215" s="187"/>
      <c r="C215" s="187"/>
      <c r="D215" s="188" t="str">
        <f>IF(C215="","",IFERROR(VLOOKUP(C215,Inventory!$A:$B,2,FALSE),""))</f>
        <v/>
      </c>
      <c r="E215" s="188" t="str">
        <f>IF(C215="","",IFERROR(VLOOKUP(C215,Inventory!$A:$C,3,FALSE),""))</f>
        <v/>
      </c>
      <c r="F215" s="187"/>
      <c r="G215" s="180" t="str">
        <f>IF(C215="","",IFERROR(VLOOKUP(C215,Inventory!$A:$I,9,FALSE),0))</f>
        <v/>
      </c>
      <c r="H215" s="189" t="str">
        <f t="shared" si="1"/>
        <v/>
      </c>
      <c r="I215" s="190" t="str">
        <f t="shared" si="2"/>
        <v/>
      </c>
      <c r="J215" s="191"/>
      <c r="K215" s="191" t="str">
        <f t="shared" si="3"/>
        <v/>
      </c>
      <c r="L215" s="187"/>
      <c r="M215" s="192" t="str">
        <f t="shared" si="4"/>
        <v/>
      </c>
      <c r="N215" s="185" t="str">
        <f t="shared" si="5"/>
        <v/>
      </c>
      <c r="P215" s="73" t="str">
        <f>IF(Inventory!A215="","",Inventory!A215)</f>
        <v/>
      </c>
    </row>
    <row r="216" ht="14.25" customHeight="1">
      <c r="A216" s="186"/>
      <c r="B216" s="187"/>
      <c r="C216" s="187"/>
      <c r="D216" s="188" t="str">
        <f>IF(C216="","",IFERROR(VLOOKUP(C216,Inventory!$A:$B,2,FALSE),""))</f>
        <v/>
      </c>
      <c r="E216" s="188" t="str">
        <f>IF(C216="","",IFERROR(VLOOKUP(C216,Inventory!$A:$C,3,FALSE),""))</f>
        <v/>
      </c>
      <c r="F216" s="187"/>
      <c r="G216" s="180" t="str">
        <f>IF(C216="","",IFERROR(VLOOKUP(C216,Inventory!$A:$I,9,FALSE),0))</f>
        <v/>
      </c>
      <c r="H216" s="189" t="str">
        <f t="shared" si="1"/>
        <v/>
      </c>
      <c r="I216" s="190" t="str">
        <f t="shared" si="2"/>
        <v/>
      </c>
      <c r="J216" s="191"/>
      <c r="K216" s="191" t="str">
        <f t="shared" si="3"/>
        <v/>
      </c>
      <c r="L216" s="187"/>
      <c r="M216" s="192" t="str">
        <f t="shared" si="4"/>
        <v/>
      </c>
      <c r="N216" s="185" t="str">
        <f t="shared" si="5"/>
        <v/>
      </c>
      <c r="P216" s="73" t="str">
        <f>IF(Inventory!A216="","",Inventory!A216)</f>
        <v/>
      </c>
    </row>
    <row r="217" ht="14.25" customHeight="1">
      <c r="A217" s="186"/>
      <c r="B217" s="187"/>
      <c r="C217" s="187"/>
      <c r="D217" s="188" t="str">
        <f>IF(C217="","",IFERROR(VLOOKUP(C217,Inventory!$A:$B,2,FALSE),""))</f>
        <v/>
      </c>
      <c r="E217" s="188" t="str">
        <f>IF(C217="","",IFERROR(VLOOKUP(C217,Inventory!$A:$C,3,FALSE),""))</f>
        <v/>
      </c>
      <c r="F217" s="187"/>
      <c r="G217" s="180" t="str">
        <f>IF(C217="","",IFERROR(VLOOKUP(C217,Inventory!$A:$I,9,FALSE),0))</f>
        <v/>
      </c>
      <c r="H217" s="189" t="str">
        <f t="shared" si="1"/>
        <v/>
      </c>
      <c r="I217" s="190" t="str">
        <f t="shared" si="2"/>
        <v/>
      </c>
      <c r="J217" s="191"/>
      <c r="K217" s="191" t="str">
        <f t="shared" si="3"/>
        <v/>
      </c>
      <c r="L217" s="187"/>
      <c r="M217" s="192" t="str">
        <f t="shared" si="4"/>
        <v/>
      </c>
      <c r="N217" s="185" t="str">
        <f t="shared" si="5"/>
        <v/>
      </c>
      <c r="P217" s="73" t="str">
        <f>IF(Inventory!A217="","",Inventory!A217)</f>
        <v/>
      </c>
    </row>
    <row r="218" ht="14.25" customHeight="1">
      <c r="A218" s="186"/>
      <c r="B218" s="187"/>
      <c r="C218" s="187"/>
      <c r="D218" s="188" t="str">
        <f>IF(C218="","",IFERROR(VLOOKUP(C218,Inventory!$A:$B,2,FALSE),""))</f>
        <v/>
      </c>
      <c r="E218" s="188" t="str">
        <f>IF(C218="","",IFERROR(VLOOKUP(C218,Inventory!$A:$C,3,FALSE),""))</f>
        <v/>
      </c>
      <c r="F218" s="187"/>
      <c r="G218" s="180" t="str">
        <f>IF(C218="","",IFERROR(VLOOKUP(C218,Inventory!$A:$I,9,FALSE),0))</f>
        <v/>
      </c>
      <c r="H218" s="189" t="str">
        <f t="shared" si="1"/>
        <v/>
      </c>
      <c r="I218" s="190" t="str">
        <f t="shared" si="2"/>
        <v/>
      </c>
      <c r="J218" s="191"/>
      <c r="K218" s="191" t="str">
        <f t="shared" si="3"/>
        <v/>
      </c>
      <c r="L218" s="187"/>
      <c r="M218" s="192" t="str">
        <f t="shared" si="4"/>
        <v/>
      </c>
      <c r="N218" s="185" t="str">
        <f t="shared" si="5"/>
        <v/>
      </c>
      <c r="P218" s="73" t="str">
        <f>IF(Inventory!A218="","",Inventory!A218)</f>
        <v/>
      </c>
    </row>
    <row r="219" ht="14.25" customHeight="1">
      <c r="A219" s="186"/>
      <c r="B219" s="187"/>
      <c r="C219" s="187"/>
      <c r="D219" s="188" t="str">
        <f>IF(C219="","",IFERROR(VLOOKUP(C219,Inventory!$A:$B,2,FALSE),""))</f>
        <v/>
      </c>
      <c r="E219" s="188" t="str">
        <f>IF(C219="","",IFERROR(VLOOKUP(C219,Inventory!$A:$C,3,FALSE),""))</f>
        <v/>
      </c>
      <c r="F219" s="187"/>
      <c r="G219" s="180" t="str">
        <f>IF(C219="","",IFERROR(VLOOKUP(C219,Inventory!$A:$I,9,FALSE),0))</f>
        <v/>
      </c>
      <c r="H219" s="189" t="str">
        <f t="shared" si="1"/>
        <v/>
      </c>
      <c r="I219" s="190" t="str">
        <f t="shared" si="2"/>
        <v/>
      </c>
      <c r="J219" s="191"/>
      <c r="K219" s="191" t="str">
        <f t="shared" si="3"/>
        <v/>
      </c>
      <c r="L219" s="187"/>
      <c r="M219" s="192" t="str">
        <f t="shared" si="4"/>
        <v/>
      </c>
      <c r="N219" s="185" t="str">
        <f t="shared" si="5"/>
        <v/>
      </c>
      <c r="P219" s="73" t="str">
        <f>IF(Inventory!A219="","",Inventory!A219)</f>
        <v/>
      </c>
    </row>
    <row r="220" ht="14.25" customHeight="1">
      <c r="A220" s="186"/>
      <c r="B220" s="187"/>
      <c r="C220" s="187"/>
      <c r="D220" s="188" t="str">
        <f>IF(C220="","",IFERROR(VLOOKUP(C220,Inventory!$A:$B,2,FALSE),""))</f>
        <v/>
      </c>
      <c r="E220" s="188" t="str">
        <f>IF(C220="","",IFERROR(VLOOKUP(C220,Inventory!$A:$C,3,FALSE),""))</f>
        <v/>
      </c>
      <c r="F220" s="187"/>
      <c r="G220" s="180" t="str">
        <f>IF(C220="","",IFERROR(VLOOKUP(C220,Inventory!$A:$I,9,FALSE),0))</f>
        <v/>
      </c>
      <c r="H220" s="189" t="str">
        <f t="shared" si="1"/>
        <v/>
      </c>
      <c r="I220" s="190" t="str">
        <f t="shared" si="2"/>
        <v/>
      </c>
      <c r="J220" s="191"/>
      <c r="K220" s="191" t="str">
        <f t="shared" si="3"/>
        <v/>
      </c>
      <c r="L220" s="187"/>
      <c r="M220" s="192" t="str">
        <f t="shared" si="4"/>
        <v/>
      </c>
      <c r="N220" s="185" t="str">
        <f t="shared" si="5"/>
        <v/>
      </c>
      <c r="P220" s="73" t="str">
        <f>IF(Inventory!A220="","",Inventory!A220)</f>
        <v/>
      </c>
    </row>
    <row r="221" ht="14.25" customHeight="1">
      <c r="A221" s="186"/>
      <c r="B221" s="187"/>
      <c r="C221" s="187"/>
      <c r="D221" s="188" t="str">
        <f>IF(C221="","",IFERROR(VLOOKUP(C221,Inventory!$A:$B,2,FALSE),""))</f>
        <v/>
      </c>
      <c r="E221" s="188" t="str">
        <f>IF(C221="","",IFERROR(VLOOKUP(C221,Inventory!$A:$C,3,FALSE),""))</f>
        <v/>
      </c>
      <c r="F221" s="187"/>
      <c r="G221" s="180" t="str">
        <f>IF(C221="","",IFERROR(VLOOKUP(C221,Inventory!$A:$I,9,FALSE),0))</f>
        <v/>
      </c>
      <c r="H221" s="189" t="str">
        <f t="shared" si="1"/>
        <v/>
      </c>
      <c r="I221" s="190" t="str">
        <f t="shared" si="2"/>
        <v/>
      </c>
      <c r="J221" s="191"/>
      <c r="K221" s="191" t="str">
        <f t="shared" si="3"/>
        <v/>
      </c>
      <c r="L221" s="187"/>
      <c r="M221" s="192" t="str">
        <f t="shared" si="4"/>
        <v/>
      </c>
      <c r="N221" s="185" t="str">
        <f t="shared" si="5"/>
        <v/>
      </c>
      <c r="P221" s="73" t="str">
        <f>IF(Inventory!A221="","",Inventory!A221)</f>
        <v/>
      </c>
    </row>
    <row r="222" ht="14.25" customHeight="1">
      <c r="A222" s="186"/>
      <c r="B222" s="187"/>
      <c r="C222" s="187"/>
      <c r="D222" s="188" t="str">
        <f>IF(C222="","",IFERROR(VLOOKUP(C222,Inventory!$A:$B,2,FALSE),""))</f>
        <v/>
      </c>
      <c r="E222" s="188" t="str">
        <f>IF(C222="","",IFERROR(VLOOKUP(C222,Inventory!$A:$C,3,FALSE),""))</f>
        <v/>
      </c>
      <c r="F222" s="187"/>
      <c r="G222" s="180" t="str">
        <f>IF(C222="","",IFERROR(VLOOKUP(C222,Inventory!$A:$I,9,FALSE),0))</f>
        <v/>
      </c>
      <c r="H222" s="189" t="str">
        <f t="shared" si="1"/>
        <v/>
      </c>
      <c r="I222" s="190" t="str">
        <f t="shared" si="2"/>
        <v/>
      </c>
      <c r="J222" s="191"/>
      <c r="K222" s="191" t="str">
        <f t="shared" si="3"/>
        <v/>
      </c>
      <c r="L222" s="187"/>
      <c r="M222" s="192" t="str">
        <f t="shared" si="4"/>
        <v/>
      </c>
      <c r="N222" s="185" t="str">
        <f t="shared" si="5"/>
        <v/>
      </c>
      <c r="P222" s="73" t="str">
        <f>IF(Inventory!A222="","",Inventory!A222)</f>
        <v/>
      </c>
    </row>
    <row r="223" ht="14.25" customHeight="1">
      <c r="A223" s="186"/>
      <c r="B223" s="187"/>
      <c r="C223" s="187"/>
      <c r="D223" s="188" t="str">
        <f>IF(C223="","",IFERROR(VLOOKUP(C223,Inventory!$A:$B,2,FALSE),""))</f>
        <v/>
      </c>
      <c r="E223" s="188" t="str">
        <f>IF(C223="","",IFERROR(VLOOKUP(C223,Inventory!$A:$C,3,FALSE),""))</f>
        <v/>
      </c>
      <c r="F223" s="187"/>
      <c r="G223" s="180" t="str">
        <f>IF(C223="","",IFERROR(VLOOKUP(C223,Inventory!$A:$I,9,FALSE),0))</f>
        <v/>
      </c>
      <c r="H223" s="189" t="str">
        <f t="shared" si="1"/>
        <v/>
      </c>
      <c r="I223" s="190" t="str">
        <f t="shared" si="2"/>
        <v/>
      </c>
      <c r="J223" s="191"/>
      <c r="K223" s="191" t="str">
        <f t="shared" si="3"/>
        <v/>
      </c>
      <c r="L223" s="187"/>
      <c r="M223" s="192" t="str">
        <f t="shared" si="4"/>
        <v/>
      </c>
      <c r="N223" s="185" t="str">
        <f t="shared" si="5"/>
        <v/>
      </c>
      <c r="P223" s="73" t="str">
        <f>IF(Inventory!A223="","",Inventory!A223)</f>
        <v/>
      </c>
    </row>
    <row r="224" ht="14.25" customHeight="1">
      <c r="A224" s="186"/>
      <c r="B224" s="187"/>
      <c r="C224" s="187"/>
      <c r="D224" s="188" t="str">
        <f>IF(C224="","",IFERROR(VLOOKUP(C224,Inventory!$A:$B,2,FALSE),""))</f>
        <v/>
      </c>
      <c r="E224" s="188" t="str">
        <f>IF(C224="","",IFERROR(VLOOKUP(C224,Inventory!$A:$C,3,FALSE),""))</f>
        <v/>
      </c>
      <c r="F224" s="187"/>
      <c r="G224" s="180" t="str">
        <f>IF(C224="","",IFERROR(VLOOKUP(C224,Inventory!$A:$I,9,FALSE),0))</f>
        <v/>
      </c>
      <c r="H224" s="189" t="str">
        <f t="shared" si="1"/>
        <v/>
      </c>
      <c r="I224" s="190" t="str">
        <f t="shared" si="2"/>
        <v/>
      </c>
      <c r="J224" s="191"/>
      <c r="K224" s="191" t="str">
        <f t="shared" si="3"/>
        <v/>
      </c>
      <c r="L224" s="187"/>
      <c r="M224" s="192" t="str">
        <f t="shared" si="4"/>
        <v/>
      </c>
      <c r="N224" s="185" t="str">
        <f t="shared" si="5"/>
        <v/>
      </c>
      <c r="P224" s="73" t="str">
        <f>IF(Inventory!A224="","",Inventory!A224)</f>
        <v/>
      </c>
    </row>
    <row r="225" ht="14.25" customHeight="1">
      <c r="A225" s="186"/>
      <c r="B225" s="187"/>
      <c r="C225" s="187"/>
      <c r="D225" s="188" t="str">
        <f>IF(C225="","",IFERROR(VLOOKUP(C225,Inventory!$A:$B,2,FALSE),""))</f>
        <v/>
      </c>
      <c r="E225" s="188" t="str">
        <f>IF(C225="","",IFERROR(VLOOKUP(C225,Inventory!$A:$C,3,FALSE),""))</f>
        <v/>
      </c>
      <c r="F225" s="187"/>
      <c r="G225" s="180" t="str">
        <f>IF(C225="","",IFERROR(VLOOKUP(C225,Inventory!$A:$I,9,FALSE),0))</f>
        <v/>
      </c>
      <c r="H225" s="189" t="str">
        <f t="shared" si="1"/>
        <v/>
      </c>
      <c r="I225" s="190" t="str">
        <f t="shared" si="2"/>
        <v/>
      </c>
      <c r="J225" s="191"/>
      <c r="K225" s="191" t="str">
        <f t="shared" si="3"/>
        <v/>
      </c>
      <c r="L225" s="187"/>
      <c r="M225" s="192" t="str">
        <f t="shared" si="4"/>
        <v/>
      </c>
      <c r="N225" s="185" t="str">
        <f t="shared" si="5"/>
        <v/>
      </c>
      <c r="P225" s="73" t="str">
        <f>IF(Inventory!A225="","",Inventory!A225)</f>
        <v/>
      </c>
    </row>
    <row r="226" ht="14.25" customHeight="1">
      <c r="A226" s="186"/>
      <c r="B226" s="187"/>
      <c r="C226" s="187"/>
      <c r="D226" s="188" t="str">
        <f>IF(C226="","",IFERROR(VLOOKUP(C226,Inventory!$A:$B,2,FALSE),""))</f>
        <v/>
      </c>
      <c r="E226" s="188" t="str">
        <f>IF(C226="","",IFERROR(VLOOKUP(C226,Inventory!$A:$C,3,FALSE),""))</f>
        <v/>
      </c>
      <c r="F226" s="187"/>
      <c r="G226" s="180" t="str">
        <f>IF(C226="","",IFERROR(VLOOKUP(C226,Inventory!$A:$I,9,FALSE),0))</f>
        <v/>
      </c>
      <c r="H226" s="189" t="str">
        <f t="shared" si="1"/>
        <v/>
      </c>
      <c r="I226" s="190" t="str">
        <f t="shared" si="2"/>
        <v/>
      </c>
      <c r="J226" s="191"/>
      <c r="K226" s="191" t="str">
        <f t="shared" si="3"/>
        <v/>
      </c>
      <c r="L226" s="187"/>
      <c r="M226" s="192" t="str">
        <f t="shared" si="4"/>
        <v/>
      </c>
      <c r="N226" s="185" t="str">
        <f t="shared" si="5"/>
        <v/>
      </c>
      <c r="P226" s="73" t="str">
        <f>IF(Inventory!A226="","",Inventory!A226)</f>
        <v/>
      </c>
    </row>
    <row r="227" ht="14.25" customHeight="1">
      <c r="A227" s="186"/>
      <c r="B227" s="187"/>
      <c r="C227" s="187"/>
      <c r="D227" s="188" t="str">
        <f>IF(C227="","",IFERROR(VLOOKUP(C227,Inventory!$A:$B,2,FALSE),""))</f>
        <v/>
      </c>
      <c r="E227" s="188" t="str">
        <f>IF(C227="","",IFERROR(VLOOKUP(C227,Inventory!$A:$C,3,FALSE),""))</f>
        <v/>
      </c>
      <c r="F227" s="187"/>
      <c r="G227" s="180" t="str">
        <f>IF(C227="","",IFERROR(VLOOKUP(C227,Inventory!$A:$I,9,FALSE),0))</f>
        <v/>
      </c>
      <c r="H227" s="189" t="str">
        <f t="shared" si="1"/>
        <v/>
      </c>
      <c r="I227" s="190" t="str">
        <f t="shared" si="2"/>
        <v/>
      </c>
      <c r="J227" s="191"/>
      <c r="K227" s="191" t="str">
        <f t="shared" si="3"/>
        <v/>
      </c>
      <c r="L227" s="187"/>
      <c r="M227" s="192" t="str">
        <f t="shared" si="4"/>
        <v/>
      </c>
      <c r="N227" s="185" t="str">
        <f t="shared" si="5"/>
        <v/>
      </c>
      <c r="P227" s="73" t="str">
        <f>IF(Inventory!A227="","",Inventory!A227)</f>
        <v/>
      </c>
    </row>
    <row r="228" ht="14.25" customHeight="1">
      <c r="A228" s="186"/>
      <c r="B228" s="187"/>
      <c r="C228" s="187"/>
      <c r="D228" s="188" t="str">
        <f>IF(C228="","",IFERROR(VLOOKUP(C228,Inventory!$A:$B,2,FALSE),""))</f>
        <v/>
      </c>
      <c r="E228" s="188" t="str">
        <f>IF(C228="","",IFERROR(VLOOKUP(C228,Inventory!$A:$C,3,FALSE),""))</f>
        <v/>
      </c>
      <c r="F228" s="187"/>
      <c r="G228" s="180" t="str">
        <f>IF(C228="","",IFERROR(VLOOKUP(C228,Inventory!$A:$I,9,FALSE),0))</f>
        <v/>
      </c>
      <c r="H228" s="189" t="str">
        <f t="shared" si="1"/>
        <v/>
      </c>
      <c r="I228" s="190" t="str">
        <f t="shared" si="2"/>
        <v/>
      </c>
      <c r="J228" s="191"/>
      <c r="K228" s="191" t="str">
        <f t="shared" si="3"/>
        <v/>
      </c>
      <c r="L228" s="187"/>
      <c r="M228" s="192" t="str">
        <f t="shared" si="4"/>
        <v/>
      </c>
      <c r="N228" s="185" t="str">
        <f t="shared" si="5"/>
        <v/>
      </c>
      <c r="P228" s="73" t="str">
        <f>IF(Inventory!A228="","",Inventory!A228)</f>
        <v/>
      </c>
    </row>
    <row r="229" ht="14.25" customHeight="1">
      <c r="A229" s="186"/>
      <c r="B229" s="187"/>
      <c r="C229" s="187"/>
      <c r="D229" s="188" t="str">
        <f>IF(C229="","",IFERROR(VLOOKUP(C229,Inventory!$A:$B,2,FALSE),""))</f>
        <v/>
      </c>
      <c r="E229" s="188" t="str">
        <f>IF(C229="","",IFERROR(VLOOKUP(C229,Inventory!$A:$C,3,FALSE),""))</f>
        <v/>
      </c>
      <c r="F229" s="187"/>
      <c r="G229" s="180" t="str">
        <f>IF(C229="","",IFERROR(VLOOKUP(C229,Inventory!$A:$I,9,FALSE),0))</f>
        <v/>
      </c>
      <c r="H229" s="189" t="str">
        <f t="shared" si="1"/>
        <v/>
      </c>
      <c r="I229" s="190" t="str">
        <f t="shared" si="2"/>
        <v/>
      </c>
      <c r="J229" s="191"/>
      <c r="K229" s="191" t="str">
        <f t="shared" si="3"/>
        <v/>
      </c>
      <c r="L229" s="187"/>
      <c r="M229" s="192" t="str">
        <f t="shared" si="4"/>
        <v/>
      </c>
      <c r="N229" s="185" t="str">
        <f t="shared" si="5"/>
        <v/>
      </c>
      <c r="P229" s="73" t="str">
        <f>IF(Inventory!A229="","",Inventory!A229)</f>
        <v/>
      </c>
    </row>
    <row r="230" ht="14.25" customHeight="1">
      <c r="A230" s="186"/>
      <c r="B230" s="187"/>
      <c r="C230" s="187"/>
      <c r="D230" s="188" t="str">
        <f>IF(C230="","",IFERROR(VLOOKUP(C230,Inventory!$A:$B,2,FALSE),""))</f>
        <v/>
      </c>
      <c r="E230" s="188" t="str">
        <f>IF(C230="","",IFERROR(VLOOKUP(C230,Inventory!$A:$C,3,FALSE),""))</f>
        <v/>
      </c>
      <c r="F230" s="187"/>
      <c r="G230" s="180" t="str">
        <f>IF(C230="","",IFERROR(VLOOKUP(C230,Inventory!$A:$I,9,FALSE),0))</f>
        <v/>
      </c>
      <c r="H230" s="189" t="str">
        <f t="shared" si="1"/>
        <v/>
      </c>
      <c r="I230" s="190" t="str">
        <f t="shared" si="2"/>
        <v/>
      </c>
      <c r="J230" s="191"/>
      <c r="K230" s="191" t="str">
        <f t="shared" si="3"/>
        <v/>
      </c>
      <c r="L230" s="187"/>
      <c r="M230" s="192" t="str">
        <f t="shared" si="4"/>
        <v/>
      </c>
      <c r="N230" s="185" t="str">
        <f t="shared" si="5"/>
        <v/>
      </c>
      <c r="P230" s="73" t="str">
        <f>IF(Inventory!A230="","",Inventory!A230)</f>
        <v/>
      </c>
    </row>
    <row r="231" ht="14.25" customHeight="1">
      <c r="A231" s="186"/>
      <c r="B231" s="187"/>
      <c r="C231" s="187"/>
      <c r="D231" s="188" t="str">
        <f>IF(C231="","",IFERROR(VLOOKUP(C231,Inventory!$A:$B,2,FALSE),""))</f>
        <v/>
      </c>
      <c r="E231" s="188" t="str">
        <f>IF(C231="","",IFERROR(VLOOKUP(C231,Inventory!$A:$C,3,FALSE),""))</f>
        <v/>
      </c>
      <c r="F231" s="187"/>
      <c r="G231" s="180" t="str">
        <f>IF(C231="","",IFERROR(VLOOKUP(C231,Inventory!$A:$I,9,FALSE),0))</f>
        <v/>
      </c>
      <c r="H231" s="189" t="str">
        <f t="shared" si="1"/>
        <v/>
      </c>
      <c r="I231" s="190" t="str">
        <f t="shared" si="2"/>
        <v/>
      </c>
      <c r="J231" s="191"/>
      <c r="K231" s="191" t="str">
        <f t="shared" si="3"/>
        <v/>
      </c>
      <c r="L231" s="187"/>
      <c r="M231" s="192" t="str">
        <f t="shared" si="4"/>
        <v/>
      </c>
      <c r="N231" s="185" t="str">
        <f t="shared" si="5"/>
        <v/>
      </c>
      <c r="P231" s="73" t="str">
        <f>IF(Inventory!A231="","",Inventory!A231)</f>
        <v/>
      </c>
    </row>
    <row r="232" ht="14.25" customHeight="1">
      <c r="A232" s="186"/>
      <c r="B232" s="187"/>
      <c r="C232" s="187"/>
      <c r="D232" s="188" t="str">
        <f>IF(C232="","",IFERROR(VLOOKUP(C232,Inventory!$A:$B,2,FALSE),""))</f>
        <v/>
      </c>
      <c r="E232" s="188" t="str">
        <f>IF(C232="","",IFERROR(VLOOKUP(C232,Inventory!$A:$C,3,FALSE),""))</f>
        <v/>
      </c>
      <c r="F232" s="187"/>
      <c r="G232" s="180" t="str">
        <f>IF(C232="","",IFERROR(VLOOKUP(C232,Inventory!$A:$I,9,FALSE),0))</f>
        <v/>
      </c>
      <c r="H232" s="189" t="str">
        <f t="shared" si="1"/>
        <v/>
      </c>
      <c r="I232" s="190" t="str">
        <f t="shared" si="2"/>
        <v/>
      </c>
      <c r="J232" s="191"/>
      <c r="K232" s="191" t="str">
        <f t="shared" si="3"/>
        <v/>
      </c>
      <c r="L232" s="187"/>
      <c r="M232" s="192" t="str">
        <f t="shared" si="4"/>
        <v/>
      </c>
      <c r="N232" s="185" t="str">
        <f t="shared" si="5"/>
        <v/>
      </c>
      <c r="P232" s="73" t="str">
        <f>IF(Inventory!A232="","",Inventory!A232)</f>
        <v/>
      </c>
    </row>
    <row r="233" ht="14.25" customHeight="1">
      <c r="A233" s="186"/>
      <c r="B233" s="187"/>
      <c r="C233" s="187"/>
      <c r="D233" s="188" t="str">
        <f>IF(C233="","",IFERROR(VLOOKUP(C233,Inventory!$A:$B,2,FALSE),""))</f>
        <v/>
      </c>
      <c r="E233" s="188" t="str">
        <f>IF(C233="","",IFERROR(VLOOKUP(C233,Inventory!$A:$C,3,FALSE),""))</f>
        <v/>
      </c>
      <c r="F233" s="187"/>
      <c r="G233" s="180" t="str">
        <f>IF(C233="","",IFERROR(VLOOKUP(C233,Inventory!$A:$I,9,FALSE),0))</f>
        <v/>
      </c>
      <c r="H233" s="189" t="str">
        <f t="shared" si="1"/>
        <v/>
      </c>
      <c r="I233" s="190" t="str">
        <f t="shared" si="2"/>
        <v/>
      </c>
      <c r="J233" s="191"/>
      <c r="K233" s="191" t="str">
        <f t="shared" si="3"/>
        <v/>
      </c>
      <c r="L233" s="187"/>
      <c r="M233" s="192" t="str">
        <f t="shared" si="4"/>
        <v/>
      </c>
      <c r="N233" s="185" t="str">
        <f t="shared" si="5"/>
        <v/>
      </c>
      <c r="P233" s="73" t="str">
        <f>IF(Inventory!A233="","",Inventory!A233)</f>
        <v/>
      </c>
    </row>
    <row r="234" ht="14.25" customHeight="1">
      <c r="A234" s="186"/>
      <c r="B234" s="187"/>
      <c r="C234" s="187"/>
      <c r="D234" s="188" t="str">
        <f>IF(C234="","",IFERROR(VLOOKUP(C234,Inventory!$A:$B,2,FALSE),""))</f>
        <v/>
      </c>
      <c r="E234" s="188" t="str">
        <f>IF(C234="","",IFERROR(VLOOKUP(C234,Inventory!$A:$C,3,FALSE),""))</f>
        <v/>
      </c>
      <c r="F234" s="187"/>
      <c r="G234" s="180" t="str">
        <f>IF(C234="","",IFERROR(VLOOKUP(C234,Inventory!$A:$I,9,FALSE),0))</f>
        <v/>
      </c>
      <c r="H234" s="189" t="str">
        <f t="shared" si="1"/>
        <v/>
      </c>
      <c r="I234" s="190" t="str">
        <f t="shared" si="2"/>
        <v/>
      </c>
      <c r="J234" s="191"/>
      <c r="K234" s="191" t="str">
        <f t="shared" si="3"/>
        <v/>
      </c>
      <c r="L234" s="187"/>
      <c r="M234" s="192" t="str">
        <f t="shared" si="4"/>
        <v/>
      </c>
      <c r="N234" s="185" t="str">
        <f t="shared" si="5"/>
        <v/>
      </c>
      <c r="P234" s="73" t="str">
        <f>IF(Inventory!A234="","",Inventory!A234)</f>
        <v/>
      </c>
    </row>
    <row r="235" ht="14.25" customHeight="1">
      <c r="A235" s="186"/>
      <c r="B235" s="187"/>
      <c r="C235" s="187"/>
      <c r="D235" s="188" t="str">
        <f>IF(C235="","",IFERROR(VLOOKUP(C235,Inventory!$A:$B,2,FALSE),""))</f>
        <v/>
      </c>
      <c r="E235" s="188" t="str">
        <f>IF(C235="","",IFERROR(VLOOKUP(C235,Inventory!$A:$C,3,FALSE),""))</f>
        <v/>
      </c>
      <c r="F235" s="187"/>
      <c r="G235" s="180" t="str">
        <f>IF(C235="","",IFERROR(VLOOKUP(C235,Inventory!$A:$I,9,FALSE),0))</f>
        <v/>
      </c>
      <c r="H235" s="189" t="str">
        <f t="shared" si="1"/>
        <v/>
      </c>
      <c r="I235" s="190" t="str">
        <f t="shared" si="2"/>
        <v/>
      </c>
      <c r="J235" s="191"/>
      <c r="K235" s="191" t="str">
        <f t="shared" si="3"/>
        <v/>
      </c>
      <c r="L235" s="187"/>
      <c r="M235" s="192" t="str">
        <f t="shared" si="4"/>
        <v/>
      </c>
      <c r="N235" s="185" t="str">
        <f t="shared" si="5"/>
        <v/>
      </c>
      <c r="P235" s="73" t="str">
        <f>IF(Inventory!A235="","",Inventory!A235)</f>
        <v/>
      </c>
    </row>
    <row r="236" ht="14.25" customHeight="1">
      <c r="A236" s="186"/>
      <c r="B236" s="187"/>
      <c r="C236" s="187"/>
      <c r="D236" s="188" t="str">
        <f>IF(C236="","",IFERROR(VLOOKUP(C236,Inventory!$A:$B,2,FALSE),""))</f>
        <v/>
      </c>
      <c r="E236" s="188" t="str">
        <f>IF(C236="","",IFERROR(VLOOKUP(C236,Inventory!$A:$C,3,FALSE),""))</f>
        <v/>
      </c>
      <c r="F236" s="187"/>
      <c r="G236" s="180" t="str">
        <f>IF(C236="","",IFERROR(VLOOKUP(C236,Inventory!$A:$I,9,FALSE),0))</f>
        <v/>
      </c>
      <c r="H236" s="189" t="str">
        <f t="shared" si="1"/>
        <v/>
      </c>
      <c r="I236" s="190" t="str">
        <f t="shared" si="2"/>
        <v/>
      </c>
      <c r="J236" s="191"/>
      <c r="K236" s="191" t="str">
        <f t="shared" si="3"/>
        <v/>
      </c>
      <c r="L236" s="187"/>
      <c r="M236" s="192" t="str">
        <f t="shared" si="4"/>
        <v/>
      </c>
      <c r="N236" s="185" t="str">
        <f t="shared" si="5"/>
        <v/>
      </c>
      <c r="P236" s="73" t="str">
        <f>IF(Inventory!A236="","",Inventory!A236)</f>
        <v/>
      </c>
    </row>
    <row r="237" ht="14.25" customHeight="1">
      <c r="A237" s="186"/>
      <c r="B237" s="187"/>
      <c r="C237" s="187"/>
      <c r="D237" s="188" t="str">
        <f>IF(C237="","",IFERROR(VLOOKUP(C237,Inventory!$A:$B,2,FALSE),""))</f>
        <v/>
      </c>
      <c r="E237" s="188" t="str">
        <f>IF(C237="","",IFERROR(VLOOKUP(C237,Inventory!$A:$C,3,FALSE),""))</f>
        <v/>
      </c>
      <c r="F237" s="187"/>
      <c r="G237" s="180" t="str">
        <f>IF(C237="","",IFERROR(VLOOKUP(C237,Inventory!$A:$I,9,FALSE),0))</f>
        <v/>
      </c>
      <c r="H237" s="189" t="str">
        <f t="shared" si="1"/>
        <v/>
      </c>
      <c r="I237" s="190" t="str">
        <f t="shared" si="2"/>
        <v/>
      </c>
      <c r="J237" s="191"/>
      <c r="K237" s="191" t="str">
        <f t="shared" si="3"/>
        <v/>
      </c>
      <c r="L237" s="187"/>
      <c r="M237" s="192" t="str">
        <f t="shared" si="4"/>
        <v/>
      </c>
      <c r="N237" s="185" t="str">
        <f t="shared" si="5"/>
        <v/>
      </c>
      <c r="P237" s="73" t="str">
        <f>IF(Inventory!A237="","",Inventory!A237)</f>
        <v/>
      </c>
    </row>
    <row r="238" ht="14.25" customHeight="1">
      <c r="A238" s="186"/>
      <c r="B238" s="187"/>
      <c r="C238" s="187"/>
      <c r="D238" s="188" t="str">
        <f>IF(C238="","",IFERROR(VLOOKUP(C238,Inventory!$A:$B,2,FALSE),""))</f>
        <v/>
      </c>
      <c r="E238" s="188" t="str">
        <f>IF(C238="","",IFERROR(VLOOKUP(C238,Inventory!$A:$C,3,FALSE),""))</f>
        <v/>
      </c>
      <c r="F238" s="187"/>
      <c r="G238" s="180" t="str">
        <f>IF(C238="","",IFERROR(VLOOKUP(C238,Inventory!$A:$I,9,FALSE),0))</f>
        <v/>
      </c>
      <c r="H238" s="189" t="str">
        <f t="shared" si="1"/>
        <v/>
      </c>
      <c r="I238" s="190" t="str">
        <f t="shared" si="2"/>
        <v/>
      </c>
      <c r="J238" s="191"/>
      <c r="K238" s="191" t="str">
        <f t="shared" si="3"/>
        <v/>
      </c>
      <c r="L238" s="187"/>
      <c r="M238" s="192" t="str">
        <f t="shared" si="4"/>
        <v/>
      </c>
      <c r="N238" s="185" t="str">
        <f t="shared" si="5"/>
        <v/>
      </c>
      <c r="P238" s="73" t="str">
        <f>IF(Inventory!A238="","",Inventory!A238)</f>
        <v/>
      </c>
    </row>
    <row r="239" ht="14.25" customHeight="1">
      <c r="A239" s="186"/>
      <c r="B239" s="187"/>
      <c r="C239" s="187"/>
      <c r="D239" s="188" t="str">
        <f>IF(C239="","",IFERROR(VLOOKUP(C239,Inventory!$A:$B,2,FALSE),""))</f>
        <v/>
      </c>
      <c r="E239" s="188" t="str">
        <f>IF(C239="","",IFERROR(VLOOKUP(C239,Inventory!$A:$C,3,FALSE),""))</f>
        <v/>
      </c>
      <c r="F239" s="187"/>
      <c r="G239" s="180" t="str">
        <f>IF(C239="","",IFERROR(VLOOKUP(C239,Inventory!$A:$I,9,FALSE),0))</f>
        <v/>
      </c>
      <c r="H239" s="189" t="str">
        <f t="shared" si="1"/>
        <v/>
      </c>
      <c r="I239" s="190" t="str">
        <f t="shared" si="2"/>
        <v/>
      </c>
      <c r="J239" s="191"/>
      <c r="K239" s="191" t="str">
        <f t="shared" si="3"/>
        <v/>
      </c>
      <c r="L239" s="187"/>
      <c r="M239" s="192" t="str">
        <f t="shared" si="4"/>
        <v/>
      </c>
      <c r="N239" s="185" t="str">
        <f t="shared" si="5"/>
        <v/>
      </c>
      <c r="P239" s="73" t="str">
        <f>IF(Inventory!A239="","",Inventory!A239)</f>
        <v/>
      </c>
    </row>
    <row r="240" ht="14.25" customHeight="1">
      <c r="A240" s="186"/>
      <c r="B240" s="187"/>
      <c r="C240" s="187"/>
      <c r="D240" s="188" t="str">
        <f>IF(C240="","",IFERROR(VLOOKUP(C240,Inventory!$A:$B,2,FALSE),""))</f>
        <v/>
      </c>
      <c r="E240" s="188" t="str">
        <f>IF(C240="","",IFERROR(VLOOKUP(C240,Inventory!$A:$C,3,FALSE),""))</f>
        <v/>
      </c>
      <c r="F240" s="187"/>
      <c r="G240" s="180" t="str">
        <f>IF(C240="","",IFERROR(VLOOKUP(C240,Inventory!$A:$I,9,FALSE),0))</f>
        <v/>
      </c>
      <c r="H240" s="189" t="str">
        <f t="shared" si="1"/>
        <v/>
      </c>
      <c r="I240" s="190" t="str">
        <f t="shared" si="2"/>
        <v/>
      </c>
      <c r="J240" s="191"/>
      <c r="K240" s="191" t="str">
        <f t="shared" si="3"/>
        <v/>
      </c>
      <c r="L240" s="187"/>
      <c r="M240" s="192" t="str">
        <f t="shared" si="4"/>
        <v/>
      </c>
      <c r="N240" s="185" t="str">
        <f t="shared" si="5"/>
        <v/>
      </c>
      <c r="P240" s="73" t="str">
        <f>IF(Inventory!A240="","",Inventory!A240)</f>
        <v/>
      </c>
    </row>
    <row r="241" ht="14.25" customHeight="1">
      <c r="A241" s="186"/>
      <c r="B241" s="187"/>
      <c r="C241" s="187"/>
      <c r="D241" s="188" t="str">
        <f>IF(C241="","",IFERROR(VLOOKUP(C241,Inventory!$A:$B,2,FALSE),""))</f>
        <v/>
      </c>
      <c r="E241" s="188" t="str">
        <f>IF(C241="","",IFERROR(VLOOKUP(C241,Inventory!$A:$C,3,FALSE),""))</f>
        <v/>
      </c>
      <c r="F241" s="187"/>
      <c r="G241" s="180" t="str">
        <f>IF(C241="","",IFERROR(VLOOKUP(C241,Inventory!$A:$I,9,FALSE),0))</f>
        <v/>
      </c>
      <c r="H241" s="189" t="str">
        <f t="shared" si="1"/>
        <v/>
      </c>
      <c r="I241" s="190" t="str">
        <f t="shared" si="2"/>
        <v/>
      </c>
      <c r="J241" s="191"/>
      <c r="K241" s="191" t="str">
        <f t="shared" si="3"/>
        <v/>
      </c>
      <c r="L241" s="187"/>
      <c r="M241" s="192" t="str">
        <f t="shared" si="4"/>
        <v/>
      </c>
      <c r="N241" s="185" t="str">
        <f t="shared" si="5"/>
        <v/>
      </c>
      <c r="P241" s="73" t="str">
        <f>IF(Inventory!A241="","",Inventory!A241)</f>
        <v/>
      </c>
    </row>
    <row r="242" ht="14.25" customHeight="1">
      <c r="A242" s="186"/>
      <c r="B242" s="187"/>
      <c r="C242" s="187"/>
      <c r="D242" s="188" t="str">
        <f>IF(C242="","",IFERROR(VLOOKUP(C242,Inventory!$A:$B,2,FALSE),""))</f>
        <v/>
      </c>
      <c r="E242" s="188" t="str">
        <f>IF(C242="","",IFERROR(VLOOKUP(C242,Inventory!$A:$C,3,FALSE),""))</f>
        <v/>
      </c>
      <c r="F242" s="187"/>
      <c r="G242" s="180" t="str">
        <f>IF(C242="","",IFERROR(VLOOKUP(C242,Inventory!$A:$I,9,FALSE),0))</f>
        <v/>
      </c>
      <c r="H242" s="189" t="str">
        <f t="shared" si="1"/>
        <v/>
      </c>
      <c r="I242" s="190" t="str">
        <f t="shared" si="2"/>
        <v/>
      </c>
      <c r="J242" s="191"/>
      <c r="K242" s="191" t="str">
        <f t="shared" si="3"/>
        <v/>
      </c>
      <c r="L242" s="187"/>
      <c r="M242" s="192" t="str">
        <f t="shared" si="4"/>
        <v/>
      </c>
      <c r="N242" s="185" t="str">
        <f t="shared" si="5"/>
        <v/>
      </c>
      <c r="P242" s="73" t="str">
        <f>IF(Inventory!A242="","",Inventory!A242)</f>
        <v/>
      </c>
    </row>
    <row r="243" ht="14.25" customHeight="1">
      <c r="A243" s="186"/>
      <c r="B243" s="187"/>
      <c r="C243" s="187"/>
      <c r="D243" s="188" t="str">
        <f>IF(C243="","",IFERROR(VLOOKUP(C243,Inventory!$A:$B,2,FALSE),""))</f>
        <v/>
      </c>
      <c r="E243" s="188" t="str">
        <f>IF(C243="","",IFERROR(VLOOKUP(C243,Inventory!$A:$C,3,FALSE),""))</f>
        <v/>
      </c>
      <c r="F243" s="187"/>
      <c r="G243" s="180" t="str">
        <f>IF(C243="","",IFERROR(VLOOKUP(C243,Inventory!$A:$I,9,FALSE),0))</f>
        <v/>
      </c>
      <c r="H243" s="189" t="str">
        <f t="shared" si="1"/>
        <v/>
      </c>
      <c r="I243" s="190" t="str">
        <f t="shared" si="2"/>
        <v/>
      </c>
      <c r="J243" s="191"/>
      <c r="K243" s="191" t="str">
        <f t="shared" si="3"/>
        <v/>
      </c>
      <c r="L243" s="187"/>
      <c r="M243" s="192" t="str">
        <f t="shared" si="4"/>
        <v/>
      </c>
      <c r="N243" s="185" t="str">
        <f t="shared" si="5"/>
        <v/>
      </c>
      <c r="P243" s="73" t="str">
        <f>IF(Inventory!A243="","",Inventory!A243)</f>
        <v/>
      </c>
    </row>
    <row r="244" ht="14.25" customHeight="1">
      <c r="A244" s="186"/>
      <c r="B244" s="187"/>
      <c r="C244" s="187"/>
      <c r="D244" s="188" t="str">
        <f>IF(C244="","",IFERROR(VLOOKUP(C244,Inventory!$A:$B,2,FALSE),""))</f>
        <v/>
      </c>
      <c r="E244" s="188" t="str">
        <f>IF(C244="","",IFERROR(VLOOKUP(C244,Inventory!$A:$C,3,FALSE),""))</f>
        <v/>
      </c>
      <c r="F244" s="187"/>
      <c r="G244" s="180" t="str">
        <f>IF(C244="","",IFERROR(VLOOKUP(C244,Inventory!$A:$I,9,FALSE),0))</f>
        <v/>
      </c>
      <c r="H244" s="189" t="str">
        <f t="shared" si="1"/>
        <v/>
      </c>
      <c r="I244" s="190" t="str">
        <f t="shared" si="2"/>
        <v/>
      </c>
      <c r="J244" s="191"/>
      <c r="K244" s="191" t="str">
        <f t="shared" si="3"/>
        <v/>
      </c>
      <c r="L244" s="187"/>
      <c r="M244" s="192" t="str">
        <f t="shared" si="4"/>
        <v/>
      </c>
      <c r="N244" s="185" t="str">
        <f t="shared" si="5"/>
        <v/>
      </c>
      <c r="P244" s="73" t="str">
        <f>IF(Inventory!A244="","",Inventory!A244)</f>
        <v/>
      </c>
    </row>
    <row r="245" ht="14.25" customHeight="1">
      <c r="A245" s="186"/>
      <c r="B245" s="187"/>
      <c r="C245" s="187"/>
      <c r="D245" s="188" t="str">
        <f>IF(C245="","",IFERROR(VLOOKUP(C245,Inventory!$A:$B,2,FALSE),""))</f>
        <v/>
      </c>
      <c r="E245" s="188" t="str">
        <f>IF(C245="","",IFERROR(VLOOKUP(C245,Inventory!$A:$C,3,FALSE),""))</f>
        <v/>
      </c>
      <c r="F245" s="187"/>
      <c r="G245" s="180" t="str">
        <f>IF(C245="","",IFERROR(VLOOKUP(C245,Inventory!$A:$I,9,FALSE),0))</f>
        <v/>
      </c>
      <c r="H245" s="189" t="str">
        <f t="shared" si="1"/>
        <v/>
      </c>
      <c r="I245" s="190" t="str">
        <f t="shared" si="2"/>
        <v/>
      </c>
      <c r="J245" s="191"/>
      <c r="K245" s="191" t="str">
        <f t="shared" si="3"/>
        <v/>
      </c>
      <c r="L245" s="187"/>
      <c r="M245" s="192" t="str">
        <f t="shared" si="4"/>
        <v/>
      </c>
      <c r="N245" s="185" t="str">
        <f t="shared" si="5"/>
        <v/>
      </c>
      <c r="P245" s="73" t="str">
        <f>IF(Inventory!A245="","",Inventory!A245)</f>
        <v/>
      </c>
    </row>
    <row r="246" ht="14.25" customHeight="1">
      <c r="A246" s="186"/>
      <c r="B246" s="187"/>
      <c r="C246" s="187"/>
      <c r="D246" s="188" t="str">
        <f>IF(C246="","",IFERROR(VLOOKUP(C246,Inventory!$A:$B,2,FALSE),""))</f>
        <v/>
      </c>
      <c r="E246" s="188" t="str">
        <f>IF(C246="","",IFERROR(VLOOKUP(C246,Inventory!$A:$C,3,FALSE),""))</f>
        <v/>
      </c>
      <c r="F246" s="187"/>
      <c r="G246" s="180" t="str">
        <f>IF(C246="","",IFERROR(VLOOKUP(C246,Inventory!$A:$I,9,FALSE),0))</f>
        <v/>
      </c>
      <c r="H246" s="189" t="str">
        <f t="shared" si="1"/>
        <v/>
      </c>
      <c r="I246" s="190" t="str">
        <f t="shared" si="2"/>
        <v/>
      </c>
      <c r="J246" s="191"/>
      <c r="K246" s="191" t="str">
        <f t="shared" si="3"/>
        <v/>
      </c>
      <c r="L246" s="187"/>
      <c r="M246" s="192" t="str">
        <f t="shared" si="4"/>
        <v/>
      </c>
      <c r="N246" s="185" t="str">
        <f t="shared" si="5"/>
        <v/>
      </c>
      <c r="P246" s="73" t="str">
        <f>IF(Inventory!A246="","",Inventory!A246)</f>
        <v/>
      </c>
    </row>
    <row r="247" ht="14.25" customHeight="1">
      <c r="A247" s="186"/>
      <c r="B247" s="187"/>
      <c r="C247" s="187"/>
      <c r="D247" s="188" t="str">
        <f>IF(C247="","",IFERROR(VLOOKUP(C247,Inventory!$A:$B,2,FALSE),""))</f>
        <v/>
      </c>
      <c r="E247" s="188" t="str">
        <f>IF(C247="","",IFERROR(VLOOKUP(C247,Inventory!$A:$C,3,FALSE),""))</f>
        <v/>
      </c>
      <c r="F247" s="187"/>
      <c r="G247" s="180" t="str">
        <f>IF(C247="","",IFERROR(VLOOKUP(C247,Inventory!$A:$I,9,FALSE),0))</f>
        <v/>
      </c>
      <c r="H247" s="189" t="str">
        <f t="shared" si="1"/>
        <v/>
      </c>
      <c r="I247" s="190" t="str">
        <f t="shared" si="2"/>
        <v/>
      </c>
      <c r="J247" s="191"/>
      <c r="K247" s="191" t="str">
        <f t="shared" si="3"/>
        <v/>
      </c>
      <c r="L247" s="187"/>
      <c r="M247" s="192" t="str">
        <f t="shared" si="4"/>
        <v/>
      </c>
      <c r="N247" s="185" t="str">
        <f t="shared" si="5"/>
        <v/>
      </c>
      <c r="P247" s="73" t="str">
        <f>IF(Inventory!A247="","",Inventory!A247)</f>
        <v/>
      </c>
    </row>
    <row r="248" ht="14.25" customHeight="1">
      <c r="A248" s="186"/>
      <c r="B248" s="187"/>
      <c r="C248" s="187"/>
      <c r="D248" s="188" t="str">
        <f>IF(C248="","",IFERROR(VLOOKUP(C248,Inventory!$A:$B,2,FALSE),""))</f>
        <v/>
      </c>
      <c r="E248" s="188" t="str">
        <f>IF(C248="","",IFERROR(VLOOKUP(C248,Inventory!$A:$C,3,FALSE),""))</f>
        <v/>
      </c>
      <c r="F248" s="187"/>
      <c r="G248" s="180" t="str">
        <f>IF(C248="","",IFERROR(VLOOKUP(C248,Inventory!$A:$I,9,FALSE),0))</f>
        <v/>
      </c>
      <c r="H248" s="189" t="str">
        <f t="shared" si="1"/>
        <v/>
      </c>
      <c r="I248" s="190" t="str">
        <f t="shared" si="2"/>
        <v/>
      </c>
      <c r="J248" s="191"/>
      <c r="K248" s="191" t="str">
        <f t="shared" si="3"/>
        <v/>
      </c>
      <c r="L248" s="187"/>
      <c r="M248" s="192" t="str">
        <f t="shared" si="4"/>
        <v/>
      </c>
      <c r="N248" s="185" t="str">
        <f t="shared" si="5"/>
        <v/>
      </c>
      <c r="P248" s="73" t="str">
        <f>IF(Inventory!A248="","",Inventory!A248)</f>
        <v/>
      </c>
    </row>
    <row r="249" ht="14.25" customHeight="1">
      <c r="A249" s="186"/>
      <c r="B249" s="187"/>
      <c r="C249" s="187"/>
      <c r="D249" s="188" t="str">
        <f>IF(C249="","",IFERROR(VLOOKUP(C249,Inventory!$A:$B,2,FALSE),""))</f>
        <v/>
      </c>
      <c r="E249" s="188" t="str">
        <f>IF(C249="","",IFERROR(VLOOKUP(C249,Inventory!$A:$C,3,FALSE),""))</f>
        <v/>
      </c>
      <c r="F249" s="187"/>
      <c r="G249" s="180" t="str">
        <f>IF(C249="","",IFERROR(VLOOKUP(C249,Inventory!$A:$I,9,FALSE),0))</f>
        <v/>
      </c>
      <c r="H249" s="189" t="str">
        <f t="shared" si="1"/>
        <v/>
      </c>
      <c r="I249" s="190" t="str">
        <f t="shared" si="2"/>
        <v/>
      </c>
      <c r="J249" s="191"/>
      <c r="K249" s="191" t="str">
        <f t="shared" si="3"/>
        <v/>
      </c>
      <c r="L249" s="187"/>
      <c r="M249" s="192" t="str">
        <f t="shared" si="4"/>
        <v/>
      </c>
      <c r="N249" s="185" t="str">
        <f t="shared" si="5"/>
        <v/>
      </c>
      <c r="P249" s="73" t="str">
        <f>IF(Inventory!A249="","",Inventory!A249)</f>
        <v/>
      </c>
    </row>
    <row r="250" ht="15.75" customHeight="1">
      <c r="A250" s="186"/>
      <c r="B250" s="187"/>
      <c r="C250" s="187"/>
      <c r="D250" s="188" t="str">
        <f>IF(C250="","",IFERROR(VLOOKUP(C250,Inventory!$A:$B,2,FALSE),""))</f>
        <v/>
      </c>
      <c r="E250" s="188" t="str">
        <f>IF(C250="","",IFERROR(VLOOKUP(C250,Inventory!$A:$C,3,FALSE),""))</f>
        <v/>
      </c>
      <c r="F250" s="187"/>
      <c r="G250" s="180" t="str">
        <f>IF(C250="","",IFERROR(VLOOKUP(C250,Inventory!$A:$I,9,FALSE),0))</f>
        <v/>
      </c>
      <c r="H250" s="189" t="str">
        <f t="shared" si="1"/>
        <v/>
      </c>
      <c r="I250" s="190" t="str">
        <f t="shared" si="2"/>
        <v/>
      </c>
      <c r="J250" s="191"/>
      <c r="K250" s="191" t="str">
        <f t="shared" si="3"/>
        <v/>
      </c>
      <c r="L250" s="187"/>
      <c r="M250" s="192" t="str">
        <f t="shared" si="4"/>
        <v/>
      </c>
      <c r="N250" s="185" t="str">
        <f t="shared" si="5"/>
        <v/>
      </c>
      <c r="P250" s="73" t="str">
        <f>IF(Inventory!A250="","",Inventory!A250)</f>
        <v/>
      </c>
    </row>
    <row r="251" ht="15.75" customHeight="1">
      <c r="A251" s="186"/>
      <c r="B251" s="187"/>
      <c r="C251" s="187"/>
      <c r="D251" s="188" t="str">
        <f>IF(C251="","",IFERROR(VLOOKUP(C251,Inventory!$A:$B,2,FALSE),""))</f>
        <v/>
      </c>
      <c r="E251" s="188" t="str">
        <f>IF(C251="","",IFERROR(VLOOKUP(C251,Inventory!$A:$C,3,FALSE),""))</f>
        <v/>
      </c>
      <c r="F251" s="187"/>
      <c r="G251" s="180" t="str">
        <f>IF(C251="","",IFERROR(VLOOKUP(C251,Inventory!$A:$I,9,FALSE),0))</f>
        <v/>
      </c>
      <c r="H251" s="189" t="str">
        <f t="shared" si="1"/>
        <v/>
      </c>
      <c r="I251" s="190" t="str">
        <f t="shared" si="2"/>
        <v/>
      </c>
      <c r="J251" s="191"/>
      <c r="K251" s="191" t="str">
        <f t="shared" si="3"/>
        <v/>
      </c>
      <c r="L251" s="187"/>
      <c r="M251" s="192" t="str">
        <f t="shared" si="4"/>
        <v/>
      </c>
      <c r="N251" s="185" t="str">
        <f t="shared" si="5"/>
        <v/>
      </c>
      <c r="P251" s="73" t="str">
        <f>IF(Inventory!A251="","",Inventory!A251)</f>
        <v/>
      </c>
    </row>
    <row r="252" ht="15.75" customHeight="1">
      <c r="A252" s="186"/>
      <c r="B252" s="187"/>
      <c r="C252" s="187"/>
      <c r="D252" s="188" t="str">
        <f>IF(C252="","",IFERROR(VLOOKUP(C252,Inventory!$A:$B,2,FALSE),""))</f>
        <v/>
      </c>
      <c r="E252" s="188" t="str">
        <f>IF(C252="","",IFERROR(VLOOKUP(C252,Inventory!$A:$C,3,FALSE),""))</f>
        <v/>
      </c>
      <c r="F252" s="187"/>
      <c r="G252" s="180" t="str">
        <f>IF(C252="","",IFERROR(VLOOKUP(C252,Inventory!$A:$I,9,FALSE),0))</f>
        <v/>
      </c>
      <c r="H252" s="189" t="str">
        <f t="shared" si="1"/>
        <v/>
      </c>
      <c r="I252" s="190" t="str">
        <f t="shared" si="2"/>
        <v/>
      </c>
      <c r="J252" s="191"/>
      <c r="K252" s="191" t="str">
        <f t="shared" si="3"/>
        <v/>
      </c>
      <c r="L252" s="187"/>
      <c r="M252" s="192" t="str">
        <f t="shared" si="4"/>
        <v/>
      </c>
      <c r="N252" s="185" t="str">
        <f t="shared" si="5"/>
        <v/>
      </c>
      <c r="P252" s="73" t="str">
        <f>IF(Inventory!A252="","",Inventory!A252)</f>
        <v/>
      </c>
    </row>
    <row r="253" ht="15.75" customHeight="1">
      <c r="A253" s="186"/>
      <c r="B253" s="187"/>
      <c r="C253" s="187"/>
      <c r="D253" s="188" t="str">
        <f>IF(C253="","",IFERROR(VLOOKUP(C253,Inventory!$A:$B,2,FALSE),""))</f>
        <v/>
      </c>
      <c r="E253" s="188" t="str">
        <f>IF(C253="","",IFERROR(VLOOKUP(C253,Inventory!$A:$C,3,FALSE),""))</f>
        <v/>
      </c>
      <c r="F253" s="187"/>
      <c r="G253" s="180" t="str">
        <f>IF(C253="","",IFERROR(VLOOKUP(C253,Inventory!$A:$I,9,FALSE),0))</f>
        <v/>
      </c>
      <c r="H253" s="189" t="str">
        <f t="shared" si="1"/>
        <v/>
      </c>
      <c r="I253" s="190" t="str">
        <f t="shared" si="2"/>
        <v/>
      </c>
      <c r="J253" s="191"/>
      <c r="K253" s="191" t="str">
        <f t="shared" si="3"/>
        <v/>
      </c>
      <c r="L253" s="187"/>
      <c r="M253" s="192" t="str">
        <f t="shared" si="4"/>
        <v/>
      </c>
      <c r="N253" s="185" t="str">
        <f t="shared" si="5"/>
        <v/>
      </c>
      <c r="P253" s="73" t="str">
        <f>IF(Inventory!A253="","",Inventory!A253)</f>
        <v/>
      </c>
    </row>
    <row r="254" ht="15.75" customHeight="1">
      <c r="A254" s="186"/>
      <c r="B254" s="187"/>
      <c r="C254" s="187"/>
      <c r="D254" s="188" t="str">
        <f>IF(C254="","",IFERROR(VLOOKUP(C254,Inventory!$A:$B,2,FALSE),""))</f>
        <v/>
      </c>
      <c r="E254" s="188" t="str">
        <f>IF(C254="","",IFERROR(VLOOKUP(C254,Inventory!$A:$C,3,FALSE),""))</f>
        <v/>
      </c>
      <c r="F254" s="187"/>
      <c r="G254" s="180" t="str">
        <f>IF(C254="","",IFERROR(VLOOKUP(C254,Inventory!$A:$I,9,FALSE),0))</f>
        <v/>
      </c>
      <c r="H254" s="189" t="str">
        <f t="shared" si="1"/>
        <v/>
      </c>
      <c r="I254" s="190" t="str">
        <f t="shared" si="2"/>
        <v/>
      </c>
      <c r="J254" s="191"/>
      <c r="K254" s="191" t="str">
        <f t="shared" si="3"/>
        <v/>
      </c>
      <c r="L254" s="187"/>
      <c r="M254" s="192" t="str">
        <f t="shared" si="4"/>
        <v/>
      </c>
      <c r="N254" s="185" t="str">
        <f t="shared" si="5"/>
        <v/>
      </c>
      <c r="P254" s="73" t="str">
        <f>IF(Inventory!A254="","",Inventory!A254)</f>
        <v/>
      </c>
    </row>
    <row r="255" ht="15.75" customHeight="1">
      <c r="A255" s="186"/>
      <c r="B255" s="187"/>
      <c r="C255" s="187"/>
      <c r="D255" s="188" t="str">
        <f>IF(C255="","",IFERROR(VLOOKUP(C255,Inventory!$A:$B,2,FALSE),""))</f>
        <v/>
      </c>
      <c r="E255" s="188" t="str">
        <f>IF(C255="","",IFERROR(VLOOKUP(C255,Inventory!$A:$C,3,FALSE),""))</f>
        <v/>
      </c>
      <c r="F255" s="187"/>
      <c r="G255" s="180" t="str">
        <f>IF(C255="","",IFERROR(VLOOKUP(C255,Inventory!$A:$I,9,FALSE),0))</f>
        <v/>
      </c>
      <c r="H255" s="189" t="str">
        <f t="shared" si="1"/>
        <v/>
      </c>
      <c r="I255" s="190" t="str">
        <f t="shared" si="2"/>
        <v/>
      </c>
      <c r="J255" s="191"/>
      <c r="K255" s="191" t="str">
        <f t="shared" si="3"/>
        <v/>
      </c>
      <c r="L255" s="187"/>
      <c r="M255" s="192" t="str">
        <f t="shared" si="4"/>
        <v/>
      </c>
      <c r="N255" s="185" t="str">
        <f t="shared" si="5"/>
        <v/>
      </c>
    </row>
    <row r="256" ht="15.75" customHeight="1">
      <c r="A256" s="186"/>
      <c r="B256" s="187"/>
      <c r="C256" s="187"/>
      <c r="D256" s="188" t="str">
        <f>IF(C256="","",IFERROR(VLOOKUP(C256,Inventory!$A:$B,2,FALSE),""))</f>
        <v/>
      </c>
      <c r="E256" s="188" t="str">
        <f>IF(C256="","",IFERROR(VLOOKUP(C256,Inventory!$A:$C,3,FALSE),""))</f>
        <v/>
      </c>
      <c r="F256" s="187"/>
      <c r="G256" s="180" t="str">
        <f>IF(C256="","",IFERROR(VLOOKUP(C256,Inventory!$A:$I,9,FALSE),0))</f>
        <v/>
      </c>
      <c r="H256" s="189" t="str">
        <f t="shared" si="1"/>
        <v/>
      </c>
      <c r="I256" s="190" t="str">
        <f t="shared" si="2"/>
        <v/>
      </c>
      <c r="J256" s="191"/>
      <c r="K256" s="191" t="str">
        <f t="shared" si="3"/>
        <v/>
      </c>
      <c r="L256" s="187"/>
      <c r="M256" s="192" t="str">
        <f t="shared" si="4"/>
        <v/>
      </c>
      <c r="N256" s="185" t="str">
        <f t="shared" si="5"/>
        <v/>
      </c>
    </row>
    <row r="257" ht="15.75" customHeight="1">
      <c r="A257" s="186"/>
      <c r="B257" s="187"/>
      <c r="C257" s="187"/>
      <c r="D257" s="188" t="str">
        <f>IF(C257="","",IFERROR(VLOOKUP(C257,Inventory!$A:$B,2,FALSE),""))</f>
        <v/>
      </c>
      <c r="E257" s="188" t="str">
        <f>IF(C257="","",IFERROR(VLOOKUP(C257,Inventory!$A:$C,3,FALSE),""))</f>
        <v/>
      </c>
      <c r="F257" s="187"/>
      <c r="G257" s="180" t="str">
        <f>IF(C257="","",IFERROR(VLOOKUP(C257,Inventory!$A:$I,9,FALSE),0))</f>
        <v/>
      </c>
      <c r="H257" s="189" t="str">
        <f t="shared" si="1"/>
        <v/>
      </c>
      <c r="I257" s="190" t="str">
        <f t="shared" si="2"/>
        <v/>
      </c>
      <c r="J257" s="191"/>
      <c r="K257" s="191" t="str">
        <f t="shared" si="3"/>
        <v/>
      </c>
      <c r="L257" s="187"/>
      <c r="M257" s="192" t="str">
        <f t="shared" si="4"/>
        <v/>
      </c>
      <c r="N257" s="185" t="str">
        <f t="shared" si="5"/>
        <v/>
      </c>
    </row>
    <row r="258" ht="15.75" customHeight="1">
      <c r="A258" s="186"/>
      <c r="B258" s="187"/>
      <c r="C258" s="187"/>
      <c r="D258" s="188" t="str">
        <f>IF(C258="","",IFERROR(VLOOKUP(C258,Inventory!$A:$B,2,FALSE),""))</f>
        <v/>
      </c>
      <c r="E258" s="188" t="str">
        <f>IF(C258="","",IFERROR(VLOOKUP(C258,Inventory!$A:$C,3,FALSE),""))</f>
        <v/>
      </c>
      <c r="F258" s="187"/>
      <c r="G258" s="180" t="str">
        <f>IF(C258="","",IFERROR(VLOOKUP(C258,Inventory!$A:$I,9,FALSE),0))</f>
        <v/>
      </c>
      <c r="H258" s="189" t="str">
        <f t="shared" si="1"/>
        <v/>
      </c>
      <c r="I258" s="190" t="str">
        <f t="shared" si="2"/>
        <v/>
      </c>
      <c r="J258" s="191"/>
      <c r="K258" s="191" t="str">
        <f t="shared" si="3"/>
        <v/>
      </c>
      <c r="L258" s="187"/>
      <c r="M258" s="192" t="str">
        <f t="shared" si="4"/>
        <v/>
      </c>
      <c r="N258" s="185" t="str">
        <f t="shared" si="5"/>
        <v/>
      </c>
    </row>
    <row r="259" ht="15.75" customHeight="1">
      <c r="A259" s="186"/>
      <c r="B259" s="187"/>
      <c r="C259" s="187"/>
      <c r="D259" s="188" t="str">
        <f>IF(C259="","",IFERROR(VLOOKUP(C259,Inventory!$A:$B,2,FALSE),""))</f>
        <v/>
      </c>
      <c r="E259" s="188" t="str">
        <f>IF(C259="","",IFERROR(VLOOKUP(C259,Inventory!$A:$C,3,FALSE),""))</f>
        <v/>
      </c>
      <c r="F259" s="187"/>
      <c r="G259" s="180" t="str">
        <f>IF(C259="","",IFERROR(VLOOKUP(C259,Inventory!$A:$I,9,FALSE),0))</f>
        <v/>
      </c>
      <c r="H259" s="189" t="str">
        <f t="shared" si="1"/>
        <v/>
      </c>
      <c r="I259" s="190" t="str">
        <f t="shared" si="2"/>
        <v/>
      </c>
      <c r="J259" s="191"/>
      <c r="K259" s="191" t="str">
        <f t="shared" si="3"/>
        <v/>
      </c>
      <c r="L259" s="187"/>
      <c r="M259" s="192" t="str">
        <f t="shared" si="4"/>
        <v/>
      </c>
      <c r="N259" s="185" t="str">
        <f t="shared" si="5"/>
        <v/>
      </c>
    </row>
    <row r="260" ht="15.75" customHeight="1">
      <c r="A260" s="186"/>
      <c r="B260" s="187"/>
      <c r="C260" s="187"/>
      <c r="D260" s="188" t="str">
        <f>IF(C260="","",IFERROR(VLOOKUP(C260,Inventory!$A:$B,2,FALSE),""))</f>
        <v/>
      </c>
      <c r="E260" s="188" t="str">
        <f>IF(C260="","",IFERROR(VLOOKUP(C260,Inventory!$A:$C,3,FALSE),""))</f>
        <v/>
      </c>
      <c r="F260" s="187"/>
      <c r="G260" s="180" t="str">
        <f>IF(C260="","",IFERROR(VLOOKUP(C260,Inventory!$A:$I,9,FALSE),0))</f>
        <v/>
      </c>
      <c r="H260" s="189" t="str">
        <f t="shared" si="1"/>
        <v/>
      </c>
      <c r="I260" s="190" t="str">
        <f t="shared" si="2"/>
        <v/>
      </c>
      <c r="J260" s="191"/>
      <c r="K260" s="191" t="str">
        <f t="shared" si="3"/>
        <v/>
      </c>
      <c r="L260" s="187"/>
      <c r="M260" s="192" t="str">
        <f t="shared" si="4"/>
        <v/>
      </c>
      <c r="N260" s="185" t="str">
        <f t="shared" si="5"/>
        <v/>
      </c>
    </row>
    <row r="261" ht="15.75" customHeight="1">
      <c r="A261" s="186"/>
      <c r="B261" s="187"/>
      <c r="C261" s="187"/>
      <c r="D261" s="188" t="str">
        <f>IF(C261="","",IFERROR(VLOOKUP(C261,Inventory!$A:$B,2,FALSE),""))</f>
        <v/>
      </c>
      <c r="E261" s="188" t="str">
        <f>IF(C261="","",IFERROR(VLOOKUP(C261,Inventory!$A:$C,3,FALSE),""))</f>
        <v/>
      </c>
      <c r="F261" s="187"/>
      <c r="G261" s="180" t="str">
        <f>IF(C261="","",IFERROR(VLOOKUP(C261,Inventory!$A:$I,9,FALSE),0))</f>
        <v/>
      </c>
      <c r="H261" s="189" t="str">
        <f t="shared" si="1"/>
        <v/>
      </c>
      <c r="I261" s="190" t="str">
        <f t="shared" si="2"/>
        <v/>
      </c>
      <c r="J261" s="191"/>
      <c r="K261" s="191" t="str">
        <f t="shared" si="3"/>
        <v/>
      </c>
      <c r="L261" s="187"/>
      <c r="M261" s="192" t="str">
        <f t="shared" si="4"/>
        <v/>
      </c>
      <c r="N261" s="185" t="str">
        <f t="shared" si="5"/>
        <v/>
      </c>
    </row>
    <row r="262" ht="15.75" customHeight="1">
      <c r="A262" s="186"/>
      <c r="B262" s="187"/>
      <c r="C262" s="187"/>
      <c r="D262" s="188" t="str">
        <f>IF(C262="","",IFERROR(VLOOKUP(C262,Inventory!$A:$B,2,FALSE),""))</f>
        <v/>
      </c>
      <c r="E262" s="188" t="str">
        <f>IF(C262="","",IFERROR(VLOOKUP(C262,Inventory!$A:$C,3,FALSE),""))</f>
        <v/>
      </c>
      <c r="F262" s="187"/>
      <c r="G262" s="180" t="str">
        <f>IF(C262="","",IFERROR(VLOOKUP(C262,Inventory!$A:$I,9,FALSE),0))</f>
        <v/>
      </c>
      <c r="H262" s="189" t="str">
        <f t="shared" si="1"/>
        <v/>
      </c>
      <c r="I262" s="190" t="str">
        <f t="shared" si="2"/>
        <v/>
      </c>
      <c r="J262" s="191"/>
      <c r="K262" s="191" t="str">
        <f t="shared" si="3"/>
        <v/>
      </c>
      <c r="L262" s="187"/>
      <c r="M262" s="192" t="str">
        <f t="shared" si="4"/>
        <v/>
      </c>
      <c r="N262" s="185" t="str">
        <f t="shared" si="5"/>
        <v/>
      </c>
    </row>
    <row r="263" ht="15.75" customHeight="1">
      <c r="A263" s="186"/>
      <c r="B263" s="187"/>
      <c r="C263" s="187"/>
      <c r="D263" s="188" t="str">
        <f>IF(C263="","",IFERROR(VLOOKUP(C263,Inventory!$A:$B,2,FALSE),""))</f>
        <v/>
      </c>
      <c r="E263" s="188" t="str">
        <f>IF(C263="","",IFERROR(VLOOKUP(C263,Inventory!$A:$C,3,FALSE),""))</f>
        <v/>
      </c>
      <c r="F263" s="187"/>
      <c r="G263" s="180" t="str">
        <f>IF(C263="","",IFERROR(VLOOKUP(C263,Inventory!$A:$I,9,FALSE),0))</f>
        <v/>
      </c>
      <c r="H263" s="189" t="str">
        <f t="shared" si="1"/>
        <v/>
      </c>
      <c r="I263" s="190" t="str">
        <f t="shared" si="2"/>
        <v/>
      </c>
      <c r="J263" s="191"/>
      <c r="K263" s="191" t="str">
        <f t="shared" si="3"/>
        <v/>
      </c>
      <c r="L263" s="187"/>
      <c r="M263" s="192" t="str">
        <f t="shared" si="4"/>
        <v/>
      </c>
      <c r="N263" s="185" t="str">
        <f t="shared" si="5"/>
        <v/>
      </c>
    </row>
    <row r="264" ht="15.75" customHeight="1">
      <c r="A264" s="186"/>
      <c r="B264" s="187"/>
      <c r="C264" s="187"/>
      <c r="D264" s="188" t="str">
        <f>IF(C264="","",IFERROR(VLOOKUP(C264,Inventory!$A:$B,2,FALSE),""))</f>
        <v/>
      </c>
      <c r="E264" s="188" t="str">
        <f>IF(C264="","",IFERROR(VLOOKUP(C264,Inventory!$A:$C,3,FALSE),""))</f>
        <v/>
      </c>
      <c r="F264" s="187"/>
      <c r="G264" s="180" t="str">
        <f>IF(C264="","",IFERROR(VLOOKUP(C264,Inventory!$A:$I,9,FALSE),0))</f>
        <v/>
      </c>
      <c r="H264" s="189" t="str">
        <f t="shared" si="1"/>
        <v/>
      </c>
      <c r="I264" s="190" t="str">
        <f t="shared" si="2"/>
        <v/>
      </c>
      <c r="J264" s="191"/>
      <c r="K264" s="191" t="str">
        <f t="shared" si="3"/>
        <v/>
      </c>
      <c r="L264" s="187"/>
      <c r="M264" s="192" t="str">
        <f t="shared" si="4"/>
        <v/>
      </c>
      <c r="N264" s="185" t="str">
        <f t="shared" si="5"/>
        <v/>
      </c>
    </row>
    <row r="265" ht="15.75" customHeight="1">
      <c r="A265" s="186"/>
      <c r="B265" s="187"/>
      <c r="C265" s="187"/>
      <c r="D265" s="188" t="str">
        <f>IF(C265="","",IFERROR(VLOOKUP(C265,Inventory!$A:$B,2,FALSE),""))</f>
        <v/>
      </c>
      <c r="E265" s="188" t="str">
        <f>IF(C265="","",IFERROR(VLOOKUP(C265,Inventory!$A:$C,3,FALSE),""))</f>
        <v/>
      </c>
      <c r="F265" s="187"/>
      <c r="G265" s="180" t="str">
        <f>IF(C265="","",IFERROR(VLOOKUP(C265,Inventory!$A:$I,9,FALSE),0))</f>
        <v/>
      </c>
      <c r="H265" s="189" t="str">
        <f t="shared" si="1"/>
        <v/>
      </c>
      <c r="I265" s="190" t="str">
        <f t="shared" si="2"/>
        <v/>
      </c>
      <c r="J265" s="191"/>
      <c r="K265" s="191" t="str">
        <f t="shared" si="3"/>
        <v/>
      </c>
      <c r="L265" s="187"/>
      <c r="M265" s="192" t="str">
        <f t="shared" si="4"/>
        <v/>
      </c>
      <c r="N265" s="185" t="str">
        <f t="shared" si="5"/>
        <v/>
      </c>
    </row>
    <row r="266" ht="15.75" customHeight="1">
      <c r="A266" s="186"/>
      <c r="B266" s="187"/>
      <c r="C266" s="187"/>
      <c r="D266" s="188" t="str">
        <f>IF(C266="","",IFERROR(VLOOKUP(C266,Inventory!$A:$B,2,FALSE),""))</f>
        <v/>
      </c>
      <c r="E266" s="188" t="str">
        <f>IF(C266="","",IFERROR(VLOOKUP(C266,Inventory!$A:$C,3,FALSE),""))</f>
        <v/>
      </c>
      <c r="F266" s="187"/>
      <c r="G266" s="180" t="str">
        <f>IF(C266="","",IFERROR(VLOOKUP(C266,Inventory!$A:$I,9,FALSE),0))</f>
        <v/>
      </c>
      <c r="H266" s="189" t="str">
        <f t="shared" si="1"/>
        <v/>
      </c>
      <c r="I266" s="190" t="str">
        <f t="shared" si="2"/>
        <v/>
      </c>
      <c r="J266" s="191"/>
      <c r="K266" s="191" t="str">
        <f t="shared" si="3"/>
        <v/>
      </c>
      <c r="L266" s="187"/>
      <c r="M266" s="192" t="str">
        <f t="shared" si="4"/>
        <v/>
      </c>
      <c r="N266" s="185" t="str">
        <f t="shared" si="5"/>
        <v/>
      </c>
    </row>
    <row r="267" ht="15.75" customHeight="1">
      <c r="A267" s="186"/>
      <c r="B267" s="187"/>
      <c r="C267" s="187"/>
      <c r="D267" s="188" t="str">
        <f>IF(C267="","",IFERROR(VLOOKUP(C267,Inventory!$A:$B,2,FALSE),""))</f>
        <v/>
      </c>
      <c r="E267" s="188" t="str">
        <f>IF(C267="","",IFERROR(VLOOKUP(C267,Inventory!$A:$C,3,FALSE),""))</f>
        <v/>
      </c>
      <c r="F267" s="187"/>
      <c r="G267" s="180" t="str">
        <f>IF(C267="","",IFERROR(VLOOKUP(C267,Inventory!$A:$I,9,FALSE),0))</f>
        <v/>
      </c>
      <c r="H267" s="189" t="str">
        <f t="shared" si="1"/>
        <v/>
      </c>
      <c r="I267" s="190" t="str">
        <f t="shared" si="2"/>
        <v/>
      </c>
      <c r="J267" s="191"/>
      <c r="K267" s="191" t="str">
        <f t="shared" si="3"/>
        <v/>
      </c>
      <c r="L267" s="187"/>
      <c r="M267" s="192" t="str">
        <f t="shared" si="4"/>
        <v/>
      </c>
      <c r="N267" s="185" t="str">
        <f t="shared" si="5"/>
        <v/>
      </c>
    </row>
    <row r="268" ht="15.75" customHeight="1">
      <c r="A268" s="186"/>
      <c r="B268" s="187"/>
      <c r="C268" s="187"/>
      <c r="D268" s="188" t="str">
        <f>IF(C268="","",IFERROR(VLOOKUP(C268,Inventory!$A:$B,2,FALSE),""))</f>
        <v/>
      </c>
      <c r="E268" s="188" t="str">
        <f>IF(C268="","",IFERROR(VLOOKUP(C268,Inventory!$A:$C,3,FALSE),""))</f>
        <v/>
      </c>
      <c r="F268" s="187"/>
      <c r="G268" s="180" t="str">
        <f>IF(C268="","",IFERROR(VLOOKUP(C268,Inventory!$A:$I,9,FALSE),0))</f>
        <v/>
      </c>
      <c r="H268" s="189" t="str">
        <f t="shared" si="1"/>
        <v/>
      </c>
      <c r="I268" s="190" t="str">
        <f t="shared" si="2"/>
        <v/>
      </c>
      <c r="J268" s="191"/>
      <c r="K268" s="191" t="str">
        <f t="shared" si="3"/>
        <v/>
      </c>
      <c r="L268" s="187"/>
      <c r="M268" s="192" t="str">
        <f t="shared" si="4"/>
        <v/>
      </c>
      <c r="N268" s="185" t="str">
        <f t="shared" si="5"/>
        <v/>
      </c>
    </row>
    <row r="269" ht="15.75" customHeight="1">
      <c r="A269" s="186"/>
      <c r="B269" s="187"/>
      <c r="C269" s="187"/>
      <c r="D269" s="188" t="str">
        <f>IF(C269="","",IFERROR(VLOOKUP(C269,Inventory!$A:$B,2,FALSE),""))</f>
        <v/>
      </c>
      <c r="E269" s="188" t="str">
        <f>IF(C269="","",IFERROR(VLOOKUP(C269,Inventory!$A:$C,3,FALSE),""))</f>
        <v/>
      </c>
      <c r="F269" s="187"/>
      <c r="G269" s="180" t="str">
        <f>IF(C269="","",IFERROR(VLOOKUP(C269,Inventory!$A:$I,9,FALSE),0))</f>
        <v/>
      </c>
      <c r="H269" s="189" t="str">
        <f t="shared" si="1"/>
        <v/>
      </c>
      <c r="I269" s="190" t="str">
        <f t="shared" si="2"/>
        <v/>
      </c>
      <c r="J269" s="191"/>
      <c r="K269" s="191" t="str">
        <f t="shared" si="3"/>
        <v/>
      </c>
      <c r="L269" s="187"/>
      <c r="M269" s="192" t="str">
        <f t="shared" si="4"/>
        <v/>
      </c>
      <c r="N269" s="185" t="str">
        <f t="shared" si="5"/>
        <v/>
      </c>
    </row>
    <row r="270" ht="15.75" customHeight="1">
      <c r="A270" s="186"/>
      <c r="B270" s="187"/>
      <c r="C270" s="187"/>
      <c r="D270" s="188" t="str">
        <f>IF(C270="","",IFERROR(VLOOKUP(C270,Inventory!$A:$B,2,FALSE),""))</f>
        <v/>
      </c>
      <c r="E270" s="188" t="str">
        <f>IF(C270="","",IFERROR(VLOOKUP(C270,Inventory!$A:$C,3,FALSE),""))</f>
        <v/>
      </c>
      <c r="F270" s="187"/>
      <c r="G270" s="180" t="str">
        <f>IF(C270="","",IFERROR(VLOOKUP(C270,Inventory!$A:$I,9,FALSE),0))</f>
        <v/>
      </c>
      <c r="H270" s="189" t="str">
        <f t="shared" si="1"/>
        <v/>
      </c>
      <c r="I270" s="190" t="str">
        <f t="shared" si="2"/>
        <v/>
      </c>
      <c r="J270" s="191"/>
      <c r="K270" s="191" t="str">
        <f t="shared" si="3"/>
        <v/>
      </c>
      <c r="L270" s="187"/>
      <c r="M270" s="192" t="str">
        <f t="shared" si="4"/>
        <v/>
      </c>
      <c r="N270" s="185" t="str">
        <f t="shared" si="5"/>
        <v/>
      </c>
    </row>
    <row r="271" ht="15.75" customHeight="1">
      <c r="A271" s="186"/>
      <c r="B271" s="187"/>
      <c r="C271" s="187"/>
      <c r="D271" s="188" t="str">
        <f>IF(C271="","",IFERROR(VLOOKUP(C271,Inventory!$A:$B,2,FALSE),""))</f>
        <v/>
      </c>
      <c r="E271" s="188" t="str">
        <f>IF(C271="","",IFERROR(VLOOKUP(C271,Inventory!$A:$C,3,FALSE),""))</f>
        <v/>
      </c>
      <c r="F271" s="187"/>
      <c r="G271" s="180" t="str">
        <f>IF(C271="","",IFERROR(VLOOKUP(C271,Inventory!$A:$I,9,FALSE),0))</f>
        <v/>
      </c>
      <c r="H271" s="189" t="str">
        <f t="shared" si="1"/>
        <v/>
      </c>
      <c r="I271" s="190" t="str">
        <f t="shared" si="2"/>
        <v/>
      </c>
      <c r="J271" s="191"/>
      <c r="K271" s="191" t="str">
        <f t="shared" si="3"/>
        <v/>
      </c>
      <c r="L271" s="187"/>
      <c r="M271" s="192" t="str">
        <f t="shared" si="4"/>
        <v/>
      </c>
      <c r="N271" s="185" t="str">
        <f t="shared" si="5"/>
        <v/>
      </c>
    </row>
    <row r="272" ht="15.75" customHeight="1">
      <c r="A272" s="186"/>
      <c r="B272" s="187"/>
      <c r="C272" s="187"/>
      <c r="D272" s="188" t="str">
        <f>IF(C272="","",IFERROR(VLOOKUP(C272,Inventory!$A:$B,2,FALSE),""))</f>
        <v/>
      </c>
      <c r="E272" s="188" t="str">
        <f>IF(C272="","",IFERROR(VLOOKUP(C272,Inventory!$A:$C,3,FALSE),""))</f>
        <v/>
      </c>
      <c r="F272" s="187"/>
      <c r="G272" s="180" t="str">
        <f>IF(C272="","",IFERROR(VLOOKUP(C272,Inventory!$A:$I,9,FALSE),0))</f>
        <v/>
      </c>
      <c r="H272" s="189" t="str">
        <f t="shared" si="1"/>
        <v/>
      </c>
      <c r="I272" s="190" t="str">
        <f t="shared" si="2"/>
        <v/>
      </c>
      <c r="J272" s="191"/>
      <c r="K272" s="191" t="str">
        <f t="shared" si="3"/>
        <v/>
      </c>
      <c r="L272" s="187"/>
      <c r="M272" s="192" t="str">
        <f t="shared" si="4"/>
        <v/>
      </c>
      <c r="N272" s="185" t="str">
        <f t="shared" si="5"/>
        <v/>
      </c>
    </row>
    <row r="273" ht="15.75" customHeight="1">
      <c r="A273" s="186"/>
      <c r="B273" s="187"/>
      <c r="C273" s="187"/>
      <c r="D273" s="188" t="str">
        <f>IF(C273="","",IFERROR(VLOOKUP(C273,Inventory!$A:$B,2,FALSE),""))</f>
        <v/>
      </c>
      <c r="E273" s="188" t="str">
        <f>IF(C273="","",IFERROR(VLOOKUP(C273,Inventory!$A:$C,3,FALSE),""))</f>
        <v/>
      </c>
      <c r="F273" s="187"/>
      <c r="G273" s="180" t="str">
        <f>IF(C273="","",IFERROR(VLOOKUP(C273,Inventory!$A:$I,9,FALSE),0))</f>
        <v/>
      </c>
      <c r="H273" s="189" t="str">
        <f t="shared" si="1"/>
        <v/>
      </c>
      <c r="I273" s="190" t="str">
        <f t="shared" si="2"/>
        <v/>
      </c>
      <c r="J273" s="191"/>
      <c r="K273" s="191" t="str">
        <f t="shared" si="3"/>
        <v/>
      </c>
      <c r="L273" s="187"/>
      <c r="M273" s="192" t="str">
        <f t="shared" si="4"/>
        <v/>
      </c>
      <c r="N273" s="185" t="str">
        <f t="shared" si="5"/>
        <v/>
      </c>
    </row>
    <row r="274" ht="15.75" customHeight="1">
      <c r="A274" s="186"/>
      <c r="B274" s="187"/>
      <c r="C274" s="187"/>
      <c r="D274" s="188" t="str">
        <f>IF(C274="","",IFERROR(VLOOKUP(C274,Inventory!$A:$B,2,FALSE),""))</f>
        <v/>
      </c>
      <c r="E274" s="188" t="str">
        <f>IF(C274="","",IFERROR(VLOOKUP(C274,Inventory!$A:$C,3,FALSE),""))</f>
        <v/>
      </c>
      <c r="F274" s="187"/>
      <c r="G274" s="180" t="str">
        <f>IF(C274="","",IFERROR(VLOOKUP(C274,Inventory!$A:$I,9,FALSE),0))</f>
        <v/>
      </c>
      <c r="H274" s="189" t="str">
        <f t="shared" si="1"/>
        <v/>
      </c>
      <c r="I274" s="190" t="str">
        <f t="shared" si="2"/>
        <v/>
      </c>
      <c r="J274" s="191"/>
      <c r="K274" s="191" t="str">
        <f t="shared" si="3"/>
        <v/>
      </c>
      <c r="L274" s="187"/>
      <c r="M274" s="192" t="str">
        <f t="shared" si="4"/>
        <v/>
      </c>
      <c r="N274" s="185" t="str">
        <f t="shared" si="5"/>
        <v/>
      </c>
    </row>
    <row r="275" ht="15.75" customHeight="1">
      <c r="A275" s="186"/>
      <c r="B275" s="187"/>
      <c r="C275" s="187"/>
      <c r="D275" s="188" t="str">
        <f>IF(C275="","",IFERROR(VLOOKUP(C275,Inventory!$A:$B,2,FALSE),""))</f>
        <v/>
      </c>
      <c r="E275" s="188" t="str">
        <f>IF(C275="","",IFERROR(VLOOKUP(C275,Inventory!$A:$C,3,FALSE),""))</f>
        <v/>
      </c>
      <c r="F275" s="187"/>
      <c r="G275" s="180" t="str">
        <f>IF(C275="","",IFERROR(VLOOKUP(C275,Inventory!$A:$I,9,FALSE),0))</f>
        <v/>
      </c>
      <c r="H275" s="189" t="str">
        <f t="shared" si="1"/>
        <v/>
      </c>
      <c r="I275" s="190" t="str">
        <f t="shared" si="2"/>
        <v/>
      </c>
      <c r="J275" s="191"/>
      <c r="K275" s="191" t="str">
        <f t="shared" si="3"/>
        <v/>
      </c>
      <c r="L275" s="187"/>
      <c r="M275" s="192" t="str">
        <f t="shared" si="4"/>
        <v/>
      </c>
      <c r="N275" s="185" t="str">
        <f t="shared" si="5"/>
        <v/>
      </c>
    </row>
    <row r="276" ht="15.75" customHeight="1">
      <c r="A276" s="186"/>
      <c r="B276" s="187"/>
      <c r="C276" s="187"/>
      <c r="D276" s="188" t="str">
        <f>IF(C276="","",IFERROR(VLOOKUP(C276,Inventory!$A:$B,2,FALSE),""))</f>
        <v/>
      </c>
      <c r="E276" s="188" t="str">
        <f>IF(C276="","",IFERROR(VLOOKUP(C276,Inventory!$A:$C,3,FALSE),""))</f>
        <v/>
      </c>
      <c r="F276" s="187"/>
      <c r="G276" s="180" t="str">
        <f>IF(C276="","",IFERROR(VLOOKUP(C276,Inventory!$A:$I,9,FALSE),0))</f>
        <v/>
      </c>
      <c r="H276" s="189" t="str">
        <f t="shared" si="1"/>
        <v/>
      </c>
      <c r="I276" s="190" t="str">
        <f t="shared" si="2"/>
        <v/>
      </c>
      <c r="J276" s="191"/>
      <c r="K276" s="191" t="str">
        <f t="shared" si="3"/>
        <v/>
      </c>
      <c r="L276" s="187"/>
      <c r="M276" s="192" t="str">
        <f t="shared" si="4"/>
        <v/>
      </c>
      <c r="N276" s="185" t="str">
        <f t="shared" si="5"/>
        <v/>
      </c>
    </row>
    <row r="277" ht="15.75" customHeight="1">
      <c r="A277" s="186"/>
      <c r="B277" s="187"/>
      <c r="C277" s="187"/>
      <c r="D277" s="188" t="str">
        <f>IF(C277="","",IFERROR(VLOOKUP(C277,Inventory!$A:$B,2,FALSE),""))</f>
        <v/>
      </c>
      <c r="E277" s="188" t="str">
        <f>IF(C277="","",IFERROR(VLOOKUP(C277,Inventory!$A:$C,3,FALSE),""))</f>
        <v/>
      </c>
      <c r="F277" s="187"/>
      <c r="G277" s="180" t="str">
        <f>IF(C277="","",IFERROR(VLOOKUP(C277,Inventory!$A:$I,9,FALSE),0))</f>
        <v/>
      </c>
      <c r="H277" s="189" t="str">
        <f t="shared" si="1"/>
        <v/>
      </c>
      <c r="I277" s="190" t="str">
        <f t="shared" si="2"/>
        <v/>
      </c>
      <c r="J277" s="191"/>
      <c r="K277" s="191" t="str">
        <f t="shared" si="3"/>
        <v/>
      </c>
      <c r="L277" s="187"/>
      <c r="M277" s="192" t="str">
        <f t="shared" si="4"/>
        <v/>
      </c>
      <c r="N277" s="185" t="str">
        <f t="shared" si="5"/>
        <v/>
      </c>
    </row>
    <row r="278" ht="15.75" customHeight="1">
      <c r="A278" s="186"/>
      <c r="B278" s="187"/>
      <c r="C278" s="187"/>
      <c r="D278" s="188" t="str">
        <f>IF(C278="","",IFERROR(VLOOKUP(C278,Inventory!$A:$B,2,FALSE),""))</f>
        <v/>
      </c>
      <c r="E278" s="188" t="str">
        <f>IF(C278="","",IFERROR(VLOOKUP(C278,Inventory!$A:$C,3,FALSE),""))</f>
        <v/>
      </c>
      <c r="F278" s="187"/>
      <c r="G278" s="180" t="str">
        <f>IF(C278="","",IFERROR(VLOOKUP(C278,Inventory!$A:$I,9,FALSE),0))</f>
        <v/>
      </c>
      <c r="H278" s="189" t="str">
        <f t="shared" si="1"/>
        <v/>
      </c>
      <c r="I278" s="190" t="str">
        <f t="shared" si="2"/>
        <v/>
      </c>
      <c r="J278" s="191"/>
      <c r="K278" s="191" t="str">
        <f t="shared" si="3"/>
        <v/>
      </c>
      <c r="L278" s="187"/>
      <c r="M278" s="192" t="str">
        <f t="shared" si="4"/>
        <v/>
      </c>
      <c r="N278" s="185" t="str">
        <f t="shared" si="5"/>
        <v/>
      </c>
    </row>
    <row r="279" ht="15.75" customHeight="1">
      <c r="A279" s="186"/>
      <c r="B279" s="187"/>
      <c r="C279" s="187"/>
      <c r="D279" s="188" t="str">
        <f>IF(C279="","",IFERROR(VLOOKUP(C279,Inventory!$A:$B,2,FALSE),""))</f>
        <v/>
      </c>
      <c r="E279" s="188" t="str">
        <f>IF(C279="","",IFERROR(VLOOKUP(C279,Inventory!$A:$C,3,FALSE),""))</f>
        <v/>
      </c>
      <c r="F279" s="187"/>
      <c r="G279" s="180" t="str">
        <f>IF(C279="","",IFERROR(VLOOKUP(C279,Inventory!$A:$I,9,FALSE),0))</f>
        <v/>
      </c>
      <c r="H279" s="189" t="str">
        <f t="shared" si="1"/>
        <v/>
      </c>
      <c r="I279" s="190" t="str">
        <f t="shared" si="2"/>
        <v/>
      </c>
      <c r="J279" s="191"/>
      <c r="K279" s="191" t="str">
        <f t="shared" si="3"/>
        <v/>
      </c>
      <c r="L279" s="187"/>
      <c r="M279" s="192" t="str">
        <f t="shared" si="4"/>
        <v/>
      </c>
      <c r="N279" s="185" t="str">
        <f t="shared" si="5"/>
        <v/>
      </c>
    </row>
    <row r="280" ht="15.75" customHeight="1">
      <c r="A280" s="186"/>
      <c r="B280" s="187"/>
      <c r="C280" s="187"/>
      <c r="D280" s="188" t="str">
        <f>IF(C280="","",IFERROR(VLOOKUP(C280,Inventory!$A:$B,2,FALSE),""))</f>
        <v/>
      </c>
      <c r="E280" s="188" t="str">
        <f>IF(C280="","",IFERROR(VLOOKUP(C280,Inventory!$A:$C,3,FALSE),""))</f>
        <v/>
      </c>
      <c r="F280" s="187"/>
      <c r="G280" s="180" t="str">
        <f>IF(C280="","",IFERROR(VLOOKUP(C280,Inventory!$A:$I,9,FALSE),0))</f>
        <v/>
      </c>
      <c r="H280" s="189" t="str">
        <f t="shared" si="1"/>
        <v/>
      </c>
      <c r="I280" s="190" t="str">
        <f t="shared" si="2"/>
        <v/>
      </c>
      <c r="J280" s="191"/>
      <c r="K280" s="191" t="str">
        <f t="shared" si="3"/>
        <v/>
      </c>
      <c r="L280" s="187"/>
      <c r="M280" s="192" t="str">
        <f t="shared" si="4"/>
        <v/>
      </c>
      <c r="N280" s="185" t="str">
        <f t="shared" si="5"/>
        <v/>
      </c>
    </row>
    <row r="281" ht="15.75" customHeight="1">
      <c r="A281" s="186"/>
      <c r="B281" s="187"/>
      <c r="C281" s="187"/>
      <c r="D281" s="188" t="str">
        <f>IF(C281="","",IFERROR(VLOOKUP(C281,Inventory!$A:$B,2,FALSE),""))</f>
        <v/>
      </c>
      <c r="E281" s="188" t="str">
        <f>IF(C281="","",IFERROR(VLOOKUP(C281,Inventory!$A:$C,3,FALSE),""))</f>
        <v/>
      </c>
      <c r="F281" s="187"/>
      <c r="G281" s="180" t="str">
        <f>IF(C281="","",IFERROR(VLOOKUP(C281,Inventory!$A:$I,9,FALSE),0))</f>
        <v/>
      </c>
      <c r="H281" s="189" t="str">
        <f t="shared" si="1"/>
        <v/>
      </c>
      <c r="I281" s="190" t="str">
        <f t="shared" si="2"/>
        <v/>
      </c>
      <c r="J281" s="191"/>
      <c r="K281" s="191" t="str">
        <f t="shared" si="3"/>
        <v/>
      </c>
      <c r="L281" s="187"/>
      <c r="M281" s="192" t="str">
        <f t="shared" si="4"/>
        <v/>
      </c>
      <c r="N281" s="185" t="str">
        <f t="shared" si="5"/>
        <v/>
      </c>
    </row>
    <row r="282" ht="15.75" customHeight="1">
      <c r="A282" s="186"/>
      <c r="B282" s="187"/>
      <c r="C282" s="187"/>
      <c r="D282" s="188" t="str">
        <f>IF(C282="","",IFERROR(VLOOKUP(C282,Inventory!$A:$B,2,FALSE),""))</f>
        <v/>
      </c>
      <c r="E282" s="188" t="str">
        <f>IF(C282="","",IFERROR(VLOOKUP(C282,Inventory!$A:$C,3,FALSE),""))</f>
        <v/>
      </c>
      <c r="F282" s="187"/>
      <c r="G282" s="180" t="str">
        <f>IF(C282="","",IFERROR(VLOOKUP(C282,Inventory!$A:$I,9,FALSE),0))</f>
        <v/>
      </c>
      <c r="H282" s="189" t="str">
        <f t="shared" si="1"/>
        <v/>
      </c>
      <c r="I282" s="190" t="str">
        <f t="shared" si="2"/>
        <v/>
      </c>
      <c r="J282" s="191"/>
      <c r="K282" s="191" t="str">
        <f t="shared" si="3"/>
        <v/>
      </c>
      <c r="L282" s="187"/>
      <c r="M282" s="192" t="str">
        <f t="shared" si="4"/>
        <v/>
      </c>
      <c r="N282" s="185" t="str">
        <f t="shared" si="5"/>
        <v/>
      </c>
    </row>
    <row r="283" ht="15.75" customHeight="1">
      <c r="A283" s="186"/>
      <c r="B283" s="187"/>
      <c r="C283" s="187"/>
      <c r="D283" s="188" t="str">
        <f>IF(C283="","",IFERROR(VLOOKUP(C283,Inventory!$A:$B,2,FALSE),""))</f>
        <v/>
      </c>
      <c r="E283" s="188" t="str">
        <f>IF(C283="","",IFERROR(VLOOKUP(C283,Inventory!$A:$C,3,FALSE),""))</f>
        <v/>
      </c>
      <c r="F283" s="187"/>
      <c r="G283" s="180" t="str">
        <f>IF(C283="","",IFERROR(VLOOKUP(C283,Inventory!$A:$I,9,FALSE),0))</f>
        <v/>
      </c>
      <c r="H283" s="189" t="str">
        <f t="shared" si="1"/>
        <v/>
      </c>
      <c r="I283" s="190" t="str">
        <f t="shared" si="2"/>
        <v/>
      </c>
      <c r="J283" s="191"/>
      <c r="K283" s="191" t="str">
        <f t="shared" si="3"/>
        <v/>
      </c>
      <c r="L283" s="187"/>
      <c r="M283" s="192" t="str">
        <f t="shared" si="4"/>
        <v/>
      </c>
      <c r="N283" s="185" t="str">
        <f t="shared" si="5"/>
        <v/>
      </c>
    </row>
    <row r="284" ht="15.75" customHeight="1">
      <c r="A284" s="186"/>
      <c r="B284" s="187"/>
      <c r="C284" s="187"/>
      <c r="D284" s="188" t="str">
        <f>IF(C284="","",IFERROR(VLOOKUP(C284,Inventory!$A:$B,2,FALSE),""))</f>
        <v/>
      </c>
      <c r="E284" s="188" t="str">
        <f>IF(C284="","",IFERROR(VLOOKUP(C284,Inventory!$A:$C,3,FALSE),""))</f>
        <v/>
      </c>
      <c r="F284" s="187"/>
      <c r="G284" s="180" t="str">
        <f>IF(C284="","",IFERROR(VLOOKUP(C284,Inventory!$A:$I,9,FALSE),0))</f>
        <v/>
      </c>
      <c r="H284" s="189" t="str">
        <f t="shared" si="1"/>
        <v/>
      </c>
      <c r="I284" s="190" t="str">
        <f t="shared" si="2"/>
        <v/>
      </c>
      <c r="J284" s="191"/>
      <c r="K284" s="191" t="str">
        <f t="shared" si="3"/>
        <v/>
      </c>
      <c r="L284" s="187"/>
      <c r="M284" s="192" t="str">
        <f t="shared" si="4"/>
        <v/>
      </c>
      <c r="N284" s="185" t="str">
        <f t="shared" si="5"/>
        <v/>
      </c>
    </row>
    <row r="285" ht="15.75" customHeight="1">
      <c r="A285" s="186"/>
      <c r="B285" s="187"/>
      <c r="C285" s="187"/>
      <c r="D285" s="188" t="str">
        <f>IF(C285="","",IFERROR(VLOOKUP(C285,Inventory!$A:$B,2,FALSE),""))</f>
        <v/>
      </c>
      <c r="E285" s="188" t="str">
        <f>IF(C285="","",IFERROR(VLOOKUP(C285,Inventory!$A:$C,3,FALSE),""))</f>
        <v/>
      </c>
      <c r="F285" s="187"/>
      <c r="G285" s="180" t="str">
        <f>IF(C285="","",IFERROR(VLOOKUP(C285,Inventory!$A:$I,9,FALSE),0))</f>
        <v/>
      </c>
      <c r="H285" s="189" t="str">
        <f t="shared" si="1"/>
        <v/>
      </c>
      <c r="I285" s="190" t="str">
        <f t="shared" si="2"/>
        <v/>
      </c>
      <c r="J285" s="191"/>
      <c r="K285" s="191" t="str">
        <f t="shared" si="3"/>
        <v/>
      </c>
      <c r="L285" s="187"/>
      <c r="M285" s="192" t="str">
        <f t="shared" si="4"/>
        <v/>
      </c>
      <c r="N285" s="185" t="str">
        <f t="shared" si="5"/>
        <v/>
      </c>
    </row>
    <row r="286" ht="15.75" customHeight="1">
      <c r="A286" s="186"/>
      <c r="B286" s="187"/>
      <c r="C286" s="187"/>
      <c r="D286" s="188" t="str">
        <f>IF(C286="","",IFERROR(VLOOKUP(C286,Inventory!$A:$B,2,FALSE),""))</f>
        <v/>
      </c>
      <c r="E286" s="188" t="str">
        <f>IF(C286="","",IFERROR(VLOOKUP(C286,Inventory!$A:$C,3,FALSE),""))</f>
        <v/>
      </c>
      <c r="F286" s="187"/>
      <c r="G286" s="180" t="str">
        <f>IF(C286="","",IFERROR(VLOOKUP(C286,Inventory!$A:$I,9,FALSE),0))</f>
        <v/>
      </c>
      <c r="H286" s="189" t="str">
        <f t="shared" si="1"/>
        <v/>
      </c>
      <c r="I286" s="190" t="str">
        <f t="shared" si="2"/>
        <v/>
      </c>
      <c r="J286" s="191"/>
      <c r="K286" s="191" t="str">
        <f t="shared" si="3"/>
        <v/>
      </c>
      <c r="L286" s="187"/>
      <c r="M286" s="192" t="str">
        <f t="shared" si="4"/>
        <v/>
      </c>
      <c r="N286" s="185" t="str">
        <f t="shared" si="5"/>
        <v/>
      </c>
    </row>
    <row r="287" ht="15.75" customHeight="1">
      <c r="A287" s="186"/>
      <c r="B287" s="187"/>
      <c r="C287" s="187"/>
      <c r="D287" s="188" t="str">
        <f>IF(C287="","",IFERROR(VLOOKUP(C287,Inventory!$A:$B,2,FALSE),""))</f>
        <v/>
      </c>
      <c r="E287" s="188" t="str">
        <f>IF(C287="","",IFERROR(VLOOKUP(C287,Inventory!$A:$C,3,FALSE),""))</f>
        <v/>
      </c>
      <c r="F287" s="187"/>
      <c r="G287" s="180" t="str">
        <f>IF(C287="","",IFERROR(VLOOKUP(C287,Inventory!$A:$I,9,FALSE),0))</f>
        <v/>
      </c>
      <c r="H287" s="189" t="str">
        <f t="shared" si="1"/>
        <v/>
      </c>
      <c r="I287" s="190" t="str">
        <f t="shared" si="2"/>
        <v/>
      </c>
      <c r="J287" s="191"/>
      <c r="K287" s="191" t="str">
        <f t="shared" si="3"/>
        <v/>
      </c>
      <c r="L287" s="187"/>
      <c r="M287" s="192" t="str">
        <f t="shared" si="4"/>
        <v/>
      </c>
      <c r="N287" s="185" t="str">
        <f t="shared" si="5"/>
        <v/>
      </c>
    </row>
    <row r="288" ht="15.75" customHeight="1">
      <c r="A288" s="186"/>
      <c r="B288" s="187"/>
      <c r="C288" s="187"/>
      <c r="D288" s="188" t="str">
        <f>IF(C288="","",IFERROR(VLOOKUP(C288,Inventory!$A:$B,2,FALSE),""))</f>
        <v/>
      </c>
      <c r="E288" s="188" t="str">
        <f>IF(C288="","",IFERROR(VLOOKUP(C288,Inventory!$A:$C,3,FALSE),""))</f>
        <v/>
      </c>
      <c r="F288" s="187"/>
      <c r="G288" s="180" t="str">
        <f>IF(C288="","",IFERROR(VLOOKUP(C288,Inventory!$A:$I,9,FALSE),0))</f>
        <v/>
      </c>
      <c r="H288" s="189" t="str">
        <f t="shared" si="1"/>
        <v/>
      </c>
      <c r="I288" s="190" t="str">
        <f t="shared" si="2"/>
        <v/>
      </c>
      <c r="J288" s="191"/>
      <c r="K288" s="191" t="str">
        <f t="shared" si="3"/>
        <v/>
      </c>
      <c r="L288" s="187"/>
      <c r="M288" s="192" t="str">
        <f t="shared" si="4"/>
        <v/>
      </c>
      <c r="N288" s="185" t="str">
        <f t="shared" si="5"/>
        <v/>
      </c>
    </row>
    <row r="289" ht="15.75" customHeight="1">
      <c r="A289" s="186"/>
      <c r="B289" s="187"/>
      <c r="C289" s="187"/>
      <c r="D289" s="188" t="str">
        <f>IF(C289="","",IFERROR(VLOOKUP(C289,Inventory!$A:$B,2,FALSE),""))</f>
        <v/>
      </c>
      <c r="E289" s="188" t="str">
        <f>IF(C289="","",IFERROR(VLOOKUP(C289,Inventory!$A:$C,3,FALSE),""))</f>
        <v/>
      </c>
      <c r="F289" s="187"/>
      <c r="G289" s="180" t="str">
        <f>IF(C289="","",IFERROR(VLOOKUP(C289,Inventory!$A:$I,9,FALSE),0))</f>
        <v/>
      </c>
      <c r="H289" s="189" t="str">
        <f t="shared" si="1"/>
        <v/>
      </c>
      <c r="I289" s="190" t="str">
        <f t="shared" si="2"/>
        <v/>
      </c>
      <c r="J289" s="191"/>
      <c r="K289" s="191" t="str">
        <f t="shared" si="3"/>
        <v/>
      </c>
      <c r="L289" s="187"/>
      <c r="M289" s="192" t="str">
        <f t="shared" si="4"/>
        <v/>
      </c>
      <c r="N289" s="185" t="str">
        <f t="shared" si="5"/>
        <v/>
      </c>
    </row>
    <row r="290" ht="15.75" customHeight="1">
      <c r="A290" s="186"/>
      <c r="B290" s="187"/>
      <c r="C290" s="187"/>
      <c r="D290" s="188" t="str">
        <f>IF(C290="","",IFERROR(VLOOKUP(C290,Inventory!$A:$B,2,FALSE),""))</f>
        <v/>
      </c>
      <c r="E290" s="188" t="str">
        <f>IF(C290="","",IFERROR(VLOOKUP(C290,Inventory!$A:$C,3,FALSE),""))</f>
        <v/>
      </c>
      <c r="F290" s="187"/>
      <c r="G290" s="180" t="str">
        <f>IF(C290="","",IFERROR(VLOOKUP(C290,Inventory!$A:$I,9,FALSE),0))</f>
        <v/>
      </c>
      <c r="H290" s="189" t="str">
        <f t="shared" si="1"/>
        <v/>
      </c>
      <c r="I290" s="190" t="str">
        <f t="shared" si="2"/>
        <v/>
      </c>
      <c r="J290" s="191"/>
      <c r="K290" s="191" t="str">
        <f t="shared" si="3"/>
        <v/>
      </c>
      <c r="L290" s="187"/>
      <c r="M290" s="192" t="str">
        <f t="shared" si="4"/>
        <v/>
      </c>
      <c r="N290" s="185" t="str">
        <f t="shared" si="5"/>
        <v/>
      </c>
    </row>
    <row r="291" ht="15.75" customHeight="1">
      <c r="A291" s="186"/>
      <c r="B291" s="187"/>
      <c r="C291" s="187"/>
      <c r="D291" s="188" t="str">
        <f>IF(C291="","",IFERROR(VLOOKUP(C291,Inventory!$A:$B,2,FALSE),""))</f>
        <v/>
      </c>
      <c r="E291" s="188" t="str">
        <f>IF(C291="","",IFERROR(VLOOKUP(C291,Inventory!$A:$C,3,FALSE),""))</f>
        <v/>
      </c>
      <c r="F291" s="187"/>
      <c r="G291" s="180" t="str">
        <f>IF(C291="","",IFERROR(VLOOKUP(C291,Inventory!$A:$I,9,FALSE),0))</f>
        <v/>
      </c>
      <c r="H291" s="189" t="str">
        <f t="shared" si="1"/>
        <v/>
      </c>
      <c r="I291" s="190" t="str">
        <f t="shared" si="2"/>
        <v/>
      </c>
      <c r="J291" s="191"/>
      <c r="K291" s="191" t="str">
        <f t="shared" si="3"/>
        <v/>
      </c>
      <c r="L291" s="187"/>
      <c r="M291" s="192" t="str">
        <f t="shared" si="4"/>
        <v/>
      </c>
      <c r="N291" s="185" t="str">
        <f t="shared" si="5"/>
        <v/>
      </c>
    </row>
    <row r="292" ht="15.75" customHeight="1">
      <c r="A292" s="186"/>
      <c r="B292" s="187"/>
      <c r="C292" s="187"/>
      <c r="D292" s="188" t="str">
        <f>IF(C292="","",IFERROR(VLOOKUP(C292,Inventory!$A:$B,2,FALSE),""))</f>
        <v/>
      </c>
      <c r="E292" s="188" t="str">
        <f>IF(C292="","",IFERROR(VLOOKUP(C292,Inventory!$A:$C,3,FALSE),""))</f>
        <v/>
      </c>
      <c r="F292" s="187"/>
      <c r="G292" s="180" t="str">
        <f>IF(C292="","",IFERROR(VLOOKUP(C292,Inventory!$A:$I,9,FALSE),0))</f>
        <v/>
      </c>
      <c r="H292" s="189" t="str">
        <f t="shared" si="1"/>
        <v/>
      </c>
      <c r="I292" s="190" t="str">
        <f t="shared" si="2"/>
        <v/>
      </c>
      <c r="J292" s="191"/>
      <c r="K292" s="191" t="str">
        <f t="shared" si="3"/>
        <v/>
      </c>
      <c r="L292" s="187"/>
      <c r="M292" s="192" t="str">
        <f t="shared" si="4"/>
        <v/>
      </c>
      <c r="N292" s="185" t="str">
        <f t="shared" si="5"/>
        <v/>
      </c>
    </row>
    <row r="293" ht="15.75" customHeight="1">
      <c r="A293" s="186"/>
      <c r="B293" s="187"/>
      <c r="C293" s="187"/>
      <c r="D293" s="188" t="str">
        <f>IF(C293="","",IFERROR(VLOOKUP(C293,Inventory!$A:$B,2,FALSE),""))</f>
        <v/>
      </c>
      <c r="E293" s="188" t="str">
        <f>IF(C293="","",IFERROR(VLOOKUP(C293,Inventory!$A:$C,3,FALSE),""))</f>
        <v/>
      </c>
      <c r="F293" s="187"/>
      <c r="G293" s="180" t="str">
        <f>IF(C293="","",IFERROR(VLOOKUP(C293,Inventory!$A:$I,9,FALSE),0))</f>
        <v/>
      </c>
      <c r="H293" s="189" t="str">
        <f t="shared" si="1"/>
        <v/>
      </c>
      <c r="I293" s="190" t="str">
        <f t="shared" si="2"/>
        <v/>
      </c>
      <c r="J293" s="191"/>
      <c r="K293" s="191" t="str">
        <f t="shared" si="3"/>
        <v/>
      </c>
      <c r="L293" s="187"/>
      <c r="M293" s="192" t="str">
        <f t="shared" si="4"/>
        <v/>
      </c>
      <c r="N293" s="185" t="str">
        <f t="shared" si="5"/>
        <v/>
      </c>
    </row>
    <row r="294" ht="15.75" customHeight="1">
      <c r="A294" s="186"/>
      <c r="B294" s="187"/>
      <c r="C294" s="187"/>
      <c r="D294" s="188" t="str">
        <f>IF(C294="","",IFERROR(VLOOKUP(C294,Inventory!$A:$B,2,FALSE),""))</f>
        <v/>
      </c>
      <c r="E294" s="188" t="str">
        <f>IF(C294="","",IFERROR(VLOOKUP(C294,Inventory!$A:$C,3,FALSE),""))</f>
        <v/>
      </c>
      <c r="F294" s="187"/>
      <c r="G294" s="180" t="str">
        <f>IF(C294="","",IFERROR(VLOOKUP(C294,Inventory!$A:$I,9,FALSE),0))</f>
        <v/>
      </c>
      <c r="H294" s="189" t="str">
        <f t="shared" si="1"/>
        <v/>
      </c>
      <c r="I294" s="190" t="str">
        <f t="shared" si="2"/>
        <v/>
      </c>
      <c r="J294" s="191"/>
      <c r="K294" s="191" t="str">
        <f t="shared" si="3"/>
        <v/>
      </c>
      <c r="L294" s="187"/>
      <c r="M294" s="192" t="str">
        <f t="shared" si="4"/>
        <v/>
      </c>
      <c r="N294" s="185" t="str">
        <f t="shared" si="5"/>
        <v/>
      </c>
    </row>
    <row r="295" ht="15.75" customHeight="1">
      <c r="A295" s="186"/>
      <c r="B295" s="187"/>
      <c r="C295" s="187"/>
      <c r="D295" s="188" t="str">
        <f>IF(C295="","",IFERROR(VLOOKUP(C295,Inventory!$A:$B,2,FALSE),""))</f>
        <v/>
      </c>
      <c r="E295" s="188" t="str">
        <f>IF(C295="","",IFERROR(VLOOKUP(C295,Inventory!$A:$C,3,FALSE),""))</f>
        <v/>
      </c>
      <c r="F295" s="187"/>
      <c r="G295" s="180" t="str">
        <f>IF(C295="","",IFERROR(VLOOKUP(C295,Inventory!$A:$I,9,FALSE),0))</f>
        <v/>
      </c>
      <c r="H295" s="189" t="str">
        <f t="shared" si="1"/>
        <v/>
      </c>
      <c r="I295" s="190" t="str">
        <f t="shared" si="2"/>
        <v/>
      </c>
      <c r="J295" s="191"/>
      <c r="K295" s="191" t="str">
        <f t="shared" si="3"/>
        <v/>
      </c>
      <c r="L295" s="187"/>
      <c r="M295" s="192" t="str">
        <f t="shared" si="4"/>
        <v/>
      </c>
      <c r="N295" s="185" t="str">
        <f t="shared" si="5"/>
        <v/>
      </c>
    </row>
    <row r="296" ht="15.75" customHeight="1">
      <c r="A296" s="186"/>
      <c r="B296" s="187"/>
      <c r="C296" s="187"/>
      <c r="D296" s="188" t="str">
        <f>IF(C296="","",IFERROR(VLOOKUP(C296,Inventory!$A:$B,2,FALSE),""))</f>
        <v/>
      </c>
      <c r="E296" s="188" t="str">
        <f>IF(C296="","",IFERROR(VLOOKUP(C296,Inventory!$A:$C,3,FALSE),""))</f>
        <v/>
      </c>
      <c r="F296" s="187"/>
      <c r="G296" s="180" t="str">
        <f>IF(C296="","",IFERROR(VLOOKUP(C296,Inventory!$A:$I,9,FALSE),0))</f>
        <v/>
      </c>
      <c r="H296" s="189" t="str">
        <f t="shared" si="1"/>
        <v/>
      </c>
      <c r="I296" s="190" t="str">
        <f t="shared" si="2"/>
        <v/>
      </c>
      <c r="J296" s="191"/>
      <c r="K296" s="191" t="str">
        <f t="shared" si="3"/>
        <v/>
      </c>
      <c r="L296" s="187"/>
      <c r="M296" s="192" t="str">
        <f t="shared" si="4"/>
        <v/>
      </c>
      <c r="N296" s="185" t="str">
        <f t="shared" si="5"/>
        <v/>
      </c>
    </row>
    <row r="297" ht="15.75" customHeight="1">
      <c r="A297" s="186"/>
      <c r="B297" s="187"/>
      <c r="C297" s="187"/>
      <c r="D297" s="188" t="str">
        <f>IF(C297="","",IFERROR(VLOOKUP(C297,Inventory!$A:$B,2,FALSE),""))</f>
        <v/>
      </c>
      <c r="E297" s="188" t="str">
        <f>IF(C297="","",IFERROR(VLOOKUP(C297,Inventory!$A:$C,3,FALSE),""))</f>
        <v/>
      </c>
      <c r="F297" s="187"/>
      <c r="G297" s="180" t="str">
        <f>IF(C297="","",IFERROR(VLOOKUP(C297,Inventory!$A:$I,9,FALSE),0))</f>
        <v/>
      </c>
      <c r="H297" s="189" t="str">
        <f t="shared" si="1"/>
        <v/>
      </c>
      <c r="I297" s="190" t="str">
        <f t="shared" si="2"/>
        <v/>
      </c>
      <c r="J297" s="191"/>
      <c r="K297" s="191" t="str">
        <f t="shared" si="3"/>
        <v/>
      </c>
      <c r="L297" s="187"/>
      <c r="M297" s="192" t="str">
        <f t="shared" si="4"/>
        <v/>
      </c>
      <c r="N297" s="185" t="str">
        <f t="shared" si="5"/>
        <v/>
      </c>
    </row>
    <row r="298" ht="15.75" customHeight="1">
      <c r="A298" s="186"/>
      <c r="B298" s="187"/>
      <c r="C298" s="187"/>
      <c r="D298" s="188" t="str">
        <f>IF(C298="","",IFERROR(VLOOKUP(C298,Inventory!$A:$B,2,FALSE),""))</f>
        <v/>
      </c>
      <c r="E298" s="188" t="str">
        <f>IF(C298="","",IFERROR(VLOOKUP(C298,Inventory!$A:$C,3,FALSE),""))</f>
        <v/>
      </c>
      <c r="F298" s="187"/>
      <c r="G298" s="180" t="str">
        <f>IF(C298="","",IFERROR(VLOOKUP(C298,Inventory!$A:$I,9,FALSE),0))</f>
        <v/>
      </c>
      <c r="H298" s="189" t="str">
        <f t="shared" si="1"/>
        <v/>
      </c>
      <c r="I298" s="190" t="str">
        <f t="shared" si="2"/>
        <v/>
      </c>
      <c r="J298" s="191"/>
      <c r="K298" s="191" t="str">
        <f t="shared" si="3"/>
        <v/>
      </c>
      <c r="L298" s="187"/>
      <c r="M298" s="192" t="str">
        <f t="shared" si="4"/>
        <v/>
      </c>
      <c r="N298" s="185" t="str">
        <f t="shared" si="5"/>
        <v/>
      </c>
    </row>
    <row r="299" ht="15.75" customHeight="1">
      <c r="A299" s="186"/>
      <c r="B299" s="187"/>
      <c r="C299" s="187"/>
      <c r="D299" s="188" t="str">
        <f>IF(C299="","",IFERROR(VLOOKUP(C299,Inventory!$A:$B,2,FALSE),""))</f>
        <v/>
      </c>
      <c r="E299" s="188" t="str">
        <f>IF(C299="","",IFERROR(VLOOKUP(C299,Inventory!$A:$C,3,FALSE),""))</f>
        <v/>
      </c>
      <c r="F299" s="187"/>
      <c r="G299" s="180" t="str">
        <f>IF(C299="","",IFERROR(VLOOKUP(C299,Inventory!$A:$I,9,FALSE),0))</f>
        <v/>
      </c>
      <c r="H299" s="189" t="str">
        <f t="shared" si="1"/>
        <v/>
      </c>
      <c r="I299" s="190" t="str">
        <f t="shared" si="2"/>
        <v/>
      </c>
      <c r="J299" s="191"/>
      <c r="K299" s="191" t="str">
        <f t="shared" si="3"/>
        <v/>
      </c>
      <c r="L299" s="187"/>
      <c r="M299" s="192" t="str">
        <f t="shared" si="4"/>
        <v/>
      </c>
      <c r="N299" s="185" t="str">
        <f t="shared" si="5"/>
        <v/>
      </c>
    </row>
    <row r="300" ht="15.75" customHeight="1">
      <c r="A300" s="186"/>
      <c r="B300" s="187"/>
      <c r="C300" s="187"/>
      <c r="D300" s="188" t="str">
        <f>IF(C300="","",IFERROR(VLOOKUP(C300,Inventory!$A:$B,2,FALSE),""))</f>
        <v/>
      </c>
      <c r="E300" s="188" t="str">
        <f>IF(C300="","",IFERROR(VLOOKUP(C300,Inventory!$A:$C,3,FALSE),""))</f>
        <v/>
      </c>
      <c r="F300" s="187"/>
      <c r="G300" s="180" t="str">
        <f>IF(C300="","",IFERROR(VLOOKUP(C300,Inventory!$A:$I,9,FALSE),0))</f>
        <v/>
      </c>
      <c r="H300" s="189" t="str">
        <f t="shared" si="1"/>
        <v/>
      </c>
      <c r="I300" s="190" t="str">
        <f t="shared" si="2"/>
        <v/>
      </c>
      <c r="J300" s="191"/>
      <c r="K300" s="191" t="str">
        <f t="shared" si="3"/>
        <v/>
      </c>
      <c r="L300" s="187"/>
      <c r="M300" s="192" t="str">
        <f t="shared" si="4"/>
        <v/>
      </c>
      <c r="N300" s="185" t="str">
        <f t="shared" si="5"/>
        <v/>
      </c>
    </row>
    <row r="301" ht="15.75" customHeight="1">
      <c r="A301" s="186"/>
      <c r="B301" s="187"/>
      <c r="C301" s="187"/>
      <c r="D301" s="188" t="str">
        <f>IF(C301="","",IFERROR(VLOOKUP(C301,Inventory!$A:$B,2,FALSE),""))</f>
        <v/>
      </c>
      <c r="E301" s="188" t="str">
        <f>IF(C301="","",IFERROR(VLOOKUP(C301,Inventory!$A:$C,3,FALSE),""))</f>
        <v/>
      </c>
      <c r="F301" s="187"/>
      <c r="G301" s="180" t="str">
        <f>IF(C301="","",IFERROR(VLOOKUP(C301,Inventory!$A:$I,9,FALSE),0))</f>
        <v/>
      </c>
      <c r="H301" s="189" t="str">
        <f t="shared" si="1"/>
        <v/>
      </c>
      <c r="I301" s="190" t="str">
        <f t="shared" si="2"/>
        <v/>
      </c>
      <c r="J301" s="191"/>
      <c r="K301" s="191" t="str">
        <f t="shared" si="3"/>
        <v/>
      </c>
      <c r="L301" s="187"/>
      <c r="M301" s="192" t="str">
        <f t="shared" si="4"/>
        <v/>
      </c>
      <c r="N301" s="185" t="str">
        <f t="shared" si="5"/>
        <v/>
      </c>
    </row>
    <row r="302" ht="15.75" customHeight="1">
      <c r="A302" s="186"/>
      <c r="B302" s="187"/>
      <c r="C302" s="187"/>
      <c r="D302" s="188" t="str">
        <f>IF(C302="","",IFERROR(VLOOKUP(C302,Inventory!$A:$B,2,FALSE),""))</f>
        <v/>
      </c>
      <c r="E302" s="188" t="str">
        <f>IF(C302="","",IFERROR(VLOOKUP(C302,Inventory!$A:$C,3,FALSE),""))</f>
        <v/>
      </c>
      <c r="F302" s="187"/>
      <c r="G302" s="180" t="str">
        <f>IF(C302="","",IFERROR(VLOOKUP(C302,Inventory!$A:$I,9,FALSE),0))</f>
        <v/>
      </c>
      <c r="H302" s="189" t="str">
        <f t="shared" si="1"/>
        <v/>
      </c>
      <c r="I302" s="190" t="str">
        <f t="shared" si="2"/>
        <v/>
      </c>
      <c r="J302" s="191"/>
      <c r="K302" s="191" t="str">
        <f t="shared" si="3"/>
        <v/>
      </c>
      <c r="L302" s="187"/>
      <c r="M302" s="192" t="str">
        <f t="shared" si="4"/>
        <v/>
      </c>
      <c r="N302" s="185" t="str">
        <f t="shared" si="5"/>
        <v/>
      </c>
    </row>
    <row r="303" ht="15.75" customHeight="1">
      <c r="A303" s="186"/>
      <c r="B303" s="187"/>
      <c r="C303" s="187"/>
      <c r="D303" s="188" t="str">
        <f>IF(C303="","",IFERROR(VLOOKUP(C303,Inventory!$A:$B,2,FALSE),""))</f>
        <v/>
      </c>
      <c r="E303" s="188" t="str">
        <f>IF(C303="","",IFERROR(VLOOKUP(C303,Inventory!$A:$C,3,FALSE),""))</f>
        <v/>
      </c>
      <c r="F303" s="187"/>
      <c r="G303" s="180" t="str">
        <f>IF(C303="","",IFERROR(VLOOKUP(C303,Inventory!$A:$I,9,FALSE),0))</f>
        <v/>
      </c>
      <c r="H303" s="189" t="str">
        <f t="shared" si="1"/>
        <v/>
      </c>
      <c r="I303" s="190" t="str">
        <f t="shared" si="2"/>
        <v/>
      </c>
      <c r="J303" s="191"/>
      <c r="K303" s="191" t="str">
        <f t="shared" si="3"/>
        <v/>
      </c>
      <c r="L303" s="187"/>
      <c r="M303" s="192" t="str">
        <f t="shared" si="4"/>
        <v/>
      </c>
      <c r="N303" s="185" t="str">
        <f t="shared" si="5"/>
        <v/>
      </c>
    </row>
    <row r="304" ht="15.75" customHeight="1">
      <c r="A304" s="186"/>
      <c r="B304" s="187"/>
      <c r="C304" s="187"/>
      <c r="D304" s="188" t="str">
        <f>IF(C304="","",IFERROR(VLOOKUP(C304,Inventory!$A:$B,2,FALSE),""))</f>
        <v/>
      </c>
      <c r="E304" s="188" t="str">
        <f>IF(C304="","",IFERROR(VLOOKUP(C304,Inventory!$A:$C,3,FALSE),""))</f>
        <v/>
      </c>
      <c r="F304" s="187"/>
      <c r="G304" s="180" t="str">
        <f>IF(C304="","",IFERROR(VLOOKUP(C304,Inventory!$A:$I,9,FALSE),0))</f>
        <v/>
      </c>
      <c r="H304" s="189" t="str">
        <f t="shared" si="1"/>
        <v/>
      </c>
      <c r="I304" s="190" t="str">
        <f t="shared" si="2"/>
        <v/>
      </c>
      <c r="J304" s="191"/>
      <c r="K304" s="191" t="str">
        <f t="shared" si="3"/>
        <v/>
      </c>
      <c r="L304" s="187"/>
      <c r="M304" s="192" t="str">
        <f t="shared" si="4"/>
        <v/>
      </c>
      <c r="N304" s="185" t="str">
        <f t="shared" si="5"/>
        <v/>
      </c>
    </row>
    <row r="305" ht="15.75" customHeight="1">
      <c r="A305" s="186"/>
      <c r="B305" s="187"/>
      <c r="C305" s="187"/>
      <c r="D305" s="188" t="str">
        <f>IF(C305="","",IFERROR(VLOOKUP(C305,Inventory!$A:$B,2,FALSE),""))</f>
        <v/>
      </c>
      <c r="E305" s="188" t="str">
        <f>IF(C305="","",IFERROR(VLOOKUP(C305,Inventory!$A:$C,3,FALSE),""))</f>
        <v/>
      </c>
      <c r="F305" s="187"/>
      <c r="G305" s="180" t="str">
        <f>IF(C305="","",IFERROR(VLOOKUP(C305,Inventory!$A:$I,9,FALSE),0))</f>
        <v/>
      </c>
      <c r="H305" s="189" t="str">
        <f t="shared" si="1"/>
        <v/>
      </c>
      <c r="I305" s="190" t="str">
        <f t="shared" si="2"/>
        <v/>
      </c>
      <c r="J305" s="191"/>
      <c r="K305" s="191" t="str">
        <f t="shared" si="3"/>
        <v/>
      </c>
      <c r="L305" s="187"/>
      <c r="M305" s="192" t="str">
        <f t="shared" si="4"/>
        <v/>
      </c>
      <c r="N305" s="185" t="str">
        <f t="shared" si="5"/>
        <v/>
      </c>
    </row>
    <row r="306" ht="15.75" customHeight="1">
      <c r="A306" s="186"/>
      <c r="B306" s="187"/>
      <c r="C306" s="187"/>
      <c r="D306" s="188" t="str">
        <f>IF(C306="","",IFERROR(VLOOKUP(C306,Inventory!$A:$B,2,FALSE),""))</f>
        <v/>
      </c>
      <c r="E306" s="188" t="str">
        <f>IF(C306="","",IFERROR(VLOOKUP(C306,Inventory!$A:$C,3,FALSE),""))</f>
        <v/>
      </c>
      <c r="F306" s="187"/>
      <c r="G306" s="180" t="str">
        <f>IF(C306="","",IFERROR(VLOOKUP(C306,Inventory!$A:$I,9,FALSE),0))</f>
        <v/>
      </c>
      <c r="H306" s="189" t="str">
        <f t="shared" si="1"/>
        <v/>
      </c>
      <c r="I306" s="190" t="str">
        <f t="shared" si="2"/>
        <v/>
      </c>
      <c r="J306" s="191"/>
      <c r="K306" s="191" t="str">
        <f t="shared" si="3"/>
        <v/>
      </c>
      <c r="L306" s="187"/>
      <c r="M306" s="192" t="str">
        <f t="shared" si="4"/>
        <v/>
      </c>
      <c r="N306" s="185" t="str">
        <f t="shared" si="5"/>
        <v/>
      </c>
    </row>
    <row r="307" ht="15.75" customHeight="1">
      <c r="A307" s="186"/>
      <c r="B307" s="187"/>
      <c r="C307" s="187"/>
      <c r="D307" s="188" t="str">
        <f>IF(C307="","",IFERROR(VLOOKUP(C307,Inventory!$A:$B,2,FALSE),""))</f>
        <v/>
      </c>
      <c r="E307" s="188" t="str">
        <f>IF(C307="","",IFERROR(VLOOKUP(C307,Inventory!$A:$C,3,FALSE),""))</f>
        <v/>
      </c>
      <c r="F307" s="187"/>
      <c r="G307" s="180" t="str">
        <f>IF(C307="","",IFERROR(VLOOKUP(C307,Inventory!$A:$I,9,FALSE),0))</f>
        <v/>
      </c>
      <c r="H307" s="189" t="str">
        <f t="shared" si="1"/>
        <v/>
      </c>
      <c r="I307" s="190" t="str">
        <f t="shared" si="2"/>
        <v/>
      </c>
      <c r="J307" s="191"/>
      <c r="K307" s="191" t="str">
        <f t="shared" si="3"/>
        <v/>
      </c>
      <c r="L307" s="187"/>
      <c r="M307" s="192" t="str">
        <f t="shared" si="4"/>
        <v/>
      </c>
      <c r="N307" s="185" t="str">
        <f t="shared" si="5"/>
        <v/>
      </c>
    </row>
    <row r="308" ht="15.75" customHeight="1">
      <c r="A308" s="186"/>
      <c r="B308" s="187"/>
      <c r="C308" s="187"/>
      <c r="D308" s="188" t="str">
        <f>IF(C308="","",IFERROR(VLOOKUP(C308,Inventory!$A:$B,2,FALSE),""))</f>
        <v/>
      </c>
      <c r="E308" s="188" t="str">
        <f>IF(C308="","",IFERROR(VLOOKUP(C308,Inventory!$A:$C,3,FALSE),""))</f>
        <v/>
      </c>
      <c r="F308" s="187"/>
      <c r="G308" s="180" t="str">
        <f>IF(C308="","",IFERROR(VLOOKUP(C308,Inventory!$A:$I,9,FALSE),0))</f>
        <v/>
      </c>
      <c r="H308" s="189" t="str">
        <f t="shared" si="1"/>
        <v/>
      </c>
      <c r="I308" s="190" t="str">
        <f t="shared" si="2"/>
        <v/>
      </c>
      <c r="J308" s="191"/>
      <c r="K308" s="191" t="str">
        <f t="shared" si="3"/>
        <v/>
      </c>
      <c r="L308" s="187"/>
      <c r="M308" s="192" t="str">
        <f t="shared" si="4"/>
        <v/>
      </c>
      <c r="N308" s="185" t="str">
        <f t="shared" si="5"/>
        <v/>
      </c>
    </row>
    <row r="309" ht="15.75" customHeight="1">
      <c r="A309" s="186"/>
      <c r="B309" s="187"/>
      <c r="C309" s="187"/>
      <c r="D309" s="188" t="str">
        <f>IF(C309="","",IFERROR(VLOOKUP(C309,Inventory!$A:$B,2,FALSE),""))</f>
        <v/>
      </c>
      <c r="E309" s="188" t="str">
        <f>IF(C309="","",IFERROR(VLOOKUP(C309,Inventory!$A:$C,3,FALSE),""))</f>
        <v/>
      </c>
      <c r="F309" s="187"/>
      <c r="G309" s="180" t="str">
        <f>IF(C309="","",IFERROR(VLOOKUP(C309,Inventory!$A:$I,9,FALSE),0))</f>
        <v/>
      </c>
      <c r="H309" s="189" t="str">
        <f t="shared" si="1"/>
        <v/>
      </c>
      <c r="I309" s="190" t="str">
        <f t="shared" si="2"/>
        <v/>
      </c>
      <c r="J309" s="191"/>
      <c r="K309" s="191" t="str">
        <f t="shared" si="3"/>
        <v/>
      </c>
      <c r="L309" s="187"/>
      <c r="M309" s="192" t="str">
        <f t="shared" si="4"/>
        <v/>
      </c>
      <c r="N309" s="185" t="str">
        <f t="shared" si="5"/>
        <v/>
      </c>
    </row>
    <row r="310" ht="15.75" customHeight="1">
      <c r="A310" s="186"/>
      <c r="B310" s="187"/>
      <c r="C310" s="187"/>
      <c r="D310" s="188" t="str">
        <f>IF(C310="","",IFERROR(VLOOKUP(C310,Inventory!$A:$B,2,FALSE),""))</f>
        <v/>
      </c>
      <c r="E310" s="188" t="str">
        <f>IF(C310="","",IFERROR(VLOOKUP(C310,Inventory!$A:$C,3,FALSE),""))</f>
        <v/>
      </c>
      <c r="F310" s="187"/>
      <c r="G310" s="180" t="str">
        <f>IF(C310="","",IFERROR(VLOOKUP(C310,Inventory!$A:$I,9,FALSE),0))</f>
        <v/>
      </c>
      <c r="H310" s="189" t="str">
        <f t="shared" si="1"/>
        <v/>
      </c>
      <c r="I310" s="190" t="str">
        <f t="shared" si="2"/>
        <v/>
      </c>
      <c r="J310" s="191"/>
      <c r="K310" s="191" t="str">
        <f t="shared" si="3"/>
        <v/>
      </c>
      <c r="L310" s="187"/>
      <c r="M310" s="192" t="str">
        <f t="shared" si="4"/>
        <v/>
      </c>
      <c r="N310" s="185" t="str">
        <f t="shared" si="5"/>
        <v/>
      </c>
    </row>
    <row r="311" ht="15.75" customHeight="1">
      <c r="A311" s="186"/>
      <c r="B311" s="187"/>
      <c r="C311" s="187"/>
      <c r="D311" s="188" t="str">
        <f>IF(C311="","",IFERROR(VLOOKUP(C311,Inventory!$A:$B,2,FALSE),""))</f>
        <v/>
      </c>
      <c r="E311" s="188" t="str">
        <f>IF(C311="","",IFERROR(VLOOKUP(C311,Inventory!$A:$C,3,FALSE),""))</f>
        <v/>
      </c>
      <c r="F311" s="187"/>
      <c r="G311" s="180" t="str">
        <f>IF(C311="","",IFERROR(VLOOKUP(C311,Inventory!$A:$I,9,FALSE),0))</f>
        <v/>
      </c>
      <c r="H311" s="189" t="str">
        <f t="shared" si="1"/>
        <v/>
      </c>
      <c r="I311" s="190" t="str">
        <f t="shared" si="2"/>
        <v/>
      </c>
      <c r="J311" s="191"/>
      <c r="K311" s="191" t="str">
        <f t="shared" si="3"/>
        <v/>
      </c>
      <c r="L311" s="187"/>
      <c r="M311" s="192" t="str">
        <f t="shared" si="4"/>
        <v/>
      </c>
      <c r="N311" s="185" t="str">
        <f t="shared" si="5"/>
        <v/>
      </c>
    </row>
    <row r="312" ht="15.75" customHeight="1">
      <c r="A312" s="186"/>
      <c r="B312" s="187"/>
      <c r="C312" s="187"/>
      <c r="D312" s="188" t="str">
        <f>IF(C312="","",IFERROR(VLOOKUP(C312,Inventory!$A:$B,2,FALSE),""))</f>
        <v/>
      </c>
      <c r="E312" s="188" t="str">
        <f>IF(C312="","",IFERROR(VLOOKUP(C312,Inventory!$A:$C,3,FALSE),""))</f>
        <v/>
      </c>
      <c r="F312" s="187"/>
      <c r="G312" s="180" t="str">
        <f>IF(C312="","",IFERROR(VLOOKUP(C312,Inventory!$A:$I,9,FALSE),0))</f>
        <v/>
      </c>
      <c r="H312" s="189" t="str">
        <f t="shared" si="1"/>
        <v/>
      </c>
      <c r="I312" s="190" t="str">
        <f t="shared" si="2"/>
        <v/>
      </c>
      <c r="J312" s="191"/>
      <c r="K312" s="191" t="str">
        <f t="shared" si="3"/>
        <v/>
      </c>
      <c r="L312" s="187"/>
      <c r="M312" s="192" t="str">
        <f t="shared" si="4"/>
        <v/>
      </c>
      <c r="N312" s="185" t="str">
        <f t="shared" si="5"/>
        <v/>
      </c>
    </row>
    <row r="313" ht="15.75" customHeight="1">
      <c r="A313" s="186"/>
      <c r="B313" s="187"/>
      <c r="C313" s="187"/>
      <c r="D313" s="188" t="str">
        <f>IF(C313="","",IFERROR(VLOOKUP(C313,Inventory!$A:$B,2,FALSE),""))</f>
        <v/>
      </c>
      <c r="E313" s="188" t="str">
        <f>IF(C313="","",IFERROR(VLOOKUP(C313,Inventory!$A:$C,3,FALSE),""))</f>
        <v/>
      </c>
      <c r="F313" s="187"/>
      <c r="G313" s="180" t="str">
        <f>IF(C313="","",IFERROR(VLOOKUP(C313,Inventory!$A:$I,9,FALSE),0))</f>
        <v/>
      </c>
      <c r="H313" s="189" t="str">
        <f t="shared" si="1"/>
        <v/>
      </c>
      <c r="I313" s="190" t="str">
        <f t="shared" si="2"/>
        <v/>
      </c>
      <c r="J313" s="191"/>
      <c r="K313" s="191" t="str">
        <f t="shared" si="3"/>
        <v/>
      </c>
      <c r="L313" s="187"/>
      <c r="M313" s="192" t="str">
        <f t="shared" si="4"/>
        <v/>
      </c>
      <c r="N313" s="185" t="str">
        <f t="shared" si="5"/>
        <v/>
      </c>
    </row>
    <row r="314" ht="15.75" customHeight="1">
      <c r="A314" s="186"/>
      <c r="B314" s="187"/>
      <c r="C314" s="187"/>
      <c r="D314" s="188" t="str">
        <f>IF(C314="","",IFERROR(VLOOKUP(C314,Inventory!$A:$B,2,FALSE),""))</f>
        <v/>
      </c>
      <c r="E314" s="188" t="str">
        <f>IF(C314="","",IFERROR(VLOOKUP(C314,Inventory!$A:$C,3,FALSE),""))</f>
        <v/>
      </c>
      <c r="F314" s="187"/>
      <c r="G314" s="180" t="str">
        <f>IF(C314="","",IFERROR(VLOOKUP(C314,Inventory!$A:$I,9,FALSE),0))</f>
        <v/>
      </c>
      <c r="H314" s="189" t="str">
        <f t="shared" si="1"/>
        <v/>
      </c>
      <c r="I314" s="190" t="str">
        <f t="shared" si="2"/>
        <v/>
      </c>
      <c r="J314" s="191"/>
      <c r="K314" s="191" t="str">
        <f t="shared" si="3"/>
        <v/>
      </c>
      <c r="L314" s="187"/>
      <c r="M314" s="192" t="str">
        <f t="shared" si="4"/>
        <v/>
      </c>
      <c r="N314" s="185" t="str">
        <f t="shared" si="5"/>
        <v/>
      </c>
    </row>
    <row r="315" ht="15.75" customHeight="1">
      <c r="A315" s="186"/>
      <c r="B315" s="187"/>
      <c r="C315" s="187"/>
      <c r="D315" s="188" t="str">
        <f>IF(C315="","",IFERROR(VLOOKUP(C315,Inventory!$A:$B,2,FALSE),""))</f>
        <v/>
      </c>
      <c r="E315" s="188" t="str">
        <f>IF(C315="","",IFERROR(VLOOKUP(C315,Inventory!$A:$C,3,FALSE),""))</f>
        <v/>
      </c>
      <c r="F315" s="187"/>
      <c r="G315" s="180" t="str">
        <f>IF(C315="","",IFERROR(VLOOKUP(C315,Inventory!$A:$I,9,FALSE),0))</f>
        <v/>
      </c>
      <c r="H315" s="189" t="str">
        <f t="shared" si="1"/>
        <v/>
      </c>
      <c r="I315" s="190" t="str">
        <f t="shared" si="2"/>
        <v/>
      </c>
      <c r="J315" s="191"/>
      <c r="K315" s="191" t="str">
        <f t="shared" si="3"/>
        <v/>
      </c>
      <c r="L315" s="187"/>
      <c r="M315" s="192" t="str">
        <f t="shared" si="4"/>
        <v/>
      </c>
      <c r="N315" s="185" t="str">
        <f t="shared" si="5"/>
        <v/>
      </c>
    </row>
    <row r="316" ht="15.75" customHeight="1">
      <c r="A316" s="186"/>
      <c r="B316" s="187"/>
      <c r="C316" s="187"/>
      <c r="D316" s="188" t="str">
        <f>IF(C316="","",IFERROR(VLOOKUP(C316,Inventory!$A:$B,2,FALSE),""))</f>
        <v/>
      </c>
      <c r="E316" s="188" t="str">
        <f>IF(C316="","",IFERROR(VLOOKUP(C316,Inventory!$A:$C,3,FALSE),""))</f>
        <v/>
      </c>
      <c r="F316" s="187"/>
      <c r="G316" s="180" t="str">
        <f>IF(C316="","",IFERROR(VLOOKUP(C316,Inventory!$A:$I,9,FALSE),0))</f>
        <v/>
      </c>
      <c r="H316" s="189" t="str">
        <f t="shared" si="1"/>
        <v/>
      </c>
      <c r="I316" s="190" t="str">
        <f t="shared" si="2"/>
        <v/>
      </c>
      <c r="J316" s="191"/>
      <c r="K316" s="191" t="str">
        <f t="shared" si="3"/>
        <v/>
      </c>
      <c r="L316" s="187"/>
      <c r="M316" s="192" t="str">
        <f t="shared" si="4"/>
        <v/>
      </c>
      <c r="N316" s="185" t="str">
        <f t="shared" si="5"/>
        <v/>
      </c>
    </row>
    <row r="317" ht="15.75" customHeight="1">
      <c r="A317" s="186"/>
      <c r="B317" s="187"/>
      <c r="C317" s="187"/>
      <c r="D317" s="188" t="str">
        <f>IF(C317="","",IFERROR(VLOOKUP(C317,Inventory!$A:$B,2,FALSE),""))</f>
        <v/>
      </c>
      <c r="E317" s="188" t="str">
        <f>IF(C317="","",IFERROR(VLOOKUP(C317,Inventory!$A:$C,3,FALSE),""))</f>
        <v/>
      </c>
      <c r="F317" s="187"/>
      <c r="G317" s="180" t="str">
        <f>IF(C317="","",IFERROR(VLOOKUP(C317,Inventory!$A:$I,9,FALSE),0))</f>
        <v/>
      </c>
      <c r="H317" s="189" t="str">
        <f t="shared" si="1"/>
        <v/>
      </c>
      <c r="I317" s="190" t="str">
        <f t="shared" si="2"/>
        <v/>
      </c>
      <c r="J317" s="191"/>
      <c r="K317" s="191" t="str">
        <f t="shared" si="3"/>
        <v/>
      </c>
      <c r="L317" s="187"/>
      <c r="M317" s="192" t="str">
        <f t="shared" si="4"/>
        <v/>
      </c>
      <c r="N317" s="185" t="str">
        <f t="shared" si="5"/>
        <v/>
      </c>
    </row>
    <row r="318" ht="15.75" customHeight="1">
      <c r="A318" s="186"/>
      <c r="B318" s="187"/>
      <c r="C318" s="187"/>
      <c r="D318" s="188" t="str">
        <f>IF(C318="","",IFERROR(VLOOKUP(C318,Inventory!$A:$B,2,FALSE),""))</f>
        <v/>
      </c>
      <c r="E318" s="188" t="str">
        <f>IF(C318="","",IFERROR(VLOOKUP(C318,Inventory!$A:$C,3,FALSE),""))</f>
        <v/>
      </c>
      <c r="F318" s="187"/>
      <c r="G318" s="180" t="str">
        <f>IF(C318="","",IFERROR(VLOOKUP(C318,Inventory!$A:$I,9,FALSE),0))</f>
        <v/>
      </c>
      <c r="H318" s="189" t="str">
        <f t="shared" si="1"/>
        <v/>
      </c>
      <c r="I318" s="190" t="str">
        <f t="shared" si="2"/>
        <v/>
      </c>
      <c r="J318" s="191"/>
      <c r="K318" s="191" t="str">
        <f t="shared" si="3"/>
        <v/>
      </c>
      <c r="L318" s="187"/>
      <c r="M318" s="192" t="str">
        <f t="shared" si="4"/>
        <v/>
      </c>
      <c r="N318" s="185" t="str">
        <f t="shared" si="5"/>
        <v/>
      </c>
    </row>
    <row r="319" ht="15.75" customHeight="1">
      <c r="A319" s="186"/>
      <c r="B319" s="187"/>
      <c r="C319" s="187"/>
      <c r="D319" s="188" t="str">
        <f>IF(C319="","",IFERROR(VLOOKUP(C319,Inventory!$A:$B,2,FALSE),""))</f>
        <v/>
      </c>
      <c r="E319" s="188" t="str">
        <f>IF(C319="","",IFERROR(VLOOKUP(C319,Inventory!$A:$C,3,FALSE),""))</f>
        <v/>
      </c>
      <c r="F319" s="187"/>
      <c r="G319" s="180" t="str">
        <f>IF(C319="","",IFERROR(VLOOKUP(C319,Inventory!$A:$I,9,FALSE),0))</f>
        <v/>
      </c>
      <c r="H319" s="189" t="str">
        <f t="shared" si="1"/>
        <v/>
      </c>
      <c r="I319" s="190" t="str">
        <f t="shared" si="2"/>
        <v/>
      </c>
      <c r="J319" s="191"/>
      <c r="K319" s="191" t="str">
        <f t="shared" si="3"/>
        <v/>
      </c>
      <c r="L319" s="187"/>
      <c r="M319" s="192" t="str">
        <f t="shared" si="4"/>
        <v/>
      </c>
      <c r="N319" s="185" t="str">
        <f t="shared" si="5"/>
        <v/>
      </c>
    </row>
    <row r="320" ht="15.75" customHeight="1">
      <c r="A320" s="186"/>
      <c r="B320" s="187"/>
      <c r="C320" s="187"/>
      <c r="D320" s="188" t="str">
        <f>IF(C320="","",IFERROR(VLOOKUP(C320,Inventory!$A:$B,2,FALSE),""))</f>
        <v/>
      </c>
      <c r="E320" s="188" t="str">
        <f>IF(C320="","",IFERROR(VLOOKUP(C320,Inventory!$A:$C,3,FALSE),""))</f>
        <v/>
      </c>
      <c r="F320" s="187"/>
      <c r="G320" s="180" t="str">
        <f>IF(C320="","",IFERROR(VLOOKUP(C320,Inventory!$A:$I,9,FALSE),0))</f>
        <v/>
      </c>
      <c r="H320" s="189" t="str">
        <f t="shared" si="1"/>
        <v/>
      </c>
      <c r="I320" s="190" t="str">
        <f t="shared" si="2"/>
        <v/>
      </c>
      <c r="J320" s="191"/>
      <c r="K320" s="191" t="str">
        <f t="shared" si="3"/>
        <v/>
      </c>
      <c r="L320" s="187"/>
      <c r="M320" s="192" t="str">
        <f t="shared" si="4"/>
        <v/>
      </c>
      <c r="N320" s="185" t="str">
        <f t="shared" si="5"/>
        <v/>
      </c>
    </row>
    <row r="321" ht="15.75" customHeight="1">
      <c r="A321" s="186"/>
      <c r="B321" s="187"/>
      <c r="C321" s="187"/>
      <c r="D321" s="188" t="str">
        <f>IF(C321="","",IFERROR(VLOOKUP(C321,Inventory!$A:$B,2,FALSE),""))</f>
        <v/>
      </c>
      <c r="E321" s="188" t="str">
        <f>IF(C321="","",IFERROR(VLOOKUP(C321,Inventory!$A:$C,3,FALSE),""))</f>
        <v/>
      </c>
      <c r="F321" s="187"/>
      <c r="G321" s="180" t="str">
        <f>IF(C321="","",IFERROR(VLOOKUP(C321,Inventory!$A:$I,9,FALSE),0))</f>
        <v/>
      </c>
      <c r="H321" s="189" t="str">
        <f t="shared" si="1"/>
        <v/>
      </c>
      <c r="I321" s="190" t="str">
        <f t="shared" si="2"/>
        <v/>
      </c>
      <c r="J321" s="191"/>
      <c r="K321" s="191" t="str">
        <f t="shared" si="3"/>
        <v/>
      </c>
      <c r="L321" s="187"/>
      <c r="M321" s="192" t="str">
        <f t="shared" si="4"/>
        <v/>
      </c>
      <c r="N321" s="185" t="str">
        <f t="shared" si="5"/>
        <v/>
      </c>
    </row>
    <row r="322" ht="15.75" customHeight="1">
      <c r="A322" s="186"/>
      <c r="B322" s="187"/>
      <c r="C322" s="187"/>
      <c r="D322" s="188" t="str">
        <f>IF(C322="","",IFERROR(VLOOKUP(C322,Inventory!$A:$B,2,FALSE),""))</f>
        <v/>
      </c>
      <c r="E322" s="188" t="str">
        <f>IF(C322="","",IFERROR(VLOOKUP(C322,Inventory!$A:$C,3,FALSE),""))</f>
        <v/>
      </c>
      <c r="F322" s="187"/>
      <c r="G322" s="180" t="str">
        <f>IF(C322="","",IFERROR(VLOOKUP(C322,Inventory!$A:$I,9,FALSE),0))</f>
        <v/>
      </c>
      <c r="H322" s="189" t="str">
        <f t="shared" si="1"/>
        <v/>
      </c>
      <c r="I322" s="190" t="str">
        <f t="shared" si="2"/>
        <v/>
      </c>
      <c r="J322" s="191"/>
      <c r="K322" s="191" t="str">
        <f t="shared" si="3"/>
        <v/>
      </c>
      <c r="L322" s="187"/>
      <c r="M322" s="192" t="str">
        <f t="shared" si="4"/>
        <v/>
      </c>
      <c r="N322" s="185" t="str">
        <f t="shared" si="5"/>
        <v/>
      </c>
    </row>
    <row r="323" ht="15.75" customHeight="1">
      <c r="A323" s="186"/>
      <c r="B323" s="187"/>
      <c r="C323" s="187"/>
      <c r="D323" s="188" t="str">
        <f>IF(C323="","",IFERROR(VLOOKUP(C323,Inventory!$A:$B,2,FALSE),""))</f>
        <v/>
      </c>
      <c r="E323" s="188" t="str">
        <f>IF(C323="","",IFERROR(VLOOKUP(C323,Inventory!$A:$C,3,FALSE),""))</f>
        <v/>
      </c>
      <c r="F323" s="187"/>
      <c r="G323" s="180" t="str">
        <f>IF(C323="","",IFERROR(VLOOKUP(C323,Inventory!$A:$I,9,FALSE),0))</f>
        <v/>
      </c>
      <c r="H323" s="189" t="str">
        <f t="shared" si="1"/>
        <v/>
      </c>
      <c r="I323" s="190" t="str">
        <f t="shared" si="2"/>
        <v/>
      </c>
      <c r="J323" s="191"/>
      <c r="K323" s="191" t="str">
        <f t="shared" si="3"/>
        <v/>
      </c>
      <c r="L323" s="187"/>
      <c r="M323" s="192" t="str">
        <f t="shared" si="4"/>
        <v/>
      </c>
      <c r="N323" s="185" t="str">
        <f t="shared" si="5"/>
        <v/>
      </c>
    </row>
    <row r="324" ht="15.75" customHeight="1">
      <c r="A324" s="186"/>
      <c r="B324" s="187"/>
      <c r="C324" s="187"/>
      <c r="D324" s="188" t="str">
        <f>IF(C324="","",IFERROR(VLOOKUP(C324,Inventory!$A:$B,2,FALSE),""))</f>
        <v/>
      </c>
      <c r="E324" s="188" t="str">
        <f>IF(C324="","",IFERROR(VLOOKUP(C324,Inventory!$A:$C,3,FALSE),""))</f>
        <v/>
      </c>
      <c r="F324" s="187"/>
      <c r="G324" s="180" t="str">
        <f>IF(C324="","",IFERROR(VLOOKUP(C324,Inventory!$A:$I,9,FALSE),0))</f>
        <v/>
      </c>
      <c r="H324" s="189" t="str">
        <f t="shared" si="1"/>
        <v/>
      </c>
      <c r="I324" s="190" t="str">
        <f t="shared" si="2"/>
        <v/>
      </c>
      <c r="J324" s="191"/>
      <c r="K324" s="191" t="str">
        <f t="shared" si="3"/>
        <v/>
      </c>
      <c r="L324" s="187"/>
      <c r="M324" s="192" t="str">
        <f t="shared" si="4"/>
        <v/>
      </c>
      <c r="N324" s="185" t="str">
        <f t="shared" si="5"/>
        <v/>
      </c>
    </row>
    <row r="325" ht="15.75" customHeight="1">
      <c r="A325" s="186"/>
      <c r="B325" s="187"/>
      <c r="C325" s="187"/>
      <c r="D325" s="188" t="str">
        <f>IF(C325="","",IFERROR(VLOOKUP(C325,Inventory!$A:$B,2,FALSE),""))</f>
        <v/>
      </c>
      <c r="E325" s="188" t="str">
        <f>IF(C325="","",IFERROR(VLOOKUP(C325,Inventory!$A:$C,3,FALSE),""))</f>
        <v/>
      </c>
      <c r="F325" s="187"/>
      <c r="G325" s="180" t="str">
        <f>IF(C325="","",IFERROR(VLOOKUP(C325,Inventory!$A:$I,9,FALSE),0))</f>
        <v/>
      </c>
      <c r="H325" s="189" t="str">
        <f t="shared" si="1"/>
        <v/>
      </c>
      <c r="I325" s="190" t="str">
        <f t="shared" si="2"/>
        <v/>
      </c>
      <c r="J325" s="191"/>
      <c r="K325" s="191" t="str">
        <f t="shared" si="3"/>
        <v/>
      </c>
      <c r="L325" s="187"/>
      <c r="M325" s="192" t="str">
        <f t="shared" si="4"/>
        <v/>
      </c>
      <c r="N325" s="185" t="str">
        <f t="shared" si="5"/>
        <v/>
      </c>
    </row>
    <row r="326" ht="15.75" customHeight="1">
      <c r="A326" s="186"/>
      <c r="B326" s="187"/>
      <c r="C326" s="187"/>
      <c r="D326" s="188" t="str">
        <f>IF(C326="","",IFERROR(VLOOKUP(C326,Inventory!$A:$B,2,FALSE),""))</f>
        <v/>
      </c>
      <c r="E326" s="188" t="str">
        <f>IF(C326="","",IFERROR(VLOOKUP(C326,Inventory!$A:$C,3,FALSE),""))</f>
        <v/>
      </c>
      <c r="F326" s="187"/>
      <c r="G326" s="180" t="str">
        <f>IF(C326="","",IFERROR(VLOOKUP(C326,Inventory!$A:$I,9,FALSE),0))</f>
        <v/>
      </c>
      <c r="H326" s="189" t="str">
        <f t="shared" si="1"/>
        <v/>
      </c>
      <c r="I326" s="190" t="str">
        <f t="shared" si="2"/>
        <v/>
      </c>
      <c r="J326" s="191"/>
      <c r="K326" s="191" t="str">
        <f t="shared" si="3"/>
        <v/>
      </c>
      <c r="L326" s="187"/>
      <c r="M326" s="192" t="str">
        <f t="shared" si="4"/>
        <v/>
      </c>
      <c r="N326" s="185" t="str">
        <f t="shared" si="5"/>
        <v/>
      </c>
    </row>
    <row r="327" ht="15.75" customHeight="1">
      <c r="A327" s="186"/>
      <c r="B327" s="187"/>
      <c r="C327" s="187"/>
      <c r="D327" s="188" t="str">
        <f>IF(C327="","",IFERROR(VLOOKUP(C327,Inventory!$A:$B,2,FALSE),""))</f>
        <v/>
      </c>
      <c r="E327" s="188" t="str">
        <f>IF(C327="","",IFERROR(VLOOKUP(C327,Inventory!$A:$C,3,FALSE),""))</f>
        <v/>
      </c>
      <c r="F327" s="187"/>
      <c r="G327" s="180" t="str">
        <f>IF(C327="","",IFERROR(VLOOKUP(C327,Inventory!$A:$I,9,FALSE),0))</f>
        <v/>
      </c>
      <c r="H327" s="189" t="str">
        <f t="shared" si="1"/>
        <v/>
      </c>
      <c r="I327" s="190" t="str">
        <f t="shared" si="2"/>
        <v/>
      </c>
      <c r="J327" s="191"/>
      <c r="K327" s="191" t="str">
        <f t="shared" si="3"/>
        <v/>
      </c>
      <c r="L327" s="187"/>
      <c r="M327" s="192" t="str">
        <f t="shared" si="4"/>
        <v/>
      </c>
      <c r="N327" s="185" t="str">
        <f t="shared" si="5"/>
        <v/>
      </c>
    </row>
    <row r="328" ht="15.75" customHeight="1">
      <c r="A328" s="186"/>
      <c r="B328" s="187"/>
      <c r="C328" s="187"/>
      <c r="D328" s="188" t="str">
        <f>IF(C328="","",IFERROR(VLOOKUP(C328,Inventory!$A:$B,2,FALSE),""))</f>
        <v/>
      </c>
      <c r="E328" s="188" t="str">
        <f>IF(C328="","",IFERROR(VLOOKUP(C328,Inventory!$A:$C,3,FALSE),""))</f>
        <v/>
      </c>
      <c r="F328" s="187"/>
      <c r="G328" s="180" t="str">
        <f>IF(C328="","",IFERROR(VLOOKUP(C328,Inventory!$A:$I,9,FALSE),0))</f>
        <v/>
      </c>
      <c r="H328" s="189" t="str">
        <f t="shared" si="1"/>
        <v/>
      </c>
      <c r="I328" s="190" t="str">
        <f t="shared" si="2"/>
        <v/>
      </c>
      <c r="J328" s="191"/>
      <c r="K328" s="191" t="str">
        <f t="shared" si="3"/>
        <v/>
      </c>
      <c r="L328" s="187"/>
      <c r="M328" s="192" t="str">
        <f t="shared" si="4"/>
        <v/>
      </c>
      <c r="N328" s="185" t="str">
        <f t="shared" si="5"/>
        <v/>
      </c>
    </row>
    <row r="329" ht="15.75" customHeight="1">
      <c r="A329" s="186"/>
      <c r="B329" s="187"/>
      <c r="C329" s="187"/>
      <c r="D329" s="188" t="str">
        <f>IF(C329="","",IFERROR(VLOOKUP(C329,Inventory!$A:$B,2,FALSE),""))</f>
        <v/>
      </c>
      <c r="E329" s="188" t="str">
        <f>IF(C329="","",IFERROR(VLOOKUP(C329,Inventory!$A:$C,3,FALSE),""))</f>
        <v/>
      </c>
      <c r="F329" s="187"/>
      <c r="G329" s="180" t="str">
        <f>IF(C329="","",IFERROR(VLOOKUP(C329,Inventory!$A:$I,9,FALSE),0))</f>
        <v/>
      </c>
      <c r="H329" s="189" t="str">
        <f t="shared" si="1"/>
        <v/>
      </c>
      <c r="I329" s="190" t="str">
        <f t="shared" si="2"/>
        <v/>
      </c>
      <c r="J329" s="191"/>
      <c r="K329" s="191" t="str">
        <f t="shared" si="3"/>
        <v/>
      </c>
      <c r="L329" s="187"/>
      <c r="M329" s="192" t="str">
        <f t="shared" si="4"/>
        <v/>
      </c>
      <c r="N329" s="185" t="str">
        <f t="shared" si="5"/>
        <v/>
      </c>
    </row>
    <row r="330" ht="15.75" customHeight="1">
      <c r="A330" s="186"/>
      <c r="B330" s="187"/>
      <c r="C330" s="187"/>
      <c r="D330" s="188" t="str">
        <f>IF(C330="","",IFERROR(VLOOKUP(C330,Inventory!$A:$B,2,FALSE),""))</f>
        <v/>
      </c>
      <c r="E330" s="188" t="str">
        <f>IF(C330="","",IFERROR(VLOOKUP(C330,Inventory!$A:$C,3,FALSE),""))</f>
        <v/>
      </c>
      <c r="F330" s="187"/>
      <c r="G330" s="180" t="str">
        <f>IF(C330="","",IFERROR(VLOOKUP(C330,Inventory!$A:$I,9,FALSE),0))</f>
        <v/>
      </c>
      <c r="H330" s="189" t="str">
        <f t="shared" si="1"/>
        <v/>
      </c>
      <c r="I330" s="190" t="str">
        <f t="shared" si="2"/>
        <v/>
      </c>
      <c r="J330" s="191"/>
      <c r="K330" s="191" t="str">
        <f t="shared" si="3"/>
        <v/>
      </c>
      <c r="L330" s="187"/>
      <c r="M330" s="192" t="str">
        <f t="shared" si="4"/>
        <v/>
      </c>
      <c r="N330" s="185" t="str">
        <f t="shared" si="5"/>
        <v/>
      </c>
    </row>
    <row r="331" ht="15.75" customHeight="1">
      <c r="A331" s="186"/>
      <c r="B331" s="187"/>
      <c r="C331" s="187"/>
      <c r="D331" s="188" t="str">
        <f>IF(C331="","",IFERROR(VLOOKUP(C331,Inventory!$A:$B,2,FALSE),""))</f>
        <v/>
      </c>
      <c r="E331" s="188" t="str">
        <f>IF(C331="","",IFERROR(VLOOKUP(C331,Inventory!$A:$C,3,FALSE),""))</f>
        <v/>
      </c>
      <c r="F331" s="187"/>
      <c r="G331" s="180" t="str">
        <f>IF(C331="","",IFERROR(VLOOKUP(C331,Inventory!$A:$I,9,FALSE),0))</f>
        <v/>
      </c>
      <c r="H331" s="189" t="str">
        <f t="shared" si="1"/>
        <v/>
      </c>
      <c r="I331" s="190" t="str">
        <f t="shared" si="2"/>
        <v/>
      </c>
      <c r="J331" s="191"/>
      <c r="K331" s="191" t="str">
        <f t="shared" si="3"/>
        <v/>
      </c>
      <c r="L331" s="187"/>
      <c r="M331" s="192" t="str">
        <f t="shared" si="4"/>
        <v/>
      </c>
      <c r="N331" s="185" t="str">
        <f t="shared" si="5"/>
        <v/>
      </c>
    </row>
    <row r="332" ht="15.75" customHeight="1">
      <c r="A332" s="186"/>
      <c r="B332" s="187"/>
      <c r="C332" s="187"/>
      <c r="D332" s="188" t="str">
        <f>IF(C332="","",IFERROR(VLOOKUP(C332,Inventory!$A:$B,2,FALSE),""))</f>
        <v/>
      </c>
      <c r="E332" s="188" t="str">
        <f>IF(C332="","",IFERROR(VLOOKUP(C332,Inventory!$A:$C,3,FALSE),""))</f>
        <v/>
      </c>
      <c r="F332" s="187"/>
      <c r="G332" s="180" t="str">
        <f>IF(C332="","",IFERROR(VLOOKUP(C332,Inventory!$A:$I,9,FALSE),0))</f>
        <v/>
      </c>
      <c r="H332" s="189" t="str">
        <f t="shared" si="1"/>
        <v/>
      </c>
      <c r="I332" s="190" t="str">
        <f t="shared" si="2"/>
        <v/>
      </c>
      <c r="J332" s="191"/>
      <c r="K332" s="191" t="str">
        <f t="shared" si="3"/>
        <v/>
      </c>
      <c r="L332" s="187"/>
      <c r="M332" s="192" t="str">
        <f t="shared" si="4"/>
        <v/>
      </c>
      <c r="N332" s="185" t="str">
        <f t="shared" si="5"/>
        <v/>
      </c>
    </row>
    <row r="333" ht="15.75" customHeight="1">
      <c r="A333" s="186"/>
      <c r="B333" s="187"/>
      <c r="C333" s="187"/>
      <c r="D333" s="188" t="str">
        <f>IF(C333="","",IFERROR(VLOOKUP(C333,Inventory!$A:$B,2,FALSE),""))</f>
        <v/>
      </c>
      <c r="E333" s="188" t="str">
        <f>IF(C333="","",IFERROR(VLOOKUP(C333,Inventory!$A:$C,3,FALSE),""))</f>
        <v/>
      </c>
      <c r="F333" s="187"/>
      <c r="G333" s="180" t="str">
        <f>IF(C333="","",IFERROR(VLOOKUP(C333,Inventory!$A:$I,9,FALSE),0))</f>
        <v/>
      </c>
      <c r="H333" s="189" t="str">
        <f t="shared" si="1"/>
        <v/>
      </c>
      <c r="I333" s="190" t="str">
        <f t="shared" si="2"/>
        <v/>
      </c>
      <c r="J333" s="191"/>
      <c r="K333" s="191" t="str">
        <f t="shared" si="3"/>
        <v/>
      </c>
      <c r="L333" s="187"/>
      <c r="M333" s="192" t="str">
        <f t="shared" si="4"/>
        <v/>
      </c>
      <c r="N333" s="185" t="str">
        <f t="shared" si="5"/>
        <v/>
      </c>
    </row>
    <row r="334" ht="15.75" customHeight="1">
      <c r="A334" s="186"/>
      <c r="B334" s="187"/>
      <c r="C334" s="187"/>
      <c r="D334" s="188" t="str">
        <f>IF(C334="","",IFERROR(VLOOKUP(C334,Inventory!$A:$B,2,FALSE),""))</f>
        <v/>
      </c>
      <c r="E334" s="188" t="str">
        <f>IF(C334="","",IFERROR(VLOOKUP(C334,Inventory!$A:$C,3,FALSE),""))</f>
        <v/>
      </c>
      <c r="F334" s="187"/>
      <c r="G334" s="180" t="str">
        <f>IF(C334="","",IFERROR(VLOOKUP(C334,Inventory!$A:$I,9,FALSE),0))</f>
        <v/>
      </c>
      <c r="H334" s="189" t="str">
        <f t="shared" si="1"/>
        <v/>
      </c>
      <c r="I334" s="190" t="str">
        <f t="shared" si="2"/>
        <v/>
      </c>
      <c r="J334" s="191"/>
      <c r="K334" s="191" t="str">
        <f t="shared" si="3"/>
        <v/>
      </c>
      <c r="L334" s="187"/>
      <c r="M334" s="192" t="str">
        <f t="shared" si="4"/>
        <v/>
      </c>
      <c r="N334" s="185" t="str">
        <f t="shared" si="5"/>
        <v/>
      </c>
    </row>
    <row r="335" ht="15.75" customHeight="1">
      <c r="A335" s="186"/>
      <c r="B335" s="187"/>
      <c r="C335" s="187"/>
      <c r="D335" s="188" t="str">
        <f>IF(C335="","",IFERROR(VLOOKUP(C335,Inventory!$A:$B,2,FALSE),""))</f>
        <v/>
      </c>
      <c r="E335" s="188" t="str">
        <f>IF(C335="","",IFERROR(VLOOKUP(C335,Inventory!$A:$C,3,FALSE),""))</f>
        <v/>
      </c>
      <c r="F335" s="187"/>
      <c r="G335" s="180" t="str">
        <f>IF(C335="","",IFERROR(VLOOKUP(C335,Inventory!$A:$I,9,FALSE),0))</f>
        <v/>
      </c>
      <c r="H335" s="189" t="str">
        <f t="shared" si="1"/>
        <v/>
      </c>
      <c r="I335" s="190" t="str">
        <f t="shared" si="2"/>
        <v/>
      </c>
      <c r="J335" s="191"/>
      <c r="K335" s="191" t="str">
        <f t="shared" si="3"/>
        <v/>
      </c>
      <c r="L335" s="187"/>
      <c r="M335" s="192" t="str">
        <f t="shared" si="4"/>
        <v/>
      </c>
      <c r="N335" s="185" t="str">
        <f t="shared" si="5"/>
        <v/>
      </c>
    </row>
    <row r="336" ht="15.75" customHeight="1">
      <c r="A336" s="186"/>
      <c r="B336" s="187"/>
      <c r="C336" s="187"/>
      <c r="D336" s="188" t="str">
        <f>IF(C336="","",IFERROR(VLOOKUP(C336,Inventory!$A:$B,2,FALSE),""))</f>
        <v/>
      </c>
      <c r="E336" s="188" t="str">
        <f>IF(C336="","",IFERROR(VLOOKUP(C336,Inventory!$A:$C,3,FALSE),""))</f>
        <v/>
      </c>
      <c r="F336" s="187"/>
      <c r="G336" s="180" t="str">
        <f>IF(C336="","",IFERROR(VLOOKUP(C336,Inventory!$A:$I,9,FALSE),0))</f>
        <v/>
      </c>
      <c r="H336" s="189" t="str">
        <f t="shared" si="1"/>
        <v/>
      </c>
      <c r="I336" s="190" t="str">
        <f t="shared" si="2"/>
        <v/>
      </c>
      <c r="J336" s="191"/>
      <c r="K336" s="191" t="str">
        <f t="shared" si="3"/>
        <v/>
      </c>
      <c r="L336" s="187"/>
      <c r="M336" s="192" t="str">
        <f t="shared" si="4"/>
        <v/>
      </c>
      <c r="N336" s="185" t="str">
        <f t="shared" si="5"/>
        <v/>
      </c>
    </row>
    <row r="337" ht="15.75" customHeight="1">
      <c r="A337" s="186"/>
      <c r="B337" s="187"/>
      <c r="C337" s="187"/>
      <c r="D337" s="188" t="str">
        <f>IF(C337="","",IFERROR(VLOOKUP(C337,Inventory!$A:$B,2,FALSE),""))</f>
        <v/>
      </c>
      <c r="E337" s="188" t="str">
        <f>IF(C337="","",IFERROR(VLOOKUP(C337,Inventory!$A:$C,3,FALSE),""))</f>
        <v/>
      </c>
      <c r="F337" s="187"/>
      <c r="G337" s="180" t="str">
        <f>IF(C337="","",IFERROR(VLOOKUP(C337,Inventory!$A:$I,9,FALSE),0))</f>
        <v/>
      </c>
      <c r="H337" s="189" t="str">
        <f t="shared" si="1"/>
        <v/>
      </c>
      <c r="I337" s="190" t="str">
        <f t="shared" si="2"/>
        <v/>
      </c>
      <c r="J337" s="191"/>
      <c r="K337" s="191" t="str">
        <f t="shared" si="3"/>
        <v/>
      </c>
      <c r="L337" s="187"/>
      <c r="M337" s="192" t="str">
        <f t="shared" si="4"/>
        <v/>
      </c>
      <c r="N337" s="185" t="str">
        <f t="shared" si="5"/>
        <v/>
      </c>
    </row>
    <row r="338" ht="15.75" customHeight="1">
      <c r="A338" s="186"/>
      <c r="B338" s="187"/>
      <c r="C338" s="187"/>
      <c r="D338" s="188" t="str">
        <f>IF(C338="","",IFERROR(VLOOKUP(C338,Inventory!$A:$B,2,FALSE),""))</f>
        <v/>
      </c>
      <c r="E338" s="188" t="str">
        <f>IF(C338="","",IFERROR(VLOOKUP(C338,Inventory!$A:$C,3,FALSE),""))</f>
        <v/>
      </c>
      <c r="F338" s="187"/>
      <c r="G338" s="180" t="str">
        <f>IF(C338="","",IFERROR(VLOOKUP(C338,Inventory!$A:$I,9,FALSE),0))</f>
        <v/>
      </c>
      <c r="H338" s="189" t="str">
        <f t="shared" si="1"/>
        <v/>
      </c>
      <c r="I338" s="190" t="str">
        <f t="shared" si="2"/>
        <v/>
      </c>
      <c r="J338" s="191"/>
      <c r="K338" s="191" t="str">
        <f t="shared" si="3"/>
        <v/>
      </c>
      <c r="L338" s="187"/>
      <c r="M338" s="192" t="str">
        <f t="shared" si="4"/>
        <v/>
      </c>
      <c r="N338" s="185" t="str">
        <f t="shared" si="5"/>
        <v/>
      </c>
    </row>
    <row r="339" ht="15.75" customHeight="1">
      <c r="A339" s="186"/>
      <c r="B339" s="187"/>
      <c r="C339" s="187"/>
      <c r="D339" s="188" t="str">
        <f>IF(C339="","",IFERROR(VLOOKUP(C339,Inventory!$A:$B,2,FALSE),""))</f>
        <v/>
      </c>
      <c r="E339" s="188" t="str">
        <f>IF(C339="","",IFERROR(VLOOKUP(C339,Inventory!$A:$C,3,FALSE),""))</f>
        <v/>
      </c>
      <c r="F339" s="187"/>
      <c r="G339" s="180" t="str">
        <f>IF(C339="","",IFERROR(VLOOKUP(C339,Inventory!$A:$I,9,FALSE),0))</f>
        <v/>
      </c>
      <c r="H339" s="189" t="str">
        <f t="shared" si="1"/>
        <v/>
      </c>
      <c r="I339" s="190" t="str">
        <f t="shared" si="2"/>
        <v/>
      </c>
      <c r="J339" s="191"/>
      <c r="K339" s="191" t="str">
        <f t="shared" si="3"/>
        <v/>
      </c>
      <c r="L339" s="187"/>
      <c r="M339" s="192" t="str">
        <f t="shared" si="4"/>
        <v/>
      </c>
      <c r="N339" s="185" t="str">
        <f t="shared" si="5"/>
        <v/>
      </c>
    </row>
    <row r="340" ht="15.75" customHeight="1">
      <c r="A340" s="186"/>
      <c r="B340" s="187"/>
      <c r="C340" s="187"/>
      <c r="D340" s="188" t="str">
        <f>IF(C340="","",IFERROR(VLOOKUP(C340,Inventory!$A:$B,2,FALSE),""))</f>
        <v/>
      </c>
      <c r="E340" s="188" t="str">
        <f>IF(C340="","",IFERROR(VLOOKUP(C340,Inventory!$A:$C,3,FALSE),""))</f>
        <v/>
      </c>
      <c r="F340" s="187"/>
      <c r="G340" s="180" t="str">
        <f>IF(C340="","",IFERROR(VLOOKUP(C340,Inventory!$A:$I,9,FALSE),0))</f>
        <v/>
      </c>
      <c r="H340" s="189" t="str">
        <f t="shared" si="1"/>
        <v/>
      </c>
      <c r="I340" s="190" t="str">
        <f t="shared" si="2"/>
        <v/>
      </c>
      <c r="J340" s="191"/>
      <c r="K340" s="191" t="str">
        <f t="shared" si="3"/>
        <v/>
      </c>
      <c r="L340" s="187"/>
      <c r="M340" s="192" t="str">
        <f t="shared" si="4"/>
        <v/>
      </c>
      <c r="N340" s="185" t="str">
        <f t="shared" si="5"/>
        <v/>
      </c>
    </row>
    <row r="341" ht="15.75" customHeight="1">
      <c r="A341" s="186"/>
      <c r="B341" s="187"/>
      <c r="C341" s="187"/>
      <c r="D341" s="188" t="str">
        <f>IF(C341="","",IFERROR(VLOOKUP(C341,Inventory!$A:$B,2,FALSE),""))</f>
        <v/>
      </c>
      <c r="E341" s="188" t="str">
        <f>IF(C341="","",IFERROR(VLOOKUP(C341,Inventory!$A:$C,3,FALSE),""))</f>
        <v/>
      </c>
      <c r="F341" s="187"/>
      <c r="G341" s="180" t="str">
        <f>IF(C341="","",IFERROR(VLOOKUP(C341,Inventory!$A:$I,9,FALSE),0))</f>
        <v/>
      </c>
      <c r="H341" s="189" t="str">
        <f t="shared" si="1"/>
        <v/>
      </c>
      <c r="I341" s="190" t="str">
        <f t="shared" si="2"/>
        <v/>
      </c>
      <c r="J341" s="191"/>
      <c r="K341" s="191" t="str">
        <f t="shared" si="3"/>
        <v/>
      </c>
      <c r="L341" s="187"/>
      <c r="M341" s="192" t="str">
        <f t="shared" si="4"/>
        <v/>
      </c>
      <c r="N341" s="185" t="str">
        <f t="shared" si="5"/>
        <v/>
      </c>
    </row>
    <row r="342" ht="15.75" customHeight="1">
      <c r="A342" s="186"/>
      <c r="B342" s="187"/>
      <c r="C342" s="187"/>
      <c r="D342" s="188" t="str">
        <f>IF(C342="","",IFERROR(VLOOKUP(C342,Inventory!$A:$B,2,FALSE),""))</f>
        <v/>
      </c>
      <c r="E342" s="188" t="str">
        <f>IF(C342="","",IFERROR(VLOOKUP(C342,Inventory!$A:$C,3,FALSE),""))</f>
        <v/>
      </c>
      <c r="F342" s="187"/>
      <c r="G342" s="180" t="str">
        <f>IF(C342="","",IFERROR(VLOOKUP(C342,Inventory!$A:$I,9,FALSE),0))</f>
        <v/>
      </c>
      <c r="H342" s="189" t="str">
        <f t="shared" si="1"/>
        <v/>
      </c>
      <c r="I342" s="190" t="str">
        <f t="shared" si="2"/>
        <v/>
      </c>
      <c r="J342" s="191"/>
      <c r="K342" s="191" t="str">
        <f t="shared" si="3"/>
        <v/>
      </c>
      <c r="L342" s="187"/>
      <c r="M342" s="192" t="str">
        <f t="shared" si="4"/>
        <v/>
      </c>
      <c r="N342" s="185" t="str">
        <f t="shared" si="5"/>
        <v/>
      </c>
    </row>
    <row r="343" ht="15.75" customHeight="1">
      <c r="A343" s="186"/>
      <c r="B343" s="187"/>
      <c r="C343" s="187"/>
      <c r="D343" s="188" t="str">
        <f>IF(C343="","",IFERROR(VLOOKUP(C343,Inventory!$A:$B,2,FALSE),""))</f>
        <v/>
      </c>
      <c r="E343" s="188" t="str">
        <f>IF(C343="","",IFERROR(VLOOKUP(C343,Inventory!$A:$C,3,FALSE),""))</f>
        <v/>
      </c>
      <c r="F343" s="187"/>
      <c r="G343" s="180" t="str">
        <f>IF(C343="","",IFERROR(VLOOKUP(C343,Inventory!$A:$I,9,FALSE),0))</f>
        <v/>
      </c>
      <c r="H343" s="189" t="str">
        <f t="shared" si="1"/>
        <v/>
      </c>
      <c r="I343" s="190" t="str">
        <f t="shared" si="2"/>
        <v/>
      </c>
      <c r="J343" s="191"/>
      <c r="K343" s="191" t="str">
        <f t="shared" si="3"/>
        <v/>
      </c>
      <c r="L343" s="187"/>
      <c r="M343" s="192" t="str">
        <f t="shared" si="4"/>
        <v/>
      </c>
      <c r="N343" s="185" t="str">
        <f t="shared" si="5"/>
        <v/>
      </c>
    </row>
    <row r="344" ht="15.75" customHeight="1">
      <c r="A344" s="186"/>
      <c r="B344" s="187"/>
      <c r="C344" s="187"/>
      <c r="D344" s="188" t="str">
        <f>IF(C344="","",IFERROR(VLOOKUP(C344,Inventory!$A:$B,2,FALSE),""))</f>
        <v/>
      </c>
      <c r="E344" s="188" t="str">
        <f>IF(C344="","",IFERROR(VLOOKUP(C344,Inventory!$A:$C,3,FALSE),""))</f>
        <v/>
      </c>
      <c r="F344" s="187"/>
      <c r="G344" s="180" t="str">
        <f>IF(C344="","",IFERROR(VLOOKUP(C344,Inventory!$A:$I,9,FALSE),0))</f>
        <v/>
      </c>
      <c r="H344" s="189" t="str">
        <f t="shared" si="1"/>
        <v/>
      </c>
      <c r="I344" s="190" t="str">
        <f t="shared" si="2"/>
        <v/>
      </c>
      <c r="J344" s="191"/>
      <c r="K344" s="191" t="str">
        <f t="shared" si="3"/>
        <v/>
      </c>
      <c r="L344" s="187"/>
      <c r="M344" s="192" t="str">
        <f t="shared" si="4"/>
        <v/>
      </c>
      <c r="N344" s="185" t="str">
        <f t="shared" si="5"/>
        <v/>
      </c>
    </row>
    <row r="345" ht="15.75" customHeight="1">
      <c r="A345" s="186"/>
      <c r="B345" s="187"/>
      <c r="C345" s="187"/>
      <c r="D345" s="188" t="str">
        <f>IF(C345="","",IFERROR(VLOOKUP(C345,Inventory!$A:$B,2,FALSE),""))</f>
        <v/>
      </c>
      <c r="E345" s="188" t="str">
        <f>IF(C345="","",IFERROR(VLOOKUP(C345,Inventory!$A:$C,3,FALSE),""))</f>
        <v/>
      </c>
      <c r="F345" s="187"/>
      <c r="G345" s="180" t="str">
        <f>IF(C345="","",IFERROR(VLOOKUP(C345,Inventory!$A:$I,9,FALSE),0))</f>
        <v/>
      </c>
      <c r="H345" s="189" t="str">
        <f t="shared" si="1"/>
        <v/>
      </c>
      <c r="I345" s="190" t="str">
        <f t="shared" si="2"/>
        <v/>
      </c>
      <c r="J345" s="191"/>
      <c r="K345" s="191" t="str">
        <f t="shared" si="3"/>
        <v/>
      </c>
      <c r="L345" s="187"/>
      <c r="M345" s="192" t="str">
        <f t="shared" si="4"/>
        <v/>
      </c>
      <c r="N345" s="185" t="str">
        <f t="shared" si="5"/>
        <v/>
      </c>
    </row>
    <row r="346" ht="15.75" customHeight="1">
      <c r="A346" s="186"/>
      <c r="B346" s="187"/>
      <c r="C346" s="187"/>
      <c r="D346" s="188" t="str">
        <f>IF(C346="","",IFERROR(VLOOKUP(C346,Inventory!$A:$B,2,FALSE),""))</f>
        <v/>
      </c>
      <c r="E346" s="188" t="str">
        <f>IF(C346="","",IFERROR(VLOOKUP(C346,Inventory!$A:$C,3,FALSE),""))</f>
        <v/>
      </c>
      <c r="F346" s="187"/>
      <c r="G346" s="180" t="str">
        <f>IF(C346="","",IFERROR(VLOOKUP(C346,Inventory!$A:$I,9,FALSE),0))</f>
        <v/>
      </c>
      <c r="H346" s="189" t="str">
        <f t="shared" si="1"/>
        <v/>
      </c>
      <c r="I346" s="190" t="str">
        <f t="shared" si="2"/>
        <v/>
      </c>
      <c r="J346" s="191"/>
      <c r="K346" s="191" t="str">
        <f t="shared" si="3"/>
        <v/>
      </c>
      <c r="L346" s="187"/>
      <c r="M346" s="192" t="str">
        <f t="shared" si="4"/>
        <v/>
      </c>
      <c r="N346" s="185" t="str">
        <f t="shared" si="5"/>
        <v/>
      </c>
    </row>
    <row r="347" ht="15.75" customHeight="1">
      <c r="A347" s="186"/>
      <c r="B347" s="187"/>
      <c r="C347" s="187"/>
      <c r="D347" s="188" t="str">
        <f>IF(C347="","",IFERROR(VLOOKUP(C347,Inventory!$A:$B,2,FALSE),""))</f>
        <v/>
      </c>
      <c r="E347" s="188" t="str">
        <f>IF(C347="","",IFERROR(VLOOKUP(C347,Inventory!$A:$C,3,FALSE),""))</f>
        <v/>
      </c>
      <c r="F347" s="187"/>
      <c r="G347" s="180" t="str">
        <f>IF(C347="","",IFERROR(VLOOKUP(C347,Inventory!$A:$I,9,FALSE),0))</f>
        <v/>
      </c>
      <c r="H347" s="189" t="str">
        <f t="shared" si="1"/>
        <v/>
      </c>
      <c r="I347" s="190" t="str">
        <f t="shared" si="2"/>
        <v/>
      </c>
      <c r="J347" s="191"/>
      <c r="K347" s="191" t="str">
        <f t="shared" si="3"/>
        <v/>
      </c>
      <c r="L347" s="187"/>
      <c r="M347" s="192" t="str">
        <f t="shared" si="4"/>
        <v/>
      </c>
      <c r="N347" s="185" t="str">
        <f t="shared" si="5"/>
        <v/>
      </c>
    </row>
    <row r="348" ht="15.75" customHeight="1">
      <c r="A348" s="186"/>
      <c r="B348" s="187"/>
      <c r="C348" s="187"/>
      <c r="D348" s="188" t="str">
        <f>IF(C348="","",IFERROR(VLOOKUP(C348,Inventory!$A:$B,2,FALSE),""))</f>
        <v/>
      </c>
      <c r="E348" s="188" t="str">
        <f>IF(C348="","",IFERROR(VLOOKUP(C348,Inventory!$A:$C,3,FALSE),""))</f>
        <v/>
      </c>
      <c r="F348" s="187"/>
      <c r="G348" s="180" t="str">
        <f>IF(C348="","",IFERROR(VLOOKUP(C348,Inventory!$A:$I,9,FALSE),0))</f>
        <v/>
      </c>
      <c r="H348" s="189" t="str">
        <f t="shared" si="1"/>
        <v/>
      </c>
      <c r="I348" s="190" t="str">
        <f t="shared" si="2"/>
        <v/>
      </c>
      <c r="J348" s="191"/>
      <c r="K348" s="191" t="str">
        <f t="shared" si="3"/>
        <v/>
      </c>
      <c r="L348" s="187"/>
      <c r="M348" s="192" t="str">
        <f t="shared" si="4"/>
        <v/>
      </c>
      <c r="N348" s="185" t="str">
        <f t="shared" si="5"/>
        <v/>
      </c>
    </row>
    <row r="349" ht="15.75" customHeight="1">
      <c r="A349" s="186"/>
      <c r="B349" s="187"/>
      <c r="C349" s="187"/>
      <c r="D349" s="188" t="str">
        <f>IF(C349="","",IFERROR(VLOOKUP(C349,Inventory!$A:$B,2,FALSE),""))</f>
        <v/>
      </c>
      <c r="E349" s="188" t="str">
        <f>IF(C349="","",IFERROR(VLOOKUP(C349,Inventory!$A:$C,3,FALSE),""))</f>
        <v/>
      </c>
      <c r="F349" s="187"/>
      <c r="G349" s="180" t="str">
        <f>IF(C349="","",IFERROR(VLOOKUP(C349,Inventory!$A:$I,9,FALSE),0))</f>
        <v/>
      </c>
      <c r="H349" s="189" t="str">
        <f t="shared" si="1"/>
        <v/>
      </c>
      <c r="I349" s="190" t="str">
        <f t="shared" si="2"/>
        <v/>
      </c>
      <c r="J349" s="191"/>
      <c r="K349" s="191" t="str">
        <f t="shared" si="3"/>
        <v/>
      </c>
      <c r="L349" s="187"/>
      <c r="M349" s="192" t="str">
        <f t="shared" si="4"/>
        <v/>
      </c>
      <c r="N349" s="185" t="str">
        <f t="shared" si="5"/>
        <v/>
      </c>
    </row>
    <row r="350" ht="15.75" customHeight="1">
      <c r="A350" s="186"/>
      <c r="B350" s="187"/>
      <c r="C350" s="187"/>
      <c r="D350" s="188" t="str">
        <f>IF(C350="","",IFERROR(VLOOKUP(C350,Inventory!$A:$B,2,FALSE),""))</f>
        <v/>
      </c>
      <c r="E350" s="188" t="str">
        <f>IF(C350="","",IFERROR(VLOOKUP(C350,Inventory!$A:$C,3,FALSE),""))</f>
        <v/>
      </c>
      <c r="F350" s="187"/>
      <c r="G350" s="180" t="str">
        <f>IF(C350="","",IFERROR(VLOOKUP(C350,Inventory!$A:$I,9,FALSE),0))</f>
        <v/>
      </c>
      <c r="H350" s="189" t="str">
        <f t="shared" si="1"/>
        <v/>
      </c>
      <c r="I350" s="190" t="str">
        <f t="shared" si="2"/>
        <v/>
      </c>
      <c r="J350" s="191"/>
      <c r="K350" s="191" t="str">
        <f t="shared" si="3"/>
        <v/>
      </c>
      <c r="L350" s="187"/>
      <c r="M350" s="192" t="str">
        <f t="shared" si="4"/>
        <v/>
      </c>
      <c r="N350" s="185" t="str">
        <f t="shared" si="5"/>
        <v/>
      </c>
    </row>
    <row r="351" ht="15.75" customHeight="1">
      <c r="A351" s="186"/>
      <c r="B351" s="187"/>
      <c r="C351" s="187"/>
      <c r="D351" s="188" t="str">
        <f>IF(C351="","",IFERROR(VLOOKUP(C351,Inventory!$A:$B,2,FALSE),""))</f>
        <v/>
      </c>
      <c r="E351" s="188" t="str">
        <f>IF(C351="","",IFERROR(VLOOKUP(C351,Inventory!$A:$C,3,FALSE),""))</f>
        <v/>
      </c>
      <c r="F351" s="187"/>
      <c r="G351" s="180" t="str">
        <f>IF(C351="","",IFERROR(VLOOKUP(C351,Inventory!$A:$I,9,FALSE),0))</f>
        <v/>
      </c>
      <c r="H351" s="189" t="str">
        <f t="shared" si="1"/>
        <v/>
      </c>
      <c r="I351" s="190" t="str">
        <f t="shared" si="2"/>
        <v/>
      </c>
      <c r="J351" s="191"/>
      <c r="K351" s="191" t="str">
        <f t="shared" si="3"/>
        <v/>
      </c>
      <c r="L351" s="187"/>
      <c r="M351" s="192" t="str">
        <f t="shared" si="4"/>
        <v/>
      </c>
      <c r="N351" s="185" t="str">
        <f t="shared" si="5"/>
        <v/>
      </c>
    </row>
    <row r="352" ht="15.75" customHeight="1">
      <c r="A352" s="186"/>
      <c r="B352" s="187"/>
      <c r="C352" s="187"/>
      <c r="D352" s="188" t="str">
        <f>IF(C352="","",IFERROR(VLOOKUP(C352,Inventory!$A:$B,2,FALSE),""))</f>
        <v/>
      </c>
      <c r="E352" s="188" t="str">
        <f>IF(C352="","",IFERROR(VLOOKUP(C352,Inventory!$A:$C,3,FALSE),""))</f>
        <v/>
      </c>
      <c r="F352" s="187"/>
      <c r="G352" s="180" t="str">
        <f>IF(C352="","",IFERROR(VLOOKUP(C352,Inventory!$A:$I,9,FALSE),0))</f>
        <v/>
      </c>
      <c r="H352" s="189" t="str">
        <f t="shared" si="1"/>
        <v/>
      </c>
      <c r="I352" s="190" t="str">
        <f t="shared" si="2"/>
        <v/>
      </c>
      <c r="J352" s="191"/>
      <c r="K352" s="191" t="str">
        <f t="shared" si="3"/>
        <v/>
      </c>
      <c r="L352" s="187"/>
      <c r="M352" s="192" t="str">
        <f t="shared" si="4"/>
        <v/>
      </c>
      <c r="N352" s="185" t="str">
        <f t="shared" si="5"/>
        <v/>
      </c>
    </row>
    <row r="353" ht="15.75" customHeight="1">
      <c r="A353" s="186"/>
      <c r="B353" s="187"/>
      <c r="C353" s="187"/>
      <c r="D353" s="188" t="str">
        <f>IF(C353="","",IFERROR(VLOOKUP(C353,Inventory!$A:$B,2,FALSE),""))</f>
        <v/>
      </c>
      <c r="E353" s="188" t="str">
        <f>IF(C353="","",IFERROR(VLOOKUP(C353,Inventory!$A:$C,3,FALSE),""))</f>
        <v/>
      </c>
      <c r="F353" s="187"/>
      <c r="G353" s="180" t="str">
        <f>IF(C353="","",IFERROR(VLOOKUP(C353,Inventory!$A:$I,9,FALSE),0))</f>
        <v/>
      </c>
      <c r="H353" s="189" t="str">
        <f t="shared" si="1"/>
        <v/>
      </c>
      <c r="I353" s="190" t="str">
        <f t="shared" si="2"/>
        <v/>
      </c>
      <c r="J353" s="191"/>
      <c r="K353" s="191" t="str">
        <f t="shared" si="3"/>
        <v/>
      </c>
      <c r="L353" s="187"/>
      <c r="M353" s="192" t="str">
        <f t="shared" si="4"/>
        <v/>
      </c>
      <c r="N353" s="185" t="str">
        <f t="shared" si="5"/>
        <v/>
      </c>
    </row>
    <row r="354" ht="15.75" customHeight="1">
      <c r="A354" s="186"/>
      <c r="B354" s="187"/>
      <c r="C354" s="187"/>
      <c r="D354" s="188" t="str">
        <f>IF(C354="","",IFERROR(VLOOKUP(C354,Inventory!$A:$B,2,FALSE),""))</f>
        <v/>
      </c>
      <c r="E354" s="188" t="str">
        <f>IF(C354="","",IFERROR(VLOOKUP(C354,Inventory!$A:$C,3,FALSE),""))</f>
        <v/>
      </c>
      <c r="F354" s="187"/>
      <c r="G354" s="180" t="str">
        <f>IF(C354="","",IFERROR(VLOOKUP(C354,Inventory!$A:$I,9,FALSE),0))</f>
        <v/>
      </c>
      <c r="H354" s="189" t="str">
        <f t="shared" si="1"/>
        <v/>
      </c>
      <c r="I354" s="190" t="str">
        <f t="shared" si="2"/>
        <v/>
      </c>
      <c r="J354" s="191"/>
      <c r="K354" s="191" t="str">
        <f t="shared" si="3"/>
        <v/>
      </c>
      <c r="L354" s="187"/>
      <c r="M354" s="192" t="str">
        <f t="shared" si="4"/>
        <v/>
      </c>
      <c r="N354" s="185" t="str">
        <f t="shared" si="5"/>
        <v/>
      </c>
    </row>
    <row r="355" ht="15.75" customHeight="1">
      <c r="A355" s="186"/>
      <c r="B355" s="187"/>
      <c r="C355" s="187"/>
      <c r="D355" s="188" t="str">
        <f>IF(C355="","",IFERROR(VLOOKUP(C355,Inventory!$A:$B,2,FALSE),""))</f>
        <v/>
      </c>
      <c r="E355" s="188" t="str">
        <f>IF(C355="","",IFERROR(VLOOKUP(C355,Inventory!$A:$C,3,FALSE),""))</f>
        <v/>
      </c>
      <c r="F355" s="187"/>
      <c r="G355" s="180" t="str">
        <f>IF(C355="","",IFERROR(VLOOKUP(C355,Inventory!$A:$I,9,FALSE),0))</f>
        <v/>
      </c>
      <c r="H355" s="189" t="str">
        <f t="shared" si="1"/>
        <v/>
      </c>
      <c r="I355" s="190" t="str">
        <f t="shared" si="2"/>
        <v/>
      </c>
      <c r="J355" s="191"/>
      <c r="K355" s="191" t="str">
        <f t="shared" si="3"/>
        <v/>
      </c>
      <c r="L355" s="187"/>
      <c r="M355" s="192" t="str">
        <f t="shared" si="4"/>
        <v/>
      </c>
      <c r="N355" s="185" t="str">
        <f t="shared" si="5"/>
        <v/>
      </c>
    </row>
    <row r="356" ht="15.75" customHeight="1">
      <c r="A356" s="186"/>
      <c r="B356" s="187"/>
      <c r="C356" s="187"/>
      <c r="D356" s="188" t="str">
        <f>IF(C356="","",IFERROR(VLOOKUP(C356,Inventory!$A:$B,2,FALSE),""))</f>
        <v/>
      </c>
      <c r="E356" s="188" t="str">
        <f>IF(C356="","",IFERROR(VLOOKUP(C356,Inventory!$A:$C,3,FALSE),""))</f>
        <v/>
      </c>
      <c r="F356" s="187"/>
      <c r="G356" s="180" t="str">
        <f>IF(C356="","",IFERROR(VLOOKUP(C356,Inventory!$A:$I,9,FALSE),0))</f>
        <v/>
      </c>
      <c r="H356" s="189" t="str">
        <f t="shared" si="1"/>
        <v/>
      </c>
      <c r="I356" s="190" t="str">
        <f t="shared" si="2"/>
        <v/>
      </c>
      <c r="J356" s="191"/>
      <c r="K356" s="191" t="str">
        <f t="shared" si="3"/>
        <v/>
      </c>
      <c r="L356" s="187"/>
      <c r="M356" s="192" t="str">
        <f t="shared" si="4"/>
        <v/>
      </c>
      <c r="N356" s="185" t="str">
        <f t="shared" si="5"/>
        <v/>
      </c>
    </row>
    <row r="357" ht="15.75" customHeight="1">
      <c r="A357" s="186"/>
      <c r="B357" s="187"/>
      <c r="C357" s="187"/>
      <c r="D357" s="188" t="str">
        <f>IF(C357="","",IFERROR(VLOOKUP(C357,Inventory!$A:$B,2,FALSE),""))</f>
        <v/>
      </c>
      <c r="E357" s="188" t="str">
        <f>IF(C357="","",IFERROR(VLOOKUP(C357,Inventory!$A:$C,3,FALSE),""))</f>
        <v/>
      </c>
      <c r="F357" s="187"/>
      <c r="G357" s="180" t="str">
        <f>IF(C357="","",IFERROR(VLOOKUP(C357,Inventory!$A:$I,9,FALSE),0))</f>
        <v/>
      </c>
      <c r="H357" s="189" t="str">
        <f t="shared" si="1"/>
        <v/>
      </c>
      <c r="I357" s="190" t="str">
        <f t="shared" si="2"/>
        <v/>
      </c>
      <c r="J357" s="191"/>
      <c r="K357" s="191" t="str">
        <f t="shared" si="3"/>
        <v/>
      </c>
      <c r="L357" s="187"/>
      <c r="M357" s="192" t="str">
        <f t="shared" si="4"/>
        <v/>
      </c>
      <c r="N357" s="185" t="str">
        <f t="shared" si="5"/>
        <v/>
      </c>
    </row>
    <row r="358" ht="15.75" customHeight="1">
      <c r="A358" s="186"/>
      <c r="B358" s="187"/>
      <c r="C358" s="187"/>
      <c r="D358" s="188" t="str">
        <f>IF(C358="","",IFERROR(VLOOKUP(C358,Inventory!$A:$B,2,FALSE),""))</f>
        <v/>
      </c>
      <c r="E358" s="188" t="str">
        <f>IF(C358="","",IFERROR(VLOOKUP(C358,Inventory!$A:$C,3,FALSE),""))</f>
        <v/>
      </c>
      <c r="F358" s="187"/>
      <c r="G358" s="180" t="str">
        <f>IF(C358="","",IFERROR(VLOOKUP(C358,Inventory!$A:$I,9,FALSE),0))</f>
        <v/>
      </c>
      <c r="H358" s="189" t="str">
        <f t="shared" si="1"/>
        <v/>
      </c>
      <c r="I358" s="190" t="str">
        <f t="shared" si="2"/>
        <v/>
      </c>
      <c r="J358" s="191"/>
      <c r="K358" s="191" t="str">
        <f t="shared" si="3"/>
        <v/>
      </c>
      <c r="L358" s="187"/>
      <c r="M358" s="192" t="str">
        <f t="shared" si="4"/>
        <v/>
      </c>
      <c r="N358" s="185" t="str">
        <f t="shared" si="5"/>
        <v/>
      </c>
    </row>
    <row r="359" ht="15.75" customHeight="1">
      <c r="A359" s="186"/>
      <c r="B359" s="187"/>
      <c r="C359" s="187"/>
      <c r="D359" s="188" t="str">
        <f>IF(C359="","",IFERROR(VLOOKUP(C359,Inventory!$A:$B,2,FALSE),""))</f>
        <v/>
      </c>
      <c r="E359" s="188" t="str">
        <f>IF(C359="","",IFERROR(VLOOKUP(C359,Inventory!$A:$C,3,FALSE),""))</f>
        <v/>
      </c>
      <c r="F359" s="187"/>
      <c r="G359" s="180" t="str">
        <f>IF(C359="","",IFERROR(VLOOKUP(C359,Inventory!$A:$I,9,FALSE),0))</f>
        <v/>
      </c>
      <c r="H359" s="189" t="str">
        <f t="shared" si="1"/>
        <v/>
      </c>
      <c r="I359" s="190" t="str">
        <f t="shared" si="2"/>
        <v/>
      </c>
      <c r="J359" s="191"/>
      <c r="K359" s="191" t="str">
        <f t="shared" si="3"/>
        <v/>
      </c>
      <c r="L359" s="187"/>
      <c r="M359" s="192" t="str">
        <f t="shared" si="4"/>
        <v/>
      </c>
      <c r="N359" s="185" t="str">
        <f t="shared" si="5"/>
        <v/>
      </c>
    </row>
    <row r="360" ht="15.75" customHeight="1">
      <c r="A360" s="186"/>
      <c r="B360" s="187"/>
      <c r="C360" s="187"/>
      <c r="D360" s="188" t="str">
        <f>IF(C360="","",IFERROR(VLOOKUP(C360,Inventory!$A:$B,2,FALSE),""))</f>
        <v/>
      </c>
      <c r="E360" s="188" t="str">
        <f>IF(C360="","",IFERROR(VLOOKUP(C360,Inventory!$A:$C,3,FALSE),""))</f>
        <v/>
      </c>
      <c r="F360" s="187"/>
      <c r="G360" s="180" t="str">
        <f>IF(C360="","",IFERROR(VLOOKUP(C360,Inventory!$A:$I,9,FALSE),0))</f>
        <v/>
      </c>
      <c r="H360" s="189" t="str">
        <f t="shared" si="1"/>
        <v/>
      </c>
      <c r="I360" s="190" t="str">
        <f t="shared" si="2"/>
        <v/>
      </c>
      <c r="J360" s="191"/>
      <c r="K360" s="191" t="str">
        <f t="shared" si="3"/>
        <v/>
      </c>
      <c r="L360" s="187"/>
      <c r="M360" s="192" t="str">
        <f t="shared" si="4"/>
        <v/>
      </c>
      <c r="N360" s="185" t="str">
        <f t="shared" si="5"/>
        <v/>
      </c>
    </row>
    <row r="361" ht="15.75" customHeight="1">
      <c r="A361" s="186"/>
      <c r="B361" s="187"/>
      <c r="C361" s="187"/>
      <c r="D361" s="188" t="str">
        <f>IF(C361="","",IFERROR(VLOOKUP(C361,Inventory!$A:$B,2,FALSE),""))</f>
        <v/>
      </c>
      <c r="E361" s="188" t="str">
        <f>IF(C361="","",IFERROR(VLOOKUP(C361,Inventory!$A:$C,3,FALSE),""))</f>
        <v/>
      </c>
      <c r="F361" s="187"/>
      <c r="G361" s="180" t="str">
        <f>IF(C361="","",IFERROR(VLOOKUP(C361,Inventory!$A:$I,9,FALSE),0))</f>
        <v/>
      </c>
      <c r="H361" s="189" t="str">
        <f t="shared" si="1"/>
        <v/>
      </c>
      <c r="I361" s="190" t="str">
        <f t="shared" si="2"/>
        <v/>
      </c>
      <c r="J361" s="191"/>
      <c r="K361" s="191" t="str">
        <f t="shared" si="3"/>
        <v/>
      </c>
      <c r="L361" s="187"/>
      <c r="M361" s="192" t="str">
        <f t="shared" si="4"/>
        <v/>
      </c>
      <c r="N361" s="185" t="str">
        <f t="shared" si="5"/>
        <v/>
      </c>
    </row>
    <row r="362" ht="15.75" customHeight="1">
      <c r="A362" s="186"/>
      <c r="B362" s="187"/>
      <c r="C362" s="187"/>
      <c r="D362" s="188" t="str">
        <f>IF(C362="","",IFERROR(VLOOKUP(C362,Inventory!$A:$B,2,FALSE),""))</f>
        <v/>
      </c>
      <c r="E362" s="188" t="str">
        <f>IF(C362="","",IFERROR(VLOOKUP(C362,Inventory!$A:$C,3,FALSE),""))</f>
        <v/>
      </c>
      <c r="F362" s="187"/>
      <c r="G362" s="180" t="str">
        <f>IF(C362="","",IFERROR(VLOOKUP(C362,Inventory!$A:$I,9,FALSE),0))</f>
        <v/>
      </c>
      <c r="H362" s="189" t="str">
        <f t="shared" si="1"/>
        <v/>
      </c>
      <c r="I362" s="190" t="str">
        <f t="shared" si="2"/>
        <v/>
      </c>
      <c r="J362" s="191"/>
      <c r="K362" s="191" t="str">
        <f t="shared" si="3"/>
        <v/>
      </c>
      <c r="L362" s="187"/>
      <c r="M362" s="192" t="str">
        <f t="shared" si="4"/>
        <v/>
      </c>
      <c r="N362" s="185" t="str">
        <f t="shared" si="5"/>
        <v/>
      </c>
    </row>
    <row r="363" ht="15.75" customHeight="1">
      <c r="A363" s="186"/>
      <c r="B363" s="187"/>
      <c r="C363" s="187"/>
      <c r="D363" s="188" t="str">
        <f>IF(C363="","",IFERROR(VLOOKUP(C363,Inventory!$A:$B,2,FALSE),""))</f>
        <v/>
      </c>
      <c r="E363" s="188" t="str">
        <f>IF(C363="","",IFERROR(VLOOKUP(C363,Inventory!$A:$C,3,FALSE),""))</f>
        <v/>
      </c>
      <c r="F363" s="187"/>
      <c r="G363" s="180" t="str">
        <f>IF(C363="","",IFERROR(VLOOKUP(C363,Inventory!$A:$I,9,FALSE),0))</f>
        <v/>
      </c>
      <c r="H363" s="189" t="str">
        <f t="shared" si="1"/>
        <v/>
      </c>
      <c r="I363" s="190" t="str">
        <f t="shared" si="2"/>
        <v/>
      </c>
      <c r="J363" s="191"/>
      <c r="K363" s="191" t="str">
        <f t="shared" si="3"/>
        <v/>
      </c>
      <c r="L363" s="187"/>
      <c r="M363" s="192" t="str">
        <f t="shared" si="4"/>
        <v/>
      </c>
      <c r="N363" s="185" t="str">
        <f t="shared" si="5"/>
        <v/>
      </c>
    </row>
    <row r="364" ht="15.75" customHeight="1">
      <c r="A364" s="186"/>
      <c r="B364" s="187"/>
      <c r="C364" s="187"/>
      <c r="D364" s="188" t="str">
        <f>IF(C364="","",IFERROR(VLOOKUP(C364,Inventory!$A:$B,2,FALSE),""))</f>
        <v/>
      </c>
      <c r="E364" s="188" t="str">
        <f>IF(C364="","",IFERROR(VLOOKUP(C364,Inventory!$A:$C,3,FALSE),""))</f>
        <v/>
      </c>
      <c r="F364" s="187"/>
      <c r="G364" s="180" t="str">
        <f>IF(C364="","",IFERROR(VLOOKUP(C364,Inventory!$A:$I,9,FALSE),0))</f>
        <v/>
      </c>
      <c r="H364" s="189" t="str">
        <f t="shared" si="1"/>
        <v/>
      </c>
      <c r="I364" s="190" t="str">
        <f t="shared" si="2"/>
        <v/>
      </c>
      <c r="J364" s="191"/>
      <c r="K364" s="191" t="str">
        <f t="shared" si="3"/>
        <v/>
      </c>
      <c r="L364" s="187"/>
      <c r="M364" s="192" t="str">
        <f t="shared" si="4"/>
        <v/>
      </c>
      <c r="N364" s="185" t="str">
        <f t="shared" si="5"/>
        <v/>
      </c>
    </row>
    <row r="365" ht="15.75" customHeight="1">
      <c r="A365" s="186"/>
      <c r="B365" s="187"/>
      <c r="C365" s="187"/>
      <c r="D365" s="188" t="str">
        <f>IF(C365="","",IFERROR(VLOOKUP(C365,Inventory!$A:$B,2,FALSE),""))</f>
        <v/>
      </c>
      <c r="E365" s="188" t="str">
        <f>IF(C365="","",IFERROR(VLOOKUP(C365,Inventory!$A:$C,3,FALSE),""))</f>
        <v/>
      </c>
      <c r="F365" s="187"/>
      <c r="G365" s="180" t="str">
        <f>IF(C365="","",IFERROR(VLOOKUP(C365,Inventory!$A:$I,9,FALSE),0))</f>
        <v/>
      </c>
      <c r="H365" s="189" t="str">
        <f t="shared" si="1"/>
        <v/>
      </c>
      <c r="I365" s="190" t="str">
        <f t="shared" si="2"/>
        <v/>
      </c>
      <c r="J365" s="191"/>
      <c r="K365" s="191" t="str">
        <f t="shared" si="3"/>
        <v/>
      </c>
      <c r="L365" s="187"/>
      <c r="M365" s="192" t="str">
        <f t="shared" si="4"/>
        <v/>
      </c>
      <c r="N365" s="185" t="str">
        <f t="shared" si="5"/>
        <v/>
      </c>
    </row>
    <row r="366" ht="15.75" customHeight="1">
      <c r="A366" s="186"/>
      <c r="B366" s="187"/>
      <c r="C366" s="187"/>
      <c r="D366" s="188" t="str">
        <f>IF(C366="","",IFERROR(VLOOKUP(C366,Inventory!$A:$B,2,FALSE),""))</f>
        <v/>
      </c>
      <c r="E366" s="188" t="str">
        <f>IF(C366="","",IFERROR(VLOOKUP(C366,Inventory!$A:$C,3,FALSE),""))</f>
        <v/>
      </c>
      <c r="F366" s="187"/>
      <c r="G366" s="180" t="str">
        <f>IF(C366="","",IFERROR(VLOOKUP(C366,Inventory!$A:$I,9,FALSE),0))</f>
        <v/>
      </c>
      <c r="H366" s="189" t="str">
        <f t="shared" si="1"/>
        <v/>
      </c>
      <c r="I366" s="190" t="str">
        <f t="shared" si="2"/>
        <v/>
      </c>
      <c r="J366" s="191"/>
      <c r="K366" s="191" t="str">
        <f t="shared" si="3"/>
        <v/>
      </c>
      <c r="L366" s="187"/>
      <c r="M366" s="192" t="str">
        <f t="shared" si="4"/>
        <v/>
      </c>
      <c r="N366" s="185" t="str">
        <f t="shared" si="5"/>
        <v/>
      </c>
    </row>
    <row r="367" ht="15.75" customHeight="1">
      <c r="A367" s="186"/>
      <c r="B367" s="187"/>
      <c r="C367" s="187"/>
      <c r="D367" s="188" t="str">
        <f>IF(C367="","",IFERROR(VLOOKUP(C367,Inventory!$A:$B,2,FALSE),""))</f>
        <v/>
      </c>
      <c r="E367" s="188" t="str">
        <f>IF(C367="","",IFERROR(VLOOKUP(C367,Inventory!$A:$C,3,FALSE),""))</f>
        <v/>
      </c>
      <c r="F367" s="187"/>
      <c r="G367" s="180" t="str">
        <f>IF(C367="","",IFERROR(VLOOKUP(C367,Inventory!$A:$I,9,FALSE),0))</f>
        <v/>
      </c>
      <c r="H367" s="189" t="str">
        <f t="shared" si="1"/>
        <v/>
      </c>
      <c r="I367" s="190" t="str">
        <f t="shared" si="2"/>
        <v/>
      </c>
      <c r="J367" s="191"/>
      <c r="K367" s="191" t="str">
        <f t="shared" si="3"/>
        <v/>
      </c>
      <c r="L367" s="187"/>
      <c r="M367" s="192" t="str">
        <f t="shared" si="4"/>
        <v/>
      </c>
      <c r="N367" s="185" t="str">
        <f t="shared" si="5"/>
        <v/>
      </c>
    </row>
    <row r="368" ht="15.75" customHeight="1">
      <c r="A368" s="186"/>
      <c r="B368" s="187"/>
      <c r="C368" s="187"/>
      <c r="D368" s="188" t="str">
        <f>IF(C368="","",IFERROR(VLOOKUP(C368,Inventory!$A:$B,2,FALSE),""))</f>
        <v/>
      </c>
      <c r="E368" s="188" t="str">
        <f>IF(C368="","",IFERROR(VLOOKUP(C368,Inventory!$A:$C,3,FALSE),""))</f>
        <v/>
      </c>
      <c r="F368" s="187"/>
      <c r="G368" s="180" t="str">
        <f>IF(C368="","",IFERROR(VLOOKUP(C368,Inventory!$A:$I,9,FALSE),0))</f>
        <v/>
      </c>
      <c r="H368" s="189" t="str">
        <f t="shared" si="1"/>
        <v/>
      </c>
      <c r="I368" s="190" t="str">
        <f t="shared" si="2"/>
        <v/>
      </c>
      <c r="J368" s="191"/>
      <c r="K368" s="191" t="str">
        <f t="shared" si="3"/>
        <v/>
      </c>
      <c r="L368" s="187"/>
      <c r="M368" s="192" t="str">
        <f t="shared" si="4"/>
        <v/>
      </c>
      <c r="N368" s="185" t="str">
        <f t="shared" si="5"/>
        <v/>
      </c>
    </row>
    <row r="369" ht="15.75" customHeight="1">
      <c r="A369" s="186"/>
      <c r="B369" s="187"/>
      <c r="C369" s="187"/>
      <c r="D369" s="188" t="str">
        <f>IF(C369="","",IFERROR(VLOOKUP(C369,Inventory!$A:$B,2,FALSE),""))</f>
        <v/>
      </c>
      <c r="E369" s="188" t="str">
        <f>IF(C369="","",IFERROR(VLOOKUP(C369,Inventory!$A:$C,3,FALSE),""))</f>
        <v/>
      </c>
      <c r="F369" s="187"/>
      <c r="G369" s="180" t="str">
        <f>IF(C369="","",IFERROR(VLOOKUP(C369,Inventory!$A:$I,9,FALSE),0))</f>
        <v/>
      </c>
      <c r="H369" s="189" t="str">
        <f t="shared" si="1"/>
        <v/>
      </c>
      <c r="I369" s="190" t="str">
        <f t="shared" si="2"/>
        <v/>
      </c>
      <c r="J369" s="191"/>
      <c r="K369" s="191" t="str">
        <f t="shared" si="3"/>
        <v/>
      </c>
      <c r="L369" s="187"/>
      <c r="M369" s="192" t="str">
        <f t="shared" si="4"/>
        <v/>
      </c>
      <c r="N369" s="185" t="str">
        <f t="shared" si="5"/>
        <v/>
      </c>
    </row>
    <row r="370" ht="15.75" customHeight="1">
      <c r="A370" s="186"/>
      <c r="B370" s="187"/>
      <c r="C370" s="187"/>
      <c r="D370" s="188" t="str">
        <f>IF(C370="","",IFERROR(VLOOKUP(C370,Inventory!$A:$B,2,FALSE),""))</f>
        <v/>
      </c>
      <c r="E370" s="188" t="str">
        <f>IF(C370="","",IFERROR(VLOOKUP(C370,Inventory!$A:$C,3,FALSE),""))</f>
        <v/>
      </c>
      <c r="F370" s="187"/>
      <c r="G370" s="180" t="str">
        <f>IF(C370="","",IFERROR(VLOOKUP(C370,Inventory!$A:$I,9,FALSE),0))</f>
        <v/>
      </c>
      <c r="H370" s="189" t="str">
        <f t="shared" si="1"/>
        <v/>
      </c>
      <c r="I370" s="190" t="str">
        <f t="shared" si="2"/>
        <v/>
      </c>
      <c r="J370" s="191"/>
      <c r="K370" s="191" t="str">
        <f t="shared" si="3"/>
        <v/>
      </c>
      <c r="L370" s="187"/>
      <c r="M370" s="192" t="str">
        <f t="shared" si="4"/>
        <v/>
      </c>
      <c r="N370" s="185" t="str">
        <f t="shared" si="5"/>
        <v/>
      </c>
    </row>
    <row r="371" ht="15.75" customHeight="1">
      <c r="A371" s="186"/>
      <c r="B371" s="187"/>
      <c r="C371" s="187"/>
      <c r="D371" s="188" t="str">
        <f>IF(C371="","",IFERROR(VLOOKUP(C371,Inventory!$A:$B,2,FALSE),""))</f>
        <v/>
      </c>
      <c r="E371" s="188" t="str">
        <f>IF(C371="","",IFERROR(VLOOKUP(C371,Inventory!$A:$C,3,FALSE),""))</f>
        <v/>
      </c>
      <c r="F371" s="187"/>
      <c r="G371" s="180" t="str">
        <f>IF(C371="","",IFERROR(VLOOKUP(C371,Inventory!$A:$I,9,FALSE),0))</f>
        <v/>
      </c>
      <c r="H371" s="189" t="str">
        <f t="shared" si="1"/>
        <v/>
      </c>
      <c r="I371" s="190" t="str">
        <f t="shared" si="2"/>
        <v/>
      </c>
      <c r="J371" s="191"/>
      <c r="K371" s="191" t="str">
        <f t="shared" si="3"/>
        <v/>
      </c>
      <c r="L371" s="187"/>
      <c r="M371" s="192" t="str">
        <f t="shared" si="4"/>
        <v/>
      </c>
      <c r="N371" s="185" t="str">
        <f t="shared" si="5"/>
        <v/>
      </c>
    </row>
    <row r="372" ht="15.75" customHeight="1">
      <c r="A372" s="186"/>
      <c r="B372" s="187"/>
      <c r="C372" s="187"/>
      <c r="D372" s="188" t="str">
        <f>IF(C372="","",IFERROR(VLOOKUP(C372,Inventory!$A:$B,2,FALSE),""))</f>
        <v/>
      </c>
      <c r="E372" s="188" t="str">
        <f>IF(C372="","",IFERROR(VLOOKUP(C372,Inventory!$A:$C,3,FALSE),""))</f>
        <v/>
      </c>
      <c r="F372" s="187"/>
      <c r="G372" s="180" t="str">
        <f>IF(C372="","",IFERROR(VLOOKUP(C372,Inventory!$A:$I,9,FALSE),0))</f>
        <v/>
      </c>
      <c r="H372" s="189" t="str">
        <f t="shared" si="1"/>
        <v/>
      </c>
      <c r="I372" s="190" t="str">
        <f t="shared" si="2"/>
        <v/>
      </c>
      <c r="J372" s="191"/>
      <c r="K372" s="191" t="str">
        <f t="shared" si="3"/>
        <v/>
      </c>
      <c r="L372" s="187"/>
      <c r="M372" s="192" t="str">
        <f t="shared" si="4"/>
        <v/>
      </c>
      <c r="N372" s="185" t="str">
        <f t="shared" si="5"/>
        <v/>
      </c>
    </row>
    <row r="373" ht="15.75" customHeight="1">
      <c r="A373" s="186"/>
      <c r="B373" s="187"/>
      <c r="C373" s="187"/>
      <c r="D373" s="188" t="str">
        <f>IF(C373="","",IFERROR(VLOOKUP(C373,Inventory!$A:$B,2,FALSE),""))</f>
        <v/>
      </c>
      <c r="E373" s="188" t="str">
        <f>IF(C373="","",IFERROR(VLOOKUP(C373,Inventory!$A:$C,3,FALSE),""))</f>
        <v/>
      </c>
      <c r="F373" s="187"/>
      <c r="G373" s="180" t="str">
        <f>IF(C373="","",IFERROR(VLOOKUP(C373,Inventory!$A:$I,9,FALSE),0))</f>
        <v/>
      </c>
      <c r="H373" s="189" t="str">
        <f t="shared" si="1"/>
        <v/>
      </c>
      <c r="I373" s="190" t="str">
        <f t="shared" si="2"/>
        <v/>
      </c>
      <c r="J373" s="191"/>
      <c r="K373" s="191" t="str">
        <f t="shared" si="3"/>
        <v/>
      </c>
      <c r="L373" s="187"/>
      <c r="M373" s="192" t="str">
        <f t="shared" si="4"/>
        <v/>
      </c>
      <c r="N373" s="185" t="str">
        <f t="shared" si="5"/>
        <v/>
      </c>
    </row>
    <row r="374" ht="15.75" customHeight="1">
      <c r="A374" s="186"/>
      <c r="B374" s="187"/>
      <c r="C374" s="187"/>
      <c r="D374" s="188" t="str">
        <f>IF(C374="","",IFERROR(VLOOKUP(C374,Inventory!$A:$B,2,FALSE),""))</f>
        <v/>
      </c>
      <c r="E374" s="188" t="str">
        <f>IF(C374="","",IFERROR(VLOOKUP(C374,Inventory!$A:$C,3,FALSE),""))</f>
        <v/>
      </c>
      <c r="F374" s="187"/>
      <c r="G374" s="180" t="str">
        <f>IF(C374="","",IFERROR(VLOOKUP(C374,Inventory!$A:$I,9,FALSE),0))</f>
        <v/>
      </c>
      <c r="H374" s="189" t="str">
        <f t="shared" si="1"/>
        <v/>
      </c>
      <c r="I374" s="190" t="str">
        <f t="shared" si="2"/>
        <v/>
      </c>
      <c r="J374" s="191"/>
      <c r="K374" s="191" t="str">
        <f t="shared" si="3"/>
        <v/>
      </c>
      <c r="L374" s="187"/>
      <c r="M374" s="192" t="str">
        <f t="shared" si="4"/>
        <v/>
      </c>
      <c r="N374" s="185" t="str">
        <f t="shared" si="5"/>
        <v/>
      </c>
    </row>
    <row r="375" ht="15.75" customHeight="1">
      <c r="A375" s="186"/>
      <c r="B375" s="187"/>
      <c r="C375" s="187"/>
      <c r="D375" s="188" t="str">
        <f>IF(C375="","",IFERROR(VLOOKUP(C375,Inventory!$A:$B,2,FALSE),""))</f>
        <v/>
      </c>
      <c r="E375" s="188" t="str">
        <f>IF(C375="","",IFERROR(VLOOKUP(C375,Inventory!$A:$C,3,FALSE),""))</f>
        <v/>
      </c>
      <c r="F375" s="187"/>
      <c r="G375" s="180" t="str">
        <f>IF(C375="","",IFERROR(VLOOKUP(C375,Inventory!$A:$I,9,FALSE),0))</f>
        <v/>
      </c>
      <c r="H375" s="189" t="str">
        <f t="shared" si="1"/>
        <v/>
      </c>
      <c r="I375" s="190" t="str">
        <f t="shared" si="2"/>
        <v/>
      </c>
      <c r="J375" s="191"/>
      <c r="K375" s="191" t="str">
        <f t="shared" si="3"/>
        <v/>
      </c>
      <c r="L375" s="187"/>
      <c r="M375" s="192" t="str">
        <f t="shared" si="4"/>
        <v/>
      </c>
      <c r="N375" s="185" t="str">
        <f t="shared" si="5"/>
        <v/>
      </c>
    </row>
    <row r="376" ht="15.75" customHeight="1">
      <c r="A376" s="186"/>
      <c r="B376" s="187"/>
      <c r="C376" s="187"/>
      <c r="D376" s="188" t="str">
        <f>IF(C376="","",IFERROR(VLOOKUP(C376,Inventory!$A:$B,2,FALSE),""))</f>
        <v/>
      </c>
      <c r="E376" s="188" t="str">
        <f>IF(C376="","",IFERROR(VLOOKUP(C376,Inventory!$A:$C,3,FALSE),""))</f>
        <v/>
      </c>
      <c r="F376" s="187"/>
      <c r="G376" s="180" t="str">
        <f>IF(C376="","",IFERROR(VLOOKUP(C376,Inventory!$A:$I,9,FALSE),0))</f>
        <v/>
      </c>
      <c r="H376" s="189" t="str">
        <f t="shared" si="1"/>
        <v/>
      </c>
      <c r="I376" s="190" t="str">
        <f t="shared" si="2"/>
        <v/>
      </c>
      <c r="J376" s="191"/>
      <c r="K376" s="191" t="str">
        <f t="shared" si="3"/>
        <v/>
      </c>
      <c r="L376" s="187"/>
      <c r="M376" s="192" t="str">
        <f t="shared" si="4"/>
        <v/>
      </c>
      <c r="N376" s="185" t="str">
        <f t="shared" si="5"/>
        <v/>
      </c>
    </row>
    <row r="377" ht="15.75" customHeight="1">
      <c r="A377" s="186"/>
      <c r="B377" s="187"/>
      <c r="C377" s="187"/>
      <c r="D377" s="188" t="str">
        <f>IF(C377="","",IFERROR(VLOOKUP(C377,Inventory!$A:$B,2,FALSE),""))</f>
        <v/>
      </c>
      <c r="E377" s="188" t="str">
        <f>IF(C377="","",IFERROR(VLOOKUP(C377,Inventory!$A:$C,3,FALSE),""))</f>
        <v/>
      </c>
      <c r="F377" s="187"/>
      <c r="G377" s="180" t="str">
        <f>IF(C377="","",IFERROR(VLOOKUP(C377,Inventory!$A:$I,9,FALSE),0))</f>
        <v/>
      </c>
      <c r="H377" s="189" t="str">
        <f t="shared" si="1"/>
        <v/>
      </c>
      <c r="I377" s="190" t="str">
        <f t="shared" si="2"/>
        <v/>
      </c>
      <c r="J377" s="191"/>
      <c r="K377" s="191" t="str">
        <f t="shared" si="3"/>
        <v/>
      </c>
      <c r="L377" s="187"/>
      <c r="M377" s="192" t="str">
        <f t="shared" si="4"/>
        <v/>
      </c>
      <c r="N377" s="185" t="str">
        <f t="shared" si="5"/>
        <v/>
      </c>
    </row>
    <row r="378" ht="15.75" customHeight="1">
      <c r="A378" s="186"/>
      <c r="B378" s="187"/>
      <c r="C378" s="187"/>
      <c r="D378" s="188" t="str">
        <f>IF(C378="","",IFERROR(VLOOKUP(C378,Inventory!$A:$B,2,FALSE),""))</f>
        <v/>
      </c>
      <c r="E378" s="188" t="str">
        <f>IF(C378="","",IFERROR(VLOOKUP(C378,Inventory!$A:$C,3,FALSE),""))</f>
        <v/>
      </c>
      <c r="F378" s="187"/>
      <c r="G378" s="180" t="str">
        <f>IF(C378="","",IFERROR(VLOOKUP(C378,Inventory!$A:$I,9,FALSE),0))</f>
        <v/>
      </c>
      <c r="H378" s="189" t="str">
        <f t="shared" si="1"/>
        <v/>
      </c>
      <c r="I378" s="190" t="str">
        <f t="shared" si="2"/>
        <v/>
      </c>
      <c r="J378" s="191"/>
      <c r="K378" s="191" t="str">
        <f t="shared" si="3"/>
        <v/>
      </c>
      <c r="L378" s="187"/>
      <c r="M378" s="192" t="str">
        <f t="shared" si="4"/>
        <v/>
      </c>
      <c r="N378" s="185" t="str">
        <f t="shared" si="5"/>
        <v/>
      </c>
    </row>
    <row r="379" ht="15.75" customHeight="1">
      <c r="A379" s="186"/>
      <c r="B379" s="187"/>
      <c r="C379" s="187"/>
      <c r="D379" s="188" t="str">
        <f>IF(C379="","",IFERROR(VLOOKUP(C379,Inventory!$A:$B,2,FALSE),""))</f>
        <v/>
      </c>
      <c r="E379" s="188" t="str">
        <f>IF(C379="","",IFERROR(VLOOKUP(C379,Inventory!$A:$C,3,FALSE),""))</f>
        <v/>
      </c>
      <c r="F379" s="187"/>
      <c r="G379" s="180" t="str">
        <f>IF(C379="","",IFERROR(VLOOKUP(C379,Inventory!$A:$I,9,FALSE),0))</f>
        <v/>
      </c>
      <c r="H379" s="189" t="str">
        <f t="shared" si="1"/>
        <v/>
      </c>
      <c r="I379" s="190" t="str">
        <f t="shared" si="2"/>
        <v/>
      </c>
      <c r="J379" s="191"/>
      <c r="K379" s="191" t="str">
        <f t="shared" si="3"/>
        <v/>
      </c>
      <c r="L379" s="187"/>
      <c r="M379" s="192" t="str">
        <f t="shared" si="4"/>
        <v/>
      </c>
      <c r="N379" s="185" t="str">
        <f t="shared" si="5"/>
        <v/>
      </c>
    </row>
    <row r="380" ht="15.75" customHeight="1">
      <c r="A380" s="186"/>
      <c r="B380" s="187"/>
      <c r="C380" s="187"/>
      <c r="D380" s="188" t="str">
        <f>IF(C380="","",IFERROR(VLOOKUP(C380,Inventory!$A:$B,2,FALSE),""))</f>
        <v/>
      </c>
      <c r="E380" s="188" t="str">
        <f>IF(C380="","",IFERROR(VLOOKUP(C380,Inventory!$A:$C,3,FALSE),""))</f>
        <v/>
      </c>
      <c r="F380" s="187"/>
      <c r="G380" s="180" t="str">
        <f>IF(C380="","",IFERROR(VLOOKUP(C380,Inventory!$A:$I,9,FALSE),0))</f>
        <v/>
      </c>
      <c r="H380" s="189" t="str">
        <f t="shared" si="1"/>
        <v/>
      </c>
      <c r="I380" s="190" t="str">
        <f t="shared" si="2"/>
        <v/>
      </c>
      <c r="J380" s="191"/>
      <c r="K380" s="191" t="str">
        <f t="shared" si="3"/>
        <v/>
      </c>
      <c r="L380" s="187"/>
      <c r="M380" s="192" t="str">
        <f t="shared" si="4"/>
        <v/>
      </c>
      <c r="N380" s="185" t="str">
        <f t="shared" si="5"/>
        <v/>
      </c>
    </row>
    <row r="381" ht="15.75" customHeight="1">
      <c r="A381" s="186"/>
      <c r="B381" s="187"/>
      <c r="C381" s="187"/>
      <c r="D381" s="188" t="str">
        <f>IF(C381="","",IFERROR(VLOOKUP(C381,Inventory!$A:$B,2,FALSE),""))</f>
        <v/>
      </c>
      <c r="E381" s="188" t="str">
        <f>IF(C381="","",IFERROR(VLOOKUP(C381,Inventory!$A:$C,3,FALSE),""))</f>
        <v/>
      </c>
      <c r="F381" s="187"/>
      <c r="G381" s="180" t="str">
        <f>IF(C381="","",IFERROR(VLOOKUP(C381,Inventory!$A:$I,9,FALSE),0))</f>
        <v/>
      </c>
      <c r="H381" s="189" t="str">
        <f t="shared" si="1"/>
        <v/>
      </c>
      <c r="I381" s="190" t="str">
        <f t="shared" si="2"/>
        <v/>
      </c>
      <c r="J381" s="191"/>
      <c r="K381" s="191" t="str">
        <f t="shared" si="3"/>
        <v/>
      </c>
      <c r="L381" s="187"/>
      <c r="M381" s="192" t="str">
        <f t="shared" si="4"/>
        <v/>
      </c>
      <c r="N381" s="185" t="str">
        <f t="shared" si="5"/>
        <v/>
      </c>
    </row>
    <row r="382" ht="15.75" customHeight="1">
      <c r="A382" s="186"/>
      <c r="B382" s="187"/>
      <c r="C382" s="187"/>
      <c r="D382" s="188" t="str">
        <f>IF(C382="","",IFERROR(VLOOKUP(C382,Inventory!$A:$B,2,FALSE),""))</f>
        <v/>
      </c>
      <c r="E382" s="188" t="str">
        <f>IF(C382="","",IFERROR(VLOOKUP(C382,Inventory!$A:$C,3,FALSE),""))</f>
        <v/>
      </c>
      <c r="F382" s="187"/>
      <c r="G382" s="180" t="str">
        <f>IF(C382="","",IFERROR(VLOOKUP(C382,Inventory!$A:$I,9,FALSE),0))</f>
        <v/>
      </c>
      <c r="H382" s="189" t="str">
        <f t="shared" si="1"/>
        <v/>
      </c>
      <c r="I382" s="190" t="str">
        <f t="shared" si="2"/>
        <v/>
      </c>
      <c r="J382" s="191"/>
      <c r="K382" s="191" t="str">
        <f t="shared" si="3"/>
        <v/>
      </c>
      <c r="L382" s="187"/>
      <c r="M382" s="192" t="str">
        <f t="shared" si="4"/>
        <v/>
      </c>
      <c r="N382" s="185" t="str">
        <f t="shared" si="5"/>
        <v/>
      </c>
    </row>
    <row r="383" ht="15.75" customHeight="1">
      <c r="A383" s="186"/>
      <c r="B383" s="187"/>
      <c r="C383" s="187"/>
      <c r="D383" s="188" t="str">
        <f>IF(C383="","",IFERROR(VLOOKUP(C383,Inventory!$A:$B,2,FALSE),""))</f>
        <v/>
      </c>
      <c r="E383" s="188" t="str">
        <f>IF(C383="","",IFERROR(VLOOKUP(C383,Inventory!$A:$C,3,FALSE),""))</f>
        <v/>
      </c>
      <c r="F383" s="187"/>
      <c r="G383" s="180" t="str">
        <f>IF(C383="","",IFERROR(VLOOKUP(C383,Inventory!$A:$I,9,FALSE),0))</f>
        <v/>
      </c>
      <c r="H383" s="189" t="str">
        <f t="shared" si="1"/>
        <v/>
      </c>
      <c r="I383" s="190" t="str">
        <f t="shared" si="2"/>
        <v/>
      </c>
      <c r="J383" s="191"/>
      <c r="K383" s="191" t="str">
        <f t="shared" si="3"/>
        <v/>
      </c>
      <c r="L383" s="187"/>
      <c r="M383" s="192" t="str">
        <f t="shared" si="4"/>
        <v/>
      </c>
      <c r="N383" s="185" t="str">
        <f t="shared" si="5"/>
        <v/>
      </c>
    </row>
    <row r="384" ht="15.75" customHeight="1">
      <c r="A384" s="186"/>
      <c r="B384" s="187"/>
      <c r="C384" s="187"/>
      <c r="D384" s="188" t="str">
        <f>IF(C384="","",IFERROR(VLOOKUP(C384,Inventory!$A:$B,2,FALSE),""))</f>
        <v/>
      </c>
      <c r="E384" s="188" t="str">
        <f>IF(C384="","",IFERROR(VLOOKUP(C384,Inventory!$A:$C,3,FALSE),""))</f>
        <v/>
      </c>
      <c r="F384" s="187"/>
      <c r="G384" s="180" t="str">
        <f>IF(C384="","",IFERROR(VLOOKUP(C384,Inventory!$A:$I,9,FALSE),0))</f>
        <v/>
      </c>
      <c r="H384" s="189" t="str">
        <f t="shared" si="1"/>
        <v/>
      </c>
      <c r="I384" s="190" t="str">
        <f t="shared" si="2"/>
        <v/>
      </c>
      <c r="J384" s="191"/>
      <c r="K384" s="191" t="str">
        <f t="shared" si="3"/>
        <v/>
      </c>
      <c r="L384" s="187"/>
      <c r="M384" s="192" t="str">
        <f t="shared" si="4"/>
        <v/>
      </c>
      <c r="N384" s="185" t="str">
        <f t="shared" si="5"/>
        <v/>
      </c>
    </row>
    <row r="385" ht="15.75" customHeight="1">
      <c r="A385" s="186"/>
      <c r="B385" s="187"/>
      <c r="C385" s="187"/>
      <c r="D385" s="188" t="str">
        <f>IF(C385="","",IFERROR(VLOOKUP(C385,Inventory!$A:$B,2,FALSE),""))</f>
        <v/>
      </c>
      <c r="E385" s="188" t="str">
        <f>IF(C385="","",IFERROR(VLOOKUP(C385,Inventory!$A:$C,3,FALSE),""))</f>
        <v/>
      </c>
      <c r="F385" s="187"/>
      <c r="G385" s="180" t="str">
        <f>IF(C385="","",IFERROR(VLOOKUP(C385,Inventory!$A:$I,9,FALSE),0))</f>
        <v/>
      </c>
      <c r="H385" s="189" t="str">
        <f t="shared" si="1"/>
        <v/>
      </c>
      <c r="I385" s="190" t="str">
        <f t="shared" si="2"/>
        <v/>
      </c>
      <c r="J385" s="191"/>
      <c r="K385" s="191" t="str">
        <f t="shared" si="3"/>
        <v/>
      </c>
      <c r="L385" s="187"/>
      <c r="M385" s="192" t="str">
        <f t="shared" si="4"/>
        <v/>
      </c>
      <c r="N385" s="185" t="str">
        <f t="shared" si="5"/>
        <v/>
      </c>
    </row>
    <row r="386" ht="15.75" customHeight="1">
      <c r="A386" s="186"/>
      <c r="B386" s="187"/>
      <c r="C386" s="187"/>
      <c r="D386" s="188" t="str">
        <f>IF(C386="","",IFERROR(VLOOKUP(C386,Inventory!$A:$B,2,FALSE),""))</f>
        <v/>
      </c>
      <c r="E386" s="188" t="str">
        <f>IF(C386="","",IFERROR(VLOOKUP(C386,Inventory!$A:$C,3,FALSE),""))</f>
        <v/>
      </c>
      <c r="F386" s="187"/>
      <c r="G386" s="180" t="str">
        <f>IF(C386="","",IFERROR(VLOOKUP(C386,Inventory!$A:$I,9,FALSE),0))</f>
        <v/>
      </c>
      <c r="H386" s="189" t="str">
        <f t="shared" si="1"/>
        <v/>
      </c>
      <c r="I386" s="190" t="str">
        <f t="shared" si="2"/>
        <v/>
      </c>
      <c r="J386" s="191"/>
      <c r="K386" s="191" t="str">
        <f t="shared" si="3"/>
        <v/>
      </c>
      <c r="L386" s="187"/>
      <c r="M386" s="192" t="str">
        <f t="shared" si="4"/>
        <v/>
      </c>
      <c r="N386" s="185" t="str">
        <f t="shared" si="5"/>
        <v/>
      </c>
    </row>
    <row r="387" ht="15.75" customHeight="1">
      <c r="A387" s="186"/>
      <c r="B387" s="187"/>
      <c r="C387" s="187"/>
      <c r="D387" s="188" t="str">
        <f>IF(C387="","",IFERROR(VLOOKUP(C387,Inventory!$A:$B,2,FALSE),""))</f>
        <v/>
      </c>
      <c r="E387" s="188" t="str">
        <f>IF(C387="","",IFERROR(VLOOKUP(C387,Inventory!$A:$C,3,FALSE),""))</f>
        <v/>
      </c>
      <c r="F387" s="187"/>
      <c r="G387" s="180" t="str">
        <f>IF(C387="","",IFERROR(VLOOKUP(C387,Inventory!$A:$I,9,FALSE),0))</f>
        <v/>
      </c>
      <c r="H387" s="189" t="str">
        <f t="shared" si="1"/>
        <v/>
      </c>
      <c r="I387" s="190" t="str">
        <f t="shared" si="2"/>
        <v/>
      </c>
      <c r="J387" s="191"/>
      <c r="K387" s="191" t="str">
        <f t="shared" si="3"/>
        <v/>
      </c>
      <c r="L387" s="187"/>
      <c r="M387" s="192" t="str">
        <f t="shared" si="4"/>
        <v/>
      </c>
      <c r="N387" s="185" t="str">
        <f t="shared" si="5"/>
        <v/>
      </c>
    </row>
    <row r="388" ht="15.75" customHeight="1">
      <c r="A388" s="186"/>
      <c r="B388" s="187"/>
      <c r="C388" s="187"/>
      <c r="D388" s="188" t="str">
        <f>IF(C388="","",IFERROR(VLOOKUP(C388,Inventory!$A:$B,2,FALSE),""))</f>
        <v/>
      </c>
      <c r="E388" s="188" t="str">
        <f>IF(C388="","",IFERROR(VLOOKUP(C388,Inventory!$A:$C,3,FALSE),""))</f>
        <v/>
      </c>
      <c r="F388" s="187"/>
      <c r="G388" s="180" t="str">
        <f>IF(C388="","",IFERROR(VLOOKUP(C388,Inventory!$A:$I,9,FALSE),0))</f>
        <v/>
      </c>
      <c r="H388" s="189" t="str">
        <f t="shared" si="1"/>
        <v/>
      </c>
      <c r="I388" s="190" t="str">
        <f t="shared" si="2"/>
        <v/>
      </c>
      <c r="J388" s="191"/>
      <c r="K388" s="191" t="str">
        <f t="shared" si="3"/>
        <v/>
      </c>
      <c r="L388" s="187"/>
      <c r="M388" s="192" t="str">
        <f t="shared" si="4"/>
        <v/>
      </c>
      <c r="N388" s="185" t="str">
        <f t="shared" si="5"/>
        <v/>
      </c>
    </row>
    <row r="389" ht="15.75" customHeight="1">
      <c r="A389" s="186"/>
      <c r="B389" s="187"/>
      <c r="C389" s="187"/>
      <c r="D389" s="188" t="str">
        <f>IF(C389="","",IFERROR(VLOOKUP(C389,Inventory!$A:$B,2,FALSE),""))</f>
        <v/>
      </c>
      <c r="E389" s="188" t="str">
        <f>IF(C389="","",IFERROR(VLOOKUP(C389,Inventory!$A:$C,3,FALSE),""))</f>
        <v/>
      </c>
      <c r="F389" s="187"/>
      <c r="G389" s="180" t="str">
        <f>IF(C389="","",IFERROR(VLOOKUP(C389,Inventory!$A:$I,9,FALSE),0))</f>
        <v/>
      </c>
      <c r="H389" s="189" t="str">
        <f t="shared" si="1"/>
        <v/>
      </c>
      <c r="I389" s="190" t="str">
        <f t="shared" si="2"/>
        <v/>
      </c>
      <c r="J389" s="191"/>
      <c r="K389" s="191" t="str">
        <f t="shared" si="3"/>
        <v/>
      </c>
      <c r="L389" s="187"/>
      <c r="M389" s="192" t="str">
        <f t="shared" si="4"/>
        <v/>
      </c>
      <c r="N389" s="185" t="str">
        <f t="shared" si="5"/>
        <v/>
      </c>
    </row>
    <row r="390" ht="15.75" customHeight="1">
      <c r="A390" s="186"/>
      <c r="B390" s="187"/>
      <c r="C390" s="187"/>
      <c r="D390" s="188" t="str">
        <f>IF(C390="","",IFERROR(VLOOKUP(C390,Inventory!$A:$B,2,FALSE),""))</f>
        <v/>
      </c>
      <c r="E390" s="188" t="str">
        <f>IF(C390="","",IFERROR(VLOOKUP(C390,Inventory!$A:$C,3,FALSE),""))</f>
        <v/>
      </c>
      <c r="F390" s="187"/>
      <c r="G390" s="180" t="str">
        <f>IF(C390="","",IFERROR(VLOOKUP(C390,Inventory!$A:$I,9,FALSE),0))</f>
        <v/>
      </c>
      <c r="H390" s="189" t="str">
        <f t="shared" si="1"/>
        <v/>
      </c>
      <c r="I390" s="190" t="str">
        <f t="shared" si="2"/>
        <v/>
      </c>
      <c r="J390" s="191"/>
      <c r="K390" s="191" t="str">
        <f t="shared" si="3"/>
        <v/>
      </c>
      <c r="L390" s="187"/>
      <c r="M390" s="192" t="str">
        <f t="shared" si="4"/>
        <v/>
      </c>
      <c r="N390" s="185" t="str">
        <f t="shared" si="5"/>
        <v/>
      </c>
    </row>
    <row r="391" ht="15.75" customHeight="1">
      <c r="A391" s="186"/>
      <c r="B391" s="187"/>
      <c r="C391" s="187"/>
      <c r="D391" s="188" t="str">
        <f>IF(C391="","",IFERROR(VLOOKUP(C391,Inventory!$A:$B,2,FALSE),""))</f>
        <v/>
      </c>
      <c r="E391" s="188" t="str">
        <f>IF(C391="","",IFERROR(VLOOKUP(C391,Inventory!$A:$C,3,FALSE),""))</f>
        <v/>
      </c>
      <c r="F391" s="187"/>
      <c r="G391" s="180" t="str">
        <f>IF(C391="","",IFERROR(VLOOKUP(C391,Inventory!$A:$I,9,FALSE),0))</f>
        <v/>
      </c>
      <c r="H391" s="189" t="str">
        <f t="shared" si="1"/>
        <v/>
      </c>
      <c r="I391" s="190" t="str">
        <f t="shared" si="2"/>
        <v/>
      </c>
      <c r="J391" s="191"/>
      <c r="K391" s="191" t="str">
        <f t="shared" si="3"/>
        <v/>
      </c>
      <c r="L391" s="187"/>
      <c r="M391" s="192" t="str">
        <f t="shared" si="4"/>
        <v/>
      </c>
      <c r="N391" s="185" t="str">
        <f t="shared" si="5"/>
        <v/>
      </c>
    </row>
    <row r="392" ht="15.75" customHeight="1">
      <c r="A392" s="186"/>
      <c r="B392" s="187"/>
      <c r="C392" s="187"/>
      <c r="D392" s="188" t="str">
        <f>IF(C392="","",IFERROR(VLOOKUP(C392,Inventory!$A:$B,2,FALSE),""))</f>
        <v/>
      </c>
      <c r="E392" s="188" t="str">
        <f>IF(C392="","",IFERROR(VLOOKUP(C392,Inventory!$A:$C,3,FALSE),""))</f>
        <v/>
      </c>
      <c r="F392" s="187"/>
      <c r="G392" s="180" t="str">
        <f>IF(C392="","",IFERROR(VLOOKUP(C392,Inventory!$A:$I,9,FALSE),0))</f>
        <v/>
      </c>
      <c r="H392" s="189" t="str">
        <f t="shared" si="1"/>
        <v/>
      </c>
      <c r="I392" s="190" t="str">
        <f t="shared" si="2"/>
        <v/>
      </c>
      <c r="J392" s="191"/>
      <c r="K392" s="191" t="str">
        <f t="shared" si="3"/>
        <v/>
      </c>
      <c r="L392" s="187"/>
      <c r="M392" s="192" t="str">
        <f t="shared" si="4"/>
        <v/>
      </c>
      <c r="N392" s="185" t="str">
        <f t="shared" si="5"/>
        <v/>
      </c>
    </row>
    <row r="393" ht="15.75" customHeight="1">
      <c r="A393" s="186"/>
      <c r="B393" s="187"/>
      <c r="C393" s="187"/>
      <c r="D393" s="188" t="str">
        <f>IF(C393="","",IFERROR(VLOOKUP(C393,Inventory!$A:$B,2,FALSE),""))</f>
        <v/>
      </c>
      <c r="E393" s="188" t="str">
        <f>IF(C393="","",IFERROR(VLOOKUP(C393,Inventory!$A:$C,3,FALSE),""))</f>
        <v/>
      </c>
      <c r="F393" s="187"/>
      <c r="G393" s="180" t="str">
        <f>IF(C393="","",IFERROR(VLOOKUP(C393,Inventory!$A:$I,9,FALSE),0))</f>
        <v/>
      </c>
      <c r="H393" s="189" t="str">
        <f t="shared" si="1"/>
        <v/>
      </c>
      <c r="I393" s="190" t="str">
        <f t="shared" si="2"/>
        <v/>
      </c>
      <c r="J393" s="191"/>
      <c r="K393" s="191" t="str">
        <f t="shared" si="3"/>
        <v/>
      </c>
      <c r="L393" s="187"/>
      <c r="M393" s="192" t="str">
        <f t="shared" si="4"/>
        <v/>
      </c>
      <c r="N393" s="185" t="str">
        <f t="shared" si="5"/>
        <v/>
      </c>
    </row>
    <row r="394" ht="15.75" customHeight="1">
      <c r="A394" s="186"/>
      <c r="B394" s="187"/>
      <c r="C394" s="187"/>
      <c r="D394" s="188" t="str">
        <f>IF(C394="","",IFERROR(VLOOKUP(C394,Inventory!$A:$B,2,FALSE),""))</f>
        <v/>
      </c>
      <c r="E394" s="188" t="str">
        <f>IF(C394="","",IFERROR(VLOOKUP(C394,Inventory!$A:$C,3,FALSE),""))</f>
        <v/>
      </c>
      <c r="F394" s="187"/>
      <c r="G394" s="180" t="str">
        <f>IF(C394="","",IFERROR(VLOOKUP(C394,Inventory!$A:$I,9,FALSE),0))</f>
        <v/>
      </c>
      <c r="H394" s="189" t="str">
        <f t="shared" si="1"/>
        <v/>
      </c>
      <c r="I394" s="190" t="str">
        <f t="shared" si="2"/>
        <v/>
      </c>
      <c r="J394" s="191"/>
      <c r="K394" s="191" t="str">
        <f t="shared" si="3"/>
        <v/>
      </c>
      <c r="L394" s="187"/>
      <c r="M394" s="192" t="str">
        <f t="shared" si="4"/>
        <v/>
      </c>
      <c r="N394" s="185" t="str">
        <f t="shared" si="5"/>
        <v/>
      </c>
    </row>
    <row r="395" ht="15.75" customHeight="1">
      <c r="A395" s="186"/>
      <c r="B395" s="187"/>
      <c r="C395" s="187"/>
      <c r="D395" s="188" t="str">
        <f>IF(C395="","",IFERROR(VLOOKUP(C395,Inventory!$A:$B,2,FALSE),""))</f>
        <v/>
      </c>
      <c r="E395" s="188" t="str">
        <f>IF(C395="","",IFERROR(VLOOKUP(C395,Inventory!$A:$C,3,FALSE),""))</f>
        <v/>
      </c>
      <c r="F395" s="187"/>
      <c r="G395" s="180" t="str">
        <f>IF(C395="","",IFERROR(VLOOKUP(C395,Inventory!$A:$I,9,FALSE),0))</f>
        <v/>
      </c>
      <c r="H395" s="189" t="str">
        <f t="shared" si="1"/>
        <v/>
      </c>
      <c r="I395" s="190" t="str">
        <f t="shared" si="2"/>
        <v/>
      </c>
      <c r="J395" s="191"/>
      <c r="K395" s="191" t="str">
        <f t="shared" si="3"/>
        <v/>
      </c>
      <c r="L395" s="187"/>
      <c r="M395" s="192" t="str">
        <f t="shared" si="4"/>
        <v/>
      </c>
      <c r="N395" s="185" t="str">
        <f t="shared" si="5"/>
        <v/>
      </c>
    </row>
    <row r="396" ht="15.75" customHeight="1">
      <c r="A396" s="186"/>
      <c r="B396" s="187"/>
      <c r="C396" s="187"/>
      <c r="D396" s="188" t="str">
        <f>IF(C396="","",IFERROR(VLOOKUP(C396,Inventory!$A:$B,2,FALSE),""))</f>
        <v/>
      </c>
      <c r="E396" s="188" t="str">
        <f>IF(C396="","",IFERROR(VLOOKUP(C396,Inventory!$A:$C,3,FALSE),""))</f>
        <v/>
      </c>
      <c r="F396" s="187"/>
      <c r="G396" s="180" t="str">
        <f>IF(C396="","",IFERROR(VLOOKUP(C396,Inventory!$A:$I,9,FALSE),0))</f>
        <v/>
      </c>
      <c r="H396" s="189" t="str">
        <f t="shared" si="1"/>
        <v/>
      </c>
      <c r="I396" s="190" t="str">
        <f t="shared" si="2"/>
        <v/>
      </c>
      <c r="J396" s="191"/>
      <c r="K396" s="191" t="str">
        <f t="shared" si="3"/>
        <v/>
      </c>
      <c r="L396" s="187"/>
      <c r="M396" s="192" t="str">
        <f t="shared" si="4"/>
        <v/>
      </c>
      <c r="N396" s="185" t="str">
        <f t="shared" si="5"/>
        <v/>
      </c>
    </row>
    <row r="397" ht="15.75" customHeight="1">
      <c r="A397" s="186"/>
      <c r="B397" s="187"/>
      <c r="C397" s="187"/>
      <c r="D397" s="188" t="str">
        <f>IF(C397="","",IFERROR(VLOOKUP(C397,Inventory!$A:$B,2,FALSE),""))</f>
        <v/>
      </c>
      <c r="E397" s="188" t="str">
        <f>IF(C397="","",IFERROR(VLOOKUP(C397,Inventory!$A:$C,3,FALSE),""))</f>
        <v/>
      </c>
      <c r="F397" s="187"/>
      <c r="G397" s="180" t="str">
        <f>IF(C397="","",IFERROR(VLOOKUP(C397,Inventory!$A:$I,9,FALSE),0))</f>
        <v/>
      </c>
      <c r="H397" s="189" t="str">
        <f t="shared" si="1"/>
        <v/>
      </c>
      <c r="I397" s="190" t="str">
        <f t="shared" si="2"/>
        <v/>
      </c>
      <c r="J397" s="191"/>
      <c r="K397" s="191" t="str">
        <f t="shared" si="3"/>
        <v/>
      </c>
      <c r="L397" s="187"/>
      <c r="M397" s="192" t="str">
        <f t="shared" si="4"/>
        <v/>
      </c>
      <c r="N397" s="185" t="str">
        <f t="shared" si="5"/>
        <v/>
      </c>
    </row>
    <row r="398" ht="15.75" customHeight="1">
      <c r="A398" s="186"/>
      <c r="B398" s="187"/>
      <c r="C398" s="187"/>
      <c r="D398" s="188" t="str">
        <f>IF(C398="","",IFERROR(VLOOKUP(C398,Inventory!$A:$B,2,FALSE),""))</f>
        <v/>
      </c>
      <c r="E398" s="188" t="str">
        <f>IF(C398="","",IFERROR(VLOOKUP(C398,Inventory!$A:$C,3,FALSE),""))</f>
        <v/>
      </c>
      <c r="F398" s="187"/>
      <c r="G398" s="180" t="str">
        <f>IF(C398="","",IFERROR(VLOOKUP(C398,Inventory!$A:$I,9,FALSE),0))</f>
        <v/>
      </c>
      <c r="H398" s="189" t="str">
        <f t="shared" si="1"/>
        <v/>
      </c>
      <c r="I398" s="190" t="str">
        <f t="shared" si="2"/>
        <v/>
      </c>
      <c r="J398" s="191"/>
      <c r="K398" s="191" t="str">
        <f t="shared" si="3"/>
        <v/>
      </c>
      <c r="L398" s="187"/>
      <c r="M398" s="192" t="str">
        <f t="shared" si="4"/>
        <v/>
      </c>
      <c r="N398" s="185" t="str">
        <f t="shared" si="5"/>
        <v/>
      </c>
    </row>
    <row r="399" ht="15.75" customHeight="1">
      <c r="A399" s="186"/>
      <c r="B399" s="187"/>
      <c r="C399" s="187"/>
      <c r="D399" s="188" t="str">
        <f>IF(C399="","",IFERROR(VLOOKUP(C399,Inventory!$A:$B,2,FALSE),""))</f>
        <v/>
      </c>
      <c r="E399" s="188" t="str">
        <f>IF(C399="","",IFERROR(VLOOKUP(C399,Inventory!$A:$C,3,FALSE),""))</f>
        <v/>
      </c>
      <c r="F399" s="187"/>
      <c r="G399" s="180" t="str">
        <f>IF(C399="","",IFERROR(VLOOKUP(C399,Inventory!$A:$I,9,FALSE),0))</f>
        <v/>
      </c>
      <c r="H399" s="189" t="str">
        <f t="shared" si="1"/>
        <v/>
      </c>
      <c r="I399" s="190" t="str">
        <f t="shared" si="2"/>
        <v/>
      </c>
      <c r="J399" s="191"/>
      <c r="K399" s="191" t="str">
        <f t="shared" si="3"/>
        <v/>
      </c>
      <c r="L399" s="187"/>
      <c r="M399" s="192" t="str">
        <f t="shared" si="4"/>
        <v/>
      </c>
      <c r="N399" s="185" t="str">
        <f t="shared" si="5"/>
        <v/>
      </c>
    </row>
    <row r="400" ht="15.75" customHeight="1">
      <c r="A400" s="186"/>
      <c r="B400" s="187"/>
      <c r="C400" s="187"/>
      <c r="D400" s="188" t="str">
        <f>IF(C400="","",IFERROR(VLOOKUP(C400,Inventory!$A:$B,2,FALSE),""))</f>
        <v/>
      </c>
      <c r="E400" s="188" t="str">
        <f>IF(C400="","",IFERROR(VLOOKUP(C400,Inventory!$A:$C,3,FALSE),""))</f>
        <v/>
      </c>
      <c r="F400" s="187"/>
      <c r="G400" s="180" t="str">
        <f>IF(C400="","",IFERROR(VLOOKUP(C400,Inventory!$A:$I,9,FALSE),0))</f>
        <v/>
      </c>
      <c r="H400" s="189" t="str">
        <f t="shared" si="1"/>
        <v/>
      </c>
      <c r="I400" s="190" t="str">
        <f t="shared" si="2"/>
        <v/>
      </c>
      <c r="J400" s="191"/>
      <c r="K400" s="191" t="str">
        <f t="shared" si="3"/>
        <v/>
      </c>
      <c r="L400" s="187"/>
      <c r="M400" s="192" t="str">
        <f t="shared" si="4"/>
        <v/>
      </c>
      <c r="N400" s="185" t="str">
        <f t="shared" si="5"/>
        <v/>
      </c>
    </row>
    <row r="401" ht="15.75" customHeight="1">
      <c r="A401" s="186"/>
      <c r="B401" s="187"/>
      <c r="C401" s="187"/>
      <c r="D401" s="188" t="str">
        <f>IF(C401="","",IFERROR(VLOOKUP(C401,Inventory!$A:$B,2,FALSE),""))</f>
        <v/>
      </c>
      <c r="E401" s="188" t="str">
        <f>IF(C401="","",IFERROR(VLOOKUP(C401,Inventory!$A:$C,3,FALSE),""))</f>
        <v/>
      </c>
      <c r="F401" s="187"/>
      <c r="G401" s="180" t="str">
        <f>IF(C401="","",IFERROR(VLOOKUP(C401,Inventory!$A:$I,9,FALSE),0))</f>
        <v/>
      </c>
      <c r="H401" s="189" t="str">
        <f t="shared" si="1"/>
        <v/>
      </c>
      <c r="I401" s="190" t="str">
        <f t="shared" si="2"/>
        <v/>
      </c>
      <c r="J401" s="191"/>
      <c r="K401" s="191" t="str">
        <f t="shared" si="3"/>
        <v/>
      </c>
      <c r="L401" s="187"/>
      <c r="M401" s="192" t="str">
        <f t="shared" si="4"/>
        <v/>
      </c>
      <c r="N401" s="185" t="str">
        <f t="shared" si="5"/>
        <v/>
      </c>
    </row>
    <row r="402" ht="15.75" customHeight="1">
      <c r="A402" s="186"/>
      <c r="B402" s="187"/>
      <c r="C402" s="187"/>
      <c r="D402" s="188" t="str">
        <f>IF(C402="","",IFERROR(VLOOKUP(C402,Inventory!$A:$B,2,FALSE),""))</f>
        <v/>
      </c>
      <c r="E402" s="188" t="str">
        <f>IF(C402="","",IFERROR(VLOOKUP(C402,Inventory!$A:$C,3,FALSE),""))</f>
        <v/>
      </c>
      <c r="F402" s="187"/>
      <c r="G402" s="180" t="str">
        <f>IF(C402="","",IFERROR(VLOOKUP(C402,Inventory!$A:$I,9,FALSE),0))</f>
        <v/>
      </c>
      <c r="H402" s="189" t="str">
        <f t="shared" si="1"/>
        <v/>
      </c>
      <c r="I402" s="190" t="str">
        <f t="shared" si="2"/>
        <v/>
      </c>
      <c r="J402" s="191"/>
      <c r="K402" s="191" t="str">
        <f t="shared" si="3"/>
        <v/>
      </c>
      <c r="L402" s="187"/>
      <c r="M402" s="192" t="str">
        <f t="shared" si="4"/>
        <v/>
      </c>
      <c r="N402" s="185" t="str">
        <f t="shared" si="5"/>
        <v/>
      </c>
    </row>
    <row r="403" ht="15.75" customHeight="1">
      <c r="A403" s="186"/>
      <c r="B403" s="187"/>
      <c r="C403" s="187"/>
      <c r="D403" s="188" t="str">
        <f>IF(C403="","",IFERROR(VLOOKUP(C403,Inventory!$A:$B,2,FALSE),""))</f>
        <v/>
      </c>
      <c r="E403" s="188" t="str">
        <f>IF(C403="","",IFERROR(VLOOKUP(C403,Inventory!$A:$C,3,FALSE),""))</f>
        <v/>
      </c>
      <c r="F403" s="187"/>
      <c r="G403" s="180" t="str">
        <f>IF(C403="","",IFERROR(VLOOKUP(C403,Inventory!$A:$I,9,FALSE),0))</f>
        <v/>
      </c>
      <c r="H403" s="189" t="str">
        <f t="shared" si="1"/>
        <v/>
      </c>
      <c r="I403" s="190" t="str">
        <f t="shared" si="2"/>
        <v/>
      </c>
      <c r="J403" s="191"/>
      <c r="K403" s="191" t="str">
        <f t="shared" si="3"/>
        <v/>
      </c>
      <c r="L403" s="187"/>
      <c r="M403" s="192" t="str">
        <f t="shared" si="4"/>
        <v/>
      </c>
      <c r="N403" s="185" t="str">
        <f t="shared" si="5"/>
        <v/>
      </c>
    </row>
    <row r="404" ht="15.75" customHeight="1">
      <c r="A404" s="186"/>
      <c r="B404" s="187"/>
      <c r="C404" s="187"/>
      <c r="D404" s="188" t="str">
        <f>IF(C404="","",IFERROR(VLOOKUP(C404,Inventory!$A:$B,2,FALSE),""))</f>
        <v/>
      </c>
      <c r="E404" s="188" t="str">
        <f>IF(C404="","",IFERROR(VLOOKUP(C404,Inventory!$A:$C,3,FALSE),""))</f>
        <v/>
      </c>
      <c r="F404" s="187"/>
      <c r="G404" s="180" t="str">
        <f>IF(C404="","",IFERROR(VLOOKUP(C404,Inventory!$A:$I,9,FALSE),0))</f>
        <v/>
      </c>
      <c r="H404" s="189" t="str">
        <f t="shared" si="1"/>
        <v/>
      </c>
      <c r="I404" s="190" t="str">
        <f t="shared" si="2"/>
        <v/>
      </c>
      <c r="J404" s="191"/>
      <c r="K404" s="191" t="str">
        <f t="shared" si="3"/>
        <v/>
      </c>
      <c r="L404" s="187"/>
      <c r="M404" s="192" t="str">
        <f t="shared" si="4"/>
        <v/>
      </c>
      <c r="N404" s="185" t="str">
        <f t="shared" si="5"/>
        <v/>
      </c>
    </row>
    <row r="405" ht="15.75" customHeight="1">
      <c r="A405" s="186"/>
      <c r="B405" s="187"/>
      <c r="C405" s="187"/>
      <c r="D405" s="188" t="str">
        <f>IF(C405="","",IFERROR(VLOOKUP(C405,Inventory!$A:$B,2,FALSE),""))</f>
        <v/>
      </c>
      <c r="E405" s="188" t="str">
        <f>IF(C405="","",IFERROR(VLOOKUP(C405,Inventory!$A:$C,3,FALSE),""))</f>
        <v/>
      </c>
      <c r="F405" s="187"/>
      <c r="G405" s="180" t="str">
        <f>IF(C405="","",IFERROR(VLOOKUP(C405,Inventory!$A:$I,9,FALSE),0))</f>
        <v/>
      </c>
      <c r="H405" s="189" t="str">
        <f t="shared" si="1"/>
        <v/>
      </c>
      <c r="I405" s="190" t="str">
        <f t="shared" si="2"/>
        <v/>
      </c>
      <c r="J405" s="191"/>
      <c r="K405" s="191" t="str">
        <f t="shared" si="3"/>
        <v/>
      </c>
      <c r="L405" s="187"/>
      <c r="M405" s="192" t="str">
        <f t="shared" si="4"/>
        <v/>
      </c>
      <c r="N405" s="185" t="str">
        <f t="shared" si="5"/>
        <v/>
      </c>
    </row>
    <row r="406" ht="15.75" customHeight="1">
      <c r="A406" s="186"/>
      <c r="B406" s="187"/>
      <c r="C406" s="187"/>
      <c r="D406" s="188" t="str">
        <f>IF(C406="","",IFERROR(VLOOKUP(C406,Inventory!$A:$B,2,FALSE),""))</f>
        <v/>
      </c>
      <c r="E406" s="188" t="str">
        <f>IF(C406="","",IFERROR(VLOOKUP(C406,Inventory!$A:$C,3,FALSE),""))</f>
        <v/>
      </c>
      <c r="F406" s="187"/>
      <c r="G406" s="180" t="str">
        <f>IF(C406="","",IFERROR(VLOOKUP(C406,Inventory!$A:$I,9,FALSE),0))</f>
        <v/>
      </c>
      <c r="H406" s="189" t="str">
        <f t="shared" si="1"/>
        <v/>
      </c>
      <c r="I406" s="190" t="str">
        <f t="shared" si="2"/>
        <v/>
      </c>
      <c r="J406" s="191"/>
      <c r="K406" s="191" t="str">
        <f t="shared" si="3"/>
        <v/>
      </c>
      <c r="L406" s="187"/>
      <c r="M406" s="192" t="str">
        <f t="shared" si="4"/>
        <v/>
      </c>
      <c r="N406" s="185" t="str">
        <f t="shared" si="5"/>
        <v/>
      </c>
    </row>
    <row r="407" ht="15.75" customHeight="1">
      <c r="A407" s="186"/>
      <c r="B407" s="187"/>
      <c r="C407" s="187"/>
      <c r="D407" s="188" t="str">
        <f>IF(C407="","",IFERROR(VLOOKUP(C407,Inventory!$A:$B,2,FALSE),""))</f>
        <v/>
      </c>
      <c r="E407" s="188" t="str">
        <f>IF(C407="","",IFERROR(VLOOKUP(C407,Inventory!$A:$C,3,FALSE),""))</f>
        <v/>
      </c>
      <c r="F407" s="187"/>
      <c r="G407" s="180" t="str">
        <f>IF(C407="","",IFERROR(VLOOKUP(C407,Inventory!$A:$I,9,FALSE),0))</f>
        <v/>
      </c>
      <c r="H407" s="189" t="str">
        <f t="shared" si="1"/>
        <v/>
      </c>
      <c r="I407" s="190" t="str">
        <f t="shared" si="2"/>
        <v/>
      </c>
      <c r="J407" s="191"/>
      <c r="K407" s="191" t="str">
        <f t="shared" si="3"/>
        <v/>
      </c>
      <c r="L407" s="187"/>
      <c r="M407" s="192" t="str">
        <f t="shared" si="4"/>
        <v/>
      </c>
      <c r="N407" s="185" t="str">
        <f t="shared" si="5"/>
        <v/>
      </c>
    </row>
    <row r="408" ht="15.75" customHeight="1">
      <c r="A408" s="186"/>
      <c r="B408" s="187"/>
      <c r="C408" s="187"/>
      <c r="D408" s="188" t="str">
        <f>IF(C408="","",IFERROR(VLOOKUP(C408,Inventory!$A:$B,2,FALSE),""))</f>
        <v/>
      </c>
      <c r="E408" s="188" t="str">
        <f>IF(C408="","",IFERROR(VLOOKUP(C408,Inventory!$A:$C,3,FALSE),""))</f>
        <v/>
      </c>
      <c r="F408" s="187"/>
      <c r="G408" s="180" t="str">
        <f>IF(C408="","",IFERROR(VLOOKUP(C408,Inventory!$A:$I,9,FALSE),0))</f>
        <v/>
      </c>
      <c r="H408" s="189" t="str">
        <f t="shared" si="1"/>
        <v/>
      </c>
      <c r="I408" s="190" t="str">
        <f t="shared" si="2"/>
        <v/>
      </c>
      <c r="J408" s="191"/>
      <c r="K408" s="191" t="str">
        <f t="shared" si="3"/>
        <v/>
      </c>
      <c r="L408" s="187"/>
      <c r="M408" s="192" t="str">
        <f t="shared" si="4"/>
        <v/>
      </c>
      <c r="N408" s="185" t="str">
        <f t="shared" si="5"/>
        <v/>
      </c>
    </row>
    <row r="409" ht="15.75" customHeight="1">
      <c r="A409" s="186"/>
      <c r="B409" s="187"/>
      <c r="C409" s="187"/>
      <c r="D409" s="188" t="str">
        <f>IF(C409="","",IFERROR(VLOOKUP(C409,Inventory!$A:$B,2,FALSE),""))</f>
        <v/>
      </c>
      <c r="E409" s="188" t="str">
        <f>IF(C409="","",IFERROR(VLOOKUP(C409,Inventory!$A:$C,3,FALSE),""))</f>
        <v/>
      </c>
      <c r="F409" s="187"/>
      <c r="G409" s="180" t="str">
        <f>IF(C409="","",IFERROR(VLOOKUP(C409,Inventory!$A:$I,9,FALSE),0))</f>
        <v/>
      </c>
      <c r="H409" s="189" t="str">
        <f t="shared" si="1"/>
        <v/>
      </c>
      <c r="I409" s="190" t="str">
        <f t="shared" si="2"/>
        <v/>
      </c>
      <c r="J409" s="191"/>
      <c r="K409" s="191" t="str">
        <f t="shared" si="3"/>
        <v/>
      </c>
      <c r="L409" s="187"/>
      <c r="M409" s="192" t="str">
        <f t="shared" si="4"/>
        <v/>
      </c>
      <c r="N409" s="185" t="str">
        <f t="shared" si="5"/>
        <v/>
      </c>
    </row>
    <row r="410" ht="15.75" customHeight="1">
      <c r="A410" s="186"/>
      <c r="B410" s="187"/>
      <c r="C410" s="187"/>
      <c r="D410" s="188" t="str">
        <f>IF(C410="","",IFERROR(VLOOKUP(C410,Inventory!$A:$B,2,FALSE),""))</f>
        <v/>
      </c>
      <c r="E410" s="188" t="str">
        <f>IF(C410="","",IFERROR(VLOOKUP(C410,Inventory!$A:$C,3,FALSE),""))</f>
        <v/>
      </c>
      <c r="F410" s="187"/>
      <c r="G410" s="180" t="str">
        <f>IF(C410="","",IFERROR(VLOOKUP(C410,Inventory!$A:$I,9,FALSE),0))</f>
        <v/>
      </c>
      <c r="H410" s="189" t="str">
        <f t="shared" si="1"/>
        <v/>
      </c>
      <c r="I410" s="190" t="str">
        <f t="shared" si="2"/>
        <v/>
      </c>
      <c r="J410" s="191"/>
      <c r="K410" s="191" t="str">
        <f t="shared" si="3"/>
        <v/>
      </c>
      <c r="L410" s="187"/>
      <c r="M410" s="192" t="str">
        <f t="shared" si="4"/>
        <v/>
      </c>
      <c r="N410" s="185" t="str">
        <f t="shared" si="5"/>
        <v/>
      </c>
    </row>
    <row r="411" ht="15.75" customHeight="1">
      <c r="A411" s="186"/>
      <c r="B411" s="187"/>
      <c r="C411" s="187"/>
      <c r="D411" s="188" t="str">
        <f>IF(C411="","",IFERROR(VLOOKUP(C411,Inventory!$A:$B,2,FALSE),""))</f>
        <v/>
      </c>
      <c r="E411" s="188" t="str">
        <f>IF(C411="","",IFERROR(VLOOKUP(C411,Inventory!$A:$C,3,FALSE),""))</f>
        <v/>
      </c>
      <c r="F411" s="187"/>
      <c r="G411" s="180" t="str">
        <f>IF(C411="","",IFERROR(VLOOKUP(C411,Inventory!$A:$I,9,FALSE),0))</f>
        <v/>
      </c>
      <c r="H411" s="189" t="str">
        <f t="shared" si="1"/>
        <v/>
      </c>
      <c r="I411" s="190" t="str">
        <f t="shared" si="2"/>
        <v/>
      </c>
      <c r="J411" s="191"/>
      <c r="K411" s="191" t="str">
        <f t="shared" si="3"/>
        <v/>
      </c>
      <c r="L411" s="187"/>
      <c r="M411" s="192" t="str">
        <f t="shared" si="4"/>
        <v/>
      </c>
      <c r="N411" s="185" t="str">
        <f t="shared" si="5"/>
        <v/>
      </c>
    </row>
    <row r="412" ht="15.75" customHeight="1">
      <c r="A412" s="186"/>
      <c r="B412" s="187"/>
      <c r="C412" s="187"/>
      <c r="D412" s="188" t="str">
        <f>IF(C412="","",IFERROR(VLOOKUP(C412,Inventory!$A:$B,2,FALSE),""))</f>
        <v/>
      </c>
      <c r="E412" s="188" t="str">
        <f>IF(C412="","",IFERROR(VLOOKUP(C412,Inventory!$A:$C,3,FALSE),""))</f>
        <v/>
      </c>
      <c r="F412" s="187"/>
      <c r="G412" s="180" t="str">
        <f>IF(C412="","",IFERROR(VLOOKUP(C412,Inventory!$A:$I,9,FALSE),0))</f>
        <v/>
      </c>
      <c r="H412" s="189" t="str">
        <f t="shared" si="1"/>
        <v/>
      </c>
      <c r="I412" s="190" t="str">
        <f t="shared" si="2"/>
        <v/>
      </c>
      <c r="J412" s="191"/>
      <c r="K412" s="191" t="str">
        <f t="shared" si="3"/>
        <v/>
      </c>
      <c r="L412" s="187"/>
      <c r="M412" s="192" t="str">
        <f t="shared" si="4"/>
        <v/>
      </c>
      <c r="N412" s="185" t="str">
        <f t="shared" si="5"/>
        <v/>
      </c>
    </row>
    <row r="413" ht="15.75" customHeight="1">
      <c r="A413" s="186"/>
      <c r="B413" s="187"/>
      <c r="C413" s="187"/>
      <c r="D413" s="188" t="str">
        <f>IF(C413="","",IFERROR(VLOOKUP(C413,Inventory!$A:$B,2,FALSE),""))</f>
        <v/>
      </c>
      <c r="E413" s="188" t="str">
        <f>IF(C413="","",IFERROR(VLOOKUP(C413,Inventory!$A:$C,3,FALSE),""))</f>
        <v/>
      </c>
      <c r="F413" s="187"/>
      <c r="G413" s="180" t="str">
        <f>IF(C413="","",IFERROR(VLOOKUP(C413,Inventory!$A:$I,9,FALSE),0))</f>
        <v/>
      </c>
      <c r="H413" s="189" t="str">
        <f t="shared" si="1"/>
        <v/>
      </c>
      <c r="I413" s="190" t="str">
        <f t="shared" si="2"/>
        <v/>
      </c>
      <c r="J413" s="191"/>
      <c r="K413" s="191" t="str">
        <f t="shared" si="3"/>
        <v/>
      </c>
      <c r="L413" s="187"/>
      <c r="M413" s="192" t="str">
        <f t="shared" si="4"/>
        <v/>
      </c>
      <c r="N413" s="185" t="str">
        <f t="shared" si="5"/>
        <v/>
      </c>
    </row>
    <row r="414" ht="15.75" customHeight="1">
      <c r="A414" s="186"/>
      <c r="B414" s="187"/>
      <c r="C414" s="187"/>
      <c r="D414" s="188" t="str">
        <f>IF(C414="","",IFERROR(VLOOKUP(C414,Inventory!$A:$B,2,FALSE),""))</f>
        <v/>
      </c>
      <c r="E414" s="188" t="str">
        <f>IF(C414="","",IFERROR(VLOOKUP(C414,Inventory!$A:$C,3,FALSE),""))</f>
        <v/>
      </c>
      <c r="F414" s="187"/>
      <c r="G414" s="180" t="str">
        <f>IF(C414="","",IFERROR(VLOOKUP(C414,Inventory!$A:$I,9,FALSE),0))</f>
        <v/>
      </c>
      <c r="H414" s="189" t="str">
        <f t="shared" si="1"/>
        <v/>
      </c>
      <c r="I414" s="190" t="str">
        <f t="shared" si="2"/>
        <v/>
      </c>
      <c r="J414" s="191"/>
      <c r="K414" s="191" t="str">
        <f t="shared" si="3"/>
        <v/>
      </c>
      <c r="L414" s="187"/>
      <c r="M414" s="192" t="str">
        <f t="shared" si="4"/>
        <v/>
      </c>
      <c r="N414" s="185" t="str">
        <f t="shared" si="5"/>
        <v/>
      </c>
    </row>
    <row r="415" ht="15.75" customHeight="1">
      <c r="A415" s="186"/>
      <c r="B415" s="187"/>
      <c r="C415" s="187"/>
      <c r="D415" s="188" t="str">
        <f>IF(C415="","",IFERROR(VLOOKUP(C415,Inventory!$A:$B,2,FALSE),""))</f>
        <v/>
      </c>
      <c r="E415" s="188" t="str">
        <f>IF(C415="","",IFERROR(VLOOKUP(C415,Inventory!$A:$C,3,FALSE),""))</f>
        <v/>
      </c>
      <c r="F415" s="187"/>
      <c r="G415" s="180" t="str">
        <f>IF(C415="","",IFERROR(VLOOKUP(C415,Inventory!$A:$I,9,FALSE),0))</f>
        <v/>
      </c>
      <c r="H415" s="189" t="str">
        <f t="shared" si="1"/>
        <v/>
      </c>
      <c r="I415" s="190" t="str">
        <f t="shared" si="2"/>
        <v/>
      </c>
      <c r="J415" s="191"/>
      <c r="K415" s="191" t="str">
        <f t="shared" si="3"/>
        <v/>
      </c>
      <c r="L415" s="187"/>
      <c r="M415" s="192" t="str">
        <f t="shared" si="4"/>
        <v/>
      </c>
      <c r="N415" s="185" t="str">
        <f t="shared" si="5"/>
        <v/>
      </c>
    </row>
    <row r="416" ht="15.75" customHeight="1">
      <c r="A416" s="186"/>
      <c r="B416" s="187"/>
      <c r="C416" s="187"/>
      <c r="D416" s="188" t="str">
        <f>IF(C416="","",IFERROR(VLOOKUP(C416,Inventory!$A:$B,2,FALSE),""))</f>
        <v/>
      </c>
      <c r="E416" s="188" t="str">
        <f>IF(C416="","",IFERROR(VLOOKUP(C416,Inventory!$A:$C,3,FALSE),""))</f>
        <v/>
      </c>
      <c r="F416" s="187"/>
      <c r="G416" s="180" t="str">
        <f>IF(C416="","",IFERROR(VLOOKUP(C416,Inventory!$A:$I,9,FALSE),0))</f>
        <v/>
      </c>
      <c r="H416" s="189" t="str">
        <f t="shared" si="1"/>
        <v/>
      </c>
      <c r="I416" s="190" t="str">
        <f t="shared" si="2"/>
        <v/>
      </c>
      <c r="J416" s="191"/>
      <c r="K416" s="191" t="str">
        <f t="shared" si="3"/>
        <v/>
      </c>
      <c r="L416" s="187"/>
      <c r="M416" s="192" t="str">
        <f t="shared" si="4"/>
        <v/>
      </c>
      <c r="N416" s="185" t="str">
        <f t="shared" si="5"/>
        <v/>
      </c>
    </row>
    <row r="417" ht="15.75" customHeight="1">
      <c r="A417" s="186"/>
      <c r="B417" s="187"/>
      <c r="C417" s="187"/>
      <c r="D417" s="188" t="str">
        <f>IF(C417="","",IFERROR(VLOOKUP(C417,Inventory!$A:$B,2,FALSE),""))</f>
        <v/>
      </c>
      <c r="E417" s="188" t="str">
        <f>IF(C417="","",IFERROR(VLOOKUP(C417,Inventory!$A:$C,3,FALSE),""))</f>
        <v/>
      </c>
      <c r="F417" s="187"/>
      <c r="G417" s="180" t="str">
        <f>IF(C417="","",IFERROR(VLOOKUP(C417,Inventory!$A:$I,9,FALSE),0))</f>
        <v/>
      </c>
      <c r="H417" s="189" t="str">
        <f t="shared" si="1"/>
        <v/>
      </c>
      <c r="I417" s="190" t="str">
        <f t="shared" si="2"/>
        <v/>
      </c>
      <c r="J417" s="191"/>
      <c r="K417" s="191" t="str">
        <f t="shared" si="3"/>
        <v/>
      </c>
      <c r="L417" s="187"/>
      <c r="M417" s="192" t="str">
        <f t="shared" si="4"/>
        <v/>
      </c>
      <c r="N417" s="185" t="str">
        <f t="shared" si="5"/>
        <v/>
      </c>
    </row>
    <row r="418" ht="15.75" customHeight="1">
      <c r="A418" s="186"/>
      <c r="B418" s="187"/>
      <c r="C418" s="187"/>
      <c r="D418" s="188" t="str">
        <f>IF(C418="","",IFERROR(VLOOKUP(C418,Inventory!$A:$B,2,FALSE),""))</f>
        <v/>
      </c>
      <c r="E418" s="188" t="str">
        <f>IF(C418="","",IFERROR(VLOOKUP(C418,Inventory!$A:$C,3,FALSE),""))</f>
        <v/>
      </c>
      <c r="F418" s="187"/>
      <c r="G418" s="180" t="str">
        <f>IF(C418="","",IFERROR(VLOOKUP(C418,Inventory!$A:$I,9,FALSE),0))</f>
        <v/>
      </c>
      <c r="H418" s="189" t="str">
        <f t="shared" si="1"/>
        <v/>
      </c>
      <c r="I418" s="190" t="str">
        <f t="shared" si="2"/>
        <v/>
      </c>
      <c r="J418" s="191"/>
      <c r="K418" s="191" t="str">
        <f t="shared" si="3"/>
        <v/>
      </c>
      <c r="L418" s="187"/>
      <c r="M418" s="192" t="str">
        <f t="shared" si="4"/>
        <v/>
      </c>
      <c r="N418" s="185" t="str">
        <f t="shared" si="5"/>
        <v/>
      </c>
    </row>
    <row r="419" ht="15.75" customHeight="1">
      <c r="A419" s="186"/>
      <c r="B419" s="187"/>
      <c r="C419" s="187"/>
      <c r="D419" s="188" t="str">
        <f>IF(C419="","",IFERROR(VLOOKUP(C419,Inventory!$A:$B,2,FALSE),""))</f>
        <v/>
      </c>
      <c r="E419" s="188" t="str">
        <f>IF(C419="","",IFERROR(VLOOKUP(C419,Inventory!$A:$C,3,FALSE),""))</f>
        <v/>
      </c>
      <c r="F419" s="187"/>
      <c r="G419" s="180" t="str">
        <f>IF(C419="","",IFERROR(VLOOKUP(C419,Inventory!$A:$I,9,FALSE),0))</f>
        <v/>
      </c>
      <c r="H419" s="189" t="str">
        <f t="shared" si="1"/>
        <v/>
      </c>
      <c r="I419" s="190" t="str">
        <f t="shared" si="2"/>
        <v/>
      </c>
      <c r="J419" s="191"/>
      <c r="K419" s="191" t="str">
        <f t="shared" si="3"/>
        <v/>
      </c>
      <c r="L419" s="187"/>
      <c r="M419" s="192" t="str">
        <f t="shared" si="4"/>
        <v/>
      </c>
      <c r="N419" s="185" t="str">
        <f t="shared" si="5"/>
        <v/>
      </c>
    </row>
    <row r="420" ht="15.75" customHeight="1">
      <c r="A420" s="186"/>
      <c r="B420" s="187"/>
      <c r="C420" s="187"/>
      <c r="D420" s="188" t="str">
        <f>IF(C420="","",IFERROR(VLOOKUP(C420,Inventory!$A:$B,2,FALSE),""))</f>
        <v/>
      </c>
      <c r="E420" s="188" t="str">
        <f>IF(C420="","",IFERROR(VLOOKUP(C420,Inventory!$A:$C,3,FALSE),""))</f>
        <v/>
      </c>
      <c r="F420" s="187"/>
      <c r="G420" s="180" t="str">
        <f>IF(C420="","",IFERROR(VLOOKUP(C420,Inventory!$A:$I,9,FALSE),0))</f>
        <v/>
      </c>
      <c r="H420" s="189" t="str">
        <f t="shared" si="1"/>
        <v/>
      </c>
      <c r="I420" s="190" t="str">
        <f t="shared" si="2"/>
        <v/>
      </c>
      <c r="J420" s="191"/>
      <c r="K420" s="191" t="str">
        <f t="shared" si="3"/>
        <v/>
      </c>
      <c r="L420" s="187"/>
      <c r="M420" s="192" t="str">
        <f t="shared" si="4"/>
        <v/>
      </c>
      <c r="N420" s="185" t="str">
        <f t="shared" si="5"/>
        <v/>
      </c>
    </row>
    <row r="421" ht="15.75" customHeight="1">
      <c r="A421" s="186"/>
      <c r="B421" s="187"/>
      <c r="C421" s="187"/>
      <c r="D421" s="188" t="str">
        <f>IF(C421="","",IFERROR(VLOOKUP(C421,Inventory!$A:$B,2,FALSE),""))</f>
        <v/>
      </c>
      <c r="E421" s="188" t="str">
        <f>IF(C421="","",IFERROR(VLOOKUP(C421,Inventory!$A:$C,3,FALSE),""))</f>
        <v/>
      </c>
      <c r="F421" s="187"/>
      <c r="G421" s="180" t="str">
        <f>IF(C421="","",IFERROR(VLOOKUP(C421,Inventory!$A:$I,9,FALSE),0))</f>
        <v/>
      </c>
      <c r="H421" s="189" t="str">
        <f t="shared" si="1"/>
        <v/>
      </c>
      <c r="I421" s="190" t="str">
        <f t="shared" si="2"/>
        <v/>
      </c>
      <c r="J421" s="191"/>
      <c r="K421" s="191" t="str">
        <f t="shared" si="3"/>
        <v/>
      </c>
      <c r="L421" s="187"/>
      <c r="M421" s="192" t="str">
        <f t="shared" si="4"/>
        <v/>
      </c>
      <c r="N421" s="185" t="str">
        <f t="shared" si="5"/>
        <v/>
      </c>
    </row>
    <row r="422" ht="15.75" customHeight="1">
      <c r="A422" s="186"/>
      <c r="B422" s="187"/>
      <c r="C422" s="187"/>
      <c r="D422" s="188" t="str">
        <f>IF(C422="","",IFERROR(VLOOKUP(C422,Inventory!$A:$B,2,FALSE),""))</f>
        <v/>
      </c>
      <c r="E422" s="188" t="str">
        <f>IF(C422="","",IFERROR(VLOOKUP(C422,Inventory!$A:$C,3,FALSE),""))</f>
        <v/>
      </c>
      <c r="F422" s="187"/>
      <c r="G422" s="180" t="str">
        <f>IF(C422="","",IFERROR(VLOOKUP(C422,Inventory!$A:$I,9,FALSE),0))</f>
        <v/>
      </c>
      <c r="H422" s="189" t="str">
        <f t="shared" si="1"/>
        <v/>
      </c>
      <c r="I422" s="190" t="str">
        <f t="shared" si="2"/>
        <v/>
      </c>
      <c r="J422" s="191"/>
      <c r="K422" s="191" t="str">
        <f t="shared" si="3"/>
        <v/>
      </c>
      <c r="L422" s="187"/>
      <c r="M422" s="192" t="str">
        <f t="shared" si="4"/>
        <v/>
      </c>
      <c r="N422" s="185" t="str">
        <f t="shared" si="5"/>
        <v/>
      </c>
    </row>
    <row r="423" ht="15.75" customHeight="1">
      <c r="A423" s="186"/>
      <c r="B423" s="187"/>
      <c r="C423" s="187"/>
      <c r="D423" s="188" t="str">
        <f>IF(C423="","",IFERROR(VLOOKUP(C423,Inventory!$A:$B,2,FALSE),""))</f>
        <v/>
      </c>
      <c r="E423" s="188" t="str">
        <f>IF(C423="","",IFERROR(VLOOKUP(C423,Inventory!$A:$C,3,FALSE),""))</f>
        <v/>
      </c>
      <c r="F423" s="187"/>
      <c r="G423" s="180" t="str">
        <f>IF(C423="","",IFERROR(VLOOKUP(C423,Inventory!$A:$I,9,FALSE),0))</f>
        <v/>
      </c>
      <c r="H423" s="189" t="str">
        <f t="shared" si="1"/>
        <v/>
      </c>
      <c r="I423" s="190" t="str">
        <f t="shared" si="2"/>
        <v/>
      </c>
      <c r="J423" s="191"/>
      <c r="K423" s="191" t="str">
        <f t="shared" si="3"/>
        <v/>
      </c>
      <c r="L423" s="187"/>
      <c r="M423" s="192" t="str">
        <f t="shared" si="4"/>
        <v/>
      </c>
      <c r="N423" s="185" t="str">
        <f t="shared" si="5"/>
        <v/>
      </c>
    </row>
    <row r="424" ht="15.75" customHeight="1">
      <c r="A424" s="186"/>
      <c r="B424" s="187"/>
      <c r="C424" s="187"/>
      <c r="D424" s="188" t="str">
        <f>IF(C424="","",IFERROR(VLOOKUP(C424,Inventory!$A:$B,2,FALSE),""))</f>
        <v/>
      </c>
      <c r="E424" s="188" t="str">
        <f>IF(C424="","",IFERROR(VLOOKUP(C424,Inventory!$A:$C,3,FALSE),""))</f>
        <v/>
      </c>
      <c r="F424" s="187"/>
      <c r="G424" s="180" t="str">
        <f>IF(C424="","",IFERROR(VLOOKUP(C424,Inventory!$A:$I,9,FALSE),0))</f>
        <v/>
      </c>
      <c r="H424" s="189" t="str">
        <f t="shared" si="1"/>
        <v/>
      </c>
      <c r="I424" s="190" t="str">
        <f t="shared" si="2"/>
        <v/>
      </c>
      <c r="J424" s="191"/>
      <c r="K424" s="191" t="str">
        <f t="shared" si="3"/>
        <v/>
      </c>
      <c r="L424" s="187"/>
      <c r="M424" s="192" t="str">
        <f t="shared" si="4"/>
        <v/>
      </c>
      <c r="N424" s="185" t="str">
        <f t="shared" si="5"/>
        <v/>
      </c>
    </row>
    <row r="425" ht="15.75" customHeight="1">
      <c r="A425" s="186"/>
      <c r="B425" s="187"/>
      <c r="C425" s="187"/>
      <c r="D425" s="188" t="str">
        <f>IF(C425="","",IFERROR(VLOOKUP(C425,Inventory!$A:$B,2,FALSE),""))</f>
        <v/>
      </c>
      <c r="E425" s="188" t="str">
        <f>IF(C425="","",IFERROR(VLOOKUP(C425,Inventory!$A:$C,3,FALSE),""))</f>
        <v/>
      </c>
      <c r="F425" s="187"/>
      <c r="G425" s="180" t="str">
        <f>IF(C425="","",IFERROR(VLOOKUP(C425,Inventory!$A:$I,9,FALSE),0))</f>
        <v/>
      </c>
      <c r="H425" s="189" t="str">
        <f t="shared" si="1"/>
        <v/>
      </c>
      <c r="I425" s="190" t="str">
        <f t="shared" si="2"/>
        <v/>
      </c>
      <c r="J425" s="191"/>
      <c r="K425" s="191" t="str">
        <f t="shared" si="3"/>
        <v/>
      </c>
      <c r="L425" s="187"/>
      <c r="M425" s="192" t="str">
        <f t="shared" si="4"/>
        <v/>
      </c>
      <c r="N425" s="185" t="str">
        <f t="shared" si="5"/>
        <v/>
      </c>
    </row>
    <row r="426" ht="15.75" customHeight="1">
      <c r="A426" s="186"/>
      <c r="B426" s="187"/>
      <c r="C426" s="187"/>
      <c r="D426" s="188" t="str">
        <f>IF(C426="","",IFERROR(VLOOKUP(C426,Inventory!$A:$B,2,FALSE),""))</f>
        <v/>
      </c>
      <c r="E426" s="188" t="str">
        <f>IF(C426="","",IFERROR(VLOOKUP(C426,Inventory!$A:$C,3,FALSE),""))</f>
        <v/>
      </c>
      <c r="F426" s="187"/>
      <c r="G426" s="180" t="str">
        <f>IF(C426="","",IFERROR(VLOOKUP(C426,Inventory!$A:$I,9,FALSE),0))</f>
        <v/>
      </c>
      <c r="H426" s="189" t="str">
        <f t="shared" si="1"/>
        <v/>
      </c>
      <c r="I426" s="190" t="str">
        <f t="shared" si="2"/>
        <v/>
      </c>
      <c r="J426" s="191"/>
      <c r="K426" s="191" t="str">
        <f t="shared" si="3"/>
        <v/>
      </c>
      <c r="L426" s="187"/>
      <c r="M426" s="192" t="str">
        <f t="shared" si="4"/>
        <v/>
      </c>
      <c r="N426" s="185" t="str">
        <f t="shared" si="5"/>
        <v/>
      </c>
    </row>
    <row r="427" ht="15.75" customHeight="1">
      <c r="A427" s="186"/>
      <c r="B427" s="187"/>
      <c r="C427" s="187"/>
      <c r="D427" s="188" t="str">
        <f>IF(C427="","",IFERROR(VLOOKUP(C427,Inventory!$A:$B,2,FALSE),""))</f>
        <v/>
      </c>
      <c r="E427" s="188" t="str">
        <f>IF(C427="","",IFERROR(VLOOKUP(C427,Inventory!$A:$C,3,FALSE),""))</f>
        <v/>
      </c>
      <c r="F427" s="187"/>
      <c r="G427" s="180" t="str">
        <f>IF(C427="","",IFERROR(VLOOKUP(C427,Inventory!$A:$I,9,FALSE),0))</f>
        <v/>
      </c>
      <c r="H427" s="189" t="str">
        <f t="shared" si="1"/>
        <v/>
      </c>
      <c r="I427" s="190" t="str">
        <f t="shared" si="2"/>
        <v/>
      </c>
      <c r="J427" s="191"/>
      <c r="K427" s="191" t="str">
        <f t="shared" si="3"/>
        <v/>
      </c>
      <c r="L427" s="187"/>
      <c r="M427" s="192" t="str">
        <f t="shared" si="4"/>
        <v/>
      </c>
      <c r="N427" s="185" t="str">
        <f t="shared" si="5"/>
        <v/>
      </c>
    </row>
    <row r="428" ht="15.75" customHeight="1">
      <c r="A428" s="186"/>
      <c r="B428" s="187"/>
      <c r="C428" s="187"/>
      <c r="D428" s="188" t="str">
        <f>IF(C428="","",IFERROR(VLOOKUP(C428,Inventory!$A:$B,2,FALSE),""))</f>
        <v/>
      </c>
      <c r="E428" s="188" t="str">
        <f>IF(C428="","",IFERROR(VLOOKUP(C428,Inventory!$A:$C,3,FALSE),""))</f>
        <v/>
      </c>
      <c r="F428" s="187"/>
      <c r="G428" s="180" t="str">
        <f>IF(C428="","",IFERROR(VLOOKUP(C428,Inventory!$A:$I,9,FALSE),0))</f>
        <v/>
      </c>
      <c r="H428" s="189" t="str">
        <f t="shared" si="1"/>
        <v/>
      </c>
      <c r="I428" s="190" t="str">
        <f t="shared" si="2"/>
        <v/>
      </c>
      <c r="J428" s="191"/>
      <c r="K428" s="191" t="str">
        <f t="shared" si="3"/>
        <v/>
      </c>
      <c r="L428" s="187"/>
      <c r="M428" s="192" t="str">
        <f t="shared" si="4"/>
        <v/>
      </c>
      <c r="N428" s="185" t="str">
        <f t="shared" si="5"/>
        <v/>
      </c>
    </row>
    <row r="429" ht="15.75" customHeight="1">
      <c r="A429" s="186"/>
      <c r="B429" s="187"/>
      <c r="C429" s="187"/>
      <c r="D429" s="188" t="str">
        <f>IF(C429="","",IFERROR(VLOOKUP(C429,Inventory!$A:$B,2,FALSE),""))</f>
        <v/>
      </c>
      <c r="E429" s="188" t="str">
        <f>IF(C429="","",IFERROR(VLOOKUP(C429,Inventory!$A:$C,3,FALSE),""))</f>
        <v/>
      </c>
      <c r="F429" s="187"/>
      <c r="G429" s="180" t="str">
        <f>IF(C429="","",IFERROR(VLOOKUP(C429,Inventory!$A:$I,9,FALSE),0))</f>
        <v/>
      </c>
      <c r="H429" s="189" t="str">
        <f t="shared" si="1"/>
        <v/>
      </c>
      <c r="I429" s="190" t="str">
        <f t="shared" si="2"/>
        <v/>
      </c>
      <c r="J429" s="191"/>
      <c r="K429" s="191" t="str">
        <f t="shared" si="3"/>
        <v/>
      </c>
      <c r="L429" s="187"/>
      <c r="M429" s="192" t="str">
        <f t="shared" si="4"/>
        <v/>
      </c>
      <c r="N429" s="185" t="str">
        <f t="shared" si="5"/>
        <v/>
      </c>
    </row>
    <row r="430" ht="15.75" customHeight="1">
      <c r="A430" s="186"/>
      <c r="B430" s="187"/>
      <c r="C430" s="187"/>
      <c r="D430" s="188" t="str">
        <f>IF(C430="","",IFERROR(VLOOKUP(C430,Inventory!$A:$B,2,FALSE),""))</f>
        <v/>
      </c>
      <c r="E430" s="188" t="str">
        <f>IF(C430="","",IFERROR(VLOOKUP(C430,Inventory!$A:$C,3,FALSE),""))</f>
        <v/>
      </c>
      <c r="F430" s="187"/>
      <c r="G430" s="180" t="str">
        <f>IF(C430="","",IFERROR(VLOOKUP(C430,Inventory!$A:$I,9,FALSE),0))</f>
        <v/>
      </c>
      <c r="H430" s="189" t="str">
        <f t="shared" si="1"/>
        <v/>
      </c>
      <c r="I430" s="190" t="str">
        <f t="shared" si="2"/>
        <v/>
      </c>
      <c r="J430" s="191"/>
      <c r="K430" s="191" t="str">
        <f t="shared" si="3"/>
        <v/>
      </c>
      <c r="L430" s="187"/>
      <c r="M430" s="192" t="str">
        <f t="shared" si="4"/>
        <v/>
      </c>
      <c r="N430" s="185" t="str">
        <f t="shared" si="5"/>
        <v/>
      </c>
    </row>
    <row r="431" ht="15.75" customHeight="1">
      <c r="A431" s="186"/>
      <c r="B431" s="187"/>
      <c r="C431" s="187"/>
      <c r="D431" s="188" t="str">
        <f>IF(C431="","",IFERROR(VLOOKUP(C431,Inventory!$A:$B,2,FALSE),""))</f>
        <v/>
      </c>
      <c r="E431" s="188" t="str">
        <f>IF(C431="","",IFERROR(VLOOKUP(C431,Inventory!$A:$C,3,FALSE),""))</f>
        <v/>
      </c>
      <c r="F431" s="187"/>
      <c r="G431" s="180" t="str">
        <f>IF(C431="","",IFERROR(VLOOKUP(C431,Inventory!$A:$I,9,FALSE),0))</f>
        <v/>
      </c>
      <c r="H431" s="189" t="str">
        <f t="shared" si="1"/>
        <v/>
      </c>
      <c r="I431" s="190" t="str">
        <f t="shared" si="2"/>
        <v/>
      </c>
      <c r="J431" s="191"/>
      <c r="K431" s="191" t="str">
        <f t="shared" si="3"/>
        <v/>
      </c>
      <c r="L431" s="187"/>
      <c r="M431" s="192" t="str">
        <f t="shared" si="4"/>
        <v/>
      </c>
      <c r="N431" s="185" t="str">
        <f t="shared" si="5"/>
        <v/>
      </c>
    </row>
    <row r="432" ht="15.75" customHeight="1">
      <c r="A432" s="186"/>
      <c r="B432" s="187"/>
      <c r="C432" s="187"/>
      <c r="D432" s="188" t="str">
        <f>IF(C432="","",IFERROR(VLOOKUP(C432,Inventory!$A:$B,2,FALSE),""))</f>
        <v/>
      </c>
      <c r="E432" s="188" t="str">
        <f>IF(C432="","",IFERROR(VLOOKUP(C432,Inventory!$A:$C,3,FALSE),""))</f>
        <v/>
      </c>
      <c r="F432" s="187"/>
      <c r="G432" s="180" t="str">
        <f>IF(C432="","",IFERROR(VLOOKUP(C432,Inventory!$A:$I,9,FALSE),0))</f>
        <v/>
      </c>
      <c r="H432" s="189" t="str">
        <f t="shared" si="1"/>
        <v/>
      </c>
      <c r="I432" s="190" t="str">
        <f t="shared" si="2"/>
        <v/>
      </c>
      <c r="J432" s="191"/>
      <c r="K432" s="191" t="str">
        <f t="shared" si="3"/>
        <v/>
      </c>
      <c r="L432" s="187"/>
      <c r="M432" s="192" t="str">
        <f t="shared" si="4"/>
        <v/>
      </c>
      <c r="N432" s="185" t="str">
        <f t="shared" si="5"/>
        <v/>
      </c>
    </row>
    <row r="433" ht="15.75" customHeight="1">
      <c r="A433" s="186"/>
      <c r="B433" s="187"/>
      <c r="C433" s="187"/>
      <c r="D433" s="188" t="str">
        <f>IF(C433="","",IFERROR(VLOOKUP(C433,Inventory!$A:$B,2,FALSE),""))</f>
        <v/>
      </c>
      <c r="E433" s="188" t="str">
        <f>IF(C433="","",IFERROR(VLOOKUP(C433,Inventory!$A:$C,3,FALSE),""))</f>
        <v/>
      </c>
      <c r="F433" s="187"/>
      <c r="G433" s="180" t="str">
        <f>IF(C433="","",IFERROR(VLOOKUP(C433,Inventory!$A:$I,9,FALSE),0))</f>
        <v/>
      </c>
      <c r="H433" s="189" t="str">
        <f t="shared" si="1"/>
        <v/>
      </c>
      <c r="I433" s="190" t="str">
        <f t="shared" si="2"/>
        <v/>
      </c>
      <c r="J433" s="191"/>
      <c r="K433" s="191" t="str">
        <f t="shared" si="3"/>
        <v/>
      </c>
      <c r="L433" s="187"/>
      <c r="M433" s="192" t="str">
        <f t="shared" si="4"/>
        <v/>
      </c>
      <c r="N433" s="185" t="str">
        <f t="shared" si="5"/>
        <v/>
      </c>
    </row>
    <row r="434" ht="15.75" customHeight="1">
      <c r="A434" s="186"/>
      <c r="B434" s="187"/>
      <c r="C434" s="187"/>
      <c r="D434" s="188" t="str">
        <f>IF(C434="","",IFERROR(VLOOKUP(C434,Inventory!$A:$B,2,FALSE),""))</f>
        <v/>
      </c>
      <c r="E434" s="188" t="str">
        <f>IF(C434="","",IFERROR(VLOOKUP(C434,Inventory!$A:$C,3,FALSE),""))</f>
        <v/>
      </c>
      <c r="F434" s="187"/>
      <c r="G434" s="180" t="str">
        <f>IF(C434="","",IFERROR(VLOOKUP(C434,Inventory!$A:$I,9,FALSE),0))</f>
        <v/>
      </c>
      <c r="H434" s="189" t="str">
        <f t="shared" si="1"/>
        <v/>
      </c>
      <c r="I434" s="190" t="str">
        <f t="shared" si="2"/>
        <v/>
      </c>
      <c r="J434" s="191"/>
      <c r="K434" s="191" t="str">
        <f t="shared" si="3"/>
        <v/>
      </c>
      <c r="L434" s="187"/>
      <c r="M434" s="192" t="str">
        <f t="shared" si="4"/>
        <v/>
      </c>
      <c r="N434" s="185" t="str">
        <f t="shared" si="5"/>
        <v/>
      </c>
    </row>
    <row r="435" ht="15.75" customHeight="1">
      <c r="A435" s="186"/>
      <c r="B435" s="187"/>
      <c r="C435" s="187"/>
      <c r="D435" s="188" t="str">
        <f>IF(C435="","",IFERROR(VLOOKUP(C435,Inventory!$A:$B,2,FALSE),""))</f>
        <v/>
      </c>
      <c r="E435" s="188" t="str">
        <f>IF(C435="","",IFERROR(VLOOKUP(C435,Inventory!$A:$C,3,FALSE),""))</f>
        <v/>
      </c>
      <c r="F435" s="187"/>
      <c r="G435" s="180" t="str">
        <f>IF(C435="","",IFERROR(VLOOKUP(C435,Inventory!$A:$I,9,FALSE),0))</f>
        <v/>
      </c>
      <c r="H435" s="189" t="str">
        <f t="shared" si="1"/>
        <v/>
      </c>
      <c r="I435" s="190" t="str">
        <f t="shared" si="2"/>
        <v/>
      </c>
      <c r="J435" s="191"/>
      <c r="K435" s="191" t="str">
        <f t="shared" si="3"/>
        <v/>
      </c>
      <c r="L435" s="187"/>
      <c r="M435" s="192" t="str">
        <f t="shared" si="4"/>
        <v/>
      </c>
      <c r="N435" s="185" t="str">
        <f t="shared" si="5"/>
        <v/>
      </c>
    </row>
    <row r="436" ht="15.75" customHeight="1">
      <c r="A436" s="186"/>
      <c r="B436" s="187"/>
      <c r="C436" s="187"/>
      <c r="D436" s="188" t="str">
        <f>IF(C436="","",IFERROR(VLOOKUP(C436,Inventory!$A:$B,2,FALSE),""))</f>
        <v/>
      </c>
      <c r="E436" s="188" t="str">
        <f>IF(C436="","",IFERROR(VLOOKUP(C436,Inventory!$A:$C,3,FALSE),""))</f>
        <v/>
      </c>
      <c r="F436" s="187"/>
      <c r="G436" s="180" t="str">
        <f>IF(C436="","",IFERROR(VLOOKUP(C436,Inventory!$A:$I,9,FALSE),0))</f>
        <v/>
      </c>
      <c r="H436" s="189" t="str">
        <f t="shared" si="1"/>
        <v/>
      </c>
      <c r="I436" s="190" t="str">
        <f t="shared" si="2"/>
        <v/>
      </c>
      <c r="J436" s="191"/>
      <c r="K436" s="191" t="str">
        <f t="shared" si="3"/>
        <v/>
      </c>
      <c r="L436" s="187"/>
      <c r="M436" s="192" t="str">
        <f t="shared" si="4"/>
        <v/>
      </c>
      <c r="N436" s="185" t="str">
        <f t="shared" si="5"/>
        <v/>
      </c>
    </row>
    <row r="437" ht="15.75" customHeight="1">
      <c r="A437" s="186"/>
      <c r="B437" s="187"/>
      <c r="C437" s="187"/>
      <c r="D437" s="188" t="str">
        <f>IF(C437="","",IFERROR(VLOOKUP(C437,Inventory!$A:$B,2,FALSE),""))</f>
        <v/>
      </c>
      <c r="E437" s="188" t="str">
        <f>IF(C437="","",IFERROR(VLOOKUP(C437,Inventory!$A:$C,3,FALSE),""))</f>
        <v/>
      </c>
      <c r="F437" s="187"/>
      <c r="G437" s="180" t="str">
        <f>IF(C437="","",IFERROR(VLOOKUP(C437,Inventory!$A:$I,9,FALSE),0))</f>
        <v/>
      </c>
      <c r="H437" s="189" t="str">
        <f t="shared" si="1"/>
        <v/>
      </c>
      <c r="I437" s="190" t="str">
        <f t="shared" si="2"/>
        <v/>
      </c>
      <c r="J437" s="191"/>
      <c r="K437" s="191" t="str">
        <f t="shared" si="3"/>
        <v/>
      </c>
      <c r="L437" s="187"/>
      <c r="M437" s="192" t="str">
        <f t="shared" si="4"/>
        <v/>
      </c>
      <c r="N437" s="185" t="str">
        <f t="shared" si="5"/>
        <v/>
      </c>
    </row>
    <row r="438" ht="15.75" customHeight="1">
      <c r="A438" s="186"/>
      <c r="B438" s="187"/>
      <c r="C438" s="187"/>
      <c r="D438" s="188" t="str">
        <f>IF(C438="","",IFERROR(VLOOKUP(C438,Inventory!$A:$B,2,FALSE),""))</f>
        <v/>
      </c>
      <c r="E438" s="188" t="str">
        <f>IF(C438="","",IFERROR(VLOOKUP(C438,Inventory!$A:$C,3,FALSE),""))</f>
        <v/>
      </c>
      <c r="F438" s="187"/>
      <c r="G438" s="180" t="str">
        <f>IF(C438="","",IFERROR(VLOOKUP(C438,Inventory!$A:$I,9,FALSE),0))</f>
        <v/>
      </c>
      <c r="H438" s="189" t="str">
        <f t="shared" si="1"/>
        <v/>
      </c>
      <c r="I438" s="190" t="str">
        <f t="shared" si="2"/>
        <v/>
      </c>
      <c r="J438" s="191"/>
      <c r="K438" s="191" t="str">
        <f t="shared" si="3"/>
        <v/>
      </c>
      <c r="L438" s="187"/>
      <c r="M438" s="192" t="str">
        <f t="shared" si="4"/>
        <v/>
      </c>
      <c r="N438" s="185" t="str">
        <f t="shared" si="5"/>
        <v/>
      </c>
    </row>
    <row r="439" ht="15.75" customHeight="1">
      <c r="A439" s="186"/>
      <c r="B439" s="187"/>
      <c r="C439" s="187"/>
      <c r="D439" s="188" t="str">
        <f>IF(C439="","",IFERROR(VLOOKUP(C439,Inventory!$A:$B,2,FALSE),""))</f>
        <v/>
      </c>
      <c r="E439" s="188" t="str">
        <f>IF(C439="","",IFERROR(VLOOKUP(C439,Inventory!$A:$C,3,FALSE),""))</f>
        <v/>
      </c>
      <c r="F439" s="187"/>
      <c r="G439" s="180" t="str">
        <f>IF(C439="","",IFERROR(VLOOKUP(C439,Inventory!$A:$I,9,FALSE),0))</f>
        <v/>
      </c>
      <c r="H439" s="189" t="str">
        <f t="shared" si="1"/>
        <v/>
      </c>
      <c r="I439" s="190" t="str">
        <f t="shared" si="2"/>
        <v/>
      </c>
      <c r="J439" s="191"/>
      <c r="K439" s="191" t="str">
        <f t="shared" si="3"/>
        <v/>
      </c>
      <c r="L439" s="187"/>
      <c r="M439" s="192" t="str">
        <f t="shared" si="4"/>
        <v/>
      </c>
      <c r="N439" s="185" t="str">
        <f t="shared" si="5"/>
        <v/>
      </c>
    </row>
    <row r="440" ht="15.75" customHeight="1">
      <c r="A440" s="186"/>
      <c r="B440" s="187"/>
      <c r="C440" s="187"/>
      <c r="D440" s="188" t="str">
        <f>IF(C440="","",IFERROR(VLOOKUP(C440,Inventory!$A:$B,2,FALSE),""))</f>
        <v/>
      </c>
      <c r="E440" s="188" t="str">
        <f>IF(C440="","",IFERROR(VLOOKUP(C440,Inventory!$A:$C,3,FALSE),""))</f>
        <v/>
      </c>
      <c r="F440" s="187"/>
      <c r="G440" s="180" t="str">
        <f>IF(C440="","",IFERROR(VLOOKUP(C440,Inventory!$A:$I,9,FALSE),0))</f>
        <v/>
      </c>
      <c r="H440" s="189" t="str">
        <f t="shared" si="1"/>
        <v/>
      </c>
      <c r="I440" s="190" t="str">
        <f t="shared" si="2"/>
        <v/>
      </c>
      <c r="J440" s="191"/>
      <c r="K440" s="191" t="str">
        <f t="shared" si="3"/>
        <v/>
      </c>
      <c r="L440" s="187"/>
      <c r="M440" s="192" t="str">
        <f t="shared" si="4"/>
        <v/>
      </c>
      <c r="N440" s="185" t="str">
        <f t="shared" si="5"/>
        <v/>
      </c>
    </row>
    <row r="441" ht="15.75" customHeight="1">
      <c r="A441" s="186"/>
      <c r="B441" s="187"/>
      <c r="C441" s="187"/>
      <c r="D441" s="188" t="str">
        <f>IF(C441="","",IFERROR(VLOOKUP(C441,Inventory!$A:$B,2,FALSE),""))</f>
        <v/>
      </c>
      <c r="E441" s="188" t="str">
        <f>IF(C441="","",IFERROR(VLOOKUP(C441,Inventory!$A:$C,3,FALSE),""))</f>
        <v/>
      </c>
      <c r="F441" s="187"/>
      <c r="G441" s="180" t="str">
        <f>IF(C441="","",IFERROR(VLOOKUP(C441,Inventory!$A:$I,9,FALSE),0))</f>
        <v/>
      </c>
      <c r="H441" s="189" t="str">
        <f t="shared" si="1"/>
        <v/>
      </c>
      <c r="I441" s="190" t="str">
        <f t="shared" si="2"/>
        <v/>
      </c>
      <c r="J441" s="191"/>
      <c r="K441" s="191" t="str">
        <f t="shared" si="3"/>
        <v/>
      </c>
      <c r="L441" s="187"/>
      <c r="M441" s="192" t="str">
        <f t="shared" si="4"/>
        <v/>
      </c>
      <c r="N441" s="185" t="str">
        <f t="shared" si="5"/>
        <v/>
      </c>
    </row>
    <row r="442" ht="15.75" customHeight="1">
      <c r="A442" s="186"/>
      <c r="B442" s="187"/>
      <c r="C442" s="187"/>
      <c r="D442" s="188" t="str">
        <f>IF(C442="","",IFERROR(VLOOKUP(C442,Inventory!$A:$B,2,FALSE),""))</f>
        <v/>
      </c>
      <c r="E442" s="188" t="str">
        <f>IF(C442="","",IFERROR(VLOOKUP(C442,Inventory!$A:$C,3,FALSE),""))</f>
        <v/>
      </c>
      <c r="F442" s="187"/>
      <c r="G442" s="180" t="str">
        <f>IF(C442="","",IFERROR(VLOOKUP(C442,Inventory!$A:$I,9,FALSE),0))</f>
        <v/>
      </c>
      <c r="H442" s="189" t="str">
        <f t="shared" si="1"/>
        <v/>
      </c>
      <c r="I442" s="190" t="str">
        <f t="shared" si="2"/>
        <v/>
      </c>
      <c r="J442" s="191"/>
      <c r="K442" s="191" t="str">
        <f t="shared" si="3"/>
        <v/>
      </c>
      <c r="L442" s="187"/>
      <c r="M442" s="192" t="str">
        <f t="shared" si="4"/>
        <v/>
      </c>
      <c r="N442" s="185" t="str">
        <f t="shared" si="5"/>
        <v/>
      </c>
    </row>
    <row r="443" ht="15.75" customHeight="1">
      <c r="A443" s="186"/>
      <c r="B443" s="187"/>
      <c r="C443" s="187"/>
      <c r="D443" s="188" t="str">
        <f>IF(C443="","",IFERROR(VLOOKUP(C443,Inventory!$A:$B,2,FALSE),""))</f>
        <v/>
      </c>
      <c r="E443" s="188" t="str">
        <f>IF(C443="","",IFERROR(VLOOKUP(C443,Inventory!$A:$C,3,FALSE),""))</f>
        <v/>
      </c>
      <c r="F443" s="187"/>
      <c r="G443" s="180" t="str">
        <f>IF(C443="","",IFERROR(VLOOKUP(C443,Inventory!$A:$I,9,FALSE),0))</f>
        <v/>
      </c>
      <c r="H443" s="189" t="str">
        <f t="shared" si="1"/>
        <v/>
      </c>
      <c r="I443" s="190" t="str">
        <f t="shared" si="2"/>
        <v/>
      </c>
      <c r="J443" s="191"/>
      <c r="K443" s="191" t="str">
        <f t="shared" si="3"/>
        <v/>
      </c>
      <c r="L443" s="187"/>
      <c r="M443" s="192" t="str">
        <f t="shared" si="4"/>
        <v/>
      </c>
      <c r="N443" s="185" t="str">
        <f t="shared" si="5"/>
        <v/>
      </c>
    </row>
    <row r="444" ht="15.75" customHeight="1">
      <c r="A444" s="186"/>
      <c r="B444" s="187"/>
      <c r="C444" s="187"/>
      <c r="D444" s="188" t="str">
        <f>IF(C444="","",IFERROR(VLOOKUP(C444,Inventory!$A:$B,2,FALSE),""))</f>
        <v/>
      </c>
      <c r="E444" s="188" t="str">
        <f>IF(C444="","",IFERROR(VLOOKUP(C444,Inventory!$A:$C,3,FALSE),""))</f>
        <v/>
      </c>
      <c r="F444" s="187"/>
      <c r="G444" s="180" t="str">
        <f>IF(C444="","",IFERROR(VLOOKUP(C444,Inventory!$A:$I,9,FALSE),0))</f>
        <v/>
      </c>
      <c r="H444" s="189" t="str">
        <f t="shared" si="1"/>
        <v/>
      </c>
      <c r="I444" s="190" t="str">
        <f t="shared" si="2"/>
        <v/>
      </c>
      <c r="J444" s="191"/>
      <c r="K444" s="191" t="str">
        <f t="shared" si="3"/>
        <v/>
      </c>
      <c r="L444" s="187"/>
      <c r="M444" s="192" t="str">
        <f t="shared" si="4"/>
        <v/>
      </c>
      <c r="N444" s="185" t="str">
        <f t="shared" si="5"/>
        <v/>
      </c>
    </row>
    <row r="445" ht="15.75" customHeight="1">
      <c r="A445" s="186"/>
      <c r="B445" s="187"/>
      <c r="C445" s="187"/>
      <c r="D445" s="188" t="str">
        <f>IF(C445="","",IFERROR(VLOOKUP(C445,Inventory!$A:$B,2,FALSE),""))</f>
        <v/>
      </c>
      <c r="E445" s="188" t="str">
        <f>IF(C445="","",IFERROR(VLOOKUP(C445,Inventory!$A:$C,3,FALSE),""))</f>
        <v/>
      </c>
      <c r="F445" s="187"/>
      <c r="G445" s="180" t="str">
        <f>IF(C445="","",IFERROR(VLOOKUP(C445,Inventory!$A:$I,9,FALSE),0))</f>
        <v/>
      </c>
      <c r="H445" s="189" t="str">
        <f t="shared" si="1"/>
        <v/>
      </c>
      <c r="I445" s="190" t="str">
        <f t="shared" si="2"/>
        <v/>
      </c>
      <c r="J445" s="191"/>
      <c r="K445" s="191" t="str">
        <f t="shared" si="3"/>
        <v/>
      </c>
      <c r="L445" s="187"/>
      <c r="M445" s="192" t="str">
        <f t="shared" si="4"/>
        <v/>
      </c>
      <c r="N445" s="185" t="str">
        <f t="shared" si="5"/>
        <v/>
      </c>
    </row>
    <row r="446" ht="15.75" customHeight="1">
      <c r="A446" s="186"/>
      <c r="B446" s="187"/>
      <c r="C446" s="187"/>
      <c r="D446" s="188" t="str">
        <f>IF(C446="","",IFERROR(VLOOKUP(C446,Inventory!$A:$B,2,FALSE),""))</f>
        <v/>
      </c>
      <c r="E446" s="188" t="str">
        <f>IF(C446="","",IFERROR(VLOOKUP(C446,Inventory!$A:$C,3,FALSE),""))</f>
        <v/>
      </c>
      <c r="F446" s="187"/>
      <c r="G446" s="180" t="str">
        <f>IF(C446="","",IFERROR(VLOOKUP(C446,Inventory!$A:$I,9,FALSE),0))</f>
        <v/>
      </c>
      <c r="H446" s="189" t="str">
        <f t="shared" si="1"/>
        <v/>
      </c>
      <c r="I446" s="190" t="str">
        <f t="shared" si="2"/>
        <v/>
      </c>
      <c r="J446" s="191"/>
      <c r="K446" s="191" t="str">
        <f t="shared" si="3"/>
        <v/>
      </c>
      <c r="L446" s="187"/>
      <c r="M446" s="192" t="str">
        <f t="shared" si="4"/>
        <v/>
      </c>
      <c r="N446" s="185" t="str">
        <f t="shared" si="5"/>
        <v/>
      </c>
    </row>
    <row r="447" ht="15.75" customHeight="1">
      <c r="A447" s="186"/>
      <c r="B447" s="187"/>
      <c r="C447" s="187"/>
      <c r="D447" s="188" t="str">
        <f>IF(C447="","",IFERROR(VLOOKUP(C447,Inventory!$A:$B,2,FALSE),""))</f>
        <v/>
      </c>
      <c r="E447" s="188" t="str">
        <f>IF(C447="","",IFERROR(VLOOKUP(C447,Inventory!$A:$C,3,FALSE),""))</f>
        <v/>
      </c>
      <c r="F447" s="187"/>
      <c r="G447" s="180" t="str">
        <f>IF(C447="","",IFERROR(VLOOKUP(C447,Inventory!$A:$I,9,FALSE),0))</f>
        <v/>
      </c>
      <c r="H447" s="189" t="str">
        <f t="shared" si="1"/>
        <v/>
      </c>
      <c r="I447" s="190" t="str">
        <f t="shared" si="2"/>
        <v/>
      </c>
      <c r="J447" s="191"/>
      <c r="K447" s="191" t="str">
        <f t="shared" si="3"/>
        <v/>
      </c>
      <c r="L447" s="187"/>
      <c r="M447" s="192" t="str">
        <f t="shared" si="4"/>
        <v/>
      </c>
      <c r="N447" s="185" t="str">
        <f t="shared" si="5"/>
        <v/>
      </c>
    </row>
    <row r="448" ht="15.75" customHeight="1">
      <c r="A448" s="186"/>
      <c r="B448" s="187"/>
      <c r="C448" s="187"/>
      <c r="D448" s="188" t="str">
        <f>IF(C448="","",IFERROR(VLOOKUP(C448,Inventory!$A:$B,2,FALSE),""))</f>
        <v/>
      </c>
      <c r="E448" s="188" t="str">
        <f>IF(C448="","",IFERROR(VLOOKUP(C448,Inventory!$A:$C,3,FALSE),""))</f>
        <v/>
      </c>
      <c r="F448" s="187"/>
      <c r="G448" s="180" t="str">
        <f>IF(C448="","",IFERROR(VLOOKUP(C448,Inventory!$A:$I,9,FALSE),0))</f>
        <v/>
      </c>
      <c r="H448" s="189" t="str">
        <f t="shared" si="1"/>
        <v/>
      </c>
      <c r="I448" s="190" t="str">
        <f t="shared" si="2"/>
        <v/>
      </c>
      <c r="J448" s="191"/>
      <c r="K448" s="191" t="str">
        <f t="shared" si="3"/>
        <v/>
      </c>
      <c r="L448" s="187"/>
      <c r="M448" s="192" t="str">
        <f t="shared" si="4"/>
        <v/>
      </c>
      <c r="N448" s="185" t="str">
        <f t="shared" si="5"/>
        <v/>
      </c>
    </row>
    <row r="449" ht="15.75" customHeight="1">
      <c r="A449" s="186"/>
      <c r="B449" s="187"/>
      <c r="C449" s="187"/>
      <c r="D449" s="188" t="str">
        <f>IF(C449="","",IFERROR(VLOOKUP(C449,Inventory!$A:$B,2,FALSE),""))</f>
        <v/>
      </c>
      <c r="E449" s="188" t="str">
        <f>IF(C449="","",IFERROR(VLOOKUP(C449,Inventory!$A:$C,3,FALSE),""))</f>
        <v/>
      </c>
      <c r="F449" s="187"/>
      <c r="G449" s="180" t="str">
        <f>IF(C449="","",IFERROR(VLOOKUP(C449,Inventory!$A:$I,9,FALSE),0))</f>
        <v/>
      </c>
      <c r="H449" s="189" t="str">
        <f t="shared" si="1"/>
        <v/>
      </c>
      <c r="I449" s="190" t="str">
        <f t="shared" si="2"/>
        <v/>
      </c>
      <c r="J449" s="191"/>
      <c r="K449" s="191" t="str">
        <f t="shared" si="3"/>
        <v/>
      </c>
      <c r="L449" s="187"/>
      <c r="M449" s="192" t="str">
        <f t="shared" si="4"/>
        <v/>
      </c>
      <c r="N449" s="185" t="str">
        <f t="shared" si="5"/>
        <v/>
      </c>
    </row>
    <row r="450" ht="15.75" customHeight="1">
      <c r="A450" s="186"/>
      <c r="B450" s="187"/>
      <c r="C450" s="187"/>
      <c r="D450" s="188" t="str">
        <f>IF(C450="","",IFERROR(VLOOKUP(C450,Inventory!$A:$B,2,FALSE),""))</f>
        <v/>
      </c>
      <c r="E450" s="188" t="str">
        <f>IF(C450="","",IFERROR(VLOOKUP(C450,Inventory!$A:$C,3,FALSE),""))</f>
        <v/>
      </c>
      <c r="F450" s="187"/>
      <c r="G450" s="180" t="str">
        <f>IF(C450="","",IFERROR(VLOOKUP(C450,Inventory!$A:$I,9,FALSE),0))</f>
        <v/>
      </c>
      <c r="H450" s="189" t="str">
        <f t="shared" si="1"/>
        <v/>
      </c>
      <c r="I450" s="190" t="str">
        <f t="shared" si="2"/>
        <v/>
      </c>
      <c r="J450" s="191"/>
      <c r="K450" s="191" t="str">
        <f t="shared" si="3"/>
        <v/>
      </c>
      <c r="L450" s="187"/>
      <c r="M450" s="192" t="str">
        <f t="shared" si="4"/>
        <v/>
      </c>
      <c r="N450" s="185" t="str">
        <f t="shared" si="5"/>
        <v/>
      </c>
    </row>
    <row r="451" ht="15.75" customHeight="1">
      <c r="A451" s="186"/>
      <c r="B451" s="187"/>
      <c r="C451" s="187"/>
      <c r="D451" s="188" t="str">
        <f>IF(C451="","",IFERROR(VLOOKUP(C451,Inventory!$A:$B,2,FALSE),""))</f>
        <v/>
      </c>
      <c r="E451" s="188" t="str">
        <f>IF(C451="","",IFERROR(VLOOKUP(C451,Inventory!$A:$C,3,FALSE),""))</f>
        <v/>
      </c>
      <c r="F451" s="187"/>
      <c r="G451" s="180" t="str">
        <f>IF(C451="","",IFERROR(VLOOKUP(C451,Inventory!$A:$I,9,FALSE),0))</f>
        <v/>
      </c>
      <c r="H451" s="189" t="str">
        <f t="shared" si="1"/>
        <v/>
      </c>
      <c r="I451" s="190" t="str">
        <f t="shared" si="2"/>
        <v/>
      </c>
      <c r="J451" s="191"/>
      <c r="K451" s="191" t="str">
        <f t="shared" si="3"/>
        <v/>
      </c>
      <c r="L451" s="187"/>
      <c r="M451" s="192" t="str">
        <f t="shared" si="4"/>
        <v/>
      </c>
      <c r="N451" s="185" t="str">
        <f t="shared" si="5"/>
        <v/>
      </c>
    </row>
    <row r="452" ht="15.75" customHeight="1">
      <c r="A452" s="186"/>
      <c r="B452" s="187"/>
      <c r="C452" s="187"/>
      <c r="D452" s="188" t="str">
        <f>IF(C452="","",IFERROR(VLOOKUP(C452,Inventory!$A:$B,2,FALSE),""))</f>
        <v/>
      </c>
      <c r="E452" s="188" t="str">
        <f>IF(C452="","",IFERROR(VLOOKUP(C452,Inventory!$A:$C,3,FALSE),""))</f>
        <v/>
      </c>
      <c r="F452" s="187"/>
      <c r="G452" s="180" t="str">
        <f>IF(C452="","",IFERROR(VLOOKUP(C452,Inventory!$A:$I,9,FALSE),0))</f>
        <v/>
      </c>
      <c r="H452" s="189" t="str">
        <f t="shared" si="1"/>
        <v/>
      </c>
      <c r="I452" s="190" t="str">
        <f t="shared" si="2"/>
        <v/>
      </c>
      <c r="J452" s="191"/>
      <c r="K452" s="191" t="str">
        <f t="shared" si="3"/>
        <v/>
      </c>
      <c r="L452" s="187"/>
      <c r="M452" s="192" t="str">
        <f t="shared" si="4"/>
        <v/>
      </c>
      <c r="N452" s="185" t="str">
        <f t="shared" si="5"/>
        <v/>
      </c>
    </row>
    <row r="453" ht="15.75" customHeight="1">
      <c r="A453" s="186"/>
      <c r="B453" s="187"/>
      <c r="C453" s="187"/>
      <c r="D453" s="188" t="str">
        <f>IF(C453="","",IFERROR(VLOOKUP(C453,Inventory!$A:$B,2,FALSE),""))</f>
        <v/>
      </c>
      <c r="E453" s="188" t="str">
        <f>IF(C453="","",IFERROR(VLOOKUP(C453,Inventory!$A:$C,3,FALSE),""))</f>
        <v/>
      </c>
      <c r="F453" s="187"/>
      <c r="G453" s="180" t="str">
        <f>IF(C453="","",IFERROR(VLOOKUP(C453,Inventory!$A:$I,9,FALSE),0))</f>
        <v/>
      </c>
      <c r="H453" s="189" t="str">
        <f t="shared" si="1"/>
        <v/>
      </c>
      <c r="I453" s="190" t="str">
        <f t="shared" si="2"/>
        <v/>
      </c>
      <c r="J453" s="191"/>
      <c r="K453" s="191" t="str">
        <f t="shared" si="3"/>
        <v/>
      </c>
      <c r="L453" s="187"/>
      <c r="M453" s="192" t="str">
        <f t="shared" si="4"/>
        <v/>
      </c>
      <c r="N453" s="185" t="str">
        <f t="shared" si="5"/>
        <v/>
      </c>
    </row>
    <row r="454" ht="15.75" customHeight="1">
      <c r="A454" s="186"/>
      <c r="B454" s="187"/>
      <c r="C454" s="187"/>
      <c r="D454" s="188" t="str">
        <f>IF(C454="","",IFERROR(VLOOKUP(C454,Inventory!$A:$B,2,FALSE),""))</f>
        <v/>
      </c>
      <c r="E454" s="188" t="str">
        <f>IF(C454="","",IFERROR(VLOOKUP(C454,Inventory!$A:$C,3,FALSE),""))</f>
        <v/>
      </c>
      <c r="F454" s="187"/>
      <c r="G454" s="180" t="str">
        <f>IF(C454="","",IFERROR(VLOOKUP(C454,Inventory!$A:$I,9,FALSE),0))</f>
        <v/>
      </c>
      <c r="H454" s="189" t="str">
        <f t="shared" si="1"/>
        <v/>
      </c>
      <c r="I454" s="190" t="str">
        <f t="shared" si="2"/>
        <v/>
      </c>
      <c r="J454" s="191"/>
      <c r="K454" s="191" t="str">
        <f t="shared" si="3"/>
        <v/>
      </c>
      <c r="L454" s="187"/>
      <c r="M454" s="192" t="str">
        <f t="shared" si="4"/>
        <v/>
      </c>
      <c r="N454" s="185" t="str">
        <f t="shared" si="5"/>
        <v/>
      </c>
    </row>
    <row r="455" ht="15.75" customHeight="1">
      <c r="A455" s="186"/>
      <c r="B455" s="187"/>
      <c r="C455" s="187"/>
      <c r="D455" s="188" t="str">
        <f>IF(C455="","",IFERROR(VLOOKUP(C455,Inventory!$A:$B,2,FALSE),""))</f>
        <v/>
      </c>
      <c r="E455" s="188" t="str">
        <f>IF(C455="","",IFERROR(VLOOKUP(C455,Inventory!$A:$C,3,FALSE),""))</f>
        <v/>
      </c>
      <c r="F455" s="187"/>
      <c r="G455" s="180" t="str">
        <f>IF(C455="","",IFERROR(VLOOKUP(C455,Inventory!$A:$I,9,FALSE),0))</f>
        <v/>
      </c>
      <c r="H455" s="189" t="str">
        <f t="shared" si="1"/>
        <v/>
      </c>
      <c r="I455" s="190" t="str">
        <f t="shared" si="2"/>
        <v/>
      </c>
      <c r="J455" s="191"/>
      <c r="K455" s="191" t="str">
        <f t="shared" si="3"/>
        <v/>
      </c>
      <c r="L455" s="187"/>
      <c r="M455" s="192" t="str">
        <f t="shared" si="4"/>
        <v/>
      </c>
      <c r="N455" s="185" t="str">
        <f t="shared" si="5"/>
        <v/>
      </c>
    </row>
    <row r="456" ht="15.75" customHeight="1">
      <c r="A456" s="186"/>
      <c r="B456" s="187"/>
      <c r="C456" s="187"/>
      <c r="D456" s="188" t="str">
        <f>IF(C456="","",IFERROR(VLOOKUP(C456,Inventory!$A:$B,2,FALSE),""))</f>
        <v/>
      </c>
      <c r="E456" s="188" t="str">
        <f>IF(C456="","",IFERROR(VLOOKUP(C456,Inventory!$A:$C,3,FALSE),""))</f>
        <v/>
      </c>
      <c r="F456" s="187"/>
      <c r="G456" s="180" t="str">
        <f>IF(C456="","",IFERROR(VLOOKUP(C456,Inventory!$A:$I,9,FALSE),0))</f>
        <v/>
      </c>
      <c r="H456" s="189" t="str">
        <f t="shared" si="1"/>
        <v/>
      </c>
      <c r="I456" s="190" t="str">
        <f t="shared" si="2"/>
        <v/>
      </c>
      <c r="J456" s="191"/>
      <c r="K456" s="191" t="str">
        <f t="shared" si="3"/>
        <v/>
      </c>
      <c r="L456" s="187"/>
      <c r="M456" s="192" t="str">
        <f t="shared" si="4"/>
        <v/>
      </c>
      <c r="N456" s="185" t="str">
        <f t="shared" si="5"/>
        <v/>
      </c>
    </row>
    <row r="457" ht="15.75" customHeight="1">
      <c r="A457" s="186"/>
      <c r="B457" s="187"/>
      <c r="C457" s="187"/>
      <c r="D457" s="188" t="str">
        <f>IF(C457="","",IFERROR(VLOOKUP(C457,Inventory!$A:$B,2,FALSE),""))</f>
        <v/>
      </c>
      <c r="E457" s="188" t="str">
        <f>IF(C457="","",IFERROR(VLOOKUP(C457,Inventory!$A:$C,3,FALSE),""))</f>
        <v/>
      </c>
      <c r="F457" s="187"/>
      <c r="G457" s="180" t="str">
        <f>IF(C457="","",IFERROR(VLOOKUP(C457,Inventory!$A:$I,9,FALSE),0))</f>
        <v/>
      </c>
      <c r="H457" s="189" t="str">
        <f t="shared" si="1"/>
        <v/>
      </c>
      <c r="I457" s="190" t="str">
        <f t="shared" si="2"/>
        <v/>
      </c>
      <c r="J457" s="191"/>
      <c r="K457" s="191" t="str">
        <f t="shared" si="3"/>
        <v/>
      </c>
      <c r="L457" s="187"/>
      <c r="M457" s="192" t="str">
        <f t="shared" si="4"/>
        <v/>
      </c>
      <c r="N457" s="185" t="str">
        <f t="shared" si="5"/>
        <v/>
      </c>
    </row>
    <row r="458" ht="15.75" customHeight="1">
      <c r="A458" s="186"/>
      <c r="B458" s="187"/>
      <c r="C458" s="187"/>
      <c r="D458" s="188" t="str">
        <f>IF(C458="","",IFERROR(VLOOKUP(C458,Inventory!$A:$B,2,FALSE),""))</f>
        <v/>
      </c>
      <c r="E458" s="188" t="str">
        <f>IF(C458="","",IFERROR(VLOOKUP(C458,Inventory!$A:$C,3,FALSE),""))</f>
        <v/>
      </c>
      <c r="F458" s="187"/>
      <c r="G458" s="180" t="str">
        <f>IF(C458="","",IFERROR(VLOOKUP(C458,Inventory!$A:$I,9,FALSE),0))</f>
        <v/>
      </c>
      <c r="H458" s="189" t="str">
        <f t="shared" si="1"/>
        <v/>
      </c>
      <c r="I458" s="190" t="str">
        <f t="shared" si="2"/>
        <v/>
      </c>
      <c r="J458" s="191"/>
      <c r="K458" s="191" t="str">
        <f t="shared" si="3"/>
        <v/>
      </c>
      <c r="L458" s="187"/>
      <c r="M458" s="192" t="str">
        <f t="shared" si="4"/>
        <v/>
      </c>
      <c r="N458" s="185" t="str">
        <f t="shared" si="5"/>
        <v/>
      </c>
    </row>
    <row r="459" ht="15.75" customHeight="1">
      <c r="A459" s="186"/>
      <c r="B459" s="187"/>
      <c r="C459" s="187"/>
      <c r="D459" s="188" t="str">
        <f>IF(C459="","",IFERROR(VLOOKUP(C459,Inventory!$A:$B,2,FALSE),""))</f>
        <v/>
      </c>
      <c r="E459" s="188" t="str">
        <f>IF(C459="","",IFERROR(VLOOKUP(C459,Inventory!$A:$C,3,FALSE),""))</f>
        <v/>
      </c>
      <c r="F459" s="187"/>
      <c r="G459" s="180" t="str">
        <f>IF(C459="","",IFERROR(VLOOKUP(C459,Inventory!$A:$I,9,FALSE),0))</f>
        <v/>
      </c>
      <c r="H459" s="189" t="str">
        <f t="shared" si="1"/>
        <v/>
      </c>
      <c r="I459" s="190" t="str">
        <f t="shared" si="2"/>
        <v/>
      </c>
      <c r="J459" s="191"/>
      <c r="K459" s="191" t="str">
        <f t="shared" si="3"/>
        <v/>
      </c>
      <c r="L459" s="187"/>
      <c r="M459" s="192" t="str">
        <f t="shared" si="4"/>
        <v/>
      </c>
      <c r="N459" s="185" t="str">
        <f t="shared" si="5"/>
        <v/>
      </c>
    </row>
    <row r="460" ht="15.75" customHeight="1">
      <c r="A460" s="186"/>
      <c r="B460" s="187"/>
      <c r="C460" s="187"/>
      <c r="D460" s="188" t="str">
        <f>IF(C460="","",IFERROR(VLOOKUP(C460,Inventory!$A:$B,2,FALSE),""))</f>
        <v/>
      </c>
      <c r="E460" s="188" t="str">
        <f>IF(C460="","",IFERROR(VLOOKUP(C460,Inventory!$A:$C,3,FALSE),""))</f>
        <v/>
      </c>
      <c r="F460" s="187"/>
      <c r="G460" s="180" t="str">
        <f>IF(C460="","",IFERROR(VLOOKUP(C460,Inventory!$A:$I,9,FALSE),0))</f>
        <v/>
      </c>
      <c r="H460" s="189" t="str">
        <f t="shared" si="1"/>
        <v/>
      </c>
      <c r="I460" s="190" t="str">
        <f t="shared" si="2"/>
        <v/>
      </c>
      <c r="J460" s="191"/>
      <c r="K460" s="191" t="str">
        <f t="shared" si="3"/>
        <v/>
      </c>
      <c r="L460" s="187"/>
      <c r="M460" s="192" t="str">
        <f t="shared" si="4"/>
        <v/>
      </c>
      <c r="N460" s="185" t="str">
        <f t="shared" si="5"/>
        <v/>
      </c>
    </row>
    <row r="461" ht="15.75" customHeight="1">
      <c r="A461" s="186"/>
      <c r="B461" s="187"/>
      <c r="C461" s="187"/>
      <c r="D461" s="188" t="str">
        <f>IF(C461="","",IFERROR(VLOOKUP(C461,Inventory!$A:$B,2,FALSE),""))</f>
        <v/>
      </c>
      <c r="E461" s="188" t="str">
        <f>IF(C461="","",IFERROR(VLOOKUP(C461,Inventory!$A:$C,3,FALSE),""))</f>
        <v/>
      </c>
      <c r="F461" s="187"/>
      <c r="G461" s="180" t="str">
        <f>IF(C461="","",IFERROR(VLOOKUP(C461,Inventory!$A:$I,9,FALSE),0))</f>
        <v/>
      </c>
      <c r="H461" s="189" t="str">
        <f t="shared" si="1"/>
        <v/>
      </c>
      <c r="I461" s="190" t="str">
        <f t="shared" si="2"/>
        <v/>
      </c>
      <c r="J461" s="191"/>
      <c r="K461" s="191" t="str">
        <f t="shared" si="3"/>
        <v/>
      </c>
      <c r="L461" s="187"/>
      <c r="M461" s="192" t="str">
        <f t="shared" si="4"/>
        <v/>
      </c>
      <c r="N461" s="185" t="str">
        <f t="shared" si="5"/>
        <v/>
      </c>
    </row>
    <row r="462" ht="15.75" customHeight="1">
      <c r="A462" s="186"/>
      <c r="B462" s="187"/>
      <c r="C462" s="187"/>
      <c r="D462" s="188" t="str">
        <f>IF(C462="","",IFERROR(VLOOKUP(C462,Inventory!$A:$B,2,FALSE),""))</f>
        <v/>
      </c>
      <c r="E462" s="188" t="str">
        <f>IF(C462="","",IFERROR(VLOOKUP(C462,Inventory!$A:$C,3,FALSE),""))</f>
        <v/>
      </c>
      <c r="F462" s="187"/>
      <c r="G462" s="180" t="str">
        <f>IF(C462="","",IFERROR(VLOOKUP(C462,Inventory!$A:$I,9,FALSE),0))</f>
        <v/>
      </c>
      <c r="H462" s="189" t="str">
        <f t="shared" si="1"/>
        <v/>
      </c>
      <c r="I462" s="190" t="str">
        <f t="shared" si="2"/>
        <v/>
      </c>
      <c r="J462" s="191"/>
      <c r="K462" s="191" t="str">
        <f t="shared" si="3"/>
        <v/>
      </c>
      <c r="L462" s="187"/>
      <c r="M462" s="192" t="str">
        <f t="shared" si="4"/>
        <v/>
      </c>
      <c r="N462" s="185" t="str">
        <f t="shared" si="5"/>
        <v/>
      </c>
    </row>
    <row r="463" ht="15.75" customHeight="1">
      <c r="A463" s="186"/>
      <c r="B463" s="187"/>
      <c r="C463" s="187"/>
      <c r="D463" s="188" t="str">
        <f>IF(C463="","",IFERROR(VLOOKUP(C463,Inventory!$A:$B,2,FALSE),""))</f>
        <v/>
      </c>
      <c r="E463" s="188" t="str">
        <f>IF(C463="","",IFERROR(VLOOKUP(C463,Inventory!$A:$C,3,FALSE),""))</f>
        <v/>
      </c>
      <c r="F463" s="187"/>
      <c r="G463" s="180" t="str">
        <f>IF(C463="","",IFERROR(VLOOKUP(C463,Inventory!$A:$I,9,FALSE),0))</f>
        <v/>
      </c>
      <c r="H463" s="189" t="str">
        <f t="shared" si="1"/>
        <v/>
      </c>
      <c r="I463" s="190" t="str">
        <f t="shared" si="2"/>
        <v/>
      </c>
      <c r="J463" s="191"/>
      <c r="K463" s="191" t="str">
        <f t="shared" si="3"/>
        <v/>
      </c>
      <c r="L463" s="187"/>
      <c r="M463" s="192" t="str">
        <f t="shared" si="4"/>
        <v/>
      </c>
      <c r="N463" s="185" t="str">
        <f t="shared" si="5"/>
        <v/>
      </c>
    </row>
    <row r="464" ht="15.75" customHeight="1">
      <c r="A464" s="186"/>
      <c r="B464" s="187"/>
      <c r="C464" s="187"/>
      <c r="D464" s="188" t="str">
        <f>IF(C464="","",IFERROR(VLOOKUP(C464,Inventory!$A:$B,2,FALSE),""))</f>
        <v/>
      </c>
      <c r="E464" s="188" t="str">
        <f>IF(C464="","",IFERROR(VLOOKUP(C464,Inventory!$A:$C,3,FALSE),""))</f>
        <v/>
      </c>
      <c r="F464" s="187"/>
      <c r="G464" s="180" t="str">
        <f>IF(C464="","",IFERROR(VLOOKUP(C464,Inventory!$A:$I,9,FALSE),0))</f>
        <v/>
      </c>
      <c r="H464" s="189" t="str">
        <f t="shared" si="1"/>
        <v/>
      </c>
      <c r="I464" s="190" t="str">
        <f t="shared" si="2"/>
        <v/>
      </c>
      <c r="J464" s="191"/>
      <c r="K464" s="191" t="str">
        <f t="shared" si="3"/>
        <v/>
      </c>
      <c r="L464" s="187"/>
      <c r="M464" s="192" t="str">
        <f t="shared" si="4"/>
        <v/>
      </c>
      <c r="N464" s="185" t="str">
        <f t="shared" si="5"/>
        <v/>
      </c>
    </row>
    <row r="465" ht="15.75" customHeight="1">
      <c r="A465" s="186"/>
      <c r="B465" s="187"/>
      <c r="C465" s="187"/>
      <c r="D465" s="188" t="str">
        <f>IF(C465="","",IFERROR(VLOOKUP(C465,Inventory!$A:$B,2,FALSE),""))</f>
        <v/>
      </c>
      <c r="E465" s="188" t="str">
        <f>IF(C465="","",IFERROR(VLOOKUP(C465,Inventory!$A:$C,3,FALSE),""))</f>
        <v/>
      </c>
      <c r="F465" s="187"/>
      <c r="G465" s="180" t="str">
        <f>IF(C465="","",IFERROR(VLOOKUP(C465,Inventory!$A:$I,9,FALSE),0))</f>
        <v/>
      </c>
      <c r="H465" s="189" t="str">
        <f t="shared" si="1"/>
        <v/>
      </c>
      <c r="I465" s="190" t="str">
        <f t="shared" si="2"/>
        <v/>
      </c>
      <c r="J465" s="191"/>
      <c r="K465" s="191" t="str">
        <f t="shared" si="3"/>
        <v/>
      </c>
      <c r="L465" s="187"/>
      <c r="M465" s="192" t="str">
        <f t="shared" si="4"/>
        <v/>
      </c>
      <c r="N465" s="185" t="str">
        <f t="shared" si="5"/>
        <v/>
      </c>
    </row>
    <row r="466" ht="15.75" customHeight="1">
      <c r="A466" s="186"/>
      <c r="B466" s="187"/>
      <c r="C466" s="187"/>
      <c r="D466" s="188" t="str">
        <f>IF(C466="","",IFERROR(VLOOKUP(C466,Inventory!$A:$B,2,FALSE),""))</f>
        <v/>
      </c>
      <c r="E466" s="188" t="str">
        <f>IF(C466="","",IFERROR(VLOOKUP(C466,Inventory!$A:$C,3,FALSE),""))</f>
        <v/>
      </c>
      <c r="F466" s="187"/>
      <c r="G466" s="180" t="str">
        <f>IF(C466="","",IFERROR(VLOOKUP(C466,Inventory!$A:$I,9,FALSE),0))</f>
        <v/>
      </c>
      <c r="H466" s="189" t="str">
        <f t="shared" si="1"/>
        <v/>
      </c>
      <c r="I466" s="190" t="str">
        <f t="shared" si="2"/>
        <v/>
      </c>
      <c r="J466" s="191"/>
      <c r="K466" s="191" t="str">
        <f t="shared" si="3"/>
        <v/>
      </c>
      <c r="L466" s="187"/>
      <c r="M466" s="192" t="str">
        <f t="shared" si="4"/>
        <v/>
      </c>
      <c r="N466" s="185" t="str">
        <f t="shared" si="5"/>
        <v/>
      </c>
    </row>
    <row r="467" ht="15.75" customHeight="1">
      <c r="A467" s="186"/>
      <c r="B467" s="187"/>
      <c r="C467" s="187"/>
      <c r="D467" s="188" t="str">
        <f>IF(C467="","",IFERROR(VLOOKUP(C467,Inventory!$A:$B,2,FALSE),""))</f>
        <v/>
      </c>
      <c r="E467" s="188" t="str">
        <f>IF(C467="","",IFERROR(VLOOKUP(C467,Inventory!$A:$C,3,FALSE),""))</f>
        <v/>
      </c>
      <c r="F467" s="187"/>
      <c r="G467" s="180" t="str">
        <f>IF(C467="","",IFERROR(VLOOKUP(C467,Inventory!$A:$I,9,FALSE),0))</f>
        <v/>
      </c>
      <c r="H467" s="189" t="str">
        <f t="shared" si="1"/>
        <v/>
      </c>
      <c r="I467" s="190" t="str">
        <f t="shared" si="2"/>
        <v/>
      </c>
      <c r="J467" s="191"/>
      <c r="K467" s="191" t="str">
        <f t="shared" si="3"/>
        <v/>
      </c>
      <c r="L467" s="187"/>
      <c r="M467" s="192" t="str">
        <f t="shared" si="4"/>
        <v/>
      </c>
      <c r="N467" s="185" t="str">
        <f t="shared" si="5"/>
        <v/>
      </c>
    </row>
    <row r="468" ht="15.75" customHeight="1">
      <c r="A468" s="186"/>
      <c r="B468" s="187"/>
      <c r="C468" s="187"/>
      <c r="D468" s="188" t="str">
        <f>IF(C468="","",IFERROR(VLOOKUP(C468,Inventory!$A:$B,2,FALSE),""))</f>
        <v/>
      </c>
      <c r="E468" s="188" t="str">
        <f>IF(C468="","",IFERROR(VLOOKUP(C468,Inventory!$A:$C,3,FALSE),""))</f>
        <v/>
      </c>
      <c r="F468" s="187"/>
      <c r="G468" s="180" t="str">
        <f>IF(C468="","",IFERROR(VLOOKUP(C468,Inventory!$A:$I,9,FALSE),0))</f>
        <v/>
      </c>
      <c r="H468" s="189" t="str">
        <f t="shared" si="1"/>
        <v/>
      </c>
      <c r="I468" s="190" t="str">
        <f t="shared" si="2"/>
        <v/>
      </c>
      <c r="J468" s="191"/>
      <c r="K468" s="191" t="str">
        <f t="shared" si="3"/>
        <v/>
      </c>
      <c r="L468" s="187"/>
      <c r="M468" s="192" t="str">
        <f t="shared" si="4"/>
        <v/>
      </c>
      <c r="N468" s="185" t="str">
        <f t="shared" si="5"/>
        <v/>
      </c>
    </row>
    <row r="469" ht="15.75" customHeight="1">
      <c r="A469" s="186"/>
      <c r="B469" s="187"/>
      <c r="C469" s="187"/>
      <c r="D469" s="188" t="str">
        <f>IF(C469="","",IFERROR(VLOOKUP(C469,Inventory!$A:$B,2,FALSE),""))</f>
        <v/>
      </c>
      <c r="E469" s="188" t="str">
        <f>IF(C469="","",IFERROR(VLOOKUP(C469,Inventory!$A:$C,3,FALSE),""))</f>
        <v/>
      </c>
      <c r="F469" s="187"/>
      <c r="G469" s="180" t="str">
        <f>IF(C469="","",IFERROR(VLOOKUP(C469,Inventory!$A:$I,9,FALSE),0))</f>
        <v/>
      </c>
      <c r="H469" s="189" t="str">
        <f t="shared" si="1"/>
        <v/>
      </c>
      <c r="I469" s="190" t="str">
        <f t="shared" si="2"/>
        <v/>
      </c>
      <c r="J469" s="191"/>
      <c r="K469" s="191" t="str">
        <f t="shared" si="3"/>
        <v/>
      </c>
      <c r="L469" s="187"/>
      <c r="M469" s="192" t="str">
        <f t="shared" si="4"/>
        <v/>
      </c>
      <c r="N469" s="185" t="str">
        <f t="shared" si="5"/>
        <v/>
      </c>
    </row>
    <row r="470" ht="15.75" customHeight="1">
      <c r="A470" s="186"/>
      <c r="B470" s="187"/>
      <c r="C470" s="187"/>
      <c r="D470" s="188" t="str">
        <f>IF(C470="","",IFERROR(VLOOKUP(C470,Inventory!$A:$B,2,FALSE),""))</f>
        <v/>
      </c>
      <c r="E470" s="188" t="str">
        <f>IF(C470="","",IFERROR(VLOOKUP(C470,Inventory!$A:$C,3,FALSE),""))</f>
        <v/>
      </c>
      <c r="F470" s="187"/>
      <c r="G470" s="180" t="str">
        <f>IF(C470="","",IFERROR(VLOOKUP(C470,Inventory!$A:$I,9,FALSE),0))</f>
        <v/>
      </c>
      <c r="H470" s="189" t="str">
        <f t="shared" si="1"/>
        <v/>
      </c>
      <c r="I470" s="190" t="str">
        <f t="shared" si="2"/>
        <v/>
      </c>
      <c r="J470" s="191"/>
      <c r="K470" s="191" t="str">
        <f t="shared" si="3"/>
        <v/>
      </c>
      <c r="L470" s="187"/>
      <c r="M470" s="192" t="str">
        <f t="shared" si="4"/>
        <v/>
      </c>
      <c r="N470" s="185" t="str">
        <f t="shared" si="5"/>
        <v/>
      </c>
    </row>
    <row r="471" ht="15.75" customHeight="1">
      <c r="A471" s="186"/>
      <c r="B471" s="187"/>
      <c r="C471" s="187"/>
      <c r="D471" s="188" t="str">
        <f>IF(C471="","",IFERROR(VLOOKUP(C471,Inventory!$A:$B,2,FALSE),""))</f>
        <v/>
      </c>
      <c r="E471" s="188" t="str">
        <f>IF(C471="","",IFERROR(VLOOKUP(C471,Inventory!$A:$C,3,FALSE),""))</f>
        <v/>
      </c>
      <c r="F471" s="187"/>
      <c r="G471" s="180" t="str">
        <f>IF(C471="","",IFERROR(VLOOKUP(C471,Inventory!$A:$I,9,FALSE),0))</f>
        <v/>
      </c>
      <c r="H471" s="189" t="str">
        <f t="shared" si="1"/>
        <v/>
      </c>
      <c r="I471" s="190" t="str">
        <f t="shared" si="2"/>
        <v/>
      </c>
      <c r="J471" s="191"/>
      <c r="K471" s="191" t="str">
        <f t="shared" si="3"/>
        <v/>
      </c>
      <c r="L471" s="187"/>
      <c r="M471" s="192" t="str">
        <f t="shared" si="4"/>
        <v/>
      </c>
      <c r="N471" s="185" t="str">
        <f t="shared" si="5"/>
        <v/>
      </c>
    </row>
    <row r="472" ht="15.75" customHeight="1">
      <c r="A472" s="186"/>
      <c r="B472" s="187"/>
      <c r="C472" s="187"/>
      <c r="D472" s="188" t="str">
        <f>IF(C472="","",IFERROR(VLOOKUP(C472,Inventory!$A:$B,2,FALSE),""))</f>
        <v/>
      </c>
      <c r="E472" s="188" t="str">
        <f>IF(C472="","",IFERROR(VLOOKUP(C472,Inventory!$A:$C,3,FALSE),""))</f>
        <v/>
      </c>
      <c r="F472" s="187"/>
      <c r="G472" s="180" t="str">
        <f>IF(C472="","",IFERROR(VLOOKUP(C472,Inventory!$A:$I,9,FALSE),0))</f>
        <v/>
      </c>
      <c r="H472" s="189" t="str">
        <f t="shared" si="1"/>
        <v/>
      </c>
      <c r="I472" s="190" t="str">
        <f t="shared" si="2"/>
        <v/>
      </c>
      <c r="J472" s="191"/>
      <c r="K472" s="191" t="str">
        <f t="shared" si="3"/>
        <v/>
      </c>
      <c r="L472" s="187"/>
      <c r="M472" s="192" t="str">
        <f t="shared" si="4"/>
        <v/>
      </c>
      <c r="N472" s="185" t="str">
        <f t="shared" si="5"/>
        <v/>
      </c>
    </row>
    <row r="473" ht="15.75" customHeight="1">
      <c r="A473" s="186"/>
      <c r="B473" s="187"/>
      <c r="C473" s="187"/>
      <c r="D473" s="188" t="str">
        <f>IF(C473="","",IFERROR(VLOOKUP(C473,Inventory!$A:$B,2,FALSE),""))</f>
        <v/>
      </c>
      <c r="E473" s="188" t="str">
        <f>IF(C473="","",IFERROR(VLOOKUP(C473,Inventory!$A:$C,3,FALSE),""))</f>
        <v/>
      </c>
      <c r="F473" s="187"/>
      <c r="G473" s="180" t="str">
        <f>IF(C473="","",IFERROR(VLOOKUP(C473,Inventory!$A:$I,9,FALSE),0))</f>
        <v/>
      </c>
      <c r="H473" s="189" t="str">
        <f t="shared" si="1"/>
        <v/>
      </c>
      <c r="I473" s="190" t="str">
        <f t="shared" si="2"/>
        <v/>
      </c>
      <c r="J473" s="191"/>
      <c r="K473" s="191" t="str">
        <f t="shared" si="3"/>
        <v/>
      </c>
      <c r="L473" s="187"/>
      <c r="M473" s="192" t="str">
        <f t="shared" si="4"/>
        <v/>
      </c>
      <c r="N473" s="185" t="str">
        <f t="shared" si="5"/>
        <v/>
      </c>
    </row>
    <row r="474" ht="15.75" customHeight="1">
      <c r="A474" s="186"/>
      <c r="B474" s="187"/>
      <c r="C474" s="187"/>
      <c r="D474" s="188" t="str">
        <f>IF(C474="","",IFERROR(VLOOKUP(C474,Inventory!$A:$B,2,FALSE),""))</f>
        <v/>
      </c>
      <c r="E474" s="188" t="str">
        <f>IF(C474="","",IFERROR(VLOOKUP(C474,Inventory!$A:$C,3,FALSE),""))</f>
        <v/>
      </c>
      <c r="F474" s="187"/>
      <c r="G474" s="180" t="str">
        <f>IF(C474="","",IFERROR(VLOOKUP(C474,Inventory!$A:$I,9,FALSE),0))</f>
        <v/>
      </c>
      <c r="H474" s="189" t="str">
        <f t="shared" si="1"/>
        <v/>
      </c>
      <c r="I474" s="190" t="str">
        <f t="shared" si="2"/>
        <v/>
      </c>
      <c r="J474" s="191"/>
      <c r="K474" s="191" t="str">
        <f t="shared" si="3"/>
        <v/>
      </c>
      <c r="L474" s="187"/>
      <c r="M474" s="192" t="str">
        <f t="shared" si="4"/>
        <v/>
      </c>
      <c r="N474" s="185" t="str">
        <f t="shared" si="5"/>
        <v/>
      </c>
    </row>
    <row r="475" ht="15.75" customHeight="1">
      <c r="A475" s="186"/>
      <c r="B475" s="187"/>
      <c r="C475" s="187"/>
      <c r="D475" s="188" t="str">
        <f>IF(C475="","",IFERROR(VLOOKUP(C475,Inventory!$A:$B,2,FALSE),""))</f>
        <v/>
      </c>
      <c r="E475" s="188" t="str">
        <f>IF(C475="","",IFERROR(VLOOKUP(C475,Inventory!$A:$C,3,FALSE),""))</f>
        <v/>
      </c>
      <c r="F475" s="187"/>
      <c r="G475" s="180" t="str">
        <f>IF(C475="","",IFERROR(VLOOKUP(C475,Inventory!$A:$I,9,FALSE),0))</f>
        <v/>
      </c>
      <c r="H475" s="189" t="str">
        <f t="shared" si="1"/>
        <v/>
      </c>
      <c r="I475" s="190" t="str">
        <f t="shared" si="2"/>
        <v/>
      </c>
      <c r="J475" s="191"/>
      <c r="K475" s="191" t="str">
        <f t="shared" si="3"/>
        <v/>
      </c>
      <c r="L475" s="187"/>
      <c r="M475" s="192" t="str">
        <f t="shared" si="4"/>
        <v/>
      </c>
      <c r="N475" s="185" t="str">
        <f t="shared" si="5"/>
        <v/>
      </c>
    </row>
    <row r="476" ht="15.75" customHeight="1">
      <c r="A476" s="186"/>
      <c r="B476" s="187"/>
      <c r="C476" s="187"/>
      <c r="D476" s="188" t="str">
        <f>IF(C476="","",IFERROR(VLOOKUP(C476,Inventory!$A:$B,2,FALSE),""))</f>
        <v/>
      </c>
      <c r="E476" s="188" t="str">
        <f>IF(C476="","",IFERROR(VLOOKUP(C476,Inventory!$A:$C,3,FALSE),""))</f>
        <v/>
      </c>
      <c r="F476" s="187"/>
      <c r="G476" s="180" t="str">
        <f>IF(C476="","",IFERROR(VLOOKUP(C476,Inventory!$A:$I,9,FALSE),0))</f>
        <v/>
      </c>
      <c r="H476" s="189" t="str">
        <f t="shared" si="1"/>
        <v/>
      </c>
      <c r="I476" s="190" t="str">
        <f t="shared" si="2"/>
        <v/>
      </c>
      <c r="J476" s="191"/>
      <c r="K476" s="191" t="str">
        <f t="shared" si="3"/>
        <v/>
      </c>
      <c r="L476" s="187"/>
      <c r="M476" s="192" t="str">
        <f t="shared" si="4"/>
        <v/>
      </c>
      <c r="N476" s="185" t="str">
        <f t="shared" si="5"/>
        <v/>
      </c>
    </row>
    <row r="477" ht="15.75" customHeight="1">
      <c r="A477" s="186"/>
      <c r="B477" s="187"/>
      <c r="C477" s="187"/>
      <c r="D477" s="188" t="str">
        <f>IF(C477="","",IFERROR(VLOOKUP(C477,Inventory!$A:$B,2,FALSE),""))</f>
        <v/>
      </c>
      <c r="E477" s="188" t="str">
        <f>IF(C477="","",IFERROR(VLOOKUP(C477,Inventory!$A:$C,3,FALSE),""))</f>
        <v/>
      </c>
      <c r="F477" s="187"/>
      <c r="G477" s="180" t="str">
        <f>IF(C477="","",IFERROR(VLOOKUP(C477,Inventory!$A:$I,9,FALSE),0))</f>
        <v/>
      </c>
      <c r="H477" s="189" t="str">
        <f t="shared" si="1"/>
        <v/>
      </c>
      <c r="I477" s="190" t="str">
        <f t="shared" si="2"/>
        <v/>
      </c>
      <c r="J477" s="191"/>
      <c r="K477" s="191" t="str">
        <f t="shared" si="3"/>
        <v/>
      </c>
      <c r="L477" s="187"/>
      <c r="M477" s="192" t="str">
        <f t="shared" si="4"/>
        <v/>
      </c>
      <c r="N477" s="185" t="str">
        <f t="shared" si="5"/>
        <v/>
      </c>
    </row>
    <row r="478" ht="15.75" customHeight="1">
      <c r="A478" s="186"/>
      <c r="B478" s="187"/>
      <c r="C478" s="187"/>
      <c r="D478" s="188" t="str">
        <f>IF(C478="","",IFERROR(VLOOKUP(C478,Inventory!$A:$B,2,FALSE),""))</f>
        <v/>
      </c>
      <c r="E478" s="188" t="str">
        <f>IF(C478="","",IFERROR(VLOOKUP(C478,Inventory!$A:$C,3,FALSE),""))</f>
        <v/>
      </c>
      <c r="F478" s="187"/>
      <c r="G478" s="180" t="str">
        <f>IF(C478="","",IFERROR(VLOOKUP(C478,Inventory!$A:$I,9,FALSE),0))</f>
        <v/>
      </c>
      <c r="H478" s="189" t="str">
        <f t="shared" si="1"/>
        <v/>
      </c>
      <c r="I478" s="190" t="str">
        <f t="shared" si="2"/>
        <v/>
      </c>
      <c r="J478" s="191"/>
      <c r="K478" s="191" t="str">
        <f t="shared" si="3"/>
        <v/>
      </c>
      <c r="L478" s="187"/>
      <c r="M478" s="192" t="str">
        <f t="shared" si="4"/>
        <v/>
      </c>
      <c r="N478" s="185" t="str">
        <f t="shared" si="5"/>
        <v/>
      </c>
    </row>
    <row r="479" ht="15.75" customHeight="1">
      <c r="A479" s="186"/>
      <c r="B479" s="187"/>
      <c r="C479" s="187"/>
      <c r="D479" s="188" t="str">
        <f>IF(C479="","",IFERROR(VLOOKUP(C479,Inventory!$A:$B,2,FALSE),""))</f>
        <v/>
      </c>
      <c r="E479" s="188" t="str">
        <f>IF(C479="","",IFERROR(VLOOKUP(C479,Inventory!$A:$C,3,FALSE),""))</f>
        <v/>
      </c>
      <c r="F479" s="187"/>
      <c r="G479" s="180" t="str">
        <f>IF(C479="","",IFERROR(VLOOKUP(C479,Inventory!$A:$I,9,FALSE),0))</f>
        <v/>
      </c>
      <c r="H479" s="189" t="str">
        <f t="shared" si="1"/>
        <v/>
      </c>
      <c r="I479" s="190" t="str">
        <f t="shared" si="2"/>
        <v/>
      </c>
      <c r="J479" s="191"/>
      <c r="K479" s="191" t="str">
        <f t="shared" si="3"/>
        <v/>
      </c>
      <c r="L479" s="187"/>
      <c r="M479" s="192" t="str">
        <f t="shared" si="4"/>
        <v/>
      </c>
      <c r="N479" s="185" t="str">
        <f t="shared" si="5"/>
        <v/>
      </c>
    </row>
    <row r="480" ht="15.75" customHeight="1">
      <c r="A480" s="186"/>
      <c r="B480" s="187"/>
      <c r="C480" s="187"/>
      <c r="D480" s="188" t="str">
        <f>IF(C480="","",IFERROR(VLOOKUP(C480,Inventory!$A:$B,2,FALSE),""))</f>
        <v/>
      </c>
      <c r="E480" s="188" t="str">
        <f>IF(C480="","",IFERROR(VLOOKUP(C480,Inventory!$A:$C,3,FALSE),""))</f>
        <v/>
      </c>
      <c r="F480" s="187"/>
      <c r="G480" s="180" t="str">
        <f>IF(C480="","",IFERROR(VLOOKUP(C480,Inventory!$A:$I,9,FALSE),0))</f>
        <v/>
      </c>
      <c r="H480" s="189" t="str">
        <f t="shared" si="1"/>
        <v/>
      </c>
      <c r="I480" s="190" t="str">
        <f t="shared" si="2"/>
        <v/>
      </c>
      <c r="J480" s="191"/>
      <c r="K480" s="191" t="str">
        <f t="shared" si="3"/>
        <v/>
      </c>
      <c r="L480" s="187"/>
      <c r="M480" s="192" t="str">
        <f t="shared" si="4"/>
        <v/>
      </c>
      <c r="N480" s="185" t="str">
        <f t="shared" si="5"/>
        <v/>
      </c>
    </row>
    <row r="481" ht="15.75" customHeight="1">
      <c r="A481" s="186"/>
      <c r="B481" s="187"/>
      <c r="C481" s="187"/>
      <c r="D481" s="188" t="str">
        <f>IF(C481="","",IFERROR(VLOOKUP(C481,Inventory!$A:$B,2,FALSE),""))</f>
        <v/>
      </c>
      <c r="E481" s="188" t="str">
        <f>IF(C481="","",IFERROR(VLOOKUP(C481,Inventory!$A:$C,3,FALSE),""))</f>
        <v/>
      </c>
      <c r="F481" s="187"/>
      <c r="G481" s="180" t="str">
        <f>IF(C481="","",IFERROR(VLOOKUP(C481,Inventory!$A:$I,9,FALSE),0))</f>
        <v/>
      </c>
      <c r="H481" s="189" t="str">
        <f t="shared" si="1"/>
        <v/>
      </c>
      <c r="I481" s="190" t="str">
        <f t="shared" si="2"/>
        <v/>
      </c>
      <c r="J481" s="191"/>
      <c r="K481" s="191" t="str">
        <f t="shared" si="3"/>
        <v/>
      </c>
      <c r="L481" s="187"/>
      <c r="M481" s="192" t="str">
        <f t="shared" si="4"/>
        <v/>
      </c>
      <c r="N481" s="185" t="str">
        <f t="shared" si="5"/>
        <v/>
      </c>
    </row>
    <row r="482" ht="15.75" customHeight="1">
      <c r="A482" s="186"/>
      <c r="B482" s="187"/>
      <c r="C482" s="187"/>
      <c r="D482" s="188" t="str">
        <f>IF(C482="","",IFERROR(VLOOKUP(C482,Inventory!$A:$B,2,FALSE),""))</f>
        <v/>
      </c>
      <c r="E482" s="188" t="str">
        <f>IF(C482="","",IFERROR(VLOOKUP(C482,Inventory!$A:$C,3,FALSE),""))</f>
        <v/>
      </c>
      <c r="F482" s="187"/>
      <c r="G482" s="180" t="str">
        <f>IF(C482="","",IFERROR(VLOOKUP(C482,Inventory!$A:$I,9,FALSE),0))</f>
        <v/>
      </c>
      <c r="H482" s="189" t="str">
        <f t="shared" si="1"/>
        <v/>
      </c>
      <c r="I482" s="190" t="str">
        <f t="shared" si="2"/>
        <v/>
      </c>
      <c r="J482" s="191"/>
      <c r="K482" s="191" t="str">
        <f t="shared" si="3"/>
        <v/>
      </c>
      <c r="L482" s="187"/>
      <c r="M482" s="192" t="str">
        <f t="shared" si="4"/>
        <v/>
      </c>
      <c r="N482" s="185" t="str">
        <f t="shared" si="5"/>
        <v/>
      </c>
    </row>
    <row r="483" ht="15.75" customHeight="1">
      <c r="A483" s="186"/>
      <c r="B483" s="187"/>
      <c r="C483" s="187"/>
      <c r="D483" s="188" t="str">
        <f>IF(C483="","",IFERROR(VLOOKUP(C483,Inventory!$A:$B,2,FALSE),""))</f>
        <v/>
      </c>
      <c r="E483" s="188" t="str">
        <f>IF(C483="","",IFERROR(VLOOKUP(C483,Inventory!$A:$C,3,FALSE),""))</f>
        <v/>
      </c>
      <c r="F483" s="187"/>
      <c r="G483" s="180" t="str">
        <f>IF(C483="","",IFERROR(VLOOKUP(C483,Inventory!$A:$I,9,FALSE),0))</f>
        <v/>
      </c>
      <c r="H483" s="189" t="str">
        <f t="shared" si="1"/>
        <v/>
      </c>
      <c r="I483" s="190" t="str">
        <f t="shared" si="2"/>
        <v/>
      </c>
      <c r="J483" s="191"/>
      <c r="K483" s="191" t="str">
        <f t="shared" si="3"/>
        <v/>
      </c>
      <c r="L483" s="187"/>
      <c r="M483" s="192" t="str">
        <f t="shared" si="4"/>
        <v/>
      </c>
      <c r="N483" s="185" t="str">
        <f t="shared" si="5"/>
        <v/>
      </c>
    </row>
    <row r="484" ht="15.75" customHeight="1">
      <c r="A484" s="186"/>
      <c r="B484" s="187"/>
      <c r="C484" s="187"/>
      <c r="D484" s="188" t="str">
        <f>IF(C484="","",IFERROR(VLOOKUP(C484,Inventory!$A:$B,2,FALSE),""))</f>
        <v/>
      </c>
      <c r="E484" s="188" t="str">
        <f>IF(C484="","",IFERROR(VLOOKUP(C484,Inventory!$A:$C,3,FALSE),""))</f>
        <v/>
      </c>
      <c r="F484" s="187"/>
      <c r="G484" s="180" t="str">
        <f>IF(C484="","",IFERROR(VLOOKUP(C484,Inventory!$A:$I,9,FALSE),0))</f>
        <v/>
      </c>
      <c r="H484" s="189" t="str">
        <f t="shared" si="1"/>
        <v/>
      </c>
      <c r="I484" s="190" t="str">
        <f t="shared" si="2"/>
        <v/>
      </c>
      <c r="J484" s="191"/>
      <c r="K484" s="191" t="str">
        <f t="shared" si="3"/>
        <v/>
      </c>
      <c r="L484" s="187"/>
      <c r="M484" s="192" t="str">
        <f t="shared" si="4"/>
        <v/>
      </c>
      <c r="N484" s="185" t="str">
        <f t="shared" si="5"/>
        <v/>
      </c>
    </row>
    <row r="485" ht="15.75" customHeight="1">
      <c r="A485" s="186"/>
      <c r="B485" s="187"/>
      <c r="C485" s="187"/>
      <c r="D485" s="188" t="str">
        <f>IF(C485="","",IFERROR(VLOOKUP(C485,Inventory!$A:$B,2,FALSE),""))</f>
        <v/>
      </c>
      <c r="E485" s="188" t="str">
        <f>IF(C485="","",IFERROR(VLOOKUP(C485,Inventory!$A:$C,3,FALSE),""))</f>
        <v/>
      </c>
      <c r="F485" s="187"/>
      <c r="G485" s="180" t="str">
        <f>IF(C485="","",IFERROR(VLOOKUP(C485,Inventory!$A:$I,9,FALSE),0))</f>
        <v/>
      </c>
      <c r="H485" s="189" t="str">
        <f t="shared" si="1"/>
        <v/>
      </c>
      <c r="I485" s="190" t="str">
        <f t="shared" si="2"/>
        <v/>
      </c>
      <c r="J485" s="191"/>
      <c r="K485" s="191" t="str">
        <f t="shared" si="3"/>
        <v/>
      </c>
      <c r="L485" s="187"/>
      <c r="M485" s="192" t="str">
        <f t="shared" si="4"/>
        <v/>
      </c>
      <c r="N485" s="185" t="str">
        <f t="shared" si="5"/>
        <v/>
      </c>
    </row>
    <row r="486" ht="15.75" customHeight="1">
      <c r="A486" s="186"/>
      <c r="B486" s="187"/>
      <c r="C486" s="187"/>
      <c r="D486" s="188" t="str">
        <f>IF(C486="","",IFERROR(VLOOKUP(C486,Inventory!$A:$B,2,FALSE),""))</f>
        <v/>
      </c>
      <c r="E486" s="188" t="str">
        <f>IF(C486="","",IFERROR(VLOOKUP(C486,Inventory!$A:$C,3,FALSE),""))</f>
        <v/>
      </c>
      <c r="F486" s="187"/>
      <c r="G486" s="180" t="str">
        <f>IF(C486="","",IFERROR(VLOOKUP(C486,Inventory!$A:$I,9,FALSE),0))</f>
        <v/>
      </c>
      <c r="H486" s="189" t="str">
        <f t="shared" si="1"/>
        <v/>
      </c>
      <c r="I486" s="190" t="str">
        <f t="shared" si="2"/>
        <v/>
      </c>
      <c r="J486" s="191"/>
      <c r="K486" s="191" t="str">
        <f t="shared" si="3"/>
        <v/>
      </c>
      <c r="L486" s="187"/>
      <c r="M486" s="192" t="str">
        <f t="shared" si="4"/>
        <v/>
      </c>
      <c r="N486" s="185" t="str">
        <f t="shared" si="5"/>
        <v/>
      </c>
    </row>
    <row r="487" ht="15.75" customHeight="1">
      <c r="A487" s="186"/>
      <c r="B487" s="187"/>
      <c r="C487" s="187"/>
      <c r="D487" s="188" t="str">
        <f>IF(C487="","",IFERROR(VLOOKUP(C487,Inventory!$A:$B,2,FALSE),""))</f>
        <v/>
      </c>
      <c r="E487" s="188" t="str">
        <f>IF(C487="","",IFERROR(VLOOKUP(C487,Inventory!$A:$C,3,FALSE),""))</f>
        <v/>
      </c>
      <c r="F487" s="187"/>
      <c r="G487" s="180" t="str">
        <f>IF(C487="","",IFERROR(VLOOKUP(C487,Inventory!$A:$I,9,FALSE),0))</f>
        <v/>
      </c>
      <c r="H487" s="189" t="str">
        <f t="shared" si="1"/>
        <v/>
      </c>
      <c r="I487" s="190" t="str">
        <f t="shared" si="2"/>
        <v/>
      </c>
      <c r="J487" s="191"/>
      <c r="K487" s="191" t="str">
        <f t="shared" si="3"/>
        <v/>
      </c>
      <c r="L487" s="187"/>
      <c r="M487" s="192" t="str">
        <f t="shared" si="4"/>
        <v/>
      </c>
      <c r="N487" s="185" t="str">
        <f t="shared" si="5"/>
        <v/>
      </c>
    </row>
    <row r="488" ht="15.75" customHeight="1">
      <c r="A488" s="186"/>
      <c r="B488" s="187"/>
      <c r="C488" s="187"/>
      <c r="D488" s="188" t="str">
        <f>IF(C488="","",IFERROR(VLOOKUP(C488,Inventory!$A:$B,2,FALSE),""))</f>
        <v/>
      </c>
      <c r="E488" s="188" t="str">
        <f>IF(C488="","",IFERROR(VLOOKUP(C488,Inventory!$A:$C,3,FALSE),""))</f>
        <v/>
      </c>
      <c r="F488" s="187"/>
      <c r="G488" s="180" t="str">
        <f>IF(C488="","",IFERROR(VLOOKUP(C488,Inventory!$A:$I,9,FALSE),0))</f>
        <v/>
      </c>
      <c r="H488" s="189" t="str">
        <f t="shared" si="1"/>
        <v/>
      </c>
      <c r="I488" s="190" t="str">
        <f t="shared" si="2"/>
        <v/>
      </c>
      <c r="J488" s="191"/>
      <c r="K488" s="191" t="str">
        <f t="shared" si="3"/>
        <v/>
      </c>
      <c r="L488" s="187"/>
      <c r="M488" s="192" t="str">
        <f t="shared" si="4"/>
        <v/>
      </c>
      <c r="N488" s="185" t="str">
        <f t="shared" si="5"/>
        <v/>
      </c>
    </row>
    <row r="489" ht="15.75" customHeight="1">
      <c r="A489" s="186"/>
      <c r="B489" s="187"/>
      <c r="C489" s="187"/>
      <c r="D489" s="188" t="str">
        <f>IF(C489="","",IFERROR(VLOOKUP(C489,Inventory!$A:$B,2,FALSE),""))</f>
        <v/>
      </c>
      <c r="E489" s="188" t="str">
        <f>IF(C489="","",IFERROR(VLOOKUP(C489,Inventory!$A:$C,3,FALSE),""))</f>
        <v/>
      </c>
      <c r="F489" s="187"/>
      <c r="G489" s="180" t="str">
        <f>IF(C489="","",IFERROR(VLOOKUP(C489,Inventory!$A:$I,9,FALSE),0))</f>
        <v/>
      </c>
      <c r="H489" s="189" t="str">
        <f t="shared" si="1"/>
        <v/>
      </c>
      <c r="I489" s="190" t="str">
        <f t="shared" si="2"/>
        <v/>
      </c>
      <c r="J489" s="191"/>
      <c r="K489" s="191" t="str">
        <f t="shared" si="3"/>
        <v/>
      </c>
      <c r="L489" s="187"/>
      <c r="M489" s="192" t="str">
        <f t="shared" si="4"/>
        <v/>
      </c>
      <c r="N489" s="185" t="str">
        <f t="shared" si="5"/>
        <v/>
      </c>
    </row>
    <row r="490" ht="15.75" customHeight="1">
      <c r="A490" s="186"/>
      <c r="B490" s="187"/>
      <c r="C490" s="187"/>
      <c r="D490" s="188" t="str">
        <f>IF(C490="","",IFERROR(VLOOKUP(C490,Inventory!$A:$B,2,FALSE),""))</f>
        <v/>
      </c>
      <c r="E490" s="188" t="str">
        <f>IF(C490="","",IFERROR(VLOOKUP(C490,Inventory!$A:$C,3,FALSE),""))</f>
        <v/>
      </c>
      <c r="F490" s="187"/>
      <c r="G490" s="180" t="str">
        <f>IF(C490="","",IFERROR(VLOOKUP(C490,Inventory!$A:$I,9,FALSE),0))</f>
        <v/>
      </c>
      <c r="H490" s="189" t="str">
        <f t="shared" si="1"/>
        <v/>
      </c>
      <c r="I490" s="190" t="str">
        <f t="shared" si="2"/>
        <v/>
      </c>
      <c r="J490" s="191"/>
      <c r="K490" s="191" t="str">
        <f t="shared" si="3"/>
        <v/>
      </c>
      <c r="L490" s="187"/>
      <c r="M490" s="192" t="str">
        <f t="shared" si="4"/>
        <v/>
      </c>
      <c r="N490" s="185" t="str">
        <f t="shared" si="5"/>
        <v/>
      </c>
    </row>
    <row r="491" ht="15.75" customHeight="1">
      <c r="A491" s="186"/>
      <c r="B491" s="187"/>
      <c r="C491" s="187"/>
      <c r="D491" s="188" t="str">
        <f>IF(C491="","",IFERROR(VLOOKUP(C491,Inventory!$A:$B,2,FALSE),""))</f>
        <v/>
      </c>
      <c r="E491" s="188" t="str">
        <f>IF(C491="","",IFERROR(VLOOKUP(C491,Inventory!$A:$C,3,FALSE),""))</f>
        <v/>
      </c>
      <c r="F491" s="187"/>
      <c r="G491" s="180" t="str">
        <f>IF(C491="","",IFERROR(VLOOKUP(C491,Inventory!$A:$I,9,FALSE),0))</f>
        <v/>
      </c>
      <c r="H491" s="189" t="str">
        <f t="shared" si="1"/>
        <v/>
      </c>
      <c r="I491" s="190" t="str">
        <f t="shared" si="2"/>
        <v/>
      </c>
      <c r="J491" s="191"/>
      <c r="K491" s="191" t="str">
        <f t="shared" si="3"/>
        <v/>
      </c>
      <c r="L491" s="187"/>
      <c r="M491" s="192" t="str">
        <f t="shared" si="4"/>
        <v/>
      </c>
      <c r="N491" s="185" t="str">
        <f t="shared" si="5"/>
        <v/>
      </c>
    </row>
    <row r="492" ht="15.75" customHeight="1">
      <c r="A492" s="186"/>
      <c r="B492" s="187"/>
      <c r="C492" s="187"/>
      <c r="D492" s="188" t="str">
        <f>IF(C492="","",IFERROR(VLOOKUP(C492,Inventory!$A:$B,2,FALSE),""))</f>
        <v/>
      </c>
      <c r="E492" s="188" t="str">
        <f>IF(C492="","",IFERROR(VLOOKUP(C492,Inventory!$A:$C,3,FALSE),""))</f>
        <v/>
      </c>
      <c r="F492" s="187"/>
      <c r="G492" s="180" t="str">
        <f>IF(C492="","",IFERROR(VLOOKUP(C492,Inventory!$A:$I,9,FALSE),0))</f>
        <v/>
      </c>
      <c r="H492" s="189" t="str">
        <f t="shared" si="1"/>
        <v/>
      </c>
      <c r="I492" s="190" t="str">
        <f t="shared" si="2"/>
        <v/>
      </c>
      <c r="J492" s="191"/>
      <c r="K492" s="191" t="str">
        <f t="shared" si="3"/>
        <v/>
      </c>
      <c r="L492" s="187"/>
      <c r="M492" s="192" t="str">
        <f t="shared" si="4"/>
        <v/>
      </c>
      <c r="N492" s="185" t="str">
        <f t="shared" si="5"/>
        <v/>
      </c>
    </row>
    <row r="493" ht="15.75" customHeight="1">
      <c r="A493" s="186"/>
      <c r="B493" s="187"/>
      <c r="C493" s="187"/>
      <c r="D493" s="188" t="str">
        <f>IF(C493="","",IFERROR(VLOOKUP(C493,Inventory!$A:$B,2,FALSE),""))</f>
        <v/>
      </c>
      <c r="E493" s="188" t="str">
        <f>IF(C493="","",IFERROR(VLOOKUP(C493,Inventory!$A:$C,3,FALSE),""))</f>
        <v/>
      </c>
      <c r="F493" s="187"/>
      <c r="G493" s="180" t="str">
        <f>IF(C493="","",IFERROR(VLOOKUP(C493,Inventory!$A:$I,9,FALSE),0))</f>
        <v/>
      </c>
      <c r="H493" s="189" t="str">
        <f t="shared" si="1"/>
        <v/>
      </c>
      <c r="I493" s="190" t="str">
        <f t="shared" si="2"/>
        <v/>
      </c>
      <c r="J493" s="191"/>
      <c r="K493" s="191" t="str">
        <f t="shared" si="3"/>
        <v/>
      </c>
      <c r="L493" s="187"/>
      <c r="M493" s="192" t="str">
        <f t="shared" si="4"/>
        <v/>
      </c>
      <c r="N493" s="185" t="str">
        <f t="shared" si="5"/>
        <v/>
      </c>
    </row>
    <row r="494" ht="15.75" customHeight="1">
      <c r="A494" s="186"/>
      <c r="B494" s="187"/>
      <c r="C494" s="187"/>
      <c r="D494" s="188" t="str">
        <f>IF(C494="","",IFERROR(VLOOKUP(C494,Inventory!$A:$B,2,FALSE),""))</f>
        <v/>
      </c>
      <c r="E494" s="188" t="str">
        <f>IF(C494="","",IFERROR(VLOOKUP(C494,Inventory!$A:$C,3,FALSE),""))</f>
        <v/>
      </c>
      <c r="F494" s="187"/>
      <c r="G494" s="180" t="str">
        <f>IF(C494="","",IFERROR(VLOOKUP(C494,Inventory!$A:$I,9,FALSE),0))</f>
        <v/>
      </c>
      <c r="H494" s="189" t="str">
        <f t="shared" si="1"/>
        <v/>
      </c>
      <c r="I494" s="190" t="str">
        <f t="shared" si="2"/>
        <v/>
      </c>
      <c r="J494" s="191"/>
      <c r="K494" s="191" t="str">
        <f t="shared" si="3"/>
        <v/>
      </c>
      <c r="L494" s="187"/>
      <c r="M494" s="192" t="str">
        <f t="shared" si="4"/>
        <v/>
      </c>
      <c r="N494" s="185" t="str">
        <f t="shared" si="5"/>
        <v/>
      </c>
    </row>
    <row r="495" ht="15.75" customHeight="1">
      <c r="A495" s="186"/>
      <c r="B495" s="187"/>
      <c r="C495" s="187"/>
      <c r="D495" s="188" t="str">
        <f>IF(C495="","",IFERROR(VLOOKUP(C495,Inventory!$A:$B,2,FALSE),""))</f>
        <v/>
      </c>
      <c r="E495" s="188" t="str">
        <f>IF(C495="","",IFERROR(VLOOKUP(C495,Inventory!$A:$C,3,FALSE),""))</f>
        <v/>
      </c>
      <c r="F495" s="187"/>
      <c r="G495" s="180" t="str">
        <f>IF(C495="","",IFERROR(VLOOKUP(C495,Inventory!$A:$I,9,FALSE),0))</f>
        <v/>
      </c>
      <c r="H495" s="189" t="str">
        <f t="shared" si="1"/>
        <v/>
      </c>
      <c r="I495" s="190" t="str">
        <f t="shared" si="2"/>
        <v/>
      </c>
      <c r="J495" s="191"/>
      <c r="K495" s="191" t="str">
        <f t="shared" si="3"/>
        <v/>
      </c>
      <c r="L495" s="187"/>
      <c r="M495" s="192" t="str">
        <f t="shared" si="4"/>
        <v/>
      </c>
      <c r="N495" s="185" t="str">
        <f t="shared" si="5"/>
        <v/>
      </c>
    </row>
    <row r="496" ht="15.75" customHeight="1">
      <c r="A496" s="186"/>
      <c r="B496" s="187"/>
      <c r="C496" s="187"/>
      <c r="D496" s="188" t="str">
        <f>IF(C496="","",IFERROR(VLOOKUP(C496,Inventory!$A:$B,2,FALSE),""))</f>
        <v/>
      </c>
      <c r="E496" s="188" t="str">
        <f>IF(C496="","",IFERROR(VLOOKUP(C496,Inventory!$A:$C,3,FALSE),""))</f>
        <v/>
      </c>
      <c r="F496" s="187"/>
      <c r="G496" s="180" t="str">
        <f>IF(C496="","",IFERROR(VLOOKUP(C496,Inventory!$A:$I,9,FALSE),0))</f>
        <v/>
      </c>
      <c r="H496" s="189" t="str">
        <f t="shared" si="1"/>
        <v/>
      </c>
      <c r="I496" s="190" t="str">
        <f t="shared" si="2"/>
        <v/>
      </c>
      <c r="J496" s="191"/>
      <c r="K496" s="191" t="str">
        <f t="shared" si="3"/>
        <v/>
      </c>
      <c r="L496" s="187"/>
      <c r="M496" s="192" t="str">
        <f t="shared" si="4"/>
        <v/>
      </c>
      <c r="N496" s="185" t="str">
        <f t="shared" si="5"/>
        <v/>
      </c>
    </row>
    <row r="497" ht="15.75" customHeight="1">
      <c r="A497" s="186"/>
      <c r="B497" s="187"/>
      <c r="C497" s="187"/>
      <c r="D497" s="188" t="str">
        <f>IF(C497="","",IFERROR(VLOOKUP(C497,Inventory!$A:$B,2,FALSE),""))</f>
        <v/>
      </c>
      <c r="E497" s="188" t="str">
        <f>IF(C497="","",IFERROR(VLOOKUP(C497,Inventory!$A:$C,3,FALSE),""))</f>
        <v/>
      </c>
      <c r="F497" s="187"/>
      <c r="G497" s="180" t="str">
        <f>IF(C497="","",IFERROR(VLOOKUP(C497,Inventory!$A:$I,9,FALSE),0))</f>
        <v/>
      </c>
      <c r="H497" s="189" t="str">
        <f t="shared" si="1"/>
        <v/>
      </c>
      <c r="I497" s="190" t="str">
        <f t="shared" si="2"/>
        <v/>
      </c>
      <c r="J497" s="191"/>
      <c r="K497" s="191" t="str">
        <f t="shared" si="3"/>
        <v/>
      </c>
      <c r="L497" s="187"/>
      <c r="M497" s="192" t="str">
        <f t="shared" si="4"/>
        <v/>
      </c>
      <c r="N497" s="185" t="str">
        <f t="shared" si="5"/>
        <v/>
      </c>
    </row>
    <row r="498" ht="15.75" customHeight="1">
      <c r="A498" s="186"/>
      <c r="B498" s="187"/>
      <c r="C498" s="187"/>
      <c r="D498" s="188" t="str">
        <f>IF(C498="","",IFERROR(VLOOKUP(C498,Inventory!$A:$B,2,FALSE),""))</f>
        <v/>
      </c>
      <c r="E498" s="188" t="str">
        <f>IF(C498="","",IFERROR(VLOOKUP(C498,Inventory!$A:$C,3,FALSE),""))</f>
        <v/>
      </c>
      <c r="F498" s="187"/>
      <c r="G498" s="180" t="str">
        <f>IF(C498="","",IFERROR(VLOOKUP(C498,Inventory!$A:$I,9,FALSE),0))</f>
        <v/>
      </c>
      <c r="H498" s="189" t="str">
        <f t="shared" si="1"/>
        <v/>
      </c>
      <c r="I498" s="190" t="str">
        <f t="shared" si="2"/>
        <v/>
      </c>
      <c r="J498" s="191"/>
      <c r="K498" s="191" t="str">
        <f t="shared" si="3"/>
        <v/>
      </c>
      <c r="L498" s="187"/>
      <c r="M498" s="192" t="str">
        <f t="shared" si="4"/>
        <v/>
      </c>
      <c r="N498" s="185" t="str">
        <f t="shared" si="5"/>
        <v/>
      </c>
    </row>
    <row r="499" ht="15.75" customHeight="1">
      <c r="A499" s="186"/>
      <c r="B499" s="187"/>
      <c r="C499" s="187"/>
      <c r="D499" s="188" t="str">
        <f>IF(C499="","",IFERROR(VLOOKUP(C499,Inventory!$A:$B,2,FALSE),""))</f>
        <v/>
      </c>
      <c r="E499" s="188" t="str">
        <f>IF(C499="","",IFERROR(VLOOKUP(C499,Inventory!$A:$C,3,FALSE),""))</f>
        <v/>
      </c>
      <c r="F499" s="187"/>
      <c r="G499" s="180" t="str">
        <f>IF(C499="","",IFERROR(VLOOKUP(C499,Inventory!$A:$I,9,FALSE),0))</f>
        <v/>
      </c>
      <c r="H499" s="189" t="str">
        <f t="shared" si="1"/>
        <v/>
      </c>
      <c r="I499" s="190" t="str">
        <f t="shared" si="2"/>
        <v/>
      </c>
      <c r="J499" s="191"/>
      <c r="K499" s="191" t="str">
        <f t="shared" si="3"/>
        <v/>
      </c>
      <c r="L499" s="187"/>
      <c r="M499" s="192" t="str">
        <f t="shared" si="4"/>
        <v/>
      </c>
      <c r="N499" s="185" t="str">
        <f t="shared" si="5"/>
        <v/>
      </c>
    </row>
    <row r="500" ht="15.75" customHeight="1">
      <c r="A500" s="186"/>
      <c r="B500" s="187"/>
      <c r="C500" s="187"/>
      <c r="D500" s="188" t="str">
        <f>IF(C500="","",IFERROR(VLOOKUP(C500,Inventory!$A:$B,2,FALSE),""))</f>
        <v/>
      </c>
      <c r="E500" s="188" t="str">
        <f>IF(C500="","",IFERROR(VLOOKUP(C500,Inventory!$A:$C,3,FALSE),""))</f>
        <v/>
      </c>
      <c r="F500" s="187"/>
      <c r="G500" s="180" t="str">
        <f>IF(C500="","",IFERROR(VLOOKUP(C500,Inventory!$A:$I,9,FALSE),0))</f>
        <v/>
      </c>
      <c r="H500" s="189" t="str">
        <f t="shared" si="1"/>
        <v/>
      </c>
      <c r="I500" s="190" t="str">
        <f t="shared" si="2"/>
        <v/>
      </c>
      <c r="J500" s="191"/>
      <c r="K500" s="191" t="str">
        <f t="shared" si="3"/>
        <v/>
      </c>
      <c r="L500" s="187"/>
      <c r="M500" s="192" t="str">
        <f t="shared" si="4"/>
        <v/>
      </c>
      <c r="N500" s="185" t="str">
        <f t="shared" si="5"/>
        <v/>
      </c>
    </row>
    <row r="501" ht="15.75" customHeight="1">
      <c r="A501" s="186"/>
      <c r="B501" s="187"/>
      <c r="C501" s="187"/>
      <c r="D501" s="188" t="str">
        <f>IF(C501="","",IFERROR(VLOOKUP(C501,Inventory!$A:$B,2,FALSE),""))</f>
        <v/>
      </c>
      <c r="E501" s="188" t="str">
        <f>IF(C501="","",IFERROR(VLOOKUP(C501,Inventory!$A:$C,3,FALSE),""))</f>
        <v/>
      </c>
      <c r="F501" s="187"/>
      <c r="G501" s="180" t="str">
        <f>IF(C501="","",IFERROR(VLOOKUP(C501,Inventory!$A:$I,9,FALSE),0))</f>
        <v/>
      </c>
      <c r="H501" s="189" t="str">
        <f t="shared" si="1"/>
        <v/>
      </c>
      <c r="I501" s="190" t="str">
        <f t="shared" si="2"/>
        <v/>
      </c>
      <c r="J501" s="191"/>
      <c r="K501" s="191" t="str">
        <f t="shared" si="3"/>
        <v/>
      </c>
      <c r="L501" s="187"/>
      <c r="M501" s="192" t="str">
        <f t="shared" si="4"/>
        <v/>
      </c>
      <c r="N501" s="185" t="str">
        <f t="shared" si="5"/>
        <v/>
      </c>
    </row>
    <row r="502" ht="15.75" customHeight="1">
      <c r="A502" s="186"/>
      <c r="B502" s="187"/>
      <c r="C502" s="187"/>
      <c r="D502" s="188" t="str">
        <f>IF(C502="","",IFERROR(VLOOKUP(C502,Inventory!$A:$B,2,FALSE),""))</f>
        <v/>
      </c>
      <c r="E502" s="188" t="str">
        <f>IF(C502="","",IFERROR(VLOOKUP(C502,Inventory!$A:$C,3,FALSE),""))</f>
        <v/>
      </c>
      <c r="F502" s="187"/>
      <c r="G502" s="180" t="str">
        <f>IF(C502="","",IFERROR(VLOOKUP(C502,Inventory!$A:$I,9,FALSE),0))</f>
        <v/>
      </c>
      <c r="H502" s="189" t="str">
        <f t="shared" si="1"/>
        <v/>
      </c>
      <c r="I502" s="190" t="str">
        <f t="shared" si="2"/>
        <v/>
      </c>
      <c r="J502" s="191"/>
      <c r="K502" s="191" t="str">
        <f t="shared" si="3"/>
        <v/>
      </c>
      <c r="L502" s="187"/>
      <c r="M502" s="192" t="str">
        <f t="shared" si="4"/>
        <v/>
      </c>
      <c r="N502" s="185" t="str">
        <f t="shared" si="5"/>
        <v/>
      </c>
    </row>
    <row r="503" ht="15.75" customHeight="1">
      <c r="A503" s="186"/>
      <c r="B503" s="187"/>
      <c r="C503" s="187"/>
      <c r="D503" s="188" t="str">
        <f>IF(C503="","",IFERROR(VLOOKUP(C503,Inventory!$A:$B,2,FALSE),""))</f>
        <v/>
      </c>
      <c r="E503" s="188" t="str">
        <f>IF(C503="","",IFERROR(VLOOKUP(C503,Inventory!$A:$C,3,FALSE),""))</f>
        <v/>
      </c>
      <c r="F503" s="187"/>
      <c r="G503" s="180" t="str">
        <f>IF(C503="","",IFERROR(VLOOKUP(C503,Inventory!$A:$I,9,FALSE),0))</f>
        <v/>
      </c>
      <c r="H503" s="189" t="str">
        <f t="shared" si="1"/>
        <v/>
      </c>
      <c r="I503" s="190" t="str">
        <f t="shared" si="2"/>
        <v/>
      </c>
      <c r="J503" s="191"/>
      <c r="K503" s="191" t="str">
        <f t="shared" si="3"/>
        <v/>
      </c>
      <c r="L503" s="187"/>
      <c r="M503" s="192" t="str">
        <f t="shared" si="4"/>
        <v/>
      </c>
      <c r="N503" s="185" t="str">
        <f t="shared" si="5"/>
        <v/>
      </c>
    </row>
    <row r="504" ht="15.75" customHeight="1">
      <c r="A504" s="186"/>
      <c r="B504" s="187"/>
      <c r="C504" s="187"/>
      <c r="D504" s="188" t="str">
        <f>IF(C504="","",IFERROR(VLOOKUP(C504,Inventory!$A:$B,2,FALSE),""))</f>
        <v/>
      </c>
      <c r="E504" s="188" t="str">
        <f>IF(C504="","",IFERROR(VLOOKUP(C504,Inventory!$A:$C,3,FALSE),""))</f>
        <v/>
      </c>
      <c r="F504" s="187"/>
      <c r="G504" s="180" t="str">
        <f>IF(C504="","",IFERROR(VLOOKUP(C504,Inventory!$A:$I,9,FALSE),0))</f>
        <v/>
      </c>
      <c r="H504" s="189" t="str">
        <f t="shared" si="1"/>
        <v/>
      </c>
      <c r="I504" s="190" t="str">
        <f t="shared" si="2"/>
        <v/>
      </c>
      <c r="J504" s="191"/>
      <c r="K504" s="191" t="str">
        <f t="shared" si="3"/>
        <v/>
      </c>
      <c r="L504" s="187"/>
      <c r="M504" s="192" t="str">
        <f t="shared" si="4"/>
        <v/>
      </c>
      <c r="N504" s="185" t="str">
        <f t="shared" si="5"/>
        <v/>
      </c>
    </row>
    <row r="505" ht="15.75" customHeight="1">
      <c r="A505" s="186"/>
      <c r="B505" s="187"/>
      <c r="C505" s="187"/>
      <c r="D505" s="188" t="str">
        <f>IF(C505="","",IFERROR(VLOOKUP(C505,Inventory!$A:$B,2,FALSE),""))</f>
        <v/>
      </c>
      <c r="E505" s="188" t="str">
        <f>IF(C505="","",IFERROR(VLOOKUP(C505,Inventory!$A:$C,3,FALSE),""))</f>
        <v/>
      </c>
      <c r="F505" s="187"/>
      <c r="G505" s="180" t="str">
        <f>IF(C505="","",IFERROR(VLOOKUP(C505,Inventory!$A:$I,9,FALSE),0))</f>
        <v/>
      </c>
      <c r="H505" s="189" t="str">
        <f t="shared" si="1"/>
        <v/>
      </c>
      <c r="I505" s="190" t="str">
        <f t="shared" si="2"/>
        <v/>
      </c>
      <c r="J505" s="191"/>
      <c r="K505" s="191" t="str">
        <f t="shared" si="3"/>
        <v/>
      </c>
      <c r="L505" s="187"/>
      <c r="M505" s="192" t="str">
        <f t="shared" si="4"/>
        <v/>
      </c>
      <c r="N505" s="185" t="str">
        <f t="shared" si="5"/>
        <v/>
      </c>
    </row>
    <row r="506" ht="15.75" customHeight="1">
      <c r="A506" s="186"/>
      <c r="B506" s="187"/>
      <c r="C506" s="187"/>
      <c r="D506" s="188" t="str">
        <f>IF(C506="","",IFERROR(VLOOKUP(C506,Inventory!$A:$B,2,FALSE),""))</f>
        <v/>
      </c>
      <c r="E506" s="188" t="str">
        <f>IF(C506="","",IFERROR(VLOOKUP(C506,Inventory!$A:$C,3,FALSE),""))</f>
        <v/>
      </c>
      <c r="F506" s="187"/>
      <c r="G506" s="180" t="str">
        <f>IF(C506="","",IFERROR(VLOOKUP(C506,Inventory!$A:$I,9,FALSE),0))</f>
        <v/>
      </c>
      <c r="H506" s="189" t="str">
        <f t="shared" si="1"/>
        <v/>
      </c>
      <c r="I506" s="190" t="str">
        <f t="shared" si="2"/>
        <v/>
      </c>
      <c r="J506" s="191"/>
      <c r="K506" s="191" t="str">
        <f t="shared" si="3"/>
        <v/>
      </c>
      <c r="L506" s="187"/>
      <c r="M506" s="192" t="str">
        <f t="shared" si="4"/>
        <v/>
      </c>
      <c r="N506" s="185" t="str">
        <f t="shared" si="5"/>
        <v/>
      </c>
    </row>
    <row r="507" ht="15.75" customHeight="1">
      <c r="A507" s="186"/>
      <c r="B507" s="187"/>
      <c r="C507" s="187"/>
      <c r="D507" s="188" t="str">
        <f>IF(C507="","",IFERROR(VLOOKUP(C507,Inventory!$A:$B,2,FALSE),""))</f>
        <v/>
      </c>
      <c r="E507" s="188" t="str">
        <f>IF(C507="","",IFERROR(VLOOKUP(C507,Inventory!$A:$C,3,FALSE),""))</f>
        <v/>
      </c>
      <c r="F507" s="187"/>
      <c r="G507" s="180" t="str">
        <f>IF(C507="","",IFERROR(VLOOKUP(C507,Inventory!$A:$I,9,FALSE),0))</f>
        <v/>
      </c>
      <c r="H507" s="189" t="str">
        <f t="shared" si="1"/>
        <v/>
      </c>
      <c r="I507" s="190" t="str">
        <f t="shared" si="2"/>
        <v/>
      </c>
      <c r="J507" s="191"/>
      <c r="K507" s="191" t="str">
        <f t="shared" si="3"/>
        <v/>
      </c>
      <c r="L507" s="187"/>
      <c r="M507" s="192" t="str">
        <f t="shared" si="4"/>
        <v/>
      </c>
      <c r="N507" s="185" t="str">
        <f t="shared" si="5"/>
        <v/>
      </c>
    </row>
    <row r="508" ht="15.75" customHeight="1">
      <c r="A508" s="186"/>
      <c r="B508" s="187"/>
      <c r="C508" s="187"/>
      <c r="D508" s="188" t="str">
        <f>IF(C508="","",IFERROR(VLOOKUP(C508,Inventory!$A:$B,2,FALSE),""))</f>
        <v/>
      </c>
      <c r="E508" s="188" t="str">
        <f>IF(C508="","",IFERROR(VLOOKUP(C508,Inventory!$A:$C,3,FALSE),""))</f>
        <v/>
      </c>
      <c r="F508" s="187"/>
      <c r="G508" s="180" t="str">
        <f>IF(C508="","",IFERROR(VLOOKUP(C508,Inventory!$A:$I,9,FALSE),0))</f>
        <v/>
      </c>
      <c r="H508" s="189" t="str">
        <f t="shared" si="1"/>
        <v/>
      </c>
      <c r="I508" s="190" t="str">
        <f t="shared" si="2"/>
        <v/>
      </c>
      <c r="J508" s="191"/>
      <c r="K508" s="191" t="str">
        <f t="shared" si="3"/>
        <v/>
      </c>
      <c r="L508" s="187"/>
      <c r="M508" s="192" t="str">
        <f t="shared" si="4"/>
        <v/>
      </c>
      <c r="N508" s="185" t="str">
        <f t="shared" si="5"/>
        <v/>
      </c>
    </row>
    <row r="509" ht="15.75" customHeight="1">
      <c r="A509" s="186"/>
      <c r="B509" s="187"/>
      <c r="C509" s="187"/>
      <c r="D509" s="188" t="str">
        <f>IF(C509="","",IFERROR(VLOOKUP(C509,Inventory!$A:$B,2,FALSE),""))</f>
        <v/>
      </c>
      <c r="E509" s="188" t="str">
        <f>IF(C509="","",IFERROR(VLOOKUP(C509,Inventory!$A:$C,3,FALSE),""))</f>
        <v/>
      </c>
      <c r="F509" s="187"/>
      <c r="G509" s="180" t="str">
        <f>IF(C509="","",IFERROR(VLOOKUP(C509,Inventory!$A:$I,9,FALSE),0))</f>
        <v/>
      </c>
      <c r="H509" s="189" t="str">
        <f t="shared" si="1"/>
        <v/>
      </c>
      <c r="I509" s="190" t="str">
        <f t="shared" si="2"/>
        <v/>
      </c>
      <c r="J509" s="191"/>
      <c r="K509" s="191" t="str">
        <f t="shared" si="3"/>
        <v/>
      </c>
      <c r="L509" s="187"/>
      <c r="M509" s="192" t="str">
        <f t="shared" si="4"/>
        <v/>
      </c>
      <c r="N509" s="185" t="str">
        <f t="shared" si="5"/>
        <v/>
      </c>
    </row>
    <row r="510" ht="15.75" customHeight="1">
      <c r="A510" s="186"/>
      <c r="B510" s="187"/>
      <c r="C510" s="187"/>
      <c r="D510" s="188" t="str">
        <f>IF(C510="","",IFERROR(VLOOKUP(C510,Inventory!$A:$B,2,FALSE),""))</f>
        <v/>
      </c>
      <c r="E510" s="188" t="str">
        <f>IF(C510="","",IFERROR(VLOOKUP(C510,Inventory!$A:$C,3,FALSE),""))</f>
        <v/>
      </c>
      <c r="F510" s="187"/>
      <c r="G510" s="180" t="str">
        <f>IF(C510="","",IFERROR(VLOOKUP(C510,Inventory!$A:$I,9,FALSE),0))</f>
        <v/>
      </c>
      <c r="H510" s="189" t="str">
        <f t="shared" si="1"/>
        <v/>
      </c>
      <c r="I510" s="190" t="str">
        <f t="shared" si="2"/>
        <v/>
      </c>
      <c r="J510" s="191"/>
      <c r="K510" s="191" t="str">
        <f t="shared" si="3"/>
        <v/>
      </c>
      <c r="L510" s="187"/>
      <c r="M510" s="192" t="str">
        <f t="shared" si="4"/>
        <v/>
      </c>
      <c r="N510" s="185" t="str">
        <f t="shared" si="5"/>
        <v/>
      </c>
    </row>
    <row r="511" ht="15.75" customHeight="1">
      <c r="A511" s="186"/>
      <c r="B511" s="187"/>
      <c r="C511" s="187"/>
      <c r="D511" s="188" t="str">
        <f>IF(C511="","",IFERROR(VLOOKUP(C511,Inventory!$A:$B,2,FALSE),""))</f>
        <v/>
      </c>
      <c r="E511" s="188" t="str">
        <f>IF(C511="","",IFERROR(VLOOKUP(C511,Inventory!$A:$C,3,FALSE),""))</f>
        <v/>
      </c>
      <c r="F511" s="187"/>
      <c r="G511" s="180" t="str">
        <f>IF(C511="","",IFERROR(VLOOKUP(C511,Inventory!$A:$I,9,FALSE),0))</f>
        <v/>
      </c>
      <c r="H511" s="189" t="str">
        <f t="shared" si="1"/>
        <v/>
      </c>
      <c r="I511" s="190" t="str">
        <f t="shared" si="2"/>
        <v/>
      </c>
      <c r="J511" s="191"/>
      <c r="K511" s="191" t="str">
        <f t="shared" si="3"/>
        <v/>
      </c>
      <c r="L511" s="187"/>
      <c r="M511" s="192" t="str">
        <f t="shared" si="4"/>
        <v/>
      </c>
      <c r="N511" s="185" t="str">
        <f t="shared" si="5"/>
        <v/>
      </c>
    </row>
    <row r="512" ht="15.75" customHeight="1">
      <c r="A512" s="186"/>
      <c r="B512" s="187"/>
      <c r="C512" s="187"/>
      <c r="D512" s="188" t="str">
        <f>IF(C512="","",IFERROR(VLOOKUP(C512,Inventory!$A:$B,2,FALSE),""))</f>
        <v/>
      </c>
      <c r="E512" s="188" t="str">
        <f>IF(C512="","",IFERROR(VLOOKUP(C512,Inventory!$A:$C,3,FALSE),""))</f>
        <v/>
      </c>
      <c r="F512" s="187"/>
      <c r="G512" s="180" t="str">
        <f>IF(C512="","",IFERROR(VLOOKUP(C512,Inventory!$A:$I,9,FALSE),0))</f>
        <v/>
      </c>
      <c r="H512" s="189" t="str">
        <f t="shared" si="1"/>
        <v/>
      </c>
      <c r="I512" s="190" t="str">
        <f t="shared" si="2"/>
        <v/>
      </c>
      <c r="J512" s="191"/>
      <c r="K512" s="191" t="str">
        <f t="shared" si="3"/>
        <v/>
      </c>
      <c r="L512" s="187"/>
      <c r="M512" s="192" t="str">
        <f t="shared" si="4"/>
        <v/>
      </c>
      <c r="N512" s="185" t="str">
        <f t="shared" si="5"/>
        <v/>
      </c>
    </row>
    <row r="513" ht="15.75" customHeight="1">
      <c r="A513" s="186"/>
      <c r="B513" s="187"/>
      <c r="C513" s="187"/>
      <c r="D513" s="188" t="str">
        <f>IF(C513="","",IFERROR(VLOOKUP(C513,Inventory!$A:$B,2,FALSE),""))</f>
        <v/>
      </c>
      <c r="E513" s="188" t="str">
        <f>IF(C513="","",IFERROR(VLOOKUP(C513,Inventory!$A:$C,3,FALSE),""))</f>
        <v/>
      </c>
      <c r="F513" s="187"/>
      <c r="G513" s="180" t="str">
        <f>IF(C513="","",IFERROR(VLOOKUP(C513,Inventory!$A:$I,9,FALSE),0))</f>
        <v/>
      </c>
      <c r="H513" s="189" t="str">
        <f t="shared" si="1"/>
        <v/>
      </c>
      <c r="I513" s="190" t="str">
        <f t="shared" si="2"/>
        <v/>
      </c>
      <c r="J513" s="191"/>
      <c r="K513" s="191" t="str">
        <f t="shared" si="3"/>
        <v/>
      </c>
      <c r="L513" s="187"/>
      <c r="M513" s="192" t="str">
        <f t="shared" si="4"/>
        <v/>
      </c>
      <c r="N513" s="185" t="str">
        <f t="shared" si="5"/>
        <v/>
      </c>
    </row>
    <row r="514" ht="15.75" customHeight="1">
      <c r="A514" s="186"/>
      <c r="B514" s="187"/>
      <c r="C514" s="187"/>
      <c r="D514" s="188" t="str">
        <f>IF(C514="","",IFERROR(VLOOKUP(C514,Inventory!$A:$B,2,FALSE),""))</f>
        <v/>
      </c>
      <c r="E514" s="188" t="str">
        <f>IF(C514="","",IFERROR(VLOOKUP(C514,Inventory!$A:$C,3,FALSE),""))</f>
        <v/>
      </c>
      <c r="F514" s="187"/>
      <c r="G514" s="180" t="str">
        <f>IF(C514="","",IFERROR(VLOOKUP(C514,Inventory!$A:$I,9,FALSE),0))</f>
        <v/>
      </c>
      <c r="H514" s="189" t="str">
        <f t="shared" si="1"/>
        <v/>
      </c>
      <c r="I514" s="190" t="str">
        <f t="shared" si="2"/>
        <v/>
      </c>
      <c r="J514" s="191"/>
      <c r="K514" s="191" t="str">
        <f t="shared" si="3"/>
        <v/>
      </c>
      <c r="L514" s="187"/>
      <c r="M514" s="192" t="str">
        <f t="shared" si="4"/>
        <v/>
      </c>
      <c r="N514" s="185" t="str">
        <f t="shared" si="5"/>
        <v/>
      </c>
    </row>
    <row r="515" ht="15.75" customHeight="1">
      <c r="A515" s="186"/>
      <c r="B515" s="187"/>
      <c r="C515" s="187"/>
      <c r="D515" s="188" t="str">
        <f>IF(C515="","",IFERROR(VLOOKUP(C515,Inventory!$A:$B,2,FALSE),""))</f>
        <v/>
      </c>
      <c r="E515" s="188" t="str">
        <f>IF(C515="","",IFERROR(VLOOKUP(C515,Inventory!$A:$C,3,FALSE),""))</f>
        <v/>
      </c>
      <c r="F515" s="187"/>
      <c r="G515" s="180" t="str">
        <f>IF(C515="","",IFERROR(VLOOKUP(C515,Inventory!$A:$I,9,FALSE),0))</f>
        <v/>
      </c>
      <c r="H515" s="189" t="str">
        <f t="shared" si="1"/>
        <v/>
      </c>
      <c r="I515" s="190" t="str">
        <f t="shared" si="2"/>
        <v/>
      </c>
      <c r="J515" s="191"/>
      <c r="K515" s="191" t="str">
        <f t="shared" si="3"/>
        <v/>
      </c>
      <c r="L515" s="187"/>
      <c r="M515" s="192" t="str">
        <f t="shared" si="4"/>
        <v/>
      </c>
      <c r="N515" s="185" t="str">
        <f t="shared" si="5"/>
        <v/>
      </c>
    </row>
    <row r="516" ht="15.75" customHeight="1">
      <c r="A516" s="186"/>
      <c r="B516" s="187"/>
      <c r="C516" s="187"/>
      <c r="D516" s="188" t="str">
        <f>IF(C516="","",IFERROR(VLOOKUP(C516,Inventory!$A:$B,2,FALSE),""))</f>
        <v/>
      </c>
      <c r="E516" s="188" t="str">
        <f>IF(C516="","",IFERROR(VLOOKUP(C516,Inventory!$A:$C,3,FALSE),""))</f>
        <v/>
      </c>
      <c r="F516" s="187"/>
      <c r="G516" s="180" t="str">
        <f>IF(C516="","",IFERROR(VLOOKUP(C516,Inventory!$A:$I,9,FALSE),0))</f>
        <v/>
      </c>
      <c r="H516" s="189" t="str">
        <f t="shared" si="1"/>
        <v/>
      </c>
      <c r="I516" s="190" t="str">
        <f t="shared" si="2"/>
        <v/>
      </c>
      <c r="J516" s="191"/>
      <c r="K516" s="191" t="str">
        <f t="shared" si="3"/>
        <v/>
      </c>
      <c r="L516" s="187"/>
      <c r="M516" s="192" t="str">
        <f t="shared" si="4"/>
        <v/>
      </c>
      <c r="N516" s="185" t="str">
        <f t="shared" si="5"/>
        <v/>
      </c>
    </row>
    <row r="517" ht="15.75" customHeight="1">
      <c r="A517" s="186"/>
      <c r="B517" s="187"/>
      <c r="C517" s="187"/>
      <c r="D517" s="188" t="str">
        <f>IF(C517="","",IFERROR(VLOOKUP(C517,Inventory!$A:$B,2,FALSE),""))</f>
        <v/>
      </c>
      <c r="E517" s="188" t="str">
        <f>IF(C517="","",IFERROR(VLOOKUP(C517,Inventory!$A:$C,3,FALSE),""))</f>
        <v/>
      </c>
      <c r="F517" s="187"/>
      <c r="G517" s="180" t="str">
        <f>IF(C517="","",IFERROR(VLOOKUP(C517,Inventory!$A:$I,9,FALSE),0))</f>
        <v/>
      </c>
      <c r="H517" s="189" t="str">
        <f t="shared" si="1"/>
        <v/>
      </c>
      <c r="I517" s="190" t="str">
        <f t="shared" si="2"/>
        <v/>
      </c>
      <c r="J517" s="191"/>
      <c r="K517" s="191" t="str">
        <f t="shared" si="3"/>
        <v/>
      </c>
      <c r="L517" s="187"/>
      <c r="M517" s="192" t="str">
        <f t="shared" si="4"/>
        <v/>
      </c>
      <c r="N517" s="185" t="str">
        <f t="shared" si="5"/>
        <v/>
      </c>
    </row>
    <row r="518" ht="15.75" customHeight="1">
      <c r="A518" s="186"/>
      <c r="B518" s="187"/>
      <c r="C518" s="187"/>
      <c r="D518" s="188" t="str">
        <f>IF(C518="","",IFERROR(VLOOKUP(C518,Inventory!$A:$B,2,FALSE),""))</f>
        <v/>
      </c>
      <c r="E518" s="188" t="str">
        <f>IF(C518="","",IFERROR(VLOOKUP(C518,Inventory!$A:$C,3,FALSE),""))</f>
        <v/>
      </c>
      <c r="F518" s="187"/>
      <c r="G518" s="180" t="str">
        <f>IF(C518="","",IFERROR(VLOOKUP(C518,Inventory!$A:$I,9,FALSE),0))</f>
        <v/>
      </c>
      <c r="H518" s="189" t="str">
        <f t="shared" si="1"/>
        <v/>
      </c>
      <c r="I518" s="190" t="str">
        <f t="shared" si="2"/>
        <v/>
      </c>
      <c r="J518" s="191"/>
      <c r="K518" s="191" t="str">
        <f t="shared" si="3"/>
        <v/>
      </c>
      <c r="L518" s="187"/>
      <c r="M518" s="192" t="str">
        <f t="shared" si="4"/>
        <v/>
      </c>
      <c r="N518" s="185" t="str">
        <f t="shared" si="5"/>
        <v/>
      </c>
    </row>
    <row r="519" ht="15.75" customHeight="1">
      <c r="A519" s="186"/>
      <c r="B519" s="187"/>
      <c r="C519" s="187"/>
      <c r="D519" s="188" t="str">
        <f>IF(C519="","",IFERROR(VLOOKUP(C519,Inventory!$A:$B,2,FALSE),""))</f>
        <v/>
      </c>
      <c r="E519" s="188" t="str">
        <f>IF(C519="","",IFERROR(VLOOKUP(C519,Inventory!$A:$C,3,FALSE),""))</f>
        <v/>
      </c>
      <c r="F519" s="187"/>
      <c r="G519" s="180" t="str">
        <f>IF(C519="","",IFERROR(VLOOKUP(C519,Inventory!$A:$I,9,FALSE),0))</f>
        <v/>
      </c>
      <c r="H519" s="189" t="str">
        <f t="shared" si="1"/>
        <v/>
      </c>
      <c r="I519" s="190" t="str">
        <f t="shared" si="2"/>
        <v/>
      </c>
      <c r="J519" s="191"/>
      <c r="K519" s="191" t="str">
        <f t="shared" si="3"/>
        <v/>
      </c>
      <c r="L519" s="187"/>
      <c r="M519" s="192" t="str">
        <f t="shared" si="4"/>
        <v/>
      </c>
      <c r="N519" s="185" t="str">
        <f t="shared" si="5"/>
        <v/>
      </c>
    </row>
    <row r="520" ht="15.75" customHeight="1">
      <c r="A520" s="186"/>
      <c r="B520" s="187"/>
      <c r="C520" s="187"/>
      <c r="D520" s="188" t="str">
        <f>IF(C520="","",IFERROR(VLOOKUP(C520,Inventory!$A:$B,2,FALSE),""))</f>
        <v/>
      </c>
      <c r="E520" s="188" t="str">
        <f>IF(C520="","",IFERROR(VLOOKUP(C520,Inventory!$A:$C,3,FALSE),""))</f>
        <v/>
      </c>
      <c r="F520" s="187"/>
      <c r="G520" s="180" t="str">
        <f>IF(C520="","",IFERROR(VLOOKUP(C520,Inventory!$A:$I,9,FALSE),0))</f>
        <v/>
      </c>
      <c r="H520" s="189" t="str">
        <f t="shared" si="1"/>
        <v/>
      </c>
      <c r="I520" s="190" t="str">
        <f t="shared" si="2"/>
        <v/>
      </c>
      <c r="J520" s="191"/>
      <c r="K520" s="191" t="str">
        <f t="shared" si="3"/>
        <v/>
      </c>
      <c r="L520" s="187"/>
      <c r="M520" s="192" t="str">
        <f t="shared" si="4"/>
        <v/>
      </c>
      <c r="N520" s="185" t="str">
        <f t="shared" si="5"/>
        <v/>
      </c>
    </row>
    <row r="521" ht="15.75" customHeight="1">
      <c r="A521" s="186"/>
      <c r="B521" s="187"/>
      <c r="C521" s="187"/>
      <c r="D521" s="188" t="str">
        <f>IF(C521="","",IFERROR(VLOOKUP(C521,Inventory!$A:$B,2,FALSE),""))</f>
        <v/>
      </c>
      <c r="E521" s="188" t="str">
        <f>IF(C521="","",IFERROR(VLOOKUP(C521,Inventory!$A:$C,3,FALSE),""))</f>
        <v/>
      </c>
      <c r="F521" s="187"/>
      <c r="G521" s="180" t="str">
        <f>IF(C521="","",IFERROR(VLOOKUP(C521,Inventory!$A:$I,9,FALSE),0))</f>
        <v/>
      </c>
      <c r="H521" s="189" t="str">
        <f t="shared" si="1"/>
        <v/>
      </c>
      <c r="I521" s="190" t="str">
        <f t="shared" si="2"/>
        <v/>
      </c>
      <c r="J521" s="191"/>
      <c r="K521" s="191" t="str">
        <f t="shared" si="3"/>
        <v/>
      </c>
      <c r="L521" s="187"/>
      <c r="M521" s="192" t="str">
        <f t="shared" si="4"/>
        <v/>
      </c>
      <c r="N521" s="185" t="str">
        <f t="shared" si="5"/>
        <v/>
      </c>
    </row>
    <row r="522" ht="15.75" customHeight="1">
      <c r="A522" s="186"/>
      <c r="B522" s="187"/>
      <c r="C522" s="187"/>
      <c r="D522" s="188" t="str">
        <f>IF(C522="","",IFERROR(VLOOKUP(C522,Inventory!$A:$B,2,FALSE),""))</f>
        <v/>
      </c>
      <c r="E522" s="188" t="str">
        <f>IF(C522="","",IFERROR(VLOOKUP(C522,Inventory!$A:$C,3,FALSE),""))</f>
        <v/>
      </c>
      <c r="F522" s="187"/>
      <c r="G522" s="180" t="str">
        <f>IF(C522="","",IFERROR(VLOOKUP(C522,Inventory!$A:$I,9,FALSE),0))</f>
        <v/>
      </c>
      <c r="H522" s="189" t="str">
        <f t="shared" si="1"/>
        <v/>
      </c>
      <c r="I522" s="190" t="str">
        <f t="shared" si="2"/>
        <v/>
      </c>
      <c r="J522" s="191"/>
      <c r="K522" s="191" t="str">
        <f t="shared" si="3"/>
        <v/>
      </c>
      <c r="L522" s="187"/>
      <c r="M522" s="192" t="str">
        <f t="shared" si="4"/>
        <v/>
      </c>
      <c r="N522" s="185" t="str">
        <f t="shared" si="5"/>
        <v/>
      </c>
    </row>
    <row r="523" ht="15.75" customHeight="1">
      <c r="A523" s="186"/>
      <c r="B523" s="187"/>
      <c r="C523" s="187"/>
      <c r="D523" s="188" t="str">
        <f>IF(C523="","",IFERROR(VLOOKUP(C523,Inventory!$A:$B,2,FALSE),""))</f>
        <v/>
      </c>
      <c r="E523" s="188" t="str">
        <f>IF(C523="","",IFERROR(VLOOKUP(C523,Inventory!$A:$C,3,FALSE),""))</f>
        <v/>
      </c>
      <c r="F523" s="187"/>
      <c r="G523" s="180" t="str">
        <f>IF(C523="","",IFERROR(VLOOKUP(C523,Inventory!$A:$I,9,FALSE),0))</f>
        <v/>
      </c>
      <c r="H523" s="189" t="str">
        <f t="shared" si="1"/>
        <v/>
      </c>
      <c r="I523" s="190" t="str">
        <f t="shared" si="2"/>
        <v/>
      </c>
      <c r="J523" s="191"/>
      <c r="K523" s="191" t="str">
        <f t="shared" si="3"/>
        <v/>
      </c>
      <c r="L523" s="187"/>
      <c r="M523" s="192" t="str">
        <f t="shared" si="4"/>
        <v/>
      </c>
      <c r="N523" s="185" t="str">
        <f t="shared" si="5"/>
        <v/>
      </c>
    </row>
    <row r="524" ht="15.75" customHeight="1">
      <c r="A524" s="186"/>
      <c r="B524" s="187"/>
      <c r="C524" s="187"/>
      <c r="D524" s="188" t="str">
        <f>IF(C524="","",IFERROR(VLOOKUP(C524,Inventory!$A:$B,2,FALSE),""))</f>
        <v/>
      </c>
      <c r="E524" s="188" t="str">
        <f>IF(C524="","",IFERROR(VLOOKUP(C524,Inventory!$A:$C,3,FALSE),""))</f>
        <v/>
      </c>
      <c r="F524" s="187"/>
      <c r="G524" s="180" t="str">
        <f>IF(C524="","",IFERROR(VLOOKUP(C524,Inventory!$A:$I,9,FALSE),0))</f>
        <v/>
      </c>
      <c r="H524" s="189" t="str">
        <f t="shared" si="1"/>
        <v/>
      </c>
      <c r="I524" s="190" t="str">
        <f t="shared" si="2"/>
        <v/>
      </c>
      <c r="J524" s="191"/>
      <c r="K524" s="191" t="str">
        <f t="shared" si="3"/>
        <v/>
      </c>
      <c r="L524" s="187"/>
      <c r="M524" s="192" t="str">
        <f t="shared" si="4"/>
        <v/>
      </c>
      <c r="N524" s="185" t="str">
        <f t="shared" si="5"/>
        <v/>
      </c>
    </row>
    <row r="525" ht="15.75" customHeight="1">
      <c r="A525" s="186"/>
      <c r="B525" s="187"/>
      <c r="C525" s="187"/>
      <c r="D525" s="188" t="str">
        <f>IF(C525="","",IFERROR(VLOOKUP(C525,Inventory!$A:$B,2,FALSE),""))</f>
        <v/>
      </c>
      <c r="E525" s="188" t="str">
        <f>IF(C525="","",IFERROR(VLOOKUP(C525,Inventory!$A:$C,3,FALSE),""))</f>
        <v/>
      </c>
      <c r="F525" s="187"/>
      <c r="G525" s="180" t="str">
        <f>IF(C525="","",IFERROR(VLOOKUP(C525,Inventory!$A:$I,9,FALSE),0))</f>
        <v/>
      </c>
      <c r="H525" s="189" t="str">
        <f t="shared" si="1"/>
        <v/>
      </c>
      <c r="I525" s="190" t="str">
        <f t="shared" si="2"/>
        <v/>
      </c>
      <c r="J525" s="191"/>
      <c r="K525" s="191" t="str">
        <f t="shared" si="3"/>
        <v/>
      </c>
      <c r="L525" s="187"/>
      <c r="M525" s="192" t="str">
        <f t="shared" si="4"/>
        <v/>
      </c>
      <c r="N525" s="185" t="str">
        <f t="shared" si="5"/>
        <v/>
      </c>
    </row>
    <row r="526" ht="15.75" customHeight="1">
      <c r="A526" s="186"/>
      <c r="B526" s="187"/>
      <c r="C526" s="187"/>
      <c r="D526" s="188" t="str">
        <f>IF(C526="","",IFERROR(VLOOKUP(C526,Inventory!$A:$B,2,FALSE),""))</f>
        <v/>
      </c>
      <c r="E526" s="188" t="str">
        <f>IF(C526="","",IFERROR(VLOOKUP(C526,Inventory!$A:$C,3,FALSE),""))</f>
        <v/>
      </c>
      <c r="F526" s="187"/>
      <c r="G526" s="180" t="str">
        <f>IF(C526="","",IFERROR(VLOOKUP(C526,Inventory!$A:$I,9,FALSE),0))</f>
        <v/>
      </c>
      <c r="H526" s="189" t="str">
        <f t="shared" si="1"/>
        <v/>
      </c>
      <c r="I526" s="190" t="str">
        <f t="shared" si="2"/>
        <v/>
      </c>
      <c r="J526" s="191"/>
      <c r="K526" s="191" t="str">
        <f t="shared" si="3"/>
        <v/>
      </c>
      <c r="L526" s="187"/>
      <c r="M526" s="192" t="str">
        <f t="shared" si="4"/>
        <v/>
      </c>
      <c r="N526" s="185" t="str">
        <f t="shared" si="5"/>
        <v/>
      </c>
    </row>
    <row r="527" ht="15.75" customHeight="1">
      <c r="A527" s="186"/>
      <c r="B527" s="187"/>
      <c r="C527" s="187"/>
      <c r="D527" s="188" t="str">
        <f>IF(C527="","",IFERROR(VLOOKUP(C527,Inventory!$A:$B,2,FALSE),""))</f>
        <v/>
      </c>
      <c r="E527" s="188" t="str">
        <f>IF(C527="","",IFERROR(VLOOKUP(C527,Inventory!$A:$C,3,FALSE),""))</f>
        <v/>
      </c>
      <c r="F527" s="187"/>
      <c r="G527" s="180" t="str">
        <f>IF(C527="","",IFERROR(VLOOKUP(C527,Inventory!$A:$I,9,FALSE),0))</f>
        <v/>
      </c>
      <c r="H527" s="189" t="str">
        <f t="shared" si="1"/>
        <v/>
      </c>
      <c r="I527" s="190" t="str">
        <f t="shared" si="2"/>
        <v/>
      </c>
      <c r="J527" s="191"/>
      <c r="K527" s="191" t="str">
        <f t="shared" si="3"/>
        <v/>
      </c>
      <c r="L527" s="187"/>
      <c r="M527" s="192" t="str">
        <f t="shared" si="4"/>
        <v/>
      </c>
      <c r="N527" s="185" t="str">
        <f t="shared" si="5"/>
        <v/>
      </c>
    </row>
    <row r="528" ht="15.75" customHeight="1">
      <c r="A528" s="186"/>
      <c r="B528" s="187"/>
      <c r="C528" s="187"/>
      <c r="D528" s="188" t="str">
        <f>IF(C528="","",IFERROR(VLOOKUP(C528,Inventory!$A:$B,2,FALSE),""))</f>
        <v/>
      </c>
      <c r="E528" s="188" t="str">
        <f>IF(C528="","",IFERROR(VLOOKUP(C528,Inventory!$A:$C,3,FALSE),""))</f>
        <v/>
      </c>
      <c r="F528" s="187"/>
      <c r="G528" s="180" t="str">
        <f>IF(C528="","",IFERROR(VLOOKUP(C528,Inventory!$A:$I,9,FALSE),0))</f>
        <v/>
      </c>
      <c r="H528" s="189" t="str">
        <f t="shared" si="1"/>
        <v/>
      </c>
      <c r="I528" s="190" t="str">
        <f t="shared" si="2"/>
        <v/>
      </c>
      <c r="J528" s="191"/>
      <c r="K528" s="191" t="str">
        <f t="shared" si="3"/>
        <v/>
      </c>
      <c r="L528" s="187"/>
      <c r="M528" s="192" t="str">
        <f t="shared" si="4"/>
        <v/>
      </c>
      <c r="N528" s="185" t="str">
        <f t="shared" si="5"/>
        <v/>
      </c>
    </row>
    <row r="529" ht="15.75" customHeight="1">
      <c r="A529" s="186"/>
      <c r="B529" s="187"/>
      <c r="C529" s="187"/>
      <c r="D529" s="188" t="str">
        <f>IF(C529="","",IFERROR(VLOOKUP(C529,Inventory!$A:$B,2,FALSE),""))</f>
        <v/>
      </c>
      <c r="E529" s="188" t="str">
        <f>IF(C529="","",IFERROR(VLOOKUP(C529,Inventory!$A:$C,3,FALSE),""))</f>
        <v/>
      </c>
      <c r="F529" s="187"/>
      <c r="G529" s="180" t="str">
        <f>IF(C529="","",IFERROR(VLOOKUP(C529,Inventory!$A:$I,9,FALSE),0))</f>
        <v/>
      </c>
      <c r="H529" s="189" t="str">
        <f t="shared" si="1"/>
        <v/>
      </c>
      <c r="I529" s="190" t="str">
        <f t="shared" si="2"/>
        <v/>
      </c>
      <c r="J529" s="191"/>
      <c r="K529" s="191" t="str">
        <f t="shared" si="3"/>
        <v/>
      </c>
      <c r="L529" s="187"/>
      <c r="M529" s="192" t="str">
        <f t="shared" si="4"/>
        <v/>
      </c>
      <c r="N529" s="185" t="str">
        <f t="shared" si="5"/>
        <v/>
      </c>
    </row>
    <row r="530" ht="15.75" customHeight="1">
      <c r="A530" s="186"/>
      <c r="B530" s="187"/>
      <c r="C530" s="187"/>
      <c r="D530" s="188" t="str">
        <f>IF(C530="","",IFERROR(VLOOKUP(C530,Inventory!$A:$B,2,FALSE),""))</f>
        <v/>
      </c>
      <c r="E530" s="188" t="str">
        <f>IF(C530="","",IFERROR(VLOOKUP(C530,Inventory!$A:$C,3,FALSE),""))</f>
        <v/>
      </c>
      <c r="F530" s="187"/>
      <c r="G530" s="180" t="str">
        <f>IF(C530="","",IFERROR(VLOOKUP(C530,Inventory!$A:$I,9,FALSE),0))</f>
        <v/>
      </c>
      <c r="H530" s="189" t="str">
        <f t="shared" si="1"/>
        <v/>
      </c>
      <c r="I530" s="190" t="str">
        <f t="shared" si="2"/>
        <v/>
      </c>
      <c r="J530" s="191"/>
      <c r="K530" s="191" t="str">
        <f t="shared" si="3"/>
        <v/>
      </c>
      <c r="L530" s="187"/>
      <c r="M530" s="192" t="str">
        <f t="shared" si="4"/>
        <v/>
      </c>
      <c r="N530" s="185" t="str">
        <f t="shared" si="5"/>
        <v/>
      </c>
    </row>
    <row r="531" ht="15.75" customHeight="1">
      <c r="A531" s="186"/>
      <c r="B531" s="187"/>
      <c r="C531" s="187"/>
      <c r="D531" s="188" t="str">
        <f>IF(C531="","",IFERROR(VLOOKUP(C531,Inventory!$A:$B,2,FALSE),""))</f>
        <v/>
      </c>
      <c r="E531" s="188" t="str">
        <f>IF(C531="","",IFERROR(VLOOKUP(C531,Inventory!$A:$C,3,FALSE),""))</f>
        <v/>
      </c>
      <c r="F531" s="187"/>
      <c r="G531" s="180" t="str">
        <f>IF(C531="","",IFERROR(VLOOKUP(C531,Inventory!$A:$I,9,FALSE),0))</f>
        <v/>
      </c>
      <c r="H531" s="189" t="str">
        <f t="shared" si="1"/>
        <v/>
      </c>
      <c r="I531" s="190" t="str">
        <f t="shared" si="2"/>
        <v/>
      </c>
      <c r="J531" s="191"/>
      <c r="K531" s="191" t="str">
        <f t="shared" si="3"/>
        <v/>
      </c>
      <c r="L531" s="187"/>
      <c r="M531" s="192" t="str">
        <f t="shared" si="4"/>
        <v/>
      </c>
      <c r="N531" s="185" t="str">
        <f t="shared" si="5"/>
        <v/>
      </c>
    </row>
    <row r="532" ht="15.75" customHeight="1">
      <c r="A532" s="186"/>
      <c r="B532" s="187"/>
      <c r="C532" s="187"/>
      <c r="D532" s="188" t="str">
        <f>IF(C532="","",IFERROR(VLOOKUP(C532,Inventory!$A:$B,2,FALSE),""))</f>
        <v/>
      </c>
      <c r="E532" s="188" t="str">
        <f>IF(C532="","",IFERROR(VLOOKUP(C532,Inventory!$A:$C,3,FALSE),""))</f>
        <v/>
      </c>
      <c r="F532" s="187"/>
      <c r="G532" s="180" t="str">
        <f>IF(C532="","",IFERROR(VLOOKUP(C532,Inventory!$A:$I,9,FALSE),0))</f>
        <v/>
      </c>
      <c r="H532" s="189" t="str">
        <f t="shared" si="1"/>
        <v/>
      </c>
      <c r="I532" s="190" t="str">
        <f t="shared" si="2"/>
        <v/>
      </c>
      <c r="J532" s="191"/>
      <c r="K532" s="191" t="str">
        <f t="shared" si="3"/>
        <v/>
      </c>
      <c r="L532" s="187"/>
      <c r="M532" s="192" t="str">
        <f t="shared" si="4"/>
        <v/>
      </c>
      <c r="N532" s="185" t="str">
        <f t="shared" si="5"/>
        <v/>
      </c>
    </row>
    <row r="533" ht="15.75" customHeight="1">
      <c r="A533" s="186"/>
      <c r="B533" s="187"/>
      <c r="C533" s="187"/>
      <c r="D533" s="188" t="str">
        <f>IF(C533="","",IFERROR(VLOOKUP(C533,Inventory!$A:$B,2,FALSE),""))</f>
        <v/>
      </c>
      <c r="E533" s="188" t="str">
        <f>IF(C533="","",IFERROR(VLOOKUP(C533,Inventory!$A:$C,3,FALSE),""))</f>
        <v/>
      </c>
      <c r="F533" s="187"/>
      <c r="G533" s="180" t="str">
        <f>IF(C533="","",IFERROR(VLOOKUP(C533,Inventory!$A:$I,9,FALSE),0))</f>
        <v/>
      </c>
      <c r="H533" s="189" t="str">
        <f t="shared" si="1"/>
        <v/>
      </c>
      <c r="I533" s="190" t="str">
        <f t="shared" si="2"/>
        <v/>
      </c>
      <c r="J533" s="191"/>
      <c r="K533" s="191" t="str">
        <f t="shared" si="3"/>
        <v/>
      </c>
      <c r="L533" s="187"/>
      <c r="M533" s="192" t="str">
        <f t="shared" si="4"/>
        <v/>
      </c>
      <c r="N533" s="185" t="str">
        <f t="shared" si="5"/>
        <v/>
      </c>
    </row>
    <row r="534" ht="15.75" customHeight="1">
      <c r="A534" s="186"/>
      <c r="B534" s="187"/>
      <c r="C534" s="187"/>
      <c r="D534" s="188" t="str">
        <f>IF(C534="","",IFERROR(VLOOKUP(C534,Inventory!$A:$B,2,FALSE),""))</f>
        <v/>
      </c>
      <c r="E534" s="188" t="str">
        <f>IF(C534="","",IFERROR(VLOOKUP(C534,Inventory!$A:$C,3,FALSE),""))</f>
        <v/>
      </c>
      <c r="F534" s="187"/>
      <c r="G534" s="180" t="str">
        <f>IF(C534="","",IFERROR(VLOOKUP(C534,Inventory!$A:$I,9,FALSE),0))</f>
        <v/>
      </c>
      <c r="H534" s="189" t="str">
        <f t="shared" si="1"/>
        <v/>
      </c>
      <c r="I534" s="190" t="str">
        <f t="shared" si="2"/>
        <v/>
      </c>
      <c r="J534" s="191"/>
      <c r="K534" s="191" t="str">
        <f t="shared" si="3"/>
        <v/>
      </c>
      <c r="L534" s="187"/>
      <c r="M534" s="192" t="str">
        <f t="shared" si="4"/>
        <v/>
      </c>
      <c r="N534" s="185" t="str">
        <f t="shared" si="5"/>
        <v/>
      </c>
    </row>
    <row r="535" ht="15.75" customHeight="1">
      <c r="A535" s="186"/>
      <c r="B535" s="187"/>
      <c r="C535" s="187"/>
      <c r="D535" s="188" t="str">
        <f>IF(C535="","",IFERROR(VLOOKUP(C535,Inventory!$A:$B,2,FALSE),""))</f>
        <v/>
      </c>
      <c r="E535" s="188" t="str">
        <f>IF(C535="","",IFERROR(VLOOKUP(C535,Inventory!$A:$C,3,FALSE),""))</f>
        <v/>
      </c>
      <c r="F535" s="187"/>
      <c r="G535" s="180" t="str">
        <f>IF(C535="","",IFERROR(VLOOKUP(C535,Inventory!$A:$I,9,FALSE),0))</f>
        <v/>
      </c>
      <c r="H535" s="189" t="str">
        <f t="shared" si="1"/>
        <v/>
      </c>
      <c r="I535" s="190" t="str">
        <f t="shared" si="2"/>
        <v/>
      </c>
      <c r="J535" s="191"/>
      <c r="K535" s="191" t="str">
        <f t="shared" si="3"/>
        <v/>
      </c>
      <c r="L535" s="187"/>
      <c r="M535" s="192" t="str">
        <f t="shared" si="4"/>
        <v/>
      </c>
      <c r="N535" s="185" t="str">
        <f t="shared" si="5"/>
        <v/>
      </c>
    </row>
    <row r="536" ht="15.75" customHeight="1">
      <c r="A536" s="186"/>
      <c r="B536" s="187"/>
      <c r="C536" s="187"/>
      <c r="D536" s="188" t="str">
        <f>IF(C536="","",IFERROR(VLOOKUP(C536,Inventory!$A:$B,2,FALSE),""))</f>
        <v/>
      </c>
      <c r="E536" s="188" t="str">
        <f>IF(C536="","",IFERROR(VLOOKUP(C536,Inventory!$A:$C,3,FALSE),""))</f>
        <v/>
      </c>
      <c r="F536" s="187"/>
      <c r="G536" s="180" t="str">
        <f>IF(C536="","",IFERROR(VLOOKUP(C536,Inventory!$A:$I,9,FALSE),0))</f>
        <v/>
      </c>
      <c r="H536" s="189" t="str">
        <f t="shared" si="1"/>
        <v/>
      </c>
      <c r="I536" s="190" t="str">
        <f t="shared" si="2"/>
        <v/>
      </c>
      <c r="J536" s="191"/>
      <c r="K536" s="191" t="str">
        <f t="shared" si="3"/>
        <v/>
      </c>
      <c r="L536" s="187"/>
      <c r="M536" s="192" t="str">
        <f t="shared" si="4"/>
        <v/>
      </c>
      <c r="N536" s="185" t="str">
        <f t="shared" si="5"/>
        <v/>
      </c>
    </row>
    <row r="537" ht="15.75" customHeight="1">
      <c r="A537" s="186"/>
      <c r="B537" s="187"/>
      <c r="C537" s="187"/>
      <c r="D537" s="188" t="str">
        <f>IF(C537="","",IFERROR(VLOOKUP(C537,Inventory!$A:$B,2,FALSE),""))</f>
        <v/>
      </c>
      <c r="E537" s="188" t="str">
        <f>IF(C537="","",IFERROR(VLOOKUP(C537,Inventory!$A:$C,3,FALSE),""))</f>
        <v/>
      </c>
      <c r="F537" s="187"/>
      <c r="G537" s="180" t="str">
        <f>IF(C537="","",IFERROR(VLOOKUP(C537,Inventory!$A:$I,9,FALSE),0))</f>
        <v/>
      </c>
      <c r="H537" s="189" t="str">
        <f t="shared" si="1"/>
        <v/>
      </c>
      <c r="I537" s="190" t="str">
        <f t="shared" si="2"/>
        <v/>
      </c>
      <c r="J537" s="191"/>
      <c r="K537" s="191" t="str">
        <f t="shared" si="3"/>
        <v/>
      </c>
      <c r="L537" s="187"/>
      <c r="M537" s="192" t="str">
        <f t="shared" si="4"/>
        <v/>
      </c>
      <c r="N537" s="185" t="str">
        <f t="shared" si="5"/>
        <v/>
      </c>
    </row>
    <row r="538" ht="15.75" customHeight="1">
      <c r="A538" s="186"/>
      <c r="B538" s="187"/>
      <c r="C538" s="187"/>
      <c r="D538" s="188" t="str">
        <f>IF(C538="","",IFERROR(VLOOKUP(C538,Inventory!$A:$B,2,FALSE),""))</f>
        <v/>
      </c>
      <c r="E538" s="188" t="str">
        <f>IF(C538="","",IFERROR(VLOOKUP(C538,Inventory!$A:$C,3,FALSE),""))</f>
        <v/>
      </c>
      <c r="F538" s="187"/>
      <c r="G538" s="180" t="str">
        <f>IF(C538="","",IFERROR(VLOOKUP(C538,Inventory!$A:$I,9,FALSE),0))</f>
        <v/>
      </c>
      <c r="H538" s="189" t="str">
        <f t="shared" si="1"/>
        <v/>
      </c>
      <c r="I538" s="190" t="str">
        <f t="shared" si="2"/>
        <v/>
      </c>
      <c r="J538" s="191"/>
      <c r="K538" s="191" t="str">
        <f t="shared" si="3"/>
        <v/>
      </c>
      <c r="L538" s="187"/>
      <c r="M538" s="192" t="str">
        <f t="shared" si="4"/>
        <v/>
      </c>
      <c r="N538" s="185" t="str">
        <f t="shared" si="5"/>
        <v/>
      </c>
    </row>
    <row r="539" ht="15.75" customHeight="1">
      <c r="A539" s="186"/>
      <c r="B539" s="187"/>
      <c r="C539" s="187"/>
      <c r="D539" s="188" t="str">
        <f>IF(C539="","",IFERROR(VLOOKUP(C539,Inventory!$A:$B,2,FALSE),""))</f>
        <v/>
      </c>
      <c r="E539" s="188" t="str">
        <f>IF(C539="","",IFERROR(VLOOKUP(C539,Inventory!$A:$C,3,FALSE),""))</f>
        <v/>
      </c>
      <c r="F539" s="187"/>
      <c r="G539" s="180" t="str">
        <f>IF(C539="","",IFERROR(VLOOKUP(C539,Inventory!$A:$I,9,FALSE),0))</f>
        <v/>
      </c>
      <c r="H539" s="189" t="str">
        <f t="shared" si="1"/>
        <v/>
      </c>
      <c r="I539" s="190" t="str">
        <f t="shared" si="2"/>
        <v/>
      </c>
      <c r="J539" s="191"/>
      <c r="K539" s="191" t="str">
        <f t="shared" si="3"/>
        <v/>
      </c>
      <c r="L539" s="187"/>
      <c r="M539" s="192" t="str">
        <f t="shared" si="4"/>
        <v/>
      </c>
      <c r="N539" s="185" t="str">
        <f t="shared" si="5"/>
        <v/>
      </c>
    </row>
    <row r="540" ht="15.75" customHeight="1">
      <c r="A540" s="186"/>
      <c r="B540" s="187"/>
      <c r="C540" s="187"/>
      <c r="D540" s="188" t="str">
        <f>IF(C540="","",IFERROR(VLOOKUP(C540,Inventory!$A:$B,2,FALSE),""))</f>
        <v/>
      </c>
      <c r="E540" s="188" t="str">
        <f>IF(C540="","",IFERROR(VLOOKUP(C540,Inventory!$A:$C,3,FALSE),""))</f>
        <v/>
      </c>
      <c r="F540" s="187"/>
      <c r="G540" s="180" t="str">
        <f>IF(C540="","",IFERROR(VLOOKUP(C540,Inventory!$A:$I,9,FALSE),0))</f>
        <v/>
      </c>
      <c r="H540" s="189" t="str">
        <f t="shared" si="1"/>
        <v/>
      </c>
      <c r="I540" s="190" t="str">
        <f t="shared" si="2"/>
        <v/>
      </c>
      <c r="J540" s="191"/>
      <c r="K540" s="191" t="str">
        <f t="shared" si="3"/>
        <v/>
      </c>
      <c r="L540" s="187"/>
      <c r="M540" s="192" t="str">
        <f t="shared" si="4"/>
        <v/>
      </c>
      <c r="N540" s="185" t="str">
        <f t="shared" si="5"/>
        <v/>
      </c>
    </row>
    <row r="541" ht="15.75" customHeight="1">
      <c r="A541" s="186"/>
      <c r="B541" s="187"/>
      <c r="C541" s="187"/>
      <c r="D541" s="188" t="str">
        <f>IF(C541="","",IFERROR(VLOOKUP(C541,Inventory!$A:$B,2,FALSE),""))</f>
        <v/>
      </c>
      <c r="E541" s="188" t="str">
        <f>IF(C541="","",IFERROR(VLOOKUP(C541,Inventory!$A:$C,3,FALSE),""))</f>
        <v/>
      </c>
      <c r="F541" s="187"/>
      <c r="G541" s="180" t="str">
        <f>IF(C541="","",IFERROR(VLOOKUP(C541,Inventory!$A:$I,9,FALSE),0))</f>
        <v/>
      </c>
      <c r="H541" s="189" t="str">
        <f t="shared" si="1"/>
        <v/>
      </c>
      <c r="I541" s="190" t="str">
        <f t="shared" si="2"/>
        <v/>
      </c>
      <c r="J541" s="191"/>
      <c r="K541" s="191" t="str">
        <f t="shared" si="3"/>
        <v/>
      </c>
      <c r="L541" s="187"/>
      <c r="M541" s="192" t="str">
        <f t="shared" si="4"/>
        <v/>
      </c>
      <c r="N541" s="185" t="str">
        <f t="shared" si="5"/>
        <v/>
      </c>
    </row>
    <row r="542" ht="15.75" customHeight="1">
      <c r="A542" s="186"/>
      <c r="B542" s="187"/>
      <c r="C542" s="187"/>
      <c r="D542" s="188" t="str">
        <f>IF(C542="","",IFERROR(VLOOKUP(C542,Inventory!$A:$B,2,FALSE),""))</f>
        <v/>
      </c>
      <c r="E542" s="188" t="str">
        <f>IF(C542="","",IFERROR(VLOOKUP(C542,Inventory!$A:$C,3,FALSE),""))</f>
        <v/>
      </c>
      <c r="F542" s="187"/>
      <c r="G542" s="180" t="str">
        <f>IF(C542="","",IFERROR(VLOOKUP(C542,Inventory!$A:$I,9,FALSE),0))</f>
        <v/>
      </c>
      <c r="H542" s="189" t="str">
        <f t="shared" si="1"/>
        <v/>
      </c>
      <c r="I542" s="190" t="str">
        <f t="shared" si="2"/>
        <v/>
      </c>
      <c r="J542" s="191"/>
      <c r="K542" s="191" t="str">
        <f t="shared" si="3"/>
        <v/>
      </c>
      <c r="L542" s="187"/>
      <c r="M542" s="192" t="str">
        <f t="shared" si="4"/>
        <v/>
      </c>
      <c r="N542" s="185" t="str">
        <f t="shared" si="5"/>
        <v/>
      </c>
    </row>
    <row r="543" ht="15.75" customHeight="1">
      <c r="A543" s="186"/>
      <c r="B543" s="187"/>
      <c r="C543" s="187"/>
      <c r="D543" s="188" t="str">
        <f>IF(C543="","",IFERROR(VLOOKUP(C543,Inventory!$A:$B,2,FALSE),""))</f>
        <v/>
      </c>
      <c r="E543" s="188" t="str">
        <f>IF(C543="","",IFERROR(VLOOKUP(C543,Inventory!$A:$C,3,FALSE),""))</f>
        <v/>
      </c>
      <c r="F543" s="187"/>
      <c r="G543" s="180" t="str">
        <f>IF(C543="","",IFERROR(VLOOKUP(C543,Inventory!$A:$I,9,FALSE),0))</f>
        <v/>
      </c>
      <c r="H543" s="189" t="str">
        <f t="shared" si="1"/>
        <v/>
      </c>
      <c r="I543" s="190" t="str">
        <f t="shared" si="2"/>
        <v/>
      </c>
      <c r="J543" s="191"/>
      <c r="K543" s="191" t="str">
        <f t="shared" si="3"/>
        <v/>
      </c>
      <c r="L543" s="187"/>
      <c r="M543" s="192" t="str">
        <f t="shared" si="4"/>
        <v/>
      </c>
      <c r="N543" s="185" t="str">
        <f t="shared" si="5"/>
        <v/>
      </c>
    </row>
    <row r="544" ht="15.75" customHeight="1">
      <c r="A544" s="186"/>
      <c r="B544" s="187"/>
      <c r="C544" s="187"/>
      <c r="D544" s="188" t="str">
        <f>IF(C544="","",IFERROR(VLOOKUP(C544,Inventory!$A:$B,2,FALSE),""))</f>
        <v/>
      </c>
      <c r="E544" s="188" t="str">
        <f>IF(C544="","",IFERROR(VLOOKUP(C544,Inventory!$A:$C,3,FALSE),""))</f>
        <v/>
      </c>
      <c r="F544" s="187"/>
      <c r="G544" s="180" t="str">
        <f>IF(C544="","",IFERROR(VLOOKUP(C544,Inventory!$A:$I,9,FALSE),0))</f>
        <v/>
      </c>
      <c r="H544" s="189" t="str">
        <f t="shared" si="1"/>
        <v/>
      </c>
      <c r="I544" s="190" t="str">
        <f t="shared" si="2"/>
        <v/>
      </c>
      <c r="J544" s="191"/>
      <c r="K544" s="191" t="str">
        <f t="shared" si="3"/>
        <v/>
      </c>
      <c r="L544" s="187"/>
      <c r="M544" s="192" t="str">
        <f t="shared" si="4"/>
        <v/>
      </c>
      <c r="N544" s="185" t="str">
        <f t="shared" si="5"/>
        <v/>
      </c>
    </row>
    <row r="545" ht="15.75" customHeight="1">
      <c r="A545" s="186"/>
      <c r="B545" s="187"/>
      <c r="C545" s="187"/>
      <c r="D545" s="188" t="str">
        <f>IF(C545="","",IFERROR(VLOOKUP(C545,Inventory!$A:$B,2,FALSE),""))</f>
        <v/>
      </c>
      <c r="E545" s="188" t="str">
        <f>IF(C545="","",IFERROR(VLOOKUP(C545,Inventory!$A:$C,3,FALSE),""))</f>
        <v/>
      </c>
      <c r="F545" s="187"/>
      <c r="G545" s="180" t="str">
        <f>IF(C545="","",IFERROR(VLOOKUP(C545,Inventory!$A:$I,9,FALSE),0))</f>
        <v/>
      </c>
      <c r="H545" s="189" t="str">
        <f t="shared" si="1"/>
        <v/>
      </c>
      <c r="I545" s="190" t="str">
        <f t="shared" si="2"/>
        <v/>
      </c>
      <c r="J545" s="191"/>
      <c r="K545" s="191" t="str">
        <f t="shared" si="3"/>
        <v/>
      </c>
      <c r="L545" s="187"/>
      <c r="M545" s="192" t="str">
        <f t="shared" si="4"/>
        <v/>
      </c>
      <c r="N545" s="185" t="str">
        <f t="shared" si="5"/>
        <v/>
      </c>
    </row>
    <row r="546" ht="15.75" customHeight="1">
      <c r="A546" s="186"/>
      <c r="B546" s="187"/>
      <c r="C546" s="187"/>
      <c r="D546" s="188" t="str">
        <f>IF(C546="","",IFERROR(VLOOKUP(C546,Inventory!$A:$B,2,FALSE),""))</f>
        <v/>
      </c>
      <c r="E546" s="188" t="str">
        <f>IF(C546="","",IFERROR(VLOOKUP(C546,Inventory!$A:$C,3,FALSE),""))</f>
        <v/>
      </c>
      <c r="F546" s="187"/>
      <c r="G546" s="180" t="str">
        <f>IF(C546="","",IFERROR(VLOOKUP(C546,Inventory!$A:$I,9,FALSE),0))</f>
        <v/>
      </c>
      <c r="H546" s="189" t="str">
        <f t="shared" si="1"/>
        <v/>
      </c>
      <c r="I546" s="190" t="str">
        <f t="shared" si="2"/>
        <v/>
      </c>
      <c r="J546" s="191"/>
      <c r="K546" s="191" t="str">
        <f t="shared" si="3"/>
        <v/>
      </c>
      <c r="L546" s="187"/>
      <c r="M546" s="192" t="str">
        <f t="shared" si="4"/>
        <v/>
      </c>
      <c r="N546" s="185" t="str">
        <f t="shared" si="5"/>
        <v/>
      </c>
    </row>
    <row r="547" ht="15.75" customHeight="1">
      <c r="A547" s="186"/>
      <c r="B547" s="187"/>
      <c r="C547" s="187"/>
      <c r="D547" s="188" t="str">
        <f>IF(C547="","",IFERROR(VLOOKUP(C547,Inventory!$A:$B,2,FALSE),""))</f>
        <v/>
      </c>
      <c r="E547" s="188" t="str">
        <f>IF(C547="","",IFERROR(VLOOKUP(C547,Inventory!$A:$C,3,FALSE),""))</f>
        <v/>
      </c>
      <c r="F547" s="187"/>
      <c r="G547" s="180" t="str">
        <f>IF(C547="","",IFERROR(VLOOKUP(C547,Inventory!$A:$I,9,FALSE),0))</f>
        <v/>
      </c>
      <c r="H547" s="189" t="str">
        <f t="shared" si="1"/>
        <v/>
      </c>
      <c r="I547" s="190" t="str">
        <f t="shared" si="2"/>
        <v/>
      </c>
      <c r="J547" s="191"/>
      <c r="K547" s="191" t="str">
        <f t="shared" si="3"/>
        <v/>
      </c>
      <c r="L547" s="187"/>
      <c r="M547" s="192" t="str">
        <f t="shared" si="4"/>
        <v/>
      </c>
      <c r="N547" s="185" t="str">
        <f t="shared" si="5"/>
        <v/>
      </c>
    </row>
    <row r="548" ht="15.75" customHeight="1">
      <c r="A548" s="186"/>
      <c r="B548" s="187"/>
      <c r="C548" s="187"/>
      <c r="D548" s="188" t="str">
        <f>IF(C548="","",IFERROR(VLOOKUP(C548,Inventory!$A:$B,2,FALSE),""))</f>
        <v/>
      </c>
      <c r="E548" s="188" t="str">
        <f>IF(C548="","",IFERROR(VLOOKUP(C548,Inventory!$A:$C,3,FALSE),""))</f>
        <v/>
      </c>
      <c r="F548" s="187"/>
      <c r="G548" s="180" t="str">
        <f>IF(C548="","",IFERROR(VLOOKUP(C548,Inventory!$A:$I,9,FALSE),0))</f>
        <v/>
      </c>
      <c r="H548" s="189" t="str">
        <f t="shared" si="1"/>
        <v/>
      </c>
      <c r="I548" s="190" t="str">
        <f t="shared" si="2"/>
        <v/>
      </c>
      <c r="J548" s="191"/>
      <c r="K548" s="191" t="str">
        <f t="shared" si="3"/>
        <v/>
      </c>
      <c r="L548" s="187"/>
      <c r="M548" s="192" t="str">
        <f t="shared" si="4"/>
        <v/>
      </c>
      <c r="N548" s="185" t="str">
        <f t="shared" si="5"/>
        <v/>
      </c>
    </row>
    <row r="549" ht="15.75" customHeight="1">
      <c r="A549" s="186"/>
      <c r="B549" s="187"/>
      <c r="C549" s="187"/>
      <c r="D549" s="188" t="str">
        <f>IF(C549="","",IFERROR(VLOOKUP(C549,Inventory!$A:$B,2,FALSE),""))</f>
        <v/>
      </c>
      <c r="E549" s="188" t="str">
        <f>IF(C549="","",IFERROR(VLOOKUP(C549,Inventory!$A:$C,3,FALSE),""))</f>
        <v/>
      </c>
      <c r="F549" s="187"/>
      <c r="G549" s="180" t="str">
        <f>IF(C549="","",IFERROR(VLOOKUP(C549,Inventory!$A:$I,9,FALSE),0))</f>
        <v/>
      </c>
      <c r="H549" s="189" t="str">
        <f t="shared" si="1"/>
        <v/>
      </c>
      <c r="I549" s="190" t="str">
        <f t="shared" si="2"/>
        <v/>
      </c>
      <c r="J549" s="191"/>
      <c r="K549" s="191" t="str">
        <f t="shared" si="3"/>
        <v/>
      </c>
      <c r="L549" s="187"/>
      <c r="M549" s="192" t="str">
        <f t="shared" si="4"/>
        <v/>
      </c>
      <c r="N549" s="185" t="str">
        <f t="shared" si="5"/>
        <v/>
      </c>
    </row>
    <row r="550" ht="15.75" customHeight="1">
      <c r="A550" s="186"/>
      <c r="B550" s="187"/>
      <c r="C550" s="187"/>
      <c r="D550" s="188" t="str">
        <f>IF(C550="","",IFERROR(VLOOKUP(C550,Inventory!$A:$B,2,FALSE),""))</f>
        <v/>
      </c>
      <c r="E550" s="188" t="str">
        <f>IF(C550="","",IFERROR(VLOOKUP(C550,Inventory!$A:$C,3,FALSE),""))</f>
        <v/>
      </c>
      <c r="F550" s="187"/>
      <c r="G550" s="180" t="str">
        <f>IF(C550="","",IFERROR(VLOOKUP(C550,Inventory!$A:$I,9,FALSE),0))</f>
        <v/>
      </c>
      <c r="H550" s="189" t="str">
        <f t="shared" si="1"/>
        <v/>
      </c>
      <c r="I550" s="190" t="str">
        <f t="shared" si="2"/>
        <v/>
      </c>
      <c r="J550" s="191"/>
      <c r="K550" s="191" t="str">
        <f t="shared" si="3"/>
        <v/>
      </c>
      <c r="L550" s="187"/>
      <c r="M550" s="192" t="str">
        <f t="shared" si="4"/>
        <v/>
      </c>
      <c r="N550" s="185" t="str">
        <f t="shared" si="5"/>
        <v/>
      </c>
    </row>
    <row r="551" ht="15.75" customHeight="1">
      <c r="A551" s="186"/>
      <c r="B551" s="187"/>
      <c r="C551" s="187"/>
      <c r="D551" s="188" t="str">
        <f>IF(C551="","",IFERROR(VLOOKUP(C551,Inventory!$A:$B,2,FALSE),""))</f>
        <v/>
      </c>
      <c r="E551" s="188" t="str">
        <f>IF(C551="","",IFERROR(VLOOKUP(C551,Inventory!$A:$C,3,FALSE),""))</f>
        <v/>
      </c>
      <c r="F551" s="187"/>
      <c r="G551" s="180" t="str">
        <f>IF(C551="","",IFERROR(VLOOKUP(C551,Inventory!$A:$I,9,FALSE),0))</f>
        <v/>
      </c>
      <c r="H551" s="189" t="str">
        <f t="shared" si="1"/>
        <v/>
      </c>
      <c r="I551" s="190" t="str">
        <f t="shared" si="2"/>
        <v/>
      </c>
      <c r="J551" s="191"/>
      <c r="K551" s="191" t="str">
        <f t="shared" si="3"/>
        <v/>
      </c>
      <c r="L551" s="187"/>
      <c r="M551" s="192" t="str">
        <f t="shared" si="4"/>
        <v/>
      </c>
      <c r="N551" s="185" t="str">
        <f t="shared" si="5"/>
        <v/>
      </c>
    </row>
    <row r="552" ht="15.75" customHeight="1">
      <c r="A552" s="186"/>
      <c r="B552" s="187"/>
      <c r="C552" s="187"/>
      <c r="D552" s="188" t="str">
        <f>IF(C552="","",IFERROR(VLOOKUP(C552,Inventory!$A:$B,2,FALSE),""))</f>
        <v/>
      </c>
      <c r="E552" s="188" t="str">
        <f>IF(C552="","",IFERROR(VLOOKUP(C552,Inventory!$A:$C,3,FALSE),""))</f>
        <v/>
      </c>
      <c r="F552" s="187"/>
      <c r="G552" s="180" t="str">
        <f>IF(C552="","",IFERROR(VLOOKUP(C552,Inventory!$A:$I,9,FALSE),0))</f>
        <v/>
      </c>
      <c r="H552" s="189" t="str">
        <f t="shared" si="1"/>
        <v/>
      </c>
      <c r="I552" s="190" t="str">
        <f t="shared" si="2"/>
        <v/>
      </c>
      <c r="J552" s="191"/>
      <c r="K552" s="191" t="str">
        <f t="shared" si="3"/>
        <v/>
      </c>
      <c r="L552" s="187"/>
      <c r="M552" s="192" t="str">
        <f t="shared" si="4"/>
        <v/>
      </c>
      <c r="N552" s="185" t="str">
        <f t="shared" si="5"/>
        <v/>
      </c>
    </row>
    <row r="553" ht="15.75" customHeight="1">
      <c r="A553" s="186"/>
      <c r="B553" s="187"/>
      <c r="C553" s="187"/>
      <c r="D553" s="188" t="str">
        <f>IF(C553="","",IFERROR(VLOOKUP(C553,Inventory!$A:$B,2,FALSE),""))</f>
        <v/>
      </c>
      <c r="E553" s="188" t="str">
        <f>IF(C553="","",IFERROR(VLOOKUP(C553,Inventory!$A:$C,3,FALSE),""))</f>
        <v/>
      </c>
      <c r="F553" s="187"/>
      <c r="G553" s="180" t="str">
        <f>IF(C553="","",IFERROR(VLOOKUP(C553,Inventory!$A:$I,9,FALSE),0))</f>
        <v/>
      </c>
      <c r="H553" s="189" t="str">
        <f t="shared" si="1"/>
        <v/>
      </c>
      <c r="I553" s="190" t="str">
        <f t="shared" si="2"/>
        <v/>
      </c>
      <c r="J553" s="191"/>
      <c r="K553" s="191" t="str">
        <f t="shared" si="3"/>
        <v/>
      </c>
      <c r="L553" s="187"/>
      <c r="M553" s="192" t="str">
        <f t="shared" si="4"/>
        <v/>
      </c>
      <c r="N553" s="185" t="str">
        <f t="shared" si="5"/>
        <v/>
      </c>
    </row>
    <row r="554" ht="15.75" customHeight="1">
      <c r="A554" s="186"/>
      <c r="B554" s="187"/>
      <c r="C554" s="187"/>
      <c r="D554" s="188" t="str">
        <f>IF(C554="","",IFERROR(VLOOKUP(C554,Inventory!$A:$B,2,FALSE),""))</f>
        <v/>
      </c>
      <c r="E554" s="188" t="str">
        <f>IF(C554="","",IFERROR(VLOOKUP(C554,Inventory!$A:$C,3,FALSE),""))</f>
        <v/>
      </c>
      <c r="F554" s="187"/>
      <c r="G554" s="180" t="str">
        <f>IF(C554="","",IFERROR(VLOOKUP(C554,Inventory!$A:$I,9,FALSE),0))</f>
        <v/>
      </c>
      <c r="H554" s="189" t="str">
        <f t="shared" si="1"/>
        <v/>
      </c>
      <c r="I554" s="190" t="str">
        <f t="shared" si="2"/>
        <v/>
      </c>
      <c r="J554" s="191"/>
      <c r="K554" s="191" t="str">
        <f t="shared" si="3"/>
        <v/>
      </c>
      <c r="L554" s="187"/>
      <c r="M554" s="192" t="str">
        <f t="shared" si="4"/>
        <v/>
      </c>
      <c r="N554" s="185" t="str">
        <f t="shared" si="5"/>
        <v/>
      </c>
    </row>
    <row r="555" ht="15.75" customHeight="1">
      <c r="A555" s="186"/>
      <c r="B555" s="187"/>
      <c r="C555" s="187"/>
      <c r="D555" s="188" t="str">
        <f>IF(C555="","",IFERROR(VLOOKUP(C555,Inventory!$A:$B,2,FALSE),""))</f>
        <v/>
      </c>
      <c r="E555" s="188" t="str">
        <f>IF(C555="","",IFERROR(VLOOKUP(C555,Inventory!$A:$C,3,FALSE),""))</f>
        <v/>
      </c>
      <c r="F555" s="187"/>
      <c r="G555" s="180" t="str">
        <f>IF(C555="","",IFERROR(VLOOKUP(C555,Inventory!$A:$I,9,FALSE),0))</f>
        <v/>
      </c>
      <c r="H555" s="189" t="str">
        <f t="shared" si="1"/>
        <v/>
      </c>
      <c r="I555" s="190" t="str">
        <f t="shared" si="2"/>
        <v/>
      </c>
      <c r="J555" s="191"/>
      <c r="K555" s="191" t="str">
        <f t="shared" si="3"/>
        <v/>
      </c>
      <c r="L555" s="187"/>
      <c r="M555" s="192" t="str">
        <f t="shared" si="4"/>
        <v/>
      </c>
      <c r="N555" s="185" t="str">
        <f t="shared" si="5"/>
        <v/>
      </c>
    </row>
    <row r="556" ht="15.75" customHeight="1">
      <c r="A556" s="186"/>
      <c r="B556" s="187"/>
      <c r="C556" s="187"/>
      <c r="D556" s="188" t="str">
        <f>IF(C556="","",IFERROR(VLOOKUP(C556,Inventory!$A:$B,2,FALSE),""))</f>
        <v/>
      </c>
      <c r="E556" s="188" t="str">
        <f>IF(C556="","",IFERROR(VLOOKUP(C556,Inventory!$A:$C,3,FALSE),""))</f>
        <v/>
      </c>
      <c r="F556" s="187"/>
      <c r="G556" s="180" t="str">
        <f>IF(C556="","",IFERROR(VLOOKUP(C556,Inventory!$A:$I,9,FALSE),0))</f>
        <v/>
      </c>
      <c r="H556" s="189" t="str">
        <f t="shared" si="1"/>
        <v/>
      </c>
      <c r="I556" s="190" t="str">
        <f t="shared" si="2"/>
        <v/>
      </c>
      <c r="J556" s="191"/>
      <c r="K556" s="191" t="str">
        <f t="shared" si="3"/>
        <v/>
      </c>
      <c r="L556" s="187"/>
      <c r="M556" s="192" t="str">
        <f t="shared" si="4"/>
        <v/>
      </c>
      <c r="N556" s="185" t="str">
        <f t="shared" si="5"/>
        <v/>
      </c>
    </row>
    <row r="557" ht="15.75" customHeight="1">
      <c r="A557" s="186"/>
      <c r="B557" s="187"/>
      <c r="C557" s="187"/>
      <c r="D557" s="188" t="str">
        <f>IF(C557="","",IFERROR(VLOOKUP(C557,Inventory!$A:$B,2,FALSE),""))</f>
        <v/>
      </c>
      <c r="E557" s="188" t="str">
        <f>IF(C557="","",IFERROR(VLOOKUP(C557,Inventory!$A:$C,3,FALSE),""))</f>
        <v/>
      </c>
      <c r="F557" s="187"/>
      <c r="G557" s="180" t="str">
        <f>IF(C557="","",IFERROR(VLOOKUP(C557,Inventory!$A:$I,9,FALSE),0))</f>
        <v/>
      </c>
      <c r="H557" s="189" t="str">
        <f t="shared" si="1"/>
        <v/>
      </c>
      <c r="I557" s="190" t="str">
        <f t="shared" si="2"/>
        <v/>
      </c>
      <c r="J557" s="191"/>
      <c r="K557" s="191" t="str">
        <f t="shared" si="3"/>
        <v/>
      </c>
      <c r="L557" s="187"/>
      <c r="M557" s="192" t="str">
        <f t="shared" si="4"/>
        <v/>
      </c>
      <c r="N557" s="185" t="str">
        <f t="shared" si="5"/>
        <v/>
      </c>
    </row>
    <row r="558" ht="15.75" customHeight="1">
      <c r="A558" s="186"/>
      <c r="B558" s="187"/>
      <c r="C558" s="187"/>
      <c r="D558" s="188" t="str">
        <f>IF(C558="","",IFERROR(VLOOKUP(C558,Inventory!$A:$B,2,FALSE),""))</f>
        <v/>
      </c>
      <c r="E558" s="188" t="str">
        <f>IF(C558="","",IFERROR(VLOOKUP(C558,Inventory!$A:$C,3,FALSE),""))</f>
        <v/>
      </c>
      <c r="F558" s="187"/>
      <c r="G558" s="180" t="str">
        <f>IF(C558="","",IFERROR(VLOOKUP(C558,Inventory!$A:$I,9,FALSE),0))</f>
        <v/>
      </c>
      <c r="H558" s="189" t="str">
        <f t="shared" si="1"/>
        <v/>
      </c>
      <c r="I558" s="190" t="str">
        <f t="shared" si="2"/>
        <v/>
      </c>
      <c r="J558" s="191"/>
      <c r="K558" s="191" t="str">
        <f t="shared" si="3"/>
        <v/>
      </c>
      <c r="L558" s="187"/>
      <c r="M558" s="192" t="str">
        <f t="shared" si="4"/>
        <v/>
      </c>
      <c r="N558" s="185" t="str">
        <f t="shared" si="5"/>
        <v/>
      </c>
    </row>
    <row r="559" ht="15.75" customHeight="1">
      <c r="A559" s="186"/>
      <c r="B559" s="187"/>
      <c r="C559" s="187"/>
      <c r="D559" s="188" t="str">
        <f>IF(C559="","",IFERROR(VLOOKUP(C559,Inventory!$A:$B,2,FALSE),""))</f>
        <v/>
      </c>
      <c r="E559" s="188" t="str">
        <f>IF(C559="","",IFERROR(VLOOKUP(C559,Inventory!$A:$C,3,FALSE),""))</f>
        <v/>
      </c>
      <c r="F559" s="187"/>
      <c r="G559" s="180" t="str">
        <f>IF(C559="","",IFERROR(VLOOKUP(C559,Inventory!$A:$I,9,FALSE),0))</f>
        <v/>
      </c>
      <c r="H559" s="189" t="str">
        <f t="shared" si="1"/>
        <v/>
      </c>
      <c r="I559" s="190" t="str">
        <f t="shared" si="2"/>
        <v/>
      </c>
      <c r="J559" s="191"/>
      <c r="K559" s="191" t="str">
        <f t="shared" si="3"/>
        <v/>
      </c>
      <c r="L559" s="187"/>
      <c r="M559" s="192" t="str">
        <f t="shared" si="4"/>
        <v/>
      </c>
      <c r="N559" s="185" t="str">
        <f t="shared" si="5"/>
        <v/>
      </c>
    </row>
    <row r="560" ht="15.75" customHeight="1">
      <c r="A560" s="186"/>
      <c r="B560" s="187"/>
      <c r="C560" s="187"/>
      <c r="D560" s="188" t="str">
        <f>IF(C560="","",IFERROR(VLOOKUP(C560,Inventory!$A:$B,2,FALSE),""))</f>
        <v/>
      </c>
      <c r="E560" s="188" t="str">
        <f>IF(C560="","",IFERROR(VLOOKUP(C560,Inventory!$A:$C,3,FALSE),""))</f>
        <v/>
      </c>
      <c r="F560" s="187"/>
      <c r="G560" s="180" t="str">
        <f>IF(C560="","",IFERROR(VLOOKUP(C560,Inventory!$A:$I,9,FALSE),0))</f>
        <v/>
      </c>
      <c r="H560" s="189" t="str">
        <f t="shared" si="1"/>
        <v/>
      </c>
      <c r="I560" s="190" t="str">
        <f t="shared" si="2"/>
        <v/>
      </c>
      <c r="J560" s="191"/>
      <c r="K560" s="191" t="str">
        <f t="shared" si="3"/>
        <v/>
      </c>
      <c r="L560" s="187"/>
      <c r="M560" s="192" t="str">
        <f t="shared" si="4"/>
        <v/>
      </c>
      <c r="N560" s="185" t="str">
        <f t="shared" si="5"/>
        <v/>
      </c>
    </row>
    <row r="561" ht="15.75" customHeight="1">
      <c r="A561" s="186"/>
      <c r="B561" s="187"/>
      <c r="C561" s="187"/>
      <c r="D561" s="188" t="str">
        <f>IF(C561="","",IFERROR(VLOOKUP(C561,Inventory!$A:$B,2,FALSE),""))</f>
        <v/>
      </c>
      <c r="E561" s="188" t="str">
        <f>IF(C561="","",IFERROR(VLOOKUP(C561,Inventory!$A:$C,3,FALSE),""))</f>
        <v/>
      </c>
      <c r="F561" s="187"/>
      <c r="G561" s="180" t="str">
        <f>IF(C561="","",IFERROR(VLOOKUP(C561,Inventory!$A:$I,9,FALSE),0))</f>
        <v/>
      </c>
      <c r="H561" s="189" t="str">
        <f t="shared" si="1"/>
        <v/>
      </c>
      <c r="I561" s="190" t="str">
        <f t="shared" si="2"/>
        <v/>
      </c>
      <c r="J561" s="191"/>
      <c r="K561" s="191" t="str">
        <f t="shared" si="3"/>
        <v/>
      </c>
      <c r="L561" s="187"/>
      <c r="M561" s="192" t="str">
        <f t="shared" si="4"/>
        <v/>
      </c>
      <c r="N561" s="185" t="str">
        <f t="shared" si="5"/>
        <v/>
      </c>
    </row>
    <row r="562" ht="15.75" customHeight="1">
      <c r="A562" s="186"/>
      <c r="B562" s="187"/>
      <c r="C562" s="187"/>
      <c r="D562" s="188" t="str">
        <f>IF(C562="","",IFERROR(VLOOKUP(C562,Inventory!$A:$B,2,FALSE),""))</f>
        <v/>
      </c>
      <c r="E562" s="188" t="str">
        <f>IF(C562="","",IFERROR(VLOOKUP(C562,Inventory!$A:$C,3,FALSE),""))</f>
        <v/>
      </c>
      <c r="F562" s="187"/>
      <c r="G562" s="180" t="str">
        <f>IF(C562="","",IFERROR(VLOOKUP(C562,Inventory!$A:$I,9,FALSE),0))</f>
        <v/>
      </c>
      <c r="H562" s="189" t="str">
        <f t="shared" si="1"/>
        <v/>
      </c>
      <c r="I562" s="190" t="str">
        <f t="shared" si="2"/>
        <v/>
      </c>
      <c r="J562" s="191"/>
      <c r="K562" s="191" t="str">
        <f t="shared" si="3"/>
        <v/>
      </c>
      <c r="L562" s="187"/>
      <c r="M562" s="192" t="str">
        <f t="shared" si="4"/>
        <v/>
      </c>
      <c r="N562" s="185" t="str">
        <f t="shared" si="5"/>
        <v/>
      </c>
    </row>
    <row r="563" ht="15.75" customHeight="1">
      <c r="A563" s="186"/>
      <c r="B563" s="187"/>
      <c r="C563" s="187"/>
      <c r="D563" s="188" t="str">
        <f>IF(C563="","",IFERROR(VLOOKUP(C563,Inventory!$A:$B,2,FALSE),""))</f>
        <v/>
      </c>
      <c r="E563" s="188" t="str">
        <f>IF(C563="","",IFERROR(VLOOKUP(C563,Inventory!$A:$C,3,FALSE),""))</f>
        <v/>
      </c>
      <c r="F563" s="187"/>
      <c r="G563" s="180" t="str">
        <f>IF(C563="","",IFERROR(VLOOKUP(C563,Inventory!$A:$I,9,FALSE),0))</f>
        <v/>
      </c>
      <c r="H563" s="189" t="str">
        <f t="shared" si="1"/>
        <v/>
      </c>
      <c r="I563" s="190" t="str">
        <f t="shared" si="2"/>
        <v/>
      </c>
      <c r="J563" s="191"/>
      <c r="K563" s="191" t="str">
        <f t="shared" si="3"/>
        <v/>
      </c>
      <c r="L563" s="187"/>
      <c r="M563" s="192" t="str">
        <f t="shared" si="4"/>
        <v/>
      </c>
      <c r="N563" s="185" t="str">
        <f t="shared" si="5"/>
        <v/>
      </c>
    </row>
    <row r="564" ht="15.75" customHeight="1">
      <c r="A564" s="186"/>
      <c r="B564" s="187"/>
      <c r="C564" s="187"/>
      <c r="D564" s="188" t="str">
        <f>IF(C564="","",IFERROR(VLOOKUP(C564,Inventory!$A:$B,2,FALSE),""))</f>
        <v/>
      </c>
      <c r="E564" s="188" t="str">
        <f>IF(C564="","",IFERROR(VLOOKUP(C564,Inventory!$A:$C,3,FALSE),""))</f>
        <v/>
      </c>
      <c r="F564" s="187"/>
      <c r="G564" s="180" t="str">
        <f>IF(C564="","",IFERROR(VLOOKUP(C564,Inventory!$A:$I,9,FALSE),0))</f>
        <v/>
      </c>
      <c r="H564" s="189" t="str">
        <f t="shared" si="1"/>
        <v/>
      </c>
      <c r="I564" s="190" t="str">
        <f t="shared" si="2"/>
        <v/>
      </c>
      <c r="J564" s="191"/>
      <c r="K564" s="191" t="str">
        <f t="shared" si="3"/>
        <v/>
      </c>
      <c r="L564" s="187"/>
      <c r="M564" s="192" t="str">
        <f t="shared" si="4"/>
        <v/>
      </c>
      <c r="N564" s="185" t="str">
        <f t="shared" si="5"/>
        <v/>
      </c>
    </row>
    <row r="565" ht="15.75" customHeight="1">
      <c r="A565" s="186"/>
      <c r="B565" s="187"/>
      <c r="C565" s="187"/>
      <c r="D565" s="188" t="str">
        <f>IF(C565="","",IFERROR(VLOOKUP(C565,Inventory!$A:$B,2,FALSE),""))</f>
        <v/>
      </c>
      <c r="E565" s="188" t="str">
        <f>IF(C565="","",IFERROR(VLOOKUP(C565,Inventory!$A:$C,3,FALSE),""))</f>
        <v/>
      </c>
      <c r="F565" s="187"/>
      <c r="G565" s="180" t="str">
        <f>IF(C565="","",IFERROR(VLOOKUP(C565,Inventory!$A:$I,9,FALSE),0))</f>
        <v/>
      </c>
      <c r="H565" s="189" t="str">
        <f t="shared" si="1"/>
        <v/>
      </c>
      <c r="I565" s="190" t="str">
        <f t="shared" si="2"/>
        <v/>
      </c>
      <c r="J565" s="191"/>
      <c r="K565" s="191" t="str">
        <f t="shared" si="3"/>
        <v/>
      </c>
      <c r="L565" s="187"/>
      <c r="M565" s="192" t="str">
        <f t="shared" si="4"/>
        <v/>
      </c>
      <c r="N565" s="185" t="str">
        <f t="shared" si="5"/>
        <v/>
      </c>
    </row>
    <row r="566" ht="15.75" customHeight="1">
      <c r="A566" s="186"/>
      <c r="B566" s="187"/>
      <c r="C566" s="187"/>
      <c r="D566" s="188" t="str">
        <f>IF(C566="","",IFERROR(VLOOKUP(C566,Inventory!$A:$B,2,FALSE),""))</f>
        <v/>
      </c>
      <c r="E566" s="188" t="str">
        <f>IF(C566="","",IFERROR(VLOOKUP(C566,Inventory!$A:$C,3,FALSE),""))</f>
        <v/>
      </c>
      <c r="F566" s="187"/>
      <c r="G566" s="180" t="str">
        <f>IF(C566="","",IFERROR(VLOOKUP(C566,Inventory!$A:$I,9,FALSE),0))</f>
        <v/>
      </c>
      <c r="H566" s="189" t="str">
        <f t="shared" si="1"/>
        <v/>
      </c>
      <c r="I566" s="190" t="str">
        <f t="shared" si="2"/>
        <v/>
      </c>
      <c r="J566" s="191"/>
      <c r="K566" s="191" t="str">
        <f t="shared" si="3"/>
        <v/>
      </c>
      <c r="L566" s="187"/>
      <c r="M566" s="192" t="str">
        <f t="shared" si="4"/>
        <v/>
      </c>
      <c r="N566" s="185" t="str">
        <f t="shared" si="5"/>
        <v/>
      </c>
    </row>
    <row r="567" ht="15.75" customHeight="1">
      <c r="A567" s="186"/>
      <c r="B567" s="187"/>
      <c r="C567" s="187"/>
      <c r="D567" s="188" t="str">
        <f>IF(C567="","",IFERROR(VLOOKUP(C567,Inventory!$A:$B,2,FALSE),""))</f>
        <v/>
      </c>
      <c r="E567" s="188" t="str">
        <f>IF(C567="","",IFERROR(VLOOKUP(C567,Inventory!$A:$C,3,FALSE),""))</f>
        <v/>
      </c>
      <c r="F567" s="187"/>
      <c r="G567" s="180" t="str">
        <f>IF(C567="","",IFERROR(VLOOKUP(C567,Inventory!$A:$I,9,FALSE),0))</f>
        <v/>
      </c>
      <c r="H567" s="189" t="str">
        <f t="shared" si="1"/>
        <v/>
      </c>
      <c r="I567" s="190" t="str">
        <f t="shared" si="2"/>
        <v/>
      </c>
      <c r="J567" s="191"/>
      <c r="K567" s="191" t="str">
        <f t="shared" si="3"/>
        <v/>
      </c>
      <c r="L567" s="187"/>
      <c r="M567" s="192" t="str">
        <f t="shared" si="4"/>
        <v/>
      </c>
      <c r="N567" s="185" t="str">
        <f t="shared" si="5"/>
        <v/>
      </c>
    </row>
    <row r="568" ht="15.75" customHeight="1">
      <c r="A568" s="186"/>
      <c r="B568" s="187"/>
      <c r="C568" s="187"/>
      <c r="D568" s="188" t="str">
        <f>IF(C568="","",IFERROR(VLOOKUP(C568,Inventory!$A:$B,2,FALSE),""))</f>
        <v/>
      </c>
      <c r="E568" s="188" t="str">
        <f>IF(C568="","",IFERROR(VLOOKUP(C568,Inventory!$A:$C,3,FALSE),""))</f>
        <v/>
      </c>
      <c r="F568" s="187"/>
      <c r="G568" s="180" t="str">
        <f>IF(C568="","",IFERROR(VLOOKUP(C568,Inventory!$A:$I,9,FALSE),0))</f>
        <v/>
      </c>
      <c r="H568" s="189" t="str">
        <f t="shared" si="1"/>
        <v/>
      </c>
      <c r="I568" s="190" t="str">
        <f t="shared" si="2"/>
        <v/>
      </c>
      <c r="J568" s="191"/>
      <c r="K568" s="191" t="str">
        <f t="shared" si="3"/>
        <v/>
      </c>
      <c r="L568" s="187"/>
      <c r="M568" s="192" t="str">
        <f t="shared" si="4"/>
        <v/>
      </c>
      <c r="N568" s="185" t="str">
        <f t="shared" si="5"/>
        <v/>
      </c>
    </row>
    <row r="569" ht="15.75" customHeight="1">
      <c r="A569" s="186"/>
      <c r="B569" s="187"/>
      <c r="C569" s="187"/>
      <c r="D569" s="188" t="str">
        <f>IF(C569="","",IFERROR(VLOOKUP(C569,Inventory!$A:$B,2,FALSE),""))</f>
        <v/>
      </c>
      <c r="E569" s="188" t="str">
        <f>IF(C569="","",IFERROR(VLOOKUP(C569,Inventory!$A:$C,3,FALSE),""))</f>
        <v/>
      </c>
      <c r="F569" s="187"/>
      <c r="G569" s="180" t="str">
        <f>IF(C569="","",IFERROR(VLOOKUP(C569,Inventory!$A:$I,9,FALSE),0))</f>
        <v/>
      </c>
      <c r="H569" s="189" t="str">
        <f t="shared" si="1"/>
        <v/>
      </c>
      <c r="I569" s="190" t="str">
        <f t="shared" si="2"/>
        <v/>
      </c>
      <c r="J569" s="191"/>
      <c r="K569" s="191" t="str">
        <f t="shared" si="3"/>
        <v/>
      </c>
      <c r="L569" s="187"/>
      <c r="M569" s="192" t="str">
        <f t="shared" si="4"/>
        <v/>
      </c>
      <c r="N569" s="185" t="str">
        <f t="shared" si="5"/>
        <v/>
      </c>
    </row>
    <row r="570" ht="15.75" customHeight="1">
      <c r="A570" s="186"/>
      <c r="B570" s="187"/>
      <c r="C570" s="187"/>
      <c r="D570" s="188" t="str">
        <f>IF(C570="","",IFERROR(VLOOKUP(C570,Inventory!$A:$B,2,FALSE),""))</f>
        <v/>
      </c>
      <c r="E570" s="188" t="str">
        <f>IF(C570="","",IFERROR(VLOOKUP(C570,Inventory!$A:$C,3,FALSE),""))</f>
        <v/>
      </c>
      <c r="F570" s="187"/>
      <c r="G570" s="180" t="str">
        <f>IF(C570="","",IFERROR(VLOOKUP(C570,Inventory!$A:$I,9,FALSE),0))</f>
        <v/>
      </c>
      <c r="H570" s="189" t="str">
        <f t="shared" si="1"/>
        <v/>
      </c>
      <c r="I570" s="190" t="str">
        <f t="shared" si="2"/>
        <v/>
      </c>
      <c r="J570" s="191"/>
      <c r="K570" s="191" t="str">
        <f t="shared" si="3"/>
        <v/>
      </c>
      <c r="L570" s="187"/>
      <c r="M570" s="192" t="str">
        <f t="shared" si="4"/>
        <v/>
      </c>
      <c r="N570" s="185" t="str">
        <f t="shared" si="5"/>
        <v/>
      </c>
    </row>
    <row r="571" ht="15.75" customHeight="1">
      <c r="A571" s="186"/>
      <c r="B571" s="187"/>
      <c r="C571" s="187"/>
      <c r="D571" s="188" t="str">
        <f>IF(C571="","",IFERROR(VLOOKUP(C571,Inventory!$A:$B,2,FALSE),""))</f>
        <v/>
      </c>
      <c r="E571" s="188" t="str">
        <f>IF(C571="","",IFERROR(VLOOKUP(C571,Inventory!$A:$C,3,FALSE),""))</f>
        <v/>
      </c>
      <c r="F571" s="187"/>
      <c r="G571" s="180" t="str">
        <f>IF(C571="","",IFERROR(VLOOKUP(C571,Inventory!$A:$I,9,FALSE),0))</f>
        <v/>
      </c>
      <c r="H571" s="189" t="str">
        <f t="shared" si="1"/>
        <v/>
      </c>
      <c r="I571" s="190" t="str">
        <f t="shared" si="2"/>
        <v/>
      </c>
      <c r="J571" s="191"/>
      <c r="K571" s="191" t="str">
        <f t="shared" si="3"/>
        <v/>
      </c>
      <c r="L571" s="187"/>
      <c r="M571" s="192" t="str">
        <f t="shared" si="4"/>
        <v/>
      </c>
      <c r="N571" s="185" t="str">
        <f t="shared" si="5"/>
        <v/>
      </c>
    </row>
    <row r="572" ht="15.75" customHeight="1">
      <c r="A572" s="186"/>
      <c r="B572" s="187"/>
      <c r="C572" s="187"/>
      <c r="D572" s="188" t="str">
        <f>IF(C572="","",IFERROR(VLOOKUP(C572,Inventory!$A:$B,2,FALSE),""))</f>
        <v/>
      </c>
      <c r="E572" s="188" t="str">
        <f>IF(C572="","",IFERROR(VLOOKUP(C572,Inventory!$A:$C,3,FALSE),""))</f>
        <v/>
      </c>
      <c r="F572" s="187"/>
      <c r="G572" s="180" t="str">
        <f>IF(C572="","",IFERROR(VLOOKUP(C572,Inventory!$A:$I,9,FALSE),0))</f>
        <v/>
      </c>
      <c r="H572" s="189" t="str">
        <f t="shared" si="1"/>
        <v/>
      </c>
      <c r="I572" s="190" t="str">
        <f t="shared" si="2"/>
        <v/>
      </c>
      <c r="J572" s="191"/>
      <c r="K572" s="191" t="str">
        <f t="shared" si="3"/>
        <v/>
      </c>
      <c r="L572" s="187"/>
      <c r="M572" s="192" t="str">
        <f t="shared" si="4"/>
        <v/>
      </c>
      <c r="N572" s="185" t="str">
        <f t="shared" si="5"/>
        <v/>
      </c>
    </row>
    <row r="573" ht="15.75" customHeight="1">
      <c r="A573" s="186"/>
      <c r="B573" s="187"/>
      <c r="C573" s="187"/>
      <c r="D573" s="188" t="str">
        <f>IF(C573="","",IFERROR(VLOOKUP(C573,Inventory!$A:$B,2,FALSE),""))</f>
        <v/>
      </c>
      <c r="E573" s="188" t="str">
        <f>IF(C573="","",IFERROR(VLOOKUP(C573,Inventory!$A:$C,3,FALSE),""))</f>
        <v/>
      </c>
      <c r="F573" s="187"/>
      <c r="G573" s="180" t="str">
        <f>IF(C573="","",IFERROR(VLOOKUP(C573,Inventory!$A:$I,9,FALSE),0))</f>
        <v/>
      </c>
      <c r="H573" s="189" t="str">
        <f t="shared" si="1"/>
        <v/>
      </c>
      <c r="I573" s="190" t="str">
        <f t="shared" si="2"/>
        <v/>
      </c>
      <c r="J573" s="191"/>
      <c r="K573" s="191" t="str">
        <f t="shared" si="3"/>
        <v/>
      </c>
      <c r="L573" s="187"/>
      <c r="M573" s="192" t="str">
        <f t="shared" si="4"/>
        <v/>
      </c>
      <c r="N573" s="185" t="str">
        <f t="shared" si="5"/>
        <v/>
      </c>
    </row>
    <row r="574" ht="15.75" customHeight="1">
      <c r="A574" s="186"/>
      <c r="B574" s="187"/>
      <c r="C574" s="187"/>
      <c r="D574" s="188" t="str">
        <f>IF(C574="","",IFERROR(VLOOKUP(C574,Inventory!$A:$B,2,FALSE),""))</f>
        <v/>
      </c>
      <c r="E574" s="188" t="str">
        <f>IF(C574="","",IFERROR(VLOOKUP(C574,Inventory!$A:$C,3,FALSE),""))</f>
        <v/>
      </c>
      <c r="F574" s="187"/>
      <c r="G574" s="180" t="str">
        <f>IF(C574="","",IFERROR(VLOOKUP(C574,Inventory!$A:$I,9,FALSE),0))</f>
        <v/>
      </c>
      <c r="H574" s="189" t="str">
        <f t="shared" si="1"/>
        <v/>
      </c>
      <c r="I574" s="190" t="str">
        <f t="shared" si="2"/>
        <v/>
      </c>
      <c r="J574" s="191"/>
      <c r="K574" s="191" t="str">
        <f t="shared" si="3"/>
        <v/>
      </c>
      <c r="L574" s="187"/>
      <c r="M574" s="192" t="str">
        <f t="shared" si="4"/>
        <v/>
      </c>
      <c r="N574" s="185" t="str">
        <f t="shared" si="5"/>
        <v/>
      </c>
    </row>
    <row r="575" ht="15.75" customHeight="1">
      <c r="A575" s="186"/>
      <c r="B575" s="187"/>
      <c r="C575" s="187"/>
      <c r="D575" s="188" t="str">
        <f>IF(C575="","",IFERROR(VLOOKUP(C575,Inventory!$A:$B,2,FALSE),""))</f>
        <v/>
      </c>
      <c r="E575" s="188" t="str">
        <f>IF(C575="","",IFERROR(VLOOKUP(C575,Inventory!$A:$C,3,FALSE),""))</f>
        <v/>
      </c>
      <c r="F575" s="187"/>
      <c r="G575" s="180" t="str">
        <f>IF(C575="","",IFERROR(VLOOKUP(C575,Inventory!$A:$I,9,FALSE),0))</f>
        <v/>
      </c>
      <c r="H575" s="189" t="str">
        <f t="shared" si="1"/>
        <v/>
      </c>
      <c r="I575" s="190" t="str">
        <f t="shared" si="2"/>
        <v/>
      </c>
      <c r="J575" s="191"/>
      <c r="K575" s="191" t="str">
        <f t="shared" si="3"/>
        <v/>
      </c>
      <c r="L575" s="187"/>
      <c r="M575" s="192" t="str">
        <f t="shared" si="4"/>
        <v/>
      </c>
      <c r="N575" s="185" t="str">
        <f t="shared" si="5"/>
        <v/>
      </c>
    </row>
    <row r="576" ht="15.75" customHeight="1">
      <c r="A576" s="186"/>
      <c r="B576" s="187"/>
      <c r="C576" s="187"/>
      <c r="D576" s="188" t="str">
        <f>IF(C576="","",IFERROR(VLOOKUP(C576,Inventory!$A:$B,2,FALSE),""))</f>
        <v/>
      </c>
      <c r="E576" s="188" t="str">
        <f>IF(C576="","",IFERROR(VLOOKUP(C576,Inventory!$A:$C,3,FALSE),""))</f>
        <v/>
      </c>
      <c r="F576" s="187"/>
      <c r="G576" s="180" t="str">
        <f>IF(C576="","",IFERROR(VLOOKUP(C576,Inventory!$A:$I,9,FALSE),0))</f>
        <v/>
      </c>
      <c r="H576" s="189" t="str">
        <f t="shared" si="1"/>
        <v/>
      </c>
      <c r="I576" s="190" t="str">
        <f t="shared" si="2"/>
        <v/>
      </c>
      <c r="J576" s="191"/>
      <c r="K576" s="191" t="str">
        <f t="shared" si="3"/>
        <v/>
      </c>
      <c r="L576" s="187"/>
      <c r="M576" s="192" t="str">
        <f t="shared" si="4"/>
        <v/>
      </c>
      <c r="N576" s="185" t="str">
        <f t="shared" si="5"/>
        <v/>
      </c>
    </row>
    <row r="577" ht="15.75" customHeight="1">
      <c r="A577" s="186"/>
      <c r="B577" s="187"/>
      <c r="C577" s="187"/>
      <c r="D577" s="188" t="str">
        <f>IF(C577="","",IFERROR(VLOOKUP(C577,Inventory!$A:$B,2,FALSE),""))</f>
        <v/>
      </c>
      <c r="E577" s="188" t="str">
        <f>IF(C577="","",IFERROR(VLOOKUP(C577,Inventory!$A:$C,3,FALSE),""))</f>
        <v/>
      </c>
      <c r="F577" s="187"/>
      <c r="G577" s="180" t="str">
        <f>IF(C577="","",IFERROR(VLOOKUP(C577,Inventory!$A:$I,9,FALSE),0))</f>
        <v/>
      </c>
      <c r="H577" s="189" t="str">
        <f t="shared" si="1"/>
        <v/>
      </c>
      <c r="I577" s="190" t="str">
        <f t="shared" si="2"/>
        <v/>
      </c>
      <c r="J577" s="191"/>
      <c r="K577" s="191" t="str">
        <f t="shared" si="3"/>
        <v/>
      </c>
      <c r="L577" s="187"/>
      <c r="M577" s="192" t="str">
        <f t="shared" si="4"/>
        <v/>
      </c>
      <c r="N577" s="185" t="str">
        <f t="shared" si="5"/>
        <v/>
      </c>
    </row>
    <row r="578" ht="15.75" customHeight="1">
      <c r="A578" s="186"/>
      <c r="B578" s="187"/>
      <c r="C578" s="187"/>
      <c r="D578" s="188" t="str">
        <f>IF(C578="","",IFERROR(VLOOKUP(C578,Inventory!$A:$B,2,FALSE),""))</f>
        <v/>
      </c>
      <c r="E578" s="188" t="str">
        <f>IF(C578="","",IFERROR(VLOOKUP(C578,Inventory!$A:$C,3,FALSE),""))</f>
        <v/>
      </c>
      <c r="F578" s="187"/>
      <c r="G578" s="180" t="str">
        <f>IF(C578="","",IFERROR(VLOOKUP(C578,Inventory!$A:$I,9,FALSE),0))</f>
        <v/>
      </c>
      <c r="H578" s="189" t="str">
        <f t="shared" si="1"/>
        <v/>
      </c>
      <c r="I578" s="190" t="str">
        <f t="shared" si="2"/>
        <v/>
      </c>
      <c r="J578" s="191"/>
      <c r="K578" s="191" t="str">
        <f t="shared" si="3"/>
        <v/>
      </c>
      <c r="L578" s="187"/>
      <c r="M578" s="192" t="str">
        <f t="shared" si="4"/>
        <v/>
      </c>
      <c r="N578" s="185" t="str">
        <f t="shared" si="5"/>
        <v/>
      </c>
    </row>
    <row r="579" ht="15.75" customHeight="1">
      <c r="A579" s="186"/>
      <c r="B579" s="187"/>
      <c r="C579" s="187"/>
      <c r="D579" s="188" t="str">
        <f>IF(C579="","",IFERROR(VLOOKUP(C579,Inventory!$A:$B,2,FALSE),""))</f>
        <v/>
      </c>
      <c r="E579" s="188" t="str">
        <f>IF(C579="","",IFERROR(VLOOKUP(C579,Inventory!$A:$C,3,FALSE),""))</f>
        <v/>
      </c>
      <c r="F579" s="187"/>
      <c r="G579" s="180" t="str">
        <f>IF(C579="","",IFERROR(VLOOKUP(C579,Inventory!$A:$I,9,FALSE),0))</f>
        <v/>
      </c>
      <c r="H579" s="189" t="str">
        <f t="shared" si="1"/>
        <v/>
      </c>
      <c r="I579" s="190" t="str">
        <f t="shared" si="2"/>
        <v/>
      </c>
      <c r="J579" s="191"/>
      <c r="K579" s="191" t="str">
        <f t="shared" si="3"/>
        <v/>
      </c>
      <c r="L579" s="187"/>
      <c r="M579" s="192" t="str">
        <f t="shared" si="4"/>
        <v/>
      </c>
      <c r="N579" s="185" t="str">
        <f t="shared" si="5"/>
        <v/>
      </c>
    </row>
    <row r="580" ht="15.75" customHeight="1">
      <c r="A580" s="186"/>
      <c r="B580" s="187"/>
      <c r="C580" s="187"/>
      <c r="D580" s="188" t="str">
        <f>IF(C580="","",IFERROR(VLOOKUP(C580,Inventory!$A:$B,2,FALSE),""))</f>
        <v/>
      </c>
      <c r="E580" s="188" t="str">
        <f>IF(C580="","",IFERROR(VLOOKUP(C580,Inventory!$A:$C,3,FALSE),""))</f>
        <v/>
      </c>
      <c r="F580" s="187"/>
      <c r="G580" s="180" t="str">
        <f>IF(C580="","",IFERROR(VLOOKUP(C580,Inventory!$A:$I,9,FALSE),0))</f>
        <v/>
      </c>
      <c r="H580" s="189" t="str">
        <f t="shared" si="1"/>
        <v/>
      </c>
      <c r="I580" s="190" t="str">
        <f t="shared" si="2"/>
        <v/>
      </c>
      <c r="J580" s="191"/>
      <c r="K580" s="191" t="str">
        <f t="shared" si="3"/>
        <v/>
      </c>
      <c r="L580" s="187"/>
      <c r="M580" s="192" t="str">
        <f t="shared" si="4"/>
        <v/>
      </c>
      <c r="N580" s="185" t="str">
        <f t="shared" si="5"/>
        <v/>
      </c>
    </row>
    <row r="581" ht="15.75" customHeight="1">
      <c r="A581" s="186"/>
      <c r="B581" s="187"/>
      <c r="C581" s="187"/>
      <c r="D581" s="188" t="str">
        <f>IF(C581="","",IFERROR(VLOOKUP(C581,Inventory!$A:$B,2,FALSE),""))</f>
        <v/>
      </c>
      <c r="E581" s="188" t="str">
        <f>IF(C581="","",IFERROR(VLOOKUP(C581,Inventory!$A:$C,3,FALSE),""))</f>
        <v/>
      </c>
      <c r="F581" s="187"/>
      <c r="G581" s="180" t="str">
        <f>IF(C581="","",IFERROR(VLOOKUP(C581,Inventory!$A:$I,9,FALSE),0))</f>
        <v/>
      </c>
      <c r="H581" s="189" t="str">
        <f t="shared" si="1"/>
        <v/>
      </c>
      <c r="I581" s="190" t="str">
        <f t="shared" si="2"/>
        <v/>
      </c>
      <c r="J581" s="191"/>
      <c r="K581" s="191" t="str">
        <f t="shared" si="3"/>
        <v/>
      </c>
      <c r="L581" s="187"/>
      <c r="M581" s="192" t="str">
        <f t="shared" si="4"/>
        <v/>
      </c>
      <c r="N581" s="185" t="str">
        <f t="shared" si="5"/>
        <v/>
      </c>
    </row>
    <row r="582" ht="15.75" customHeight="1">
      <c r="A582" s="186"/>
      <c r="B582" s="187"/>
      <c r="C582" s="187"/>
      <c r="D582" s="188" t="str">
        <f>IF(C582="","",IFERROR(VLOOKUP(C582,Inventory!$A:$B,2,FALSE),""))</f>
        <v/>
      </c>
      <c r="E582" s="188" t="str">
        <f>IF(C582="","",IFERROR(VLOOKUP(C582,Inventory!$A:$C,3,FALSE),""))</f>
        <v/>
      </c>
      <c r="F582" s="187"/>
      <c r="G582" s="180" t="str">
        <f>IF(C582="","",IFERROR(VLOOKUP(C582,Inventory!$A:$I,9,FALSE),0))</f>
        <v/>
      </c>
      <c r="H582" s="189" t="str">
        <f t="shared" si="1"/>
        <v/>
      </c>
      <c r="I582" s="190" t="str">
        <f t="shared" si="2"/>
        <v/>
      </c>
      <c r="J582" s="191"/>
      <c r="K582" s="191" t="str">
        <f t="shared" si="3"/>
        <v/>
      </c>
      <c r="L582" s="187"/>
      <c r="M582" s="192" t="str">
        <f t="shared" si="4"/>
        <v/>
      </c>
      <c r="N582" s="185" t="str">
        <f t="shared" si="5"/>
        <v/>
      </c>
    </row>
    <row r="583" ht="15.75" customHeight="1">
      <c r="A583" s="186"/>
      <c r="B583" s="187"/>
      <c r="C583" s="187"/>
      <c r="D583" s="188" t="str">
        <f>IF(C583="","",IFERROR(VLOOKUP(C583,Inventory!$A:$B,2,FALSE),""))</f>
        <v/>
      </c>
      <c r="E583" s="188" t="str">
        <f>IF(C583="","",IFERROR(VLOOKUP(C583,Inventory!$A:$C,3,FALSE),""))</f>
        <v/>
      </c>
      <c r="F583" s="187"/>
      <c r="G583" s="180" t="str">
        <f>IF(C583="","",IFERROR(VLOOKUP(C583,Inventory!$A:$I,9,FALSE),0))</f>
        <v/>
      </c>
      <c r="H583" s="189" t="str">
        <f t="shared" si="1"/>
        <v/>
      </c>
      <c r="I583" s="190" t="str">
        <f t="shared" si="2"/>
        <v/>
      </c>
      <c r="J583" s="191"/>
      <c r="K583" s="191" t="str">
        <f t="shared" si="3"/>
        <v/>
      </c>
      <c r="L583" s="187"/>
      <c r="M583" s="192" t="str">
        <f t="shared" si="4"/>
        <v/>
      </c>
      <c r="N583" s="185" t="str">
        <f t="shared" si="5"/>
        <v/>
      </c>
    </row>
    <row r="584" ht="15.75" customHeight="1">
      <c r="A584" s="186"/>
      <c r="B584" s="187"/>
      <c r="C584" s="187"/>
      <c r="D584" s="188" t="str">
        <f>IF(C584="","",IFERROR(VLOOKUP(C584,Inventory!$A:$B,2,FALSE),""))</f>
        <v/>
      </c>
      <c r="E584" s="188" t="str">
        <f>IF(C584="","",IFERROR(VLOOKUP(C584,Inventory!$A:$C,3,FALSE),""))</f>
        <v/>
      </c>
      <c r="F584" s="187"/>
      <c r="G584" s="180" t="str">
        <f>IF(C584="","",IFERROR(VLOOKUP(C584,Inventory!$A:$I,9,FALSE),0))</f>
        <v/>
      </c>
      <c r="H584" s="189" t="str">
        <f t="shared" si="1"/>
        <v/>
      </c>
      <c r="I584" s="190" t="str">
        <f t="shared" si="2"/>
        <v/>
      </c>
      <c r="J584" s="191"/>
      <c r="K584" s="191" t="str">
        <f t="shared" si="3"/>
        <v/>
      </c>
      <c r="L584" s="187"/>
      <c r="M584" s="192" t="str">
        <f t="shared" si="4"/>
        <v/>
      </c>
      <c r="N584" s="185" t="str">
        <f t="shared" si="5"/>
        <v/>
      </c>
    </row>
    <row r="585" ht="15.75" customHeight="1">
      <c r="A585" s="186"/>
      <c r="B585" s="187"/>
      <c r="C585" s="187"/>
      <c r="D585" s="188" t="str">
        <f>IF(C585="","",IFERROR(VLOOKUP(C585,Inventory!$A:$B,2,FALSE),""))</f>
        <v/>
      </c>
      <c r="E585" s="188" t="str">
        <f>IF(C585="","",IFERROR(VLOOKUP(C585,Inventory!$A:$C,3,FALSE),""))</f>
        <v/>
      </c>
      <c r="F585" s="187"/>
      <c r="G585" s="180" t="str">
        <f>IF(C585="","",IFERROR(VLOOKUP(C585,Inventory!$A:$I,9,FALSE),0))</f>
        <v/>
      </c>
      <c r="H585" s="189" t="str">
        <f t="shared" si="1"/>
        <v/>
      </c>
      <c r="I585" s="190" t="str">
        <f t="shared" si="2"/>
        <v/>
      </c>
      <c r="J585" s="191"/>
      <c r="K585" s="191" t="str">
        <f t="shared" si="3"/>
        <v/>
      </c>
      <c r="L585" s="187"/>
      <c r="M585" s="192" t="str">
        <f t="shared" si="4"/>
        <v/>
      </c>
      <c r="N585" s="185" t="str">
        <f t="shared" si="5"/>
        <v/>
      </c>
    </row>
    <row r="586" ht="15.75" customHeight="1">
      <c r="A586" s="186"/>
      <c r="B586" s="187"/>
      <c r="C586" s="187"/>
      <c r="D586" s="188" t="str">
        <f>IF(C586="","",IFERROR(VLOOKUP(C586,Inventory!$A:$B,2,FALSE),""))</f>
        <v/>
      </c>
      <c r="E586" s="188" t="str">
        <f>IF(C586="","",IFERROR(VLOOKUP(C586,Inventory!$A:$C,3,FALSE),""))</f>
        <v/>
      </c>
      <c r="F586" s="187"/>
      <c r="G586" s="180" t="str">
        <f>IF(C586="","",IFERROR(VLOOKUP(C586,Inventory!$A:$I,9,FALSE),0))</f>
        <v/>
      </c>
      <c r="H586" s="189" t="str">
        <f t="shared" si="1"/>
        <v/>
      </c>
      <c r="I586" s="190" t="str">
        <f t="shared" si="2"/>
        <v/>
      </c>
      <c r="J586" s="191"/>
      <c r="K586" s="191" t="str">
        <f t="shared" si="3"/>
        <v/>
      </c>
      <c r="L586" s="187"/>
      <c r="M586" s="192" t="str">
        <f t="shared" si="4"/>
        <v/>
      </c>
      <c r="N586" s="185" t="str">
        <f t="shared" si="5"/>
        <v/>
      </c>
    </row>
    <row r="587" ht="15.75" customHeight="1">
      <c r="A587" s="186"/>
      <c r="B587" s="187"/>
      <c r="C587" s="187"/>
      <c r="D587" s="188" t="str">
        <f>IF(C587="","",IFERROR(VLOOKUP(C587,Inventory!$A:$B,2,FALSE),""))</f>
        <v/>
      </c>
      <c r="E587" s="188" t="str">
        <f>IF(C587="","",IFERROR(VLOOKUP(C587,Inventory!$A:$C,3,FALSE),""))</f>
        <v/>
      </c>
      <c r="F587" s="187"/>
      <c r="G587" s="180" t="str">
        <f>IF(C587="","",IFERROR(VLOOKUP(C587,Inventory!$A:$I,9,FALSE),0))</f>
        <v/>
      </c>
      <c r="H587" s="189" t="str">
        <f t="shared" si="1"/>
        <v/>
      </c>
      <c r="I587" s="190" t="str">
        <f t="shared" si="2"/>
        <v/>
      </c>
      <c r="J587" s="191"/>
      <c r="K587" s="191" t="str">
        <f t="shared" si="3"/>
        <v/>
      </c>
      <c r="L587" s="187"/>
      <c r="M587" s="192" t="str">
        <f t="shared" si="4"/>
        <v/>
      </c>
      <c r="N587" s="185" t="str">
        <f t="shared" si="5"/>
        <v/>
      </c>
    </row>
    <row r="588" ht="15.75" customHeight="1">
      <c r="A588" s="186"/>
      <c r="B588" s="187"/>
      <c r="C588" s="187"/>
      <c r="D588" s="188" t="str">
        <f>IF(C588="","",IFERROR(VLOOKUP(C588,Inventory!$A:$B,2,FALSE),""))</f>
        <v/>
      </c>
      <c r="E588" s="188" t="str">
        <f>IF(C588="","",IFERROR(VLOOKUP(C588,Inventory!$A:$C,3,FALSE),""))</f>
        <v/>
      </c>
      <c r="F588" s="187"/>
      <c r="G588" s="180" t="str">
        <f>IF(C588="","",IFERROR(VLOOKUP(C588,Inventory!$A:$I,9,FALSE),0))</f>
        <v/>
      </c>
      <c r="H588" s="189" t="str">
        <f t="shared" si="1"/>
        <v/>
      </c>
      <c r="I588" s="190" t="str">
        <f t="shared" si="2"/>
        <v/>
      </c>
      <c r="J588" s="191"/>
      <c r="K588" s="191" t="str">
        <f t="shared" si="3"/>
        <v/>
      </c>
      <c r="L588" s="187"/>
      <c r="M588" s="192" t="str">
        <f t="shared" si="4"/>
        <v/>
      </c>
      <c r="N588" s="185" t="str">
        <f t="shared" si="5"/>
        <v/>
      </c>
    </row>
    <row r="589" ht="15.75" customHeight="1">
      <c r="A589" s="186"/>
      <c r="B589" s="187"/>
      <c r="C589" s="187"/>
      <c r="D589" s="188" t="str">
        <f>IF(C589="","",IFERROR(VLOOKUP(C589,Inventory!$A:$B,2,FALSE),""))</f>
        <v/>
      </c>
      <c r="E589" s="188" t="str">
        <f>IF(C589="","",IFERROR(VLOOKUP(C589,Inventory!$A:$C,3,FALSE),""))</f>
        <v/>
      </c>
      <c r="F589" s="187"/>
      <c r="G589" s="180" t="str">
        <f>IF(C589="","",IFERROR(VLOOKUP(C589,Inventory!$A:$I,9,FALSE),0))</f>
        <v/>
      </c>
      <c r="H589" s="189" t="str">
        <f t="shared" si="1"/>
        <v/>
      </c>
      <c r="I589" s="190" t="str">
        <f t="shared" si="2"/>
        <v/>
      </c>
      <c r="J589" s="191"/>
      <c r="K589" s="191" t="str">
        <f t="shared" si="3"/>
        <v/>
      </c>
      <c r="L589" s="187"/>
      <c r="M589" s="192" t="str">
        <f t="shared" si="4"/>
        <v/>
      </c>
      <c r="N589" s="185" t="str">
        <f t="shared" si="5"/>
        <v/>
      </c>
    </row>
    <row r="590" ht="15.75" customHeight="1">
      <c r="A590" s="186"/>
      <c r="B590" s="187"/>
      <c r="C590" s="187"/>
      <c r="D590" s="188" t="str">
        <f>IF(C590="","",IFERROR(VLOOKUP(C590,Inventory!$A:$B,2,FALSE),""))</f>
        <v/>
      </c>
      <c r="E590" s="188" t="str">
        <f>IF(C590="","",IFERROR(VLOOKUP(C590,Inventory!$A:$C,3,FALSE),""))</f>
        <v/>
      </c>
      <c r="F590" s="187"/>
      <c r="G590" s="180" t="str">
        <f>IF(C590="","",IFERROR(VLOOKUP(C590,Inventory!$A:$I,9,FALSE),0))</f>
        <v/>
      </c>
      <c r="H590" s="189" t="str">
        <f t="shared" si="1"/>
        <v/>
      </c>
      <c r="I590" s="190" t="str">
        <f t="shared" si="2"/>
        <v/>
      </c>
      <c r="J590" s="191"/>
      <c r="K590" s="191" t="str">
        <f t="shared" si="3"/>
        <v/>
      </c>
      <c r="L590" s="187"/>
      <c r="M590" s="192" t="str">
        <f t="shared" si="4"/>
        <v/>
      </c>
      <c r="N590" s="185" t="str">
        <f t="shared" si="5"/>
        <v/>
      </c>
    </row>
    <row r="591" ht="15.75" customHeight="1">
      <c r="A591" s="186"/>
      <c r="B591" s="187"/>
      <c r="C591" s="187"/>
      <c r="D591" s="188" t="str">
        <f>IF(C591="","",IFERROR(VLOOKUP(C591,Inventory!$A:$B,2,FALSE),""))</f>
        <v/>
      </c>
      <c r="E591" s="188" t="str">
        <f>IF(C591="","",IFERROR(VLOOKUP(C591,Inventory!$A:$C,3,FALSE),""))</f>
        <v/>
      </c>
      <c r="F591" s="187"/>
      <c r="G591" s="180" t="str">
        <f>IF(C591="","",IFERROR(VLOOKUP(C591,Inventory!$A:$I,9,FALSE),0))</f>
        <v/>
      </c>
      <c r="H591" s="189" t="str">
        <f t="shared" si="1"/>
        <v/>
      </c>
      <c r="I591" s="190" t="str">
        <f t="shared" si="2"/>
        <v/>
      </c>
      <c r="J591" s="191"/>
      <c r="K591" s="191" t="str">
        <f t="shared" si="3"/>
        <v/>
      </c>
      <c r="L591" s="187"/>
      <c r="M591" s="192" t="str">
        <f t="shared" si="4"/>
        <v/>
      </c>
      <c r="N591" s="185" t="str">
        <f t="shared" si="5"/>
        <v/>
      </c>
    </row>
    <row r="592" ht="15.75" customHeight="1">
      <c r="A592" s="186"/>
      <c r="B592" s="187"/>
      <c r="C592" s="187"/>
      <c r="D592" s="188" t="str">
        <f>IF(C592="","",IFERROR(VLOOKUP(C592,Inventory!$A:$B,2,FALSE),""))</f>
        <v/>
      </c>
      <c r="E592" s="188" t="str">
        <f>IF(C592="","",IFERROR(VLOOKUP(C592,Inventory!$A:$C,3,FALSE),""))</f>
        <v/>
      </c>
      <c r="F592" s="187"/>
      <c r="G592" s="180" t="str">
        <f>IF(C592="","",IFERROR(VLOOKUP(C592,Inventory!$A:$I,9,FALSE),0))</f>
        <v/>
      </c>
      <c r="H592" s="189" t="str">
        <f t="shared" si="1"/>
        <v/>
      </c>
      <c r="I592" s="190" t="str">
        <f t="shared" si="2"/>
        <v/>
      </c>
      <c r="J592" s="191"/>
      <c r="K592" s="191" t="str">
        <f t="shared" si="3"/>
        <v/>
      </c>
      <c r="L592" s="187"/>
      <c r="M592" s="192" t="str">
        <f t="shared" si="4"/>
        <v/>
      </c>
      <c r="N592" s="185" t="str">
        <f t="shared" si="5"/>
        <v/>
      </c>
    </row>
    <row r="593" ht="15.75" customHeight="1">
      <c r="A593" s="186"/>
      <c r="B593" s="187"/>
      <c r="C593" s="187"/>
      <c r="D593" s="188" t="str">
        <f>IF(C593="","",IFERROR(VLOOKUP(C593,Inventory!$A:$B,2,FALSE),""))</f>
        <v/>
      </c>
      <c r="E593" s="188" t="str">
        <f>IF(C593="","",IFERROR(VLOOKUP(C593,Inventory!$A:$C,3,FALSE),""))</f>
        <v/>
      </c>
      <c r="F593" s="187"/>
      <c r="G593" s="180" t="str">
        <f>IF(C593="","",IFERROR(VLOOKUP(C593,Inventory!$A:$I,9,FALSE),0))</f>
        <v/>
      </c>
      <c r="H593" s="189" t="str">
        <f t="shared" si="1"/>
        <v/>
      </c>
      <c r="I593" s="190" t="str">
        <f t="shared" si="2"/>
        <v/>
      </c>
      <c r="J593" s="191"/>
      <c r="K593" s="191" t="str">
        <f t="shared" si="3"/>
        <v/>
      </c>
      <c r="L593" s="187"/>
      <c r="M593" s="192" t="str">
        <f t="shared" si="4"/>
        <v/>
      </c>
      <c r="N593" s="185" t="str">
        <f t="shared" si="5"/>
        <v/>
      </c>
    </row>
    <row r="594" ht="15.75" customHeight="1">
      <c r="A594" s="186"/>
      <c r="B594" s="187"/>
      <c r="C594" s="187"/>
      <c r="D594" s="188" t="str">
        <f>IF(C594="","",IFERROR(VLOOKUP(C594,Inventory!$A:$B,2,FALSE),""))</f>
        <v/>
      </c>
      <c r="E594" s="188" t="str">
        <f>IF(C594="","",IFERROR(VLOOKUP(C594,Inventory!$A:$C,3,FALSE),""))</f>
        <v/>
      </c>
      <c r="F594" s="187"/>
      <c r="G594" s="180" t="str">
        <f>IF(C594="","",IFERROR(VLOOKUP(C594,Inventory!$A:$I,9,FALSE),0))</f>
        <v/>
      </c>
      <c r="H594" s="189" t="str">
        <f t="shared" si="1"/>
        <v/>
      </c>
      <c r="I594" s="190" t="str">
        <f t="shared" si="2"/>
        <v/>
      </c>
      <c r="J594" s="191"/>
      <c r="K594" s="191" t="str">
        <f t="shared" si="3"/>
        <v/>
      </c>
      <c r="L594" s="187"/>
      <c r="M594" s="192" t="str">
        <f t="shared" si="4"/>
        <v/>
      </c>
      <c r="N594" s="185" t="str">
        <f t="shared" si="5"/>
        <v/>
      </c>
    </row>
    <row r="595" ht="15.75" customHeight="1">
      <c r="A595" s="186"/>
      <c r="B595" s="187"/>
      <c r="C595" s="187"/>
      <c r="D595" s="188" t="str">
        <f>IF(C595="","",IFERROR(VLOOKUP(C595,Inventory!$A:$B,2,FALSE),""))</f>
        <v/>
      </c>
      <c r="E595" s="188" t="str">
        <f>IF(C595="","",IFERROR(VLOOKUP(C595,Inventory!$A:$C,3,FALSE),""))</f>
        <v/>
      </c>
      <c r="F595" s="187"/>
      <c r="G595" s="180" t="str">
        <f>IF(C595="","",IFERROR(VLOOKUP(C595,Inventory!$A:$I,9,FALSE),0))</f>
        <v/>
      </c>
      <c r="H595" s="189" t="str">
        <f t="shared" si="1"/>
        <v/>
      </c>
      <c r="I595" s="190" t="str">
        <f t="shared" si="2"/>
        <v/>
      </c>
      <c r="J595" s="191"/>
      <c r="K595" s="191" t="str">
        <f t="shared" si="3"/>
        <v/>
      </c>
      <c r="L595" s="187"/>
      <c r="M595" s="192" t="str">
        <f t="shared" si="4"/>
        <v/>
      </c>
      <c r="N595" s="185" t="str">
        <f t="shared" si="5"/>
        <v/>
      </c>
    </row>
    <row r="596" ht="15.75" customHeight="1">
      <c r="A596" s="186"/>
      <c r="B596" s="187"/>
      <c r="C596" s="187"/>
      <c r="D596" s="188" t="str">
        <f>IF(C596="","",IFERROR(VLOOKUP(C596,Inventory!$A:$B,2,FALSE),""))</f>
        <v/>
      </c>
      <c r="E596" s="188" t="str">
        <f>IF(C596="","",IFERROR(VLOOKUP(C596,Inventory!$A:$C,3,FALSE),""))</f>
        <v/>
      </c>
      <c r="F596" s="187"/>
      <c r="G596" s="180" t="str">
        <f>IF(C596="","",IFERROR(VLOOKUP(C596,Inventory!$A:$I,9,FALSE),0))</f>
        <v/>
      </c>
      <c r="H596" s="189" t="str">
        <f t="shared" si="1"/>
        <v/>
      </c>
      <c r="I596" s="190" t="str">
        <f t="shared" si="2"/>
        <v/>
      </c>
      <c r="J596" s="191"/>
      <c r="K596" s="191" t="str">
        <f t="shared" si="3"/>
        <v/>
      </c>
      <c r="L596" s="187"/>
      <c r="M596" s="192" t="str">
        <f t="shared" si="4"/>
        <v/>
      </c>
      <c r="N596" s="185" t="str">
        <f t="shared" si="5"/>
        <v/>
      </c>
    </row>
    <row r="597" ht="15.75" customHeight="1">
      <c r="A597" s="186"/>
      <c r="B597" s="187"/>
      <c r="C597" s="187"/>
      <c r="D597" s="188" t="str">
        <f>IF(C597="","",IFERROR(VLOOKUP(C597,Inventory!$A:$B,2,FALSE),""))</f>
        <v/>
      </c>
      <c r="E597" s="188" t="str">
        <f>IF(C597="","",IFERROR(VLOOKUP(C597,Inventory!$A:$C,3,FALSE),""))</f>
        <v/>
      </c>
      <c r="F597" s="187"/>
      <c r="G597" s="180" t="str">
        <f>IF(C597="","",IFERROR(VLOOKUP(C597,Inventory!$A:$I,9,FALSE),0))</f>
        <v/>
      </c>
      <c r="H597" s="189" t="str">
        <f t="shared" si="1"/>
        <v/>
      </c>
      <c r="I597" s="190" t="str">
        <f t="shared" si="2"/>
        <v/>
      </c>
      <c r="J597" s="191"/>
      <c r="K597" s="191" t="str">
        <f t="shared" si="3"/>
        <v/>
      </c>
      <c r="L597" s="187"/>
      <c r="M597" s="192" t="str">
        <f t="shared" si="4"/>
        <v/>
      </c>
      <c r="N597" s="185" t="str">
        <f t="shared" si="5"/>
        <v/>
      </c>
    </row>
    <row r="598" ht="15.75" customHeight="1">
      <c r="A598" s="186"/>
      <c r="B598" s="187"/>
      <c r="C598" s="187"/>
      <c r="D598" s="188" t="str">
        <f>IF(C598="","",IFERROR(VLOOKUP(C598,Inventory!$A:$B,2,FALSE),""))</f>
        <v/>
      </c>
      <c r="E598" s="188" t="str">
        <f>IF(C598="","",IFERROR(VLOOKUP(C598,Inventory!$A:$C,3,FALSE),""))</f>
        <v/>
      </c>
      <c r="F598" s="187"/>
      <c r="G598" s="180" t="str">
        <f>IF(C598="","",IFERROR(VLOOKUP(C598,Inventory!$A:$I,9,FALSE),0))</f>
        <v/>
      </c>
      <c r="H598" s="189" t="str">
        <f t="shared" si="1"/>
        <v/>
      </c>
      <c r="I598" s="190" t="str">
        <f t="shared" si="2"/>
        <v/>
      </c>
      <c r="J598" s="191"/>
      <c r="K598" s="191" t="str">
        <f t="shared" si="3"/>
        <v/>
      </c>
      <c r="L598" s="187"/>
      <c r="M598" s="192" t="str">
        <f t="shared" si="4"/>
        <v/>
      </c>
      <c r="N598" s="185" t="str">
        <f t="shared" si="5"/>
        <v/>
      </c>
    </row>
    <row r="599" ht="15.75" customHeight="1">
      <c r="A599" s="186"/>
      <c r="B599" s="187"/>
      <c r="C599" s="187"/>
      <c r="D599" s="188" t="str">
        <f>IF(C599="","",IFERROR(VLOOKUP(C599,Inventory!$A:$B,2,FALSE),""))</f>
        <v/>
      </c>
      <c r="E599" s="188" t="str">
        <f>IF(C599="","",IFERROR(VLOOKUP(C599,Inventory!$A:$C,3,FALSE),""))</f>
        <v/>
      </c>
      <c r="F599" s="187"/>
      <c r="G599" s="180" t="str">
        <f>IF(C599="","",IFERROR(VLOOKUP(C599,Inventory!$A:$I,9,FALSE),0))</f>
        <v/>
      </c>
      <c r="H599" s="189" t="str">
        <f t="shared" si="1"/>
        <v/>
      </c>
      <c r="I599" s="190" t="str">
        <f t="shared" si="2"/>
        <v/>
      </c>
      <c r="J599" s="191"/>
      <c r="K599" s="191" t="str">
        <f t="shared" si="3"/>
        <v/>
      </c>
      <c r="L599" s="187"/>
      <c r="M599" s="192" t="str">
        <f t="shared" si="4"/>
        <v/>
      </c>
      <c r="N599" s="185" t="str">
        <f t="shared" si="5"/>
        <v/>
      </c>
    </row>
    <row r="600" ht="15.75" customHeight="1">
      <c r="A600" s="186"/>
      <c r="B600" s="187"/>
      <c r="C600" s="187"/>
      <c r="D600" s="188" t="str">
        <f>IF(C600="","",IFERROR(VLOOKUP(C600,Inventory!$A:$B,2,FALSE),""))</f>
        <v/>
      </c>
      <c r="E600" s="188" t="str">
        <f>IF(C600="","",IFERROR(VLOOKUP(C600,Inventory!$A:$C,3,FALSE),""))</f>
        <v/>
      </c>
      <c r="F600" s="187"/>
      <c r="G600" s="180" t="str">
        <f>IF(C600="","",IFERROR(VLOOKUP(C600,Inventory!$A:$I,9,FALSE),0))</f>
        <v/>
      </c>
      <c r="H600" s="189" t="str">
        <f t="shared" si="1"/>
        <v/>
      </c>
      <c r="I600" s="190" t="str">
        <f t="shared" si="2"/>
        <v/>
      </c>
      <c r="J600" s="191"/>
      <c r="K600" s="191" t="str">
        <f t="shared" si="3"/>
        <v/>
      </c>
      <c r="L600" s="187"/>
      <c r="M600" s="192" t="str">
        <f t="shared" si="4"/>
        <v/>
      </c>
      <c r="N600" s="185" t="str">
        <f t="shared" si="5"/>
        <v/>
      </c>
    </row>
    <row r="601" ht="15.75" customHeight="1">
      <c r="A601" s="186"/>
      <c r="B601" s="187"/>
      <c r="C601" s="187"/>
      <c r="D601" s="188" t="str">
        <f>IF(C601="","",IFERROR(VLOOKUP(C601,Inventory!$A:$B,2,FALSE),""))</f>
        <v/>
      </c>
      <c r="E601" s="188" t="str">
        <f>IF(C601="","",IFERROR(VLOOKUP(C601,Inventory!$A:$C,3,FALSE),""))</f>
        <v/>
      </c>
      <c r="F601" s="187"/>
      <c r="G601" s="180" t="str">
        <f>IF(C601="","",IFERROR(VLOOKUP(C601,Inventory!$A:$I,9,FALSE),0))</f>
        <v/>
      </c>
      <c r="H601" s="189" t="str">
        <f t="shared" si="1"/>
        <v/>
      </c>
      <c r="I601" s="190" t="str">
        <f t="shared" si="2"/>
        <v/>
      </c>
      <c r="J601" s="191"/>
      <c r="K601" s="191" t="str">
        <f t="shared" si="3"/>
        <v/>
      </c>
      <c r="L601" s="187"/>
      <c r="M601" s="192" t="str">
        <f t="shared" si="4"/>
        <v/>
      </c>
      <c r="N601" s="185" t="str">
        <f t="shared" si="5"/>
        <v/>
      </c>
    </row>
    <row r="602" ht="15.75" customHeight="1">
      <c r="A602" s="186"/>
      <c r="B602" s="187"/>
      <c r="C602" s="187"/>
      <c r="D602" s="188" t="str">
        <f>IF(C602="","",IFERROR(VLOOKUP(C602,Inventory!$A:$B,2,FALSE),""))</f>
        <v/>
      </c>
      <c r="E602" s="188" t="str">
        <f>IF(C602="","",IFERROR(VLOOKUP(C602,Inventory!$A:$C,3,FALSE),""))</f>
        <v/>
      </c>
      <c r="F602" s="187"/>
      <c r="G602" s="180" t="str">
        <f>IF(C602="","",IFERROR(VLOOKUP(C602,Inventory!$A:$I,9,FALSE),0))</f>
        <v/>
      </c>
      <c r="H602" s="189" t="str">
        <f t="shared" si="1"/>
        <v/>
      </c>
      <c r="I602" s="190" t="str">
        <f t="shared" si="2"/>
        <v/>
      </c>
      <c r="J602" s="191"/>
      <c r="K602" s="191" t="str">
        <f t="shared" si="3"/>
        <v/>
      </c>
      <c r="L602" s="187"/>
      <c r="M602" s="192" t="str">
        <f t="shared" si="4"/>
        <v/>
      </c>
      <c r="N602" s="185" t="str">
        <f t="shared" si="5"/>
        <v/>
      </c>
    </row>
    <row r="603" ht="15.75" customHeight="1">
      <c r="A603" s="186"/>
      <c r="B603" s="187"/>
      <c r="C603" s="187"/>
      <c r="D603" s="188" t="str">
        <f>IF(C603="","",IFERROR(VLOOKUP(C603,Inventory!$A:$B,2,FALSE),""))</f>
        <v/>
      </c>
      <c r="E603" s="188" t="str">
        <f>IF(C603="","",IFERROR(VLOOKUP(C603,Inventory!$A:$C,3,FALSE),""))</f>
        <v/>
      </c>
      <c r="F603" s="187"/>
      <c r="G603" s="180" t="str">
        <f>IF(C603="","",IFERROR(VLOOKUP(C603,Inventory!$A:$I,9,FALSE),0))</f>
        <v/>
      </c>
      <c r="H603" s="189" t="str">
        <f t="shared" si="1"/>
        <v/>
      </c>
      <c r="I603" s="190" t="str">
        <f t="shared" si="2"/>
        <v/>
      </c>
      <c r="J603" s="191"/>
      <c r="K603" s="191" t="str">
        <f t="shared" si="3"/>
        <v/>
      </c>
      <c r="L603" s="187"/>
      <c r="M603" s="192" t="str">
        <f t="shared" si="4"/>
        <v/>
      </c>
      <c r="N603" s="185" t="str">
        <f t="shared" si="5"/>
        <v/>
      </c>
    </row>
    <row r="604" ht="15.75" customHeight="1">
      <c r="A604" s="186"/>
      <c r="B604" s="187"/>
      <c r="C604" s="187"/>
      <c r="D604" s="188" t="str">
        <f>IF(C604="","",IFERROR(VLOOKUP(C604,Inventory!$A:$B,2,FALSE),""))</f>
        <v/>
      </c>
      <c r="E604" s="188" t="str">
        <f>IF(C604="","",IFERROR(VLOOKUP(C604,Inventory!$A:$C,3,FALSE),""))</f>
        <v/>
      </c>
      <c r="F604" s="187"/>
      <c r="G604" s="180" t="str">
        <f>IF(C604="","",IFERROR(VLOOKUP(C604,Inventory!$A:$I,9,FALSE),0))</f>
        <v/>
      </c>
      <c r="H604" s="189" t="str">
        <f t="shared" si="1"/>
        <v/>
      </c>
      <c r="I604" s="190" t="str">
        <f t="shared" si="2"/>
        <v/>
      </c>
      <c r="J604" s="191"/>
      <c r="K604" s="191" t="str">
        <f t="shared" si="3"/>
        <v/>
      </c>
      <c r="L604" s="187"/>
      <c r="M604" s="192" t="str">
        <f t="shared" si="4"/>
        <v/>
      </c>
      <c r="N604" s="185" t="str">
        <f t="shared" si="5"/>
        <v/>
      </c>
    </row>
    <row r="605" ht="15.75" customHeight="1">
      <c r="A605" s="186"/>
      <c r="B605" s="187"/>
      <c r="C605" s="187"/>
      <c r="D605" s="188" t="str">
        <f>IF(C605="","",IFERROR(VLOOKUP(C605,Inventory!$A:$B,2,FALSE),""))</f>
        <v/>
      </c>
      <c r="E605" s="188" t="str">
        <f>IF(C605="","",IFERROR(VLOOKUP(C605,Inventory!$A:$C,3,FALSE),""))</f>
        <v/>
      </c>
      <c r="F605" s="187"/>
      <c r="G605" s="180" t="str">
        <f>IF(C605="","",IFERROR(VLOOKUP(C605,Inventory!$A:$I,9,FALSE),0))</f>
        <v/>
      </c>
      <c r="H605" s="189" t="str">
        <f t="shared" si="1"/>
        <v/>
      </c>
      <c r="I605" s="190" t="str">
        <f t="shared" si="2"/>
        <v/>
      </c>
      <c r="J605" s="191"/>
      <c r="K605" s="191" t="str">
        <f t="shared" si="3"/>
        <v/>
      </c>
      <c r="L605" s="187"/>
      <c r="M605" s="192" t="str">
        <f t="shared" si="4"/>
        <v/>
      </c>
      <c r="N605" s="185" t="str">
        <f t="shared" si="5"/>
        <v/>
      </c>
    </row>
    <row r="606" ht="15.75" customHeight="1">
      <c r="A606" s="186"/>
      <c r="B606" s="187"/>
      <c r="C606" s="187"/>
      <c r="D606" s="188" t="str">
        <f>IF(C606="","",IFERROR(VLOOKUP(C606,Inventory!$A:$B,2,FALSE),""))</f>
        <v/>
      </c>
      <c r="E606" s="188" t="str">
        <f>IF(C606="","",IFERROR(VLOOKUP(C606,Inventory!$A:$C,3,FALSE),""))</f>
        <v/>
      </c>
      <c r="F606" s="187"/>
      <c r="G606" s="180" t="str">
        <f>IF(C606="","",IFERROR(VLOOKUP(C606,Inventory!$A:$I,9,FALSE),0))</f>
        <v/>
      </c>
      <c r="H606" s="189" t="str">
        <f t="shared" si="1"/>
        <v/>
      </c>
      <c r="I606" s="190" t="str">
        <f t="shared" si="2"/>
        <v/>
      </c>
      <c r="J606" s="191"/>
      <c r="K606" s="191" t="str">
        <f t="shared" si="3"/>
        <v/>
      </c>
      <c r="L606" s="187"/>
      <c r="M606" s="192" t="str">
        <f t="shared" si="4"/>
        <v/>
      </c>
      <c r="N606" s="185" t="str">
        <f t="shared" si="5"/>
        <v/>
      </c>
    </row>
    <row r="607" ht="15.75" customHeight="1">
      <c r="A607" s="186"/>
      <c r="B607" s="187"/>
      <c r="C607" s="187"/>
      <c r="D607" s="188" t="str">
        <f>IF(C607="","",IFERROR(VLOOKUP(C607,Inventory!$A:$B,2,FALSE),""))</f>
        <v/>
      </c>
      <c r="E607" s="188" t="str">
        <f>IF(C607="","",IFERROR(VLOOKUP(C607,Inventory!$A:$C,3,FALSE),""))</f>
        <v/>
      </c>
      <c r="F607" s="187"/>
      <c r="G607" s="180" t="str">
        <f>IF(C607="","",IFERROR(VLOOKUP(C607,Inventory!$A:$I,9,FALSE),0))</f>
        <v/>
      </c>
      <c r="H607" s="189" t="str">
        <f t="shared" si="1"/>
        <v/>
      </c>
      <c r="I607" s="190" t="str">
        <f t="shared" si="2"/>
        <v/>
      </c>
      <c r="J607" s="191"/>
      <c r="K607" s="191" t="str">
        <f t="shared" si="3"/>
        <v/>
      </c>
      <c r="L607" s="187"/>
      <c r="M607" s="192" t="str">
        <f t="shared" si="4"/>
        <v/>
      </c>
      <c r="N607" s="185" t="str">
        <f t="shared" si="5"/>
        <v/>
      </c>
    </row>
    <row r="608" ht="15.75" customHeight="1">
      <c r="A608" s="186"/>
      <c r="B608" s="187"/>
      <c r="C608" s="187"/>
      <c r="D608" s="188" t="str">
        <f>IF(C608="","",IFERROR(VLOOKUP(C608,Inventory!$A:$B,2,FALSE),""))</f>
        <v/>
      </c>
      <c r="E608" s="188" t="str">
        <f>IF(C608="","",IFERROR(VLOOKUP(C608,Inventory!$A:$C,3,FALSE),""))</f>
        <v/>
      </c>
      <c r="F608" s="187"/>
      <c r="G608" s="180" t="str">
        <f>IF(C608="","",IFERROR(VLOOKUP(C608,Inventory!$A:$I,9,FALSE),0))</f>
        <v/>
      </c>
      <c r="H608" s="189" t="str">
        <f t="shared" si="1"/>
        <v/>
      </c>
      <c r="I608" s="190" t="str">
        <f t="shared" si="2"/>
        <v/>
      </c>
      <c r="J608" s="191"/>
      <c r="K608" s="191" t="str">
        <f t="shared" si="3"/>
        <v/>
      </c>
      <c r="L608" s="187"/>
      <c r="M608" s="192" t="str">
        <f t="shared" si="4"/>
        <v/>
      </c>
      <c r="N608" s="185" t="str">
        <f t="shared" si="5"/>
        <v/>
      </c>
    </row>
    <row r="609" ht="15.75" customHeight="1">
      <c r="A609" s="186"/>
      <c r="B609" s="187"/>
      <c r="C609" s="187"/>
      <c r="D609" s="188" t="str">
        <f>IF(C609="","",IFERROR(VLOOKUP(C609,Inventory!$A:$B,2,FALSE),""))</f>
        <v/>
      </c>
      <c r="E609" s="188" t="str">
        <f>IF(C609="","",IFERROR(VLOOKUP(C609,Inventory!$A:$C,3,FALSE),""))</f>
        <v/>
      </c>
      <c r="F609" s="187"/>
      <c r="G609" s="180" t="str">
        <f>IF(C609="","",IFERROR(VLOOKUP(C609,Inventory!$A:$I,9,FALSE),0))</f>
        <v/>
      </c>
      <c r="H609" s="189" t="str">
        <f t="shared" si="1"/>
        <v/>
      </c>
      <c r="I609" s="190" t="str">
        <f t="shared" si="2"/>
        <v/>
      </c>
      <c r="J609" s="191"/>
      <c r="K609" s="191" t="str">
        <f t="shared" si="3"/>
        <v/>
      </c>
      <c r="L609" s="187"/>
      <c r="M609" s="192" t="str">
        <f t="shared" si="4"/>
        <v/>
      </c>
      <c r="N609" s="185" t="str">
        <f t="shared" si="5"/>
        <v/>
      </c>
    </row>
    <row r="610" ht="15.75" customHeight="1">
      <c r="A610" s="186"/>
      <c r="B610" s="187"/>
      <c r="C610" s="187"/>
      <c r="D610" s="188" t="str">
        <f>IF(C610="","",IFERROR(VLOOKUP(C610,Inventory!$A:$B,2,FALSE),""))</f>
        <v/>
      </c>
      <c r="E610" s="188" t="str">
        <f>IF(C610="","",IFERROR(VLOOKUP(C610,Inventory!$A:$C,3,FALSE),""))</f>
        <v/>
      </c>
      <c r="F610" s="187"/>
      <c r="G610" s="180" t="str">
        <f>IF(C610="","",IFERROR(VLOOKUP(C610,Inventory!$A:$I,9,FALSE),0))</f>
        <v/>
      </c>
      <c r="H610" s="189" t="str">
        <f t="shared" si="1"/>
        <v/>
      </c>
      <c r="I610" s="190" t="str">
        <f t="shared" si="2"/>
        <v/>
      </c>
      <c r="J610" s="191"/>
      <c r="K610" s="191" t="str">
        <f t="shared" si="3"/>
        <v/>
      </c>
      <c r="L610" s="187"/>
      <c r="M610" s="192" t="str">
        <f t="shared" si="4"/>
        <v/>
      </c>
      <c r="N610" s="185" t="str">
        <f t="shared" si="5"/>
        <v/>
      </c>
    </row>
    <row r="611" ht="15.75" customHeight="1">
      <c r="A611" s="186"/>
      <c r="B611" s="187"/>
      <c r="C611" s="187"/>
      <c r="D611" s="188" t="str">
        <f>IF(C611="","",IFERROR(VLOOKUP(C611,Inventory!$A:$B,2,FALSE),""))</f>
        <v/>
      </c>
      <c r="E611" s="188" t="str">
        <f>IF(C611="","",IFERROR(VLOOKUP(C611,Inventory!$A:$C,3,FALSE),""))</f>
        <v/>
      </c>
      <c r="F611" s="187"/>
      <c r="G611" s="180" t="str">
        <f>IF(C611="","",IFERROR(VLOOKUP(C611,Inventory!$A:$I,9,FALSE),0))</f>
        <v/>
      </c>
      <c r="H611" s="189" t="str">
        <f t="shared" si="1"/>
        <v/>
      </c>
      <c r="I611" s="190" t="str">
        <f t="shared" si="2"/>
        <v/>
      </c>
      <c r="J611" s="191"/>
      <c r="K611" s="191" t="str">
        <f t="shared" si="3"/>
        <v/>
      </c>
      <c r="L611" s="187"/>
      <c r="M611" s="192" t="str">
        <f t="shared" si="4"/>
        <v/>
      </c>
      <c r="N611" s="185" t="str">
        <f t="shared" si="5"/>
        <v/>
      </c>
    </row>
    <row r="612" ht="15.75" customHeight="1">
      <c r="A612" s="186"/>
      <c r="B612" s="187"/>
      <c r="C612" s="187"/>
      <c r="D612" s="188" t="str">
        <f>IF(C612="","",IFERROR(VLOOKUP(C612,Inventory!$A:$B,2,FALSE),""))</f>
        <v/>
      </c>
      <c r="E612" s="188" t="str">
        <f>IF(C612="","",IFERROR(VLOOKUP(C612,Inventory!$A:$C,3,FALSE),""))</f>
        <v/>
      </c>
      <c r="F612" s="187"/>
      <c r="G612" s="180" t="str">
        <f>IF(C612="","",IFERROR(VLOOKUP(C612,Inventory!$A:$I,9,FALSE),0))</f>
        <v/>
      </c>
      <c r="H612" s="189" t="str">
        <f t="shared" si="1"/>
        <v/>
      </c>
      <c r="I612" s="190" t="str">
        <f t="shared" si="2"/>
        <v/>
      </c>
      <c r="J612" s="191"/>
      <c r="K612" s="191" t="str">
        <f t="shared" si="3"/>
        <v/>
      </c>
      <c r="L612" s="187"/>
      <c r="M612" s="192" t="str">
        <f t="shared" si="4"/>
        <v/>
      </c>
      <c r="N612" s="185" t="str">
        <f t="shared" si="5"/>
        <v/>
      </c>
    </row>
    <row r="613" ht="15.75" customHeight="1">
      <c r="A613" s="186"/>
      <c r="B613" s="187"/>
      <c r="C613" s="187"/>
      <c r="D613" s="188" t="str">
        <f>IF(C613="","",IFERROR(VLOOKUP(C613,Inventory!$A:$B,2,FALSE),""))</f>
        <v/>
      </c>
      <c r="E613" s="188" t="str">
        <f>IF(C613="","",IFERROR(VLOOKUP(C613,Inventory!$A:$C,3,FALSE),""))</f>
        <v/>
      </c>
      <c r="F613" s="187"/>
      <c r="G613" s="180" t="str">
        <f>IF(C613="","",IFERROR(VLOOKUP(C613,Inventory!$A:$I,9,FALSE),0))</f>
        <v/>
      </c>
      <c r="H613" s="189" t="str">
        <f t="shared" si="1"/>
        <v/>
      </c>
      <c r="I613" s="190" t="str">
        <f t="shared" si="2"/>
        <v/>
      </c>
      <c r="J613" s="191"/>
      <c r="K613" s="191" t="str">
        <f t="shared" si="3"/>
        <v/>
      </c>
      <c r="L613" s="187"/>
      <c r="M613" s="192" t="str">
        <f t="shared" si="4"/>
        <v/>
      </c>
      <c r="N613" s="185" t="str">
        <f t="shared" si="5"/>
        <v/>
      </c>
    </row>
    <row r="614" ht="15.75" customHeight="1">
      <c r="A614" s="186"/>
      <c r="B614" s="187"/>
      <c r="C614" s="187"/>
      <c r="D614" s="188" t="str">
        <f>IF(C614="","",IFERROR(VLOOKUP(C614,Inventory!$A:$B,2,FALSE),""))</f>
        <v/>
      </c>
      <c r="E614" s="188" t="str">
        <f>IF(C614="","",IFERROR(VLOOKUP(C614,Inventory!$A:$C,3,FALSE),""))</f>
        <v/>
      </c>
      <c r="F614" s="187"/>
      <c r="G614" s="180" t="str">
        <f>IF(C614="","",IFERROR(VLOOKUP(C614,Inventory!$A:$I,9,FALSE),0))</f>
        <v/>
      </c>
      <c r="H614" s="189" t="str">
        <f t="shared" si="1"/>
        <v/>
      </c>
      <c r="I614" s="190" t="str">
        <f t="shared" si="2"/>
        <v/>
      </c>
      <c r="J614" s="191"/>
      <c r="K614" s="191" t="str">
        <f t="shared" si="3"/>
        <v/>
      </c>
      <c r="L614" s="187"/>
      <c r="M614" s="192" t="str">
        <f t="shared" si="4"/>
        <v/>
      </c>
      <c r="N614" s="185" t="str">
        <f t="shared" si="5"/>
        <v/>
      </c>
    </row>
    <row r="615" ht="15.75" customHeight="1">
      <c r="A615" s="186"/>
      <c r="B615" s="187"/>
      <c r="C615" s="187"/>
      <c r="D615" s="188" t="str">
        <f>IF(C615="","",IFERROR(VLOOKUP(C615,Inventory!$A:$B,2,FALSE),""))</f>
        <v/>
      </c>
      <c r="E615" s="188" t="str">
        <f>IF(C615="","",IFERROR(VLOOKUP(C615,Inventory!$A:$C,3,FALSE),""))</f>
        <v/>
      </c>
      <c r="F615" s="187"/>
      <c r="G615" s="180" t="str">
        <f>IF(C615="","",IFERROR(VLOOKUP(C615,Inventory!$A:$I,9,FALSE),0))</f>
        <v/>
      </c>
      <c r="H615" s="189" t="str">
        <f t="shared" si="1"/>
        <v/>
      </c>
      <c r="I615" s="190" t="str">
        <f t="shared" si="2"/>
        <v/>
      </c>
      <c r="J615" s="191"/>
      <c r="K615" s="191" t="str">
        <f t="shared" si="3"/>
        <v/>
      </c>
      <c r="L615" s="187"/>
      <c r="M615" s="192" t="str">
        <f t="shared" si="4"/>
        <v/>
      </c>
      <c r="N615" s="185" t="str">
        <f t="shared" si="5"/>
        <v/>
      </c>
    </row>
    <row r="616" ht="15.75" customHeight="1">
      <c r="A616" s="186"/>
      <c r="B616" s="187"/>
      <c r="C616" s="187"/>
      <c r="D616" s="188" t="str">
        <f>IF(C616="","",IFERROR(VLOOKUP(C616,Inventory!$A:$B,2,FALSE),""))</f>
        <v/>
      </c>
      <c r="E616" s="188" t="str">
        <f>IF(C616="","",IFERROR(VLOOKUP(C616,Inventory!$A:$C,3,FALSE),""))</f>
        <v/>
      </c>
      <c r="F616" s="187"/>
      <c r="G616" s="180" t="str">
        <f>IF(C616="","",IFERROR(VLOOKUP(C616,Inventory!$A:$I,9,FALSE),0))</f>
        <v/>
      </c>
      <c r="H616" s="189" t="str">
        <f t="shared" si="1"/>
        <v/>
      </c>
      <c r="I616" s="190" t="str">
        <f t="shared" si="2"/>
        <v/>
      </c>
      <c r="J616" s="191"/>
      <c r="K616" s="191" t="str">
        <f t="shared" si="3"/>
        <v/>
      </c>
      <c r="L616" s="187"/>
      <c r="M616" s="192" t="str">
        <f t="shared" si="4"/>
        <v/>
      </c>
      <c r="N616" s="185" t="str">
        <f t="shared" si="5"/>
        <v/>
      </c>
    </row>
    <row r="617" ht="15.75" customHeight="1">
      <c r="A617" s="186"/>
      <c r="B617" s="187"/>
      <c r="C617" s="187"/>
      <c r="D617" s="188" t="str">
        <f>IF(C617="","",IFERROR(VLOOKUP(C617,Inventory!$A:$B,2,FALSE),""))</f>
        <v/>
      </c>
      <c r="E617" s="188" t="str">
        <f>IF(C617="","",IFERROR(VLOOKUP(C617,Inventory!$A:$C,3,FALSE),""))</f>
        <v/>
      </c>
      <c r="F617" s="187"/>
      <c r="G617" s="180" t="str">
        <f>IF(C617="","",IFERROR(VLOOKUP(C617,Inventory!$A:$I,9,FALSE),0))</f>
        <v/>
      </c>
      <c r="H617" s="189" t="str">
        <f t="shared" si="1"/>
        <v/>
      </c>
      <c r="I617" s="190" t="str">
        <f t="shared" si="2"/>
        <v/>
      </c>
      <c r="J617" s="191"/>
      <c r="K617" s="191" t="str">
        <f t="shared" si="3"/>
        <v/>
      </c>
      <c r="L617" s="187"/>
      <c r="M617" s="192" t="str">
        <f t="shared" si="4"/>
        <v/>
      </c>
      <c r="N617" s="185" t="str">
        <f t="shared" si="5"/>
        <v/>
      </c>
    </row>
    <row r="618" ht="15.75" customHeight="1">
      <c r="A618" s="186"/>
      <c r="B618" s="187"/>
      <c r="C618" s="187"/>
      <c r="D618" s="188" t="str">
        <f>IF(C618="","",IFERROR(VLOOKUP(C618,Inventory!$A:$B,2,FALSE),""))</f>
        <v/>
      </c>
      <c r="E618" s="188" t="str">
        <f>IF(C618="","",IFERROR(VLOOKUP(C618,Inventory!$A:$C,3,FALSE),""))</f>
        <v/>
      </c>
      <c r="F618" s="187"/>
      <c r="G618" s="180" t="str">
        <f>IF(C618="","",IFERROR(VLOOKUP(C618,Inventory!$A:$I,9,FALSE),0))</f>
        <v/>
      </c>
      <c r="H618" s="189" t="str">
        <f t="shared" si="1"/>
        <v/>
      </c>
      <c r="I618" s="190" t="str">
        <f t="shared" si="2"/>
        <v/>
      </c>
      <c r="J618" s="191"/>
      <c r="K618" s="191" t="str">
        <f t="shared" si="3"/>
        <v/>
      </c>
      <c r="L618" s="187"/>
      <c r="M618" s="192" t="str">
        <f t="shared" si="4"/>
        <v/>
      </c>
      <c r="N618" s="185" t="str">
        <f t="shared" si="5"/>
        <v/>
      </c>
    </row>
    <row r="619" ht="15.75" customHeight="1">
      <c r="A619" s="186"/>
      <c r="B619" s="187"/>
      <c r="C619" s="187"/>
      <c r="D619" s="188" t="str">
        <f>IF(C619="","",IFERROR(VLOOKUP(C619,Inventory!$A:$B,2,FALSE),""))</f>
        <v/>
      </c>
      <c r="E619" s="188" t="str">
        <f>IF(C619="","",IFERROR(VLOOKUP(C619,Inventory!$A:$C,3,FALSE),""))</f>
        <v/>
      </c>
      <c r="F619" s="187"/>
      <c r="G619" s="180" t="str">
        <f>IF(C619="","",IFERROR(VLOOKUP(C619,Inventory!$A:$I,9,FALSE),0))</f>
        <v/>
      </c>
      <c r="H619" s="189" t="str">
        <f t="shared" si="1"/>
        <v/>
      </c>
      <c r="I619" s="190" t="str">
        <f t="shared" si="2"/>
        <v/>
      </c>
      <c r="J619" s="191"/>
      <c r="K619" s="191" t="str">
        <f t="shared" si="3"/>
        <v/>
      </c>
      <c r="L619" s="187"/>
      <c r="M619" s="192" t="str">
        <f t="shared" si="4"/>
        <v/>
      </c>
      <c r="N619" s="185" t="str">
        <f t="shared" si="5"/>
        <v/>
      </c>
    </row>
    <row r="620" ht="15.75" customHeight="1">
      <c r="A620" s="186"/>
      <c r="B620" s="187"/>
      <c r="C620" s="187"/>
      <c r="D620" s="188" t="str">
        <f>IF(C620="","",IFERROR(VLOOKUP(C620,Inventory!$A:$B,2,FALSE),""))</f>
        <v/>
      </c>
      <c r="E620" s="188" t="str">
        <f>IF(C620="","",IFERROR(VLOOKUP(C620,Inventory!$A:$C,3,FALSE),""))</f>
        <v/>
      </c>
      <c r="F620" s="187"/>
      <c r="G620" s="180" t="str">
        <f>IF(C620="","",IFERROR(VLOOKUP(C620,Inventory!$A:$I,9,FALSE),0))</f>
        <v/>
      </c>
      <c r="H620" s="189" t="str">
        <f t="shared" si="1"/>
        <v/>
      </c>
      <c r="I620" s="190" t="str">
        <f t="shared" si="2"/>
        <v/>
      </c>
      <c r="J620" s="191"/>
      <c r="K620" s="191" t="str">
        <f t="shared" si="3"/>
        <v/>
      </c>
      <c r="L620" s="187"/>
      <c r="M620" s="192" t="str">
        <f t="shared" si="4"/>
        <v/>
      </c>
      <c r="N620" s="185" t="str">
        <f t="shared" si="5"/>
        <v/>
      </c>
    </row>
    <row r="621" ht="15.75" customHeight="1">
      <c r="A621" s="186"/>
      <c r="B621" s="187"/>
      <c r="C621" s="187"/>
      <c r="D621" s="188" t="str">
        <f>IF(C621="","",IFERROR(VLOOKUP(C621,Inventory!$A:$B,2,FALSE),""))</f>
        <v/>
      </c>
      <c r="E621" s="188" t="str">
        <f>IF(C621="","",IFERROR(VLOOKUP(C621,Inventory!$A:$C,3,FALSE),""))</f>
        <v/>
      </c>
      <c r="F621" s="187"/>
      <c r="G621" s="180" t="str">
        <f>IF(C621="","",IFERROR(VLOOKUP(C621,Inventory!$A:$I,9,FALSE),0))</f>
        <v/>
      </c>
      <c r="H621" s="189" t="str">
        <f t="shared" si="1"/>
        <v/>
      </c>
      <c r="I621" s="190" t="str">
        <f t="shared" si="2"/>
        <v/>
      </c>
      <c r="J621" s="191"/>
      <c r="K621" s="191" t="str">
        <f t="shared" si="3"/>
        <v/>
      </c>
      <c r="L621" s="187"/>
      <c r="M621" s="192" t="str">
        <f t="shared" si="4"/>
        <v/>
      </c>
      <c r="N621" s="185" t="str">
        <f t="shared" si="5"/>
        <v/>
      </c>
    </row>
    <row r="622" ht="15.75" customHeight="1">
      <c r="A622" s="186"/>
      <c r="B622" s="187"/>
      <c r="C622" s="187"/>
      <c r="D622" s="188" t="str">
        <f>IF(C622="","",IFERROR(VLOOKUP(C622,Inventory!$A:$B,2,FALSE),""))</f>
        <v/>
      </c>
      <c r="E622" s="188" t="str">
        <f>IF(C622="","",IFERROR(VLOOKUP(C622,Inventory!$A:$C,3,FALSE),""))</f>
        <v/>
      </c>
      <c r="F622" s="187"/>
      <c r="G622" s="180" t="str">
        <f>IF(C622="","",IFERROR(VLOOKUP(C622,Inventory!$A:$I,9,FALSE),0))</f>
        <v/>
      </c>
      <c r="H622" s="189" t="str">
        <f t="shared" si="1"/>
        <v/>
      </c>
      <c r="I622" s="190" t="str">
        <f t="shared" si="2"/>
        <v/>
      </c>
      <c r="J622" s="191"/>
      <c r="K622" s="191" t="str">
        <f t="shared" si="3"/>
        <v/>
      </c>
      <c r="L622" s="187"/>
      <c r="M622" s="192" t="str">
        <f t="shared" si="4"/>
        <v/>
      </c>
      <c r="N622" s="185" t="str">
        <f t="shared" si="5"/>
        <v/>
      </c>
    </row>
    <row r="623" ht="15.75" customHeight="1">
      <c r="A623" s="186"/>
      <c r="B623" s="187"/>
      <c r="C623" s="187"/>
      <c r="D623" s="188" t="str">
        <f>IF(C623="","",IFERROR(VLOOKUP(C623,Inventory!$A:$B,2,FALSE),""))</f>
        <v/>
      </c>
      <c r="E623" s="188" t="str">
        <f>IF(C623="","",IFERROR(VLOOKUP(C623,Inventory!$A:$C,3,FALSE),""))</f>
        <v/>
      </c>
      <c r="F623" s="187"/>
      <c r="G623" s="180" t="str">
        <f>IF(C623="","",IFERROR(VLOOKUP(C623,Inventory!$A:$I,9,FALSE),0))</f>
        <v/>
      </c>
      <c r="H623" s="189" t="str">
        <f t="shared" si="1"/>
        <v/>
      </c>
      <c r="I623" s="190" t="str">
        <f t="shared" si="2"/>
        <v/>
      </c>
      <c r="J623" s="191"/>
      <c r="K623" s="191" t="str">
        <f t="shared" si="3"/>
        <v/>
      </c>
      <c r="L623" s="187"/>
      <c r="M623" s="192" t="str">
        <f t="shared" si="4"/>
        <v/>
      </c>
      <c r="N623" s="185" t="str">
        <f t="shared" si="5"/>
        <v/>
      </c>
    </row>
    <row r="624" ht="15.75" customHeight="1">
      <c r="A624" s="186"/>
      <c r="B624" s="187"/>
      <c r="C624" s="187"/>
      <c r="D624" s="188" t="str">
        <f>IF(C624="","",IFERROR(VLOOKUP(C624,Inventory!$A:$B,2,FALSE),""))</f>
        <v/>
      </c>
      <c r="E624" s="188" t="str">
        <f>IF(C624="","",IFERROR(VLOOKUP(C624,Inventory!$A:$C,3,FALSE),""))</f>
        <v/>
      </c>
      <c r="F624" s="187"/>
      <c r="G624" s="180" t="str">
        <f>IF(C624="","",IFERROR(VLOOKUP(C624,Inventory!$A:$I,9,FALSE),0))</f>
        <v/>
      </c>
      <c r="H624" s="189" t="str">
        <f t="shared" si="1"/>
        <v/>
      </c>
      <c r="I624" s="190" t="str">
        <f t="shared" si="2"/>
        <v/>
      </c>
      <c r="J624" s="191"/>
      <c r="K624" s="191" t="str">
        <f t="shared" si="3"/>
        <v/>
      </c>
      <c r="L624" s="187"/>
      <c r="M624" s="192" t="str">
        <f t="shared" si="4"/>
        <v/>
      </c>
      <c r="N624" s="185" t="str">
        <f t="shared" si="5"/>
        <v/>
      </c>
    </row>
    <row r="625" ht="15.75" customHeight="1">
      <c r="A625" s="186"/>
      <c r="B625" s="187"/>
      <c r="C625" s="187"/>
      <c r="D625" s="188" t="str">
        <f>IF(C625="","",IFERROR(VLOOKUP(C625,Inventory!$A:$B,2,FALSE),""))</f>
        <v/>
      </c>
      <c r="E625" s="188" t="str">
        <f>IF(C625="","",IFERROR(VLOOKUP(C625,Inventory!$A:$C,3,FALSE),""))</f>
        <v/>
      </c>
      <c r="F625" s="187"/>
      <c r="G625" s="180" t="str">
        <f>IF(C625="","",IFERROR(VLOOKUP(C625,Inventory!$A:$I,9,FALSE),0))</f>
        <v/>
      </c>
      <c r="H625" s="189" t="str">
        <f t="shared" si="1"/>
        <v/>
      </c>
      <c r="I625" s="190" t="str">
        <f t="shared" si="2"/>
        <v/>
      </c>
      <c r="J625" s="191"/>
      <c r="K625" s="191" t="str">
        <f t="shared" si="3"/>
        <v/>
      </c>
      <c r="L625" s="187"/>
      <c r="M625" s="192" t="str">
        <f t="shared" si="4"/>
        <v/>
      </c>
      <c r="N625" s="185" t="str">
        <f t="shared" si="5"/>
        <v/>
      </c>
    </row>
    <row r="626" ht="15.75" customHeight="1">
      <c r="A626" s="186"/>
      <c r="B626" s="187"/>
      <c r="C626" s="187"/>
      <c r="D626" s="188" t="str">
        <f>IF(C626="","",IFERROR(VLOOKUP(C626,Inventory!$A:$B,2,FALSE),""))</f>
        <v/>
      </c>
      <c r="E626" s="188" t="str">
        <f>IF(C626="","",IFERROR(VLOOKUP(C626,Inventory!$A:$C,3,FALSE),""))</f>
        <v/>
      </c>
      <c r="F626" s="187"/>
      <c r="G626" s="180" t="str">
        <f>IF(C626="","",IFERROR(VLOOKUP(C626,Inventory!$A:$I,9,FALSE),0))</f>
        <v/>
      </c>
      <c r="H626" s="189" t="str">
        <f t="shared" si="1"/>
        <v/>
      </c>
      <c r="I626" s="190" t="str">
        <f t="shared" si="2"/>
        <v/>
      </c>
      <c r="J626" s="191"/>
      <c r="K626" s="191" t="str">
        <f t="shared" si="3"/>
        <v/>
      </c>
      <c r="L626" s="187"/>
      <c r="M626" s="192" t="str">
        <f t="shared" si="4"/>
        <v/>
      </c>
      <c r="N626" s="185" t="str">
        <f t="shared" si="5"/>
        <v/>
      </c>
    </row>
    <row r="627" ht="15.75" customHeight="1">
      <c r="A627" s="186"/>
      <c r="B627" s="187"/>
      <c r="C627" s="187"/>
      <c r="D627" s="188" t="str">
        <f>IF(C627="","",IFERROR(VLOOKUP(C627,Inventory!$A:$B,2,FALSE),""))</f>
        <v/>
      </c>
      <c r="E627" s="188" t="str">
        <f>IF(C627="","",IFERROR(VLOOKUP(C627,Inventory!$A:$C,3,FALSE),""))</f>
        <v/>
      </c>
      <c r="F627" s="187"/>
      <c r="G627" s="180" t="str">
        <f>IF(C627="","",IFERROR(VLOOKUP(C627,Inventory!$A:$I,9,FALSE),0))</f>
        <v/>
      </c>
      <c r="H627" s="189" t="str">
        <f t="shared" si="1"/>
        <v/>
      </c>
      <c r="I627" s="190" t="str">
        <f t="shared" si="2"/>
        <v/>
      </c>
      <c r="J627" s="191"/>
      <c r="K627" s="191" t="str">
        <f t="shared" si="3"/>
        <v/>
      </c>
      <c r="L627" s="187"/>
      <c r="M627" s="192" t="str">
        <f t="shared" si="4"/>
        <v/>
      </c>
      <c r="N627" s="185" t="str">
        <f t="shared" si="5"/>
        <v/>
      </c>
    </row>
    <row r="628" ht="15.75" customHeight="1">
      <c r="A628" s="186"/>
      <c r="B628" s="187"/>
      <c r="C628" s="187"/>
      <c r="D628" s="188" t="str">
        <f>IF(C628="","",IFERROR(VLOOKUP(C628,Inventory!$A:$B,2,FALSE),""))</f>
        <v/>
      </c>
      <c r="E628" s="188" t="str">
        <f>IF(C628="","",IFERROR(VLOOKUP(C628,Inventory!$A:$C,3,FALSE),""))</f>
        <v/>
      </c>
      <c r="F628" s="187"/>
      <c r="G628" s="180" t="str">
        <f>IF(C628="","",IFERROR(VLOOKUP(C628,Inventory!$A:$I,9,FALSE),0))</f>
        <v/>
      </c>
      <c r="H628" s="189" t="str">
        <f t="shared" si="1"/>
        <v/>
      </c>
      <c r="I628" s="190" t="str">
        <f t="shared" si="2"/>
        <v/>
      </c>
      <c r="J628" s="191"/>
      <c r="K628" s="191" t="str">
        <f t="shared" si="3"/>
        <v/>
      </c>
      <c r="L628" s="187"/>
      <c r="M628" s="192" t="str">
        <f t="shared" si="4"/>
        <v/>
      </c>
      <c r="N628" s="185" t="str">
        <f t="shared" si="5"/>
        <v/>
      </c>
    </row>
    <row r="629" ht="15.75" customHeight="1">
      <c r="A629" s="186"/>
      <c r="B629" s="187"/>
      <c r="C629" s="187"/>
      <c r="D629" s="188" t="str">
        <f>IF(C629="","",IFERROR(VLOOKUP(C629,Inventory!$A:$B,2,FALSE),""))</f>
        <v/>
      </c>
      <c r="E629" s="188" t="str">
        <f>IF(C629="","",IFERROR(VLOOKUP(C629,Inventory!$A:$C,3,FALSE),""))</f>
        <v/>
      </c>
      <c r="F629" s="187"/>
      <c r="G629" s="180" t="str">
        <f>IF(C629="","",IFERROR(VLOOKUP(C629,Inventory!$A:$I,9,FALSE),0))</f>
        <v/>
      </c>
      <c r="H629" s="189" t="str">
        <f t="shared" si="1"/>
        <v/>
      </c>
      <c r="I629" s="190" t="str">
        <f t="shared" si="2"/>
        <v/>
      </c>
      <c r="J629" s="191"/>
      <c r="K629" s="191" t="str">
        <f t="shared" si="3"/>
        <v/>
      </c>
      <c r="L629" s="187"/>
      <c r="M629" s="192" t="str">
        <f t="shared" si="4"/>
        <v/>
      </c>
      <c r="N629" s="185" t="str">
        <f t="shared" si="5"/>
        <v/>
      </c>
    </row>
    <row r="630" ht="15.75" customHeight="1">
      <c r="A630" s="186"/>
      <c r="B630" s="187"/>
      <c r="C630" s="187"/>
      <c r="D630" s="188" t="str">
        <f>IF(C630="","",IFERROR(VLOOKUP(C630,Inventory!$A:$B,2,FALSE),""))</f>
        <v/>
      </c>
      <c r="E630" s="188" t="str">
        <f>IF(C630="","",IFERROR(VLOOKUP(C630,Inventory!$A:$C,3,FALSE),""))</f>
        <v/>
      </c>
      <c r="F630" s="187"/>
      <c r="G630" s="180" t="str">
        <f>IF(C630="","",IFERROR(VLOOKUP(C630,Inventory!$A:$I,9,FALSE),0))</f>
        <v/>
      </c>
      <c r="H630" s="189" t="str">
        <f t="shared" si="1"/>
        <v/>
      </c>
      <c r="I630" s="190" t="str">
        <f t="shared" si="2"/>
        <v/>
      </c>
      <c r="J630" s="191"/>
      <c r="K630" s="191" t="str">
        <f t="shared" si="3"/>
        <v/>
      </c>
      <c r="L630" s="187"/>
      <c r="M630" s="192" t="str">
        <f t="shared" si="4"/>
        <v/>
      </c>
      <c r="N630" s="185" t="str">
        <f t="shared" si="5"/>
        <v/>
      </c>
    </row>
    <row r="631" ht="15.75" customHeight="1">
      <c r="A631" s="186"/>
      <c r="B631" s="187"/>
      <c r="C631" s="187"/>
      <c r="D631" s="188" t="str">
        <f>IF(C631="","",IFERROR(VLOOKUP(C631,Inventory!$A:$B,2,FALSE),""))</f>
        <v/>
      </c>
      <c r="E631" s="188" t="str">
        <f>IF(C631="","",IFERROR(VLOOKUP(C631,Inventory!$A:$C,3,FALSE),""))</f>
        <v/>
      </c>
      <c r="F631" s="187"/>
      <c r="G631" s="180" t="str">
        <f>IF(C631="","",IFERROR(VLOOKUP(C631,Inventory!$A:$I,9,FALSE),0))</f>
        <v/>
      </c>
      <c r="H631" s="189" t="str">
        <f t="shared" si="1"/>
        <v/>
      </c>
      <c r="I631" s="190" t="str">
        <f t="shared" si="2"/>
        <v/>
      </c>
      <c r="J631" s="191"/>
      <c r="K631" s="191" t="str">
        <f t="shared" si="3"/>
        <v/>
      </c>
      <c r="L631" s="187"/>
      <c r="M631" s="192" t="str">
        <f t="shared" si="4"/>
        <v/>
      </c>
      <c r="N631" s="185" t="str">
        <f t="shared" si="5"/>
        <v/>
      </c>
    </row>
    <row r="632" ht="15.75" customHeight="1">
      <c r="A632" s="186"/>
      <c r="B632" s="187"/>
      <c r="C632" s="187"/>
      <c r="D632" s="188" t="str">
        <f>IF(C632="","",IFERROR(VLOOKUP(C632,Inventory!$A:$B,2,FALSE),""))</f>
        <v/>
      </c>
      <c r="E632" s="188" t="str">
        <f>IF(C632="","",IFERROR(VLOOKUP(C632,Inventory!$A:$C,3,FALSE),""))</f>
        <v/>
      </c>
      <c r="F632" s="187"/>
      <c r="G632" s="180" t="str">
        <f>IF(C632="","",IFERROR(VLOOKUP(C632,Inventory!$A:$I,9,FALSE),0))</f>
        <v/>
      </c>
      <c r="H632" s="189" t="str">
        <f t="shared" si="1"/>
        <v/>
      </c>
      <c r="I632" s="190" t="str">
        <f t="shared" si="2"/>
        <v/>
      </c>
      <c r="J632" s="191"/>
      <c r="K632" s="191" t="str">
        <f t="shared" si="3"/>
        <v/>
      </c>
      <c r="L632" s="187"/>
      <c r="M632" s="192" t="str">
        <f t="shared" si="4"/>
        <v/>
      </c>
      <c r="N632" s="185" t="str">
        <f t="shared" si="5"/>
        <v/>
      </c>
    </row>
    <row r="633" ht="15.75" customHeight="1">
      <c r="A633" s="186"/>
      <c r="B633" s="187"/>
      <c r="C633" s="187"/>
      <c r="D633" s="188" t="str">
        <f>IF(C633="","",IFERROR(VLOOKUP(C633,Inventory!$A:$B,2,FALSE),""))</f>
        <v/>
      </c>
      <c r="E633" s="188" t="str">
        <f>IF(C633="","",IFERROR(VLOOKUP(C633,Inventory!$A:$C,3,FALSE),""))</f>
        <v/>
      </c>
      <c r="F633" s="187"/>
      <c r="G633" s="180" t="str">
        <f>IF(C633="","",IFERROR(VLOOKUP(C633,Inventory!$A:$I,9,FALSE),0))</f>
        <v/>
      </c>
      <c r="H633" s="189" t="str">
        <f t="shared" si="1"/>
        <v/>
      </c>
      <c r="I633" s="190" t="str">
        <f t="shared" si="2"/>
        <v/>
      </c>
      <c r="J633" s="191"/>
      <c r="K633" s="191" t="str">
        <f t="shared" si="3"/>
        <v/>
      </c>
      <c r="L633" s="187"/>
      <c r="M633" s="192" t="str">
        <f t="shared" si="4"/>
        <v/>
      </c>
      <c r="N633" s="185" t="str">
        <f t="shared" si="5"/>
        <v/>
      </c>
    </row>
    <row r="634" ht="15.75" customHeight="1">
      <c r="A634" s="186"/>
      <c r="B634" s="187"/>
      <c r="C634" s="187"/>
      <c r="D634" s="188" t="str">
        <f>IF(C634="","",IFERROR(VLOOKUP(C634,Inventory!$A:$B,2,FALSE),""))</f>
        <v/>
      </c>
      <c r="E634" s="188" t="str">
        <f>IF(C634="","",IFERROR(VLOOKUP(C634,Inventory!$A:$C,3,FALSE),""))</f>
        <v/>
      </c>
      <c r="F634" s="187"/>
      <c r="G634" s="180" t="str">
        <f>IF(C634="","",IFERROR(VLOOKUP(C634,Inventory!$A:$I,9,FALSE),0))</f>
        <v/>
      </c>
      <c r="H634" s="189" t="str">
        <f t="shared" si="1"/>
        <v/>
      </c>
      <c r="I634" s="190" t="str">
        <f t="shared" si="2"/>
        <v/>
      </c>
      <c r="J634" s="191"/>
      <c r="K634" s="191" t="str">
        <f t="shared" si="3"/>
        <v/>
      </c>
      <c r="L634" s="187"/>
      <c r="M634" s="192" t="str">
        <f t="shared" si="4"/>
        <v/>
      </c>
      <c r="N634" s="185" t="str">
        <f t="shared" si="5"/>
        <v/>
      </c>
    </row>
    <row r="635" ht="15.75" customHeight="1">
      <c r="A635" s="186"/>
      <c r="B635" s="187"/>
      <c r="C635" s="187"/>
      <c r="D635" s="188" t="str">
        <f>IF(C635="","",IFERROR(VLOOKUP(C635,Inventory!$A:$B,2,FALSE),""))</f>
        <v/>
      </c>
      <c r="E635" s="188" t="str">
        <f>IF(C635="","",IFERROR(VLOOKUP(C635,Inventory!$A:$C,3,FALSE),""))</f>
        <v/>
      </c>
      <c r="F635" s="187"/>
      <c r="G635" s="180" t="str">
        <f>IF(C635="","",IFERROR(VLOOKUP(C635,Inventory!$A:$I,9,FALSE),0))</f>
        <v/>
      </c>
      <c r="H635" s="189" t="str">
        <f t="shared" si="1"/>
        <v/>
      </c>
      <c r="I635" s="190" t="str">
        <f t="shared" si="2"/>
        <v/>
      </c>
      <c r="J635" s="191"/>
      <c r="K635" s="191" t="str">
        <f t="shared" si="3"/>
        <v/>
      </c>
      <c r="L635" s="187"/>
      <c r="M635" s="192" t="str">
        <f t="shared" si="4"/>
        <v/>
      </c>
      <c r="N635" s="185" t="str">
        <f t="shared" si="5"/>
        <v/>
      </c>
    </row>
    <row r="636" ht="15.75" customHeight="1">
      <c r="A636" s="186"/>
      <c r="B636" s="187"/>
      <c r="C636" s="187"/>
      <c r="D636" s="188" t="str">
        <f>IF(C636="","",IFERROR(VLOOKUP(C636,Inventory!$A:$B,2,FALSE),""))</f>
        <v/>
      </c>
      <c r="E636" s="188" t="str">
        <f>IF(C636="","",IFERROR(VLOOKUP(C636,Inventory!$A:$C,3,FALSE),""))</f>
        <v/>
      </c>
      <c r="F636" s="187"/>
      <c r="G636" s="180" t="str">
        <f>IF(C636="","",IFERROR(VLOOKUP(C636,Inventory!$A:$I,9,FALSE),0))</f>
        <v/>
      </c>
      <c r="H636" s="189" t="str">
        <f t="shared" si="1"/>
        <v/>
      </c>
      <c r="I636" s="190" t="str">
        <f t="shared" si="2"/>
        <v/>
      </c>
      <c r="J636" s="191"/>
      <c r="K636" s="191" t="str">
        <f t="shared" si="3"/>
        <v/>
      </c>
      <c r="L636" s="187"/>
      <c r="M636" s="192" t="str">
        <f t="shared" si="4"/>
        <v/>
      </c>
      <c r="N636" s="185" t="str">
        <f t="shared" si="5"/>
        <v/>
      </c>
    </row>
    <row r="637" ht="15.75" customHeight="1">
      <c r="A637" s="186"/>
      <c r="B637" s="187"/>
      <c r="C637" s="187"/>
      <c r="D637" s="188" t="str">
        <f>IF(C637="","",IFERROR(VLOOKUP(C637,Inventory!$A:$B,2,FALSE),""))</f>
        <v/>
      </c>
      <c r="E637" s="188" t="str">
        <f>IF(C637="","",IFERROR(VLOOKUP(C637,Inventory!$A:$C,3,FALSE),""))</f>
        <v/>
      </c>
      <c r="F637" s="187"/>
      <c r="G637" s="180" t="str">
        <f>IF(C637="","",IFERROR(VLOOKUP(C637,Inventory!$A:$I,9,FALSE),0))</f>
        <v/>
      </c>
      <c r="H637" s="189" t="str">
        <f t="shared" si="1"/>
        <v/>
      </c>
      <c r="I637" s="190" t="str">
        <f t="shared" si="2"/>
        <v/>
      </c>
      <c r="J637" s="191"/>
      <c r="K637" s="191" t="str">
        <f t="shared" si="3"/>
        <v/>
      </c>
      <c r="L637" s="187"/>
      <c r="M637" s="192" t="str">
        <f t="shared" si="4"/>
        <v/>
      </c>
      <c r="N637" s="185" t="str">
        <f t="shared" si="5"/>
        <v/>
      </c>
    </row>
    <row r="638" ht="15.75" customHeight="1">
      <c r="A638" s="186"/>
      <c r="B638" s="187"/>
      <c r="C638" s="187"/>
      <c r="D638" s="188" t="str">
        <f>IF(C638="","",IFERROR(VLOOKUP(C638,Inventory!$A:$B,2,FALSE),""))</f>
        <v/>
      </c>
      <c r="E638" s="188" t="str">
        <f>IF(C638="","",IFERROR(VLOOKUP(C638,Inventory!$A:$C,3,FALSE),""))</f>
        <v/>
      </c>
      <c r="F638" s="187"/>
      <c r="G638" s="180" t="str">
        <f>IF(C638="","",IFERROR(VLOOKUP(C638,Inventory!$A:$I,9,FALSE),0))</f>
        <v/>
      </c>
      <c r="H638" s="189" t="str">
        <f t="shared" si="1"/>
        <v/>
      </c>
      <c r="I638" s="190" t="str">
        <f t="shared" si="2"/>
        <v/>
      </c>
      <c r="J638" s="191"/>
      <c r="K638" s="191" t="str">
        <f t="shared" si="3"/>
        <v/>
      </c>
      <c r="L638" s="187"/>
      <c r="M638" s="192" t="str">
        <f t="shared" si="4"/>
        <v/>
      </c>
      <c r="N638" s="185" t="str">
        <f t="shared" si="5"/>
        <v/>
      </c>
    </row>
    <row r="639" ht="15.75" customHeight="1">
      <c r="A639" s="186"/>
      <c r="B639" s="187"/>
      <c r="C639" s="187"/>
      <c r="D639" s="188" t="str">
        <f>IF(C639="","",IFERROR(VLOOKUP(C639,Inventory!$A:$B,2,FALSE),""))</f>
        <v/>
      </c>
      <c r="E639" s="188" t="str">
        <f>IF(C639="","",IFERROR(VLOOKUP(C639,Inventory!$A:$C,3,FALSE),""))</f>
        <v/>
      </c>
      <c r="F639" s="187"/>
      <c r="G639" s="180" t="str">
        <f>IF(C639="","",IFERROR(VLOOKUP(C639,Inventory!$A:$I,9,FALSE),0))</f>
        <v/>
      </c>
      <c r="H639" s="189" t="str">
        <f t="shared" si="1"/>
        <v/>
      </c>
      <c r="I639" s="190" t="str">
        <f t="shared" si="2"/>
        <v/>
      </c>
      <c r="J639" s="191"/>
      <c r="K639" s="191" t="str">
        <f t="shared" si="3"/>
        <v/>
      </c>
      <c r="L639" s="187"/>
      <c r="M639" s="192" t="str">
        <f t="shared" si="4"/>
        <v/>
      </c>
      <c r="N639" s="185" t="str">
        <f t="shared" si="5"/>
        <v/>
      </c>
    </row>
    <row r="640" ht="15.75" customHeight="1">
      <c r="A640" s="186"/>
      <c r="B640" s="187"/>
      <c r="C640" s="187"/>
      <c r="D640" s="188" t="str">
        <f>IF(C640="","",IFERROR(VLOOKUP(C640,Inventory!$A:$B,2,FALSE),""))</f>
        <v/>
      </c>
      <c r="E640" s="188" t="str">
        <f>IF(C640="","",IFERROR(VLOOKUP(C640,Inventory!$A:$C,3,FALSE),""))</f>
        <v/>
      </c>
      <c r="F640" s="187"/>
      <c r="G640" s="180" t="str">
        <f>IF(C640="","",IFERROR(VLOOKUP(C640,Inventory!$A:$I,9,FALSE),0))</f>
        <v/>
      </c>
      <c r="H640" s="189" t="str">
        <f t="shared" si="1"/>
        <v/>
      </c>
      <c r="I640" s="190" t="str">
        <f t="shared" si="2"/>
        <v/>
      </c>
      <c r="J640" s="191"/>
      <c r="K640" s="191" t="str">
        <f t="shared" si="3"/>
        <v/>
      </c>
      <c r="L640" s="187"/>
      <c r="M640" s="192" t="str">
        <f t="shared" si="4"/>
        <v/>
      </c>
      <c r="N640" s="185" t="str">
        <f t="shared" si="5"/>
        <v/>
      </c>
    </row>
    <row r="641" ht="15.75" customHeight="1">
      <c r="A641" s="186"/>
      <c r="B641" s="187"/>
      <c r="C641" s="187"/>
      <c r="D641" s="188" t="str">
        <f>IF(C641="","",IFERROR(VLOOKUP(C641,Inventory!$A:$B,2,FALSE),""))</f>
        <v/>
      </c>
      <c r="E641" s="188" t="str">
        <f>IF(C641="","",IFERROR(VLOOKUP(C641,Inventory!$A:$C,3,FALSE),""))</f>
        <v/>
      </c>
      <c r="F641" s="187"/>
      <c r="G641" s="180" t="str">
        <f>IF(C641="","",IFERROR(VLOOKUP(C641,Inventory!$A:$I,9,FALSE),0))</f>
        <v/>
      </c>
      <c r="H641" s="189" t="str">
        <f t="shared" si="1"/>
        <v/>
      </c>
      <c r="I641" s="190" t="str">
        <f t="shared" si="2"/>
        <v/>
      </c>
      <c r="J641" s="191"/>
      <c r="K641" s="191" t="str">
        <f t="shared" si="3"/>
        <v/>
      </c>
      <c r="L641" s="187"/>
      <c r="M641" s="192" t="str">
        <f t="shared" si="4"/>
        <v/>
      </c>
      <c r="N641" s="185" t="str">
        <f t="shared" si="5"/>
        <v/>
      </c>
    </row>
    <row r="642" ht="15.75" customHeight="1">
      <c r="A642" s="186"/>
      <c r="B642" s="187"/>
      <c r="C642" s="187"/>
      <c r="D642" s="188" t="str">
        <f>IF(C642="","",IFERROR(VLOOKUP(C642,Inventory!$A:$B,2,FALSE),""))</f>
        <v/>
      </c>
      <c r="E642" s="188" t="str">
        <f>IF(C642="","",IFERROR(VLOOKUP(C642,Inventory!$A:$C,3,FALSE),""))</f>
        <v/>
      </c>
      <c r="F642" s="187"/>
      <c r="G642" s="180" t="str">
        <f>IF(C642="","",IFERROR(VLOOKUP(C642,Inventory!$A:$I,9,FALSE),0))</f>
        <v/>
      </c>
      <c r="H642" s="189" t="str">
        <f t="shared" si="1"/>
        <v/>
      </c>
      <c r="I642" s="190" t="str">
        <f t="shared" si="2"/>
        <v/>
      </c>
      <c r="J642" s="191"/>
      <c r="K642" s="191" t="str">
        <f t="shared" si="3"/>
        <v/>
      </c>
      <c r="L642" s="187"/>
      <c r="M642" s="192" t="str">
        <f t="shared" si="4"/>
        <v/>
      </c>
      <c r="N642" s="185" t="str">
        <f t="shared" si="5"/>
        <v/>
      </c>
    </row>
    <row r="643" ht="15.75" customHeight="1">
      <c r="A643" s="186"/>
      <c r="B643" s="187"/>
      <c r="C643" s="187"/>
      <c r="D643" s="188" t="str">
        <f>IF(C643="","",IFERROR(VLOOKUP(C643,Inventory!$A:$B,2,FALSE),""))</f>
        <v/>
      </c>
      <c r="E643" s="188" t="str">
        <f>IF(C643="","",IFERROR(VLOOKUP(C643,Inventory!$A:$C,3,FALSE),""))</f>
        <v/>
      </c>
      <c r="F643" s="187"/>
      <c r="G643" s="180" t="str">
        <f>IF(C643="","",IFERROR(VLOOKUP(C643,Inventory!$A:$I,9,FALSE),0))</f>
        <v/>
      </c>
      <c r="H643" s="189" t="str">
        <f t="shared" si="1"/>
        <v/>
      </c>
      <c r="I643" s="190" t="str">
        <f t="shared" si="2"/>
        <v/>
      </c>
      <c r="J643" s="191"/>
      <c r="K643" s="191" t="str">
        <f t="shared" si="3"/>
        <v/>
      </c>
      <c r="L643" s="187"/>
      <c r="M643" s="192" t="str">
        <f t="shared" si="4"/>
        <v/>
      </c>
      <c r="N643" s="185" t="str">
        <f t="shared" si="5"/>
        <v/>
      </c>
    </row>
    <row r="644" ht="15.75" customHeight="1">
      <c r="A644" s="186"/>
      <c r="B644" s="187"/>
      <c r="C644" s="187"/>
      <c r="D644" s="188" t="str">
        <f>IF(C644="","",IFERROR(VLOOKUP(C644,Inventory!$A:$B,2,FALSE),""))</f>
        <v/>
      </c>
      <c r="E644" s="188" t="str">
        <f>IF(C644="","",IFERROR(VLOOKUP(C644,Inventory!$A:$C,3,FALSE),""))</f>
        <v/>
      </c>
      <c r="F644" s="187"/>
      <c r="G644" s="180" t="str">
        <f>IF(C644="","",IFERROR(VLOOKUP(C644,Inventory!$A:$I,9,FALSE),0))</f>
        <v/>
      </c>
      <c r="H644" s="189" t="str">
        <f t="shared" si="1"/>
        <v/>
      </c>
      <c r="I644" s="190" t="str">
        <f t="shared" si="2"/>
        <v/>
      </c>
      <c r="J644" s="191"/>
      <c r="K644" s="191" t="str">
        <f t="shared" si="3"/>
        <v/>
      </c>
      <c r="L644" s="187"/>
      <c r="M644" s="192" t="str">
        <f t="shared" si="4"/>
        <v/>
      </c>
      <c r="N644" s="185" t="str">
        <f t="shared" si="5"/>
        <v/>
      </c>
    </row>
    <row r="645" ht="15.75" customHeight="1">
      <c r="A645" s="186"/>
      <c r="B645" s="187"/>
      <c r="C645" s="187"/>
      <c r="D645" s="188" t="str">
        <f>IF(C645="","",IFERROR(VLOOKUP(C645,Inventory!$A:$B,2,FALSE),""))</f>
        <v/>
      </c>
      <c r="E645" s="188" t="str">
        <f>IF(C645="","",IFERROR(VLOOKUP(C645,Inventory!$A:$C,3,FALSE),""))</f>
        <v/>
      </c>
      <c r="F645" s="187"/>
      <c r="G645" s="180" t="str">
        <f>IF(C645="","",IFERROR(VLOOKUP(C645,Inventory!$A:$I,9,FALSE),0))</f>
        <v/>
      </c>
      <c r="H645" s="189" t="str">
        <f t="shared" si="1"/>
        <v/>
      </c>
      <c r="I645" s="190" t="str">
        <f t="shared" si="2"/>
        <v/>
      </c>
      <c r="J645" s="191"/>
      <c r="K645" s="191" t="str">
        <f t="shared" si="3"/>
        <v/>
      </c>
      <c r="L645" s="187"/>
      <c r="M645" s="192" t="str">
        <f t="shared" si="4"/>
        <v/>
      </c>
      <c r="N645" s="185" t="str">
        <f t="shared" si="5"/>
        <v/>
      </c>
    </row>
    <row r="646" ht="15.75" customHeight="1">
      <c r="A646" s="186"/>
      <c r="B646" s="187"/>
      <c r="C646" s="187"/>
      <c r="D646" s="188" t="str">
        <f>IF(C646="","",IFERROR(VLOOKUP(C646,Inventory!$A:$B,2,FALSE),""))</f>
        <v/>
      </c>
      <c r="E646" s="188" t="str">
        <f>IF(C646="","",IFERROR(VLOOKUP(C646,Inventory!$A:$C,3,FALSE),""))</f>
        <v/>
      </c>
      <c r="F646" s="187"/>
      <c r="G646" s="180" t="str">
        <f>IF(C646="","",IFERROR(VLOOKUP(C646,Inventory!$A:$I,9,FALSE),0))</f>
        <v/>
      </c>
      <c r="H646" s="189" t="str">
        <f t="shared" si="1"/>
        <v/>
      </c>
      <c r="I646" s="190" t="str">
        <f t="shared" si="2"/>
        <v/>
      </c>
      <c r="J646" s="191"/>
      <c r="K646" s="191" t="str">
        <f t="shared" si="3"/>
        <v/>
      </c>
      <c r="L646" s="187"/>
      <c r="M646" s="192" t="str">
        <f t="shared" si="4"/>
        <v/>
      </c>
      <c r="N646" s="185" t="str">
        <f t="shared" si="5"/>
        <v/>
      </c>
    </row>
    <row r="647" ht="15.75" customHeight="1">
      <c r="A647" s="186"/>
      <c r="B647" s="187"/>
      <c r="C647" s="187"/>
      <c r="D647" s="188" t="str">
        <f>IF(C647="","",IFERROR(VLOOKUP(C647,Inventory!$A:$B,2,FALSE),""))</f>
        <v/>
      </c>
      <c r="E647" s="188" t="str">
        <f>IF(C647="","",IFERROR(VLOOKUP(C647,Inventory!$A:$C,3,FALSE),""))</f>
        <v/>
      </c>
      <c r="F647" s="187"/>
      <c r="G647" s="180" t="str">
        <f>IF(C647="","",IFERROR(VLOOKUP(C647,Inventory!$A:$I,9,FALSE),0))</f>
        <v/>
      </c>
      <c r="H647" s="189" t="str">
        <f t="shared" si="1"/>
        <v/>
      </c>
      <c r="I647" s="190" t="str">
        <f t="shared" si="2"/>
        <v/>
      </c>
      <c r="J647" s="191"/>
      <c r="K647" s="191" t="str">
        <f t="shared" si="3"/>
        <v/>
      </c>
      <c r="L647" s="187"/>
      <c r="M647" s="192" t="str">
        <f t="shared" si="4"/>
        <v/>
      </c>
      <c r="N647" s="185" t="str">
        <f t="shared" si="5"/>
        <v/>
      </c>
    </row>
    <row r="648" ht="15.75" customHeight="1">
      <c r="A648" s="186"/>
      <c r="B648" s="187"/>
      <c r="C648" s="187"/>
      <c r="D648" s="188" t="str">
        <f>IF(C648="","",IFERROR(VLOOKUP(C648,Inventory!$A:$B,2,FALSE),""))</f>
        <v/>
      </c>
      <c r="E648" s="188" t="str">
        <f>IF(C648="","",IFERROR(VLOOKUP(C648,Inventory!$A:$C,3,FALSE),""))</f>
        <v/>
      </c>
      <c r="F648" s="187"/>
      <c r="G648" s="180" t="str">
        <f>IF(C648="","",IFERROR(VLOOKUP(C648,Inventory!$A:$I,9,FALSE),0))</f>
        <v/>
      </c>
      <c r="H648" s="189" t="str">
        <f t="shared" si="1"/>
        <v/>
      </c>
      <c r="I648" s="190" t="str">
        <f t="shared" si="2"/>
        <v/>
      </c>
      <c r="J648" s="191"/>
      <c r="K648" s="191" t="str">
        <f t="shared" si="3"/>
        <v/>
      </c>
      <c r="L648" s="187"/>
      <c r="M648" s="192" t="str">
        <f t="shared" si="4"/>
        <v/>
      </c>
      <c r="N648" s="185" t="str">
        <f t="shared" si="5"/>
        <v/>
      </c>
    </row>
    <row r="649" ht="15.75" customHeight="1">
      <c r="A649" s="186"/>
      <c r="B649" s="187"/>
      <c r="C649" s="187"/>
      <c r="D649" s="188" t="str">
        <f>IF(C649="","",IFERROR(VLOOKUP(C649,Inventory!$A:$B,2,FALSE),""))</f>
        <v/>
      </c>
      <c r="E649" s="188" t="str">
        <f>IF(C649="","",IFERROR(VLOOKUP(C649,Inventory!$A:$C,3,FALSE),""))</f>
        <v/>
      </c>
      <c r="F649" s="187"/>
      <c r="G649" s="180" t="str">
        <f>IF(C649="","",IFERROR(VLOOKUP(C649,Inventory!$A:$I,9,FALSE),0))</f>
        <v/>
      </c>
      <c r="H649" s="189" t="str">
        <f t="shared" si="1"/>
        <v/>
      </c>
      <c r="I649" s="190" t="str">
        <f t="shared" si="2"/>
        <v/>
      </c>
      <c r="J649" s="191"/>
      <c r="K649" s="191" t="str">
        <f t="shared" si="3"/>
        <v/>
      </c>
      <c r="L649" s="187"/>
      <c r="M649" s="192" t="str">
        <f t="shared" si="4"/>
        <v/>
      </c>
      <c r="N649" s="185" t="str">
        <f t="shared" si="5"/>
        <v/>
      </c>
    </row>
    <row r="650" ht="15.75" customHeight="1">
      <c r="A650" s="186"/>
      <c r="B650" s="187"/>
      <c r="C650" s="187"/>
      <c r="D650" s="188" t="str">
        <f>IF(C650="","",IFERROR(VLOOKUP(C650,Inventory!$A:$B,2,FALSE),""))</f>
        <v/>
      </c>
      <c r="E650" s="188" t="str">
        <f>IF(C650="","",IFERROR(VLOOKUP(C650,Inventory!$A:$C,3,FALSE),""))</f>
        <v/>
      </c>
      <c r="F650" s="187"/>
      <c r="G650" s="180" t="str">
        <f>IF(C650="","",IFERROR(VLOOKUP(C650,Inventory!$A:$I,9,FALSE),0))</f>
        <v/>
      </c>
      <c r="H650" s="189" t="str">
        <f t="shared" si="1"/>
        <v/>
      </c>
      <c r="I650" s="190" t="str">
        <f t="shared" si="2"/>
        <v/>
      </c>
      <c r="J650" s="191"/>
      <c r="K650" s="191" t="str">
        <f t="shared" si="3"/>
        <v/>
      </c>
      <c r="L650" s="187"/>
      <c r="M650" s="192" t="str">
        <f t="shared" si="4"/>
        <v/>
      </c>
      <c r="N650" s="185" t="str">
        <f t="shared" si="5"/>
        <v/>
      </c>
    </row>
    <row r="651" ht="15.75" customHeight="1">
      <c r="A651" s="186"/>
      <c r="B651" s="187"/>
      <c r="C651" s="187"/>
      <c r="D651" s="188" t="str">
        <f>IF(C651="","",IFERROR(VLOOKUP(C651,Inventory!$A:$B,2,FALSE),""))</f>
        <v/>
      </c>
      <c r="E651" s="188" t="str">
        <f>IF(C651="","",IFERROR(VLOOKUP(C651,Inventory!$A:$C,3,FALSE),""))</f>
        <v/>
      </c>
      <c r="F651" s="187"/>
      <c r="G651" s="180" t="str">
        <f>IF(C651="","",IFERROR(VLOOKUP(C651,Inventory!$A:$I,9,FALSE),0))</f>
        <v/>
      </c>
      <c r="H651" s="189" t="str">
        <f t="shared" si="1"/>
        <v/>
      </c>
      <c r="I651" s="190" t="str">
        <f t="shared" si="2"/>
        <v/>
      </c>
      <c r="J651" s="191"/>
      <c r="K651" s="191" t="str">
        <f t="shared" si="3"/>
        <v/>
      </c>
      <c r="L651" s="187"/>
      <c r="M651" s="192" t="str">
        <f t="shared" si="4"/>
        <v/>
      </c>
      <c r="N651" s="185" t="str">
        <f t="shared" si="5"/>
        <v/>
      </c>
    </row>
    <row r="652" ht="15.75" customHeight="1">
      <c r="A652" s="186"/>
      <c r="B652" s="187"/>
      <c r="C652" s="187"/>
      <c r="D652" s="188" t="str">
        <f>IF(C652="","",IFERROR(VLOOKUP(C652,Inventory!$A:$B,2,FALSE),""))</f>
        <v/>
      </c>
      <c r="E652" s="188" t="str">
        <f>IF(C652="","",IFERROR(VLOOKUP(C652,Inventory!$A:$C,3,FALSE),""))</f>
        <v/>
      </c>
      <c r="F652" s="187"/>
      <c r="G652" s="180" t="str">
        <f>IF(C652="","",IFERROR(VLOOKUP(C652,Inventory!$A:$I,9,FALSE),0))</f>
        <v/>
      </c>
      <c r="H652" s="189" t="str">
        <f t="shared" si="1"/>
        <v/>
      </c>
      <c r="I652" s="190" t="str">
        <f t="shared" si="2"/>
        <v/>
      </c>
      <c r="J652" s="191"/>
      <c r="K652" s="191" t="str">
        <f t="shared" si="3"/>
        <v/>
      </c>
      <c r="L652" s="187"/>
      <c r="M652" s="192" t="str">
        <f t="shared" si="4"/>
        <v/>
      </c>
      <c r="N652" s="185" t="str">
        <f t="shared" si="5"/>
        <v/>
      </c>
    </row>
    <row r="653" ht="15.75" customHeight="1">
      <c r="A653" s="186"/>
      <c r="B653" s="187"/>
      <c r="C653" s="187"/>
      <c r="D653" s="188" t="str">
        <f>IF(C653="","",IFERROR(VLOOKUP(C653,Inventory!$A:$B,2,FALSE),""))</f>
        <v/>
      </c>
      <c r="E653" s="188" t="str">
        <f>IF(C653="","",IFERROR(VLOOKUP(C653,Inventory!$A:$C,3,FALSE),""))</f>
        <v/>
      </c>
      <c r="F653" s="187"/>
      <c r="G653" s="180" t="str">
        <f>IF(C653="","",IFERROR(VLOOKUP(C653,Inventory!$A:$I,9,FALSE),0))</f>
        <v/>
      </c>
      <c r="H653" s="189" t="str">
        <f t="shared" si="1"/>
        <v/>
      </c>
      <c r="I653" s="190" t="str">
        <f t="shared" si="2"/>
        <v/>
      </c>
      <c r="J653" s="191"/>
      <c r="K653" s="191" t="str">
        <f t="shared" si="3"/>
        <v/>
      </c>
      <c r="L653" s="187"/>
      <c r="M653" s="192" t="str">
        <f t="shared" si="4"/>
        <v/>
      </c>
      <c r="N653" s="185" t="str">
        <f t="shared" si="5"/>
        <v/>
      </c>
    </row>
    <row r="654" ht="15.75" customHeight="1">
      <c r="A654" s="186"/>
      <c r="B654" s="187"/>
      <c r="C654" s="187"/>
      <c r="D654" s="188" t="str">
        <f>IF(C654="","",IFERROR(VLOOKUP(C654,Inventory!$A:$B,2,FALSE),""))</f>
        <v/>
      </c>
      <c r="E654" s="188" t="str">
        <f>IF(C654="","",IFERROR(VLOOKUP(C654,Inventory!$A:$C,3,FALSE),""))</f>
        <v/>
      </c>
      <c r="F654" s="187"/>
      <c r="G654" s="180" t="str">
        <f>IF(C654="","",IFERROR(VLOOKUP(C654,Inventory!$A:$I,9,FALSE),0))</f>
        <v/>
      </c>
      <c r="H654" s="189" t="str">
        <f t="shared" si="1"/>
        <v/>
      </c>
      <c r="I654" s="190" t="str">
        <f t="shared" si="2"/>
        <v/>
      </c>
      <c r="J654" s="191"/>
      <c r="K654" s="191" t="str">
        <f t="shared" si="3"/>
        <v/>
      </c>
      <c r="L654" s="187"/>
      <c r="M654" s="192" t="str">
        <f t="shared" si="4"/>
        <v/>
      </c>
      <c r="N654" s="185" t="str">
        <f t="shared" si="5"/>
        <v/>
      </c>
    </row>
    <row r="655" ht="15.75" customHeight="1">
      <c r="A655" s="186"/>
      <c r="B655" s="187"/>
      <c r="C655" s="187"/>
      <c r="D655" s="188" t="str">
        <f>IF(C655="","",IFERROR(VLOOKUP(C655,Inventory!$A:$B,2,FALSE),""))</f>
        <v/>
      </c>
      <c r="E655" s="188" t="str">
        <f>IF(C655="","",IFERROR(VLOOKUP(C655,Inventory!$A:$C,3,FALSE),""))</f>
        <v/>
      </c>
      <c r="F655" s="187"/>
      <c r="G655" s="180" t="str">
        <f>IF(C655="","",IFERROR(VLOOKUP(C655,Inventory!$A:$I,9,FALSE),0))</f>
        <v/>
      </c>
      <c r="H655" s="189" t="str">
        <f t="shared" si="1"/>
        <v/>
      </c>
      <c r="I655" s="190" t="str">
        <f t="shared" si="2"/>
        <v/>
      </c>
      <c r="J655" s="191"/>
      <c r="K655" s="191" t="str">
        <f t="shared" si="3"/>
        <v/>
      </c>
      <c r="L655" s="187"/>
      <c r="M655" s="192" t="str">
        <f t="shared" si="4"/>
        <v/>
      </c>
      <c r="N655" s="185" t="str">
        <f t="shared" si="5"/>
        <v/>
      </c>
    </row>
    <row r="656" ht="15.75" customHeight="1">
      <c r="A656" s="186"/>
      <c r="B656" s="187"/>
      <c r="C656" s="187"/>
      <c r="D656" s="188" t="str">
        <f>IF(C656="","",IFERROR(VLOOKUP(C656,Inventory!$A:$B,2,FALSE),""))</f>
        <v/>
      </c>
      <c r="E656" s="188" t="str">
        <f>IF(C656="","",IFERROR(VLOOKUP(C656,Inventory!$A:$C,3,FALSE),""))</f>
        <v/>
      </c>
      <c r="F656" s="187"/>
      <c r="G656" s="180" t="str">
        <f>IF(C656="","",IFERROR(VLOOKUP(C656,Inventory!$A:$I,9,FALSE),0))</f>
        <v/>
      </c>
      <c r="H656" s="189" t="str">
        <f t="shared" si="1"/>
        <v/>
      </c>
      <c r="I656" s="190" t="str">
        <f t="shared" si="2"/>
        <v/>
      </c>
      <c r="J656" s="191"/>
      <c r="K656" s="191" t="str">
        <f t="shared" si="3"/>
        <v/>
      </c>
      <c r="L656" s="187"/>
      <c r="M656" s="192" t="str">
        <f t="shared" si="4"/>
        <v/>
      </c>
      <c r="N656" s="185" t="str">
        <f t="shared" si="5"/>
        <v/>
      </c>
    </row>
    <row r="657" ht="15.75" customHeight="1">
      <c r="A657" s="186"/>
      <c r="B657" s="187"/>
      <c r="C657" s="187"/>
      <c r="D657" s="188" t="str">
        <f>IF(C657="","",IFERROR(VLOOKUP(C657,Inventory!$A:$B,2,FALSE),""))</f>
        <v/>
      </c>
      <c r="E657" s="188" t="str">
        <f>IF(C657="","",IFERROR(VLOOKUP(C657,Inventory!$A:$C,3,FALSE),""))</f>
        <v/>
      </c>
      <c r="F657" s="187"/>
      <c r="G657" s="180" t="str">
        <f>IF(C657="","",IFERROR(VLOOKUP(C657,Inventory!$A:$I,9,FALSE),0))</f>
        <v/>
      </c>
      <c r="H657" s="189" t="str">
        <f t="shared" si="1"/>
        <v/>
      </c>
      <c r="I657" s="190" t="str">
        <f t="shared" si="2"/>
        <v/>
      </c>
      <c r="J657" s="191"/>
      <c r="K657" s="191" t="str">
        <f t="shared" si="3"/>
        <v/>
      </c>
      <c r="L657" s="187"/>
      <c r="M657" s="192" t="str">
        <f t="shared" si="4"/>
        <v/>
      </c>
      <c r="N657" s="185" t="str">
        <f t="shared" si="5"/>
        <v/>
      </c>
    </row>
    <row r="658" ht="15.75" customHeight="1">
      <c r="A658" s="186"/>
      <c r="B658" s="187"/>
      <c r="C658" s="187"/>
      <c r="D658" s="188" t="str">
        <f>IF(C658="","",IFERROR(VLOOKUP(C658,Inventory!$A:$B,2,FALSE),""))</f>
        <v/>
      </c>
      <c r="E658" s="188" t="str">
        <f>IF(C658="","",IFERROR(VLOOKUP(C658,Inventory!$A:$C,3,FALSE),""))</f>
        <v/>
      </c>
      <c r="F658" s="187"/>
      <c r="G658" s="180" t="str">
        <f>IF(C658="","",IFERROR(VLOOKUP(C658,Inventory!$A:$I,9,FALSE),0))</f>
        <v/>
      </c>
      <c r="H658" s="189" t="str">
        <f t="shared" si="1"/>
        <v/>
      </c>
      <c r="I658" s="190" t="str">
        <f t="shared" si="2"/>
        <v/>
      </c>
      <c r="J658" s="191"/>
      <c r="K658" s="191" t="str">
        <f t="shared" si="3"/>
        <v/>
      </c>
      <c r="L658" s="187"/>
      <c r="M658" s="192" t="str">
        <f t="shared" si="4"/>
        <v/>
      </c>
      <c r="N658" s="185" t="str">
        <f t="shared" si="5"/>
        <v/>
      </c>
    </row>
    <row r="659" ht="15.75" customHeight="1">
      <c r="A659" s="186"/>
      <c r="B659" s="187"/>
      <c r="C659" s="187"/>
      <c r="D659" s="188" t="str">
        <f>IF(C659="","",IFERROR(VLOOKUP(C659,Inventory!$A:$B,2,FALSE),""))</f>
        <v/>
      </c>
      <c r="E659" s="188" t="str">
        <f>IF(C659="","",IFERROR(VLOOKUP(C659,Inventory!$A:$C,3,FALSE),""))</f>
        <v/>
      </c>
      <c r="F659" s="187"/>
      <c r="G659" s="180" t="str">
        <f>IF(C659="","",IFERROR(VLOOKUP(C659,Inventory!$A:$I,9,FALSE),0))</f>
        <v/>
      </c>
      <c r="H659" s="189" t="str">
        <f t="shared" si="1"/>
        <v/>
      </c>
      <c r="I659" s="190" t="str">
        <f t="shared" si="2"/>
        <v/>
      </c>
      <c r="J659" s="191"/>
      <c r="K659" s="191" t="str">
        <f t="shared" si="3"/>
        <v/>
      </c>
      <c r="L659" s="187"/>
      <c r="M659" s="192" t="str">
        <f t="shared" si="4"/>
        <v/>
      </c>
      <c r="N659" s="185" t="str">
        <f t="shared" si="5"/>
        <v/>
      </c>
    </row>
    <row r="660" ht="15.75" customHeight="1">
      <c r="A660" s="186"/>
      <c r="B660" s="187"/>
      <c r="C660" s="187"/>
      <c r="D660" s="188" t="str">
        <f>IF(C660="","",IFERROR(VLOOKUP(C660,Inventory!$A:$B,2,FALSE),""))</f>
        <v/>
      </c>
      <c r="E660" s="188" t="str">
        <f>IF(C660="","",IFERROR(VLOOKUP(C660,Inventory!$A:$C,3,FALSE),""))</f>
        <v/>
      </c>
      <c r="F660" s="187"/>
      <c r="G660" s="180" t="str">
        <f>IF(C660="","",IFERROR(VLOOKUP(C660,Inventory!$A:$I,9,FALSE),0))</f>
        <v/>
      </c>
      <c r="H660" s="189" t="str">
        <f t="shared" si="1"/>
        <v/>
      </c>
      <c r="I660" s="190" t="str">
        <f t="shared" si="2"/>
        <v/>
      </c>
      <c r="J660" s="191"/>
      <c r="K660" s="191" t="str">
        <f t="shared" si="3"/>
        <v/>
      </c>
      <c r="L660" s="187"/>
      <c r="M660" s="192" t="str">
        <f t="shared" si="4"/>
        <v/>
      </c>
      <c r="N660" s="185" t="str">
        <f t="shared" si="5"/>
        <v/>
      </c>
    </row>
    <row r="661" ht="15.75" customHeight="1">
      <c r="A661" s="186"/>
      <c r="B661" s="187"/>
      <c r="C661" s="187"/>
      <c r="D661" s="188" t="str">
        <f>IF(C661="","",IFERROR(VLOOKUP(C661,Inventory!$A:$B,2,FALSE),""))</f>
        <v/>
      </c>
      <c r="E661" s="188" t="str">
        <f>IF(C661="","",IFERROR(VLOOKUP(C661,Inventory!$A:$C,3,FALSE),""))</f>
        <v/>
      </c>
      <c r="F661" s="187"/>
      <c r="G661" s="180" t="str">
        <f>IF(C661="","",IFERROR(VLOOKUP(C661,Inventory!$A:$I,9,FALSE),0))</f>
        <v/>
      </c>
      <c r="H661" s="189" t="str">
        <f t="shared" si="1"/>
        <v/>
      </c>
      <c r="I661" s="190" t="str">
        <f t="shared" si="2"/>
        <v/>
      </c>
      <c r="J661" s="191"/>
      <c r="K661" s="191" t="str">
        <f t="shared" si="3"/>
        <v/>
      </c>
      <c r="L661" s="187"/>
      <c r="M661" s="192" t="str">
        <f t="shared" si="4"/>
        <v/>
      </c>
      <c r="N661" s="185" t="str">
        <f t="shared" si="5"/>
        <v/>
      </c>
    </row>
    <row r="662" ht="15.75" customHeight="1">
      <c r="A662" s="186"/>
      <c r="B662" s="187"/>
      <c r="C662" s="187"/>
      <c r="D662" s="188" t="str">
        <f>IF(C662="","",IFERROR(VLOOKUP(C662,Inventory!$A:$B,2,FALSE),""))</f>
        <v/>
      </c>
      <c r="E662" s="188" t="str">
        <f>IF(C662="","",IFERROR(VLOOKUP(C662,Inventory!$A:$C,3,FALSE),""))</f>
        <v/>
      </c>
      <c r="F662" s="187"/>
      <c r="G662" s="180" t="str">
        <f>IF(C662="","",IFERROR(VLOOKUP(C662,Inventory!$A:$I,9,FALSE),0))</f>
        <v/>
      </c>
      <c r="H662" s="189" t="str">
        <f t="shared" si="1"/>
        <v/>
      </c>
      <c r="I662" s="190" t="str">
        <f t="shared" si="2"/>
        <v/>
      </c>
      <c r="J662" s="191"/>
      <c r="K662" s="191" t="str">
        <f t="shared" si="3"/>
        <v/>
      </c>
      <c r="L662" s="187"/>
      <c r="M662" s="192" t="str">
        <f t="shared" si="4"/>
        <v/>
      </c>
      <c r="N662" s="185" t="str">
        <f t="shared" si="5"/>
        <v/>
      </c>
    </row>
    <row r="663" ht="15.75" customHeight="1">
      <c r="A663" s="186"/>
      <c r="B663" s="187"/>
      <c r="C663" s="187"/>
      <c r="D663" s="188" t="str">
        <f>IF(C663="","",IFERROR(VLOOKUP(C663,Inventory!$A:$B,2,FALSE),""))</f>
        <v/>
      </c>
      <c r="E663" s="188" t="str">
        <f>IF(C663="","",IFERROR(VLOOKUP(C663,Inventory!$A:$C,3,FALSE),""))</f>
        <v/>
      </c>
      <c r="F663" s="187"/>
      <c r="G663" s="180" t="str">
        <f>IF(C663="","",IFERROR(VLOOKUP(C663,Inventory!$A:$I,9,FALSE),0))</f>
        <v/>
      </c>
      <c r="H663" s="189" t="str">
        <f t="shared" si="1"/>
        <v/>
      </c>
      <c r="I663" s="190" t="str">
        <f t="shared" si="2"/>
        <v/>
      </c>
      <c r="J663" s="191"/>
      <c r="K663" s="191" t="str">
        <f t="shared" si="3"/>
        <v/>
      </c>
      <c r="L663" s="187"/>
      <c r="M663" s="192" t="str">
        <f t="shared" si="4"/>
        <v/>
      </c>
      <c r="N663" s="185" t="str">
        <f t="shared" si="5"/>
        <v/>
      </c>
    </row>
    <row r="664" ht="15.75" customHeight="1">
      <c r="A664" s="186"/>
      <c r="B664" s="187"/>
      <c r="C664" s="187"/>
      <c r="D664" s="188" t="str">
        <f>IF(C664="","",IFERROR(VLOOKUP(C664,Inventory!$A:$B,2,FALSE),""))</f>
        <v/>
      </c>
      <c r="E664" s="188" t="str">
        <f>IF(C664="","",IFERROR(VLOOKUP(C664,Inventory!$A:$C,3,FALSE),""))</f>
        <v/>
      </c>
      <c r="F664" s="187"/>
      <c r="G664" s="180" t="str">
        <f>IF(C664="","",IFERROR(VLOOKUP(C664,Inventory!$A:$I,9,FALSE),0))</f>
        <v/>
      </c>
      <c r="H664" s="189" t="str">
        <f t="shared" si="1"/>
        <v/>
      </c>
      <c r="I664" s="190" t="str">
        <f t="shared" si="2"/>
        <v/>
      </c>
      <c r="J664" s="191"/>
      <c r="K664" s="191" t="str">
        <f t="shared" si="3"/>
        <v/>
      </c>
      <c r="L664" s="187"/>
      <c r="M664" s="192" t="str">
        <f t="shared" si="4"/>
        <v/>
      </c>
      <c r="N664" s="185" t="str">
        <f t="shared" si="5"/>
        <v/>
      </c>
    </row>
    <row r="665" ht="15.75" customHeight="1">
      <c r="A665" s="186"/>
      <c r="B665" s="187"/>
      <c r="C665" s="187"/>
      <c r="D665" s="188" t="str">
        <f>IF(C665="","",IFERROR(VLOOKUP(C665,Inventory!$A:$B,2,FALSE),""))</f>
        <v/>
      </c>
      <c r="E665" s="188" t="str">
        <f>IF(C665="","",IFERROR(VLOOKUP(C665,Inventory!$A:$C,3,FALSE),""))</f>
        <v/>
      </c>
      <c r="F665" s="187"/>
      <c r="G665" s="180" t="str">
        <f>IF(C665="","",IFERROR(VLOOKUP(C665,Inventory!$A:$I,9,FALSE),0))</f>
        <v/>
      </c>
      <c r="H665" s="189" t="str">
        <f t="shared" si="1"/>
        <v/>
      </c>
      <c r="I665" s="190" t="str">
        <f t="shared" si="2"/>
        <v/>
      </c>
      <c r="J665" s="191"/>
      <c r="K665" s="191" t="str">
        <f t="shared" si="3"/>
        <v/>
      </c>
      <c r="L665" s="187"/>
      <c r="M665" s="192" t="str">
        <f t="shared" si="4"/>
        <v/>
      </c>
      <c r="N665" s="185" t="str">
        <f t="shared" si="5"/>
        <v/>
      </c>
    </row>
    <row r="666" ht="15.75" customHeight="1">
      <c r="A666" s="186"/>
      <c r="B666" s="187"/>
      <c r="C666" s="187"/>
      <c r="D666" s="188" t="str">
        <f>IF(C666="","",IFERROR(VLOOKUP(C666,Inventory!$A:$B,2,FALSE),""))</f>
        <v/>
      </c>
      <c r="E666" s="188" t="str">
        <f>IF(C666="","",IFERROR(VLOOKUP(C666,Inventory!$A:$C,3,FALSE),""))</f>
        <v/>
      </c>
      <c r="F666" s="187"/>
      <c r="G666" s="180" t="str">
        <f>IF(C666="","",IFERROR(VLOOKUP(C666,Inventory!$A:$I,9,FALSE),0))</f>
        <v/>
      </c>
      <c r="H666" s="189" t="str">
        <f t="shared" si="1"/>
        <v/>
      </c>
      <c r="I666" s="190" t="str">
        <f t="shared" si="2"/>
        <v/>
      </c>
      <c r="J666" s="191"/>
      <c r="K666" s="191" t="str">
        <f t="shared" si="3"/>
        <v/>
      </c>
      <c r="L666" s="187"/>
      <c r="M666" s="192" t="str">
        <f t="shared" si="4"/>
        <v/>
      </c>
      <c r="N666" s="185" t="str">
        <f t="shared" si="5"/>
        <v/>
      </c>
    </row>
    <row r="667" ht="15.75" customHeight="1">
      <c r="A667" s="186"/>
      <c r="B667" s="187"/>
      <c r="C667" s="187"/>
      <c r="D667" s="188" t="str">
        <f>IF(C667="","",IFERROR(VLOOKUP(C667,Inventory!$A:$B,2,FALSE),""))</f>
        <v/>
      </c>
      <c r="E667" s="188" t="str">
        <f>IF(C667="","",IFERROR(VLOOKUP(C667,Inventory!$A:$C,3,FALSE),""))</f>
        <v/>
      </c>
      <c r="F667" s="187"/>
      <c r="G667" s="180" t="str">
        <f>IF(C667="","",IFERROR(VLOOKUP(C667,Inventory!$A:$I,9,FALSE),0))</f>
        <v/>
      </c>
      <c r="H667" s="189" t="str">
        <f t="shared" si="1"/>
        <v/>
      </c>
      <c r="I667" s="190" t="str">
        <f t="shared" si="2"/>
        <v/>
      </c>
      <c r="J667" s="191"/>
      <c r="K667" s="191" t="str">
        <f t="shared" si="3"/>
        <v/>
      </c>
      <c r="L667" s="187"/>
      <c r="M667" s="192" t="str">
        <f t="shared" si="4"/>
        <v/>
      </c>
      <c r="N667" s="185" t="str">
        <f t="shared" si="5"/>
        <v/>
      </c>
    </row>
    <row r="668" ht="15.75" customHeight="1">
      <c r="A668" s="186"/>
      <c r="B668" s="187"/>
      <c r="C668" s="187"/>
      <c r="D668" s="188" t="str">
        <f>IF(C668="","",IFERROR(VLOOKUP(C668,Inventory!$A:$B,2,FALSE),""))</f>
        <v/>
      </c>
      <c r="E668" s="188" t="str">
        <f>IF(C668="","",IFERROR(VLOOKUP(C668,Inventory!$A:$C,3,FALSE),""))</f>
        <v/>
      </c>
      <c r="F668" s="187"/>
      <c r="G668" s="180" t="str">
        <f>IF(C668="","",IFERROR(VLOOKUP(C668,Inventory!$A:$I,9,FALSE),0))</f>
        <v/>
      </c>
      <c r="H668" s="189" t="str">
        <f t="shared" si="1"/>
        <v/>
      </c>
      <c r="I668" s="190" t="str">
        <f t="shared" si="2"/>
        <v/>
      </c>
      <c r="J668" s="191"/>
      <c r="K668" s="191" t="str">
        <f t="shared" si="3"/>
        <v/>
      </c>
      <c r="L668" s="187"/>
      <c r="M668" s="192" t="str">
        <f t="shared" si="4"/>
        <v/>
      </c>
      <c r="N668" s="185" t="str">
        <f t="shared" si="5"/>
        <v/>
      </c>
    </row>
    <row r="669" ht="15.75" customHeight="1">
      <c r="A669" s="186"/>
      <c r="B669" s="187"/>
      <c r="C669" s="187"/>
      <c r="D669" s="188" t="str">
        <f>IF(C669="","",IFERROR(VLOOKUP(C669,Inventory!$A:$B,2,FALSE),""))</f>
        <v/>
      </c>
      <c r="E669" s="188" t="str">
        <f>IF(C669="","",IFERROR(VLOOKUP(C669,Inventory!$A:$C,3,FALSE),""))</f>
        <v/>
      </c>
      <c r="F669" s="187"/>
      <c r="G669" s="180" t="str">
        <f>IF(C669="","",IFERROR(VLOOKUP(C669,Inventory!$A:$I,9,FALSE),0))</f>
        <v/>
      </c>
      <c r="H669" s="189" t="str">
        <f t="shared" si="1"/>
        <v/>
      </c>
      <c r="I669" s="190" t="str">
        <f t="shared" si="2"/>
        <v/>
      </c>
      <c r="J669" s="191"/>
      <c r="K669" s="191" t="str">
        <f t="shared" si="3"/>
        <v/>
      </c>
      <c r="L669" s="187"/>
      <c r="M669" s="192" t="str">
        <f t="shared" si="4"/>
        <v/>
      </c>
      <c r="N669" s="185" t="str">
        <f t="shared" si="5"/>
        <v/>
      </c>
    </row>
    <row r="670" ht="15.75" customHeight="1">
      <c r="A670" s="186"/>
      <c r="B670" s="187"/>
      <c r="C670" s="187"/>
      <c r="D670" s="188" t="str">
        <f>IF(C670="","",IFERROR(VLOOKUP(C670,Inventory!$A:$B,2,FALSE),""))</f>
        <v/>
      </c>
      <c r="E670" s="188" t="str">
        <f>IF(C670="","",IFERROR(VLOOKUP(C670,Inventory!$A:$C,3,FALSE),""))</f>
        <v/>
      </c>
      <c r="F670" s="187"/>
      <c r="G670" s="180" t="str">
        <f>IF(C670="","",IFERROR(VLOOKUP(C670,Inventory!$A:$I,9,FALSE),0))</f>
        <v/>
      </c>
      <c r="H670" s="189" t="str">
        <f t="shared" si="1"/>
        <v/>
      </c>
      <c r="I670" s="190" t="str">
        <f t="shared" si="2"/>
        <v/>
      </c>
      <c r="J670" s="191"/>
      <c r="K670" s="191" t="str">
        <f t="shared" si="3"/>
        <v/>
      </c>
      <c r="L670" s="187"/>
      <c r="M670" s="192" t="str">
        <f t="shared" si="4"/>
        <v/>
      </c>
      <c r="N670" s="185" t="str">
        <f t="shared" si="5"/>
        <v/>
      </c>
    </row>
    <row r="671" ht="15.75" customHeight="1">
      <c r="A671" s="186"/>
      <c r="B671" s="187"/>
      <c r="C671" s="187"/>
      <c r="D671" s="188" t="str">
        <f>IF(C671="","",IFERROR(VLOOKUP(C671,Inventory!$A:$B,2,FALSE),""))</f>
        <v/>
      </c>
      <c r="E671" s="188" t="str">
        <f>IF(C671="","",IFERROR(VLOOKUP(C671,Inventory!$A:$C,3,FALSE),""))</f>
        <v/>
      </c>
      <c r="F671" s="187"/>
      <c r="G671" s="180" t="str">
        <f>IF(C671="","",IFERROR(VLOOKUP(C671,Inventory!$A:$I,9,FALSE),0))</f>
        <v/>
      </c>
      <c r="H671" s="189" t="str">
        <f t="shared" si="1"/>
        <v/>
      </c>
      <c r="I671" s="190" t="str">
        <f t="shared" si="2"/>
        <v/>
      </c>
      <c r="J671" s="191"/>
      <c r="K671" s="191" t="str">
        <f t="shared" si="3"/>
        <v/>
      </c>
      <c r="L671" s="187"/>
      <c r="M671" s="192" t="str">
        <f t="shared" si="4"/>
        <v/>
      </c>
      <c r="N671" s="185" t="str">
        <f t="shared" si="5"/>
        <v/>
      </c>
    </row>
    <row r="672" ht="15.75" customHeight="1">
      <c r="A672" s="186"/>
      <c r="B672" s="187"/>
      <c r="C672" s="187"/>
      <c r="D672" s="188" t="str">
        <f>IF(C672="","",IFERROR(VLOOKUP(C672,Inventory!$A:$B,2,FALSE),""))</f>
        <v/>
      </c>
      <c r="E672" s="188" t="str">
        <f>IF(C672="","",IFERROR(VLOOKUP(C672,Inventory!$A:$C,3,FALSE),""))</f>
        <v/>
      </c>
      <c r="F672" s="187"/>
      <c r="G672" s="180" t="str">
        <f>IF(C672="","",IFERROR(VLOOKUP(C672,Inventory!$A:$I,9,FALSE),0))</f>
        <v/>
      </c>
      <c r="H672" s="189" t="str">
        <f t="shared" si="1"/>
        <v/>
      </c>
      <c r="I672" s="190" t="str">
        <f t="shared" si="2"/>
        <v/>
      </c>
      <c r="J672" s="191"/>
      <c r="K672" s="191" t="str">
        <f t="shared" si="3"/>
        <v/>
      </c>
      <c r="L672" s="187"/>
      <c r="M672" s="192" t="str">
        <f t="shared" si="4"/>
        <v/>
      </c>
      <c r="N672" s="185" t="str">
        <f t="shared" si="5"/>
        <v/>
      </c>
    </row>
    <row r="673" ht="15.75" customHeight="1">
      <c r="A673" s="186"/>
      <c r="B673" s="187"/>
      <c r="C673" s="187"/>
      <c r="D673" s="188" t="str">
        <f>IF(C673="","",IFERROR(VLOOKUP(C673,Inventory!$A:$B,2,FALSE),""))</f>
        <v/>
      </c>
      <c r="E673" s="188" t="str">
        <f>IF(C673="","",IFERROR(VLOOKUP(C673,Inventory!$A:$C,3,FALSE),""))</f>
        <v/>
      </c>
      <c r="F673" s="187"/>
      <c r="G673" s="180" t="str">
        <f>IF(C673="","",IFERROR(VLOOKUP(C673,Inventory!$A:$I,9,FALSE),0))</f>
        <v/>
      </c>
      <c r="H673" s="189" t="str">
        <f t="shared" si="1"/>
        <v/>
      </c>
      <c r="I673" s="190" t="str">
        <f t="shared" si="2"/>
        <v/>
      </c>
      <c r="J673" s="191"/>
      <c r="K673" s="191" t="str">
        <f t="shared" si="3"/>
        <v/>
      </c>
      <c r="L673" s="187"/>
      <c r="M673" s="192" t="str">
        <f t="shared" si="4"/>
        <v/>
      </c>
      <c r="N673" s="185" t="str">
        <f t="shared" si="5"/>
        <v/>
      </c>
    </row>
    <row r="674" ht="15.75" customHeight="1">
      <c r="A674" s="186"/>
      <c r="B674" s="187"/>
      <c r="C674" s="187"/>
      <c r="D674" s="188" t="str">
        <f>IF(C674="","",IFERROR(VLOOKUP(C674,Inventory!$A:$B,2,FALSE),""))</f>
        <v/>
      </c>
      <c r="E674" s="188" t="str">
        <f>IF(C674="","",IFERROR(VLOOKUP(C674,Inventory!$A:$C,3,FALSE),""))</f>
        <v/>
      </c>
      <c r="F674" s="187"/>
      <c r="G674" s="180" t="str">
        <f>IF(C674="","",IFERROR(VLOOKUP(C674,Inventory!$A:$I,9,FALSE),0))</f>
        <v/>
      </c>
      <c r="H674" s="189" t="str">
        <f t="shared" si="1"/>
        <v/>
      </c>
      <c r="I674" s="190" t="str">
        <f t="shared" si="2"/>
        <v/>
      </c>
      <c r="J674" s="191"/>
      <c r="K674" s="191" t="str">
        <f t="shared" si="3"/>
        <v/>
      </c>
      <c r="L674" s="187"/>
      <c r="M674" s="192" t="str">
        <f t="shared" si="4"/>
        <v/>
      </c>
      <c r="N674" s="185" t="str">
        <f t="shared" si="5"/>
        <v/>
      </c>
    </row>
    <row r="675" ht="15.75" customHeight="1">
      <c r="A675" s="186"/>
      <c r="B675" s="187"/>
      <c r="C675" s="187"/>
      <c r="D675" s="188" t="str">
        <f>IF(C675="","",IFERROR(VLOOKUP(C675,Inventory!$A:$B,2,FALSE),""))</f>
        <v/>
      </c>
      <c r="E675" s="188" t="str">
        <f>IF(C675="","",IFERROR(VLOOKUP(C675,Inventory!$A:$C,3,FALSE),""))</f>
        <v/>
      </c>
      <c r="F675" s="187"/>
      <c r="G675" s="180" t="str">
        <f>IF(C675="","",IFERROR(VLOOKUP(C675,Inventory!$A:$I,9,FALSE),0))</f>
        <v/>
      </c>
      <c r="H675" s="189" t="str">
        <f t="shared" si="1"/>
        <v/>
      </c>
      <c r="I675" s="190" t="str">
        <f t="shared" si="2"/>
        <v/>
      </c>
      <c r="J675" s="191"/>
      <c r="K675" s="191" t="str">
        <f t="shared" si="3"/>
        <v/>
      </c>
      <c r="L675" s="187"/>
      <c r="M675" s="192" t="str">
        <f t="shared" si="4"/>
        <v/>
      </c>
      <c r="N675" s="185" t="str">
        <f t="shared" si="5"/>
        <v/>
      </c>
    </row>
    <row r="676" ht="15.75" customHeight="1">
      <c r="A676" s="186"/>
      <c r="B676" s="187"/>
      <c r="C676" s="187"/>
      <c r="D676" s="188" t="str">
        <f>IF(C676="","",IFERROR(VLOOKUP(C676,Inventory!$A:$B,2,FALSE),""))</f>
        <v/>
      </c>
      <c r="E676" s="188" t="str">
        <f>IF(C676="","",IFERROR(VLOOKUP(C676,Inventory!$A:$C,3,FALSE),""))</f>
        <v/>
      </c>
      <c r="F676" s="187"/>
      <c r="G676" s="180" t="str">
        <f>IF(C676="","",IFERROR(VLOOKUP(C676,Inventory!$A:$I,9,FALSE),0))</f>
        <v/>
      </c>
      <c r="H676" s="189" t="str">
        <f t="shared" si="1"/>
        <v/>
      </c>
      <c r="I676" s="190" t="str">
        <f t="shared" si="2"/>
        <v/>
      </c>
      <c r="J676" s="191"/>
      <c r="K676" s="191" t="str">
        <f t="shared" si="3"/>
        <v/>
      </c>
      <c r="L676" s="187"/>
      <c r="M676" s="192" t="str">
        <f t="shared" si="4"/>
        <v/>
      </c>
      <c r="N676" s="185" t="str">
        <f t="shared" si="5"/>
        <v/>
      </c>
    </row>
    <row r="677" ht="15.75" customHeight="1">
      <c r="A677" s="186"/>
      <c r="B677" s="187"/>
      <c r="C677" s="187"/>
      <c r="D677" s="188" t="str">
        <f>IF(C677="","",IFERROR(VLOOKUP(C677,Inventory!$A:$B,2,FALSE),""))</f>
        <v/>
      </c>
      <c r="E677" s="188" t="str">
        <f>IF(C677="","",IFERROR(VLOOKUP(C677,Inventory!$A:$C,3,FALSE),""))</f>
        <v/>
      </c>
      <c r="F677" s="187"/>
      <c r="G677" s="180" t="str">
        <f>IF(C677="","",IFERROR(VLOOKUP(C677,Inventory!$A:$I,9,FALSE),0))</f>
        <v/>
      </c>
      <c r="H677" s="189" t="str">
        <f t="shared" si="1"/>
        <v/>
      </c>
      <c r="I677" s="190" t="str">
        <f t="shared" si="2"/>
        <v/>
      </c>
      <c r="J677" s="191"/>
      <c r="K677" s="191" t="str">
        <f t="shared" si="3"/>
        <v/>
      </c>
      <c r="L677" s="187"/>
      <c r="M677" s="192" t="str">
        <f t="shared" si="4"/>
        <v/>
      </c>
      <c r="N677" s="185" t="str">
        <f t="shared" si="5"/>
        <v/>
      </c>
    </row>
    <row r="678" ht="15.75" customHeight="1">
      <c r="A678" s="186"/>
      <c r="B678" s="187"/>
      <c r="C678" s="187"/>
      <c r="D678" s="188" t="str">
        <f>IF(C678="","",IFERROR(VLOOKUP(C678,Inventory!$A:$B,2,FALSE),""))</f>
        <v/>
      </c>
      <c r="E678" s="188" t="str">
        <f>IF(C678="","",IFERROR(VLOOKUP(C678,Inventory!$A:$C,3,FALSE),""))</f>
        <v/>
      </c>
      <c r="F678" s="187"/>
      <c r="G678" s="180" t="str">
        <f>IF(C678="","",IFERROR(VLOOKUP(C678,Inventory!$A:$I,9,FALSE),0))</f>
        <v/>
      </c>
      <c r="H678" s="189" t="str">
        <f t="shared" si="1"/>
        <v/>
      </c>
      <c r="I678" s="190" t="str">
        <f t="shared" si="2"/>
        <v/>
      </c>
      <c r="J678" s="191"/>
      <c r="K678" s="191" t="str">
        <f t="shared" si="3"/>
        <v/>
      </c>
      <c r="L678" s="187"/>
      <c r="M678" s="192" t="str">
        <f t="shared" si="4"/>
        <v/>
      </c>
      <c r="N678" s="185" t="str">
        <f t="shared" si="5"/>
        <v/>
      </c>
    </row>
    <row r="679" ht="15.75" customHeight="1">
      <c r="A679" s="186"/>
      <c r="B679" s="187"/>
      <c r="C679" s="187"/>
      <c r="D679" s="188" t="str">
        <f>IF(C679="","",IFERROR(VLOOKUP(C679,Inventory!$A:$B,2,FALSE),""))</f>
        <v/>
      </c>
      <c r="E679" s="188" t="str">
        <f>IF(C679="","",IFERROR(VLOOKUP(C679,Inventory!$A:$C,3,FALSE),""))</f>
        <v/>
      </c>
      <c r="F679" s="187"/>
      <c r="G679" s="180" t="str">
        <f>IF(C679="","",IFERROR(VLOOKUP(C679,Inventory!$A:$I,9,FALSE),0))</f>
        <v/>
      </c>
      <c r="H679" s="189" t="str">
        <f t="shared" si="1"/>
        <v/>
      </c>
      <c r="I679" s="190" t="str">
        <f t="shared" si="2"/>
        <v/>
      </c>
      <c r="J679" s="191"/>
      <c r="K679" s="191" t="str">
        <f t="shared" si="3"/>
        <v/>
      </c>
      <c r="L679" s="187"/>
      <c r="M679" s="192" t="str">
        <f t="shared" si="4"/>
        <v/>
      </c>
      <c r="N679" s="185" t="str">
        <f t="shared" si="5"/>
        <v/>
      </c>
    </row>
    <row r="680" ht="15.75" customHeight="1">
      <c r="A680" s="186"/>
      <c r="B680" s="187"/>
      <c r="C680" s="187"/>
      <c r="D680" s="188" t="str">
        <f>IF(C680="","",IFERROR(VLOOKUP(C680,Inventory!$A:$B,2,FALSE),""))</f>
        <v/>
      </c>
      <c r="E680" s="188" t="str">
        <f>IF(C680="","",IFERROR(VLOOKUP(C680,Inventory!$A:$C,3,FALSE),""))</f>
        <v/>
      </c>
      <c r="F680" s="187"/>
      <c r="G680" s="180" t="str">
        <f>IF(C680="","",IFERROR(VLOOKUP(C680,Inventory!$A:$I,9,FALSE),0))</f>
        <v/>
      </c>
      <c r="H680" s="189" t="str">
        <f t="shared" si="1"/>
        <v/>
      </c>
      <c r="I680" s="190" t="str">
        <f t="shared" si="2"/>
        <v/>
      </c>
      <c r="J680" s="191"/>
      <c r="K680" s="191" t="str">
        <f t="shared" si="3"/>
        <v/>
      </c>
      <c r="L680" s="187"/>
      <c r="M680" s="192" t="str">
        <f t="shared" si="4"/>
        <v/>
      </c>
      <c r="N680" s="185" t="str">
        <f t="shared" si="5"/>
        <v/>
      </c>
    </row>
    <row r="681" ht="15.75" customHeight="1">
      <c r="A681" s="186"/>
      <c r="B681" s="187"/>
      <c r="C681" s="187"/>
      <c r="D681" s="188" t="str">
        <f>IF(C681="","",IFERROR(VLOOKUP(C681,Inventory!$A:$B,2,FALSE),""))</f>
        <v/>
      </c>
      <c r="E681" s="188" t="str">
        <f>IF(C681="","",IFERROR(VLOOKUP(C681,Inventory!$A:$C,3,FALSE),""))</f>
        <v/>
      </c>
      <c r="F681" s="187"/>
      <c r="G681" s="180" t="str">
        <f>IF(C681="","",IFERROR(VLOOKUP(C681,Inventory!$A:$I,9,FALSE),0))</f>
        <v/>
      </c>
      <c r="H681" s="189" t="str">
        <f t="shared" si="1"/>
        <v/>
      </c>
      <c r="I681" s="190" t="str">
        <f t="shared" si="2"/>
        <v/>
      </c>
      <c r="J681" s="191"/>
      <c r="K681" s="191" t="str">
        <f t="shared" si="3"/>
        <v/>
      </c>
      <c r="L681" s="187"/>
      <c r="M681" s="192" t="str">
        <f t="shared" si="4"/>
        <v/>
      </c>
      <c r="N681" s="185" t="str">
        <f t="shared" si="5"/>
        <v/>
      </c>
    </row>
    <row r="682" ht="15.75" customHeight="1">
      <c r="A682" s="186"/>
      <c r="B682" s="187"/>
      <c r="C682" s="187"/>
      <c r="D682" s="188" t="str">
        <f>IF(C682="","",IFERROR(VLOOKUP(C682,Inventory!$A:$B,2,FALSE),""))</f>
        <v/>
      </c>
      <c r="E682" s="188" t="str">
        <f>IF(C682="","",IFERROR(VLOOKUP(C682,Inventory!$A:$C,3,FALSE),""))</f>
        <v/>
      </c>
      <c r="F682" s="187"/>
      <c r="G682" s="180" t="str">
        <f>IF(C682="","",IFERROR(VLOOKUP(C682,Inventory!$A:$I,9,FALSE),0))</f>
        <v/>
      </c>
      <c r="H682" s="189" t="str">
        <f t="shared" si="1"/>
        <v/>
      </c>
      <c r="I682" s="190" t="str">
        <f t="shared" si="2"/>
        <v/>
      </c>
      <c r="J682" s="191"/>
      <c r="K682" s="191" t="str">
        <f t="shared" si="3"/>
        <v/>
      </c>
      <c r="L682" s="187"/>
      <c r="M682" s="192" t="str">
        <f t="shared" si="4"/>
        <v/>
      </c>
      <c r="N682" s="185" t="str">
        <f t="shared" si="5"/>
        <v/>
      </c>
    </row>
    <row r="683" ht="15.75" customHeight="1">
      <c r="A683" s="186"/>
      <c r="B683" s="187"/>
      <c r="C683" s="187"/>
      <c r="D683" s="188" t="str">
        <f>IF(C683="","",IFERROR(VLOOKUP(C683,Inventory!$A:$B,2,FALSE),""))</f>
        <v/>
      </c>
      <c r="E683" s="188" t="str">
        <f>IF(C683="","",IFERROR(VLOOKUP(C683,Inventory!$A:$C,3,FALSE),""))</f>
        <v/>
      </c>
      <c r="F683" s="187"/>
      <c r="G683" s="180" t="str">
        <f>IF(C683="","",IFERROR(VLOOKUP(C683,Inventory!$A:$I,9,FALSE),0))</f>
        <v/>
      </c>
      <c r="H683" s="189" t="str">
        <f t="shared" si="1"/>
        <v/>
      </c>
      <c r="I683" s="190" t="str">
        <f t="shared" si="2"/>
        <v/>
      </c>
      <c r="J683" s="191"/>
      <c r="K683" s="191" t="str">
        <f t="shared" si="3"/>
        <v/>
      </c>
      <c r="L683" s="187"/>
      <c r="M683" s="192" t="str">
        <f t="shared" si="4"/>
        <v/>
      </c>
      <c r="N683" s="185" t="str">
        <f t="shared" si="5"/>
        <v/>
      </c>
    </row>
    <row r="684" ht="15.75" customHeight="1">
      <c r="A684" s="186"/>
      <c r="B684" s="187"/>
      <c r="C684" s="187"/>
      <c r="D684" s="188" t="str">
        <f>IF(C684="","",IFERROR(VLOOKUP(C684,Inventory!$A:$B,2,FALSE),""))</f>
        <v/>
      </c>
      <c r="E684" s="188" t="str">
        <f>IF(C684="","",IFERROR(VLOOKUP(C684,Inventory!$A:$C,3,FALSE),""))</f>
        <v/>
      </c>
      <c r="F684" s="187"/>
      <c r="G684" s="180" t="str">
        <f>IF(C684="","",IFERROR(VLOOKUP(C684,Inventory!$A:$I,9,FALSE),0))</f>
        <v/>
      </c>
      <c r="H684" s="189" t="str">
        <f t="shared" si="1"/>
        <v/>
      </c>
      <c r="I684" s="190" t="str">
        <f t="shared" si="2"/>
        <v/>
      </c>
      <c r="J684" s="191"/>
      <c r="K684" s="191" t="str">
        <f t="shared" si="3"/>
        <v/>
      </c>
      <c r="L684" s="187"/>
      <c r="M684" s="192" t="str">
        <f t="shared" si="4"/>
        <v/>
      </c>
      <c r="N684" s="185" t="str">
        <f t="shared" si="5"/>
        <v/>
      </c>
    </row>
    <row r="685" ht="15.75" customHeight="1">
      <c r="A685" s="186"/>
      <c r="B685" s="187"/>
      <c r="C685" s="187"/>
      <c r="D685" s="188" t="str">
        <f>IF(C685="","",IFERROR(VLOOKUP(C685,Inventory!$A:$B,2,FALSE),""))</f>
        <v/>
      </c>
      <c r="E685" s="188" t="str">
        <f>IF(C685="","",IFERROR(VLOOKUP(C685,Inventory!$A:$C,3,FALSE),""))</f>
        <v/>
      </c>
      <c r="F685" s="187"/>
      <c r="G685" s="180" t="str">
        <f>IF(C685="","",IFERROR(VLOOKUP(C685,Inventory!$A:$I,9,FALSE),0))</f>
        <v/>
      </c>
      <c r="H685" s="189" t="str">
        <f t="shared" si="1"/>
        <v/>
      </c>
      <c r="I685" s="190" t="str">
        <f t="shared" si="2"/>
        <v/>
      </c>
      <c r="J685" s="191"/>
      <c r="K685" s="191" t="str">
        <f t="shared" si="3"/>
        <v/>
      </c>
      <c r="L685" s="187"/>
      <c r="M685" s="192" t="str">
        <f t="shared" si="4"/>
        <v/>
      </c>
      <c r="N685" s="185" t="str">
        <f t="shared" si="5"/>
        <v/>
      </c>
    </row>
    <row r="686" ht="15.75" customHeight="1">
      <c r="A686" s="186"/>
      <c r="B686" s="187"/>
      <c r="C686" s="187"/>
      <c r="D686" s="188" t="str">
        <f>IF(C686="","",IFERROR(VLOOKUP(C686,Inventory!$A:$B,2,FALSE),""))</f>
        <v/>
      </c>
      <c r="E686" s="188" t="str">
        <f>IF(C686="","",IFERROR(VLOOKUP(C686,Inventory!$A:$C,3,FALSE),""))</f>
        <v/>
      </c>
      <c r="F686" s="187"/>
      <c r="G686" s="180" t="str">
        <f>IF(C686="","",IFERROR(VLOOKUP(C686,Inventory!$A:$I,9,FALSE),0))</f>
        <v/>
      </c>
      <c r="H686" s="189" t="str">
        <f t="shared" si="1"/>
        <v/>
      </c>
      <c r="I686" s="190" t="str">
        <f t="shared" si="2"/>
        <v/>
      </c>
      <c r="J686" s="191"/>
      <c r="K686" s="191" t="str">
        <f t="shared" si="3"/>
        <v/>
      </c>
      <c r="L686" s="187"/>
      <c r="M686" s="192" t="str">
        <f t="shared" si="4"/>
        <v/>
      </c>
      <c r="N686" s="185" t="str">
        <f t="shared" si="5"/>
        <v/>
      </c>
    </row>
    <row r="687" ht="15.75" customHeight="1">
      <c r="A687" s="186"/>
      <c r="B687" s="187"/>
      <c r="C687" s="187"/>
      <c r="D687" s="188" t="str">
        <f>IF(C687="","",IFERROR(VLOOKUP(C687,Inventory!$A:$B,2,FALSE),""))</f>
        <v/>
      </c>
      <c r="E687" s="188" t="str">
        <f>IF(C687="","",IFERROR(VLOOKUP(C687,Inventory!$A:$C,3,FALSE),""))</f>
        <v/>
      </c>
      <c r="F687" s="187"/>
      <c r="G687" s="180" t="str">
        <f>IF(C687="","",IFERROR(VLOOKUP(C687,Inventory!$A:$I,9,FALSE),0))</f>
        <v/>
      </c>
      <c r="H687" s="189" t="str">
        <f t="shared" si="1"/>
        <v/>
      </c>
      <c r="I687" s="190" t="str">
        <f t="shared" si="2"/>
        <v/>
      </c>
      <c r="J687" s="191"/>
      <c r="K687" s="191" t="str">
        <f t="shared" si="3"/>
        <v/>
      </c>
      <c r="L687" s="187"/>
      <c r="M687" s="192" t="str">
        <f t="shared" si="4"/>
        <v/>
      </c>
      <c r="N687" s="185" t="str">
        <f t="shared" si="5"/>
        <v/>
      </c>
    </row>
    <row r="688" ht="15.75" customHeight="1">
      <c r="A688" s="186"/>
      <c r="B688" s="187"/>
      <c r="C688" s="187"/>
      <c r="D688" s="188" t="str">
        <f>IF(C688="","",IFERROR(VLOOKUP(C688,Inventory!$A:$B,2,FALSE),""))</f>
        <v/>
      </c>
      <c r="E688" s="188" t="str">
        <f>IF(C688="","",IFERROR(VLOOKUP(C688,Inventory!$A:$C,3,FALSE),""))</f>
        <v/>
      </c>
      <c r="F688" s="187"/>
      <c r="G688" s="180" t="str">
        <f>IF(C688="","",IFERROR(VLOOKUP(C688,Inventory!$A:$I,9,FALSE),0))</f>
        <v/>
      </c>
      <c r="H688" s="189" t="str">
        <f t="shared" si="1"/>
        <v/>
      </c>
      <c r="I688" s="190" t="str">
        <f t="shared" si="2"/>
        <v/>
      </c>
      <c r="J688" s="191"/>
      <c r="K688" s="191" t="str">
        <f t="shared" si="3"/>
        <v/>
      </c>
      <c r="L688" s="187"/>
      <c r="M688" s="192" t="str">
        <f t="shared" si="4"/>
        <v/>
      </c>
      <c r="N688" s="185" t="str">
        <f t="shared" si="5"/>
        <v/>
      </c>
    </row>
    <row r="689" ht="15.75" customHeight="1">
      <c r="A689" s="186"/>
      <c r="B689" s="187"/>
      <c r="C689" s="187"/>
      <c r="D689" s="188" t="str">
        <f>IF(C689="","",IFERROR(VLOOKUP(C689,Inventory!$A:$B,2,FALSE),""))</f>
        <v/>
      </c>
      <c r="E689" s="188" t="str">
        <f>IF(C689="","",IFERROR(VLOOKUP(C689,Inventory!$A:$C,3,FALSE),""))</f>
        <v/>
      </c>
      <c r="F689" s="187"/>
      <c r="G689" s="180" t="str">
        <f>IF(C689="","",IFERROR(VLOOKUP(C689,Inventory!$A:$I,9,FALSE),0))</f>
        <v/>
      </c>
      <c r="H689" s="189" t="str">
        <f t="shared" si="1"/>
        <v/>
      </c>
      <c r="I689" s="190" t="str">
        <f t="shared" si="2"/>
        <v/>
      </c>
      <c r="J689" s="191"/>
      <c r="K689" s="191" t="str">
        <f t="shared" si="3"/>
        <v/>
      </c>
      <c r="L689" s="187"/>
      <c r="M689" s="192" t="str">
        <f t="shared" si="4"/>
        <v/>
      </c>
      <c r="N689" s="185" t="str">
        <f t="shared" si="5"/>
        <v/>
      </c>
    </row>
    <row r="690" ht="15.75" customHeight="1">
      <c r="A690" s="186"/>
      <c r="B690" s="187"/>
      <c r="C690" s="187"/>
      <c r="D690" s="188" t="str">
        <f>IF(C690="","",IFERROR(VLOOKUP(C690,Inventory!$A:$B,2,FALSE),""))</f>
        <v/>
      </c>
      <c r="E690" s="188" t="str">
        <f>IF(C690="","",IFERROR(VLOOKUP(C690,Inventory!$A:$C,3,FALSE),""))</f>
        <v/>
      </c>
      <c r="F690" s="187"/>
      <c r="G690" s="180" t="str">
        <f>IF(C690="","",IFERROR(VLOOKUP(C690,Inventory!$A:$I,9,FALSE),0))</f>
        <v/>
      </c>
      <c r="H690" s="189" t="str">
        <f t="shared" si="1"/>
        <v/>
      </c>
      <c r="I690" s="190" t="str">
        <f t="shared" si="2"/>
        <v/>
      </c>
      <c r="J690" s="191"/>
      <c r="K690" s="191" t="str">
        <f t="shared" si="3"/>
        <v/>
      </c>
      <c r="L690" s="187"/>
      <c r="M690" s="192" t="str">
        <f t="shared" si="4"/>
        <v/>
      </c>
      <c r="N690" s="185" t="str">
        <f t="shared" si="5"/>
        <v/>
      </c>
    </row>
    <row r="691" ht="15.75" customHeight="1">
      <c r="A691" s="186"/>
      <c r="B691" s="187"/>
      <c r="C691" s="187"/>
      <c r="D691" s="188" t="str">
        <f>IF(C691="","",IFERROR(VLOOKUP(C691,Inventory!$A:$B,2,FALSE),""))</f>
        <v/>
      </c>
      <c r="E691" s="188" t="str">
        <f>IF(C691="","",IFERROR(VLOOKUP(C691,Inventory!$A:$C,3,FALSE),""))</f>
        <v/>
      </c>
      <c r="F691" s="187"/>
      <c r="G691" s="180" t="str">
        <f>IF(C691="","",IFERROR(VLOOKUP(C691,Inventory!$A:$I,9,FALSE),0))</f>
        <v/>
      </c>
      <c r="H691" s="189" t="str">
        <f t="shared" si="1"/>
        <v/>
      </c>
      <c r="I691" s="190" t="str">
        <f t="shared" si="2"/>
        <v/>
      </c>
      <c r="J691" s="191"/>
      <c r="K691" s="191" t="str">
        <f t="shared" si="3"/>
        <v/>
      </c>
      <c r="L691" s="187"/>
      <c r="M691" s="192" t="str">
        <f t="shared" si="4"/>
        <v/>
      </c>
      <c r="N691" s="185" t="str">
        <f t="shared" si="5"/>
        <v/>
      </c>
    </row>
    <row r="692" ht="15.75" customHeight="1">
      <c r="A692" s="186"/>
      <c r="B692" s="187"/>
      <c r="C692" s="187"/>
      <c r="D692" s="188" t="str">
        <f>IF(C692="","",IFERROR(VLOOKUP(C692,Inventory!$A:$B,2,FALSE),""))</f>
        <v/>
      </c>
      <c r="E692" s="188" t="str">
        <f>IF(C692="","",IFERROR(VLOOKUP(C692,Inventory!$A:$C,3,FALSE),""))</f>
        <v/>
      </c>
      <c r="F692" s="187"/>
      <c r="G692" s="180" t="str">
        <f>IF(C692="","",IFERROR(VLOOKUP(C692,Inventory!$A:$I,9,FALSE),0))</f>
        <v/>
      </c>
      <c r="H692" s="189" t="str">
        <f t="shared" si="1"/>
        <v/>
      </c>
      <c r="I692" s="190" t="str">
        <f t="shared" si="2"/>
        <v/>
      </c>
      <c r="J692" s="191"/>
      <c r="K692" s="191" t="str">
        <f t="shared" si="3"/>
        <v/>
      </c>
      <c r="L692" s="187"/>
      <c r="M692" s="192" t="str">
        <f t="shared" si="4"/>
        <v/>
      </c>
      <c r="N692" s="185" t="str">
        <f t="shared" si="5"/>
        <v/>
      </c>
    </row>
    <row r="693" ht="15.75" customHeight="1">
      <c r="A693" s="186"/>
      <c r="B693" s="187"/>
      <c r="C693" s="187"/>
      <c r="D693" s="188" t="str">
        <f>IF(C693="","",IFERROR(VLOOKUP(C693,Inventory!$A:$B,2,FALSE),""))</f>
        <v/>
      </c>
      <c r="E693" s="188" t="str">
        <f>IF(C693="","",IFERROR(VLOOKUP(C693,Inventory!$A:$C,3,FALSE),""))</f>
        <v/>
      </c>
      <c r="F693" s="187"/>
      <c r="G693" s="180" t="str">
        <f>IF(C693="","",IFERROR(VLOOKUP(C693,Inventory!$A:$I,9,FALSE),0))</f>
        <v/>
      </c>
      <c r="H693" s="189" t="str">
        <f t="shared" si="1"/>
        <v/>
      </c>
      <c r="I693" s="190" t="str">
        <f t="shared" si="2"/>
        <v/>
      </c>
      <c r="J693" s="191"/>
      <c r="K693" s="191" t="str">
        <f t="shared" si="3"/>
        <v/>
      </c>
      <c r="L693" s="187"/>
      <c r="M693" s="192" t="str">
        <f t="shared" si="4"/>
        <v/>
      </c>
      <c r="N693" s="185" t="str">
        <f t="shared" si="5"/>
        <v/>
      </c>
    </row>
    <row r="694" ht="15.75" customHeight="1">
      <c r="A694" s="186"/>
      <c r="B694" s="187"/>
      <c r="C694" s="187"/>
      <c r="D694" s="188" t="str">
        <f>IF(C694="","",IFERROR(VLOOKUP(C694,Inventory!$A:$B,2,FALSE),""))</f>
        <v/>
      </c>
      <c r="E694" s="188" t="str">
        <f>IF(C694="","",IFERROR(VLOOKUP(C694,Inventory!$A:$C,3,FALSE),""))</f>
        <v/>
      </c>
      <c r="F694" s="187"/>
      <c r="G694" s="180" t="str">
        <f>IF(C694="","",IFERROR(VLOOKUP(C694,Inventory!$A:$I,9,FALSE),0))</f>
        <v/>
      </c>
      <c r="H694" s="189" t="str">
        <f t="shared" si="1"/>
        <v/>
      </c>
      <c r="I694" s="190" t="str">
        <f t="shared" si="2"/>
        <v/>
      </c>
      <c r="J694" s="191"/>
      <c r="K694" s="191" t="str">
        <f t="shared" si="3"/>
        <v/>
      </c>
      <c r="L694" s="187"/>
      <c r="M694" s="192" t="str">
        <f t="shared" si="4"/>
        <v/>
      </c>
      <c r="N694" s="185" t="str">
        <f t="shared" si="5"/>
        <v/>
      </c>
    </row>
    <row r="695" ht="15.75" customHeight="1">
      <c r="A695" s="186"/>
      <c r="B695" s="187"/>
      <c r="C695" s="187"/>
      <c r="D695" s="188" t="str">
        <f>IF(C695="","",IFERROR(VLOOKUP(C695,Inventory!$A:$B,2,FALSE),""))</f>
        <v/>
      </c>
      <c r="E695" s="188" t="str">
        <f>IF(C695="","",IFERROR(VLOOKUP(C695,Inventory!$A:$C,3,FALSE),""))</f>
        <v/>
      </c>
      <c r="F695" s="187"/>
      <c r="G695" s="180" t="str">
        <f>IF(C695="","",IFERROR(VLOOKUP(C695,Inventory!$A:$I,9,FALSE),0))</f>
        <v/>
      </c>
      <c r="H695" s="189" t="str">
        <f t="shared" si="1"/>
        <v/>
      </c>
      <c r="I695" s="190" t="str">
        <f t="shared" si="2"/>
        <v/>
      </c>
      <c r="J695" s="191"/>
      <c r="K695" s="191" t="str">
        <f t="shared" si="3"/>
        <v/>
      </c>
      <c r="L695" s="187"/>
      <c r="M695" s="192" t="str">
        <f t="shared" si="4"/>
        <v/>
      </c>
      <c r="N695" s="185" t="str">
        <f t="shared" si="5"/>
        <v/>
      </c>
    </row>
    <row r="696" ht="15.75" customHeight="1">
      <c r="A696" s="186"/>
      <c r="B696" s="187"/>
      <c r="C696" s="187"/>
      <c r="D696" s="188" t="str">
        <f>IF(C696="","",IFERROR(VLOOKUP(C696,Inventory!$A:$B,2,FALSE),""))</f>
        <v/>
      </c>
      <c r="E696" s="188" t="str">
        <f>IF(C696="","",IFERROR(VLOOKUP(C696,Inventory!$A:$C,3,FALSE),""))</f>
        <v/>
      </c>
      <c r="F696" s="187"/>
      <c r="G696" s="180" t="str">
        <f>IF(C696="","",IFERROR(VLOOKUP(C696,Inventory!$A:$I,9,FALSE),0))</f>
        <v/>
      </c>
      <c r="H696" s="189" t="str">
        <f t="shared" si="1"/>
        <v/>
      </c>
      <c r="I696" s="190" t="str">
        <f t="shared" si="2"/>
        <v/>
      </c>
      <c r="J696" s="191"/>
      <c r="K696" s="191" t="str">
        <f t="shared" si="3"/>
        <v/>
      </c>
      <c r="L696" s="187"/>
      <c r="M696" s="192" t="str">
        <f t="shared" si="4"/>
        <v/>
      </c>
      <c r="N696" s="185" t="str">
        <f t="shared" si="5"/>
        <v/>
      </c>
    </row>
    <row r="697" ht="15.75" customHeight="1">
      <c r="A697" s="186"/>
      <c r="B697" s="187"/>
      <c r="C697" s="187"/>
      <c r="D697" s="188" t="str">
        <f>IF(C697="","",IFERROR(VLOOKUP(C697,Inventory!$A:$B,2,FALSE),""))</f>
        <v/>
      </c>
      <c r="E697" s="188" t="str">
        <f>IF(C697="","",IFERROR(VLOOKUP(C697,Inventory!$A:$C,3,FALSE),""))</f>
        <v/>
      </c>
      <c r="F697" s="187"/>
      <c r="G697" s="180" t="str">
        <f>IF(C697="","",IFERROR(VLOOKUP(C697,Inventory!$A:$I,9,FALSE),0))</f>
        <v/>
      </c>
      <c r="H697" s="189" t="str">
        <f t="shared" si="1"/>
        <v/>
      </c>
      <c r="I697" s="190" t="str">
        <f t="shared" si="2"/>
        <v/>
      </c>
      <c r="J697" s="191"/>
      <c r="K697" s="191" t="str">
        <f t="shared" si="3"/>
        <v/>
      </c>
      <c r="L697" s="187"/>
      <c r="M697" s="192" t="str">
        <f t="shared" si="4"/>
        <v/>
      </c>
      <c r="N697" s="185" t="str">
        <f t="shared" si="5"/>
        <v/>
      </c>
    </row>
    <row r="698" ht="15.75" customHeight="1">
      <c r="A698" s="186"/>
      <c r="B698" s="187"/>
      <c r="C698" s="187"/>
      <c r="D698" s="188" t="str">
        <f>IF(C698="","",IFERROR(VLOOKUP(C698,Inventory!$A:$B,2,FALSE),""))</f>
        <v/>
      </c>
      <c r="E698" s="188" t="str">
        <f>IF(C698="","",IFERROR(VLOOKUP(C698,Inventory!$A:$C,3,FALSE),""))</f>
        <v/>
      </c>
      <c r="F698" s="187"/>
      <c r="G698" s="180" t="str">
        <f>IF(C698="","",IFERROR(VLOOKUP(C698,Inventory!$A:$I,9,FALSE),0))</f>
        <v/>
      </c>
      <c r="H698" s="189" t="str">
        <f t="shared" si="1"/>
        <v/>
      </c>
      <c r="I698" s="190" t="str">
        <f t="shared" si="2"/>
        <v/>
      </c>
      <c r="J698" s="191"/>
      <c r="K698" s="191" t="str">
        <f t="shared" si="3"/>
        <v/>
      </c>
      <c r="L698" s="187"/>
      <c r="M698" s="192" t="str">
        <f t="shared" si="4"/>
        <v/>
      </c>
      <c r="N698" s="185" t="str">
        <f t="shared" si="5"/>
        <v/>
      </c>
    </row>
    <row r="699" ht="15.75" customHeight="1">
      <c r="A699" s="186"/>
      <c r="B699" s="187"/>
      <c r="C699" s="187"/>
      <c r="D699" s="188" t="str">
        <f>IF(C699="","",IFERROR(VLOOKUP(C699,Inventory!$A:$B,2,FALSE),""))</f>
        <v/>
      </c>
      <c r="E699" s="188" t="str">
        <f>IF(C699="","",IFERROR(VLOOKUP(C699,Inventory!$A:$C,3,FALSE),""))</f>
        <v/>
      </c>
      <c r="F699" s="187"/>
      <c r="G699" s="180" t="str">
        <f>IF(C699="","",IFERROR(VLOOKUP(C699,Inventory!$A:$I,9,FALSE),0))</f>
        <v/>
      </c>
      <c r="H699" s="189" t="str">
        <f t="shared" si="1"/>
        <v/>
      </c>
      <c r="I699" s="190" t="str">
        <f t="shared" si="2"/>
        <v/>
      </c>
      <c r="J699" s="191"/>
      <c r="K699" s="191" t="str">
        <f t="shared" si="3"/>
        <v/>
      </c>
      <c r="L699" s="187"/>
      <c r="M699" s="192" t="str">
        <f t="shared" si="4"/>
        <v/>
      </c>
      <c r="N699" s="185" t="str">
        <f t="shared" si="5"/>
        <v/>
      </c>
    </row>
    <row r="700" ht="15.75" customHeight="1">
      <c r="A700" s="186"/>
      <c r="B700" s="187"/>
      <c r="C700" s="187"/>
      <c r="D700" s="188" t="str">
        <f>IF(C700="","",IFERROR(VLOOKUP(C700,Inventory!$A:$B,2,FALSE),""))</f>
        <v/>
      </c>
      <c r="E700" s="188" t="str">
        <f>IF(C700="","",IFERROR(VLOOKUP(C700,Inventory!$A:$C,3,FALSE),""))</f>
        <v/>
      </c>
      <c r="F700" s="187"/>
      <c r="G700" s="180" t="str">
        <f>IF(C700="","",IFERROR(VLOOKUP(C700,Inventory!$A:$I,9,FALSE),0))</f>
        <v/>
      </c>
      <c r="H700" s="189" t="str">
        <f t="shared" si="1"/>
        <v/>
      </c>
      <c r="I700" s="190" t="str">
        <f t="shared" si="2"/>
        <v/>
      </c>
      <c r="J700" s="191"/>
      <c r="K700" s="191" t="str">
        <f t="shared" si="3"/>
        <v/>
      </c>
      <c r="L700" s="187"/>
      <c r="M700" s="192" t="str">
        <f t="shared" si="4"/>
        <v/>
      </c>
      <c r="N700" s="185" t="str">
        <f t="shared" si="5"/>
        <v/>
      </c>
    </row>
    <row r="701" ht="15.75" customHeight="1">
      <c r="A701" s="186"/>
      <c r="B701" s="187"/>
      <c r="C701" s="187"/>
      <c r="D701" s="188" t="str">
        <f>IF(C701="","",IFERROR(VLOOKUP(C701,Inventory!$A:$B,2,FALSE),""))</f>
        <v/>
      </c>
      <c r="E701" s="188" t="str">
        <f>IF(C701="","",IFERROR(VLOOKUP(C701,Inventory!$A:$C,3,FALSE),""))</f>
        <v/>
      </c>
      <c r="F701" s="187"/>
      <c r="G701" s="180" t="str">
        <f>IF(C701="","",IFERROR(VLOOKUP(C701,Inventory!$A:$I,9,FALSE),0))</f>
        <v/>
      </c>
      <c r="H701" s="189" t="str">
        <f t="shared" si="1"/>
        <v/>
      </c>
      <c r="I701" s="190" t="str">
        <f t="shared" si="2"/>
        <v/>
      </c>
      <c r="J701" s="191"/>
      <c r="K701" s="191" t="str">
        <f t="shared" si="3"/>
        <v/>
      </c>
      <c r="L701" s="187"/>
      <c r="M701" s="192" t="str">
        <f t="shared" si="4"/>
        <v/>
      </c>
      <c r="N701" s="185" t="str">
        <f t="shared" si="5"/>
        <v/>
      </c>
    </row>
    <row r="702" ht="15.75" customHeight="1">
      <c r="A702" s="186"/>
      <c r="B702" s="187"/>
      <c r="C702" s="187"/>
      <c r="D702" s="188" t="str">
        <f>IF(C702="","",IFERROR(VLOOKUP(C702,Inventory!$A:$B,2,FALSE),""))</f>
        <v/>
      </c>
      <c r="E702" s="188" t="str">
        <f>IF(C702="","",IFERROR(VLOOKUP(C702,Inventory!$A:$C,3,FALSE),""))</f>
        <v/>
      </c>
      <c r="F702" s="187"/>
      <c r="G702" s="180" t="str">
        <f>IF(C702="","",IFERROR(VLOOKUP(C702,Inventory!$A:$I,9,FALSE),0))</f>
        <v/>
      </c>
      <c r="H702" s="189" t="str">
        <f t="shared" si="1"/>
        <v/>
      </c>
      <c r="I702" s="190" t="str">
        <f t="shared" si="2"/>
        <v/>
      </c>
      <c r="J702" s="191"/>
      <c r="K702" s="191" t="str">
        <f t="shared" si="3"/>
        <v/>
      </c>
      <c r="L702" s="187"/>
      <c r="M702" s="192" t="str">
        <f t="shared" si="4"/>
        <v/>
      </c>
      <c r="N702" s="185" t="str">
        <f t="shared" si="5"/>
        <v/>
      </c>
    </row>
    <row r="703" ht="15.75" customHeight="1">
      <c r="A703" s="186"/>
      <c r="B703" s="187"/>
      <c r="C703" s="187"/>
      <c r="D703" s="188" t="str">
        <f>IF(C703="","",IFERROR(VLOOKUP(C703,Inventory!$A:$B,2,FALSE),""))</f>
        <v/>
      </c>
      <c r="E703" s="188" t="str">
        <f>IF(C703="","",IFERROR(VLOOKUP(C703,Inventory!$A:$C,3,FALSE),""))</f>
        <v/>
      </c>
      <c r="F703" s="187"/>
      <c r="G703" s="180" t="str">
        <f>IF(C703="","",IFERROR(VLOOKUP(C703,Inventory!$A:$I,9,FALSE),0))</f>
        <v/>
      </c>
      <c r="H703" s="189" t="str">
        <f t="shared" si="1"/>
        <v/>
      </c>
      <c r="I703" s="190" t="str">
        <f t="shared" si="2"/>
        <v/>
      </c>
      <c r="J703" s="191"/>
      <c r="K703" s="191" t="str">
        <f t="shared" si="3"/>
        <v/>
      </c>
      <c r="L703" s="187"/>
      <c r="M703" s="192" t="str">
        <f t="shared" si="4"/>
        <v/>
      </c>
      <c r="N703" s="185" t="str">
        <f t="shared" si="5"/>
        <v/>
      </c>
    </row>
    <row r="704" ht="15.75" customHeight="1">
      <c r="A704" s="186"/>
      <c r="B704" s="187"/>
      <c r="C704" s="187"/>
      <c r="D704" s="188" t="str">
        <f>IF(C704="","",IFERROR(VLOOKUP(C704,Inventory!$A:$B,2,FALSE),""))</f>
        <v/>
      </c>
      <c r="E704" s="188" t="str">
        <f>IF(C704="","",IFERROR(VLOOKUP(C704,Inventory!$A:$C,3,FALSE),""))</f>
        <v/>
      </c>
      <c r="F704" s="187"/>
      <c r="G704" s="180" t="str">
        <f>IF(C704="","",IFERROR(VLOOKUP(C704,Inventory!$A:$I,9,FALSE),0))</f>
        <v/>
      </c>
      <c r="H704" s="189" t="str">
        <f t="shared" si="1"/>
        <v/>
      </c>
      <c r="I704" s="190" t="str">
        <f t="shared" si="2"/>
        <v/>
      </c>
      <c r="J704" s="191"/>
      <c r="K704" s="191" t="str">
        <f t="shared" si="3"/>
        <v/>
      </c>
      <c r="L704" s="187"/>
      <c r="M704" s="192" t="str">
        <f t="shared" si="4"/>
        <v/>
      </c>
      <c r="N704" s="185" t="str">
        <f t="shared" si="5"/>
        <v/>
      </c>
    </row>
    <row r="705" ht="15.75" customHeight="1">
      <c r="A705" s="186"/>
      <c r="B705" s="187"/>
      <c r="C705" s="187"/>
      <c r="D705" s="188" t="str">
        <f>IF(C705="","",IFERROR(VLOOKUP(C705,Inventory!$A:$B,2,FALSE),""))</f>
        <v/>
      </c>
      <c r="E705" s="188" t="str">
        <f>IF(C705="","",IFERROR(VLOOKUP(C705,Inventory!$A:$C,3,FALSE),""))</f>
        <v/>
      </c>
      <c r="F705" s="187"/>
      <c r="G705" s="180" t="str">
        <f>IF(C705="","",IFERROR(VLOOKUP(C705,Inventory!$A:$I,9,FALSE),0))</f>
        <v/>
      </c>
      <c r="H705" s="189" t="str">
        <f t="shared" si="1"/>
        <v/>
      </c>
      <c r="I705" s="190" t="str">
        <f t="shared" si="2"/>
        <v/>
      </c>
      <c r="J705" s="191"/>
      <c r="K705" s="191" t="str">
        <f t="shared" si="3"/>
        <v/>
      </c>
      <c r="L705" s="187"/>
      <c r="M705" s="192" t="str">
        <f t="shared" si="4"/>
        <v/>
      </c>
      <c r="N705" s="185" t="str">
        <f t="shared" si="5"/>
        <v/>
      </c>
    </row>
    <row r="706" ht="15.75" customHeight="1">
      <c r="A706" s="186"/>
      <c r="B706" s="187"/>
      <c r="C706" s="187"/>
      <c r="D706" s="188" t="str">
        <f>IF(C706="","",IFERROR(VLOOKUP(C706,Inventory!$A:$B,2,FALSE),""))</f>
        <v/>
      </c>
      <c r="E706" s="188" t="str">
        <f>IF(C706="","",IFERROR(VLOOKUP(C706,Inventory!$A:$C,3,FALSE),""))</f>
        <v/>
      </c>
      <c r="F706" s="187"/>
      <c r="G706" s="180" t="str">
        <f>IF(C706="","",IFERROR(VLOOKUP(C706,Inventory!$A:$I,9,FALSE),0))</f>
        <v/>
      </c>
      <c r="H706" s="189" t="str">
        <f t="shared" si="1"/>
        <v/>
      </c>
      <c r="I706" s="190" t="str">
        <f t="shared" si="2"/>
        <v/>
      </c>
      <c r="J706" s="191"/>
      <c r="K706" s="191" t="str">
        <f t="shared" si="3"/>
        <v/>
      </c>
      <c r="L706" s="187"/>
      <c r="M706" s="192" t="str">
        <f t="shared" si="4"/>
        <v/>
      </c>
      <c r="N706" s="185" t="str">
        <f t="shared" si="5"/>
        <v/>
      </c>
    </row>
    <row r="707" ht="15.75" customHeight="1">
      <c r="A707" s="186"/>
      <c r="B707" s="187"/>
      <c r="C707" s="187"/>
      <c r="D707" s="188" t="str">
        <f>IF(C707="","",IFERROR(VLOOKUP(C707,Inventory!$A:$B,2,FALSE),""))</f>
        <v/>
      </c>
      <c r="E707" s="188" t="str">
        <f>IF(C707="","",IFERROR(VLOOKUP(C707,Inventory!$A:$C,3,FALSE),""))</f>
        <v/>
      </c>
      <c r="F707" s="187"/>
      <c r="G707" s="180" t="str">
        <f>IF(C707="","",IFERROR(VLOOKUP(C707,Inventory!$A:$I,9,FALSE),0))</f>
        <v/>
      </c>
      <c r="H707" s="189" t="str">
        <f t="shared" si="1"/>
        <v/>
      </c>
      <c r="I707" s="190" t="str">
        <f t="shared" si="2"/>
        <v/>
      </c>
      <c r="J707" s="191"/>
      <c r="K707" s="191" t="str">
        <f t="shared" si="3"/>
        <v/>
      </c>
      <c r="L707" s="187"/>
      <c r="M707" s="192" t="str">
        <f t="shared" si="4"/>
        <v/>
      </c>
      <c r="N707" s="185" t="str">
        <f t="shared" si="5"/>
        <v/>
      </c>
    </row>
    <row r="708" ht="15.75" customHeight="1">
      <c r="A708" s="186"/>
      <c r="B708" s="187"/>
      <c r="C708" s="187"/>
      <c r="D708" s="188" t="str">
        <f>IF(C708="","",IFERROR(VLOOKUP(C708,Inventory!$A:$B,2,FALSE),""))</f>
        <v/>
      </c>
      <c r="E708" s="188" t="str">
        <f>IF(C708="","",IFERROR(VLOOKUP(C708,Inventory!$A:$C,3,FALSE),""))</f>
        <v/>
      </c>
      <c r="F708" s="187"/>
      <c r="G708" s="180" t="str">
        <f>IF(C708="","",IFERROR(VLOOKUP(C708,Inventory!$A:$I,9,FALSE),0))</f>
        <v/>
      </c>
      <c r="H708" s="189" t="str">
        <f t="shared" si="1"/>
        <v/>
      </c>
      <c r="I708" s="190" t="str">
        <f t="shared" si="2"/>
        <v/>
      </c>
      <c r="J708" s="191"/>
      <c r="K708" s="191" t="str">
        <f t="shared" si="3"/>
        <v/>
      </c>
      <c r="L708" s="187"/>
      <c r="M708" s="192" t="str">
        <f t="shared" si="4"/>
        <v/>
      </c>
      <c r="N708" s="185" t="str">
        <f t="shared" si="5"/>
        <v/>
      </c>
    </row>
    <row r="709" ht="15.75" customHeight="1">
      <c r="A709" s="186"/>
      <c r="B709" s="187"/>
      <c r="C709" s="187"/>
      <c r="D709" s="188" t="str">
        <f>IF(C709="","",IFERROR(VLOOKUP(C709,Inventory!$A:$B,2,FALSE),""))</f>
        <v/>
      </c>
      <c r="E709" s="188" t="str">
        <f>IF(C709="","",IFERROR(VLOOKUP(C709,Inventory!$A:$C,3,FALSE),""))</f>
        <v/>
      </c>
      <c r="F709" s="187"/>
      <c r="G709" s="180" t="str">
        <f>IF(C709="","",IFERROR(VLOOKUP(C709,Inventory!$A:$I,9,FALSE),0))</f>
        <v/>
      </c>
      <c r="H709" s="189" t="str">
        <f t="shared" si="1"/>
        <v/>
      </c>
      <c r="I709" s="190" t="str">
        <f t="shared" si="2"/>
        <v/>
      </c>
      <c r="J709" s="191"/>
      <c r="K709" s="191" t="str">
        <f t="shared" si="3"/>
        <v/>
      </c>
      <c r="L709" s="187"/>
      <c r="M709" s="192" t="str">
        <f t="shared" si="4"/>
        <v/>
      </c>
      <c r="N709" s="185" t="str">
        <f t="shared" si="5"/>
        <v/>
      </c>
    </row>
    <row r="710" ht="15.75" customHeight="1">
      <c r="A710" s="186"/>
      <c r="B710" s="187"/>
      <c r="C710" s="187"/>
      <c r="D710" s="188" t="str">
        <f>IF(C710="","",IFERROR(VLOOKUP(C710,Inventory!$A:$B,2,FALSE),""))</f>
        <v/>
      </c>
      <c r="E710" s="188" t="str">
        <f>IF(C710="","",IFERROR(VLOOKUP(C710,Inventory!$A:$C,3,FALSE),""))</f>
        <v/>
      </c>
      <c r="F710" s="187"/>
      <c r="G710" s="180" t="str">
        <f>IF(C710="","",IFERROR(VLOOKUP(C710,Inventory!$A:$I,9,FALSE),0))</f>
        <v/>
      </c>
      <c r="H710" s="189" t="str">
        <f t="shared" si="1"/>
        <v/>
      </c>
      <c r="I710" s="190" t="str">
        <f t="shared" si="2"/>
        <v/>
      </c>
      <c r="J710" s="191"/>
      <c r="K710" s="191" t="str">
        <f t="shared" si="3"/>
        <v/>
      </c>
      <c r="L710" s="187"/>
      <c r="M710" s="192" t="str">
        <f t="shared" si="4"/>
        <v/>
      </c>
      <c r="N710" s="185" t="str">
        <f t="shared" si="5"/>
        <v/>
      </c>
    </row>
    <row r="711" ht="15.75" customHeight="1">
      <c r="A711" s="186"/>
      <c r="B711" s="187"/>
      <c r="C711" s="187"/>
      <c r="D711" s="188" t="str">
        <f>IF(C711="","",IFERROR(VLOOKUP(C711,Inventory!$A:$B,2,FALSE),""))</f>
        <v/>
      </c>
      <c r="E711" s="188" t="str">
        <f>IF(C711="","",IFERROR(VLOOKUP(C711,Inventory!$A:$C,3,FALSE),""))</f>
        <v/>
      </c>
      <c r="F711" s="187"/>
      <c r="G711" s="180" t="str">
        <f>IF(C711="","",IFERROR(VLOOKUP(C711,Inventory!$A:$I,9,FALSE),0))</f>
        <v/>
      </c>
      <c r="H711" s="189" t="str">
        <f t="shared" si="1"/>
        <v/>
      </c>
      <c r="I711" s="190" t="str">
        <f t="shared" si="2"/>
        <v/>
      </c>
      <c r="J711" s="191"/>
      <c r="K711" s="191" t="str">
        <f t="shared" si="3"/>
        <v/>
      </c>
      <c r="L711" s="187"/>
      <c r="M711" s="192" t="str">
        <f t="shared" si="4"/>
        <v/>
      </c>
      <c r="N711" s="185" t="str">
        <f t="shared" si="5"/>
        <v/>
      </c>
    </row>
    <row r="712" ht="15.75" customHeight="1">
      <c r="A712" s="186"/>
      <c r="B712" s="187"/>
      <c r="C712" s="187"/>
      <c r="D712" s="188" t="str">
        <f>IF(C712="","",IFERROR(VLOOKUP(C712,Inventory!$A:$B,2,FALSE),""))</f>
        <v/>
      </c>
      <c r="E712" s="188" t="str">
        <f>IF(C712="","",IFERROR(VLOOKUP(C712,Inventory!$A:$C,3,FALSE),""))</f>
        <v/>
      </c>
      <c r="F712" s="187"/>
      <c r="G712" s="180" t="str">
        <f>IF(C712="","",IFERROR(VLOOKUP(C712,Inventory!$A:$I,9,FALSE),0))</f>
        <v/>
      </c>
      <c r="H712" s="189" t="str">
        <f t="shared" si="1"/>
        <v/>
      </c>
      <c r="I712" s="190" t="str">
        <f t="shared" si="2"/>
        <v/>
      </c>
      <c r="J712" s="191"/>
      <c r="K712" s="191" t="str">
        <f t="shared" si="3"/>
        <v/>
      </c>
      <c r="L712" s="187"/>
      <c r="M712" s="192" t="str">
        <f t="shared" si="4"/>
        <v/>
      </c>
      <c r="N712" s="185" t="str">
        <f t="shared" si="5"/>
        <v/>
      </c>
    </row>
    <row r="713" ht="15.75" customHeight="1">
      <c r="A713" s="186"/>
      <c r="B713" s="187"/>
      <c r="C713" s="187"/>
      <c r="D713" s="188" t="str">
        <f>IF(C713="","",IFERROR(VLOOKUP(C713,Inventory!$A:$B,2,FALSE),""))</f>
        <v/>
      </c>
      <c r="E713" s="188" t="str">
        <f>IF(C713="","",IFERROR(VLOOKUP(C713,Inventory!$A:$C,3,FALSE),""))</f>
        <v/>
      </c>
      <c r="F713" s="187"/>
      <c r="G713" s="180" t="str">
        <f>IF(C713="","",IFERROR(VLOOKUP(C713,Inventory!$A:$I,9,FALSE),0))</f>
        <v/>
      </c>
      <c r="H713" s="189" t="str">
        <f t="shared" si="1"/>
        <v/>
      </c>
      <c r="I713" s="190" t="str">
        <f t="shared" si="2"/>
        <v/>
      </c>
      <c r="J713" s="191"/>
      <c r="K713" s="191" t="str">
        <f t="shared" si="3"/>
        <v/>
      </c>
      <c r="L713" s="187"/>
      <c r="M713" s="192" t="str">
        <f t="shared" si="4"/>
        <v/>
      </c>
      <c r="N713" s="185" t="str">
        <f t="shared" si="5"/>
        <v/>
      </c>
    </row>
    <row r="714" ht="15.75" customHeight="1">
      <c r="A714" s="186"/>
      <c r="B714" s="187"/>
      <c r="C714" s="187"/>
      <c r="D714" s="188" t="str">
        <f>IF(C714="","",IFERROR(VLOOKUP(C714,Inventory!$A:$B,2,FALSE),""))</f>
        <v/>
      </c>
      <c r="E714" s="188" t="str">
        <f>IF(C714="","",IFERROR(VLOOKUP(C714,Inventory!$A:$C,3,FALSE),""))</f>
        <v/>
      </c>
      <c r="F714" s="187"/>
      <c r="G714" s="180" t="str">
        <f>IF(C714="","",IFERROR(VLOOKUP(C714,Inventory!$A:$I,9,FALSE),0))</f>
        <v/>
      </c>
      <c r="H714" s="189" t="str">
        <f t="shared" si="1"/>
        <v/>
      </c>
      <c r="I714" s="190" t="str">
        <f t="shared" si="2"/>
        <v/>
      </c>
      <c r="J714" s="191"/>
      <c r="K714" s="191" t="str">
        <f t="shared" si="3"/>
        <v/>
      </c>
      <c r="L714" s="187"/>
      <c r="M714" s="192" t="str">
        <f t="shared" si="4"/>
        <v/>
      </c>
      <c r="N714" s="185" t="str">
        <f t="shared" si="5"/>
        <v/>
      </c>
    </row>
    <row r="715" ht="15.75" customHeight="1">
      <c r="A715" s="186"/>
      <c r="B715" s="187"/>
      <c r="C715" s="187"/>
      <c r="D715" s="188" t="str">
        <f>IF(C715="","",IFERROR(VLOOKUP(C715,Inventory!$A:$B,2,FALSE),""))</f>
        <v/>
      </c>
      <c r="E715" s="188" t="str">
        <f>IF(C715="","",IFERROR(VLOOKUP(C715,Inventory!$A:$C,3,FALSE),""))</f>
        <v/>
      </c>
      <c r="F715" s="187"/>
      <c r="G715" s="180" t="str">
        <f>IF(C715="","",IFERROR(VLOOKUP(C715,Inventory!$A:$I,9,FALSE),0))</f>
        <v/>
      </c>
      <c r="H715" s="189" t="str">
        <f t="shared" si="1"/>
        <v/>
      </c>
      <c r="I715" s="190" t="str">
        <f t="shared" si="2"/>
        <v/>
      </c>
      <c r="J715" s="191"/>
      <c r="K715" s="191" t="str">
        <f t="shared" si="3"/>
        <v/>
      </c>
      <c r="L715" s="187"/>
      <c r="M715" s="192" t="str">
        <f t="shared" si="4"/>
        <v/>
      </c>
      <c r="N715" s="185" t="str">
        <f t="shared" si="5"/>
        <v/>
      </c>
    </row>
    <row r="716" ht="15.75" customHeight="1">
      <c r="A716" s="186"/>
      <c r="B716" s="187"/>
      <c r="C716" s="187"/>
      <c r="D716" s="188" t="str">
        <f>IF(C716="","",IFERROR(VLOOKUP(C716,Inventory!$A:$B,2,FALSE),""))</f>
        <v/>
      </c>
      <c r="E716" s="188" t="str">
        <f>IF(C716="","",IFERROR(VLOOKUP(C716,Inventory!$A:$C,3,FALSE),""))</f>
        <v/>
      </c>
      <c r="F716" s="187"/>
      <c r="G716" s="180" t="str">
        <f>IF(C716="","",IFERROR(VLOOKUP(C716,Inventory!$A:$I,9,FALSE),0))</f>
        <v/>
      </c>
      <c r="H716" s="189" t="str">
        <f t="shared" si="1"/>
        <v/>
      </c>
      <c r="I716" s="190" t="str">
        <f t="shared" si="2"/>
        <v/>
      </c>
      <c r="J716" s="191"/>
      <c r="K716" s="191" t="str">
        <f t="shared" si="3"/>
        <v/>
      </c>
      <c r="L716" s="187"/>
      <c r="M716" s="192" t="str">
        <f t="shared" si="4"/>
        <v/>
      </c>
      <c r="N716" s="185" t="str">
        <f t="shared" si="5"/>
        <v/>
      </c>
    </row>
    <row r="717" ht="15.75" customHeight="1">
      <c r="A717" s="186"/>
      <c r="B717" s="187"/>
      <c r="C717" s="187"/>
      <c r="D717" s="188" t="str">
        <f>IF(C717="","",IFERROR(VLOOKUP(C717,Inventory!$A:$B,2,FALSE),""))</f>
        <v/>
      </c>
      <c r="E717" s="188" t="str">
        <f>IF(C717="","",IFERROR(VLOOKUP(C717,Inventory!$A:$C,3,FALSE),""))</f>
        <v/>
      </c>
      <c r="F717" s="187"/>
      <c r="G717" s="180" t="str">
        <f>IF(C717="","",IFERROR(VLOOKUP(C717,Inventory!$A:$I,9,FALSE),0))</f>
        <v/>
      </c>
      <c r="H717" s="189" t="str">
        <f t="shared" si="1"/>
        <v/>
      </c>
      <c r="I717" s="190" t="str">
        <f t="shared" si="2"/>
        <v/>
      </c>
      <c r="J717" s="191"/>
      <c r="K717" s="191" t="str">
        <f t="shared" si="3"/>
        <v/>
      </c>
      <c r="L717" s="187"/>
      <c r="M717" s="192" t="str">
        <f t="shared" si="4"/>
        <v/>
      </c>
      <c r="N717" s="185" t="str">
        <f t="shared" si="5"/>
        <v/>
      </c>
    </row>
    <row r="718" ht="15.75" customHeight="1">
      <c r="A718" s="186"/>
      <c r="B718" s="187"/>
      <c r="C718" s="187"/>
      <c r="D718" s="188" t="str">
        <f>IF(C718="","",IFERROR(VLOOKUP(C718,Inventory!$A:$B,2,FALSE),""))</f>
        <v/>
      </c>
      <c r="E718" s="188" t="str">
        <f>IF(C718="","",IFERROR(VLOOKUP(C718,Inventory!$A:$C,3,FALSE),""))</f>
        <v/>
      </c>
      <c r="F718" s="187"/>
      <c r="G718" s="180" t="str">
        <f>IF(C718="","",IFERROR(VLOOKUP(C718,Inventory!$A:$I,9,FALSE),0))</f>
        <v/>
      </c>
      <c r="H718" s="189" t="str">
        <f t="shared" si="1"/>
        <v/>
      </c>
      <c r="I718" s="190" t="str">
        <f t="shared" si="2"/>
        <v/>
      </c>
      <c r="J718" s="191"/>
      <c r="K718" s="191" t="str">
        <f t="shared" si="3"/>
        <v/>
      </c>
      <c r="L718" s="187"/>
      <c r="M718" s="192" t="str">
        <f t="shared" si="4"/>
        <v/>
      </c>
      <c r="N718" s="185" t="str">
        <f t="shared" si="5"/>
        <v/>
      </c>
    </row>
    <row r="719" ht="15.75" customHeight="1">
      <c r="A719" s="186"/>
      <c r="B719" s="187"/>
      <c r="C719" s="187"/>
      <c r="D719" s="188" t="str">
        <f>IF(C719="","",IFERROR(VLOOKUP(C719,Inventory!$A:$B,2,FALSE),""))</f>
        <v/>
      </c>
      <c r="E719" s="188" t="str">
        <f>IF(C719="","",IFERROR(VLOOKUP(C719,Inventory!$A:$C,3,FALSE),""))</f>
        <v/>
      </c>
      <c r="F719" s="187"/>
      <c r="G719" s="180" t="str">
        <f>IF(C719="","",IFERROR(VLOOKUP(C719,Inventory!$A:$I,9,FALSE),0))</f>
        <v/>
      </c>
      <c r="H719" s="189" t="str">
        <f t="shared" si="1"/>
        <v/>
      </c>
      <c r="I719" s="190" t="str">
        <f t="shared" si="2"/>
        <v/>
      </c>
      <c r="J719" s="191"/>
      <c r="K719" s="191" t="str">
        <f t="shared" si="3"/>
        <v/>
      </c>
      <c r="L719" s="187"/>
      <c r="M719" s="192" t="str">
        <f t="shared" si="4"/>
        <v/>
      </c>
      <c r="N719" s="185" t="str">
        <f t="shared" si="5"/>
        <v/>
      </c>
    </row>
    <row r="720" ht="15.75" customHeight="1">
      <c r="A720" s="186"/>
      <c r="B720" s="187"/>
      <c r="C720" s="187"/>
      <c r="D720" s="188" t="str">
        <f>IF(C720="","",IFERROR(VLOOKUP(C720,Inventory!$A:$B,2,FALSE),""))</f>
        <v/>
      </c>
      <c r="E720" s="188" t="str">
        <f>IF(C720="","",IFERROR(VLOOKUP(C720,Inventory!$A:$C,3,FALSE),""))</f>
        <v/>
      </c>
      <c r="F720" s="187"/>
      <c r="G720" s="180" t="str">
        <f>IF(C720="","",IFERROR(VLOOKUP(C720,Inventory!$A:$I,9,FALSE),0))</f>
        <v/>
      </c>
      <c r="H720" s="189" t="str">
        <f t="shared" si="1"/>
        <v/>
      </c>
      <c r="I720" s="190" t="str">
        <f t="shared" si="2"/>
        <v/>
      </c>
      <c r="J720" s="191"/>
      <c r="K720" s="191" t="str">
        <f t="shared" si="3"/>
        <v/>
      </c>
      <c r="L720" s="187"/>
      <c r="M720" s="192" t="str">
        <f t="shared" si="4"/>
        <v/>
      </c>
      <c r="N720" s="185" t="str">
        <f t="shared" si="5"/>
        <v/>
      </c>
    </row>
    <row r="721" ht="15.75" customHeight="1">
      <c r="A721" s="186"/>
      <c r="B721" s="187"/>
      <c r="C721" s="187"/>
      <c r="D721" s="188" t="str">
        <f>IF(C721="","",IFERROR(VLOOKUP(C721,Inventory!$A:$B,2,FALSE),""))</f>
        <v/>
      </c>
      <c r="E721" s="188" t="str">
        <f>IF(C721="","",IFERROR(VLOOKUP(C721,Inventory!$A:$C,3,FALSE),""))</f>
        <v/>
      </c>
      <c r="F721" s="187"/>
      <c r="G721" s="180" t="str">
        <f>IF(C721="","",IFERROR(VLOOKUP(C721,Inventory!$A:$I,9,FALSE),0))</f>
        <v/>
      </c>
      <c r="H721" s="189" t="str">
        <f t="shared" si="1"/>
        <v/>
      </c>
      <c r="I721" s="190" t="str">
        <f t="shared" si="2"/>
        <v/>
      </c>
      <c r="J721" s="191"/>
      <c r="K721" s="191" t="str">
        <f t="shared" si="3"/>
        <v/>
      </c>
      <c r="L721" s="187"/>
      <c r="M721" s="192" t="str">
        <f t="shared" si="4"/>
        <v/>
      </c>
      <c r="N721" s="185" t="str">
        <f t="shared" si="5"/>
        <v/>
      </c>
    </row>
    <row r="722" ht="15.75" customHeight="1">
      <c r="A722" s="186"/>
      <c r="B722" s="187"/>
      <c r="C722" s="187"/>
      <c r="D722" s="188" t="str">
        <f>IF(C722="","",IFERROR(VLOOKUP(C722,Inventory!$A:$B,2,FALSE),""))</f>
        <v/>
      </c>
      <c r="E722" s="188" t="str">
        <f>IF(C722="","",IFERROR(VLOOKUP(C722,Inventory!$A:$C,3,FALSE),""))</f>
        <v/>
      </c>
      <c r="F722" s="187"/>
      <c r="G722" s="180" t="str">
        <f>IF(C722="","",IFERROR(VLOOKUP(C722,Inventory!$A:$I,9,FALSE),0))</f>
        <v/>
      </c>
      <c r="H722" s="189" t="str">
        <f t="shared" si="1"/>
        <v/>
      </c>
      <c r="I722" s="190" t="str">
        <f t="shared" si="2"/>
        <v/>
      </c>
      <c r="J722" s="191"/>
      <c r="K722" s="191" t="str">
        <f t="shared" si="3"/>
        <v/>
      </c>
      <c r="L722" s="187"/>
      <c r="M722" s="192" t="str">
        <f t="shared" si="4"/>
        <v/>
      </c>
      <c r="N722" s="185" t="str">
        <f t="shared" si="5"/>
        <v/>
      </c>
    </row>
    <row r="723" ht="15.75" customHeight="1">
      <c r="A723" s="186"/>
      <c r="B723" s="187"/>
      <c r="C723" s="187"/>
      <c r="D723" s="188" t="str">
        <f>IF(C723="","",IFERROR(VLOOKUP(C723,Inventory!$A:$B,2,FALSE),""))</f>
        <v/>
      </c>
      <c r="E723" s="188" t="str">
        <f>IF(C723="","",IFERROR(VLOOKUP(C723,Inventory!$A:$C,3,FALSE),""))</f>
        <v/>
      </c>
      <c r="F723" s="187"/>
      <c r="G723" s="180" t="str">
        <f>IF(C723="","",IFERROR(VLOOKUP(C723,Inventory!$A:$I,9,FALSE),0))</f>
        <v/>
      </c>
      <c r="H723" s="189" t="str">
        <f t="shared" si="1"/>
        <v/>
      </c>
      <c r="I723" s="190" t="str">
        <f t="shared" si="2"/>
        <v/>
      </c>
      <c r="J723" s="191"/>
      <c r="K723" s="191" t="str">
        <f t="shared" si="3"/>
        <v/>
      </c>
      <c r="L723" s="187"/>
      <c r="M723" s="192" t="str">
        <f t="shared" si="4"/>
        <v/>
      </c>
      <c r="N723" s="185" t="str">
        <f t="shared" si="5"/>
        <v/>
      </c>
    </row>
    <row r="724" ht="15.75" customHeight="1">
      <c r="A724" s="186"/>
      <c r="B724" s="187"/>
      <c r="C724" s="187"/>
      <c r="D724" s="188" t="str">
        <f>IF(C724="","",IFERROR(VLOOKUP(C724,Inventory!$A:$B,2,FALSE),""))</f>
        <v/>
      </c>
      <c r="E724" s="188" t="str">
        <f>IF(C724="","",IFERROR(VLOOKUP(C724,Inventory!$A:$C,3,FALSE),""))</f>
        <v/>
      </c>
      <c r="F724" s="187"/>
      <c r="G724" s="180" t="str">
        <f>IF(C724="","",IFERROR(VLOOKUP(C724,Inventory!$A:$I,9,FALSE),0))</f>
        <v/>
      </c>
      <c r="H724" s="189" t="str">
        <f t="shared" si="1"/>
        <v/>
      </c>
      <c r="I724" s="190" t="str">
        <f t="shared" si="2"/>
        <v/>
      </c>
      <c r="J724" s="191"/>
      <c r="K724" s="191" t="str">
        <f t="shared" si="3"/>
        <v/>
      </c>
      <c r="L724" s="187"/>
      <c r="M724" s="192" t="str">
        <f t="shared" si="4"/>
        <v/>
      </c>
      <c r="N724" s="185" t="str">
        <f t="shared" si="5"/>
        <v/>
      </c>
    </row>
    <row r="725" ht="15.75" customHeight="1">
      <c r="A725" s="186"/>
      <c r="B725" s="187"/>
      <c r="C725" s="187"/>
      <c r="D725" s="188" t="str">
        <f>IF(C725="","",IFERROR(VLOOKUP(C725,Inventory!$A:$B,2,FALSE),""))</f>
        <v/>
      </c>
      <c r="E725" s="188" t="str">
        <f>IF(C725="","",IFERROR(VLOOKUP(C725,Inventory!$A:$C,3,FALSE),""))</f>
        <v/>
      </c>
      <c r="F725" s="187"/>
      <c r="G725" s="180" t="str">
        <f>IF(C725="","",IFERROR(VLOOKUP(C725,Inventory!$A:$I,9,FALSE),0))</f>
        <v/>
      </c>
      <c r="H725" s="189" t="str">
        <f t="shared" si="1"/>
        <v/>
      </c>
      <c r="I725" s="190" t="str">
        <f t="shared" si="2"/>
        <v/>
      </c>
      <c r="J725" s="191"/>
      <c r="K725" s="191" t="str">
        <f t="shared" si="3"/>
        <v/>
      </c>
      <c r="L725" s="187"/>
      <c r="M725" s="192" t="str">
        <f t="shared" si="4"/>
        <v/>
      </c>
      <c r="N725" s="185" t="str">
        <f t="shared" si="5"/>
        <v/>
      </c>
    </row>
    <row r="726" ht="15.75" customHeight="1">
      <c r="A726" s="186"/>
      <c r="B726" s="187"/>
      <c r="C726" s="187"/>
      <c r="D726" s="188" t="str">
        <f>IF(C726="","",IFERROR(VLOOKUP(C726,Inventory!$A:$B,2,FALSE),""))</f>
        <v/>
      </c>
      <c r="E726" s="188" t="str">
        <f>IF(C726="","",IFERROR(VLOOKUP(C726,Inventory!$A:$C,3,FALSE),""))</f>
        <v/>
      </c>
      <c r="F726" s="187"/>
      <c r="G726" s="180" t="str">
        <f>IF(C726="","",IFERROR(VLOOKUP(C726,Inventory!$A:$I,9,FALSE),0))</f>
        <v/>
      </c>
      <c r="H726" s="189" t="str">
        <f t="shared" si="1"/>
        <v/>
      </c>
      <c r="I726" s="190" t="str">
        <f t="shared" si="2"/>
        <v/>
      </c>
      <c r="J726" s="191"/>
      <c r="K726" s="191" t="str">
        <f t="shared" si="3"/>
        <v/>
      </c>
      <c r="L726" s="187"/>
      <c r="M726" s="192" t="str">
        <f t="shared" si="4"/>
        <v/>
      </c>
      <c r="N726" s="185" t="str">
        <f t="shared" si="5"/>
        <v/>
      </c>
    </row>
    <row r="727" ht="15.75" customHeight="1">
      <c r="A727" s="186"/>
      <c r="B727" s="187"/>
      <c r="C727" s="187"/>
      <c r="D727" s="188" t="str">
        <f>IF(C727="","",IFERROR(VLOOKUP(C727,Inventory!$A:$B,2,FALSE),""))</f>
        <v/>
      </c>
      <c r="E727" s="188" t="str">
        <f>IF(C727="","",IFERROR(VLOOKUP(C727,Inventory!$A:$C,3,FALSE),""))</f>
        <v/>
      </c>
      <c r="F727" s="187"/>
      <c r="G727" s="180" t="str">
        <f>IF(C727="","",IFERROR(VLOOKUP(C727,Inventory!$A:$I,9,FALSE),0))</f>
        <v/>
      </c>
      <c r="H727" s="189" t="str">
        <f t="shared" si="1"/>
        <v/>
      </c>
      <c r="I727" s="190" t="str">
        <f t="shared" si="2"/>
        <v/>
      </c>
      <c r="J727" s="191"/>
      <c r="K727" s="191" t="str">
        <f t="shared" si="3"/>
        <v/>
      </c>
      <c r="L727" s="187"/>
      <c r="M727" s="192" t="str">
        <f t="shared" si="4"/>
        <v/>
      </c>
      <c r="N727" s="185" t="str">
        <f t="shared" si="5"/>
        <v/>
      </c>
    </row>
    <row r="728" ht="15.75" customHeight="1">
      <c r="A728" s="186"/>
      <c r="B728" s="187"/>
      <c r="C728" s="187"/>
      <c r="D728" s="188" t="str">
        <f>IF(C728="","",IFERROR(VLOOKUP(C728,Inventory!$A:$B,2,FALSE),""))</f>
        <v/>
      </c>
      <c r="E728" s="188" t="str">
        <f>IF(C728="","",IFERROR(VLOOKUP(C728,Inventory!$A:$C,3,FALSE),""))</f>
        <v/>
      </c>
      <c r="F728" s="187"/>
      <c r="G728" s="180" t="str">
        <f>IF(C728="","",IFERROR(VLOOKUP(C728,Inventory!$A:$I,9,FALSE),0))</f>
        <v/>
      </c>
      <c r="H728" s="189" t="str">
        <f t="shared" si="1"/>
        <v/>
      </c>
      <c r="I728" s="190" t="str">
        <f t="shared" si="2"/>
        <v/>
      </c>
      <c r="J728" s="191"/>
      <c r="K728" s="191" t="str">
        <f t="shared" si="3"/>
        <v/>
      </c>
      <c r="L728" s="187"/>
      <c r="M728" s="192" t="str">
        <f t="shared" si="4"/>
        <v/>
      </c>
      <c r="N728" s="185" t="str">
        <f t="shared" si="5"/>
        <v/>
      </c>
    </row>
    <row r="729" ht="15.75" customHeight="1">
      <c r="A729" s="186"/>
      <c r="B729" s="187"/>
      <c r="C729" s="187"/>
      <c r="D729" s="188" t="str">
        <f>IF(C729="","",IFERROR(VLOOKUP(C729,Inventory!$A:$B,2,FALSE),""))</f>
        <v/>
      </c>
      <c r="E729" s="188" t="str">
        <f>IF(C729="","",IFERROR(VLOOKUP(C729,Inventory!$A:$C,3,FALSE),""))</f>
        <v/>
      </c>
      <c r="F729" s="187"/>
      <c r="G729" s="180" t="str">
        <f>IF(C729="","",IFERROR(VLOOKUP(C729,Inventory!$A:$I,9,FALSE),0))</f>
        <v/>
      </c>
      <c r="H729" s="189" t="str">
        <f t="shared" si="1"/>
        <v/>
      </c>
      <c r="I729" s="190" t="str">
        <f t="shared" si="2"/>
        <v/>
      </c>
      <c r="J729" s="191"/>
      <c r="K729" s="191" t="str">
        <f t="shared" si="3"/>
        <v/>
      </c>
      <c r="L729" s="187"/>
      <c r="M729" s="192" t="str">
        <f t="shared" si="4"/>
        <v/>
      </c>
      <c r="N729" s="185" t="str">
        <f t="shared" si="5"/>
        <v/>
      </c>
    </row>
    <row r="730" ht="15.75" customHeight="1">
      <c r="A730" s="186"/>
      <c r="B730" s="187"/>
      <c r="C730" s="187"/>
      <c r="D730" s="188" t="str">
        <f>IF(C730="","",IFERROR(VLOOKUP(C730,Inventory!$A:$B,2,FALSE),""))</f>
        <v/>
      </c>
      <c r="E730" s="188" t="str">
        <f>IF(C730="","",IFERROR(VLOOKUP(C730,Inventory!$A:$C,3,FALSE),""))</f>
        <v/>
      </c>
      <c r="F730" s="187"/>
      <c r="G730" s="180" t="str">
        <f>IF(C730="","",IFERROR(VLOOKUP(C730,Inventory!$A:$I,9,FALSE),0))</f>
        <v/>
      </c>
      <c r="H730" s="189" t="str">
        <f t="shared" si="1"/>
        <v/>
      </c>
      <c r="I730" s="190" t="str">
        <f t="shared" si="2"/>
        <v/>
      </c>
      <c r="J730" s="191"/>
      <c r="K730" s="191" t="str">
        <f t="shared" si="3"/>
        <v/>
      </c>
      <c r="L730" s="187"/>
      <c r="M730" s="192" t="str">
        <f t="shared" si="4"/>
        <v/>
      </c>
      <c r="N730" s="185" t="str">
        <f t="shared" si="5"/>
        <v/>
      </c>
    </row>
    <row r="731" ht="15.75" customHeight="1">
      <c r="A731" s="186"/>
      <c r="B731" s="187"/>
      <c r="C731" s="187"/>
      <c r="D731" s="188" t="str">
        <f>IF(C731="","",IFERROR(VLOOKUP(C731,Inventory!$A:$B,2,FALSE),""))</f>
        <v/>
      </c>
      <c r="E731" s="188" t="str">
        <f>IF(C731="","",IFERROR(VLOOKUP(C731,Inventory!$A:$C,3,FALSE),""))</f>
        <v/>
      </c>
      <c r="F731" s="187"/>
      <c r="G731" s="180" t="str">
        <f>IF(C731="","",IFERROR(VLOOKUP(C731,Inventory!$A:$I,9,FALSE),0))</f>
        <v/>
      </c>
      <c r="H731" s="189" t="str">
        <f t="shared" si="1"/>
        <v/>
      </c>
      <c r="I731" s="190" t="str">
        <f t="shared" si="2"/>
        <v/>
      </c>
      <c r="J731" s="191"/>
      <c r="K731" s="191" t="str">
        <f t="shared" si="3"/>
        <v/>
      </c>
      <c r="L731" s="187"/>
      <c r="M731" s="192" t="str">
        <f t="shared" si="4"/>
        <v/>
      </c>
      <c r="N731" s="185" t="str">
        <f t="shared" si="5"/>
        <v/>
      </c>
    </row>
    <row r="732" ht="15.75" customHeight="1">
      <c r="A732" s="186"/>
      <c r="B732" s="187"/>
      <c r="C732" s="187"/>
      <c r="D732" s="188" t="str">
        <f>IF(C732="","",IFERROR(VLOOKUP(C732,Inventory!$A:$B,2,FALSE),""))</f>
        <v/>
      </c>
      <c r="E732" s="188" t="str">
        <f>IF(C732="","",IFERROR(VLOOKUP(C732,Inventory!$A:$C,3,FALSE),""))</f>
        <v/>
      </c>
      <c r="F732" s="187"/>
      <c r="G732" s="180" t="str">
        <f>IF(C732="","",IFERROR(VLOOKUP(C732,Inventory!$A:$I,9,FALSE),0))</f>
        <v/>
      </c>
      <c r="H732" s="189" t="str">
        <f t="shared" si="1"/>
        <v/>
      </c>
      <c r="I732" s="190" t="str">
        <f t="shared" si="2"/>
        <v/>
      </c>
      <c r="J732" s="191"/>
      <c r="K732" s="191" t="str">
        <f t="shared" si="3"/>
        <v/>
      </c>
      <c r="L732" s="187"/>
      <c r="M732" s="192" t="str">
        <f t="shared" si="4"/>
        <v/>
      </c>
      <c r="N732" s="185" t="str">
        <f t="shared" si="5"/>
        <v/>
      </c>
    </row>
    <row r="733" ht="15.75" customHeight="1">
      <c r="A733" s="186"/>
      <c r="B733" s="187"/>
      <c r="C733" s="187"/>
      <c r="D733" s="188" t="str">
        <f>IF(C733="","",IFERROR(VLOOKUP(C733,Inventory!$A:$B,2,FALSE),""))</f>
        <v/>
      </c>
      <c r="E733" s="188" t="str">
        <f>IF(C733="","",IFERROR(VLOOKUP(C733,Inventory!$A:$C,3,FALSE),""))</f>
        <v/>
      </c>
      <c r="F733" s="187"/>
      <c r="G733" s="180" t="str">
        <f>IF(C733="","",IFERROR(VLOOKUP(C733,Inventory!$A:$I,9,FALSE),0))</f>
        <v/>
      </c>
      <c r="H733" s="189" t="str">
        <f t="shared" si="1"/>
        <v/>
      </c>
      <c r="I733" s="190" t="str">
        <f t="shared" si="2"/>
        <v/>
      </c>
      <c r="J733" s="191"/>
      <c r="K733" s="191" t="str">
        <f t="shared" si="3"/>
        <v/>
      </c>
      <c r="L733" s="187"/>
      <c r="M733" s="192" t="str">
        <f t="shared" si="4"/>
        <v/>
      </c>
      <c r="N733" s="185" t="str">
        <f t="shared" si="5"/>
        <v/>
      </c>
    </row>
    <row r="734" ht="15.75" customHeight="1">
      <c r="A734" s="186"/>
      <c r="B734" s="187"/>
      <c r="C734" s="187"/>
      <c r="D734" s="188" t="str">
        <f>IF(C734="","",IFERROR(VLOOKUP(C734,Inventory!$A:$B,2,FALSE),""))</f>
        <v/>
      </c>
      <c r="E734" s="188" t="str">
        <f>IF(C734="","",IFERROR(VLOOKUP(C734,Inventory!$A:$C,3,FALSE),""))</f>
        <v/>
      </c>
      <c r="F734" s="187"/>
      <c r="G734" s="180" t="str">
        <f>IF(C734="","",IFERROR(VLOOKUP(C734,Inventory!$A:$I,9,FALSE),0))</f>
        <v/>
      </c>
      <c r="H734" s="189" t="str">
        <f t="shared" si="1"/>
        <v/>
      </c>
      <c r="I734" s="190" t="str">
        <f t="shared" si="2"/>
        <v/>
      </c>
      <c r="J734" s="191"/>
      <c r="K734" s="191" t="str">
        <f t="shared" si="3"/>
        <v/>
      </c>
      <c r="L734" s="187"/>
      <c r="M734" s="192" t="str">
        <f t="shared" si="4"/>
        <v/>
      </c>
      <c r="N734" s="185" t="str">
        <f t="shared" si="5"/>
        <v/>
      </c>
    </row>
    <row r="735" ht="15.75" customHeight="1">
      <c r="A735" s="186"/>
      <c r="B735" s="187"/>
      <c r="C735" s="187"/>
      <c r="D735" s="188" t="str">
        <f>IF(C735="","",IFERROR(VLOOKUP(C735,Inventory!$A:$B,2,FALSE),""))</f>
        <v/>
      </c>
      <c r="E735" s="188" t="str">
        <f>IF(C735="","",IFERROR(VLOOKUP(C735,Inventory!$A:$C,3,FALSE),""))</f>
        <v/>
      </c>
      <c r="F735" s="187"/>
      <c r="G735" s="180" t="str">
        <f>IF(C735="","",IFERROR(VLOOKUP(C735,Inventory!$A:$I,9,FALSE),0))</f>
        <v/>
      </c>
      <c r="H735" s="189" t="str">
        <f t="shared" si="1"/>
        <v/>
      </c>
      <c r="I735" s="190" t="str">
        <f t="shared" si="2"/>
        <v/>
      </c>
      <c r="J735" s="191"/>
      <c r="K735" s="191" t="str">
        <f t="shared" si="3"/>
        <v/>
      </c>
      <c r="L735" s="187"/>
      <c r="M735" s="192" t="str">
        <f t="shared" si="4"/>
        <v/>
      </c>
      <c r="N735" s="185" t="str">
        <f t="shared" si="5"/>
        <v/>
      </c>
    </row>
    <row r="736" ht="15.75" customHeight="1">
      <c r="A736" s="186"/>
      <c r="B736" s="187"/>
      <c r="C736" s="187"/>
      <c r="D736" s="188" t="str">
        <f>IF(C736="","",IFERROR(VLOOKUP(C736,Inventory!$A:$B,2,FALSE),""))</f>
        <v/>
      </c>
      <c r="E736" s="188" t="str">
        <f>IF(C736="","",IFERROR(VLOOKUP(C736,Inventory!$A:$C,3,FALSE),""))</f>
        <v/>
      </c>
      <c r="F736" s="187"/>
      <c r="G736" s="180" t="str">
        <f>IF(C736="","",IFERROR(VLOOKUP(C736,Inventory!$A:$I,9,FALSE),0))</f>
        <v/>
      </c>
      <c r="H736" s="189" t="str">
        <f t="shared" si="1"/>
        <v/>
      </c>
      <c r="I736" s="190" t="str">
        <f t="shared" si="2"/>
        <v/>
      </c>
      <c r="J736" s="191"/>
      <c r="K736" s="191" t="str">
        <f t="shared" si="3"/>
        <v/>
      </c>
      <c r="L736" s="187"/>
      <c r="M736" s="192" t="str">
        <f t="shared" si="4"/>
        <v/>
      </c>
      <c r="N736" s="185" t="str">
        <f t="shared" si="5"/>
        <v/>
      </c>
    </row>
    <row r="737" ht="15.75" customHeight="1">
      <c r="A737" s="186"/>
      <c r="B737" s="187"/>
      <c r="C737" s="187"/>
      <c r="D737" s="188" t="str">
        <f>IF(C737="","",IFERROR(VLOOKUP(C737,Inventory!$A:$B,2,FALSE),""))</f>
        <v/>
      </c>
      <c r="E737" s="188" t="str">
        <f>IF(C737="","",IFERROR(VLOOKUP(C737,Inventory!$A:$C,3,FALSE),""))</f>
        <v/>
      </c>
      <c r="F737" s="187"/>
      <c r="G737" s="180" t="str">
        <f>IF(C737="","",IFERROR(VLOOKUP(C737,Inventory!$A:$I,9,FALSE),0))</f>
        <v/>
      </c>
      <c r="H737" s="189" t="str">
        <f t="shared" si="1"/>
        <v/>
      </c>
      <c r="I737" s="190" t="str">
        <f t="shared" si="2"/>
        <v/>
      </c>
      <c r="J737" s="191"/>
      <c r="K737" s="191" t="str">
        <f t="shared" si="3"/>
        <v/>
      </c>
      <c r="L737" s="187"/>
      <c r="M737" s="192" t="str">
        <f t="shared" si="4"/>
        <v/>
      </c>
      <c r="N737" s="185" t="str">
        <f t="shared" si="5"/>
        <v/>
      </c>
    </row>
    <row r="738" ht="15.75" customHeight="1">
      <c r="A738" s="186"/>
      <c r="B738" s="187"/>
      <c r="C738" s="187"/>
      <c r="D738" s="188" t="str">
        <f>IF(C738="","",IFERROR(VLOOKUP(C738,Inventory!$A:$B,2,FALSE),""))</f>
        <v/>
      </c>
      <c r="E738" s="188" t="str">
        <f>IF(C738="","",IFERROR(VLOOKUP(C738,Inventory!$A:$C,3,FALSE),""))</f>
        <v/>
      </c>
      <c r="F738" s="187"/>
      <c r="G738" s="180" t="str">
        <f>IF(C738="","",IFERROR(VLOOKUP(C738,Inventory!$A:$I,9,FALSE),0))</f>
        <v/>
      </c>
      <c r="H738" s="189" t="str">
        <f t="shared" si="1"/>
        <v/>
      </c>
      <c r="I738" s="190" t="str">
        <f t="shared" si="2"/>
        <v/>
      </c>
      <c r="J738" s="191"/>
      <c r="K738" s="191" t="str">
        <f t="shared" si="3"/>
        <v/>
      </c>
      <c r="L738" s="187"/>
      <c r="M738" s="192" t="str">
        <f t="shared" si="4"/>
        <v/>
      </c>
      <c r="N738" s="185" t="str">
        <f t="shared" si="5"/>
        <v/>
      </c>
    </row>
    <row r="739" ht="15.75" customHeight="1">
      <c r="A739" s="186"/>
      <c r="B739" s="187"/>
      <c r="C739" s="187"/>
      <c r="D739" s="188" t="str">
        <f>IF(C739="","",IFERROR(VLOOKUP(C739,Inventory!$A:$B,2,FALSE),""))</f>
        <v/>
      </c>
      <c r="E739" s="188" t="str">
        <f>IF(C739="","",IFERROR(VLOOKUP(C739,Inventory!$A:$C,3,FALSE),""))</f>
        <v/>
      </c>
      <c r="F739" s="187"/>
      <c r="G739" s="180" t="str">
        <f>IF(C739="","",IFERROR(VLOOKUP(C739,Inventory!$A:$I,9,FALSE),0))</f>
        <v/>
      </c>
      <c r="H739" s="189" t="str">
        <f t="shared" si="1"/>
        <v/>
      </c>
      <c r="I739" s="190" t="str">
        <f t="shared" si="2"/>
        <v/>
      </c>
      <c r="J739" s="191"/>
      <c r="K739" s="191" t="str">
        <f t="shared" si="3"/>
        <v/>
      </c>
      <c r="L739" s="187"/>
      <c r="M739" s="192" t="str">
        <f t="shared" si="4"/>
        <v/>
      </c>
      <c r="N739" s="185" t="str">
        <f t="shared" si="5"/>
        <v/>
      </c>
    </row>
    <row r="740" ht="15.75" customHeight="1">
      <c r="A740" s="186"/>
      <c r="B740" s="187"/>
      <c r="C740" s="187"/>
      <c r="D740" s="188" t="str">
        <f>IF(C740="","",IFERROR(VLOOKUP(C740,Inventory!$A:$B,2,FALSE),""))</f>
        <v/>
      </c>
      <c r="E740" s="188" t="str">
        <f>IF(C740="","",IFERROR(VLOOKUP(C740,Inventory!$A:$C,3,FALSE),""))</f>
        <v/>
      </c>
      <c r="F740" s="187"/>
      <c r="G740" s="180" t="str">
        <f>IF(C740="","",IFERROR(VLOOKUP(C740,Inventory!$A:$I,9,FALSE),0))</f>
        <v/>
      </c>
      <c r="H740" s="189" t="str">
        <f t="shared" si="1"/>
        <v/>
      </c>
      <c r="I740" s="190" t="str">
        <f t="shared" si="2"/>
        <v/>
      </c>
      <c r="J740" s="191"/>
      <c r="K740" s="191" t="str">
        <f t="shared" si="3"/>
        <v/>
      </c>
      <c r="L740" s="187"/>
      <c r="M740" s="192" t="str">
        <f t="shared" si="4"/>
        <v/>
      </c>
      <c r="N740" s="185" t="str">
        <f t="shared" si="5"/>
        <v/>
      </c>
    </row>
    <row r="741" ht="15.75" customHeight="1">
      <c r="A741" s="186"/>
      <c r="B741" s="187"/>
      <c r="C741" s="187"/>
      <c r="D741" s="188" t="str">
        <f>IF(C741="","",IFERROR(VLOOKUP(C741,Inventory!$A:$B,2,FALSE),""))</f>
        <v/>
      </c>
      <c r="E741" s="188" t="str">
        <f>IF(C741="","",IFERROR(VLOOKUP(C741,Inventory!$A:$C,3,FALSE),""))</f>
        <v/>
      </c>
      <c r="F741" s="187"/>
      <c r="G741" s="180" t="str">
        <f>IF(C741="","",IFERROR(VLOOKUP(C741,Inventory!$A:$I,9,FALSE),0))</f>
        <v/>
      </c>
      <c r="H741" s="189" t="str">
        <f t="shared" si="1"/>
        <v/>
      </c>
      <c r="I741" s="190" t="str">
        <f t="shared" si="2"/>
        <v/>
      </c>
      <c r="J741" s="191"/>
      <c r="K741" s="191" t="str">
        <f t="shared" si="3"/>
        <v/>
      </c>
      <c r="L741" s="187"/>
      <c r="M741" s="192" t="str">
        <f t="shared" si="4"/>
        <v/>
      </c>
      <c r="N741" s="185" t="str">
        <f t="shared" si="5"/>
        <v/>
      </c>
    </row>
    <row r="742" ht="15.75" customHeight="1">
      <c r="A742" s="186"/>
      <c r="B742" s="187"/>
      <c r="C742" s="187"/>
      <c r="D742" s="188" t="str">
        <f>IF(C742="","",IFERROR(VLOOKUP(C742,Inventory!$A:$B,2,FALSE),""))</f>
        <v/>
      </c>
      <c r="E742" s="188" t="str">
        <f>IF(C742="","",IFERROR(VLOOKUP(C742,Inventory!$A:$C,3,FALSE),""))</f>
        <v/>
      </c>
      <c r="F742" s="187"/>
      <c r="G742" s="180" t="str">
        <f>IF(C742="","",IFERROR(VLOOKUP(C742,Inventory!$A:$I,9,FALSE),0))</f>
        <v/>
      </c>
      <c r="H742" s="189" t="str">
        <f t="shared" si="1"/>
        <v/>
      </c>
      <c r="I742" s="190" t="str">
        <f t="shared" si="2"/>
        <v/>
      </c>
      <c r="J742" s="191"/>
      <c r="K742" s="191" t="str">
        <f t="shared" si="3"/>
        <v/>
      </c>
      <c r="L742" s="187"/>
      <c r="M742" s="192" t="str">
        <f t="shared" si="4"/>
        <v/>
      </c>
      <c r="N742" s="185" t="str">
        <f t="shared" si="5"/>
        <v/>
      </c>
    </row>
    <row r="743" ht="15.75" customHeight="1">
      <c r="A743" s="186"/>
      <c r="B743" s="187"/>
      <c r="C743" s="187"/>
      <c r="D743" s="188" t="str">
        <f>IF(C743="","",IFERROR(VLOOKUP(C743,Inventory!$A:$B,2,FALSE),""))</f>
        <v/>
      </c>
      <c r="E743" s="188" t="str">
        <f>IF(C743="","",IFERROR(VLOOKUP(C743,Inventory!$A:$C,3,FALSE),""))</f>
        <v/>
      </c>
      <c r="F743" s="187"/>
      <c r="G743" s="180" t="str">
        <f>IF(C743="","",IFERROR(VLOOKUP(C743,Inventory!$A:$I,9,FALSE),0))</f>
        <v/>
      </c>
      <c r="H743" s="189" t="str">
        <f t="shared" si="1"/>
        <v/>
      </c>
      <c r="I743" s="190" t="str">
        <f t="shared" si="2"/>
        <v/>
      </c>
      <c r="J743" s="191"/>
      <c r="K743" s="191" t="str">
        <f t="shared" si="3"/>
        <v/>
      </c>
      <c r="L743" s="187"/>
      <c r="M743" s="192" t="str">
        <f t="shared" si="4"/>
        <v/>
      </c>
      <c r="N743" s="185" t="str">
        <f t="shared" si="5"/>
        <v/>
      </c>
    </row>
    <row r="744" ht="15.75" customHeight="1">
      <c r="A744" s="186"/>
      <c r="B744" s="187"/>
      <c r="C744" s="187"/>
      <c r="D744" s="188" t="str">
        <f>IF(C744="","",IFERROR(VLOOKUP(C744,Inventory!$A:$B,2,FALSE),""))</f>
        <v/>
      </c>
      <c r="E744" s="188" t="str">
        <f>IF(C744="","",IFERROR(VLOOKUP(C744,Inventory!$A:$C,3,FALSE),""))</f>
        <v/>
      </c>
      <c r="F744" s="187"/>
      <c r="G744" s="180" t="str">
        <f>IF(C744="","",IFERROR(VLOOKUP(C744,Inventory!$A:$I,9,FALSE),0))</f>
        <v/>
      </c>
      <c r="H744" s="189" t="str">
        <f t="shared" si="1"/>
        <v/>
      </c>
      <c r="I744" s="190" t="str">
        <f t="shared" si="2"/>
        <v/>
      </c>
      <c r="J744" s="191"/>
      <c r="K744" s="191" t="str">
        <f t="shared" si="3"/>
        <v/>
      </c>
      <c r="L744" s="187"/>
      <c r="M744" s="192" t="str">
        <f t="shared" si="4"/>
        <v/>
      </c>
      <c r="N744" s="185" t="str">
        <f t="shared" si="5"/>
        <v/>
      </c>
    </row>
    <row r="745" ht="15.75" customHeight="1">
      <c r="A745" s="186"/>
      <c r="B745" s="187"/>
      <c r="C745" s="187"/>
      <c r="D745" s="188" t="str">
        <f>IF(C745="","",IFERROR(VLOOKUP(C745,Inventory!$A:$B,2,FALSE),""))</f>
        <v/>
      </c>
      <c r="E745" s="188" t="str">
        <f>IF(C745="","",IFERROR(VLOOKUP(C745,Inventory!$A:$C,3,FALSE),""))</f>
        <v/>
      </c>
      <c r="F745" s="187"/>
      <c r="G745" s="180" t="str">
        <f>IF(C745="","",IFERROR(VLOOKUP(C745,Inventory!$A:$I,9,FALSE),0))</f>
        <v/>
      </c>
      <c r="H745" s="189" t="str">
        <f t="shared" si="1"/>
        <v/>
      </c>
      <c r="I745" s="190" t="str">
        <f t="shared" si="2"/>
        <v/>
      </c>
      <c r="J745" s="191"/>
      <c r="K745" s="191" t="str">
        <f t="shared" si="3"/>
        <v/>
      </c>
      <c r="L745" s="187"/>
      <c r="M745" s="192" t="str">
        <f t="shared" si="4"/>
        <v/>
      </c>
      <c r="N745" s="185" t="str">
        <f t="shared" si="5"/>
        <v/>
      </c>
    </row>
    <row r="746" ht="15.75" customHeight="1">
      <c r="A746" s="186"/>
      <c r="B746" s="187"/>
      <c r="C746" s="187"/>
      <c r="D746" s="188" t="str">
        <f>IF(C746="","",IFERROR(VLOOKUP(C746,Inventory!$A:$B,2,FALSE),""))</f>
        <v/>
      </c>
      <c r="E746" s="188" t="str">
        <f>IF(C746="","",IFERROR(VLOOKUP(C746,Inventory!$A:$C,3,FALSE),""))</f>
        <v/>
      </c>
      <c r="F746" s="187"/>
      <c r="G746" s="180" t="str">
        <f>IF(C746="","",IFERROR(VLOOKUP(C746,Inventory!$A:$I,9,FALSE),0))</f>
        <v/>
      </c>
      <c r="H746" s="189" t="str">
        <f t="shared" si="1"/>
        <v/>
      </c>
      <c r="I746" s="190" t="str">
        <f t="shared" si="2"/>
        <v/>
      </c>
      <c r="J746" s="191"/>
      <c r="K746" s="191" t="str">
        <f t="shared" si="3"/>
        <v/>
      </c>
      <c r="L746" s="187"/>
      <c r="M746" s="192" t="str">
        <f t="shared" si="4"/>
        <v/>
      </c>
      <c r="N746" s="185" t="str">
        <f t="shared" si="5"/>
        <v/>
      </c>
    </row>
    <row r="747" ht="15.75" customHeight="1">
      <c r="A747" s="186"/>
      <c r="B747" s="187"/>
      <c r="C747" s="187"/>
      <c r="D747" s="188" t="str">
        <f>IF(C747="","",IFERROR(VLOOKUP(C747,Inventory!$A:$B,2,FALSE),""))</f>
        <v/>
      </c>
      <c r="E747" s="188" t="str">
        <f>IF(C747="","",IFERROR(VLOOKUP(C747,Inventory!$A:$C,3,FALSE),""))</f>
        <v/>
      </c>
      <c r="F747" s="187"/>
      <c r="G747" s="180" t="str">
        <f>IF(C747="","",IFERROR(VLOOKUP(C747,Inventory!$A:$I,9,FALSE),0))</f>
        <v/>
      </c>
      <c r="H747" s="189" t="str">
        <f t="shared" si="1"/>
        <v/>
      </c>
      <c r="I747" s="190" t="str">
        <f t="shared" si="2"/>
        <v/>
      </c>
      <c r="J747" s="191"/>
      <c r="K747" s="191" t="str">
        <f t="shared" si="3"/>
        <v/>
      </c>
      <c r="L747" s="187"/>
      <c r="M747" s="192" t="str">
        <f t="shared" si="4"/>
        <v/>
      </c>
      <c r="N747" s="185" t="str">
        <f t="shared" si="5"/>
        <v/>
      </c>
    </row>
    <row r="748" ht="15.75" customHeight="1">
      <c r="A748" s="186"/>
      <c r="B748" s="187"/>
      <c r="C748" s="187"/>
      <c r="D748" s="188" t="str">
        <f>IF(C748="","",IFERROR(VLOOKUP(C748,Inventory!$A:$B,2,FALSE),""))</f>
        <v/>
      </c>
      <c r="E748" s="188" t="str">
        <f>IF(C748="","",IFERROR(VLOOKUP(C748,Inventory!$A:$C,3,FALSE),""))</f>
        <v/>
      </c>
      <c r="F748" s="187"/>
      <c r="G748" s="180" t="str">
        <f>IF(C748="","",IFERROR(VLOOKUP(C748,Inventory!$A:$I,9,FALSE),0))</f>
        <v/>
      </c>
      <c r="H748" s="189" t="str">
        <f t="shared" si="1"/>
        <v/>
      </c>
      <c r="I748" s="190" t="str">
        <f t="shared" si="2"/>
        <v/>
      </c>
      <c r="J748" s="191"/>
      <c r="K748" s="191" t="str">
        <f t="shared" si="3"/>
        <v/>
      </c>
      <c r="L748" s="187"/>
      <c r="M748" s="192" t="str">
        <f t="shared" si="4"/>
        <v/>
      </c>
      <c r="N748" s="185" t="str">
        <f t="shared" si="5"/>
        <v/>
      </c>
    </row>
    <row r="749" ht="15.75" customHeight="1">
      <c r="A749" s="186"/>
      <c r="B749" s="187"/>
      <c r="C749" s="187"/>
      <c r="D749" s="188" t="str">
        <f>IF(C749="","",IFERROR(VLOOKUP(C749,Inventory!$A:$B,2,FALSE),""))</f>
        <v/>
      </c>
      <c r="E749" s="188" t="str">
        <f>IF(C749="","",IFERROR(VLOOKUP(C749,Inventory!$A:$C,3,FALSE),""))</f>
        <v/>
      </c>
      <c r="F749" s="187"/>
      <c r="G749" s="180" t="str">
        <f>IF(C749="","",IFERROR(VLOOKUP(C749,Inventory!$A:$I,9,FALSE),0))</f>
        <v/>
      </c>
      <c r="H749" s="189" t="str">
        <f t="shared" si="1"/>
        <v/>
      </c>
      <c r="I749" s="190" t="str">
        <f t="shared" si="2"/>
        <v/>
      </c>
      <c r="J749" s="191"/>
      <c r="K749" s="191" t="str">
        <f t="shared" si="3"/>
        <v/>
      </c>
      <c r="L749" s="187"/>
      <c r="M749" s="192" t="str">
        <f t="shared" si="4"/>
        <v/>
      </c>
      <c r="N749" s="185" t="str">
        <f t="shared" si="5"/>
        <v/>
      </c>
    </row>
    <row r="750" ht="15.75" customHeight="1">
      <c r="A750" s="186"/>
      <c r="B750" s="187"/>
      <c r="C750" s="187"/>
      <c r="D750" s="188" t="str">
        <f>IF(C750="","",IFERROR(VLOOKUP(C750,Inventory!$A:$B,2,FALSE),""))</f>
        <v/>
      </c>
      <c r="E750" s="188" t="str">
        <f>IF(C750="","",IFERROR(VLOOKUP(C750,Inventory!$A:$C,3,FALSE),""))</f>
        <v/>
      </c>
      <c r="F750" s="187"/>
      <c r="G750" s="180" t="str">
        <f>IF(C750="","",IFERROR(VLOOKUP(C750,Inventory!$A:$I,9,FALSE),0))</f>
        <v/>
      </c>
      <c r="H750" s="189" t="str">
        <f t="shared" si="1"/>
        <v/>
      </c>
      <c r="I750" s="190" t="str">
        <f t="shared" si="2"/>
        <v/>
      </c>
      <c r="J750" s="191"/>
      <c r="K750" s="191" t="str">
        <f t="shared" si="3"/>
        <v/>
      </c>
      <c r="L750" s="187"/>
      <c r="M750" s="192" t="str">
        <f t="shared" si="4"/>
        <v/>
      </c>
      <c r="N750" s="185" t="str">
        <f t="shared" si="5"/>
        <v/>
      </c>
    </row>
    <row r="751" ht="15.75" customHeight="1">
      <c r="A751" s="186"/>
      <c r="B751" s="187"/>
      <c r="C751" s="187"/>
      <c r="D751" s="188" t="str">
        <f>IF(C751="","",IFERROR(VLOOKUP(C751,Inventory!$A:$B,2,FALSE),""))</f>
        <v/>
      </c>
      <c r="E751" s="188" t="str">
        <f>IF(C751="","",IFERROR(VLOOKUP(C751,Inventory!$A:$C,3,FALSE),""))</f>
        <v/>
      </c>
      <c r="F751" s="187"/>
      <c r="G751" s="180" t="str">
        <f>IF(C751="","",IFERROR(VLOOKUP(C751,Inventory!$A:$I,9,FALSE),0))</f>
        <v/>
      </c>
      <c r="H751" s="189" t="str">
        <f t="shared" si="1"/>
        <v/>
      </c>
      <c r="I751" s="190" t="str">
        <f t="shared" si="2"/>
        <v/>
      </c>
      <c r="J751" s="191"/>
      <c r="K751" s="191" t="str">
        <f t="shared" si="3"/>
        <v/>
      </c>
      <c r="L751" s="187"/>
      <c r="M751" s="192" t="str">
        <f t="shared" si="4"/>
        <v/>
      </c>
      <c r="N751" s="185" t="str">
        <f t="shared" si="5"/>
        <v/>
      </c>
    </row>
    <row r="752" ht="15.75" customHeight="1">
      <c r="A752" s="186"/>
      <c r="B752" s="187"/>
      <c r="C752" s="187"/>
      <c r="D752" s="188" t="str">
        <f>IF(C752="","",IFERROR(VLOOKUP(C752,Inventory!$A:$B,2,FALSE),""))</f>
        <v/>
      </c>
      <c r="E752" s="188" t="str">
        <f>IF(C752="","",IFERROR(VLOOKUP(C752,Inventory!$A:$C,3,FALSE),""))</f>
        <v/>
      </c>
      <c r="F752" s="187"/>
      <c r="G752" s="180" t="str">
        <f>IF(C752="","",IFERROR(VLOOKUP(C752,Inventory!$A:$I,9,FALSE),0))</f>
        <v/>
      </c>
      <c r="H752" s="189" t="str">
        <f t="shared" si="1"/>
        <v/>
      </c>
      <c r="I752" s="190" t="str">
        <f t="shared" si="2"/>
        <v/>
      </c>
      <c r="J752" s="191"/>
      <c r="K752" s="191" t="str">
        <f t="shared" si="3"/>
        <v/>
      </c>
      <c r="L752" s="187"/>
      <c r="M752" s="192" t="str">
        <f t="shared" si="4"/>
        <v/>
      </c>
      <c r="N752" s="185" t="str">
        <f t="shared" si="5"/>
        <v/>
      </c>
    </row>
    <row r="753" ht="15.75" customHeight="1">
      <c r="A753" s="186"/>
      <c r="B753" s="187"/>
      <c r="C753" s="187"/>
      <c r="D753" s="188" t="str">
        <f>IF(C753="","",IFERROR(VLOOKUP(C753,Inventory!$A:$B,2,FALSE),""))</f>
        <v/>
      </c>
      <c r="E753" s="188" t="str">
        <f>IF(C753="","",IFERROR(VLOOKUP(C753,Inventory!$A:$C,3,FALSE),""))</f>
        <v/>
      </c>
      <c r="F753" s="187"/>
      <c r="G753" s="180" t="str">
        <f>IF(C753="","",IFERROR(VLOOKUP(C753,Inventory!$A:$I,9,FALSE),0))</f>
        <v/>
      </c>
      <c r="H753" s="189" t="str">
        <f t="shared" si="1"/>
        <v/>
      </c>
      <c r="I753" s="190" t="str">
        <f t="shared" si="2"/>
        <v/>
      </c>
      <c r="J753" s="191"/>
      <c r="K753" s="191" t="str">
        <f t="shared" si="3"/>
        <v/>
      </c>
      <c r="L753" s="187"/>
      <c r="M753" s="192" t="str">
        <f t="shared" si="4"/>
        <v/>
      </c>
      <c r="N753" s="185" t="str">
        <f t="shared" si="5"/>
        <v/>
      </c>
    </row>
    <row r="754" ht="15.75" customHeight="1">
      <c r="A754" s="186"/>
      <c r="B754" s="187"/>
      <c r="C754" s="187"/>
      <c r="D754" s="188" t="str">
        <f>IF(C754="","",IFERROR(VLOOKUP(C754,Inventory!$A:$B,2,FALSE),""))</f>
        <v/>
      </c>
      <c r="E754" s="188" t="str">
        <f>IF(C754="","",IFERROR(VLOOKUP(C754,Inventory!$A:$C,3,FALSE),""))</f>
        <v/>
      </c>
      <c r="F754" s="187"/>
      <c r="G754" s="180" t="str">
        <f>IF(C754="","",IFERROR(VLOOKUP(C754,Inventory!$A:$I,9,FALSE),0))</f>
        <v/>
      </c>
      <c r="H754" s="189" t="str">
        <f t="shared" si="1"/>
        <v/>
      </c>
      <c r="I754" s="190" t="str">
        <f t="shared" si="2"/>
        <v/>
      </c>
      <c r="J754" s="191"/>
      <c r="K754" s="191" t="str">
        <f t="shared" si="3"/>
        <v/>
      </c>
      <c r="L754" s="187"/>
      <c r="M754" s="192" t="str">
        <f t="shared" si="4"/>
        <v/>
      </c>
      <c r="N754" s="185" t="str">
        <f t="shared" si="5"/>
        <v/>
      </c>
    </row>
    <row r="755" ht="15.75" customHeight="1">
      <c r="A755" s="186"/>
      <c r="B755" s="187"/>
      <c r="C755" s="187"/>
      <c r="D755" s="188" t="str">
        <f>IF(C755="","",IFERROR(VLOOKUP(C755,Inventory!$A:$B,2,FALSE),""))</f>
        <v/>
      </c>
      <c r="E755" s="188" t="str">
        <f>IF(C755="","",IFERROR(VLOOKUP(C755,Inventory!$A:$C,3,FALSE),""))</f>
        <v/>
      </c>
      <c r="F755" s="187"/>
      <c r="G755" s="180" t="str">
        <f>IF(C755="","",IFERROR(VLOOKUP(C755,Inventory!$A:$I,9,FALSE),0))</f>
        <v/>
      </c>
      <c r="H755" s="189" t="str">
        <f t="shared" si="1"/>
        <v/>
      </c>
      <c r="I755" s="190" t="str">
        <f t="shared" si="2"/>
        <v/>
      </c>
      <c r="J755" s="191"/>
      <c r="K755" s="191" t="str">
        <f t="shared" si="3"/>
        <v/>
      </c>
      <c r="L755" s="187"/>
      <c r="M755" s="192" t="str">
        <f t="shared" si="4"/>
        <v/>
      </c>
      <c r="N755" s="185" t="str">
        <f t="shared" si="5"/>
        <v/>
      </c>
    </row>
    <row r="756" ht="15.75" customHeight="1">
      <c r="A756" s="186"/>
      <c r="B756" s="187"/>
      <c r="C756" s="187"/>
      <c r="D756" s="188" t="str">
        <f>IF(C756="","",IFERROR(VLOOKUP(C756,Inventory!$A:$B,2,FALSE),""))</f>
        <v/>
      </c>
      <c r="E756" s="188" t="str">
        <f>IF(C756="","",IFERROR(VLOOKUP(C756,Inventory!$A:$C,3,FALSE),""))</f>
        <v/>
      </c>
      <c r="F756" s="187"/>
      <c r="G756" s="180" t="str">
        <f>IF(C756="","",IFERROR(VLOOKUP(C756,Inventory!$A:$I,9,FALSE),0))</f>
        <v/>
      </c>
      <c r="H756" s="189" t="str">
        <f t="shared" si="1"/>
        <v/>
      </c>
      <c r="I756" s="190" t="str">
        <f t="shared" si="2"/>
        <v/>
      </c>
      <c r="J756" s="191"/>
      <c r="K756" s="191" t="str">
        <f t="shared" si="3"/>
        <v/>
      </c>
      <c r="L756" s="187"/>
      <c r="M756" s="192" t="str">
        <f t="shared" si="4"/>
        <v/>
      </c>
      <c r="N756" s="185" t="str">
        <f t="shared" si="5"/>
        <v/>
      </c>
    </row>
    <row r="757" ht="15.75" customHeight="1">
      <c r="A757" s="186"/>
      <c r="B757" s="187"/>
      <c r="C757" s="187"/>
      <c r="D757" s="188" t="str">
        <f>IF(C757="","",IFERROR(VLOOKUP(C757,Inventory!$A:$B,2,FALSE),""))</f>
        <v/>
      </c>
      <c r="E757" s="188" t="str">
        <f>IF(C757="","",IFERROR(VLOOKUP(C757,Inventory!$A:$C,3,FALSE),""))</f>
        <v/>
      </c>
      <c r="F757" s="187"/>
      <c r="G757" s="180" t="str">
        <f>IF(C757="","",IFERROR(VLOOKUP(C757,Inventory!$A:$I,9,FALSE),0))</f>
        <v/>
      </c>
      <c r="H757" s="189" t="str">
        <f t="shared" si="1"/>
        <v/>
      </c>
      <c r="I757" s="190" t="str">
        <f t="shared" si="2"/>
        <v/>
      </c>
      <c r="J757" s="191"/>
      <c r="K757" s="191" t="str">
        <f t="shared" si="3"/>
        <v/>
      </c>
      <c r="L757" s="187"/>
      <c r="M757" s="192" t="str">
        <f t="shared" si="4"/>
        <v/>
      </c>
      <c r="N757" s="185" t="str">
        <f t="shared" si="5"/>
        <v/>
      </c>
    </row>
    <row r="758" ht="15.75" customHeight="1">
      <c r="A758" s="186"/>
      <c r="B758" s="187"/>
      <c r="C758" s="187"/>
      <c r="D758" s="188" t="str">
        <f>IF(C758="","",IFERROR(VLOOKUP(C758,Inventory!$A:$B,2,FALSE),""))</f>
        <v/>
      </c>
      <c r="E758" s="188" t="str">
        <f>IF(C758="","",IFERROR(VLOOKUP(C758,Inventory!$A:$C,3,FALSE),""))</f>
        <v/>
      </c>
      <c r="F758" s="187"/>
      <c r="G758" s="180" t="str">
        <f>IF(C758="","",IFERROR(VLOOKUP(C758,Inventory!$A:$I,9,FALSE),0))</f>
        <v/>
      </c>
      <c r="H758" s="189" t="str">
        <f t="shared" si="1"/>
        <v/>
      </c>
      <c r="I758" s="190" t="str">
        <f t="shared" si="2"/>
        <v/>
      </c>
      <c r="J758" s="191"/>
      <c r="K758" s="191" t="str">
        <f t="shared" si="3"/>
        <v/>
      </c>
      <c r="L758" s="187"/>
      <c r="M758" s="192" t="str">
        <f t="shared" si="4"/>
        <v/>
      </c>
      <c r="N758" s="185" t="str">
        <f t="shared" si="5"/>
        <v/>
      </c>
    </row>
    <row r="759" ht="15.75" customHeight="1">
      <c r="A759" s="186"/>
      <c r="B759" s="187"/>
      <c r="C759" s="187"/>
      <c r="D759" s="188" t="str">
        <f>IF(C759="","",IFERROR(VLOOKUP(C759,Inventory!$A:$B,2,FALSE),""))</f>
        <v/>
      </c>
      <c r="E759" s="188" t="str">
        <f>IF(C759="","",IFERROR(VLOOKUP(C759,Inventory!$A:$C,3,FALSE),""))</f>
        <v/>
      </c>
      <c r="F759" s="187"/>
      <c r="G759" s="180" t="str">
        <f>IF(C759="","",IFERROR(VLOOKUP(C759,Inventory!$A:$I,9,FALSE),0))</f>
        <v/>
      </c>
      <c r="H759" s="189" t="str">
        <f t="shared" si="1"/>
        <v/>
      </c>
      <c r="I759" s="190" t="str">
        <f t="shared" si="2"/>
        <v/>
      </c>
      <c r="J759" s="191"/>
      <c r="K759" s="191" t="str">
        <f t="shared" si="3"/>
        <v/>
      </c>
      <c r="L759" s="187"/>
      <c r="M759" s="192" t="str">
        <f t="shared" si="4"/>
        <v/>
      </c>
      <c r="N759" s="185" t="str">
        <f t="shared" si="5"/>
        <v/>
      </c>
    </row>
    <row r="760" ht="15.75" customHeight="1">
      <c r="A760" s="186"/>
      <c r="B760" s="187"/>
      <c r="C760" s="187"/>
      <c r="D760" s="188" t="str">
        <f>IF(C760="","",IFERROR(VLOOKUP(C760,Inventory!$A:$B,2,FALSE),""))</f>
        <v/>
      </c>
      <c r="E760" s="188" t="str">
        <f>IF(C760="","",IFERROR(VLOOKUP(C760,Inventory!$A:$C,3,FALSE),""))</f>
        <v/>
      </c>
      <c r="F760" s="187"/>
      <c r="G760" s="180" t="str">
        <f>IF(C760="","",IFERROR(VLOOKUP(C760,Inventory!$A:$I,9,FALSE),0))</f>
        <v/>
      </c>
      <c r="H760" s="189" t="str">
        <f t="shared" si="1"/>
        <v/>
      </c>
      <c r="I760" s="190" t="str">
        <f t="shared" si="2"/>
        <v/>
      </c>
      <c r="J760" s="191"/>
      <c r="K760" s="191" t="str">
        <f t="shared" si="3"/>
        <v/>
      </c>
      <c r="L760" s="187"/>
      <c r="M760" s="192" t="str">
        <f t="shared" si="4"/>
        <v/>
      </c>
      <c r="N760" s="185" t="str">
        <f t="shared" si="5"/>
        <v/>
      </c>
    </row>
    <row r="761" ht="15.75" customHeight="1">
      <c r="A761" s="186"/>
      <c r="B761" s="187"/>
      <c r="C761" s="187"/>
      <c r="D761" s="188" t="str">
        <f>IF(C761="","",IFERROR(VLOOKUP(C761,Inventory!$A:$B,2,FALSE),""))</f>
        <v/>
      </c>
      <c r="E761" s="188" t="str">
        <f>IF(C761="","",IFERROR(VLOOKUP(C761,Inventory!$A:$C,3,FALSE),""))</f>
        <v/>
      </c>
      <c r="F761" s="187"/>
      <c r="G761" s="180" t="str">
        <f>IF(C761="","",IFERROR(VLOOKUP(C761,Inventory!$A:$I,9,FALSE),0))</f>
        <v/>
      </c>
      <c r="H761" s="189" t="str">
        <f t="shared" si="1"/>
        <v/>
      </c>
      <c r="I761" s="190" t="str">
        <f t="shared" si="2"/>
        <v/>
      </c>
      <c r="J761" s="191"/>
      <c r="K761" s="191" t="str">
        <f t="shared" si="3"/>
        <v/>
      </c>
      <c r="L761" s="187"/>
      <c r="M761" s="192" t="str">
        <f t="shared" si="4"/>
        <v/>
      </c>
      <c r="N761" s="185" t="str">
        <f t="shared" si="5"/>
        <v/>
      </c>
    </row>
    <row r="762" ht="15.75" customHeight="1">
      <c r="A762" s="186"/>
      <c r="B762" s="187"/>
      <c r="C762" s="187"/>
      <c r="D762" s="188" t="str">
        <f>IF(C762="","",IFERROR(VLOOKUP(C762,Inventory!$A:$B,2,FALSE),""))</f>
        <v/>
      </c>
      <c r="E762" s="188" t="str">
        <f>IF(C762="","",IFERROR(VLOOKUP(C762,Inventory!$A:$C,3,FALSE),""))</f>
        <v/>
      </c>
      <c r="F762" s="187"/>
      <c r="G762" s="180" t="str">
        <f>IF(C762="","",IFERROR(VLOOKUP(C762,Inventory!$A:$I,9,FALSE),0))</f>
        <v/>
      </c>
      <c r="H762" s="189" t="str">
        <f t="shared" si="1"/>
        <v/>
      </c>
      <c r="I762" s="190" t="str">
        <f t="shared" si="2"/>
        <v/>
      </c>
      <c r="J762" s="191"/>
      <c r="K762" s="191" t="str">
        <f t="shared" si="3"/>
        <v/>
      </c>
      <c r="L762" s="187"/>
      <c r="M762" s="192" t="str">
        <f t="shared" si="4"/>
        <v/>
      </c>
      <c r="N762" s="185" t="str">
        <f t="shared" si="5"/>
        <v/>
      </c>
    </row>
    <row r="763" ht="15.75" customHeight="1">
      <c r="A763" s="186"/>
      <c r="B763" s="187"/>
      <c r="C763" s="187"/>
      <c r="D763" s="188" t="str">
        <f>IF(C763="","",IFERROR(VLOOKUP(C763,Inventory!$A:$B,2,FALSE),""))</f>
        <v/>
      </c>
      <c r="E763" s="188" t="str">
        <f>IF(C763="","",IFERROR(VLOOKUP(C763,Inventory!$A:$C,3,FALSE),""))</f>
        <v/>
      </c>
      <c r="F763" s="187"/>
      <c r="G763" s="180" t="str">
        <f>IF(C763="","",IFERROR(VLOOKUP(C763,Inventory!$A:$I,9,FALSE),0))</f>
        <v/>
      </c>
      <c r="H763" s="189" t="str">
        <f t="shared" si="1"/>
        <v/>
      </c>
      <c r="I763" s="190" t="str">
        <f t="shared" si="2"/>
        <v/>
      </c>
      <c r="J763" s="191"/>
      <c r="K763" s="191" t="str">
        <f t="shared" si="3"/>
        <v/>
      </c>
      <c r="L763" s="187"/>
      <c r="M763" s="192" t="str">
        <f t="shared" si="4"/>
        <v/>
      </c>
      <c r="N763" s="185" t="str">
        <f t="shared" si="5"/>
        <v/>
      </c>
    </row>
    <row r="764" ht="15.75" customHeight="1">
      <c r="A764" s="186"/>
      <c r="B764" s="187"/>
      <c r="C764" s="187"/>
      <c r="D764" s="188" t="str">
        <f>IF(C764="","",IFERROR(VLOOKUP(C764,Inventory!$A:$B,2,FALSE),""))</f>
        <v/>
      </c>
      <c r="E764" s="188" t="str">
        <f>IF(C764="","",IFERROR(VLOOKUP(C764,Inventory!$A:$C,3,FALSE),""))</f>
        <v/>
      </c>
      <c r="F764" s="187"/>
      <c r="G764" s="180" t="str">
        <f>IF(C764="","",IFERROR(VLOOKUP(C764,Inventory!$A:$I,9,FALSE),0))</f>
        <v/>
      </c>
      <c r="H764" s="189" t="str">
        <f t="shared" si="1"/>
        <v/>
      </c>
      <c r="I764" s="190" t="str">
        <f t="shared" si="2"/>
        <v/>
      </c>
      <c r="J764" s="191"/>
      <c r="K764" s="191" t="str">
        <f t="shared" si="3"/>
        <v/>
      </c>
      <c r="L764" s="187"/>
      <c r="M764" s="192" t="str">
        <f t="shared" si="4"/>
        <v/>
      </c>
      <c r="N764" s="185" t="str">
        <f t="shared" si="5"/>
        <v/>
      </c>
    </row>
    <row r="765" ht="15.75" customHeight="1">
      <c r="A765" s="186"/>
      <c r="B765" s="187"/>
      <c r="C765" s="187"/>
      <c r="D765" s="188" t="str">
        <f>IF(C765="","",IFERROR(VLOOKUP(C765,Inventory!$A:$B,2,FALSE),""))</f>
        <v/>
      </c>
      <c r="E765" s="188" t="str">
        <f>IF(C765="","",IFERROR(VLOOKUP(C765,Inventory!$A:$C,3,FALSE),""))</f>
        <v/>
      </c>
      <c r="F765" s="187"/>
      <c r="G765" s="180" t="str">
        <f>IF(C765="","",IFERROR(VLOOKUP(C765,Inventory!$A:$I,9,FALSE),0))</f>
        <v/>
      </c>
      <c r="H765" s="189" t="str">
        <f t="shared" si="1"/>
        <v/>
      </c>
      <c r="I765" s="190" t="str">
        <f t="shared" si="2"/>
        <v/>
      </c>
      <c r="J765" s="191"/>
      <c r="K765" s="191" t="str">
        <f t="shared" si="3"/>
        <v/>
      </c>
      <c r="L765" s="187"/>
      <c r="M765" s="192" t="str">
        <f t="shared" si="4"/>
        <v/>
      </c>
      <c r="N765" s="185" t="str">
        <f t="shared" si="5"/>
        <v/>
      </c>
    </row>
    <row r="766" ht="15.75" customHeight="1">
      <c r="A766" s="186"/>
      <c r="B766" s="187"/>
      <c r="C766" s="187"/>
      <c r="D766" s="188" t="str">
        <f>IF(C766="","",IFERROR(VLOOKUP(C766,Inventory!$A:$B,2,FALSE),""))</f>
        <v/>
      </c>
      <c r="E766" s="188" t="str">
        <f>IF(C766="","",IFERROR(VLOOKUP(C766,Inventory!$A:$C,3,FALSE),""))</f>
        <v/>
      </c>
      <c r="F766" s="187"/>
      <c r="G766" s="180" t="str">
        <f>IF(C766="","",IFERROR(VLOOKUP(C766,Inventory!$A:$I,9,FALSE),0))</f>
        <v/>
      </c>
      <c r="H766" s="189" t="str">
        <f t="shared" si="1"/>
        <v/>
      </c>
      <c r="I766" s="190" t="str">
        <f t="shared" si="2"/>
        <v/>
      </c>
      <c r="J766" s="191"/>
      <c r="K766" s="191" t="str">
        <f t="shared" si="3"/>
        <v/>
      </c>
      <c r="L766" s="187"/>
      <c r="M766" s="192" t="str">
        <f t="shared" si="4"/>
        <v/>
      </c>
      <c r="N766" s="185" t="str">
        <f t="shared" si="5"/>
        <v/>
      </c>
    </row>
    <row r="767" ht="15.75" customHeight="1">
      <c r="A767" s="186"/>
      <c r="B767" s="187"/>
      <c r="C767" s="187"/>
      <c r="D767" s="188" t="str">
        <f>IF(C767="","",IFERROR(VLOOKUP(C767,Inventory!$A:$B,2,FALSE),""))</f>
        <v/>
      </c>
      <c r="E767" s="188" t="str">
        <f>IF(C767="","",IFERROR(VLOOKUP(C767,Inventory!$A:$C,3,FALSE),""))</f>
        <v/>
      </c>
      <c r="F767" s="187"/>
      <c r="G767" s="180" t="str">
        <f>IF(C767="","",IFERROR(VLOOKUP(C767,Inventory!$A:$I,9,FALSE),0))</f>
        <v/>
      </c>
      <c r="H767" s="189" t="str">
        <f t="shared" si="1"/>
        <v/>
      </c>
      <c r="I767" s="190" t="str">
        <f t="shared" si="2"/>
        <v/>
      </c>
      <c r="J767" s="191"/>
      <c r="K767" s="191" t="str">
        <f t="shared" si="3"/>
        <v/>
      </c>
      <c r="L767" s="187"/>
      <c r="M767" s="192" t="str">
        <f t="shared" si="4"/>
        <v/>
      </c>
      <c r="N767" s="185" t="str">
        <f t="shared" si="5"/>
        <v/>
      </c>
    </row>
    <row r="768" ht="15.75" customHeight="1">
      <c r="A768" s="186"/>
      <c r="B768" s="187"/>
      <c r="C768" s="187"/>
      <c r="D768" s="188" t="str">
        <f>IF(C768="","",IFERROR(VLOOKUP(C768,Inventory!$A:$B,2,FALSE),""))</f>
        <v/>
      </c>
      <c r="E768" s="188" t="str">
        <f>IF(C768="","",IFERROR(VLOOKUP(C768,Inventory!$A:$C,3,FALSE),""))</f>
        <v/>
      </c>
      <c r="F768" s="187"/>
      <c r="G768" s="180" t="str">
        <f>IF(C768="","",IFERROR(VLOOKUP(C768,Inventory!$A:$I,9,FALSE),0))</f>
        <v/>
      </c>
      <c r="H768" s="189" t="str">
        <f t="shared" si="1"/>
        <v/>
      </c>
      <c r="I768" s="190" t="str">
        <f t="shared" si="2"/>
        <v/>
      </c>
      <c r="J768" s="191"/>
      <c r="K768" s="191" t="str">
        <f t="shared" si="3"/>
        <v/>
      </c>
      <c r="L768" s="187"/>
      <c r="M768" s="192" t="str">
        <f t="shared" si="4"/>
        <v/>
      </c>
      <c r="N768" s="185" t="str">
        <f t="shared" si="5"/>
        <v/>
      </c>
    </row>
    <row r="769" ht="15.75" customHeight="1">
      <c r="A769" s="186"/>
      <c r="B769" s="187"/>
      <c r="C769" s="187"/>
      <c r="D769" s="188" t="str">
        <f>IF(C769="","",IFERROR(VLOOKUP(C769,Inventory!$A:$B,2,FALSE),""))</f>
        <v/>
      </c>
      <c r="E769" s="188" t="str">
        <f>IF(C769="","",IFERROR(VLOOKUP(C769,Inventory!$A:$C,3,FALSE),""))</f>
        <v/>
      </c>
      <c r="F769" s="187"/>
      <c r="G769" s="180" t="str">
        <f>IF(C769="","",IFERROR(VLOOKUP(C769,Inventory!$A:$I,9,FALSE),0))</f>
        <v/>
      </c>
      <c r="H769" s="189" t="str">
        <f t="shared" si="1"/>
        <v/>
      </c>
      <c r="I769" s="190" t="str">
        <f t="shared" si="2"/>
        <v/>
      </c>
      <c r="J769" s="191"/>
      <c r="K769" s="191" t="str">
        <f t="shared" si="3"/>
        <v/>
      </c>
      <c r="L769" s="187"/>
      <c r="M769" s="192" t="str">
        <f t="shared" si="4"/>
        <v/>
      </c>
      <c r="N769" s="185" t="str">
        <f t="shared" si="5"/>
        <v/>
      </c>
    </row>
    <row r="770" ht="15.75" customHeight="1">
      <c r="A770" s="186"/>
      <c r="B770" s="187"/>
      <c r="C770" s="187"/>
      <c r="D770" s="188" t="str">
        <f>IF(C770="","",IFERROR(VLOOKUP(C770,Inventory!$A:$B,2,FALSE),""))</f>
        <v/>
      </c>
      <c r="E770" s="188" t="str">
        <f>IF(C770="","",IFERROR(VLOOKUP(C770,Inventory!$A:$C,3,FALSE),""))</f>
        <v/>
      </c>
      <c r="F770" s="187"/>
      <c r="G770" s="180" t="str">
        <f>IF(C770="","",IFERROR(VLOOKUP(C770,Inventory!$A:$I,9,FALSE),0))</f>
        <v/>
      </c>
      <c r="H770" s="189" t="str">
        <f t="shared" si="1"/>
        <v/>
      </c>
      <c r="I770" s="190" t="str">
        <f t="shared" si="2"/>
        <v/>
      </c>
      <c r="J770" s="191"/>
      <c r="K770" s="191" t="str">
        <f t="shared" si="3"/>
        <v/>
      </c>
      <c r="L770" s="187"/>
      <c r="M770" s="192" t="str">
        <f t="shared" si="4"/>
        <v/>
      </c>
      <c r="N770" s="185" t="str">
        <f t="shared" si="5"/>
        <v/>
      </c>
    </row>
    <row r="771" ht="15.75" customHeight="1">
      <c r="A771" s="186"/>
      <c r="B771" s="187"/>
      <c r="C771" s="187"/>
      <c r="D771" s="188" t="str">
        <f>IF(C771="","",IFERROR(VLOOKUP(C771,Inventory!$A:$B,2,FALSE),""))</f>
        <v/>
      </c>
      <c r="E771" s="188" t="str">
        <f>IF(C771="","",IFERROR(VLOOKUP(C771,Inventory!$A:$C,3,FALSE),""))</f>
        <v/>
      </c>
      <c r="F771" s="187"/>
      <c r="G771" s="180" t="str">
        <f>IF(C771="","",IFERROR(VLOOKUP(C771,Inventory!$A:$I,9,FALSE),0))</f>
        <v/>
      </c>
      <c r="H771" s="189" t="str">
        <f t="shared" si="1"/>
        <v/>
      </c>
      <c r="I771" s="190" t="str">
        <f t="shared" si="2"/>
        <v/>
      </c>
      <c r="J771" s="191"/>
      <c r="K771" s="191" t="str">
        <f t="shared" si="3"/>
        <v/>
      </c>
      <c r="L771" s="187"/>
      <c r="M771" s="192" t="str">
        <f t="shared" si="4"/>
        <v/>
      </c>
      <c r="N771" s="185" t="str">
        <f t="shared" si="5"/>
        <v/>
      </c>
    </row>
    <row r="772" ht="15.75" customHeight="1">
      <c r="A772" s="186"/>
      <c r="B772" s="187"/>
      <c r="C772" s="187"/>
      <c r="D772" s="188" t="str">
        <f>IF(C772="","",IFERROR(VLOOKUP(C772,Inventory!$A:$B,2,FALSE),""))</f>
        <v/>
      </c>
      <c r="E772" s="188" t="str">
        <f>IF(C772="","",IFERROR(VLOOKUP(C772,Inventory!$A:$C,3,FALSE),""))</f>
        <v/>
      </c>
      <c r="F772" s="187"/>
      <c r="G772" s="180" t="str">
        <f>IF(C772="","",IFERROR(VLOOKUP(C772,Inventory!$A:$I,9,FALSE),0))</f>
        <v/>
      </c>
      <c r="H772" s="189" t="str">
        <f t="shared" si="1"/>
        <v/>
      </c>
      <c r="I772" s="190" t="str">
        <f t="shared" si="2"/>
        <v/>
      </c>
      <c r="J772" s="191"/>
      <c r="K772" s="191" t="str">
        <f t="shared" si="3"/>
        <v/>
      </c>
      <c r="L772" s="187"/>
      <c r="M772" s="192" t="str">
        <f t="shared" si="4"/>
        <v/>
      </c>
      <c r="N772" s="185" t="str">
        <f t="shared" si="5"/>
        <v/>
      </c>
    </row>
    <row r="773" ht="15.75" customHeight="1">
      <c r="A773" s="186"/>
      <c r="B773" s="187"/>
      <c r="C773" s="187"/>
      <c r="D773" s="188" t="str">
        <f>IF(C773="","",IFERROR(VLOOKUP(C773,Inventory!$A:$B,2,FALSE),""))</f>
        <v/>
      </c>
      <c r="E773" s="188" t="str">
        <f>IF(C773="","",IFERROR(VLOOKUP(C773,Inventory!$A:$C,3,FALSE),""))</f>
        <v/>
      </c>
      <c r="F773" s="187"/>
      <c r="G773" s="180" t="str">
        <f>IF(C773="","",IFERROR(VLOOKUP(C773,Inventory!$A:$I,9,FALSE),0))</f>
        <v/>
      </c>
      <c r="H773" s="189" t="str">
        <f t="shared" si="1"/>
        <v/>
      </c>
      <c r="I773" s="190" t="str">
        <f t="shared" si="2"/>
        <v/>
      </c>
      <c r="J773" s="191"/>
      <c r="K773" s="191" t="str">
        <f t="shared" si="3"/>
        <v/>
      </c>
      <c r="L773" s="187"/>
      <c r="M773" s="192" t="str">
        <f t="shared" si="4"/>
        <v/>
      </c>
      <c r="N773" s="185" t="str">
        <f t="shared" si="5"/>
        <v/>
      </c>
    </row>
    <row r="774" ht="15.75" customHeight="1">
      <c r="A774" s="186"/>
      <c r="B774" s="187"/>
      <c r="C774" s="187"/>
      <c r="D774" s="188" t="str">
        <f>IF(C774="","",IFERROR(VLOOKUP(C774,Inventory!$A:$B,2,FALSE),""))</f>
        <v/>
      </c>
      <c r="E774" s="188" t="str">
        <f>IF(C774="","",IFERROR(VLOOKUP(C774,Inventory!$A:$C,3,FALSE),""))</f>
        <v/>
      </c>
      <c r="F774" s="187"/>
      <c r="G774" s="180" t="str">
        <f>IF(C774="","",IFERROR(VLOOKUP(C774,Inventory!$A:$I,9,FALSE),0))</f>
        <v/>
      </c>
      <c r="H774" s="189" t="str">
        <f t="shared" si="1"/>
        <v/>
      </c>
      <c r="I774" s="190" t="str">
        <f t="shared" si="2"/>
        <v/>
      </c>
      <c r="J774" s="191"/>
      <c r="K774" s="191" t="str">
        <f t="shared" si="3"/>
        <v/>
      </c>
      <c r="L774" s="187"/>
      <c r="M774" s="192" t="str">
        <f t="shared" si="4"/>
        <v/>
      </c>
      <c r="N774" s="185" t="str">
        <f t="shared" si="5"/>
        <v/>
      </c>
    </row>
    <row r="775" ht="15.75" customHeight="1">
      <c r="A775" s="186"/>
      <c r="B775" s="187"/>
      <c r="C775" s="187"/>
      <c r="D775" s="188" t="str">
        <f>IF(C775="","",IFERROR(VLOOKUP(C775,Inventory!$A:$B,2,FALSE),""))</f>
        <v/>
      </c>
      <c r="E775" s="188" t="str">
        <f>IF(C775="","",IFERROR(VLOOKUP(C775,Inventory!$A:$C,3,FALSE),""))</f>
        <v/>
      </c>
      <c r="F775" s="187"/>
      <c r="G775" s="180" t="str">
        <f>IF(C775="","",IFERROR(VLOOKUP(C775,Inventory!$A:$I,9,FALSE),0))</f>
        <v/>
      </c>
      <c r="H775" s="189" t="str">
        <f t="shared" si="1"/>
        <v/>
      </c>
      <c r="I775" s="190" t="str">
        <f t="shared" si="2"/>
        <v/>
      </c>
      <c r="J775" s="191"/>
      <c r="K775" s="191" t="str">
        <f t="shared" si="3"/>
        <v/>
      </c>
      <c r="L775" s="187"/>
      <c r="M775" s="192" t="str">
        <f t="shared" si="4"/>
        <v/>
      </c>
      <c r="N775" s="185" t="str">
        <f t="shared" si="5"/>
        <v/>
      </c>
    </row>
    <row r="776" ht="15.75" customHeight="1">
      <c r="A776" s="186"/>
      <c r="B776" s="187"/>
      <c r="C776" s="187"/>
      <c r="D776" s="188" t="str">
        <f>IF(C776="","",IFERROR(VLOOKUP(C776,Inventory!$A:$B,2,FALSE),""))</f>
        <v/>
      </c>
      <c r="E776" s="188" t="str">
        <f>IF(C776="","",IFERROR(VLOOKUP(C776,Inventory!$A:$C,3,FALSE),""))</f>
        <v/>
      </c>
      <c r="F776" s="187"/>
      <c r="G776" s="180" t="str">
        <f>IF(C776="","",IFERROR(VLOOKUP(C776,Inventory!$A:$I,9,FALSE),0))</f>
        <v/>
      </c>
      <c r="H776" s="189" t="str">
        <f t="shared" si="1"/>
        <v/>
      </c>
      <c r="I776" s="190" t="str">
        <f t="shared" si="2"/>
        <v/>
      </c>
      <c r="J776" s="191"/>
      <c r="K776" s="191" t="str">
        <f t="shared" si="3"/>
        <v/>
      </c>
      <c r="L776" s="187"/>
      <c r="M776" s="192" t="str">
        <f t="shared" si="4"/>
        <v/>
      </c>
      <c r="N776" s="185" t="str">
        <f t="shared" si="5"/>
        <v/>
      </c>
    </row>
    <row r="777" ht="15.75" customHeight="1">
      <c r="A777" s="186"/>
      <c r="B777" s="187"/>
      <c r="C777" s="187"/>
      <c r="D777" s="188" t="str">
        <f>IF(C777="","",IFERROR(VLOOKUP(C777,Inventory!$A:$B,2,FALSE),""))</f>
        <v/>
      </c>
      <c r="E777" s="188" t="str">
        <f>IF(C777="","",IFERROR(VLOOKUP(C777,Inventory!$A:$C,3,FALSE),""))</f>
        <v/>
      </c>
      <c r="F777" s="187"/>
      <c r="G777" s="180" t="str">
        <f>IF(C777="","",IFERROR(VLOOKUP(C777,Inventory!$A:$I,9,FALSE),0))</f>
        <v/>
      </c>
      <c r="H777" s="189" t="str">
        <f t="shared" si="1"/>
        <v/>
      </c>
      <c r="I777" s="190" t="str">
        <f t="shared" si="2"/>
        <v/>
      </c>
      <c r="J777" s="191"/>
      <c r="K777" s="191" t="str">
        <f t="shared" si="3"/>
        <v/>
      </c>
      <c r="L777" s="187"/>
      <c r="M777" s="192" t="str">
        <f t="shared" si="4"/>
        <v/>
      </c>
      <c r="N777" s="185" t="str">
        <f t="shared" si="5"/>
        <v/>
      </c>
    </row>
    <row r="778" ht="15.75" customHeight="1">
      <c r="A778" s="186"/>
      <c r="B778" s="187"/>
      <c r="C778" s="187"/>
      <c r="D778" s="188" t="str">
        <f>IF(C778="","",IFERROR(VLOOKUP(C778,Inventory!$A:$B,2,FALSE),""))</f>
        <v/>
      </c>
      <c r="E778" s="188" t="str">
        <f>IF(C778="","",IFERROR(VLOOKUP(C778,Inventory!$A:$C,3,FALSE),""))</f>
        <v/>
      </c>
      <c r="F778" s="187"/>
      <c r="G778" s="180" t="str">
        <f>IF(C778="","",IFERROR(VLOOKUP(C778,Inventory!$A:$I,9,FALSE),0))</f>
        <v/>
      </c>
      <c r="H778" s="189" t="str">
        <f t="shared" si="1"/>
        <v/>
      </c>
      <c r="I778" s="190" t="str">
        <f t="shared" si="2"/>
        <v/>
      </c>
      <c r="J778" s="191"/>
      <c r="K778" s="191" t="str">
        <f t="shared" si="3"/>
        <v/>
      </c>
      <c r="L778" s="187"/>
      <c r="M778" s="192" t="str">
        <f t="shared" si="4"/>
        <v/>
      </c>
      <c r="N778" s="185" t="str">
        <f t="shared" si="5"/>
        <v/>
      </c>
    </row>
    <row r="779" ht="15.75" customHeight="1">
      <c r="A779" s="186"/>
      <c r="B779" s="187"/>
      <c r="C779" s="187"/>
      <c r="D779" s="188" t="str">
        <f>IF(C779="","",IFERROR(VLOOKUP(C779,Inventory!$A:$B,2,FALSE),""))</f>
        <v/>
      </c>
      <c r="E779" s="188" t="str">
        <f>IF(C779="","",IFERROR(VLOOKUP(C779,Inventory!$A:$C,3,FALSE),""))</f>
        <v/>
      </c>
      <c r="F779" s="187"/>
      <c r="G779" s="180" t="str">
        <f>IF(C779="","",IFERROR(VLOOKUP(C779,Inventory!$A:$I,9,FALSE),0))</f>
        <v/>
      </c>
      <c r="H779" s="189" t="str">
        <f t="shared" si="1"/>
        <v/>
      </c>
      <c r="I779" s="190" t="str">
        <f t="shared" si="2"/>
        <v/>
      </c>
      <c r="J779" s="191"/>
      <c r="K779" s="191" t="str">
        <f t="shared" si="3"/>
        <v/>
      </c>
      <c r="L779" s="187"/>
      <c r="M779" s="192" t="str">
        <f t="shared" si="4"/>
        <v/>
      </c>
      <c r="N779" s="185" t="str">
        <f t="shared" si="5"/>
        <v/>
      </c>
    </row>
    <row r="780" ht="15.75" customHeight="1">
      <c r="A780" s="186"/>
      <c r="B780" s="187"/>
      <c r="C780" s="187"/>
      <c r="D780" s="188" t="str">
        <f>IF(C780="","",IFERROR(VLOOKUP(C780,Inventory!$A:$B,2,FALSE),""))</f>
        <v/>
      </c>
      <c r="E780" s="188" t="str">
        <f>IF(C780="","",IFERROR(VLOOKUP(C780,Inventory!$A:$C,3,FALSE),""))</f>
        <v/>
      </c>
      <c r="F780" s="187"/>
      <c r="G780" s="180" t="str">
        <f>IF(C780="","",IFERROR(VLOOKUP(C780,Inventory!$A:$I,9,FALSE),0))</f>
        <v/>
      </c>
      <c r="H780" s="189" t="str">
        <f t="shared" si="1"/>
        <v/>
      </c>
      <c r="I780" s="190" t="str">
        <f t="shared" si="2"/>
        <v/>
      </c>
      <c r="J780" s="191"/>
      <c r="K780" s="191" t="str">
        <f t="shared" si="3"/>
        <v/>
      </c>
      <c r="L780" s="187"/>
      <c r="M780" s="192" t="str">
        <f t="shared" si="4"/>
        <v/>
      </c>
      <c r="N780" s="185" t="str">
        <f t="shared" si="5"/>
        <v/>
      </c>
    </row>
    <row r="781" ht="15.75" customHeight="1">
      <c r="A781" s="186"/>
      <c r="B781" s="187"/>
      <c r="C781" s="187"/>
      <c r="D781" s="188" t="str">
        <f>IF(C781="","",IFERROR(VLOOKUP(C781,Inventory!$A:$B,2,FALSE),""))</f>
        <v/>
      </c>
      <c r="E781" s="188" t="str">
        <f>IF(C781="","",IFERROR(VLOOKUP(C781,Inventory!$A:$C,3,FALSE),""))</f>
        <v/>
      </c>
      <c r="F781" s="187"/>
      <c r="G781" s="180" t="str">
        <f>IF(C781="","",IFERROR(VLOOKUP(C781,Inventory!$A:$I,9,FALSE),0))</f>
        <v/>
      </c>
      <c r="H781" s="189" t="str">
        <f t="shared" si="1"/>
        <v/>
      </c>
      <c r="I781" s="190" t="str">
        <f t="shared" si="2"/>
        <v/>
      </c>
      <c r="J781" s="191"/>
      <c r="K781" s="191" t="str">
        <f t="shared" si="3"/>
        <v/>
      </c>
      <c r="L781" s="187"/>
      <c r="M781" s="192" t="str">
        <f t="shared" si="4"/>
        <v/>
      </c>
      <c r="N781" s="185" t="str">
        <f t="shared" si="5"/>
        <v/>
      </c>
    </row>
    <row r="782" ht="15.75" customHeight="1">
      <c r="A782" s="186"/>
      <c r="B782" s="187"/>
      <c r="C782" s="187"/>
      <c r="D782" s="188" t="str">
        <f>IF(C782="","",IFERROR(VLOOKUP(C782,Inventory!$A:$B,2,FALSE),""))</f>
        <v/>
      </c>
      <c r="E782" s="188" t="str">
        <f>IF(C782="","",IFERROR(VLOOKUP(C782,Inventory!$A:$C,3,FALSE),""))</f>
        <v/>
      </c>
      <c r="F782" s="187"/>
      <c r="G782" s="180" t="str">
        <f>IF(C782="","",IFERROR(VLOOKUP(C782,Inventory!$A:$I,9,FALSE),0))</f>
        <v/>
      </c>
      <c r="H782" s="189" t="str">
        <f t="shared" si="1"/>
        <v/>
      </c>
      <c r="I782" s="190" t="str">
        <f t="shared" si="2"/>
        <v/>
      </c>
      <c r="J782" s="191"/>
      <c r="K782" s="191" t="str">
        <f t="shared" si="3"/>
        <v/>
      </c>
      <c r="L782" s="187"/>
      <c r="M782" s="192" t="str">
        <f t="shared" si="4"/>
        <v/>
      </c>
      <c r="N782" s="185" t="str">
        <f t="shared" si="5"/>
        <v/>
      </c>
    </row>
    <row r="783" ht="15.75" customHeight="1">
      <c r="A783" s="186"/>
      <c r="B783" s="187"/>
      <c r="C783" s="187"/>
      <c r="D783" s="188" t="str">
        <f>IF(C783="","",IFERROR(VLOOKUP(C783,Inventory!$A:$B,2,FALSE),""))</f>
        <v/>
      </c>
      <c r="E783" s="188" t="str">
        <f>IF(C783="","",IFERROR(VLOOKUP(C783,Inventory!$A:$C,3,FALSE),""))</f>
        <v/>
      </c>
      <c r="F783" s="187"/>
      <c r="G783" s="180" t="str">
        <f>IF(C783="","",IFERROR(VLOOKUP(C783,Inventory!$A:$I,9,FALSE),0))</f>
        <v/>
      </c>
      <c r="H783" s="189" t="str">
        <f t="shared" si="1"/>
        <v/>
      </c>
      <c r="I783" s="190" t="str">
        <f t="shared" si="2"/>
        <v/>
      </c>
      <c r="J783" s="191"/>
      <c r="K783" s="191" t="str">
        <f t="shared" si="3"/>
        <v/>
      </c>
      <c r="L783" s="187"/>
      <c r="M783" s="192" t="str">
        <f t="shared" si="4"/>
        <v/>
      </c>
      <c r="N783" s="185" t="str">
        <f t="shared" si="5"/>
        <v/>
      </c>
    </row>
    <row r="784" ht="15.75" customHeight="1">
      <c r="A784" s="186"/>
      <c r="B784" s="187"/>
      <c r="C784" s="187"/>
      <c r="D784" s="188" t="str">
        <f>IF(C784="","",IFERROR(VLOOKUP(C784,Inventory!$A:$B,2,FALSE),""))</f>
        <v/>
      </c>
      <c r="E784" s="188" t="str">
        <f>IF(C784="","",IFERROR(VLOOKUP(C784,Inventory!$A:$C,3,FALSE),""))</f>
        <v/>
      </c>
      <c r="F784" s="187"/>
      <c r="G784" s="180" t="str">
        <f>IF(C784="","",IFERROR(VLOOKUP(C784,Inventory!$A:$I,9,FALSE),0))</f>
        <v/>
      </c>
      <c r="H784" s="189" t="str">
        <f t="shared" si="1"/>
        <v/>
      </c>
      <c r="I784" s="190" t="str">
        <f t="shared" si="2"/>
        <v/>
      </c>
      <c r="J784" s="191"/>
      <c r="K784" s="191" t="str">
        <f t="shared" si="3"/>
        <v/>
      </c>
      <c r="L784" s="187"/>
      <c r="M784" s="192" t="str">
        <f t="shared" si="4"/>
        <v/>
      </c>
      <c r="N784" s="185" t="str">
        <f t="shared" si="5"/>
        <v/>
      </c>
    </row>
    <row r="785" ht="15.75" customHeight="1">
      <c r="A785" s="186"/>
      <c r="B785" s="187"/>
      <c r="C785" s="187"/>
      <c r="D785" s="188" t="str">
        <f>IF(C785="","",IFERROR(VLOOKUP(C785,Inventory!$A:$B,2,FALSE),""))</f>
        <v/>
      </c>
      <c r="E785" s="188" t="str">
        <f>IF(C785="","",IFERROR(VLOOKUP(C785,Inventory!$A:$C,3,FALSE),""))</f>
        <v/>
      </c>
      <c r="F785" s="187"/>
      <c r="G785" s="180" t="str">
        <f>IF(C785="","",IFERROR(VLOOKUP(C785,Inventory!$A:$I,9,FALSE),0))</f>
        <v/>
      </c>
      <c r="H785" s="189" t="str">
        <f t="shared" si="1"/>
        <v/>
      </c>
      <c r="I785" s="190" t="str">
        <f t="shared" si="2"/>
        <v/>
      </c>
      <c r="J785" s="191"/>
      <c r="K785" s="191" t="str">
        <f t="shared" si="3"/>
        <v/>
      </c>
      <c r="L785" s="187"/>
      <c r="M785" s="192" t="str">
        <f t="shared" si="4"/>
        <v/>
      </c>
      <c r="N785" s="185" t="str">
        <f t="shared" si="5"/>
        <v/>
      </c>
    </row>
    <row r="786" ht="15.75" customHeight="1">
      <c r="A786" s="186"/>
      <c r="B786" s="187"/>
      <c r="C786" s="187"/>
      <c r="D786" s="188" t="str">
        <f>IF(C786="","",IFERROR(VLOOKUP(C786,Inventory!$A:$B,2,FALSE),""))</f>
        <v/>
      </c>
      <c r="E786" s="188" t="str">
        <f>IF(C786="","",IFERROR(VLOOKUP(C786,Inventory!$A:$C,3,FALSE),""))</f>
        <v/>
      </c>
      <c r="F786" s="187"/>
      <c r="G786" s="180" t="str">
        <f>IF(C786="","",IFERROR(VLOOKUP(C786,Inventory!$A:$I,9,FALSE),0))</f>
        <v/>
      </c>
      <c r="H786" s="189" t="str">
        <f t="shared" si="1"/>
        <v/>
      </c>
      <c r="I786" s="190" t="str">
        <f t="shared" si="2"/>
        <v/>
      </c>
      <c r="J786" s="191"/>
      <c r="K786" s="191" t="str">
        <f t="shared" si="3"/>
        <v/>
      </c>
      <c r="L786" s="187"/>
      <c r="M786" s="192" t="str">
        <f t="shared" si="4"/>
        <v/>
      </c>
      <c r="N786" s="185" t="str">
        <f t="shared" si="5"/>
        <v/>
      </c>
    </row>
    <row r="787" ht="15.75" customHeight="1">
      <c r="A787" s="186"/>
      <c r="B787" s="187"/>
      <c r="C787" s="187"/>
      <c r="D787" s="188" t="str">
        <f>IF(C787="","",IFERROR(VLOOKUP(C787,Inventory!$A:$B,2,FALSE),""))</f>
        <v/>
      </c>
      <c r="E787" s="188" t="str">
        <f>IF(C787="","",IFERROR(VLOOKUP(C787,Inventory!$A:$C,3,FALSE),""))</f>
        <v/>
      </c>
      <c r="F787" s="187"/>
      <c r="G787" s="180" t="str">
        <f>IF(C787="","",IFERROR(VLOOKUP(C787,Inventory!$A:$I,9,FALSE),0))</f>
        <v/>
      </c>
      <c r="H787" s="189" t="str">
        <f t="shared" si="1"/>
        <v/>
      </c>
      <c r="I787" s="190" t="str">
        <f t="shared" si="2"/>
        <v/>
      </c>
      <c r="J787" s="191"/>
      <c r="K787" s="191" t="str">
        <f t="shared" si="3"/>
        <v/>
      </c>
      <c r="L787" s="187"/>
      <c r="M787" s="192" t="str">
        <f t="shared" si="4"/>
        <v/>
      </c>
      <c r="N787" s="185" t="str">
        <f t="shared" si="5"/>
        <v/>
      </c>
    </row>
    <row r="788" ht="15.75" customHeight="1">
      <c r="A788" s="186"/>
      <c r="B788" s="187"/>
      <c r="C788" s="187"/>
      <c r="D788" s="188" t="str">
        <f>IF(C788="","",IFERROR(VLOOKUP(C788,Inventory!$A:$B,2,FALSE),""))</f>
        <v/>
      </c>
      <c r="E788" s="188" t="str">
        <f>IF(C788="","",IFERROR(VLOOKUP(C788,Inventory!$A:$C,3,FALSE),""))</f>
        <v/>
      </c>
      <c r="F788" s="187"/>
      <c r="G788" s="180" t="str">
        <f>IF(C788="","",IFERROR(VLOOKUP(C788,Inventory!$A:$I,9,FALSE),0))</f>
        <v/>
      </c>
      <c r="H788" s="189" t="str">
        <f t="shared" si="1"/>
        <v/>
      </c>
      <c r="I788" s="190" t="str">
        <f t="shared" si="2"/>
        <v/>
      </c>
      <c r="J788" s="191"/>
      <c r="K788" s="191" t="str">
        <f t="shared" si="3"/>
        <v/>
      </c>
      <c r="L788" s="187"/>
      <c r="M788" s="192" t="str">
        <f t="shared" si="4"/>
        <v/>
      </c>
      <c r="N788" s="185" t="str">
        <f t="shared" si="5"/>
        <v/>
      </c>
    </row>
    <row r="789" ht="15.75" customHeight="1">
      <c r="A789" s="186"/>
      <c r="B789" s="187"/>
      <c r="C789" s="187"/>
      <c r="D789" s="188" t="str">
        <f>IF(C789="","",IFERROR(VLOOKUP(C789,Inventory!$A:$B,2,FALSE),""))</f>
        <v/>
      </c>
      <c r="E789" s="188" t="str">
        <f>IF(C789="","",IFERROR(VLOOKUP(C789,Inventory!$A:$C,3,FALSE),""))</f>
        <v/>
      </c>
      <c r="F789" s="187"/>
      <c r="G789" s="180" t="str">
        <f>IF(C789="","",IFERROR(VLOOKUP(C789,Inventory!$A:$I,9,FALSE),0))</f>
        <v/>
      </c>
      <c r="H789" s="189" t="str">
        <f t="shared" si="1"/>
        <v/>
      </c>
      <c r="I789" s="190" t="str">
        <f t="shared" si="2"/>
        <v/>
      </c>
      <c r="J789" s="191"/>
      <c r="K789" s="191" t="str">
        <f t="shared" si="3"/>
        <v/>
      </c>
      <c r="L789" s="187"/>
      <c r="M789" s="192" t="str">
        <f t="shared" si="4"/>
        <v/>
      </c>
      <c r="N789" s="185" t="str">
        <f t="shared" si="5"/>
        <v/>
      </c>
    </row>
    <row r="790" ht="15.75" customHeight="1">
      <c r="A790" s="186"/>
      <c r="B790" s="187"/>
      <c r="C790" s="187"/>
      <c r="D790" s="188" t="str">
        <f>IF(C790="","",IFERROR(VLOOKUP(C790,Inventory!$A:$B,2,FALSE),""))</f>
        <v/>
      </c>
      <c r="E790" s="188" t="str">
        <f>IF(C790="","",IFERROR(VLOOKUP(C790,Inventory!$A:$C,3,FALSE),""))</f>
        <v/>
      </c>
      <c r="F790" s="187"/>
      <c r="G790" s="180" t="str">
        <f>IF(C790="","",IFERROR(VLOOKUP(C790,Inventory!$A:$I,9,FALSE),0))</f>
        <v/>
      </c>
      <c r="H790" s="189" t="str">
        <f t="shared" si="1"/>
        <v/>
      </c>
      <c r="I790" s="190" t="str">
        <f t="shared" si="2"/>
        <v/>
      </c>
      <c r="J790" s="191"/>
      <c r="K790" s="191" t="str">
        <f t="shared" si="3"/>
        <v/>
      </c>
      <c r="L790" s="187"/>
      <c r="M790" s="192" t="str">
        <f t="shared" si="4"/>
        <v/>
      </c>
      <c r="N790" s="185" t="str">
        <f t="shared" si="5"/>
        <v/>
      </c>
    </row>
    <row r="791" ht="15.75" customHeight="1">
      <c r="A791" s="186"/>
      <c r="B791" s="187"/>
      <c r="C791" s="187"/>
      <c r="D791" s="188" t="str">
        <f>IF(C791="","",IFERROR(VLOOKUP(C791,Inventory!$A:$B,2,FALSE),""))</f>
        <v/>
      </c>
      <c r="E791" s="188" t="str">
        <f>IF(C791="","",IFERROR(VLOOKUP(C791,Inventory!$A:$C,3,FALSE),""))</f>
        <v/>
      </c>
      <c r="F791" s="187"/>
      <c r="G791" s="180" t="str">
        <f>IF(C791="","",IFERROR(VLOOKUP(C791,Inventory!$A:$I,9,FALSE),0))</f>
        <v/>
      </c>
      <c r="H791" s="189" t="str">
        <f t="shared" si="1"/>
        <v/>
      </c>
      <c r="I791" s="190" t="str">
        <f t="shared" si="2"/>
        <v/>
      </c>
      <c r="J791" s="191"/>
      <c r="K791" s="191" t="str">
        <f t="shared" si="3"/>
        <v/>
      </c>
      <c r="L791" s="187"/>
      <c r="M791" s="192" t="str">
        <f t="shared" si="4"/>
        <v/>
      </c>
      <c r="N791" s="185" t="str">
        <f t="shared" si="5"/>
        <v/>
      </c>
    </row>
    <row r="792" ht="15.75" customHeight="1">
      <c r="A792" s="186"/>
      <c r="B792" s="187"/>
      <c r="C792" s="187"/>
      <c r="D792" s="188" t="str">
        <f>IF(C792="","",IFERROR(VLOOKUP(C792,Inventory!$A:$B,2,FALSE),""))</f>
        <v/>
      </c>
      <c r="E792" s="188" t="str">
        <f>IF(C792="","",IFERROR(VLOOKUP(C792,Inventory!$A:$C,3,FALSE),""))</f>
        <v/>
      </c>
      <c r="F792" s="187"/>
      <c r="G792" s="180" t="str">
        <f>IF(C792="","",IFERROR(VLOOKUP(C792,Inventory!$A:$I,9,FALSE),0))</f>
        <v/>
      </c>
      <c r="H792" s="189" t="str">
        <f t="shared" si="1"/>
        <v/>
      </c>
      <c r="I792" s="190" t="str">
        <f t="shared" si="2"/>
        <v/>
      </c>
      <c r="J792" s="191"/>
      <c r="K792" s="191" t="str">
        <f t="shared" si="3"/>
        <v/>
      </c>
      <c r="L792" s="187"/>
      <c r="M792" s="192" t="str">
        <f t="shared" si="4"/>
        <v/>
      </c>
      <c r="N792" s="185" t="str">
        <f t="shared" si="5"/>
        <v/>
      </c>
    </row>
    <row r="793" ht="15.75" customHeight="1">
      <c r="A793" s="186"/>
      <c r="B793" s="187"/>
      <c r="C793" s="187"/>
      <c r="D793" s="188" t="str">
        <f>IF(C793="","",IFERROR(VLOOKUP(C793,Inventory!$A:$B,2,FALSE),""))</f>
        <v/>
      </c>
      <c r="E793" s="188" t="str">
        <f>IF(C793="","",IFERROR(VLOOKUP(C793,Inventory!$A:$C,3,FALSE),""))</f>
        <v/>
      </c>
      <c r="F793" s="187"/>
      <c r="G793" s="180" t="str">
        <f>IF(C793="","",IFERROR(VLOOKUP(C793,Inventory!$A:$I,9,FALSE),0))</f>
        <v/>
      </c>
      <c r="H793" s="189" t="str">
        <f t="shared" si="1"/>
        <v/>
      </c>
      <c r="I793" s="190" t="str">
        <f t="shared" si="2"/>
        <v/>
      </c>
      <c r="J793" s="191"/>
      <c r="K793" s="191" t="str">
        <f t="shared" si="3"/>
        <v/>
      </c>
      <c r="L793" s="187"/>
      <c r="M793" s="192" t="str">
        <f t="shared" si="4"/>
        <v/>
      </c>
      <c r="N793" s="185" t="str">
        <f t="shared" si="5"/>
        <v/>
      </c>
    </row>
    <row r="794" ht="15.75" customHeight="1">
      <c r="A794" s="186"/>
      <c r="B794" s="187"/>
      <c r="C794" s="187"/>
      <c r="D794" s="188" t="str">
        <f>IF(C794="","",IFERROR(VLOOKUP(C794,Inventory!$A:$B,2,FALSE),""))</f>
        <v/>
      </c>
      <c r="E794" s="188" t="str">
        <f>IF(C794="","",IFERROR(VLOOKUP(C794,Inventory!$A:$C,3,FALSE),""))</f>
        <v/>
      </c>
      <c r="F794" s="187"/>
      <c r="G794" s="180" t="str">
        <f>IF(C794="","",IFERROR(VLOOKUP(C794,Inventory!$A:$I,9,FALSE),0))</f>
        <v/>
      </c>
      <c r="H794" s="189" t="str">
        <f t="shared" si="1"/>
        <v/>
      </c>
      <c r="I794" s="190" t="str">
        <f t="shared" si="2"/>
        <v/>
      </c>
      <c r="J794" s="191"/>
      <c r="K794" s="191" t="str">
        <f t="shared" si="3"/>
        <v/>
      </c>
      <c r="L794" s="187"/>
      <c r="M794" s="192" t="str">
        <f t="shared" si="4"/>
        <v/>
      </c>
      <c r="N794" s="185" t="str">
        <f t="shared" si="5"/>
        <v/>
      </c>
    </row>
    <row r="795" ht="15.75" customHeight="1">
      <c r="A795" s="186"/>
      <c r="B795" s="187"/>
      <c r="C795" s="187"/>
      <c r="D795" s="188" t="str">
        <f>IF(C795="","",IFERROR(VLOOKUP(C795,Inventory!$A:$B,2,FALSE),""))</f>
        <v/>
      </c>
      <c r="E795" s="188" t="str">
        <f>IF(C795="","",IFERROR(VLOOKUP(C795,Inventory!$A:$C,3,FALSE),""))</f>
        <v/>
      </c>
      <c r="F795" s="187"/>
      <c r="G795" s="180" t="str">
        <f>IF(C795="","",IFERROR(VLOOKUP(C795,Inventory!$A:$I,9,FALSE),0))</f>
        <v/>
      </c>
      <c r="H795" s="189" t="str">
        <f t="shared" si="1"/>
        <v/>
      </c>
      <c r="I795" s="190" t="str">
        <f t="shared" si="2"/>
        <v/>
      </c>
      <c r="J795" s="191"/>
      <c r="K795" s="191" t="str">
        <f t="shared" si="3"/>
        <v/>
      </c>
      <c r="L795" s="187"/>
      <c r="M795" s="192" t="str">
        <f t="shared" si="4"/>
        <v/>
      </c>
      <c r="N795" s="185" t="str">
        <f t="shared" si="5"/>
        <v/>
      </c>
    </row>
    <row r="796" ht="15.75" customHeight="1">
      <c r="A796" s="186"/>
      <c r="B796" s="187"/>
      <c r="C796" s="187"/>
      <c r="D796" s="188" t="str">
        <f>IF(C796="","",IFERROR(VLOOKUP(C796,Inventory!$A:$B,2,FALSE),""))</f>
        <v/>
      </c>
      <c r="E796" s="188" t="str">
        <f>IF(C796="","",IFERROR(VLOOKUP(C796,Inventory!$A:$C,3,FALSE),""))</f>
        <v/>
      </c>
      <c r="F796" s="187"/>
      <c r="G796" s="180" t="str">
        <f>IF(C796="","",IFERROR(VLOOKUP(C796,Inventory!$A:$I,9,FALSE),0))</f>
        <v/>
      </c>
      <c r="H796" s="189" t="str">
        <f t="shared" si="1"/>
        <v/>
      </c>
      <c r="I796" s="190" t="str">
        <f t="shared" si="2"/>
        <v/>
      </c>
      <c r="J796" s="191"/>
      <c r="K796" s="191" t="str">
        <f t="shared" si="3"/>
        <v/>
      </c>
      <c r="L796" s="187"/>
      <c r="M796" s="192" t="str">
        <f t="shared" si="4"/>
        <v/>
      </c>
      <c r="N796" s="185" t="str">
        <f t="shared" si="5"/>
        <v/>
      </c>
    </row>
    <row r="797" ht="15.75" customHeight="1">
      <c r="A797" s="186"/>
      <c r="B797" s="187"/>
      <c r="C797" s="187"/>
      <c r="D797" s="188" t="str">
        <f>IF(C797="","",IFERROR(VLOOKUP(C797,Inventory!$A:$B,2,FALSE),""))</f>
        <v/>
      </c>
      <c r="E797" s="188" t="str">
        <f>IF(C797="","",IFERROR(VLOOKUP(C797,Inventory!$A:$C,3,FALSE),""))</f>
        <v/>
      </c>
      <c r="F797" s="187"/>
      <c r="G797" s="180" t="str">
        <f>IF(C797="","",IFERROR(VLOOKUP(C797,Inventory!$A:$I,9,FALSE),0))</f>
        <v/>
      </c>
      <c r="H797" s="189" t="str">
        <f t="shared" si="1"/>
        <v/>
      </c>
      <c r="I797" s="190" t="str">
        <f t="shared" si="2"/>
        <v/>
      </c>
      <c r="J797" s="191"/>
      <c r="K797" s="191" t="str">
        <f t="shared" si="3"/>
        <v/>
      </c>
      <c r="L797" s="187"/>
      <c r="M797" s="192" t="str">
        <f t="shared" si="4"/>
        <v/>
      </c>
      <c r="N797" s="185" t="str">
        <f t="shared" si="5"/>
        <v/>
      </c>
    </row>
    <row r="798" ht="15.75" customHeight="1">
      <c r="A798" s="186"/>
      <c r="B798" s="187"/>
      <c r="C798" s="187"/>
      <c r="D798" s="188" t="str">
        <f>IF(C798="","",IFERROR(VLOOKUP(C798,Inventory!$A:$B,2,FALSE),""))</f>
        <v/>
      </c>
      <c r="E798" s="188" t="str">
        <f>IF(C798="","",IFERROR(VLOOKUP(C798,Inventory!$A:$C,3,FALSE),""))</f>
        <v/>
      </c>
      <c r="F798" s="187"/>
      <c r="G798" s="180" t="str">
        <f>IF(C798="","",IFERROR(VLOOKUP(C798,Inventory!$A:$I,9,FALSE),0))</f>
        <v/>
      </c>
      <c r="H798" s="189" t="str">
        <f t="shared" si="1"/>
        <v/>
      </c>
      <c r="I798" s="190" t="str">
        <f t="shared" si="2"/>
        <v/>
      </c>
      <c r="J798" s="191"/>
      <c r="K798" s="191" t="str">
        <f t="shared" si="3"/>
        <v/>
      </c>
      <c r="L798" s="187"/>
      <c r="M798" s="192" t="str">
        <f t="shared" si="4"/>
        <v/>
      </c>
      <c r="N798" s="185" t="str">
        <f t="shared" si="5"/>
        <v/>
      </c>
    </row>
    <row r="799" ht="15.75" customHeight="1">
      <c r="A799" s="186"/>
      <c r="B799" s="187"/>
      <c r="C799" s="187"/>
      <c r="D799" s="188" t="str">
        <f>IF(C799="","",IFERROR(VLOOKUP(C799,Inventory!$A:$B,2,FALSE),""))</f>
        <v/>
      </c>
      <c r="E799" s="188" t="str">
        <f>IF(C799="","",IFERROR(VLOOKUP(C799,Inventory!$A:$C,3,FALSE),""))</f>
        <v/>
      </c>
      <c r="F799" s="187"/>
      <c r="G799" s="180" t="str">
        <f>IF(C799="","",IFERROR(VLOOKUP(C799,Inventory!$A:$I,9,FALSE),0))</f>
        <v/>
      </c>
      <c r="H799" s="189" t="str">
        <f t="shared" si="1"/>
        <v/>
      </c>
      <c r="I799" s="190" t="str">
        <f t="shared" si="2"/>
        <v/>
      </c>
      <c r="J799" s="191"/>
      <c r="K799" s="191" t="str">
        <f t="shared" si="3"/>
        <v/>
      </c>
      <c r="L799" s="187"/>
      <c r="M799" s="192" t="str">
        <f t="shared" si="4"/>
        <v/>
      </c>
      <c r="N799" s="185" t="str">
        <f t="shared" si="5"/>
        <v/>
      </c>
    </row>
    <row r="800" ht="15.75" customHeight="1">
      <c r="A800" s="186"/>
      <c r="B800" s="187"/>
      <c r="C800" s="187"/>
      <c r="D800" s="188" t="str">
        <f>IF(C800="","",IFERROR(VLOOKUP(C800,Inventory!$A:$B,2,FALSE),""))</f>
        <v/>
      </c>
      <c r="E800" s="188" t="str">
        <f>IF(C800="","",IFERROR(VLOOKUP(C800,Inventory!$A:$C,3,FALSE),""))</f>
        <v/>
      </c>
      <c r="F800" s="187"/>
      <c r="G800" s="180" t="str">
        <f>IF(C800="","",IFERROR(VLOOKUP(C800,Inventory!$A:$I,9,FALSE),0))</f>
        <v/>
      </c>
      <c r="H800" s="189" t="str">
        <f t="shared" si="1"/>
        <v/>
      </c>
      <c r="I800" s="190" t="str">
        <f t="shared" si="2"/>
        <v/>
      </c>
      <c r="J800" s="191"/>
      <c r="K800" s="191" t="str">
        <f t="shared" si="3"/>
        <v/>
      </c>
      <c r="L800" s="187"/>
      <c r="M800" s="192" t="str">
        <f t="shared" si="4"/>
        <v/>
      </c>
      <c r="N800" s="185" t="str">
        <f t="shared" si="5"/>
        <v/>
      </c>
    </row>
    <row r="801" ht="15.75" customHeight="1">
      <c r="A801" s="186"/>
      <c r="B801" s="187"/>
      <c r="C801" s="187"/>
      <c r="D801" s="188" t="str">
        <f>IF(C801="","",IFERROR(VLOOKUP(C801,Inventory!$A:$B,2,FALSE),""))</f>
        <v/>
      </c>
      <c r="E801" s="188" t="str">
        <f>IF(C801="","",IFERROR(VLOOKUP(C801,Inventory!$A:$C,3,FALSE),""))</f>
        <v/>
      </c>
      <c r="F801" s="187"/>
      <c r="G801" s="180" t="str">
        <f>IF(C801="","",IFERROR(VLOOKUP(C801,Inventory!$A:$I,9,FALSE),0))</f>
        <v/>
      </c>
      <c r="H801" s="189" t="str">
        <f t="shared" si="1"/>
        <v/>
      </c>
      <c r="I801" s="190" t="str">
        <f t="shared" si="2"/>
        <v/>
      </c>
      <c r="J801" s="191"/>
      <c r="K801" s="191" t="str">
        <f t="shared" si="3"/>
        <v/>
      </c>
      <c r="L801" s="187"/>
      <c r="M801" s="192" t="str">
        <f t="shared" si="4"/>
        <v/>
      </c>
      <c r="N801" s="185" t="str">
        <f t="shared" si="5"/>
        <v/>
      </c>
    </row>
    <row r="802" ht="15.75" customHeight="1">
      <c r="A802" s="186"/>
      <c r="B802" s="187"/>
      <c r="C802" s="187"/>
      <c r="D802" s="188" t="str">
        <f>IF(C802="","",IFERROR(VLOOKUP(C802,Inventory!$A:$B,2,FALSE),""))</f>
        <v/>
      </c>
      <c r="E802" s="188" t="str">
        <f>IF(C802="","",IFERROR(VLOOKUP(C802,Inventory!$A:$C,3,FALSE),""))</f>
        <v/>
      </c>
      <c r="F802" s="187"/>
      <c r="G802" s="180" t="str">
        <f>IF(C802="","",IFERROR(VLOOKUP(C802,Inventory!$A:$I,9,FALSE),0))</f>
        <v/>
      </c>
      <c r="H802" s="189" t="str">
        <f t="shared" si="1"/>
        <v/>
      </c>
      <c r="I802" s="190" t="str">
        <f t="shared" si="2"/>
        <v/>
      </c>
      <c r="J802" s="191"/>
      <c r="K802" s="191" t="str">
        <f t="shared" si="3"/>
        <v/>
      </c>
      <c r="L802" s="187"/>
      <c r="M802" s="192" t="str">
        <f t="shared" si="4"/>
        <v/>
      </c>
      <c r="N802" s="185" t="str">
        <f t="shared" si="5"/>
        <v/>
      </c>
    </row>
    <row r="803" ht="15.75" customHeight="1">
      <c r="A803" s="186"/>
      <c r="B803" s="187"/>
      <c r="C803" s="187"/>
      <c r="D803" s="188" t="str">
        <f>IF(C803="","",IFERROR(VLOOKUP(C803,Inventory!$A:$B,2,FALSE),""))</f>
        <v/>
      </c>
      <c r="E803" s="188" t="str">
        <f>IF(C803="","",IFERROR(VLOOKUP(C803,Inventory!$A:$C,3,FALSE),""))</f>
        <v/>
      </c>
      <c r="F803" s="187"/>
      <c r="G803" s="180" t="str">
        <f>IF(C803="","",IFERROR(VLOOKUP(C803,Inventory!$A:$I,9,FALSE),0))</f>
        <v/>
      </c>
      <c r="H803" s="189" t="str">
        <f t="shared" si="1"/>
        <v/>
      </c>
      <c r="I803" s="190" t="str">
        <f t="shared" si="2"/>
        <v/>
      </c>
      <c r="J803" s="191"/>
      <c r="K803" s="191" t="str">
        <f t="shared" si="3"/>
        <v/>
      </c>
      <c r="L803" s="187"/>
      <c r="M803" s="192" t="str">
        <f t="shared" si="4"/>
        <v/>
      </c>
      <c r="N803" s="185" t="str">
        <f t="shared" si="5"/>
        <v/>
      </c>
    </row>
    <row r="804" ht="15.75" customHeight="1">
      <c r="A804" s="186"/>
      <c r="B804" s="187"/>
      <c r="C804" s="187"/>
      <c r="D804" s="188" t="str">
        <f>IF(C804="","",IFERROR(VLOOKUP(C804,Inventory!$A:$B,2,FALSE),""))</f>
        <v/>
      </c>
      <c r="E804" s="188" t="str">
        <f>IF(C804="","",IFERROR(VLOOKUP(C804,Inventory!$A:$C,3,FALSE),""))</f>
        <v/>
      </c>
      <c r="F804" s="187"/>
      <c r="G804" s="180" t="str">
        <f>IF(C804="","",IFERROR(VLOOKUP(C804,Inventory!$A:$I,9,FALSE),0))</f>
        <v/>
      </c>
      <c r="H804" s="189" t="str">
        <f t="shared" si="1"/>
        <v/>
      </c>
      <c r="I804" s="190" t="str">
        <f t="shared" si="2"/>
        <v/>
      </c>
      <c r="J804" s="191"/>
      <c r="K804" s="191" t="str">
        <f t="shared" si="3"/>
        <v/>
      </c>
      <c r="L804" s="187"/>
      <c r="M804" s="192" t="str">
        <f t="shared" si="4"/>
        <v/>
      </c>
      <c r="N804" s="185" t="str">
        <f t="shared" si="5"/>
        <v/>
      </c>
    </row>
    <row r="805" ht="15.75" customHeight="1">
      <c r="A805" s="186"/>
      <c r="B805" s="187"/>
      <c r="C805" s="187"/>
      <c r="D805" s="188" t="str">
        <f>IF(C805="","",IFERROR(VLOOKUP(C805,Inventory!$A:$B,2,FALSE),""))</f>
        <v/>
      </c>
      <c r="E805" s="188" t="str">
        <f>IF(C805="","",IFERROR(VLOOKUP(C805,Inventory!$A:$C,3,FALSE),""))</f>
        <v/>
      </c>
      <c r="F805" s="187"/>
      <c r="G805" s="180" t="str">
        <f>IF(C805="","",IFERROR(VLOOKUP(C805,Inventory!$A:$I,9,FALSE),0))</f>
        <v/>
      </c>
      <c r="H805" s="189" t="str">
        <f t="shared" si="1"/>
        <v/>
      </c>
      <c r="I805" s="190" t="str">
        <f t="shared" si="2"/>
        <v/>
      </c>
      <c r="J805" s="191"/>
      <c r="K805" s="191" t="str">
        <f t="shared" si="3"/>
        <v/>
      </c>
      <c r="L805" s="187"/>
      <c r="M805" s="192" t="str">
        <f t="shared" si="4"/>
        <v/>
      </c>
      <c r="N805" s="185" t="str">
        <f t="shared" si="5"/>
        <v/>
      </c>
    </row>
    <row r="806" ht="15.75" customHeight="1">
      <c r="A806" s="186"/>
      <c r="B806" s="187"/>
      <c r="C806" s="187"/>
      <c r="D806" s="188" t="str">
        <f>IF(C806="","",IFERROR(VLOOKUP(C806,Inventory!$A:$B,2,FALSE),""))</f>
        <v/>
      </c>
      <c r="E806" s="188" t="str">
        <f>IF(C806="","",IFERROR(VLOOKUP(C806,Inventory!$A:$C,3,FALSE),""))</f>
        <v/>
      </c>
      <c r="F806" s="187"/>
      <c r="G806" s="180" t="str">
        <f>IF(C806="","",IFERROR(VLOOKUP(C806,Inventory!$A:$I,9,FALSE),0))</f>
        <v/>
      </c>
      <c r="H806" s="189" t="str">
        <f t="shared" si="1"/>
        <v/>
      </c>
      <c r="I806" s="190" t="str">
        <f t="shared" si="2"/>
        <v/>
      </c>
      <c r="J806" s="191"/>
      <c r="K806" s="191" t="str">
        <f t="shared" si="3"/>
        <v/>
      </c>
      <c r="L806" s="187"/>
      <c r="M806" s="192" t="str">
        <f t="shared" si="4"/>
        <v/>
      </c>
      <c r="N806" s="185" t="str">
        <f t="shared" si="5"/>
        <v/>
      </c>
    </row>
    <row r="807" ht="15.75" customHeight="1">
      <c r="A807" s="186"/>
      <c r="B807" s="187"/>
      <c r="C807" s="187"/>
      <c r="D807" s="188" t="str">
        <f>IF(C807="","",IFERROR(VLOOKUP(C807,Inventory!$A:$B,2,FALSE),""))</f>
        <v/>
      </c>
      <c r="E807" s="188" t="str">
        <f>IF(C807="","",IFERROR(VLOOKUP(C807,Inventory!$A:$C,3,FALSE),""))</f>
        <v/>
      </c>
      <c r="F807" s="187"/>
      <c r="G807" s="180" t="str">
        <f>IF(C807="","",IFERROR(VLOOKUP(C807,Inventory!$A:$I,9,FALSE),0))</f>
        <v/>
      </c>
      <c r="H807" s="189" t="str">
        <f t="shared" si="1"/>
        <v/>
      </c>
      <c r="I807" s="190" t="str">
        <f t="shared" si="2"/>
        <v/>
      </c>
      <c r="J807" s="191"/>
      <c r="K807" s="191" t="str">
        <f t="shared" si="3"/>
        <v/>
      </c>
      <c r="L807" s="187"/>
      <c r="M807" s="192" t="str">
        <f t="shared" si="4"/>
        <v/>
      </c>
      <c r="N807" s="185" t="str">
        <f t="shared" si="5"/>
        <v/>
      </c>
    </row>
    <row r="808" ht="15.75" customHeight="1">
      <c r="A808" s="186"/>
      <c r="B808" s="187"/>
      <c r="C808" s="187"/>
      <c r="D808" s="188" t="str">
        <f>IF(C808="","",IFERROR(VLOOKUP(C808,Inventory!$A:$B,2,FALSE),""))</f>
        <v/>
      </c>
      <c r="E808" s="188" t="str">
        <f>IF(C808="","",IFERROR(VLOOKUP(C808,Inventory!$A:$C,3,FALSE),""))</f>
        <v/>
      </c>
      <c r="F808" s="187"/>
      <c r="G808" s="180" t="str">
        <f>IF(C808="","",IFERROR(VLOOKUP(C808,Inventory!$A:$I,9,FALSE),0))</f>
        <v/>
      </c>
      <c r="H808" s="189" t="str">
        <f t="shared" si="1"/>
        <v/>
      </c>
      <c r="I808" s="190" t="str">
        <f t="shared" si="2"/>
        <v/>
      </c>
      <c r="J808" s="191"/>
      <c r="K808" s="191" t="str">
        <f t="shared" si="3"/>
        <v/>
      </c>
      <c r="L808" s="187"/>
      <c r="M808" s="192" t="str">
        <f t="shared" si="4"/>
        <v/>
      </c>
      <c r="N808" s="185" t="str">
        <f t="shared" si="5"/>
        <v/>
      </c>
    </row>
    <row r="809" ht="15.75" customHeight="1">
      <c r="A809" s="186"/>
      <c r="B809" s="187"/>
      <c r="C809" s="187"/>
      <c r="D809" s="188" t="str">
        <f>IF(C809="","",IFERROR(VLOOKUP(C809,Inventory!$A:$B,2,FALSE),""))</f>
        <v/>
      </c>
      <c r="E809" s="188" t="str">
        <f>IF(C809="","",IFERROR(VLOOKUP(C809,Inventory!$A:$C,3,FALSE),""))</f>
        <v/>
      </c>
      <c r="F809" s="187"/>
      <c r="G809" s="180" t="str">
        <f>IF(C809="","",IFERROR(VLOOKUP(C809,Inventory!$A:$I,9,FALSE),0))</f>
        <v/>
      </c>
      <c r="H809" s="189" t="str">
        <f t="shared" si="1"/>
        <v/>
      </c>
      <c r="I809" s="190" t="str">
        <f t="shared" si="2"/>
        <v/>
      </c>
      <c r="J809" s="191"/>
      <c r="K809" s="191" t="str">
        <f t="shared" si="3"/>
        <v/>
      </c>
      <c r="L809" s="187"/>
      <c r="M809" s="192" t="str">
        <f t="shared" si="4"/>
        <v/>
      </c>
      <c r="N809" s="185" t="str">
        <f t="shared" si="5"/>
        <v/>
      </c>
    </row>
    <row r="810" ht="15.75" customHeight="1">
      <c r="A810" s="186"/>
      <c r="B810" s="187"/>
      <c r="C810" s="187"/>
      <c r="D810" s="188" t="str">
        <f>IF(C810="","",IFERROR(VLOOKUP(C810,Inventory!$A:$B,2,FALSE),""))</f>
        <v/>
      </c>
      <c r="E810" s="188" t="str">
        <f>IF(C810="","",IFERROR(VLOOKUP(C810,Inventory!$A:$C,3,FALSE),""))</f>
        <v/>
      </c>
      <c r="F810" s="187"/>
      <c r="G810" s="180" t="str">
        <f>IF(C810="","",IFERROR(VLOOKUP(C810,Inventory!$A:$I,9,FALSE),0))</f>
        <v/>
      </c>
      <c r="H810" s="189" t="str">
        <f t="shared" si="1"/>
        <v/>
      </c>
      <c r="I810" s="190" t="str">
        <f t="shared" si="2"/>
        <v/>
      </c>
      <c r="J810" s="191"/>
      <c r="K810" s="191" t="str">
        <f t="shared" si="3"/>
        <v/>
      </c>
      <c r="L810" s="187"/>
      <c r="M810" s="192" t="str">
        <f t="shared" si="4"/>
        <v/>
      </c>
      <c r="N810" s="185" t="str">
        <f t="shared" si="5"/>
        <v/>
      </c>
    </row>
    <row r="811" ht="15.75" customHeight="1">
      <c r="A811" s="186"/>
      <c r="B811" s="187"/>
      <c r="C811" s="187"/>
      <c r="D811" s="188" t="str">
        <f>IF(C811="","",IFERROR(VLOOKUP(C811,Inventory!$A:$B,2,FALSE),""))</f>
        <v/>
      </c>
      <c r="E811" s="188" t="str">
        <f>IF(C811="","",IFERROR(VLOOKUP(C811,Inventory!$A:$C,3,FALSE),""))</f>
        <v/>
      </c>
      <c r="F811" s="187"/>
      <c r="G811" s="180" t="str">
        <f>IF(C811="","",IFERROR(VLOOKUP(C811,Inventory!$A:$I,9,FALSE),0))</f>
        <v/>
      </c>
      <c r="H811" s="189" t="str">
        <f t="shared" si="1"/>
        <v/>
      </c>
      <c r="I811" s="190" t="str">
        <f t="shared" si="2"/>
        <v/>
      </c>
      <c r="J811" s="191"/>
      <c r="K811" s="191" t="str">
        <f t="shared" si="3"/>
        <v/>
      </c>
      <c r="L811" s="187"/>
      <c r="M811" s="192" t="str">
        <f t="shared" si="4"/>
        <v/>
      </c>
      <c r="N811" s="185" t="str">
        <f t="shared" si="5"/>
        <v/>
      </c>
    </row>
    <row r="812" ht="15.75" customHeight="1">
      <c r="A812" s="186"/>
      <c r="B812" s="187"/>
      <c r="C812" s="187"/>
      <c r="D812" s="188" t="str">
        <f>IF(C812="","",IFERROR(VLOOKUP(C812,Inventory!$A:$B,2,FALSE),""))</f>
        <v/>
      </c>
      <c r="E812" s="188" t="str">
        <f>IF(C812="","",IFERROR(VLOOKUP(C812,Inventory!$A:$C,3,FALSE),""))</f>
        <v/>
      </c>
      <c r="F812" s="187"/>
      <c r="G812" s="180" t="str">
        <f>IF(C812="","",IFERROR(VLOOKUP(C812,Inventory!$A:$I,9,FALSE),0))</f>
        <v/>
      </c>
      <c r="H812" s="189" t="str">
        <f t="shared" si="1"/>
        <v/>
      </c>
      <c r="I812" s="190" t="str">
        <f t="shared" si="2"/>
        <v/>
      </c>
      <c r="J812" s="191"/>
      <c r="K812" s="191" t="str">
        <f t="shared" si="3"/>
        <v/>
      </c>
      <c r="L812" s="187"/>
      <c r="M812" s="192" t="str">
        <f t="shared" si="4"/>
        <v/>
      </c>
      <c r="N812" s="185" t="str">
        <f t="shared" si="5"/>
        <v/>
      </c>
    </row>
    <row r="813" ht="15.75" customHeight="1">
      <c r="A813" s="186"/>
      <c r="B813" s="187"/>
      <c r="C813" s="187"/>
      <c r="D813" s="188" t="str">
        <f>IF(C813="","",IFERROR(VLOOKUP(C813,Inventory!$A:$B,2,FALSE),""))</f>
        <v/>
      </c>
      <c r="E813" s="188" t="str">
        <f>IF(C813="","",IFERROR(VLOOKUP(C813,Inventory!$A:$C,3,FALSE),""))</f>
        <v/>
      </c>
      <c r="F813" s="187"/>
      <c r="G813" s="180" t="str">
        <f>IF(C813="","",IFERROR(VLOOKUP(C813,Inventory!$A:$I,9,FALSE),0))</f>
        <v/>
      </c>
      <c r="H813" s="189" t="str">
        <f t="shared" si="1"/>
        <v/>
      </c>
      <c r="I813" s="190" t="str">
        <f t="shared" si="2"/>
        <v/>
      </c>
      <c r="J813" s="191"/>
      <c r="K813" s="191" t="str">
        <f t="shared" si="3"/>
        <v/>
      </c>
      <c r="L813" s="187"/>
      <c r="M813" s="192" t="str">
        <f t="shared" si="4"/>
        <v/>
      </c>
      <c r="N813" s="185" t="str">
        <f t="shared" si="5"/>
        <v/>
      </c>
    </row>
    <row r="814" ht="15.75" customHeight="1">
      <c r="A814" s="186"/>
      <c r="B814" s="187"/>
      <c r="C814" s="187"/>
      <c r="D814" s="188" t="str">
        <f>IF(C814="","",IFERROR(VLOOKUP(C814,Inventory!$A:$B,2,FALSE),""))</f>
        <v/>
      </c>
      <c r="E814" s="188" t="str">
        <f>IF(C814="","",IFERROR(VLOOKUP(C814,Inventory!$A:$C,3,FALSE),""))</f>
        <v/>
      </c>
      <c r="F814" s="187"/>
      <c r="G814" s="180" t="str">
        <f>IF(C814="","",IFERROR(VLOOKUP(C814,Inventory!$A:$I,9,FALSE),0))</f>
        <v/>
      </c>
      <c r="H814" s="189" t="str">
        <f t="shared" si="1"/>
        <v/>
      </c>
      <c r="I814" s="190" t="str">
        <f t="shared" si="2"/>
        <v/>
      </c>
      <c r="J814" s="191"/>
      <c r="K814" s="191" t="str">
        <f t="shared" si="3"/>
        <v/>
      </c>
      <c r="L814" s="187"/>
      <c r="M814" s="192" t="str">
        <f t="shared" si="4"/>
        <v/>
      </c>
      <c r="N814" s="185" t="str">
        <f t="shared" si="5"/>
        <v/>
      </c>
    </row>
    <row r="815" ht="15.75" customHeight="1">
      <c r="A815" s="186"/>
      <c r="B815" s="187"/>
      <c r="C815" s="187"/>
      <c r="D815" s="188" t="str">
        <f>IF(C815="","",IFERROR(VLOOKUP(C815,Inventory!$A:$B,2,FALSE),""))</f>
        <v/>
      </c>
      <c r="E815" s="188" t="str">
        <f>IF(C815="","",IFERROR(VLOOKUP(C815,Inventory!$A:$C,3,FALSE),""))</f>
        <v/>
      </c>
      <c r="F815" s="187"/>
      <c r="G815" s="180" t="str">
        <f>IF(C815="","",IFERROR(VLOOKUP(C815,Inventory!$A:$I,9,FALSE),0))</f>
        <v/>
      </c>
      <c r="H815" s="189" t="str">
        <f t="shared" si="1"/>
        <v/>
      </c>
      <c r="I815" s="190" t="str">
        <f t="shared" si="2"/>
        <v/>
      </c>
      <c r="J815" s="191"/>
      <c r="K815" s="191" t="str">
        <f t="shared" si="3"/>
        <v/>
      </c>
      <c r="L815" s="187"/>
      <c r="M815" s="192" t="str">
        <f t="shared" si="4"/>
        <v/>
      </c>
      <c r="N815" s="185" t="str">
        <f t="shared" si="5"/>
        <v/>
      </c>
    </row>
    <row r="816" ht="15.75" customHeight="1">
      <c r="A816" s="186"/>
      <c r="B816" s="187"/>
      <c r="C816" s="187"/>
      <c r="D816" s="188" t="str">
        <f>IF(C816="","",IFERROR(VLOOKUP(C816,Inventory!$A:$B,2,FALSE),""))</f>
        <v/>
      </c>
      <c r="E816" s="188" t="str">
        <f>IF(C816="","",IFERROR(VLOOKUP(C816,Inventory!$A:$C,3,FALSE),""))</f>
        <v/>
      </c>
      <c r="F816" s="187"/>
      <c r="G816" s="180" t="str">
        <f>IF(C816="","",IFERROR(VLOOKUP(C816,Inventory!$A:$I,9,FALSE),0))</f>
        <v/>
      </c>
      <c r="H816" s="189" t="str">
        <f t="shared" si="1"/>
        <v/>
      </c>
      <c r="I816" s="190" t="str">
        <f t="shared" si="2"/>
        <v/>
      </c>
      <c r="J816" s="191"/>
      <c r="K816" s="191" t="str">
        <f t="shared" si="3"/>
        <v/>
      </c>
      <c r="L816" s="187"/>
      <c r="M816" s="192" t="str">
        <f t="shared" si="4"/>
        <v/>
      </c>
      <c r="N816" s="185" t="str">
        <f t="shared" si="5"/>
        <v/>
      </c>
    </row>
    <row r="817" ht="15.75" customHeight="1">
      <c r="A817" s="186"/>
      <c r="B817" s="187"/>
      <c r="C817" s="187"/>
      <c r="D817" s="188" t="str">
        <f>IF(C817="","",IFERROR(VLOOKUP(C817,Inventory!$A:$B,2,FALSE),""))</f>
        <v/>
      </c>
      <c r="E817" s="188" t="str">
        <f>IF(C817="","",IFERROR(VLOOKUP(C817,Inventory!$A:$C,3,FALSE),""))</f>
        <v/>
      </c>
      <c r="F817" s="187"/>
      <c r="G817" s="180" t="str">
        <f>IF(C817="","",IFERROR(VLOOKUP(C817,Inventory!$A:$I,9,FALSE),0))</f>
        <v/>
      </c>
      <c r="H817" s="189" t="str">
        <f t="shared" si="1"/>
        <v/>
      </c>
      <c r="I817" s="190" t="str">
        <f t="shared" si="2"/>
        <v/>
      </c>
      <c r="J817" s="191"/>
      <c r="K817" s="191" t="str">
        <f t="shared" si="3"/>
        <v/>
      </c>
      <c r="L817" s="187"/>
      <c r="M817" s="192" t="str">
        <f t="shared" si="4"/>
        <v/>
      </c>
      <c r="N817" s="185" t="str">
        <f t="shared" si="5"/>
        <v/>
      </c>
    </row>
    <row r="818" ht="15.75" customHeight="1">
      <c r="A818" s="186"/>
      <c r="B818" s="187"/>
      <c r="C818" s="187"/>
      <c r="D818" s="188" t="str">
        <f>IF(C818="","",IFERROR(VLOOKUP(C818,Inventory!$A:$B,2,FALSE),""))</f>
        <v/>
      </c>
      <c r="E818" s="188" t="str">
        <f>IF(C818="","",IFERROR(VLOOKUP(C818,Inventory!$A:$C,3,FALSE),""))</f>
        <v/>
      </c>
      <c r="F818" s="187"/>
      <c r="G818" s="180" t="str">
        <f>IF(C818="","",IFERROR(VLOOKUP(C818,Inventory!$A:$I,9,FALSE),0))</f>
        <v/>
      </c>
      <c r="H818" s="189" t="str">
        <f t="shared" si="1"/>
        <v/>
      </c>
      <c r="I818" s="190" t="str">
        <f t="shared" si="2"/>
        <v/>
      </c>
      <c r="J818" s="191"/>
      <c r="K818" s="191" t="str">
        <f t="shared" si="3"/>
        <v/>
      </c>
      <c r="L818" s="187"/>
      <c r="M818" s="192" t="str">
        <f t="shared" si="4"/>
        <v/>
      </c>
      <c r="N818" s="185" t="str">
        <f t="shared" si="5"/>
        <v/>
      </c>
    </row>
    <row r="819" ht="15.75" customHeight="1">
      <c r="A819" s="186"/>
      <c r="B819" s="187"/>
      <c r="C819" s="187"/>
      <c r="D819" s="188" t="str">
        <f>IF(C819="","",IFERROR(VLOOKUP(C819,Inventory!$A:$B,2,FALSE),""))</f>
        <v/>
      </c>
      <c r="E819" s="188" t="str">
        <f>IF(C819="","",IFERROR(VLOOKUP(C819,Inventory!$A:$C,3,FALSE),""))</f>
        <v/>
      </c>
      <c r="F819" s="187"/>
      <c r="G819" s="180" t="str">
        <f>IF(C819="","",IFERROR(VLOOKUP(C819,Inventory!$A:$I,9,FALSE),0))</f>
        <v/>
      </c>
      <c r="H819" s="189" t="str">
        <f t="shared" si="1"/>
        <v/>
      </c>
      <c r="I819" s="190" t="str">
        <f t="shared" si="2"/>
        <v/>
      </c>
      <c r="J819" s="191"/>
      <c r="K819" s="191" t="str">
        <f t="shared" si="3"/>
        <v/>
      </c>
      <c r="L819" s="187"/>
      <c r="M819" s="192" t="str">
        <f t="shared" si="4"/>
        <v/>
      </c>
      <c r="N819" s="185" t="str">
        <f t="shared" si="5"/>
        <v/>
      </c>
    </row>
    <row r="820" ht="15.75" customHeight="1">
      <c r="A820" s="186"/>
      <c r="B820" s="187"/>
      <c r="C820" s="187"/>
      <c r="D820" s="188" t="str">
        <f>IF(C820="","",IFERROR(VLOOKUP(C820,Inventory!$A:$B,2,FALSE),""))</f>
        <v/>
      </c>
      <c r="E820" s="188" t="str">
        <f>IF(C820="","",IFERROR(VLOOKUP(C820,Inventory!$A:$C,3,FALSE),""))</f>
        <v/>
      </c>
      <c r="F820" s="187"/>
      <c r="G820" s="180" t="str">
        <f>IF(C820="","",IFERROR(VLOOKUP(C820,Inventory!$A:$I,9,FALSE),0))</f>
        <v/>
      </c>
      <c r="H820" s="189" t="str">
        <f t="shared" si="1"/>
        <v/>
      </c>
      <c r="I820" s="190" t="str">
        <f t="shared" si="2"/>
        <v/>
      </c>
      <c r="J820" s="191"/>
      <c r="K820" s="191" t="str">
        <f t="shared" si="3"/>
        <v/>
      </c>
      <c r="L820" s="187"/>
      <c r="M820" s="192" t="str">
        <f t="shared" si="4"/>
        <v/>
      </c>
      <c r="N820" s="185" t="str">
        <f t="shared" si="5"/>
        <v/>
      </c>
    </row>
    <row r="821" ht="15.75" customHeight="1">
      <c r="A821" s="186"/>
      <c r="B821" s="187"/>
      <c r="C821" s="187"/>
      <c r="D821" s="188" t="str">
        <f>IF(C821="","",IFERROR(VLOOKUP(C821,Inventory!$A:$B,2,FALSE),""))</f>
        <v/>
      </c>
      <c r="E821" s="188" t="str">
        <f>IF(C821="","",IFERROR(VLOOKUP(C821,Inventory!$A:$C,3,FALSE),""))</f>
        <v/>
      </c>
      <c r="F821" s="187"/>
      <c r="G821" s="180" t="str">
        <f>IF(C821="","",IFERROR(VLOOKUP(C821,Inventory!$A:$I,9,FALSE),0))</f>
        <v/>
      </c>
      <c r="H821" s="189" t="str">
        <f t="shared" si="1"/>
        <v/>
      </c>
      <c r="I821" s="190" t="str">
        <f t="shared" si="2"/>
        <v/>
      </c>
      <c r="J821" s="191"/>
      <c r="K821" s="191" t="str">
        <f t="shared" si="3"/>
        <v/>
      </c>
      <c r="L821" s="187"/>
      <c r="M821" s="192" t="str">
        <f t="shared" si="4"/>
        <v/>
      </c>
      <c r="N821" s="185" t="str">
        <f t="shared" si="5"/>
        <v/>
      </c>
    </row>
    <row r="822" ht="15.75" customHeight="1">
      <c r="A822" s="186"/>
      <c r="B822" s="187"/>
      <c r="C822" s="187"/>
      <c r="D822" s="188" t="str">
        <f>IF(C822="","",IFERROR(VLOOKUP(C822,Inventory!$A:$B,2,FALSE),""))</f>
        <v/>
      </c>
      <c r="E822" s="188" t="str">
        <f>IF(C822="","",IFERROR(VLOOKUP(C822,Inventory!$A:$C,3,FALSE),""))</f>
        <v/>
      </c>
      <c r="F822" s="187"/>
      <c r="G822" s="180" t="str">
        <f>IF(C822="","",IFERROR(VLOOKUP(C822,Inventory!$A:$I,9,FALSE),0))</f>
        <v/>
      </c>
      <c r="H822" s="189" t="str">
        <f t="shared" si="1"/>
        <v/>
      </c>
      <c r="I822" s="190" t="str">
        <f t="shared" si="2"/>
        <v/>
      </c>
      <c r="J822" s="191"/>
      <c r="K822" s="191" t="str">
        <f t="shared" si="3"/>
        <v/>
      </c>
      <c r="L822" s="187"/>
      <c r="M822" s="192" t="str">
        <f t="shared" si="4"/>
        <v/>
      </c>
      <c r="N822" s="185" t="str">
        <f t="shared" si="5"/>
        <v/>
      </c>
    </row>
    <row r="823" ht="15.75" customHeight="1">
      <c r="A823" s="186"/>
      <c r="B823" s="187"/>
      <c r="C823" s="187"/>
      <c r="D823" s="188" t="str">
        <f>IF(C823="","",IFERROR(VLOOKUP(C823,Inventory!$A:$B,2,FALSE),""))</f>
        <v/>
      </c>
      <c r="E823" s="188" t="str">
        <f>IF(C823="","",IFERROR(VLOOKUP(C823,Inventory!$A:$C,3,FALSE),""))</f>
        <v/>
      </c>
      <c r="F823" s="187"/>
      <c r="G823" s="180" t="str">
        <f>IF(C823="","",IFERROR(VLOOKUP(C823,Inventory!$A:$I,9,FALSE),0))</f>
        <v/>
      </c>
      <c r="H823" s="189" t="str">
        <f t="shared" si="1"/>
        <v/>
      </c>
      <c r="I823" s="190" t="str">
        <f t="shared" si="2"/>
        <v/>
      </c>
      <c r="J823" s="191"/>
      <c r="K823" s="191" t="str">
        <f t="shared" si="3"/>
        <v/>
      </c>
      <c r="L823" s="187"/>
      <c r="M823" s="192" t="str">
        <f t="shared" si="4"/>
        <v/>
      </c>
      <c r="N823" s="185" t="str">
        <f t="shared" si="5"/>
        <v/>
      </c>
    </row>
    <row r="824" ht="15.75" customHeight="1">
      <c r="A824" s="186"/>
      <c r="B824" s="187"/>
      <c r="C824" s="187"/>
      <c r="D824" s="188" t="str">
        <f>IF(C824="","",IFERROR(VLOOKUP(C824,Inventory!$A:$B,2,FALSE),""))</f>
        <v/>
      </c>
      <c r="E824" s="188" t="str">
        <f>IF(C824="","",IFERROR(VLOOKUP(C824,Inventory!$A:$C,3,FALSE),""))</f>
        <v/>
      </c>
      <c r="F824" s="187"/>
      <c r="G824" s="180" t="str">
        <f>IF(C824="","",IFERROR(VLOOKUP(C824,Inventory!$A:$I,9,FALSE),0))</f>
        <v/>
      </c>
      <c r="H824" s="189" t="str">
        <f t="shared" si="1"/>
        <v/>
      </c>
      <c r="I824" s="190" t="str">
        <f t="shared" si="2"/>
        <v/>
      </c>
      <c r="J824" s="191"/>
      <c r="K824" s="191" t="str">
        <f t="shared" si="3"/>
        <v/>
      </c>
      <c r="L824" s="187"/>
      <c r="M824" s="192" t="str">
        <f t="shared" si="4"/>
        <v/>
      </c>
      <c r="N824" s="185" t="str">
        <f t="shared" si="5"/>
        <v/>
      </c>
    </row>
    <row r="825" ht="15.75" customHeight="1">
      <c r="A825" s="186"/>
      <c r="B825" s="187"/>
      <c r="C825" s="187"/>
      <c r="D825" s="188" t="str">
        <f>IF(C825="","",IFERROR(VLOOKUP(C825,Inventory!$A:$B,2,FALSE),""))</f>
        <v/>
      </c>
      <c r="E825" s="188" t="str">
        <f>IF(C825="","",IFERROR(VLOOKUP(C825,Inventory!$A:$C,3,FALSE),""))</f>
        <v/>
      </c>
      <c r="F825" s="187"/>
      <c r="G825" s="180" t="str">
        <f>IF(C825="","",IFERROR(VLOOKUP(C825,Inventory!$A:$I,9,FALSE),0))</f>
        <v/>
      </c>
      <c r="H825" s="189" t="str">
        <f t="shared" si="1"/>
        <v/>
      </c>
      <c r="I825" s="190" t="str">
        <f t="shared" si="2"/>
        <v/>
      </c>
      <c r="J825" s="191"/>
      <c r="K825" s="191" t="str">
        <f t="shared" si="3"/>
        <v/>
      </c>
      <c r="L825" s="187"/>
      <c r="M825" s="192" t="str">
        <f t="shared" si="4"/>
        <v/>
      </c>
      <c r="N825" s="185" t="str">
        <f t="shared" si="5"/>
        <v/>
      </c>
    </row>
    <row r="826" ht="15.75" customHeight="1">
      <c r="A826" s="186"/>
      <c r="B826" s="187"/>
      <c r="C826" s="187"/>
      <c r="D826" s="188" t="str">
        <f>IF(C826="","",IFERROR(VLOOKUP(C826,Inventory!$A:$B,2,FALSE),""))</f>
        <v/>
      </c>
      <c r="E826" s="188" t="str">
        <f>IF(C826="","",IFERROR(VLOOKUP(C826,Inventory!$A:$C,3,FALSE),""))</f>
        <v/>
      </c>
      <c r="F826" s="187"/>
      <c r="G826" s="180" t="str">
        <f>IF(C826="","",IFERROR(VLOOKUP(C826,Inventory!$A:$I,9,FALSE),0))</f>
        <v/>
      </c>
      <c r="H826" s="189" t="str">
        <f t="shared" si="1"/>
        <v/>
      </c>
      <c r="I826" s="190" t="str">
        <f t="shared" si="2"/>
        <v/>
      </c>
      <c r="J826" s="191"/>
      <c r="K826" s="191" t="str">
        <f t="shared" si="3"/>
        <v/>
      </c>
      <c r="L826" s="187"/>
      <c r="M826" s="192" t="str">
        <f t="shared" si="4"/>
        <v/>
      </c>
      <c r="N826" s="185" t="str">
        <f t="shared" si="5"/>
        <v/>
      </c>
    </row>
    <row r="827" ht="15.75" customHeight="1">
      <c r="A827" s="186"/>
      <c r="B827" s="187"/>
      <c r="C827" s="187"/>
      <c r="D827" s="188" t="str">
        <f>IF(C827="","",IFERROR(VLOOKUP(C827,Inventory!$A:$B,2,FALSE),""))</f>
        <v/>
      </c>
      <c r="E827" s="188" t="str">
        <f>IF(C827="","",IFERROR(VLOOKUP(C827,Inventory!$A:$C,3,FALSE),""))</f>
        <v/>
      </c>
      <c r="F827" s="187"/>
      <c r="G827" s="180" t="str">
        <f>IF(C827="","",IFERROR(VLOOKUP(C827,Inventory!$A:$I,9,FALSE),0))</f>
        <v/>
      </c>
      <c r="H827" s="189" t="str">
        <f t="shared" si="1"/>
        <v/>
      </c>
      <c r="I827" s="190" t="str">
        <f t="shared" si="2"/>
        <v/>
      </c>
      <c r="J827" s="191"/>
      <c r="K827" s="191" t="str">
        <f t="shared" si="3"/>
        <v/>
      </c>
      <c r="L827" s="187"/>
      <c r="M827" s="192" t="str">
        <f t="shared" si="4"/>
        <v/>
      </c>
      <c r="N827" s="185" t="str">
        <f t="shared" si="5"/>
        <v/>
      </c>
    </row>
    <row r="828" ht="15.75" customHeight="1">
      <c r="A828" s="186"/>
      <c r="B828" s="187"/>
      <c r="C828" s="187"/>
      <c r="D828" s="188" t="str">
        <f>IF(C828="","",IFERROR(VLOOKUP(C828,Inventory!$A:$B,2,FALSE),""))</f>
        <v/>
      </c>
      <c r="E828" s="188" t="str">
        <f>IF(C828="","",IFERROR(VLOOKUP(C828,Inventory!$A:$C,3,FALSE),""))</f>
        <v/>
      </c>
      <c r="F828" s="187"/>
      <c r="G828" s="180" t="str">
        <f>IF(C828="","",IFERROR(VLOOKUP(C828,Inventory!$A:$I,9,FALSE),0))</f>
        <v/>
      </c>
      <c r="H828" s="189" t="str">
        <f t="shared" si="1"/>
        <v/>
      </c>
      <c r="I828" s="190" t="str">
        <f t="shared" si="2"/>
        <v/>
      </c>
      <c r="J828" s="191"/>
      <c r="K828" s="191" t="str">
        <f t="shared" si="3"/>
        <v/>
      </c>
      <c r="L828" s="187"/>
      <c r="M828" s="192" t="str">
        <f t="shared" si="4"/>
        <v/>
      </c>
      <c r="N828" s="185" t="str">
        <f t="shared" si="5"/>
        <v/>
      </c>
    </row>
    <row r="829" ht="15.75" customHeight="1">
      <c r="A829" s="186"/>
      <c r="B829" s="187"/>
      <c r="C829" s="187"/>
      <c r="D829" s="188" t="str">
        <f>IF(C829="","",IFERROR(VLOOKUP(C829,Inventory!$A:$B,2,FALSE),""))</f>
        <v/>
      </c>
      <c r="E829" s="188" t="str">
        <f>IF(C829="","",IFERROR(VLOOKUP(C829,Inventory!$A:$C,3,FALSE),""))</f>
        <v/>
      </c>
      <c r="F829" s="187"/>
      <c r="G829" s="180" t="str">
        <f>IF(C829="","",IFERROR(VLOOKUP(C829,Inventory!$A:$I,9,FALSE),0))</f>
        <v/>
      </c>
      <c r="H829" s="189" t="str">
        <f t="shared" si="1"/>
        <v/>
      </c>
      <c r="I829" s="190" t="str">
        <f t="shared" si="2"/>
        <v/>
      </c>
      <c r="J829" s="191"/>
      <c r="K829" s="191" t="str">
        <f t="shared" si="3"/>
        <v/>
      </c>
      <c r="L829" s="187"/>
      <c r="M829" s="192" t="str">
        <f t="shared" si="4"/>
        <v/>
      </c>
      <c r="N829" s="185" t="str">
        <f t="shared" si="5"/>
        <v/>
      </c>
    </row>
    <row r="830" ht="15.75" customHeight="1">
      <c r="A830" s="186"/>
      <c r="B830" s="187"/>
      <c r="C830" s="187"/>
      <c r="D830" s="188" t="str">
        <f>IF(C830="","",IFERROR(VLOOKUP(C830,Inventory!$A:$B,2,FALSE),""))</f>
        <v/>
      </c>
      <c r="E830" s="188" t="str">
        <f>IF(C830="","",IFERROR(VLOOKUP(C830,Inventory!$A:$C,3,FALSE),""))</f>
        <v/>
      </c>
      <c r="F830" s="187"/>
      <c r="G830" s="180" t="str">
        <f>IF(C830="","",IFERROR(VLOOKUP(C830,Inventory!$A:$I,9,FALSE),0))</f>
        <v/>
      </c>
      <c r="H830" s="189" t="str">
        <f t="shared" si="1"/>
        <v/>
      </c>
      <c r="I830" s="190" t="str">
        <f t="shared" si="2"/>
        <v/>
      </c>
      <c r="J830" s="191"/>
      <c r="K830" s="191" t="str">
        <f t="shared" si="3"/>
        <v/>
      </c>
      <c r="L830" s="187"/>
      <c r="M830" s="192" t="str">
        <f t="shared" si="4"/>
        <v/>
      </c>
      <c r="N830" s="185" t="str">
        <f t="shared" si="5"/>
        <v/>
      </c>
    </row>
    <row r="831" ht="15.75" customHeight="1">
      <c r="A831" s="186"/>
      <c r="B831" s="187"/>
      <c r="C831" s="187"/>
      <c r="D831" s="188" t="str">
        <f>IF(C831="","",IFERROR(VLOOKUP(C831,Inventory!$A:$B,2,FALSE),""))</f>
        <v/>
      </c>
      <c r="E831" s="188" t="str">
        <f>IF(C831="","",IFERROR(VLOOKUP(C831,Inventory!$A:$C,3,FALSE),""))</f>
        <v/>
      </c>
      <c r="F831" s="187"/>
      <c r="G831" s="180" t="str">
        <f>IF(C831="","",IFERROR(VLOOKUP(C831,Inventory!$A:$I,9,FALSE),0))</f>
        <v/>
      </c>
      <c r="H831" s="189" t="str">
        <f t="shared" si="1"/>
        <v/>
      </c>
      <c r="I831" s="190" t="str">
        <f t="shared" si="2"/>
        <v/>
      </c>
      <c r="J831" s="191"/>
      <c r="K831" s="191" t="str">
        <f t="shared" si="3"/>
        <v/>
      </c>
      <c r="L831" s="187"/>
      <c r="M831" s="192" t="str">
        <f t="shared" si="4"/>
        <v/>
      </c>
      <c r="N831" s="185" t="str">
        <f t="shared" si="5"/>
        <v/>
      </c>
    </row>
    <row r="832" ht="15.75" customHeight="1">
      <c r="A832" s="186"/>
      <c r="B832" s="187"/>
      <c r="C832" s="187"/>
      <c r="D832" s="188" t="str">
        <f>IF(C832="","",IFERROR(VLOOKUP(C832,Inventory!$A:$B,2,FALSE),""))</f>
        <v/>
      </c>
      <c r="E832" s="188" t="str">
        <f>IF(C832="","",IFERROR(VLOOKUP(C832,Inventory!$A:$C,3,FALSE),""))</f>
        <v/>
      </c>
      <c r="F832" s="187"/>
      <c r="G832" s="180" t="str">
        <f>IF(C832="","",IFERROR(VLOOKUP(C832,Inventory!$A:$I,9,FALSE),0))</f>
        <v/>
      </c>
      <c r="H832" s="189" t="str">
        <f t="shared" si="1"/>
        <v/>
      </c>
      <c r="I832" s="190" t="str">
        <f t="shared" si="2"/>
        <v/>
      </c>
      <c r="J832" s="191"/>
      <c r="K832" s="191" t="str">
        <f t="shared" si="3"/>
        <v/>
      </c>
      <c r="L832" s="187"/>
      <c r="M832" s="192" t="str">
        <f t="shared" si="4"/>
        <v/>
      </c>
      <c r="N832" s="185" t="str">
        <f t="shared" si="5"/>
        <v/>
      </c>
    </row>
    <row r="833" ht="15.75" customHeight="1">
      <c r="A833" s="186"/>
      <c r="B833" s="187"/>
      <c r="C833" s="187"/>
      <c r="D833" s="188" t="str">
        <f>IF(C833="","",IFERROR(VLOOKUP(C833,Inventory!$A:$B,2,FALSE),""))</f>
        <v/>
      </c>
      <c r="E833" s="188" t="str">
        <f>IF(C833="","",IFERROR(VLOOKUP(C833,Inventory!$A:$C,3,FALSE),""))</f>
        <v/>
      </c>
      <c r="F833" s="187"/>
      <c r="G833" s="180" t="str">
        <f>IF(C833="","",IFERROR(VLOOKUP(C833,Inventory!$A:$I,9,FALSE),0))</f>
        <v/>
      </c>
      <c r="H833" s="189" t="str">
        <f t="shared" si="1"/>
        <v/>
      </c>
      <c r="I833" s="190" t="str">
        <f t="shared" si="2"/>
        <v/>
      </c>
      <c r="J833" s="191"/>
      <c r="K833" s="191" t="str">
        <f t="shared" si="3"/>
        <v/>
      </c>
      <c r="L833" s="187"/>
      <c r="M833" s="192" t="str">
        <f t="shared" si="4"/>
        <v/>
      </c>
      <c r="N833" s="185" t="str">
        <f t="shared" si="5"/>
        <v/>
      </c>
    </row>
    <row r="834" ht="15.75" customHeight="1">
      <c r="A834" s="186"/>
      <c r="B834" s="187"/>
      <c r="C834" s="187"/>
      <c r="D834" s="188" t="str">
        <f>IF(C834="","",IFERROR(VLOOKUP(C834,Inventory!$A:$B,2,FALSE),""))</f>
        <v/>
      </c>
      <c r="E834" s="188" t="str">
        <f>IF(C834="","",IFERROR(VLOOKUP(C834,Inventory!$A:$C,3,FALSE),""))</f>
        <v/>
      </c>
      <c r="F834" s="187"/>
      <c r="G834" s="180" t="str">
        <f>IF(C834="","",IFERROR(VLOOKUP(C834,Inventory!$A:$I,9,FALSE),0))</f>
        <v/>
      </c>
      <c r="H834" s="189" t="str">
        <f t="shared" si="1"/>
        <v/>
      </c>
      <c r="I834" s="190" t="str">
        <f t="shared" si="2"/>
        <v/>
      </c>
      <c r="J834" s="191"/>
      <c r="K834" s="191" t="str">
        <f t="shared" si="3"/>
        <v/>
      </c>
      <c r="L834" s="187"/>
      <c r="M834" s="192" t="str">
        <f t="shared" si="4"/>
        <v/>
      </c>
      <c r="N834" s="185" t="str">
        <f t="shared" si="5"/>
        <v/>
      </c>
    </row>
    <row r="835" ht="15.75" customHeight="1">
      <c r="A835" s="186"/>
      <c r="B835" s="187"/>
      <c r="C835" s="187"/>
      <c r="D835" s="188" t="str">
        <f>IF(C835="","",IFERROR(VLOOKUP(C835,Inventory!$A:$B,2,FALSE),""))</f>
        <v/>
      </c>
      <c r="E835" s="188" t="str">
        <f>IF(C835="","",IFERROR(VLOOKUP(C835,Inventory!$A:$C,3,FALSE),""))</f>
        <v/>
      </c>
      <c r="F835" s="187"/>
      <c r="G835" s="180" t="str">
        <f>IF(C835="","",IFERROR(VLOOKUP(C835,Inventory!$A:$I,9,FALSE),0))</f>
        <v/>
      </c>
      <c r="H835" s="189" t="str">
        <f t="shared" si="1"/>
        <v/>
      </c>
      <c r="I835" s="190" t="str">
        <f t="shared" si="2"/>
        <v/>
      </c>
      <c r="J835" s="191"/>
      <c r="K835" s="191" t="str">
        <f t="shared" si="3"/>
        <v/>
      </c>
      <c r="L835" s="187"/>
      <c r="M835" s="192" t="str">
        <f t="shared" si="4"/>
        <v/>
      </c>
      <c r="N835" s="185" t="str">
        <f t="shared" si="5"/>
        <v/>
      </c>
    </row>
    <row r="836" ht="15.75" customHeight="1">
      <c r="A836" s="186"/>
      <c r="B836" s="187"/>
      <c r="C836" s="187"/>
      <c r="D836" s="188" t="str">
        <f>IF(C836="","",IFERROR(VLOOKUP(C836,Inventory!$A:$B,2,FALSE),""))</f>
        <v/>
      </c>
      <c r="E836" s="188" t="str">
        <f>IF(C836="","",IFERROR(VLOOKUP(C836,Inventory!$A:$C,3,FALSE),""))</f>
        <v/>
      </c>
      <c r="F836" s="187"/>
      <c r="G836" s="180" t="str">
        <f>IF(C836="","",IFERROR(VLOOKUP(C836,Inventory!$A:$I,9,FALSE),0))</f>
        <v/>
      </c>
      <c r="H836" s="189" t="str">
        <f t="shared" si="1"/>
        <v/>
      </c>
      <c r="I836" s="190" t="str">
        <f t="shared" si="2"/>
        <v/>
      </c>
      <c r="J836" s="191"/>
      <c r="K836" s="191" t="str">
        <f t="shared" si="3"/>
        <v/>
      </c>
      <c r="L836" s="187"/>
      <c r="M836" s="192" t="str">
        <f t="shared" si="4"/>
        <v/>
      </c>
      <c r="N836" s="185" t="str">
        <f t="shared" si="5"/>
        <v/>
      </c>
    </row>
    <row r="837" ht="15.75" customHeight="1">
      <c r="A837" s="186"/>
      <c r="B837" s="187"/>
      <c r="C837" s="187"/>
      <c r="D837" s="188" t="str">
        <f>IF(C837="","",IFERROR(VLOOKUP(C837,Inventory!$A:$B,2,FALSE),""))</f>
        <v/>
      </c>
      <c r="E837" s="188" t="str">
        <f>IF(C837="","",IFERROR(VLOOKUP(C837,Inventory!$A:$C,3,FALSE),""))</f>
        <v/>
      </c>
      <c r="F837" s="187"/>
      <c r="G837" s="180" t="str">
        <f>IF(C837="","",IFERROR(VLOOKUP(C837,Inventory!$A:$I,9,FALSE),0))</f>
        <v/>
      </c>
      <c r="H837" s="189" t="str">
        <f t="shared" si="1"/>
        <v/>
      </c>
      <c r="I837" s="190" t="str">
        <f t="shared" si="2"/>
        <v/>
      </c>
      <c r="J837" s="191"/>
      <c r="K837" s="191" t="str">
        <f t="shared" si="3"/>
        <v/>
      </c>
      <c r="L837" s="187"/>
      <c r="M837" s="192" t="str">
        <f t="shared" si="4"/>
        <v/>
      </c>
      <c r="N837" s="185" t="str">
        <f t="shared" si="5"/>
        <v/>
      </c>
    </row>
    <row r="838" ht="15.75" customHeight="1">
      <c r="A838" s="186"/>
      <c r="B838" s="187"/>
      <c r="C838" s="187"/>
      <c r="D838" s="188" t="str">
        <f>IF(C838="","",IFERROR(VLOOKUP(C838,Inventory!$A:$B,2,FALSE),""))</f>
        <v/>
      </c>
      <c r="E838" s="188" t="str">
        <f>IF(C838="","",IFERROR(VLOOKUP(C838,Inventory!$A:$C,3,FALSE),""))</f>
        <v/>
      </c>
      <c r="F838" s="187"/>
      <c r="G838" s="180" t="str">
        <f>IF(C838="","",IFERROR(VLOOKUP(C838,Inventory!$A:$I,9,FALSE),0))</f>
        <v/>
      </c>
      <c r="H838" s="189" t="str">
        <f t="shared" si="1"/>
        <v/>
      </c>
      <c r="I838" s="190" t="str">
        <f t="shared" si="2"/>
        <v/>
      </c>
      <c r="J838" s="191"/>
      <c r="K838" s="191" t="str">
        <f t="shared" si="3"/>
        <v/>
      </c>
      <c r="L838" s="187"/>
      <c r="M838" s="192" t="str">
        <f t="shared" si="4"/>
        <v/>
      </c>
      <c r="N838" s="185" t="str">
        <f t="shared" si="5"/>
        <v/>
      </c>
    </row>
    <row r="839" ht="15.75" customHeight="1">
      <c r="A839" s="186"/>
      <c r="B839" s="187"/>
      <c r="C839" s="187"/>
      <c r="D839" s="188" t="str">
        <f>IF(C839="","",IFERROR(VLOOKUP(C839,Inventory!$A:$B,2,FALSE),""))</f>
        <v/>
      </c>
      <c r="E839" s="188" t="str">
        <f>IF(C839="","",IFERROR(VLOOKUP(C839,Inventory!$A:$C,3,FALSE),""))</f>
        <v/>
      </c>
      <c r="F839" s="187"/>
      <c r="G839" s="180" t="str">
        <f>IF(C839="","",IFERROR(VLOOKUP(C839,Inventory!$A:$I,9,FALSE),0))</f>
        <v/>
      </c>
      <c r="H839" s="189" t="str">
        <f t="shared" si="1"/>
        <v/>
      </c>
      <c r="I839" s="190" t="str">
        <f t="shared" si="2"/>
        <v/>
      </c>
      <c r="J839" s="191"/>
      <c r="K839" s="191" t="str">
        <f t="shared" si="3"/>
        <v/>
      </c>
      <c r="L839" s="187"/>
      <c r="M839" s="192" t="str">
        <f t="shared" si="4"/>
        <v/>
      </c>
      <c r="N839" s="185" t="str">
        <f t="shared" si="5"/>
        <v/>
      </c>
    </row>
    <row r="840" ht="15.75" customHeight="1">
      <c r="A840" s="186"/>
      <c r="B840" s="187"/>
      <c r="C840" s="187"/>
      <c r="D840" s="188" t="str">
        <f>IF(C840="","",IFERROR(VLOOKUP(C840,Inventory!$A:$B,2,FALSE),""))</f>
        <v/>
      </c>
      <c r="E840" s="188" t="str">
        <f>IF(C840="","",IFERROR(VLOOKUP(C840,Inventory!$A:$C,3,FALSE),""))</f>
        <v/>
      </c>
      <c r="F840" s="187"/>
      <c r="G840" s="180" t="str">
        <f>IF(C840="","",IFERROR(VLOOKUP(C840,Inventory!$A:$I,9,FALSE),0))</f>
        <v/>
      </c>
      <c r="H840" s="189" t="str">
        <f t="shared" si="1"/>
        <v/>
      </c>
      <c r="I840" s="190" t="str">
        <f t="shared" si="2"/>
        <v/>
      </c>
      <c r="J840" s="191"/>
      <c r="K840" s="191" t="str">
        <f t="shared" si="3"/>
        <v/>
      </c>
      <c r="L840" s="187"/>
      <c r="M840" s="192" t="str">
        <f t="shared" si="4"/>
        <v/>
      </c>
      <c r="N840" s="185" t="str">
        <f t="shared" si="5"/>
        <v/>
      </c>
    </row>
    <row r="841" ht="15.75" customHeight="1">
      <c r="A841" s="186"/>
      <c r="B841" s="187"/>
      <c r="C841" s="187"/>
      <c r="D841" s="188" t="str">
        <f>IF(C841="","",IFERROR(VLOOKUP(C841,Inventory!$A:$B,2,FALSE),""))</f>
        <v/>
      </c>
      <c r="E841" s="188" t="str">
        <f>IF(C841="","",IFERROR(VLOOKUP(C841,Inventory!$A:$C,3,FALSE),""))</f>
        <v/>
      </c>
      <c r="F841" s="187"/>
      <c r="G841" s="180" t="str">
        <f>IF(C841="","",IFERROR(VLOOKUP(C841,Inventory!$A:$I,9,FALSE),0))</f>
        <v/>
      </c>
      <c r="H841" s="189" t="str">
        <f t="shared" si="1"/>
        <v/>
      </c>
      <c r="I841" s="190" t="str">
        <f t="shared" si="2"/>
        <v/>
      </c>
      <c r="J841" s="191"/>
      <c r="K841" s="191" t="str">
        <f t="shared" si="3"/>
        <v/>
      </c>
      <c r="L841" s="187"/>
      <c r="M841" s="192" t="str">
        <f t="shared" si="4"/>
        <v/>
      </c>
      <c r="N841" s="185" t="str">
        <f t="shared" si="5"/>
        <v/>
      </c>
    </row>
    <row r="842" ht="15.75" customHeight="1">
      <c r="A842" s="186"/>
      <c r="B842" s="187"/>
      <c r="C842" s="187"/>
      <c r="D842" s="188" t="str">
        <f>IF(C842="","",IFERROR(VLOOKUP(C842,Inventory!$A:$B,2,FALSE),""))</f>
        <v/>
      </c>
      <c r="E842" s="188" t="str">
        <f>IF(C842="","",IFERROR(VLOOKUP(C842,Inventory!$A:$C,3,FALSE),""))</f>
        <v/>
      </c>
      <c r="F842" s="187"/>
      <c r="G842" s="180" t="str">
        <f>IF(C842="","",IFERROR(VLOOKUP(C842,Inventory!$A:$I,9,FALSE),0))</f>
        <v/>
      </c>
      <c r="H842" s="189" t="str">
        <f t="shared" si="1"/>
        <v/>
      </c>
      <c r="I842" s="190" t="str">
        <f t="shared" si="2"/>
        <v/>
      </c>
      <c r="J842" s="191"/>
      <c r="K842" s="191" t="str">
        <f t="shared" si="3"/>
        <v/>
      </c>
      <c r="L842" s="187"/>
      <c r="M842" s="192" t="str">
        <f t="shared" si="4"/>
        <v/>
      </c>
      <c r="N842" s="185" t="str">
        <f t="shared" si="5"/>
        <v/>
      </c>
    </row>
    <row r="843" ht="15.75" customHeight="1">
      <c r="A843" s="186"/>
      <c r="B843" s="187"/>
      <c r="C843" s="187"/>
      <c r="D843" s="188" t="str">
        <f>IF(C843="","",IFERROR(VLOOKUP(C843,Inventory!$A:$B,2,FALSE),""))</f>
        <v/>
      </c>
      <c r="E843" s="188" t="str">
        <f>IF(C843="","",IFERROR(VLOOKUP(C843,Inventory!$A:$C,3,FALSE),""))</f>
        <v/>
      </c>
      <c r="F843" s="187"/>
      <c r="G843" s="180" t="str">
        <f>IF(C843="","",IFERROR(VLOOKUP(C843,Inventory!$A:$I,9,FALSE),0))</f>
        <v/>
      </c>
      <c r="H843" s="189" t="str">
        <f t="shared" si="1"/>
        <v/>
      </c>
      <c r="I843" s="190" t="str">
        <f t="shared" si="2"/>
        <v/>
      </c>
      <c r="J843" s="191"/>
      <c r="K843" s="191" t="str">
        <f t="shared" si="3"/>
        <v/>
      </c>
      <c r="L843" s="187"/>
      <c r="M843" s="192" t="str">
        <f t="shared" si="4"/>
        <v/>
      </c>
      <c r="N843" s="185" t="str">
        <f t="shared" si="5"/>
        <v/>
      </c>
    </row>
    <row r="844" ht="15.75" customHeight="1">
      <c r="A844" s="186"/>
      <c r="B844" s="187"/>
      <c r="C844" s="187"/>
      <c r="D844" s="188" t="str">
        <f>IF(C844="","",IFERROR(VLOOKUP(C844,Inventory!$A:$B,2,FALSE),""))</f>
        <v/>
      </c>
      <c r="E844" s="188" t="str">
        <f>IF(C844="","",IFERROR(VLOOKUP(C844,Inventory!$A:$C,3,FALSE),""))</f>
        <v/>
      </c>
      <c r="F844" s="187"/>
      <c r="G844" s="180" t="str">
        <f>IF(C844="","",IFERROR(VLOOKUP(C844,Inventory!$A:$I,9,FALSE),0))</f>
        <v/>
      </c>
      <c r="H844" s="189" t="str">
        <f t="shared" si="1"/>
        <v/>
      </c>
      <c r="I844" s="190" t="str">
        <f t="shared" si="2"/>
        <v/>
      </c>
      <c r="J844" s="191"/>
      <c r="K844" s="191" t="str">
        <f t="shared" si="3"/>
        <v/>
      </c>
      <c r="L844" s="187"/>
      <c r="M844" s="192" t="str">
        <f t="shared" si="4"/>
        <v/>
      </c>
      <c r="N844" s="185" t="str">
        <f t="shared" si="5"/>
        <v/>
      </c>
    </row>
    <row r="845" ht="15.75" customHeight="1">
      <c r="A845" s="186"/>
      <c r="B845" s="187"/>
      <c r="C845" s="187"/>
      <c r="D845" s="188" t="str">
        <f>IF(C845="","",IFERROR(VLOOKUP(C845,Inventory!$A:$B,2,FALSE),""))</f>
        <v/>
      </c>
      <c r="E845" s="188" t="str">
        <f>IF(C845="","",IFERROR(VLOOKUP(C845,Inventory!$A:$C,3,FALSE),""))</f>
        <v/>
      </c>
      <c r="F845" s="187"/>
      <c r="G845" s="180" t="str">
        <f>IF(C845="","",IFERROR(VLOOKUP(C845,Inventory!$A:$I,9,FALSE),0))</f>
        <v/>
      </c>
      <c r="H845" s="189" t="str">
        <f t="shared" si="1"/>
        <v/>
      </c>
      <c r="I845" s="190" t="str">
        <f t="shared" si="2"/>
        <v/>
      </c>
      <c r="J845" s="191"/>
      <c r="K845" s="191" t="str">
        <f t="shared" si="3"/>
        <v/>
      </c>
      <c r="L845" s="187"/>
      <c r="M845" s="192" t="str">
        <f t="shared" si="4"/>
        <v/>
      </c>
      <c r="N845" s="185" t="str">
        <f t="shared" si="5"/>
        <v/>
      </c>
    </row>
    <row r="846" ht="15.75" customHeight="1">
      <c r="A846" s="186"/>
      <c r="B846" s="187"/>
      <c r="C846" s="187"/>
      <c r="D846" s="188" t="str">
        <f>IF(C846="","",IFERROR(VLOOKUP(C846,Inventory!$A:$B,2,FALSE),""))</f>
        <v/>
      </c>
      <c r="E846" s="188" t="str">
        <f>IF(C846="","",IFERROR(VLOOKUP(C846,Inventory!$A:$C,3,FALSE),""))</f>
        <v/>
      </c>
      <c r="F846" s="187"/>
      <c r="G846" s="180" t="str">
        <f>IF(C846="","",IFERROR(VLOOKUP(C846,Inventory!$A:$I,9,FALSE),0))</f>
        <v/>
      </c>
      <c r="H846" s="189" t="str">
        <f t="shared" si="1"/>
        <v/>
      </c>
      <c r="I846" s="190" t="str">
        <f t="shared" si="2"/>
        <v/>
      </c>
      <c r="J846" s="191"/>
      <c r="K846" s="191" t="str">
        <f t="shared" si="3"/>
        <v/>
      </c>
      <c r="L846" s="187"/>
      <c r="M846" s="192" t="str">
        <f t="shared" si="4"/>
        <v/>
      </c>
      <c r="N846" s="185" t="str">
        <f t="shared" si="5"/>
        <v/>
      </c>
    </row>
    <row r="847" ht="15.75" customHeight="1">
      <c r="A847" s="186"/>
      <c r="B847" s="187"/>
      <c r="C847" s="187"/>
      <c r="D847" s="188" t="str">
        <f>IF(C847="","",IFERROR(VLOOKUP(C847,Inventory!$A:$B,2,FALSE),""))</f>
        <v/>
      </c>
      <c r="E847" s="188" t="str">
        <f>IF(C847="","",IFERROR(VLOOKUP(C847,Inventory!$A:$C,3,FALSE),""))</f>
        <v/>
      </c>
      <c r="F847" s="187"/>
      <c r="G847" s="180" t="str">
        <f>IF(C847="","",IFERROR(VLOOKUP(C847,Inventory!$A:$I,9,FALSE),0))</f>
        <v/>
      </c>
      <c r="H847" s="189" t="str">
        <f t="shared" si="1"/>
        <v/>
      </c>
      <c r="I847" s="190" t="str">
        <f t="shared" si="2"/>
        <v/>
      </c>
      <c r="J847" s="191"/>
      <c r="K847" s="191" t="str">
        <f t="shared" si="3"/>
        <v/>
      </c>
      <c r="L847" s="187"/>
      <c r="M847" s="192" t="str">
        <f t="shared" si="4"/>
        <v/>
      </c>
      <c r="N847" s="185" t="str">
        <f t="shared" si="5"/>
        <v/>
      </c>
    </row>
    <row r="848" ht="15.75" customHeight="1">
      <c r="A848" s="186"/>
      <c r="B848" s="187"/>
      <c r="C848" s="187"/>
      <c r="D848" s="188" t="str">
        <f>IF(C848="","",IFERROR(VLOOKUP(C848,Inventory!$A:$B,2,FALSE),""))</f>
        <v/>
      </c>
      <c r="E848" s="188" t="str">
        <f>IF(C848="","",IFERROR(VLOOKUP(C848,Inventory!$A:$C,3,FALSE),""))</f>
        <v/>
      </c>
      <c r="F848" s="187"/>
      <c r="G848" s="180" t="str">
        <f>IF(C848="","",IFERROR(VLOOKUP(C848,Inventory!$A:$I,9,FALSE),0))</f>
        <v/>
      </c>
      <c r="H848" s="189" t="str">
        <f t="shared" si="1"/>
        <v/>
      </c>
      <c r="I848" s="190" t="str">
        <f t="shared" si="2"/>
        <v/>
      </c>
      <c r="J848" s="191"/>
      <c r="K848" s="191" t="str">
        <f t="shared" si="3"/>
        <v/>
      </c>
      <c r="L848" s="187"/>
      <c r="M848" s="192" t="str">
        <f t="shared" si="4"/>
        <v/>
      </c>
      <c r="N848" s="185" t="str">
        <f t="shared" si="5"/>
        <v/>
      </c>
    </row>
    <row r="849" ht="15.75" customHeight="1">
      <c r="A849" s="186"/>
      <c r="B849" s="187"/>
      <c r="C849" s="187"/>
      <c r="D849" s="188" t="str">
        <f>IF(C849="","",IFERROR(VLOOKUP(C849,Inventory!$A:$B,2,FALSE),""))</f>
        <v/>
      </c>
      <c r="E849" s="188" t="str">
        <f>IF(C849="","",IFERROR(VLOOKUP(C849,Inventory!$A:$C,3,FALSE),""))</f>
        <v/>
      </c>
      <c r="F849" s="187"/>
      <c r="G849" s="180" t="str">
        <f>IF(C849="","",IFERROR(VLOOKUP(C849,Inventory!$A:$I,9,FALSE),0))</f>
        <v/>
      </c>
      <c r="H849" s="189" t="str">
        <f t="shared" si="1"/>
        <v/>
      </c>
      <c r="I849" s="190" t="str">
        <f t="shared" si="2"/>
        <v/>
      </c>
      <c r="J849" s="191"/>
      <c r="K849" s="191" t="str">
        <f t="shared" si="3"/>
        <v/>
      </c>
      <c r="L849" s="187"/>
      <c r="M849" s="192" t="str">
        <f t="shared" si="4"/>
        <v/>
      </c>
      <c r="N849" s="185" t="str">
        <f t="shared" si="5"/>
        <v/>
      </c>
    </row>
    <row r="850" ht="15.75" customHeight="1">
      <c r="A850" s="186"/>
      <c r="B850" s="187"/>
      <c r="C850" s="187"/>
      <c r="D850" s="188" t="str">
        <f>IF(C850="","",IFERROR(VLOOKUP(C850,Inventory!$A:$B,2,FALSE),""))</f>
        <v/>
      </c>
      <c r="E850" s="188" t="str">
        <f>IF(C850="","",IFERROR(VLOOKUP(C850,Inventory!$A:$C,3,FALSE),""))</f>
        <v/>
      </c>
      <c r="F850" s="187"/>
      <c r="G850" s="180" t="str">
        <f>IF(C850="","",IFERROR(VLOOKUP(C850,Inventory!$A:$I,9,FALSE),0))</f>
        <v/>
      </c>
      <c r="H850" s="189" t="str">
        <f t="shared" si="1"/>
        <v/>
      </c>
      <c r="I850" s="190" t="str">
        <f t="shared" si="2"/>
        <v/>
      </c>
      <c r="J850" s="191"/>
      <c r="K850" s="191" t="str">
        <f t="shared" si="3"/>
        <v/>
      </c>
      <c r="L850" s="187"/>
      <c r="M850" s="192" t="str">
        <f t="shared" si="4"/>
        <v/>
      </c>
      <c r="N850" s="185" t="str">
        <f t="shared" si="5"/>
        <v/>
      </c>
    </row>
    <row r="851" ht="15.75" customHeight="1">
      <c r="A851" s="186"/>
      <c r="B851" s="187"/>
      <c r="C851" s="187"/>
      <c r="D851" s="188" t="str">
        <f>IF(C851="","",IFERROR(VLOOKUP(C851,Inventory!$A:$B,2,FALSE),""))</f>
        <v/>
      </c>
      <c r="E851" s="188" t="str">
        <f>IF(C851="","",IFERROR(VLOOKUP(C851,Inventory!$A:$C,3,FALSE),""))</f>
        <v/>
      </c>
      <c r="F851" s="187"/>
      <c r="G851" s="180" t="str">
        <f>IF(C851="","",IFERROR(VLOOKUP(C851,Inventory!$A:$I,9,FALSE),0))</f>
        <v/>
      </c>
      <c r="H851" s="189" t="str">
        <f t="shared" si="1"/>
        <v/>
      </c>
      <c r="I851" s="190" t="str">
        <f t="shared" si="2"/>
        <v/>
      </c>
      <c r="J851" s="191"/>
      <c r="K851" s="191" t="str">
        <f t="shared" si="3"/>
        <v/>
      </c>
      <c r="L851" s="187"/>
      <c r="M851" s="192" t="str">
        <f t="shared" si="4"/>
        <v/>
      </c>
      <c r="N851" s="185" t="str">
        <f t="shared" si="5"/>
        <v/>
      </c>
    </row>
    <row r="852" ht="15.75" customHeight="1">
      <c r="A852" s="186"/>
      <c r="B852" s="187"/>
      <c r="C852" s="187"/>
      <c r="D852" s="188" t="str">
        <f>IF(C852="","",IFERROR(VLOOKUP(C852,Inventory!$A:$B,2,FALSE),""))</f>
        <v/>
      </c>
      <c r="E852" s="188" t="str">
        <f>IF(C852="","",IFERROR(VLOOKUP(C852,Inventory!$A:$C,3,FALSE),""))</f>
        <v/>
      </c>
      <c r="F852" s="187"/>
      <c r="G852" s="180" t="str">
        <f>IF(C852="","",IFERROR(VLOOKUP(C852,Inventory!$A:$I,9,FALSE),0))</f>
        <v/>
      </c>
      <c r="H852" s="189" t="str">
        <f t="shared" si="1"/>
        <v/>
      </c>
      <c r="I852" s="190" t="str">
        <f t="shared" si="2"/>
        <v/>
      </c>
      <c r="J852" s="191"/>
      <c r="K852" s="191" t="str">
        <f t="shared" si="3"/>
        <v/>
      </c>
      <c r="L852" s="187"/>
      <c r="M852" s="192" t="str">
        <f t="shared" si="4"/>
        <v/>
      </c>
      <c r="N852" s="185" t="str">
        <f t="shared" si="5"/>
        <v/>
      </c>
    </row>
    <row r="853" ht="15.75" customHeight="1">
      <c r="A853" s="186"/>
      <c r="B853" s="187"/>
      <c r="C853" s="187"/>
      <c r="D853" s="188" t="str">
        <f>IF(C853="","",IFERROR(VLOOKUP(C853,Inventory!$A:$B,2,FALSE),""))</f>
        <v/>
      </c>
      <c r="E853" s="188" t="str">
        <f>IF(C853="","",IFERROR(VLOOKUP(C853,Inventory!$A:$C,3,FALSE),""))</f>
        <v/>
      </c>
      <c r="F853" s="187"/>
      <c r="G853" s="180" t="str">
        <f>IF(C853="","",IFERROR(VLOOKUP(C853,Inventory!$A:$I,9,FALSE),0))</f>
        <v/>
      </c>
      <c r="H853" s="189" t="str">
        <f t="shared" si="1"/>
        <v/>
      </c>
      <c r="I853" s="190" t="str">
        <f t="shared" si="2"/>
        <v/>
      </c>
      <c r="J853" s="191"/>
      <c r="K853" s="191" t="str">
        <f t="shared" si="3"/>
        <v/>
      </c>
      <c r="L853" s="187"/>
      <c r="M853" s="192" t="str">
        <f t="shared" si="4"/>
        <v/>
      </c>
      <c r="N853" s="185" t="str">
        <f t="shared" si="5"/>
        <v/>
      </c>
    </row>
    <row r="854" ht="15.75" customHeight="1">
      <c r="A854" s="186"/>
      <c r="B854" s="187"/>
      <c r="C854" s="187"/>
      <c r="D854" s="188" t="str">
        <f>IF(C854="","",IFERROR(VLOOKUP(C854,Inventory!$A:$B,2,FALSE),""))</f>
        <v/>
      </c>
      <c r="E854" s="188" t="str">
        <f>IF(C854="","",IFERROR(VLOOKUP(C854,Inventory!$A:$C,3,FALSE),""))</f>
        <v/>
      </c>
      <c r="F854" s="187"/>
      <c r="G854" s="180" t="str">
        <f>IF(C854="","",IFERROR(VLOOKUP(C854,Inventory!$A:$I,9,FALSE),0))</f>
        <v/>
      </c>
      <c r="H854" s="189" t="str">
        <f t="shared" si="1"/>
        <v/>
      </c>
      <c r="I854" s="190" t="str">
        <f t="shared" si="2"/>
        <v/>
      </c>
      <c r="J854" s="191"/>
      <c r="K854" s="191" t="str">
        <f t="shared" si="3"/>
        <v/>
      </c>
      <c r="L854" s="187"/>
      <c r="M854" s="192" t="str">
        <f t="shared" si="4"/>
        <v/>
      </c>
      <c r="N854" s="185" t="str">
        <f t="shared" si="5"/>
        <v/>
      </c>
    </row>
    <row r="855" ht="15.75" customHeight="1">
      <c r="A855" s="186"/>
      <c r="B855" s="187"/>
      <c r="C855" s="187"/>
      <c r="D855" s="188" t="str">
        <f>IF(C855="","",IFERROR(VLOOKUP(C855,Inventory!$A:$B,2,FALSE),""))</f>
        <v/>
      </c>
      <c r="E855" s="188" t="str">
        <f>IF(C855="","",IFERROR(VLOOKUP(C855,Inventory!$A:$C,3,FALSE),""))</f>
        <v/>
      </c>
      <c r="F855" s="187"/>
      <c r="G855" s="180" t="str">
        <f>IF(C855="","",IFERROR(VLOOKUP(C855,Inventory!$A:$I,9,FALSE),0))</f>
        <v/>
      </c>
      <c r="H855" s="189" t="str">
        <f t="shared" si="1"/>
        <v/>
      </c>
      <c r="I855" s="190" t="str">
        <f t="shared" si="2"/>
        <v/>
      </c>
      <c r="J855" s="191"/>
      <c r="K855" s="191" t="str">
        <f t="shared" si="3"/>
        <v/>
      </c>
      <c r="L855" s="187"/>
      <c r="M855" s="192" t="str">
        <f t="shared" si="4"/>
        <v/>
      </c>
      <c r="N855" s="185" t="str">
        <f t="shared" si="5"/>
        <v/>
      </c>
    </row>
    <row r="856" ht="15.75" customHeight="1">
      <c r="A856" s="186"/>
      <c r="B856" s="187"/>
      <c r="C856" s="187"/>
      <c r="D856" s="188" t="str">
        <f>IF(C856="","",IFERROR(VLOOKUP(C856,Inventory!$A:$B,2,FALSE),""))</f>
        <v/>
      </c>
      <c r="E856" s="188" t="str">
        <f>IF(C856="","",IFERROR(VLOOKUP(C856,Inventory!$A:$C,3,FALSE),""))</f>
        <v/>
      </c>
      <c r="F856" s="187"/>
      <c r="G856" s="180" t="str">
        <f>IF(C856="","",IFERROR(VLOOKUP(C856,Inventory!$A:$I,9,FALSE),0))</f>
        <v/>
      </c>
      <c r="H856" s="189" t="str">
        <f t="shared" si="1"/>
        <v/>
      </c>
      <c r="I856" s="190" t="str">
        <f t="shared" si="2"/>
        <v/>
      </c>
      <c r="J856" s="191"/>
      <c r="K856" s="191" t="str">
        <f t="shared" si="3"/>
        <v/>
      </c>
      <c r="L856" s="187"/>
      <c r="M856" s="192" t="str">
        <f t="shared" si="4"/>
        <v/>
      </c>
      <c r="N856" s="185" t="str">
        <f t="shared" si="5"/>
        <v/>
      </c>
    </row>
    <row r="857" ht="15.75" customHeight="1">
      <c r="A857" s="186"/>
      <c r="B857" s="187"/>
      <c r="C857" s="187"/>
      <c r="D857" s="188" t="str">
        <f>IF(C857="","",IFERROR(VLOOKUP(C857,Inventory!$A:$B,2,FALSE),""))</f>
        <v/>
      </c>
      <c r="E857" s="188" t="str">
        <f>IF(C857="","",IFERROR(VLOOKUP(C857,Inventory!$A:$C,3,FALSE),""))</f>
        <v/>
      </c>
      <c r="F857" s="187"/>
      <c r="G857" s="180" t="str">
        <f>IF(C857="","",IFERROR(VLOOKUP(C857,Inventory!$A:$I,9,FALSE),0))</f>
        <v/>
      </c>
      <c r="H857" s="189" t="str">
        <f t="shared" si="1"/>
        <v/>
      </c>
      <c r="I857" s="190" t="str">
        <f t="shared" si="2"/>
        <v/>
      </c>
      <c r="J857" s="191"/>
      <c r="K857" s="191" t="str">
        <f t="shared" si="3"/>
        <v/>
      </c>
      <c r="L857" s="187"/>
      <c r="M857" s="192" t="str">
        <f t="shared" si="4"/>
        <v/>
      </c>
      <c r="N857" s="185" t="str">
        <f t="shared" si="5"/>
        <v/>
      </c>
    </row>
    <row r="858" ht="15.75" customHeight="1">
      <c r="A858" s="186"/>
      <c r="B858" s="187"/>
      <c r="C858" s="187"/>
      <c r="D858" s="188" t="str">
        <f>IF(C858="","",IFERROR(VLOOKUP(C858,Inventory!$A:$B,2,FALSE),""))</f>
        <v/>
      </c>
      <c r="E858" s="188" t="str">
        <f>IF(C858="","",IFERROR(VLOOKUP(C858,Inventory!$A:$C,3,FALSE),""))</f>
        <v/>
      </c>
      <c r="F858" s="187"/>
      <c r="G858" s="180" t="str">
        <f>IF(C858="","",IFERROR(VLOOKUP(C858,Inventory!$A:$I,9,FALSE),0))</f>
        <v/>
      </c>
      <c r="H858" s="189" t="str">
        <f t="shared" si="1"/>
        <v/>
      </c>
      <c r="I858" s="190" t="str">
        <f t="shared" si="2"/>
        <v/>
      </c>
      <c r="J858" s="191"/>
      <c r="K858" s="191" t="str">
        <f t="shared" si="3"/>
        <v/>
      </c>
      <c r="L858" s="187"/>
      <c r="M858" s="192" t="str">
        <f t="shared" si="4"/>
        <v/>
      </c>
      <c r="N858" s="185" t="str">
        <f t="shared" si="5"/>
        <v/>
      </c>
    </row>
    <row r="859" ht="15.75" customHeight="1">
      <c r="A859" s="186"/>
      <c r="B859" s="187"/>
      <c r="C859" s="187"/>
      <c r="D859" s="188" t="str">
        <f>IF(C859="","",IFERROR(VLOOKUP(C859,Inventory!$A:$B,2,FALSE),""))</f>
        <v/>
      </c>
      <c r="E859" s="188" t="str">
        <f>IF(C859="","",IFERROR(VLOOKUP(C859,Inventory!$A:$C,3,FALSE),""))</f>
        <v/>
      </c>
      <c r="F859" s="187"/>
      <c r="G859" s="180" t="str">
        <f>IF(C859="","",IFERROR(VLOOKUP(C859,Inventory!$A:$I,9,FALSE),0))</f>
        <v/>
      </c>
      <c r="H859" s="189" t="str">
        <f t="shared" si="1"/>
        <v/>
      </c>
      <c r="I859" s="190" t="str">
        <f t="shared" si="2"/>
        <v/>
      </c>
      <c r="J859" s="191"/>
      <c r="K859" s="191" t="str">
        <f t="shared" si="3"/>
        <v/>
      </c>
      <c r="L859" s="187"/>
      <c r="M859" s="192" t="str">
        <f t="shared" si="4"/>
        <v/>
      </c>
      <c r="N859" s="185" t="str">
        <f t="shared" si="5"/>
        <v/>
      </c>
    </row>
    <row r="860" ht="15.75" customHeight="1">
      <c r="A860" s="186"/>
      <c r="B860" s="187"/>
      <c r="C860" s="187"/>
      <c r="D860" s="188" t="str">
        <f>IF(C860="","",IFERROR(VLOOKUP(C860,Inventory!$A:$B,2,FALSE),""))</f>
        <v/>
      </c>
      <c r="E860" s="188" t="str">
        <f>IF(C860="","",IFERROR(VLOOKUP(C860,Inventory!$A:$C,3,FALSE),""))</f>
        <v/>
      </c>
      <c r="F860" s="187"/>
      <c r="G860" s="180" t="str">
        <f>IF(C860="","",IFERROR(VLOOKUP(C860,Inventory!$A:$I,9,FALSE),0))</f>
        <v/>
      </c>
      <c r="H860" s="189" t="str">
        <f t="shared" si="1"/>
        <v/>
      </c>
      <c r="I860" s="190" t="str">
        <f t="shared" si="2"/>
        <v/>
      </c>
      <c r="J860" s="191"/>
      <c r="K860" s="191" t="str">
        <f t="shared" si="3"/>
        <v/>
      </c>
      <c r="L860" s="187"/>
      <c r="M860" s="192" t="str">
        <f t="shared" si="4"/>
        <v/>
      </c>
      <c r="N860" s="185" t="str">
        <f t="shared" si="5"/>
        <v/>
      </c>
    </row>
    <row r="861" ht="15.75" customHeight="1">
      <c r="A861" s="186"/>
      <c r="B861" s="187"/>
      <c r="C861" s="187"/>
      <c r="D861" s="188" t="str">
        <f>IF(C861="","",IFERROR(VLOOKUP(C861,Inventory!$A:$B,2,FALSE),""))</f>
        <v/>
      </c>
      <c r="E861" s="188" t="str">
        <f>IF(C861="","",IFERROR(VLOOKUP(C861,Inventory!$A:$C,3,FALSE),""))</f>
        <v/>
      </c>
      <c r="F861" s="187"/>
      <c r="G861" s="180" t="str">
        <f>IF(C861="","",IFERROR(VLOOKUP(C861,Inventory!$A:$I,9,FALSE),0))</f>
        <v/>
      </c>
      <c r="H861" s="189" t="str">
        <f t="shared" si="1"/>
        <v/>
      </c>
      <c r="I861" s="190" t="str">
        <f t="shared" si="2"/>
        <v/>
      </c>
      <c r="J861" s="191"/>
      <c r="K861" s="191" t="str">
        <f t="shared" si="3"/>
        <v/>
      </c>
      <c r="L861" s="187"/>
      <c r="M861" s="192" t="str">
        <f t="shared" si="4"/>
        <v/>
      </c>
      <c r="N861" s="185" t="str">
        <f t="shared" si="5"/>
        <v/>
      </c>
    </row>
    <row r="862" ht="15.75" customHeight="1">
      <c r="A862" s="186"/>
      <c r="B862" s="187"/>
      <c r="C862" s="187"/>
      <c r="D862" s="188" t="str">
        <f>IF(C862="","",IFERROR(VLOOKUP(C862,Inventory!$A:$B,2,FALSE),""))</f>
        <v/>
      </c>
      <c r="E862" s="188" t="str">
        <f>IF(C862="","",IFERROR(VLOOKUP(C862,Inventory!$A:$C,3,FALSE),""))</f>
        <v/>
      </c>
      <c r="F862" s="187"/>
      <c r="G862" s="180" t="str">
        <f>IF(C862="","",IFERROR(VLOOKUP(C862,Inventory!$A:$I,9,FALSE),0))</f>
        <v/>
      </c>
      <c r="H862" s="189" t="str">
        <f t="shared" si="1"/>
        <v/>
      </c>
      <c r="I862" s="190" t="str">
        <f t="shared" si="2"/>
        <v/>
      </c>
      <c r="J862" s="191"/>
      <c r="K862" s="191" t="str">
        <f t="shared" si="3"/>
        <v/>
      </c>
      <c r="L862" s="187"/>
      <c r="M862" s="192" t="str">
        <f t="shared" si="4"/>
        <v/>
      </c>
      <c r="N862" s="185" t="str">
        <f t="shared" si="5"/>
        <v/>
      </c>
    </row>
    <row r="863" ht="15.75" customHeight="1">
      <c r="A863" s="186"/>
      <c r="B863" s="187"/>
      <c r="C863" s="187"/>
      <c r="D863" s="188" t="str">
        <f>IF(C863="","",IFERROR(VLOOKUP(C863,Inventory!$A:$B,2,FALSE),""))</f>
        <v/>
      </c>
      <c r="E863" s="188" t="str">
        <f>IF(C863="","",IFERROR(VLOOKUP(C863,Inventory!$A:$C,3,FALSE),""))</f>
        <v/>
      </c>
      <c r="F863" s="187"/>
      <c r="G863" s="180" t="str">
        <f>IF(C863="","",IFERROR(VLOOKUP(C863,Inventory!$A:$I,9,FALSE),0))</f>
        <v/>
      </c>
      <c r="H863" s="189" t="str">
        <f t="shared" si="1"/>
        <v/>
      </c>
      <c r="I863" s="190" t="str">
        <f t="shared" si="2"/>
        <v/>
      </c>
      <c r="J863" s="191"/>
      <c r="K863" s="191" t="str">
        <f t="shared" si="3"/>
        <v/>
      </c>
      <c r="L863" s="187"/>
      <c r="M863" s="192" t="str">
        <f t="shared" si="4"/>
        <v/>
      </c>
      <c r="N863" s="185" t="str">
        <f t="shared" si="5"/>
        <v/>
      </c>
    </row>
    <row r="864" ht="15.75" customHeight="1">
      <c r="A864" s="186"/>
      <c r="B864" s="187"/>
      <c r="C864" s="187"/>
      <c r="D864" s="188" t="str">
        <f>IF(C864="","",IFERROR(VLOOKUP(C864,Inventory!$A:$B,2,FALSE),""))</f>
        <v/>
      </c>
      <c r="E864" s="188" t="str">
        <f>IF(C864="","",IFERROR(VLOOKUP(C864,Inventory!$A:$C,3,FALSE),""))</f>
        <v/>
      </c>
      <c r="F864" s="187"/>
      <c r="G864" s="180" t="str">
        <f>IF(C864="","",IFERROR(VLOOKUP(C864,Inventory!$A:$I,9,FALSE),0))</f>
        <v/>
      </c>
      <c r="H864" s="189" t="str">
        <f t="shared" si="1"/>
        <v/>
      </c>
      <c r="I864" s="190" t="str">
        <f t="shared" si="2"/>
        <v/>
      </c>
      <c r="J864" s="191"/>
      <c r="K864" s="191" t="str">
        <f t="shared" si="3"/>
        <v/>
      </c>
      <c r="L864" s="187"/>
      <c r="M864" s="192" t="str">
        <f t="shared" si="4"/>
        <v/>
      </c>
      <c r="N864" s="185" t="str">
        <f t="shared" si="5"/>
        <v/>
      </c>
    </row>
    <row r="865" ht="15.75" customHeight="1">
      <c r="A865" s="186"/>
      <c r="B865" s="187"/>
      <c r="C865" s="187"/>
      <c r="D865" s="188" t="str">
        <f>IF(C865="","",IFERROR(VLOOKUP(C865,Inventory!$A:$B,2,FALSE),""))</f>
        <v/>
      </c>
      <c r="E865" s="188" t="str">
        <f>IF(C865="","",IFERROR(VLOOKUP(C865,Inventory!$A:$C,3,FALSE),""))</f>
        <v/>
      </c>
      <c r="F865" s="187"/>
      <c r="G865" s="180" t="str">
        <f>IF(C865="","",IFERROR(VLOOKUP(C865,Inventory!$A:$I,9,FALSE),0))</f>
        <v/>
      </c>
      <c r="H865" s="189" t="str">
        <f t="shared" si="1"/>
        <v/>
      </c>
      <c r="I865" s="190" t="str">
        <f t="shared" si="2"/>
        <v/>
      </c>
      <c r="J865" s="191"/>
      <c r="K865" s="191" t="str">
        <f t="shared" si="3"/>
        <v/>
      </c>
      <c r="L865" s="187"/>
      <c r="M865" s="192" t="str">
        <f t="shared" si="4"/>
        <v/>
      </c>
      <c r="N865" s="185" t="str">
        <f t="shared" si="5"/>
        <v/>
      </c>
    </row>
    <row r="866" ht="15.75" customHeight="1">
      <c r="A866" s="186"/>
      <c r="B866" s="187"/>
      <c r="C866" s="187"/>
      <c r="D866" s="188" t="str">
        <f>IF(C866="","",IFERROR(VLOOKUP(C866,Inventory!$A:$B,2,FALSE),""))</f>
        <v/>
      </c>
      <c r="E866" s="188" t="str">
        <f>IF(C866="","",IFERROR(VLOOKUP(C866,Inventory!$A:$C,3,FALSE),""))</f>
        <v/>
      </c>
      <c r="F866" s="187"/>
      <c r="G866" s="180" t="str">
        <f>IF(C866="","",IFERROR(VLOOKUP(C866,Inventory!$A:$I,9,FALSE),0))</f>
        <v/>
      </c>
      <c r="H866" s="189" t="str">
        <f t="shared" si="1"/>
        <v/>
      </c>
      <c r="I866" s="190" t="str">
        <f t="shared" si="2"/>
        <v/>
      </c>
      <c r="J866" s="191"/>
      <c r="K866" s="191" t="str">
        <f t="shared" si="3"/>
        <v/>
      </c>
      <c r="L866" s="187"/>
      <c r="M866" s="192" t="str">
        <f t="shared" si="4"/>
        <v/>
      </c>
      <c r="N866" s="185" t="str">
        <f t="shared" si="5"/>
        <v/>
      </c>
    </row>
    <row r="867" ht="15.75" customHeight="1">
      <c r="A867" s="186"/>
      <c r="B867" s="187"/>
      <c r="C867" s="187"/>
      <c r="D867" s="188" t="str">
        <f>IF(C867="","",IFERROR(VLOOKUP(C867,Inventory!$A:$B,2,FALSE),""))</f>
        <v/>
      </c>
      <c r="E867" s="188" t="str">
        <f>IF(C867="","",IFERROR(VLOOKUP(C867,Inventory!$A:$C,3,FALSE),""))</f>
        <v/>
      </c>
      <c r="F867" s="187"/>
      <c r="G867" s="180" t="str">
        <f>IF(C867="","",IFERROR(VLOOKUP(C867,Inventory!$A:$I,9,FALSE),0))</f>
        <v/>
      </c>
      <c r="H867" s="189" t="str">
        <f t="shared" si="1"/>
        <v/>
      </c>
      <c r="I867" s="190" t="str">
        <f t="shared" si="2"/>
        <v/>
      </c>
      <c r="J867" s="191"/>
      <c r="K867" s="191" t="str">
        <f t="shared" si="3"/>
        <v/>
      </c>
      <c r="L867" s="187"/>
      <c r="M867" s="192" t="str">
        <f t="shared" si="4"/>
        <v/>
      </c>
      <c r="N867" s="185" t="str">
        <f t="shared" si="5"/>
        <v/>
      </c>
    </row>
    <row r="868" ht="15.75" customHeight="1">
      <c r="A868" s="186"/>
      <c r="B868" s="187"/>
      <c r="C868" s="187"/>
      <c r="D868" s="188" t="str">
        <f>IF(C868="","",IFERROR(VLOOKUP(C868,Inventory!$A:$B,2,FALSE),""))</f>
        <v/>
      </c>
      <c r="E868" s="188" t="str">
        <f>IF(C868="","",IFERROR(VLOOKUP(C868,Inventory!$A:$C,3,FALSE),""))</f>
        <v/>
      </c>
      <c r="F868" s="187"/>
      <c r="G868" s="180" t="str">
        <f>IF(C868="","",IFERROR(VLOOKUP(C868,Inventory!$A:$I,9,FALSE),0))</f>
        <v/>
      </c>
      <c r="H868" s="189" t="str">
        <f t="shared" si="1"/>
        <v/>
      </c>
      <c r="I868" s="190" t="str">
        <f t="shared" si="2"/>
        <v/>
      </c>
      <c r="J868" s="191"/>
      <c r="K868" s="191" t="str">
        <f t="shared" si="3"/>
        <v/>
      </c>
      <c r="L868" s="187"/>
      <c r="M868" s="192" t="str">
        <f t="shared" si="4"/>
        <v/>
      </c>
      <c r="N868" s="185" t="str">
        <f t="shared" si="5"/>
        <v/>
      </c>
    </row>
    <row r="869" ht="15.75" customHeight="1">
      <c r="A869" s="186"/>
      <c r="B869" s="187"/>
      <c r="C869" s="187"/>
      <c r="D869" s="188" t="str">
        <f>IF(C869="","",IFERROR(VLOOKUP(C869,Inventory!$A:$B,2,FALSE),""))</f>
        <v/>
      </c>
      <c r="E869" s="188" t="str">
        <f>IF(C869="","",IFERROR(VLOOKUP(C869,Inventory!$A:$C,3,FALSE),""))</f>
        <v/>
      </c>
      <c r="F869" s="187"/>
      <c r="G869" s="180" t="str">
        <f>IF(C869="","",IFERROR(VLOOKUP(C869,Inventory!$A:$I,9,FALSE),0))</f>
        <v/>
      </c>
      <c r="H869" s="189" t="str">
        <f t="shared" si="1"/>
        <v/>
      </c>
      <c r="I869" s="190" t="str">
        <f t="shared" si="2"/>
        <v/>
      </c>
      <c r="J869" s="191"/>
      <c r="K869" s="191" t="str">
        <f t="shared" si="3"/>
        <v/>
      </c>
      <c r="L869" s="187"/>
      <c r="M869" s="192" t="str">
        <f t="shared" si="4"/>
        <v/>
      </c>
      <c r="N869" s="185" t="str">
        <f t="shared" si="5"/>
        <v/>
      </c>
    </row>
    <row r="870" ht="15.75" customHeight="1">
      <c r="A870" s="186"/>
      <c r="B870" s="187"/>
      <c r="C870" s="187"/>
      <c r="D870" s="188" t="str">
        <f>IF(C870="","",IFERROR(VLOOKUP(C870,Inventory!$A:$B,2,FALSE),""))</f>
        <v/>
      </c>
      <c r="E870" s="188" t="str">
        <f>IF(C870="","",IFERROR(VLOOKUP(C870,Inventory!$A:$C,3,FALSE),""))</f>
        <v/>
      </c>
      <c r="F870" s="187"/>
      <c r="G870" s="180" t="str">
        <f>IF(C870="","",IFERROR(VLOOKUP(C870,Inventory!$A:$I,9,FALSE),0))</f>
        <v/>
      </c>
      <c r="H870" s="189" t="str">
        <f t="shared" si="1"/>
        <v/>
      </c>
      <c r="I870" s="190" t="str">
        <f t="shared" si="2"/>
        <v/>
      </c>
      <c r="J870" s="191"/>
      <c r="K870" s="191" t="str">
        <f t="shared" si="3"/>
        <v/>
      </c>
      <c r="L870" s="187"/>
      <c r="M870" s="192" t="str">
        <f t="shared" si="4"/>
        <v/>
      </c>
      <c r="N870" s="185" t="str">
        <f t="shared" si="5"/>
        <v/>
      </c>
    </row>
    <row r="871" ht="15.75" customHeight="1">
      <c r="A871" s="186"/>
      <c r="B871" s="187"/>
      <c r="C871" s="187"/>
      <c r="D871" s="188" t="str">
        <f>IF(C871="","",IFERROR(VLOOKUP(C871,Inventory!$A:$B,2,FALSE),""))</f>
        <v/>
      </c>
      <c r="E871" s="188" t="str">
        <f>IF(C871="","",IFERROR(VLOOKUP(C871,Inventory!$A:$C,3,FALSE),""))</f>
        <v/>
      </c>
      <c r="F871" s="187"/>
      <c r="G871" s="180" t="str">
        <f>IF(C871="","",IFERROR(VLOOKUP(C871,Inventory!$A:$I,9,FALSE),0))</f>
        <v/>
      </c>
      <c r="H871" s="189" t="str">
        <f t="shared" si="1"/>
        <v/>
      </c>
      <c r="I871" s="190" t="str">
        <f t="shared" si="2"/>
        <v/>
      </c>
      <c r="J871" s="191"/>
      <c r="K871" s="191" t="str">
        <f t="shared" si="3"/>
        <v/>
      </c>
      <c r="L871" s="187"/>
      <c r="M871" s="192" t="str">
        <f t="shared" si="4"/>
        <v/>
      </c>
      <c r="N871" s="185" t="str">
        <f t="shared" si="5"/>
        <v/>
      </c>
    </row>
    <row r="872" ht="15.75" customHeight="1">
      <c r="A872" s="186"/>
      <c r="B872" s="187"/>
      <c r="C872" s="187"/>
      <c r="D872" s="188" t="str">
        <f>IF(C872="","",IFERROR(VLOOKUP(C872,Inventory!$A:$B,2,FALSE),""))</f>
        <v/>
      </c>
      <c r="E872" s="188" t="str">
        <f>IF(C872="","",IFERROR(VLOOKUP(C872,Inventory!$A:$C,3,FALSE),""))</f>
        <v/>
      </c>
      <c r="F872" s="187"/>
      <c r="G872" s="180" t="str">
        <f>IF(C872="","",IFERROR(VLOOKUP(C872,Inventory!$A:$I,9,FALSE),0))</f>
        <v/>
      </c>
      <c r="H872" s="189" t="str">
        <f t="shared" si="1"/>
        <v/>
      </c>
      <c r="I872" s="190" t="str">
        <f t="shared" si="2"/>
        <v/>
      </c>
      <c r="J872" s="191"/>
      <c r="K872" s="191" t="str">
        <f t="shared" si="3"/>
        <v/>
      </c>
      <c r="L872" s="187"/>
      <c r="M872" s="192" t="str">
        <f t="shared" si="4"/>
        <v/>
      </c>
      <c r="N872" s="185" t="str">
        <f t="shared" si="5"/>
        <v/>
      </c>
    </row>
    <row r="873" ht="15.75" customHeight="1">
      <c r="A873" s="186"/>
      <c r="B873" s="187"/>
      <c r="C873" s="187"/>
      <c r="D873" s="188" t="str">
        <f>IF(C873="","",IFERROR(VLOOKUP(C873,Inventory!$A:$B,2,FALSE),""))</f>
        <v/>
      </c>
      <c r="E873" s="188" t="str">
        <f>IF(C873="","",IFERROR(VLOOKUP(C873,Inventory!$A:$C,3,FALSE),""))</f>
        <v/>
      </c>
      <c r="F873" s="187"/>
      <c r="G873" s="180" t="str">
        <f>IF(C873="","",IFERROR(VLOOKUP(C873,Inventory!$A:$I,9,FALSE),0))</f>
        <v/>
      </c>
      <c r="H873" s="189" t="str">
        <f t="shared" si="1"/>
        <v/>
      </c>
      <c r="I873" s="190" t="str">
        <f t="shared" si="2"/>
        <v/>
      </c>
      <c r="J873" s="191"/>
      <c r="K873" s="191" t="str">
        <f t="shared" si="3"/>
        <v/>
      </c>
      <c r="L873" s="187"/>
      <c r="M873" s="192" t="str">
        <f t="shared" si="4"/>
        <v/>
      </c>
      <c r="N873" s="185" t="str">
        <f t="shared" si="5"/>
        <v/>
      </c>
    </row>
    <row r="874" ht="15.75" customHeight="1">
      <c r="A874" s="186"/>
      <c r="B874" s="187"/>
      <c r="C874" s="187"/>
      <c r="D874" s="188" t="str">
        <f>IF(C874="","",IFERROR(VLOOKUP(C874,Inventory!$A:$B,2,FALSE),""))</f>
        <v/>
      </c>
      <c r="E874" s="188" t="str">
        <f>IF(C874="","",IFERROR(VLOOKUP(C874,Inventory!$A:$C,3,FALSE),""))</f>
        <v/>
      </c>
      <c r="F874" s="187"/>
      <c r="G874" s="180" t="str">
        <f>IF(C874="","",IFERROR(VLOOKUP(C874,Inventory!$A:$I,9,FALSE),0))</f>
        <v/>
      </c>
      <c r="H874" s="189" t="str">
        <f t="shared" si="1"/>
        <v/>
      </c>
      <c r="I874" s="190" t="str">
        <f t="shared" si="2"/>
        <v/>
      </c>
      <c r="J874" s="191"/>
      <c r="K874" s="191" t="str">
        <f t="shared" si="3"/>
        <v/>
      </c>
      <c r="L874" s="187"/>
      <c r="M874" s="192" t="str">
        <f t="shared" si="4"/>
        <v/>
      </c>
      <c r="N874" s="185" t="str">
        <f t="shared" si="5"/>
        <v/>
      </c>
    </row>
    <row r="875" ht="15.75" customHeight="1">
      <c r="A875" s="186"/>
      <c r="B875" s="187"/>
      <c r="C875" s="187"/>
      <c r="D875" s="188" t="str">
        <f>IF(C875="","",IFERROR(VLOOKUP(C875,Inventory!$A:$B,2,FALSE),""))</f>
        <v/>
      </c>
      <c r="E875" s="188" t="str">
        <f>IF(C875="","",IFERROR(VLOOKUP(C875,Inventory!$A:$C,3,FALSE),""))</f>
        <v/>
      </c>
      <c r="F875" s="187"/>
      <c r="G875" s="180" t="str">
        <f>IF(C875="","",IFERROR(VLOOKUP(C875,Inventory!$A:$I,9,FALSE),0))</f>
        <v/>
      </c>
      <c r="H875" s="189" t="str">
        <f t="shared" si="1"/>
        <v/>
      </c>
      <c r="I875" s="190" t="str">
        <f t="shared" si="2"/>
        <v/>
      </c>
      <c r="J875" s="191"/>
      <c r="K875" s="191" t="str">
        <f t="shared" si="3"/>
        <v/>
      </c>
      <c r="L875" s="187"/>
      <c r="M875" s="192" t="str">
        <f t="shared" si="4"/>
        <v/>
      </c>
      <c r="N875" s="185" t="str">
        <f t="shared" si="5"/>
        <v/>
      </c>
    </row>
    <row r="876" ht="15.75" customHeight="1">
      <c r="A876" s="186"/>
      <c r="B876" s="187"/>
      <c r="C876" s="187"/>
      <c r="D876" s="188" t="str">
        <f>IF(C876="","",IFERROR(VLOOKUP(C876,Inventory!$A:$B,2,FALSE),""))</f>
        <v/>
      </c>
      <c r="E876" s="188" t="str">
        <f>IF(C876="","",IFERROR(VLOOKUP(C876,Inventory!$A:$C,3,FALSE),""))</f>
        <v/>
      </c>
      <c r="F876" s="187"/>
      <c r="G876" s="180" t="str">
        <f>IF(C876="","",IFERROR(VLOOKUP(C876,Inventory!$A:$I,9,FALSE),0))</f>
        <v/>
      </c>
      <c r="H876" s="189" t="str">
        <f t="shared" si="1"/>
        <v/>
      </c>
      <c r="I876" s="190" t="str">
        <f t="shared" si="2"/>
        <v/>
      </c>
      <c r="J876" s="191"/>
      <c r="K876" s="191" t="str">
        <f t="shared" si="3"/>
        <v/>
      </c>
      <c r="L876" s="187"/>
      <c r="M876" s="192" t="str">
        <f t="shared" si="4"/>
        <v/>
      </c>
      <c r="N876" s="185" t="str">
        <f t="shared" si="5"/>
        <v/>
      </c>
    </row>
    <row r="877" ht="15.75" customHeight="1">
      <c r="A877" s="186"/>
      <c r="B877" s="187"/>
      <c r="C877" s="187"/>
      <c r="D877" s="188" t="str">
        <f>IF(C877="","",IFERROR(VLOOKUP(C877,Inventory!$A:$B,2,FALSE),""))</f>
        <v/>
      </c>
      <c r="E877" s="188" t="str">
        <f>IF(C877="","",IFERROR(VLOOKUP(C877,Inventory!$A:$C,3,FALSE),""))</f>
        <v/>
      </c>
      <c r="F877" s="187"/>
      <c r="G877" s="180" t="str">
        <f>IF(C877="","",IFERROR(VLOOKUP(C877,Inventory!$A:$I,9,FALSE),0))</f>
        <v/>
      </c>
      <c r="H877" s="189" t="str">
        <f t="shared" si="1"/>
        <v/>
      </c>
      <c r="I877" s="190" t="str">
        <f t="shared" si="2"/>
        <v/>
      </c>
      <c r="J877" s="191"/>
      <c r="K877" s="191" t="str">
        <f t="shared" si="3"/>
        <v/>
      </c>
      <c r="L877" s="187"/>
      <c r="M877" s="192" t="str">
        <f t="shared" si="4"/>
        <v/>
      </c>
      <c r="N877" s="185" t="str">
        <f t="shared" si="5"/>
        <v/>
      </c>
    </row>
    <row r="878" ht="15.75" customHeight="1">
      <c r="A878" s="186"/>
      <c r="B878" s="187"/>
      <c r="C878" s="187"/>
      <c r="D878" s="188" t="str">
        <f>IF(C878="","",IFERROR(VLOOKUP(C878,Inventory!$A:$B,2,FALSE),""))</f>
        <v/>
      </c>
      <c r="E878" s="188" t="str">
        <f>IF(C878="","",IFERROR(VLOOKUP(C878,Inventory!$A:$C,3,FALSE),""))</f>
        <v/>
      </c>
      <c r="F878" s="187"/>
      <c r="G878" s="180" t="str">
        <f>IF(C878="","",IFERROR(VLOOKUP(C878,Inventory!$A:$I,9,FALSE),0))</f>
        <v/>
      </c>
      <c r="H878" s="189" t="str">
        <f t="shared" si="1"/>
        <v/>
      </c>
      <c r="I878" s="190" t="str">
        <f t="shared" si="2"/>
        <v/>
      </c>
      <c r="J878" s="191"/>
      <c r="K878" s="191" t="str">
        <f t="shared" si="3"/>
        <v/>
      </c>
      <c r="L878" s="187"/>
      <c r="M878" s="192" t="str">
        <f t="shared" si="4"/>
        <v/>
      </c>
      <c r="N878" s="185" t="str">
        <f t="shared" si="5"/>
        <v/>
      </c>
    </row>
    <row r="879" ht="15.75" customHeight="1">
      <c r="A879" s="186"/>
      <c r="B879" s="187"/>
      <c r="C879" s="187"/>
      <c r="D879" s="188" t="str">
        <f>IF(C879="","",IFERROR(VLOOKUP(C879,Inventory!$A:$B,2,FALSE),""))</f>
        <v/>
      </c>
      <c r="E879" s="188" t="str">
        <f>IF(C879="","",IFERROR(VLOOKUP(C879,Inventory!$A:$C,3,FALSE),""))</f>
        <v/>
      </c>
      <c r="F879" s="187"/>
      <c r="G879" s="180" t="str">
        <f>IF(C879="","",IFERROR(VLOOKUP(C879,Inventory!$A:$I,9,FALSE),0))</f>
        <v/>
      </c>
      <c r="H879" s="189" t="str">
        <f t="shared" si="1"/>
        <v/>
      </c>
      <c r="I879" s="190" t="str">
        <f t="shared" si="2"/>
        <v/>
      </c>
      <c r="J879" s="191"/>
      <c r="K879" s="191" t="str">
        <f t="shared" si="3"/>
        <v/>
      </c>
      <c r="L879" s="187"/>
      <c r="M879" s="192" t="str">
        <f t="shared" si="4"/>
        <v/>
      </c>
      <c r="N879" s="185" t="str">
        <f t="shared" si="5"/>
        <v/>
      </c>
    </row>
    <row r="880" ht="15.75" customHeight="1">
      <c r="A880" s="186"/>
      <c r="B880" s="187"/>
      <c r="C880" s="187"/>
      <c r="D880" s="188" t="str">
        <f>IF(C880="","",IFERROR(VLOOKUP(C880,Inventory!$A:$B,2,FALSE),""))</f>
        <v/>
      </c>
      <c r="E880" s="188" t="str">
        <f>IF(C880="","",IFERROR(VLOOKUP(C880,Inventory!$A:$C,3,FALSE),""))</f>
        <v/>
      </c>
      <c r="F880" s="187"/>
      <c r="G880" s="180" t="str">
        <f>IF(C880="","",IFERROR(VLOOKUP(C880,Inventory!$A:$I,9,FALSE),0))</f>
        <v/>
      </c>
      <c r="H880" s="189" t="str">
        <f t="shared" si="1"/>
        <v/>
      </c>
      <c r="I880" s="190" t="str">
        <f t="shared" si="2"/>
        <v/>
      </c>
      <c r="J880" s="191"/>
      <c r="K880" s="191" t="str">
        <f t="shared" si="3"/>
        <v/>
      </c>
      <c r="L880" s="187"/>
      <c r="M880" s="192" t="str">
        <f t="shared" si="4"/>
        <v/>
      </c>
      <c r="N880" s="185" t="str">
        <f t="shared" si="5"/>
        <v/>
      </c>
    </row>
    <row r="881" ht="15.75" customHeight="1">
      <c r="A881" s="186"/>
      <c r="B881" s="187"/>
      <c r="C881" s="187"/>
      <c r="D881" s="188" t="str">
        <f>IF(C881="","",IFERROR(VLOOKUP(C881,Inventory!$A:$B,2,FALSE),""))</f>
        <v/>
      </c>
      <c r="E881" s="188" t="str">
        <f>IF(C881="","",IFERROR(VLOOKUP(C881,Inventory!$A:$C,3,FALSE),""))</f>
        <v/>
      </c>
      <c r="F881" s="187"/>
      <c r="G881" s="180" t="str">
        <f>IF(C881="","",IFERROR(VLOOKUP(C881,Inventory!$A:$I,9,FALSE),0))</f>
        <v/>
      </c>
      <c r="H881" s="189" t="str">
        <f t="shared" si="1"/>
        <v/>
      </c>
      <c r="I881" s="190" t="str">
        <f t="shared" si="2"/>
        <v/>
      </c>
      <c r="J881" s="191"/>
      <c r="K881" s="191" t="str">
        <f t="shared" si="3"/>
        <v/>
      </c>
      <c r="L881" s="187"/>
      <c r="M881" s="192" t="str">
        <f t="shared" si="4"/>
        <v/>
      </c>
      <c r="N881" s="185" t="str">
        <f t="shared" si="5"/>
        <v/>
      </c>
    </row>
    <row r="882" ht="15.75" customHeight="1">
      <c r="A882" s="186"/>
      <c r="B882" s="187"/>
      <c r="C882" s="187"/>
      <c r="D882" s="188" t="str">
        <f>IF(C882="","",IFERROR(VLOOKUP(C882,Inventory!$A:$B,2,FALSE),""))</f>
        <v/>
      </c>
      <c r="E882" s="188" t="str">
        <f>IF(C882="","",IFERROR(VLOOKUP(C882,Inventory!$A:$C,3,FALSE),""))</f>
        <v/>
      </c>
      <c r="F882" s="187"/>
      <c r="G882" s="180" t="str">
        <f>IF(C882="","",IFERROR(VLOOKUP(C882,Inventory!$A:$I,9,FALSE),0))</f>
        <v/>
      </c>
      <c r="H882" s="189" t="str">
        <f t="shared" si="1"/>
        <v/>
      </c>
      <c r="I882" s="190" t="str">
        <f t="shared" si="2"/>
        <v/>
      </c>
      <c r="J882" s="191"/>
      <c r="K882" s="191" t="str">
        <f t="shared" si="3"/>
        <v/>
      </c>
      <c r="L882" s="187"/>
      <c r="M882" s="192" t="str">
        <f t="shared" si="4"/>
        <v/>
      </c>
      <c r="N882" s="185" t="str">
        <f t="shared" si="5"/>
        <v/>
      </c>
    </row>
    <row r="883" ht="15.75" customHeight="1">
      <c r="A883" s="186"/>
      <c r="B883" s="187"/>
      <c r="C883" s="187"/>
      <c r="D883" s="188" t="str">
        <f>IF(C883="","",IFERROR(VLOOKUP(C883,Inventory!$A:$B,2,FALSE),""))</f>
        <v/>
      </c>
      <c r="E883" s="188" t="str">
        <f>IF(C883="","",IFERROR(VLOOKUP(C883,Inventory!$A:$C,3,FALSE),""))</f>
        <v/>
      </c>
      <c r="F883" s="187"/>
      <c r="G883" s="180" t="str">
        <f>IF(C883="","",IFERROR(VLOOKUP(C883,Inventory!$A:$I,9,FALSE),0))</f>
        <v/>
      </c>
      <c r="H883" s="189" t="str">
        <f t="shared" si="1"/>
        <v/>
      </c>
      <c r="I883" s="190" t="str">
        <f t="shared" si="2"/>
        <v/>
      </c>
      <c r="J883" s="191"/>
      <c r="K883" s="191" t="str">
        <f t="shared" si="3"/>
        <v/>
      </c>
      <c r="L883" s="187"/>
      <c r="M883" s="192" t="str">
        <f t="shared" si="4"/>
        <v/>
      </c>
      <c r="N883" s="185" t="str">
        <f t="shared" si="5"/>
        <v/>
      </c>
    </row>
    <row r="884" ht="15.75" customHeight="1">
      <c r="A884" s="186"/>
      <c r="B884" s="187"/>
      <c r="C884" s="187"/>
      <c r="D884" s="188" t="str">
        <f>IF(C884="","",IFERROR(VLOOKUP(C884,Inventory!$A:$B,2,FALSE),""))</f>
        <v/>
      </c>
      <c r="E884" s="188" t="str">
        <f>IF(C884="","",IFERROR(VLOOKUP(C884,Inventory!$A:$C,3,FALSE),""))</f>
        <v/>
      </c>
      <c r="F884" s="187"/>
      <c r="G884" s="180" t="str">
        <f>IF(C884="","",IFERROR(VLOOKUP(C884,Inventory!$A:$I,9,FALSE),0))</f>
        <v/>
      </c>
      <c r="H884" s="189" t="str">
        <f t="shared" si="1"/>
        <v/>
      </c>
      <c r="I884" s="190" t="str">
        <f t="shared" si="2"/>
        <v/>
      </c>
      <c r="J884" s="191"/>
      <c r="K884" s="191" t="str">
        <f t="shared" si="3"/>
        <v/>
      </c>
      <c r="L884" s="187"/>
      <c r="M884" s="192" t="str">
        <f t="shared" si="4"/>
        <v/>
      </c>
      <c r="N884" s="185" t="str">
        <f t="shared" si="5"/>
        <v/>
      </c>
    </row>
    <row r="885" ht="15.75" customHeight="1">
      <c r="A885" s="186"/>
      <c r="B885" s="187"/>
      <c r="C885" s="187"/>
      <c r="D885" s="188" t="str">
        <f>IF(C885="","",IFERROR(VLOOKUP(C885,Inventory!$A:$B,2,FALSE),""))</f>
        <v/>
      </c>
      <c r="E885" s="188" t="str">
        <f>IF(C885="","",IFERROR(VLOOKUP(C885,Inventory!$A:$C,3,FALSE),""))</f>
        <v/>
      </c>
      <c r="F885" s="187"/>
      <c r="G885" s="180" t="str">
        <f>IF(C885="","",IFERROR(VLOOKUP(C885,Inventory!$A:$I,9,FALSE),0))</f>
        <v/>
      </c>
      <c r="H885" s="189" t="str">
        <f t="shared" si="1"/>
        <v/>
      </c>
      <c r="I885" s="190" t="str">
        <f t="shared" si="2"/>
        <v/>
      </c>
      <c r="J885" s="191"/>
      <c r="K885" s="191" t="str">
        <f t="shared" si="3"/>
        <v/>
      </c>
      <c r="L885" s="187"/>
      <c r="M885" s="192" t="str">
        <f t="shared" si="4"/>
        <v/>
      </c>
      <c r="N885" s="185" t="str">
        <f t="shared" si="5"/>
        <v/>
      </c>
    </row>
    <row r="886" ht="15.75" customHeight="1">
      <c r="A886" s="186"/>
      <c r="B886" s="187"/>
      <c r="C886" s="187"/>
      <c r="D886" s="188" t="str">
        <f>IF(C886="","",IFERROR(VLOOKUP(C886,Inventory!$A:$B,2,FALSE),""))</f>
        <v/>
      </c>
      <c r="E886" s="188" t="str">
        <f>IF(C886="","",IFERROR(VLOOKUP(C886,Inventory!$A:$C,3,FALSE),""))</f>
        <v/>
      </c>
      <c r="F886" s="187"/>
      <c r="G886" s="180" t="str">
        <f>IF(C886="","",IFERROR(VLOOKUP(C886,Inventory!$A:$I,9,FALSE),0))</f>
        <v/>
      </c>
      <c r="H886" s="189" t="str">
        <f t="shared" si="1"/>
        <v/>
      </c>
      <c r="I886" s="190" t="str">
        <f t="shared" si="2"/>
        <v/>
      </c>
      <c r="J886" s="191"/>
      <c r="K886" s="191" t="str">
        <f t="shared" si="3"/>
        <v/>
      </c>
      <c r="L886" s="187"/>
      <c r="M886" s="192" t="str">
        <f t="shared" si="4"/>
        <v/>
      </c>
      <c r="N886" s="185" t="str">
        <f t="shared" si="5"/>
        <v/>
      </c>
    </row>
    <row r="887" ht="15.75" customHeight="1">
      <c r="A887" s="186"/>
      <c r="B887" s="187"/>
      <c r="C887" s="187"/>
      <c r="D887" s="188" t="str">
        <f>IF(C887="","",IFERROR(VLOOKUP(C887,Inventory!$A:$B,2,FALSE),""))</f>
        <v/>
      </c>
      <c r="E887" s="188" t="str">
        <f>IF(C887="","",IFERROR(VLOOKUP(C887,Inventory!$A:$C,3,FALSE),""))</f>
        <v/>
      </c>
      <c r="F887" s="187"/>
      <c r="G887" s="180" t="str">
        <f>IF(C887="","",IFERROR(VLOOKUP(C887,Inventory!$A:$I,9,FALSE),0))</f>
        <v/>
      </c>
      <c r="H887" s="189" t="str">
        <f t="shared" si="1"/>
        <v/>
      </c>
      <c r="I887" s="190" t="str">
        <f t="shared" si="2"/>
        <v/>
      </c>
      <c r="J887" s="191"/>
      <c r="K887" s="191" t="str">
        <f t="shared" si="3"/>
        <v/>
      </c>
      <c r="L887" s="187"/>
      <c r="M887" s="192" t="str">
        <f t="shared" si="4"/>
        <v/>
      </c>
      <c r="N887" s="185" t="str">
        <f t="shared" si="5"/>
        <v/>
      </c>
    </row>
    <row r="888" ht="15.75" customHeight="1">
      <c r="A888" s="186"/>
      <c r="B888" s="187"/>
      <c r="C888" s="187"/>
      <c r="D888" s="188" t="str">
        <f>IF(C888="","",IFERROR(VLOOKUP(C888,Inventory!$A:$B,2,FALSE),""))</f>
        <v/>
      </c>
      <c r="E888" s="188" t="str">
        <f>IF(C888="","",IFERROR(VLOOKUP(C888,Inventory!$A:$C,3,FALSE),""))</f>
        <v/>
      </c>
      <c r="F888" s="187"/>
      <c r="G888" s="180" t="str">
        <f>IF(C888="","",IFERROR(VLOOKUP(C888,Inventory!$A:$I,9,FALSE),0))</f>
        <v/>
      </c>
      <c r="H888" s="189" t="str">
        <f t="shared" si="1"/>
        <v/>
      </c>
      <c r="I888" s="190" t="str">
        <f t="shared" si="2"/>
        <v/>
      </c>
      <c r="J888" s="191"/>
      <c r="K888" s="191" t="str">
        <f t="shared" si="3"/>
        <v/>
      </c>
      <c r="L888" s="187"/>
      <c r="M888" s="192" t="str">
        <f t="shared" si="4"/>
        <v/>
      </c>
      <c r="N888" s="185" t="str">
        <f t="shared" si="5"/>
        <v/>
      </c>
    </row>
    <row r="889" ht="15.75" customHeight="1">
      <c r="A889" s="186"/>
      <c r="B889" s="187"/>
      <c r="C889" s="187"/>
      <c r="D889" s="188" t="str">
        <f>IF(C889="","",IFERROR(VLOOKUP(C889,Inventory!$A:$B,2,FALSE),""))</f>
        <v/>
      </c>
      <c r="E889" s="188" t="str">
        <f>IF(C889="","",IFERROR(VLOOKUP(C889,Inventory!$A:$C,3,FALSE),""))</f>
        <v/>
      </c>
      <c r="F889" s="187"/>
      <c r="G889" s="180" t="str">
        <f>IF(C889="","",IFERROR(VLOOKUP(C889,Inventory!$A:$I,9,FALSE),0))</f>
        <v/>
      </c>
      <c r="H889" s="189" t="str">
        <f t="shared" si="1"/>
        <v/>
      </c>
      <c r="I889" s="190" t="str">
        <f t="shared" si="2"/>
        <v/>
      </c>
      <c r="J889" s="191"/>
      <c r="K889" s="191" t="str">
        <f t="shared" si="3"/>
        <v/>
      </c>
      <c r="L889" s="187"/>
      <c r="M889" s="192" t="str">
        <f t="shared" si="4"/>
        <v/>
      </c>
      <c r="N889" s="185" t="str">
        <f t="shared" si="5"/>
        <v/>
      </c>
    </row>
    <row r="890" ht="15.75" customHeight="1">
      <c r="A890" s="186"/>
      <c r="B890" s="187"/>
      <c r="C890" s="187"/>
      <c r="D890" s="188" t="str">
        <f>IF(C890="","",IFERROR(VLOOKUP(C890,Inventory!$A:$B,2,FALSE),""))</f>
        <v/>
      </c>
      <c r="E890" s="188" t="str">
        <f>IF(C890="","",IFERROR(VLOOKUP(C890,Inventory!$A:$C,3,FALSE),""))</f>
        <v/>
      </c>
      <c r="F890" s="187"/>
      <c r="G890" s="180" t="str">
        <f>IF(C890="","",IFERROR(VLOOKUP(C890,Inventory!$A:$I,9,FALSE),0))</f>
        <v/>
      </c>
      <c r="H890" s="189" t="str">
        <f t="shared" si="1"/>
        <v/>
      </c>
      <c r="I890" s="190" t="str">
        <f t="shared" si="2"/>
        <v/>
      </c>
      <c r="J890" s="191"/>
      <c r="K890" s="191" t="str">
        <f t="shared" si="3"/>
        <v/>
      </c>
      <c r="L890" s="187"/>
      <c r="M890" s="192" t="str">
        <f t="shared" si="4"/>
        <v/>
      </c>
      <c r="N890" s="185" t="str">
        <f t="shared" si="5"/>
        <v/>
      </c>
    </row>
    <row r="891" ht="15.75" customHeight="1">
      <c r="A891" s="186"/>
      <c r="B891" s="187"/>
      <c r="C891" s="187"/>
      <c r="D891" s="188" t="str">
        <f>IF(C891="","",IFERROR(VLOOKUP(C891,Inventory!$A:$B,2,FALSE),""))</f>
        <v/>
      </c>
      <c r="E891" s="188" t="str">
        <f>IF(C891="","",IFERROR(VLOOKUP(C891,Inventory!$A:$C,3,FALSE),""))</f>
        <v/>
      </c>
      <c r="F891" s="187"/>
      <c r="G891" s="180" t="str">
        <f>IF(C891="","",IFERROR(VLOOKUP(C891,Inventory!$A:$I,9,FALSE),0))</f>
        <v/>
      </c>
      <c r="H891" s="189" t="str">
        <f t="shared" si="1"/>
        <v/>
      </c>
      <c r="I891" s="190" t="str">
        <f t="shared" si="2"/>
        <v/>
      </c>
      <c r="J891" s="191"/>
      <c r="K891" s="191" t="str">
        <f t="shared" si="3"/>
        <v/>
      </c>
      <c r="L891" s="187"/>
      <c r="M891" s="192" t="str">
        <f t="shared" si="4"/>
        <v/>
      </c>
      <c r="N891" s="185" t="str">
        <f t="shared" si="5"/>
        <v/>
      </c>
    </row>
    <row r="892" ht="15.75" customHeight="1">
      <c r="A892" s="186"/>
      <c r="B892" s="187"/>
      <c r="C892" s="187"/>
      <c r="D892" s="188" t="str">
        <f>IF(C892="","",IFERROR(VLOOKUP(C892,Inventory!$A:$B,2,FALSE),""))</f>
        <v/>
      </c>
      <c r="E892" s="188" t="str">
        <f>IF(C892="","",IFERROR(VLOOKUP(C892,Inventory!$A:$C,3,FALSE),""))</f>
        <v/>
      </c>
      <c r="F892" s="187"/>
      <c r="G892" s="180" t="str">
        <f>IF(C892="","",IFERROR(VLOOKUP(C892,Inventory!$A:$I,9,FALSE),0))</f>
        <v/>
      </c>
      <c r="H892" s="189" t="str">
        <f t="shared" si="1"/>
        <v/>
      </c>
      <c r="I892" s="190" t="str">
        <f t="shared" si="2"/>
        <v/>
      </c>
      <c r="J892" s="191"/>
      <c r="K892" s="191" t="str">
        <f t="shared" si="3"/>
        <v/>
      </c>
      <c r="L892" s="187"/>
      <c r="M892" s="192" t="str">
        <f t="shared" si="4"/>
        <v/>
      </c>
      <c r="N892" s="185" t="str">
        <f t="shared" si="5"/>
        <v/>
      </c>
    </row>
    <row r="893" ht="15.75" customHeight="1">
      <c r="A893" s="186"/>
      <c r="B893" s="187"/>
      <c r="C893" s="187"/>
      <c r="D893" s="188" t="str">
        <f>IF(C893="","",IFERROR(VLOOKUP(C893,Inventory!$A:$B,2,FALSE),""))</f>
        <v/>
      </c>
      <c r="E893" s="188" t="str">
        <f>IF(C893="","",IFERROR(VLOOKUP(C893,Inventory!$A:$C,3,FALSE),""))</f>
        <v/>
      </c>
      <c r="F893" s="187"/>
      <c r="G893" s="180" t="str">
        <f>IF(C893="","",IFERROR(VLOOKUP(C893,Inventory!$A:$I,9,FALSE),0))</f>
        <v/>
      </c>
      <c r="H893" s="189" t="str">
        <f t="shared" si="1"/>
        <v/>
      </c>
      <c r="I893" s="190" t="str">
        <f t="shared" si="2"/>
        <v/>
      </c>
      <c r="J893" s="191"/>
      <c r="K893" s="191" t="str">
        <f t="shared" si="3"/>
        <v/>
      </c>
      <c r="L893" s="187"/>
      <c r="M893" s="192" t="str">
        <f t="shared" si="4"/>
        <v/>
      </c>
      <c r="N893" s="185" t="str">
        <f t="shared" si="5"/>
        <v/>
      </c>
    </row>
    <row r="894" ht="15.75" customHeight="1">
      <c r="A894" s="186"/>
      <c r="B894" s="187"/>
      <c r="C894" s="187"/>
      <c r="D894" s="188" t="str">
        <f>IF(C894="","",IFERROR(VLOOKUP(C894,Inventory!$A:$B,2,FALSE),""))</f>
        <v/>
      </c>
      <c r="E894" s="188" t="str">
        <f>IF(C894="","",IFERROR(VLOOKUP(C894,Inventory!$A:$C,3,FALSE),""))</f>
        <v/>
      </c>
      <c r="F894" s="187"/>
      <c r="G894" s="180" t="str">
        <f>IF(C894="","",IFERROR(VLOOKUP(C894,Inventory!$A:$I,9,FALSE),0))</f>
        <v/>
      </c>
      <c r="H894" s="189" t="str">
        <f t="shared" si="1"/>
        <v/>
      </c>
      <c r="I894" s="190" t="str">
        <f t="shared" si="2"/>
        <v/>
      </c>
      <c r="J894" s="191"/>
      <c r="K894" s="191" t="str">
        <f t="shared" si="3"/>
        <v/>
      </c>
      <c r="L894" s="187"/>
      <c r="M894" s="192" t="str">
        <f t="shared" si="4"/>
        <v/>
      </c>
      <c r="N894" s="185" t="str">
        <f t="shared" si="5"/>
        <v/>
      </c>
    </row>
    <row r="895" ht="15.75" customHeight="1">
      <c r="A895" s="186"/>
      <c r="B895" s="187"/>
      <c r="C895" s="187"/>
      <c r="D895" s="188" t="str">
        <f>IF(C895="","",IFERROR(VLOOKUP(C895,Inventory!$A:$B,2,FALSE),""))</f>
        <v/>
      </c>
      <c r="E895" s="188" t="str">
        <f>IF(C895="","",IFERROR(VLOOKUP(C895,Inventory!$A:$C,3,FALSE),""))</f>
        <v/>
      </c>
      <c r="F895" s="187"/>
      <c r="G895" s="180" t="str">
        <f>IF(C895="","",IFERROR(VLOOKUP(C895,Inventory!$A:$I,9,FALSE),0))</f>
        <v/>
      </c>
      <c r="H895" s="189" t="str">
        <f t="shared" si="1"/>
        <v/>
      </c>
      <c r="I895" s="190" t="str">
        <f t="shared" si="2"/>
        <v/>
      </c>
      <c r="J895" s="191"/>
      <c r="K895" s="191" t="str">
        <f t="shared" si="3"/>
        <v/>
      </c>
      <c r="L895" s="187"/>
      <c r="M895" s="192" t="str">
        <f t="shared" si="4"/>
        <v/>
      </c>
      <c r="N895" s="185" t="str">
        <f t="shared" si="5"/>
        <v/>
      </c>
    </row>
    <row r="896" ht="15.75" customHeight="1">
      <c r="A896" s="186"/>
      <c r="B896" s="187"/>
      <c r="C896" s="187"/>
      <c r="D896" s="188" t="str">
        <f>IF(C896="","",IFERROR(VLOOKUP(C896,Inventory!$A:$B,2,FALSE),""))</f>
        <v/>
      </c>
      <c r="E896" s="188" t="str">
        <f>IF(C896="","",IFERROR(VLOOKUP(C896,Inventory!$A:$C,3,FALSE),""))</f>
        <v/>
      </c>
      <c r="F896" s="187"/>
      <c r="G896" s="180" t="str">
        <f>IF(C896="","",IFERROR(VLOOKUP(C896,Inventory!$A:$I,9,FALSE),0))</f>
        <v/>
      </c>
      <c r="H896" s="189" t="str">
        <f t="shared" si="1"/>
        <v/>
      </c>
      <c r="I896" s="190" t="str">
        <f t="shared" si="2"/>
        <v/>
      </c>
      <c r="J896" s="191"/>
      <c r="K896" s="191" t="str">
        <f t="shared" si="3"/>
        <v/>
      </c>
      <c r="L896" s="187"/>
      <c r="M896" s="192" t="str">
        <f t="shared" si="4"/>
        <v/>
      </c>
      <c r="N896" s="185" t="str">
        <f t="shared" si="5"/>
        <v/>
      </c>
    </row>
    <row r="897" ht="15.75" customHeight="1">
      <c r="A897" s="186"/>
      <c r="B897" s="187"/>
      <c r="C897" s="187"/>
      <c r="D897" s="188" t="str">
        <f>IF(C897="","",IFERROR(VLOOKUP(C897,Inventory!$A:$B,2,FALSE),""))</f>
        <v/>
      </c>
      <c r="E897" s="188" t="str">
        <f>IF(C897="","",IFERROR(VLOOKUP(C897,Inventory!$A:$C,3,FALSE),""))</f>
        <v/>
      </c>
      <c r="F897" s="187"/>
      <c r="G897" s="180" t="str">
        <f>IF(C897="","",IFERROR(VLOOKUP(C897,Inventory!$A:$I,9,FALSE),0))</f>
        <v/>
      </c>
      <c r="H897" s="189" t="str">
        <f t="shared" si="1"/>
        <v/>
      </c>
      <c r="I897" s="190" t="str">
        <f t="shared" si="2"/>
        <v/>
      </c>
      <c r="J897" s="191"/>
      <c r="K897" s="191" t="str">
        <f t="shared" si="3"/>
        <v/>
      </c>
      <c r="L897" s="187"/>
      <c r="M897" s="192" t="str">
        <f t="shared" si="4"/>
        <v/>
      </c>
      <c r="N897" s="185" t="str">
        <f t="shared" si="5"/>
        <v/>
      </c>
    </row>
    <row r="898" ht="15.75" customHeight="1">
      <c r="A898" s="186"/>
      <c r="B898" s="187"/>
      <c r="C898" s="187"/>
      <c r="D898" s="188" t="str">
        <f>IF(C898="","",IFERROR(VLOOKUP(C898,Inventory!$A:$B,2,FALSE),""))</f>
        <v/>
      </c>
      <c r="E898" s="188" t="str">
        <f>IF(C898="","",IFERROR(VLOOKUP(C898,Inventory!$A:$C,3,FALSE),""))</f>
        <v/>
      </c>
      <c r="F898" s="187"/>
      <c r="G898" s="180" t="str">
        <f>IF(C898="","",IFERROR(VLOOKUP(C898,Inventory!$A:$I,9,FALSE),0))</f>
        <v/>
      </c>
      <c r="H898" s="189" t="str">
        <f t="shared" si="1"/>
        <v/>
      </c>
      <c r="I898" s="190" t="str">
        <f t="shared" si="2"/>
        <v/>
      </c>
      <c r="J898" s="191"/>
      <c r="K898" s="191" t="str">
        <f t="shared" si="3"/>
        <v/>
      </c>
      <c r="L898" s="187"/>
      <c r="M898" s="192" t="str">
        <f t="shared" si="4"/>
        <v/>
      </c>
      <c r="N898" s="185" t="str">
        <f t="shared" si="5"/>
        <v/>
      </c>
    </row>
    <row r="899" ht="15.75" customHeight="1">
      <c r="A899" s="186"/>
      <c r="B899" s="187"/>
      <c r="C899" s="187"/>
      <c r="D899" s="188" t="str">
        <f>IF(C899="","",IFERROR(VLOOKUP(C899,Inventory!$A:$B,2,FALSE),""))</f>
        <v/>
      </c>
      <c r="E899" s="188" t="str">
        <f>IF(C899="","",IFERROR(VLOOKUP(C899,Inventory!$A:$C,3,FALSE),""))</f>
        <v/>
      </c>
      <c r="F899" s="187"/>
      <c r="G899" s="180" t="str">
        <f>IF(C899="","",IFERROR(VLOOKUP(C899,Inventory!$A:$I,9,FALSE),0))</f>
        <v/>
      </c>
      <c r="H899" s="189" t="str">
        <f t="shared" si="1"/>
        <v/>
      </c>
      <c r="I899" s="190" t="str">
        <f t="shared" si="2"/>
        <v/>
      </c>
      <c r="J899" s="191"/>
      <c r="K899" s="191" t="str">
        <f t="shared" si="3"/>
        <v/>
      </c>
      <c r="L899" s="187"/>
      <c r="M899" s="192" t="str">
        <f t="shared" si="4"/>
        <v/>
      </c>
      <c r="N899" s="185" t="str">
        <f t="shared" si="5"/>
        <v/>
      </c>
    </row>
    <row r="900" ht="15.75" customHeight="1">
      <c r="A900" s="186"/>
      <c r="B900" s="187"/>
      <c r="C900" s="187"/>
      <c r="D900" s="188" t="str">
        <f>IF(C900="","",IFERROR(VLOOKUP(C900,Inventory!$A:$B,2,FALSE),""))</f>
        <v/>
      </c>
      <c r="E900" s="188" t="str">
        <f>IF(C900="","",IFERROR(VLOOKUP(C900,Inventory!$A:$C,3,FALSE),""))</f>
        <v/>
      </c>
      <c r="F900" s="187"/>
      <c r="G900" s="180" t="str">
        <f>IF(C900="","",IFERROR(VLOOKUP(C900,Inventory!$A:$I,9,FALSE),0))</f>
        <v/>
      </c>
      <c r="H900" s="189" t="str">
        <f t="shared" si="1"/>
        <v/>
      </c>
      <c r="I900" s="190" t="str">
        <f t="shared" si="2"/>
        <v/>
      </c>
      <c r="J900" s="191"/>
      <c r="K900" s="191" t="str">
        <f t="shared" si="3"/>
        <v/>
      </c>
      <c r="L900" s="187"/>
      <c r="M900" s="192" t="str">
        <f t="shared" si="4"/>
        <v/>
      </c>
      <c r="N900" s="185" t="str">
        <f t="shared" si="5"/>
        <v/>
      </c>
    </row>
    <row r="901" ht="15.75" customHeight="1">
      <c r="A901" s="186"/>
      <c r="B901" s="187"/>
      <c r="C901" s="187"/>
      <c r="D901" s="188" t="str">
        <f>IF(C901="","",IFERROR(VLOOKUP(C901,Inventory!$A:$B,2,FALSE),""))</f>
        <v/>
      </c>
      <c r="E901" s="188" t="str">
        <f>IF(C901="","",IFERROR(VLOOKUP(C901,Inventory!$A:$C,3,FALSE),""))</f>
        <v/>
      </c>
      <c r="F901" s="187"/>
      <c r="G901" s="180" t="str">
        <f>IF(C901="","",IFERROR(VLOOKUP(C901,Inventory!$A:$I,9,FALSE),0))</f>
        <v/>
      </c>
      <c r="H901" s="189" t="str">
        <f t="shared" si="1"/>
        <v/>
      </c>
      <c r="I901" s="190" t="str">
        <f t="shared" si="2"/>
        <v/>
      </c>
      <c r="J901" s="191"/>
      <c r="K901" s="191" t="str">
        <f t="shared" si="3"/>
        <v/>
      </c>
      <c r="L901" s="187"/>
      <c r="M901" s="192" t="str">
        <f t="shared" si="4"/>
        <v/>
      </c>
      <c r="N901" s="185" t="str">
        <f t="shared" si="5"/>
        <v/>
      </c>
    </row>
    <row r="902" ht="15.75" customHeight="1">
      <c r="A902" s="186"/>
      <c r="B902" s="187"/>
      <c r="C902" s="187"/>
      <c r="D902" s="188" t="str">
        <f>IF(C902="","",IFERROR(VLOOKUP(C902,Inventory!$A:$B,2,FALSE),""))</f>
        <v/>
      </c>
      <c r="E902" s="188" t="str">
        <f>IF(C902="","",IFERROR(VLOOKUP(C902,Inventory!$A:$C,3,FALSE),""))</f>
        <v/>
      </c>
      <c r="F902" s="187"/>
      <c r="G902" s="180" t="str">
        <f>IF(C902="","",IFERROR(VLOOKUP(C902,Inventory!$A:$I,9,FALSE),0))</f>
        <v/>
      </c>
      <c r="H902" s="189" t="str">
        <f t="shared" si="1"/>
        <v/>
      </c>
      <c r="I902" s="190" t="str">
        <f t="shared" si="2"/>
        <v/>
      </c>
      <c r="J902" s="191"/>
      <c r="K902" s="191" t="str">
        <f t="shared" si="3"/>
        <v/>
      </c>
      <c r="L902" s="187"/>
      <c r="M902" s="192" t="str">
        <f t="shared" si="4"/>
        <v/>
      </c>
      <c r="N902" s="185" t="str">
        <f t="shared" si="5"/>
        <v/>
      </c>
    </row>
    <row r="903" ht="15.75" customHeight="1">
      <c r="A903" s="186"/>
      <c r="B903" s="187"/>
      <c r="C903" s="187"/>
      <c r="D903" s="188" t="str">
        <f>IF(C903="","",IFERROR(VLOOKUP(C903,Inventory!$A:$B,2,FALSE),""))</f>
        <v/>
      </c>
      <c r="E903" s="188" t="str">
        <f>IF(C903="","",IFERROR(VLOOKUP(C903,Inventory!$A:$C,3,FALSE),""))</f>
        <v/>
      </c>
      <c r="F903" s="187"/>
      <c r="G903" s="180" t="str">
        <f>IF(C903="","",IFERROR(VLOOKUP(C903,Inventory!$A:$I,9,FALSE),0))</f>
        <v/>
      </c>
      <c r="H903" s="189" t="str">
        <f t="shared" si="1"/>
        <v/>
      </c>
      <c r="I903" s="190" t="str">
        <f t="shared" si="2"/>
        <v/>
      </c>
      <c r="J903" s="191"/>
      <c r="K903" s="191" t="str">
        <f t="shared" si="3"/>
        <v/>
      </c>
      <c r="L903" s="187"/>
      <c r="M903" s="192" t="str">
        <f t="shared" si="4"/>
        <v/>
      </c>
      <c r="N903" s="185" t="str">
        <f t="shared" si="5"/>
        <v/>
      </c>
    </row>
    <row r="904" ht="15.75" customHeight="1">
      <c r="A904" s="186"/>
      <c r="B904" s="187"/>
      <c r="C904" s="187"/>
      <c r="D904" s="188" t="str">
        <f>IF(C904="","",IFERROR(VLOOKUP(C904,Inventory!$A:$B,2,FALSE),""))</f>
        <v/>
      </c>
      <c r="E904" s="188" t="str">
        <f>IF(C904="","",IFERROR(VLOOKUP(C904,Inventory!$A:$C,3,FALSE),""))</f>
        <v/>
      </c>
      <c r="F904" s="187"/>
      <c r="G904" s="180" t="str">
        <f>IF(C904="","",IFERROR(VLOOKUP(C904,Inventory!$A:$I,9,FALSE),0))</f>
        <v/>
      </c>
      <c r="H904" s="189" t="str">
        <f t="shared" si="1"/>
        <v/>
      </c>
      <c r="I904" s="190" t="str">
        <f t="shared" si="2"/>
        <v/>
      </c>
      <c r="J904" s="191"/>
      <c r="K904" s="191" t="str">
        <f t="shared" si="3"/>
        <v/>
      </c>
      <c r="L904" s="187"/>
      <c r="M904" s="192" t="str">
        <f t="shared" si="4"/>
        <v/>
      </c>
      <c r="N904" s="185" t="str">
        <f t="shared" si="5"/>
        <v/>
      </c>
    </row>
    <row r="905" ht="15.75" customHeight="1">
      <c r="A905" s="186"/>
      <c r="B905" s="187"/>
      <c r="C905" s="187"/>
      <c r="D905" s="188" t="str">
        <f>IF(C905="","",IFERROR(VLOOKUP(C905,Inventory!$A:$B,2,FALSE),""))</f>
        <v/>
      </c>
      <c r="E905" s="188" t="str">
        <f>IF(C905="","",IFERROR(VLOOKUP(C905,Inventory!$A:$C,3,FALSE),""))</f>
        <v/>
      </c>
      <c r="F905" s="187"/>
      <c r="G905" s="180" t="str">
        <f>IF(C905="","",IFERROR(VLOOKUP(C905,Inventory!$A:$I,9,FALSE),0))</f>
        <v/>
      </c>
      <c r="H905" s="189" t="str">
        <f t="shared" si="1"/>
        <v/>
      </c>
      <c r="I905" s="190" t="str">
        <f t="shared" si="2"/>
        <v/>
      </c>
      <c r="J905" s="191"/>
      <c r="K905" s="191" t="str">
        <f t="shared" si="3"/>
        <v/>
      </c>
      <c r="L905" s="187"/>
      <c r="M905" s="192" t="str">
        <f t="shared" si="4"/>
        <v/>
      </c>
      <c r="N905" s="185" t="str">
        <f t="shared" si="5"/>
        <v/>
      </c>
    </row>
    <row r="906" ht="15.75" customHeight="1">
      <c r="A906" s="186"/>
      <c r="B906" s="187"/>
      <c r="C906" s="187"/>
      <c r="D906" s="188" t="str">
        <f>IF(C906="","",IFERROR(VLOOKUP(C906,Inventory!$A:$B,2,FALSE),""))</f>
        <v/>
      </c>
      <c r="E906" s="188" t="str">
        <f>IF(C906="","",IFERROR(VLOOKUP(C906,Inventory!$A:$C,3,FALSE),""))</f>
        <v/>
      </c>
      <c r="F906" s="187"/>
      <c r="G906" s="180" t="str">
        <f>IF(C906="","",IFERROR(VLOOKUP(C906,Inventory!$A:$I,9,FALSE),0))</f>
        <v/>
      </c>
      <c r="H906" s="189" t="str">
        <f t="shared" si="1"/>
        <v/>
      </c>
      <c r="I906" s="190" t="str">
        <f t="shared" si="2"/>
        <v/>
      </c>
      <c r="J906" s="191"/>
      <c r="K906" s="191" t="str">
        <f t="shared" si="3"/>
        <v/>
      </c>
      <c r="L906" s="187"/>
      <c r="M906" s="192" t="str">
        <f t="shared" si="4"/>
        <v/>
      </c>
      <c r="N906" s="185" t="str">
        <f t="shared" si="5"/>
        <v/>
      </c>
    </row>
    <row r="907" ht="15.75" customHeight="1">
      <c r="A907" s="186"/>
      <c r="B907" s="187"/>
      <c r="C907" s="187"/>
      <c r="D907" s="188" t="str">
        <f>IF(C907="","",IFERROR(VLOOKUP(C907,Inventory!$A:$B,2,FALSE),""))</f>
        <v/>
      </c>
      <c r="E907" s="188" t="str">
        <f>IF(C907="","",IFERROR(VLOOKUP(C907,Inventory!$A:$C,3,FALSE),""))</f>
        <v/>
      </c>
      <c r="F907" s="187"/>
      <c r="G907" s="180" t="str">
        <f>IF(C907="","",IFERROR(VLOOKUP(C907,Inventory!$A:$I,9,FALSE),0))</f>
        <v/>
      </c>
      <c r="H907" s="189" t="str">
        <f t="shared" si="1"/>
        <v/>
      </c>
      <c r="I907" s="190" t="str">
        <f t="shared" si="2"/>
        <v/>
      </c>
      <c r="J907" s="191"/>
      <c r="K907" s="191" t="str">
        <f t="shared" si="3"/>
        <v/>
      </c>
      <c r="L907" s="187"/>
      <c r="M907" s="192" t="str">
        <f t="shared" si="4"/>
        <v/>
      </c>
      <c r="N907" s="185" t="str">
        <f t="shared" si="5"/>
        <v/>
      </c>
    </row>
    <row r="908" ht="15.75" customHeight="1">
      <c r="A908" s="186"/>
      <c r="B908" s="187"/>
      <c r="C908" s="187"/>
      <c r="D908" s="188" t="str">
        <f>IF(C908="","",IFERROR(VLOOKUP(C908,Inventory!$A:$B,2,FALSE),""))</f>
        <v/>
      </c>
      <c r="E908" s="188" t="str">
        <f>IF(C908="","",IFERROR(VLOOKUP(C908,Inventory!$A:$C,3,FALSE),""))</f>
        <v/>
      </c>
      <c r="F908" s="187"/>
      <c r="G908" s="180" t="str">
        <f>IF(C908="","",IFERROR(VLOOKUP(C908,Inventory!$A:$I,9,FALSE),0))</f>
        <v/>
      </c>
      <c r="H908" s="189" t="str">
        <f t="shared" si="1"/>
        <v/>
      </c>
      <c r="I908" s="190" t="str">
        <f t="shared" si="2"/>
        <v/>
      </c>
      <c r="J908" s="191"/>
      <c r="K908" s="191" t="str">
        <f t="shared" si="3"/>
        <v/>
      </c>
      <c r="L908" s="187"/>
      <c r="M908" s="192" t="str">
        <f t="shared" si="4"/>
        <v/>
      </c>
      <c r="N908" s="185" t="str">
        <f t="shared" si="5"/>
        <v/>
      </c>
    </row>
    <row r="909" ht="15.75" customHeight="1">
      <c r="A909" s="186"/>
      <c r="B909" s="187"/>
      <c r="C909" s="187"/>
      <c r="D909" s="188" t="str">
        <f>IF(C909="","",IFERROR(VLOOKUP(C909,Inventory!$A:$B,2,FALSE),""))</f>
        <v/>
      </c>
      <c r="E909" s="188" t="str">
        <f>IF(C909="","",IFERROR(VLOOKUP(C909,Inventory!$A:$C,3,FALSE),""))</f>
        <v/>
      </c>
      <c r="F909" s="187"/>
      <c r="G909" s="180" t="str">
        <f>IF(C909="","",IFERROR(VLOOKUP(C909,Inventory!$A:$I,9,FALSE),0))</f>
        <v/>
      </c>
      <c r="H909" s="189" t="str">
        <f t="shared" si="1"/>
        <v/>
      </c>
      <c r="I909" s="190" t="str">
        <f t="shared" si="2"/>
        <v/>
      </c>
      <c r="J909" s="191"/>
      <c r="K909" s="191" t="str">
        <f t="shared" si="3"/>
        <v/>
      </c>
      <c r="L909" s="187"/>
      <c r="M909" s="192" t="str">
        <f t="shared" si="4"/>
        <v/>
      </c>
      <c r="N909" s="185" t="str">
        <f t="shared" si="5"/>
        <v/>
      </c>
    </row>
    <row r="910" ht="15.75" customHeight="1">
      <c r="A910" s="186"/>
      <c r="B910" s="187"/>
      <c r="C910" s="187"/>
      <c r="D910" s="188" t="str">
        <f>IF(C910="","",IFERROR(VLOOKUP(C910,Inventory!$A:$B,2,FALSE),""))</f>
        <v/>
      </c>
      <c r="E910" s="188" t="str">
        <f>IF(C910="","",IFERROR(VLOOKUP(C910,Inventory!$A:$C,3,FALSE),""))</f>
        <v/>
      </c>
      <c r="F910" s="187"/>
      <c r="G910" s="180" t="str">
        <f>IF(C910="","",IFERROR(VLOOKUP(C910,Inventory!$A:$I,9,FALSE),0))</f>
        <v/>
      </c>
      <c r="H910" s="189" t="str">
        <f t="shared" si="1"/>
        <v/>
      </c>
      <c r="I910" s="190" t="str">
        <f t="shared" si="2"/>
        <v/>
      </c>
      <c r="J910" s="191"/>
      <c r="K910" s="191" t="str">
        <f t="shared" si="3"/>
        <v/>
      </c>
      <c r="L910" s="187"/>
      <c r="M910" s="192" t="str">
        <f t="shared" si="4"/>
        <v/>
      </c>
      <c r="N910" s="185" t="str">
        <f t="shared" si="5"/>
        <v/>
      </c>
    </row>
    <row r="911" ht="15.75" customHeight="1">
      <c r="A911" s="186"/>
      <c r="B911" s="187"/>
      <c r="C911" s="187"/>
      <c r="D911" s="188" t="str">
        <f>IF(C911="","",IFERROR(VLOOKUP(C911,Inventory!$A:$B,2,FALSE),""))</f>
        <v/>
      </c>
      <c r="E911" s="188" t="str">
        <f>IF(C911="","",IFERROR(VLOOKUP(C911,Inventory!$A:$C,3,FALSE),""))</f>
        <v/>
      </c>
      <c r="F911" s="187"/>
      <c r="G911" s="180" t="str">
        <f>IF(C911="","",IFERROR(VLOOKUP(C911,Inventory!$A:$I,9,FALSE),0))</f>
        <v/>
      </c>
      <c r="H911" s="189" t="str">
        <f t="shared" si="1"/>
        <v/>
      </c>
      <c r="I911" s="190" t="str">
        <f t="shared" si="2"/>
        <v/>
      </c>
      <c r="J911" s="191"/>
      <c r="K911" s="191" t="str">
        <f t="shared" si="3"/>
        <v/>
      </c>
      <c r="L911" s="187"/>
      <c r="M911" s="192" t="str">
        <f t="shared" si="4"/>
        <v/>
      </c>
      <c r="N911" s="185" t="str">
        <f t="shared" si="5"/>
        <v/>
      </c>
    </row>
    <row r="912" ht="15.75" customHeight="1">
      <c r="A912" s="186"/>
      <c r="B912" s="187"/>
      <c r="C912" s="187"/>
      <c r="D912" s="188" t="str">
        <f>IF(C912="","",IFERROR(VLOOKUP(C912,Inventory!$A:$B,2,FALSE),""))</f>
        <v/>
      </c>
      <c r="E912" s="188" t="str">
        <f>IF(C912="","",IFERROR(VLOOKUP(C912,Inventory!$A:$C,3,FALSE),""))</f>
        <v/>
      </c>
      <c r="F912" s="187"/>
      <c r="G912" s="180" t="str">
        <f>IF(C912="","",IFERROR(VLOOKUP(C912,Inventory!$A:$I,9,FALSE),0))</f>
        <v/>
      </c>
      <c r="H912" s="189" t="str">
        <f t="shared" si="1"/>
        <v/>
      </c>
      <c r="I912" s="190" t="str">
        <f t="shared" si="2"/>
        <v/>
      </c>
      <c r="J912" s="191"/>
      <c r="K912" s="191" t="str">
        <f t="shared" si="3"/>
        <v/>
      </c>
      <c r="L912" s="187"/>
      <c r="M912" s="192" t="str">
        <f t="shared" si="4"/>
        <v/>
      </c>
      <c r="N912" s="185" t="str">
        <f t="shared" si="5"/>
        <v/>
      </c>
    </row>
    <row r="913" ht="15.75" customHeight="1">
      <c r="A913" s="186"/>
      <c r="B913" s="187"/>
      <c r="C913" s="187"/>
      <c r="D913" s="188" t="str">
        <f>IF(C913="","",IFERROR(VLOOKUP(C913,Inventory!$A:$B,2,FALSE),""))</f>
        <v/>
      </c>
      <c r="E913" s="188" t="str">
        <f>IF(C913="","",IFERROR(VLOOKUP(C913,Inventory!$A:$C,3,FALSE),""))</f>
        <v/>
      </c>
      <c r="F913" s="187"/>
      <c r="G913" s="180" t="str">
        <f>IF(C913="","",IFERROR(VLOOKUP(C913,Inventory!$A:$I,9,FALSE),0))</f>
        <v/>
      </c>
      <c r="H913" s="189" t="str">
        <f t="shared" si="1"/>
        <v/>
      </c>
      <c r="I913" s="190" t="str">
        <f t="shared" si="2"/>
        <v/>
      </c>
      <c r="J913" s="191"/>
      <c r="K913" s="191" t="str">
        <f t="shared" si="3"/>
        <v/>
      </c>
      <c r="L913" s="187"/>
      <c r="M913" s="192" t="str">
        <f t="shared" si="4"/>
        <v/>
      </c>
      <c r="N913" s="185" t="str">
        <f t="shared" si="5"/>
        <v/>
      </c>
    </row>
    <row r="914" ht="15.75" customHeight="1">
      <c r="A914" s="186"/>
      <c r="B914" s="187"/>
      <c r="C914" s="187"/>
      <c r="D914" s="188" t="str">
        <f>IF(C914="","",IFERROR(VLOOKUP(C914,Inventory!$A:$B,2,FALSE),""))</f>
        <v/>
      </c>
      <c r="E914" s="188" t="str">
        <f>IF(C914="","",IFERROR(VLOOKUP(C914,Inventory!$A:$C,3,FALSE),""))</f>
        <v/>
      </c>
      <c r="F914" s="187"/>
      <c r="G914" s="180" t="str">
        <f>IF(C914="","",IFERROR(VLOOKUP(C914,Inventory!$A:$I,9,FALSE),0))</f>
        <v/>
      </c>
      <c r="H914" s="189" t="str">
        <f t="shared" si="1"/>
        <v/>
      </c>
      <c r="I914" s="190" t="str">
        <f t="shared" si="2"/>
        <v/>
      </c>
      <c r="J914" s="191"/>
      <c r="K914" s="191" t="str">
        <f t="shared" si="3"/>
        <v/>
      </c>
      <c r="L914" s="187"/>
      <c r="M914" s="192" t="str">
        <f t="shared" si="4"/>
        <v/>
      </c>
      <c r="N914" s="185" t="str">
        <f t="shared" si="5"/>
        <v/>
      </c>
    </row>
    <row r="915" ht="15.75" customHeight="1">
      <c r="A915" s="186"/>
      <c r="B915" s="187"/>
      <c r="C915" s="187"/>
      <c r="D915" s="188" t="str">
        <f>IF(C915="","",IFERROR(VLOOKUP(C915,Inventory!$A:$B,2,FALSE),""))</f>
        <v/>
      </c>
      <c r="E915" s="188" t="str">
        <f>IF(C915="","",IFERROR(VLOOKUP(C915,Inventory!$A:$C,3,FALSE),""))</f>
        <v/>
      </c>
      <c r="F915" s="187"/>
      <c r="G915" s="180" t="str">
        <f>IF(C915="","",IFERROR(VLOOKUP(C915,Inventory!$A:$I,9,FALSE),0))</f>
        <v/>
      </c>
      <c r="H915" s="189" t="str">
        <f t="shared" si="1"/>
        <v/>
      </c>
      <c r="I915" s="190" t="str">
        <f t="shared" si="2"/>
        <v/>
      </c>
      <c r="J915" s="191"/>
      <c r="K915" s="191" t="str">
        <f t="shared" si="3"/>
        <v/>
      </c>
      <c r="L915" s="187"/>
      <c r="M915" s="192" t="str">
        <f t="shared" si="4"/>
        <v/>
      </c>
      <c r="N915" s="185" t="str">
        <f t="shared" si="5"/>
        <v/>
      </c>
    </row>
    <row r="916" ht="15.75" customHeight="1">
      <c r="A916" s="186"/>
      <c r="B916" s="187"/>
      <c r="C916" s="187"/>
      <c r="D916" s="188" t="str">
        <f>IF(C916="","",IFERROR(VLOOKUP(C916,Inventory!$A:$B,2,FALSE),""))</f>
        <v/>
      </c>
      <c r="E916" s="188" t="str">
        <f>IF(C916="","",IFERROR(VLOOKUP(C916,Inventory!$A:$C,3,FALSE),""))</f>
        <v/>
      </c>
      <c r="F916" s="187"/>
      <c r="G916" s="180" t="str">
        <f>IF(C916="","",IFERROR(VLOOKUP(C916,Inventory!$A:$I,9,FALSE),0))</f>
        <v/>
      </c>
      <c r="H916" s="189" t="str">
        <f t="shared" si="1"/>
        <v/>
      </c>
      <c r="I916" s="190" t="str">
        <f t="shared" si="2"/>
        <v/>
      </c>
      <c r="J916" s="191"/>
      <c r="K916" s="191" t="str">
        <f t="shared" si="3"/>
        <v/>
      </c>
      <c r="L916" s="187"/>
      <c r="M916" s="192" t="str">
        <f t="shared" si="4"/>
        <v/>
      </c>
      <c r="N916" s="185" t="str">
        <f t="shared" si="5"/>
        <v/>
      </c>
    </row>
    <row r="917" ht="15.75" customHeight="1">
      <c r="A917" s="186"/>
      <c r="B917" s="187"/>
      <c r="C917" s="187"/>
      <c r="D917" s="188" t="str">
        <f>IF(C917="","",IFERROR(VLOOKUP(C917,Inventory!$A:$B,2,FALSE),""))</f>
        <v/>
      </c>
      <c r="E917" s="188" t="str">
        <f>IF(C917="","",IFERROR(VLOOKUP(C917,Inventory!$A:$C,3,FALSE),""))</f>
        <v/>
      </c>
      <c r="F917" s="187"/>
      <c r="G917" s="180" t="str">
        <f>IF(C917="","",IFERROR(VLOOKUP(C917,Inventory!$A:$I,9,FALSE),0))</f>
        <v/>
      </c>
      <c r="H917" s="189" t="str">
        <f t="shared" si="1"/>
        <v/>
      </c>
      <c r="I917" s="190" t="str">
        <f t="shared" si="2"/>
        <v/>
      </c>
      <c r="J917" s="191"/>
      <c r="K917" s="191" t="str">
        <f t="shared" si="3"/>
        <v/>
      </c>
      <c r="L917" s="187"/>
      <c r="M917" s="192" t="str">
        <f t="shared" si="4"/>
        <v/>
      </c>
      <c r="N917" s="185" t="str">
        <f t="shared" si="5"/>
        <v/>
      </c>
    </row>
    <row r="918" ht="15.75" customHeight="1">
      <c r="A918" s="186"/>
      <c r="B918" s="187"/>
      <c r="C918" s="187"/>
      <c r="D918" s="188" t="str">
        <f>IF(C918="","",IFERROR(VLOOKUP(C918,Inventory!$A:$B,2,FALSE),""))</f>
        <v/>
      </c>
      <c r="E918" s="188" t="str">
        <f>IF(C918="","",IFERROR(VLOOKUP(C918,Inventory!$A:$C,3,FALSE),""))</f>
        <v/>
      </c>
      <c r="F918" s="187"/>
      <c r="G918" s="180" t="str">
        <f>IF(C918="","",IFERROR(VLOOKUP(C918,Inventory!$A:$I,9,FALSE),0))</f>
        <v/>
      </c>
      <c r="H918" s="189" t="str">
        <f t="shared" si="1"/>
        <v/>
      </c>
      <c r="I918" s="190" t="str">
        <f t="shared" si="2"/>
        <v/>
      </c>
      <c r="J918" s="191"/>
      <c r="K918" s="191" t="str">
        <f t="shared" si="3"/>
        <v/>
      </c>
      <c r="L918" s="187"/>
      <c r="M918" s="192" t="str">
        <f t="shared" si="4"/>
        <v/>
      </c>
      <c r="N918" s="185" t="str">
        <f t="shared" si="5"/>
        <v/>
      </c>
    </row>
    <row r="919" ht="15.75" customHeight="1">
      <c r="A919" s="186"/>
      <c r="B919" s="187"/>
      <c r="C919" s="187"/>
      <c r="D919" s="188" t="str">
        <f>IF(C919="","",IFERROR(VLOOKUP(C919,Inventory!$A:$B,2,FALSE),""))</f>
        <v/>
      </c>
      <c r="E919" s="188" t="str">
        <f>IF(C919="","",IFERROR(VLOOKUP(C919,Inventory!$A:$C,3,FALSE),""))</f>
        <v/>
      </c>
      <c r="F919" s="187"/>
      <c r="G919" s="180" t="str">
        <f>IF(C919="","",IFERROR(VLOOKUP(C919,Inventory!$A:$I,9,FALSE),0))</f>
        <v/>
      </c>
      <c r="H919" s="189" t="str">
        <f t="shared" si="1"/>
        <v/>
      </c>
      <c r="I919" s="190" t="str">
        <f t="shared" si="2"/>
        <v/>
      </c>
      <c r="J919" s="191"/>
      <c r="K919" s="191" t="str">
        <f t="shared" si="3"/>
        <v/>
      </c>
      <c r="L919" s="187"/>
      <c r="M919" s="192" t="str">
        <f t="shared" si="4"/>
        <v/>
      </c>
      <c r="N919" s="185" t="str">
        <f t="shared" si="5"/>
        <v/>
      </c>
    </row>
    <row r="920" ht="15.75" customHeight="1">
      <c r="A920" s="186"/>
      <c r="B920" s="187"/>
      <c r="C920" s="187"/>
      <c r="D920" s="188" t="str">
        <f>IF(C920="","",IFERROR(VLOOKUP(C920,Inventory!$A:$B,2,FALSE),""))</f>
        <v/>
      </c>
      <c r="E920" s="188" t="str">
        <f>IF(C920="","",IFERROR(VLOOKUP(C920,Inventory!$A:$C,3,FALSE),""))</f>
        <v/>
      </c>
      <c r="F920" s="187"/>
      <c r="G920" s="180" t="str">
        <f>IF(C920="","",IFERROR(VLOOKUP(C920,Inventory!$A:$I,9,FALSE),0))</f>
        <v/>
      </c>
      <c r="H920" s="189" t="str">
        <f t="shared" si="1"/>
        <v/>
      </c>
      <c r="I920" s="190" t="str">
        <f t="shared" si="2"/>
        <v/>
      </c>
      <c r="J920" s="191"/>
      <c r="K920" s="191" t="str">
        <f t="shared" si="3"/>
        <v/>
      </c>
      <c r="L920" s="187"/>
      <c r="M920" s="192" t="str">
        <f t="shared" si="4"/>
        <v/>
      </c>
      <c r="N920" s="185" t="str">
        <f t="shared" si="5"/>
        <v/>
      </c>
    </row>
    <row r="921" ht="15.75" customHeight="1">
      <c r="A921" s="186"/>
      <c r="B921" s="187"/>
      <c r="C921" s="187"/>
      <c r="D921" s="188" t="str">
        <f>IF(C921="","",IFERROR(VLOOKUP(C921,Inventory!$A:$B,2,FALSE),""))</f>
        <v/>
      </c>
      <c r="E921" s="188" t="str">
        <f>IF(C921="","",IFERROR(VLOOKUP(C921,Inventory!$A:$C,3,FALSE),""))</f>
        <v/>
      </c>
      <c r="F921" s="187"/>
      <c r="G921" s="180" t="str">
        <f>IF(C921="","",IFERROR(VLOOKUP(C921,Inventory!$A:$I,9,FALSE),0))</f>
        <v/>
      </c>
      <c r="H921" s="189" t="str">
        <f t="shared" si="1"/>
        <v/>
      </c>
      <c r="I921" s="190" t="str">
        <f t="shared" si="2"/>
        <v/>
      </c>
      <c r="J921" s="191"/>
      <c r="K921" s="191" t="str">
        <f t="shared" si="3"/>
        <v/>
      </c>
      <c r="L921" s="187"/>
      <c r="M921" s="192" t="str">
        <f t="shared" si="4"/>
        <v/>
      </c>
      <c r="N921" s="185" t="str">
        <f t="shared" si="5"/>
        <v/>
      </c>
    </row>
    <row r="922" ht="15.75" customHeight="1">
      <c r="A922" s="186"/>
      <c r="B922" s="187"/>
      <c r="C922" s="187"/>
      <c r="D922" s="188" t="str">
        <f>IF(C922="","",IFERROR(VLOOKUP(C922,Inventory!$A:$B,2,FALSE),""))</f>
        <v/>
      </c>
      <c r="E922" s="188" t="str">
        <f>IF(C922="","",IFERROR(VLOOKUP(C922,Inventory!$A:$C,3,FALSE),""))</f>
        <v/>
      </c>
      <c r="F922" s="187"/>
      <c r="G922" s="180" t="str">
        <f>IF(C922="","",IFERROR(VLOOKUP(C922,Inventory!$A:$I,9,FALSE),0))</f>
        <v/>
      </c>
      <c r="H922" s="189" t="str">
        <f t="shared" si="1"/>
        <v/>
      </c>
      <c r="I922" s="190" t="str">
        <f t="shared" si="2"/>
        <v/>
      </c>
      <c r="J922" s="191"/>
      <c r="K922" s="191" t="str">
        <f t="shared" si="3"/>
        <v/>
      </c>
      <c r="L922" s="187"/>
      <c r="M922" s="192" t="str">
        <f t="shared" si="4"/>
        <v/>
      </c>
      <c r="N922" s="185" t="str">
        <f t="shared" si="5"/>
        <v/>
      </c>
    </row>
    <row r="923" ht="15.75" customHeight="1">
      <c r="A923" s="186"/>
      <c r="B923" s="187"/>
      <c r="C923" s="187"/>
      <c r="D923" s="188" t="str">
        <f>IF(C923="","",IFERROR(VLOOKUP(C923,Inventory!$A:$B,2,FALSE),""))</f>
        <v/>
      </c>
      <c r="E923" s="188" t="str">
        <f>IF(C923="","",IFERROR(VLOOKUP(C923,Inventory!$A:$C,3,FALSE),""))</f>
        <v/>
      </c>
      <c r="F923" s="187"/>
      <c r="G923" s="180" t="str">
        <f>IF(C923="","",IFERROR(VLOOKUP(C923,Inventory!$A:$I,9,FALSE),0))</f>
        <v/>
      </c>
      <c r="H923" s="189" t="str">
        <f t="shared" si="1"/>
        <v/>
      </c>
      <c r="I923" s="190" t="str">
        <f t="shared" si="2"/>
        <v/>
      </c>
      <c r="J923" s="191"/>
      <c r="K923" s="191" t="str">
        <f t="shared" si="3"/>
        <v/>
      </c>
      <c r="L923" s="187"/>
      <c r="M923" s="192" t="str">
        <f t="shared" si="4"/>
        <v/>
      </c>
      <c r="N923" s="185" t="str">
        <f t="shared" si="5"/>
        <v/>
      </c>
    </row>
    <row r="924" ht="15.75" customHeight="1">
      <c r="A924" s="186"/>
      <c r="B924" s="187"/>
      <c r="C924" s="187"/>
      <c r="D924" s="188" t="str">
        <f>IF(C924="","",IFERROR(VLOOKUP(C924,Inventory!$A:$B,2,FALSE),""))</f>
        <v/>
      </c>
      <c r="E924" s="188" t="str">
        <f>IF(C924="","",IFERROR(VLOOKUP(C924,Inventory!$A:$C,3,FALSE),""))</f>
        <v/>
      </c>
      <c r="F924" s="187"/>
      <c r="G924" s="180" t="str">
        <f>IF(C924="","",IFERROR(VLOOKUP(C924,Inventory!$A:$I,9,FALSE),0))</f>
        <v/>
      </c>
      <c r="H924" s="189" t="str">
        <f t="shared" si="1"/>
        <v/>
      </c>
      <c r="I924" s="190" t="str">
        <f t="shared" si="2"/>
        <v/>
      </c>
      <c r="J924" s="191"/>
      <c r="K924" s="191" t="str">
        <f t="shared" si="3"/>
        <v/>
      </c>
      <c r="L924" s="187"/>
      <c r="M924" s="192" t="str">
        <f t="shared" si="4"/>
        <v/>
      </c>
      <c r="N924" s="185" t="str">
        <f t="shared" si="5"/>
        <v/>
      </c>
    </row>
    <row r="925" ht="15.75" customHeight="1">
      <c r="A925" s="186"/>
      <c r="B925" s="187"/>
      <c r="C925" s="187"/>
      <c r="D925" s="188" t="str">
        <f>IF(C925="","",IFERROR(VLOOKUP(C925,Inventory!$A:$B,2,FALSE),""))</f>
        <v/>
      </c>
      <c r="E925" s="188" t="str">
        <f>IF(C925="","",IFERROR(VLOOKUP(C925,Inventory!$A:$C,3,FALSE),""))</f>
        <v/>
      </c>
      <c r="F925" s="187"/>
      <c r="G925" s="180" t="str">
        <f>IF(C925="","",IFERROR(VLOOKUP(C925,Inventory!$A:$I,9,FALSE),0))</f>
        <v/>
      </c>
      <c r="H925" s="189" t="str">
        <f t="shared" si="1"/>
        <v/>
      </c>
      <c r="I925" s="190" t="str">
        <f t="shared" si="2"/>
        <v/>
      </c>
      <c r="J925" s="191"/>
      <c r="K925" s="191" t="str">
        <f t="shared" si="3"/>
        <v/>
      </c>
      <c r="L925" s="187"/>
      <c r="M925" s="192" t="str">
        <f t="shared" si="4"/>
        <v/>
      </c>
      <c r="N925" s="185" t="str">
        <f t="shared" si="5"/>
        <v/>
      </c>
    </row>
    <row r="926" ht="15.75" customHeight="1">
      <c r="A926" s="186"/>
      <c r="B926" s="187"/>
      <c r="C926" s="187"/>
      <c r="D926" s="188" t="str">
        <f>IF(C926="","",IFERROR(VLOOKUP(C926,Inventory!$A:$B,2,FALSE),""))</f>
        <v/>
      </c>
      <c r="E926" s="188" t="str">
        <f>IF(C926="","",IFERROR(VLOOKUP(C926,Inventory!$A:$C,3,FALSE),""))</f>
        <v/>
      </c>
      <c r="F926" s="187"/>
      <c r="G926" s="180" t="str">
        <f>IF(C926="","",IFERROR(VLOOKUP(C926,Inventory!$A:$I,9,FALSE),0))</f>
        <v/>
      </c>
      <c r="H926" s="189" t="str">
        <f t="shared" si="1"/>
        <v/>
      </c>
      <c r="I926" s="190" t="str">
        <f t="shared" si="2"/>
        <v/>
      </c>
      <c r="J926" s="191"/>
      <c r="K926" s="191" t="str">
        <f t="shared" si="3"/>
        <v/>
      </c>
      <c r="L926" s="187"/>
      <c r="M926" s="192" t="str">
        <f t="shared" si="4"/>
        <v/>
      </c>
      <c r="N926" s="185" t="str">
        <f t="shared" si="5"/>
        <v/>
      </c>
    </row>
    <row r="927" ht="15.75" customHeight="1">
      <c r="A927" s="186"/>
      <c r="B927" s="187"/>
      <c r="C927" s="187"/>
      <c r="D927" s="188" t="str">
        <f>IF(C927="","",IFERROR(VLOOKUP(C927,Inventory!$A:$B,2,FALSE),""))</f>
        <v/>
      </c>
      <c r="E927" s="188" t="str">
        <f>IF(C927="","",IFERROR(VLOOKUP(C927,Inventory!$A:$C,3,FALSE),""))</f>
        <v/>
      </c>
      <c r="F927" s="187"/>
      <c r="G927" s="180" t="str">
        <f>IF(C927="","",IFERROR(VLOOKUP(C927,Inventory!$A:$I,9,FALSE),0))</f>
        <v/>
      </c>
      <c r="H927" s="189" t="str">
        <f t="shared" si="1"/>
        <v/>
      </c>
      <c r="I927" s="190" t="str">
        <f t="shared" si="2"/>
        <v/>
      </c>
      <c r="J927" s="191"/>
      <c r="K927" s="191" t="str">
        <f t="shared" si="3"/>
        <v/>
      </c>
      <c r="L927" s="187"/>
      <c r="M927" s="192" t="str">
        <f t="shared" si="4"/>
        <v/>
      </c>
      <c r="N927" s="185" t="str">
        <f t="shared" si="5"/>
        <v/>
      </c>
    </row>
    <row r="928" ht="15.75" customHeight="1">
      <c r="A928" s="186"/>
      <c r="B928" s="187"/>
      <c r="C928" s="187"/>
      <c r="D928" s="188" t="str">
        <f>IF(C928="","",IFERROR(VLOOKUP(C928,Inventory!$A:$B,2,FALSE),""))</f>
        <v/>
      </c>
      <c r="E928" s="188" t="str">
        <f>IF(C928="","",IFERROR(VLOOKUP(C928,Inventory!$A:$C,3,FALSE),""))</f>
        <v/>
      </c>
      <c r="F928" s="187"/>
      <c r="G928" s="180" t="str">
        <f>IF(C928="","",IFERROR(VLOOKUP(C928,Inventory!$A:$I,9,FALSE),0))</f>
        <v/>
      </c>
      <c r="H928" s="189" t="str">
        <f t="shared" si="1"/>
        <v/>
      </c>
      <c r="I928" s="190" t="str">
        <f t="shared" si="2"/>
        <v/>
      </c>
      <c r="J928" s="191"/>
      <c r="K928" s="191" t="str">
        <f t="shared" si="3"/>
        <v/>
      </c>
      <c r="L928" s="187"/>
      <c r="M928" s="192" t="str">
        <f t="shared" si="4"/>
        <v/>
      </c>
      <c r="N928" s="185" t="str">
        <f t="shared" si="5"/>
        <v/>
      </c>
    </row>
    <row r="929" ht="15.75" customHeight="1">
      <c r="A929" s="186"/>
      <c r="B929" s="187"/>
      <c r="C929" s="187"/>
      <c r="D929" s="188" t="str">
        <f>IF(C929="","",IFERROR(VLOOKUP(C929,Inventory!$A:$B,2,FALSE),""))</f>
        <v/>
      </c>
      <c r="E929" s="188" t="str">
        <f>IF(C929="","",IFERROR(VLOOKUP(C929,Inventory!$A:$C,3,FALSE),""))</f>
        <v/>
      </c>
      <c r="F929" s="187"/>
      <c r="G929" s="180" t="str">
        <f>IF(C929="","",IFERROR(VLOOKUP(C929,Inventory!$A:$I,9,FALSE),0))</f>
        <v/>
      </c>
      <c r="H929" s="189" t="str">
        <f t="shared" si="1"/>
        <v/>
      </c>
      <c r="I929" s="190" t="str">
        <f t="shared" si="2"/>
        <v/>
      </c>
      <c r="J929" s="191"/>
      <c r="K929" s="191" t="str">
        <f t="shared" si="3"/>
        <v/>
      </c>
      <c r="L929" s="187"/>
      <c r="M929" s="192" t="str">
        <f t="shared" si="4"/>
        <v/>
      </c>
      <c r="N929" s="185" t="str">
        <f t="shared" si="5"/>
        <v/>
      </c>
    </row>
    <row r="930" ht="15.75" customHeight="1">
      <c r="A930" s="186"/>
      <c r="B930" s="187"/>
      <c r="C930" s="187"/>
      <c r="D930" s="188" t="str">
        <f>IF(C930="","",IFERROR(VLOOKUP(C930,Inventory!$A:$B,2,FALSE),""))</f>
        <v/>
      </c>
      <c r="E930" s="188" t="str">
        <f>IF(C930="","",IFERROR(VLOOKUP(C930,Inventory!$A:$C,3,FALSE),""))</f>
        <v/>
      </c>
      <c r="F930" s="187"/>
      <c r="G930" s="180" t="str">
        <f>IF(C930="","",IFERROR(VLOOKUP(C930,Inventory!$A:$I,9,FALSE),0))</f>
        <v/>
      </c>
      <c r="H930" s="189" t="str">
        <f t="shared" si="1"/>
        <v/>
      </c>
      <c r="I930" s="190" t="str">
        <f t="shared" si="2"/>
        <v/>
      </c>
      <c r="J930" s="191"/>
      <c r="K930" s="191" t="str">
        <f t="shared" si="3"/>
        <v/>
      </c>
      <c r="L930" s="187"/>
      <c r="M930" s="192" t="str">
        <f t="shared" si="4"/>
        <v/>
      </c>
      <c r="N930" s="185" t="str">
        <f t="shared" si="5"/>
        <v/>
      </c>
    </row>
    <row r="931" ht="15.75" customHeight="1">
      <c r="A931" s="186"/>
      <c r="B931" s="187"/>
      <c r="C931" s="187"/>
      <c r="D931" s="188" t="str">
        <f>IF(C931="","",IFERROR(VLOOKUP(C931,Inventory!$A:$B,2,FALSE),""))</f>
        <v/>
      </c>
      <c r="E931" s="188" t="str">
        <f>IF(C931="","",IFERROR(VLOOKUP(C931,Inventory!$A:$C,3,FALSE),""))</f>
        <v/>
      </c>
      <c r="F931" s="187"/>
      <c r="G931" s="180" t="str">
        <f>IF(C931="","",IFERROR(VLOOKUP(C931,Inventory!$A:$I,9,FALSE),0))</f>
        <v/>
      </c>
      <c r="H931" s="189" t="str">
        <f t="shared" si="1"/>
        <v/>
      </c>
      <c r="I931" s="190" t="str">
        <f t="shared" si="2"/>
        <v/>
      </c>
      <c r="J931" s="191"/>
      <c r="K931" s="191" t="str">
        <f t="shared" si="3"/>
        <v/>
      </c>
      <c r="L931" s="187"/>
      <c r="M931" s="192" t="str">
        <f t="shared" si="4"/>
        <v/>
      </c>
      <c r="N931" s="185" t="str">
        <f t="shared" si="5"/>
        <v/>
      </c>
    </row>
    <row r="932" ht="15.75" customHeight="1">
      <c r="A932" s="186"/>
      <c r="B932" s="187"/>
      <c r="C932" s="187"/>
      <c r="D932" s="188" t="str">
        <f>IF(C932="","",IFERROR(VLOOKUP(C932,Inventory!$A:$B,2,FALSE),""))</f>
        <v/>
      </c>
      <c r="E932" s="188" t="str">
        <f>IF(C932="","",IFERROR(VLOOKUP(C932,Inventory!$A:$C,3,FALSE),""))</f>
        <v/>
      </c>
      <c r="F932" s="187"/>
      <c r="G932" s="180" t="str">
        <f>IF(C932="","",IFERROR(VLOOKUP(C932,Inventory!$A:$I,9,FALSE),0))</f>
        <v/>
      </c>
      <c r="H932" s="189" t="str">
        <f t="shared" si="1"/>
        <v/>
      </c>
      <c r="I932" s="190" t="str">
        <f t="shared" si="2"/>
        <v/>
      </c>
      <c r="J932" s="191"/>
      <c r="K932" s="191" t="str">
        <f t="shared" si="3"/>
        <v/>
      </c>
      <c r="L932" s="187"/>
      <c r="M932" s="192" t="str">
        <f t="shared" si="4"/>
        <v/>
      </c>
      <c r="N932" s="185" t="str">
        <f t="shared" si="5"/>
        <v/>
      </c>
    </row>
    <row r="933" ht="15.75" customHeight="1">
      <c r="A933" s="186"/>
      <c r="B933" s="187"/>
      <c r="C933" s="187"/>
      <c r="D933" s="188" t="str">
        <f>IF(C933="","",IFERROR(VLOOKUP(C933,Inventory!$A:$B,2,FALSE),""))</f>
        <v/>
      </c>
      <c r="E933" s="188" t="str">
        <f>IF(C933="","",IFERROR(VLOOKUP(C933,Inventory!$A:$C,3,FALSE),""))</f>
        <v/>
      </c>
      <c r="F933" s="187"/>
      <c r="G933" s="180" t="str">
        <f>IF(C933="","",IFERROR(VLOOKUP(C933,Inventory!$A:$I,9,FALSE),0))</f>
        <v/>
      </c>
      <c r="H933" s="189" t="str">
        <f t="shared" si="1"/>
        <v/>
      </c>
      <c r="I933" s="190" t="str">
        <f t="shared" si="2"/>
        <v/>
      </c>
      <c r="J933" s="191"/>
      <c r="K933" s="191" t="str">
        <f t="shared" si="3"/>
        <v/>
      </c>
      <c r="L933" s="187"/>
      <c r="M933" s="192" t="str">
        <f t="shared" si="4"/>
        <v/>
      </c>
      <c r="N933" s="185" t="str">
        <f t="shared" si="5"/>
        <v/>
      </c>
    </row>
    <row r="934" ht="15.75" customHeight="1">
      <c r="A934" s="186"/>
      <c r="B934" s="187"/>
      <c r="C934" s="187"/>
      <c r="D934" s="188" t="str">
        <f>IF(C934="","",IFERROR(VLOOKUP(C934,Inventory!$A:$B,2,FALSE),""))</f>
        <v/>
      </c>
      <c r="E934" s="188" t="str">
        <f>IF(C934="","",IFERROR(VLOOKUP(C934,Inventory!$A:$C,3,FALSE),""))</f>
        <v/>
      </c>
      <c r="F934" s="187"/>
      <c r="G934" s="180" t="str">
        <f>IF(C934="","",IFERROR(VLOOKUP(C934,Inventory!$A:$I,9,FALSE),0))</f>
        <v/>
      </c>
      <c r="H934" s="189" t="str">
        <f t="shared" si="1"/>
        <v/>
      </c>
      <c r="I934" s="190" t="str">
        <f t="shared" si="2"/>
        <v/>
      </c>
      <c r="J934" s="191"/>
      <c r="K934" s="191" t="str">
        <f t="shared" si="3"/>
        <v/>
      </c>
      <c r="L934" s="187"/>
      <c r="M934" s="192" t="str">
        <f t="shared" si="4"/>
        <v/>
      </c>
      <c r="N934" s="185" t="str">
        <f t="shared" si="5"/>
        <v/>
      </c>
    </row>
    <row r="935" ht="15.75" customHeight="1">
      <c r="A935" s="186"/>
      <c r="B935" s="187"/>
      <c r="C935" s="187"/>
      <c r="D935" s="188" t="str">
        <f>IF(C935="","",IFERROR(VLOOKUP(C935,Inventory!$A:$B,2,FALSE),""))</f>
        <v/>
      </c>
      <c r="E935" s="188" t="str">
        <f>IF(C935="","",IFERROR(VLOOKUP(C935,Inventory!$A:$C,3,FALSE),""))</f>
        <v/>
      </c>
      <c r="F935" s="187"/>
      <c r="G935" s="180" t="str">
        <f>IF(C935="","",IFERROR(VLOOKUP(C935,Inventory!$A:$I,9,FALSE),0))</f>
        <v/>
      </c>
      <c r="H935" s="189" t="str">
        <f t="shared" si="1"/>
        <v/>
      </c>
      <c r="I935" s="190" t="str">
        <f t="shared" si="2"/>
        <v/>
      </c>
      <c r="J935" s="191"/>
      <c r="K935" s="191" t="str">
        <f t="shared" si="3"/>
        <v/>
      </c>
      <c r="L935" s="187"/>
      <c r="M935" s="192" t="str">
        <f t="shared" si="4"/>
        <v/>
      </c>
      <c r="N935" s="185" t="str">
        <f t="shared" si="5"/>
        <v/>
      </c>
    </row>
    <row r="936" ht="15.75" customHeight="1">
      <c r="A936" s="186"/>
      <c r="B936" s="187"/>
      <c r="C936" s="187"/>
      <c r="D936" s="188" t="str">
        <f>IF(C936="","",IFERROR(VLOOKUP(C936,Inventory!$A:$B,2,FALSE),""))</f>
        <v/>
      </c>
      <c r="E936" s="188" t="str">
        <f>IF(C936="","",IFERROR(VLOOKUP(C936,Inventory!$A:$C,3,FALSE),""))</f>
        <v/>
      </c>
      <c r="F936" s="187"/>
      <c r="G936" s="180" t="str">
        <f>IF(C936="","",IFERROR(VLOOKUP(C936,Inventory!$A:$I,9,FALSE),0))</f>
        <v/>
      </c>
      <c r="H936" s="189" t="str">
        <f t="shared" si="1"/>
        <v/>
      </c>
      <c r="I936" s="190" t="str">
        <f t="shared" si="2"/>
        <v/>
      </c>
      <c r="J936" s="191"/>
      <c r="K936" s="191" t="str">
        <f t="shared" si="3"/>
        <v/>
      </c>
      <c r="L936" s="187"/>
      <c r="M936" s="192" t="str">
        <f t="shared" si="4"/>
        <v/>
      </c>
      <c r="N936" s="185" t="str">
        <f t="shared" si="5"/>
        <v/>
      </c>
    </row>
    <row r="937" ht="15.75" customHeight="1">
      <c r="A937" s="186"/>
      <c r="B937" s="187"/>
      <c r="C937" s="187"/>
      <c r="D937" s="188" t="str">
        <f>IF(C937="","",IFERROR(VLOOKUP(C937,Inventory!$A:$B,2,FALSE),""))</f>
        <v/>
      </c>
      <c r="E937" s="188" t="str">
        <f>IF(C937="","",IFERROR(VLOOKUP(C937,Inventory!$A:$C,3,FALSE),""))</f>
        <v/>
      </c>
      <c r="F937" s="187"/>
      <c r="G937" s="180" t="str">
        <f>IF(C937="","",IFERROR(VLOOKUP(C937,Inventory!$A:$I,9,FALSE),0))</f>
        <v/>
      </c>
      <c r="H937" s="189" t="str">
        <f t="shared" si="1"/>
        <v/>
      </c>
      <c r="I937" s="190" t="str">
        <f t="shared" si="2"/>
        <v/>
      </c>
      <c r="J937" s="191"/>
      <c r="K937" s="191" t="str">
        <f t="shared" si="3"/>
        <v/>
      </c>
      <c r="L937" s="187"/>
      <c r="M937" s="192" t="str">
        <f t="shared" si="4"/>
        <v/>
      </c>
      <c r="N937" s="185" t="str">
        <f t="shared" si="5"/>
        <v/>
      </c>
    </row>
    <row r="938" ht="15.75" customHeight="1">
      <c r="A938" s="186"/>
      <c r="B938" s="187"/>
      <c r="C938" s="187"/>
      <c r="D938" s="188" t="str">
        <f>IF(C938="","",IFERROR(VLOOKUP(C938,Inventory!$A:$B,2,FALSE),""))</f>
        <v/>
      </c>
      <c r="E938" s="188" t="str">
        <f>IF(C938="","",IFERROR(VLOOKUP(C938,Inventory!$A:$C,3,FALSE),""))</f>
        <v/>
      </c>
      <c r="F938" s="187"/>
      <c r="G938" s="180" t="str">
        <f>IF(C938="","",IFERROR(VLOOKUP(C938,Inventory!$A:$I,9,FALSE),0))</f>
        <v/>
      </c>
      <c r="H938" s="189" t="str">
        <f t="shared" si="1"/>
        <v/>
      </c>
      <c r="I938" s="190" t="str">
        <f t="shared" si="2"/>
        <v/>
      </c>
      <c r="J938" s="191"/>
      <c r="K938" s="191" t="str">
        <f t="shared" si="3"/>
        <v/>
      </c>
      <c r="L938" s="187"/>
      <c r="M938" s="192" t="str">
        <f t="shared" si="4"/>
        <v/>
      </c>
      <c r="N938" s="185" t="str">
        <f t="shared" si="5"/>
        <v/>
      </c>
    </row>
    <row r="939" ht="15.75" customHeight="1">
      <c r="A939" s="186"/>
      <c r="B939" s="187"/>
      <c r="C939" s="187"/>
      <c r="D939" s="188" t="str">
        <f>IF(C939="","",IFERROR(VLOOKUP(C939,Inventory!$A:$B,2,FALSE),""))</f>
        <v/>
      </c>
      <c r="E939" s="188" t="str">
        <f>IF(C939="","",IFERROR(VLOOKUP(C939,Inventory!$A:$C,3,FALSE),""))</f>
        <v/>
      </c>
      <c r="F939" s="187"/>
      <c r="G939" s="180" t="str">
        <f>IF(C939="","",IFERROR(VLOOKUP(C939,Inventory!$A:$I,9,FALSE),0))</f>
        <v/>
      </c>
      <c r="H939" s="189" t="str">
        <f t="shared" si="1"/>
        <v/>
      </c>
      <c r="I939" s="190" t="str">
        <f t="shared" si="2"/>
        <v/>
      </c>
      <c r="J939" s="191"/>
      <c r="K939" s="191" t="str">
        <f t="shared" si="3"/>
        <v/>
      </c>
      <c r="L939" s="187"/>
      <c r="M939" s="192" t="str">
        <f t="shared" si="4"/>
        <v/>
      </c>
      <c r="N939" s="185" t="str">
        <f t="shared" si="5"/>
        <v/>
      </c>
    </row>
    <row r="940" ht="15.75" customHeight="1">
      <c r="A940" s="186"/>
      <c r="B940" s="187"/>
      <c r="C940" s="187"/>
      <c r="D940" s="188" t="str">
        <f>IF(C940="","",IFERROR(VLOOKUP(C940,Inventory!$A:$B,2,FALSE),""))</f>
        <v/>
      </c>
      <c r="E940" s="188" t="str">
        <f>IF(C940="","",IFERROR(VLOOKUP(C940,Inventory!$A:$C,3,FALSE),""))</f>
        <v/>
      </c>
      <c r="F940" s="187"/>
      <c r="G940" s="180" t="str">
        <f>IF(C940="","",IFERROR(VLOOKUP(C940,Inventory!$A:$I,9,FALSE),0))</f>
        <v/>
      </c>
      <c r="H940" s="189" t="str">
        <f t="shared" si="1"/>
        <v/>
      </c>
      <c r="I940" s="190" t="str">
        <f t="shared" si="2"/>
        <v/>
      </c>
      <c r="J940" s="191"/>
      <c r="K940" s="191" t="str">
        <f t="shared" si="3"/>
        <v/>
      </c>
      <c r="L940" s="187"/>
      <c r="M940" s="192" t="str">
        <f t="shared" si="4"/>
        <v/>
      </c>
      <c r="N940" s="185" t="str">
        <f t="shared" si="5"/>
        <v/>
      </c>
    </row>
    <row r="941" ht="15.75" customHeight="1">
      <c r="A941" s="186"/>
      <c r="B941" s="187"/>
      <c r="C941" s="187"/>
      <c r="D941" s="188" t="str">
        <f>IF(C941="","",IFERROR(VLOOKUP(C941,Inventory!$A:$B,2,FALSE),""))</f>
        <v/>
      </c>
      <c r="E941" s="188" t="str">
        <f>IF(C941="","",IFERROR(VLOOKUP(C941,Inventory!$A:$C,3,FALSE),""))</f>
        <v/>
      </c>
      <c r="F941" s="187"/>
      <c r="G941" s="180" t="str">
        <f>IF(C941="","",IFERROR(VLOOKUP(C941,Inventory!$A:$I,9,FALSE),0))</f>
        <v/>
      </c>
      <c r="H941" s="189" t="str">
        <f t="shared" si="1"/>
        <v/>
      </c>
      <c r="I941" s="190" t="str">
        <f t="shared" si="2"/>
        <v/>
      </c>
      <c r="J941" s="191"/>
      <c r="K941" s="191" t="str">
        <f t="shared" si="3"/>
        <v/>
      </c>
      <c r="L941" s="187"/>
      <c r="M941" s="192" t="str">
        <f t="shared" si="4"/>
        <v/>
      </c>
      <c r="N941" s="185" t="str">
        <f t="shared" si="5"/>
        <v/>
      </c>
    </row>
    <row r="942" ht="15.75" customHeight="1">
      <c r="A942" s="186"/>
      <c r="B942" s="187"/>
      <c r="C942" s="187"/>
      <c r="D942" s="188" t="str">
        <f>IF(C942="","",IFERROR(VLOOKUP(C942,Inventory!$A:$B,2,FALSE),""))</f>
        <v/>
      </c>
      <c r="E942" s="188" t="str">
        <f>IF(C942="","",IFERROR(VLOOKUP(C942,Inventory!$A:$C,3,FALSE),""))</f>
        <v/>
      </c>
      <c r="F942" s="187"/>
      <c r="G942" s="180" t="str">
        <f>IF(C942="","",IFERROR(VLOOKUP(C942,Inventory!$A:$I,9,FALSE),0))</f>
        <v/>
      </c>
      <c r="H942" s="189" t="str">
        <f t="shared" si="1"/>
        <v/>
      </c>
      <c r="I942" s="190" t="str">
        <f t="shared" si="2"/>
        <v/>
      </c>
      <c r="J942" s="191"/>
      <c r="K942" s="191" t="str">
        <f t="shared" si="3"/>
        <v/>
      </c>
      <c r="L942" s="187"/>
      <c r="M942" s="192" t="str">
        <f t="shared" si="4"/>
        <v/>
      </c>
      <c r="N942" s="185" t="str">
        <f t="shared" si="5"/>
        <v/>
      </c>
    </row>
    <row r="943" ht="15.75" customHeight="1">
      <c r="A943" s="186"/>
      <c r="B943" s="187"/>
      <c r="C943" s="187"/>
      <c r="D943" s="188" t="str">
        <f>IF(C943="","",IFERROR(VLOOKUP(C943,Inventory!$A:$B,2,FALSE),""))</f>
        <v/>
      </c>
      <c r="E943" s="188" t="str">
        <f>IF(C943="","",IFERROR(VLOOKUP(C943,Inventory!$A:$C,3,FALSE),""))</f>
        <v/>
      </c>
      <c r="F943" s="187"/>
      <c r="G943" s="180" t="str">
        <f>IF(C943="","",IFERROR(VLOOKUP(C943,Inventory!$A:$I,9,FALSE),0))</f>
        <v/>
      </c>
      <c r="H943" s="189" t="str">
        <f t="shared" si="1"/>
        <v/>
      </c>
      <c r="I943" s="190" t="str">
        <f t="shared" si="2"/>
        <v/>
      </c>
      <c r="J943" s="191"/>
      <c r="K943" s="191" t="str">
        <f t="shared" si="3"/>
        <v/>
      </c>
      <c r="L943" s="187"/>
      <c r="M943" s="192" t="str">
        <f t="shared" si="4"/>
        <v/>
      </c>
      <c r="N943" s="185" t="str">
        <f t="shared" si="5"/>
        <v/>
      </c>
    </row>
    <row r="944" ht="15.75" customHeight="1">
      <c r="A944" s="186"/>
      <c r="B944" s="187"/>
      <c r="C944" s="187"/>
      <c r="D944" s="188" t="str">
        <f>IF(C944="","",IFERROR(VLOOKUP(C944,Inventory!$A:$B,2,FALSE),""))</f>
        <v/>
      </c>
      <c r="E944" s="188" t="str">
        <f>IF(C944="","",IFERROR(VLOOKUP(C944,Inventory!$A:$C,3,FALSE),""))</f>
        <v/>
      </c>
      <c r="F944" s="187"/>
      <c r="G944" s="180" t="str">
        <f>IF(C944="","",IFERROR(VLOOKUP(C944,Inventory!$A:$I,9,FALSE),0))</f>
        <v/>
      </c>
      <c r="H944" s="189" t="str">
        <f t="shared" si="1"/>
        <v/>
      </c>
      <c r="I944" s="190" t="str">
        <f t="shared" si="2"/>
        <v/>
      </c>
      <c r="J944" s="191"/>
      <c r="K944" s="191" t="str">
        <f t="shared" si="3"/>
        <v/>
      </c>
      <c r="L944" s="187"/>
      <c r="M944" s="192" t="str">
        <f t="shared" si="4"/>
        <v/>
      </c>
      <c r="N944" s="185" t="str">
        <f t="shared" si="5"/>
        <v/>
      </c>
    </row>
    <row r="945" ht="15.75" customHeight="1">
      <c r="A945" s="186"/>
      <c r="B945" s="187"/>
      <c r="C945" s="187"/>
      <c r="D945" s="188" t="str">
        <f>IF(C945="","",IFERROR(VLOOKUP(C945,Inventory!$A:$B,2,FALSE),""))</f>
        <v/>
      </c>
      <c r="E945" s="188" t="str">
        <f>IF(C945="","",IFERROR(VLOOKUP(C945,Inventory!$A:$C,3,FALSE),""))</f>
        <v/>
      </c>
      <c r="F945" s="187"/>
      <c r="G945" s="180" t="str">
        <f>IF(C945="","",IFERROR(VLOOKUP(C945,Inventory!$A:$I,9,FALSE),0))</f>
        <v/>
      </c>
      <c r="H945" s="189" t="str">
        <f t="shared" si="1"/>
        <v/>
      </c>
      <c r="I945" s="190" t="str">
        <f t="shared" si="2"/>
        <v/>
      </c>
      <c r="J945" s="191"/>
      <c r="K945" s="191" t="str">
        <f t="shared" si="3"/>
        <v/>
      </c>
      <c r="L945" s="187"/>
      <c r="M945" s="192" t="str">
        <f t="shared" si="4"/>
        <v/>
      </c>
      <c r="N945" s="185" t="str">
        <f t="shared" si="5"/>
        <v/>
      </c>
    </row>
    <row r="946" ht="15.75" customHeight="1">
      <c r="A946" s="186"/>
      <c r="B946" s="187"/>
      <c r="C946" s="187"/>
      <c r="D946" s="188" t="str">
        <f>IF(C946="","",IFERROR(VLOOKUP(C946,Inventory!$A:$B,2,FALSE),""))</f>
        <v/>
      </c>
      <c r="E946" s="188" t="str">
        <f>IF(C946="","",IFERROR(VLOOKUP(C946,Inventory!$A:$C,3,FALSE),""))</f>
        <v/>
      </c>
      <c r="F946" s="187"/>
      <c r="G946" s="180" t="str">
        <f>IF(C946="","",IFERROR(VLOOKUP(C946,Inventory!$A:$I,9,FALSE),0))</f>
        <v/>
      </c>
      <c r="H946" s="189" t="str">
        <f t="shared" si="1"/>
        <v/>
      </c>
      <c r="I946" s="190" t="str">
        <f t="shared" si="2"/>
        <v/>
      </c>
      <c r="J946" s="191"/>
      <c r="K946" s="191" t="str">
        <f t="shared" si="3"/>
        <v/>
      </c>
      <c r="L946" s="187"/>
      <c r="M946" s="192" t="str">
        <f t="shared" si="4"/>
        <v/>
      </c>
      <c r="N946" s="185" t="str">
        <f t="shared" si="5"/>
        <v/>
      </c>
    </row>
    <row r="947" ht="15.75" customHeight="1">
      <c r="A947" s="186"/>
      <c r="B947" s="187"/>
      <c r="C947" s="187"/>
      <c r="D947" s="188" t="str">
        <f>IF(C947="","",IFERROR(VLOOKUP(C947,Inventory!$A:$B,2,FALSE),""))</f>
        <v/>
      </c>
      <c r="E947" s="188" t="str">
        <f>IF(C947="","",IFERROR(VLOOKUP(C947,Inventory!$A:$C,3,FALSE),""))</f>
        <v/>
      </c>
      <c r="F947" s="187"/>
      <c r="G947" s="180" t="str">
        <f>IF(C947="","",IFERROR(VLOOKUP(C947,Inventory!$A:$I,9,FALSE),0))</f>
        <v/>
      </c>
      <c r="H947" s="189" t="str">
        <f t="shared" si="1"/>
        <v/>
      </c>
      <c r="I947" s="190" t="str">
        <f t="shared" si="2"/>
        <v/>
      </c>
      <c r="J947" s="191"/>
      <c r="K947" s="191" t="str">
        <f t="shared" si="3"/>
        <v/>
      </c>
      <c r="L947" s="187"/>
      <c r="M947" s="192" t="str">
        <f t="shared" si="4"/>
        <v/>
      </c>
      <c r="N947" s="185" t="str">
        <f t="shared" si="5"/>
        <v/>
      </c>
    </row>
    <row r="948" ht="15.75" customHeight="1">
      <c r="A948" s="186"/>
      <c r="B948" s="187"/>
      <c r="C948" s="187"/>
      <c r="D948" s="188" t="str">
        <f>IF(C948="","",IFERROR(VLOOKUP(C948,Inventory!$A:$B,2,FALSE),""))</f>
        <v/>
      </c>
      <c r="E948" s="188" t="str">
        <f>IF(C948="","",IFERROR(VLOOKUP(C948,Inventory!$A:$C,3,FALSE),""))</f>
        <v/>
      </c>
      <c r="F948" s="187"/>
      <c r="G948" s="180" t="str">
        <f>IF(C948="","",IFERROR(VLOOKUP(C948,Inventory!$A:$I,9,FALSE),0))</f>
        <v/>
      </c>
      <c r="H948" s="189" t="str">
        <f t="shared" si="1"/>
        <v/>
      </c>
      <c r="I948" s="190" t="str">
        <f t="shared" si="2"/>
        <v/>
      </c>
      <c r="J948" s="191"/>
      <c r="K948" s="191" t="str">
        <f t="shared" si="3"/>
        <v/>
      </c>
      <c r="L948" s="187"/>
      <c r="M948" s="192" t="str">
        <f t="shared" si="4"/>
        <v/>
      </c>
      <c r="N948" s="185" t="str">
        <f t="shared" si="5"/>
        <v/>
      </c>
    </row>
    <row r="949" ht="15.75" customHeight="1">
      <c r="A949" s="186"/>
      <c r="B949" s="187"/>
      <c r="C949" s="187"/>
      <c r="D949" s="188" t="str">
        <f>IF(C949="","",IFERROR(VLOOKUP(C949,Inventory!$A:$B,2,FALSE),""))</f>
        <v/>
      </c>
      <c r="E949" s="188" t="str">
        <f>IF(C949="","",IFERROR(VLOOKUP(C949,Inventory!$A:$C,3,FALSE),""))</f>
        <v/>
      </c>
      <c r="F949" s="187"/>
      <c r="G949" s="180" t="str">
        <f>IF(C949="","",IFERROR(VLOOKUP(C949,Inventory!$A:$I,9,FALSE),0))</f>
        <v/>
      </c>
      <c r="H949" s="189" t="str">
        <f t="shared" si="1"/>
        <v/>
      </c>
      <c r="I949" s="190" t="str">
        <f t="shared" si="2"/>
        <v/>
      </c>
      <c r="J949" s="191"/>
      <c r="K949" s="191" t="str">
        <f t="shared" si="3"/>
        <v/>
      </c>
      <c r="L949" s="187"/>
      <c r="M949" s="192" t="str">
        <f t="shared" si="4"/>
        <v/>
      </c>
      <c r="N949" s="185" t="str">
        <f t="shared" si="5"/>
        <v/>
      </c>
    </row>
    <row r="950" ht="15.75" customHeight="1">
      <c r="A950" s="186"/>
      <c r="B950" s="187"/>
      <c r="C950" s="187"/>
      <c r="D950" s="188" t="str">
        <f>IF(C950="","",IFERROR(VLOOKUP(C950,Inventory!$A:$B,2,FALSE),""))</f>
        <v/>
      </c>
      <c r="E950" s="188" t="str">
        <f>IF(C950="","",IFERROR(VLOOKUP(C950,Inventory!$A:$C,3,FALSE),""))</f>
        <v/>
      </c>
      <c r="F950" s="187"/>
      <c r="G950" s="180" t="str">
        <f>IF(C950="","",IFERROR(VLOOKUP(C950,Inventory!$A:$I,9,FALSE),0))</f>
        <v/>
      </c>
      <c r="H950" s="189" t="str">
        <f t="shared" si="1"/>
        <v/>
      </c>
      <c r="I950" s="190" t="str">
        <f t="shared" si="2"/>
        <v/>
      </c>
      <c r="J950" s="191"/>
      <c r="K950" s="191" t="str">
        <f t="shared" si="3"/>
        <v/>
      </c>
      <c r="L950" s="187"/>
      <c r="M950" s="192" t="str">
        <f t="shared" si="4"/>
        <v/>
      </c>
      <c r="N950" s="185" t="str">
        <f t="shared" si="5"/>
        <v/>
      </c>
    </row>
    <row r="951" ht="15.75" customHeight="1">
      <c r="A951" s="186"/>
      <c r="B951" s="187"/>
      <c r="C951" s="187"/>
      <c r="D951" s="188" t="str">
        <f>IF(C951="","",IFERROR(VLOOKUP(C951,Inventory!$A:$B,2,FALSE),""))</f>
        <v/>
      </c>
      <c r="E951" s="188" t="str">
        <f>IF(C951="","",IFERROR(VLOOKUP(C951,Inventory!$A:$C,3,FALSE),""))</f>
        <v/>
      </c>
      <c r="F951" s="187"/>
      <c r="G951" s="180" t="str">
        <f>IF(C951="","",IFERROR(VLOOKUP(C951,Inventory!$A:$I,9,FALSE),0))</f>
        <v/>
      </c>
      <c r="H951" s="189" t="str">
        <f t="shared" si="1"/>
        <v/>
      </c>
      <c r="I951" s="190" t="str">
        <f t="shared" si="2"/>
        <v/>
      </c>
      <c r="J951" s="191"/>
      <c r="K951" s="191" t="str">
        <f t="shared" si="3"/>
        <v/>
      </c>
      <c r="L951" s="187"/>
      <c r="M951" s="192" t="str">
        <f t="shared" si="4"/>
        <v/>
      </c>
      <c r="N951" s="185" t="str">
        <f t="shared" si="5"/>
        <v/>
      </c>
    </row>
    <row r="952" ht="15.75" customHeight="1">
      <c r="A952" s="186"/>
      <c r="B952" s="187"/>
      <c r="C952" s="187"/>
      <c r="D952" s="188" t="str">
        <f>IF(C952="","",IFERROR(VLOOKUP(C952,Inventory!$A:$B,2,FALSE),""))</f>
        <v/>
      </c>
      <c r="E952" s="188" t="str">
        <f>IF(C952="","",IFERROR(VLOOKUP(C952,Inventory!$A:$C,3,FALSE),""))</f>
        <v/>
      </c>
      <c r="F952" s="187"/>
      <c r="G952" s="180" t="str">
        <f>IF(C952="","",IFERROR(VLOOKUP(C952,Inventory!$A:$I,9,FALSE),0))</f>
        <v/>
      </c>
      <c r="H952" s="189" t="str">
        <f t="shared" si="1"/>
        <v/>
      </c>
      <c r="I952" s="190" t="str">
        <f t="shared" si="2"/>
        <v/>
      </c>
      <c r="J952" s="191"/>
      <c r="K952" s="191" t="str">
        <f t="shared" si="3"/>
        <v/>
      </c>
      <c r="L952" s="187"/>
      <c r="M952" s="192" t="str">
        <f t="shared" si="4"/>
        <v/>
      </c>
      <c r="N952" s="185" t="str">
        <f t="shared" si="5"/>
        <v/>
      </c>
    </row>
    <row r="953" ht="15.75" customHeight="1">
      <c r="A953" s="186"/>
      <c r="B953" s="187"/>
      <c r="C953" s="187"/>
      <c r="D953" s="188" t="str">
        <f>IF(C953="","",IFERROR(VLOOKUP(C953,Inventory!$A:$B,2,FALSE),""))</f>
        <v/>
      </c>
      <c r="E953" s="188" t="str">
        <f>IF(C953="","",IFERROR(VLOOKUP(C953,Inventory!$A:$C,3,FALSE),""))</f>
        <v/>
      </c>
      <c r="F953" s="187"/>
      <c r="G953" s="180" t="str">
        <f>IF(C953="","",IFERROR(VLOOKUP(C953,Inventory!$A:$I,9,FALSE),0))</f>
        <v/>
      </c>
      <c r="H953" s="189" t="str">
        <f t="shared" si="1"/>
        <v/>
      </c>
      <c r="I953" s="190" t="str">
        <f t="shared" si="2"/>
        <v/>
      </c>
      <c r="J953" s="191"/>
      <c r="K953" s="191" t="str">
        <f t="shared" si="3"/>
        <v/>
      </c>
      <c r="L953" s="187"/>
      <c r="M953" s="192" t="str">
        <f t="shared" si="4"/>
        <v/>
      </c>
      <c r="N953" s="185" t="str">
        <f t="shared" si="5"/>
        <v/>
      </c>
    </row>
    <row r="954" ht="15.75" customHeight="1">
      <c r="A954" s="186"/>
      <c r="B954" s="187"/>
      <c r="C954" s="187"/>
      <c r="D954" s="188" t="str">
        <f>IF(C954="","",IFERROR(VLOOKUP(C954,Inventory!$A:$B,2,FALSE),""))</f>
        <v/>
      </c>
      <c r="E954" s="188" t="str">
        <f>IF(C954="","",IFERROR(VLOOKUP(C954,Inventory!$A:$C,3,FALSE),""))</f>
        <v/>
      </c>
      <c r="F954" s="187"/>
      <c r="G954" s="180" t="str">
        <f>IF(C954="","",IFERROR(VLOOKUP(C954,Inventory!$A:$I,9,FALSE),0))</f>
        <v/>
      </c>
      <c r="H954" s="189" t="str">
        <f t="shared" si="1"/>
        <v/>
      </c>
      <c r="I954" s="190" t="str">
        <f t="shared" si="2"/>
        <v/>
      </c>
      <c r="J954" s="191"/>
      <c r="K954" s="191" t="str">
        <f t="shared" si="3"/>
        <v/>
      </c>
      <c r="L954" s="187"/>
      <c r="M954" s="192" t="str">
        <f t="shared" si="4"/>
        <v/>
      </c>
      <c r="N954" s="185" t="str">
        <f t="shared" si="5"/>
        <v/>
      </c>
    </row>
    <row r="955" ht="15.75" customHeight="1">
      <c r="A955" s="186"/>
      <c r="B955" s="187"/>
      <c r="C955" s="187"/>
      <c r="D955" s="188" t="str">
        <f>IF(C955="","",IFERROR(VLOOKUP(C955,Inventory!$A:$B,2,FALSE),""))</f>
        <v/>
      </c>
      <c r="E955" s="188" t="str">
        <f>IF(C955="","",IFERROR(VLOOKUP(C955,Inventory!$A:$C,3,FALSE),""))</f>
        <v/>
      </c>
      <c r="F955" s="187"/>
      <c r="G955" s="180" t="str">
        <f>IF(C955="","",IFERROR(VLOOKUP(C955,Inventory!$A:$I,9,FALSE),0))</f>
        <v/>
      </c>
      <c r="H955" s="189" t="str">
        <f t="shared" si="1"/>
        <v/>
      </c>
      <c r="I955" s="190" t="str">
        <f t="shared" si="2"/>
        <v/>
      </c>
      <c r="J955" s="191"/>
      <c r="K955" s="191" t="str">
        <f t="shared" si="3"/>
        <v/>
      </c>
      <c r="L955" s="187"/>
      <c r="M955" s="192" t="str">
        <f t="shared" si="4"/>
        <v/>
      </c>
      <c r="N955" s="185" t="str">
        <f t="shared" si="5"/>
        <v/>
      </c>
    </row>
    <row r="956" ht="15.75" customHeight="1">
      <c r="A956" s="186"/>
      <c r="B956" s="187"/>
      <c r="C956" s="187"/>
      <c r="D956" s="188" t="str">
        <f>IF(C956="","",IFERROR(VLOOKUP(C956,Inventory!$A:$B,2,FALSE),""))</f>
        <v/>
      </c>
      <c r="E956" s="188" t="str">
        <f>IF(C956="","",IFERROR(VLOOKUP(C956,Inventory!$A:$C,3,FALSE),""))</f>
        <v/>
      </c>
      <c r="F956" s="187"/>
      <c r="G956" s="180" t="str">
        <f>IF(C956="","",IFERROR(VLOOKUP(C956,Inventory!$A:$I,9,FALSE),0))</f>
        <v/>
      </c>
      <c r="H956" s="189" t="str">
        <f t="shared" si="1"/>
        <v/>
      </c>
      <c r="I956" s="190" t="str">
        <f t="shared" si="2"/>
        <v/>
      </c>
      <c r="J956" s="191"/>
      <c r="K956" s="191" t="str">
        <f t="shared" si="3"/>
        <v/>
      </c>
      <c r="L956" s="187"/>
      <c r="M956" s="192" t="str">
        <f t="shared" si="4"/>
        <v/>
      </c>
      <c r="N956" s="185" t="str">
        <f t="shared" si="5"/>
        <v/>
      </c>
    </row>
    <row r="957" ht="15.75" customHeight="1">
      <c r="A957" s="186"/>
      <c r="B957" s="187"/>
      <c r="C957" s="187"/>
      <c r="D957" s="188" t="str">
        <f>IF(C957="","",IFERROR(VLOOKUP(C957,Inventory!$A:$B,2,FALSE),""))</f>
        <v/>
      </c>
      <c r="E957" s="188" t="str">
        <f>IF(C957="","",IFERROR(VLOOKUP(C957,Inventory!$A:$C,3,FALSE),""))</f>
        <v/>
      </c>
      <c r="F957" s="187"/>
      <c r="G957" s="180" t="str">
        <f>IF(C957="","",IFERROR(VLOOKUP(C957,Inventory!$A:$I,9,FALSE),0))</f>
        <v/>
      </c>
      <c r="H957" s="189" t="str">
        <f t="shared" si="1"/>
        <v/>
      </c>
      <c r="I957" s="190" t="str">
        <f t="shared" si="2"/>
        <v/>
      </c>
      <c r="J957" s="191"/>
      <c r="K957" s="191" t="str">
        <f t="shared" si="3"/>
        <v/>
      </c>
      <c r="L957" s="187"/>
      <c r="M957" s="192" t="str">
        <f t="shared" si="4"/>
        <v/>
      </c>
      <c r="N957" s="185" t="str">
        <f t="shared" si="5"/>
        <v/>
      </c>
    </row>
    <row r="958" ht="15.75" customHeight="1">
      <c r="A958" s="186"/>
      <c r="B958" s="187"/>
      <c r="C958" s="187"/>
      <c r="D958" s="188" t="str">
        <f>IF(C958="","",IFERROR(VLOOKUP(C958,Inventory!$A:$B,2,FALSE),""))</f>
        <v/>
      </c>
      <c r="E958" s="188" t="str">
        <f>IF(C958="","",IFERROR(VLOOKUP(C958,Inventory!$A:$C,3,FALSE),""))</f>
        <v/>
      </c>
      <c r="F958" s="187"/>
      <c r="G958" s="180" t="str">
        <f>IF(C958="","",IFERROR(VLOOKUP(C958,Inventory!$A:$I,9,FALSE),0))</f>
        <v/>
      </c>
      <c r="H958" s="189" t="str">
        <f t="shared" si="1"/>
        <v/>
      </c>
      <c r="I958" s="190" t="str">
        <f t="shared" si="2"/>
        <v/>
      </c>
      <c r="J958" s="191"/>
      <c r="K958" s="191" t="str">
        <f t="shared" si="3"/>
        <v/>
      </c>
      <c r="L958" s="187"/>
      <c r="M958" s="192" t="str">
        <f t="shared" si="4"/>
        <v/>
      </c>
      <c r="N958" s="185" t="str">
        <f t="shared" si="5"/>
        <v/>
      </c>
    </row>
    <row r="959" ht="15.75" customHeight="1">
      <c r="A959" s="186"/>
      <c r="B959" s="187"/>
      <c r="C959" s="187"/>
      <c r="D959" s="188" t="str">
        <f>IF(C959="","",IFERROR(VLOOKUP(C959,Inventory!$A:$B,2,FALSE),""))</f>
        <v/>
      </c>
      <c r="E959" s="188" t="str">
        <f>IF(C959="","",IFERROR(VLOOKUP(C959,Inventory!$A:$C,3,FALSE),""))</f>
        <v/>
      </c>
      <c r="F959" s="187"/>
      <c r="G959" s="180" t="str">
        <f>IF(C959="","",IFERROR(VLOOKUP(C959,Inventory!$A:$I,9,FALSE),0))</f>
        <v/>
      </c>
      <c r="H959" s="189" t="str">
        <f t="shared" si="1"/>
        <v/>
      </c>
      <c r="I959" s="190" t="str">
        <f t="shared" si="2"/>
        <v/>
      </c>
      <c r="J959" s="191"/>
      <c r="K959" s="191" t="str">
        <f t="shared" si="3"/>
        <v/>
      </c>
      <c r="L959" s="187"/>
      <c r="M959" s="192" t="str">
        <f t="shared" si="4"/>
        <v/>
      </c>
      <c r="N959" s="185" t="str">
        <f t="shared" si="5"/>
        <v/>
      </c>
    </row>
    <row r="960" ht="15.75" customHeight="1">
      <c r="A960" s="186"/>
      <c r="B960" s="187"/>
      <c r="C960" s="187"/>
      <c r="D960" s="188" t="str">
        <f>IF(C960="","",IFERROR(VLOOKUP(C960,Inventory!$A:$B,2,FALSE),""))</f>
        <v/>
      </c>
      <c r="E960" s="188" t="str">
        <f>IF(C960="","",IFERROR(VLOOKUP(C960,Inventory!$A:$C,3,FALSE),""))</f>
        <v/>
      </c>
      <c r="F960" s="187"/>
      <c r="G960" s="180" t="str">
        <f>IF(C960="","",IFERROR(VLOOKUP(C960,Inventory!$A:$I,9,FALSE),0))</f>
        <v/>
      </c>
      <c r="H960" s="189" t="str">
        <f t="shared" si="1"/>
        <v/>
      </c>
      <c r="I960" s="190" t="str">
        <f t="shared" si="2"/>
        <v/>
      </c>
      <c r="J960" s="191"/>
      <c r="K960" s="191" t="str">
        <f t="shared" si="3"/>
        <v/>
      </c>
      <c r="L960" s="187"/>
      <c r="M960" s="192" t="str">
        <f t="shared" si="4"/>
        <v/>
      </c>
      <c r="N960" s="185" t="str">
        <f t="shared" si="5"/>
        <v/>
      </c>
    </row>
    <row r="961" ht="15.75" customHeight="1">
      <c r="A961" s="186"/>
      <c r="B961" s="187"/>
      <c r="C961" s="187"/>
      <c r="D961" s="188" t="str">
        <f>IF(C961="","",IFERROR(VLOOKUP(C961,Inventory!$A:$B,2,FALSE),""))</f>
        <v/>
      </c>
      <c r="E961" s="188" t="str">
        <f>IF(C961="","",IFERROR(VLOOKUP(C961,Inventory!$A:$C,3,FALSE),""))</f>
        <v/>
      </c>
      <c r="F961" s="187"/>
      <c r="G961" s="180" t="str">
        <f>IF(C961="","",IFERROR(VLOOKUP(C961,Inventory!$A:$I,9,FALSE),0))</f>
        <v/>
      </c>
      <c r="H961" s="189" t="str">
        <f t="shared" si="1"/>
        <v/>
      </c>
      <c r="I961" s="190" t="str">
        <f t="shared" si="2"/>
        <v/>
      </c>
      <c r="J961" s="191"/>
      <c r="K961" s="191" t="str">
        <f t="shared" si="3"/>
        <v/>
      </c>
      <c r="L961" s="187"/>
      <c r="M961" s="192" t="str">
        <f t="shared" si="4"/>
        <v/>
      </c>
      <c r="N961" s="185" t="str">
        <f t="shared" si="5"/>
        <v/>
      </c>
    </row>
    <row r="962" ht="15.75" customHeight="1">
      <c r="A962" s="186"/>
      <c r="B962" s="187"/>
      <c r="C962" s="187"/>
      <c r="D962" s="188" t="str">
        <f>IF(C962="","",IFERROR(VLOOKUP(C962,Inventory!$A:$B,2,FALSE),""))</f>
        <v/>
      </c>
      <c r="E962" s="188" t="str">
        <f>IF(C962="","",IFERROR(VLOOKUP(C962,Inventory!$A:$C,3,FALSE),""))</f>
        <v/>
      </c>
      <c r="F962" s="187"/>
      <c r="G962" s="180" t="str">
        <f>IF(C962="","",IFERROR(VLOOKUP(C962,Inventory!$A:$I,9,FALSE),0))</f>
        <v/>
      </c>
      <c r="H962" s="189" t="str">
        <f t="shared" si="1"/>
        <v/>
      </c>
      <c r="I962" s="190" t="str">
        <f t="shared" si="2"/>
        <v/>
      </c>
      <c r="J962" s="191"/>
      <c r="K962" s="191" t="str">
        <f t="shared" si="3"/>
        <v/>
      </c>
      <c r="L962" s="187"/>
      <c r="M962" s="192" t="str">
        <f t="shared" si="4"/>
        <v/>
      </c>
      <c r="N962" s="185" t="str">
        <f t="shared" si="5"/>
        <v/>
      </c>
    </row>
    <row r="963" ht="15.75" customHeight="1">
      <c r="A963" s="186"/>
      <c r="B963" s="187"/>
      <c r="C963" s="187"/>
      <c r="D963" s="188" t="str">
        <f>IF(C963="","",IFERROR(VLOOKUP(C963,Inventory!$A:$B,2,FALSE),""))</f>
        <v/>
      </c>
      <c r="E963" s="188" t="str">
        <f>IF(C963="","",IFERROR(VLOOKUP(C963,Inventory!$A:$C,3,FALSE),""))</f>
        <v/>
      </c>
      <c r="F963" s="187"/>
      <c r="G963" s="180" t="str">
        <f>IF(C963="","",IFERROR(VLOOKUP(C963,Inventory!$A:$I,9,FALSE),0))</f>
        <v/>
      </c>
      <c r="H963" s="189" t="str">
        <f t="shared" si="1"/>
        <v/>
      </c>
      <c r="I963" s="190" t="str">
        <f t="shared" si="2"/>
        <v/>
      </c>
      <c r="J963" s="191"/>
      <c r="K963" s="191" t="str">
        <f t="shared" si="3"/>
        <v/>
      </c>
      <c r="L963" s="187"/>
      <c r="M963" s="192" t="str">
        <f t="shared" si="4"/>
        <v/>
      </c>
      <c r="N963" s="185" t="str">
        <f t="shared" si="5"/>
        <v/>
      </c>
    </row>
    <row r="964" ht="15.75" customHeight="1">
      <c r="A964" s="186"/>
      <c r="B964" s="187"/>
      <c r="C964" s="187"/>
      <c r="D964" s="188" t="str">
        <f>IF(C964="","",IFERROR(VLOOKUP(C964,Inventory!$A:$B,2,FALSE),""))</f>
        <v/>
      </c>
      <c r="E964" s="188" t="str">
        <f>IF(C964="","",IFERROR(VLOOKUP(C964,Inventory!$A:$C,3,FALSE),""))</f>
        <v/>
      </c>
      <c r="F964" s="187"/>
      <c r="G964" s="180" t="str">
        <f>IF(C964="","",IFERROR(VLOOKUP(C964,Inventory!$A:$I,9,FALSE),0))</f>
        <v/>
      </c>
      <c r="H964" s="189" t="str">
        <f t="shared" si="1"/>
        <v/>
      </c>
      <c r="I964" s="190" t="str">
        <f t="shared" si="2"/>
        <v/>
      </c>
      <c r="J964" s="191"/>
      <c r="K964" s="191" t="str">
        <f t="shared" si="3"/>
        <v/>
      </c>
      <c r="L964" s="187"/>
      <c r="M964" s="192" t="str">
        <f t="shared" si="4"/>
        <v/>
      </c>
      <c r="N964" s="185" t="str">
        <f t="shared" si="5"/>
        <v/>
      </c>
    </row>
    <row r="965" ht="15.75" customHeight="1">
      <c r="A965" s="186"/>
      <c r="B965" s="187"/>
      <c r="C965" s="187"/>
      <c r="D965" s="188" t="str">
        <f>IF(C965="","",IFERROR(VLOOKUP(C965,Inventory!$A:$B,2,FALSE),""))</f>
        <v/>
      </c>
      <c r="E965" s="188" t="str">
        <f>IF(C965="","",IFERROR(VLOOKUP(C965,Inventory!$A:$C,3,FALSE),""))</f>
        <v/>
      </c>
      <c r="F965" s="187"/>
      <c r="G965" s="180" t="str">
        <f>IF(C965="","",IFERROR(VLOOKUP(C965,Inventory!$A:$I,9,FALSE),0))</f>
        <v/>
      </c>
      <c r="H965" s="189" t="str">
        <f t="shared" si="1"/>
        <v/>
      </c>
      <c r="I965" s="190" t="str">
        <f t="shared" si="2"/>
        <v/>
      </c>
      <c r="J965" s="191"/>
      <c r="K965" s="191" t="str">
        <f t="shared" si="3"/>
        <v/>
      </c>
      <c r="L965" s="187"/>
      <c r="M965" s="192" t="str">
        <f t="shared" si="4"/>
        <v/>
      </c>
      <c r="N965" s="185" t="str">
        <f t="shared" si="5"/>
        <v/>
      </c>
    </row>
    <row r="966" ht="15.75" customHeight="1">
      <c r="A966" s="186"/>
      <c r="B966" s="187"/>
      <c r="C966" s="187"/>
      <c r="D966" s="188" t="str">
        <f>IF(C966="","",IFERROR(VLOOKUP(C966,Inventory!$A:$B,2,FALSE),""))</f>
        <v/>
      </c>
      <c r="E966" s="188" t="str">
        <f>IF(C966="","",IFERROR(VLOOKUP(C966,Inventory!$A:$C,3,FALSE),""))</f>
        <v/>
      </c>
      <c r="F966" s="187"/>
      <c r="G966" s="180" t="str">
        <f>IF(C966="","",IFERROR(VLOOKUP(C966,Inventory!$A:$I,9,FALSE),0))</f>
        <v/>
      </c>
      <c r="H966" s="189" t="str">
        <f t="shared" si="1"/>
        <v/>
      </c>
      <c r="I966" s="190" t="str">
        <f t="shared" si="2"/>
        <v/>
      </c>
      <c r="J966" s="191"/>
      <c r="K966" s="191" t="str">
        <f t="shared" si="3"/>
        <v/>
      </c>
      <c r="L966" s="187"/>
      <c r="M966" s="192" t="str">
        <f t="shared" si="4"/>
        <v/>
      </c>
      <c r="N966" s="185" t="str">
        <f t="shared" si="5"/>
        <v/>
      </c>
    </row>
    <row r="967" ht="15.75" customHeight="1">
      <c r="A967" s="186"/>
      <c r="B967" s="187"/>
      <c r="C967" s="187"/>
      <c r="D967" s="188" t="str">
        <f>IF(C967="","",IFERROR(VLOOKUP(C967,Inventory!$A:$B,2,FALSE),""))</f>
        <v/>
      </c>
      <c r="E967" s="188" t="str">
        <f>IF(C967="","",IFERROR(VLOOKUP(C967,Inventory!$A:$C,3,FALSE),""))</f>
        <v/>
      </c>
      <c r="F967" s="187"/>
      <c r="G967" s="180" t="str">
        <f>IF(C967="","",IFERROR(VLOOKUP(C967,Inventory!$A:$I,9,FALSE),0))</f>
        <v/>
      </c>
      <c r="H967" s="189" t="str">
        <f t="shared" si="1"/>
        <v/>
      </c>
      <c r="I967" s="190" t="str">
        <f t="shared" si="2"/>
        <v/>
      </c>
      <c r="J967" s="191"/>
      <c r="K967" s="191" t="str">
        <f t="shared" si="3"/>
        <v/>
      </c>
      <c r="L967" s="187"/>
      <c r="M967" s="192" t="str">
        <f t="shared" si="4"/>
        <v/>
      </c>
      <c r="N967" s="185" t="str">
        <f t="shared" si="5"/>
        <v/>
      </c>
    </row>
    <row r="968" ht="15.75" customHeight="1">
      <c r="A968" s="186"/>
      <c r="B968" s="187"/>
      <c r="C968" s="187"/>
      <c r="D968" s="188" t="str">
        <f>IF(C968="","",IFERROR(VLOOKUP(C968,Inventory!$A:$B,2,FALSE),""))</f>
        <v/>
      </c>
      <c r="E968" s="188" t="str">
        <f>IF(C968="","",IFERROR(VLOOKUP(C968,Inventory!$A:$C,3,FALSE),""))</f>
        <v/>
      </c>
      <c r="F968" s="187"/>
      <c r="G968" s="180" t="str">
        <f>IF(C968="","",IFERROR(VLOOKUP(C968,Inventory!$A:$I,9,FALSE),0))</f>
        <v/>
      </c>
      <c r="H968" s="189" t="str">
        <f t="shared" si="1"/>
        <v/>
      </c>
      <c r="I968" s="190" t="str">
        <f t="shared" si="2"/>
        <v/>
      </c>
      <c r="J968" s="191"/>
      <c r="K968" s="191" t="str">
        <f t="shared" si="3"/>
        <v/>
      </c>
      <c r="L968" s="187"/>
      <c r="M968" s="192" t="str">
        <f t="shared" si="4"/>
        <v/>
      </c>
      <c r="N968" s="185" t="str">
        <f t="shared" si="5"/>
        <v/>
      </c>
    </row>
    <row r="969" ht="15.75" customHeight="1">
      <c r="A969" s="186"/>
      <c r="B969" s="187"/>
      <c r="C969" s="187"/>
      <c r="D969" s="188" t="str">
        <f>IF(C969="","",IFERROR(VLOOKUP(C969,Inventory!$A:$B,2,FALSE),""))</f>
        <v/>
      </c>
      <c r="E969" s="188" t="str">
        <f>IF(C969="","",IFERROR(VLOOKUP(C969,Inventory!$A:$C,3,FALSE),""))</f>
        <v/>
      </c>
      <c r="F969" s="187"/>
      <c r="G969" s="180" t="str">
        <f>IF(C969="","",IFERROR(VLOOKUP(C969,Inventory!$A:$I,9,FALSE),0))</f>
        <v/>
      </c>
      <c r="H969" s="189" t="str">
        <f t="shared" si="1"/>
        <v/>
      </c>
      <c r="I969" s="190" t="str">
        <f t="shared" si="2"/>
        <v/>
      </c>
      <c r="J969" s="191"/>
      <c r="K969" s="191" t="str">
        <f t="shared" si="3"/>
        <v/>
      </c>
      <c r="L969" s="187"/>
      <c r="M969" s="192" t="str">
        <f t="shared" si="4"/>
        <v/>
      </c>
      <c r="N969" s="185" t="str">
        <f t="shared" si="5"/>
        <v/>
      </c>
    </row>
    <row r="970" ht="15.75" customHeight="1">
      <c r="A970" s="186"/>
      <c r="B970" s="187"/>
      <c r="C970" s="187"/>
      <c r="D970" s="188" t="str">
        <f>IF(C970="","",IFERROR(VLOOKUP(C970,Inventory!$A:$B,2,FALSE),""))</f>
        <v/>
      </c>
      <c r="E970" s="188" t="str">
        <f>IF(C970="","",IFERROR(VLOOKUP(C970,Inventory!$A:$C,3,FALSE),""))</f>
        <v/>
      </c>
      <c r="F970" s="187"/>
      <c r="G970" s="180" t="str">
        <f>IF(C970="","",IFERROR(VLOOKUP(C970,Inventory!$A:$I,9,FALSE),0))</f>
        <v/>
      </c>
      <c r="H970" s="189" t="str">
        <f t="shared" si="1"/>
        <v/>
      </c>
      <c r="I970" s="190" t="str">
        <f t="shared" si="2"/>
        <v/>
      </c>
      <c r="J970" s="191"/>
      <c r="K970" s="191" t="str">
        <f t="shared" si="3"/>
        <v/>
      </c>
      <c r="L970" s="187"/>
      <c r="M970" s="192" t="str">
        <f t="shared" si="4"/>
        <v/>
      </c>
      <c r="N970" s="185" t="str">
        <f t="shared" si="5"/>
        <v/>
      </c>
    </row>
    <row r="971" ht="15.75" customHeight="1">
      <c r="A971" s="186"/>
      <c r="B971" s="187"/>
      <c r="C971" s="187"/>
      <c r="D971" s="188" t="str">
        <f>IF(C971="","",IFERROR(VLOOKUP(C971,Inventory!$A:$B,2,FALSE),""))</f>
        <v/>
      </c>
      <c r="E971" s="188" t="str">
        <f>IF(C971="","",IFERROR(VLOOKUP(C971,Inventory!$A:$C,3,FALSE),""))</f>
        <v/>
      </c>
      <c r="F971" s="187"/>
      <c r="G971" s="180" t="str">
        <f>IF(C971="","",IFERROR(VLOOKUP(C971,Inventory!$A:$I,9,FALSE),0))</f>
        <v/>
      </c>
      <c r="H971" s="189" t="str">
        <f t="shared" si="1"/>
        <v/>
      </c>
      <c r="I971" s="190" t="str">
        <f t="shared" si="2"/>
        <v/>
      </c>
      <c r="J971" s="191"/>
      <c r="K971" s="191" t="str">
        <f t="shared" si="3"/>
        <v/>
      </c>
      <c r="L971" s="187"/>
      <c r="M971" s="192" t="str">
        <f t="shared" si="4"/>
        <v/>
      </c>
      <c r="N971" s="185" t="str">
        <f t="shared" si="5"/>
        <v/>
      </c>
    </row>
    <row r="972" ht="15.75" customHeight="1">
      <c r="A972" s="186"/>
      <c r="B972" s="187"/>
      <c r="C972" s="187"/>
      <c r="D972" s="188" t="str">
        <f>IF(C972="","",IFERROR(VLOOKUP(C972,Inventory!$A:$B,2,FALSE),""))</f>
        <v/>
      </c>
      <c r="E972" s="188" t="str">
        <f>IF(C972="","",IFERROR(VLOOKUP(C972,Inventory!$A:$C,3,FALSE),""))</f>
        <v/>
      </c>
      <c r="F972" s="187"/>
      <c r="G972" s="180" t="str">
        <f>IF(C972="","",IFERROR(VLOOKUP(C972,Inventory!$A:$I,9,FALSE),0))</f>
        <v/>
      </c>
      <c r="H972" s="189" t="str">
        <f t="shared" si="1"/>
        <v/>
      </c>
      <c r="I972" s="190" t="str">
        <f t="shared" si="2"/>
        <v/>
      </c>
      <c r="J972" s="191"/>
      <c r="K972" s="191" t="str">
        <f t="shared" si="3"/>
        <v/>
      </c>
      <c r="L972" s="187"/>
      <c r="M972" s="192" t="str">
        <f t="shared" si="4"/>
        <v/>
      </c>
      <c r="N972" s="185" t="str">
        <f t="shared" si="5"/>
        <v/>
      </c>
    </row>
    <row r="973" ht="15.75" customHeight="1">
      <c r="A973" s="186"/>
      <c r="B973" s="187"/>
      <c r="C973" s="187"/>
      <c r="D973" s="188" t="str">
        <f>IF(C973="","",IFERROR(VLOOKUP(C973,Inventory!$A:$B,2,FALSE),""))</f>
        <v/>
      </c>
      <c r="E973" s="188" t="str">
        <f>IF(C973="","",IFERROR(VLOOKUP(C973,Inventory!$A:$C,3,FALSE),""))</f>
        <v/>
      </c>
      <c r="F973" s="187"/>
      <c r="G973" s="180" t="str">
        <f>IF(C973="","",IFERROR(VLOOKUP(C973,Inventory!$A:$I,9,FALSE),0))</f>
        <v/>
      </c>
      <c r="H973" s="189" t="str">
        <f t="shared" si="1"/>
        <v/>
      </c>
      <c r="I973" s="190" t="str">
        <f t="shared" si="2"/>
        <v/>
      </c>
      <c r="J973" s="191"/>
      <c r="K973" s="191" t="str">
        <f t="shared" si="3"/>
        <v/>
      </c>
      <c r="L973" s="187"/>
      <c r="M973" s="192" t="str">
        <f t="shared" si="4"/>
        <v/>
      </c>
      <c r="N973" s="185" t="str">
        <f t="shared" si="5"/>
        <v/>
      </c>
    </row>
    <row r="974" ht="15.75" customHeight="1">
      <c r="A974" s="186"/>
      <c r="B974" s="187"/>
      <c r="C974" s="187"/>
      <c r="D974" s="188" t="str">
        <f>IF(C974="","",IFERROR(VLOOKUP(C974,Inventory!$A:$B,2,FALSE),""))</f>
        <v/>
      </c>
      <c r="E974" s="188" t="str">
        <f>IF(C974="","",IFERROR(VLOOKUP(C974,Inventory!$A:$C,3,FALSE),""))</f>
        <v/>
      </c>
      <c r="F974" s="187"/>
      <c r="G974" s="180" t="str">
        <f>IF(C974="","",IFERROR(VLOOKUP(C974,Inventory!$A:$I,9,FALSE),0))</f>
        <v/>
      </c>
      <c r="H974" s="189" t="str">
        <f t="shared" si="1"/>
        <v/>
      </c>
      <c r="I974" s="190" t="str">
        <f t="shared" si="2"/>
        <v/>
      </c>
      <c r="J974" s="191"/>
      <c r="K974" s="191" t="str">
        <f t="shared" si="3"/>
        <v/>
      </c>
      <c r="L974" s="187"/>
      <c r="M974" s="192" t="str">
        <f t="shared" si="4"/>
        <v/>
      </c>
      <c r="N974" s="185" t="str">
        <f t="shared" si="5"/>
        <v/>
      </c>
    </row>
    <row r="975" ht="15.75" customHeight="1">
      <c r="A975" s="186"/>
      <c r="B975" s="187"/>
      <c r="C975" s="187"/>
      <c r="D975" s="188" t="str">
        <f>IF(C975="","",IFERROR(VLOOKUP(C975,Inventory!$A:$B,2,FALSE),""))</f>
        <v/>
      </c>
      <c r="E975" s="188" t="str">
        <f>IF(C975="","",IFERROR(VLOOKUP(C975,Inventory!$A:$C,3,FALSE),""))</f>
        <v/>
      </c>
      <c r="F975" s="187"/>
      <c r="G975" s="180" t="str">
        <f>IF(C975="","",IFERROR(VLOOKUP(C975,Inventory!$A:$I,9,FALSE),0))</f>
        <v/>
      </c>
      <c r="H975" s="189" t="str">
        <f t="shared" si="1"/>
        <v/>
      </c>
      <c r="I975" s="190" t="str">
        <f t="shared" si="2"/>
        <v/>
      </c>
      <c r="J975" s="191"/>
      <c r="K975" s="191" t="str">
        <f t="shared" si="3"/>
        <v/>
      </c>
      <c r="L975" s="187"/>
      <c r="M975" s="192" t="str">
        <f t="shared" si="4"/>
        <v/>
      </c>
      <c r="N975" s="185" t="str">
        <f t="shared" si="5"/>
        <v/>
      </c>
    </row>
    <row r="976" ht="15.75" customHeight="1">
      <c r="A976" s="186"/>
      <c r="B976" s="187"/>
      <c r="C976" s="187"/>
      <c r="D976" s="188" t="str">
        <f>IF(C976="","",IFERROR(VLOOKUP(C976,Inventory!$A:$B,2,FALSE),""))</f>
        <v/>
      </c>
      <c r="E976" s="188" t="str">
        <f>IF(C976="","",IFERROR(VLOOKUP(C976,Inventory!$A:$C,3,FALSE),""))</f>
        <v/>
      </c>
      <c r="F976" s="187"/>
      <c r="G976" s="180" t="str">
        <f>IF(C976="","",IFERROR(VLOOKUP(C976,Inventory!$A:$I,9,FALSE),0))</f>
        <v/>
      </c>
      <c r="H976" s="189" t="str">
        <f t="shared" si="1"/>
        <v/>
      </c>
      <c r="I976" s="190" t="str">
        <f t="shared" si="2"/>
        <v/>
      </c>
      <c r="J976" s="191"/>
      <c r="K976" s="191" t="str">
        <f t="shared" si="3"/>
        <v/>
      </c>
      <c r="L976" s="187"/>
      <c r="M976" s="192" t="str">
        <f t="shared" si="4"/>
        <v/>
      </c>
      <c r="N976" s="185" t="str">
        <f t="shared" si="5"/>
        <v/>
      </c>
    </row>
    <row r="977" ht="15.75" customHeight="1">
      <c r="A977" s="186"/>
      <c r="B977" s="187"/>
      <c r="C977" s="187"/>
      <c r="D977" s="188" t="str">
        <f>IF(C977="","",IFERROR(VLOOKUP(C977,Inventory!$A:$B,2,FALSE),""))</f>
        <v/>
      </c>
      <c r="E977" s="188" t="str">
        <f>IF(C977="","",IFERROR(VLOOKUP(C977,Inventory!$A:$C,3,FALSE),""))</f>
        <v/>
      </c>
      <c r="F977" s="187"/>
      <c r="G977" s="180" t="str">
        <f>IF(C977="","",IFERROR(VLOOKUP(C977,Inventory!$A:$I,9,FALSE),0))</f>
        <v/>
      </c>
      <c r="H977" s="189" t="str">
        <f t="shared" si="1"/>
        <v/>
      </c>
      <c r="I977" s="190" t="str">
        <f t="shared" si="2"/>
        <v/>
      </c>
      <c r="J977" s="191"/>
      <c r="K977" s="191" t="str">
        <f t="shared" si="3"/>
        <v/>
      </c>
      <c r="L977" s="187"/>
      <c r="M977" s="192" t="str">
        <f t="shared" si="4"/>
        <v/>
      </c>
      <c r="N977" s="185" t="str">
        <f t="shared" si="5"/>
        <v/>
      </c>
    </row>
    <row r="978" ht="15.75" customHeight="1">
      <c r="A978" s="186"/>
      <c r="B978" s="187"/>
      <c r="C978" s="187"/>
      <c r="D978" s="188" t="str">
        <f>IF(C978="","",IFERROR(VLOOKUP(C978,Inventory!$A:$B,2,FALSE),""))</f>
        <v/>
      </c>
      <c r="E978" s="188" t="str">
        <f>IF(C978="","",IFERROR(VLOOKUP(C978,Inventory!$A:$C,3,FALSE),""))</f>
        <v/>
      </c>
      <c r="F978" s="187"/>
      <c r="G978" s="180" t="str">
        <f>IF(C978="","",IFERROR(VLOOKUP(C978,Inventory!$A:$I,9,FALSE),0))</f>
        <v/>
      </c>
      <c r="H978" s="189" t="str">
        <f t="shared" si="1"/>
        <v/>
      </c>
      <c r="I978" s="190" t="str">
        <f t="shared" si="2"/>
        <v/>
      </c>
      <c r="J978" s="191"/>
      <c r="K978" s="191" t="str">
        <f t="shared" si="3"/>
        <v/>
      </c>
      <c r="L978" s="187"/>
      <c r="M978" s="192" t="str">
        <f t="shared" si="4"/>
        <v/>
      </c>
      <c r="N978" s="185" t="str">
        <f t="shared" si="5"/>
        <v/>
      </c>
    </row>
    <row r="979" ht="15.75" customHeight="1">
      <c r="A979" s="186"/>
      <c r="B979" s="187"/>
      <c r="C979" s="187"/>
      <c r="D979" s="188" t="str">
        <f>IF(C979="","",IFERROR(VLOOKUP(C979,Inventory!$A:$B,2,FALSE),""))</f>
        <v/>
      </c>
      <c r="E979" s="188" t="str">
        <f>IF(C979="","",IFERROR(VLOOKUP(C979,Inventory!$A:$C,3,FALSE),""))</f>
        <v/>
      </c>
      <c r="F979" s="187"/>
      <c r="G979" s="180" t="str">
        <f>IF(C979="","",IFERROR(VLOOKUP(C979,Inventory!$A:$I,9,FALSE),0))</f>
        <v/>
      </c>
      <c r="H979" s="189" t="str">
        <f t="shared" si="1"/>
        <v/>
      </c>
      <c r="I979" s="190" t="str">
        <f t="shared" si="2"/>
        <v/>
      </c>
      <c r="J979" s="191"/>
      <c r="K979" s="191" t="str">
        <f t="shared" si="3"/>
        <v/>
      </c>
      <c r="L979" s="187"/>
      <c r="M979" s="192" t="str">
        <f t="shared" si="4"/>
        <v/>
      </c>
      <c r="N979" s="185" t="str">
        <f t="shared" si="5"/>
        <v/>
      </c>
    </row>
    <row r="980" ht="15.75" customHeight="1">
      <c r="A980" s="186"/>
      <c r="B980" s="187"/>
      <c r="C980" s="187"/>
      <c r="D980" s="188" t="str">
        <f>IF(C980="","",IFERROR(VLOOKUP(C980,Inventory!$A:$B,2,FALSE),""))</f>
        <v/>
      </c>
      <c r="E980" s="188" t="str">
        <f>IF(C980="","",IFERROR(VLOOKUP(C980,Inventory!$A:$C,3,FALSE),""))</f>
        <v/>
      </c>
      <c r="F980" s="187"/>
      <c r="G980" s="180" t="str">
        <f>IF(C980="","",IFERROR(VLOOKUP(C980,Inventory!$A:$I,9,FALSE),0))</f>
        <v/>
      </c>
      <c r="H980" s="189" t="str">
        <f t="shared" si="1"/>
        <v/>
      </c>
      <c r="I980" s="190" t="str">
        <f t="shared" si="2"/>
        <v/>
      </c>
      <c r="J980" s="191"/>
      <c r="K980" s="191" t="str">
        <f t="shared" si="3"/>
        <v/>
      </c>
      <c r="L980" s="187"/>
      <c r="M980" s="192" t="str">
        <f t="shared" si="4"/>
        <v/>
      </c>
      <c r="N980" s="185" t="str">
        <f t="shared" si="5"/>
        <v/>
      </c>
    </row>
    <row r="981" ht="15.75" customHeight="1">
      <c r="A981" s="186"/>
      <c r="B981" s="187"/>
      <c r="C981" s="187"/>
      <c r="D981" s="188" t="str">
        <f>IF(C981="","",IFERROR(VLOOKUP(C981,Inventory!$A:$B,2,FALSE),""))</f>
        <v/>
      </c>
      <c r="E981" s="188" t="str">
        <f>IF(C981="","",IFERROR(VLOOKUP(C981,Inventory!$A:$C,3,FALSE),""))</f>
        <v/>
      </c>
      <c r="F981" s="187"/>
      <c r="G981" s="180" t="str">
        <f>IF(C981="","",IFERROR(VLOOKUP(C981,Inventory!$A:$I,9,FALSE),0))</f>
        <v/>
      </c>
      <c r="H981" s="189" t="str">
        <f t="shared" si="1"/>
        <v/>
      </c>
      <c r="I981" s="190" t="str">
        <f t="shared" si="2"/>
        <v/>
      </c>
      <c r="J981" s="191"/>
      <c r="K981" s="191" t="str">
        <f t="shared" si="3"/>
        <v/>
      </c>
      <c r="L981" s="187"/>
      <c r="M981" s="192" t="str">
        <f t="shared" si="4"/>
        <v/>
      </c>
      <c r="N981" s="185" t="str">
        <f t="shared" si="5"/>
        <v/>
      </c>
    </row>
    <row r="982" ht="15.75" customHeight="1">
      <c r="A982" s="186"/>
      <c r="B982" s="187"/>
      <c r="C982" s="187"/>
      <c r="D982" s="188" t="str">
        <f>IF(C982="","",IFERROR(VLOOKUP(C982,Inventory!$A:$B,2,FALSE),""))</f>
        <v/>
      </c>
      <c r="E982" s="188" t="str">
        <f>IF(C982="","",IFERROR(VLOOKUP(C982,Inventory!$A:$C,3,FALSE),""))</f>
        <v/>
      </c>
      <c r="F982" s="187"/>
      <c r="G982" s="180" t="str">
        <f>IF(C982="","",IFERROR(VLOOKUP(C982,Inventory!$A:$I,9,FALSE),0))</f>
        <v/>
      </c>
      <c r="H982" s="189" t="str">
        <f t="shared" si="1"/>
        <v/>
      </c>
      <c r="I982" s="190" t="str">
        <f t="shared" si="2"/>
        <v/>
      </c>
      <c r="J982" s="191"/>
      <c r="K982" s="191" t="str">
        <f t="shared" si="3"/>
        <v/>
      </c>
      <c r="L982" s="187"/>
      <c r="M982" s="192" t="str">
        <f t="shared" si="4"/>
        <v/>
      </c>
      <c r="N982" s="185" t="str">
        <f t="shared" si="5"/>
        <v/>
      </c>
    </row>
    <row r="983" ht="15.75" customHeight="1">
      <c r="A983" s="186"/>
      <c r="B983" s="187"/>
      <c r="C983" s="187"/>
      <c r="D983" s="188" t="str">
        <f>IF(C983="","",IFERROR(VLOOKUP(C983,Inventory!$A:$B,2,FALSE),""))</f>
        <v/>
      </c>
      <c r="E983" s="188" t="str">
        <f>IF(C983="","",IFERROR(VLOOKUP(C983,Inventory!$A:$C,3,FALSE),""))</f>
        <v/>
      </c>
      <c r="F983" s="187"/>
      <c r="G983" s="180" t="str">
        <f>IF(C983="","",IFERROR(VLOOKUP(C983,Inventory!$A:$I,9,FALSE),0))</f>
        <v/>
      </c>
      <c r="H983" s="189" t="str">
        <f t="shared" si="1"/>
        <v/>
      </c>
      <c r="I983" s="190" t="str">
        <f t="shared" si="2"/>
        <v/>
      </c>
      <c r="J983" s="191"/>
      <c r="K983" s="191" t="str">
        <f t="shared" si="3"/>
        <v/>
      </c>
      <c r="L983" s="187"/>
      <c r="M983" s="192" t="str">
        <f t="shared" si="4"/>
        <v/>
      </c>
      <c r="N983" s="185" t="str">
        <f t="shared" si="5"/>
        <v/>
      </c>
    </row>
    <row r="984" ht="15.75" customHeight="1">
      <c r="A984" s="186"/>
      <c r="B984" s="187"/>
      <c r="C984" s="187"/>
      <c r="D984" s="188" t="str">
        <f>IF(C984="","",IFERROR(VLOOKUP(C984,Inventory!$A:$B,2,FALSE),""))</f>
        <v/>
      </c>
      <c r="E984" s="188" t="str">
        <f>IF(C984="","",IFERROR(VLOOKUP(C984,Inventory!$A:$C,3,FALSE),""))</f>
        <v/>
      </c>
      <c r="F984" s="187"/>
      <c r="G984" s="180" t="str">
        <f>IF(C984="","",IFERROR(VLOOKUP(C984,Inventory!$A:$I,9,FALSE),0))</f>
        <v/>
      </c>
      <c r="H984" s="189" t="str">
        <f t="shared" si="1"/>
        <v/>
      </c>
      <c r="I984" s="190" t="str">
        <f t="shared" si="2"/>
        <v/>
      </c>
      <c r="J984" s="191"/>
      <c r="K984" s="191" t="str">
        <f t="shared" si="3"/>
        <v/>
      </c>
      <c r="L984" s="187"/>
      <c r="M984" s="192" t="str">
        <f t="shared" si="4"/>
        <v/>
      </c>
      <c r="N984" s="185" t="str">
        <f t="shared" si="5"/>
        <v/>
      </c>
    </row>
    <row r="985" ht="15.75" customHeight="1">
      <c r="A985" s="186"/>
      <c r="B985" s="187"/>
      <c r="C985" s="187"/>
      <c r="D985" s="188" t="str">
        <f>IF(C985="","",IFERROR(VLOOKUP(C985,Inventory!$A:$B,2,FALSE),""))</f>
        <v/>
      </c>
      <c r="E985" s="188" t="str">
        <f>IF(C985="","",IFERROR(VLOOKUP(C985,Inventory!$A:$C,3,FALSE),""))</f>
        <v/>
      </c>
      <c r="F985" s="187"/>
      <c r="G985" s="180" t="str">
        <f>IF(C985="","",IFERROR(VLOOKUP(C985,Inventory!$A:$I,9,FALSE),0))</f>
        <v/>
      </c>
      <c r="H985" s="189" t="str">
        <f t="shared" si="1"/>
        <v/>
      </c>
      <c r="I985" s="190" t="str">
        <f t="shared" si="2"/>
        <v/>
      </c>
      <c r="J985" s="191"/>
      <c r="K985" s="191" t="str">
        <f t="shared" si="3"/>
        <v/>
      </c>
      <c r="L985" s="187"/>
      <c r="M985" s="192" t="str">
        <f t="shared" si="4"/>
        <v/>
      </c>
      <c r="N985" s="185" t="str">
        <f t="shared" si="5"/>
        <v/>
      </c>
    </row>
    <row r="986" ht="15.75" customHeight="1">
      <c r="A986" s="186"/>
      <c r="B986" s="187"/>
      <c r="C986" s="187"/>
      <c r="D986" s="188" t="str">
        <f>IF(C986="","",IFERROR(VLOOKUP(C986,Inventory!$A:$B,2,FALSE),""))</f>
        <v/>
      </c>
      <c r="E986" s="188" t="str">
        <f>IF(C986="","",IFERROR(VLOOKUP(C986,Inventory!$A:$C,3,FALSE),""))</f>
        <v/>
      </c>
      <c r="F986" s="187"/>
      <c r="G986" s="180" t="str">
        <f>IF(C986="","",IFERROR(VLOOKUP(C986,Inventory!$A:$I,9,FALSE),0))</f>
        <v/>
      </c>
      <c r="H986" s="189" t="str">
        <f t="shared" si="1"/>
        <v/>
      </c>
      <c r="I986" s="190" t="str">
        <f t="shared" si="2"/>
        <v/>
      </c>
      <c r="J986" s="191"/>
      <c r="K986" s="191" t="str">
        <f t="shared" si="3"/>
        <v/>
      </c>
      <c r="L986" s="187"/>
      <c r="M986" s="192" t="str">
        <f t="shared" si="4"/>
        <v/>
      </c>
      <c r="N986" s="185" t="str">
        <f t="shared" si="5"/>
        <v/>
      </c>
    </row>
    <row r="987" ht="15.75" customHeight="1">
      <c r="A987" s="186"/>
      <c r="B987" s="187"/>
      <c r="C987" s="187"/>
      <c r="D987" s="188" t="str">
        <f>IF(C987="","",IFERROR(VLOOKUP(C987,Inventory!$A:$B,2,FALSE),""))</f>
        <v/>
      </c>
      <c r="E987" s="188" t="str">
        <f>IF(C987="","",IFERROR(VLOOKUP(C987,Inventory!$A:$C,3,FALSE),""))</f>
        <v/>
      </c>
      <c r="F987" s="187"/>
      <c r="G987" s="180" t="str">
        <f>IF(C987="","",IFERROR(VLOOKUP(C987,Inventory!$A:$I,9,FALSE),0))</f>
        <v/>
      </c>
      <c r="H987" s="189" t="str">
        <f t="shared" si="1"/>
        <v/>
      </c>
      <c r="I987" s="190" t="str">
        <f t="shared" si="2"/>
        <v/>
      </c>
      <c r="J987" s="191"/>
      <c r="K987" s="191" t="str">
        <f t="shared" si="3"/>
        <v/>
      </c>
      <c r="L987" s="187"/>
      <c r="M987" s="192" t="str">
        <f t="shared" si="4"/>
        <v/>
      </c>
      <c r="N987" s="185" t="str">
        <f t="shared" si="5"/>
        <v/>
      </c>
    </row>
    <row r="988" ht="15.75" customHeight="1">
      <c r="A988" s="186"/>
      <c r="B988" s="187"/>
      <c r="C988" s="187"/>
      <c r="D988" s="188" t="str">
        <f>IF(C988="","",IFERROR(VLOOKUP(C988,Inventory!$A:$B,2,FALSE),""))</f>
        <v/>
      </c>
      <c r="E988" s="188" t="str">
        <f>IF(C988="","",IFERROR(VLOOKUP(C988,Inventory!$A:$C,3,FALSE),""))</f>
        <v/>
      </c>
      <c r="F988" s="187"/>
      <c r="G988" s="180" t="str">
        <f>IF(C988="","",IFERROR(VLOOKUP(C988,Inventory!$A:$I,9,FALSE),0))</f>
        <v/>
      </c>
      <c r="H988" s="189" t="str">
        <f t="shared" si="1"/>
        <v/>
      </c>
      <c r="I988" s="190" t="str">
        <f t="shared" si="2"/>
        <v/>
      </c>
      <c r="J988" s="191"/>
      <c r="K988" s="191" t="str">
        <f t="shared" si="3"/>
        <v/>
      </c>
      <c r="L988" s="187"/>
      <c r="M988" s="192" t="str">
        <f t="shared" si="4"/>
        <v/>
      </c>
      <c r="N988" s="185" t="str">
        <f t="shared" si="5"/>
        <v/>
      </c>
    </row>
    <row r="989" ht="15.75" customHeight="1">
      <c r="A989" s="186"/>
      <c r="B989" s="187"/>
      <c r="C989" s="187"/>
      <c r="D989" s="188" t="str">
        <f>IF(C989="","",IFERROR(VLOOKUP(C989,Inventory!$A:$B,2,FALSE),""))</f>
        <v/>
      </c>
      <c r="E989" s="188" t="str">
        <f>IF(C989="","",IFERROR(VLOOKUP(C989,Inventory!$A:$C,3,FALSE),""))</f>
        <v/>
      </c>
      <c r="F989" s="187"/>
      <c r="G989" s="180" t="str">
        <f>IF(C989="","",IFERROR(VLOOKUP(C989,Inventory!$A:$I,9,FALSE),0))</f>
        <v/>
      </c>
      <c r="H989" s="189" t="str">
        <f t="shared" si="1"/>
        <v/>
      </c>
      <c r="I989" s="190" t="str">
        <f t="shared" si="2"/>
        <v/>
      </c>
      <c r="J989" s="191"/>
      <c r="K989" s="191" t="str">
        <f t="shared" si="3"/>
        <v/>
      </c>
      <c r="L989" s="187"/>
      <c r="M989" s="192" t="str">
        <f t="shared" si="4"/>
        <v/>
      </c>
      <c r="N989" s="185" t="str">
        <f t="shared" si="5"/>
        <v/>
      </c>
    </row>
    <row r="990" ht="15.75" customHeight="1">
      <c r="A990" s="186"/>
      <c r="B990" s="187"/>
      <c r="C990" s="187"/>
      <c r="D990" s="188" t="str">
        <f>IF(C990="","",IFERROR(VLOOKUP(C990,Inventory!$A:$B,2,FALSE),""))</f>
        <v/>
      </c>
      <c r="E990" s="188" t="str">
        <f>IF(C990="","",IFERROR(VLOOKUP(C990,Inventory!$A:$C,3,FALSE),""))</f>
        <v/>
      </c>
      <c r="F990" s="187"/>
      <c r="G990" s="180" t="str">
        <f>IF(C990="","",IFERROR(VLOOKUP(C990,Inventory!$A:$I,9,FALSE),0))</f>
        <v/>
      </c>
      <c r="H990" s="189" t="str">
        <f t="shared" si="1"/>
        <v/>
      </c>
      <c r="I990" s="190" t="str">
        <f t="shared" si="2"/>
        <v/>
      </c>
      <c r="J990" s="191"/>
      <c r="K990" s="191" t="str">
        <f t="shared" si="3"/>
        <v/>
      </c>
      <c r="L990" s="187"/>
      <c r="M990" s="192" t="str">
        <f t="shared" si="4"/>
        <v/>
      </c>
      <c r="N990" s="185" t="str">
        <f t="shared" si="5"/>
        <v/>
      </c>
    </row>
    <row r="991" ht="15.75" customHeight="1">
      <c r="A991" s="186"/>
      <c r="B991" s="187"/>
      <c r="C991" s="187"/>
      <c r="D991" s="188" t="str">
        <f>IF(C991="","",IFERROR(VLOOKUP(C991,Inventory!$A:$B,2,FALSE),""))</f>
        <v/>
      </c>
      <c r="E991" s="188" t="str">
        <f>IF(C991="","",IFERROR(VLOOKUP(C991,Inventory!$A:$C,3,FALSE),""))</f>
        <v/>
      </c>
      <c r="F991" s="187"/>
      <c r="G991" s="180" t="str">
        <f>IF(C991="","",IFERROR(VLOOKUP(C991,Inventory!$A:$I,9,FALSE),0))</f>
        <v/>
      </c>
      <c r="H991" s="189" t="str">
        <f t="shared" si="1"/>
        <v/>
      </c>
      <c r="I991" s="190" t="str">
        <f t="shared" si="2"/>
        <v/>
      </c>
      <c r="J991" s="191"/>
      <c r="K991" s="191" t="str">
        <f t="shared" si="3"/>
        <v/>
      </c>
      <c r="L991" s="187"/>
      <c r="M991" s="192" t="str">
        <f t="shared" si="4"/>
        <v/>
      </c>
      <c r="N991" s="185" t="str">
        <f t="shared" si="5"/>
        <v/>
      </c>
    </row>
    <row r="992" ht="15.75" customHeight="1">
      <c r="A992" s="186"/>
      <c r="B992" s="187"/>
      <c r="C992" s="187"/>
      <c r="D992" s="188" t="str">
        <f>IF(C992="","",IFERROR(VLOOKUP(C992,Inventory!$A:$B,2,FALSE),""))</f>
        <v/>
      </c>
      <c r="E992" s="188" t="str">
        <f>IF(C992="","",IFERROR(VLOOKUP(C992,Inventory!$A:$C,3,FALSE),""))</f>
        <v/>
      </c>
      <c r="F992" s="187"/>
      <c r="G992" s="180" t="str">
        <f>IF(C992="","",IFERROR(VLOOKUP(C992,Inventory!$A:$I,9,FALSE),0))</f>
        <v/>
      </c>
      <c r="H992" s="189" t="str">
        <f t="shared" si="1"/>
        <v/>
      </c>
      <c r="I992" s="190" t="str">
        <f t="shared" si="2"/>
        <v/>
      </c>
      <c r="J992" s="191"/>
      <c r="K992" s="191" t="str">
        <f t="shared" si="3"/>
        <v/>
      </c>
      <c r="L992" s="187"/>
      <c r="M992" s="192" t="str">
        <f t="shared" si="4"/>
        <v/>
      </c>
      <c r="N992" s="185" t="str">
        <f t="shared" si="5"/>
        <v/>
      </c>
    </row>
    <row r="993" ht="15.75" customHeight="1">
      <c r="A993" s="186"/>
      <c r="B993" s="187"/>
      <c r="C993" s="187"/>
      <c r="D993" s="188" t="str">
        <f>IF(C993="","",IFERROR(VLOOKUP(C993,Inventory!$A:$B,2,FALSE),""))</f>
        <v/>
      </c>
      <c r="E993" s="188" t="str">
        <f>IF(C993="","",IFERROR(VLOOKUP(C993,Inventory!$A:$C,3,FALSE),""))</f>
        <v/>
      </c>
      <c r="F993" s="187"/>
      <c r="G993" s="180" t="str">
        <f>IF(C993="","",IFERROR(VLOOKUP(C993,Inventory!$A:$I,9,FALSE),0))</f>
        <v/>
      </c>
      <c r="H993" s="189" t="str">
        <f t="shared" si="1"/>
        <v/>
      </c>
      <c r="I993" s="190" t="str">
        <f t="shared" si="2"/>
        <v/>
      </c>
      <c r="J993" s="191"/>
      <c r="K993" s="191" t="str">
        <f t="shared" si="3"/>
        <v/>
      </c>
      <c r="L993" s="187"/>
      <c r="M993" s="192" t="str">
        <f t="shared" si="4"/>
        <v/>
      </c>
      <c r="N993" s="185" t="str">
        <f t="shared" si="5"/>
        <v/>
      </c>
    </row>
    <row r="994" ht="15.75" customHeight="1">
      <c r="A994" s="186"/>
      <c r="B994" s="187"/>
      <c r="C994" s="187"/>
      <c r="D994" s="188" t="str">
        <f>IF(C994="","",IFERROR(VLOOKUP(C994,Inventory!$A:$B,2,FALSE),""))</f>
        <v/>
      </c>
      <c r="E994" s="188" t="str">
        <f>IF(C994="","",IFERROR(VLOOKUP(C994,Inventory!$A:$C,3,FALSE),""))</f>
        <v/>
      </c>
      <c r="F994" s="187"/>
      <c r="G994" s="180" t="str">
        <f>IF(C994="","",IFERROR(VLOOKUP(C994,Inventory!$A:$I,9,FALSE),0))</f>
        <v/>
      </c>
      <c r="H994" s="189" t="str">
        <f t="shared" si="1"/>
        <v/>
      </c>
      <c r="I994" s="190" t="str">
        <f t="shared" si="2"/>
        <v/>
      </c>
      <c r="J994" s="191"/>
      <c r="K994" s="191" t="str">
        <f t="shared" si="3"/>
        <v/>
      </c>
      <c r="L994" s="187"/>
      <c r="M994" s="192" t="str">
        <f t="shared" si="4"/>
        <v/>
      </c>
      <c r="N994" s="185" t="str">
        <f t="shared" si="5"/>
        <v/>
      </c>
    </row>
    <row r="995" ht="15.0" customHeight="1">
      <c r="A995" s="186"/>
      <c r="B995" s="187"/>
      <c r="C995" s="187"/>
      <c r="D995" s="188" t="str">
        <f>IF(C995="","",IFERROR(VLOOKUP(C995,Inventory!$A:$B,2,FALSE),""))</f>
        <v/>
      </c>
      <c r="E995" s="188" t="str">
        <f>IF(C995="","",IFERROR(VLOOKUP(C995,Inventory!$A:$C,3,FALSE),""))</f>
        <v/>
      </c>
      <c r="F995" s="187"/>
      <c r="G995" s="180" t="str">
        <f>IF(C995="","",IFERROR(VLOOKUP(C995,Inventory!$A:$I,9,FALSE),0))</f>
        <v/>
      </c>
      <c r="H995" s="189" t="str">
        <f t="shared" si="1"/>
        <v/>
      </c>
      <c r="I995" s="190" t="str">
        <f t="shared" si="2"/>
        <v/>
      </c>
      <c r="J995" s="191"/>
      <c r="K995" s="191" t="str">
        <f t="shared" si="3"/>
        <v/>
      </c>
      <c r="L995" s="187"/>
      <c r="M995" s="192" t="str">
        <f t="shared" si="4"/>
        <v/>
      </c>
      <c r="N995" s="185" t="str">
        <f t="shared" si="5"/>
        <v/>
      </c>
    </row>
    <row r="996" ht="15.0" customHeight="1">
      <c r="A996" s="186"/>
      <c r="B996" s="187"/>
      <c r="C996" s="187"/>
      <c r="D996" s="188" t="str">
        <f>IF(C996="","",IFERROR(VLOOKUP(C996,Inventory!$A:$B,2,FALSE),""))</f>
        <v/>
      </c>
      <c r="E996" s="188" t="str">
        <f>IF(C996="","",IFERROR(VLOOKUP(C996,Inventory!$A:$C,3,FALSE),""))</f>
        <v/>
      </c>
      <c r="F996" s="187"/>
      <c r="G996" s="180" t="str">
        <f>IF(C996="","",IFERROR(VLOOKUP(C996,Inventory!$A:$I,9,FALSE),0))</f>
        <v/>
      </c>
      <c r="H996" s="189" t="str">
        <f t="shared" si="1"/>
        <v/>
      </c>
      <c r="I996" s="190" t="str">
        <f t="shared" si="2"/>
        <v/>
      </c>
      <c r="J996" s="191"/>
      <c r="K996" s="191" t="str">
        <f t="shared" si="3"/>
        <v/>
      </c>
      <c r="L996" s="187"/>
      <c r="M996" s="192" t="str">
        <f t="shared" si="4"/>
        <v/>
      </c>
      <c r="N996" s="185" t="str">
        <f t="shared" si="5"/>
        <v/>
      </c>
    </row>
    <row r="997" ht="15.0" customHeight="1">
      <c r="A997" s="186"/>
      <c r="B997" s="187"/>
      <c r="C997" s="187"/>
      <c r="D997" s="188" t="str">
        <f>IF(C997="","",IFERROR(VLOOKUP(C997,Inventory!$A:$B,2,FALSE),""))</f>
        <v/>
      </c>
      <c r="E997" s="188" t="str">
        <f>IF(C997="","",IFERROR(VLOOKUP(C997,Inventory!$A:$C,3,FALSE),""))</f>
        <v/>
      </c>
      <c r="F997" s="187"/>
      <c r="G997" s="180" t="str">
        <f>IF(C997="","",IFERROR(VLOOKUP(C997,Inventory!$A:$I,9,FALSE),0))</f>
        <v/>
      </c>
      <c r="H997" s="189" t="str">
        <f t="shared" si="1"/>
        <v/>
      </c>
      <c r="I997" s="190" t="str">
        <f t="shared" si="2"/>
        <v/>
      </c>
      <c r="J997" s="191"/>
      <c r="K997" s="191" t="str">
        <f t="shared" si="3"/>
        <v/>
      </c>
      <c r="L997" s="187"/>
      <c r="M997" s="192" t="str">
        <f t="shared" si="4"/>
        <v/>
      </c>
      <c r="N997" s="185" t="str">
        <f t="shared" si="5"/>
        <v/>
      </c>
    </row>
    <row r="998" ht="15.0" customHeight="1">
      <c r="A998" s="186"/>
      <c r="B998" s="187"/>
      <c r="C998" s="187"/>
      <c r="D998" s="188" t="str">
        <f>IF(C998="","",IFERROR(VLOOKUP(C998,Inventory!$A:$B,2,FALSE),""))</f>
        <v/>
      </c>
      <c r="E998" s="188" t="str">
        <f>IF(C998="","",IFERROR(VLOOKUP(C998,Inventory!$A:$C,3,FALSE),""))</f>
        <v/>
      </c>
      <c r="F998" s="187"/>
      <c r="G998" s="180" t="str">
        <f>IF(C998="","",IFERROR(VLOOKUP(C998,Inventory!$A:$I,9,FALSE),0))</f>
        <v/>
      </c>
      <c r="H998" s="189" t="str">
        <f t="shared" si="1"/>
        <v/>
      </c>
      <c r="I998" s="190" t="str">
        <f t="shared" si="2"/>
        <v/>
      </c>
      <c r="J998" s="191"/>
      <c r="K998" s="191" t="str">
        <f t="shared" si="3"/>
        <v/>
      </c>
      <c r="L998" s="187"/>
      <c r="M998" s="192" t="str">
        <f t="shared" si="4"/>
        <v/>
      </c>
      <c r="N998" s="185" t="str">
        <f t="shared" si="5"/>
        <v/>
      </c>
    </row>
    <row r="999" ht="15.0" customHeight="1">
      <c r="A999" s="186"/>
      <c r="B999" s="187"/>
      <c r="C999" s="187"/>
      <c r="D999" s="188" t="str">
        <f>IF(C999="","",IFERROR(VLOOKUP(C999,Inventory!$A:$B,2,FALSE),""))</f>
        <v/>
      </c>
      <c r="E999" s="188" t="str">
        <f>IF(C999="","",IFERROR(VLOOKUP(C999,Inventory!$A:$C,3,FALSE),""))</f>
        <v/>
      </c>
      <c r="F999" s="187"/>
      <c r="G999" s="180" t="str">
        <f>IF(C999="","",IFERROR(VLOOKUP(C999,Inventory!$A:$I,9,FALSE),0))</f>
        <v/>
      </c>
      <c r="H999" s="189" t="str">
        <f t="shared" si="1"/>
        <v/>
      </c>
      <c r="I999" s="190" t="str">
        <f t="shared" si="2"/>
        <v/>
      </c>
      <c r="J999" s="191"/>
      <c r="K999" s="191" t="str">
        <f t="shared" si="3"/>
        <v/>
      </c>
      <c r="L999" s="187"/>
      <c r="M999" s="192" t="str">
        <f t="shared" si="4"/>
        <v/>
      </c>
      <c r="N999" s="185" t="str">
        <f t="shared" si="5"/>
        <v/>
      </c>
    </row>
    <row r="1000" ht="15.0" customHeight="1">
      <c r="A1000" s="186"/>
      <c r="B1000" s="187"/>
      <c r="C1000" s="187"/>
      <c r="D1000" s="188" t="str">
        <f>IF(C1000="","",IFERROR(VLOOKUP(C1000,Inventory!$A:$B,2,FALSE),""))</f>
        <v/>
      </c>
      <c r="E1000" s="188" t="str">
        <f>IF(C1000="","",IFERROR(VLOOKUP(C1000,Inventory!$A:$C,3,FALSE),""))</f>
        <v/>
      </c>
      <c r="F1000" s="187"/>
      <c r="G1000" s="180" t="str">
        <f>IF(C1000="","",IFERROR(VLOOKUP(C1000,Inventory!$A:$I,9,FALSE),0))</f>
        <v/>
      </c>
      <c r="H1000" s="189" t="str">
        <f t="shared" si="1"/>
        <v/>
      </c>
      <c r="I1000" s="190" t="str">
        <f t="shared" si="2"/>
        <v/>
      </c>
      <c r="J1000" s="191"/>
      <c r="K1000" s="191" t="str">
        <f t="shared" si="3"/>
        <v/>
      </c>
      <c r="L1000" s="187"/>
      <c r="M1000" s="192" t="str">
        <f t="shared" si="4"/>
        <v/>
      </c>
      <c r="N1000" s="185" t="str">
        <f t="shared" si="5"/>
        <v/>
      </c>
    </row>
    <row r="1001" ht="15.0" customHeight="1">
      <c r="A1001" s="186"/>
      <c r="B1001" s="187"/>
      <c r="C1001" s="187"/>
      <c r="D1001" s="188" t="str">
        <f>IF(C1001="","",IFERROR(VLOOKUP(C1001,Inventory!$A:$B,2,FALSE),""))</f>
        <v/>
      </c>
      <c r="E1001" s="188" t="str">
        <f>IF(C1001="","",IFERROR(VLOOKUP(C1001,Inventory!$A:$C,3,FALSE),""))</f>
        <v/>
      </c>
      <c r="F1001" s="187"/>
      <c r="G1001" s="180" t="str">
        <f>IF(C1001="","",IFERROR(VLOOKUP(C1001,Inventory!$A:$I,9,FALSE),0))</f>
        <v/>
      </c>
      <c r="H1001" s="189" t="str">
        <f t="shared" si="1"/>
        <v/>
      </c>
      <c r="I1001" s="190" t="str">
        <f t="shared" si="2"/>
        <v/>
      </c>
      <c r="J1001" s="191"/>
      <c r="K1001" s="191" t="str">
        <f t="shared" si="3"/>
        <v/>
      </c>
      <c r="L1001" s="187"/>
      <c r="M1001" s="192" t="str">
        <f t="shared" si="4"/>
        <v/>
      </c>
      <c r="N1001" s="185" t="str">
        <f t="shared" si="5"/>
        <v/>
      </c>
    </row>
    <row r="1002" ht="15.0" customHeight="1">
      <c r="A1002" s="186"/>
      <c r="B1002" s="187"/>
      <c r="C1002" s="187"/>
      <c r="D1002" s="188" t="str">
        <f>IF(C1002="","",IFERROR(VLOOKUP(C1002,Inventory!$A:$B,2,FALSE),""))</f>
        <v/>
      </c>
      <c r="E1002" s="188" t="str">
        <f>IF(C1002="","",IFERROR(VLOOKUP(C1002,Inventory!$A:$C,3,FALSE),""))</f>
        <v/>
      </c>
      <c r="F1002" s="187"/>
      <c r="G1002" s="180" t="str">
        <f>IF(C1002="","",IFERROR(VLOOKUP(C1002,Inventory!$A:$I,9,FALSE),0))</f>
        <v/>
      </c>
      <c r="H1002" s="189" t="str">
        <f t="shared" si="1"/>
        <v/>
      </c>
      <c r="I1002" s="190" t="str">
        <f t="shared" si="2"/>
        <v/>
      </c>
      <c r="J1002" s="191"/>
      <c r="K1002" s="191" t="str">
        <f t="shared" si="3"/>
        <v/>
      </c>
      <c r="L1002" s="187"/>
      <c r="M1002" s="192" t="str">
        <f t="shared" si="4"/>
        <v/>
      </c>
      <c r="N1002" s="185" t="str">
        <f t="shared" si="5"/>
        <v/>
      </c>
    </row>
    <row r="1003" ht="15.0" customHeight="1">
      <c r="A1003" s="186"/>
      <c r="B1003" s="187"/>
      <c r="C1003" s="187"/>
      <c r="D1003" s="188" t="str">
        <f>IF(C1003="","",IFERROR(VLOOKUP(C1003,Inventory!$A:$B,2,FALSE),""))</f>
        <v/>
      </c>
      <c r="E1003" s="188" t="str">
        <f>IF(C1003="","",IFERROR(VLOOKUP(C1003,Inventory!$A:$C,3,FALSE),""))</f>
        <v/>
      </c>
      <c r="F1003" s="187"/>
      <c r="G1003" s="180" t="str">
        <f>IF(C1003="","",IFERROR(VLOOKUP(C1003,Inventory!$A:$I,9,FALSE),0))</f>
        <v/>
      </c>
      <c r="H1003" s="189" t="str">
        <f t="shared" si="1"/>
        <v/>
      </c>
      <c r="I1003" s="190" t="str">
        <f t="shared" si="2"/>
        <v/>
      </c>
      <c r="J1003" s="191"/>
      <c r="K1003" s="191" t="str">
        <f t="shared" si="3"/>
        <v/>
      </c>
      <c r="L1003" s="187"/>
      <c r="M1003" s="192" t="str">
        <f t="shared" si="4"/>
        <v/>
      </c>
      <c r="N1003" s="185" t="str">
        <f t="shared" si="5"/>
        <v/>
      </c>
    </row>
    <row r="1004" ht="15.0" customHeight="1">
      <c r="A1004" s="186"/>
      <c r="B1004" s="187"/>
      <c r="C1004" s="187"/>
      <c r="D1004" s="188" t="str">
        <f>IF(C1004="","",IFERROR(VLOOKUP(C1004,Inventory!$A:$B,2,FALSE),""))</f>
        <v/>
      </c>
      <c r="E1004" s="188" t="str">
        <f>IF(C1004="","",IFERROR(VLOOKUP(C1004,Inventory!$A:$C,3,FALSE),""))</f>
        <v/>
      </c>
      <c r="F1004" s="187"/>
      <c r="G1004" s="180" t="str">
        <f>IF(C1004="","",IFERROR(VLOOKUP(C1004,Inventory!$A:$I,9,FALSE),0))</f>
        <v/>
      </c>
      <c r="H1004" s="189" t="str">
        <f t="shared" si="1"/>
        <v/>
      </c>
      <c r="I1004" s="190" t="str">
        <f t="shared" si="2"/>
        <v/>
      </c>
      <c r="J1004" s="191"/>
      <c r="K1004" s="191" t="str">
        <f t="shared" si="3"/>
        <v/>
      </c>
      <c r="L1004" s="187"/>
      <c r="M1004" s="192" t="str">
        <f t="shared" si="4"/>
        <v/>
      </c>
      <c r="N1004" s="185" t="str">
        <f t="shared" si="5"/>
        <v/>
      </c>
    </row>
  </sheetData>
  <customSheetViews>
    <customSheetView guid="{674B386A-196C-4093-ADF8-AAC931392881}" filter="1" showAutoFilter="1">
      <autoFilter ref="$A$4:$N$1004"/>
    </customSheetView>
  </customSheetViews>
  <dataValidations>
    <dataValidation type="list" allowBlank="1" showErrorMessage="1" sqref="C5:C1004">
      <formula1>$P$5:$P$254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43"/>
    <col customWidth="1" min="2" max="2" width="12.71"/>
    <col customWidth="1" min="3" max="3" width="21.71"/>
    <col customWidth="1" min="4" max="4" width="7.71"/>
    <col customWidth="1" min="5" max="6" width="8.71"/>
  </cols>
  <sheetData>
    <row r="1" ht="14.25" customHeight="1">
      <c r="A1" s="11" t="s">
        <v>719</v>
      </c>
    </row>
    <row r="2" ht="14.25" customHeight="1">
      <c r="A2" s="2" t="s">
        <v>720</v>
      </c>
    </row>
    <row r="3" ht="14.25" customHeight="1">
      <c r="A3" s="14" t="s">
        <v>25</v>
      </c>
      <c r="B3" s="15"/>
      <c r="C3" s="18">
        <f>SUM('Shop Collections'!$C$5:$C$504)</f>
        <v>13500</v>
      </c>
      <c r="D3" s="15"/>
    </row>
    <row r="4" ht="14.25" customHeight="1">
      <c r="A4" s="24" t="s">
        <v>721</v>
      </c>
      <c r="B4" s="24" t="s">
        <v>707</v>
      </c>
      <c r="C4" s="24" t="s">
        <v>722</v>
      </c>
      <c r="D4" s="24" t="s">
        <v>54</v>
      </c>
    </row>
    <row r="5" ht="14.25" customHeight="1">
      <c r="A5" s="89">
        <v>46237.0</v>
      </c>
      <c r="B5" s="40" t="s">
        <v>716</v>
      </c>
      <c r="C5" s="194">
        <v>3500.0</v>
      </c>
      <c r="D5" s="40"/>
    </row>
    <row r="6" ht="14.25" customHeight="1">
      <c r="A6" s="89">
        <v>46250.0</v>
      </c>
      <c r="B6" s="36" t="s">
        <v>716</v>
      </c>
      <c r="C6" s="195">
        <v>10000.0</v>
      </c>
      <c r="D6" s="36"/>
    </row>
    <row r="7" ht="14.25" customHeight="1">
      <c r="A7" s="89"/>
      <c r="B7" s="36"/>
      <c r="C7" s="195"/>
      <c r="D7" s="36"/>
    </row>
    <row r="8" ht="14.25" customHeight="1">
      <c r="A8" s="89"/>
      <c r="B8" s="36"/>
      <c r="C8" s="195"/>
      <c r="D8" s="36"/>
    </row>
    <row r="9" ht="14.25" customHeight="1">
      <c r="A9" s="89"/>
      <c r="B9" s="36"/>
      <c r="C9" s="195"/>
      <c r="D9" s="36"/>
    </row>
    <row r="10" ht="14.25" customHeight="1">
      <c r="A10" s="89"/>
      <c r="B10" s="36"/>
      <c r="C10" s="195"/>
      <c r="D10" s="36"/>
    </row>
    <row r="11" ht="14.25" customHeight="1">
      <c r="A11" s="89"/>
      <c r="B11" s="36"/>
      <c r="C11" s="195"/>
      <c r="D11" s="36"/>
    </row>
    <row r="12" ht="14.25" customHeight="1">
      <c r="A12" s="89"/>
      <c r="B12" s="36"/>
      <c r="C12" s="195"/>
      <c r="D12" s="36"/>
    </row>
    <row r="13" ht="14.25" customHeight="1">
      <c r="A13" s="89"/>
      <c r="B13" s="36"/>
      <c r="C13" s="195"/>
      <c r="D13" s="36"/>
    </row>
    <row r="14" ht="14.25" customHeight="1">
      <c r="A14" s="89"/>
      <c r="B14" s="36"/>
      <c r="C14" s="195"/>
      <c r="D14" s="36"/>
    </row>
    <row r="15" ht="14.25" customHeight="1">
      <c r="A15" s="89"/>
      <c r="B15" s="36"/>
      <c r="C15" s="195"/>
      <c r="D15" s="36"/>
    </row>
    <row r="16" ht="14.25" customHeight="1">
      <c r="A16" s="89"/>
      <c r="B16" s="36"/>
      <c r="C16" s="195"/>
      <c r="D16" s="36"/>
    </row>
    <row r="17" ht="14.25" customHeight="1">
      <c r="A17" s="89"/>
      <c r="B17" s="36"/>
      <c r="C17" s="195"/>
      <c r="D17" s="36"/>
    </row>
    <row r="18" ht="14.25" customHeight="1">
      <c r="A18" s="89"/>
      <c r="B18" s="36"/>
      <c r="C18" s="195"/>
      <c r="D18" s="36"/>
    </row>
    <row r="19" ht="14.25" customHeight="1">
      <c r="A19" s="89"/>
      <c r="B19" s="36"/>
      <c r="C19" s="195"/>
      <c r="D19" s="36"/>
    </row>
    <row r="20" ht="14.25" customHeight="1">
      <c r="A20" s="89"/>
      <c r="B20" s="36"/>
      <c r="C20" s="195"/>
      <c r="D20" s="36"/>
    </row>
    <row r="21" ht="14.25" customHeight="1">
      <c r="A21" s="89"/>
      <c r="B21" s="36"/>
      <c r="C21" s="195"/>
      <c r="D21" s="36"/>
    </row>
    <row r="22" ht="14.25" customHeight="1">
      <c r="A22" s="89"/>
      <c r="B22" s="36"/>
      <c r="C22" s="195"/>
      <c r="D22" s="36"/>
    </row>
    <row r="23" ht="14.25" customHeight="1">
      <c r="A23" s="89"/>
      <c r="B23" s="36"/>
      <c r="C23" s="195"/>
      <c r="D23" s="36"/>
    </row>
    <row r="24" ht="14.25" customHeight="1">
      <c r="A24" s="89"/>
      <c r="B24" s="36"/>
      <c r="C24" s="195"/>
      <c r="D24" s="36"/>
    </row>
    <row r="25" ht="14.25" customHeight="1">
      <c r="A25" s="89"/>
      <c r="B25" s="36"/>
      <c r="C25" s="195"/>
      <c r="D25" s="36"/>
    </row>
    <row r="26" ht="14.25" customHeight="1">
      <c r="A26" s="89"/>
      <c r="B26" s="36"/>
      <c r="C26" s="195"/>
      <c r="D26" s="36"/>
    </row>
    <row r="27" ht="14.25" customHeight="1">
      <c r="A27" s="89"/>
      <c r="B27" s="36"/>
      <c r="C27" s="195"/>
      <c r="D27" s="36"/>
    </row>
    <row r="28" ht="14.25" customHeight="1">
      <c r="A28" s="89"/>
      <c r="B28" s="36"/>
      <c r="C28" s="195"/>
      <c r="D28" s="36"/>
    </row>
    <row r="29" ht="14.25" customHeight="1">
      <c r="A29" s="89"/>
      <c r="B29" s="36"/>
      <c r="C29" s="195"/>
      <c r="D29" s="36"/>
    </row>
    <row r="30" ht="14.25" customHeight="1">
      <c r="A30" s="89"/>
      <c r="B30" s="36"/>
      <c r="C30" s="195"/>
      <c r="D30" s="36"/>
    </row>
    <row r="31" ht="14.25" customHeight="1">
      <c r="A31" s="89"/>
      <c r="B31" s="36"/>
      <c r="C31" s="195"/>
      <c r="D31" s="36"/>
    </row>
    <row r="32" ht="14.25" customHeight="1">
      <c r="A32" s="89"/>
      <c r="B32" s="36"/>
      <c r="C32" s="195"/>
      <c r="D32" s="36"/>
    </row>
    <row r="33" ht="14.25" customHeight="1">
      <c r="A33" s="89"/>
      <c r="B33" s="36"/>
      <c r="C33" s="195"/>
      <c r="D33" s="36"/>
    </row>
    <row r="34" ht="14.25" customHeight="1">
      <c r="A34" s="89"/>
      <c r="B34" s="36"/>
      <c r="C34" s="195"/>
      <c r="D34" s="36"/>
    </row>
    <row r="35" ht="14.25" customHeight="1">
      <c r="A35" s="89"/>
      <c r="B35" s="36"/>
      <c r="C35" s="195"/>
      <c r="D35" s="36"/>
    </row>
    <row r="36" ht="14.25" customHeight="1">
      <c r="A36" s="89"/>
      <c r="B36" s="36"/>
      <c r="C36" s="195"/>
      <c r="D36" s="36"/>
    </row>
    <row r="37" ht="14.25" customHeight="1">
      <c r="A37" s="89"/>
      <c r="B37" s="36"/>
      <c r="C37" s="195"/>
      <c r="D37" s="36"/>
    </row>
    <row r="38" ht="14.25" customHeight="1">
      <c r="A38" s="89"/>
      <c r="B38" s="36"/>
      <c r="C38" s="195"/>
      <c r="D38" s="36"/>
    </row>
    <row r="39" ht="14.25" customHeight="1">
      <c r="A39" s="89"/>
      <c r="B39" s="36"/>
      <c r="C39" s="195"/>
      <c r="D39" s="36"/>
    </row>
    <row r="40" ht="14.25" customHeight="1">
      <c r="A40" s="89"/>
      <c r="B40" s="36"/>
      <c r="C40" s="195"/>
      <c r="D40" s="36"/>
    </row>
    <row r="41" ht="14.25" customHeight="1">
      <c r="A41" s="89"/>
      <c r="B41" s="36"/>
      <c r="C41" s="195"/>
      <c r="D41" s="36"/>
    </row>
    <row r="42" ht="14.25" customHeight="1">
      <c r="A42" s="89"/>
      <c r="B42" s="36"/>
      <c r="C42" s="195"/>
      <c r="D42" s="36"/>
    </row>
    <row r="43" ht="14.25" customHeight="1">
      <c r="A43" s="89"/>
      <c r="B43" s="36"/>
      <c r="C43" s="195"/>
      <c r="D43" s="36"/>
    </row>
    <row r="44" ht="14.25" customHeight="1">
      <c r="A44" s="89"/>
      <c r="B44" s="36"/>
      <c r="C44" s="195"/>
      <c r="D44" s="36"/>
    </row>
    <row r="45" ht="14.25" customHeight="1">
      <c r="A45" s="89"/>
      <c r="B45" s="36"/>
      <c r="C45" s="195"/>
      <c r="D45" s="36"/>
    </row>
    <row r="46" ht="14.25" customHeight="1">
      <c r="A46" s="89"/>
      <c r="B46" s="36"/>
      <c r="C46" s="195"/>
      <c r="D46" s="36"/>
    </row>
    <row r="47" ht="14.25" customHeight="1">
      <c r="A47" s="89"/>
      <c r="B47" s="36"/>
      <c r="C47" s="195"/>
      <c r="D47" s="36"/>
    </row>
    <row r="48" ht="14.25" customHeight="1">
      <c r="A48" s="89"/>
      <c r="B48" s="36"/>
      <c r="C48" s="195"/>
      <c r="D48" s="36"/>
    </row>
    <row r="49" ht="14.25" customHeight="1">
      <c r="A49" s="89"/>
      <c r="B49" s="36"/>
      <c r="C49" s="195"/>
      <c r="D49" s="36"/>
    </row>
    <row r="50" ht="14.25" customHeight="1">
      <c r="A50" s="89"/>
      <c r="B50" s="36"/>
      <c r="C50" s="195"/>
      <c r="D50" s="36"/>
    </row>
    <row r="51" ht="14.25" customHeight="1">
      <c r="A51" s="89"/>
      <c r="B51" s="36"/>
      <c r="C51" s="195"/>
      <c r="D51" s="36"/>
    </row>
    <row r="52" ht="14.25" customHeight="1">
      <c r="A52" s="89"/>
      <c r="B52" s="36"/>
      <c r="C52" s="195"/>
      <c r="D52" s="36"/>
    </row>
    <row r="53" ht="14.25" customHeight="1">
      <c r="A53" s="89"/>
      <c r="B53" s="36"/>
      <c r="C53" s="195"/>
      <c r="D53" s="36"/>
    </row>
    <row r="54" ht="14.25" customHeight="1">
      <c r="A54" s="89"/>
      <c r="B54" s="36"/>
      <c r="C54" s="195"/>
      <c r="D54" s="36"/>
    </row>
    <row r="55" ht="14.25" customHeight="1">
      <c r="A55" s="89"/>
      <c r="B55" s="36"/>
      <c r="C55" s="195"/>
      <c r="D55" s="36"/>
    </row>
    <row r="56" ht="14.25" customHeight="1">
      <c r="A56" s="89"/>
      <c r="B56" s="36"/>
      <c r="C56" s="195"/>
      <c r="D56" s="36"/>
    </row>
    <row r="57" ht="14.25" customHeight="1">
      <c r="A57" s="89"/>
      <c r="B57" s="36"/>
      <c r="C57" s="195"/>
      <c r="D57" s="36"/>
    </row>
    <row r="58" ht="14.25" customHeight="1">
      <c r="A58" s="89"/>
      <c r="B58" s="36"/>
      <c r="C58" s="195"/>
      <c r="D58" s="36"/>
    </row>
    <row r="59" ht="14.25" customHeight="1">
      <c r="A59" s="89"/>
      <c r="B59" s="36"/>
      <c r="C59" s="195"/>
      <c r="D59" s="36"/>
    </row>
    <row r="60" ht="14.25" customHeight="1">
      <c r="A60" s="89"/>
      <c r="B60" s="36"/>
      <c r="C60" s="195"/>
      <c r="D60" s="36"/>
    </row>
    <row r="61" ht="14.25" customHeight="1">
      <c r="A61" s="89"/>
      <c r="B61" s="36"/>
      <c r="C61" s="195"/>
      <c r="D61" s="36"/>
    </row>
    <row r="62" ht="14.25" customHeight="1">
      <c r="A62" s="89"/>
      <c r="B62" s="36"/>
      <c r="C62" s="195"/>
      <c r="D62" s="36"/>
    </row>
    <row r="63" ht="14.25" customHeight="1">
      <c r="A63" s="89"/>
      <c r="B63" s="36"/>
      <c r="C63" s="195"/>
      <c r="D63" s="36"/>
    </row>
    <row r="64" ht="14.25" customHeight="1">
      <c r="A64" s="89"/>
      <c r="B64" s="36"/>
      <c r="C64" s="195"/>
      <c r="D64" s="36"/>
    </row>
    <row r="65" ht="14.25" customHeight="1">
      <c r="A65" s="89"/>
      <c r="B65" s="36"/>
      <c r="C65" s="195"/>
      <c r="D65" s="36"/>
    </row>
    <row r="66" ht="14.25" customHeight="1">
      <c r="A66" s="89"/>
      <c r="B66" s="36"/>
      <c r="C66" s="195"/>
      <c r="D66" s="36"/>
    </row>
    <row r="67" ht="14.25" customHeight="1">
      <c r="A67" s="89"/>
      <c r="B67" s="36"/>
      <c r="C67" s="195"/>
      <c r="D67" s="36"/>
    </row>
    <row r="68" ht="14.25" customHeight="1">
      <c r="A68" s="89"/>
      <c r="B68" s="36"/>
      <c r="C68" s="195"/>
      <c r="D68" s="36"/>
    </row>
    <row r="69" ht="14.25" customHeight="1">
      <c r="A69" s="89"/>
      <c r="B69" s="36"/>
      <c r="C69" s="195"/>
      <c r="D69" s="36"/>
    </row>
    <row r="70" ht="14.25" customHeight="1">
      <c r="A70" s="89"/>
      <c r="B70" s="36"/>
      <c r="C70" s="195"/>
      <c r="D70" s="36"/>
    </row>
    <row r="71" ht="14.25" customHeight="1">
      <c r="A71" s="89"/>
      <c r="B71" s="36"/>
      <c r="C71" s="195"/>
      <c r="D71" s="36"/>
    </row>
    <row r="72" ht="14.25" customHeight="1">
      <c r="A72" s="89"/>
      <c r="B72" s="36"/>
      <c r="C72" s="195"/>
      <c r="D72" s="36"/>
    </row>
    <row r="73" ht="14.25" customHeight="1">
      <c r="A73" s="89"/>
      <c r="B73" s="36"/>
      <c r="C73" s="195"/>
      <c r="D73" s="36"/>
    </row>
    <row r="74" ht="14.25" customHeight="1">
      <c r="A74" s="89"/>
      <c r="B74" s="36"/>
      <c r="C74" s="195"/>
      <c r="D74" s="36"/>
    </row>
    <row r="75" ht="14.25" customHeight="1">
      <c r="A75" s="89"/>
      <c r="B75" s="36"/>
      <c r="C75" s="195"/>
      <c r="D75" s="36"/>
    </row>
    <row r="76" ht="14.25" customHeight="1">
      <c r="A76" s="89"/>
      <c r="B76" s="36"/>
      <c r="C76" s="195"/>
      <c r="D76" s="36"/>
    </row>
    <row r="77" ht="14.25" customHeight="1">
      <c r="A77" s="89"/>
      <c r="B77" s="36"/>
      <c r="C77" s="195"/>
      <c r="D77" s="36"/>
    </row>
    <row r="78" ht="14.25" customHeight="1">
      <c r="A78" s="89"/>
      <c r="B78" s="36"/>
      <c r="C78" s="195"/>
      <c r="D78" s="36"/>
    </row>
    <row r="79" ht="14.25" customHeight="1">
      <c r="A79" s="89"/>
      <c r="B79" s="36"/>
      <c r="C79" s="195"/>
      <c r="D79" s="36"/>
    </row>
    <row r="80" ht="14.25" customHeight="1">
      <c r="A80" s="89"/>
      <c r="B80" s="36"/>
      <c r="C80" s="195"/>
      <c r="D80" s="36"/>
    </row>
    <row r="81" ht="14.25" customHeight="1">
      <c r="A81" s="89"/>
      <c r="B81" s="36"/>
      <c r="C81" s="195"/>
      <c r="D81" s="36"/>
    </row>
    <row r="82" ht="14.25" customHeight="1">
      <c r="A82" s="89"/>
      <c r="B82" s="36"/>
      <c r="C82" s="195"/>
      <c r="D82" s="36"/>
    </row>
    <row r="83" ht="14.25" customHeight="1">
      <c r="A83" s="89"/>
      <c r="B83" s="36"/>
      <c r="C83" s="195"/>
      <c r="D83" s="36"/>
    </row>
    <row r="84" ht="14.25" customHeight="1">
      <c r="A84" s="89"/>
      <c r="B84" s="36"/>
      <c r="C84" s="195"/>
      <c r="D84" s="36"/>
    </row>
    <row r="85" ht="14.25" customHeight="1">
      <c r="A85" s="89"/>
      <c r="B85" s="36"/>
      <c r="C85" s="195"/>
      <c r="D85" s="36"/>
    </row>
    <row r="86" ht="14.25" customHeight="1">
      <c r="A86" s="89"/>
      <c r="B86" s="36"/>
      <c r="C86" s="195"/>
      <c r="D86" s="36"/>
    </row>
    <row r="87" ht="14.25" customHeight="1">
      <c r="A87" s="89"/>
      <c r="B87" s="36"/>
      <c r="C87" s="195"/>
      <c r="D87" s="36"/>
    </row>
    <row r="88" ht="14.25" customHeight="1">
      <c r="A88" s="89"/>
      <c r="B88" s="36"/>
      <c r="C88" s="195"/>
      <c r="D88" s="36"/>
    </row>
    <row r="89" ht="14.25" customHeight="1">
      <c r="A89" s="89"/>
      <c r="B89" s="36"/>
      <c r="C89" s="195"/>
      <c r="D89" s="36"/>
    </row>
    <row r="90" ht="14.25" customHeight="1">
      <c r="A90" s="89"/>
      <c r="B90" s="36"/>
      <c r="C90" s="195"/>
      <c r="D90" s="36"/>
    </row>
    <row r="91" ht="14.25" customHeight="1">
      <c r="A91" s="89"/>
      <c r="B91" s="36"/>
      <c r="C91" s="195"/>
      <c r="D91" s="36"/>
    </row>
    <row r="92" ht="14.25" customHeight="1">
      <c r="A92" s="89"/>
      <c r="B92" s="36"/>
      <c r="C92" s="195"/>
      <c r="D92" s="36"/>
    </row>
    <row r="93" ht="14.25" customHeight="1">
      <c r="A93" s="89"/>
      <c r="B93" s="36"/>
      <c r="C93" s="195"/>
      <c r="D93" s="36"/>
    </row>
    <row r="94" ht="14.25" customHeight="1">
      <c r="A94" s="89"/>
      <c r="B94" s="36"/>
      <c r="C94" s="195"/>
      <c r="D94" s="36"/>
    </row>
    <row r="95" ht="14.25" customHeight="1">
      <c r="A95" s="89"/>
      <c r="B95" s="36"/>
      <c r="C95" s="195"/>
      <c r="D95" s="36"/>
    </row>
    <row r="96" ht="14.25" customHeight="1">
      <c r="A96" s="89"/>
      <c r="B96" s="36"/>
      <c r="C96" s="195"/>
      <c r="D96" s="36"/>
    </row>
    <row r="97" ht="14.25" customHeight="1">
      <c r="A97" s="89"/>
      <c r="B97" s="36"/>
      <c r="C97" s="195"/>
      <c r="D97" s="36"/>
    </row>
    <row r="98" ht="14.25" customHeight="1">
      <c r="A98" s="89"/>
      <c r="B98" s="36"/>
      <c r="C98" s="195"/>
      <c r="D98" s="36"/>
    </row>
    <row r="99" ht="14.25" customHeight="1">
      <c r="A99" s="89"/>
      <c r="B99" s="36"/>
      <c r="C99" s="195"/>
      <c r="D99" s="36"/>
    </row>
    <row r="100" ht="14.25" customHeight="1">
      <c r="A100" s="89"/>
      <c r="B100" s="36"/>
      <c r="C100" s="195"/>
      <c r="D100" s="36"/>
    </row>
    <row r="101" ht="14.25" customHeight="1">
      <c r="A101" s="89"/>
      <c r="B101" s="36"/>
      <c r="C101" s="195"/>
      <c r="D101" s="36"/>
    </row>
    <row r="102" ht="14.25" customHeight="1">
      <c r="A102" s="89"/>
      <c r="B102" s="36"/>
      <c r="C102" s="195"/>
      <c r="D102" s="36"/>
    </row>
    <row r="103" ht="14.25" customHeight="1">
      <c r="A103" s="89"/>
      <c r="B103" s="36"/>
      <c r="C103" s="195"/>
      <c r="D103" s="36"/>
    </row>
    <row r="104" ht="14.25" customHeight="1">
      <c r="A104" s="89"/>
      <c r="B104" s="36"/>
      <c r="C104" s="195"/>
      <c r="D104" s="36"/>
    </row>
    <row r="105" ht="14.25" customHeight="1">
      <c r="A105" s="89"/>
      <c r="B105" s="36"/>
      <c r="C105" s="195"/>
      <c r="D105" s="36"/>
    </row>
    <row r="106" ht="14.25" customHeight="1">
      <c r="A106" s="89"/>
      <c r="B106" s="36"/>
      <c r="C106" s="195"/>
      <c r="D106" s="36"/>
    </row>
    <row r="107" ht="14.25" customHeight="1">
      <c r="A107" s="89"/>
      <c r="B107" s="36"/>
      <c r="C107" s="195"/>
      <c r="D107" s="36"/>
    </row>
    <row r="108" ht="14.25" customHeight="1">
      <c r="A108" s="89"/>
      <c r="B108" s="36"/>
      <c r="C108" s="195"/>
      <c r="D108" s="36"/>
    </row>
    <row r="109" ht="14.25" customHeight="1">
      <c r="A109" s="89"/>
      <c r="B109" s="36"/>
      <c r="C109" s="195"/>
      <c r="D109" s="36"/>
    </row>
    <row r="110" ht="14.25" customHeight="1">
      <c r="A110" s="89"/>
      <c r="B110" s="36"/>
      <c r="C110" s="195"/>
      <c r="D110" s="36"/>
    </row>
    <row r="111" ht="14.25" customHeight="1">
      <c r="A111" s="89"/>
      <c r="B111" s="36"/>
      <c r="C111" s="195"/>
      <c r="D111" s="36"/>
    </row>
    <row r="112" ht="14.25" customHeight="1">
      <c r="A112" s="89"/>
      <c r="B112" s="36"/>
      <c r="C112" s="195"/>
      <c r="D112" s="36"/>
    </row>
    <row r="113" ht="14.25" customHeight="1">
      <c r="A113" s="89"/>
      <c r="B113" s="36"/>
      <c r="C113" s="195"/>
      <c r="D113" s="36"/>
    </row>
    <row r="114" ht="14.25" customHeight="1">
      <c r="A114" s="89"/>
      <c r="B114" s="36"/>
      <c r="C114" s="195"/>
      <c r="D114" s="36"/>
    </row>
    <row r="115" ht="14.25" customHeight="1">
      <c r="A115" s="89"/>
      <c r="B115" s="36"/>
      <c r="C115" s="195"/>
      <c r="D115" s="36"/>
    </row>
    <row r="116" ht="14.25" customHeight="1">
      <c r="A116" s="89"/>
      <c r="B116" s="36"/>
      <c r="C116" s="195"/>
      <c r="D116" s="36"/>
    </row>
    <row r="117" ht="14.25" customHeight="1">
      <c r="A117" s="89"/>
      <c r="B117" s="36"/>
      <c r="C117" s="195"/>
      <c r="D117" s="36"/>
    </row>
    <row r="118" ht="14.25" customHeight="1">
      <c r="A118" s="89"/>
      <c r="B118" s="36"/>
      <c r="C118" s="195"/>
      <c r="D118" s="36"/>
    </row>
    <row r="119" ht="14.25" customHeight="1">
      <c r="A119" s="89"/>
      <c r="B119" s="36"/>
      <c r="C119" s="195"/>
      <c r="D119" s="36"/>
    </row>
    <row r="120" ht="14.25" customHeight="1">
      <c r="A120" s="89"/>
      <c r="B120" s="36"/>
      <c r="C120" s="195"/>
      <c r="D120" s="36"/>
    </row>
    <row r="121" ht="14.25" customHeight="1">
      <c r="A121" s="89"/>
      <c r="B121" s="36"/>
      <c r="C121" s="195"/>
      <c r="D121" s="36"/>
    </row>
    <row r="122" ht="14.25" customHeight="1">
      <c r="A122" s="89"/>
      <c r="B122" s="36"/>
      <c r="C122" s="195"/>
      <c r="D122" s="36"/>
    </row>
    <row r="123" ht="14.25" customHeight="1">
      <c r="A123" s="89"/>
      <c r="B123" s="36"/>
      <c r="C123" s="195"/>
      <c r="D123" s="36"/>
    </row>
    <row r="124" ht="14.25" customHeight="1">
      <c r="A124" s="89"/>
      <c r="B124" s="36"/>
      <c r="C124" s="195"/>
      <c r="D124" s="36"/>
    </row>
    <row r="125" ht="14.25" customHeight="1">
      <c r="A125" s="89"/>
      <c r="B125" s="36"/>
      <c r="C125" s="195"/>
      <c r="D125" s="36"/>
    </row>
    <row r="126" ht="14.25" customHeight="1">
      <c r="A126" s="89"/>
      <c r="B126" s="36"/>
      <c r="C126" s="195"/>
      <c r="D126" s="36"/>
    </row>
    <row r="127" ht="14.25" customHeight="1">
      <c r="A127" s="89"/>
      <c r="B127" s="36"/>
      <c r="C127" s="195"/>
      <c r="D127" s="36"/>
    </row>
    <row r="128" ht="14.25" customHeight="1">
      <c r="A128" s="89"/>
      <c r="B128" s="36"/>
      <c r="C128" s="195"/>
      <c r="D128" s="36"/>
    </row>
    <row r="129" ht="14.25" customHeight="1">
      <c r="A129" s="89"/>
      <c r="B129" s="36"/>
      <c r="C129" s="195"/>
      <c r="D129" s="36"/>
    </row>
    <row r="130" ht="14.25" customHeight="1">
      <c r="A130" s="89"/>
      <c r="B130" s="36"/>
      <c r="C130" s="195"/>
      <c r="D130" s="36"/>
    </row>
    <row r="131" ht="14.25" customHeight="1">
      <c r="A131" s="89"/>
      <c r="B131" s="36"/>
      <c r="C131" s="195"/>
      <c r="D131" s="36"/>
    </row>
    <row r="132" ht="14.25" customHeight="1">
      <c r="A132" s="89"/>
      <c r="B132" s="36"/>
      <c r="C132" s="195"/>
      <c r="D132" s="36"/>
    </row>
    <row r="133" ht="14.25" customHeight="1">
      <c r="A133" s="89"/>
      <c r="B133" s="36"/>
      <c r="C133" s="195"/>
      <c r="D133" s="36"/>
    </row>
    <row r="134" ht="14.25" customHeight="1">
      <c r="A134" s="89"/>
      <c r="B134" s="36"/>
      <c r="C134" s="195"/>
      <c r="D134" s="36"/>
    </row>
    <row r="135" ht="14.25" customHeight="1">
      <c r="A135" s="89"/>
      <c r="B135" s="36"/>
      <c r="C135" s="195"/>
      <c r="D135" s="36"/>
    </row>
    <row r="136" ht="14.25" customHeight="1">
      <c r="A136" s="89"/>
      <c r="B136" s="36"/>
      <c r="C136" s="195"/>
      <c r="D136" s="36"/>
    </row>
    <row r="137" ht="14.25" customHeight="1">
      <c r="A137" s="89"/>
      <c r="B137" s="36"/>
      <c r="C137" s="195"/>
      <c r="D137" s="36"/>
    </row>
    <row r="138" ht="14.25" customHeight="1">
      <c r="A138" s="89"/>
      <c r="B138" s="36"/>
      <c r="C138" s="195"/>
      <c r="D138" s="36"/>
    </row>
    <row r="139" ht="14.25" customHeight="1">
      <c r="A139" s="89"/>
      <c r="B139" s="36"/>
      <c r="C139" s="195"/>
      <c r="D139" s="36"/>
    </row>
    <row r="140" ht="14.25" customHeight="1">
      <c r="A140" s="89"/>
      <c r="B140" s="36"/>
      <c r="C140" s="195"/>
      <c r="D140" s="36"/>
    </row>
    <row r="141" ht="14.25" customHeight="1">
      <c r="A141" s="89"/>
      <c r="B141" s="36"/>
      <c r="C141" s="195"/>
      <c r="D141" s="36"/>
    </row>
    <row r="142" ht="14.25" customHeight="1">
      <c r="A142" s="89"/>
      <c r="B142" s="36"/>
      <c r="C142" s="195"/>
      <c r="D142" s="36"/>
    </row>
    <row r="143" ht="14.25" customHeight="1">
      <c r="A143" s="89"/>
      <c r="B143" s="36"/>
      <c r="C143" s="195"/>
      <c r="D143" s="36"/>
    </row>
    <row r="144" ht="14.25" customHeight="1">
      <c r="A144" s="89"/>
      <c r="B144" s="36"/>
      <c r="C144" s="195"/>
      <c r="D144" s="36"/>
    </row>
    <row r="145" ht="14.25" customHeight="1">
      <c r="A145" s="89"/>
      <c r="B145" s="36"/>
      <c r="C145" s="195"/>
      <c r="D145" s="36"/>
    </row>
    <row r="146" ht="14.25" customHeight="1">
      <c r="A146" s="89"/>
      <c r="B146" s="36"/>
      <c r="C146" s="195"/>
      <c r="D146" s="36"/>
    </row>
    <row r="147" ht="14.25" customHeight="1">
      <c r="A147" s="89"/>
      <c r="B147" s="36"/>
      <c r="C147" s="195"/>
      <c r="D147" s="36"/>
    </row>
    <row r="148" ht="14.25" customHeight="1">
      <c r="A148" s="89"/>
      <c r="B148" s="36"/>
      <c r="C148" s="195"/>
      <c r="D148" s="36"/>
    </row>
    <row r="149" ht="14.25" customHeight="1">
      <c r="A149" s="89"/>
      <c r="B149" s="36"/>
      <c r="C149" s="195"/>
      <c r="D149" s="36"/>
    </row>
    <row r="150" ht="14.25" customHeight="1">
      <c r="A150" s="89"/>
      <c r="B150" s="36"/>
      <c r="C150" s="195"/>
      <c r="D150" s="36"/>
    </row>
    <row r="151" ht="14.25" customHeight="1">
      <c r="A151" s="89"/>
      <c r="B151" s="36"/>
      <c r="C151" s="195"/>
      <c r="D151" s="36"/>
    </row>
    <row r="152" ht="14.25" customHeight="1">
      <c r="A152" s="89"/>
      <c r="B152" s="36"/>
      <c r="C152" s="195"/>
      <c r="D152" s="36"/>
    </row>
    <row r="153" ht="14.25" customHeight="1">
      <c r="A153" s="89"/>
      <c r="B153" s="36"/>
      <c r="C153" s="195"/>
      <c r="D153" s="36"/>
    </row>
    <row r="154" ht="14.25" customHeight="1">
      <c r="A154" s="89"/>
      <c r="B154" s="36"/>
      <c r="C154" s="195"/>
      <c r="D154" s="36"/>
    </row>
    <row r="155" ht="14.25" customHeight="1">
      <c r="A155" s="89"/>
      <c r="B155" s="36"/>
      <c r="C155" s="195"/>
      <c r="D155" s="36"/>
    </row>
    <row r="156" ht="14.25" customHeight="1">
      <c r="A156" s="89"/>
      <c r="B156" s="36"/>
      <c r="C156" s="195"/>
      <c r="D156" s="36"/>
    </row>
    <row r="157" ht="14.25" customHeight="1">
      <c r="A157" s="89"/>
      <c r="B157" s="36"/>
      <c r="C157" s="195"/>
      <c r="D157" s="36"/>
    </row>
    <row r="158" ht="14.25" customHeight="1">
      <c r="A158" s="89"/>
      <c r="B158" s="36"/>
      <c r="C158" s="195"/>
      <c r="D158" s="36"/>
    </row>
    <row r="159" ht="14.25" customHeight="1">
      <c r="A159" s="89"/>
      <c r="B159" s="36"/>
      <c r="C159" s="195"/>
      <c r="D159" s="36"/>
    </row>
    <row r="160" ht="14.25" customHeight="1">
      <c r="A160" s="89"/>
      <c r="B160" s="36"/>
      <c r="C160" s="195"/>
      <c r="D160" s="36"/>
    </row>
    <row r="161" ht="14.25" customHeight="1">
      <c r="A161" s="89"/>
      <c r="B161" s="36"/>
      <c r="C161" s="195"/>
      <c r="D161" s="36"/>
    </row>
    <row r="162" ht="14.25" customHeight="1">
      <c r="A162" s="89"/>
      <c r="B162" s="36"/>
      <c r="C162" s="195"/>
      <c r="D162" s="36"/>
    </row>
    <row r="163" ht="14.25" customHeight="1">
      <c r="A163" s="89"/>
      <c r="B163" s="36"/>
      <c r="C163" s="195"/>
      <c r="D163" s="36"/>
    </row>
    <row r="164" ht="14.25" customHeight="1">
      <c r="A164" s="89"/>
      <c r="B164" s="36"/>
      <c r="C164" s="195"/>
      <c r="D164" s="36"/>
    </row>
    <row r="165" ht="14.25" customHeight="1">
      <c r="A165" s="89"/>
      <c r="B165" s="36"/>
      <c r="C165" s="195"/>
      <c r="D165" s="36"/>
    </row>
    <row r="166" ht="14.25" customHeight="1">
      <c r="A166" s="89"/>
      <c r="B166" s="36"/>
      <c r="C166" s="195"/>
      <c r="D166" s="36"/>
    </row>
    <row r="167" ht="14.25" customHeight="1">
      <c r="A167" s="89"/>
      <c r="B167" s="36"/>
      <c r="C167" s="195"/>
      <c r="D167" s="36"/>
    </row>
    <row r="168" ht="14.25" customHeight="1">
      <c r="A168" s="89"/>
      <c r="B168" s="36"/>
      <c r="C168" s="195"/>
      <c r="D168" s="36"/>
    </row>
    <row r="169" ht="14.25" customHeight="1">
      <c r="A169" s="89"/>
      <c r="B169" s="36"/>
      <c r="C169" s="195"/>
      <c r="D169" s="36"/>
    </row>
    <row r="170" ht="14.25" customHeight="1">
      <c r="A170" s="89"/>
      <c r="B170" s="36"/>
      <c r="C170" s="195"/>
      <c r="D170" s="36"/>
    </row>
    <row r="171" ht="14.25" customHeight="1">
      <c r="A171" s="89"/>
      <c r="B171" s="36"/>
      <c r="C171" s="195"/>
      <c r="D171" s="36"/>
    </row>
    <row r="172" ht="14.25" customHeight="1">
      <c r="A172" s="89"/>
      <c r="B172" s="36"/>
      <c r="C172" s="195"/>
      <c r="D172" s="36"/>
    </row>
    <row r="173" ht="14.25" customHeight="1">
      <c r="A173" s="89"/>
      <c r="B173" s="36"/>
      <c r="C173" s="195"/>
      <c r="D173" s="36"/>
    </row>
    <row r="174" ht="14.25" customHeight="1">
      <c r="A174" s="89"/>
      <c r="B174" s="36"/>
      <c r="C174" s="195"/>
      <c r="D174" s="36"/>
    </row>
    <row r="175" ht="14.25" customHeight="1">
      <c r="A175" s="89"/>
      <c r="B175" s="36"/>
      <c r="C175" s="195"/>
      <c r="D175" s="36"/>
    </row>
    <row r="176" ht="14.25" customHeight="1">
      <c r="A176" s="89"/>
      <c r="B176" s="36"/>
      <c r="C176" s="195"/>
      <c r="D176" s="36"/>
    </row>
    <row r="177" ht="14.25" customHeight="1">
      <c r="A177" s="89"/>
      <c r="B177" s="36"/>
      <c r="C177" s="195"/>
      <c r="D177" s="36"/>
    </row>
    <row r="178" ht="14.25" customHeight="1">
      <c r="A178" s="89"/>
      <c r="B178" s="36"/>
      <c r="C178" s="195"/>
      <c r="D178" s="36"/>
    </row>
    <row r="179" ht="14.25" customHeight="1">
      <c r="A179" s="89"/>
      <c r="B179" s="36"/>
      <c r="C179" s="195"/>
      <c r="D179" s="36"/>
    </row>
    <row r="180" ht="14.25" customHeight="1">
      <c r="A180" s="89"/>
      <c r="B180" s="36"/>
      <c r="C180" s="195"/>
      <c r="D180" s="36"/>
    </row>
    <row r="181" ht="14.25" customHeight="1">
      <c r="A181" s="89"/>
      <c r="B181" s="36"/>
      <c r="C181" s="195"/>
      <c r="D181" s="36"/>
    </row>
    <row r="182" ht="14.25" customHeight="1">
      <c r="A182" s="89"/>
      <c r="B182" s="36"/>
      <c r="C182" s="195"/>
      <c r="D182" s="36"/>
    </row>
    <row r="183" ht="14.25" customHeight="1">
      <c r="A183" s="89"/>
      <c r="B183" s="36"/>
      <c r="C183" s="195"/>
      <c r="D183" s="36"/>
    </row>
    <row r="184" ht="14.25" customHeight="1">
      <c r="A184" s="89"/>
      <c r="B184" s="36"/>
      <c r="C184" s="195"/>
      <c r="D184" s="36"/>
    </row>
    <row r="185" ht="14.25" customHeight="1">
      <c r="A185" s="89"/>
      <c r="B185" s="36"/>
      <c r="C185" s="195"/>
      <c r="D185" s="36"/>
    </row>
    <row r="186" ht="14.25" customHeight="1">
      <c r="A186" s="89"/>
      <c r="B186" s="36"/>
      <c r="C186" s="195"/>
      <c r="D186" s="36"/>
    </row>
    <row r="187" ht="14.25" customHeight="1">
      <c r="A187" s="89"/>
      <c r="B187" s="36"/>
      <c r="C187" s="195"/>
      <c r="D187" s="36"/>
    </row>
    <row r="188" ht="14.25" customHeight="1">
      <c r="A188" s="89"/>
      <c r="B188" s="36"/>
      <c r="C188" s="195"/>
      <c r="D188" s="36"/>
    </row>
    <row r="189" ht="14.25" customHeight="1">
      <c r="A189" s="89"/>
      <c r="B189" s="36"/>
      <c r="C189" s="195"/>
      <c r="D189" s="36"/>
    </row>
    <row r="190" ht="14.25" customHeight="1">
      <c r="A190" s="89"/>
      <c r="B190" s="36"/>
      <c r="C190" s="195"/>
      <c r="D190" s="36"/>
    </row>
    <row r="191" ht="14.25" customHeight="1">
      <c r="A191" s="89"/>
      <c r="B191" s="36"/>
      <c r="C191" s="195"/>
      <c r="D191" s="36"/>
    </row>
    <row r="192" ht="14.25" customHeight="1">
      <c r="A192" s="89"/>
      <c r="B192" s="36"/>
      <c r="C192" s="195"/>
      <c r="D192" s="36"/>
    </row>
    <row r="193" ht="14.25" customHeight="1">
      <c r="A193" s="89"/>
      <c r="B193" s="36"/>
      <c r="C193" s="195"/>
      <c r="D193" s="36"/>
    </row>
    <row r="194" ht="14.25" customHeight="1">
      <c r="A194" s="89"/>
      <c r="B194" s="36"/>
      <c r="C194" s="195"/>
      <c r="D194" s="36"/>
    </row>
    <row r="195" ht="14.25" customHeight="1">
      <c r="A195" s="89"/>
      <c r="B195" s="36"/>
      <c r="C195" s="195"/>
      <c r="D195" s="36"/>
    </row>
    <row r="196" ht="14.25" customHeight="1">
      <c r="A196" s="89"/>
      <c r="B196" s="36"/>
      <c r="C196" s="195"/>
      <c r="D196" s="36"/>
    </row>
    <row r="197" ht="14.25" customHeight="1">
      <c r="A197" s="89"/>
      <c r="B197" s="36"/>
      <c r="C197" s="195"/>
      <c r="D197" s="36"/>
    </row>
    <row r="198" ht="14.25" customHeight="1">
      <c r="A198" s="89"/>
      <c r="B198" s="36"/>
      <c r="C198" s="195"/>
      <c r="D198" s="36"/>
    </row>
    <row r="199" ht="14.25" customHeight="1">
      <c r="A199" s="89"/>
      <c r="B199" s="36"/>
      <c r="C199" s="195"/>
      <c r="D199" s="36"/>
    </row>
    <row r="200" ht="14.25" customHeight="1">
      <c r="A200" s="89"/>
      <c r="B200" s="36"/>
      <c r="C200" s="195"/>
      <c r="D200" s="36"/>
    </row>
    <row r="201" ht="14.25" customHeight="1">
      <c r="A201" s="89"/>
      <c r="B201" s="36"/>
      <c r="C201" s="195"/>
      <c r="D201" s="36"/>
    </row>
    <row r="202" ht="14.25" customHeight="1">
      <c r="A202" s="89"/>
      <c r="B202" s="36"/>
      <c r="C202" s="195"/>
      <c r="D202" s="36"/>
    </row>
    <row r="203" ht="14.25" customHeight="1">
      <c r="A203" s="89"/>
      <c r="B203" s="36"/>
      <c r="C203" s="195"/>
      <c r="D203" s="36"/>
    </row>
    <row r="204" ht="14.25" customHeight="1">
      <c r="A204" s="89"/>
      <c r="B204" s="36"/>
      <c r="C204" s="195"/>
      <c r="D204" s="36"/>
    </row>
    <row r="205" ht="14.25" customHeight="1">
      <c r="A205" s="89"/>
      <c r="B205" s="36"/>
      <c r="C205" s="195"/>
      <c r="D205" s="36"/>
    </row>
    <row r="206" ht="14.25" customHeight="1">
      <c r="A206" s="89"/>
      <c r="B206" s="36"/>
      <c r="C206" s="195"/>
      <c r="D206" s="36"/>
    </row>
    <row r="207" ht="15.75" customHeight="1">
      <c r="A207" s="89"/>
      <c r="B207" s="36"/>
      <c r="C207" s="195"/>
      <c r="D207" s="36"/>
    </row>
    <row r="208" ht="15.75" customHeight="1">
      <c r="A208" s="89"/>
      <c r="B208" s="36"/>
      <c r="C208" s="195"/>
      <c r="D208" s="36"/>
    </row>
    <row r="209" ht="15.75" customHeight="1">
      <c r="A209" s="89"/>
      <c r="B209" s="36"/>
      <c r="C209" s="195"/>
      <c r="D209" s="36"/>
    </row>
    <row r="210" ht="15.75" customHeight="1">
      <c r="A210" s="89"/>
      <c r="B210" s="36"/>
      <c r="C210" s="195"/>
      <c r="D210" s="36"/>
    </row>
    <row r="211" ht="15.75" customHeight="1">
      <c r="A211" s="89"/>
      <c r="B211" s="36"/>
      <c r="C211" s="195"/>
      <c r="D211" s="36"/>
    </row>
    <row r="212" ht="15.75" customHeight="1">
      <c r="A212" s="89"/>
      <c r="B212" s="36"/>
      <c r="C212" s="195"/>
      <c r="D212" s="36"/>
    </row>
    <row r="213" ht="15.75" customHeight="1">
      <c r="A213" s="89"/>
      <c r="B213" s="36"/>
      <c r="C213" s="195"/>
      <c r="D213" s="36"/>
    </row>
    <row r="214" ht="15.75" customHeight="1">
      <c r="A214" s="89"/>
      <c r="B214" s="36"/>
      <c r="C214" s="195"/>
      <c r="D214" s="36"/>
    </row>
    <row r="215" ht="15.75" customHeight="1">
      <c r="A215" s="89"/>
      <c r="B215" s="36"/>
      <c r="C215" s="195"/>
      <c r="D215" s="36"/>
    </row>
    <row r="216" ht="15.75" customHeight="1">
      <c r="A216" s="89"/>
      <c r="B216" s="36"/>
      <c r="C216" s="195"/>
      <c r="D216" s="36"/>
    </row>
    <row r="217" ht="15.75" customHeight="1">
      <c r="A217" s="89"/>
      <c r="B217" s="36"/>
      <c r="C217" s="195"/>
      <c r="D217" s="36"/>
    </row>
    <row r="218" ht="15.75" customHeight="1">
      <c r="A218" s="89"/>
      <c r="B218" s="36"/>
      <c r="C218" s="195"/>
      <c r="D218" s="36"/>
    </row>
    <row r="219" ht="15.75" customHeight="1">
      <c r="A219" s="89"/>
      <c r="B219" s="36"/>
      <c r="C219" s="195"/>
      <c r="D219" s="36"/>
    </row>
    <row r="220" ht="15.75" customHeight="1">
      <c r="A220" s="89"/>
      <c r="B220" s="36"/>
      <c r="C220" s="195"/>
      <c r="D220" s="36"/>
    </row>
    <row r="221" ht="15.75" customHeight="1">
      <c r="B221" s="86"/>
    </row>
    <row r="222" ht="15.75" customHeight="1">
      <c r="B222" s="86"/>
    </row>
    <row r="223" ht="15.75" customHeight="1">
      <c r="B223" s="86"/>
    </row>
    <row r="224" ht="15.75" customHeight="1">
      <c r="B224" s="86"/>
    </row>
    <row r="225" ht="15.75" customHeight="1">
      <c r="B225" s="86"/>
    </row>
    <row r="226" ht="15.75" customHeight="1">
      <c r="B226" s="86"/>
    </row>
    <row r="227" ht="15.75" customHeight="1">
      <c r="B227" s="86"/>
    </row>
    <row r="228" ht="15.75" customHeight="1">
      <c r="B228" s="86"/>
    </row>
    <row r="229" ht="15.75" customHeight="1">
      <c r="B229" s="86"/>
    </row>
    <row r="230" ht="15.75" customHeight="1">
      <c r="B230" s="86"/>
    </row>
    <row r="231" ht="15.75" customHeight="1">
      <c r="B231" s="86"/>
    </row>
    <row r="232" ht="15.75" customHeight="1">
      <c r="B232" s="86"/>
    </row>
    <row r="233" ht="15.75" customHeight="1">
      <c r="B233" s="86"/>
    </row>
    <row r="234" ht="15.75" customHeight="1">
      <c r="B234" s="86"/>
    </row>
    <row r="235" ht="15.75" customHeight="1">
      <c r="B235" s="86"/>
    </row>
    <row r="236" ht="15.75" customHeight="1">
      <c r="B236" s="86"/>
    </row>
    <row r="237" ht="15.75" customHeight="1">
      <c r="B237" s="86"/>
    </row>
    <row r="238" ht="15.75" customHeight="1">
      <c r="B238" s="86"/>
    </row>
    <row r="239" ht="15.75" customHeight="1">
      <c r="B239" s="86"/>
    </row>
    <row r="240" ht="15.75" customHeight="1">
      <c r="B240" s="86"/>
    </row>
    <row r="241" ht="15.75" customHeight="1">
      <c r="B241" s="86"/>
    </row>
    <row r="242" ht="15.75" customHeight="1">
      <c r="B242" s="86"/>
    </row>
    <row r="243" ht="15.75" customHeight="1">
      <c r="B243" s="86"/>
    </row>
    <row r="244" ht="15.75" customHeight="1">
      <c r="B244" s="86"/>
    </row>
    <row r="245" ht="15.75" customHeight="1">
      <c r="B245" s="86"/>
    </row>
    <row r="246" ht="15.75" customHeight="1">
      <c r="B246" s="86"/>
    </row>
    <row r="247" ht="15.75" customHeight="1">
      <c r="B247" s="86"/>
    </row>
    <row r="248" ht="15.75" customHeight="1">
      <c r="B248" s="86"/>
    </row>
    <row r="249" ht="15.75" customHeight="1">
      <c r="B249" s="86"/>
    </row>
    <row r="250" ht="15.75" customHeight="1">
      <c r="B250" s="86"/>
    </row>
    <row r="251" ht="15.75" customHeight="1">
      <c r="B251" s="86"/>
    </row>
    <row r="252" ht="15.75" customHeight="1">
      <c r="B252" s="86"/>
    </row>
    <row r="253" ht="15.75" customHeight="1">
      <c r="B253" s="86"/>
    </row>
    <row r="254" ht="15.75" customHeight="1">
      <c r="B254" s="86"/>
    </row>
    <row r="255" ht="15.75" customHeight="1">
      <c r="B255" s="86"/>
    </row>
    <row r="256" ht="15.75" customHeight="1">
      <c r="B256" s="86"/>
    </row>
    <row r="257" ht="15.75" customHeight="1">
      <c r="B257" s="86"/>
    </row>
    <row r="258" ht="15.75" customHeight="1">
      <c r="B258" s="86"/>
    </row>
    <row r="259" ht="15.75" customHeight="1">
      <c r="B259" s="86"/>
    </row>
    <row r="260" ht="15.75" customHeight="1">
      <c r="B260" s="86"/>
    </row>
    <row r="261" ht="15.75" customHeight="1">
      <c r="B261" s="86"/>
    </row>
    <row r="262" ht="15.75" customHeight="1">
      <c r="B262" s="86"/>
    </row>
    <row r="263" ht="15.75" customHeight="1">
      <c r="B263" s="86"/>
    </row>
    <row r="264" ht="15.75" customHeight="1">
      <c r="B264" s="86"/>
    </row>
    <row r="265" ht="15.75" customHeight="1">
      <c r="B265" s="86"/>
    </row>
    <row r="266" ht="15.75" customHeight="1">
      <c r="B266" s="86"/>
    </row>
    <row r="267" ht="15.75" customHeight="1">
      <c r="B267" s="86"/>
    </row>
    <row r="268" ht="15.75" customHeight="1">
      <c r="B268" s="86"/>
    </row>
    <row r="269" ht="15.75" customHeight="1">
      <c r="B269" s="86"/>
    </row>
    <row r="270" ht="15.75" customHeight="1">
      <c r="B270" s="86"/>
    </row>
    <row r="271" ht="15.75" customHeight="1">
      <c r="B271" s="86"/>
    </row>
    <row r="272" ht="15.75" customHeight="1">
      <c r="B272" s="86"/>
    </row>
    <row r="273" ht="15.75" customHeight="1">
      <c r="B273" s="86"/>
    </row>
    <row r="274" ht="15.75" customHeight="1">
      <c r="B274" s="86"/>
    </row>
    <row r="275" ht="15.75" customHeight="1">
      <c r="B275" s="86"/>
    </row>
    <row r="276" ht="15.75" customHeight="1">
      <c r="B276" s="86"/>
    </row>
    <row r="277" ht="15.75" customHeight="1">
      <c r="B277" s="86"/>
    </row>
    <row r="278" ht="15.75" customHeight="1">
      <c r="B278" s="86"/>
    </row>
    <row r="279" ht="15.75" customHeight="1">
      <c r="B279" s="86"/>
    </row>
    <row r="280" ht="15.75" customHeight="1">
      <c r="B280" s="86"/>
    </row>
    <row r="281" ht="15.75" customHeight="1">
      <c r="B281" s="86"/>
    </row>
    <row r="282" ht="15.75" customHeight="1">
      <c r="B282" s="86"/>
    </row>
    <row r="283" ht="15.75" customHeight="1">
      <c r="B283" s="86"/>
    </row>
    <row r="284" ht="15.75" customHeight="1">
      <c r="B284" s="86"/>
    </row>
    <row r="285" ht="15.75" customHeight="1">
      <c r="B285" s="86"/>
    </row>
    <row r="286" ht="15.75" customHeight="1">
      <c r="B286" s="86"/>
    </row>
    <row r="287" ht="15.75" customHeight="1">
      <c r="B287" s="86"/>
    </row>
    <row r="288" ht="15.75" customHeight="1">
      <c r="B288" s="86"/>
    </row>
    <row r="289" ht="15.75" customHeight="1">
      <c r="B289" s="86"/>
    </row>
    <row r="290" ht="15.75" customHeight="1">
      <c r="B290" s="86"/>
    </row>
    <row r="291" ht="15.75" customHeight="1">
      <c r="B291" s="86"/>
    </row>
    <row r="292" ht="15.75" customHeight="1">
      <c r="B292" s="86"/>
    </row>
    <row r="293" ht="15.75" customHeight="1">
      <c r="B293" s="86"/>
    </row>
    <row r="294" ht="15.75" customHeight="1">
      <c r="B294" s="86"/>
    </row>
    <row r="295" ht="15.75" customHeight="1">
      <c r="B295" s="86"/>
    </row>
    <row r="296" ht="15.75" customHeight="1">
      <c r="B296" s="86"/>
    </row>
    <row r="297" ht="15.75" customHeight="1">
      <c r="B297" s="86"/>
    </row>
    <row r="298" ht="15.75" customHeight="1">
      <c r="B298" s="86"/>
    </row>
    <row r="299" ht="15.75" customHeight="1">
      <c r="B299" s="86"/>
    </row>
    <row r="300" ht="15.75" customHeight="1">
      <c r="B300" s="86"/>
    </row>
    <row r="301" ht="15.75" customHeight="1">
      <c r="B301" s="86"/>
    </row>
    <row r="302" ht="15.75" customHeight="1">
      <c r="B302" s="86"/>
    </row>
    <row r="303" ht="15.75" customHeight="1">
      <c r="B303" s="86"/>
    </row>
    <row r="304" ht="15.75" customHeight="1">
      <c r="B304" s="86"/>
    </row>
    <row r="305" ht="15.75" customHeight="1">
      <c r="B305" s="86"/>
    </row>
    <row r="306" ht="15.75" customHeight="1">
      <c r="B306" s="86"/>
    </row>
    <row r="307" ht="15.75" customHeight="1">
      <c r="B307" s="86"/>
    </row>
    <row r="308" ht="15.75" customHeight="1">
      <c r="B308" s="86"/>
    </row>
    <row r="309" ht="15.75" customHeight="1">
      <c r="B309" s="86"/>
    </row>
    <row r="310" ht="15.75" customHeight="1">
      <c r="B310" s="86"/>
    </row>
    <row r="311" ht="15.75" customHeight="1">
      <c r="B311" s="86"/>
    </row>
    <row r="312" ht="15.75" customHeight="1">
      <c r="B312" s="86"/>
    </row>
    <row r="313" ht="15.75" customHeight="1">
      <c r="B313" s="86"/>
    </row>
    <row r="314" ht="15.75" customHeight="1">
      <c r="B314" s="86"/>
    </row>
    <row r="315" ht="15.75" customHeight="1">
      <c r="B315" s="86"/>
    </row>
    <row r="316" ht="15.75" customHeight="1">
      <c r="B316" s="86"/>
    </row>
    <row r="317" ht="15.75" customHeight="1">
      <c r="B317" s="86"/>
    </row>
    <row r="318" ht="15.75" customHeight="1">
      <c r="B318" s="86"/>
    </row>
    <row r="319" ht="15.75" customHeight="1">
      <c r="B319" s="86"/>
    </row>
    <row r="320" ht="15.75" customHeight="1">
      <c r="B320" s="86"/>
    </row>
    <row r="321" ht="15.75" customHeight="1">
      <c r="B321" s="86"/>
    </row>
    <row r="322" ht="15.75" customHeight="1">
      <c r="B322" s="86"/>
    </row>
    <row r="323" ht="15.75" customHeight="1">
      <c r="B323" s="86"/>
    </row>
    <row r="324" ht="15.75" customHeight="1">
      <c r="B324" s="86"/>
    </row>
    <row r="325" ht="15.75" customHeight="1">
      <c r="B325" s="86"/>
    </row>
    <row r="326" ht="15.75" customHeight="1">
      <c r="B326" s="86"/>
    </row>
    <row r="327" ht="15.75" customHeight="1">
      <c r="B327" s="86"/>
    </row>
    <row r="328" ht="15.75" customHeight="1">
      <c r="B328" s="86"/>
    </row>
    <row r="329" ht="15.75" customHeight="1">
      <c r="B329" s="86"/>
    </row>
    <row r="330" ht="15.75" customHeight="1">
      <c r="B330" s="86"/>
    </row>
    <row r="331" ht="15.75" customHeight="1">
      <c r="B331" s="86"/>
    </row>
    <row r="332" ht="15.75" customHeight="1">
      <c r="B332" s="86"/>
    </row>
    <row r="333" ht="15.75" customHeight="1">
      <c r="B333" s="86"/>
    </row>
    <row r="334" ht="15.75" customHeight="1">
      <c r="B334" s="86"/>
    </row>
    <row r="335" ht="15.75" customHeight="1">
      <c r="B335" s="86"/>
    </row>
    <row r="336" ht="15.75" customHeight="1">
      <c r="B336" s="86"/>
    </row>
    <row r="337" ht="15.75" customHeight="1">
      <c r="B337" s="86"/>
    </row>
    <row r="338" ht="15.75" customHeight="1">
      <c r="B338" s="86"/>
    </row>
    <row r="339" ht="15.75" customHeight="1">
      <c r="B339" s="86"/>
    </row>
    <row r="340" ht="15.75" customHeight="1">
      <c r="B340" s="86"/>
    </row>
    <row r="341" ht="15.75" customHeight="1">
      <c r="B341" s="86"/>
    </row>
    <row r="342" ht="15.75" customHeight="1">
      <c r="B342" s="86"/>
    </row>
    <row r="343" ht="15.75" customHeight="1">
      <c r="B343" s="86"/>
    </row>
    <row r="344" ht="15.75" customHeight="1">
      <c r="B344" s="86"/>
    </row>
    <row r="345" ht="15.75" customHeight="1">
      <c r="B345" s="86"/>
    </row>
    <row r="346" ht="15.75" customHeight="1">
      <c r="B346" s="86"/>
    </row>
    <row r="347" ht="15.75" customHeight="1">
      <c r="B347" s="86"/>
    </row>
    <row r="348" ht="15.75" customHeight="1">
      <c r="B348" s="86"/>
    </row>
    <row r="349" ht="15.75" customHeight="1">
      <c r="B349" s="86"/>
    </row>
    <row r="350" ht="15.75" customHeight="1">
      <c r="B350" s="86"/>
    </row>
    <row r="351" ht="15.75" customHeight="1">
      <c r="B351" s="86"/>
    </row>
    <row r="352" ht="15.75" customHeight="1">
      <c r="B352" s="86"/>
    </row>
    <row r="353" ht="15.75" customHeight="1">
      <c r="B353" s="86"/>
    </row>
    <row r="354" ht="15.75" customHeight="1">
      <c r="B354" s="86"/>
    </row>
    <row r="355" ht="15.75" customHeight="1">
      <c r="B355" s="86"/>
    </row>
    <row r="356" ht="15.75" customHeight="1">
      <c r="B356" s="86"/>
    </row>
    <row r="357" ht="15.75" customHeight="1">
      <c r="B357" s="86"/>
    </row>
    <row r="358" ht="15.75" customHeight="1">
      <c r="B358" s="86"/>
    </row>
    <row r="359" ht="15.75" customHeight="1">
      <c r="B359" s="86"/>
    </row>
    <row r="360" ht="15.75" customHeight="1">
      <c r="B360" s="86"/>
    </row>
    <row r="361" ht="15.75" customHeight="1">
      <c r="B361" s="86"/>
    </row>
    <row r="362" ht="15.75" customHeight="1">
      <c r="B362" s="86"/>
    </row>
    <row r="363" ht="15.75" customHeight="1">
      <c r="B363" s="86"/>
    </row>
    <row r="364" ht="15.75" customHeight="1">
      <c r="B364" s="86"/>
    </row>
    <row r="365" ht="15.75" customHeight="1">
      <c r="B365" s="86"/>
    </row>
    <row r="366" ht="15.75" customHeight="1">
      <c r="B366" s="86"/>
    </row>
    <row r="367" ht="15.75" customHeight="1">
      <c r="B367" s="86"/>
    </row>
    <row r="368" ht="15.75" customHeight="1">
      <c r="B368" s="86"/>
    </row>
    <row r="369" ht="15.75" customHeight="1">
      <c r="B369" s="86"/>
    </row>
    <row r="370" ht="15.75" customHeight="1">
      <c r="B370" s="86"/>
    </row>
    <row r="371" ht="15.75" customHeight="1">
      <c r="B371" s="86"/>
    </row>
    <row r="372" ht="15.75" customHeight="1">
      <c r="B372" s="86"/>
    </row>
    <row r="373" ht="15.75" customHeight="1">
      <c r="B373" s="86"/>
    </row>
    <row r="374" ht="15.75" customHeight="1">
      <c r="B374" s="86"/>
    </row>
    <row r="375" ht="15.75" customHeight="1">
      <c r="B375" s="86"/>
    </row>
    <row r="376" ht="15.75" customHeight="1">
      <c r="B376" s="86"/>
    </row>
    <row r="377" ht="15.75" customHeight="1">
      <c r="B377" s="86"/>
    </row>
    <row r="378" ht="15.75" customHeight="1">
      <c r="B378" s="86"/>
    </row>
    <row r="379" ht="15.75" customHeight="1">
      <c r="B379" s="86"/>
    </row>
    <row r="380" ht="15.75" customHeight="1">
      <c r="B380" s="86"/>
    </row>
    <row r="381" ht="15.75" customHeight="1">
      <c r="B381" s="86"/>
    </row>
    <row r="382" ht="15.75" customHeight="1">
      <c r="B382" s="86"/>
    </row>
    <row r="383" ht="15.75" customHeight="1">
      <c r="B383" s="86"/>
    </row>
    <row r="384" ht="15.75" customHeight="1">
      <c r="B384" s="86"/>
    </row>
    <row r="385" ht="15.75" customHeight="1">
      <c r="B385" s="86"/>
    </row>
    <row r="386" ht="15.75" customHeight="1">
      <c r="B386" s="86"/>
    </row>
    <row r="387" ht="15.75" customHeight="1">
      <c r="B387" s="86"/>
    </row>
    <row r="388" ht="15.75" customHeight="1">
      <c r="B388" s="86"/>
    </row>
    <row r="389" ht="15.75" customHeight="1">
      <c r="B389" s="86"/>
    </row>
    <row r="390" ht="15.75" customHeight="1">
      <c r="B390" s="86"/>
    </row>
    <row r="391" ht="15.75" customHeight="1">
      <c r="B391" s="86"/>
    </row>
    <row r="392" ht="15.75" customHeight="1">
      <c r="B392" s="86"/>
    </row>
    <row r="393" ht="15.75" customHeight="1">
      <c r="B393" s="86"/>
    </row>
    <row r="394" ht="15.75" customHeight="1">
      <c r="B394" s="86"/>
    </row>
    <row r="395" ht="15.75" customHeight="1">
      <c r="B395" s="86"/>
    </row>
    <row r="396" ht="15.75" customHeight="1">
      <c r="B396" s="86"/>
    </row>
    <row r="397" ht="15.75" customHeight="1">
      <c r="B397" s="86"/>
    </row>
    <row r="398" ht="15.75" customHeight="1">
      <c r="B398" s="86"/>
    </row>
    <row r="399" ht="15.75" customHeight="1">
      <c r="B399" s="86"/>
    </row>
    <row r="400" ht="15.75" customHeight="1">
      <c r="B400" s="86"/>
    </row>
    <row r="401" ht="15.75" customHeight="1">
      <c r="B401" s="86"/>
    </row>
    <row r="402" ht="15.75" customHeight="1">
      <c r="B402" s="86"/>
    </row>
    <row r="403" ht="15.75" customHeight="1">
      <c r="B403" s="86"/>
    </row>
    <row r="404" ht="15.75" customHeight="1">
      <c r="B404" s="86"/>
    </row>
    <row r="405" ht="15.75" customHeight="1">
      <c r="B405" s="86"/>
    </row>
    <row r="406" ht="15.75" customHeight="1">
      <c r="B406" s="86"/>
    </row>
    <row r="407" ht="15.75" customHeight="1">
      <c r="B407" s="86"/>
    </row>
    <row r="408" ht="15.75" customHeight="1">
      <c r="B408" s="86"/>
    </row>
    <row r="409" ht="15.75" customHeight="1">
      <c r="B409" s="86"/>
    </row>
    <row r="410" ht="15.75" customHeight="1">
      <c r="B410" s="86"/>
    </row>
    <row r="411" ht="15.75" customHeight="1">
      <c r="B411" s="86"/>
    </row>
    <row r="412" ht="15.75" customHeight="1">
      <c r="B412" s="86"/>
    </row>
    <row r="413" ht="15.75" customHeight="1">
      <c r="B413" s="86"/>
    </row>
    <row r="414" ht="15.75" customHeight="1">
      <c r="B414" s="86"/>
    </row>
    <row r="415" ht="15.75" customHeight="1">
      <c r="B415" s="86"/>
    </row>
    <row r="416" ht="15.75" customHeight="1">
      <c r="B416" s="86"/>
    </row>
    <row r="417" ht="15.75" customHeight="1">
      <c r="B417" s="86"/>
    </row>
    <row r="418" ht="15.75" customHeight="1">
      <c r="B418" s="86"/>
    </row>
    <row r="419" ht="15.75" customHeight="1">
      <c r="B419" s="86"/>
    </row>
    <row r="420" ht="15.75" customHeight="1">
      <c r="B420" s="86"/>
    </row>
    <row r="421" ht="15.75" customHeight="1">
      <c r="B421" s="86"/>
    </row>
    <row r="422" ht="15.75" customHeight="1">
      <c r="B422" s="86"/>
    </row>
    <row r="423" ht="15.75" customHeight="1">
      <c r="B423" s="86"/>
    </row>
    <row r="424" ht="15.75" customHeight="1">
      <c r="B424" s="86"/>
    </row>
    <row r="425" ht="15.75" customHeight="1">
      <c r="B425" s="86"/>
    </row>
    <row r="426" ht="15.75" customHeight="1">
      <c r="B426" s="86"/>
    </row>
    <row r="427" ht="15.75" customHeight="1">
      <c r="B427" s="86"/>
    </row>
    <row r="428" ht="15.75" customHeight="1">
      <c r="B428" s="86"/>
    </row>
    <row r="429" ht="15.75" customHeight="1">
      <c r="B429" s="86"/>
    </row>
    <row r="430" ht="15.75" customHeight="1">
      <c r="B430" s="86"/>
    </row>
    <row r="431" ht="15.75" customHeight="1">
      <c r="B431" s="86"/>
    </row>
    <row r="432" ht="15.75" customHeight="1">
      <c r="B432" s="86"/>
    </row>
    <row r="433" ht="15.75" customHeight="1">
      <c r="B433" s="86"/>
    </row>
    <row r="434" ht="15.75" customHeight="1">
      <c r="B434" s="86"/>
    </row>
    <row r="435" ht="15.75" customHeight="1">
      <c r="B435" s="86"/>
    </row>
    <row r="436" ht="15.75" customHeight="1">
      <c r="B436" s="86"/>
    </row>
    <row r="437" ht="15.75" customHeight="1">
      <c r="B437" s="86"/>
    </row>
    <row r="438" ht="15.75" customHeight="1">
      <c r="B438" s="86"/>
    </row>
    <row r="439" ht="15.75" customHeight="1">
      <c r="B439" s="86"/>
    </row>
    <row r="440" ht="15.75" customHeight="1">
      <c r="B440" s="86"/>
    </row>
    <row r="441" ht="15.75" customHeight="1">
      <c r="B441" s="86"/>
    </row>
    <row r="442" ht="15.75" customHeight="1">
      <c r="B442" s="86"/>
    </row>
    <row r="443" ht="15.75" customHeight="1">
      <c r="B443" s="86"/>
    </row>
    <row r="444" ht="15.75" customHeight="1">
      <c r="B444" s="86"/>
    </row>
    <row r="445" ht="15.75" customHeight="1">
      <c r="B445" s="86"/>
    </row>
    <row r="446" ht="15.75" customHeight="1">
      <c r="B446" s="86"/>
    </row>
    <row r="447" ht="15.75" customHeight="1">
      <c r="B447" s="86"/>
    </row>
    <row r="448" ht="15.75" customHeight="1">
      <c r="B448" s="86"/>
    </row>
    <row r="449" ht="15.75" customHeight="1">
      <c r="B449" s="86"/>
    </row>
    <row r="450" ht="15.75" customHeight="1">
      <c r="B450" s="86"/>
    </row>
    <row r="451" ht="15.75" customHeight="1">
      <c r="B451" s="86"/>
    </row>
    <row r="452" ht="15.75" customHeight="1">
      <c r="B452" s="86"/>
    </row>
    <row r="453" ht="15.75" customHeight="1">
      <c r="B453" s="86"/>
    </row>
    <row r="454" ht="15.75" customHeight="1">
      <c r="B454" s="86"/>
    </row>
    <row r="455" ht="15.75" customHeight="1">
      <c r="B455" s="86"/>
    </row>
    <row r="456" ht="15.75" customHeight="1">
      <c r="B456" s="86"/>
    </row>
    <row r="457" ht="15.75" customHeight="1">
      <c r="B457" s="86"/>
    </row>
    <row r="458" ht="15.75" customHeight="1">
      <c r="B458" s="86"/>
    </row>
    <row r="459" ht="15.75" customHeight="1">
      <c r="B459" s="86"/>
    </row>
    <row r="460" ht="15.75" customHeight="1">
      <c r="B460" s="86"/>
    </row>
    <row r="461" ht="15.75" customHeight="1">
      <c r="B461" s="86"/>
    </row>
    <row r="462" ht="15.75" customHeight="1">
      <c r="B462" s="86"/>
    </row>
    <row r="463" ht="15.75" customHeight="1">
      <c r="B463" s="86"/>
    </row>
    <row r="464" ht="15.75" customHeight="1">
      <c r="B464" s="86"/>
    </row>
    <row r="465" ht="15.75" customHeight="1">
      <c r="B465" s="86"/>
    </row>
    <row r="466" ht="15.75" customHeight="1">
      <c r="B466" s="86"/>
    </row>
    <row r="467" ht="15.75" customHeight="1">
      <c r="B467" s="86"/>
    </row>
    <row r="468" ht="15.75" customHeight="1">
      <c r="B468" s="86"/>
    </row>
    <row r="469" ht="15.75" customHeight="1">
      <c r="B469" s="86"/>
    </row>
    <row r="470" ht="15.75" customHeight="1">
      <c r="B470" s="86"/>
    </row>
    <row r="471" ht="15.75" customHeight="1">
      <c r="B471" s="86"/>
    </row>
    <row r="472" ht="15.75" customHeight="1">
      <c r="B472" s="86"/>
    </row>
    <row r="473" ht="15.75" customHeight="1">
      <c r="B473" s="86"/>
    </row>
    <row r="474" ht="15.75" customHeight="1">
      <c r="B474" s="86"/>
    </row>
    <row r="475" ht="15.75" customHeight="1">
      <c r="B475" s="86"/>
    </row>
    <row r="476" ht="15.75" customHeight="1">
      <c r="B476" s="86"/>
    </row>
    <row r="477" ht="15.75" customHeight="1">
      <c r="B477" s="86"/>
    </row>
    <row r="478" ht="15.75" customHeight="1">
      <c r="B478" s="86"/>
    </row>
    <row r="479" ht="15.75" customHeight="1">
      <c r="B479" s="86"/>
    </row>
    <row r="480" ht="15.75" customHeight="1">
      <c r="B480" s="86"/>
    </row>
    <row r="481" ht="15.75" customHeight="1">
      <c r="B481" s="86"/>
    </row>
    <row r="482" ht="15.75" customHeight="1">
      <c r="B482" s="86"/>
    </row>
    <row r="483" ht="15.75" customHeight="1">
      <c r="B483" s="86"/>
    </row>
    <row r="484" ht="15.75" customHeight="1">
      <c r="B484" s="86"/>
    </row>
    <row r="485" ht="15.75" customHeight="1">
      <c r="B485" s="86"/>
    </row>
    <row r="486" ht="15.75" customHeight="1">
      <c r="B486" s="86"/>
    </row>
    <row r="487" ht="15.75" customHeight="1">
      <c r="B487" s="86"/>
    </row>
    <row r="488" ht="15.75" customHeight="1">
      <c r="B488" s="86"/>
    </row>
    <row r="489" ht="15.75" customHeight="1">
      <c r="B489" s="86"/>
    </row>
    <row r="490" ht="15.75" customHeight="1">
      <c r="B490" s="86"/>
    </row>
    <row r="491" ht="15.75" customHeight="1">
      <c r="B491" s="86"/>
    </row>
    <row r="492" ht="15.75" customHeight="1">
      <c r="B492" s="86"/>
    </row>
    <row r="493" ht="15.75" customHeight="1">
      <c r="B493" s="86"/>
    </row>
    <row r="494" ht="15.75" customHeight="1">
      <c r="B494" s="86"/>
    </row>
    <row r="495" ht="15.75" customHeight="1">
      <c r="B495" s="86"/>
    </row>
    <row r="496" ht="15.75" customHeight="1">
      <c r="B496" s="86"/>
    </row>
    <row r="497" ht="15.75" customHeight="1">
      <c r="B497" s="86"/>
    </row>
    <row r="498" ht="15.75" customHeight="1">
      <c r="B498" s="86"/>
    </row>
    <row r="499" ht="15.75" customHeight="1">
      <c r="B499" s="86"/>
    </row>
    <row r="500" ht="15.75" customHeight="1">
      <c r="B500" s="86"/>
    </row>
    <row r="501" ht="15.75" customHeight="1">
      <c r="B501" s="86"/>
    </row>
    <row r="502" ht="15.75" customHeight="1">
      <c r="B502" s="86"/>
    </row>
    <row r="503" ht="15.75" customHeight="1">
      <c r="B503" s="86"/>
    </row>
    <row r="504" ht="15.75" customHeight="1">
      <c r="B504" s="86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08EF35B-14E0-41E7-BAD3-0E42E9659349}" filter="1" showAutoFilter="1">
      <autoFilter ref="$A$4:$D$220"/>
    </customSheetView>
  </customSheetViews>
  <dataValidations>
    <dataValidation type="list" allowBlank="1" showInputMessage="1" showErrorMessage="1" prompt="Unknown shop - Pick a shop from the list. New shops appear here once they are entered in Shop Ledger." sqref="B5:B504">
      <formula1>VendorList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2.71"/>
    <col customWidth="1" min="2" max="2" width="20.29"/>
    <col customWidth="1" min="3" max="3" width="17.43"/>
    <col customWidth="1" min="4" max="4" width="15.57"/>
    <col customWidth="1" min="5" max="5" width="8.71"/>
    <col customWidth="1" min="6" max="6" width="24.29"/>
  </cols>
  <sheetData>
    <row r="1" ht="14.25" customHeight="1">
      <c r="A1" s="11" t="s">
        <v>723</v>
      </c>
    </row>
    <row r="2" ht="14.25" customHeight="1">
      <c r="A2" s="2" t="s">
        <v>724</v>
      </c>
    </row>
    <row r="3" ht="14.25" customHeight="1"/>
    <row r="4" ht="14.25" customHeight="1">
      <c r="A4" s="63" t="s">
        <v>707</v>
      </c>
      <c r="B4" s="63" t="s">
        <v>725</v>
      </c>
      <c r="C4" s="63" t="s">
        <v>726</v>
      </c>
      <c r="D4" s="63" t="s">
        <v>727</v>
      </c>
      <c r="F4" s="63" t="s">
        <v>728</v>
      </c>
    </row>
    <row r="5" ht="14.25" customHeight="1">
      <c r="A5" s="196" t="str">
        <f t="array" ref="A5">IFERROR(INDEX('Shop Ledger'!$B$5:$B$1004,MATCH(ROW()-4,'Shop Ledger'!$N$5:$N$1004,0)),"")</f>
        <v>Kafrul Shop</v>
      </c>
      <c r="B5" s="197">
        <f>IF($A5="","",SUMIF('Shop Ledger'!$B:$B,$A5,'Shop Ledger'!$K:$K))</f>
        <v>57213</v>
      </c>
      <c r="C5" s="197">
        <f>IF($A5="","",SUMIF('Shop Collections'!$B:$B,$A5,'Shop Collections'!$C:$C))</f>
        <v>13500</v>
      </c>
      <c r="D5" s="198">
        <f t="shared" ref="D5:D34" si="1">IF($A5="","",B5-C5)</f>
        <v>43713</v>
      </c>
      <c r="F5" s="199" t="str">
        <f t="shared" ref="F5:F34" si="2">IF($A5="","",$A5)</f>
        <v>Kafrul Shop</v>
      </c>
    </row>
    <row r="6" ht="14.25" customHeight="1">
      <c r="A6" s="43" t="str">
        <f t="array" ref="A6">IFERROR(INDEX('Shop Ledger'!$B$5:$B$1004,MATCH(ROW()-4,'Shop Ledger'!$N$5:$N$1004,0)),"")</f>
        <v/>
      </c>
      <c r="B6" s="200" t="str">
        <f>IF($A6="","",SUMIF('Shop Ledger'!$B:$B,$A6,'Shop Ledger'!$K:$K))</f>
        <v/>
      </c>
      <c r="C6" s="200" t="str">
        <f>IF($A6="","",SUMIF('Shop Collections'!$B:$B,$A6,'Shop Collections'!$C:$C))</f>
        <v/>
      </c>
      <c r="D6" s="201" t="str">
        <f t="shared" si="1"/>
        <v/>
      </c>
      <c r="F6" s="199" t="str">
        <f t="shared" si="2"/>
        <v/>
      </c>
    </row>
    <row r="7" ht="14.25" customHeight="1">
      <c r="A7" s="43" t="str">
        <f t="array" ref="A7">IFERROR(INDEX('Shop Ledger'!$B$5:$B$1004,MATCH(ROW()-4,'Shop Ledger'!$N$5:$N$1004,0)),"")</f>
        <v/>
      </c>
      <c r="B7" s="200" t="str">
        <f>IF($A7="","",SUMIF('Shop Ledger'!$B:$B,$A7,'Shop Ledger'!$K:$K))</f>
        <v/>
      </c>
      <c r="C7" s="200" t="str">
        <f>IF($A7="","",SUMIF('Shop Collections'!$B:$B,$A7,'Shop Collections'!$C:$C))</f>
        <v/>
      </c>
      <c r="D7" s="201" t="str">
        <f t="shared" si="1"/>
        <v/>
      </c>
      <c r="F7" s="19" t="str">
        <f t="shared" si="2"/>
        <v/>
      </c>
    </row>
    <row r="8" ht="14.25" customHeight="1">
      <c r="A8" s="43" t="str">
        <f t="array" ref="A8">IFERROR(INDEX('Shop Ledger'!$B$5:$B$1004,MATCH(ROW()-4,'Shop Ledger'!$N$5:$N$1004,0)),"")</f>
        <v/>
      </c>
      <c r="B8" s="200" t="str">
        <f>IF($A8="","",SUMIF('Shop Ledger'!$B:$B,$A8,'Shop Ledger'!$K:$K))</f>
        <v/>
      </c>
      <c r="C8" s="200" t="str">
        <f>IF($A8="","",SUMIF('Shop Collections'!$B:$B,$A8,'Shop Collections'!$C:$C))</f>
        <v/>
      </c>
      <c r="D8" s="201" t="str">
        <f t="shared" si="1"/>
        <v/>
      </c>
      <c r="F8" s="19" t="str">
        <f t="shared" si="2"/>
        <v/>
      </c>
    </row>
    <row r="9" ht="14.25" customHeight="1">
      <c r="A9" s="43" t="str">
        <f t="array" ref="A9">IFERROR(INDEX('Shop Ledger'!$B$5:$B$1004,MATCH(ROW()-4,'Shop Ledger'!$N$5:$N$1004,0)),"")</f>
        <v/>
      </c>
      <c r="B9" s="200" t="str">
        <f>IF($A9="","",SUMIF('Shop Ledger'!$B:$B,$A9,'Shop Ledger'!$K:$K))</f>
        <v/>
      </c>
      <c r="C9" s="200" t="str">
        <f>IF($A9="","",SUMIF('Shop Collections'!$B:$B,$A9,'Shop Collections'!$C:$C))</f>
        <v/>
      </c>
      <c r="D9" s="201" t="str">
        <f t="shared" si="1"/>
        <v/>
      </c>
      <c r="F9" s="19" t="str">
        <f t="shared" si="2"/>
        <v/>
      </c>
    </row>
    <row r="10" ht="14.25" customHeight="1">
      <c r="A10" s="43" t="str">
        <f t="array" ref="A10">IFERROR(INDEX('Shop Ledger'!$B$5:$B$1004,MATCH(ROW()-4,'Shop Ledger'!$N$5:$N$1004,0)),"")</f>
        <v/>
      </c>
      <c r="B10" s="200" t="str">
        <f>IF($A10="","",SUMIF('Shop Ledger'!$B:$B,$A10,'Shop Ledger'!$K:$K))</f>
        <v/>
      </c>
      <c r="C10" s="200" t="str">
        <f>IF($A10="","",SUMIF('Shop Collections'!$B:$B,$A10,'Shop Collections'!$C:$C))</f>
        <v/>
      </c>
      <c r="D10" s="201" t="str">
        <f t="shared" si="1"/>
        <v/>
      </c>
      <c r="F10" s="19" t="str">
        <f t="shared" si="2"/>
        <v/>
      </c>
    </row>
    <row r="11" ht="14.25" customHeight="1">
      <c r="A11" s="43" t="str">
        <f t="array" ref="A11">IFERROR(INDEX('Shop Ledger'!$B$5:$B$1004,MATCH(ROW()-4,'Shop Ledger'!$N$5:$N$1004,0)),"")</f>
        <v/>
      </c>
      <c r="B11" s="200" t="str">
        <f>IF($A11="","",SUMIF('Shop Ledger'!$B:$B,$A11,'Shop Ledger'!$K:$K))</f>
        <v/>
      </c>
      <c r="C11" s="200" t="str">
        <f>IF($A11="","",SUMIF('Shop Collections'!$B:$B,$A11,'Shop Collections'!$C:$C))</f>
        <v/>
      </c>
      <c r="D11" s="201" t="str">
        <f t="shared" si="1"/>
        <v/>
      </c>
      <c r="F11" s="19" t="str">
        <f t="shared" si="2"/>
        <v/>
      </c>
    </row>
    <row r="12" ht="14.25" customHeight="1">
      <c r="A12" s="43" t="str">
        <f t="array" ref="A12">IFERROR(INDEX('Shop Ledger'!$B$5:$B$1004,MATCH(ROW()-4,'Shop Ledger'!$N$5:$N$1004,0)),"")</f>
        <v/>
      </c>
      <c r="B12" s="200" t="str">
        <f>IF($A12="","",SUMIF('Shop Ledger'!$B:$B,$A12,'Shop Ledger'!$K:$K))</f>
        <v/>
      </c>
      <c r="C12" s="200" t="str">
        <f>IF($A12="","",SUMIF('Shop Collections'!$B:$B,$A12,'Shop Collections'!$C:$C))</f>
        <v/>
      </c>
      <c r="D12" s="201" t="str">
        <f t="shared" si="1"/>
        <v/>
      </c>
      <c r="F12" s="19" t="str">
        <f t="shared" si="2"/>
        <v/>
      </c>
    </row>
    <row r="13" ht="14.25" customHeight="1">
      <c r="A13" s="43" t="str">
        <f t="array" ref="A13">IFERROR(INDEX('Shop Ledger'!$B$5:$B$1004,MATCH(ROW()-4,'Shop Ledger'!$N$5:$N$1004,0)),"")</f>
        <v/>
      </c>
      <c r="B13" s="200" t="str">
        <f>IF($A13="","",SUMIF('Shop Ledger'!$B:$B,$A13,'Shop Ledger'!$K:$K))</f>
        <v/>
      </c>
      <c r="C13" s="200" t="str">
        <f>IF($A13="","",SUMIF('Shop Collections'!$B:$B,$A13,'Shop Collections'!$C:$C))</f>
        <v/>
      </c>
      <c r="D13" s="201" t="str">
        <f t="shared" si="1"/>
        <v/>
      </c>
      <c r="F13" s="19" t="str">
        <f t="shared" si="2"/>
        <v/>
      </c>
    </row>
    <row r="14" ht="14.25" customHeight="1">
      <c r="A14" s="43" t="str">
        <f t="array" ref="A14">IFERROR(INDEX('Shop Ledger'!$B$5:$B$1004,MATCH(ROW()-4,'Shop Ledger'!$N$5:$N$1004,0)),"")</f>
        <v/>
      </c>
      <c r="B14" s="200" t="str">
        <f>IF($A14="","",SUMIF('Shop Ledger'!$B:$B,$A14,'Shop Ledger'!$K:$K))</f>
        <v/>
      </c>
      <c r="C14" s="200" t="str">
        <f>IF($A14="","",SUMIF('Shop Collections'!$B:$B,$A14,'Shop Collections'!$C:$C))</f>
        <v/>
      </c>
      <c r="D14" s="201" t="str">
        <f t="shared" si="1"/>
        <v/>
      </c>
      <c r="F14" s="19" t="str">
        <f t="shared" si="2"/>
        <v/>
      </c>
    </row>
    <row r="15" ht="14.25" customHeight="1">
      <c r="A15" s="43" t="str">
        <f t="array" ref="A15">IFERROR(INDEX('Shop Ledger'!$B$5:$B$1004,MATCH(ROW()-4,'Shop Ledger'!$N$5:$N$1004,0)),"")</f>
        <v/>
      </c>
      <c r="B15" s="200" t="str">
        <f>IF($A15="","",SUMIF('Shop Ledger'!$B:$B,$A15,'Shop Ledger'!$K:$K))</f>
        <v/>
      </c>
      <c r="C15" s="200" t="str">
        <f>IF($A15="","",SUMIF('Shop Collections'!$B:$B,$A15,'Shop Collections'!$C:$C))</f>
        <v/>
      </c>
      <c r="D15" s="201" t="str">
        <f t="shared" si="1"/>
        <v/>
      </c>
      <c r="F15" s="19" t="str">
        <f t="shared" si="2"/>
        <v/>
      </c>
    </row>
    <row r="16" ht="14.25" customHeight="1">
      <c r="A16" s="43" t="str">
        <f t="array" ref="A16">IFERROR(INDEX('Shop Ledger'!$B$5:$B$1004,MATCH(ROW()-4,'Shop Ledger'!$N$5:$N$1004,0)),"")</f>
        <v/>
      </c>
      <c r="B16" s="200" t="str">
        <f>IF($A16="","",SUMIF('Shop Ledger'!$B:$B,$A16,'Shop Ledger'!$K:$K))</f>
        <v/>
      </c>
      <c r="C16" s="200" t="str">
        <f>IF($A16="","",SUMIF('Shop Collections'!$B:$B,$A16,'Shop Collections'!$C:$C))</f>
        <v/>
      </c>
      <c r="D16" s="201" t="str">
        <f t="shared" si="1"/>
        <v/>
      </c>
      <c r="F16" s="19" t="str">
        <f t="shared" si="2"/>
        <v/>
      </c>
    </row>
    <row r="17" ht="14.25" customHeight="1">
      <c r="A17" s="43" t="str">
        <f t="array" ref="A17">IFERROR(INDEX('Shop Ledger'!$B$5:$B$1004,MATCH(ROW()-4,'Shop Ledger'!$N$5:$N$1004,0)),"")</f>
        <v/>
      </c>
      <c r="B17" s="200" t="str">
        <f>IF($A17="","",SUMIF('Shop Ledger'!$B:$B,$A17,'Shop Ledger'!$K:$K))</f>
        <v/>
      </c>
      <c r="C17" s="200" t="str">
        <f>IF($A17="","",SUMIF('Shop Collections'!$B:$B,$A17,'Shop Collections'!$C:$C))</f>
        <v/>
      </c>
      <c r="D17" s="201" t="str">
        <f t="shared" si="1"/>
        <v/>
      </c>
      <c r="F17" s="19" t="str">
        <f t="shared" si="2"/>
        <v/>
      </c>
    </row>
    <row r="18" ht="14.25" customHeight="1">
      <c r="A18" s="43" t="str">
        <f t="array" ref="A18">IFERROR(INDEX('Shop Ledger'!$B$5:$B$1004,MATCH(ROW()-4,'Shop Ledger'!$N$5:$N$1004,0)),"")</f>
        <v/>
      </c>
      <c r="B18" s="200" t="str">
        <f>IF($A18="","",SUMIF('Shop Ledger'!$B:$B,$A18,'Shop Ledger'!$K:$K))</f>
        <v/>
      </c>
      <c r="C18" s="200" t="str">
        <f>IF($A18="","",SUMIF('Shop Collections'!$B:$B,$A18,'Shop Collections'!$C:$C))</f>
        <v/>
      </c>
      <c r="D18" s="201" t="str">
        <f t="shared" si="1"/>
        <v/>
      </c>
      <c r="F18" s="19" t="str">
        <f t="shared" si="2"/>
        <v/>
      </c>
    </row>
    <row r="19" ht="14.25" customHeight="1">
      <c r="A19" s="43" t="str">
        <f t="array" ref="A19">IFERROR(INDEX('Shop Ledger'!$B$5:$B$1004,MATCH(ROW()-4,'Shop Ledger'!$N$5:$N$1004,0)),"")</f>
        <v/>
      </c>
      <c r="B19" s="200" t="str">
        <f>IF($A19="","",SUMIF('Shop Ledger'!$B:$B,$A19,'Shop Ledger'!$K:$K))</f>
        <v/>
      </c>
      <c r="C19" s="200" t="str">
        <f>IF($A19="","",SUMIF('Shop Collections'!$B:$B,$A19,'Shop Collections'!$C:$C))</f>
        <v/>
      </c>
      <c r="D19" s="201" t="str">
        <f t="shared" si="1"/>
        <v/>
      </c>
      <c r="F19" s="19" t="str">
        <f t="shared" si="2"/>
        <v/>
      </c>
    </row>
    <row r="20" ht="14.25" customHeight="1">
      <c r="A20" s="43" t="str">
        <f t="array" ref="A20">IFERROR(INDEX('Shop Ledger'!$B$5:$B$1004,MATCH(ROW()-4,'Shop Ledger'!$N$5:$N$1004,0)),"")</f>
        <v/>
      </c>
      <c r="B20" s="200" t="str">
        <f>IF($A20="","",SUMIF('Shop Ledger'!$B:$B,$A20,'Shop Ledger'!$K:$K))</f>
        <v/>
      </c>
      <c r="C20" s="200" t="str">
        <f>IF($A20="","",SUMIF('Shop Collections'!$B:$B,$A20,'Shop Collections'!$C:$C))</f>
        <v/>
      </c>
      <c r="D20" s="201" t="str">
        <f t="shared" si="1"/>
        <v/>
      </c>
      <c r="F20" s="19" t="str">
        <f t="shared" si="2"/>
        <v/>
      </c>
    </row>
    <row r="21" ht="14.25" customHeight="1">
      <c r="A21" s="43" t="str">
        <f t="array" ref="A21">IFERROR(INDEX('Shop Ledger'!$B$5:$B$1004,MATCH(ROW()-4,'Shop Ledger'!$N$5:$N$1004,0)),"")</f>
        <v/>
      </c>
      <c r="B21" s="200" t="str">
        <f>IF($A21="","",SUMIF('Shop Ledger'!$B:$B,$A21,'Shop Ledger'!$K:$K))</f>
        <v/>
      </c>
      <c r="C21" s="200" t="str">
        <f>IF($A21="","",SUMIF('Shop Collections'!$B:$B,$A21,'Shop Collections'!$C:$C))</f>
        <v/>
      </c>
      <c r="D21" s="201" t="str">
        <f t="shared" si="1"/>
        <v/>
      </c>
      <c r="F21" s="19" t="str">
        <f t="shared" si="2"/>
        <v/>
      </c>
    </row>
    <row r="22" ht="14.25" customHeight="1">
      <c r="A22" s="43" t="str">
        <f t="array" ref="A22">IFERROR(INDEX('Shop Ledger'!$B$5:$B$1004,MATCH(ROW()-4,'Shop Ledger'!$N$5:$N$1004,0)),"")</f>
        <v/>
      </c>
      <c r="B22" s="200" t="str">
        <f>IF($A22="","",SUMIF('Shop Ledger'!$B:$B,$A22,'Shop Ledger'!$K:$K))</f>
        <v/>
      </c>
      <c r="C22" s="200" t="str">
        <f>IF($A22="","",SUMIF('Shop Collections'!$B:$B,$A22,'Shop Collections'!$C:$C))</f>
        <v/>
      </c>
      <c r="D22" s="201" t="str">
        <f t="shared" si="1"/>
        <v/>
      </c>
      <c r="F22" s="19" t="str">
        <f t="shared" si="2"/>
        <v/>
      </c>
    </row>
    <row r="23" ht="14.25" customHeight="1">
      <c r="A23" s="43" t="str">
        <f t="array" ref="A23">IFERROR(INDEX('Shop Ledger'!$B$5:$B$1004,MATCH(ROW()-4,'Shop Ledger'!$N$5:$N$1004,0)),"")</f>
        <v/>
      </c>
      <c r="B23" s="200" t="str">
        <f>IF($A23="","",SUMIF('Shop Ledger'!$B:$B,$A23,'Shop Ledger'!$K:$K))</f>
        <v/>
      </c>
      <c r="C23" s="200" t="str">
        <f>IF($A23="","",SUMIF('Shop Collections'!$B:$B,$A23,'Shop Collections'!$C:$C))</f>
        <v/>
      </c>
      <c r="D23" s="201" t="str">
        <f t="shared" si="1"/>
        <v/>
      </c>
      <c r="F23" s="19" t="str">
        <f t="shared" si="2"/>
        <v/>
      </c>
    </row>
    <row r="24" ht="14.25" customHeight="1">
      <c r="A24" s="43" t="str">
        <f t="array" ref="A24">IFERROR(INDEX('Shop Ledger'!$B$5:$B$1004,MATCH(ROW()-4,'Shop Ledger'!$N$5:$N$1004,0)),"")</f>
        <v/>
      </c>
      <c r="B24" s="200" t="str">
        <f>IF($A24="","",SUMIF('Shop Ledger'!$B:$B,$A24,'Shop Ledger'!$K:$K))</f>
        <v/>
      </c>
      <c r="C24" s="200" t="str">
        <f>IF($A24="","",SUMIF('Shop Collections'!$B:$B,$A24,'Shop Collections'!$C:$C))</f>
        <v/>
      </c>
      <c r="D24" s="201" t="str">
        <f t="shared" si="1"/>
        <v/>
      </c>
      <c r="F24" s="19" t="str">
        <f t="shared" si="2"/>
        <v/>
      </c>
    </row>
    <row r="25" ht="14.25" customHeight="1">
      <c r="A25" s="43" t="str">
        <f t="array" ref="A25">IFERROR(INDEX('Shop Ledger'!$B$5:$B$1004,MATCH(ROW()-4,'Shop Ledger'!$N$5:$N$1004,0)),"")</f>
        <v/>
      </c>
      <c r="B25" s="200" t="str">
        <f>IF($A25="","",SUMIF('Shop Ledger'!$B:$B,$A25,'Shop Ledger'!$K:$K))</f>
        <v/>
      </c>
      <c r="C25" s="200" t="str">
        <f>IF($A25="","",SUMIF('Shop Collections'!$B:$B,$A25,'Shop Collections'!$C:$C))</f>
        <v/>
      </c>
      <c r="D25" s="201" t="str">
        <f t="shared" si="1"/>
        <v/>
      </c>
      <c r="F25" s="19" t="str">
        <f t="shared" si="2"/>
        <v/>
      </c>
    </row>
    <row r="26" ht="14.25" customHeight="1">
      <c r="A26" s="43" t="str">
        <f t="array" ref="A26">IFERROR(INDEX('Shop Ledger'!$B$5:$B$1004,MATCH(ROW()-4,'Shop Ledger'!$N$5:$N$1004,0)),"")</f>
        <v/>
      </c>
      <c r="B26" s="200" t="str">
        <f>IF($A26="","",SUMIF('Shop Ledger'!$B:$B,$A26,'Shop Ledger'!$K:$K))</f>
        <v/>
      </c>
      <c r="C26" s="200" t="str">
        <f>IF($A26="","",SUMIF('Shop Collections'!$B:$B,$A26,'Shop Collections'!$C:$C))</f>
        <v/>
      </c>
      <c r="D26" s="201" t="str">
        <f t="shared" si="1"/>
        <v/>
      </c>
      <c r="F26" s="19" t="str">
        <f t="shared" si="2"/>
        <v/>
      </c>
    </row>
    <row r="27" ht="14.25" customHeight="1">
      <c r="A27" s="43" t="str">
        <f t="array" ref="A27">IFERROR(INDEX('Shop Ledger'!$B$5:$B$1004,MATCH(ROW()-4,'Shop Ledger'!$N$5:$N$1004,0)),"")</f>
        <v/>
      </c>
      <c r="B27" s="200" t="str">
        <f>IF($A27="","",SUMIF('Shop Ledger'!$B:$B,$A27,'Shop Ledger'!$K:$K))</f>
        <v/>
      </c>
      <c r="C27" s="200" t="str">
        <f>IF($A27="","",SUMIF('Shop Collections'!$B:$B,$A27,'Shop Collections'!$C:$C))</f>
        <v/>
      </c>
      <c r="D27" s="201" t="str">
        <f t="shared" si="1"/>
        <v/>
      </c>
      <c r="F27" s="19" t="str">
        <f t="shared" si="2"/>
        <v/>
      </c>
    </row>
    <row r="28" ht="14.25" customHeight="1">
      <c r="A28" s="43" t="str">
        <f t="array" ref="A28">IFERROR(INDEX('Shop Ledger'!$B$5:$B$1004,MATCH(ROW()-4,'Shop Ledger'!$N$5:$N$1004,0)),"")</f>
        <v/>
      </c>
      <c r="B28" s="200" t="str">
        <f>IF($A28="","",SUMIF('Shop Ledger'!$B:$B,$A28,'Shop Ledger'!$K:$K))</f>
        <v/>
      </c>
      <c r="C28" s="200" t="str">
        <f>IF($A28="","",SUMIF('Shop Collections'!$B:$B,$A28,'Shop Collections'!$C:$C))</f>
        <v/>
      </c>
      <c r="D28" s="201" t="str">
        <f t="shared" si="1"/>
        <v/>
      </c>
      <c r="F28" s="19" t="str">
        <f t="shared" si="2"/>
        <v/>
      </c>
    </row>
    <row r="29" ht="14.25" customHeight="1">
      <c r="A29" s="43" t="str">
        <f t="array" ref="A29">IFERROR(INDEX('Shop Ledger'!$B$5:$B$1004,MATCH(ROW()-4,'Shop Ledger'!$N$5:$N$1004,0)),"")</f>
        <v/>
      </c>
      <c r="B29" s="200" t="str">
        <f>IF($A29="","",SUMIF('Shop Ledger'!$B:$B,$A29,'Shop Ledger'!$K:$K))</f>
        <v/>
      </c>
      <c r="C29" s="200" t="str">
        <f>IF($A29="","",SUMIF('Shop Collections'!$B:$B,$A29,'Shop Collections'!$C:$C))</f>
        <v/>
      </c>
      <c r="D29" s="201" t="str">
        <f t="shared" si="1"/>
        <v/>
      </c>
      <c r="F29" s="19" t="str">
        <f t="shared" si="2"/>
        <v/>
      </c>
    </row>
    <row r="30" ht="14.25" customHeight="1">
      <c r="A30" s="43" t="str">
        <f t="array" ref="A30">IFERROR(INDEX('Shop Ledger'!$B$5:$B$1004,MATCH(ROW()-4,'Shop Ledger'!$N$5:$N$1004,0)),"")</f>
        <v/>
      </c>
      <c r="B30" s="200" t="str">
        <f>IF($A30="","",SUMIF('Shop Ledger'!$B:$B,$A30,'Shop Ledger'!$K:$K))</f>
        <v/>
      </c>
      <c r="C30" s="200" t="str">
        <f>IF($A30="","",SUMIF('Shop Collections'!$B:$B,$A30,'Shop Collections'!$C:$C))</f>
        <v/>
      </c>
      <c r="D30" s="201" t="str">
        <f t="shared" si="1"/>
        <v/>
      </c>
      <c r="F30" s="19" t="str">
        <f t="shared" si="2"/>
        <v/>
      </c>
    </row>
    <row r="31" ht="14.25" customHeight="1">
      <c r="A31" s="43" t="str">
        <f t="array" ref="A31">IFERROR(INDEX('Shop Ledger'!$B$5:$B$1004,MATCH(ROW()-4,'Shop Ledger'!$N$5:$N$1004,0)),"")</f>
        <v/>
      </c>
      <c r="B31" s="200" t="str">
        <f>IF($A31="","",SUMIF('Shop Ledger'!$B:$B,$A31,'Shop Ledger'!$K:$K))</f>
        <v/>
      </c>
      <c r="C31" s="200" t="str">
        <f>IF($A31="","",SUMIF('Shop Collections'!$B:$B,$A31,'Shop Collections'!$C:$C))</f>
        <v/>
      </c>
      <c r="D31" s="201" t="str">
        <f t="shared" si="1"/>
        <v/>
      </c>
      <c r="F31" s="19" t="str">
        <f t="shared" si="2"/>
        <v/>
      </c>
    </row>
    <row r="32" ht="14.25" customHeight="1">
      <c r="A32" s="43" t="str">
        <f t="array" ref="A32">IFERROR(INDEX('Shop Ledger'!$B$5:$B$1004,MATCH(ROW()-4,'Shop Ledger'!$N$5:$N$1004,0)),"")</f>
        <v/>
      </c>
      <c r="B32" s="200" t="str">
        <f>IF($A32="","",SUMIF('Shop Ledger'!$B:$B,$A32,'Shop Ledger'!$K:$K))</f>
        <v/>
      </c>
      <c r="C32" s="200" t="str">
        <f>IF($A32="","",SUMIF('Shop Collections'!$B:$B,$A32,'Shop Collections'!$C:$C))</f>
        <v/>
      </c>
      <c r="D32" s="201" t="str">
        <f t="shared" si="1"/>
        <v/>
      </c>
      <c r="F32" s="19" t="str">
        <f t="shared" si="2"/>
        <v/>
      </c>
    </row>
    <row r="33" ht="14.25" customHeight="1">
      <c r="A33" s="43" t="str">
        <f t="array" ref="A33">IFERROR(INDEX('Shop Ledger'!$B$5:$B$1004,MATCH(ROW()-4,'Shop Ledger'!$N$5:$N$1004,0)),"")</f>
        <v/>
      </c>
      <c r="B33" s="200" t="str">
        <f>IF($A33="","",SUMIF('Shop Ledger'!$B:$B,$A33,'Shop Ledger'!$K:$K))</f>
        <v/>
      </c>
      <c r="C33" s="200" t="str">
        <f>IF($A33="","",SUMIF('Shop Collections'!$B:$B,$A33,'Shop Collections'!$C:$C))</f>
        <v/>
      </c>
      <c r="D33" s="201" t="str">
        <f t="shared" si="1"/>
        <v/>
      </c>
      <c r="F33" s="19" t="str">
        <f t="shared" si="2"/>
        <v/>
      </c>
    </row>
    <row r="34" ht="14.25" customHeight="1">
      <c r="A34" s="43" t="str">
        <f t="array" ref="A34">IFERROR(INDEX('Shop Ledger'!$B$5:$B$1004,MATCH(ROW()-4,'Shop Ledger'!$N$5:$N$1004,0)),"")</f>
        <v/>
      </c>
      <c r="B34" s="200" t="str">
        <f>IF($A34="","",SUMIF('Shop Ledger'!$B:$B,$A34,'Shop Ledger'!$K:$K))</f>
        <v/>
      </c>
      <c r="C34" s="200" t="str">
        <f>IF($A34="","",SUMIF('Shop Collections'!$B:$B,$A34,'Shop Collections'!$C:$C))</f>
        <v/>
      </c>
      <c r="D34" s="201" t="str">
        <f t="shared" si="1"/>
        <v/>
      </c>
      <c r="F34" s="19" t="str">
        <f t="shared" si="2"/>
        <v/>
      </c>
    </row>
    <row r="35" ht="14.25" customHeight="1">
      <c r="A35" s="9" t="s">
        <v>568</v>
      </c>
      <c r="B35" s="202">
        <f t="shared" ref="B35:D35" si="3">SUM(B5:B34)</f>
        <v>57213</v>
      </c>
      <c r="C35" s="202">
        <f t="shared" si="3"/>
        <v>13500</v>
      </c>
      <c r="D35" s="203">
        <f t="shared" si="3"/>
        <v>43713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8.0"/>
    <col customWidth="1" min="2" max="4" width="19.43"/>
    <col customWidth="1" min="5" max="6" width="8.71"/>
  </cols>
  <sheetData>
    <row r="1" ht="14.25" customHeight="1">
      <c r="A1" s="11" t="s">
        <v>729</v>
      </c>
    </row>
    <row r="2" ht="14.25" customHeight="1">
      <c r="A2" s="19" t="s">
        <v>730</v>
      </c>
    </row>
    <row r="3" ht="14.25" customHeight="1">
      <c r="A3" s="15" t="s">
        <v>731</v>
      </c>
      <c r="B3" s="204">
        <f>TODAY()</f>
        <v>46269</v>
      </c>
    </row>
    <row r="4" ht="14.25" customHeight="1">
      <c r="A4" s="205" t="s">
        <v>732</v>
      </c>
      <c r="B4" s="206" t="s">
        <v>733</v>
      </c>
      <c r="C4" s="206" t="s">
        <v>734</v>
      </c>
      <c r="D4" s="206" t="s">
        <v>735</v>
      </c>
    </row>
    <row r="5" ht="14.25" customHeight="1">
      <c r="A5" s="19" t="s">
        <v>736</v>
      </c>
      <c r="B5" s="96">
        <f>SUMIFS(Sales!$L$7:$L$1506,Sales!$C$7:$C$1506,"Online",Sales!$B$7:$B$1506,"Sale",Sales!$A$7:$A$1506,"&lt;="&amp;$B$3)</f>
        <v>43094</v>
      </c>
      <c r="C5" s="207"/>
      <c r="D5" s="96" t="str">
        <f t="shared" ref="D5:D6" si="1">IF(C5="","",C5-B5)</f>
        <v/>
      </c>
    </row>
    <row r="6" ht="14.25" customHeight="1">
      <c r="A6" s="19" t="s">
        <v>737</v>
      </c>
      <c r="B6" s="96">
        <f>SUMIFS(Sales!$L$7:$L$1506,Sales!$C$7:$C$1506,"Shop",Sales!$B$7:$B$1506,"Sale",Sales!$A$7:$A$1506,"&lt;="&amp;$B$3)</f>
        <v>105386.0106</v>
      </c>
      <c r="C6" s="207"/>
      <c r="D6" s="96" t="str">
        <f t="shared" si="1"/>
        <v/>
      </c>
    </row>
    <row r="7" ht="14.25" customHeight="1">
      <c r="A7" s="208" t="s">
        <v>738</v>
      </c>
      <c r="B7" s="209">
        <f>SUMIFS(Sales!$L$7:$L$1506,Sales!$C$7:$C$1506,"",Sales!$F$7:$F$1506,"&lt;&gt;",Sales!$A$7:$A$1506,"&lt;="&amp;$B$3)</f>
        <v>0</v>
      </c>
      <c r="C7" s="96"/>
      <c r="D7" s="96"/>
    </row>
    <row r="8" ht="14.25" customHeight="1">
      <c r="A8" s="19" t="s">
        <v>739</v>
      </c>
      <c r="B8" s="96">
        <f>SUMIFS(Sales!$L$7:$L$1506,Sales!$B$7:$B$1506,"Return",Sales!$A$7:$A$1506,"&lt;="&amp;$B$3)</f>
        <v>-770</v>
      </c>
      <c r="C8" s="96"/>
      <c r="D8" s="96"/>
    </row>
    <row r="9" ht="14.25" customHeight="1">
      <c r="A9" s="15" t="s">
        <v>740</v>
      </c>
      <c r="B9" s="210">
        <f>SUM(B5:B8)</f>
        <v>147710.0106</v>
      </c>
      <c r="C9" s="96"/>
      <c r="D9" s="210" t="str">
        <f>IF(COUNT(C5:C6)=0,"",SUM(C5:C6)-B9)</f>
        <v/>
      </c>
    </row>
    <row r="10" ht="14.25" customHeight="1">
      <c r="A10" s="19" t="s">
        <v>741</v>
      </c>
      <c r="B10" s="96">
        <f>SUMIFS('Shop Collections'!$C$5:$C$504,'Shop Collections'!$A$5:$A$504,"&lt;="&amp;$B$3)</f>
        <v>13500</v>
      </c>
      <c r="C10" s="207"/>
      <c r="D10" s="96" t="str">
        <f>IF(C10="","",C10-B10)</f>
        <v/>
      </c>
    </row>
    <row r="11" ht="14.25" customHeight="1">
      <c r="A11" s="15" t="s">
        <v>742</v>
      </c>
      <c r="B11" s="210">
        <f>B9+B10</f>
        <v>161210.0106</v>
      </c>
      <c r="C11" s="96"/>
      <c r="D11" s="210" t="str">
        <f>IF(COUNT(C5:C10)=0,"",SUM(C5:C6)+C10-B11)</f>
        <v/>
      </c>
    </row>
    <row r="12" ht="14.25" customHeight="1"/>
    <row r="13" ht="14.25" customHeight="1">
      <c r="A13" s="211" t="s">
        <v>743</v>
      </c>
    </row>
    <row r="14" ht="14.25" customHeight="1">
      <c r="A14" s="19" t="s">
        <v>744</v>
      </c>
    </row>
    <row r="15" ht="14.25" customHeight="1">
      <c r="A15" s="19" t="s">
        <v>745</v>
      </c>
    </row>
    <row r="16" ht="14.25" customHeight="1">
      <c r="A16" s="19" t="s">
        <v>746</v>
      </c>
    </row>
    <row r="17" ht="14.25" customHeight="1">
      <c r="A17" s="19" t="s">
        <v>747</v>
      </c>
    </row>
    <row r="18" ht="14.25" customHeight="1">
      <c r="A18" s="19" t="s">
        <v>748</v>
      </c>
    </row>
    <row r="19" ht="14.25" customHeight="1"/>
    <row r="20" ht="14.25" customHeight="1">
      <c r="A20" s="122" t="s">
        <v>749</v>
      </c>
    </row>
    <row r="21" ht="14.25" customHeight="1"/>
    <row r="22" ht="14.25" customHeight="1">
      <c r="A22" s="211" t="s">
        <v>750</v>
      </c>
    </row>
    <row r="23" ht="14.25" customHeight="1">
      <c r="A23" s="19" t="s">
        <v>751</v>
      </c>
      <c r="B23" s="96">
        <f>SUMIFS(Sales!$L$7:$L$1506,Sales!$C$7:$C$1506,"Online",Sales!$D$7:$D$1506,"From Shop",Sales!$A$7:$A$1506,"&lt;="&amp;$B$3)</f>
        <v>0</v>
      </c>
    </row>
    <row r="24" ht="14.25" customHeight="1">
      <c r="A24" s="19" t="s">
        <v>752</v>
      </c>
    </row>
    <row r="25" ht="14.25" customHeight="1">
      <c r="A25" s="19" t="s">
        <v>753</v>
      </c>
      <c r="B25" s="96">
        <f>B5-B23</f>
        <v>43094</v>
      </c>
    </row>
    <row r="26" ht="14.25" customHeight="1">
      <c r="A26" s="19" t="s">
        <v>754</v>
      </c>
      <c r="B26" s="96">
        <f>B6+B23</f>
        <v>105386.0106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